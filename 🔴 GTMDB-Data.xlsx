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 sheetId="1" r:id="rId5"/>
    <sheet state="visible" name="GTMDB-Deals" sheetId="2" r:id="rId6"/>
    <sheet state="visible" name="GTMDB-Contacts-Inbound" sheetId="3" r:id="rId7"/>
    <sheet state="visible" name="GTMDB-Contacts-Linkedin" sheetId="4" r:id="rId8"/>
    <sheet state="visible" name="GTMDB-LinkedIn Ads" sheetId="5" r:id="rId9"/>
  </sheets>
  <definedNames>
    <definedName name="coeff_d_daca09f3_0a9a_43ba_a8f8_70ebdf83130a">#REF!</definedName>
    <definedName name="coeff_d_2aec1445_2700_46b4_a4aa_86db27ca31a6">'GTMDB-LinkedIn Ads'!$A$2:$L$8508</definedName>
    <definedName name="coeff_d_83f98e2d_8442_49ba_9fcd_ff68d97464d1">'GTMDB-Deals'!$A$2:$AE$997</definedName>
    <definedName name="coeff_d_b9057bb0_4dac_41ca_b708_47861b49582f">'GTMDB-Contacts-Inbound'!$A$2:$R$664</definedName>
    <definedName name="coeff_d_1c2b2ed6_b4c7_4d0f_98ee_eeac0b763940">'GTMDB-Contacts-Linkedin'!$A$2:$R$673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2">
      <text>
        <t xml:space="preserve">This is an associated field from another object in HubSpot.
Object: Associated Company</t>
      </text>
    </comment>
    <comment authorId="0" ref="S2">
      <text>
        <t xml:space="preserve">This is an associated field from another object in HubSpot.
Object: Associated Company</t>
      </text>
    </comment>
    <comment authorId="0" ref="T2">
      <text>
        <t xml:space="preserve">This is an associated field from another object in HubSpot.
Object: Associated Company</t>
      </text>
    </comment>
    <comment authorId="0" ref="U2">
      <text>
        <t xml:space="preserve">This is an associated field from another object in HubSpot.
Object: Associated Company</t>
      </text>
    </comment>
    <comment authorId="0" ref="V2">
      <text>
        <t xml:space="preserve">This is an associated field from another object in HubSpot.
Object: Associated Company</t>
      </text>
    </comment>
    <comment authorId="0" ref="W2">
      <text>
        <t xml:space="preserve">This is an associated field from another object in HubSpot.
Object: Associated Company</t>
      </text>
    </comment>
    <comment authorId="0" ref="X2">
      <text>
        <t xml:space="preserve">This is an associated field from another object in HubSpot.
Object: Associated Company</t>
      </text>
    </comment>
    <comment authorId="0" ref="Y2">
      <text>
        <t xml:space="preserve">This is an associated field from another object in HubSpot.
Object: Associated Company</t>
      </text>
    </comment>
    <comment authorId="0" ref="Z2">
      <text>
        <t xml:space="preserve">This is an associated field from another object in HubSpot.
Object: Associated Company</t>
      </text>
    </comment>
    <comment authorId="0" ref="AA2">
      <text>
        <t xml:space="preserve">This is an associated field from another object in HubSpot.
Object: Associated Company</t>
      </text>
    </comment>
    <comment authorId="0" ref="AB2">
      <text>
        <t xml:space="preserve">This is an associated field from another object in HubSpot.
Object: Associated Company</t>
      </text>
    </comment>
    <comment authorId="0" ref="AC2">
      <text>
        <t xml:space="preserve">This is an associated field from another object in HubSpot.
Object: Associated Company</t>
      </text>
    </comment>
    <comment authorId="0" ref="AD2">
      <text>
        <t xml:space="preserve">This is an associated field from another object in HubSpot.
Object: Associated Company</t>
      </text>
    </comment>
    <comment authorId="0" ref="AE2">
      <text>
        <t xml:space="preserve">This is an associated field from another object in HubSpot.
Object: Associated Company</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This is an associated field from another object in HubSpot.
Object: Associated Company</t>
      </text>
    </comment>
    <comment authorId="0" ref="L2">
      <text>
        <t xml:space="preserve">This is an associated field from another object in HubSpot.
Object: Associated Company</t>
      </text>
    </comment>
    <comment authorId="0" ref="M2">
      <text>
        <t xml:space="preserve">This is an associated field from another object in HubSpot.
Object: Associated Company</t>
      </text>
    </comment>
    <comment authorId="0" ref="N2">
      <text>
        <t xml:space="preserve">This is an associated field from another object in HubSpot.
Object: Associated Deal</t>
      </text>
    </comment>
    <comment authorId="0" ref="O2">
      <text>
        <t xml:space="preserve">This is an associated field from another object in HubSpot.
Object: Associated Deal</t>
      </text>
    </comment>
    <comment authorId="0" ref="P2">
      <text>
        <t xml:space="preserve">This is an associated field from another object in HubSpot.
Object: Associated Deal</t>
      </text>
    </comment>
    <comment authorId="0" ref="Q2">
      <text>
        <t xml:space="preserve">This is an associated field from another object in HubSpot.
Object: Associated Deal</t>
      </text>
    </comment>
    <comment authorId="0" ref="R2">
      <text>
        <t xml:space="preserve">This is an associated field from another object in HubSpot.
Object: Associated Deal</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This is an associated field from another object in HubSpot.
Object: Associated Company</t>
      </text>
    </comment>
    <comment authorId="0" ref="L2">
      <text>
        <t xml:space="preserve">This is an associated field from another object in HubSpot.
Object: Associated Company</t>
      </text>
    </comment>
    <comment authorId="0" ref="M2">
      <text>
        <t xml:space="preserve">This is an associated field from another object in HubSpot.
Object: Associated Company</t>
      </text>
    </comment>
    <comment authorId="0" ref="N2">
      <text>
        <t xml:space="preserve">This is an associated field from another object in HubSpot.
Object: Associated Deal</t>
      </text>
    </comment>
    <comment authorId="0" ref="O2">
      <text>
        <t xml:space="preserve">This is an associated field from another object in HubSpot.
Object: Associated Deal</t>
      </text>
    </comment>
    <comment authorId="0" ref="P2">
      <text>
        <t xml:space="preserve">This is an associated field from another object in HubSpot.
Object: Associated Deal</t>
      </text>
    </comment>
    <comment authorId="0" ref="Q2">
      <text>
        <t xml:space="preserve">This is an associated field from another object in HubSpot.
Object: Associated Deal</t>
      </text>
    </comment>
    <comment authorId="0" ref="R2">
      <text>
        <t xml:space="preserve">This is an associated field from another object in HubSpot.
Object: Associated Deal</t>
      </text>
    </comment>
  </commentList>
</comments>
</file>

<file path=xl/sharedStrings.xml><?xml version="1.0" encoding="utf-8"?>
<sst xmlns="http://schemas.openxmlformats.org/spreadsheetml/2006/main" count="39142" uniqueCount="6115">
  <si>
    <t/>
  </si>
  <si>
    <t>Deal ID</t>
  </si>
  <si>
    <t>Deal Name</t>
  </si>
  <si>
    <t>Deal Owner First Name</t>
  </si>
  <si>
    <t>Amount</t>
  </si>
  <si>
    <t>Deal Stage</t>
  </si>
  <si>
    <t>SAO (S2-S6)</t>
  </si>
  <si>
    <t>Create Date</t>
  </si>
  <si>
    <t>Close Date</t>
  </si>
  <si>
    <t>Pipeline</t>
  </si>
  <si>
    <t>Deal Type</t>
  </si>
  <si>
    <t>Campaign</t>
  </si>
  <si>
    <t>Campaign Source</t>
  </si>
  <si>
    <t>Geo</t>
  </si>
  <si>
    <t>Closed Won Reason</t>
  </si>
  <si>
    <t>Closed Lost Additional Details</t>
  </si>
  <si>
    <t>Rejected Reason</t>
  </si>
  <si>
    <t>Derailed Reason</t>
  </si>
  <si>
    <t>Company ID</t>
  </si>
  <si>
    <t>Company name</t>
  </si>
  <si>
    <t>Company Domain Name</t>
  </si>
  <si>
    <t>Lifecycle Stage</t>
  </si>
  <si>
    <t>Total Revenue</t>
  </si>
  <si>
    <t>Number of Employees</t>
  </si>
  <si>
    <t>Size of Sales Team</t>
  </si>
  <si>
    <t>Enablement Team size</t>
  </si>
  <si>
    <t>CSM Owner</t>
  </si>
  <si>
    <t>CS Copilot</t>
  </si>
  <si>
    <t>Customer Sentiment</t>
  </si>
  <si>
    <t>Renewal Date</t>
  </si>
  <si>
    <t>Renewal Notes</t>
  </si>
  <si>
    <t>Renewal Probability</t>
  </si>
  <si>
    <t>#Deal Type</t>
  </si>
  <si>
    <t>#Status</t>
  </si>
  <si>
    <t>#Number of Employees</t>
  </si>
  <si>
    <t>#Size of Sales Team</t>
  </si>
  <si>
    <t>Reachdesk - New Deal</t>
  </si>
  <si>
    <t>Christian</t>
  </si>
  <si>
    <t>S1: Qualification</t>
  </si>
  <si>
    <t>Sales Pipeline</t>
  </si>
  <si>
    <t>Standard Logo</t>
  </si>
  <si>
    <t>Inbound</t>
  </si>
  <si>
    <t>Website Form fill</t>
  </si>
  <si>
    <t>North America</t>
  </si>
  <si>
    <t>Reachdesk</t>
  </si>
  <si>
    <t>reachdesk.com</t>
  </si>
  <si>
    <t>lead</t>
  </si>
  <si>
    <t>58</t>
  </si>
  <si>
    <t>WP Engine - New Deal</t>
  </si>
  <si>
    <t>Rory</t>
  </si>
  <si>
    <t>S2: As-Is</t>
  </si>
  <si>
    <t>Yes</t>
  </si>
  <si>
    <t>Key Logo</t>
  </si>
  <si>
    <t>WP Engine</t>
  </si>
  <si>
    <t>wpengine.com</t>
  </si>
  <si>
    <t>4</t>
  </si>
  <si>
    <t>interface.ai - New Deal</t>
  </si>
  <si>
    <t>interface.ai</t>
  </si>
  <si>
    <t>SirionLabs - New Deal</t>
  </si>
  <si>
    <t>General Outbound</t>
  </si>
  <si>
    <t>AK Ops</t>
  </si>
  <si>
    <t>Sirion</t>
  </si>
  <si>
    <t>sirion.ai</t>
  </si>
  <si>
    <t>3</t>
  </si>
  <si>
    <t>Assemble - New Deal</t>
  </si>
  <si>
    <t>Assemble</t>
  </si>
  <si>
    <t>theassemble.com</t>
  </si>
  <si>
    <t>Litera - New Deal</t>
  </si>
  <si>
    <t>Litera</t>
  </si>
  <si>
    <t>litera.com</t>
  </si>
  <si>
    <t>2</t>
  </si>
  <si>
    <t>Carpedia Consulting (Pty) Ltd - New Deal</t>
  </si>
  <si>
    <t>RoW</t>
  </si>
  <si>
    <t>Carpedia</t>
  </si>
  <si>
    <t>carpedia.co.za</t>
  </si>
  <si>
    <t>Abridge - New Deal</t>
  </si>
  <si>
    <t>Abridge</t>
  </si>
  <si>
    <t>abridge.com</t>
  </si>
  <si>
    <t>5</t>
  </si>
  <si>
    <t>FireMon - New Deal</t>
  </si>
  <si>
    <t>FireMon</t>
  </si>
  <si>
    <t>firemon.com</t>
  </si>
  <si>
    <t>Pantheon - New Deal</t>
  </si>
  <si>
    <t>Pantheon</t>
  </si>
  <si>
    <t>pantheon.io</t>
  </si>
  <si>
    <t>Meter Valve &amp; Control - New Deal</t>
  </si>
  <si>
    <t>Meter Valve &amp; Control</t>
  </si>
  <si>
    <t>mvandc.com</t>
  </si>
  <si>
    <t>Toro TMS - New Deal</t>
  </si>
  <si>
    <t>S7a: Closed-Won / Start Onboarding</t>
  </si>
  <si>
    <t>An 11 day sales cycle!!
🏢 About the Customer
Toro TMS is a fast-growing Transportation Management Software company selling to trucking and freight operators — a notoriously tech-resistant, blue-collar ICP. The company is in hyper-growth mode, with 25 SDRs starting in June, 4 AEs in May, and plans to nearly double headcount by end of year. Meghan Powers joined as the company's first-ever enablement hire in January 2026, tasked with building the entire enablement function from scratch with no tools in place.
🔥 The Problem
Toro TMS had no LMS, no CMS — only Google Drive, which Meghan described as "a mess." With new hires arriving in weeks and reps in the field selling to truckers who "smell a rat" if content doesn't feel authentic, they needed a platform that could:
- Scale onboarding rapidly for multiple incoming cohorts
- Deliver content in-workflow (especially Slack), not via a portal reps would ignore
- Support AI-driven coaching and scoring against their Sandler methodology
- Integrate with their existing stack: Gong, Salesloft, Salesforce (HubSpot CRM), Google Drive, Slack, Zendesk
- Move fast — they needed to be live by early April to support May AE hires
🏁 The Competition
Toro TMS evaluated 4 platforms before choosing GTM Buddy:
- Seismic – Front-runner; Meghan acknowledged it as "a leader in the space" and praised its Slack integration (auto-responding to channels). Lost out due to price (~$50/user/month + integration fees) and concerns about post-merger innovation pace.
- Highspot – Considered but viewed as more enterprise-oriented; missing key features Toro needed. Meghan noted brand familiarity was a Highspot strength but not a deciding factor here.
- Spekit – Good AI assistant/sidebar experience, but required single-file uploads (no auto-sync) — a deal-breaker for a team releasing product updates every week.
- Mindtickle – Evaluated but did not stand out.
- GTM Buddy entered late as a "dark horse" — Meghan found us via Reddit ("I live and die by Reddit. I don't trust Google.").
🥇 Why We Won
1. Slack-First Activation
Toro's #1 adoption concern was getting reps to actually use the tool. Seismic's Slack auto-respond was their benchmark. GTM Buddy committed to building channel-level auto-response in Slack, removing the need for reps to remember slash commands. This was the decisive feature that shifted the deal in our favor.
2. Speed &amp; Agility
GTM Buddy committed to a 2–3 week implementation, giving Toro a live platform before May AE onboarding. Larger legacy vendors couldn't match this timeline confidence.
3. Pricing
At $40/user/month (vs. Seismic's ~$50 + integration fees) with implementation fee waived, GTM Buddy came in significantly below alternatives.
4. AI Innovation Roadmap
Ron demoed GTM Buddy's Nucleus agentic AI — automated coaching plans, deal reviews, DSR creation, and Sandler-based call scoring from Gong transcripts. Meghan was visibly excited: "If I say 'send Amanda a review of her calls for this week based on our coaching rubric' — can it do that?" Yes. This differentiated GTM Buddy clearly from legacy tools.
5. Startup-to-Startup Fit
Both companies are fast-moving startups. Meghan explicitly said: "The space is right for disruption. I think you guys will get it." The relationship built quickly — Christian and Meghan discovered they live two blocks apart in Philadelphia — and the team's responsiveness (Ron turned around the MSA within 45 minutes, Christian built trial success criteria live on-call) reinforced trust.</t>
  </si>
  <si>
    <t>Toro TMS</t>
  </si>
  <si>
    <t>torotms.com</t>
  </si>
  <si>
    <t>customer</t>
  </si>
  <si>
    <t>Apartment List - New Deal</t>
  </si>
  <si>
    <t>Apartment List</t>
  </si>
  <si>
    <t>apartmentlist.com</t>
  </si>
  <si>
    <t>PhonePe - New Deal</t>
  </si>
  <si>
    <t>India</t>
  </si>
  <si>
    <t>PhonePe</t>
  </si>
  <si>
    <t>phonepe.com</t>
  </si>
  <si>
    <t>Censys - New Deal</t>
  </si>
  <si>
    <t>Censys</t>
  </si>
  <si>
    <t>censys.com</t>
  </si>
  <si>
    <t>1</t>
  </si>
  <si>
    <t>Crestron Electronics - New Deal</t>
  </si>
  <si>
    <t>Crestron Electronics</t>
  </si>
  <si>
    <t>crestron.com</t>
  </si>
  <si>
    <t>Drata - New Deal</t>
  </si>
  <si>
    <t>Drata</t>
  </si>
  <si>
    <t>drata.com</t>
  </si>
  <si>
    <t>Loop - New Deal</t>
  </si>
  <si>
    <t>Loop</t>
  </si>
  <si>
    <t>loopreturns.com</t>
  </si>
  <si>
    <t>Keepit - New Deal</t>
  </si>
  <si>
    <t>Keepit</t>
  </si>
  <si>
    <t>keepit.com</t>
  </si>
  <si>
    <t>Statista - New Deal</t>
  </si>
  <si>
    <t>S8 - Rejected</t>
  </si>
  <si>
    <t>Timeline Outside of 6 Months</t>
  </si>
  <si>
    <t>Statista</t>
  </si>
  <si>
    <t>statista.com</t>
  </si>
  <si>
    <t>6</t>
  </si>
  <si>
    <t>Jeevan Infotech - New Deal</t>
  </si>
  <si>
    <t>S9 - Derailed</t>
  </si>
  <si>
    <t>Lost Access to Power</t>
  </si>
  <si>
    <t>Jeevan Infotech</t>
  </si>
  <si>
    <t>jeevaninfotech.com</t>
  </si>
  <si>
    <t>Starguard - New Deal</t>
  </si>
  <si>
    <t>Starguard</t>
  </si>
  <si>
    <t>starguard.uk</t>
  </si>
  <si>
    <t>Blancco Technology Group - New Deal</t>
  </si>
  <si>
    <t>Blancco Technology Group</t>
  </si>
  <si>
    <t>blancco.com</t>
  </si>
  <si>
    <t>Talkdesk - New Deal</t>
  </si>
  <si>
    <t>Talkdesk</t>
  </si>
  <si>
    <t>talkdesk.com</t>
  </si>
  <si>
    <t>RevAvenues.ai - New Deal</t>
  </si>
  <si>
    <t>Revavenues</t>
  </si>
  <si>
    <t>revavenues.ai</t>
  </si>
  <si>
    <t>CurbWaste - New Deal</t>
  </si>
  <si>
    <t>Pain Deprioritized</t>
  </si>
  <si>
    <t>CurbWaste</t>
  </si>
  <si>
    <t>curbwaste.com</t>
  </si>
  <si>
    <t>Maple - New Deal</t>
  </si>
  <si>
    <t>Ron</t>
  </si>
  <si>
    <t>S7b: Closed-Lost</t>
  </si>
  <si>
    <t>lost to trumpet. they picked DSR instead of portal. need to decide if we can combine them all. french toggle was biggest issue</t>
  </si>
  <si>
    <t>Maple</t>
  </si>
  <si>
    <t>getmaple.ca</t>
  </si>
  <si>
    <t>Bluehost - New Deal</t>
  </si>
  <si>
    <t>S6: Procurement</t>
  </si>
  <si>
    <t>Referral</t>
  </si>
  <si>
    <t>Bluehost</t>
  </si>
  <si>
    <t>bluehost.com</t>
  </si>
  <si>
    <t>Netcore Cloud - Downsell 2026</t>
  </si>
  <si>
    <t>Sundar</t>
  </si>
  <si>
    <t>Downsell</t>
  </si>
  <si>
    <t>Customer Advocacy</t>
  </si>
  <si>
    <t>Customer Generated - CQL</t>
  </si>
  <si>
    <t>They are planning to go public and list in India, and they want the expense to remain constant in INR. Apart from this we have had challenge with their company, with the stakeholder, and from GTM Buddy side, showing value delivered.</t>
  </si>
  <si>
    <t>Netcore Cloud</t>
  </si>
  <si>
    <t>netcorecloud.com</t>
  </si>
  <si>
    <t>52741900</t>
  </si>
  <si>
    <t>2027-02-26</t>
  </si>
  <si>
    <t xml:space="preserve">Started the conversation - Shooting for an upsell, to land atleast at flat renewal. Got a verbal that the renewal is going to go through.
Going to be a tough renewal. 
Ask Buddy Projects is being tested by the team. There is one detractor (a bit of unreasonable person) Mudit. Might be a blocker for the renewal.
</t>
  </si>
  <si>
    <t>100%</t>
  </si>
  <si>
    <t>Fello - New Deal</t>
  </si>
  <si>
    <t>Currently have Gong - going to invest in Gong Engage</t>
  </si>
  <si>
    <t>Fello</t>
  </si>
  <si>
    <t>fello.ai</t>
  </si>
  <si>
    <t>UKG - New Deal</t>
  </si>
  <si>
    <t>UKG</t>
  </si>
  <si>
    <t>ukg.com</t>
  </si>
  <si>
    <t>Traliant - New Deal</t>
  </si>
  <si>
    <t>SDR Outbound</t>
  </si>
  <si>
    <t>Traliant Holdings LLC</t>
  </si>
  <si>
    <t>traliant.com</t>
  </si>
  <si>
    <t>Engine Upsell - 40 Users</t>
  </si>
  <si>
    <t>Upsell</t>
  </si>
  <si>
    <t>AE Sourced</t>
  </si>
  <si>
    <t>Increase to 440 total users due to license overage</t>
  </si>
  <si>
    <t>Engine</t>
  </si>
  <si>
    <t>engine.com</t>
  </si>
  <si>
    <t>70547114</t>
  </si>
  <si>
    <t>2026-10-31</t>
  </si>
  <si>
    <t>90%</t>
  </si>
  <si>
    <t>RateGain Upsell - Sojern team</t>
  </si>
  <si>
    <t>Rategain acquired a company Sojern, they were using Showpad, after demo of GTM Buddy, they were happy to switch to us</t>
  </si>
  <si>
    <t>RateGain</t>
  </si>
  <si>
    <t>rategain.com</t>
  </si>
  <si>
    <t>86659445</t>
  </si>
  <si>
    <t>127722620</t>
  </si>
  <si>
    <t>2027-04-14</t>
  </si>
  <si>
    <t>Cor - New Deal</t>
  </si>
  <si>
    <t>Budget Reallocated</t>
  </si>
  <si>
    <t>Cor</t>
  </si>
  <si>
    <t>getcor.ai</t>
  </si>
  <si>
    <t>DeleteMe - New Deal</t>
  </si>
  <si>
    <t>DeleteMe</t>
  </si>
  <si>
    <t>joindeleteme.com</t>
  </si>
  <si>
    <t>CloudKitchens - Parent (CSS) - Renewal - Sana Rip and Replace</t>
  </si>
  <si>
    <t>Resell / Save</t>
  </si>
  <si>
    <t>CloudKitchens</t>
  </si>
  <si>
    <t>cloudkitchens.com</t>
  </si>
  <si>
    <t>594677095</t>
  </si>
  <si>
    <t>At Risk</t>
  </si>
  <si>
    <t>2026-04-02</t>
  </si>
  <si>
    <t>notes: 3/18/2026 - Customer is churning, off boarding in progress.
Next renewal is up in April, our POC Lisa is being sidelined internally. Adoption has been very low since Q4 2025. Lisa was instructed by leadership to get an export of all content &amp; courses from GTMB. 
Sana adoption is being pushed internally.</t>
  </si>
  <si>
    <t>10%</t>
  </si>
  <si>
    <t>Naukri.com - New Deal</t>
  </si>
  <si>
    <t>No Access to Power</t>
  </si>
  <si>
    <t>Naukri.com</t>
  </si>
  <si>
    <t>naukri.com</t>
  </si>
  <si>
    <t>Keelvar Systems - Upsell 2026</t>
  </si>
  <si>
    <t>Happy with the product
Upsell of $2000 for RFP Automation</t>
  </si>
  <si>
    <t>Keelvar Systems</t>
  </si>
  <si>
    <t>keelvar.com</t>
  </si>
  <si>
    <t>2116704949</t>
  </si>
  <si>
    <t>2027-02-06</t>
  </si>
  <si>
    <t>Renewal meeting is setup for later this week
Will renew, they love us. Very Decent adoption. They're also exploring RFP and aiming for a small upsell.</t>
  </si>
  <si>
    <t>PeopleStrong - Upsell 2026</t>
  </si>
  <si>
    <t>After a limited rollout and adoption for a year, they decided to expand with bigger team. Happy with the platform.</t>
  </si>
  <si>
    <t>PeopleStrong</t>
  </si>
  <si>
    <t>peoplestrong.com</t>
  </si>
  <si>
    <t xml:space="preserve">Started the conversation, shooting for an upsell with additional licenses. </t>
  </si>
  <si>
    <t>Quavo - Resell</t>
  </si>
  <si>
    <t>Quavo</t>
  </si>
  <si>
    <t>quavo.com</t>
  </si>
  <si>
    <t>2026-04-14</t>
  </si>
  <si>
    <t>Received churn notice by Sandy on 20th Jan
Note said - They need better integration with SFDC, they are signing a contract with Seismic. Sent an email to get Sandy on a call &amp; would want to confirm if RFP automation is still something they'd like to continue with</t>
  </si>
  <si>
    <t>Mobato - New Deal</t>
  </si>
  <si>
    <t>Meeting Never Happened</t>
  </si>
  <si>
    <t>Mobato</t>
  </si>
  <si>
    <t>mobato.com.br</t>
  </si>
  <si>
    <t>TRM Labs - New Deal</t>
  </si>
  <si>
    <t>Lost Access to Power; Pain Deprioritized</t>
  </si>
  <si>
    <t>TRM Labs</t>
  </si>
  <si>
    <t>trmlabs.com</t>
  </si>
  <si>
    <t>TQA - New Deal</t>
  </si>
  <si>
    <t>Lost Access to Power; Timeline Slipped; Pain Deprioritized</t>
  </si>
  <si>
    <t>TQA</t>
  </si>
  <si>
    <t>tqasolutions.com</t>
  </si>
  <si>
    <t>Every - New Deal</t>
  </si>
  <si>
    <t>Timeline Slipped; Budget Reallocated</t>
  </si>
  <si>
    <t>Every</t>
  </si>
  <si>
    <t>every.io</t>
  </si>
  <si>
    <t>D&amp;D AI Solutions - New Deal</t>
  </si>
  <si>
    <t>D&amp;D AI Solutions</t>
  </si>
  <si>
    <t>dndaisolutions.com</t>
  </si>
  <si>
    <t>Vega - New Deal</t>
  </si>
  <si>
    <t>Influencer</t>
  </si>
  <si>
    <t>lead from andrew at unstoppable.  super fast growth cyber company that raised 200m in funding in 2 rounds.  needed content creation and coaching/role plays.</t>
  </si>
  <si>
    <t>Vega</t>
  </si>
  <si>
    <t>vega.io</t>
  </si>
  <si>
    <t>ASAPP - New Deal</t>
  </si>
  <si>
    <t xml:space="preserve">🔍 Buyer Pain Points
Content created by marketing "died on the vine" — no visibility into whether reps used it
Lacked insight into what was working, when, and why
Highspot described as "super manual" — team wanted automation and AI-driven personalization
Reps hoarding content on personal machines; low adoption of existing tools
Needed programmatic enablement across Sales, SEs, Customer Engineers, and CSMs
Version control and outdated asset leakage from Google Drive/HubSpot
✅ Why We Won
AI-first, rep-centric approach resonated strongly — "meets reps where they are" vs. requiring them to leave their workflow
Deep analytics &amp; content visibility — Sarah specifically called out the lack of this with their current setup
Persona-driven recommendations directly addressed her concern about different content for different buyer personas
Google Drive + HubSpot native integrations — matched their existing tech stack (HubSpot CRM, Google Workspace, Slack, Outreach, Chorus)
Digital Sales Rooms aligned with their ABM strategy for targeted account engagement
Version control &amp; content governance addressed Theresa's concern about outdated assets leaking externally
Deal Desk/RFP capability unlocked expansion opportunity — Sara proactively asked to bring Rev Ops, Finance, and Sales leadership for a follow-up
</t>
  </si>
  <si>
    <t>ASAPP</t>
  </si>
  <si>
    <t>asapp.com</t>
  </si>
  <si>
    <t>Netwoven - New Deal</t>
  </si>
  <si>
    <t>Impact not Identified</t>
  </si>
  <si>
    <t>Netwoven</t>
  </si>
  <si>
    <t>netwoven.com</t>
  </si>
  <si>
    <t>Bizzabo - Downsell 2026</t>
  </si>
  <si>
    <t>Happy customer, They have reduced the team size slightly. Not able to upsell any new feature since they don’t have any other enabler / owner to run Coaching / RFP etc..</t>
  </si>
  <si>
    <t>Bizzabo</t>
  </si>
  <si>
    <t>bizzabo.com</t>
  </si>
  <si>
    <t>Healthy</t>
  </si>
  <si>
    <t>2027-01-14</t>
  </si>
  <si>
    <t>Happy customer</t>
  </si>
  <si>
    <t>Procol - New Deal</t>
  </si>
  <si>
    <t>Procol</t>
  </si>
  <si>
    <t>procol.ai</t>
  </si>
  <si>
    <t>Ushur - Resell</t>
  </si>
  <si>
    <t>not renewing</t>
  </si>
  <si>
    <t>Ushur</t>
  </si>
  <si>
    <t>ushur.com</t>
  </si>
  <si>
    <t>2026-03-31</t>
  </si>
  <si>
    <t xml:space="preserve">Received Churn notice on Jan 18
Lost the POCs Mike, Sales Head, Taylor Enablement. 
New POCs are not mandated with enablement as a priority. Monthly connects are being skipped.. no response from champion sellers either.
GTM Buddy has been kickedout from the tenant by their CISO. 
Only insight we have is on MixPanel.
</t>
  </si>
  <si>
    <t>Smylr - New Deal</t>
  </si>
  <si>
    <t>Smylr</t>
  </si>
  <si>
    <t>smylr.co</t>
  </si>
  <si>
    <t>Leap - New Deal</t>
  </si>
  <si>
    <t>Lost to Seismic as they could do dynamic deck updates at scale</t>
  </si>
  <si>
    <t>Leap</t>
  </si>
  <si>
    <t>leaphealth.com</t>
  </si>
  <si>
    <t>Reo - New Deal</t>
  </si>
  <si>
    <t>Reo</t>
  </si>
  <si>
    <t>reo.dev</t>
  </si>
  <si>
    <t>Monkey - New Deal</t>
  </si>
  <si>
    <t>Monkey</t>
  </si>
  <si>
    <t>monkey.tech</t>
  </si>
  <si>
    <t>Nous Infosystems - New Deal</t>
  </si>
  <si>
    <t>Nous Infosystems</t>
  </si>
  <si>
    <t>nousinfo.com</t>
  </si>
  <si>
    <t>InfraHub - New Deal</t>
  </si>
  <si>
    <t>InfraHub</t>
  </si>
  <si>
    <t>infrahub.ai</t>
  </si>
  <si>
    <t>Gateway Financial Partners - New Deal</t>
  </si>
  <si>
    <t>Gateway Financial Partners</t>
  </si>
  <si>
    <t>gatewayfinancialpartners.com</t>
  </si>
  <si>
    <t>Replicant - Upsell 2026</t>
  </si>
  <si>
    <t>We did an upsell for RFP Automation</t>
  </si>
  <si>
    <t>Replicant</t>
  </si>
  <si>
    <t>replicant.com</t>
  </si>
  <si>
    <t>2028-03-04</t>
  </si>
  <si>
    <t>Early Renewal - Small upsell of $1k</t>
  </si>
  <si>
    <t>SpotDraft - Upsell 2026</t>
  </si>
  <si>
    <t>Happy customer, wanted to add more seats</t>
  </si>
  <si>
    <t>SpotDraft</t>
  </si>
  <si>
    <t>spotdraft.com</t>
  </si>
  <si>
    <t>2026-11-10</t>
  </si>
  <si>
    <t xml:space="preserve">Negotiation is going on.. It would be an upsell of 1k or above... 
We have a strong POC and adoption is great. They have crossed their users limit, aiming a small upsell but Anushka mentioned since CS team is not actively using GTM Buddy, there's a chance to cut them out from Budget. Planning to provide a strong CS use case, which they can use internally for renewal.
</t>
  </si>
  <si>
    <t>Exotel - Upsell 2026</t>
  </si>
  <si>
    <t>Added additional user after the experiments in year 1</t>
  </si>
  <si>
    <t>Exotel</t>
  </si>
  <si>
    <t>exotel.com</t>
  </si>
  <si>
    <t>2026-08-26</t>
  </si>
  <si>
    <t>Upsell - 55 licenses from 20 right now. ACV will be 9k if it goes through, right now in legal. Review completed, will get signed soon.</t>
  </si>
  <si>
    <t>Fastbreak AI - New Deal</t>
  </si>
  <si>
    <t>Fastbreak AI</t>
  </si>
  <si>
    <t>fastbreak.ai</t>
  </si>
  <si>
    <t>Aceve - New Deal</t>
  </si>
  <si>
    <t>Aceve</t>
  </si>
  <si>
    <t>aceve.com</t>
  </si>
  <si>
    <t>Sparrow - New Deal</t>
  </si>
  <si>
    <t>S4: Stakeholder Buy-In</t>
  </si>
  <si>
    <t>Sparrow</t>
  </si>
  <si>
    <t>trysparrow.com</t>
  </si>
  <si>
    <t>Motivity - New Deal</t>
  </si>
  <si>
    <t>Motivity</t>
  </si>
  <si>
    <t>motivity.net</t>
  </si>
  <si>
    <t>MagicBricks - New Deal</t>
  </si>
  <si>
    <t>MagicBricks</t>
  </si>
  <si>
    <t>magicbricks.com</t>
  </si>
  <si>
    <t>P2P.org - New Deal</t>
  </si>
  <si>
    <t>P2P Validator</t>
  </si>
  <si>
    <t>p2p.org</t>
  </si>
  <si>
    <t>Tally Solutions Pvt Ltd - New Deal</t>
  </si>
  <si>
    <t>Tally Solutions Pvt Ltd</t>
  </si>
  <si>
    <t>tallysolutions.com</t>
  </si>
  <si>
    <t>Rentana - New Deal</t>
  </si>
  <si>
    <t>Rentana</t>
  </si>
  <si>
    <t>rentana.io</t>
  </si>
  <si>
    <t>VulnCheck - New Deal</t>
  </si>
  <si>
    <t>great experience for user (maggie) at doppel.  well done team!  gift that keeps giving</t>
  </si>
  <si>
    <t>VulnCheck</t>
  </si>
  <si>
    <t>vulncheck.com</t>
  </si>
  <si>
    <t>83674149</t>
  </si>
  <si>
    <t>2027-02-04</t>
  </si>
  <si>
    <t>Certbar Security - New Deal</t>
  </si>
  <si>
    <t>Certbar Security</t>
  </si>
  <si>
    <t>certbar.com</t>
  </si>
  <si>
    <t>Gem - New Deal</t>
  </si>
  <si>
    <t>lost to spekit and letter and maybe stay with highspot and workramp.  of the three we came in last for usuability and UI.</t>
  </si>
  <si>
    <t>Gem</t>
  </si>
  <si>
    <t>gem.com</t>
  </si>
  <si>
    <t>Pentera - New Deal</t>
  </si>
  <si>
    <t>Pentera</t>
  </si>
  <si>
    <t>pentera.io</t>
  </si>
  <si>
    <t>subscriber</t>
  </si>
  <si>
    <t>QualySec - New Deal</t>
  </si>
  <si>
    <t>QualySec</t>
  </si>
  <si>
    <t>qualysec.com</t>
  </si>
  <si>
    <t>SamIvy - New Deal</t>
  </si>
  <si>
    <t>SamIvy</t>
  </si>
  <si>
    <t>samivy.com</t>
  </si>
  <si>
    <t>Multiplier - New Deal - 2026</t>
  </si>
  <si>
    <t>Lost to Letter AI - see the email for Colin</t>
  </si>
  <si>
    <t>Multiplier</t>
  </si>
  <si>
    <t>usemultiplier.com</t>
  </si>
  <si>
    <t>8</t>
  </si>
  <si>
    <t>Everly Life - New Deal</t>
  </si>
  <si>
    <t>Timeline Slipped; Pain Deprioritized</t>
  </si>
  <si>
    <t>Everly Life</t>
  </si>
  <si>
    <t>everlylife.com</t>
  </si>
  <si>
    <t>Advantive - New Deal</t>
  </si>
  <si>
    <t>Advantive</t>
  </si>
  <si>
    <t>advantive.com</t>
  </si>
  <si>
    <t>Document Crunch - New Deal</t>
  </si>
  <si>
    <t>Document Crunch</t>
  </si>
  <si>
    <t>documentcrunch.com</t>
  </si>
  <si>
    <t>Voxel - New Deal</t>
  </si>
  <si>
    <t xml:space="preserve">S5: Proof and Trust </t>
  </si>
  <si>
    <t>Voxel</t>
  </si>
  <si>
    <t>voxelai.com</t>
  </si>
  <si>
    <t>Red Rover - New Deal</t>
  </si>
  <si>
    <t>Red Rover</t>
  </si>
  <si>
    <t>redroverk12.com</t>
  </si>
  <si>
    <t>WebEngage - Downsell 2025</t>
  </si>
  <si>
    <t>WebEngage team has gone through realignment of their team, fired all of marketing from CMO to PMMs and rebuilding the team with different leaders.
As part of that we lost all of our POCs, and built relationship with the new POC. There was good adoption from their team on the DSR which made the product sticky and they went in for the renewal. Downsell was to mainly to do with the cost cutting that the team has been doing all the tools and a pressure to reduce tool expenditure.</t>
  </si>
  <si>
    <t>WebEngage</t>
  </si>
  <si>
    <t>webengage.com</t>
  </si>
  <si>
    <t>2026-10-10</t>
  </si>
  <si>
    <t xml:space="preserve">Downsell of 2k - Will renew at 14k. Agreed and review in progress
Process just started. Marketing team has been laid off and currently Center of Excellence team is our POC and they're managing the platform.
We've been having back &amp; forth conversations on renewal and they're also currently exploring RFP and Partner Portal parallelly.
Nevertheless adoption is good and they're the power users of DSRs
</t>
  </si>
  <si>
    <t>50%</t>
  </si>
  <si>
    <t>Markforged - New Deal</t>
  </si>
  <si>
    <t>Markforged</t>
  </si>
  <si>
    <t>markforged.com</t>
  </si>
  <si>
    <t>Banyan - New Deal</t>
  </si>
  <si>
    <t>Pain Deprioritized; Lost Access to Power</t>
  </si>
  <si>
    <t>Banyan Infrastructure</t>
  </si>
  <si>
    <t>banyaninfrastructure.com</t>
  </si>
  <si>
    <t>Sycurio - New Deal</t>
  </si>
  <si>
    <t>Sycurio</t>
  </si>
  <si>
    <t>sycurio.com</t>
  </si>
  <si>
    <t>Spread the JOY - New Deal</t>
  </si>
  <si>
    <t>Spread The Joy Foundation</t>
  </si>
  <si>
    <t>spreadthejoy.org</t>
  </si>
  <si>
    <t>Sublime Security - New Deal</t>
  </si>
  <si>
    <t>Sublime Security</t>
  </si>
  <si>
    <t>sublime.security</t>
  </si>
  <si>
    <t>Together - New Deal</t>
  </si>
  <si>
    <t>Together</t>
  </si>
  <si>
    <t>togetherplatform.com</t>
  </si>
  <si>
    <t>Arrow Finishing - New Deal</t>
  </si>
  <si>
    <t>Arrow Finishing</t>
  </si>
  <si>
    <t>arrowfinishing.com</t>
  </si>
  <si>
    <t>Fresche Solutions - New Deal</t>
  </si>
  <si>
    <t xml:space="preserve">Fresche Solutions selected GTM Buddy to solve a growing need for a unified content and enablement hub that could serve both their internal sales teams and external partners.
Sylvia Varga - Head of Marketing at Fresche knew of GTM Buddy from her time at Absorb Software - another great example of our Implementation, CS and Product teams keeping our customers happy leading to another new logo! 
Key reasons Fresche purchased:
• Centralized content hub for sales &amp; marketing – Marketing and sales wanted a single place to build, store, search, and govern product and sales collateral, with strong version control so reps always use the latest materials.
• AI‑driven recommendations in the seller workflow – Leadership saw value in GTM Buddy’s ability to push the right content and coaching directly into reps’ calendars and email based on CRM context, reducing time spent searching and improving call prep and execution.
• Robust analytics &amp; governance – They needed visibility into which assets were actually used, how buyers engaged with them (down to slide‑level), and how content influenced deal outcomes, as well as the ability to identify unused/underperforming materials.
• Partner enablement &amp; portal – Partner enablement was a strategic priority; GTM Buddy’s partner portal, with account‑level portals, tracking of partner engagement, and the ability to embed it into Fresche’s existing customer/partner portal, aligned with their vision.
• Scalable, low‑friction implementation – Fresche’s team (including marketing, sales, and technical stakeholders) aligned that GTM Buddy could be integrated via iframe and SSO patterns into their current portal without forcing partners to log in twice, reducing adoption risk.
In short: Fresche bought GTM Buddy to turn a scattered set of repositories and tools into a single, AI‑powered enablement layer that improves how internal reps and external partners access, use, and learn from content—while giving leadership clear insight into what’s working and what’s not. 
</t>
  </si>
  <si>
    <t>Fresche Solutions</t>
  </si>
  <si>
    <t>freschesolutions.com</t>
  </si>
  <si>
    <t>Markmonitor - New Deal</t>
  </si>
  <si>
    <t>Markmonitor</t>
  </si>
  <si>
    <t>markmonitor.com</t>
  </si>
  <si>
    <t>Athleaders - New Deal</t>
  </si>
  <si>
    <t>Athleaders</t>
  </si>
  <si>
    <t>athleaders.co</t>
  </si>
  <si>
    <t>Suralink - New Deal</t>
  </si>
  <si>
    <t>Suralink</t>
  </si>
  <si>
    <t>suralink.com</t>
  </si>
  <si>
    <t>Wireless Ventures - New Deal</t>
  </si>
  <si>
    <t>Wireless Ventures</t>
  </si>
  <si>
    <t>wirelessventures.net</t>
  </si>
  <si>
    <t>GlobalFoundries - New Deal</t>
  </si>
  <si>
    <t>GlobalFoundries</t>
  </si>
  <si>
    <t>gf.com</t>
  </si>
  <si>
    <t>Cultural Care Au Pair - New Deal</t>
  </si>
  <si>
    <t>Cultural Care Au Pair</t>
  </si>
  <si>
    <t>culturalcare.com</t>
  </si>
  <si>
    <t>Resolve AI - New Deal</t>
  </si>
  <si>
    <t>S3: To-Be</t>
  </si>
  <si>
    <t>Resolve AI</t>
  </si>
  <si>
    <t>resolve.ai</t>
  </si>
  <si>
    <t>Safe Security - New Deal</t>
  </si>
  <si>
    <t>Safe Security</t>
  </si>
  <si>
    <t>safe.security</t>
  </si>
  <si>
    <t>Pigment - New Deal</t>
  </si>
  <si>
    <t>Other</t>
  </si>
  <si>
    <t>Lost to Letter. We were late to the party but our product is also inferior as we didn't have a native Notion integration or Multi-language translations</t>
  </si>
  <si>
    <t>Pigment</t>
  </si>
  <si>
    <t>pigment.com</t>
  </si>
  <si>
    <t>Docebo - New Deal</t>
  </si>
  <si>
    <t>Docebo</t>
  </si>
  <si>
    <t>docebo.com</t>
  </si>
  <si>
    <t>10</t>
  </si>
  <si>
    <t>PeopleFluent - 2025 Downsell</t>
  </si>
  <si>
    <t>Team is not so happy with GTM Buddy, they implemented playbooks on our new feature and we have now deprecated that feature. They wanted to enforce and activate the playbooks in the workflow of the reps which they were not able to achieve. They are an Coaching platform themselves, so the LMS/roleplay part of GTM Buddy does not fit in for them. DSR is not a big usecase for them either. Just the core CMS. On top of it, they fired one enabler and now we are working with VP Revenue directly with reduced team size of 11 down from 20.</t>
  </si>
  <si>
    <t>PeopleFluent</t>
  </si>
  <si>
    <t>peoplefluent.com</t>
  </si>
  <si>
    <t>Critical</t>
  </si>
  <si>
    <t>2026-12-31</t>
  </si>
  <si>
    <t>Note: Churn notice received. PF LOB is being dissolved.
Renewal discussion to be started.
Renewal probability - 85-90%
Overall positive sentiment &amp; decent adoption.(They have a small sales team)</t>
  </si>
  <si>
    <t>Quest Analytics - 2025 Upsell</t>
  </si>
  <si>
    <t>Team is happy with GTM Buddy. Deployed for use cases like hosting training content on their website with links to Campaign DSR. We also built a feature to export the analytics at each DSR level for them. Increased the # of seats for users, admins and read-only users too.</t>
  </si>
  <si>
    <t>Quest Analytics</t>
  </si>
  <si>
    <t>questanalytics.com</t>
  </si>
  <si>
    <t>Will renew, they like GTM Buddy. 
Adoption can be better. Lisa has left Quest, but we are connected with Lisa's boss Ashlee and have a bi-weekly cadence</t>
  </si>
  <si>
    <t>Absorb LMS - 2025 Upsell</t>
  </si>
  <si>
    <t>Upsell - Customer is super happy with GTM Buddy
Expanding GTM Buddy for their Account Management Team</t>
  </si>
  <si>
    <t>Absorb Software</t>
  </si>
  <si>
    <t>absorblms.com</t>
  </si>
  <si>
    <t>2027-01-01</t>
  </si>
  <si>
    <t xml:space="preserve">Will renew, need to shoot for upsell. </t>
  </si>
  <si>
    <t>Dash Social - New Deal</t>
  </si>
  <si>
    <t>Dash Social</t>
  </si>
  <si>
    <t>dashsocial.com</t>
  </si>
  <si>
    <t>ActivTrak - New Deal</t>
  </si>
  <si>
    <t>ActivTrak</t>
  </si>
  <si>
    <t>activtrak.com</t>
  </si>
  <si>
    <t>Sacred 7 Enterprises - New Deal</t>
  </si>
  <si>
    <t>Sacred 7 Enterprises</t>
  </si>
  <si>
    <t>sacred7enterprises.org</t>
  </si>
  <si>
    <t>VERSATIL - New Deal</t>
  </si>
  <si>
    <t>VERSATIL</t>
  </si>
  <si>
    <t>versatil.vc</t>
  </si>
  <si>
    <t>Sonder - New Deal</t>
  </si>
  <si>
    <t>Sonder</t>
  </si>
  <si>
    <t>sonder.io</t>
  </si>
  <si>
    <t>HockeyStack Analytics - New Deal</t>
  </si>
  <si>
    <t>HockeyStack Analytics</t>
  </si>
  <si>
    <t>hockeystack.com</t>
  </si>
  <si>
    <t>Velasea - New Deal</t>
  </si>
  <si>
    <t>Velasea</t>
  </si>
  <si>
    <t>velasea.com</t>
  </si>
  <si>
    <t>Bath Fitter - New Deal 2</t>
  </si>
  <si>
    <t>PERSERVERANCE!!!!  Mike has been showing role play to everyone including the CEO.  He finally got an approval, sort of.  they signed for a POC for 25k.  once we crush it we will get our full value!.</t>
  </si>
  <si>
    <t>Bath Fitter</t>
  </si>
  <si>
    <t>bathfitter.com</t>
  </si>
  <si>
    <t>2026-07-06</t>
  </si>
  <si>
    <t>Mike sent churn notice, stating that their company wants to use inhouse software instead of anything external</t>
  </si>
  <si>
    <t>Kankani - New Deal</t>
  </si>
  <si>
    <t>Timeline Slipped</t>
  </si>
  <si>
    <t>Kankani</t>
  </si>
  <si>
    <t>kankani.in</t>
  </si>
  <si>
    <t>ArmorCode - New Deal</t>
  </si>
  <si>
    <t xml:space="preserve">Did not exercise their opt-out clause so we can officially call Armorcode a customer! Great team win here. A big thank you to Radhika, Rishika, Sahitha and Sundar for executing flawlessly in the 'test' phase of the contract with a demanding customer. Another security customer to add to our collection with strong ARR </t>
  </si>
  <si>
    <t>ArmorCode</t>
  </si>
  <si>
    <t>armorcode.com</t>
  </si>
  <si>
    <t>2027-01-31</t>
  </si>
  <si>
    <t>aXcelerate - New Deal</t>
  </si>
  <si>
    <t>aXcelerate</t>
  </si>
  <si>
    <t>axcelerate.com</t>
  </si>
  <si>
    <t>Cacta - New Deal</t>
  </si>
  <si>
    <t>Cacta Sustainability Solutions</t>
  </si>
  <si>
    <t>cacta.eco</t>
  </si>
  <si>
    <t>Maggie Cowlan - New Deal</t>
  </si>
  <si>
    <t>Maggi Cowlan</t>
  </si>
  <si>
    <t>maggicowlan.com</t>
  </si>
  <si>
    <t>Frontline Education - New Deal</t>
  </si>
  <si>
    <t xml:space="preserve">management picked mindtickle for structured learning and better coaching. </t>
  </si>
  <si>
    <t>Frontline Education</t>
  </si>
  <si>
    <t>frontlineeducation.com</t>
  </si>
  <si>
    <t>Harmonic Security - New Deal</t>
  </si>
  <si>
    <t>Another referral from Andrew at Unstoppable.  These cybersecurity companies are growing so fast and he is able to get us in without competition.  Ksenya loved the breadth of the product as she has used highspot and seismic before.  Legal was tough, thank you Sahitha for the air coverage!</t>
  </si>
  <si>
    <t>Harmonic Security</t>
  </si>
  <si>
    <t>harmonicsecurity.com</t>
  </si>
  <si>
    <t>2026-12-08</t>
  </si>
  <si>
    <t>70%</t>
  </si>
  <si>
    <t>Kortext - New Deal</t>
  </si>
  <si>
    <t>Kortext</t>
  </si>
  <si>
    <t>kortext.com</t>
  </si>
  <si>
    <t>RTG Ecommmerce - New Deal</t>
  </si>
  <si>
    <t>RTG Ecommerce</t>
  </si>
  <si>
    <t>rtgecommerce.com</t>
  </si>
  <si>
    <t>MassPay - New Deal</t>
  </si>
  <si>
    <t>MassPay</t>
  </si>
  <si>
    <t>masspay.io</t>
  </si>
  <si>
    <t>SailPoint - New Deal</t>
  </si>
  <si>
    <t>SailPoint</t>
  </si>
  <si>
    <t>sailpoint.com</t>
  </si>
  <si>
    <t>18</t>
  </si>
  <si>
    <t>AvidXchange - New Deal</t>
  </si>
  <si>
    <t>AvidXchange, Inc.</t>
  </si>
  <si>
    <t>avidxchange.com</t>
  </si>
  <si>
    <t>7</t>
  </si>
  <si>
    <t>SentinelOne - New Deal</t>
  </si>
  <si>
    <t>SentinelOne</t>
  </si>
  <si>
    <t>sentinelone.com</t>
  </si>
  <si>
    <t>AgencyBloc - New Deal</t>
  </si>
  <si>
    <t>complete product.  Jamie is a smart enabler and has bought alot of tools.  she loved the completeness of our product over flockjay and paperflight.  gonna be a great refeernce</t>
  </si>
  <si>
    <t>AgencyBloc</t>
  </si>
  <si>
    <t>agencybloc.com</t>
  </si>
  <si>
    <t>80%</t>
  </si>
  <si>
    <t>Permutive - New Deal</t>
  </si>
  <si>
    <t>Permutive</t>
  </si>
  <si>
    <t>permutive.com</t>
  </si>
  <si>
    <t>Verifiable - New Deal</t>
  </si>
  <si>
    <t>Greenfield $100</t>
  </si>
  <si>
    <t>LinkedIn Campaign</t>
  </si>
  <si>
    <t>Verifiable</t>
  </si>
  <si>
    <t>verifiable.com</t>
  </si>
  <si>
    <t>54</t>
  </si>
  <si>
    <t>Pella - New Deal</t>
  </si>
  <si>
    <t>Pella</t>
  </si>
  <si>
    <t>pella.com</t>
  </si>
  <si>
    <t>Teramind - New Deal 2</t>
  </si>
  <si>
    <t>Pain Deprioritized; Timeline Slipped</t>
  </si>
  <si>
    <t>Teramind</t>
  </si>
  <si>
    <t>teramind.co</t>
  </si>
  <si>
    <t>Spotlight Media - New Deal</t>
  </si>
  <si>
    <t>Spotlight Media</t>
  </si>
  <si>
    <t>spotlightmediafargo.com</t>
  </si>
  <si>
    <t>Atomicwork - New Deal</t>
  </si>
  <si>
    <t>Atomicwork</t>
  </si>
  <si>
    <t>atomicwork.com</t>
  </si>
  <si>
    <t>WAISL - New Deal</t>
  </si>
  <si>
    <t>S10 - Nurture For Later</t>
  </si>
  <si>
    <t>WAISL</t>
  </si>
  <si>
    <t>waisldigital.com</t>
  </si>
  <si>
    <t>Hasura - Upsell - 2025</t>
  </si>
  <si>
    <t>Hasura</t>
  </si>
  <si>
    <t>hasura.io</t>
  </si>
  <si>
    <t>2026-10-30</t>
  </si>
  <si>
    <t>Agreed on Flat renewal</t>
  </si>
  <si>
    <t>60%</t>
  </si>
  <si>
    <t>Sprout Social - New Deal</t>
  </si>
  <si>
    <t>Sprout Social, Inc.</t>
  </si>
  <si>
    <t>sproutsocial.com</t>
  </si>
  <si>
    <t>EasyWebinar - New Deal</t>
  </si>
  <si>
    <t>EasyWebinar</t>
  </si>
  <si>
    <t>easywebinar.com</t>
  </si>
  <si>
    <t>WalkMe - New Deal</t>
  </si>
  <si>
    <t>Event</t>
  </si>
  <si>
    <t>WalkMe</t>
  </si>
  <si>
    <t>walkme.com</t>
  </si>
  <si>
    <t>9</t>
  </si>
  <si>
    <t>Act-On Software - New Deal</t>
  </si>
  <si>
    <t>Act-On Software</t>
  </si>
  <si>
    <t>act-on.com</t>
  </si>
  <si>
    <t>Centrical - New Deal 2</t>
  </si>
  <si>
    <t>Centrical</t>
  </si>
  <si>
    <t>centrical.com</t>
  </si>
  <si>
    <t>Atom Chat - New Deal</t>
  </si>
  <si>
    <t>Atom</t>
  </si>
  <si>
    <t>atomchat.io</t>
  </si>
  <si>
    <t>GlossGenius - New Deal</t>
  </si>
  <si>
    <t>Lost to Allego as they have immediate LMS needs that we cannot meet (in time for Jan). Our LMS was too clunky for a team of 1 to scale to support 30-50 users. AI learning content creation is not intuitive enough</t>
  </si>
  <si>
    <t>GlossGenius</t>
  </si>
  <si>
    <t>glossgenius.com</t>
  </si>
  <si>
    <t>Infogain - New Deal</t>
  </si>
  <si>
    <t>Infogain</t>
  </si>
  <si>
    <t>infogain.com</t>
  </si>
  <si>
    <t>Kissflow - New Deal</t>
  </si>
  <si>
    <t>Kissflow</t>
  </si>
  <si>
    <t>kissflow.com</t>
  </si>
  <si>
    <t>140</t>
  </si>
  <si>
    <t>Sierra Outsourcing Solutions - New Deal</t>
  </si>
  <si>
    <t>Sierra Outsourcing Solutions</t>
  </si>
  <si>
    <t>sos-nv.com</t>
  </si>
  <si>
    <t>You.com - New Deal</t>
  </si>
  <si>
    <t>You.com</t>
  </si>
  <si>
    <t>you.com</t>
  </si>
  <si>
    <t>PhonePe - New Deal (old)</t>
  </si>
  <si>
    <t>Clayton County Public Schools - New Deal</t>
  </si>
  <si>
    <t>Clayton County Public Schools</t>
  </si>
  <si>
    <t>clayton.k12.ga.us</t>
  </si>
  <si>
    <t>Empathy - New Deal</t>
  </si>
  <si>
    <t>Taylor Jurgens moved from Ushur to Empathy and rejoined the team he had worked with before.  loves the product but this one was customer love for the company!!!!  well done team</t>
  </si>
  <si>
    <t>Empathy</t>
  </si>
  <si>
    <t>empathy.com</t>
  </si>
  <si>
    <t>Softsellr - New Deal</t>
  </si>
  <si>
    <t>Softsellr</t>
  </si>
  <si>
    <t>softsellr.com</t>
  </si>
  <si>
    <t>Ez Health - New Deal</t>
  </si>
  <si>
    <t>Ez Health</t>
  </si>
  <si>
    <t>ez.health</t>
  </si>
  <si>
    <t>Shipsy - New Deal</t>
  </si>
  <si>
    <t>All credit goes to our Implementation and CS teams - who worked with Ankit previously. Another example of delivering great work and when our contact moved - we gained a new logo.</t>
  </si>
  <si>
    <t>Shipsy</t>
  </si>
  <si>
    <t>shipsy.io</t>
  </si>
  <si>
    <t>Kastle Systems - New Deal</t>
  </si>
  <si>
    <t>Kastle Systems</t>
  </si>
  <si>
    <t>kastle.com</t>
  </si>
  <si>
    <t>Emerson Rogers - New Deal</t>
  </si>
  <si>
    <t>Lost to "internal vendor"</t>
  </si>
  <si>
    <t>Emerson Rogers</t>
  </si>
  <si>
    <t>emersonrogers.com</t>
  </si>
  <si>
    <t>Dexian - New Deal</t>
  </si>
  <si>
    <t>Dexian</t>
  </si>
  <si>
    <t>dexian.com</t>
  </si>
  <si>
    <t>Billd - New Deal</t>
  </si>
  <si>
    <t xml:space="preserve">We did end up signing with Letter AI. 
The deciding factor for the team was Letter's ability to generate content, courses, and the seller's responded better to the AI coaching bot. </t>
  </si>
  <si>
    <t>Billd</t>
  </si>
  <si>
    <t>billd.com</t>
  </si>
  <si>
    <t>Deel - New Deal - Q4 2025</t>
  </si>
  <si>
    <t>Deel</t>
  </si>
  <si>
    <t>deel.com</t>
  </si>
  <si>
    <t>26</t>
  </si>
  <si>
    <t>Angel Aligner - New Deal</t>
  </si>
  <si>
    <t>Angel Aligner</t>
  </si>
  <si>
    <t>angelaligner.com</t>
  </si>
  <si>
    <t>CloudKitchens - Downsell 2025</t>
  </si>
  <si>
    <t>Reduced number of licenses, due to restructuring of their team. They are happy with GTM Buddy, they wanted to align the renewals to the same time of the year, so did a 6 months renewal.</t>
  </si>
  <si>
    <t>TCP Software - New Deal</t>
  </si>
  <si>
    <t>TCP Software</t>
  </si>
  <si>
    <t>tcpsoftware.com</t>
  </si>
  <si>
    <t>SimpliGov - New Deal</t>
  </si>
  <si>
    <t>Letter or Flockjay - "Outdated UI"</t>
  </si>
  <si>
    <t>SimpliGov</t>
  </si>
  <si>
    <t>simpligov.com</t>
  </si>
  <si>
    <t>Teamfront - New Deal</t>
  </si>
  <si>
    <t>Teamfront</t>
  </si>
  <si>
    <t>teamfront.com</t>
  </si>
  <si>
    <t>StrategyCorps - New Deal</t>
  </si>
  <si>
    <t>StrategyCorps</t>
  </si>
  <si>
    <t>strategycorps.com</t>
  </si>
  <si>
    <t>Meltwater Group - New Deal (Rip &amp; Replace)</t>
  </si>
  <si>
    <t>Meltwater</t>
  </si>
  <si>
    <t>meltwater.com</t>
  </si>
  <si>
    <t>Conga - New Deal</t>
  </si>
  <si>
    <t>Conga</t>
  </si>
  <si>
    <t>conga.com</t>
  </si>
  <si>
    <t>Imagination Station - New Deal</t>
  </si>
  <si>
    <t>Mommy's Imagination Station</t>
  </si>
  <si>
    <t>mommysimaginationstation.org</t>
  </si>
  <si>
    <t>Imparta - New Deal</t>
  </si>
  <si>
    <t>Imparta</t>
  </si>
  <si>
    <t>imparta.com</t>
  </si>
  <si>
    <t>Scale AI Inc - New Deal - Nov 2025</t>
  </si>
  <si>
    <t>A great team effort to win another Highspot replace deal!
Scale AI chose GTM Buddy for several reasons:
- AI-Driven Features and Automation: GTM Buddy's AI capabilities stood out, particularly in surfacing relevant content in workflow.
- Cost Efficiency: GTM Buddy offered similar or superior functionality to Highspot at approximately half the cost.
- Detailed Analytics: Scale appreciated the detailed analytics provided by GTM Buddy (track shares, opens, forwards, and time spent on content). This visibility into engagement and content performance was a significant differentiator.
- Ease of Administration: The Scale enablement team were fed-up of Highspot cumbersome admin tools. GTM Buddy features like auto-tagging and AI Learning Course creation resonated well
Shout out to:
- Ron for his leadership and putting up with all my questions on my first deal
- Sahitha and Satavisha for own-data demo build
- Ugesh and Santa for nailing the infosec requests</t>
  </si>
  <si>
    <t>Scale</t>
  </si>
  <si>
    <t>scale.com</t>
  </si>
  <si>
    <t>WebCastle - New Deal</t>
  </si>
  <si>
    <t>WebCastle</t>
  </si>
  <si>
    <t>webcastle.in</t>
  </si>
  <si>
    <t>Metropolitan Partners Group - New Deal</t>
  </si>
  <si>
    <t>Metropolitan Partners Group</t>
  </si>
  <si>
    <t>metpg.com</t>
  </si>
  <si>
    <t>Credo Health - New Deal</t>
  </si>
  <si>
    <t>Credo Health</t>
  </si>
  <si>
    <t>credohealth.com</t>
  </si>
  <si>
    <t>AAAMT Verticals Private Limited - New Deal</t>
  </si>
  <si>
    <t>AAAMT Verticals Private Limited</t>
  </si>
  <si>
    <t>aaamt.in</t>
  </si>
  <si>
    <t>O'Reilly - New Deal</t>
  </si>
  <si>
    <t>O'Reilly</t>
  </si>
  <si>
    <t>oreilly.com</t>
  </si>
  <si>
    <t>Filevine - Downsell 2025</t>
  </si>
  <si>
    <t>Enablement team felt that GTM Buddy is not worth spending more than what they are spending, and if the spend increases they are looking at other platform to switch instead of GTM Buddy</t>
  </si>
  <si>
    <t>Filevine</t>
  </si>
  <si>
    <t>filevine.com</t>
  </si>
  <si>
    <t>2026-11-01</t>
  </si>
  <si>
    <t>Temporal Technologies - New Deal</t>
  </si>
  <si>
    <t>Customer Referral</t>
  </si>
  <si>
    <t>Temporal Technologies</t>
  </si>
  <si>
    <t>temporal.io</t>
  </si>
  <si>
    <t>Accelevents - New Deal</t>
  </si>
  <si>
    <t>Pain Deprioritized; Lost Access to Power; Timeline Slipped</t>
  </si>
  <si>
    <t>Accelevents</t>
  </si>
  <si>
    <t>accelevents.com</t>
  </si>
  <si>
    <t>Paddle - New Deal</t>
  </si>
  <si>
    <t>said not moving forward with us, no clue if they bought anything</t>
  </si>
  <si>
    <t>Paddle</t>
  </si>
  <si>
    <t>paddle.com</t>
  </si>
  <si>
    <t>Gatekeeper Systems - New Deal</t>
  </si>
  <si>
    <t>Gatekeeper</t>
  </si>
  <si>
    <t>gatekeeperhq.com</t>
  </si>
  <si>
    <t>ISI - New Deal</t>
  </si>
  <si>
    <t>ISI Security</t>
  </si>
  <si>
    <t>isidefense.com</t>
  </si>
  <si>
    <t>Amazon - New Deal</t>
  </si>
  <si>
    <t>Amazon Web Services</t>
  </si>
  <si>
    <t>amazon.com</t>
  </si>
  <si>
    <t>Clear - New Deal 2</t>
  </si>
  <si>
    <t>built own tool internally.  similar to what everlaw did</t>
  </si>
  <si>
    <t>Clear</t>
  </si>
  <si>
    <t>clear.in</t>
  </si>
  <si>
    <t>OfficeSpace Software - New Deal - 2025/6</t>
  </si>
  <si>
    <t>Lost to Letter AI</t>
  </si>
  <si>
    <t>OfficeSpace Software</t>
  </si>
  <si>
    <t>officespacesoftware.com</t>
  </si>
  <si>
    <t>Justworks - New Deal 2</t>
  </si>
  <si>
    <t>Justworks</t>
  </si>
  <si>
    <t>justworks.com</t>
  </si>
  <si>
    <t>Prosperr.io - New Deal</t>
  </si>
  <si>
    <t>Prosperr</t>
  </si>
  <si>
    <t>prosperr.io</t>
  </si>
  <si>
    <t>Truecaller - New Deal</t>
  </si>
  <si>
    <t>Truecaller</t>
  </si>
  <si>
    <t>truecaller.com</t>
  </si>
  <si>
    <t>Candid - New Deal</t>
  </si>
  <si>
    <t>Candid</t>
  </si>
  <si>
    <t>candidpro.com</t>
  </si>
  <si>
    <t>Snipp - New Deal</t>
  </si>
  <si>
    <t>Aligned well with Snipp CRO, Chris Cubba, who championed GTM Buddy to the rest of the org. Small deal initially but an org that is doubling in size next year</t>
  </si>
  <si>
    <t>Snipp Interactive</t>
  </si>
  <si>
    <t>snipp.com</t>
  </si>
  <si>
    <t>2026-11-30</t>
  </si>
  <si>
    <t>Canter - New Deal</t>
  </si>
  <si>
    <t>An interesting one - a small design firm of about 20 people with revenue is $20m+!
Canter are a design firm primarily for universities.
A consultant who is supporting Canter came to us to help them with Content Management as their primary use case.
This will be a fun one for our own UX/UI folks who will be getting feedback from the Canter design team on homepage layouts etc.
As always thanks to all involved! Happy New Year!</t>
  </si>
  <si>
    <t>Canter and Associates</t>
  </si>
  <si>
    <t>ccanter.com</t>
  </si>
  <si>
    <t>20%</t>
  </si>
  <si>
    <t>Collective Health - New Deal</t>
  </si>
  <si>
    <t>Collective Health</t>
  </si>
  <si>
    <t>collectivehealth.com</t>
  </si>
  <si>
    <t>Indiana University - New Deal</t>
  </si>
  <si>
    <t>Indiana University</t>
  </si>
  <si>
    <t>iu.edu</t>
  </si>
  <si>
    <t>University of South Dakota - New Deal</t>
  </si>
  <si>
    <t>Timeline Slipped; Budget Reallocated; Pain Deprioritized</t>
  </si>
  <si>
    <t>University of South Dakota</t>
  </si>
  <si>
    <t>usd.edu</t>
  </si>
  <si>
    <t>FloQast Inc - New Deal</t>
  </si>
  <si>
    <t>Bought Highspot in April on Multi-Year contract - Marketing Nurture</t>
  </si>
  <si>
    <t>FloQast</t>
  </si>
  <si>
    <t>floqast.com</t>
  </si>
  <si>
    <t>MAPAL Group - New Deal</t>
  </si>
  <si>
    <t>Mapal Group</t>
  </si>
  <si>
    <t>mapal-os.com</t>
  </si>
  <si>
    <t>SysAid Technologies Ltd. - New Deal</t>
  </si>
  <si>
    <t>SysAid</t>
  </si>
  <si>
    <t>sysaid.com</t>
  </si>
  <si>
    <t>Sprinto - New Deal</t>
  </si>
  <si>
    <t>Sprinto</t>
  </si>
  <si>
    <t>sprinto.com</t>
  </si>
  <si>
    <t>MoEngage - Upsell</t>
  </si>
  <si>
    <t>MoEngage</t>
  </si>
  <si>
    <t>moengage.com</t>
  </si>
  <si>
    <t>2027-08-31</t>
  </si>
  <si>
    <t>Geotab - New Deal</t>
  </si>
  <si>
    <t>Geotab</t>
  </si>
  <si>
    <t>geotab.com</t>
  </si>
  <si>
    <t>12</t>
  </si>
  <si>
    <t>HubSpot - New Deal</t>
  </si>
  <si>
    <t>HubSpot</t>
  </si>
  <si>
    <t>hubspot.com</t>
  </si>
  <si>
    <t>Boston Consulting Group - New Deal</t>
  </si>
  <si>
    <t>Boston Consulting Group</t>
  </si>
  <si>
    <t>bcg.com</t>
  </si>
  <si>
    <t>Veragov - New Deal</t>
  </si>
  <si>
    <t>Veragov</t>
  </si>
  <si>
    <t>veragov.com</t>
  </si>
  <si>
    <t>Elantis - New Deal</t>
  </si>
  <si>
    <t>Elantis</t>
  </si>
  <si>
    <t>elantis.com</t>
  </si>
  <si>
    <t>ActiveProspect - New Deal</t>
  </si>
  <si>
    <t>ActiveProspect</t>
  </si>
  <si>
    <t>activeprospect.com</t>
  </si>
  <si>
    <t>Beta Education - New Deal</t>
  </si>
  <si>
    <t>Beta Education</t>
  </si>
  <si>
    <t>betaeducation.org</t>
  </si>
  <si>
    <t>TASC Outsourcing - New Deal</t>
  </si>
  <si>
    <t>TASC Outsourcing</t>
  </si>
  <si>
    <t>tascoutsourcing.com</t>
  </si>
  <si>
    <t>Objective Corporation - New Deal</t>
  </si>
  <si>
    <t>Objective Corporation</t>
  </si>
  <si>
    <t>objective.com</t>
  </si>
  <si>
    <t>Zenskar - New Deal 2025 - 2</t>
  </si>
  <si>
    <t>Zenskar</t>
  </si>
  <si>
    <t>zenskar.com</t>
  </si>
  <si>
    <t>Bidease - New Deal</t>
  </si>
  <si>
    <t>Bidease</t>
  </si>
  <si>
    <t>bidease.com</t>
  </si>
  <si>
    <t>Sigma Computing - New Deal</t>
  </si>
  <si>
    <t>Went with another solution - sent follow up to ask who</t>
  </si>
  <si>
    <t>Sigma</t>
  </si>
  <si>
    <t>sigmacomputing.com</t>
  </si>
  <si>
    <t>Microserve - New Deal</t>
  </si>
  <si>
    <t>Microserve</t>
  </si>
  <si>
    <t>microserve.ca</t>
  </si>
  <si>
    <t>Freyr Solutions - New Deal</t>
  </si>
  <si>
    <t>Freyr Solutions</t>
  </si>
  <si>
    <t>freyrsolutions.com</t>
  </si>
  <si>
    <t>Cashfree Payments - New Deal</t>
  </si>
  <si>
    <t>Cashfree Payments</t>
  </si>
  <si>
    <t>cashfree.com</t>
  </si>
  <si>
    <t>Kandji - Upsell</t>
  </si>
  <si>
    <t>Kandji</t>
  </si>
  <si>
    <t>kandji.io</t>
  </si>
  <si>
    <t>2027-08-06</t>
  </si>
  <si>
    <t>CredoAI - New Deal</t>
  </si>
  <si>
    <t>Another Andrew referral. Credo are a fast growing start up focused on AI Governance. Due to Andrew's referral and endorsement at the C-level, this deal moved very quickly. Thanks to Ron for supporting the conversation and aligning with the Credo CMO.</t>
  </si>
  <si>
    <t>CredoAI</t>
  </si>
  <si>
    <t>credo.ai</t>
  </si>
  <si>
    <t>2026-08-17</t>
  </si>
  <si>
    <t>40%</t>
  </si>
  <si>
    <t>Curriculum Associates - New Deal</t>
  </si>
  <si>
    <t>Note from Alexis: "We've decided to move in a different direction at this point in time. As we evaluated our internal priorities, we’ve chosen to focus on a platform that more broadly supports our revenue enablement goals. That said, we were genuinely impressed by your offering and your team's professionalism throughout. We’ll definitely keep you in mind for future opportunities as our needs evolve."</t>
  </si>
  <si>
    <t>Curriculum Associates</t>
  </si>
  <si>
    <t>curriculumassociates.com</t>
  </si>
  <si>
    <t>Elemental Revenue - New Deal</t>
  </si>
  <si>
    <t>Elemental Revenue</t>
  </si>
  <si>
    <t>elementalrevenue.com</t>
  </si>
  <si>
    <t>Gupshup - Downsell</t>
  </si>
  <si>
    <t>Gupshup</t>
  </si>
  <si>
    <t>gupshup.io</t>
  </si>
  <si>
    <t>2027-08-04</t>
  </si>
  <si>
    <t>Ravenna - New Deal</t>
  </si>
  <si>
    <t>Ravenna</t>
  </si>
  <si>
    <t>ravennahq.com</t>
  </si>
  <si>
    <t>Leegality - Upsell</t>
  </si>
  <si>
    <t>Leegality</t>
  </si>
  <si>
    <t>leegality.com</t>
  </si>
  <si>
    <t>2026-07-31</t>
  </si>
  <si>
    <t>Aurigo Software Technologies - New Deal</t>
  </si>
  <si>
    <t>Aurigo Software Technologies</t>
  </si>
  <si>
    <t>aurigo.com</t>
  </si>
  <si>
    <t>TAEC - New Deal</t>
  </si>
  <si>
    <t>TAEC</t>
  </si>
  <si>
    <t>taec.com.mx</t>
  </si>
  <si>
    <t>Vectra - AI Role Play upsell</t>
  </si>
  <si>
    <t>Huge team effort across Product and Customer Success to incorporate Vectra’s feedback and deliver the enhancements they were looking for.
Derek and team are fired up about where our AI Role Play capability is heading, and this expansion is a strong signal of their intent to double down on the partnership with GTM Buddy.
Great momentum here — amazing work, everyone! 💪🚀</t>
  </si>
  <si>
    <t>Vectra AI</t>
  </si>
  <si>
    <t>vectra.ai</t>
  </si>
  <si>
    <t>2026-04-30</t>
  </si>
  <si>
    <t xml:space="preserve">Notes: 3/18/26 - renewal draft OF sent, POC is reviewing it.
Positive sentiment - happy with CMS + DSR. Recently did a AI roleplay upsell. </t>
  </si>
  <si>
    <t>Hack The Box - New Deal</t>
  </si>
  <si>
    <t>either staying with highspot if they can get AI right or going with letter.ai.  just like the ui/workflow better and think it will be more easily adopted by our teams</t>
  </si>
  <si>
    <t>Hack The Box</t>
  </si>
  <si>
    <t>hackthebox.com</t>
  </si>
  <si>
    <t>Blumira - New Deal</t>
  </si>
  <si>
    <t>Blumira is another infosec logo to add to our customer list. Currently (before GTM Buddy) they don't have anything in place for sales enablement. With some recent rev-ops and rev-engineer hires they are ready to invest in sales enablement. They loved the full platform capabilities!</t>
  </si>
  <si>
    <t>Blumira</t>
  </si>
  <si>
    <t>blumira.com</t>
  </si>
  <si>
    <t>Dassault Systemes - New Deal</t>
  </si>
  <si>
    <t>Dassault Systemes Solutions Lab</t>
  </si>
  <si>
    <t>3ds.com</t>
  </si>
  <si>
    <t>GTM Revenue - New Deal</t>
  </si>
  <si>
    <t>GTM Revenue</t>
  </si>
  <si>
    <t>gtmrevenue.com</t>
  </si>
  <si>
    <t>Invitation Homes - New Deal</t>
  </si>
  <si>
    <t>Invitation Homes</t>
  </si>
  <si>
    <t>invitationhomes.com</t>
  </si>
  <si>
    <t>JamLoop - New Deal</t>
  </si>
  <si>
    <t xml:space="preserve">Competitive against Letter AI. Went with us as we are more robust as a solution. </t>
  </si>
  <si>
    <t>JamLoop</t>
  </si>
  <si>
    <t>jamloop.com</t>
  </si>
  <si>
    <t>2026-10-12</t>
  </si>
  <si>
    <t>AMAROK Security - New Deal</t>
  </si>
  <si>
    <t>AMAROK Security</t>
  </si>
  <si>
    <t>amarok.com</t>
  </si>
  <si>
    <t>Comviva Technologies Limited - New Deal</t>
  </si>
  <si>
    <t>Comviva</t>
  </si>
  <si>
    <t>comviva.com</t>
  </si>
  <si>
    <t>Yotpo - Upsell</t>
  </si>
  <si>
    <t>YOTPO</t>
  </si>
  <si>
    <t>yotpo.com</t>
  </si>
  <si>
    <t>2026-07-15</t>
  </si>
  <si>
    <t>ThreatConnect - New Deal</t>
  </si>
  <si>
    <t>ThreatConnect</t>
  </si>
  <si>
    <t>threatconnect.com</t>
  </si>
  <si>
    <t>iHeartMedia - New Deal</t>
  </si>
  <si>
    <t>iHeartMedia</t>
  </si>
  <si>
    <t>iheartmedia.com</t>
  </si>
  <si>
    <t>Arine - New Deal</t>
  </si>
  <si>
    <t>Arine</t>
  </si>
  <si>
    <t>arine.io</t>
  </si>
  <si>
    <t>ThoughtSpot - New Deal</t>
  </si>
  <si>
    <t>We closed a strategic GTM enablement deal with ThoughtSpot after a challenging, politically complex sales cycle.
ThoughtSpot’s team was using FlockJay, but sales hated it and adoption was minimal. While the EMEA team strongly pushed for Trumpet specifically for DSRs, we ultimately won the deal at the GTM level, despite that regional preference.
A major turning point was repositioning the evaluation from a point solution into a broader enablement investment, expanding the scope to LMS, Rep Success, CMS, and long-term GTM readiness. We built strong enablement champions who validated the need for a unified platform and influenced executive alignment.
Huge credit to our product team for moving at incredible speed, rebuilding Trumpet-level DSR capabilities in days and shipping multiple new AI features in LMS, which materially shifted confidence in the platform.
This win demonstrates the power of reframing, fast execution, product velocity and aligning to GTM outcomes over regional preferences. 🚀</t>
  </si>
  <si>
    <t>ThoughtSpot</t>
  </si>
  <si>
    <t>thoughtspot.com</t>
  </si>
  <si>
    <t>2026-12-30</t>
  </si>
  <si>
    <t>simple2insure - New Deal</t>
  </si>
  <si>
    <t>Simple2Insure.net</t>
  </si>
  <si>
    <t>simple2insure.net</t>
  </si>
  <si>
    <t>Forsys - New Deal</t>
  </si>
  <si>
    <t>Forsys</t>
  </si>
  <si>
    <t>forsysinc.com</t>
  </si>
  <si>
    <t>Scaling Up Revenues - New Deal</t>
  </si>
  <si>
    <t>Scaling Up Revenues</t>
  </si>
  <si>
    <t>scalinguprevenues.com</t>
  </si>
  <si>
    <t>Aloware - New Deal</t>
  </si>
  <si>
    <t>Aloware</t>
  </si>
  <si>
    <t>aloware.com</t>
  </si>
  <si>
    <t>Covasant - New Deal</t>
  </si>
  <si>
    <t>Covasant</t>
  </si>
  <si>
    <t>covasant.com</t>
  </si>
  <si>
    <t>Anunta - New Deal</t>
  </si>
  <si>
    <t>Sales team chose another platform</t>
  </si>
  <si>
    <t>Anunta</t>
  </si>
  <si>
    <t>anuntatech.com</t>
  </si>
  <si>
    <t>Alida - New Deal</t>
  </si>
  <si>
    <t>Alida came to market looking for a modern enablement platform to drive real adoption across their GTM organization.
They evaluated established players like Highspot and Seismic, but ultimately chose GTM Buddy due to its superior rep experience and clear path to day-one adoption.
A critical factor in the win was strong executive buy-in from the CRO, who aligned early on the need for an enablement solution that sellers would actually use, not just one that looked good on paper.
Importantly, Alida is rolling out GTM Buddy across multiple GTM teams from day one, not just sales, reinforcing the platform’s value as a company-wide enablement investment rather than a single-team tool.
This win underscores GTM Buddy’s differentiation around adoption, exec alignment, and impact across the full GTM motion</t>
  </si>
  <si>
    <t>Alida</t>
  </si>
  <si>
    <t>alida.com</t>
  </si>
  <si>
    <t>Hyro - New Deal</t>
  </si>
  <si>
    <t>Hyro</t>
  </si>
  <si>
    <t>hyro.ai</t>
  </si>
  <si>
    <t>Sprinklr - New Deal</t>
  </si>
  <si>
    <t>Sprinklr</t>
  </si>
  <si>
    <t>sprinklr.com</t>
  </si>
  <si>
    <t>AppsFlyer - New Deal</t>
  </si>
  <si>
    <t>Did not share who they went with but that they are progressing conversation with anopther vendor</t>
  </si>
  <si>
    <t>AppsFlyer</t>
  </si>
  <si>
    <t>appsflyer.com</t>
  </si>
  <si>
    <t>ZenCentiv - New Deal</t>
  </si>
  <si>
    <t>One call close! Tom is the CEO/Founder of ZenCentiv and was talking to HighSpot about using their platform for DSR's and CMS. Highspot quoted $50k. Tom only has a handfull of sellers today so GTM Buddy was recommended as a more entry level alternative. During the call Tom said 'Man, I thought HighSpot were the only ones that did this, but you guys are way ahead of where they are with this functionality'. Thank you to HighSpot for the free business and for creating a GTM Buddy champion :)</t>
  </si>
  <si>
    <t>ZenCentiv</t>
  </si>
  <si>
    <t>zencentiv.com</t>
  </si>
  <si>
    <t>2026-06-29</t>
  </si>
  <si>
    <t>No contact with CSM. Non responsive on Slack or otherwise. Wanted to launch DSRs initially then went silent</t>
  </si>
  <si>
    <t>Agora RE - New Deal</t>
  </si>
  <si>
    <t>Agora</t>
  </si>
  <si>
    <t>agorareal.com</t>
  </si>
  <si>
    <t>Darwinbox - Upsell - 2025</t>
  </si>
  <si>
    <t>Darwinbox</t>
  </si>
  <si>
    <t>darwinbox.com</t>
  </si>
  <si>
    <t>2026-03-16</t>
  </si>
  <si>
    <t>Nurix - New Deal</t>
  </si>
  <si>
    <t>Nurix</t>
  </si>
  <si>
    <t>nurix.ai</t>
  </si>
  <si>
    <t>Celigo - New Deal</t>
  </si>
  <si>
    <t>Celigo</t>
  </si>
  <si>
    <t>celigo.com</t>
  </si>
  <si>
    <t>Vena Solutions - New Deal</t>
  </si>
  <si>
    <t>Vena Solutions</t>
  </si>
  <si>
    <t>venasolutions.com</t>
  </si>
  <si>
    <t>Exotel - Upsell</t>
  </si>
  <si>
    <t>Uniqode - New Deal</t>
  </si>
  <si>
    <t>Uniqode</t>
  </si>
  <si>
    <t>uniqode.com</t>
  </si>
  <si>
    <t>Grab - New Deal</t>
  </si>
  <si>
    <t>Grab</t>
  </si>
  <si>
    <t>grab.com</t>
  </si>
  <si>
    <t>vendoroo.ai - New Deal</t>
  </si>
  <si>
    <t>Shayna is the new Head of Sales at Vendoroo and is tasked with building a sales team from scratch. She is currently running in person (manual) enablement sessions that are not effective and resulting in high churn of employees in the first few weeks. GTM Buddy's content backed, AI driven LMS makes Shayna a scalable resource</t>
  </si>
  <si>
    <t>Vendoroo</t>
  </si>
  <si>
    <t>vendoroo.ai</t>
  </si>
  <si>
    <t>30%</t>
  </si>
  <si>
    <t>Red Nucleus - New Deal</t>
  </si>
  <si>
    <t>Red Nucleus</t>
  </si>
  <si>
    <t>rednucleus.com</t>
  </si>
  <si>
    <t>qbiq - New Deal</t>
  </si>
  <si>
    <t>qbiq</t>
  </si>
  <si>
    <t>qbiq.ai</t>
  </si>
  <si>
    <t>Greytip - 2025 POC Upsell</t>
  </si>
  <si>
    <t>greytHR</t>
  </si>
  <si>
    <t>greythr.com</t>
  </si>
  <si>
    <t>2026-06-03</t>
  </si>
  <si>
    <t>Jasper - New Deal</t>
  </si>
  <si>
    <t>Jasper</t>
  </si>
  <si>
    <t>jasper.ai</t>
  </si>
  <si>
    <t>Perfios - New Deal</t>
  </si>
  <si>
    <t>Perfios</t>
  </si>
  <si>
    <t>perfios.com</t>
  </si>
  <si>
    <t>Embrace - The Human Cloud - New Deal</t>
  </si>
  <si>
    <t>Tushar</t>
  </si>
  <si>
    <t>Embrace - The Human Cloud</t>
  </si>
  <si>
    <t>embracecloud.nl</t>
  </si>
  <si>
    <t>Keelvar Systems - 2025 10 seat upsell</t>
  </si>
  <si>
    <t>upsell</t>
  </si>
  <si>
    <t>Onebeat - New Deal</t>
  </si>
  <si>
    <t>Onebeat</t>
  </si>
  <si>
    <t>1beat.com</t>
  </si>
  <si>
    <t>Telenity - New Deal</t>
  </si>
  <si>
    <t>Telenity</t>
  </si>
  <si>
    <t>telenity.com</t>
  </si>
  <si>
    <t>Bar-Oz Insurance Center - New Deal</t>
  </si>
  <si>
    <t>Bar-Oz Insurance Center</t>
  </si>
  <si>
    <t>baroz.co.il</t>
  </si>
  <si>
    <t>Utility Concierge - New Deal</t>
  </si>
  <si>
    <t>Utility Concierge</t>
  </si>
  <si>
    <t>moveconcierge.com</t>
  </si>
  <si>
    <t>Clear - New Deal</t>
  </si>
  <si>
    <t>Ashby - New Deal</t>
  </si>
  <si>
    <t>Lost due to pricing as they were looking at LMS only as priority</t>
  </si>
  <si>
    <t>Ashby</t>
  </si>
  <si>
    <t>ashbyhq.com</t>
  </si>
  <si>
    <t>BlueConic - New Deal</t>
  </si>
  <si>
    <t>BlueConic</t>
  </si>
  <si>
    <t>blueconic.com</t>
  </si>
  <si>
    <t>Bonterra - New Deal 2025</t>
  </si>
  <si>
    <t>Bonterra</t>
  </si>
  <si>
    <t>bonterratech.com</t>
  </si>
  <si>
    <t>HCAH India - New Deal</t>
  </si>
  <si>
    <t>Vendor TBC</t>
  </si>
  <si>
    <t>HCAH India</t>
  </si>
  <si>
    <t>hcah.in</t>
  </si>
  <si>
    <t>WNSTN - New Deal</t>
  </si>
  <si>
    <t>WNSTN</t>
  </si>
  <si>
    <t>wnstn.ai</t>
  </si>
  <si>
    <t>Neokred - New Deal</t>
  </si>
  <si>
    <t>Neokred</t>
  </si>
  <si>
    <t>neokred.tech</t>
  </si>
  <si>
    <t>Origin Benefits - New Deal</t>
  </si>
  <si>
    <t>Origin Benefits</t>
  </si>
  <si>
    <t>originbenefits.com</t>
  </si>
  <si>
    <t>Greenlight Guru - New Deal</t>
  </si>
  <si>
    <t>Greenlight Guru</t>
  </si>
  <si>
    <t>greenlight.guru</t>
  </si>
  <si>
    <t>Spry Movement App - New Deal</t>
  </si>
  <si>
    <t>SPRY</t>
  </si>
  <si>
    <t>sprypt.com</t>
  </si>
  <si>
    <t>Grocliq - New Deal</t>
  </si>
  <si>
    <t>Grocliq</t>
  </si>
  <si>
    <t>grocliq.com</t>
  </si>
  <si>
    <t>Cyberhaven - New Deal</t>
  </si>
  <si>
    <t>Cyberhaven</t>
  </si>
  <si>
    <t>cyberhaven.com</t>
  </si>
  <si>
    <t>Venture Executive Partners - New Deal</t>
  </si>
  <si>
    <t>Venture Executive Partners</t>
  </si>
  <si>
    <t>ventureep.co</t>
  </si>
  <si>
    <t>GreyTip - New</t>
  </si>
  <si>
    <t>Signed with us for 10 users</t>
  </si>
  <si>
    <t>Konekto.io - New Deal</t>
  </si>
  <si>
    <t>Konekto.io</t>
  </si>
  <si>
    <t>konekto.io</t>
  </si>
  <si>
    <t>LinkedIn - New Deal</t>
  </si>
  <si>
    <t>Lost to Seismic as an extension of their existing Microsoft contract. GTM Buddy was ranked higher by their enablement team</t>
  </si>
  <si>
    <t>LinkedIn</t>
  </si>
  <si>
    <t>linkedin.com</t>
  </si>
  <si>
    <t>K1x - New Deal</t>
  </si>
  <si>
    <t>K1x</t>
  </si>
  <si>
    <t>k1x.io</t>
  </si>
  <si>
    <t>LeanData - Upsell</t>
  </si>
  <si>
    <t>LeanData</t>
  </si>
  <si>
    <t>leandata.com</t>
  </si>
  <si>
    <t>Notes: 3/18/26 - CX is using our MCP, positive sentiment. renewal will be discussed in the upcoming sync.
Caleb has been non responsive since Jan. Possibly due to internal priorities. Recent in-person meeting indicated positive sentiments. Follow up is on to re-engage.</t>
  </si>
  <si>
    <t>Sonar - New Deal</t>
  </si>
  <si>
    <t>Sonar</t>
  </si>
  <si>
    <t>sonarsource.com</t>
  </si>
  <si>
    <t>PropertyAngel - New Deal</t>
  </si>
  <si>
    <t>PropertyAngel</t>
  </si>
  <si>
    <t>propertyangel.in</t>
  </si>
  <si>
    <t>Remote - New Deal</t>
  </si>
  <si>
    <t>Remote</t>
  </si>
  <si>
    <t>remote.com</t>
  </si>
  <si>
    <t>Engine - New Deal</t>
  </si>
  <si>
    <t>Persistence is key! Engine started evaluating a replacement for WorkRamp in April of this year. They were put on pause whilst their HR team bought a company wide LMS to see if it met the Enablement teams needs. We maintained a close relationship with key stakeholders whilst the evaluation was paused which paid dividends in the end. They decided on HiBob and found it lacking functionality that drew them to GTM Buddy like Rep Success, CMS and AI Role Play. Engine have agreed to be a public case study for us and will feature on our wall of love once they are up and running. Great team win!!</t>
  </si>
  <si>
    <t>Solink - New Deal</t>
  </si>
  <si>
    <t>Solink</t>
  </si>
  <si>
    <t>solink.com</t>
  </si>
  <si>
    <t>DemandScience - New Deal - 2025</t>
  </si>
  <si>
    <t>highspot replace, again!  we worked on this for 18 months.  nurture became important here as we had to wait out the existing enablement person leaving!</t>
  </si>
  <si>
    <t>DemandScience</t>
  </si>
  <si>
    <t>demandscience.com</t>
  </si>
  <si>
    <t>2027-05-29</t>
  </si>
  <si>
    <t>Aledade Inc - New Deal</t>
  </si>
  <si>
    <t>Aledade, Inc.</t>
  </si>
  <si>
    <t>aledade.com</t>
  </si>
  <si>
    <t>AuditBoard - New Deal</t>
  </si>
  <si>
    <t>Cybersecurity | Q1 2025</t>
  </si>
  <si>
    <t>AuditBoard</t>
  </si>
  <si>
    <t>auditboard.com</t>
  </si>
  <si>
    <t>11</t>
  </si>
  <si>
    <t>Zenskar - New Deal</t>
  </si>
  <si>
    <t>AV Concepts - New Deal</t>
  </si>
  <si>
    <t>AV Concepts</t>
  </si>
  <si>
    <t>avconcepts.com</t>
  </si>
  <si>
    <t>Rategain - Upsell</t>
  </si>
  <si>
    <t>Teamfront - New Deal - OLD</t>
  </si>
  <si>
    <t>Crossbeam - New Deal</t>
  </si>
  <si>
    <t>Crossbeam</t>
  </si>
  <si>
    <t>crossbeam.com</t>
  </si>
  <si>
    <t>Flashpoint New Deal 2</t>
  </si>
  <si>
    <t>picked saleshood.  thought DSR was better.  our dsr was not sending emails to her. she was not in it enough to see messages.  LMS was better (feature around slides matching video).  They discounted heavily</t>
  </si>
  <si>
    <t>Flashpoint</t>
  </si>
  <si>
    <t>flashpoint.io</t>
  </si>
  <si>
    <t>Sprinklr - New Deal - 2025</t>
  </si>
  <si>
    <t>Finbox - CMS/LMS 2025</t>
  </si>
  <si>
    <t>Finbox</t>
  </si>
  <si>
    <t>finbox.in</t>
  </si>
  <si>
    <t>Scrive - 2025</t>
  </si>
  <si>
    <t>Scrive</t>
  </si>
  <si>
    <t>scrive.com</t>
  </si>
  <si>
    <t>Guesty - New Deal</t>
  </si>
  <si>
    <t>We were a late comparison to Highspot, likely a requirement from procurement to prove due dilligence. After one 30 min discussion they cancelled our next call and emailed to confirm they moved forward with HighSpot</t>
  </si>
  <si>
    <t>Guesty</t>
  </si>
  <si>
    <t>guesty.com</t>
  </si>
  <si>
    <t>Health Monitor Network - New Deal</t>
  </si>
  <si>
    <t>Health Monitor Network</t>
  </si>
  <si>
    <t>healthmonitor.com</t>
  </si>
  <si>
    <t>Reltio - New Deal</t>
  </si>
  <si>
    <t>Another HighSpot replace. Jill Noyes and Katie Francis are big champions of GTM Buddy and a big reason we got this one over the line. Thanks again to Ron and Sundar for the support on this one. Selling is a team sport and I love selling with this team!</t>
  </si>
  <si>
    <t>Reltio</t>
  </si>
  <si>
    <t>reltio.com</t>
  </si>
  <si>
    <t>2026-10-24</t>
  </si>
  <si>
    <t>TransferRoom - New Deal</t>
  </si>
  <si>
    <t>TransferRoom</t>
  </si>
  <si>
    <t>transferroom.com</t>
  </si>
  <si>
    <t>Craftable - New Deal</t>
  </si>
  <si>
    <t>Craftable</t>
  </si>
  <si>
    <t>craftable.com</t>
  </si>
  <si>
    <t>Doppel - New Deal</t>
  </si>
  <si>
    <t xml:space="preserve">Another great Cyber Security win thanks to a very strong referral from Andrew Monaghan at Unstoppable. A big shout out to Ron for his leadership and support on this one (and all deals). </t>
  </si>
  <si>
    <t>Doppel</t>
  </si>
  <si>
    <t>doppel.com</t>
  </si>
  <si>
    <t>2026-06-05</t>
  </si>
  <si>
    <t>MDVIP - New Deal</t>
  </si>
  <si>
    <t>Role Play.  not a software company..new vertical!</t>
  </si>
  <si>
    <t>MDVIP</t>
  </si>
  <si>
    <t>mdvip.com</t>
  </si>
  <si>
    <t>2026-09-30</t>
  </si>
  <si>
    <t>Provisio Partners - New Deal</t>
  </si>
  <si>
    <t>Downsell Reason due to Adoption and Value realization</t>
  </si>
  <si>
    <t>Provisio Partners</t>
  </si>
  <si>
    <t>provisiopartners.com</t>
  </si>
  <si>
    <t>2026-02-28</t>
  </si>
  <si>
    <t xml:space="preserve">Going to be a Churn
Unable to get adoption since the team size is small and the usecases are minimal. 
They are an LMS platform themselves.
Tried selling RFP with them, but their team did not buy into it... </t>
  </si>
  <si>
    <t>LambdaTest - New Deal</t>
  </si>
  <si>
    <t>LambdaTest were looking for an enablement platform to level up their existing content store (google drive) and learning tool (wayground). 
LT explored several point solutions including Yoodli for AI role play. In the end having a PLATFORM for CMS, LMS, AI Role Play, DSRs was key. 
A big shout out and thank you to Sahitha, Satavisha, and Vipul for the hard work during the demanding trial/poc! Now the real fun begins ;)
As always - couldn't have done it without the exec alignment from Sreedhar and Ron.</t>
  </si>
  <si>
    <t>LambdaTest</t>
  </si>
  <si>
    <t>lambdatest.com</t>
  </si>
  <si>
    <t>2027-12-14</t>
  </si>
  <si>
    <t>Dell - New Deal</t>
  </si>
  <si>
    <t>Dell</t>
  </si>
  <si>
    <t>dell.com</t>
  </si>
  <si>
    <t>Sayari Upsell - 2025</t>
  </si>
  <si>
    <t>Seats expansion</t>
  </si>
  <si>
    <t>Sayari</t>
  </si>
  <si>
    <t>sayari.com</t>
  </si>
  <si>
    <t>Crigloo - New Deal</t>
  </si>
  <si>
    <t>Crigloo</t>
  </si>
  <si>
    <t>crigloo.com</t>
  </si>
  <si>
    <t>Riskonnect Inc - New Deal</t>
  </si>
  <si>
    <t>Riskonnect, Inc.</t>
  </si>
  <si>
    <t>riskonnect.com</t>
  </si>
  <si>
    <t>NurseRegistry - New Deal</t>
  </si>
  <si>
    <t>NurseRegistry</t>
  </si>
  <si>
    <t>nurseregistry.com</t>
  </si>
  <si>
    <t>Aptus.AI - New Deal</t>
  </si>
  <si>
    <t>Aptus.AI</t>
  </si>
  <si>
    <t>aptus.ai</t>
  </si>
  <si>
    <t>ComplianceQuest - New Deal</t>
  </si>
  <si>
    <t>Rip and Replace $100</t>
  </si>
  <si>
    <t>ComplianceQuest</t>
  </si>
  <si>
    <t>compliancequest.com</t>
  </si>
  <si>
    <t>Vantage Upsell - Additional seats</t>
  </si>
  <si>
    <t>additional seats on renewal</t>
  </si>
  <si>
    <t>Vantage Circle</t>
  </si>
  <si>
    <t>vantagecircle.com</t>
  </si>
  <si>
    <t>2026-03-04</t>
  </si>
  <si>
    <t>Benifex - New Deal</t>
  </si>
  <si>
    <t xml:space="preserve">loved the completeness of the product.  meeting prep, role play...rob has purchased a lot of tools and his comment about GTM Buddy was "this is great software".  </t>
  </si>
  <si>
    <t>Benifex</t>
  </si>
  <si>
    <t>benifex.com</t>
  </si>
  <si>
    <t>2026-06-30</t>
  </si>
  <si>
    <t>Axiom Medical - New Deal</t>
  </si>
  <si>
    <t>Axiom Medical</t>
  </si>
  <si>
    <t>axiomllc.com</t>
  </si>
  <si>
    <t>Recast 2025 User upsell</t>
  </si>
  <si>
    <t>20 user upsell.  they are very happy</t>
  </si>
  <si>
    <t>Recast Software</t>
  </si>
  <si>
    <t>recastsoftware.com</t>
  </si>
  <si>
    <t>Will renew, they love GTM Buddy, not sure about upsell. Need to work that angle</t>
  </si>
  <si>
    <t>Ceipal Downsell</t>
  </si>
  <si>
    <t>Downsell - Reduced number of seats due to team realignment</t>
  </si>
  <si>
    <t>Ceipal</t>
  </si>
  <si>
    <t>ceipal.com</t>
  </si>
  <si>
    <t>Downsell, by $2k due to reduced licenses.  Need to watch and be cautious. Our champion, Rajsekhar has left, we are getting Nidhi the next enabler taking up the role.</t>
  </si>
  <si>
    <t>Boltzmann - New Deal</t>
  </si>
  <si>
    <t>Boltzmann</t>
  </si>
  <si>
    <t>boltzmann.co</t>
  </si>
  <si>
    <t>ConvoZen - New Deal</t>
  </si>
  <si>
    <t>ConvoZen</t>
  </si>
  <si>
    <t>convozen.ai</t>
  </si>
  <si>
    <t>Replicant - AI Role Play upsell</t>
  </si>
  <si>
    <t>Tested role play and loved it</t>
  </si>
  <si>
    <t>DevRev - New Deal</t>
  </si>
  <si>
    <t>DevRev</t>
  </si>
  <si>
    <t>devrev.ai</t>
  </si>
  <si>
    <t>Jellyfish - New Deal</t>
  </si>
  <si>
    <t>Jellyfish</t>
  </si>
  <si>
    <t>jellyfish.co</t>
  </si>
  <si>
    <t>Zluri - Upsell</t>
  </si>
  <si>
    <t>Divanshu</t>
  </si>
  <si>
    <t>Zluri</t>
  </si>
  <si>
    <t>zluri.com</t>
  </si>
  <si>
    <t>2026-12-03</t>
  </si>
  <si>
    <t>Upsell for partner usecase. Confirmed on renewal
Will renew Flat or Upsell - Partner Portal being considered
Medium Adoption - Co-Founder is focussed on DSR Usage. 
Have a POC (Aditi Sharma)</t>
  </si>
  <si>
    <t>Denodo - New Deal</t>
  </si>
  <si>
    <t>Denodo</t>
  </si>
  <si>
    <t>denodo.com</t>
  </si>
  <si>
    <t>Deel - New Deal</t>
  </si>
  <si>
    <t>Critical Start - New Deal</t>
  </si>
  <si>
    <t>Another CyberSecurity HighSpot replace! Alignment to CTO helped accelerate the deal. Flexibility in the way we do business (14 day post implementation opt out) gave them great confidence to partner with us. A big thanks to Ron on this one for covering a lot of the technical/exec alignment with their CTO</t>
  </si>
  <si>
    <t>Critical Start</t>
  </si>
  <si>
    <t>criticalstart.com</t>
  </si>
  <si>
    <t>2027-04-13</t>
  </si>
  <si>
    <t>Ordrestyring - New Deal</t>
  </si>
  <si>
    <t>Xoxoday - New Deal 2</t>
  </si>
  <si>
    <t>Xoxoday</t>
  </si>
  <si>
    <t>xoxoday.com</t>
  </si>
  <si>
    <t>215</t>
  </si>
  <si>
    <t>SaaS Labs - CMS 2025</t>
  </si>
  <si>
    <t>SaaS Labs</t>
  </si>
  <si>
    <t>saaslabs.co</t>
  </si>
  <si>
    <t>Orderful - New Deal</t>
  </si>
  <si>
    <t>Orderful</t>
  </si>
  <si>
    <t>orderful.com</t>
  </si>
  <si>
    <t>Reveal - New Deal</t>
  </si>
  <si>
    <t xml:space="preserve">Chose another vendor (Letter.ai most likely) as AI content creation was a deal breaker for her. </t>
  </si>
  <si>
    <t>Reveal</t>
  </si>
  <si>
    <t>revealdata.com</t>
  </si>
  <si>
    <t>2Cents Capital - New Deal</t>
  </si>
  <si>
    <t>2Cents Capital</t>
  </si>
  <si>
    <t>2centscapital.com</t>
  </si>
  <si>
    <t>Kong Inc. - New Deal</t>
  </si>
  <si>
    <t>Were not selected as a finalist for their RFP</t>
  </si>
  <si>
    <t>Kong</t>
  </si>
  <si>
    <t>konghq.com</t>
  </si>
  <si>
    <t>Patch - New Deal</t>
  </si>
  <si>
    <t>Patch</t>
  </si>
  <si>
    <t>patch.io</t>
  </si>
  <si>
    <t>Headway - New Deal</t>
  </si>
  <si>
    <t>Headway</t>
  </si>
  <si>
    <t>headway.co</t>
  </si>
  <si>
    <t>Cardlytics Inc - New Deal</t>
  </si>
  <si>
    <t>Cardlytics</t>
  </si>
  <si>
    <t>cardlytics.com</t>
  </si>
  <si>
    <t>Dealpath 2</t>
  </si>
  <si>
    <t>Dealpath</t>
  </si>
  <si>
    <t>dealpath.com</t>
  </si>
  <si>
    <t>Centrical - New Deal</t>
  </si>
  <si>
    <t>Zithara - New Deal</t>
  </si>
  <si>
    <t>Zithara</t>
  </si>
  <si>
    <t>zithara.ai</t>
  </si>
  <si>
    <t>haku - New Deal</t>
  </si>
  <si>
    <t>alot of reasons!  to be demo blew them away with ask buddy!
quote from the CEO who is an engineer..."i can smell good software a mile away and this is GREAT software"</t>
  </si>
  <si>
    <t>haku</t>
  </si>
  <si>
    <t>hakusports.com</t>
  </si>
  <si>
    <t xml:space="preserve">We’re on a monthly connect with them. Pedro mentioned that his team is happy with the product, and the sales team is actively adopting the platform. If the teams need another refresher, we’ll be happy to arrange it.
We also set up the MCP connection for them, which they discussed during sales process.
Overall, the sentiment is positive, with renewal probability at around 90%.
</t>
  </si>
  <si>
    <t>Radancy - New Deal</t>
  </si>
  <si>
    <t>Radancy</t>
  </si>
  <si>
    <t>radancy.com</t>
  </si>
  <si>
    <t>Absorb LMS - 2025 renewal uplift</t>
  </si>
  <si>
    <t>increased PUPM nominal read only users</t>
  </si>
  <si>
    <t>Sumo Logic - New Deal</t>
  </si>
  <si>
    <t>Sumo Logic</t>
  </si>
  <si>
    <t>sumologic.com</t>
  </si>
  <si>
    <t>ON24 - New Deal</t>
  </si>
  <si>
    <t>Shared they went with a different vendor but did not share who or why. Engagement has been low and we have been kept at arms length so would suggest an existing relationship</t>
  </si>
  <si>
    <t>ON24</t>
  </si>
  <si>
    <t>on24.com</t>
  </si>
  <si>
    <t>Finmo - New Deal</t>
  </si>
  <si>
    <t>Finmo</t>
  </si>
  <si>
    <t>finmo.net</t>
  </si>
  <si>
    <t>Dialpad - New Deal</t>
  </si>
  <si>
    <t>Dialpad</t>
  </si>
  <si>
    <t>dialpad.com</t>
  </si>
  <si>
    <t>Nomentia - New Deal - 2025</t>
  </si>
  <si>
    <t>Nomentia</t>
  </si>
  <si>
    <t>nomentia.com</t>
  </si>
  <si>
    <t>Vial - New Deal</t>
  </si>
  <si>
    <t>Vial</t>
  </si>
  <si>
    <t>vial.com</t>
  </si>
  <si>
    <t>Trek Health - New Deal</t>
  </si>
  <si>
    <t>Lost Access to Power; Budget Reallocated</t>
  </si>
  <si>
    <t>Trek Health</t>
  </si>
  <si>
    <t>trekhealth.io</t>
  </si>
  <si>
    <t>MadHive - New Deal</t>
  </si>
  <si>
    <t>They decided to move forward with another solution as they had budget constraints.</t>
  </si>
  <si>
    <t>Madhive</t>
  </si>
  <si>
    <t>madhive.com</t>
  </si>
  <si>
    <t>CleverTap - New Deal</t>
  </si>
  <si>
    <t>CleverTap</t>
  </si>
  <si>
    <t>clevertap.com</t>
  </si>
  <si>
    <t>Sitemate - New Deal</t>
  </si>
  <si>
    <t>Sitemate</t>
  </si>
  <si>
    <t>sitemate.com</t>
  </si>
  <si>
    <t>Telefonica - New Deal</t>
  </si>
  <si>
    <t>Telefonica</t>
  </si>
  <si>
    <t>telefonica.com</t>
  </si>
  <si>
    <t>Cloud Kitchens AI Role Play Upsell</t>
  </si>
  <si>
    <t>Optimizely User Upsell 1</t>
  </si>
  <si>
    <t>Optimizely</t>
  </si>
  <si>
    <t>optimizely.com</t>
  </si>
  <si>
    <t>2026-06-14</t>
  </si>
  <si>
    <t>Notes: Reimplementation in progress, however not much action is happening from the cx's side.
We signed a 6 months contract with Optimizely, new enablement person is here wanting to re-haul the tenant. GTMB team will to recommend next steps starting Feb</t>
  </si>
  <si>
    <t>Dataiku - New Deal 2025</t>
  </si>
  <si>
    <t>pam waldman left.  she said they bought highspot</t>
  </si>
  <si>
    <t>Dataiku</t>
  </si>
  <si>
    <t>dataiku.com</t>
  </si>
  <si>
    <t>LiveRamp - New Deal 2025</t>
  </si>
  <si>
    <t>LiveRamp</t>
  </si>
  <si>
    <t>liveramp.com</t>
  </si>
  <si>
    <t>Bath Fitter - New Deal</t>
  </si>
  <si>
    <t>role play is what mike wants to run with the team.  a new vertical for us to get into.</t>
  </si>
  <si>
    <t>Quavo - New Deal</t>
  </si>
  <si>
    <t>Rfp automation!!!</t>
  </si>
  <si>
    <t>Logikality - New Deal</t>
  </si>
  <si>
    <t>Logikality</t>
  </si>
  <si>
    <t>logikality.ai</t>
  </si>
  <si>
    <t>Vestwell - New Deal</t>
  </si>
  <si>
    <t>Vestwell</t>
  </si>
  <si>
    <t>vestwell.com</t>
  </si>
  <si>
    <t>Spectrio - New Deal</t>
  </si>
  <si>
    <t>AI!!!! They loved every bit of it!!! Down goes highspot</t>
  </si>
  <si>
    <t>Spectrio</t>
  </si>
  <si>
    <t>spectrio.com</t>
  </si>
  <si>
    <t>2026-03-13</t>
  </si>
  <si>
    <t>Updated notes: 3/18/26 - Renewal conversation in progess. Active negotiation phase.
They sent a notification for opting out of automatic renewal.
Sent a note to Marlene to catch up, sent slots got no response. 2 follow ups done. needs follow up again. Adoption is decent</t>
  </si>
  <si>
    <t>dawdle.in - New Deal</t>
  </si>
  <si>
    <t>Dawdle</t>
  </si>
  <si>
    <t>dawdle.live</t>
  </si>
  <si>
    <t>Chargebee - New Deal 2025</t>
  </si>
  <si>
    <t>RES</t>
  </si>
  <si>
    <t>Chargebee</t>
  </si>
  <si>
    <t>chargebee.com</t>
  </si>
  <si>
    <t>Brightr Travel - New Deal</t>
  </si>
  <si>
    <t>Brightr Travel</t>
  </si>
  <si>
    <t>brightrtravel.com</t>
  </si>
  <si>
    <t>Dixa - New Deal</t>
  </si>
  <si>
    <t>Chose letter.ai as they felft they have more advanced AI capabilities , and UX/UI</t>
  </si>
  <si>
    <t>Dixa</t>
  </si>
  <si>
    <t>dixa.com</t>
  </si>
  <si>
    <t>Quest Analytics - Upsell</t>
  </si>
  <si>
    <t>Everlaw - New Deal 2</t>
  </si>
  <si>
    <t xml:space="preserve">Persistence!  Met timea two years ago at RES and new highspot wasn’t meeting requirement. Last year we were too young/early! This year Rory convinced them we could replace highspot and worked with jemy and Sarah to move it thru effectively!  </t>
  </si>
  <si>
    <t>Everlaw</t>
  </si>
  <si>
    <t>everlaw.com</t>
  </si>
  <si>
    <t>2027-06-16</t>
  </si>
  <si>
    <t>PeopleStrong - New Deal</t>
  </si>
  <si>
    <t xml:space="preserve">Bought just the CMS for the pilot 25 users. </t>
  </si>
  <si>
    <t>Unstoppable - New Deal</t>
  </si>
  <si>
    <t>Unstoppable</t>
  </si>
  <si>
    <t>unstoppable.do</t>
  </si>
  <si>
    <t>HRSoft - New Deal</t>
  </si>
  <si>
    <t>HRSoft</t>
  </si>
  <si>
    <t>hrsoft.com</t>
  </si>
  <si>
    <t>Transcend - New Deal</t>
  </si>
  <si>
    <t>Transcend</t>
  </si>
  <si>
    <t>transcend.io</t>
  </si>
  <si>
    <t>GoKwik - New Deal</t>
  </si>
  <si>
    <t>GoKwik</t>
  </si>
  <si>
    <t>gokwik.co</t>
  </si>
  <si>
    <t>Betterment - New Deal</t>
  </si>
  <si>
    <t>Betterment</t>
  </si>
  <si>
    <t>betterment.com</t>
  </si>
  <si>
    <t>Fenix Parts - New Deal</t>
  </si>
  <si>
    <t>they had started a project 6 months ago to build internally.  feedback from larry is it is working and they are happy with it. wants to be kept in the loop on what's happening with gtmB</t>
  </si>
  <si>
    <t>Fenix Parts</t>
  </si>
  <si>
    <t>fenixparts.com</t>
  </si>
  <si>
    <t>Ceros - New Deal 2</t>
  </si>
  <si>
    <t>Ceros</t>
  </si>
  <si>
    <t>ceros.com</t>
  </si>
  <si>
    <t>Magma Math - New Deal</t>
  </si>
  <si>
    <t>Magma Math</t>
  </si>
  <si>
    <t>magmamath.com</t>
  </si>
  <si>
    <t>Openlane - New Deal</t>
  </si>
  <si>
    <t>Openlane</t>
  </si>
  <si>
    <t>openlane.com</t>
  </si>
  <si>
    <t>Keelvar Systems - Upsell</t>
  </si>
  <si>
    <t>Mirakl - New Deal</t>
  </si>
  <si>
    <t>Mirakl</t>
  </si>
  <si>
    <t>mirakl.com</t>
  </si>
  <si>
    <t>XM Cyber - New Deal</t>
  </si>
  <si>
    <t xml:space="preserve">Breadth of product!  what started as a pretty simple CMS requirement (recommendation from phil putnam!) turned into an all product sale!  ask buddy, role play, meeting prep all helped us win.  </t>
  </si>
  <si>
    <t>XM Cyber</t>
  </si>
  <si>
    <t>xmcyber.com</t>
  </si>
  <si>
    <t>2026-08-19</t>
  </si>
  <si>
    <t>Notable - New Deal</t>
  </si>
  <si>
    <t>Notable</t>
  </si>
  <si>
    <t>notablehealth.com</t>
  </si>
  <si>
    <t>Zscaler - New Deal</t>
  </si>
  <si>
    <t>Zscaler</t>
  </si>
  <si>
    <t>zscaler.com</t>
  </si>
  <si>
    <t>44</t>
  </si>
  <si>
    <t>Neuron7.ai - New Deal</t>
  </si>
  <si>
    <t xml:space="preserve">went with mindtickle.  didn't mention they were really far down the path with them already.  </t>
  </si>
  <si>
    <t>Neuron7.ai</t>
  </si>
  <si>
    <t>neuron7.ai</t>
  </si>
  <si>
    <t>Everest Group - New Deal</t>
  </si>
  <si>
    <t>Everest Group</t>
  </si>
  <si>
    <t>everestgrp.com</t>
  </si>
  <si>
    <t>Alchemer - New Deal</t>
  </si>
  <si>
    <t>they went with seismic.  we were focused on nathaniel as our champion and in the end it was product marketing driving this initiative.  renewal date is some time in may</t>
  </si>
  <si>
    <t>Alchemer</t>
  </si>
  <si>
    <t>alchemer.com</t>
  </si>
  <si>
    <t>mParticle - New Deal</t>
  </si>
  <si>
    <t>mParticle</t>
  </si>
  <si>
    <t>mparticle.com</t>
  </si>
  <si>
    <t>Writer - New Deal</t>
  </si>
  <si>
    <t>WRITER</t>
  </si>
  <si>
    <t>writer.com</t>
  </si>
  <si>
    <t>SundaySky - New Deal</t>
  </si>
  <si>
    <t>Highspot rip and replace.  loved auto tagging and asked buddy!</t>
  </si>
  <si>
    <t>SundaySky</t>
  </si>
  <si>
    <t>sundaysky.com</t>
  </si>
  <si>
    <t>LiveRamp - New Deal</t>
  </si>
  <si>
    <t>Recast Software - New Deal</t>
  </si>
  <si>
    <t>Ease of use for product marketing, analytics</t>
  </si>
  <si>
    <t>Smokeball - New Deal</t>
  </si>
  <si>
    <t>Smokeball - Legal Software</t>
  </si>
  <si>
    <t>smokeball.com</t>
  </si>
  <si>
    <t>Capillary Upsell - AI Roleplay + RFP</t>
  </si>
  <si>
    <t>Capillary wanted to use RFP automation for a while. They are happy to start using RFP automation and AI RolePlay. This upsell is purely for these two funtionalities.</t>
  </si>
  <si>
    <t>Capillary Technologies</t>
  </si>
  <si>
    <t>capillarytech.com</t>
  </si>
  <si>
    <t>2026-11-14</t>
  </si>
  <si>
    <t xml:space="preserve">Low adoption, Enablement team is not happy with the product, they've raised few concerns:
1. They requested for ungated DSR, for which we provided campaign DSRs as a workaround - it's not ideal as it lacks n number of functionalities from a regular DSR
2. They also requested to remove +Room button while creating DSRs and only have one option to create a DSR as it might cause confusion among users.
3. Requested for non-graded toggle button for free response or including notes section in 'knowledge check'
4. Enhancement to include an AI review system to score responses.
5. Reported ask buddy issue where ask buddy is not generating responses even for simple questions. - DS team is working on it.
6. Enhancement to have page by page analytics in DSR insights - only request to be prioritised so far 
Nevertheless, they're moving forward with flat renewal this time but it is ideal to address this concerns as quickly as possible, because of the low adoption.
</t>
  </si>
  <si>
    <t>Torq - New Deal 2024</t>
  </si>
  <si>
    <t xml:space="preserve">Won against all the big players. Bought the LMS, CMS, AI Role Play and Partner portal. </t>
  </si>
  <si>
    <t>Torq</t>
  </si>
  <si>
    <t>torq.io</t>
  </si>
  <si>
    <t>2027-01-05</t>
  </si>
  <si>
    <t>Vectra AI - New Deal</t>
  </si>
  <si>
    <t>Used multiple tools, ended up on Zylene. Recommendation from coach K to look at GTM Buddy. Another great cyber security logo! Shout out to Sahitha for doing an awesome job with the POV. Quote from Derek 'we went with GTM Buddy because your product is like a beautiful voice, you guys need to continue to let it sing'. Great work team!!</t>
  </si>
  <si>
    <t>ClearGov - New Deal</t>
  </si>
  <si>
    <t>ClearGov</t>
  </si>
  <si>
    <t>cleargov.com</t>
  </si>
  <si>
    <t>AppsFlyer - 2024</t>
  </si>
  <si>
    <t>Unresponsive</t>
  </si>
  <si>
    <t>WebEngage - Downsell</t>
  </si>
  <si>
    <t>FileVine Upsell</t>
  </si>
  <si>
    <t>FileVine was very happy with the platform, we moved from flat pricing to User based pricing.</t>
  </si>
  <si>
    <t>Quest Analytics - Read-Only user - Upsell</t>
  </si>
  <si>
    <t>Happy with the platform, need additional teams to access the content in GTMB since this is the Single-Source of Truth</t>
  </si>
  <si>
    <t>Gupshup Inc - AI Role Play</t>
  </si>
  <si>
    <t>Their pilot with getblue went better so they launched it to the team. Not sure of the duration of the contract though, trying to find info</t>
  </si>
  <si>
    <t>Consensus - New Deal</t>
  </si>
  <si>
    <t>Consensus</t>
  </si>
  <si>
    <t>goconsensus.com</t>
  </si>
  <si>
    <t>Salesloft - New Deal</t>
  </si>
  <si>
    <t>Salesloft</t>
  </si>
  <si>
    <t>salesloft.com</t>
  </si>
  <si>
    <t>Simpplr - Partner Portal and Internal LMS</t>
  </si>
  <si>
    <t>team loved partner portal.  2 year early renewal plus adding 30 partners</t>
  </si>
  <si>
    <t>Simpplr</t>
  </si>
  <si>
    <t>simpplr.com</t>
  </si>
  <si>
    <t>2027-03-31</t>
  </si>
  <si>
    <t>Ushur - Sales Success upsell</t>
  </si>
  <si>
    <t>AI Roleplay upsell and more users.  well done CS team and engineering</t>
  </si>
  <si>
    <t>Optimove - New Deal</t>
  </si>
  <si>
    <t>Optimove</t>
  </si>
  <si>
    <t>optimove.com</t>
  </si>
  <si>
    <t>ICIS - New Deal</t>
  </si>
  <si>
    <t>ICIS</t>
  </si>
  <si>
    <t>icis.com</t>
  </si>
  <si>
    <t>Interplay Learning - New Deal</t>
  </si>
  <si>
    <t>Interplay Learning</t>
  </si>
  <si>
    <t>interplaylearning.com</t>
  </si>
  <si>
    <t>Obsidian Security - New Deal 2</t>
  </si>
  <si>
    <t>Obsidian Security</t>
  </si>
  <si>
    <t>obsidiansecurity.com</t>
  </si>
  <si>
    <t>Klarity - New Deal</t>
  </si>
  <si>
    <t>Klarity</t>
  </si>
  <si>
    <t>klarity.ai</t>
  </si>
  <si>
    <t>HG Insights - Deal 2</t>
  </si>
  <si>
    <t>Letter.ai won - William Lenfesty said 'Their LMS is pretty far along and we needed something immediately for a certification program that our CEO set as a priority'</t>
  </si>
  <si>
    <t>HG Insights</t>
  </si>
  <si>
    <t>hginsights.com</t>
  </si>
  <si>
    <t>OhMD - New Deal</t>
  </si>
  <si>
    <t>OhMD</t>
  </si>
  <si>
    <t>ohmd.com</t>
  </si>
  <si>
    <t>Cover Genius - New Deal</t>
  </si>
  <si>
    <t>Cover Genius</t>
  </si>
  <si>
    <t>covergenius.com</t>
  </si>
  <si>
    <t>Checkout.com - New Deal</t>
  </si>
  <si>
    <t>Checkout.com</t>
  </si>
  <si>
    <t>checkout.com</t>
  </si>
  <si>
    <t>Claroty - New Deal</t>
  </si>
  <si>
    <t>Claroty</t>
  </si>
  <si>
    <t>claroty.com</t>
  </si>
  <si>
    <t>Semrush - New Deal 2024 (Warm intro)</t>
  </si>
  <si>
    <t>Semrush</t>
  </si>
  <si>
    <t>semrush.com</t>
  </si>
  <si>
    <t>14</t>
  </si>
  <si>
    <t>Upside -  Deal 2</t>
  </si>
  <si>
    <t>Upside</t>
  </si>
  <si>
    <t>upside.com</t>
  </si>
  <si>
    <t>SpecterOps - New Deal</t>
  </si>
  <si>
    <t>SpecterOps</t>
  </si>
  <si>
    <t>specterops.io</t>
  </si>
  <si>
    <t>CSG - New Deal</t>
  </si>
  <si>
    <t>CSG</t>
  </si>
  <si>
    <t>csgi.com</t>
  </si>
  <si>
    <t>Wiz - New Deal</t>
  </si>
  <si>
    <t>Wiz</t>
  </si>
  <si>
    <t>wiz.io</t>
  </si>
  <si>
    <t>Canva - New Deal 2024</t>
  </si>
  <si>
    <t>Canva</t>
  </si>
  <si>
    <t>canva.com</t>
  </si>
  <si>
    <t>SpotDraft - New Deal 2024</t>
  </si>
  <si>
    <t xml:space="preserve">Chose us amongst other vendors, was primarily a LMS use case, but eventually bought LMS/CMS. AI Role play is an upsell potential. </t>
  </si>
  <si>
    <t>CaptivateIQ - New Deal 2</t>
  </si>
  <si>
    <t>CaptivateIQ</t>
  </si>
  <si>
    <t>captivateiq.com</t>
  </si>
  <si>
    <t>103</t>
  </si>
  <si>
    <t>CyberCube - Upsell</t>
  </si>
  <si>
    <t>CyberCube</t>
  </si>
  <si>
    <t>cybcube.com</t>
  </si>
  <si>
    <t>2027-07-24</t>
  </si>
  <si>
    <t>Foursquare - New Deal</t>
  </si>
  <si>
    <t>Foursquare</t>
  </si>
  <si>
    <t>foursquare.com</t>
  </si>
  <si>
    <t>Keelvar Systems - New Deal</t>
  </si>
  <si>
    <t>They chose us over Enablix</t>
  </si>
  <si>
    <t>Kings Hammer SBD Events - New Deal</t>
  </si>
  <si>
    <t>wants to use DSR to share content.  new industry potentially</t>
  </si>
  <si>
    <t>Kings Hammer SBD Events</t>
  </si>
  <si>
    <t>kingshammersbd.com</t>
  </si>
  <si>
    <t>Bedrock Inc - New Deal</t>
  </si>
  <si>
    <t>Bedrock Inc</t>
  </si>
  <si>
    <t>mybedrock.com</t>
  </si>
  <si>
    <t>APS Payroll - New Deal</t>
  </si>
  <si>
    <t>APS Payroll</t>
  </si>
  <si>
    <t>apspayroll.com</t>
  </si>
  <si>
    <t>Marigold - New Deal</t>
  </si>
  <si>
    <t>Marigold</t>
  </si>
  <si>
    <t>meetmarigold.com</t>
  </si>
  <si>
    <t>Emlid - New Deal</t>
  </si>
  <si>
    <t>Emlid</t>
  </si>
  <si>
    <t>emlid.com</t>
  </si>
  <si>
    <t>LVT - LiveView Technologies - New Deal</t>
  </si>
  <si>
    <t>Pain Deprioritized; Budget Reallocated</t>
  </si>
  <si>
    <t>LVT (LiveView Technologies)</t>
  </si>
  <si>
    <t>lvt.com</t>
  </si>
  <si>
    <t>PayJunction - New Deal</t>
  </si>
  <si>
    <t>PayJunction</t>
  </si>
  <si>
    <t>payjunction.com</t>
  </si>
  <si>
    <t>Klue - New Deal</t>
  </si>
  <si>
    <t>Klue</t>
  </si>
  <si>
    <t>klue.com</t>
  </si>
  <si>
    <t>Domo - New Deal</t>
  </si>
  <si>
    <t>Domo</t>
  </si>
  <si>
    <t>domo.com</t>
  </si>
  <si>
    <t>Ceros - New Deal</t>
  </si>
  <si>
    <t>Pubmatic - New Deal</t>
  </si>
  <si>
    <t>Pubmatic</t>
  </si>
  <si>
    <t>pubmatic.com</t>
  </si>
  <si>
    <t>Velocity Global - New Deal</t>
  </si>
  <si>
    <t>Velocity Global</t>
  </si>
  <si>
    <t>velocityglobal.com</t>
  </si>
  <si>
    <t>Joveo - New Deal 2024</t>
  </si>
  <si>
    <t>They want to solve content discovery and liked us more than Paperflite.</t>
  </si>
  <si>
    <t>Joveo</t>
  </si>
  <si>
    <t>joveo.com</t>
  </si>
  <si>
    <t>AppFolio, Inc. - New Deal</t>
  </si>
  <si>
    <t>AppFolio</t>
  </si>
  <si>
    <t>appfolio.com</t>
  </si>
  <si>
    <t>Genasys - New Deal</t>
  </si>
  <si>
    <t>Genasys</t>
  </si>
  <si>
    <t>genasys.com</t>
  </si>
  <si>
    <t>airSlate - New Deal</t>
  </si>
  <si>
    <t>airSlate</t>
  </si>
  <si>
    <t>airslate.com</t>
  </si>
  <si>
    <t>Buildots - New Deal</t>
  </si>
  <si>
    <t>Buildots</t>
  </si>
  <si>
    <t>buildots.com</t>
  </si>
  <si>
    <t>Crownpeak - New Deal</t>
  </si>
  <si>
    <t>Crownpeak</t>
  </si>
  <si>
    <t>crownpeak.com</t>
  </si>
  <si>
    <t>TEHTRIS - New Deal</t>
  </si>
  <si>
    <t>TEHTRIS</t>
  </si>
  <si>
    <t>tehtris.com</t>
  </si>
  <si>
    <t>Workiva - New Deal</t>
  </si>
  <si>
    <t>Workiva</t>
  </si>
  <si>
    <t>workiva.com</t>
  </si>
  <si>
    <t>24</t>
  </si>
  <si>
    <t>OutSystems - New Deal</t>
  </si>
  <si>
    <t>OutSystems</t>
  </si>
  <si>
    <t>outsystems.com</t>
  </si>
  <si>
    <t>Trolley - New Deal</t>
  </si>
  <si>
    <t>Trolley</t>
  </si>
  <si>
    <t>trolley.com</t>
  </si>
  <si>
    <t>Automox - New Deal</t>
  </si>
  <si>
    <t>Lost to Allego</t>
  </si>
  <si>
    <t>Automox</t>
  </si>
  <si>
    <t>automox.com</t>
  </si>
  <si>
    <t>CS Disco - New Deal</t>
  </si>
  <si>
    <t>DISCO</t>
  </si>
  <si>
    <t>csdisco.com</t>
  </si>
  <si>
    <t>Cradlepoint - New Deal</t>
  </si>
  <si>
    <t>Cradlepoint</t>
  </si>
  <si>
    <t>cradlepoint.com</t>
  </si>
  <si>
    <t>Maxwell - New Deal</t>
  </si>
  <si>
    <t>Maxwell</t>
  </si>
  <si>
    <t>himaxwell.com</t>
  </si>
  <si>
    <t>RepairDesk - New Deal</t>
  </si>
  <si>
    <t>RepairDesk</t>
  </si>
  <si>
    <t>repairdesk.co</t>
  </si>
  <si>
    <t>Simpplr - New Deal</t>
  </si>
  <si>
    <t>Highspot replace, low adoption.  they loved sellers workflow and specifically our gong integration bringing calls in to the workspace and being able to watch them from GTM Buddy vs gong.</t>
  </si>
  <si>
    <t>Cision - New Deal</t>
  </si>
  <si>
    <t>Cision</t>
  </si>
  <si>
    <t>cision.com</t>
  </si>
  <si>
    <t>Apptio - New Deal</t>
  </si>
  <si>
    <t>Apptio, an IBM Company</t>
  </si>
  <si>
    <t>apptio.com</t>
  </si>
  <si>
    <t>Chatmeter - New Deal</t>
  </si>
  <si>
    <t>Chatmeter</t>
  </si>
  <si>
    <t>chatmeter.com</t>
  </si>
  <si>
    <t>Qt Group - New Deal</t>
  </si>
  <si>
    <t>Qt Group</t>
  </si>
  <si>
    <t>qt.io</t>
  </si>
  <si>
    <t>Explorance - New Deal</t>
  </si>
  <si>
    <t>Explorance</t>
  </si>
  <si>
    <t>explorance.com</t>
  </si>
  <si>
    <t>Alation - New Deal</t>
  </si>
  <si>
    <t>Alation</t>
  </si>
  <si>
    <t>alation.com</t>
  </si>
  <si>
    <t>Stampli - New Deal</t>
  </si>
  <si>
    <t>Stampli</t>
  </si>
  <si>
    <t>stampli.com</t>
  </si>
  <si>
    <t>Accolade - New Deal</t>
  </si>
  <si>
    <t>Accolade, Inc.</t>
  </si>
  <si>
    <t>accolade.com</t>
  </si>
  <si>
    <t>People.ai - New Deal</t>
  </si>
  <si>
    <t>People.ai</t>
  </si>
  <si>
    <t>people.ai</t>
  </si>
  <si>
    <t>OxBlue - New Deal</t>
  </si>
  <si>
    <t xml:space="preserve">we were non responsive during transition.  don't know who they went with.  </t>
  </si>
  <si>
    <t>OxBlue</t>
  </si>
  <si>
    <t>oxblue.com</t>
  </si>
  <si>
    <t>Clumio - New Deal</t>
  </si>
  <si>
    <t>Too many road map items coming, also Seismic dropped pricing to be close to ours</t>
  </si>
  <si>
    <t>Clumio</t>
  </si>
  <si>
    <t>clumio.com</t>
  </si>
  <si>
    <t>Cleo - New Deal</t>
  </si>
  <si>
    <t>Cleo</t>
  </si>
  <si>
    <t>cleo.com</t>
  </si>
  <si>
    <t>Daxko - New Deal</t>
  </si>
  <si>
    <t>Daxko</t>
  </si>
  <si>
    <t>daxko.com</t>
  </si>
  <si>
    <t>Avetta - New Deal</t>
  </si>
  <si>
    <t>Avetta</t>
  </si>
  <si>
    <t>avetta.com</t>
  </si>
  <si>
    <t>ApexChat - New Deal</t>
  </si>
  <si>
    <t>Blazeo</t>
  </si>
  <si>
    <t>blazeo.com</t>
  </si>
  <si>
    <t>Guild - New Deal</t>
  </si>
  <si>
    <t>demo was too hard to follow</t>
  </si>
  <si>
    <t>Guild</t>
  </si>
  <si>
    <t>guild.com</t>
  </si>
  <si>
    <t>Synack, Inc. - New Deal</t>
  </si>
  <si>
    <t xml:space="preserve">CMS was not cutting it from saleshood. </t>
  </si>
  <si>
    <t>Synack</t>
  </si>
  <si>
    <t>synack.com</t>
  </si>
  <si>
    <t>2026-10-29</t>
  </si>
  <si>
    <t>Renewal discussion to be started.
Renewal Probability - 80-85%
Notes: Internally possible reorg in happening, Joy Shaffer recently started working on GTMB management. (No contact with Elise or Michelle in the last couple of months)
Issues on search was reported, however we didn't get any examples to work on. Issues on pages &amp; difficultly with page builder was reported (tables/Formatting/aesthetics)
DSR wasn't launched (plan is to do in hopefully in Q4)
Decent adoption | Syncak has done referral calls as well
H1 trending - https://docs.google.com/presentation/d/1kXJGLtygOPidCK8jJfn8pVO8vU9Rnnn-rFlAEgQ4F3g/edit?usp=sharing</t>
  </si>
  <si>
    <t>Teletrac Navman - New Deal</t>
  </si>
  <si>
    <t>Teletrac Navman</t>
  </si>
  <si>
    <t>teletracnavman.com</t>
  </si>
  <si>
    <t>MNTN - New Deal</t>
  </si>
  <si>
    <t>MNTN</t>
  </si>
  <si>
    <t>mountain.com</t>
  </si>
  <si>
    <t>Subsplash Wallet LLC - New Deal</t>
  </si>
  <si>
    <t>Subsplash</t>
  </si>
  <si>
    <t>subsplash.com</t>
  </si>
  <si>
    <t>Petpooja - New Deal</t>
  </si>
  <si>
    <t>Petpooja</t>
  </si>
  <si>
    <t>petpooja.com</t>
  </si>
  <si>
    <t>Homebot - New Deal</t>
  </si>
  <si>
    <t>Homebot</t>
  </si>
  <si>
    <t>homebot.ai</t>
  </si>
  <si>
    <t>Teamwork - New Deal</t>
  </si>
  <si>
    <t>Teamwork.com</t>
  </si>
  <si>
    <t>teamwork.com</t>
  </si>
  <si>
    <t>Builder.ai - New Deal</t>
  </si>
  <si>
    <t>Builder.ai</t>
  </si>
  <si>
    <t>builder.ai</t>
  </si>
  <si>
    <t>VC3 - New Deal</t>
  </si>
  <si>
    <t>VC3</t>
  </si>
  <si>
    <t>vc3.com</t>
  </si>
  <si>
    <t>Abnormal Security - New Deal</t>
  </si>
  <si>
    <t>Abnormal AI</t>
  </si>
  <si>
    <t>abnormal.ai</t>
  </si>
  <si>
    <t>Paperless Parts - New Deal</t>
  </si>
  <si>
    <t>Paperless Parts</t>
  </si>
  <si>
    <t>paperlessparts.com</t>
  </si>
  <si>
    <t>Persuit - New Deal</t>
  </si>
  <si>
    <t>PERSUIT®</t>
  </si>
  <si>
    <t>persuit.com</t>
  </si>
  <si>
    <t>Sitecore - New Deal</t>
  </si>
  <si>
    <t>Sitecore</t>
  </si>
  <si>
    <t>sitecore.com</t>
  </si>
  <si>
    <t>Contentstack - New Deal</t>
  </si>
  <si>
    <t>Went with Seismic and Allego due to being late to evaluation</t>
  </si>
  <si>
    <t>Contentstack</t>
  </si>
  <si>
    <t>contentstack.com</t>
  </si>
  <si>
    <t>ideaForge - New Deal</t>
  </si>
  <si>
    <t>ideaForge</t>
  </si>
  <si>
    <t>ideaforgetech.com</t>
  </si>
  <si>
    <t>Scrut Automation - New Deal 2024</t>
  </si>
  <si>
    <t>Lost to Docket, they preferred them over Ask Buddy. The primary use case was to extract knowledge from slack.</t>
  </si>
  <si>
    <t>Scrut Automation</t>
  </si>
  <si>
    <t>scrut.io</t>
  </si>
  <si>
    <t>74</t>
  </si>
  <si>
    <t>magicplan - New Deal</t>
  </si>
  <si>
    <t>magicplan</t>
  </si>
  <si>
    <t>magicplan.app</t>
  </si>
  <si>
    <t>Celoxis - New Deal</t>
  </si>
  <si>
    <t>Celoxis</t>
  </si>
  <si>
    <t>celoxis.com</t>
  </si>
  <si>
    <t>Own Company - New Deal</t>
  </si>
  <si>
    <t>Own Company</t>
  </si>
  <si>
    <t>owndata.com</t>
  </si>
  <si>
    <t>OFX - New Deal</t>
  </si>
  <si>
    <t>Moved ahead with different tool</t>
  </si>
  <si>
    <t>OFX</t>
  </si>
  <si>
    <t>ofx.com</t>
  </si>
  <si>
    <t>Envestnet - New Deal</t>
  </si>
  <si>
    <t>Envestnet</t>
  </si>
  <si>
    <t>envestnet.com</t>
  </si>
  <si>
    <t>RedCloud - New Deal</t>
  </si>
  <si>
    <t>RedCloud</t>
  </si>
  <si>
    <t>redcloudtechnology.com</t>
  </si>
  <si>
    <t>Adaptavist - New Deal</t>
  </si>
  <si>
    <t>Adaptavist</t>
  </si>
  <si>
    <t>adaptavist.com</t>
  </si>
  <si>
    <t>Podium - New Deal</t>
  </si>
  <si>
    <t>Podium</t>
  </si>
  <si>
    <t>podium.com</t>
  </si>
  <si>
    <t>Jolt - New Deal</t>
  </si>
  <si>
    <t>Lost Access to Power; Timeline Slipped</t>
  </si>
  <si>
    <t>Jolt</t>
  </si>
  <si>
    <t>jolt.com</t>
  </si>
  <si>
    <t>SUSE - New Deal</t>
  </si>
  <si>
    <t>SUSE</t>
  </si>
  <si>
    <t>suse.com</t>
  </si>
  <si>
    <t>Sisense - New Deal</t>
  </si>
  <si>
    <t>Sisense</t>
  </si>
  <si>
    <t>sisense.com</t>
  </si>
  <si>
    <t>OpenSpace - New Deal</t>
  </si>
  <si>
    <t>Going with Letter.ai</t>
  </si>
  <si>
    <t>OpenSpace</t>
  </si>
  <si>
    <t>openspace.ai</t>
  </si>
  <si>
    <t>Everbridge - New Deal</t>
  </si>
  <si>
    <t>Everbridge</t>
  </si>
  <si>
    <t>everbridge.com</t>
  </si>
  <si>
    <t>VTS - New Deal</t>
  </si>
  <si>
    <t>VTS</t>
  </si>
  <si>
    <t>vts.com</t>
  </si>
  <si>
    <t>Stova - New Deal</t>
  </si>
  <si>
    <t>Stova</t>
  </si>
  <si>
    <t>stova.io</t>
  </si>
  <si>
    <t>RxBenefits - New Deal</t>
  </si>
  <si>
    <t>RxBenefits, Inc.</t>
  </si>
  <si>
    <t>rxbenefits.com</t>
  </si>
  <si>
    <t>Kandji - Partner Enablement Upsell</t>
  </si>
  <si>
    <t>Provana - New Deal</t>
  </si>
  <si>
    <t>Provana</t>
  </si>
  <si>
    <t>provana.com</t>
  </si>
  <si>
    <t>Scorpion - New Deal</t>
  </si>
  <si>
    <t>Scorpion</t>
  </si>
  <si>
    <t>scorpion.co</t>
  </si>
  <si>
    <t>EverCommerce - New Deal</t>
  </si>
  <si>
    <t>EverCommerce</t>
  </si>
  <si>
    <t>evercommerce.com</t>
  </si>
  <si>
    <t>Exotel - 2024</t>
  </si>
  <si>
    <t xml:space="preserve">They want to start with 20 SDRs, basic use case of content discovery and content analytics. Upsell opportunity of 80 users. </t>
  </si>
  <si>
    <t>LeanDNA - New Deal</t>
  </si>
  <si>
    <t>Brian</t>
  </si>
  <si>
    <t>Showpad Replace</t>
  </si>
  <si>
    <t>LeanDNA</t>
  </si>
  <si>
    <t>leandna.com</t>
  </si>
  <si>
    <t>Swapcard - New Deal</t>
  </si>
  <si>
    <t>Swapcard</t>
  </si>
  <si>
    <t>swapcard.com</t>
  </si>
  <si>
    <t>PowerSchool - New Deal</t>
  </si>
  <si>
    <t>PowerSchool</t>
  </si>
  <si>
    <t>powerschool.com</t>
  </si>
  <si>
    <t>Walnut - New Deal</t>
  </si>
  <si>
    <t>Walnut</t>
  </si>
  <si>
    <t>walnut.io</t>
  </si>
  <si>
    <t>UrbanPiper - New Deal</t>
  </si>
  <si>
    <t>UrbanPiper</t>
  </si>
  <si>
    <t>urbanpiper.com</t>
  </si>
  <si>
    <t>Hunters - New Deal</t>
  </si>
  <si>
    <t>Hunters</t>
  </si>
  <si>
    <t>hunters.security</t>
  </si>
  <si>
    <t>Phocas Software - New Deal</t>
  </si>
  <si>
    <t>Phocas Software</t>
  </si>
  <si>
    <t>phocassoftware.com</t>
  </si>
  <si>
    <t>Razorpay - New Deal</t>
  </si>
  <si>
    <t xml:space="preserve">Won against Paperflite. They have bought for the Razorpay X team (an entity of Razorpay). There is still an ongoing deal with the Central Razorpay team. </t>
  </si>
  <si>
    <t>Razorpay</t>
  </si>
  <si>
    <t>razorpay.com</t>
  </si>
  <si>
    <t>2025-10-08</t>
  </si>
  <si>
    <t xml:space="preserve">No strong POC, we are figuring out the right person for the renewal.
Have gotten a response for the POC for renewal. Will update further.
----------------------------------------------
Vipul has sent an email to Subhash Gopaldawda, awaiting response. Have contacted multiple folks 
</t>
  </si>
  <si>
    <t>MoEngage Upsell</t>
  </si>
  <si>
    <t>Sreedhar</t>
  </si>
  <si>
    <t>Good customer sentiment and Org wide LMS + Partner Portal. This was missed logging into our Hubspot, adding it now.</t>
  </si>
  <si>
    <t>Aurora Solar - New Deal</t>
  </si>
  <si>
    <t>Aurora Solar</t>
  </si>
  <si>
    <t>aurorasolar.com</t>
  </si>
  <si>
    <t>Session AI - New Deal</t>
  </si>
  <si>
    <t>Session AI</t>
  </si>
  <si>
    <t>sessionai.com</t>
  </si>
  <si>
    <t>Movable Ink - New Deal</t>
  </si>
  <si>
    <t>Movable Ink</t>
  </si>
  <si>
    <t>movableink.com</t>
  </si>
  <si>
    <t>Rocketlane - New Deal</t>
  </si>
  <si>
    <t>Rocketlane</t>
  </si>
  <si>
    <t>rocketlane.com</t>
  </si>
  <si>
    <t>WebPros - New Deal</t>
  </si>
  <si>
    <t>WebPros</t>
  </si>
  <si>
    <t>webpros.com</t>
  </si>
  <si>
    <t>Swiftly - New Deal</t>
  </si>
  <si>
    <t>Swiftly</t>
  </si>
  <si>
    <t>swiftly.com</t>
  </si>
  <si>
    <t>Stem - New Deal</t>
  </si>
  <si>
    <t>Stem, Inc.</t>
  </si>
  <si>
    <t>stem.com</t>
  </si>
  <si>
    <t>Deepwatch - New Deal</t>
  </si>
  <si>
    <t>Deepwatch</t>
  </si>
  <si>
    <t>deepwatch.com</t>
  </si>
  <si>
    <t>Spendflo - New Deal</t>
  </si>
  <si>
    <t>Spendflo</t>
  </si>
  <si>
    <t>spendflo.com</t>
  </si>
  <si>
    <t>Sourcegraph - New Deal</t>
  </si>
  <si>
    <t>Sourcegraph</t>
  </si>
  <si>
    <t>sourcegraph.com</t>
  </si>
  <si>
    <t>Quantum Metric - New Deal</t>
  </si>
  <si>
    <t>Quantum Metric</t>
  </si>
  <si>
    <t>quantummetric.com</t>
  </si>
  <si>
    <t>ChargePoint - New Deal</t>
  </si>
  <si>
    <t>ChargePoint</t>
  </si>
  <si>
    <t>chargepoint.com</t>
  </si>
  <si>
    <t>Imply - New Deal</t>
  </si>
  <si>
    <t>Imply</t>
  </si>
  <si>
    <t>imply.io</t>
  </si>
  <si>
    <t>SketchUp - New Deal</t>
  </si>
  <si>
    <t>SketchUp</t>
  </si>
  <si>
    <t>sketchup.com</t>
  </si>
  <si>
    <t>Fyllo - New Deal</t>
  </si>
  <si>
    <t>Fyllo</t>
  </si>
  <si>
    <t>hellofyllo.com</t>
  </si>
  <si>
    <t>Ushur - New Deal</t>
  </si>
  <si>
    <t>GTM Buddy is a great product and by identifying the pain the Ushur team had we were able to provide solutions to their needs.  Great work team!</t>
  </si>
  <si>
    <t>Dental Intelligence - New Deal</t>
  </si>
  <si>
    <t>Dental Intelligence Inc.</t>
  </si>
  <si>
    <t>dentalintel.com</t>
  </si>
  <si>
    <t>nCino - New Deal</t>
  </si>
  <si>
    <t>nCino</t>
  </si>
  <si>
    <t>ncino.com</t>
  </si>
  <si>
    <t>dscout - New Deal</t>
  </si>
  <si>
    <t>Dscout</t>
  </si>
  <si>
    <t>dscout.com</t>
  </si>
  <si>
    <t>OneCause - New Deal</t>
  </si>
  <si>
    <t>OneCause, a Bonterra company</t>
  </si>
  <si>
    <t>onecause.com</t>
  </si>
  <si>
    <t>Dotdata - New Deal</t>
  </si>
  <si>
    <t>Dotdata</t>
  </si>
  <si>
    <t>dotdata.com</t>
  </si>
  <si>
    <t>Dealpath - New Deal</t>
  </si>
  <si>
    <t>OneSpan - New Deal 2024</t>
  </si>
  <si>
    <t>OneSpan</t>
  </si>
  <si>
    <t>onespan.com</t>
  </si>
  <si>
    <t>Leapwork - New Deal</t>
  </si>
  <si>
    <t>Leapwork</t>
  </si>
  <si>
    <t>leapwork.com</t>
  </si>
  <si>
    <t>Visier - New Deal</t>
  </si>
  <si>
    <t>didn't pick a vendor yet but took us out as they felt analytics and LMS were better with other vendors.  this was a miss from brian and I on demoing enough LMS and analytics.  we leaned in on content.</t>
  </si>
  <si>
    <t>Visier Inc.</t>
  </si>
  <si>
    <t>visier.com</t>
  </si>
  <si>
    <t>Embrace - New Deal</t>
  </si>
  <si>
    <t>Embrace</t>
  </si>
  <si>
    <t>embrace.io</t>
  </si>
  <si>
    <t>Aerospike - New Deal</t>
  </si>
  <si>
    <t>Aerospike</t>
  </si>
  <si>
    <t>aerospike.com</t>
  </si>
  <si>
    <t>Saras Analytics - New Deal</t>
  </si>
  <si>
    <t>Saras Analytics</t>
  </si>
  <si>
    <t>sarasanalytics.com</t>
  </si>
  <si>
    <t>Browserstack - New Deal 2024</t>
  </si>
  <si>
    <t xml:space="preserve">They bought Mindtickle. Reasons are unknown as the buying team stopped responding. </t>
  </si>
  <si>
    <t>BrowserStack</t>
  </si>
  <si>
    <t>browserstack.com</t>
  </si>
  <si>
    <t>Lyra Health - New Deal</t>
  </si>
  <si>
    <t>Lyra Health</t>
  </si>
  <si>
    <t>lyrahealth.com</t>
  </si>
  <si>
    <t>BigID - New Deal</t>
  </si>
  <si>
    <t>BigID</t>
  </si>
  <si>
    <t>bigid.com</t>
  </si>
  <si>
    <t>essensys - New Deal</t>
  </si>
  <si>
    <t>essensys</t>
  </si>
  <si>
    <t>essensys.tech</t>
  </si>
  <si>
    <t>PingCAP - New Deal</t>
  </si>
  <si>
    <t>PingCAP</t>
  </si>
  <si>
    <t>pingcap.com</t>
  </si>
  <si>
    <t>SiteDocs - New Deal</t>
  </si>
  <si>
    <t>SiteDocs</t>
  </si>
  <si>
    <t>sitedocs.com</t>
  </si>
  <si>
    <t>Introhive - New Deal</t>
  </si>
  <si>
    <t>Introhive</t>
  </si>
  <si>
    <t>introhive.com</t>
  </si>
  <si>
    <t>LogRhythm - New Deal</t>
  </si>
  <si>
    <t>Exabeam</t>
  </si>
  <si>
    <t>exabeam.com</t>
  </si>
  <si>
    <t>HiBob - New Deal</t>
  </si>
  <si>
    <t>HiBob</t>
  </si>
  <si>
    <t>hibob.com</t>
  </si>
  <si>
    <t>Salt Security - New Deal</t>
  </si>
  <si>
    <t>went with showpad</t>
  </si>
  <si>
    <t>Salt Security</t>
  </si>
  <si>
    <t>salt.security</t>
  </si>
  <si>
    <t>Zipline - New Deal</t>
  </si>
  <si>
    <t>Zipline</t>
  </si>
  <si>
    <t>getzipline.com</t>
  </si>
  <si>
    <t>Teradata - New Deal</t>
  </si>
  <si>
    <t>Teradata</t>
  </si>
  <si>
    <t>teradata.com</t>
  </si>
  <si>
    <t>Field Nation - New Deal</t>
  </si>
  <si>
    <t>Field Nation</t>
  </si>
  <si>
    <t>fieldnation.com</t>
  </si>
  <si>
    <t>Maxio - 2024 Deal</t>
  </si>
  <si>
    <t>Maxio</t>
  </si>
  <si>
    <t>maxio.com</t>
  </si>
  <si>
    <t>LeadIQ - New Deal</t>
  </si>
  <si>
    <t>LeadIQ</t>
  </si>
  <si>
    <t>leadiq.com</t>
  </si>
  <si>
    <t>ActiveFence - New Deal</t>
  </si>
  <si>
    <t>ActiveFence</t>
  </si>
  <si>
    <t>activefence.com</t>
  </si>
  <si>
    <t>Cato Networks - New Deal</t>
  </si>
  <si>
    <t>Cato Networks</t>
  </si>
  <si>
    <t>catonetworks.com</t>
  </si>
  <si>
    <t>Riskified - New Deal</t>
  </si>
  <si>
    <t>Riskified</t>
  </si>
  <si>
    <t>riskified.com</t>
  </si>
  <si>
    <t>TripleLift - New Deal</t>
  </si>
  <si>
    <t>TripleLift</t>
  </si>
  <si>
    <t>triplelift.com</t>
  </si>
  <si>
    <t>DemandScience - New Deal</t>
  </si>
  <si>
    <t>"We are continuing with Highspot for 2024 but you’re welcome to circle back next spring."</t>
  </si>
  <si>
    <t>Treasure Data - New Deal</t>
  </si>
  <si>
    <t>Treasure Data</t>
  </si>
  <si>
    <t>treasuredata.com</t>
  </si>
  <si>
    <t>DataDome - New Deal</t>
  </si>
  <si>
    <t>DataDome</t>
  </si>
  <si>
    <t>datadome.co</t>
  </si>
  <si>
    <t>BloomReach - New Deal</t>
  </si>
  <si>
    <t>Bloomreach</t>
  </si>
  <si>
    <t>bloomreach.com</t>
  </si>
  <si>
    <t>Lacework - New Deal</t>
  </si>
  <si>
    <t>Lacework</t>
  </si>
  <si>
    <t>lacework.com</t>
  </si>
  <si>
    <t>Cymulate - New Deal</t>
  </si>
  <si>
    <t>Cymulate</t>
  </si>
  <si>
    <t>cymulate.com</t>
  </si>
  <si>
    <t>Starburst - New Deal</t>
  </si>
  <si>
    <t>Starburst</t>
  </si>
  <si>
    <t>starburst.io</t>
  </si>
  <si>
    <t>MaintainX - New Deal</t>
  </si>
  <si>
    <t>This deal was a marathon, not a sprint. Ron and the team initially engaged with MaintainX nearly two years ago and came close to the finish line last year. Just as momentum was building, both of our key stakeholders went on maternity leave, pausing the project. Instead of waiting passively, we re-engaged with the broader MaintainX org during this time. We ensured the value proposition was crystal clear across multiple teams so that when our champions returned in June, momentum was already established. With their support, the business was able to sign off. Key Highlights Persistence Paid Off: Ron showed tremendous perseverance, keeping the relationship alive through delays and setbacks without losing focus or patience. Strategic Engagement: By broadening the circle of influence while champions were out, we built organizational buy-in that made approval easier upon their return. Team Effort: Special recognition to Sundar, whose ability to tackle every technical and customer challenge gave the team confidence and credibility throughout the process. Takeaways Stay engaged during stakeholder transitions – keeping value top-of-mind with the broader team creates momentum for when champions return. Patience + persistence win long-cycle deals – success often comes down to maintaining trust and belief in the value we bring. Cross-functional teamwork is critical – customer success, technical depth, and sales alignment made this win possible.</t>
  </si>
  <si>
    <t>MaintainX</t>
  </si>
  <si>
    <t>getmaintainx.com</t>
  </si>
  <si>
    <t>329</t>
  </si>
  <si>
    <t>2026-11-04</t>
  </si>
  <si>
    <t>WiseTech Global - New Deal</t>
  </si>
  <si>
    <t>WiseTech Global</t>
  </si>
  <si>
    <t>wisetechglobal.com</t>
  </si>
  <si>
    <t>Mews - New Deal</t>
  </si>
  <si>
    <t>Mews</t>
  </si>
  <si>
    <t>mews.com</t>
  </si>
  <si>
    <t>Doofinder - New Deal</t>
  </si>
  <si>
    <t>Doofinder</t>
  </si>
  <si>
    <t>doofinder.com</t>
  </si>
  <si>
    <t>Noibu - New Deal</t>
  </si>
  <si>
    <t>Noibu</t>
  </si>
  <si>
    <t>noibu.com</t>
  </si>
  <si>
    <t>Broadvoice - New Deal</t>
  </si>
  <si>
    <t>Broadvoice</t>
  </si>
  <si>
    <t>broadvoice.com</t>
  </si>
  <si>
    <t>Lookout - New Deal</t>
  </si>
  <si>
    <t>Lookout</t>
  </si>
  <si>
    <t>lookout.com</t>
  </si>
  <si>
    <t>Prove - New Deal</t>
  </si>
  <si>
    <t>Prove</t>
  </si>
  <si>
    <t>prove.com</t>
  </si>
  <si>
    <t>Everlaw - New Deal</t>
  </si>
  <si>
    <t>GumGum - New Deal</t>
  </si>
  <si>
    <t>GumGum</t>
  </si>
  <si>
    <t>gumgum.com</t>
  </si>
  <si>
    <t>Springbuk - New Deal</t>
  </si>
  <si>
    <t>Springbuk</t>
  </si>
  <si>
    <t>springbuk.com</t>
  </si>
  <si>
    <t>Cegid - New Deal</t>
  </si>
  <si>
    <t>Cegid</t>
  </si>
  <si>
    <t>cegid.com</t>
  </si>
  <si>
    <t>Resulticks - New Deal</t>
  </si>
  <si>
    <t xml:space="preserve">They have MS dynamics CRM, also they don't have much enablement content. </t>
  </si>
  <si>
    <t>Resulticks</t>
  </si>
  <si>
    <t>resulticks.com</t>
  </si>
  <si>
    <t>AppZen -2024 Deal</t>
  </si>
  <si>
    <t>AppZen</t>
  </si>
  <si>
    <t>appzen.com</t>
  </si>
  <si>
    <t>DoorDash - New Deal</t>
  </si>
  <si>
    <t>DoorDash</t>
  </si>
  <si>
    <t>doordash.com</t>
  </si>
  <si>
    <t>Hivebrite - New Deal</t>
  </si>
  <si>
    <t>Hivebrite</t>
  </si>
  <si>
    <t>hivebrite.io</t>
  </si>
  <si>
    <t>Thought Industries - New Deal</t>
  </si>
  <si>
    <t>Thought Industries</t>
  </si>
  <si>
    <t>thoughtindustries.com</t>
  </si>
  <si>
    <t>Rossum - New Deal</t>
  </si>
  <si>
    <t>Rossum</t>
  </si>
  <si>
    <t>rossum.ai</t>
  </si>
  <si>
    <t>Triple Whale - New Deal</t>
  </si>
  <si>
    <t>Triple Whale</t>
  </si>
  <si>
    <t>triplewhale.com</t>
  </si>
  <si>
    <t>Druva - New Deal</t>
  </si>
  <si>
    <t>Druva</t>
  </si>
  <si>
    <t>druva.com</t>
  </si>
  <si>
    <t>aytm - New Deal</t>
  </si>
  <si>
    <t>aytm</t>
  </si>
  <si>
    <t>aytm.com</t>
  </si>
  <si>
    <t>CentralReach - New Deal</t>
  </si>
  <si>
    <t>CentralReach</t>
  </si>
  <si>
    <t>centralreach.com</t>
  </si>
  <si>
    <t>Agility PR Solutions - New Deal</t>
  </si>
  <si>
    <t>Agility PR Solutions</t>
  </si>
  <si>
    <t>agilitypr.com</t>
  </si>
  <si>
    <t>Finbox - New Deal</t>
  </si>
  <si>
    <t>inFeedo - New Deal</t>
  </si>
  <si>
    <t>inFeedo</t>
  </si>
  <si>
    <t>infeedo.ai</t>
  </si>
  <si>
    <t>HeadSpin - New Deal</t>
  </si>
  <si>
    <t>HeadSpin</t>
  </si>
  <si>
    <t>headspin.io</t>
  </si>
  <si>
    <t>Medallia - New Deal</t>
  </si>
  <si>
    <t>Medallia</t>
  </si>
  <si>
    <t>medallia.com</t>
  </si>
  <si>
    <t>Flashpoint - New Deal</t>
  </si>
  <si>
    <t>Spendesk - New Deal</t>
  </si>
  <si>
    <t>Spendesk</t>
  </si>
  <si>
    <t>spendesk.com</t>
  </si>
  <si>
    <t>Ignition - New Deal</t>
  </si>
  <si>
    <t>Ignition</t>
  </si>
  <si>
    <t>ignitionapp.com</t>
  </si>
  <si>
    <t>Netcall - New Deal</t>
  </si>
  <si>
    <t>Netcall</t>
  </si>
  <si>
    <t>netcall.com</t>
  </si>
  <si>
    <t>JUSPAY - New Deal</t>
  </si>
  <si>
    <t>JUSPAY</t>
  </si>
  <si>
    <t>juspay.in</t>
  </si>
  <si>
    <t>Kojo - New Deal</t>
  </si>
  <si>
    <t>Kojo</t>
  </si>
  <si>
    <t>usekojo.com</t>
  </si>
  <si>
    <t>Brandwatch - New Deal</t>
  </si>
  <si>
    <t>Brandwatch</t>
  </si>
  <si>
    <t>brandwatch.com</t>
  </si>
  <si>
    <t>Pecan AI - New Deal</t>
  </si>
  <si>
    <t>Pecan AI</t>
  </si>
  <si>
    <t>pecan.ai</t>
  </si>
  <si>
    <t>NexHealth - New Deal</t>
  </si>
  <si>
    <t>NexHealth</t>
  </si>
  <si>
    <t>nexhealth.com</t>
  </si>
  <si>
    <t>Operto Guest Technologies - New Deal</t>
  </si>
  <si>
    <t>Operto Guest Technologies</t>
  </si>
  <si>
    <t>operto.com</t>
  </si>
  <si>
    <t>Quadient - New Deal</t>
  </si>
  <si>
    <t>Quadient</t>
  </si>
  <si>
    <t>quadient.com</t>
  </si>
  <si>
    <t>15</t>
  </si>
  <si>
    <t>Level Access - New Deal</t>
  </si>
  <si>
    <t>Level Access</t>
  </si>
  <si>
    <t>levelaccess.com</t>
  </si>
  <si>
    <t>Watershed - New Deal</t>
  </si>
  <si>
    <t>Timeline Slipped; Lost Access to Power</t>
  </si>
  <si>
    <t>Watershed</t>
  </si>
  <si>
    <t>watershed.com</t>
  </si>
  <si>
    <t>Fountain - New Deal</t>
  </si>
  <si>
    <t>Fountain</t>
  </si>
  <si>
    <t>fountain.com</t>
  </si>
  <si>
    <t>Mixpanel - New Deal</t>
  </si>
  <si>
    <t>Mixpanel</t>
  </si>
  <si>
    <t>mixpanel.com</t>
  </si>
  <si>
    <t>Justworks - New Deal</t>
  </si>
  <si>
    <t>iDeals - New Deal</t>
  </si>
  <si>
    <t>Ideals</t>
  </si>
  <si>
    <t>idealsvdr.com</t>
  </si>
  <si>
    <t>Scale - New Deal</t>
  </si>
  <si>
    <t>YipitData - New Deal</t>
  </si>
  <si>
    <t>YipitData</t>
  </si>
  <si>
    <t>yipitdata.com</t>
  </si>
  <si>
    <t>Teramind - New Deal</t>
  </si>
  <si>
    <t>F5 - New Deal</t>
  </si>
  <si>
    <t>F5</t>
  </si>
  <si>
    <t>f5.com</t>
  </si>
  <si>
    <t>23</t>
  </si>
  <si>
    <t>Sense - New Deal</t>
  </si>
  <si>
    <t>Sense</t>
  </si>
  <si>
    <t>sensehq.com</t>
  </si>
  <si>
    <t>Integra - New Deal</t>
  </si>
  <si>
    <t>Integra</t>
  </si>
  <si>
    <t>integranxt.com</t>
  </si>
  <si>
    <t>Leadership Connect - New Deal</t>
  </si>
  <si>
    <t>Leadership Connect</t>
  </si>
  <si>
    <t>leadershipconnect.io</t>
  </si>
  <si>
    <t>Zuora - New Deal</t>
  </si>
  <si>
    <t>Zuora</t>
  </si>
  <si>
    <t>zuora.com</t>
  </si>
  <si>
    <t>Upside - New Deal</t>
  </si>
  <si>
    <t>Telnyx - New Deal</t>
  </si>
  <si>
    <t>Telnyx</t>
  </si>
  <si>
    <t>telnyx.com</t>
  </si>
  <si>
    <t>BillingPlatform - New Deal</t>
  </si>
  <si>
    <t>BillingPlatform</t>
  </si>
  <si>
    <t>billingplatform.com</t>
  </si>
  <si>
    <t>Cohere Health - New Deal</t>
  </si>
  <si>
    <t>Cohere Health</t>
  </si>
  <si>
    <t>coherehealth.com</t>
  </si>
  <si>
    <t>DroneDeploy - New Deal</t>
  </si>
  <si>
    <t>DroneDeploy</t>
  </si>
  <si>
    <t>dronedeploy.com</t>
  </si>
  <si>
    <t>Merative - New Deal</t>
  </si>
  <si>
    <t>Merative</t>
  </si>
  <si>
    <t>merative.com</t>
  </si>
  <si>
    <t>GigaSpaces Technologies - New Deal</t>
  </si>
  <si>
    <t>GigaSpaces Technologies</t>
  </si>
  <si>
    <t>gigaspaces.com</t>
  </si>
  <si>
    <t>Nayax - New Deal</t>
  </si>
  <si>
    <t>Nayax</t>
  </si>
  <si>
    <t>nayax.com</t>
  </si>
  <si>
    <t>Chargebee - New Deal</t>
  </si>
  <si>
    <t xml:space="preserve">They seem to have chosen another tool. </t>
  </si>
  <si>
    <t>Gorgias - New Deal</t>
  </si>
  <si>
    <t>Gorgias</t>
  </si>
  <si>
    <t>gorgias.com</t>
  </si>
  <si>
    <t>TPIsoftware - New Deal</t>
  </si>
  <si>
    <t>TPIsoftware</t>
  </si>
  <si>
    <t>tpisoftware.com</t>
  </si>
  <si>
    <t>Calendly - New Deal</t>
  </si>
  <si>
    <t>Calendly</t>
  </si>
  <si>
    <t>calendly.com</t>
  </si>
  <si>
    <t>Nintex - New Deal</t>
  </si>
  <si>
    <t>Nintex</t>
  </si>
  <si>
    <t>nintex.com</t>
  </si>
  <si>
    <t>Seekout - New Deal</t>
  </si>
  <si>
    <t>SeekOut</t>
  </si>
  <si>
    <t>seekout.com</t>
  </si>
  <si>
    <t>Intentsify - New Deal</t>
  </si>
  <si>
    <t>Intentsify</t>
  </si>
  <si>
    <t>intentsify.io</t>
  </si>
  <si>
    <t>Zip - New Deal</t>
  </si>
  <si>
    <t>Zip</t>
  </si>
  <si>
    <t>ziphq.com</t>
  </si>
  <si>
    <t>Trulioo - New Deal</t>
  </si>
  <si>
    <t>Trulioo</t>
  </si>
  <si>
    <t>trulioo.com</t>
  </si>
  <si>
    <t>GetAccept Inc - New Deal</t>
  </si>
  <si>
    <t>GetAccept Inc.</t>
  </si>
  <si>
    <t>getaccept.com</t>
  </si>
  <si>
    <t>Zycus - New Deal</t>
  </si>
  <si>
    <t>Zycus</t>
  </si>
  <si>
    <t>zycus.com</t>
  </si>
  <si>
    <t>CallHippo - New Deal</t>
  </si>
  <si>
    <t>CallHippo</t>
  </si>
  <si>
    <t>callhippo.com</t>
  </si>
  <si>
    <t>Ecom Express Private Limited - New Deal</t>
  </si>
  <si>
    <t>Ecom Express Private Limited</t>
  </si>
  <si>
    <t>ecomexpress.in</t>
  </si>
  <si>
    <t>Hach - New Deal</t>
  </si>
  <si>
    <t>Hach</t>
  </si>
  <si>
    <t>hach.com</t>
  </si>
  <si>
    <t>Stack Overflow - New Deal</t>
  </si>
  <si>
    <t>Stack Overflow</t>
  </si>
  <si>
    <t>stackoverflow.com</t>
  </si>
  <si>
    <t>Aisera - New Deal</t>
  </si>
  <si>
    <t>Aisera</t>
  </si>
  <si>
    <t>aisera.com</t>
  </si>
  <si>
    <t>Labster - New Deal</t>
  </si>
  <si>
    <t>Labster</t>
  </si>
  <si>
    <t>labster.com</t>
  </si>
  <si>
    <t>iPipeline - New Deal</t>
  </si>
  <si>
    <t>iPipeline</t>
  </si>
  <si>
    <t>ipipeline.com</t>
  </si>
  <si>
    <t>RealPage - New Deal</t>
  </si>
  <si>
    <t>RealPage, Inc.</t>
  </si>
  <si>
    <t>realpage.com</t>
  </si>
  <si>
    <t>Addepar, Inc. - New Deal</t>
  </si>
  <si>
    <t>Addepar</t>
  </si>
  <si>
    <t>addepar.com</t>
  </si>
  <si>
    <t>Sayari Upsell - 2024</t>
  </si>
  <si>
    <t>Needed additional seats for expanded team. Happy with the offering.</t>
  </si>
  <si>
    <t>SquadStack - New Deal</t>
  </si>
  <si>
    <t xml:space="preserve">They chose us over mindtickle as we educated them on the concept of everboarding. Their CRO and VP sales were bought in. </t>
  </si>
  <si>
    <t>SquadStack</t>
  </si>
  <si>
    <t>squadstack.com</t>
  </si>
  <si>
    <t>Glassbox - Rip &amp; Replace</t>
  </si>
  <si>
    <t>Glassbox</t>
  </si>
  <si>
    <t>glassbox.com</t>
  </si>
  <si>
    <t>Cato Networks - Rip &amp; Replace</t>
  </si>
  <si>
    <t>Rezdy - Rip &amp; Replace</t>
  </si>
  <si>
    <t>Rezdy</t>
  </si>
  <si>
    <t>rezdy.com</t>
  </si>
  <si>
    <t>Grey Orange Pte Ltd - Rip &amp; Replace</t>
  </si>
  <si>
    <t>GreyOrange</t>
  </si>
  <si>
    <t>greyorange.com</t>
  </si>
  <si>
    <t>Intuit - New Deal</t>
  </si>
  <si>
    <t>Intuit</t>
  </si>
  <si>
    <t>intuit.com</t>
  </si>
  <si>
    <t>Obsidian Security - New Deal</t>
  </si>
  <si>
    <t>VergeSense - New Deal</t>
  </si>
  <si>
    <t>VergeSense</t>
  </si>
  <si>
    <t>vergesense.com</t>
  </si>
  <si>
    <t>IntelePeer - New Deal</t>
  </si>
  <si>
    <t>IntelePeer</t>
  </si>
  <si>
    <t>intelepeer.com</t>
  </si>
  <si>
    <t>Resolver  - New Deal 2023</t>
  </si>
  <si>
    <t>Resolver, a Kroll Business</t>
  </si>
  <si>
    <t>resolver.com</t>
  </si>
  <si>
    <t>Similarweb - New Deal</t>
  </si>
  <si>
    <t>Similarweb</t>
  </si>
  <si>
    <t>similarweb.com</t>
  </si>
  <si>
    <t>LivePerson - Rip and Replace</t>
  </si>
  <si>
    <t>LivePerson</t>
  </si>
  <si>
    <t>liveperson.com</t>
  </si>
  <si>
    <t>Softheon - Rip and Replace</t>
  </si>
  <si>
    <t>Softheon</t>
  </si>
  <si>
    <t>softheon.com</t>
  </si>
  <si>
    <t>Optimizely - Rip and Replace</t>
  </si>
  <si>
    <t xml:space="preserve">highspot replacement.  they are focused on just in time delivery so loved meeting prep!  lot's of use cases for us to deliver. </t>
  </si>
  <si>
    <t>New Relic</t>
  </si>
  <si>
    <t>newrelic.com</t>
  </si>
  <si>
    <t>Plex Systems - Rip and Replace</t>
  </si>
  <si>
    <t>Plex, by Rockwell Automation</t>
  </si>
  <si>
    <t>plex.com</t>
  </si>
  <si>
    <t>Redox - New Deal</t>
  </si>
  <si>
    <t>Redox</t>
  </si>
  <si>
    <t>redoxengine.com</t>
  </si>
  <si>
    <t>DoubleVerify - New Deal</t>
  </si>
  <si>
    <t>DoubleVerify</t>
  </si>
  <si>
    <t>doubleverify.com</t>
  </si>
  <si>
    <t>Loopio - New Deal</t>
  </si>
  <si>
    <t>Loopio</t>
  </si>
  <si>
    <t>loopio.com</t>
  </si>
  <si>
    <t>Medisafe - Rip &amp; Replace</t>
  </si>
  <si>
    <t>Medisafe</t>
  </si>
  <si>
    <t>medisafe.com</t>
  </si>
  <si>
    <t>AlgoSec - Rip &amp; Replace</t>
  </si>
  <si>
    <t>AlgoSec</t>
  </si>
  <si>
    <t>algosec.com</t>
  </si>
  <si>
    <t>Lusha - Rip &amp; Replace</t>
  </si>
  <si>
    <t>Lusha</t>
  </si>
  <si>
    <t>lusha.com</t>
  </si>
  <si>
    <t>139</t>
  </si>
  <si>
    <t>Xoxoday - New Deal</t>
  </si>
  <si>
    <t>Uniphore - New Deal</t>
  </si>
  <si>
    <t>Uniphore</t>
  </si>
  <si>
    <t>uniphore.com</t>
  </si>
  <si>
    <t>Leapsome - New Deal</t>
  </si>
  <si>
    <t>Leapsome</t>
  </si>
  <si>
    <t>leapsome.com</t>
  </si>
  <si>
    <t>Cvent - Rip &amp; Replace</t>
  </si>
  <si>
    <t>Cvent</t>
  </si>
  <si>
    <t>cvent.com</t>
  </si>
  <si>
    <t>LeanData Highspot Replace</t>
  </si>
  <si>
    <t>Will</t>
  </si>
  <si>
    <t xml:space="preserve">Replaced Highspot because the adoption has been low and the admin burden is high. </t>
  </si>
  <si>
    <t>Veritone, Inc. - New Deal</t>
  </si>
  <si>
    <t>Veritone</t>
  </si>
  <si>
    <t>veritone.com</t>
  </si>
  <si>
    <t>TapClicks - New Deal</t>
  </si>
  <si>
    <t>TapClicks</t>
  </si>
  <si>
    <t>tapclicks.com</t>
  </si>
  <si>
    <t>Snap! Mobile - New Deal</t>
  </si>
  <si>
    <t>Snap! Mobile</t>
  </si>
  <si>
    <t>snapraise.com</t>
  </si>
  <si>
    <t>NetBase Quid - New Deal</t>
  </si>
  <si>
    <t>NetBase Quid</t>
  </si>
  <si>
    <t>netbasequid.com</t>
  </si>
  <si>
    <t>Cloud Kitchens - New Deal</t>
  </si>
  <si>
    <t>ability to integrate cms/lms for very unskilled sellers.  highlight was askbuddy searching thru a table of data and giving the answer correctly.  so cool!</t>
  </si>
  <si>
    <t>RateGain - New Deal 2024</t>
  </si>
  <si>
    <t xml:space="preserve">Bought the entire suite - LMS, cms and Sales success. </t>
  </si>
  <si>
    <t>Adverity - Rip &amp; Replace</t>
  </si>
  <si>
    <t>Adverity</t>
  </si>
  <si>
    <t>adverity.com</t>
  </si>
  <si>
    <t>Action IQ - New Deal</t>
  </si>
  <si>
    <t>Action IQ</t>
  </si>
  <si>
    <t>actioniq.com</t>
  </si>
  <si>
    <t>Mission Cloud Services - New Deal</t>
  </si>
  <si>
    <t>Mission Cloud</t>
  </si>
  <si>
    <t>missioncloud.com</t>
  </si>
  <si>
    <t>monday.com - Rip &amp; Replace</t>
  </si>
  <si>
    <t>monday.com</t>
  </si>
  <si>
    <t>35</t>
  </si>
  <si>
    <t>Intelex - New Deal</t>
  </si>
  <si>
    <t>Intelex Technologies ULC</t>
  </si>
  <si>
    <t>intelex.com</t>
  </si>
  <si>
    <t>Grammarly - New Deal</t>
  </si>
  <si>
    <t>Grammarly</t>
  </si>
  <si>
    <t>grammarly.com</t>
  </si>
  <si>
    <t>Bill.com - New Deal</t>
  </si>
  <si>
    <t>BILL</t>
  </si>
  <si>
    <t>bill.com</t>
  </si>
  <si>
    <t>HT Media Limited - New Deal</t>
  </si>
  <si>
    <t>HT Media Limited</t>
  </si>
  <si>
    <t>hindustantimes.com</t>
  </si>
  <si>
    <t>SurveySparrow - New Deal</t>
  </si>
  <si>
    <t>SurveySparrow</t>
  </si>
  <si>
    <t>surveysparrow.com</t>
  </si>
  <si>
    <t>O'Reilly Media - New Deal</t>
  </si>
  <si>
    <t>OpenX - New Deal</t>
  </si>
  <si>
    <t>"Apologies for our delayed response. Over the last couple of weeks, our priorities as a company have shifted and therefore we have decided to go with an Intranet instead. 
Thank you so much for your time and partnership throughout these last few months. "</t>
  </si>
  <si>
    <t>OpenX</t>
  </si>
  <si>
    <t>openx.com</t>
  </si>
  <si>
    <t>Yotpo- New Deal</t>
  </si>
  <si>
    <t>was using paperflight and just not powerful enough. loved meeting prep and the new pages layout!</t>
  </si>
  <si>
    <t>GitLab - New Deal</t>
  </si>
  <si>
    <t>GitLab</t>
  </si>
  <si>
    <t>gitlab.com</t>
  </si>
  <si>
    <t>Replicant - New Deal</t>
  </si>
  <si>
    <t xml:space="preserve">Our first official "Rip and Replace" campaign win. They are currently on Seismic + Lessonly, but aren't terribly happy with the adoption. We caught them at the right time and were able to instill enough confidence in us to make the switch. Great win for the team! </t>
  </si>
  <si>
    <t>Litmus - New Deal</t>
  </si>
  <si>
    <t>Litmus</t>
  </si>
  <si>
    <t>litmus.io</t>
  </si>
  <si>
    <t>Convoso - New Deal</t>
  </si>
  <si>
    <t>Convoso</t>
  </si>
  <si>
    <t>convoso.com</t>
  </si>
  <si>
    <t>89</t>
  </si>
  <si>
    <t>Flexe - New Deal</t>
  </si>
  <si>
    <t>Flexe</t>
  </si>
  <si>
    <t>flexe.com</t>
  </si>
  <si>
    <t>Prophix Software - New Deal</t>
  </si>
  <si>
    <t>Prophix</t>
  </si>
  <si>
    <t>prophix.com</t>
  </si>
  <si>
    <t>Nasuni - New Deal</t>
  </si>
  <si>
    <t>Nasuni</t>
  </si>
  <si>
    <t>nasuni.com</t>
  </si>
  <si>
    <t>FirstLight Fiber - New Deal</t>
  </si>
  <si>
    <t>FirstLight Fiber</t>
  </si>
  <si>
    <t>firstlight.net</t>
  </si>
  <si>
    <t>Tipalti - New Deal</t>
  </si>
  <si>
    <t>Tipalti</t>
  </si>
  <si>
    <t>tipalti.com</t>
  </si>
  <si>
    <t>WEX - New Deal</t>
  </si>
  <si>
    <t>WEX</t>
  </si>
  <si>
    <t>wexinc.com</t>
  </si>
  <si>
    <t>Genesis Digital - New Deal</t>
  </si>
  <si>
    <t>Genesis Digital</t>
  </si>
  <si>
    <t>genesisdigital.co</t>
  </si>
  <si>
    <t>Kore.ai - New Deal</t>
  </si>
  <si>
    <t>They bought Seismic. Their leadership felt more secure implementing an established product over a startup.</t>
  </si>
  <si>
    <t>Kore.ai</t>
  </si>
  <si>
    <t>kore.ai</t>
  </si>
  <si>
    <t>Bonterra - New Deal</t>
  </si>
  <si>
    <t>Coursera - New Deal</t>
  </si>
  <si>
    <t xml:space="preserve">Chose Highspot because other business lines were already on it. </t>
  </si>
  <si>
    <t>Coursera</t>
  </si>
  <si>
    <t>coursera.org</t>
  </si>
  <si>
    <t>Supermetrics - New Deal</t>
  </si>
  <si>
    <t>Supermetrics</t>
  </si>
  <si>
    <t>supermetrics.com</t>
  </si>
  <si>
    <t>Deluxe - New Deal</t>
  </si>
  <si>
    <t>Deluxe</t>
  </si>
  <si>
    <t>deluxe.com</t>
  </si>
  <si>
    <t>RollWorks - 2023 Deal</t>
  </si>
  <si>
    <t>RollWorks</t>
  </si>
  <si>
    <t>rollworks.com</t>
  </si>
  <si>
    <t>57</t>
  </si>
  <si>
    <t>Turnitin - New Deal</t>
  </si>
  <si>
    <t>Turnitin</t>
  </si>
  <si>
    <t>turnitin.com</t>
  </si>
  <si>
    <t>BirdEye - 2023</t>
  </si>
  <si>
    <t>Birdeye</t>
  </si>
  <si>
    <t>birdeye.com</t>
  </si>
  <si>
    <t>HG Insights - New Deal</t>
  </si>
  <si>
    <t>Siteimprove - New Deal</t>
  </si>
  <si>
    <t>Siteimprove</t>
  </si>
  <si>
    <t>siteimprove.com</t>
  </si>
  <si>
    <t>Aprimo - New Deal</t>
  </si>
  <si>
    <t>Aprimo</t>
  </si>
  <si>
    <t>aprimo.com</t>
  </si>
  <si>
    <t>Flywire - New Deal</t>
  </si>
  <si>
    <t>Flywire</t>
  </si>
  <si>
    <t>flywire.com</t>
  </si>
  <si>
    <t>Forward Networks, Inc - New Deal</t>
  </si>
  <si>
    <t>Forward Networks, Inc.</t>
  </si>
  <si>
    <t>forwardnetworks.com</t>
  </si>
  <si>
    <t>Nanonets - New Deal</t>
  </si>
  <si>
    <t>Nanonets</t>
  </si>
  <si>
    <t>nanonets.com</t>
  </si>
  <si>
    <t>Diligent - New Deal</t>
  </si>
  <si>
    <t>Diligent</t>
  </si>
  <si>
    <t>diligent.com</t>
  </si>
  <si>
    <t>Bandwidth - New Deal</t>
  </si>
  <si>
    <t>Bandwidth Inc.</t>
  </si>
  <si>
    <t>bandwidth.com</t>
  </si>
  <si>
    <t>Talroo - New Deal</t>
  </si>
  <si>
    <t>Talroo</t>
  </si>
  <si>
    <t>talroo.com</t>
  </si>
  <si>
    <t>Scrut Automation - New Deal</t>
  </si>
  <si>
    <t>Lob - Upsell</t>
  </si>
  <si>
    <t>Upsell for an expanded team and features</t>
  </si>
  <si>
    <t>Lob</t>
  </si>
  <si>
    <t>lob.com</t>
  </si>
  <si>
    <t>2025-12-03</t>
  </si>
  <si>
    <t xml:space="preserve">New enabler has been hired and they are joining on 15th
Our prediction is Churn - 
No Adoption
No Enablement team, No POC. Revops is the current POC, not interested/have time to talk with us / or run any initiative.
Lost all POCs. Last POC initiated the conversation on RFP automation, but Legal shot it down.
VP of Sales Liz, moved to Spectrio and talked high about GTM Buddy. </t>
  </si>
  <si>
    <t>FEV Tutor - New Deal</t>
  </si>
  <si>
    <t>Project never really got off the ground. Sophie rescheduled our demo multiple times "due to holiday calendars" only to inform me last week that they had "decided to go in a different direction."</t>
  </si>
  <si>
    <t>FEV Tutor Inc</t>
  </si>
  <si>
    <t>fevtutor.com</t>
  </si>
  <si>
    <t>Capillary Technologies - Upsell 2023</t>
  </si>
  <si>
    <t>They saw the value, extended it to 10 more people.</t>
  </si>
  <si>
    <t>NetSPI - New Deal</t>
  </si>
  <si>
    <t>liked our pages better than highspot.  loved meeting prep as well</t>
  </si>
  <si>
    <t>NetSPI</t>
  </si>
  <si>
    <t>netspi.com</t>
  </si>
  <si>
    <t>2027-09-21</t>
  </si>
  <si>
    <t>Deliverect - New Deal</t>
  </si>
  <si>
    <t>Deliverect</t>
  </si>
  <si>
    <t>deliverect.com</t>
  </si>
  <si>
    <t>SALESmanago - New Deal</t>
  </si>
  <si>
    <t>SALESmanago</t>
  </si>
  <si>
    <t>salesmanago.com</t>
  </si>
  <si>
    <t>Dataiku - New Deal</t>
  </si>
  <si>
    <t>Wonderschool - New Deal</t>
  </si>
  <si>
    <t xml:space="preserve">Needed something that can be used for both internal enablement, but also partner enablement (they have a bunch of lobbyists in DC that help promote their services/offering). </t>
  </si>
  <si>
    <t>Wonderschool Inc</t>
  </si>
  <si>
    <t>wonderschool.com</t>
  </si>
  <si>
    <t>Looked at all the other solutions, but for the price and ease of admin, they ultimately chose us!</t>
  </si>
  <si>
    <t>Anyscale - New Deal</t>
  </si>
  <si>
    <t>Anyscale</t>
  </si>
  <si>
    <t>anyscale.com</t>
  </si>
  <si>
    <t>Simetrik - PS Team - Upsell</t>
  </si>
  <si>
    <t>Upsell for 43 Professional Services users</t>
  </si>
  <si>
    <t>Simetrik</t>
  </si>
  <si>
    <t>simetrik.com</t>
  </si>
  <si>
    <t>Foleon - New Deal</t>
  </si>
  <si>
    <t xml:space="preserve">Email from Irene - "Hi Divanshu, after some convos and consideration internally, we have decided not to proceed right now with the demo. It would be great to reconnect when there are more extensive options to the Learning module in GTM Buddy. Maybe you can connect with us in Q2? Thanks for your time!"
</t>
  </si>
  <si>
    <t>Foleon</t>
  </si>
  <si>
    <t>foleon.com</t>
  </si>
  <si>
    <t>Cloud4C - New Deal</t>
  </si>
  <si>
    <t>Cloud4C Services</t>
  </si>
  <si>
    <t>cloud4c.com</t>
  </si>
  <si>
    <t>Greytip Software Pvt. Ltd. - New Deal</t>
  </si>
  <si>
    <t>Tread - New Deal</t>
  </si>
  <si>
    <t>Tread</t>
  </si>
  <si>
    <t>tread.io</t>
  </si>
  <si>
    <t>Plume Design, Inc - New Deal</t>
  </si>
  <si>
    <t>Plume</t>
  </si>
  <si>
    <t>plume.com</t>
  </si>
  <si>
    <t>HopSkipDrive</t>
  </si>
  <si>
    <t>"Thanks for following up. After sharing my notes with the team, we have decided to continue the conversation with other vendors. GTM Buddy is an impressive platform; however, we found the features/capabilities in other tools to be more in line with our needs at this time. "</t>
  </si>
  <si>
    <t>hopskipdrive.com</t>
  </si>
  <si>
    <t xml:space="preserve">Replacing Highspot! PMM driven project that was eventually signed off by the CMO. </t>
  </si>
  <si>
    <t>Appian - PMM</t>
  </si>
  <si>
    <t>Appian</t>
  </si>
  <si>
    <t>appian.com</t>
  </si>
  <si>
    <t>Planful - New Deal</t>
  </si>
  <si>
    <t>Planful</t>
  </si>
  <si>
    <t>planful.com</t>
  </si>
  <si>
    <t>Fabric Inc. - New Deal</t>
  </si>
  <si>
    <t>not a priority anymore</t>
  </si>
  <si>
    <t>Headless E-Commerce Platform</t>
  </si>
  <si>
    <t>fabric.inc</t>
  </si>
  <si>
    <t>Entrio - New Deal</t>
  </si>
  <si>
    <t>not a project</t>
  </si>
  <si>
    <t>Entrio</t>
  </si>
  <si>
    <t>entrio.io</t>
  </si>
  <si>
    <t>Mosaic Tech New</t>
  </si>
  <si>
    <t xml:space="preserve">Ron meet with Brian and there isn't a mutual fit at this time. </t>
  </si>
  <si>
    <t>Mosaic.tech</t>
  </si>
  <si>
    <t>mosaic.tech</t>
  </si>
  <si>
    <t>Leegality - Add-on 15 Users</t>
  </si>
  <si>
    <t>Liked the tool, want to extended to the CS team.</t>
  </si>
  <si>
    <t>Symphony SummitAI - New Deal</t>
  </si>
  <si>
    <t>Symphony SummitAI</t>
  </si>
  <si>
    <t>symphonysummit.com</t>
  </si>
  <si>
    <t>AppZen - New Deal</t>
  </si>
  <si>
    <t>"After researching other vendors, it is very important to me that the LMS has coaching abilities, which is something you don't offer. Thank you for your time though."</t>
  </si>
  <si>
    <t>Zluri - New Deal</t>
  </si>
  <si>
    <t xml:space="preserve">Won the evaluation against Paperflite and other vendors because they saw "meeting prep" as the unique differentiator. </t>
  </si>
  <si>
    <t>PeopleFluent - New Deal</t>
  </si>
  <si>
    <t xml:space="preserve">Initially came in via PMM who was looking for a Klue replacement, but the VP of Sales was also on the call, and quickly took this and ran with it herself! All sales-led. </t>
  </si>
  <si>
    <t>Square, Inc. - New Deal</t>
  </si>
  <si>
    <t>Square</t>
  </si>
  <si>
    <t>squareup.com</t>
  </si>
  <si>
    <t>Qualtrics - New Deal</t>
  </si>
  <si>
    <t>Lost our POC to layoff.</t>
  </si>
  <si>
    <t>Qualtrics</t>
  </si>
  <si>
    <t>qualtrics.com</t>
  </si>
  <si>
    <t>16</t>
  </si>
  <si>
    <t>Simetrik - Upsell (8 CS Seats)</t>
  </si>
  <si>
    <t xml:space="preserve">Want to add their CS team to GTM Buddy. </t>
  </si>
  <si>
    <t>Aetos Imaging</t>
  </si>
  <si>
    <t xml:space="preserve">John (CRO) immediately saw the value when we first showed it to him and thinks this is the perfect tool to build his content strategy and sales playbook out with. </t>
  </si>
  <si>
    <t>aetosimaging.com</t>
  </si>
  <si>
    <t>2026-09-17</t>
  </si>
  <si>
    <t>Solidus Labs - New Deal</t>
  </si>
  <si>
    <t xml:space="preserve">Rip and replace of Seismic + Lessonly. They have been on it for ~8 months and it has been a total disaster. So bad in fact that they were interested in having us simply buy out their contract! </t>
  </si>
  <si>
    <t>Solidus Labs</t>
  </si>
  <si>
    <t>soliduslabs.com</t>
  </si>
  <si>
    <t>2026-04-17</t>
  </si>
  <si>
    <t>Unable to get in touch with any POCs, sent multiple emails/msgs but getting no response. Adoption is decent by sales team.</t>
  </si>
  <si>
    <t>Checkr, Inc. - New Deal</t>
  </si>
  <si>
    <t>Checkr, Inc.</t>
  </si>
  <si>
    <t>checkr.com</t>
  </si>
  <si>
    <t>Dolby - New Deal</t>
  </si>
  <si>
    <t>Lead Rejected — Never actually met w/ him. He rescheduled our first meeting, then informed me that "things have shifted internally."</t>
  </si>
  <si>
    <t>Dolby Laboratories, Inc</t>
  </si>
  <si>
    <t>dolby.com</t>
  </si>
  <si>
    <t>thoughtbot - New Deal</t>
  </si>
  <si>
    <t>Budget Reallocated; Pain Deprioritized</t>
  </si>
  <si>
    <t>thoughtbot</t>
  </si>
  <si>
    <t>thoughtbot.com</t>
  </si>
  <si>
    <t>AB Tasty - New Deal</t>
  </si>
  <si>
    <t>AB Tasty</t>
  </si>
  <si>
    <t>abtasty.com</t>
  </si>
  <si>
    <t>152</t>
  </si>
  <si>
    <t>Maxio - New Deal</t>
  </si>
  <si>
    <t>Gainsight - New Deal</t>
  </si>
  <si>
    <t>Champion left and staying with Seismic.</t>
  </si>
  <si>
    <t>Gainsight</t>
  </si>
  <si>
    <t>gainsight.com</t>
  </si>
  <si>
    <t>Degreed</t>
  </si>
  <si>
    <t>degreed.com</t>
  </si>
  <si>
    <t>Crescent Electric Supply Company - New Deal</t>
  </si>
  <si>
    <t xml:space="preserve">Never a qualified deal — Inbound that was not in our ICP and didn't turn into a real project. </t>
  </si>
  <si>
    <t>Crescent Electric Supply Company</t>
  </si>
  <si>
    <t>cesco.com</t>
  </si>
  <si>
    <t>apaleo - New Deal</t>
  </si>
  <si>
    <t>Apaleo</t>
  </si>
  <si>
    <t>apaleo.com</t>
  </si>
  <si>
    <t>Kofax - New Deal</t>
  </si>
  <si>
    <t>They have decided to go with Highspot as that is a more established brand.</t>
  </si>
  <si>
    <t>Tungsten Automation</t>
  </si>
  <si>
    <t>tungstenautomation.com</t>
  </si>
  <si>
    <t>Simetrik - Partner Enablement</t>
  </si>
  <si>
    <t>Added on 50 partner users so they can use GTM Buddy's partner enablement capabilities.</t>
  </si>
  <si>
    <t>Snappy - New Deal</t>
  </si>
  <si>
    <t>Snappy</t>
  </si>
  <si>
    <t>snappy.com</t>
  </si>
  <si>
    <t>Tines</t>
  </si>
  <si>
    <t>tines.com</t>
  </si>
  <si>
    <t>Pinecone - New Deal</t>
  </si>
  <si>
    <t>Pinecone</t>
  </si>
  <si>
    <t>pinecone.io</t>
  </si>
  <si>
    <t>Quest Analytics - New Deal</t>
  </si>
  <si>
    <t xml:space="preserve">Lisa Ricci has now brought in GTM Buddy to her 3rd company! They were previously on Brand Folder, but new VP of PMM needed a better solution for her content dissemination, and naturally, Lisa introduced the two of us. </t>
  </si>
  <si>
    <t>Entropik Upsell</t>
  </si>
  <si>
    <t>Team was happy with GTM buddy, just upped the PUPM to $20</t>
  </si>
  <si>
    <t>Entropik</t>
  </si>
  <si>
    <t>entropik.io</t>
  </si>
  <si>
    <t>Keka HR - New Deal</t>
  </si>
  <si>
    <t xml:space="preserve">We won the evaluation against the competition long back, the real hurdle was to convince the CFO/CEO to assign budgets for this. </t>
  </si>
  <si>
    <t>Keka HR</t>
  </si>
  <si>
    <t>keka.com</t>
  </si>
  <si>
    <t>2025-12-13</t>
  </si>
  <si>
    <t>Seeing risk in renewal. Have asked for time to discuss with them
Will renew, not sure about downsell or upsell. Lower than expected adoption. 
DSR launch did not happen, not a big usecase for them, is their claim, just couple of users are using it..</t>
  </si>
  <si>
    <t>Simetrik - New Deal</t>
  </si>
  <si>
    <t xml:space="preserve">Met Jonathan through the podcast (he was a guest) and when he started his new role, he came to me first. He has previously used Seismic and Spekit in the past, but felt like GTM Buddy was a perfect fit. 
He could be a great advocate for us moving forward. </t>
  </si>
  <si>
    <t>Impact.com - New Deal</t>
  </si>
  <si>
    <t>impact.com</t>
  </si>
  <si>
    <t>Gympass - New Deal</t>
  </si>
  <si>
    <t>Gympass</t>
  </si>
  <si>
    <t>gympass.com</t>
  </si>
  <si>
    <t>Veriff - New Deal</t>
  </si>
  <si>
    <t xml:space="preserve">Lawrence and the rest of his team were laid off in the middle of them building the business case. Although we were also able to get buy-in from one of their sales directors, he has informed me that their rev org has put a freeze on all spending while they try and sort out their lack of sales success. 
Will continue to nurture, but the project will need to start from scratch when the time comes. </t>
  </si>
  <si>
    <t>Veriff</t>
  </si>
  <si>
    <t>veriff.com</t>
  </si>
  <si>
    <t>Hasura - New Deal</t>
  </si>
  <si>
    <t>perseverance:).  long sales cycle!  in the end the bought roleplay/LMS and CMS!</t>
  </si>
  <si>
    <t>Ellucian - New Deal</t>
  </si>
  <si>
    <t>Ellucian</t>
  </si>
  <si>
    <t>ellucian.com</t>
  </si>
  <si>
    <t>13</t>
  </si>
  <si>
    <t>zLinq - New Deal</t>
  </si>
  <si>
    <t xml:space="preserve">Caught up with Andrea last week — She informed me that they still haven't purchased an LMS, but that they are likely purchasing Workramp this quarter. </t>
  </si>
  <si>
    <t>zLinq</t>
  </si>
  <si>
    <t>getzlinq.com</t>
  </si>
  <si>
    <t>Bayzat - New Deal</t>
  </si>
  <si>
    <t>Bayzat</t>
  </si>
  <si>
    <t>bayzat.com</t>
  </si>
  <si>
    <t>Facilio: - New Deal</t>
  </si>
  <si>
    <t xml:space="preserve">Bought Showpad. </t>
  </si>
  <si>
    <t>Facilio</t>
  </si>
  <si>
    <t>facilio.com</t>
  </si>
  <si>
    <t>Shypple - New Deal</t>
  </si>
  <si>
    <t>Shypple</t>
  </si>
  <si>
    <t>shypple.com</t>
  </si>
  <si>
    <t>Haptik - Upsell / Renewal</t>
  </si>
  <si>
    <t>This is an Upsell + Renewal</t>
  </si>
  <si>
    <t>Haptik</t>
  </si>
  <si>
    <t>haptik.ai</t>
  </si>
  <si>
    <t>Recorded Future - New Deal</t>
  </si>
  <si>
    <t>Recorded Future</t>
  </si>
  <si>
    <t>recordedfuture.com</t>
  </si>
  <si>
    <t>Leegality - New Deal</t>
  </si>
  <si>
    <t>Found it better than Paperflite, liked the content recommendations feature.</t>
  </si>
  <si>
    <t>Toddle - Your Teaching Partner - New Deal</t>
  </si>
  <si>
    <t>They are looking to improve win ratio of their sales reps. They feel in the flow enablement can help their sales reps drive better sales conversations.</t>
  </si>
  <si>
    <t>Toddle</t>
  </si>
  <si>
    <t>toddleapp.com</t>
  </si>
  <si>
    <t>2026-06-11</t>
  </si>
  <si>
    <t>Verint - New Deal</t>
  </si>
  <si>
    <t>Verint</t>
  </si>
  <si>
    <t>verint.com</t>
  </si>
  <si>
    <t>Vymo - Upsell</t>
  </si>
  <si>
    <t>Renewal</t>
  </si>
  <si>
    <t>Vymo</t>
  </si>
  <si>
    <t>vymo.com</t>
  </si>
  <si>
    <t>2026-03-14</t>
  </si>
  <si>
    <t>Too many transitions, all the current POCs left in Nov and Dec.. Establishing new POCs</t>
  </si>
  <si>
    <t>Iterable, Inc. - New Deal</t>
  </si>
  <si>
    <t xml:space="preserve">Completely radio silent despite months of following up. Will need to re-prospect in the future. </t>
  </si>
  <si>
    <t>Iterable</t>
  </si>
  <si>
    <t>iterable.com</t>
  </si>
  <si>
    <t>BeyondTrust - New Deal</t>
  </si>
  <si>
    <t xml:space="preserve">Have gone radio silence since our initial meeting despite persistent follow-up for months. It was never a real project and it's clear that this isn't a priority at the moment. </t>
  </si>
  <si>
    <t>BeyondTrust</t>
  </si>
  <si>
    <t>beyondtrust.com</t>
  </si>
  <si>
    <t>Gupshup - New Deal</t>
  </si>
  <si>
    <t xml:space="preserve">Enable the entire Gupshup sales team with the new messaging, we beat Mindtickle and Paperflite </t>
  </si>
  <si>
    <t>CareAcademy - New Deal</t>
  </si>
  <si>
    <t>"Sorry for the delay, but we're changing priorities and it's not the right time to move forward on this. I'll reach back out if/when we're ready to revisit."</t>
  </si>
  <si>
    <t>CareAcademy</t>
  </si>
  <si>
    <t>careacademy.com</t>
  </si>
  <si>
    <t>BrightEdge - New Deal</t>
  </si>
  <si>
    <t>Never a real project. She went radio silence as soon as she confirmed receipt of gift card...</t>
  </si>
  <si>
    <t>BrightEdge</t>
  </si>
  <si>
    <t>brightedge.com</t>
  </si>
  <si>
    <t>Scrive - New Deal</t>
  </si>
  <si>
    <t>They decided to renew with their current LMS provider, and postpone the decision on CMS for Q4</t>
  </si>
  <si>
    <t>Dotmatics - New Deal</t>
  </si>
  <si>
    <t>They ended up going with Seismic because one of the members of their Enablement team (Matt), used to work for Seismic. 
They may consider something new once Matt is no longer there, but in the meantime, no real shot here.</t>
  </si>
  <si>
    <t>Dotmatics</t>
  </si>
  <si>
    <t>dotmatics.com</t>
  </si>
  <si>
    <t>WebEngage - New Deal</t>
  </si>
  <si>
    <t xml:space="preserve">They were bought into the idea of recommending content in the workflow, vs making the reps search for it. </t>
  </si>
  <si>
    <t>Teledyneflir - New Deal</t>
  </si>
  <si>
    <t>teledyneflir.com</t>
  </si>
  <si>
    <t>Espeo Software - New Deal</t>
  </si>
  <si>
    <t>Content adoption &amp; awareness was the main challenge. Liked GTM Buddy's recommendations &amp; in the flow features.</t>
  </si>
  <si>
    <t>Espeo Software</t>
  </si>
  <si>
    <t>espeo.eu</t>
  </si>
  <si>
    <t>Tanium - New Deal</t>
  </si>
  <si>
    <t>"Will, apologies, there is no path or budget for anything in the short term. Let’s stay in contact per quarter though in case this changes" - David</t>
  </si>
  <si>
    <t>Tanium</t>
  </si>
  <si>
    <t>tanium.com</t>
  </si>
  <si>
    <t>G2 - New Deal</t>
  </si>
  <si>
    <t>G2</t>
  </si>
  <si>
    <t>g2.com</t>
  </si>
  <si>
    <t>Coro - New Deal</t>
  </si>
  <si>
    <t>Coro</t>
  </si>
  <si>
    <t>coro.net</t>
  </si>
  <si>
    <t>Infoblox - New Deal</t>
  </si>
  <si>
    <t>"I believe the enablement team are moving forward with HighSpot.  I shared the capabilities of your solution with the decision makers, and they still wanted to go with HighSpot. Their reasoning included:
1. The champion driving the project has a lot of experience with HighSpot from prior companies
2.HighSpot is a leader in the Forrester wave, and our experience with MindTickle has soured them from taking a “chance” on a smaller vendor. 
Thanks for sharing your platform with me, and maybe there is a chance to work together in the future if HighSpot does not meet the overall needs.
Regards,"</t>
  </si>
  <si>
    <t>Infoblox</t>
  </si>
  <si>
    <t>infoblox.com</t>
  </si>
  <si>
    <t>Sourcewhale - New Deal</t>
  </si>
  <si>
    <t>SourceWhale</t>
  </si>
  <si>
    <t>sourcewhale.com</t>
  </si>
  <si>
    <t>OneSpan - New Deal</t>
  </si>
  <si>
    <t>Quantum - New Deal</t>
  </si>
  <si>
    <t>Quantum</t>
  </si>
  <si>
    <t>quantum.com</t>
  </si>
  <si>
    <t>Weights &amp; Biases - New Deal</t>
  </si>
  <si>
    <t xml:space="preserve">Broader team had too many questions/concerns about implementation + set-up requirements. There was also an internal re-structure that created some confusion and unforeseen delays. Lastly, sales leadership felt like the UI was too "clunky" and "overwhelming" for the reps needs. 
Yuliya is still a big champion of GTM Buddy and was upset by the decision. While they did decide to not proceed with GTM Buddy, they didn't decide on anything else and so Yuliya is going to continue to push for GTM Buddy in the future. </t>
  </si>
  <si>
    <t>Wandb</t>
  </si>
  <si>
    <t>wandb.ai</t>
  </si>
  <si>
    <t>Sayari Analytics - New Deal</t>
  </si>
  <si>
    <t xml:space="preserve">Huge team win here! Highspot replacement. Largest deal to date. Multiple stakeholders involved. SCORM support on the LMS as well as "content freshness" all added to roadmap for this deal to get completed. </t>
  </si>
  <si>
    <t>Inbox Insight - New Deal</t>
  </si>
  <si>
    <t>Inbox Insight</t>
  </si>
  <si>
    <t>inboxinsight.com</t>
  </si>
  <si>
    <t>Browserstack - New Deal</t>
  </si>
  <si>
    <t>Enfuce - New Deal</t>
  </si>
  <si>
    <t>Enfuce</t>
  </si>
  <si>
    <t>enfuce.com</t>
  </si>
  <si>
    <t>Xoriant - New Deal</t>
  </si>
  <si>
    <t>Xoriant Corporation Inc</t>
  </si>
  <si>
    <t>xoriant.com</t>
  </si>
  <si>
    <t>CircleCI - New Deal</t>
  </si>
  <si>
    <t xml:space="preserve">This was a VERY long and drawn out sales cycle, but ultimately they selected us because of the contextual recommendations, LMS + CMS combo, and seller workflow integrations! 
Proud of our team for this one and definitely a great win for all of us. </t>
  </si>
  <si>
    <t>CircleCI</t>
  </si>
  <si>
    <t>circleci.com</t>
  </si>
  <si>
    <t>Process Fusion - New Deal</t>
  </si>
  <si>
    <t xml:space="preserve">They have zero budget (didn't close a single business deal in Q2) and because of that, are being forced to stay with sharepoint at the moment. </t>
  </si>
  <si>
    <t>Process Fusion Inc</t>
  </si>
  <si>
    <t>processfusion.com</t>
  </si>
  <si>
    <t>Absorb LMS - New Deal</t>
  </si>
  <si>
    <t xml:space="preserve">We had leadership connections via Sundar and were able to show enough value to both PMM and SE that it was a no-brainer decision for them. This is a great logo to have in the US. </t>
  </si>
  <si>
    <t>Filevine - New Deal</t>
  </si>
  <si>
    <t xml:space="preserve">Worked on this project for over a year, despite losing our initial POC. Keegan came in officially about 10 months ago and instantly saw the value. The difficult part was building the business case. 
Shoutout to Ron for leveraging his connecting with their CFO to finally get it across the finish line. </t>
  </si>
  <si>
    <t>Increff - New Deal</t>
  </si>
  <si>
    <t>Increff</t>
  </si>
  <si>
    <t>increff.com</t>
  </si>
  <si>
    <t>HighRadius - New Deal</t>
  </si>
  <si>
    <t>We met the PBRs and won evaluation against Mindtickle. Leveraged champion and exec network.</t>
  </si>
  <si>
    <t>HighRadius</t>
  </si>
  <si>
    <t>highradius.com</t>
  </si>
  <si>
    <t>2027-08-18</t>
  </si>
  <si>
    <t>QualityKiosk Technologies Pvt. Ltd. - New Deal</t>
  </si>
  <si>
    <t>QualityKiosk Technologies Pvt. Ltd.</t>
  </si>
  <si>
    <t>qualitykiosk.com</t>
  </si>
  <si>
    <t>Appcast Inc - New Deal</t>
  </si>
  <si>
    <t>"Yes, we decided to move forward with Mindtickle as our solution of choice. We felt it best aligned with our criteria.
I will always keep GTM Buddy in mind for future possibilities! You are a fantastic sales person and I really enjoyed working with you."</t>
  </si>
  <si>
    <t>Appcast, Inc</t>
  </si>
  <si>
    <t>appcast.io</t>
  </si>
  <si>
    <t>Kubermatic - New Deal</t>
  </si>
  <si>
    <t xml:space="preserve">Don't have enough content. </t>
  </si>
  <si>
    <t>Kubermatic</t>
  </si>
  <si>
    <t>kubermatic.com</t>
  </si>
  <si>
    <t>Split - New Deal</t>
  </si>
  <si>
    <t xml:space="preserve">Our main POC was recently laid off. Was also informed by other contact here that they layoffs came with a budget freeze as well. </t>
  </si>
  <si>
    <t>Split</t>
  </si>
  <si>
    <t>split.io</t>
  </si>
  <si>
    <t>Greenhouse Software - New Deal</t>
  </si>
  <si>
    <t xml:space="preserve">We were not shortlisted based on our RFP response. I have requested more details on why that is, so will update once I hear more. </t>
  </si>
  <si>
    <t>Greenhouse Software</t>
  </si>
  <si>
    <t>greenhouse.io</t>
  </si>
  <si>
    <t>Entrust - New Deal</t>
  </si>
  <si>
    <t>Entrust</t>
  </si>
  <si>
    <t>entrust.com</t>
  </si>
  <si>
    <t>Lob - New Deal</t>
  </si>
  <si>
    <t xml:space="preserve">Outstanding team win! This is our first true Highspot rip and replace. They have been using Highspot for 3 years and have decided to go in a different direction. Today, we are officially that direction. </t>
  </si>
  <si>
    <t>Clozd - New Deal</t>
  </si>
  <si>
    <t>Clozd</t>
  </si>
  <si>
    <t>clozd.com</t>
  </si>
  <si>
    <t>Pantheon Platform - New Deal</t>
  </si>
  <si>
    <t>Multiplier - New Deal</t>
  </si>
  <si>
    <t>Rodney's email "We went with a different vendor that has been around longer in the market, is a more established brand, and a product that we've used before."</t>
  </si>
  <si>
    <t>Vantage Circle - New Deal</t>
  </si>
  <si>
    <t>Liked meeting prep to improve sales conversions.</t>
  </si>
  <si>
    <t>Bullhorn - New Deal</t>
  </si>
  <si>
    <t>"While we were impressed with your product, we ultimately decided we want to pursue a technology with a robust LMS, as onboarding new sales reps and upskilling existing sales reps are key use cases for our business. I know this is on the roadmap for you, but we believe other solutions in the market have feature rich, mature solutions." - From Jonathan, the DM</t>
  </si>
  <si>
    <t>Bullhorn</t>
  </si>
  <si>
    <t>bullhorn.com</t>
  </si>
  <si>
    <t>Vanta - New Deal</t>
  </si>
  <si>
    <t>Vanta</t>
  </si>
  <si>
    <t>vanta.com</t>
  </si>
  <si>
    <t>Amplitude - New Deal</t>
  </si>
  <si>
    <t xml:space="preserve">Conversations stalled as new VP of RE came into the business and Meghan lost all influence for a project like this. </t>
  </si>
  <si>
    <t>Amplitude</t>
  </si>
  <si>
    <t>amplitude.com</t>
  </si>
  <si>
    <t>Quickbase - New Deal</t>
  </si>
  <si>
    <t>Quickbase</t>
  </si>
  <si>
    <t>quickbase.com</t>
  </si>
  <si>
    <t>Skedulo - New Deal</t>
  </si>
  <si>
    <t>Skedulo</t>
  </si>
  <si>
    <t>skedulo.com</t>
  </si>
  <si>
    <t>TeamSnap - New Deal</t>
  </si>
  <si>
    <t>TeamSnap</t>
  </si>
  <si>
    <t>teamsnap.com</t>
  </si>
  <si>
    <t>Billdr - New Deal</t>
  </si>
  <si>
    <t>"Billdr laid off 70% if the company, it’s my last day today, the whole sales team is out as well. Thanks for your help!" - Thierry</t>
  </si>
  <si>
    <t>Billdr</t>
  </si>
  <si>
    <t>billdr.co</t>
  </si>
  <si>
    <t>Pave - New Deal</t>
  </si>
  <si>
    <t>Pave</t>
  </si>
  <si>
    <t>pave.com</t>
  </si>
  <si>
    <t>Netcore Cloud - New Deal</t>
  </si>
  <si>
    <t xml:space="preserve">They were exploring content camel, which was at way lesser cost. The real challenge was to educate them on why that subdued product is not sustainable considering the size of their sales org. </t>
  </si>
  <si>
    <t>COUCHBASE - New Deal</t>
  </si>
  <si>
    <t>Couchbase</t>
  </si>
  <si>
    <t>couchbase.com</t>
  </si>
  <si>
    <t>EC-Council - New Deal</t>
  </si>
  <si>
    <t>Took awhile from a legal and security perspective, but they saw the value in GTM Buddy enough to make concessions when needed! Lisa (our former POC at AgoraPulse) introduced us. This our first "flywheel" win.</t>
  </si>
  <si>
    <t>EC-Council</t>
  </si>
  <si>
    <t>eccouncil.org</t>
  </si>
  <si>
    <t>RollWorks - New Deal</t>
  </si>
  <si>
    <t xml:space="preserve">They switched from Showpad to Highspot. </t>
  </si>
  <si>
    <t>ESO - New Deal</t>
  </si>
  <si>
    <t>ESO</t>
  </si>
  <si>
    <t>eso.com</t>
  </si>
  <si>
    <t>Atlas - New Deal</t>
  </si>
  <si>
    <t>Atlas HXM</t>
  </si>
  <si>
    <t>atlashxm.com</t>
  </si>
  <si>
    <t>Scaleupsaas - New Deal</t>
  </si>
  <si>
    <t>ScaleUp</t>
  </si>
  <si>
    <t>scaleupsaas.org</t>
  </si>
  <si>
    <t>Exotel - New Deal</t>
  </si>
  <si>
    <t>Budget freeze, and a few of senior leadership left the company. They will look at this after 2 quarters.</t>
  </si>
  <si>
    <t>Hippo Video - New Deal</t>
  </si>
  <si>
    <t>They decided to replace Paperflite with GTM Buddy</t>
  </si>
  <si>
    <t>Hippo Video</t>
  </si>
  <si>
    <t>hippovideo.io</t>
  </si>
  <si>
    <t>Tookitaki - New Deal</t>
  </si>
  <si>
    <t>Tookitaki</t>
  </si>
  <si>
    <t>tookitaki.com</t>
  </si>
  <si>
    <t>Decided to renew Showpad.</t>
  </si>
  <si>
    <t>Acuvate - New Deal</t>
  </si>
  <si>
    <t>Acuvate</t>
  </si>
  <si>
    <t>acuvate.com</t>
  </si>
  <si>
    <t>ValueFirst, a Twilio company - New Deal</t>
  </si>
  <si>
    <t>They have decided to push this project to April 2023 due to budget freeze.
Message from the prospect - Your product is definitely better than HighSpot. But the CEO has decided to not spend anything on new tools this FY.</t>
  </si>
  <si>
    <t>ValueFirst, a Twilio company</t>
  </si>
  <si>
    <t>vfirst.com</t>
  </si>
  <si>
    <t>BirdEye - New Deal</t>
  </si>
  <si>
    <t>Renewed with Highspot</t>
  </si>
  <si>
    <t>Harness - New Deal</t>
  </si>
  <si>
    <t>Harness</t>
  </si>
  <si>
    <t>harness.io</t>
  </si>
  <si>
    <t>AlayaCare - New Deal</t>
  </si>
  <si>
    <t>AlayaCare</t>
  </si>
  <si>
    <t>alayacare.com</t>
  </si>
  <si>
    <t>Lyniate - New Deal</t>
  </si>
  <si>
    <t>We didn't make the final 2. Andrew liked us, but ultimately came back with this response: "The issue that I have uncovered here as a small company, is that if I want to deploy technology, I need that single solution to solve multiple problems.  It would be horrendously difficult for me to get funding for 3-4 different vendors / tools (content management, content engagement, learning &amp; coaching, and call recording).   So getting all of these big-ticket items from one vendor, one price, one integration, one SSO setup, etc., is just an easier sell to the executive team here."</t>
  </si>
  <si>
    <t>Rhapsody</t>
  </si>
  <si>
    <t>rhapsody.health</t>
  </si>
  <si>
    <t>15five - New Deal</t>
  </si>
  <si>
    <t>15Five</t>
  </si>
  <si>
    <t>15five.com</t>
  </si>
  <si>
    <t>Innovaccer - New Deal</t>
  </si>
  <si>
    <t>Innovaccer</t>
  </si>
  <si>
    <t>innovaccer.com</t>
  </si>
  <si>
    <t>ITILITE - New Deal</t>
  </si>
  <si>
    <t>They chose GTM Buddy over Seismic after full evaluation.</t>
  </si>
  <si>
    <t>ITILITE</t>
  </si>
  <si>
    <t>itilite.com</t>
  </si>
  <si>
    <t>Striim - New Deal</t>
  </si>
  <si>
    <t>Striim</t>
  </si>
  <si>
    <t>striim.com</t>
  </si>
  <si>
    <t>Imocha - New Deal</t>
  </si>
  <si>
    <t>Deprioritised amongst other initiatives. Their new CRO has joined last week, will try to start a new thread as the use case is relevant.</t>
  </si>
  <si>
    <t>Imocha</t>
  </si>
  <si>
    <t>imocha.io</t>
  </si>
  <si>
    <t>Planful - Old Deal</t>
  </si>
  <si>
    <t>Apty - Marketing route</t>
  </si>
  <si>
    <t>Apty</t>
  </si>
  <si>
    <t>apty.io</t>
  </si>
  <si>
    <t>Ironcladhq - New Deal</t>
  </si>
  <si>
    <t>Ironclad</t>
  </si>
  <si>
    <t>ironcladapp.com</t>
  </si>
  <si>
    <t>clarifai - New Deal</t>
  </si>
  <si>
    <t>Clarifai Inc</t>
  </si>
  <si>
    <t>clarifai.com</t>
  </si>
  <si>
    <t>Verbit - New Deal</t>
  </si>
  <si>
    <t>Verbit.ai</t>
  </si>
  <si>
    <t>verbit.ai</t>
  </si>
  <si>
    <t>CEIPAL Corp. - New Deal</t>
  </si>
  <si>
    <t xml:space="preserve">This is our first Seismic replacement win. </t>
  </si>
  <si>
    <t>They had already bought Seismic. We were exploring parallel implementation as I have a good connect with their CRO, however that won't be happening too as their enablement person has left. 
Will reach out in Jan.</t>
  </si>
  <si>
    <t>CredAvenue - New Deal</t>
  </si>
  <si>
    <t>No response. Didn't resonate much with the challenges too.</t>
  </si>
  <si>
    <t>Yubi</t>
  </si>
  <si>
    <t>credavenue.com</t>
  </si>
  <si>
    <t>Nova Benefits - New Deal</t>
  </si>
  <si>
    <t>Message from the prospect - We've put the evaluation on hold for a Sales CMS like GTMBuddy.</t>
  </si>
  <si>
    <t>Nova Benefits</t>
  </si>
  <si>
    <t>nova-benefits.com</t>
  </si>
  <si>
    <t>Mural - New Deal</t>
  </si>
  <si>
    <t>Mural</t>
  </si>
  <si>
    <t>mural.co</t>
  </si>
  <si>
    <t>Blueocean.ai - New Deal</t>
  </si>
  <si>
    <t>BlueOcean</t>
  </si>
  <si>
    <t>blueocean.ai</t>
  </si>
  <si>
    <t>CropIn Technology Solutions Private Limited - New Deal</t>
  </si>
  <si>
    <t>Cropin</t>
  </si>
  <si>
    <t>cropin.com</t>
  </si>
  <si>
    <t>Amagi Corporation - New Deal</t>
  </si>
  <si>
    <t>They chose Highspot over GTM Buddy. Navin (VP Revops) gave the detailed feedback, attached in the notes.</t>
  </si>
  <si>
    <t>Amagi</t>
  </si>
  <si>
    <t>amagi.com</t>
  </si>
  <si>
    <t>disprz - New Deal</t>
  </si>
  <si>
    <t>disprz</t>
  </si>
  <si>
    <t>disprz.com</t>
  </si>
  <si>
    <t>115</t>
  </si>
  <si>
    <t>Entropik Tech - New Deal</t>
  </si>
  <si>
    <t>Chose GTM Buddy over Showpad and Enablix</t>
  </si>
  <si>
    <t>Compport - New Deal</t>
  </si>
  <si>
    <t>Darwinbox sub entity</t>
  </si>
  <si>
    <t>Compport</t>
  </si>
  <si>
    <t>compport.com</t>
  </si>
  <si>
    <t>CyberCube - New Deal</t>
  </si>
  <si>
    <t xml:space="preserve">PMM Use-Case. Had to build the business case from scratch and it worked! </t>
  </si>
  <si>
    <t>Algolia - New Deal</t>
  </si>
  <si>
    <t xml:space="preserve">Their VP of Rev Ops is formerly from Seismic and their new Enablement manager is also from Seismic. They moved forward without Seismic. </t>
  </si>
  <si>
    <t>Algolia</t>
  </si>
  <si>
    <t>algolia.com</t>
  </si>
  <si>
    <t>Pendo - New Deal</t>
  </si>
  <si>
    <t>We were a week or two too late to the party. They were already in contract negotiations with their vendor of choice by the time we showed the GTM Buddy.</t>
  </si>
  <si>
    <t>Pendo.io</t>
  </si>
  <si>
    <t>pendo.io</t>
  </si>
  <si>
    <t>Resolver Inc. - New Deal</t>
  </si>
  <si>
    <t>"it really came down to reporting capabilities, years of experience, and doubling up as a digital asset management."
These are clearly without merit so I pushed back for clarity, but haven't heard anything yet. 
My guess is they choose Seismic because her boss is a former Seismic power user.</t>
  </si>
  <si>
    <t>Hubilo - New Deal</t>
  </si>
  <si>
    <t xml:space="preserve">When evaluating LMSs (her first priority), they decided on Lessonly and by proxy, received Seismic for free. </t>
  </si>
  <si>
    <t>Hubilo</t>
  </si>
  <si>
    <t>hubilo.com</t>
  </si>
  <si>
    <t>Facilio: - Old Deal</t>
  </si>
  <si>
    <t>Alyce - New Deal</t>
  </si>
  <si>
    <t xml:space="preserve">Both of our contacts are no longer in the business and not seeing any other enablement contacts there. This needs to be fully re-prospected. </t>
  </si>
  <si>
    <t>Alyce</t>
  </si>
  <si>
    <t>alyce.com</t>
  </si>
  <si>
    <t>Signzy - New Deal</t>
  </si>
  <si>
    <t>No response. Will keep a tap on this account.</t>
  </si>
  <si>
    <t>Signzy</t>
  </si>
  <si>
    <t>signzy.com</t>
  </si>
  <si>
    <t>Rocketium - New Deal</t>
  </si>
  <si>
    <t>Content sharing</t>
  </si>
  <si>
    <t>Rocketium</t>
  </si>
  <si>
    <t>rocketium.com</t>
  </si>
  <si>
    <t>Coralogix - New Deal</t>
  </si>
  <si>
    <t>Was never in buy-mode, but was hopeful. Looks like she ran into some push back internally: 
"Unfortunately, I won't be able to prio this for the foreseeable future. I am still a big fan though!
I am not a fan of the perpetual "try again in a couple of months" so I won't say it - although you are more than welcome to do so.
When something like this becomes relevant, you will definitely be top of mind for me either way."</t>
  </si>
  <si>
    <t>Coralogix</t>
  </si>
  <si>
    <t>coralogix.com</t>
  </si>
  <si>
    <t>Kennected - New Deal</t>
  </si>
  <si>
    <t>Kennected</t>
  </si>
  <si>
    <t>kennected.io</t>
  </si>
  <si>
    <t>MoEngage - New Deal</t>
  </si>
  <si>
    <t>Launch for MoEgnage South-East Asia happening this Wednesday. Replacing Paperflite.</t>
  </si>
  <si>
    <t>Mitratech Holdings - New Deal</t>
  </si>
  <si>
    <t>Mitratech</t>
  </si>
  <si>
    <t>mitratech.com</t>
  </si>
  <si>
    <t>Haptik - New Deal</t>
  </si>
  <si>
    <t>After evaluating Showpad and other tools, they decided to go with GTM Buddy</t>
  </si>
  <si>
    <t>Lokalise - New Deal</t>
  </si>
  <si>
    <t>Lokalise</t>
  </si>
  <si>
    <t>lokalise.com</t>
  </si>
  <si>
    <t xml:space="preserve">2023 Deal Derailed - Gupshup.io </t>
  </si>
  <si>
    <t>ShipperHQ - New Deal</t>
  </si>
  <si>
    <t>POC left and deal was already very small. Not worth pursing at this time.</t>
  </si>
  <si>
    <t>ShipperHQ</t>
  </si>
  <si>
    <t>shipperhq.com</t>
  </si>
  <si>
    <t>Wunderkind - New Deal</t>
  </si>
  <si>
    <t>Wunderkind</t>
  </si>
  <si>
    <t>wunderkind.co</t>
  </si>
  <si>
    <t>Insider</t>
  </si>
  <si>
    <t>Reached out to their enablement person, said not interested. Will keep a tap on this account.</t>
  </si>
  <si>
    <t>useinsider.com</t>
  </si>
  <si>
    <t>558</t>
  </si>
  <si>
    <t>CaptivateIQ - New Deal</t>
  </si>
  <si>
    <t>Conversations stalled before ever making to disco call.</t>
  </si>
  <si>
    <t>dbt Labs Inc. - New Deal</t>
  </si>
  <si>
    <t>DBT Labs</t>
  </si>
  <si>
    <t>dbtlabs.com</t>
  </si>
  <si>
    <t>Agiloft - New Deal</t>
  </si>
  <si>
    <t>Agiloft</t>
  </si>
  <si>
    <t>agiloft.com</t>
  </si>
  <si>
    <t>LogRocket - New Deal</t>
  </si>
  <si>
    <t>Budget Reallocated; Lost Access to Power</t>
  </si>
  <si>
    <t>LogRocket</t>
  </si>
  <si>
    <t>logrocket.com</t>
  </si>
  <si>
    <t>Krisp - New Deal</t>
  </si>
  <si>
    <t>Krisp</t>
  </si>
  <si>
    <t>krisp.ai</t>
  </si>
  <si>
    <t>ClickUp - New Deal</t>
  </si>
  <si>
    <t>"We aren't investing an any platform anytime soon, but our enablement leader might be willing to at least hear the pitch and provide feedback. I just asked him." - Mike Berger</t>
  </si>
  <si>
    <t>ClickUp</t>
  </si>
  <si>
    <t>clickup.com</t>
  </si>
  <si>
    <t>LinkSquares Inc - New Deal</t>
  </si>
  <si>
    <t>They are looking for an LMS that also supports customer training.</t>
  </si>
  <si>
    <t>LinkSquares</t>
  </si>
  <si>
    <t>linksquares.com</t>
  </si>
  <si>
    <t>Securiti - New Deal</t>
  </si>
  <si>
    <t>Securiti</t>
  </si>
  <si>
    <t>securiti.ai</t>
  </si>
  <si>
    <t>aPriori - New Deal</t>
  </si>
  <si>
    <t>aPriori</t>
  </si>
  <si>
    <t>apriori.com</t>
  </si>
  <si>
    <t>HigherLogic</t>
  </si>
  <si>
    <t>Higher Logic</t>
  </si>
  <si>
    <t>higherlogic.com</t>
  </si>
  <si>
    <t>Spectrum</t>
  </si>
  <si>
    <t>Spectrum Labs Inc</t>
  </si>
  <si>
    <t>getspectrum.io</t>
  </si>
  <si>
    <t>SaaSOptics</t>
  </si>
  <si>
    <t>SaaS Optics LLC</t>
  </si>
  <si>
    <t>saasoptics.com</t>
  </si>
  <si>
    <t>Gravitee</t>
  </si>
  <si>
    <t xml:space="preserve">Team of 1 and needed something that was easy to lift and manage. Former Highspot user but saw the value of GTM Buddy. </t>
  </si>
  <si>
    <t>Gravitee.io</t>
  </si>
  <si>
    <t>gravitee.io</t>
  </si>
  <si>
    <t>Moderncampus</t>
  </si>
  <si>
    <t>Modern Campus</t>
  </si>
  <si>
    <t>moderncampus.com</t>
  </si>
  <si>
    <t>Vidyard - New Deal</t>
  </si>
  <si>
    <t>Vidyard</t>
  </si>
  <si>
    <t>vidyard.com</t>
  </si>
  <si>
    <t>Monte Carlo - New Deal</t>
  </si>
  <si>
    <t>Monte Carlo</t>
  </si>
  <si>
    <t>montecarlodata.com</t>
  </si>
  <si>
    <t>Tourial - New Deal</t>
  </si>
  <si>
    <t>Tourial Inc</t>
  </si>
  <si>
    <t>tourial.com</t>
  </si>
  <si>
    <t>SaaS Labs - New Deal</t>
  </si>
  <si>
    <t>Vymo - New Deal</t>
  </si>
  <si>
    <t>Signed with 90 day opt out</t>
  </si>
  <si>
    <t>Instabase - New Deal</t>
  </si>
  <si>
    <t>Instabase</t>
  </si>
  <si>
    <t>instabase.com</t>
  </si>
  <si>
    <t>Atlan - New Deal</t>
  </si>
  <si>
    <t>Atlan</t>
  </si>
  <si>
    <t>atlan.com</t>
  </si>
  <si>
    <t>Apty - New Deal</t>
  </si>
  <si>
    <t>Tact.ai - New Deal</t>
  </si>
  <si>
    <t>Tact.ai</t>
  </si>
  <si>
    <t>tact.ai</t>
  </si>
  <si>
    <t>Orum Inc - New Deal</t>
  </si>
  <si>
    <t>Orum 🥇</t>
  </si>
  <si>
    <t>orumhq.com</t>
  </si>
  <si>
    <t>Typeform - New Deal</t>
  </si>
  <si>
    <t>Typeform</t>
  </si>
  <si>
    <t>typeform.com</t>
  </si>
  <si>
    <t>Gravy</t>
  </si>
  <si>
    <t>gravysolutions.io</t>
  </si>
  <si>
    <t>Kandji - New Deal</t>
  </si>
  <si>
    <t xml:space="preserve">We had to be quite aggressive on pricing to get this deal done as they were on very strict budget constraints, but this is a great logo for us! Perfect size company, with a real need for GTM Buddy. Due to the discounted rate we extended, we did secure a video testimonial, a formal case-study, and the ability to use their logo on website and other marketing materials in exchange. </t>
  </si>
  <si>
    <t>Radio silence despite several weeks of follow-up</t>
  </si>
  <si>
    <t>Bombora - New Deal</t>
  </si>
  <si>
    <t xml:space="preserve">They have been using Saleshood as their LMS for awhile, but with Saleshood's recent release of a CMS, Bombora is going to start using that. 
They did tell me to reach out again in August though to see how that project is going. </t>
  </si>
  <si>
    <t>Bombora</t>
  </si>
  <si>
    <t>bombora.com</t>
  </si>
  <si>
    <t>82</t>
  </si>
  <si>
    <t>Canto - New Deal</t>
  </si>
  <si>
    <t>Canto</t>
  </si>
  <si>
    <t>canto.com</t>
  </si>
  <si>
    <t>Agorapulse - New Deal</t>
  </si>
  <si>
    <t>Clear need to address the seller's inability to find persona specific content. Company is growing into outbound from all inbound so understanding the messaging will be critical. GTM Buddy addresses that gap.</t>
  </si>
  <si>
    <t>Agorapulse</t>
  </si>
  <si>
    <t>agorapulse.com</t>
  </si>
  <si>
    <t>Famly - New Deal</t>
  </si>
  <si>
    <t>Famly</t>
  </si>
  <si>
    <t>famly.co</t>
  </si>
  <si>
    <t>Airtable - New Deal</t>
  </si>
  <si>
    <t>Airtable</t>
  </si>
  <si>
    <t>airtable.com</t>
  </si>
  <si>
    <t>Melio - New Deal</t>
  </si>
  <si>
    <t>Melio</t>
  </si>
  <si>
    <t>meliopayments.com</t>
  </si>
  <si>
    <t>Thinkific - New Deal</t>
  </si>
  <si>
    <t>Thinkific</t>
  </si>
  <si>
    <t>thinkific.com</t>
  </si>
  <si>
    <t>Levelset - New Deal</t>
  </si>
  <si>
    <t xml:space="preserve">Going with Highspot because they acquired Procore and they already use it. </t>
  </si>
  <si>
    <t>Levelset, a Procore Company</t>
  </si>
  <si>
    <t>levelset.com</t>
  </si>
  <si>
    <t>Agora Systems - New Deal</t>
  </si>
  <si>
    <t>Agora Systems</t>
  </si>
  <si>
    <t>helloagora.com</t>
  </si>
  <si>
    <t>BrightTALK - New Deal</t>
  </si>
  <si>
    <t>Acquired by TechTarget</t>
  </si>
  <si>
    <t>BrightTALK</t>
  </si>
  <si>
    <t>brighttalk.com</t>
  </si>
  <si>
    <t>Restaurant365 - New Deal</t>
  </si>
  <si>
    <t>Restaurant365</t>
  </si>
  <si>
    <t>restaurant365.com</t>
  </si>
  <si>
    <t>Accredible - New Deal</t>
  </si>
  <si>
    <t>Accredible</t>
  </si>
  <si>
    <t>accredible.com</t>
  </si>
  <si>
    <t>Shippo - New Deal</t>
  </si>
  <si>
    <t>Shippo</t>
  </si>
  <si>
    <t>goshippo.com</t>
  </si>
  <si>
    <t>Ramp - New Deal</t>
  </si>
  <si>
    <t>Ramp</t>
  </si>
  <si>
    <t>ramp.com</t>
  </si>
  <si>
    <t>Glofox</t>
  </si>
  <si>
    <t>glofox.com</t>
  </si>
  <si>
    <t>OfficeSpace Software - New Deal - 2022</t>
  </si>
  <si>
    <t>Webflow - New Deal</t>
  </si>
  <si>
    <t>Webflow</t>
  </si>
  <si>
    <t>webflow.com</t>
  </si>
  <si>
    <t>Lunchbox - New Deal</t>
  </si>
  <si>
    <t>They're trying to use Guru as their CMS. Only a stop gap measure. They will need a proper CMS in the coming months.</t>
  </si>
  <si>
    <t>Lunchbox</t>
  </si>
  <si>
    <t>lunchbox.io</t>
  </si>
  <si>
    <t>Ordway</t>
  </si>
  <si>
    <t>Company is going through an acquisition</t>
  </si>
  <si>
    <t>Ordway Labs Inc</t>
  </si>
  <si>
    <t>ordwaylabs.com</t>
  </si>
  <si>
    <t>Newfront - New Deal</t>
  </si>
  <si>
    <t>Seismic and Highspot were better choices based on their needs.</t>
  </si>
  <si>
    <t>Newfront</t>
  </si>
  <si>
    <t>theabdteam.com</t>
  </si>
  <si>
    <t>inFeedo Inc. - New Deal</t>
  </si>
  <si>
    <t>Duda</t>
  </si>
  <si>
    <t>Went with Seismic. Too much uncertainty with buying GTM Buddy. The Seismic team was able to establish the business case clearer and show a level of support (templates, branding, ROI, benchmarking similar customers, etc).</t>
  </si>
  <si>
    <t>duda.co</t>
  </si>
  <si>
    <t>Belal</t>
  </si>
  <si>
    <t>No enabler hired, demo instance broke so they got a mixed impression</t>
  </si>
  <si>
    <t>Beyond Pricing</t>
  </si>
  <si>
    <t>Ryan stopped responding after demo.</t>
  </si>
  <si>
    <t>beyondpricing.com</t>
  </si>
  <si>
    <t>ServiceTitan</t>
  </si>
  <si>
    <t>servicetitan.com</t>
  </si>
  <si>
    <t>SmartAsset</t>
  </si>
  <si>
    <t>Ghosted me after first demo</t>
  </si>
  <si>
    <t>smartasset.com</t>
  </si>
  <si>
    <t>UpKeep</t>
  </si>
  <si>
    <t>UpKeep Maintenance Management</t>
  </si>
  <si>
    <t>onupkeep.com</t>
  </si>
  <si>
    <t>79</t>
  </si>
  <si>
    <t>Cloudinary</t>
  </si>
  <si>
    <t>Enablement manager left, no new enabler hired yet</t>
  </si>
  <si>
    <t>cloudinary.com</t>
  </si>
  <si>
    <t>Flow Commerce</t>
  </si>
  <si>
    <t>Brandon left the company and they have no enabler hired as well.</t>
  </si>
  <si>
    <t>flow.io</t>
  </si>
  <si>
    <t>ProQuo</t>
  </si>
  <si>
    <t>ProQuo AI</t>
  </si>
  <si>
    <t>proquoai.com</t>
  </si>
  <si>
    <t>LiveStorm</t>
  </si>
  <si>
    <t xml:space="preserve">Matthieu to Belal:
"Unfortunately I don't have good ones to share as we've just decided to move forward with Seismic.
Having said we missed 2 key elements from our perspective:
1. Training/coaching capabilities
2. Integration with Notion, SalesLoft
Having said that, your demo has convinced the majority of our internal project team. Well done. Sounds like you are a great killer presenter.
I would like to thank you about the time &amp; energy you spent with us on that project and wish a long life to your solution!"
We went back and asked if Salesloft / Notion integrations would have changed the outcome, but I don't think so. Matthieu was high on Seismic from the beginning. Not sure if he ever really gave us a fair shot. </t>
  </si>
  <si>
    <t>Livestorm</t>
  </si>
  <si>
    <t>livestorm.co</t>
  </si>
  <si>
    <t>Pandadoc</t>
  </si>
  <si>
    <t>PandaDoc</t>
  </si>
  <si>
    <t>pandadoc.com</t>
  </si>
  <si>
    <t>Bravely</t>
  </si>
  <si>
    <t>Bravely Inc</t>
  </si>
  <si>
    <t>workbravely.com</t>
  </si>
  <si>
    <t>Challenger</t>
  </si>
  <si>
    <t>Don't want to risk partnerships with Seismic and Highspot by buying another CMS.</t>
  </si>
  <si>
    <t>challengerinc.com</t>
  </si>
  <si>
    <t>Clearbit</t>
  </si>
  <si>
    <t xml:space="preserve">There is still some unanswered questions surrounding this deal, but as far as we can tell, our main contact inherited a new "division" of the business and because of that, her priorities changed. At the same time, there seems to have been some conversations internally that we aren't privy to, and those might have included other alternatives.  </t>
  </si>
  <si>
    <t>clearbit.com</t>
  </si>
  <si>
    <t>RingDNA</t>
  </si>
  <si>
    <t>Revenue.io</t>
  </si>
  <si>
    <t>revenue.io</t>
  </si>
  <si>
    <t>ThoughtExchange - New Deal</t>
  </si>
  <si>
    <t>Recently purchased Highspot</t>
  </si>
  <si>
    <t>ThoughtExchange</t>
  </si>
  <si>
    <t>thoughtexchange.com</t>
  </si>
  <si>
    <t>Ozonetel - New Deal</t>
  </si>
  <si>
    <t>Ozonetel   |   oneCXi</t>
  </si>
  <si>
    <t>ozonetel.com</t>
  </si>
  <si>
    <t>Leadfeeder</t>
  </si>
  <si>
    <t>CMO stated they do really low ACV, high velocity deals that are 100% inbound. Not interested in a CMS</t>
  </si>
  <si>
    <t>leadfeeder.com</t>
  </si>
  <si>
    <t>Global Shares</t>
  </si>
  <si>
    <t>globalshares.com</t>
  </si>
  <si>
    <t>SimScale</t>
  </si>
  <si>
    <t>simscale.com</t>
  </si>
  <si>
    <t>Proxyclick</t>
  </si>
  <si>
    <t>Eptura</t>
  </si>
  <si>
    <t>eptura.com</t>
  </si>
  <si>
    <t>Lattice</t>
  </si>
  <si>
    <t>Bought Guru — Using is exclusively for sales enablement.</t>
  </si>
  <si>
    <t>lattice.com</t>
  </si>
  <si>
    <t>ServiceChannel</t>
  </si>
  <si>
    <t>servicechannel.com</t>
  </si>
  <si>
    <t>Placer.ai</t>
  </si>
  <si>
    <t>Ghosted after giving the verbal when the new enabler and product marketer joined in October</t>
  </si>
  <si>
    <t>placer.io</t>
  </si>
  <si>
    <t>Netlify</t>
  </si>
  <si>
    <t>Melanie was standoffish, and was very focused on buying a competitive enablement tool (crayon/klue). No enabler hired.</t>
  </si>
  <si>
    <t>netlify.com</t>
  </si>
  <si>
    <t>Cognism</t>
  </si>
  <si>
    <t>Non-responsive</t>
  </si>
  <si>
    <t>cognism.com</t>
  </si>
  <si>
    <t>241</t>
  </si>
  <si>
    <t>Slintel</t>
  </si>
  <si>
    <t>Relationship with Sreedhar</t>
  </si>
  <si>
    <t>slintel.com</t>
  </si>
  <si>
    <t>Testlio</t>
  </si>
  <si>
    <t>Signed</t>
  </si>
  <si>
    <t>testlio.com</t>
  </si>
  <si>
    <t>Esper</t>
  </si>
  <si>
    <t>"Moved in a different direction."</t>
  </si>
  <si>
    <t>esper.io</t>
  </si>
  <si>
    <t>Leadr</t>
  </si>
  <si>
    <t>Nayan</t>
  </si>
  <si>
    <t>Unknown</t>
  </si>
  <si>
    <t>leadr.com</t>
  </si>
  <si>
    <t>Capillary</t>
  </si>
  <si>
    <t xml:space="preserve">We were getting deprioritised due to limited budgets, KMS positioning made all the difference. </t>
  </si>
  <si>
    <t>Missed the evaluation window</t>
  </si>
  <si>
    <t>Yellow Messenger</t>
  </si>
  <si>
    <t>Yellow.ai</t>
  </si>
  <si>
    <t>yellow.ai</t>
  </si>
  <si>
    <t>Whatfix</t>
  </si>
  <si>
    <t>They bought Mindtickle.
Missed the evaluation window</t>
  </si>
  <si>
    <t>whatfix.com</t>
  </si>
  <si>
    <t>Contact ID</t>
  </si>
  <si>
    <t>Email</t>
  </si>
  <si>
    <t>Website Demo Request Date</t>
  </si>
  <si>
    <t>MQL Rejection Notes</t>
  </si>
  <si>
    <t>MQL Date</t>
  </si>
  <si>
    <t>Meeting Scheduled Date</t>
  </si>
  <si>
    <t>Meeting Happened Date</t>
  </si>
  <si>
    <t>How did you hear about us?</t>
  </si>
  <si>
    <t>How did you hear about us? (Grouped)</t>
  </si>
  <si>
    <t>Ad Campaign Interacted</t>
  </si>
  <si>
    <t>#MQL</t>
  </si>
  <si>
    <t>#Meeting Scheduled</t>
  </si>
  <si>
    <t>#Meeting Happened</t>
  </si>
  <si>
    <t>#Won</t>
  </si>
  <si>
    <t>#Lost</t>
  </si>
  <si>
    <t>kinga.kusak@reachdesk.com</t>
  </si>
  <si>
    <t>google search</t>
  </si>
  <si>
    <t>luke.lockwood@wpengine.com</t>
  </si>
  <si>
    <t>ClaudeAI</t>
  </si>
  <si>
    <t>varnika.chaturvedi@interface.ai</t>
  </si>
  <si>
    <t>ChatGPT</t>
  </si>
  <si>
    <t>AI Referrals</t>
  </si>
  <si>
    <t>ted@theassemble.com</t>
  </si>
  <si>
    <t>Search</t>
  </si>
  <si>
    <t>jeff.macomber@litera.com</t>
  </si>
  <si>
    <t>Linkedin</t>
  </si>
  <si>
    <t>Social Media</t>
  </si>
  <si>
    <t>whess@carpedia.co.za</t>
  </si>
  <si>
    <t>I forget...</t>
  </si>
  <si>
    <t>Others</t>
  </si>
  <si>
    <t>sara.gaiero@abridge.com</t>
  </si>
  <si>
    <t>slack group</t>
  </si>
  <si>
    <t>Community</t>
  </si>
  <si>
    <t>GTMBuddy-Brand-Phrase-USCA-2025-07</t>
  </si>
  <si>
    <t>jina.moreno@firemon.com</t>
  </si>
  <si>
    <t>Previous user at Recast</t>
  </si>
  <si>
    <t>Past Customer</t>
  </si>
  <si>
    <t>chris@mvandc.com</t>
  </si>
  <si>
    <t>Google</t>
  </si>
  <si>
    <t>bryancounts@pantheon.io</t>
  </si>
  <si>
    <t>mpowers@torotms.com</t>
  </si>
  <si>
    <t>Reddit &gt;.&lt;</t>
  </si>
  <si>
    <t>orundio@apartmentlist.com</t>
  </si>
  <si>
    <t>In the Enablement space + recommendation from a fellow enabler over at Engine</t>
  </si>
  <si>
    <t>siddharth.tyagi@phonepe.com</t>
  </si>
  <si>
    <t>Social media</t>
  </si>
  <si>
    <t>allie@censys.com</t>
  </si>
  <si>
    <t>Word of mouth</t>
  </si>
  <si>
    <t>jhesseltine@crestron.com</t>
  </si>
  <si>
    <t>Highspot merger.</t>
  </si>
  <si>
    <t>sierradaggett@loopreturns.com</t>
  </si>
  <si>
    <t>rahul@jeevaninfotech.com</t>
  </si>
  <si>
    <t>charlie@starguard.uk</t>
  </si>
  <si>
    <t>shakshi@revavenues.ai</t>
  </si>
  <si>
    <t>While searching online</t>
  </si>
  <si>
    <t>ivan@curbwaste.com</t>
  </si>
  <si>
    <t>My brother Alexandre Roubtsov mentioned you - he is implementing the solution for his employer</t>
  </si>
  <si>
    <t>mika.spencer@getmaple.ca</t>
  </si>
  <si>
    <t>We're looking for software that lets us create and manage portals for our partners, which they can access with their own logins. At a minimum, we require content management capabilities and analytics, but ultimately, we want a tool to aggregate partner resources and information, so we can increase partner engagement. I'd like to schedule a call to see if GTM Buddy can accomplish this for us.
Please email me, don't call.</t>
  </si>
  <si>
    <t>olivia.godsey@fello.ai</t>
  </si>
  <si>
    <t>Been in Enablement for some time and heard your name around</t>
  </si>
  <si>
    <t>k@audiencehaus.com</t>
  </si>
  <si>
    <t>Audience Haus</t>
  </si>
  <si>
    <t>audiencehaus.com</t>
  </si>
  <si>
    <t>info@blogspulse.com</t>
  </si>
  <si>
    <t>Sales Pitch</t>
  </si>
  <si>
    <t>Hello,
I hope you are doing great.
I wanted to reach out to you because it can make a real difference to your online visibility and rankings.
I work with a network of high-quality guest posting sites that help brands like yours build strong backlinks, boost Google rankings, and consistently drive organic traffic.
Take a look at these top sites driving real SEO growth:
https://www.soup.io/
DR:  89 &amp; Traffic: 58k
https://www.readability.com/
DR: 73 &amp; Traffic: 25k
https://2amagazine.com/
DR: 52 &amp; Traffic: 139k
https://nerdbot.com/
DR: 68 &amp; Traffic: 127k
https://bmtimes.co.uk/
DR: 58 &amp; Traffic: 55k
https://www.londondaily.news/
DR: 64 &amp; Traffic: 108k
Each site offers dofollow, Google-indexed links and has built a strong reputation to increase search authority.
Would you like me to send you the details today?
Best regards,
Name: Mathew Vinor
Email: mathewvinor@gmail.com</t>
  </si>
  <si>
    <t>Digital Agency</t>
  </si>
  <si>
    <t>blogspulse.com</t>
  </si>
  <si>
    <t>kae@getcor.ai</t>
  </si>
  <si>
    <t>Google/Gemini</t>
  </si>
  <si>
    <t>nikki.livingston@joindeleteme.com</t>
  </si>
  <si>
    <t>Heard the name at a few enablement meet ups from some connections. Have been curious about the platform and wanted to get a demo.</t>
  </si>
  <si>
    <t>shivamy@lambdatest.com</t>
  </si>
  <si>
    <t>Customer</t>
  </si>
  <si>
    <t>insta</t>
  </si>
  <si>
    <t>team@pearllemon.com</t>
  </si>
  <si>
    <t>Junks</t>
  </si>
  <si>
    <t>Word of Mouth</t>
  </si>
  <si>
    <t>Pearl Lemon</t>
  </si>
  <si>
    <t>pearllemon.com</t>
  </si>
  <si>
    <t>adam@shootsta.com</t>
  </si>
  <si>
    <t>google</t>
  </si>
  <si>
    <t>Shootsta</t>
  </si>
  <si>
    <t>shootsta.com</t>
  </si>
  <si>
    <t>tushar.varma@naukri.com</t>
  </si>
  <si>
    <t>Online Search</t>
  </si>
  <si>
    <t>hannah.magalhaes@mobato.com.br</t>
  </si>
  <si>
    <t>Youtube</t>
  </si>
  <si>
    <t>max@dmhoop.com</t>
  </si>
  <si>
    <t>Non ICP</t>
  </si>
  <si>
    <t>Addax</t>
  </si>
  <si>
    <t>addaxlab.com</t>
  </si>
  <si>
    <t>siddharth.singh06@bajajlife.com</t>
  </si>
  <si>
    <t>Google Search</t>
  </si>
  <si>
    <t>Bajaj Life</t>
  </si>
  <si>
    <t>bajajlife.com</t>
  </si>
  <si>
    <t>laura.cavanaugh@trmlabs.com</t>
  </si>
  <si>
    <t>rachael.robson@tqasolutions.com</t>
  </si>
  <si>
    <t>medwards@every.io</t>
  </si>
  <si>
    <t>Referral by "competitor" (Hyperbound) that focuses on enterprises not startups like us (Series A; 5 sales employees but 50 total employees)</t>
  </si>
  <si>
    <t>dennis@dndaisolutions.com</t>
  </si>
  <si>
    <t>shanley@asapp.com</t>
  </si>
  <si>
    <t>Referral from agency</t>
  </si>
  <si>
    <t>pearl.bajpai@procol.ai</t>
  </si>
  <si>
    <t>Friend refferal</t>
  </si>
  <si>
    <t>andre.kleine@runatbest.com</t>
  </si>
  <si>
    <t>Reference</t>
  </si>
  <si>
    <t>Run At Best</t>
  </si>
  <si>
    <t>runatbest.com</t>
  </si>
  <si>
    <t>ari.levin@skutopia.com</t>
  </si>
  <si>
    <t>SKUTOPIA</t>
  </si>
  <si>
    <t>skutopia.com</t>
  </si>
  <si>
    <t>ntenany@netwoven.com</t>
  </si>
  <si>
    <t>Highspot provided your name</t>
  </si>
  <si>
    <t>info@smylr.co</t>
  </si>
  <si>
    <t>smi@leaphealth.com</t>
  </si>
  <si>
    <t>abhishek@reo.dev</t>
  </si>
  <si>
    <t>Secondary research and used at previous company</t>
  </si>
  <si>
    <t>michel.abranches@monkey.tech</t>
  </si>
  <si>
    <t>Highspot</t>
  </si>
  <si>
    <t>tanuv@nousinfo.com</t>
  </si>
  <si>
    <t>Socials</t>
  </si>
  <si>
    <t>andrew@infrahub.ai</t>
  </si>
  <si>
    <t>RFP-Longtail-USCA-2025-09</t>
  </si>
  <si>
    <t>emily.seman@mygfpartner.com</t>
  </si>
  <si>
    <t>High spot rep referred  due to our size</t>
  </si>
  <si>
    <t>nanthinim@sprinto.com</t>
  </si>
  <si>
    <t>Active Deal</t>
  </si>
  <si>
    <t>Internal</t>
  </si>
  <si>
    <t>kuhr@fastbreak.ai</t>
  </si>
  <si>
    <t>referreal</t>
  </si>
  <si>
    <t>margaret@trysparrow.com</t>
  </si>
  <si>
    <t>I used Highspot in my last role, but my sale team doesn't meet thier contract minimum. Their team recommended you all.</t>
  </si>
  <si>
    <t>dunnie.norman@motivity.net</t>
  </si>
  <si>
    <t>web search</t>
  </si>
  <si>
    <t>alexey.semikov@p2p.org</t>
  </si>
  <si>
    <t>Public research of the tools available</t>
  </si>
  <si>
    <t>priya.vhangade@tallysolutions.com</t>
  </si>
  <si>
    <t>From web research</t>
  </si>
  <si>
    <t>anannya.chakraborty@tallysolutions.com</t>
  </si>
  <si>
    <t>Online research</t>
  </si>
  <si>
    <t>wewes79987@icousd.com</t>
  </si>
  <si>
    <t>Chatgpt</t>
  </si>
  <si>
    <t>icousd.com</t>
  </si>
  <si>
    <t>n@certbar.com</t>
  </si>
  <si>
    <t>Neon.fund podcast to website to portfolio and trying to solve sales problem.</t>
  </si>
  <si>
    <t>Venture Capital</t>
  </si>
  <si>
    <t>akanksha.tanwar@magicbricks.com</t>
  </si>
  <si>
    <t>Used in my previous org - Darwinbox</t>
  </si>
  <si>
    <t>m1n1n1mo@bugcrowdninja.com</t>
  </si>
  <si>
    <t>friend</t>
  </si>
  <si>
    <t>Bugcrowdninja</t>
  </si>
  <si>
    <t>bugcrowdninja.com</t>
  </si>
  <si>
    <t>mircea.serediuc@cube-digital.io</t>
  </si>
  <si>
    <t>Perplexity</t>
  </si>
  <si>
    <t>Cube</t>
  </si>
  <si>
    <t>cube-digital.io</t>
  </si>
  <si>
    <t>samrat@qualysec.com</t>
  </si>
  <si>
    <t>from perplexity</t>
  </si>
  <si>
    <t>jake@rentana.io</t>
  </si>
  <si>
    <t>Digital-Sales-Room-Longtail-USCA-2025-09</t>
  </si>
  <si>
    <t>tina@samivy.com</t>
  </si>
  <si>
    <t>AI-Role-Play-Longtail-USCA-2025-09</t>
  </si>
  <si>
    <t>colin.jordan@usemultiplier.com</t>
  </si>
  <si>
    <t>Through Enablement contracts who are evaluating you against Letter and Saleshood</t>
  </si>
  <si>
    <t>emily.bartolotta@everlylife.com</t>
  </si>
  <si>
    <t>kristen.hanser@advantive.com</t>
  </si>
  <si>
    <t>Recommendation from Optimizely</t>
  </si>
  <si>
    <t>nhaggon@documentcrunch.com</t>
  </si>
  <si>
    <t>Enablement Squad</t>
  </si>
  <si>
    <t>dmyers@redroverk12.com</t>
  </si>
  <si>
    <t>Google search</t>
  </si>
  <si>
    <t>cgroh@voxelai.com</t>
  </si>
  <si>
    <t>Jonathan Kvardfort</t>
  </si>
  <si>
    <t>scale100million@zohomail.in</t>
  </si>
  <si>
    <t>zohomail.in</t>
  </si>
  <si>
    <t>ardith@banyaninfrastructure.com</t>
  </si>
  <si>
    <t>harsha.sadhanakari@strsi.com</t>
  </si>
  <si>
    <t>Strategic Systems</t>
  </si>
  <si>
    <t>strsi.com</t>
  </si>
  <si>
    <t>andre.solomon@sycurio.com</t>
  </si>
  <si>
    <t>I've used GTMbuddy before.</t>
  </si>
  <si>
    <t>simran@spreadthejoy.org</t>
  </si>
  <si>
    <t>Highspot referral</t>
  </si>
  <si>
    <t>dawan.koy@aceve.com</t>
  </si>
  <si>
    <t>stefan@togetherplatform.com</t>
  </si>
  <si>
    <t>Absorb, our owners use GTM Buddy</t>
  </si>
  <si>
    <t>Customer's Content</t>
  </si>
  <si>
    <t>ryan.severson@arrowfinishing.com</t>
  </si>
  <si>
    <t>Referral from someone at highspot</t>
  </si>
  <si>
    <t>alexandre.roubtsov@freschesolutions.com</t>
  </si>
  <si>
    <t>damini@athleaders.co</t>
  </si>
  <si>
    <t>sarahlaing@visanahealth.com</t>
  </si>
  <si>
    <t>Visana Health</t>
  </si>
  <si>
    <t>visanahealth.com</t>
  </si>
  <si>
    <t>ardy.taylor@suralink.com</t>
  </si>
  <si>
    <t>used at previous company</t>
  </si>
  <si>
    <t>markpodolle@wirelessventures.net</t>
  </si>
  <si>
    <t>Online-Thomas Ryan Oakes</t>
  </si>
  <si>
    <t>conor.dennin@culturalcare.com</t>
  </si>
  <si>
    <t>jim@resolve.ai</t>
  </si>
  <si>
    <t>web search. startup looking for first lms.</t>
  </si>
  <si>
    <t>sergio.c@safe.security</t>
  </si>
  <si>
    <t>shachey@atlassian.com</t>
  </si>
  <si>
    <t>online</t>
  </si>
  <si>
    <t>Atlassian</t>
  </si>
  <si>
    <t>atlassian.com</t>
  </si>
  <si>
    <t>laurie.laramie@docebo.com</t>
  </si>
  <si>
    <t>chatGPT</t>
  </si>
  <si>
    <t>shubham.sharma@applify.co</t>
  </si>
  <si>
    <t>Hi Team,
I’m reaching out from Applify on behalf of AWS to explore if your product could be eligible for the AWS Marketplace. We are looking for products hosted on AWS Platform. 
AWS is currently running a program that offers generous AWS credits for products that meet certain criteria and get listed on the Marketplace. As part of this initiative, we provide end-to-end assistance with the listing process completely free and with no obligations.
Would you be open to a quick conversation to see if your product qualifies?
Best Regards,
Shubham
Applify.co</t>
  </si>
  <si>
    <t>Applify</t>
  </si>
  <si>
    <t>applify.co</t>
  </si>
  <si>
    <t>jonathan@dashsocial.com</t>
  </si>
  <si>
    <t>Mention from a colleague.</t>
  </si>
  <si>
    <t>ecargol@activtrak.com</t>
  </si>
  <si>
    <t>Search top DSR vendors</t>
  </si>
  <si>
    <t>unique@sacred7enterprises.org</t>
  </si>
  <si>
    <t>Na</t>
  </si>
  <si>
    <t>amulya@hockeystack.com</t>
  </si>
  <si>
    <t>from an ex user</t>
  </si>
  <si>
    <t>sid@kankani.in</t>
  </si>
  <si>
    <t>Online.</t>
  </si>
  <si>
    <t>pdas@armorcode.io</t>
  </si>
  <si>
    <t>Came across while researching Sales Enablement Tools</t>
  </si>
  <si>
    <t>ilaria@sendtrumpet.com</t>
  </si>
  <si>
    <t>Trumpet</t>
  </si>
  <si>
    <t>sendtrumpet.com</t>
  </si>
  <si>
    <t>daniel.stepney@cacta.eco</t>
  </si>
  <si>
    <t>Linkedin -Federico Presicci</t>
  </si>
  <si>
    <t>tsoodan@teramind.co</t>
  </si>
  <si>
    <t>mcowlan@maggicowlan.com</t>
  </si>
  <si>
    <t>jsankar@frontlineed.com</t>
  </si>
  <si>
    <t>online search</t>
  </si>
  <si>
    <t>natasha.pennells@axcelerate.com</t>
  </si>
  <si>
    <t>juan.olguin@kortext.com</t>
  </si>
  <si>
    <t>nissim@versatil.vc</t>
  </si>
  <si>
    <t>nick@rtgecommerce.com</t>
  </si>
  <si>
    <t>Need 1 user for AI sales role plays</t>
  </si>
  <si>
    <t>jeff@masspay.io</t>
  </si>
  <si>
    <t>forrester report</t>
  </si>
  <si>
    <t>brett.carlson@sailpoint.com</t>
  </si>
  <si>
    <t>Research. Would like to conduct a discovery / 'RFP' conversation to see what kind of overlap there may be with our needs and your offering.</t>
  </si>
  <si>
    <t>sdisibio@avidxchange.com</t>
  </si>
  <si>
    <t>LinkedIn. Need to support onboarding and JIT use cases (opp mgmt documentation in SFDC, guided selling etc)</t>
  </si>
  <si>
    <t>jamie.civitate@agencybloc.com</t>
  </si>
  <si>
    <t>Through doing research through google / chatgpt</t>
  </si>
  <si>
    <t>richard@permutive.com</t>
  </si>
  <si>
    <t>Recommendation</t>
  </si>
  <si>
    <t>debruinoi4@pella.com</t>
  </si>
  <si>
    <t>Used internally at previous employer.</t>
  </si>
  <si>
    <t>drago@spotlightmediafargo.com</t>
  </si>
  <si>
    <t>Chat GPT</t>
  </si>
  <si>
    <t>mtrotter@teramind.co</t>
  </si>
  <si>
    <t>Previous outreach from Will - had a demo, timing was off. Ready to investigate further.</t>
  </si>
  <si>
    <t>Previous Interaction</t>
  </si>
  <si>
    <t>aishwarya@atomicwork.com</t>
  </si>
  <si>
    <t>I've used you before when I worked at Slintel</t>
  </si>
  <si>
    <t>timothy.armstrong@waisldigital.com</t>
  </si>
  <si>
    <t>pranav.sharma@easywebinar.com</t>
  </si>
  <si>
    <t>sarah.kampf@act-on.com</t>
  </si>
  <si>
    <t>isabel.martinez@atomchat.io</t>
  </si>
  <si>
    <t>Web research</t>
  </si>
  <si>
    <t>a.corrin@glossgenius.com</t>
  </si>
  <si>
    <t>chintan@kissflow.com</t>
  </si>
  <si>
    <t>Suresh CEO</t>
  </si>
  <si>
    <t>valentino@defendx.ch</t>
  </si>
  <si>
    <t>AI</t>
  </si>
  <si>
    <t>defendx.ch</t>
  </si>
  <si>
    <t>cgeil@sos-nv.com</t>
  </si>
  <si>
    <t>Web search</t>
  </si>
  <si>
    <t>ashima.reji@phonepe.com</t>
  </si>
  <si>
    <t>Through connections</t>
  </si>
  <si>
    <t>ys452955@g.risd.org</t>
  </si>
  <si>
    <t>Richardson ISD</t>
  </si>
  <si>
    <t>g.risd.org</t>
  </si>
  <si>
    <t>ben.cotton@you.com</t>
  </si>
  <si>
    <t>chandler@ursa8films.com</t>
  </si>
  <si>
    <t>Ursa 8 Films</t>
  </si>
  <si>
    <t>ursa8films.com</t>
  </si>
  <si>
    <t>kenneth.stowers@clayton.k12.ga.us</t>
  </si>
  <si>
    <t>jen.dennard@ez.health</t>
  </si>
  <si>
    <t>Claude research</t>
  </si>
  <si>
    <t>sharon.sippel@emersonrogers.com</t>
  </si>
  <si>
    <t>AI recommended your firm. Liked the technical selling and building rapport with a new prospect.  Looking forward to the demo.</t>
  </si>
  <si>
    <t>vivian.lepoutre@dexian.com</t>
  </si>
  <si>
    <t>Research</t>
  </si>
  <si>
    <t>rahiel@billd.com</t>
  </si>
  <si>
    <t>charles.martelli@deel.com</t>
  </si>
  <si>
    <t>madi.cornelius@engine.com</t>
  </si>
  <si>
    <t>previous demo</t>
  </si>
  <si>
    <t>trista.covi@angelaligner.com</t>
  </si>
  <si>
    <t>Nicole at CandidCo</t>
  </si>
  <si>
    <t>sarah.wagner@simpligov.com</t>
  </si>
  <si>
    <t>Saw someone's post on LinkedIn</t>
  </si>
  <si>
    <t>mhathaway@teamfront.com</t>
  </si>
  <si>
    <t>Used GTM Buddy at my last place of work.</t>
  </si>
  <si>
    <t>rachel.g@gatekeeperhq.com</t>
  </si>
  <si>
    <t>I believe my colleague has been in touch, we'd like to schedule a secondary (broader) demo</t>
  </si>
  <si>
    <t>vince.bezemer@strategycorps.com</t>
  </si>
  <si>
    <t>Online search</t>
  </si>
  <si>
    <t>info@mommysimaginationstation.org</t>
  </si>
  <si>
    <t>erin.ellsworth@scale.com</t>
  </si>
  <si>
    <t>Outbound convo years back when I was first implementing a solution</t>
  </si>
  <si>
    <t>galifragis@metpg.com</t>
  </si>
  <si>
    <t>Through a contact and on LinkedIn</t>
  </si>
  <si>
    <t>lisa.ricci@credohealth.com</t>
  </si>
  <si>
    <t>Previous customer</t>
  </si>
  <si>
    <t>vkreddy@aaamt.in</t>
  </si>
  <si>
    <t>Online</t>
  </si>
  <si>
    <t>pmcgrath@oreilly.com</t>
  </si>
  <si>
    <t>marjie.h@gatekeeperhq.com</t>
  </si>
  <si>
    <t>falbright@dodsecurity.com</t>
  </si>
  <si>
    <t>orla.pollard@paddle.com</t>
  </si>
  <si>
    <t>Enablement community</t>
  </si>
  <si>
    <t>sasrira@amazon.com</t>
  </si>
  <si>
    <t>tushar.sharma@clear.in</t>
  </si>
  <si>
    <t>.</t>
  </si>
  <si>
    <t>yashaswini@prosperr.io</t>
  </si>
  <si>
    <t>Heard Razorpay using your platform</t>
  </si>
  <si>
    <t>info@cconstantinou.info</t>
  </si>
  <si>
    <t>Testing</t>
  </si>
  <si>
    <t>Constantinos Constantinou</t>
  </si>
  <si>
    <t>cconstantinou.info</t>
  </si>
  <si>
    <t>kashish.saxena@truecaller.com</t>
  </si>
  <si>
    <t>ankur.dhingra@gmail.com</t>
  </si>
  <si>
    <t>Webs reach</t>
  </si>
  <si>
    <t>Group Marketing Services</t>
  </si>
  <si>
    <t>gmsil.com</t>
  </si>
  <si>
    <t>derek.watkins@snipp.com</t>
  </si>
  <si>
    <t>Referral from CRO</t>
  </si>
  <si>
    <t>nicole.annicc@candidco.com</t>
  </si>
  <si>
    <t>Chat GPT search</t>
  </si>
  <si>
    <t>rberi@zscaler.com</t>
  </si>
  <si>
    <t>Seismic-Competitor-Phrase-USCA-2025-07</t>
  </si>
  <si>
    <t>kaylyn@compositioncreative.com</t>
  </si>
  <si>
    <t>Recommendation from Highspot</t>
  </si>
  <si>
    <t>katlyn.lamar@collectivehealth.com</t>
  </si>
  <si>
    <t>Through a subject matter expert. I would like to learn more about the CMS platform specifically and how this platform compares to Mindtickle.</t>
  </si>
  <si>
    <t>Showpad-Competitor-Phrase-USCA-2025-07</t>
  </si>
  <si>
    <t>scott.pohlson@usd.edu</t>
  </si>
  <si>
    <t>From Highspot meeting.</t>
  </si>
  <si>
    <t>kume@mapal-os.com</t>
  </si>
  <si>
    <t>Recommendation for GVP of Marketing at demandScience</t>
  </si>
  <si>
    <t>quintin.peirce@sysaid.com</t>
  </si>
  <si>
    <t>CHatgpt</t>
  </si>
  <si>
    <t>ramitar@sprinto.com</t>
  </si>
  <si>
    <t>Used in my previous org</t>
  </si>
  <si>
    <t>mich@iu.edu</t>
  </si>
  <si>
    <t>Evaluating tools for my class</t>
  </si>
  <si>
    <t>menarichelle2@ally.ca</t>
  </si>
  <si>
    <t>Ally</t>
  </si>
  <si>
    <t>ally.ca</t>
  </si>
  <si>
    <t>briangotti@geotab.com</t>
  </si>
  <si>
    <t>n/a</t>
  </si>
  <si>
    <t>maxine@arist.co</t>
  </si>
  <si>
    <t>From a friend</t>
  </si>
  <si>
    <t>Arist</t>
  </si>
  <si>
    <t>arist.co</t>
  </si>
  <si>
    <t>vishal@webcastle.in</t>
  </si>
  <si>
    <t>From my colleague</t>
  </si>
  <si>
    <t>alex@veragov.com</t>
  </si>
  <si>
    <t>I’m reaching out because we’re in the process of selecting a GTM partner for VeraGov, a SaaS platform focused on materially improving claim outcomes for veterans while reducing strain on the VA system. We’re narrowing down to a few finalists, and given GTM Buddy’s AI-driven approach to GTM orchestration, I’d love to explore whether there’s a fit.
Our model is deliberately GTM-first—we want to validate the “who,” “why,” and “what” with our ICPs before committing to the “how” of product build. To that end, we’re looking for a partner who can combine structured experimentation, CAC discipline, and product-feedback loops to de-risk adoption.
A few quick context points:
	•	By end of this month, our outsourced team will have mapped ~5,500 VA-accredited agents and attorneys into a CSV, with another ~9,000 VSOs in September. These phased datasets are designed to be CRM-ready inputs and validation tools for TAM/SAM/SOM assumptions.
	•	We’re asking all finalist GTM partners to frame 2–3 roadmap scenarios (conservative, base, aggressive) keyed to CAC ramp, dataset maturity, and burn sequencing. This gives us the ability to compare approaches apples-to-apples.
	•	Ultimately, the win for us is twofold: early financial discipline and early mission impact—because if we can show both, we’ll be positioned strongly with users and partners.
Would you be open to a conversation about how GTM Buddy might structure an engagement with us? I’d be glad to share our RFP framework and hear your perspective on what’s realistic and differentiated in your approach.
Thanks, and looking forward to the discussion.</t>
  </si>
  <si>
    <t>aproulx@venacorp.com</t>
  </si>
  <si>
    <t>Collegue</t>
  </si>
  <si>
    <t>gaurav@basraconsultingservices.com</t>
  </si>
  <si>
    <t>Pitching for Partnership</t>
  </si>
  <si>
    <t>Family.</t>
  </si>
  <si>
    <t>Basra Consulting Services</t>
  </si>
  <si>
    <t>basraconsultingservices.com</t>
  </si>
  <si>
    <t>amy.grendus@elantis.com</t>
  </si>
  <si>
    <t>erin.mccarthy@activeprospect.com</t>
  </si>
  <si>
    <t>Teammate</t>
  </si>
  <si>
    <t>neetha@betaeducation.org</t>
  </si>
  <si>
    <t>googled</t>
  </si>
  <si>
    <t>damian@tascoutsourcing.com</t>
  </si>
  <si>
    <t>amanda.sattler@objective.com</t>
  </si>
  <si>
    <t>chetan@ckapoor.org</t>
  </si>
  <si>
    <t>GTM Buddy</t>
  </si>
  <si>
    <t>fdsa</t>
  </si>
  <si>
    <t>ckapoor.org</t>
  </si>
  <si>
    <t>aseem.pranay@bcg.com</t>
  </si>
  <si>
    <t>dennis@bidease.com</t>
  </si>
  <si>
    <t>victoria@sigmacomputing.com</t>
  </si>
  <si>
    <t>sejal@zenskar.com</t>
  </si>
  <si>
    <t>chaitanya.gk@saroeinc.com</t>
  </si>
  <si>
    <t>LinkedIn Post</t>
  </si>
  <si>
    <t>Saroe</t>
  </si>
  <si>
    <t>saroeinc.com</t>
  </si>
  <si>
    <t>coryd@microserve.ca</t>
  </si>
  <si>
    <t>Looking for high spot</t>
  </si>
  <si>
    <t>Highspot-Competitor-Phrase-USCA-2025-07</t>
  </si>
  <si>
    <t>m.mostafa@singleclic.com</t>
  </si>
  <si>
    <t>Microsoft Teams</t>
  </si>
  <si>
    <t>Singleclic</t>
  </si>
  <si>
    <t>singleclic.com</t>
  </si>
  <si>
    <t>ravi.nanganai@mediamint.com</t>
  </si>
  <si>
    <t>Tasting</t>
  </si>
  <si>
    <t>MediaMint</t>
  </si>
  <si>
    <t>mediamint.com</t>
  </si>
  <si>
    <t>ansh@dawdle.in</t>
  </si>
  <si>
    <t>referral</t>
  </si>
  <si>
    <t>hudson@ravennahq.com</t>
  </si>
  <si>
    <t>search</t>
  </si>
  <si>
    <t>akash.mishra@nobroker.in</t>
  </si>
  <si>
    <t>Searching on web</t>
  </si>
  <si>
    <t>NoBroker</t>
  </si>
  <si>
    <t>nobroker.in</t>
  </si>
  <si>
    <t>aravind@technohandz.com</t>
  </si>
  <si>
    <t>I know GTM Buddy</t>
  </si>
  <si>
    <t>Technohandz</t>
  </si>
  <si>
    <t>technohandz.com</t>
  </si>
  <si>
    <t>lhassid@hackthebox.com</t>
  </si>
  <si>
    <t>mwarner@blumira.com</t>
  </si>
  <si>
    <t>KKR/1011</t>
  </si>
  <si>
    <t>kaoushik.ramachandran@aurigo.com</t>
  </si>
  <si>
    <t>SERP</t>
  </si>
  <si>
    <t>devanand.pothapragada@freyrsolutions.com</t>
  </si>
  <si>
    <t>Colleagues recommendation</t>
  </si>
  <si>
    <t>sreya.samaddar@greytip.com</t>
  </si>
  <si>
    <t>velev@gtmrevenue.com</t>
  </si>
  <si>
    <t>donny@ricklo.33mail.com</t>
  </si>
  <si>
    <t>sd</t>
  </si>
  <si>
    <t>33mail</t>
  </si>
  <si>
    <t>ricklo.33mail.com</t>
  </si>
  <si>
    <t>drew.koch@jamloop.com</t>
  </si>
  <si>
    <t>Blog</t>
  </si>
  <si>
    <t>jhoward@amarok.com</t>
  </si>
  <si>
    <t>Word of mouth.</t>
  </si>
  <si>
    <t>ahatcher@cainc.com</t>
  </si>
  <si>
    <t>We heard of your company through an evaluation comparison that we received from Forrester!</t>
  </si>
  <si>
    <t>mudit.agarwal@comviva.com</t>
  </si>
  <si>
    <t>From Peer group</t>
  </si>
  <si>
    <t>ke'yia.burnett@invitationhomes.com</t>
  </si>
  <si>
    <t>We are a national property management organization currently rolling out a sales training initiative for our Leasing and Renewals teams. We are looking to pilot AI-powered roleplay tools that support our front-line specialists with consultative sales skills and scalable coaching.</t>
  </si>
  <si>
    <t>tanishq@marktly.co</t>
  </si>
  <si>
    <t>from my mentor</t>
  </si>
  <si>
    <t>Marktly</t>
  </si>
  <si>
    <t>marktly.co</t>
  </si>
  <si>
    <t>cpo@connectree.co</t>
  </si>
  <si>
    <t>CONNECTREE</t>
  </si>
  <si>
    <t>connectree.co</t>
  </si>
  <si>
    <t>ababloyan@threatconnect.com</t>
  </si>
  <si>
    <t>Recommendation from my network. We are primarily looking for content management platform to replace mediafly/google drive. We have a tight budget of 30K/annually and about 40 users including sales, CS and marketing - if your solution costs more, unfortunately we won't be able to move forward. If it is actually feasible, please send me an email with a calendar link or a few times for a demo, I'd like to add a few people from my team as well. Thanks!</t>
  </si>
  <si>
    <t>iosubor@arine.io</t>
  </si>
  <si>
    <t>Google and ChatGPT</t>
  </si>
  <si>
    <t>nicole.schmidtmann@thoughtspot.com</t>
  </si>
  <si>
    <t>Ex Gainsight Employee</t>
  </si>
  <si>
    <t>mikefeeley@iheartmedia.com</t>
  </si>
  <si>
    <t>word of mouth</t>
  </si>
  <si>
    <t>joseph@simple2insure.net</t>
  </si>
  <si>
    <t>parvathi.khandre@forsysinc.com</t>
  </si>
  <si>
    <t>anna.catherine@perfios.com</t>
  </si>
  <si>
    <t>Nil</t>
  </si>
  <si>
    <t>sianto@scalinguprevenues.com</t>
  </si>
  <si>
    <t>GOOGLE</t>
  </si>
  <si>
    <t>jennifer.r@aloware.com</t>
  </si>
  <si>
    <t>Ai newsletter</t>
  </si>
  <si>
    <t>subramaniam.krishnan@anuntatech.com</t>
  </si>
  <si>
    <t>In a marketing group</t>
  </si>
  <si>
    <t>rohit.guota@covasant.com</t>
  </si>
  <si>
    <t>WhatsApp group</t>
  </si>
  <si>
    <t>nishanth.bharadwaj@alida.com</t>
  </si>
  <si>
    <t>LInkedin</t>
  </si>
  <si>
    <t>daniela.l@hyro.ai</t>
  </si>
  <si>
    <t>marley.schauer@sprinklr.com</t>
  </si>
  <si>
    <t>Colleague recommendation</t>
  </si>
  <si>
    <t>tom@zencentiv.com</t>
  </si>
  <si>
    <t>Referred by Highspot</t>
  </si>
  <si>
    <t>julia.benichou@agorareal.com</t>
  </si>
  <si>
    <t>rishabh.dsouza@nurix.ai</t>
  </si>
  <si>
    <t>Heard great things about Ron from a colleague</t>
  </si>
  <si>
    <t>mbarrett@venacorp.com</t>
  </si>
  <si>
    <t>colleague</t>
  </si>
  <si>
    <t>admin@xswl123.cn</t>
  </si>
  <si>
    <t>961889455@qq.com</t>
  </si>
  <si>
    <t>xswl123.cn</t>
  </si>
  <si>
    <t>pam.waldman@celigo.com</t>
  </si>
  <si>
    <t>Webinar</t>
  </si>
  <si>
    <t>monika@uniqode.com</t>
  </si>
  <si>
    <t>From a colleague who used it in their previous organisation</t>
  </si>
  <si>
    <t>alotofthingz@site.co</t>
  </si>
  <si>
    <t>Maybe we could've</t>
  </si>
  <si>
    <t>Site.nl</t>
  </si>
  <si>
    <t>site.co</t>
  </si>
  <si>
    <t>deven@unoptimised.com</t>
  </si>
  <si>
    <t>From SaaSBoomi</t>
  </si>
  <si>
    <t>UnOptimised HQ</t>
  </si>
  <si>
    <t>unoptimised.com</t>
  </si>
  <si>
    <t>shayna@vendoroo.ai</t>
  </si>
  <si>
    <t>referred</t>
  </si>
  <si>
    <t>tmiyamoto@venacorp.com</t>
  </si>
  <si>
    <t>Podcast</t>
  </si>
  <si>
    <t>jwarwick@rednucleus.com</t>
  </si>
  <si>
    <t>LinkedIN</t>
  </si>
  <si>
    <t>2300520013@kluniversity.in</t>
  </si>
  <si>
    <t>through google</t>
  </si>
  <si>
    <t>KL University</t>
  </si>
  <si>
    <t>kluniversity.in</t>
  </si>
  <si>
    <t>paulo@qbiq.ai</t>
  </si>
  <si>
    <t>Sales Enablement Squad</t>
  </si>
  <si>
    <t>todd.lienart@jasper.ai</t>
  </si>
  <si>
    <t>rehman.m@shiksharatanindia.org</t>
  </si>
  <si>
    <t>Internet</t>
  </si>
  <si>
    <t>Shiksharatan India</t>
  </si>
  <si>
    <t>shiksharatanindia.org</t>
  </si>
  <si>
    <t>amit.gupta@perfios.com</t>
  </si>
  <si>
    <t>Interviewing People for Product Marketing Role, Saw in their resumes</t>
  </si>
  <si>
    <t>rene.hefner@grab.com</t>
  </si>
  <si>
    <t>linkedin</t>
  </si>
  <si>
    <t>edwin.cnossen@embracecloud.nl</t>
  </si>
  <si>
    <t>by a partner I know from Recast Software</t>
  </si>
  <si>
    <t>pinar.kosekulacz@telenity.com</t>
  </si>
  <si>
    <t>amir@baroz.co.il</t>
  </si>
  <si>
    <t>Google. Do you support hebrew ? it's a RTL language ?</t>
  </si>
  <si>
    <t>jim.hashman@moveconcierge.com</t>
  </si>
  <si>
    <t>ATD</t>
  </si>
  <si>
    <t>rakshit.jain@clear.in</t>
  </si>
  <si>
    <t>General research</t>
  </si>
  <si>
    <t>alexz@ashbyhq.com</t>
  </si>
  <si>
    <t>na</t>
  </si>
  <si>
    <t>amy.nguyen@bonterratech.com</t>
  </si>
  <si>
    <t>Had a previous demo before</t>
  </si>
  <si>
    <t>amrinder.mallhi@hcah.in</t>
  </si>
  <si>
    <t>jamie@wnstn.ai</t>
  </si>
  <si>
    <t>Friend</t>
  </si>
  <si>
    <t>lawrence.sutton@originbenefits.com</t>
  </si>
  <si>
    <t>Ex-colleague recommendation</t>
  </si>
  <si>
    <t>katie.rose@greenlight.guru</t>
  </si>
  <si>
    <t>Coworker</t>
  </si>
  <si>
    <t>chiyaa@spryhealth.care</t>
  </si>
  <si>
    <t>Work</t>
  </si>
  <si>
    <t>mochs@wclh.com</t>
  </si>
  <si>
    <t>Whisper Creek Homes</t>
  </si>
  <si>
    <t>whispercreekhomes.com</t>
  </si>
  <si>
    <t>anurag@grocliq.com</t>
  </si>
  <si>
    <t>VC</t>
  </si>
  <si>
    <t>tarun@neokred.tech</t>
  </si>
  <si>
    <t>I heard it through youtube, would like to know more.</t>
  </si>
  <si>
    <t>will@pre.dev</t>
  </si>
  <si>
    <t>Pre.dev helps dev agencies qualify and convert software leads faster. It turns raw client input into a full project scope — including architecture, tech stack, roadmap, live prototype, and budget estimate — in minutes and at minimal cost. It removes manual scoping and enables your team to deliver strong, customized proposals quickly. We’d like to invite you to a short demo call to walk you through the features and show how it can fit your team. Best regards,</t>
  </si>
  <si>
    <t>pre.dev - AI Product Architect</t>
  </si>
  <si>
    <t>pre.dev</t>
  </si>
  <si>
    <t>alicia.khan@cyberhaven.com</t>
  </si>
  <si>
    <t>ab@ventureep.co</t>
  </si>
  <si>
    <t>ceo@konekto.io</t>
  </si>
  <si>
    <t>sandreassi@linkedin.com</t>
  </si>
  <si>
    <t>Sales Enablement Collective</t>
  </si>
  <si>
    <t>alex.whisenhunt@sonarsource.com</t>
  </si>
  <si>
    <t>Research online</t>
  </si>
  <si>
    <t>rahul@propertyangel.in</t>
  </si>
  <si>
    <t>Stellaris</t>
  </si>
  <si>
    <t>michael.zimmerman@remote.com</t>
  </si>
  <si>
    <t>Connected with the Founder on LinkedIn. Love the idea - are you able to get me set up with a trial? Testing for myself and will champion with VP if useful.</t>
  </si>
  <si>
    <t>dcotten@solinkcorp.com</t>
  </si>
  <si>
    <t>Previous Evaluation</t>
  </si>
  <si>
    <t>lauren.dempsey@demandscience.com</t>
  </si>
  <si>
    <t>nburke@aledade.com</t>
  </si>
  <si>
    <t>LinkedIn/Sales Enablement Collective</t>
  </si>
  <si>
    <t>mouhameddean@mail.co</t>
  </si>
  <si>
    <t>youtube</t>
  </si>
  <si>
    <t>mail.co</t>
  </si>
  <si>
    <t>shristi@zenskar.com</t>
  </si>
  <si>
    <t>koleary@avconcepts.com</t>
  </si>
  <si>
    <t>adam@teamfront.com</t>
  </si>
  <si>
    <t>Internal Referral</t>
  </si>
  <si>
    <t>tsegreti@crossbeam.com</t>
  </si>
  <si>
    <t>sales enablement innovation podcast</t>
  </si>
  <si>
    <t>tulio.quinones@sprinklr.com</t>
  </si>
  <si>
    <t>Claude AI</t>
  </si>
  <si>
    <t>jeremy.villanueva@guesty.com</t>
  </si>
  <si>
    <t>Referred by colleague</t>
  </si>
  <si>
    <t>elizabethm@healthmonitor.com</t>
  </si>
  <si>
    <t>Lead Data</t>
  </si>
  <si>
    <t>jill.noyes@reltio.com</t>
  </si>
  <si>
    <t>Stephanie White</t>
  </si>
  <si>
    <t>Influencer's Post</t>
  </si>
  <si>
    <t>tom.wigmore@transferroom.com</t>
  </si>
  <si>
    <t>andrea@workwithsquares.com</t>
  </si>
  <si>
    <t>Hi, I just need quick answer while we narrow down a few platform options. How do you price your platform? I assume by the number of internal users using the platform? Our client has many sales teams and business units, but they will start out small with a few users.</t>
  </si>
  <si>
    <t>20 Squares</t>
  </si>
  <si>
    <t>workwithsquares.com</t>
  </si>
  <si>
    <t>lacey@craftable.com</t>
  </si>
  <si>
    <t>kbecker@mdvip.com</t>
  </si>
  <si>
    <t>Britta Bateman</t>
  </si>
  <si>
    <t>neeraj_a@dell.com</t>
  </si>
  <si>
    <t>Stellaris VC</t>
  </si>
  <si>
    <t>bryan.seitz@riskonnect.com</t>
  </si>
  <si>
    <t>joshb@crigloo.com</t>
  </si>
  <si>
    <t>Linkeden</t>
  </si>
  <si>
    <t>kblume@nurseregistry.com</t>
  </si>
  <si>
    <t>Sales outreach</t>
  </si>
  <si>
    <t>robread@benifex.com</t>
  </si>
  <si>
    <t>kollisarath@boltzmann.co</t>
  </si>
  <si>
    <t>andrea@aptus.ai</t>
  </si>
  <si>
    <t>wmackenzie@jellyfish.co</t>
  </si>
  <si>
    <t>pawan@convozen.ai</t>
  </si>
  <si>
    <t>ek@ordrestyring.dk</t>
  </si>
  <si>
    <t>uzma.sayyed@xoxoday.com</t>
  </si>
  <si>
    <t>sourav.mohanty@saaslabs.co</t>
  </si>
  <si>
    <t>gem@orderful.com</t>
  </si>
  <si>
    <t>deepti@2centscapital.com</t>
  </si>
  <si>
    <t>kadeeja@2centscapital.com</t>
  </si>
  <si>
    <t>info@fire-electronics.ca</t>
  </si>
  <si>
    <t>Fire Electronics</t>
  </si>
  <si>
    <t>fire-electronics.ca</t>
  </si>
  <si>
    <t>tori.decarlo@konghq.com</t>
  </si>
  <si>
    <t>celia@usepatch.com</t>
  </si>
  <si>
    <t>stephanie.smith@cardlytics.com</t>
  </si>
  <si>
    <t>Outbound</t>
  </si>
  <si>
    <t>malcolm.smith@centrical.com</t>
  </si>
  <si>
    <t>sri@zithara.in</t>
  </si>
  <si>
    <t>lia@findheadway.com</t>
  </si>
  <si>
    <t>adel@chinese-auto-part.com</t>
  </si>
  <si>
    <t>chinese-auto-part.com</t>
  </si>
  <si>
    <t>pedro@hakusports.com</t>
  </si>
  <si>
    <t>sarah.ichord@dialpad.com</t>
  </si>
  <si>
    <t>cole.avery@on24.com</t>
  </si>
  <si>
    <t>soham@weaviate.io</t>
  </si>
  <si>
    <t>Weaviate</t>
  </si>
  <si>
    <t>weaviate.io</t>
  </si>
  <si>
    <t>jeffrey.wold@nomentia.com</t>
  </si>
  <si>
    <t>carlos@vial.com</t>
  </si>
  <si>
    <t>rsurve@novatechset.com</t>
  </si>
  <si>
    <t>Nova Techset</t>
  </si>
  <si>
    <t>novatechset.com</t>
  </si>
  <si>
    <t>chandler@trekhealth.io</t>
  </si>
  <si>
    <t>daniel.gonzalez@madhive.com</t>
  </si>
  <si>
    <t>carissa.thomas@sitemate.com</t>
  </si>
  <si>
    <t>david.knight@sonatype.com</t>
  </si>
  <si>
    <t>Sonatype</t>
  </si>
  <si>
    <t>sonatype.com</t>
  </si>
  <si>
    <t>jano.zepter@telefonica.com</t>
  </si>
  <si>
    <t>saran.niambele@sascholar.org</t>
  </si>
  <si>
    <t>sascholar.org</t>
  </si>
  <si>
    <t>juanpablo@weagree.com</t>
  </si>
  <si>
    <t>Weagree</t>
  </si>
  <si>
    <t>weagree.com</t>
  </si>
  <si>
    <t>mliegl@bathfitter.com</t>
  </si>
  <si>
    <t>mckennac@cypris.ai</t>
  </si>
  <si>
    <t>Cypris</t>
  </si>
  <si>
    <t>cypris.ai</t>
  </si>
  <si>
    <t>pragas@financeops.co</t>
  </si>
  <si>
    <t>FinanceOps</t>
  </si>
  <si>
    <t>financeops.ai</t>
  </si>
  <si>
    <t>amaresh.ojha@logikality.com</t>
  </si>
  <si>
    <t>luciana.vecchi@dataiku.com</t>
  </si>
  <si>
    <t>anumeha@dawdle.in</t>
  </si>
  <si>
    <t>rsindall@r3.digital</t>
  </si>
  <si>
    <t>R3 Digital</t>
  </si>
  <si>
    <t>r3.digital</t>
  </si>
  <si>
    <t>sherri.kaufman@brightrtravel.com</t>
  </si>
  <si>
    <t>tnicholas@anonyome.com</t>
  </si>
  <si>
    <t>Anonyome Labs</t>
  </si>
  <si>
    <t>anonyome.com</t>
  </si>
  <si>
    <t>manhardeep.kochhar@flyfish.ai</t>
  </si>
  <si>
    <t>Flyfish</t>
  </si>
  <si>
    <t>flyfish.ai</t>
  </si>
  <si>
    <t>suhag.vamja@gokwik.co</t>
  </si>
  <si>
    <t>jon.tomin@vital.io</t>
  </si>
  <si>
    <t>Vital</t>
  </si>
  <si>
    <t>vital.io</t>
  </si>
  <si>
    <t>lane@transcend.io</t>
  </si>
  <si>
    <t>andrew@unstoppable.do</t>
  </si>
  <si>
    <t>larrywilliams@fenixparts.com</t>
  </si>
  <si>
    <t>alex.miklin@hrsoft.com</t>
  </si>
  <si>
    <t>h20230835@pilani.bits-pilani.ac.in</t>
  </si>
  <si>
    <t>student</t>
  </si>
  <si>
    <t>BITS Pilani</t>
  </si>
  <si>
    <t>pilani.bits-pilani.ac.in</t>
  </si>
  <si>
    <t>peter@lichtnl.nl</t>
  </si>
  <si>
    <t>LICHTNL</t>
  </si>
  <si>
    <t>lichtnl.nl</t>
  </si>
  <si>
    <t>zaniyyah@magmamath.com</t>
  </si>
  <si>
    <t>jemy.thomas@everlaw.com</t>
  </si>
  <si>
    <t>klacy@jellyfish.co</t>
  </si>
  <si>
    <t>john.montgomery@openlane.com</t>
  </si>
  <si>
    <t>jga@dixa.com</t>
  </si>
  <si>
    <t>rschenkenfelder@insightinhealth.com</t>
  </si>
  <si>
    <t>Insightin Health</t>
  </si>
  <si>
    <t>insightinhealth.com</t>
  </si>
  <si>
    <t>zeth@woomio.com</t>
  </si>
  <si>
    <t>Woomio</t>
  </si>
  <si>
    <t>woomio.com</t>
  </si>
  <si>
    <t>shashi.menon@testsigma.com</t>
  </si>
  <si>
    <t>Testsigma</t>
  </si>
  <si>
    <t>testsigma.com</t>
  </si>
  <si>
    <t>matthew.jeffries@neuron7.ai</t>
  </si>
  <si>
    <t>amarion@epignosishq.com</t>
  </si>
  <si>
    <t>Epignosis learning technologies</t>
  </si>
  <si>
    <t>epignosishq.com</t>
  </si>
  <si>
    <t>larry@cquence.app</t>
  </si>
  <si>
    <t>Cquence</t>
  </si>
  <si>
    <t>cquence.app</t>
  </si>
  <si>
    <t>moheet@mailmodo.com</t>
  </si>
  <si>
    <t xml:space="preserve">Vipul asked to ignore this form fill. https://gtmbuddy.slack.com/archives/C0341EAF27R/p1731033254792479?thread_ts=1730977233.576219&amp;cid=C0341EAF27R
</t>
  </si>
  <si>
    <t>Mailmodo Technologies Inc</t>
  </si>
  <si>
    <t>mailmodo.com</t>
  </si>
  <si>
    <t>nancye@notablehealth.com</t>
  </si>
  <si>
    <t>nathaniel.blalock@alchemer.com</t>
  </si>
  <si>
    <t>waseem.akram@getcakewalktest.com</t>
  </si>
  <si>
    <t>website not accessible, linkedin not found</t>
  </si>
  <si>
    <t>getcakewalktest.com</t>
  </si>
  <si>
    <t>rob.walter@sundaysky.com</t>
  </si>
  <si>
    <t>jtajuba@mparticle.com</t>
  </si>
  <si>
    <t>gv@simplicontract.com</t>
  </si>
  <si>
    <t>SimpliContract</t>
  </si>
  <si>
    <t>simplicontract.com</t>
  </si>
  <si>
    <t>hayleys@recastsoftware.com</t>
  </si>
  <si>
    <t>drake.mooneyham@studio.holiday</t>
  </si>
  <si>
    <t>studio.holiday</t>
  </si>
  <si>
    <t>j.alhassan@rewaatech.com</t>
  </si>
  <si>
    <t>Rawaa</t>
  </si>
  <si>
    <t>rewaatech.com</t>
  </si>
  <si>
    <t>saas@hasura.io</t>
  </si>
  <si>
    <t>eliott.shams@tracktik.com</t>
  </si>
  <si>
    <t>Trackforce Valiant</t>
  </si>
  <si>
    <t>trackforcevaliant.com</t>
  </si>
  <si>
    <t>m.loudiyi@ocpgroup.ma</t>
  </si>
  <si>
    <t>OCP Group</t>
  </si>
  <si>
    <t>ocpgroup.ma</t>
  </si>
  <si>
    <t>antony@greatleads.ru</t>
  </si>
  <si>
    <t>Greatleads</t>
  </si>
  <si>
    <t>greatleads.ru</t>
  </si>
  <si>
    <t>nguyenm@mscdirect.com</t>
  </si>
  <si>
    <t>MSC Industrial Supply Co.</t>
  </si>
  <si>
    <t>mscdirect.com</t>
  </si>
  <si>
    <t>gblackhurst@obsidiansecurity.com</t>
  </si>
  <si>
    <t>william.lenfestey@hginsights.com</t>
  </si>
  <si>
    <t>greg@ohmd.com</t>
  </si>
  <si>
    <t>rodrigo.bunay@checkout.com</t>
  </si>
  <si>
    <t>pratik@enthu.com</t>
  </si>
  <si>
    <t>EnthuZiastic</t>
  </si>
  <si>
    <t>enthu.com</t>
  </si>
  <si>
    <t>info@usa-hogan.com</t>
  </si>
  <si>
    <t>parked domain, linkedin profile not available</t>
  </si>
  <si>
    <t>usa-hogan.com</t>
  </si>
  <si>
    <t>nancy@decorlanein.com</t>
  </si>
  <si>
    <t xml:space="preserve">domain not active. </t>
  </si>
  <si>
    <t>decorlanein.com</t>
  </si>
  <si>
    <t>trish.n@covergenius.com</t>
  </si>
  <si>
    <t>grgo@rizitea.com</t>
  </si>
  <si>
    <t>website not working. no linkedin page</t>
  </si>
  <si>
    <t>rizitea.com</t>
  </si>
  <si>
    <t>anushka.b@spotdraft.com</t>
  </si>
  <si>
    <t>dinesh.kulhari@lji.io</t>
  </si>
  <si>
    <t>Loyalty Juggernaut</t>
  </si>
  <si>
    <t>lji.io</t>
  </si>
  <si>
    <t>tech@sulamanahmed.com</t>
  </si>
  <si>
    <t>website doesn't exist. 1 person company.</t>
  </si>
  <si>
    <t>Sulaman Ahmed</t>
  </si>
  <si>
    <t>sulamanahmed.com</t>
  </si>
  <si>
    <t>madison@propertymeld.com</t>
  </si>
  <si>
    <t>Property Meld</t>
  </si>
  <si>
    <t>propertymeld.com</t>
  </si>
  <si>
    <t>tannu.aggarwal@kymgl.com</t>
  </si>
  <si>
    <t>8 people company, only 3 people in sales+BD</t>
  </si>
  <si>
    <t>Healthcare Market Research &amp; Consulting</t>
  </si>
  <si>
    <t>kymgl.com</t>
  </si>
  <si>
    <t>sebastine@findpros.ai</t>
  </si>
  <si>
    <t>FindPro Group Inc</t>
  </si>
  <si>
    <t>findpros.ai</t>
  </si>
  <si>
    <t>jacob.fernow@keelvar.com</t>
  </si>
  <si>
    <t>box@sandbox.com</t>
  </si>
  <si>
    <t>junk lead</t>
  </si>
  <si>
    <t>Sandbox.com</t>
  </si>
  <si>
    <t>sandbox.com</t>
  </si>
  <si>
    <t>antonio.neglia@katanamrp.com</t>
  </si>
  <si>
    <t>Katana</t>
  </si>
  <si>
    <t>katanamrp.com</t>
  </si>
  <si>
    <t>nane.martirosyan@emlid.com</t>
  </si>
  <si>
    <t>devin@mybedrock.com</t>
  </si>
  <si>
    <t>alfie.gardner@socialvalueportal.com</t>
  </si>
  <si>
    <t>Social Value Portal Ltd</t>
  </si>
  <si>
    <t>socialvalueportal.com</t>
  </si>
  <si>
    <t>kalle@klue.com</t>
  </si>
  <si>
    <t>neharika.n@joveo.com</t>
  </si>
  <si>
    <t>hzarina@credence.tech</t>
  </si>
  <si>
    <t>Credence</t>
  </si>
  <si>
    <t>credence.tech</t>
  </si>
  <si>
    <t>john@smartgrass.co.nz</t>
  </si>
  <si>
    <t>SmartGrass</t>
  </si>
  <si>
    <t>smartgrass.co.nz</t>
  </si>
  <si>
    <t>wasey@repairdesk.co</t>
  </si>
  <si>
    <t>eva.cohen@nettyawards.com</t>
  </si>
  <si>
    <t>1 person company</t>
  </si>
  <si>
    <t>Netty Awards</t>
  </si>
  <si>
    <t>nettyawards.com</t>
  </si>
  <si>
    <t>hemant.mathur@celebaltech.com</t>
  </si>
  <si>
    <t>Celebal Technologies</t>
  </si>
  <si>
    <t>celebaltech.com</t>
  </si>
  <si>
    <t>ahmad.muhammad@tkxel.io</t>
  </si>
  <si>
    <t>tkxel.io</t>
  </si>
  <si>
    <t>ankit@infolocus.in</t>
  </si>
  <si>
    <t>LinkedIn not found</t>
  </si>
  <si>
    <t>Infolocus</t>
  </si>
  <si>
    <t>infolocus.in</t>
  </si>
  <si>
    <t>vaibhav@scalemetric.io</t>
  </si>
  <si>
    <t>scalemetric.io</t>
  </si>
  <si>
    <t>kaci.cardoza@qt.io</t>
  </si>
  <si>
    <t>jackieretig@clumio.com</t>
  </si>
  <si>
    <t>mymaafashin@servise.com</t>
  </si>
  <si>
    <t>Junk email, linkedin not found</t>
  </si>
  <si>
    <t>servise.com</t>
  </si>
  <si>
    <t>grace.moceri@guild.com</t>
  </si>
  <si>
    <t>phil@moveforward.consulting</t>
  </si>
  <si>
    <t>Move Forward Consulting</t>
  </si>
  <si>
    <t>moveforward.consulting</t>
  </si>
  <si>
    <t>rahul.panicker@petpooja.com</t>
  </si>
  <si>
    <t>info@soilpower.com</t>
  </si>
  <si>
    <t>Fertilok Soilpower</t>
  </si>
  <si>
    <t>soilpower.com</t>
  </si>
  <si>
    <t>shabbir@googl.com</t>
  </si>
  <si>
    <t>yopma.com</t>
  </si>
  <si>
    <t>vivek.li@prosperr.io</t>
  </si>
  <si>
    <t>less than 10 sales reps, wrong persona</t>
  </si>
  <si>
    <t>michael.eldredge@contentstack.com</t>
  </si>
  <si>
    <t>alicia.cordero@profitsolv.com</t>
  </si>
  <si>
    <t>Profitsolv</t>
  </si>
  <si>
    <t>profitsolv.com</t>
  </si>
  <si>
    <t>monish.odrani@ideaforgetech.com</t>
  </si>
  <si>
    <t>allan@magicplan.app</t>
  </si>
  <si>
    <t>myrelle@economiaseguros.com</t>
  </si>
  <si>
    <t>Not an ICP company</t>
  </si>
  <si>
    <t>Economiaseguros</t>
  </si>
  <si>
    <t>economiaseguros.com</t>
  </si>
  <si>
    <t>sanskar@webbuddy.agency</t>
  </si>
  <si>
    <t>Webbuddy</t>
  </si>
  <si>
    <t>webbuddy.agency</t>
  </si>
  <si>
    <t>rowland.harris@heartland.us</t>
  </si>
  <si>
    <t>Heartland</t>
  </si>
  <si>
    <t>heartland.us</t>
  </si>
  <si>
    <t>colin@owndata.com</t>
  </si>
  <si>
    <t>hossain@etap.com</t>
  </si>
  <si>
    <t>ETAP - Operation Technology</t>
  </si>
  <si>
    <t>etap.com</t>
  </si>
  <si>
    <t>gautam@aspsys.co.in</t>
  </si>
  <si>
    <t>aspsys.co.in</t>
  </si>
  <si>
    <t>robby.halford@teamwork.com</t>
  </si>
  <si>
    <t>roi@easypie.ai</t>
  </si>
  <si>
    <t>easypie.ai</t>
  </si>
  <si>
    <t>siddharth.kulkarni@sprinklr.com</t>
  </si>
  <si>
    <t>nitin.bisht@hrone.cloud</t>
  </si>
  <si>
    <t>HROne</t>
  </si>
  <si>
    <t>hrone.cloud</t>
  </si>
  <si>
    <t>akashkhanna@exotel.com</t>
  </si>
  <si>
    <t>aaina@scrut.io</t>
  </si>
  <si>
    <t>anushka.dand@razorpay.com</t>
  </si>
  <si>
    <t>jjones@tribalvision.com</t>
  </si>
  <si>
    <t>TribalVision LLC</t>
  </si>
  <si>
    <t>tribalvision.com</t>
  </si>
  <si>
    <t>nicole@technemedia.co</t>
  </si>
  <si>
    <t>Wrong persona</t>
  </si>
  <si>
    <t>Techne Media</t>
  </si>
  <si>
    <t>technemedia.co</t>
  </si>
  <si>
    <t>baihr@cbc-capital.com</t>
  </si>
  <si>
    <t>Wrong persona, Not an ICP company</t>
  </si>
  <si>
    <t>China Broadband Capital</t>
  </si>
  <si>
    <t>cbc-capital.com</t>
  </si>
  <si>
    <t>madanm@immione.com</t>
  </si>
  <si>
    <t>Linkedin not found.</t>
  </si>
  <si>
    <t>immiONE</t>
  </si>
  <si>
    <t>immione.com</t>
  </si>
  <si>
    <t>tim@netnew.solutions</t>
  </si>
  <si>
    <t>Net New Solutions</t>
  </si>
  <si>
    <t>netnew.solutions</t>
  </si>
  <si>
    <t>abi@leadnotlag.com</t>
  </si>
  <si>
    <t>Lead Not L</t>
  </si>
  <si>
    <t>leadnotlag.com</t>
  </si>
  <si>
    <t>mansi@jombay.com</t>
  </si>
  <si>
    <t>Jombay</t>
  </si>
  <si>
    <t>jombay.com</t>
  </si>
  <si>
    <t>zicame@snapmail.cc</t>
  </si>
  <si>
    <t>Snapmail</t>
  </si>
  <si>
    <t>snapmail.cc</t>
  </si>
  <si>
    <t>ember.campbell@ushur.com</t>
  </si>
  <si>
    <t>a.haddad@aumet.com</t>
  </si>
  <si>
    <t>Aumet</t>
  </si>
  <si>
    <t>aumet.com</t>
  </si>
  <si>
    <t>toni@quesma.com</t>
  </si>
  <si>
    <t>quesma.com</t>
  </si>
  <si>
    <t>neeraj.gulati@monotype.com</t>
  </si>
  <si>
    <t>Monotype</t>
  </si>
  <si>
    <t>monotype.com</t>
  </si>
  <si>
    <t>noah@adoro.us</t>
  </si>
  <si>
    <t>not found on LinkedIn</t>
  </si>
  <si>
    <t>Adoro</t>
  </si>
  <si>
    <t>adoro.us</t>
  </si>
  <si>
    <t>anil@incruiter.com</t>
  </si>
  <si>
    <t>Less than 20 reps</t>
  </si>
  <si>
    <t>Incruiter</t>
  </si>
  <si>
    <t>incruiter.com</t>
  </si>
  <si>
    <t>rohit.chohan@truworthwellness.com</t>
  </si>
  <si>
    <t>Truworth Wellness</t>
  </si>
  <si>
    <t>truworthwellness.com</t>
  </si>
  <si>
    <t>walter.paliska@dotdata.com</t>
  </si>
  <si>
    <t>samrid.shrestha@covu.com</t>
  </si>
  <si>
    <t>Experience in lead gen and marketing. not in pmm</t>
  </si>
  <si>
    <t>COVU Insurance Solutions LLC</t>
  </si>
  <si>
    <t>covu.com</t>
  </si>
  <si>
    <t>puranjay@tryloop.ai</t>
  </si>
  <si>
    <t>irrelevant persona</t>
  </si>
  <si>
    <t>Loop AI</t>
  </si>
  <si>
    <t>tryloop.ai</t>
  </si>
  <si>
    <t>arvinder.singla@sign3labs.com</t>
  </si>
  <si>
    <t>SIGN3</t>
  </si>
  <si>
    <t>sign3labs.com</t>
  </si>
  <si>
    <t>poorni@boardflo.site</t>
  </si>
  <si>
    <t>BoardFlo</t>
  </si>
  <si>
    <t>boardflo.site</t>
  </si>
  <si>
    <t>amitabh@kwanzoo.com</t>
  </si>
  <si>
    <t>sales team size&lt;10</t>
  </si>
  <si>
    <t>Kwanzoo</t>
  </si>
  <si>
    <t>kwanzoo.com</t>
  </si>
  <si>
    <t>rajat@zenskar.com</t>
  </si>
  <si>
    <t>dayasheelan@turbostart.co</t>
  </si>
  <si>
    <t>Turbostart</t>
  </si>
  <si>
    <t>turbostart.co</t>
  </si>
  <si>
    <t>farhana@urbanpiper.com</t>
  </si>
  <si>
    <t>basil@multiversepartners.com</t>
  </si>
  <si>
    <t>Focus is on advertising, media strategy.</t>
  </si>
  <si>
    <t>Multiverse Partners</t>
  </si>
  <si>
    <t>multiversepartners.com</t>
  </si>
  <si>
    <t>anish@tryhelium.xyz</t>
  </si>
  <si>
    <t>tryhelium.xyz</t>
  </si>
  <si>
    <t>carlosvalverde@seedtag.com</t>
  </si>
  <si>
    <t>Note from Divanshu: We can skip it. Also if you see the language is non English, usually there is a very low chances of an opportunity in that case.</t>
  </si>
  <si>
    <t>Seedtag</t>
  </si>
  <si>
    <t>seedtag.com</t>
  </si>
  <si>
    <t>sundar@bautomate.com</t>
  </si>
  <si>
    <t>Bautomate</t>
  </si>
  <si>
    <t>bautomate.com</t>
  </si>
  <si>
    <t>hritika@threado.com</t>
  </si>
  <si>
    <t>Threado</t>
  </si>
  <si>
    <t>threado.com</t>
  </si>
  <si>
    <t>namit.mahendru@ipventures.in</t>
  </si>
  <si>
    <t>Ipventures.in</t>
  </si>
  <si>
    <t>ipventures.in</t>
  </si>
  <si>
    <t>safwaan@doodle-blue.com</t>
  </si>
  <si>
    <t>irnini.com</t>
  </si>
  <si>
    <t>amanda.yanushefski@getmaintainx.com</t>
  </si>
  <si>
    <t>jessica.demasi@guardianfall.com</t>
  </si>
  <si>
    <t>Guardian</t>
  </si>
  <si>
    <t>guardianfall.com</t>
  </si>
  <si>
    <t>arthur@frood.in</t>
  </si>
  <si>
    <t>frood.in</t>
  </si>
  <si>
    <t>chiara.gianola@mirakl.com</t>
  </si>
  <si>
    <t>kyle@autobooks.co</t>
  </si>
  <si>
    <t>Autobooks, Inc</t>
  </si>
  <si>
    <t>autobooks.co</t>
  </si>
  <si>
    <t>krishnathakur@changengine.in</t>
  </si>
  <si>
    <t>Changengine</t>
  </si>
  <si>
    <t>changengine.in</t>
  </si>
  <si>
    <t>ak@sadigital.in</t>
  </si>
  <si>
    <t>Sā Digital</t>
  </si>
  <si>
    <t>sadigital.in</t>
  </si>
  <si>
    <t>anna.buffard@sprinklr.com</t>
  </si>
  <si>
    <t>pallab.ghosh@truecaller.com</t>
  </si>
  <si>
    <t>marian.hunt@fountain.com</t>
  </si>
  <si>
    <t>celeste@mountain.com</t>
  </si>
  <si>
    <t>amit.didolkar@finbox.in</t>
  </si>
  <si>
    <t>sunil.jain@agrostar.in</t>
  </si>
  <si>
    <t>AgroStar</t>
  </si>
  <si>
    <t>agrostar.in</t>
  </si>
  <si>
    <t>yvette.boucher@centralreach.com</t>
  </si>
  <si>
    <t>suhail@thribe.in</t>
  </si>
  <si>
    <t>company size&lt;10</t>
  </si>
  <si>
    <t>Thribe</t>
  </si>
  <si>
    <t>thribe.in</t>
  </si>
  <si>
    <t>somnath.m@hyperverge.co</t>
  </si>
  <si>
    <t>HyperVerge</t>
  </si>
  <si>
    <t>hyperverge.co</t>
  </si>
  <si>
    <t>c.walter@beewatec.de</t>
  </si>
  <si>
    <t>BeeWaTec</t>
  </si>
  <si>
    <t>beewatec.de</t>
  </si>
  <si>
    <t>vemixi7451@molyg.com</t>
  </si>
  <si>
    <t>sumer@easyflex.in</t>
  </si>
  <si>
    <t>Kanwal Industrial Corporation</t>
  </si>
  <si>
    <t>easyflex.in</t>
  </si>
  <si>
    <t>chris.haberle@seekout.com</t>
  </si>
  <si>
    <t>shailyaditya@callhippo.com</t>
  </si>
  <si>
    <t>asharma@procloz.com</t>
  </si>
  <si>
    <t>Procloz - Compliant Workforce Solutions</t>
  </si>
  <si>
    <t>procloz.com</t>
  </si>
  <si>
    <t>swapnilk@ecomexpress.in</t>
  </si>
  <si>
    <t>piyush.jain@eccindia.co.in</t>
  </si>
  <si>
    <t>company website, linkedin profile not found</t>
  </si>
  <si>
    <t>eccindia.co.in</t>
  </si>
  <si>
    <t>shawnba.hoffman@guardrail.tech</t>
  </si>
  <si>
    <t>Guardrail Technologies</t>
  </si>
  <si>
    <t>guardrail.tech</t>
  </si>
  <si>
    <t>sunanda.dutta@shield.com</t>
  </si>
  <si>
    <t>SHIELD</t>
  </si>
  <si>
    <t>shield.com</t>
  </si>
  <si>
    <t>mohit@quinn.live</t>
  </si>
  <si>
    <t>less than 20 sellers, 32 people company.  no pmm and enablement leaders</t>
  </si>
  <si>
    <t>Quinn</t>
  </si>
  <si>
    <t>quinn.live</t>
  </si>
  <si>
    <t>satish@goselfserve.in</t>
  </si>
  <si>
    <t>less than 20 sellers</t>
  </si>
  <si>
    <t>GoSelfServe</t>
  </si>
  <si>
    <t>goselfserve.in</t>
  </si>
  <si>
    <t>bob@tablioo.com</t>
  </si>
  <si>
    <t>Tablioo</t>
  </si>
  <si>
    <t>tablioo.com</t>
  </si>
  <si>
    <t>drmiller@peak.org</t>
  </si>
  <si>
    <t>PEAK Internet</t>
  </si>
  <si>
    <t>peak.org</t>
  </si>
  <si>
    <t>hannah.sabetti@debtbook.com</t>
  </si>
  <si>
    <t>Debtbook</t>
  </si>
  <si>
    <t>debtbook.com</t>
  </si>
  <si>
    <t>or@maastery.com</t>
  </si>
  <si>
    <t>maastery</t>
  </si>
  <si>
    <t>maastery.com</t>
  </si>
  <si>
    <t>blaire.constantinou@addepar.com</t>
  </si>
  <si>
    <t>himanshi.balecha@squadstack.com</t>
  </si>
  <si>
    <t>vishaal.paraman@kovai.co</t>
  </si>
  <si>
    <t>Kovai.co</t>
  </si>
  <si>
    <t>kovai.co</t>
  </si>
  <si>
    <t>cbratsis@ipipeline.com</t>
  </si>
  <si>
    <t>aashu@xoxoday.com</t>
  </si>
  <si>
    <t>jkunz@travelbank.com</t>
  </si>
  <si>
    <t>travelbank</t>
  </si>
  <si>
    <t>travelbank.com</t>
  </si>
  <si>
    <t>madeline@hirshan.com</t>
  </si>
  <si>
    <t>hirshan.com</t>
  </si>
  <si>
    <t>shubham.sharma@usemultiplier.com</t>
  </si>
  <si>
    <t>shilpa.rao@gupshup.io</t>
  </si>
  <si>
    <t>slathia@votecgroup.com</t>
  </si>
  <si>
    <t>VOTEC Group</t>
  </si>
  <si>
    <t>votecgroup.com</t>
  </si>
  <si>
    <t>ankit.chaturvedi@rategain.com</t>
  </si>
  <si>
    <t>megan.gordon@prevail.io</t>
  </si>
  <si>
    <t>IC</t>
  </si>
  <si>
    <t>Prevail Legal</t>
  </si>
  <si>
    <t>prevail.io</t>
  </si>
  <si>
    <t>jake@momence.com</t>
  </si>
  <si>
    <t>Momence</t>
  </si>
  <si>
    <t>momence.com</t>
  </si>
  <si>
    <t>muni@reo.dev</t>
  </si>
  <si>
    <t>founders@dollarpe.com</t>
  </si>
  <si>
    <t>Company size&lt;10</t>
  </si>
  <si>
    <t>DollarPe.</t>
  </si>
  <si>
    <t>dollarpe.com</t>
  </si>
  <si>
    <t>smllrapu@memphis.edu</t>
  </si>
  <si>
    <t>junk lead. LinkedIn not found</t>
  </si>
  <si>
    <t>University of Memphis</t>
  </si>
  <si>
    <t>memphis.edu</t>
  </si>
  <si>
    <t>ablanchard@nasuni.com</t>
  </si>
  <si>
    <t>rashi.mishra@razorpay.com</t>
  </si>
  <si>
    <t>sandm@e-claim.com</t>
  </si>
  <si>
    <t>less than 20 seller</t>
  </si>
  <si>
    <t>ClickClaims</t>
  </si>
  <si>
    <t>e-claim.com</t>
  </si>
  <si>
    <t>jeisenberg@intelepeer.com</t>
  </si>
  <si>
    <t>deepak@thrivingsprings.com</t>
  </si>
  <si>
    <t>Thriving Springs</t>
  </si>
  <si>
    <t>thrivingsprings.com</t>
  </si>
  <si>
    <t>tushar.poddar@skuad.io</t>
  </si>
  <si>
    <t>Skuad</t>
  </si>
  <si>
    <t>skuad.io</t>
  </si>
  <si>
    <t>admin@cyberkavacha.com</t>
  </si>
  <si>
    <t>cyberkavacha.com</t>
  </si>
  <si>
    <t>m.carmona@prodways.com</t>
  </si>
  <si>
    <t>Prodways</t>
  </si>
  <si>
    <t>prodways.com</t>
  </si>
  <si>
    <t>abbie.dockerill@ultimate.ai</t>
  </si>
  <si>
    <t>Ultimate.ai</t>
  </si>
  <si>
    <t>ultimate.ai</t>
  </si>
  <si>
    <t>shubham.shinde@launchfast.in</t>
  </si>
  <si>
    <t>launchfast.in</t>
  </si>
  <si>
    <t>akshay@nanonets.com</t>
  </si>
  <si>
    <t>parvez.kadbal@dove-soft.com</t>
  </si>
  <si>
    <t>Dove Soft Pvt Ltd.</t>
  </si>
  <si>
    <t>dove-soft.com</t>
  </si>
  <si>
    <t>ttowner@dvunified.com</t>
  </si>
  <si>
    <t>Da Vinci Unified WMS</t>
  </si>
  <si>
    <t>dvunified.com</t>
  </si>
  <si>
    <t>info@technocratshorizons.com</t>
  </si>
  <si>
    <t>Technocrats Horizons</t>
  </si>
  <si>
    <t>technocratshorizons.com</t>
  </si>
  <si>
    <t>liao.monica@advance.ai</t>
  </si>
  <si>
    <t>ADVANCE.AI</t>
  </si>
  <si>
    <t>advance.ai</t>
  </si>
  <si>
    <t>matthew.agronin@ubiquity.com</t>
  </si>
  <si>
    <t>Ubiquity Global Services Inc</t>
  </si>
  <si>
    <t>ubiquity.com</t>
  </si>
  <si>
    <t>jacob@kaladigital.com.au</t>
  </si>
  <si>
    <t>Kala Digital</t>
  </si>
  <si>
    <t>kaladigital.com.au</t>
  </si>
  <si>
    <t>akhilesh@moreyeahs.com</t>
  </si>
  <si>
    <t>MoreYeahs Inc</t>
  </si>
  <si>
    <t>moreyeahs.com</t>
  </si>
  <si>
    <t>enalwala@iotap.com</t>
  </si>
  <si>
    <t>IOTAP</t>
  </si>
  <si>
    <t>iotap.com</t>
  </si>
  <si>
    <t>camila.cunha@factorial.co</t>
  </si>
  <si>
    <t>Factorial</t>
  </si>
  <si>
    <t>factorialhr.com</t>
  </si>
  <si>
    <t>shobha@redcoral.in</t>
  </si>
  <si>
    <t>Red Coral Travel Experiences</t>
  </si>
  <si>
    <t>redcoral.in</t>
  </si>
  <si>
    <t>eemohammed@ooredoo.qa</t>
  </si>
  <si>
    <t>Ooredoo Qatar</t>
  </si>
  <si>
    <t>ooredoo.qa</t>
  </si>
  <si>
    <t>sophie.k@fevtutor.com</t>
  </si>
  <si>
    <t>george@aptiv.io</t>
  </si>
  <si>
    <t>Aptivio</t>
  </si>
  <si>
    <t>aptiv.io</t>
  </si>
  <si>
    <t>calista.anderson@netspi.com</t>
  </si>
  <si>
    <t>constantine@gonobleswans.com</t>
  </si>
  <si>
    <t>Gonobleswans</t>
  </si>
  <si>
    <t>gonobleswans.com</t>
  </si>
  <si>
    <t>srinivas.kamath@greytip.com</t>
  </si>
  <si>
    <t>brittni.kiick@provisiopartners.com</t>
  </si>
  <si>
    <t>akhilesh@exponentpt.com</t>
  </si>
  <si>
    <t>Scaleup-sherpa</t>
  </si>
  <si>
    <t>exponentpt.com</t>
  </si>
  <si>
    <t>david.vandenbogaerde@lizy.be</t>
  </si>
  <si>
    <t>LIZY</t>
  </si>
  <si>
    <t>lizy.be</t>
  </si>
  <si>
    <t>michaela.britt@foleon.com</t>
  </si>
  <si>
    <t>aawad@planful.com</t>
  </si>
  <si>
    <t>adena@tread.io</t>
  </si>
  <si>
    <t>ihit.rao@loconav.com</t>
  </si>
  <si>
    <t>LocoNav</t>
  </si>
  <si>
    <t>loconav.com</t>
  </si>
  <si>
    <t>madhavi.natukula@cloud4c.com</t>
  </si>
  <si>
    <t>brandee.sanders@revenue.io</t>
  </si>
  <si>
    <t>thendrickson@hopskipdrive.com</t>
  </si>
  <si>
    <t>mehfishan.nishat@machintel.com</t>
  </si>
  <si>
    <t>Machintel</t>
  </si>
  <si>
    <t>machintel.com</t>
  </si>
  <si>
    <t>aaryendr.rajpurohit@amagi.com</t>
  </si>
  <si>
    <t>sawai@rootteam.co.jp</t>
  </si>
  <si>
    <t>株式会社ルートチーム</t>
  </si>
  <si>
    <t>rootteam.co.jp</t>
  </si>
  <si>
    <t>lina.miranda@placer.ai</t>
  </si>
  <si>
    <t>tom@augustcollection.co.uk</t>
  </si>
  <si>
    <t>August</t>
  </si>
  <si>
    <t>augustcollection.co.uk</t>
  </si>
  <si>
    <t>taha@joveo.com</t>
  </si>
  <si>
    <t>v.kartik@hyperverge.co</t>
  </si>
  <si>
    <t>timothy@v7labs.com</t>
  </si>
  <si>
    <t>V7</t>
  </si>
  <si>
    <t>v7labs.com</t>
  </si>
  <si>
    <t>charles@liveguru.io</t>
  </si>
  <si>
    <t>LiveGuru</t>
  </si>
  <si>
    <t>liveguru.io</t>
  </si>
  <si>
    <t>anastasia.fete@peoplefluent.com</t>
  </si>
  <si>
    <t>lara.hourquebie@abtasty.com</t>
  </si>
  <si>
    <t>ab@rocketlane.com</t>
  </si>
  <si>
    <t>gaurav.ojha@edmingle.com</t>
  </si>
  <si>
    <t>Edmingle</t>
  </si>
  <si>
    <t>edmingle.com</t>
  </si>
  <si>
    <t>devendra@digitalmantra.in</t>
  </si>
  <si>
    <t>DigitalMantra</t>
  </si>
  <si>
    <t>digitalmantra.in</t>
  </si>
  <si>
    <t>andy.ramspott@cesco.com</t>
  </si>
  <si>
    <t>lgarrett@ontic.co</t>
  </si>
  <si>
    <t>Ontic</t>
  </si>
  <si>
    <t>ontic.co</t>
  </si>
  <si>
    <t>roxanne.pepin@apaleo.com</t>
  </si>
  <si>
    <t>sankar@securden.com</t>
  </si>
  <si>
    <t>Securden</t>
  </si>
  <si>
    <t>securden.com</t>
  </si>
  <si>
    <t>sarvesh@satsure.co</t>
  </si>
  <si>
    <t>Satsure</t>
  </si>
  <si>
    <t>satsure.co</t>
  </si>
  <si>
    <t>alyssa.sevilla@cardiodiagnosticsinc.com</t>
  </si>
  <si>
    <t>Cardio Diagnostics</t>
  </si>
  <si>
    <t>cardiodiagnosticsinc.com</t>
  </si>
  <si>
    <t>kartik.mehrotra@betterplace.co.in</t>
  </si>
  <si>
    <t>BetterPlace</t>
  </si>
  <si>
    <t>betterplace.co.in</t>
  </si>
  <si>
    <t>aayushi.bhatjiwale@webengage.com</t>
  </si>
  <si>
    <t>rakesh@inifox.com</t>
  </si>
  <si>
    <t>inifox.com</t>
  </si>
  <si>
    <t>majji@elephantedgeai.com</t>
  </si>
  <si>
    <t>Elephantedgeai</t>
  </si>
  <si>
    <t>elephantedgeai.com</t>
  </si>
  <si>
    <t>kuldeep.thakur@inspirext.com</t>
  </si>
  <si>
    <t>Inspirext Consulting Ltd</t>
  </si>
  <si>
    <t>inspirext.com</t>
  </si>
  <si>
    <t>swami@360extech.com</t>
  </si>
  <si>
    <t>360Ex</t>
  </si>
  <si>
    <t>360extech.com</t>
  </si>
  <si>
    <t>lionel.joham@silent-yachts.com</t>
  </si>
  <si>
    <t>SILENT-YACHTS</t>
  </si>
  <si>
    <t>silent-yachts.com</t>
  </si>
  <si>
    <t>aadil.bhat@samparksoftwares.com</t>
  </si>
  <si>
    <t>Sampark</t>
  </si>
  <si>
    <t>samparksoftwares.com</t>
  </si>
  <si>
    <t>ashmar.barbour@woodpecker.co</t>
  </si>
  <si>
    <t>Woodpecker.co</t>
  </si>
  <si>
    <t>woodpecker.co</t>
  </si>
  <si>
    <t>shafique.gajdhar@betterplace.co.in</t>
  </si>
  <si>
    <t>danny@sprinto.com</t>
  </si>
  <si>
    <t>shailesh@writeplus.co</t>
  </si>
  <si>
    <t>Write+ AI</t>
  </si>
  <si>
    <t>writeplus.co</t>
  </si>
  <si>
    <t>iliyassippy@gmail.com</t>
  </si>
  <si>
    <t>Natural Remedies</t>
  </si>
  <si>
    <t>naturalremedy.com</t>
  </si>
  <si>
    <t>phil@mk2v.com</t>
  </si>
  <si>
    <t>Mark Two Ventures</t>
  </si>
  <si>
    <t>mk2v.com</t>
  </si>
  <si>
    <t>bking@bumpin.io</t>
  </si>
  <si>
    <t>bumpin.io</t>
  </si>
  <si>
    <t>sankara@koot.business</t>
  </si>
  <si>
    <t>koot.business</t>
  </si>
  <si>
    <t>malzamil@telgani.com</t>
  </si>
  <si>
    <t>Telgani</t>
  </si>
  <si>
    <t>telgani.com</t>
  </si>
  <si>
    <t>deepa_b@ormae.com</t>
  </si>
  <si>
    <t>ORMAE LLP</t>
  </si>
  <si>
    <t>ormae.com</t>
  </si>
  <si>
    <t>ayushim2022@iimbg.ac.in</t>
  </si>
  <si>
    <t>Indian Institute of Management Bodh Gaya</t>
  </si>
  <si>
    <t>iimbg.ac.in</t>
  </si>
  <si>
    <t>mikem@thewritingproject.com</t>
  </si>
  <si>
    <t>The Writing Project</t>
  </si>
  <si>
    <t>thewritingproject.com</t>
  </si>
  <si>
    <t>neha.srivastava@xuriti.com</t>
  </si>
  <si>
    <t>xuriti.com</t>
  </si>
  <si>
    <t>naveen@mpp.co.in</t>
  </si>
  <si>
    <t>The Mathrubhumi Printing and Publishing Company</t>
  </si>
  <si>
    <t>mpp.co.in</t>
  </si>
  <si>
    <t>ashley.harrington@ataccama.com</t>
  </si>
  <si>
    <t>Ataccama</t>
  </si>
  <si>
    <t>ataccama.com</t>
  </si>
  <si>
    <t>abhinav@founderlink.ai</t>
  </si>
  <si>
    <t>founderlink.ai</t>
  </si>
  <si>
    <t>adam.pavley@impact.com</t>
  </si>
  <si>
    <t>shubham@topbeat.in</t>
  </si>
  <si>
    <t>Topbeat</t>
  </si>
  <si>
    <t>topbeat.in</t>
  </si>
  <si>
    <t>b.raviteja@peoplestrong.com</t>
  </si>
  <si>
    <t>smith.sen@votecgroup.com</t>
  </si>
  <si>
    <t>karan.arora@mygate.com</t>
  </si>
  <si>
    <t>Mygate</t>
  </si>
  <si>
    <t>mygate.com</t>
  </si>
  <si>
    <t>taro@forge.vc</t>
  </si>
  <si>
    <t>Forge</t>
  </si>
  <si>
    <t>forge.vc</t>
  </si>
  <si>
    <t>chaitsi@brownliving.in</t>
  </si>
  <si>
    <t>Brown Living</t>
  </si>
  <si>
    <t>brownliving.in</t>
  </si>
  <si>
    <t>christel.bastida@healietech.com</t>
  </si>
  <si>
    <t>HealieTech</t>
  </si>
  <si>
    <t>healietech.com</t>
  </si>
  <si>
    <t>meghana.balasubramanyam@testsigma.com</t>
  </si>
  <si>
    <t>andrea.fulton@shiftmed.com</t>
  </si>
  <si>
    <t>ShiftMed LLC</t>
  </si>
  <si>
    <t>shiftmed.com</t>
  </si>
  <si>
    <t>contact@ewokestudio.com</t>
  </si>
  <si>
    <t>Ewoke Studio</t>
  </si>
  <si>
    <t>ewokestudio.com</t>
  </si>
  <si>
    <t>william.c@usepave.net</t>
  </si>
  <si>
    <t>lauren.peyton@shorelight.com</t>
  </si>
  <si>
    <t>Shorelight</t>
  </si>
  <si>
    <t>shorelight.com</t>
  </si>
  <si>
    <t>umang@syook.com</t>
  </si>
  <si>
    <t>Syook</t>
  </si>
  <si>
    <t>syook.com</t>
  </si>
  <si>
    <t>ash@smartbots.ai</t>
  </si>
  <si>
    <t>SmartBots</t>
  </si>
  <si>
    <t>smartbots.ai</t>
  </si>
  <si>
    <t>rjetty@rjeys.com</t>
  </si>
  <si>
    <t>RJEYS INFINITY SOLUTIONS</t>
  </si>
  <si>
    <t>rjeys.com</t>
  </si>
  <si>
    <t>giri@assuretrac.com</t>
  </si>
  <si>
    <t>Assuretrac</t>
  </si>
  <si>
    <t>assuretrac.com</t>
  </si>
  <si>
    <t>akash.kumar@dotpe.in</t>
  </si>
  <si>
    <t>DotPe</t>
  </si>
  <si>
    <t>dotpe.in</t>
  </si>
  <si>
    <t>vivek.h@facilio.com</t>
  </si>
  <si>
    <t>brad.pennefather@psandco.ca</t>
  </si>
  <si>
    <t>PS&amp;Co</t>
  </si>
  <si>
    <t>psandco.ca</t>
  </si>
  <si>
    <t>santhosh.shankar@rakuten.com</t>
  </si>
  <si>
    <t>Rakuten Rewards</t>
  </si>
  <si>
    <t>rakuten.com</t>
  </si>
  <si>
    <t>melissa@thespeakerlab.com</t>
  </si>
  <si>
    <t>The Speaker Lab</t>
  </si>
  <si>
    <t>thespeakerlab.com</t>
  </si>
  <si>
    <t>kalpana.singh@recordedfuture.com</t>
  </si>
  <si>
    <t>hitendra@turno.club</t>
  </si>
  <si>
    <t>Turno</t>
  </si>
  <si>
    <t>turno.club</t>
  </si>
  <si>
    <t>kas@knowledgeadvisory.com</t>
  </si>
  <si>
    <t>Knowledge Advisory</t>
  </si>
  <si>
    <t>knowledgeadvisory.com</t>
  </si>
  <si>
    <t>aditya@leegality.com</t>
  </si>
  <si>
    <t>jigyasa.sharma@unicommerce.com</t>
  </si>
  <si>
    <t>Unicommerce</t>
  </si>
  <si>
    <t>unicommerce.com</t>
  </si>
  <si>
    <t>andrear@getzlinq.com</t>
  </si>
  <si>
    <t>sudesh.k@emudhra.com</t>
  </si>
  <si>
    <t>eMudhra</t>
  </si>
  <si>
    <t>emudhra.com</t>
  </si>
  <si>
    <t>alan@dimensionallycursed.com</t>
  </si>
  <si>
    <t>Dimensionally Cursed</t>
  </si>
  <si>
    <t>dimensionallycursed.com</t>
  </si>
  <si>
    <t>saniya@rocketlane.com</t>
  </si>
  <si>
    <t>rohit.g@disprz.com</t>
  </si>
  <si>
    <t>vincent@merca.team</t>
  </si>
  <si>
    <t>Mercateam</t>
  </si>
  <si>
    <t>merca.team</t>
  </si>
  <si>
    <t>fabian.vonkleinsorgen@simplesystem.com</t>
  </si>
  <si>
    <t>simple system</t>
  </si>
  <si>
    <t>simplesystem.com</t>
  </si>
  <si>
    <t>sunnyghosh@brewra.com</t>
  </si>
  <si>
    <t>Brewra Ventures</t>
  </si>
  <si>
    <t>brewra.com</t>
  </si>
  <si>
    <t>shehzad@joveo.com</t>
  </si>
  <si>
    <t>kinsey.eaton@cloudkitchens.com</t>
  </si>
  <si>
    <t>lindsay@knapsack.cloud</t>
  </si>
  <si>
    <t>Knapsack</t>
  </si>
  <si>
    <t>knapsack.cloud</t>
  </si>
  <si>
    <t>h.steenstra@shypple.com</t>
  </si>
  <si>
    <t>vijay@locobuzz.com</t>
  </si>
  <si>
    <t>Locobuzz</t>
  </si>
  <si>
    <t>locobuzz.com</t>
  </si>
  <si>
    <t>sandeep.kumar@absorblms.com</t>
  </si>
  <si>
    <t>mohamed.abdullah@cyclotron.com</t>
  </si>
  <si>
    <t>Cyclotron Inc</t>
  </si>
  <si>
    <t>cyclotron.com</t>
  </si>
  <si>
    <t>michael@veknermedia.com</t>
  </si>
  <si>
    <t>veknermedia.com</t>
  </si>
  <si>
    <t>alex.knechtl@soliduslabs.com</t>
  </si>
  <si>
    <t>bhdavis@careacademy.com</t>
  </si>
  <si>
    <t>akshay.k@otomeyt.ai</t>
  </si>
  <si>
    <t>Otomeyt</t>
  </si>
  <si>
    <t>otomeyt.ai</t>
  </si>
  <si>
    <t>shawn@my-cpe.com</t>
  </si>
  <si>
    <t>myCPE</t>
  </si>
  <si>
    <t>my-cpe.com</t>
  </si>
  <si>
    <t>pritam.pandey@go-yubi.com</t>
  </si>
  <si>
    <t>go-yubi.com</t>
  </si>
  <si>
    <t>jenna.stuart@teledyneflir.com</t>
  </si>
  <si>
    <t>abhishek@mailmodo.com</t>
  </si>
  <si>
    <t>sudhir.pande@trezix.io</t>
  </si>
  <si>
    <t>Trezix</t>
  </si>
  <si>
    <t>trezix.io</t>
  </si>
  <si>
    <t>maciej.hoffmann@espeo.eu</t>
  </si>
  <si>
    <t>ankit@callhippo.com</t>
  </si>
  <si>
    <t>ian@trillbit.com</t>
  </si>
  <si>
    <t>Trillbit</t>
  </si>
  <si>
    <t>trillbit.com</t>
  </si>
  <si>
    <t>luis@ie89.com</t>
  </si>
  <si>
    <t>ie89.com</t>
  </si>
  <si>
    <t>arjun@bytebeam.io</t>
  </si>
  <si>
    <t>Bytebeam</t>
  </si>
  <si>
    <t>bytebeam.io</t>
  </si>
  <si>
    <t>krishnan.kaushik@apty.io</t>
  </si>
  <si>
    <t>giridhar@nuvepro.com</t>
  </si>
  <si>
    <t>Nuvepro</t>
  </si>
  <si>
    <t>nuvepro.com</t>
  </si>
  <si>
    <t>jasmeet.gandhi@trezix.io</t>
  </si>
  <si>
    <t>amit.rohra@locale.ai</t>
  </si>
  <si>
    <t>LocaleAI Inc</t>
  </si>
  <si>
    <t>locale.ai</t>
  </si>
  <si>
    <t>shrayansh.sett@clear.in</t>
  </si>
  <si>
    <t>deepak.ruchandani@happay.com</t>
  </si>
  <si>
    <t>Happay</t>
  </si>
  <si>
    <t>happay.com</t>
  </si>
  <si>
    <t>sanchit@innerfit.me</t>
  </si>
  <si>
    <t>Inner Fit</t>
  </si>
  <si>
    <t>innerfit.me</t>
  </si>
  <si>
    <t>darshanps@weblineindia.com</t>
  </si>
  <si>
    <t>WeblineIndia</t>
  </si>
  <si>
    <t>weblineindia.com</t>
  </si>
  <si>
    <t>ashish@yugasa.com</t>
  </si>
  <si>
    <t>Yugasa Software Labs</t>
  </si>
  <si>
    <t>yugasa.com</t>
  </si>
  <si>
    <t>smriti.c@razorpay.com</t>
  </si>
  <si>
    <t>rashid@ithorizon.co</t>
  </si>
  <si>
    <t>Ithorizon</t>
  </si>
  <si>
    <t>ithorizon.co</t>
  </si>
  <si>
    <t>rohit.dey@vwo.com</t>
  </si>
  <si>
    <t>VWO</t>
  </si>
  <si>
    <t>vwo.com</t>
  </si>
  <si>
    <t>yuliya.shcherbachova@wandb.com</t>
  </si>
  <si>
    <t>irene.betist@foleon.com</t>
  </si>
  <si>
    <t>deepakshi@klubworks.com</t>
  </si>
  <si>
    <t>Klub</t>
  </si>
  <si>
    <t>klubworks.com</t>
  </si>
  <si>
    <t>aniket@xoxoday.com</t>
  </si>
  <si>
    <t>kaan.sahin@useinsider.com</t>
  </si>
  <si>
    <t>emilia.lehojarvi@enfuce.com</t>
  </si>
  <si>
    <t>saurabh.kelkar@xoriant.com</t>
  </si>
  <si>
    <t>sham.b@accelq.com</t>
  </si>
  <si>
    <t>ACCELQ</t>
  </si>
  <si>
    <t>accelq.com</t>
  </si>
  <si>
    <t>george.ford@inboxinsight.com</t>
  </si>
  <si>
    <t>saheenc.najeeb@edgeverve.com</t>
  </si>
  <si>
    <t>EdgeVerve</t>
  </si>
  <si>
    <t>edgeverve.com</t>
  </si>
  <si>
    <t>omprakash.k@fuegosys.com</t>
  </si>
  <si>
    <t>Fuego Systems</t>
  </si>
  <si>
    <t>fuegosys.com</t>
  </si>
  <si>
    <t>arpan.j29@clear.in</t>
  </si>
  <si>
    <t>dalmeida@sayari.com</t>
  </si>
  <si>
    <t>utkarsh.bhatnagar@bootlabstech.com</t>
  </si>
  <si>
    <t>BootLabs</t>
  </si>
  <si>
    <t>bootlabstech.com</t>
  </si>
  <si>
    <t>rachel.cheyfitz@coro.net</t>
  </si>
  <si>
    <t>apoorv.singh@rivigo.com</t>
  </si>
  <si>
    <t>Rivigo</t>
  </si>
  <si>
    <t>rivigo.com</t>
  </si>
  <si>
    <t>richard.mello@godigitalselling.com</t>
  </si>
  <si>
    <t>Digital Selling</t>
  </si>
  <si>
    <t>godigitalselling.com</t>
  </si>
  <si>
    <t>clouwels@slp.com</t>
  </si>
  <si>
    <t>Southern Lithoplate</t>
  </si>
  <si>
    <t>slp.com</t>
  </si>
  <si>
    <t>shob.saxena@entropiktech.com</t>
  </si>
  <si>
    <t>biggiesmall@2pac.com</t>
  </si>
  <si>
    <t>2PAC</t>
  </si>
  <si>
    <t>2pac.com</t>
  </si>
  <si>
    <t>jai@presales.app</t>
  </si>
  <si>
    <t>presales.app</t>
  </si>
  <si>
    <t>swami@foodni.com</t>
  </si>
  <si>
    <t>FOOD n I.</t>
  </si>
  <si>
    <t>foodni.com</t>
  </si>
  <si>
    <t>soham.banerjee@qualitykiosk.com</t>
  </si>
  <si>
    <t>hryan@sweeny.com</t>
  </si>
  <si>
    <t>Gym Solutions LLC</t>
  </si>
  <si>
    <t>gym.com</t>
  </si>
  <si>
    <t>singh.satvinder90@gmail.com</t>
  </si>
  <si>
    <t>nari@coupa.com</t>
  </si>
  <si>
    <t>Coupa</t>
  </si>
  <si>
    <t>coupa.com</t>
  </si>
  <si>
    <t>pomalley@symplr.com</t>
  </si>
  <si>
    <t>symplr</t>
  </si>
  <si>
    <t>symplr.com</t>
  </si>
  <si>
    <t>jhaalani@gmail.com</t>
  </si>
  <si>
    <t>dhrubajyothi.sarkar@inmobi.com</t>
  </si>
  <si>
    <t>InMobi</t>
  </si>
  <si>
    <t>inmobi.com</t>
  </si>
  <si>
    <t>jesse@streamsets.com</t>
  </si>
  <si>
    <t>StreamSets Inc.</t>
  </si>
  <si>
    <t>streamsets.com</t>
  </si>
  <si>
    <t>sam.flaster@cyberark.com</t>
  </si>
  <si>
    <t>CyberArk</t>
  </si>
  <si>
    <t>cyberark.com</t>
  </si>
  <si>
    <t>kschwab@apspayroll.com</t>
  </si>
  <si>
    <t>ymiller@evercommerce.com</t>
  </si>
  <si>
    <t>jmacomber@lumivero.com</t>
  </si>
  <si>
    <t>Lumivero</t>
  </si>
  <si>
    <t>lumivero.com</t>
  </si>
  <si>
    <t>ferdina@leena.ai</t>
  </si>
  <si>
    <t>Leena AI</t>
  </si>
  <si>
    <t>leena.ai</t>
  </si>
  <si>
    <t>cbeetham@touchbistro.com</t>
  </si>
  <si>
    <t>TouchBistro</t>
  </si>
  <si>
    <t>touchbistro.com</t>
  </si>
  <si>
    <t>caleb.dow@introhive.com</t>
  </si>
  <si>
    <t>savannahmartin@hireez.com</t>
  </si>
  <si>
    <t>hireEZ</t>
  </si>
  <si>
    <t>hireez.com</t>
  </si>
  <si>
    <t>jcameron@diligent.com</t>
  </si>
  <si>
    <t>achinoam.k@appsflyer.com</t>
  </si>
  <si>
    <t>chaseparvez@gmail.com</t>
  </si>
  <si>
    <t>sumi.bajaj@aurionpro.com</t>
  </si>
  <si>
    <t>Aurionpro</t>
  </si>
  <si>
    <t>aurionpro.com</t>
  </si>
  <si>
    <t>anita.lang@paradox.ai</t>
  </si>
  <si>
    <t>Paradox, A Workday Company</t>
  </si>
  <si>
    <t>paradox.ai</t>
  </si>
  <si>
    <t>somya.singh@skuad.io</t>
  </si>
  <si>
    <t>ashley.vanniekerk@criticalstart.com</t>
  </si>
  <si>
    <t>ayoung@ghx.com</t>
  </si>
  <si>
    <t>GHX</t>
  </si>
  <si>
    <t>ghx.com</t>
  </si>
  <si>
    <t>avani.shah@boomi.com</t>
  </si>
  <si>
    <t>Boomi</t>
  </si>
  <si>
    <t>boomi.com</t>
  </si>
  <si>
    <t>mlevick@aurorasolar.com</t>
  </si>
  <si>
    <t>keshav.kumar@innovaccer.com</t>
  </si>
  <si>
    <t>syed.sayem@securiti.ai</t>
  </si>
  <si>
    <t>courtney.davis@oeconnection.com</t>
  </si>
  <si>
    <t>OEC</t>
  </si>
  <si>
    <t>oeconnection.com</t>
  </si>
  <si>
    <t>garima.aneja@grazitti.com</t>
  </si>
  <si>
    <t>Grazitti Interactive</t>
  </si>
  <si>
    <t>grazitti.com</t>
  </si>
  <si>
    <t>cgosnear@triplelift.com</t>
  </si>
  <si>
    <t>kirsten.vonderwroge@adroll.com</t>
  </si>
  <si>
    <t>AdRoll</t>
  </si>
  <si>
    <t>adroll.com</t>
  </si>
  <si>
    <t>maria.klonz@brandwatch.com</t>
  </si>
  <si>
    <t>lluckett@synack.com</t>
  </si>
  <si>
    <t>jdesmond@synack.com</t>
  </si>
  <si>
    <t>marriott@csdisco.com</t>
  </si>
  <si>
    <t>laxmandhamsam@gmail.com</t>
  </si>
  <si>
    <t>skendall@foursquare.com</t>
  </si>
  <si>
    <t>garrett.kelly@fivetran.com</t>
  </si>
  <si>
    <t>Fivetran</t>
  </si>
  <si>
    <t>fivetran.com</t>
  </si>
  <si>
    <t>kevin.brower@pattern.com</t>
  </si>
  <si>
    <t>Pattern</t>
  </si>
  <si>
    <t>pattern.com</t>
  </si>
  <si>
    <t>echin@abnormalsecurity.com</t>
  </si>
  <si>
    <t>fiona.norton@bigcommerce.com</t>
  </si>
  <si>
    <t>BigCommerce</t>
  </si>
  <si>
    <t>bigcommerce.com</t>
  </si>
  <si>
    <t>scott@getjones.com</t>
  </si>
  <si>
    <t>Jones Software</t>
  </si>
  <si>
    <t>getjones.com</t>
  </si>
  <si>
    <t>ryan.geidner@appfolio.com</t>
  </si>
  <si>
    <t>marta.delgado@extend.com</t>
  </si>
  <si>
    <t>Extend</t>
  </si>
  <si>
    <t>extend.com</t>
  </si>
  <si>
    <t>kwerner@mimecast.com</t>
  </si>
  <si>
    <t>Mimecast</t>
  </si>
  <si>
    <t>mimecast.com</t>
  </si>
  <si>
    <t>michele.defonzo@intentsify.io</t>
  </si>
  <si>
    <t>henri.veijola@supermetrics.com</t>
  </si>
  <si>
    <t>david.stelzl@trustwave.com</t>
  </si>
  <si>
    <t>Trustwave</t>
  </si>
  <si>
    <t>trustwave.com</t>
  </si>
  <si>
    <t>okw714@yahoo.com</t>
  </si>
  <si>
    <t>monique.johnson@brightedge.com</t>
  </si>
  <si>
    <t>pushkar.ap@yellow.ai</t>
  </si>
  <si>
    <t>mandy.ince@achievers.com</t>
  </si>
  <si>
    <t>Achievers</t>
  </si>
  <si>
    <t>achievers.com</t>
  </si>
  <si>
    <t>harshita.b@42gears.com</t>
  </si>
  <si>
    <t>42Gears Mobility Systems Pvt Ltd.</t>
  </si>
  <si>
    <t>42gears.com</t>
  </si>
  <si>
    <t>amit.agarwal@algonomy.com</t>
  </si>
  <si>
    <t>Algonomy</t>
  </si>
  <si>
    <t>algonomy.com</t>
  </si>
  <si>
    <t>nchamberlin@fieldwire.com</t>
  </si>
  <si>
    <t>Fieldwire by Hilti</t>
  </si>
  <si>
    <t>fieldwire.com</t>
  </si>
  <si>
    <t>naveed.ahmad@caspio.com</t>
  </si>
  <si>
    <t>Caspio</t>
  </si>
  <si>
    <t>caspio.com</t>
  </si>
  <si>
    <t>spencer.lea@airit.co.uk</t>
  </si>
  <si>
    <t>Air IT</t>
  </si>
  <si>
    <t>airit.co.uk</t>
  </si>
  <si>
    <t>rakeshravishankar@gmail.com</t>
  </si>
  <si>
    <t>daniel.berman@snyk.io</t>
  </si>
  <si>
    <t>Snyk</t>
  </si>
  <si>
    <t>snyk.io</t>
  </si>
  <si>
    <t>dhruman.t@shaip.com</t>
  </si>
  <si>
    <t>Shaip</t>
  </si>
  <si>
    <t>shaip.com</t>
  </si>
  <si>
    <t>vdecarlo@bandwidth.com</t>
  </si>
  <si>
    <t>danny.korrs@netradyne.com</t>
  </si>
  <si>
    <t>Netradyne</t>
  </si>
  <si>
    <t>netradyne.com</t>
  </si>
  <si>
    <t>amarnath.rajan@appsflyer.com</t>
  </si>
  <si>
    <t>david.talaga@dataiku.com</t>
  </si>
  <si>
    <t>jayesh.mathur@vfirst.com</t>
  </si>
  <si>
    <t>reisenberg@yotpo.com</t>
  </si>
  <si>
    <t>salesrohangoel@gmail.com</t>
  </si>
  <si>
    <t>amy.touchstone@actioniq.com</t>
  </si>
  <si>
    <t>audrey.fairbrother@hotelengine.com</t>
  </si>
  <si>
    <t>manikyala.dirisala@covalensedigital.com</t>
  </si>
  <si>
    <t>Covalensedigital</t>
  </si>
  <si>
    <t>covalensedigital.com</t>
  </si>
  <si>
    <t>ahmed.mamdouh.nassar@gmail.com</t>
  </si>
  <si>
    <t>yohai.west@checkmarx.com</t>
  </si>
  <si>
    <t>Incredibuild</t>
  </si>
  <si>
    <t>incredibuild.com</t>
  </si>
  <si>
    <t>chloe.goldstein@menlosecurity.com</t>
  </si>
  <si>
    <t>Menlo Security Inc.</t>
  </si>
  <si>
    <t>menlosecurity.com</t>
  </si>
  <si>
    <t>blake.ng@rezdy.com</t>
  </si>
  <si>
    <t>sejalbajaria@hotmail.com</t>
  </si>
  <si>
    <t>ilorance@telesign.com</t>
  </si>
  <si>
    <t>Telesign</t>
  </si>
  <si>
    <t>telesign.com</t>
  </si>
  <si>
    <t>ycoquia@csod.com</t>
  </si>
  <si>
    <t>Cornerstone OnDemand</t>
  </si>
  <si>
    <t>cornerstoneondemand.com</t>
  </si>
  <si>
    <t>erica.cook@subsplash.com</t>
  </si>
  <si>
    <t>frank.toy@ofx.com</t>
  </si>
  <si>
    <t>rajaramm@gtmbuddy.ai</t>
  </si>
  <si>
    <t>gtmbuddy.ai</t>
  </si>
  <si>
    <t>hendrik.schless@lookout.com</t>
  </si>
  <si>
    <t>jeff.gunderson@demandscience.com</t>
  </si>
  <si>
    <t>prashanth.bavimane@blumeglobal.com</t>
  </si>
  <si>
    <t>Blume Global</t>
  </si>
  <si>
    <t>blumeglobal.com</t>
  </si>
  <si>
    <t>katarzynac@cubictelecom.com</t>
  </si>
  <si>
    <t>Cubic Telecom</t>
  </si>
  <si>
    <t>cubictelecom.com</t>
  </si>
  <si>
    <t>dturpel@cordial.com</t>
  </si>
  <si>
    <t>Cordial</t>
  </si>
  <si>
    <t>cordial.com</t>
  </si>
  <si>
    <t>markb@azuga.com</t>
  </si>
  <si>
    <t>Azuga, Inc.</t>
  </si>
  <si>
    <t>azuga.com</t>
  </si>
  <si>
    <t>sstory@missioncloud.com</t>
  </si>
  <si>
    <t>cporter@prophix.com</t>
  </si>
  <si>
    <t>rhughes@vizrt.com</t>
  </si>
  <si>
    <t>Vizrt</t>
  </si>
  <si>
    <t>vizrt.com</t>
  </si>
  <si>
    <t>alex.stark@appian.com</t>
  </si>
  <si>
    <t>pronan@moveworks.ai</t>
  </si>
  <si>
    <t>Moveworks</t>
  </si>
  <si>
    <t>moveworks.com</t>
  </si>
  <si>
    <t>murtuza.hussain@ziphq.com</t>
  </si>
  <si>
    <t>aaubley@hired.com</t>
  </si>
  <si>
    <t>Hired</t>
  </si>
  <si>
    <t>hired.com</t>
  </si>
  <si>
    <t>ahmed.zia143@gmail.com</t>
  </si>
  <si>
    <t>npatel@bigid.com</t>
  </si>
  <si>
    <t>rishi.sarma@solarwinds.com</t>
  </si>
  <si>
    <t>SolarWinds</t>
  </si>
  <si>
    <t>solarwinds.com</t>
  </si>
  <si>
    <t>christopher.rudolph@catonetworks.com</t>
  </si>
  <si>
    <t>donae.goodrich@adverity.com</t>
  </si>
  <si>
    <t>ryan.nunes@sailpoint.com</t>
  </si>
  <si>
    <t>jennie.cini@flashparking.com</t>
  </si>
  <si>
    <t>Flash</t>
  </si>
  <si>
    <t>flashparking.com</t>
  </si>
  <si>
    <t>ssalis@tigerconnect.com</t>
  </si>
  <si>
    <t>TigerConnect</t>
  </si>
  <si>
    <t>tigerconnect.com</t>
  </si>
  <si>
    <t>ryan.bazler@nintex.com</t>
  </si>
  <si>
    <t>cottesen@rechargeapps.com</t>
  </si>
  <si>
    <t>Recharge</t>
  </si>
  <si>
    <t>rechargepayments.com</t>
  </si>
  <si>
    <t>josh.rod@similarweb.com</t>
  </si>
  <si>
    <t>vregla@redpoints.com</t>
  </si>
  <si>
    <t>Red Points</t>
  </si>
  <si>
    <t>redpoints.com</t>
  </si>
  <si>
    <t>lisa.vanderbeck@imply.io</t>
  </si>
  <si>
    <t>joel.rakes@checkr.com</t>
  </si>
  <si>
    <t>sneha.sharma@bhnetwork.com</t>
  </si>
  <si>
    <t>Blackhawk Network</t>
  </si>
  <si>
    <t>blackhawknetwork.com</t>
  </si>
  <si>
    <t>yvonne.kular@broadsign.com</t>
  </si>
  <si>
    <t>Broadsign</t>
  </si>
  <si>
    <t>broadsign.com</t>
  </si>
  <si>
    <t>christopher.ottman@coconutsoftware.com</t>
  </si>
  <si>
    <t>Coconut Software</t>
  </si>
  <si>
    <t>coconutsoftware.com</t>
  </si>
  <si>
    <t>alexis.nagle@snapraise.com</t>
  </si>
  <si>
    <t>paritosh@gmail.com</t>
  </si>
  <si>
    <t>Egnyte</t>
  </si>
  <si>
    <t>egnyte.com</t>
  </si>
  <si>
    <t>vivian.eden@jumpcloud.com</t>
  </si>
  <si>
    <t>JumpCloud</t>
  </si>
  <si>
    <t>jumpcloud.com</t>
  </si>
  <si>
    <t>mbushell@aerospike.com</t>
  </si>
  <si>
    <t>kiran@peoplestrong.com</t>
  </si>
  <si>
    <t>imazal@cegid.com</t>
  </si>
  <si>
    <t>advait.makhija@urbanpiper.com</t>
  </si>
  <si>
    <t>dorit.oren@sysaid.com</t>
  </si>
  <si>
    <t>aubrey.myjer@doordash.com</t>
  </si>
  <si>
    <t>sbezreh@oreilly.com</t>
  </si>
  <si>
    <t>shobhit.gupta@freshworks.com</t>
  </si>
  <si>
    <t>Freshworks</t>
  </si>
  <si>
    <t>freshworks.com</t>
  </si>
  <si>
    <t>vipin.vijayakumaran@kore.com</t>
  </si>
  <si>
    <t>secarson@merative.com</t>
  </si>
  <si>
    <t>ethan@triplewhale.com</t>
  </si>
  <si>
    <t>justin.enns@resolver.com</t>
  </si>
  <si>
    <t>maxime.azoulay@cpe.fr</t>
  </si>
  <si>
    <t>CPE Lyon</t>
  </si>
  <si>
    <t>cpe.fr</t>
  </si>
  <si>
    <t>julian.dawkins@infobip.com</t>
  </si>
  <si>
    <t>Infobip</t>
  </si>
  <si>
    <t>infobip.com</t>
  </si>
  <si>
    <t>mhillard@magnite.com</t>
  </si>
  <si>
    <t>Magnite</t>
  </si>
  <si>
    <t>magnite.com</t>
  </si>
  <si>
    <t>rebecca.b@miro.com</t>
  </si>
  <si>
    <t>Miro</t>
  </si>
  <si>
    <t>miro.com</t>
  </si>
  <si>
    <t>collin.rhea@aptean.com</t>
  </si>
  <si>
    <t>Aptean</t>
  </si>
  <si>
    <t>aptean.com</t>
  </si>
  <si>
    <t>prajwal.adappa@sprinklr.com</t>
  </si>
  <si>
    <t>subhasis.sahoo@cashfree.com</t>
  </si>
  <si>
    <t>jhaskell@nasuni.com</t>
  </si>
  <si>
    <t>inbal.sarig@tipalti.com</t>
  </si>
  <si>
    <t>chiara.difede@birdeye.com</t>
  </si>
  <si>
    <t>seisenberg@auditboard.com</t>
  </si>
  <si>
    <t>avinash.sinha@freshworks.com</t>
  </si>
  <si>
    <t>michals@nayax.com</t>
  </si>
  <si>
    <t>carolina.salome@king.com</t>
  </si>
  <si>
    <t>King.com Ltd.</t>
  </si>
  <si>
    <t>king.com</t>
  </si>
  <si>
    <t>rozi.buber@lytx.com</t>
  </si>
  <si>
    <t>Lytx, Inc.</t>
  </si>
  <si>
    <t>lytx.com</t>
  </si>
  <si>
    <t>camille@modjo.ai</t>
  </si>
  <si>
    <t>Modjo</t>
  </si>
  <si>
    <t>modjo.ai</t>
  </si>
  <si>
    <t>sonal.sharma@zycus.com</t>
  </si>
  <si>
    <t>tali.chuchinsky@similarweb.com</t>
  </si>
  <si>
    <t>gmcgary@surveymonkey.com</t>
  </si>
  <si>
    <t>SurveyMonkey</t>
  </si>
  <si>
    <t>surveymonkey.com</t>
  </si>
  <si>
    <t>ctowle@esw.com</t>
  </si>
  <si>
    <t>ESW</t>
  </si>
  <si>
    <t>esw.com</t>
  </si>
  <si>
    <t>parag.poddar@synaptic.com</t>
  </si>
  <si>
    <t>Synaptic</t>
  </si>
  <si>
    <t>synaptic.com</t>
  </si>
  <si>
    <t>kxdong@alumni.stanford.edu</t>
  </si>
  <si>
    <t>klara@coursera.org</t>
  </si>
  <si>
    <t>praveenm@lambdatest.com</t>
  </si>
  <si>
    <t>mike@social4you.sg</t>
  </si>
  <si>
    <t>Social4You</t>
  </si>
  <si>
    <t>social4you.sg</t>
  </si>
  <si>
    <t>dorittu@monday.com</t>
  </si>
  <si>
    <t>joseph.joslin@freshworks.com</t>
  </si>
  <si>
    <t>timcarlson@forwardnetworks.com</t>
  </si>
  <si>
    <t>david.krackow@contractpodai.com</t>
  </si>
  <si>
    <t>ContractPodAi</t>
  </si>
  <si>
    <t>contractpodai.com</t>
  </si>
  <si>
    <t>saurabh.khurana@sproutsocial.com</t>
  </si>
  <si>
    <t>brandon.flowers@powerfactors.com</t>
  </si>
  <si>
    <t>Power Factors</t>
  </si>
  <si>
    <t>powerfactors.com</t>
  </si>
  <si>
    <t>francis.lim@accss.asia</t>
  </si>
  <si>
    <t>ACCSS Asia</t>
  </si>
  <si>
    <t>accss.asia</t>
  </si>
  <si>
    <t>ravindraprajapatt@gmail.com</t>
  </si>
  <si>
    <t>eClinicalWorks</t>
  </si>
  <si>
    <t>eclinicalworks.com</t>
  </si>
  <si>
    <t>prachi.sharma@greytip.com</t>
  </si>
  <si>
    <t>maja.kowalska@salesmanago.com</t>
  </si>
  <si>
    <t>ldb1014@att.net</t>
  </si>
  <si>
    <t>Empyrean</t>
  </si>
  <si>
    <t>goempyrean.com</t>
  </si>
  <si>
    <t>jennifer.bui@dialpad.com</t>
  </si>
  <si>
    <t>bruce.johnson@cradlepoint.com</t>
  </si>
  <si>
    <t>gabor.farkas@spryker.com</t>
  </si>
  <si>
    <t>Spryker</t>
  </si>
  <si>
    <t>spryker.com</t>
  </si>
  <si>
    <t>jordan.miller@gorgias.com</t>
  </si>
  <si>
    <t>itzik@gitlab.com</t>
  </si>
  <si>
    <t>b.fletcher@tricentis.com</t>
  </si>
  <si>
    <t>Tricentis</t>
  </si>
  <si>
    <t>tricentis.com</t>
  </si>
  <si>
    <t>fareed.bukhari@okta.com</t>
  </si>
  <si>
    <t>Okta</t>
  </si>
  <si>
    <t>okta.com</t>
  </si>
  <si>
    <t>chris.cavallino@replicant.ai</t>
  </si>
  <si>
    <t>shivani.s@greyorange.com</t>
  </si>
  <si>
    <t>ariels@jfrog.com</t>
  </si>
  <si>
    <t>JFrog</t>
  </si>
  <si>
    <t>jfrog.com</t>
  </si>
  <si>
    <t>victoria.baldwin@carta.com</t>
  </si>
  <si>
    <t>Carta</t>
  </si>
  <si>
    <t>carta.com</t>
  </si>
  <si>
    <t>krystian.kuta@salesmanago.com</t>
  </si>
  <si>
    <t>lquinteiroalves@gitlab.com</t>
  </si>
  <si>
    <t>tim.busa@vergesense.com</t>
  </si>
  <si>
    <t>tgreenwood@matterport.com</t>
  </si>
  <si>
    <t>Matterport</t>
  </si>
  <si>
    <t>matterport.com</t>
  </si>
  <si>
    <t>rob.koehn@ringcentral.com</t>
  </si>
  <si>
    <t>RingCentral</t>
  </si>
  <si>
    <t>ringcentral.com</t>
  </si>
  <si>
    <t>nyah.neita@flywire.com</t>
  </si>
  <si>
    <t>sgibson@talroo.com</t>
  </si>
  <si>
    <t>chad.trabucco@go1.com</t>
  </si>
  <si>
    <t>Go1</t>
  </si>
  <si>
    <t>go1.com</t>
  </si>
  <si>
    <t>katherine.taylor@aprimo.com</t>
  </si>
  <si>
    <t>alex.collins@wexinc.com</t>
  </si>
  <si>
    <t>david.geffen@glassboxdigital.com</t>
  </si>
  <si>
    <t>megan.kemphaus@starburstdata.com</t>
  </si>
  <si>
    <t>Starburst Data</t>
  </si>
  <si>
    <t>starburstdata.com</t>
  </si>
  <si>
    <t>prashanth.bavimane@wisetechglobal.com</t>
  </si>
  <si>
    <t>sam.lauck@flocksafety.com</t>
  </si>
  <si>
    <t>Flock Safety</t>
  </si>
  <si>
    <t>flocksafety.com</t>
  </si>
  <si>
    <t>csparks@attentivemobile.com</t>
  </si>
  <si>
    <t>Attentive</t>
  </si>
  <si>
    <t>attentive.com</t>
  </si>
  <si>
    <t>waisau.sit@druva.com</t>
  </si>
  <si>
    <t>myouman@mimecast.com</t>
  </si>
  <si>
    <t>chetali.varshney@calix.com</t>
  </si>
  <si>
    <t>Calix</t>
  </si>
  <si>
    <t>calix.com</t>
  </si>
  <si>
    <t>knyzova@turnitin.com</t>
  </si>
  <si>
    <t>lucie.casamitjana@skello.io</t>
  </si>
  <si>
    <t>Skello</t>
  </si>
  <si>
    <t>skello.io</t>
  </si>
  <si>
    <t>radhika.kh@media.net</t>
  </si>
  <si>
    <t>Media.net</t>
  </si>
  <si>
    <t>media.net</t>
  </si>
  <si>
    <t>henry@nerdbug.io</t>
  </si>
  <si>
    <t>Nerdbug</t>
  </si>
  <si>
    <t>nerdbug.io</t>
  </si>
  <si>
    <t>sc7055@nyu.edu</t>
  </si>
  <si>
    <t>left job at basis technology. university email address submitted.</t>
  </si>
  <si>
    <t>New York University</t>
  </si>
  <si>
    <t>nyu.edu</t>
  </si>
  <si>
    <t>sanghamitras@gtmbuddy.ai</t>
  </si>
  <si>
    <t>testing tag manager</t>
  </si>
  <si>
    <t>sankalp.naranje@getblueshift.com</t>
  </si>
  <si>
    <t>Blueshift</t>
  </si>
  <si>
    <t>blueshift.com</t>
  </si>
  <si>
    <t>gourav.mazumder@kore.com</t>
  </si>
  <si>
    <t>Closed-lost deal in dec 2023</t>
  </si>
  <si>
    <t>ray.lin@tpisoftware.com</t>
  </si>
  <si>
    <t>j.joy@revizto.com</t>
  </si>
  <si>
    <t>Revizto</t>
  </si>
  <si>
    <t>revizto.com</t>
  </si>
  <si>
    <t>jamie.b@pecan.ai</t>
  </si>
  <si>
    <t>meg.barnes@flexe.com</t>
  </si>
  <si>
    <t>doug.paolillo@openx.com</t>
  </si>
  <si>
    <t>dheeraj.kausshik@myadrenalin.com</t>
  </si>
  <si>
    <t>Adrenalin.hr</t>
  </si>
  <si>
    <t>myadrenalin.com</t>
  </si>
  <si>
    <t>asahu@netskope.com</t>
  </si>
  <si>
    <t>Netskope</t>
  </si>
  <si>
    <t>netskope.com</t>
  </si>
  <si>
    <t>ilke@apexchat.com</t>
  </si>
  <si>
    <t>john_conder2@intuit.com</t>
  </si>
  <si>
    <t>aarona@genesisdigital.co</t>
  </si>
  <si>
    <t>tom.mcconnon@intelex.com</t>
  </si>
  <si>
    <t>parth.choudhury@birdeye.com</t>
  </si>
  <si>
    <t>umair.ahmed@acronis.com</t>
  </si>
  <si>
    <t>Acronis</t>
  </si>
  <si>
    <t>acronis.com</t>
  </si>
  <si>
    <t>skrisht1@binghamton.edu</t>
  </si>
  <si>
    <t>As per 26th Dec'23 notes - The person earlier mentioned that he is working at security compass and afinity on linkedin profile. As of 29th April, he has updated the profile and the work experience is removed. Hence, not qualified.</t>
  </si>
  <si>
    <t>Binghamton University</t>
  </si>
  <si>
    <t>binghamton.edu</t>
  </si>
  <si>
    <t>mgeigle@stackoverflow.com</t>
  </si>
  <si>
    <t>dannalyn.prado@basis.com</t>
  </si>
  <si>
    <t>Basis Technologies</t>
  </si>
  <si>
    <t>basis.com</t>
  </si>
  <si>
    <t>jfr@templafy.com</t>
  </si>
  <si>
    <t>Templafy</t>
  </si>
  <si>
    <t>templafy.com</t>
  </si>
  <si>
    <t>trevor.rasmussen@deluxe.com</t>
  </si>
  <si>
    <t>sunil.arora@optiva.com</t>
  </si>
  <si>
    <t>Optiva</t>
  </si>
  <si>
    <t>optiva.com</t>
  </si>
  <si>
    <t>serank@uci.edu</t>
  </si>
  <si>
    <t>less than 3 years of experience in PMM</t>
  </si>
  <si>
    <t>University Of California, Irvine</t>
  </si>
  <si>
    <t>uci.edu</t>
  </si>
  <si>
    <t>meagan.karen.davis@hunters.ai</t>
  </si>
  <si>
    <t>kpatalano@justworks.com</t>
  </si>
  <si>
    <t>vishwesh.margasahayam@softwareag.com</t>
  </si>
  <si>
    <t>Software AG</t>
  </si>
  <si>
    <t>softwareag.com</t>
  </si>
  <si>
    <t>itoledano@panaya.com</t>
  </si>
  <si>
    <t>Panaya</t>
  </si>
  <si>
    <t>panaya.com</t>
  </si>
  <si>
    <t>alison.hayter@loopio.com</t>
  </si>
  <si>
    <t>nirvik.mitter@360smsapp.com</t>
  </si>
  <si>
    <t>360 Degree Cloud Technologies Pvt. Ltd.</t>
  </si>
  <si>
    <t>360degreecloud.com</t>
  </si>
  <si>
    <t>apurva.mahendra@snowsoftware.com</t>
  </si>
  <si>
    <t>Snow Software</t>
  </si>
  <si>
    <t>snowsoftware.com</t>
  </si>
  <si>
    <t>rwilliams@firstlight.net</t>
  </si>
  <si>
    <t>mary.baird@hach.com</t>
  </si>
  <si>
    <t>jford@zuora.com</t>
  </si>
  <si>
    <t>migr@siteimprove.com</t>
  </si>
  <si>
    <t>agoode@liveperson.com</t>
  </si>
  <si>
    <t>asher.benbenisty@algosec.com</t>
  </si>
  <si>
    <t>zander.kyba@audienceview.com</t>
  </si>
  <si>
    <t>AudienceView</t>
  </si>
  <si>
    <t>audienceview.com</t>
  </si>
  <si>
    <t>jmaterna@litmus.com</t>
  </si>
  <si>
    <t>sarah@redoxengine.com</t>
  </si>
  <si>
    <t>dan.cohen@ezcater.com</t>
  </si>
  <si>
    <t>ezCater</t>
  </si>
  <si>
    <t>ezcater.com</t>
  </si>
  <si>
    <t>vpere073@fiu.edu</t>
  </si>
  <si>
    <t>Florida International University</t>
  </si>
  <si>
    <t>fiu.edu</t>
  </si>
  <si>
    <t>candace.taber@granicus.com</t>
  </si>
  <si>
    <t>Granicus</t>
  </si>
  <si>
    <t>granicus.com</t>
  </si>
  <si>
    <t>clint@carwars.com</t>
  </si>
  <si>
    <t>Car Wars</t>
  </si>
  <si>
    <t>carwars.com</t>
  </si>
  <si>
    <t>mfollis@softheon.com</t>
  </si>
  <si>
    <t>elise.p@medisafe.com</t>
  </si>
  <si>
    <t>daniel.odowd@optimizely.com</t>
  </si>
  <si>
    <t>natalie.weil@resy.com</t>
  </si>
  <si>
    <t>Resy</t>
  </si>
  <si>
    <t>resy.com</t>
  </si>
  <si>
    <t>ymoazzam@varonis.com</t>
  </si>
  <si>
    <t>Varonis</t>
  </si>
  <si>
    <t>varonis.com</t>
  </si>
  <si>
    <t>amymo@checkpoint.com</t>
  </si>
  <si>
    <t>Check Point Software</t>
  </si>
  <si>
    <t>checkpoint.com</t>
  </si>
  <si>
    <t>rinel.levitin@tapclicks.com</t>
  </si>
  <si>
    <t>ethan@ignitionapp.com</t>
  </si>
  <si>
    <t>chelsea.davis@upstack.com</t>
  </si>
  <si>
    <t>UPSTACK</t>
  </si>
  <si>
    <t>upstack.com</t>
  </si>
  <si>
    <t>liza.vedder@prosites.com</t>
  </si>
  <si>
    <t>ProSites</t>
  </si>
  <si>
    <t>prosites.com</t>
  </si>
  <si>
    <t>laura.zwickl@learninga-z.com</t>
  </si>
  <si>
    <t>Learning A-Z</t>
  </si>
  <si>
    <t>learninga-z.com</t>
  </si>
  <si>
    <t>talia@swiftly.com</t>
  </si>
  <si>
    <t>jason.kaska@dronedeploy.com</t>
  </si>
  <si>
    <t>claudia.andahl@cbsexcels.com</t>
  </si>
  <si>
    <t>SS&amp;C Blue Prism</t>
  </si>
  <si>
    <t>blueprism.com</t>
  </si>
  <si>
    <t>jgoode@veritone.com</t>
  </si>
  <si>
    <t>glee@rxbenefits.com</t>
  </si>
  <si>
    <t>ryan.cushman@realpage.com</t>
  </si>
  <si>
    <t>hema.balaraman@solace.com</t>
  </si>
  <si>
    <t>Solace</t>
  </si>
  <si>
    <t>solace.com</t>
  </si>
  <si>
    <t>m.aljabery@aumet.com</t>
  </si>
  <si>
    <t>Junior level job title</t>
  </si>
  <si>
    <t>mark.fuller@labster.com</t>
  </si>
  <si>
    <t>sam.moody@hibob.io</t>
  </si>
  <si>
    <t>x.qin@hq.bill.com</t>
  </si>
  <si>
    <t>fiyer@obsidiansecurity.com</t>
  </si>
  <si>
    <t>cameron.tousley@eset.com</t>
  </si>
  <si>
    <t>ESET</t>
  </si>
  <si>
    <t>eset.com</t>
  </si>
  <si>
    <t>oliver.tree@mongodb.com</t>
  </si>
  <si>
    <t>MongoDB</t>
  </si>
  <si>
    <t>mongodb.com</t>
  </si>
  <si>
    <t>aisling@telnyx.com</t>
  </si>
  <si>
    <t>m.peters@f5.com</t>
  </si>
  <si>
    <t>matt.crawford@health.telstra.com</t>
  </si>
  <si>
    <t>Telstra Health</t>
  </si>
  <si>
    <t>telstrahealth.com</t>
  </si>
  <si>
    <t>karlhenrik@newrelic.com</t>
  </si>
  <si>
    <t>sadyanthaya@cvent.com</t>
  </si>
  <si>
    <t>alex.gammelgard@rollworks.com</t>
  </si>
  <si>
    <t>rnewman@quid.com</t>
  </si>
  <si>
    <t>rex.robinson@trulioo.com</t>
  </si>
  <si>
    <t>emiller@convoso.com</t>
  </si>
  <si>
    <t>mary.correnti@replicant.ai</t>
  </si>
  <si>
    <t>s.nitinbhatnagar@resulticks.com</t>
  </si>
  <si>
    <t>yatendra.varma@xeno.in</t>
  </si>
  <si>
    <t>presales persona</t>
  </si>
  <si>
    <t>Xeno</t>
  </si>
  <si>
    <t>getxeno.com</t>
  </si>
  <si>
    <t>chetan.borkar@arconnet.com</t>
  </si>
  <si>
    <t>ARCON</t>
  </si>
  <si>
    <t>arconnet.com</t>
  </si>
  <si>
    <t>colin.daymude@calendly.com</t>
  </si>
  <si>
    <t>yee-ann.lee@external.contentful.com</t>
  </si>
  <si>
    <t>Contentful</t>
  </si>
  <si>
    <t>contentful.com</t>
  </si>
  <si>
    <t>aviram.kadosh@gigaspaces.com</t>
  </si>
  <si>
    <t>jgibson@defswarm.com</t>
  </si>
  <si>
    <t xml:space="preserve">freelance product marketer at AI The AI Helpdesk. junk email address submitted
</t>
  </si>
  <si>
    <t>Defswarm</t>
  </si>
  <si>
    <t>defswarm.com</t>
  </si>
  <si>
    <t>emily.benham@dynatrace.com</t>
  </si>
  <si>
    <t>Dynatrace</t>
  </si>
  <si>
    <t>dynatrace.com</t>
  </si>
  <si>
    <t>sonalis@clickworth.io</t>
  </si>
  <si>
    <t>clickworth.io</t>
  </si>
  <si>
    <t>annadgorbunova@enablemybusiness.com</t>
  </si>
  <si>
    <t>wrong email address, left the job</t>
  </si>
  <si>
    <t>Enablemybusiness</t>
  </si>
  <si>
    <t>enablemybusiness.com</t>
  </si>
  <si>
    <t>philippe.caradonna@e-hps.com</t>
  </si>
  <si>
    <t>bernard.cohen@rockwellautomation.com</t>
  </si>
  <si>
    <t>susan.zou@kargo.com</t>
  </si>
  <si>
    <t>Kargo</t>
  </si>
  <si>
    <t>kargo.com</t>
  </si>
  <si>
    <t>surabhi.srivastava@qure.ai</t>
  </si>
  <si>
    <t>Qure.ai</t>
  </si>
  <si>
    <t>qure.ai</t>
  </si>
  <si>
    <t>alina.sharon-green@lusha.com</t>
  </si>
  <si>
    <t>leeann.kincal@resolver.com</t>
  </si>
  <si>
    <t>daniel.behrman@grammarly.com</t>
  </si>
  <si>
    <t>shailesh@hubilo.com</t>
  </si>
  <si>
    <t>aleesia.haverdink@brandlive.com</t>
  </si>
  <si>
    <t>Brandlive</t>
  </si>
  <si>
    <t>brandlive.com</t>
  </si>
  <si>
    <t>olivia.blahut@ridewithvia.com</t>
  </si>
  <si>
    <t>Via</t>
  </si>
  <si>
    <t>ridewithvia.com</t>
  </si>
  <si>
    <t>sharadhi.patel@joinhandshake.com</t>
  </si>
  <si>
    <t>Handshake</t>
  </si>
  <si>
    <t>joinhandshake.com</t>
  </si>
  <si>
    <t>michellelee@nextdoor.com</t>
  </si>
  <si>
    <t>Nextdoor</t>
  </si>
  <si>
    <t>nextdoor.com</t>
  </si>
  <si>
    <t>roy.tay@zendesk.com</t>
  </si>
  <si>
    <t>Zendesk</t>
  </si>
  <si>
    <t>zendesk.com</t>
  </si>
  <si>
    <t>aashish.gambhir@provana.com</t>
  </si>
  <si>
    <t>jesse.miller@zoominfo.com</t>
  </si>
  <si>
    <t>ZoomInfo</t>
  </si>
  <si>
    <t>zoominfo.com</t>
  </si>
  <si>
    <t>jeff@headspin.io</t>
  </si>
  <si>
    <t>sachin.malekar@simplilearn.net</t>
  </si>
  <si>
    <t>1. Shared email address of previous employer
2. Open to work status on linkedin</t>
  </si>
  <si>
    <t>Simplilearn</t>
  </si>
  <si>
    <t>simplilearn.com</t>
  </si>
  <si>
    <t>vaishnavidevi.s@zohocorp.com</t>
  </si>
  <si>
    <t>Zoho Corporation</t>
  </si>
  <si>
    <t>zohocorp.com</t>
  </si>
  <si>
    <t>sarah.dorenkott@corpay.com</t>
  </si>
  <si>
    <t>Corpay</t>
  </si>
  <si>
    <t>corpay.com</t>
  </si>
  <si>
    <t>idant@cymulate.com</t>
  </si>
  <si>
    <t>dvendrell@hubspot.com</t>
  </si>
  <si>
    <t>lauren.larose@growthspace.com</t>
  </si>
  <si>
    <t>Growthspace</t>
  </si>
  <si>
    <t>growthspace.com</t>
  </si>
  <si>
    <t>jacquie@essensys.tech</t>
  </si>
  <si>
    <t>tsteinberger@emoneyadvisor.com</t>
  </si>
  <si>
    <t>eMoney Advisor</t>
  </si>
  <si>
    <t>emoneyadvisor.com</t>
  </si>
  <si>
    <t>mohsin.mohammed@subex.com</t>
  </si>
  <si>
    <t>Subex</t>
  </si>
  <si>
    <t>subex.com</t>
  </si>
  <si>
    <t>harsha@carestack.com</t>
  </si>
  <si>
    <t xml:space="preserve">less than 3 years of experience in PMM. Sales enablement is not mentioned on LinkedIn profile.
</t>
  </si>
  <si>
    <t>CareStack</t>
  </si>
  <si>
    <t>carestack.com</t>
  </si>
  <si>
    <t>aleith@lwolf.com</t>
  </si>
  <si>
    <t>Lone Wolf Technologies</t>
  </si>
  <si>
    <t>lwolf.com</t>
  </si>
  <si>
    <t>peter.noll@avispl.com</t>
  </si>
  <si>
    <t>AVI-SPL</t>
  </si>
  <si>
    <t>avispl.com</t>
  </si>
  <si>
    <t>bweinblatt@movableink.com</t>
  </si>
  <si>
    <t>victoria.ngolam@crowdstrike.com</t>
  </si>
  <si>
    <t>CrowdStrike</t>
  </si>
  <si>
    <t>crowdstrike.com</t>
  </si>
  <si>
    <t>rosalie.hamernik@ellevationeducation.com</t>
  </si>
  <si>
    <t>Ellevation Education</t>
  </si>
  <si>
    <t>ellevationeducation.com</t>
  </si>
  <si>
    <t>pearl.chung@people.ai</t>
  </si>
  <si>
    <t>aj.swamy@tinuiti.com</t>
  </si>
  <si>
    <t>Tinuiti</t>
  </si>
  <si>
    <t>tinuiti.com</t>
  </si>
  <si>
    <t>soumya@facilio.com</t>
  </si>
  <si>
    <t>swetha.viriyala@vaave.com</t>
  </si>
  <si>
    <t>Vaave</t>
  </si>
  <si>
    <t>vaave.com</t>
  </si>
  <si>
    <t>ruchira.sharma@plivo.com</t>
  </si>
  <si>
    <t>Plivo</t>
  </si>
  <si>
    <t>plivo.com</t>
  </si>
  <si>
    <t>ohads@sqream.com</t>
  </si>
  <si>
    <t>Sqream</t>
  </si>
  <si>
    <t>sqream.com</t>
  </si>
  <si>
    <t>sram@zscaler.com</t>
  </si>
  <si>
    <t>He is part of solutions engineering, and they have an enablement function. He looks like is part of pre sales, which is to give the help the sales team with technical knowledge. He or his team won’t be part of enablement.</t>
  </si>
  <si>
    <t>chelsea.malvaso@basis.com</t>
  </si>
  <si>
    <t>ragurama@lentra.ai</t>
  </si>
  <si>
    <t>Less than 3 years of experience in PMM</t>
  </si>
  <si>
    <t>Lentra</t>
  </si>
  <si>
    <t>lentra.ai</t>
  </si>
  <si>
    <t>jordan.roeder@sage.com</t>
  </si>
  <si>
    <t>Sage Intacct, Inc.</t>
  </si>
  <si>
    <t>sageintacct.com</t>
  </si>
  <si>
    <t>carolina.escobar@yalo.com</t>
  </si>
  <si>
    <t>Yalo</t>
  </si>
  <si>
    <t>yalo.com</t>
  </si>
  <si>
    <t>ybenchlouch@yoobic.com</t>
  </si>
  <si>
    <t>YOOBIC</t>
  </si>
  <si>
    <t>yoobic.com</t>
  </si>
  <si>
    <t>austin@hivebrite.com</t>
  </si>
  <si>
    <t>lachlan.mcritchie@workato.com</t>
  </si>
  <si>
    <t>Workato</t>
  </si>
  <si>
    <t>workato.com</t>
  </si>
  <si>
    <t>kecampbell@hubspot.com</t>
  </si>
  <si>
    <t>mangal@sitedocs.com</t>
  </si>
  <si>
    <t>audrey@getbento.com</t>
  </si>
  <si>
    <t>BentoBox</t>
  </si>
  <si>
    <t>getbento.com</t>
  </si>
  <si>
    <t>andrew.almand@datadome.co</t>
  </si>
  <si>
    <t>sundar@realsports.ai</t>
  </si>
  <si>
    <t>duplicate lead. Established his own startup.</t>
  </si>
  <si>
    <t>Real Sports AI</t>
  </si>
  <si>
    <t>realsports.ai</t>
  </si>
  <si>
    <t>brick.storts@appzen.com</t>
  </si>
  <si>
    <t>sedmonds@isaacinstruments.com</t>
  </si>
  <si>
    <t>ISAAC Instruments</t>
  </si>
  <si>
    <t>isaacinstruments.com</t>
  </si>
  <si>
    <t>ronakmodi@fynd.com</t>
  </si>
  <si>
    <t>Fynd (Shopsense Retail Technologies Ltd.)</t>
  </si>
  <si>
    <t>fynd.com</t>
  </si>
  <si>
    <t>ramkrishnan.ramani@mongodb.com</t>
  </si>
  <si>
    <t>lironh@activefence.com</t>
  </si>
  <si>
    <t>brian.alapatt@chainalysis.com</t>
  </si>
  <si>
    <t>Chainalysis</t>
  </si>
  <si>
    <t>chainalysis.com</t>
  </si>
  <si>
    <t>lauren.craigie@cortex.io</t>
  </si>
  <si>
    <t>Cortex</t>
  </si>
  <si>
    <t>cortex.io</t>
  </si>
  <si>
    <t>sonya.noronha@geocomply.com</t>
  </si>
  <si>
    <t>GeoComply</t>
  </si>
  <si>
    <t>geocomply.com</t>
  </si>
  <si>
    <t>madhu@vajro.com</t>
  </si>
  <si>
    <t>Vajro</t>
  </si>
  <si>
    <t>vajro.com</t>
  </si>
  <si>
    <t>harshad.agarwal@wisetechglobal.com</t>
  </si>
  <si>
    <t>delshya@facilio.com</t>
  </si>
  <si>
    <t>hi@prabalbora.com</t>
  </si>
  <si>
    <t>1. Experience in pmm&lt;3 yrs
2. Wrong email address submitted</t>
  </si>
  <si>
    <t>Prabal Bora</t>
  </si>
  <si>
    <t>prabalbora.com</t>
  </si>
  <si>
    <t>aman.b@mydbsync.com</t>
  </si>
  <si>
    <t>DBSync</t>
  </si>
  <si>
    <t>mydbsync.com</t>
  </si>
  <si>
    <t>ken.naito@operto.com</t>
  </si>
  <si>
    <t>arben.morina@cision.com</t>
  </si>
  <si>
    <t>sean.tynan@rossum.ai</t>
  </si>
  <si>
    <t>nakul.kothari@juspay.in</t>
  </si>
  <si>
    <t>rebecca.lerner@meshpayments.com</t>
  </si>
  <si>
    <t>Mesh Payments</t>
  </si>
  <si>
    <t>meshpayments.com</t>
  </si>
  <si>
    <t>diganta15@micamail.in</t>
  </si>
  <si>
    <t>micamail.in</t>
  </si>
  <si>
    <t>jacqulyn.yassen@butterflymx.com</t>
  </si>
  <si>
    <t>ButterflyMX</t>
  </si>
  <si>
    <t>butterflymx.com</t>
  </si>
  <si>
    <t>marley.pulz@hellofyllo.com</t>
  </si>
  <si>
    <t>rigel@nectarhr.com</t>
  </si>
  <si>
    <t>Nectar</t>
  </si>
  <si>
    <t>nectarhr.com</t>
  </si>
  <si>
    <t>akshita.kanumury@freshworks.com</t>
  </si>
  <si>
    <t>david.zion@agilitypr.com</t>
  </si>
  <si>
    <t>anas.swar@noibu.com</t>
  </si>
  <si>
    <t>jayesh.menon@argano.com</t>
  </si>
  <si>
    <t>Argano</t>
  </si>
  <si>
    <t>argano.com</t>
  </si>
  <si>
    <t>lance.pacheco@doordash.com</t>
  </si>
  <si>
    <t>sam.pal@pingcap.com</t>
  </si>
  <si>
    <t>anjana.athanikar@onsurity.com</t>
  </si>
  <si>
    <t>less than 3 years of experience in pmm</t>
  </si>
  <si>
    <t>Onsurity</t>
  </si>
  <si>
    <t>onsurity.com</t>
  </si>
  <si>
    <t>piyush.bhamare@celoxis.com</t>
  </si>
  <si>
    <t>arpit.purohit@shipsy.io</t>
  </si>
  <si>
    <t>morgan.doyle@persuit.com</t>
  </si>
  <si>
    <t>amitai.richman@k2view.com</t>
  </si>
  <si>
    <t>K2view</t>
  </si>
  <si>
    <t>k2view.com</t>
  </si>
  <si>
    <t>joshua.schultz@zayzoon.com</t>
  </si>
  <si>
    <t>Zayzoon</t>
  </si>
  <si>
    <t>zayzoon.com</t>
  </si>
  <si>
    <t>jamie.roelofs@visier.com</t>
  </si>
  <si>
    <t>shashank@cypherlearning.com</t>
  </si>
  <si>
    <t>CYPHER Learning</t>
  </si>
  <si>
    <t>cypherlearning.com</t>
  </si>
  <si>
    <t>cbodenmiller@cas.org</t>
  </si>
  <si>
    <t>CAS</t>
  </si>
  <si>
    <t>cas.org</t>
  </si>
  <si>
    <t>tony.muljadi@bloomreach.com</t>
  </si>
  <si>
    <t>haden.holley@gethearth.com</t>
  </si>
  <si>
    <t xml:space="preserve">Individual Contributor/outbound sales rep
</t>
  </si>
  <si>
    <t>Hearth</t>
  </si>
  <si>
    <t>gethearth.com</t>
  </si>
  <si>
    <t>charlie.boyden@nutanix.com</t>
  </si>
  <si>
    <t>Nutanix</t>
  </si>
  <si>
    <t>nutanix.com</t>
  </si>
  <si>
    <t>tugrul.altiner@akinon.com</t>
  </si>
  <si>
    <t>Akinon</t>
  </si>
  <si>
    <t>akinon.com</t>
  </si>
  <si>
    <t>matthew.vallortigara@gumgum.com</t>
  </si>
  <si>
    <t>surbhi.gupta@avalara.com</t>
  </si>
  <si>
    <t>Avalara</t>
  </si>
  <si>
    <t>avalara.com</t>
  </si>
  <si>
    <t>matthew.fike@ezofficeinventory.com</t>
  </si>
  <si>
    <t>EZO</t>
  </si>
  <si>
    <t>ezo.io</t>
  </si>
  <si>
    <t>matt.shepherd@zipline.inc</t>
  </si>
  <si>
    <t>siddhaarth.sivasamy@vwo.com</t>
  </si>
  <si>
    <t>jonathan.bach@sessionai.com</t>
  </si>
  <si>
    <t>thansen@dentalintel.com</t>
  </si>
  <si>
    <t>ishwarya@tabsquare.com</t>
  </si>
  <si>
    <t>TabSquare.AI</t>
  </si>
  <si>
    <t>tabsquare.ai</t>
  </si>
  <si>
    <t>gaya.sarin@tulip.co</t>
  </si>
  <si>
    <t>Tulip Interfaces</t>
  </si>
  <si>
    <t>tulip.co</t>
  </si>
  <si>
    <t>aselassie@salesforce.com</t>
  </si>
  <si>
    <t>ClickSoftware</t>
  </si>
  <si>
    <t>salesforce.com</t>
  </si>
  <si>
    <t>edward.kim@spendflo.com</t>
  </si>
  <si>
    <t>diana.maria@zohocorp.com</t>
  </si>
  <si>
    <t>aparna.muralidharan@dscout.com</t>
  </si>
  <si>
    <t>sarah@brightdata.com</t>
  </si>
  <si>
    <t>Bright Data</t>
  </si>
  <si>
    <t>brightdata.com</t>
  </si>
  <si>
    <t>jonathan.lawrence@preqin.com</t>
  </si>
  <si>
    <t>Preqin</t>
  </si>
  <si>
    <t>preqin.com</t>
  </si>
  <si>
    <t>amit.mangwani@unity3d.com</t>
  </si>
  <si>
    <t>Unity</t>
  </si>
  <si>
    <t>unity.com</t>
  </si>
  <si>
    <t>srlanzit@paycor.com</t>
  </si>
  <si>
    <t>Paycor</t>
  </si>
  <si>
    <t>paycor.com</t>
  </si>
  <si>
    <t>alex.l@respond.io</t>
  </si>
  <si>
    <t>respond.io</t>
  </si>
  <si>
    <t>mano.dhanoa@omaticsoftware.com</t>
  </si>
  <si>
    <t>Omatic</t>
  </si>
  <si>
    <t>omaticsoftware.com</t>
  </si>
  <si>
    <t>fblando@globalvision.co</t>
  </si>
  <si>
    <t>GlobalVision</t>
  </si>
  <si>
    <t>globalvision.co</t>
  </si>
  <si>
    <t>jzuleta@cardlytics.com</t>
  </si>
  <si>
    <t>andrew.kirk@govos.com</t>
  </si>
  <si>
    <t>Govos</t>
  </si>
  <si>
    <t>govos.com</t>
  </si>
  <si>
    <t>tortega@altametrics.com</t>
  </si>
  <si>
    <t>Altametrics</t>
  </si>
  <si>
    <t>altametrics.com</t>
  </si>
  <si>
    <t>arun.bharti@jugnoo.in</t>
  </si>
  <si>
    <t>Jugnoo</t>
  </si>
  <si>
    <t>jugnoo.io</t>
  </si>
  <si>
    <t>swetha@rocketlane.com</t>
  </si>
  <si>
    <t>lnpalmer@gmail.com</t>
  </si>
  <si>
    <t>tyler.peters@rainfocus.com</t>
  </si>
  <si>
    <t>RainFocus</t>
  </si>
  <si>
    <t>rainfocus.com</t>
  </si>
  <si>
    <t>pszalkowski@reputation.com</t>
  </si>
  <si>
    <t>Reputation</t>
  </si>
  <si>
    <t>reputation.com</t>
  </si>
  <si>
    <t>ajay.uppaluri@sourcegraph.com</t>
  </si>
  <si>
    <t>eric.tausend@cellebrite.com</t>
  </si>
  <si>
    <t>Cellebrite</t>
  </si>
  <si>
    <t>cellebrite.com</t>
  </si>
  <si>
    <t>avi.p@cheq.ai</t>
  </si>
  <si>
    <t>CHEQ</t>
  </si>
  <si>
    <t>cheq.ai</t>
  </si>
  <si>
    <t>lbarth@marchex.com</t>
  </si>
  <si>
    <t>Marchex</t>
  </si>
  <si>
    <t>marchex.com</t>
  </si>
  <si>
    <t>shreyas.jagadeesh@freshworks.com</t>
  </si>
  <si>
    <t>The person has less than 3 yrs of experience in Freshworks company. We have received multiple form fills from this company.</t>
  </si>
  <si>
    <t>capt.qezilbash@cint.com</t>
  </si>
  <si>
    <t>Cint</t>
  </si>
  <si>
    <t>cint.com</t>
  </si>
  <si>
    <t>russell.duncan@jll.com</t>
  </si>
  <si>
    <t>JLL Technologies</t>
  </si>
  <si>
    <t>jllt.com</t>
  </si>
  <si>
    <t>dickron@goco.io</t>
  </si>
  <si>
    <t>GoCo.io</t>
  </si>
  <si>
    <t>goco.io</t>
  </si>
  <si>
    <t>lsmith@rxbenefits.com</t>
  </si>
  <si>
    <t>sshah@versa-networks.com</t>
  </si>
  <si>
    <t>Versa Networks</t>
  </si>
  <si>
    <t>versa-networks.com</t>
  </si>
  <si>
    <t>naresh.kumar@tracktik.com</t>
  </si>
  <si>
    <t>vjain@clickup.com</t>
  </si>
  <si>
    <t>diane.thelen@powerschool.com</t>
  </si>
  <si>
    <t>jim.trotta@everbridge.com</t>
  </si>
  <si>
    <t>brad.langley@aventri.com</t>
  </si>
  <si>
    <t>akhil.ahuja@eltropy.com</t>
  </si>
  <si>
    <t>Eltropy</t>
  </si>
  <si>
    <t>eltropy.com</t>
  </si>
  <si>
    <t>bumane@kargo.com</t>
  </si>
  <si>
    <t>luke.you@rubrik.com</t>
  </si>
  <si>
    <t>Rubrik</t>
  </si>
  <si>
    <t>rubrik.com</t>
  </si>
  <si>
    <t>turner@blue42agency.com</t>
  </si>
  <si>
    <t>Left the job at targetted company and joined non-icp company</t>
  </si>
  <si>
    <t>blue42agency.com</t>
  </si>
  <si>
    <t>michael.porc@swapcard.com</t>
  </si>
  <si>
    <t>dale@dash.app</t>
  </si>
  <si>
    <t>He works at Fooda (Target Account) as Sales Executive and at Dash as Head of Sales. Hence, he got targeted by our ads.</t>
  </si>
  <si>
    <t>Dash</t>
  </si>
  <si>
    <t>dash.app</t>
  </si>
  <si>
    <t>ryan.smith@vulcan.io</t>
  </si>
  <si>
    <t>Vulcan Cyber</t>
  </si>
  <si>
    <t>vulcan.io</t>
  </si>
  <si>
    <t>sankam@codegen.net</t>
  </si>
  <si>
    <t>CodeGen International</t>
  </si>
  <si>
    <t>codegen.co.uk</t>
  </si>
  <si>
    <t>chirag.mehta@mobifin.com</t>
  </si>
  <si>
    <t>Panamax</t>
  </si>
  <si>
    <t>panamaxil.com</t>
  </si>
  <si>
    <t>sanket@spectra-vision.com</t>
  </si>
  <si>
    <t>Spectra Technovision</t>
  </si>
  <si>
    <t>spectra-vision.com</t>
  </si>
  <si>
    <t>tylerj@brightervision.com</t>
  </si>
  <si>
    <t>nicksoux@proton.me</t>
  </si>
  <si>
    <t>SAFe by Scaled Agile, Inc.</t>
  </si>
  <si>
    <t>scaledagile.com</t>
  </si>
  <si>
    <t>genaro.ocreto@stem.com</t>
  </si>
  <si>
    <t>kraychaudhuri@ezesoft.com</t>
  </si>
  <si>
    <t>Eze Software (SS&amp;C Eze, a unit of SS&amp;C Technologies)</t>
  </si>
  <si>
    <t>ezesoft.com</t>
  </si>
  <si>
    <t>lindsay.millar@rubrik.com</t>
  </si>
  <si>
    <t>adarsh.s1@infoedge.com</t>
  </si>
  <si>
    <t xml:space="preserve">less than 3 years of experience in pmm. </t>
  </si>
  <si>
    <t>Infoedge India Ltd.,</t>
  </si>
  <si>
    <t>infoedge.com</t>
  </si>
  <si>
    <t>nishitrao@cal.berkeley.edu</t>
  </si>
  <si>
    <t>8x8</t>
  </si>
  <si>
    <t>8x8.com</t>
  </si>
  <si>
    <t>seanmichaelsmith@inmar.com</t>
  </si>
  <si>
    <t>Inmar Intelligence</t>
  </si>
  <si>
    <t>inmar.com</t>
  </si>
  <si>
    <t>grant.hutchons@trustwave.com</t>
  </si>
  <si>
    <t>ethomason@smatechnologies.com</t>
  </si>
  <si>
    <t>Continuous</t>
  </si>
  <si>
    <t>continuous.com</t>
  </si>
  <si>
    <t>sam.harper@subsplash.com</t>
  </si>
  <si>
    <t>noah.aossey@realworklabs.com</t>
  </si>
  <si>
    <t>Junior position</t>
  </si>
  <si>
    <t>RealWork</t>
  </si>
  <si>
    <t>realworklabs.com</t>
  </si>
  <si>
    <t>gnguyen@auditboard.com</t>
  </si>
  <si>
    <t>amanda.sparks@leandna.com</t>
  </si>
  <si>
    <t>noa.david@suse.com</t>
  </si>
  <si>
    <t>drew@embrace.io</t>
  </si>
  <si>
    <t>thunziker@dentalintel.com</t>
  </si>
  <si>
    <t>jatin.arora@getfareye.com</t>
  </si>
  <si>
    <t>FarEye</t>
  </si>
  <si>
    <t>fareye.com</t>
  </si>
  <si>
    <t>davidf@eftsure.com.au</t>
  </si>
  <si>
    <t>Eftsure</t>
  </si>
  <si>
    <t>eftsure.com</t>
  </si>
  <si>
    <t>macree.colvin@corpay.com</t>
  </si>
  <si>
    <t>r.kowalik@kontakt.io</t>
  </si>
  <si>
    <t>Kontakt.io</t>
  </si>
  <si>
    <t>kontakt.io</t>
  </si>
  <si>
    <t>jeff.butts@mhcautomation.com</t>
  </si>
  <si>
    <t>MHC</t>
  </si>
  <si>
    <t>mhcautomation.com</t>
  </si>
  <si>
    <t>abhinay.gajula@compliancequest.com</t>
  </si>
  <si>
    <t>vas@ramanuj.am</t>
  </si>
  <si>
    <t>ramanuj.am</t>
  </si>
  <si>
    <t>karan.sondhi@trellix.com</t>
  </si>
  <si>
    <t>Trellix</t>
  </si>
  <si>
    <t>trellix.com</t>
  </si>
  <si>
    <t>skhanna@gosecure.net</t>
  </si>
  <si>
    <t>GoSecure</t>
  </si>
  <si>
    <t>gosecure.net</t>
  </si>
  <si>
    <t>wsheng@adaptavist.com</t>
  </si>
  <si>
    <t>bhavesh.nachnani@getfareye.com</t>
  </si>
  <si>
    <t>neha.verma@devo.com</t>
  </si>
  <si>
    <t>Devo</t>
  </si>
  <si>
    <t>devo.com</t>
  </si>
  <si>
    <t>nikki.hau@affirm.com</t>
  </si>
  <si>
    <t>Affirm</t>
  </si>
  <si>
    <t>affirm.com</t>
  </si>
  <si>
    <t>stella.chaves@crayon.co</t>
  </si>
  <si>
    <t>Crayon</t>
  </si>
  <si>
    <t>crayon.co</t>
  </si>
  <si>
    <t>monique@appdome.com</t>
  </si>
  <si>
    <t>Appdome</t>
  </si>
  <si>
    <t>appdome.com</t>
  </si>
  <si>
    <t>fernando.shupe@collectivehealth.com</t>
  </si>
  <si>
    <t>dgross@bidpalnetwork.com</t>
  </si>
  <si>
    <t>arunagarwal@mastersindia.co</t>
  </si>
  <si>
    <t>Masters India</t>
  </si>
  <si>
    <t>mastersindia.co</t>
  </si>
  <si>
    <t>ric@estateguru.com</t>
  </si>
  <si>
    <t>Also works at Qualio. Hence, he got targeted by our Ad. The current company has only 27 employees. Asked for Brian's suggestion - Brian's response - It looks like there are only 20 people in the company...might be too small.</t>
  </si>
  <si>
    <t>Estate Guru</t>
  </si>
  <si>
    <t>estateguru.com</t>
  </si>
  <si>
    <t>jbrothers@oxblue.com</t>
  </si>
  <si>
    <t>thor.sanderson@smartsheet.com</t>
  </si>
  <si>
    <t>Smartsheet</t>
  </si>
  <si>
    <t>smartsheet.com</t>
  </si>
  <si>
    <t>ian.chinn@ideas.com</t>
  </si>
  <si>
    <t>IDeaS Revenue Solutions</t>
  </si>
  <si>
    <t>ideas.com</t>
  </si>
  <si>
    <t>jeshua.anderson@jolt.com</t>
  </si>
  <si>
    <t>abhishek.singh@simplilearn.net</t>
  </si>
  <si>
    <t>Experience in business development</t>
  </si>
  <si>
    <t>pabrahante@pax8.com</t>
  </si>
  <si>
    <t>Pax8</t>
  </si>
  <si>
    <t>pax8.com</t>
  </si>
  <si>
    <t>ian.meadow@vts.com</t>
  </si>
  <si>
    <t>brittany.lockwood@dealpath.com</t>
  </si>
  <si>
    <t>sara.nady@enigma.com</t>
  </si>
  <si>
    <t>Enigma Technologies</t>
  </si>
  <si>
    <t>enigma.com</t>
  </si>
  <si>
    <t>cayla@sketchup.com</t>
  </si>
  <si>
    <t>oeg@qad.com</t>
  </si>
  <si>
    <t>QAD</t>
  </si>
  <si>
    <t>qad.com</t>
  </si>
  <si>
    <t>ana.montoya@workiva.com</t>
  </si>
  <si>
    <t>annabelle.kovacs@beanworks.com</t>
  </si>
  <si>
    <t>Beanworks by Quadient</t>
  </si>
  <si>
    <t>beanworks.com</t>
  </si>
  <si>
    <t>ryanseeras@testgorilla.com</t>
  </si>
  <si>
    <t>TestGorilla</t>
  </si>
  <si>
    <t>testgorilla.com</t>
  </si>
  <si>
    <t>leo.palmaro@revalizesoftware.com</t>
  </si>
  <si>
    <t>Revalize</t>
  </si>
  <si>
    <t>revalizesoftware.com</t>
  </si>
  <si>
    <t>john@wizcommerce.com</t>
  </si>
  <si>
    <t>WizCommerce</t>
  </si>
  <si>
    <t>sourcewiz.com</t>
  </si>
  <si>
    <t>jsiders@paychex.com</t>
  </si>
  <si>
    <t>Oasis</t>
  </si>
  <si>
    <t>paychex.com</t>
  </si>
  <si>
    <t>dlaskus@consoleconnect.com</t>
  </si>
  <si>
    <t>Console Connect</t>
  </si>
  <si>
    <t>consoleconnect.com</t>
  </si>
  <si>
    <t>rprabur@zscaler.com</t>
  </si>
  <si>
    <t>ryan@agentsync.io</t>
  </si>
  <si>
    <t>AgentSync</t>
  </si>
  <si>
    <t>agentsync.io</t>
  </si>
  <si>
    <t>kasturi.talukdar@primefocus.com</t>
  </si>
  <si>
    <t>Prime Focus Limited</t>
  </si>
  <si>
    <t>primefocus.com</t>
  </si>
  <si>
    <t>alex.menzies@phocassoftware.com</t>
  </si>
  <si>
    <t>mrinal.kapoor@nutanix.com</t>
  </si>
  <si>
    <t>nicholas.hartley@procore.com</t>
  </si>
  <si>
    <t>Procore Technologies</t>
  </si>
  <si>
    <t>procore.com</t>
  </si>
  <si>
    <t>sara.rabadi@scorpion.co</t>
  </si>
  <si>
    <t>ssmith@bishopfox.com</t>
  </si>
  <si>
    <t>Bishop Fox</t>
  </si>
  <si>
    <t>bishopfox.com</t>
  </si>
  <si>
    <t>yesuah.bell@madmobile.com</t>
  </si>
  <si>
    <t>Mad Mobile</t>
  </si>
  <si>
    <t>madmobile.com</t>
  </si>
  <si>
    <t>logan.hart@zoominfo.com</t>
  </si>
  <si>
    <t>less than 3 years of experience in PMM, didn't mention anything related to sales enablement on LinkedIn profile.</t>
  </si>
  <si>
    <t>david.bentley@gridpoint.com</t>
  </si>
  <si>
    <t>GridPoint</t>
  </si>
  <si>
    <t>gridpoint.com</t>
  </si>
  <si>
    <t>austen.patrick-street@chargepoint.com</t>
  </si>
  <si>
    <t>garima.pandey@affle.com</t>
  </si>
  <si>
    <t>Affle</t>
  </si>
  <si>
    <t>affle.com</t>
  </si>
  <si>
    <t>dena.wieder-freiden@hibob.io</t>
  </si>
  <si>
    <t>siddiq@accuknox.com</t>
  </si>
  <si>
    <t>AccuKnox</t>
  </si>
  <si>
    <t>accuknox.com</t>
  </si>
  <si>
    <t>lior.schinagel@homebot.ai</t>
  </si>
  <si>
    <t>tara.welton@braincube.com</t>
  </si>
  <si>
    <t>Braincube</t>
  </si>
  <si>
    <t>braincube.com</t>
  </si>
  <si>
    <t>ankit.shrivastava@zaggle.in</t>
  </si>
  <si>
    <t>Zaggle</t>
  </si>
  <si>
    <t>zaggle.in</t>
  </si>
  <si>
    <t>chandanv@sprinto.com</t>
  </si>
  <si>
    <t>rajat.radhakrishnan@devrev.ai</t>
  </si>
  <si>
    <t>kevin.tuckness@five9.com</t>
  </si>
  <si>
    <t>Five9</t>
  </si>
  <si>
    <t>five9.com</t>
  </si>
  <si>
    <t>tali@connecteam.com</t>
  </si>
  <si>
    <t>Connecteam</t>
  </si>
  <si>
    <t>connecteam.com</t>
  </si>
  <si>
    <t>jarnold@chatmeter.com</t>
  </si>
  <si>
    <t>jnylen@gocatalant.com</t>
  </si>
  <si>
    <t>Catalant Technologies</t>
  </si>
  <si>
    <t>gocatalant.com</t>
  </si>
  <si>
    <t>b.mohsen@foodics.com</t>
  </si>
  <si>
    <t>Foodics</t>
  </si>
  <si>
    <t>foodics.com</t>
  </si>
  <si>
    <t>jack.r@nextinsurance.com</t>
  </si>
  <si>
    <t>Next Insurance</t>
  </si>
  <si>
    <t>nextinsurance.com</t>
  </si>
  <si>
    <t>brian.scully@envestnet.com</t>
  </si>
  <si>
    <t>david.chau@bbva.com</t>
  </si>
  <si>
    <t>mschaner@netskope.com</t>
  </si>
  <si>
    <t>adarsh.raj@builder.ai</t>
  </si>
  <si>
    <t>iehninger@explorance.com</t>
  </si>
  <si>
    <t>avi.lekowsky@limblecmms.com</t>
  </si>
  <si>
    <t>Limble CMMS</t>
  </si>
  <si>
    <t>limblecmms.com</t>
  </si>
  <si>
    <t>vikas.kumar@windriver.com</t>
  </si>
  <si>
    <t>Wind River</t>
  </si>
  <si>
    <t>windriver.com</t>
  </si>
  <si>
    <t>srikar.chitturi@chargebee.com</t>
  </si>
  <si>
    <t>mahendra.singh@loophealth.com</t>
  </si>
  <si>
    <t>loophealth.com</t>
  </si>
  <si>
    <t>mayank.gupta@clear.in</t>
  </si>
  <si>
    <t>christina.ling@calm.com</t>
  </si>
  <si>
    <t>Calm</t>
  </si>
  <si>
    <t>calm.com</t>
  </si>
  <si>
    <t>ajith.kp@katalon.com</t>
  </si>
  <si>
    <t>Katalon</t>
  </si>
  <si>
    <t>katalon.com</t>
  </si>
  <si>
    <t>michael.abenhaim@dubber.net</t>
  </si>
  <si>
    <t>Dubber</t>
  </si>
  <si>
    <t>dubber.net</t>
  </si>
  <si>
    <t>james.janssen@trolley.com</t>
  </si>
  <si>
    <t>jubin.john@mygate.com</t>
  </si>
  <si>
    <t>marco.schneiderman@chownow.com</t>
  </si>
  <si>
    <t>ChowNow</t>
  </si>
  <si>
    <t>chownow.com</t>
  </si>
  <si>
    <t>caleb.stonehouse@placer.ai</t>
  </si>
  <si>
    <t>adonio@panaya.com</t>
  </si>
  <si>
    <t>h.keuchkerian@swordhealth.com</t>
  </si>
  <si>
    <t>Sword Health</t>
  </si>
  <si>
    <t>swordhealth.com</t>
  </si>
  <si>
    <t>censsle@ripple.com</t>
  </si>
  <si>
    <t>Ripple</t>
  </si>
  <si>
    <t>ripple.com</t>
  </si>
  <si>
    <t>thomasdanh@velocityglobal.com</t>
  </si>
  <si>
    <t>brandon@briq.com</t>
  </si>
  <si>
    <t>Briq</t>
  </si>
  <si>
    <t>briq.com</t>
  </si>
  <si>
    <t>karthik.kv@pathfactory.com</t>
  </si>
  <si>
    <t>PathFactory</t>
  </si>
  <si>
    <t>pathfactory.com</t>
  </si>
  <si>
    <t>ranjit.dhalwani@efficientip.com</t>
  </si>
  <si>
    <t>EfficientIP</t>
  </si>
  <si>
    <t>efficientip.com</t>
  </si>
  <si>
    <t>aaron@contactmonkey.com</t>
  </si>
  <si>
    <t>ContactMonkey</t>
  </si>
  <si>
    <t>contactmonkey.com</t>
  </si>
  <si>
    <t>bgantz@explorance.com</t>
  </si>
  <si>
    <t>nabras.mohammed@whatfix.com</t>
  </si>
  <si>
    <t>matthewsa@papayaglobal.com</t>
  </si>
  <si>
    <t>Papaya Global</t>
  </si>
  <si>
    <t>papayaglobal.com</t>
  </si>
  <si>
    <t>richard.elving@markforged.com</t>
  </si>
  <si>
    <t>david_k@optimove.com</t>
  </si>
  <si>
    <t>samantha.moeder@phenom.com</t>
  </si>
  <si>
    <t>Phenom</t>
  </si>
  <si>
    <t>phenom.com</t>
  </si>
  <si>
    <t>scott.lehman@teletracnavman.com</t>
  </si>
  <si>
    <t>redwards@copperleaf.com</t>
  </si>
  <si>
    <t>IFS Copperleaf</t>
  </si>
  <si>
    <t>copperleaf.com</t>
  </si>
  <si>
    <t>chris.russell@vc3.com</t>
  </si>
  <si>
    <t>aditya.onkarappa@sentinelone.com</t>
  </si>
  <si>
    <t>nayantara.gautam@planview.com</t>
  </si>
  <si>
    <t>Planview</t>
  </si>
  <si>
    <t>planview.com</t>
  </si>
  <si>
    <t>afshanr@lambdatest.com</t>
  </si>
  <si>
    <t>jklein@xometry.com</t>
  </si>
  <si>
    <t>Xometry</t>
  </si>
  <si>
    <t>xometry.com</t>
  </si>
  <si>
    <t>modi.c@gloat.com</t>
  </si>
  <si>
    <t>Gloat</t>
  </si>
  <si>
    <t>gloat.com</t>
  </si>
  <si>
    <t>rob.rizzari@bugcrowd.com</t>
  </si>
  <si>
    <t>Bugcrowd</t>
  </si>
  <si>
    <t>bugcrowd.com</t>
  </si>
  <si>
    <t>kyle.payne@act-on.com</t>
  </si>
  <si>
    <t>jamie.walsh@archerirm.com</t>
  </si>
  <si>
    <t>Archer Integrated Risk Management</t>
  </si>
  <si>
    <t>archerirm.com</t>
  </si>
  <si>
    <t>mikala.marquis@guesty.com</t>
  </si>
  <si>
    <t>vaishnavi.raman@chargebee.com</t>
  </si>
  <si>
    <t>chris.fitzgerald@loopme.com</t>
  </si>
  <si>
    <t>LoopMe</t>
  </si>
  <si>
    <t>loopme.com</t>
  </si>
  <si>
    <t>emorouse@unifocus.com</t>
  </si>
  <si>
    <t>Unifocus</t>
  </si>
  <si>
    <t>unifocus.com</t>
  </si>
  <si>
    <t>sarah.sarah@crownpeak.com</t>
  </si>
  <si>
    <t>lisa.assous@tehtris.eu</t>
  </si>
  <si>
    <t>brandon.sheppard@splashthat.com</t>
  </si>
  <si>
    <t>Splash</t>
  </si>
  <si>
    <t>splashthat.com</t>
  </si>
  <si>
    <t>raju.burnwal@deque.com</t>
  </si>
  <si>
    <t>Deque Systems, Inc</t>
  </si>
  <si>
    <t>deque.com</t>
  </si>
  <si>
    <t>michel.mitri@procom.ca</t>
  </si>
  <si>
    <t>Procom</t>
  </si>
  <si>
    <t>procomservices.com</t>
  </si>
  <si>
    <t>megan.g@walkme.com</t>
  </si>
  <si>
    <t>brad.schulman@corpay.com</t>
  </si>
  <si>
    <t>suhagkv@lambdatest.com</t>
  </si>
  <si>
    <t>j.patel@shiftkey.com</t>
  </si>
  <si>
    <t>shiftkey</t>
  </si>
  <si>
    <t>shiftkey.com</t>
  </si>
  <si>
    <t>jgaggin@kargo.com</t>
  </si>
  <si>
    <t>rmccurry@securityscorecard.io</t>
  </si>
  <si>
    <t>SecurityScorecard</t>
  </si>
  <si>
    <t>securityscorecard.com</t>
  </si>
  <si>
    <t>jamie.lajoie@cision.com</t>
  </si>
  <si>
    <t>rohit.lodha@cleartax.in</t>
  </si>
  <si>
    <t>chad@himaxwell.com</t>
  </si>
  <si>
    <t>c-jmullen@apptio.com</t>
  </si>
  <si>
    <t>sahil.a@turing.com</t>
  </si>
  <si>
    <t>Turing</t>
  </si>
  <si>
    <t>turing.com</t>
  </si>
  <si>
    <t>adegreef@carnow.com</t>
  </si>
  <si>
    <t>CarNow</t>
  </si>
  <si>
    <t>carnow.com</t>
  </si>
  <si>
    <t>avudali@cleo.com</t>
  </si>
  <si>
    <t>daveg@hackthebox.com</t>
  </si>
  <si>
    <t>jer043@bucknell.edu</t>
  </si>
  <si>
    <t>mihir.sharma@myoperator.co</t>
  </si>
  <si>
    <t>MyOperator</t>
  </si>
  <si>
    <t>myoperator.com</t>
  </si>
  <si>
    <t>gabe.flores@avetta.com</t>
  </si>
  <si>
    <t>anna.alaverdian@yotpo.com</t>
  </si>
  <si>
    <t>dliu@snaplogic.com</t>
  </si>
  <si>
    <t>SnapLogic</t>
  </si>
  <si>
    <t>snaplogic.com</t>
  </si>
  <si>
    <t>benita@facilio.com</t>
  </si>
  <si>
    <t>rajesh.savio@beroe-inc.com</t>
  </si>
  <si>
    <t>Beroe</t>
  </si>
  <si>
    <t>beroeinc.com</t>
  </si>
  <si>
    <t>rahul.tabeck@solarwinds.com</t>
  </si>
  <si>
    <t>jess.petrella@zayzoon.com</t>
  </si>
  <si>
    <t>dkatiyar@unifonic.com</t>
  </si>
  <si>
    <t>Unifonic</t>
  </si>
  <si>
    <t>unifonic.com</t>
  </si>
  <si>
    <t>aniket.deolikar@icertis.com</t>
  </si>
  <si>
    <t>Icertis</t>
  </si>
  <si>
    <t>icertis.com</t>
  </si>
  <si>
    <t>jay.schieve@creyos.com</t>
  </si>
  <si>
    <t>Creyos</t>
  </si>
  <si>
    <t>creyos.com</t>
  </si>
  <si>
    <t>reid.schmitt@fusionconnect.com</t>
  </si>
  <si>
    <t>Fusion Connect</t>
  </si>
  <si>
    <t>fusionconnect.com</t>
  </si>
  <si>
    <t>max.tipton@paperlessparts.com</t>
  </si>
  <si>
    <t>ben.timm@daxko.com</t>
  </si>
  <si>
    <t>dludlow@iworq.com</t>
  </si>
  <si>
    <t>iWorQ Systems</t>
  </si>
  <si>
    <t>iworq.com</t>
  </si>
  <si>
    <t>ashish.c@kapturecrm.com</t>
  </si>
  <si>
    <t>Kapture CX</t>
  </si>
  <si>
    <t>kapturecrm.com</t>
  </si>
  <si>
    <t>akalaskar6@gatech.edu</t>
  </si>
  <si>
    <t>Working as an AI Model Trainer at Scale AI (Contract - 3 months), Also, working at PwC as project management intern (2 months)</t>
  </si>
  <si>
    <t>Georgia Institute Of Technology</t>
  </si>
  <si>
    <t>esl.gatech.edu</t>
  </si>
  <si>
    <t>david.terrazas@domo.com</t>
  </si>
  <si>
    <t>doug@2loons.com</t>
  </si>
  <si>
    <t>SmartBear</t>
  </si>
  <si>
    <t>smartbear.com</t>
  </si>
  <si>
    <t>monica@responsive.io</t>
  </si>
  <si>
    <t>Responsive</t>
  </si>
  <si>
    <t>responsive.io</t>
  </si>
  <si>
    <t>g.raber@kontakt.io</t>
  </si>
  <si>
    <t>dlockett@burwood.com</t>
  </si>
  <si>
    <t>Burwood Group</t>
  </si>
  <si>
    <t>burwood.com</t>
  </si>
  <si>
    <t>mark.dejong@spectrio.com</t>
  </si>
  <si>
    <t>brooke.herbst@supplypike.com</t>
  </si>
  <si>
    <t>SupplyPike</t>
  </si>
  <si>
    <t>supplypike.com</t>
  </si>
  <si>
    <t>stephen@cresta.ai</t>
  </si>
  <si>
    <t>Cresta</t>
  </si>
  <si>
    <t>cresta.com</t>
  </si>
  <si>
    <t>christina.ling@verifiable.com</t>
  </si>
  <si>
    <t>roee.f@taboola.com</t>
  </si>
  <si>
    <t>Taboola</t>
  </si>
  <si>
    <t>taboola.com</t>
  </si>
  <si>
    <t>vincent.bordini@outsystems.com</t>
  </si>
  <si>
    <t>hazel.gunapala@coinbase.com</t>
  </si>
  <si>
    <t>Coinbase</t>
  </si>
  <si>
    <t>coinbase.com</t>
  </si>
  <si>
    <t>dean.pogroske@logz.io</t>
  </si>
  <si>
    <t>Logz.io</t>
  </si>
  <si>
    <t>logz.io</t>
  </si>
  <si>
    <t>samuel.lee@unit21.ai</t>
  </si>
  <si>
    <t>Unit21</t>
  </si>
  <si>
    <t>unit21.ai</t>
  </si>
  <si>
    <t>astewart@genasys.com</t>
  </si>
  <si>
    <t>yakovlev.victor@gmail.com</t>
  </si>
  <si>
    <t>ofilakouris@augury.com</t>
  </si>
  <si>
    <t>Augury</t>
  </si>
  <si>
    <t>augury.com</t>
  </si>
  <si>
    <t>ed.matanes@callminer.com</t>
  </si>
  <si>
    <t>CallMiner</t>
  </si>
  <si>
    <t>callminer.com</t>
  </si>
  <si>
    <t>ariel.sternfine@buildots.com</t>
  </si>
  <si>
    <t>jordan.korte@talkdesk.com</t>
  </si>
  <si>
    <t>rahil.gambhir@sirionlabs.com</t>
  </si>
  <si>
    <t>gayatrir@gtmbuddy.ai</t>
  </si>
  <si>
    <t>bsperling@payjunction.com</t>
  </si>
  <si>
    <t>riqbal@digitalocean.com</t>
  </si>
  <si>
    <t>Head of cyber security - irrelevant persona</t>
  </si>
  <si>
    <t>DigitalOcean</t>
  </si>
  <si>
    <t>digitalocean.com</t>
  </si>
  <si>
    <t>noelle.morris@medallion.co</t>
  </si>
  <si>
    <t>Medallion</t>
  </si>
  <si>
    <t>medallion.co</t>
  </si>
  <si>
    <t>sebastien.cleroux@vyntra.ca</t>
  </si>
  <si>
    <t>Saviynt</t>
  </si>
  <si>
    <t>saviynt.com</t>
  </si>
  <si>
    <t>amanda.hanks@definitivehc.com</t>
  </si>
  <si>
    <t>Definitive Healthcare</t>
  </si>
  <si>
    <t>definitivehc.com</t>
  </si>
  <si>
    <t>constantine.johns@workiva.com</t>
  </si>
  <si>
    <t>priyanka.sahay@airslate.com</t>
  </si>
  <si>
    <t>henry.wood@fluentcommerce.com</t>
  </si>
  <si>
    <t>Fluent Commerce</t>
  </si>
  <si>
    <t>fluentcommerce.com</t>
  </si>
  <si>
    <t>rakhee.krishnan@qure.ai</t>
  </si>
  <si>
    <t>matt.sansone@goteleport.com</t>
  </si>
  <si>
    <t>Teleport</t>
  </si>
  <si>
    <t>goteleport.com</t>
  </si>
  <si>
    <t>jclarke@voltus.co</t>
  </si>
  <si>
    <t>Voltus</t>
  </si>
  <si>
    <t>voltus.co</t>
  </si>
  <si>
    <t>andrew.baker@lvt.com</t>
  </si>
  <si>
    <t>sam.manjarres@watchguard.com</t>
  </si>
  <si>
    <t>WatchGuard Technologies</t>
  </si>
  <si>
    <t>watchguard.com</t>
  </si>
  <si>
    <t>dboykin@onetrust.com</t>
  </si>
  <si>
    <t>OneTrust</t>
  </si>
  <si>
    <t>onetrust.com</t>
  </si>
  <si>
    <t>niteshk@radware.com</t>
  </si>
  <si>
    <t>liron.mendel@cyesec.com</t>
  </si>
  <si>
    <t>CYE</t>
  </si>
  <si>
    <t>cyesec.com</t>
  </si>
  <si>
    <t>ronha@papayaglobal.com</t>
  </si>
  <si>
    <t>dgraham@litify.com</t>
  </si>
  <si>
    <t>Litify</t>
  </si>
  <si>
    <t>litify.com</t>
  </si>
  <si>
    <t>albion.ong@fireworkhq.com</t>
  </si>
  <si>
    <t>Firework</t>
  </si>
  <si>
    <t>firework.com</t>
  </si>
  <si>
    <t>ryan.whitehouse@meetmarigold.com</t>
  </si>
  <si>
    <t>daria.sherr@semrush.com</t>
  </si>
  <si>
    <t>ashuttleworth@360insights.com</t>
  </si>
  <si>
    <t>360insights</t>
  </si>
  <si>
    <t>360insights.com</t>
  </si>
  <si>
    <t>melanie.simon@fingerprint.com</t>
  </si>
  <si>
    <t>Fingerprint</t>
  </si>
  <si>
    <t>fingerprint.com</t>
  </si>
  <si>
    <t>randyphillips@truckstop.com</t>
  </si>
  <si>
    <t>Truckstop.com</t>
  </si>
  <si>
    <t>truckstop.com</t>
  </si>
  <si>
    <t>kelly.cristaldi@virtuous.org</t>
  </si>
  <si>
    <t>Virtuous</t>
  </si>
  <si>
    <t>virtuous.org</t>
  </si>
  <si>
    <t>josh.didion@mindbodyonline.com</t>
  </si>
  <si>
    <t>Mindbody</t>
  </si>
  <si>
    <t>mindbodyonline.com</t>
  </si>
  <si>
    <t>nicola.fowler@flywire.com</t>
  </si>
  <si>
    <t>ajett@mediaocean.com</t>
  </si>
  <si>
    <t>Mediaocean</t>
  </si>
  <si>
    <t>mediaocean.com</t>
  </si>
  <si>
    <t>tara.akkerman@sai360.com</t>
  </si>
  <si>
    <t>SAI360</t>
  </si>
  <si>
    <t>sai360.com</t>
  </si>
  <si>
    <t>joe_shiraz@elixir.com</t>
  </si>
  <si>
    <t>Elixir Technologies</t>
  </si>
  <si>
    <t>elixir.com</t>
  </si>
  <si>
    <t>nilesh@versa-networks.com</t>
  </si>
  <si>
    <t>testlead@gtmbuddy.ai</t>
  </si>
  <si>
    <t>alexp@cdata.com</t>
  </si>
  <si>
    <t>CData Software</t>
  </si>
  <si>
    <t>cdata.com</t>
  </si>
  <si>
    <t>mike.bollman@automox.com</t>
  </si>
  <si>
    <t>karan.mehta@myndsol.com</t>
  </si>
  <si>
    <t>Mynd Integrated Solutions</t>
  </si>
  <si>
    <t>myndsolution.com</t>
  </si>
  <si>
    <t>amartin@payactiv.com</t>
  </si>
  <si>
    <t>Payactiv</t>
  </si>
  <si>
    <t>payactiv.com</t>
  </si>
  <si>
    <t>kevin.nickel@everestgrp.com</t>
  </si>
  <si>
    <t>peter.pflaster@automox.com</t>
  </si>
  <si>
    <t>ncurran@vmray.com</t>
  </si>
  <si>
    <t>VMRay</t>
  </si>
  <si>
    <t>vmray.com</t>
  </si>
  <si>
    <t>molly@horizon3.ai</t>
  </si>
  <si>
    <t>Horizon3.ai</t>
  </si>
  <si>
    <t>horizon3.ai</t>
  </si>
  <si>
    <t>christiane.chugbo@lightspeedhq.com</t>
  </si>
  <si>
    <t>Lightspeed Commerce</t>
  </si>
  <si>
    <t>lightspeedhq.com</t>
  </si>
  <si>
    <t>kerenr@nayax.com</t>
  </si>
  <si>
    <t>richard.brindisi@asuresoftware.com</t>
  </si>
  <si>
    <t>Asure Software</t>
  </si>
  <si>
    <t>asuresoftware.com</t>
  </si>
  <si>
    <t>shivangi.chaubey@rahisystems.com</t>
  </si>
  <si>
    <t>Rahi</t>
  </si>
  <si>
    <t>rahi.io</t>
  </si>
  <si>
    <t>vijith@leena.ai</t>
  </si>
  <si>
    <t>ellen@getcensus.com</t>
  </si>
  <si>
    <t>Census</t>
  </si>
  <si>
    <t>getcensus.com</t>
  </si>
  <si>
    <t>gopala.krishnan@chargebee.com</t>
  </si>
  <si>
    <t>cs@reknew.co</t>
  </si>
  <si>
    <t>Reknew</t>
  </si>
  <si>
    <t>reknew.co</t>
  </si>
  <si>
    <t>jake.goldfield@salesloft.com</t>
  </si>
  <si>
    <t>kennedy.mason@domo.com</t>
  </si>
  <si>
    <t>mallory.margiotta@omaticsoftware.com</t>
  </si>
  <si>
    <t>Impressions</t>
  </si>
  <si>
    <t>Clicks</t>
  </si>
  <si>
    <t>Cost in USD</t>
  </si>
  <si>
    <t>Date Range</t>
  </si>
  <si>
    <t>Reach</t>
  </si>
  <si>
    <t>CPC</t>
  </si>
  <si>
    <t>CPM</t>
  </si>
  <si>
    <t>CTR (%)</t>
  </si>
  <si>
    <t>Conversion Rate (%)</t>
  </si>
  <si>
    <t>Cost Per Conversion</t>
  </si>
  <si>
    <t>Leads</t>
  </si>
  <si>
    <t>Brand awareness_Hubspot_Company_List-Feb 10, 2022</t>
  </si>
  <si>
    <t>-</t>
  </si>
  <si>
    <t>Brand Awareness_Spotlight_Only_Titles</t>
  </si>
  <si>
    <t>Meme Test - Brand awareness - Feb 16, 2022</t>
  </si>
  <si>
    <t>Brand Awareness_Spotlight_Titles_Prod_Marketing_USA</t>
  </si>
  <si>
    <t>Brand Awareness_Spotlight_Titles_Sales_USA</t>
  </si>
  <si>
    <t>Brand Awareness_Spotlight_Titles_Sales_Enablement_USA</t>
  </si>
  <si>
    <t>Website visits - Feb 17, 2022</t>
  </si>
  <si>
    <t>Brand Awareness_Spotlight_Titles_Prod_Marketing_India</t>
  </si>
  <si>
    <t>Brand Awareness_Spotlight_Titles_Sales_Enablement_India</t>
  </si>
  <si>
    <t>Brand Awareness_Spotlight_Titles_Sales_India</t>
  </si>
  <si>
    <t>Meme_Brand_Aware_All_Persona_USA</t>
  </si>
  <si>
    <t>Meme_Brand_Aware_Prod_Mkt_XX1</t>
  </si>
  <si>
    <t>Active Deals Awareness Campaign (Archived)</t>
  </si>
  <si>
    <t>Meme_Brand_Aware_Prod_Mkt_India</t>
  </si>
  <si>
    <t>Meme_Brand_Aware_All_Persona_India</t>
  </si>
  <si>
    <t>ABM-Brand-Aware-Image-New-PMM-USA</t>
  </si>
  <si>
    <t>ABM-Brand-Aware-Image-New-PMM-India</t>
  </si>
  <si>
    <t>ABM-Brand-Aware-Story-New-PMM-USA</t>
  </si>
  <si>
    <t>ABM-Brand-Aware-Story-New-PMM-India</t>
  </si>
  <si>
    <t>ABM-Brand-Aware-Image-New-SE-USA</t>
  </si>
  <si>
    <t>ABM-Brand-Aware-Image-New-SE-India</t>
  </si>
  <si>
    <t>ABM-Brand-Aware-Story-New-SE-India</t>
  </si>
  <si>
    <t>ABM-Brand-Aware-Story-New-SE-USA</t>
  </si>
  <si>
    <t>ABM-Brand-Aware-Video-New-SE-USA</t>
  </si>
  <si>
    <t>Active-Deals-Engagement-Video</t>
  </si>
  <si>
    <t>ABM-Brand-Aware-Video-New-SE-India</t>
  </si>
  <si>
    <t>ABM-Brand-Aware-Video-New-PMM-USA</t>
  </si>
  <si>
    <t>ABM-Brand-Aware-Video-New-PMM-India</t>
  </si>
  <si>
    <t>Highspot-vs-GTMBuddy-Engagement-Video</t>
  </si>
  <si>
    <t>Seismic-vs-GTMBuddy-Engagement-Video</t>
  </si>
  <si>
    <t>Top-Active-Deals-Engagement-Video</t>
  </si>
  <si>
    <t>Active Deals Awareness Campaign</t>
  </si>
  <si>
    <t>Top-Active-Deals-Engagement-Image</t>
  </si>
  <si>
    <t>Todd-Webinar-Web-Conversions</t>
  </si>
  <si>
    <t>Todd-Webinar-Lead-Gen</t>
  </si>
  <si>
    <t>ICP-fit-Intent-Video-LinkedIn</t>
  </si>
  <si>
    <t>browserstack_abm_brand_aware_video_linkedin_global</t>
  </si>
  <si>
    <t>browserstack_abm_brand_aware_image_linkedin_global</t>
  </si>
  <si>
    <t>abm_web_visits_carousel_pmm_se_row</t>
  </si>
  <si>
    <t>abm_web_visits_carousel_pmm_se_usa</t>
  </si>
  <si>
    <t>saastr_apac_feb_2023_lead_gen_image_sg</t>
  </si>
  <si>
    <t>onespan_abm_brand_aware_image_linkedin_global</t>
  </si>
  <si>
    <t>img365_vid50p180d_lead_gen_image_global</t>
  </si>
  <si>
    <t>circleci_abm_brand_aware_image_linkedin_global</t>
  </si>
  <si>
    <t>img365_vid50p180d_jt_lead_gen_image_global</t>
  </si>
  <si>
    <t>se_pmm_switch_lead_gen_image_global</t>
  </si>
  <si>
    <t>abm_se_pmm_lead_gen_image_row</t>
  </si>
  <si>
    <t>abm_se_pmm_lead_gen_image_usa</t>
  </si>
  <si>
    <t>abm_se_pmm_sales_web_visits_image_row</t>
  </si>
  <si>
    <t>abm_se_pmm_sales_web_visits_image_usa</t>
  </si>
  <si>
    <t>abm_se_pmm_sales_web_visits_video_row</t>
  </si>
  <si>
    <t>abm_se_pmm_sales_web_visits_video_usa</t>
  </si>
  <si>
    <t>highspot_vs_gtmbuddy_lead_gen_conv_ads_linkedin</t>
  </si>
  <si>
    <t>brownfield_skills_conv_lg_global</t>
  </si>
  <si>
    <t>brownfield_titles_image_lg_global</t>
  </si>
  <si>
    <t>brownfield_se_pmm_conv_lg_global</t>
  </si>
  <si>
    <t>brownfield_se_pmm_conv_lg_global_v2</t>
  </si>
  <si>
    <t>greenfield_sales_conv_lg_global</t>
  </si>
  <si>
    <t>greenfield_sales_jf_conv_lg_global</t>
  </si>
  <si>
    <t>greenfield_se_pmm_conv_lg_global</t>
  </si>
  <si>
    <t>brownfield_sales_conv_lg_global</t>
  </si>
  <si>
    <t>Funding announcement post</t>
  </si>
  <si>
    <t>webinar-all-vid-wv-global</t>
  </si>
  <si>
    <t>tier2_gtm_jf_web_visits_img_global</t>
  </si>
  <si>
    <t>tier2_gtm_jf_brand_aware_img_global</t>
  </si>
  <si>
    <t>tier3_gtm_jf_brand_aware_img_global</t>
  </si>
  <si>
    <t>tier2_3_gtm_jf_brand_aware_vid_global</t>
  </si>
  <si>
    <t>the_gap_promo_brand_aware_video_global</t>
  </si>
  <si>
    <t>res_promo_brand_awareness_img_us</t>
  </si>
  <si>
    <t>brownfield_se_pmm_ops_awareness_carousel_usa</t>
  </si>
  <si>
    <t>brownfield_se_pmm_ops_awareness_img_usa</t>
  </si>
  <si>
    <t>tier2_3_gtm_jf_brand_aware_carousel_global</t>
  </si>
  <si>
    <t>trends2025_brand_img_global</t>
  </si>
  <si>
    <t>ai_learning_wp_brand_img_global</t>
  </si>
  <si>
    <t>brownfield_tier3_sales_awareness_img_usa</t>
  </si>
  <si>
    <t>cybersecurity_brand_aware_img_linkedin</t>
  </si>
  <si>
    <t>cybersecurity_lg_conv_linkedin</t>
  </si>
  <si>
    <t>cybersecurity_lg_img_linkedin</t>
  </si>
  <si>
    <t>cybersecurity_wp_brand_aware_img_linkedin</t>
  </si>
  <si>
    <t>ron_social_selling_aware_titles_usa</t>
  </si>
  <si>
    <t>brownfield_tier3_groups_aware_img_usa</t>
  </si>
  <si>
    <t>brownfield_tier3_all_personas_aware_titles_img_usa</t>
  </si>
  <si>
    <t>wp_brand_doc_global</t>
  </si>
  <si>
    <t>cybersec_webinar_promo_engagement_event_usa</t>
  </si>
  <si>
    <t>brownfield_tier3_all_personas_aware_titles_doc_usa</t>
  </si>
  <si>
    <t>cybersecurity_webinar_vid_linkedin</t>
  </si>
  <si>
    <t>enablement-maturity-quiz-brand-titles-docs-usa</t>
  </si>
  <si>
    <t>enablement-maturity-quiz-brand-titles-carousel-usa</t>
  </si>
  <si>
    <t>rip-n-replace-aware-icp-titles-carousel-na</t>
  </si>
  <si>
    <t>rip-n-replace-demodays-titles-img-na</t>
  </si>
  <si>
    <t>social_selling_aware_titles_vid_usa</t>
  </si>
  <si>
    <t>rip-n-replace-directcallout-titles-img-na</t>
  </si>
  <si>
    <t>retarget-engaged-contacts-img-global</t>
  </si>
  <si>
    <t>rip-n-replace-aware-icp-titles-doc-na</t>
  </si>
  <si>
    <t>rip-n-replace-lg-icp-titles_conv_na</t>
  </si>
  <si>
    <t>all-accounts-personas-aware-titles-vid-usa</t>
  </si>
  <si>
    <t>all-accounts-personas-aware-titles-doc-usa</t>
  </si>
  <si>
    <t>all-accounts-personas-aware-titles-img-usa</t>
  </si>
  <si>
    <t>rnr-merge-abm-lg-conv-global</t>
  </si>
  <si>
    <t>rnr-merge-abm-engage-doc-global</t>
  </si>
  <si>
    <t>rnr-merge-abm-engage-img-global</t>
  </si>
  <si>
    <t>rnr-highspot-abm-webvisits-conv-global</t>
  </si>
  <si>
    <t>rnr-seismic-abm-webvisits-conv-global</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</si>
</sst>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quot;$&quot;#,##0"/>
    <numFmt numFmtId="165" formatCode="yyyy-mm-dd h:mm:ss"/>
    <numFmt numFmtId="166" formatCode="mmm&quot; &quot;d&quot;, &quot;yyyy"/>
    <numFmt numFmtId="167" formatCode="yyyy-mm-dd"/>
    <numFmt numFmtId="168" formatCode="m/yyyy"/>
    <numFmt numFmtId="169" formatCode="m/d/yyyy"/>
  </numFmts>
  <fonts count="7">
    <font>
      <sz val="10.0"/>
      <color rgb="FF000000"/>
      <name val="Arial"/>
      <scheme val="minor"/>
    </font>
    <font>
      <color rgb="FFFFFFFF"/>
      <name val="Roboto"/>
    </font>
    <font>
      <b/>
      <color rgb="FF1155CC"/>
      <name val="Roboto"/>
    </font>
    <font>
      <u/>
      <color rgb="FF0000FF"/>
    </font>
    <font>
      <color theme="1"/>
      <name val="Arial"/>
      <scheme val="minor"/>
    </font>
    <font>
      <u/>
      <color rgb="FF0000FF"/>
    </font>
    <font>
      <u/>
      <color rgb="FF0000FF"/>
    </font>
  </fonts>
  <fills count="5">
    <fill>
      <patternFill patternType="none"/>
    </fill>
    <fill>
      <patternFill patternType="lightGray"/>
    </fill>
    <fill>
      <patternFill patternType="solid">
        <fgColor rgb="FF2677F1"/>
        <bgColor rgb="FF2677F1"/>
      </patternFill>
    </fill>
    <fill>
      <patternFill patternType="solid">
        <fgColor rgb="FFDAEDFF"/>
        <bgColor rgb="FFDAEDFF"/>
      </patternFill>
    </fill>
    <fill>
      <patternFill patternType="solid">
        <fgColor rgb="FFFFFF00"/>
        <bgColor rgb="FFFFFF00"/>
      </patternFill>
    </fill>
  </fills>
  <borders count="2">
    <border/>
    <border>
      <left style="thin">
        <color rgb="FF2677F1"/>
      </left>
      <right style="thin">
        <color rgb="FF2677F1"/>
      </right>
    </border>
  </borders>
  <cellStyleXfs count="1">
    <xf borderId="0" fillId="0" fontId="0" numFmtId="0" applyAlignment="1" applyFont="1"/>
  </cellStyleXfs>
  <cellXfs count="37">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textRotation="0" vertical="center" wrapText="0"/>
    </xf>
    <xf borderId="1" fillId="2" fontId="1" numFmtId="164" xfId="0" applyAlignment="1" applyBorder="1" applyFont="1" applyNumberFormat="1">
      <alignment horizontal="left" readingOrder="0" shrinkToFit="0" textRotation="0" vertical="center" wrapText="0"/>
    </xf>
    <xf borderId="0" fillId="2" fontId="1" numFmtId="0" xfId="0" applyAlignment="1" applyFont="1">
      <alignment horizontal="left" readingOrder="0" shrinkToFit="0" textRotation="0" vertical="center" wrapText="0"/>
    </xf>
    <xf borderId="0" fillId="2" fontId="1" numFmtId="164" xfId="0" applyAlignment="1" applyFont="1" applyNumberFormat="1">
      <alignment horizontal="left" readingOrder="0" shrinkToFit="0" textRotation="0" vertical="center" wrapText="0"/>
    </xf>
    <xf borderId="0" fillId="2" fontId="1" numFmtId="1" xfId="0" applyAlignment="1" applyFont="1" applyNumberFormat="1">
      <alignment horizontal="left" readingOrder="0" shrinkToFit="0" textRotation="0" vertical="center" wrapText="0"/>
    </xf>
    <xf borderId="0" fillId="2" fontId="1" numFmtId="49" xfId="0" applyAlignment="1" applyFont="1" applyNumberFormat="1">
      <alignment horizontal="left" readingOrder="0" shrinkToFit="0" textRotation="0" vertical="center" wrapText="0"/>
    </xf>
    <xf borderId="0" fillId="2" fontId="1" numFmtId="0" xfId="0" applyAlignment="1" applyFont="1">
      <alignment horizontal="left" readingOrder="0" shrinkToFit="0" textRotation="0" vertical="center" wrapText="0"/>
    </xf>
    <xf borderId="0" fillId="3" fontId="2" numFmtId="0" xfId="0" applyAlignment="1" applyFill="1" applyFont="1">
      <alignment horizontal="left" readingOrder="0" shrinkToFit="0" vertical="center" wrapText="0"/>
    </xf>
    <xf borderId="0" fillId="3" fontId="2" numFmtId="164" xfId="0" applyAlignment="1" applyFont="1" applyNumberFormat="1">
      <alignment horizontal="left" readingOrder="0" shrinkToFit="0" vertical="center" wrapText="0"/>
    </xf>
    <xf borderId="0" fillId="3" fontId="2" numFmtId="1" xfId="0" applyAlignment="1" applyFont="1" applyNumberFormat="1">
      <alignment horizontal="left" readingOrder="0" shrinkToFit="0" vertical="center" wrapText="0"/>
    </xf>
    <xf borderId="0" fillId="3" fontId="2" numFmtId="49" xfId="0" applyAlignment="1" applyFont="1" applyNumberFormat="1">
      <alignment horizontal="left" readingOrder="0" shrinkToFit="0" vertical="center" wrapText="0"/>
    </xf>
    <xf borderId="0" fillId="4" fontId="2" numFmtId="0" xfId="0" applyAlignment="1" applyFill="1" applyFont="1">
      <alignment horizontal="left" readingOrder="0" shrinkToFit="0" vertical="center" wrapText="0"/>
    </xf>
    <xf borderId="0" fillId="0" fontId="3" numFmtId="0" xfId="0" applyAlignment="1" applyFont="1">
      <alignment horizontal="left"/>
    </xf>
    <xf borderId="0" fillId="0" fontId="4" numFmtId="0" xfId="0" applyAlignment="1" applyFont="1">
      <alignment horizontal="left" readingOrder="0"/>
    </xf>
    <xf borderId="0" fillId="0" fontId="4" numFmtId="164" xfId="0" applyAlignment="1" applyFont="1" applyNumberFormat="1">
      <alignment horizontal="left" readingOrder="0"/>
    </xf>
    <xf borderId="0" fillId="0" fontId="4" numFmtId="165" xfId="0" applyAlignment="1" applyFont="1" applyNumberFormat="1">
      <alignment horizontal="left" readingOrder="0"/>
    </xf>
    <xf borderId="0" fillId="0" fontId="4" numFmtId="0" xfId="0" applyAlignment="1" applyFont="1">
      <alignment horizontal="left"/>
    </xf>
    <xf borderId="0" fillId="0" fontId="5" numFmtId="0" xfId="0" applyAlignment="1" applyFont="1">
      <alignment horizontal="left" readingOrder="0"/>
    </xf>
    <xf borderId="0" fillId="0" fontId="4" numFmtId="1" xfId="0" applyAlignment="1" applyFont="1" applyNumberFormat="1">
      <alignment horizontal="left" readingOrder="0"/>
    </xf>
    <xf borderId="0" fillId="0" fontId="4" numFmtId="49" xfId="0" applyAlignment="1" applyFont="1" applyNumberFormat="1">
      <alignment horizontal="left" readingOrder="0"/>
    </xf>
    <xf borderId="0" fillId="0" fontId="4" numFmtId="49" xfId="0" applyAlignment="1" applyFont="1" applyNumberFormat="1">
      <alignment horizontal="left"/>
    </xf>
    <xf borderId="0" fillId="0" fontId="4" numFmtId="164" xfId="0" applyAlignment="1" applyFont="1" applyNumberFormat="1">
      <alignment horizontal="left"/>
    </xf>
    <xf borderId="0" fillId="0" fontId="6" numFmtId="0" xfId="0" applyAlignment="1" applyFont="1">
      <alignment horizontal="left"/>
    </xf>
    <xf borderId="0" fillId="0" fontId="4" numFmtId="0" xfId="0" applyAlignment="1" applyFont="1">
      <alignment horizontal="left"/>
    </xf>
    <xf borderId="0" fillId="0" fontId="4" numFmtId="166" xfId="0" applyAlignment="1" applyFont="1" applyNumberFormat="1">
      <alignment horizontal="left"/>
    </xf>
    <xf borderId="0" fillId="0" fontId="4" numFmtId="1" xfId="0" applyAlignment="1" applyFont="1" applyNumberFormat="1">
      <alignment horizontal="left"/>
    </xf>
    <xf borderId="1" fillId="2" fontId="1" numFmtId="0" xfId="0" applyAlignment="1" applyBorder="1" applyFont="1">
      <alignment horizontal="left" readingOrder="0" vertical="center"/>
    </xf>
    <xf borderId="1" fillId="2" fontId="1" numFmtId="0" xfId="0" applyAlignment="1" applyBorder="1" applyFont="1">
      <alignment horizontal="left" vertical="center"/>
    </xf>
    <xf borderId="0" fillId="2" fontId="1" numFmtId="0" xfId="0" applyAlignment="1" applyFont="1">
      <alignment horizontal="left" vertical="center"/>
    </xf>
    <xf borderId="0" fillId="3" fontId="2" numFmtId="0" xfId="0" applyAlignment="1" applyFont="1">
      <alignment horizontal="left" readingOrder="0" vertical="center"/>
    </xf>
    <xf borderId="0" fillId="4" fontId="2" numFmtId="0" xfId="0" applyAlignment="1" applyFont="1">
      <alignment horizontal="left" readingOrder="0" vertical="center"/>
    </xf>
    <xf borderId="0" fillId="0" fontId="4" numFmtId="167" xfId="0" applyAlignment="1" applyFont="1" applyNumberFormat="1">
      <alignment horizontal="left" readingOrder="0"/>
    </xf>
    <xf borderId="1" fillId="2" fontId="1" numFmtId="0" xfId="0" applyAlignment="1" applyBorder="1" applyFont="1">
      <alignment horizontal="left" readingOrder="0" shrinkToFit="0" vertical="center" wrapText="0"/>
    </xf>
    <xf borderId="0" fillId="0" fontId="4" numFmtId="0" xfId="0" applyAlignment="1" applyFont="1">
      <alignment horizontal="left" readingOrder="0"/>
    </xf>
    <xf borderId="0" fillId="0" fontId="4" numFmtId="168" xfId="0" applyAlignment="1" applyFont="1" applyNumberFormat="1">
      <alignment horizontal="left" readingOrder="0"/>
    </xf>
    <xf borderId="0" fillId="0" fontId="4" numFmtId="169" xfId="0" applyAlignment="1" applyFont="1" applyNumberFormat="1">
      <alignment horizontal="left" readingOrder="0"/>
    </xf>
  </cellXfs>
  <cellStyles count="1">
    <cellStyle xfId="0" name="Normal" builtinId="0"/>
  </cellStyles>
  <dxfs count="1">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16.pn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3.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1.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2.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800100</xdr:colOff>
      <xdr:row>0</xdr:row>
      <xdr:rowOff>114300</xdr:rowOff>
    </xdr:from>
    <xdr:ext cx="1590675" cy="190500"/>
    <xdr:pic>
      <xdr:nvPicPr>
        <xdr:cNvPr id="0" name="image4.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6.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7.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5.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8.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9.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10.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11.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12.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16.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14.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13.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15.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mapal-os.com" TargetMode="External"/><Relationship Id="rId194" Type="http://schemas.openxmlformats.org/officeDocument/2006/relationships/hyperlink" Target="http://geotab.com" TargetMode="External"/><Relationship Id="rId193" Type="http://schemas.openxmlformats.org/officeDocument/2006/relationships/hyperlink" Target="http://moengage.com" TargetMode="External"/><Relationship Id="rId192" Type="http://schemas.openxmlformats.org/officeDocument/2006/relationships/hyperlink" Target="http://sprinto.com" TargetMode="External"/><Relationship Id="rId191" Type="http://schemas.openxmlformats.org/officeDocument/2006/relationships/hyperlink" Target="http://sysaid.com" TargetMode="External"/><Relationship Id="rId187" Type="http://schemas.openxmlformats.org/officeDocument/2006/relationships/hyperlink" Target="http://iu.edu" TargetMode="External"/><Relationship Id="rId186" Type="http://schemas.openxmlformats.org/officeDocument/2006/relationships/hyperlink" Target="http://collectivehealth.com" TargetMode="External"/><Relationship Id="rId185" Type="http://schemas.openxmlformats.org/officeDocument/2006/relationships/hyperlink" Target="http://ccanter.com" TargetMode="External"/><Relationship Id="rId184" Type="http://schemas.openxmlformats.org/officeDocument/2006/relationships/hyperlink" Target="http://snipp.com" TargetMode="External"/><Relationship Id="rId189" Type="http://schemas.openxmlformats.org/officeDocument/2006/relationships/hyperlink" Target="http://floqast.com" TargetMode="External"/><Relationship Id="rId188" Type="http://schemas.openxmlformats.org/officeDocument/2006/relationships/hyperlink" Target="http://usd.edu" TargetMode="External"/><Relationship Id="rId183" Type="http://schemas.openxmlformats.org/officeDocument/2006/relationships/hyperlink" Target="http://candidpro.com" TargetMode="External"/><Relationship Id="rId182" Type="http://schemas.openxmlformats.org/officeDocument/2006/relationships/hyperlink" Target="http://truecaller.com" TargetMode="External"/><Relationship Id="rId181" Type="http://schemas.openxmlformats.org/officeDocument/2006/relationships/hyperlink" Target="http://prosperr.io" TargetMode="External"/><Relationship Id="rId180" Type="http://schemas.openxmlformats.org/officeDocument/2006/relationships/hyperlink" Target="http://justworks.com" TargetMode="External"/><Relationship Id="rId176" Type="http://schemas.openxmlformats.org/officeDocument/2006/relationships/hyperlink" Target="http://isidefense.com" TargetMode="External"/><Relationship Id="rId175" Type="http://schemas.openxmlformats.org/officeDocument/2006/relationships/hyperlink" Target="http://gatekeeperhq.com" TargetMode="External"/><Relationship Id="rId174" Type="http://schemas.openxmlformats.org/officeDocument/2006/relationships/hyperlink" Target="http://paddle.com" TargetMode="External"/><Relationship Id="rId173" Type="http://schemas.openxmlformats.org/officeDocument/2006/relationships/hyperlink" Target="http://accelevents.com" TargetMode="External"/><Relationship Id="rId179" Type="http://schemas.openxmlformats.org/officeDocument/2006/relationships/hyperlink" Target="http://officespacesoftware.com" TargetMode="External"/><Relationship Id="rId178" Type="http://schemas.openxmlformats.org/officeDocument/2006/relationships/hyperlink" Target="http://clear.in" TargetMode="External"/><Relationship Id="rId177" Type="http://schemas.openxmlformats.org/officeDocument/2006/relationships/hyperlink" Target="http://amazon.com" TargetMode="External"/><Relationship Id="rId198" Type="http://schemas.openxmlformats.org/officeDocument/2006/relationships/hyperlink" Target="http://elantis.com" TargetMode="External"/><Relationship Id="rId197" Type="http://schemas.openxmlformats.org/officeDocument/2006/relationships/hyperlink" Target="http://veragov.com" TargetMode="External"/><Relationship Id="rId196" Type="http://schemas.openxmlformats.org/officeDocument/2006/relationships/hyperlink" Target="http://bcg.com" TargetMode="External"/><Relationship Id="rId195" Type="http://schemas.openxmlformats.org/officeDocument/2006/relationships/hyperlink" Target="http://hubspot.com" TargetMode="External"/><Relationship Id="rId199" Type="http://schemas.openxmlformats.org/officeDocument/2006/relationships/hyperlink" Target="http://activeprospect.com" TargetMode="External"/><Relationship Id="rId150" Type="http://schemas.openxmlformats.org/officeDocument/2006/relationships/hyperlink" Target="http://kastle.com" TargetMode="External"/><Relationship Id="rId392" Type="http://schemas.openxmlformats.org/officeDocument/2006/relationships/hyperlink" Target="http://sundaysky.com" TargetMode="External"/><Relationship Id="rId391" Type="http://schemas.openxmlformats.org/officeDocument/2006/relationships/hyperlink" Target="http://writer.com" TargetMode="External"/><Relationship Id="rId390" Type="http://schemas.openxmlformats.org/officeDocument/2006/relationships/hyperlink" Target="http://mparticle.com" TargetMode="External"/><Relationship Id="rId1" Type="http://schemas.openxmlformats.org/officeDocument/2006/relationships/comments" Target="../comments1.xml"/><Relationship Id="rId2" Type="http://schemas.openxmlformats.org/officeDocument/2006/relationships/hyperlink" Target="http://reachdesk.com" TargetMode="External"/><Relationship Id="rId3" Type="http://schemas.openxmlformats.org/officeDocument/2006/relationships/hyperlink" Target="http://wpengine.com" TargetMode="External"/><Relationship Id="rId149" Type="http://schemas.openxmlformats.org/officeDocument/2006/relationships/hyperlink" Target="http://shipsy.io" TargetMode="External"/><Relationship Id="rId4" Type="http://schemas.openxmlformats.org/officeDocument/2006/relationships/hyperlink" Target="http://interface.ai" TargetMode="External"/><Relationship Id="rId148" Type="http://schemas.openxmlformats.org/officeDocument/2006/relationships/hyperlink" Target="http://softsellr.com" TargetMode="External"/><Relationship Id="rId9" Type="http://schemas.openxmlformats.org/officeDocument/2006/relationships/hyperlink" Target="http://carpedia.co.za" TargetMode="External"/><Relationship Id="rId143" Type="http://schemas.openxmlformats.org/officeDocument/2006/relationships/hyperlink" Target="http://you.com" TargetMode="External"/><Relationship Id="rId385" Type="http://schemas.openxmlformats.org/officeDocument/2006/relationships/hyperlink" Target="http://zscaler.com" TargetMode="External"/><Relationship Id="rId142" Type="http://schemas.openxmlformats.org/officeDocument/2006/relationships/hyperlink" Target="http://sos-nv.com" TargetMode="External"/><Relationship Id="rId384" Type="http://schemas.openxmlformats.org/officeDocument/2006/relationships/hyperlink" Target="http://notablehealth.com" TargetMode="External"/><Relationship Id="rId141" Type="http://schemas.openxmlformats.org/officeDocument/2006/relationships/hyperlink" Target="http://kissflow.com" TargetMode="External"/><Relationship Id="rId383" Type="http://schemas.openxmlformats.org/officeDocument/2006/relationships/hyperlink" Target="http://xmcyber.com" TargetMode="External"/><Relationship Id="rId140" Type="http://schemas.openxmlformats.org/officeDocument/2006/relationships/hyperlink" Target="http://infogain.com" TargetMode="External"/><Relationship Id="rId382" Type="http://schemas.openxmlformats.org/officeDocument/2006/relationships/hyperlink" Target="http://mirakl.com" TargetMode="External"/><Relationship Id="rId5" Type="http://schemas.openxmlformats.org/officeDocument/2006/relationships/hyperlink" Target="http://interface.ai" TargetMode="External"/><Relationship Id="rId147" Type="http://schemas.openxmlformats.org/officeDocument/2006/relationships/hyperlink" Target="http://empathy.com" TargetMode="External"/><Relationship Id="rId389" Type="http://schemas.openxmlformats.org/officeDocument/2006/relationships/hyperlink" Target="http://alchemer.com" TargetMode="External"/><Relationship Id="rId6" Type="http://schemas.openxmlformats.org/officeDocument/2006/relationships/hyperlink" Target="http://sirion.ai" TargetMode="External"/><Relationship Id="rId146" Type="http://schemas.openxmlformats.org/officeDocument/2006/relationships/hyperlink" Target="http://clayton.k12.ga.us" TargetMode="External"/><Relationship Id="rId388" Type="http://schemas.openxmlformats.org/officeDocument/2006/relationships/hyperlink" Target="http://everestgrp.com" TargetMode="External"/><Relationship Id="rId7" Type="http://schemas.openxmlformats.org/officeDocument/2006/relationships/hyperlink" Target="http://theassemble.com" TargetMode="External"/><Relationship Id="rId145" Type="http://schemas.openxmlformats.org/officeDocument/2006/relationships/hyperlink" Target="http://phonepe.com" TargetMode="External"/><Relationship Id="rId387" Type="http://schemas.openxmlformats.org/officeDocument/2006/relationships/hyperlink" Target="http://neuron7.ai" TargetMode="External"/><Relationship Id="rId8" Type="http://schemas.openxmlformats.org/officeDocument/2006/relationships/hyperlink" Target="http://litera.com" TargetMode="External"/><Relationship Id="rId144" Type="http://schemas.openxmlformats.org/officeDocument/2006/relationships/hyperlink" Target="http://you.com" TargetMode="External"/><Relationship Id="rId386" Type="http://schemas.openxmlformats.org/officeDocument/2006/relationships/hyperlink" Target="http://neuron7.ai" TargetMode="External"/><Relationship Id="rId381" Type="http://schemas.openxmlformats.org/officeDocument/2006/relationships/hyperlink" Target="http://keelvar.com" TargetMode="External"/><Relationship Id="rId380" Type="http://schemas.openxmlformats.org/officeDocument/2006/relationships/hyperlink" Target="http://openlane.com" TargetMode="External"/><Relationship Id="rId139" Type="http://schemas.openxmlformats.org/officeDocument/2006/relationships/hyperlink" Target="http://glossgenius.com" TargetMode="External"/><Relationship Id="rId138" Type="http://schemas.openxmlformats.org/officeDocument/2006/relationships/hyperlink" Target="http://atomchat.io" TargetMode="External"/><Relationship Id="rId137" Type="http://schemas.openxmlformats.org/officeDocument/2006/relationships/hyperlink" Target="http://centrical.com" TargetMode="External"/><Relationship Id="rId379" Type="http://schemas.openxmlformats.org/officeDocument/2006/relationships/hyperlink" Target="http://magmamath.com" TargetMode="External"/><Relationship Id="rId132" Type="http://schemas.openxmlformats.org/officeDocument/2006/relationships/hyperlink" Target="http://hasura.io" TargetMode="External"/><Relationship Id="rId374" Type="http://schemas.openxmlformats.org/officeDocument/2006/relationships/hyperlink" Target="http://transcend.io" TargetMode="External"/><Relationship Id="rId131" Type="http://schemas.openxmlformats.org/officeDocument/2006/relationships/hyperlink" Target="http://waisldigital.com" TargetMode="External"/><Relationship Id="rId373" Type="http://schemas.openxmlformats.org/officeDocument/2006/relationships/hyperlink" Target="http://hrsoft.com" TargetMode="External"/><Relationship Id="rId130" Type="http://schemas.openxmlformats.org/officeDocument/2006/relationships/hyperlink" Target="http://atomicwork.com" TargetMode="External"/><Relationship Id="rId372" Type="http://schemas.openxmlformats.org/officeDocument/2006/relationships/hyperlink" Target="http://jellyfish.co" TargetMode="External"/><Relationship Id="rId371" Type="http://schemas.openxmlformats.org/officeDocument/2006/relationships/hyperlink" Target="http://unstoppable.do" TargetMode="External"/><Relationship Id="rId136" Type="http://schemas.openxmlformats.org/officeDocument/2006/relationships/hyperlink" Target="http://act-on.com" TargetMode="External"/><Relationship Id="rId378" Type="http://schemas.openxmlformats.org/officeDocument/2006/relationships/hyperlink" Target="http://ceros.com" TargetMode="External"/><Relationship Id="rId135" Type="http://schemas.openxmlformats.org/officeDocument/2006/relationships/hyperlink" Target="http://walkme.com" TargetMode="External"/><Relationship Id="rId377" Type="http://schemas.openxmlformats.org/officeDocument/2006/relationships/hyperlink" Target="http://fenixparts.com" TargetMode="External"/><Relationship Id="rId134" Type="http://schemas.openxmlformats.org/officeDocument/2006/relationships/hyperlink" Target="http://easywebinar.com" TargetMode="External"/><Relationship Id="rId376" Type="http://schemas.openxmlformats.org/officeDocument/2006/relationships/hyperlink" Target="http://betterment.com" TargetMode="External"/><Relationship Id="rId133" Type="http://schemas.openxmlformats.org/officeDocument/2006/relationships/hyperlink" Target="http://sproutsocial.com" TargetMode="External"/><Relationship Id="rId375" Type="http://schemas.openxmlformats.org/officeDocument/2006/relationships/hyperlink" Target="http://gokwik.co" TargetMode="External"/><Relationship Id="rId172" Type="http://schemas.openxmlformats.org/officeDocument/2006/relationships/hyperlink" Target="http://temporal.io" TargetMode="External"/><Relationship Id="rId171" Type="http://schemas.openxmlformats.org/officeDocument/2006/relationships/hyperlink" Target="http://filevine.com" TargetMode="External"/><Relationship Id="rId170" Type="http://schemas.openxmlformats.org/officeDocument/2006/relationships/hyperlink" Target="http://oreilly.com" TargetMode="External"/><Relationship Id="rId165" Type="http://schemas.openxmlformats.org/officeDocument/2006/relationships/hyperlink" Target="http://scale.com" TargetMode="External"/><Relationship Id="rId164" Type="http://schemas.openxmlformats.org/officeDocument/2006/relationships/hyperlink" Target="http://imparta.com" TargetMode="External"/><Relationship Id="rId163" Type="http://schemas.openxmlformats.org/officeDocument/2006/relationships/hyperlink" Target="http://mommysimaginationstation.org" TargetMode="External"/><Relationship Id="rId162" Type="http://schemas.openxmlformats.org/officeDocument/2006/relationships/hyperlink" Target="http://conga.com" TargetMode="External"/><Relationship Id="rId169" Type="http://schemas.openxmlformats.org/officeDocument/2006/relationships/hyperlink" Target="http://aaamt.in" TargetMode="External"/><Relationship Id="rId168" Type="http://schemas.openxmlformats.org/officeDocument/2006/relationships/hyperlink" Target="http://credohealth.com" TargetMode="External"/><Relationship Id="rId167" Type="http://schemas.openxmlformats.org/officeDocument/2006/relationships/hyperlink" Target="http://metpg.com" TargetMode="External"/><Relationship Id="rId166" Type="http://schemas.openxmlformats.org/officeDocument/2006/relationships/hyperlink" Target="http://webcastle.in" TargetMode="External"/><Relationship Id="rId161" Type="http://schemas.openxmlformats.org/officeDocument/2006/relationships/hyperlink" Target="http://meltwater.com" TargetMode="External"/><Relationship Id="rId160" Type="http://schemas.openxmlformats.org/officeDocument/2006/relationships/hyperlink" Target="http://strategycorps.com" TargetMode="External"/><Relationship Id="rId159" Type="http://schemas.openxmlformats.org/officeDocument/2006/relationships/hyperlink" Target="http://teamfront.com" TargetMode="External"/><Relationship Id="rId154" Type="http://schemas.openxmlformats.org/officeDocument/2006/relationships/hyperlink" Target="http://deel.com" TargetMode="External"/><Relationship Id="rId396" Type="http://schemas.openxmlformats.org/officeDocument/2006/relationships/hyperlink" Target="http://capillarytech.com" TargetMode="External"/><Relationship Id="rId153" Type="http://schemas.openxmlformats.org/officeDocument/2006/relationships/hyperlink" Target="http://billd.com" TargetMode="External"/><Relationship Id="rId395" Type="http://schemas.openxmlformats.org/officeDocument/2006/relationships/hyperlink" Target="http://smokeball.com" TargetMode="External"/><Relationship Id="rId152" Type="http://schemas.openxmlformats.org/officeDocument/2006/relationships/hyperlink" Target="http://dexian.com" TargetMode="External"/><Relationship Id="rId394" Type="http://schemas.openxmlformats.org/officeDocument/2006/relationships/hyperlink" Target="http://recastsoftware.com" TargetMode="External"/><Relationship Id="rId151" Type="http://schemas.openxmlformats.org/officeDocument/2006/relationships/hyperlink" Target="http://emersonrogers.com" TargetMode="External"/><Relationship Id="rId393" Type="http://schemas.openxmlformats.org/officeDocument/2006/relationships/hyperlink" Target="http://liveramp.com" TargetMode="External"/><Relationship Id="rId158" Type="http://schemas.openxmlformats.org/officeDocument/2006/relationships/hyperlink" Target="http://simpligov.com" TargetMode="External"/><Relationship Id="rId157" Type="http://schemas.openxmlformats.org/officeDocument/2006/relationships/hyperlink" Target="http://tcpsoftware.com" TargetMode="External"/><Relationship Id="rId399" Type="http://schemas.openxmlformats.org/officeDocument/2006/relationships/hyperlink" Target="http://cleargov.com" TargetMode="External"/><Relationship Id="rId156" Type="http://schemas.openxmlformats.org/officeDocument/2006/relationships/hyperlink" Target="http://cloudkitchens.com" TargetMode="External"/><Relationship Id="rId398" Type="http://schemas.openxmlformats.org/officeDocument/2006/relationships/hyperlink" Target="http://vectra.ai" TargetMode="External"/><Relationship Id="rId155" Type="http://schemas.openxmlformats.org/officeDocument/2006/relationships/hyperlink" Target="http://angelaligner.com" TargetMode="External"/><Relationship Id="rId397" Type="http://schemas.openxmlformats.org/officeDocument/2006/relationships/hyperlink" Target="http://torq.io" TargetMode="External"/><Relationship Id="rId808" Type="http://schemas.openxmlformats.org/officeDocument/2006/relationships/hyperlink" Target="http://gupshup.io" TargetMode="External"/><Relationship Id="rId807" Type="http://schemas.openxmlformats.org/officeDocument/2006/relationships/hyperlink" Target="http://beyondtrust.com" TargetMode="External"/><Relationship Id="rId806" Type="http://schemas.openxmlformats.org/officeDocument/2006/relationships/hyperlink" Target="http://iterable.com" TargetMode="External"/><Relationship Id="rId805" Type="http://schemas.openxmlformats.org/officeDocument/2006/relationships/hyperlink" Target="http://vymo.com" TargetMode="External"/><Relationship Id="rId809" Type="http://schemas.openxmlformats.org/officeDocument/2006/relationships/hyperlink" Target="http://careacademy.com" TargetMode="External"/><Relationship Id="rId800" Type="http://schemas.openxmlformats.org/officeDocument/2006/relationships/hyperlink" Target="http://haptik.ai" TargetMode="External"/><Relationship Id="rId804" Type="http://schemas.openxmlformats.org/officeDocument/2006/relationships/hyperlink" Target="http://verint.com" TargetMode="External"/><Relationship Id="rId803" Type="http://schemas.openxmlformats.org/officeDocument/2006/relationships/hyperlink" Target="http://toddleapp.com" TargetMode="External"/><Relationship Id="rId802" Type="http://schemas.openxmlformats.org/officeDocument/2006/relationships/hyperlink" Target="http://leegality.com" TargetMode="External"/><Relationship Id="rId801" Type="http://schemas.openxmlformats.org/officeDocument/2006/relationships/hyperlink" Target="http://recordedfuture.com" TargetMode="External"/><Relationship Id="rId40" Type="http://schemas.openxmlformats.org/officeDocument/2006/relationships/hyperlink" Target="http://naukri.com" TargetMode="External"/><Relationship Id="rId42" Type="http://schemas.openxmlformats.org/officeDocument/2006/relationships/hyperlink" Target="http://keelvar.com" TargetMode="External"/><Relationship Id="rId41" Type="http://schemas.openxmlformats.org/officeDocument/2006/relationships/hyperlink" Target="http://naukri.com" TargetMode="External"/><Relationship Id="rId44" Type="http://schemas.openxmlformats.org/officeDocument/2006/relationships/hyperlink" Target="http://quavo.com" TargetMode="External"/><Relationship Id="rId43" Type="http://schemas.openxmlformats.org/officeDocument/2006/relationships/hyperlink" Target="http://peoplestrong.com" TargetMode="External"/><Relationship Id="rId46" Type="http://schemas.openxmlformats.org/officeDocument/2006/relationships/hyperlink" Target="http://trmlabs.com" TargetMode="External"/><Relationship Id="rId45" Type="http://schemas.openxmlformats.org/officeDocument/2006/relationships/hyperlink" Target="http://mobato.com.br" TargetMode="External"/><Relationship Id="rId509" Type="http://schemas.openxmlformats.org/officeDocument/2006/relationships/hyperlink" Target="http://vts.com" TargetMode="External"/><Relationship Id="rId508" Type="http://schemas.openxmlformats.org/officeDocument/2006/relationships/hyperlink" Target="http://everbridge.com" TargetMode="External"/><Relationship Id="rId503" Type="http://schemas.openxmlformats.org/officeDocument/2006/relationships/hyperlink" Target="http://jolt.com" TargetMode="External"/><Relationship Id="rId745" Type="http://schemas.openxmlformats.org/officeDocument/2006/relationships/hyperlink" Target="http://salesmanago.com" TargetMode="External"/><Relationship Id="rId987" Type="http://schemas.openxmlformats.org/officeDocument/2006/relationships/hyperlink" Target="http://lattice.com" TargetMode="External"/><Relationship Id="rId502" Type="http://schemas.openxmlformats.org/officeDocument/2006/relationships/hyperlink" Target="http://podium.com" TargetMode="External"/><Relationship Id="rId744" Type="http://schemas.openxmlformats.org/officeDocument/2006/relationships/hyperlink" Target="http://deliverect.com" TargetMode="External"/><Relationship Id="rId986" Type="http://schemas.openxmlformats.org/officeDocument/2006/relationships/hyperlink" Target="http://eptura.com" TargetMode="External"/><Relationship Id="rId501" Type="http://schemas.openxmlformats.org/officeDocument/2006/relationships/hyperlink" Target="http://adaptavist.com" TargetMode="External"/><Relationship Id="rId743" Type="http://schemas.openxmlformats.org/officeDocument/2006/relationships/hyperlink" Target="http://netspi.com" TargetMode="External"/><Relationship Id="rId985" Type="http://schemas.openxmlformats.org/officeDocument/2006/relationships/hyperlink" Target="http://simscale.com" TargetMode="External"/><Relationship Id="rId500" Type="http://schemas.openxmlformats.org/officeDocument/2006/relationships/hyperlink" Target="http://redcloudtechnology.com" TargetMode="External"/><Relationship Id="rId742" Type="http://schemas.openxmlformats.org/officeDocument/2006/relationships/hyperlink" Target="http://capillarytech.com" TargetMode="External"/><Relationship Id="rId984" Type="http://schemas.openxmlformats.org/officeDocument/2006/relationships/hyperlink" Target="http://globalshares.com" TargetMode="External"/><Relationship Id="rId507" Type="http://schemas.openxmlformats.org/officeDocument/2006/relationships/hyperlink" Target="http://1beat.com" TargetMode="External"/><Relationship Id="rId749" Type="http://schemas.openxmlformats.org/officeDocument/2006/relationships/hyperlink" Target="http://anyscale.com" TargetMode="External"/><Relationship Id="rId506" Type="http://schemas.openxmlformats.org/officeDocument/2006/relationships/hyperlink" Target="http://openspace.ai" TargetMode="External"/><Relationship Id="rId748" Type="http://schemas.openxmlformats.org/officeDocument/2006/relationships/hyperlink" Target="http://provisiopartners.com" TargetMode="External"/><Relationship Id="rId505" Type="http://schemas.openxmlformats.org/officeDocument/2006/relationships/hyperlink" Target="http://sisense.com" TargetMode="External"/><Relationship Id="rId747" Type="http://schemas.openxmlformats.org/officeDocument/2006/relationships/hyperlink" Target="http://wonderschool.com" TargetMode="External"/><Relationship Id="rId989" Type="http://schemas.openxmlformats.org/officeDocument/2006/relationships/hyperlink" Target="http://placer.ai" TargetMode="External"/><Relationship Id="rId504" Type="http://schemas.openxmlformats.org/officeDocument/2006/relationships/hyperlink" Target="http://suse.com" TargetMode="External"/><Relationship Id="rId746" Type="http://schemas.openxmlformats.org/officeDocument/2006/relationships/hyperlink" Target="http://dataiku.com" TargetMode="External"/><Relationship Id="rId988" Type="http://schemas.openxmlformats.org/officeDocument/2006/relationships/hyperlink" Target="http://servicechannel.com" TargetMode="External"/><Relationship Id="rId48" Type="http://schemas.openxmlformats.org/officeDocument/2006/relationships/hyperlink" Target="http://every.io" TargetMode="External"/><Relationship Id="rId47" Type="http://schemas.openxmlformats.org/officeDocument/2006/relationships/hyperlink" Target="http://tqasolutions.com" TargetMode="External"/><Relationship Id="rId49" Type="http://schemas.openxmlformats.org/officeDocument/2006/relationships/hyperlink" Target="http://dndaisolutions.com" TargetMode="External"/><Relationship Id="rId741" Type="http://schemas.openxmlformats.org/officeDocument/2006/relationships/hyperlink" Target="http://fevtutor.com" TargetMode="External"/><Relationship Id="rId983" Type="http://schemas.openxmlformats.org/officeDocument/2006/relationships/hyperlink" Target="http://leadfeeder.com" TargetMode="External"/><Relationship Id="rId740" Type="http://schemas.openxmlformats.org/officeDocument/2006/relationships/hyperlink" Target="http://lob.com" TargetMode="External"/><Relationship Id="rId982" Type="http://schemas.openxmlformats.org/officeDocument/2006/relationships/hyperlink" Target="http://ozonetel.com" TargetMode="External"/><Relationship Id="rId981" Type="http://schemas.openxmlformats.org/officeDocument/2006/relationships/hyperlink" Target="http://thoughtexchange.com" TargetMode="External"/><Relationship Id="rId980" Type="http://schemas.openxmlformats.org/officeDocument/2006/relationships/hyperlink" Target="http://revenue.io" TargetMode="External"/><Relationship Id="rId31" Type="http://schemas.openxmlformats.org/officeDocument/2006/relationships/hyperlink" Target="http://netcorecloud.com" TargetMode="External"/><Relationship Id="rId30" Type="http://schemas.openxmlformats.org/officeDocument/2006/relationships/hyperlink" Target="http://bluehost.com" TargetMode="External"/><Relationship Id="rId33" Type="http://schemas.openxmlformats.org/officeDocument/2006/relationships/hyperlink" Target="http://ukg.com" TargetMode="External"/><Relationship Id="rId32" Type="http://schemas.openxmlformats.org/officeDocument/2006/relationships/hyperlink" Target="http://fello.ai" TargetMode="External"/><Relationship Id="rId35" Type="http://schemas.openxmlformats.org/officeDocument/2006/relationships/hyperlink" Target="http://engine.com" TargetMode="External"/><Relationship Id="rId34" Type="http://schemas.openxmlformats.org/officeDocument/2006/relationships/hyperlink" Target="http://traliant.com" TargetMode="External"/><Relationship Id="rId739" Type="http://schemas.openxmlformats.org/officeDocument/2006/relationships/hyperlink" Target="http://scrut.io" TargetMode="External"/><Relationship Id="rId734" Type="http://schemas.openxmlformats.org/officeDocument/2006/relationships/hyperlink" Target="http://forwardnetworks.com" TargetMode="External"/><Relationship Id="rId976" Type="http://schemas.openxmlformats.org/officeDocument/2006/relationships/hyperlink" Target="http://workbravely.com" TargetMode="External"/><Relationship Id="rId733" Type="http://schemas.openxmlformats.org/officeDocument/2006/relationships/hyperlink" Target="http://flywire.com" TargetMode="External"/><Relationship Id="rId975" Type="http://schemas.openxmlformats.org/officeDocument/2006/relationships/hyperlink" Target="http://pandadoc.com" TargetMode="External"/><Relationship Id="rId732" Type="http://schemas.openxmlformats.org/officeDocument/2006/relationships/hyperlink" Target="http://aprimo.com" TargetMode="External"/><Relationship Id="rId974" Type="http://schemas.openxmlformats.org/officeDocument/2006/relationships/hyperlink" Target="http://livestorm.co" TargetMode="External"/><Relationship Id="rId731" Type="http://schemas.openxmlformats.org/officeDocument/2006/relationships/hyperlink" Target="http://siteimprove.com" TargetMode="External"/><Relationship Id="rId973" Type="http://schemas.openxmlformats.org/officeDocument/2006/relationships/hyperlink" Target="http://proquoai.com" TargetMode="External"/><Relationship Id="rId738" Type="http://schemas.openxmlformats.org/officeDocument/2006/relationships/hyperlink" Target="http://talroo.com" TargetMode="External"/><Relationship Id="rId737" Type="http://schemas.openxmlformats.org/officeDocument/2006/relationships/hyperlink" Target="http://bandwidth.com" TargetMode="External"/><Relationship Id="rId979" Type="http://schemas.openxmlformats.org/officeDocument/2006/relationships/hyperlink" Target="http://revenue.io" TargetMode="External"/><Relationship Id="rId736" Type="http://schemas.openxmlformats.org/officeDocument/2006/relationships/hyperlink" Target="http://diligent.com" TargetMode="External"/><Relationship Id="rId978" Type="http://schemas.openxmlformats.org/officeDocument/2006/relationships/hyperlink" Target="http://clearbit.com" TargetMode="External"/><Relationship Id="rId735" Type="http://schemas.openxmlformats.org/officeDocument/2006/relationships/hyperlink" Target="http://nanonets.com" TargetMode="External"/><Relationship Id="rId977" Type="http://schemas.openxmlformats.org/officeDocument/2006/relationships/hyperlink" Target="http://challengerinc.com" TargetMode="External"/><Relationship Id="rId37" Type="http://schemas.openxmlformats.org/officeDocument/2006/relationships/hyperlink" Target="http://getcor.ai" TargetMode="External"/><Relationship Id="rId36" Type="http://schemas.openxmlformats.org/officeDocument/2006/relationships/hyperlink" Target="http://rategain.com" TargetMode="External"/><Relationship Id="rId39" Type="http://schemas.openxmlformats.org/officeDocument/2006/relationships/hyperlink" Target="http://cloudkitchens.com" TargetMode="External"/><Relationship Id="rId38" Type="http://schemas.openxmlformats.org/officeDocument/2006/relationships/hyperlink" Target="http://joindeleteme.com" TargetMode="External"/><Relationship Id="rId730" Type="http://schemas.openxmlformats.org/officeDocument/2006/relationships/hyperlink" Target="http://hginsights.com" TargetMode="External"/><Relationship Id="rId972" Type="http://schemas.openxmlformats.org/officeDocument/2006/relationships/hyperlink" Target="http://flow.io" TargetMode="External"/><Relationship Id="rId971" Type="http://schemas.openxmlformats.org/officeDocument/2006/relationships/hyperlink" Target="http://cloudinary.com" TargetMode="External"/><Relationship Id="rId970" Type="http://schemas.openxmlformats.org/officeDocument/2006/relationships/hyperlink" Target="http://onupkeep.com" TargetMode="External"/><Relationship Id="rId20" Type="http://schemas.openxmlformats.org/officeDocument/2006/relationships/hyperlink" Target="http://loopreturns.com" TargetMode="External"/><Relationship Id="rId22" Type="http://schemas.openxmlformats.org/officeDocument/2006/relationships/hyperlink" Target="http://statista.com" TargetMode="External"/><Relationship Id="rId21" Type="http://schemas.openxmlformats.org/officeDocument/2006/relationships/hyperlink" Target="http://keepit.com" TargetMode="External"/><Relationship Id="rId24" Type="http://schemas.openxmlformats.org/officeDocument/2006/relationships/hyperlink" Target="http://starguard.uk" TargetMode="External"/><Relationship Id="rId23" Type="http://schemas.openxmlformats.org/officeDocument/2006/relationships/hyperlink" Target="http://jeevaninfotech.com" TargetMode="External"/><Relationship Id="rId525" Type="http://schemas.openxmlformats.org/officeDocument/2006/relationships/hyperlink" Target="http://moengage.com" TargetMode="External"/><Relationship Id="rId767" Type="http://schemas.openxmlformats.org/officeDocument/2006/relationships/hyperlink" Target="http://qualtrics.com" TargetMode="External"/><Relationship Id="rId524" Type="http://schemas.openxmlformats.org/officeDocument/2006/relationships/hyperlink" Target="http://razorpay.com" TargetMode="External"/><Relationship Id="rId766" Type="http://schemas.openxmlformats.org/officeDocument/2006/relationships/hyperlink" Target="http://squareup.com" TargetMode="External"/><Relationship Id="rId523" Type="http://schemas.openxmlformats.org/officeDocument/2006/relationships/hyperlink" Target="http://phocassoftware.com" TargetMode="External"/><Relationship Id="rId765" Type="http://schemas.openxmlformats.org/officeDocument/2006/relationships/hyperlink" Target="http://peoplefluent.com" TargetMode="External"/><Relationship Id="rId522" Type="http://schemas.openxmlformats.org/officeDocument/2006/relationships/hyperlink" Target="http://urbanpiper.com" TargetMode="External"/><Relationship Id="rId764" Type="http://schemas.openxmlformats.org/officeDocument/2006/relationships/hyperlink" Target="http://zluri.com" TargetMode="External"/><Relationship Id="rId529" Type="http://schemas.openxmlformats.org/officeDocument/2006/relationships/hyperlink" Target="http://rocketlane.com" TargetMode="External"/><Relationship Id="rId528" Type="http://schemas.openxmlformats.org/officeDocument/2006/relationships/hyperlink" Target="http://movableink.com" TargetMode="External"/><Relationship Id="rId527" Type="http://schemas.openxmlformats.org/officeDocument/2006/relationships/hyperlink" Target="http://sessionai.com" TargetMode="External"/><Relationship Id="rId769" Type="http://schemas.openxmlformats.org/officeDocument/2006/relationships/hyperlink" Target="http://aetosimaging.com" TargetMode="External"/><Relationship Id="rId526" Type="http://schemas.openxmlformats.org/officeDocument/2006/relationships/hyperlink" Target="http://aurorasolar.com" TargetMode="External"/><Relationship Id="rId768" Type="http://schemas.openxmlformats.org/officeDocument/2006/relationships/hyperlink" Target="http://simetrik.com" TargetMode="External"/><Relationship Id="rId26" Type="http://schemas.openxmlformats.org/officeDocument/2006/relationships/hyperlink" Target="http://talkdesk.com" TargetMode="External"/><Relationship Id="rId25" Type="http://schemas.openxmlformats.org/officeDocument/2006/relationships/hyperlink" Target="http://blancco.com" TargetMode="External"/><Relationship Id="rId28" Type="http://schemas.openxmlformats.org/officeDocument/2006/relationships/hyperlink" Target="http://curbwaste.com" TargetMode="External"/><Relationship Id="rId27" Type="http://schemas.openxmlformats.org/officeDocument/2006/relationships/hyperlink" Target="http://revavenues.ai" TargetMode="External"/><Relationship Id="rId521" Type="http://schemas.openxmlformats.org/officeDocument/2006/relationships/hyperlink" Target="http://walnut.io" TargetMode="External"/><Relationship Id="rId763" Type="http://schemas.openxmlformats.org/officeDocument/2006/relationships/hyperlink" Target="http://appzen.com" TargetMode="External"/><Relationship Id="rId29" Type="http://schemas.openxmlformats.org/officeDocument/2006/relationships/hyperlink" Target="http://getmaple.ca" TargetMode="External"/><Relationship Id="rId520" Type="http://schemas.openxmlformats.org/officeDocument/2006/relationships/hyperlink" Target="http://powerschool.com" TargetMode="External"/><Relationship Id="rId762" Type="http://schemas.openxmlformats.org/officeDocument/2006/relationships/hyperlink" Target="http://symphonysummit.com" TargetMode="External"/><Relationship Id="rId761" Type="http://schemas.openxmlformats.org/officeDocument/2006/relationships/hyperlink" Target="http://leegality.com" TargetMode="External"/><Relationship Id="rId760" Type="http://schemas.openxmlformats.org/officeDocument/2006/relationships/hyperlink" Target="http://entrio.io" TargetMode="External"/><Relationship Id="rId11" Type="http://schemas.openxmlformats.org/officeDocument/2006/relationships/hyperlink" Target="http://firemon.com" TargetMode="External"/><Relationship Id="rId10" Type="http://schemas.openxmlformats.org/officeDocument/2006/relationships/hyperlink" Target="http://abridge.com" TargetMode="External"/><Relationship Id="rId13" Type="http://schemas.openxmlformats.org/officeDocument/2006/relationships/hyperlink" Target="http://mvandc.com" TargetMode="External"/><Relationship Id="rId12" Type="http://schemas.openxmlformats.org/officeDocument/2006/relationships/hyperlink" Target="http://pantheon.io" TargetMode="External"/><Relationship Id="rId519" Type="http://schemas.openxmlformats.org/officeDocument/2006/relationships/hyperlink" Target="http://sprinklr.com" TargetMode="External"/><Relationship Id="rId514" Type="http://schemas.openxmlformats.org/officeDocument/2006/relationships/hyperlink" Target="http://scorpion.co" TargetMode="External"/><Relationship Id="rId756" Type="http://schemas.openxmlformats.org/officeDocument/2006/relationships/hyperlink" Target="http://hopskipdrive.com" TargetMode="External"/><Relationship Id="rId998" Type="http://schemas.openxmlformats.org/officeDocument/2006/relationships/hyperlink" Target="http://capillarytech.com" TargetMode="External"/><Relationship Id="rId513" Type="http://schemas.openxmlformats.org/officeDocument/2006/relationships/hyperlink" Target="http://provana.com" TargetMode="External"/><Relationship Id="rId755" Type="http://schemas.openxmlformats.org/officeDocument/2006/relationships/hyperlink" Target="http://plume.com" TargetMode="External"/><Relationship Id="rId997" Type="http://schemas.openxmlformats.org/officeDocument/2006/relationships/hyperlink" Target="http://leadr.com" TargetMode="External"/><Relationship Id="rId512" Type="http://schemas.openxmlformats.org/officeDocument/2006/relationships/hyperlink" Target="http://kandji.io" TargetMode="External"/><Relationship Id="rId754" Type="http://schemas.openxmlformats.org/officeDocument/2006/relationships/hyperlink" Target="http://tread.io" TargetMode="External"/><Relationship Id="rId996" Type="http://schemas.openxmlformats.org/officeDocument/2006/relationships/hyperlink" Target="http://esper.io" TargetMode="External"/><Relationship Id="rId511" Type="http://schemas.openxmlformats.org/officeDocument/2006/relationships/hyperlink" Target="http://rxbenefits.com" TargetMode="External"/><Relationship Id="rId753" Type="http://schemas.openxmlformats.org/officeDocument/2006/relationships/hyperlink" Target="http://greythr.com" TargetMode="External"/><Relationship Id="rId995" Type="http://schemas.openxmlformats.org/officeDocument/2006/relationships/hyperlink" Target="http://testlio.com" TargetMode="External"/><Relationship Id="rId518" Type="http://schemas.openxmlformats.org/officeDocument/2006/relationships/hyperlink" Target="http://swapcard.com" TargetMode="External"/><Relationship Id="rId517" Type="http://schemas.openxmlformats.org/officeDocument/2006/relationships/hyperlink" Target="http://leandna.com" TargetMode="External"/><Relationship Id="rId759" Type="http://schemas.openxmlformats.org/officeDocument/2006/relationships/hyperlink" Target="http://planful.com" TargetMode="External"/><Relationship Id="rId516" Type="http://schemas.openxmlformats.org/officeDocument/2006/relationships/hyperlink" Target="http://exotel.com" TargetMode="External"/><Relationship Id="rId758" Type="http://schemas.openxmlformats.org/officeDocument/2006/relationships/hyperlink" Target="http://appian.com" TargetMode="External"/><Relationship Id="rId515" Type="http://schemas.openxmlformats.org/officeDocument/2006/relationships/hyperlink" Target="http://evercommerce.com" TargetMode="External"/><Relationship Id="rId757" Type="http://schemas.openxmlformats.org/officeDocument/2006/relationships/hyperlink" Target="http://bizzabo.com" TargetMode="External"/><Relationship Id="rId999" Type="http://schemas.openxmlformats.org/officeDocument/2006/relationships/hyperlink" Target="http://darwinbox.com" TargetMode="External"/><Relationship Id="rId15" Type="http://schemas.openxmlformats.org/officeDocument/2006/relationships/hyperlink" Target="http://apartmentlist.com" TargetMode="External"/><Relationship Id="rId990" Type="http://schemas.openxmlformats.org/officeDocument/2006/relationships/hyperlink" Target="http://placer.ai" TargetMode="External"/><Relationship Id="rId14" Type="http://schemas.openxmlformats.org/officeDocument/2006/relationships/hyperlink" Target="http://torotms.com" TargetMode="External"/><Relationship Id="rId17" Type="http://schemas.openxmlformats.org/officeDocument/2006/relationships/hyperlink" Target="http://censys.com" TargetMode="External"/><Relationship Id="rId16" Type="http://schemas.openxmlformats.org/officeDocument/2006/relationships/hyperlink" Target="http://phonepe.com" TargetMode="External"/><Relationship Id="rId19" Type="http://schemas.openxmlformats.org/officeDocument/2006/relationships/hyperlink" Target="http://drata.com" TargetMode="External"/><Relationship Id="rId510" Type="http://schemas.openxmlformats.org/officeDocument/2006/relationships/hyperlink" Target="http://stova.io" TargetMode="External"/><Relationship Id="rId752" Type="http://schemas.openxmlformats.org/officeDocument/2006/relationships/hyperlink" Target="http://cloud4c.com" TargetMode="External"/><Relationship Id="rId994" Type="http://schemas.openxmlformats.org/officeDocument/2006/relationships/hyperlink" Target="http://slintel.com" TargetMode="External"/><Relationship Id="rId18" Type="http://schemas.openxmlformats.org/officeDocument/2006/relationships/hyperlink" Target="http://crestron.com" TargetMode="External"/><Relationship Id="rId751" Type="http://schemas.openxmlformats.org/officeDocument/2006/relationships/hyperlink" Target="http://foleon.com" TargetMode="External"/><Relationship Id="rId993" Type="http://schemas.openxmlformats.org/officeDocument/2006/relationships/hyperlink" Target="http://cognism.com" TargetMode="External"/><Relationship Id="rId750" Type="http://schemas.openxmlformats.org/officeDocument/2006/relationships/hyperlink" Target="http://simetrik.com" TargetMode="External"/><Relationship Id="rId992" Type="http://schemas.openxmlformats.org/officeDocument/2006/relationships/hyperlink" Target="http://netlify.com" TargetMode="External"/><Relationship Id="rId991" Type="http://schemas.openxmlformats.org/officeDocument/2006/relationships/hyperlink" Target="http://placer.io" TargetMode="External"/><Relationship Id="rId84" Type="http://schemas.openxmlformats.org/officeDocument/2006/relationships/hyperlink" Target="http://webengage.com" TargetMode="External"/><Relationship Id="rId83" Type="http://schemas.openxmlformats.org/officeDocument/2006/relationships/hyperlink" Target="http://redroverk12.com" TargetMode="External"/><Relationship Id="rId86" Type="http://schemas.openxmlformats.org/officeDocument/2006/relationships/hyperlink" Target="http://banyaninfrastructure.com" TargetMode="External"/><Relationship Id="rId85" Type="http://schemas.openxmlformats.org/officeDocument/2006/relationships/hyperlink" Target="http://markforged.com" TargetMode="External"/><Relationship Id="rId88" Type="http://schemas.openxmlformats.org/officeDocument/2006/relationships/hyperlink" Target="http://spreadthejoy.org" TargetMode="External"/><Relationship Id="rId87" Type="http://schemas.openxmlformats.org/officeDocument/2006/relationships/hyperlink" Target="http://sycurio.com" TargetMode="External"/><Relationship Id="rId89" Type="http://schemas.openxmlformats.org/officeDocument/2006/relationships/hyperlink" Target="http://togetherplatform.com" TargetMode="External"/><Relationship Id="rId709" Type="http://schemas.openxmlformats.org/officeDocument/2006/relationships/hyperlink" Target="http://gitlab.com" TargetMode="External"/><Relationship Id="rId708" Type="http://schemas.openxmlformats.org/officeDocument/2006/relationships/hyperlink" Target="http://yotpo.com" TargetMode="External"/><Relationship Id="rId707" Type="http://schemas.openxmlformats.org/officeDocument/2006/relationships/hyperlink" Target="http://openx.com" TargetMode="External"/><Relationship Id="rId949" Type="http://schemas.openxmlformats.org/officeDocument/2006/relationships/hyperlink" Target="http://meliopayments.com" TargetMode="External"/><Relationship Id="rId706" Type="http://schemas.openxmlformats.org/officeDocument/2006/relationships/hyperlink" Target="http://oreilly.com" TargetMode="External"/><Relationship Id="rId948" Type="http://schemas.openxmlformats.org/officeDocument/2006/relationships/hyperlink" Target="http://airtable.com" TargetMode="External"/><Relationship Id="rId80" Type="http://schemas.openxmlformats.org/officeDocument/2006/relationships/hyperlink" Target="http://advantive.com" TargetMode="External"/><Relationship Id="rId82" Type="http://schemas.openxmlformats.org/officeDocument/2006/relationships/hyperlink" Target="http://voxelai.com" TargetMode="External"/><Relationship Id="rId81" Type="http://schemas.openxmlformats.org/officeDocument/2006/relationships/hyperlink" Target="http://documentcrunch.com" TargetMode="External"/><Relationship Id="rId701" Type="http://schemas.openxmlformats.org/officeDocument/2006/relationships/hyperlink" Target="http://intelex.com" TargetMode="External"/><Relationship Id="rId943" Type="http://schemas.openxmlformats.org/officeDocument/2006/relationships/hyperlink" Target="http://canto.com" TargetMode="External"/><Relationship Id="rId700" Type="http://schemas.openxmlformats.org/officeDocument/2006/relationships/hyperlink" Target="http://monday.com" TargetMode="External"/><Relationship Id="rId942" Type="http://schemas.openxmlformats.org/officeDocument/2006/relationships/hyperlink" Target="http://bombora.com" TargetMode="External"/><Relationship Id="rId941" Type="http://schemas.openxmlformats.org/officeDocument/2006/relationships/hyperlink" Target="http://kandji.io" TargetMode="External"/><Relationship Id="rId940" Type="http://schemas.openxmlformats.org/officeDocument/2006/relationships/hyperlink" Target="http://gravysolutions.io" TargetMode="External"/><Relationship Id="rId705" Type="http://schemas.openxmlformats.org/officeDocument/2006/relationships/hyperlink" Target="http://surveysparrow.com" TargetMode="External"/><Relationship Id="rId947" Type="http://schemas.openxmlformats.org/officeDocument/2006/relationships/hyperlink" Target="http://docebo.com" TargetMode="External"/><Relationship Id="rId704" Type="http://schemas.openxmlformats.org/officeDocument/2006/relationships/hyperlink" Target="http://hindustantimes.com" TargetMode="External"/><Relationship Id="rId946" Type="http://schemas.openxmlformats.org/officeDocument/2006/relationships/hyperlink" Target="http://famly.co" TargetMode="External"/><Relationship Id="rId703" Type="http://schemas.openxmlformats.org/officeDocument/2006/relationships/hyperlink" Target="http://bill.com" TargetMode="External"/><Relationship Id="rId945" Type="http://schemas.openxmlformats.org/officeDocument/2006/relationships/hyperlink" Target="http://agorapulse.com" TargetMode="External"/><Relationship Id="rId702" Type="http://schemas.openxmlformats.org/officeDocument/2006/relationships/hyperlink" Target="http://grammarly.com" TargetMode="External"/><Relationship Id="rId944" Type="http://schemas.openxmlformats.org/officeDocument/2006/relationships/hyperlink" Target="http://deel.com" TargetMode="External"/><Relationship Id="rId73" Type="http://schemas.openxmlformats.org/officeDocument/2006/relationships/hyperlink" Target="http://certbar.com" TargetMode="External"/><Relationship Id="rId72" Type="http://schemas.openxmlformats.org/officeDocument/2006/relationships/hyperlink" Target="http://vulncheck.com" TargetMode="External"/><Relationship Id="rId75" Type="http://schemas.openxmlformats.org/officeDocument/2006/relationships/hyperlink" Target="http://pentera.io" TargetMode="External"/><Relationship Id="rId74" Type="http://schemas.openxmlformats.org/officeDocument/2006/relationships/hyperlink" Target="http://gem.com" TargetMode="External"/><Relationship Id="rId77" Type="http://schemas.openxmlformats.org/officeDocument/2006/relationships/hyperlink" Target="http://samivy.com" TargetMode="External"/><Relationship Id="rId76" Type="http://schemas.openxmlformats.org/officeDocument/2006/relationships/hyperlink" Target="http://qualysec.com" TargetMode="External"/><Relationship Id="rId79" Type="http://schemas.openxmlformats.org/officeDocument/2006/relationships/hyperlink" Target="http://everlylife.com" TargetMode="External"/><Relationship Id="rId78" Type="http://schemas.openxmlformats.org/officeDocument/2006/relationships/hyperlink" Target="http://usemultiplier.com" TargetMode="External"/><Relationship Id="rId939" Type="http://schemas.openxmlformats.org/officeDocument/2006/relationships/hyperlink" Target="http://typeform.com" TargetMode="External"/><Relationship Id="rId938" Type="http://schemas.openxmlformats.org/officeDocument/2006/relationships/hyperlink" Target="http://orumhq.com" TargetMode="External"/><Relationship Id="rId937" Type="http://schemas.openxmlformats.org/officeDocument/2006/relationships/hyperlink" Target="http://tact.ai" TargetMode="External"/><Relationship Id="rId71" Type="http://schemas.openxmlformats.org/officeDocument/2006/relationships/hyperlink" Target="http://rentana.io" TargetMode="External"/><Relationship Id="rId70" Type="http://schemas.openxmlformats.org/officeDocument/2006/relationships/hyperlink" Target="http://tallysolutions.com" TargetMode="External"/><Relationship Id="rId932" Type="http://schemas.openxmlformats.org/officeDocument/2006/relationships/hyperlink" Target="http://vymo.com" TargetMode="External"/><Relationship Id="rId931" Type="http://schemas.openxmlformats.org/officeDocument/2006/relationships/hyperlink" Target="http://saaslabs.co" TargetMode="External"/><Relationship Id="rId930" Type="http://schemas.openxmlformats.org/officeDocument/2006/relationships/hyperlink" Target="http://tourial.com" TargetMode="External"/><Relationship Id="rId936" Type="http://schemas.openxmlformats.org/officeDocument/2006/relationships/hyperlink" Target="http://tact.ai" TargetMode="External"/><Relationship Id="rId935" Type="http://schemas.openxmlformats.org/officeDocument/2006/relationships/hyperlink" Target="http://apty.io" TargetMode="External"/><Relationship Id="rId934" Type="http://schemas.openxmlformats.org/officeDocument/2006/relationships/hyperlink" Target="http://atlan.com" TargetMode="External"/><Relationship Id="rId933" Type="http://schemas.openxmlformats.org/officeDocument/2006/relationships/hyperlink" Target="http://instabase.com" TargetMode="External"/><Relationship Id="rId62" Type="http://schemas.openxmlformats.org/officeDocument/2006/relationships/hyperlink" Target="http://spotdraft.com" TargetMode="External"/><Relationship Id="rId61" Type="http://schemas.openxmlformats.org/officeDocument/2006/relationships/hyperlink" Target="http://replicant.com" TargetMode="External"/><Relationship Id="rId64" Type="http://schemas.openxmlformats.org/officeDocument/2006/relationships/hyperlink" Target="http://fastbreak.ai" TargetMode="External"/><Relationship Id="rId63" Type="http://schemas.openxmlformats.org/officeDocument/2006/relationships/hyperlink" Target="http://exotel.com" TargetMode="External"/><Relationship Id="rId66" Type="http://schemas.openxmlformats.org/officeDocument/2006/relationships/hyperlink" Target="http://trysparrow.com" TargetMode="External"/><Relationship Id="rId65" Type="http://schemas.openxmlformats.org/officeDocument/2006/relationships/hyperlink" Target="http://aceve.com" TargetMode="External"/><Relationship Id="rId68" Type="http://schemas.openxmlformats.org/officeDocument/2006/relationships/hyperlink" Target="http://magicbricks.com" TargetMode="External"/><Relationship Id="rId67" Type="http://schemas.openxmlformats.org/officeDocument/2006/relationships/hyperlink" Target="http://motivity.net" TargetMode="External"/><Relationship Id="rId729" Type="http://schemas.openxmlformats.org/officeDocument/2006/relationships/hyperlink" Target="http://birdeye.com" TargetMode="External"/><Relationship Id="rId728" Type="http://schemas.openxmlformats.org/officeDocument/2006/relationships/hyperlink" Target="http://turnitin.com" TargetMode="External"/><Relationship Id="rId60" Type="http://schemas.openxmlformats.org/officeDocument/2006/relationships/hyperlink" Target="http://gatewayfinancialpartners.com" TargetMode="External"/><Relationship Id="rId723" Type="http://schemas.openxmlformats.org/officeDocument/2006/relationships/hyperlink" Target="http://coursera.org" TargetMode="External"/><Relationship Id="rId965" Type="http://schemas.openxmlformats.org/officeDocument/2006/relationships/hyperlink" Target="http://duda.co" TargetMode="External"/><Relationship Id="rId722" Type="http://schemas.openxmlformats.org/officeDocument/2006/relationships/hyperlink" Target="http://bonterratech.com" TargetMode="External"/><Relationship Id="rId964" Type="http://schemas.openxmlformats.org/officeDocument/2006/relationships/hyperlink" Target="http://infeedo.ai" TargetMode="External"/><Relationship Id="rId721" Type="http://schemas.openxmlformats.org/officeDocument/2006/relationships/hyperlink" Target="http://kore.ai" TargetMode="External"/><Relationship Id="rId963" Type="http://schemas.openxmlformats.org/officeDocument/2006/relationships/hyperlink" Target="http://theabdteam.com" TargetMode="External"/><Relationship Id="rId720" Type="http://schemas.openxmlformats.org/officeDocument/2006/relationships/hyperlink" Target="http://kore.ai" TargetMode="External"/><Relationship Id="rId962" Type="http://schemas.openxmlformats.org/officeDocument/2006/relationships/hyperlink" Target="http://ordwaylabs.com" TargetMode="External"/><Relationship Id="rId727" Type="http://schemas.openxmlformats.org/officeDocument/2006/relationships/hyperlink" Target="http://rollworks.com" TargetMode="External"/><Relationship Id="rId969" Type="http://schemas.openxmlformats.org/officeDocument/2006/relationships/hyperlink" Target="http://smartasset.com" TargetMode="External"/><Relationship Id="rId726" Type="http://schemas.openxmlformats.org/officeDocument/2006/relationships/hyperlink" Target="http://deluxe.com" TargetMode="External"/><Relationship Id="rId968" Type="http://schemas.openxmlformats.org/officeDocument/2006/relationships/hyperlink" Target="http://servicetitan.com" TargetMode="External"/><Relationship Id="rId725" Type="http://schemas.openxmlformats.org/officeDocument/2006/relationships/hyperlink" Target="http://supermetrics.com" TargetMode="External"/><Relationship Id="rId967" Type="http://schemas.openxmlformats.org/officeDocument/2006/relationships/hyperlink" Target="http://beyondpricing.com" TargetMode="External"/><Relationship Id="rId724" Type="http://schemas.openxmlformats.org/officeDocument/2006/relationships/hyperlink" Target="http://catonetworks.com" TargetMode="External"/><Relationship Id="rId966" Type="http://schemas.openxmlformats.org/officeDocument/2006/relationships/hyperlink" Target="http://kandji.io" TargetMode="External"/><Relationship Id="rId69" Type="http://schemas.openxmlformats.org/officeDocument/2006/relationships/hyperlink" Target="http://p2p.org" TargetMode="External"/><Relationship Id="rId961" Type="http://schemas.openxmlformats.org/officeDocument/2006/relationships/hyperlink" Target="http://lunchbox.io" TargetMode="External"/><Relationship Id="rId960" Type="http://schemas.openxmlformats.org/officeDocument/2006/relationships/hyperlink" Target="http://webflow.com" TargetMode="External"/><Relationship Id="rId51" Type="http://schemas.openxmlformats.org/officeDocument/2006/relationships/hyperlink" Target="http://asapp.com" TargetMode="External"/><Relationship Id="rId50" Type="http://schemas.openxmlformats.org/officeDocument/2006/relationships/hyperlink" Target="http://vega.io" TargetMode="External"/><Relationship Id="rId53" Type="http://schemas.openxmlformats.org/officeDocument/2006/relationships/hyperlink" Target="http://bizzabo.com" TargetMode="External"/><Relationship Id="rId52" Type="http://schemas.openxmlformats.org/officeDocument/2006/relationships/hyperlink" Target="http://netwoven.com" TargetMode="External"/><Relationship Id="rId55" Type="http://schemas.openxmlformats.org/officeDocument/2006/relationships/hyperlink" Target="http://ushur.com" TargetMode="External"/><Relationship Id="rId54" Type="http://schemas.openxmlformats.org/officeDocument/2006/relationships/hyperlink" Target="http://procol.ai" TargetMode="External"/><Relationship Id="rId57" Type="http://schemas.openxmlformats.org/officeDocument/2006/relationships/hyperlink" Target="http://leaphealth.com" TargetMode="External"/><Relationship Id="rId56" Type="http://schemas.openxmlformats.org/officeDocument/2006/relationships/hyperlink" Target="http://smylr.co" TargetMode="External"/><Relationship Id="rId719" Type="http://schemas.openxmlformats.org/officeDocument/2006/relationships/hyperlink" Target="http://genesisdigital.co" TargetMode="External"/><Relationship Id="rId718" Type="http://schemas.openxmlformats.org/officeDocument/2006/relationships/hyperlink" Target="http://wexinc.com" TargetMode="External"/><Relationship Id="rId717" Type="http://schemas.openxmlformats.org/officeDocument/2006/relationships/hyperlink" Target="http://tipalti.com" TargetMode="External"/><Relationship Id="rId959" Type="http://schemas.openxmlformats.org/officeDocument/2006/relationships/hyperlink" Target="http://officespacesoftware.com" TargetMode="External"/><Relationship Id="rId712" Type="http://schemas.openxmlformats.org/officeDocument/2006/relationships/hyperlink" Target="http://convoso.com" TargetMode="External"/><Relationship Id="rId954" Type="http://schemas.openxmlformats.org/officeDocument/2006/relationships/hyperlink" Target="http://restaurant365.com" TargetMode="External"/><Relationship Id="rId711" Type="http://schemas.openxmlformats.org/officeDocument/2006/relationships/hyperlink" Target="http://litmus.io" TargetMode="External"/><Relationship Id="rId953" Type="http://schemas.openxmlformats.org/officeDocument/2006/relationships/hyperlink" Target="http://brighttalk.com" TargetMode="External"/><Relationship Id="rId710" Type="http://schemas.openxmlformats.org/officeDocument/2006/relationships/hyperlink" Target="http://replicant.com" TargetMode="External"/><Relationship Id="rId952" Type="http://schemas.openxmlformats.org/officeDocument/2006/relationships/hyperlink" Target="http://helloagora.com" TargetMode="External"/><Relationship Id="rId951" Type="http://schemas.openxmlformats.org/officeDocument/2006/relationships/hyperlink" Target="http://levelset.com" TargetMode="External"/><Relationship Id="rId716" Type="http://schemas.openxmlformats.org/officeDocument/2006/relationships/hyperlink" Target="http://firstlight.net" TargetMode="External"/><Relationship Id="rId958" Type="http://schemas.openxmlformats.org/officeDocument/2006/relationships/hyperlink" Target="http://glofox.com" TargetMode="External"/><Relationship Id="rId715" Type="http://schemas.openxmlformats.org/officeDocument/2006/relationships/hyperlink" Target="http://nasuni.com" TargetMode="External"/><Relationship Id="rId957" Type="http://schemas.openxmlformats.org/officeDocument/2006/relationships/hyperlink" Target="http://ramp.com" TargetMode="External"/><Relationship Id="rId714" Type="http://schemas.openxmlformats.org/officeDocument/2006/relationships/hyperlink" Target="http://prophix.com" TargetMode="External"/><Relationship Id="rId956" Type="http://schemas.openxmlformats.org/officeDocument/2006/relationships/hyperlink" Target="http://goshippo.com" TargetMode="External"/><Relationship Id="rId713" Type="http://schemas.openxmlformats.org/officeDocument/2006/relationships/hyperlink" Target="http://flexe.com" TargetMode="External"/><Relationship Id="rId955" Type="http://schemas.openxmlformats.org/officeDocument/2006/relationships/hyperlink" Target="http://accredible.com" TargetMode="External"/><Relationship Id="rId59" Type="http://schemas.openxmlformats.org/officeDocument/2006/relationships/hyperlink" Target="http://infrahub.ai" TargetMode="External"/><Relationship Id="rId58" Type="http://schemas.openxmlformats.org/officeDocument/2006/relationships/hyperlink" Target="http://nousinfo.com" TargetMode="External"/><Relationship Id="rId950" Type="http://schemas.openxmlformats.org/officeDocument/2006/relationships/hyperlink" Target="http://thinkific.com" TargetMode="External"/><Relationship Id="rId590" Type="http://schemas.openxmlformats.org/officeDocument/2006/relationships/hyperlink" Target="http://springbuk.com" TargetMode="External"/><Relationship Id="rId107" Type="http://schemas.openxmlformats.org/officeDocument/2006/relationships/hyperlink" Target="http://versatil.vc" TargetMode="External"/><Relationship Id="rId349" Type="http://schemas.openxmlformats.org/officeDocument/2006/relationships/hyperlink" Target="http://nomentia.com" TargetMode="External"/><Relationship Id="rId106" Type="http://schemas.openxmlformats.org/officeDocument/2006/relationships/hyperlink" Target="http://sacred7enterprises.org" TargetMode="External"/><Relationship Id="rId348" Type="http://schemas.openxmlformats.org/officeDocument/2006/relationships/hyperlink" Target="http://dialpad.com" TargetMode="External"/><Relationship Id="rId105" Type="http://schemas.openxmlformats.org/officeDocument/2006/relationships/hyperlink" Target="http://activtrak.com" TargetMode="External"/><Relationship Id="rId347" Type="http://schemas.openxmlformats.org/officeDocument/2006/relationships/hyperlink" Target="http://finmo.net" TargetMode="External"/><Relationship Id="rId589" Type="http://schemas.openxmlformats.org/officeDocument/2006/relationships/hyperlink" Target="http://gumgum.com" TargetMode="External"/><Relationship Id="rId104" Type="http://schemas.openxmlformats.org/officeDocument/2006/relationships/hyperlink" Target="http://dashsocial.com" TargetMode="External"/><Relationship Id="rId346" Type="http://schemas.openxmlformats.org/officeDocument/2006/relationships/hyperlink" Target="http://on24.com" TargetMode="External"/><Relationship Id="rId588" Type="http://schemas.openxmlformats.org/officeDocument/2006/relationships/hyperlink" Target="http://everlaw.com" TargetMode="External"/><Relationship Id="rId109" Type="http://schemas.openxmlformats.org/officeDocument/2006/relationships/hyperlink" Target="http://hockeystack.com" TargetMode="External"/><Relationship Id="rId108" Type="http://schemas.openxmlformats.org/officeDocument/2006/relationships/hyperlink" Target="http://sonder.io" TargetMode="External"/><Relationship Id="rId341" Type="http://schemas.openxmlformats.org/officeDocument/2006/relationships/hyperlink" Target="http://zithara.ai" TargetMode="External"/><Relationship Id="rId583" Type="http://schemas.openxmlformats.org/officeDocument/2006/relationships/hyperlink" Target="http://doofinder.com" TargetMode="External"/><Relationship Id="rId340" Type="http://schemas.openxmlformats.org/officeDocument/2006/relationships/hyperlink" Target="http://centrical.com" TargetMode="External"/><Relationship Id="rId582" Type="http://schemas.openxmlformats.org/officeDocument/2006/relationships/hyperlink" Target="http://mews.com" TargetMode="External"/><Relationship Id="rId581" Type="http://schemas.openxmlformats.org/officeDocument/2006/relationships/hyperlink" Target="http://wisetechglobal.com" TargetMode="External"/><Relationship Id="rId580" Type="http://schemas.openxmlformats.org/officeDocument/2006/relationships/hyperlink" Target="http://getmaintainx.com" TargetMode="External"/><Relationship Id="rId103" Type="http://schemas.openxmlformats.org/officeDocument/2006/relationships/hyperlink" Target="http://absorblms.com" TargetMode="External"/><Relationship Id="rId345" Type="http://schemas.openxmlformats.org/officeDocument/2006/relationships/hyperlink" Target="http://sumologic.com" TargetMode="External"/><Relationship Id="rId587" Type="http://schemas.openxmlformats.org/officeDocument/2006/relationships/hyperlink" Target="http://prove.com" TargetMode="External"/><Relationship Id="rId102" Type="http://schemas.openxmlformats.org/officeDocument/2006/relationships/hyperlink" Target="http://questanalytics.com" TargetMode="External"/><Relationship Id="rId344" Type="http://schemas.openxmlformats.org/officeDocument/2006/relationships/hyperlink" Target="http://absorblms.com" TargetMode="External"/><Relationship Id="rId586" Type="http://schemas.openxmlformats.org/officeDocument/2006/relationships/hyperlink" Target="http://lookout.com" TargetMode="External"/><Relationship Id="rId101" Type="http://schemas.openxmlformats.org/officeDocument/2006/relationships/hyperlink" Target="http://peoplefluent.com" TargetMode="External"/><Relationship Id="rId343" Type="http://schemas.openxmlformats.org/officeDocument/2006/relationships/hyperlink" Target="http://radancy.com" TargetMode="External"/><Relationship Id="rId585" Type="http://schemas.openxmlformats.org/officeDocument/2006/relationships/hyperlink" Target="http://broadvoice.com" TargetMode="External"/><Relationship Id="rId100" Type="http://schemas.openxmlformats.org/officeDocument/2006/relationships/hyperlink" Target="http://docebo.com" TargetMode="External"/><Relationship Id="rId342" Type="http://schemas.openxmlformats.org/officeDocument/2006/relationships/hyperlink" Target="http://hakusports.com" TargetMode="External"/><Relationship Id="rId584" Type="http://schemas.openxmlformats.org/officeDocument/2006/relationships/hyperlink" Target="http://noibu.com" TargetMode="External"/><Relationship Id="rId338" Type="http://schemas.openxmlformats.org/officeDocument/2006/relationships/hyperlink" Target="http://cardlytics.com" TargetMode="External"/><Relationship Id="rId337" Type="http://schemas.openxmlformats.org/officeDocument/2006/relationships/hyperlink" Target="http://headway.co" TargetMode="External"/><Relationship Id="rId579" Type="http://schemas.openxmlformats.org/officeDocument/2006/relationships/hyperlink" Target="http://starburst.io" TargetMode="External"/><Relationship Id="rId336" Type="http://schemas.openxmlformats.org/officeDocument/2006/relationships/hyperlink" Target="http://patch.io" TargetMode="External"/><Relationship Id="rId578" Type="http://schemas.openxmlformats.org/officeDocument/2006/relationships/hyperlink" Target="http://cymulate.com" TargetMode="External"/><Relationship Id="rId335" Type="http://schemas.openxmlformats.org/officeDocument/2006/relationships/hyperlink" Target="http://konghq.com" TargetMode="External"/><Relationship Id="rId577" Type="http://schemas.openxmlformats.org/officeDocument/2006/relationships/hyperlink" Target="http://appsflyer.com" TargetMode="External"/><Relationship Id="rId339" Type="http://schemas.openxmlformats.org/officeDocument/2006/relationships/hyperlink" Target="http://dealpath.com" TargetMode="External"/><Relationship Id="rId330" Type="http://schemas.openxmlformats.org/officeDocument/2006/relationships/hyperlink" Target="http://xoxoday.com" TargetMode="External"/><Relationship Id="rId572" Type="http://schemas.openxmlformats.org/officeDocument/2006/relationships/hyperlink" Target="http://demandscience.com" TargetMode="External"/><Relationship Id="rId571" Type="http://schemas.openxmlformats.org/officeDocument/2006/relationships/hyperlink" Target="http://triplelift.com" TargetMode="External"/><Relationship Id="rId570" Type="http://schemas.openxmlformats.org/officeDocument/2006/relationships/hyperlink" Target="http://riskified.com" TargetMode="External"/><Relationship Id="rId334" Type="http://schemas.openxmlformats.org/officeDocument/2006/relationships/hyperlink" Target="http://2centscapital.com" TargetMode="External"/><Relationship Id="rId576" Type="http://schemas.openxmlformats.org/officeDocument/2006/relationships/hyperlink" Target="http://lacework.com" TargetMode="External"/><Relationship Id="rId333" Type="http://schemas.openxmlformats.org/officeDocument/2006/relationships/hyperlink" Target="http://revealdata.com" TargetMode="External"/><Relationship Id="rId575" Type="http://schemas.openxmlformats.org/officeDocument/2006/relationships/hyperlink" Target="http://bloomreach.com" TargetMode="External"/><Relationship Id="rId332" Type="http://schemas.openxmlformats.org/officeDocument/2006/relationships/hyperlink" Target="http://orderful.com" TargetMode="External"/><Relationship Id="rId574" Type="http://schemas.openxmlformats.org/officeDocument/2006/relationships/hyperlink" Target="http://datadome.co" TargetMode="External"/><Relationship Id="rId331" Type="http://schemas.openxmlformats.org/officeDocument/2006/relationships/hyperlink" Target="http://saaslabs.co" TargetMode="External"/><Relationship Id="rId573" Type="http://schemas.openxmlformats.org/officeDocument/2006/relationships/hyperlink" Target="http://treasuredata.com" TargetMode="External"/><Relationship Id="rId370" Type="http://schemas.openxmlformats.org/officeDocument/2006/relationships/hyperlink" Target="http://peoplestrong.com" TargetMode="External"/><Relationship Id="rId129" Type="http://schemas.openxmlformats.org/officeDocument/2006/relationships/hyperlink" Target="http://spotlightmediafargo.com" TargetMode="External"/><Relationship Id="rId128" Type="http://schemas.openxmlformats.org/officeDocument/2006/relationships/hyperlink" Target="http://teramind.co" TargetMode="External"/><Relationship Id="rId127" Type="http://schemas.openxmlformats.org/officeDocument/2006/relationships/hyperlink" Target="http://pella.com" TargetMode="External"/><Relationship Id="rId369" Type="http://schemas.openxmlformats.org/officeDocument/2006/relationships/hyperlink" Target="http://everlaw.com" TargetMode="External"/><Relationship Id="rId126" Type="http://schemas.openxmlformats.org/officeDocument/2006/relationships/hyperlink" Target="http://verifiable.com" TargetMode="External"/><Relationship Id="rId368" Type="http://schemas.openxmlformats.org/officeDocument/2006/relationships/hyperlink" Target="http://questanalytics.com" TargetMode="External"/><Relationship Id="rId121" Type="http://schemas.openxmlformats.org/officeDocument/2006/relationships/hyperlink" Target="http://sailpoint.com" TargetMode="External"/><Relationship Id="rId363" Type="http://schemas.openxmlformats.org/officeDocument/2006/relationships/hyperlink" Target="http://vestwell.com" TargetMode="External"/><Relationship Id="rId120" Type="http://schemas.openxmlformats.org/officeDocument/2006/relationships/hyperlink" Target="http://masspay.io" TargetMode="External"/><Relationship Id="rId362" Type="http://schemas.openxmlformats.org/officeDocument/2006/relationships/hyperlink" Target="http://logikality.ai" TargetMode="External"/><Relationship Id="rId361" Type="http://schemas.openxmlformats.org/officeDocument/2006/relationships/hyperlink" Target="http://quavo.com" TargetMode="External"/><Relationship Id="rId360" Type="http://schemas.openxmlformats.org/officeDocument/2006/relationships/hyperlink" Target="http://bathfitter.com" TargetMode="External"/><Relationship Id="rId125" Type="http://schemas.openxmlformats.org/officeDocument/2006/relationships/hyperlink" Target="http://permutive.com" TargetMode="External"/><Relationship Id="rId367" Type="http://schemas.openxmlformats.org/officeDocument/2006/relationships/hyperlink" Target="http://dixa.com" TargetMode="External"/><Relationship Id="rId124" Type="http://schemas.openxmlformats.org/officeDocument/2006/relationships/hyperlink" Target="http://agencybloc.com" TargetMode="External"/><Relationship Id="rId366" Type="http://schemas.openxmlformats.org/officeDocument/2006/relationships/hyperlink" Target="http://brightrtravel.com" TargetMode="External"/><Relationship Id="rId123" Type="http://schemas.openxmlformats.org/officeDocument/2006/relationships/hyperlink" Target="http://sentinelone.com" TargetMode="External"/><Relationship Id="rId365" Type="http://schemas.openxmlformats.org/officeDocument/2006/relationships/hyperlink" Target="http://chargebee.com" TargetMode="External"/><Relationship Id="rId122" Type="http://schemas.openxmlformats.org/officeDocument/2006/relationships/hyperlink" Target="http://avidxchange.com" TargetMode="External"/><Relationship Id="rId364" Type="http://schemas.openxmlformats.org/officeDocument/2006/relationships/hyperlink" Target="http://spectrio.com" TargetMode="External"/><Relationship Id="rId95" Type="http://schemas.openxmlformats.org/officeDocument/2006/relationships/hyperlink" Target="http://wirelessventures.net" TargetMode="External"/><Relationship Id="rId94" Type="http://schemas.openxmlformats.org/officeDocument/2006/relationships/hyperlink" Target="http://suralink.com" TargetMode="External"/><Relationship Id="rId97" Type="http://schemas.openxmlformats.org/officeDocument/2006/relationships/hyperlink" Target="http://culturalcare.com" TargetMode="External"/><Relationship Id="rId96" Type="http://schemas.openxmlformats.org/officeDocument/2006/relationships/hyperlink" Target="http://gf.com" TargetMode="External"/><Relationship Id="rId99" Type="http://schemas.openxmlformats.org/officeDocument/2006/relationships/hyperlink" Target="http://pigment.com" TargetMode="External"/><Relationship Id="rId98" Type="http://schemas.openxmlformats.org/officeDocument/2006/relationships/hyperlink" Target="http://resolve.ai" TargetMode="External"/><Relationship Id="rId91" Type="http://schemas.openxmlformats.org/officeDocument/2006/relationships/hyperlink" Target="http://freschesolutions.com" TargetMode="External"/><Relationship Id="rId90" Type="http://schemas.openxmlformats.org/officeDocument/2006/relationships/hyperlink" Target="http://arrowfinishing.com" TargetMode="External"/><Relationship Id="rId93" Type="http://schemas.openxmlformats.org/officeDocument/2006/relationships/hyperlink" Target="http://athleaders.co" TargetMode="External"/><Relationship Id="rId92" Type="http://schemas.openxmlformats.org/officeDocument/2006/relationships/hyperlink" Target="http://markmonitor.com" TargetMode="External"/><Relationship Id="rId118" Type="http://schemas.openxmlformats.org/officeDocument/2006/relationships/hyperlink" Target="http://kortext.com" TargetMode="External"/><Relationship Id="rId117" Type="http://schemas.openxmlformats.org/officeDocument/2006/relationships/hyperlink" Target="http://harmonicsecurity.com" TargetMode="External"/><Relationship Id="rId359" Type="http://schemas.openxmlformats.org/officeDocument/2006/relationships/hyperlink" Target="http://liveramp.com" TargetMode="External"/><Relationship Id="rId116" Type="http://schemas.openxmlformats.org/officeDocument/2006/relationships/hyperlink" Target="http://frontlineeducation.com" TargetMode="External"/><Relationship Id="rId358" Type="http://schemas.openxmlformats.org/officeDocument/2006/relationships/hyperlink" Target="http://dataiku.com" TargetMode="External"/><Relationship Id="rId115" Type="http://schemas.openxmlformats.org/officeDocument/2006/relationships/hyperlink" Target="http://maggicowlan.com" TargetMode="External"/><Relationship Id="rId357" Type="http://schemas.openxmlformats.org/officeDocument/2006/relationships/hyperlink" Target="http://optimizely.com" TargetMode="External"/><Relationship Id="rId599" Type="http://schemas.openxmlformats.org/officeDocument/2006/relationships/hyperlink" Target="http://triplewhale.com" TargetMode="External"/><Relationship Id="rId119" Type="http://schemas.openxmlformats.org/officeDocument/2006/relationships/hyperlink" Target="http://rtgecommerce.com" TargetMode="External"/><Relationship Id="rId110" Type="http://schemas.openxmlformats.org/officeDocument/2006/relationships/hyperlink" Target="http://velasea.com" TargetMode="External"/><Relationship Id="rId352" Type="http://schemas.openxmlformats.org/officeDocument/2006/relationships/hyperlink" Target="http://madhive.com" TargetMode="External"/><Relationship Id="rId594" Type="http://schemas.openxmlformats.org/officeDocument/2006/relationships/hyperlink" Target="http://doordash.com" TargetMode="External"/><Relationship Id="rId351" Type="http://schemas.openxmlformats.org/officeDocument/2006/relationships/hyperlink" Target="http://trekhealth.io" TargetMode="External"/><Relationship Id="rId593" Type="http://schemas.openxmlformats.org/officeDocument/2006/relationships/hyperlink" Target="http://appzen.com" TargetMode="External"/><Relationship Id="rId350" Type="http://schemas.openxmlformats.org/officeDocument/2006/relationships/hyperlink" Target="http://vial.com" TargetMode="External"/><Relationship Id="rId592" Type="http://schemas.openxmlformats.org/officeDocument/2006/relationships/hyperlink" Target="http://resulticks.com" TargetMode="External"/><Relationship Id="rId591" Type="http://schemas.openxmlformats.org/officeDocument/2006/relationships/hyperlink" Target="http://cegid.com" TargetMode="External"/><Relationship Id="rId114" Type="http://schemas.openxmlformats.org/officeDocument/2006/relationships/hyperlink" Target="http://axcelerate.com" TargetMode="External"/><Relationship Id="rId356" Type="http://schemas.openxmlformats.org/officeDocument/2006/relationships/hyperlink" Target="http://cloudkitchens.com" TargetMode="External"/><Relationship Id="rId598" Type="http://schemas.openxmlformats.org/officeDocument/2006/relationships/hyperlink" Target="http://rossum.ai" TargetMode="External"/><Relationship Id="rId113" Type="http://schemas.openxmlformats.org/officeDocument/2006/relationships/hyperlink" Target="http://armorcode.com" TargetMode="External"/><Relationship Id="rId355" Type="http://schemas.openxmlformats.org/officeDocument/2006/relationships/hyperlink" Target="http://telefonica.com" TargetMode="External"/><Relationship Id="rId597" Type="http://schemas.openxmlformats.org/officeDocument/2006/relationships/hyperlink" Target="http://thoughtindustries.com" TargetMode="External"/><Relationship Id="rId112" Type="http://schemas.openxmlformats.org/officeDocument/2006/relationships/hyperlink" Target="http://kankani.in" TargetMode="External"/><Relationship Id="rId354" Type="http://schemas.openxmlformats.org/officeDocument/2006/relationships/hyperlink" Target="http://sitemate.com" TargetMode="External"/><Relationship Id="rId596" Type="http://schemas.openxmlformats.org/officeDocument/2006/relationships/hyperlink" Target="http://mirakl.com" TargetMode="External"/><Relationship Id="rId111" Type="http://schemas.openxmlformats.org/officeDocument/2006/relationships/hyperlink" Target="http://bathfitter.com" TargetMode="External"/><Relationship Id="rId353" Type="http://schemas.openxmlformats.org/officeDocument/2006/relationships/hyperlink" Target="http://clevertap.com" TargetMode="External"/><Relationship Id="rId595" Type="http://schemas.openxmlformats.org/officeDocument/2006/relationships/hyperlink" Target="http://hivebrite.io" TargetMode="External"/><Relationship Id="rId305" Type="http://schemas.openxmlformats.org/officeDocument/2006/relationships/hyperlink" Target="http://provisiopartners.com" TargetMode="External"/><Relationship Id="rId547" Type="http://schemas.openxmlformats.org/officeDocument/2006/relationships/hyperlink" Target="http://dotdata.com" TargetMode="External"/><Relationship Id="rId789" Type="http://schemas.openxmlformats.org/officeDocument/2006/relationships/hyperlink" Target="http://impact.com" TargetMode="External"/><Relationship Id="rId304" Type="http://schemas.openxmlformats.org/officeDocument/2006/relationships/hyperlink" Target="http://mdvip.com" TargetMode="External"/><Relationship Id="rId546" Type="http://schemas.openxmlformats.org/officeDocument/2006/relationships/hyperlink" Target="http://onecause.com" TargetMode="External"/><Relationship Id="rId788" Type="http://schemas.openxmlformats.org/officeDocument/2006/relationships/hyperlink" Target="http://simetrik.com" TargetMode="External"/><Relationship Id="rId303" Type="http://schemas.openxmlformats.org/officeDocument/2006/relationships/hyperlink" Target="http://doppel.com" TargetMode="External"/><Relationship Id="rId545" Type="http://schemas.openxmlformats.org/officeDocument/2006/relationships/hyperlink" Target="http://dscout.com" TargetMode="External"/><Relationship Id="rId787" Type="http://schemas.openxmlformats.org/officeDocument/2006/relationships/hyperlink" Target="http://keka.com" TargetMode="External"/><Relationship Id="rId302" Type="http://schemas.openxmlformats.org/officeDocument/2006/relationships/hyperlink" Target="http://craftable.com" TargetMode="External"/><Relationship Id="rId544" Type="http://schemas.openxmlformats.org/officeDocument/2006/relationships/hyperlink" Target="http://ncino.com" TargetMode="External"/><Relationship Id="rId786" Type="http://schemas.openxmlformats.org/officeDocument/2006/relationships/hyperlink" Target="http://entropik.io" TargetMode="External"/><Relationship Id="rId309" Type="http://schemas.openxmlformats.org/officeDocument/2006/relationships/hyperlink" Target="http://crigloo.com" TargetMode="External"/><Relationship Id="rId308" Type="http://schemas.openxmlformats.org/officeDocument/2006/relationships/hyperlink" Target="http://sayari.com" TargetMode="External"/><Relationship Id="rId307" Type="http://schemas.openxmlformats.org/officeDocument/2006/relationships/hyperlink" Target="http://dell.com" TargetMode="External"/><Relationship Id="rId549" Type="http://schemas.openxmlformats.org/officeDocument/2006/relationships/hyperlink" Target="http://onespan.com" TargetMode="External"/><Relationship Id="rId306" Type="http://schemas.openxmlformats.org/officeDocument/2006/relationships/hyperlink" Target="http://lambdatest.com" TargetMode="External"/><Relationship Id="rId548" Type="http://schemas.openxmlformats.org/officeDocument/2006/relationships/hyperlink" Target="http://dealpath.com" TargetMode="External"/><Relationship Id="rId781" Type="http://schemas.openxmlformats.org/officeDocument/2006/relationships/hyperlink" Target="http://simetrik.com" TargetMode="External"/><Relationship Id="rId780" Type="http://schemas.openxmlformats.org/officeDocument/2006/relationships/hyperlink" Target="http://tungstenautomation.com" TargetMode="External"/><Relationship Id="rId301" Type="http://schemas.openxmlformats.org/officeDocument/2006/relationships/hyperlink" Target="http://transferroom.com" TargetMode="External"/><Relationship Id="rId543" Type="http://schemas.openxmlformats.org/officeDocument/2006/relationships/hyperlink" Target="http://dentalintel.com" TargetMode="External"/><Relationship Id="rId785" Type="http://schemas.openxmlformats.org/officeDocument/2006/relationships/hyperlink" Target="http://questanalytics.com" TargetMode="External"/><Relationship Id="rId300" Type="http://schemas.openxmlformats.org/officeDocument/2006/relationships/hyperlink" Target="http://reltio.com" TargetMode="External"/><Relationship Id="rId542" Type="http://schemas.openxmlformats.org/officeDocument/2006/relationships/hyperlink" Target="http://ushur.com" TargetMode="External"/><Relationship Id="rId784" Type="http://schemas.openxmlformats.org/officeDocument/2006/relationships/hyperlink" Target="http://pinecone.io" TargetMode="External"/><Relationship Id="rId541" Type="http://schemas.openxmlformats.org/officeDocument/2006/relationships/hyperlink" Target="http://hellofyllo.com" TargetMode="External"/><Relationship Id="rId783" Type="http://schemas.openxmlformats.org/officeDocument/2006/relationships/hyperlink" Target="http://tines.com" TargetMode="External"/><Relationship Id="rId540" Type="http://schemas.openxmlformats.org/officeDocument/2006/relationships/hyperlink" Target="http://sketchup.com" TargetMode="External"/><Relationship Id="rId782" Type="http://schemas.openxmlformats.org/officeDocument/2006/relationships/hyperlink" Target="http://snappy.com" TargetMode="External"/><Relationship Id="rId536" Type="http://schemas.openxmlformats.org/officeDocument/2006/relationships/hyperlink" Target="http://quantummetric.com" TargetMode="External"/><Relationship Id="rId778" Type="http://schemas.openxmlformats.org/officeDocument/2006/relationships/hyperlink" Target="http://cesco.com" TargetMode="External"/><Relationship Id="rId535" Type="http://schemas.openxmlformats.org/officeDocument/2006/relationships/hyperlink" Target="http://sourcegraph.com" TargetMode="External"/><Relationship Id="rId777" Type="http://schemas.openxmlformats.org/officeDocument/2006/relationships/hyperlink" Target="http://degreed.com" TargetMode="External"/><Relationship Id="rId534" Type="http://schemas.openxmlformats.org/officeDocument/2006/relationships/hyperlink" Target="http://spendflo.com" TargetMode="External"/><Relationship Id="rId776" Type="http://schemas.openxmlformats.org/officeDocument/2006/relationships/hyperlink" Target="http://gainsight.com" TargetMode="External"/><Relationship Id="rId533" Type="http://schemas.openxmlformats.org/officeDocument/2006/relationships/hyperlink" Target="http://deepwatch.com" TargetMode="External"/><Relationship Id="rId775" Type="http://schemas.openxmlformats.org/officeDocument/2006/relationships/hyperlink" Target="http://maxio.com" TargetMode="External"/><Relationship Id="rId539" Type="http://schemas.openxmlformats.org/officeDocument/2006/relationships/hyperlink" Target="http://imply.io" TargetMode="External"/><Relationship Id="rId538" Type="http://schemas.openxmlformats.org/officeDocument/2006/relationships/hyperlink" Target="http://collectivehealth.com" TargetMode="External"/><Relationship Id="rId537" Type="http://schemas.openxmlformats.org/officeDocument/2006/relationships/hyperlink" Target="http://chargepoint.com" TargetMode="External"/><Relationship Id="rId779" Type="http://schemas.openxmlformats.org/officeDocument/2006/relationships/hyperlink" Target="http://apaleo.com" TargetMode="External"/><Relationship Id="rId770" Type="http://schemas.openxmlformats.org/officeDocument/2006/relationships/hyperlink" Target="http://soliduslabs.com" TargetMode="External"/><Relationship Id="rId532" Type="http://schemas.openxmlformats.org/officeDocument/2006/relationships/hyperlink" Target="http://stem.com" TargetMode="External"/><Relationship Id="rId774" Type="http://schemas.openxmlformats.org/officeDocument/2006/relationships/hyperlink" Target="http://abtasty.com" TargetMode="External"/><Relationship Id="rId531" Type="http://schemas.openxmlformats.org/officeDocument/2006/relationships/hyperlink" Target="http://swiftly.com" TargetMode="External"/><Relationship Id="rId773" Type="http://schemas.openxmlformats.org/officeDocument/2006/relationships/hyperlink" Target="http://thoughtbot.com" TargetMode="External"/><Relationship Id="rId530" Type="http://schemas.openxmlformats.org/officeDocument/2006/relationships/hyperlink" Target="http://webpros.com" TargetMode="External"/><Relationship Id="rId772" Type="http://schemas.openxmlformats.org/officeDocument/2006/relationships/hyperlink" Target="http://dolby.com" TargetMode="External"/><Relationship Id="rId771" Type="http://schemas.openxmlformats.org/officeDocument/2006/relationships/hyperlink" Target="http://checkr.com" TargetMode="External"/><Relationship Id="rId327" Type="http://schemas.openxmlformats.org/officeDocument/2006/relationships/hyperlink" Target="http://deel.com" TargetMode="External"/><Relationship Id="rId569" Type="http://schemas.openxmlformats.org/officeDocument/2006/relationships/hyperlink" Target="http://catonetworks.com" TargetMode="External"/><Relationship Id="rId326" Type="http://schemas.openxmlformats.org/officeDocument/2006/relationships/hyperlink" Target="http://denodo.com" TargetMode="External"/><Relationship Id="rId568" Type="http://schemas.openxmlformats.org/officeDocument/2006/relationships/hyperlink" Target="http://activefence.com" TargetMode="External"/><Relationship Id="rId325" Type="http://schemas.openxmlformats.org/officeDocument/2006/relationships/hyperlink" Target="http://zluri.com" TargetMode="External"/><Relationship Id="rId567" Type="http://schemas.openxmlformats.org/officeDocument/2006/relationships/hyperlink" Target="http://leadiq.com" TargetMode="External"/><Relationship Id="rId324" Type="http://schemas.openxmlformats.org/officeDocument/2006/relationships/hyperlink" Target="http://jellyfish.co" TargetMode="External"/><Relationship Id="rId566" Type="http://schemas.openxmlformats.org/officeDocument/2006/relationships/hyperlink" Target="http://maxio.com" TargetMode="External"/><Relationship Id="rId329" Type="http://schemas.openxmlformats.org/officeDocument/2006/relationships/hyperlink" Target="http://aceve.com" TargetMode="External"/><Relationship Id="rId328" Type="http://schemas.openxmlformats.org/officeDocument/2006/relationships/hyperlink" Target="http://criticalstart.com" TargetMode="External"/><Relationship Id="rId561" Type="http://schemas.openxmlformats.org/officeDocument/2006/relationships/hyperlink" Target="http://exabeam.com" TargetMode="External"/><Relationship Id="rId560" Type="http://schemas.openxmlformats.org/officeDocument/2006/relationships/hyperlink" Target="http://introhive.com" TargetMode="External"/><Relationship Id="rId323" Type="http://schemas.openxmlformats.org/officeDocument/2006/relationships/hyperlink" Target="http://devrev.ai" TargetMode="External"/><Relationship Id="rId565" Type="http://schemas.openxmlformats.org/officeDocument/2006/relationships/hyperlink" Target="http://fieldnation.com" TargetMode="External"/><Relationship Id="rId322" Type="http://schemas.openxmlformats.org/officeDocument/2006/relationships/hyperlink" Target="http://replicant.com" TargetMode="External"/><Relationship Id="rId564" Type="http://schemas.openxmlformats.org/officeDocument/2006/relationships/hyperlink" Target="http://teradata.com" TargetMode="External"/><Relationship Id="rId321" Type="http://schemas.openxmlformats.org/officeDocument/2006/relationships/hyperlink" Target="http://convozen.ai" TargetMode="External"/><Relationship Id="rId563" Type="http://schemas.openxmlformats.org/officeDocument/2006/relationships/hyperlink" Target="http://getzipline.com" TargetMode="External"/><Relationship Id="rId320" Type="http://schemas.openxmlformats.org/officeDocument/2006/relationships/hyperlink" Target="http://boltzmann.co" TargetMode="External"/><Relationship Id="rId562" Type="http://schemas.openxmlformats.org/officeDocument/2006/relationships/hyperlink" Target="http://hibob.com" TargetMode="External"/><Relationship Id="rId316" Type="http://schemas.openxmlformats.org/officeDocument/2006/relationships/hyperlink" Target="http://benifex.com" TargetMode="External"/><Relationship Id="rId558" Type="http://schemas.openxmlformats.org/officeDocument/2006/relationships/hyperlink" Target="http://pingcap.com" TargetMode="External"/><Relationship Id="rId315" Type="http://schemas.openxmlformats.org/officeDocument/2006/relationships/hyperlink" Target="http://vantagecircle.com" TargetMode="External"/><Relationship Id="rId557" Type="http://schemas.openxmlformats.org/officeDocument/2006/relationships/hyperlink" Target="http://bigid.com" TargetMode="External"/><Relationship Id="rId799" Type="http://schemas.openxmlformats.org/officeDocument/2006/relationships/hyperlink" Target="http://shypple.com" TargetMode="External"/><Relationship Id="rId314" Type="http://schemas.openxmlformats.org/officeDocument/2006/relationships/hyperlink" Target="http://compliancequest.com" TargetMode="External"/><Relationship Id="rId556" Type="http://schemas.openxmlformats.org/officeDocument/2006/relationships/hyperlink" Target="http://lyrahealth.com" TargetMode="External"/><Relationship Id="rId798" Type="http://schemas.openxmlformats.org/officeDocument/2006/relationships/hyperlink" Target="http://facilio.com" TargetMode="External"/><Relationship Id="rId313" Type="http://schemas.openxmlformats.org/officeDocument/2006/relationships/hyperlink" Target="http://aptus.ai" TargetMode="External"/><Relationship Id="rId555" Type="http://schemas.openxmlformats.org/officeDocument/2006/relationships/hyperlink" Target="http://browserstack.com" TargetMode="External"/><Relationship Id="rId797" Type="http://schemas.openxmlformats.org/officeDocument/2006/relationships/hyperlink" Target="http://bayzat.com" TargetMode="External"/><Relationship Id="rId319" Type="http://schemas.openxmlformats.org/officeDocument/2006/relationships/hyperlink" Target="http://ceipal.com" TargetMode="External"/><Relationship Id="rId318" Type="http://schemas.openxmlformats.org/officeDocument/2006/relationships/hyperlink" Target="http://recastsoftware.com" TargetMode="External"/><Relationship Id="rId317" Type="http://schemas.openxmlformats.org/officeDocument/2006/relationships/hyperlink" Target="http://axiomllc.com" TargetMode="External"/><Relationship Id="rId559" Type="http://schemas.openxmlformats.org/officeDocument/2006/relationships/hyperlink" Target="http://sitedocs.com" TargetMode="External"/><Relationship Id="rId550" Type="http://schemas.openxmlformats.org/officeDocument/2006/relationships/hyperlink" Target="http://leapwork.com" TargetMode="External"/><Relationship Id="rId792" Type="http://schemas.openxmlformats.org/officeDocument/2006/relationships/hyperlink" Target="http://veriff.com" TargetMode="External"/><Relationship Id="rId791" Type="http://schemas.openxmlformats.org/officeDocument/2006/relationships/hyperlink" Target="http://gympass.com" TargetMode="External"/><Relationship Id="rId790" Type="http://schemas.openxmlformats.org/officeDocument/2006/relationships/hyperlink" Target="http://impact.com" TargetMode="External"/><Relationship Id="rId312" Type="http://schemas.openxmlformats.org/officeDocument/2006/relationships/hyperlink" Target="http://aptus.ai" TargetMode="External"/><Relationship Id="rId554" Type="http://schemas.openxmlformats.org/officeDocument/2006/relationships/hyperlink" Target="http://sarasanalytics.com" TargetMode="External"/><Relationship Id="rId796" Type="http://schemas.openxmlformats.org/officeDocument/2006/relationships/hyperlink" Target="http://getzlinq.com" TargetMode="External"/><Relationship Id="rId311" Type="http://schemas.openxmlformats.org/officeDocument/2006/relationships/hyperlink" Target="http://nurseregistry.com" TargetMode="External"/><Relationship Id="rId553" Type="http://schemas.openxmlformats.org/officeDocument/2006/relationships/hyperlink" Target="http://aerospike.com" TargetMode="External"/><Relationship Id="rId795" Type="http://schemas.openxmlformats.org/officeDocument/2006/relationships/hyperlink" Target="http://ellucian.com" TargetMode="External"/><Relationship Id="rId310" Type="http://schemas.openxmlformats.org/officeDocument/2006/relationships/hyperlink" Target="http://riskonnect.com" TargetMode="External"/><Relationship Id="rId552" Type="http://schemas.openxmlformats.org/officeDocument/2006/relationships/hyperlink" Target="http://embrace.io" TargetMode="External"/><Relationship Id="rId794" Type="http://schemas.openxmlformats.org/officeDocument/2006/relationships/hyperlink" Target="http://peoplestrong.com" TargetMode="External"/><Relationship Id="rId551" Type="http://schemas.openxmlformats.org/officeDocument/2006/relationships/hyperlink" Target="http://visier.com" TargetMode="External"/><Relationship Id="rId793" Type="http://schemas.openxmlformats.org/officeDocument/2006/relationships/hyperlink" Target="http://hasura.io" TargetMode="External"/><Relationship Id="rId297" Type="http://schemas.openxmlformats.org/officeDocument/2006/relationships/hyperlink" Target="http://scrive.com" TargetMode="External"/><Relationship Id="rId296" Type="http://schemas.openxmlformats.org/officeDocument/2006/relationships/hyperlink" Target="http://finbox.in" TargetMode="External"/><Relationship Id="rId295" Type="http://schemas.openxmlformats.org/officeDocument/2006/relationships/hyperlink" Target="http://sprinklr.com" TargetMode="External"/><Relationship Id="rId294" Type="http://schemas.openxmlformats.org/officeDocument/2006/relationships/hyperlink" Target="http://flashpoint.io" TargetMode="External"/><Relationship Id="rId299" Type="http://schemas.openxmlformats.org/officeDocument/2006/relationships/hyperlink" Target="http://healthmonitor.com" TargetMode="External"/><Relationship Id="rId298" Type="http://schemas.openxmlformats.org/officeDocument/2006/relationships/hyperlink" Target="http://guesty.com" TargetMode="External"/><Relationship Id="rId271" Type="http://schemas.openxmlformats.org/officeDocument/2006/relationships/hyperlink" Target="http://sprypt.com" TargetMode="External"/><Relationship Id="rId270" Type="http://schemas.openxmlformats.org/officeDocument/2006/relationships/hyperlink" Target="http://originbenefits.com" TargetMode="External"/><Relationship Id="rId269" Type="http://schemas.openxmlformats.org/officeDocument/2006/relationships/hyperlink" Target="http://wnstn.ai" TargetMode="External"/><Relationship Id="rId264" Type="http://schemas.openxmlformats.org/officeDocument/2006/relationships/hyperlink" Target="http://clear.in" TargetMode="External"/><Relationship Id="rId263" Type="http://schemas.openxmlformats.org/officeDocument/2006/relationships/hyperlink" Target="http://moveconcierge.com" TargetMode="External"/><Relationship Id="rId262" Type="http://schemas.openxmlformats.org/officeDocument/2006/relationships/hyperlink" Target="http://baroz.co.il" TargetMode="External"/><Relationship Id="rId261" Type="http://schemas.openxmlformats.org/officeDocument/2006/relationships/hyperlink" Target="http://telenity.com" TargetMode="External"/><Relationship Id="rId268" Type="http://schemas.openxmlformats.org/officeDocument/2006/relationships/hyperlink" Target="http://hcah.in" TargetMode="External"/><Relationship Id="rId267" Type="http://schemas.openxmlformats.org/officeDocument/2006/relationships/hyperlink" Target="http://bonterratech.com" TargetMode="External"/><Relationship Id="rId266" Type="http://schemas.openxmlformats.org/officeDocument/2006/relationships/hyperlink" Target="http://blueconic.com" TargetMode="External"/><Relationship Id="rId265" Type="http://schemas.openxmlformats.org/officeDocument/2006/relationships/hyperlink" Target="http://ashbyhq.com" TargetMode="External"/><Relationship Id="rId260" Type="http://schemas.openxmlformats.org/officeDocument/2006/relationships/hyperlink" Target="http://1beat.com" TargetMode="External"/><Relationship Id="rId259" Type="http://schemas.openxmlformats.org/officeDocument/2006/relationships/hyperlink" Target="http://keelvar.com" TargetMode="External"/><Relationship Id="rId258" Type="http://schemas.openxmlformats.org/officeDocument/2006/relationships/hyperlink" Target="http://embracecloud.nl" TargetMode="External"/><Relationship Id="rId253" Type="http://schemas.openxmlformats.org/officeDocument/2006/relationships/hyperlink" Target="http://rednucleus.com" TargetMode="External"/><Relationship Id="rId495" Type="http://schemas.openxmlformats.org/officeDocument/2006/relationships/hyperlink" Target="http://scrut.io" TargetMode="External"/><Relationship Id="rId252" Type="http://schemas.openxmlformats.org/officeDocument/2006/relationships/hyperlink" Target="http://vendoroo.ai" TargetMode="External"/><Relationship Id="rId494" Type="http://schemas.openxmlformats.org/officeDocument/2006/relationships/hyperlink" Target="http://ideaforgetech.com" TargetMode="External"/><Relationship Id="rId251" Type="http://schemas.openxmlformats.org/officeDocument/2006/relationships/hyperlink" Target="http://grab.com" TargetMode="External"/><Relationship Id="rId493" Type="http://schemas.openxmlformats.org/officeDocument/2006/relationships/hyperlink" Target="http://contentstack.com" TargetMode="External"/><Relationship Id="rId250" Type="http://schemas.openxmlformats.org/officeDocument/2006/relationships/hyperlink" Target="http://uniqode.com" TargetMode="External"/><Relationship Id="rId492" Type="http://schemas.openxmlformats.org/officeDocument/2006/relationships/hyperlink" Target="http://sitecore.com" TargetMode="External"/><Relationship Id="rId257" Type="http://schemas.openxmlformats.org/officeDocument/2006/relationships/hyperlink" Target="http://perfios.com" TargetMode="External"/><Relationship Id="rId499" Type="http://schemas.openxmlformats.org/officeDocument/2006/relationships/hyperlink" Target="http://envestnet.com" TargetMode="External"/><Relationship Id="rId256" Type="http://schemas.openxmlformats.org/officeDocument/2006/relationships/hyperlink" Target="http://jasper.ai" TargetMode="External"/><Relationship Id="rId498" Type="http://schemas.openxmlformats.org/officeDocument/2006/relationships/hyperlink" Target="http://ofx.com" TargetMode="External"/><Relationship Id="rId255" Type="http://schemas.openxmlformats.org/officeDocument/2006/relationships/hyperlink" Target="http://greythr.com" TargetMode="External"/><Relationship Id="rId497" Type="http://schemas.openxmlformats.org/officeDocument/2006/relationships/hyperlink" Target="http://owndata.com" TargetMode="External"/><Relationship Id="rId254" Type="http://schemas.openxmlformats.org/officeDocument/2006/relationships/hyperlink" Target="http://qbiq.ai" TargetMode="External"/><Relationship Id="rId496" Type="http://schemas.openxmlformats.org/officeDocument/2006/relationships/hyperlink" Target="http://celoxis.com" TargetMode="External"/><Relationship Id="rId293" Type="http://schemas.openxmlformats.org/officeDocument/2006/relationships/hyperlink" Target="http://crossbeam.com" TargetMode="External"/><Relationship Id="rId292" Type="http://schemas.openxmlformats.org/officeDocument/2006/relationships/hyperlink" Target="http://teamfront.com" TargetMode="External"/><Relationship Id="rId291" Type="http://schemas.openxmlformats.org/officeDocument/2006/relationships/hyperlink" Target="http://rategain.com" TargetMode="External"/><Relationship Id="rId290" Type="http://schemas.openxmlformats.org/officeDocument/2006/relationships/hyperlink" Target="http://avconcepts.com" TargetMode="External"/><Relationship Id="rId286" Type="http://schemas.openxmlformats.org/officeDocument/2006/relationships/hyperlink" Target="http://demandscience.com" TargetMode="External"/><Relationship Id="rId285" Type="http://schemas.openxmlformats.org/officeDocument/2006/relationships/hyperlink" Target="http://solink.com" TargetMode="External"/><Relationship Id="rId284" Type="http://schemas.openxmlformats.org/officeDocument/2006/relationships/hyperlink" Target="http://engine.com" TargetMode="External"/><Relationship Id="rId283" Type="http://schemas.openxmlformats.org/officeDocument/2006/relationships/hyperlink" Target="http://remote.com" TargetMode="External"/><Relationship Id="rId289" Type="http://schemas.openxmlformats.org/officeDocument/2006/relationships/hyperlink" Target="http://zenskar.com" TargetMode="External"/><Relationship Id="rId288" Type="http://schemas.openxmlformats.org/officeDocument/2006/relationships/hyperlink" Target="http://auditboard.com" TargetMode="External"/><Relationship Id="rId287" Type="http://schemas.openxmlformats.org/officeDocument/2006/relationships/hyperlink" Target="http://aledade.com" TargetMode="External"/><Relationship Id="rId282" Type="http://schemas.openxmlformats.org/officeDocument/2006/relationships/hyperlink" Target="http://propertyangel.in" TargetMode="External"/><Relationship Id="rId281" Type="http://schemas.openxmlformats.org/officeDocument/2006/relationships/hyperlink" Target="http://sonarsource.com" TargetMode="External"/><Relationship Id="rId280" Type="http://schemas.openxmlformats.org/officeDocument/2006/relationships/hyperlink" Target="http://leandata.com" TargetMode="External"/><Relationship Id="rId275" Type="http://schemas.openxmlformats.org/officeDocument/2006/relationships/hyperlink" Target="http://greythr.com" TargetMode="External"/><Relationship Id="rId274" Type="http://schemas.openxmlformats.org/officeDocument/2006/relationships/hyperlink" Target="http://ventureep.co" TargetMode="External"/><Relationship Id="rId273" Type="http://schemas.openxmlformats.org/officeDocument/2006/relationships/hyperlink" Target="http://cyberhaven.com" TargetMode="External"/><Relationship Id="rId272" Type="http://schemas.openxmlformats.org/officeDocument/2006/relationships/hyperlink" Target="http://grocliq.com" TargetMode="External"/><Relationship Id="rId279" Type="http://schemas.openxmlformats.org/officeDocument/2006/relationships/hyperlink" Target="http://k1x.io" TargetMode="External"/><Relationship Id="rId278" Type="http://schemas.openxmlformats.org/officeDocument/2006/relationships/hyperlink" Target="http://linkedin.com" TargetMode="External"/><Relationship Id="rId277" Type="http://schemas.openxmlformats.org/officeDocument/2006/relationships/hyperlink" Target="http://konekto.io" TargetMode="External"/><Relationship Id="rId276" Type="http://schemas.openxmlformats.org/officeDocument/2006/relationships/hyperlink" Target="http://konekto.io" TargetMode="External"/><Relationship Id="rId907" Type="http://schemas.openxmlformats.org/officeDocument/2006/relationships/hyperlink" Target="http://lokalise.com" TargetMode="External"/><Relationship Id="rId906" Type="http://schemas.openxmlformats.org/officeDocument/2006/relationships/hyperlink" Target="http://haptik.ai" TargetMode="External"/><Relationship Id="rId905" Type="http://schemas.openxmlformats.org/officeDocument/2006/relationships/hyperlink" Target="http://mitratech.com" TargetMode="External"/><Relationship Id="rId904" Type="http://schemas.openxmlformats.org/officeDocument/2006/relationships/hyperlink" Target="http://moengage.com" TargetMode="External"/><Relationship Id="rId909" Type="http://schemas.openxmlformats.org/officeDocument/2006/relationships/hyperlink" Target="http://shipperhq.com" TargetMode="External"/><Relationship Id="rId908" Type="http://schemas.openxmlformats.org/officeDocument/2006/relationships/hyperlink" Target="http://gupshup.io" TargetMode="External"/><Relationship Id="rId903" Type="http://schemas.openxmlformats.org/officeDocument/2006/relationships/hyperlink" Target="http://kennected.io" TargetMode="External"/><Relationship Id="rId902" Type="http://schemas.openxmlformats.org/officeDocument/2006/relationships/hyperlink" Target="http://coralogix.com" TargetMode="External"/><Relationship Id="rId901" Type="http://schemas.openxmlformats.org/officeDocument/2006/relationships/hyperlink" Target="http://rocketium.com" TargetMode="External"/><Relationship Id="rId900" Type="http://schemas.openxmlformats.org/officeDocument/2006/relationships/hyperlink" Target="http://signzy.com" TargetMode="External"/><Relationship Id="rId929" Type="http://schemas.openxmlformats.org/officeDocument/2006/relationships/hyperlink" Target="http://montecarlodata.com" TargetMode="External"/><Relationship Id="rId928" Type="http://schemas.openxmlformats.org/officeDocument/2006/relationships/hyperlink" Target="http://vidyard.com" TargetMode="External"/><Relationship Id="rId927" Type="http://schemas.openxmlformats.org/officeDocument/2006/relationships/hyperlink" Target="http://moderncampus.com" TargetMode="External"/><Relationship Id="rId926" Type="http://schemas.openxmlformats.org/officeDocument/2006/relationships/hyperlink" Target="http://gravitee.io" TargetMode="External"/><Relationship Id="rId921" Type="http://schemas.openxmlformats.org/officeDocument/2006/relationships/hyperlink" Target="http://apriori.com" TargetMode="External"/><Relationship Id="rId920" Type="http://schemas.openxmlformats.org/officeDocument/2006/relationships/hyperlink" Target="http://securiti.ai" TargetMode="External"/><Relationship Id="rId925" Type="http://schemas.openxmlformats.org/officeDocument/2006/relationships/hyperlink" Target="http://gravitee.io" TargetMode="External"/><Relationship Id="rId924" Type="http://schemas.openxmlformats.org/officeDocument/2006/relationships/hyperlink" Target="http://saasoptics.com" TargetMode="External"/><Relationship Id="rId923" Type="http://schemas.openxmlformats.org/officeDocument/2006/relationships/hyperlink" Target="http://getspectrum.io" TargetMode="External"/><Relationship Id="rId922" Type="http://schemas.openxmlformats.org/officeDocument/2006/relationships/hyperlink" Target="http://higherlogic.com" TargetMode="External"/><Relationship Id="rId918" Type="http://schemas.openxmlformats.org/officeDocument/2006/relationships/hyperlink" Target="http://clickup.com" TargetMode="External"/><Relationship Id="rId917" Type="http://schemas.openxmlformats.org/officeDocument/2006/relationships/hyperlink" Target="http://krisp.ai" TargetMode="External"/><Relationship Id="rId916" Type="http://schemas.openxmlformats.org/officeDocument/2006/relationships/hyperlink" Target="http://crossbeam.com" TargetMode="External"/><Relationship Id="rId915" Type="http://schemas.openxmlformats.org/officeDocument/2006/relationships/hyperlink" Target="http://logrocket.com" TargetMode="External"/><Relationship Id="rId919" Type="http://schemas.openxmlformats.org/officeDocument/2006/relationships/hyperlink" Target="http://linksquares.com" TargetMode="External"/><Relationship Id="rId910" Type="http://schemas.openxmlformats.org/officeDocument/2006/relationships/hyperlink" Target="http://wunderkind.co" TargetMode="External"/><Relationship Id="rId914" Type="http://schemas.openxmlformats.org/officeDocument/2006/relationships/hyperlink" Target="http://agiloft.com" TargetMode="External"/><Relationship Id="rId913" Type="http://schemas.openxmlformats.org/officeDocument/2006/relationships/hyperlink" Target="http://dbtlabs.com" TargetMode="External"/><Relationship Id="rId912" Type="http://schemas.openxmlformats.org/officeDocument/2006/relationships/hyperlink" Target="http://captivateiq.com" TargetMode="External"/><Relationship Id="rId911" Type="http://schemas.openxmlformats.org/officeDocument/2006/relationships/hyperlink" Target="http://useinsider.com" TargetMode="External"/><Relationship Id="rId629" Type="http://schemas.openxmlformats.org/officeDocument/2006/relationships/hyperlink" Target="http://f5.com" TargetMode="External"/><Relationship Id="rId624" Type="http://schemas.openxmlformats.org/officeDocument/2006/relationships/hyperlink" Target="http://justworks.com" TargetMode="External"/><Relationship Id="rId866" Type="http://schemas.openxmlformats.org/officeDocument/2006/relationships/hyperlink" Target="http://vfirst.com" TargetMode="External"/><Relationship Id="rId623" Type="http://schemas.openxmlformats.org/officeDocument/2006/relationships/hyperlink" Target="http://mixpanel.com" TargetMode="External"/><Relationship Id="rId865" Type="http://schemas.openxmlformats.org/officeDocument/2006/relationships/hyperlink" Target="http://acuvate.com" TargetMode="External"/><Relationship Id="rId622" Type="http://schemas.openxmlformats.org/officeDocument/2006/relationships/hyperlink" Target="http://fountain.com" TargetMode="External"/><Relationship Id="rId864" Type="http://schemas.openxmlformats.org/officeDocument/2006/relationships/hyperlink" Target="http://zycus.com" TargetMode="External"/><Relationship Id="rId621" Type="http://schemas.openxmlformats.org/officeDocument/2006/relationships/hyperlink" Target="http://watershed.com" TargetMode="External"/><Relationship Id="rId863" Type="http://schemas.openxmlformats.org/officeDocument/2006/relationships/hyperlink" Target="http://tookitaki.com" TargetMode="External"/><Relationship Id="rId628" Type="http://schemas.openxmlformats.org/officeDocument/2006/relationships/hyperlink" Target="http://teramind.co" TargetMode="External"/><Relationship Id="rId627" Type="http://schemas.openxmlformats.org/officeDocument/2006/relationships/hyperlink" Target="http://yipitdata.com" TargetMode="External"/><Relationship Id="rId869" Type="http://schemas.openxmlformats.org/officeDocument/2006/relationships/hyperlink" Target="http://alayacare.com" TargetMode="External"/><Relationship Id="rId626" Type="http://schemas.openxmlformats.org/officeDocument/2006/relationships/hyperlink" Target="http://scale.com" TargetMode="External"/><Relationship Id="rId868" Type="http://schemas.openxmlformats.org/officeDocument/2006/relationships/hyperlink" Target="http://harness.io" TargetMode="External"/><Relationship Id="rId625" Type="http://schemas.openxmlformats.org/officeDocument/2006/relationships/hyperlink" Target="http://idealsvdr.com" TargetMode="External"/><Relationship Id="rId867" Type="http://schemas.openxmlformats.org/officeDocument/2006/relationships/hyperlink" Target="http://birdeye.com" TargetMode="External"/><Relationship Id="rId620" Type="http://schemas.openxmlformats.org/officeDocument/2006/relationships/hyperlink" Target="http://levelaccess.com" TargetMode="External"/><Relationship Id="rId862" Type="http://schemas.openxmlformats.org/officeDocument/2006/relationships/hyperlink" Target="http://hippovideo.io" TargetMode="External"/><Relationship Id="rId861" Type="http://schemas.openxmlformats.org/officeDocument/2006/relationships/hyperlink" Target="http://exotel.com" TargetMode="External"/><Relationship Id="rId860" Type="http://schemas.openxmlformats.org/officeDocument/2006/relationships/hyperlink" Target="http://scaleupsaas.org" TargetMode="External"/><Relationship Id="rId619" Type="http://schemas.openxmlformats.org/officeDocument/2006/relationships/hyperlink" Target="http://quadient.com" TargetMode="External"/><Relationship Id="rId618" Type="http://schemas.openxmlformats.org/officeDocument/2006/relationships/hyperlink" Target="http://truecaller.com" TargetMode="External"/><Relationship Id="rId613" Type="http://schemas.openxmlformats.org/officeDocument/2006/relationships/hyperlink" Target="http://usekojo.com" TargetMode="External"/><Relationship Id="rId855" Type="http://schemas.openxmlformats.org/officeDocument/2006/relationships/hyperlink" Target="http://couchbase.com" TargetMode="External"/><Relationship Id="rId612" Type="http://schemas.openxmlformats.org/officeDocument/2006/relationships/hyperlink" Target="http://juspay.in" TargetMode="External"/><Relationship Id="rId854" Type="http://schemas.openxmlformats.org/officeDocument/2006/relationships/hyperlink" Target="http://netcorecloud.com" TargetMode="External"/><Relationship Id="rId611" Type="http://schemas.openxmlformats.org/officeDocument/2006/relationships/hyperlink" Target="http://netcall.com" TargetMode="External"/><Relationship Id="rId853" Type="http://schemas.openxmlformats.org/officeDocument/2006/relationships/hyperlink" Target="http://pave.com" TargetMode="External"/><Relationship Id="rId610" Type="http://schemas.openxmlformats.org/officeDocument/2006/relationships/hyperlink" Target="http://ignitionapp.com" TargetMode="External"/><Relationship Id="rId852" Type="http://schemas.openxmlformats.org/officeDocument/2006/relationships/hyperlink" Target="http://billdr.co" TargetMode="External"/><Relationship Id="rId617" Type="http://schemas.openxmlformats.org/officeDocument/2006/relationships/hyperlink" Target="http://operto.com" TargetMode="External"/><Relationship Id="rId859" Type="http://schemas.openxmlformats.org/officeDocument/2006/relationships/hyperlink" Target="http://atlashxm.com" TargetMode="External"/><Relationship Id="rId616" Type="http://schemas.openxmlformats.org/officeDocument/2006/relationships/hyperlink" Target="http://nexhealth.com" TargetMode="External"/><Relationship Id="rId858" Type="http://schemas.openxmlformats.org/officeDocument/2006/relationships/hyperlink" Target="http://eso.com" TargetMode="External"/><Relationship Id="rId615" Type="http://schemas.openxmlformats.org/officeDocument/2006/relationships/hyperlink" Target="http://pecan.ai" TargetMode="External"/><Relationship Id="rId857" Type="http://schemas.openxmlformats.org/officeDocument/2006/relationships/hyperlink" Target="http://rollworks.com" TargetMode="External"/><Relationship Id="rId614" Type="http://schemas.openxmlformats.org/officeDocument/2006/relationships/hyperlink" Target="http://brandwatch.com" TargetMode="External"/><Relationship Id="rId856" Type="http://schemas.openxmlformats.org/officeDocument/2006/relationships/hyperlink" Target="http://eccouncil.org" TargetMode="External"/><Relationship Id="rId851" Type="http://schemas.openxmlformats.org/officeDocument/2006/relationships/hyperlink" Target="http://teamsnap.com" TargetMode="External"/><Relationship Id="rId850" Type="http://schemas.openxmlformats.org/officeDocument/2006/relationships/hyperlink" Target="http://skedulo.com" TargetMode="External"/><Relationship Id="rId409" Type="http://schemas.openxmlformats.org/officeDocument/2006/relationships/hyperlink" Target="http://optimove.com" TargetMode="External"/><Relationship Id="rId404" Type="http://schemas.openxmlformats.org/officeDocument/2006/relationships/hyperlink" Target="http://gupshup.io" TargetMode="External"/><Relationship Id="rId646" Type="http://schemas.openxmlformats.org/officeDocument/2006/relationships/hyperlink" Target="http://nintex.com" TargetMode="External"/><Relationship Id="rId888" Type="http://schemas.openxmlformats.org/officeDocument/2006/relationships/hyperlink" Target="http://amagi.com" TargetMode="External"/><Relationship Id="rId403" Type="http://schemas.openxmlformats.org/officeDocument/2006/relationships/hyperlink" Target="http://questanalytics.com" TargetMode="External"/><Relationship Id="rId645" Type="http://schemas.openxmlformats.org/officeDocument/2006/relationships/hyperlink" Target="http://calendly.com" TargetMode="External"/><Relationship Id="rId887" Type="http://schemas.openxmlformats.org/officeDocument/2006/relationships/hyperlink" Target="http://cropin.com" TargetMode="External"/><Relationship Id="rId402" Type="http://schemas.openxmlformats.org/officeDocument/2006/relationships/hyperlink" Target="http://filevine.com" TargetMode="External"/><Relationship Id="rId644" Type="http://schemas.openxmlformats.org/officeDocument/2006/relationships/hyperlink" Target="http://tpisoftware.com" TargetMode="External"/><Relationship Id="rId886" Type="http://schemas.openxmlformats.org/officeDocument/2006/relationships/hyperlink" Target="http://kissflow.com" TargetMode="External"/><Relationship Id="rId401" Type="http://schemas.openxmlformats.org/officeDocument/2006/relationships/hyperlink" Target="http://webengage.com" TargetMode="External"/><Relationship Id="rId643" Type="http://schemas.openxmlformats.org/officeDocument/2006/relationships/hyperlink" Target="http://gorgias.com" TargetMode="External"/><Relationship Id="rId885" Type="http://schemas.openxmlformats.org/officeDocument/2006/relationships/hyperlink" Target="http://blueocean.ai" TargetMode="External"/><Relationship Id="rId408" Type="http://schemas.openxmlformats.org/officeDocument/2006/relationships/hyperlink" Target="http://ushur.com" TargetMode="External"/><Relationship Id="rId407" Type="http://schemas.openxmlformats.org/officeDocument/2006/relationships/hyperlink" Target="http://simpplr.com" TargetMode="External"/><Relationship Id="rId649" Type="http://schemas.openxmlformats.org/officeDocument/2006/relationships/hyperlink" Target="http://ziphq.com" TargetMode="External"/><Relationship Id="rId406" Type="http://schemas.openxmlformats.org/officeDocument/2006/relationships/hyperlink" Target="http://salesloft.com" TargetMode="External"/><Relationship Id="rId648" Type="http://schemas.openxmlformats.org/officeDocument/2006/relationships/hyperlink" Target="http://intentsify.io" TargetMode="External"/><Relationship Id="rId405" Type="http://schemas.openxmlformats.org/officeDocument/2006/relationships/hyperlink" Target="http://goconsensus.com" TargetMode="External"/><Relationship Id="rId647" Type="http://schemas.openxmlformats.org/officeDocument/2006/relationships/hyperlink" Target="http://seekout.com" TargetMode="External"/><Relationship Id="rId889" Type="http://schemas.openxmlformats.org/officeDocument/2006/relationships/hyperlink" Target="http://disprz.com" TargetMode="External"/><Relationship Id="rId880" Type="http://schemas.openxmlformats.org/officeDocument/2006/relationships/hyperlink" Target="http://verbit.ai" TargetMode="External"/><Relationship Id="rId400" Type="http://schemas.openxmlformats.org/officeDocument/2006/relationships/hyperlink" Target="http://appsflyer.com" TargetMode="External"/><Relationship Id="rId642" Type="http://schemas.openxmlformats.org/officeDocument/2006/relationships/hyperlink" Target="http://chargebee.com" TargetMode="External"/><Relationship Id="rId884" Type="http://schemas.openxmlformats.org/officeDocument/2006/relationships/hyperlink" Target="http://mural.co" TargetMode="External"/><Relationship Id="rId641" Type="http://schemas.openxmlformats.org/officeDocument/2006/relationships/hyperlink" Target="http://nayax.com" TargetMode="External"/><Relationship Id="rId883" Type="http://schemas.openxmlformats.org/officeDocument/2006/relationships/hyperlink" Target="http://nova-benefits.com" TargetMode="External"/><Relationship Id="rId640" Type="http://schemas.openxmlformats.org/officeDocument/2006/relationships/hyperlink" Target="http://gigaspaces.com" TargetMode="External"/><Relationship Id="rId882" Type="http://schemas.openxmlformats.org/officeDocument/2006/relationships/hyperlink" Target="http://credavenue.com" TargetMode="External"/><Relationship Id="rId881" Type="http://schemas.openxmlformats.org/officeDocument/2006/relationships/hyperlink" Target="http://ceipal.com" TargetMode="External"/><Relationship Id="rId635" Type="http://schemas.openxmlformats.org/officeDocument/2006/relationships/hyperlink" Target="http://telnyx.com" TargetMode="External"/><Relationship Id="rId877" Type="http://schemas.openxmlformats.org/officeDocument/2006/relationships/hyperlink" Target="http://ironcladapp.com" TargetMode="External"/><Relationship Id="rId634" Type="http://schemas.openxmlformats.org/officeDocument/2006/relationships/hyperlink" Target="http://upside.com" TargetMode="External"/><Relationship Id="rId876" Type="http://schemas.openxmlformats.org/officeDocument/2006/relationships/hyperlink" Target="http://apty.io" TargetMode="External"/><Relationship Id="rId633" Type="http://schemas.openxmlformats.org/officeDocument/2006/relationships/hyperlink" Target="http://zuora.com" TargetMode="External"/><Relationship Id="rId875" Type="http://schemas.openxmlformats.org/officeDocument/2006/relationships/hyperlink" Target="http://planful.com" TargetMode="External"/><Relationship Id="rId632" Type="http://schemas.openxmlformats.org/officeDocument/2006/relationships/hyperlink" Target="http://leadershipconnect.io" TargetMode="External"/><Relationship Id="rId874" Type="http://schemas.openxmlformats.org/officeDocument/2006/relationships/hyperlink" Target="http://imocha.io" TargetMode="External"/><Relationship Id="rId639" Type="http://schemas.openxmlformats.org/officeDocument/2006/relationships/hyperlink" Target="http://merative.com" TargetMode="External"/><Relationship Id="rId638" Type="http://schemas.openxmlformats.org/officeDocument/2006/relationships/hyperlink" Target="http://dronedeploy.com" TargetMode="External"/><Relationship Id="rId637" Type="http://schemas.openxmlformats.org/officeDocument/2006/relationships/hyperlink" Target="http://coherehealth.com" TargetMode="External"/><Relationship Id="rId879" Type="http://schemas.openxmlformats.org/officeDocument/2006/relationships/hyperlink" Target="http://verbit.ai" TargetMode="External"/><Relationship Id="rId636" Type="http://schemas.openxmlformats.org/officeDocument/2006/relationships/hyperlink" Target="http://billingplatform.com" TargetMode="External"/><Relationship Id="rId878" Type="http://schemas.openxmlformats.org/officeDocument/2006/relationships/hyperlink" Target="http://clarifai.com" TargetMode="External"/><Relationship Id="rId631" Type="http://schemas.openxmlformats.org/officeDocument/2006/relationships/hyperlink" Target="http://integranxt.com" TargetMode="External"/><Relationship Id="rId873" Type="http://schemas.openxmlformats.org/officeDocument/2006/relationships/hyperlink" Target="http://striim.com" TargetMode="External"/><Relationship Id="rId630" Type="http://schemas.openxmlformats.org/officeDocument/2006/relationships/hyperlink" Target="http://sensehq.com" TargetMode="External"/><Relationship Id="rId872" Type="http://schemas.openxmlformats.org/officeDocument/2006/relationships/hyperlink" Target="http://itilite.com" TargetMode="External"/><Relationship Id="rId871" Type="http://schemas.openxmlformats.org/officeDocument/2006/relationships/hyperlink" Target="http://innovaccer.com" TargetMode="External"/><Relationship Id="rId870" Type="http://schemas.openxmlformats.org/officeDocument/2006/relationships/hyperlink" Target="http://15five.com" TargetMode="External"/><Relationship Id="rId829" Type="http://schemas.openxmlformats.org/officeDocument/2006/relationships/hyperlink" Target="http://circleci.com" TargetMode="External"/><Relationship Id="rId828" Type="http://schemas.openxmlformats.org/officeDocument/2006/relationships/hyperlink" Target="http://xoriant.com" TargetMode="External"/><Relationship Id="rId827" Type="http://schemas.openxmlformats.org/officeDocument/2006/relationships/hyperlink" Target="http://enfuce.com" TargetMode="External"/><Relationship Id="rId822" Type="http://schemas.openxmlformats.org/officeDocument/2006/relationships/hyperlink" Target="http://quantum.com" TargetMode="External"/><Relationship Id="rId821" Type="http://schemas.openxmlformats.org/officeDocument/2006/relationships/hyperlink" Target="http://onespan.com" TargetMode="External"/><Relationship Id="rId820" Type="http://schemas.openxmlformats.org/officeDocument/2006/relationships/hyperlink" Target="http://sourcewhale.com" TargetMode="External"/><Relationship Id="rId826" Type="http://schemas.openxmlformats.org/officeDocument/2006/relationships/hyperlink" Target="http://browserstack.com" TargetMode="External"/><Relationship Id="rId825" Type="http://schemas.openxmlformats.org/officeDocument/2006/relationships/hyperlink" Target="http://inboxinsight.com" TargetMode="External"/><Relationship Id="rId824" Type="http://schemas.openxmlformats.org/officeDocument/2006/relationships/hyperlink" Target="http://sayari.com" TargetMode="External"/><Relationship Id="rId823" Type="http://schemas.openxmlformats.org/officeDocument/2006/relationships/hyperlink" Target="http://wandb.ai" TargetMode="External"/><Relationship Id="rId819" Type="http://schemas.openxmlformats.org/officeDocument/2006/relationships/hyperlink" Target="http://infoblox.com" TargetMode="External"/><Relationship Id="rId818" Type="http://schemas.openxmlformats.org/officeDocument/2006/relationships/hyperlink" Target="http://coro.net" TargetMode="External"/><Relationship Id="rId817" Type="http://schemas.openxmlformats.org/officeDocument/2006/relationships/hyperlink" Target="http://g2.com" TargetMode="External"/><Relationship Id="rId816" Type="http://schemas.openxmlformats.org/officeDocument/2006/relationships/hyperlink" Target="http://tanium.com" TargetMode="External"/><Relationship Id="rId811" Type="http://schemas.openxmlformats.org/officeDocument/2006/relationships/hyperlink" Target="http://scrive.com" TargetMode="External"/><Relationship Id="rId810" Type="http://schemas.openxmlformats.org/officeDocument/2006/relationships/hyperlink" Target="http://brightedge.com" TargetMode="External"/><Relationship Id="rId815" Type="http://schemas.openxmlformats.org/officeDocument/2006/relationships/hyperlink" Target="http://teledyneflir.com" TargetMode="External"/><Relationship Id="rId814" Type="http://schemas.openxmlformats.org/officeDocument/2006/relationships/hyperlink" Target="http://teledyneflir.com" TargetMode="External"/><Relationship Id="rId813" Type="http://schemas.openxmlformats.org/officeDocument/2006/relationships/hyperlink" Target="http://webengage.com" TargetMode="External"/><Relationship Id="rId812" Type="http://schemas.openxmlformats.org/officeDocument/2006/relationships/hyperlink" Target="http://dotmatics.com" TargetMode="External"/><Relationship Id="rId609" Type="http://schemas.openxmlformats.org/officeDocument/2006/relationships/hyperlink" Target="http://spendesk.com" TargetMode="External"/><Relationship Id="rId608" Type="http://schemas.openxmlformats.org/officeDocument/2006/relationships/hyperlink" Target="http://flashpoint.io" TargetMode="External"/><Relationship Id="rId607" Type="http://schemas.openxmlformats.org/officeDocument/2006/relationships/hyperlink" Target="http://medallia.com" TargetMode="External"/><Relationship Id="rId849" Type="http://schemas.openxmlformats.org/officeDocument/2006/relationships/hyperlink" Target="http://quickbase.com" TargetMode="External"/><Relationship Id="rId602" Type="http://schemas.openxmlformats.org/officeDocument/2006/relationships/hyperlink" Target="http://centralreach.com" TargetMode="External"/><Relationship Id="rId844" Type="http://schemas.openxmlformats.org/officeDocument/2006/relationships/hyperlink" Target="http://usemultiplier.com" TargetMode="External"/><Relationship Id="rId601" Type="http://schemas.openxmlformats.org/officeDocument/2006/relationships/hyperlink" Target="http://aytm.com" TargetMode="External"/><Relationship Id="rId843" Type="http://schemas.openxmlformats.org/officeDocument/2006/relationships/hyperlink" Target="http://pantheon.io" TargetMode="External"/><Relationship Id="rId600" Type="http://schemas.openxmlformats.org/officeDocument/2006/relationships/hyperlink" Target="http://druva.com" TargetMode="External"/><Relationship Id="rId842" Type="http://schemas.openxmlformats.org/officeDocument/2006/relationships/hyperlink" Target="http://clozd.com" TargetMode="External"/><Relationship Id="rId841" Type="http://schemas.openxmlformats.org/officeDocument/2006/relationships/hyperlink" Target="http://lob.com" TargetMode="External"/><Relationship Id="rId606" Type="http://schemas.openxmlformats.org/officeDocument/2006/relationships/hyperlink" Target="http://headspin.io" TargetMode="External"/><Relationship Id="rId848" Type="http://schemas.openxmlformats.org/officeDocument/2006/relationships/hyperlink" Target="http://amplitude.com" TargetMode="External"/><Relationship Id="rId605" Type="http://schemas.openxmlformats.org/officeDocument/2006/relationships/hyperlink" Target="http://infeedo.ai" TargetMode="External"/><Relationship Id="rId847" Type="http://schemas.openxmlformats.org/officeDocument/2006/relationships/hyperlink" Target="http://vanta.com" TargetMode="External"/><Relationship Id="rId604" Type="http://schemas.openxmlformats.org/officeDocument/2006/relationships/hyperlink" Target="http://finbox.in" TargetMode="External"/><Relationship Id="rId846" Type="http://schemas.openxmlformats.org/officeDocument/2006/relationships/hyperlink" Target="http://bullhorn.com" TargetMode="External"/><Relationship Id="rId603" Type="http://schemas.openxmlformats.org/officeDocument/2006/relationships/hyperlink" Target="http://agilitypr.com" TargetMode="External"/><Relationship Id="rId845" Type="http://schemas.openxmlformats.org/officeDocument/2006/relationships/hyperlink" Target="http://vantagecircle.com" TargetMode="External"/><Relationship Id="rId840" Type="http://schemas.openxmlformats.org/officeDocument/2006/relationships/hyperlink" Target="http://entrust.com" TargetMode="External"/><Relationship Id="rId839" Type="http://schemas.openxmlformats.org/officeDocument/2006/relationships/hyperlink" Target="http://greenhouse.io" TargetMode="External"/><Relationship Id="rId838" Type="http://schemas.openxmlformats.org/officeDocument/2006/relationships/hyperlink" Target="http://split.io" TargetMode="External"/><Relationship Id="rId833" Type="http://schemas.openxmlformats.org/officeDocument/2006/relationships/hyperlink" Target="http://increff.com" TargetMode="External"/><Relationship Id="rId832" Type="http://schemas.openxmlformats.org/officeDocument/2006/relationships/hyperlink" Target="http://filevine.com" TargetMode="External"/><Relationship Id="rId831" Type="http://schemas.openxmlformats.org/officeDocument/2006/relationships/hyperlink" Target="http://absorblms.com" TargetMode="External"/><Relationship Id="rId830" Type="http://schemas.openxmlformats.org/officeDocument/2006/relationships/hyperlink" Target="http://processfusion.com" TargetMode="External"/><Relationship Id="rId837" Type="http://schemas.openxmlformats.org/officeDocument/2006/relationships/hyperlink" Target="http://kubermatic.com" TargetMode="External"/><Relationship Id="rId836" Type="http://schemas.openxmlformats.org/officeDocument/2006/relationships/hyperlink" Target="http://appcast.io" TargetMode="External"/><Relationship Id="rId835" Type="http://schemas.openxmlformats.org/officeDocument/2006/relationships/hyperlink" Target="http://qualitykiosk.com" TargetMode="External"/><Relationship Id="rId834" Type="http://schemas.openxmlformats.org/officeDocument/2006/relationships/hyperlink" Target="http://highradius.com" TargetMode="External"/><Relationship Id="rId228" Type="http://schemas.openxmlformats.org/officeDocument/2006/relationships/hyperlink" Target="http://threatconnect.com" TargetMode="External"/><Relationship Id="rId227" Type="http://schemas.openxmlformats.org/officeDocument/2006/relationships/hyperlink" Target="http://yotpo.com" TargetMode="External"/><Relationship Id="rId469" Type="http://schemas.openxmlformats.org/officeDocument/2006/relationships/hyperlink" Target="http://people.ai" TargetMode="External"/><Relationship Id="rId226" Type="http://schemas.openxmlformats.org/officeDocument/2006/relationships/hyperlink" Target="http://comviva.com" TargetMode="External"/><Relationship Id="rId468" Type="http://schemas.openxmlformats.org/officeDocument/2006/relationships/hyperlink" Target="http://people.ai" TargetMode="External"/><Relationship Id="rId225" Type="http://schemas.openxmlformats.org/officeDocument/2006/relationships/hyperlink" Target="http://amarok.com" TargetMode="External"/><Relationship Id="rId467" Type="http://schemas.openxmlformats.org/officeDocument/2006/relationships/hyperlink" Target="http://accolade.com" TargetMode="External"/><Relationship Id="rId229" Type="http://schemas.openxmlformats.org/officeDocument/2006/relationships/hyperlink" Target="http://iheartmedia.com" TargetMode="External"/><Relationship Id="rId220" Type="http://schemas.openxmlformats.org/officeDocument/2006/relationships/hyperlink" Target="http://blumira.com" TargetMode="External"/><Relationship Id="rId462" Type="http://schemas.openxmlformats.org/officeDocument/2006/relationships/hyperlink" Target="http://qt.io" TargetMode="External"/><Relationship Id="rId461" Type="http://schemas.openxmlformats.org/officeDocument/2006/relationships/hyperlink" Target="http://chatmeter.com" TargetMode="External"/><Relationship Id="rId460" Type="http://schemas.openxmlformats.org/officeDocument/2006/relationships/hyperlink" Target="http://apptio.com" TargetMode="External"/><Relationship Id="rId224" Type="http://schemas.openxmlformats.org/officeDocument/2006/relationships/hyperlink" Target="http://jamloop.com" TargetMode="External"/><Relationship Id="rId466" Type="http://schemas.openxmlformats.org/officeDocument/2006/relationships/hyperlink" Target="http://walkme.com" TargetMode="External"/><Relationship Id="rId223" Type="http://schemas.openxmlformats.org/officeDocument/2006/relationships/hyperlink" Target="http://invitationhomes.com" TargetMode="External"/><Relationship Id="rId465" Type="http://schemas.openxmlformats.org/officeDocument/2006/relationships/hyperlink" Target="http://stampli.com" TargetMode="External"/><Relationship Id="rId222" Type="http://schemas.openxmlformats.org/officeDocument/2006/relationships/hyperlink" Target="http://gtmrevenue.com" TargetMode="External"/><Relationship Id="rId464" Type="http://schemas.openxmlformats.org/officeDocument/2006/relationships/hyperlink" Target="http://alation.com" TargetMode="External"/><Relationship Id="rId221" Type="http://schemas.openxmlformats.org/officeDocument/2006/relationships/hyperlink" Target="http://3ds.com" TargetMode="External"/><Relationship Id="rId463" Type="http://schemas.openxmlformats.org/officeDocument/2006/relationships/hyperlink" Target="http://explorance.com" TargetMode="External"/><Relationship Id="rId217" Type="http://schemas.openxmlformats.org/officeDocument/2006/relationships/hyperlink" Target="http://taec.com.mx" TargetMode="External"/><Relationship Id="rId459" Type="http://schemas.openxmlformats.org/officeDocument/2006/relationships/hyperlink" Target="http://cision.com" TargetMode="External"/><Relationship Id="rId216" Type="http://schemas.openxmlformats.org/officeDocument/2006/relationships/hyperlink" Target="http://aurigo.com" TargetMode="External"/><Relationship Id="rId458" Type="http://schemas.openxmlformats.org/officeDocument/2006/relationships/hyperlink" Target="http://simpplr.com" TargetMode="External"/><Relationship Id="rId215" Type="http://schemas.openxmlformats.org/officeDocument/2006/relationships/hyperlink" Target="http://leegality.com" TargetMode="External"/><Relationship Id="rId457" Type="http://schemas.openxmlformats.org/officeDocument/2006/relationships/hyperlink" Target="http://repairdesk.co" TargetMode="External"/><Relationship Id="rId699" Type="http://schemas.openxmlformats.org/officeDocument/2006/relationships/hyperlink" Target="http://monday.com" TargetMode="External"/><Relationship Id="rId214" Type="http://schemas.openxmlformats.org/officeDocument/2006/relationships/hyperlink" Target="http://ravennahq.com" TargetMode="External"/><Relationship Id="rId456" Type="http://schemas.openxmlformats.org/officeDocument/2006/relationships/hyperlink" Target="http://himaxwell.com" TargetMode="External"/><Relationship Id="rId698" Type="http://schemas.openxmlformats.org/officeDocument/2006/relationships/hyperlink" Target="http://missioncloud.com" TargetMode="External"/><Relationship Id="rId219" Type="http://schemas.openxmlformats.org/officeDocument/2006/relationships/hyperlink" Target="http://hackthebox.com" TargetMode="External"/><Relationship Id="rId218" Type="http://schemas.openxmlformats.org/officeDocument/2006/relationships/hyperlink" Target="http://vectra.ai" TargetMode="External"/><Relationship Id="rId451" Type="http://schemas.openxmlformats.org/officeDocument/2006/relationships/hyperlink" Target="http://outsystems.com" TargetMode="External"/><Relationship Id="rId693" Type="http://schemas.openxmlformats.org/officeDocument/2006/relationships/hyperlink" Target="http://netbasequid.com" TargetMode="External"/><Relationship Id="rId450" Type="http://schemas.openxmlformats.org/officeDocument/2006/relationships/hyperlink" Target="http://workiva.com" TargetMode="External"/><Relationship Id="rId692" Type="http://schemas.openxmlformats.org/officeDocument/2006/relationships/hyperlink" Target="http://snapraise.com" TargetMode="External"/><Relationship Id="rId691" Type="http://schemas.openxmlformats.org/officeDocument/2006/relationships/hyperlink" Target="http://tapclicks.com" TargetMode="External"/><Relationship Id="rId690" Type="http://schemas.openxmlformats.org/officeDocument/2006/relationships/hyperlink" Target="http://veritone.com" TargetMode="External"/><Relationship Id="rId213" Type="http://schemas.openxmlformats.org/officeDocument/2006/relationships/hyperlink" Target="http://gupshup.io" TargetMode="External"/><Relationship Id="rId455" Type="http://schemas.openxmlformats.org/officeDocument/2006/relationships/hyperlink" Target="http://cradlepoint.com" TargetMode="External"/><Relationship Id="rId697" Type="http://schemas.openxmlformats.org/officeDocument/2006/relationships/hyperlink" Target="http://actioniq.com" TargetMode="External"/><Relationship Id="rId212" Type="http://schemas.openxmlformats.org/officeDocument/2006/relationships/hyperlink" Target="http://elementalrevenue.com" TargetMode="External"/><Relationship Id="rId454" Type="http://schemas.openxmlformats.org/officeDocument/2006/relationships/hyperlink" Target="http://csdisco.com" TargetMode="External"/><Relationship Id="rId696" Type="http://schemas.openxmlformats.org/officeDocument/2006/relationships/hyperlink" Target="http://adverity.com" TargetMode="External"/><Relationship Id="rId211" Type="http://schemas.openxmlformats.org/officeDocument/2006/relationships/hyperlink" Target="http://curriculumassociates.com" TargetMode="External"/><Relationship Id="rId453" Type="http://schemas.openxmlformats.org/officeDocument/2006/relationships/hyperlink" Target="http://automox.com" TargetMode="External"/><Relationship Id="rId695" Type="http://schemas.openxmlformats.org/officeDocument/2006/relationships/hyperlink" Target="http://rategain.com" TargetMode="External"/><Relationship Id="rId210" Type="http://schemas.openxmlformats.org/officeDocument/2006/relationships/hyperlink" Target="http://credo.ai" TargetMode="External"/><Relationship Id="rId452" Type="http://schemas.openxmlformats.org/officeDocument/2006/relationships/hyperlink" Target="http://trolley.com" TargetMode="External"/><Relationship Id="rId694" Type="http://schemas.openxmlformats.org/officeDocument/2006/relationships/hyperlink" Target="http://cloudkitchens.com" TargetMode="External"/><Relationship Id="rId491" Type="http://schemas.openxmlformats.org/officeDocument/2006/relationships/hyperlink" Target="http://persuit.com" TargetMode="External"/><Relationship Id="rId490" Type="http://schemas.openxmlformats.org/officeDocument/2006/relationships/hyperlink" Target="http://paperlessparts.com" TargetMode="External"/><Relationship Id="rId249" Type="http://schemas.openxmlformats.org/officeDocument/2006/relationships/hyperlink" Target="http://exotel.com" TargetMode="External"/><Relationship Id="rId248" Type="http://schemas.openxmlformats.org/officeDocument/2006/relationships/hyperlink" Target="http://venasolutions.com" TargetMode="External"/><Relationship Id="rId247" Type="http://schemas.openxmlformats.org/officeDocument/2006/relationships/hyperlink" Target="http://celigo.com" TargetMode="External"/><Relationship Id="rId489" Type="http://schemas.openxmlformats.org/officeDocument/2006/relationships/hyperlink" Target="http://abnormal.ai" TargetMode="External"/><Relationship Id="rId242" Type="http://schemas.openxmlformats.org/officeDocument/2006/relationships/hyperlink" Target="http://appsflyer.com" TargetMode="External"/><Relationship Id="rId484" Type="http://schemas.openxmlformats.org/officeDocument/2006/relationships/hyperlink" Target="http://teamwork.com" TargetMode="External"/><Relationship Id="rId241" Type="http://schemas.openxmlformats.org/officeDocument/2006/relationships/hyperlink" Target="http://sprinklr.com" TargetMode="External"/><Relationship Id="rId483" Type="http://schemas.openxmlformats.org/officeDocument/2006/relationships/hyperlink" Target="http://homebot.ai" TargetMode="External"/><Relationship Id="rId240" Type="http://schemas.openxmlformats.org/officeDocument/2006/relationships/hyperlink" Target="http://hyro.ai" TargetMode="External"/><Relationship Id="rId482" Type="http://schemas.openxmlformats.org/officeDocument/2006/relationships/hyperlink" Target="http://petpooja.com" TargetMode="External"/><Relationship Id="rId481" Type="http://schemas.openxmlformats.org/officeDocument/2006/relationships/hyperlink" Target="http://subsplash.com" TargetMode="External"/><Relationship Id="rId246" Type="http://schemas.openxmlformats.org/officeDocument/2006/relationships/hyperlink" Target="http://nurix.ai" TargetMode="External"/><Relationship Id="rId488" Type="http://schemas.openxmlformats.org/officeDocument/2006/relationships/hyperlink" Target="http://vc3.com" TargetMode="External"/><Relationship Id="rId245" Type="http://schemas.openxmlformats.org/officeDocument/2006/relationships/hyperlink" Target="http://darwinbox.com" TargetMode="External"/><Relationship Id="rId487" Type="http://schemas.openxmlformats.org/officeDocument/2006/relationships/hyperlink" Target="http://builder.ai" TargetMode="External"/><Relationship Id="rId244" Type="http://schemas.openxmlformats.org/officeDocument/2006/relationships/hyperlink" Target="http://agorareal.com" TargetMode="External"/><Relationship Id="rId486" Type="http://schemas.openxmlformats.org/officeDocument/2006/relationships/hyperlink" Target="http://builder.ai" TargetMode="External"/><Relationship Id="rId243" Type="http://schemas.openxmlformats.org/officeDocument/2006/relationships/hyperlink" Target="http://zencentiv.com" TargetMode="External"/><Relationship Id="rId485" Type="http://schemas.openxmlformats.org/officeDocument/2006/relationships/hyperlink" Target="http://teamwork.com" TargetMode="External"/><Relationship Id="rId480" Type="http://schemas.openxmlformats.org/officeDocument/2006/relationships/hyperlink" Target="http://mountain.com" TargetMode="External"/><Relationship Id="rId239" Type="http://schemas.openxmlformats.org/officeDocument/2006/relationships/hyperlink" Target="http://alida.com" TargetMode="External"/><Relationship Id="rId238" Type="http://schemas.openxmlformats.org/officeDocument/2006/relationships/hyperlink" Target="http://anuntatech.com" TargetMode="External"/><Relationship Id="rId237" Type="http://schemas.openxmlformats.org/officeDocument/2006/relationships/hyperlink" Target="http://covasant.com" TargetMode="External"/><Relationship Id="rId479" Type="http://schemas.openxmlformats.org/officeDocument/2006/relationships/hyperlink" Target="http://teletracnavman.com" TargetMode="External"/><Relationship Id="rId236" Type="http://schemas.openxmlformats.org/officeDocument/2006/relationships/hyperlink" Target="http://aloware.com" TargetMode="External"/><Relationship Id="rId478" Type="http://schemas.openxmlformats.org/officeDocument/2006/relationships/hyperlink" Target="http://synack.com" TargetMode="External"/><Relationship Id="rId231" Type="http://schemas.openxmlformats.org/officeDocument/2006/relationships/hyperlink" Target="http://thoughtspot.com" TargetMode="External"/><Relationship Id="rId473" Type="http://schemas.openxmlformats.org/officeDocument/2006/relationships/hyperlink" Target="http://hackthebox.com" TargetMode="External"/><Relationship Id="rId230" Type="http://schemas.openxmlformats.org/officeDocument/2006/relationships/hyperlink" Target="http://arine.io" TargetMode="External"/><Relationship Id="rId472" Type="http://schemas.openxmlformats.org/officeDocument/2006/relationships/hyperlink" Target="http://cleo.com" TargetMode="External"/><Relationship Id="rId471" Type="http://schemas.openxmlformats.org/officeDocument/2006/relationships/hyperlink" Target="http://clumio.com" TargetMode="External"/><Relationship Id="rId470" Type="http://schemas.openxmlformats.org/officeDocument/2006/relationships/hyperlink" Target="http://oxblue.com" TargetMode="External"/><Relationship Id="rId235" Type="http://schemas.openxmlformats.org/officeDocument/2006/relationships/hyperlink" Target="http://scalinguprevenues.com" TargetMode="External"/><Relationship Id="rId477" Type="http://schemas.openxmlformats.org/officeDocument/2006/relationships/hyperlink" Target="http://guild.com" TargetMode="External"/><Relationship Id="rId234" Type="http://schemas.openxmlformats.org/officeDocument/2006/relationships/hyperlink" Target="http://forsysinc.com" TargetMode="External"/><Relationship Id="rId476" Type="http://schemas.openxmlformats.org/officeDocument/2006/relationships/hyperlink" Target="http://blazeo.com" TargetMode="External"/><Relationship Id="rId233" Type="http://schemas.openxmlformats.org/officeDocument/2006/relationships/hyperlink" Target="http://simple2insure.net" TargetMode="External"/><Relationship Id="rId475" Type="http://schemas.openxmlformats.org/officeDocument/2006/relationships/hyperlink" Target="http://avetta.com" TargetMode="External"/><Relationship Id="rId232" Type="http://schemas.openxmlformats.org/officeDocument/2006/relationships/hyperlink" Target="http://simple2insure.net" TargetMode="External"/><Relationship Id="rId474" Type="http://schemas.openxmlformats.org/officeDocument/2006/relationships/hyperlink" Target="http://daxko.com" TargetMode="External"/><Relationship Id="rId426" Type="http://schemas.openxmlformats.org/officeDocument/2006/relationships/hyperlink" Target="http://spotdraft.com" TargetMode="External"/><Relationship Id="rId668" Type="http://schemas.openxmlformats.org/officeDocument/2006/relationships/hyperlink" Target="http://intuit.com" TargetMode="External"/><Relationship Id="rId425" Type="http://schemas.openxmlformats.org/officeDocument/2006/relationships/hyperlink" Target="http://canva.com" TargetMode="External"/><Relationship Id="rId667" Type="http://schemas.openxmlformats.org/officeDocument/2006/relationships/hyperlink" Target="http://greyorange.com" TargetMode="External"/><Relationship Id="rId424" Type="http://schemas.openxmlformats.org/officeDocument/2006/relationships/hyperlink" Target="http://wiz.io" TargetMode="External"/><Relationship Id="rId666" Type="http://schemas.openxmlformats.org/officeDocument/2006/relationships/hyperlink" Target="http://rezdy.com" TargetMode="External"/><Relationship Id="rId423" Type="http://schemas.openxmlformats.org/officeDocument/2006/relationships/hyperlink" Target="http://csgi.com" TargetMode="External"/><Relationship Id="rId665" Type="http://schemas.openxmlformats.org/officeDocument/2006/relationships/hyperlink" Target="http://catonetworks.com" TargetMode="External"/><Relationship Id="rId429" Type="http://schemas.openxmlformats.org/officeDocument/2006/relationships/hyperlink" Target="http://foursquare.com" TargetMode="External"/><Relationship Id="rId428" Type="http://schemas.openxmlformats.org/officeDocument/2006/relationships/hyperlink" Target="http://cybcube.com" TargetMode="External"/><Relationship Id="rId427" Type="http://schemas.openxmlformats.org/officeDocument/2006/relationships/hyperlink" Target="http://captivateiq.com" TargetMode="External"/><Relationship Id="rId669" Type="http://schemas.openxmlformats.org/officeDocument/2006/relationships/hyperlink" Target="http://obsidiansecurity.com" TargetMode="External"/><Relationship Id="rId660" Type="http://schemas.openxmlformats.org/officeDocument/2006/relationships/hyperlink" Target="http://realpage.com" TargetMode="External"/><Relationship Id="rId422" Type="http://schemas.openxmlformats.org/officeDocument/2006/relationships/hyperlink" Target="http://specterops.io" TargetMode="External"/><Relationship Id="rId664" Type="http://schemas.openxmlformats.org/officeDocument/2006/relationships/hyperlink" Target="http://glassbox.com" TargetMode="External"/><Relationship Id="rId421" Type="http://schemas.openxmlformats.org/officeDocument/2006/relationships/hyperlink" Target="http://upside.com" TargetMode="External"/><Relationship Id="rId663" Type="http://schemas.openxmlformats.org/officeDocument/2006/relationships/hyperlink" Target="http://squadstack.com" TargetMode="External"/><Relationship Id="rId420" Type="http://schemas.openxmlformats.org/officeDocument/2006/relationships/hyperlink" Target="http://semrush.com" TargetMode="External"/><Relationship Id="rId662" Type="http://schemas.openxmlformats.org/officeDocument/2006/relationships/hyperlink" Target="http://sayari.com" TargetMode="External"/><Relationship Id="rId661" Type="http://schemas.openxmlformats.org/officeDocument/2006/relationships/hyperlink" Target="http://addepar.com" TargetMode="External"/><Relationship Id="rId1004" Type="http://schemas.openxmlformats.org/officeDocument/2006/relationships/vmlDrawing" Target="../drawings/vmlDrawing1.vml"/><Relationship Id="rId415" Type="http://schemas.openxmlformats.org/officeDocument/2006/relationships/hyperlink" Target="http://ohmd.com" TargetMode="External"/><Relationship Id="rId657" Type="http://schemas.openxmlformats.org/officeDocument/2006/relationships/hyperlink" Target="http://aisera.com" TargetMode="External"/><Relationship Id="rId899" Type="http://schemas.openxmlformats.org/officeDocument/2006/relationships/hyperlink" Target="http://alyce.com" TargetMode="External"/><Relationship Id="rId414" Type="http://schemas.openxmlformats.org/officeDocument/2006/relationships/hyperlink" Target="http://hginsights.com" TargetMode="External"/><Relationship Id="rId656" Type="http://schemas.openxmlformats.org/officeDocument/2006/relationships/hyperlink" Target="http://stackoverflow.com" TargetMode="External"/><Relationship Id="rId898" Type="http://schemas.openxmlformats.org/officeDocument/2006/relationships/hyperlink" Target="http://facilio.com" TargetMode="External"/><Relationship Id="rId413" Type="http://schemas.openxmlformats.org/officeDocument/2006/relationships/hyperlink" Target="http://klarity.ai" TargetMode="External"/><Relationship Id="rId655" Type="http://schemas.openxmlformats.org/officeDocument/2006/relationships/hyperlink" Target="http://hach.com" TargetMode="External"/><Relationship Id="rId897" Type="http://schemas.openxmlformats.org/officeDocument/2006/relationships/hyperlink" Target="http://hubilo.com" TargetMode="External"/><Relationship Id="rId412" Type="http://schemas.openxmlformats.org/officeDocument/2006/relationships/hyperlink" Target="http://obsidiansecurity.com" TargetMode="External"/><Relationship Id="rId654" Type="http://schemas.openxmlformats.org/officeDocument/2006/relationships/hyperlink" Target="http://ecomexpress.in" TargetMode="External"/><Relationship Id="rId896" Type="http://schemas.openxmlformats.org/officeDocument/2006/relationships/hyperlink" Target="http://resolver.com" TargetMode="External"/><Relationship Id="rId419" Type="http://schemas.openxmlformats.org/officeDocument/2006/relationships/hyperlink" Target="http://claroty.com" TargetMode="External"/><Relationship Id="rId418" Type="http://schemas.openxmlformats.org/officeDocument/2006/relationships/hyperlink" Target="http://checkout.com" TargetMode="External"/><Relationship Id="rId417" Type="http://schemas.openxmlformats.org/officeDocument/2006/relationships/hyperlink" Target="http://checkout.com" TargetMode="External"/><Relationship Id="rId659" Type="http://schemas.openxmlformats.org/officeDocument/2006/relationships/hyperlink" Target="http://ipipeline.com" TargetMode="External"/><Relationship Id="rId416" Type="http://schemas.openxmlformats.org/officeDocument/2006/relationships/hyperlink" Target="http://covergenius.com" TargetMode="External"/><Relationship Id="rId658" Type="http://schemas.openxmlformats.org/officeDocument/2006/relationships/hyperlink" Target="http://labster.com" TargetMode="External"/><Relationship Id="rId891" Type="http://schemas.openxmlformats.org/officeDocument/2006/relationships/hyperlink" Target="http://compport.com" TargetMode="External"/><Relationship Id="rId890" Type="http://schemas.openxmlformats.org/officeDocument/2006/relationships/hyperlink" Target="http://entropik.io" TargetMode="External"/><Relationship Id="rId411" Type="http://schemas.openxmlformats.org/officeDocument/2006/relationships/hyperlink" Target="http://interplaylearning.com" TargetMode="External"/><Relationship Id="rId653" Type="http://schemas.openxmlformats.org/officeDocument/2006/relationships/hyperlink" Target="http://callhippo.com" TargetMode="External"/><Relationship Id="rId895" Type="http://schemas.openxmlformats.org/officeDocument/2006/relationships/hyperlink" Target="http://pendo.io" TargetMode="External"/><Relationship Id="rId1000" Type="http://schemas.openxmlformats.org/officeDocument/2006/relationships/hyperlink" Target="http://yellow.ai" TargetMode="External"/><Relationship Id="rId410" Type="http://schemas.openxmlformats.org/officeDocument/2006/relationships/hyperlink" Target="http://icis.com" TargetMode="External"/><Relationship Id="rId652" Type="http://schemas.openxmlformats.org/officeDocument/2006/relationships/hyperlink" Target="http://zycus.com" TargetMode="External"/><Relationship Id="rId894" Type="http://schemas.openxmlformats.org/officeDocument/2006/relationships/hyperlink" Target="http://pendo.io" TargetMode="External"/><Relationship Id="rId1001" Type="http://schemas.openxmlformats.org/officeDocument/2006/relationships/hyperlink" Target="http://yellow.ai" TargetMode="External"/><Relationship Id="rId651" Type="http://schemas.openxmlformats.org/officeDocument/2006/relationships/hyperlink" Target="http://getaccept.com" TargetMode="External"/><Relationship Id="rId893" Type="http://schemas.openxmlformats.org/officeDocument/2006/relationships/hyperlink" Target="http://algolia.com" TargetMode="External"/><Relationship Id="rId1002" Type="http://schemas.openxmlformats.org/officeDocument/2006/relationships/hyperlink" Target="http://whatfix.com" TargetMode="External"/><Relationship Id="rId650" Type="http://schemas.openxmlformats.org/officeDocument/2006/relationships/hyperlink" Target="http://trulioo.com" TargetMode="External"/><Relationship Id="rId892" Type="http://schemas.openxmlformats.org/officeDocument/2006/relationships/hyperlink" Target="http://cybcube.com" TargetMode="External"/><Relationship Id="rId1003" Type="http://schemas.openxmlformats.org/officeDocument/2006/relationships/drawing" Target="../drawings/drawing2.xml"/><Relationship Id="rId206" Type="http://schemas.openxmlformats.org/officeDocument/2006/relationships/hyperlink" Target="http://microserve.ca" TargetMode="External"/><Relationship Id="rId448" Type="http://schemas.openxmlformats.org/officeDocument/2006/relationships/hyperlink" Target="http://crownpeak.com" TargetMode="External"/><Relationship Id="rId205" Type="http://schemas.openxmlformats.org/officeDocument/2006/relationships/hyperlink" Target="http://sigmacomputing.com" TargetMode="External"/><Relationship Id="rId447" Type="http://schemas.openxmlformats.org/officeDocument/2006/relationships/hyperlink" Target="http://buildots.com" TargetMode="External"/><Relationship Id="rId689" Type="http://schemas.openxmlformats.org/officeDocument/2006/relationships/hyperlink" Target="http://leandata.com" TargetMode="External"/><Relationship Id="rId204" Type="http://schemas.openxmlformats.org/officeDocument/2006/relationships/hyperlink" Target="http://bidease.com" TargetMode="External"/><Relationship Id="rId446" Type="http://schemas.openxmlformats.org/officeDocument/2006/relationships/hyperlink" Target="http://airslate.com" TargetMode="External"/><Relationship Id="rId688" Type="http://schemas.openxmlformats.org/officeDocument/2006/relationships/hyperlink" Target="http://cvent.com" TargetMode="External"/><Relationship Id="rId203" Type="http://schemas.openxmlformats.org/officeDocument/2006/relationships/hyperlink" Target="http://zenskar.com" TargetMode="External"/><Relationship Id="rId445" Type="http://schemas.openxmlformats.org/officeDocument/2006/relationships/hyperlink" Target="http://genasys.com" TargetMode="External"/><Relationship Id="rId687" Type="http://schemas.openxmlformats.org/officeDocument/2006/relationships/hyperlink" Target="http://leapsome.com" TargetMode="External"/><Relationship Id="rId209" Type="http://schemas.openxmlformats.org/officeDocument/2006/relationships/hyperlink" Target="http://kandji.io" TargetMode="External"/><Relationship Id="rId208" Type="http://schemas.openxmlformats.org/officeDocument/2006/relationships/hyperlink" Target="http://cashfree.com" TargetMode="External"/><Relationship Id="rId207" Type="http://schemas.openxmlformats.org/officeDocument/2006/relationships/hyperlink" Target="http://freyrsolutions.com" TargetMode="External"/><Relationship Id="rId449" Type="http://schemas.openxmlformats.org/officeDocument/2006/relationships/hyperlink" Target="http://tehtris.com" TargetMode="External"/><Relationship Id="rId440" Type="http://schemas.openxmlformats.org/officeDocument/2006/relationships/hyperlink" Target="http://ceros.com" TargetMode="External"/><Relationship Id="rId682" Type="http://schemas.openxmlformats.org/officeDocument/2006/relationships/hyperlink" Target="http://medisafe.com" TargetMode="External"/><Relationship Id="rId681" Type="http://schemas.openxmlformats.org/officeDocument/2006/relationships/hyperlink" Target="http://loopio.com" TargetMode="External"/><Relationship Id="rId680" Type="http://schemas.openxmlformats.org/officeDocument/2006/relationships/hyperlink" Target="http://doubleverify.com" TargetMode="External"/><Relationship Id="rId202" Type="http://schemas.openxmlformats.org/officeDocument/2006/relationships/hyperlink" Target="http://objective.com" TargetMode="External"/><Relationship Id="rId444" Type="http://schemas.openxmlformats.org/officeDocument/2006/relationships/hyperlink" Target="http://appfolio.com" TargetMode="External"/><Relationship Id="rId686" Type="http://schemas.openxmlformats.org/officeDocument/2006/relationships/hyperlink" Target="http://uniphore.com" TargetMode="External"/><Relationship Id="rId201" Type="http://schemas.openxmlformats.org/officeDocument/2006/relationships/hyperlink" Target="http://tascoutsourcing.com" TargetMode="External"/><Relationship Id="rId443" Type="http://schemas.openxmlformats.org/officeDocument/2006/relationships/hyperlink" Target="http://joveo.com" TargetMode="External"/><Relationship Id="rId685" Type="http://schemas.openxmlformats.org/officeDocument/2006/relationships/hyperlink" Target="http://xoxoday.com" TargetMode="External"/><Relationship Id="rId200" Type="http://schemas.openxmlformats.org/officeDocument/2006/relationships/hyperlink" Target="http://betaeducation.org" TargetMode="External"/><Relationship Id="rId442" Type="http://schemas.openxmlformats.org/officeDocument/2006/relationships/hyperlink" Target="http://velocityglobal.com" TargetMode="External"/><Relationship Id="rId684" Type="http://schemas.openxmlformats.org/officeDocument/2006/relationships/hyperlink" Target="http://lusha.com" TargetMode="External"/><Relationship Id="rId441" Type="http://schemas.openxmlformats.org/officeDocument/2006/relationships/hyperlink" Target="http://pubmatic.com" TargetMode="External"/><Relationship Id="rId683" Type="http://schemas.openxmlformats.org/officeDocument/2006/relationships/hyperlink" Target="http://algosec.com" TargetMode="External"/><Relationship Id="rId437" Type="http://schemas.openxmlformats.org/officeDocument/2006/relationships/hyperlink" Target="http://payjunction.com" TargetMode="External"/><Relationship Id="rId679" Type="http://schemas.openxmlformats.org/officeDocument/2006/relationships/hyperlink" Target="http://redoxengine.com" TargetMode="External"/><Relationship Id="rId436" Type="http://schemas.openxmlformats.org/officeDocument/2006/relationships/hyperlink" Target="http://lvt.com" TargetMode="External"/><Relationship Id="rId678" Type="http://schemas.openxmlformats.org/officeDocument/2006/relationships/hyperlink" Target="http://plex.com" TargetMode="External"/><Relationship Id="rId435" Type="http://schemas.openxmlformats.org/officeDocument/2006/relationships/hyperlink" Target="http://emlid.com" TargetMode="External"/><Relationship Id="rId677" Type="http://schemas.openxmlformats.org/officeDocument/2006/relationships/hyperlink" Target="http://newrelic.com" TargetMode="External"/><Relationship Id="rId434" Type="http://schemas.openxmlformats.org/officeDocument/2006/relationships/hyperlink" Target="http://meetmarigold.com" TargetMode="External"/><Relationship Id="rId676" Type="http://schemas.openxmlformats.org/officeDocument/2006/relationships/hyperlink" Target="http://optimizely.com" TargetMode="External"/><Relationship Id="rId439" Type="http://schemas.openxmlformats.org/officeDocument/2006/relationships/hyperlink" Target="http://domo.com" TargetMode="External"/><Relationship Id="rId438" Type="http://schemas.openxmlformats.org/officeDocument/2006/relationships/hyperlink" Target="http://klue.com" TargetMode="External"/><Relationship Id="rId671" Type="http://schemas.openxmlformats.org/officeDocument/2006/relationships/hyperlink" Target="http://intelepeer.com" TargetMode="External"/><Relationship Id="rId670" Type="http://schemas.openxmlformats.org/officeDocument/2006/relationships/hyperlink" Target="http://vergesense.com" TargetMode="External"/><Relationship Id="rId433" Type="http://schemas.openxmlformats.org/officeDocument/2006/relationships/hyperlink" Target="http://apspayroll.com" TargetMode="External"/><Relationship Id="rId675" Type="http://schemas.openxmlformats.org/officeDocument/2006/relationships/hyperlink" Target="http://softheon.com" TargetMode="External"/><Relationship Id="rId432" Type="http://schemas.openxmlformats.org/officeDocument/2006/relationships/hyperlink" Target="http://mybedrock.com" TargetMode="External"/><Relationship Id="rId674" Type="http://schemas.openxmlformats.org/officeDocument/2006/relationships/hyperlink" Target="http://liveperson.com" TargetMode="External"/><Relationship Id="rId431" Type="http://schemas.openxmlformats.org/officeDocument/2006/relationships/hyperlink" Target="http://kingshammersbd.com" TargetMode="External"/><Relationship Id="rId673" Type="http://schemas.openxmlformats.org/officeDocument/2006/relationships/hyperlink" Target="http://similarweb.com" TargetMode="External"/><Relationship Id="rId430" Type="http://schemas.openxmlformats.org/officeDocument/2006/relationships/hyperlink" Target="http://keelvar.com" TargetMode="External"/><Relationship Id="rId672" Type="http://schemas.openxmlformats.org/officeDocument/2006/relationships/hyperlink" Target="http://resolver.com" TargetMode="External"/></Relationships>
</file>

<file path=xl/worksheets/_rels/sheet3.xml.rels><?xml version="1.0" encoding="UTF-8" standalone="yes"?><Relationships xmlns="http://schemas.openxmlformats.org/package/2006/relationships"><Relationship Id="rId190" Type="http://schemas.openxmlformats.org/officeDocument/2006/relationships/hyperlink" Target="http://freyrsolutions.com" TargetMode="External"/><Relationship Id="rId194" Type="http://schemas.openxmlformats.org/officeDocument/2006/relationships/hyperlink" Target="http://jamloop.com" TargetMode="External"/><Relationship Id="rId193" Type="http://schemas.openxmlformats.org/officeDocument/2006/relationships/hyperlink" Target="http://ricklo.33mail.com" TargetMode="External"/><Relationship Id="rId192" Type="http://schemas.openxmlformats.org/officeDocument/2006/relationships/hyperlink" Target="http://gtmrevenue.com" TargetMode="External"/><Relationship Id="rId191" Type="http://schemas.openxmlformats.org/officeDocument/2006/relationships/hyperlink" Target="http://greythr.com" TargetMode="External"/><Relationship Id="rId187" Type="http://schemas.openxmlformats.org/officeDocument/2006/relationships/hyperlink" Target="http://hackthebox.com" TargetMode="External"/><Relationship Id="rId186" Type="http://schemas.openxmlformats.org/officeDocument/2006/relationships/hyperlink" Target="http://technohandz.com" TargetMode="External"/><Relationship Id="rId185" Type="http://schemas.openxmlformats.org/officeDocument/2006/relationships/hyperlink" Target="http://nobroker.in" TargetMode="External"/><Relationship Id="rId184" Type="http://schemas.openxmlformats.org/officeDocument/2006/relationships/hyperlink" Target="http://ravennahq.com" TargetMode="External"/><Relationship Id="rId189" Type="http://schemas.openxmlformats.org/officeDocument/2006/relationships/hyperlink" Target="http://aurigo.com" TargetMode="External"/><Relationship Id="rId188" Type="http://schemas.openxmlformats.org/officeDocument/2006/relationships/hyperlink" Target="http://blumira.com" TargetMode="External"/><Relationship Id="rId183" Type="http://schemas.openxmlformats.org/officeDocument/2006/relationships/hyperlink" Target="http://mediamint.com" TargetMode="External"/><Relationship Id="rId182" Type="http://schemas.openxmlformats.org/officeDocument/2006/relationships/hyperlink" Target="http://singleclic.com" TargetMode="External"/><Relationship Id="rId181" Type="http://schemas.openxmlformats.org/officeDocument/2006/relationships/hyperlink" Target="http://microserve.ca" TargetMode="External"/><Relationship Id="rId180" Type="http://schemas.openxmlformats.org/officeDocument/2006/relationships/hyperlink" Target="http://saroeinc.com" TargetMode="External"/><Relationship Id="rId176" Type="http://schemas.openxmlformats.org/officeDocument/2006/relationships/hyperlink" Target="http://bcg.com" TargetMode="External"/><Relationship Id="rId175" Type="http://schemas.openxmlformats.org/officeDocument/2006/relationships/hyperlink" Target="http://ckapoor.org" TargetMode="External"/><Relationship Id="rId174" Type="http://schemas.openxmlformats.org/officeDocument/2006/relationships/hyperlink" Target="http://ckapoor.org" TargetMode="External"/><Relationship Id="rId173" Type="http://schemas.openxmlformats.org/officeDocument/2006/relationships/hyperlink" Target="http://objective.com" TargetMode="External"/><Relationship Id="rId179" Type="http://schemas.openxmlformats.org/officeDocument/2006/relationships/hyperlink" Target="http://zenskar.com" TargetMode="External"/><Relationship Id="rId178" Type="http://schemas.openxmlformats.org/officeDocument/2006/relationships/hyperlink" Target="http://sigmacomputing.com" TargetMode="External"/><Relationship Id="rId177" Type="http://schemas.openxmlformats.org/officeDocument/2006/relationships/hyperlink" Target="http://bidease.com" TargetMode="External"/><Relationship Id="rId198" Type="http://schemas.openxmlformats.org/officeDocument/2006/relationships/hyperlink" Target="http://invitationhomes.com" TargetMode="External"/><Relationship Id="rId197" Type="http://schemas.openxmlformats.org/officeDocument/2006/relationships/hyperlink" Target="http://comviva.com" TargetMode="External"/><Relationship Id="rId196" Type="http://schemas.openxmlformats.org/officeDocument/2006/relationships/hyperlink" Target="http://curriculumassociates.com" TargetMode="External"/><Relationship Id="rId195" Type="http://schemas.openxmlformats.org/officeDocument/2006/relationships/hyperlink" Target="http://amarok.com" TargetMode="External"/><Relationship Id="rId199" Type="http://schemas.openxmlformats.org/officeDocument/2006/relationships/hyperlink" Target="http://marktly.co" TargetMode="External"/><Relationship Id="rId150" Type="http://schemas.openxmlformats.org/officeDocument/2006/relationships/hyperlink" Target="http://truecaller.com" TargetMode="External"/><Relationship Id="rId392" Type="http://schemas.openxmlformats.org/officeDocument/2006/relationships/hyperlink" Target="http://qt.io" TargetMode="External"/><Relationship Id="rId391" Type="http://schemas.openxmlformats.org/officeDocument/2006/relationships/hyperlink" Target="http://scalemetric.io" TargetMode="External"/><Relationship Id="rId390" Type="http://schemas.openxmlformats.org/officeDocument/2006/relationships/hyperlink" Target="http://scalemetric.io" TargetMode="External"/><Relationship Id="rId1" Type="http://schemas.openxmlformats.org/officeDocument/2006/relationships/comments" Target="../comments2.xml"/><Relationship Id="rId2" Type="http://schemas.openxmlformats.org/officeDocument/2006/relationships/hyperlink" Target="http://reachdesk.com" TargetMode="External"/><Relationship Id="rId3" Type="http://schemas.openxmlformats.org/officeDocument/2006/relationships/hyperlink" Target="http://wpengine.com" TargetMode="External"/><Relationship Id="rId149" Type="http://schemas.openxmlformats.org/officeDocument/2006/relationships/hyperlink" Target="http://cconstantinou.info" TargetMode="External"/><Relationship Id="rId4" Type="http://schemas.openxmlformats.org/officeDocument/2006/relationships/hyperlink" Target="http://interface.ai" TargetMode="External"/><Relationship Id="rId148" Type="http://schemas.openxmlformats.org/officeDocument/2006/relationships/hyperlink" Target="http://prosperr.io" TargetMode="External"/><Relationship Id="rId9" Type="http://schemas.openxmlformats.org/officeDocument/2006/relationships/hyperlink" Target="http://abridge.com" TargetMode="External"/><Relationship Id="rId143" Type="http://schemas.openxmlformats.org/officeDocument/2006/relationships/hyperlink" Target="http://gatekeeperhq.com" TargetMode="External"/><Relationship Id="rId385" Type="http://schemas.openxmlformats.org/officeDocument/2006/relationships/hyperlink" Target="http://nettyawards.com" TargetMode="External"/><Relationship Id="rId142" Type="http://schemas.openxmlformats.org/officeDocument/2006/relationships/hyperlink" Target="http://oreilly.com" TargetMode="External"/><Relationship Id="rId384" Type="http://schemas.openxmlformats.org/officeDocument/2006/relationships/hyperlink" Target="http://repairdesk.co" TargetMode="External"/><Relationship Id="rId141" Type="http://schemas.openxmlformats.org/officeDocument/2006/relationships/hyperlink" Target="http://aaamt.in" TargetMode="External"/><Relationship Id="rId383" Type="http://schemas.openxmlformats.org/officeDocument/2006/relationships/hyperlink" Target="http://smartgrass.co.nz" TargetMode="External"/><Relationship Id="rId140" Type="http://schemas.openxmlformats.org/officeDocument/2006/relationships/hyperlink" Target="http://credohealth.com" TargetMode="External"/><Relationship Id="rId382" Type="http://schemas.openxmlformats.org/officeDocument/2006/relationships/hyperlink" Target="http://joveo.com" TargetMode="External"/><Relationship Id="rId5" Type="http://schemas.openxmlformats.org/officeDocument/2006/relationships/hyperlink" Target="http://interface.ai" TargetMode="External"/><Relationship Id="rId147" Type="http://schemas.openxmlformats.org/officeDocument/2006/relationships/hyperlink" Target="http://clear.in" TargetMode="External"/><Relationship Id="rId389" Type="http://schemas.openxmlformats.org/officeDocument/2006/relationships/hyperlink" Target="http://infolocus.in" TargetMode="External"/><Relationship Id="rId6" Type="http://schemas.openxmlformats.org/officeDocument/2006/relationships/hyperlink" Target="http://theassemble.com" TargetMode="External"/><Relationship Id="rId146" Type="http://schemas.openxmlformats.org/officeDocument/2006/relationships/hyperlink" Target="http://amazon.com" TargetMode="External"/><Relationship Id="rId388" Type="http://schemas.openxmlformats.org/officeDocument/2006/relationships/hyperlink" Target="http://tkxel.io" TargetMode="External"/><Relationship Id="rId7" Type="http://schemas.openxmlformats.org/officeDocument/2006/relationships/hyperlink" Target="http://litera.com" TargetMode="External"/><Relationship Id="rId145" Type="http://schemas.openxmlformats.org/officeDocument/2006/relationships/hyperlink" Target="http://paddle.com" TargetMode="External"/><Relationship Id="rId387" Type="http://schemas.openxmlformats.org/officeDocument/2006/relationships/hyperlink" Target="http://tkxel.io" TargetMode="External"/><Relationship Id="rId8" Type="http://schemas.openxmlformats.org/officeDocument/2006/relationships/hyperlink" Target="http://carpedia.co.za" TargetMode="External"/><Relationship Id="rId144" Type="http://schemas.openxmlformats.org/officeDocument/2006/relationships/hyperlink" Target="http://isidefense.com" TargetMode="External"/><Relationship Id="rId386" Type="http://schemas.openxmlformats.org/officeDocument/2006/relationships/hyperlink" Target="http://celebaltech.com" TargetMode="External"/><Relationship Id="rId381" Type="http://schemas.openxmlformats.org/officeDocument/2006/relationships/hyperlink" Target="http://klue.com" TargetMode="External"/><Relationship Id="rId380" Type="http://schemas.openxmlformats.org/officeDocument/2006/relationships/hyperlink" Target="http://socialvalueportal.com" TargetMode="External"/><Relationship Id="rId139" Type="http://schemas.openxmlformats.org/officeDocument/2006/relationships/hyperlink" Target="http://metpg.com" TargetMode="External"/><Relationship Id="rId138" Type="http://schemas.openxmlformats.org/officeDocument/2006/relationships/hyperlink" Target="http://scale.com" TargetMode="External"/><Relationship Id="rId137" Type="http://schemas.openxmlformats.org/officeDocument/2006/relationships/hyperlink" Target="http://mommysimaginationstation.org" TargetMode="External"/><Relationship Id="rId379" Type="http://schemas.openxmlformats.org/officeDocument/2006/relationships/hyperlink" Target="http://mybedrock.com" TargetMode="External"/><Relationship Id="rId132" Type="http://schemas.openxmlformats.org/officeDocument/2006/relationships/hyperlink" Target="http://angelaligner.com" TargetMode="External"/><Relationship Id="rId374" Type="http://schemas.openxmlformats.org/officeDocument/2006/relationships/hyperlink" Target="http://keelvar.com" TargetMode="External"/><Relationship Id="rId131" Type="http://schemas.openxmlformats.org/officeDocument/2006/relationships/hyperlink" Target="http://engine.com" TargetMode="External"/><Relationship Id="rId373" Type="http://schemas.openxmlformats.org/officeDocument/2006/relationships/hyperlink" Target="http://findpros.ai" TargetMode="External"/><Relationship Id="rId130" Type="http://schemas.openxmlformats.org/officeDocument/2006/relationships/hyperlink" Target="http://deel.com" TargetMode="External"/><Relationship Id="rId372" Type="http://schemas.openxmlformats.org/officeDocument/2006/relationships/hyperlink" Target="http://kymgl.com" TargetMode="External"/><Relationship Id="rId371" Type="http://schemas.openxmlformats.org/officeDocument/2006/relationships/hyperlink" Target="http://propertymeld.com" TargetMode="External"/><Relationship Id="rId136" Type="http://schemas.openxmlformats.org/officeDocument/2006/relationships/hyperlink" Target="http://strategycorps.com" TargetMode="External"/><Relationship Id="rId378" Type="http://schemas.openxmlformats.org/officeDocument/2006/relationships/hyperlink" Target="http://emlid.com" TargetMode="External"/><Relationship Id="rId135" Type="http://schemas.openxmlformats.org/officeDocument/2006/relationships/hyperlink" Target="http://gatekeeperhq.com" TargetMode="External"/><Relationship Id="rId377" Type="http://schemas.openxmlformats.org/officeDocument/2006/relationships/hyperlink" Target="http://katanamrp.com" TargetMode="External"/><Relationship Id="rId134" Type="http://schemas.openxmlformats.org/officeDocument/2006/relationships/hyperlink" Target="http://teamfront.com" TargetMode="External"/><Relationship Id="rId376" Type="http://schemas.openxmlformats.org/officeDocument/2006/relationships/hyperlink" Target="http://sandbox.com" TargetMode="External"/><Relationship Id="rId133" Type="http://schemas.openxmlformats.org/officeDocument/2006/relationships/hyperlink" Target="http://simpligov.com" TargetMode="External"/><Relationship Id="rId375" Type="http://schemas.openxmlformats.org/officeDocument/2006/relationships/hyperlink" Target="http://sandbox.com" TargetMode="External"/><Relationship Id="rId172" Type="http://schemas.openxmlformats.org/officeDocument/2006/relationships/hyperlink" Target="http://tascoutsourcing.com" TargetMode="External"/><Relationship Id="rId171" Type="http://schemas.openxmlformats.org/officeDocument/2006/relationships/hyperlink" Target="http://betaeducation.org" TargetMode="External"/><Relationship Id="rId170" Type="http://schemas.openxmlformats.org/officeDocument/2006/relationships/hyperlink" Target="http://activeprospect.com" TargetMode="External"/><Relationship Id="rId165" Type="http://schemas.openxmlformats.org/officeDocument/2006/relationships/hyperlink" Target="http://webcastle.in" TargetMode="External"/><Relationship Id="rId164" Type="http://schemas.openxmlformats.org/officeDocument/2006/relationships/hyperlink" Target="http://arist.co" TargetMode="External"/><Relationship Id="rId163" Type="http://schemas.openxmlformats.org/officeDocument/2006/relationships/hyperlink" Target="http://geotab.com" TargetMode="External"/><Relationship Id="rId162" Type="http://schemas.openxmlformats.org/officeDocument/2006/relationships/hyperlink" Target="http://ally.ca" TargetMode="External"/><Relationship Id="rId169" Type="http://schemas.openxmlformats.org/officeDocument/2006/relationships/hyperlink" Target="http://elantis.com" TargetMode="External"/><Relationship Id="rId168" Type="http://schemas.openxmlformats.org/officeDocument/2006/relationships/hyperlink" Target="http://basraconsultingservices.com" TargetMode="External"/><Relationship Id="rId167" Type="http://schemas.openxmlformats.org/officeDocument/2006/relationships/hyperlink" Target="http://venasolutions.com" TargetMode="External"/><Relationship Id="rId166" Type="http://schemas.openxmlformats.org/officeDocument/2006/relationships/hyperlink" Target="http://veragov.com" TargetMode="External"/><Relationship Id="rId161" Type="http://schemas.openxmlformats.org/officeDocument/2006/relationships/hyperlink" Target="http://iu.edu" TargetMode="External"/><Relationship Id="rId160" Type="http://schemas.openxmlformats.org/officeDocument/2006/relationships/hyperlink" Target="http://sprinto.com" TargetMode="External"/><Relationship Id="rId159" Type="http://schemas.openxmlformats.org/officeDocument/2006/relationships/hyperlink" Target="http://sysaid.com" TargetMode="External"/><Relationship Id="rId154" Type="http://schemas.openxmlformats.org/officeDocument/2006/relationships/hyperlink" Target="http://zscaler.com" TargetMode="External"/><Relationship Id="rId396" Type="http://schemas.openxmlformats.org/officeDocument/2006/relationships/hyperlink" Target="http://guild.com" TargetMode="External"/><Relationship Id="rId153" Type="http://schemas.openxmlformats.org/officeDocument/2006/relationships/hyperlink" Target="http://candidpro.com" TargetMode="External"/><Relationship Id="rId395" Type="http://schemas.openxmlformats.org/officeDocument/2006/relationships/hyperlink" Target="http://servise.com" TargetMode="External"/><Relationship Id="rId152" Type="http://schemas.openxmlformats.org/officeDocument/2006/relationships/hyperlink" Target="http://snipp.com" TargetMode="External"/><Relationship Id="rId394" Type="http://schemas.openxmlformats.org/officeDocument/2006/relationships/hyperlink" Target="http://servise.com" TargetMode="External"/><Relationship Id="rId151" Type="http://schemas.openxmlformats.org/officeDocument/2006/relationships/hyperlink" Target="http://gmsil.com" TargetMode="External"/><Relationship Id="rId393" Type="http://schemas.openxmlformats.org/officeDocument/2006/relationships/hyperlink" Target="http://clumio.com" TargetMode="External"/><Relationship Id="rId158" Type="http://schemas.openxmlformats.org/officeDocument/2006/relationships/hyperlink" Target="http://mapal-os.com" TargetMode="External"/><Relationship Id="rId157" Type="http://schemas.openxmlformats.org/officeDocument/2006/relationships/hyperlink" Target="http://usd.edu" TargetMode="External"/><Relationship Id="rId399" Type="http://schemas.openxmlformats.org/officeDocument/2006/relationships/hyperlink" Target="http://yopma.com" TargetMode="External"/><Relationship Id="rId156" Type="http://schemas.openxmlformats.org/officeDocument/2006/relationships/hyperlink" Target="http://collectivehealth.com" TargetMode="External"/><Relationship Id="rId398" Type="http://schemas.openxmlformats.org/officeDocument/2006/relationships/hyperlink" Target="http://soilpower.com" TargetMode="External"/><Relationship Id="rId155" Type="http://schemas.openxmlformats.org/officeDocument/2006/relationships/hyperlink" Target="http://ccanter.com" TargetMode="External"/><Relationship Id="rId397" Type="http://schemas.openxmlformats.org/officeDocument/2006/relationships/hyperlink" Target="http://petpooja.com" TargetMode="External"/><Relationship Id="rId40" Type="http://schemas.openxmlformats.org/officeDocument/2006/relationships/hyperlink" Target="http://dndaisolutions.com" TargetMode="External"/><Relationship Id="rId42" Type="http://schemas.openxmlformats.org/officeDocument/2006/relationships/hyperlink" Target="http://procol.ai" TargetMode="External"/><Relationship Id="rId41" Type="http://schemas.openxmlformats.org/officeDocument/2006/relationships/hyperlink" Target="http://asapp.com" TargetMode="External"/><Relationship Id="rId44" Type="http://schemas.openxmlformats.org/officeDocument/2006/relationships/hyperlink" Target="http://skutopia.com" TargetMode="External"/><Relationship Id="rId43" Type="http://schemas.openxmlformats.org/officeDocument/2006/relationships/hyperlink" Target="http://runatbest.com" TargetMode="External"/><Relationship Id="rId46" Type="http://schemas.openxmlformats.org/officeDocument/2006/relationships/hyperlink" Target="http://smylr.co" TargetMode="External"/><Relationship Id="rId45" Type="http://schemas.openxmlformats.org/officeDocument/2006/relationships/hyperlink" Target="http://netwoven.com" TargetMode="External"/><Relationship Id="rId509" Type="http://schemas.openxmlformats.org/officeDocument/2006/relationships/hyperlink" Target="http://ultimate.ai" TargetMode="External"/><Relationship Id="rId508" Type="http://schemas.openxmlformats.org/officeDocument/2006/relationships/hyperlink" Target="http://prodways.com" TargetMode="External"/><Relationship Id="rId503" Type="http://schemas.openxmlformats.org/officeDocument/2006/relationships/hyperlink" Target="http://intelepeer.com" TargetMode="External"/><Relationship Id="rId502" Type="http://schemas.openxmlformats.org/officeDocument/2006/relationships/hyperlink" Target="http://e-claim.com" TargetMode="External"/><Relationship Id="rId501" Type="http://schemas.openxmlformats.org/officeDocument/2006/relationships/hyperlink" Target="http://razorpay.com" TargetMode="External"/><Relationship Id="rId500" Type="http://schemas.openxmlformats.org/officeDocument/2006/relationships/hyperlink" Target="http://nasuni.com" TargetMode="External"/><Relationship Id="rId507" Type="http://schemas.openxmlformats.org/officeDocument/2006/relationships/hyperlink" Target="http://cyberkavacha.com" TargetMode="External"/><Relationship Id="rId506" Type="http://schemas.openxmlformats.org/officeDocument/2006/relationships/hyperlink" Target="http://cyberkavacha.com" TargetMode="External"/><Relationship Id="rId505" Type="http://schemas.openxmlformats.org/officeDocument/2006/relationships/hyperlink" Target="http://skuad.io" TargetMode="External"/><Relationship Id="rId504" Type="http://schemas.openxmlformats.org/officeDocument/2006/relationships/hyperlink" Target="http://thrivingsprings.com" TargetMode="External"/><Relationship Id="rId48" Type="http://schemas.openxmlformats.org/officeDocument/2006/relationships/hyperlink" Target="http://nousinfo.com" TargetMode="External"/><Relationship Id="rId47" Type="http://schemas.openxmlformats.org/officeDocument/2006/relationships/hyperlink" Target="http://leaphealth.com" TargetMode="External"/><Relationship Id="rId49" Type="http://schemas.openxmlformats.org/officeDocument/2006/relationships/hyperlink" Target="http://infrahub.ai" TargetMode="External"/><Relationship Id="rId31" Type="http://schemas.openxmlformats.org/officeDocument/2006/relationships/hyperlink" Target="http://shootsta.com" TargetMode="External"/><Relationship Id="rId30" Type="http://schemas.openxmlformats.org/officeDocument/2006/relationships/hyperlink" Target="http://pearllemon.com" TargetMode="External"/><Relationship Id="rId33" Type="http://schemas.openxmlformats.org/officeDocument/2006/relationships/hyperlink" Target="http://naukri.com" TargetMode="External"/><Relationship Id="rId32" Type="http://schemas.openxmlformats.org/officeDocument/2006/relationships/hyperlink" Target="http://naukri.com" TargetMode="External"/><Relationship Id="rId35" Type="http://schemas.openxmlformats.org/officeDocument/2006/relationships/hyperlink" Target="http://addaxlab.com" TargetMode="External"/><Relationship Id="rId34" Type="http://schemas.openxmlformats.org/officeDocument/2006/relationships/hyperlink" Target="http://mobato.com.br" TargetMode="External"/><Relationship Id="rId37" Type="http://schemas.openxmlformats.org/officeDocument/2006/relationships/hyperlink" Target="http://trmlabs.com" TargetMode="External"/><Relationship Id="rId36" Type="http://schemas.openxmlformats.org/officeDocument/2006/relationships/hyperlink" Target="http://bajajlife.com" TargetMode="External"/><Relationship Id="rId39" Type="http://schemas.openxmlformats.org/officeDocument/2006/relationships/hyperlink" Target="http://every.io" TargetMode="External"/><Relationship Id="rId38" Type="http://schemas.openxmlformats.org/officeDocument/2006/relationships/hyperlink" Target="http://tqasolutions.com" TargetMode="External"/><Relationship Id="rId20" Type="http://schemas.openxmlformats.org/officeDocument/2006/relationships/hyperlink" Target="http://starguard.uk" TargetMode="External"/><Relationship Id="rId22" Type="http://schemas.openxmlformats.org/officeDocument/2006/relationships/hyperlink" Target="http://curbwaste.com" TargetMode="External"/><Relationship Id="rId21" Type="http://schemas.openxmlformats.org/officeDocument/2006/relationships/hyperlink" Target="http://revavenues.ai" TargetMode="External"/><Relationship Id="rId24" Type="http://schemas.openxmlformats.org/officeDocument/2006/relationships/hyperlink" Target="http://fello.ai" TargetMode="External"/><Relationship Id="rId23" Type="http://schemas.openxmlformats.org/officeDocument/2006/relationships/hyperlink" Target="http://getmaple.ca" TargetMode="External"/><Relationship Id="rId525" Type="http://schemas.openxmlformats.org/officeDocument/2006/relationships/hyperlink" Target="http://ooredoo.qa" TargetMode="External"/><Relationship Id="rId524" Type="http://schemas.openxmlformats.org/officeDocument/2006/relationships/hyperlink" Target="http://redcoral.in" TargetMode="External"/><Relationship Id="rId523" Type="http://schemas.openxmlformats.org/officeDocument/2006/relationships/hyperlink" Target="http://factorialhr.com" TargetMode="External"/><Relationship Id="rId522" Type="http://schemas.openxmlformats.org/officeDocument/2006/relationships/hyperlink" Target="http://iotap.com" TargetMode="External"/><Relationship Id="rId529" Type="http://schemas.openxmlformats.org/officeDocument/2006/relationships/hyperlink" Target="http://gonobleswans.com" TargetMode="External"/><Relationship Id="rId528" Type="http://schemas.openxmlformats.org/officeDocument/2006/relationships/hyperlink" Target="http://netspi.com" TargetMode="External"/><Relationship Id="rId527" Type="http://schemas.openxmlformats.org/officeDocument/2006/relationships/hyperlink" Target="http://aptiv.io" TargetMode="External"/><Relationship Id="rId526" Type="http://schemas.openxmlformats.org/officeDocument/2006/relationships/hyperlink" Target="http://fevtutor.com" TargetMode="External"/><Relationship Id="rId26" Type="http://schemas.openxmlformats.org/officeDocument/2006/relationships/hyperlink" Target="http://blogspulse.com" TargetMode="External"/><Relationship Id="rId25" Type="http://schemas.openxmlformats.org/officeDocument/2006/relationships/hyperlink" Target="http://audiencehaus.com" TargetMode="External"/><Relationship Id="rId28" Type="http://schemas.openxmlformats.org/officeDocument/2006/relationships/hyperlink" Target="http://joindeleteme.com" TargetMode="External"/><Relationship Id="rId27" Type="http://schemas.openxmlformats.org/officeDocument/2006/relationships/hyperlink" Target="http://getcor.ai" TargetMode="External"/><Relationship Id="rId521" Type="http://schemas.openxmlformats.org/officeDocument/2006/relationships/hyperlink" Target="http://moreyeahs.com" TargetMode="External"/><Relationship Id="rId29" Type="http://schemas.openxmlformats.org/officeDocument/2006/relationships/hyperlink" Target="http://lambdatest.com" TargetMode="External"/><Relationship Id="rId520" Type="http://schemas.openxmlformats.org/officeDocument/2006/relationships/hyperlink" Target="http://kaladigital.com.au" TargetMode="External"/><Relationship Id="rId11" Type="http://schemas.openxmlformats.org/officeDocument/2006/relationships/hyperlink" Target="http://mvandc.com" TargetMode="External"/><Relationship Id="rId10" Type="http://schemas.openxmlformats.org/officeDocument/2006/relationships/hyperlink" Target="http://firemon.com" TargetMode="External"/><Relationship Id="rId13" Type="http://schemas.openxmlformats.org/officeDocument/2006/relationships/hyperlink" Target="http://torotms.com" TargetMode="External"/><Relationship Id="rId12" Type="http://schemas.openxmlformats.org/officeDocument/2006/relationships/hyperlink" Target="http://pantheon.io" TargetMode="External"/><Relationship Id="rId519" Type="http://schemas.openxmlformats.org/officeDocument/2006/relationships/hyperlink" Target="http://ubiquity.com" TargetMode="External"/><Relationship Id="rId514" Type="http://schemas.openxmlformats.org/officeDocument/2006/relationships/hyperlink" Target="http://dove-soft.com" TargetMode="External"/><Relationship Id="rId513" Type="http://schemas.openxmlformats.org/officeDocument/2006/relationships/hyperlink" Target="http://nanonets.com" TargetMode="External"/><Relationship Id="rId512" Type="http://schemas.openxmlformats.org/officeDocument/2006/relationships/hyperlink" Target="http://launchfast.in" TargetMode="External"/><Relationship Id="rId511" Type="http://schemas.openxmlformats.org/officeDocument/2006/relationships/hyperlink" Target="http://launchfast.in" TargetMode="External"/><Relationship Id="rId518" Type="http://schemas.openxmlformats.org/officeDocument/2006/relationships/hyperlink" Target="http://advance.ai" TargetMode="External"/><Relationship Id="rId517" Type="http://schemas.openxmlformats.org/officeDocument/2006/relationships/hyperlink" Target="http://advance.ai" TargetMode="External"/><Relationship Id="rId516" Type="http://schemas.openxmlformats.org/officeDocument/2006/relationships/hyperlink" Target="http://technocratshorizons.com" TargetMode="External"/><Relationship Id="rId515" Type="http://schemas.openxmlformats.org/officeDocument/2006/relationships/hyperlink" Target="http://dvunified.com" TargetMode="External"/><Relationship Id="rId15" Type="http://schemas.openxmlformats.org/officeDocument/2006/relationships/hyperlink" Target="http://phonepe.com" TargetMode="External"/><Relationship Id="rId14" Type="http://schemas.openxmlformats.org/officeDocument/2006/relationships/hyperlink" Target="http://apartmentlist.com" TargetMode="External"/><Relationship Id="rId17" Type="http://schemas.openxmlformats.org/officeDocument/2006/relationships/hyperlink" Target="http://crestron.com" TargetMode="External"/><Relationship Id="rId16" Type="http://schemas.openxmlformats.org/officeDocument/2006/relationships/hyperlink" Target="http://censys.com" TargetMode="External"/><Relationship Id="rId19" Type="http://schemas.openxmlformats.org/officeDocument/2006/relationships/hyperlink" Target="http://jeevaninfotech.com" TargetMode="External"/><Relationship Id="rId510" Type="http://schemas.openxmlformats.org/officeDocument/2006/relationships/hyperlink" Target="http://ultimate.ai" TargetMode="External"/><Relationship Id="rId18" Type="http://schemas.openxmlformats.org/officeDocument/2006/relationships/hyperlink" Target="http://loopreturns.com" TargetMode="External"/><Relationship Id="rId84" Type="http://schemas.openxmlformats.org/officeDocument/2006/relationships/hyperlink" Target="http://wirelessventures.net" TargetMode="External"/><Relationship Id="rId83" Type="http://schemas.openxmlformats.org/officeDocument/2006/relationships/hyperlink" Target="http://suralink.com" TargetMode="External"/><Relationship Id="rId86" Type="http://schemas.openxmlformats.org/officeDocument/2006/relationships/hyperlink" Target="http://resolve.ai" TargetMode="External"/><Relationship Id="rId85" Type="http://schemas.openxmlformats.org/officeDocument/2006/relationships/hyperlink" Target="http://culturalcare.com" TargetMode="External"/><Relationship Id="rId88" Type="http://schemas.openxmlformats.org/officeDocument/2006/relationships/hyperlink" Target="http://docebo.com" TargetMode="External"/><Relationship Id="rId87" Type="http://schemas.openxmlformats.org/officeDocument/2006/relationships/hyperlink" Target="http://atlassian.com" TargetMode="External"/><Relationship Id="rId89" Type="http://schemas.openxmlformats.org/officeDocument/2006/relationships/hyperlink" Target="http://applify.co" TargetMode="External"/><Relationship Id="rId80" Type="http://schemas.openxmlformats.org/officeDocument/2006/relationships/hyperlink" Target="http://freschesolutions.com" TargetMode="External"/><Relationship Id="rId82" Type="http://schemas.openxmlformats.org/officeDocument/2006/relationships/hyperlink" Target="http://visanahealth.com" TargetMode="External"/><Relationship Id="rId81" Type="http://schemas.openxmlformats.org/officeDocument/2006/relationships/hyperlink" Target="http://athleaders.co" TargetMode="External"/><Relationship Id="rId73" Type="http://schemas.openxmlformats.org/officeDocument/2006/relationships/hyperlink" Target="http://banyaninfrastructure.com" TargetMode="External"/><Relationship Id="rId72" Type="http://schemas.openxmlformats.org/officeDocument/2006/relationships/hyperlink" Target="http://zohomail.in" TargetMode="External"/><Relationship Id="rId75" Type="http://schemas.openxmlformats.org/officeDocument/2006/relationships/hyperlink" Target="http://sycurio.com" TargetMode="External"/><Relationship Id="rId74" Type="http://schemas.openxmlformats.org/officeDocument/2006/relationships/hyperlink" Target="http://strsi.com" TargetMode="External"/><Relationship Id="rId77" Type="http://schemas.openxmlformats.org/officeDocument/2006/relationships/hyperlink" Target="http://aceve.com" TargetMode="External"/><Relationship Id="rId76" Type="http://schemas.openxmlformats.org/officeDocument/2006/relationships/hyperlink" Target="http://spreadthejoy.org" TargetMode="External"/><Relationship Id="rId79" Type="http://schemas.openxmlformats.org/officeDocument/2006/relationships/hyperlink" Target="http://arrowfinishing.com" TargetMode="External"/><Relationship Id="rId78" Type="http://schemas.openxmlformats.org/officeDocument/2006/relationships/hyperlink" Target="http://togetherplatform.com" TargetMode="External"/><Relationship Id="rId71" Type="http://schemas.openxmlformats.org/officeDocument/2006/relationships/hyperlink" Target="http://voxelai.com" TargetMode="External"/><Relationship Id="rId70" Type="http://schemas.openxmlformats.org/officeDocument/2006/relationships/hyperlink" Target="http://redroverk12.com" TargetMode="External"/><Relationship Id="rId62" Type="http://schemas.openxmlformats.org/officeDocument/2006/relationships/hyperlink" Target="http://cube-digital.io" TargetMode="External"/><Relationship Id="rId61" Type="http://schemas.openxmlformats.org/officeDocument/2006/relationships/hyperlink" Target="http://bugcrowdninja.com" TargetMode="External"/><Relationship Id="rId64" Type="http://schemas.openxmlformats.org/officeDocument/2006/relationships/hyperlink" Target="http://rentana.io" TargetMode="External"/><Relationship Id="rId63" Type="http://schemas.openxmlformats.org/officeDocument/2006/relationships/hyperlink" Target="http://qualysec.com" TargetMode="External"/><Relationship Id="rId66" Type="http://schemas.openxmlformats.org/officeDocument/2006/relationships/hyperlink" Target="http://usemultiplier.com" TargetMode="External"/><Relationship Id="rId65" Type="http://schemas.openxmlformats.org/officeDocument/2006/relationships/hyperlink" Target="http://samivy.com" TargetMode="External"/><Relationship Id="rId68" Type="http://schemas.openxmlformats.org/officeDocument/2006/relationships/hyperlink" Target="http://advantive.com" TargetMode="External"/><Relationship Id="rId67" Type="http://schemas.openxmlformats.org/officeDocument/2006/relationships/hyperlink" Target="http://everlylife.com" TargetMode="External"/><Relationship Id="rId60" Type="http://schemas.openxmlformats.org/officeDocument/2006/relationships/hyperlink" Target="http://magicbricks.com" TargetMode="External"/><Relationship Id="rId69" Type="http://schemas.openxmlformats.org/officeDocument/2006/relationships/hyperlink" Target="http://documentcrunch.com" TargetMode="External"/><Relationship Id="rId51" Type="http://schemas.openxmlformats.org/officeDocument/2006/relationships/hyperlink" Target="http://sprinto.com" TargetMode="External"/><Relationship Id="rId50" Type="http://schemas.openxmlformats.org/officeDocument/2006/relationships/hyperlink" Target="http://gatewayfinancialpartners.com" TargetMode="External"/><Relationship Id="rId53" Type="http://schemas.openxmlformats.org/officeDocument/2006/relationships/hyperlink" Target="http://trysparrow.com" TargetMode="External"/><Relationship Id="rId52" Type="http://schemas.openxmlformats.org/officeDocument/2006/relationships/hyperlink" Target="http://fastbreak.ai" TargetMode="External"/><Relationship Id="rId55" Type="http://schemas.openxmlformats.org/officeDocument/2006/relationships/hyperlink" Target="http://p2p.org" TargetMode="External"/><Relationship Id="rId54" Type="http://schemas.openxmlformats.org/officeDocument/2006/relationships/hyperlink" Target="http://motivity.net" TargetMode="External"/><Relationship Id="rId57" Type="http://schemas.openxmlformats.org/officeDocument/2006/relationships/hyperlink" Target="http://tallysolutions.com" TargetMode="External"/><Relationship Id="rId56" Type="http://schemas.openxmlformats.org/officeDocument/2006/relationships/hyperlink" Target="http://tallysolutions.com" TargetMode="External"/><Relationship Id="rId59" Type="http://schemas.openxmlformats.org/officeDocument/2006/relationships/hyperlink" Target="http://certbar.com" TargetMode="External"/><Relationship Id="rId58" Type="http://schemas.openxmlformats.org/officeDocument/2006/relationships/hyperlink" Target="http://icousd.com" TargetMode="External"/><Relationship Id="rId590" Type="http://schemas.openxmlformats.org/officeDocument/2006/relationships/hyperlink" Target="http://founderlink.ai" TargetMode="External"/><Relationship Id="rId107" Type="http://schemas.openxmlformats.org/officeDocument/2006/relationships/hyperlink" Target="http://agencybloc.com" TargetMode="External"/><Relationship Id="rId349" Type="http://schemas.openxmlformats.org/officeDocument/2006/relationships/hyperlink" Target="http://recastsoftware.com" TargetMode="External"/><Relationship Id="rId106" Type="http://schemas.openxmlformats.org/officeDocument/2006/relationships/hyperlink" Target="http://avidxchange.com" TargetMode="External"/><Relationship Id="rId348" Type="http://schemas.openxmlformats.org/officeDocument/2006/relationships/hyperlink" Target="http://simplicontract.com" TargetMode="External"/><Relationship Id="rId105" Type="http://schemas.openxmlformats.org/officeDocument/2006/relationships/hyperlink" Target="http://sailpoint.com" TargetMode="External"/><Relationship Id="rId347" Type="http://schemas.openxmlformats.org/officeDocument/2006/relationships/hyperlink" Target="http://mparticle.com" TargetMode="External"/><Relationship Id="rId589" Type="http://schemas.openxmlformats.org/officeDocument/2006/relationships/hyperlink" Target="http://founderlink.ai" TargetMode="External"/><Relationship Id="rId104" Type="http://schemas.openxmlformats.org/officeDocument/2006/relationships/hyperlink" Target="http://masspay.io" TargetMode="External"/><Relationship Id="rId346" Type="http://schemas.openxmlformats.org/officeDocument/2006/relationships/hyperlink" Target="http://sundaysky.com" TargetMode="External"/><Relationship Id="rId588" Type="http://schemas.openxmlformats.org/officeDocument/2006/relationships/hyperlink" Target="http://ataccama.com" TargetMode="External"/><Relationship Id="rId109" Type="http://schemas.openxmlformats.org/officeDocument/2006/relationships/hyperlink" Target="http://pella.com" TargetMode="External"/><Relationship Id="rId108" Type="http://schemas.openxmlformats.org/officeDocument/2006/relationships/hyperlink" Target="http://permutive.com" TargetMode="External"/><Relationship Id="rId341" Type="http://schemas.openxmlformats.org/officeDocument/2006/relationships/hyperlink" Target="http://mailmodo.com" TargetMode="External"/><Relationship Id="rId583" Type="http://schemas.openxmlformats.org/officeDocument/2006/relationships/hyperlink" Target="http://iimbg.ac.in" TargetMode="External"/><Relationship Id="rId340" Type="http://schemas.openxmlformats.org/officeDocument/2006/relationships/hyperlink" Target="http://epignosishq.com" TargetMode="External"/><Relationship Id="rId582" Type="http://schemas.openxmlformats.org/officeDocument/2006/relationships/hyperlink" Target="http://ormae.com" TargetMode="External"/><Relationship Id="rId581" Type="http://schemas.openxmlformats.org/officeDocument/2006/relationships/hyperlink" Target="http://telgani.com" TargetMode="External"/><Relationship Id="rId580" Type="http://schemas.openxmlformats.org/officeDocument/2006/relationships/hyperlink" Target="http://bumpin.io" TargetMode="External"/><Relationship Id="rId103" Type="http://schemas.openxmlformats.org/officeDocument/2006/relationships/hyperlink" Target="http://rtgecommerce.com" TargetMode="External"/><Relationship Id="rId345" Type="http://schemas.openxmlformats.org/officeDocument/2006/relationships/hyperlink" Target="http://getcakewalktest.com" TargetMode="External"/><Relationship Id="rId587" Type="http://schemas.openxmlformats.org/officeDocument/2006/relationships/hyperlink" Target="http://mpp.co.in" TargetMode="External"/><Relationship Id="rId102" Type="http://schemas.openxmlformats.org/officeDocument/2006/relationships/hyperlink" Target="http://versatil.vc" TargetMode="External"/><Relationship Id="rId344" Type="http://schemas.openxmlformats.org/officeDocument/2006/relationships/hyperlink" Target="http://getcakewalktest.com" TargetMode="External"/><Relationship Id="rId586" Type="http://schemas.openxmlformats.org/officeDocument/2006/relationships/hyperlink" Target="http://xuriti.com" TargetMode="External"/><Relationship Id="rId101" Type="http://schemas.openxmlformats.org/officeDocument/2006/relationships/hyperlink" Target="http://kortext.com" TargetMode="External"/><Relationship Id="rId343" Type="http://schemas.openxmlformats.org/officeDocument/2006/relationships/hyperlink" Target="http://alchemer.com" TargetMode="External"/><Relationship Id="rId585" Type="http://schemas.openxmlformats.org/officeDocument/2006/relationships/hyperlink" Target="http://xuriti.com" TargetMode="External"/><Relationship Id="rId100" Type="http://schemas.openxmlformats.org/officeDocument/2006/relationships/hyperlink" Target="http://axcelerate.com" TargetMode="External"/><Relationship Id="rId342" Type="http://schemas.openxmlformats.org/officeDocument/2006/relationships/hyperlink" Target="http://notablehealth.com" TargetMode="External"/><Relationship Id="rId584" Type="http://schemas.openxmlformats.org/officeDocument/2006/relationships/hyperlink" Target="http://thewritingproject.com" TargetMode="External"/><Relationship Id="rId338" Type="http://schemas.openxmlformats.org/officeDocument/2006/relationships/hyperlink" Target="http://neuron7.ai" TargetMode="External"/><Relationship Id="rId337" Type="http://schemas.openxmlformats.org/officeDocument/2006/relationships/hyperlink" Target="http://testsigma.com" TargetMode="External"/><Relationship Id="rId579" Type="http://schemas.openxmlformats.org/officeDocument/2006/relationships/hyperlink" Target="http://bumpin.io" TargetMode="External"/><Relationship Id="rId336" Type="http://schemas.openxmlformats.org/officeDocument/2006/relationships/hyperlink" Target="http://woomio.com" TargetMode="External"/><Relationship Id="rId578" Type="http://schemas.openxmlformats.org/officeDocument/2006/relationships/hyperlink" Target="http://mk2v.com" TargetMode="External"/><Relationship Id="rId335" Type="http://schemas.openxmlformats.org/officeDocument/2006/relationships/hyperlink" Target="http://insightinhealth.com" TargetMode="External"/><Relationship Id="rId577" Type="http://schemas.openxmlformats.org/officeDocument/2006/relationships/hyperlink" Target="http://naturalremedy.com" TargetMode="External"/><Relationship Id="rId339" Type="http://schemas.openxmlformats.org/officeDocument/2006/relationships/hyperlink" Target="http://neuron7.ai" TargetMode="External"/><Relationship Id="rId330" Type="http://schemas.openxmlformats.org/officeDocument/2006/relationships/hyperlink" Target="http://magmamath.com" TargetMode="External"/><Relationship Id="rId572" Type="http://schemas.openxmlformats.org/officeDocument/2006/relationships/hyperlink" Target="http://woodpecker.co" TargetMode="External"/><Relationship Id="rId571" Type="http://schemas.openxmlformats.org/officeDocument/2006/relationships/hyperlink" Target="http://samparksoftwares.com" TargetMode="External"/><Relationship Id="rId570" Type="http://schemas.openxmlformats.org/officeDocument/2006/relationships/hyperlink" Target="http://silent-yachts.com" TargetMode="External"/><Relationship Id="rId334" Type="http://schemas.openxmlformats.org/officeDocument/2006/relationships/hyperlink" Target="http://dixa.com" TargetMode="External"/><Relationship Id="rId576" Type="http://schemas.openxmlformats.org/officeDocument/2006/relationships/hyperlink" Target="http://writeplus.co" TargetMode="External"/><Relationship Id="rId333" Type="http://schemas.openxmlformats.org/officeDocument/2006/relationships/hyperlink" Target="http://openlane.com" TargetMode="External"/><Relationship Id="rId575" Type="http://schemas.openxmlformats.org/officeDocument/2006/relationships/hyperlink" Target="http://sprinto.com" TargetMode="External"/><Relationship Id="rId332" Type="http://schemas.openxmlformats.org/officeDocument/2006/relationships/hyperlink" Target="http://jellyfish.co" TargetMode="External"/><Relationship Id="rId574" Type="http://schemas.openxmlformats.org/officeDocument/2006/relationships/hyperlink" Target="http://betterplace.co.in" TargetMode="External"/><Relationship Id="rId331" Type="http://schemas.openxmlformats.org/officeDocument/2006/relationships/hyperlink" Target="http://everlaw.com" TargetMode="External"/><Relationship Id="rId573" Type="http://schemas.openxmlformats.org/officeDocument/2006/relationships/hyperlink" Target="http://woodpecker.co" TargetMode="External"/><Relationship Id="rId370" Type="http://schemas.openxmlformats.org/officeDocument/2006/relationships/hyperlink" Target="http://sulamanahmed.com" TargetMode="External"/><Relationship Id="rId129" Type="http://schemas.openxmlformats.org/officeDocument/2006/relationships/hyperlink" Target="http://billd.com" TargetMode="External"/><Relationship Id="rId128" Type="http://schemas.openxmlformats.org/officeDocument/2006/relationships/hyperlink" Target="http://dexian.com" TargetMode="External"/><Relationship Id="rId127" Type="http://schemas.openxmlformats.org/officeDocument/2006/relationships/hyperlink" Target="http://emersonrogers.com" TargetMode="External"/><Relationship Id="rId369" Type="http://schemas.openxmlformats.org/officeDocument/2006/relationships/hyperlink" Target="http://lji.io" TargetMode="External"/><Relationship Id="rId126" Type="http://schemas.openxmlformats.org/officeDocument/2006/relationships/hyperlink" Target="http://clayton.k12.ga.us" TargetMode="External"/><Relationship Id="rId368" Type="http://schemas.openxmlformats.org/officeDocument/2006/relationships/hyperlink" Target="http://spotdraft.com" TargetMode="External"/><Relationship Id="rId121" Type="http://schemas.openxmlformats.org/officeDocument/2006/relationships/hyperlink" Target="http://phonepe.com" TargetMode="External"/><Relationship Id="rId363" Type="http://schemas.openxmlformats.org/officeDocument/2006/relationships/hyperlink" Target="http://usa-hogan.com" TargetMode="External"/><Relationship Id="rId120" Type="http://schemas.openxmlformats.org/officeDocument/2006/relationships/hyperlink" Target="http://sos-nv.com" TargetMode="External"/><Relationship Id="rId362" Type="http://schemas.openxmlformats.org/officeDocument/2006/relationships/hyperlink" Target="http://usa-hogan.com" TargetMode="External"/><Relationship Id="rId361" Type="http://schemas.openxmlformats.org/officeDocument/2006/relationships/hyperlink" Target="http://enthu.com" TargetMode="External"/><Relationship Id="rId360" Type="http://schemas.openxmlformats.org/officeDocument/2006/relationships/hyperlink" Target="http://checkout.com" TargetMode="External"/><Relationship Id="rId125" Type="http://schemas.openxmlformats.org/officeDocument/2006/relationships/hyperlink" Target="http://ursa8films.com" TargetMode="External"/><Relationship Id="rId367" Type="http://schemas.openxmlformats.org/officeDocument/2006/relationships/hyperlink" Target="http://rizitea.com" TargetMode="External"/><Relationship Id="rId124" Type="http://schemas.openxmlformats.org/officeDocument/2006/relationships/hyperlink" Target="http://you.com" TargetMode="External"/><Relationship Id="rId366" Type="http://schemas.openxmlformats.org/officeDocument/2006/relationships/hyperlink" Target="http://rizitea.com" TargetMode="External"/><Relationship Id="rId123" Type="http://schemas.openxmlformats.org/officeDocument/2006/relationships/hyperlink" Target="http://you.com" TargetMode="External"/><Relationship Id="rId365" Type="http://schemas.openxmlformats.org/officeDocument/2006/relationships/hyperlink" Target="http://covergenius.com" TargetMode="External"/><Relationship Id="rId122" Type="http://schemas.openxmlformats.org/officeDocument/2006/relationships/hyperlink" Target="http://g.risd.org" TargetMode="External"/><Relationship Id="rId364" Type="http://schemas.openxmlformats.org/officeDocument/2006/relationships/hyperlink" Target="http://decorlanein.com" TargetMode="External"/><Relationship Id="rId95" Type="http://schemas.openxmlformats.org/officeDocument/2006/relationships/hyperlink" Target="http://armorcode.com" TargetMode="External"/><Relationship Id="rId94" Type="http://schemas.openxmlformats.org/officeDocument/2006/relationships/hyperlink" Target="http://kankani.in" TargetMode="External"/><Relationship Id="rId97" Type="http://schemas.openxmlformats.org/officeDocument/2006/relationships/hyperlink" Target="http://teramind.co" TargetMode="External"/><Relationship Id="rId96" Type="http://schemas.openxmlformats.org/officeDocument/2006/relationships/hyperlink" Target="http://sendtrumpet.com" TargetMode="External"/><Relationship Id="rId99" Type="http://schemas.openxmlformats.org/officeDocument/2006/relationships/hyperlink" Target="http://frontlineeducation.com" TargetMode="External"/><Relationship Id="rId98" Type="http://schemas.openxmlformats.org/officeDocument/2006/relationships/hyperlink" Target="http://maggicowlan.com" TargetMode="External"/><Relationship Id="rId91" Type="http://schemas.openxmlformats.org/officeDocument/2006/relationships/hyperlink" Target="http://activtrak.com" TargetMode="External"/><Relationship Id="rId90" Type="http://schemas.openxmlformats.org/officeDocument/2006/relationships/hyperlink" Target="http://dashsocial.com" TargetMode="External"/><Relationship Id="rId93" Type="http://schemas.openxmlformats.org/officeDocument/2006/relationships/hyperlink" Target="http://hockeystack.com" TargetMode="External"/><Relationship Id="rId92" Type="http://schemas.openxmlformats.org/officeDocument/2006/relationships/hyperlink" Target="http://sacred7enterprises.org" TargetMode="External"/><Relationship Id="rId118" Type="http://schemas.openxmlformats.org/officeDocument/2006/relationships/hyperlink" Target="http://kissflow.com" TargetMode="External"/><Relationship Id="rId117" Type="http://schemas.openxmlformats.org/officeDocument/2006/relationships/hyperlink" Target="http://glossgenius.com" TargetMode="External"/><Relationship Id="rId359" Type="http://schemas.openxmlformats.org/officeDocument/2006/relationships/hyperlink" Target="http://checkout.com" TargetMode="External"/><Relationship Id="rId116" Type="http://schemas.openxmlformats.org/officeDocument/2006/relationships/hyperlink" Target="http://atomchat.io" TargetMode="External"/><Relationship Id="rId358" Type="http://schemas.openxmlformats.org/officeDocument/2006/relationships/hyperlink" Target="http://ohmd.com" TargetMode="External"/><Relationship Id="rId115" Type="http://schemas.openxmlformats.org/officeDocument/2006/relationships/hyperlink" Target="http://act-on.com" TargetMode="External"/><Relationship Id="rId357" Type="http://schemas.openxmlformats.org/officeDocument/2006/relationships/hyperlink" Target="http://hginsights.com" TargetMode="External"/><Relationship Id="rId599" Type="http://schemas.openxmlformats.org/officeDocument/2006/relationships/hyperlink" Target="http://healietech.com" TargetMode="External"/><Relationship Id="rId119" Type="http://schemas.openxmlformats.org/officeDocument/2006/relationships/hyperlink" Target="http://defendx.ch" TargetMode="External"/><Relationship Id="rId110" Type="http://schemas.openxmlformats.org/officeDocument/2006/relationships/hyperlink" Target="http://spotlightmediafargo.com" TargetMode="External"/><Relationship Id="rId352" Type="http://schemas.openxmlformats.org/officeDocument/2006/relationships/hyperlink" Target="http://trackforcevaliant.com" TargetMode="External"/><Relationship Id="rId594" Type="http://schemas.openxmlformats.org/officeDocument/2006/relationships/hyperlink" Target="http://peoplestrong.com" TargetMode="External"/><Relationship Id="rId351" Type="http://schemas.openxmlformats.org/officeDocument/2006/relationships/hyperlink" Target="http://hasura.io" TargetMode="External"/><Relationship Id="rId593" Type="http://schemas.openxmlformats.org/officeDocument/2006/relationships/hyperlink" Target="http://topbeat.in" TargetMode="External"/><Relationship Id="rId350" Type="http://schemas.openxmlformats.org/officeDocument/2006/relationships/hyperlink" Target="http://rewaatech.com" TargetMode="External"/><Relationship Id="rId592" Type="http://schemas.openxmlformats.org/officeDocument/2006/relationships/hyperlink" Target="http://impact.com" TargetMode="External"/><Relationship Id="rId591" Type="http://schemas.openxmlformats.org/officeDocument/2006/relationships/hyperlink" Target="http://impact.com" TargetMode="External"/><Relationship Id="rId114" Type="http://schemas.openxmlformats.org/officeDocument/2006/relationships/hyperlink" Target="http://easywebinar.com" TargetMode="External"/><Relationship Id="rId356" Type="http://schemas.openxmlformats.org/officeDocument/2006/relationships/hyperlink" Target="http://obsidiansecurity.com" TargetMode="External"/><Relationship Id="rId598" Type="http://schemas.openxmlformats.org/officeDocument/2006/relationships/hyperlink" Target="http://brownliving.in" TargetMode="External"/><Relationship Id="rId113" Type="http://schemas.openxmlformats.org/officeDocument/2006/relationships/hyperlink" Target="http://waisldigital.com" TargetMode="External"/><Relationship Id="rId355" Type="http://schemas.openxmlformats.org/officeDocument/2006/relationships/hyperlink" Target="http://mscdirect.com" TargetMode="External"/><Relationship Id="rId597" Type="http://schemas.openxmlformats.org/officeDocument/2006/relationships/hyperlink" Target="http://forge.vc" TargetMode="External"/><Relationship Id="rId112" Type="http://schemas.openxmlformats.org/officeDocument/2006/relationships/hyperlink" Target="http://atomicwork.com" TargetMode="External"/><Relationship Id="rId354" Type="http://schemas.openxmlformats.org/officeDocument/2006/relationships/hyperlink" Target="http://greatleads.ru" TargetMode="External"/><Relationship Id="rId596" Type="http://schemas.openxmlformats.org/officeDocument/2006/relationships/hyperlink" Target="http://mygate.com" TargetMode="External"/><Relationship Id="rId111" Type="http://schemas.openxmlformats.org/officeDocument/2006/relationships/hyperlink" Target="http://teramind.co" TargetMode="External"/><Relationship Id="rId353" Type="http://schemas.openxmlformats.org/officeDocument/2006/relationships/hyperlink" Target="http://ocpgroup.ma" TargetMode="External"/><Relationship Id="rId595" Type="http://schemas.openxmlformats.org/officeDocument/2006/relationships/hyperlink" Target="http://votecgroup.com" TargetMode="External"/><Relationship Id="rId305" Type="http://schemas.openxmlformats.org/officeDocument/2006/relationships/hyperlink" Target="http://novatechset.com" TargetMode="External"/><Relationship Id="rId547" Type="http://schemas.openxmlformats.org/officeDocument/2006/relationships/hyperlink" Target="http://augustcollection.co.uk" TargetMode="External"/><Relationship Id="rId304" Type="http://schemas.openxmlformats.org/officeDocument/2006/relationships/hyperlink" Target="http://vial.com" TargetMode="External"/><Relationship Id="rId546" Type="http://schemas.openxmlformats.org/officeDocument/2006/relationships/hyperlink" Target="http://placer.io" TargetMode="External"/><Relationship Id="rId303" Type="http://schemas.openxmlformats.org/officeDocument/2006/relationships/hyperlink" Target="http://nomentia.com" TargetMode="External"/><Relationship Id="rId545" Type="http://schemas.openxmlformats.org/officeDocument/2006/relationships/hyperlink" Target="http://placer.ai" TargetMode="External"/><Relationship Id="rId302" Type="http://schemas.openxmlformats.org/officeDocument/2006/relationships/hyperlink" Target="http://weaviate.io" TargetMode="External"/><Relationship Id="rId544" Type="http://schemas.openxmlformats.org/officeDocument/2006/relationships/hyperlink" Target="http://rootteam.co.jp" TargetMode="External"/><Relationship Id="rId309" Type="http://schemas.openxmlformats.org/officeDocument/2006/relationships/hyperlink" Target="http://sonatype.com" TargetMode="External"/><Relationship Id="rId308" Type="http://schemas.openxmlformats.org/officeDocument/2006/relationships/hyperlink" Target="http://sitemate.com" TargetMode="External"/><Relationship Id="rId307" Type="http://schemas.openxmlformats.org/officeDocument/2006/relationships/hyperlink" Target="http://madhive.com" TargetMode="External"/><Relationship Id="rId549" Type="http://schemas.openxmlformats.org/officeDocument/2006/relationships/hyperlink" Target="http://hyperverge.co" TargetMode="External"/><Relationship Id="rId306" Type="http://schemas.openxmlformats.org/officeDocument/2006/relationships/hyperlink" Target="http://trekhealth.io" TargetMode="External"/><Relationship Id="rId548" Type="http://schemas.openxmlformats.org/officeDocument/2006/relationships/hyperlink" Target="http://joveo.com" TargetMode="External"/><Relationship Id="rId301" Type="http://schemas.openxmlformats.org/officeDocument/2006/relationships/hyperlink" Target="http://on24.com" TargetMode="External"/><Relationship Id="rId543" Type="http://schemas.openxmlformats.org/officeDocument/2006/relationships/hyperlink" Target="http://amagi.com" TargetMode="External"/><Relationship Id="rId300" Type="http://schemas.openxmlformats.org/officeDocument/2006/relationships/hyperlink" Target="http://dialpad.com" TargetMode="External"/><Relationship Id="rId542" Type="http://schemas.openxmlformats.org/officeDocument/2006/relationships/hyperlink" Target="http://machintel.com" TargetMode="External"/><Relationship Id="rId541" Type="http://schemas.openxmlformats.org/officeDocument/2006/relationships/hyperlink" Target="http://hopskipdrive.com" TargetMode="External"/><Relationship Id="rId540" Type="http://schemas.openxmlformats.org/officeDocument/2006/relationships/hyperlink" Target="http://revenue.io" TargetMode="External"/><Relationship Id="rId536" Type="http://schemas.openxmlformats.org/officeDocument/2006/relationships/hyperlink" Target="http://tread.io" TargetMode="External"/><Relationship Id="rId535" Type="http://schemas.openxmlformats.org/officeDocument/2006/relationships/hyperlink" Target="http://planful.com" TargetMode="External"/><Relationship Id="rId534" Type="http://schemas.openxmlformats.org/officeDocument/2006/relationships/hyperlink" Target="http://foleon.com" TargetMode="External"/><Relationship Id="rId533" Type="http://schemas.openxmlformats.org/officeDocument/2006/relationships/hyperlink" Target="http://lizy.be" TargetMode="External"/><Relationship Id="rId539" Type="http://schemas.openxmlformats.org/officeDocument/2006/relationships/hyperlink" Target="http://revenue.io" TargetMode="External"/><Relationship Id="rId538" Type="http://schemas.openxmlformats.org/officeDocument/2006/relationships/hyperlink" Target="http://cloud4c.com" TargetMode="External"/><Relationship Id="rId537" Type="http://schemas.openxmlformats.org/officeDocument/2006/relationships/hyperlink" Target="http://loconav.com" TargetMode="External"/><Relationship Id="rId532" Type="http://schemas.openxmlformats.org/officeDocument/2006/relationships/hyperlink" Target="http://exponentpt.com" TargetMode="External"/><Relationship Id="rId531" Type="http://schemas.openxmlformats.org/officeDocument/2006/relationships/hyperlink" Target="http://provisiopartners.com" TargetMode="External"/><Relationship Id="rId530" Type="http://schemas.openxmlformats.org/officeDocument/2006/relationships/hyperlink" Target="http://greythr.com" TargetMode="External"/><Relationship Id="rId327" Type="http://schemas.openxmlformats.org/officeDocument/2006/relationships/hyperlink" Target="http://hrsoft.com" TargetMode="External"/><Relationship Id="rId569" Type="http://schemas.openxmlformats.org/officeDocument/2006/relationships/hyperlink" Target="http://360extech.com" TargetMode="External"/><Relationship Id="rId326" Type="http://schemas.openxmlformats.org/officeDocument/2006/relationships/hyperlink" Target="http://fenixparts.com" TargetMode="External"/><Relationship Id="rId568" Type="http://schemas.openxmlformats.org/officeDocument/2006/relationships/hyperlink" Target="http://inspirext.com" TargetMode="External"/><Relationship Id="rId325" Type="http://schemas.openxmlformats.org/officeDocument/2006/relationships/hyperlink" Target="http://unstoppable.do" TargetMode="External"/><Relationship Id="rId567" Type="http://schemas.openxmlformats.org/officeDocument/2006/relationships/hyperlink" Target="http://elephantedgeai.com" TargetMode="External"/><Relationship Id="rId324" Type="http://schemas.openxmlformats.org/officeDocument/2006/relationships/hyperlink" Target="http://transcend.io" TargetMode="External"/><Relationship Id="rId566" Type="http://schemas.openxmlformats.org/officeDocument/2006/relationships/hyperlink" Target="http://inifox.com" TargetMode="External"/><Relationship Id="rId329" Type="http://schemas.openxmlformats.org/officeDocument/2006/relationships/hyperlink" Target="http://lichtnl.nl" TargetMode="External"/><Relationship Id="rId328" Type="http://schemas.openxmlformats.org/officeDocument/2006/relationships/hyperlink" Target="http://pilani.bits-pilani.ac.in" TargetMode="External"/><Relationship Id="rId561" Type="http://schemas.openxmlformats.org/officeDocument/2006/relationships/hyperlink" Target="http://satsure.co" TargetMode="External"/><Relationship Id="rId560" Type="http://schemas.openxmlformats.org/officeDocument/2006/relationships/hyperlink" Target="http://securden.com" TargetMode="External"/><Relationship Id="rId323" Type="http://schemas.openxmlformats.org/officeDocument/2006/relationships/hyperlink" Target="http://vital.io" TargetMode="External"/><Relationship Id="rId565" Type="http://schemas.openxmlformats.org/officeDocument/2006/relationships/hyperlink" Target="http://inifox.com" TargetMode="External"/><Relationship Id="rId322" Type="http://schemas.openxmlformats.org/officeDocument/2006/relationships/hyperlink" Target="http://gokwik.co" TargetMode="External"/><Relationship Id="rId564" Type="http://schemas.openxmlformats.org/officeDocument/2006/relationships/hyperlink" Target="http://webengage.com" TargetMode="External"/><Relationship Id="rId321" Type="http://schemas.openxmlformats.org/officeDocument/2006/relationships/hyperlink" Target="http://flyfish.ai" TargetMode="External"/><Relationship Id="rId563" Type="http://schemas.openxmlformats.org/officeDocument/2006/relationships/hyperlink" Target="http://betterplace.co.in" TargetMode="External"/><Relationship Id="rId320" Type="http://schemas.openxmlformats.org/officeDocument/2006/relationships/hyperlink" Target="http://anonyome.com" TargetMode="External"/><Relationship Id="rId562" Type="http://schemas.openxmlformats.org/officeDocument/2006/relationships/hyperlink" Target="http://cardiodiagnosticsinc.com" TargetMode="External"/><Relationship Id="rId316" Type="http://schemas.openxmlformats.org/officeDocument/2006/relationships/hyperlink" Target="http://financeops.ai" TargetMode="External"/><Relationship Id="rId558" Type="http://schemas.openxmlformats.org/officeDocument/2006/relationships/hyperlink" Target="http://ontic.co" TargetMode="External"/><Relationship Id="rId315" Type="http://schemas.openxmlformats.org/officeDocument/2006/relationships/hyperlink" Target="http://cypris.ai" TargetMode="External"/><Relationship Id="rId557" Type="http://schemas.openxmlformats.org/officeDocument/2006/relationships/hyperlink" Target="http://cesco.com" TargetMode="External"/><Relationship Id="rId314" Type="http://schemas.openxmlformats.org/officeDocument/2006/relationships/hyperlink" Target="http://bathfitter.com" TargetMode="External"/><Relationship Id="rId556" Type="http://schemas.openxmlformats.org/officeDocument/2006/relationships/hyperlink" Target="http://digitalmantra.in" TargetMode="External"/><Relationship Id="rId313" Type="http://schemas.openxmlformats.org/officeDocument/2006/relationships/hyperlink" Target="http://weagree.com" TargetMode="External"/><Relationship Id="rId555" Type="http://schemas.openxmlformats.org/officeDocument/2006/relationships/hyperlink" Target="http://edmingle.com" TargetMode="External"/><Relationship Id="rId319" Type="http://schemas.openxmlformats.org/officeDocument/2006/relationships/hyperlink" Target="http://brightrtravel.com" TargetMode="External"/><Relationship Id="rId318" Type="http://schemas.openxmlformats.org/officeDocument/2006/relationships/hyperlink" Target="http://dataiku.com" TargetMode="External"/><Relationship Id="rId317" Type="http://schemas.openxmlformats.org/officeDocument/2006/relationships/hyperlink" Target="http://logikality.ai" TargetMode="External"/><Relationship Id="rId559" Type="http://schemas.openxmlformats.org/officeDocument/2006/relationships/hyperlink" Target="http://apaleo.com" TargetMode="External"/><Relationship Id="rId550" Type="http://schemas.openxmlformats.org/officeDocument/2006/relationships/hyperlink" Target="http://v7labs.com" TargetMode="External"/><Relationship Id="rId312" Type="http://schemas.openxmlformats.org/officeDocument/2006/relationships/hyperlink" Target="http://sascholar.org" TargetMode="External"/><Relationship Id="rId554" Type="http://schemas.openxmlformats.org/officeDocument/2006/relationships/hyperlink" Target="http://rocketlane.com" TargetMode="External"/><Relationship Id="rId311" Type="http://schemas.openxmlformats.org/officeDocument/2006/relationships/hyperlink" Target="http://sascholar.org" TargetMode="External"/><Relationship Id="rId553" Type="http://schemas.openxmlformats.org/officeDocument/2006/relationships/hyperlink" Target="http://abtasty.com" TargetMode="External"/><Relationship Id="rId310" Type="http://schemas.openxmlformats.org/officeDocument/2006/relationships/hyperlink" Target="http://telefonica.com" TargetMode="External"/><Relationship Id="rId552" Type="http://schemas.openxmlformats.org/officeDocument/2006/relationships/hyperlink" Target="http://peoplefluent.com" TargetMode="External"/><Relationship Id="rId551" Type="http://schemas.openxmlformats.org/officeDocument/2006/relationships/hyperlink" Target="http://liveguru.io" TargetMode="External"/><Relationship Id="rId297" Type="http://schemas.openxmlformats.org/officeDocument/2006/relationships/hyperlink" Target="http://chinese-auto-part.com" TargetMode="External"/><Relationship Id="rId296" Type="http://schemas.openxmlformats.org/officeDocument/2006/relationships/hyperlink" Target="http://headway.co" TargetMode="External"/><Relationship Id="rId295" Type="http://schemas.openxmlformats.org/officeDocument/2006/relationships/hyperlink" Target="http://zithara.ai" TargetMode="External"/><Relationship Id="rId294" Type="http://schemas.openxmlformats.org/officeDocument/2006/relationships/hyperlink" Target="http://centrical.com" TargetMode="External"/><Relationship Id="rId299" Type="http://schemas.openxmlformats.org/officeDocument/2006/relationships/hyperlink" Target="http://hakusports.com" TargetMode="External"/><Relationship Id="rId298" Type="http://schemas.openxmlformats.org/officeDocument/2006/relationships/hyperlink" Target="http://chinese-auto-part.com" TargetMode="External"/><Relationship Id="rId271" Type="http://schemas.openxmlformats.org/officeDocument/2006/relationships/hyperlink" Target="http://workwithsquares.com" TargetMode="External"/><Relationship Id="rId270" Type="http://schemas.openxmlformats.org/officeDocument/2006/relationships/hyperlink" Target="http://transferroom.com" TargetMode="External"/><Relationship Id="rId269" Type="http://schemas.openxmlformats.org/officeDocument/2006/relationships/hyperlink" Target="http://reltio.com" TargetMode="External"/><Relationship Id="rId264" Type="http://schemas.openxmlformats.org/officeDocument/2006/relationships/hyperlink" Target="http://teamfront.com" TargetMode="External"/><Relationship Id="rId263" Type="http://schemas.openxmlformats.org/officeDocument/2006/relationships/hyperlink" Target="http://avconcepts.com" TargetMode="External"/><Relationship Id="rId262" Type="http://schemas.openxmlformats.org/officeDocument/2006/relationships/hyperlink" Target="http://zenskar.com" TargetMode="External"/><Relationship Id="rId261" Type="http://schemas.openxmlformats.org/officeDocument/2006/relationships/hyperlink" Target="http://mail.co" TargetMode="External"/><Relationship Id="rId268" Type="http://schemas.openxmlformats.org/officeDocument/2006/relationships/hyperlink" Target="http://healthmonitor.com" TargetMode="External"/><Relationship Id="rId267" Type="http://schemas.openxmlformats.org/officeDocument/2006/relationships/hyperlink" Target="http://guesty.com" TargetMode="External"/><Relationship Id="rId266" Type="http://schemas.openxmlformats.org/officeDocument/2006/relationships/hyperlink" Target="http://sprinklr.com" TargetMode="External"/><Relationship Id="rId265" Type="http://schemas.openxmlformats.org/officeDocument/2006/relationships/hyperlink" Target="http://crossbeam.com" TargetMode="External"/><Relationship Id="rId260" Type="http://schemas.openxmlformats.org/officeDocument/2006/relationships/hyperlink" Target="http://mail.co" TargetMode="External"/><Relationship Id="rId259" Type="http://schemas.openxmlformats.org/officeDocument/2006/relationships/hyperlink" Target="http://aledade.com" TargetMode="External"/><Relationship Id="rId258" Type="http://schemas.openxmlformats.org/officeDocument/2006/relationships/hyperlink" Target="http://demandscience.com" TargetMode="External"/><Relationship Id="rId253" Type="http://schemas.openxmlformats.org/officeDocument/2006/relationships/hyperlink" Target="http://linkedin.com" TargetMode="External"/><Relationship Id="rId495" Type="http://schemas.openxmlformats.org/officeDocument/2006/relationships/hyperlink" Target="http://rategain.com" TargetMode="External"/><Relationship Id="rId252" Type="http://schemas.openxmlformats.org/officeDocument/2006/relationships/hyperlink" Target="http://konekto.io" TargetMode="External"/><Relationship Id="rId494" Type="http://schemas.openxmlformats.org/officeDocument/2006/relationships/hyperlink" Target="http://votecgroup.com" TargetMode="External"/><Relationship Id="rId251" Type="http://schemas.openxmlformats.org/officeDocument/2006/relationships/hyperlink" Target="http://konekto.io" TargetMode="External"/><Relationship Id="rId493" Type="http://schemas.openxmlformats.org/officeDocument/2006/relationships/hyperlink" Target="http://gupshup.io" TargetMode="External"/><Relationship Id="rId250" Type="http://schemas.openxmlformats.org/officeDocument/2006/relationships/hyperlink" Target="http://ventureep.co" TargetMode="External"/><Relationship Id="rId492" Type="http://schemas.openxmlformats.org/officeDocument/2006/relationships/hyperlink" Target="http://usemultiplier.com" TargetMode="External"/><Relationship Id="rId257" Type="http://schemas.openxmlformats.org/officeDocument/2006/relationships/hyperlink" Target="http://solink.com" TargetMode="External"/><Relationship Id="rId499" Type="http://schemas.openxmlformats.org/officeDocument/2006/relationships/hyperlink" Target="http://memphis.edu" TargetMode="External"/><Relationship Id="rId256" Type="http://schemas.openxmlformats.org/officeDocument/2006/relationships/hyperlink" Target="http://remote.com" TargetMode="External"/><Relationship Id="rId498" Type="http://schemas.openxmlformats.org/officeDocument/2006/relationships/hyperlink" Target="http://dollarpe.com" TargetMode="External"/><Relationship Id="rId255" Type="http://schemas.openxmlformats.org/officeDocument/2006/relationships/hyperlink" Target="http://propertyangel.in" TargetMode="External"/><Relationship Id="rId497" Type="http://schemas.openxmlformats.org/officeDocument/2006/relationships/hyperlink" Target="http://momence.com" TargetMode="External"/><Relationship Id="rId254" Type="http://schemas.openxmlformats.org/officeDocument/2006/relationships/hyperlink" Target="http://sonarsource.com" TargetMode="External"/><Relationship Id="rId496" Type="http://schemas.openxmlformats.org/officeDocument/2006/relationships/hyperlink" Target="http://prevail.io" TargetMode="External"/><Relationship Id="rId293" Type="http://schemas.openxmlformats.org/officeDocument/2006/relationships/hyperlink" Target="http://cardlytics.com" TargetMode="External"/><Relationship Id="rId292" Type="http://schemas.openxmlformats.org/officeDocument/2006/relationships/hyperlink" Target="http://patch.io" TargetMode="External"/><Relationship Id="rId291" Type="http://schemas.openxmlformats.org/officeDocument/2006/relationships/hyperlink" Target="http://konghq.com" TargetMode="External"/><Relationship Id="rId290" Type="http://schemas.openxmlformats.org/officeDocument/2006/relationships/hyperlink" Target="http://fire-electronics.ca" TargetMode="External"/><Relationship Id="rId286" Type="http://schemas.openxmlformats.org/officeDocument/2006/relationships/hyperlink" Target="http://saaslabs.co" TargetMode="External"/><Relationship Id="rId285" Type="http://schemas.openxmlformats.org/officeDocument/2006/relationships/hyperlink" Target="http://xoxoday.com" TargetMode="External"/><Relationship Id="rId284" Type="http://schemas.openxmlformats.org/officeDocument/2006/relationships/hyperlink" Target="http://aceve.com" TargetMode="External"/><Relationship Id="rId283" Type="http://schemas.openxmlformats.org/officeDocument/2006/relationships/hyperlink" Target="http://convozen.ai" TargetMode="External"/><Relationship Id="rId289" Type="http://schemas.openxmlformats.org/officeDocument/2006/relationships/hyperlink" Target="http://2centscapital.com" TargetMode="External"/><Relationship Id="rId288" Type="http://schemas.openxmlformats.org/officeDocument/2006/relationships/hyperlink" Target="http://2centscapital.com" TargetMode="External"/><Relationship Id="rId287" Type="http://schemas.openxmlformats.org/officeDocument/2006/relationships/hyperlink" Target="http://orderful.com" TargetMode="External"/><Relationship Id="rId282" Type="http://schemas.openxmlformats.org/officeDocument/2006/relationships/hyperlink" Target="http://jellyfish.co" TargetMode="External"/><Relationship Id="rId281" Type="http://schemas.openxmlformats.org/officeDocument/2006/relationships/hyperlink" Target="http://aptus.ai" TargetMode="External"/><Relationship Id="rId280" Type="http://schemas.openxmlformats.org/officeDocument/2006/relationships/hyperlink" Target="http://aptus.ai" TargetMode="External"/><Relationship Id="rId275" Type="http://schemas.openxmlformats.org/officeDocument/2006/relationships/hyperlink" Target="http://riskonnect.com" TargetMode="External"/><Relationship Id="rId274" Type="http://schemas.openxmlformats.org/officeDocument/2006/relationships/hyperlink" Target="http://dell.com" TargetMode="External"/><Relationship Id="rId273" Type="http://schemas.openxmlformats.org/officeDocument/2006/relationships/hyperlink" Target="http://mdvip.com" TargetMode="External"/><Relationship Id="rId272" Type="http://schemas.openxmlformats.org/officeDocument/2006/relationships/hyperlink" Target="http://craftable.com" TargetMode="External"/><Relationship Id="rId279" Type="http://schemas.openxmlformats.org/officeDocument/2006/relationships/hyperlink" Target="http://boltzmann.co" TargetMode="External"/><Relationship Id="rId278" Type="http://schemas.openxmlformats.org/officeDocument/2006/relationships/hyperlink" Target="http://benifex.com" TargetMode="External"/><Relationship Id="rId277" Type="http://schemas.openxmlformats.org/officeDocument/2006/relationships/hyperlink" Target="http://nurseregistry.com" TargetMode="External"/><Relationship Id="rId276" Type="http://schemas.openxmlformats.org/officeDocument/2006/relationships/hyperlink" Target="http://crigloo.com" TargetMode="External"/><Relationship Id="rId629" Type="http://schemas.openxmlformats.org/officeDocument/2006/relationships/hyperlink" Target="http://absorblms.com" TargetMode="External"/><Relationship Id="rId624" Type="http://schemas.openxmlformats.org/officeDocument/2006/relationships/hyperlink" Target="http://brewra.com" TargetMode="External"/><Relationship Id="rId623" Type="http://schemas.openxmlformats.org/officeDocument/2006/relationships/hyperlink" Target="http://simplesystem.com" TargetMode="External"/><Relationship Id="rId622" Type="http://schemas.openxmlformats.org/officeDocument/2006/relationships/hyperlink" Target="http://disprz.com" TargetMode="External"/><Relationship Id="rId621" Type="http://schemas.openxmlformats.org/officeDocument/2006/relationships/hyperlink" Target="http://rocketlane.com" TargetMode="External"/><Relationship Id="rId628" Type="http://schemas.openxmlformats.org/officeDocument/2006/relationships/hyperlink" Target="http://locobuzz.com" TargetMode="External"/><Relationship Id="rId627" Type="http://schemas.openxmlformats.org/officeDocument/2006/relationships/hyperlink" Target="http://shypple.com" TargetMode="External"/><Relationship Id="rId626" Type="http://schemas.openxmlformats.org/officeDocument/2006/relationships/hyperlink" Target="http://cloudkitchens.com" TargetMode="External"/><Relationship Id="rId625" Type="http://schemas.openxmlformats.org/officeDocument/2006/relationships/hyperlink" Target="http://joveo.com" TargetMode="External"/><Relationship Id="rId620" Type="http://schemas.openxmlformats.org/officeDocument/2006/relationships/hyperlink" Target="http://dimensionallycursed.com" TargetMode="External"/><Relationship Id="rId619" Type="http://schemas.openxmlformats.org/officeDocument/2006/relationships/hyperlink" Target="http://emudhra.com" TargetMode="External"/><Relationship Id="rId618" Type="http://schemas.openxmlformats.org/officeDocument/2006/relationships/hyperlink" Target="http://getzlinq.com" TargetMode="External"/><Relationship Id="rId613" Type="http://schemas.openxmlformats.org/officeDocument/2006/relationships/hyperlink" Target="http://thespeakerlab.com" TargetMode="External"/><Relationship Id="rId612" Type="http://schemas.openxmlformats.org/officeDocument/2006/relationships/hyperlink" Target="http://rakuten.com" TargetMode="External"/><Relationship Id="rId611" Type="http://schemas.openxmlformats.org/officeDocument/2006/relationships/hyperlink" Target="http://psandco.ca" TargetMode="External"/><Relationship Id="rId610" Type="http://schemas.openxmlformats.org/officeDocument/2006/relationships/hyperlink" Target="http://facilio.com" TargetMode="External"/><Relationship Id="rId617" Type="http://schemas.openxmlformats.org/officeDocument/2006/relationships/hyperlink" Target="http://unicommerce.com" TargetMode="External"/><Relationship Id="rId616" Type="http://schemas.openxmlformats.org/officeDocument/2006/relationships/hyperlink" Target="http://leegality.com" TargetMode="External"/><Relationship Id="rId615" Type="http://schemas.openxmlformats.org/officeDocument/2006/relationships/hyperlink" Target="http://knowledgeadvisory.com" TargetMode="External"/><Relationship Id="rId614" Type="http://schemas.openxmlformats.org/officeDocument/2006/relationships/hyperlink" Target="http://recordedfuture.com" TargetMode="External"/><Relationship Id="rId409" Type="http://schemas.openxmlformats.org/officeDocument/2006/relationships/hyperlink" Target="http://aspsys.co.in" TargetMode="External"/><Relationship Id="rId404" Type="http://schemas.openxmlformats.org/officeDocument/2006/relationships/hyperlink" Target="http://ideaforgetech.com" TargetMode="External"/><Relationship Id="rId646" Type="http://schemas.openxmlformats.org/officeDocument/2006/relationships/hyperlink" Target="http://bytebeam.io" TargetMode="External"/><Relationship Id="rId403" Type="http://schemas.openxmlformats.org/officeDocument/2006/relationships/hyperlink" Target="http://profitsolv.com" TargetMode="External"/><Relationship Id="rId645" Type="http://schemas.openxmlformats.org/officeDocument/2006/relationships/hyperlink" Target="http://ie89.com" TargetMode="External"/><Relationship Id="rId402" Type="http://schemas.openxmlformats.org/officeDocument/2006/relationships/hyperlink" Target="http://contentstack.com" TargetMode="External"/><Relationship Id="rId644" Type="http://schemas.openxmlformats.org/officeDocument/2006/relationships/hyperlink" Target="http://ie89.com" TargetMode="External"/><Relationship Id="rId401" Type="http://schemas.openxmlformats.org/officeDocument/2006/relationships/hyperlink" Target="http://prosperr.io" TargetMode="External"/><Relationship Id="rId643" Type="http://schemas.openxmlformats.org/officeDocument/2006/relationships/hyperlink" Target="http://trillbit.com" TargetMode="External"/><Relationship Id="rId408" Type="http://schemas.openxmlformats.org/officeDocument/2006/relationships/hyperlink" Target="http://etap.com" TargetMode="External"/><Relationship Id="rId407" Type="http://schemas.openxmlformats.org/officeDocument/2006/relationships/hyperlink" Target="http://owndata.com" TargetMode="External"/><Relationship Id="rId649" Type="http://schemas.openxmlformats.org/officeDocument/2006/relationships/hyperlink" Target="http://trezix.io" TargetMode="External"/><Relationship Id="rId406" Type="http://schemas.openxmlformats.org/officeDocument/2006/relationships/hyperlink" Target="http://heartland.us" TargetMode="External"/><Relationship Id="rId648" Type="http://schemas.openxmlformats.org/officeDocument/2006/relationships/hyperlink" Target="http://nuvepro.com" TargetMode="External"/><Relationship Id="rId405" Type="http://schemas.openxmlformats.org/officeDocument/2006/relationships/hyperlink" Target="http://economiaseguros.com" TargetMode="External"/><Relationship Id="rId647" Type="http://schemas.openxmlformats.org/officeDocument/2006/relationships/hyperlink" Target="http://apty.io" TargetMode="External"/><Relationship Id="rId400" Type="http://schemas.openxmlformats.org/officeDocument/2006/relationships/hyperlink" Target="http://yopma.com" TargetMode="External"/><Relationship Id="rId642" Type="http://schemas.openxmlformats.org/officeDocument/2006/relationships/hyperlink" Target="http://callhippo.com" TargetMode="External"/><Relationship Id="rId641" Type="http://schemas.openxmlformats.org/officeDocument/2006/relationships/hyperlink" Target="http://trezix.io" TargetMode="External"/><Relationship Id="rId640" Type="http://schemas.openxmlformats.org/officeDocument/2006/relationships/hyperlink" Target="http://mailmodo.com" TargetMode="External"/><Relationship Id="rId635" Type="http://schemas.openxmlformats.org/officeDocument/2006/relationships/hyperlink" Target="http://otomeyt.ai" TargetMode="External"/><Relationship Id="rId634" Type="http://schemas.openxmlformats.org/officeDocument/2006/relationships/hyperlink" Target="http://careacademy.com" TargetMode="External"/><Relationship Id="rId633" Type="http://schemas.openxmlformats.org/officeDocument/2006/relationships/hyperlink" Target="http://soliduslabs.com" TargetMode="External"/><Relationship Id="rId632" Type="http://schemas.openxmlformats.org/officeDocument/2006/relationships/hyperlink" Target="http://veknermedia.com" TargetMode="External"/><Relationship Id="rId639" Type="http://schemas.openxmlformats.org/officeDocument/2006/relationships/hyperlink" Target="http://teledyneflir.com" TargetMode="External"/><Relationship Id="rId638" Type="http://schemas.openxmlformats.org/officeDocument/2006/relationships/hyperlink" Target="http://teledyneflir.com" TargetMode="External"/><Relationship Id="rId637" Type="http://schemas.openxmlformats.org/officeDocument/2006/relationships/hyperlink" Target="http://go-yubi.com" TargetMode="External"/><Relationship Id="rId636" Type="http://schemas.openxmlformats.org/officeDocument/2006/relationships/hyperlink" Target="http://my-cpe.com" TargetMode="External"/><Relationship Id="rId631" Type="http://schemas.openxmlformats.org/officeDocument/2006/relationships/hyperlink" Target="http://veknermedia.com" TargetMode="External"/><Relationship Id="rId630" Type="http://schemas.openxmlformats.org/officeDocument/2006/relationships/hyperlink" Target="http://cyclotron.com" TargetMode="External"/><Relationship Id="rId609" Type="http://schemas.openxmlformats.org/officeDocument/2006/relationships/hyperlink" Target="http://dotpe.in" TargetMode="External"/><Relationship Id="rId608" Type="http://schemas.openxmlformats.org/officeDocument/2006/relationships/hyperlink" Target="http://assuretrac.com" TargetMode="External"/><Relationship Id="rId607" Type="http://schemas.openxmlformats.org/officeDocument/2006/relationships/hyperlink" Target="http://rjeys.com" TargetMode="External"/><Relationship Id="rId602" Type="http://schemas.openxmlformats.org/officeDocument/2006/relationships/hyperlink" Target="http://ewokestudio.com" TargetMode="External"/><Relationship Id="rId601" Type="http://schemas.openxmlformats.org/officeDocument/2006/relationships/hyperlink" Target="http://shiftmed.com" TargetMode="External"/><Relationship Id="rId600" Type="http://schemas.openxmlformats.org/officeDocument/2006/relationships/hyperlink" Target="http://testsigma.com" TargetMode="External"/><Relationship Id="rId606" Type="http://schemas.openxmlformats.org/officeDocument/2006/relationships/hyperlink" Target="http://smartbots.ai" TargetMode="External"/><Relationship Id="rId605" Type="http://schemas.openxmlformats.org/officeDocument/2006/relationships/hyperlink" Target="http://syook.com" TargetMode="External"/><Relationship Id="rId604" Type="http://schemas.openxmlformats.org/officeDocument/2006/relationships/hyperlink" Target="http://shorelight.com" TargetMode="External"/><Relationship Id="rId603" Type="http://schemas.openxmlformats.org/officeDocument/2006/relationships/hyperlink" Target="http://pave.com" TargetMode="External"/><Relationship Id="rId228" Type="http://schemas.openxmlformats.org/officeDocument/2006/relationships/hyperlink" Target="http://venasolutions.com" TargetMode="External"/><Relationship Id="rId227" Type="http://schemas.openxmlformats.org/officeDocument/2006/relationships/hyperlink" Target="http://vendoroo.ai" TargetMode="External"/><Relationship Id="rId469" Type="http://schemas.openxmlformats.org/officeDocument/2006/relationships/hyperlink" Target="http://beewatec.de" TargetMode="External"/><Relationship Id="rId226" Type="http://schemas.openxmlformats.org/officeDocument/2006/relationships/hyperlink" Target="http://unoptimised.com" TargetMode="External"/><Relationship Id="rId468" Type="http://schemas.openxmlformats.org/officeDocument/2006/relationships/hyperlink" Target="http://hyperverge.co" TargetMode="External"/><Relationship Id="rId225" Type="http://schemas.openxmlformats.org/officeDocument/2006/relationships/hyperlink" Target="http://site.co" TargetMode="External"/><Relationship Id="rId467" Type="http://schemas.openxmlformats.org/officeDocument/2006/relationships/hyperlink" Target="http://thribe.in" TargetMode="External"/><Relationship Id="rId229" Type="http://schemas.openxmlformats.org/officeDocument/2006/relationships/hyperlink" Target="http://rednucleus.com" TargetMode="External"/><Relationship Id="rId220" Type="http://schemas.openxmlformats.org/officeDocument/2006/relationships/hyperlink" Target="http://xswl123.cn" TargetMode="External"/><Relationship Id="rId462" Type="http://schemas.openxmlformats.org/officeDocument/2006/relationships/hyperlink" Target="http://fountain.com" TargetMode="External"/><Relationship Id="rId461" Type="http://schemas.openxmlformats.org/officeDocument/2006/relationships/hyperlink" Target="http://truecaller.com" TargetMode="External"/><Relationship Id="rId460" Type="http://schemas.openxmlformats.org/officeDocument/2006/relationships/hyperlink" Target="http://sprinklr.com" TargetMode="External"/><Relationship Id="rId224" Type="http://schemas.openxmlformats.org/officeDocument/2006/relationships/hyperlink" Target="http://site.nl" TargetMode="External"/><Relationship Id="rId466" Type="http://schemas.openxmlformats.org/officeDocument/2006/relationships/hyperlink" Target="http://centralreach.com" TargetMode="External"/><Relationship Id="rId223" Type="http://schemas.openxmlformats.org/officeDocument/2006/relationships/hyperlink" Target="http://uniqode.com" TargetMode="External"/><Relationship Id="rId465" Type="http://schemas.openxmlformats.org/officeDocument/2006/relationships/hyperlink" Target="http://agrostar.in" TargetMode="External"/><Relationship Id="rId222" Type="http://schemas.openxmlformats.org/officeDocument/2006/relationships/hyperlink" Target="http://celigo.com" TargetMode="External"/><Relationship Id="rId464" Type="http://schemas.openxmlformats.org/officeDocument/2006/relationships/hyperlink" Target="http://finbox.in" TargetMode="External"/><Relationship Id="rId221" Type="http://schemas.openxmlformats.org/officeDocument/2006/relationships/hyperlink" Target="http://xswl123.cn" TargetMode="External"/><Relationship Id="rId463" Type="http://schemas.openxmlformats.org/officeDocument/2006/relationships/hyperlink" Target="http://mountain.com" TargetMode="External"/><Relationship Id="rId217" Type="http://schemas.openxmlformats.org/officeDocument/2006/relationships/hyperlink" Target="http://agorareal.com" TargetMode="External"/><Relationship Id="rId459" Type="http://schemas.openxmlformats.org/officeDocument/2006/relationships/hyperlink" Target="http://sadigital.in" TargetMode="External"/><Relationship Id="rId216" Type="http://schemas.openxmlformats.org/officeDocument/2006/relationships/hyperlink" Target="http://zencentiv.com" TargetMode="External"/><Relationship Id="rId458" Type="http://schemas.openxmlformats.org/officeDocument/2006/relationships/hyperlink" Target="http://changengine.in" TargetMode="External"/><Relationship Id="rId215" Type="http://schemas.openxmlformats.org/officeDocument/2006/relationships/hyperlink" Target="http://sprinklr.com" TargetMode="External"/><Relationship Id="rId457" Type="http://schemas.openxmlformats.org/officeDocument/2006/relationships/hyperlink" Target="http://autobooks.co" TargetMode="External"/><Relationship Id="rId214" Type="http://schemas.openxmlformats.org/officeDocument/2006/relationships/hyperlink" Target="http://hyro.ai" TargetMode="External"/><Relationship Id="rId456" Type="http://schemas.openxmlformats.org/officeDocument/2006/relationships/hyperlink" Target="http://mirakl.com" TargetMode="External"/><Relationship Id="rId219" Type="http://schemas.openxmlformats.org/officeDocument/2006/relationships/hyperlink" Target="http://venasolutions.com" TargetMode="External"/><Relationship Id="rId218" Type="http://schemas.openxmlformats.org/officeDocument/2006/relationships/hyperlink" Target="http://nurix.ai" TargetMode="External"/><Relationship Id="rId451" Type="http://schemas.openxmlformats.org/officeDocument/2006/relationships/hyperlink" Target="http://irnini.com" TargetMode="External"/><Relationship Id="rId450" Type="http://schemas.openxmlformats.org/officeDocument/2006/relationships/hyperlink" Target="http://irnini.com" TargetMode="External"/><Relationship Id="rId213" Type="http://schemas.openxmlformats.org/officeDocument/2006/relationships/hyperlink" Target="http://alida.com" TargetMode="External"/><Relationship Id="rId455" Type="http://schemas.openxmlformats.org/officeDocument/2006/relationships/hyperlink" Target="http://frood.in" TargetMode="External"/><Relationship Id="rId212" Type="http://schemas.openxmlformats.org/officeDocument/2006/relationships/hyperlink" Target="http://covasant.com" TargetMode="External"/><Relationship Id="rId454" Type="http://schemas.openxmlformats.org/officeDocument/2006/relationships/hyperlink" Target="http://frood.in" TargetMode="External"/><Relationship Id="rId211" Type="http://schemas.openxmlformats.org/officeDocument/2006/relationships/hyperlink" Target="http://anuntatech.com" TargetMode="External"/><Relationship Id="rId453" Type="http://schemas.openxmlformats.org/officeDocument/2006/relationships/hyperlink" Target="http://guardianfall.com" TargetMode="External"/><Relationship Id="rId210" Type="http://schemas.openxmlformats.org/officeDocument/2006/relationships/hyperlink" Target="http://aloware.com" TargetMode="External"/><Relationship Id="rId452" Type="http://schemas.openxmlformats.org/officeDocument/2006/relationships/hyperlink" Target="http://getmaintainx.com" TargetMode="External"/><Relationship Id="rId491" Type="http://schemas.openxmlformats.org/officeDocument/2006/relationships/hyperlink" Target="http://hirshan.com" TargetMode="External"/><Relationship Id="rId490" Type="http://schemas.openxmlformats.org/officeDocument/2006/relationships/hyperlink" Target="http://hirshan.com" TargetMode="External"/><Relationship Id="rId249" Type="http://schemas.openxmlformats.org/officeDocument/2006/relationships/hyperlink" Target="http://cyberhaven.com" TargetMode="External"/><Relationship Id="rId248" Type="http://schemas.openxmlformats.org/officeDocument/2006/relationships/hyperlink" Target="http://grocliq.com" TargetMode="External"/><Relationship Id="rId247" Type="http://schemas.openxmlformats.org/officeDocument/2006/relationships/hyperlink" Target="http://whispercreekhomes.com" TargetMode="External"/><Relationship Id="rId489" Type="http://schemas.openxmlformats.org/officeDocument/2006/relationships/hyperlink" Target="http://travelbank.com" TargetMode="External"/><Relationship Id="rId242" Type="http://schemas.openxmlformats.org/officeDocument/2006/relationships/hyperlink" Target="http://bonterratech.com" TargetMode="External"/><Relationship Id="rId484" Type="http://schemas.openxmlformats.org/officeDocument/2006/relationships/hyperlink" Target="http://squadstack.com" TargetMode="External"/><Relationship Id="rId241" Type="http://schemas.openxmlformats.org/officeDocument/2006/relationships/hyperlink" Target="http://ashbyhq.com" TargetMode="External"/><Relationship Id="rId483" Type="http://schemas.openxmlformats.org/officeDocument/2006/relationships/hyperlink" Target="http://addepar.com" TargetMode="External"/><Relationship Id="rId240" Type="http://schemas.openxmlformats.org/officeDocument/2006/relationships/hyperlink" Target="http://clear.in" TargetMode="External"/><Relationship Id="rId482" Type="http://schemas.openxmlformats.org/officeDocument/2006/relationships/hyperlink" Target="http://maastery.com" TargetMode="External"/><Relationship Id="rId481" Type="http://schemas.openxmlformats.org/officeDocument/2006/relationships/hyperlink" Target="http://debtbook.com" TargetMode="External"/><Relationship Id="rId246" Type="http://schemas.openxmlformats.org/officeDocument/2006/relationships/hyperlink" Target="http://sprypt.com" TargetMode="External"/><Relationship Id="rId488" Type="http://schemas.openxmlformats.org/officeDocument/2006/relationships/hyperlink" Target="http://xoxoday.com" TargetMode="External"/><Relationship Id="rId245" Type="http://schemas.openxmlformats.org/officeDocument/2006/relationships/hyperlink" Target="http://originbenefits.com" TargetMode="External"/><Relationship Id="rId487" Type="http://schemas.openxmlformats.org/officeDocument/2006/relationships/hyperlink" Target="http://ipipeline.com" TargetMode="External"/><Relationship Id="rId244" Type="http://schemas.openxmlformats.org/officeDocument/2006/relationships/hyperlink" Target="http://wnstn.ai" TargetMode="External"/><Relationship Id="rId486" Type="http://schemas.openxmlformats.org/officeDocument/2006/relationships/hyperlink" Target="http://kovai.co" TargetMode="External"/><Relationship Id="rId243" Type="http://schemas.openxmlformats.org/officeDocument/2006/relationships/hyperlink" Target="http://hcah.in" TargetMode="External"/><Relationship Id="rId485" Type="http://schemas.openxmlformats.org/officeDocument/2006/relationships/hyperlink" Target="http://kovai.co" TargetMode="External"/><Relationship Id="rId480" Type="http://schemas.openxmlformats.org/officeDocument/2006/relationships/hyperlink" Target="http://peak.org" TargetMode="External"/><Relationship Id="rId239" Type="http://schemas.openxmlformats.org/officeDocument/2006/relationships/hyperlink" Target="http://moveconcierge.com" TargetMode="External"/><Relationship Id="rId238" Type="http://schemas.openxmlformats.org/officeDocument/2006/relationships/hyperlink" Target="http://baroz.co.il" TargetMode="External"/><Relationship Id="rId237" Type="http://schemas.openxmlformats.org/officeDocument/2006/relationships/hyperlink" Target="http://telenity.com" TargetMode="External"/><Relationship Id="rId479" Type="http://schemas.openxmlformats.org/officeDocument/2006/relationships/hyperlink" Target="http://tablioo.com" TargetMode="External"/><Relationship Id="rId236" Type="http://schemas.openxmlformats.org/officeDocument/2006/relationships/hyperlink" Target="http://embracecloud.nl" TargetMode="External"/><Relationship Id="rId478" Type="http://schemas.openxmlformats.org/officeDocument/2006/relationships/hyperlink" Target="http://goselfserve.in" TargetMode="External"/><Relationship Id="rId231" Type="http://schemas.openxmlformats.org/officeDocument/2006/relationships/hyperlink" Target="http://qbiq.ai" TargetMode="External"/><Relationship Id="rId473" Type="http://schemas.openxmlformats.org/officeDocument/2006/relationships/hyperlink" Target="http://procloz.com" TargetMode="External"/><Relationship Id="rId230" Type="http://schemas.openxmlformats.org/officeDocument/2006/relationships/hyperlink" Target="http://kluniversity.in" TargetMode="External"/><Relationship Id="rId472" Type="http://schemas.openxmlformats.org/officeDocument/2006/relationships/hyperlink" Target="http://callhippo.com" TargetMode="External"/><Relationship Id="rId471" Type="http://schemas.openxmlformats.org/officeDocument/2006/relationships/hyperlink" Target="http://seekout.com" TargetMode="External"/><Relationship Id="rId470" Type="http://schemas.openxmlformats.org/officeDocument/2006/relationships/hyperlink" Target="http://easyflex.in" TargetMode="External"/><Relationship Id="rId235" Type="http://schemas.openxmlformats.org/officeDocument/2006/relationships/hyperlink" Target="http://grab.com" TargetMode="External"/><Relationship Id="rId477" Type="http://schemas.openxmlformats.org/officeDocument/2006/relationships/hyperlink" Target="http://shield.com" TargetMode="External"/><Relationship Id="rId234" Type="http://schemas.openxmlformats.org/officeDocument/2006/relationships/hyperlink" Target="http://perfios.com" TargetMode="External"/><Relationship Id="rId476" Type="http://schemas.openxmlformats.org/officeDocument/2006/relationships/hyperlink" Target="http://eccindia.co.in" TargetMode="External"/><Relationship Id="rId233" Type="http://schemas.openxmlformats.org/officeDocument/2006/relationships/hyperlink" Target="http://shiksharatanindia.org" TargetMode="External"/><Relationship Id="rId475" Type="http://schemas.openxmlformats.org/officeDocument/2006/relationships/hyperlink" Target="http://eccindia.co.in" TargetMode="External"/><Relationship Id="rId232" Type="http://schemas.openxmlformats.org/officeDocument/2006/relationships/hyperlink" Target="http://jasper.ai" TargetMode="External"/><Relationship Id="rId474" Type="http://schemas.openxmlformats.org/officeDocument/2006/relationships/hyperlink" Target="http://ecomexpress.in" TargetMode="External"/><Relationship Id="rId426" Type="http://schemas.openxmlformats.org/officeDocument/2006/relationships/hyperlink" Target="http://ushur.com" TargetMode="External"/><Relationship Id="rId668" Type="http://schemas.openxmlformats.org/officeDocument/2006/relationships/hyperlink" Target="http://edgeverve.com" TargetMode="External"/><Relationship Id="rId425" Type="http://schemas.openxmlformats.org/officeDocument/2006/relationships/hyperlink" Target="http://snapmail.cc" TargetMode="External"/><Relationship Id="rId667" Type="http://schemas.openxmlformats.org/officeDocument/2006/relationships/hyperlink" Target="http://inboxinsight.com" TargetMode="External"/><Relationship Id="rId424" Type="http://schemas.openxmlformats.org/officeDocument/2006/relationships/hyperlink" Target="http://jombay.com" TargetMode="External"/><Relationship Id="rId666" Type="http://schemas.openxmlformats.org/officeDocument/2006/relationships/hyperlink" Target="http://accelq.com" TargetMode="External"/><Relationship Id="rId423" Type="http://schemas.openxmlformats.org/officeDocument/2006/relationships/hyperlink" Target="http://leadnotlag.com" TargetMode="External"/><Relationship Id="rId665" Type="http://schemas.openxmlformats.org/officeDocument/2006/relationships/hyperlink" Target="http://xoriant.com" TargetMode="External"/><Relationship Id="rId429" Type="http://schemas.openxmlformats.org/officeDocument/2006/relationships/hyperlink" Target="http://quesma.com" TargetMode="External"/><Relationship Id="rId428" Type="http://schemas.openxmlformats.org/officeDocument/2006/relationships/hyperlink" Target="http://quesma.com" TargetMode="External"/><Relationship Id="rId427" Type="http://schemas.openxmlformats.org/officeDocument/2006/relationships/hyperlink" Target="http://aumet.com" TargetMode="External"/><Relationship Id="rId669" Type="http://schemas.openxmlformats.org/officeDocument/2006/relationships/hyperlink" Target="http://fuegosys.com" TargetMode="External"/><Relationship Id="rId660" Type="http://schemas.openxmlformats.org/officeDocument/2006/relationships/hyperlink" Target="http://foleon.com" TargetMode="External"/><Relationship Id="rId422" Type="http://schemas.openxmlformats.org/officeDocument/2006/relationships/hyperlink" Target="http://immione.com" TargetMode="External"/><Relationship Id="rId664" Type="http://schemas.openxmlformats.org/officeDocument/2006/relationships/hyperlink" Target="http://enfuce.com" TargetMode="External"/><Relationship Id="rId421" Type="http://schemas.openxmlformats.org/officeDocument/2006/relationships/hyperlink" Target="http://cbc-capital.com" TargetMode="External"/><Relationship Id="rId663" Type="http://schemas.openxmlformats.org/officeDocument/2006/relationships/hyperlink" Target="http://useinsider.com" TargetMode="External"/><Relationship Id="rId420" Type="http://schemas.openxmlformats.org/officeDocument/2006/relationships/hyperlink" Target="http://technemedia.co" TargetMode="External"/><Relationship Id="rId662" Type="http://schemas.openxmlformats.org/officeDocument/2006/relationships/hyperlink" Target="http://xoxoday.com" TargetMode="External"/><Relationship Id="rId661" Type="http://schemas.openxmlformats.org/officeDocument/2006/relationships/hyperlink" Target="http://klubworks.com" TargetMode="External"/><Relationship Id="rId415" Type="http://schemas.openxmlformats.org/officeDocument/2006/relationships/hyperlink" Target="http://sprinklr.com" TargetMode="External"/><Relationship Id="rId657" Type="http://schemas.openxmlformats.org/officeDocument/2006/relationships/hyperlink" Target="http://ithorizon.co" TargetMode="External"/><Relationship Id="rId414" Type="http://schemas.openxmlformats.org/officeDocument/2006/relationships/hyperlink" Target="http://easypie.ai" TargetMode="External"/><Relationship Id="rId656" Type="http://schemas.openxmlformats.org/officeDocument/2006/relationships/hyperlink" Target="http://razorpay.com" TargetMode="External"/><Relationship Id="rId413" Type="http://schemas.openxmlformats.org/officeDocument/2006/relationships/hyperlink" Target="http://easypie.ai" TargetMode="External"/><Relationship Id="rId655" Type="http://schemas.openxmlformats.org/officeDocument/2006/relationships/hyperlink" Target="http://yugasa.com" TargetMode="External"/><Relationship Id="rId412" Type="http://schemas.openxmlformats.org/officeDocument/2006/relationships/hyperlink" Target="http://teamwork.com" TargetMode="External"/><Relationship Id="rId654" Type="http://schemas.openxmlformats.org/officeDocument/2006/relationships/hyperlink" Target="http://weblineindia.com" TargetMode="External"/><Relationship Id="rId419" Type="http://schemas.openxmlformats.org/officeDocument/2006/relationships/hyperlink" Target="http://tribalvision.com" TargetMode="External"/><Relationship Id="rId418" Type="http://schemas.openxmlformats.org/officeDocument/2006/relationships/hyperlink" Target="http://razorpay.com" TargetMode="External"/><Relationship Id="rId417" Type="http://schemas.openxmlformats.org/officeDocument/2006/relationships/hyperlink" Target="http://scrut.io" TargetMode="External"/><Relationship Id="rId659" Type="http://schemas.openxmlformats.org/officeDocument/2006/relationships/hyperlink" Target="http://wandb.ai" TargetMode="External"/><Relationship Id="rId416" Type="http://schemas.openxmlformats.org/officeDocument/2006/relationships/hyperlink" Target="http://exotel.com" TargetMode="External"/><Relationship Id="rId658" Type="http://schemas.openxmlformats.org/officeDocument/2006/relationships/hyperlink" Target="http://vwo.com" TargetMode="External"/><Relationship Id="rId411" Type="http://schemas.openxmlformats.org/officeDocument/2006/relationships/hyperlink" Target="http://teamwork.com" TargetMode="External"/><Relationship Id="rId653" Type="http://schemas.openxmlformats.org/officeDocument/2006/relationships/hyperlink" Target="http://innerfit.me" TargetMode="External"/><Relationship Id="rId410" Type="http://schemas.openxmlformats.org/officeDocument/2006/relationships/hyperlink" Target="http://aspsys.co.in" TargetMode="External"/><Relationship Id="rId652" Type="http://schemas.openxmlformats.org/officeDocument/2006/relationships/hyperlink" Target="http://happay.com" TargetMode="External"/><Relationship Id="rId651" Type="http://schemas.openxmlformats.org/officeDocument/2006/relationships/hyperlink" Target="http://clear.in" TargetMode="External"/><Relationship Id="rId650" Type="http://schemas.openxmlformats.org/officeDocument/2006/relationships/hyperlink" Target="http://locale.ai" TargetMode="External"/><Relationship Id="rId206" Type="http://schemas.openxmlformats.org/officeDocument/2006/relationships/hyperlink" Target="http://simple2insure.net" TargetMode="External"/><Relationship Id="rId448" Type="http://schemas.openxmlformats.org/officeDocument/2006/relationships/hyperlink" Target="http://ipventures.in" TargetMode="External"/><Relationship Id="rId205" Type="http://schemas.openxmlformats.org/officeDocument/2006/relationships/hyperlink" Target="http://simple2insure.net" TargetMode="External"/><Relationship Id="rId447" Type="http://schemas.openxmlformats.org/officeDocument/2006/relationships/hyperlink" Target="http://threado.com" TargetMode="External"/><Relationship Id="rId204" Type="http://schemas.openxmlformats.org/officeDocument/2006/relationships/hyperlink" Target="http://iheartmedia.com" TargetMode="External"/><Relationship Id="rId446" Type="http://schemas.openxmlformats.org/officeDocument/2006/relationships/hyperlink" Target="http://bautomate.com" TargetMode="External"/><Relationship Id="rId203" Type="http://schemas.openxmlformats.org/officeDocument/2006/relationships/hyperlink" Target="http://thoughtspot.com" TargetMode="External"/><Relationship Id="rId445" Type="http://schemas.openxmlformats.org/officeDocument/2006/relationships/hyperlink" Target="http://seedtag.com" TargetMode="External"/><Relationship Id="rId209" Type="http://schemas.openxmlformats.org/officeDocument/2006/relationships/hyperlink" Target="http://scalinguprevenues.com" TargetMode="External"/><Relationship Id="rId208" Type="http://schemas.openxmlformats.org/officeDocument/2006/relationships/hyperlink" Target="http://perfios.com" TargetMode="External"/><Relationship Id="rId207" Type="http://schemas.openxmlformats.org/officeDocument/2006/relationships/hyperlink" Target="http://forsysinc.com" TargetMode="External"/><Relationship Id="rId449" Type="http://schemas.openxmlformats.org/officeDocument/2006/relationships/hyperlink" Target="http://ipventures.in" TargetMode="External"/><Relationship Id="rId440" Type="http://schemas.openxmlformats.org/officeDocument/2006/relationships/hyperlink" Target="http://turbostart.co" TargetMode="External"/><Relationship Id="rId682" Type="http://schemas.openxmlformats.org/officeDocument/2006/relationships/drawing" Target="../drawings/drawing3.xml"/><Relationship Id="rId681" Type="http://schemas.openxmlformats.org/officeDocument/2006/relationships/hyperlink" Target="http://gym.com" TargetMode="External"/><Relationship Id="rId680" Type="http://schemas.openxmlformats.org/officeDocument/2006/relationships/hyperlink" Target="http://qualitykiosk.com" TargetMode="External"/><Relationship Id="rId202" Type="http://schemas.openxmlformats.org/officeDocument/2006/relationships/hyperlink" Target="http://arine.io" TargetMode="External"/><Relationship Id="rId444" Type="http://schemas.openxmlformats.org/officeDocument/2006/relationships/hyperlink" Target="http://tryhelium.xyz" TargetMode="External"/><Relationship Id="rId201" Type="http://schemas.openxmlformats.org/officeDocument/2006/relationships/hyperlink" Target="http://threatconnect.com" TargetMode="External"/><Relationship Id="rId443" Type="http://schemas.openxmlformats.org/officeDocument/2006/relationships/hyperlink" Target="http://tryhelium.xyz" TargetMode="External"/><Relationship Id="rId200" Type="http://schemas.openxmlformats.org/officeDocument/2006/relationships/hyperlink" Target="http://connectree.co" TargetMode="External"/><Relationship Id="rId442" Type="http://schemas.openxmlformats.org/officeDocument/2006/relationships/hyperlink" Target="http://multiversepartners.com" TargetMode="External"/><Relationship Id="rId441" Type="http://schemas.openxmlformats.org/officeDocument/2006/relationships/hyperlink" Target="http://urbanpiper.com" TargetMode="External"/><Relationship Id="rId683" Type="http://schemas.openxmlformats.org/officeDocument/2006/relationships/vmlDrawing" Target="../drawings/vmlDrawing2.vml"/><Relationship Id="rId437" Type="http://schemas.openxmlformats.org/officeDocument/2006/relationships/hyperlink" Target="http://sign3labs.com" TargetMode="External"/><Relationship Id="rId679" Type="http://schemas.openxmlformats.org/officeDocument/2006/relationships/hyperlink" Target="http://foodni.com" TargetMode="External"/><Relationship Id="rId436" Type="http://schemas.openxmlformats.org/officeDocument/2006/relationships/hyperlink" Target="http://tryloop.ai" TargetMode="External"/><Relationship Id="rId678" Type="http://schemas.openxmlformats.org/officeDocument/2006/relationships/hyperlink" Target="http://2pac.com" TargetMode="External"/><Relationship Id="rId435" Type="http://schemas.openxmlformats.org/officeDocument/2006/relationships/hyperlink" Target="http://covu.com" TargetMode="External"/><Relationship Id="rId677" Type="http://schemas.openxmlformats.org/officeDocument/2006/relationships/hyperlink" Target="http://entropik.io" TargetMode="External"/><Relationship Id="rId434" Type="http://schemas.openxmlformats.org/officeDocument/2006/relationships/hyperlink" Target="http://dotdata.com" TargetMode="External"/><Relationship Id="rId676" Type="http://schemas.openxmlformats.org/officeDocument/2006/relationships/hyperlink" Target="http://slp.com" TargetMode="External"/><Relationship Id="rId439" Type="http://schemas.openxmlformats.org/officeDocument/2006/relationships/hyperlink" Target="http://zenskar.com" TargetMode="External"/><Relationship Id="rId438" Type="http://schemas.openxmlformats.org/officeDocument/2006/relationships/hyperlink" Target="http://kwanzoo.com" TargetMode="External"/><Relationship Id="rId671" Type="http://schemas.openxmlformats.org/officeDocument/2006/relationships/hyperlink" Target="http://sayari.com" TargetMode="External"/><Relationship Id="rId670" Type="http://schemas.openxmlformats.org/officeDocument/2006/relationships/hyperlink" Target="http://clear.in" TargetMode="External"/><Relationship Id="rId433" Type="http://schemas.openxmlformats.org/officeDocument/2006/relationships/hyperlink" Target="http://truworthwellness.com" TargetMode="External"/><Relationship Id="rId675" Type="http://schemas.openxmlformats.org/officeDocument/2006/relationships/hyperlink" Target="http://godigitalselling.com" TargetMode="External"/><Relationship Id="rId432" Type="http://schemas.openxmlformats.org/officeDocument/2006/relationships/hyperlink" Target="http://incruiter.com" TargetMode="External"/><Relationship Id="rId674" Type="http://schemas.openxmlformats.org/officeDocument/2006/relationships/hyperlink" Target="http://rivigo.com" TargetMode="External"/><Relationship Id="rId431" Type="http://schemas.openxmlformats.org/officeDocument/2006/relationships/hyperlink" Target="http://adoro.us" TargetMode="External"/><Relationship Id="rId673" Type="http://schemas.openxmlformats.org/officeDocument/2006/relationships/hyperlink" Target="http://coro.net" TargetMode="External"/><Relationship Id="rId430" Type="http://schemas.openxmlformats.org/officeDocument/2006/relationships/hyperlink" Target="http://monotype.com" TargetMode="External"/><Relationship Id="rId672" Type="http://schemas.openxmlformats.org/officeDocument/2006/relationships/hyperlink" Target="http://bootlabstech.com" TargetMode="External"/></Relationships>
</file>

<file path=xl/worksheets/_rels/sheet4.xml.rels><?xml version="1.0" encoding="UTF-8" standalone="yes"?><Relationships xmlns="http://schemas.openxmlformats.org/package/2006/relationships"><Relationship Id="rId190" Type="http://schemas.openxmlformats.org/officeDocument/2006/relationships/hyperlink" Target="http://skello.io" TargetMode="External"/><Relationship Id="rId194" Type="http://schemas.openxmlformats.org/officeDocument/2006/relationships/hyperlink" Target="http://nyu.edu" TargetMode="External"/><Relationship Id="rId193" Type="http://schemas.openxmlformats.org/officeDocument/2006/relationships/hyperlink" Target="http://nerdbug.io" TargetMode="External"/><Relationship Id="rId192" Type="http://schemas.openxmlformats.org/officeDocument/2006/relationships/hyperlink" Target="http://media.net" TargetMode="External"/><Relationship Id="rId191" Type="http://schemas.openxmlformats.org/officeDocument/2006/relationships/hyperlink" Target="http://media.net" TargetMode="External"/><Relationship Id="rId187" Type="http://schemas.openxmlformats.org/officeDocument/2006/relationships/hyperlink" Target="http://mimecast.com" TargetMode="External"/><Relationship Id="rId186" Type="http://schemas.openxmlformats.org/officeDocument/2006/relationships/hyperlink" Target="http://druva.com" TargetMode="External"/><Relationship Id="rId185" Type="http://schemas.openxmlformats.org/officeDocument/2006/relationships/hyperlink" Target="http://attentive.com" TargetMode="External"/><Relationship Id="rId184" Type="http://schemas.openxmlformats.org/officeDocument/2006/relationships/hyperlink" Target="http://flocksafety.com" TargetMode="External"/><Relationship Id="rId189" Type="http://schemas.openxmlformats.org/officeDocument/2006/relationships/hyperlink" Target="http://turnitin.com" TargetMode="External"/><Relationship Id="rId188" Type="http://schemas.openxmlformats.org/officeDocument/2006/relationships/hyperlink" Target="http://calix.com" TargetMode="External"/><Relationship Id="rId183" Type="http://schemas.openxmlformats.org/officeDocument/2006/relationships/hyperlink" Target="http://wisetechglobal.com" TargetMode="External"/><Relationship Id="rId182" Type="http://schemas.openxmlformats.org/officeDocument/2006/relationships/hyperlink" Target="http://starburstdata.com" TargetMode="External"/><Relationship Id="rId181" Type="http://schemas.openxmlformats.org/officeDocument/2006/relationships/hyperlink" Target="http://glassbox.com" TargetMode="External"/><Relationship Id="rId180" Type="http://schemas.openxmlformats.org/officeDocument/2006/relationships/hyperlink" Target="http://wexinc.com" TargetMode="External"/><Relationship Id="rId176" Type="http://schemas.openxmlformats.org/officeDocument/2006/relationships/hyperlink" Target="http://flywire.com" TargetMode="External"/><Relationship Id="rId175" Type="http://schemas.openxmlformats.org/officeDocument/2006/relationships/hyperlink" Target="http://ringcentral.com" TargetMode="External"/><Relationship Id="rId174" Type="http://schemas.openxmlformats.org/officeDocument/2006/relationships/hyperlink" Target="http://matterport.com" TargetMode="External"/><Relationship Id="rId173" Type="http://schemas.openxmlformats.org/officeDocument/2006/relationships/hyperlink" Target="http://vergesense.com" TargetMode="External"/><Relationship Id="rId179" Type="http://schemas.openxmlformats.org/officeDocument/2006/relationships/hyperlink" Target="http://aprimo.com" TargetMode="External"/><Relationship Id="rId178" Type="http://schemas.openxmlformats.org/officeDocument/2006/relationships/hyperlink" Target="http://go1.com" TargetMode="External"/><Relationship Id="rId177" Type="http://schemas.openxmlformats.org/officeDocument/2006/relationships/hyperlink" Target="http://talroo.com" TargetMode="External"/><Relationship Id="rId198" Type="http://schemas.openxmlformats.org/officeDocument/2006/relationships/hyperlink" Target="http://kore.ai" TargetMode="External"/><Relationship Id="rId197" Type="http://schemas.openxmlformats.org/officeDocument/2006/relationships/hyperlink" Target="http://kore.ai" TargetMode="External"/><Relationship Id="rId196" Type="http://schemas.openxmlformats.org/officeDocument/2006/relationships/hyperlink" Target="http://blueshift.com" TargetMode="External"/><Relationship Id="rId195" Type="http://schemas.openxmlformats.org/officeDocument/2006/relationships/hyperlink" Target="http://gtmbuddy.ai" TargetMode="External"/><Relationship Id="rId199" Type="http://schemas.openxmlformats.org/officeDocument/2006/relationships/hyperlink" Target="http://tpisoftware.com" TargetMode="External"/><Relationship Id="rId150" Type="http://schemas.openxmlformats.org/officeDocument/2006/relationships/hyperlink" Target="http://freshworks.com" TargetMode="External"/><Relationship Id="rId392" Type="http://schemas.openxmlformats.org/officeDocument/2006/relationships/hyperlink" Target="http://dscout.com" TargetMode="External"/><Relationship Id="rId391" Type="http://schemas.openxmlformats.org/officeDocument/2006/relationships/hyperlink" Target="http://zohocorp.com" TargetMode="External"/><Relationship Id="rId390" Type="http://schemas.openxmlformats.org/officeDocument/2006/relationships/hyperlink" Target="http://spendflo.com" TargetMode="External"/><Relationship Id="rId1" Type="http://schemas.openxmlformats.org/officeDocument/2006/relationships/comments" Target="../comments3.xml"/><Relationship Id="rId2" Type="http://schemas.openxmlformats.org/officeDocument/2006/relationships/hyperlink" Target="http://coupa.com" TargetMode="External"/><Relationship Id="rId3" Type="http://schemas.openxmlformats.org/officeDocument/2006/relationships/hyperlink" Target="http://symplr.com" TargetMode="External"/><Relationship Id="rId149" Type="http://schemas.openxmlformats.org/officeDocument/2006/relationships/hyperlink" Target="http://monday.com" TargetMode="External"/><Relationship Id="rId4" Type="http://schemas.openxmlformats.org/officeDocument/2006/relationships/hyperlink" Target="http://inmobi.com" TargetMode="External"/><Relationship Id="rId148" Type="http://schemas.openxmlformats.org/officeDocument/2006/relationships/hyperlink" Target="http://monday.com" TargetMode="External"/><Relationship Id="rId9" Type="http://schemas.openxmlformats.org/officeDocument/2006/relationships/hyperlink" Target="http://evercommerce.com" TargetMode="External"/><Relationship Id="rId143" Type="http://schemas.openxmlformats.org/officeDocument/2006/relationships/hyperlink" Target="http://synaptic.com" TargetMode="External"/><Relationship Id="rId385" Type="http://schemas.openxmlformats.org/officeDocument/2006/relationships/hyperlink" Target="http://dentalintel.com" TargetMode="External"/><Relationship Id="rId142" Type="http://schemas.openxmlformats.org/officeDocument/2006/relationships/hyperlink" Target="http://esw.com" TargetMode="External"/><Relationship Id="rId384" Type="http://schemas.openxmlformats.org/officeDocument/2006/relationships/hyperlink" Target="http://sessionai.com" TargetMode="External"/><Relationship Id="rId141" Type="http://schemas.openxmlformats.org/officeDocument/2006/relationships/hyperlink" Target="http://surveymonkey.com" TargetMode="External"/><Relationship Id="rId383" Type="http://schemas.openxmlformats.org/officeDocument/2006/relationships/hyperlink" Target="http://vwo.com" TargetMode="External"/><Relationship Id="rId140" Type="http://schemas.openxmlformats.org/officeDocument/2006/relationships/hyperlink" Target="http://similarweb.com" TargetMode="External"/><Relationship Id="rId382" Type="http://schemas.openxmlformats.org/officeDocument/2006/relationships/hyperlink" Target="http://getzipline.com" TargetMode="External"/><Relationship Id="rId5" Type="http://schemas.openxmlformats.org/officeDocument/2006/relationships/hyperlink" Target="http://streamsets.com" TargetMode="External"/><Relationship Id="rId147" Type="http://schemas.openxmlformats.org/officeDocument/2006/relationships/hyperlink" Target="http://social4you.sg" TargetMode="External"/><Relationship Id="rId389" Type="http://schemas.openxmlformats.org/officeDocument/2006/relationships/hyperlink" Target="http://salesforce.com" TargetMode="External"/><Relationship Id="rId6" Type="http://schemas.openxmlformats.org/officeDocument/2006/relationships/hyperlink" Target="http://intelepeer.com" TargetMode="External"/><Relationship Id="rId146" Type="http://schemas.openxmlformats.org/officeDocument/2006/relationships/hyperlink" Target="http://lambdatest.com" TargetMode="External"/><Relationship Id="rId388" Type="http://schemas.openxmlformats.org/officeDocument/2006/relationships/hyperlink" Target="http://tulip.co" TargetMode="External"/><Relationship Id="rId7" Type="http://schemas.openxmlformats.org/officeDocument/2006/relationships/hyperlink" Target="http://cyberark.com" TargetMode="External"/><Relationship Id="rId145" Type="http://schemas.openxmlformats.org/officeDocument/2006/relationships/hyperlink" Target="http://coursera.org" TargetMode="External"/><Relationship Id="rId387" Type="http://schemas.openxmlformats.org/officeDocument/2006/relationships/hyperlink" Target="http://tabsquare.ai" TargetMode="External"/><Relationship Id="rId8" Type="http://schemas.openxmlformats.org/officeDocument/2006/relationships/hyperlink" Target="http://apspayroll.com" TargetMode="External"/><Relationship Id="rId144" Type="http://schemas.openxmlformats.org/officeDocument/2006/relationships/hyperlink" Target="http://pandadoc.com" TargetMode="External"/><Relationship Id="rId386" Type="http://schemas.openxmlformats.org/officeDocument/2006/relationships/hyperlink" Target="http://tabsquare.ai" TargetMode="External"/><Relationship Id="rId381" Type="http://schemas.openxmlformats.org/officeDocument/2006/relationships/hyperlink" Target="http://ezo.io" TargetMode="External"/><Relationship Id="rId380" Type="http://schemas.openxmlformats.org/officeDocument/2006/relationships/hyperlink" Target="http://avalara.com" TargetMode="External"/><Relationship Id="rId139" Type="http://schemas.openxmlformats.org/officeDocument/2006/relationships/hyperlink" Target="http://zycus.com" TargetMode="External"/><Relationship Id="rId138" Type="http://schemas.openxmlformats.org/officeDocument/2006/relationships/hyperlink" Target="http://modjo.ai" TargetMode="External"/><Relationship Id="rId137" Type="http://schemas.openxmlformats.org/officeDocument/2006/relationships/hyperlink" Target="http://lytx.com" TargetMode="External"/><Relationship Id="rId379" Type="http://schemas.openxmlformats.org/officeDocument/2006/relationships/hyperlink" Target="http://gumgum.com" TargetMode="External"/><Relationship Id="rId132" Type="http://schemas.openxmlformats.org/officeDocument/2006/relationships/hyperlink" Target="http://birdeye.com" TargetMode="External"/><Relationship Id="rId374" Type="http://schemas.openxmlformats.org/officeDocument/2006/relationships/hyperlink" Target="http://cas.org" TargetMode="External"/><Relationship Id="rId131" Type="http://schemas.openxmlformats.org/officeDocument/2006/relationships/hyperlink" Target="http://tipalti.com" TargetMode="External"/><Relationship Id="rId373" Type="http://schemas.openxmlformats.org/officeDocument/2006/relationships/hyperlink" Target="http://cypherlearning.com" TargetMode="External"/><Relationship Id="rId130" Type="http://schemas.openxmlformats.org/officeDocument/2006/relationships/hyperlink" Target="http://nasuni.com" TargetMode="External"/><Relationship Id="rId372" Type="http://schemas.openxmlformats.org/officeDocument/2006/relationships/hyperlink" Target="http://visier.com" TargetMode="External"/><Relationship Id="rId371" Type="http://schemas.openxmlformats.org/officeDocument/2006/relationships/hyperlink" Target="http://zayzoon.com" TargetMode="External"/><Relationship Id="rId136" Type="http://schemas.openxmlformats.org/officeDocument/2006/relationships/hyperlink" Target="http://king.com" TargetMode="External"/><Relationship Id="rId378" Type="http://schemas.openxmlformats.org/officeDocument/2006/relationships/hyperlink" Target="http://akinon.com" TargetMode="External"/><Relationship Id="rId135" Type="http://schemas.openxmlformats.org/officeDocument/2006/relationships/hyperlink" Target="http://nayax.com" TargetMode="External"/><Relationship Id="rId377" Type="http://schemas.openxmlformats.org/officeDocument/2006/relationships/hyperlink" Target="http://nutanix.com" TargetMode="External"/><Relationship Id="rId134" Type="http://schemas.openxmlformats.org/officeDocument/2006/relationships/hyperlink" Target="http://freshworks.com" TargetMode="External"/><Relationship Id="rId376" Type="http://schemas.openxmlformats.org/officeDocument/2006/relationships/hyperlink" Target="http://gethearth.com" TargetMode="External"/><Relationship Id="rId133" Type="http://schemas.openxmlformats.org/officeDocument/2006/relationships/hyperlink" Target="http://auditboard.com" TargetMode="External"/><Relationship Id="rId375" Type="http://schemas.openxmlformats.org/officeDocument/2006/relationships/hyperlink" Target="http://bloomreach.com" TargetMode="External"/><Relationship Id="rId172" Type="http://schemas.openxmlformats.org/officeDocument/2006/relationships/hyperlink" Target="http://gitlab.com" TargetMode="External"/><Relationship Id="rId171" Type="http://schemas.openxmlformats.org/officeDocument/2006/relationships/hyperlink" Target="http://salesmanago.com" TargetMode="External"/><Relationship Id="rId170" Type="http://schemas.openxmlformats.org/officeDocument/2006/relationships/hyperlink" Target="http://carta.com" TargetMode="External"/><Relationship Id="rId165" Type="http://schemas.openxmlformats.org/officeDocument/2006/relationships/hyperlink" Target="http://tricentis.com" TargetMode="External"/><Relationship Id="rId164" Type="http://schemas.openxmlformats.org/officeDocument/2006/relationships/hyperlink" Target="http://gitlab.com" TargetMode="External"/><Relationship Id="rId163" Type="http://schemas.openxmlformats.org/officeDocument/2006/relationships/hyperlink" Target="http://gorgias.com" TargetMode="External"/><Relationship Id="rId162" Type="http://schemas.openxmlformats.org/officeDocument/2006/relationships/hyperlink" Target="http://spryker.com" TargetMode="External"/><Relationship Id="rId169" Type="http://schemas.openxmlformats.org/officeDocument/2006/relationships/hyperlink" Target="http://jfrog.com" TargetMode="External"/><Relationship Id="rId168" Type="http://schemas.openxmlformats.org/officeDocument/2006/relationships/hyperlink" Target="http://greyorange.com" TargetMode="External"/><Relationship Id="rId167" Type="http://schemas.openxmlformats.org/officeDocument/2006/relationships/hyperlink" Target="http://replicant.com" TargetMode="External"/><Relationship Id="rId166" Type="http://schemas.openxmlformats.org/officeDocument/2006/relationships/hyperlink" Target="http://okta.com" TargetMode="External"/><Relationship Id="rId161" Type="http://schemas.openxmlformats.org/officeDocument/2006/relationships/hyperlink" Target="http://cradlepoint.com" TargetMode="External"/><Relationship Id="rId160" Type="http://schemas.openxmlformats.org/officeDocument/2006/relationships/hyperlink" Target="http://dialpad.com" TargetMode="External"/><Relationship Id="rId159" Type="http://schemas.openxmlformats.org/officeDocument/2006/relationships/hyperlink" Target="http://goempyrean.com" TargetMode="External"/><Relationship Id="rId154" Type="http://schemas.openxmlformats.org/officeDocument/2006/relationships/hyperlink" Target="http://powerfactors.com" TargetMode="External"/><Relationship Id="rId396" Type="http://schemas.openxmlformats.org/officeDocument/2006/relationships/hyperlink" Target="http://paycor.com" TargetMode="External"/><Relationship Id="rId153" Type="http://schemas.openxmlformats.org/officeDocument/2006/relationships/hyperlink" Target="http://sproutsocial.com" TargetMode="External"/><Relationship Id="rId395" Type="http://schemas.openxmlformats.org/officeDocument/2006/relationships/hyperlink" Target="http://unity.com" TargetMode="External"/><Relationship Id="rId152" Type="http://schemas.openxmlformats.org/officeDocument/2006/relationships/hyperlink" Target="http://contractpodai.com" TargetMode="External"/><Relationship Id="rId394" Type="http://schemas.openxmlformats.org/officeDocument/2006/relationships/hyperlink" Target="http://preqin.com" TargetMode="External"/><Relationship Id="rId151" Type="http://schemas.openxmlformats.org/officeDocument/2006/relationships/hyperlink" Target="http://forwardnetworks.com" TargetMode="External"/><Relationship Id="rId393" Type="http://schemas.openxmlformats.org/officeDocument/2006/relationships/hyperlink" Target="http://brightdata.com" TargetMode="External"/><Relationship Id="rId158" Type="http://schemas.openxmlformats.org/officeDocument/2006/relationships/hyperlink" Target="http://salesmanago.com" TargetMode="External"/><Relationship Id="rId157" Type="http://schemas.openxmlformats.org/officeDocument/2006/relationships/hyperlink" Target="http://greythr.com" TargetMode="External"/><Relationship Id="rId399" Type="http://schemas.openxmlformats.org/officeDocument/2006/relationships/hyperlink" Target="http://omaticsoftware.com" TargetMode="External"/><Relationship Id="rId156" Type="http://schemas.openxmlformats.org/officeDocument/2006/relationships/hyperlink" Target="http://eclinicalworks.com" TargetMode="External"/><Relationship Id="rId398" Type="http://schemas.openxmlformats.org/officeDocument/2006/relationships/hyperlink" Target="http://respond.io" TargetMode="External"/><Relationship Id="rId155" Type="http://schemas.openxmlformats.org/officeDocument/2006/relationships/hyperlink" Target="http://accss.asia" TargetMode="External"/><Relationship Id="rId397" Type="http://schemas.openxmlformats.org/officeDocument/2006/relationships/hyperlink" Target="http://respond.io" TargetMode="External"/><Relationship Id="rId40" Type="http://schemas.openxmlformats.org/officeDocument/2006/relationships/hyperlink" Target="http://getjones.com" TargetMode="External"/><Relationship Id="rId42" Type="http://schemas.openxmlformats.org/officeDocument/2006/relationships/hyperlink" Target="http://extend.com" TargetMode="External"/><Relationship Id="rId41" Type="http://schemas.openxmlformats.org/officeDocument/2006/relationships/hyperlink" Target="http://appfolio.com" TargetMode="External"/><Relationship Id="rId44" Type="http://schemas.openxmlformats.org/officeDocument/2006/relationships/hyperlink" Target="http://intentsify.io" TargetMode="External"/><Relationship Id="rId43" Type="http://schemas.openxmlformats.org/officeDocument/2006/relationships/hyperlink" Target="http://mimecast.com" TargetMode="External"/><Relationship Id="rId46" Type="http://schemas.openxmlformats.org/officeDocument/2006/relationships/hyperlink" Target="http://trustwave.com" TargetMode="External"/><Relationship Id="rId45" Type="http://schemas.openxmlformats.org/officeDocument/2006/relationships/hyperlink" Target="http://supermetrics.com" TargetMode="External"/><Relationship Id="rId509" Type="http://schemas.openxmlformats.org/officeDocument/2006/relationships/hyperlink" Target="http://zaggle.in" TargetMode="External"/><Relationship Id="rId508" Type="http://schemas.openxmlformats.org/officeDocument/2006/relationships/hyperlink" Target="http://braincube.com" TargetMode="External"/><Relationship Id="rId503" Type="http://schemas.openxmlformats.org/officeDocument/2006/relationships/hyperlink" Target="http://chargepoint.com" TargetMode="External"/><Relationship Id="rId502" Type="http://schemas.openxmlformats.org/officeDocument/2006/relationships/hyperlink" Target="http://gridpoint.com" TargetMode="External"/><Relationship Id="rId501" Type="http://schemas.openxmlformats.org/officeDocument/2006/relationships/hyperlink" Target="http://zoominfo.com" TargetMode="External"/><Relationship Id="rId500" Type="http://schemas.openxmlformats.org/officeDocument/2006/relationships/hyperlink" Target="http://madmobile.com" TargetMode="External"/><Relationship Id="rId507" Type="http://schemas.openxmlformats.org/officeDocument/2006/relationships/hyperlink" Target="http://homebot.ai" TargetMode="External"/><Relationship Id="rId506" Type="http://schemas.openxmlformats.org/officeDocument/2006/relationships/hyperlink" Target="http://accuknox.com" TargetMode="External"/><Relationship Id="rId505" Type="http://schemas.openxmlformats.org/officeDocument/2006/relationships/hyperlink" Target="http://hibob.com" TargetMode="External"/><Relationship Id="rId504" Type="http://schemas.openxmlformats.org/officeDocument/2006/relationships/hyperlink" Target="http://affle.com" TargetMode="External"/><Relationship Id="rId48" Type="http://schemas.openxmlformats.org/officeDocument/2006/relationships/hyperlink" Target="http://yellow.ai" TargetMode="External"/><Relationship Id="rId47" Type="http://schemas.openxmlformats.org/officeDocument/2006/relationships/hyperlink" Target="http://brightedge.com" TargetMode="External"/><Relationship Id="rId49" Type="http://schemas.openxmlformats.org/officeDocument/2006/relationships/hyperlink" Target="http://yellow.ai" TargetMode="External"/><Relationship Id="rId31" Type="http://schemas.openxmlformats.org/officeDocument/2006/relationships/hyperlink" Target="http://synack.com" TargetMode="External"/><Relationship Id="rId30" Type="http://schemas.openxmlformats.org/officeDocument/2006/relationships/hyperlink" Target="http://brandwatch.com" TargetMode="External"/><Relationship Id="rId33" Type="http://schemas.openxmlformats.org/officeDocument/2006/relationships/hyperlink" Target="http://csdisco.com" TargetMode="External"/><Relationship Id="rId32" Type="http://schemas.openxmlformats.org/officeDocument/2006/relationships/hyperlink" Target="http://synack.com" TargetMode="External"/><Relationship Id="rId35" Type="http://schemas.openxmlformats.org/officeDocument/2006/relationships/hyperlink" Target="http://foursquare.com" TargetMode="External"/><Relationship Id="rId34" Type="http://schemas.openxmlformats.org/officeDocument/2006/relationships/hyperlink" Target="http://bonterratech.com" TargetMode="External"/><Relationship Id="rId37" Type="http://schemas.openxmlformats.org/officeDocument/2006/relationships/hyperlink" Target="http://pattern.com" TargetMode="External"/><Relationship Id="rId36" Type="http://schemas.openxmlformats.org/officeDocument/2006/relationships/hyperlink" Target="http://fivetran.com" TargetMode="External"/><Relationship Id="rId39" Type="http://schemas.openxmlformats.org/officeDocument/2006/relationships/hyperlink" Target="http://bigcommerce.com" TargetMode="External"/><Relationship Id="rId38" Type="http://schemas.openxmlformats.org/officeDocument/2006/relationships/hyperlink" Target="http://abnormal.ai" TargetMode="External"/><Relationship Id="rId20" Type="http://schemas.openxmlformats.org/officeDocument/2006/relationships/hyperlink" Target="http://criticalstart.com" TargetMode="External"/><Relationship Id="rId22" Type="http://schemas.openxmlformats.org/officeDocument/2006/relationships/hyperlink" Target="http://boomi.com" TargetMode="External"/><Relationship Id="rId21" Type="http://schemas.openxmlformats.org/officeDocument/2006/relationships/hyperlink" Target="http://ghx.com" TargetMode="External"/><Relationship Id="rId24" Type="http://schemas.openxmlformats.org/officeDocument/2006/relationships/hyperlink" Target="http://innovaccer.com" TargetMode="External"/><Relationship Id="rId23" Type="http://schemas.openxmlformats.org/officeDocument/2006/relationships/hyperlink" Target="http://aurorasolar.com" TargetMode="External"/><Relationship Id="rId525" Type="http://schemas.openxmlformats.org/officeDocument/2006/relationships/hyperlink" Target="http://windriver.com" TargetMode="External"/><Relationship Id="rId524" Type="http://schemas.openxmlformats.org/officeDocument/2006/relationships/hyperlink" Target="http://limblecmms.com" TargetMode="External"/><Relationship Id="rId523" Type="http://schemas.openxmlformats.org/officeDocument/2006/relationships/hyperlink" Target="http://explorance.com" TargetMode="External"/><Relationship Id="rId522" Type="http://schemas.openxmlformats.org/officeDocument/2006/relationships/hyperlink" Target="http://builder.ai" TargetMode="External"/><Relationship Id="rId529" Type="http://schemas.openxmlformats.org/officeDocument/2006/relationships/hyperlink" Target="http://calm.com" TargetMode="External"/><Relationship Id="rId528" Type="http://schemas.openxmlformats.org/officeDocument/2006/relationships/hyperlink" Target="http://clear.in" TargetMode="External"/><Relationship Id="rId527" Type="http://schemas.openxmlformats.org/officeDocument/2006/relationships/hyperlink" Target="http://loophealth.com" TargetMode="External"/><Relationship Id="rId526" Type="http://schemas.openxmlformats.org/officeDocument/2006/relationships/hyperlink" Target="http://chargebee.com" TargetMode="External"/><Relationship Id="rId26" Type="http://schemas.openxmlformats.org/officeDocument/2006/relationships/hyperlink" Target="http://oeconnection.com" TargetMode="External"/><Relationship Id="rId25" Type="http://schemas.openxmlformats.org/officeDocument/2006/relationships/hyperlink" Target="http://securiti.ai" TargetMode="External"/><Relationship Id="rId28" Type="http://schemas.openxmlformats.org/officeDocument/2006/relationships/hyperlink" Target="http://triplelift.com" TargetMode="External"/><Relationship Id="rId27" Type="http://schemas.openxmlformats.org/officeDocument/2006/relationships/hyperlink" Target="http://grazitti.com" TargetMode="External"/><Relationship Id="rId521" Type="http://schemas.openxmlformats.org/officeDocument/2006/relationships/hyperlink" Target="http://builder.ai" TargetMode="External"/><Relationship Id="rId29" Type="http://schemas.openxmlformats.org/officeDocument/2006/relationships/hyperlink" Target="http://adroll.com" TargetMode="External"/><Relationship Id="rId520" Type="http://schemas.openxmlformats.org/officeDocument/2006/relationships/hyperlink" Target="http://netskope.com" TargetMode="External"/><Relationship Id="rId11" Type="http://schemas.openxmlformats.org/officeDocument/2006/relationships/hyperlink" Target="http://leena.ai" TargetMode="External"/><Relationship Id="rId10" Type="http://schemas.openxmlformats.org/officeDocument/2006/relationships/hyperlink" Target="http://lumivero.com" TargetMode="External"/><Relationship Id="rId13" Type="http://schemas.openxmlformats.org/officeDocument/2006/relationships/hyperlink" Target="http://introhive.com" TargetMode="External"/><Relationship Id="rId12" Type="http://schemas.openxmlformats.org/officeDocument/2006/relationships/hyperlink" Target="http://touchbistro.com" TargetMode="External"/><Relationship Id="rId519" Type="http://schemas.openxmlformats.org/officeDocument/2006/relationships/hyperlink" Target="http://stampli.com" TargetMode="External"/><Relationship Id="rId514" Type="http://schemas.openxmlformats.org/officeDocument/2006/relationships/hyperlink" Target="http://chatmeter.com" TargetMode="External"/><Relationship Id="rId513" Type="http://schemas.openxmlformats.org/officeDocument/2006/relationships/hyperlink" Target="http://connecteam.com" TargetMode="External"/><Relationship Id="rId512" Type="http://schemas.openxmlformats.org/officeDocument/2006/relationships/hyperlink" Target="http://five9.com" TargetMode="External"/><Relationship Id="rId511" Type="http://schemas.openxmlformats.org/officeDocument/2006/relationships/hyperlink" Target="http://devrev.ai" TargetMode="External"/><Relationship Id="rId518" Type="http://schemas.openxmlformats.org/officeDocument/2006/relationships/hyperlink" Target="http://envestnet.com" TargetMode="External"/><Relationship Id="rId517" Type="http://schemas.openxmlformats.org/officeDocument/2006/relationships/hyperlink" Target="http://nextinsurance.com" TargetMode="External"/><Relationship Id="rId516" Type="http://schemas.openxmlformats.org/officeDocument/2006/relationships/hyperlink" Target="http://foodics.com" TargetMode="External"/><Relationship Id="rId515" Type="http://schemas.openxmlformats.org/officeDocument/2006/relationships/hyperlink" Target="http://gocatalant.com" TargetMode="External"/><Relationship Id="rId15" Type="http://schemas.openxmlformats.org/officeDocument/2006/relationships/hyperlink" Target="http://diligent.com" TargetMode="External"/><Relationship Id="rId14" Type="http://schemas.openxmlformats.org/officeDocument/2006/relationships/hyperlink" Target="http://hireez.com" TargetMode="External"/><Relationship Id="rId17" Type="http://schemas.openxmlformats.org/officeDocument/2006/relationships/hyperlink" Target="http://aurionpro.com" TargetMode="External"/><Relationship Id="rId16" Type="http://schemas.openxmlformats.org/officeDocument/2006/relationships/hyperlink" Target="http://appsflyer.com" TargetMode="External"/><Relationship Id="rId19" Type="http://schemas.openxmlformats.org/officeDocument/2006/relationships/hyperlink" Target="http://skuad.io" TargetMode="External"/><Relationship Id="rId510" Type="http://schemas.openxmlformats.org/officeDocument/2006/relationships/hyperlink" Target="http://sprinto.com" TargetMode="External"/><Relationship Id="rId18" Type="http://schemas.openxmlformats.org/officeDocument/2006/relationships/hyperlink" Target="http://paradox.ai" TargetMode="External"/><Relationship Id="rId84" Type="http://schemas.openxmlformats.org/officeDocument/2006/relationships/hyperlink" Target="http://prophix.com" TargetMode="External"/><Relationship Id="rId83" Type="http://schemas.openxmlformats.org/officeDocument/2006/relationships/hyperlink" Target="http://missioncloud.com" TargetMode="External"/><Relationship Id="rId86" Type="http://schemas.openxmlformats.org/officeDocument/2006/relationships/hyperlink" Target="http://appian.com" TargetMode="External"/><Relationship Id="rId85" Type="http://schemas.openxmlformats.org/officeDocument/2006/relationships/hyperlink" Target="http://vizrt.com" TargetMode="External"/><Relationship Id="rId88" Type="http://schemas.openxmlformats.org/officeDocument/2006/relationships/hyperlink" Target="http://ziphq.com" TargetMode="External"/><Relationship Id="rId87" Type="http://schemas.openxmlformats.org/officeDocument/2006/relationships/hyperlink" Target="http://moveworks.com" TargetMode="External"/><Relationship Id="rId89" Type="http://schemas.openxmlformats.org/officeDocument/2006/relationships/hyperlink" Target="http://hired.com" TargetMode="External"/><Relationship Id="rId80" Type="http://schemas.openxmlformats.org/officeDocument/2006/relationships/hyperlink" Target="http://cubictelecom.com" TargetMode="External"/><Relationship Id="rId82" Type="http://schemas.openxmlformats.org/officeDocument/2006/relationships/hyperlink" Target="http://azuga.com" TargetMode="External"/><Relationship Id="rId81" Type="http://schemas.openxmlformats.org/officeDocument/2006/relationships/hyperlink" Target="http://cordial.com" TargetMode="External"/><Relationship Id="rId73" Type="http://schemas.openxmlformats.org/officeDocument/2006/relationships/hyperlink" Target="http://ofx.com" TargetMode="External"/><Relationship Id="rId72" Type="http://schemas.openxmlformats.org/officeDocument/2006/relationships/hyperlink" Target="http://subsplash.com" TargetMode="External"/><Relationship Id="rId75" Type="http://schemas.openxmlformats.org/officeDocument/2006/relationships/hyperlink" Target="http://lookout.com" TargetMode="External"/><Relationship Id="rId74" Type="http://schemas.openxmlformats.org/officeDocument/2006/relationships/hyperlink" Target="http://gtmbuddy.ai" TargetMode="External"/><Relationship Id="rId77" Type="http://schemas.openxmlformats.org/officeDocument/2006/relationships/hyperlink" Target="http://hginsights.com" TargetMode="External"/><Relationship Id="rId76" Type="http://schemas.openxmlformats.org/officeDocument/2006/relationships/hyperlink" Target="http://demandscience.com" TargetMode="External"/><Relationship Id="rId79" Type="http://schemas.openxmlformats.org/officeDocument/2006/relationships/hyperlink" Target="http://blumeglobal.com" TargetMode="External"/><Relationship Id="rId78" Type="http://schemas.openxmlformats.org/officeDocument/2006/relationships/hyperlink" Target="http://nasuni.com" TargetMode="External"/><Relationship Id="rId71" Type="http://schemas.openxmlformats.org/officeDocument/2006/relationships/hyperlink" Target="http://cornerstoneondemand.com" TargetMode="External"/><Relationship Id="rId70" Type="http://schemas.openxmlformats.org/officeDocument/2006/relationships/hyperlink" Target="http://telesign.com" TargetMode="External"/><Relationship Id="rId62" Type="http://schemas.openxmlformats.org/officeDocument/2006/relationships/hyperlink" Target="http://vfirst.com" TargetMode="External"/><Relationship Id="rId61" Type="http://schemas.openxmlformats.org/officeDocument/2006/relationships/hyperlink" Target="http://dataiku.com" TargetMode="External"/><Relationship Id="rId64" Type="http://schemas.openxmlformats.org/officeDocument/2006/relationships/hyperlink" Target="http://actioniq.com" TargetMode="External"/><Relationship Id="rId63" Type="http://schemas.openxmlformats.org/officeDocument/2006/relationships/hyperlink" Target="http://yotpo.com" TargetMode="External"/><Relationship Id="rId66" Type="http://schemas.openxmlformats.org/officeDocument/2006/relationships/hyperlink" Target="http://covalensedigital.com" TargetMode="External"/><Relationship Id="rId65" Type="http://schemas.openxmlformats.org/officeDocument/2006/relationships/hyperlink" Target="http://engine.com" TargetMode="External"/><Relationship Id="rId68" Type="http://schemas.openxmlformats.org/officeDocument/2006/relationships/hyperlink" Target="http://menlosecurity.com" TargetMode="External"/><Relationship Id="rId67" Type="http://schemas.openxmlformats.org/officeDocument/2006/relationships/hyperlink" Target="http://incredibuild.com" TargetMode="External"/><Relationship Id="rId60" Type="http://schemas.openxmlformats.org/officeDocument/2006/relationships/hyperlink" Target="http://appsflyer.com" TargetMode="External"/><Relationship Id="rId69" Type="http://schemas.openxmlformats.org/officeDocument/2006/relationships/hyperlink" Target="http://rezdy.com" TargetMode="External"/><Relationship Id="rId51" Type="http://schemas.openxmlformats.org/officeDocument/2006/relationships/hyperlink" Target="http://42gears.com" TargetMode="External"/><Relationship Id="rId50" Type="http://schemas.openxmlformats.org/officeDocument/2006/relationships/hyperlink" Target="http://achievers.com" TargetMode="External"/><Relationship Id="rId53" Type="http://schemas.openxmlformats.org/officeDocument/2006/relationships/hyperlink" Target="http://fieldwire.com" TargetMode="External"/><Relationship Id="rId52" Type="http://schemas.openxmlformats.org/officeDocument/2006/relationships/hyperlink" Target="http://algonomy.com" TargetMode="External"/><Relationship Id="rId55" Type="http://schemas.openxmlformats.org/officeDocument/2006/relationships/hyperlink" Target="http://airit.co.uk" TargetMode="External"/><Relationship Id="rId54" Type="http://schemas.openxmlformats.org/officeDocument/2006/relationships/hyperlink" Target="http://caspio.com" TargetMode="External"/><Relationship Id="rId57" Type="http://schemas.openxmlformats.org/officeDocument/2006/relationships/hyperlink" Target="http://shaip.com" TargetMode="External"/><Relationship Id="rId56" Type="http://schemas.openxmlformats.org/officeDocument/2006/relationships/hyperlink" Target="http://snyk.io" TargetMode="External"/><Relationship Id="rId59" Type="http://schemas.openxmlformats.org/officeDocument/2006/relationships/hyperlink" Target="http://netradyne.com" TargetMode="External"/><Relationship Id="rId58" Type="http://schemas.openxmlformats.org/officeDocument/2006/relationships/hyperlink" Target="http://bandwidth.com" TargetMode="External"/><Relationship Id="rId590" Type="http://schemas.openxmlformats.org/officeDocument/2006/relationships/hyperlink" Target="http://facilio.com" TargetMode="External"/><Relationship Id="rId107" Type="http://schemas.openxmlformats.org/officeDocument/2006/relationships/hyperlink" Target="http://snapraise.com" TargetMode="External"/><Relationship Id="rId349" Type="http://schemas.openxmlformats.org/officeDocument/2006/relationships/hyperlink" Target="http://mydbsync.com" TargetMode="External"/><Relationship Id="rId106" Type="http://schemas.openxmlformats.org/officeDocument/2006/relationships/hyperlink" Target="http://coconutsoftware.com" TargetMode="External"/><Relationship Id="rId348" Type="http://schemas.openxmlformats.org/officeDocument/2006/relationships/hyperlink" Target="http://prabalbora.com" TargetMode="External"/><Relationship Id="rId105" Type="http://schemas.openxmlformats.org/officeDocument/2006/relationships/hyperlink" Target="http://broadsign.com" TargetMode="External"/><Relationship Id="rId347" Type="http://schemas.openxmlformats.org/officeDocument/2006/relationships/hyperlink" Target="http://facilio.com" TargetMode="External"/><Relationship Id="rId589" Type="http://schemas.openxmlformats.org/officeDocument/2006/relationships/hyperlink" Target="http://snaplogic.com" TargetMode="External"/><Relationship Id="rId104" Type="http://schemas.openxmlformats.org/officeDocument/2006/relationships/hyperlink" Target="http://blackhawknetwork.com" TargetMode="External"/><Relationship Id="rId346" Type="http://schemas.openxmlformats.org/officeDocument/2006/relationships/hyperlink" Target="http://wisetechglobal.com" TargetMode="External"/><Relationship Id="rId588" Type="http://schemas.openxmlformats.org/officeDocument/2006/relationships/hyperlink" Target="http://yotpo.com" TargetMode="External"/><Relationship Id="rId109" Type="http://schemas.openxmlformats.org/officeDocument/2006/relationships/hyperlink" Target="http://jumpcloud.com" TargetMode="External"/><Relationship Id="rId108" Type="http://schemas.openxmlformats.org/officeDocument/2006/relationships/hyperlink" Target="http://egnyte.com" TargetMode="External"/><Relationship Id="rId341" Type="http://schemas.openxmlformats.org/officeDocument/2006/relationships/hyperlink" Target="http://activefence.com" TargetMode="External"/><Relationship Id="rId583" Type="http://schemas.openxmlformats.org/officeDocument/2006/relationships/hyperlink" Target="http://cleo.com" TargetMode="External"/><Relationship Id="rId340" Type="http://schemas.openxmlformats.org/officeDocument/2006/relationships/hyperlink" Target="http://mongodb.com" TargetMode="External"/><Relationship Id="rId582" Type="http://schemas.openxmlformats.org/officeDocument/2006/relationships/hyperlink" Target="http://carnow.com" TargetMode="External"/><Relationship Id="rId581" Type="http://schemas.openxmlformats.org/officeDocument/2006/relationships/hyperlink" Target="http://turing.com" TargetMode="External"/><Relationship Id="rId580" Type="http://schemas.openxmlformats.org/officeDocument/2006/relationships/hyperlink" Target="http://apptio.com" TargetMode="External"/><Relationship Id="rId103" Type="http://schemas.openxmlformats.org/officeDocument/2006/relationships/hyperlink" Target="http://checkr.com" TargetMode="External"/><Relationship Id="rId345" Type="http://schemas.openxmlformats.org/officeDocument/2006/relationships/hyperlink" Target="http://vajro.com" TargetMode="External"/><Relationship Id="rId587" Type="http://schemas.openxmlformats.org/officeDocument/2006/relationships/hyperlink" Target="http://avetta.com" TargetMode="External"/><Relationship Id="rId102" Type="http://schemas.openxmlformats.org/officeDocument/2006/relationships/hyperlink" Target="http://imply.io" TargetMode="External"/><Relationship Id="rId344" Type="http://schemas.openxmlformats.org/officeDocument/2006/relationships/hyperlink" Target="http://geocomply.com" TargetMode="External"/><Relationship Id="rId586" Type="http://schemas.openxmlformats.org/officeDocument/2006/relationships/hyperlink" Target="http://myoperator.com" TargetMode="External"/><Relationship Id="rId101" Type="http://schemas.openxmlformats.org/officeDocument/2006/relationships/hyperlink" Target="http://redpoints.com" TargetMode="External"/><Relationship Id="rId343" Type="http://schemas.openxmlformats.org/officeDocument/2006/relationships/hyperlink" Target="http://cortex.io" TargetMode="External"/><Relationship Id="rId585" Type="http://schemas.openxmlformats.org/officeDocument/2006/relationships/hyperlink" Target="http://brightedge.com" TargetMode="External"/><Relationship Id="rId100" Type="http://schemas.openxmlformats.org/officeDocument/2006/relationships/hyperlink" Target="http://similarweb.com" TargetMode="External"/><Relationship Id="rId342" Type="http://schemas.openxmlformats.org/officeDocument/2006/relationships/hyperlink" Target="http://chainalysis.com" TargetMode="External"/><Relationship Id="rId584" Type="http://schemas.openxmlformats.org/officeDocument/2006/relationships/hyperlink" Target="http://hackthebox.com" TargetMode="External"/><Relationship Id="rId338" Type="http://schemas.openxmlformats.org/officeDocument/2006/relationships/hyperlink" Target="http://isaacinstruments.com" TargetMode="External"/><Relationship Id="rId337" Type="http://schemas.openxmlformats.org/officeDocument/2006/relationships/hyperlink" Target="http://appzen.com" TargetMode="External"/><Relationship Id="rId579" Type="http://schemas.openxmlformats.org/officeDocument/2006/relationships/hyperlink" Target="http://himaxwell.com" TargetMode="External"/><Relationship Id="rId336" Type="http://schemas.openxmlformats.org/officeDocument/2006/relationships/hyperlink" Target="http://realsports.ai" TargetMode="External"/><Relationship Id="rId578" Type="http://schemas.openxmlformats.org/officeDocument/2006/relationships/hyperlink" Target="http://clear.in" TargetMode="External"/><Relationship Id="rId335" Type="http://schemas.openxmlformats.org/officeDocument/2006/relationships/hyperlink" Target="http://datadome.co" TargetMode="External"/><Relationship Id="rId577" Type="http://schemas.openxmlformats.org/officeDocument/2006/relationships/hyperlink" Target="http://cision.com" TargetMode="External"/><Relationship Id="rId339" Type="http://schemas.openxmlformats.org/officeDocument/2006/relationships/hyperlink" Target="http://fynd.com" TargetMode="External"/><Relationship Id="rId330" Type="http://schemas.openxmlformats.org/officeDocument/2006/relationships/hyperlink" Target="http://hivebrite.io" TargetMode="External"/><Relationship Id="rId572" Type="http://schemas.openxmlformats.org/officeDocument/2006/relationships/hyperlink" Target="http://corpay.com" TargetMode="External"/><Relationship Id="rId571" Type="http://schemas.openxmlformats.org/officeDocument/2006/relationships/hyperlink" Target="http://walkme.com" TargetMode="External"/><Relationship Id="rId570" Type="http://schemas.openxmlformats.org/officeDocument/2006/relationships/hyperlink" Target="http://procomservices.com" TargetMode="External"/><Relationship Id="rId334" Type="http://schemas.openxmlformats.org/officeDocument/2006/relationships/hyperlink" Target="http://getbento.com" TargetMode="External"/><Relationship Id="rId576" Type="http://schemas.openxmlformats.org/officeDocument/2006/relationships/hyperlink" Target="http://securityscorecard.com" TargetMode="External"/><Relationship Id="rId333" Type="http://schemas.openxmlformats.org/officeDocument/2006/relationships/hyperlink" Target="http://sitedocs.com" TargetMode="External"/><Relationship Id="rId575" Type="http://schemas.openxmlformats.org/officeDocument/2006/relationships/hyperlink" Target="http://kargo.com" TargetMode="External"/><Relationship Id="rId332" Type="http://schemas.openxmlformats.org/officeDocument/2006/relationships/hyperlink" Target="http://hubspot.com" TargetMode="External"/><Relationship Id="rId574" Type="http://schemas.openxmlformats.org/officeDocument/2006/relationships/hyperlink" Target="http://shiftkey.com" TargetMode="External"/><Relationship Id="rId331" Type="http://schemas.openxmlformats.org/officeDocument/2006/relationships/hyperlink" Target="http://workato.com" TargetMode="External"/><Relationship Id="rId573" Type="http://schemas.openxmlformats.org/officeDocument/2006/relationships/hyperlink" Target="http://lambdatest.com" TargetMode="External"/><Relationship Id="rId370" Type="http://schemas.openxmlformats.org/officeDocument/2006/relationships/hyperlink" Target="http://k2view.com" TargetMode="External"/><Relationship Id="rId129" Type="http://schemas.openxmlformats.org/officeDocument/2006/relationships/hyperlink" Target="http://cashfree.com" TargetMode="External"/><Relationship Id="rId128" Type="http://schemas.openxmlformats.org/officeDocument/2006/relationships/hyperlink" Target="http://sprinklr.com" TargetMode="External"/><Relationship Id="rId127" Type="http://schemas.openxmlformats.org/officeDocument/2006/relationships/hyperlink" Target="http://aptean.com" TargetMode="External"/><Relationship Id="rId369" Type="http://schemas.openxmlformats.org/officeDocument/2006/relationships/hyperlink" Target="http://persuit.com" TargetMode="External"/><Relationship Id="rId126" Type="http://schemas.openxmlformats.org/officeDocument/2006/relationships/hyperlink" Target="http://miro.com" TargetMode="External"/><Relationship Id="rId368" Type="http://schemas.openxmlformats.org/officeDocument/2006/relationships/hyperlink" Target="http://shipsy.io" TargetMode="External"/><Relationship Id="rId121" Type="http://schemas.openxmlformats.org/officeDocument/2006/relationships/hyperlink" Target="http://triplewhale.com" TargetMode="External"/><Relationship Id="rId363" Type="http://schemas.openxmlformats.org/officeDocument/2006/relationships/hyperlink" Target="http://argano.com" TargetMode="External"/><Relationship Id="rId120" Type="http://schemas.openxmlformats.org/officeDocument/2006/relationships/hyperlink" Target="http://merative.com" TargetMode="External"/><Relationship Id="rId362" Type="http://schemas.openxmlformats.org/officeDocument/2006/relationships/hyperlink" Target="http://noibu.com" TargetMode="External"/><Relationship Id="rId361" Type="http://schemas.openxmlformats.org/officeDocument/2006/relationships/hyperlink" Target="http://agilitypr.com" TargetMode="External"/><Relationship Id="rId360" Type="http://schemas.openxmlformats.org/officeDocument/2006/relationships/hyperlink" Target="http://freshworks.com" TargetMode="External"/><Relationship Id="rId125" Type="http://schemas.openxmlformats.org/officeDocument/2006/relationships/hyperlink" Target="http://magnite.com" TargetMode="External"/><Relationship Id="rId367" Type="http://schemas.openxmlformats.org/officeDocument/2006/relationships/hyperlink" Target="http://celoxis.com" TargetMode="External"/><Relationship Id="rId124" Type="http://schemas.openxmlformats.org/officeDocument/2006/relationships/hyperlink" Target="http://infobip.com" TargetMode="External"/><Relationship Id="rId366" Type="http://schemas.openxmlformats.org/officeDocument/2006/relationships/hyperlink" Target="http://onsurity.com" TargetMode="External"/><Relationship Id="rId123" Type="http://schemas.openxmlformats.org/officeDocument/2006/relationships/hyperlink" Target="http://cpe.fr" TargetMode="External"/><Relationship Id="rId365" Type="http://schemas.openxmlformats.org/officeDocument/2006/relationships/hyperlink" Target="http://pingcap.com" TargetMode="External"/><Relationship Id="rId122" Type="http://schemas.openxmlformats.org/officeDocument/2006/relationships/hyperlink" Target="http://resolver.com" TargetMode="External"/><Relationship Id="rId364" Type="http://schemas.openxmlformats.org/officeDocument/2006/relationships/hyperlink" Target="http://doordash.com" TargetMode="External"/><Relationship Id="rId95" Type="http://schemas.openxmlformats.org/officeDocument/2006/relationships/hyperlink" Target="http://flashparking.com" TargetMode="External"/><Relationship Id="rId94" Type="http://schemas.openxmlformats.org/officeDocument/2006/relationships/hyperlink" Target="http://sailpoint.com" TargetMode="External"/><Relationship Id="rId97" Type="http://schemas.openxmlformats.org/officeDocument/2006/relationships/hyperlink" Target="http://nintex.com" TargetMode="External"/><Relationship Id="rId96" Type="http://schemas.openxmlformats.org/officeDocument/2006/relationships/hyperlink" Target="http://tigerconnect.com" TargetMode="External"/><Relationship Id="rId99" Type="http://schemas.openxmlformats.org/officeDocument/2006/relationships/hyperlink" Target="http://rechargepayments.com" TargetMode="External"/><Relationship Id="rId98" Type="http://schemas.openxmlformats.org/officeDocument/2006/relationships/hyperlink" Target="http://betterplace.co.in" TargetMode="External"/><Relationship Id="rId91" Type="http://schemas.openxmlformats.org/officeDocument/2006/relationships/hyperlink" Target="http://solarwinds.com" TargetMode="External"/><Relationship Id="rId90" Type="http://schemas.openxmlformats.org/officeDocument/2006/relationships/hyperlink" Target="http://bigid.com" TargetMode="External"/><Relationship Id="rId93" Type="http://schemas.openxmlformats.org/officeDocument/2006/relationships/hyperlink" Target="http://adverity.com" TargetMode="External"/><Relationship Id="rId92" Type="http://schemas.openxmlformats.org/officeDocument/2006/relationships/hyperlink" Target="http://catonetworks.com" TargetMode="External"/><Relationship Id="rId118" Type="http://schemas.openxmlformats.org/officeDocument/2006/relationships/hyperlink" Target="http://kore.ai" TargetMode="External"/><Relationship Id="rId117" Type="http://schemas.openxmlformats.org/officeDocument/2006/relationships/hyperlink" Target="http://freshworks.com" TargetMode="External"/><Relationship Id="rId359" Type="http://schemas.openxmlformats.org/officeDocument/2006/relationships/hyperlink" Target="http://nectarhr.com" TargetMode="External"/><Relationship Id="rId116" Type="http://schemas.openxmlformats.org/officeDocument/2006/relationships/hyperlink" Target="http://oreilly.com" TargetMode="External"/><Relationship Id="rId358" Type="http://schemas.openxmlformats.org/officeDocument/2006/relationships/hyperlink" Target="http://hellofyllo.com" TargetMode="External"/><Relationship Id="rId115" Type="http://schemas.openxmlformats.org/officeDocument/2006/relationships/hyperlink" Target="http://doordash.com" TargetMode="External"/><Relationship Id="rId357" Type="http://schemas.openxmlformats.org/officeDocument/2006/relationships/hyperlink" Target="http://butterflymx.com" TargetMode="External"/><Relationship Id="rId599" Type="http://schemas.openxmlformats.org/officeDocument/2006/relationships/hyperlink" Target="http://daxko.com" TargetMode="External"/><Relationship Id="rId119" Type="http://schemas.openxmlformats.org/officeDocument/2006/relationships/hyperlink" Target="http://kore.ai" TargetMode="External"/><Relationship Id="rId110" Type="http://schemas.openxmlformats.org/officeDocument/2006/relationships/hyperlink" Target="http://aerospike.com" TargetMode="External"/><Relationship Id="rId352" Type="http://schemas.openxmlformats.org/officeDocument/2006/relationships/hyperlink" Target="http://rossum.ai" TargetMode="External"/><Relationship Id="rId594" Type="http://schemas.openxmlformats.org/officeDocument/2006/relationships/hyperlink" Target="http://unifonic.com" TargetMode="External"/><Relationship Id="rId351" Type="http://schemas.openxmlformats.org/officeDocument/2006/relationships/hyperlink" Target="http://cision.com" TargetMode="External"/><Relationship Id="rId593" Type="http://schemas.openxmlformats.org/officeDocument/2006/relationships/hyperlink" Target="http://zayzoon.com" TargetMode="External"/><Relationship Id="rId350" Type="http://schemas.openxmlformats.org/officeDocument/2006/relationships/hyperlink" Target="http://operto.com" TargetMode="External"/><Relationship Id="rId592" Type="http://schemas.openxmlformats.org/officeDocument/2006/relationships/hyperlink" Target="http://solarwinds.com" TargetMode="External"/><Relationship Id="rId591" Type="http://schemas.openxmlformats.org/officeDocument/2006/relationships/hyperlink" Target="http://beroeinc.com" TargetMode="External"/><Relationship Id="rId114" Type="http://schemas.openxmlformats.org/officeDocument/2006/relationships/hyperlink" Target="http://sysaid.com" TargetMode="External"/><Relationship Id="rId356" Type="http://schemas.openxmlformats.org/officeDocument/2006/relationships/hyperlink" Target="http://micamail.in" TargetMode="External"/><Relationship Id="rId598" Type="http://schemas.openxmlformats.org/officeDocument/2006/relationships/hyperlink" Target="http://paperlessparts.com" TargetMode="External"/><Relationship Id="rId113" Type="http://schemas.openxmlformats.org/officeDocument/2006/relationships/hyperlink" Target="http://urbanpiper.com" TargetMode="External"/><Relationship Id="rId355" Type="http://schemas.openxmlformats.org/officeDocument/2006/relationships/hyperlink" Target="http://micamail.in" TargetMode="External"/><Relationship Id="rId597" Type="http://schemas.openxmlformats.org/officeDocument/2006/relationships/hyperlink" Target="http://fusionconnect.com" TargetMode="External"/><Relationship Id="rId112" Type="http://schemas.openxmlformats.org/officeDocument/2006/relationships/hyperlink" Target="http://cegid.com" TargetMode="External"/><Relationship Id="rId354" Type="http://schemas.openxmlformats.org/officeDocument/2006/relationships/hyperlink" Target="http://meshpayments.com" TargetMode="External"/><Relationship Id="rId596" Type="http://schemas.openxmlformats.org/officeDocument/2006/relationships/hyperlink" Target="http://creyos.com" TargetMode="External"/><Relationship Id="rId111" Type="http://schemas.openxmlformats.org/officeDocument/2006/relationships/hyperlink" Target="http://peoplestrong.com" TargetMode="External"/><Relationship Id="rId353" Type="http://schemas.openxmlformats.org/officeDocument/2006/relationships/hyperlink" Target="http://juspay.in" TargetMode="External"/><Relationship Id="rId595" Type="http://schemas.openxmlformats.org/officeDocument/2006/relationships/hyperlink" Target="http://icertis.com" TargetMode="External"/><Relationship Id="rId305" Type="http://schemas.openxmlformats.org/officeDocument/2006/relationships/hyperlink" Target="http://corpay.com" TargetMode="External"/><Relationship Id="rId547" Type="http://schemas.openxmlformats.org/officeDocument/2006/relationships/hyperlink" Target="http://papayaglobal.com" TargetMode="External"/><Relationship Id="rId304" Type="http://schemas.openxmlformats.org/officeDocument/2006/relationships/hyperlink" Target="http://zohocorp.com" TargetMode="External"/><Relationship Id="rId546" Type="http://schemas.openxmlformats.org/officeDocument/2006/relationships/hyperlink" Target="http://whatfix.com" TargetMode="External"/><Relationship Id="rId303" Type="http://schemas.openxmlformats.org/officeDocument/2006/relationships/hyperlink" Target="http://simplilearn.com" TargetMode="External"/><Relationship Id="rId545" Type="http://schemas.openxmlformats.org/officeDocument/2006/relationships/hyperlink" Target="http://explorance.com" TargetMode="External"/><Relationship Id="rId302" Type="http://schemas.openxmlformats.org/officeDocument/2006/relationships/hyperlink" Target="http://headspin.io" TargetMode="External"/><Relationship Id="rId544" Type="http://schemas.openxmlformats.org/officeDocument/2006/relationships/hyperlink" Target="http://contactmonkey.com" TargetMode="External"/><Relationship Id="rId309" Type="http://schemas.openxmlformats.org/officeDocument/2006/relationships/hyperlink" Target="http://emoneyadvisor.com" TargetMode="External"/><Relationship Id="rId308" Type="http://schemas.openxmlformats.org/officeDocument/2006/relationships/hyperlink" Target="http://growthspace.com" TargetMode="External"/><Relationship Id="rId307" Type="http://schemas.openxmlformats.org/officeDocument/2006/relationships/hyperlink" Target="http://hubspot.com" TargetMode="External"/><Relationship Id="rId549" Type="http://schemas.openxmlformats.org/officeDocument/2006/relationships/hyperlink" Target="http://optimove.com" TargetMode="External"/><Relationship Id="rId306" Type="http://schemas.openxmlformats.org/officeDocument/2006/relationships/hyperlink" Target="http://cymulate.com" TargetMode="External"/><Relationship Id="rId548" Type="http://schemas.openxmlformats.org/officeDocument/2006/relationships/hyperlink" Target="http://markforged.com" TargetMode="External"/><Relationship Id="rId301" Type="http://schemas.openxmlformats.org/officeDocument/2006/relationships/hyperlink" Target="http://zoominfo.com" TargetMode="External"/><Relationship Id="rId543" Type="http://schemas.openxmlformats.org/officeDocument/2006/relationships/hyperlink" Target="http://efficientip.com" TargetMode="External"/><Relationship Id="rId300" Type="http://schemas.openxmlformats.org/officeDocument/2006/relationships/hyperlink" Target="http://provana.com" TargetMode="External"/><Relationship Id="rId542" Type="http://schemas.openxmlformats.org/officeDocument/2006/relationships/hyperlink" Target="http://pathfactory.com" TargetMode="External"/><Relationship Id="rId541" Type="http://schemas.openxmlformats.org/officeDocument/2006/relationships/hyperlink" Target="http://briq.com" TargetMode="External"/><Relationship Id="rId540" Type="http://schemas.openxmlformats.org/officeDocument/2006/relationships/hyperlink" Target="http://velocityglobal.com" TargetMode="External"/><Relationship Id="rId536" Type="http://schemas.openxmlformats.org/officeDocument/2006/relationships/hyperlink" Target="http://placer.io" TargetMode="External"/><Relationship Id="rId535" Type="http://schemas.openxmlformats.org/officeDocument/2006/relationships/hyperlink" Target="http://placer.ai" TargetMode="External"/><Relationship Id="rId534" Type="http://schemas.openxmlformats.org/officeDocument/2006/relationships/hyperlink" Target="http://chownow.com" TargetMode="External"/><Relationship Id="rId533" Type="http://schemas.openxmlformats.org/officeDocument/2006/relationships/hyperlink" Target="http://mygate.com" TargetMode="External"/><Relationship Id="rId539" Type="http://schemas.openxmlformats.org/officeDocument/2006/relationships/hyperlink" Target="http://ripple.com" TargetMode="External"/><Relationship Id="rId538" Type="http://schemas.openxmlformats.org/officeDocument/2006/relationships/hyperlink" Target="http://swordhealth.com" TargetMode="External"/><Relationship Id="rId537" Type="http://schemas.openxmlformats.org/officeDocument/2006/relationships/hyperlink" Target="http://panaya.com" TargetMode="External"/><Relationship Id="rId532" Type="http://schemas.openxmlformats.org/officeDocument/2006/relationships/hyperlink" Target="http://trolley.com" TargetMode="External"/><Relationship Id="rId531" Type="http://schemas.openxmlformats.org/officeDocument/2006/relationships/hyperlink" Target="http://dubber.net" TargetMode="External"/><Relationship Id="rId530" Type="http://schemas.openxmlformats.org/officeDocument/2006/relationships/hyperlink" Target="http://katalon.com" TargetMode="External"/><Relationship Id="rId327" Type="http://schemas.openxmlformats.org/officeDocument/2006/relationships/hyperlink" Target="http://sageintacct.com" TargetMode="External"/><Relationship Id="rId569" Type="http://schemas.openxmlformats.org/officeDocument/2006/relationships/hyperlink" Target="http://deque.com" TargetMode="External"/><Relationship Id="rId326" Type="http://schemas.openxmlformats.org/officeDocument/2006/relationships/hyperlink" Target="http://lentra.ai" TargetMode="External"/><Relationship Id="rId568" Type="http://schemas.openxmlformats.org/officeDocument/2006/relationships/hyperlink" Target="http://splashthat.com" TargetMode="External"/><Relationship Id="rId325" Type="http://schemas.openxmlformats.org/officeDocument/2006/relationships/hyperlink" Target="http://basis.com" TargetMode="External"/><Relationship Id="rId567" Type="http://schemas.openxmlformats.org/officeDocument/2006/relationships/hyperlink" Target="http://tehtris.com" TargetMode="External"/><Relationship Id="rId324" Type="http://schemas.openxmlformats.org/officeDocument/2006/relationships/hyperlink" Target="http://zscaler.com" TargetMode="External"/><Relationship Id="rId566" Type="http://schemas.openxmlformats.org/officeDocument/2006/relationships/hyperlink" Target="http://crownpeak.com" TargetMode="External"/><Relationship Id="rId329" Type="http://schemas.openxmlformats.org/officeDocument/2006/relationships/hyperlink" Target="http://yoobic.com" TargetMode="External"/><Relationship Id="rId328" Type="http://schemas.openxmlformats.org/officeDocument/2006/relationships/hyperlink" Target="http://yalo.com" TargetMode="External"/><Relationship Id="rId561" Type="http://schemas.openxmlformats.org/officeDocument/2006/relationships/hyperlink" Target="http://archerirm.com" TargetMode="External"/><Relationship Id="rId560" Type="http://schemas.openxmlformats.org/officeDocument/2006/relationships/hyperlink" Target="http://act-on.com" TargetMode="External"/><Relationship Id="rId323" Type="http://schemas.openxmlformats.org/officeDocument/2006/relationships/hyperlink" Target="http://sqream.com" TargetMode="External"/><Relationship Id="rId565" Type="http://schemas.openxmlformats.org/officeDocument/2006/relationships/hyperlink" Target="http://unifocus.com" TargetMode="External"/><Relationship Id="rId322" Type="http://schemas.openxmlformats.org/officeDocument/2006/relationships/hyperlink" Target="http://plivo.com" TargetMode="External"/><Relationship Id="rId564" Type="http://schemas.openxmlformats.org/officeDocument/2006/relationships/hyperlink" Target="http://loopme.com" TargetMode="External"/><Relationship Id="rId321" Type="http://schemas.openxmlformats.org/officeDocument/2006/relationships/hyperlink" Target="http://vaave.com" TargetMode="External"/><Relationship Id="rId563" Type="http://schemas.openxmlformats.org/officeDocument/2006/relationships/hyperlink" Target="http://chargebee.com" TargetMode="External"/><Relationship Id="rId320" Type="http://schemas.openxmlformats.org/officeDocument/2006/relationships/hyperlink" Target="http://facilio.com" TargetMode="External"/><Relationship Id="rId562" Type="http://schemas.openxmlformats.org/officeDocument/2006/relationships/hyperlink" Target="http://guesty.com" TargetMode="External"/><Relationship Id="rId316" Type="http://schemas.openxmlformats.org/officeDocument/2006/relationships/hyperlink" Target="http://ellevationeducation.com" TargetMode="External"/><Relationship Id="rId558" Type="http://schemas.openxmlformats.org/officeDocument/2006/relationships/hyperlink" Target="http://gloat.com" TargetMode="External"/><Relationship Id="rId315" Type="http://schemas.openxmlformats.org/officeDocument/2006/relationships/hyperlink" Target="http://crowdstrike.com" TargetMode="External"/><Relationship Id="rId557" Type="http://schemas.openxmlformats.org/officeDocument/2006/relationships/hyperlink" Target="http://xometry.com" TargetMode="External"/><Relationship Id="rId314" Type="http://schemas.openxmlformats.org/officeDocument/2006/relationships/hyperlink" Target="http://movableink.com" TargetMode="External"/><Relationship Id="rId556" Type="http://schemas.openxmlformats.org/officeDocument/2006/relationships/hyperlink" Target="http://lambdatest.com" TargetMode="External"/><Relationship Id="rId313" Type="http://schemas.openxmlformats.org/officeDocument/2006/relationships/hyperlink" Target="http://avispl.com" TargetMode="External"/><Relationship Id="rId555" Type="http://schemas.openxmlformats.org/officeDocument/2006/relationships/hyperlink" Target="http://planview.com" TargetMode="External"/><Relationship Id="rId319" Type="http://schemas.openxmlformats.org/officeDocument/2006/relationships/hyperlink" Target="http://tinuiti.com" TargetMode="External"/><Relationship Id="rId318" Type="http://schemas.openxmlformats.org/officeDocument/2006/relationships/hyperlink" Target="http://people.ai" TargetMode="External"/><Relationship Id="rId317" Type="http://schemas.openxmlformats.org/officeDocument/2006/relationships/hyperlink" Target="http://people.ai" TargetMode="External"/><Relationship Id="rId559" Type="http://schemas.openxmlformats.org/officeDocument/2006/relationships/hyperlink" Target="http://bugcrowd.com" TargetMode="External"/><Relationship Id="rId550" Type="http://schemas.openxmlformats.org/officeDocument/2006/relationships/hyperlink" Target="http://phenom.com" TargetMode="External"/><Relationship Id="rId312" Type="http://schemas.openxmlformats.org/officeDocument/2006/relationships/hyperlink" Target="http://lwolf.com" TargetMode="External"/><Relationship Id="rId554" Type="http://schemas.openxmlformats.org/officeDocument/2006/relationships/hyperlink" Target="http://sentinelone.com" TargetMode="External"/><Relationship Id="rId311" Type="http://schemas.openxmlformats.org/officeDocument/2006/relationships/hyperlink" Target="http://carestack.com" TargetMode="External"/><Relationship Id="rId553" Type="http://schemas.openxmlformats.org/officeDocument/2006/relationships/hyperlink" Target="http://vc3.com" TargetMode="External"/><Relationship Id="rId310" Type="http://schemas.openxmlformats.org/officeDocument/2006/relationships/hyperlink" Target="http://subex.com" TargetMode="External"/><Relationship Id="rId552" Type="http://schemas.openxmlformats.org/officeDocument/2006/relationships/hyperlink" Target="http://copperleaf.com" TargetMode="External"/><Relationship Id="rId551" Type="http://schemas.openxmlformats.org/officeDocument/2006/relationships/hyperlink" Target="http://teletracnavman.com" TargetMode="External"/><Relationship Id="rId297" Type="http://schemas.openxmlformats.org/officeDocument/2006/relationships/hyperlink" Target="http://nextdoor.com" TargetMode="External"/><Relationship Id="rId296" Type="http://schemas.openxmlformats.org/officeDocument/2006/relationships/hyperlink" Target="http://joinhandshake.com" TargetMode="External"/><Relationship Id="rId295" Type="http://schemas.openxmlformats.org/officeDocument/2006/relationships/hyperlink" Target="http://ridewithvia.com" TargetMode="External"/><Relationship Id="rId294" Type="http://schemas.openxmlformats.org/officeDocument/2006/relationships/hyperlink" Target="http://brandlive.com" TargetMode="External"/><Relationship Id="rId299" Type="http://schemas.openxmlformats.org/officeDocument/2006/relationships/hyperlink" Target="http://zendesk.com" TargetMode="External"/><Relationship Id="rId298" Type="http://schemas.openxmlformats.org/officeDocument/2006/relationships/hyperlink" Target="http://obsidiansecurity.com" TargetMode="External"/><Relationship Id="rId271" Type="http://schemas.openxmlformats.org/officeDocument/2006/relationships/hyperlink" Target="http://trulioo.com" TargetMode="External"/><Relationship Id="rId270" Type="http://schemas.openxmlformats.org/officeDocument/2006/relationships/hyperlink" Target="http://netbasequid.com" TargetMode="External"/><Relationship Id="rId269" Type="http://schemas.openxmlformats.org/officeDocument/2006/relationships/hyperlink" Target="http://rollworks.com" TargetMode="External"/><Relationship Id="rId264" Type="http://schemas.openxmlformats.org/officeDocument/2006/relationships/hyperlink" Target="http://telnyx.com" TargetMode="External"/><Relationship Id="rId263" Type="http://schemas.openxmlformats.org/officeDocument/2006/relationships/hyperlink" Target="http://mongodb.com" TargetMode="External"/><Relationship Id="rId262" Type="http://schemas.openxmlformats.org/officeDocument/2006/relationships/hyperlink" Target="http://eset.com" TargetMode="External"/><Relationship Id="rId261" Type="http://schemas.openxmlformats.org/officeDocument/2006/relationships/hyperlink" Target="http://obsidiansecurity.com" TargetMode="External"/><Relationship Id="rId268" Type="http://schemas.openxmlformats.org/officeDocument/2006/relationships/hyperlink" Target="http://cvent.com" TargetMode="External"/><Relationship Id="rId267" Type="http://schemas.openxmlformats.org/officeDocument/2006/relationships/hyperlink" Target="http://newrelic.com" TargetMode="External"/><Relationship Id="rId266" Type="http://schemas.openxmlformats.org/officeDocument/2006/relationships/hyperlink" Target="http://telstrahealth.com" TargetMode="External"/><Relationship Id="rId265" Type="http://schemas.openxmlformats.org/officeDocument/2006/relationships/hyperlink" Target="http://f5.com" TargetMode="External"/><Relationship Id="rId260" Type="http://schemas.openxmlformats.org/officeDocument/2006/relationships/hyperlink" Target="http://bill.com" TargetMode="External"/><Relationship Id="rId259" Type="http://schemas.openxmlformats.org/officeDocument/2006/relationships/hyperlink" Target="http://hibob.com" TargetMode="External"/><Relationship Id="rId258" Type="http://schemas.openxmlformats.org/officeDocument/2006/relationships/hyperlink" Target="http://labster.com" TargetMode="External"/><Relationship Id="rId253" Type="http://schemas.openxmlformats.org/officeDocument/2006/relationships/hyperlink" Target="http://veritone.com" TargetMode="External"/><Relationship Id="rId495" Type="http://schemas.openxmlformats.org/officeDocument/2006/relationships/hyperlink" Target="http://phocassoftware.com" TargetMode="External"/><Relationship Id="rId252" Type="http://schemas.openxmlformats.org/officeDocument/2006/relationships/hyperlink" Target="http://blueprism.com" TargetMode="External"/><Relationship Id="rId494" Type="http://schemas.openxmlformats.org/officeDocument/2006/relationships/hyperlink" Target="http://primefocus.com" TargetMode="External"/><Relationship Id="rId251" Type="http://schemas.openxmlformats.org/officeDocument/2006/relationships/hyperlink" Target="http://dronedeploy.com" TargetMode="External"/><Relationship Id="rId493" Type="http://schemas.openxmlformats.org/officeDocument/2006/relationships/hyperlink" Target="http://agentsync.io" TargetMode="External"/><Relationship Id="rId250" Type="http://schemas.openxmlformats.org/officeDocument/2006/relationships/hyperlink" Target="http://swiftly.com" TargetMode="External"/><Relationship Id="rId492" Type="http://schemas.openxmlformats.org/officeDocument/2006/relationships/hyperlink" Target="http://zscaler.com" TargetMode="External"/><Relationship Id="rId257" Type="http://schemas.openxmlformats.org/officeDocument/2006/relationships/hyperlink" Target="http://aumet.com" TargetMode="External"/><Relationship Id="rId499" Type="http://schemas.openxmlformats.org/officeDocument/2006/relationships/hyperlink" Target="http://bishopfox.com" TargetMode="External"/><Relationship Id="rId256" Type="http://schemas.openxmlformats.org/officeDocument/2006/relationships/hyperlink" Target="http://solace.com" TargetMode="External"/><Relationship Id="rId498" Type="http://schemas.openxmlformats.org/officeDocument/2006/relationships/hyperlink" Target="http://scorpion.co" TargetMode="External"/><Relationship Id="rId255" Type="http://schemas.openxmlformats.org/officeDocument/2006/relationships/hyperlink" Target="http://realpage.com" TargetMode="External"/><Relationship Id="rId497" Type="http://schemas.openxmlformats.org/officeDocument/2006/relationships/hyperlink" Target="http://procore.com" TargetMode="External"/><Relationship Id="rId254" Type="http://schemas.openxmlformats.org/officeDocument/2006/relationships/hyperlink" Target="http://rxbenefits.com" TargetMode="External"/><Relationship Id="rId496" Type="http://schemas.openxmlformats.org/officeDocument/2006/relationships/hyperlink" Target="http://nutanix.com" TargetMode="External"/><Relationship Id="rId293" Type="http://schemas.openxmlformats.org/officeDocument/2006/relationships/hyperlink" Target="http://hubilo.com" TargetMode="External"/><Relationship Id="rId292" Type="http://schemas.openxmlformats.org/officeDocument/2006/relationships/hyperlink" Target="http://grammarly.com" TargetMode="External"/><Relationship Id="rId291" Type="http://schemas.openxmlformats.org/officeDocument/2006/relationships/hyperlink" Target="http://resolver.com" TargetMode="External"/><Relationship Id="rId290" Type="http://schemas.openxmlformats.org/officeDocument/2006/relationships/hyperlink" Target="http://lusha.com" TargetMode="External"/><Relationship Id="rId286" Type="http://schemas.openxmlformats.org/officeDocument/2006/relationships/hyperlink" Target="http://plex.com" TargetMode="External"/><Relationship Id="rId285" Type="http://schemas.openxmlformats.org/officeDocument/2006/relationships/hyperlink" Target="http://heartland.us" TargetMode="External"/><Relationship Id="rId284" Type="http://schemas.openxmlformats.org/officeDocument/2006/relationships/hyperlink" Target="http://enablemybusiness.com" TargetMode="External"/><Relationship Id="rId283" Type="http://schemas.openxmlformats.org/officeDocument/2006/relationships/hyperlink" Target="http://clickworth.io" TargetMode="External"/><Relationship Id="rId289" Type="http://schemas.openxmlformats.org/officeDocument/2006/relationships/hyperlink" Target="http://qure.ai" TargetMode="External"/><Relationship Id="rId288" Type="http://schemas.openxmlformats.org/officeDocument/2006/relationships/hyperlink" Target="http://qure.ai" TargetMode="External"/><Relationship Id="rId287" Type="http://schemas.openxmlformats.org/officeDocument/2006/relationships/hyperlink" Target="http://kargo.com" TargetMode="External"/><Relationship Id="rId282" Type="http://schemas.openxmlformats.org/officeDocument/2006/relationships/hyperlink" Target="http://clickworth.io" TargetMode="External"/><Relationship Id="rId281" Type="http://schemas.openxmlformats.org/officeDocument/2006/relationships/hyperlink" Target="http://dynatrace.com" TargetMode="External"/><Relationship Id="rId280" Type="http://schemas.openxmlformats.org/officeDocument/2006/relationships/hyperlink" Target="http://defswarm.com" TargetMode="External"/><Relationship Id="rId275" Type="http://schemas.openxmlformats.org/officeDocument/2006/relationships/hyperlink" Target="http://getxeno.com" TargetMode="External"/><Relationship Id="rId274" Type="http://schemas.openxmlformats.org/officeDocument/2006/relationships/hyperlink" Target="http://resulticks.com" TargetMode="External"/><Relationship Id="rId273" Type="http://schemas.openxmlformats.org/officeDocument/2006/relationships/hyperlink" Target="http://replicant.com" TargetMode="External"/><Relationship Id="rId272" Type="http://schemas.openxmlformats.org/officeDocument/2006/relationships/hyperlink" Target="http://convoso.com" TargetMode="External"/><Relationship Id="rId279" Type="http://schemas.openxmlformats.org/officeDocument/2006/relationships/hyperlink" Target="http://gigaspaces.com" TargetMode="External"/><Relationship Id="rId278" Type="http://schemas.openxmlformats.org/officeDocument/2006/relationships/hyperlink" Target="http://contentful.com" TargetMode="External"/><Relationship Id="rId277" Type="http://schemas.openxmlformats.org/officeDocument/2006/relationships/hyperlink" Target="http://calendly.com" TargetMode="External"/><Relationship Id="rId276" Type="http://schemas.openxmlformats.org/officeDocument/2006/relationships/hyperlink" Target="http://arconnet.com" TargetMode="External"/><Relationship Id="rId629" Type="http://schemas.openxmlformats.org/officeDocument/2006/relationships/hyperlink" Target="http://medallion.co" TargetMode="External"/><Relationship Id="rId624" Type="http://schemas.openxmlformats.org/officeDocument/2006/relationships/hyperlink" Target="http://talkdesk.com" TargetMode="External"/><Relationship Id="rId623" Type="http://schemas.openxmlformats.org/officeDocument/2006/relationships/hyperlink" Target="http://buildots.com" TargetMode="External"/><Relationship Id="rId622" Type="http://schemas.openxmlformats.org/officeDocument/2006/relationships/hyperlink" Target="http://callminer.com" TargetMode="External"/><Relationship Id="rId621" Type="http://schemas.openxmlformats.org/officeDocument/2006/relationships/hyperlink" Target="http://augury.com" TargetMode="External"/><Relationship Id="rId628" Type="http://schemas.openxmlformats.org/officeDocument/2006/relationships/hyperlink" Target="http://digitalocean.com" TargetMode="External"/><Relationship Id="rId627" Type="http://schemas.openxmlformats.org/officeDocument/2006/relationships/hyperlink" Target="http://payjunction.com" TargetMode="External"/><Relationship Id="rId626" Type="http://schemas.openxmlformats.org/officeDocument/2006/relationships/hyperlink" Target="http://gtmbuddy.ai" TargetMode="External"/><Relationship Id="rId625" Type="http://schemas.openxmlformats.org/officeDocument/2006/relationships/hyperlink" Target="http://sirion.ai" TargetMode="External"/><Relationship Id="rId620" Type="http://schemas.openxmlformats.org/officeDocument/2006/relationships/hyperlink" Target="http://pubmatic.com" TargetMode="External"/><Relationship Id="rId619" Type="http://schemas.openxmlformats.org/officeDocument/2006/relationships/hyperlink" Target="http://genasys.com" TargetMode="External"/><Relationship Id="rId618" Type="http://schemas.openxmlformats.org/officeDocument/2006/relationships/hyperlink" Target="http://unit21.ai" TargetMode="External"/><Relationship Id="rId613" Type="http://schemas.openxmlformats.org/officeDocument/2006/relationships/hyperlink" Target="http://taboola.com" TargetMode="External"/><Relationship Id="rId612" Type="http://schemas.openxmlformats.org/officeDocument/2006/relationships/hyperlink" Target="http://verifiable.com" TargetMode="External"/><Relationship Id="rId611" Type="http://schemas.openxmlformats.org/officeDocument/2006/relationships/hyperlink" Target="http://cresta.com" TargetMode="External"/><Relationship Id="rId610" Type="http://schemas.openxmlformats.org/officeDocument/2006/relationships/hyperlink" Target="http://supplypike.com" TargetMode="External"/><Relationship Id="rId617" Type="http://schemas.openxmlformats.org/officeDocument/2006/relationships/hyperlink" Target="http://logz.io" TargetMode="External"/><Relationship Id="rId616" Type="http://schemas.openxmlformats.org/officeDocument/2006/relationships/hyperlink" Target="http://logz.io" TargetMode="External"/><Relationship Id="rId615" Type="http://schemas.openxmlformats.org/officeDocument/2006/relationships/hyperlink" Target="http://coinbase.com" TargetMode="External"/><Relationship Id="rId614" Type="http://schemas.openxmlformats.org/officeDocument/2006/relationships/hyperlink" Target="http://outsystems.com" TargetMode="External"/><Relationship Id="rId409" Type="http://schemas.openxmlformats.org/officeDocument/2006/relationships/hyperlink" Target="http://reputation.com" TargetMode="External"/><Relationship Id="rId404" Type="http://schemas.openxmlformats.org/officeDocument/2006/relationships/hyperlink" Target="http://altametrics.com" TargetMode="External"/><Relationship Id="rId646" Type="http://schemas.openxmlformats.org/officeDocument/2006/relationships/hyperlink" Target="http://litify.com" TargetMode="External"/><Relationship Id="rId403" Type="http://schemas.openxmlformats.org/officeDocument/2006/relationships/hyperlink" Target="http://govos.com" TargetMode="External"/><Relationship Id="rId645" Type="http://schemas.openxmlformats.org/officeDocument/2006/relationships/hyperlink" Target="http://papayaglobal.com" TargetMode="External"/><Relationship Id="rId402" Type="http://schemas.openxmlformats.org/officeDocument/2006/relationships/hyperlink" Target="http://cardlytics.com" TargetMode="External"/><Relationship Id="rId644" Type="http://schemas.openxmlformats.org/officeDocument/2006/relationships/hyperlink" Target="http://cyesec.com" TargetMode="External"/><Relationship Id="rId401" Type="http://schemas.openxmlformats.org/officeDocument/2006/relationships/hyperlink" Target="http://globalvision.co" TargetMode="External"/><Relationship Id="rId643" Type="http://schemas.openxmlformats.org/officeDocument/2006/relationships/hyperlink" Target="http://grazitti.com" TargetMode="External"/><Relationship Id="rId408" Type="http://schemas.openxmlformats.org/officeDocument/2006/relationships/hyperlink" Target="http://rainfocus.com" TargetMode="External"/><Relationship Id="rId407" Type="http://schemas.openxmlformats.org/officeDocument/2006/relationships/hyperlink" Target="http://accolade.com" TargetMode="External"/><Relationship Id="rId649" Type="http://schemas.openxmlformats.org/officeDocument/2006/relationships/hyperlink" Target="http://semrush.com" TargetMode="External"/><Relationship Id="rId406" Type="http://schemas.openxmlformats.org/officeDocument/2006/relationships/hyperlink" Target="http://rocketlane.com" TargetMode="External"/><Relationship Id="rId648" Type="http://schemas.openxmlformats.org/officeDocument/2006/relationships/hyperlink" Target="http://meetmarigold.com" TargetMode="External"/><Relationship Id="rId405" Type="http://schemas.openxmlformats.org/officeDocument/2006/relationships/hyperlink" Target="http://jugnoo.io" TargetMode="External"/><Relationship Id="rId647" Type="http://schemas.openxmlformats.org/officeDocument/2006/relationships/hyperlink" Target="http://firework.com" TargetMode="External"/><Relationship Id="rId400" Type="http://schemas.openxmlformats.org/officeDocument/2006/relationships/hyperlink" Target="http://aurigo.com" TargetMode="External"/><Relationship Id="rId642" Type="http://schemas.openxmlformats.org/officeDocument/2006/relationships/hyperlink" Target="http://onetrust.com" TargetMode="External"/><Relationship Id="rId641" Type="http://schemas.openxmlformats.org/officeDocument/2006/relationships/hyperlink" Target="http://watchguard.com" TargetMode="External"/><Relationship Id="rId640" Type="http://schemas.openxmlformats.org/officeDocument/2006/relationships/hyperlink" Target="http://lvt.com" TargetMode="External"/><Relationship Id="rId635" Type="http://schemas.openxmlformats.org/officeDocument/2006/relationships/hyperlink" Target="http://fluentcommerce.com" TargetMode="External"/><Relationship Id="rId634" Type="http://schemas.openxmlformats.org/officeDocument/2006/relationships/hyperlink" Target="http://reltio.com" TargetMode="External"/><Relationship Id="rId633" Type="http://schemas.openxmlformats.org/officeDocument/2006/relationships/hyperlink" Target="http://airslate.com" TargetMode="External"/><Relationship Id="rId632" Type="http://schemas.openxmlformats.org/officeDocument/2006/relationships/hyperlink" Target="http://workiva.com" TargetMode="External"/><Relationship Id="rId639" Type="http://schemas.openxmlformats.org/officeDocument/2006/relationships/hyperlink" Target="http://voltus.co" TargetMode="External"/><Relationship Id="rId638" Type="http://schemas.openxmlformats.org/officeDocument/2006/relationships/hyperlink" Target="http://goteleport.com" TargetMode="External"/><Relationship Id="rId637" Type="http://schemas.openxmlformats.org/officeDocument/2006/relationships/hyperlink" Target="http://qure.ai" TargetMode="External"/><Relationship Id="rId636" Type="http://schemas.openxmlformats.org/officeDocument/2006/relationships/hyperlink" Target="http://qure.ai" TargetMode="External"/><Relationship Id="rId631" Type="http://schemas.openxmlformats.org/officeDocument/2006/relationships/hyperlink" Target="http://definitivehc.com" TargetMode="External"/><Relationship Id="rId630" Type="http://schemas.openxmlformats.org/officeDocument/2006/relationships/hyperlink" Target="http://saviynt.com" TargetMode="External"/><Relationship Id="rId609" Type="http://schemas.openxmlformats.org/officeDocument/2006/relationships/hyperlink" Target="http://spectrio.com" TargetMode="External"/><Relationship Id="rId608" Type="http://schemas.openxmlformats.org/officeDocument/2006/relationships/hyperlink" Target="http://burwood.com" TargetMode="External"/><Relationship Id="rId607" Type="http://schemas.openxmlformats.org/officeDocument/2006/relationships/hyperlink" Target="http://kontakt.io" TargetMode="External"/><Relationship Id="rId602" Type="http://schemas.openxmlformats.org/officeDocument/2006/relationships/hyperlink" Target="http://esl.gatech.edu" TargetMode="External"/><Relationship Id="rId601" Type="http://schemas.openxmlformats.org/officeDocument/2006/relationships/hyperlink" Target="http://kapturecrm.com" TargetMode="External"/><Relationship Id="rId600" Type="http://schemas.openxmlformats.org/officeDocument/2006/relationships/hyperlink" Target="http://iworq.com" TargetMode="External"/><Relationship Id="rId606" Type="http://schemas.openxmlformats.org/officeDocument/2006/relationships/hyperlink" Target="http://kontakt.io" TargetMode="External"/><Relationship Id="rId605" Type="http://schemas.openxmlformats.org/officeDocument/2006/relationships/hyperlink" Target="http://responsive.io" TargetMode="External"/><Relationship Id="rId604" Type="http://schemas.openxmlformats.org/officeDocument/2006/relationships/hyperlink" Target="http://smartbear.com" TargetMode="External"/><Relationship Id="rId603" Type="http://schemas.openxmlformats.org/officeDocument/2006/relationships/hyperlink" Target="http://domo.com" TargetMode="External"/><Relationship Id="rId228" Type="http://schemas.openxmlformats.org/officeDocument/2006/relationships/hyperlink" Target="http://zuora.com" TargetMode="External"/><Relationship Id="rId227" Type="http://schemas.openxmlformats.org/officeDocument/2006/relationships/hyperlink" Target="http://hach.com" TargetMode="External"/><Relationship Id="rId469" Type="http://schemas.openxmlformats.org/officeDocument/2006/relationships/hyperlink" Target="http://appdome.com" TargetMode="External"/><Relationship Id="rId226" Type="http://schemas.openxmlformats.org/officeDocument/2006/relationships/hyperlink" Target="http://firstlight.net" TargetMode="External"/><Relationship Id="rId468" Type="http://schemas.openxmlformats.org/officeDocument/2006/relationships/hyperlink" Target="http://crayon.co" TargetMode="External"/><Relationship Id="rId225" Type="http://schemas.openxmlformats.org/officeDocument/2006/relationships/hyperlink" Target="http://snowsoftware.com" TargetMode="External"/><Relationship Id="rId467" Type="http://schemas.openxmlformats.org/officeDocument/2006/relationships/hyperlink" Target="http://affirm.com" TargetMode="External"/><Relationship Id="rId229" Type="http://schemas.openxmlformats.org/officeDocument/2006/relationships/hyperlink" Target="http://siteimprove.com" TargetMode="External"/><Relationship Id="rId220" Type="http://schemas.openxmlformats.org/officeDocument/2006/relationships/hyperlink" Target="http://justworks.com" TargetMode="External"/><Relationship Id="rId462" Type="http://schemas.openxmlformats.org/officeDocument/2006/relationships/hyperlink" Target="http://trellix.com" TargetMode="External"/><Relationship Id="rId461" Type="http://schemas.openxmlformats.org/officeDocument/2006/relationships/hyperlink" Target="http://ramanuj.am" TargetMode="External"/><Relationship Id="rId460" Type="http://schemas.openxmlformats.org/officeDocument/2006/relationships/hyperlink" Target="http://ramanuj.am" TargetMode="External"/><Relationship Id="rId224" Type="http://schemas.openxmlformats.org/officeDocument/2006/relationships/hyperlink" Target="http://360degreecloud.com" TargetMode="External"/><Relationship Id="rId466" Type="http://schemas.openxmlformats.org/officeDocument/2006/relationships/hyperlink" Target="http://devo.com" TargetMode="External"/><Relationship Id="rId223" Type="http://schemas.openxmlformats.org/officeDocument/2006/relationships/hyperlink" Target="http://loopio.com" TargetMode="External"/><Relationship Id="rId465" Type="http://schemas.openxmlformats.org/officeDocument/2006/relationships/hyperlink" Target="http://fareye.com" TargetMode="External"/><Relationship Id="rId222" Type="http://schemas.openxmlformats.org/officeDocument/2006/relationships/hyperlink" Target="http://panaya.com" TargetMode="External"/><Relationship Id="rId464" Type="http://schemas.openxmlformats.org/officeDocument/2006/relationships/hyperlink" Target="http://adaptavist.com" TargetMode="External"/><Relationship Id="rId221" Type="http://schemas.openxmlformats.org/officeDocument/2006/relationships/hyperlink" Target="http://softwareag.com" TargetMode="External"/><Relationship Id="rId463" Type="http://schemas.openxmlformats.org/officeDocument/2006/relationships/hyperlink" Target="http://gosecure.net" TargetMode="External"/><Relationship Id="rId217" Type="http://schemas.openxmlformats.org/officeDocument/2006/relationships/hyperlink" Target="http://deluxe.com" TargetMode="External"/><Relationship Id="rId459" Type="http://schemas.openxmlformats.org/officeDocument/2006/relationships/hyperlink" Target="http://compliancequest.com" TargetMode="External"/><Relationship Id="rId216" Type="http://schemas.openxmlformats.org/officeDocument/2006/relationships/hyperlink" Target="http://templafy.com" TargetMode="External"/><Relationship Id="rId458" Type="http://schemas.openxmlformats.org/officeDocument/2006/relationships/hyperlink" Target="http://mhcautomation.com" TargetMode="External"/><Relationship Id="rId215" Type="http://schemas.openxmlformats.org/officeDocument/2006/relationships/hyperlink" Target="http://basis.com" TargetMode="External"/><Relationship Id="rId457" Type="http://schemas.openxmlformats.org/officeDocument/2006/relationships/hyperlink" Target="http://kontakt.io" TargetMode="External"/><Relationship Id="rId214" Type="http://schemas.openxmlformats.org/officeDocument/2006/relationships/hyperlink" Target="http://stackoverflow.com" TargetMode="External"/><Relationship Id="rId456" Type="http://schemas.openxmlformats.org/officeDocument/2006/relationships/hyperlink" Target="http://kontakt.io" TargetMode="External"/><Relationship Id="rId219" Type="http://schemas.openxmlformats.org/officeDocument/2006/relationships/hyperlink" Target="http://uci.edu" TargetMode="External"/><Relationship Id="rId218" Type="http://schemas.openxmlformats.org/officeDocument/2006/relationships/hyperlink" Target="http://optiva.com" TargetMode="External"/><Relationship Id="rId451" Type="http://schemas.openxmlformats.org/officeDocument/2006/relationships/hyperlink" Target="http://embrace.io" TargetMode="External"/><Relationship Id="rId450" Type="http://schemas.openxmlformats.org/officeDocument/2006/relationships/hyperlink" Target="http://suse.com" TargetMode="External"/><Relationship Id="rId213" Type="http://schemas.openxmlformats.org/officeDocument/2006/relationships/hyperlink" Target="http://binghamton.edu" TargetMode="External"/><Relationship Id="rId455" Type="http://schemas.openxmlformats.org/officeDocument/2006/relationships/hyperlink" Target="http://corpay.com" TargetMode="External"/><Relationship Id="rId212" Type="http://schemas.openxmlformats.org/officeDocument/2006/relationships/hyperlink" Target="http://acronis.com" TargetMode="External"/><Relationship Id="rId454" Type="http://schemas.openxmlformats.org/officeDocument/2006/relationships/hyperlink" Target="http://eftsure.com" TargetMode="External"/><Relationship Id="rId211" Type="http://schemas.openxmlformats.org/officeDocument/2006/relationships/hyperlink" Target="http://birdeye.com" TargetMode="External"/><Relationship Id="rId453" Type="http://schemas.openxmlformats.org/officeDocument/2006/relationships/hyperlink" Target="http://fareye.com" TargetMode="External"/><Relationship Id="rId210" Type="http://schemas.openxmlformats.org/officeDocument/2006/relationships/hyperlink" Target="http://intelex.com" TargetMode="External"/><Relationship Id="rId452" Type="http://schemas.openxmlformats.org/officeDocument/2006/relationships/hyperlink" Target="http://dentalintel.com" TargetMode="External"/><Relationship Id="rId491" Type="http://schemas.openxmlformats.org/officeDocument/2006/relationships/hyperlink" Target="http://consoleconnect.com" TargetMode="External"/><Relationship Id="rId490" Type="http://schemas.openxmlformats.org/officeDocument/2006/relationships/hyperlink" Target="http://paychex.com" TargetMode="External"/><Relationship Id="rId249" Type="http://schemas.openxmlformats.org/officeDocument/2006/relationships/hyperlink" Target="http://learninga-z.com" TargetMode="External"/><Relationship Id="rId248" Type="http://schemas.openxmlformats.org/officeDocument/2006/relationships/hyperlink" Target="http://prosites.com" TargetMode="External"/><Relationship Id="rId247" Type="http://schemas.openxmlformats.org/officeDocument/2006/relationships/hyperlink" Target="http://upstack.com" TargetMode="External"/><Relationship Id="rId489" Type="http://schemas.openxmlformats.org/officeDocument/2006/relationships/hyperlink" Target="http://sourcewiz.com" TargetMode="External"/><Relationship Id="rId242" Type="http://schemas.openxmlformats.org/officeDocument/2006/relationships/hyperlink" Target="http://resy.com" TargetMode="External"/><Relationship Id="rId484" Type="http://schemas.openxmlformats.org/officeDocument/2006/relationships/hyperlink" Target="http://qad.com" TargetMode="External"/><Relationship Id="rId241" Type="http://schemas.openxmlformats.org/officeDocument/2006/relationships/hyperlink" Target="http://optimizely.com" TargetMode="External"/><Relationship Id="rId483" Type="http://schemas.openxmlformats.org/officeDocument/2006/relationships/hyperlink" Target="http://sketchup.com" TargetMode="External"/><Relationship Id="rId240" Type="http://schemas.openxmlformats.org/officeDocument/2006/relationships/hyperlink" Target="http://medisafe.com" TargetMode="External"/><Relationship Id="rId482" Type="http://schemas.openxmlformats.org/officeDocument/2006/relationships/hyperlink" Target="http://enigma.com" TargetMode="External"/><Relationship Id="rId481" Type="http://schemas.openxmlformats.org/officeDocument/2006/relationships/hyperlink" Target="http://dealpath.com" TargetMode="External"/><Relationship Id="rId246" Type="http://schemas.openxmlformats.org/officeDocument/2006/relationships/hyperlink" Target="http://ignitionapp.com" TargetMode="External"/><Relationship Id="rId488" Type="http://schemas.openxmlformats.org/officeDocument/2006/relationships/hyperlink" Target="http://revalizesoftware.com" TargetMode="External"/><Relationship Id="rId245" Type="http://schemas.openxmlformats.org/officeDocument/2006/relationships/hyperlink" Target="http://tapclicks.com" TargetMode="External"/><Relationship Id="rId487" Type="http://schemas.openxmlformats.org/officeDocument/2006/relationships/hyperlink" Target="http://testgorilla.com" TargetMode="External"/><Relationship Id="rId244" Type="http://schemas.openxmlformats.org/officeDocument/2006/relationships/hyperlink" Target="http://checkpoint.com" TargetMode="External"/><Relationship Id="rId486" Type="http://schemas.openxmlformats.org/officeDocument/2006/relationships/hyperlink" Target="http://beanworks.com" TargetMode="External"/><Relationship Id="rId243" Type="http://schemas.openxmlformats.org/officeDocument/2006/relationships/hyperlink" Target="http://varonis.com" TargetMode="External"/><Relationship Id="rId485" Type="http://schemas.openxmlformats.org/officeDocument/2006/relationships/hyperlink" Target="http://workiva.com" TargetMode="External"/><Relationship Id="rId480" Type="http://schemas.openxmlformats.org/officeDocument/2006/relationships/hyperlink" Target="http://vts.com" TargetMode="External"/><Relationship Id="rId239" Type="http://schemas.openxmlformats.org/officeDocument/2006/relationships/hyperlink" Target="http://softheon.com" TargetMode="External"/><Relationship Id="rId238" Type="http://schemas.openxmlformats.org/officeDocument/2006/relationships/hyperlink" Target="http://carwars.com" TargetMode="External"/><Relationship Id="rId237" Type="http://schemas.openxmlformats.org/officeDocument/2006/relationships/hyperlink" Target="http://granicus.com" TargetMode="External"/><Relationship Id="rId479" Type="http://schemas.openxmlformats.org/officeDocument/2006/relationships/hyperlink" Target="http://pax8.com" TargetMode="External"/><Relationship Id="rId236" Type="http://schemas.openxmlformats.org/officeDocument/2006/relationships/hyperlink" Target="http://fiu.edu" TargetMode="External"/><Relationship Id="rId478" Type="http://schemas.openxmlformats.org/officeDocument/2006/relationships/hyperlink" Target="http://simplilearn.com" TargetMode="External"/><Relationship Id="rId231" Type="http://schemas.openxmlformats.org/officeDocument/2006/relationships/hyperlink" Target="http://algosec.com" TargetMode="External"/><Relationship Id="rId473" Type="http://schemas.openxmlformats.org/officeDocument/2006/relationships/hyperlink" Target="http://estateguru.com" TargetMode="External"/><Relationship Id="rId230" Type="http://schemas.openxmlformats.org/officeDocument/2006/relationships/hyperlink" Target="http://liveperson.com" TargetMode="External"/><Relationship Id="rId472" Type="http://schemas.openxmlformats.org/officeDocument/2006/relationships/hyperlink" Target="http://mastersindia.co" TargetMode="External"/><Relationship Id="rId471" Type="http://schemas.openxmlformats.org/officeDocument/2006/relationships/hyperlink" Target="http://onecause.com" TargetMode="External"/><Relationship Id="rId470" Type="http://schemas.openxmlformats.org/officeDocument/2006/relationships/hyperlink" Target="http://collectivehealth.com" TargetMode="External"/><Relationship Id="rId235" Type="http://schemas.openxmlformats.org/officeDocument/2006/relationships/hyperlink" Target="http://ezcater.com" TargetMode="External"/><Relationship Id="rId477" Type="http://schemas.openxmlformats.org/officeDocument/2006/relationships/hyperlink" Target="http://jolt.com" TargetMode="External"/><Relationship Id="rId234" Type="http://schemas.openxmlformats.org/officeDocument/2006/relationships/hyperlink" Target="http://redoxengine.com" TargetMode="External"/><Relationship Id="rId476" Type="http://schemas.openxmlformats.org/officeDocument/2006/relationships/hyperlink" Target="http://ideas.com" TargetMode="External"/><Relationship Id="rId233" Type="http://schemas.openxmlformats.org/officeDocument/2006/relationships/hyperlink" Target="http://litmus.io" TargetMode="External"/><Relationship Id="rId475" Type="http://schemas.openxmlformats.org/officeDocument/2006/relationships/hyperlink" Target="http://smartsheet.com" TargetMode="External"/><Relationship Id="rId232" Type="http://schemas.openxmlformats.org/officeDocument/2006/relationships/hyperlink" Target="http://audienceview.com" TargetMode="External"/><Relationship Id="rId474" Type="http://schemas.openxmlformats.org/officeDocument/2006/relationships/hyperlink" Target="http://oxblue.com" TargetMode="External"/><Relationship Id="rId426" Type="http://schemas.openxmlformats.org/officeDocument/2006/relationships/hyperlink" Target="http://eltropy.com" TargetMode="External"/><Relationship Id="rId668" Type="http://schemas.openxmlformats.org/officeDocument/2006/relationships/hyperlink" Target="http://vmray.com" TargetMode="External"/><Relationship Id="rId425" Type="http://schemas.openxmlformats.org/officeDocument/2006/relationships/hyperlink" Target="http://stova.io" TargetMode="External"/><Relationship Id="rId667" Type="http://schemas.openxmlformats.org/officeDocument/2006/relationships/hyperlink" Target="http://automox.com" TargetMode="External"/><Relationship Id="rId424" Type="http://schemas.openxmlformats.org/officeDocument/2006/relationships/hyperlink" Target="http://everbridge.com" TargetMode="External"/><Relationship Id="rId666" Type="http://schemas.openxmlformats.org/officeDocument/2006/relationships/hyperlink" Target="http://everestgrp.com" TargetMode="External"/><Relationship Id="rId423" Type="http://schemas.openxmlformats.org/officeDocument/2006/relationships/hyperlink" Target="http://powerschool.com" TargetMode="External"/><Relationship Id="rId665" Type="http://schemas.openxmlformats.org/officeDocument/2006/relationships/hyperlink" Target="http://payactiv.com" TargetMode="External"/><Relationship Id="rId429" Type="http://schemas.openxmlformats.org/officeDocument/2006/relationships/hyperlink" Target="http://blue42agency.com" TargetMode="External"/><Relationship Id="rId428" Type="http://schemas.openxmlformats.org/officeDocument/2006/relationships/hyperlink" Target="http://rubrik.com" TargetMode="External"/><Relationship Id="rId427" Type="http://schemas.openxmlformats.org/officeDocument/2006/relationships/hyperlink" Target="http://kargo.com" TargetMode="External"/><Relationship Id="rId669" Type="http://schemas.openxmlformats.org/officeDocument/2006/relationships/hyperlink" Target="http://horizon3.ai" TargetMode="External"/><Relationship Id="rId660" Type="http://schemas.openxmlformats.org/officeDocument/2006/relationships/hyperlink" Target="http://versa-networks.com" TargetMode="External"/><Relationship Id="rId422" Type="http://schemas.openxmlformats.org/officeDocument/2006/relationships/hyperlink" Target="http://clickup.com" TargetMode="External"/><Relationship Id="rId664" Type="http://schemas.openxmlformats.org/officeDocument/2006/relationships/hyperlink" Target="http://myndsolution.com" TargetMode="External"/><Relationship Id="rId421" Type="http://schemas.openxmlformats.org/officeDocument/2006/relationships/hyperlink" Target="http://trackforcevaliant.com" TargetMode="External"/><Relationship Id="rId663" Type="http://schemas.openxmlformats.org/officeDocument/2006/relationships/hyperlink" Target="http://automox.com" TargetMode="External"/><Relationship Id="rId420" Type="http://schemas.openxmlformats.org/officeDocument/2006/relationships/hyperlink" Target="http://versa-networks.com" TargetMode="External"/><Relationship Id="rId662" Type="http://schemas.openxmlformats.org/officeDocument/2006/relationships/hyperlink" Target="http://cdata.com" TargetMode="External"/><Relationship Id="rId661" Type="http://schemas.openxmlformats.org/officeDocument/2006/relationships/hyperlink" Target="http://gtmbuddy.ai" TargetMode="External"/><Relationship Id="rId415" Type="http://schemas.openxmlformats.org/officeDocument/2006/relationships/hyperlink" Target="http://cint.com" TargetMode="External"/><Relationship Id="rId657" Type="http://schemas.openxmlformats.org/officeDocument/2006/relationships/hyperlink" Target="http://mediaocean.com" TargetMode="External"/><Relationship Id="rId414" Type="http://schemas.openxmlformats.org/officeDocument/2006/relationships/hyperlink" Target="http://freshworks.com" TargetMode="External"/><Relationship Id="rId656" Type="http://schemas.openxmlformats.org/officeDocument/2006/relationships/hyperlink" Target="http://flywire.com" TargetMode="External"/><Relationship Id="rId413" Type="http://schemas.openxmlformats.org/officeDocument/2006/relationships/hyperlink" Target="http://marchex.com" TargetMode="External"/><Relationship Id="rId655" Type="http://schemas.openxmlformats.org/officeDocument/2006/relationships/hyperlink" Target="http://mindbodyonline.com" TargetMode="External"/><Relationship Id="rId412" Type="http://schemas.openxmlformats.org/officeDocument/2006/relationships/hyperlink" Target="http://cheq.ai" TargetMode="External"/><Relationship Id="rId654" Type="http://schemas.openxmlformats.org/officeDocument/2006/relationships/hyperlink" Target="http://virtuous.org" TargetMode="External"/><Relationship Id="rId419" Type="http://schemas.openxmlformats.org/officeDocument/2006/relationships/hyperlink" Target="http://rxbenefits.com" TargetMode="External"/><Relationship Id="rId418" Type="http://schemas.openxmlformats.org/officeDocument/2006/relationships/hyperlink" Target="http://goco.io" TargetMode="External"/><Relationship Id="rId417" Type="http://schemas.openxmlformats.org/officeDocument/2006/relationships/hyperlink" Target="http://goco.io" TargetMode="External"/><Relationship Id="rId659" Type="http://schemas.openxmlformats.org/officeDocument/2006/relationships/hyperlink" Target="http://elixir.com" TargetMode="External"/><Relationship Id="rId416" Type="http://schemas.openxmlformats.org/officeDocument/2006/relationships/hyperlink" Target="http://jllt.com" TargetMode="External"/><Relationship Id="rId658" Type="http://schemas.openxmlformats.org/officeDocument/2006/relationships/hyperlink" Target="http://sai360.com" TargetMode="External"/><Relationship Id="rId411" Type="http://schemas.openxmlformats.org/officeDocument/2006/relationships/hyperlink" Target="http://cellebrite.com" TargetMode="External"/><Relationship Id="rId653" Type="http://schemas.openxmlformats.org/officeDocument/2006/relationships/hyperlink" Target="http://truckstop.com" TargetMode="External"/><Relationship Id="rId410" Type="http://schemas.openxmlformats.org/officeDocument/2006/relationships/hyperlink" Target="http://sourcegraph.com" TargetMode="External"/><Relationship Id="rId652" Type="http://schemas.openxmlformats.org/officeDocument/2006/relationships/hyperlink" Target="http://truckstop.com" TargetMode="External"/><Relationship Id="rId651" Type="http://schemas.openxmlformats.org/officeDocument/2006/relationships/hyperlink" Target="http://fingerprint.com" TargetMode="External"/><Relationship Id="rId650" Type="http://schemas.openxmlformats.org/officeDocument/2006/relationships/hyperlink" Target="http://360insights.com" TargetMode="External"/><Relationship Id="rId206" Type="http://schemas.openxmlformats.org/officeDocument/2006/relationships/hyperlink" Target="http://netskope.com" TargetMode="External"/><Relationship Id="rId448" Type="http://schemas.openxmlformats.org/officeDocument/2006/relationships/hyperlink" Target="http://auditboard.com" TargetMode="External"/><Relationship Id="rId205" Type="http://schemas.openxmlformats.org/officeDocument/2006/relationships/hyperlink" Target="http://myadrenalin.com" TargetMode="External"/><Relationship Id="rId447" Type="http://schemas.openxmlformats.org/officeDocument/2006/relationships/hyperlink" Target="http://realworklabs.com" TargetMode="External"/><Relationship Id="rId204" Type="http://schemas.openxmlformats.org/officeDocument/2006/relationships/hyperlink" Target="http://adrenalin.hr" TargetMode="External"/><Relationship Id="rId446" Type="http://schemas.openxmlformats.org/officeDocument/2006/relationships/hyperlink" Target="http://subsplash.com" TargetMode="External"/><Relationship Id="rId203" Type="http://schemas.openxmlformats.org/officeDocument/2006/relationships/hyperlink" Target="http://openx.com" TargetMode="External"/><Relationship Id="rId445" Type="http://schemas.openxmlformats.org/officeDocument/2006/relationships/hyperlink" Target="http://continuous.com" TargetMode="External"/><Relationship Id="rId209" Type="http://schemas.openxmlformats.org/officeDocument/2006/relationships/hyperlink" Target="http://genesisdigital.co" TargetMode="External"/><Relationship Id="rId208" Type="http://schemas.openxmlformats.org/officeDocument/2006/relationships/hyperlink" Target="http://intuit.com" TargetMode="External"/><Relationship Id="rId207" Type="http://schemas.openxmlformats.org/officeDocument/2006/relationships/hyperlink" Target="http://blazeo.com" TargetMode="External"/><Relationship Id="rId449" Type="http://schemas.openxmlformats.org/officeDocument/2006/relationships/hyperlink" Target="http://leandna.com" TargetMode="External"/><Relationship Id="rId440" Type="http://schemas.openxmlformats.org/officeDocument/2006/relationships/hyperlink" Target="http://rubrik.com" TargetMode="External"/><Relationship Id="rId682" Type="http://schemas.openxmlformats.org/officeDocument/2006/relationships/drawing" Target="../drawings/drawing4.xml"/><Relationship Id="rId681" Type="http://schemas.openxmlformats.org/officeDocument/2006/relationships/hyperlink" Target="http://omaticsoftware.com" TargetMode="External"/><Relationship Id="rId680" Type="http://schemas.openxmlformats.org/officeDocument/2006/relationships/hyperlink" Target="http://domo.com" TargetMode="External"/><Relationship Id="rId202" Type="http://schemas.openxmlformats.org/officeDocument/2006/relationships/hyperlink" Target="http://flexe.com" TargetMode="External"/><Relationship Id="rId444" Type="http://schemas.openxmlformats.org/officeDocument/2006/relationships/hyperlink" Target="http://trustwave.com" TargetMode="External"/><Relationship Id="rId201" Type="http://schemas.openxmlformats.org/officeDocument/2006/relationships/hyperlink" Target="http://pecan.ai" TargetMode="External"/><Relationship Id="rId443" Type="http://schemas.openxmlformats.org/officeDocument/2006/relationships/hyperlink" Target="http://inmar.com" TargetMode="External"/><Relationship Id="rId200" Type="http://schemas.openxmlformats.org/officeDocument/2006/relationships/hyperlink" Target="http://revizto.com" TargetMode="External"/><Relationship Id="rId442" Type="http://schemas.openxmlformats.org/officeDocument/2006/relationships/hyperlink" Target="http://8x8.com" TargetMode="External"/><Relationship Id="rId441" Type="http://schemas.openxmlformats.org/officeDocument/2006/relationships/hyperlink" Target="http://infoedge.com" TargetMode="External"/><Relationship Id="rId683" Type="http://schemas.openxmlformats.org/officeDocument/2006/relationships/vmlDrawing" Target="../drawings/vmlDrawing3.vml"/><Relationship Id="rId437" Type="http://schemas.openxmlformats.org/officeDocument/2006/relationships/hyperlink" Target="http://scaledagile.com" TargetMode="External"/><Relationship Id="rId679" Type="http://schemas.openxmlformats.org/officeDocument/2006/relationships/hyperlink" Target="http://salesloft.com" TargetMode="External"/><Relationship Id="rId436" Type="http://schemas.openxmlformats.org/officeDocument/2006/relationships/hyperlink" Target="http://evercommerce.com" TargetMode="External"/><Relationship Id="rId678" Type="http://schemas.openxmlformats.org/officeDocument/2006/relationships/hyperlink" Target="http://reknew.co" TargetMode="External"/><Relationship Id="rId435" Type="http://schemas.openxmlformats.org/officeDocument/2006/relationships/hyperlink" Target="http://spectra-vision.com" TargetMode="External"/><Relationship Id="rId677" Type="http://schemas.openxmlformats.org/officeDocument/2006/relationships/hyperlink" Target="http://chargebee.com" TargetMode="External"/><Relationship Id="rId434" Type="http://schemas.openxmlformats.org/officeDocument/2006/relationships/hyperlink" Target="http://panamaxil.com" TargetMode="External"/><Relationship Id="rId676" Type="http://schemas.openxmlformats.org/officeDocument/2006/relationships/hyperlink" Target="http://getcensus.com" TargetMode="External"/><Relationship Id="rId439" Type="http://schemas.openxmlformats.org/officeDocument/2006/relationships/hyperlink" Target="http://ezesoft.com" TargetMode="External"/><Relationship Id="rId438" Type="http://schemas.openxmlformats.org/officeDocument/2006/relationships/hyperlink" Target="http://stem.com" TargetMode="External"/><Relationship Id="rId671" Type="http://schemas.openxmlformats.org/officeDocument/2006/relationships/hyperlink" Target="http://lightspeedhq.com" TargetMode="External"/><Relationship Id="rId670" Type="http://schemas.openxmlformats.org/officeDocument/2006/relationships/hyperlink" Target="http://horizon3.ai" TargetMode="External"/><Relationship Id="rId433" Type="http://schemas.openxmlformats.org/officeDocument/2006/relationships/hyperlink" Target="http://codegen.co.uk" TargetMode="External"/><Relationship Id="rId675" Type="http://schemas.openxmlformats.org/officeDocument/2006/relationships/hyperlink" Target="http://leena.ai" TargetMode="External"/><Relationship Id="rId432" Type="http://schemas.openxmlformats.org/officeDocument/2006/relationships/hyperlink" Target="http://vulcan.io" TargetMode="External"/><Relationship Id="rId674" Type="http://schemas.openxmlformats.org/officeDocument/2006/relationships/hyperlink" Target="http://rahi.io" TargetMode="External"/><Relationship Id="rId431" Type="http://schemas.openxmlformats.org/officeDocument/2006/relationships/hyperlink" Target="http://swapcard.com" TargetMode="External"/><Relationship Id="rId673" Type="http://schemas.openxmlformats.org/officeDocument/2006/relationships/hyperlink" Target="http://asuresoftware.com" TargetMode="External"/><Relationship Id="rId430" Type="http://schemas.openxmlformats.org/officeDocument/2006/relationships/hyperlink" Target="http://blue42agency.com" TargetMode="External"/><Relationship Id="rId672" Type="http://schemas.openxmlformats.org/officeDocument/2006/relationships/hyperlink" Target="http://nayax.com"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5" width="11.63"/>
  </cols>
  <sheetData>
    <row r="1" ht="30.75" customHeight="1">
      <c r="A1" s="1" t="str">
        <f>CONCATENATE(
            "              ", "HubSpot Import", char(10),
            "              ", "",
            IFERROR(IFS(
                (now()-"2026/04/06 20:08") &lt;= 0,
                    "",
                AND((now()-"2026/04/06 20:08") * 1440 &gt;= 0, (now()-"2026/04/06 20:08") * 1440 &lt;= 5),
                    "Last updated just now",
                (now()-"2026/04/06 20:08") * 1440 &lt;= 60,
                    "Last updated "&amp;FLOOR((now()-"2026/04/06 20:08")*1440,1)&amp;" minutes ago",
                (now()-"2026/04/06 20:08") * 24 &lt;= 24,
                    "Last updated "&amp;FLOOR((now()-"2026/04/06 20:08")*24,1) &amp;
                        IF(FLOOR((now()-"2026/04/06 20:08")*24,1) &lt;= 1, " hour ago", " hours ago"),
                (now()-"2026/04/06 20:08") &lt;= 30,
                    "Last updated "&amp;FLOOR((now()-"2026/04/06 20:08"),1) &amp;
                        IF(FLOOR((now()-"2026/04/06 20:08"),1) &lt;= 1, " day ago", " days ago"),
                (now()-"2026/04/06 20:08") &gt; 30,
                    "Last updated " &amp;
                        FLOOR((now()-"2026/04/06 20:08")/7,1) &amp;
                        IF(FLOOR((now()-"2026/04/06 20:08"),1) &lt;= 1, " week ago", " weeks ago")
            ),"Last updated on 2026/04/06 20:08")
        )</f>
        <v>              HubSpot Import
              Last updated just now</v>
      </c>
      <c r="B1" s="1" t="s">
        <v>0</v>
      </c>
      <c r="C1" s="1" t="str">
        <f>IFERROR(IF(NOW(), _COEFF_ssop()),"")</f>
        <v/>
      </c>
      <c r="D1" s="2" t="s">
        <v>0</v>
      </c>
      <c r="E1" s="1" t="s">
        <v>0</v>
      </c>
      <c r="F1" s="1" t="s">
        <v>0</v>
      </c>
      <c r="G1" s="1" t="s">
        <v>0</v>
      </c>
      <c r="H1" s="1" t="s">
        <v>0</v>
      </c>
      <c r="I1" s="1" t="s">
        <v>0</v>
      </c>
      <c r="J1" s="1" t="s">
        <v>0</v>
      </c>
      <c r="K1" s="1" t="s">
        <v>0</v>
      </c>
      <c r="L1" s="1" t="s">
        <v>0</v>
      </c>
      <c r="M1" s="3" t="s">
        <v>0</v>
      </c>
      <c r="N1" s="3" t="s">
        <v>0</v>
      </c>
      <c r="O1" s="3" t="s">
        <v>0</v>
      </c>
      <c r="P1" s="3" t="s">
        <v>0</v>
      </c>
      <c r="Q1" s="3" t="s">
        <v>0</v>
      </c>
      <c r="R1" s="3" t="s">
        <v>0</v>
      </c>
      <c r="S1" s="3" t="s">
        <v>0</v>
      </c>
      <c r="T1" s="3" t="s">
        <v>0</v>
      </c>
      <c r="U1" s="3" t="s">
        <v>0</v>
      </c>
      <c r="V1" s="4" t="s">
        <v>0</v>
      </c>
      <c r="W1" s="5" t="s">
        <v>0</v>
      </c>
      <c r="X1" s="5" t="s">
        <v>0</v>
      </c>
      <c r="Y1" s="6" t="s">
        <v>0</v>
      </c>
      <c r="Z1" s="6" t="s">
        <v>0</v>
      </c>
      <c r="AA1" s="6" t="s">
        <v>0</v>
      </c>
      <c r="AB1" s="6" t="s">
        <v>0</v>
      </c>
      <c r="AC1" s="6" t="s">
        <v>0</v>
      </c>
      <c r="AD1" s="6" t="s">
        <v>0</v>
      </c>
      <c r="AE1" s="6" t="s">
        <v>0</v>
      </c>
      <c r="AF1" s="7"/>
      <c r="AG1" s="7"/>
      <c r="AH1" s="7"/>
      <c r="AI1" s="7"/>
    </row>
    <row r="2" ht="22.5" customHeight="1">
      <c r="A2" s="8" t="s">
        <v>1</v>
      </c>
      <c r="B2" s="8" t="s">
        <v>2</v>
      </c>
      <c r="C2" s="8" t="s">
        <v>3</v>
      </c>
      <c r="D2" s="9" t="s">
        <v>4</v>
      </c>
      <c r="E2" s="8" t="s">
        <v>5</v>
      </c>
      <c r="F2" s="8" t="s">
        <v>6</v>
      </c>
      <c r="G2" s="8" t="s">
        <v>7</v>
      </c>
      <c r="H2" s="8" t="s">
        <v>8</v>
      </c>
      <c r="I2" s="8" t="s">
        <v>9</v>
      </c>
      <c r="J2" s="8" t="s">
        <v>10</v>
      </c>
      <c r="K2" s="8" t="s">
        <v>11</v>
      </c>
      <c r="L2" s="8" t="s">
        <v>12</v>
      </c>
      <c r="M2" s="8" t="s">
        <v>13</v>
      </c>
      <c r="N2" s="8" t="s">
        <v>14</v>
      </c>
      <c r="O2" s="8" t="s">
        <v>15</v>
      </c>
      <c r="P2" s="8" t="s">
        <v>16</v>
      </c>
      <c r="Q2" s="8" t="s">
        <v>17</v>
      </c>
      <c r="R2" s="8" t="s">
        <v>18</v>
      </c>
      <c r="S2" s="8" t="s">
        <v>19</v>
      </c>
      <c r="T2" s="8" t="s">
        <v>20</v>
      </c>
      <c r="U2" s="8" t="s">
        <v>21</v>
      </c>
      <c r="V2" s="9" t="s">
        <v>22</v>
      </c>
      <c r="W2" s="10" t="s">
        <v>23</v>
      </c>
      <c r="X2" s="10" t="s">
        <v>24</v>
      </c>
      <c r="Y2" s="11" t="s">
        <v>25</v>
      </c>
      <c r="Z2" s="11" t="s">
        <v>26</v>
      </c>
      <c r="AA2" s="11" t="s">
        <v>27</v>
      </c>
      <c r="AB2" s="11" t="s">
        <v>28</v>
      </c>
      <c r="AC2" s="11" t="s">
        <v>29</v>
      </c>
      <c r="AD2" s="11" t="s">
        <v>30</v>
      </c>
      <c r="AE2" s="11" t="s">
        <v>31</v>
      </c>
      <c r="AF2" s="12" t="s">
        <v>32</v>
      </c>
      <c r="AG2" s="12" t="s">
        <v>33</v>
      </c>
      <c r="AH2" s="12" t="s">
        <v>34</v>
      </c>
      <c r="AI2" s="12" t="s">
        <v>35</v>
      </c>
    </row>
    <row r="3" ht="15.75" customHeight="1">
      <c r="A3" s="13">
        <f>HYPERLINK("https://app.hubspot.com/contacts/8748051/record/0-3/58642910638", 58642910638)</f>
        <v>58642910638</v>
      </c>
      <c r="B3" s="14" t="s">
        <v>36</v>
      </c>
      <c r="C3" s="14" t="s">
        <v>37</v>
      </c>
      <c r="D3" s="15">
        <v>10500.0</v>
      </c>
      <c r="E3" s="14" t="s">
        <v>38</v>
      </c>
      <c r="F3" s="14"/>
      <c r="G3" s="16">
        <v>46113.49916666667</v>
      </c>
      <c r="H3" s="16">
        <v>46293.49915509259</v>
      </c>
      <c r="I3" s="14" t="s">
        <v>39</v>
      </c>
      <c r="J3" s="14" t="s">
        <v>40</v>
      </c>
      <c r="K3" s="14" t="s">
        <v>41</v>
      </c>
      <c r="L3" s="14" t="s">
        <v>42</v>
      </c>
      <c r="M3" s="14" t="s">
        <v>43</v>
      </c>
      <c r="N3" s="14"/>
      <c r="O3" s="17"/>
      <c r="P3" s="17"/>
      <c r="Q3" s="17"/>
      <c r="R3" s="13">
        <f>HYPERLINK("https://app.hubspot.com/contacts/8748051/record/0-2/6266374152", 6266374152)</f>
        <v>6266374152</v>
      </c>
      <c r="S3" s="14" t="s">
        <v>44</v>
      </c>
      <c r="T3" s="18" t="s">
        <v>45</v>
      </c>
      <c r="U3" s="14" t="s">
        <v>46</v>
      </c>
      <c r="V3" s="15"/>
      <c r="W3" s="19">
        <v>113.0</v>
      </c>
      <c r="X3" s="19">
        <v>21.0</v>
      </c>
      <c r="Y3" s="20" t="s">
        <v>47</v>
      </c>
      <c r="Z3" s="20"/>
      <c r="AA3" s="21"/>
      <c r="AB3" s="21"/>
      <c r="AC3" s="20"/>
      <c r="AD3" s="20"/>
      <c r="AE3" s="20"/>
      <c r="AF3" s="17" t="str">
        <f t="shared" ref="AF3:AF997" si="1">IF(OR(J3="Standard Logo", J3="Key Logo"), "New Logo", J3)</f>
        <v>New Logo</v>
      </c>
      <c r="AG3" s="17" t="str">
        <f t="shared" ref="AG3:AG957" si="2">IF(U3="customer","Customer",IF(U3=34564763,"Churn","Lead"))</f>
        <v>Lead</v>
      </c>
      <c r="AH3" s="17" t="str">
        <f t="shared" ref="AH3:AH957" si="3">IF(W3&lt;=200,"0-200",
IF(W3&lt;=500,"201-500",
IF(W3&lt;=1000,"501-1000",
IF(W3&lt;=5000,"1001-5000",
IF(W3&lt;=10000,"5000-10000","10000+")))))</f>
        <v>0-200</v>
      </c>
      <c r="AI3" s="17" t="str">
        <f t="shared" ref="AI3:AI957" si="4">IF(X3&lt;=20,"0-20",
IF(X3&lt;=50,"21-50",
IF(X3&lt;=100,"51-100",
IF(X3&lt;=500,"101-500","500+"))))</f>
        <v>21-50</v>
      </c>
    </row>
    <row r="4" ht="15.75" customHeight="1">
      <c r="A4" s="13">
        <f>HYPERLINK("https://app.hubspot.com/contacts/8748051/record/0-3/58604482148", 58604482148)</f>
        <v>58604482148</v>
      </c>
      <c r="B4" s="14" t="s">
        <v>48</v>
      </c>
      <c r="C4" s="14" t="s">
        <v>49</v>
      </c>
      <c r="D4" s="15">
        <v>75000.0</v>
      </c>
      <c r="E4" s="14" t="s">
        <v>50</v>
      </c>
      <c r="F4" s="14" t="s">
        <v>51</v>
      </c>
      <c r="G4" s="16">
        <v>46112.44082175926</v>
      </c>
      <c r="H4" s="16">
        <v>46325.612604166665</v>
      </c>
      <c r="I4" s="14" t="s">
        <v>39</v>
      </c>
      <c r="J4" s="14" t="s">
        <v>52</v>
      </c>
      <c r="K4" s="14" t="s">
        <v>41</v>
      </c>
      <c r="L4" s="14" t="s">
        <v>42</v>
      </c>
      <c r="M4" s="14" t="s">
        <v>43</v>
      </c>
      <c r="N4" s="14"/>
      <c r="O4" s="17"/>
      <c r="P4" s="17"/>
      <c r="Q4" s="17"/>
      <c r="R4" s="13">
        <f>HYPERLINK("https://app.hubspot.com/contacts/8748051/record/0-2/9909085526", 9909085526)</f>
        <v>9909085526</v>
      </c>
      <c r="S4" s="14" t="s">
        <v>53</v>
      </c>
      <c r="T4" s="18" t="s">
        <v>54</v>
      </c>
      <c r="U4" s="14" t="s">
        <v>46</v>
      </c>
      <c r="V4" s="15"/>
      <c r="W4" s="19">
        <v>1112.0</v>
      </c>
      <c r="X4" s="19">
        <v>187.0</v>
      </c>
      <c r="Y4" s="20" t="s">
        <v>55</v>
      </c>
      <c r="Z4" s="20"/>
      <c r="AA4" s="21"/>
      <c r="AB4" s="20"/>
      <c r="AC4" s="20"/>
      <c r="AD4" s="20"/>
      <c r="AE4" s="20"/>
      <c r="AF4" s="17" t="str">
        <f t="shared" si="1"/>
        <v>New Logo</v>
      </c>
      <c r="AG4" s="17" t="str">
        <f t="shared" si="2"/>
        <v>Lead</v>
      </c>
      <c r="AH4" s="17" t="str">
        <f t="shared" si="3"/>
        <v>1001-5000</v>
      </c>
      <c r="AI4" s="17" t="str">
        <f t="shared" si="4"/>
        <v>101-500</v>
      </c>
    </row>
    <row r="5" ht="15.75" customHeight="1">
      <c r="A5" s="13">
        <f>HYPERLINK("https://app.hubspot.com/contacts/8748051/record/0-3/58387272752", 58387272752)</f>
        <v>58387272752</v>
      </c>
      <c r="B5" s="14" t="s">
        <v>56</v>
      </c>
      <c r="C5" s="14" t="s">
        <v>49</v>
      </c>
      <c r="D5" s="15">
        <v>7000.0</v>
      </c>
      <c r="E5" s="14" t="s">
        <v>38</v>
      </c>
      <c r="F5" s="14"/>
      <c r="G5" s="16">
        <v>46107.383993055555</v>
      </c>
      <c r="H5" s="16">
        <v>46287.38398148148</v>
      </c>
      <c r="I5" s="14" t="s">
        <v>39</v>
      </c>
      <c r="J5" s="14" t="s">
        <v>40</v>
      </c>
      <c r="K5" s="14" t="s">
        <v>41</v>
      </c>
      <c r="L5" s="14" t="s">
        <v>42</v>
      </c>
      <c r="M5" s="14" t="s">
        <v>43</v>
      </c>
      <c r="N5" s="17"/>
      <c r="O5" s="17"/>
      <c r="P5" s="17"/>
      <c r="Q5" s="17"/>
      <c r="R5" s="13">
        <f>HYPERLINK("https://app.hubspot.com/contacts/8748051/record/0-2/9069625153", 9069625153)</f>
        <v>9069625153</v>
      </c>
      <c r="S5" s="18" t="s">
        <v>57</v>
      </c>
      <c r="T5" s="18" t="s">
        <v>57</v>
      </c>
      <c r="U5" s="14" t="s">
        <v>46</v>
      </c>
      <c r="V5" s="15"/>
      <c r="W5" s="19">
        <v>231.0</v>
      </c>
      <c r="X5" s="19">
        <v>14.0</v>
      </c>
      <c r="Y5" s="20"/>
      <c r="Z5" s="20"/>
      <c r="AA5" s="21"/>
      <c r="AB5" s="20"/>
      <c r="AC5" s="20"/>
      <c r="AD5" s="20"/>
      <c r="AE5" s="20"/>
      <c r="AF5" s="17" t="str">
        <f t="shared" si="1"/>
        <v>New Logo</v>
      </c>
      <c r="AG5" s="17" t="str">
        <f t="shared" si="2"/>
        <v>Lead</v>
      </c>
      <c r="AH5" s="17" t="str">
        <f t="shared" si="3"/>
        <v>201-500</v>
      </c>
      <c r="AI5" s="17" t="str">
        <f t="shared" si="4"/>
        <v>0-20</v>
      </c>
    </row>
    <row r="6" ht="15.75" customHeight="1">
      <c r="A6" s="13">
        <f>HYPERLINK("https://app.hubspot.com/contacts/8748051/record/0-3/58363292323", 58363292323)</f>
        <v>58363292323</v>
      </c>
      <c r="B6" s="14" t="s">
        <v>58</v>
      </c>
      <c r="C6" s="14" t="s">
        <v>37</v>
      </c>
      <c r="D6" s="15">
        <v>48500.0</v>
      </c>
      <c r="E6" s="14" t="s">
        <v>38</v>
      </c>
      <c r="F6" s="14"/>
      <c r="G6" s="16">
        <v>46107.34203703704</v>
      </c>
      <c r="H6" s="16">
        <v>46287.34202546296</v>
      </c>
      <c r="I6" s="14" t="s">
        <v>39</v>
      </c>
      <c r="J6" s="14" t="s">
        <v>52</v>
      </c>
      <c r="K6" s="14" t="s">
        <v>59</v>
      </c>
      <c r="L6" s="14" t="s">
        <v>60</v>
      </c>
      <c r="M6" s="14" t="s">
        <v>43</v>
      </c>
      <c r="N6" s="17"/>
      <c r="O6" s="17"/>
      <c r="P6" s="17"/>
      <c r="Q6" s="17"/>
      <c r="R6" s="13">
        <f>HYPERLINK("https://app.hubspot.com/contacts/8748051/record/0-2/37172738454", 37172738454)</f>
        <v>37172738454</v>
      </c>
      <c r="S6" s="14" t="s">
        <v>61</v>
      </c>
      <c r="T6" s="18" t="s">
        <v>62</v>
      </c>
      <c r="U6" s="14" t="s">
        <v>46</v>
      </c>
      <c r="V6" s="15"/>
      <c r="W6" s="19">
        <v>1098.0</v>
      </c>
      <c r="X6" s="19">
        <v>97.0</v>
      </c>
      <c r="Y6" s="20" t="s">
        <v>63</v>
      </c>
      <c r="Z6" s="20"/>
      <c r="AA6" s="21"/>
      <c r="AB6" s="20"/>
      <c r="AC6" s="20"/>
      <c r="AD6" s="20"/>
      <c r="AE6" s="20"/>
      <c r="AF6" s="17" t="str">
        <f t="shared" si="1"/>
        <v>New Logo</v>
      </c>
      <c r="AG6" s="17" t="str">
        <f t="shared" si="2"/>
        <v>Lead</v>
      </c>
      <c r="AH6" s="17" t="str">
        <f t="shared" si="3"/>
        <v>1001-5000</v>
      </c>
      <c r="AI6" s="17" t="str">
        <f t="shared" si="4"/>
        <v>51-100</v>
      </c>
    </row>
    <row r="7" ht="15.75" customHeight="1">
      <c r="A7" s="13">
        <f>HYPERLINK("https://app.hubspot.com/contacts/8748051/record/0-3/58333389614", 58333389614)</f>
        <v>58333389614</v>
      </c>
      <c r="B7" s="14" t="s">
        <v>64</v>
      </c>
      <c r="C7" s="14" t="s">
        <v>37</v>
      </c>
      <c r="D7" s="15">
        <v>8000.0</v>
      </c>
      <c r="E7" s="14" t="s">
        <v>38</v>
      </c>
      <c r="F7" s="14"/>
      <c r="G7" s="16">
        <v>46106.42074074074</v>
      </c>
      <c r="H7" s="16">
        <v>46286.42071759259</v>
      </c>
      <c r="I7" s="14" t="s">
        <v>39</v>
      </c>
      <c r="J7" s="14" t="s">
        <v>40</v>
      </c>
      <c r="K7" s="14" t="s">
        <v>41</v>
      </c>
      <c r="L7" s="14" t="s">
        <v>42</v>
      </c>
      <c r="M7" s="14" t="s">
        <v>43</v>
      </c>
      <c r="N7" s="17"/>
      <c r="O7" s="17"/>
      <c r="P7" s="17"/>
      <c r="Q7" s="17"/>
      <c r="R7" s="13">
        <f>HYPERLINK("https://app.hubspot.com/contacts/8748051/record/0-2/53246882698", 53246882698)</f>
        <v>53246882698</v>
      </c>
      <c r="S7" s="14" t="s">
        <v>65</v>
      </c>
      <c r="T7" s="18" t="s">
        <v>66</v>
      </c>
      <c r="U7" s="14"/>
      <c r="V7" s="22"/>
      <c r="W7" s="19">
        <v>82.0</v>
      </c>
      <c r="X7" s="19">
        <v>16.0</v>
      </c>
      <c r="Y7" s="20"/>
      <c r="Z7" s="21"/>
      <c r="AA7" s="21"/>
      <c r="AB7" s="21"/>
      <c r="AC7" s="21"/>
      <c r="AD7" s="21"/>
      <c r="AE7" s="21"/>
      <c r="AF7" s="17" t="str">
        <f t="shared" si="1"/>
        <v>New Logo</v>
      </c>
      <c r="AG7" s="17" t="str">
        <f t="shared" si="2"/>
        <v>Lead</v>
      </c>
      <c r="AH7" s="17" t="str">
        <f t="shared" si="3"/>
        <v>0-200</v>
      </c>
      <c r="AI7" s="17" t="str">
        <f t="shared" si="4"/>
        <v>0-20</v>
      </c>
    </row>
    <row r="8" ht="15.75" customHeight="1">
      <c r="A8" s="13">
        <f>HYPERLINK("https://app.hubspot.com/contacts/8748051/record/0-3/58316326266", 58316326266)</f>
        <v>58316326266</v>
      </c>
      <c r="B8" s="14" t="s">
        <v>67</v>
      </c>
      <c r="C8" s="14" t="s">
        <v>37</v>
      </c>
      <c r="D8" s="15">
        <v>80000.0</v>
      </c>
      <c r="E8" s="14" t="s">
        <v>38</v>
      </c>
      <c r="F8" s="14"/>
      <c r="G8" s="16">
        <v>46105.94732638889</v>
      </c>
      <c r="H8" s="16">
        <v>46285.94731481482</v>
      </c>
      <c r="I8" s="14" t="s">
        <v>39</v>
      </c>
      <c r="J8" s="14" t="s">
        <v>52</v>
      </c>
      <c r="K8" s="14" t="s">
        <v>41</v>
      </c>
      <c r="L8" s="14" t="s">
        <v>42</v>
      </c>
      <c r="M8" s="14" t="s">
        <v>43</v>
      </c>
      <c r="N8" s="14"/>
      <c r="O8" s="17"/>
      <c r="P8" s="17"/>
      <c r="Q8" s="17"/>
      <c r="R8" s="13">
        <f>HYPERLINK("https://app.hubspot.com/contacts/8748051/record/0-2/53211444012", 53211444012)</f>
        <v>53211444012</v>
      </c>
      <c r="S8" s="14" t="s">
        <v>68</v>
      </c>
      <c r="T8" s="18" t="s">
        <v>69</v>
      </c>
      <c r="U8" s="14" t="s">
        <v>46</v>
      </c>
      <c r="V8" s="15"/>
      <c r="W8" s="19">
        <v>1519.0</v>
      </c>
      <c r="X8" s="19">
        <v>160.0</v>
      </c>
      <c r="Y8" s="20" t="s">
        <v>70</v>
      </c>
      <c r="Z8" s="20"/>
      <c r="AA8" s="21"/>
      <c r="AB8" s="21"/>
      <c r="AC8" s="20"/>
      <c r="AD8" s="20"/>
      <c r="AE8" s="20"/>
      <c r="AF8" s="17" t="str">
        <f t="shared" si="1"/>
        <v>New Logo</v>
      </c>
      <c r="AG8" s="17" t="str">
        <f t="shared" si="2"/>
        <v>Lead</v>
      </c>
      <c r="AH8" s="17" t="str">
        <f t="shared" si="3"/>
        <v>1001-5000</v>
      </c>
      <c r="AI8" s="17" t="str">
        <f t="shared" si="4"/>
        <v>101-500</v>
      </c>
    </row>
    <row r="9" ht="15.75" customHeight="1">
      <c r="A9" s="13">
        <f>HYPERLINK("https://app.hubspot.com/contacts/8748051/record/0-3/58247153269", 58247153269)</f>
        <v>58247153269</v>
      </c>
      <c r="B9" s="14" t="s">
        <v>71</v>
      </c>
      <c r="C9" s="14" t="s">
        <v>49</v>
      </c>
      <c r="D9" s="15">
        <v>0.0</v>
      </c>
      <c r="E9" s="14" t="s">
        <v>38</v>
      </c>
      <c r="F9" s="14"/>
      <c r="G9" s="16">
        <v>46104.38637731481</v>
      </c>
      <c r="H9" s="16">
        <v>46284.38636574074</v>
      </c>
      <c r="I9" s="14" t="s">
        <v>39</v>
      </c>
      <c r="J9" s="14" t="s">
        <v>40</v>
      </c>
      <c r="K9" s="14" t="s">
        <v>41</v>
      </c>
      <c r="L9" s="14" t="s">
        <v>42</v>
      </c>
      <c r="M9" s="14" t="s">
        <v>72</v>
      </c>
      <c r="N9" s="14"/>
      <c r="O9" s="17"/>
      <c r="P9" s="17"/>
      <c r="Q9" s="17"/>
      <c r="R9" s="13">
        <f>HYPERLINK("https://app.hubspot.com/contacts/8748051/record/0-2/53158535438", 53158535438)</f>
        <v>53158535438</v>
      </c>
      <c r="S9" s="14" t="s">
        <v>73</v>
      </c>
      <c r="T9" s="18" t="s">
        <v>74</v>
      </c>
      <c r="U9" s="14"/>
      <c r="V9" s="15"/>
      <c r="W9" s="19">
        <v>1.0</v>
      </c>
      <c r="X9" s="19">
        <v>0.0</v>
      </c>
      <c r="Y9" s="20"/>
      <c r="Z9" s="20"/>
      <c r="AA9" s="21"/>
      <c r="AB9" s="21"/>
      <c r="AC9" s="20"/>
      <c r="AD9" s="20"/>
      <c r="AE9" s="20"/>
      <c r="AF9" s="17" t="str">
        <f t="shared" si="1"/>
        <v>New Logo</v>
      </c>
      <c r="AG9" s="17" t="str">
        <f t="shared" si="2"/>
        <v>Lead</v>
      </c>
      <c r="AH9" s="17" t="str">
        <f t="shared" si="3"/>
        <v>0-200</v>
      </c>
      <c r="AI9" s="17" t="str">
        <f t="shared" si="4"/>
        <v>0-20</v>
      </c>
    </row>
    <row r="10" ht="15.75" customHeight="1">
      <c r="A10" s="13">
        <f>HYPERLINK("https://app.hubspot.com/contacts/8748051/record/0-3/58220787347", 58220787347)</f>
        <v>58220787347</v>
      </c>
      <c r="B10" s="14" t="s">
        <v>75</v>
      </c>
      <c r="C10" s="14" t="s">
        <v>49</v>
      </c>
      <c r="D10" s="15">
        <v>50000.0</v>
      </c>
      <c r="E10" s="14" t="s">
        <v>50</v>
      </c>
      <c r="F10" s="14" t="s">
        <v>51</v>
      </c>
      <c r="G10" s="16">
        <v>46102.422372685185</v>
      </c>
      <c r="H10" s="16">
        <v>46295.54226851852</v>
      </c>
      <c r="I10" s="14" t="s">
        <v>39</v>
      </c>
      <c r="J10" s="14" t="s">
        <v>40</v>
      </c>
      <c r="K10" s="14" t="s">
        <v>41</v>
      </c>
      <c r="L10" s="14" t="s">
        <v>42</v>
      </c>
      <c r="M10" s="14" t="s">
        <v>43</v>
      </c>
      <c r="N10" s="17"/>
      <c r="O10" s="17"/>
      <c r="P10" s="17"/>
      <c r="Q10" s="17"/>
      <c r="R10" s="13">
        <f>HYPERLINK("https://app.hubspot.com/contacts/8748051/record/0-2/46826990727", 46826990727)</f>
        <v>46826990727</v>
      </c>
      <c r="S10" s="14" t="s">
        <v>76</v>
      </c>
      <c r="T10" s="18" t="s">
        <v>77</v>
      </c>
      <c r="U10" s="14"/>
      <c r="V10" s="15"/>
      <c r="W10" s="19">
        <v>522.0</v>
      </c>
      <c r="X10" s="19">
        <v>42.0</v>
      </c>
      <c r="Y10" s="20" t="s">
        <v>78</v>
      </c>
      <c r="Z10" s="20"/>
      <c r="AA10" s="21"/>
      <c r="AB10" s="20"/>
      <c r="AC10" s="20"/>
      <c r="AD10" s="20"/>
      <c r="AE10" s="20"/>
      <c r="AF10" s="17" t="str">
        <f t="shared" si="1"/>
        <v>New Logo</v>
      </c>
      <c r="AG10" s="17" t="str">
        <f t="shared" si="2"/>
        <v>Lead</v>
      </c>
      <c r="AH10" s="17" t="str">
        <f t="shared" si="3"/>
        <v>501-1000</v>
      </c>
      <c r="AI10" s="17" t="str">
        <f t="shared" si="4"/>
        <v>21-50</v>
      </c>
    </row>
    <row r="11" ht="15.75" customHeight="1">
      <c r="A11" s="13">
        <f>HYPERLINK("https://app.hubspot.com/contacts/8748051/record/0-3/58206471848", 58206471848)</f>
        <v>58206471848</v>
      </c>
      <c r="B11" s="14" t="s">
        <v>79</v>
      </c>
      <c r="C11" s="14" t="s">
        <v>49</v>
      </c>
      <c r="D11" s="15">
        <v>43500.0</v>
      </c>
      <c r="E11" s="14" t="s">
        <v>50</v>
      </c>
      <c r="F11" s="14" t="s">
        <v>51</v>
      </c>
      <c r="G11" s="16">
        <v>46101.44375</v>
      </c>
      <c r="H11" s="16">
        <v>46281.44375</v>
      </c>
      <c r="I11" s="14" t="s">
        <v>39</v>
      </c>
      <c r="J11" s="14" t="s">
        <v>52</v>
      </c>
      <c r="K11" s="14" t="s">
        <v>41</v>
      </c>
      <c r="L11" s="14" t="s">
        <v>42</v>
      </c>
      <c r="M11" s="14" t="s">
        <v>43</v>
      </c>
      <c r="N11" s="17"/>
      <c r="O11" s="17"/>
      <c r="P11" s="17"/>
      <c r="Q11" s="17"/>
      <c r="R11" s="13">
        <f>HYPERLINK("https://app.hubspot.com/contacts/8748051/record/0-2/8929735180", 8929735180)</f>
        <v>8929735180</v>
      </c>
      <c r="S11" s="14" t="s">
        <v>80</v>
      </c>
      <c r="T11" s="18" t="s">
        <v>81</v>
      </c>
      <c r="U11" s="14" t="s">
        <v>46</v>
      </c>
      <c r="V11" s="22"/>
      <c r="W11" s="19">
        <v>257.0</v>
      </c>
      <c r="X11" s="19">
        <v>87.0</v>
      </c>
      <c r="Y11" s="20"/>
      <c r="Z11" s="21"/>
      <c r="AA11" s="21"/>
      <c r="AB11" s="21"/>
      <c r="AC11" s="21"/>
      <c r="AD11" s="21"/>
      <c r="AE11" s="21"/>
      <c r="AF11" s="17" t="str">
        <f t="shared" si="1"/>
        <v>New Logo</v>
      </c>
      <c r="AG11" s="17" t="str">
        <f t="shared" si="2"/>
        <v>Lead</v>
      </c>
      <c r="AH11" s="17" t="str">
        <f t="shared" si="3"/>
        <v>201-500</v>
      </c>
      <c r="AI11" s="17" t="str">
        <f t="shared" si="4"/>
        <v>51-100</v>
      </c>
    </row>
    <row r="12" ht="15.75" customHeight="1">
      <c r="A12" s="13">
        <f>HYPERLINK("https://app.hubspot.com/contacts/8748051/record/0-3/58158334877", 58158334877)</f>
        <v>58158334877</v>
      </c>
      <c r="B12" s="14" t="s">
        <v>82</v>
      </c>
      <c r="C12" s="14" t="s">
        <v>49</v>
      </c>
      <c r="D12" s="15">
        <v>75000.0</v>
      </c>
      <c r="E12" s="14" t="s">
        <v>50</v>
      </c>
      <c r="F12" s="14" t="s">
        <v>51</v>
      </c>
      <c r="G12" s="16">
        <v>46100.60497685185</v>
      </c>
      <c r="H12" s="16">
        <v>46197.95379629629</v>
      </c>
      <c r="I12" s="14" t="s">
        <v>39</v>
      </c>
      <c r="J12" s="14" t="s">
        <v>40</v>
      </c>
      <c r="K12" s="14" t="s">
        <v>41</v>
      </c>
      <c r="L12" s="14" t="s">
        <v>42</v>
      </c>
      <c r="M12" s="14" t="s">
        <v>43</v>
      </c>
      <c r="N12" s="14"/>
      <c r="O12" s="17"/>
      <c r="P12" s="14"/>
      <c r="Q12" s="17"/>
      <c r="R12" s="13">
        <f>HYPERLINK("https://app.hubspot.com/contacts/8748051/record/0-2/7649366028", 7649366028)</f>
        <v>7649366028</v>
      </c>
      <c r="S12" s="14" t="s">
        <v>83</v>
      </c>
      <c r="T12" s="18" t="s">
        <v>84</v>
      </c>
      <c r="U12" s="14" t="s">
        <v>46</v>
      </c>
      <c r="V12" s="15"/>
      <c r="W12" s="19">
        <v>413.0</v>
      </c>
      <c r="X12" s="19">
        <v>45.0</v>
      </c>
      <c r="Y12" s="20" t="s">
        <v>70</v>
      </c>
      <c r="Z12" s="20"/>
      <c r="AA12" s="21"/>
      <c r="AB12" s="21"/>
      <c r="AC12" s="20"/>
      <c r="AD12" s="21"/>
      <c r="AE12" s="21"/>
      <c r="AF12" s="17" t="str">
        <f t="shared" si="1"/>
        <v>New Logo</v>
      </c>
      <c r="AG12" s="17" t="str">
        <f t="shared" si="2"/>
        <v>Lead</v>
      </c>
      <c r="AH12" s="17" t="str">
        <f t="shared" si="3"/>
        <v>201-500</v>
      </c>
      <c r="AI12" s="17" t="str">
        <f t="shared" si="4"/>
        <v>21-50</v>
      </c>
    </row>
    <row r="13" ht="15.75" customHeight="1">
      <c r="A13" s="13">
        <f>HYPERLINK("https://app.hubspot.com/contacts/8748051/record/0-3/58179794196", 58179794196)</f>
        <v>58179794196</v>
      </c>
      <c r="B13" s="14" t="s">
        <v>85</v>
      </c>
      <c r="C13" s="14" t="s">
        <v>37</v>
      </c>
      <c r="D13" s="15">
        <v>3500.0</v>
      </c>
      <c r="E13" s="14" t="s">
        <v>38</v>
      </c>
      <c r="F13" s="14"/>
      <c r="G13" s="16">
        <v>46099.884108796294</v>
      </c>
      <c r="H13" s="16">
        <v>46279.884097222224</v>
      </c>
      <c r="I13" s="14" t="s">
        <v>39</v>
      </c>
      <c r="J13" s="14" t="s">
        <v>40</v>
      </c>
      <c r="K13" s="14" t="s">
        <v>41</v>
      </c>
      <c r="L13" s="14" t="s">
        <v>42</v>
      </c>
      <c r="M13" s="14"/>
      <c r="N13" s="14"/>
      <c r="O13" s="17"/>
      <c r="P13" s="14"/>
      <c r="Q13" s="17"/>
      <c r="R13" s="13">
        <f>HYPERLINK("https://app.hubspot.com/contacts/8748051/record/0-2/53113806635", 53113806635)</f>
        <v>53113806635</v>
      </c>
      <c r="S13" s="14" t="s">
        <v>86</v>
      </c>
      <c r="T13" s="18" t="s">
        <v>87</v>
      </c>
      <c r="U13" s="14"/>
      <c r="V13" s="15"/>
      <c r="W13" s="19">
        <v>8.0</v>
      </c>
      <c r="X13" s="19">
        <v>7.0</v>
      </c>
      <c r="Y13" s="20"/>
      <c r="Z13" s="20"/>
      <c r="AA13" s="20"/>
      <c r="AB13" s="20"/>
      <c r="AC13" s="20"/>
      <c r="AD13" s="20"/>
      <c r="AE13" s="20"/>
      <c r="AF13" s="17" t="str">
        <f t="shared" si="1"/>
        <v>New Logo</v>
      </c>
      <c r="AG13" s="17" t="str">
        <f t="shared" si="2"/>
        <v>Lead</v>
      </c>
      <c r="AH13" s="17" t="str">
        <f t="shared" si="3"/>
        <v>0-200</v>
      </c>
      <c r="AI13" s="17" t="str">
        <f t="shared" si="4"/>
        <v>0-20</v>
      </c>
    </row>
    <row r="14" ht="15.75" customHeight="1">
      <c r="A14" s="13">
        <f>HYPERLINK("https://app.hubspot.com/contacts/8748051/record/0-3/58098333475", 58098333475)</f>
        <v>58098333475</v>
      </c>
      <c r="B14" s="14" t="s">
        <v>88</v>
      </c>
      <c r="C14" s="14" t="s">
        <v>37</v>
      </c>
      <c r="D14" s="15">
        <v>28800.0</v>
      </c>
      <c r="E14" s="14" t="s">
        <v>89</v>
      </c>
      <c r="F14" s="14" t="s">
        <v>51</v>
      </c>
      <c r="G14" s="16">
        <v>46098.74565972222</v>
      </c>
      <c r="H14" s="16">
        <v>46111.97148148148</v>
      </c>
      <c r="I14" s="14" t="s">
        <v>39</v>
      </c>
      <c r="J14" s="14" t="s">
        <v>40</v>
      </c>
      <c r="K14" s="14" t="s">
        <v>41</v>
      </c>
      <c r="L14" s="14" t="s">
        <v>42</v>
      </c>
      <c r="M14" s="14" t="s">
        <v>43</v>
      </c>
      <c r="N14" s="14" t="s">
        <v>90</v>
      </c>
      <c r="O14" s="17"/>
      <c r="P14" s="17"/>
      <c r="Q14" s="14"/>
      <c r="R14" s="13">
        <f>HYPERLINK("https://app.hubspot.com/contacts/8748051/record/0-2/53016781695", 53016781695)</f>
        <v>53016781695</v>
      </c>
      <c r="S14" s="14" t="s">
        <v>91</v>
      </c>
      <c r="T14" s="18" t="s">
        <v>92</v>
      </c>
      <c r="U14" s="14" t="s">
        <v>93</v>
      </c>
      <c r="V14" s="15">
        <v>28800.0</v>
      </c>
      <c r="W14" s="19">
        <v>83.0</v>
      </c>
      <c r="X14" s="19">
        <v>30.0</v>
      </c>
      <c r="Y14" s="20"/>
      <c r="Z14" s="20"/>
      <c r="AA14" s="20"/>
      <c r="AB14" s="20"/>
      <c r="AC14" s="20"/>
      <c r="AD14" s="20"/>
      <c r="AE14" s="20"/>
      <c r="AF14" s="17" t="str">
        <f t="shared" si="1"/>
        <v>New Logo</v>
      </c>
      <c r="AG14" s="17" t="str">
        <f t="shared" si="2"/>
        <v>Customer</v>
      </c>
      <c r="AH14" s="17" t="str">
        <f t="shared" si="3"/>
        <v>0-200</v>
      </c>
      <c r="AI14" s="17" t="str">
        <f t="shared" si="4"/>
        <v>21-50</v>
      </c>
    </row>
    <row r="15" ht="15.75" customHeight="1">
      <c r="A15" s="13">
        <f>HYPERLINK("https://app.hubspot.com/contacts/8748051/record/0-3/58055838476", 58055838476)</f>
        <v>58055838476</v>
      </c>
      <c r="B15" s="14" t="s">
        <v>94</v>
      </c>
      <c r="C15" s="14" t="s">
        <v>49</v>
      </c>
      <c r="D15" s="15">
        <v>50000.0</v>
      </c>
      <c r="E15" s="14" t="s">
        <v>50</v>
      </c>
      <c r="F15" s="14" t="s">
        <v>51</v>
      </c>
      <c r="G15" s="16">
        <v>46097.72263888889</v>
      </c>
      <c r="H15" s="16">
        <v>46387.5747337963</v>
      </c>
      <c r="I15" s="14" t="s">
        <v>39</v>
      </c>
      <c r="J15" s="14" t="s">
        <v>40</v>
      </c>
      <c r="K15" s="14" t="s">
        <v>41</v>
      </c>
      <c r="L15" s="14" t="s">
        <v>42</v>
      </c>
      <c r="M15" s="14" t="s">
        <v>43</v>
      </c>
      <c r="N15" s="17"/>
      <c r="O15" s="17"/>
      <c r="P15" s="14"/>
      <c r="Q15" s="17"/>
      <c r="R15" s="13">
        <f>HYPERLINK("https://app.hubspot.com/contacts/8748051/record/0-2/8929767828", 8929767828)</f>
        <v>8929767828</v>
      </c>
      <c r="S15" s="14" t="s">
        <v>95</v>
      </c>
      <c r="T15" s="18" t="s">
        <v>96</v>
      </c>
      <c r="U15" s="14" t="s">
        <v>46</v>
      </c>
      <c r="V15" s="15"/>
      <c r="W15" s="19">
        <v>511.0</v>
      </c>
      <c r="X15" s="19">
        <v>75.0</v>
      </c>
      <c r="Y15" s="20" t="s">
        <v>63</v>
      </c>
      <c r="Z15" s="20"/>
      <c r="AA15" s="20"/>
      <c r="AB15" s="21"/>
      <c r="AC15" s="20"/>
      <c r="AD15" s="20"/>
      <c r="AE15" s="20"/>
      <c r="AF15" s="17" t="str">
        <f t="shared" si="1"/>
        <v>New Logo</v>
      </c>
      <c r="AG15" s="17" t="str">
        <f t="shared" si="2"/>
        <v>Lead</v>
      </c>
      <c r="AH15" s="17" t="str">
        <f t="shared" si="3"/>
        <v>501-1000</v>
      </c>
      <c r="AI15" s="17" t="str">
        <f t="shared" si="4"/>
        <v>51-100</v>
      </c>
    </row>
    <row r="16" ht="15.75" customHeight="1">
      <c r="A16" s="13">
        <f>HYPERLINK("https://app.hubspot.com/contacts/8748051/record/0-3/58008942377", 58008942377)</f>
        <v>58008942377</v>
      </c>
      <c r="B16" s="14" t="s">
        <v>97</v>
      </c>
      <c r="C16" s="14" t="s">
        <v>37</v>
      </c>
      <c r="D16" s="15">
        <v>100000.0</v>
      </c>
      <c r="E16" s="14" t="s">
        <v>38</v>
      </c>
      <c r="F16" s="14"/>
      <c r="G16" s="16">
        <v>46096.44189814815</v>
      </c>
      <c r="H16" s="16">
        <v>46276.44188657407</v>
      </c>
      <c r="I16" s="14" t="s">
        <v>39</v>
      </c>
      <c r="J16" s="14" t="s">
        <v>52</v>
      </c>
      <c r="K16" s="14" t="s">
        <v>41</v>
      </c>
      <c r="L16" s="14" t="s">
        <v>42</v>
      </c>
      <c r="M16" s="14" t="s">
        <v>98</v>
      </c>
      <c r="N16" s="17"/>
      <c r="O16" s="17"/>
      <c r="P16" s="14"/>
      <c r="Q16" s="17"/>
      <c r="R16" s="13">
        <f>HYPERLINK("https://app.hubspot.com/contacts/8748051/record/0-2/9664359229", 9664359229)</f>
        <v>9664359229</v>
      </c>
      <c r="S16" s="14" t="s">
        <v>99</v>
      </c>
      <c r="T16" s="18" t="s">
        <v>100</v>
      </c>
      <c r="U16" s="14" t="s">
        <v>46</v>
      </c>
      <c r="V16" s="15"/>
      <c r="W16" s="19">
        <v>17488.0</v>
      </c>
      <c r="X16" s="19">
        <v>4615.0</v>
      </c>
      <c r="Y16" s="20"/>
      <c r="Z16" s="20"/>
      <c r="AA16" s="20"/>
      <c r="AB16" s="20"/>
      <c r="AC16" s="20"/>
      <c r="AD16" s="20"/>
      <c r="AE16" s="20"/>
      <c r="AF16" s="17" t="str">
        <f t="shared" si="1"/>
        <v>New Logo</v>
      </c>
      <c r="AG16" s="17" t="str">
        <f t="shared" si="2"/>
        <v>Lead</v>
      </c>
      <c r="AH16" s="17" t="str">
        <f t="shared" si="3"/>
        <v>10000+</v>
      </c>
      <c r="AI16" s="17" t="str">
        <f t="shared" si="4"/>
        <v>500+</v>
      </c>
    </row>
    <row r="17" ht="15.75" customHeight="1">
      <c r="A17" s="13">
        <f>HYPERLINK("https://app.hubspot.com/contacts/8748051/record/0-3/58006091190", 58006091190)</f>
        <v>58006091190</v>
      </c>
      <c r="B17" s="14" t="s">
        <v>101</v>
      </c>
      <c r="C17" s="14" t="s">
        <v>49</v>
      </c>
      <c r="D17" s="15">
        <v>35000.0</v>
      </c>
      <c r="E17" s="14" t="s">
        <v>50</v>
      </c>
      <c r="F17" s="14" t="s">
        <v>51</v>
      </c>
      <c r="G17" s="16">
        <v>46094.55850694444</v>
      </c>
      <c r="H17" s="16">
        <v>46325.39695601852</v>
      </c>
      <c r="I17" s="14" t="s">
        <v>39</v>
      </c>
      <c r="J17" s="14" t="s">
        <v>40</v>
      </c>
      <c r="K17" s="14" t="s">
        <v>41</v>
      </c>
      <c r="L17" s="14" t="s">
        <v>42</v>
      </c>
      <c r="M17" s="14" t="s">
        <v>43</v>
      </c>
      <c r="N17" s="17"/>
      <c r="O17" s="17"/>
      <c r="P17" s="14"/>
      <c r="Q17" s="17"/>
      <c r="R17" s="13">
        <f>HYPERLINK("https://app.hubspot.com/contacts/8748051/record/0-2/17911970466", 17911970466)</f>
        <v>17911970466</v>
      </c>
      <c r="S17" s="14" t="s">
        <v>102</v>
      </c>
      <c r="T17" s="18" t="s">
        <v>103</v>
      </c>
      <c r="U17" s="14" t="s">
        <v>46</v>
      </c>
      <c r="V17" s="22"/>
      <c r="W17" s="19">
        <v>166.0</v>
      </c>
      <c r="X17" s="19">
        <v>35.0</v>
      </c>
      <c r="Y17" s="20" t="s">
        <v>104</v>
      </c>
      <c r="Z17" s="21"/>
      <c r="AA17" s="21"/>
      <c r="AB17" s="21"/>
      <c r="AC17" s="21"/>
      <c r="AD17" s="21"/>
      <c r="AE17" s="21"/>
      <c r="AF17" s="17" t="str">
        <f t="shared" si="1"/>
        <v>New Logo</v>
      </c>
      <c r="AG17" s="17" t="str">
        <f t="shared" si="2"/>
        <v>Lead</v>
      </c>
      <c r="AH17" s="17" t="str">
        <f t="shared" si="3"/>
        <v>0-200</v>
      </c>
      <c r="AI17" s="17" t="str">
        <f t="shared" si="4"/>
        <v>21-50</v>
      </c>
    </row>
    <row r="18" ht="15.75" customHeight="1">
      <c r="A18" s="13">
        <f>HYPERLINK("https://app.hubspot.com/contacts/8748051/record/0-3/57991199811", 57991199811)</f>
        <v>57991199811</v>
      </c>
      <c r="B18" s="14" t="s">
        <v>105</v>
      </c>
      <c r="C18" s="14" t="s">
        <v>37</v>
      </c>
      <c r="D18" s="15">
        <v>100000.0</v>
      </c>
      <c r="E18" s="14" t="s">
        <v>50</v>
      </c>
      <c r="F18" s="14" t="s">
        <v>51</v>
      </c>
      <c r="G18" s="16">
        <v>46094.46927083333</v>
      </c>
      <c r="H18" s="16">
        <v>46274.46925925926</v>
      </c>
      <c r="I18" s="14" t="s">
        <v>39</v>
      </c>
      <c r="J18" s="14" t="s">
        <v>52</v>
      </c>
      <c r="K18" s="14" t="s">
        <v>41</v>
      </c>
      <c r="L18" s="14" t="s">
        <v>42</v>
      </c>
      <c r="M18" s="14" t="s">
        <v>43</v>
      </c>
      <c r="N18" s="14"/>
      <c r="O18" s="17"/>
      <c r="P18" s="14"/>
      <c r="Q18" s="17"/>
      <c r="R18" s="13">
        <f>HYPERLINK("https://app.hubspot.com/contacts/8748051/record/0-2/52944634674", 52944634674)</f>
        <v>52944634674</v>
      </c>
      <c r="S18" s="14" t="s">
        <v>106</v>
      </c>
      <c r="T18" s="18" t="s">
        <v>107</v>
      </c>
      <c r="U18" s="14"/>
      <c r="V18" s="15"/>
      <c r="W18" s="19">
        <v>2247.0</v>
      </c>
      <c r="X18" s="19">
        <v>386.0</v>
      </c>
      <c r="Y18" s="20" t="s">
        <v>55</v>
      </c>
      <c r="Z18" s="20"/>
      <c r="AA18" s="21"/>
      <c r="AB18" s="21"/>
      <c r="AC18" s="20"/>
      <c r="AD18" s="20"/>
      <c r="AE18" s="20"/>
      <c r="AF18" s="17" t="str">
        <f t="shared" si="1"/>
        <v>New Logo</v>
      </c>
      <c r="AG18" s="17" t="str">
        <f t="shared" si="2"/>
        <v>Lead</v>
      </c>
      <c r="AH18" s="17" t="str">
        <f t="shared" si="3"/>
        <v>1001-5000</v>
      </c>
      <c r="AI18" s="17" t="str">
        <f t="shared" si="4"/>
        <v>101-500</v>
      </c>
    </row>
    <row r="19" ht="15.75" customHeight="1">
      <c r="A19" s="13">
        <f>HYPERLINK("https://app.hubspot.com/contacts/8748051/record/0-3/57878420569", 57878420569)</f>
        <v>57878420569</v>
      </c>
      <c r="B19" s="14" t="s">
        <v>108</v>
      </c>
      <c r="C19" s="14" t="s">
        <v>49</v>
      </c>
      <c r="D19" s="15">
        <v>100000.0</v>
      </c>
      <c r="E19" s="14" t="s">
        <v>50</v>
      </c>
      <c r="F19" s="14" t="s">
        <v>51</v>
      </c>
      <c r="G19" s="16">
        <v>46091.45738425926</v>
      </c>
      <c r="H19" s="16">
        <v>46295.58965277778</v>
      </c>
      <c r="I19" s="14" t="s">
        <v>39</v>
      </c>
      <c r="J19" s="14" t="s">
        <v>52</v>
      </c>
      <c r="K19" s="14" t="s">
        <v>59</v>
      </c>
      <c r="L19" s="14" t="s">
        <v>60</v>
      </c>
      <c r="M19" s="14" t="s">
        <v>43</v>
      </c>
      <c r="N19" s="14"/>
      <c r="O19" s="17"/>
      <c r="P19" s="14"/>
      <c r="Q19" s="17"/>
      <c r="R19" s="13">
        <f>HYPERLINK("https://app.hubspot.com/contacts/8748051/record/0-2/7665619318", 7665619318)</f>
        <v>7665619318</v>
      </c>
      <c r="S19" s="14" t="s">
        <v>109</v>
      </c>
      <c r="T19" s="18" t="s">
        <v>110</v>
      </c>
      <c r="U19" s="14" t="s">
        <v>46</v>
      </c>
      <c r="V19" s="15"/>
      <c r="W19" s="19">
        <v>687.0</v>
      </c>
      <c r="X19" s="19">
        <v>162.0</v>
      </c>
      <c r="Y19" s="20" t="s">
        <v>63</v>
      </c>
      <c r="Z19" s="20"/>
      <c r="AA19" s="20"/>
      <c r="AB19" s="20"/>
      <c r="AC19" s="20"/>
      <c r="AD19" s="20"/>
      <c r="AE19" s="20"/>
      <c r="AF19" s="17" t="str">
        <f t="shared" si="1"/>
        <v>New Logo</v>
      </c>
      <c r="AG19" s="17" t="str">
        <f t="shared" si="2"/>
        <v>Lead</v>
      </c>
      <c r="AH19" s="17" t="str">
        <f t="shared" si="3"/>
        <v>501-1000</v>
      </c>
      <c r="AI19" s="17" t="str">
        <f t="shared" si="4"/>
        <v>101-500</v>
      </c>
    </row>
    <row r="20" ht="15.75" customHeight="1">
      <c r="A20" s="13">
        <f>HYPERLINK("https://app.hubspot.com/contacts/8748051/record/0-3/57833065393", 57833065393)</f>
        <v>57833065393</v>
      </c>
      <c r="B20" s="14" t="s">
        <v>111</v>
      </c>
      <c r="C20" s="14" t="s">
        <v>37</v>
      </c>
      <c r="D20" s="15">
        <v>32500.0</v>
      </c>
      <c r="E20" s="14" t="s">
        <v>50</v>
      </c>
      <c r="F20" s="14" t="s">
        <v>51</v>
      </c>
      <c r="G20" s="16">
        <v>46090.62799768519</v>
      </c>
      <c r="H20" s="16">
        <v>46203.17273148148</v>
      </c>
      <c r="I20" s="14" t="s">
        <v>39</v>
      </c>
      <c r="J20" s="14" t="s">
        <v>40</v>
      </c>
      <c r="K20" s="14" t="s">
        <v>41</v>
      </c>
      <c r="L20" s="14" t="s">
        <v>42</v>
      </c>
      <c r="M20" s="14" t="s">
        <v>43</v>
      </c>
      <c r="N20" s="17"/>
      <c r="O20" s="14"/>
      <c r="P20" s="14"/>
      <c r="Q20" s="17"/>
      <c r="R20" s="13">
        <f>HYPERLINK("https://app.hubspot.com/contacts/8748051/record/0-2/8762296116", 8762296116)</f>
        <v>8762296116</v>
      </c>
      <c r="S20" s="14" t="s">
        <v>112</v>
      </c>
      <c r="T20" s="18" t="s">
        <v>113</v>
      </c>
      <c r="U20" s="14" t="s">
        <v>46</v>
      </c>
      <c r="V20" s="15"/>
      <c r="W20" s="19">
        <v>280.0</v>
      </c>
      <c r="X20" s="19">
        <v>65.0</v>
      </c>
      <c r="Y20" s="20"/>
      <c r="Z20" s="20"/>
      <c r="AA20" s="21"/>
      <c r="AB20" s="20"/>
      <c r="AC20" s="20"/>
      <c r="AD20" s="20"/>
      <c r="AE20" s="20"/>
      <c r="AF20" s="17" t="str">
        <f t="shared" si="1"/>
        <v>New Logo</v>
      </c>
      <c r="AG20" s="17" t="str">
        <f t="shared" si="2"/>
        <v>Lead</v>
      </c>
      <c r="AH20" s="17" t="str">
        <f t="shared" si="3"/>
        <v>201-500</v>
      </c>
      <c r="AI20" s="17" t="str">
        <f t="shared" si="4"/>
        <v>51-100</v>
      </c>
    </row>
    <row r="21" ht="15.75" customHeight="1">
      <c r="A21" s="13">
        <f>HYPERLINK("https://app.hubspot.com/contacts/8748051/record/0-3/57718872632", 57718872632)</f>
        <v>57718872632</v>
      </c>
      <c r="B21" s="14" t="s">
        <v>114</v>
      </c>
      <c r="C21" s="14" t="s">
        <v>49</v>
      </c>
      <c r="D21" s="15">
        <v>76000.0</v>
      </c>
      <c r="E21" s="14" t="s">
        <v>38</v>
      </c>
      <c r="F21" s="14"/>
      <c r="G21" s="16">
        <v>46087.53833333333</v>
      </c>
      <c r="H21" s="16">
        <v>46267.538310185184</v>
      </c>
      <c r="I21" s="14" t="s">
        <v>39</v>
      </c>
      <c r="J21" s="14" t="s">
        <v>40</v>
      </c>
      <c r="K21" s="14" t="s">
        <v>59</v>
      </c>
      <c r="L21" s="14" t="s">
        <v>60</v>
      </c>
      <c r="M21" s="14" t="s">
        <v>72</v>
      </c>
      <c r="N21" s="17"/>
      <c r="O21" s="17"/>
      <c r="P21" s="14"/>
      <c r="Q21" s="17"/>
      <c r="R21" s="13">
        <f>HYPERLINK("https://app.hubspot.com/contacts/8748051/record/0-2/14811116167", 14811116167)</f>
        <v>14811116167</v>
      </c>
      <c r="S21" s="14" t="s">
        <v>115</v>
      </c>
      <c r="T21" s="18" t="s">
        <v>116</v>
      </c>
      <c r="U21" s="14" t="s">
        <v>46</v>
      </c>
      <c r="V21" s="15"/>
      <c r="W21" s="19">
        <v>582.0</v>
      </c>
      <c r="X21" s="19">
        <v>152.0</v>
      </c>
      <c r="Y21" s="20" t="s">
        <v>70</v>
      </c>
      <c r="Z21" s="20"/>
      <c r="AA21" s="20"/>
      <c r="AB21" s="21"/>
      <c r="AC21" s="20"/>
      <c r="AD21" s="20"/>
      <c r="AE21" s="20"/>
      <c r="AF21" s="17" t="str">
        <f t="shared" si="1"/>
        <v>New Logo</v>
      </c>
      <c r="AG21" s="17" t="str">
        <f t="shared" si="2"/>
        <v>Lead</v>
      </c>
      <c r="AH21" s="17" t="str">
        <f t="shared" si="3"/>
        <v>501-1000</v>
      </c>
      <c r="AI21" s="17" t="str">
        <f t="shared" si="4"/>
        <v>101-500</v>
      </c>
    </row>
    <row r="22" ht="15.75" customHeight="1">
      <c r="A22" s="13">
        <f>HYPERLINK("https://app.hubspot.com/contacts/8748051/record/0-3/57566073934", 57566073934)</f>
        <v>57566073934</v>
      </c>
      <c r="B22" s="14" t="s">
        <v>117</v>
      </c>
      <c r="C22" s="14" t="s">
        <v>49</v>
      </c>
      <c r="D22" s="15">
        <v>100000.0</v>
      </c>
      <c r="E22" s="14" t="s">
        <v>118</v>
      </c>
      <c r="F22" s="14"/>
      <c r="G22" s="16">
        <v>46086.488171296296</v>
      </c>
      <c r="H22" s="16">
        <v>46093.474652777775</v>
      </c>
      <c r="I22" s="14" t="s">
        <v>39</v>
      </c>
      <c r="J22" s="14" t="s">
        <v>52</v>
      </c>
      <c r="K22" s="14" t="s">
        <v>59</v>
      </c>
      <c r="L22" s="14" t="s">
        <v>60</v>
      </c>
      <c r="M22" s="14" t="s">
        <v>72</v>
      </c>
      <c r="N22" s="14"/>
      <c r="O22" s="14"/>
      <c r="P22" s="14" t="s">
        <v>119</v>
      </c>
      <c r="Q22" s="17"/>
      <c r="R22" s="13">
        <f>HYPERLINK("https://app.hubspot.com/contacts/8748051/record/0-2/19176228533", 19176228533)</f>
        <v>19176228533</v>
      </c>
      <c r="S22" s="14" t="s">
        <v>120</v>
      </c>
      <c r="T22" s="18" t="s">
        <v>121</v>
      </c>
      <c r="U22" s="14" t="s">
        <v>46</v>
      </c>
      <c r="V22" s="15"/>
      <c r="W22" s="19">
        <v>1349.0</v>
      </c>
      <c r="X22" s="19">
        <v>219.0</v>
      </c>
      <c r="Y22" s="20" t="s">
        <v>122</v>
      </c>
      <c r="Z22" s="20"/>
      <c r="AA22" s="21"/>
      <c r="AB22" s="21"/>
      <c r="AC22" s="20"/>
      <c r="AD22" s="20"/>
      <c r="AE22" s="20"/>
      <c r="AF22" s="17" t="str">
        <f t="shared" si="1"/>
        <v>New Logo</v>
      </c>
      <c r="AG22" s="17" t="str">
        <f t="shared" si="2"/>
        <v>Lead</v>
      </c>
      <c r="AH22" s="17" t="str">
        <f t="shared" si="3"/>
        <v>1001-5000</v>
      </c>
      <c r="AI22" s="17" t="str">
        <f t="shared" si="4"/>
        <v>101-500</v>
      </c>
    </row>
    <row r="23" ht="15.75" customHeight="1">
      <c r="A23" s="13">
        <f>HYPERLINK("https://app.hubspot.com/contacts/8748051/record/0-3/57388475262", 57388475262)</f>
        <v>57388475262</v>
      </c>
      <c r="B23" s="14" t="s">
        <v>123</v>
      </c>
      <c r="C23" s="14" t="s">
        <v>37</v>
      </c>
      <c r="D23" s="15">
        <v>20000.0</v>
      </c>
      <c r="E23" s="14" t="s">
        <v>124</v>
      </c>
      <c r="F23" s="14" t="s">
        <v>51</v>
      </c>
      <c r="G23" s="16">
        <v>46084.3953125</v>
      </c>
      <c r="H23" s="16">
        <v>46203.18381944444</v>
      </c>
      <c r="I23" s="14" t="s">
        <v>39</v>
      </c>
      <c r="J23" s="14" t="s">
        <v>40</v>
      </c>
      <c r="K23" s="14" t="s">
        <v>41</v>
      </c>
      <c r="L23" s="14" t="s">
        <v>42</v>
      </c>
      <c r="M23" s="14" t="s">
        <v>98</v>
      </c>
      <c r="N23" s="14"/>
      <c r="O23" s="14"/>
      <c r="P23" s="17"/>
      <c r="Q23" s="14" t="s">
        <v>125</v>
      </c>
      <c r="R23" s="13">
        <f>HYPERLINK("https://app.hubspot.com/contacts/8748051/record/0-2/52429945224", 52429945224)</f>
        <v>52429945224</v>
      </c>
      <c r="S23" s="14" t="s">
        <v>126</v>
      </c>
      <c r="T23" s="18" t="s">
        <v>127</v>
      </c>
      <c r="U23" s="14"/>
      <c r="V23" s="15"/>
      <c r="W23" s="19">
        <v>45.0</v>
      </c>
      <c r="X23" s="19">
        <v>2.0</v>
      </c>
      <c r="Y23" s="20"/>
      <c r="Z23" s="20"/>
      <c r="AA23" s="21"/>
      <c r="AB23" s="21"/>
      <c r="AC23" s="20"/>
      <c r="AD23" s="20"/>
      <c r="AE23" s="20"/>
      <c r="AF23" s="17" t="str">
        <f t="shared" si="1"/>
        <v>New Logo</v>
      </c>
      <c r="AG23" s="17" t="str">
        <f t="shared" si="2"/>
        <v>Lead</v>
      </c>
      <c r="AH23" s="17" t="str">
        <f t="shared" si="3"/>
        <v>0-200</v>
      </c>
      <c r="AI23" s="17" t="str">
        <f t="shared" si="4"/>
        <v>0-20</v>
      </c>
    </row>
    <row r="24" ht="15.75" customHeight="1">
      <c r="A24" s="13">
        <f>HYPERLINK("https://app.hubspot.com/contacts/8748051/record/0-3/57398781292", 57398781292)</f>
        <v>57398781292</v>
      </c>
      <c r="B24" s="14" t="s">
        <v>128</v>
      </c>
      <c r="C24" s="14" t="s">
        <v>37</v>
      </c>
      <c r="D24" s="15">
        <v>0.0</v>
      </c>
      <c r="E24" s="14" t="s">
        <v>38</v>
      </c>
      <c r="F24" s="14"/>
      <c r="G24" s="16">
        <v>46084.337002314816</v>
      </c>
      <c r="H24" s="16">
        <v>46264.33694444445</v>
      </c>
      <c r="I24" s="14" t="s">
        <v>39</v>
      </c>
      <c r="J24" s="14" t="s">
        <v>40</v>
      </c>
      <c r="K24" s="14" t="s">
        <v>41</v>
      </c>
      <c r="L24" s="14" t="s">
        <v>42</v>
      </c>
      <c r="M24" s="14"/>
      <c r="N24" s="14"/>
      <c r="O24" s="17"/>
      <c r="P24" s="14"/>
      <c r="Q24" s="14"/>
      <c r="R24" s="13">
        <f>HYPERLINK("https://app.hubspot.com/contacts/8748051/record/0-2/52433793158", 52433793158)</f>
        <v>52433793158</v>
      </c>
      <c r="S24" s="14" t="s">
        <v>129</v>
      </c>
      <c r="T24" s="18" t="s">
        <v>130</v>
      </c>
      <c r="U24" s="14"/>
      <c r="V24" s="15"/>
      <c r="W24" s="19">
        <v>7.0</v>
      </c>
      <c r="X24" s="19">
        <v>0.0</v>
      </c>
      <c r="Y24" s="20"/>
      <c r="Z24" s="20"/>
      <c r="AA24" s="21"/>
      <c r="AB24" s="21"/>
      <c r="AC24" s="20"/>
      <c r="AD24" s="20"/>
      <c r="AE24" s="20"/>
      <c r="AF24" s="17" t="str">
        <f t="shared" si="1"/>
        <v>New Logo</v>
      </c>
      <c r="AG24" s="17" t="str">
        <f t="shared" si="2"/>
        <v>Lead</v>
      </c>
      <c r="AH24" s="17" t="str">
        <f t="shared" si="3"/>
        <v>0-200</v>
      </c>
      <c r="AI24" s="17" t="str">
        <f t="shared" si="4"/>
        <v>0-20</v>
      </c>
    </row>
    <row r="25" ht="15.75" customHeight="1">
      <c r="A25" s="13">
        <f>HYPERLINK("https://app.hubspot.com/contacts/8748051/record/0-3/57354490411", 57354490411)</f>
        <v>57354490411</v>
      </c>
      <c r="B25" s="14" t="s">
        <v>131</v>
      </c>
      <c r="C25" s="14" t="s">
        <v>49</v>
      </c>
      <c r="D25" s="15">
        <v>41500.0</v>
      </c>
      <c r="E25" s="14" t="s">
        <v>38</v>
      </c>
      <c r="F25" s="14"/>
      <c r="G25" s="16">
        <v>46083.511770833335</v>
      </c>
      <c r="H25" s="16">
        <v>46263.51174768519</v>
      </c>
      <c r="I25" s="14" t="s">
        <v>39</v>
      </c>
      <c r="J25" s="14" t="s">
        <v>40</v>
      </c>
      <c r="K25" s="14" t="s">
        <v>59</v>
      </c>
      <c r="L25" s="14" t="s">
        <v>60</v>
      </c>
      <c r="M25" s="14" t="s">
        <v>43</v>
      </c>
      <c r="N25" s="14"/>
      <c r="O25" s="14"/>
      <c r="P25" s="14"/>
      <c r="Q25" s="17"/>
      <c r="R25" s="13">
        <f>HYPERLINK("https://app.hubspot.com/contacts/8748051/record/0-2/18380912239", 18380912239)</f>
        <v>18380912239</v>
      </c>
      <c r="S25" s="14" t="s">
        <v>132</v>
      </c>
      <c r="T25" s="18" t="s">
        <v>133</v>
      </c>
      <c r="U25" s="14" t="s">
        <v>46</v>
      </c>
      <c r="V25" s="15"/>
      <c r="W25" s="19">
        <v>364.0</v>
      </c>
      <c r="X25" s="19">
        <v>81.0</v>
      </c>
      <c r="Y25" s="20" t="s">
        <v>104</v>
      </c>
      <c r="Z25" s="20"/>
      <c r="AA25" s="21"/>
      <c r="AB25" s="21"/>
      <c r="AC25" s="20"/>
      <c r="AD25" s="20"/>
      <c r="AE25" s="20"/>
      <c r="AF25" s="17" t="str">
        <f t="shared" si="1"/>
        <v>New Logo</v>
      </c>
      <c r="AG25" s="17" t="str">
        <f t="shared" si="2"/>
        <v>Lead</v>
      </c>
      <c r="AH25" s="17" t="str">
        <f t="shared" si="3"/>
        <v>201-500</v>
      </c>
      <c r="AI25" s="17" t="str">
        <f t="shared" si="4"/>
        <v>51-100</v>
      </c>
    </row>
    <row r="26" ht="15.75" customHeight="1">
      <c r="A26" s="13">
        <f>HYPERLINK("https://app.hubspot.com/contacts/8748051/record/0-3/57344873112", 57344873112)</f>
        <v>57344873112</v>
      </c>
      <c r="B26" s="14" t="s">
        <v>134</v>
      </c>
      <c r="C26" s="14" t="s">
        <v>49</v>
      </c>
      <c r="D26" s="15">
        <v>100000.0</v>
      </c>
      <c r="E26" s="14" t="s">
        <v>118</v>
      </c>
      <c r="F26" s="14"/>
      <c r="G26" s="16">
        <v>46083.386979166666</v>
      </c>
      <c r="H26" s="16">
        <v>46263.38695601852</v>
      </c>
      <c r="I26" s="14" t="s">
        <v>39</v>
      </c>
      <c r="J26" s="14" t="s">
        <v>52</v>
      </c>
      <c r="K26" s="14" t="s">
        <v>59</v>
      </c>
      <c r="L26" s="14" t="s">
        <v>60</v>
      </c>
      <c r="M26" s="14" t="s">
        <v>43</v>
      </c>
      <c r="N26" s="14"/>
      <c r="O26" s="17"/>
      <c r="P26" s="14" t="s">
        <v>119</v>
      </c>
      <c r="Q26" s="14"/>
      <c r="R26" s="13">
        <f>HYPERLINK("https://app.hubspot.com/contacts/8748051/record/0-2/30623359770", 30623359770)</f>
        <v>30623359770</v>
      </c>
      <c r="S26" s="14" t="s">
        <v>135</v>
      </c>
      <c r="T26" s="18" t="s">
        <v>136</v>
      </c>
      <c r="U26" s="14" t="s">
        <v>46</v>
      </c>
      <c r="V26" s="15"/>
      <c r="W26" s="19">
        <v>1358.0</v>
      </c>
      <c r="X26" s="19">
        <v>230.0</v>
      </c>
      <c r="Y26" s="20" t="s">
        <v>122</v>
      </c>
      <c r="Z26" s="20"/>
      <c r="AA26" s="21"/>
      <c r="AB26" s="21"/>
      <c r="AC26" s="20"/>
      <c r="AD26" s="20"/>
      <c r="AE26" s="20"/>
      <c r="AF26" s="17" t="str">
        <f t="shared" si="1"/>
        <v>New Logo</v>
      </c>
      <c r="AG26" s="17" t="str">
        <f t="shared" si="2"/>
        <v>Lead</v>
      </c>
      <c r="AH26" s="17" t="str">
        <f t="shared" si="3"/>
        <v>1001-5000</v>
      </c>
      <c r="AI26" s="17" t="str">
        <f t="shared" si="4"/>
        <v>101-500</v>
      </c>
    </row>
    <row r="27" ht="15.75" customHeight="1">
      <c r="A27" s="13">
        <f>HYPERLINK("https://app.hubspot.com/contacts/8748051/record/0-3/57219368517", 57219368517)</f>
        <v>57219368517</v>
      </c>
      <c r="B27" s="14" t="s">
        <v>137</v>
      </c>
      <c r="C27" s="14" t="s">
        <v>37</v>
      </c>
      <c r="D27" s="15">
        <v>500.0</v>
      </c>
      <c r="E27" s="14" t="s">
        <v>38</v>
      </c>
      <c r="F27" s="14"/>
      <c r="G27" s="16">
        <v>46081.271678240744</v>
      </c>
      <c r="H27" s="16">
        <v>46261.27166666667</v>
      </c>
      <c r="I27" s="14" t="s">
        <v>39</v>
      </c>
      <c r="J27" s="14" t="s">
        <v>40</v>
      </c>
      <c r="K27" s="14" t="s">
        <v>41</v>
      </c>
      <c r="L27" s="14" t="s">
        <v>42</v>
      </c>
      <c r="M27" s="14"/>
      <c r="N27" s="14"/>
      <c r="O27" s="14"/>
      <c r="P27" s="14"/>
      <c r="Q27" s="14"/>
      <c r="R27" s="13">
        <f>HYPERLINK("https://app.hubspot.com/contacts/8748051/record/0-2/52198138726", 52198138726)</f>
        <v>52198138726</v>
      </c>
      <c r="S27" s="14" t="s">
        <v>138</v>
      </c>
      <c r="T27" s="18" t="s">
        <v>139</v>
      </c>
      <c r="U27" s="14"/>
      <c r="V27" s="15"/>
      <c r="W27" s="19">
        <v>4.0</v>
      </c>
      <c r="X27" s="19">
        <v>1.0</v>
      </c>
      <c r="Y27" s="20"/>
      <c r="Z27" s="20"/>
      <c r="AA27" s="20"/>
      <c r="AB27" s="21"/>
      <c r="AC27" s="20"/>
      <c r="AD27" s="21"/>
      <c r="AE27" s="20"/>
      <c r="AF27" s="17" t="str">
        <f t="shared" si="1"/>
        <v>New Logo</v>
      </c>
      <c r="AG27" s="17" t="str">
        <f t="shared" si="2"/>
        <v>Lead</v>
      </c>
      <c r="AH27" s="17" t="str">
        <f t="shared" si="3"/>
        <v>0-200</v>
      </c>
      <c r="AI27" s="17" t="str">
        <f t="shared" si="4"/>
        <v>0-20</v>
      </c>
    </row>
    <row r="28" ht="15.75" customHeight="1">
      <c r="A28" s="13">
        <f>HYPERLINK("https://app.hubspot.com/contacts/8748051/record/0-3/57137183797", 57137183797)</f>
        <v>57137183797</v>
      </c>
      <c r="B28" s="14" t="s">
        <v>140</v>
      </c>
      <c r="C28" s="14" t="s">
        <v>37</v>
      </c>
      <c r="D28" s="15">
        <v>3000.0</v>
      </c>
      <c r="E28" s="14" t="s">
        <v>124</v>
      </c>
      <c r="F28" s="14"/>
      <c r="G28" s="16">
        <v>46080.66540509259</v>
      </c>
      <c r="H28" s="16">
        <v>46260.66539351852</v>
      </c>
      <c r="I28" s="14" t="s">
        <v>39</v>
      </c>
      <c r="J28" s="14" t="s">
        <v>40</v>
      </c>
      <c r="K28" s="14" t="s">
        <v>41</v>
      </c>
      <c r="L28" s="14" t="s">
        <v>42</v>
      </c>
      <c r="M28" s="14" t="s">
        <v>43</v>
      </c>
      <c r="N28" s="14"/>
      <c r="O28" s="14"/>
      <c r="P28" s="14"/>
      <c r="Q28" s="14" t="s">
        <v>141</v>
      </c>
      <c r="R28" s="13">
        <f>HYPERLINK("https://app.hubspot.com/contacts/8748051/record/0-2/52248697149", 52248697149)</f>
        <v>52248697149</v>
      </c>
      <c r="S28" s="14" t="s">
        <v>142</v>
      </c>
      <c r="T28" s="18" t="s">
        <v>143</v>
      </c>
      <c r="U28" s="14"/>
      <c r="V28" s="15"/>
      <c r="W28" s="19">
        <v>57.0</v>
      </c>
      <c r="X28" s="19">
        <v>6.0</v>
      </c>
      <c r="Y28" s="20"/>
      <c r="Z28" s="20"/>
      <c r="AA28" s="21"/>
      <c r="AB28" s="21"/>
      <c r="AC28" s="20"/>
      <c r="AD28" s="21"/>
      <c r="AE28" s="20"/>
      <c r="AF28" s="17" t="str">
        <f t="shared" si="1"/>
        <v>New Logo</v>
      </c>
      <c r="AG28" s="17" t="str">
        <f t="shared" si="2"/>
        <v>Lead</v>
      </c>
      <c r="AH28" s="17" t="str">
        <f t="shared" si="3"/>
        <v>0-200</v>
      </c>
      <c r="AI28" s="17" t="str">
        <f t="shared" si="4"/>
        <v>0-20</v>
      </c>
    </row>
    <row r="29" ht="15.75" customHeight="1">
      <c r="A29" s="13">
        <f>HYPERLINK("https://app.hubspot.com/contacts/8748051/record/0-3/57114347057", 57114347057)</f>
        <v>57114347057</v>
      </c>
      <c r="B29" s="14" t="s">
        <v>144</v>
      </c>
      <c r="C29" s="14" t="s">
        <v>145</v>
      </c>
      <c r="D29" s="15">
        <v>8500.0</v>
      </c>
      <c r="E29" s="14" t="s">
        <v>146</v>
      </c>
      <c r="F29" s="14" t="s">
        <v>51</v>
      </c>
      <c r="G29" s="16">
        <v>46079.601018518515</v>
      </c>
      <c r="H29" s="16">
        <v>46096.8012962963</v>
      </c>
      <c r="I29" s="14" t="s">
        <v>39</v>
      </c>
      <c r="J29" s="14" t="s">
        <v>52</v>
      </c>
      <c r="K29" s="14" t="s">
        <v>41</v>
      </c>
      <c r="L29" s="14" t="s">
        <v>42</v>
      </c>
      <c r="M29" s="14" t="s">
        <v>43</v>
      </c>
      <c r="N29" s="14"/>
      <c r="O29" s="14" t="s">
        <v>147</v>
      </c>
      <c r="P29" s="17"/>
      <c r="Q29" s="17"/>
      <c r="R29" s="13">
        <f>HYPERLINK("https://app.hubspot.com/contacts/8748051/record/0-2/52161971734", 52161971734)</f>
        <v>52161971734</v>
      </c>
      <c r="S29" s="14" t="s">
        <v>148</v>
      </c>
      <c r="T29" s="18" t="s">
        <v>149</v>
      </c>
      <c r="U29" s="14"/>
      <c r="V29" s="15"/>
      <c r="W29" s="19">
        <v>232.0</v>
      </c>
      <c r="X29" s="19">
        <v>17.0</v>
      </c>
      <c r="Y29" s="21"/>
      <c r="Z29" s="20"/>
      <c r="AA29" s="20"/>
      <c r="AB29" s="20"/>
      <c r="AC29" s="20"/>
      <c r="AD29" s="20"/>
      <c r="AE29" s="20"/>
      <c r="AF29" s="17" t="str">
        <f t="shared" si="1"/>
        <v>New Logo</v>
      </c>
      <c r="AG29" s="17" t="str">
        <f t="shared" si="2"/>
        <v>Lead</v>
      </c>
      <c r="AH29" s="17" t="str">
        <f t="shared" si="3"/>
        <v>201-500</v>
      </c>
      <c r="AI29" s="17" t="str">
        <f t="shared" si="4"/>
        <v>0-20</v>
      </c>
    </row>
    <row r="30" ht="15.75" customHeight="1">
      <c r="A30" s="13">
        <f>HYPERLINK("https://app.hubspot.com/contacts/8748051/record/0-3/57117122306", 57117122306)</f>
        <v>57117122306</v>
      </c>
      <c r="B30" s="14" t="s">
        <v>150</v>
      </c>
      <c r="C30" s="14" t="s">
        <v>49</v>
      </c>
      <c r="D30" s="15">
        <v>40000.0</v>
      </c>
      <c r="E30" s="14" t="s">
        <v>151</v>
      </c>
      <c r="F30" s="14" t="s">
        <v>51</v>
      </c>
      <c r="G30" s="16">
        <v>46079.531747685185</v>
      </c>
      <c r="H30" s="16">
        <v>46142.42626157407</v>
      </c>
      <c r="I30" s="14" t="s">
        <v>39</v>
      </c>
      <c r="J30" s="14" t="s">
        <v>40</v>
      </c>
      <c r="K30" s="14"/>
      <c r="L30" s="14" t="s">
        <v>152</v>
      </c>
      <c r="M30" s="14" t="s">
        <v>43</v>
      </c>
      <c r="N30" s="14"/>
      <c r="O30" s="14"/>
      <c r="P30" s="17"/>
      <c r="Q30" s="14"/>
      <c r="R30" s="13">
        <f>HYPERLINK("https://app.hubspot.com/contacts/8748051/record/0-2/28495618996", 28495618996)</f>
        <v>28495618996</v>
      </c>
      <c r="S30" s="14" t="s">
        <v>153</v>
      </c>
      <c r="T30" s="18" t="s">
        <v>154</v>
      </c>
      <c r="U30" s="14" t="s">
        <v>46</v>
      </c>
      <c r="V30" s="15"/>
      <c r="W30" s="19">
        <v>314.0</v>
      </c>
      <c r="X30" s="19">
        <v>32.0</v>
      </c>
      <c r="Y30" s="20"/>
      <c r="Z30" s="20"/>
      <c r="AA30" s="21"/>
      <c r="AB30" s="20"/>
      <c r="AC30" s="20"/>
      <c r="AD30" s="20"/>
      <c r="AE30" s="20"/>
      <c r="AF30" s="17" t="str">
        <f t="shared" si="1"/>
        <v>New Logo</v>
      </c>
      <c r="AG30" s="17" t="str">
        <f t="shared" si="2"/>
        <v>Lead</v>
      </c>
      <c r="AH30" s="17" t="str">
        <f t="shared" si="3"/>
        <v>201-500</v>
      </c>
      <c r="AI30" s="17" t="str">
        <f t="shared" si="4"/>
        <v>21-50</v>
      </c>
    </row>
    <row r="31" ht="15.75" customHeight="1">
      <c r="A31" s="13">
        <f>HYPERLINK("https://app.hubspot.com/contacts/8748051/record/0-3/57021683630", 57021683630)</f>
        <v>57021683630</v>
      </c>
      <c r="B31" s="14" t="s">
        <v>155</v>
      </c>
      <c r="C31" s="14" t="s">
        <v>156</v>
      </c>
      <c r="D31" s="15">
        <v>-3370.0</v>
      </c>
      <c r="E31" s="14" t="s">
        <v>89</v>
      </c>
      <c r="F31" s="14"/>
      <c r="G31" s="16">
        <v>46079.45900462963</v>
      </c>
      <c r="H31" s="16">
        <v>46079.459178240744</v>
      </c>
      <c r="I31" s="14" t="s">
        <v>39</v>
      </c>
      <c r="J31" s="14" t="s">
        <v>157</v>
      </c>
      <c r="K31" s="14" t="s">
        <v>158</v>
      </c>
      <c r="L31" s="14" t="s">
        <v>159</v>
      </c>
      <c r="M31" s="14" t="s">
        <v>98</v>
      </c>
      <c r="N31" s="14" t="s">
        <v>160</v>
      </c>
      <c r="O31" s="14"/>
      <c r="P31" s="14"/>
      <c r="Q31" s="17"/>
      <c r="R31" s="13">
        <f>HYPERLINK("https://app.hubspot.com/contacts/8748051/record/0-2/7763642695", 7763642695)</f>
        <v>7763642695</v>
      </c>
      <c r="S31" s="14" t="s">
        <v>161</v>
      </c>
      <c r="T31" s="18" t="s">
        <v>162</v>
      </c>
      <c r="U31" s="14" t="s">
        <v>93</v>
      </c>
      <c r="V31" s="15">
        <v>28130.0</v>
      </c>
      <c r="W31" s="19">
        <v>1195.0</v>
      </c>
      <c r="X31" s="19">
        <v>176.0</v>
      </c>
      <c r="Y31" s="20"/>
      <c r="Z31" s="20" t="s">
        <v>163</v>
      </c>
      <c r="AA31" s="20"/>
      <c r="AB31" s="21"/>
      <c r="AC31" s="20" t="s">
        <v>164</v>
      </c>
      <c r="AD31" s="20" t="s">
        <v>165</v>
      </c>
      <c r="AE31" s="20" t="s">
        <v>166</v>
      </c>
      <c r="AF31" s="17" t="str">
        <f t="shared" si="1"/>
        <v>Downsell</v>
      </c>
      <c r="AG31" s="17" t="str">
        <f t="shared" si="2"/>
        <v>Customer</v>
      </c>
      <c r="AH31" s="17" t="str">
        <f t="shared" si="3"/>
        <v>1001-5000</v>
      </c>
      <c r="AI31" s="17" t="str">
        <f t="shared" si="4"/>
        <v>101-500</v>
      </c>
    </row>
    <row r="32" ht="15.75" customHeight="1">
      <c r="A32" s="13">
        <f>HYPERLINK("https://app.hubspot.com/contacts/8748051/record/0-3/57049619590", 57049619590)</f>
        <v>57049619590</v>
      </c>
      <c r="B32" s="14" t="s">
        <v>167</v>
      </c>
      <c r="C32" s="14" t="s">
        <v>37</v>
      </c>
      <c r="D32" s="15">
        <v>23000.0</v>
      </c>
      <c r="E32" s="14" t="s">
        <v>146</v>
      </c>
      <c r="F32" s="14" t="s">
        <v>51</v>
      </c>
      <c r="G32" s="16">
        <v>46078.74854166667</v>
      </c>
      <c r="H32" s="16">
        <v>46098.680451388886</v>
      </c>
      <c r="I32" s="14" t="s">
        <v>39</v>
      </c>
      <c r="J32" s="14" t="s">
        <v>40</v>
      </c>
      <c r="K32" s="14" t="s">
        <v>41</v>
      </c>
      <c r="L32" s="14" t="s">
        <v>42</v>
      </c>
      <c r="M32" s="14" t="s">
        <v>43</v>
      </c>
      <c r="N32" s="14"/>
      <c r="O32" s="14" t="s">
        <v>168</v>
      </c>
      <c r="P32" s="14"/>
      <c r="Q32" s="17"/>
      <c r="R32" s="13">
        <f>HYPERLINK("https://app.hubspot.com/contacts/8748051/record/0-2/41632615322", 41632615322)</f>
        <v>41632615322</v>
      </c>
      <c r="S32" s="14" t="s">
        <v>169</v>
      </c>
      <c r="T32" s="18" t="s">
        <v>170</v>
      </c>
      <c r="U32" s="14"/>
      <c r="V32" s="15"/>
      <c r="W32" s="19">
        <v>202.0</v>
      </c>
      <c r="X32" s="19">
        <v>46.0</v>
      </c>
      <c r="Y32" s="20" t="s">
        <v>104</v>
      </c>
      <c r="Z32" s="20"/>
      <c r="AA32" s="21"/>
      <c r="AB32" s="20"/>
      <c r="AC32" s="20"/>
      <c r="AD32" s="20"/>
      <c r="AE32" s="20"/>
      <c r="AF32" s="17" t="str">
        <f t="shared" si="1"/>
        <v>New Logo</v>
      </c>
      <c r="AG32" s="17" t="str">
        <f t="shared" si="2"/>
        <v>Lead</v>
      </c>
      <c r="AH32" s="17" t="str">
        <f t="shared" si="3"/>
        <v>201-500</v>
      </c>
      <c r="AI32" s="17" t="str">
        <f t="shared" si="4"/>
        <v>21-50</v>
      </c>
    </row>
    <row r="33" ht="15.75" customHeight="1">
      <c r="A33" s="13">
        <f>HYPERLINK("https://app.hubspot.com/contacts/8748051/record/0-3/57013614382", 57013614382)</f>
        <v>57013614382</v>
      </c>
      <c r="B33" s="14" t="s">
        <v>171</v>
      </c>
      <c r="C33" s="14" t="s">
        <v>37</v>
      </c>
      <c r="D33" s="15">
        <v>100000.0</v>
      </c>
      <c r="E33" s="14" t="s">
        <v>50</v>
      </c>
      <c r="F33" s="14" t="s">
        <v>51</v>
      </c>
      <c r="G33" s="16">
        <v>46078.42549768519</v>
      </c>
      <c r="H33" s="16">
        <v>46258.42542824074</v>
      </c>
      <c r="I33" s="14" t="s">
        <v>39</v>
      </c>
      <c r="J33" s="14" t="s">
        <v>52</v>
      </c>
      <c r="K33" s="14" t="s">
        <v>59</v>
      </c>
      <c r="L33" s="14" t="s">
        <v>60</v>
      </c>
      <c r="M33" s="14" t="s">
        <v>43</v>
      </c>
      <c r="N33" s="14"/>
      <c r="O33" s="17"/>
      <c r="P33" s="14"/>
      <c r="Q33" s="17"/>
      <c r="R33" s="13">
        <f>HYPERLINK("https://app.hubspot.com/contacts/8748051/record/0-2/9238256980", 9238256980)</f>
        <v>9238256980</v>
      </c>
      <c r="S33" s="14" t="s">
        <v>172</v>
      </c>
      <c r="T33" s="18" t="s">
        <v>173</v>
      </c>
      <c r="U33" s="14"/>
      <c r="V33" s="15"/>
      <c r="W33" s="19">
        <v>16451.0</v>
      </c>
      <c r="X33" s="19">
        <v>1703.0</v>
      </c>
      <c r="Y33" s="20"/>
      <c r="Z33" s="20"/>
      <c r="AA33" s="21"/>
      <c r="AB33" s="21"/>
      <c r="AC33" s="20"/>
      <c r="AD33" s="20"/>
      <c r="AE33" s="20"/>
      <c r="AF33" s="17" t="str">
        <f t="shared" si="1"/>
        <v>New Logo</v>
      </c>
      <c r="AG33" s="17" t="str">
        <f t="shared" si="2"/>
        <v>Lead</v>
      </c>
      <c r="AH33" s="17" t="str">
        <f t="shared" si="3"/>
        <v>10000+</v>
      </c>
      <c r="AI33" s="17" t="str">
        <f t="shared" si="4"/>
        <v>500+</v>
      </c>
    </row>
    <row r="34" ht="15.75" customHeight="1">
      <c r="A34" s="13">
        <f>HYPERLINK("https://app.hubspot.com/contacts/8748051/record/0-3/56928901170", 56928901170)</f>
        <v>56928901170</v>
      </c>
      <c r="B34" s="14" t="s">
        <v>174</v>
      </c>
      <c r="C34" s="14" t="s">
        <v>49</v>
      </c>
      <c r="D34" s="15">
        <v>16500.0</v>
      </c>
      <c r="E34" s="14" t="s">
        <v>38</v>
      </c>
      <c r="F34" s="14"/>
      <c r="G34" s="16">
        <v>46076.7753125</v>
      </c>
      <c r="H34" s="16">
        <v>46256.77527777778</v>
      </c>
      <c r="I34" s="14" t="s">
        <v>39</v>
      </c>
      <c r="J34" s="14" t="s">
        <v>40</v>
      </c>
      <c r="K34" s="14" t="s">
        <v>59</v>
      </c>
      <c r="L34" s="14" t="s">
        <v>175</v>
      </c>
      <c r="M34" s="14" t="s">
        <v>43</v>
      </c>
      <c r="N34" s="14"/>
      <c r="O34" s="17"/>
      <c r="P34" s="14"/>
      <c r="Q34" s="17"/>
      <c r="R34" s="13">
        <f>HYPERLINK("https://app.hubspot.com/contacts/8748051/record/0-2/7667037820", 7667037820)</f>
        <v>7667037820</v>
      </c>
      <c r="S34" s="14" t="s">
        <v>176</v>
      </c>
      <c r="T34" s="18" t="s">
        <v>177</v>
      </c>
      <c r="U34" s="14" t="s">
        <v>46</v>
      </c>
      <c r="V34" s="15"/>
      <c r="W34" s="19">
        <v>159.0</v>
      </c>
      <c r="X34" s="19">
        <v>33.0</v>
      </c>
      <c r="Y34" s="21"/>
      <c r="Z34" s="20"/>
      <c r="AA34" s="20"/>
      <c r="AB34" s="20"/>
      <c r="AC34" s="20"/>
      <c r="AD34" s="20"/>
      <c r="AE34" s="20"/>
      <c r="AF34" s="17" t="str">
        <f t="shared" si="1"/>
        <v>New Logo</v>
      </c>
      <c r="AG34" s="17" t="str">
        <f t="shared" si="2"/>
        <v>Lead</v>
      </c>
      <c r="AH34" s="17" t="str">
        <f t="shared" si="3"/>
        <v>0-200</v>
      </c>
      <c r="AI34" s="17" t="str">
        <f t="shared" si="4"/>
        <v>21-50</v>
      </c>
    </row>
    <row r="35" ht="15.75" customHeight="1">
      <c r="A35" s="13">
        <f>HYPERLINK("https://app.hubspot.com/contacts/8748051/record/0-3/56549273430", 56549273430)</f>
        <v>56549273430</v>
      </c>
      <c r="B35" s="14" t="s">
        <v>178</v>
      </c>
      <c r="C35" s="14" t="s">
        <v>49</v>
      </c>
      <c r="D35" s="15">
        <v>8000.0</v>
      </c>
      <c r="E35" s="14" t="s">
        <v>89</v>
      </c>
      <c r="F35" s="14" t="s">
        <v>51</v>
      </c>
      <c r="G35" s="16">
        <v>46070.542650462965</v>
      </c>
      <c r="H35" s="16">
        <v>46083.35155092592</v>
      </c>
      <c r="I35" s="14" t="s">
        <v>39</v>
      </c>
      <c r="J35" s="14" t="s">
        <v>179</v>
      </c>
      <c r="K35" s="14" t="s">
        <v>158</v>
      </c>
      <c r="L35" s="14" t="s">
        <v>180</v>
      </c>
      <c r="M35" s="14" t="s">
        <v>43</v>
      </c>
      <c r="N35" s="14" t="s">
        <v>181</v>
      </c>
      <c r="O35" s="17"/>
      <c r="P35" s="14"/>
      <c r="Q35" s="14"/>
      <c r="R35" s="13">
        <f>HYPERLINK("https://app.hubspot.com/contacts/8748051/record/0-2/35716472621", 35716472621)</f>
        <v>35716472621</v>
      </c>
      <c r="S35" s="14" t="s">
        <v>182</v>
      </c>
      <c r="T35" s="18" t="s">
        <v>183</v>
      </c>
      <c r="U35" s="14" t="s">
        <v>93</v>
      </c>
      <c r="V35" s="15">
        <v>88000.0</v>
      </c>
      <c r="W35" s="19">
        <v>972.0</v>
      </c>
      <c r="X35" s="19">
        <v>295.0</v>
      </c>
      <c r="Y35" s="21"/>
      <c r="Z35" s="20" t="s">
        <v>184</v>
      </c>
      <c r="AA35" s="20"/>
      <c r="AB35" s="21"/>
      <c r="AC35" s="20" t="s">
        <v>185</v>
      </c>
      <c r="AD35" s="20"/>
      <c r="AE35" s="20" t="s">
        <v>186</v>
      </c>
      <c r="AF35" s="17" t="str">
        <f t="shared" si="1"/>
        <v>Upsell</v>
      </c>
      <c r="AG35" s="17" t="str">
        <f t="shared" si="2"/>
        <v>Customer</v>
      </c>
      <c r="AH35" s="17" t="str">
        <f t="shared" si="3"/>
        <v>501-1000</v>
      </c>
      <c r="AI35" s="17" t="str">
        <f t="shared" si="4"/>
        <v>101-500</v>
      </c>
    </row>
    <row r="36" ht="15.75" customHeight="1">
      <c r="A36" s="13">
        <f>HYPERLINK("https://app.hubspot.com/contacts/8748051/record/0-3/56162829670", 56162829670)</f>
        <v>56162829670</v>
      </c>
      <c r="B36" s="14" t="s">
        <v>187</v>
      </c>
      <c r="C36" s="14" t="s">
        <v>156</v>
      </c>
      <c r="D36" s="15">
        <v>50064.0</v>
      </c>
      <c r="E36" s="14" t="s">
        <v>89</v>
      </c>
      <c r="F36" s="14" t="s">
        <v>51</v>
      </c>
      <c r="G36" s="16">
        <v>46066.367002314815</v>
      </c>
      <c r="H36" s="16">
        <v>46094.348715277774</v>
      </c>
      <c r="I36" s="14" t="s">
        <v>39</v>
      </c>
      <c r="J36" s="14" t="s">
        <v>179</v>
      </c>
      <c r="K36" s="14" t="s">
        <v>158</v>
      </c>
      <c r="L36" s="14" t="s">
        <v>159</v>
      </c>
      <c r="M36" s="14" t="s">
        <v>43</v>
      </c>
      <c r="N36" s="14" t="s">
        <v>188</v>
      </c>
      <c r="O36" s="17"/>
      <c r="P36" s="17"/>
      <c r="Q36" s="14"/>
      <c r="R36" s="13">
        <f>HYPERLINK("https://app.hubspot.com/contacts/8748051/record/0-2/8950154645", 8950154645)</f>
        <v>8950154645</v>
      </c>
      <c r="S36" s="14" t="s">
        <v>189</v>
      </c>
      <c r="T36" s="18" t="s">
        <v>190</v>
      </c>
      <c r="U36" s="14" t="s">
        <v>93</v>
      </c>
      <c r="V36" s="15">
        <v>79564.0</v>
      </c>
      <c r="W36" s="19">
        <v>882.0</v>
      </c>
      <c r="X36" s="19">
        <v>60.0</v>
      </c>
      <c r="Y36" s="20"/>
      <c r="Z36" s="20" t="s">
        <v>191</v>
      </c>
      <c r="AA36" s="20" t="s">
        <v>192</v>
      </c>
      <c r="AB36" s="20"/>
      <c r="AC36" s="20" t="s">
        <v>193</v>
      </c>
      <c r="AD36" s="20"/>
      <c r="AE36" s="20" t="s">
        <v>166</v>
      </c>
      <c r="AF36" s="17" t="str">
        <f t="shared" si="1"/>
        <v>Upsell</v>
      </c>
      <c r="AG36" s="17" t="str">
        <f t="shared" si="2"/>
        <v>Customer</v>
      </c>
      <c r="AH36" s="17" t="str">
        <f t="shared" si="3"/>
        <v>501-1000</v>
      </c>
      <c r="AI36" s="17" t="str">
        <f t="shared" si="4"/>
        <v>51-100</v>
      </c>
    </row>
    <row r="37" ht="15.75" customHeight="1">
      <c r="A37" s="13">
        <f>HYPERLINK("https://app.hubspot.com/contacts/8748051/record/0-3/56137197580", 56137197580)</f>
        <v>56137197580</v>
      </c>
      <c r="B37" s="14" t="s">
        <v>194</v>
      </c>
      <c r="C37" s="14" t="s">
        <v>37</v>
      </c>
      <c r="D37" s="15">
        <v>500.0</v>
      </c>
      <c r="E37" s="14" t="s">
        <v>124</v>
      </c>
      <c r="F37" s="14"/>
      <c r="G37" s="16">
        <v>46065.80082175926</v>
      </c>
      <c r="H37" s="16">
        <v>46245.80079861111</v>
      </c>
      <c r="I37" s="14" t="s">
        <v>39</v>
      </c>
      <c r="J37" s="14" t="s">
        <v>40</v>
      </c>
      <c r="K37" s="14" t="s">
        <v>41</v>
      </c>
      <c r="L37" s="14" t="s">
        <v>42</v>
      </c>
      <c r="M37" s="14"/>
      <c r="N37" s="17"/>
      <c r="O37" s="14"/>
      <c r="P37" s="14"/>
      <c r="Q37" s="14" t="s">
        <v>195</v>
      </c>
      <c r="R37" s="13">
        <f>HYPERLINK("https://app.hubspot.com/contacts/8748051/record/0-2/51272752282", 51272752282)</f>
        <v>51272752282</v>
      </c>
      <c r="S37" s="14" t="s">
        <v>196</v>
      </c>
      <c r="T37" s="18" t="s">
        <v>197</v>
      </c>
      <c r="U37" s="14"/>
      <c r="V37" s="15"/>
      <c r="W37" s="19">
        <v>9.0</v>
      </c>
      <c r="X37" s="19">
        <v>1.0</v>
      </c>
      <c r="Y37" s="20"/>
      <c r="Z37" s="20"/>
      <c r="AA37" s="21"/>
      <c r="AB37" s="20"/>
      <c r="AC37" s="20"/>
      <c r="AD37" s="20"/>
      <c r="AE37" s="20"/>
      <c r="AF37" s="17" t="str">
        <f t="shared" si="1"/>
        <v>New Logo</v>
      </c>
      <c r="AG37" s="17" t="str">
        <f t="shared" si="2"/>
        <v>Lead</v>
      </c>
      <c r="AH37" s="17" t="str">
        <f t="shared" si="3"/>
        <v>0-200</v>
      </c>
      <c r="AI37" s="17" t="str">
        <f t="shared" si="4"/>
        <v>0-20</v>
      </c>
    </row>
    <row r="38" ht="15.75" customHeight="1">
      <c r="A38" s="13">
        <f>HYPERLINK("https://app.hubspot.com/contacts/8748051/record/0-3/56125966216", 56125966216)</f>
        <v>56125966216</v>
      </c>
      <c r="B38" s="14" t="s">
        <v>198</v>
      </c>
      <c r="C38" s="14" t="s">
        <v>49</v>
      </c>
      <c r="D38" s="15">
        <v>30000.0</v>
      </c>
      <c r="E38" s="14" t="s">
        <v>50</v>
      </c>
      <c r="F38" s="14" t="s">
        <v>51</v>
      </c>
      <c r="G38" s="16">
        <v>46064.60424768519</v>
      </c>
      <c r="H38" s="16">
        <v>46203.58099537037</v>
      </c>
      <c r="I38" s="14" t="s">
        <v>39</v>
      </c>
      <c r="J38" s="14" t="s">
        <v>40</v>
      </c>
      <c r="K38" s="14" t="s">
        <v>41</v>
      </c>
      <c r="L38" s="14" t="s">
        <v>42</v>
      </c>
      <c r="M38" s="14" t="s">
        <v>43</v>
      </c>
      <c r="N38" s="17"/>
      <c r="O38" s="17"/>
      <c r="P38" s="14"/>
      <c r="Q38" s="14"/>
      <c r="R38" s="13">
        <f>HYPERLINK("https://app.hubspot.com/contacts/8748051/record/0-2/18415173681", 18415173681)</f>
        <v>18415173681</v>
      </c>
      <c r="S38" s="14" t="s">
        <v>199</v>
      </c>
      <c r="T38" s="18" t="s">
        <v>200</v>
      </c>
      <c r="U38" s="14" t="s">
        <v>46</v>
      </c>
      <c r="V38" s="15"/>
      <c r="W38" s="19">
        <v>222.0</v>
      </c>
      <c r="X38" s="19">
        <v>40.0</v>
      </c>
      <c r="Y38" s="20"/>
      <c r="Z38" s="20"/>
      <c r="AA38" s="21"/>
      <c r="AB38" s="20"/>
      <c r="AC38" s="20"/>
      <c r="AD38" s="20"/>
      <c r="AE38" s="20"/>
      <c r="AF38" s="17" t="str">
        <f t="shared" si="1"/>
        <v>New Logo</v>
      </c>
      <c r="AG38" s="17" t="str">
        <f t="shared" si="2"/>
        <v>Lead</v>
      </c>
      <c r="AH38" s="17" t="str">
        <f t="shared" si="3"/>
        <v>201-500</v>
      </c>
      <c r="AI38" s="17" t="str">
        <f t="shared" si="4"/>
        <v>21-50</v>
      </c>
    </row>
    <row r="39" ht="15.75" customHeight="1">
      <c r="A39" s="13">
        <f>HYPERLINK("https://app.hubspot.com/contacts/8748051/record/0-3/55927356301", 55927356301)</f>
        <v>55927356301</v>
      </c>
      <c r="B39" s="14" t="s">
        <v>201</v>
      </c>
      <c r="C39" s="14" t="s">
        <v>145</v>
      </c>
      <c r="D39" s="15">
        <v>28980.0</v>
      </c>
      <c r="E39" s="14" t="s">
        <v>50</v>
      </c>
      <c r="F39" s="14" t="s">
        <v>51</v>
      </c>
      <c r="G39" s="16">
        <v>46064.149618055555</v>
      </c>
      <c r="H39" s="16">
        <v>46245.186631944445</v>
      </c>
      <c r="I39" s="14" t="s">
        <v>39</v>
      </c>
      <c r="J39" s="14" t="s">
        <v>202</v>
      </c>
      <c r="K39" s="14" t="s">
        <v>158</v>
      </c>
      <c r="L39" s="14" t="s">
        <v>159</v>
      </c>
      <c r="M39" s="14" t="s">
        <v>43</v>
      </c>
      <c r="N39" s="14"/>
      <c r="O39" s="17"/>
      <c r="P39" s="14"/>
      <c r="Q39" s="17"/>
      <c r="R39" s="13">
        <f>HYPERLINK("https://app.hubspot.com/contacts/8748051/record/0-2/15119716451", 15119716451)</f>
        <v>15119716451</v>
      </c>
      <c r="S39" s="14" t="s">
        <v>203</v>
      </c>
      <c r="T39" s="18" t="s">
        <v>204</v>
      </c>
      <c r="U39" s="14" t="s">
        <v>93</v>
      </c>
      <c r="V39" s="15">
        <v>28960.0</v>
      </c>
      <c r="W39" s="19">
        <v>406.0</v>
      </c>
      <c r="X39" s="19">
        <v>112.0</v>
      </c>
      <c r="Y39" s="20"/>
      <c r="Z39" s="20" t="s">
        <v>205</v>
      </c>
      <c r="AA39" s="21"/>
      <c r="AB39" s="20" t="s">
        <v>206</v>
      </c>
      <c r="AC39" s="20" t="s">
        <v>207</v>
      </c>
      <c r="AD39" s="20" t="s">
        <v>208</v>
      </c>
      <c r="AE39" s="20" t="s">
        <v>209</v>
      </c>
      <c r="AF39" s="17" t="str">
        <f t="shared" si="1"/>
        <v>Resell / Save</v>
      </c>
      <c r="AG39" s="17" t="str">
        <f t="shared" si="2"/>
        <v>Customer</v>
      </c>
      <c r="AH39" s="17" t="str">
        <f t="shared" si="3"/>
        <v>201-500</v>
      </c>
      <c r="AI39" s="17" t="str">
        <f t="shared" si="4"/>
        <v>101-500</v>
      </c>
    </row>
    <row r="40" ht="15.75" customHeight="1">
      <c r="A40" s="13">
        <f>HYPERLINK("https://app.hubspot.com/contacts/8748051/record/0-3/55816943678", 55816943678)</f>
        <v>55816943678</v>
      </c>
      <c r="B40" s="14" t="s">
        <v>210</v>
      </c>
      <c r="C40" s="14" t="s">
        <v>49</v>
      </c>
      <c r="D40" s="15">
        <v>25000.0</v>
      </c>
      <c r="E40" s="14" t="s">
        <v>118</v>
      </c>
      <c r="F40" s="14"/>
      <c r="G40" s="16">
        <v>46062.40809027778</v>
      </c>
      <c r="H40" s="16">
        <v>46171.522569444445</v>
      </c>
      <c r="I40" s="14" t="s">
        <v>39</v>
      </c>
      <c r="J40" s="14" t="s">
        <v>40</v>
      </c>
      <c r="K40" s="14" t="s">
        <v>41</v>
      </c>
      <c r="L40" s="14" t="s">
        <v>42</v>
      </c>
      <c r="M40" s="14" t="s">
        <v>98</v>
      </c>
      <c r="N40" s="14"/>
      <c r="O40" s="14"/>
      <c r="P40" s="14" t="s">
        <v>211</v>
      </c>
      <c r="Q40" s="14"/>
      <c r="R40" s="13">
        <f>HYPERLINK("https://app.hubspot.com/contacts/8748051/record/0-2/7646062645", 7646062645)</f>
        <v>7646062645</v>
      </c>
      <c r="S40" s="18" t="s">
        <v>212</v>
      </c>
      <c r="T40" s="18" t="s">
        <v>213</v>
      </c>
      <c r="U40" s="14"/>
      <c r="V40" s="15"/>
      <c r="W40" s="19">
        <v>2979.0</v>
      </c>
      <c r="X40" s="19">
        <v>830.0</v>
      </c>
      <c r="Y40" s="20" t="s">
        <v>104</v>
      </c>
      <c r="Z40" s="20"/>
      <c r="AA40" s="20"/>
      <c r="AB40" s="21"/>
      <c r="AC40" s="20"/>
      <c r="AD40" s="20"/>
      <c r="AE40" s="20"/>
      <c r="AF40" s="17" t="str">
        <f t="shared" si="1"/>
        <v>New Logo</v>
      </c>
      <c r="AG40" s="17" t="str">
        <f t="shared" si="2"/>
        <v>Lead</v>
      </c>
      <c r="AH40" s="17" t="str">
        <f t="shared" si="3"/>
        <v>1001-5000</v>
      </c>
      <c r="AI40" s="17" t="str">
        <f t="shared" si="4"/>
        <v>500+</v>
      </c>
    </row>
    <row r="41" ht="15.75" customHeight="1">
      <c r="A41" s="13">
        <f>HYPERLINK("https://app.hubspot.com/contacts/8748051/record/0-3/56136062351", 56136062351)</f>
        <v>56136062351</v>
      </c>
      <c r="B41" s="14" t="s">
        <v>214</v>
      </c>
      <c r="C41" s="14" t="s">
        <v>156</v>
      </c>
      <c r="D41" s="15">
        <v>1996.0</v>
      </c>
      <c r="E41" s="14" t="s">
        <v>89</v>
      </c>
      <c r="F41" s="14"/>
      <c r="G41" s="16">
        <v>46059.366377314815</v>
      </c>
      <c r="H41" s="16">
        <v>46059.36640046296</v>
      </c>
      <c r="I41" s="14" t="s">
        <v>39</v>
      </c>
      <c r="J41" s="14" t="s">
        <v>179</v>
      </c>
      <c r="K41" s="14" t="s">
        <v>158</v>
      </c>
      <c r="L41" s="14" t="s">
        <v>159</v>
      </c>
      <c r="M41" s="14" t="s">
        <v>72</v>
      </c>
      <c r="N41" s="14" t="s">
        <v>215</v>
      </c>
      <c r="O41" s="14"/>
      <c r="P41" s="17"/>
      <c r="Q41" s="17"/>
      <c r="R41" s="13">
        <f>HYPERLINK("https://app.hubspot.com/contacts/8748051/record/0-2/21926460338", 21926460338)</f>
        <v>21926460338</v>
      </c>
      <c r="S41" s="14" t="s">
        <v>216</v>
      </c>
      <c r="T41" s="18" t="s">
        <v>217</v>
      </c>
      <c r="U41" s="14" t="s">
        <v>93</v>
      </c>
      <c r="V41" s="15">
        <v>12368.0</v>
      </c>
      <c r="W41" s="19">
        <v>134.0</v>
      </c>
      <c r="X41" s="19">
        <v>16.0</v>
      </c>
      <c r="Y41" s="20"/>
      <c r="Z41" s="20" t="s">
        <v>218</v>
      </c>
      <c r="AA41" s="21"/>
      <c r="AB41" s="20"/>
      <c r="AC41" s="20" t="s">
        <v>219</v>
      </c>
      <c r="AD41" s="20" t="s">
        <v>220</v>
      </c>
      <c r="AE41" s="20" t="s">
        <v>166</v>
      </c>
      <c r="AF41" s="17" t="str">
        <f t="shared" si="1"/>
        <v>Upsell</v>
      </c>
      <c r="AG41" s="17" t="str">
        <f t="shared" si="2"/>
        <v>Customer</v>
      </c>
      <c r="AH41" s="17" t="str">
        <f t="shared" si="3"/>
        <v>0-200</v>
      </c>
      <c r="AI41" s="17" t="str">
        <f t="shared" si="4"/>
        <v>0-20</v>
      </c>
    </row>
    <row r="42" ht="15.75" customHeight="1">
      <c r="A42" s="13">
        <f>HYPERLINK("https://app.hubspot.com/contacts/8748051/record/0-3/55624023821", 55624023821)</f>
        <v>55624023821</v>
      </c>
      <c r="B42" s="14" t="s">
        <v>221</v>
      </c>
      <c r="C42" s="14" t="s">
        <v>156</v>
      </c>
      <c r="D42" s="15">
        <v>3998.0</v>
      </c>
      <c r="E42" s="14" t="s">
        <v>89</v>
      </c>
      <c r="F42" s="14"/>
      <c r="G42" s="16">
        <v>46058.383576388886</v>
      </c>
      <c r="H42" s="16">
        <v>46058.38359953704</v>
      </c>
      <c r="I42" s="14" t="s">
        <v>39</v>
      </c>
      <c r="J42" s="14" t="s">
        <v>179</v>
      </c>
      <c r="K42" s="14" t="s">
        <v>158</v>
      </c>
      <c r="L42" s="14" t="s">
        <v>159</v>
      </c>
      <c r="M42" s="14" t="s">
        <v>98</v>
      </c>
      <c r="N42" s="14" t="s">
        <v>222</v>
      </c>
      <c r="O42" s="14"/>
      <c r="P42" s="14"/>
      <c r="Q42" s="17"/>
      <c r="R42" s="13">
        <f>HYPERLINK("https://app.hubspot.com/contacts/8748051/record/0-2/9132283033", 9132283033)</f>
        <v>9132283033</v>
      </c>
      <c r="S42" s="14" t="s">
        <v>223</v>
      </c>
      <c r="T42" s="18" t="s">
        <v>224</v>
      </c>
      <c r="U42" s="14" t="s">
        <v>93</v>
      </c>
      <c r="V42" s="15">
        <v>7998.0</v>
      </c>
      <c r="W42" s="19">
        <v>1573.0</v>
      </c>
      <c r="X42" s="19">
        <v>43.0</v>
      </c>
      <c r="Y42" s="20"/>
      <c r="Z42" s="20" t="s">
        <v>218</v>
      </c>
      <c r="AA42" s="20"/>
      <c r="AB42" s="20"/>
      <c r="AC42" s="20" t="s">
        <v>219</v>
      </c>
      <c r="AD42" s="20" t="s">
        <v>225</v>
      </c>
      <c r="AE42" s="20" t="s">
        <v>166</v>
      </c>
      <c r="AF42" s="17" t="str">
        <f t="shared" si="1"/>
        <v>Upsell</v>
      </c>
      <c r="AG42" s="17" t="str">
        <f t="shared" si="2"/>
        <v>Customer</v>
      </c>
      <c r="AH42" s="17" t="str">
        <f t="shared" si="3"/>
        <v>1001-5000</v>
      </c>
      <c r="AI42" s="17" t="str">
        <f t="shared" si="4"/>
        <v>21-50</v>
      </c>
    </row>
    <row r="43" ht="15.75" customHeight="1">
      <c r="A43" s="13">
        <f>HYPERLINK("https://app.hubspot.com/contacts/8748051/record/0-3/55299370838", 55299370838)</f>
        <v>55299370838</v>
      </c>
      <c r="B43" s="14" t="s">
        <v>226</v>
      </c>
      <c r="C43" s="14" t="s">
        <v>145</v>
      </c>
      <c r="D43" s="15">
        <v>25000.0</v>
      </c>
      <c r="E43" s="14" t="s">
        <v>38</v>
      </c>
      <c r="F43" s="14"/>
      <c r="G43" s="16">
        <v>46055.37076388889</v>
      </c>
      <c r="H43" s="16">
        <v>46113.41105324074</v>
      </c>
      <c r="I43" s="14" t="s">
        <v>39</v>
      </c>
      <c r="J43" s="14" t="s">
        <v>202</v>
      </c>
      <c r="K43" s="14" t="s">
        <v>158</v>
      </c>
      <c r="L43" s="14" t="s">
        <v>159</v>
      </c>
      <c r="M43" s="14" t="s">
        <v>43</v>
      </c>
      <c r="N43" s="14"/>
      <c r="O43" s="17"/>
      <c r="P43" s="14"/>
      <c r="Q43" s="14"/>
      <c r="R43" s="13">
        <f>HYPERLINK("https://app.hubspot.com/contacts/8748051/record/0-2/28688518980", 28688518980)</f>
        <v>28688518980</v>
      </c>
      <c r="S43" s="14" t="s">
        <v>227</v>
      </c>
      <c r="T43" s="18" t="s">
        <v>228</v>
      </c>
      <c r="U43" s="14" t="s">
        <v>93</v>
      </c>
      <c r="V43" s="15">
        <v>25000.0</v>
      </c>
      <c r="W43" s="19">
        <v>108.0</v>
      </c>
      <c r="X43" s="19">
        <v>13.0</v>
      </c>
      <c r="Y43" s="20"/>
      <c r="Z43" s="20" t="s">
        <v>184</v>
      </c>
      <c r="AA43" s="20"/>
      <c r="AB43" s="20" t="s">
        <v>206</v>
      </c>
      <c r="AC43" s="20" t="s">
        <v>229</v>
      </c>
      <c r="AD43" s="20" t="s">
        <v>230</v>
      </c>
      <c r="AE43" s="20" t="s">
        <v>209</v>
      </c>
      <c r="AF43" s="17" t="str">
        <f t="shared" si="1"/>
        <v>Resell / Save</v>
      </c>
      <c r="AG43" s="17" t="str">
        <f t="shared" si="2"/>
        <v>Customer</v>
      </c>
      <c r="AH43" s="17" t="str">
        <f t="shared" si="3"/>
        <v>0-200</v>
      </c>
      <c r="AI43" s="17" t="str">
        <f t="shared" si="4"/>
        <v>0-20</v>
      </c>
    </row>
    <row r="44" ht="15.75" customHeight="1">
      <c r="A44" s="13">
        <f>HYPERLINK("https://app.hubspot.com/contacts/8748051/record/0-3/55080753511", 55080753511)</f>
        <v>55080753511</v>
      </c>
      <c r="B44" s="14" t="s">
        <v>231</v>
      </c>
      <c r="C44" s="14" t="s">
        <v>37</v>
      </c>
      <c r="D44" s="15">
        <v>500.0</v>
      </c>
      <c r="E44" s="14" t="s">
        <v>118</v>
      </c>
      <c r="F44" s="14"/>
      <c r="G44" s="16">
        <v>46052.436203703706</v>
      </c>
      <c r="H44" s="16">
        <v>46232.436203703706</v>
      </c>
      <c r="I44" s="14" t="s">
        <v>39</v>
      </c>
      <c r="J44" s="14" t="s">
        <v>40</v>
      </c>
      <c r="K44" s="14" t="s">
        <v>41</v>
      </c>
      <c r="L44" s="14" t="s">
        <v>42</v>
      </c>
      <c r="M44" s="14" t="s">
        <v>72</v>
      </c>
      <c r="N44" s="17"/>
      <c r="O44" s="17"/>
      <c r="P44" s="14" t="s">
        <v>232</v>
      </c>
      <c r="Q44" s="14"/>
      <c r="R44" s="13">
        <f>HYPERLINK("https://app.hubspot.com/contacts/8748051/record/0-2/50242061138", 50242061138)</f>
        <v>50242061138</v>
      </c>
      <c r="S44" s="14" t="s">
        <v>233</v>
      </c>
      <c r="T44" s="18" t="s">
        <v>234</v>
      </c>
      <c r="U44" s="14"/>
      <c r="V44" s="22"/>
      <c r="W44" s="19">
        <v>18.0</v>
      </c>
      <c r="X44" s="19">
        <v>1.0</v>
      </c>
      <c r="Y44" s="20"/>
      <c r="Z44" s="21"/>
      <c r="AA44" s="21"/>
      <c r="AB44" s="21"/>
      <c r="AC44" s="21"/>
      <c r="AD44" s="21"/>
      <c r="AE44" s="21"/>
      <c r="AF44" s="17" t="str">
        <f t="shared" si="1"/>
        <v>New Logo</v>
      </c>
      <c r="AG44" s="17" t="str">
        <f t="shared" si="2"/>
        <v>Lead</v>
      </c>
      <c r="AH44" s="17" t="str">
        <f t="shared" si="3"/>
        <v>0-200</v>
      </c>
      <c r="AI44" s="17" t="str">
        <f t="shared" si="4"/>
        <v>0-20</v>
      </c>
    </row>
    <row r="45" ht="15.75" customHeight="1">
      <c r="A45" s="13">
        <f>HYPERLINK("https://app.hubspot.com/contacts/8748051/record/0-3/54975935143", 54975935143)</f>
        <v>54975935143</v>
      </c>
      <c r="B45" s="14" t="s">
        <v>235</v>
      </c>
      <c r="C45" s="14" t="s">
        <v>49</v>
      </c>
      <c r="D45" s="15">
        <v>35000.0</v>
      </c>
      <c r="E45" s="14" t="s">
        <v>124</v>
      </c>
      <c r="F45" s="14" t="s">
        <v>51</v>
      </c>
      <c r="G45" s="16">
        <v>46051.365891203706</v>
      </c>
      <c r="H45" s="16">
        <v>46203.50324074074</v>
      </c>
      <c r="I45" s="14" t="s">
        <v>39</v>
      </c>
      <c r="J45" s="14" t="s">
        <v>40</v>
      </c>
      <c r="K45" s="14" t="s">
        <v>41</v>
      </c>
      <c r="L45" s="14" t="s">
        <v>42</v>
      </c>
      <c r="M45" s="14" t="s">
        <v>43</v>
      </c>
      <c r="N45" s="14"/>
      <c r="O45" s="17"/>
      <c r="P45" s="14"/>
      <c r="Q45" s="14" t="s">
        <v>236</v>
      </c>
      <c r="R45" s="13">
        <f>HYPERLINK("https://app.hubspot.com/contacts/8748051/record/0-2/9238289492", 9238289492)</f>
        <v>9238289492</v>
      </c>
      <c r="S45" s="14" t="s">
        <v>237</v>
      </c>
      <c r="T45" s="18" t="s">
        <v>238</v>
      </c>
      <c r="U45" s="14"/>
      <c r="V45" s="15"/>
      <c r="W45" s="19">
        <v>369.0</v>
      </c>
      <c r="X45" s="19">
        <v>40.0</v>
      </c>
      <c r="Y45" s="20" t="s">
        <v>104</v>
      </c>
      <c r="Z45" s="20"/>
      <c r="AA45" s="20"/>
      <c r="AB45" s="20"/>
      <c r="AC45" s="20"/>
      <c r="AD45" s="20"/>
      <c r="AE45" s="20"/>
      <c r="AF45" s="17" t="str">
        <f t="shared" si="1"/>
        <v>New Logo</v>
      </c>
      <c r="AG45" s="17" t="str">
        <f t="shared" si="2"/>
        <v>Lead</v>
      </c>
      <c r="AH45" s="17" t="str">
        <f t="shared" si="3"/>
        <v>201-500</v>
      </c>
      <c r="AI45" s="17" t="str">
        <f t="shared" si="4"/>
        <v>21-50</v>
      </c>
    </row>
    <row r="46" ht="15.75" customHeight="1">
      <c r="A46" s="13">
        <f>HYPERLINK("https://app.hubspot.com/contacts/8748051/record/0-3/54944809320", 54944809320)</f>
        <v>54944809320</v>
      </c>
      <c r="B46" s="14" t="s">
        <v>239</v>
      </c>
      <c r="C46" s="14" t="s">
        <v>49</v>
      </c>
      <c r="D46" s="15">
        <v>15000.0</v>
      </c>
      <c r="E46" s="14" t="s">
        <v>124</v>
      </c>
      <c r="F46" s="14" t="s">
        <v>51</v>
      </c>
      <c r="G46" s="16">
        <v>46050.43851851852</v>
      </c>
      <c r="H46" s="16">
        <v>46112.40898148148</v>
      </c>
      <c r="I46" s="14" t="s">
        <v>39</v>
      </c>
      <c r="J46" s="14" t="s">
        <v>40</v>
      </c>
      <c r="K46" s="14" t="s">
        <v>41</v>
      </c>
      <c r="L46" s="14" t="s">
        <v>42</v>
      </c>
      <c r="M46" s="14" t="s">
        <v>43</v>
      </c>
      <c r="N46" s="14"/>
      <c r="O46" s="14"/>
      <c r="P46" s="14"/>
      <c r="Q46" s="14" t="s">
        <v>240</v>
      </c>
      <c r="R46" s="13">
        <f>HYPERLINK("https://app.hubspot.com/contacts/8748051/record/0-2/49960779408", 49960779408)</f>
        <v>49960779408</v>
      </c>
      <c r="S46" s="14" t="s">
        <v>241</v>
      </c>
      <c r="T46" s="18" t="s">
        <v>242</v>
      </c>
      <c r="U46" s="14"/>
      <c r="V46" s="15"/>
      <c r="W46" s="19">
        <v>162.0</v>
      </c>
      <c r="X46" s="19">
        <v>14.0</v>
      </c>
      <c r="Y46" s="20"/>
      <c r="Z46" s="20"/>
      <c r="AA46" s="21"/>
      <c r="AB46" s="21"/>
      <c r="AC46" s="20"/>
      <c r="AD46" s="20"/>
      <c r="AE46" s="20"/>
      <c r="AF46" s="17" t="str">
        <f t="shared" si="1"/>
        <v>New Logo</v>
      </c>
      <c r="AG46" s="17" t="str">
        <f t="shared" si="2"/>
        <v>Lead</v>
      </c>
      <c r="AH46" s="17" t="str">
        <f t="shared" si="3"/>
        <v>0-200</v>
      </c>
      <c r="AI46" s="17" t="str">
        <f t="shared" si="4"/>
        <v>0-20</v>
      </c>
    </row>
    <row r="47" ht="15.75" customHeight="1">
      <c r="A47" s="13">
        <f>HYPERLINK("https://app.hubspot.com/contacts/8748051/record/0-3/54545581328", 54545581328)</f>
        <v>54545581328</v>
      </c>
      <c r="B47" s="14" t="s">
        <v>243</v>
      </c>
      <c r="C47" s="14" t="s">
        <v>49</v>
      </c>
      <c r="D47" s="15">
        <v>15000.0</v>
      </c>
      <c r="E47" s="14" t="s">
        <v>124</v>
      </c>
      <c r="F47" s="14" t="s">
        <v>51</v>
      </c>
      <c r="G47" s="16">
        <v>46048.33064814815</v>
      </c>
      <c r="H47" s="16">
        <v>46112.78084490741</v>
      </c>
      <c r="I47" s="14" t="s">
        <v>39</v>
      </c>
      <c r="J47" s="14" t="s">
        <v>40</v>
      </c>
      <c r="K47" s="14" t="s">
        <v>41</v>
      </c>
      <c r="L47" s="14" t="s">
        <v>42</v>
      </c>
      <c r="M47" s="14" t="s">
        <v>43</v>
      </c>
      <c r="N47" s="14"/>
      <c r="O47" s="14"/>
      <c r="P47" s="17"/>
      <c r="Q47" s="14" t="s">
        <v>244</v>
      </c>
      <c r="R47" s="13">
        <f>HYPERLINK("https://app.hubspot.com/contacts/8748051/record/0-2/49640665012", 49640665012)</f>
        <v>49640665012</v>
      </c>
      <c r="S47" s="14" t="s">
        <v>245</v>
      </c>
      <c r="T47" s="18" t="s">
        <v>246</v>
      </c>
      <c r="U47" s="14"/>
      <c r="V47" s="15"/>
      <c r="W47" s="19">
        <v>397.0</v>
      </c>
      <c r="X47" s="19">
        <v>23.0</v>
      </c>
      <c r="Y47" s="21"/>
      <c r="Z47" s="20"/>
      <c r="AA47" s="20"/>
      <c r="AB47" s="21"/>
      <c r="AC47" s="20"/>
      <c r="AD47" s="20"/>
      <c r="AE47" s="20"/>
      <c r="AF47" s="17" t="str">
        <f t="shared" si="1"/>
        <v>New Logo</v>
      </c>
      <c r="AG47" s="17" t="str">
        <f t="shared" si="2"/>
        <v>Lead</v>
      </c>
      <c r="AH47" s="17" t="str">
        <f t="shared" si="3"/>
        <v>201-500</v>
      </c>
      <c r="AI47" s="17" t="str">
        <f t="shared" si="4"/>
        <v>21-50</v>
      </c>
    </row>
    <row r="48" ht="15.75" customHeight="1">
      <c r="A48" s="13">
        <f>HYPERLINK("https://app.hubspot.com/contacts/8748051/record/0-3/54362525809", 54362525809)</f>
        <v>54362525809</v>
      </c>
      <c r="B48" s="14" t="s">
        <v>247</v>
      </c>
      <c r="C48" s="14" t="s">
        <v>37</v>
      </c>
      <c r="D48" s="15">
        <v>10000.0</v>
      </c>
      <c r="E48" s="14" t="s">
        <v>50</v>
      </c>
      <c r="F48" s="14" t="s">
        <v>51</v>
      </c>
      <c r="G48" s="16">
        <v>46045.40615740741</v>
      </c>
      <c r="H48" s="16">
        <v>46225.40614583333</v>
      </c>
      <c r="I48" s="14" t="s">
        <v>39</v>
      </c>
      <c r="J48" s="14" t="s">
        <v>40</v>
      </c>
      <c r="K48" s="14" t="s">
        <v>41</v>
      </c>
      <c r="L48" s="14" t="s">
        <v>42</v>
      </c>
      <c r="M48" s="14" t="s">
        <v>72</v>
      </c>
      <c r="N48" s="14"/>
      <c r="O48" s="17"/>
      <c r="P48" s="14"/>
      <c r="Q48" s="17"/>
      <c r="R48" s="13">
        <f>HYPERLINK("https://app.hubspot.com/contacts/8748051/record/0-2/49481986307", 49481986307)</f>
        <v>49481986307</v>
      </c>
      <c r="S48" s="14" t="s">
        <v>248</v>
      </c>
      <c r="T48" s="18" t="s">
        <v>249</v>
      </c>
      <c r="U48" s="14"/>
      <c r="V48" s="15"/>
      <c r="W48" s="19">
        <v>5.0</v>
      </c>
      <c r="X48" s="19">
        <v>0.0</v>
      </c>
      <c r="Y48" s="20"/>
      <c r="Z48" s="20"/>
      <c r="AA48" s="20"/>
      <c r="AB48" s="21"/>
      <c r="AC48" s="21"/>
      <c r="AD48" s="21"/>
      <c r="AE48" s="21"/>
      <c r="AF48" s="17" t="str">
        <f t="shared" si="1"/>
        <v>New Logo</v>
      </c>
      <c r="AG48" s="17" t="str">
        <f t="shared" si="2"/>
        <v>Lead</v>
      </c>
      <c r="AH48" s="17" t="str">
        <f t="shared" si="3"/>
        <v>0-200</v>
      </c>
      <c r="AI48" s="17" t="str">
        <f t="shared" si="4"/>
        <v>0-20</v>
      </c>
    </row>
    <row r="49" ht="15.75" customHeight="1">
      <c r="A49" s="13">
        <f>HYPERLINK("https://app.hubspot.com/contacts/8748051/record/0-3/54347281823", 54347281823)</f>
        <v>54347281823</v>
      </c>
      <c r="B49" s="14" t="s">
        <v>250</v>
      </c>
      <c r="C49" s="14" t="s">
        <v>145</v>
      </c>
      <c r="D49" s="15">
        <v>27703.0</v>
      </c>
      <c r="E49" s="14" t="s">
        <v>89</v>
      </c>
      <c r="F49" s="14" t="s">
        <v>51</v>
      </c>
      <c r="G49" s="16">
        <v>46044.70140046296</v>
      </c>
      <c r="H49" s="16">
        <v>46079.47864583333</v>
      </c>
      <c r="I49" s="14" t="s">
        <v>39</v>
      </c>
      <c r="J49" s="14" t="s">
        <v>40</v>
      </c>
      <c r="K49" s="14" t="s">
        <v>251</v>
      </c>
      <c r="L49" s="14" t="s">
        <v>152</v>
      </c>
      <c r="M49" s="14" t="s">
        <v>43</v>
      </c>
      <c r="N49" s="14" t="s">
        <v>252</v>
      </c>
      <c r="O49" s="14"/>
      <c r="P49" s="14"/>
      <c r="Q49" s="14"/>
      <c r="R49" s="13">
        <f>HYPERLINK("https://app.hubspot.com/contacts/8748051/record/0-2/49502226080", 49502226080)</f>
        <v>49502226080</v>
      </c>
      <c r="S49" s="14" t="s">
        <v>253</v>
      </c>
      <c r="T49" s="18" t="s">
        <v>254</v>
      </c>
      <c r="U49" s="14" t="s">
        <v>93</v>
      </c>
      <c r="V49" s="15">
        <v>27703.0</v>
      </c>
      <c r="W49" s="19">
        <v>105.0</v>
      </c>
      <c r="X49" s="19">
        <v>17.0</v>
      </c>
      <c r="Y49" s="20"/>
      <c r="Z49" s="20" t="s">
        <v>163</v>
      </c>
      <c r="AA49" s="20" t="s">
        <v>192</v>
      </c>
      <c r="AB49" s="21"/>
      <c r="AC49" s="21"/>
      <c r="AD49" s="21"/>
      <c r="AE49" s="21"/>
      <c r="AF49" s="17" t="str">
        <f t="shared" si="1"/>
        <v>New Logo</v>
      </c>
      <c r="AG49" s="17" t="str">
        <f t="shared" si="2"/>
        <v>Customer</v>
      </c>
      <c r="AH49" s="17" t="str">
        <f t="shared" si="3"/>
        <v>0-200</v>
      </c>
      <c r="AI49" s="17" t="str">
        <f t="shared" si="4"/>
        <v>0-20</v>
      </c>
    </row>
    <row r="50" ht="15.75" customHeight="1">
      <c r="A50" s="13">
        <f>HYPERLINK("https://app.hubspot.com/contacts/8748051/record/0-3/54341766995", 54341766995)</f>
        <v>54341766995</v>
      </c>
      <c r="B50" s="14" t="s">
        <v>255</v>
      </c>
      <c r="C50" s="14" t="s">
        <v>49</v>
      </c>
      <c r="D50" s="15">
        <v>26000.0</v>
      </c>
      <c r="E50" s="14" t="s">
        <v>89</v>
      </c>
      <c r="F50" s="14" t="s">
        <v>51</v>
      </c>
      <c r="G50" s="16">
        <v>46044.65243055556</v>
      </c>
      <c r="H50" s="16">
        <v>46112.58252314815</v>
      </c>
      <c r="I50" s="14" t="s">
        <v>39</v>
      </c>
      <c r="J50" s="14" t="s">
        <v>40</v>
      </c>
      <c r="K50" s="14" t="s">
        <v>41</v>
      </c>
      <c r="L50" s="14" t="s">
        <v>42</v>
      </c>
      <c r="M50" s="14" t="s">
        <v>43</v>
      </c>
      <c r="N50" s="14" t="s">
        <v>256</v>
      </c>
      <c r="O50" s="17"/>
      <c r="P50" s="14"/>
      <c r="Q50" s="17"/>
      <c r="R50" s="13">
        <f>HYPERLINK("https://app.hubspot.com/contacts/8748051/record/0-2/7984321028", 7984321028)</f>
        <v>7984321028</v>
      </c>
      <c r="S50" s="14" t="s">
        <v>257</v>
      </c>
      <c r="T50" s="18" t="s">
        <v>258</v>
      </c>
      <c r="U50" s="14" t="s">
        <v>93</v>
      </c>
      <c r="V50" s="15">
        <v>26000.0</v>
      </c>
      <c r="W50" s="19">
        <v>410.0</v>
      </c>
      <c r="X50" s="19">
        <v>20.0</v>
      </c>
      <c r="Y50" s="20" t="s">
        <v>104</v>
      </c>
      <c r="Z50" s="20"/>
      <c r="AA50" s="20"/>
      <c r="AB50" s="20"/>
      <c r="AC50" s="20"/>
      <c r="AD50" s="20"/>
      <c r="AE50" s="20"/>
      <c r="AF50" s="17" t="str">
        <f t="shared" si="1"/>
        <v>New Logo</v>
      </c>
      <c r="AG50" s="17" t="str">
        <f t="shared" si="2"/>
        <v>Customer</v>
      </c>
      <c r="AH50" s="17" t="str">
        <f t="shared" si="3"/>
        <v>201-500</v>
      </c>
      <c r="AI50" s="17" t="str">
        <f t="shared" si="4"/>
        <v>0-20</v>
      </c>
    </row>
    <row r="51" ht="15.75" customHeight="1">
      <c r="A51" s="13">
        <f>HYPERLINK("https://app.hubspot.com/contacts/8748051/record/0-3/54314549078", 54314549078)</f>
        <v>54314549078</v>
      </c>
      <c r="B51" s="14" t="s">
        <v>259</v>
      </c>
      <c r="C51" s="14" t="s">
        <v>49</v>
      </c>
      <c r="D51" s="15">
        <v>2500.0</v>
      </c>
      <c r="E51" s="14" t="s">
        <v>118</v>
      </c>
      <c r="F51" s="14"/>
      <c r="G51" s="16">
        <v>46043.48574074074</v>
      </c>
      <c r="H51" s="16">
        <v>46223.48572916666</v>
      </c>
      <c r="I51" s="14" t="s">
        <v>39</v>
      </c>
      <c r="J51" s="14" t="s">
        <v>40</v>
      </c>
      <c r="K51" s="14" t="s">
        <v>41</v>
      </c>
      <c r="L51" s="14" t="s">
        <v>42</v>
      </c>
      <c r="M51" s="14" t="s">
        <v>43</v>
      </c>
      <c r="N51" s="14"/>
      <c r="O51" s="17"/>
      <c r="P51" s="14" t="s">
        <v>260</v>
      </c>
      <c r="Q51" s="14"/>
      <c r="R51" s="13">
        <f>HYPERLINK("https://app.hubspot.com/contacts/8748051/record/0-2/49434176815", 49434176815)</f>
        <v>49434176815</v>
      </c>
      <c r="S51" s="14" t="s">
        <v>261</v>
      </c>
      <c r="T51" s="18" t="s">
        <v>262</v>
      </c>
      <c r="U51" s="14"/>
      <c r="V51" s="15"/>
      <c r="W51" s="19">
        <v>139.0</v>
      </c>
      <c r="X51" s="19">
        <v>5.0</v>
      </c>
      <c r="Y51" s="20"/>
      <c r="Z51" s="20"/>
      <c r="AA51" s="20"/>
      <c r="AB51" s="20"/>
      <c r="AC51" s="20"/>
      <c r="AD51" s="20"/>
      <c r="AE51" s="20"/>
      <c r="AF51" s="17" t="str">
        <f t="shared" si="1"/>
        <v>New Logo</v>
      </c>
      <c r="AG51" s="17" t="str">
        <f t="shared" si="2"/>
        <v>Lead</v>
      </c>
      <c r="AH51" s="17" t="str">
        <f t="shared" si="3"/>
        <v>0-200</v>
      </c>
      <c r="AI51" s="17" t="str">
        <f t="shared" si="4"/>
        <v>0-20</v>
      </c>
    </row>
    <row r="52" ht="15.75" customHeight="1">
      <c r="A52" s="13">
        <f>HYPERLINK("https://app.hubspot.com/contacts/8748051/record/0-3/54315081069", 54315081069)</f>
        <v>54315081069</v>
      </c>
      <c r="B52" s="14" t="s">
        <v>263</v>
      </c>
      <c r="C52" s="14" t="s">
        <v>156</v>
      </c>
      <c r="D52" s="15">
        <v>-1980.0</v>
      </c>
      <c r="E52" s="14" t="s">
        <v>89</v>
      </c>
      <c r="F52" s="14"/>
      <c r="G52" s="16">
        <v>46043.45715277778</v>
      </c>
      <c r="H52" s="16">
        <v>46043.45717592593</v>
      </c>
      <c r="I52" s="14" t="s">
        <v>39</v>
      </c>
      <c r="J52" s="14" t="s">
        <v>157</v>
      </c>
      <c r="K52" s="14" t="s">
        <v>158</v>
      </c>
      <c r="L52" s="14" t="s">
        <v>159</v>
      </c>
      <c r="M52" s="14" t="s">
        <v>43</v>
      </c>
      <c r="N52" s="14" t="s">
        <v>264</v>
      </c>
      <c r="O52" s="14"/>
      <c r="P52" s="14"/>
      <c r="Q52" s="17"/>
      <c r="R52" s="13">
        <f>HYPERLINK("https://app.hubspot.com/contacts/8748051/record/0-2/7776553322", 7776553322)</f>
        <v>7776553322</v>
      </c>
      <c r="S52" s="14" t="s">
        <v>265</v>
      </c>
      <c r="T52" s="18" t="s">
        <v>266</v>
      </c>
      <c r="U52" s="14" t="s">
        <v>93</v>
      </c>
      <c r="V52" s="15">
        <v>25740.0</v>
      </c>
      <c r="W52" s="19">
        <v>211.0</v>
      </c>
      <c r="X52" s="19">
        <v>27.0</v>
      </c>
      <c r="Y52" s="20"/>
      <c r="Z52" s="20" t="s">
        <v>184</v>
      </c>
      <c r="AA52" s="20" t="s">
        <v>205</v>
      </c>
      <c r="AB52" s="20" t="s">
        <v>267</v>
      </c>
      <c r="AC52" s="20" t="s">
        <v>268</v>
      </c>
      <c r="AD52" s="20" t="s">
        <v>269</v>
      </c>
      <c r="AE52" s="20" t="s">
        <v>166</v>
      </c>
      <c r="AF52" s="17" t="str">
        <f t="shared" si="1"/>
        <v>Downsell</v>
      </c>
      <c r="AG52" s="17" t="str">
        <f t="shared" si="2"/>
        <v>Customer</v>
      </c>
      <c r="AH52" s="17" t="str">
        <f t="shared" si="3"/>
        <v>201-500</v>
      </c>
      <c r="AI52" s="17" t="str">
        <f t="shared" si="4"/>
        <v>21-50</v>
      </c>
    </row>
    <row r="53" ht="15.75" customHeight="1">
      <c r="A53" s="13">
        <f>HYPERLINK("https://app.hubspot.com/contacts/8748051/record/0-3/54288161660", 54288161660)</f>
        <v>54288161660</v>
      </c>
      <c r="B53" s="14" t="s">
        <v>270</v>
      </c>
      <c r="C53" s="14" t="s">
        <v>37</v>
      </c>
      <c r="D53" s="15">
        <v>15000.0</v>
      </c>
      <c r="E53" s="14" t="s">
        <v>38</v>
      </c>
      <c r="F53" s="14"/>
      <c r="G53" s="16">
        <v>46043.441458333335</v>
      </c>
      <c r="H53" s="16">
        <v>46223.44142361111</v>
      </c>
      <c r="I53" s="14" t="s">
        <v>39</v>
      </c>
      <c r="J53" s="14" t="s">
        <v>40</v>
      </c>
      <c r="K53" s="14" t="s">
        <v>41</v>
      </c>
      <c r="L53" s="14" t="s">
        <v>42</v>
      </c>
      <c r="M53" s="14"/>
      <c r="N53" s="14"/>
      <c r="O53" s="14"/>
      <c r="P53" s="14"/>
      <c r="Q53" s="17"/>
      <c r="R53" s="13">
        <f>HYPERLINK("https://app.hubspot.com/contacts/8748051/record/0-2/50471069085", 50471069085)</f>
        <v>50471069085</v>
      </c>
      <c r="S53" s="14" t="s">
        <v>271</v>
      </c>
      <c r="T53" s="18" t="s">
        <v>272</v>
      </c>
      <c r="U53" s="14" t="s">
        <v>46</v>
      </c>
      <c r="V53" s="15"/>
      <c r="W53" s="19">
        <v>200.0</v>
      </c>
      <c r="X53" s="19">
        <v>15.0</v>
      </c>
      <c r="Y53" s="20"/>
      <c r="Z53" s="20"/>
      <c r="AA53" s="20"/>
      <c r="AB53" s="21"/>
      <c r="AC53" s="20"/>
      <c r="AD53" s="20"/>
      <c r="AE53" s="20"/>
      <c r="AF53" s="17" t="str">
        <f t="shared" si="1"/>
        <v>New Logo</v>
      </c>
      <c r="AG53" s="17" t="str">
        <f t="shared" si="2"/>
        <v>Lead</v>
      </c>
      <c r="AH53" s="17" t="str">
        <f t="shared" si="3"/>
        <v>0-200</v>
      </c>
      <c r="AI53" s="17" t="str">
        <f t="shared" si="4"/>
        <v>0-20</v>
      </c>
    </row>
    <row r="54" ht="15.75" customHeight="1">
      <c r="A54" s="13">
        <f>HYPERLINK("https://app.hubspot.com/contacts/8748051/record/0-3/54166941849", 54166941849)</f>
        <v>54166941849</v>
      </c>
      <c r="B54" s="14" t="s">
        <v>273</v>
      </c>
      <c r="C54" s="14" t="s">
        <v>145</v>
      </c>
      <c r="D54" s="15">
        <v>27000.0</v>
      </c>
      <c r="E54" s="14" t="s">
        <v>146</v>
      </c>
      <c r="F54" s="14" t="s">
        <v>51</v>
      </c>
      <c r="G54" s="16">
        <v>46041.688101851854</v>
      </c>
      <c r="H54" s="16">
        <v>46110.81818287037</v>
      </c>
      <c r="I54" s="14" t="s">
        <v>39</v>
      </c>
      <c r="J54" s="14" t="s">
        <v>202</v>
      </c>
      <c r="K54" s="14" t="s">
        <v>158</v>
      </c>
      <c r="L54" s="14" t="s">
        <v>159</v>
      </c>
      <c r="M54" s="14" t="s">
        <v>43</v>
      </c>
      <c r="N54" s="14"/>
      <c r="O54" s="14" t="s">
        <v>274</v>
      </c>
      <c r="P54" s="14"/>
      <c r="Q54" s="17"/>
      <c r="R54" s="13">
        <f>HYPERLINK("https://app.hubspot.com/contacts/8748051/record/0-2/8016919815", 8016919815)</f>
        <v>8016919815</v>
      </c>
      <c r="S54" s="14" t="s">
        <v>275</v>
      </c>
      <c r="T54" s="18" t="s">
        <v>276</v>
      </c>
      <c r="U54" s="14">
        <v>3.4564763E7</v>
      </c>
      <c r="V54" s="15">
        <v>27480.0</v>
      </c>
      <c r="W54" s="19">
        <v>301.0</v>
      </c>
      <c r="X54" s="19">
        <v>26.0</v>
      </c>
      <c r="Y54" s="20"/>
      <c r="Z54" s="20" t="s">
        <v>184</v>
      </c>
      <c r="AA54" s="20" t="s">
        <v>205</v>
      </c>
      <c r="AB54" s="21"/>
      <c r="AC54" s="20" t="s">
        <v>277</v>
      </c>
      <c r="AD54" s="20" t="s">
        <v>278</v>
      </c>
      <c r="AE54" s="20" t="s">
        <v>209</v>
      </c>
      <c r="AF54" s="17" t="str">
        <f t="shared" si="1"/>
        <v>Resell / Save</v>
      </c>
      <c r="AG54" s="17" t="str">
        <f t="shared" si="2"/>
        <v>Churn</v>
      </c>
      <c r="AH54" s="17" t="str">
        <f t="shared" si="3"/>
        <v>201-500</v>
      </c>
      <c r="AI54" s="17" t="str">
        <f t="shared" si="4"/>
        <v>21-50</v>
      </c>
    </row>
    <row r="55" ht="15.75" customHeight="1">
      <c r="A55" s="13">
        <f>HYPERLINK("https://app.hubspot.com/contacts/8748051/record/0-3/54192627052", 54192627052)</f>
        <v>54192627052</v>
      </c>
      <c r="B55" s="14" t="s">
        <v>279</v>
      </c>
      <c r="C55" s="14" t="s">
        <v>37</v>
      </c>
      <c r="D55" s="15">
        <v>0.0</v>
      </c>
      <c r="E55" s="14" t="s">
        <v>118</v>
      </c>
      <c r="F55" s="14"/>
      <c r="G55" s="16">
        <v>46041.31760416667</v>
      </c>
      <c r="H55" s="16">
        <v>46221.317407407405</v>
      </c>
      <c r="I55" s="14" t="s">
        <v>39</v>
      </c>
      <c r="J55" s="14" t="s">
        <v>40</v>
      </c>
      <c r="K55" s="14" t="s">
        <v>41</v>
      </c>
      <c r="L55" s="14" t="s">
        <v>42</v>
      </c>
      <c r="M55" s="14"/>
      <c r="N55" s="14"/>
      <c r="O55" s="14"/>
      <c r="P55" s="14" t="s">
        <v>260</v>
      </c>
      <c r="Q55" s="14"/>
      <c r="R55" s="13">
        <f>HYPERLINK("https://app.hubspot.com/contacts/8748051/record/0-2/49356471705", 49356471705)</f>
        <v>49356471705</v>
      </c>
      <c r="S55" s="14" t="s">
        <v>280</v>
      </c>
      <c r="T55" s="18" t="s">
        <v>281</v>
      </c>
      <c r="U55" s="14"/>
      <c r="V55" s="15"/>
      <c r="W55" s="19">
        <v>3.0</v>
      </c>
      <c r="X55" s="19">
        <v>0.0</v>
      </c>
      <c r="Y55" s="20"/>
      <c r="Z55" s="20"/>
      <c r="AA55" s="20"/>
      <c r="AB55" s="21"/>
      <c r="AC55" s="20"/>
      <c r="AD55" s="20"/>
      <c r="AE55" s="20"/>
      <c r="AF55" s="17" t="str">
        <f t="shared" si="1"/>
        <v>New Logo</v>
      </c>
      <c r="AG55" s="17" t="str">
        <f t="shared" si="2"/>
        <v>Lead</v>
      </c>
      <c r="AH55" s="17" t="str">
        <f t="shared" si="3"/>
        <v>0-200</v>
      </c>
      <c r="AI55" s="17" t="str">
        <f t="shared" si="4"/>
        <v>0-20</v>
      </c>
    </row>
    <row r="56" ht="15.75" customHeight="1">
      <c r="A56" s="13">
        <f>HYPERLINK("https://app.hubspot.com/contacts/8748051/record/0-3/54003637801", 54003637801)</f>
        <v>54003637801</v>
      </c>
      <c r="B56" s="14" t="s">
        <v>282</v>
      </c>
      <c r="C56" s="14" t="s">
        <v>49</v>
      </c>
      <c r="D56" s="15">
        <v>15000.0</v>
      </c>
      <c r="E56" s="14" t="s">
        <v>146</v>
      </c>
      <c r="F56" s="14" t="s">
        <v>51</v>
      </c>
      <c r="G56" s="16">
        <v>46038.49900462963</v>
      </c>
      <c r="H56" s="16">
        <v>46084.495787037034</v>
      </c>
      <c r="I56" s="14" t="s">
        <v>39</v>
      </c>
      <c r="J56" s="14" t="s">
        <v>40</v>
      </c>
      <c r="K56" s="14" t="s">
        <v>41</v>
      </c>
      <c r="L56" s="14" t="s">
        <v>42</v>
      </c>
      <c r="M56" s="14" t="s">
        <v>43</v>
      </c>
      <c r="N56" s="14"/>
      <c r="O56" s="14" t="s">
        <v>283</v>
      </c>
      <c r="P56" s="14"/>
      <c r="Q56" s="14"/>
      <c r="R56" s="13">
        <f>HYPERLINK("https://app.hubspot.com/contacts/8748051/record/0-2/49119537465", 49119537465)</f>
        <v>49119537465</v>
      </c>
      <c r="S56" s="14" t="s">
        <v>284</v>
      </c>
      <c r="T56" s="18" t="s">
        <v>285</v>
      </c>
      <c r="U56" s="14"/>
      <c r="V56" s="15"/>
      <c r="W56" s="19">
        <v>28.0</v>
      </c>
      <c r="X56" s="19">
        <v>7.0</v>
      </c>
      <c r="Y56" s="20"/>
      <c r="Z56" s="20"/>
      <c r="AA56" s="21"/>
      <c r="AB56" s="21"/>
      <c r="AC56" s="20"/>
      <c r="AD56" s="20"/>
      <c r="AE56" s="20"/>
      <c r="AF56" s="17" t="str">
        <f t="shared" si="1"/>
        <v>New Logo</v>
      </c>
      <c r="AG56" s="17" t="str">
        <f t="shared" si="2"/>
        <v>Lead</v>
      </c>
      <c r="AH56" s="17" t="str">
        <f t="shared" si="3"/>
        <v>0-200</v>
      </c>
      <c r="AI56" s="17" t="str">
        <f t="shared" si="4"/>
        <v>0-20</v>
      </c>
    </row>
    <row r="57" ht="15.75" customHeight="1">
      <c r="A57" s="13">
        <f>HYPERLINK("https://app.hubspot.com/contacts/8748051/record/0-3/53944291355", 53944291355)</f>
        <v>53944291355</v>
      </c>
      <c r="B57" s="14" t="s">
        <v>286</v>
      </c>
      <c r="C57" s="14" t="s">
        <v>49</v>
      </c>
      <c r="D57" s="15">
        <v>12500.0</v>
      </c>
      <c r="E57" s="14" t="s">
        <v>118</v>
      </c>
      <c r="F57" s="14"/>
      <c r="G57" s="16">
        <v>46037.40295138889</v>
      </c>
      <c r="H57" s="16">
        <v>46217.40293981481</v>
      </c>
      <c r="I57" s="14" t="s">
        <v>39</v>
      </c>
      <c r="J57" s="14" t="s">
        <v>40</v>
      </c>
      <c r="K57" s="14" t="s">
        <v>41</v>
      </c>
      <c r="L57" s="14" t="s">
        <v>42</v>
      </c>
      <c r="M57" s="14" t="s">
        <v>98</v>
      </c>
      <c r="N57" s="14"/>
      <c r="O57" s="17"/>
      <c r="P57" s="14" t="s">
        <v>211</v>
      </c>
      <c r="Q57" s="14"/>
      <c r="R57" s="13">
        <f>HYPERLINK("https://app.hubspot.com/contacts/8748051/record/0-2/18598720558", 18598720558)</f>
        <v>18598720558</v>
      </c>
      <c r="S57" s="14" t="s">
        <v>287</v>
      </c>
      <c r="T57" s="14" t="s">
        <v>288</v>
      </c>
      <c r="U57" s="14" t="s">
        <v>46</v>
      </c>
      <c r="V57" s="15"/>
      <c r="W57" s="19">
        <v>62.0</v>
      </c>
      <c r="X57" s="19">
        <v>25.0</v>
      </c>
      <c r="Y57" s="20"/>
      <c r="Z57" s="20"/>
      <c r="AA57" s="21"/>
      <c r="AB57" s="21"/>
      <c r="AC57" s="20"/>
      <c r="AD57" s="20"/>
      <c r="AE57" s="20"/>
      <c r="AF57" s="17" t="str">
        <f t="shared" si="1"/>
        <v>New Logo</v>
      </c>
      <c r="AG57" s="17" t="str">
        <f t="shared" si="2"/>
        <v>Lead</v>
      </c>
      <c r="AH57" s="17" t="str">
        <f t="shared" si="3"/>
        <v>0-200</v>
      </c>
      <c r="AI57" s="17" t="str">
        <f t="shared" si="4"/>
        <v>21-50</v>
      </c>
    </row>
    <row r="58" ht="15.75" customHeight="1">
      <c r="A58" s="13">
        <f>HYPERLINK("https://app.hubspot.com/contacts/8748051/record/0-3/53864542225", 53864542225)</f>
        <v>53864542225</v>
      </c>
      <c r="B58" s="14" t="s">
        <v>289</v>
      </c>
      <c r="C58" s="14" t="s">
        <v>37</v>
      </c>
      <c r="D58" s="15">
        <v>7500.0</v>
      </c>
      <c r="E58" s="14" t="s">
        <v>124</v>
      </c>
      <c r="F58" s="14" t="s">
        <v>51</v>
      </c>
      <c r="G58" s="16">
        <v>46036.91506944445</v>
      </c>
      <c r="H58" s="16">
        <v>46216.91505787037</v>
      </c>
      <c r="I58" s="14" t="s">
        <v>39</v>
      </c>
      <c r="J58" s="14" t="s">
        <v>40</v>
      </c>
      <c r="K58" s="14" t="s">
        <v>41</v>
      </c>
      <c r="L58" s="14" t="s">
        <v>42</v>
      </c>
      <c r="M58" s="14" t="s">
        <v>72</v>
      </c>
      <c r="N58" s="17"/>
      <c r="O58" s="17"/>
      <c r="P58" s="14"/>
      <c r="Q58" s="14" t="s">
        <v>195</v>
      </c>
      <c r="R58" s="13">
        <f>HYPERLINK("https://app.hubspot.com/contacts/8748051/record/0-2/49076433176", 49076433176)</f>
        <v>49076433176</v>
      </c>
      <c r="S58" s="14" t="s">
        <v>290</v>
      </c>
      <c r="T58" s="14" t="s">
        <v>291</v>
      </c>
      <c r="U58" s="14"/>
      <c r="V58" s="22"/>
      <c r="W58" s="19">
        <v>569.0</v>
      </c>
      <c r="X58" s="19">
        <v>53.0</v>
      </c>
      <c r="Y58" s="20"/>
      <c r="Z58" s="21"/>
      <c r="AA58" s="21"/>
      <c r="AB58" s="21"/>
      <c r="AC58" s="21"/>
      <c r="AD58" s="21"/>
      <c r="AE58" s="21"/>
      <c r="AF58" s="17" t="str">
        <f t="shared" si="1"/>
        <v>New Logo</v>
      </c>
      <c r="AG58" s="17" t="str">
        <f t="shared" si="2"/>
        <v>Lead</v>
      </c>
      <c r="AH58" s="17" t="str">
        <f t="shared" si="3"/>
        <v>501-1000</v>
      </c>
      <c r="AI58" s="17" t="str">
        <f t="shared" si="4"/>
        <v>51-100</v>
      </c>
    </row>
    <row r="59" ht="15.75" customHeight="1">
      <c r="A59" s="13">
        <f>HYPERLINK("https://app.hubspot.com/contacts/8748051/record/0-3/53814466116", 53814466116)</f>
        <v>53814466116</v>
      </c>
      <c r="B59" s="14" t="s">
        <v>292</v>
      </c>
      <c r="C59" s="14" t="s">
        <v>37</v>
      </c>
      <c r="D59" s="15">
        <v>26000.0</v>
      </c>
      <c r="E59" s="14" t="s">
        <v>124</v>
      </c>
      <c r="F59" s="14" t="s">
        <v>51</v>
      </c>
      <c r="G59" s="16">
        <v>46036.415034722224</v>
      </c>
      <c r="H59" s="16">
        <v>46216.41502314815</v>
      </c>
      <c r="I59" s="14" t="s">
        <v>39</v>
      </c>
      <c r="J59" s="14" t="s">
        <v>40</v>
      </c>
      <c r="K59" s="14" t="s">
        <v>41</v>
      </c>
      <c r="L59" s="14" t="s">
        <v>42</v>
      </c>
      <c r="M59" s="14" t="s">
        <v>98</v>
      </c>
      <c r="N59" s="17"/>
      <c r="O59" s="17"/>
      <c r="P59" s="14"/>
      <c r="Q59" s="14" t="s">
        <v>125</v>
      </c>
      <c r="R59" s="13">
        <f>HYPERLINK("https://app.hubspot.com/contacts/8748051/record/0-2/48931812153", 48931812153)</f>
        <v>48931812153</v>
      </c>
      <c r="S59" s="14" t="s">
        <v>293</v>
      </c>
      <c r="T59" s="18" t="s">
        <v>294</v>
      </c>
      <c r="U59" s="14"/>
      <c r="V59" s="22"/>
      <c r="W59" s="19">
        <v>1882.0</v>
      </c>
      <c r="X59" s="19">
        <v>52.0</v>
      </c>
      <c r="Y59" s="20"/>
      <c r="Z59" s="21"/>
      <c r="AA59" s="21"/>
      <c r="AB59" s="21"/>
      <c r="AC59" s="21"/>
      <c r="AD59" s="21"/>
      <c r="AE59" s="21"/>
      <c r="AF59" s="17" t="str">
        <f t="shared" si="1"/>
        <v>New Logo</v>
      </c>
      <c r="AG59" s="17" t="str">
        <f t="shared" si="2"/>
        <v>Lead</v>
      </c>
      <c r="AH59" s="17" t="str">
        <f t="shared" si="3"/>
        <v>1001-5000</v>
      </c>
      <c r="AI59" s="17" t="str">
        <f t="shared" si="4"/>
        <v>51-100</v>
      </c>
    </row>
    <row r="60" ht="15.75" customHeight="1">
      <c r="A60" s="13">
        <f>HYPERLINK("https://app.hubspot.com/contacts/8748051/record/0-3/53811994683", 53811994683)</f>
        <v>53811994683</v>
      </c>
      <c r="B60" s="14" t="s">
        <v>295</v>
      </c>
      <c r="C60" s="14" t="s">
        <v>37</v>
      </c>
      <c r="D60" s="15">
        <v>0.0</v>
      </c>
      <c r="E60" s="14" t="s">
        <v>118</v>
      </c>
      <c r="F60" s="14"/>
      <c r="G60" s="16">
        <v>46036.41473379629</v>
      </c>
      <c r="H60" s="16">
        <v>46216.41473379629</v>
      </c>
      <c r="I60" s="14" t="s">
        <v>39</v>
      </c>
      <c r="J60" s="14" t="s">
        <v>40</v>
      </c>
      <c r="K60" s="14" t="s">
        <v>41</v>
      </c>
      <c r="L60" s="14" t="s">
        <v>42</v>
      </c>
      <c r="M60" s="14"/>
      <c r="N60" s="14"/>
      <c r="O60" s="17"/>
      <c r="P60" s="14" t="s">
        <v>232</v>
      </c>
      <c r="Q60" s="14"/>
      <c r="R60" s="13">
        <f>HYPERLINK("https://app.hubspot.com/contacts/8748051/record/0-2/48922792753", 48922792753)</f>
        <v>48922792753</v>
      </c>
      <c r="S60" s="14" t="s">
        <v>296</v>
      </c>
      <c r="T60" s="18" t="s">
        <v>297</v>
      </c>
      <c r="U60" s="14"/>
      <c r="V60" s="15"/>
      <c r="W60" s="19">
        <v>5.0</v>
      </c>
      <c r="X60" s="19">
        <v>0.0</v>
      </c>
      <c r="Y60" s="21"/>
      <c r="Z60" s="20"/>
      <c r="AA60" s="20"/>
      <c r="AB60" s="21"/>
      <c r="AC60" s="20"/>
      <c r="AD60" s="20"/>
      <c r="AE60" s="20"/>
      <c r="AF60" s="17" t="str">
        <f t="shared" si="1"/>
        <v>New Logo</v>
      </c>
      <c r="AG60" s="17" t="str">
        <f t="shared" si="2"/>
        <v>Lead</v>
      </c>
      <c r="AH60" s="17" t="str">
        <f t="shared" si="3"/>
        <v>0-200</v>
      </c>
      <c r="AI60" s="17" t="str">
        <f t="shared" si="4"/>
        <v>0-20</v>
      </c>
    </row>
    <row r="61" ht="15.75" customHeight="1">
      <c r="A61" s="13">
        <f>HYPERLINK("https://app.hubspot.com/contacts/8748051/record/0-3/53767933957", 53767933957)</f>
        <v>53767933957</v>
      </c>
      <c r="B61" s="14" t="s">
        <v>298</v>
      </c>
      <c r="C61" s="14" t="s">
        <v>49</v>
      </c>
      <c r="D61" s="15">
        <v>1500.0</v>
      </c>
      <c r="E61" s="14" t="s">
        <v>118</v>
      </c>
      <c r="F61" s="14"/>
      <c r="G61" s="16">
        <v>46035.656319444446</v>
      </c>
      <c r="H61" s="16">
        <v>46215.65630787037</v>
      </c>
      <c r="I61" s="14" t="s">
        <v>39</v>
      </c>
      <c r="J61" s="14" t="s">
        <v>40</v>
      </c>
      <c r="K61" s="14" t="s">
        <v>41</v>
      </c>
      <c r="L61" s="14" t="s">
        <v>42</v>
      </c>
      <c r="M61" s="14" t="s">
        <v>43</v>
      </c>
      <c r="N61" s="14"/>
      <c r="O61" s="17"/>
      <c r="P61" s="14" t="s">
        <v>232</v>
      </c>
      <c r="Q61" s="17"/>
      <c r="R61" s="13">
        <f>HYPERLINK("https://app.hubspot.com/contacts/8748051/record/0-2/48892513299", 48892513299)</f>
        <v>48892513299</v>
      </c>
      <c r="S61" s="14" t="s">
        <v>299</v>
      </c>
      <c r="T61" s="18" t="s">
        <v>300</v>
      </c>
      <c r="U61" s="14"/>
      <c r="V61" s="15"/>
      <c r="W61" s="19">
        <v>122.0</v>
      </c>
      <c r="X61" s="19">
        <v>3.0</v>
      </c>
      <c r="Y61" s="20"/>
      <c r="Z61" s="20"/>
      <c r="AA61" s="20"/>
      <c r="AB61" s="21"/>
      <c r="AC61" s="20"/>
      <c r="AD61" s="20"/>
      <c r="AE61" s="20"/>
      <c r="AF61" s="17" t="str">
        <f t="shared" si="1"/>
        <v>New Logo</v>
      </c>
      <c r="AG61" s="17" t="str">
        <f t="shared" si="2"/>
        <v>Lead</v>
      </c>
      <c r="AH61" s="17" t="str">
        <f t="shared" si="3"/>
        <v>0-200</v>
      </c>
      <c r="AI61" s="17" t="str">
        <f t="shared" si="4"/>
        <v>0-20</v>
      </c>
    </row>
    <row r="62" ht="15.75" customHeight="1">
      <c r="A62" s="13">
        <f>HYPERLINK("https://app.hubspot.com/contacts/8748051/record/0-3/53503863730", 53503863730)</f>
        <v>53503863730</v>
      </c>
      <c r="B62" s="14" t="s">
        <v>301</v>
      </c>
      <c r="C62" s="14" t="s">
        <v>156</v>
      </c>
      <c r="D62" s="15">
        <v>1280.0</v>
      </c>
      <c r="E62" s="14" t="s">
        <v>89</v>
      </c>
      <c r="F62" s="14"/>
      <c r="G62" s="16">
        <v>46032.00622685185</v>
      </c>
      <c r="H62" s="16">
        <v>46032.21704861111</v>
      </c>
      <c r="I62" s="14" t="s">
        <v>39</v>
      </c>
      <c r="J62" s="14" t="s">
        <v>179</v>
      </c>
      <c r="K62" s="14" t="s">
        <v>158</v>
      </c>
      <c r="L62" s="14" t="s">
        <v>159</v>
      </c>
      <c r="M62" s="14" t="s">
        <v>43</v>
      </c>
      <c r="N62" s="14" t="s">
        <v>302</v>
      </c>
      <c r="O62" s="17"/>
      <c r="P62" s="17"/>
      <c r="Q62" s="14"/>
      <c r="R62" s="13">
        <f>HYPERLINK("https://app.hubspot.com/contacts/8748051/record/0-2/18382656883", 18382656883)</f>
        <v>18382656883</v>
      </c>
      <c r="S62" s="14" t="s">
        <v>303</v>
      </c>
      <c r="T62" s="18" t="s">
        <v>304</v>
      </c>
      <c r="U62" s="14" t="s">
        <v>93</v>
      </c>
      <c r="V62" s="15">
        <v>27480.0</v>
      </c>
      <c r="W62" s="19">
        <v>210.0</v>
      </c>
      <c r="X62" s="19">
        <v>16.0</v>
      </c>
      <c r="Y62" s="20"/>
      <c r="Z62" s="20" t="s">
        <v>205</v>
      </c>
      <c r="AA62" s="20" t="s">
        <v>192</v>
      </c>
      <c r="AB62" s="21"/>
      <c r="AC62" s="20" t="s">
        <v>305</v>
      </c>
      <c r="AD62" s="20" t="s">
        <v>306</v>
      </c>
      <c r="AE62" s="20" t="s">
        <v>166</v>
      </c>
      <c r="AF62" s="17" t="str">
        <f t="shared" si="1"/>
        <v>Upsell</v>
      </c>
      <c r="AG62" s="17" t="str">
        <f t="shared" si="2"/>
        <v>Customer</v>
      </c>
      <c r="AH62" s="17" t="str">
        <f t="shared" si="3"/>
        <v>201-500</v>
      </c>
      <c r="AI62" s="17" t="str">
        <f t="shared" si="4"/>
        <v>0-20</v>
      </c>
    </row>
    <row r="63" ht="15.75" customHeight="1">
      <c r="A63" s="13">
        <f>HYPERLINK("https://app.hubspot.com/contacts/8748051/record/0-3/53550504530", 53550504530)</f>
        <v>53550504530</v>
      </c>
      <c r="B63" s="14" t="s">
        <v>307</v>
      </c>
      <c r="C63" s="14" t="s">
        <v>156</v>
      </c>
      <c r="D63" s="15">
        <v>2500.0</v>
      </c>
      <c r="E63" s="14" t="s">
        <v>89</v>
      </c>
      <c r="F63" s="14"/>
      <c r="G63" s="16">
        <v>46032.00619212963</v>
      </c>
      <c r="H63" s="16">
        <v>46032.21702546296</v>
      </c>
      <c r="I63" s="14" t="s">
        <v>39</v>
      </c>
      <c r="J63" s="14" t="s">
        <v>179</v>
      </c>
      <c r="K63" s="14" t="s">
        <v>158</v>
      </c>
      <c r="L63" s="14" t="s">
        <v>159</v>
      </c>
      <c r="M63" s="14" t="s">
        <v>98</v>
      </c>
      <c r="N63" s="14" t="s">
        <v>308</v>
      </c>
      <c r="O63" s="14"/>
      <c r="P63" s="14"/>
      <c r="Q63" s="14"/>
      <c r="R63" s="13">
        <f>HYPERLINK("https://app.hubspot.com/contacts/8748051/record/0-2/8741219622", 8741219622)</f>
        <v>8741219622</v>
      </c>
      <c r="S63" s="14" t="s">
        <v>309</v>
      </c>
      <c r="T63" s="18" t="s">
        <v>310</v>
      </c>
      <c r="U63" s="14" t="s">
        <v>93</v>
      </c>
      <c r="V63" s="15">
        <v>23500.0</v>
      </c>
      <c r="W63" s="19">
        <v>262.0</v>
      </c>
      <c r="X63" s="19">
        <v>34.0</v>
      </c>
      <c r="Y63" s="20"/>
      <c r="Z63" s="20" t="s">
        <v>218</v>
      </c>
      <c r="AA63" s="21"/>
      <c r="AB63" s="21"/>
      <c r="AC63" s="20" t="s">
        <v>311</v>
      </c>
      <c r="AD63" s="20" t="s">
        <v>312</v>
      </c>
      <c r="AE63" s="20" t="s">
        <v>186</v>
      </c>
      <c r="AF63" s="17" t="str">
        <f t="shared" si="1"/>
        <v>Upsell</v>
      </c>
      <c r="AG63" s="17" t="str">
        <f t="shared" si="2"/>
        <v>Customer</v>
      </c>
      <c r="AH63" s="17" t="str">
        <f t="shared" si="3"/>
        <v>201-500</v>
      </c>
      <c r="AI63" s="17" t="str">
        <f t="shared" si="4"/>
        <v>21-50</v>
      </c>
    </row>
    <row r="64" ht="15.75" customHeight="1">
      <c r="A64" s="13">
        <f>HYPERLINK("https://app.hubspot.com/contacts/8748051/record/0-3/53503863731", 53503863731)</f>
        <v>53503863731</v>
      </c>
      <c r="B64" s="14" t="s">
        <v>313</v>
      </c>
      <c r="C64" s="14" t="s">
        <v>156</v>
      </c>
      <c r="D64" s="15">
        <v>4800.0</v>
      </c>
      <c r="E64" s="14" t="s">
        <v>89</v>
      </c>
      <c r="F64" s="14"/>
      <c r="G64" s="16">
        <v>46032.006157407406</v>
      </c>
      <c r="H64" s="16">
        <v>46032.00625</v>
      </c>
      <c r="I64" s="14" t="s">
        <v>39</v>
      </c>
      <c r="J64" s="14" t="s">
        <v>179</v>
      </c>
      <c r="K64" s="14" t="s">
        <v>158</v>
      </c>
      <c r="L64" s="14" t="s">
        <v>159</v>
      </c>
      <c r="M64" s="14" t="s">
        <v>98</v>
      </c>
      <c r="N64" s="14" t="s">
        <v>314</v>
      </c>
      <c r="O64" s="14"/>
      <c r="P64" s="14"/>
      <c r="Q64" s="14"/>
      <c r="R64" s="13">
        <f>HYPERLINK("https://app.hubspot.com/contacts/8748051/record/0-2/7735473314", 7735473314)</f>
        <v>7735473314</v>
      </c>
      <c r="S64" s="14" t="s">
        <v>315</v>
      </c>
      <c r="T64" s="18" t="s">
        <v>316</v>
      </c>
      <c r="U64" s="14" t="s">
        <v>93</v>
      </c>
      <c r="V64" s="15">
        <v>7920.0</v>
      </c>
      <c r="W64" s="19">
        <v>653.0</v>
      </c>
      <c r="X64" s="19">
        <v>92.0</v>
      </c>
      <c r="Y64" s="20"/>
      <c r="Z64" s="20" t="s">
        <v>191</v>
      </c>
      <c r="AA64" s="21"/>
      <c r="AB64" s="21"/>
      <c r="AC64" s="20" t="s">
        <v>317</v>
      </c>
      <c r="AD64" s="20" t="s">
        <v>318</v>
      </c>
      <c r="AE64" s="20" t="s">
        <v>166</v>
      </c>
      <c r="AF64" s="17" t="str">
        <f t="shared" si="1"/>
        <v>Upsell</v>
      </c>
      <c r="AG64" s="17" t="str">
        <f t="shared" si="2"/>
        <v>Customer</v>
      </c>
      <c r="AH64" s="17" t="str">
        <f t="shared" si="3"/>
        <v>501-1000</v>
      </c>
      <c r="AI64" s="17" t="str">
        <f t="shared" si="4"/>
        <v>51-100</v>
      </c>
    </row>
    <row r="65" ht="15.75" customHeight="1">
      <c r="A65" s="13">
        <f>HYPERLINK("https://app.hubspot.com/contacts/8748051/record/0-3/53531187273", 53531187273)</f>
        <v>53531187273</v>
      </c>
      <c r="B65" s="14" t="s">
        <v>319</v>
      </c>
      <c r="C65" s="14" t="s">
        <v>145</v>
      </c>
      <c r="D65" s="15">
        <v>2000.0</v>
      </c>
      <c r="E65" s="14" t="s">
        <v>118</v>
      </c>
      <c r="F65" s="14"/>
      <c r="G65" s="16">
        <v>46031.577060185184</v>
      </c>
      <c r="H65" s="16">
        <v>46211.577060185184</v>
      </c>
      <c r="I65" s="14" t="s">
        <v>39</v>
      </c>
      <c r="J65" s="14" t="s">
        <v>40</v>
      </c>
      <c r="K65" s="14" t="s">
        <v>41</v>
      </c>
      <c r="L65" s="14" t="s">
        <v>42</v>
      </c>
      <c r="M65" s="14" t="s">
        <v>43</v>
      </c>
      <c r="N65" s="14"/>
      <c r="O65" s="17"/>
      <c r="P65" s="14" t="s">
        <v>232</v>
      </c>
      <c r="Q65" s="14"/>
      <c r="R65" s="13">
        <f>HYPERLINK("https://app.hubspot.com/contacts/8748051/record/0-2/48717714718", 48717714718)</f>
        <v>48717714718</v>
      </c>
      <c r="S65" s="14" t="s">
        <v>320</v>
      </c>
      <c r="T65" s="18" t="s">
        <v>321</v>
      </c>
      <c r="U65" s="14"/>
      <c r="V65" s="15"/>
      <c r="W65" s="19">
        <v>105.0</v>
      </c>
      <c r="X65" s="19">
        <v>4.0</v>
      </c>
      <c r="Y65" s="20"/>
      <c r="Z65" s="20"/>
      <c r="AA65" s="21"/>
      <c r="AB65" s="20"/>
      <c r="AC65" s="20"/>
      <c r="AD65" s="20"/>
      <c r="AE65" s="20"/>
      <c r="AF65" s="17" t="str">
        <f t="shared" si="1"/>
        <v>New Logo</v>
      </c>
      <c r="AG65" s="17" t="str">
        <f t="shared" si="2"/>
        <v>Lead</v>
      </c>
      <c r="AH65" s="17" t="str">
        <f t="shared" si="3"/>
        <v>0-200</v>
      </c>
      <c r="AI65" s="17" t="str">
        <f t="shared" si="4"/>
        <v>0-20</v>
      </c>
    </row>
    <row r="66" ht="15.75" customHeight="1">
      <c r="A66" s="13">
        <f>HYPERLINK("https://app.hubspot.com/contacts/8748051/record/0-3/53451551280", 53451551280)</f>
        <v>53451551280</v>
      </c>
      <c r="B66" s="14" t="s">
        <v>322</v>
      </c>
      <c r="C66" s="14" t="s">
        <v>49</v>
      </c>
      <c r="D66" s="15">
        <v>12500.0</v>
      </c>
      <c r="E66" s="14" t="s">
        <v>118</v>
      </c>
      <c r="F66" s="14"/>
      <c r="G66" s="16">
        <v>46030.6319212963</v>
      </c>
      <c r="H66" s="16">
        <v>46211.630960648145</v>
      </c>
      <c r="I66" s="14" t="s">
        <v>39</v>
      </c>
      <c r="J66" s="14" t="s">
        <v>40</v>
      </c>
      <c r="K66" s="14" t="s">
        <v>41</v>
      </c>
      <c r="L66" s="14" t="s">
        <v>42</v>
      </c>
      <c r="M66" s="14" t="s">
        <v>72</v>
      </c>
      <c r="N66" s="14"/>
      <c r="O66" s="14"/>
      <c r="P66" s="14" t="s">
        <v>232</v>
      </c>
      <c r="Q66" s="14"/>
      <c r="R66" s="13">
        <f>HYPERLINK("https://app.hubspot.com/contacts/8748051/record/0-2/35059245747", 35059245747)</f>
        <v>35059245747</v>
      </c>
      <c r="S66" s="14" t="s">
        <v>323</v>
      </c>
      <c r="T66" s="18" t="s">
        <v>324</v>
      </c>
      <c r="U66" s="14" t="s">
        <v>46</v>
      </c>
      <c r="V66" s="15"/>
      <c r="W66" s="19">
        <v>241.0</v>
      </c>
      <c r="X66" s="19">
        <v>47.0</v>
      </c>
      <c r="Y66" s="20" t="s">
        <v>104</v>
      </c>
      <c r="Z66" s="20"/>
      <c r="AA66" s="20"/>
      <c r="AB66" s="20"/>
      <c r="AC66" s="20"/>
      <c r="AD66" s="20"/>
      <c r="AE66" s="20"/>
      <c r="AF66" s="17" t="str">
        <f t="shared" si="1"/>
        <v>New Logo</v>
      </c>
      <c r="AG66" s="17" t="str">
        <f t="shared" si="2"/>
        <v>Lead</v>
      </c>
      <c r="AH66" s="17" t="str">
        <f t="shared" si="3"/>
        <v>201-500</v>
      </c>
      <c r="AI66" s="17" t="str">
        <f t="shared" si="4"/>
        <v>21-50</v>
      </c>
    </row>
    <row r="67" ht="15.75" customHeight="1">
      <c r="A67" s="13">
        <f>HYPERLINK("https://app.hubspot.com/contacts/8748051/record/0-3/53428932737", 53428932737)</f>
        <v>53428932737</v>
      </c>
      <c r="B67" s="14" t="s">
        <v>325</v>
      </c>
      <c r="C67" s="14" t="s">
        <v>37</v>
      </c>
      <c r="D67" s="15">
        <v>25000.0</v>
      </c>
      <c r="E67" s="14" t="s">
        <v>326</v>
      </c>
      <c r="F67" s="14" t="s">
        <v>51</v>
      </c>
      <c r="G67" s="16">
        <v>46030.56230324074</v>
      </c>
      <c r="H67" s="16">
        <v>46142.413090277776</v>
      </c>
      <c r="I67" s="14" t="s">
        <v>39</v>
      </c>
      <c r="J67" s="14" t="s">
        <v>40</v>
      </c>
      <c r="K67" s="14" t="s">
        <v>41</v>
      </c>
      <c r="L67" s="14" t="s">
        <v>42</v>
      </c>
      <c r="M67" s="14" t="s">
        <v>43</v>
      </c>
      <c r="N67" s="14"/>
      <c r="O67" s="17"/>
      <c r="P67" s="14"/>
      <c r="Q67" s="14"/>
      <c r="R67" s="13">
        <f>HYPERLINK("https://app.hubspot.com/contacts/8748051/record/0-2/19176672265", 19176672265)</f>
        <v>19176672265</v>
      </c>
      <c r="S67" s="14" t="s">
        <v>327</v>
      </c>
      <c r="T67" s="18" t="s">
        <v>328</v>
      </c>
      <c r="U67" s="14" t="s">
        <v>46</v>
      </c>
      <c r="V67" s="15"/>
      <c r="W67" s="19">
        <v>261.0</v>
      </c>
      <c r="X67" s="19">
        <v>24.0</v>
      </c>
      <c r="Y67" s="20"/>
      <c r="Z67" s="20"/>
      <c r="AA67" s="20"/>
      <c r="AB67" s="20"/>
      <c r="AC67" s="20"/>
      <c r="AD67" s="20"/>
      <c r="AE67" s="20"/>
      <c r="AF67" s="17" t="str">
        <f t="shared" si="1"/>
        <v>New Logo</v>
      </c>
      <c r="AG67" s="17" t="str">
        <f t="shared" si="2"/>
        <v>Lead</v>
      </c>
      <c r="AH67" s="17" t="str">
        <f t="shared" si="3"/>
        <v>201-500</v>
      </c>
      <c r="AI67" s="17" t="str">
        <f t="shared" si="4"/>
        <v>21-50</v>
      </c>
    </row>
    <row r="68" ht="15.75" customHeight="1">
      <c r="A68" s="13">
        <f>HYPERLINK("https://app.hubspot.com/contacts/8748051/record/0-3/53397139783", 53397139783)</f>
        <v>53397139783</v>
      </c>
      <c r="B68" s="14" t="s">
        <v>329</v>
      </c>
      <c r="C68" s="14" t="s">
        <v>37</v>
      </c>
      <c r="D68" s="15">
        <v>10000.0</v>
      </c>
      <c r="E68" s="14" t="s">
        <v>124</v>
      </c>
      <c r="F68" s="14" t="s">
        <v>51</v>
      </c>
      <c r="G68" s="16">
        <v>46030.404074074075</v>
      </c>
      <c r="H68" s="16">
        <v>46142.413194444445</v>
      </c>
      <c r="I68" s="14" t="s">
        <v>39</v>
      </c>
      <c r="J68" s="14" t="s">
        <v>40</v>
      </c>
      <c r="K68" s="14" t="s">
        <v>41</v>
      </c>
      <c r="L68" s="14" t="s">
        <v>42</v>
      </c>
      <c r="M68" s="14" t="s">
        <v>43</v>
      </c>
      <c r="N68" s="14"/>
      <c r="O68" s="14"/>
      <c r="P68" s="14"/>
      <c r="Q68" s="14" t="s">
        <v>125</v>
      </c>
      <c r="R68" s="13">
        <f>HYPERLINK("https://app.hubspot.com/contacts/8748051/record/0-2/38577068592", 38577068592)</f>
        <v>38577068592</v>
      </c>
      <c r="S68" s="14" t="s">
        <v>330</v>
      </c>
      <c r="T68" s="18" t="s">
        <v>331</v>
      </c>
      <c r="U68" s="14"/>
      <c r="V68" s="15"/>
      <c r="W68" s="19">
        <v>59.0</v>
      </c>
      <c r="X68" s="19">
        <v>11.0</v>
      </c>
      <c r="Y68" s="20"/>
      <c r="Z68" s="20"/>
      <c r="AA68" s="21"/>
      <c r="AB68" s="21"/>
      <c r="AC68" s="20"/>
      <c r="AD68" s="20"/>
      <c r="AE68" s="20"/>
      <c r="AF68" s="17" t="str">
        <f t="shared" si="1"/>
        <v>New Logo</v>
      </c>
      <c r="AG68" s="17" t="str">
        <f t="shared" si="2"/>
        <v>Lead</v>
      </c>
      <c r="AH68" s="17" t="str">
        <f t="shared" si="3"/>
        <v>0-200</v>
      </c>
      <c r="AI68" s="17" t="str">
        <f t="shared" si="4"/>
        <v>0-20</v>
      </c>
    </row>
    <row r="69" ht="15.75" customHeight="1">
      <c r="A69" s="13">
        <f>HYPERLINK("https://app.hubspot.com/contacts/8748051/record/0-3/53410978432", 53410978432)</f>
        <v>53410978432</v>
      </c>
      <c r="B69" s="14" t="s">
        <v>332</v>
      </c>
      <c r="C69" s="14" t="s">
        <v>37</v>
      </c>
      <c r="D69" s="15">
        <v>25000.0</v>
      </c>
      <c r="E69" s="14" t="s">
        <v>124</v>
      </c>
      <c r="F69" s="14" t="s">
        <v>51</v>
      </c>
      <c r="G69" s="16">
        <v>46030.38574074074</v>
      </c>
      <c r="H69" s="16">
        <v>46210.38570601852</v>
      </c>
      <c r="I69" s="14" t="s">
        <v>39</v>
      </c>
      <c r="J69" s="14" t="s">
        <v>40</v>
      </c>
      <c r="K69" s="14" t="s">
        <v>41</v>
      </c>
      <c r="L69" s="14" t="s">
        <v>42</v>
      </c>
      <c r="M69" s="14" t="s">
        <v>98</v>
      </c>
      <c r="N69" s="17"/>
      <c r="O69" s="14"/>
      <c r="P69" s="14"/>
      <c r="Q69" s="14" t="s">
        <v>141</v>
      </c>
      <c r="R69" s="13">
        <f>HYPERLINK("https://app.hubspot.com/contacts/8748051/record/0-2/48226874505", 48226874505)</f>
        <v>48226874505</v>
      </c>
      <c r="S69" s="14" t="s">
        <v>333</v>
      </c>
      <c r="T69" s="18" t="s">
        <v>334</v>
      </c>
      <c r="U69" s="14"/>
      <c r="V69" s="22"/>
      <c r="W69" s="19">
        <v>2169.0</v>
      </c>
      <c r="X69" s="19">
        <v>996.0</v>
      </c>
      <c r="Y69" s="20"/>
      <c r="Z69" s="21"/>
      <c r="AA69" s="21"/>
      <c r="AB69" s="21"/>
      <c r="AC69" s="21"/>
      <c r="AD69" s="21"/>
      <c r="AE69" s="21"/>
      <c r="AF69" s="17" t="str">
        <f t="shared" si="1"/>
        <v>New Logo</v>
      </c>
      <c r="AG69" s="17" t="str">
        <f t="shared" si="2"/>
        <v>Lead</v>
      </c>
      <c r="AH69" s="17" t="str">
        <f t="shared" si="3"/>
        <v>1001-5000</v>
      </c>
      <c r="AI69" s="17" t="str">
        <f t="shared" si="4"/>
        <v>500+</v>
      </c>
    </row>
    <row r="70" ht="15.75" customHeight="1">
      <c r="A70" s="13">
        <f>HYPERLINK("https://app.hubspot.com/contacts/8748051/record/0-3/53380681538", 53380681538)</f>
        <v>53380681538</v>
      </c>
      <c r="B70" s="14" t="s">
        <v>335</v>
      </c>
      <c r="C70" s="14" t="s">
        <v>37</v>
      </c>
      <c r="D70" s="15">
        <v>6000.0</v>
      </c>
      <c r="E70" s="14" t="s">
        <v>50</v>
      </c>
      <c r="F70" s="14" t="s">
        <v>51</v>
      </c>
      <c r="G70" s="16">
        <v>46029.36020833333</v>
      </c>
      <c r="H70" s="16">
        <v>46209.360138888886</v>
      </c>
      <c r="I70" s="14" t="s">
        <v>39</v>
      </c>
      <c r="J70" s="14" t="s">
        <v>40</v>
      </c>
      <c r="K70" s="14" t="s">
        <v>41</v>
      </c>
      <c r="L70" s="14" t="s">
        <v>42</v>
      </c>
      <c r="M70" s="14" t="s">
        <v>43</v>
      </c>
      <c r="N70" s="14"/>
      <c r="O70" s="14"/>
      <c r="P70" s="14"/>
      <c r="Q70" s="14"/>
      <c r="R70" s="13">
        <f>HYPERLINK("https://app.hubspot.com/contacts/8748051/record/0-2/48582687828", 48582687828)</f>
        <v>48582687828</v>
      </c>
      <c r="S70" s="14" t="s">
        <v>336</v>
      </c>
      <c r="T70" s="18" t="s">
        <v>337</v>
      </c>
      <c r="U70" s="14"/>
      <c r="V70" s="15"/>
      <c r="W70" s="19">
        <v>183.0</v>
      </c>
      <c r="X70" s="19">
        <v>12.0</v>
      </c>
      <c r="Y70" s="20"/>
      <c r="Z70" s="21"/>
      <c r="AA70" s="21"/>
      <c r="AB70" s="21"/>
      <c r="AC70" s="21"/>
      <c r="AD70" s="21"/>
      <c r="AE70" s="21"/>
      <c r="AF70" s="17" t="str">
        <f t="shared" si="1"/>
        <v>New Logo</v>
      </c>
      <c r="AG70" s="17" t="str">
        <f t="shared" si="2"/>
        <v>Lead</v>
      </c>
      <c r="AH70" s="17" t="str">
        <f t="shared" si="3"/>
        <v>0-200</v>
      </c>
      <c r="AI70" s="17" t="str">
        <f t="shared" si="4"/>
        <v>0-20</v>
      </c>
    </row>
    <row r="71" ht="15.75" customHeight="1">
      <c r="A71" s="13">
        <f>HYPERLINK("https://app.hubspot.com/contacts/8748051/record/0-3/53178277456", 53178277456)</f>
        <v>53178277456</v>
      </c>
      <c r="B71" s="14" t="s">
        <v>338</v>
      </c>
      <c r="C71" s="14" t="s">
        <v>37</v>
      </c>
      <c r="D71" s="15">
        <v>35000.0</v>
      </c>
      <c r="E71" s="14" t="s">
        <v>124</v>
      </c>
      <c r="F71" s="14" t="s">
        <v>51</v>
      </c>
      <c r="G71" s="16">
        <v>46028.29896990741</v>
      </c>
      <c r="H71" s="16">
        <v>46208.29896990741</v>
      </c>
      <c r="I71" s="14" t="s">
        <v>39</v>
      </c>
      <c r="J71" s="14" t="s">
        <v>52</v>
      </c>
      <c r="K71" s="14" t="s">
        <v>41</v>
      </c>
      <c r="L71" s="14" t="s">
        <v>42</v>
      </c>
      <c r="M71" s="14" t="s">
        <v>98</v>
      </c>
      <c r="N71" s="14"/>
      <c r="O71" s="17"/>
      <c r="P71" s="14"/>
      <c r="Q71" s="14" t="s">
        <v>125</v>
      </c>
      <c r="R71" s="13">
        <f>HYPERLINK("https://app.hubspot.com/contacts/8748051/record/0-2/19176303172", 19176303172)</f>
        <v>19176303172</v>
      </c>
      <c r="S71" s="14" t="s">
        <v>339</v>
      </c>
      <c r="T71" s="18" t="s">
        <v>340</v>
      </c>
      <c r="U71" s="14" t="s">
        <v>46</v>
      </c>
      <c r="V71" s="15"/>
      <c r="W71" s="19">
        <v>4398.0</v>
      </c>
      <c r="X71" s="19">
        <v>883.0</v>
      </c>
      <c r="Y71" s="21"/>
      <c r="Z71" s="20"/>
      <c r="AA71" s="21"/>
      <c r="AB71" s="20"/>
      <c r="AC71" s="20"/>
      <c r="AD71" s="20"/>
      <c r="AE71" s="20"/>
      <c r="AF71" s="17" t="str">
        <f t="shared" si="1"/>
        <v>New Logo</v>
      </c>
      <c r="AG71" s="17" t="str">
        <f t="shared" si="2"/>
        <v>Lead</v>
      </c>
      <c r="AH71" s="17" t="str">
        <f t="shared" si="3"/>
        <v>1001-5000</v>
      </c>
      <c r="AI71" s="17" t="str">
        <f t="shared" si="4"/>
        <v>500+</v>
      </c>
    </row>
    <row r="72" ht="15.75" customHeight="1">
      <c r="A72" s="13">
        <f>HYPERLINK("https://app.hubspot.com/contacts/8748051/record/0-3/53263612979", 53263612979)</f>
        <v>53263612979</v>
      </c>
      <c r="B72" s="14" t="s">
        <v>341</v>
      </c>
      <c r="C72" s="14" t="s">
        <v>37</v>
      </c>
      <c r="D72" s="15">
        <v>2000.0</v>
      </c>
      <c r="E72" s="14" t="s">
        <v>124</v>
      </c>
      <c r="F72" s="14"/>
      <c r="G72" s="16">
        <v>46027.47251157407</v>
      </c>
      <c r="H72" s="16">
        <v>46207.47248842593</v>
      </c>
      <c r="I72" s="14" t="s">
        <v>39</v>
      </c>
      <c r="J72" s="14" t="s">
        <v>40</v>
      </c>
      <c r="K72" s="14" t="s">
        <v>41</v>
      </c>
      <c r="L72" s="14" t="s">
        <v>42</v>
      </c>
      <c r="M72" s="14"/>
      <c r="N72" s="14"/>
      <c r="O72" s="14"/>
      <c r="P72" s="14"/>
      <c r="Q72" s="14" t="s">
        <v>141</v>
      </c>
      <c r="R72" s="13">
        <f>HYPERLINK("https://app.hubspot.com/contacts/8748051/record/0-2/47571406086", 47571406086)</f>
        <v>47571406086</v>
      </c>
      <c r="S72" s="14" t="s">
        <v>342</v>
      </c>
      <c r="T72" s="18" t="s">
        <v>343</v>
      </c>
      <c r="U72" s="14"/>
      <c r="V72" s="15"/>
      <c r="W72" s="19">
        <v>17.0</v>
      </c>
      <c r="X72" s="19">
        <v>4.0</v>
      </c>
      <c r="Y72" s="20"/>
      <c r="Z72" s="20"/>
      <c r="AA72" s="20"/>
      <c r="AB72" s="20"/>
      <c r="AC72" s="20"/>
      <c r="AD72" s="20"/>
      <c r="AE72" s="20"/>
      <c r="AF72" s="17" t="str">
        <f t="shared" si="1"/>
        <v>New Logo</v>
      </c>
      <c r="AG72" s="17" t="str">
        <f t="shared" si="2"/>
        <v>Lead</v>
      </c>
      <c r="AH72" s="17" t="str">
        <f t="shared" si="3"/>
        <v>0-200</v>
      </c>
      <c r="AI72" s="17" t="str">
        <f t="shared" si="4"/>
        <v>0-20</v>
      </c>
    </row>
    <row r="73" ht="15.75" customHeight="1">
      <c r="A73" s="13">
        <f>HYPERLINK("https://app.hubspot.com/contacts/8748051/record/0-3/53247367047", 53247367047)</f>
        <v>53247367047</v>
      </c>
      <c r="B73" s="14" t="s">
        <v>344</v>
      </c>
      <c r="C73" s="14" t="s">
        <v>145</v>
      </c>
      <c r="D73" s="15">
        <v>22828.0</v>
      </c>
      <c r="E73" s="14" t="s">
        <v>89</v>
      </c>
      <c r="F73" s="14" t="s">
        <v>51</v>
      </c>
      <c r="G73" s="16">
        <v>46027.47217592593</v>
      </c>
      <c r="H73" s="16">
        <v>46059.53078703704</v>
      </c>
      <c r="I73" s="14" t="s">
        <v>39</v>
      </c>
      <c r="J73" s="14" t="s">
        <v>40</v>
      </c>
      <c r="K73" s="14" t="s">
        <v>251</v>
      </c>
      <c r="L73" s="14" t="s">
        <v>152</v>
      </c>
      <c r="M73" s="14" t="s">
        <v>43</v>
      </c>
      <c r="N73" s="14" t="s">
        <v>345</v>
      </c>
      <c r="O73" s="14"/>
      <c r="P73" s="14"/>
      <c r="Q73" s="14"/>
      <c r="R73" s="13">
        <f>HYPERLINK("https://app.hubspot.com/contacts/8748051/record/0-2/46442430225", 46442430225)</f>
        <v>46442430225</v>
      </c>
      <c r="S73" s="14" t="s">
        <v>346</v>
      </c>
      <c r="T73" s="18" t="s">
        <v>347</v>
      </c>
      <c r="U73" s="14" t="s">
        <v>93</v>
      </c>
      <c r="V73" s="15">
        <v>22828.0</v>
      </c>
      <c r="W73" s="19">
        <v>63.0</v>
      </c>
      <c r="X73" s="19">
        <v>18.0</v>
      </c>
      <c r="Y73" s="20"/>
      <c r="Z73" s="20" t="s">
        <v>348</v>
      </c>
      <c r="AA73" s="21"/>
      <c r="AB73" s="21"/>
      <c r="AC73" s="20" t="s">
        <v>349</v>
      </c>
      <c r="AD73" s="20"/>
      <c r="AE73" s="20"/>
      <c r="AF73" s="17" t="str">
        <f t="shared" si="1"/>
        <v>New Logo</v>
      </c>
      <c r="AG73" s="17" t="str">
        <f t="shared" si="2"/>
        <v>Customer</v>
      </c>
      <c r="AH73" s="17" t="str">
        <f t="shared" si="3"/>
        <v>0-200</v>
      </c>
      <c r="AI73" s="17" t="str">
        <f t="shared" si="4"/>
        <v>0-20</v>
      </c>
    </row>
    <row r="74" ht="15.75" customHeight="1">
      <c r="A74" s="13">
        <f>HYPERLINK("https://app.hubspot.com/contacts/8748051/record/0-3/53116847482", 53116847482)</f>
        <v>53116847482</v>
      </c>
      <c r="B74" s="14" t="s">
        <v>350</v>
      </c>
      <c r="C74" s="14" t="s">
        <v>37</v>
      </c>
      <c r="D74" s="15">
        <v>0.0</v>
      </c>
      <c r="E74" s="14" t="s">
        <v>124</v>
      </c>
      <c r="F74" s="14" t="s">
        <v>51</v>
      </c>
      <c r="G74" s="16">
        <v>46024.64523148148</v>
      </c>
      <c r="H74" s="16">
        <v>46204.64523148148</v>
      </c>
      <c r="I74" s="14" t="s">
        <v>39</v>
      </c>
      <c r="J74" s="14" t="s">
        <v>40</v>
      </c>
      <c r="K74" s="14" t="s">
        <v>41</v>
      </c>
      <c r="L74" s="14" t="s">
        <v>42</v>
      </c>
      <c r="M74" s="14" t="s">
        <v>98</v>
      </c>
      <c r="N74" s="17"/>
      <c r="O74" s="14"/>
      <c r="P74" s="14"/>
      <c r="Q74" s="14" t="s">
        <v>125</v>
      </c>
      <c r="R74" s="13">
        <f>HYPERLINK("https://app.hubspot.com/contacts/8748051/record/0-2/48108158301", 48108158301)</f>
        <v>48108158301</v>
      </c>
      <c r="S74" s="14" t="s">
        <v>351</v>
      </c>
      <c r="T74" s="18" t="s">
        <v>352</v>
      </c>
      <c r="U74" s="14"/>
      <c r="V74" s="22"/>
      <c r="W74" s="19">
        <v>29.0</v>
      </c>
      <c r="X74" s="19">
        <v>0.0</v>
      </c>
      <c r="Y74" s="20"/>
      <c r="Z74" s="21"/>
      <c r="AA74" s="21"/>
      <c r="AB74" s="21"/>
      <c r="AC74" s="21"/>
      <c r="AD74" s="21"/>
      <c r="AE74" s="21"/>
      <c r="AF74" s="17" t="str">
        <f t="shared" si="1"/>
        <v>New Logo</v>
      </c>
      <c r="AG74" s="17" t="str">
        <f t="shared" si="2"/>
        <v>Lead</v>
      </c>
      <c r="AH74" s="17" t="str">
        <f t="shared" si="3"/>
        <v>0-200</v>
      </c>
      <c r="AI74" s="17" t="str">
        <f t="shared" si="4"/>
        <v>0-20</v>
      </c>
    </row>
    <row r="75" ht="15.75" customHeight="1">
      <c r="A75" s="13">
        <f>HYPERLINK("https://app.hubspot.com/contacts/8748051/record/0-3/52834363461", 52834363461)</f>
        <v>52834363461</v>
      </c>
      <c r="B75" s="14" t="s">
        <v>353</v>
      </c>
      <c r="C75" s="14" t="s">
        <v>145</v>
      </c>
      <c r="D75" s="15">
        <v>33000.0</v>
      </c>
      <c r="E75" s="14" t="s">
        <v>146</v>
      </c>
      <c r="F75" s="14" t="s">
        <v>51</v>
      </c>
      <c r="G75" s="16">
        <v>46021.519155092596</v>
      </c>
      <c r="H75" s="16">
        <v>46062.33689814815</v>
      </c>
      <c r="I75" s="14" t="s">
        <v>39</v>
      </c>
      <c r="J75" s="14" t="s">
        <v>40</v>
      </c>
      <c r="K75" s="14" t="s">
        <v>59</v>
      </c>
      <c r="L75" s="14" t="s">
        <v>60</v>
      </c>
      <c r="M75" s="14" t="s">
        <v>43</v>
      </c>
      <c r="N75" s="14"/>
      <c r="O75" s="14" t="s">
        <v>354</v>
      </c>
      <c r="P75" s="14"/>
      <c r="Q75" s="17"/>
      <c r="R75" s="13">
        <f>HYPERLINK("https://app.hubspot.com/contacts/8748051/record/0-2/7668624263", 7668624263)</f>
        <v>7668624263</v>
      </c>
      <c r="S75" s="14" t="s">
        <v>355</v>
      </c>
      <c r="T75" s="18" t="s">
        <v>356</v>
      </c>
      <c r="U75" s="14" t="s">
        <v>46</v>
      </c>
      <c r="V75" s="15"/>
      <c r="W75" s="19">
        <v>502.0</v>
      </c>
      <c r="X75" s="19">
        <v>62.0</v>
      </c>
      <c r="Y75" s="20" t="s">
        <v>104</v>
      </c>
      <c r="Z75" s="20"/>
      <c r="AA75" s="20"/>
      <c r="AB75" s="21"/>
      <c r="AC75" s="20"/>
      <c r="AD75" s="21"/>
      <c r="AE75" s="20"/>
      <c r="AF75" s="17" t="str">
        <f t="shared" si="1"/>
        <v>New Logo</v>
      </c>
      <c r="AG75" s="17" t="str">
        <f t="shared" si="2"/>
        <v>Lead</v>
      </c>
      <c r="AH75" s="17" t="str">
        <f t="shared" si="3"/>
        <v>501-1000</v>
      </c>
      <c r="AI75" s="17" t="str">
        <f t="shared" si="4"/>
        <v>51-100</v>
      </c>
    </row>
    <row r="76" ht="15.75" customHeight="1">
      <c r="A76" s="13">
        <f>HYPERLINK("https://app.hubspot.com/contacts/8748051/record/0-3/52850372896", 52850372896)</f>
        <v>52850372896</v>
      </c>
      <c r="B76" s="14" t="s">
        <v>357</v>
      </c>
      <c r="C76" s="14" t="s">
        <v>49</v>
      </c>
      <c r="D76" s="15">
        <v>59500.0</v>
      </c>
      <c r="E76" s="14" t="s">
        <v>118</v>
      </c>
      <c r="F76" s="14"/>
      <c r="G76" s="16">
        <v>46020.421481481484</v>
      </c>
      <c r="H76" s="16">
        <v>46200.42146990741</v>
      </c>
      <c r="I76" s="14" t="s">
        <v>39</v>
      </c>
      <c r="J76" s="14" t="s">
        <v>40</v>
      </c>
      <c r="K76" s="14" t="s">
        <v>59</v>
      </c>
      <c r="L76" s="14" t="s">
        <v>60</v>
      </c>
      <c r="M76" s="14" t="s">
        <v>72</v>
      </c>
      <c r="N76" s="14"/>
      <c r="O76" s="17"/>
      <c r="P76" s="14" t="s">
        <v>232</v>
      </c>
      <c r="Q76" s="14"/>
      <c r="R76" s="13">
        <f>HYPERLINK("https://app.hubspot.com/contacts/8748051/record/0-2/9502908975", 9502908975)</f>
        <v>9502908975</v>
      </c>
      <c r="S76" s="14" t="s">
        <v>358</v>
      </c>
      <c r="T76" s="18" t="s">
        <v>359</v>
      </c>
      <c r="U76" s="14" t="s">
        <v>360</v>
      </c>
      <c r="V76" s="15"/>
      <c r="W76" s="19">
        <v>478.0</v>
      </c>
      <c r="X76" s="19">
        <v>129.0</v>
      </c>
      <c r="Y76" s="20" t="s">
        <v>63</v>
      </c>
      <c r="Z76" s="20"/>
      <c r="AA76" s="20"/>
      <c r="AB76" s="21"/>
      <c r="AC76" s="20"/>
      <c r="AD76" s="20"/>
      <c r="AE76" s="20"/>
      <c r="AF76" s="17" t="str">
        <f t="shared" si="1"/>
        <v>New Logo</v>
      </c>
      <c r="AG76" s="17" t="str">
        <f t="shared" si="2"/>
        <v>Lead</v>
      </c>
      <c r="AH76" s="17" t="str">
        <f t="shared" si="3"/>
        <v>201-500</v>
      </c>
      <c r="AI76" s="17" t="str">
        <f t="shared" si="4"/>
        <v>101-500</v>
      </c>
    </row>
    <row r="77" ht="15.75" customHeight="1">
      <c r="A77" s="13">
        <f>HYPERLINK("https://app.hubspot.com/contacts/8748051/record/0-3/52375066671", 52375066671)</f>
        <v>52375066671</v>
      </c>
      <c r="B77" s="14" t="s">
        <v>361</v>
      </c>
      <c r="C77" s="14" t="s">
        <v>37</v>
      </c>
      <c r="D77" s="15">
        <v>0.0</v>
      </c>
      <c r="E77" s="14" t="s">
        <v>118</v>
      </c>
      <c r="F77" s="14"/>
      <c r="G77" s="16">
        <v>46013.298726851855</v>
      </c>
      <c r="H77" s="16">
        <v>46193.29871527778</v>
      </c>
      <c r="I77" s="14" t="s">
        <v>39</v>
      </c>
      <c r="J77" s="14" t="s">
        <v>40</v>
      </c>
      <c r="K77" s="14" t="s">
        <v>41</v>
      </c>
      <c r="L77" s="14" t="s">
        <v>42</v>
      </c>
      <c r="M77" s="14" t="s">
        <v>98</v>
      </c>
      <c r="N77" s="14"/>
      <c r="O77" s="14"/>
      <c r="P77" s="14" t="s">
        <v>232</v>
      </c>
      <c r="Q77" s="14"/>
      <c r="R77" s="13">
        <f>HYPERLINK("https://app.hubspot.com/contacts/8748051/record/0-2/47614471201", 47614471201)</f>
        <v>47614471201</v>
      </c>
      <c r="S77" s="14" t="s">
        <v>362</v>
      </c>
      <c r="T77" s="18" t="s">
        <v>363</v>
      </c>
      <c r="U77" s="14"/>
      <c r="V77" s="15"/>
      <c r="W77" s="19">
        <v>43.0</v>
      </c>
      <c r="X77" s="19">
        <v>0.0</v>
      </c>
      <c r="Y77" s="20"/>
      <c r="Z77" s="20"/>
      <c r="AA77" s="21"/>
      <c r="AB77" s="21"/>
      <c r="AC77" s="20"/>
      <c r="AD77" s="21"/>
      <c r="AE77" s="21"/>
      <c r="AF77" s="17" t="str">
        <f t="shared" si="1"/>
        <v>New Logo</v>
      </c>
      <c r="AG77" s="17" t="str">
        <f t="shared" si="2"/>
        <v>Lead</v>
      </c>
      <c r="AH77" s="17" t="str">
        <f t="shared" si="3"/>
        <v>0-200</v>
      </c>
      <c r="AI77" s="17" t="str">
        <f t="shared" si="4"/>
        <v>0-20</v>
      </c>
    </row>
    <row r="78" ht="15.75" customHeight="1">
      <c r="A78" s="13">
        <f>HYPERLINK("https://app.hubspot.com/contacts/8748051/record/0-3/52241804103", 52241804103)</f>
        <v>52241804103</v>
      </c>
      <c r="B78" s="14" t="s">
        <v>364</v>
      </c>
      <c r="C78" s="14" t="s">
        <v>37</v>
      </c>
      <c r="D78" s="15">
        <v>1000.0</v>
      </c>
      <c r="E78" s="14" t="s">
        <v>124</v>
      </c>
      <c r="F78" s="14"/>
      <c r="G78" s="16">
        <v>46010.80587962963</v>
      </c>
      <c r="H78" s="16">
        <v>46190.80587962963</v>
      </c>
      <c r="I78" s="14" t="s">
        <v>39</v>
      </c>
      <c r="J78" s="14" t="s">
        <v>40</v>
      </c>
      <c r="K78" s="14" t="s">
        <v>41</v>
      </c>
      <c r="L78" s="14" t="s">
        <v>42</v>
      </c>
      <c r="M78" s="14" t="s">
        <v>43</v>
      </c>
      <c r="N78" s="14"/>
      <c r="O78" s="14"/>
      <c r="P78" s="14" t="s">
        <v>260</v>
      </c>
      <c r="Q78" s="14" t="s">
        <v>125</v>
      </c>
      <c r="R78" s="13">
        <f>HYPERLINK("https://app.hubspot.com/contacts/8748051/record/0-2/47564970161", 47564970161)</f>
        <v>47564970161</v>
      </c>
      <c r="S78" s="14" t="s">
        <v>365</v>
      </c>
      <c r="T78" s="18" t="s">
        <v>366</v>
      </c>
      <c r="U78" s="14"/>
      <c r="V78" s="15"/>
      <c r="W78" s="19">
        <v>9.0</v>
      </c>
      <c r="X78" s="19">
        <v>2.0</v>
      </c>
      <c r="Y78" s="20"/>
      <c r="Z78" s="20"/>
      <c r="AA78" s="21"/>
      <c r="AB78" s="21"/>
      <c r="AC78" s="20"/>
      <c r="AD78" s="20"/>
      <c r="AE78" s="20"/>
      <c r="AF78" s="17" t="str">
        <f t="shared" si="1"/>
        <v>New Logo</v>
      </c>
      <c r="AG78" s="17" t="str">
        <f t="shared" si="2"/>
        <v>Lead</v>
      </c>
      <c r="AH78" s="17" t="str">
        <f t="shared" si="3"/>
        <v>0-200</v>
      </c>
      <c r="AI78" s="17" t="str">
        <f t="shared" si="4"/>
        <v>0-20</v>
      </c>
    </row>
    <row r="79" ht="15.75" customHeight="1">
      <c r="A79" s="13">
        <f>HYPERLINK("https://app.hubspot.com/contacts/8748051/record/0-3/52243205923", 52243205923)</f>
        <v>52243205923</v>
      </c>
      <c r="B79" s="14" t="s">
        <v>367</v>
      </c>
      <c r="C79" s="14" t="s">
        <v>37</v>
      </c>
      <c r="D79" s="15">
        <v>62000.0</v>
      </c>
      <c r="E79" s="14" t="s">
        <v>146</v>
      </c>
      <c r="F79" s="14" t="s">
        <v>51</v>
      </c>
      <c r="G79" s="16">
        <v>46010.57655092593</v>
      </c>
      <c r="H79" s="16">
        <v>46048.35890046296</v>
      </c>
      <c r="I79" s="14" t="s">
        <v>39</v>
      </c>
      <c r="J79" s="14" t="s">
        <v>52</v>
      </c>
      <c r="K79" s="14" t="s">
        <v>41</v>
      </c>
      <c r="L79" s="14" t="s">
        <v>42</v>
      </c>
      <c r="M79" s="14" t="s">
        <v>72</v>
      </c>
      <c r="N79" s="17"/>
      <c r="O79" s="14" t="s">
        <v>368</v>
      </c>
      <c r="P79" s="14"/>
      <c r="Q79" s="14"/>
      <c r="R79" s="13">
        <f>HYPERLINK("https://app.hubspot.com/contacts/8748051/record/0-2/8448459081", 8448459081)</f>
        <v>8448459081</v>
      </c>
      <c r="S79" s="14" t="s">
        <v>369</v>
      </c>
      <c r="T79" s="18" t="s">
        <v>370</v>
      </c>
      <c r="U79" s="14" t="s">
        <v>46</v>
      </c>
      <c r="V79" s="22"/>
      <c r="W79" s="19">
        <v>1160.0</v>
      </c>
      <c r="X79" s="19">
        <v>188.0</v>
      </c>
      <c r="Y79" s="20" t="s">
        <v>371</v>
      </c>
      <c r="Z79" s="21"/>
      <c r="AA79" s="21"/>
      <c r="AB79" s="21"/>
      <c r="AC79" s="21"/>
      <c r="AD79" s="21"/>
      <c r="AE79" s="21"/>
      <c r="AF79" s="17" t="str">
        <f t="shared" si="1"/>
        <v>New Logo</v>
      </c>
      <c r="AG79" s="17" t="str">
        <f t="shared" si="2"/>
        <v>Lead</v>
      </c>
      <c r="AH79" s="17" t="str">
        <f t="shared" si="3"/>
        <v>1001-5000</v>
      </c>
      <c r="AI79" s="17" t="str">
        <f t="shared" si="4"/>
        <v>101-500</v>
      </c>
    </row>
    <row r="80" ht="15.75" customHeight="1">
      <c r="A80" s="13">
        <f>HYPERLINK("https://app.hubspot.com/contacts/8748051/record/0-3/53233734008", 53233734008)</f>
        <v>53233734008</v>
      </c>
      <c r="B80" s="14" t="s">
        <v>372</v>
      </c>
      <c r="C80" s="14" t="s">
        <v>49</v>
      </c>
      <c r="D80" s="15">
        <v>10000.0</v>
      </c>
      <c r="E80" s="14" t="s">
        <v>124</v>
      </c>
      <c r="F80" s="14" t="s">
        <v>51</v>
      </c>
      <c r="G80" s="16">
        <v>46010.52769675926</v>
      </c>
      <c r="H80" s="16">
        <v>46190.52769675926</v>
      </c>
      <c r="I80" s="14" t="s">
        <v>39</v>
      </c>
      <c r="J80" s="14" t="s">
        <v>40</v>
      </c>
      <c r="K80" s="14" t="s">
        <v>41</v>
      </c>
      <c r="L80" s="14" t="s">
        <v>42</v>
      </c>
      <c r="M80" s="14" t="s">
        <v>43</v>
      </c>
      <c r="N80" s="17"/>
      <c r="O80" s="17"/>
      <c r="P80" s="14"/>
      <c r="Q80" s="14" t="s">
        <v>373</v>
      </c>
      <c r="R80" s="13">
        <f>HYPERLINK("https://app.hubspot.com/contacts/8748051/record/0-2/48189021323", 48189021323)</f>
        <v>48189021323</v>
      </c>
      <c r="S80" s="14" t="s">
        <v>374</v>
      </c>
      <c r="T80" s="18" t="s">
        <v>375</v>
      </c>
      <c r="U80" s="14"/>
      <c r="V80" s="22"/>
      <c r="W80" s="19">
        <v>137.0</v>
      </c>
      <c r="X80" s="19">
        <v>14.0</v>
      </c>
      <c r="Y80" s="20"/>
      <c r="Z80" s="21"/>
      <c r="AA80" s="21"/>
      <c r="AB80" s="21"/>
      <c r="AC80" s="21"/>
      <c r="AD80" s="21"/>
      <c r="AE80" s="21"/>
      <c r="AF80" s="17" t="str">
        <f t="shared" si="1"/>
        <v>New Logo</v>
      </c>
      <c r="AG80" s="17" t="str">
        <f t="shared" si="2"/>
        <v>Lead</v>
      </c>
      <c r="AH80" s="17" t="str">
        <f t="shared" si="3"/>
        <v>0-200</v>
      </c>
      <c r="AI80" s="17" t="str">
        <f t="shared" si="4"/>
        <v>0-20</v>
      </c>
    </row>
    <row r="81" ht="15.75" customHeight="1">
      <c r="A81" s="13">
        <f>HYPERLINK("https://app.hubspot.com/contacts/8748051/record/0-3/52097481373", 52097481373)</f>
        <v>52097481373</v>
      </c>
      <c r="B81" s="14" t="s">
        <v>376</v>
      </c>
      <c r="C81" s="14" t="s">
        <v>37</v>
      </c>
      <c r="D81" s="15">
        <v>50500.0</v>
      </c>
      <c r="E81" s="14" t="s">
        <v>124</v>
      </c>
      <c r="F81" s="14" t="s">
        <v>51</v>
      </c>
      <c r="G81" s="16">
        <v>46010.48587962963</v>
      </c>
      <c r="H81" s="16">
        <v>46112.92054398148</v>
      </c>
      <c r="I81" s="14" t="s">
        <v>39</v>
      </c>
      <c r="J81" s="14" t="s">
        <v>52</v>
      </c>
      <c r="K81" s="14" t="s">
        <v>41</v>
      </c>
      <c r="L81" s="14" t="s">
        <v>42</v>
      </c>
      <c r="M81" s="14" t="s">
        <v>43</v>
      </c>
      <c r="N81" s="14"/>
      <c r="O81" s="17"/>
      <c r="P81" s="14"/>
      <c r="Q81" s="14" t="s">
        <v>125</v>
      </c>
      <c r="R81" s="13">
        <f>HYPERLINK("https://app.hubspot.com/contacts/8748051/record/0-2/17747112247", 17747112247)</f>
        <v>17747112247</v>
      </c>
      <c r="S81" s="14" t="s">
        <v>377</v>
      </c>
      <c r="T81" s="18" t="s">
        <v>378</v>
      </c>
      <c r="U81" s="14" t="s">
        <v>46</v>
      </c>
      <c r="V81" s="15"/>
      <c r="W81" s="19">
        <v>716.0</v>
      </c>
      <c r="X81" s="19">
        <v>104.0</v>
      </c>
      <c r="Y81" s="20" t="s">
        <v>70</v>
      </c>
      <c r="Z81" s="20"/>
      <c r="AA81" s="20"/>
      <c r="AB81" s="20"/>
      <c r="AC81" s="20"/>
      <c r="AD81" s="20"/>
      <c r="AE81" s="20"/>
      <c r="AF81" s="17" t="str">
        <f t="shared" si="1"/>
        <v>New Logo</v>
      </c>
      <c r="AG81" s="17" t="str">
        <f t="shared" si="2"/>
        <v>Lead</v>
      </c>
      <c r="AH81" s="17" t="str">
        <f t="shared" si="3"/>
        <v>501-1000</v>
      </c>
      <c r="AI81" s="17" t="str">
        <f t="shared" si="4"/>
        <v>101-500</v>
      </c>
    </row>
    <row r="82" ht="15.75" customHeight="1">
      <c r="A82" s="13">
        <f>HYPERLINK("https://app.hubspot.com/contacts/8748051/record/0-3/52073496170", 52073496170)</f>
        <v>52073496170</v>
      </c>
      <c r="B82" s="14" t="s">
        <v>379</v>
      </c>
      <c r="C82" s="14" t="s">
        <v>49</v>
      </c>
      <c r="D82" s="15">
        <v>15000.0</v>
      </c>
      <c r="E82" s="14" t="s">
        <v>118</v>
      </c>
      <c r="F82" s="14"/>
      <c r="G82" s="16">
        <v>46009.52657407407</v>
      </c>
      <c r="H82" s="16">
        <v>46189.5265625</v>
      </c>
      <c r="I82" s="14" t="s">
        <v>39</v>
      </c>
      <c r="J82" s="14" t="s">
        <v>40</v>
      </c>
      <c r="K82" s="14" t="s">
        <v>41</v>
      </c>
      <c r="L82" s="14" t="s">
        <v>42</v>
      </c>
      <c r="M82" s="14"/>
      <c r="N82" s="14"/>
      <c r="O82" s="14"/>
      <c r="P82" s="14" t="s">
        <v>232</v>
      </c>
      <c r="Q82" s="14"/>
      <c r="R82" s="13">
        <f>HYPERLINK("https://app.hubspot.com/contacts/8748051/record/0-2/33148834998", 33148834998)</f>
        <v>33148834998</v>
      </c>
      <c r="S82" s="14" t="s">
        <v>380</v>
      </c>
      <c r="T82" s="18" t="s">
        <v>381</v>
      </c>
      <c r="U82" s="14" t="s">
        <v>46</v>
      </c>
      <c r="V82" s="15"/>
      <c r="W82" s="19">
        <v>120.0</v>
      </c>
      <c r="X82" s="19">
        <v>30.0</v>
      </c>
      <c r="Y82" s="20"/>
      <c r="Z82" s="20"/>
      <c r="AA82" s="20"/>
      <c r="AB82" s="20"/>
      <c r="AC82" s="20"/>
      <c r="AD82" s="20"/>
      <c r="AE82" s="20"/>
      <c r="AF82" s="17" t="str">
        <f t="shared" si="1"/>
        <v>New Logo</v>
      </c>
      <c r="AG82" s="17" t="str">
        <f t="shared" si="2"/>
        <v>Lead</v>
      </c>
      <c r="AH82" s="17" t="str">
        <f t="shared" si="3"/>
        <v>0-200</v>
      </c>
      <c r="AI82" s="17" t="str">
        <f t="shared" si="4"/>
        <v>21-50</v>
      </c>
    </row>
    <row r="83" ht="15.75" customHeight="1">
      <c r="A83" s="13">
        <f>HYPERLINK("https://app.hubspot.com/contacts/8748051/record/0-3/52069893214", 52069893214)</f>
        <v>52069893214</v>
      </c>
      <c r="B83" s="14" t="s">
        <v>382</v>
      </c>
      <c r="C83" s="14" t="s">
        <v>37</v>
      </c>
      <c r="D83" s="15">
        <v>17000.0</v>
      </c>
      <c r="E83" s="14" t="s">
        <v>383</v>
      </c>
      <c r="F83" s="14" t="s">
        <v>51</v>
      </c>
      <c r="G83" s="16">
        <v>46008.584282407406</v>
      </c>
      <c r="H83" s="16">
        <v>46174.41491898148</v>
      </c>
      <c r="I83" s="14" t="s">
        <v>39</v>
      </c>
      <c r="J83" s="14" t="s">
        <v>40</v>
      </c>
      <c r="K83" s="14" t="s">
        <v>41</v>
      </c>
      <c r="L83" s="14" t="s">
        <v>42</v>
      </c>
      <c r="M83" s="14" t="s">
        <v>43</v>
      </c>
      <c r="N83" s="14"/>
      <c r="O83" s="17"/>
      <c r="P83" s="14"/>
      <c r="Q83" s="17"/>
      <c r="R83" s="13">
        <f>HYPERLINK("https://app.hubspot.com/contacts/8748051/record/0-2/47334647695", 47334647695)</f>
        <v>47334647695</v>
      </c>
      <c r="S83" s="14" t="s">
        <v>384</v>
      </c>
      <c r="T83" s="18" t="s">
        <v>385</v>
      </c>
      <c r="U83" s="14"/>
      <c r="V83" s="15"/>
      <c r="W83" s="19">
        <v>116.0</v>
      </c>
      <c r="X83" s="19">
        <v>28.0</v>
      </c>
      <c r="Y83" s="20"/>
      <c r="Z83" s="20"/>
      <c r="AA83" s="21"/>
      <c r="AB83" s="21"/>
      <c r="AC83" s="20"/>
      <c r="AD83" s="20"/>
      <c r="AE83" s="20"/>
      <c r="AF83" s="17" t="str">
        <f t="shared" si="1"/>
        <v>New Logo</v>
      </c>
      <c r="AG83" s="17" t="str">
        <f t="shared" si="2"/>
        <v>Lead</v>
      </c>
      <c r="AH83" s="17" t="str">
        <f t="shared" si="3"/>
        <v>0-200</v>
      </c>
      <c r="AI83" s="17" t="str">
        <f t="shared" si="4"/>
        <v>21-50</v>
      </c>
    </row>
    <row r="84" ht="15.75" customHeight="1">
      <c r="A84" s="13">
        <f>HYPERLINK("https://app.hubspot.com/contacts/8748051/record/0-3/51995664283", 51995664283)</f>
        <v>51995664283</v>
      </c>
      <c r="B84" s="14" t="s">
        <v>386</v>
      </c>
      <c r="C84" s="14" t="s">
        <v>49</v>
      </c>
      <c r="D84" s="15">
        <v>14500.0</v>
      </c>
      <c r="E84" s="14" t="s">
        <v>118</v>
      </c>
      <c r="F84" s="14"/>
      <c r="G84" s="16">
        <v>46007.602997685186</v>
      </c>
      <c r="H84" s="16">
        <v>46187.60298611111</v>
      </c>
      <c r="I84" s="14" t="s">
        <v>39</v>
      </c>
      <c r="J84" s="14" t="s">
        <v>40</v>
      </c>
      <c r="K84" s="14" t="s">
        <v>41</v>
      </c>
      <c r="L84" s="14" t="s">
        <v>42</v>
      </c>
      <c r="M84" s="14" t="s">
        <v>43</v>
      </c>
      <c r="N84" s="14"/>
      <c r="O84" s="17"/>
      <c r="P84" s="14" t="s">
        <v>232</v>
      </c>
      <c r="Q84" s="17"/>
      <c r="R84" s="13">
        <f>HYPERLINK("https://app.hubspot.com/contacts/8748051/record/0-2/47340881525", 47340881525)</f>
        <v>47340881525</v>
      </c>
      <c r="S84" s="14" t="s">
        <v>387</v>
      </c>
      <c r="T84" s="18" t="s">
        <v>388</v>
      </c>
      <c r="U84" s="14"/>
      <c r="V84" s="15"/>
      <c r="W84" s="19">
        <v>181.0</v>
      </c>
      <c r="X84" s="19">
        <v>29.0</v>
      </c>
      <c r="Y84" s="20"/>
      <c r="Z84" s="20"/>
      <c r="AA84" s="20"/>
      <c r="AB84" s="21"/>
      <c r="AC84" s="20"/>
      <c r="AD84" s="20"/>
      <c r="AE84" s="20"/>
      <c r="AF84" s="17" t="str">
        <f t="shared" si="1"/>
        <v>New Logo</v>
      </c>
      <c r="AG84" s="17" t="str">
        <f t="shared" si="2"/>
        <v>Lead</v>
      </c>
      <c r="AH84" s="17" t="str">
        <f t="shared" si="3"/>
        <v>0-200</v>
      </c>
      <c r="AI84" s="17" t="str">
        <f t="shared" si="4"/>
        <v>21-50</v>
      </c>
    </row>
    <row r="85" ht="15.75" customHeight="1">
      <c r="A85" s="13">
        <f>HYPERLINK("https://app.hubspot.com/contacts/8748051/record/0-3/51829985641", 51829985641)</f>
        <v>51829985641</v>
      </c>
      <c r="B85" s="14" t="s">
        <v>389</v>
      </c>
      <c r="C85" s="14" t="s">
        <v>156</v>
      </c>
      <c r="D85" s="15">
        <v>-2000.0</v>
      </c>
      <c r="E85" s="14" t="s">
        <v>89</v>
      </c>
      <c r="F85" s="14"/>
      <c r="G85" s="16">
        <v>46006.30966435185</v>
      </c>
      <c r="H85" s="16">
        <v>46007.31013888889</v>
      </c>
      <c r="I85" s="14" t="s">
        <v>39</v>
      </c>
      <c r="J85" s="14" t="s">
        <v>157</v>
      </c>
      <c r="K85" s="14" t="s">
        <v>158</v>
      </c>
      <c r="L85" s="14" t="s">
        <v>159</v>
      </c>
      <c r="M85" s="14" t="s">
        <v>98</v>
      </c>
      <c r="N85" s="14" t="s">
        <v>390</v>
      </c>
      <c r="O85" s="17"/>
      <c r="P85" s="14"/>
      <c r="Q85" s="14"/>
      <c r="R85" s="13">
        <f>HYPERLINK("https://app.hubspot.com/contacts/8748051/record/0-2/8323876145", 8323876145)</f>
        <v>8323876145</v>
      </c>
      <c r="S85" s="14" t="s">
        <v>391</v>
      </c>
      <c r="T85" s="18" t="s">
        <v>392</v>
      </c>
      <c r="U85" s="14" t="s">
        <v>93</v>
      </c>
      <c r="V85" s="15">
        <v>14000.0</v>
      </c>
      <c r="W85" s="19">
        <v>469.0</v>
      </c>
      <c r="X85" s="19">
        <v>42.0</v>
      </c>
      <c r="Y85" s="20"/>
      <c r="Z85" s="20" t="s">
        <v>218</v>
      </c>
      <c r="AA85" s="21"/>
      <c r="AB85" s="21"/>
      <c r="AC85" s="20" t="s">
        <v>393</v>
      </c>
      <c r="AD85" s="20" t="s">
        <v>394</v>
      </c>
      <c r="AE85" s="20" t="s">
        <v>395</v>
      </c>
      <c r="AF85" s="17" t="str">
        <f t="shared" si="1"/>
        <v>Downsell</v>
      </c>
      <c r="AG85" s="17" t="str">
        <f t="shared" si="2"/>
        <v>Customer</v>
      </c>
      <c r="AH85" s="17" t="str">
        <f t="shared" si="3"/>
        <v>201-500</v>
      </c>
      <c r="AI85" s="17" t="str">
        <f t="shared" si="4"/>
        <v>21-50</v>
      </c>
    </row>
    <row r="86" ht="15.75" customHeight="1">
      <c r="A86" s="13">
        <f>HYPERLINK("https://app.hubspot.com/contacts/8748051/record/0-3/51786515564", 51786515564)</f>
        <v>51786515564</v>
      </c>
      <c r="B86" s="14" t="s">
        <v>396</v>
      </c>
      <c r="C86" s="14" t="s">
        <v>49</v>
      </c>
      <c r="D86" s="15">
        <v>29000.0</v>
      </c>
      <c r="E86" s="14" t="s">
        <v>118</v>
      </c>
      <c r="F86" s="14"/>
      <c r="G86" s="16">
        <v>46003.6199537037</v>
      </c>
      <c r="H86" s="16">
        <v>46183.619942129626</v>
      </c>
      <c r="I86" s="14" t="s">
        <v>39</v>
      </c>
      <c r="J86" s="14" t="s">
        <v>40</v>
      </c>
      <c r="K86" s="14" t="s">
        <v>59</v>
      </c>
      <c r="L86" s="14" t="s">
        <v>60</v>
      </c>
      <c r="M86" s="14" t="s">
        <v>43</v>
      </c>
      <c r="N86" s="14"/>
      <c r="O86" s="17"/>
      <c r="P86" s="14" t="s">
        <v>232</v>
      </c>
      <c r="Q86" s="14"/>
      <c r="R86" s="13">
        <f>HYPERLINK("https://app.hubspot.com/contacts/8748051/record/0-2/18382886215", 18382886215)</f>
        <v>18382886215</v>
      </c>
      <c r="S86" s="14" t="s">
        <v>397</v>
      </c>
      <c r="T86" s="18" t="s">
        <v>398</v>
      </c>
      <c r="U86" s="14" t="s">
        <v>46</v>
      </c>
      <c r="V86" s="15"/>
      <c r="W86" s="19">
        <v>286.0</v>
      </c>
      <c r="X86" s="19">
        <v>58.0</v>
      </c>
      <c r="Y86" s="20"/>
      <c r="Z86" s="20"/>
      <c r="AA86" s="20"/>
      <c r="AB86" s="21"/>
      <c r="AC86" s="21"/>
      <c r="AD86" s="21"/>
      <c r="AE86" s="21"/>
      <c r="AF86" s="17" t="str">
        <f t="shared" si="1"/>
        <v>New Logo</v>
      </c>
      <c r="AG86" s="17" t="str">
        <f t="shared" si="2"/>
        <v>Lead</v>
      </c>
      <c r="AH86" s="17" t="str">
        <f t="shared" si="3"/>
        <v>201-500</v>
      </c>
      <c r="AI86" s="17" t="str">
        <f t="shared" si="4"/>
        <v>51-100</v>
      </c>
    </row>
    <row r="87" ht="15.75" customHeight="1">
      <c r="A87" s="13">
        <f>HYPERLINK("https://app.hubspot.com/contacts/8748051/record/0-3/51684994066", 51684994066)</f>
        <v>51684994066</v>
      </c>
      <c r="B87" s="14" t="s">
        <v>399</v>
      </c>
      <c r="C87" s="14" t="s">
        <v>49</v>
      </c>
      <c r="D87" s="15">
        <v>15000.0</v>
      </c>
      <c r="E87" s="14" t="s">
        <v>124</v>
      </c>
      <c r="F87" s="14" t="s">
        <v>51</v>
      </c>
      <c r="G87" s="16">
        <v>46002.72540509259</v>
      </c>
      <c r="H87" s="16">
        <v>46203.40762731482</v>
      </c>
      <c r="I87" s="14" t="s">
        <v>39</v>
      </c>
      <c r="J87" s="14" t="s">
        <v>40</v>
      </c>
      <c r="K87" s="14" t="s">
        <v>41</v>
      </c>
      <c r="L87" s="14" t="s">
        <v>42</v>
      </c>
      <c r="M87" s="14" t="s">
        <v>43</v>
      </c>
      <c r="N87" s="17"/>
      <c r="O87" s="14"/>
      <c r="P87" s="14"/>
      <c r="Q87" s="14" t="s">
        <v>400</v>
      </c>
      <c r="R87" s="13">
        <f>HYPERLINK("https://app.hubspot.com/contacts/8748051/record/0-2/47058468877", 47058468877)</f>
        <v>47058468877</v>
      </c>
      <c r="S87" s="14" t="s">
        <v>401</v>
      </c>
      <c r="T87" s="18" t="s">
        <v>402</v>
      </c>
      <c r="U87" s="14"/>
      <c r="V87" s="22"/>
      <c r="W87" s="19">
        <v>50.0</v>
      </c>
      <c r="X87" s="19">
        <v>9.0</v>
      </c>
      <c r="Y87" s="20" t="s">
        <v>104</v>
      </c>
      <c r="Z87" s="21"/>
      <c r="AA87" s="21"/>
      <c r="AB87" s="21"/>
      <c r="AC87" s="21"/>
      <c r="AD87" s="21"/>
      <c r="AE87" s="21"/>
      <c r="AF87" s="17" t="str">
        <f t="shared" si="1"/>
        <v>New Logo</v>
      </c>
      <c r="AG87" s="17" t="str">
        <f t="shared" si="2"/>
        <v>Lead</v>
      </c>
      <c r="AH87" s="17" t="str">
        <f t="shared" si="3"/>
        <v>0-200</v>
      </c>
      <c r="AI87" s="17" t="str">
        <f t="shared" si="4"/>
        <v>0-20</v>
      </c>
    </row>
    <row r="88" ht="15.75" customHeight="1">
      <c r="A88" s="13">
        <f>HYPERLINK("https://app.hubspot.com/contacts/8748051/record/0-3/51655318907", 51655318907)</f>
        <v>51655318907</v>
      </c>
      <c r="B88" s="14" t="s">
        <v>403</v>
      </c>
      <c r="C88" s="14" t="s">
        <v>37</v>
      </c>
      <c r="D88" s="15">
        <v>12500.0</v>
      </c>
      <c r="E88" s="14" t="s">
        <v>38</v>
      </c>
      <c r="F88" s="14"/>
      <c r="G88" s="16">
        <v>46002.385104166664</v>
      </c>
      <c r="H88" s="16">
        <v>46245.40986111111</v>
      </c>
      <c r="I88" s="14" t="s">
        <v>39</v>
      </c>
      <c r="J88" s="14" t="s">
        <v>40</v>
      </c>
      <c r="K88" s="14" t="s">
        <v>41</v>
      </c>
      <c r="L88" s="14" t="s">
        <v>42</v>
      </c>
      <c r="M88" s="14" t="s">
        <v>72</v>
      </c>
      <c r="N88" s="14"/>
      <c r="O88" s="17"/>
      <c r="P88" s="14"/>
      <c r="Q88" s="14"/>
      <c r="R88" s="13">
        <f>HYPERLINK("https://app.hubspot.com/contacts/8748051/record/0-2/19176574816", 19176574816)</f>
        <v>19176574816</v>
      </c>
      <c r="S88" s="14" t="s">
        <v>404</v>
      </c>
      <c r="T88" s="18" t="s">
        <v>405</v>
      </c>
      <c r="U88" s="14" t="s">
        <v>46</v>
      </c>
      <c r="V88" s="15"/>
      <c r="W88" s="19">
        <v>105.0</v>
      </c>
      <c r="X88" s="19">
        <v>25.0</v>
      </c>
      <c r="Y88" s="20" t="s">
        <v>104</v>
      </c>
      <c r="Z88" s="20"/>
      <c r="AA88" s="21"/>
      <c r="AB88" s="21"/>
      <c r="AC88" s="20"/>
      <c r="AD88" s="21"/>
      <c r="AE88" s="21"/>
      <c r="AF88" s="17" t="str">
        <f t="shared" si="1"/>
        <v>New Logo</v>
      </c>
      <c r="AG88" s="17" t="str">
        <f t="shared" si="2"/>
        <v>Lead</v>
      </c>
      <c r="AH88" s="17" t="str">
        <f t="shared" si="3"/>
        <v>0-200</v>
      </c>
      <c r="AI88" s="17" t="str">
        <f t="shared" si="4"/>
        <v>21-50</v>
      </c>
    </row>
    <row r="89" ht="15.75" customHeight="1">
      <c r="A89" s="13">
        <f>HYPERLINK("https://app.hubspot.com/contacts/8748051/record/0-3/51634328111", 51634328111)</f>
        <v>51634328111</v>
      </c>
      <c r="B89" s="14" t="s">
        <v>406</v>
      </c>
      <c r="C89" s="14" t="s">
        <v>49</v>
      </c>
      <c r="D89" s="15">
        <v>0.0</v>
      </c>
      <c r="E89" s="14" t="s">
        <v>118</v>
      </c>
      <c r="F89" s="14"/>
      <c r="G89" s="16">
        <v>46001.6953125</v>
      </c>
      <c r="H89" s="16">
        <v>46181.69527777778</v>
      </c>
      <c r="I89" s="14" t="s">
        <v>39</v>
      </c>
      <c r="J89" s="14" t="s">
        <v>40</v>
      </c>
      <c r="K89" s="14" t="s">
        <v>41</v>
      </c>
      <c r="L89" s="14" t="s">
        <v>42</v>
      </c>
      <c r="M89" s="14" t="s">
        <v>43</v>
      </c>
      <c r="N89" s="14"/>
      <c r="O89" s="17"/>
      <c r="P89" s="14" t="s">
        <v>232</v>
      </c>
      <c r="Q89" s="17"/>
      <c r="R89" s="13">
        <f>HYPERLINK("https://app.hubspot.com/contacts/8748051/record/0-2/46942005066", 46942005066)</f>
        <v>46942005066</v>
      </c>
      <c r="S89" s="14" t="s">
        <v>407</v>
      </c>
      <c r="T89" s="18" t="s">
        <v>408</v>
      </c>
      <c r="U89" s="14"/>
      <c r="V89" s="15"/>
      <c r="W89" s="19">
        <v>7.0</v>
      </c>
      <c r="X89" s="19">
        <v>0.0</v>
      </c>
      <c r="Y89" s="20"/>
      <c r="Z89" s="20"/>
      <c r="AA89" s="21"/>
      <c r="AB89" s="21"/>
      <c r="AC89" s="20"/>
      <c r="AD89" s="21"/>
      <c r="AE89" s="21"/>
      <c r="AF89" s="17" t="str">
        <f t="shared" si="1"/>
        <v>New Logo</v>
      </c>
      <c r="AG89" s="17" t="str">
        <f t="shared" si="2"/>
        <v>Lead</v>
      </c>
      <c r="AH89" s="17" t="str">
        <f t="shared" si="3"/>
        <v>0-200</v>
      </c>
      <c r="AI89" s="17" t="str">
        <f t="shared" si="4"/>
        <v>0-20</v>
      </c>
    </row>
    <row r="90" ht="15.75" customHeight="1">
      <c r="A90" s="13">
        <f>HYPERLINK("https://app.hubspot.com/contacts/8748051/record/0-3/51518937694", 51518937694)</f>
        <v>51518937694</v>
      </c>
      <c r="B90" s="14" t="s">
        <v>409</v>
      </c>
      <c r="C90" s="14" t="s">
        <v>49</v>
      </c>
      <c r="D90" s="15">
        <v>50000.0</v>
      </c>
      <c r="E90" s="14" t="s">
        <v>50</v>
      </c>
      <c r="F90" s="14" t="s">
        <v>51</v>
      </c>
      <c r="G90" s="16">
        <v>46001.63545138889</v>
      </c>
      <c r="H90" s="16">
        <v>46203.71450231481</v>
      </c>
      <c r="I90" s="14" t="s">
        <v>39</v>
      </c>
      <c r="J90" s="14" t="s">
        <v>40</v>
      </c>
      <c r="K90" s="14" t="s">
        <v>59</v>
      </c>
      <c r="L90" s="14" t="s">
        <v>60</v>
      </c>
      <c r="M90" s="14" t="s">
        <v>43</v>
      </c>
      <c r="N90" s="14"/>
      <c r="O90" s="17"/>
      <c r="P90" s="14"/>
      <c r="Q90" s="14"/>
      <c r="R90" s="13">
        <f>HYPERLINK("https://app.hubspot.com/contacts/8748051/record/0-2/47245239937", 47245239937)</f>
        <v>47245239937</v>
      </c>
      <c r="S90" s="14" t="s">
        <v>410</v>
      </c>
      <c r="T90" s="14" t="s">
        <v>411</v>
      </c>
      <c r="U90" s="14"/>
      <c r="V90" s="15"/>
      <c r="W90" s="19">
        <v>255.0</v>
      </c>
      <c r="X90" s="19">
        <v>58.0</v>
      </c>
      <c r="Y90" s="20" t="s">
        <v>70</v>
      </c>
      <c r="Z90" s="20"/>
      <c r="AA90" s="21"/>
      <c r="AB90" s="21"/>
      <c r="AC90" s="20"/>
      <c r="AD90" s="21"/>
      <c r="AE90" s="21"/>
      <c r="AF90" s="17" t="str">
        <f t="shared" si="1"/>
        <v>New Logo</v>
      </c>
      <c r="AG90" s="17" t="str">
        <f t="shared" si="2"/>
        <v>Lead</v>
      </c>
      <c r="AH90" s="17" t="str">
        <f t="shared" si="3"/>
        <v>201-500</v>
      </c>
      <c r="AI90" s="17" t="str">
        <f t="shared" si="4"/>
        <v>51-100</v>
      </c>
    </row>
    <row r="91" ht="15.75" customHeight="1">
      <c r="A91" s="13">
        <f>HYPERLINK("https://app.hubspot.com/contacts/8748051/record/0-3/51528548755", 51528548755)</f>
        <v>51528548755</v>
      </c>
      <c r="B91" s="14" t="s">
        <v>412</v>
      </c>
      <c r="C91" s="14" t="s">
        <v>37</v>
      </c>
      <c r="D91" s="15">
        <v>6500.0</v>
      </c>
      <c r="E91" s="14" t="s">
        <v>118</v>
      </c>
      <c r="F91" s="14"/>
      <c r="G91" s="16">
        <v>46000.687743055554</v>
      </c>
      <c r="H91" s="16">
        <v>46180.68771990741</v>
      </c>
      <c r="I91" s="14" t="s">
        <v>39</v>
      </c>
      <c r="J91" s="14" t="s">
        <v>40</v>
      </c>
      <c r="K91" s="14" t="s">
        <v>41</v>
      </c>
      <c r="L91" s="14" t="s">
        <v>42</v>
      </c>
      <c r="M91" s="14" t="s">
        <v>43</v>
      </c>
      <c r="N91" s="14"/>
      <c r="O91" s="17"/>
      <c r="P91" s="14" t="s">
        <v>260</v>
      </c>
      <c r="Q91" s="14"/>
      <c r="R91" s="13">
        <f>HYPERLINK("https://app.hubspot.com/contacts/8748051/record/0-2/46909196430", 46909196430)</f>
        <v>46909196430</v>
      </c>
      <c r="S91" s="14" t="s">
        <v>413</v>
      </c>
      <c r="T91" s="18" t="s">
        <v>414</v>
      </c>
      <c r="U91" s="14"/>
      <c r="V91" s="15"/>
      <c r="W91" s="19">
        <v>45.0</v>
      </c>
      <c r="X91" s="19">
        <v>13.0</v>
      </c>
      <c r="Y91" s="20"/>
      <c r="Z91" s="20"/>
      <c r="AA91" s="20"/>
      <c r="AB91" s="21"/>
      <c r="AC91" s="20"/>
      <c r="AD91" s="21"/>
      <c r="AE91" s="20"/>
      <c r="AF91" s="17" t="str">
        <f t="shared" si="1"/>
        <v>New Logo</v>
      </c>
      <c r="AG91" s="17" t="str">
        <f t="shared" si="2"/>
        <v>Lead</v>
      </c>
      <c r="AH91" s="17" t="str">
        <f t="shared" si="3"/>
        <v>0-200</v>
      </c>
      <c r="AI91" s="17" t="str">
        <f t="shared" si="4"/>
        <v>0-20</v>
      </c>
    </row>
    <row r="92" ht="15.75" customHeight="1">
      <c r="A92" s="13">
        <f>HYPERLINK("https://app.hubspot.com/contacts/8748051/record/0-3/51521629606", 51521629606)</f>
        <v>51521629606</v>
      </c>
      <c r="B92" s="14" t="s">
        <v>415</v>
      </c>
      <c r="C92" s="14" t="s">
        <v>49</v>
      </c>
      <c r="D92" s="15">
        <v>3500.0</v>
      </c>
      <c r="E92" s="14" t="s">
        <v>118</v>
      </c>
      <c r="F92" s="14"/>
      <c r="G92" s="16">
        <v>46000.59458333333</v>
      </c>
      <c r="H92" s="16">
        <v>46000.68425925926</v>
      </c>
      <c r="I92" s="14" t="s">
        <v>39</v>
      </c>
      <c r="J92" s="14" t="s">
        <v>40</v>
      </c>
      <c r="K92" s="14" t="s">
        <v>41</v>
      </c>
      <c r="L92" s="14" t="s">
        <v>42</v>
      </c>
      <c r="M92" s="14" t="s">
        <v>43</v>
      </c>
      <c r="N92" s="14"/>
      <c r="O92" s="17"/>
      <c r="P92" s="14" t="s">
        <v>119</v>
      </c>
      <c r="Q92" s="14"/>
      <c r="R92" s="13">
        <f>HYPERLINK("https://app.hubspot.com/contacts/8748051/record/0-2/46912343452", 46912343452)</f>
        <v>46912343452</v>
      </c>
      <c r="S92" s="14" t="s">
        <v>416</v>
      </c>
      <c r="T92" s="18" t="s">
        <v>417</v>
      </c>
      <c r="U92" s="14"/>
      <c r="V92" s="15"/>
      <c r="W92" s="19">
        <v>75.0</v>
      </c>
      <c r="X92" s="19">
        <v>7.0</v>
      </c>
      <c r="Y92" s="20"/>
      <c r="Z92" s="20"/>
      <c r="AA92" s="20"/>
      <c r="AB92" s="21"/>
      <c r="AC92" s="21"/>
      <c r="AD92" s="21"/>
      <c r="AE92" s="21"/>
      <c r="AF92" s="17" t="str">
        <f t="shared" si="1"/>
        <v>New Logo</v>
      </c>
      <c r="AG92" s="17" t="str">
        <f t="shared" si="2"/>
        <v>Lead</v>
      </c>
      <c r="AH92" s="17" t="str">
        <f t="shared" si="3"/>
        <v>0-200</v>
      </c>
      <c r="AI92" s="17" t="str">
        <f t="shared" si="4"/>
        <v>0-20</v>
      </c>
    </row>
    <row r="93" ht="15.75" customHeight="1">
      <c r="A93" s="13">
        <f>HYPERLINK("https://app.hubspot.com/contacts/8748051/record/0-3/51441209176", 51441209176)</f>
        <v>51441209176</v>
      </c>
      <c r="B93" s="14" t="s">
        <v>418</v>
      </c>
      <c r="C93" s="14" t="s">
        <v>37</v>
      </c>
      <c r="D93" s="15">
        <v>20000.0</v>
      </c>
      <c r="E93" s="14" t="s">
        <v>89</v>
      </c>
      <c r="F93" s="14" t="s">
        <v>51</v>
      </c>
      <c r="G93" s="16">
        <v>46000.38621527778</v>
      </c>
      <c r="H93" s="16">
        <v>46069.00761574074</v>
      </c>
      <c r="I93" s="14" t="s">
        <v>39</v>
      </c>
      <c r="J93" s="14" t="s">
        <v>40</v>
      </c>
      <c r="K93" s="14" t="s">
        <v>41</v>
      </c>
      <c r="L93" s="14" t="s">
        <v>42</v>
      </c>
      <c r="M93" s="14" t="s">
        <v>43</v>
      </c>
      <c r="N93" s="14" t="s">
        <v>419</v>
      </c>
      <c r="O93" s="14"/>
      <c r="P93" s="17"/>
      <c r="Q93" s="14"/>
      <c r="R93" s="13">
        <f>HYPERLINK("https://app.hubspot.com/contacts/8748051/record/0-2/19177041320", 19177041320)</f>
        <v>19177041320</v>
      </c>
      <c r="S93" s="14" t="s">
        <v>420</v>
      </c>
      <c r="T93" s="18" t="s">
        <v>421</v>
      </c>
      <c r="U93" s="14" t="s">
        <v>93</v>
      </c>
      <c r="V93" s="15">
        <v>20000.0</v>
      </c>
      <c r="W93" s="19">
        <v>403.0</v>
      </c>
      <c r="X93" s="19">
        <v>28.0</v>
      </c>
      <c r="Y93" s="20"/>
      <c r="Z93" s="20" t="s">
        <v>163</v>
      </c>
      <c r="AA93" s="20" t="s">
        <v>192</v>
      </c>
      <c r="AB93" s="21"/>
      <c r="AC93" s="20"/>
      <c r="AD93" s="21"/>
      <c r="AE93" s="21"/>
      <c r="AF93" s="17" t="str">
        <f t="shared" si="1"/>
        <v>New Logo</v>
      </c>
      <c r="AG93" s="17" t="str">
        <f t="shared" si="2"/>
        <v>Customer</v>
      </c>
      <c r="AH93" s="17" t="str">
        <f t="shared" si="3"/>
        <v>201-500</v>
      </c>
      <c r="AI93" s="17" t="str">
        <f t="shared" si="4"/>
        <v>21-50</v>
      </c>
    </row>
    <row r="94" ht="15.75" customHeight="1">
      <c r="A94" s="13">
        <f>HYPERLINK("https://app.hubspot.com/contacts/8748051/record/0-3/51340096341", 51340096341)</f>
        <v>51340096341</v>
      </c>
      <c r="B94" s="14" t="s">
        <v>422</v>
      </c>
      <c r="C94" s="14" t="s">
        <v>145</v>
      </c>
      <c r="D94" s="15">
        <v>19000.0</v>
      </c>
      <c r="E94" s="14" t="s">
        <v>118</v>
      </c>
      <c r="F94" s="14"/>
      <c r="G94" s="16">
        <v>46000.38076388889</v>
      </c>
      <c r="H94" s="16">
        <v>46180.386400462965</v>
      </c>
      <c r="I94" s="14" t="s">
        <v>39</v>
      </c>
      <c r="J94" s="14" t="s">
        <v>40</v>
      </c>
      <c r="K94" s="14" t="s">
        <v>59</v>
      </c>
      <c r="L94" s="14" t="s">
        <v>60</v>
      </c>
      <c r="M94" s="14" t="s">
        <v>43</v>
      </c>
      <c r="N94" s="17"/>
      <c r="O94" s="17"/>
      <c r="P94" s="14" t="s">
        <v>119</v>
      </c>
      <c r="Q94" s="14"/>
      <c r="R94" s="13">
        <f>HYPERLINK("https://app.hubspot.com/contacts/8748051/record/0-2/18002762655", 18002762655)</f>
        <v>18002762655</v>
      </c>
      <c r="S94" s="14" t="s">
        <v>423</v>
      </c>
      <c r="T94" s="18" t="s">
        <v>424</v>
      </c>
      <c r="U94" s="14" t="s">
        <v>46</v>
      </c>
      <c r="V94" s="22"/>
      <c r="W94" s="19">
        <v>192.0</v>
      </c>
      <c r="X94" s="19">
        <v>38.0</v>
      </c>
      <c r="Y94" s="20"/>
      <c r="Z94" s="21"/>
      <c r="AA94" s="21"/>
      <c r="AB94" s="21"/>
      <c r="AC94" s="21"/>
      <c r="AD94" s="21"/>
      <c r="AE94" s="21"/>
      <c r="AF94" s="17" t="str">
        <f t="shared" si="1"/>
        <v>New Logo</v>
      </c>
      <c r="AG94" s="17" t="str">
        <f t="shared" si="2"/>
        <v>Lead</v>
      </c>
      <c r="AH94" s="17" t="str">
        <f t="shared" si="3"/>
        <v>0-200</v>
      </c>
      <c r="AI94" s="17" t="str">
        <f t="shared" si="4"/>
        <v>21-50</v>
      </c>
    </row>
    <row r="95" ht="15.75" customHeight="1">
      <c r="A95" s="13">
        <f>HYPERLINK("https://app.hubspot.com/contacts/8748051/record/0-3/51445687066", 51445687066)</f>
        <v>51445687066</v>
      </c>
      <c r="B95" s="14" t="s">
        <v>425</v>
      </c>
      <c r="C95" s="14" t="s">
        <v>37</v>
      </c>
      <c r="D95" s="15">
        <v>5000.0</v>
      </c>
      <c r="E95" s="14" t="s">
        <v>124</v>
      </c>
      <c r="F95" s="14" t="s">
        <v>51</v>
      </c>
      <c r="G95" s="16">
        <v>45999.596504629626</v>
      </c>
      <c r="H95" s="16">
        <v>46108.668599537035</v>
      </c>
      <c r="I95" s="14" t="s">
        <v>39</v>
      </c>
      <c r="J95" s="14" t="s">
        <v>40</v>
      </c>
      <c r="K95" s="14" t="s">
        <v>41</v>
      </c>
      <c r="L95" s="14" t="s">
        <v>42</v>
      </c>
      <c r="M95" s="14" t="s">
        <v>72</v>
      </c>
      <c r="N95" s="14"/>
      <c r="O95" s="14"/>
      <c r="P95" s="14"/>
      <c r="Q95" s="14" t="s">
        <v>141</v>
      </c>
      <c r="R95" s="13">
        <f>HYPERLINK("https://app.hubspot.com/contacts/8748051/record/0-2/46777806410", 46777806410)</f>
        <v>46777806410</v>
      </c>
      <c r="S95" s="14" t="s">
        <v>426</v>
      </c>
      <c r="T95" s="18" t="s">
        <v>427</v>
      </c>
      <c r="U95" s="14"/>
      <c r="V95" s="15"/>
      <c r="W95" s="19">
        <v>30.0</v>
      </c>
      <c r="X95" s="19">
        <v>3.0</v>
      </c>
      <c r="Y95" s="20"/>
      <c r="Z95" s="20"/>
      <c r="AA95" s="21"/>
      <c r="AB95" s="20"/>
      <c r="AC95" s="20"/>
      <c r="AD95" s="20"/>
      <c r="AE95" s="20"/>
      <c r="AF95" s="17" t="str">
        <f t="shared" si="1"/>
        <v>New Logo</v>
      </c>
      <c r="AG95" s="17" t="str">
        <f t="shared" si="2"/>
        <v>Lead</v>
      </c>
      <c r="AH95" s="17" t="str">
        <f t="shared" si="3"/>
        <v>0-200</v>
      </c>
      <c r="AI95" s="17" t="str">
        <f t="shared" si="4"/>
        <v>0-20</v>
      </c>
    </row>
    <row r="96" ht="15.75" customHeight="1">
      <c r="A96" s="13">
        <f>HYPERLINK("https://app.hubspot.com/contacts/8748051/record/0-3/51149486686", 51149486686)</f>
        <v>51149486686</v>
      </c>
      <c r="B96" s="14" t="s">
        <v>428</v>
      </c>
      <c r="C96" s="14" t="s">
        <v>49</v>
      </c>
      <c r="D96" s="15">
        <v>25000.0</v>
      </c>
      <c r="E96" s="14" t="s">
        <v>326</v>
      </c>
      <c r="F96" s="14" t="s">
        <v>51</v>
      </c>
      <c r="G96" s="16">
        <v>45994.545636574076</v>
      </c>
      <c r="H96" s="16">
        <v>46295.33232638889</v>
      </c>
      <c r="I96" s="14" t="s">
        <v>39</v>
      </c>
      <c r="J96" s="14" t="s">
        <v>40</v>
      </c>
      <c r="K96" s="14" t="s">
        <v>41</v>
      </c>
      <c r="L96" s="14" t="s">
        <v>42</v>
      </c>
      <c r="M96" s="14" t="s">
        <v>43</v>
      </c>
      <c r="N96" s="14"/>
      <c r="O96" s="17"/>
      <c r="P96" s="14"/>
      <c r="Q96" s="14"/>
      <c r="R96" s="13">
        <f>HYPERLINK("https://app.hubspot.com/contacts/8748051/record/0-2/18003109253", 18003109253)</f>
        <v>18003109253</v>
      </c>
      <c r="S96" s="14" t="s">
        <v>429</v>
      </c>
      <c r="T96" s="18" t="s">
        <v>430</v>
      </c>
      <c r="U96" s="14" t="s">
        <v>46</v>
      </c>
      <c r="V96" s="15"/>
      <c r="W96" s="19">
        <v>101.0</v>
      </c>
      <c r="X96" s="19">
        <v>13.0</v>
      </c>
      <c r="Y96" s="20"/>
      <c r="Z96" s="20"/>
      <c r="AA96" s="20"/>
      <c r="AB96" s="20"/>
      <c r="AC96" s="20"/>
      <c r="AD96" s="20"/>
      <c r="AE96" s="20"/>
      <c r="AF96" s="17" t="str">
        <f t="shared" si="1"/>
        <v>New Logo</v>
      </c>
      <c r="AG96" s="17" t="str">
        <f t="shared" si="2"/>
        <v>Lead</v>
      </c>
      <c r="AH96" s="17" t="str">
        <f t="shared" si="3"/>
        <v>0-200</v>
      </c>
      <c r="AI96" s="17" t="str">
        <f t="shared" si="4"/>
        <v>0-20</v>
      </c>
    </row>
    <row r="97" ht="15.75" customHeight="1">
      <c r="A97" s="13">
        <f>HYPERLINK("https://app.hubspot.com/contacts/8748051/record/0-3/51042426447", 51042426447)</f>
        <v>51042426447</v>
      </c>
      <c r="B97" s="14" t="s">
        <v>431</v>
      </c>
      <c r="C97" s="14" t="s">
        <v>145</v>
      </c>
      <c r="D97" s="15">
        <v>1000.0</v>
      </c>
      <c r="E97" s="14" t="s">
        <v>118</v>
      </c>
      <c r="F97" s="14"/>
      <c r="G97" s="16">
        <v>45993.51520833333</v>
      </c>
      <c r="H97" s="16">
        <v>46173.515185185184</v>
      </c>
      <c r="I97" s="14" t="s">
        <v>39</v>
      </c>
      <c r="J97" s="14" t="s">
        <v>40</v>
      </c>
      <c r="K97" s="14" t="s">
        <v>41</v>
      </c>
      <c r="L97" s="14" t="s">
        <v>42</v>
      </c>
      <c r="M97" s="14" t="s">
        <v>43</v>
      </c>
      <c r="N97" s="14"/>
      <c r="O97" s="14"/>
      <c r="P97" s="14" t="s">
        <v>211</v>
      </c>
      <c r="Q97" s="14"/>
      <c r="R97" s="13">
        <f>HYPERLINK("https://app.hubspot.com/contacts/8748051/record/0-2/46444519487", 46444519487)</f>
        <v>46444519487</v>
      </c>
      <c r="S97" s="14" t="s">
        <v>432</v>
      </c>
      <c r="T97" s="18" t="s">
        <v>433</v>
      </c>
      <c r="U97" s="14"/>
      <c r="V97" s="15"/>
      <c r="W97" s="19">
        <v>12.0</v>
      </c>
      <c r="X97" s="19">
        <v>2.0</v>
      </c>
      <c r="Y97" s="20"/>
      <c r="Z97" s="20"/>
      <c r="AA97" s="20"/>
      <c r="AB97" s="20"/>
      <c r="AC97" s="20"/>
      <c r="AD97" s="20"/>
      <c r="AE97" s="20"/>
      <c r="AF97" s="17" t="str">
        <f t="shared" si="1"/>
        <v>New Logo</v>
      </c>
      <c r="AG97" s="17" t="str">
        <f t="shared" si="2"/>
        <v>Lead</v>
      </c>
      <c r="AH97" s="17" t="str">
        <f t="shared" si="3"/>
        <v>0-200</v>
      </c>
      <c r="AI97" s="17" t="str">
        <f t="shared" si="4"/>
        <v>0-20</v>
      </c>
    </row>
    <row r="98" ht="15.75" customHeight="1">
      <c r="A98" s="13">
        <f>HYPERLINK("https://app.hubspot.com/contacts/8748051/record/0-3/50794622517", 50794622517)</f>
        <v>50794622517</v>
      </c>
      <c r="B98" s="14" t="s">
        <v>434</v>
      </c>
      <c r="C98" s="14" t="s">
        <v>37</v>
      </c>
      <c r="D98" s="15">
        <v>100000.0</v>
      </c>
      <c r="E98" s="14" t="s">
        <v>118</v>
      </c>
      <c r="F98" s="14"/>
      <c r="G98" s="16">
        <v>45992.710868055554</v>
      </c>
      <c r="H98" s="16">
        <v>46172.71084490741</v>
      </c>
      <c r="I98" s="14" t="s">
        <v>39</v>
      </c>
      <c r="J98" s="14" t="s">
        <v>52</v>
      </c>
      <c r="K98" s="14" t="s">
        <v>59</v>
      </c>
      <c r="L98" s="14" t="s">
        <v>60</v>
      </c>
      <c r="M98" s="14" t="s">
        <v>43</v>
      </c>
      <c r="N98" s="14"/>
      <c r="O98" s="17"/>
      <c r="P98" s="14" t="s">
        <v>232</v>
      </c>
      <c r="Q98" s="14"/>
      <c r="R98" s="13">
        <f>HYPERLINK("https://app.hubspot.com/contacts/8748051/record/0-2/37933644947", 37933644947)</f>
        <v>37933644947</v>
      </c>
      <c r="S98" s="14" t="s">
        <v>435</v>
      </c>
      <c r="T98" s="18" t="s">
        <v>436</v>
      </c>
      <c r="U98" s="14"/>
      <c r="V98" s="15"/>
      <c r="W98" s="19">
        <v>13600.0</v>
      </c>
      <c r="X98" s="19">
        <v>267.0</v>
      </c>
      <c r="Y98" s="20"/>
      <c r="Z98" s="20"/>
      <c r="AA98" s="20"/>
      <c r="AB98" s="20"/>
      <c r="AC98" s="20"/>
      <c r="AD98" s="20"/>
      <c r="AE98" s="20"/>
      <c r="AF98" s="17" t="str">
        <f t="shared" si="1"/>
        <v>New Logo</v>
      </c>
      <c r="AG98" s="17" t="str">
        <f t="shared" si="2"/>
        <v>Lead</v>
      </c>
      <c r="AH98" s="17" t="str">
        <f t="shared" si="3"/>
        <v>10000+</v>
      </c>
      <c r="AI98" s="17" t="str">
        <f t="shared" si="4"/>
        <v>101-500</v>
      </c>
    </row>
    <row r="99" ht="15.75" customHeight="1">
      <c r="A99" s="13">
        <f>HYPERLINK("https://app.hubspot.com/contacts/8748051/record/0-3/50871348566", 50871348566)</f>
        <v>50871348566</v>
      </c>
      <c r="B99" s="14" t="s">
        <v>437</v>
      </c>
      <c r="C99" s="14" t="s">
        <v>37</v>
      </c>
      <c r="D99" s="15">
        <v>15000.0</v>
      </c>
      <c r="E99" s="14" t="s">
        <v>124</v>
      </c>
      <c r="F99" s="14" t="s">
        <v>51</v>
      </c>
      <c r="G99" s="16">
        <v>45992.688425925924</v>
      </c>
      <c r="H99" s="16">
        <v>46163.022314814814</v>
      </c>
      <c r="I99" s="14" t="s">
        <v>39</v>
      </c>
      <c r="J99" s="14" t="s">
        <v>52</v>
      </c>
      <c r="K99" s="14" t="s">
        <v>41</v>
      </c>
      <c r="L99" s="14" t="s">
        <v>42</v>
      </c>
      <c r="M99" s="14" t="s">
        <v>43</v>
      </c>
      <c r="N99" s="14"/>
      <c r="O99" s="17"/>
      <c r="P99" s="14"/>
      <c r="Q99" s="14" t="s">
        <v>195</v>
      </c>
      <c r="R99" s="13">
        <f>HYPERLINK("https://app.hubspot.com/contacts/8748051/record/0-2/43795392292", 43795392292)</f>
        <v>43795392292</v>
      </c>
      <c r="S99" s="14" t="s">
        <v>438</v>
      </c>
      <c r="T99" s="18" t="s">
        <v>439</v>
      </c>
      <c r="U99" s="14"/>
      <c r="V99" s="15"/>
      <c r="W99" s="19">
        <v>5955.0</v>
      </c>
      <c r="X99" s="19">
        <v>250.0</v>
      </c>
      <c r="Y99" s="20"/>
      <c r="Z99" s="20"/>
      <c r="AA99" s="21"/>
      <c r="AB99" s="21"/>
      <c r="AC99" s="20"/>
      <c r="AD99" s="20"/>
      <c r="AE99" s="20"/>
      <c r="AF99" s="17" t="str">
        <f t="shared" si="1"/>
        <v>New Logo</v>
      </c>
      <c r="AG99" s="17" t="str">
        <f t="shared" si="2"/>
        <v>Lead</v>
      </c>
      <c r="AH99" s="17" t="str">
        <f t="shared" si="3"/>
        <v>5000-10000</v>
      </c>
      <c r="AI99" s="17" t="str">
        <f t="shared" si="4"/>
        <v>101-500</v>
      </c>
    </row>
    <row r="100" ht="15.75" customHeight="1">
      <c r="A100" s="13">
        <f>HYPERLINK("https://app.hubspot.com/contacts/8748051/record/0-3/50793353798", 50793353798)</f>
        <v>50793353798</v>
      </c>
      <c r="B100" s="14" t="s">
        <v>440</v>
      </c>
      <c r="C100" s="14" t="s">
        <v>37</v>
      </c>
      <c r="D100" s="15">
        <v>25000.0</v>
      </c>
      <c r="E100" s="14" t="s">
        <v>441</v>
      </c>
      <c r="F100" s="14" t="s">
        <v>51</v>
      </c>
      <c r="G100" s="16">
        <v>45992.60959490741</v>
      </c>
      <c r="H100" s="16">
        <v>46143.412939814814</v>
      </c>
      <c r="I100" s="14" t="s">
        <v>39</v>
      </c>
      <c r="J100" s="14" t="s">
        <v>40</v>
      </c>
      <c r="K100" s="14" t="s">
        <v>41</v>
      </c>
      <c r="L100" s="14" t="s">
        <v>42</v>
      </c>
      <c r="M100" s="14" t="s">
        <v>43</v>
      </c>
      <c r="N100" s="17"/>
      <c r="O100" s="14"/>
      <c r="P100" s="14"/>
      <c r="Q100" s="14"/>
      <c r="R100" s="13">
        <f>HYPERLINK("https://app.hubspot.com/contacts/8748051/record/0-2/46229441682", 46229441682)</f>
        <v>46229441682</v>
      </c>
      <c r="S100" s="14" t="s">
        <v>442</v>
      </c>
      <c r="T100" s="18" t="s">
        <v>443</v>
      </c>
      <c r="U100" s="14"/>
      <c r="V100" s="22"/>
      <c r="W100" s="19">
        <v>123.0</v>
      </c>
      <c r="X100" s="19">
        <v>16.0</v>
      </c>
      <c r="Y100" s="20" t="s">
        <v>104</v>
      </c>
      <c r="Z100" s="21"/>
      <c r="AA100" s="21"/>
      <c r="AB100" s="21"/>
      <c r="AC100" s="21"/>
      <c r="AD100" s="21"/>
      <c r="AE100" s="21"/>
      <c r="AF100" s="17" t="str">
        <f t="shared" si="1"/>
        <v>New Logo</v>
      </c>
      <c r="AG100" s="17" t="str">
        <f t="shared" si="2"/>
        <v>Lead</v>
      </c>
      <c r="AH100" s="17" t="str">
        <f t="shared" si="3"/>
        <v>0-200</v>
      </c>
      <c r="AI100" s="17" t="str">
        <f t="shared" si="4"/>
        <v>0-20</v>
      </c>
    </row>
    <row r="101" ht="15.75" customHeight="1">
      <c r="A101" s="13">
        <f>HYPERLINK("https://app.hubspot.com/contacts/8748051/record/0-3/50478039948", 50478039948)</f>
        <v>50478039948</v>
      </c>
      <c r="B101" s="14" t="s">
        <v>444</v>
      </c>
      <c r="C101" s="14" t="s">
        <v>37</v>
      </c>
      <c r="D101" s="15">
        <v>36500.0</v>
      </c>
      <c r="E101" s="14" t="s">
        <v>124</v>
      </c>
      <c r="F101" s="14" t="s">
        <v>51</v>
      </c>
      <c r="G101" s="16">
        <v>45986.81113425926</v>
      </c>
      <c r="H101" s="16">
        <v>46166.81112268518</v>
      </c>
      <c r="I101" s="14" t="s">
        <v>39</v>
      </c>
      <c r="J101" s="14" t="s">
        <v>52</v>
      </c>
      <c r="K101" s="14" t="s">
        <v>41</v>
      </c>
      <c r="L101" s="14" t="s">
        <v>42</v>
      </c>
      <c r="M101" s="14" t="s">
        <v>43</v>
      </c>
      <c r="N101" s="17"/>
      <c r="O101" s="14"/>
      <c r="P101" s="14"/>
      <c r="Q101" s="14" t="s">
        <v>141</v>
      </c>
      <c r="R101" s="13">
        <f>HYPERLINK("https://app.hubspot.com/contacts/8748051/record/0-2/9460883813", 9460883813)</f>
        <v>9460883813</v>
      </c>
      <c r="S101" s="14" t="s">
        <v>445</v>
      </c>
      <c r="T101" s="14" t="s">
        <v>446</v>
      </c>
      <c r="U101" s="14"/>
      <c r="V101" s="22"/>
      <c r="W101" s="19">
        <v>1187.0</v>
      </c>
      <c r="X101" s="19">
        <v>89.0</v>
      </c>
      <c r="Y101" s="20" t="s">
        <v>70</v>
      </c>
      <c r="Z101" s="21"/>
      <c r="AA101" s="21"/>
      <c r="AB101" s="21"/>
      <c r="AC101" s="21"/>
      <c r="AD101" s="21"/>
      <c r="AE101" s="21"/>
      <c r="AF101" s="17" t="str">
        <f t="shared" si="1"/>
        <v>New Logo</v>
      </c>
      <c r="AG101" s="17" t="str">
        <f t="shared" si="2"/>
        <v>Lead</v>
      </c>
      <c r="AH101" s="17" t="str">
        <f t="shared" si="3"/>
        <v>1001-5000</v>
      </c>
      <c r="AI101" s="17" t="str">
        <f t="shared" si="4"/>
        <v>51-100</v>
      </c>
    </row>
    <row r="102" ht="15.75" customHeight="1">
      <c r="A102" s="13">
        <f>HYPERLINK("https://app.hubspot.com/contacts/8748051/record/0-3/50461156525", 50461156525)</f>
        <v>50461156525</v>
      </c>
      <c r="B102" s="14" t="s">
        <v>447</v>
      </c>
      <c r="C102" s="14" t="s">
        <v>49</v>
      </c>
      <c r="D102" s="15">
        <v>100000.0</v>
      </c>
      <c r="E102" s="14" t="s">
        <v>146</v>
      </c>
      <c r="F102" s="14" t="s">
        <v>51</v>
      </c>
      <c r="G102" s="16">
        <v>45986.55112268519</v>
      </c>
      <c r="H102" s="16">
        <v>46031.411828703705</v>
      </c>
      <c r="I102" s="14" t="s">
        <v>39</v>
      </c>
      <c r="J102" s="14" t="s">
        <v>52</v>
      </c>
      <c r="K102" s="14" t="s">
        <v>41</v>
      </c>
      <c r="L102" s="14" t="s">
        <v>448</v>
      </c>
      <c r="M102" s="14" t="s">
        <v>72</v>
      </c>
      <c r="N102" s="14"/>
      <c r="O102" s="14" t="s">
        <v>449</v>
      </c>
      <c r="P102" s="14"/>
      <c r="Q102" s="14"/>
      <c r="R102" s="13">
        <f>HYPERLINK("https://app.hubspot.com/contacts/8748051/record/0-2/9238245459", 9238245459)</f>
        <v>9238245459</v>
      </c>
      <c r="S102" s="14" t="s">
        <v>450</v>
      </c>
      <c r="T102" s="18" t="s">
        <v>451</v>
      </c>
      <c r="U102" s="14" t="s">
        <v>46</v>
      </c>
      <c r="V102" s="15"/>
      <c r="W102" s="19">
        <v>638.0</v>
      </c>
      <c r="X102" s="19">
        <v>138.0</v>
      </c>
      <c r="Y102" s="20" t="s">
        <v>78</v>
      </c>
      <c r="Z102" s="20"/>
      <c r="AA102" s="21"/>
      <c r="AB102" s="20"/>
      <c r="AC102" s="20"/>
      <c r="AD102" s="20"/>
      <c r="AE102" s="20"/>
      <c r="AF102" s="17" t="str">
        <f t="shared" si="1"/>
        <v>New Logo</v>
      </c>
      <c r="AG102" s="17" t="str">
        <f t="shared" si="2"/>
        <v>Lead</v>
      </c>
      <c r="AH102" s="17" t="str">
        <f t="shared" si="3"/>
        <v>501-1000</v>
      </c>
      <c r="AI102" s="17" t="str">
        <f t="shared" si="4"/>
        <v>101-500</v>
      </c>
    </row>
    <row r="103" ht="15.75" customHeight="1">
      <c r="A103" s="13">
        <f>HYPERLINK("https://app.hubspot.com/contacts/8748051/record/0-3/50452632124", 50452632124)</f>
        <v>50452632124</v>
      </c>
      <c r="B103" s="14" t="s">
        <v>452</v>
      </c>
      <c r="C103" s="14" t="s">
        <v>145</v>
      </c>
      <c r="D103" s="15">
        <v>99500.0</v>
      </c>
      <c r="E103" s="14" t="s">
        <v>118</v>
      </c>
      <c r="F103" s="14"/>
      <c r="G103" s="16">
        <v>45986.49275462963</v>
      </c>
      <c r="H103" s="16">
        <v>46166.49271990741</v>
      </c>
      <c r="I103" s="14" t="s">
        <v>39</v>
      </c>
      <c r="J103" s="14" t="s">
        <v>52</v>
      </c>
      <c r="K103" s="14" t="s">
        <v>41</v>
      </c>
      <c r="L103" s="14" t="s">
        <v>42</v>
      </c>
      <c r="M103" s="14" t="s">
        <v>43</v>
      </c>
      <c r="N103" s="14"/>
      <c r="O103" s="17"/>
      <c r="P103" s="14" t="s">
        <v>232</v>
      </c>
      <c r="Q103" s="14"/>
      <c r="R103" s="13">
        <f>HYPERLINK("https://app.hubspot.com/contacts/8748051/record/0-2/7715913391", 7715913391)</f>
        <v>7715913391</v>
      </c>
      <c r="S103" s="14" t="s">
        <v>453</v>
      </c>
      <c r="T103" s="18" t="s">
        <v>454</v>
      </c>
      <c r="U103" s="14" t="s">
        <v>46</v>
      </c>
      <c r="V103" s="15"/>
      <c r="W103" s="19">
        <v>1019.0</v>
      </c>
      <c r="X103" s="19">
        <v>183.0</v>
      </c>
      <c r="Y103" s="20" t="s">
        <v>455</v>
      </c>
      <c r="Z103" s="20"/>
      <c r="AA103" s="20"/>
      <c r="AB103" s="20"/>
      <c r="AC103" s="20"/>
      <c r="AD103" s="20"/>
      <c r="AE103" s="20"/>
      <c r="AF103" s="17" t="str">
        <f t="shared" si="1"/>
        <v>New Logo</v>
      </c>
      <c r="AG103" s="17" t="str">
        <f t="shared" si="2"/>
        <v>Lead</v>
      </c>
      <c r="AH103" s="17" t="str">
        <f t="shared" si="3"/>
        <v>1001-5000</v>
      </c>
      <c r="AI103" s="17" t="str">
        <f t="shared" si="4"/>
        <v>101-500</v>
      </c>
    </row>
    <row r="104" ht="15.75" customHeight="1">
      <c r="A104" s="13">
        <f>HYPERLINK("https://app.hubspot.com/contacts/8748051/record/0-3/50435887955", 50435887955)</f>
        <v>50435887955</v>
      </c>
      <c r="B104" s="14" t="s">
        <v>456</v>
      </c>
      <c r="C104" s="14" t="s">
        <v>156</v>
      </c>
      <c r="D104" s="15">
        <v>-2540.0</v>
      </c>
      <c r="E104" s="14" t="s">
        <v>89</v>
      </c>
      <c r="F104" s="14"/>
      <c r="G104" s="16">
        <v>45985.6353125</v>
      </c>
      <c r="H104" s="16">
        <v>45985.63528935185</v>
      </c>
      <c r="I104" s="14" t="s">
        <v>39</v>
      </c>
      <c r="J104" s="14" t="s">
        <v>157</v>
      </c>
      <c r="K104" s="14" t="s">
        <v>158</v>
      </c>
      <c r="L104" s="14" t="s">
        <v>159</v>
      </c>
      <c r="M104" s="14" t="s">
        <v>43</v>
      </c>
      <c r="N104" s="14" t="s">
        <v>457</v>
      </c>
      <c r="O104" s="14"/>
      <c r="P104" s="14"/>
      <c r="Q104" s="14"/>
      <c r="R104" s="13">
        <f>HYPERLINK("https://app.hubspot.com/contacts/8748051/record/0-2/17267716867", 17267716867)</f>
        <v>17267716867</v>
      </c>
      <c r="S104" s="14" t="s">
        <v>458</v>
      </c>
      <c r="T104" s="18" t="s">
        <v>459</v>
      </c>
      <c r="U104" s="14" t="s">
        <v>93</v>
      </c>
      <c r="V104" s="15">
        <v>3960.0</v>
      </c>
      <c r="W104" s="19">
        <v>349.0</v>
      </c>
      <c r="X104" s="19">
        <v>21.0</v>
      </c>
      <c r="Y104" s="20"/>
      <c r="Z104" s="20" t="s">
        <v>205</v>
      </c>
      <c r="AA104" s="20"/>
      <c r="AB104" s="20" t="s">
        <v>460</v>
      </c>
      <c r="AC104" s="20" t="s">
        <v>461</v>
      </c>
      <c r="AD104" s="20" t="s">
        <v>462</v>
      </c>
      <c r="AE104" s="20" t="s">
        <v>209</v>
      </c>
      <c r="AF104" s="17" t="str">
        <f t="shared" si="1"/>
        <v>Downsell</v>
      </c>
      <c r="AG104" s="17" t="str">
        <f t="shared" si="2"/>
        <v>Customer</v>
      </c>
      <c r="AH104" s="17" t="str">
        <f t="shared" si="3"/>
        <v>201-500</v>
      </c>
      <c r="AI104" s="17" t="str">
        <f t="shared" si="4"/>
        <v>21-50</v>
      </c>
    </row>
    <row r="105" ht="15.75" customHeight="1">
      <c r="A105" s="13">
        <f>HYPERLINK("https://app.hubspot.com/contacts/8748051/record/0-3/50443417157", 50443417157)</f>
        <v>50443417157</v>
      </c>
      <c r="B105" s="14" t="s">
        <v>463</v>
      </c>
      <c r="C105" s="14" t="s">
        <v>156</v>
      </c>
      <c r="D105" s="15">
        <v>11300.0</v>
      </c>
      <c r="E105" s="14" t="s">
        <v>89</v>
      </c>
      <c r="F105" s="14"/>
      <c r="G105" s="16">
        <v>45984.62646990741</v>
      </c>
      <c r="H105" s="16">
        <v>45984.626435185186</v>
      </c>
      <c r="I105" s="14" t="s">
        <v>39</v>
      </c>
      <c r="J105" s="14" t="s">
        <v>179</v>
      </c>
      <c r="K105" s="14" t="s">
        <v>158</v>
      </c>
      <c r="L105" s="14" t="s">
        <v>159</v>
      </c>
      <c r="M105" s="14" t="s">
        <v>43</v>
      </c>
      <c r="N105" s="14" t="s">
        <v>464</v>
      </c>
      <c r="O105" s="14"/>
      <c r="P105" s="14"/>
      <c r="Q105" s="14"/>
      <c r="R105" s="13">
        <f>HYPERLINK("https://app.hubspot.com/contacts/8748051/record/0-2/16734679839", 16734679839)</f>
        <v>16734679839</v>
      </c>
      <c r="S105" s="14" t="s">
        <v>465</v>
      </c>
      <c r="T105" s="18" t="s">
        <v>466</v>
      </c>
      <c r="U105" s="14" t="s">
        <v>93</v>
      </c>
      <c r="V105" s="15">
        <v>29912.0</v>
      </c>
      <c r="W105" s="19">
        <v>280.0</v>
      </c>
      <c r="X105" s="19">
        <v>15.0</v>
      </c>
      <c r="Y105" s="20"/>
      <c r="Z105" s="20" t="s">
        <v>348</v>
      </c>
      <c r="AA105" s="20" t="s">
        <v>205</v>
      </c>
      <c r="AB105" s="20" t="s">
        <v>206</v>
      </c>
      <c r="AC105" s="20" t="s">
        <v>461</v>
      </c>
      <c r="AD105" s="20" t="s">
        <v>467</v>
      </c>
      <c r="AE105" s="20" t="s">
        <v>166</v>
      </c>
      <c r="AF105" s="17" t="str">
        <f t="shared" si="1"/>
        <v>Upsell</v>
      </c>
      <c r="AG105" s="17" t="str">
        <f t="shared" si="2"/>
        <v>Customer</v>
      </c>
      <c r="AH105" s="17" t="str">
        <f t="shared" si="3"/>
        <v>201-500</v>
      </c>
      <c r="AI105" s="17" t="str">
        <f t="shared" si="4"/>
        <v>0-20</v>
      </c>
    </row>
    <row r="106" ht="15.75" customHeight="1">
      <c r="A106" s="13">
        <f>HYPERLINK("https://app.hubspot.com/contacts/8748051/record/0-3/50443355156", 50443355156)</f>
        <v>50443355156</v>
      </c>
      <c r="B106" s="14" t="s">
        <v>468</v>
      </c>
      <c r="C106" s="14" t="s">
        <v>156</v>
      </c>
      <c r="D106" s="15">
        <v>16840.0</v>
      </c>
      <c r="E106" s="14" t="s">
        <v>89</v>
      </c>
      <c r="F106" s="14"/>
      <c r="G106" s="16">
        <v>45981.61729166667</v>
      </c>
      <c r="H106" s="16">
        <v>45981.64094907408</v>
      </c>
      <c r="I106" s="14" t="s">
        <v>39</v>
      </c>
      <c r="J106" s="14" t="s">
        <v>179</v>
      </c>
      <c r="K106" s="14" t="s">
        <v>158</v>
      </c>
      <c r="L106" s="14" t="s">
        <v>159</v>
      </c>
      <c r="M106" s="14" t="s">
        <v>43</v>
      </c>
      <c r="N106" s="14" t="s">
        <v>469</v>
      </c>
      <c r="O106" s="17"/>
      <c r="P106" s="14"/>
      <c r="Q106" s="14"/>
      <c r="R106" s="13">
        <f>HYPERLINK("https://app.hubspot.com/contacts/8748051/record/0-2/10013265046", 10013265046)</f>
        <v>10013265046</v>
      </c>
      <c r="S106" s="14" t="s">
        <v>470</v>
      </c>
      <c r="T106" s="18" t="s">
        <v>471</v>
      </c>
      <c r="U106" s="14" t="s">
        <v>93</v>
      </c>
      <c r="V106" s="15">
        <v>40000.0</v>
      </c>
      <c r="W106" s="19">
        <v>588.0</v>
      </c>
      <c r="X106" s="19">
        <v>142.0</v>
      </c>
      <c r="Y106" s="20"/>
      <c r="Z106" s="20" t="s">
        <v>218</v>
      </c>
      <c r="AA106" s="21"/>
      <c r="AB106" s="21"/>
      <c r="AC106" s="20" t="s">
        <v>472</v>
      </c>
      <c r="AD106" s="20" t="s">
        <v>473</v>
      </c>
      <c r="AE106" s="20" t="s">
        <v>166</v>
      </c>
      <c r="AF106" s="17" t="str">
        <f t="shared" si="1"/>
        <v>Upsell</v>
      </c>
      <c r="AG106" s="17" t="str">
        <f t="shared" si="2"/>
        <v>Customer</v>
      </c>
      <c r="AH106" s="17" t="str">
        <f t="shared" si="3"/>
        <v>501-1000</v>
      </c>
      <c r="AI106" s="17" t="str">
        <f t="shared" si="4"/>
        <v>101-500</v>
      </c>
    </row>
    <row r="107" ht="15.75" customHeight="1">
      <c r="A107" s="13">
        <f>HYPERLINK("https://app.hubspot.com/contacts/8748051/record/0-3/49729053081", 49729053081)</f>
        <v>49729053081</v>
      </c>
      <c r="B107" s="14" t="s">
        <v>474</v>
      </c>
      <c r="C107" s="14" t="s">
        <v>145</v>
      </c>
      <c r="D107" s="15">
        <v>24500.0</v>
      </c>
      <c r="E107" s="14" t="s">
        <v>124</v>
      </c>
      <c r="F107" s="14" t="s">
        <v>51</v>
      </c>
      <c r="G107" s="16">
        <v>45981.595613425925</v>
      </c>
      <c r="H107" s="16">
        <v>46161.595601851855</v>
      </c>
      <c r="I107" s="14" t="s">
        <v>39</v>
      </c>
      <c r="J107" s="14" t="s">
        <v>40</v>
      </c>
      <c r="K107" s="14" t="s">
        <v>41</v>
      </c>
      <c r="L107" s="14" t="s">
        <v>42</v>
      </c>
      <c r="M107" s="14" t="s">
        <v>43</v>
      </c>
      <c r="N107" s="14"/>
      <c r="O107" s="17"/>
      <c r="P107" s="14"/>
      <c r="Q107" s="14" t="s">
        <v>125</v>
      </c>
      <c r="R107" s="13">
        <f>HYPERLINK("https://app.hubspot.com/contacts/8748051/record/0-2/45255543475", 45255543475)</f>
        <v>45255543475</v>
      </c>
      <c r="S107" s="14" t="s">
        <v>475</v>
      </c>
      <c r="T107" s="18" t="s">
        <v>476</v>
      </c>
      <c r="U107" s="14"/>
      <c r="V107" s="15"/>
      <c r="W107" s="19">
        <v>298.0</v>
      </c>
      <c r="X107" s="19">
        <v>63.0</v>
      </c>
      <c r="Y107" s="20" t="s">
        <v>70</v>
      </c>
      <c r="Z107" s="20"/>
      <c r="AA107" s="20"/>
      <c r="AB107" s="21"/>
      <c r="AC107" s="20"/>
      <c r="AD107" s="20"/>
      <c r="AE107" s="20"/>
      <c r="AF107" s="17" t="str">
        <f t="shared" si="1"/>
        <v>New Logo</v>
      </c>
      <c r="AG107" s="17" t="str">
        <f t="shared" si="2"/>
        <v>Lead</v>
      </c>
      <c r="AH107" s="17" t="str">
        <f t="shared" si="3"/>
        <v>201-500</v>
      </c>
      <c r="AI107" s="17" t="str">
        <f t="shared" si="4"/>
        <v>51-100</v>
      </c>
    </row>
    <row r="108" ht="15.75" customHeight="1">
      <c r="A108" s="13">
        <f>HYPERLINK("https://app.hubspot.com/contacts/8748051/record/0-3/49719151166", 49719151166)</f>
        <v>49719151166</v>
      </c>
      <c r="B108" s="14" t="s">
        <v>477</v>
      </c>
      <c r="C108" s="14" t="s">
        <v>145</v>
      </c>
      <c r="D108" s="15">
        <v>20000.0</v>
      </c>
      <c r="E108" s="14" t="s">
        <v>124</v>
      </c>
      <c r="F108" s="14" t="s">
        <v>51</v>
      </c>
      <c r="G108" s="16">
        <v>45981.522731481484</v>
      </c>
      <c r="H108" s="16">
        <v>46161.52271990741</v>
      </c>
      <c r="I108" s="14" t="s">
        <v>39</v>
      </c>
      <c r="J108" s="14" t="s">
        <v>40</v>
      </c>
      <c r="K108" s="14" t="s">
        <v>41</v>
      </c>
      <c r="L108" s="14" t="s">
        <v>42</v>
      </c>
      <c r="M108" s="14" t="s">
        <v>43</v>
      </c>
      <c r="N108" s="17"/>
      <c r="O108" s="17"/>
      <c r="P108" s="14"/>
      <c r="Q108" s="14" t="s">
        <v>125</v>
      </c>
      <c r="R108" s="13">
        <f>HYPERLINK("https://app.hubspot.com/contacts/8748051/record/0-2/15942371161", 15942371161)</f>
        <v>15942371161</v>
      </c>
      <c r="S108" s="14" t="s">
        <v>478</v>
      </c>
      <c r="T108" s="18" t="s">
        <v>479</v>
      </c>
      <c r="U108" s="14" t="s">
        <v>46</v>
      </c>
      <c r="V108" s="22"/>
      <c r="W108" s="19">
        <v>174.0</v>
      </c>
      <c r="X108" s="19">
        <v>45.0</v>
      </c>
      <c r="Y108" s="20" t="s">
        <v>104</v>
      </c>
      <c r="Z108" s="21"/>
      <c r="AA108" s="21"/>
      <c r="AB108" s="21"/>
      <c r="AC108" s="21"/>
      <c r="AD108" s="21"/>
      <c r="AE108" s="21"/>
      <c r="AF108" s="17" t="str">
        <f t="shared" si="1"/>
        <v>New Logo</v>
      </c>
      <c r="AG108" s="17" t="str">
        <f t="shared" si="2"/>
        <v>Lead</v>
      </c>
      <c r="AH108" s="17" t="str">
        <f t="shared" si="3"/>
        <v>0-200</v>
      </c>
      <c r="AI108" s="17" t="str">
        <f t="shared" si="4"/>
        <v>21-50</v>
      </c>
    </row>
    <row r="109" ht="15.75" customHeight="1">
      <c r="A109" s="13">
        <f>HYPERLINK("https://app.hubspot.com/contacts/8748051/record/0-3/49653738372", 49653738372)</f>
        <v>49653738372</v>
      </c>
      <c r="B109" s="14" t="s">
        <v>480</v>
      </c>
      <c r="C109" s="14" t="s">
        <v>49</v>
      </c>
      <c r="D109" s="15">
        <v>0.0</v>
      </c>
      <c r="E109" s="14" t="s">
        <v>118</v>
      </c>
      <c r="F109" s="14"/>
      <c r="G109" s="16">
        <v>45981.27064814815</v>
      </c>
      <c r="H109" s="16">
        <v>46161.270636574074</v>
      </c>
      <c r="I109" s="14" t="s">
        <v>39</v>
      </c>
      <c r="J109" s="14" t="s">
        <v>40</v>
      </c>
      <c r="K109" s="14" t="s">
        <v>41</v>
      </c>
      <c r="L109" s="14" t="s">
        <v>42</v>
      </c>
      <c r="M109" s="14" t="s">
        <v>43</v>
      </c>
      <c r="N109" s="14"/>
      <c r="O109" s="17"/>
      <c r="P109" s="14" t="s">
        <v>260</v>
      </c>
      <c r="Q109" s="17"/>
      <c r="R109" s="13">
        <f>HYPERLINK("https://app.hubspot.com/contacts/8748051/record/0-2/44999704181", 44999704181)</f>
        <v>44999704181</v>
      </c>
      <c r="S109" s="14" t="s">
        <v>481</v>
      </c>
      <c r="T109" s="18" t="s">
        <v>482</v>
      </c>
      <c r="U109" s="14"/>
      <c r="V109" s="15"/>
      <c r="W109" s="19">
        <v>1.0</v>
      </c>
      <c r="X109" s="19">
        <v>0.0</v>
      </c>
      <c r="Y109" s="20"/>
      <c r="Z109" s="20"/>
      <c r="AA109" s="21"/>
      <c r="AB109" s="21"/>
      <c r="AC109" s="20"/>
      <c r="AD109" s="21"/>
      <c r="AE109" s="20"/>
      <c r="AF109" s="17" t="str">
        <f t="shared" si="1"/>
        <v>New Logo</v>
      </c>
      <c r="AG109" s="17" t="str">
        <f t="shared" si="2"/>
        <v>Lead</v>
      </c>
      <c r="AH109" s="17" t="str">
        <f t="shared" si="3"/>
        <v>0-200</v>
      </c>
      <c r="AI109" s="17" t="str">
        <f t="shared" si="4"/>
        <v>0-20</v>
      </c>
    </row>
    <row r="110" ht="15.75" customHeight="1">
      <c r="A110" s="13">
        <f>HYPERLINK("https://app.hubspot.com/contacts/8748051/record/0-3/49619975860", 49619975860)</f>
        <v>49619975860</v>
      </c>
      <c r="B110" s="14" t="s">
        <v>483</v>
      </c>
      <c r="C110" s="14" t="s">
        <v>49</v>
      </c>
      <c r="D110" s="15">
        <v>0.0</v>
      </c>
      <c r="E110" s="14" t="s">
        <v>118</v>
      </c>
      <c r="F110" s="14"/>
      <c r="G110" s="16">
        <v>45980.95353009259</v>
      </c>
      <c r="H110" s="16">
        <v>46160.953518518516</v>
      </c>
      <c r="I110" s="14" t="s">
        <v>39</v>
      </c>
      <c r="J110" s="14" t="s">
        <v>40</v>
      </c>
      <c r="K110" s="14" t="s">
        <v>41</v>
      </c>
      <c r="L110" s="14" t="s">
        <v>42</v>
      </c>
      <c r="M110" s="14"/>
      <c r="N110" s="17"/>
      <c r="O110" s="14"/>
      <c r="P110" s="14" t="s">
        <v>260</v>
      </c>
      <c r="Q110" s="14"/>
      <c r="R110" s="13">
        <f>HYPERLINK("https://app.hubspot.com/contacts/8748051/record/0-2/44383913314", 44383913314)</f>
        <v>44383913314</v>
      </c>
      <c r="S110" s="14" t="s">
        <v>484</v>
      </c>
      <c r="T110" s="18" t="s">
        <v>485</v>
      </c>
      <c r="U110" s="14"/>
      <c r="V110" s="22"/>
      <c r="W110" s="19">
        <v>4.0</v>
      </c>
      <c r="X110" s="19">
        <v>0.0</v>
      </c>
      <c r="Y110" s="20"/>
      <c r="Z110" s="21"/>
      <c r="AA110" s="21"/>
      <c r="AB110" s="21"/>
      <c r="AC110" s="21"/>
      <c r="AD110" s="21"/>
      <c r="AE110" s="21"/>
      <c r="AF110" s="17" t="str">
        <f t="shared" si="1"/>
        <v>New Logo</v>
      </c>
      <c r="AG110" s="17" t="str">
        <f t="shared" si="2"/>
        <v>Lead</v>
      </c>
      <c r="AH110" s="17" t="str">
        <f t="shared" si="3"/>
        <v>0-200</v>
      </c>
      <c r="AI110" s="17" t="str">
        <f t="shared" si="4"/>
        <v>0-20</v>
      </c>
    </row>
    <row r="111" ht="15.75" customHeight="1">
      <c r="A111" s="13">
        <f>HYPERLINK("https://app.hubspot.com/contacts/8748051/record/0-3/49661834776", 49661834776)</f>
        <v>49661834776</v>
      </c>
      <c r="B111" s="14" t="s">
        <v>486</v>
      </c>
      <c r="C111" s="14" t="s">
        <v>145</v>
      </c>
      <c r="D111" s="15">
        <v>14000.0</v>
      </c>
      <c r="E111" s="14" t="s">
        <v>118</v>
      </c>
      <c r="F111" s="14"/>
      <c r="G111" s="16">
        <v>45980.94287037037</v>
      </c>
      <c r="H111" s="16">
        <v>46160.94284722222</v>
      </c>
      <c r="I111" s="14" t="s">
        <v>39</v>
      </c>
      <c r="J111" s="14" t="s">
        <v>40</v>
      </c>
      <c r="K111" s="14" t="s">
        <v>59</v>
      </c>
      <c r="L111" s="14" t="s">
        <v>60</v>
      </c>
      <c r="M111" s="14" t="s">
        <v>72</v>
      </c>
      <c r="N111" s="14"/>
      <c r="O111" s="14"/>
      <c r="P111" s="14" t="s">
        <v>260</v>
      </c>
      <c r="Q111" s="14"/>
      <c r="R111" s="13">
        <f>HYPERLINK("https://app.hubspot.com/contacts/8748051/record/0-2/19176504362", 19176504362)</f>
        <v>19176504362</v>
      </c>
      <c r="S111" s="14" t="s">
        <v>487</v>
      </c>
      <c r="T111" s="18" t="s">
        <v>488</v>
      </c>
      <c r="U111" s="14" t="s">
        <v>46</v>
      </c>
      <c r="V111" s="15"/>
      <c r="W111" s="19">
        <v>287.0</v>
      </c>
      <c r="X111" s="19">
        <v>20.0</v>
      </c>
      <c r="Y111" s="20" t="s">
        <v>104</v>
      </c>
      <c r="Z111" s="20"/>
      <c r="AA111" s="21"/>
      <c r="AB111" s="21"/>
      <c r="AC111" s="20"/>
      <c r="AD111" s="21"/>
      <c r="AE111" s="21"/>
      <c r="AF111" s="17" t="str">
        <f t="shared" si="1"/>
        <v>New Logo</v>
      </c>
      <c r="AG111" s="17" t="str">
        <f t="shared" si="2"/>
        <v>Lead</v>
      </c>
      <c r="AH111" s="17" t="str">
        <f t="shared" si="3"/>
        <v>201-500</v>
      </c>
      <c r="AI111" s="17" t="str">
        <f t="shared" si="4"/>
        <v>0-20</v>
      </c>
    </row>
    <row r="112" ht="15.75" customHeight="1">
      <c r="A112" s="13">
        <f>HYPERLINK("https://app.hubspot.com/contacts/8748051/record/0-3/49655767943", 49655767943)</f>
        <v>49655767943</v>
      </c>
      <c r="B112" s="14" t="s">
        <v>489</v>
      </c>
      <c r="C112" s="14" t="s">
        <v>37</v>
      </c>
      <c r="D112" s="15">
        <v>10000.0</v>
      </c>
      <c r="E112" s="14" t="s">
        <v>124</v>
      </c>
      <c r="F112" s="14"/>
      <c r="G112" s="16">
        <v>45980.803391203706</v>
      </c>
      <c r="H112" s="16">
        <v>46160.80337962963</v>
      </c>
      <c r="I112" s="14" t="s">
        <v>39</v>
      </c>
      <c r="J112" s="14" t="s">
        <v>40</v>
      </c>
      <c r="K112" s="14" t="s">
        <v>41</v>
      </c>
      <c r="L112" s="14" t="s">
        <v>42</v>
      </c>
      <c r="M112" s="14" t="s">
        <v>72</v>
      </c>
      <c r="N112" s="14"/>
      <c r="O112" s="17"/>
      <c r="P112" s="14"/>
      <c r="Q112" s="14" t="s">
        <v>125</v>
      </c>
      <c r="R112" s="13">
        <f>HYPERLINK("https://app.hubspot.com/contacts/8748051/record/0-2/45186326845", 45186326845)</f>
        <v>45186326845</v>
      </c>
      <c r="S112" s="14" t="s">
        <v>490</v>
      </c>
      <c r="T112" s="18" t="s">
        <v>491</v>
      </c>
      <c r="U112" s="14"/>
      <c r="V112" s="15"/>
      <c r="W112" s="19">
        <v>95.0</v>
      </c>
      <c r="X112" s="19">
        <v>20.0</v>
      </c>
      <c r="Y112" s="20"/>
      <c r="Z112" s="20"/>
      <c r="AA112" s="20"/>
      <c r="AB112" s="21"/>
      <c r="AC112" s="20"/>
      <c r="AD112" s="20"/>
      <c r="AE112" s="20"/>
      <c r="AF112" s="17" t="str">
        <f t="shared" si="1"/>
        <v>New Logo</v>
      </c>
      <c r="AG112" s="17" t="str">
        <f t="shared" si="2"/>
        <v>Lead</v>
      </c>
      <c r="AH112" s="17" t="str">
        <f t="shared" si="3"/>
        <v>0-200</v>
      </c>
      <c r="AI112" s="17" t="str">
        <f t="shared" si="4"/>
        <v>0-20</v>
      </c>
    </row>
    <row r="113" ht="15.75" customHeight="1">
      <c r="A113" s="13">
        <f>HYPERLINK("https://app.hubspot.com/contacts/8748051/record/0-3/49465205418", 49465205418)</f>
        <v>49465205418</v>
      </c>
      <c r="B113" s="14" t="s">
        <v>492</v>
      </c>
      <c r="C113" s="14" t="s">
        <v>145</v>
      </c>
      <c r="D113" s="15">
        <v>15000.0</v>
      </c>
      <c r="E113" s="14" t="s">
        <v>124</v>
      </c>
      <c r="F113" s="14" t="s">
        <v>51</v>
      </c>
      <c r="G113" s="16">
        <v>45980.55332175926</v>
      </c>
      <c r="H113" s="16">
        <v>46112.85502314815</v>
      </c>
      <c r="I113" s="14" t="s">
        <v>39</v>
      </c>
      <c r="J113" s="14" t="s">
        <v>40</v>
      </c>
      <c r="K113" s="14" t="s">
        <v>59</v>
      </c>
      <c r="L113" s="14" t="s">
        <v>60</v>
      </c>
      <c r="M113" s="14" t="s">
        <v>43</v>
      </c>
      <c r="N113" s="14"/>
      <c r="O113" s="14"/>
      <c r="P113" s="14"/>
      <c r="Q113" s="14" t="s">
        <v>195</v>
      </c>
      <c r="R113" s="13">
        <f>HYPERLINK("https://app.hubspot.com/contacts/8748051/record/0-2/40708368233", 40708368233)</f>
        <v>40708368233</v>
      </c>
      <c r="S113" s="14" t="s">
        <v>493</v>
      </c>
      <c r="T113" s="18" t="s">
        <v>494</v>
      </c>
      <c r="U113" s="14"/>
      <c r="V113" s="15"/>
      <c r="W113" s="19">
        <v>65.0</v>
      </c>
      <c r="X113" s="19">
        <v>38.0</v>
      </c>
      <c r="Y113" s="20"/>
      <c r="Z113" s="20"/>
      <c r="AA113" s="20"/>
      <c r="AB113" s="20"/>
      <c r="AC113" s="20"/>
      <c r="AD113" s="20"/>
      <c r="AE113" s="20"/>
      <c r="AF113" s="17" t="str">
        <f t="shared" si="1"/>
        <v>New Logo</v>
      </c>
      <c r="AG113" s="17" t="str">
        <f t="shared" si="2"/>
        <v>Lead</v>
      </c>
      <c r="AH113" s="17" t="str">
        <f t="shared" si="3"/>
        <v>0-200</v>
      </c>
      <c r="AI113" s="17" t="str">
        <f t="shared" si="4"/>
        <v>21-50</v>
      </c>
    </row>
    <row r="114" ht="15.75" customHeight="1">
      <c r="A114" s="13">
        <f>HYPERLINK("https://app.hubspot.com/contacts/8748051/record/0-3/49624661914", 49624661914)</f>
        <v>49624661914</v>
      </c>
      <c r="B114" s="14" t="s">
        <v>495</v>
      </c>
      <c r="C114" s="14" t="s">
        <v>145</v>
      </c>
      <c r="D114" s="15">
        <v>25000.0</v>
      </c>
      <c r="E114" s="14" t="s">
        <v>89</v>
      </c>
      <c r="F114" s="14" t="s">
        <v>51</v>
      </c>
      <c r="G114" s="16">
        <v>45980.40542824074</v>
      </c>
      <c r="H114" s="16">
        <v>46043.706041666665</v>
      </c>
      <c r="I114" s="14" t="s">
        <v>39</v>
      </c>
      <c r="J114" s="14" t="s">
        <v>52</v>
      </c>
      <c r="K114" s="14" t="s">
        <v>59</v>
      </c>
      <c r="L114" s="14" t="s">
        <v>159</v>
      </c>
      <c r="M114" s="14" t="s">
        <v>43</v>
      </c>
      <c r="N114" s="14" t="s">
        <v>496</v>
      </c>
      <c r="O114" s="17"/>
      <c r="P114" s="14"/>
      <c r="Q114" s="14"/>
      <c r="R114" s="13">
        <f>HYPERLINK("https://app.hubspot.com/contacts/8748051/record/0-2/28715405232", 28715405232)</f>
        <v>28715405232</v>
      </c>
      <c r="S114" s="14" t="s">
        <v>497</v>
      </c>
      <c r="T114" s="18" t="s">
        <v>498</v>
      </c>
      <c r="U114" s="14" t="s">
        <v>93</v>
      </c>
      <c r="V114" s="15">
        <v>25000.0</v>
      </c>
      <c r="W114" s="19">
        <v>1511.0</v>
      </c>
      <c r="X114" s="19">
        <v>477.0</v>
      </c>
      <c r="Y114" s="20"/>
      <c r="Z114" s="20" t="s">
        <v>205</v>
      </c>
      <c r="AA114" s="20" t="s">
        <v>163</v>
      </c>
      <c r="AB114" s="21"/>
      <c r="AC114" s="20" t="s">
        <v>499</v>
      </c>
      <c r="AD114" s="20" t="s">
        <v>500</v>
      </c>
      <c r="AE114" s="20" t="s">
        <v>209</v>
      </c>
      <c r="AF114" s="17" t="str">
        <f t="shared" si="1"/>
        <v>New Logo</v>
      </c>
      <c r="AG114" s="17" t="str">
        <f t="shared" si="2"/>
        <v>Customer</v>
      </c>
      <c r="AH114" s="17" t="str">
        <f t="shared" si="3"/>
        <v>1001-5000</v>
      </c>
      <c r="AI114" s="17" t="str">
        <f t="shared" si="4"/>
        <v>101-500</v>
      </c>
    </row>
    <row r="115" ht="15.75" customHeight="1">
      <c r="A115" s="13">
        <f>HYPERLINK("https://app.hubspot.com/contacts/8748051/record/0-3/49470592616", 49470592616)</f>
        <v>49470592616</v>
      </c>
      <c r="B115" s="14" t="s">
        <v>501</v>
      </c>
      <c r="C115" s="14" t="s">
        <v>37</v>
      </c>
      <c r="D115" s="15">
        <v>7500.0</v>
      </c>
      <c r="E115" s="14" t="s">
        <v>124</v>
      </c>
      <c r="F115" s="14" t="s">
        <v>51</v>
      </c>
      <c r="G115" s="16">
        <v>45980.20203703704</v>
      </c>
      <c r="H115" s="16">
        <v>46108.668657407405</v>
      </c>
      <c r="I115" s="14" t="s">
        <v>39</v>
      </c>
      <c r="J115" s="14" t="s">
        <v>40</v>
      </c>
      <c r="K115" s="14" t="s">
        <v>41</v>
      </c>
      <c r="L115" s="14" t="s">
        <v>42</v>
      </c>
      <c r="M115" s="14" t="s">
        <v>98</v>
      </c>
      <c r="N115" s="14"/>
      <c r="O115" s="17"/>
      <c r="P115" s="14"/>
      <c r="Q115" s="14" t="s">
        <v>502</v>
      </c>
      <c r="R115" s="13">
        <f>HYPERLINK("https://app.hubspot.com/contacts/8748051/record/0-2/45062632855", 45062632855)</f>
        <v>45062632855</v>
      </c>
      <c r="S115" s="14" t="s">
        <v>503</v>
      </c>
      <c r="T115" s="18" t="s">
        <v>504</v>
      </c>
      <c r="U115" s="14"/>
      <c r="V115" s="15"/>
      <c r="W115" s="19">
        <v>1500.0</v>
      </c>
      <c r="X115" s="19">
        <v>0.0</v>
      </c>
      <c r="Y115" s="20"/>
      <c r="Z115" s="20"/>
      <c r="AA115" s="21"/>
      <c r="AB115" s="21"/>
      <c r="AC115" s="20"/>
      <c r="AD115" s="21"/>
      <c r="AE115" s="20"/>
      <c r="AF115" s="17" t="str">
        <f t="shared" si="1"/>
        <v>New Logo</v>
      </c>
      <c r="AG115" s="17" t="str">
        <f t="shared" si="2"/>
        <v>Lead</v>
      </c>
      <c r="AH115" s="17" t="str">
        <f t="shared" si="3"/>
        <v>1001-5000</v>
      </c>
      <c r="AI115" s="17" t="str">
        <f t="shared" si="4"/>
        <v>0-20</v>
      </c>
    </row>
    <row r="116" ht="15.75" customHeight="1">
      <c r="A116" s="13">
        <f>HYPERLINK("https://app.hubspot.com/contacts/8748051/record/0-3/49599094866", 49599094866)</f>
        <v>49599094866</v>
      </c>
      <c r="B116" s="14" t="s">
        <v>505</v>
      </c>
      <c r="C116" s="14" t="s">
        <v>49</v>
      </c>
      <c r="D116" s="15">
        <v>50760.0</v>
      </c>
      <c r="E116" s="14" t="s">
        <v>89</v>
      </c>
      <c r="F116" s="14" t="s">
        <v>51</v>
      </c>
      <c r="G116" s="16">
        <v>45979.8927662037</v>
      </c>
      <c r="H116" s="16">
        <v>46052.435532407406</v>
      </c>
      <c r="I116" s="14" t="s">
        <v>39</v>
      </c>
      <c r="J116" s="14" t="s">
        <v>40</v>
      </c>
      <c r="K116" s="14" t="s">
        <v>41</v>
      </c>
      <c r="L116" s="14" t="s">
        <v>42</v>
      </c>
      <c r="M116" s="14" t="s">
        <v>43</v>
      </c>
      <c r="N116" s="14" t="s">
        <v>506</v>
      </c>
      <c r="O116" s="14"/>
      <c r="P116" s="14"/>
      <c r="Q116" s="14"/>
      <c r="R116" s="13">
        <f>HYPERLINK("https://app.hubspot.com/contacts/8748051/record/0-2/47566489205", 47566489205)</f>
        <v>47566489205</v>
      </c>
      <c r="S116" s="14" t="s">
        <v>507</v>
      </c>
      <c r="T116" s="18" t="s">
        <v>508</v>
      </c>
      <c r="U116" s="14" t="s">
        <v>93</v>
      </c>
      <c r="V116" s="15">
        <v>50760.0</v>
      </c>
      <c r="W116" s="19">
        <v>201.0</v>
      </c>
      <c r="X116" s="19">
        <v>21.0</v>
      </c>
      <c r="Y116" s="20"/>
      <c r="Z116" s="20" t="s">
        <v>184</v>
      </c>
      <c r="AA116" s="21"/>
      <c r="AB116" s="21"/>
      <c r="AC116" s="20" t="s">
        <v>509</v>
      </c>
      <c r="AD116" s="21"/>
      <c r="AE116" s="20" t="s">
        <v>166</v>
      </c>
      <c r="AF116" s="17" t="str">
        <f t="shared" si="1"/>
        <v>New Logo</v>
      </c>
      <c r="AG116" s="17" t="str">
        <f t="shared" si="2"/>
        <v>Customer</v>
      </c>
      <c r="AH116" s="17" t="str">
        <f t="shared" si="3"/>
        <v>201-500</v>
      </c>
      <c r="AI116" s="17" t="str">
        <f t="shared" si="4"/>
        <v>21-50</v>
      </c>
    </row>
    <row r="117" ht="15.75" customHeight="1">
      <c r="A117" s="13">
        <f>HYPERLINK("https://app.hubspot.com/contacts/8748051/record/0-3/49604626604", 49604626604)</f>
        <v>49604626604</v>
      </c>
      <c r="B117" s="14" t="s">
        <v>510</v>
      </c>
      <c r="C117" s="14" t="s">
        <v>49</v>
      </c>
      <c r="D117" s="15">
        <v>25000.0</v>
      </c>
      <c r="E117" s="14" t="s">
        <v>441</v>
      </c>
      <c r="F117" s="14" t="s">
        <v>51</v>
      </c>
      <c r="G117" s="16">
        <v>45979.84605324074</v>
      </c>
      <c r="H117" s="16">
        <v>46295.77616898148</v>
      </c>
      <c r="I117" s="14" t="s">
        <v>39</v>
      </c>
      <c r="J117" s="14" t="s">
        <v>40</v>
      </c>
      <c r="K117" s="14" t="s">
        <v>41</v>
      </c>
      <c r="L117" s="14" t="s">
        <v>42</v>
      </c>
      <c r="M117" s="14" t="s">
        <v>72</v>
      </c>
      <c r="N117" s="14"/>
      <c r="O117" s="14"/>
      <c r="P117" s="14"/>
      <c r="Q117" s="14"/>
      <c r="R117" s="13">
        <f>HYPERLINK("https://app.hubspot.com/contacts/8748051/record/0-2/48571644819", 48571644819)</f>
        <v>48571644819</v>
      </c>
      <c r="S117" s="14" t="s">
        <v>511</v>
      </c>
      <c r="T117" s="18" t="s">
        <v>512</v>
      </c>
      <c r="U117" s="14"/>
      <c r="V117" s="15"/>
      <c r="W117" s="19">
        <v>145.0</v>
      </c>
      <c r="X117" s="19">
        <v>8.0</v>
      </c>
      <c r="Y117" s="20" t="s">
        <v>104</v>
      </c>
      <c r="Z117" s="20"/>
      <c r="AA117" s="21"/>
      <c r="AB117" s="21"/>
      <c r="AC117" s="20"/>
      <c r="AD117" s="21"/>
      <c r="AE117" s="21"/>
      <c r="AF117" s="17" t="str">
        <f t="shared" si="1"/>
        <v>New Logo</v>
      </c>
      <c r="AG117" s="17" t="str">
        <f t="shared" si="2"/>
        <v>Lead</v>
      </c>
      <c r="AH117" s="17" t="str">
        <f t="shared" si="3"/>
        <v>0-200</v>
      </c>
      <c r="AI117" s="17" t="str">
        <f t="shared" si="4"/>
        <v>0-20</v>
      </c>
    </row>
    <row r="118" ht="15.75" customHeight="1">
      <c r="A118" s="13">
        <f>HYPERLINK("https://app.hubspot.com/contacts/8748051/record/0-3/49464959126", 49464959126)</f>
        <v>49464959126</v>
      </c>
      <c r="B118" s="14" t="s">
        <v>513</v>
      </c>
      <c r="C118" s="14" t="s">
        <v>145</v>
      </c>
      <c r="D118" s="15">
        <v>1500.0</v>
      </c>
      <c r="E118" s="14" t="s">
        <v>118</v>
      </c>
      <c r="F118" s="14"/>
      <c r="G118" s="16">
        <v>45979.35559027778</v>
      </c>
      <c r="H118" s="16">
        <v>46159.35555555556</v>
      </c>
      <c r="I118" s="14" t="s">
        <v>39</v>
      </c>
      <c r="J118" s="14" t="s">
        <v>40</v>
      </c>
      <c r="K118" s="14" t="s">
        <v>41</v>
      </c>
      <c r="L118" s="14" t="s">
        <v>42</v>
      </c>
      <c r="M118" s="14" t="s">
        <v>43</v>
      </c>
      <c r="N118" s="17"/>
      <c r="O118" s="14"/>
      <c r="P118" s="14" t="s">
        <v>232</v>
      </c>
      <c r="Q118" s="17"/>
      <c r="R118" s="13">
        <f>HYPERLINK("https://app.hubspot.com/contacts/8748051/record/0-2/45061800802", 45061800802)</f>
        <v>45061800802</v>
      </c>
      <c r="S118" s="14" t="s">
        <v>514</v>
      </c>
      <c r="T118" s="14" t="s">
        <v>515</v>
      </c>
      <c r="U118" s="14"/>
      <c r="V118" s="22"/>
      <c r="W118" s="19">
        <v>11.0</v>
      </c>
      <c r="X118" s="19">
        <v>3.0</v>
      </c>
      <c r="Y118" s="20"/>
      <c r="Z118" s="21"/>
      <c r="AA118" s="21"/>
      <c r="AB118" s="21"/>
      <c r="AC118" s="21"/>
      <c r="AD118" s="21"/>
      <c r="AE118" s="21"/>
      <c r="AF118" s="17" t="str">
        <f t="shared" si="1"/>
        <v>New Logo</v>
      </c>
      <c r="AG118" s="17" t="str">
        <f t="shared" si="2"/>
        <v>Lead</v>
      </c>
      <c r="AH118" s="17" t="str">
        <f t="shared" si="3"/>
        <v>0-200</v>
      </c>
      <c r="AI118" s="17" t="str">
        <f t="shared" si="4"/>
        <v>0-20</v>
      </c>
    </row>
    <row r="119" ht="15.75" customHeight="1">
      <c r="A119" s="13">
        <f>HYPERLINK("https://app.hubspot.com/contacts/8748051/record/0-3/49322585098", 49322585098)</f>
        <v>49322585098</v>
      </c>
      <c r="B119" s="14" t="s">
        <v>516</v>
      </c>
      <c r="C119" s="14" t="s">
        <v>145</v>
      </c>
      <c r="D119" s="15">
        <v>0.0</v>
      </c>
      <c r="E119" s="14" t="s">
        <v>118</v>
      </c>
      <c r="F119" s="14"/>
      <c r="G119" s="16">
        <v>45978.53859953704</v>
      </c>
      <c r="H119" s="16">
        <v>46158.53858796296</v>
      </c>
      <c r="I119" s="14" t="s">
        <v>39</v>
      </c>
      <c r="J119" s="14" t="s">
        <v>40</v>
      </c>
      <c r="K119" s="14" t="s">
        <v>41</v>
      </c>
      <c r="L119" s="14" t="s">
        <v>42</v>
      </c>
      <c r="M119" s="14"/>
      <c r="N119" s="14"/>
      <c r="O119" s="14"/>
      <c r="P119" s="14" t="s">
        <v>232</v>
      </c>
      <c r="Q119" s="14"/>
      <c r="R119" s="13">
        <f>HYPERLINK("https://app.hubspot.com/contacts/8748051/record/0-2/44826338349", 44826338349)</f>
        <v>44826338349</v>
      </c>
      <c r="S119" s="14" t="s">
        <v>517</v>
      </c>
      <c r="T119" s="18" t="s">
        <v>518</v>
      </c>
      <c r="U119" s="14"/>
      <c r="V119" s="15"/>
      <c r="W119" s="19"/>
      <c r="X119" s="19">
        <v>0.0</v>
      </c>
      <c r="Y119" s="20"/>
      <c r="Z119" s="20"/>
      <c r="AA119" s="21"/>
      <c r="AB119" s="21"/>
      <c r="AC119" s="20"/>
      <c r="AD119" s="21"/>
      <c r="AE119" s="20"/>
      <c r="AF119" s="17" t="str">
        <f t="shared" si="1"/>
        <v>New Logo</v>
      </c>
      <c r="AG119" s="17" t="str">
        <f t="shared" si="2"/>
        <v>Lead</v>
      </c>
      <c r="AH119" s="17" t="str">
        <f t="shared" si="3"/>
        <v>0-200</v>
      </c>
      <c r="AI119" s="17" t="str">
        <f t="shared" si="4"/>
        <v>0-20</v>
      </c>
    </row>
    <row r="120" ht="15.75" customHeight="1">
      <c r="A120" s="13">
        <f>HYPERLINK("https://app.hubspot.com/contacts/8748051/record/0-3/49247354988", 49247354988)</f>
        <v>49247354988</v>
      </c>
      <c r="B120" s="14" t="s">
        <v>519</v>
      </c>
      <c r="C120" s="14" t="s">
        <v>145</v>
      </c>
      <c r="D120" s="15">
        <v>60500.0</v>
      </c>
      <c r="E120" s="14" t="s">
        <v>146</v>
      </c>
      <c r="F120" s="14" t="s">
        <v>51</v>
      </c>
      <c r="G120" s="16">
        <v>45978.50042824074</v>
      </c>
      <c r="H120" s="16">
        <v>46062.75958333333</v>
      </c>
      <c r="I120" s="14" t="s">
        <v>39</v>
      </c>
      <c r="J120" s="14" t="s">
        <v>40</v>
      </c>
      <c r="K120" s="14" t="s">
        <v>41</v>
      </c>
      <c r="L120" s="14" t="s">
        <v>42</v>
      </c>
      <c r="M120" s="14" t="s">
        <v>43</v>
      </c>
      <c r="N120" s="14"/>
      <c r="O120" s="14" t="s">
        <v>520</v>
      </c>
      <c r="P120" s="14"/>
      <c r="Q120" s="14"/>
      <c r="R120" s="13">
        <f>HYPERLINK("https://app.hubspot.com/contacts/8748051/record/0-2/9846549330", 9846549330)</f>
        <v>9846549330</v>
      </c>
      <c r="S120" s="14" t="s">
        <v>521</v>
      </c>
      <c r="T120" s="18" t="s">
        <v>522</v>
      </c>
      <c r="U120" s="14" t="s">
        <v>46</v>
      </c>
      <c r="V120" s="15"/>
      <c r="W120" s="19">
        <v>1100.0</v>
      </c>
      <c r="X120" s="19">
        <v>109.0</v>
      </c>
      <c r="Y120" s="20" t="s">
        <v>55</v>
      </c>
      <c r="Z120" s="20"/>
      <c r="AA120" s="21"/>
      <c r="AB120" s="21"/>
      <c r="AC120" s="20"/>
      <c r="AD120" s="21"/>
      <c r="AE120" s="20"/>
      <c r="AF120" s="17" t="str">
        <f t="shared" si="1"/>
        <v>New Logo</v>
      </c>
      <c r="AG120" s="17" t="str">
        <f t="shared" si="2"/>
        <v>Lead</v>
      </c>
      <c r="AH120" s="17" t="str">
        <f t="shared" si="3"/>
        <v>1001-5000</v>
      </c>
      <c r="AI120" s="17" t="str">
        <f t="shared" si="4"/>
        <v>101-500</v>
      </c>
    </row>
    <row r="121" ht="15.75" customHeight="1">
      <c r="A121" s="13">
        <f>HYPERLINK("https://app.hubspot.com/contacts/8748051/record/0-3/49134449820", 49134449820)</f>
        <v>49134449820</v>
      </c>
      <c r="B121" s="14" t="s">
        <v>523</v>
      </c>
      <c r="C121" s="14" t="s">
        <v>145</v>
      </c>
      <c r="D121" s="15">
        <v>15000.0</v>
      </c>
      <c r="E121" s="14" t="s">
        <v>89</v>
      </c>
      <c r="F121" s="14" t="s">
        <v>51</v>
      </c>
      <c r="G121" s="16">
        <v>45977.93969907407</v>
      </c>
      <c r="H121" s="16">
        <v>45994.36922453704</v>
      </c>
      <c r="I121" s="14" t="s">
        <v>39</v>
      </c>
      <c r="J121" s="14" t="s">
        <v>40</v>
      </c>
      <c r="K121" s="14" t="s">
        <v>251</v>
      </c>
      <c r="L121" s="14" t="s">
        <v>152</v>
      </c>
      <c r="M121" s="14" t="s">
        <v>43</v>
      </c>
      <c r="N121" s="14" t="s">
        <v>524</v>
      </c>
      <c r="O121" s="17"/>
      <c r="P121" s="14"/>
      <c r="Q121" s="14"/>
      <c r="R121" s="13">
        <f>HYPERLINK("https://app.hubspot.com/contacts/8748051/record/0-2/44701007515", 44701007515)</f>
        <v>44701007515</v>
      </c>
      <c r="S121" s="14" t="s">
        <v>525</v>
      </c>
      <c r="T121" s="18" t="s">
        <v>526</v>
      </c>
      <c r="U121" s="14" t="s">
        <v>93</v>
      </c>
      <c r="V121" s="15">
        <v>15000.0</v>
      </c>
      <c r="W121" s="19">
        <v>52.0</v>
      </c>
      <c r="X121" s="19">
        <v>5.0</v>
      </c>
      <c r="Y121" s="20"/>
      <c r="Z121" s="20" t="s">
        <v>348</v>
      </c>
      <c r="AA121" s="21"/>
      <c r="AB121" s="20"/>
      <c r="AC121" s="20" t="s">
        <v>527</v>
      </c>
      <c r="AD121" s="20"/>
      <c r="AE121" s="20" t="s">
        <v>528</v>
      </c>
      <c r="AF121" s="17" t="str">
        <f t="shared" si="1"/>
        <v>New Logo</v>
      </c>
      <c r="AG121" s="17" t="str">
        <f t="shared" si="2"/>
        <v>Customer</v>
      </c>
      <c r="AH121" s="17" t="str">
        <f t="shared" si="3"/>
        <v>0-200</v>
      </c>
      <c r="AI121" s="17" t="str">
        <f t="shared" si="4"/>
        <v>0-20</v>
      </c>
    </row>
    <row r="122" ht="15.75" customHeight="1">
      <c r="A122" s="13">
        <f>HYPERLINK("https://app.hubspot.com/contacts/8748051/record/0-3/49048169882", 49048169882)</f>
        <v>49048169882</v>
      </c>
      <c r="B122" s="14" t="s">
        <v>529</v>
      </c>
      <c r="C122" s="14" t="s">
        <v>145</v>
      </c>
      <c r="D122" s="15">
        <v>9000.0</v>
      </c>
      <c r="E122" s="14" t="s">
        <v>118</v>
      </c>
      <c r="F122" s="14" t="s">
        <v>51</v>
      </c>
      <c r="G122" s="16">
        <v>45975.42894675926</v>
      </c>
      <c r="H122" s="16">
        <v>46155.428935185184</v>
      </c>
      <c r="I122" s="14" t="s">
        <v>39</v>
      </c>
      <c r="J122" s="14" t="s">
        <v>40</v>
      </c>
      <c r="K122" s="14" t="s">
        <v>41</v>
      </c>
      <c r="L122" s="14" t="s">
        <v>42</v>
      </c>
      <c r="M122" s="14" t="s">
        <v>72</v>
      </c>
      <c r="N122" s="14"/>
      <c r="O122" s="14"/>
      <c r="P122" s="14" t="s">
        <v>260</v>
      </c>
      <c r="Q122" s="14"/>
      <c r="R122" s="13">
        <f>HYPERLINK("https://app.hubspot.com/contacts/8748051/record/0-2/44621085270", 44621085270)</f>
        <v>44621085270</v>
      </c>
      <c r="S122" s="14" t="s">
        <v>530</v>
      </c>
      <c r="T122" s="18" t="s">
        <v>531</v>
      </c>
      <c r="U122" s="14"/>
      <c r="V122" s="15"/>
      <c r="W122" s="19">
        <v>211.0</v>
      </c>
      <c r="X122" s="19">
        <v>18.0</v>
      </c>
      <c r="Y122" s="20"/>
      <c r="Z122" s="20"/>
      <c r="AA122" s="21"/>
      <c r="AB122" s="20"/>
      <c r="AC122" s="20"/>
      <c r="AD122" s="20"/>
      <c r="AE122" s="20"/>
      <c r="AF122" s="17" t="str">
        <f t="shared" si="1"/>
        <v>New Logo</v>
      </c>
      <c r="AG122" s="17" t="str">
        <f t="shared" si="2"/>
        <v>Lead</v>
      </c>
      <c r="AH122" s="17" t="str">
        <f t="shared" si="3"/>
        <v>201-500</v>
      </c>
      <c r="AI122" s="17" t="str">
        <f t="shared" si="4"/>
        <v>0-20</v>
      </c>
    </row>
    <row r="123" ht="15.75" customHeight="1">
      <c r="A123" s="13">
        <f>HYPERLINK("https://app.hubspot.com/contacts/8748051/record/0-3/48818454545", 48818454545)</f>
        <v>48818454545</v>
      </c>
      <c r="B123" s="14" t="s">
        <v>532</v>
      </c>
      <c r="C123" s="14" t="s">
        <v>145</v>
      </c>
      <c r="D123" s="15">
        <v>0.0</v>
      </c>
      <c r="E123" s="14" t="s">
        <v>118</v>
      </c>
      <c r="F123" s="14"/>
      <c r="G123" s="16">
        <v>45971.91627314815</v>
      </c>
      <c r="H123" s="16">
        <v>46151.91626157407</v>
      </c>
      <c r="I123" s="14" t="s">
        <v>39</v>
      </c>
      <c r="J123" s="14" t="s">
        <v>40</v>
      </c>
      <c r="K123" s="14" t="s">
        <v>41</v>
      </c>
      <c r="L123" s="14" t="s">
        <v>42</v>
      </c>
      <c r="M123" s="14"/>
      <c r="N123" s="17"/>
      <c r="O123" s="14"/>
      <c r="P123" s="14" t="s">
        <v>232</v>
      </c>
      <c r="Q123" s="14"/>
      <c r="R123" s="13">
        <f>HYPERLINK("https://app.hubspot.com/contacts/8748051/record/0-2/44398650284", 44398650284)</f>
        <v>44398650284</v>
      </c>
      <c r="S123" s="14" t="s">
        <v>533</v>
      </c>
      <c r="T123" s="18" t="s">
        <v>534</v>
      </c>
      <c r="U123" s="14"/>
      <c r="V123" s="22"/>
      <c r="W123" s="19"/>
      <c r="X123" s="19">
        <v>0.0</v>
      </c>
      <c r="Y123" s="20"/>
      <c r="Z123" s="21"/>
      <c r="AA123" s="21"/>
      <c r="AB123" s="21"/>
      <c r="AC123" s="21"/>
      <c r="AD123" s="21"/>
      <c r="AE123" s="21"/>
      <c r="AF123" s="17" t="str">
        <f t="shared" si="1"/>
        <v>New Logo</v>
      </c>
      <c r="AG123" s="17" t="str">
        <f t="shared" si="2"/>
        <v>Lead</v>
      </c>
      <c r="AH123" s="17" t="str">
        <f t="shared" si="3"/>
        <v>0-200</v>
      </c>
      <c r="AI123" s="17" t="str">
        <f t="shared" si="4"/>
        <v>0-20</v>
      </c>
    </row>
    <row r="124" ht="15.75" customHeight="1">
      <c r="A124" s="13">
        <f>HYPERLINK("https://app.hubspot.com/contacts/8748051/record/0-3/48830381419", 48830381419)</f>
        <v>48830381419</v>
      </c>
      <c r="B124" s="14" t="s">
        <v>535</v>
      </c>
      <c r="C124" s="14" t="s">
        <v>145</v>
      </c>
      <c r="D124" s="15">
        <v>3500.0</v>
      </c>
      <c r="E124" s="14" t="s">
        <v>118</v>
      </c>
      <c r="F124" s="14"/>
      <c r="G124" s="16">
        <v>45971.68515046296</v>
      </c>
      <c r="H124" s="16">
        <v>46151.68512731481</v>
      </c>
      <c r="I124" s="14" t="s">
        <v>39</v>
      </c>
      <c r="J124" s="14" t="s">
        <v>40</v>
      </c>
      <c r="K124" s="14" t="s">
        <v>41</v>
      </c>
      <c r="L124" s="14" t="s">
        <v>42</v>
      </c>
      <c r="M124" s="14" t="s">
        <v>43</v>
      </c>
      <c r="N124" s="17"/>
      <c r="O124" s="14"/>
      <c r="P124" s="14" t="s">
        <v>260</v>
      </c>
      <c r="Q124" s="14"/>
      <c r="R124" s="13">
        <f>HYPERLINK("https://app.hubspot.com/contacts/8748051/record/0-2/44387724722", 44387724722)</f>
        <v>44387724722</v>
      </c>
      <c r="S124" s="14" t="s">
        <v>536</v>
      </c>
      <c r="T124" s="18" t="s">
        <v>537</v>
      </c>
      <c r="U124" s="14"/>
      <c r="V124" s="22"/>
      <c r="W124" s="19">
        <v>30.0</v>
      </c>
      <c r="X124" s="19">
        <v>7.0</v>
      </c>
      <c r="Y124" s="20"/>
      <c r="Z124" s="21"/>
      <c r="AA124" s="21"/>
      <c r="AB124" s="21"/>
      <c r="AC124" s="21"/>
      <c r="AD124" s="21"/>
      <c r="AE124" s="21"/>
      <c r="AF124" s="17" t="str">
        <f t="shared" si="1"/>
        <v>New Logo</v>
      </c>
      <c r="AG124" s="17" t="str">
        <f t="shared" si="2"/>
        <v>Lead</v>
      </c>
      <c r="AH124" s="17" t="str">
        <f t="shared" si="3"/>
        <v>0-200</v>
      </c>
      <c r="AI124" s="17" t="str">
        <f t="shared" si="4"/>
        <v>0-20</v>
      </c>
    </row>
    <row r="125" ht="15.75" customHeight="1">
      <c r="A125" s="13">
        <f>HYPERLINK("https://app.hubspot.com/contacts/8748051/record/0-3/48786999816", 48786999816)</f>
        <v>48786999816</v>
      </c>
      <c r="B125" s="14" t="s">
        <v>538</v>
      </c>
      <c r="C125" s="14" t="s">
        <v>49</v>
      </c>
      <c r="D125" s="15">
        <v>100000.0</v>
      </c>
      <c r="E125" s="14" t="s">
        <v>50</v>
      </c>
      <c r="F125" s="14" t="s">
        <v>51</v>
      </c>
      <c r="G125" s="16">
        <v>45971.40321759259</v>
      </c>
      <c r="H125" s="16">
        <v>46203.53388888889</v>
      </c>
      <c r="I125" s="14" t="s">
        <v>39</v>
      </c>
      <c r="J125" s="14" t="s">
        <v>52</v>
      </c>
      <c r="K125" s="14" t="s">
        <v>41</v>
      </c>
      <c r="L125" s="14" t="s">
        <v>42</v>
      </c>
      <c r="M125" s="14" t="s">
        <v>43</v>
      </c>
      <c r="N125" s="17"/>
      <c r="O125" s="17"/>
      <c r="P125" s="14"/>
      <c r="Q125" s="14"/>
      <c r="R125" s="13">
        <f>HYPERLINK("https://app.hubspot.com/contacts/8748051/record/0-2/8714341039", 8714341039)</f>
        <v>8714341039</v>
      </c>
      <c r="S125" s="14" t="s">
        <v>539</v>
      </c>
      <c r="T125" s="18" t="s">
        <v>540</v>
      </c>
      <c r="U125" s="14"/>
      <c r="V125" s="22"/>
      <c r="W125" s="19">
        <v>3404.0</v>
      </c>
      <c r="X125" s="19">
        <v>741.0</v>
      </c>
      <c r="Y125" s="20" t="s">
        <v>541</v>
      </c>
      <c r="Z125" s="21"/>
      <c r="AA125" s="21"/>
      <c r="AB125" s="21"/>
      <c r="AC125" s="21"/>
      <c r="AD125" s="21"/>
      <c r="AE125" s="21"/>
      <c r="AF125" s="17" t="str">
        <f t="shared" si="1"/>
        <v>New Logo</v>
      </c>
      <c r="AG125" s="17" t="str">
        <f t="shared" si="2"/>
        <v>Lead</v>
      </c>
      <c r="AH125" s="17" t="str">
        <f t="shared" si="3"/>
        <v>1001-5000</v>
      </c>
      <c r="AI125" s="17" t="str">
        <f t="shared" si="4"/>
        <v>500+</v>
      </c>
    </row>
    <row r="126" ht="15.75" customHeight="1">
      <c r="A126" s="13">
        <f>HYPERLINK("https://app.hubspot.com/contacts/8748051/record/0-3/48719124392", 48719124392)</f>
        <v>48719124392</v>
      </c>
      <c r="B126" s="14" t="s">
        <v>542</v>
      </c>
      <c r="C126" s="14" t="s">
        <v>145</v>
      </c>
      <c r="D126" s="15">
        <v>100000.0</v>
      </c>
      <c r="E126" s="14" t="s">
        <v>124</v>
      </c>
      <c r="F126" s="14" t="s">
        <v>51</v>
      </c>
      <c r="G126" s="16">
        <v>45970.59043981481</v>
      </c>
      <c r="H126" s="16">
        <v>46150.59042824074</v>
      </c>
      <c r="I126" s="14" t="s">
        <v>39</v>
      </c>
      <c r="J126" s="14" t="s">
        <v>52</v>
      </c>
      <c r="K126" s="14" t="s">
        <v>41</v>
      </c>
      <c r="L126" s="14" t="s">
        <v>42</v>
      </c>
      <c r="M126" s="14" t="s">
        <v>43</v>
      </c>
      <c r="N126" s="14"/>
      <c r="O126" s="17"/>
      <c r="P126" s="14"/>
      <c r="Q126" s="14" t="s">
        <v>125</v>
      </c>
      <c r="R126" s="13">
        <f>HYPERLINK("https://app.hubspot.com/contacts/8748051/record/0-2/9354298161", 9354298161)</f>
        <v>9354298161</v>
      </c>
      <c r="S126" s="14" t="s">
        <v>543</v>
      </c>
      <c r="T126" s="18" t="s">
        <v>544</v>
      </c>
      <c r="U126" s="14" t="s">
        <v>46</v>
      </c>
      <c r="V126" s="15"/>
      <c r="W126" s="19">
        <v>1761.0</v>
      </c>
      <c r="X126" s="19">
        <v>221.0</v>
      </c>
      <c r="Y126" s="20" t="s">
        <v>545</v>
      </c>
      <c r="Z126" s="20"/>
      <c r="AA126" s="21"/>
      <c r="AB126" s="21"/>
      <c r="AC126" s="20"/>
      <c r="AD126" s="21"/>
      <c r="AE126" s="20"/>
      <c r="AF126" s="17" t="str">
        <f t="shared" si="1"/>
        <v>New Logo</v>
      </c>
      <c r="AG126" s="17" t="str">
        <f t="shared" si="2"/>
        <v>Lead</v>
      </c>
      <c r="AH126" s="17" t="str">
        <f t="shared" si="3"/>
        <v>1001-5000</v>
      </c>
      <c r="AI126" s="17" t="str">
        <f t="shared" si="4"/>
        <v>101-500</v>
      </c>
    </row>
    <row r="127" ht="15.75" customHeight="1">
      <c r="A127" s="13">
        <f>HYPERLINK("https://app.hubspot.com/contacts/8748051/record/0-3/48400655682", 48400655682)</f>
        <v>48400655682</v>
      </c>
      <c r="B127" s="14" t="s">
        <v>546</v>
      </c>
      <c r="C127" s="14" t="s">
        <v>37</v>
      </c>
      <c r="D127" s="15">
        <v>100000.0</v>
      </c>
      <c r="E127" s="14" t="s">
        <v>118</v>
      </c>
      <c r="F127" s="14"/>
      <c r="G127" s="16">
        <v>45966.731944444444</v>
      </c>
      <c r="H127" s="16">
        <v>46146.73193287037</v>
      </c>
      <c r="I127" s="14" t="s">
        <v>39</v>
      </c>
      <c r="J127" s="14" t="s">
        <v>52</v>
      </c>
      <c r="K127" s="14" t="s">
        <v>59</v>
      </c>
      <c r="L127" s="14" t="s">
        <v>60</v>
      </c>
      <c r="M127" s="14" t="s">
        <v>43</v>
      </c>
      <c r="N127" s="14"/>
      <c r="O127" s="17"/>
      <c r="P127" s="14" t="s">
        <v>232</v>
      </c>
      <c r="Q127" s="14"/>
      <c r="R127" s="13">
        <f>HYPERLINK("https://app.hubspot.com/contacts/8748051/record/0-2/8142843932", 8142843932)</f>
        <v>8142843932</v>
      </c>
      <c r="S127" s="14" t="s">
        <v>547</v>
      </c>
      <c r="T127" s="18" t="s">
        <v>548</v>
      </c>
      <c r="U127" s="14" t="s">
        <v>46</v>
      </c>
      <c r="V127" s="15"/>
      <c r="W127" s="19">
        <v>3141.0</v>
      </c>
      <c r="X127" s="19">
        <v>670.0</v>
      </c>
      <c r="Y127" s="20" t="s">
        <v>371</v>
      </c>
      <c r="Z127" s="20"/>
      <c r="AA127" s="20"/>
      <c r="AB127" s="20"/>
      <c r="AC127" s="20"/>
      <c r="AD127" s="20"/>
      <c r="AE127" s="20"/>
      <c r="AF127" s="17" t="str">
        <f t="shared" si="1"/>
        <v>New Logo</v>
      </c>
      <c r="AG127" s="17" t="str">
        <f t="shared" si="2"/>
        <v>Lead</v>
      </c>
      <c r="AH127" s="17" t="str">
        <f t="shared" si="3"/>
        <v>1001-5000</v>
      </c>
      <c r="AI127" s="17" t="str">
        <f t="shared" si="4"/>
        <v>500+</v>
      </c>
    </row>
    <row r="128" ht="15.75" customHeight="1">
      <c r="A128" s="13">
        <f>HYPERLINK("https://app.hubspot.com/contacts/8748051/record/0-3/48374291714", 48374291714)</f>
        <v>48374291714</v>
      </c>
      <c r="B128" s="14" t="s">
        <v>549</v>
      </c>
      <c r="C128" s="14" t="s">
        <v>145</v>
      </c>
      <c r="D128" s="15">
        <v>10000.0</v>
      </c>
      <c r="E128" s="14" t="s">
        <v>89</v>
      </c>
      <c r="F128" s="14" t="s">
        <v>51</v>
      </c>
      <c r="G128" s="16">
        <v>45966.51322916667</v>
      </c>
      <c r="H128" s="16">
        <v>46013.43071759259</v>
      </c>
      <c r="I128" s="14" t="s">
        <v>39</v>
      </c>
      <c r="J128" s="14" t="s">
        <v>40</v>
      </c>
      <c r="K128" s="14" t="s">
        <v>41</v>
      </c>
      <c r="L128" s="14" t="s">
        <v>42</v>
      </c>
      <c r="M128" s="14" t="s">
        <v>43</v>
      </c>
      <c r="N128" s="14" t="s">
        <v>550</v>
      </c>
      <c r="O128" s="17"/>
      <c r="P128" s="14"/>
      <c r="Q128" s="14"/>
      <c r="R128" s="13">
        <f>HYPERLINK("https://app.hubspot.com/contacts/8748051/record/0-2/19176660885", 19176660885)</f>
        <v>19176660885</v>
      </c>
      <c r="S128" s="14" t="s">
        <v>551</v>
      </c>
      <c r="T128" s="18" t="s">
        <v>552</v>
      </c>
      <c r="U128" s="14" t="s">
        <v>93</v>
      </c>
      <c r="V128" s="15">
        <v>10000.0</v>
      </c>
      <c r="W128" s="19">
        <v>136.0</v>
      </c>
      <c r="X128" s="19">
        <v>18.0</v>
      </c>
      <c r="Y128" s="20"/>
      <c r="Z128" s="20" t="s">
        <v>348</v>
      </c>
      <c r="AA128" s="21"/>
      <c r="AB128" s="21"/>
      <c r="AC128" s="20" t="s">
        <v>461</v>
      </c>
      <c r="AD128" s="21"/>
      <c r="AE128" s="20" t="s">
        <v>553</v>
      </c>
      <c r="AF128" s="17" t="str">
        <f t="shared" si="1"/>
        <v>New Logo</v>
      </c>
      <c r="AG128" s="17" t="str">
        <f t="shared" si="2"/>
        <v>Customer</v>
      </c>
      <c r="AH128" s="17" t="str">
        <f t="shared" si="3"/>
        <v>0-200</v>
      </c>
      <c r="AI128" s="17" t="str">
        <f t="shared" si="4"/>
        <v>0-20</v>
      </c>
    </row>
    <row r="129" ht="15.75" customHeight="1">
      <c r="A129" s="13">
        <f>HYPERLINK("https://app.hubspot.com/contacts/8748051/record/0-3/48176732041", 48176732041)</f>
        <v>48176732041</v>
      </c>
      <c r="B129" s="14" t="s">
        <v>554</v>
      </c>
      <c r="C129" s="14" t="s">
        <v>49</v>
      </c>
      <c r="D129" s="15">
        <v>40000.0</v>
      </c>
      <c r="E129" s="14" t="s">
        <v>124</v>
      </c>
      <c r="F129" s="14" t="s">
        <v>51</v>
      </c>
      <c r="G129" s="16">
        <v>45965.491122685184</v>
      </c>
      <c r="H129" s="16">
        <v>46145.491111111114</v>
      </c>
      <c r="I129" s="14" t="s">
        <v>39</v>
      </c>
      <c r="J129" s="14" t="s">
        <v>40</v>
      </c>
      <c r="K129" s="14" t="s">
        <v>41</v>
      </c>
      <c r="L129" s="14" t="s">
        <v>42</v>
      </c>
      <c r="M129" s="14" t="s">
        <v>43</v>
      </c>
      <c r="N129" s="17"/>
      <c r="O129" s="14"/>
      <c r="P129" s="14"/>
      <c r="Q129" s="14" t="s">
        <v>125</v>
      </c>
      <c r="R129" s="13">
        <f>HYPERLINK("https://app.hubspot.com/contacts/8748051/record/0-2/8965285538", 8965285538)</f>
        <v>8965285538</v>
      </c>
      <c r="S129" s="14" t="s">
        <v>555</v>
      </c>
      <c r="T129" s="18" t="s">
        <v>556</v>
      </c>
      <c r="U129" s="14" t="s">
        <v>46</v>
      </c>
      <c r="V129" s="15"/>
      <c r="W129" s="19">
        <v>113.0</v>
      </c>
      <c r="X129" s="19">
        <v>16.0</v>
      </c>
      <c r="Y129" s="20"/>
      <c r="Z129" s="20"/>
      <c r="AA129" s="20"/>
      <c r="AB129" s="20"/>
      <c r="AC129" s="20"/>
      <c r="AD129" s="20"/>
      <c r="AE129" s="20"/>
      <c r="AF129" s="17" t="str">
        <f t="shared" si="1"/>
        <v>New Logo</v>
      </c>
      <c r="AG129" s="17" t="str">
        <f t="shared" si="2"/>
        <v>Lead</v>
      </c>
      <c r="AH129" s="17" t="str">
        <f t="shared" si="3"/>
        <v>0-200</v>
      </c>
      <c r="AI129" s="17" t="str">
        <f t="shared" si="4"/>
        <v>0-20</v>
      </c>
    </row>
    <row r="130" ht="15.75" customHeight="1">
      <c r="A130" s="13">
        <f>HYPERLINK("https://app.hubspot.com/contacts/8748051/record/0-3/48124338192", 48124338192)</f>
        <v>48124338192</v>
      </c>
      <c r="B130" s="14" t="s">
        <v>557</v>
      </c>
      <c r="C130" s="14" t="s">
        <v>49</v>
      </c>
      <c r="D130" s="15">
        <v>10000.0</v>
      </c>
      <c r="E130" s="14" t="s">
        <v>124</v>
      </c>
      <c r="F130" s="14" t="s">
        <v>51</v>
      </c>
      <c r="G130" s="16">
        <v>45964.797118055554</v>
      </c>
      <c r="H130" s="16">
        <v>46170.89042824074</v>
      </c>
      <c r="I130" s="14" t="s">
        <v>39</v>
      </c>
      <c r="J130" s="14" t="s">
        <v>40</v>
      </c>
      <c r="K130" s="14" t="s">
        <v>558</v>
      </c>
      <c r="L130" s="14" t="s">
        <v>559</v>
      </c>
      <c r="M130" s="14" t="s">
        <v>43</v>
      </c>
      <c r="N130" s="14"/>
      <c r="O130" s="17"/>
      <c r="P130" s="14"/>
      <c r="Q130" s="14" t="s">
        <v>373</v>
      </c>
      <c r="R130" s="13">
        <f>HYPERLINK("https://app.hubspot.com/contacts/8748051/record/0-2/38263558413", 38263558413)</f>
        <v>38263558413</v>
      </c>
      <c r="S130" s="14" t="s">
        <v>560</v>
      </c>
      <c r="T130" s="18" t="s">
        <v>561</v>
      </c>
      <c r="U130" s="14"/>
      <c r="V130" s="15"/>
      <c r="W130" s="19">
        <v>153.0</v>
      </c>
      <c r="X130" s="19">
        <v>20.0</v>
      </c>
      <c r="Y130" s="20" t="s">
        <v>562</v>
      </c>
      <c r="Z130" s="20"/>
      <c r="AA130" s="21"/>
      <c r="AB130" s="21"/>
      <c r="AC130" s="20"/>
      <c r="AD130" s="21"/>
      <c r="AE130" s="21"/>
      <c r="AF130" s="17" t="str">
        <f t="shared" si="1"/>
        <v>New Logo</v>
      </c>
      <c r="AG130" s="17" t="str">
        <f t="shared" si="2"/>
        <v>Lead</v>
      </c>
      <c r="AH130" s="17" t="str">
        <f t="shared" si="3"/>
        <v>0-200</v>
      </c>
      <c r="AI130" s="17" t="str">
        <f t="shared" si="4"/>
        <v>0-20</v>
      </c>
    </row>
    <row r="131" ht="15.75" customHeight="1">
      <c r="A131" s="13">
        <f>HYPERLINK("https://app.hubspot.com/contacts/8748051/record/0-3/48152079462", 48152079462)</f>
        <v>48152079462</v>
      </c>
      <c r="B131" s="14" t="s">
        <v>563</v>
      </c>
      <c r="C131" s="14" t="s">
        <v>49</v>
      </c>
      <c r="D131" s="15">
        <v>50000.0</v>
      </c>
      <c r="E131" s="14" t="s">
        <v>124</v>
      </c>
      <c r="F131" s="14" t="s">
        <v>51</v>
      </c>
      <c r="G131" s="16">
        <v>45964.44803240741</v>
      </c>
      <c r="H131" s="16">
        <v>46112.764398148145</v>
      </c>
      <c r="I131" s="14" t="s">
        <v>39</v>
      </c>
      <c r="J131" s="14" t="s">
        <v>52</v>
      </c>
      <c r="K131" s="14" t="s">
        <v>41</v>
      </c>
      <c r="L131" s="14" t="s">
        <v>42</v>
      </c>
      <c r="M131" s="14" t="s">
        <v>43</v>
      </c>
      <c r="N131" s="14"/>
      <c r="O131" s="17"/>
      <c r="P131" s="14"/>
      <c r="Q131" s="14" t="s">
        <v>141</v>
      </c>
      <c r="R131" s="13">
        <f>HYPERLINK("https://app.hubspot.com/contacts/8748051/record/0-2/43493632080", 43493632080)</f>
        <v>43493632080</v>
      </c>
      <c r="S131" s="14" t="s">
        <v>564</v>
      </c>
      <c r="T131" s="18" t="s">
        <v>565</v>
      </c>
      <c r="U131" s="14"/>
      <c r="V131" s="15"/>
      <c r="W131" s="19">
        <v>4945.0</v>
      </c>
      <c r="X131" s="19">
        <v>1193.0</v>
      </c>
      <c r="Y131" s="21"/>
      <c r="Z131" s="20"/>
      <c r="AA131" s="21"/>
      <c r="AB131" s="21"/>
      <c r="AC131" s="20"/>
      <c r="AD131" s="21"/>
      <c r="AE131" s="21"/>
      <c r="AF131" s="17" t="str">
        <f t="shared" si="1"/>
        <v>New Logo</v>
      </c>
      <c r="AG131" s="17" t="str">
        <f t="shared" si="2"/>
        <v>Lead</v>
      </c>
      <c r="AH131" s="17" t="str">
        <f t="shared" si="3"/>
        <v>1001-5000</v>
      </c>
      <c r="AI131" s="17" t="str">
        <f t="shared" si="4"/>
        <v>500+</v>
      </c>
    </row>
    <row r="132" ht="15.75" customHeight="1">
      <c r="A132" s="13">
        <f>HYPERLINK("https://app.hubspot.com/contacts/8748051/record/0-3/48123091042", 48123091042)</f>
        <v>48123091042</v>
      </c>
      <c r="B132" s="14" t="s">
        <v>566</v>
      </c>
      <c r="C132" s="14" t="s">
        <v>49</v>
      </c>
      <c r="D132" s="15">
        <v>10000.0</v>
      </c>
      <c r="E132" s="14" t="s">
        <v>124</v>
      </c>
      <c r="F132" s="14" t="s">
        <v>51</v>
      </c>
      <c r="G132" s="16">
        <v>45964.417037037034</v>
      </c>
      <c r="H132" s="16">
        <v>46171.52606481482</v>
      </c>
      <c r="I132" s="14" t="s">
        <v>39</v>
      </c>
      <c r="J132" s="14" t="s">
        <v>40</v>
      </c>
      <c r="K132" s="14" t="s">
        <v>41</v>
      </c>
      <c r="L132" s="14" t="s">
        <v>42</v>
      </c>
      <c r="M132" s="14" t="s">
        <v>43</v>
      </c>
      <c r="N132" s="17"/>
      <c r="O132" s="14"/>
      <c r="P132" s="14"/>
      <c r="Q132" s="14" t="s">
        <v>567</v>
      </c>
      <c r="R132" s="13">
        <f>HYPERLINK("https://app.hubspot.com/contacts/8748051/record/0-2/19176667820", 19176667820)</f>
        <v>19176667820</v>
      </c>
      <c r="S132" s="14" t="s">
        <v>568</v>
      </c>
      <c r="T132" s="18" t="s">
        <v>569</v>
      </c>
      <c r="U132" s="14" t="s">
        <v>46</v>
      </c>
      <c r="V132" s="22"/>
      <c r="W132" s="19">
        <v>174.0</v>
      </c>
      <c r="X132" s="19">
        <v>41.0</v>
      </c>
      <c r="Y132" s="20"/>
      <c r="Z132" s="21"/>
      <c r="AA132" s="21"/>
      <c r="AB132" s="21"/>
      <c r="AC132" s="21"/>
      <c r="AD132" s="21"/>
      <c r="AE132" s="21"/>
      <c r="AF132" s="17" t="str">
        <f t="shared" si="1"/>
        <v>New Logo</v>
      </c>
      <c r="AG132" s="17" t="str">
        <f t="shared" si="2"/>
        <v>Lead</v>
      </c>
      <c r="AH132" s="17" t="str">
        <f t="shared" si="3"/>
        <v>0-200</v>
      </c>
      <c r="AI132" s="17" t="str">
        <f t="shared" si="4"/>
        <v>21-50</v>
      </c>
    </row>
    <row r="133" ht="15.75" customHeight="1">
      <c r="A133" s="13">
        <f>HYPERLINK("https://app.hubspot.com/contacts/8748051/record/0-3/48149495562", 48149495562)</f>
        <v>48149495562</v>
      </c>
      <c r="B133" s="14" t="s">
        <v>570</v>
      </c>
      <c r="C133" s="14" t="s">
        <v>49</v>
      </c>
      <c r="D133" s="15">
        <v>3000.0</v>
      </c>
      <c r="E133" s="14" t="s">
        <v>118</v>
      </c>
      <c r="F133" s="14"/>
      <c r="G133" s="16">
        <v>45964.41458333333</v>
      </c>
      <c r="H133" s="16">
        <v>46144.413773148146</v>
      </c>
      <c r="I133" s="14" t="s">
        <v>39</v>
      </c>
      <c r="J133" s="14" t="s">
        <v>40</v>
      </c>
      <c r="K133" s="14" t="s">
        <v>41</v>
      </c>
      <c r="L133" s="14" t="s">
        <v>42</v>
      </c>
      <c r="M133" s="14" t="s">
        <v>43</v>
      </c>
      <c r="N133" s="17"/>
      <c r="O133" s="17"/>
      <c r="P133" s="14" t="s">
        <v>232</v>
      </c>
      <c r="Q133" s="14"/>
      <c r="R133" s="13">
        <f>HYPERLINK("https://app.hubspot.com/contacts/8748051/record/0-2/43465112984", 43465112984)</f>
        <v>43465112984</v>
      </c>
      <c r="S133" s="14" t="s">
        <v>571</v>
      </c>
      <c r="T133" s="18" t="s">
        <v>572</v>
      </c>
      <c r="U133" s="14"/>
      <c r="V133" s="22"/>
      <c r="W133" s="19">
        <v>33.0</v>
      </c>
      <c r="X133" s="19">
        <v>6.0</v>
      </c>
      <c r="Y133" s="20"/>
      <c r="Z133" s="21"/>
      <c r="AA133" s="21"/>
      <c r="AB133" s="21"/>
      <c r="AC133" s="21"/>
      <c r="AD133" s="21"/>
      <c r="AE133" s="21"/>
      <c r="AF133" s="17" t="str">
        <f t="shared" si="1"/>
        <v>New Logo</v>
      </c>
      <c r="AG133" s="17" t="str">
        <f t="shared" si="2"/>
        <v>Lead</v>
      </c>
      <c r="AH133" s="17" t="str">
        <f t="shared" si="3"/>
        <v>0-200</v>
      </c>
      <c r="AI133" s="17" t="str">
        <f t="shared" si="4"/>
        <v>0-20</v>
      </c>
    </row>
    <row r="134" ht="15.75" customHeight="1">
      <c r="A134" s="13">
        <f>HYPERLINK("https://app.hubspot.com/contacts/8748051/record/0-3/47839184727", 47839184727)</f>
        <v>47839184727</v>
      </c>
      <c r="B134" s="14" t="s">
        <v>573</v>
      </c>
      <c r="C134" s="14" t="s">
        <v>145</v>
      </c>
      <c r="D134" s="15">
        <v>15000.0</v>
      </c>
      <c r="E134" s="14" t="s">
        <v>124</v>
      </c>
      <c r="F134" s="14" t="s">
        <v>51</v>
      </c>
      <c r="G134" s="16">
        <v>45961.39204861111</v>
      </c>
      <c r="H134" s="16">
        <v>46203.7615625</v>
      </c>
      <c r="I134" s="14" t="s">
        <v>39</v>
      </c>
      <c r="J134" s="14" t="s">
        <v>40</v>
      </c>
      <c r="K134" s="14" t="s">
        <v>41</v>
      </c>
      <c r="L134" s="14" t="s">
        <v>42</v>
      </c>
      <c r="M134" s="14" t="s">
        <v>43</v>
      </c>
      <c r="N134" s="17"/>
      <c r="O134" s="14"/>
      <c r="P134" s="14"/>
      <c r="Q134" s="14" t="s">
        <v>125</v>
      </c>
      <c r="R134" s="13">
        <f>HYPERLINK("https://app.hubspot.com/contacts/8748051/record/0-2/26386786317", 26386786317)</f>
        <v>26386786317</v>
      </c>
      <c r="S134" s="14" t="s">
        <v>574</v>
      </c>
      <c r="T134" s="18" t="s">
        <v>575</v>
      </c>
      <c r="U134" s="14" t="s">
        <v>46</v>
      </c>
      <c r="V134" s="15"/>
      <c r="W134" s="19">
        <v>121.0</v>
      </c>
      <c r="X134" s="19">
        <v>11.0</v>
      </c>
      <c r="Y134" s="20"/>
      <c r="Z134" s="20"/>
      <c r="AA134" s="20"/>
      <c r="AB134" s="20"/>
      <c r="AC134" s="20"/>
      <c r="AD134" s="20"/>
      <c r="AE134" s="20"/>
      <c r="AF134" s="17" t="str">
        <f t="shared" si="1"/>
        <v>New Logo</v>
      </c>
      <c r="AG134" s="17" t="str">
        <f t="shared" si="2"/>
        <v>Lead</v>
      </c>
      <c r="AH134" s="17" t="str">
        <f t="shared" si="3"/>
        <v>0-200</v>
      </c>
      <c r="AI134" s="17" t="str">
        <f t="shared" si="4"/>
        <v>0-20</v>
      </c>
    </row>
    <row r="135" ht="15.75" customHeight="1">
      <c r="A135" s="13">
        <f>HYPERLINK("https://app.hubspot.com/contacts/8748051/record/0-3/47680023644", 47680023644)</f>
        <v>47680023644</v>
      </c>
      <c r="B135" s="14" t="s">
        <v>576</v>
      </c>
      <c r="C135" s="14" t="s">
        <v>49</v>
      </c>
      <c r="D135" s="15">
        <v>3500.0</v>
      </c>
      <c r="E135" s="14" t="s">
        <v>577</v>
      </c>
      <c r="F135" s="14"/>
      <c r="G135" s="16">
        <v>45961.391875</v>
      </c>
      <c r="H135" s="16">
        <v>46000.73091435185</v>
      </c>
      <c r="I135" s="14" t="s">
        <v>39</v>
      </c>
      <c r="J135" s="14" t="s">
        <v>40</v>
      </c>
      <c r="K135" s="14" t="s">
        <v>41</v>
      </c>
      <c r="L135" s="14" t="s">
        <v>42</v>
      </c>
      <c r="M135" s="14" t="s">
        <v>72</v>
      </c>
      <c r="N135" s="17"/>
      <c r="O135" s="17"/>
      <c r="P135" s="14"/>
      <c r="Q135" s="17"/>
      <c r="R135" s="13">
        <f>HYPERLINK("https://app.hubspot.com/contacts/8748051/record/0-2/43369192841", 43369192841)</f>
        <v>43369192841</v>
      </c>
      <c r="S135" s="14" t="s">
        <v>578</v>
      </c>
      <c r="T135" s="18" t="s">
        <v>579</v>
      </c>
      <c r="U135" s="14"/>
      <c r="V135" s="15"/>
      <c r="W135" s="19">
        <v>528.0</v>
      </c>
      <c r="X135" s="19">
        <v>7.0</v>
      </c>
      <c r="Y135" s="20"/>
      <c r="Z135" s="20"/>
      <c r="AA135" s="20"/>
      <c r="AB135" s="20"/>
      <c r="AC135" s="20"/>
      <c r="AD135" s="20"/>
      <c r="AE135" s="20"/>
      <c r="AF135" s="17" t="str">
        <f t="shared" si="1"/>
        <v>New Logo</v>
      </c>
      <c r="AG135" s="17" t="str">
        <f t="shared" si="2"/>
        <v>Lead</v>
      </c>
      <c r="AH135" s="17" t="str">
        <f t="shared" si="3"/>
        <v>501-1000</v>
      </c>
      <c r="AI135" s="17" t="str">
        <f t="shared" si="4"/>
        <v>0-20</v>
      </c>
    </row>
    <row r="136" ht="15.75" customHeight="1">
      <c r="A136" s="13">
        <f>HYPERLINK("https://app.hubspot.com/contacts/8748051/record/0-3/48105876822", 48105876822)</f>
        <v>48105876822</v>
      </c>
      <c r="B136" s="14" t="s">
        <v>580</v>
      </c>
      <c r="C136" s="14" t="s">
        <v>156</v>
      </c>
      <c r="D136" s="15">
        <v>500.0</v>
      </c>
      <c r="E136" s="14" t="s">
        <v>89</v>
      </c>
      <c r="F136" s="14"/>
      <c r="G136" s="16">
        <v>45961.0</v>
      </c>
      <c r="H136" s="16">
        <v>45961.28289351852</v>
      </c>
      <c r="I136" s="14" t="s">
        <v>39</v>
      </c>
      <c r="J136" s="14" t="s">
        <v>179</v>
      </c>
      <c r="K136" s="14" t="s">
        <v>158</v>
      </c>
      <c r="L136" s="14" t="s">
        <v>159</v>
      </c>
      <c r="M136" s="14" t="s">
        <v>43</v>
      </c>
      <c r="N136" s="14"/>
      <c r="O136" s="14"/>
      <c r="P136" s="14"/>
      <c r="Q136" s="14"/>
      <c r="R136" s="13">
        <f>HYPERLINK("https://app.hubspot.com/contacts/8748051/record/0-2/15823033951", 15823033951)</f>
        <v>15823033951</v>
      </c>
      <c r="S136" s="14" t="s">
        <v>581</v>
      </c>
      <c r="T136" s="18" t="s">
        <v>582</v>
      </c>
      <c r="U136" s="14" t="s">
        <v>93</v>
      </c>
      <c r="V136" s="15">
        <v>20500.0</v>
      </c>
      <c r="W136" s="19">
        <v>175.0</v>
      </c>
      <c r="X136" s="19">
        <v>27.0</v>
      </c>
      <c r="Y136" s="20"/>
      <c r="Z136" s="20" t="s">
        <v>184</v>
      </c>
      <c r="AA136" s="20" t="s">
        <v>205</v>
      </c>
      <c r="AB136" s="20" t="s">
        <v>460</v>
      </c>
      <c r="AC136" s="20" t="s">
        <v>583</v>
      </c>
      <c r="AD136" s="20" t="s">
        <v>584</v>
      </c>
      <c r="AE136" s="20" t="s">
        <v>585</v>
      </c>
      <c r="AF136" s="17" t="str">
        <f t="shared" si="1"/>
        <v>Upsell</v>
      </c>
      <c r="AG136" s="17" t="str">
        <f t="shared" si="2"/>
        <v>Customer</v>
      </c>
      <c r="AH136" s="17" t="str">
        <f t="shared" si="3"/>
        <v>0-200</v>
      </c>
      <c r="AI136" s="17" t="str">
        <f t="shared" si="4"/>
        <v>21-50</v>
      </c>
    </row>
    <row r="137" ht="15.75" customHeight="1">
      <c r="A137" s="13">
        <f>HYPERLINK("https://app.hubspot.com/contacts/8748051/record/0-3/47743235381", 47743235381)</f>
        <v>47743235381</v>
      </c>
      <c r="B137" s="14" t="s">
        <v>586</v>
      </c>
      <c r="C137" s="14" t="s">
        <v>37</v>
      </c>
      <c r="D137" s="15">
        <v>50000.0</v>
      </c>
      <c r="E137" s="14" t="s">
        <v>118</v>
      </c>
      <c r="F137" s="14"/>
      <c r="G137" s="16">
        <v>45960.67576388889</v>
      </c>
      <c r="H137" s="16">
        <v>46140.67575231481</v>
      </c>
      <c r="I137" s="14" t="s">
        <v>39</v>
      </c>
      <c r="J137" s="14" t="s">
        <v>52</v>
      </c>
      <c r="K137" s="14" t="s">
        <v>59</v>
      </c>
      <c r="L137" s="14" t="s">
        <v>60</v>
      </c>
      <c r="M137" s="14" t="s">
        <v>43</v>
      </c>
      <c r="N137" s="14"/>
      <c r="O137" s="17"/>
      <c r="P137" s="14" t="s">
        <v>211</v>
      </c>
      <c r="Q137" s="14"/>
      <c r="R137" s="13">
        <f>HYPERLINK("https://app.hubspot.com/contacts/8748051/record/0-2/9186970749", 9186970749)</f>
        <v>9186970749</v>
      </c>
      <c r="S137" s="14" t="s">
        <v>587</v>
      </c>
      <c r="T137" s="18" t="s">
        <v>588</v>
      </c>
      <c r="U137" s="14"/>
      <c r="V137" s="15"/>
      <c r="W137" s="19">
        <v>1813.0</v>
      </c>
      <c r="X137" s="19">
        <v>448.0</v>
      </c>
      <c r="Y137" s="20" t="s">
        <v>545</v>
      </c>
      <c r="Z137" s="20"/>
      <c r="AA137" s="21"/>
      <c r="AB137" s="20"/>
      <c r="AC137" s="20"/>
      <c r="AD137" s="20"/>
      <c r="AE137" s="20"/>
      <c r="AF137" s="17" t="str">
        <f t="shared" si="1"/>
        <v>New Logo</v>
      </c>
      <c r="AG137" s="17" t="str">
        <f t="shared" si="2"/>
        <v>Lead</v>
      </c>
      <c r="AH137" s="17" t="str">
        <f t="shared" si="3"/>
        <v>1001-5000</v>
      </c>
      <c r="AI137" s="17" t="str">
        <f t="shared" si="4"/>
        <v>101-500</v>
      </c>
    </row>
    <row r="138" ht="15.75" customHeight="1">
      <c r="A138" s="13">
        <f>HYPERLINK("https://app.hubspot.com/contacts/8748051/record/0-3/47721664944", 47721664944)</f>
        <v>47721664944</v>
      </c>
      <c r="B138" s="14" t="s">
        <v>589</v>
      </c>
      <c r="C138" s="14" t="s">
        <v>49</v>
      </c>
      <c r="D138" s="15">
        <v>3000.0</v>
      </c>
      <c r="E138" s="14" t="s">
        <v>118</v>
      </c>
      <c r="F138" s="14"/>
      <c r="G138" s="16">
        <v>45960.39802083333</v>
      </c>
      <c r="H138" s="16">
        <v>46140.397997685184</v>
      </c>
      <c r="I138" s="14" t="s">
        <v>39</v>
      </c>
      <c r="J138" s="14" t="s">
        <v>40</v>
      </c>
      <c r="K138" s="14" t="s">
        <v>41</v>
      </c>
      <c r="L138" s="14" t="s">
        <v>42</v>
      </c>
      <c r="M138" s="14" t="s">
        <v>43</v>
      </c>
      <c r="N138" s="17"/>
      <c r="O138" s="17"/>
      <c r="P138" s="14" t="s">
        <v>232</v>
      </c>
      <c r="Q138" s="14"/>
      <c r="R138" s="13">
        <f>HYPERLINK("https://app.hubspot.com/contacts/8748051/record/0-2/43254158111", 43254158111)</f>
        <v>43254158111</v>
      </c>
      <c r="S138" s="14" t="s">
        <v>590</v>
      </c>
      <c r="T138" s="18" t="s">
        <v>591</v>
      </c>
      <c r="U138" s="14"/>
      <c r="V138" s="22"/>
      <c r="W138" s="19">
        <v>38.0</v>
      </c>
      <c r="X138" s="19">
        <v>6.0</v>
      </c>
      <c r="Y138" s="20"/>
      <c r="Z138" s="21"/>
      <c r="AA138" s="21"/>
      <c r="AB138" s="21"/>
      <c r="AC138" s="21"/>
      <c r="AD138" s="21"/>
      <c r="AE138" s="21"/>
      <c r="AF138" s="17" t="str">
        <f t="shared" si="1"/>
        <v>New Logo</v>
      </c>
      <c r="AG138" s="17" t="str">
        <f t="shared" si="2"/>
        <v>Lead</v>
      </c>
      <c r="AH138" s="17" t="str">
        <f t="shared" si="3"/>
        <v>0-200</v>
      </c>
      <c r="AI138" s="17" t="str">
        <f t="shared" si="4"/>
        <v>0-20</v>
      </c>
    </row>
    <row r="139" ht="15.75" customHeight="1">
      <c r="A139" s="13">
        <f>HYPERLINK("https://app.hubspot.com/contacts/8748051/record/0-3/46997408389", 46997408389)</f>
        <v>46997408389</v>
      </c>
      <c r="B139" s="14" t="s">
        <v>592</v>
      </c>
      <c r="C139" s="14" t="s">
        <v>145</v>
      </c>
      <c r="D139" s="15">
        <v>98000.0</v>
      </c>
      <c r="E139" s="14" t="s">
        <v>124</v>
      </c>
      <c r="F139" s="14" t="s">
        <v>51</v>
      </c>
      <c r="G139" s="16">
        <v>45954.57405092593</v>
      </c>
      <c r="H139" s="16">
        <v>46136.5737037037</v>
      </c>
      <c r="I139" s="14" t="s">
        <v>39</v>
      </c>
      <c r="J139" s="14" t="s">
        <v>52</v>
      </c>
      <c r="K139" s="14" t="s">
        <v>593</v>
      </c>
      <c r="L139" s="14" t="s">
        <v>175</v>
      </c>
      <c r="M139" s="14" t="s">
        <v>43</v>
      </c>
      <c r="N139" s="17"/>
      <c r="O139" s="14"/>
      <c r="P139" s="14"/>
      <c r="Q139" s="14" t="s">
        <v>141</v>
      </c>
      <c r="R139" s="13">
        <f>HYPERLINK("https://app.hubspot.com/contacts/8748051/record/0-2/7655953081", 7655953081)</f>
        <v>7655953081</v>
      </c>
      <c r="S139" s="14" t="s">
        <v>594</v>
      </c>
      <c r="T139" s="18" t="s">
        <v>595</v>
      </c>
      <c r="U139" s="14" t="s">
        <v>46</v>
      </c>
      <c r="V139" s="22"/>
      <c r="W139" s="19">
        <v>1160.0</v>
      </c>
      <c r="X139" s="19">
        <v>187.0</v>
      </c>
      <c r="Y139" s="20" t="s">
        <v>596</v>
      </c>
      <c r="Z139" s="21"/>
      <c r="AA139" s="21"/>
      <c r="AB139" s="21"/>
      <c r="AC139" s="21"/>
      <c r="AD139" s="21"/>
      <c r="AE139" s="21"/>
      <c r="AF139" s="17" t="str">
        <f t="shared" si="1"/>
        <v>New Logo</v>
      </c>
      <c r="AG139" s="17" t="str">
        <f t="shared" si="2"/>
        <v>Lead</v>
      </c>
      <c r="AH139" s="17" t="str">
        <f t="shared" si="3"/>
        <v>1001-5000</v>
      </c>
      <c r="AI139" s="17" t="str">
        <f t="shared" si="4"/>
        <v>101-500</v>
      </c>
    </row>
    <row r="140" ht="15.75" customHeight="1">
      <c r="A140" s="13">
        <f>HYPERLINK("https://app.hubspot.com/contacts/8748051/record/0-3/46752765625", 46752765625)</f>
        <v>46752765625</v>
      </c>
      <c r="B140" s="14" t="s">
        <v>597</v>
      </c>
      <c r="C140" s="14" t="s">
        <v>49</v>
      </c>
      <c r="D140" s="15">
        <v>15000.0</v>
      </c>
      <c r="E140" s="14" t="s">
        <v>124</v>
      </c>
      <c r="F140" s="14" t="s">
        <v>51</v>
      </c>
      <c r="G140" s="16">
        <v>45952.880844907406</v>
      </c>
      <c r="H140" s="16">
        <v>46132.880833333336</v>
      </c>
      <c r="I140" s="14" t="s">
        <v>39</v>
      </c>
      <c r="J140" s="14" t="s">
        <v>40</v>
      </c>
      <c r="K140" s="14" t="s">
        <v>41</v>
      </c>
      <c r="L140" s="14" t="s">
        <v>42</v>
      </c>
      <c r="M140" s="14" t="s">
        <v>43</v>
      </c>
      <c r="N140" s="17"/>
      <c r="O140" s="14"/>
      <c r="P140" s="14"/>
      <c r="Q140" s="14" t="s">
        <v>125</v>
      </c>
      <c r="R140" s="13">
        <f>HYPERLINK("https://app.hubspot.com/contacts/8748051/record/0-2/9238301248", 9238301248)</f>
        <v>9238301248</v>
      </c>
      <c r="S140" s="14" t="s">
        <v>598</v>
      </c>
      <c r="T140" s="18" t="s">
        <v>599</v>
      </c>
      <c r="U140" s="14" t="s">
        <v>46</v>
      </c>
      <c r="V140" s="22"/>
      <c r="W140" s="19">
        <v>210.0</v>
      </c>
      <c r="X140" s="19">
        <v>30.0</v>
      </c>
      <c r="Y140" s="20"/>
      <c r="Z140" s="21"/>
      <c r="AA140" s="21"/>
      <c r="AB140" s="21"/>
      <c r="AC140" s="21"/>
      <c r="AD140" s="21"/>
      <c r="AE140" s="21"/>
      <c r="AF140" s="17" t="str">
        <f t="shared" si="1"/>
        <v>New Logo</v>
      </c>
      <c r="AG140" s="17" t="str">
        <f t="shared" si="2"/>
        <v>Lead</v>
      </c>
      <c r="AH140" s="17" t="str">
        <f t="shared" si="3"/>
        <v>201-500</v>
      </c>
      <c r="AI140" s="17" t="str">
        <f t="shared" si="4"/>
        <v>21-50</v>
      </c>
    </row>
    <row r="141" ht="15.75" customHeight="1">
      <c r="A141" s="13">
        <f>HYPERLINK("https://app.hubspot.com/contacts/8748051/record/0-3/46599506361", 46599506361)</f>
        <v>46599506361</v>
      </c>
      <c r="B141" s="14" t="s">
        <v>600</v>
      </c>
      <c r="C141" s="14" t="s">
        <v>145</v>
      </c>
      <c r="D141" s="15">
        <v>9500.0</v>
      </c>
      <c r="E141" s="14" t="s">
        <v>118</v>
      </c>
      <c r="F141" s="14" t="s">
        <v>51</v>
      </c>
      <c r="G141" s="16">
        <v>45951.64739583333</v>
      </c>
      <c r="H141" s="16">
        <v>46133.647141203706</v>
      </c>
      <c r="I141" s="14" t="s">
        <v>39</v>
      </c>
      <c r="J141" s="14" t="s">
        <v>40</v>
      </c>
      <c r="K141" s="14" t="s">
        <v>593</v>
      </c>
      <c r="L141" s="14" t="s">
        <v>60</v>
      </c>
      <c r="M141" s="14" t="s">
        <v>43</v>
      </c>
      <c r="N141" s="14"/>
      <c r="O141" s="14"/>
      <c r="P141" s="14" t="s">
        <v>260</v>
      </c>
      <c r="Q141" s="14"/>
      <c r="R141" s="13">
        <f>HYPERLINK("https://app.hubspot.com/contacts/8748051/record/0-2/8396005127", 8396005127)</f>
        <v>8396005127</v>
      </c>
      <c r="S141" s="14" t="s">
        <v>601</v>
      </c>
      <c r="T141" s="18" t="s">
        <v>602</v>
      </c>
      <c r="U141" s="14" t="s">
        <v>46</v>
      </c>
      <c r="V141" s="15"/>
      <c r="W141" s="19">
        <v>126.0</v>
      </c>
      <c r="X141" s="19">
        <v>19.0</v>
      </c>
      <c r="Y141" s="20"/>
      <c r="Z141" s="20"/>
      <c r="AA141" s="21"/>
      <c r="AB141" s="21"/>
      <c r="AC141" s="20"/>
      <c r="AD141" s="21"/>
      <c r="AE141" s="20"/>
      <c r="AF141" s="17" t="str">
        <f t="shared" si="1"/>
        <v>New Logo</v>
      </c>
      <c r="AG141" s="17" t="str">
        <f t="shared" si="2"/>
        <v>Lead</v>
      </c>
      <c r="AH141" s="17" t="str">
        <f t="shared" si="3"/>
        <v>0-200</v>
      </c>
      <c r="AI141" s="17" t="str">
        <f t="shared" si="4"/>
        <v>0-20</v>
      </c>
    </row>
    <row r="142" ht="15.75" customHeight="1">
      <c r="A142" s="13">
        <f>HYPERLINK("https://app.hubspot.com/contacts/8748051/record/0-3/46659535648", 46659535648)</f>
        <v>46659535648</v>
      </c>
      <c r="B142" s="14" t="s">
        <v>603</v>
      </c>
      <c r="C142" s="14" t="s">
        <v>49</v>
      </c>
      <c r="D142" s="15">
        <v>14500.0</v>
      </c>
      <c r="E142" s="14" t="s">
        <v>118</v>
      </c>
      <c r="F142" s="14"/>
      <c r="G142" s="16">
        <v>45951.60664351852</v>
      </c>
      <c r="H142" s="16">
        <v>46131.606620370374</v>
      </c>
      <c r="I142" s="14" t="s">
        <v>39</v>
      </c>
      <c r="J142" s="14" t="s">
        <v>40</v>
      </c>
      <c r="K142" s="14" t="s">
        <v>41</v>
      </c>
      <c r="L142" s="14" t="s">
        <v>42</v>
      </c>
      <c r="M142" s="14" t="s">
        <v>43</v>
      </c>
      <c r="N142" s="14"/>
      <c r="O142" s="14"/>
      <c r="P142" s="14" t="s">
        <v>260</v>
      </c>
      <c r="Q142" s="14"/>
      <c r="R142" s="13">
        <f>HYPERLINK("https://app.hubspot.com/contacts/8748051/record/0-2/9069602715", 9069602715)</f>
        <v>9069602715</v>
      </c>
      <c r="S142" s="14" t="s">
        <v>604</v>
      </c>
      <c r="T142" s="18" t="s">
        <v>605</v>
      </c>
      <c r="U142" s="14"/>
      <c r="V142" s="15"/>
      <c r="W142" s="19">
        <v>170.0</v>
      </c>
      <c r="X142" s="19">
        <v>36.0</v>
      </c>
      <c r="Y142" s="20" t="s">
        <v>104</v>
      </c>
      <c r="Z142" s="20"/>
      <c r="AA142" s="21"/>
      <c r="AB142" s="21"/>
      <c r="AC142" s="20"/>
      <c r="AD142" s="21"/>
      <c r="AE142" s="20"/>
      <c r="AF142" s="17" t="str">
        <f t="shared" si="1"/>
        <v>New Logo</v>
      </c>
      <c r="AG142" s="17" t="str">
        <f t="shared" si="2"/>
        <v>Lead</v>
      </c>
      <c r="AH142" s="17" t="str">
        <f t="shared" si="3"/>
        <v>0-200</v>
      </c>
      <c r="AI142" s="17" t="str">
        <f t="shared" si="4"/>
        <v>21-50</v>
      </c>
    </row>
    <row r="143" ht="15.75" customHeight="1">
      <c r="A143" s="13">
        <f>HYPERLINK("https://app.hubspot.com/contacts/8748051/record/0-3/46648765099", 46648765099)</f>
        <v>46648765099</v>
      </c>
      <c r="B143" s="14" t="s">
        <v>606</v>
      </c>
      <c r="C143" s="14" t="s">
        <v>49</v>
      </c>
      <c r="D143" s="15">
        <v>25000.0</v>
      </c>
      <c r="E143" s="14" t="s">
        <v>146</v>
      </c>
      <c r="F143" s="14" t="s">
        <v>51</v>
      </c>
      <c r="G143" s="16">
        <v>45951.586180555554</v>
      </c>
      <c r="H143" s="16">
        <v>46001.451944444445</v>
      </c>
      <c r="I143" s="14" t="s">
        <v>39</v>
      </c>
      <c r="J143" s="14" t="s">
        <v>40</v>
      </c>
      <c r="K143" s="14" t="s">
        <v>41</v>
      </c>
      <c r="L143" s="14" t="s">
        <v>42</v>
      </c>
      <c r="M143" s="14" t="s">
        <v>43</v>
      </c>
      <c r="N143" s="14"/>
      <c r="O143" s="14" t="s">
        <v>607</v>
      </c>
      <c r="P143" s="14"/>
      <c r="Q143" s="14"/>
      <c r="R143" s="13">
        <f>HYPERLINK("https://app.hubspot.com/contacts/8748051/record/0-2/42260545864", 42260545864)</f>
        <v>42260545864</v>
      </c>
      <c r="S143" s="14" t="s">
        <v>608</v>
      </c>
      <c r="T143" s="18" t="s">
        <v>609</v>
      </c>
      <c r="U143" s="14"/>
      <c r="V143" s="15"/>
      <c r="W143" s="19">
        <v>325.0</v>
      </c>
      <c r="X143" s="19">
        <v>40.0</v>
      </c>
      <c r="Y143" s="20" t="s">
        <v>104</v>
      </c>
      <c r="Z143" s="20"/>
      <c r="AA143" s="21"/>
      <c r="AB143" s="21"/>
      <c r="AC143" s="20"/>
      <c r="AD143" s="21"/>
      <c r="AE143" s="20"/>
      <c r="AF143" s="17" t="str">
        <f t="shared" si="1"/>
        <v>New Logo</v>
      </c>
      <c r="AG143" s="17" t="str">
        <f t="shared" si="2"/>
        <v>Lead</v>
      </c>
      <c r="AH143" s="17" t="str">
        <f t="shared" si="3"/>
        <v>201-500</v>
      </c>
      <c r="AI143" s="17" t="str">
        <f t="shared" si="4"/>
        <v>21-50</v>
      </c>
    </row>
    <row r="144" ht="15.75" customHeight="1">
      <c r="A144" s="13">
        <f>HYPERLINK("https://app.hubspot.com/contacts/8748051/record/0-3/46512837763", 46512837763)</f>
        <v>46512837763</v>
      </c>
      <c r="B144" s="14" t="s">
        <v>610</v>
      </c>
      <c r="C144" s="14" t="s">
        <v>37</v>
      </c>
      <c r="D144" s="15">
        <v>42000.0</v>
      </c>
      <c r="E144" s="14" t="s">
        <v>118</v>
      </c>
      <c r="F144" s="14"/>
      <c r="G144" s="16">
        <v>45950.726875</v>
      </c>
      <c r="H144" s="16">
        <v>46199.48475694445</v>
      </c>
      <c r="I144" s="14" t="s">
        <v>39</v>
      </c>
      <c r="J144" s="14" t="s">
        <v>40</v>
      </c>
      <c r="K144" s="14" t="s">
        <v>593</v>
      </c>
      <c r="L144" s="14" t="s">
        <v>60</v>
      </c>
      <c r="M144" s="14" t="s">
        <v>43</v>
      </c>
      <c r="N144" s="14"/>
      <c r="O144" s="14"/>
      <c r="P144" s="14" t="s">
        <v>232</v>
      </c>
      <c r="Q144" s="14"/>
      <c r="R144" s="13">
        <f>HYPERLINK("https://app.hubspot.com/contacts/8748051/record/0-2/40066814483", 40066814483)</f>
        <v>40066814483</v>
      </c>
      <c r="S144" s="14" t="s">
        <v>611</v>
      </c>
      <c r="T144" s="18" t="s">
        <v>612</v>
      </c>
      <c r="U144" s="14"/>
      <c r="V144" s="15"/>
      <c r="W144" s="19">
        <v>6000.0</v>
      </c>
      <c r="X144" s="19">
        <v>84.0</v>
      </c>
      <c r="Y144" s="20"/>
      <c r="Z144" s="20"/>
      <c r="AA144" s="20"/>
      <c r="AB144" s="21"/>
      <c r="AC144" s="21"/>
      <c r="AD144" s="21"/>
      <c r="AE144" s="21"/>
      <c r="AF144" s="17" t="str">
        <f t="shared" si="1"/>
        <v>New Logo</v>
      </c>
      <c r="AG144" s="17" t="str">
        <f t="shared" si="2"/>
        <v>Lead</v>
      </c>
      <c r="AH144" s="17" t="str">
        <f t="shared" si="3"/>
        <v>5000-10000</v>
      </c>
      <c r="AI144" s="17" t="str">
        <f t="shared" si="4"/>
        <v>51-100</v>
      </c>
    </row>
    <row r="145" ht="15.75" customHeight="1">
      <c r="A145" s="13">
        <f>HYPERLINK("https://app.hubspot.com/contacts/8748051/record/0-3/46334165395", 46334165395)</f>
        <v>46334165395</v>
      </c>
      <c r="B145" s="14" t="s">
        <v>613</v>
      </c>
      <c r="C145" s="14" t="s">
        <v>49</v>
      </c>
      <c r="D145" s="15">
        <v>35000.0</v>
      </c>
      <c r="E145" s="14" t="s">
        <v>118</v>
      </c>
      <c r="F145" s="14"/>
      <c r="G145" s="16">
        <v>45947.53045138889</v>
      </c>
      <c r="H145" s="16">
        <v>46127.530439814815</v>
      </c>
      <c r="I145" s="14" t="s">
        <v>39</v>
      </c>
      <c r="J145" s="14" t="s">
        <v>40</v>
      </c>
      <c r="K145" s="14" t="s">
        <v>41</v>
      </c>
      <c r="L145" s="14" t="s">
        <v>42</v>
      </c>
      <c r="M145" s="14" t="s">
        <v>43</v>
      </c>
      <c r="N145" s="17"/>
      <c r="O145" s="14"/>
      <c r="P145" s="14" t="s">
        <v>232</v>
      </c>
      <c r="Q145" s="14"/>
      <c r="R145" s="13">
        <f>HYPERLINK("https://app.hubspot.com/contacts/8748051/record/0-2/8630538410", 8630538410)</f>
        <v>8630538410</v>
      </c>
      <c r="S145" s="14" t="s">
        <v>614</v>
      </c>
      <c r="T145" s="18" t="s">
        <v>615</v>
      </c>
      <c r="U145" s="14" t="s">
        <v>46</v>
      </c>
      <c r="V145" s="22"/>
      <c r="W145" s="19">
        <v>531.0</v>
      </c>
      <c r="X145" s="19">
        <v>65.0</v>
      </c>
      <c r="Y145" s="20" t="s">
        <v>616</v>
      </c>
      <c r="Z145" s="21"/>
      <c r="AA145" s="21"/>
      <c r="AB145" s="21"/>
      <c r="AC145" s="21"/>
      <c r="AD145" s="21"/>
      <c r="AE145" s="21"/>
      <c r="AF145" s="17" t="str">
        <f t="shared" si="1"/>
        <v>New Logo</v>
      </c>
      <c r="AG145" s="17" t="str">
        <f t="shared" si="2"/>
        <v>Lead</v>
      </c>
      <c r="AH145" s="17" t="str">
        <f t="shared" si="3"/>
        <v>501-1000</v>
      </c>
      <c r="AI145" s="17" t="str">
        <f t="shared" si="4"/>
        <v>51-100</v>
      </c>
    </row>
    <row r="146" ht="15.75" customHeight="1">
      <c r="A146" s="13">
        <f>HYPERLINK("https://app.hubspot.com/contacts/8748051/record/0-3/45987841872", 45987841872)</f>
        <v>45987841872</v>
      </c>
      <c r="B146" s="14" t="s">
        <v>617</v>
      </c>
      <c r="C146" s="14" t="s">
        <v>145</v>
      </c>
      <c r="D146" s="15">
        <v>0.0</v>
      </c>
      <c r="E146" s="14" t="s">
        <v>118</v>
      </c>
      <c r="F146" s="14"/>
      <c r="G146" s="16">
        <v>45944.64400462963</v>
      </c>
      <c r="H146" s="16">
        <v>46124.64399305556</v>
      </c>
      <c r="I146" s="14" t="s">
        <v>39</v>
      </c>
      <c r="J146" s="14" t="s">
        <v>40</v>
      </c>
      <c r="K146" s="14" t="s">
        <v>41</v>
      </c>
      <c r="L146" s="14" t="s">
        <v>42</v>
      </c>
      <c r="M146" s="14" t="s">
        <v>43</v>
      </c>
      <c r="N146" s="14"/>
      <c r="O146" s="14"/>
      <c r="P146" s="14" t="s">
        <v>260</v>
      </c>
      <c r="Q146" s="14"/>
      <c r="R146" s="13">
        <f>HYPERLINK("https://app.hubspot.com/contacts/8748051/record/0-2/41629652867", 41629652867)</f>
        <v>41629652867</v>
      </c>
      <c r="S146" s="14" t="s">
        <v>618</v>
      </c>
      <c r="T146" s="18" t="s">
        <v>619</v>
      </c>
      <c r="U146" s="14"/>
      <c r="V146" s="15"/>
      <c r="W146" s="19">
        <v>30.0</v>
      </c>
      <c r="X146" s="19"/>
      <c r="Y146" s="20"/>
      <c r="Z146" s="20"/>
      <c r="AA146" s="20"/>
      <c r="AB146" s="21"/>
      <c r="AC146" s="20"/>
      <c r="AD146" s="21"/>
      <c r="AE146" s="21"/>
      <c r="AF146" s="17" t="str">
        <f t="shared" si="1"/>
        <v>New Logo</v>
      </c>
      <c r="AG146" s="17" t="str">
        <f t="shared" si="2"/>
        <v>Lead</v>
      </c>
      <c r="AH146" s="17" t="str">
        <f t="shared" si="3"/>
        <v>0-200</v>
      </c>
      <c r="AI146" s="17" t="str">
        <f t="shared" si="4"/>
        <v>0-20</v>
      </c>
    </row>
    <row r="147" ht="15.75" customHeight="1">
      <c r="A147" s="13">
        <f>HYPERLINK("https://app.hubspot.com/contacts/8748051/record/0-3/45939175996", 45939175996)</f>
        <v>45939175996</v>
      </c>
      <c r="B147" s="14" t="s">
        <v>620</v>
      </c>
      <c r="C147" s="14" t="s">
        <v>49</v>
      </c>
      <c r="D147" s="15">
        <v>15000.0</v>
      </c>
      <c r="E147" s="14" t="s">
        <v>50</v>
      </c>
      <c r="F147" s="14" t="s">
        <v>51</v>
      </c>
      <c r="G147" s="16">
        <v>45943.83898148148</v>
      </c>
      <c r="H147" s="16">
        <v>46203.40726851852</v>
      </c>
      <c r="I147" s="14" t="s">
        <v>39</v>
      </c>
      <c r="J147" s="14" t="s">
        <v>40</v>
      </c>
      <c r="K147" s="14" t="s">
        <v>41</v>
      </c>
      <c r="L147" s="14" t="s">
        <v>42</v>
      </c>
      <c r="M147" s="14" t="s">
        <v>43</v>
      </c>
      <c r="N147" s="17"/>
      <c r="O147" s="17"/>
      <c r="P147" s="14"/>
      <c r="Q147" s="14"/>
      <c r="R147" s="13">
        <f>HYPERLINK("https://app.hubspot.com/contacts/8748051/record/0-2/39594237571", 39594237571)</f>
        <v>39594237571</v>
      </c>
      <c r="S147" s="18" t="s">
        <v>621</v>
      </c>
      <c r="T147" s="18" t="s">
        <v>622</v>
      </c>
      <c r="U147" s="14"/>
      <c r="V147" s="22"/>
      <c r="W147" s="19">
        <v>335.0</v>
      </c>
      <c r="X147" s="19">
        <v>29.0</v>
      </c>
      <c r="Y147" s="20" t="s">
        <v>104</v>
      </c>
      <c r="Z147" s="21"/>
      <c r="AA147" s="21"/>
      <c r="AB147" s="21"/>
      <c r="AC147" s="21"/>
      <c r="AD147" s="21"/>
      <c r="AE147" s="21"/>
      <c r="AF147" s="17" t="str">
        <f t="shared" si="1"/>
        <v>New Logo</v>
      </c>
      <c r="AG147" s="17" t="str">
        <f t="shared" si="2"/>
        <v>Lead</v>
      </c>
      <c r="AH147" s="17" t="str">
        <f t="shared" si="3"/>
        <v>201-500</v>
      </c>
      <c r="AI147" s="17" t="str">
        <f t="shared" si="4"/>
        <v>21-50</v>
      </c>
    </row>
    <row r="148" ht="15.75" customHeight="1">
      <c r="A148" s="13">
        <f>HYPERLINK("https://app.hubspot.com/contacts/8748051/record/0-3/45764913665", 45764913665)</f>
        <v>45764913665</v>
      </c>
      <c r="B148" s="14" t="s">
        <v>623</v>
      </c>
      <c r="C148" s="14" t="s">
        <v>37</v>
      </c>
      <c r="D148" s="15">
        <v>100000.0</v>
      </c>
      <c r="E148" s="14" t="s">
        <v>118</v>
      </c>
      <c r="F148" s="14"/>
      <c r="G148" s="16">
        <v>45943.25636574074</v>
      </c>
      <c r="H148" s="16">
        <v>46123.25634259259</v>
      </c>
      <c r="I148" s="14" t="s">
        <v>39</v>
      </c>
      <c r="J148" s="14" t="s">
        <v>52</v>
      </c>
      <c r="K148" s="14" t="s">
        <v>41</v>
      </c>
      <c r="L148" s="14" t="s">
        <v>42</v>
      </c>
      <c r="M148" s="14" t="s">
        <v>98</v>
      </c>
      <c r="N148" s="14"/>
      <c r="O148" s="14"/>
      <c r="P148" s="14" t="s">
        <v>232</v>
      </c>
      <c r="Q148" s="14"/>
      <c r="R148" s="13">
        <f>HYPERLINK("https://app.hubspot.com/contacts/8748051/record/0-2/9664359229", 9664359229)</f>
        <v>9664359229</v>
      </c>
      <c r="S148" s="14" t="s">
        <v>99</v>
      </c>
      <c r="T148" s="18" t="s">
        <v>100</v>
      </c>
      <c r="U148" s="14" t="s">
        <v>46</v>
      </c>
      <c r="V148" s="15"/>
      <c r="W148" s="19">
        <v>17488.0</v>
      </c>
      <c r="X148" s="19">
        <v>4615.0</v>
      </c>
      <c r="Y148" s="20"/>
      <c r="Z148" s="20"/>
      <c r="AA148" s="21"/>
      <c r="AB148" s="21"/>
      <c r="AC148" s="20"/>
      <c r="AD148" s="21"/>
      <c r="AE148" s="20"/>
      <c r="AF148" s="17" t="str">
        <f t="shared" si="1"/>
        <v>New Logo</v>
      </c>
      <c r="AG148" s="17" t="str">
        <f t="shared" si="2"/>
        <v>Lead</v>
      </c>
      <c r="AH148" s="17" t="str">
        <f t="shared" si="3"/>
        <v>10000+</v>
      </c>
      <c r="AI148" s="17" t="str">
        <f t="shared" si="4"/>
        <v>500+</v>
      </c>
    </row>
    <row r="149" ht="15.75" customHeight="1">
      <c r="A149" s="13">
        <f>HYPERLINK("https://app.hubspot.com/contacts/8748051/record/0-3/45586133514", 45586133514)</f>
        <v>45586133514</v>
      </c>
      <c r="B149" s="14" t="s">
        <v>624</v>
      </c>
      <c r="C149" s="14" t="s">
        <v>37</v>
      </c>
      <c r="D149" s="15">
        <v>19000.0</v>
      </c>
      <c r="E149" s="14" t="s">
        <v>118</v>
      </c>
      <c r="F149" s="14"/>
      <c r="G149" s="16">
        <v>45939.304976851854</v>
      </c>
      <c r="H149" s="16">
        <v>46119.30496527778</v>
      </c>
      <c r="I149" s="14" t="s">
        <v>39</v>
      </c>
      <c r="J149" s="14" t="s">
        <v>40</v>
      </c>
      <c r="K149" s="14" t="s">
        <v>41</v>
      </c>
      <c r="L149" s="14" t="s">
        <v>42</v>
      </c>
      <c r="M149" s="14" t="s">
        <v>43</v>
      </c>
      <c r="N149" s="14"/>
      <c r="O149" s="14"/>
      <c r="P149" s="14" t="s">
        <v>260</v>
      </c>
      <c r="Q149" s="14"/>
      <c r="R149" s="13">
        <f>HYPERLINK("https://app.hubspot.com/contacts/8748051/record/0-2/41190590628", 41190590628)</f>
        <v>41190590628</v>
      </c>
      <c r="S149" s="14" t="s">
        <v>625</v>
      </c>
      <c r="T149" s="18" t="s">
        <v>626</v>
      </c>
      <c r="U149" s="14"/>
      <c r="V149" s="15"/>
      <c r="W149" s="19">
        <v>4066.0</v>
      </c>
      <c r="X149" s="19">
        <v>38.0</v>
      </c>
      <c r="Y149" s="20"/>
      <c r="Z149" s="20"/>
      <c r="AA149" s="21"/>
      <c r="AB149" s="21"/>
      <c r="AC149" s="20"/>
      <c r="AD149" s="21"/>
      <c r="AE149" s="20"/>
      <c r="AF149" s="17" t="str">
        <f t="shared" si="1"/>
        <v>New Logo</v>
      </c>
      <c r="AG149" s="17" t="str">
        <f t="shared" si="2"/>
        <v>Lead</v>
      </c>
      <c r="AH149" s="17" t="str">
        <f t="shared" si="3"/>
        <v>1001-5000</v>
      </c>
      <c r="AI149" s="17" t="str">
        <f t="shared" si="4"/>
        <v>21-50</v>
      </c>
    </row>
    <row r="150" ht="15.75" customHeight="1">
      <c r="A150" s="13">
        <f>HYPERLINK("https://app.hubspot.com/contacts/8748051/record/0-3/45581429892", 45581429892)</f>
        <v>45581429892</v>
      </c>
      <c r="B150" s="14" t="s">
        <v>627</v>
      </c>
      <c r="C150" s="14" t="s">
        <v>145</v>
      </c>
      <c r="D150" s="15">
        <v>23005.0</v>
      </c>
      <c r="E150" s="14" t="s">
        <v>89</v>
      </c>
      <c r="F150" s="14" t="s">
        <v>51</v>
      </c>
      <c r="G150" s="16">
        <v>45938.65565972222</v>
      </c>
      <c r="H150" s="16">
        <v>45958.636458333334</v>
      </c>
      <c r="I150" s="14" t="s">
        <v>39</v>
      </c>
      <c r="J150" s="14" t="s">
        <v>40</v>
      </c>
      <c r="K150" s="14" t="s">
        <v>41</v>
      </c>
      <c r="L150" s="14" t="s">
        <v>448</v>
      </c>
      <c r="M150" s="14" t="s">
        <v>43</v>
      </c>
      <c r="N150" s="14" t="s">
        <v>628</v>
      </c>
      <c r="O150" s="14"/>
      <c r="P150" s="14"/>
      <c r="Q150" s="14"/>
      <c r="R150" s="13">
        <f>HYPERLINK("https://app.hubspot.com/contacts/8748051/record/0-2/40822299399", 40822299399)</f>
        <v>40822299399</v>
      </c>
      <c r="S150" s="14" t="s">
        <v>629</v>
      </c>
      <c r="T150" s="18" t="s">
        <v>630</v>
      </c>
      <c r="U150" s="14" t="s">
        <v>93</v>
      </c>
      <c r="V150" s="15">
        <v>23005.0</v>
      </c>
      <c r="W150" s="19">
        <v>174.0</v>
      </c>
      <c r="X150" s="19">
        <v>17.0</v>
      </c>
      <c r="Y150" s="20"/>
      <c r="Z150" s="20" t="s">
        <v>348</v>
      </c>
      <c r="AA150" s="20"/>
      <c r="AB150" s="21"/>
      <c r="AC150" s="20" t="s">
        <v>185</v>
      </c>
      <c r="AD150" s="21"/>
      <c r="AE150" s="20" t="s">
        <v>585</v>
      </c>
      <c r="AF150" s="17" t="str">
        <f t="shared" si="1"/>
        <v>New Logo</v>
      </c>
      <c r="AG150" s="17" t="str">
        <f t="shared" si="2"/>
        <v>Customer</v>
      </c>
      <c r="AH150" s="17" t="str">
        <f t="shared" si="3"/>
        <v>0-200</v>
      </c>
      <c r="AI150" s="17" t="str">
        <f t="shared" si="4"/>
        <v>0-20</v>
      </c>
    </row>
    <row r="151" ht="15.75" customHeight="1">
      <c r="A151" s="13">
        <f>HYPERLINK("https://app.hubspot.com/contacts/8748051/record/0-3/45429950050", 45429950050)</f>
        <v>45429950050</v>
      </c>
      <c r="B151" s="14" t="s">
        <v>631</v>
      </c>
      <c r="C151" s="14" t="s">
        <v>145</v>
      </c>
      <c r="D151" s="15">
        <v>0.0</v>
      </c>
      <c r="E151" s="14" t="s">
        <v>118</v>
      </c>
      <c r="F151" s="14"/>
      <c r="G151" s="16">
        <v>45938.46356481482</v>
      </c>
      <c r="H151" s="16">
        <v>46118.463541666664</v>
      </c>
      <c r="I151" s="14" t="s">
        <v>39</v>
      </c>
      <c r="J151" s="14" t="s">
        <v>40</v>
      </c>
      <c r="K151" s="14" t="s">
        <v>593</v>
      </c>
      <c r="L151" s="14" t="s">
        <v>60</v>
      </c>
      <c r="M151" s="14"/>
      <c r="N151" s="14"/>
      <c r="O151" s="17"/>
      <c r="P151" s="14" t="s">
        <v>232</v>
      </c>
      <c r="Q151" s="14"/>
      <c r="R151" s="13">
        <f>HYPERLINK("https://app.hubspot.com/contacts/8748051/record/0-2/41002863628", 41002863628)</f>
        <v>41002863628</v>
      </c>
      <c r="S151" s="14" t="s">
        <v>632</v>
      </c>
      <c r="T151" s="18" t="s">
        <v>633</v>
      </c>
      <c r="U151" s="14"/>
      <c r="V151" s="15"/>
      <c r="W151" s="19">
        <v>6.0</v>
      </c>
      <c r="X151" s="19">
        <v>0.0</v>
      </c>
      <c r="Y151" s="20"/>
      <c r="Z151" s="20"/>
      <c r="AA151" s="20"/>
      <c r="AB151" s="20"/>
      <c r="AC151" s="20"/>
      <c r="AD151" s="20"/>
      <c r="AE151" s="20"/>
      <c r="AF151" s="17" t="str">
        <f t="shared" si="1"/>
        <v>New Logo</v>
      </c>
      <c r="AG151" s="17" t="str">
        <f t="shared" si="2"/>
        <v>Lead</v>
      </c>
      <c r="AH151" s="17" t="str">
        <f t="shared" si="3"/>
        <v>0-200</v>
      </c>
      <c r="AI151" s="17" t="str">
        <f t="shared" si="4"/>
        <v>0-20</v>
      </c>
    </row>
    <row r="152" ht="15.75" customHeight="1">
      <c r="A152" s="13">
        <f>HYPERLINK("https://app.hubspot.com/contacts/8748051/record/0-3/45442101095", 45442101095)</f>
        <v>45442101095</v>
      </c>
      <c r="B152" s="14" t="s">
        <v>634</v>
      </c>
      <c r="C152" s="14" t="s">
        <v>37</v>
      </c>
      <c r="D152" s="15">
        <v>2000.0</v>
      </c>
      <c r="E152" s="14" t="s">
        <v>124</v>
      </c>
      <c r="F152" s="14"/>
      <c r="G152" s="16">
        <v>45938.44206018518</v>
      </c>
      <c r="H152" s="16">
        <v>46118.442037037035</v>
      </c>
      <c r="I152" s="14" t="s">
        <v>39</v>
      </c>
      <c r="J152" s="14" t="s">
        <v>40</v>
      </c>
      <c r="K152" s="14" t="s">
        <v>41</v>
      </c>
      <c r="L152" s="14" t="s">
        <v>42</v>
      </c>
      <c r="M152" s="14"/>
      <c r="N152" s="14"/>
      <c r="O152" s="17"/>
      <c r="P152" s="14"/>
      <c r="Q152" s="14" t="s">
        <v>125</v>
      </c>
      <c r="R152" s="13">
        <f>HYPERLINK("https://app.hubspot.com/contacts/8748051/record/0-2/41077974430", 41077974430)</f>
        <v>41077974430</v>
      </c>
      <c r="S152" s="14" t="s">
        <v>635</v>
      </c>
      <c r="T152" s="14" t="s">
        <v>636</v>
      </c>
      <c r="U152" s="14"/>
      <c r="V152" s="15"/>
      <c r="W152" s="19">
        <v>10.0</v>
      </c>
      <c r="X152" s="19">
        <v>4.0</v>
      </c>
      <c r="Y152" s="20"/>
      <c r="Z152" s="20"/>
      <c r="AA152" s="20"/>
      <c r="AB152" s="21"/>
      <c r="AC152" s="20"/>
      <c r="AD152" s="21"/>
      <c r="AE152" s="20"/>
      <c r="AF152" s="17" t="str">
        <f t="shared" si="1"/>
        <v>New Logo</v>
      </c>
      <c r="AG152" s="17" t="str">
        <f t="shared" si="2"/>
        <v>Lead</v>
      </c>
      <c r="AH152" s="17" t="str">
        <f t="shared" si="3"/>
        <v>0-200</v>
      </c>
      <c r="AI152" s="17" t="str">
        <f t="shared" si="4"/>
        <v>0-20</v>
      </c>
    </row>
    <row r="153" ht="15.75" customHeight="1">
      <c r="A153" s="13">
        <f>HYPERLINK("https://app.hubspot.com/contacts/8748051/record/0-3/45499869953", 45499869953)</f>
        <v>45499869953</v>
      </c>
      <c r="B153" s="14" t="s">
        <v>637</v>
      </c>
      <c r="C153" s="14" t="s">
        <v>37</v>
      </c>
      <c r="D153" s="15">
        <v>8750.0</v>
      </c>
      <c r="E153" s="14" t="s">
        <v>89</v>
      </c>
      <c r="F153" s="14" t="s">
        <v>51</v>
      </c>
      <c r="G153" s="16">
        <v>45938.44153935185</v>
      </c>
      <c r="H153" s="16">
        <v>46066.60403935185</v>
      </c>
      <c r="I153" s="14" t="s">
        <v>39</v>
      </c>
      <c r="J153" s="14" t="s">
        <v>40</v>
      </c>
      <c r="K153" s="14"/>
      <c r="L153" s="14" t="s">
        <v>448</v>
      </c>
      <c r="M153" s="14" t="s">
        <v>98</v>
      </c>
      <c r="N153" s="14" t="s">
        <v>638</v>
      </c>
      <c r="O153" s="14"/>
      <c r="P153" s="14"/>
      <c r="Q153" s="14"/>
      <c r="R153" s="13">
        <f>HYPERLINK("https://app.hubspot.com/contacts/8748051/record/0-2/8955697984", 8955697984)</f>
        <v>8955697984</v>
      </c>
      <c r="S153" s="14" t="s">
        <v>639</v>
      </c>
      <c r="T153" s="18" t="s">
        <v>640</v>
      </c>
      <c r="U153" s="14" t="s">
        <v>93</v>
      </c>
      <c r="V153" s="15">
        <v>8750.0</v>
      </c>
      <c r="W153" s="19">
        <v>390.0</v>
      </c>
      <c r="X153" s="19">
        <v>35.0</v>
      </c>
      <c r="Y153" s="20"/>
      <c r="Z153" s="20" t="s">
        <v>191</v>
      </c>
      <c r="AA153" s="20" t="s">
        <v>192</v>
      </c>
      <c r="AB153" s="20"/>
      <c r="AC153" s="20"/>
      <c r="AD153" s="20"/>
      <c r="AE153" s="20"/>
      <c r="AF153" s="17" t="str">
        <f t="shared" si="1"/>
        <v>New Logo</v>
      </c>
      <c r="AG153" s="17" t="str">
        <f t="shared" si="2"/>
        <v>Customer</v>
      </c>
      <c r="AH153" s="17" t="str">
        <f t="shared" si="3"/>
        <v>201-500</v>
      </c>
      <c r="AI153" s="17" t="str">
        <f t="shared" si="4"/>
        <v>21-50</v>
      </c>
    </row>
    <row r="154" ht="15.75" customHeight="1">
      <c r="A154" s="13">
        <f>HYPERLINK("https://app.hubspot.com/contacts/8748051/record/0-3/45450538497", 45450538497)</f>
        <v>45450538497</v>
      </c>
      <c r="B154" s="14" t="s">
        <v>641</v>
      </c>
      <c r="C154" s="14" t="s">
        <v>145</v>
      </c>
      <c r="D154" s="15">
        <v>41500.0</v>
      </c>
      <c r="E154" s="14" t="s">
        <v>124</v>
      </c>
      <c r="F154" s="14" t="s">
        <v>51</v>
      </c>
      <c r="G154" s="16">
        <v>45938.434224537035</v>
      </c>
      <c r="H154" s="16">
        <v>46118.434212962966</v>
      </c>
      <c r="I154" s="14" t="s">
        <v>39</v>
      </c>
      <c r="J154" s="14" t="s">
        <v>40</v>
      </c>
      <c r="K154" s="14" t="s">
        <v>593</v>
      </c>
      <c r="L154" s="14" t="s">
        <v>60</v>
      </c>
      <c r="M154" s="14" t="s">
        <v>43</v>
      </c>
      <c r="N154" s="17"/>
      <c r="O154" s="14"/>
      <c r="P154" s="17"/>
      <c r="Q154" s="14" t="s">
        <v>125</v>
      </c>
      <c r="R154" s="13">
        <f>HYPERLINK("https://app.hubspot.com/contacts/8748051/record/0-2/30686253848", 30686253848)</f>
        <v>30686253848</v>
      </c>
      <c r="S154" s="14" t="s">
        <v>642</v>
      </c>
      <c r="T154" s="18" t="s">
        <v>643</v>
      </c>
      <c r="U154" s="14" t="s">
        <v>46</v>
      </c>
      <c r="V154" s="22"/>
      <c r="W154" s="19">
        <v>693.0</v>
      </c>
      <c r="X154" s="19">
        <v>83.0</v>
      </c>
      <c r="Y154" s="20"/>
      <c r="Z154" s="21"/>
      <c r="AA154" s="21"/>
      <c r="AB154" s="21"/>
      <c r="AC154" s="21"/>
      <c r="AD154" s="21"/>
      <c r="AE154" s="21"/>
      <c r="AF154" s="17" t="str">
        <f t="shared" si="1"/>
        <v>New Logo</v>
      </c>
      <c r="AG154" s="17" t="str">
        <f t="shared" si="2"/>
        <v>Lead</v>
      </c>
      <c r="AH154" s="17" t="str">
        <f t="shared" si="3"/>
        <v>501-1000</v>
      </c>
      <c r="AI154" s="17" t="str">
        <f t="shared" si="4"/>
        <v>51-100</v>
      </c>
    </row>
    <row r="155" ht="15.75" customHeight="1">
      <c r="A155" s="13">
        <f>HYPERLINK("https://app.hubspot.com/contacts/8748051/record/0-3/45451928346", 45451928346)</f>
        <v>45451928346</v>
      </c>
      <c r="B155" s="14" t="s">
        <v>644</v>
      </c>
      <c r="C155" s="14" t="s">
        <v>37</v>
      </c>
      <c r="D155" s="15">
        <v>100000.0</v>
      </c>
      <c r="E155" s="14" t="s">
        <v>146</v>
      </c>
      <c r="F155" s="14"/>
      <c r="G155" s="16">
        <v>45937.89109953704</v>
      </c>
      <c r="H155" s="16">
        <v>45984.53986111111</v>
      </c>
      <c r="I155" s="14" t="s">
        <v>39</v>
      </c>
      <c r="J155" s="14" t="s">
        <v>52</v>
      </c>
      <c r="K155" s="14" t="s">
        <v>41</v>
      </c>
      <c r="L155" s="14" t="s">
        <v>42</v>
      </c>
      <c r="M155" s="14"/>
      <c r="N155" s="14"/>
      <c r="O155" s="14" t="s">
        <v>645</v>
      </c>
      <c r="P155" s="17"/>
      <c r="Q155" s="14"/>
      <c r="R155" s="13">
        <f>HYPERLINK("https://app.hubspot.com/contacts/8748051/record/0-2/41105868191", 41105868191)</f>
        <v>41105868191</v>
      </c>
      <c r="S155" s="14" t="s">
        <v>646</v>
      </c>
      <c r="T155" s="18" t="s">
        <v>647</v>
      </c>
      <c r="U155" s="14"/>
      <c r="V155" s="15"/>
      <c r="W155" s="19">
        <v>507.0</v>
      </c>
      <c r="X155" s="19">
        <v>306.0</v>
      </c>
      <c r="Y155" s="20"/>
      <c r="Z155" s="20"/>
      <c r="AA155" s="21"/>
      <c r="AB155" s="21"/>
      <c r="AC155" s="20"/>
      <c r="AD155" s="21"/>
      <c r="AE155" s="21"/>
      <c r="AF155" s="17" t="str">
        <f t="shared" si="1"/>
        <v>New Logo</v>
      </c>
      <c r="AG155" s="17" t="str">
        <f t="shared" si="2"/>
        <v>Lead</v>
      </c>
      <c r="AH155" s="17" t="str">
        <f t="shared" si="3"/>
        <v>501-1000</v>
      </c>
      <c r="AI155" s="17" t="str">
        <f t="shared" si="4"/>
        <v>101-500</v>
      </c>
    </row>
    <row r="156" ht="15.75" customHeight="1">
      <c r="A156" s="13">
        <f>HYPERLINK("https://app.hubspot.com/contacts/8748051/record/0-3/45354363535", 45354363535)</f>
        <v>45354363535</v>
      </c>
      <c r="B156" s="14" t="s">
        <v>648</v>
      </c>
      <c r="C156" s="14" t="s">
        <v>37</v>
      </c>
      <c r="D156" s="15">
        <v>100000.0</v>
      </c>
      <c r="E156" s="14" t="s">
        <v>50</v>
      </c>
      <c r="F156" s="14" t="s">
        <v>51</v>
      </c>
      <c r="G156" s="16">
        <v>45937.47914351852</v>
      </c>
      <c r="H156" s="16">
        <v>46234.40398148148</v>
      </c>
      <c r="I156" s="14" t="s">
        <v>39</v>
      </c>
      <c r="J156" s="14" t="s">
        <v>52</v>
      </c>
      <c r="K156" s="14" t="s">
        <v>41</v>
      </c>
      <c r="L156" s="14" t="s">
        <v>42</v>
      </c>
      <c r="M156" s="14" t="s">
        <v>43</v>
      </c>
      <c r="N156" s="14"/>
      <c r="O156" s="14"/>
      <c r="P156" s="17"/>
      <c r="Q156" s="14"/>
      <c r="R156" s="13">
        <f>HYPERLINK("https://app.hubspot.com/contacts/8748051/record/0-2/18832368254", 18832368254)</f>
        <v>18832368254</v>
      </c>
      <c r="S156" s="14" t="s">
        <v>649</v>
      </c>
      <c r="T156" s="18" t="s">
        <v>650</v>
      </c>
      <c r="U156" s="14" t="s">
        <v>46</v>
      </c>
      <c r="V156" s="15"/>
      <c r="W156" s="19">
        <v>4509.0</v>
      </c>
      <c r="X156" s="19">
        <v>393.0</v>
      </c>
      <c r="Y156" s="20" t="s">
        <v>371</v>
      </c>
      <c r="Z156" s="20"/>
      <c r="AA156" s="20"/>
      <c r="AB156" s="21"/>
      <c r="AC156" s="20"/>
      <c r="AD156" s="21"/>
      <c r="AE156" s="21"/>
      <c r="AF156" s="17" t="str">
        <f t="shared" si="1"/>
        <v>New Logo</v>
      </c>
      <c r="AG156" s="17" t="str">
        <f t="shared" si="2"/>
        <v>Lead</v>
      </c>
      <c r="AH156" s="17" t="str">
        <f t="shared" si="3"/>
        <v>1001-5000</v>
      </c>
      <c r="AI156" s="17" t="str">
        <f t="shared" si="4"/>
        <v>101-500</v>
      </c>
    </row>
    <row r="157" ht="15.75" customHeight="1">
      <c r="A157" s="13">
        <f>HYPERLINK("https://app.hubspot.com/contacts/8748051/record/0-3/45315192745", 45315192745)</f>
        <v>45315192745</v>
      </c>
      <c r="B157" s="14" t="s">
        <v>651</v>
      </c>
      <c r="C157" s="14" t="s">
        <v>37</v>
      </c>
      <c r="D157" s="15">
        <v>10500.0</v>
      </c>
      <c r="E157" s="14" t="s">
        <v>146</v>
      </c>
      <c r="F157" s="14" t="s">
        <v>51</v>
      </c>
      <c r="G157" s="16">
        <v>45936.40206018519</v>
      </c>
      <c r="H157" s="16">
        <v>46058.665613425925</v>
      </c>
      <c r="I157" s="14" t="s">
        <v>39</v>
      </c>
      <c r="J157" s="14" t="s">
        <v>40</v>
      </c>
      <c r="K157" s="14" t="s">
        <v>41</v>
      </c>
      <c r="L157" s="14" t="s">
        <v>42</v>
      </c>
      <c r="M157" s="14" t="s">
        <v>43</v>
      </c>
      <c r="N157" s="17"/>
      <c r="O157" s="14" t="s">
        <v>652</v>
      </c>
      <c r="P157" s="14"/>
      <c r="Q157" s="14"/>
      <c r="R157" s="13">
        <f>HYPERLINK("https://app.hubspot.com/contacts/8748051/record/0-2/40871142018", 40871142018)</f>
        <v>40871142018</v>
      </c>
      <c r="S157" s="14" t="s">
        <v>653</v>
      </c>
      <c r="T157" s="18" t="s">
        <v>654</v>
      </c>
      <c r="U157" s="14"/>
      <c r="V157" s="22"/>
      <c r="W157" s="19">
        <v>122.0</v>
      </c>
      <c r="X157" s="19">
        <v>21.0</v>
      </c>
      <c r="Y157" s="20"/>
      <c r="Z157" s="21"/>
      <c r="AA157" s="21"/>
      <c r="AB157" s="21"/>
      <c r="AC157" s="21"/>
      <c r="AD157" s="21"/>
      <c r="AE157" s="21"/>
      <c r="AF157" s="17" t="str">
        <f t="shared" si="1"/>
        <v>New Logo</v>
      </c>
      <c r="AG157" s="17" t="str">
        <f t="shared" si="2"/>
        <v>Lead</v>
      </c>
      <c r="AH157" s="17" t="str">
        <f t="shared" si="3"/>
        <v>0-200</v>
      </c>
      <c r="AI157" s="17" t="str">
        <f t="shared" si="4"/>
        <v>21-50</v>
      </c>
    </row>
    <row r="158" ht="15.75" customHeight="1">
      <c r="A158" s="13">
        <f>HYPERLINK("https://app.hubspot.com/contacts/8748051/record/0-3/45296463026", 45296463026)</f>
        <v>45296463026</v>
      </c>
      <c r="B158" s="14" t="s">
        <v>655</v>
      </c>
      <c r="C158" s="14" t="s">
        <v>37</v>
      </c>
      <c r="D158" s="15">
        <v>100000.0</v>
      </c>
      <c r="E158" s="14" t="s">
        <v>50</v>
      </c>
      <c r="F158" s="14" t="s">
        <v>51</v>
      </c>
      <c r="G158" s="16">
        <v>45936.401655092595</v>
      </c>
      <c r="H158" s="16">
        <v>46262.48552083333</v>
      </c>
      <c r="I158" s="14" t="s">
        <v>39</v>
      </c>
      <c r="J158" s="14" t="s">
        <v>52</v>
      </c>
      <c r="K158" s="14" t="s">
        <v>41</v>
      </c>
      <c r="L158" s="14" t="s">
        <v>42</v>
      </c>
      <c r="M158" s="14" t="s">
        <v>43</v>
      </c>
      <c r="N158" s="14"/>
      <c r="O158" s="17"/>
      <c r="P158" s="14"/>
      <c r="Q158" s="14"/>
      <c r="R158" s="13">
        <f>HYPERLINK("https://app.hubspot.com/contacts/8748051/record/0-2/8867142733", 8867142733)</f>
        <v>8867142733</v>
      </c>
      <c r="S158" s="14" t="s">
        <v>656</v>
      </c>
      <c r="T158" s="18" t="s">
        <v>657</v>
      </c>
      <c r="U158" s="14" t="s">
        <v>46</v>
      </c>
      <c r="V158" s="15"/>
      <c r="W158" s="19">
        <v>8750.0</v>
      </c>
      <c r="X158" s="19">
        <v>1438.0</v>
      </c>
      <c r="Y158" s="20" t="s">
        <v>658</v>
      </c>
      <c r="Z158" s="20"/>
      <c r="AA158" s="21"/>
      <c r="AB158" s="20"/>
      <c r="AC158" s="20"/>
      <c r="AD158" s="20"/>
      <c r="AE158" s="20"/>
      <c r="AF158" s="17" t="str">
        <f t="shared" si="1"/>
        <v>New Logo</v>
      </c>
      <c r="AG158" s="17" t="str">
        <f t="shared" si="2"/>
        <v>Lead</v>
      </c>
      <c r="AH158" s="17" t="str">
        <f t="shared" si="3"/>
        <v>5000-10000</v>
      </c>
      <c r="AI158" s="17" t="str">
        <f t="shared" si="4"/>
        <v>500+</v>
      </c>
    </row>
    <row r="159" ht="15.75" customHeight="1">
      <c r="A159" s="13">
        <f>HYPERLINK("https://app.hubspot.com/contacts/8748051/record/0-3/45189008786", 45189008786)</f>
        <v>45189008786</v>
      </c>
      <c r="B159" s="14" t="s">
        <v>659</v>
      </c>
      <c r="C159" s="14" t="s">
        <v>49</v>
      </c>
      <c r="D159" s="15">
        <v>10000.0</v>
      </c>
      <c r="E159" s="14" t="s">
        <v>124</v>
      </c>
      <c r="F159" s="14" t="s">
        <v>51</v>
      </c>
      <c r="G159" s="16">
        <v>45933.38841435185</v>
      </c>
      <c r="H159" s="16">
        <v>46112.45340277778</v>
      </c>
      <c r="I159" s="14" t="s">
        <v>39</v>
      </c>
      <c r="J159" s="14" t="s">
        <v>40</v>
      </c>
      <c r="K159" s="14" t="s">
        <v>41</v>
      </c>
      <c r="L159" s="14" t="s">
        <v>42</v>
      </c>
      <c r="M159" s="14" t="s">
        <v>43</v>
      </c>
      <c r="N159" s="14"/>
      <c r="O159" s="14"/>
      <c r="P159" s="14"/>
      <c r="Q159" s="14" t="s">
        <v>236</v>
      </c>
      <c r="R159" s="13">
        <f>HYPERLINK("https://app.hubspot.com/contacts/8748051/record/0-2/39723801196", 39723801196)</f>
        <v>39723801196</v>
      </c>
      <c r="S159" s="14" t="s">
        <v>660</v>
      </c>
      <c r="T159" s="18" t="s">
        <v>661</v>
      </c>
      <c r="U159" s="14"/>
      <c r="V159" s="15"/>
      <c r="W159" s="19">
        <v>299.0</v>
      </c>
      <c r="X159" s="19">
        <v>78.0</v>
      </c>
      <c r="Y159" s="20"/>
      <c r="Z159" s="20"/>
      <c r="AA159" s="21"/>
      <c r="AB159" s="20"/>
      <c r="AC159" s="20"/>
      <c r="AD159" s="20"/>
      <c r="AE159" s="20"/>
      <c r="AF159" s="17" t="str">
        <f t="shared" si="1"/>
        <v>New Logo</v>
      </c>
      <c r="AG159" s="17" t="str">
        <f t="shared" si="2"/>
        <v>Lead</v>
      </c>
      <c r="AH159" s="17" t="str">
        <f t="shared" si="3"/>
        <v>201-500</v>
      </c>
      <c r="AI159" s="17" t="str">
        <f t="shared" si="4"/>
        <v>51-100</v>
      </c>
    </row>
    <row r="160" ht="15.75" customHeight="1">
      <c r="A160" s="13">
        <f>HYPERLINK("https://app.hubspot.com/contacts/8748051/record/0-3/45327094084", 45327094084)</f>
        <v>45327094084</v>
      </c>
      <c r="B160" s="14" t="s">
        <v>662</v>
      </c>
      <c r="C160" s="14" t="s">
        <v>156</v>
      </c>
      <c r="D160" s="15">
        <v>-602.0</v>
      </c>
      <c r="E160" s="14" t="s">
        <v>89</v>
      </c>
      <c r="F160" s="14"/>
      <c r="G160" s="16">
        <v>45932.69709490741</v>
      </c>
      <c r="H160" s="16">
        <v>45936.696805555555</v>
      </c>
      <c r="I160" s="14" t="s">
        <v>39</v>
      </c>
      <c r="J160" s="14" t="s">
        <v>157</v>
      </c>
      <c r="K160" s="14" t="s">
        <v>158</v>
      </c>
      <c r="L160" s="14" t="s">
        <v>159</v>
      </c>
      <c r="M160" s="14" t="s">
        <v>43</v>
      </c>
      <c r="N160" s="14" t="s">
        <v>663</v>
      </c>
      <c r="O160" s="14"/>
      <c r="P160" s="14"/>
      <c r="Q160" s="14"/>
      <c r="R160" s="13">
        <f>HYPERLINK("https://app.hubspot.com/contacts/8748051/record/0-2/15119716451", 15119716451)</f>
        <v>15119716451</v>
      </c>
      <c r="S160" s="14" t="s">
        <v>203</v>
      </c>
      <c r="T160" s="18" t="s">
        <v>204</v>
      </c>
      <c r="U160" s="14" t="s">
        <v>93</v>
      </c>
      <c r="V160" s="15">
        <v>28960.0</v>
      </c>
      <c r="W160" s="19">
        <v>406.0</v>
      </c>
      <c r="X160" s="19">
        <v>112.0</v>
      </c>
      <c r="Y160" s="20"/>
      <c r="Z160" s="20" t="s">
        <v>205</v>
      </c>
      <c r="AA160" s="21"/>
      <c r="AB160" s="20" t="s">
        <v>206</v>
      </c>
      <c r="AC160" s="20" t="s">
        <v>207</v>
      </c>
      <c r="AD160" s="20" t="s">
        <v>208</v>
      </c>
      <c r="AE160" s="20" t="s">
        <v>209</v>
      </c>
      <c r="AF160" s="17" t="str">
        <f t="shared" si="1"/>
        <v>Downsell</v>
      </c>
      <c r="AG160" s="17" t="str">
        <f t="shared" si="2"/>
        <v>Customer</v>
      </c>
      <c r="AH160" s="17" t="str">
        <f t="shared" si="3"/>
        <v>201-500</v>
      </c>
      <c r="AI160" s="17" t="str">
        <f t="shared" si="4"/>
        <v>101-500</v>
      </c>
    </row>
    <row r="161" ht="15.75" customHeight="1">
      <c r="A161" s="13">
        <f>HYPERLINK("https://app.hubspot.com/contacts/8748051/record/0-3/45140789881", 45140789881)</f>
        <v>45140789881</v>
      </c>
      <c r="B161" s="14" t="s">
        <v>664</v>
      </c>
      <c r="C161" s="14" t="s">
        <v>37</v>
      </c>
      <c r="D161" s="15">
        <v>110000.0</v>
      </c>
      <c r="E161" s="14" t="s">
        <v>50</v>
      </c>
      <c r="F161" s="14" t="s">
        <v>51</v>
      </c>
      <c r="G161" s="16">
        <v>45932.55866898148</v>
      </c>
      <c r="H161" s="16">
        <v>46199.018541666665</v>
      </c>
      <c r="I161" s="14" t="s">
        <v>39</v>
      </c>
      <c r="J161" s="14" t="s">
        <v>52</v>
      </c>
      <c r="K161" s="14" t="s">
        <v>59</v>
      </c>
      <c r="L161" s="14" t="s">
        <v>60</v>
      </c>
      <c r="M161" s="14" t="s">
        <v>43</v>
      </c>
      <c r="N161" s="17"/>
      <c r="O161" s="14"/>
      <c r="P161" s="14"/>
      <c r="Q161" s="14"/>
      <c r="R161" s="13">
        <f>HYPERLINK("https://app.hubspot.com/contacts/8748051/record/0-2/7674374064", 7674374064)</f>
        <v>7674374064</v>
      </c>
      <c r="S161" s="14" t="s">
        <v>665</v>
      </c>
      <c r="T161" s="18" t="s">
        <v>666</v>
      </c>
      <c r="U161" s="14" t="s">
        <v>46</v>
      </c>
      <c r="V161" s="22"/>
      <c r="W161" s="19">
        <v>1257.0</v>
      </c>
      <c r="X161" s="19">
        <v>264.0</v>
      </c>
      <c r="Y161" s="20" t="s">
        <v>78</v>
      </c>
      <c r="Z161" s="21"/>
      <c r="AA161" s="21"/>
      <c r="AB161" s="21"/>
      <c r="AC161" s="21"/>
      <c r="AD161" s="21"/>
      <c r="AE161" s="21"/>
      <c r="AF161" s="17" t="str">
        <f t="shared" si="1"/>
        <v>New Logo</v>
      </c>
      <c r="AG161" s="17" t="str">
        <f t="shared" si="2"/>
        <v>Lead</v>
      </c>
      <c r="AH161" s="17" t="str">
        <f t="shared" si="3"/>
        <v>1001-5000</v>
      </c>
      <c r="AI161" s="17" t="str">
        <f t="shared" si="4"/>
        <v>101-500</v>
      </c>
    </row>
    <row r="162" ht="15.75" customHeight="1">
      <c r="A162" s="13">
        <f>HYPERLINK("https://app.hubspot.com/contacts/8748051/record/0-3/45102633035", 45102633035)</f>
        <v>45102633035</v>
      </c>
      <c r="B162" s="14" t="s">
        <v>667</v>
      </c>
      <c r="C162" s="14" t="s">
        <v>37</v>
      </c>
      <c r="D162" s="15">
        <v>25000.0</v>
      </c>
      <c r="E162" s="14" t="s">
        <v>146</v>
      </c>
      <c r="F162" s="14" t="s">
        <v>51</v>
      </c>
      <c r="G162" s="16">
        <v>45932.54586805555</v>
      </c>
      <c r="H162" s="16">
        <v>45975.23925925926</v>
      </c>
      <c r="I162" s="14" t="s">
        <v>39</v>
      </c>
      <c r="J162" s="14" t="s">
        <v>40</v>
      </c>
      <c r="K162" s="14" t="s">
        <v>41</v>
      </c>
      <c r="L162" s="14" t="s">
        <v>42</v>
      </c>
      <c r="M162" s="14" t="s">
        <v>43</v>
      </c>
      <c r="N162" s="14"/>
      <c r="O162" s="14" t="s">
        <v>668</v>
      </c>
      <c r="P162" s="14"/>
      <c r="Q162" s="14"/>
      <c r="R162" s="13">
        <f>HYPERLINK("https://app.hubspot.com/contacts/8748051/record/0-2/39434406029", 39434406029)</f>
        <v>39434406029</v>
      </c>
      <c r="S162" s="14" t="s">
        <v>669</v>
      </c>
      <c r="T162" s="18" t="s">
        <v>670</v>
      </c>
      <c r="U162" s="14"/>
      <c r="V162" s="15"/>
      <c r="W162" s="19">
        <v>59.0</v>
      </c>
      <c r="X162" s="19">
        <v>20.0</v>
      </c>
      <c r="Y162" s="20"/>
      <c r="Z162" s="20"/>
      <c r="AA162" s="21"/>
      <c r="AB162" s="21"/>
      <c r="AC162" s="20"/>
      <c r="AD162" s="21"/>
      <c r="AE162" s="20"/>
      <c r="AF162" s="17" t="str">
        <f t="shared" si="1"/>
        <v>New Logo</v>
      </c>
      <c r="AG162" s="17" t="str">
        <f t="shared" si="2"/>
        <v>Lead</v>
      </c>
      <c r="AH162" s="17" t="str">
        <f t="shared" si="3"/>
        <v>0-200</v>
      </c>
      <c r="AI162" s="17" t="str">
        <f t="shared" si="4"/>
        <v>0-20</v>
      </c>
    </row>
    <row r="163" ht="15.75" customHeight="1">
      <c r="A163" s="13">
        <f>HYPERLINK("https://app.hubspot.com/contacts/8748051/record/0-3/44941183668", 44941183668)</f>
        <v>44941183668</v>
      </c>
      <c r="B163" s="14" t="s">
        <v>671</v>
      </c>
      <c r="C163" s="14" t="s">
        <v>37</v>
      </c>
      <c r="D163" s="15">
        <v>35000.0</v>
      </c>
      <c r="E163" s="14" t="s">
        <v>124</v>
      </c>
      <c r="F163" s="14" t="s">
        <v>51</v>
      </c>
      <c r="G163" s="16">
        <v>45930.62641203704</v>
      </c>
      <c r="H163" s="16">
        <v>46051.59478009259</v>
      </c>
      <c r="I163" s="14" t="s">
        <v>39</v>
      </c>
      <c r="J163" s="14" t="s">
        <v>40</v>
      </c>
      <c r="K163" s="14" t="s">
        <v>41</v>
      </c>
      <c r="L163" s="14" t="s">
        <v>42</v>
      </c>
      <c r="M163" s="14" t="s">
        <v>43</v>
      </c>
      <c r="N163" s="17"/>
      <c r="O163" s="17"/>
      <c r="P163" s="14"/>
      <c r="Q163" s="14" t="s">
        <v>141</v>
      </c>
      <c r="R163" s="13">
        <f>HYPERLINK("https://app.hubspot.com/contacts/8748051/record/0-2/31946973311", 31946973311)</f>
        <v>31946973311</v>
      </c>
      <c r="S163" s="14" t="s">
        <v>672</v>
      </c>
      <c r="T163" s="18" t="s">
        <v>673</v>
      </c>
      <c r="U163" s="14" t="s">
        <v>46</v>
      </c>
      <c r="V163" s="22"/>
      <c r="W163" s="19">
        <v>36.0</v>
      </c>
      <c r="X163" s="19">
        <v>3.0</v>
      </c>
      <c r="Y163" s="20"/>
      <c r="Z163" s="21"/>
      <c r="AA163" s="21"/>
      <c r="AB163" s="21"/>
      <c r="AC163" s="21"/>
      <c r="AD163" s="21"/>
      <c r="AE163" s="21"/>
      <c r="AF163" s="17" t="str">
        <f t="shared" si="1"/>
        <v>New Logo</v>
      </c>
      <c r="AG163" s="17" t="str">
        <f t="shared" si="2"/>
        <v>Lead</v>
      </c>
      <c r="AH163" s="17" t="str">
        <f t="shared" si="3"/>
        <v>0-200</v>
      </c>
      <c r="AI163" s="17" t="str">
        <f t="shared" si="4"/>
        <v>0-20</v>
      </c>
    </row>
    <row r="164" ht="15.75" customHeight="1">
      <c r="A164" s="13">
        <f>HYPERLINK("https://app.hubspot.com/contacts/8748051/record/0-3/45116551543", 45116551543)</f>
        <v>45116551543</v>
      </c>
      <c r="B164" s="14" t="s">
        <v>674</v>
      </c>
      <c r="C164" s="14" t="s">
        <v>37</v>
      </c>
      <c r="D164" s="15">
        <v>6000.0</v>
      </c>
      <c r="E164" s="14" t="s">
        <v>124</v>
      </c>
      <c r="F164" s="14" t="s">
        <v>51</v>
      </c>
      <c r="G164" s="16">
        <v>45929.70880787037</v>
      </c>
      <c r="H164" s="16">
        <v>46163.02245370371</v>
      </c>
      <c r="I164" s="14" t="s">
        <v>39</v>
      </c>
      <c r="J164" s="14" t="s">
        <v>40</v>
      </c>
      <c r="K164" s="14" t="s">
        <v>41</v>
      </c>
      <c r="L164" s="14" t="s">
        <v>42</v>
      </c>
      <c r="M164" s="14" t="s">
        <v>43</v>
      </c>
      <c r="N164" s="17"/>
      <c r="O164" s="17"/>
      <c r="P164" s="14"/>
      <c r="Q164" s="14" t="s">
        <v>125</v>
      </c>
      <c r="R164" s="13">
        <f>HYPERLINK("https://app.hubspot.com/contacts/8748051/record/0-2/40573152920", 40573152920)</f>
        <v>40573152920</v>
      </c>
      <c r="S164" s="14" t="s">
        <v>675</v>
      </c>
      <c r="T164" s="18" t="s">
        <v>676</v>
      </c>
      <c r="U164" s="14"/>
      <c r="V164" s="15"/>
      <c r="W164" s="19">
        <v>65.0</v>
      </c>
      <c r="X164" s="19">
        <v>12.0</v>
      </c>
      <c r="Y164" s="20"/>
      <c r="Z164" s="20"/>
      <c r="AA164" s="21"/>
      <c r="AB164" s="21"/>
      <c r="AC164" s="20"/>
      <c r="AD164" s="21"/>
      <c r="AE164" s="20"/>
      <c r="AF164" s="17" t="str">
        <f t="shared" si="1"/>
        <v>New Logo</v>
      </c>
      <c r="AG164" s="17" t="str">
        <f t="shared" si="2"/>
        <v>Lead</v>
      </c>
      <c r="AH164" s="17" t="str">
        <f t="shared" si="3"/>
        <v>0-200</v>
      </c>
      <c r="AI164" s="17" t="str">
        <f t="shared" si="4"/>
        <v>0-20</v>
      </c>
    </row>
    <row r="165" ht="15.75" customHeight="1">
      <c r="A165" s="13">
        <f>HYPERLINK("https://app.hubspot.com/contacts/8748051/record/0-3/44850969100", 44850969100)</f>
        <v>44850969100</v>
      </c>
      <c r="B165" s="14" t="s">
        <v>677</v>
      </c>
      <c r="C165" s="14" t="s">
        <v>49</v>
      </c>
      <c r="D165" s="15">
        <v>100000.0</v>
      </c>
      <c r="E165" s="14" t="s">
        <v>124</v>
      </c>
      <c r="F165" s="14"/>
      <c r="G165" s="16">
        <v>45929.67018518518</v>
      </c>
      <c r="H165" s="16">
        <v>46109.67017361111</v>
      </c>
      <c r="I165" s="14" t="s">
        <v>39</v>
      </c>
      <c r="J165" s="14" t="s">
        <v>52</v>
      </c>
      <c r="K165" s="14" t="s">
        <v>59</v>
      </c>
      <c r="L165" s="14" t="s">
        <v>60</v>
      </c>
      <c r="M165" s="14" t="s">
        <v>43</v>
      </c>
      <c r="N165" s="14"/>
      <c r="O165" s="17"/>
      <c r="P165" s="14"/>
      <c r="Q165" s="14" t="s">
        <v>236</v>
      </c>
      <c r="R165" s="13">
        <f>HYPERLINK("https://app.hubspot.com/contacts/8748051/record/0-2/30002652001", 30002652001)</f>
        <v>30002652001</v>
      </c>
      <c r="S165" s="14" t="s">
        <v>678</v>
      </c>
      <c r="T165" s="18" t="s">
        <v>679</v>
      </c>
      <c r="U165" s="14" t="s">
        <v>46</v>
      </c>
      <c r="V165" s="15"/>
      <c r="W165" s="19">
        <v>2582.0</v>
      </c>
      <c r="X165" s="19">
        <v>622.0</v>
      </c>
      <c r="Y165" s="20" t="s">
        <v>78</v>
      </c>
      <c r="Z165" s="20"/>
      <c r="AA165" s="21"/>
      <c r="AB165" s="21"/>
      <c r="AC165" s="20"/>
      <c r="AD165" s="21"/>
      <c r="AE165" s="21"/>
      <c r="AF165" s="17" t="str">
        <f t="shared" si="1"/>
        <v>New Logo</v>
      </c>
      <c r="AG165" s="17" t="str">
        <f t="shared" si="2"/>
        <v>Lead</v>
      </c>
      <c r="AH165" s="17" t="str">
        <f t="shared" si="3"/>
        <v>1001-5000</v>
      </c>
      <c r="AI165" s="17" t="str">
        <f t="shared" si="4"/>
        <v>500+</v>
      </c>
    </row>
    <row r="166" ht="15.75" customHeight="1">
      <c r="A166" s="13">
        <f>HYPERLINK("https://app.hubspot.com/contacts/8748051/record/0-3/44887299372", 44887299372)</f>
        <v>44887299372</v>
      </c>
      <c r="B166" s="14" t="s">
        <v>680</v>
      </c>
      <c r="C166" s="14" t="s">
        <v>145</v>
      </c>
      <c r="D166" s="15">
        <v>100000.0</v>
      </c>
      <c r="E166" s="14" t="s">
        <v>118</v>
      </c>
      <c r="F166" s="14"/>
      <c r="G166" s="16">
        <v>45929.65537037037</v>
      </c>
      <c r="H166" s="16">
        <v>46109.6553587963</v>
      </c>
      <c r="I166" s="14" t="s">
        <v>39</v>
      </c>
      <c r="J166" s="14" t="s">
        <v>52</v>
      </c>
      <c r="K166" s="14" t="s">
        <v>59</v>
      </c>
      <c r="L166" s="14" t="s">
        <v>60</v>
      </c>
      <c r="M166" s="14" t="s">
        <v>43</v>
      </c>
      <c r="N166" s="14"/>
      <c r="O166" s="17"/>
      <c r="P166" s="14" t="s">
        <v>232</v>
      </c>
      <c r="Q166" s="14"/>
      <c r="R166" s="13">
        <f>HYPERLINK("https://app.hubspot.com/contacts/8748051/record/0-2/8022642712", 8022642712)</f>
        <v>8022642712</v>
      </c>
      <c r="S166" s="14" t="s">
        <v>681</v>
      </c>
      <c r="T166" s="18" t="s">
        <v>682</v>
      </c>
      <c r="U166" s="14" t="s">
        <v>46</v>
      </c>
      <c r="V166" s="15"/>
      <c r="W166" s="19">
        <v>1798.0</v>
      </c>
      <c r="X166" s="19">
        <v>199.0</v>
      </c>
      <c r="Y166" s="20" t="s">
        <v>545</v>
      </c>
      <c r="Z166" s="20"/>
      <c r="AA166" s="20"/>
      <c r="AB166" s="21"/>
      <c r="AC166" s="20"/>
      <c r="AD166" s="21"/>
      <c r="AE166" s="20"/>
      <c r="AF166" s="17" t="str">
        <f t="shared" si="1"/>
        <v>New Logo</v>
      </c>
      <c r="AG166" s="17" t="str">
        <f t="shared" si="2"/>
        <v>Lead</v>
      </c>
      <c r="AH166" s="17" t="str">
        <f t="shared" si="3"/>
        <v>1001-5000</v>
      </c>
      <c r="AI166" s="17" t="str">
        <f t="shared" si="4"/>
        <v>101-500</v>
      </c>
    </row>
    <row r="167" ht="15.75" customHeight="1">
      <c r="A167" s="13">
        <f>HYPERLINK("https://app.hubspot.com/contacts/8748051/record/0-3/44844133543", 44844133543)</f>
        <v>44844133543</v>
      </c>
      <c r="B167" s="14" t="s">
        <v>683</v>
      </c>
      <c r="C167" s="14" t="s">
        <v>37</v>
      </c>
      <c r="D167" s="15">
        <v>0.0</v>
      </c>
      <c r="E167" s="14" t="s">
        <v>118</v>
      </c>
      <c r="F167" s="14"/>
      <c r="G167" s="16">
        <v>45929.41315972222</v>
      </c>
      <c r="H167" s="16">
        <v>46109.413148148145</v>
      </c>
      <c r="I167" s="14" t="s">
        <v>39</v>
      </c>
      <c r="J167" s="14" t="s">
        <v>40</v>
      </c>
      <c r="K167" s="14" t="s">
        <v>41</v>
      </c>
      <c r="L167" s="14" t="s">
        <v>42</v>
      </c>
      <c r="M167" s="14" t="s">
        <v>43</v>
      </c>
      <c r="N167" s="14"/>
      <c r="O167" s="17"/>
      <c r="P167" s="14" t="s">
        <v>260</v>
      </c>
      <c r="Q167" s="14"/>
      <c r="R167" s="13">
        <f>HYPERLINK("https://app.hubspot.com/contacts/8748051/record/0-2/40360210872", 40360210872)</f>
        <v>40360210872</v>
      </c>
      <c r="S167" s="14" t="s">
        <v>684</v>
      </c>
      <c r="T167" s="18" t="s">
        <v>685</v>
      </c>
      <c r="U167" s="14"/>
      <c r="V167" s="15"/>
      <c r="W167" s="19"/>
      <c r="X167" s="19"/>
      <c r="Y167" s="20"/>
      <c r="Z167" s="20"/>
      <c r="AA167" s="21"/>
      <c r="AB167" s="21"/>
      <c r="AC167" s="20"/>
      <c r="AD167" s="21"/>
      <c r="AE167" s="20"/>
      <c r="AF167" s="17" t="str">
        <f t="shared" si="1"/>
        <v>New Logo</v>
      </c>
      <c r="AG167" s="17" t="str">
        <f t="shared" si="2"/>
        <v>Lead</v>
      </c>
      <c r="AH167" s="17" t="str">
        <f t="shared" si="3"/>
        <v>0-200</v>
      </c>
      <c r="AI167" s="17" t="str">
        <f t="shared" si="4"/>
        <v>0-20</v>
      </c>
    </row>
    <row r="168" ht="15.75" customHeight="1">
      <c r="A168" s="13">
        <f>HYPERLINK("https://app.hubspot.com/contacts/8748051/record/0-3/44596389670", 44596389670)</f>
        <v>44596389670</v>
      </c>
      <c r="B168" s="14" t="s">
        <v>686</v>
      </c>
      <c r="C168" s="14" t="s">
        <v>37</v>
      </c>
      <c r="D168" s="15">
        <v>17000.0</v>
      </c>
      <c r="E168" s="14" t="s">
        <v>118</v>
      </c>
      <c r="F168" s="14"/>
      <c r="G168" s="16">
        <v>45926.60569444444</v>
      </c>
      <c r="H168" s="16">
        <v>46106.60561342593</v>
      </c>
      <c r="I168" s="14" t="s">
        <v>39</v>
      </c>
      <c r="J168" s="14" t="s">
        <v>40</v>
      </c>
      <c r="K168" s="14" t="s">
        <v>59</v>
      </c>
      <c r="L168" s="14" t="s">
        <v>60</v>
      </c>
      <c r="M168" s="14"/>
      <c r="N168" s="14"/>
      <c r="O168" s="17"/>
      <c r="P168" s="14" t="s">
        <v>260</v>
      </c>
      <c r="Q168" s="14"/>
      <c r="R168" s="13">
        <f>HYPERLINK("https://app.hubspot.com/contacts/8748051/record/0-2/23562653782", 23562653782)</f>
        <v>23562653782</v>
      </c>
      <c r="S168" s="14" t="s">
        <v>687</v>
      </c>
      <c r="T168" s="18" t="s">
        <v>688</v>
      </c>
      <c r="U168" s="14" t="s">
        <v>46</v>
      </c>
      <c r="V168" s="15"/>
      <c r="W168" s="19">
        <v>149.0</v>
      </c>
      <c r="X168" s="19">
        <v>34.0</v>
      </c>
      <c r="Y168" s="20" t="s">
        <v>70</v>
      </c>
      <c r="Z168" s="20"/>
      <c r="AA168" s="21"/>
      <c r="AB168" s="21"/>
      <c r="AC168" s="20"/>
      <c r="AD168" s="21"/>
      <c r="AE168" s="20"/>
      <c r="AF168" s="17" t="str">
        <f t="shared" si="1"/>
        <v>New Logo</v>
      </c>
      <c r="AG168" s="17" t="str">
        <f t="shared" si="2"/>
        <v>Lead</v>
      </c>
      <c r="AH168" s="17" t="str">
        <f t="shared" si="3"/>
        <v>0-200</v>
      </c>
      <c r="AI168" s="17" t="str">
        <f t="shared" si="4"/>
        <v>21-50</v>
      </c>
    </row>
    <row r="169" ht="15.75" customHeight="1">
      <c r="A169" s="13">
        <f>HYPERLINK("https://app.hubspot.com/contacts/8748051/record/0-3/44562261598", 44562261598)</f>
        <v>44562261598</v>
      </c>
      <c r="B169" s="14" t="s">
        <v>689</v>
      </c>
      <c r="C169" s="14" t="s">
        <v>37</v>
      </c>
      <c r="D169" s="15">
        <v>60000.0</v>
      </c>
      <c r="E169" s="14" t="s">
        <v>89</v>
      </c>
      <c r="F169" s="14" t="s">
        <v>51</v>
      </c>
      <c r="G169" s="16">
        <v>45925.543541666666</v>
      </c>
      <c r="H169" s="16">
        <v>45966.910208333335</v>
      </c>
      <c r="I169" s="14" t="s">
        <v>39</v>
      </c>
      <c r="J169" s="14" t="s">
        <v>52</v>
      </c>
      <c r="K169" s="14" t="s">
        <v>41</v>
      </c>
      <c r="L169" s="14" t="s">
        <v>42</v>
      </c>
      <c r="M169" s="14" t="s">
        <v>43</v>
      </c>
      <c r="N169" s="14" t="s">
        <v>690</v>
      </c>
      <c r="O169" s="14"/>
      <c r="P169" s="14"/>
      <c r="Q169" s="14"/>
      <c r="R169" s="13">
        <f>HYPERLINK("https://app.hubspot.com/contacts/8748051/record/0-2/9186997870", 9186997870)</f>
        <v>9186997870</v>
      </c>
      <c r="S169" s="14" t="s">
        <v>691</v>
      </c>
      <c r="T169" s="18" t="s">
        <v>692</v>
      </c>
      <c r="U169" s="14" t="s">
        <v>93</v>
      </c>
      <c r="V169" s="15">
        <v>60000.0</v>
      </c>
      <c r="W169" s="19">
        <v>5630.0</v>
      </c>
      <c r="X169" s="19">
        <v>154.0</v>
      </c>
      <c r="Y169" s="20"/>
      <c r="Z169" s="20" t="s">
        <v>205</v>
      </c>
      <c r="AA169" s="21"/>
      <c r="AB169" s="21"/>
      <c r="AC169" s="20" t="s">
        <v>311</v>
      </c>
      <c r="AD169" s="21"/>
      <c r="AE169" s="20" t="s">
        <v>528</v>
      </c>
      <c r="AF169" s="17" t="str">
        <f t="shared" si="1"/>
        <v>New Logo</v>
      </c>
      <c r="AG169" s="17" t="str">
        <f t="shared" si="2"/>
        <v>Customer</v>
      </c>
      <c r="AH169" s="17" t="str">
        <f t="shared" si="3"/>
        <v>5000-10000</v>
      </c>
      <c r="AI169" s="17" t="str">
        <f t="shared" si="4"/>
        <v>101-500</v>
      </c>
    </row>
    <row r="170" ht="15.75" customHeight="1">
      <c r="A170" s="13">
        <f>HYPERLINK("https://app.hubspot.com/contacts/8748051/record/0-3/44491129487", 44491129487)</f>
        <v>44491129487</v>
      </c>
      <c r="B170" s="14" t="s">
        <v>693</v>
      </c>
      <c r="C170" s="14" t="s">
        <v>37</v>
      </c>
      <c r="D170" s="15">
        <v>4500.0</v>
      </c>
      <c r="E170" s="14" t="s">
        <v>118</v>
      </c>
      <c r="F170" s="14"/>
      <c r="G170" s="16">
        <v>45925.54038194445</v>
      </c>
      <c r="H170" s="16">
        <v>46106.53991898148</v>
      </c>
      <c r="I170" s="14" t="s">
        <v>39</v>
      </c>
      <c r="J170" s="14" t="s">
        <v>40</v>
      </c>
      <c r="K170" s="14" t="s">
        <v>41</v>
      </c>
      <c r="L170" s="14" t="s">
        <v>42</v>
      </c>
      <c r="M170" s="14" t="s">
        <v>98</v>
      </c>
      <c r="N170" s="17"/>
      <c r="O170" s="14"/>
      <c r="P170" s="14" t="s">
        <v>232</v>
      </c>
      <c r="Q170" s="14"/>
      <c r="R170" s="13">
        <f>HYPERLINK("https://app.hubspot.com/contacts/8748051/record/0-2/38710820780", 38710820780)</f>
        <v>38710820780</v>
      </c>
      <c r="S170" s="14" t="s">
        <v>694</v>
      </c>
      <c r="T170" s="18" t="s">
        <v>695</v>
      </c>
      <c r="U170" s="14"/>
      <c r="V170" s="22"/>
      <c r="W170" s="19">
        <v>204.0</v>
      </c>
      <c r="X170" s="19">
        <v>9.0</v>
      </c>
      <c r="Y170" s="20"/>
      <c r="Z170" s="21"/>
      <c r="AA170" s="21"/>
      <c r="AB170" s="21"/>
      <c r="AC170" s="21"/>
      <c r="AD170" s="21"/>
      <c r="AE170" s="21"/>
      <c r="AF170" s="17" t="str">
        <f t="shared" si="1"/>
        <v>New Logo</v>
      </c>
      <c r="AG170" s="17" t="str">
        <f t="shared" si="2"/>
        <v>Lead</v>
      </c>
      <c r="AH170" s="17" t="str">
        <f t="shared" si="3"/>
        <v>201-500</v>
      </c>
      <c r="AI170" s="17" t="str">
        <f t="shared" si="4"/>
        <v>0-20</v>
      </c>
    </row>
    <row r="171" ht="15.75" customHeight="1">
      <c r="A171" s="13">
        <f>HYPERLINK("https://app.hubspot.com/contacts/8748051/record/0-3/44501843533", 44501843533)</f>
        <v>44501843533</v>
      </c>
      <c r="B171" s="14" t="s">
        <v>696</v>
      </c>
      <c r="C171" s="14" t="s">
        <v>37</v>
      </c>
      <c r="D171" s="15">
        <v>0.0</v>
      </c>
      <c r="E171" s="14" t="s">
        <v>124</v>
      </c>
      <c r="F171" s="14" t="s">
        <v>51</v>
      </c>
      <c r="G171" s="16">
        <v>45925.42481481482</v>
      </c>
      <c r="H171" s="16">
        <v>46171.01934027778</v>
      </c>
      <c r="I171" s="14" t="s">
        <v>39</v>
      </c>
      <c r="J171" s="14" t="s">
        <v>40</v>
      </c>
      <c r="K171" s="14" t="s">
        <v>41</v>
      </c>
      <c r="L171" s="14" t="s">
        <v>42</v>
      </c>
      <c r="M171" s="14" t="s">
        <v>43</v>
      </c>
      <c r="N171" s="17"/>
      <c r="O171" s="14"/>
      <c r="P171" s="14"/>
      <c r="Q171" s="14" t="s">
        <v>141</v>
      </c>
      <c r="R171" s="13">
        <f>HYPERLINK("https://app.hubspot.com/contacts/8748051/record/0-2/40210067266", 40210067266)</f>
        <v>40210067266</v>
      </c>
      <c r="S171" s="14" t="s">
        <v>697</v>
      </c>
      <c r="T171" s="18" t="s">
        <v>698</v>
      </c>
      <c r="U171" s="14"/>
      <c r="V171" s="22"/>
      <c r="W171" s="19">
        <v>59.0</v>
      </c>
      <c r="X171" s="19">
        <v>0.0</v>
      </c>
      <c r="Y171" s="20"/>
      <c r="Z171" s="21"/>
      <c r="AA171" s="21"/>
      <c r="AB171" s="21"/>
      <c r="AC171" s="21"/>
      <c r="AD171" s="21"/>
      <c r="AE171" s="21"/>
      <c r="AF171" s="17" t="str">
        <f t="shared" si="1"/>
        <v>New Logo</v>
      </c>
      <c r="AG171" s="17" t="str">
        <f t="shared" si="2"/>
        <v>Lead</v>
      </c>
      <c r="AH171" s="17" t="str">
        <f t="shared" si="3"/>
        <v>0-200</v>
      </c>
      <c r="AI171" s="17" t="str">
        <f t="shared" si="4"/>
        <v>0-20</v>
      </c>
    </row>
    <row r="172" ht="15.75" customHeight="1">
      <c r="A172" s="13">
        <f>HYPERLINK("https://app.hubspot.com/contacts/8748051/record/0-3/44388175650", 44388175650)</f>
        <v>44388175650</v>
      </c>
      <c r="B172" s="14" t="s">
        <v>699</v>
      </c>
      <c r="C172" s="14" t="s">
        <v>49</v>
      </c>
      <c r="D172" s="15">
        <v>15000.0</v>
      </c>
      <c r="E172" s="14" t="s">
        <v>124</v>
      </c>
      <c r="F172" s="14" t="s">
        <v>51</v>
      </c>
      <c r="G172" s="16">
        <v>45924.58269675926</v>
      </c>
      <c r="H172" s="16">
        <v>46171.49936342592</v>
      </c>
      <c r="I172" s="14" t="s">
        <v>39</v>
      </c>
      <c r="J172" s="14" t="s">
        <v>40</v>
      </c>
      <c r="K172" s="14" t="s">
        <v>41</v>
      </c>
      <c r="L172" s="14" t="s">
        <v>42</v>
      </c>
      <c r="M172" s="14" t="s">
        <v>43</v>
      </c>
      <c r="N172" s="17"/>
      <c r="O172" s="17"/>
      <c r="P172" s="14"/>
      <c r="Q172" s="14" t="s">
        <v>236</v>
      </c>
      <c r="R172" s="13">
        <f>HYPERLINK("https://app.hubspot.com/contacts/8748051/record/0-2/40061927186", 40061927186)</f>
        <v>40061927186</v>
      </c>
      <c r="S172" s="14" t="s">
        <v>700</v>
      </c>
      <c r="T172" s="18" t="s">
        <v>701</v>
      </c>
      <c r="U172" s="14"/>
      <c r="V172" s="22"/>
      <c r="W172" s="19">
        <v>36.0</v>
      </c>
      <c r="X172" s="19">
        <v>3.0</v>
      </c>
      <c r="Y172" s="20"/>
      <c r="Z172" s="21"/>
      <c r="AA172" s="21"/>
      <c r="AB172" s="21"/>
      <c r="AC172" s="21"/>
      <c r="AD172" s="21"/>
      <c r="AE172" s="21"/>
      <c r="AF172" s="17" t="str">
        <f t="shared" si="1"/>
        <v>New Logo</v>
      </c>
      <c r="AG172" s="17" t="str">
        <f t="shared" si="2"/>
        <v>Lead</v>
      </c>
      <c r="AH172" s="17" t="str">
        <f t="shared" si="3"/>
        <v>0-200</v>
      </c>
      <c r="AI172" s="17" t="str">
        <f t="shared" si="4"/>
        <v>0-20</v>
      </c>
    </row>
    <row r="173" ht="15.75" customHeight="1">
      <c r="A173" s="13">
        <f>HYPERLINK("https://app.hubspot.com/contacts/8748051/record/0-3/44433420045", 44433420045)</f>
        <v>44433420045</v>
      </c>
      <c r="B173" s="14" t="s">
        <v>702</v>
      </c>
      <c r="C173" s="14" t="s">
        <v>37</v>
      </c>
      <c r="D173" s="15">
        <v>0.0</v>
      </c>
      <c r="E173" s="14" t="s">
        <v>118</v>
      </c>
      <c r="F173" s="14"/>
      <c r="G173" s="16">
        <v>45924.40980324074</v>
      </c>
      <c r="H173" s="16">
        <v>46104.409791666665</v>
      </c>
      <c r="I173" s="14" t="s">
        <v>39</v>
      </c>
      <c r="J173" s="14" t="s">
        <v>40</v>
      </c>
      <c r="K173" s="14" t="s">
        <v>41</v>
      </c>
      <c r="L173" s="14" t="s">
        <v>42</v>
      </c>
      <c r="M173" s="14" t="s">
        <v>98</v>
      </c>
      <c r="N173" s="14"/>
      <c r="O173" s="14"/>
      <c r="P173" s="14" t="s">
        <v>260</v>
      </c>
      <c r="Q173" s="14"/>
      <c r="R173" s="13">
        <f>HYPERLINK("https://app.hubspot.com/contacts/8748051/record/0-2/40070535474", 40070535474)</f>
        <v>40070535474</v>
      </c>
      <c r="S173" s="14" t="s">
        <v>703</v>
      </c>
      <c r="T173" s="18" t="s">
        <v>704</v>
      </c>
      <c r="U173" s="14"/>
      <c r="V173" s="15"/>
      <c r="W173" s="19">
        <v>22.0</v>
      </c>
      <c r="X173" s="19">
        <v>0.0</v>
      </c>
      <c r="Y173" s="20"/>
      <c r="Z173" s="20"/>
      <c r="AA173" s="21"/>
      <c r="AB173" s="21"/>
      <c r="AC173" s="20"/>
      <c r="AD173" s="21"/>
      <c r="AE173" s="20"/>
      <c r="AF173" s="17" t="str">
        <f t="shared" si="1"/>
        <v>New Logo</v>
      </c>
      <c r="AG173" s="17" t="str">
        <f t="shared" si="2"/>
        <v>Lead</v>
      </c>
      <c r="AH173" s="17" t="str">
        <f t="shared" si="3"/>
        <v>0-200</v>
      </c>
      <c r="AI173" s="17" t="str">
        <f t="shared" si="4"/>
        <v>0-20</v>
      </c>
    </row>
    <row r="174" ht="15.75" customHeight="1">
      <c r="A174" s="13">
        <f>HYPERLINK("https://app.hubspot.com/contacts/8748051/record/0-3/44390795530", 44390795530)</f>
        <v>44390795530</v>
      </c>
      <c r="B174" s="14" t="s">
        <v>705</v>
      </c>
      <c r="C174" s="14" t="s">
        <v>49</v>
      </c>
      <c r="D174" s="15">
        <v>10000.0</v>
      </c>
      <c r="E174" s="14" t="s">
        <v>124</v>
      </c>
      <c r="F174" s="14" t="s">
        <v>51</v>
      </c>
      <c r="G174" s="16">
        <v>45923.71488425926</v>
      </c>
      <c r="H174" s="16">
        <v>46234.40694444445</v>
      </c>
      <c r="I174" s="14" t="s">
        <v>39</v>
      </c>
      <c r="J174" s="14" t="s">
        <v>52</v>
      </c>
      <c r="K174" s="14" t="s">
        <v>41</v>
      </c>
      <c r="L174" s="14" t="s">
        <v>42</v>
      </c>
      <c r="M174" s="14" t="s">
        <v>43</v>
      </c>
      <c r="N174" s="14"/>
      <c r="O174" s="14"/>
      <c r="P174" s="17"/>
      <c r="Q174" s="14" t="s">
        <v>141</v>
      </c>
      <c r="R174" s="13">
        <f>HYPERLINK("https://app.hubspot.com/contacts/8748051/record/0-2/18354000145", 18354000145)</f>
        <v>18354000145</v>
      </c>
      <c r="S174" s="14" t="s">
        <v>706</v>
      </c>
      <c r="T174" s="18" t="s">
        <v>707</v>
      </c>
      <c r="U174" s="14" t="s">
        <v>46</v>
      </c>
      <c r="V174" s="15"/>
      <c r="W174" s="19">
        <v>1345.0</v>
      </c>
      <c r="X174" s="19">
        <v>267.0</v>
      </c>
      <c r="Y174" s="20" t="s">
        <v>63</v>
      </c>
      <c r="Z174" s="20"/>
      <c r="AA174" s="21"/>
      <c r="AB174" s="21"/>
      <c r="AC174" s="20"/>
      <c r="AD174" s="21"/>
      <c r="AE174" s="20"/>
      <c r="AF174" s="17" t="str">
        <f t="shared" si="1"/>
        <v>New Logo</v>
      </c>
      <c r="AG174" s="17" t="str">
        <f t="shared" si="2"/>
        <v>Lead</v>
      </c>
      <c r="AH174" s="17" t="str">
        <f t="shared" si="3"/>
        <v>1001-5000</v>
      </c>
      <c r="AI174" s="17" t="str">
        <f t="shared" si="4"/>
        <v>101-500</v>
      </c>
    </row>
    <row r="175" ht="15.75" customHeight="1">
      <c r="A175" s="13">
        <f>HYPERLINK("https://app.hubspot.com/contacts/8748051/record/0-3/44214900879", 44214900879)</f>
        <v>44214900879</v>
      </c>
      <c r="B175" s="14" t="s">
        <v>708</v>
      </c>
      <c r="C175" s="14" t="s">
        <v>156</v>
      </c>
      <c r="D175" s="15">
        <v>-4040.0</v>
      </c>
      <c r="E175" s="14" t="s">
        <v>89</v>
      </c>
      <c r="F175" s="14"/>
      <c r="G175" s="16">
        <v>45923.67364583333</v>
      </c>
      <c r="H175" s="16">
        <v>45923.6737037037</v>
      </c>
      <c r="I175" s="14" t="s">
        <v>39</v>
      </c>
      <c r="J175" s="14" t="s">
        <v>157</v>
      </c>
      <c r="K175" s="14" t="s">
        <v>158</v>
      </c>
      <c r="L175" s="14" t="s">
        <v>159</v>
      </c>
      <c r="M175" s="14" t="s">
        <v>43</v>
      </c>
      <c r="N175" s="14" t="s">
        <v>709</v>
      </c>
      <c r="O175" s="14"/>
      <c r="P175" s="17"/>
      <c r="Q175" s="14"/>
      <c r="R175" s="13">
        <f>HYPERLINK("https://app.hubspot.com/contacts/8748051/record/0-2/7480085895", 7480085895)</f>
        <v>7480085895</v>
      </c>
      <c r="S175" s="14" t="s">
        <v>710</v>
      </c>
      <c r="T175" s="18" t="s">
        <v>711</v>
      </c>
      <c r="U175" s="14" t="s">
        <v>93</v>
      </c>
      <c r="V175" s="15">
        <v>40000.0</v>
      </c>
      <c r="W175" s="19">
        <v>535.0</v>
      </c>
      <c r="X175" s="19">
        <v>184.0</v>
      </c>
      <c r="Y175" s="20"/>
      <c r="Z175" s="20" t="s">
        <v>205</v>
      </c>
      <c r="AA175" s="21"/>
      <c r="AB175" s="21"/>
      <c r="AC175" s="20" t="s">
        <v>712</v>
      </c>
      <c r="AD175" s="21"/>
      <c r="AE175" s="20" t="s">
        <v>528</v>
      </c>
      <c r="AF175" s="17" t="str">
        <f t="shared" si="1"/>
        <v>Downsell</v>
      </c>
      <c r="AG175" s="17" t="str">
        <f t="shared" si="2"/>
        <v>Customer</v>
      </c>
      <c r="AH175" s="17" t="str">
        <f t="shared" si="3"/>
        <v>501-1000</v>
      </c>
      <c r="AI175" s="17" t="str">
        <f t="shared" si="4"/>
        <v>101-500</v>
      </c>
    </row>
    <row r="176" ht="15.75" customHeight="1">
      <c r="A176" s="13">
        <f>HYPERLINK("https://app.hubspot.com/contacts/8748051/record/0-3/44081467184", 44081467184)</f>
        <v>44081467184</v>
      </c>
      <c r="B176" s="14" t="s">
        <v>713</v>
      </c>
      <c r="C176" s="14" t="s">
        <v>145</v>
      </c>
      <c r="D176" s="15">
        <v>25000.0</v>
      </c>
      <c r="E176" s="14" t="s">
        <v>118</v>
      </c>
      <c r="F176" s="14"/>
      <c r="G176" s="16">
        <v>45923.429375</v>
      </c>
      <c r="H176" s="16">
        <v>46203.76136574074</v>
      </c>
      <c r="I176" s="14" t="s">
        <v>39</v>
      </c>
      <c r="J176" s="14" t="s">
        <v>40</v>
      </c>
      <c r="K176" s="14" t="s">
        <v>158</v>
      </c>
      <c r="L176" s="14" t="s">
        <v>714</v>
      </c>
      <c r="M176" s="14" t="s">
        <v>43</v>
      </c>
      <c r="N176" s="14"/>
      <c r="O176" s="14"/>
      <c r="P176" s="14" t="s">
        <v>260</v>
      </c>
      <c r="Q176" s="14"/>
      <c r="R176" s="13">
        <f>HYPERLINK("https://app.hubspot.com/contacts/8748051/record/0-2/7923321272", 7923321272)</f>
        <v>7923321272</v>
      </c>
      <c r="S176" s="14" t="s">
        <v>715</v>
      </c>
      <c r="T176" s="18" t="s">
        <v>716</v>
      </c>
      <c r="U176" s="14" t="s">
        <v>46</v>
      </c>
      <c r="V176" s="15"/>
      <c r="W176" s="19">
        <v>397.0</v>
      </c>
      <c r="X176" s="19">
        <v>70.0</v>
      </c>
      <c r="Y176" s="20" t="s">
        <v>70</v>
      </c>
      <c r="Z176" s="20"/>
      <c r="AA176" s="21"/>
      <c r="AB176" s="21"/>
      <c r="AC176" s="20"/>
      <c r="AD176" s="21"/>
      <c r="AE176" s="20"/>
      <c r="AF176" s="17" t="str">
        <f t="shared" si="1"/>
        <v>New Logo</v>
      </c>
      <c r="AG176" s="17" t="str">
        <f t="shared" si="2"/>
        <v>Lead</v>
      </c>
      <c r="AH176" s="17" t="str">
        <f t="shared" si="3"/>
        <v>201-500</v>
      </c>
      <c r="AI176" s="17" t="str">
        <f t="shared" si="4"/>
        <v>51-100</v>
      </c>
    </row>
    <row r="177" ht="15.75" customHeight="1">
      <c r="A177" s="13">
        <f>HYPERLINK("https://app.hubspot.com/contacts/8748051/record/0-3/43954719919", 43954719919)</f>
        <v>43954719919</v>
      </c>
      <c r="B177" s="14" t="s">
        <v>717</v>
      </c>
      <c r="C177" s="14" t="s">
        <v>49</v>
      </c>
      <c r="D177" s="15">
        <v>10000.0</v>
      </c>
      <c r="E177" s="14" t="s">
        <v>124</v>
      </c>
      <c r="F177" s="14" t="s">
        <v>51</v>
      </c>
      <c r="G177" s="16">
        <v>45919.58673611111</v>
      </c>
      <c r="H177" s="16">
        <v>46112.736909722225</v>
      </c>
      <c r="I177" s="14" t="s">
        <v>39</v>
      </c>
      <c r="J177" s="14" t="s">
        <v>40</v>
      </c>
      <c r="K177" s="14" t="s">
        <v>59</v>
      </c>
      <c r="L177" s="14" t="s">
        <v>60</v>
      </c>
      <c r="M177" s="14" t="s">
        <v>43</v>
      </c>
      <c r="N177" s="17"/>
      <c r="O177" s="14"/>
      <c r="P177" s="14"/>
      <c r="Q177" s="14" t="s">
        <v>718</v>
      </c>
      <c r="R177" s="13">
        <f>HYPERLINK("https://app.hubspot.com/contacts/8748051/record/0-2/39657241132", 39657241132)</f>
        <v>39657241132</v>
      </c>
      <c r="S177" s="14" t="s">
        <v>719</v>
      </c>
      <c r="T177" s="18" t="s">
        <v>720</v>
      </c>
      <c r="U177" s="14"/>
      <c r="V177" s="22"/>
      <c r="W177" s="19">
        <v>61.0</v>
      </c>
      <c r="X177" s="19">
        <v>5.0</v>
      </c>
      <c r="Y177" s="20"/>
      <c r="Z177" s="21"/>
      <c r="AA177" s="21"/>
      <c r="AB177" s="21"/>
      <c r="AC177" s="21"/>
      <c r="AD177" s="21"/>
      <c r="AE177" s="21"/>
      <c r="AF177" s="17" t="str">
        <f t="shared" si="1"/>
        <v>New Logo</v>
      </c>
      <c r="AG177" s="17" t="str">
        <f t="shared" si="2"/>
        <v>Lead</v>
      </c>
      <c r="AH177" s="17" t="str">
        <f t="shared" si="3"/>
        <v>0-200</v>
      </c>
      <c r="AI177" s="17" t="str">
        <f t="shared" si="4"/>
        <v>0-20</v>
      </c>
    </row>
    <row r="178" ht="15.75" customHeight="1">
      <c r="A178" s="13">
        <f>HYPERLINK("https://app.hubspot.com/contacts/8748051/record/0-3/43937008921", 43937008921)</f>
        <v>43937008921</v>
      </c>
      <c r="B178" s="14" t="s">
        <v>721</v>
      </c>
      <c r="C178" s="14" t="s">
        <v>145</v>
      </c>
      <c r="D178" s="15">
        <v>24500.0</v>
      </c>
      <c r="E178" s="14" t="s">
        <v>146</v>
      </c>
      <c r="F178" s="14" t="s">
        <v>51</v>
      </c>
      <c r="G178" s="16">
        <v>45919.492476851854</v>
      </c>
      <c r="H178" s="16">
        <v>45944.75082175926</v>
      </c>
      <c r="I178" s="14" t="s">
        <v>39</v>
      </c>
      <c r="J178" s="14" t="s">
        <v>40</v>
      </c>
      <c r="K178" s="14" t="s">
        <v>41</v>
      </c>
      <c r="L178" s="14" t="s">
        <v>42</v>
      </c>
      <c r="M178" s="14" t="s">
        <v>43</v>
      </c>
      <c r="N178" s="17"/>
      <c r="O178" s="14" t="s">
        <v>722</v>
      </c>
      <c r="P178" s="14"/>
      <c r="Q178" s="14"/>
      <c r="R178" s="13">
        <f>HYPERLINK("https://app.hubspot.com/contacts/8748051/record/0-2/6816616587", 6816616587)</f>
        <v>6816616587</v>
      </c>
      <c r="S178" s="14" t="s">
        <v>723</v>
      </c>
      <c r="T178" s="18" t="s">
        <v>724</v>
      </c>
      <c r="U178" s="14" t="s">
        <v>46</v>
      </c>
      <c r="V178" s="15"/>
      <c r="W178" s="19">
        <v>392.0</v>
      </c>
      <c r="X178" s="19">
        <v>46.0</v>
      </c>
      <c r="Y178" s="20" t="s">
        <v>70</v>
      </c>
      <c r="Z178" s="20"/>
      <c r="AA178" s="21"/>
      <c r="AB178" s="21"/>
      <c r="AC178" s="20"/>
      <c r="AD178" s="21"/>
      <c r="AE178" s="20"/>
      <c r="AF178" s="17" t="str">
        <f t="shared" si="1"/>
        <v>New Logo</v>
      </c>
      <c r="AG178" s="17" t="str">
        <f t="shared" si="2"/>
        <v>Lead</v>
      </c>
      <c r="AH178" s="17" t="str">
        <f t="shared" si="3"/>
        <v>201-500</v>
      </c>
      <c r="AI178" s="17" t="str">
        <f t="shared" si="4"/>
        <v>21-50</v>
      </c>
    </row>
    <row r="179" ht="15.75" customHeight="1">
      <c r="A179" s="13">
        <f>HYPERLINK("https://app.hubspot.com/contacts/8748051/record/0-3/43942831434", 43942831434)</f>
        <v>43942831434</v>
      </c>
      <c r="B179" s="14" t="s">
        <v>725</v>
      </c>
      <c r="C179" s="14" t="s">
        <v>49</v>
      </c>
      <c r="D179" s="15">
        <v>25000.0</v>
      </c>
      <c r="E179" s="14" t="s">
        <v>124</v>
      </c>
      <c r="F179" s="14" t="s">
        <v>51</v>
      </c>
      <c r="G179" s="16">
        <v>45919.46797453704</v>
      </c>
      <c r="H179" s="16">
        <v>46022.64098379629</v>
      </c>
      <c r="I179" s="14" t="s">
        <v>39</v>
      </c>
      <c r="J179" s="14" t="s">
        <v>40</v>
      </c>
      <c r="K179" s="14" t="s">
        <v>41</v>
      </c>
      <c r="L179" s="14" t="s">
        <v>42</v>
      </c>
      <c r="M179" s="14" t="s">
        <v>43</v>
      </c>
      <c r="N179" s="14"/>
      <c r="O179" s="17"/>
      <c r="P179" s="14"/>
      <c r="Q179" s="14" t="s">
        <v>502</v>
      </c>
      <c r="R179" s="13">
        <f>HYPERLINK("https://app.hubspot.com/contacts/8748051/record/0-2/39658829577", 39658829577)</f>
        <v>39658829577</v>
      </c>
      <c r="S179" s="14" t="s">
        <v>726</v>
      </c>
      <c r="T179" s="18" t="s">
        <v>727</v>
      </c>
      <c r="U179" s="14" t="s">
        <v>46</v>
      </c>
      <c r="V179" s="15"/>
      <c r="W179" s="19">
        <v>118.0</v>
      </c>
      <c r="X179" s="19">
        <v>28.0</v>
      </c>
      <c r="Y179" s="20" t="s">
        <v>104</v>
      </c>
      <c r="Z179" s="20"/>
      <c r="AA179" s="21"/>
      <c r="AB179" s="21"/>
      <c r="AC179" s="20"/>
      <c r="AD179" s="21"/>
      <c r="AE179" s="20"/>
      <c r="AF179" s="17" t="str">
        <f t="shared" si="1"/>
        <v>New Logo</v>
      </c>
      <c r="AG179" s="17" t="str">
        <f t="shared" si="2"/>
        <v>Lead</v>
      </c>
      <c r="AH179" s="17" t="str">
        <f t="shared" si="3"/>
        <v>0-200</v>
      </c>
      <c r="AI179" s="17" t="str">
        <f t="shared" si="4"/>
        <v>21-50</v>
      </c>
    </row>
    <row r="180" ht="15.75" customHeight="1">
      <c r="A180" s="13">
        <f>HYPERLINK("https://app.hubspot.com/contacts/8748051/record/0-3/43906616068", 43906616068)</f>
        <v>43906616068</v>
      </c>
      <c r="B180" s="14" t="s">
        <v>728</v>
      </c>
      <c r="C180" s="14" t="s">
        <v>37</v>
      </c>
      <c r="D180" s="15">
        <v>9500.0</v>
      </c>
      <c r="E180" s="14" t="s">
        <v>124</v>
      </c>
      <c r="F180" s="14" t="s">
        <v>51</v>
      </c>
      <c r="G180" s="16">
        <v>45919.36798611111</v>
      </c>
      <c r="H180" s="16">
        <v>46199.01925925926</v>
      </c>
      <c r="I180" s="14" t="s">
        <v>39</v>
      </c>
      <c r="J180" s="14" t="s">
        <v>40</v>
      </c>
      <c r="K180" s="14" t="s">
        <v>41</v>
      </c>
      <c r="L180" s="14" t="s">
        <v>42</v>
      </c>
      <c r="M180" s="14" t="s">
        <v>43</v>
      </c>
      <c r="N180" s="14"/>
      <c r="O180" s="14"/>
      <c r="P180" s="17"/>
      <c r="Q180" s="14" t="s">
        <v>125</v>
      </c>
      <c r="R180" s="13">
        <f>HYPERLINK("https://app.hubspot.com/contacts/8748051/record/0-2/39616251562", 39616251562)</f>
        <v>39616251562</v>
      </c>
      <c r="S180" s="14" t="s">
        <v>729</v>
      </c>
      <c r="T180" s="18" t="s">
        <v>730</v>
      </c>
      <c r="U180" s="14"/>
      <c r="V180" s="15"/>
      <c r="W180" s="19">
        <v>211.0</v>
      </c>
      <c r="X180" s="19">
        <v>19.0</v>
      </c>
      <c r="Y180" s="20"/>
      <c r="Z180" s="20"/>
      <c r="AA180" s="20"/>
      <c r="AB180" s="21"/>
      <c r="AC180" s="20"/>
      <c r="AD180" s="21"/>
      <c r="AE180" s="20"/>
      <c r="AF180" s="17" t="str">
        <f t="shared" si="1"/>
        <v>New Logo</v>
      </c>
      <c r="AG180" s="17" t="str">
        <f t="shared" si="2"/>
        <v>Lead</v>
      </c>
      <c r="AH180" s="17" t="str">
        <f t="shared" si="3"/>
        <v>201-500</v>
      </c>
      <c r="AI180" s="17" t="str">
        <f t="shared" si="4"/>
        <v>0-20</v>
      </c>
    </row>
    <row r="181" ht="15.75" customHeight="1">
      <c r="A181" s="13">
        <f>HYPERLINK("https://app.hubspot.com/contacts/8748051/record/0-3/43908394920", 43908394920)</f>
        <v>43908394920</v>
      </c>
      <c r="B181" s="14" t="s">
        <v>731</v>
      </c>
      <c r="C181" s="14" t="s">
        <v>49</v>
      </c>
      <c r="D181" s="15">
        <v>50000.0</v>
      </c>
      <c r="E181" s="14" t="s">
        <v>124</v>
      </c>
      <c r="F181" s="14" t="s">
        <v>51</v>
      </c>
      <c r="G181" s="16">
        <v>45918.832974537036</v>
      </c>
      <c r="H181" s="16">
        <v>46098.832962962966</v>
      </c>
      <c r="I181" s="14" t="s">
        <v>39</v>
      </c>
      <c r="J181" s="14" t="s">
        <v>52</v>
      </c>
      <c r="K181" s="14" t="s">
        <v>41</v>
      </c>
      <c r="L181" s="14" t="s">
        <v>42</v>
      </c>
      <c r="M181" s="14" t="s">
        <v>43</v>
      </c>
      <c r="N181" s="14"/>
      <c r="O181" s="14"/>
      <c r="P181" s="14"/>
      <c r="Q181" s="14" t="s">
        <v>141</v>
      </c>
      <c r="R181" s="13">
        <f>HYPERLINK("https://app.hubspot.com/contacts/8748051/record/0-2/44493161811", 44493161811)</f>
        <v>44493161811</v>
      </c>
      <c r="S181" s="14" t="s">
        <v>732</v>
      </c>
      <c r="T181" s="18" t="s">
        <v>733</v>
      </c>
      <c r="U181" s="14" t="s">
        <v>46</v>
      </c>
      <c r="V181" s="15"/>
      <c r="W181" s="19">
        <v>853.0</v>
      </c>
      <c r="X181" s="19">
        <v>125.0</v>
      </c>
      <c r="Y181" s="20" t="s">
        <v>104</v>
      </c>
      <c r="Z181" s="20"/>
      <c r="AA181" s="21"/>
      <c r="AB181" s="21"/>
      <c r="AC181" s="20"/>
      <c r="AD181" s="21"/>
      <c r="AE181" s="20"/>
      <c r="AF181" s="17" t="str">
        <f t="shared" si="1"/>
        <v>New Logo</v>
      </c>
      <c r="AG181" s="17" t="str">
        <f t="shared" si="2"/>
        <v>Lead</v>
      </c>
      <c r="AH181" s="17" t="str">
        <f t="shared" si="3"/>
        <v>501-1000</v>
      </c>
      <c r="AI181" s="17" t="str">
        <f t="shared" si="4"/>
        <v>101-500</v>
      </c>
    </row>
    <row r="182" ht="15.75" customHeight="1">
      <c r="A182" s="13">
        <f>HYPERLINK("https://app.hubspot.com/contacts/8748051/record/0-3/43873250321", 43873250321)</f>
        <v>43873250321</v>
      </c>
      <c r="B182" s="14" t="s">
        <v>734</v>
      </c>
      <c r="C182" s="14" t="s">
        <v>145</v>
      </c>
      <c r="D182" s="15">
        <v>50000.0</v>
      </c>
      <c r="E182" s="14" t="s">
        <v>146</v>
      </c>
      <c r="F182" s="14" t="s">
        <v>51</v>
      </c>
      <c r="G182" s="16">
        <v>45918.380162037036</v>
      </c>
      <c r="H182" s="16">
        <v>46034.9390625</v>
      </c>
      <c r="I182" s="14" t="s">
        <v>39</v>
      </c>
      <c r="J182" s="14" t="s">
        <v>40</v>
      </c>
      <c r="K182" s="14" t="s">
        <v>41</v>
      </c>
      <c r="L182" s="14" t="s">
        <v>42</v>
      </c>
      <c r="M182" s="14" t="s">
        <v>98</v>
      </c>
      <c r="N182" s="14"/>
      <c r="O182" s="14" t="s">
        <v>735</v>
      </c>
      <c r="P182" s="14"/>
      <c r="Q182" s="14"/>
      <c r="R182" s="13">
        <f>HYPERLINK("https://app.hubspot.com/contacts/8748051/record/0-2/8816890039", 8816890039)</f>
        <v>8816890039</v>
      </c>
      <c r="S182" s="14" t="s">
        <v>736</v>
      </c>
      <c r="T182" s="18" t="s">
        <v>737</v>
      </c>
      <c r="U182" s="14" t="s">
        <v>46</v>
      </c>
      <c r="V182" s="15"/>
      <c r="W182" s="19">
        <v>1482.0</v>
      </c>
      <c r="X182" s="19">
        <v>252.0</v>
      </c>
      <c r="Y182" s="20"/>
      <c r="Z182" s="20"/>
      <c r="AA182" s="20"/>
      <c r="AB182" s="21"/>
      <c r="AC182" s="20"/>
      <c r="AD182" s="21"/>
      <c r="AE182" s="20"/>
      <c r="AF182" s="17" t="str">
        <f t="shared" si="1"/>
        <v>New Logo</v>
      </c>
      <c r="AG182" s="17" t="str">
        <f t="shared" si="2"/>
        <v>Lead</v>
      </c>
      <c r="AH182" s="17" t="str">
        <f t="shared" si="3"/>
        <v>1001-5000</v>
      </c>
      <c r="AI182" s="17" t="str">
        <f t="shared" si="4"/>
        <v>101-500</v>
      </c>
    </row>
    <row r="183" ht="15.75" customHeight="1">
      <c r="A183" s="13">
        <f>HYPERLINK("https://app.hubspot.com/contacts/8748051/record/0-3/43880094046", 43880094046)</f>
        <v>43880094046</v>
      </c>
      <c r="B183" s="14" t="s">
        <v>738</v>
      </c>
      <c r="C183" s="14" t="s">
        <v>37</v>
      </c>
      <c r="D183" s="15">
        <v>50000.0</v>
      </c>
      <c r="E183" s="14" t="s">
        <v>146</v>
      </c>
      <c r="F183" s="14" t="s">
        <v>51</v>
      </c>
      <c r="G183" s="16">
        <v>45917.72699074074</v>
      </c>
      <c r="H183" s="16">
        <v>46008.41978009259</v>
      </c>
      <c r="I183" s="14" t="s">
        <v>39</v>
      </c>
      <c r="J183" s="14" t="s">
        <v>40</v>
      </c>
      <c r="K183" s="14" t="s">
        <v>158</v>
      </c>
      <c r="L183" s="14" t="s">
        <v>448</v>
      </c>
      <c r="M183" s="14" t="s">
        <v>43</v>
      </c>
      <c r="N183" s="14"/>
      <c r="O183" s="14" t="s">
        <v>739</v>
      </c>
      <c r="P183" s="14"/>
      <c r="Q183" s="14"/>
      <c r="R183" s="13">
        <f>HYPERLINK("https://app.hubspot.com/contacts/8748051/record/0-2/7595517443", 7595517443)</f>
        <v>7595517443</v>
      </c>
      <c r="S183" s="14" t="s">
        <v>740</v>
      </c>
      <c r="T183" s="18" t="s">
        <v>741</v>
      </c>
      <c r="U183" s="14" t="s">
        <v>46</v>
      </c>
      <c r="V183" s="15"/>
      <c r="W183" s="19">
        <v>255.0</v>
      </c>
      <c r="X183" s="19">
        <v>50.0</v>
      </c>
      <c r="Y183" s="20" t="s">
        <v>104</v>
      </c>
      <c r="Z183" s="20"/>
      <c r="AA183" s="20"/>
      <c r="AB183" s="21"/>
      <c r="AC183" s="20"/>
      <c r="AD183" s="20"/>
      <c r="AE183" s="20"/>
      <c r="AF183" s="17" t="str">
        <f t="shared" si="1"/>
        <v>New Logo</v>
      </c>
      <c r="AG183" s="17" t="str">
        <f t="shared" si="2"/>
        <v>Lead</v>
      </c>
      <c r="AH183" s="17" t="str">
        <f t="shared" si="3"/>
        <v>201-500</v>
      </c>
      <c r="AI183" s="17" t="str">
        <f t="shared" si="4"/>
        <v>21-50</v>
      </c>
    </row>
    <row r="184" ht="15.75" customHeight="1">
      <c r="A184" s="13">
        <f>HYPERLINK("https://app.hubspot.com/contacts/8748051/record/0-3/43739968657", 43739968657)</f>
        <v>43739968657</v>
      </c>
      <c r="B184" s="14" t="s">
        <v>742</v>
      </c>
      <c r="C184" s="14" t="s">
        <v>37</v>
      </c>
      <c r="D184" s="15">
        <v>75000.0</v>
      </c>
      <c r="E184" s="14" t="s">
        <v>124</v>
      </c>
      <c r="F184" s="14" t="s">
        <v>51</v>
      </c>
      <c r="G184" s="16">
        <v>45917.60832175926</v>
      </c>
      <c r="H184" s="16">
        <v>46098.60710648148</v>
      </c>
      <c r="I184" s="14" t="s">
        <v>39</v>
      </c>
      <c r="J184" s="14" t="s">
        <v>52</v>
      </c>
      <c r="K184" s="14" t="s">
        <v>59</v>
      </c>
      <c r="L184" s="14" t="s">
        <v>714</v>
      </c>
      <c r="M184" s="14" t="s">
        <v>43</v>
      </c>
      <c r="N184" s="14"/>
      <c r="O184" s="14"/>
      <c r="P184" s="14"/>
      <c r="Q184" s="14" t="s">
        <v>141</v>
      </c>
      <c r="R184" s="13">
        <f>HYPERLINK("https://app.hubspot.com/contacts/8748051/record/0-2/9960253283", 9960253283)</f>
        <v>9960253283</v>
      </c>
      <c r="S184" s="14" t="s">
        <v>743</v>
      </c>
      <c r="T184" s="18" t="s">
        <v>744</v>
      </c>
      <c r="U184" s="14" t="s">
        <v>46</v>
      </c>
      <c r="V184" s="15"/>
      <c r="W184" s="19">
        <v>1496.0</v>
      </c>
      <c r="X184" s="19">
        <v>273.0</v>
      </c>
      <c r="Y184" s="20" t="s">
        <v>70</v>
      </c>
      <c r="Z184" s="20"/>
      <c r="AA184" s="20"/>
      <c r="AB184" s="21"/>
      <c r="AC184" s="20"/>
      <c r="AD184" s="20"/>
      <c r="AE184" s="20"/>
      <c r="AF184" s="17" t="str">
        <f t="shared" si="1"/>
        <v>New Logo</v>
      </c>
      <c r="AG184" s="17" t="str">
        <f t="shared" si="2"/>
        <v>Lead</v>
      </c>
      <c r="AH184" s="17" t="str">
        <f t="shared" si="3"/>
        <v>1001-5000</v>
      </c>
      <c r="AI184" s="17" t="str">
        <f t="shared" si="4"/>
        <v>101-500</v>
      </c>
    </row>
    <row r="185" ht="15.75" customHeight="1">
      <c r="A185" s="13">
        <f>HYPERLINK("https://app.hubspot.com/contacts/8748051/record/0-3/43853328764", 43853328764)</f>
        <v>43853328764</v>
      </c>
      <c r="B185" s="14" t="s">
        <v>745</v>
      </c>
      <c r="C185" s="14" t="s">
        <v>37</v>
      </c>
      <c r="D185" s="15">
        <v>14000.0</v>
      </c>
      <c r="E185" s="14" t="s">
        <v>118</v>
      </c>
      <c r="F185" s="14"/>
      <c r="G185" s="16">
        <v>45917.29623842592</v>
      </c>
      <c r="H185" s="16">
        <v>46097.296111111114</v>
      </c>
      <c r="I185" s="14" t="s">
        <v>39</v>
      </c>
      <c r="J185" s="14" t="s">
        <v>40</v>
      </c>
      <c r="K185" s="14" t="s">
        <v>41</v>
      </c>
      <c r="L185" s="14" t="s">
        <v>42</v>
      </c>
      <c r="M185" s="14" t="s">
        <v>98</v>
      </c>
      <c r="N185" s="14"/>
      <c r="O185" s="14"/>
      <c r="P185" s="14" t="s">
        <v>232</v>
      </c>
      <c r="Q185" s="14"/>
      <c r="R185" s="13">
        <f>HYPERLINK("https://app.hubspot.com/contacts/8748051/record/0-2/20925995561", 20925995561)</f>
        <v>20925995561</v>
      </c>
      <c r="S185" s="14" t="s">
        <v>746</v>
      </c>
      <c r="T185" s="18" t="s">
        <v>747</v>
      </c>
      <c r="U185" s="14" t="s">
        <v>46</v>
      </c>
      <c r="V185" s="15"/>
      <c r="W185" s="19">
        <v>172.0</v>
      </c>
      <c r="X185" s="19">
        <v>28.0</v>
      </c>
      <c r="Y185" s="20"/>
      <c r="Z185" s="20"/>
      <c r="AA185" s="21"/>
      <c r="AB185" s="21"/>
      <c r="AC185" s="20"/>
      <c r="AD185" s="21"/>
      <c r="AE185" s="21"/>
      <c r="AF185" s="17" t="str">
        <f t="shared" si="1"/>
        <v>New Logo</v>
      </c>
      <c r="AG185" s="17" t="str">
        <f t="shared" si="2"/>
        <v>Lead</v>
      </c>
      <c r="AH185" s="17" t="str">
        <f t="shared" si="3"/>
        <v>0-200</v>
      </c>
      <c r="AI185" s="17" t="str">
        <f t="shared" si="4"/>
        <v>21-50</v>
      </c>
    </row>
    <row r="186" ht="15.75" customHeight="1">
      <c r="A186" s="13">
        <f>HYPERLINK("https://app.hubspot.com/contacts/8748051/record/0-3/43719652211", 43719652211)</f>
        <v>43719652211</v>
      </c>
      <c r="B186" s="14" t="s">
        <v>748</v>
      </c>
      <c r="C186" s="14" t="s">
        <v>37</v>
      </c>
      <c r="D186" s="15">
        <v>21500.0</v>
      </c>
      <c r="E186" s="14" t="s">
        <v>118</v>
      </c>
      <c r="F186" s="14"/>
      <c r="G186" s="16">
        <v>45915.412766203706</v>
      </c>
      <c r="H186" s="16">
        <v>46095.41275462963</v>
      </c>
      <c r="I186" s="14" t="s">
        <v>39</v>
      </c>
      <c r="J186" s="14" t="s">
        <v>40</v>
      </c>
      <c r="K186" s="14" t="s">
        <v>41</v>
      </c>
      <c r="L186" s="14" t="s">
        <v>42</v>
      </c>
      <c r="M186" s="14"/>
      <c r="N186" s="14"/>
      <c r="O186" s="14"/>
      <c r="P186" s="14" t="s">
        <v>232</v>
      </c>
      <c r="Q186" s="14"/>
      <c r="R186" s="13">
        <f>HYPERLINK("https://app.hubspot.com/contacts/8748051/record/0-2/9238305910", 9238305910)</f>
        <v>9238305910</v>
      </c>
      <c r="S186" s="14" t="s">
        <v>749</v>
      </c>
      <c r="T186" s="18" t="s">
        <v>750</v>
      </c>
      <c r="U186" s="14" t="s">
        <v>46</v>
      </c>
      <c r="V186" s="15"/>
      <c r="W186" s="19">
        <v>544.0</v>
      </c>
      <c r="X186" s="19">
        <v>43.0</v>
      </c>
      <c r="Y186" s="20"/>
      <c r="Z186" s="20"/>
      <c r="AA186" s="21"/>
      <c r="AB186" s="21"/>
      <c r="AC186" s="20"/>
      <c r="AD186" s="21"/>
      <c r="AE186" s="20"/>
      <c r="AF186" s="17" t="str">
        <f t="shared" si="1"/>
        <v>New Logo</v>
      </c>
      <c r="AG186" s="17" t="str">
        <f t="shared" si="2"/>
        <v>Lead</v>
      </c>
      <c r="AH186" s="17" t="str">
        <f t="shared" si="3"/>
        <v>501-1000</v>
      </c>
      <c r="AI186" s="17" t="str">
        <f t="shared" si="4"/>
        <v>21-50</v>
      </c>
    </row>
    <row r="187" ht="15.75" customHeight="1">
      <c r="A187" s="13">
        <f>HYPERLINK("https://app.hubspot.com/contacts/8748051/record/0-3/43653756229", 43653756229)</f>
        <v>43653756229</v>
      </c>
      <c r="B187" s="14" t="s">
        <v>751</v>
      </c>
      <c r="C187" s="14" t="s">
        <v>37</v>
      </c>
      <c r="D187" s="15">
        <v>22000.0</v>
      </c>
      <c r="E187" s="14" t="s">
        <v>124</v>
      </c>
      <c r="F187" s="14" t="s">
        <v>51</v>
      </c>
      <c r="G187" s="16">
        <v>45912.40677083333</v>
      </c>
      <c r="H187" s="16">
        <v>46108.6691087963</v>
      </c>
      <c r="I187" s="14" t="s">
        <v>39</v>
      </c>
      <c r="J187" s="14" t="s">
        <v>40</v>
      </c>
      <c r="K187" s="14" t="s">
        <v>41</v>
      </c>
      <c r="L187" s="14" t="s">
        <v>42</v>
      </c>
      <c r="M187" s="14" t="s">
        <v>43</v>
      </c>
      <c r="N187" s="14"/>
      <c r="O187" s="17"/>
      <c r="P187" s="14"/>
      <c r="Q187" s="14" t="s">
        <v>195</v>
      </c>
      <c r="R187" s="13">
        <f>HYPERLINK("https://app.hubspot.com/contacts/8748051/record/0-2/9238323308", 9238323308)</f>
        <v>9238323308</v>
      </c>
      <c r="S187" s="14" t="s">
        <v>752</v>
      </c>
      <c r="T187" s="18" t="s">
        <v>753</v>
      </c>
      <c r="U187" s="14"/>
      <c r="V187" s="15"/>
      <c r="W187" s="19">
        <v>310.0</v>
      </c>
      <c r="X187" s="19">
        <v>44.0</v>
      </c>
      <c r="Y187" s="20"/>
      <c r="Z187" s="20"/>
      <c r="AA187" s="20"/>
      <c r="AB187" s="21"/>
      <c r="AC187" s="20"/>
      <c r="AD187" s="21"/>
      <c r="AE187" s="20"/>
      <c r="AF187" s="17" t="str">
        <f t="shared" si="1"/>
        <v>New Logo</v>
      </c>
      <c r="AG187" s="17" t="str">
        <f t="shared" si="2"/>
        <v>Lead</v>
      </c>
      <c r="AH187" s="17" t="str">
        <f t="shared" si="3"/>
        <v>201-500</v>
      </c>
      <c r="AI187" s="17" t="str">
        <f t="shared" si="4"/>
        <v>21-50</v>
      </c>
    </row>
    <row r="188" ht="15.75" customHeight="1">
      <c r="A188" s="13">
        <f>HYPERLINK("https://app.hubspot.com/contacts/8748051/record/0-3/43640783017", 43640783017)</f>
        <v>43640783017</v>
      </c>
      <c r="B188" s="14" t="s">
        <v>754</v>
      </c>
      <c r="C188" s="14" t="s">
        <v>49</v>
      </c>
      <c r="D188" s="15">
        <v>10000.0</v>
      </c>
      <c r="E188" s="14" t="s">
        <v>89</v>
      </c>
      <c r="F188" s="14" t="s">
        <v>51</v>
      </c>
      <c r="G188" s="16">
        <v>45911.989803240744</v>
      </c>
      <c r="H188" s="16">
        <v>46001.646516203706</v>
      </c>
      <c r="I188" s="14" t="s">
        <v>39</v>
      </c>
      <c r="J188" s="14" t="s">
        <v>40</v>
      </c>
      <c r="K188" s="14" t="s">
        <v>41</v>
      </c>
      <c r="L188" s="14" t="s">
        <v>42</v>
      </c>
      <c r="M188" s="14" t="s">
        <v>43</v>
      </c>
      <c r="N188" s="14" t="s">
        <v>755</v>
      </c>
      <c r="O188" s="17"/>
      <c r="P188" s="14"/>
      <c r="Q188" s="14"/>
      <c r="R188" s="13">
        <f>HYPERLINK("https://app.hubspot.com/contacts/8748051/record/0-2/39354506623", 39354506623)</f>
        <v>39354506623</v>
      </c>
      <c r="S188" s="14" t="s">
        <v>756</v>
      </c>
      <c r="T188" s="18" t="s">
        <v>757</v>
      </c>
      <c r="U188" s="14" t="s">
        <v>93</v>
      </c>
      <c r="V188" s="15">
        <v>10000.0</v>
      </c>
      <c r="W188" s="19">
        <v>104.0</v>
      </c>
      <c r="X188" s="19">
        <v>16.0</v>
      </c>
      <c r="Y188" s="20"/>
      <c r="Z188" s="20" t="s">
        <v>348</v>
      </c>
      <c r="AA188" s="20"/>
      <c r="AB188" s="21"/>
      <c r="AC188" s="20" t="s">
        <v>758</v>
      </c>
      <c r="AD188" s="21"/>
      <c r="AE188" s="20" t="s">
        <v>585</v>
      </c>
      <c r="AF188" s="17" t="str">
        <f t="shared" si="1"/>
        <v>New Logo</v>
      </c>
      <c r="AG188" s="17" t="str">
        <f t="shared" si="2"/>
        <v>Customer</v>
      </c>
      <c r="AH188" s="17" t="str">
        <f t="shared" si="3"/>
        <v>0-200</v>
      </c>
      <c r="AI188" s="17" t="str">
        <f t="shared" si="4"/>
        <v>0-20</v>
      </c>
    </row>
    <row r="189" ht="15.75" customHeight="1">
      <c r="A189" s="13">
        <f>HYPERLINK("https://app.hubspot.com/contacts/8748051/record/0-3/43504578083", 43504578083)</f>
        <v>43504578083</v>
      </c>
      <c r="B189" s="14" t="s">
        <v>759</v>
      </c>
      <c r="C189" s="14" t="s">
        <v>37</v>
      </c>
      <c r="D189" s="15">
        <v>17500.0</v>
      </c>
      <c r="E189" s="14" t="s">
        <v>89</v>
      </c>
      <c r="F189" s="14" t="s">
        <v>51</v>
      </c>
      <c r="G189" s="16">
        <v>45908.657743055555</v>
      </c>
      <c r="H189" s="16">
        <v>46022.372349537036</v>
      </c>
      <c r="I189" s="14" t="s">
        <v>39</v>
      </c>
      <c r="J189" s="14" t="s">
        <v>40</v>
      </c>
      <c r="K189" s="14" t="s">
        <v>41</v>
      </c>
      <c r="L189" s="14" t="s">
        <v>42</v>
      </c>
      <c r="M189" s="14" t="s">
        <v>43</v>
      </c>
      <c r="N189" s="14" t="s">
        <v>760</v>
      </c>
      <c r="O189" s="17"/>
      <c r="P189" s="14"/>
      <c r="Q189" s="14"/>
      <c r="R189" s="13">
        <f>HYPERLINK("https://app.hubspot.com/contacts/8748051/record/0-2/42295909988", 42295909988)</f>
        <v>42295909988</v>
      </c>
      <c r="S189" s="14" t="s">
        <v>761</v>
      </c>
      <c r="T189" s="18" t="s">
        <v>762</v>
      </c>
      <c r="U189" s="14" t="s">
        <v>93</v>
      </c>
      <c r="V189" s="15">
        <v>17500.0</v>
      </c>
      <c r="W189" s="19">
        <v>15.0</v>
      </c>
      <c r="X189" s="19">
        <v>5.0</v>
      </c>
      <c r="Y189" s="20"/>
      <c r="Z189" s="20" t="s">
        <v>184</v>
      </c>
      <c r="AA189" s="20" t="s">
        <v>163</v>
      </c>
      <c r="AB189" s="20"/>
      <c r="AC189" s="20" t="s">
        <v>461</v>
      </c>
      <c r="AD189" s="20"/>
      <c r="AE189" s="20" t="s">
        <v>763</v>
      </c>
      <c r="AF189" s="17" t="str">
        <f t="shared" si="1"/>
        <v>New Logo</v>
      </c>
      <c r="AG189" s="17" t="str">
        <f t="shared" si="2"/>
        <v>Customer</v>
      </c>
      <c r="AH189" s="17" t="str">
        <f t="shared" si="3"/>
        <v>0-200</v>
      </c>
      <c r="AI189" s="17" t="str">
        <f t="shared" si="4"/>
        <v>0-20</v>
      </c>
    </row>
    <row r="190" ht="15.75" customHeight="1">
      <c r="A190" s="13">
        <f>HYPERLINK("https://app.hubspot.com/contacts/8748051/record/0-3/43407730434", 43407730434)</f>
        <v>43407730434</v>
      </c>
      <c r="B190" s="14" t="s">
        <v>764</v>
      </c>
      <c r="C190" s="14" t="s">
        <v>49</v>
      </c>
      <c r="D190" s="15">
        <v>20000.0</v>
      </c>
      <c r="E190" s="14" t="s">
        <v>124</v>
      </c>
      <c r="F190" s="14" t="s">
        <v>51</v>
      </c>
      <c r="G190" s="16">
        <v>45906.33416666667</v>
      </c>
      <c r="H190" s="16">
        <v>46112.60980324074</v>
      </c>
      <c r="I190" s="14" t="s">
        <v>39</v>
      </c>
      <c r="J190" s="14" t="s">
        <v>40</v>
      </c>
      <c r="K190" s="14" t="s">
        <v>41</v>
      </c>
      <c r="L190" s="14" t="s">
        <v>42</v>
      </c>
      <c r="M190" s="14" t="s">
        <v>43</v>
      </c>
      <c r="N190" s="14"/>
      <c r="O190" s="14"/>
      <c r="P190" s="14"/>
      <c r="Q190" s="14" t="s">
        <v>244</v>
      </c>
      <c r="R190" s="13">
        <f>HYPERLINK("https://app.hubspot.com/contacts/8748051/record/0-2/10198110024", 10198110024)</f>
        <v>10198110024</v>
      </c>
      <c r="S190" s="14" t="s">
        <v>765</v>
      </c>
      <c r="T190" s="18" t="s">
        <v>766</v>
      </c>
      <c r="U190" s="14" t="s">
        <v>46</v>
      </c>
      <c r="V190" s="15"/>
      <c r="W190" s="19">
        <v>771.0</v>
      </c>
      <c r="X190" s="19">
        <v>52.0</v>
      </c>
      <c r="Y190" s="20" t="s">
        <v>122</v>
      </c>
      <c r="Z190" s="20"/>
      <c r="AA190" s="20"/>
      <c r="AB190" s="20"/>
      <c r="AC190" s="20"/>
      <c r="AD190" s="21"/>
      <c r="AE190" s="20"/>
      <c r="AF190" s="17" t="str">
        <f t="shared" si="1"/>
        <v>New Logo</v>
      </c>
      <c r="AG190" s="17" t="str">
        <f t="shared" si="2"/>
        <v>Lead</v>
      </c>
      <c r="AH190" s="17" t="str">
        <f t="shared" si="3"/>
        <v>501-1000</v>
      </c>
      <c r="AI190" s="17" t="str">
        <f t="shared" si="4"/>
        <v>51-100</v>
      </c>
    </row>
    <row r="191" ht="15.75" customHeight="1">
      <c r="A191" s="13">
        <f>HYPERLINK("https://app.hubspot.com/contacts/8748051/record/0-3/43374235921", 43374235921)</f>
        <v>43374235921</v>
      </c>
      <c r="B191" s="14" t="s">
        <v>767</v>
      </c>
      <c r="C191" s="14" t="s">
        <v>145</v>
      </c>
      <c r="D191" s="15">
        <v>0.0</v>
      </c>
      <c r="E191" s="14" t="s">
        <v>118</v>
      </c>
      <c r="F191" s="14"/>
      <c r="G191" s="16">
        <v>45905.63079861111</v>
      </c>
      <c r="H191" s="16">
        <v>46087.008935185186</v>
      </c>
      <c r="I191" s="14" t="s">
        <v>39</v>
      </c>
      <c r="J191" s="14" t="s">
        <v>40</v>
      </c>
      <c r="K191" s="14" t="s">
        <v>41</v>
      </c>
      <c r="L191" s="14" t="s">
        <v>42</v>
      </c>
      <c r="M191" s="14" t="s">
        <v>43</v>
      </c>
      <c r="N191" s="14"/>
      <c r="O191" s="14"/>
      <c r="P191" s="14" t="s">
        <v>260</v>
      </c>
      <c r="Q191" s="14"/>
      <c r="R191" s="13">
        <f>HYPERLINK("https://app.hubspot.com/contacts/8748051/record/0-2/9238380169", 9238380169)</f>
        <v>9238380169</v>
      </c>
      <c r="S191" s="14" t="s">
        <v>768</v>
      </c>
      <c r="T191" s="18" t="s">
        <v>769</v>
      </c>
      <c r="U191" s="14"/>
      <c r="V191" s="15"/>
      <c r="W191" s="19">
        <v>8733.0</v>
      </c>
      <c r="X191" s="19"/>
      <c r="Y191" s="20"/>
      <c r="Z191" s="20"/>
      <c r="AA191" s="21"/>
      <c r="AB191" s="21"/>
      <c r="AC191" s="20"/>
      <c r="AD191" s="21"/>
      <c r="AE191" s="20"/>
      <c r="AF191" s="17" t="str">
        <f t="shared" si="1"/>
        <v>New Logo</v>
      </c>
      <c r="AG191" s="17" t="str">
        <f t="shared" si="2"/>
        <v>Lead</v>
      </c>
      <c r="AH191" s="17" t="str">
        <f t="shared" si="3"/>
        <v>5000-10000</v>
      </c>
      <c r="AI191" s="17" t="str">
        <f t="shared" si="4"/>
        <v>0-20</v>
      </c>
    </row>
    <row r="192" ht="15.75" customHeight="1">
      <c r="A192" s="13">
        <f>HYPERLINK("https://app.hubspot.com/contacts/8748051/record/0-3/43418805132", 43418805132)</f>
        <v>43418805132</v>
      </c>
      <c r="B192" s="14" t="s">
        <v>770</v>
      </c>
      <c r="C192" s="14" t="s">
        <v>49</v>
      </c>
      <c r="D192" s="15">
        <v>22500.0</v>
      </c>
      <c r="E192" s="14" t="s">
        <v>124</v>
      </c>
      <c r="F192" s="14" t="s">
        <v>51</v>
      </c>
      <c r="G192" s="16">
        <v>45905.60994212963</v>
      </c>
      <c r="H192" s="16">
        <v>46112.52306712963</v>
      </c>
      <c r="I192" s="14" t="s">
        <v>39</v>
      </c>
      <c r="J192" s="14" t="s">
        <v>40</v>
      </c>
      <c r="K192" s="14" t="s">
        <v>41</v>
      </c>
      <c r="L192" s="14" t="s">
        <v>42</v>
      </c>
      <c r="M192" s="14" t="s">
        <v>43</v>
      </c>
      <c r="N192" s="17"/>
      <c r="O192" s="14"/>
      <c r="P192" s="14"/>
      <c r="Q192" s="14" t="s">
        <v>771</v>
      </c>
      <c r="R192" s="13">
        <f>HYPERLINK("https://app.hubspot.com/contacts/8748051/record/0-2/39182619295", 39182619295)</f>
        <v>39182619295</v>
      </c>
      <c r="S192" s="14" t="s">
        <v>772</v>
      </c>
      <c r="T192" s="18" t="s">
        <v>773</v>
      </c>
      <c r="U192" s="14"/>
      <c r="V192" s="15"/>
      <c r="W192" s="19"/>
      <c r="X192" s="19"/>
      <c r="Y192" s="20"/>
      <c r="Z192" s="20"/>
      <c r="AA192" s="21"/>
      <c r="AB192" s="21"/>
      <c r="AC192" s="20"/>
      <c r="AD192" s="21"/>
      <c r="AE192" s="20"/>
      <c r="AF192" s="17" t="str">
        <f t="shared" si="1"/>
        <v>New Logo</v>
      </c>
      <c r="AG192" s="17" t="str">
        <f t="shared" si="2"/>
        <v>Lead</v>
      </c>
      <c r="AH192" s="17" t="str">
        <f t="shared" si="3"/>
        <v>0-200</v>
      </c>
      <c r="AI192" s="17" t="str">
        <f t="shared" si="4"/>
        <v>0-20</v>
      </c>
    </row>
    <row r="193" ht="15.75" customHeight="1">
      <c r="A193" s="13">
        <f>HYPERLINK("https://app.hubspot.com/contacts/8748051/record/0-3/43418107562", 43418107562)</f>
        <v>43418107562</v>
      </c>
      <c r="B193" s="14" t="s">
        <v>774</v>
      </c>
      <c r="C193" s="14" t="s">
        <v>49</v>
      </c>
      <c r="D193" s="15">
        <v>90000.0</v>
      </c>
      <c r="E193" s="14" t="s">
        <v>146</v>
      </c>
      <c r="F193" s="14" t="s">
        <v>51</v>
      </c>
      <c r="G193" s="16">
        <v>45905.56079861111</v>
      </c>
      <c r="H193" s="16">
        <v>45926.3875</v>
      </c>
      <c r="I193" s="14" t="s">
        <v>39</v>
      </c>
      <c r="J193" s="14" t="s">
        <v>52</v>
      </c>
      <c r="K193" s="14" t="s">
        <v>59</v>
      </c>
      <c r="L193" s="14" t="s">
        <v>60</v>
      </c>
      <c r="M193" s="14" t="s">
        <v>43</v>
      </c>
      <c r="N193" s="17"/>
      <c r="O193" s="14" t="s">
        <v>775</v>
      </c>
      <c r="P193" s="14"/>
      <c r="Q193" s="14"/>
      <c r="R193" s="13">
        <f>HYPERLINK("https://app.hubspot.com/contacts/8748051/record/0-2/6816550565", 6816550565)</f>
        <v>6816550565</v>
      </c>
      <c r="S193" s="14" t="s">
        <v>776</v>
      </c>
      <c r="T193" s="18" t="s">
        <v>777</v>
      </c>
      <c r="U193" s="14" t="s">
        <v>46</v>
      </c>
      <c r="V193" s="15"/>
      <c r="W193" s="19">
        <v>834.0</v>
      </c>
      <c r="X193" s="19">
        <v>181.0</v>
      </c>
      <c r="Y193" s="20" t="s">
        <v>63</v>
      </c>
      <c r="Z193" s="20"/>
      <c r="AA193" s="21"/>
      <c r="AB193" s="21"/>
      <c r="AC193" s="20"/>
      <c r="AD193" s="21"/>
      <c r="AE193" s="20"/>
      <c r="AF193" s="17" t="str">
        <f t="shared" si="1"/>
        <v>New Logo</v>
      </c>
      <c r="AG193" s="17" t="str">
        <f t="shared" si="2"/>
        <v>Lead</v>
      </c>
      <c r="AH193" s="17" t="str">
        <f t="shared" si="3"/>
        <v>501-1000</v>
      </c>
      <c r="AI193" s="17" t="str">
        <f t="shared" si="4"/>
        <v>101-500</v>
      </c>
    </row>
    <row r="194" ht="15.75" customHeight="1">
      <c r="A194" s="13">
        <f>HYPERLINK("https://app.hubspot.com/contacts/8748051/record/0-3/43827765270", 43827765270)</f>
        <v>43827765270</v>
      </c>
      <c r="B194" s="14" t="s">
        <v>778</v>
      </c>
      <c r="C194" s="14" t="s">
        <v>37</v>
      </c>
      <c r="D194" s="15">
        <v>25000.0</v>
      </c>
      <c r="E194" s="14" t="s">
        <v>124</v>
      </c>
      <c r="F194" s="14" t="s">
        <v>51</v>
      </c>
      <c r="G194" s="16">
        <v>45904.38995370371</v>
      </c>
      <c r="H194" s="16">
        <v>46108.66850694444</v>
      </c>
      <c r="I194" s="14" t="s">
        <v>39</v>
      </c>
      <c r="J194" s="14" t="s">
        <v>40</v>
      </c>
      <c r="K194" s="14" t="s">
        <v>41</v>
      </c>
      <c r="L194" s="14" t="s">
        <v>42</v>
      </c>
      <c r="M194" s="14" t="s">
        <v>72</v>
      </c>
      <c r="N194" s="17"/>
      <c r="O194" s="17"/>
      <c r="P194" s="14"/>
      <c r="Q194" s="14" t="s">
        <v>195</v>
      </c>
      <c r="R194" s="13">
        <f>HYPERLINK("https://app.hubspot.com/contacts/8748051/record/0-2/19176728720", 19176728720)</f>
        <v>19176728720</v>
      </c>
      <c r="S194" s="14" t="s">
        <v>779</v>
      </c>
      <c r="T194" s="18" t="s">
        <v>780</v>
      </c>
      <c r="U194" s="14" t="s">
        <v>46</v>
      </c>
      <c r="V194" s="15"/>
      <c r="W194" s="19">
        <v>183.0</v>
      </c>
      <c r="X194" s="19">
        <v>16.0</v>
      </c>
      <c r="Y194" s="20" t="s">
        <v>104</v>
      </c>
      <c r="Z194" s="20"/>
      <c r="AA194" s="21"/>
      <c r="AB194" s="21"/>
      <c r="AC194" s="20"/>
      <c r="AD194" s="21"/>
      <c r="AE194" s="20"/>
      <c r="AF194" s="17" t="str">
        <f t="shared" si="1"/>
        <v>New Logo</v>
      </c>
      <c r="AG194" s="17" t="str">
        <f t="shared" si="2"/>
        <v>Lead</v>
      </c>
      <c r="AH194" s="17" t="str">
        <f t="shared" si="3"/>
        <v>0-200</v>
      </c>
      <c r="AI194" s="17" t="str">
        <f t="shared" si="4"/>
        <v>0-20</v>
      </c>
    </row>
    <row r="195" ht="15.75" customHeight="1">
      <c r="A195" s="13">
        <f>HYPERLINK("https://app.hubspot.com/contacts/8748051/record/0-3/43284912510", 43284912510)</f>
        <v>43284912510</v>
      </c>
      <c r="B195" s="14" t="s">
        <v>781</v>
      </c>
      <c r="C195" s="14" t="s">
        <v>37</v>
      </c>
      <c r="D195" s="15">
        <v>19500.0</v>
      </c>
      <c r="E195" s="14" t="s">
        <v>124</v>
      </c>
      <c r="F195" s="14"/>
      <c r="G195" s="16">
        <v>45902.68876157407</v>
      </c>
      <c r="H195" s="16">
        <v>46082.68875</v>
      </c>
      <c r="I195" s="14" t="s">
        <v>39</v>
      </c>
      <c r="J195" s="14" t="s">
        <v>40</v>
      </c>
      <c r="K195" s="14" t="s">
        <v>41</v>
      </c>
      <c r="L195" s="14" t="s">
        <v>42</v>
      </c>
      <c r="M195" s="14" t="s">
        <v>43</v>
      </c>
      <c r="N195" s="14"/>
      <c r="O195" s="17"/>
      <c r="P195" s="14"/>
      <c r="Q195" s="14" t="s">
        <v>141</v>
      </c>
      <c r="R195" s="13">
        <f>HYPERLINK("https://app.hubspot.com/contacts/8748051/record/0-2/9238251109", 9238251109)</f>
        <v>9238251109</v>
      </c>
      <c r="S195" s="14" t="s">
        <v>782</v>
      </c>
      <c r="T195" s="18" t="s">
        <v>783</v>
      </c>
      <c r="U195" s="14"/>
      <c r="V195" s="15"/>
      <c r="W195" s="19">
        <v>242.0</v>
      </c>
      <c r="X195" s="19">
        <v>43.0</v>
      </c>
      <c r="Y195" s="20" t="s">
        <v>70</v>
      </c>
      <c r="Z195" s="20"/>
      <c r="AA195" s="20"/>
      <c r="AB195" s="20"/>
      <c r="AC195" s="20"/>
      <c r="AD195" s="21"/>
      <c r="AE195" s="20"/>
      <c r="AF195" s="17" t="str">
        <f t="shared" si="1"/>
        <v>New Logo</v>
      </c>
      <c r="AG195" s="17" t="str">
        <f t="shared" si="2"/>
        <v>Lead</v>
      </c>
      <c r="AH195" s="17" t="str">
        <f t="shared" si="3"/>
        <v>201-500</v>
      </c>
      <c r="AI195" s="17" t="str">
        <f t="shared" si="4"/>
        <v>21-50</v>
      </c>
    </row>
    <row r="196" ht="15.75" customHeight="1">
      <c r="A196" s="13">
        <f>HYPERLINK("https://app.hubspot.com/contacts/8748051/record/0-3/43270768272", 43270768272)</f>
        <v>43270768272</v>
      </c>
      <c r="B196" s="14" t="s">
        <v>784</v>
      </c>
      <c r="C196" s="14" t="s">
        <v>49</v>
      </c>
      <c r="D196" s="15">
        <v>33000.0</v>
      </c>
      <c r="E196" s="14" t="s">
        <v>326</v>
      </c>
      <c r="F196" s="14" t="s">
        <v>51</v>
      </c>
      <c r="G196" s="16">
        <v>45902.42209490741</v>
      </c>
      <c r="H196" s="16">
        <v>46203.51099537037</v>
      </c>
      <c r="I196" s="14" t="s">
        <v>39</v>
      </c>
      <c r="J196" s="14" t="s">
        <v>52</v>
      </c>
      <c r="K196" s="14" t="s">
        <v>41</v>
      </c>
      <c r="L196" s="14" t="s">
        <v>42</v>
      </c>
      <c r="M196" s="14" t="s">
        <v>43</v>
      </c>
      <c r="N196" s="14"/>
      <c r="O196" s="17"/>
      <c r="P196" s="14"/>
      <c r="Q196" s="14"/>
      <c r="R196" s="13">
        <f>HYPERLINK("https://app.hubspot.com/contacts/8748051/record/0-2/7165296547", 7165296547)</f>
        <v>7165296547</v>
      </c>
      <c r="S196" s="14" t="s">
        <v>785</v>
      </c>
      <c r="T196" s="18" t="s">
        <v>786</v>
      </c>
      <c r="U196" s="14" t="s">
        <v>46</v>
      </c>
      <c r="V196" s="15"/>
      <c r="W196" s="19">
        <v>386.0</v>
      </c>
      <c r="X196" s="19">
        <v>88.0</v>
      </c>
      <c r="Y196" s="20"/>
      <c r="Z196" s="20"/>
      <c r="AA196" s="20"/>
      <c r="AB196" s="21"/>
      <c r="AC196" s="20"/>
      <c r="AD196" s="21"/>
      <c r="AE196" s="20"/>
      <c r="AF196" s="17" t="str">
        <f t="shared" si="1"/>
        <v>New Logo</v>
      </c>
      <c r="AG196" s="17" t="str">
        <f t="shared" si="2"/>
        <v>Lead</v>
      </c>
      <c r="AH196" s="17" t="str">
        <f t="shared" si="3"/>
        <v>201-500</v>
      </c>
      <c r="AI196" s="17" t="str">
        <f t="shared" si="4"/>
        <v>51-100</v>
      </c>
    </row>
    <row r="197" ht="15.75" customHeight="1">
      <c r="A197" s="13">
        <f>HYPERLINK("https://app.hubspot.com/contacts/8748051/record/0-3/43989443695", 43989443695)</f>
        <v>43989443695</v>
      </c>
      <c r="B197" s="14" t="s">
        <v>787</v>
      </c>
      <c r="C197" s="14" t="s">
        <v>156</v>
      </c>
      <c r="D197" s="15">
        <v>5000.0</v>
      </c>
      <c r="E197" s="14" t="s">
        <v>89</v>
      </c>
      <c r="F197" s="14"/>
      <c r="G197" s="16">
        <v>45900.66038194444</v>
      </c>
      <c r="H197" s="16">
        <v>45900.66038194444</v>
      </c>
      <c r="I197" s="14" t="s">
        <v>39</v>
      </c>
      <c r="J197" s="14" t="s">
        <v>179</v>
      </c>
      <c r="K197" s="14" t="s">
        <v>158</v>
      </c>
      <c r="L197" s="14" t="s">
        <v>159</v>
      </c>
      <c r="M197" s="14" t="s">
        <v>43</v>
      </c>
      <c r="N197" s="14"/>
      <c r="O197" s="17"/>
      <c r="P197" s="14"/>
      <c r="Q197" s="14"/>
      <c r="R197" s="13">
        <f>HYPERLINK("https://app.hubspot.com/contacts/8748051/record/0-2/6996465316", 6996465316)</f>
        <v>6996465316</v>
      </c>
      <c r="S197" s="14" t="s">
        <v>788</v>
      </c>
      <c r="T197" s="18" t="s">
        <v>789</v>
      </c>
      <c r="U197" s="14" t="s">
        <v>93</v>
      </c>
      <c r="V197" s="15">
        <v>52500.0</v>
      </c>
      <c r="W197" s="19">
        <v>848.0</v>
      </c>
      <c r="X197" s="19">
        <v>65.0</v>
      </c>
      <c r="Y197" s="20"/>
      <c r="Z197" s="20" t="s">
        <v>218</v>
      </c>
      <c r="AA197" s="20" t="s">
        <v>192</v>
      </c>
      <c r="AB197" s="21"/>
      <c r="AC197" s="20" t="s">
        <v>790</v>
      </c>
      <c r="AD197" s="21"/>
      <c r="AE197" s="20" t="s">
        <v>166</v>
      </c>
      <c r="AF197" s="17" t="str">
        <f t="shared" si="1"/>
        <v>Upsell</v>
      </c>
      <c r="AG197" s="17" t="str">
        <f t="shared" si="2"/>
        <v>Customer</v>
      </c>
      <c r="AH197" s="17" t="str">
        <f t="shared" si="3"/>
        <v>501-1000</v>
      </c>
      <c r="AI197" s="17" t="str">
        <f t="shared" si="4"/>
        <v>51-100</v>
      </c>
    </row>
    <row r="198" ht="15.75" customHeight="1">
      <c r="A198" s="13">
        <f>HYPERLINK("https://app.hubspot.com/contacts/8748051/record/0-3/43739681136", 43739681136)</f>
        <v>43739681136</v>
      </c>
      <c r="B198" s="14" t="s">
        <v>791</v>
      </c>
      <c r="C198" s="14" t="s">
        <v>37</v>
      </c>
      <c r="D198" s="15">
        <v>100000.0</v>
      </c>
      <c r="E198" s="14" t="s">
        <v>50</v>
      </c>
      <c r="F198" s="14" t="s">
        <v>51</v>
      </c>
      <c r="G198" s="16">
        <v>45897.66762731481</v>
      </c>
      <c r="H198" s="16">
        <v>46198.02211805555</v>
      </c>
      <c r="I198" s="14" t="s">
        <v>39</v>
      </c>
      <c r="J198" s="14" t="s">
        <v>52</v>
      </c>
      <c r="K198" s="14" t="s">
        <v>41</v>
      </c>
      <c r="L198" s="14" t="s">
        <v>42</v>
      </c>
      <c r="M198" s="14" t="s">
        <v>43</v>
      </c>
      <c r="N198" s="17"/>
      <c r="O198" s="17"/>
      <c r="P198" s="14"/>
      <c r="Q198" s="14"/>
      <c r="R198" s="13">
        <f>HYPERLINK("https://app.hubspot.com/contacts/8748051/record/0-2/9238334353", 9238334353)</f>
        <v>9238334353</v>
      </c>
      <c r="S198" s="14" t="s">
        <v>792</v>
      </c>
      <c r="T198" s="18" t="s">
        <v>793</v>
      </c>
      <c r="U198" s="14" t="s">
        <v>46</v>
      </c>
      <c r="V198" s="15"/>
      <c r="W198" s="19">
        <v>3050.0</v>
      </c>
      <c r="X198" s="19">
        <v>414.0</v>
      </c>
      <c r="Y198" s="20" t="s">
        <v>794</v>
      </c>
      <c r="Z198" s="20"/>
      <c r="AA198" s="21"/>
      <c r="AB198" s="21"/>
      <c r="AC198" s="20"/>
      <c r="AD198" s="21"/>
      <c r="AE198" s="20"/>
      <c r="AF198" s="17" t="str">
        <f t="shared" si="1"/>
        <v>New Logo</v>
      </c>
      <c r="AG198" s="17" t="str">
        <f t="shared" si="2"/>
        <v>Lead</v>
      </c>
      <c r="AH198" s="17" t="str">
        <f t="shared" si="3"/>
        <v>1001-5000</v>
      </c>
      <c r="AI198" s="17" t="str">
        <f t="shared" si="4"/>
        <v>101-500</v>
      </c>
    </row>
    <row r="199" ht="15.75" customHeight="1">
      <c r="A199" s="13">
        <f>HYPERLINK("https://app.hubspot.com/contacts/8748051/record/0-3/42924803171", 42924803171)</f>
        <v>42924803171</v>
      </c>
      <c r="B199" s="14" t="s">
        <v>795</v>
      </c>
      <c r="C199" s="14" t="s">
        <v>49</v>
      </c>
      <c r="D199" s="15">
        <v>100000.0</v>
      </c>
      <c r="E199" s="14" t="s">
        <v>124</v>
      </c>
      <c r="F199" s="14" t="s">
        <v>51</v>
      </c>
      <c r="G199" s="16">
        <v>45895.71189814815</v>
      </c>
      <c r="H199" s="16">
        <v>46075.711851851855</v>
      </c>
      <c r="I199" s="14" t="s">
        <v>39</v>
      </c>
      <c r="J199" s="14" t="s">
        <v>52</v>
      </c>
      <c r="K199" s="14" t="s">
        <v>59</v>
      </c>
      <c r="L199" s="14" t="s">
        <v>60</v>
      </c>
      <c r="M199" s="14" t="s">
        <v>43</v>
      </c>
      <c r="N199" s="14"/>
      <c r="O199" s="17"/>
      <c r="P199" s="14"/>
      <c r="Q199" s="14" t="s">
        <v>373</v>
      </c>
      <c r="R199" s="13">
        <f>HYPERLINK("https://app.hubspot.com/contacts/8748051/record/0-2/4752572591", 4752572591)</f>
        <v>4752572591</v>
      </c>
      <c r="S199" s="14" t="s">
        <v>796</v>
      </c>
      <c r="T199" s="18" t="s">
        <v>797</v>
      </c>
      <c r="U199" s="14" t="s">
        <v>46</v>
      </c>
      <c r="V199" s="15"/>
      <c r="W199" s="19">
        <v>11097.0</v>
      </c>
      <c r="X199" s="19">
        <v>2728.0</v>
      </c>
      <c r="Y199" s="21"/>
      <c r="Z199" s="20"/>
      <c r="AA199" s="20"/>
      <c r="AB199" s="21"/>
      <c r="AC199" s="20"/>
      <c r="AD199" s="20"/>
      <c r="AE199" s="20"/>
      <c r="AF199" s="17" t="str">
        <f t="shared" si="1"/>
        <v>New Logo</v>
      </c>
      <c r="AG199" s="17" t="str">
        <f t="shared" si="2"/>
        <v>Lead</v>
      </c>
      <c r="AH199" s="17" t="str">
        <f t="shared" si="3"/>
        <v>10000+</v>
      </c>
      <c r="AI199" s="17" t="str">
        <f t="shared" si="4"/>
        <v>500+</v>
      </c>
    </row>
    <row r="200" ht="15.75" customHeight="1">
      <c r="A200" s="13">
        <f>HYPERLINK("https://app.hubspot.com/contacts/8748051/record/0-3/42847856979", 42847856979)</f>
        <v>42847856979</v>
      </c>
      <c r="B200" s="14" t="s">
        <v>798</v>
      </c>
      <c r="C200" s="14" t="s">
        <v>49</v>
      </c>
      <c r="D200" s="15">
        <v>100000.0</v>
      </c>
      <c r="E200" s="14" t="s">
        <v>118</v>
      </c>
      <c r="F200" s="14"/>
      <c r="G200" s="16">
        <v>45895.47204861111</v>
      </c>
      <c r="H200" s="16">
        <v>46075.472025462965</v>
      </c>
      <c r="I200" s="14" t="s">
        <v>39</v>
      </c>
      <c r="J200" s="14" t="s">
        <v>52</v>
      </c>
      <c r="K200" s="14" t="s">
        <v>41</v>
      </c>
      <c r="L200" s="14" t="s">
        <v>42</v>
      </c>
      <c r="M200" s="14" t="s">
        <v>43</v>
      </c>
      <c r="N200" s="17"/>
      <c r="O200" s="14"/>
      <c r="P200" s="14" t="s">
        <v>260</v>
      </c>
      <c r="Q200" s="14"/>
      <c r="R200" s="13">
        <f>HYPERLINK("https://app.hubspot.com/contacts/8748051/record/0-2/7681111402", 7681111402)</f>
        <v>7681111402</v>
      </c>
      <c r="S200" s="14" t="s">
        <v>799</v>
      </c>
      <c r="T200" s="18" t="s">
        <v>800</v>
      </c>
      <c r="U200" s="14" t="s">
        <v>46</v>
      </c>
      <c r="V200" s="22"/>
      <c r="W200" s="19">
        <v>39006.0</v>
      </c>
      <c r="X200" s="19">
        <v>778.0</v>
      </c>
      <c r="Y200" s="20"/>
      <c r="Z200" s="21"/>
      <c r="AA200" s="21"/>
      <c r="AB200" s="21"/>
      <c r="AC200" s="21"/>
      <c r="AD200" s="21"/>
      <c r="AE200" s="21"/>
      <c r="AF200" s="17" t="str">
        <f t="shared" si="1"/>
        <v>New Logo</v>
      </c>
      <c r="AG200" s="17" t="str">
        <f t="shared" si="2"/>
        <v>Lead</v>
      </c>
      <c r="AH200" s="17" t="str">
        <f t="shared" si="3"/>
        <v>10000+</v>
      </c>
      <c r="AI200" s="17" t="str">
        <f t="shared" si="4"/>
        <v>500+</v>
      </c>
    </row>
    <row r="201" ht="15.75" customHeight="1">
      <c r="A201" s="13">
        <f>HYPERLINK("https://app.hubspot.com/contacts/8748051/record/0-3/42826036055", 42826036055)</f>
        <v>42826036055</v>
      </c>
      <c r="B201" s="14" t="s">
        <v>801</v>
      </c>
      <c r="C201" s="14" t="s">
        <v>37</v>
      </c>
      <c r="D201" s="15">
        <v>0.0</v>
      </c>
      <c r="E201" s="14" t="s">
        <v>118</v>
      </c>
      <c r="F201" s="14"/>
      <c r="G201" s="16">
        <v>45894.4175</v>
      </c>
      <c r="H201" s="16">
        <v>46074.41747685185</v>
      </c>
      <c r="I201" s="14" t="s">
        <v>39</v>
      </c>
      <c r="J201" s="14" t="s">
        <v>40</v>
      </c>
      <c r="K201" s="14" t="s">
        <v>41</v>
      </c>
      <c r="L201" s="14" t="s">
        <v>42</v>
      </c>
      <c r="M201" s="14"/>
      <c r="N201" s="14"/>
      <c r="O201" s="17"/>
      <c r="P201" s="14" t="s">
        <v>260</v>
      </c>
      <c r="Q201" s="14"/>
      <c r="R201" s="13">
        <f>HYPERLINK("https://app.hubspot.com/contacts/8748051/record/0-2/38631159351", 38631159351)</f>
        <v>38631159351</v>
      </c>
      <c r="S201" s="14" t="s">
        <v>802</v>
      </c>
      <c r="T201" s="18" t="s">
        <v>803</v>
      </c>
      <c r="U201" s="14"/>
      <c r="V201" s="15"/>
      <c r="W201" s="19">
        <v>1.0</v>
      </c>
      <c r="X201" s="19">
        <v>0.0</v>
      </c>
      <c r="Y201" s="21"/>
      <c r="Z201" s="20"/>
      <c r="AA201" s="21"/>
      <c r="AB201" s="21"/>
      <c r="AC201" s="20"/>
      <c r="AD201" s="21"/>
      <c r="AE201" s="21"/>
      <c r="AF201" s="17" t="str">
        <f t="shared" si="1"/>
        <v>New Logo</v>
      </c>
      <c r="AG201" s="17" t="str">
        <f t="shared" si="2"/>
        <v>Lead</v>
      </c>
      <c r="AH201" s="17" t="str">
        <f t="shared" si="3"/>
        <v>0-200</v>
      </c>
      <c r="AI201" s="17" t="str">
        <f t="shared" si="4"/>
        <v>0-20</v>
      </c>
    </row>
    <row r="202" ht="15.75" customHeight="1">
      <c r="A202" s="13">
        <f>HYPERLINK("https://app.hubspot.com/contacts/8748051/record/0-3/42666529807", 42666529807)</f>
        <v>42666529807</v>
      </c>
      <c r="B202" s="14" t="s">
        <v>804</v>
      </c>
      <c r="C202" s="14" t="s">
        <v>37</v>
      </c>
      <c r="D202" s="15">
        <v>12000.0</v>
      </c>
      <c r="E202" s="14" t="s">
        <v>124</v>
      </c>
      <c r="F202" s="14" t="s">
        <v>51</v>
      </c>
      <c r="G202" s="16">
        <v>45890.71983796296</v>
      </c>
      <c r="H202" s="16">
        <v>46070.719814814816</v>
      </c>
      <c r="I202" s="14" t="s">
        <v>39</v>
      </c>
      <c r="J202" s="14" t="s">
        <v>40</v>
      </c>
      <c r="K202" s="14" t="s">
        <v>41</v>
      </c>
      <c r="L202" s="14" t="s">
        <v>42</v>
      </c>
      <c r="M202" s="14" t="s">
        <v>43</v>
      </c>
      <c r="N202" s="14"/>
      <c r="O202" s="14"/>
      <c r="P202" s="14"/>
      <c r="Q202" s="14" t="s">
        <v>141</v>
      </c>
      <c r="R202" s="13">
        <f>HYPERLINK("https://app.hubspot.com/contacts/8748051/record/0-2/38512368226", 38512368226)</f>
        <v>38512368226</v>
      </c>
      <c r="S202" s="14" t="s">
        <v>805</v>
      </c>
      <c r="T202" s="18" t="s">
        <v>806</v>
      </c>
      <c r="U202" s="14"/>
      <c r="V202" s="15"/>
      <c r="W202" s="19">
        <v>21.0</v>
      </c>
      <c r="X202" s="19">
        <v>7.0</v>
      </c>
      <c r="Y202" s="20"/>
      <c r="Z202" s="20"/>
      <c r="AA202" s="21"/>
      <c r="AB202" s="21"/>
      <c r="AC202" s="20"/>
      <c r="AD202" s="21"/>
      <c r="AE202" s="21"/>
      <c r="AF202" s="17" t="str">
        <f t="shared" si="1"/>
        <v>New Logo</v>
      </c>
      <c r="AG202" s="17" t="str">
        <f t="shared" si="2"/>
        <v>Lead</v>
      </c>
      <c r="AH202" s="17" t="str">
        <f t="shared" si="3"/>
        <v>0-200</v>
      </c>
      <c r="AI202" s="17" t="str">
        <f t="shared" si="4"/>
        <v>0-20</v>
      </c>
    </row>
    <row r="203" ht="15.75" customHeight="1">
      <c r="A203" s="13">
        <f>HYPERLINK("https://app.hubspot.com/contacts/8748051/record/0-3/42667854228", 42667854228)</f>
        <v>42667854228</v>
      </c>
      <c r="B203" s="14" t="s">
        <v>807</v>
      </c>
      <c r="C203" s="14" t="s">
        <v>37</v>
      </c>
      <c r="D203" s="15">
        <v>25000.0</v>
      </c>
      <c r="E203" s="14" t="s">
        <v>124</v>
      </c>
      <c r="F203" s="14" t="s">
        <v>51</v>
      </c>
      <c r="G203" s="16">
        <v>45890.54708333333</v>
      </c>
      <c r="H203" s="16">
        <v>46170.02239583333</v>
      </c>
      <c r="I203" s="14" t="s">
        <v>39</v>
      </c>
      <c r="J203" s="14" t="s">
        <v>40</v>
      </c>
      <c r="K203" s="14" t="s">
        <v>41</v>
      </c>
      <c r="L203" s="14" t="s">
        <v>42</v>
      </c>
      <c r="M203" s="14" t="s">
        <v>43</v>
      </c>
      <c r="N203" s="14"/>
      <c r="O203" s="17"/>
      <c r="P203" s="14"/>
      <c r="Q203" s="14" t="s">
        <v>125</v>
      </c>
      <c r="R203" s="13">
        <f>HYPERLINK("https://app.hubspot.com/contacts/8748051/record/0-2/17692579406", 17692579406)</f>
        <v>17692579406</v>
      </c>
      <c r="S203" s="14" t="s">
        <v>808</v>
      </c>
      <c r="T203" s="18" t="s">
        <v>809</v>
      </c>
      <c r="U203" s="14" t="s">
        <v>46</v>
      </c>
      <c r="V203" s="15"/>
      <c r="W203" s="19">
        <v>155.0</v>
      </c>
      <c r="X203" s="19">
        <v>18.0</v>
      </c>
      <c r="Y203" s="20"/>
      <c r="Z203" s="20"/>
      <c r="AA203" s="21"/>
      <c r="AB203" s="21"/>
      <c r="AC203" s="20"/>
      <c r="AD203" s="21"/>
      <c r="AE203" s="21"/>
      <c r="AF203" s="17" t="str">
        <f t="shared" si="1"/>
        <v>New Logo</v>
      </c>
      <c r="AG203" s="17" t="str">
        <f t="shared" si="2"/>
        <v>Lead</v>
      </c>
      <c r="AH203" s="17" t="str">
        <f t="shared" si="3"/>
        <v>0-200</v>
      </c>
      <c r="AI203" s="17" t="str">
        <f t="shared" si="4"/>
        <v>0-20</v>
      </c>
    </row>
    <row r="204" ht="15.75" customHeight="1">
      <c r="A204" s="13">
        <f>HYPERLINK("https://app.hubspot.com/contacts/8748051/record/0-3/42405388646", 42405388646)</f>
        <v>42405388646</v>
      </c>
      <c r="B204" s="14" t="s">
        <v>810</v>
      </c>
      <c r="C204" s="14" t="s">
        <v>37</v>
      </c>
      <c r="D204" s="15">
        <v>0.0</v>
      </c>
      <c r="E204" s="14" t="s">
        <v>118</v>
      </c>
      <c r="F204" s="14"/>
      <c r="G204" s="16">
        <v>45888.39800925926</v>
      </c>
      <c r="H204" s="16">
        <v>46068.397986111115</v>
      </c>
      <c r="I204" s="14" t="s">
        <v>39</v>
      </c>
      <c r="J204" s="14" t="s">
        <v>40</v>
      </c>
      <c r="K204" s="14" t="s">
        <v>41</v>
      </c>
      <c r="L204" s="14" t="s">
        <v>42</v>
      </c>
      <c r="M204" s="14" t="s">
        <v>98</v>
      </c>
      <c r="N204" s="14"/>
      <c r="O204" s="17"/>
      <c r="P204" s="14" t="s">
        <v>232</v>
      </c>
      <c r="Q204" s="14"/>
      <c r="R204" s="13">
        <f>HYPERLINK("https://app.hubspot.com/contacts/8748051/record/0-2/38273694055", 38273694055)</f>
        <v>38273694055</v>
      </c>
      <c r="S204" s="14" t="s">
        <v>811</v>
      </c>
      <c r="T204" s="18" t="s">
        <v>812</v>
      </c>
      <c r="U204" s="14"/>
      <c r="V204" s="15"/>
      <c r="W204" s="19"/>
      <c r="X204" s="19">
        <v>0.0</v>
      </c>
      <c r="Y204" s="21"/>
      <c r="Z204" s="20"/>
      <c r="AA204" s="21"/>
      <c r="AB204" s="21"/>
      <c r="AC204" s="20"/>
      <c r="AD204" s="21"/>
      <c r="AE204" s="20"/>
      <c r="AF204" s="17" t="str">
        <f t="shared" si="1"/>
        <v>New Logo</v>
      </c>
      <c r="AG204" s="17" t="str">
        <f t="shared" si="2"/>
        <v>Lead</v>
      </c>
      <c r="AH204" s="17" t="str">
        <f t="shared" si="3"/>
        <v>0-200</v>
      </c>
      <c r="AI204" s="17" t="str">
        <f t="shared" si="4"/>
        <v>0-20</v>
      </c>
    </row>
    <row r="205" ht="15.75" customHeight="1">
      <c r="A205" s="13">
        <f>HYPERLINK("https://app.hubspot.com/contacts/8748051/record/0-3/42411650572", 42411650572)</f>
        <v>42411650572</v>
      </c>
      <c r="B205" s="14" t="s">
        <v>813</v>
      </c>
      <c r="C205" s="14" t="s">
        <v>37</v>
      </c>
      <c r="D205" s="15">
        <v>40000.0</v>
      </c>
      <c r="E205" s="14" t="s">
        <v>124</v>
      </c>
      <c r="F205" s="14" t="s">
        <v>51</v>
      </c>
      <c r="G205" s="16">
        <v>45888.39745370371</v>
      </c>
      <c r="H205" s="16">
        <v>46135.87362268518</v>
      </c>
      <c r="I205" s="14" t="s">
        <v>39</v>
      </c>
      <c r="J205" s="14" t="s">
        <v>52</v>
      </c>
      <c r="K205" s="14" t="s">
        <v>41</v>
      </c>
      <c r="L205" s="14" t="s">
        <v>42</v>
      </c>
      <c r="M205" s="14" t="s">
        <v>72</v>
      </c>
      <c r="N205" s="14"/>
      <c r="O205" s="17"/>
      <c r="P205" s="14"/>
      <c r="Q205" s="14" t="s">
        <v>125</v>
      </c>
      <c r="R205" s="13">
        <f>HYPERLINK("https://app.hubspot.com/contacts/8748051/record/0-2/38275083582", 38275083582)</f>
        <v>38275083582</v>
      </c>
      <c r="S205" s="14" t="s">
        <v>814</v>
      </c>
      <c r="T205" s="18" t="s">
        <v>815</v>
      </c>
      <c r="U205" s="14"/>
      <c r="V205" s="15"/>
      <c r="W205" s="19">
        <v>1184.0</v>
      </c>
      <c r="X205" s="19">
        <v>178.0</v>
      </c>
      <c r="Y205" s="20"/>
      <c r="Z205" s="20"/>
      <c r="AA205" s="21"/>
      <c r="AB205" s="20"/>
      <c r="AC205" s="20"/>
      <c r="AD205" s="21"/>
      <c r="AE205" s="20"/>
      <c r="AF205" s="17" t="str">
        <f t="shared" si="1"/>
        <v>New Logo</v>
      </c>
      <c r="AG205" s="17" t="str">
        <f t="shared" si="2"/>
        <v>Lead</v>
      </c>
      <c r="AH205" s="17" t="str">
        <f t="shared" si="3"/>
        <v>1001-5000</v>
      </c>
      <c r="AI205" s="17" t="str">
        <f t="shared" si="4"/>
        <v>101-500</v>
      </c>
    </row>
    <row r="206" ht="15.75" customHeight="1">
      <c r="A206" s="13">
        <f>HYPERLINK("https://app.hubspot.com/contacts/8748051/record/0-3/42428405315", 42428405315)</f>
        <v>42428405315</v>
      </c>
      <c r="B206" s="14" t="s">
        <v>816</v>
      </c>
      <c r="C206" s="14" t="s">
        <v>145</v>
      </c>
      <c r="D206" s="15">
        <v>13000.0</v>
      </c>
      <c r="E206" s="14" t="s">
        <v>118</v>
      </c>
      <c r="F206" s="14"/>
      <c r="G206" s="16">
        <v>45888.39671296296</v>
      </c>
      <c r="H206" s="16">
        <v>46068.396689814814</v>
      </c>
      <c r="I206" s="14" t="s">
        <v>39</v>
      </c>
      <c r="J206" s="14" t="s">
        <v>40</v>
      </c>
      <c r="K206" s="14" t="s">
        <v>41</v>
      </c>
      <c r="L206" s="14" t="s">
        <v>42</v>
      </c>
      <c r="M206" s="14" t="s">
        <v>72</v>
      </c>
      <c r="N206" s="17"/>
      <c r="O206" s="14"/>
      <c r="P206" s="14" t="s">
        <v>232</v>
      </c>
      <c r="Q206" s="14"/>
      <c r="R206" s="13">
        <f>HYPERLINK("https://app.hubspot.com/contacts/8748051/record/0-2/19176587355", 19176587355)</f>
        <v>19176587355</v>
      </c>
      <c r="S206" s="14" t="s">
        <v>817</v>
      </c>
      <c r="T206" s="18" t="s">
        <v>818</v>
      </c>
      <c r="U206" s="14" t="s">
        <v>46</v>
      </c>
      <c r="V206" s="15"/>
      <c r="W206" s="19">
        <v>497.0</v>
      </c>
      <c r="X206" s="19">
        <v>31.0</v>
      </c>
      <c r="Y206" s="20"/>
      <c r="Z206" s="20"/>
      <c r="AA206" s="21"/>
      <c r="AB206" s="21"/>
      <c r="AC206" s="20"/>
      <c r="AD206" s="21"/>
      <c r="AE206" s="20"/>
      <c r="AF206" s="17" t="str">
        <f t="shared" si="1"/>
        <v>New Logo</v>
      </c>
      <c r="AG206" s="17" t="str">
        <f t="shared" si="2"/>
        <v>Lead</v>
      </c>
      <c r="AH206" s="17" t="str">
        <f t="shared" si="3"/>
        <v>201-500</v>
      </c>
      <c r="AI206" s="17" t="str">
        <f t="shared" si="4"/>
        <v>21-50</v>
      </c>
    </row>
    <row r="207" ht="15.75" customHeight="1">
      <c r="A207" s="13">
        <f>HYPERLINK("https://app.hubspot.com/contacts/8748051/record/0-3/42374346529", 42374346529)</f>
        <v>42374346529</v>
      </c>
      <c r="B207" s="14" t="s">
        <v>819</v>
      </c>
      <c r="C207" s="14" t="s">
        <v>37</v>
      </c>
      <c r="D207" s="15">
        <v>5000.0</v>
      </c>
      <c r="E207" s="14" t="s">
        <v>124</v>
      </c>
      <c r="F207" s="14" t="s">
        <v>51</v>
      </c>
      <c r="G207" s="16">
        <v>45887.40122685185</v>
      </c>
      <c r="H207" s="16">
        <v>46067.40116898148</v>
      </c>
      <c r="I207" s="14" t="s">
        <v>39</v>
      </c>
      <c r="J207" s="14" t="s">
        <v>40</v>
      </c>
      <c r="K207" s="14" t="s">
        <v>41</v>
      </c>
      <c r="L207" s="14" t="s">
        <v>42</v>
      </c>
      <c r="M207" s="14" t="s">
        <v>43</v>
      </c>
      <c r="N207" s="14"/>
      <c r="O207" s="14"/>
      <c r="P207" s="14"/>
      <c r="Q207" s="14" t="s">
        <v>195</v>
      </c>
      <c r="R207" s="13">
        <f>HYPERLINK("https://app.hubspot.com/contacts/8748051/record/0-2/20185415273", 20185415273)</f>
        <v>20185415273</v>
      </c>
      <c r="S207" s="14" t="s">
        <v>820</v>
      </c>
      <c r="T207" s="18" t="s">
        <v>821</v>
      </c>
      <c r="U207" s="14" t="s">
        <v>46</v>
      </c>
      <c r="V207" s="15"/>
      <c r="W207" s="19">
        <v>77.0</v>
      </c>
      <c r="X207" s="19">
        <v>6.0</v>
      </c>
      <c r="Y207" s="20"/>
      <c r="Z207" s="20"/>
      <c r="AA207" s="21"/>
      <c r="AB207" s="21"/>
      <c r="AC207" s="20"/>
      <c r="AD207" s="20"/>
      <c r="AE207" s="20"/>
      <c r="AF207" s="17" t="str">
        <f t="shared" si="1"/>
        <v>New Logo</v>
      </c>
      <c r="AG207" s="17" t="str">
        <f t="shared" si="2"/>
        <v>Lead</v>
      </c>
      <c r="AH207" s="17" t="str">
        <f t="shared" si="3"/>
        <v>0-200</v>
      </c>
      <c r="AI207" s="17" t="str">
        <f t="shared" si="4"/>
        <v>0-20</v>
      </c>
    </row>
    <row r="208" ht="15.75" customHeight="1">
      <c r="A208" s="13">
        <f>HYPERLINK("https://app.hubspot.com/contacts/8748051/record/0-3/41809982898", 41809982898)</f>
        <v>41809982898</v>
      </c>
      <c r="B208" s="14" t="s">
        <v>822</v>
      </c>
      <c r="C208" s="14" t="s">
        <v>49</v>
      </c>
      <c r="D208" s="15">
        <v>25000.0</v>
      </c>
      <c r="E208" s="14" t="s">
        <v>124</v>
      </c>
      <c r="F208" s="14" t="s">
        <v>51</v>
      </c>
      <c r="G208" s="16">
        <v>45881.02413194445</v>
      </c>
      <c r="H208" s="16">
        <v>46203.638090277775</v>
      </c>
      <c r="I208" s="14" t="s">
        <v>39</v>
      </c>
      <c r="J208" s="14" t="s">
        <v>40</v>
      </c>
      <c r="K208" s="14" t="s">
        <v>41</v>
      </c>
      <c r="L208" s="14" t="s">
        <v>42</v>
      </c>
      <c r="M208" s="14" t="s">
        <v>43</v>
      </c>
      <c r="N208" s="14"/>
      <c r="O208" s="14"/>
      <c r="P208" s="14"/>
      <c r="Q208" s="14" t="s">
        <v>502</v>
      </c>
      <c r="R208" s="13">
        <f>HYPERLINK("https://app.hubspot.com/contacts/8748051/record/0-2/37664571821", 37664571821)</f>
        <v>37664571821</v>
      </c>
      <c r="S208" s="14" t="s">
        <v>823</v>
      </c>
      <c r="T208" s="18" t="s">
        <v>824</v>
      </c>
      <c r="U208" s="14"/>
      <c r="V208" s="15"/>
      <c r="W208" s="19">
        <v>62.0</v>
      </c>
      <c r="X208" s="19">
        <v>6.0</v>
      </c>
      <c r="Y208" s="20"/>
      <c r="Z208" s="20"/>
      <c r="AA208" s="20"/>
      <c r="AB208" s="21"/>
      <c r="AC208" s="20"/>
      <c r="AD208" s="20"/>
      <c r="AE208" s="20"/>
      <c r="AF208" s="17" t="str">
        <f t="shared" si="1"/>
        <v>New Logo</v>
      </c>
      <c r="AG208" s="17" t="str">
        <f t="shared" si="2"/>
        <v>Lead</v>
      </c>
      <c r="AH208" s="17" t="str">
        <f t="shared" si="3"/>
        <v>0-200</v>
      </c>
      <c r="AI208" s="17" t="str">
        <f t="shared" si="4"/>
        <v>0-20</v>
      </c>
    </row>
    <row r="209" ht="15.75" customHeight="1">
      <c r="A209" s="13">
        <f>HYPERLINK("https://app.hubspot.com/contacts/8748051/record/0-3/41785897769", 41785897769)</f>
        <v>41785897769</v>
      </c>
      <c r="B209" s="14" t="s">
        <v>825</v>
      </c>
      <c r="C209" s="14" t="s">
        <v>49</v>
      </c>
      <c r="D209" s="15">
        <v>15000.0</v>
      </c>
      <c r="E209" s="14" t="s">
        <v>146</v>
      </c>
      <c r="F209" s="14" t="s">
        <v>51</v>
      </c>
      <c r="G209" s="16">
        <v>45880.63</v>
      </c>
      <c r="H209" s="16">
        <v>45918.76730324074</v>
      </c>
      <c r="I209" s="14" t="s">
        <v>39</v>
      </c>
      <c r="J209" s="14" t="s">
        <v>52</v>
      </c>
      <c r="K209" s="14" t="s">
        <v>41</v>
      </c>
      <c r="L209" s="14" t="s">
        <v>42</v>
      </c>
      <c r="M209" s="14" t="s">
        <v>43</v>
      </c>
      <c r="N209" s="14"/>
      <c r="O209" s="14" t="s">
        <v>826</v>
      </c>
      <c r="P209" s="14"/>
      <c r="Q209" s="14"/>
      <c r="R209" s="13">
        <f>HYPERLINK("https://app.hubspot.com/contacts/8748051/record/0-2/6816553099", 6816553099)</f>
        <v>6816553099</v>
      </c>
      <c r="S209" s="14" t="s">
        <v>827</v>
      </c>
      <c r="T209" s="18" t="s">
        <v>828</v>
      </c>
      <c r="U209" s="14" t="s">
        <v>46</v>
      </c>
      <c r="V209" s="15"/>
      <c r="W209" s="19">
        <v>1436.0</v>
      </c>
      <c r="X209" s="19">
        <v>278.0</v>
      </c>
      <c r="Y209" s="20" t="s">
        <v>78</v>
      </c>
      <c r="Z209" s="20"/>
      <c r="AA209" s="21"/>
      <c r="AB209" s="21"/>
      <c r="AC209" s="20"/>
      <c r="AD209" s="21"/>
      <c r="AE209" s="20"/>
      <c r="AF209" s="17" t="str">
        <f t="shared" si="1"/>
        <v>New Logo</v>
      </c>
      <c r="AG209" s="17" t="str">
        <f t="shared" si="2"/>
        <v>Lead</v>
      </c>
      <c r="AH209" s="17" t="str">
        <f t="shared" si="3"/>
        <v>1001-5000</v>
      </c>
      <c r="AI209" s="17" t="str">
        <f t="shared" si="4"/>
        <v>101-500</v>
      </c>
    </row>
    <row r="210" ht="15.75" customHeight="1">
      <c r="A210" s="13">
        <f>HYPERLINK("https://app.hubspot.com/contacts/8748051/record/0-3/41578503009", 41578503009)</f>
        <v>41578503009</v>
      </c>
      <c r="B210" s="14" t="s">
        <v>829</v>
      </c>
      <c r="C210" s="14" t="s">
        <v>37</v>
      </c>
      <c r="D210" s="15">
        <v>25000.0</v>
      </c>
      <c r="E210" s="14" t="s">
        <v>124</v>
      </c>
      <c r="F210" s="14" t="s">
        <v>51</v>
      </c>
      <c r="G210" s="16">
        <v>45877.536631944444</v>
      </c>
      <c r="H210" s="16">
        <v>46107.31371527778</v>
      </c>
      <c r="I210" s="14" t="s">
        <v>39</v>
      </c>
      <c r="J210" s="14" t="s">
        <v>40</v>
      </c>
      <c r="K210" s="14" t="s">
        <v>41</v>
      </c>
      <c r="L210" s="14" t="s">
        <v>42</v>
      </c>
      <c r="M210" s="14" t="s">
        <v>43</v>
      </c>
      <c r="N210" s="14"/>
      <c r="O210" s="17"/>
      <c r="P210" s="14"/>
      <c r="Q210" s="14" t="s">
        <v>141</v>
      </c>
      <c r="R210" s="13">
        <f>HYPERLINK("https://app.hubspot.com/contacts/8748051/record/0-2/19176719448", 19176719448)</f>
        <v>19176719448</v>
      </c>
      <c r="S210" s="14" t="s">
        <v>830</v>
      </c>
      <c r="T210" s="18" t="s">
        <v>831</v>
      </c>
      <c r="U210" s="14" t="s">
        <v>46</v>
      </c>
      <c r="V210" s="15"/>
      <c r="W210" s="19">
        <v>513.0</v>
      </c>
      <c r="X210" s="19">
        <v>49.0</v>
      </c>
      <c r="Y210" s="20"/>
      <c r="Z210" s="20"/>
      <c r="AA210" s="20"/>
      <c r="AB210" s="21"/>
      <c r="AC210" s="20"/>
      <c r="AD210" s="21"/>
      <c r="AE210" s="20"/>
      <c r="AF210" s="17" t="str">
        <f t="shared" si="1"/>
        <v>New Logo</v>
      </c>
      <c r="AG210" s="17" t="str">
        <f t="shared" si="2"/>
        <v>Lead</v>
      </c>
      <c r="AH210" s="17" t="str">
        <f t="shared" si="3"/>
        <v>501-1000</v>
      </c>
      <c r="AI210" s="17" t="str">
        <f t="shared" si="4"/>
        <v>21-50</v>
      </c>
    </row>
    <row r="211" ht="15.75" customHeight="1">
      <c r="A211" s="13">
        <f>HYPERLINK("https://app.hubspot.com/contacts/8748051/record/0-3/41576219434", 41576219434)</f>
        <v>41576219434</v>
      </c>
      <c r="B211" s="14" t="s">
        <v>832</v>
      </c>
      <c r="C211" s="14" t="s">
        <v>37</v>
      </c>
      <c r="D211" s="15">
        <v>41000.0</v>
      </c>
      <c r="E211" s="14" t="s">
        <v>118</v>
      </c>
      <c r="F211" s="14"/>
      <c r="G211" s="16">
        <v>45877.408055555556</v>
      </c>
      <c r="H211" s="16">
        <v>46057.40804398148</v>
      </c>
      <c r="I211" s="14" t="s">
        <v>39</v>
      </c>
      <c r="J211" s="14" t="s">
        <v>40</v>
      </c>
      <c r="K211" s="14" t="s">
        <v>41</v>
      </c>
      <c r="L211" s="14" t="s">
        <v>42</v>
      </c>
      <c r="M211" s="14" t="s">
        <v>98</v>
      </c>
      <c r="N211" s="17"/>
      <c r="O211" s="17"/>
      <c r="P211" s="14" t="s">
        <v>260</v>
      </c>
      <c r="Q211" s="14"/>
      <c r="R211" s="13">
        <f>HYPERLINK("https://app.hubspot.com/contacts/8748051/record/0-2/14810422275", 14810422275)</f>
        <v>14810422275</v>
      </c>
      <c r="S211" s="14" t="s">
        <v>833</v>
      </c>
      <c r="T211" s="18" t="s">
        <v>834</v>
      </c>
      <c r="U211" s="14" t="s">
        <v>46</v>
      </c>
      <c r="V211" s="15"/>
      <c r="W211" s="19">
        <v>2081.0</v>
      </c>
      <c r="X211" s="19">
        <v>81.0</v>
      </c>
      <c r="Y211" s="20"/>
      <c r="Z211" s="20"/>
      <c r="AA211" s="21"/>
      <c r="AB211" s="21"/>
      <c r="AC211" s="20"/>
      <c r="AD211" s="21"/>
      <c r="AE211" s="20"/>
      <c r="AF211" s="17" t="str">
        <f t="shared" si="1"/>
        <v>New Logo</v>
      </c>
      <c r="AG211" s="17" t="str">
        <f t="shared" si="2"/>
        <v>Lead</v>
      </c>
      <c r="AH211" s="17" t="str">
        <f t="shared" si="3"/>
        <v>1001-5000</v>
      </c>
      <c r="AI211" s="17" t="str">
        <f t="shared" si="4"/>
        <v>51-100</v>
      </c>
    </row>
    <row r="212" ht="15.75" customHeight="1">
      <c r="A212" s="13">
        <f>HYPERLINK("https://app.hubspot.com/contacts/8748051/record/0-3/41561119299", 41561119299)</f>
        <v>41561119299</v>
      </c>
      <c r="B212" s="14" t="s">
        <v>835</v>
      </c>
      <c r="C212" s="14" t="s">
        <v>37</v>
      </c>
      <c r="D212" s="15">
        <v>35000.0</v>
      </c>
      <c r="E212" s="14" t="s">
        <v>326</v>
      </c>
      <c r="F212" s="14" t="s">
        <v>51</v>
      </c>
      <c r="G212" s="16">
        <v>45876.73148148148</v>
      </c>
      <c r="H212" s="16">
        <v>46142.40966435185</v>
      </c>
      <c r="I212" s="14" t="s">
        <v>39</v>
      </c>
      <c r="J212" s="14" t="s">
        <v>40</v>
      </c>
      <c r="K212" s="14" t="s">
        <v>158</v>
      </c>
      <c r="L212" s="14" t="s">
        <v>159</v>
      </c>
      <c r="M212" s="14" t="s">
        <v>98</v>
      </c>
      <c r="N212" s="14"/>
      <c r="O212" s="14"/>
      <c r="P212" s="14"/>
      <c r="Q212" s="14"/>
      <c r="R212" s="13">
        <f>HYPERLINK("https://app.hubspot.com/contacts/8748051/record/0-2/9727024782", 9727024782)</f>
        <v>9727024782</v>
      </c>
      <c r="S212" s="14" t="s">
        <v>836</v>
      </c>
      <c r="T212" s="18" t="s">
        <v>837</v>
      </c>
      <c r="U212" s="14" t="s">
        <v>46</v>
      </c>
      <c r="V212" s="15"/>
      <c r="W212" s="19">
        <v>896.0</v>
      </c>
      <c r="X212" s="19">
        <v>91.0</v>
      </c>
      <c r="Y212" s="20" t="s">
        <v>104</v>
      </c>
      <c r="Z212" s="20"/>
      <c r="AA212" s="21"/>
      <c r="AB212" s="21"/>
      <c r="AC212" s="20"/>
      <c r="AD212" s="21"/>
      <c r="AE212" s="20"/>
      <c r="AF212" s="17" t="str">
        <f t="shared" si="1"/>
        <v>New Logo</v>
      </c>
      <c r="AG212" s="17" t="str">
        <f t="shared" si="2"/>
        <v>Lead</v>
      </c>
      <c r="AH212" s="17" t="str">
        <f t="shared" si="3"/>
        <v>501-1000</v>
      </c>
      <c r="AI212" s="17" t="str">
        <f t="shared" si="4"/>
        <v>51-100</v>
      </c>
    </row>
    <row r="213" ht="15.75" customHeight="1">
      <c r="A213" s="13">
        <f>HYPERLINK("https://app.hubspot.com/contacts/8748051/record/0-3/43990217299", 43990217299)</f>
        <v>43990217299</v>
      </c>
      <c r="B213" s="14" t="s">
        <v>838</v>
      </c>
      <c r="C213" s="14" t="s">
        <v>156</v>
      </c>
      <c r="D213" s="15">
        <v>210.0</v>
      </c>
      <c r="E213" s="14" t="s">
        <v>89</v>
      </c>
      <c r="F213" s="14"/>
      <c r="G213" s="16">
        <v>45875.65988425926</v>
      </c>
      <c r="H213" s="16">
        <v>45875.659895833334</v>
      </c>
      <c r="I213" s="14" t="s">
        <v>39</v>
      </c>
      <c r="J213" s="14" t="s">
        <v>179</v>
      </c>
      <c r="K213" s="14" t="s">
        <v>158</v>
      </c>
      <c r="L213" s="14" t="s">
        <v>159</v>
      </c>
      <c r="M213" s="14" t="s">
        <v>43</v>
      </c>
      <c r="N213" s="14"/>
      <c r="O213" s="14"/>
      <c r="P213" s="14"/>
      <c r="Q213" s="14"/>
      <c r="R213" s="13">
        <f>HYPERLINK("https://app.hubspot.com/contacts/8748051/record/0-2/7737526328", 7737526328)</f>
        <v>7737526328</v>
      </c>
      <c r="S213" s="14" t="s">
        <v>839</v>
      </c>
      <c r="T213" s="18" t="s">
        <v>840</v>
      </c>
      <c r="U213" s="14" t="s">
        <v>93</v>
      </c>
      <c r="V213" s="15">
        <v>3210.0</v>
      </c>
      <c r="W213" s="19">
        <v>294.0</v>
      </c>
      <c r="X213" s="19">
        <v>46.0</v>
      </c>
      <c r="Y213" s="20"/>
      <c r="Z213" s="20" t="s">
        <v>348</v>
      </c>
      <c r="AA213" s="20"/>
      <c r="AB213" s="21"/>
      <c r="AC213" s="20" t="s">
        <v>841</v>
      </c>
      <c r="AD213" s="20"/>
      <c r="AE213" s="20" t="s">
        <v>763</v>
      </c>
      <c r="AF213" s="17" t="str">
        <f t="shared" si="1"/>
        <v>Upsell</v>
      </c>
      <c r="AG213" s="17" t="str">
        <f t="shared" si="2"/>
        <v>Customer</v>
      </c>
      <c r="AH213" s="17" t="str">
        <f t="shared" si="3"/>
        <v>201-500</v>
      </c>
      <c r="AI213" s="17" t="str">
        <f t="shared" si="4"/>
        <v>21-50</v>
      </c>
    </row>
    <row r="214" ht="15.75" customHeight="1">
      <c r="A214" s="13">
        <f>HYPERLINK("https://app.hubspot.com/contacts/8748051/record/0-3/41505592465", 41505592465)</f>
        <v>41505592465</v>
      </c>
      <c r="B214" s="14" t="s">
        <v>842</v>
      </c>
      <c r="C214" s="14" t="s">
        <v>49</v>
      </c>
      <c r="D214" s="15">
        <v>15000.0</v>
      </c>
      <c r="E214" s="14" t="s">
        <v>89</v>
      </c>
      <c r="F214" s="14" t="s">
        <v>51</v>
      </c>
      <c r="G214" s="16">
        <v>45875.51153935185</v>
      </c>
      <c r="H214" s="16">
        <v>45891.57971064815</v>
      </c>
      <c r="I214" s="14" t="s">
        <v>39</v>
      </c>
      <c r="J214" s="14" t="s">
        <v>40</v>
      </c>
      <c r="K214" s="14" t="s">
        <v>251</v>
      </c>
      <c r="L214" s="14" t="s">
        <v>152</v>
      </c>
      <c r="M214" s="14" t="s">
        <v>43</v>
      </c>
      <c r="N214" s="14" t="s">
        <v>843</v>
      </c>
      <c r="O214" s="14"/>
      <c r="P214" s="14"/>
      <c r="Q214" s="17"/>
      <c r="R214" s="13">
        <f>HYPERLINK("https://app.hubspot.com/contacts/8748051/record/0-2/37325794153", 37325794153)</f>
        <v>37325794153</v>
      </c>
      <c r="S214" s="14" t="s">
        <v>844</v>
      </c>
      <c r="T214" s="18" t="s">
        <v>845</v>
      </c>
      <c r="U214" s="14" t="s">
        <v>93</v>
      </c>
      <c r="V214" s="15">
        <v>15000.0</v>
      </c>
      <c r="W214" s="19">
        <v>66.0</v>
      </c>
      <c r="X214" s="19">
        <v>10.0</v>
      </c>
      <c r="Y214" s="20"/>
      <c r="Z214" s="20" t="s">
        <v>348</v>
      </c>
      <c r="AA214" s="21"/>
      <c r="AB214" s="21"/>
      <c r="AC214" s="20" t="s">
        <v>846</v>
      </c>
      <c r="AD214" s="20"/>
      <c r="AE214" s="20" t="s">
        <v>847</v>
      </c>
      <c r="AF214" s="17" t="str">
        <f t="shared" si="1"/>
        <v>New Logo</v>
      </c>
      <c r="AG214" s="17" t="str">
        <f t="shared" si="2"/>
        <v>Customer</v>
      </c>
      <c r="AH214" s="17" t="str">
        <f t="shared" si="3"/>
        <v>0-200</v>
      </c>
      <c r="AI214" s="17" t="str">
        <f t="shared" si="4"/>
        <v>0-20</v>
      </c>
    </row>
    <row r="215" ht="15.75" customHeight="1">
      <c r="A215" s="13">
        <f>HYPERLINK("https://app.hubspot.com/contacts/8748051/record/0-3/41452513074", 41452513074)</f>
        <v>41452513074</v>
      </c>
      <c r="B215" s="14" t="s">
        <v>848</v>
      </c>
      <c r="C215" s="14" t="s">
        <v>37</v>
      </c>
      <c r="D215" s="15">
        <v>100000.0</v>
      </c>
      <c r="E215" s="14" t="s">
        <v>146</v>
      </c>
      <c r="F215" s="14" t="s">
        <v>51</v>
      </c>
      <c r="G215" s="16">
        <v>45875.41003472222</v>
      </c>
      <c r="H215" s="16">
        <v>45896.43387731481</v>
      </c>
      <c r="I215" s="14" t="s">
        <v>39</v>
      </c>
      <c r="J215" s="14" t="s">
        <v>52</v>
      </c>
      <c r="K215" s="14" t="s">
        <v>41</v>
      </c>
      <c r="L215" s="14" t="s">
        <v>42</v>
      </c>
      <c r="M215" s="14" t="s">
        <v>43</v>
      </c>
      <c r="N215" s="14"/>
      <c r="O215" s="14" t="s">
        <v>849</v>
      </c>
      <c r="P215" s="14"/>
      <c r="Q215" s="14"/>
      <c r="R215" s="13">
        <f>HYPERLINK("https://app.hubspot.com/contacts/8748051/record/0-2/38806934327", 38806934327)</f>
        <v>38806934327</v>
      </c>
      <c r="S215" s="14" t="s">
        <v>850</v>
      </c>
      <c r="T215" s="18" t="s">
        <v>851</v>
      </c>
      <c r="U215" s="14" t="s">
        <v>46</v>
      </c>
      <c r="V215" s="15"/>
      <c r="W215" s="19">
        <v>2520.0</v>
      </c>
      <c r="X215" s="19">
        <v>227.0</v>
      </c>
      <c r="Y215" s="20" t="s">
        <v>55</v>
      </c>
      <c r="Z215" s="20"/>
      <c r="AA215" s="20"/>
      <c r="AB215" s="21"/>
      <c r="AC215" s="20"/>
      <c r="AD215" s="20"/>
      <c r="AE215" s="20"/>
      <c r="AF215" s="17" t="str">
        <f t="shared" si="1"/>
        <v>New Logo</v>
      </c>
      <c r="AG215" s="17" t="str">
        <f t="shared" si="2"/>
        <v>Lead</v>
      </c>
      <c r="AH215" s="17" t="str">
        <f t="shared" si="3"/>
        <v>1001-5000</v>
      </c>
      <c r="AI215" s="17" t="str">
        <f t="shared" si="4"/>
        <v>101-500</v>
      </c>
    </row>
    <row r="216" ht="15.75" customHeight="1">
      <c r="A216" s="13">
        <f>HYPERLINK("https://app.hubspot.com/contacts/8748051/record/0-3/41346748037", 41346748037)</f>
        <v>41346748037</v>
      </c>
      <c r="B216" s="14" t="s">
        <v>852</v>
      </c>
      <c r="C216" s="14" t="s">
        <v>145</v>
      </c>
      <c r="D216" s="15">
        <v>0.0</v>
      </c>
      <c r="E216" s="14" t="s">
        <v>118</v>
      </c>
      <c r="F216" s="14"/>
      <c r="G216" s="16">
        <v>45873.834641203706</v>
      </c>
      <c r="H216" s="16">
        <v>46053.83461805555</v>
      </c>
      <c r="I216" s="14" t="s">
        <v>39</v>
      </c>
      <c r="J216" s="14" t="s">
        <v>40</v>
      </c>
      <c r="K216" s="14" t="s">
        <v>593</v>
      </c>
      <c r="L216" s="14" t="s">
        <v>60</v>
      </c>
      <c r="M216" s="14" t="s">
        <v>43</v>
      </c>
      <c r="N216" s="14"/>
      <c r="O216" s="14"/>
      <c r="P216" s="14" t="s">
        <v>232</v>
      </c>
      <c r="Q216" s="14"/>
      <c r="R216" s="13">
        <f>HYPERLINK("https://app.hubspot.com/contacts/8748051/record/0-2/33367405089", 33367405089)</f>
        <v>33367405089</v>
      </c>
      <c r="S216" s="14" t="s">
        <v>853</v>
      </c>
      <c r="T216" s="18" t="s">
        <v>854</v>
      </c>
      <c r="U216" s="14" t="s">
        <v>46</v>
      </c>
      <c r="V216" s="15"/>
      <c r="W216" s="19">
        <v>1.0</v>
      </c>
      <c r="X216" s="19">
        <v>0.0</v>
      </c>
      <c r="Y216" s="20"/>
      <c r="Z216" s="20"/>
      <c r="AA216" s="20"/>
      <c r="AB216" s="21"/>
      <c r="AC216" s="20"/>
      <c r="AD216" s="21"/>
      <c r="AE216" s="20"/>
      <c r="AF216" s="17" t="str">
        <f t="shared" si="1"/>
        <v>New Logo</v>
      </c>
      <c r="AG216" s="17" t="str">
        <f t="shared" si="2"/>
        <v>Lead</v>
      </c>
      <c r="AH216" s="17" t="str">
        <f t="shared" si="3"/>
        <v>0-200</v>
      </c>
      <c r="AI216" s="17" t="str">
        <f t="shared" si="4"/>
        <v>0-20</v>
      </c>
    </row>
    <row r="217" ht="15.75" customHeight="1">
      <c r="A217" s="13">
        <f>HYPERLINK("https://app.hubspot.com/contacts/8748051/record/0-3/43998011279", 43998011279)</f>
        <v>43998011279</v>
      </c>
      <c r="B217" s="14" t="s">
        <v>855</v>
      </c>
      <c r="C217" s="14" t="s">
        <v>156</v>
      </c>
      <c r="D217" s="15">
        <v>-17700.0</v>
      </c>
      <c r="E217" s="14" t="s">
        <v>89</v>
      </c>
      <c r="F217" s="14"/>
      <c r="G217" s="16">
        <v>45873.66008101852</v>
      </c>
      <c r="H217" s="16">
        <v>45873.660092592596</v>
      </c>
      <c r="I217" s="14" t="s">
        <v>39</v>
      </c>
      <c r="J217" s="14" t="s">
        <v>157</v>
      </c>
      <c r="K217" s="14" t="s">
        <v>158</v>
      </c>
      <c r="L217" s="14" t="s">
        <v>159</v>
      </c>
      <c r="M217" s="14" t="s">
        <v>98</v>
      </c>
      <c r="N217" s="14"/>
      <c r="O217" s="17"/>
      <c r="P217" s="14"/>
      <c r="Q217" s="14"/>
      <c r="R217" s="13">
        <f>HYPERLINK("https://app.hubspot.com/contacts/8748051/record/0-2/8513131656", 8513131656)</f>
        <v>8513131656</v>
      </c>
      <c r="S217" s="14" t="s">
        <v>856</v>
      </c>
      <c r="T217" s="18" t="s">
        <v>857</v>
      </c>
      <c r="U217" s="14" t="s">
        <v>93</v>
      </c>
      <c r="V217" s="15">
        <v>25500.0</v>
      </c>
      <c r="W217" s="19">
        <v>1321.0</v>
      </c>
      <c r="X217" s="19">
        <v>159.0</v>
      </c>
      <c r="Y217" s="20"/>
      <c r="Z217" s="20" t="s">
        <v>191</v>
      </c>
      <c r="AA217" s="20" t="s">
        <v>192</v>
      </c>
      <c r="AB217" s="21"/>
      <c r="AC217" s="20" t="s">
        <v>858</v>
      </c>
      <c r="AD217" s="21"/>
      <c r="AE217" s="20" t="s">
        <v>166</v>
      </c>
      <c r="AF217" s="17" t="str">
        <f t="shared" si="1"/>
        <v>Downsell</v>
      </c>
      <c r="AG217" s="17" t="str">
        <f t="shared" si="2"/>
        <v>Customer</v>
      </c>
      <c r="AH217" s="17" t="str">
        <f t="shared" si="3"/>
        <v>1001-5000</v>
      </c>
      <c r="AI217" s="17" t="str">
        <f t="shared" si="4"/>
        <v>101-500</v>
      </c>
    </row>
    <row r="218" ht="15.75" customHeight="1">
      <c r="A218" s="13">
        <f>HYPERLINK("https://app.hubspot.com/contacts/8748051/record/0-3/41323418478", 41323418478)</f>
        <v>41323418478</v>
      </c>
      <c r="B218" s="14" t="s">
        <v>859</v>
      </c>
      <c r="C218" s="14" t="s">
        <v>49</v>
      </c>
      <c r="D218" s="15">
        <v>2500.0</v>
      </c>
      <c r="E218" s="14" t="s">
        <v>124</v>
      </c>
      <c r="F218" s="14" t="s">
        <v>51</v>
      </c>
      <c r="G218" s="16">
        <v>45873.289293981485</v>
      </c>
      <c r="H218" s="16">
        <v>46053.28928240741</v>
      </c>
      <c r="I218" s="14" t="s">
        <v>39</v>
      </c>
      <c r="J218" s="14" t="s">
        <v>40</v>
      </c>
      <c r="K218" s="14" t="s">
        <v>41</v>
      </c>
      <c r="L218" s="14" t="s">
        <v>42</v>
      </c>
      <c r="M218" s="14" t="s">
        <v>43</v>
      </c>
      <c r="N218" s="17"/>
      <c r="O218" s="14"/>
      <c r="P218" s="14"/>
      <c r="Q218" s="14" t="s">
        <v>236</v>
      </c>
      <c r="R218" s="13">
        <f>HYPERLINK("https://app.hubspot.com/contacts/8748051/record/0-2/37196899503", 37196899503)</f>
        <v>37196899503</v>
      </c>
      <c r="S218" s="14" t="s">
        <v>860</v>
      </c>
      <c r="T218" s="18" t="s">
        <v>861</v>
      </c>
      <c r="U218" s="14"/>
      <c r="V218" s="15"/>
      <c r="W218" s="19">
        <v>41.0</v>
      </c>
      <c r="X218" s="19">
        <v>5.0</v>
      </c>
      <c r="Y218" s="20"/>
      <c r="Z218" s="20"/>
      <c r="AA218" s="21"/>
      <c r="AB218" s="21"/>
      <c r="AC218" s="20"/>
      <c r="AD218" s="21"/>
      <c r="AE218" s="20"/>
      <c r="AF218" s="17" t="str">
        <f t="shared" si="1"/>
        <v>New Logo</v>
      </c>
      <c r="AG218" s="17" t="str">
        <f t="shared" si="2"/>
        <v>Lead</v>
      </c>
      <c r="AH218" s="17" t="str">
        <f t="shared" si="3"/>
        <v>0-200</v>
      </c>
      <c r="AI218" s="17" t="str">
        <f t="shared" si="4"/>
        <v>0-20</v>
      </c>
    </row>
    <row r="219" ht="15.75" customHeight="1">
      <c r="A219" s="13">
        <f>HYPERLINK("https://app.hubspot.com/contacts/8748051/record/0-3/43992540042", 43992540042)</f>
        <v>43992540042</v>
      </c>
      <c r="B219" s="14" t="s">
        <v>862</v>
      </c>
      <c r="C219" s="14" t="s">
        <v>156</v>
      </c>
      <c r="D219" s="15">
        <v>4590.0</v>
      </c>
      <c r="E219" s="14" t="s">
        <v>89</v>
      </c>
      <c r="F219" s="14"/>
      <c r="G219" s="16">
        <v>45869.66018518519</v>
      </c>
      <c r="H219" s="16">
        <v>45869.66019675926</v>
      </c>
      <c r="I219" s="14" t="s">
        <v>39</v>
      </c>
      <c r="J219" s="14" t="s">
        <v>179</v>
      </c>
      <c r="K219" s="14" t="s">
        <v>158</v>
      </c>
      <c r="L219" s="14" t="s">
        <v>159</v>
      </c>
      <c r="M219" s="14" t="s">
        <v>98</v>
      </c>
      <c r="N219" s="14"/>
      <c r="O219" s="17"/>
      <c r="P219" s="14"/>
      <c r="Q219" s="14"/>
      <c r="R219" s="13">
        <f>HYPERLINK("https://app.hubspot.com/contacts/8748051/record/0-2/9781558177", 9781558177)</f>
        <v>9781558177</v>
      </c>
      <c r="S219" s="14" t="s">
        <v>863</v>
      </c>
      <c r="T219" s="18" t="s">
        <v>864</v>
      </c>
      <c r="U219" s="14" t="s">
        <v>93</v>
      </c>
      <c r="V219" s="15">
        <v>21840.0</v>
      </c>
      <c r="W219" s="19">
        <v>221.0</v>
      </c>
      <c r="X219" s="19">
        <v>17.0</v>
      </c>
      <c r="Y219" s="21"/>
      <c r="Z219" s="20" t="s">
        <v>218</v>
      </c>
      <c r="AA219" s="21"/>
      <c r="AB219" s="20"/>
      <c r="AC219" s="20" t="s">
        <v>865</v>
      </c>
      <c r="AD219" s="20"/>
      <c r="AE219" s="20" t="s">
        <v>166</v>
      </c>
      <c r="AF219" s="17" t="str">
        <f t="shared" si="1"/>
        <v>Upsell</v>
      </c>
      <c r="AG219" s="17" t="str">
        <f t="shared" si="2"/>
        <v>Customer</v>
      </c>
      <c r="AH219" s="17" t="str">
        <f t="shared" si="3"/>
        <v>201-500</v>
      </c>
      <c r="AI219" s="17" t="str">
        <f t="shared" si="4"/>
        <v>0-20</v>
      </c>
    </row>
    <row r="220" ht="15.75" customHeight="1">
      <c r="A220" s="13">
        <f>HYPERLINK("https://app.hubspot.com/contacts/8748051/record/0-3/41120785998", 41120785998)</f>
        <v>41120785998</v>
      </c>
      <c r="B220" s="14" t="s">
        <v>866</v>
      </c>
      <c r="C220" s="14" t="s">
        <v>145</v>
      </c>
      <c r="D220" s="15">
        <v>10000.0</v>
      </c>
      <c r="E220" s="14" t="s">
        <v>118</v>
      </c>
      <c r="F220" s="14"/>
      <c r="G220" s="16">
        <v>45869.30615740741</v>
      </c>
      <c r="H220" s="16">
        <v>46049.30614583333</v>
      </c>
      <c r="I220" s="14" t="s">
        <v>39</v>
      </c>
      <c r="J220" s="14" t="s">
        <v>40</v>
      </c>
      <c r="K220" s="14" t="s">
        <v>41</v>
      </c>
      <c r="L220" s="14" t="s">
        <v>42</v>
      </c>
      <c r="M220" s="14" t="s">
        <v>43</v>
      </c>
      <c r="N220" s="14"/>
      <c r="O220" s="17"/>
      <c r="P220" s="14" t="s">
        <v>119</v>
      </c>
      <c r="Q220" s="14"/>
      <c r="R220" s="13">
        <f>HYPERLINK("https://app.hubspot.com/contacts/8748051/record/0-2/19176224894", 19176224894)</f>
        <v>19176224894</v>
      </c>
      <c r="S220" s="14" t="s">
        <v>867</v>
      </c>
      <c r="T220" s="18" t="s">
        <v>868</v>
      </c>
      <c r="U220" s="14" t="s">
        <v>46</v>
      </c>
      <c r="V220" s="15"/>
      <c r="W220" s="19">
        <v>472.0</v>
      </c>
      <c r="X220" s="19">
        <v>20.0</v>
      </c>
      <c r="Y220" s="20"/>
      <c r="Z220" s="20"/>
      <c r="AA220" s="20"/>
      <c r="AB220" s="21"/>
      <c r="AC220" s="20"/>
      <c r="AD220" s="20"/>
      <c r="AE220" s="20"/>
      <c r="AF220" s="17" t="str">
        <f t="shared" si="1"/>
        <v>New Logo</v>
      </c>
      <c r="AG220" s="17" t="str">
        <f t="shared" si="2"/>
        <v>Lead</v>
      </c>
      <c r="AH220" s="17" t="str">
        <f t="shared" si="3"/>
        <v>201-500</v>
      </c>
      <c r="AI220" s="17" t="str">
        <f t="shared" si="4"/>
        <v>0-20</v>
      </c>
    </row>
    <row r="221" ht="15.75" customHeight="1">
      <c r="A221" s="13">
        <f>HYPERLINK("https://app.hubspot.com/contacts/8748051/record/0-3/41092589369", 41092589369)</f>
        <v>41092589369</v>
      </c>
      <c r="B221" s="14" t="s">
        <v>869</v>
      </c>
      <c r="C221" s="14" t="s">
        <v>49</v>
      </c>
      <c r="D221" s="15">
        <v>2000.0</v>
      </c>
      <c r="E221" s="14" t="s">
        <v>118</v>
      </c>
      <c r="F221" s="14"/>
      <c r="G221" s="16">
        <v>45868.545115740744</v>
      </c>
      <c r="H221" s="16">
        <v>46048.54509259259</v>
      </c>
      <c r="I221" s="14" t="s">
        <v>39</v>
      </c>
      <c r="J221" s="14" t="s">
        <v>40</v>
      </c>
      <c r="K221" s="14" t="s">
        <v>41</v>
      </c>
      <c r="L221" s="14" t="s">
        <v>42</v>
      </c>
      <c r="M221" s="14" t="s">
        <v>72</v>
      </c>
      <c r="N221" s="14"/>
      <c r="O221" s="14"/>
      <c r="P221" s="14" t="s">
        <v>260</v>
      </c>
      <c r="Q221" s="14"/>
      <c r="R221" s="13">
        <f>HYPERLINK("https://app.hubspot.com/contacts/8748051/record/0-2/36686914690", 36686914690)</f>
        <v>36686914690</v>
      </c>
      <c r="S221" s="14" t="s">
        <v>870</v>
      </c>
      <c r="T221" s="18" t="s">
        <v>871</v>
      </c>
      <c r="U221" s="14" t="s">
        <v>46</v>
      </c>
      <c r="V221" s="15"/>
      <c r="W221" s="19">
        <v>77.0</v>
      </c>
      <c r="X221" s="19">
        <v>4.0</v>
      </c>
      <c r="Y221" s="20"/>
      <c r="Z221" s="20"/>
      <c r="AA221" s="20"/>
      <c r="AB221" s="20"/>
      <c r="AC221" s="20"/>
      <c r="AD221" s="20"/>
      <c r="AE221" s="20"/>
      <c r="AF221" s="17" t="str">
        <f t="shared" si="1"/>
        <v>New Logo</v>
      </c>
      <c r="AG221" s="17" t="str">
        <f t="shared" si="2"/>
        <v>Lead</v>
      </c>
      <c r="AH221" s="17" t="str">
        <f t="shared" si="3"/>
        <v>0-200</v>
      </c>
      <c r="AI221" s="17" t="str">
        <f t="shared" si="4"/>
        <v>0-20</v>
      </c>
    </row>
    <row r="222" ht="15.75" customHeight="1">
      <c r="A222" s="13">
        <f>HYPERLINK("https://app.hubspot.com/contacts/8748051/record/0-3/41078746887", 41078746887)</f>
        <v>41078746887</v>
      </c>
      <c r="B222" s="14" t="s">
        <v>872</v>
      </c>
      <c r="C222" s="14" t="s">
        <v>49</v>
      </c>
      <c r="D222" s="15">
        <v>18000.0</v>
      </c>
      <c r="E222" s="14" t="s">
        <v>89</v>
      </c>
      <c r="F222" s="14" t="s">
        <v>51</v>
      </c>
      <c r="G222" s="16">
        <v>45868.531168981484</v>
      </c>
      <c r="H222" s="16">
        <v>45989.90195601852</v>
      </c>
      <c r="I222" s="14" t="s">
        <v>39</v>
      </c>
      <c r="J222" s="14" t="s">
        <v>179</v>
      </c>
      <c r="K222" s="14" t="s">
        <v>41</v>
      </c>
      <c r="L222" s="14" t="s">
        <v>180</v>
      </c>
      <c r="M222" s="14" t="s">
        <v>43</v>
      </c>
      <c r="N222" s="14" t="s">
        <v>873</v>
      </c>
      <c r="O222" s="14"/>
      <c r="P222" s="14"/>
      <c r="Q222" s="14"/>
      <c r="R222" s="13">
        <f>HYPERLINK("https://app.hubspot.com/contacts/8748051/record/0-2/7863723650", 7863723650)</f>
        <v>7863723650</v>
      </c>
      <c r="S222" s="14" t="s">
        <v>874</v>
      </c>
      <c r="T222" s="18" t="s">
        <v>875</v>
      </c>
      <c r="U222" s="14" t="s">
        <v>93</v>
      </c>
      <c r="V222" s="15">
        <v>65400.0</v>
      </c>
      <c r="W222" s="19">
        <v>650.0</v>
      </c>
      <c r="X222" s="19">
        <v>135.0</v>
      </c>
      <c r="Y222" s="20"/>
      <c r="Z222" s="20" t="s">
        <v>184</v>
      </c>
      <c r="AA222" s="20" t="s">
        <v>205</v>
      </c>
      <c r="AB222" s="21"/>
      <c r="AC222" s="20" t="s">
        <v>876</v>
      </c>
      <c r="AD222" s="20" t="s">
        <v>877</v>
      </c>
      <c r="AE222" s="20" t="s">
        <v>166</v>
      </c>
      <c r="AF222" s="17" t="str">
        <f t="shared" si="1"/>
        <v>Upsell</v>
      </c>
      <c r="AG222" s="17" t="str">
        <f t="shared" si="2"/>
        <v>Customer</v>
      </c>
      <c r="AH222" s="17" t="str">
        <f t="shared" si="3"/>
        <v>501-1000</v>
      </c>
      <c r="AI222" s="17" t="str">
        <f t="shared" si="4"/>
        <v>101-500</v>
      </c>
    </row>
    <row r="223" ht="15.75" customHeight="1">
      <c r="A223" s="13">
        <f>HYPERLINK("https://app.hubspot.com/contacts/8748051/record/0-3/41068201060", 41068201060)</f>
        <v>41068201060</v>
      </c>
      <c r="B223" s="14" t="s">
        <v>878</v>
      </c>
      <c r="C223" s="14" t="s">
        <v>145</v>
      </c>
      <c r="D223" s="15">
        <v>30500.0</v>
      </c>
      <c r="E223" s="14" t="s">
        <v>146</v>
      </c>
      <c r="F223" s="14" t="s">
        <v>51</v>
      </c>
      <c r="G223" s="16">
        <v>45868.41336805555</v>
      </c>
      <c r="H223" s="16">
        <v>45980.38789351852</v>
      </c>
      <c r="I223" s="14" t="s">
        <v>39</v>
      </c>
      <c r="J223" s="14" t="s">
        <v>40</v>
      </c>
      <c r="K223" s="14" t="s">
        <v>41</v>
      </c>
      <c r="L223" s="14" t="s">
        <v>42</v>
      </c>
      <c r="M223" s="14" t="s">
        <v>43</v>
      </c>
      <c r="N223" s="14"/>
      <c r="O223" s="14" t="s">
        <v>879</v>
      </c>
      <c r="P223" s="14"/>
      <c r="Q223" s="14"/>
      <c r="R223" s="13">
        <f>HYPERLINK("https://app.hubspot.com/contacts/8748051/record/0-2/18382767734", 18382767734)</f>
        <v>18382767734</v>
      </c>
      <c r="S223" s="14" t="s">
        <v>880</v>
      </c>
      <c r="T223" s="18" t="s">
        <v>881</v>
      </c>
      <c r="U223" s="14" t="s">
        <v>46</v>
      </c>
      <c r="V223" s="15"/>
      <c r="W223" s="19">
        <v>2212.0</v>
      </c>
      <c r="X223" s="19">
        <v>71.0</v>
      </c>
      <c r="Y223" s="20" t="s">
        <v>104</v>
      </c>
      <c r="Z223" s="20"/>
      <c r="AA223" s="21"/>
      <c r="AB223" s="21"/>
      <c r="AC223" s="20"/>
      <c r="AD223" s="20"/>
      <c r="AE223" s="20"/>
      <c r="AF223" s="17" t="str">
        <f t="shared" si="1"/>
        <v>New Logo</v>
      </c>
      <c r="AG223" s="17" t="str">
        <f t="shared" si="2"/>
        <v>Lead</v>
      </c>
      <c r="AH223" s="17" t="str">
        <f t="shared" si="3"/>
        <v>1001-5000</v>
      </c>
      <c r="AI223" s="17" t="str">
        <f t="shared" si="4"/>
        <v>51-100</v>
      </c>
    </row>
    <row r="224" ht="15.75" customHeight="1">
      <c r="A224" s="13">
        <f>HYPERLINK("https://app.hubspot.com/contacts/8748051/record/0-3/41066731397", 41066731397)</f>
        <v>41066731397</v>
      </c>
      <c r="B224" s="14" t="s">
        <v>882</v>
      </c>
      <c r="C224" s="14" t="s">
        <v>37</v>
      </c>
      <c r="D224" s="15">
        <v>20000.0</v>
      </c>
      <c r="E224" s="14" t="s">
        <v>89</v>
      </c>
      <c r="F224" s="14" t="s">
        <v>51</v>
      </c>
      <c r="G224" s="16">
        <v>45868.40723379629</v>
      </c>
      <c r="H224" s="16">
        <v>46021.52452546296</v>
      </c>
      <c r="I224" s="14" t="s">
        <v>39</v>
      </c>
      <c r="J224" s="14" t="s">
        <v>40</v>
      </c>
      <c r="K224" s="14" t="s">
        <v>41</v>
      </c>
      <c r="L224" s="14" t="s">
        <v>42</v>
      </c>
      <c r="M224" s="14" t="s">
        <v>43</v>
      </c>
      <c r="N224" s="14" t="s">
        <v>883</v>
      </c>
      <c r="O224" s="17"/>
      <c r="P224" s="14"/>
      <c r="Q224" s="14"/>
      <c r="R224" s="13">
        <f>HYPERLINK("https://app.hubspot.com/contacts/8748051/record/0-2/36960772898", 36960772898)</f>
        <v>36960772898</v>
      </c>
      <c r="S224" s="14" t="s">
        <v>884</v>
      </c>
      <c r="T224" s="18" t="s">
        <v>885</v>
      </c>
      <c r="U224" s="14" t="s">
        <v>93</v>
      </c>
      <c r="V224" s="15">
        <v>20000.0</v>
      </c>
      <c r="W224" s="19">
        <v>66.0</v>
      </c>
      <c r="X224" s="19">
        <v>15.0</v>
      </c>
      <c r="Y224" s="20"/>
      <c r="Z224" s="20" t="s">
        <v>218</v>
      </c>
      <c r="AA224" s="21"/>
      <c r="AB224" s="21"/>
      <c r="AC224" s="20" t="s">
        <v>461</v>
      </c>
      <c r="AD224" s="20"/>
      <c r="AE224" s="20"/>
      <c r="AF224" s="17" t="str">
        <f t="shared" si="1"/>
        <v>New Logo</v>
      </c>
      <c r="AG224" s="17" t="str">
        <f t="shared" si="2"/>
        <v>Customer</v>
      </c>
      <c r="AH224" s="17" t="str">
        <f t="shared" si="3"/>
        <v>0-200</v>
      </c>
      <c r="AI224" s="17" t="str">
        <f t="shared" si="4"/>
        <v>0-20</v>
      </c>
    </row>
    <row r="225" ht="15.75" customHeight="1">
      <c r="A225" s="13">
        <f>HYPERLINK("https://app.hubspot.com/contacts/8748051/record/0-3/40845538053", 40845538053)</f>
        <v>40845538053</v>
      </c>
      <c r="B225" s="14" t="s">
        <v>886</v>
      </c>
      <c r="C225" s="14" t="s">
        <v>37</v>
      </c>
      <c r="D225" s="15">
        <v>100000.0</v>
      </c>
      <c r="E225" s="14" t="s">
        <v>124</v>
      </c>
      <c r="F225" s="14" t="s">
        <v>51</v>
      </c>
      <c r="G225" s="16">
        <v>45863.58931712963</v>
      </c>
      <c r="H225" s="16">
        <v>46009.367268518516</v>
      </c>
      <c r="I225" s="14" t="s">
        <v>39</v>
      </c>
      <c r="J225" s="14" t="s">
        <v>52</v>
      </c>
      <c r="K225" s="14" t="s">
        <v>59</v>
      </c>
      <c r="L225" s="14" t="s">
        <v>60</v>
      </c>
      <c r="M225" s="14" t="s">
        <v>43</v>
      </c>
      <c r="N225" s="14"/>
      <c r="O225" s="17"/>
      <c r="P225" s="14"/>
      <c r="Q225" s="14" t="s">
        <v>141</v>
      </c>
      <c r="R225" s="13">
        <f>HYPERLINK("https://app.hubspot.com/contacts/8748051/record/0-2/15148229505", 15148229505)</f>
        <v>15148229505</v>
      </c>
      <c r="S225" s="14" t="s">
        <v>887</v>
      </c>
      <c r="T225" s="18" t="s">
        <v>888</v>
      </c>
      <c r="U225" s="14" t="s">
        <v>46</v>
      </c>
      <c r="V225" s="15"/>
      <c r="W225" s="19">
        <v>1405.0</v>
      </c>
      <c r="X225" s="19">
        <v>9.0</v>
      </c>
      <c r="Y225" s="20" t="s">
        <v>104</v>
      </c>
      <c r="Z225" s="20"/>
      <c r="AA225" s="21"/>
      <c r="AB225" s="21"/>
      <c r="AC225" s="20"/>
      <c r="AD225" s="21"/>
      <c r="AE225" s="20"/>
      <c r="AF225" s="17" t="str">
        <f t="shared" si="1"/>
        <v>New Logo</v>
      </c>
      <c r="AG225" s="17" t="str">
        <f t="shared" si="2"/>
        <v>Lead</v>
      </c>
      <c r="AH225" s="17" t="str">
        <f t="shared" si="3"/>
        <v>1001-5000</v>
      </c>
      <c r="AI225" s="17" t="str">
        <f t="shared" si="4"/>
        <v>0-20</v>
      </c>
    </row>
    <row r="226" ht="15.75" customHeight="1">
      <c r="A226" s="13">
        <f>HYPERLINK("https://app.hubspot.com/contacts/8748051/record/0-3/40754286148", 40754286148)</f>
        <v>40754286148</v>
      </c>
      <c r="B226" s="14" t="s">
        <v>889</v>
      </c>
      <c r="C226" s="14" t="s">
        <v>145</v>
      </c>
      <c r="D226" s="15">
        <v>0.0</v>
      </c>
      <c r="E226" s="14" t="s">
        <v>118</v>
      </c>
      <c r="F226" s="14"/>
      <c r="G226" s="16">
        <v>45862.466678240744</v>
      </c>
      <c r="H226" s="16">
        <v>46042.46664351852</v>
      </c>
      <c r="I226" s="14" t="s">
        <v>39</v>
      </c>
      <c r="J226" s="14" t="s">
        <v>40</v>
      </c>
      <c r="K226" s="14" t="s">
        <v>41</v>
      </c>
      <c r="L226" s="14" t="s">
        <v>42</v>
      </c>
      <c r="M226" s="14" t="s">
        <v>43</v>
      </c>
      <c r="N226" s="14"/>
      <c r="O226" s="17"/>
      <c r="P226" s="14" t="s">
        <v>260</v>
      </c>
      <c r="Q226" s="14"/>
      <c r="R226" s="13">
        <f>HYPERLINK("https://app.hubspot.com/contacts/8748051/record/0-2/36689275544", 36689275544)</f>
        <v>36689275544</v>
      </c>
      <c r="S226" s="14" t="s">
        <v>890</v>
      </c>
      <c r="T226" s="18" t="s">
        <v>891</v>
      </c>
      <c r="U226" s="14" t="s">
        <v>46</v>
      </c>
      <c r="V226" s="15"/>
      <c r="W226" s="19">
        <v>0.0</v>
      </c>
      <c r="X226" s="19">
        <v>0.0</v>
      </c>
      <c r="Y226" s="20"/>
      <c r="Z226" s="20"/>
      <c r="AA226" s="21"/>
      <c r="AB226" s="20"/>
      <c r="AC226" s="20"/>
      <c r="AD226" s="21"/>
      <c r="AE226" s="20"/>
      <c r="AF226" s="17" t="str">
        <f t="shared" si="1"/>
        <v>New Logo</v>
      </c>
      <c r="AG226" s="17" t="str">
        <f t="shared" si="2"/>
        <v>Lead</v>
      </c>
      <c r="AH226" s="17" t="str">
        <f t="shared" si="3"/>
        <v>0-200</v>
      </c>
      <c r="AI226" s="17" t="str">
        <f t="shared" si="4"/>
        <v>0-20</v>
      </c>
    </row>
    <row r="227" ht="15.75" customHeight="1">
      <c r="A227" s="13">
        <f>HYPERLINK("https://app.hubspot.com/contacts/8748051/record/0-3/40673451836", 40673451836)</f>
        <v>40673451836</v>
      </c>
      <c r="B227" s="14" t="s">
        <v>892</v>
      </c>
      <c r="C227" s="14" t="s">
        <v>37</v>
      </c>
      <c r="D227" s="15">
        <v>8500.0</v>
      </c>
      <c r="E227" s="14" t="s">
        <v>124</v>
      </c>
      <c r="F227" s="14" t="s">
        <v>51</v>
      </c>
      <c r="G227" s="16">
        <v>45860.888287037036</v>
      </c>
      <c r="H227" s="16">
        <v>46122.32958333333</v>
      </c>
      <c r="I227" s="14" t="s">
        <v>39</v>
      </c>
      <c r="J227" s="14" t="s">
        <v>40</v>
      </c>
      <c r="K227" s="14" t="s">
        <v>41</v>
      </c>
      <c r="L227" s="14" t="s">
        <v>42</v>
      </c>
      <c r="M227" s="14" t="s">
        <v>43</v>
      </c>
      <c r="N227" s="14"/>
      <c r="O227" s="17"/>
      <c r="P227" s="14"/>
      <c r="Q227" s="14" t="s">
        <v>141</v>
      </c>
      <c r="R227" s="13">
        <f>HYPERLINK("https://app.hubspot.com/contacts/8748051/record/0-2/36401575587", 36401575587)</f>
        <v>36401575587</v>
      </c>
      <c r="S227" s="14" t="s">
        <v>893</v>
      </c>
      <c r="T227" s="18" t="s">
        <v>894</v>
      </c>
      <c r="U227" s="14" t="s">
        <v>46</v>
      </c>
      <c r="V227" s="15"/>
      <c r="W227" s="19">
        <v>1387.0</v>
      </c>
      <c r="X227" s="19">
        <v>32.0</v>
      </c>
      <c r="Y227" s="20"/>
      <c r="Z227" s="20"/>
      <c r="AA227" s="21"/>
      <c r="AB227" s="20"/>
      <c r="AC227" s="20"/>
      <c r="AD227" s="21"/>
      <c r="AE227" s="20"/>
      <c r="AF227" s="17" t="str">
        <f t="shared" si="1"/>
        <v>New Logo</v>
      </c>
      <c r="AG227" s="17" t="str">
        <f t="shared" si="2"/>
        <v>Lead</v>
      </c>
      <c r="AH227" s="17" t="str">
        <f t="shared" si="3"/>
        <v>1001-5000</v>
      </c>
      <c r="AI227" s="17" t="str">
        <f t="shared" si="4"/>
        <v>21-50</v>
      </c>
    </row>
    <row r="228" ht="15.75" customHeight="1">
      <c r="A228" s="13">
        <f>HYPERLINK("https://app.hubspot.com/contacts/8748051/record/0-3/40637983819", 40637983819)</f>
        <v>40637983819</v>
      </c>
      <c r="B228" s="14" t="s">
        <v>895</v>
      </c>
      <c r="C228" s="14" t="s">
        <v>49</v>
      </c>
      <c r="D228" s="15">
        <v>15000.0</v>
      </c>
      <c r="E228" s="14" t="s">
        <v>89</v>
      </c>
      <c r="F228" s="14" t="s">
        <v>51</v>
      </c>
      <c r="G228" s="16">
        <v>45859.91868055556</v>
      </c>
      <c r="H228" s="16">
        <v>45944.55898148148</v>
      </c>
      <c r="I228" s="14" t="s">
        <v>39</v>
      </c>
      <c r="J228" s="14" t="s">
        <v>40</v>
      </c>
      <c r="K228" s="14" t="s">
        <v>41</v>
      </c>
      <c r="L228" s="14" t="s">
        <v>42</v>
      </c>
      <c r="M228" s="14" t="s">
        <v>43</v>
      </c>
      <c r="N228" s="14" t="s">
        <v>896</v>
      </c>
      <c r="O228" s="17"/>
      <c r="P228" s="14"/>
      <c r="Q228" s="14"/>
      <c r="R228" s="13">
        <f>HYPERLINK("https://app.hubspot.com/contacts/8748051/record/0-2/36581207151", 36581207151)</f>
        <v>36581207151</v>
      </c>
      <c r="S228" s="14" t="s">
        <v>897</v>
      </c>
      <c r="T228" s="18" t="s">
        <v>898</v>
      </c>
      <c r="U228" s="14" t="s">
        <v>93</v>
      </c>
      <c r="V228" s="15">
        <v>15000.0</v>
      </c>
      <c r="W228" s="19">
        <v>63.0</v>
      </c>
      <c r="X228" s="19">
        <v>35.0</v>
      </c>
      <c r="Y228" s="20"/>
      <c r="Z228" s="20" t="s">
        <v>348</v>
      </c>
      <c r="AA228" s="21"/>
      <c r="AB228" s="20" t="s">
        <v>267</v>
      </c>
      <c r="AC228" s="20" t="s">
        <v>899</v>
      </c>
      <c r="AD228" s="21"/>
      <c r="AE228" s="20" t="s">
        <v>553</v>
      </c>
      <c r="AF228" s="17" t="str">
        <f t="shared" si="1"/>
        <v>New Logo</v>
      </c>
      <c r="AG228" s="17" t="str">
        <f t="shared" si="2"/>
        <v>Customer</v>
      </c>
      <c r="AH228" s="17" t="str">
        <f t="shared" si="3"/>
        <v>0-200</v>
      </c>
      <c r="AI228" s="17" t="str">
        <f t="shared" si="4"/>
        <v>21-50</v>
      </c>
    </row>
    <row r="229" ht="15.75" customHeight="1">
      <c r="A229" s="13">
        <f>HYPERLINK("https://app.hubspot.com/contacts/8748051/record/0-3/40594900741", 40594900741)</f>
        <v>40594900741</v>
      </c>
      <c r="B229" s="14" t="s">
        <v>900</v>
      </c>
      <c r="C229" s="14" t="s">
        <v>37</v>
      </c>
      <c r="D229" s="15">
        <v>89000.0</v>
      </c>
      <c r="E229" s="14" t="s">
        <v>124</v>
      </c>
      <c r="F229" s="14" t="s">
        <v>51</v>
      </c>
      <c r="G229" s="16">
        <v>45859.671898148146</v>
      </c>
      <c r="H229" s="16">
        <v>46101.578518518516</v>
      </c>
      <c r="I229" s="14" t="s">
        <v>39</v>
      </c>
      <c r="J229" s="14" t="s">
        <v>52</v>
      </c>
      <c r="K229" s="14" t="s">
        <v>41</v>
      </c>
      <c r="L229" s="14" t="s">
        <v>42</v>
      </c>
      <c r="M229" s="14" t="s">
        <v>43</v>
      </c>
      <c r="N229" s="14"/>
      <c r="O229" s="14"/>
      <c r="P229" s="14"/>
      <c r="Q229" s="14" t="s">
        <v>125</v>
      </c>
      <c r="R229" s="13">
        <f>HYPERLINK("https://app.hubspot.com/contacts/8748051/record/0-2/15869853957", 15869853957)</f>
        <v>15869853957</v>
      </c>
      <c r="S229" s="14" t="s">
        <v>901</v>
      </c>
      <c r="T229" s="18" t="s">
        <v>902</v>
      </c>
      <c r="U229" s="14" t="s">
        <v>46</v>
      </c>
      <c r="V229" s="15"/>
      <c r="W229" s="19">
        <v>444.0</v>
      </c>
      <c r="X229" s="19">
        <v>196.0</v>
      </c>
      <c r="Y229" s="20" t="s">
        <v>55</v>
      </c>
      <c r="Z229" s="20"/>
      <c r="AA229" s="21"/>
      <c r="AB229" s="21"/>
      <c r="AC229" s="20"/>
      <c r="AD229" s="20"/>
      <c r="AE229" s="20"/>
      <c r="AF229" s="17" t="str">
        <f t="shared" si="1"/>
        <v>New Logo</v>
      </c>
      <c r="AG229" s="17" t="str">
        <f t="shared" si="2"/>
        <v>Lead</v>
      </c>
      <c r="AH229" s="17" t="str">
        <f t="shared" si="3"/>
        <v>201-500</v>
      </c>
      <c r="AI229" s="17" t="str">
        <f t="shared" si="4"/>
        <v>101-500</v>
      </c>
    </row>
    <row r="230" ht="15.75" customHeight="1">
      <c r="A230" s="13">
        <f>HYPERLINK("https://app.hubspot.com/contacts/8748051/record/0-3/40561459858", 40561459858)</f>
        <v>40561459858</v>
      </c>
      <c r="B230" s="14" t="s">
        <v>903</v>
      </c>
      <c r="C230" s="14" t="s">
        <v>37</v>
      </c>
      <c r="D230" s="15">
        <v>25000.0</v>
      </c>
      <c r="E230" s="14" t="s">
        <v>124</v>
      </c>
      <c r="F230" s="14" t="s">
        <v>51</v>
      </c>
      <c r="G230" s="16">
        <v>45859.46778935185</v>
      </c>
      <c r="H230" s="16">
        <v>45989.46431712963</v>
      </c>
      <c r="I230" s="14" t="s">
        <v>39</v>
      </c>
      <c r="J230" s="14" t="s">
        <v>40</v>
      </c>
      <c r="K230" s="14" t="s">
        <v>41</v>
      </c>
      <c r="L230" s="14" t="s">
        <v>42</v>
      </c>
      <c r="M230" s="14" t="s">
        <v>98</v>
      </c>
      <c r="N230" s="17"/>
      <c r="O230" s="14"/>
      <c r="P230" s="14"/>
      <c r="Q230" s="14" t="s">
        <v>195</v>
      </c>
      <c r="R230" s="13">
        <f>HYPERLINK("https://app.hubspot.com/contacts/8748051/record/0-2/19176582916", 19176582916)</f>
        <v>19176582916</v>
      </c>
      <c r="S230" s="14" t="s">
        <v>904</v>
      </c>
      <c r="T230" s="18" t="s">
        <v>905</v>
      </c>
      <c r="U230" s="14" t="s">
        <v>46</v>
      </c>
      <c r="V230" s="15"/>
      <c r="W230" s="19">
        <v>3250.0</v>
      </c>
      <c r="X230" s="19">
        <v>121.0</v>
      </c>
      <c r="Y230" s="20"/>
      <c r="Z230" s="20"/>
      <c r="AA230" s="21"/>
      <c r="AB230" s="21"/>
      <c r="AC230" s="20"/>
      <c r="AD230" s="21"/>
      <c r="AE230" s="20"/>
      <c r="AF230" s="17" t="str">
        <f t="shared" si="1"/>
        <v>New Logo</v>
      </c>
      <c r="AG230" s="17" t="str">
        <f t="shared" si="2"/>
        <v>Lead</v>
      </c>
      <c r="AH230" s="17" t="str">
        <f t="shared" si="3"/>
        <v>1001-5000</v>
      </c>
      <c r="AI230" s="17" t="str">
        <f t="shared" si="4"/>
        <v>101-500</v>
      </c>
    </row>
    <row r="231" ht="15.75" customHeight="1">
      <c r="A231" s="13">
        <f>HYPERLINK("https://app.hubspot.com/contacts/8748051/record/0-3/44000848767", 44000848767)</f>
        <v>44000848767</v>
      </c>
      <c r="B231" s="14" t="s">
        <v>906</v>
      </c>
      <c r="C231" s="14" t="s">
        <v>156</v>
      </c>
      <c r="D231" s="15">
        <v>1865.0</v>
      </c>
      <c r="E231" s="14" t="s">
        <v>89</v>
      </c>
      <c r="F231" s="14"/>
      <c r="G231" s="16">
        <v>45853.65965277778</v>
      </c>
      <c r="H231" s="16">
        <v>45853.65966435185</v>
      </c>
      <c r="I231" s="14" t="s">
        <v>39</v>
      </c>
      <c r="J231" s="14" t="s">
        <v>179</v>
      </c>
      <c r="K231" s="14" t="s">
        <v>158</v>
      </c>
      <c r="L231" s="14" t="s">
        <v>159</v>
      </c>
      <c r="M231" s="14" t="s">
        <v>43</v>
      </c>
      <c r="N231" s="17"/>
      <c r="O231" s="17"/>
      <c r="P231" s="14"/>
      <c r="Q231" s="14"/>
      <c r="R231" s="13">
        <f>HYPERLINK("https://app.hubspot.com/contacts/8748051/record/0-2/7686762401", 7686762401)</f>
        <v>7686762401</v>
      </c>
      <c r="S231" s="14" t="s">
        <v>907</v>
      </c>
      <c r="T231" s="18" t="s">
        <v>908</v>
      </c>
      <c r="U231" s="14" t="s">
        <v>93</v>
      </c>
      <c r="V231" s="15">
        <v>48465.0</v>
      </c>
      <c r="W231" s="19">
        <v>966.0</v>
      </c>
      <c r="X231" s="19">
        <v>102.0</v>
      </c>
      <c r="Y231" s="20"/>
      <c r="Z231" s="20" t="s">
        <v>205</v>
      </c>
      <c r="AA231" s="21"/>
      <c r="AB231" s="21"/>
      <c r="AC231" s="20" t="s">
        <v>909</v>
      </c>
      <c r="AD231" s="21"/>
      <c r="AE231" s="20" t="s">
        <v>553</v>
      </c>
      <c r="AF231" s="17" t="str">
        <f t="shared" si="1"/>
        <v>Upsell</v>
      </c>
      <c r="AG231" s="17" t="str">
        <f t="shared" si="2"/>
        <v>Customer</v>
      </c>
      <c r="AH231" s="17" t="str">
        <f t="shared" si="3"/>
        <v>501-1000</v>
      </c>
      <c r="AI231" s="17" t="str">
        <f t="shared" si="4"/>
        <v>101-500</v>
      </c>
    </row>
    <row r="232" ht="15.75" customHeight="1">
      <c r="A232" s="13">
        <f>HYPERLINK("https://app.hubspot.com/contacts/8748051/record/0-3/40235751763", 40235751763)</f>
        <v>40235751763</v>
      </c>
      <c r="B232" s="14" t="s">
        <v>910</v>
      </c>
      <c r="C232" s="14" t="s">
        <v>145</v>
      </c>
      <c r="D232" s="15">
        <v>30000.0</v>
      </c>
      <c r="E232" s="14" t="s">
        <v>124</v>
      </c>
      <c r="F232" s="14" t="s">
        <v>51</v>
      </c>
      <c r="G232" s="16">
        <v>45852.70297453704</v>
      </c>
      <c r="H232" s="16">
        <v>46203.76150462963</v>
      </c>
      <c r="I232" s="14" t="s">
        <v>39</v>
      </c>
      <c r="J232" s="14" t="s">
        <v>40</v>
      </c>
      <c r="K232" s="14" t="s">
        <v>41</v>
      </c>
      <c r="L232" s="14" t="s">
        <v>42</v>
      </c>
      <c r="M232" s="14" t="s">
        <v>43</v>
      </c>
      <c r="N232" s="14"/>
      <c r="O232" s="14"/>
      <c r="P232" s="14"/>
      <c r="Q232" s="14" t="s">
        <v>125</v>
      </c>
      <c r="R232" s="13">
        <f>HYPERLINK("https://app.hubspot.com/contacts/8748051/record/0-2/19176533838", 19176533838)</f>
        <v>19176533838</v>
      </c>
      <c r="S232" s="14" t="s">
        <v>911</v>
      </c>
      <c r="T232" s="18" t="s">
        <v>912</v>
      </c>
      <c r="U232" s="14" t="s">
        <v>46</v>
      </c>
      <c r="V232" s="15"/>
      <c r="W232" s="19">
        <v>168.0</v>
      </c>
      <c r="X232" s="19">
        <v>16.0</v>
      </c>
      <c r="Y232" s="20"/>
      <c r="Z232" s="20"/>
      <c r="AA232" s="21"/>
      <c r="AB232" s="21"/>
      <c r="AC232" s="20"/>
      <c r="AD232" s="21"/>
      <c r="AE232" s="20"/>
      <c r="AF232" s="17" t="str">
        <f t="shared" si="1"/>
        <v>New Logo</v>
      </c>
      <c r="AG232" s="17" t="str">
        <f t="shared" si="2"/>
        <v>Lead</v>
      </c>
      <c r="AH232" s="17" t="str">
        <f t="shared" si="3"/>
        <v>0-200</v>
      </c>
      <c r="AI232" s="17" t="str">
        <f t="shared" si="4"/>
        <v>0-20</v>
      </c>
    </row>
    <row r="233" ht="15.75" customHeight="1">
      <c r="A233" s="13">
        <f>HYPERLINK("https://app.hubspot.com/contacts/8748051/record/0-3/40250836559", 40250836559)</f>
        <v>40250836559</v>
      </c>
      <c r="B233" s="14" t="s">
        <v>913</v>
      </c>
      <c r="C233" s="14" t="s">
        <v>49</v>
      </c>
      <c r="D233" s="15">
        <v>100000.0</v>
      </c>
      <c r="E233" s="14" t="s">
        <v>50</v>
      </c>
      <c r="F233" s="14" t="s">
        <v>51</v>
      </c>
      <c r="G233" s="16">
        <v>45852.6740162037</v>
      </c>
      <c r="H233" s="16">
        <v>46295.95269675926</v>
      </c>
      <c r="I233" s="14" t="s">
        <v>39</v>
      </c>
      <c r="J233" s="14" t="s">
        <v>52</v>
      </c>
      <c r="K233" s="14" t="s">
        <v>41</v>
      </c>
      <c r="L233" s="14" t="s">
        <v>42</v>
      </c>
      <c r="M233" s="14" t="s">
        <v>43</v>
      </c>
      <c r="N233" s="14"/>
      <c r="O233" s="14"/>
      <c r="P233" s="14"/>
      <c r="Q233" s="14"/>
      <c r="R233" s="13">
        <f>HYPERLINK("https://app.hubspot.com/contacts/8748051/record/0-2/9238306695", 9238306695)</f>
        <v>9238306695</v>
      </c>
      <c r="S233" s="14" t="s">
        <v>914</v>
      </c>
      <c r="T233" s="18" t="s">
        <v>915</v>
      </c>
      <c r="U233" s="14" t="s">
        <v>46</v>
      </c>
      <c r="V233" s="15"/>
      <c r="W233" s="19">
        <v>12647.0</v>
      </c>
      <c r="X233" s="19">
        <v>3466.0</v>
      </c>
      <c r="Y233" s="21"/>
      <c r="Z233" s="20"/>
      <c r="AA233" s="21"/>
      <c r="AB233" s="21"/>
      <c r="AC233" s="20"/>
      <c r="AD233" s="21"/>
      <c r="AE233" s="20"/>
      <c r="AF233" s="17" t="str">
        <f t="shared" si="1"/>
        <v>New Logo</v>
      </c>
      <c r="AG233" s="17" t="str">
        <f t="shared" si="2"/>
        <v>Lead</v>
      </c>
      <c r="AH233" s="17" t="str">
        <f t="shared" si="3"/>
        <v>10000+</v>
      </c>
      <c r="AI233" s="17" t="str">
        <f t="shared" si="4"/>
        <v>500+</v>
      </c>
    </row>
    <row r="234" ht="15.75" customHeight="1">
      <c r="A234" s="13">
        <f>HYPERLINK("https://app.hubspot.com/contacts/8748051/record/0-3/40024962160", 40024962160)</f>
        <v>40024962160</v>
      </c>
      <c r="B234" s="14" t="s">
        <v>916</v>
      </c>
      <c r="C234" s="14" t="s">
        <v>49</v>
      </c>
      <c r="D234" s="15">
        <v>4500.0</v>
      </c>
      <c r="E234" s="14" t="s">
        <v>118</v>
      </c>
      <c r="F234" s="14"/>
      <c r="G234" s="16">
        <v>45849.585706018515</v>
      </c>
      <c r="H234" s="16">
        <v>46029.585694444446</v>
      </c>
      <c r="I234" s="14" t="s">
        <v>39</v>
      </c>
      <c r="J234" s="14" t="s">
        <v>40</v>
      </c>
      <c r="K234" s="14" t="s">
        <v>41</v>
      </c>
      <c r="L234" s="14" t="s">
        <v>42</v>
      </c>
      <c r="M234" s="14" t="s">
        <v>43</v>
      </c>
      <c r="N234" s="14"/>
      <c r="O234" s="14"/>
      <c r="P234" s="14" t="s">
        <v>232</v>
      </c>
      <c r="Q234" s="14"/>
      <c r="R234" s="13">
        <f>HYPERLINK("https://app.hubspot.com/contacts/8748051/record/0-2/36031664519", 36031664519)</f>
        <v>36031664519</v>
      </c>
      <c r="S234" s="14" t="s">
        <v>917</v>
      </c>
      <c r="T234" s="18" t="s">
        <v>918</v>
      </c>
      <c r="U234" s="14" t="s">
        <v>46</v>
      </c>
      <c r="V234" s="15"/>
      <c r="W234" s="19">
        <v>284.0</v>
      </c>
      <c r="X234" s="19">
        <v>9.0</v>
      </c>
      <c r="Y234" s="21"/>
      <c r="Z234" s="20"/>
      <c r="AA234" s="21"/>
      <c r="AB234" s="21"/>
      <c r="AC234" s="20"/>
      <c r="AD234" s="21"/>
      <c r="AE234" s="20"/>
      <c r="AF234" s="17" t="str">
        <f t="shared" si="1"/>
        <v>New Logo</v>
      </c>
      <c r="AG234" s="17" t="str">
        <f t="shared" si="2"/>
        <v>Lead</v>
      </c>
      <c r="AH234" s="17" t="str">
        <f t="shared" si="3"/>
        <v>201-500</v>
      </c>
      <c r="AI234" s="17" t="str">
        <f t="shared" si="4"/>
        <v>0-20</v>
      </c>
    </row>
    <row r="235" ht="15.75" customHeight="1">
      <c r="A235" s="13">
        <f>HYPERLINK("https://app.hubspot.com/contacts/8748051/record/0-3/39921808681", 39921808681)</f>
        <v>39921808681</v>
      </c>
      <c r="B235" s="14" t="s">
        <v>919</v>
      </c>
      <c r="C235" s="14" t="s">
        <v>49</v>
      </c>
      <c r="D235" s="15">
        <v>88000.0</v>
      </c>
      <c r="E235" s="14" t="s">
        <v>89</v>
      </c>
      <c r="F235" s="14" t="s">
        <v>51</v>
      </c>
      <c r="G235" s="16">
        <v>45847.71337962963</v>
      </c>
      <c r="H235" s="16">
        <v>46021.720347222225</v>
      </c>
      <c r="I235" s="14" t="s">
        <v>39</v>
      </c>
      <c r="J235" s="14" t="s">
        <v>40</v>
      </c>
      <c r="K235" s="14" t="s">
        <v>41</v>
      </c>
      <c r="L235" s="14" t="s">
        <v>42</v>
      </c>
      <c r="M235" s="14" t="s">
        <v>43</v>
      </c>
      <c r="N235" s="14" t="s">
        <v>920</v>
      </c>
      <c r="O235" s="14"/>
      <c r="P235" s="14"/>
      <c r="Q235" s="14"/>
      <c r="R235" s="13">
        <f>HYPERLINK("https://app.hubspot.com/contacts/8748051/record/0-2/8142455696", 8142455696)</f>
        <v>8142455696</v>
      </c>
      <c r="S235" s="14" t="s">
        <v>921</v>
      </c>
      <c r="T235" s="18" t="s">
        <v>922</v>
      </c>
      <c r="U235" s="14" t="s">
        <v>93</v>
      </c>
      <c r="V235" s="15">
        <v>88000.0</v>
      </c>
      <c r="W235" s="19">
        <v>1683.0</v>
      </c>
      <c r="X235" s="19">
        <v>249.0</v>
      </c>
      <c r="Y235" s="20"/>
      <c r="Z235" s="20" t="s">
        <v>205</v>
      </c>
      <c r="AA235" s="21"/>
      <c r="AB235" s="21"/>
      <c r="AC235" s="20" t="s">
        <v>923</v>
      </c>
      <c r="AD235" s="21"/>
      <c r="AE235" s="20" t="s">
        <v>528</v>
      </c>
      <c r="AF235" s="17" t="str">
        <f t="shared" si="1"/>
        <v>New Logo</v>
      </c>
      <c r="AG235" s="17" t="str">
        <f t="shared" si="2"/>
        <v>Customer</v>
      </c>
      <c r="AH235" s="17" t="str">
        <f t="shared" si="3"/>
        <v>1001-5000</v>
      </c>
      <c r="AI235" s="17" t="str">
        <f t="shared" si="4"/>
        <v>101-500</v>
      </c>
    </row>
    <row r="236" ht="15.75" customHeight="1">
      <c r="A236" s="13">
        <f>HYPERLINK("https://app.hubspot.com/contacts/8748051/record/0-3/39929995149", 39929995149)</f>
        <v>39929995149</v>
      </c>
      <c r="B236" s="14" t="s">
        <v>924</v>
      </c>
      <c r="C236" s="14" t="s">
        <v>145</v>
      </c>
      <c r="D236" s="15">
        <v>25000.0</v>
      </c>
      <c r="E236" s="14" t="s">
        <v>124</v>
      </c>
      <c r="F236" s="14" t="s">
        <v>51</v>
      </c>
      <c r="G236" s="16">
        <v>45847.66179398148</v>
      </c>
      <c r="H236" s="16">
        <v>46022.66774305556</v>
      </c>
      <c r="I236" s="14" t="s">
        <v>39</v>
      </c>
      <c r="J236" s="14" t="s">
        <v>40</v>
      </c>
      <c r="K236" s="14" t="s">
        <v>41</v>
      </c>
      <c r="L236" s="14" t="s">
        <v>42</v>
      </c>
      <c r="M236" s="14" t="s">
        <v>43</v>
      </c>
      <c r="N236" s="17"/>
      <c r="O236" s="14"/>
      <c r="P236" s="14"/>
      <c r="Q236" s="14" t="s">
        <v>141</v>
      </c>
      <c r="R236" s="13">
        <f>HYPERLINK("https://app.hubspot.com/contacts/8748051/record/0-2/35873852551", 35873852551)</f>
        <v>35873852551</v>
      </c>
      <c r="S236" s="18" t="s">
        <v>925</v>
      </c>
      <c r="T236" s="18" t="s">
        <v>926</v>
      </c>
      <c r="U236" s="14" t="s">
        <v>46</v>
      </c>
      <c r="V236" s="22"/>
      <c r="W236" s="19"/>
      <c r="X236" s="19"/>
      <c r="Y236" s="20"/>
      <c r="Z236" s="21"/>
      <c r="AA236" s="21"/>
      <c r="AB236" s="21"/>
      <c r="AC236" s="21"/>
      <c r="AD236" s="21"/>
      <c r="AE236" s="21"/>
      <c r="AF236" s="17" t="str">
        <f t="shared" si="1"/>
        <v>New Logo</v>
      </c>
      <c r="AG236" s="17" t="str">
        <f t="shared" si="2"/>
        <v>Lead</v>
      </c>
      <c r="AH236" s="17" t="str">
        <f t="shared" si="3"/>
        <v>0-200</v>
      </c>
      <c r="AI236" s="17" t="str">
        <f t="shared" si="4"/>
        <v>0-20</v>
      </c>
    </row>
    <row r="237" ht="15.75" customHeight="1">
      <c r="A237" s="13">
        <f>HYPERLINK("https://app.hubspot.com/contacts/8748051/record/0-3/39855861805", 39855861805)</f>
        <v>39855861805</v>
      </c>
      <c r="B237" s="14" t="s">
        <v>927</v>
      </c>
      <c r="C237" s="14" t="s">
        <v>49</v>
      </c>
      <c r="D237" s="15">
        <v>7500.0</v>
      </c>
      <c r="E237" s="14" t="s">
        <v>118</v>
      </c>
      <c r="F237" s="14"/>
      <c r="G237" s="16">
        <v>45846.30578703704</v>
      </c>
      <c r="H237" s="16">
        <v>46026.30577546296</v>
      </c>
      <c r="I237" s="14" t="s">
        <v>39</v>
      </c>
      <c r="J237" s="14" t="s">
        <v>40</v>
      </c>
      <c r="K237" s="14" t="s">
        <v>41</v>
      </c>
      <c r="L237" s="14" t="s">
        <v>42</v>
      </c>
      <c r="M237" s="14" t="s">
        <v>43</v>
      </c>
      <c r="N237" s="14"/>
      <c r="O237" s="17"/>
      <c r="P237" s="14" t="s">
        <v>260</v>
      </c>
      <c r="Q237" s="14"/>
      <c r="R237" s="13">
        <f>HYPERLINK("https://app.hubspot.com/contacts/8748051/record/0-2/35852040843", 35852040843)</f>
        <v>35852040843</v>
      </c>
      <c r="S237" s="14" t="s">
        <v>928</v>
      </c>
      <c r="T237" s="18" t="s">
        <v>929</v>
      </c>
      <c r="U237" s="14" t="s">
        <v>46</v>
      </c>
      <c r="V237" s="15"/>
      <c r="W237" s="19">
        <v>555.0</v>
      </c>
      <c r="X237" s="19">
        <v>15.0</v>
      </c>
      <c r="Y237" s="20"/>
      <c r="Z237" s="20"/>
      <c r="AA237" s="21"/>
      <c r="AB237" s="21"/>
      <c r="AC237" s="20"/>
      <c r="AD237" s="20"/>
      <c r="AE237" s="20"/>
      <c r="AF237" s="17" t="str">
        <f t="shared" si="1"/>
        <v>New Logo</v>
      </c>
      <c r="AG237" s="17" t="str">
        <f t="shared" si="2"/>
        <v>Lead</v>
      </c>
      <c r="AH237" s="17" t="str">
        <f t="shared" si="3"/>
        <v>501-1000</v>
      </c>
      <c r="AI237" s="17" t="str">
        <f t="shared" si="4"/>
        <v>0-20</v>
      </c>
    </row>
    <row r="238" ht="15.75" customHeight="1">
      <c r="A238" s="13">
        <f>HYPERLINK("https://app.hubspot.com/contacts/8748051/record/0-3/39685011320", 39685011320)</f>
        <v>39685011320</v>
      </c>
      <c r="B238" s="14" t="s">
        <v>930</v>
      </c>
      <c r="C238" s="14" t="s">
        <v>145</v>
      </c>
      <c r="D238" s="15">
        <v>5000.0</v>
      </c>
      <c r="E238" s="14" t="s">
        <v>118</v>
      </c>
      <c r="F238" s="14"/>
      <c r="G238" s="16">
        <v>45842.299849537034</v>
      </c>
      <c r="H238" s="16">
        <v>46022.299837962964</v>
      </c>
      <c r="I238" s="14" t="s">
        <v>39</v>
      </c>
      <c r="J238" s="14" t="s">
        <v>40</v>
      </c>
      <c r="K238" s="14" t="s">
        <v>41</v>
      </c>
      <c r="L238" s="14" t="s">
        <v>42</v>
      </c>
      <c r="M238" s="14" t="s">
        <v>43</v>
      </c>
      <c r="N238" s="17"/>
      <c r="O238" s="14"/>
      <c r="P238" s="14" t="s">
        <v>232</v>
      </c>
      <c r="Q238" s="14"/>
      <c r="R238" s="13">
        <f>HYPERLINK("https://app.hubspot.com/contacts/8748051/record/0-2/35716473420", 35716473420)</f>
        <v>35716473420</v>
      </c>
      <c r="S238" s="14" t="s">
        <v>931</v>
      </c>
      <c r="T238" s="18" t="s">
        <v>932</v>
      </c>
      <c r="U238" s="14" t="s">
        <v>46</v>
      </c>
      <c r="V238" s="22"/>
      <c r="W238" s="19"/>
      <c r="X238" s="19">
        <v>10.0</v>
      </c>
      <c r="Y238" s="20"/>
      <c r="Z238" s="21"/>
      <c r="AA238" s="21"/>
      <c r="AB238" s="21"/>
      <c r="AC238" s="21"/>
      <c r="AD238" s="21"/>
      <c r="AE238" s="21"/>
      <c r="AF238" s="17" t="str">
        <f t="shared" si="1"/>
        <v>New Logo</v>
      </c>
      <c r="AG238" s="17" t="str">
        <f t="shared" si="2"/>
        <v>Lead</v>
      </c>
      <c r="AH238" s="17" t="str">
        <f t="shared" si="3"/>
        <v>0-200</v>
      </c>
      <c r="AI238" s="17" t="str">
        <f t="shared" si="4"/>
        <v>0-20</v>
      </c>
    </row>
    <row r="239" ht="15.75" customHeight="1">
      <c r="A239" s="13">
        <f>HYPERLINK("https://app.hubspot.com/contacts/8748051/record/0-3/39680299684", 39680299684)</f>
        <v>39680299684</v>
      </c>
      <c r="B239" s="14" t="s">
        <v>933</v>
      </c>
      <c r="C239" s="14" t="s">
        <v>49</v>
      </c>
      <c r="D239" s="15">
        <v>7500.0</v>
      </c>
      <c r="E239" s="14" t="s">
        <v>124</v>
      </c>
      <c r="F239" s="14" t="s">
        <v>51</v>
      </c>
      <c r="G239" s="16">
        <v>45842.03219907408</v>
      </c>
      <c r="H239" s="16">
        <v>46022.032175925924</v>
      </c>
      <c r="I239" s="14" t="s">
        <v>39</v>
      </c>
      <c r="J239" s="14" t="s">
        <v>40</v>
      </c>
      <c r="K239" s="14" t="s">
        <v>41</v>
      </c>
      <c r="L239" s="14" t="s">
        <v>42</v>
      </c>
      <c r="M239" s="14" t="s">
        <v>43</v>
      </c>
      <c r="N239" s="14"/>
      <c r="O239" s="14"/>
      <c r="P239" s="14"/>
      <c r="Q239" s="14" t="s">
        <v>141</v>
      </c>
      <c r="R239" s="13">
        <f>HYPERLINK("https://app.hubspot.com/contacts/8748051/record/0-2/35714288133", 35714288133)</f>
        <v>35714288133</v>
      </c>
      <c r="S239" s="14" t="s">
        <v>934</v>
      </c>
      <c r="T239" s="18" t="s">
        <v>935</v>
      </c>
      <c r="U239" s="14" t="s">
        <v>46</v>
      </c>
      <c r="V239" s="15"/>
      <c r="W239" s="19">
        <v>72.0</v>
      </c>
      <c r="X239" s="19">
        <v>14.0</v>
      </c>
      <c r="Y239" s="20"/>
      <c r="Z239" s="20"/>
      <c r="AA239" s="21"/>
      <c r="AB239" s="21"/>
      <c r="AC239" s="20"/>
      <c r="AD239" s="20"/>
      <c r="AE239" s="20"/>
      <c r="AF239" s="17" t="str">
        <f t="shared" si="1"/>
        <v>New Logo</v>
      </c>
      <c r="AG239" s="17" t="str">
        <f t="shared" si="2"/>
        <v>Lead</v>
      </c>
      <c r="AH239" s="17" t="str">
        <f t="shared" si="3"/>
        <v>0-200</v>
      </c>
      <c r="AI239" s="17" t="str">
        <f t="shared" si="4"/>
        <v>0-20</v>
      </c>
    </row>
    <row r="240" ht="15.75" customHeight="1">
      <c r="A240" s="13">
        <f>HYPERLINK("https://app.hubspot.com/contacts/8748051/record/0-3/39650960754", 39650960754)</f>
        <v>39650960754</v>
      </c>
      <c r="B240" s="14" t="s">
        <v>936</v>
      </c>
      <c r="C240" s="14" t="s">
        <v>49</v>
      </c>
      <c r="D240" s="15">
        <v>3500.0</v>
      </c>
      <c r="E240" s="14" t="s">
        <v>118</v>
      </c>
      <c r="F240" s="14"/>
      <c r="G240" s="16">
        <v>45841.36115740741</v>
      </c>
      <c r="H240" s="16">
        <v>46021.36114583333</v>
      </c>
      <c r="I240" s="14" t="s">
        <v>39</v>
      </c>
      <c r="J240" s="14" t="s">
        <v>40</v>
      </c>
      <c r="K240" s="14" t="s">
        <v>41</v>
      </c>
      <c r="L240" s="14" t="s">
        <v>42</v>
      </c>
      <c r="M240" s="14" t="s">
        <v>43</v>
      </c>
      <c r="N240" s="14"/>
      <c r="O240" s="14"/>
      <c r="P240" s="14" t="s">
        <v>232</v>
      </c>
      <c r="Q240" s="14"/>
      <c r="R240" s="13">
        <f>HYPERLINK("https://app.hubspot.com/contacts/8748051/record/0-2/35652802098", 35652802098)</f>
        <v>35652802098</v>
      </c>
      <c r="S240" s="14" t="s">
        <v>937</v>
      </c>
      <c r="T240" s="18" t="s">
        <v>938</v>
      </c>
      <c r="U240" s="14" t="s">
        <v>46</v>
      </c>
      <c r="V240" s="15"/>
      <c r="W240" s="19">
        <v>102.0</v>
      </c>
      <c r="X240" s="19">
        <v>7.0</v>
      </c>
      <c r="Y240" s="20"/>
      <c r="Z240" s="20"/>
      <c r="AA240" s="21"/>
      <c r="AB240" s="21"/>
      <c r="AC240" s="20"/>
      <c r="AD240" s="21"/>
      <c r="AE240" s="20"/>
      <c r="AF240" s="17" t="str">
        <f t="shared" si="1"/>
        <v>New Logo</v>
      </c>
      <c r="AG240" s="17" t="str">
        <f t="shared" si="2"/>
        <v>Lead</v>
      </c>
      <c r="AH240" s="17" t="str">
        <f t="shared" si="3"/>
        <v>0-200</v>
      </c>
      <c r="AI240" s="17" t="str">
        <f t="shared" si="4"/>
        <v>0-20</v>
      </c>
    </row>
    <row r="241" ht="15.75" customHeight="1">
      <c r="A241" s="13">
        <f>HYPERLINK("https://app.hubspot.com/contacts/8748051/record/0-3/39651087419", 39651087419)</f>
        <v>39651087419</v>
      </c>
      <c r="B241" s="14" t="s">
        <v>939</v>
      </c>
      <c r="C241" s="14" t="s">
        <v>37</v>
      </c>
      <c r="D241" s="15">
        <v>15000.0</v>
      </c>
      <c r="E241" s="14" t="s">
        <v>146</v>
      </c>
      <c r="F241" s="14" t="s">
        <v>51</v>
      </c>
      <c r="G241" s="16">
        <v>45841.36069444445</v>
      </c>
      <c r="H241" s="16">
        <v>46076.32832175926</v>
      </c>
      <c r="I241" s="14" t="s">
        <v>39</v>
      </c>
      <c r="J241" s="14" t="s">
        <v>40</v>
      </c>
      <c r="K241" s="14" t="s">
        <v>41</v>
      </c>
      <c r="L241" s="14" t="s">
        <v>42</v>
      </c>
      <c r="M241" s="14" t="s">
        <v>43</v>
      </c>
      <c r="N241" s="14"/>
      <c r="O241" s="14" t="s">
        <v>940</v>
      </c>
      <c r="P241" s="14"/>
      <c r="Q241" s="14"/>
      <c r="R241" s="13">
        <f>HYPERLINK("https://app.hubspot.com/contacts/8748051/record/0-2/35677443192", 35677443192)</f>
        <v>35677443192</v>
      </c>
      <c r="S241" s="14" t="s">
        <v>941</v>
      </c>
      <c r="T241" s="18" t="s">
        <v>942</v>
      </c>
      <c r="U241" s="14" t="s">
        <v>46</v>
      </c>
      <c r="V241" s="15"/>
      <c r="W241" s="19">
        <v>950.0</v>
      </c>
      <c r="X241" s="19">
        <v>34.0</v>
      </c>
      <c r="Y241" s="20"/>
      <c r="Z241" s="20"/>
      <c r="AA241" s="21"/>
      <c r="AB241" s="21"/>
      <c r="AC241" s="20"/>
      <c r="AD241" s="21"/>
      <c r="AE241" s="20"/>
      <c r="AF241" s="17" t="str">
        <f t="shared" si="1"/>
        <v>New Logo</v>
      </c>
      <c r="AG241" s="17" t="str">
        <f t="shared" si="2"/>
        <v>Lead</v>
      </c>
      <c r="AH241" s="17" t="str">
        <f t="shared" si="3"/>
        <v>501-1000</v>
      </c>
      <c r="AI241" s="17" t="str">
        <f t="shared" si="4"/>
        <v>21-50</v>
      </c>
    </row>
    <row r="242" ht="15.75" customHeight="1">
      <c r="A242" s="13">
        <f>HYPERLINK("https://app.hubspot.com/contacts/8748051/record/0-3/39524397206", 39524397206)</f>
        <v>39524397206</v>
      </c>
      <c r="B242" s="14" t="s">
        <v>943</v>
      </c>
      <c r="C242" s="14" t="s">
        <v>49</v>
      </c>
      <c r="D242" s="15">
        <v>35000.0</v>
      </c>
      <c r="E242" s="14" t="s">
        <v>89</v>
      </c>
      <c r="F242" s="14" t="s">
        <v>51</v>
      </c>
      <c r="G242" s="16">
        <v>45838.66668981482</v>
      </c>
      <c r="H242" s="16">
        <v>46021.82256944444</v>
      </c>
      <c r="I242" s="14" t="s">
        <v>39</v>
      </c>
      <c r="J242" s="14" t="s">
        <v>40</v>
      </c>
      <c r="K242" s="14" t="s">
        <v>41</v>
      </c>
      <c r="L242" s="14" t="s">
        <v>42</v>
      </c>
      <c r="M242" s="14" t="s">
        <v>43</v>
      </c>
      <c r="N242" s="14" t="s">
        <v>944</v>
      </c>
      <c r="O242" s="17"/>
      <c r="P242" s="14"/>
      <c r="Q242" s="14"/>
      <c r="R242" s="13">
        <f>HYPERLINK("https://app.hubspot.com/contacts/8748051/record/0-2/8303507885", 8303507885)</f>
        <v>8303507885</v>
      </c>
      <c r="S242" s="14" t="s">
        <v>945</v>
      </c>
      <c r="T242" s="18" t="s">
        <v>946</v>
      </c>
      <c r="U242" s="14" t="s">
        <v>93</v>
      </c>
      <c r="V242" s="15">
        <v>35000.0</v>
      </c>
      <c r="W242" s="19">
        <v>402.0</v>
      </c>
      <c r="X242" s="19">
        <v>40.0</v>
      </c>
      <c r="Y242" s="20"/>
      <c r="Z242" s="20" t="s">
        <v>184</v>
      </c>
      <c r="AA242" s="21"/>
      <c r="AB242" s="21"/>
      <c r="AC242" s="20" t="s">
        <v>923</v>
      </c>
      <c r="AD242" s="21"/>
      <c r="AE242" s="20" t="s">
        <v>166</v>
      </c>
      <c r="AF242" s="17" t="str">
        <f t="shared" si="1"/>
        <v>New Logo</v>
      </c>
      <c r="AG242" s="17" t="str">
        <f t="shared" si="2"/>
        <v>Customer</v>
      </c>
      <c r="AH242" s="17" t="str">
        <f t="shared" si="3"/>
        <v>201-500</v>
      </c>
      <c r="AI242" s="17" t="str">
        <f t="shared" si="4"/>
        <v>21-50</v>
      </c>
    </row>
    <row r="243" ht="15.75" customHeight="1">
      <c r="A243" s="13">
        <f>HYPERLINK("https://app.hubspot.com/contacts/8748051/record/0-3/39493234444", 39493234444)</f>
        <v>39493234444</v>
      </c>
      <c r="B243" s="14" t="s">
        <v>947</v>
      </c>
      <c r="C243" s="14" t="s">
        <v>37</v>
      </c>
      <c r="D243" s="15">
        <v>7000.0</v>
      </c>
      <c r="E243" s="14" t="s">
        <v>118</v>
      </c>
      <c r="F243" s="14"/>
      <c r="G243" s="16">
        <v>45838.34646990741</v>
      </c>
      <c r="H243" s="16">
        <v>46018.34645833333</v>
      </c>
      <c r="I243" s="14" t="s">
        <v>39</v>
      </c>
      <c r="J243" s="14" t="s">
        <v>40</v>
      </c>
      <c r="K243" s="14" t="s">
        <v>41</v>
      </c>
      <c r="L243" s="14" t="s">
        <v>42</v>
      </c>
      <c r="M243" s="14" t="s">
        <v>72</v>
      </c>
      <c r="N243" s="17"/>
      <c r="O243" s="14"/>
      <c r="P243" s="14" t="s">
        <v>232</v>
      </c>
      <c r="Q243" s="14"/>
      <c r="R243" s="13">
        <f>HYPERLINK("https://app.hubspot.com/contacts/8748051/record/0-2/35502416005", 35502416005)</f>
        <v>35502416005</v>
      </c>
      <c r="S243" s="14" t="s">
        <v>948</v>
      </c>
      <c r="T243" s="18" t="s">
        <v>949</v>
      </c>
      <c r="U243" s="14" t="s">
        <v>46</v>
      </c>
      <c r="V243" s="15"/>
      <c r="W243" s="19">
        <v>125.0</v>
      </c>
      <c r="X243" s="19">
        <v>14.0</v>
      </c>
      <c r="Y243" s="20"/>
      <c r="Z243" s="20"/>
      <c r="AA243" s="21"/>
      <c r="AB243" s="21"/>
      <c r="AC243" s="20"/>
      <c r="AD243" s="20"/>
      <c r="AE243" s="20"/>
      <c r="AF243" s="17" t="str">
        <f t="shared" si="1"/>
        <v>New Logo</v>
      </c>
      <c r="AG243" s="17" t="str">
        <f t="shared" si="2"/>
        <v>Lead</v>
      </c>
      <c r="AH243" s="17" t="str">
        <f t="shared" si="3"/>
        <v>0-200</v>
      </c>
      <c r="AI243" s="17" t="str">
        <f t="shared" si="4"/>
        <v>0-20</v>
      </c>
    </row>
    <row r="244" ht="15.75" customHeight="1">
      <c r="A244" s="13">
        <f>HYPERLINK("https://app.hubspot.com/contacts/8748051/record/0-3/39358096402", 39358096402)</f>
        <v>39358096402</v>
      </c>
      <c r="B244" s="14" t="s">
        <v>950</v>
      </c>
      <c r="C244" s="14" t="s">
        <v>49</v>
      </c>
      <c r="D244" s="15">
        <v>100000.0</v>
      </c>
      <c r="E244" s="14" t="s">
        <v>118</v>
      </c>
      <c r="F244" s="14"/>
      <c r="G244" s="16">
        <v>45834.74114583333</v>
      </c>
      <c r="H244" s="16">
        <v>46017.740960648145</v>
      </c>
      <c r="I244" s="14" t="s">
        <v>39</v>
      </c>
      <c r="J244" s="14" t="s">
        <v>52</v>
      </c>
      <c r="K244" s="14" t="s">
        <v>41</v>
      </c>
      <c r="L244" s="14" t="s">
        <v>42</v>
      </c>
      <c r="M244" s="14" t="s">
        <v>43</v>
      </c>
      <c r="N244" s="14"/>
      <c r="O244" s="14"/>
      <c r="P244" s="14" t="s">
        <v>260</v>
      </c>
      <c r="Q244" s="14"/>
      <c r="R244" s="13">
        <f>HYPERLINK("https://app.hubspot.com/contacts/8748051/record/0-2/8142764962", 8142764962)</f>
        <v>8142764962</v>
      </c>
      <c r="S244" s="14" t="s">
        <v>951</v>
      </c>
      <c r="T244" s="18" t="s">
        <v>952</v>
      </c>
      <c r="U244" s="14" t="s">
        <v>46</v>
      </c>
      <c r="V244" s="15"/>
      <c r="W244" s="19">
        <v>4351.0</v>
      </c>
      <c r="X244" s="19">
        <v>550.0</v>
      </c>
      <c r="Y244" s="20" t="s">
        <v>55</v>
      </c>
      <c r="Z244" s="20"/>
      <c r="AA244" s="21"/>
      <c r="AB244" s="21"/>
      <c r="AC244" s="20"/>
      <c r="AD244" s="20"/>
      <c r="AE244" s="20"/>
      <c r="AF244" s="17" t="str">
        <f t="shared" si="1"/>
        <v>New Logo</v>
      </c>
      <c r="AG244" s="17" t="str">
        <f t="shared" si="2"/>
        <v>Lead</v>
      </c>
      <c r="AH244" s="17" t="str">
        <f t="shared" si="3"/>
        <v>1001-5000</v>
      </c>
      <c r="AI244" s="17" t="str">
        <f t="shared" si="4"/>
        <v>500+</v>
      </c>
    </row>
    <row r="245" ht="15.75" customHeight="1">
      <c r="A245" s="13">
        <f>HYPERLINK("https://app.hubspot.com/contacts/8748051/record/0-3/39275256381", 39275256381)</f>
        <v>39275256381</v>
      </c>
      <c r="B245" s="14" t="s">
        <v>953</v>
      </c>
      <c r="C245" s="14" t="s">
        <v>49</v>
      </c>
      <c r="D245" s="15">
        <v>75000.0</v>
      </c>
      <c r="E245" s="14" t="s">
        <v>146</v>
      </c>
      <c r="F245" s="14" t="s">
        <v>51</v>
      </c>
      <c r="G245" s="16">
        <v>45833.47971064815</v>
      </c>
      <c r="H245" s="16">
        <v>45943.68287037037</v>
      </c>
      <c r="I245" s="14" t="s">
        <v>39</v>
      </c>
      <c r="J245" s="14" t="s">
        <v>52</v>
      </c>
      <c r="K245" s="14" t="s">
        <v>158</v>
      </c>
      <c r="L245" s="14" t="s">
        <v>159</v>
      </c>
      <c r="M245" s="14" t="s">
        <v>43</v>
      </c>
      <c r="N245" s="14"/>
      <c r="O245" s="14" t="s">
        <v>954</v>
      </c>
      <c r="P245" s="14"/>
      <c r="Q245" s="14"/>
      <c r="R245" s="13">
        <f>HYPERLINK("https://app.hubspot.com/contacts/8748051/record/0-2/9284099377", 9284099377)</f>
        <v>9284099377</v>
      </c>
      <c r="S245" s="14" t="s">
        <v>955</v>
      </c>
      <c r="T245" s="18" t="s">
        <v>956</v>
      </c>
      <c r="U245" s="14" t="s">
        <v>46</v>
      </c>
      <c r="V245" s="15"/>
      <c r="W245" s="19">
        <v>1509.0</v>
      </c>
      <c r="X245" s="19">
        <v>198.0</v>
      </c>
      <c r="Y245" s="20" t="s">
        <v>55</v>
      </c>
      <c r="Z245" s="20"/>
      <c r="AA245" s="21"/>
      <c r="AB245" s="21"/>
      <c r="AC245" s="20"/>
      <c r="AD245" s="20"/>
      <c r="AE245" s="20"/>
      <c r="AF245" s="17" t="str">
        <f t="shared" si="1"/>
        <v>New Logo</v>
      </c>
      <c r="AG245" s="17" t="str">
        <f t="shared" si="2"/>
        <v>Lead</v>
      </c>
      <c r="AH245" s="17" t="str">
        <f t="shared" si="3"/>
        <v>1001-5000</v>
      </c>
      <c r="AI245" s="17" t="str">
        <f t="shared" si="4"/>
        <v>101-500</v>
      </c>
    </row>
    <row r="246" ht="15.75" customHeight="1">
      <c r="A246" s="13">
        <f>HYPERLINK("https://app.hubspot.com/contacts/8748051/record/0-3/39253037614", 39253037614)</f>
        <v>39253037614</v>
      </c>
      <c r="B246" s="14" t="s">
        <v>957</v>
      </c>
      <c r="C246" s="14" t="s">
        <v>49</v>
      </c>
      <c r="D246" s="15">
        <v>15000.0</v>
      </c>
      <c r="E246" s="14" t="s">
        <v>89</v>
      </c>
      <c r="F246" s="14" t="s">
        <v>51</v>
      </c>
      <c r="G246" s="16">
        <v>45832.58446759259</v>
      </c>
      <c r="H246" s="16">
        <v>45838.487916666665</v>
      </c>
      <c r="I246" s="14" t="s">
        <v>39</v>
      </c>
      <c r="J246" s="14" t="s">
        <v>40</v>
      </c>
      <c r="K246" s="14" t="s">
        <v>41</v>
      </c>
      <c r="L246" s="14" t="s">
        <v>42</v>
      </c>
      <c r="M246" s="14" t="s">
        <v>43</v>
      </c>
      <c r="N246" s="14" t="s">
        <v>958</v>
      </c>
      <c r="O246" s="17"/>
      <c r="P246" s="14"/>
      <c r="Q246" s="14"/>
      <c r="R246" s="13">
        <f>HYPERLINK("https://app.hubspot.com/contacts/8748051/record/0-2/35404479570", 35404479570)</f>
        <v>35404479570</v>
      </c>
      <c r="S246" s="14" t="s">
        <v>959</v>
      </c>
      <c r="T246" s="18" t="s">
        <v>960</v>
      </c>
      <c r="U246" s="14" t="s">
        <v>93</v>
      </c>
      <c r="V246" s="15">
        <v>15000.0</v>
      </c>
      <c r="W246" s="19">
        <v>12.0</v>
      </c>
      <c r="X246" s="19">
        <v>3.0</v>
      </c>
      <c r="Y246" s="20"/>
      <c r="Z246" s="20" t="s">
        <v>205</v>
      </c>
      <c r="AA246" s="21"/>
      <c r="AB246" s="21"/>
      <c r="AC246" s="20" t="s">
        <v>961</v>
      </c>
      <c r="AD246" s="20" t="s">
        <v>962</v>
      </c>
      <c r="AE246" s="20" t="s">
        <v>209</v>
      </c>
      <c r="AF246" s="17" t="str">
        <f t="shared" si="1"/>
        <v>New Logo</v>
      </c>
      <c r="AG246" s="17" t="str">
        <f t="shared" si="2"/>
        <v>Customer</v>
      </c>
      <c r="AH246" s="17" t="str">
        <f t="shared" si="3"/>
        <v>0-200</v>
      </c>
      <c r="AI246" s="17" t="str">
        <f t="shared" si="4"/>
        <v>0-20</v>
      </c>
    </row>
    <row r="247" ht="15.75" customHeight="1">
      <c r="A247" s="13">
        <f>HYPERLINK("https://app.hubspot.com/contacts/8748051/record/0-3/39253601357", 39253601357)</f>
        <v>39253601357</v>
      </c>
      <c r="B247" s="14" t="s">
        <v>963</v>
      </c>
      <c r="C247" s="14" t="s">
        <v>145</v>
      </c>
      <c r="D247" s="15">
        <v>19000.0</v>
      </c>
      <c r="E247" s="14" t="s">
        <v>118</v>
      </c>
      <c r="F247" s="14"/>
      <c r="G247" s="16">
        <v>45832.44337962963</v>
      </c>
      <c r="H247" s="16">
        <v>45995.72730324074</v>
      </c>
      <c r="I247" s="14" t="s">
        <v>39</v>
      </c>
      <c r="J247" s="14" t="s">
        <v>40</v>
      </c>
      <c r="K247" s="14" t="s">
        <v>41</v>
      </c>
      <c r="L247" s="14" t="s">
        <v>42</v>
      </c>
      <c r="M247" s="14" t="s">
        <v>43</v>
      </c>
      <c r="N247" s="14"/>
      <c r="O247" s="17"/>
      <c r="P247" s="14" t="s">
        <v>211</v>
      </c>
      <c r="Q247" s="14"/>
      <c r="R247" s="13">
        <f>HYPERLINK("https://app.hubspot.com/contacts/8748051/record/0-2/19176660880", 19176660880)</f>
        <v>19176660880</v>
      </c>
      <c r="S247" s="14" t="s">
        <v>964</v>
      </c>
      <c r="T247" s="18" t="s">
        <v>965</v>
      </c>
      <c r="U247" s="14" t="s">
        <v>46</v>
      </c>
      <c r="V247" s="15"/>
      <c r="W247" s="19">
        <v>326.0</v>
      </c>
      <c r="X247" s="19">
        <v>53.0</v>
      </c>
      <c r="Y247" s="20" t="s">
        <v>104</v>
      </c>
      <c r="Z247" s="20"/>
      <c r="AA247" s="21"/>
      <c r="AB247" s="21"/>
      <c r="AC247" s="20"/>
      <c r="AD247" s="21"/>
      <c r="AE247" s="20"/>
      <c r="AF247" s="17" t="str">
        <f t="shared" si="1"/>
        <v>New Logo</v>
      </c>
      <c r="AG247" s="17" t="str">
        <f t="shared" si="2"/>
        <v>Lead</v>
      </c>
      <c r="AH247" s="17" t="str">
        <f t="shared" si="3"/>
        <v>201-500</v>
      </c>
      <c r="AI247" s="17" t="str">
        <f t="shared" si="4"/>
        <v>51-100</v>
      </c>
    </row>
    <row r="248" ht="15.75" customHeight="1">
      <c r="A248" s="13">
        <f>HYPERLINK("https://app.hubspot.com/contacts/8748051/record/0-3/39236657768", 39236657768)</f>
        <v>39236657768</v>
      </c>
      <c r="B248" s="14" t="s">
        <v>966</v>
      </c>
      <c r="C248" s="14" t="s">
        <v>145</v>
      </c>
      <c r="D248" s="15">
        <v>2000.0</v>
      </c>
      <c r="E248" s="14" t="s">
        <v>89</v>
      </c>
      <c r="F248" s="14"/>
      <c r="G248" s="16">
        <v>45832.308912037035</v>
      </c>
      <c r="H248" s="16">
        <v>45832.35254629629</v>
      </c>
      <c r="I248" s="14" t="s">
        <v>39</v>
      </c>
      <c r="J248" s="14" t="s">
        <v>179</v>
      </c>
      <c r="K248" s="14" t="s">
        <v>158</v>
      </c>
      <c r="L248" s="14" t="s">
        <v>159</v>
      </c>
      <c r="M248" s="14" t="s">
        <v>98</v>
      </c>
      <c r="N248" s="14" t="s">
        <v>179</v>
      </c>
      <c r="O248" s="14"/>
      <c r="P248" s="14"/>
      <c r="Q248" s="14"/>
      <c r="R248" s="13">
        <f>HYPERLINK("https://app.hubspot.com/contacts/8748051/record/0-2/37512849741", 37512849741)</f>
        <v>37512849741</v>
      </c>
      <c r="S248" s="14" t="s">
        <v>967</v>
      </c>
      <c r="T248" s="18" t="s">
        <v>968</v>
      </c>
      <c r="U248" s="14" t="s">
        <v>93</v>
      </c>
      <c r="V248" s="15">
        <v>17000.0</v>
      </c>
      <c r="W248" s="19">
        <v>1348.0</v>
      </c>
      <c r="X248" s="19">
        <v>181.0</v>
      </c>
      <c r="Y248" s="20"/>
      <c r="Z248" s="20" t="s">
        <v>218</v>
      </c>
      <c r="AA248" s="21"/>
      <c r="AB248" s="21"/>
      <c r="AC248" s="20" t="s">
        <v>969</v>
      </c>
      <c r="AD248" s="21"/>
      <c r="AE248" s="20" t="s">
        <v>166</v>
      </c>
      <c r="AF248" s="17" t="str">
        <f t="shared" si="1"/>
        <v>Upsell</v>
      </c>
      <c r="AG248" s="17" t="str">
        <f t="shared" si="2"/>
        <v>Customer</v>
      </c>
      <c r="AH248" s="17" t="str">
        <f t="shared" si="3"/>
        <v>1001-5000</v>
      </c>
      <c r="AI248" s="17" t="str">
        <f t="shared" si="4"/>
        <v>101-500</v>
      </c>
    </row>
    <row r="249" ht="15.75" customHeight="1">
      <c r="A249" s="13">
        <f>HYPERLINK("https://app.hubspot.com/contacts/8748051/record/0-3/39208575374", 39208575374)</f>
        <v>39208575374</v>
      </c>
      <c r="B249" s="14" t="s">
        <v>970</v>
      </c>
      <c r="C249" s="14" t="s">
        <v>49</v>
      </c>
      <c r="D249" s="15">
        <v>6500.0</v>
      </c>
      <c r="E249" s="14" t="s">
        <v>118</v>
      </c>
      <c r="F249" s="14"/>
      <c r="G249" s="16">
        <v>45831.379282407404</v>
      </c>
      <c r="H249" s="16">
        <v>46011.379224537035</v>
      </c>
      <c r="I249" s="14" t="s">
        <v>39</v>
      </c>
      <c r="J249" s="14" t="s">
        <v>40</v>
      </c>
      <c r="K249" s="14" t="s">
        <v>41</v>
      </c>
      <c r="L249" s="14" t="s">
        <v>42</v>
      </c>
      <c r="M249" s="14" t="s">
        <v>72</v>
      </c>
      <c r="N249" s="14"/>
      <c r="O249" s="14"/>
      <c r="P249" s="14" t="s">
        <v>119</v>
      </c>
      <c r="Q249" s="14"/>
      <c r="R249" s="13">
        <f>HYPERLINK("https://app.hubspot.com/contacts/8748051/record/0-2/35271236145", 35271236145)</f>
        <v>35271236145</v>
      </c>
      <c r="S249" s="14" t="s">
        <v>971</v>
      </c>
      <c r="T249" s="18" t="s">
        <v>972</v>
      </c>
      <c r="U249" s="14" t="s">
        <v>46</v>
      </c>
      <c r="V249" s="15"/>
      <c r="W249" s="19">
        <v>85.0</v>
      </c>
      <c r="X249" s="19">
        <v>13.0</v>
      </c>
      <c r="Y249" s="20"/>
      <c r="Z249" s="20"/>
      <c r="AA249" s="21"/>
      <c r="AB249" s="21"/>
      <c r="AC249" s="20"/>
      <c r="AD249" s="21"/>
      <c r="AE249" s="20"/>
      <c r="AF249" s="17" t="str">
        <f t="shared" si="1"/>
        <v>New Logo</v>
      </c>
      <c r="AG249" s="17" t="str">
        <f t="shared" si="2"/>
        <v>Lead</v>
      </c>
      <c r="AH249" s="17" t="str">
        <f t="shared" si="3"/>
        <v>0-200</v>
      </c>
      <c r="AI249" s="17" t="str">
        <f t="shared" si="4"/>
        <v>0-20</v>
      </c>
    </row>
    <row r="250" ht="15.75" customHeight="1">
      <c r="A250" s="13">
        <f>HYPERLINK("https://app.hubspot.com/contacts/8748051/record/0-3/39016902017", 39016902017)</f>
        <v>39016902017</v>
      </c>
      <c r="B250" s="14" t="s">
        <v>973</v>
      </c>
      <c r="C250" s="14" t="s">
        <v>49</v>
      </c>
      <c r="D250" s="15">
        <v>40500.0</v>
      </c>
      <c r="E250" s="14" t="s">
        <v>124</v>
      </c>
      <c r="F250" s="14" t="s">
        <v>51</v>
      </c>
      <c r="G250" s="16">
        <v>45826.59306712963</v>
      </c>
      <c r="H250" s="16">
        <v>45930.476851851854</v>
      </c>
      <c r="I250" s="14" t="s">
        <v>39</v>
      </c>
      <c r="J250" s="14" t="s">
        <v>40</v>
      </c>
      <c r="K250" s="14" t="s">
        <v>41</v>
      </c>
      <c r="L250" s="14" t="s">
        <v>42</v>
      </c>
      <c r="M250" s="14" t="s">
        <v>43</v>
      </c>
      <c r="N250" s="14"/>
      <c r="O250" s="17"/>
      <c r="P250" s="14"/>
      <c r="Q250" s="14" t="s">
        <v>125</v>
      </c>
      <c r="R250" s="13">
        <f>HYPERLINK("https://app.hubspot.com/contacts/8748051/record/0-2/7914547487", 7914547487)</f>
        <v>7914547487</v>
      </c>
      <c r="S250" s="14" t="s">
        <v>974</v>
      </c>
      <c r="T250" s="18" t="s">
        <v>975</v>
      </c>
      <c r="U250" s="14" t="s">
        <v>46</v>
      </c>
      <c r="V250" s="15"/>
      <c r="W250" s="19">
        <v>757.0</v>
      </c>
      <c r="X250" s="19">
        <v>88.0</v>
      </c>
      <c r="Y250" s="20" t="s">
        <v>63</v>
      </c>
      <c r="Z250" s="20"/>
      <c r="AA250" s="21"/>
      <c r="AB250" s="21"/>
      <c r="AC250" s="20"/>
      <c r="AD250" s="20"/>
      <c r="AE250" s="20"/>
      <c r="AF250" s="17" t="str">
        <f t="shared" si="1"/>
        <v>New Logo</v>
      </c>
      <c r="AG250" s="17" t="str">
        <f t="shared" si="2"/>
        <v>Lead</v>
      </c>
      <c r="AH250" s="17" t="str">
        <f t="shared" si="3"/>
        <v>501-1000</v>
      </c>
      <c r="AI250" s="17" t="str">
        <f t="shared" si="4"/>
        <v>51-100</v>
      </c>
    </row>
    <row r="251" ht="15.75" customHeight="1">
      <c r="A251" s="13">
        <f>HYPERLINK("https://app.hubspot.com/contacts/8748051/record/0-3/39019144489", 39019144489)</f>
        <v>39019144489</v>
      </c>
      <c r="B251" s="14" t="s">
        <v>976</v>
      </c>
      <c r="C251" s="14" t="s">
        <v>145</v>
      </c>
      <c r="D251" s="15">
        <v>70000.0</v>
      </c>
      <c r="E251" s="14" t="s">
        <v>124</v>
      </c>
      <c r="F251" s="14" t="s">
        <v>51</v>
      </c>
      <c r="G251" s="16">
        <v>45826.52909722222</v>
      </c>
      <c r="H251" s="16">
        <v>46022.47320601852</v>
      </c>
      <c r="I251" s="14" t="s">
        <v>39</v>
      </c>
      <c r="J251" s="14" t="s">
        <v>40</v>
      </c>
      <c r="K251" s="14" t="s">
        <v>41</v>
      </c>
      <c r="L251" s="14" t="s">
        <v>42</v>
      </c>
      <c r="M251" s="14" t="s">
        <v>43</v>
      </c>
      <c r="N251" s="14"/>
      <c r="O251" s="17"/>
      <c r="P251" s="14"/>
      <c r="Q251" s="14" t="s">
        <v>502</v>
      </c>
      <c r="R251" s="13">
        <f>HYPERLINK("https://app.hubspot.com/contacts/8748051/record/0-2/9016989477", 9016989477)</f>
        <v>9016989477</v>
      </c>
      <c r="S251" s="14" t="s">
        <v>977</v>
      </c>
      <c r="T251" s="18" t="s">
        <v>978</v>
      </c>
      <c r="U251" s="14" t="s">
        <v>46</v>
      </c>
      <c r="V251" s="15"/>
      <c r="W251" s="19">
        <v>693.0</v>
      </c>
      <c r="X251" s="19">
        <v>162.0</v>
      </c>
      <c r="Y251" s="20" t="s">
        <v>122</v>
      </c>
      <c r="Z251" s="20"/>
      <c r="AA251" s="21"/>
      <c r="AB251" s="20"/>
      <c r="AC251" s="20"/>
      <c r="AD251" s="20"/>
      <c r="AE251" s="20"/>
      <c r="AF251" s="17" t="str">
        <f t="shared" si="1"/>
        <v>New Logo</v>
      </c>
      <c r="AG251" s="17" t="str">
        <f t="shared" si="2"/>
        <v>Lead</v>
      </c>
      <c r="AH251" s="17" t="str">
        <f t="shared" si="3"/>
        <v>501-1000</v>
      </c>
      <c r="AI251" s="17" t="str">
        <f t="shared" si="4"/>
        <v>101-500</v>
      </c>
    </row>
    <row r="252" ht="15.75" customHeight="1">
      <c r="A252" s="13">
        <f>HYPERLINK("https://app.hubspot.com/contacts/8748051/record/0-3/39015449004", 39015449004)</f>
        <v>39015449004</v>
      </c>
      <c r="B252" s="14" t="s">
        <v>979</v>
      </c>
      <c r="C252" s="14" t="s">
        <v>49</v>
      </c>
      <c r="D252" s="15">
        <v>3500.0</v>
      </c>
      <c r="E252" s="14" t="s">
        <v>577</v>
      </c>
      <c r="F252" s="14" t="s">
        <v>51</v>
      </c>
      <c r="G252" s="16">
        <v>45826.48247685185</v>
      </c>
      <c r="H252" s="16">
        <v>45896.644895833335</v>
      </c>
      <c r="I252" s="14" t="s">
        <v>39</v>
      </c>
      <c r="J252" s="14" t="s">
        <v>179</v>
      </c>
      <c r="K252" s="14" t="s">
        <v>158</v>
      </c>
      <c r="L252" s="14" t="s">
        <v>159</v>
      </c>
      <c r="M252" s="14" t="s">
        <v>98</v>
      </c>
      <c r="N252" s="14"/>
      <c r="O252" s="17"/>
      <c r="P252" s="14"/>
      <c r="Q252" s="14"/>
      <c r="R252" s="13">
        <f>HYPERLINK("https://app.hubspot.com/contacts/8748051/record/0-2/7735473314", 7735473314)</f>
        <v>7735473314</v>
      </c>
      <c r="S252" s="14" t="s">
        <v>315</v>
      </c>
      <c r="T252" s="18" t="s">
        <v>316</v>
      </c>
      <c r="U252" s="14" t="s">
        <v>93</v>
      </c>
      <c r="V252" s="15">
        <v>7920.0</v>
      </c>
      <c r="W252" s="19">
        <v>653.0</v>
      </c>
      <c r="X252" s="19">
        <v>92.0</v>
      </c>
      <c r="Y252" s="20"/>
      <c r="Z252" s="20" t="s">
        <v>191</v>
      </c>
      <c r="AA252" s="21"/>
      <c r="AB252" s="20"/>
      <c r="AC252" s="20" t="s">
        <v>317</v>
      </c>
      <c r="AD252" s="20" t="s">
        <v>318</v>
      </c>
      <c r="AE252" s="20" t="s">
        <v>166</v>
      </c>
      <c r="AF252" s="17" t="str">
        <f t="shared" si="1"/>
        <v>Upsell</v>
      </c>
      <c r="AG252" s="17" t="str">
        <f t="shared" si="2"/>
        <v>Customer</v>
      </c>
      <c r="AH252" s="17" t="str">
        <f t="shared" si="3"/>
        <v>501-1000</v>
      </c>
      <c r="AI252" s="17" t="str">
        <f t="shared" si="4"/>
        <v>51-100</v>
      </c>
    </row>
    <row r="253" ht="15.75" customHeight="1">
      <c r="A253" s="13">
        <f>HYPERLINK("https://app.hubspot.com/contacts/8748051/record/0-3/38959354216", 38959354216)</f>
        <v>38959354216</v>
      </c>
      <c r="B253" s="14" t="s">
        <v>980</v>
      </c>
      <c r="C253" s="14" t="s">
        <v>145</v>
      </c>
      <c r="D253" s="15">
        <v>4000.0</v>
      </c>
      <c r="E253" s="14" t="s">
        <v>118</v>
      </c>
      <c r="F253" s="14"/>
      <c r="G253" s="16">
        <v>45824.525092592594</v>
      </c>
      <c r="H253" s="16">
        <v>46004.52506944445</v>
      </c>
      <c r="I253" s="14" t="s">
        <v>39</v>
      </c>
      <c r="J253" s="14" t="s">
        <v>40</v>
      </c>
      <c r="K253" s="14" t="s">
        <v>41</v>
      </c>
      <c r="L253" s="14" t="s">
        <v>42</v>
      </c>
      <c r="M253" s="14" t="s">
        <v>43</v>
      </c>
      <c r="N253" s="14"/>
      <c r="O253" s="17"/>
      <c r="P253" s="14" t="s">
        <v>260</v>
      </c>
      <c r="Q253" s="14"/>
      <c r="R253" s="13">
        <f>HYPERLINK("https://app.hubspot.com/contacts/8748051/record/0-2/35097416855", 35097416855)</f>
        <v>35097416855</v>
      </c>
      <c r="S253" s="14" t="s">
        <v>981</v>
      </c>
      <c r="T253" s="18" t="s">
        <v>982</v>
      </c>
      <c r="U253" s="14" t="s">
        <v>46</v>
      </c>
      <c r="V253" s="15"/>
      <c r="W253" s="19">
        <v>129.0</v>
      </c>
      <c r="X253" s="19">
        <v>7.0</v>
      </c>
      <c r="Y253" s="20"/>
      <c r="Z253" s="20"/>
      <c r="AA253" s="21"/>
      <c r="AB253" s="21"/>
      <c r="AC253" s="20"/>
      <c r="AD253" s="20"/>
      <c r="AE253" s="20"/>
      <c r="AF253" s="17" t="str">
        <f t="shared" si="1"/>
        <v>New Logo</v>
      </c>
      <c r="AG253" s="17" t="str">
        <f t="shared" si="2"/>
        <v>Lead</v>
      </c>
      <c r="AH253" s="17" t="str">
        <f t="shared" si="3"/>
        <v>0-200</v>
      </c>
      <c r="AI253" s="17" t="str">
        <f t="shared" si="4"/>
        <v>0-20</v>
      </c>
    </row>
    <row r="254" ht="15.75" customHeight="1">
      <c r="A254" s="13">
        <f>HYPERLINK("https://app.hubspot.com/contacts/8748051/record/0-3/38846224783", 38846224783)</f>
        <v>38846224783</v>
      </c>
      <c r="B254" s="14" t="s">
        <v>983</v>
      </c>
      <c r="C254" s="14" t="s">
        <v>49</v>
      </c>
      <c r="D254" s="15">
        <v>10000.0</v>
      </c>
      <c r="E254" s="14" t="s">
        <v>124</v>
      </c>
      <c r="F254" s="14"/>
      <c r="G254" s="16">
        <v>45821.39393518519</v>
      </c>
      <c r="H254" s="16">
        <v>46001.39393518519</v>
      </c>
      <c r="I254" s="14" t="s">
        <v>39</v>
      </c>
      <c r="J254" s="14" t="s">
        <v>52</v>
      </c>
      <c r="K254" s="14" t="s">
        <v>41</v>
      </c>
      <c r="L254" s="14" t="s">
        <v>42</v>
      </c>
      <c r="M254" s="14" t="s">
        <v>43</v>
      </c>
      <c r="N254" s="14"/>
      <c r="O254" s="17"/>
      <c r="P254" s="14"/>
      <c r="Q254" s="14" t="s">
        <v>236</v>
      </c>
      <c r="R254" s="13">
        <f>HYPERLINK("https://app.hubspot.com/contacts/8748051/record/0-2/9238401146", 9238401146)</f>
        <v>9238401146</v>
      </c>
      <c r="S254" s="14" t="s">
        <v>984</v>
      </c>
      <c r="T254" s="18" t="s">
        <v>985</v>
      </c>
      <c r="U254" s="14" t="s">
        <v>46</v>
      </c>
      <c r="V254" s="15"/>
      <c r="W254" s="19">
        <v>51621.0</v>
      </c>
      <c r="X254" s="19">
        <v>2591.0</v>
      </c>
      <c r="Y254" s="20"/>
      <c r="Z254" s="20"/>
      <c r="AA254" s="21"/>
      <c r="AB254" s="21"/>
      <c r="AC254" s="20"/>
      <c r="AD254" s="21"/>
      <c r="AE254" s="20"/>
      <c r="AF254" s="17" t="str">
        <f t="shared" si="1"/>
        <v>New Logo</v>
      </c>
      <c r="AG254" s="17" t="str">
        <f t="shared" si="2"/>
        <v>Lead</v>
      </c>
      <c r="AH254" s="17" t="str">
        <f t="shared" si="3"/>
        <v>10000+</v>
      </c>
      <c r="AI254" s="17" t="str">
        <f t="shared" si="4"/>
        <v>500+</v>
      </c>
    </row>
    <row r="255" ht="15.75" customHeight="1">
      <c r="A255" s="13">
        <f>HYPERLINK("https://app.hubspot.com/contacts/8748051/record/0-3/38824171154", 38824171154)</f>
        <v>38824171154</v>
      </c>
      <c r="B255" s="14" t="s">
        <v>986</v>
      </c>
      <c r="C255" s="14" t="s">
        <v>49</v>
      </c>
      <c r="D255" s="15">
        <v>7500.0</v>
      </c>
      <c r="E255" s="14" t="s">
        <v>89</v>
      </c>
      <c r="F255" s="14" t="s">
        <v>51</v>
      </c>
      <c r="G255" s="16">
        <v>45820.69684027778</v>
      </c>
      <c r="H255" s="16">
        <v>45838.48936342593</v>
      </c>
      <c r="I255" s="14" t="s">
        <v>39</v>
      </c>
      <c r="J255" s="14" t="s">
        <v>40</v>
      </c>
      <c r="K255" s="14" t="s">
        <v>41</v>
      </c>
      <c r="L255" s="14" t="s">
        <v>42</v>
      </c>
      <c r="M255" s="14" t="s">
        <v>43</v>
      </c>
      <c r="N255" s="14" t="s">
        <v>987</v>
      </c>
      <c r="O255" s="17"/>
      <c r="P255" s="14"/>
      <c r="Q255" s="14"/>
      <c r="R255" s="13">
        <f>HYPERLINK("https://app.hubspot.com/contacts/8748051/record/0-2/35012615804", 35012615804)</f>
        <v>35012615804</v>
      </c>
      <c r="S255" s="14" t="s">
        <v>988</v>
      </c>
      <c r="T255" s="18" t="s">
        <v>989</v>
      </c>
      <c r="U255" s="14" t="s">
        <v>93</v>
      </c>
      <c r="V255" s="15">
        <v>7500.0</v>
      </c>
      <c r="W255" s="19">
        <v>64.0</v>
      </c>
      <c r="X255" s="19">
        <v>11.0</v>
      </c>
      <c r="Y255" s="20"/>
      <c r="Z255" s="20" t="s">
        <v>184</v>
      </c>
      <c r="AA255" s="21"/>
      <c r="AB255" s="21"/>
      <c r="AC255" s="20" t="s">
        <v>961</v>
      </c>
      <c r="AD255" s="20"/>
      <c r="AE255" s="20" t="s">
        <v>990</v>
      </c>
      <c r="AF255" s="17" t="str">
        <f t="shared" si="1"/>
        <v>New Logo</v>
      </c>
      <c r="AG255" s="17" t="str">
        <f t="shared" si="2"/>
        <v>Customer</v>
      </c>
      <c r="AH255" s="17" t="str">
        <f t="shared" si="3"/>
        <v>0-200</v>
      </c>
      <c r="AI255" s="17" t="str">
        <f t="shared" si="4"/>
        <v>0-20</v>
      </c>
    </row>
    <row r="256" ht="15.75" customHeight="1">
      <c r="A256" s="13">
        <f>HYPERLINK("https://app.hubspot.com/contacts/8748051/record/0-3/38775189683", 38775189683)</f>
        <v>38775189683</v>
      </c>
      <c r="B256" s="14" t="s">
        <v>991</v>
      </c>
      <c r="C256" s="14" t="s">
        <v>37</v>
      </c>
      <c r="D256" s="15">
        <v>49500.0</v>
      </c>
      <c r="E256" s="14" t="s">
        <v>124</v>
      </c>
      <c r="F256" s="14" t="s">
        <v>51</v>
      </c>
      <c r="G256" s="16">
        <v>45819.590520833335</v>
      </c>
      <c r="H256" s="16">
        <v>46107.46976851852</v>
      </c>
      <c r="I256" s="14" t="s">
        <v>39</v>
      </c>
      <c r="J256" s="14" t="s">
        <v>40</v>
      </c>
      <c r="K256" s="14" t="s">
        <v>41</v>
      </c>
      <c r="L256" s="14" t="s">
        <v>42</v>
      </c>
      <c r="M256" s="14" t="s">
        <v>43</v>
      </c>
      <c r="N256" s="17"/>
      <c r="O256" s="17"/>
      <c r="P256" s="14"/>
      <c r="Q256" s="14" t="s">
        <v>141</v>
      </c>
      <c r="R256" s="13">
        <f>HYPERLINK("https://app.hubspot.com/contacts/8748051/record/0-2/34978412171", 34978412171)</f>
        <v>34978412171</v>
      </c>
      <c r="S256" s="14" t="s">
        <v>992</v>
      </c>
      <c r="T256" s="18" t="s">
        <v>993</v>
      </c>
      <c r="U256" s="14" t="s">
        <v>46</v>
      </c>
      <c r="V256" s="15"/>
      <c r="W256" s="19">
        <v>823.0</v>
      </c>
      <c r="X256" s="19">
        <v>107.0</v>
      </c>
      <c r="Y256" s="20"/>
      <c r="Z256" s="20"/>
      <c r="AA256" s="21"/>
      <c r="AB256" s="21"/>
      <c r="AC256" s="20"/>
      <c r="AD256" s="21"/>
      <c r="AE256" s="20"/>
      <c r="AF256" s="17" t="str">
        <f t="shared" si="1"/>
        <v>New Logo</v>
      </c>
      <c r="AG256" s="17" t="str">
        <f t="shared" si="2"/>
        <v>Lead</v>
      </c>
      <c r="AH256" s="17" t="str">
        <f t="shared" si="3"/>
        <v>501-1000</v>
      </c>
      <c r="AI256" s="17" t="str">
        <f t="shared" si="4"/>
        <v>101-500</v>
      </c>
    </row>
    <row r="257" ht="15.75" customHeight="1">
      <c r="A257" s="13">
        <f>HYPERLINK("https://app.hubspot.com/contacts/8748051/record/0-3/38643597239", 38643597239)</f>
        <v>38643597239</v>
      </c>
      <c r="B257" s="14" t="s">
        <v>994</v>
      </c>
      <c r="C257" s="14" t="s">
        <v>37</v>
      </c>
      <c r="D257" s="15">
        <v>7000.0</v>
      </c>
      <c r="E257" s="14" t="s">
        <v>124</v>
      </c>
      <c r="F257" s="14" t="s">
        <v>51</v>
      </c>
      <c r="G257" s="16">
        <v>45816.566354166665</v>
      </c>
      <c r="H257" s="16">
        <v>46073.40671296296</v>
      </c>
      <c r="I257" s="14" t="s">
        <v>39</v>
      </c>
      <c r="J257" s="14" t="s">
        <v>40</v>
      </c>
      <c r="K257" s="14" t="s">
        <v>41</v>
      </c>
      <c r="L257" s="14" t="s">
        <v>42</v>
      </c>
      <c r="M257" s="14" t="s">
        <v>72</v>
      </c>
      <c r="N257" s="14"/>
      <c r="O257" s="17"/>
      <c r="P257" s="14"/>
      <c r="Q257" s="14" t="s">
        <v>125</v>
      </c>
      <c r="R257" s="13">
        <f>HYPERLINK("https://app.hubspot.com/contacts/8748051/record/0-2/34789099193", 34789099193)</f>
        <v>34789099193</v>
      </c>
      <c r="S257" s="14" t="s">
        <v>995</v>
      </c>
      <c r="T257" s="18" t="s">
        <v>996</v>
      </c>
      <c r="U257" s="14" t="s">
        <v>46</v>
      </c>
      <c r="V257" s="15"/>
      <c r="W257" s="19">
        <v>96.0</v>
      </c>
      <c r="X257" s="19">
        <v>13.0</v>
      </c>
      <c r="Y257" s="20"/>
      <c r="Z257" s="20"/>
      <c r="AA257" s="21"/>
      <c r="AB257" s="20"/>
      <c r="AC257" s="20"/>
      <c r="AD257" s="21"/>
      <c r="AE257" s="20"/>
      <c r="AF257" s="17" t="str">
        <f t="shared" si="1"/>
        <v>New Logo</v>
      </c>
      <c r="AG257" s="17" t="str">
        <f t="shared" si="2"/>
        <v>Lead</v>
      </c>
      <c r="AH257" s="17" t="str">
        <f t="shared" si="3"/>
        <v>0-200</v>
      </c>
      <c r="AI257" s="17" t="str">
        <f t="shared" si="4"/>
        <v>0-20</v>
      </c>
    </row>
    <row r="258" ht="15.75" customHeight="1">
      <c r="A258" s="13">
        <f>HYPERLINK("https://app.hubspot.com/contacts/8748051/record/0-3/38530402227", 38530402227)</f>
        <v>38530402227</v>
      </c>
      <c r="B258" s="14" t="s">
        <v>997</v>
      </c>
      <c r="C258" s="14" t="s">
        <v>145</v>
      </c>
      <c r="D258" s="15">
        <v>8210.0</v>
      </c>
      <c r="E258" s="14" t="s">
        <v>118</v>
      </c>
      <c r="F258" s="14"/>
      <c r="G258" s="16">
        <v>45814.11004629629</v>
      </c>
      <c r="H258" s="16">
        <v>46022.47069444445</v>
      </c>
      <c r="I258" s="14" t="s">
        <v>39</v>
      </c>
      <c r="J258" s="14" t="s">
        <v>179</v>
      </c>
      <c r="K258" s="14" t="s">
        <v>41</v>
      </c>
      <c r="L258" s="14" t="s">
        <v>714</v>
      </c>
      <c r="M258" s="14" t="s">
        <v>98</v>
      </c>
      <c r="N258" s="17"/>
      <c r="O258" s="17"/>
      <c r="P258" s="14" t="s">
        <v>232</v>
      </c>
      <c r="Q258" s="14"/>
      <c r="R258" s="13">
        <f>HYPERLINK("https://app.hubspot.com/contacts/8748051/record/0-2/9069717254", 9069717254)</f>
        <v>9069717254</v>
      </c>
      <c r="S258" s="14" t="s">
        <v>998</v>
      </c>
      <c r="T258" s="18" t="s">
        <v>999</v>
      </c>
      <c r="U258" s="14" t="s">
        <v>93</v>
      </c>
      <c r="V258" s="15">
        <v>5040.0</v>
      </c>
      <c r="W258" s="19">
        <v>991.0</v>
      </c>
      <c r="X258" s="19">
        <v>213.0</v>
      </c>
      <c r="Y258" s="20"/>
      <c r="Z258" s="20" t="s">
        <v>218</v>
      </c>
      <c r="AA258" s="21"/>
      <c r="AB258" s="21"/>
      <c r="AC258" s="20" t="s">
        <v>1000</v>
      </c>
      <c r="AD258" s="21"/>
      <c r="AE258" s="20" t="s">
        <v>763</v>
      </c>
      <c r="AF258" s="17" t="str">
        <f t="shared" si="1"/>
        <v>Upsell</v>
      </c>
      <c r="AG258" s="17" t="str">
        <f t="shared" si="2"/>
        <v>Customer</v>
      </c>
      <c r="AH258" s="17" t="str">
        <f t="shared" si="3"/>
        <v>501-1000</v>
      </c>
      <c r="AI258" s="17" t="str">
        <f t="shared" si="4"/>
        <v>101-500</v>
      </c>
    </row>
    <row r="259" ht="15.75" customHeight="1">
      <c r="A259" s="13">
        <f>HYPERLINK("https://app.hubspot.com/contacts/8748051/record/0-3/38509006409", 38509006409)</f>
        <v>38509006409</v>
      </c>
      <c r="B259" s="14" t="s">
        <v>1001</v>
      </c>
      <c r="C259" s="14" t="s">
        <v>49</v>
      </c>
      <c r="D259" s="15">
        <v>10000.0</v>
      </c>
      <c r="E259" s="14" t="s">
        <v>124</v>
      </c>
      <c r="F259" s="14" t="s">
        <v>51</v>
      </c>
      <c r="G259" s="16">
        <v>45813.671319444446</v>
      </c>
      <c r="H259" s="16">
        <v>46112.4909375</v>
      </c>
      <c r="I259" s="14" t="s">
        <v>39</v>
      </c>
      <c r="J259" s="14" t="s">
        <v>40</v>
      </c>
      <c r="K259" s="14" t="s">
        <v>41</v>
      </c>
      <c r="L259" s="14" t="s">
        <v>42</v>
      </c>
      <c r="M259" s="14" t="s">
        <v>43</v>
      </c>
      <c r="N259" s="17"/>
      <c r="O259" s="14"/>
      <c r="P259" s="14"/>
      <c r="Q259" s="14" t="s">
        <v>141</v>
      </c>
      <c r="R259" s="13">
        <f>HYPERLINK("https://app.hubspot.com/contacts/8748051/record/0-2/16376183860", 16376183860)</f>
        <v>16376183860</v>
      </c>
      <c r="S259" s="14" t="s">
        <v>1002</v>
      </c>
      <c r="T259" s="18" t="s">
        <v>1003</v>
      </c>
      <c r="U259" s="14" t="s">
        <v>46</v>
      </c>
      <c r="V259" s="22"/>
      <c r="W259" s="19">
        <v>1025.0</v>
      </c>
      <c r="X259" s="19">
        <v>135.0</v>
      </c>
      <c r="Y259" s="20" t="s">
        <v>104</v>
      </c>
      <c r="Z259" s="21"/>
      <c r="AA259" s="21"/>
      <c r="AB259" s="21"/>
      <c r="AC259" s="21"/>
      <c r="AD259" s="21"/>
      <c r="AE259" s="21"/>
      <c r="AF259" s="17" t="str">
        <f t="shared" si="1"/>
        <v>New Logo</v>
      </c>
      <c r="AG259" s="17" t="str">
        <f t="shared" si="2"/>
        <v>Lead</v>
      </c>
      <c r="AH259" s="17" t="str">
        <f t="shared" si="3"/>
        <v>1001-5000</v>
      </c>
      <c r="AI259" s="17" t="str">
        <f t="shared" si="4"/>
        <v>101-500</v>
      </c>
    </row>
    <row r="260" ht="15.75" customHeight="1">
      <c r="A260" s="13">
        <f>HYPERLINK("https://app.hubspot.com/contacts/8748051/record/0-3/38434478902", 38434478902)</f>
        <v>38434478902</v>
      </c>
      <c r="B260" s="14" t="s">
        <v>1004</v>
      </c>
      <c r="C260" s="14" t="s">
        <v>37</v>
      </c>
      <c r="D260" s="15">
        <v>32500.0</v>
      </c>
      <c r="E260" s="14" t="s">
        <v>118</v>
      </c>
      <c r="F260" s="14"/>
      <c r="G260" s="16">
        <v>45812.451875</v>
      </c>
      <c r="H260" s="16">
        <v>46037.44347222222</v>
      </c>
      <c r="I260" s="14" t="s">
        <v>39</v>
      </c>
      <c r="J260" s="14" t="s">
        <v>40</v>
      </c>
      <c r="K260" s="14" t="s">
        <v>41</v>
      </c>
      <c r="L260" s="14" t="s">
        <v>42</v>
      </c>
      <c r="M260" s="14" t="s">
        <v>43</v>
      </c>
      <c r="N260" s="14"/>
      <c r="O260" s="14"/>
      <c r="P260" s="14" t="s">
        <v>211</v>
      </c>
      <c r="Q260" s="14"/>
      <c r="R260" s="13">
        <f>HYPERLINK("https://app.hubspot.com/contacts/8748051/record/0-2/34645141515", 34645141515)</f>
        <v>34645141515</v>
      </c>
      <c r="S260" s="14" t="s">
        <v>1005</v>
      </c>
      <c r="T260" s="18" t="s">
        <v>1006</v>
      </c>
      <c r="U260" s="14" t="s">
        <v>46</v>
      </c>
      <c r="V260" s="15"/>
      <c r="W260" s="19">
        <v>1530.0</v>
      </c>
      <c r="X260" s="19">
        <v>66.0</v>
      </c>
      <c r="Y260" s="20"/>
      <c r="Z260" s="20"/>
      <c r="AA260" s="21"/>
      <c r="AB260" s="21"/>
      <c r="AC260" s="20"/>
      <c r="AD260" s="20"/>
      <c r="AE260" s="20"/>
      <c r="AF260" s="17" t="str">
        <f t="shared" si="1"/>
        <v>New Logo</v>
      </c>
      <c r="AG260" s="17" t="str">
        <f t="shared" si="2"/>
        <v>Lead</v>
      </c>
      <c r="AH260" s="17" t="str">
        <f t="shared" si="3"/>
        <v>1001-5000</v>
      </c>
      <c r="AI260" s="17" t="str">
        <f t="shared" si="4"/>
        <v>51-100</v>
      </c>
    </row>
    <row r="261" ht="15.75" customHeight="1">
      <c r="A261" s="13">
        <f>HYPERLINK("https://app.hubspot.com/contacts/8748051/record/0-3/38348580449", 38348580449)</f>
        <v>38348580449</v>
      </c>
      <c r="B261" s="14" t="s">
        <v>1007</v>
      </c>
      <c r="C261" s="14" t="s">
        <v>1008</v>
      </c>
      <c r="D261" s="15">
        <v>5000.0</v>
      </c>
      <c r="E261" s="14" t="s">
        <v>118</v>
      </c>
      <c r="F261" s="14"/>
      <c r="G261" s="16">
        <v>45811.3834375</v>
      </c>
      <c r="H261" s="16">
        <v>45991.383425925924</v>
      </c>
      <c r="I261" s="14" t="s">
        <v>39</v>
      </c>
      <c r="J261" s="14" t="s">
        <v>40</v>
      </c>
      <c r="K261" s="14" t="s">
        <v>41</v>
      </c>
      <c r="L261" s="14" t="s">
        <v>42</v>
      </c>
      <c r="M261" s="14" t="s">
        <v>72</v>
      </c>
      <c r="N261" s="14"/>
      <c r="O261" s="14"/>
      <c r="P261" s="14" t="s">
        <v>119</v>
      </c>
      <c r="Q261" s="14"/>
      <c r="R261" s="13">
        <f>HYPERLINK("https://app.hubspot.com/contacts/8748051/record/0-2/34499925019", 34499925019)</f>
        <v>34499925019</v>
      </c>
      <c r="S261" s="14" t="s">
        <v>1009</v>
      </c>
      <c r="T261" s="18" t="s">
        <v>1010</v>
      </c>
      <c r="U261" s="14" t="s">
        <v>46</v>
      </c>
      <c r="V261" s="15"/>
      <c r="W261" s="19">
        <v>97.0</v>
      </c>
      <c r="X261" s="19">
        <v>10.0</v>
      </c>
      <c r="Y261" s="20"/>
      <c r="Z261" s="20"/>
      <c r="AA261" s="21"/>
      <c r="AB261" s="21"/>
      <c r="AC261" s="20"/>
      <c r="AD261" s="20"/>
      <c r="AE261" s="20"/>
      <c r="AF261" s="17" t="str">
        <f t="shared" si="1"/>
        <v>New Logo</v>
      </c>
      <c r="AG261" s="17" t="str">
        <f t="shared" si="2"/>
        <v>Lead</v>
      </c>
      <c r="AH261" s="17" t="str">
        <f t="shared" si="3"/>
        <v>0-200</v>
      </c>
      <c r="AI261" s="17" t="str">
        <f t="shared" si="4"/>
        <v>0-20</v>
      </c>
    </row>
    <row r="262" ht="15.75" customHeight="1">
      <c r="A262" s="13">
        <f>HYPERLINK("https://app.hubspot.com/contacts/8748051/record/0-3/38348760958", 38348760958)</f>
        <v>38348760958</v>
      </c>
      <c r="B262" s="14" t="s">
        <v>1011</v>
      </c>
      <c r="C262" s="14" t="s">
        <v>145</v>
      </c>
      <c r="D262" s="15">
        <v>1000.0</v>
      </c>
      <c r="E262" s="14" t="s">
        <v>89</v>
      </c>
      <c r="F262" s="14"/>
      <c r="G262" s="16">
        <v>45811.37519675926</v>
      </c>
      <c r="H262" s="16">
        <v>45811.37571759259</v>
      </c>
      <c r="I262" s="14" t="s">
        <v>39</v>
      </c>
      <c r="J262" s="14" t="s">
        <v>179</v>
      </c>
      <c r="K262" s="14" t="s">
        <v>158</v>
      </c>
      <c r="L262" s="14" t="s">
        <v>159</v>
      </c>
      <c r="M262" s="14" t="s">
        <v>72</v>
      </c>
      <c r="N262" s="14" t="s">
        <v>1012</v>
      </c>
      <c r="O262" s="14"/>
      <c r="P262" s="14"/>
      <c r="Q262" s="14"/>
      <c r="R262" s="13">
        <f>HYPERLINK("https://app.hubspot.com/contacts/8748051/record/0-2/21926460338", 21926460338)</f>
        <v>21926460338</v>
      </c>
      <c r="S262" s="14" t="s">
        <v>216</v>
      </c>
      <c r="T262" s="18" t="s">
        <v>217</v>
      </c>
      <c r="U262" s="14" t="s">
        <v>93</v>
      </c>
      <c r="V262" s="15">
        <v>12368.0</v>
      </c>
      <c r="W262" s="19">
        <v>134.0</v>
      </c>
      <c r="X262" s="19">
        <v>16.0</v>
      </c>
      <c r="Y262" s="20"/>
      <c r="Z262" s="20" t="s">
        <v>218</v>
      </c>
      <c r="AA262" s="21"/>
      <c r="AB262" s="21"/>
      <c r="AC262" s="20" t="s">
        <v>219</v>
      </c>
      <c r="AD262" s="20" t="s">
        <v>220</v>
      </c>
      <c r="AE262" s="20" t="s">
        <v>166</v>
      </c>
      <c r="AF262" s="17" t="str">
        <f t="shared" si="1"/>
        <v>Upsell</v>
      </c>
      <c r="AG262" s="17" t="str">
        <f t="shared" si="2"/>
        <v>Customer</v>
      </c>
      <c r="AH262" s="17" t="str">
        <f t="shared" si="3"/>
        <v>0-200</v>
      </c>
      <c r="AI262" s="17" t="str">
        <f t="shared" si="4"/>
        <v>0-20</v>
      </c>
    </row>
    <row r="263" ht="15.75" customHeight="1">
      <c r="A263" s="13">
        <f>HYPERLINK("https://app.hubspot.com/contacts/8748051/record/0-3/38284566359", 38284566359)</f>
        <v>38284566359</v>
      </c>
      <c r="B263" s="14" t="s">
        <v>1013</v>
      </c>
      <c r="C263" s="14" t="s">
        <v>1008</v>
      </c>
      <c r="D263" s="15">
        <v>16500.0</v>
      </c>
      <c r="E263" s="14" t="s">
        <v>118</v>
      </c>
      <c r="F263" s="14"/>
      <c r="G263" s="16">
        <v>45810.54537037037</v>
      </c>
      <c r="H263" s="16">
        <v>45993.50234953704</v>
      </c>
      <c r="I263" s="14" t="s">
        <v>39</v>
      </c>
      <c r="J263" s="14" t="s">
        <v>40</v>
      </c>
      <c r="K263" s="14" t="s">
        <v>59</v>
      </c>
      <c r="L263" s="14" t="s">
        <v>175</v>
      </c>
      <c r="M263" s="14" t="s">
        <v>72</v>
      </c>
      <c r="N263" s="17"/>
      <c r="O263" s="14"/>
      <c r="P263" s="14" t="s">
        <v>260</v>
      </c>
      <c r="Q263" s="14"/>
      <c r="R263" s="13">
        <f>HYPERLINK("https://app.hubspot.com/contacts/8748051/record/0-2/32765657909", 32765657909)</f>
        <v>32765657909</v>
      </c>
      <c r="S263" s="14" t="s">
        <v>1014</v>
      </c>
      <c r="T263" s="18" t="s">
        <v>1015</v>
      </c>
      <c r="U263" s="14" t="s">
        <v>46</v>
      </c>
      <c r="V263" s="22"/>
      <c r="W263" s="19">
        <v>159.0</v>
      </c>
      <c r="X263" s="19">
        <v>33.0</v>
      </c>
      <c r="Y263" s="20"/>
      <c r="Z263" s="21"/>
      <c r="AA263" s="21"/>
      <c r="AB263" s="21"/>
      <c r="AC263" s="21"/>
      <c r="AD263" s="21"/>
      <c r="AE263" s="21"/>
      <c r="AF263" s="17" t="str">
        <f t="shared" si="1"/>
        <v>New Logo</v>
      </c>
      <c r="AG263" s="17" t="str">
        <f t="shared" si="2"/>
        <v>Lead</v>
      </c>
      <c r="AH263" s="17" t="str">
        <f t="shared" si="3"/>
        <v>0-200</v>
      </c>
      <c r="AI263" s="17" t="str">
        <f t="shared" si="4"/>
        <v>21-50</v>
      </c>
    </row>
    <row r="264" ht="15.75" customHeight="1">
      <c r="A264" s="13">
        <f>HYPERLINK("https://app.hubspot.com/contacts/8748051/record/0-3/38320089488", 38320089488)</f>
        <v>38320089488</v>
      </c>
      <c r="B264" s="14" t="s">
        <v>1016</v>
      </c>
      <c r="C264" s="14" t="s">
        <v>37</v>
      </c>
      <c r="D264" s="15">
        <v>13000.0</v>
      </c>
      <c r="E264" s="14" t="s">
        <v>118</v>
      </c>
      <c r="F264" s="14"/>
      <c r="G264" s="16">
        <v>45810.46103009259</v>
      </c>
      <c r="H264" s="16">
        <v>46037.44353009259</v>
      </c>
      <c r="I264" s="14" t="s">
        <v>39</v>
      </c>
      <c r="J264" s="14" t="s">
        <v>40</v>
      </c>
      <c r="K264" s="14" t="s">
        <v>41</v>
      </c>
      <c r="L264" s="14" t="s">
        <v>42</v>
      </c>
      <c r="M264" s="14" t="s">
        <v>43</v>
      </c>
      <c r="N264" s="17"/>
      <c r="O264" s="14"/>
      <c r="P264" s="14" t="s">
        <v>260</v>
      </c>
      <c r="Q264" s="17"/>
      <c r="R264" s="13">
        <f>HYPERLINK("https://app.hubspot.com/contacts/8748051/record/0-2/34500337286", 34500337286)</f>
        <v>34500337286</v>
      </c>
      <c r="S264" s="14" t="s">
        <v>1017</v>
      </c>
      <c r="T264" s="18" t="s">
        <v>1018</v>
      </c>
      <c r="U264" s="14" t="s">
        <v>46</v>
      </c>
      <c r="V264" s="22"/>
      <c r="W264" s="19">
        <v>240.0</v>
      </c>
      <c r="X264" s="19">
        <v>27.0</v>
      </c>
      <c r="Y264" s="20"/>
      <c r="Z264" s="21"/>
      <c r="AA264" s="21"/>
      <c r="AB264" s="21"/>
      <c r="AC264" s="21"/>
      <c r="AD264" s="21"/>
      <c r="AE264" s="21"/>
      <c r="AF264" s="17" t="str">
        <f t="shared" si="1"/>
        <v>New Logo</v>
      </c>
      <c r="AG264" s="17" t="str">
        <f t="shared" si="2"/>
        <v>Lead</v>
      </c>
      <c r="AH264" s="17" t="str">
        <f t="shared" si="3"/>
        <v>201-500</v>
      </c>
      <c r="AI264" s="17" t="str">
        <f t="shared" si="4"/>
        <v>21-50</v>
      </c>
    </row>
    <row r="265" ht="15.75" customHeight="1">
      <c r="A265" s="13">
        <f>HYPERLINK("https://app.hubspot.com/contacts/8748051/record/0-3/38231802427", 38231802427)</f>
        <v>38231802427</v>
      </c>
      <c r="B265" s="14" t="s">
        <v>1019</v>
      </c>
      <c r="C265" s="14" t="s">
        <v>1008</v>
      </c>
      <c r="D265" s="15">
        <v>500.0</v>
      </c>
      <c r="E265" s="14" t="s">
        <v>118</v>
      </c>
      <c r="F265" s="14"/>
      <c r="G265" s="16">
        <v>45807.379594907405</v>
      </c>
      <c r="H265" s="16">
        <v>45987.379525462966</v>
      </c>
      <c r="I265" s="14" t="s">
        <v>39</v>
      </c>
      <c r="J265" s="14" t="s">
        <v>40</v>
      </c>
      <c r="K265" s="14" t="s">
        <v>41</v>
      </c>
      <c r="L265" s="14" t="s">
        <v>42</v>
      </c>
      <c r="M265" s="14" t="s">
        <v>72</v>
      </c>
      <c r="N265" s="14"/>
      <c r="O265" s="14"/>
      <c r="P265" s="14" t="s">
        <v>260</v>
      </c>
      <c r="Q265" s="14"/>
      <c r="R265" s="13">
        <f>HYPERLINK("https://app.hubspot.com/contacts/8748051/record/0-2/34450059282", 34450059282)</f>
        <v>34450059282</v>
      </c>
      <c r="S265" s="14" t="s">
        <v>1020</v>
      </c>
      <c r="T265" s="18" t="s">
        <v>1021</v>
      </c>
      <c r="U265" s="14" t="s">
        <v>46</v>
      </c>
      <c r="V265" s="15"/>
      <c r="W265" s="19">
        <v>5.0</v>
      </c>
      <c r="X265" s="19">
        <v>1.0</v>
      </c>
      <c r="Y265" s="20"/>
      <c r="Z265" s="20"/>
      <c r="AA265" s="20"/>
      <c r="AB265" s="21"/>
      <c r="AC265" s="20"/>
      <c r="AD265" s="21"/>
      <c r="AE265" s="20"/>
      <c r="AF265" s="17" t="str">
        <f t="shared" si="1"/>
        <v>New Logo</v>
      </c>
      <c r="AG265" s="17" t="str">
        <f t="shared" si="2"/>
        <v>Lead</v>
      </c>
      <c r="AH265" s="17" t="str">
        <f t="shared" si="3"/>
        <v>0-200</v>
      </c>
      <c r="AI265" s="17" t="str">
        <f t="shared" si="4"/>
        <v>0-20</v>
      </c>
    </row>
    <row r="266" ht="15.75" customHeight="1">
      <c r="A266" s="13">
        <f>HYPERLINK("https://app.hubspot.com/contacts/8748051/record/0-3/38139472152", 38139472152)</f>
        <v>38139472152</v>
      </c>
      <c r="B266" s="14" t="s">
        <v>1022</v>
      </c>
      <c r="C266" s="14" t="s">
        <v>49</v>
      </c>
      <c r="D266" s="15">
        <v>25000.0</v>
      </c>
      <c r="E266" s="14" t="s">
        <v>118</v>
      </c>
      <c r="F266" s="14"/>
      <c r="G266" s="16">
        <v>45806.70162037037</v>
      </c>
      <c r="H266" s="16">
        <v>45986.70159722222</v>
      </c>
      <c r="I266" s="14" t="s">
        <v>39</v>
      </c>
      <c r="J266" s="14" t="s">
        <v>40</v>
      </c>
      <c r="K266" s="14" t="s">
        <v>41</v>
      </c>
      <c r="L266" s="14" t="s">
        <v>42</v>
      </c>
      <c r="M266" s="14" t="s">
        <v>43</v>
      </c>
      <c r="N266" s="14"/>
      <c r="O266" s="14"/>
      <c r="P266" s="14" t="s">
        <v>119</v>
      </c>
      <c r="Q266" s="14"/>
      <c r="R266" s="13">
        <f>HYPERLINK("https://app.hubspot.com/contacts/8748051/record/0-2/34347985315", 34347985315)</f>
        <v>34347985315</v>
      </c>
      <c r="S266" s="14" t="s">
        <v>1023</v>
      </c>
      <c r="T266" s="18" t="s">
        <v>1024</v>
      </c>
      <c r="U266" s="14" t="s">
        <v>46</v>
      </c>
      <c r="V266" s="15"/>
      <c r="W266" s="19">
        <v>116.0</v>
      </c>
      <c r="X266" s="19">
        <v>62.0</v>
      </c>
      <c r="Y266" s="20"/>
      <c r="Z266" s="20"/>
      <c r="AA266" s="20"/>
      <c r="AB266" s="21"/>
      <c r="AC266" s="20"/>
      <c r="AD266" s="21"/>
      <c r="AE266" s="20"/>
      <c r="AF266" s="17" t="str">
        <f t="shared" si="1"/>
        <v>New Logo</v>
      </c>
      <c r="AG266" s="17" t="str">
        <f t="shared" si="2"/>
        <v>Lead</v>
      </c>
      <c r="AH266" s="17" t="str">
        <f t="shared" si="3"/>
        <v>0-200</v>
      </c>
      <c r="AI266" s="17" t="str">
        <f t="shared" si="4"/>
        <v>51-100</v>
      </c>
    </row>
    <row r="267" ht="15.75" customHeight="1">
      <c r="A267" s="13">
        <f>HYPERLINK("https://app.hubspot.com/contacts/8748051/record/0-3/38133930364", 38133930364)</f>
        <v>38133930364</v>
      </c>
      <c r="B267" s="14" t="s">
        <v>1025</v>
      </c>
      <c r="C267" s="14" t="s">
        <v>145</v>
      </c>
      <c r="D267" s="15">
        <v>100000.0</v>
      </c>
      <c r="E267" s="14" t="s">
        <v>118</v>
      </c>
      <c r="F267" s="14"/>
      <c r="G267" s="16">
        <v>45806.40920138889</v>
      </c>
      <c r="H267" s="16">
        <v>45986.40918981482</v>
      </c>
      <c r="I267" s="14" t="s">
        <v>39</v>
      </c>
      <c r="J267" s="14" t="s">
        <v>52</v>
      </c>
      <c r="K267" s="14" t="s">
        <v>41</v>
      </c>
      <c r="L267" s="14" t="s">
        <v>42</v>
      </c>
      <c r="M267" s="14" t="s">
        <v>43</v>
      </c>
      <c r="N267" s="14"/>
      <c r="O267" s="14"/>
      <c r="P267" s="14" t="s">
        <v>119</v>
      </c>
      <c r="Q267" s="14"/>
      <c r="R267" s="13">
        <f>HYPERLINK("https://app.hubspot.com/contacts/8748051/record/0-2/8816890039", 8816890039)</f>
        <v>8816890039</v>
      </c>
      <c r="S267" s="14" t="s">
        <v>736</v>
      </c>
      <c r="T267" s="18" t="s">
        <v>737</v>
      </c>
      <c r="U267" s="14" t="s">
        <v>46</v>
      </c>
      <c r="V267" s="15"/>
      <c r="W267" s="19">
        <v>1482.0</v>
      </c>
      <c r="X267" s="19">
        <v>252.0</v>
      </c>
      <c r="Y267" s="20"/>
      <c r="Z267" s="20"/>
      <c r="AA267" s="21"/>
      <c r="AB267" s="20"/>
      <c r="AC267" s="20"/>
      <c r="AD267" s="21"/>
      <c r="AE267" s="20"/>
      <c r="AF267" s="17" t="str">
        <f t="shared" si="1"/>
        <v>New Logo</v>
      </c>
      <c r="AG267" s="17" t="str">
        <f t="shared" si="2"/>
        <v>Lead</v>
      </c>
      <c r="AH267" s="17" t="str">
        <f t="shared" si="3"/>
        <v>1001-5000</v>
      </c>
      <c r="AI267" s="17" t="str">
        <f t="shared" si="4"/>
        <v>101-500</v>
      </c>
    </row>
    <row r="268" ht="15.75" customHeight="1">
      <c r="A268" s="13">
        <f>HYPERLINK("https://app.hubspot.com/contacts/8748051/record/0-3/37905622539", 37905622539)</f>
        <v>37905622539</v>
      </c>
      <c r="B268" s="14" t="s">
        <v>1026</v>
      </c>
      <c r="C268" s="14" t="s">
        <v>49</v>
      </c>
      <c r="D268" s="15">
        <v>27000.0</v>
      </c>
      <c r="E268" s="14" t="s">
        <v>146</v>
      </c>
      <c r="F268" s="14" t="s">
        <v>51</v>
      </c>
      <c r="G268" s="16">
        <v>45801.57048611111</v>
      </c>
      <c r="H268" s="16">
        <v>45866.517800925925</v>
      </c>
      <c r="I268" s="14" t="s">
        <v>39</v>
      </c>
      <c r="J268" s="14" t="s">
        <v>40</v>
      </c>
      <c r="K268" s="14" t="s">
        <v>41</v>
      </c>
      <c r="L268" s="14" t="s">
        <v>42</v>
      </c>
      <c r="M268" s="14" t="s">
        <v>43</v>
      </c>
      <c r="N268" s="14"/>
      <c r="O268" s="14" t="s">
        <v>1027</v>
      </c>
      <c r="P268" s="14"/>
      <c r="Q268" s="14"/>
      <c r="R268" s="13">
        <f>HYPERLINK("https://app.hubspot.com/contacts/8748051/record/0-2/19176635436", 19176635436)</f>
        <v>19176635436</v>
      </c>
      <c r="S268" s="14" t="s">
        <v>1028</v>
      </c>
      <c r="T268" s="18" t="s">
        <v>1029</v>
      </c>
      <c r="U268" s="14" t="s">
        <v>46</v>
      </c>
      <c r="V268" s="15"/>
      <c r="W268" s="19">
        <v>367.0</v>
      </c>
      <c r="X268" s="19">
        <v>67.0</v>
      </c>
      <c r="Y268" s="20" t="s">
        <v>63</v>
      </c>
      <c r="Z268" s="20"/>
      <c r="AA268" s="21"/>
      <c r="AB268" s="21"/>
      <c r="AC268" s="20"/>
      <c r="AD268" s="21"/>
      <c r="AE268" s="20"/>
      <c r="AF268" s="17" t="str">
        <f t="shared" si="1"/>
        <v>New Logo</v>
      </c>
      <c r="AG268" s="17" t="str">
        <f t="shared" si="2"/>
        <v>Lead</v>
      </c>
      <c r="AH268" s="17" t="str">
        <f t="shared" si="3"/>
        <v>201-500</v>
      </c>
      <c r="AI268" s="17" t="str">
        <f t="shared" si="4"/>
        <v>51-100</v>
      </c>
    </row>
    <row r="269" ht="15.75" customHeight="1">
      <c r="A269" s="13">
        <f>HYPERLINK("https://app.hubspot.com/contacts/8748051/record/0-3/37568211124", 37568211124)</f>
        <v>37568211124</v>
      </c>
      <c r="B269" s="14" t="s">
        <v>1030</v>
      </c>
      <c r="C269" s="14" t="s">
        <v>37</v>
      </c>
      <c r="D269" s="15">
        <v>30000.0</v>
      </c>
      <c r="E269" s="14" t="s">
        <v>124</v>
      </c>
      <c r="F269" s="14" t="s">
        <v>51</v>
      </c>
      <c r="G269" s="16">
        <v>45799.44574074074</v>
      </c>
      <c r="H269" s="16">
        <v>46073.61918981482</v>
      </c>
      <c r="I269" s="14" t="s">
        <v>39</v>
      </c>
      <c r="J269" s="14" t="s">
        <v>40</v>
      </c>
      <c r="K269" s="14" t="s">
        <v>59</v>
      </c>
      <c r="L269" s="14" t="s">
        <v>180</v>
      </c>
      <c r="M269" s="14" t="s">
        <v>43</v>
      </c>
      <c r="N269" s="14"/>
      <c r="O269" s="14"/>
      <c r="P269" s="14"/>
      <c r="Q269" s="14" t="s">
        <v>125</v>
      </c>
      <c r="R269" s="13">
        <f>HYPERLINK("https://app.hubspot.com/contacts/8748051/record/0-2/8929755456", 8929755456)</f>
        <v>8929755456</v>
      </c>
      <c r="S269" s="14" t="s">
        <v>1031</v>
      </c>
      <c r="T269" s="18" t="s">
        <v>1032</v>
      </c>
      <c r="U269" s="14" t="s">
        <v>46</v>
      </c>
      <c r="V269" s="15"/>
      <c r="W269" s="19">
        <v>194.0</v>
      </c>
      <c r="X269" s="19">
        <v>23.0</v>
      </c>
      <c r="Y269" s="20"/>
      <c r="Z269" s="20"/>
      <c r="AA269" s="20"/>
      <c r="AB269" s="21"/>
      <c r="AC269" s="20"/>
      <c r="AD269" s="21"/>
      <c r="AE269" s="20"/>
      <c r="AF269" s="17" t="str">
        <f t="shared" si="1"/>
        <v>New Logo</v>
      </c>
      <c r="AG269" s="17" t="str">
        <f t="shared" si="2"/>
        <v>Lead</v>
      </c>
      <c r="AH269" s="17" t="str">
        <f t="shared" si="3"/>
        <v>0-200</v>
      </c>
      <c r="AI269" s="17" t="str">
        <f t="shared" si="4"/>
        <v>21-50</v>
      </c>
    </row>
    <row r="270" ht="15.75" customHeight="1">
      <c r="A270" s="13">
        <f>HYPERLINK("https://app.hubspot.com/contacts/8748051/record/0-3/37548367389", 37548367389)</f>
        <v>37548367389</v>
      </c>
      <c r="B270" s="14" t="s">
        <v>1033</v>
      </c>
      <c r="C270" s="14" t="s">
        <v>37</v>
      </c>
      <c r="D270" s="15">
        <v>80000.0</v>
      </c>
      <c r="E270" s="14" t="s">
        <v>124</v>
      </c>
      <c r="F270" s="14" t="s">
        <v>51</v>
      </c>
      <c r="G270" s="16">
        <v>45798.50724537037</v>
      </c>
      <c r="H270" s="16">
        <v>46052.571921296294</v>
      </c>
      <c r="I270" s="14" t="s">
        <v>39</v>
      </c>
      <c r="J270" s="14" t="s">
        <v>40</v>
      </c>
      <c r="K270" s="14" t="s">
        <v>41</v>
      </c>
      <c r="L270" s="14" t="s">
        <v>42</v>
      </c>
      <c r="M270" s="14" t="s">
        <v>43</v>
      </c>
      <c r="N270" s="14"/>
      <c r="O270" s="14"/>
      <c r="P270" s="14"/>
      <c r="Q270" s="14" t="s">
        <v>141</v>
      </c>
      <c r="R270" s="13">
        <f>HYPERLINK("https://app.hubspot.com/contacts/8748051/record/0-2/9083544964", 9083544964)</f>
        <v>9083544964</v>
      </c>
      <c r="S270" s="14" t="s">
        <v>1034</v>
      </c>
      <c r="T270" s="18" t="s">
        <v>1035</v>
      </c>
      <c r="U270" s="14" t="s">
        <v>46</v>
      </c>
      <c r="V270" s="15"/>
      <c r="W270" s="19">
        <v>1312.0</v>
      </c>
      <c r="X270" s="19">
        <v>202.0</v>
      </c>
      <c r="Y270" s="20" t="s">
        <v>55</v>
      </c>
      <c r="Z270" s="20"/>
      <c r="AA270" s="20"/>
      <c r="AB270" s="20"/>
      <c r="AC270" s="20"/>
      <c r="AD270" s="20"/>
      <c r="AE270" s="20"/>
      <c r="AF270" s="17" t="str">
        <f t="shared" si="1"/>
        <v>New Logo</v>
      </c>
      <c r="AG270" s="17" t="str">
        <f t="shared" si="2"/>
        <v>Lead</v>
      </c>
      <c r="AH270" s="17" t="str">
        <f t="shared" si="3"/>
        <v>1001-5000</v>
      </c>
      <c r="AI270" s="17" t="str">
        <f t="shared" si="4"/>
        <v>101-500</v>
      </c>
    </row>
    <row r="271" ht="15.75" customHeight="1">
      <c r="A271" s="13">
        <f>HYPERLINK("https://app.hubspot.com/contacts/8748051/record/0-3/37447289907", 37447289907)</f>
        <v>37447289907</v>
      </c>
      <c r="B271" s="14" t="s">
        <v>1036</v>
      </c>
      <c r="C271" s="14" t="s">
        <v>37</v>
      </c>
      <c r="D271" s="15">
        <v>22000.0</v>
      </c>
      <c r="E271" s="14" t="s">
        <v>146</v>
      </c>
      <c r="F271" s="14" t="s">
        <v>51</v>
      </c>
      <c r="G271" s="16">
        <v>45797.39087962963</v>
      </c>
      <c r="H271" s="16">
        <v>45984.58224537037</v>
      </c>
      <c r="I271" s="14" t="s">
        <v>39</v>
      </c>
      <c r="J271" s="14" t="s">
        <v>40</v>
      </c>
      <c r="K271" s="14" t="s">
        <v>41</v>
      </c>
      <c r="L271" s="14" t="s">
        <v>42</v>
      </c>
      <c r="M271" s="14" t="s">
        <v>98</v>
      </c>
      <c r="N271" s="14"/>
      <c r="O271" s="14" t="s">
        <v>1037</v>
      </c>
      <c r="P271" s="14"/>
      <c r="Q271" s="14"/>
      <c r="R271" s="13">
        <f>HYPERLINK("https://app.hubspot.com/contacts/8748051/record/0-2/33682076983", 33682076983)</f>
        <v>33682076983</v>
      </c>
      <c r="S271" s="14" t="s">
        <v>1038</v>
      </c>
      <c r="T271" s="18" t="s">
        <v>1039</v>
      </c>
      <c r="U271" s="14" t="s">
        <v>46</v>
      </c>
      <c r="V271" s="15"/>
      <c r="W271" s="19">
        <v>705.0</v>
      </c>
      <c r="X271" s="19">
        <v>35.0</v>
      </c>
      <c r="Y271" s="20"/>
      <c r="Z271" s="20"/>
      <c r="AA271" s="20"/>
      <c r="AB271" s="20"/>
      <c r="AC271" s="20"/>
      <c r="AD271" s="20"/>
      <c r="AE271" s="20"/>
      <c r="AF271" s="17" t="str">
        <f t="shared" si="1"/>
        <v>New Logo</v>
      </c>
      <c r="AG271" s="17" t="str">
        <f t="shared" si="2"/>
        <v>Lead</v>
      </c>
      <c r="AH271" s="17" t="str">
        <f t="shared" si="3"/>
        <v>501-1000</v>
      </c>
      <c r="AI271" s="17" t="str">
        <f t="shared" si="4"/>
        <v>21-50</v>
      </c>
    </row>
    <row r="272" ht="15.75" customHeight="1">
      <c r="A272" s="13">
        <f>HYPERLINK("https://app.hubspot.com/contacts/8748051/record/0-3/37432838235", 37432838235)</f>
        <v>37432838235</v>
      </c>
      <c r="B272" s="14" t="s">
        <v>1040</v>
      </c>
      <c r="C272" s="14" t="s">
        <v>1008</v>
      </c>
      <c r="D272" s="15">
        <v>0.0</v>
      </c>
      <c r="E272" s="14" t="s">
        <v>118</v>
      </c>
      <c r="F272" s="14"/>
      <c r="G272" s="16">
        <v>45796.451469907406</v>
      </c>
      <c r="H272" s="16">
        <v>45976.45144675926</v>
      </c>
      <c r="I272" s="14" t="s">
        <v>39</v>
      </c>
      <c r="J272" s="14" t="s">
        <v>40</v>
      </c>
      <c r="K272" s="14" t="s">
        <v>41</v>
      </c>
      <c r="L272" s="14" t="s">
        <v>42</v>
      </c>
      <c r="M272" s="14" t="s">
        <v>72</v>
      </c>
      <c r="N272" s="14"/>
      <c r="O272" s="14"/>
      <c r="P272" s="14" t="s">
        <v>260</v>
      </c>
      <c r="Q272" s="17"/>
      <c r="R272" s="13">
        <f>HYPERLINK("https://app.hubspot.com/contacts/8748051/record/0-2/33625048942", 33625048942)</f>
        <v>33625048942</v>
      </c>
      <c r="S272" s="14" t="s">
        <v>1041</v>
      </c>
      <c r="T272" s="18" t="s">
        <v>1042</v>
      </c>
      <c r="U272" s="14" t="s">
        <v>46</v>
      </c>
      <c r="V272" s="15"/>
      <c r="W272" s="19">
        <v>9.0</v>
      </c>
      <c r="X272" s="19">
        <v>0.0</v>
      </c>
      <c r="Y272" s="20"/>
      <c r="Z272" s="20"/>
      <c r="AA272" s="21"/>
      <c r="AB272" s="21"/>
      <c r="AC272" s="20"/>
      <c r="AD272" s="21"/>
      <c r="AE272" s="20"/>
      <c r="AF272" s="17" t="str">
        <f t="shared" si="1"/>
        <v>New Logo</v>
      </c>
      <c r="AG272" s="17" t="str">
        <f t="shared" si="2"/>
        <v>Lead</v>
      </c>
      <c r="AH272" s="17" t="str">
        <f t="shared" si="3"/>
        <v>0-200</v>
      </c>
      <c r="AI272" s="17" t="str">
        <f t="shared" si="4"/>
        <v>0-20</v>
      </c>
    </row>
    <row r="273" ht="15.75" customHeight="1">
      <c r="A273" s="13">
        <f>HYPERLINK("https://app.hubspot.com/contacts/8748051/record/0-3/37413800245", 37413800245)</f>
        <v>37413800245</v>
      </c>
      <c r="B273" s="14" t="s">
        <v>1043</v>
      </c>
      <c r="C273" s="14" t="s">
        <v>37</v>
      </c>
      <c r="D273" s="15">
        <v>2000.0</v>
      </c>
      <c r="E273" s="14" t="s">
        <v>118</v>
      </c>
      <c r="F273" s="14"/>
      <c r="G273" s="16">
        <v>45796.16961805556</v>
      </c>
      <c r="H273" s="16">
        <v>46037.44359953704</v>
      </c>
      <c r="I273" s="14" t="s">
        <v>39</v>
      </c>
      <c r="J273" s="14" t="s">
        <v>40</v>
      </c>
      <c r="K273" s="14" t="s">
        <v>41</v>
      </c>
      <c r="L273" s="14" t="s">
        <v>42</v>
      </c>
      <c r="M273" s="14" t="s">
        <v>98</v>
      </c>
      <c r="N273" s="14"/>
      <c r="O273" s="14"/>
      <c r="P273" s="14" t="s">
        <v>260</v>
      </c>
      <c r="Q273" s="14"/>
      <c r="R273" s="13">
        <f>HYPERLINK("https://app.hubspot.com/contacts/8748051/record/0-2/33299670550", 33299670550)</f>
        <v>33299670550</v>
      </c>
      <c r="S273" s="14" t="s">
        <v>1044</v>
      </c>
      <c r="T273" s="14" t="s">
        <v>1045</v>
      </c>
      <c r="U273" s="14" t="s">
        <v>46</v>
      </c>
      <c r="V273" s="15"/>
      <c r="W273" s="19">
        <v>121.0</v>
      </c>
      <c r="X273" s="19">
        <v>4.0</v>
      </c>
      <c r="Y273" s="20"/>
      <c r="Z273" s="20"/>
      <c r="AA273" s="21"/>
      <c r="AB273" s="21"/>
      <c r="AC273" s="20"/>
      <c r="AD273" s="21"/>
      <c r="AE273" s="20"/>
      <c r="AF273" s="17" t="str">
        <f t="shared" si="1"/>
        <v>New Logo</v>
      </c>
      <c r="AG273" s="17" t="str">
        <f t="shared" si="2"/>
        <v>Lead</v>
      </c>
      <c r="AH273" s="17" t="str">
        <f t="shared" si="3"/>
        <v>0-200</v>
      </c>
      <c r="AI273" s="17" t="str">
        <f t="shared" si="4"/>
        <v>0-20</v>
      </c>
    </row>
    <row r="274" ht="15.75" customHeight="1">
      <c r="A274" s="13">
        <f>HYPERLINK("https://app.hubspot.com/contacts/8748051/record/0-3/37313929140", 37313929140)</f>
        <v>37313929140</v>
      </c>
      <c r="B274" s="14" t="s">
        <v>1046</v>
      </c>
      <c r="C274" s="14" t="s">
        <v>145</v>
      </c>
      <c r="D274" s="15">
        <v>10000.0</v>
      </c>
      <c r="E274" s="14" t="s">
        <v>50</v>
      </c>
      <c r="F274" s="14" t="s">
        <v>51</v>
      </c>
      <c r="G274" s="16">
        <v>45793.32292824074</v>
      </c>
      <c r="H274" s="16">
        <v>46203.85973379629</v>
      </c>
      <c r="I274" s="14" t="s">
        <v>39</v>
      </c>
      <c r="J274" s="14" t="s">
        <v>40</v>
      </c>
      <c r="K274" s="14" t="s">
        <v>41</v>
      </c>
      <c r="L274" s="14" t="s">
        <v>42</v>
      </c>
      <c r="M274" s="14" t="s">
        <v>72</v>
      </c>
      <c r="N274" s="14"/>
      <c r="O274" s="17"/>
      <c r="P274" s="14"/>
      <c r="Q274" s="14"/>
      <c r="R274" s="13">
        <f>HYPERLINK("https://app.hubspot.com/contacts/8748051/record/0-2/33537883760", 33537883760)</f>
        <v>33537883760</v>
      </c>
      <c r="S274" s="14" t="s">
        <v>1047</v>
      </c>
      <c r="T274" s="18" t="s">
        <v>1048</v>
      </c>
      <c r="U274" s="14" t="s">
        <v>46</v>
      </c>
      <c r="V274" s="15"/>
      <c r="W274" s="19">
        <v>60.0</v>
      </c>
      <c r="X274" s="19">
        <v>20.0</v>
      </c>
      <c r="Y274" s="20"/>
      <c r="Z274" s="20"/>
      <c r="AA274" s="21"/>
      <c r="AB274" s="21"/>
      <c r="AC274" s="20"/>
      <c r="AD274" s="21"/>
      <c r="AE274" s="20"/>
      <c r="AF274" s="17" t="str">
        <f t="shared" si="1"/>
        <v>New Logo</v>
      </c>
      <c r="AG274" s="17" t="str">
        <f t="shared" si="2"/>
        <v>Lead</v>
      </c>
      <c r="AH274" s="17" t="str">
        <f t="shared" si="3"/>
        <v>0-200</v>
      </c>
      <c r="AI274" s="17" t="str">
        <f t="shared" si="4"/>
        <v>0-20</v>
      </c>
    </row>
    <row r="275" ht="15.75" customHeight="1">
      <c r="A275" s="13">
        <f>HYPERLINK("https://app.hubspot.com/contacts/8748051/record/0-3/37268046968", 37268046968)</f>
        <v>37268046968</v>
      </c>
      <c r="B275" s="14" t="s">
        <v>1049</v>
      </c>
      <c r="C275" s="14" t="s">
        <v>145</v>
      </c>
      <c r="D275" s="15">
        <v>20000.0</v>
      </c>
      <c r="E275" s="14" t="s">
        <v>124</v>
      </c>
      <c r="F275" s="14" t="s">
        <v>51</v>
      </c>
      <c r="G275" s="16">
        <v>45792.47466435185</v>
      </c>
      <c r="H275" s="16">
        <v>45937.719375</v>
      </c>
      <c r="I275" s="14" t="s">
        <v>39</v>
      </c>
      <c r="J275" s="14" t="s">
        <v>40</v>
      </c>
      <c r="K275" s="14" t="s">
        <v>41</v>
      </c>
      <c r="L275" s="14" t="s">
        <v>42</v>
      </c>
      <c r="M275" s="14" t="s">
        <v>43</v>
      </c>
      <c r="N275" s="14"/>
      <c r="O275" s="14"/>
      <c r="P275" s="14"/>
      <c r="Q275" s="14" t="s">
        <v>400</v>
      </c>
      <c r="R275" s="13">
        <f>HYPERLINK("https://app.hubspot.com/contacts/8748051/record/0-2/6816568461", 6816568461)</f>
        <v>6816568461</v>
      </c>
      <c r="S275" s="14" t="s">
        <v>1050</v>
      </c>
      <c r="T275" s="14" t="s">
        <v>1051</v>
      </c>
      <c r="U275" s="14" t="s">
        <v>46</v>
      </c>
      <c r="V275" s="15"/>
      <c r="W275" s="19">
        <v>148.0</v>
      </c>
      <c r="X275" s="19">
        <v>23.0</v>
      </c>
      <c r="Y275" s="20" t="s">
        <v>104</v>
      </c>
      <c r="Z275" s="20"/>
      <c r="AA275" s="20"/>
      <c r="AB275" s="21"/>
      <c r="AC275" s="20"/>
      <c r="AD275" s="20"/>
      <c r="AE275" s="20"/>
      <c r="AF275" s="17" t="str">
        <f t="shared" si="1"/>
        <v>New Logo</v>
      </c>
      <c r="AG275" s="17" t="str">
        <f t="shared" si="2"/>
        <v>Lead</v>
      </c>
      <c r="AH275" s="17" t="str">
        <f t="shared" si="3"/>
        <v>0-200</v>
      </c>
      <c r="AI275" s="17" t="str">
        <f t="shared" si="4"/>
        <v>21-50</v>
      </c>
    </row>
    <row r="276" ht="15.75" customHeight="1">
      <c r="A276" s="13">
        <f>HYPERLINK("https://app.hubspot.com/contacts/8748051/record/0-3/37182513242", 37182513242)</f>
        <v>37182513242</v>
      </c>
      <c r="B276" s="14" t="s">
        <v>1052</v>
      </c>
      <c r="C276" s="14" t="s">
        <v>49</v>
      </c>
      <c r="D276" s="15">
        <v>5000.0</v>
      </c>
      <c r="E276" s="14" t="s">
        <v>124</v>
      </c>
      <c r="F276" s="14" t="s">
        <v>51</v>
      </c>
      <c r="G276" s="16">
        <v>45791.395104166666</v>
      </c>
      <c r="H276" s="16">
        <v>45869.97195601852</v>
      </c>
      <c r="I276" s="14" t="s">
        <v>39</v>
      </c>
      <c r="J276" s="14" t="s">
        <v>40</v>
      </c>
      <c r="K276" s="14" t="s">
        <v>41</v>
      </c>
      <c r="L276" s="14" t="s">
        <v>42</v>
      </c>
      <c r="M276" s="14" t="s">
        <v>43</v>
      </c>
      <c r="N276" s="14"/>
      <c r="O276" s="17"/>
      <c r="P276" s="14"/>
      <c r="Q276" s="14" t="s">
        <v>567</v>
      </c>
      <c r="R276" s="13">
        <f>HYPERLINK("https://app.hubspot.com/contacts/8748051/record/0-2/33362121578", 33362121578)</f>
        <v>33362121578</v>
      </c>
      <c r="S276" s="14" t="s">
        <v>1053</v>
      </c>
      <c r="T276" s="18" t="s">
        <v>1054</v>
      </c>
      <c r="U276" s="14" t="s">
        <v>46</v>
      </c>
      <c r="V276" s="15"/>
      <c r="W276" s="19">
        <v>153.0</v>
      </c>
      <c r="X276" s="19">
        <v>16.0</v>
      </c>
      <c r="Y276" s="20"/>
      <c r="Z276" s="20"/>
      <c r="AA276" s="21"/>
      <c r="AB276" s="20"/>
      <c r="AC276" s="20"/>
      <c r="AD276" s="20"/>
      <c r="AE276" s="20"/>
      <c r="AF276" s="17" t="str">
        <f t="shared" si="1"/>
        <v>New Logo</v>
      </c>
      <c r="AG276" s="17" t="str">
        <f t="shared" si="2"/>
        <v>Lead</v>
      </c>
      <c r="AH276" s="17" t="str">
        <f t="shared" si="3"/>
        <v>0-200</v>
      </c>
      <c r="AI276" s="17" t="str">
        <f t="shared" si="4"/>
        <v>0-20</v>
      </c>
    </row>
    <row r="277" ht="15.75" customHeight="1">
      <c r="A277" s="13">
        <f>HYPERLINK("https://app.hubspot.com/contacts/8748051/record/0-3/37137693053", 37137693053)</f>
        <v>37137693053</v>
      </c>
      <c r="B277" s="14" t="s">
        <v>1055</v>
      </c>
      <c r="C277" s="14" t="s">
        <v>1008</v>
      </c>
      <c r="D277" s="15">
        <v>1500.0</v>
      </c>
      <c r="E277" s="14" t="s">
        <v>118</v>
      </c>
      <c r="F277" s="14"/>
      <c r="G277" s="16">
        <v>45790.08991898148</v>
      </c>
      <c r="H277" s="16">
        <v>45970.089907407404</v>
      </c>
      <c r="I277" s="14" t="s">
        <v>39</v>
      </c>
      <c r="J277" s="14" t="s">
        <v>40</v>
      </c>
      <c r="K277" s="14" t="s">
        <v>41</v>
      </c>
      <c r="L277" s="14" t="s">
        <v>42</v>
      </c>
      <c r="M277" s="14" t="s">
        <v>43</v>
      </c>
      <c r="N277" s="14"/>
      <c r="O277" s="17"/>
      <c r="P277" s="14" t="s">
        <v>260</v>
      </c>
      <c r="Q277" s="14"/>
      <c r="R277" s="13">
        <f>HYPERLINK("https://app.hubspot.com/contacts/8748051/record/0-2/33347273798", 33347273798)</f>
        <v>33347273798</v>
      </c>
      <c r="S277" s="14" t="s">
        <v>1056</v>
      </c>
      <c r="T277" s="18" t="s">
        <v>1057</v>
      </c>
      <c r="U277" s="14" t="s">
        <v>46</v>
      </c>
      <c r="V277" s="15"/>
      <c r="W277" s="19">
        <v>20.0</v>
      </c>
      <c r="X277" s="19">
        <v>3.0</v>
      </c>
      <c r="Y277" s="20"/>
      <c r="Z277" s="20"/>
      <c r="AA277" s="20"/>
      <c r="AB277" s="21"/>
      <c r="AC277" s="20"/>
      <c r="AD277" s="20"/>
      <c r="AE277" s="20"/>
      <c r="AF277" s="17" t="str">
        <f t="shared" si="1"/>
        <v>New Logo</v>
      </c>
      <c r="AG277" s="17" t="str">
        <f t="shared" si="2"/>
        <v>Lead</v>
      </c>
      <c r="AH277" s="17" t="str">
        <f t="shared" si="3"/>
        <v>0-200</v>
      </c>
      <c r="AI277" s="17" t="str">
        <f t="shared" si="4"/>
        <v>0-20</v>
      </c>
    </row>
    <row r="278" ht="15.75" customHeight="1">
      <c r="A278" s="13">
        <f>HYPERLINK("https://app.hubspot.com/contacts/8748051/record/0-3/36855145610", 36855145610)</f>
        <v>36855145610</v>
      </c>
      <c r="B278" s="14" t="s">
        <v>1058</v>
      </c>
      <c r="C278" s="14" t="s">
        <v>49</v>
      </c>
      <c r="D278" s="15">
        <v>25000.0</v>
      </c>
      <c r="E278" s="14" t="s">
        <v>124</v>
      </c>
      <c r="F278" s="14" t="s">
        <v>51</v>
      </c>
      <c r="G278" s="16">
        <v>45784.263761574075</v>
      </c>
      <c r="H278" s="16">
        <v>45930.390625</v>
      </c>
      <c r="I278" s="14" t="s">
        <v>39</v>
      </c>
      <c r="J278" s="14" t="s">
        <v>40</v>
      </c>
      <c r="K278" s="14" t="s">
        <v>41</v>
      </c>
      <c r="L278" s="14" t="s">
        <v>42</v>
      </c>
      <c r="M278" s="14" t="s">
        <v>43</v>
      </c>
      <c r="N278" s="14"/>
      <c r="O278" s="17"/>
      <c r="P278" s="14"/>
      <c r="Q278" s="14" t="s">
        <v>236</v>
      </c>
      <c r="R278" s="13">
        <f>HYPERLINK("https://app.hubspot.com/contacts/8748051/record/0-2/19177046457", 19177046457)</f>
        <v>19177046457</v>
      </c>
      <c r="S278" s="14" t="s">
        <v>1059</v>
      </c>
      <c r="T278" s="18" t="s">
        <v>1060</v>
      </c>
      <c r="U278" s="14" t="s">
        <v>46</v>
      </c>
      <c r="V278" s="15"/>
      <c r="W278" s="19">
        <v>282.0</v>
      </c>
      <c r="X278" s="19">
        <v>66.0</v>
      </c>
      <c r="Y278" s="20" t="s">
        <v>104</v>
      </c>
      <c r="Z278" s="20"/>
      <c r="AA278" s="21"/>
      <c r="AB278" s="21"/>
      <c r="AC278" s="20"/>
      <c r="AD278" s="21"/>
      <c r="AE278" s="20"/>
      <c r="AF278" s="17" t="str">
        <f t="shared" si="1"/>
        <v>New Logo</v>
      </c>
      <c r="AG278" s="17" t="str">
        <f t="shared" si="2"/>
        <v>Lead</v>
      </c>
      <c r="AH278" s="17" t="str">
        <f t="shared" si="3"/>
        <v>201-500</v>
      </c>
      <c r="AI278" s="17" t="str">
        <f t="shared" si="4"/>
        <v>51-100</v>
      </c>
    </row>
    <row r="279" ht="15.75" customHeight="1">
      <c r="A279" s="13">
        <f>HYPERLINK("https://app.hubspot.com/contacts/8748051/record/0-3/36655737257", 36655737257)</f>
        <v>36655737257</v>
      </c>
      <c r="B279" s="14" t="s">
        <v>1061</v>
      </c>
      <c r="C279" s="14" t="s">
        <v>1008</v>
      </c>
      <c r="D279" s="15">
        <v>7200.0</v>
      </c>
      <c r="E279" s="14" t="s">
        <v>118</v>
      </c>
      <c r="F279" s="14"/>
      <c r="G279" s="16">
        <v>45780.41452546296</v>
      </c>
      <c r="H279" s="16">
        <v>45960.414502314816</v>
      </c>
      <c r="I279" s="14" t="s">
        <v>39</v>
      </c>
      <c r="J279" s="14" t="s">
        <v>40</v>
      </c>
      <c r="K279" s="14" t="s">
        <v>41</v>
      </c>
      <c r="L279" s="14" t="s">
        <v>42</v>
      </c>
      <c r="M279" s="14" t="s">
        <v>72</v>
      </c>
      <c r="N279" s="14"/>
      <c r="O279" s="14"/>
      <c r="P279" s="14" t="s">
        <v>260</v>
      </c>
      <c r="Q279" s="14"/>
      <c r="R279" s="13">
        <f>HYPERLINK("https://app.hubspot.com/contacts/8748051/record/0-2/32907464513", 32907464513)</f>
        <v>32907464513</v>
      </c>
      <c r="S279" s="14" t="s">
        <v>1062</v>
      </c>
      <c r="T279" s="18" t="s">
        <v>1063</v>
      </c>
      <c r="U279" s="14" t="s">
        <v>46</v>
      </c>
      <c r="V279" s="15"/>
      <c r="W279" s="19">
        <v>19.0</v>
      </c>
      <c r="X279" s="19">
        <v>0.0</v>
      </c>
      <c r="Y279" s="20"/>
      <c r="Z279" s="20"/>
      <c r="AA279" s="21"/>
      <c r="AB279" s="21"/>
      <c r="AC279" s="20"/>
      <c r="AD279" s="21"/>
      <c r="AE279" s="20"/>
      <c r="AF279" s="17" t="str">
        <f t="shared" si="1"/>
        <v>New Logo</v>
      </c>
      <c r="AG279" s="17" t="str">
        <f t="shared" si="2"/>
        <v>Lead</v>
      </c>
      <c r="AH279" s="17" t="str">
        <f t="shared" si="3"/>
        <v>0-200</v>
      </c>
      <c r="AI279" s="17" t="str">
        <f t="shared" si="4"/>
        <v>0-20</v>
      </c>
    </row>
    <row r="280" ht="15.75" customHeight="1">
      <c r="A280" s="13">
        <f>HYPERLINK("https://app.hubspot.com/contacts/8748051/record/0-3/36653878828", 36653878828)</f>
        <v>36653878828</v>
      </c>
      <c r="B280" s="14" t="s">
        <v>1064</v>
      </c>
      <c r="C280" s="14" t="s">
        <v>1008</v>
      </c>
      <c r="D280" s="15">
        <v>5040.0</v>
      </c>
      <c r="E280" s="14" t="s">
        <v>89</v>
      </c>
      <c r="F280" s="14" t="s">
        <v>51</v>
      </c>
      <c r="G280" s="16">
        <v>45779.62600694445</v>
      </c>
      <c r="H280" s="16">
        <v>45821.34950231481</v>
      </c>
      <c r="I280" s="14" t="s">
        <v>39</v>
      </c>
      <c r="J280" s="14" t="s">
        <v>40</v>
      </c>
      <c r="K280" s="14" t="s">
        <v>59</v>
      </c>
      <c r="L280" s="14" t="s">
        <v>448</v>
      </c>
      <c r="M280" s="14" t="s">
        <v>98</v>
      </c>
      <c r="N280" s="14" t="s">
        <v>1065</v>
      </c>
      <c r="O280" s="14"/>
      <c r="P280" s="14"/>
      <c r="Q280" s="14"/>
      <c r="R280" s="13">
        <f>HYPERLINK("https://app.hubspot.com/contacts/8748051/record/0-2/9069717254", 9069717254)</f>
        <v>9069717254</v>
      </c>
      <c r="S280" s="14" t="s">
        <v>998</v>
      </c>
      <c r="T280" s="18" t="s">
        <v>999</v>
      </c>
      <c r="U280" s="14" t="s">
        <v>93</v>
      </c>
      <c r="V280" s="15">
        <v>5040.0</v>
      </c>
      <c r="W280" s="19">
        <v>991.0</v>
      </c>
      <c r="X280" s="19">
        <v>213.0</v>
      </c>
      <c r="Y280" s="20"/>
      <c r="Z280" s="20" t="s">
        <v>218</v>
      </c>
      <c r="AA280" s="21"/>
      <c r="AB280" s="21"/>
      <c r="AC280" s="20" t="s">
        <v>1000</v>
      </c>
      <c r="AD280" s="21"/>
      <c r="AE280" s="20" t="s">
        <v>763</v>
      </c>
      <c r="AF280" s="17" t="str">
        <f t="shared" si="1"/>
        <v>New Logo</v>
      </c>
      <c r="AG280" s="17" t="str">
        <f t="shared" si="2"/>
        <v>Customer</v>
      </c>
      <c r="AH280" s="17" t="str">
        <f t="shared" si="3"/>
        <v>501-1000</v>
      </c>
      <c r="AI280" s="17" t="str">
        <f t="shared" si="4"/>
        <v>101-500</v>
      </c>
    </row>
    <row r="281" ht="15.75" customHeight="1">
      <c r="A281" s="13">
        <f>HYPERLINK("https://app.hubspot.com/contacts/8748051/record/0-3/36622077979", 36622077979)</f>
        <v>36622077979</v>
      </c>
      <c r="B281" s="14" t="s">
        <v>1066</v>
      </c>
      <c r="C281" s="14" t="s">
        <v>145</v>
      </c>
      <c r="D281" s="15">
        <v>0.0</v>
      </c>
      <c r="E281" s="14" t="s">
        <v>118</v>
      </c>
      <c r="F281" s="14"/>
      <c r="G281" s="16">
        <v>45778.86275462963</v>
      </c>
      <c r="H281" s="16">
        <v>45958.86274305556</v>
      </c>
      <c r="I281" s="14" t="s">
        <v>39</v>
      </c>
      <c r="J281" s="14" t="s">
        <v>40</v>
      </c>
      <c r="K281" s="14" t="s">
        <v>41</v>
      </c>
      <c r="L281" s="14" t="s">
        <v>42</v>
      </c>
      <c r="M281" s="14" t="s">
        <v>98</v>
      </c>
      <c r="N281" s="14"/>
      <c r="O281" s="14"/>
      <c r="P281" s="14" t="s">
        <v>119</v>
      </c>
      <c r="Q281" s="14"/>
      <c r="R281" s="13">
        <f>HYPERLINK("https://app.hubspot.com/contacts/8748051/record/0-2/32877998338", 32877998338)</f>
        <v>32877998338</v>
      </c>
      <c r="S281" s="18" t="s">
        <v>1067</v>
      </c>
      <c r="T281" s="18" t="s">
        <v>1068</v>
      </c>
      <c r="U281" s="14" t="s">
        <v>46</v>
      </c>
      <c r="V281" s="15"/>
      <c r="W281" s="19"/>
      <c r="X281" s="19"/>
      <c r="Y281" s="20"/>
      <c r="Z281" s="20"/>
      <c r="AA281" s="20"/>
      <c r="AB281" s="20"/>
      <c r="AC281" s="20"/>
      <c r="AD281" s="21"/>
      <c r="AE281" s="20"/>
      <c r="AF281" s="17" t="str">
        <f t="shared" si="1"/>
        <v>New Logo</v>
      </c>
      <c r="AG281" s="17" t="str">
        <f t="shared" si="2"/>
        <v>Lead</v>
      </c>
      <c r="AH281" s="17" t="str">
        <f t="shared" si="3"/>
        <v>0-200</v>
      </c>
      <c r="AI281" s="17" t="str">
        <f t="shared" si="4"/>
        <v>0-20</v>
      </c>
    </row>
    <row r="282" ht="15.75" customHeight="1">
      <c r="A282" s="13">
        <f>HYPERLINK("https://app.hubspot.com/contacts/8748051/record/0-3/36587972188", 36587972188)</f>
        <v>36587972188</v>
      </c>
      <c r="B282" s="14" t="s">
        <v>1069</v>
      </c>
      <c r="C282" s="14" t="s">
        <v>49</v>
      </c>
      <c r="D282" s="15">
        <v>90000.0</v>
      </c>
      <c r="E282" s="14" t="s">
        <v>146</v>
      </c>
      <c r="F282" s="14" t="s">
        <v>51</v>
      </c>
      <c r="G282" s="16">
        <v>45778.50729166667</v>
      </c>
      <c r="H282" s="16">
        <v>46064.67626157407</v>
      </c>
      <c r="I282" s="14" t="s">
        <v>39</v>
      </c>
      <c r="J282" s="14" t="s">
        <v>52</v>
      </c>
      <c r="K282" s="14" t="s">
        <v>41</v>
      </c>
      <c r="L282" s="14" t="s">
        <v>42</v>
      </c>
      <c r="M282" s="14" t="s">
        <v>43</v>
      </c>
      <c r="N282" s="14"/>
      <c r="O282" s="14" t="s">
        <v>1070</v>
      </c>
      <c r="P282" s="14"/>
      <c r="Q282" s="14"/>
      <c r="R282" s="13">
        <f>HYPERLINK("https://app.hubspot.com/contacts/8748051/record/0-2/33065200735", 33065200735)</f>
        <v>33065200735</v>
      </c>
      <c r="S282" s="14" t="s">
        <v>1071</v>
      </c>
      <c r="T282" s="18" t="s">
        <v>1072</v>
      </c>
      <c r="U282" s="14" t="s">
        <v>46</v>
      </c>
      <c r="V282" s="15"/>
      <c r="W282" s="19">
        <v>23832.0</v>
      </c>
      <c r="X282" s="19">
        <v>5161.0</v>
      </c>
      <c r="Y282" s="20"/>
      <c r="Z282" s="20"/>
      <c r="AA282" s="20"/>
      <c r="AB282" s="21"/>
      <c r="AC282" s="20"/>
      <c r="AD282" s="20"/>
      <c r="AE282" s="20"/>
      <c r="AF282" s="17" t="str">
        <f t="shared" si="1"/>
        <v>New Logo</v>
      </c>
      <c r="AG282" s="17" t="str">
        <f t="shared" si="2"/>
        <v>Lead</v>
      </c>
      <c r="AH282" s="17" t="str">
        <f t="shared" si="3"/>
        <v>10000+</v>
      </c>
      <c r="AI282" s="17" t="str">
        <f t="shared" si="4"/>
        <v>500+</v>
      </c>
    </row>
    <row r="283" ht="15.75" customHeight="1">
      <c r="A283" s="13">
        <f>HYPERLINK("https://app.hubspot.com/contacts/8748051/record/0-3/36610499182", 36610499182)</f>
        <v>36610499182</v>
      </c>
      <c r="B283" s="14" t="s">
        <v>1073</v>
      </c>
      <c r="C283" s="14" t="s">
        <v>37</v>
      </c>
      <c r="D283" s="15">
        <v>5000.0</v>
      </c>
      <c r="E283" s="14" t="s">
        <v>124</v>
      </c>
      <c r="F283" s="14" t="s">
        <v>51</v>
      </c>
      <c r="G283" s="16">
        <v>45778.36332175926</v>
      </c>
      <c r="H283" s="16">
        <v>46079.58971064815</v>
      </c>
      <c r="I283" s="14" t="s">
        <v>39</v>
      </c>
      <c r="J283" s="14" t="s">
        <v>40</v>
      </c>
      <c r="K283" s="14" t="s">
        <v>59</v>
      </c>
      <c r="L283" s="14" t="s">
        <v>60</v>
      </c>
      <c r="M283" s="14" t="s">
        <v>43</v>
      </c>
      <c r="N283" s="14"/>
      <c r="O283" s="17"/>
      <c r="P283" s="14"/>
      <c r="Q283" s="14" t="s">
        <v>125</v>
      </c>
      <c r="R283" s="13">
        <f>HYPERLINK("https://app.hubspot.com/contacts/8748051/record/0-2/32846585606", 32846585606)</f>
        <v>32846585606</v>
      </c>
      <c r="S283" s="14" t="s">
        <v>1074</v>
      </c>
      <c r="T283" s="18" t="s">
        <v>1075</v>
      </c>
      <c r="U283" s="14" t="s">
        <v>46</v>
      </c>
      <c r="V283" s="15"/>
      <c r="W283" s="19">
        <v>68.0</v>
      </c>
      <c r="X283" s="19">
        <v>19.0</v>
      </c>
      <c r="Y283" s="20"/>
      <c r="Z283" s="20"/>
      <c r="AA283" s="20"/>
      <c r="AB283" s="20"/>
      <c r="AC283" s="20"/>
      <c r="AD283" s="20"/>
      <c r="AE283" s="20"/>
      <c r="AF283" s="17" t="str">
        <f t="shared" si="1"/>
        <v>New Logo</v>
      </c>
      <c r="AG283" s="17" t="str">
        <f t="shared" si="2"/>
        <v>Lead</v>
      </c>
      <c r="AH283" s="17" t="str">
        <f t="shared" si="3"/>
        <v>0-200</v>
      </c>
      <c r="AI283" s="17" t="str">
        <f t="shared" si="4"/>
        <v>0-20</v>
      </c>
    </row>
    <row r="284" ht="15.75" customHeight="1">
      <c r="A284" s="13">
        <f>HYPERLINK("https://app.hubspot.com/contacts/8748051/record/0-3/43998631192", 43998631192)</f>
        <v>43998631192</v>
      </c>
      <c r="B284" s="14" t="s">
        <v>1076</v>
      </c>
      <c r="C284" s="14" t="s">
        <v>156</v>
      </c>
      <c r="D284" s="15">
        <v>2950.0</v>
      </c>
      <c r="E284" s="14" t="s">
        <v>89</v>
      </c>
      <c r="F284" s="14"/>
      <c r="G284" s="16">
        <v>45777.660532407404</v>
      </c>
      <c r="H284" s="16">
        <v>45777.66054398148</v>
      </c>
      <c r="I284" s="14" t="s">
        <v>39</v>
      </c>
      <c r="J284" s="14" t="s">
        <v>179</v>
      </c>
      <c r="K284" s="14" t="s">
        <v>158</v>
      </c>
      <c r="L284" s="14" t="s">
        <v>159</v>
      </c>
      <c r="M284" s="14" t="s">
        <v>43</v>
      </c>
      <c r="N284" s="14"/>
      <c r="O284" s="17"/>
      <c r="P284" s="14"/>
      <c r="Q284" s="14"/>
      <c r="R284" s="13">
        <f>HYPERLINK("https://app.hubspot.com/contacts/8748051/record/0-2/6816601476", 6816601476)</f>
        <v>6816601476</v>
      </c>
      <c r="S284" s="14" t="s">
        <v>1077</v>
      </c>
      <c r="T284" s="18" t="s">
        <v>1078</v>
      </c>
      <c r="U284" s="14" t="s">
        <v>93</v>
      </c>
      <c r="V284" s="15">
        <v>32450.0</v>
      </c>
      <c r="W284" s="19">
        <v>203.0</v>
      </c>
      <c r="X284" s="19">
        <v>40.0</v>
      </c>
      <c r="Y284" s="20"/>
      <c r="Z284" s="20" t="s">
        <v>205</v>
      </c>
      <c r="AA284" s="20" t="s">
        <v>192</v>
      </c>
      <c r="AB284" s="20"/>
      <c r="AC284" s="20" t="s">
        <v>876</v>
      </c>
      <c r="AD284" s="20" t="s">
        <v>1079</v>
      </c>
      <c r="AE284" s="20" t="s">
        <v>553</v>
      </c>
      <c r="AF284" s="17" t="str">
        <f t="shared" si="1"/>
        <v>Upsell</v>
      </c>
      <c r="AG284" s="17" t="str">
        <f t="shared" si="2"/>
        <v>Customer</v>
      </c>
      <c r="AH284" s="17" t="str">
        <f t="shared" si="3"/>
        <v>201-500</v>
      </c>
      <c r="AI284" s="17" t="str">
        <f t="shared" si="4"/>
        <v>21-50</v>
      </c>
    </row>
    <row r="285" ht="15.75" customHeight="1">
      <c r="A285" s="13">
        <f>HYPERLINK("https://app.hubspot.com/contacts/8748051/record/0-3/36595382346", 36595382346)</f>
        <v>36595382346</v>
      </c>
      <c r="B285" s="14" t="s">
        <v>1080</v>
      </c>
      <c r="C285" s="14" t="s">
        <v>49</v>
      </c>
      <c r="D285" s="15">
        <v>10000.0</v>
      </c>
      <c r="E285" s="14" t="s">
        <v>124</v>
      </c>
      <c r="F285" s="14" t="s">
        <v>51</v>
      </c>
      <c r="G285" s="16">
        <v>45777.49875</v>
      </c>
      <c r="H285" s="16">
        <v>46234.57094907408</v>
      </c>
      <c r="I285" s="14" t="s">
        <v>39</v>
      </c>
      <c r="J285" s="14" t="s">
        <v>52</v>
      </c>
      <c r="K285" s="14" t="s">
        <v>41</v>
      </c>
      <c r="L285" s="14" t="s">
        <v>42</v>
      </c>
      <c r="M285" s="14" t="s">
        <v>43</v>
      </c>
      <c r="N285" s="14"/>
      <c r="O285" s="17"/>
      <c r="P285" s="14"/>
      <c r="Q285" s="14" t="s">
        <v>125</v>
      </c>
      <c r="R285" s="13">
        <f>HYPERLINK("https://app.hubspot.com/contacts/8748051/record/0-2/9513641119", 9513641119)</f>
        <v>9513641119</v>
      </c>
      <c r="S285" s="14" t="s">
        <v>1081</v>
      </c>
      <c r="T285" s="18" t="s">
        <v>1082</v>
      </c>
      <c r="U285" s="14" t="s">
        <v>46</v>
      </c>
      <c r="V285" s="15"/>
      <c r="W285" s="19">
        <v>891.0</v>
      </c>
      <c r="X285" s="19">
        <v>202.0</v>
      </c>
      <c r="Y285" s="20" t="s">
        <v>55</v>
      </c>
      <c r="Z285" s="20"/>
      <c r="AA285" s="20"/>
      <c r="AB285" s="21"/>
      <c r="AC285" s="20"/>
      <c r="AD285" s="21"/>
      <c r="AE285" s="20"/>
      <c r="AF285" s="17" t="str">
        <f t="shared" si="1"/>
        <v>New Logo</v>
      </c>
      <c r="AG285" s="17" t="str">
        <f t="shared" si="2"/>
        <v>Lead</v>
      </c>
      <c r="AH285" s="17" t="str">
        <f t="shared" si="3"/>
        <v>501-1000</v>
      </c>
      <c r="AI285" s="17" t="str">
        <f t="shared" si="4"/>
        <v>101-500</v>
      </c>
    </row>
    <row r="286" ht="15.75" customHeight="1">
      <c r="A286" s="13">
        <f>HYPERLINK("https://app.hubspot.com/contacts/8748051/record/0-3/36563149903", 36563149903)</f>
        <v>36563149903</v>
      </c>
      <c r="B286" s="14" t="s">
        <v>1083</v>
      </c>
      <c r="C286" s="14" t="s">
        <v>1008</v>
      </c>
      <c r="D286" s="15">
        <v>2000.0</v>
      </c>
      <c r="E286" s="14" t="s">
        <v>118</v>
      </c>
      <c r="F286" s="14"/>
      <c r="G286" s="16">
        <v>45777.38707175926</v>
      </c>
      <c r="H286" s="16">
        <v>45960.386655092596</v>
      </c>
      <c r="I286" s="14" t="s">
        <v>39</v>
      </c>
      <c r="J286" s="14" t="s">
        <v>40</v>
      </c>
      <c r="K286" s="14" t="s">
        <v>41</v>
      </c>
      <c r="L286" s="14" t="s">
        <v>42</v>
      </c>
      <c r="M286" s="14" t="s">
        <v>98</v>
      </c>
      <c r="N286" s="14"/>
      <c r="O286" s="17"/>
      <c r="P286" s="14" t="s">
        <v>260</v>
      </c>
      <c r="Q286" s="14"/>
      <c r="R286" s="13">
        <f>HYPERLINK("https://app.hubspot.com/contacts/8748051/record/0-2/32722080322", 32722080322)</f>
        <v>32722080322</v>
      </c>
      <c r="S286" s="14" t="s">
        <v>1084</v>
      </c>
      <c r="T286" s="18" t="s">
        <v>1085</v>
      </c>
      <c r="U286" s="14" t="s">
        <v>46</v>
      </c>
      <c r="V286" s="15"/>
      <c r="W286" s="19">
        <v>35.0</v>
      </c>
      <c r="X286" s="19">
        <v>4.0</v>
      </c>
      <c r="Y286" s="21"/>
      <c r="Z286" s="20"/>
      <c r="AA286" s="20"/>
      <c r="AB286" s="20"/>
      <c r="AC286" s="20"/>
      <c r="AD286" s="20"/>
      <c r="AE286" s="20"/>
      <c r="AF286" s="17" t="str">
        <f t="shared" si="1"/>
        <v>New Logo</v>
      </c>
      <c r="AG286" s="17" t="str">
        <f t="shared" si="2"/>
        <v>Lead</v>
      </c>
      <c r="AH286" s="17" t="str">
        <f t="shared" si="3"/>
        <v>0-200</v>
      </c>
      <c r="AI286" s="17" t="str">
        <f t="shared" si="4"/>
        <v>0-20</v>
      </c>
    </row>
    <row r="287" ht="15.75" customHeight="1">
      <c r="A287" s="13">
        <f>HYPERLINK("https://app.hubspot.com/contacts/8748051/record/0-3/36212115727", 36212115727)</f>
        <v>36212115727</v>
      </c>
      <c r="B287" s="14" t="s">
        <v>1086</v>
      </c>
      <c r="C287" s="14" t="s">
        <v>49</v>
      </c>
      <c r="D287" s="15">
        <v>100000.0</v>
      </c>
      <c r="E287" s="14" t="s">
        <v>118</v>
      </c>
      <c r="F287" s="14"/>
      <c r="G287" s="16">
        <v>45771.97175925926</v>
      </c>
      <c r="H287" s="16">
        <v>45951.97174768519</v>
      </c>
      <c r="I287" s="14" t="s">
        <v>39</v>
      </c>
      <c r="J287" s="14" t="s">
        <v>52</v>
      </c>
      <c r="K287" s="14" t="s">
        <v>41</v>
      </c>
      <c r="L287" s="14" t="s">
        <v>42</v>
      </c>
      <c r="M287" s="14" t="s">
        <v>43</v>
      </c>
      <c r="N287" s="14"/>
      <c r="O287" s="17"/>
      <c r="P287" s="14" t="s">
        <v>232</v>
      </c>
      <c r="Q287" s="14"/>
      <c r="R287" s="13">
        <f>HYPERLINK("https://app.hubspot.com/contacts/8748051/record/0-2/6816458012", 6816458012)</f>
        <v>6816458012</v>
      </c>
      <c r="S287" s="14" t="s">
        <v>1087</v>
      </c>
      <c r="T287" s="18" t="s">
        <v>1088</v>
      </c>
      <c r="U287" s="14" t="s">
        <v>46</v>
      </c>
      <c r="V287" s="15"/>
      <c r="W287" s="19">
        <v>9144.0</v>
      </c>
      <c r="X287" s="19">
        <v>779.0</v>
      </c>
      <c r="Y287" s="20"/>
      <c r="Z287" s="20"/>
      <c r="AA287" s="21"/>
      <c r="AB287" s="21"/>
      <c r="AC287" s="20"/>
      <c r="AD287" s="20"/>
      <c r="AE287" s="20"/>
      <c r="AF287" s="17" t="str">
        <f t="shared" si="1"/>
        <v>New Logo</v>
      </c>
      <c r="AG287" s="17" t="str">
        <f t="shared" si="2"/>
        <v>Lead</v>
      </c>
      <c r="AH287" s="17" t="str">
        <f t="shared" si="3"/>
        <v>5000-10000</v>
      </c>
      <c r="AI287" s="17" t="str">
        <f t="shared" si="4"/>
        <v>500+</v>
      </c>
    </row>
    <row r="288" ht="15.75" customHeight="1">
      <c r="A288" s="13">
        <f>HYPERLINK("https://app.hubspot.com/contacts/8748051/record/0-3/36124029510", 36124029510)</f>
        <v>36124029510</v>
      </c>
      <c r="B288" s="14" t="s">
        <v>1089</v>
      </c>
      <c r="C288" s="14" t="s">
        <v>49</v>
      </c>
      <c r="D288" s="15">
        <v>80000.0</v>
      </c>
      <c r="E288" s="14" t="s">
        <v>89</v>
      </c>
      <c r="F288" s="14" t="s">
        <v>51</v>
      </c>
      <c r="G288" s="16">
        <v>45770.72572916667</v>
      </c>
      <c r="H288" s="16">
        <v>45956.90225694444</v>
      </c>
      <c r="I288" s="14" t="s">
        <v>39</v>
      </c>
      <c r="J288" s="14" t="s">
        <v>40</v>
      </c>
      <c r="K288" s="14" t="s">
        <v>41</v>
      </c>
      <c r="L288" s="14" t="s">
        <v>42</v>
      </c>
      <c r="M288" s="14" t="s">
        <v>43</v>
      </c>
      <c r="N288" s="14" t="s">
        <v>1090</v>
      </c>
      <c r="O288" s="17"/>
      <c r="P288" s="14"/>
      <c r="Q288" s="14" t="s">
        <v>400</v>
      </c>
      <c r="R288" s="13">
        <f>HYPERLINK("https://app.hubspot.com/contacts/8748051/record/0-2/35716472621", 35716472621)</f>
        <v>35716472621</v>
      </c>
      <c r="S288" s="14" t="s">
        <v>182</v>
      </c>
      <c r="T288" s="18" t="s">
        <v>183</v>
      </c>
      <c r="U288" s="14" t="s">
        <v>93</v>
      </c>
      <c r="V288" s="15">
        <v>88000.0</v>
      </c>
      <c r="W288" s="19">
        <v>972.0</v>
      </c>
      <c r="X288" s="19">
        <v>295.0</v>
      </c>
      <c r="Y288" s="20"/>
      <c r="Z288" s="20" t="s">
        <v>184</v>
      </c>
      <c r="AA288" s="20"/>
      <c r="AB288" s="20"/>
      <c r="AC288" s="20" t="s">
        <v>185</v>
      </c>
      <c r="AD288" s="20"/>
      <c r="AE288" s="20" t="s">
        <v>186</v>
      </c>
      <c r="AF288" s="17" t="str">
        <f t="shared" si="1"/>
        <v>New Logo</v>
      </c>
      <c r="AG288" s="17" t="str">
        <f t="shared" si="2"/>
        <v>Customer</v>
      </c>
      <c r="AH288" s="17" t="str">
        <f t="shared" si="3"/>
        <v>501-1000</v>
      </c>
      <c r="AI288" s="17" t="str">
        <f t="shared" si="4"/>
        <v>101-500</v>
      </c>
    </row>
    <row r="289" ht="15.75" customHeight="1">
      <c r="A289" s="13">
        <f>HYPERLINK("https://app.hubspot.com/contacts/8748051/record/0-3/36142638880", 36142638880)</f>
        <v>36142638880</v>
      </c>
      <c r="B289" s="14" t="s">
        <v>1091</v>
      </c>
      <c r="C289" s="14" t="s">
        <v>145</v>
      </c>
      <c r="D289" s="15">
        <v>43500.0</v>
      </c>
      <c r="E289" s="14" t="s">
        <v>124</v>
      </c>
      <c r="F289" s="14" t="s">
        <v>51</v>
      </c>
      <c r="G289" s="16">
        <v>45770.41193287037</v>
      </c>
      <c r="H289" s="16">
        <v>45937.720497685186</v>
      </c>
      <c r="I289" s="14" t="s">
        <v>39</v>
      </c>
      <c r="J289" s="14" t="s">
        <v>40</v>
      </c>
      <c r="K289" s="14" t="s">
        <v>41</v>
      </c>
      <c r="L289" s="14" t="s">
        <v>42</v>
      </c>
      <c r="M289" s="14" t="s">
        <v>43</v>
      </c>
      <c r="N289" s="14"/>
      <c r="O289" s="14"/>
      <c r="P289" s="14"/>
      <c r="Q289" s="14" t="s">
        <v>502</v>
      </c>
      <c r="R289" s="13">
        <f>HYPERLINK("https://app.hubspot.com/contacts/8748051/record/0-2/32425083941", 32425083941)</f>
        <v>32425083941</v>
      </c>
      <c r="S289" s="14" t="s">
        <v>1092</v>
      </c>
      <c r="T289" s="18" t="s">
        <v>1093</v>
      </c>
      <c r="U289" s="14" t="s">
        <v>46</v>
      </c>
      <c r="V289" s="15"/>
      <c r="W289" s="19">
        <v>417.0</v>
      </c>
      <c r="X289" s="19">
        <v>113.0</v>
      </c>
      <c r="Y289" s="20" t="s">
        <v>70</v>
      </c>
      <c r="Z289" s="20"/>
      <c r="AA289" s="21"/>
      <c r="AB289" s="20"/>
      <c r="AC289" s="20"/>
      <c r="AD289" s="20"/>
      <c r="AE289" s="20"/>
      <c r="AF289" s="17" t="str">
        <f t="shared" si="1"/>
        <v>New Logo</v>
      </c>
      <c r="AG289" s="17" t="str">
        <f t="shared" si="2"/>
        <v>Lead</v>
      </c>
      <c r="AH289" s="17" t="str">
        <f t="shared" si="3"/>
        <v>201-500</v>
      </c>
      <c r="AI289" s="17" t="str">
        <f t="shared" si="4"/>
        <v>101-500</v>
      </c>
    </row>
    <row r="290" ht="15.75" customHeight="1">
      <c r="A290" s="13">
        <f>HYPERLINK("https://app.hubspot.com/contacts/8748051/record/0-3/36065556254", 36065556254)</f>
        <v>36065556254</v>
      </c>
      <c r="B290" s="14" t="s">
        <v>1094</v>
      </c>
      <c r="C290" s="14" t="s">
        <v>145</v>
      </c>
      <c r="D290" s="15">
        <v>46000.0</v>
      </c>
      <c r="E290" s="14" t="s">
        <v>89</v>
      </c>
      <c r="F290" s="14" t="s">
        <v>51</v>
      </c>
      <c r="G290" s="16">
        <v>45769.61466435185</v>
      </c>
      <c r="H290" s="16">
        <v>45807.363229166665</v>
      </c>
      <c r="I290" s="14" t="s">
        <v>39</v>
      </c>
      <c r="J290" s="14" t="s">
        <v>52</v>
      </c>
      <c r="K290" s="14" t="s">
        <v>41</v>
      </c>
      <c r="L290" s="14" t="s">
        <v>42</v>
      </c>
      <c r="M290" s="14" t="s">
        <v>43</v>
      </c>
      <c r="N290" s="14" t="s">
        <v>1095</v>
      </c>
      <c r="O290" s="17"/>
      <c r="P290" s="14"/>
      <c r="Q290" s="14"/>
      <c r="R290" s="13">
        <f>HYPERLINK("https://app.hubspot.com/contacts/8748051/record/0-2/8161507100", 8161507100)</f>
        <v>8161507100</v>
      </c>
      <c r="S290" s="14" t="s">
        <v>1096</v>
      </c>
      <c r="T290" s="18" t="s">
        <v>1097</v>
      </c>
      <c r="U290" s="14" t="s">
        <v>93</v>
      </c>
      <c r="V290" s="15">
        <v>46000.0</v>
      </c>
      <c r="W290" s="19">
        <v>1078.0</v>
      </c>
      <c r="X290" s="19">
        <v>310.0</v>
      </c>
      <c r="Y290" s="20"/>
      <c r="Z290" s="20" t="s">
        <v>205</v>
      </c>
      <c r="AA290" s="21"/>
      <c r="AB290" s="20" t="s">
        <v>267</v>
      </c>
      <c r="AC290" s="20" t="s">
        <v>1098</v>
      </c>
      <c r="AD290" s="20"/>
      <c r="AE290" s="20" t="s">
        <v>553</v>
      </c>
      <c r="AF290" s="17" t="str">
        <f t="shared" si="1"/>
        <v>New Logo</v>
      </c>
      <c r="AG290" s="17" t="str">
        <f t="shared" si="2"/>
        <v>Customer</v>
      </c>
      <c r="AH290" s="17" t="str">
        <f t="shared" si="3"/>
        <v>1001-5000</v>
      </c>
      <c r="AI290" s="17" t="str">
        <f t="shared" si="4"/>
        <v>101-500</v>
      </c>
    </row>
    <row r="291" ht="15.75" customHeight="1">
      <c r="A291" s="13">
        <f>HYPERLINK("https://app.hubspot.com/contacts/8748051/record/0-3/36028597311", 36028597311)</f>
        <v>36028597311</v>
      </c>
      <c r="B291" s="14" t="s">
        <v>1099</v>
      </c>
      <c r="C291" s="14" t="s">
        <v>145</v>
      </c>
      <c r="D291" s="15">
        <v>35500.0</v>
      </c>
      <c r="E291" s="14" t="s">
        <v>118</v>
      </c>
      <c r="F291" s="14"/>
      <c r="G291" s="16">
        <v>45768.481782407405</v>
      </c>
      <c r="H291" s="16">
        <v>45845.52990740741</v>
      </c>
      <c r="I291" s="14" t="s">
        <v>39</v>
      </c>
      <c r="J291" s="14" t="s">
        <v>40</v>
      </c>
      <c r="K291" s="14" t="s">
        <v>251</v>
      </c>
      <c r="L291" s="14" t="s">
        <v>42</v>
      </c>
      <c r="M291" s="14" t="s">
        <v>43</v>
      </c>
      <c r="N291" s="17"/>
      <c r="O291" s="14"/>
      <c r="P291" s="14" t="s">
        <v>119</v>
      </c>
      <c r="Q291" s="14"/>
      <c r="R291" s="13">
        <f>HYPERLINK("https://app.hubspot.com/contacts/8748051/record/0-2/9238390855", 9238390855)</f>
        <v>9238390855</v>
      </c>
      <c r="S291" s="14" t="s">
        <v>1100</v>
      </c>
      <c r="T291" s="18" t="s">
        <v>1101</v>
      </c>
      <c r="U291" s="14" t="s">
        <v>46</v>
      </c>
      <c r="V291" s="22"/>
      <c r="W291" s="19">
        <v>1776.0</v>
      </c>
      <c r="X291" s="19">
        <v>84.0</v>
      </c>
      <c r="Y291" s="20" t="s">
        <v>55</v>
      </c>
      <c r="Z291" s="21"/>
      <c r="AA291" s="21"/>
      <c r="AB291" s="21"/>
      <c r="AC291" s="21"/>
      <c r="AD291" s="21"/>
      <c r="AE291" s="21"/>
      <c r="AF291" s="17" t="str">
        <f t="shared" si="1"/>
        <v>New Logo</v>
      </c>
      <c r="AG291" s="17" t="str">
        <f t="shared" si="2"/>
        <v>Lead</v>
      </c>
      <c r="AH291" s="17" t="str">
        <f t="shared" si="3"/>
        <v>1001-5000</v>
      </c>
      <c r="AI291" s="17" t="str">
        <f t="shared" si="4"/>
        <v>51-100</v>
      </c>
    </row>
    <row r="292" ht="15.75" customHeight="1">
      <c r="A292" s="13">
        <f>HYPERLINK("https://app.hubspot.com/contacts/8748051/record/0-3/35893352554", 35893352554)</f>
        <v>35893352554</v>
      </c>
      <c r="B292" s="14" t="s">
        <v>1102</v>
      </c>
      <c r="C292" s="14" t="s">
        <v>49</v>
      </c>
      <c r="D292" s="15">
        <v>43500.0</v>
      </c>
      <c r="E292" s="14" t="s">
        <v>118</v>
      </c>
      <c r="F292" s="14"/>
      <c r="G292" s="16">
        <v>45765.39094907408</v>
      </c>
      <c r="H292" s="16">
        <v>45948.38980324074</v>
      </c>
      <c r="I292" s="14" t="s">
        <v>39</v>
      </c>
      <c r="J292" s="14" t="s">
        <v>40</v>
      </c>
      <c r="K292" s="14" t="s">
        <v>1103</v>
      </c>
      <c r="L292" s="14" t="s">
        <v>559</v>
      </c>
      <c r="M292" s="14" t="s">
        <v>43</v>
      </c>
      <c r="N292" s="14"/>
      <c r="O292" s="17"/>
      <c r="P292" s="14" t="s">
        <v>260</v>
      </c>
      <c r="Q292" s="14"/>
      <c r="R292" s="13">
        <f>HYPERLINK("https://app.hubspot.com/contacts/8748051/record/0-2/6262832245", 6262832245)</f>
        <v>6262832245</v>
      </c>
      <c r="S292" s="14" t="s">
        <v>1104</v>
      </c>
      <c r="T292" s="18" t="s">
        <v>1105</v>
      </c>
      <c r="U292" s="14" t="s">
        <v>46</v>
      </c>
      <c r="V292" s="15"/>
      <c r="W292" s="19">
        <v>985.0</v>
      </c>
      <c r="X292" s="19">
        <v>143.0</v>
      </c>
      <c r="Y292" s="20" t="s">
        <v>1106</v>
      </c>
      <c r="Z292" s="20"/>
      <c r="AA292" s="20"/>
      <c r="AB292" s="20"/>
      <c r="AC292" s="20"/>
      <c r="AD292" s="20"/>
      <c r="AE292" s="20"/>
      <c r="AF292" s="17" t="str">
        <f t="shared" si="1"/>
        <v>New Logo</v>
      </c>
      <c r="AG292" s="17" t="str">
        <f t="shared" si="2"/>
        <v>Lead</v>
      </c>
      <c r="AH292" s="17" t="str">
        <f t="shared" si="3"/>
        <v>501-1000</v>
      </c>
      <c r="AI292" s="17" t="str">
        <f t="shared" si="4"/>
        <v>101-500</v>
      </c>
    </row>
    <row r="293" ht="15.75" customHeight="1">
      <c r="A293" s="13">
        <f>HYPERLINK("https://app.hubspot.com/contacts/8748051/record/0-3/35827801260", 35827801260)</f>
        <v>35827801260</v>
      </c>
      <c r="B293" s="14" t="s">
        <v>1107</v>
      </c>
      <c r="C293" s="14" t="s">
        <v>37</v>
      </c>
      <c r="D293" s="15">
        <v>5000.0</v>
      </c>
      <c r="E293" s="14" t="s">
        <v>118</v>
      </c>
      <c r="F293" s="14"/>
      <c r="G293" s="16">
        <v>45763.463796296295</v>
      </c>
      <c r="H293" s="16">
        <v>45943.463784722226</v>
      </c>
      <c r="I293" s="14" t="s">
        <v>39</v>
      </c>
      <c r="J293" s="14" t="s">
        <v>40</v>
      </c>
      <c r="K293" s="14" t="s">
        <v>41</v>
      </c>
      <c r="L293" s="14" t="s">
        <v>42</v>
      </c>
      <c r="M293" s="14" t="s">
        <v>98</v>
      </c>
      <c r="N293" s="14"/>
      <c r="O293" s="14"/>
      <c r="P293" s="14" t="s">
        <v>211</v>
      </c>
      <c r="Q293" s="14"/>
      <c r="R293" s="13">
        <f>HYPERLINK("https://app.hubspot.com/contacts/8748051/record/0-2/20185415273", 20185415273)</f>
        <v>20185415273</v>
      </c>
      <c r="S293" s="14" t="s">
        <v>820</v>
      </c>
      <c r="T293" s="18" t="s">
        <v>821</v>
      </c>
      <c r="U293" s="14" t="s">
        <v>46</v>
      </c>
      <c r="V293" s="15"/>
      <c r="W293" s="19">
        <v>77.0</v>
      </c>
      <c r="X293" s="19">
        <v>6.0</v>
      </c>
      <c r="Y293" s="20"/>
      <c r="Z293" s="20"/>
      <c r="AA293" s="20"/>
      <c r="AB293" s="20"/>
      <c r="AC293" s="20"/>
      <c r="AD293" s="21"/>
      <c r="AE293" s="20"/>
      <c r="AF293" s="17" t="str">
        <f t="shared" si="1"/>
        <v>New Logo</v>
      </c>
      <c r="AG293" s="17" t="str">
        <f t="shared" si="2"/>
        <v>Lead</v>
      </c>
      <c r="AH293" s="17" t="str">
        <f t="shared" si="3"/>
        <v>0-200</v>
      </c>
      <c r="AI293" s="17" t="str">
        <f t="shared" si="4"/>
        <v>0-20</v>
      </c>
    </row>
    <row r="294" ht="15.75" customHeight="1">
      <c r="A294" s="13">
        <f>HYPERLINK("https://app.hubspot.com/contacts/8748051/record/0-3/35764308320", 35764308320)</f>
        <v>35764308320</v>
      </c>
      <c r="B294" s="14" t="s">
        <v>1108</v>
      </c>
      <c r="C294" s="14" t="s">
        <v>49</v>
      </c>
      <c r="D294" s="15">
        <v>9500.0</v>
      </c>
      <c r="E294" s="14" t="s">
        <v>118</v>
      </c>
      <c r="F294" s="14"/>
      <c r="G294" s="16">
        <v>45762.78494212963</v>
      </c>
      <c r="H294" s="16">
        <v>45942.78491898148</v>
      </c>
      <c r="I294" s="14" t="s">
        <v>39</v>
      </c>
      <c r="J294" s="14" t="s">
        <v>40</v>
      </c>
      <c r="K294" s="14" t="s">
        <v>41</v>
      </c>
      <c r="L294" s="14" t="s">
        <v>42</v>
      </c>
      <c r="M294" s="14" t="s">
        <v>43</v>
      </c>
      <c r="N294" s="17"/>
      <c r="O294" s="17"/>
      <c r="P294" s="14" t="s">
        <v>260</v>
      </c>
      <c r="Q294" s="14"/>
      <c r="R294" s="13">
        <f>HYPERLINK("https://app.hubspot.com/contacts/8748051/record/0-2/32056215688", 32056215688)</f>
        <v>32056215688</v>
      </c>
      <c r="S294" s="14" t="s">
        <v>1109</v>
      </c>
      <c r="T294" s="18" t="s">
        <v>1110</v>
      </c>
      <c r="U294" s="14" t="s">
        <v>46</v>
      </c>
      <c r="V294" s="15"/>
      <c r="W294" s="19">
        <v>226.0</v>
      </c>
      <c r="X294" s="19">
        <v>19.0</v>
      </c>
      <c r="Y294" s="20"/>
      <c r="Z294" s="20"/>
      <c r="AA294" s="20"/>
      <c r="AB294" s="21"/>
      <c r="AC294" s="20"/>
      <c r="AD294" s="21"/>
      <c r="AE294" s="20"/>
      <c r="AF294" s="17" t="str">
        <f t="shared" si="1"/>
        <v>New Logo</v>
      </c>
      <c r="AG294" s="17" t="str">
        <f t="shared" si="2"/>
        <v>Lead</v>
      </c>
      <c r="AH294" s="17" t="str">
        <f t="shared" si="3"/>
        <v>201-500</v>
      </c>
      <c r="AI294" s="17" t="str">
        <f t="shared" si="4"/>
        <v>0-20</v>
      </c>
    </row>
    <row r="295" ht="15.75" customHeight="1">
      <c r="A295" s="13">
        <f>HYPERLINK("https://app.hubspot.com/contacts/8748051/record/0-3/43997547687", 43997547687)</f>
        <v>43997547687</v>
      </c>
      <c r="B295" s="14" t="s">
        <v>1111</v>
      </c>
      <c r="C295" s="14" t="s">
        <v>156</v>
      </c>
      <c r="D295" s="15">
        <v>2000.0</v>
      </c>
      <c r="E295" s="14" t="s">
        <v>89</v>
      </c>
      <c r="F295" s="14"/>
      <c r="G295" s="16">
        <v>45761.65998842593</v>
      </c>
      <c r="H295" s="16">
        <v>45761.66</v>
      </c>
      <c r="I295" s="14" t="s">
        <v>39</v>
      </c>
      <c r="J295" s="14" t="s">
        <v>179</v>
      </c>
      <c r="K295" s="14" t="s">
        <v>158</v>
      </c>
      <c r="L295" s="14" t="s">
        <v>159</v>
      </c>
      <c r="M295" s="14"/>
      <c r="N295" s="14"/>
      <c r="O295" s="14"/>
      <c r="P295" s="14"/>
      <c r="Q295" s="14"/>
      <c r="R295" s="13">
        <f>HYPERLINK("https://app.hubspot.com/contacts/8748051/record/0-2/8950154645", 8950154645)</f>
        <v>8950154645</v>
      </c>
      <c r="S295" s="14" t="s">
        <v>189</v>
      </c>
      <c r="T295" s="18" t="s">
        <v>190</v>
      </c>
      <c r="U295" s="14" t="s">
        <v>93</v>
      </c>
      <c r="V295" s="15">
        <v>79564.0</v>
      </c>
      <c r="W295" s="19">
        <v>882.0</v>
      </c>
      <c r="X295" s="19">
        <v>60.0</v>
      </c>
      <c r="Y295" s="20"/>
      <c r="Z295" s="20" t="s">
        <v>191</v>
      </c>
      <c r="AA295" s="20" t="s">
        <v>192</v>
      </c>
      <c r="AB295" s="20"/>
      <c r="AC295" s="20" t="s">
        <v>193</v>
      </c>
      <c r="AD295" s="20"/>
      <c r="AE295" s="20" t="s">
        <v>166</v>
      </c>
      <c r="AF295" s="17" t="str">
        <f t="shared" si="1"/>
        <v>Upsell</v>
      </c>
      <c r="AG295" s="17" t="str">
        <f t="shared" si="2"/>
        <v>Customer</v>
      </c>
      <c r="AH295" s="17" t="str">
        <f t="shared" si="3"/>
        <v>501-1000</v>
      </c>
      <c r="AI295" s="17" t="str">
        <f t="shared" si="4"/>
        <v>51-100</v>
      </c>
    </row>
    <row r="296" ht="15.75" customHeight="1">
      <c r="A296" s="13">
        <f>HYPERLINK("https://app.hubspot.com/contacts/8748051/record/0-3/35676027492", 35676027492)</f>
        <v>35676027492</v>
      </c>
      <c r="B296" s="14" t="s">
        <v>1112</v>
      </c>
      <c r="C296" s="14" t="s">
        <v>49</v>
      </c>
      <c r="D296" s="15">
        <v>1500.0</v>
      </c>
      <c r="E296" s="14" t="s">
        <v>118</v>
      </c>
      <c r="F296" s="14"/>
      <c r="G296" s="16">
        <v>45758.643055555556</v>
      </c>
      <c r="H296" s="16">
        <v>45938.64303240741</v>
      </c>
      <c r="I296" s="14" t="s">
        <v>39</v>
      </c>
      <c r="J296" s="14" t="s">
        <v>40</v>
      </c>
      <c r="K296" s="14" t="s">
        <v>41</v>
      </c>
      <c r="L296" s="14" t="s">
        <v>42</v>
      </c>
      <c r="M296" s="14" t="s">
        <v>43</v>
      </c>
      <c r="N296" s="14"/>
      <c r="O296" s="14"/>
      <c r="P296" s="14" t="s">
        <v>232</v>
      </c>
      <c r="Q296" s="14"/>
      <c r="R296" s="13">
        <f>HYPERLINK("https://app.hubspot.com/contacts/8748051/record/0-2/31946973311", 31946973311)</f>
        <v>31946973311</v>
      </c>
      <c r="S296" s="14" t="s">
        <v>672</v>
      </c>
      <c r="T296" s="18" t="s">
        <v>673</v>
      </c>
      <c r="U296" s="14" t="s">
        <v>46</v>
      </c>
      <c r="V296" s="15"/>
      <c r="W296" s="19">
        <v>36.0</v>
      </c>
      <c r="X296" s="19">
        <v>3.0</v>
      </c>
      <c r="Y296" s="20"/>
      <c r="Z296" s="20"/>
      <c r="AA296" s="21"/>
      <c r="AB296" s="21"/>
      <c r="AC296" s="20"/>
      <c r="AD296" s="21"/>
      <c r="AE296" s="20"/>
      <c r="AF296" s="17" t="str">
        <f t="shared" si="1"/>
        <v>New Logo</v>
      </c>
      <c r="AG296" s="17" t="str">
        <f t="shared" si="2"/>
        <v>Lead</v>
      </c>
      <c r="AH296" s="17" t="str">
        <f t="shared" si="3"/>
        <v>0-200</v>
      </c>
      <c r="AI296" s="17" t="str">
        <f t="shared" si="4"/>
        <v>0-20</v>
      </c>
    </row>
    <row r="297" ht="15.75" customHeight="1">
      <c r="A297" s="13">
        <f>HYPERLINK("https://app.hubspot.com/contacts/8748051/record/0-3/35633263727", 35633263727)</f>
        <v>35633263727</v>
      </c>
      <c r="B297" s="14" t="s">
        <v>1113</v>
      </c>
      <c r="C297" s="14" t="s">
        <v>1008</v>
      </c>
      <c r="D297" s="15">
        <v>11000.0</v>
      </c>
      <c r="E297" s="14" t="s">
        <v>118</v>
      </c>
      <c r="F297" s="14"/>
      <c r="G297" s="16">
        <v>45757.55971064815</v>
      </c>
      <c r="H297" s="16">
        <v>45937.559699074074</v>
      </c>
      <c r="I297" s="14" t="s">
        <v>39</v>
      </c>
      <c r="J297" s="14" t="s">
        <v>40</v>
      </c>
      <c r="K297" s="14" t="s">
        <v>41</v>
      </c>
      <c r="L297" s="14" t="s">
        <v>42</v>
      </c>
      <c r="M297" s="14" t="s">
        <v>43</v>
      </c>
      <c r="N297" s="14"/>
      <c r="O297" s="14"/>
      <c r="P297" s="14" t="s">
        <v>260</v>
      </c>
      <c r="Q297" s="14"/>
      <c r="R297" s="13">
        <f>HYPERLINK("https://app.hubspot.com/contacts/8748051/record/0-2/7983431442", 7983431442)</f>
        <v>7983431442</v>
      </c>
      <c r="S297" s="14" t="s">
        <v>1114</v>
      </c>
      <c r="T297" s="18" t="s">
        <v>1115</v>
      </c>
      <c r="U297" s="14" t="s">
        <v>46</v>
      </c>
      <c r="V297" s="15"/>
      <c r="W297" s="19">
        <v>183.0</v>
      </c>
      <c r="X297" s="19">
        <v>35.0</v>
      </c>
      <c r="Y297" s="20" t="s">
        <v>104</v>
      </c>
      <c r="Z297" s="20"/>
      <c r="AA297" s="20"/>
      <c r="AB297" s="21"/>
      <c r="AC297" s="20"/>
      <c r="AD297" s="21"/>
      <c r="AE297" s="20"/>
      <c r="AF297" s="17" t="str">
        <f t="shared" si="1"/>
        <v>New Logo</v>
      </c>
      <c r="AG297" s="17" t="str">
        <f t="shared" si="2"/>
        <v>Lead</v>
      </c>
      <c r="AH297" s="17" t="str">
        <f t="shared" si="3"/>
        <v>0-200</v>
      </c>
      <c r="AI297" s="17" t="str">
        <f t="shared" si="4"/>
        <v>21-50</v>
      </c>
    </row>
    <row r="298" ht="15.75" customHeight="1">
      <c r="A298" s="13">
        <f>HYPERLINK("https://app.hubspot.com/contacts/8748051/record/0-3/35631696556", 35631696556)</f>
        <v>35631696556</v>
      </c>
      <c r="B298" s="14" t="s">
        <v>1116</v>
      </c>
      <c r="C298" s="14" t="s">
        <v>145</v>
      </c>
      <c r="D298" s="15">
        <v>40000.0</v>
      </c>
      <c r="E298" s="14" t="s">
        <v>146</v>
      </c>
      <c r="F298" s="14" t="s">
        <v>51</v>
      </c>
      <c r="G298" s="16">
        <v>45756.70082175926</v>
      </c>
      <c r="H298" s="16">
        <v>45819.61006944445</v>
      </c>
      <c r="I298" s="14" t="s">
        <v>39</v>
      </c>
      <c r="J298" s="14" t="s">
        <v>40</v>
      </c>
      <c r="K298" s="14" t="s">
        <v>1103</v>
      </c>
      <c r="L298" s="14" t="s">
        <v>60</v>
      </c>
      <c r="M298" s="14" t="s">
        <v>43</v>
      </c>
      <c r="N298" s="14"/>
      <c r="O298" s="14" t="s">
        <v>1117</v>
      </c>
      <c r="P298" s="14"/>
      <c r="Q298" s="14"/>
      <c r="R298" s="13">
        <f>HYPERLINK("https://app.hubspot.com/contacts/8748051/record/0-2/9913542440", 9913542440)</f>
        <v>9913542440</v>
      </c>
      <c r="S298" s="14" t="s">
        <v>1118</v>
      </c>
      <c r="T298" s="18" t="s">
        <v>1119</v>
      </c>
      <c r="U298" s="14" t="s">
        <v>46</v>
      </c>
      <c r="V298" s="15"/>
      <c r="W298" s="19">
        <v>360.0</v>
      </c>
      <c r="X298" s="19">
        <v>42.0</v>
      </c>
      <c r="Y298" s="20" t="s">
        <v>104</v>
      </c>
      <c r="Z298" s="20"/>
      <c r="AA298" s="20"/>
      <c r="AB298" s="20"/>
      <c r="AC298" s="20"/>
      <c r="AD298" s="20"/>
      <c r="AE298" s="20"/>
      <c r="AF298" s="17" t="str">
        <f t="shared" si="1"/>
        <v>New Logo</v>
      </c>
      <c r="AG298" s="17" t="str">
        <f t="shared" si="2"/>
        <v>Lead</v>
      </c>
      <c r="AH298" s="17" t="str">
        <f t="shared" si="3"/>
        <v>201-500</v>
      </c>
      <c r="AI298" s="17" t="str">
        <f t="shared" si="4"/>
        <v>21-50</v>
      </c>
    </row>
    <row r="299" ht="15.75" customHeight="1">
      <c r="A299" s="13">
        <f>HYPERLINK("https://app.hubspot.com/contacts/8748051/record/0-3/35628527472", 35628527472)</f>
        <v>35628527472</v>
      </c>
      <c r="B299" s="14" t="s">
        <v>1120</v>
      </c>
      <c r="C299" s="14" t="s">
        <v>49</v>
      </c>
      <c r="D299" s="15">
        <v>100000.0</v>
      </c>
      <c r="E299" s="14" t="s">
        <v>118</v>
      </c>
      <c r="F299" s="14"/>
      <c r="G299" s="16">
        <v>45756.643587962964</v>
      </c>
      <c r="H299" s="16">
        <v>45939.64320601852</v>
      </c>
      <c r="I299" s="14" t="s">
        <v>39</v>
      </c>
      <c r="J299" s="14" t="s">
        <v>52</v>
      </c>
      <c r="K299" s="14" t="s">
        <v>41</v>
      </c>
      <c r="L299" s="14" t="s">
        <v>42</v>
      </c>
      <c r="M299" s="14" t="s">
        <v>43</v>
      </c>
      <c r="N299" s="14"/>
      <c r="O299" s="14"/>
      <c r="P299" s="14" t="s">
        <v>260</v>
      </c>
      <c r="Q299" s="14"/>
      <c r="R299" s="13">
        <f>HYPERLINK("https://app.hubspot.com/contacts/8748051/record/0-2/8142764962", 8142764962)</f>
        <v>8142764962</v>
      </c>
      <c r="S299" s="14" t="s">
        <v>951</v>
      </c>
      <c r="T299" s="18" t="s">
        <v>952</v>
      </c>
      <c r="U299" s="14" t="s">
        <v>46</v>
      </c>
      <c r="V299" s="15"/>
      <c r="W299" s="19">
        <v>4351.0</v>
      </c>
      <c r="X299" s="19">
        <v>550.0</v>
      </c>
      <c r="Y299" s="20" t="s">
        <v>55</v>
      </c>
      <c r="Z299" s="20"/>
      <c r="AA299" s="20"/>
      <c r="AB299" s="20"/>
      <c r="AC299" s="20"/>
      <c r="AD299" s="20"/>
      <c r="AE299" s="20"/>
      <c r="AF299" s="17" t="str">
        <f t="shared" si="1"/>
        <v>New Logo</v>
      </c>
      <c r="AG299" s="17" t="str">
        <f t="shared" si="2"/>
        <v>Lead</v>
      </c>
      <c r="AH299" s="17" t="str">
        <f t="shared" si="3"/>
        <v>1001-5000</v>
      </c>
      <c r="AI299" s="17" t="str">
        <f t="shared" si="4"/>
        <v>500+</v>
      </c>
    </row>
    <row r="300" ht="15.75" customHeight="1">
      <c r="A300" s="13">
        <f>HYPERLINK("https://app.hubspot.com/contacts/8748051/record/0-3/35613249650", 35613249650)</f>
        <v>35613249650</v>
      </c>
      <c r="B300" s="14" t="s">
        <v>1121</v>
      </c>
      <c r="C300" s="14" t="s">
        <v>37</v>
      </c>
      <c r="D300" s="15">
        <v>22000.0</v>
      </c>
      <c r="E300" s="14" t="s">
        <v>124</v>
      </c>
      <c r="F300" s="14" t="s">
        <v>51</v>
      </c>
      <c r="G300" s="16">
        <v>45756.35601851852</v>
      </c>
      <c r="H300" s="16">
        <v>46108.31337962963</v>
      </c>
      <c r="I300" s="14" t="s">
        <v>39</v>
      </c>
      <c r="J300" s="14" t="s">
        <v>40</v>
      </c>
      <c r="K300" s="14" t="s">
        <v>41</v>
      </c>
      <c r="L300" s="14" t="s">
        <v>42</v>
      </c>
      <c r="M300" s="14" t="s">
        <v>98</v>
      </c>
      <c r="N300" s="14"/>
      <c r="O300" s="14"/>
      <c r="P300" s="14"/>
      <c r="Q300" s="14" t="s">
        <v>125</v>
      </c>
      <c r="R300" s="13">
        <f>HYPERLINK("https://app.hubspot.com/contacts/8748051/record/0-2/18450809606", 18450809606)</f>
        <v>18450809606</v>
      </c>
      <c r="S300" s="14" t="s">
        <v>1122</v>
      </c>
      <c r="T300" s="18" t="s">
        <v>1123</v>
      </c>
      <c r="U300" s="14" t="s">
        <v>46</v>
      </c>
      <c r="V300" s="15"/>
      <c r="W300" s="19">
        <v>260.0</v>
      </c>
      <c r="X300" s="19">
        <v>25.0</v>
      </c>
      <c r="Y300" s="20"/>
      <c r="Z300" s="20"/>
      <c r="AA300" s="21"/>
      <c r="AB300" s="20"/>
      <c r="AC300" s="20"/>
      <c r="AD300" s="20"/>
      <c r="AE300" s="20"/>
      <c r="AF300" s="17" t="str">
        <f t="shared" si="1"/>
        <v>New Logo</v>
      </c>
      <c r="AG300" s="17" t="str">
        <f t="shared" si="2"/>
        <v>Lead</v>
      </c>
      <c r="AH300" s="17" t="str">
        <f t="shared" si="3"/>
        <v>201-500</v>
      </c>
      <c r="AI300" s="17" t="str">
        <f t="shared" si="4"/>
        <v>21-50</v>
      </c>
    </row>
    <row r="301" ht="15.75" customHeight="1">
      <c r="A301" s="13">
        <f>HYPERLINK("https://app.hubspot.com/contacts/8748051/record/0-3/35616214589", 35616214589)</f>
        <v>35616214589</v>
      </c>
      <c r="B301" s="14" t="s">
        <v>1124</v>
      </c>
      <c r="C301" s="14" t="s">
        <v>1008</v>
      </c>
      <c r="D301" s="15">
        <v>40000.0</v>
      </c>
      <c r="E301" s="14" t="s">
        <v>124</v>
      </c>
      <c r="F301" s="14" t="s">
        <v>51</v>
      </c>
      <c r="G301" s="16">
        <v>45756.137870370374</v>
      </c>
      <c r="H301" s="16">
        <v>45838.13707175926</v>
      </c>
      <c r="I301" s="14" t="s">
        <v>39</v>
      </c>
      <c r="J301" s="14" t="s">
        <v>52</v>
      </c>
      <c r="K301" s="14" t="s">
        <v>59</v>
      </c>
      <c r="L301" s="14" t="s">
        <v>180</v>
      </c>
      <c r="M301" s="14" t="s">
        <v>72</v>
      </c>
      <c r="N301" s="14"/>
      <c r="O301" s="14"/>
      <c r="P301" s="14"/>
      <c r="Q301" s="14" t="s">
        <v>125</v>
      </c>
      <c r="R301" s="13">
        <f>HYPERLINK("https://app.hubspot.com/contacts/8748051/record/0-2/10910026910", 10910026910)</f>
        <v>10910026910</v>
      </c>
      <c r="S301" s="14" t="s">
        <v>1125</v>
      </c>
      <c r="T301" s="18" t="s">
        <v>1126</v>
      </c>
      <c r="U301" s="14" t="s">
        <v>46</v>
      </c>
      <c r="V301" s="15"/>
      <c r="W301" s="19">
        <v>256.0</v>
      </c>
      <c r="X301" s="19">
        <v>59.0</v>
      </c>
      <c r="Y301" s="20" t="s">
        <v>104</v>
      </c>
      <c r="Z301" s="20"/>
      <c r="AA301" s="20"/>
      <c r="AB301" s="21"/>
      <c r="AC301" s="20"/>
      <c r="AD301" s="21"/>
      <c r="AE301" s="20"/>
      <c r="AF301" s="17" t="str">
        <f t="shared" si="1"/>
        <v>New Logo</v>
      </c>
      <c r="AG301" s="17" t="str">
        <f t="shared" si="2"/>
        <v>Lead</v>
      </c>
      <c r="AH301" s="17" t="str">
        <f t="shared" si="3"/>
        <v>201-500</v>
      </c>
      <c r="AI301" s="17" t="str">
        <f t="shared" si="4"/>
        <v>51-100</v>
      </c>
    </row>
    <row r="302" ht="15.75" customHeight="1">
      <c r="A302" s="13">
        <f>HYPERLINK("https://app.hubspot.com/contacts/8748051/record/0-3/35601301376", 35601301376)</f>
        <v>35601301376</v>
      </c>
      <c r="B302" s="14" t="s">
        <v>1127</v>
      </c>
      <c r="C302" s="14" t="s">
        <v>49</v>
      </c>
      <c r="D302" s="15">
        <v>25000.0</v>
      </c>
      <c r="E302" s="14" t="s">
        <v>146</v>
      </c>
      <c r="F302" s="14" t="s">
        <v>51</v>
      </c>
      <c r="G302" s="16">
        <v>45755.65849537037</v>
      </c>
      <c r="H302" s="16">
        <v>45770.50141203704</v>
      </c>
      <c r="I302" s="14" t="s">
        <v>39</v>
      </c>
      <c r="J302" s="14" t="s">
        <v>40</v>
      </c>
      <c r="K302" s="14" t="s">
        <v>41</v>
      </c>
      <c r="L302" s="14" t="s">
        <v>42</v>
      </c>
      <c r="M302" s="14" t="s">
        <v>43</v>
      </c>
      <c r="N302" s="14"/>
      <c r="O302" s="14" t="s">
        <v>1128</v>
      </c>
      <c r="P302" s="14"/>
      <c r="Q302" s="14"/>
      <c r="R302" s="13">
        <f>HYPERLINK("https://app.hubspot.com/contacts/8748051/record/0-2/16376195482", 16376195482)</f>
        <v>16376195482</v>
      </c>
      <c r="S302" s="14" t="s">
        <v>1129</v>
      </c>
      <c r="T302" s="18" t="s">
        <v>1130</v>
      </c>
      <c r="U302" s="14" t="s">
        <v>46</v>
      </c>
      <c r="V302" s="15"/>
      <c r="W302" s="19">
        <v>807.0</v>
      </c>
      <c r="X302" s="19">
        <v>97.0</v>
      </c>
      <c r="Y302" s="20" t="s">
        <v>104</v>
      </c>
      <c r="Z302" s="20"/>
      <c r="AA302" s="20"/>
      <c r="AB302" s="20"/>
      <c r="AC302" s="20"/>
      <c r="AD302" s="20"/>
      <c r="AE302" s="20"/>
      <c r="AF302" s="17" t="str">
        <f t="shared" si="1"/>
        <v>New Logo</v>
      </c>
      <c r="AG302" s="17" t="str">
        <f t="shared" si="2"/>
        <v>Lead</v>
      </c>
      <c r="AH302" s="17" t="str">
        <f t="shared" si="3"/>
        <v>501-1000</v>
      </c>
      <c r="AI302" s="17" t="str">
        <f t="shared" si="4"/>
        <v>51-100</v>
      </c>
    </row>
    <row r="303" ht="15.75" customHeight="1">
      <c r="A303" s="13">
        <f>HYPERLINK("https://app.hubspot.com/contacts/8748051/record/0-3/35398932836", 35398932836)</f>
        <v>35398932836</v>
      </c>
      <c r="B303" s="14" t="s">
        <v>1131</v>
      </c>
      <c r="C303" s="14" t="s">
        <v>145</v>
      </c>
      <c r="D303" s="15">
        <v>22000.0</v>
      </c>
      <c r="E303" s="14" t="s">
        <v>118</v>
      </c>
      <c r="F303" s="14"/>
      <c r="G303" s="16">
        <v>45750.69483796296</v>
      </c>
      <c r="H303" s="16">
        <v>45930.69482638889</v>
      </c>
      <c r="I303" s="14" t="s">
        <v>39</v>
      </c>
      <c r="J303" s="14" t="s">
        <v>40</v>
      </c>
      <c r="K303" s="14" t="s">
        <v>41</v>
      </c>
      <c r="L303" s="14" t="s">
        <v>42</v>
      </c>
      <c r="M303" s="14" t="s">
        <v>43</v>
      </c>
      <c r="N303" s="14"/>
      <c r="O303" s="14"/>
      <c r="P303" s="14" t="s">
        <v>232</v>
      </c>
      <c r="Q303" s="14"/>
      <c r="R303" s="13">
        <f>HYPERLINK("https://app.hubspot.com/contacts/8748051/record/0-2/31731876899", 31731876899)</f>
        <v>31731876899</v>
      </c>
      <c r="S303" s="14" t="s">
        <v>1132</v>
      </c>
      <c r="T303" s="18" t="s">
        <v>1133</v>
      </c>
      <c r="U303" s="14" t="s">
        <v>46</v>
      </c>
      <c r="V303" s="15"/>
      <c r="W303" s="19">
        <v>170.0</v>
      </c>
      <c r="X303" s="19">
        <v>44.0</v>
      </c>
      <c r="Y303" s="20"/>
      <c r="Z303" s="20"/>
      <c r="AA303" s="20"/>
      <c r="AB303" s="21"/>
      <c r="AC303" s="20"/>
      <c r="AD303" s="21"/>
      <c r="AE303" s="20"/>
      <c r="AF303" s="17" t="str">
        <f t="shared" si="1"/>
        <v>New Logo</v>
      </c>
      <c r="AG303" s="17" t="str">
        <f t="shared" si="2"/>
        <v>Lead</v>
      </c>
      <c r="AH303" s="17" t="str">
        <f t="shared" si="3"/>
        <v>0-200</v>
      </c>
      <c r="AI303" s="17" t="str">
        <f t="shared" si="4"/>
        <v>21-50</v>
      </c>
    </row>
    <row r="304" ht="15.75" customHeight="1">
      <c r="A304" s="13">
        <f>HYPERLINK("https://app.hubspot.com/contacts/8748051/record/0-3/35443306906", 35443306906)</f>
        <v>35443306906</v>
      </c>
      <c r="B304" s="14" t="s">
        <v>1134</v>
      </c>
      <c r="C304" s="14" t="s">
        <v>49</v>
      </c>
      <c r="D304" s="15">
        <v>75000.0</v>
      </c>
      <c r="E304" s="14" t="s">
        <v>89</v>
      </c>
      <c r="F304" s="14" t="s">
        <v>51</v>
      </c>
      <c r="G304" s="16">
        <v>45750.631423611114</v>
      </c>
      <c r="H304" s="16">
        <v>45892.92559027778</v>
      </c>
      <c r="I304" s="14" t="s">
        <v>39</v>
      </c>
      <c r="J304" s="14" t="s">
        <v>40</v>
      </c>
      <c r="K304" s="14" t="s">
        <v>251</v>
      </c>
      <c r="L304" s="14" t="s">
        <v>42</v>
      </c>
      <c r="M304" s="14" t="s">
        <v>43</v>
      </c>
      <c r="N304" s="14" t="s">
        <v>1135</v>
      </c>
      <c r="O304" s="14"/>
      <c r="P304" s="14"/>
      <c r="Q304" s="14"/>
      <c r="R304" s="13">
        <f>HYPERLINK("https://app.hubspot.com/contacts/8748051/record/0-2/7691930755", 7691930755)</f>
        <v>7691930755</v>
      </c>
      <c r="S304" s="14" t="s">
        <v>1136</v>
      </c>
      <c r="T304" s="18" t="s">
        <v>1137</v>
      </c>
      <c r="U304" s="14" t="s">
        <v>93</v>
      </c>
      <c r="V304" s="15">
        <v>75000.0</v>
      </c>
      <c r="W304" s="19">
        <v>572.0</v>
      </c>
      <c r="X304" s="19">
        <v>47.0</v>
      </c>
      <c r="Y304" s="20"/>
      <c r="Z304" s="20" t="s">
        <v>205</v>
      </c>
      <c r="AA304" s="20" t="s">
        <v>184</v>
      </c>
      <c r="AB304" s="21"/>
      <c r="AC304" s="20" t="s">
        <v>1138</v>
      </c>
      <c r="AD304" s="21"/>
      <c r="AE304" s="20" t="s">
        <v>166</v>
      </c>
      <c r="AF304" s="17" t="str">
        <f t="shared" si="1"/>
        <v>New Logo</v>
      </c>
      <c r="AG304" s="17" t="str">
        <f t="shared" si="2"/>
        <v>Customer</v>
      </c>
      <c r="AH304" s="17" t="str">
        <f t="shared" si="3"/>
        <v>501-1000</v>
      </c>
      <c r="AI304" s="17" t="str">
        <f t="shared" si="4"/>
        <v>21-50</v>
      </c>
    </row>
    <row r="305" ht="15.75" customHeight="1">
      <c r="A305" s="13">
        <f>HYPERLINK("https://app.hubspot.com/contacts/8748051/record/0-3/35396163611", 35396163611)</f>
        <v>35396163611</v>
      </c>
      <c r="B305" s="14" t="s">
        <v>1139</v>
      </c>
      <c r="C305" s="14" t="s">
        <v>1008</v>
      </c>
      <c r="D305" s="15">
        <v>14000.0</v>
      </c>
      <c r="E305" s="14" t="s">
        <v>146</v>
      </c>
      <c r="F305" s="14" t="s">
        <v>51</v>
      </c>
      <c r="G305" s="16">
        <v>45750.44600694445</v>
      </c>
      <c r="H305" s="16">
        <v>45798.33907407407</v>
      </c>
      <c r="I305" s="14" t="s">
        <v>39</v>
      </c>
      <c r="J305" s="14" t="s">
        <v>40</v>
      </c>
      <c r="K305" s="14" t="s">
        <v>41</v>
      </c>
      <c r="L305" s="14" t="s">
        <v>42</v>
      </c>
      <c r="M305" s="14" t="s">
        <v>72</v>
      </c>
      <c r="N305" s="14"/>
      <c r="O305" s="14" t="s">
        <v>739</v>
      </c>
      <c r="P305" s="14"/>
      <c r="Q305" s="14"/>
      <c r="R305" s="13">
        <f>HYPERLINK("https://app.hubspot.com/contacts/8748051/record/0-2/19176733015", 19176733015)</f>
        <v>19176733015</v>
      </c>
      <c r="S305" s="14" t="s">
        <v>1140</v>
      </c>
      <c r="T305" s="18" t="s">
        <v>1141</v>
      </c>
      <c r="U305" s="14" t="s">
        <v>46</v>
      </c>
      <c r="V305" s="15"/>
      <c r="W305" s="19">
        <v>149.0</v>
      </c>
      <c r="X305" s="19">
        <v>26.0</v>
      </c>
      <c r="Y305" s="20" t="s">
        <v>104</v>
      </c>
      <c r="Z305" s="20"/>
      <c r="AA305" s="21"/>
      <c r="AB305" s="20"/>
      <c r="AC305" s="20"/>
      <c r="AD305" s="20"/>
      <c r="AE305" s="20"/>
      <c r="AF305" s="17" t="str">
        <f t="shared" si="1"/>
        <v>New Logo</v>
      </c>
      <c r="AG305" s="17" t="str">
        <f t="shared" si="2"/>
        <v>Lead</v>
      </c>
      <c r="AH305" s="17" t="str">
        <f t="shared" si="3"/>
        <v>0-200</v>
      </c>
      <c r="AI305" s="17" t="str">
        <f t="shared" si="4"/>
        <v>21-50</v>
      </c>
    </row>
    <row r="306" ht="15.75" customHeight="1">
      <c r="A306" s="13">
        <f>HYPERLINK("https://app.hubspot.com/contacts/8748051/record/0-3/35396838020", 35396838020)</f>
        <v>35396838020</v>
      </c>
      <c r="B306" s="14" t="s">
        <v>1142</v>
      </c>
      <c r="C306" s="14" t="s">
        <v>49</v>
      </c>
      <c r="D306" s="15">
        <v>8000.0</v>
      </c>
      <c r="E306" s="14" t="s">
        <v>118</v>
      </c>
      <c r="F306" s="14"/>
      <c r="G306" s="16">
        <v>45749.84305555555</v>
      </c>
      <c r="H306" s="16">
        <v>45929.84303240741</v>
      </c>
      <c r="I306" s="14" t="s">
        <v>39</v>
      </c>
      <c r="J306" s="14" t="s">
        <v>40</v>
      </c>
      <c r="K306" s="14" t="s">
        <v>41</v>
      </c>
      <c r="L306" s="14" t="s">
        <v>42</v>
      </c>
      <c r="M306" s="14" t="s">
        <v>43</v>
      </c>
      <c r="N306" s="14"/>
      <c r="O306" s="17"/>
      <c r="P306" s="14" t="s">
        <v>119</v>
      </c>
      <c r="Q306" s="14"/>
      <c r="R306" s="13">
        <f>HYPERLINK("https://app.hubspot.com/contacts/8748051/record/0-2/19176719531", 19176719531)</f>
        <v>19176719531</v>
      </c>
      <c r="S306" s="14" t="s">
        <v>1143</v>
      </c>
      <c r="T306" s="18" t="s">
        <v>1144</v>
      </c>
      <c r="U306" s="14" t="s">
        <v>46</v>
      </c>
      <c r="V306" s="15"/>
      <c r="W306" s="19">
        <v>108.0</v>
      </c>
      <c r="X306" s="19">
        <v>24.0</v>
      </c>
      <c r="Y306" s="20" t="s">
        <v>104</v>
      </c>
      <c r="Z306" s="20"/>
      <c r="AA306" s="20"/>
      <c r="AB306" s="20"/>
      <c r="AC306" s="20"/>
      <c r="AD306" s="21"/>
      <c r="AE306" s="20"/>
      <c r="AF306" s="17" t="str">
        <f t="shared" si="1"/>
        <v>New Logo</v>
      </c>
      <c r="AG306" s="17" t="str">
        <f t="shared" si="2"/>
        <v>Lead</v>
      </c>
      <c r="AH306" s="17" t="str">
        <f t="shared" si="3"/>
        <v>0-200</v>
      </c>
      <c r="AI306" s="17" t="str">
        <f t="shared" si="4"/>
        <v>21-50</v>
      </c>
    </row>
    <row r="307" ht="15.75" customHeight="1">
      <c r="A307" s="13">
        <f>HYPERLINK("https://app.hubspot.com/contacts/8748051/record/0-3/35427930020", 35427930020)</f>
        <v>35427930020</v>
      </c>
      <c r="B307" s="14" t="s">
        <v>1145</v>
      </c>
      <c r="C307" s="14" t="s">
        <v>49</v>
      </c>
      <c r="D307" s="15">
        <v>40960.0</v>
      </c>
      <c r="E307" s="14" t="s">
        <v>89</v>
      </c>
      <c r="F307" s="14" t="s">
        <v>51</v>
      </c>
      <c r="G307" s="16">
        <v>45749.758055555554</v>
      </c>
      <c r="H307" s="16">
        <v>45813.47445601852</v>
      </c>
      <c r="I307" s="14" t="s">
        <v>39</v>
      </c>
      <c r="J307" s="14" t="s">
        <v>40</v>
      </c>
      <c r="K307" s="14" t="s">
        <v>251</v>
      </c>
      <c r="L307" s="14" t="s">
        <v>152</v>
      </c>
      <c r="M307" s="14" t="s">
        <v>43</v>
      </c>
      <c r="N307" s="14" t="s">
        <v>1146</v>
      </c>
      <c r="O307" s="17"/>
      <c r="P307" s="14"/>
      <c r="Q307" s="14"/>
      <c r="R307" s="13">
        <f>HYPERLINK("https://app.hubspot.com/contacts/8748051/record/0-2/31733970694", 31733970694)</f>
        <v>31733970694</v>
      </c>
      <c r="S307" s="14" t="s">
        <v>1147</v>
      </c>
      <c r="T307" s="18" t="s">
        <v>1148</v>
      </c>
      <c r="U307" s="14" t="s">
        <v>93</v>
      </c>
      <c r="V307" s="15">
        <v>40960.0</v>
      </c>
      <c r="W307" s="19">
        <v>172.0</v>
      </c>
      <c r="X307" s="19">
        <v>30.0</v>
      </c>
      <c r="Y307" s="20"/>
      <c r="Z307" s="20" t="s">
        <v>184</v>
      </c>
      <c r="AA307" s="20"/>
      <c r="AB307" s="20"/>
      <c r="AC307" s="20" t="s">
        <v>1149</v>
      </c>
      <c r="AD307" s="20"/>
      <c r="AE307" s="20" t="s">
        <v>395</v>
      </c>
      <c r="AF307" s="17" t="str">
        <f t="shared" si="1"/>
        <v>New Logo</v>
      </c>
      <c r="AG307" s="17" t="str">
        <f t="shared" si="2"/>
        <v>Customer</v>
      </c>
      <c r="AH307" s="17" t="str">
        <f t="shared" si="3"/>
        <v>0-200</v>
      </c>
      <c r="AI307" s="17" t="str">
        <f t="shared" si="4"/>
        <v>21-50</v>
      </c>
    </row>
    <row r="308" ht="15.75" customHeight="1">
      <c r="A308" s="13">
        <f>HYPERLINK("https://app.hubspot.com/contacts/8748051/record/0-3/35410720290", 35410720290)</f>
        <v>35410720290</v>
      </c>
      <c r="B308" s="14" t="s">
        <v>1150</v>
      </c>
      <c r="C308" s="14" t="s">
        <v>145</v>
      </c>
      <c r="D308" s="15">
        <v>35000.0</v>
      </c>
      <c r="E308" s="14" t="s">
        <v>89</v>
      </c>
      <c r="F308" s="14" t="s">
        <v>51</v>
      </c>
      <c r="G308" s="16">
        <v>45749.67340277778</v>
      </c>
      <c r="H308" s="16">
        <v>45875.47025462963</v>
      </c>
      <c r="I308" s="14" t="s">
        <v>39</v>
      </c>
      <c r="J308" s="14" t="s">
        <v>40</v>
      </c>
      <c r="K308" s="14" t="s">
        <v>41</v>
      </c>
      <c r="L308" s="14" t="s">
        <v>42</v>
      </c>
      <c r="M308" s="14" t="s">
        <v>43</v>
      </c>
      <c r="N308" s="14" t="s">
        <v>1151</v>
      </c>
      <c r="O308" s="17"/>
      <c r="P308" s="14"/>
      <c r="Q308" s="14"/>
      <c r="R308" s="13">
        <f>HYPERLINK("https://app.hubspot.com/contacts/8748051/record/0-2/31273452392", 31273452392)</f>
        <v>31273452392</v>
      </c>
      <c r="S308" s="14" t="s">
        <v>1152</v>
      </c>
      <c r="T308" s="18" t="s">
        <v>1153</v>
      </c>
      <c r="U308" s="14" t="s">
        <v>93</v>
      </c>
      <c r="V308" s="15">
        <v>35000.0</v>
      </c>
      <c r="W308" s="19">
        <v>961.0</v>
      </c>
      <c r="X308" s="19">
        <v>67.0</v>
      </c>
      <c r="Y308" s="20"/>
      <c r="Z308" s="20" t="s">
        <v>184</v>
      </c>
      <c r="AA308" s="20" t="s">
        <v>348</v>
      </c>
      <c r="AB308" s="20"/>
      <c r="AC308" s="20" t="s">
        <v>1154</v>
      </c>
      <c r="AD308" s="20"/>
      <c r="AE308" s="20" t="s">
        <v>395</v>
      </c>
      <c r="AF308" s="17" t="str">
        <f t="shared" si="1"/>
        <v>New Logo</v>
      </c>
      <c r="AG308" s="17" t="str">
        <f t="shared" si="2"/>
        <v>Customer</v>
      </c>
      <c r="AH308" s="17" t="str">
        <f t="shared" si="3"/>
        <v>501-1000</v>
      </c>
      <c r="AI308" s="17" t="str">
        <f t="shared" si="4"/>
        <v>51-100</v>
      </c>
    </row>
    <row r="309" ht="15.75" customHeight="1">
      <c r="A309" s="13">
        <f>HYPERLINK("https://app.hubspot.com/contacts/8748051/record/0-3/35396816042", 35396816042)</f>
        <v>35396816042</v>
      </c>
      <c r="B309" s="14" t="s">
        <v>1155</v>
      </c>
      <c r="C309" s="14" t="s">
        <v>156</v>
      </c>
      <c r="D309" s="15">
        <v>-1000.0</v>
      </c>
      <c r="E309" s="14" t="s">
        <v>89</v>
      </c>
      <c r="F309" s="14"/>
      <c r="G309" s="16">
        <v>45749.66993055555</v>
      </c>
      <c r="H309" s="16">
        <v>45749.670011574075</v>
      </c>
      <c r="I309" s="14" t="s">
        <v>39</v>
      </c>
      <c r="J309" s="14" t="s">
        <v>157</v>
      </c>
      <c r="K309" s="14" t="s">
        <v>158</v>
      </c>
      <c r="L309" s="14" t="s">
        <v>159</v>
      </c>
      <c r="M309" s="14" t="s">
        <v>43</v>
      </c>
      <c r="N309" s="14" t="s">
        <v>1156</v>
      </c>
      <c r="O309" s="17"/>
      <c r="P309" s="14"/>
      <c r="Q309" s="14"/>
      <c r="R309" s="13">
        <f>HYPERLINK("https://app.hubspot.com/contacts/8748051/record/0-2/17971689616", 17971689616)</f>
        <v>17971689616</v>
      </c>
      <c r="S309" s="14" t="s">
        <v>1157</v>
      </c>
      <c r="T309" s="18" t="s">
        <v>1158</v>
      </c>
      <c r="U309" s="14">
        <v>3.4564763E7</v>
      </c>
      <c r="V309" s="15">
        <v>9800.0</v>
      </c>
      <c r="W309" s="19">
        <v>84.0</v>
      </c>
      <c r="X309" s="19">
        <v>2.0</v>
      </c>
      <c r="Y309" s="20"/>
      <c r="Z309" s="20" t="s">
        <v>184</v>
      </c>
      <c r="AA309" s="20"/>
      <c r="AB309" s="20" t="s">
        <v>267</v>
      </c>
      <c r="AC309" s="20" t="s">
        <v>1159</v>
      </c>
      <c r="AD309" s="20" t="s">
        <v>1160</v>
      </c>
      <c r="AE309" s="20" t="s">
        <v>209</v>
      </c>
      <c r="AF309" s="17" t="str">
        <f t="shared" si="1"/>
        <v>Downsell</v>
      </c>
      <c r="AG309" s="17" t="str">
        <f t="shared" si="2"/>
        <v>Churn</v>
      </c>
      <c r="AH309" s="17" t="str">
        <f t="shared" si="3"/>
        <v>0-200</v>
      </c>
      <c r="AI309" s="17" t="str">
        <f t="shared" si="4"/>
        <v>0-20</v>
      </c>
    </row>
    <row r="310" ht="15.75" customHeight="1">
      <c r="A310" s="13">
        <f>HYPERLINK("https://app.hubspot.com/contacts/8748051/record/0-3/35385947025", 35385947025)</f>
        <v>35385947025</v>
      </c>
      <c r="B310" s="14" t="s">
        <v>1161</v>
      </c>
      <c r="C310" s="14" t="s">
        <v>37</v>
      </c>
      <c r="D310" s="15">
        <v>25000.0</v>
      </c>
      <c r="E310" s="14" t="s">
        <v>89</v>
      </c>
      <c r="F310" s="14" t="s">
        <v>51</v>
      </c>
      <c r="G310" s="16">
        <v>45749.17208333333</v>
      </c>
      <c r="H310" s="16">
        <v>46007.7765625</v>
      </c>
      <c r="I310" s="14" t="s">
        <v>39</v>
      </c>
      <c r="J310" s="14" t="s">
        <v>40</v>
      </c>
      <c r="K310" s="14" t="s">
        <v>158</v>
      </c>
      <c r="L310" s="14" t="s">
        <v>448</v>
      </c>
      <c r="M310" s="14" t="s">
        <v>98</v>
      </c>
      <c r="N310" s="14" t="s">
        <v>1162</v>
      </c>
      <c r="O310" s="14"/>
      <c r="P310" s="14"/>
      <c r="Q310" s="14"/>
      <c r="R310" s="13">
        <f>HYPERLINK("https://app.hubspot.com/contacts/8748051/record/0-2/7914190947", 7914190947)</f>
        <v>7914190947</v>
      </c>
      <c r="S310" s="14" t="s">
        <v>1163</v>
      </c>
      <c r="T310" s="18" t="s">
        <v>1164</v>
      </c>
      <c r="U310" s="14" t="s">
        <v>93</v>
      </c>
      <c r="V310" s="15">
        <v>25000.0</v>
      </c>
      <c r="W310" s="19">
        <v>597.0</v>
      </c>
      <c r="X310" s="19">
        <v>145.0</v>
      </c>
      <c r="Y310" s="20"/>
      <c r="Z310" s="20" t="s">
        <v>191</v>
      </c>
      <c r="AA310" s="20" t="s">
        <v>192</v>
      </c>
      <c r="AB310" s="21"/>
      <c r="AC310" s="20" t="s">
        <v>1165</v>
      </c>
      <c r="AD310" s="21"/>
      <c r="AE310" s="20" t="s">
        <v>166</v>
      </c>
      <c r="AF310" s="17" t="str">
        <f t="shared" si="1"/>
        <v>New Logo</v>
      </c>
      <c r="AG310" s="17" t="str">
        <f t="shared" si="2"/>
        <v>Customer</v>
      </c>
      <c r="AH310" s="17" t="str">
        <f t="shared" si="3"/>
        <v>501-1000</v>
      </c>
      <c r="AI310" s="17" t="str">
        <f t="shared" si="4"/>
        <v>101-500</v>
      </c>
    </row>
    <row r="311" ht="15.75" customHeight="1">
      <c r="A311" s="13">
        <f>HYPERLINK("https://app.hubspot.com/contacts/8748051/record/0-3/35346512133", 35346512133)</f>
        <v>35346512133</v>
      </c>
      <c r="B311" s="14" t="s">
        <v>1166</v>
      </c>
      <c r="C311" s="14" t="s">
        <v>49</v>
      </c>
      <c r="D311" s="15">
        <v>100000.0</v>
      </c>
      <c r="E311" s="14" t="s">
        <v>118</v>
      </c>
      <c r="F311" s="14"/>
      <c r="G311" s="16">
        <v>45748.838229166664</v>
      </c>
      <c r="H311" s="16">
        <v>45928.838159722225</v>
      </c>
      <c r="I311" s="14" t="s">
        <v>39</v>
      </c>
      <c r="J311" s="14" t="s">
        <v>52</v>
      </c>
      <c r="K311" s="14" t="s">
        <v>41</v>
      </c>
      <c r="L311" s="14" t="s">
        <v>42</v>
      </c>
      <c r="M311" s="14" t="s">
        <v>43</v>
      </c>
      <c r="N311" s="14"/>
      <c r="O311" s="14"/>
      <c r="P311" s="14" t="s">
        <v>260</v>
      </c>
      <c r="Q311" s="14"/>
      <c r="R311" s="13">
        <f>HYPERLINK("https://app.hubspot.com/contacts/8748051/record/0-2/9238276433", 9238276433)</f>
        <v>9238276433</v>
      </c>
      <c r="S311" s="14" t="s">
        <v>1167</v>
      </c>
      <c r="T311" s="18" t="s">
        <v>1168</v>
      </c>
      <c r="U311" s="14" t="s">
        <v>46</v>
      </c>
      <c r="V311" s="15"/>
      <c r="W311" s="19">
        <v>130401.0</v>
      </c>
      <c r="X311" s="19">
        <v>27635.0</v>
      </c>
      <c r="Y311" s="20"/>
      <c r="Z311" s="20"/>
      <c r="AA311" s="21"/>
      <c r="AB311" s="21"/>
      <c r="AC311" s="20"/>
      <c r="AD311" s="21"/>
      <c r="AE311" s="20"/>
      <c r="AF311" s="17" t="str">
        <f t="shared" si="1"/>
        <v>New Logo</v>
      </c>
      <c r="AG311" s="17" t="str">
        <f t="shared" si="2"/>
        <v>Lead</v>
      </c>
      <c r="AH311" s="17" t="str">
        <f t="shared" si="3"/>
        <v>10000+</v>
      </c>
      <c r="AI311" s="17" t="str">
        <f t="shared" si="4"/>
        <v>500+</v>
      </c>
    </row>
    <row r="312" ht="15.75" customHeight="1">
      <c r="A312" s="13">
        <f>HYPERLINK("https://app.hubspot.com/contacts/8748051/record/0-3/35335194803", 35335194803)</f>
        <v>35335194803</v>
      </c>
      <c r="B312" s="14" t="s">
        <v>1169</v>
      </c>
      <c r="C312" s="14" t="s">
        <v>145</v>
      </c>
      <c r="D312" s="15">
        <v>2880.0</v>
      </c>
      <c r="E312" s="14" t="s">
        <v>89</v>
      </c>
      <c r="F312" s="14"/>
      <c r="G312" s="16">
        <v>45748.32019675926</v>
      </c>
      <c r="H312" s="16">
        <v>45747.35716435185</v>
      </c>
      <c r="I312" s="14" t="s">
        <v>39</v>
      </c>
      <c r="J312" s="14" t="s">
        <v>179</v>
      </c>
      <c r="K312" s="14" t="s">
        <v>158</v>
      </c>
      <c r="L312" s="14" t="s">
        <v>159</v>
      </c>
      <c r="M312" s="14" t="s">
        <v>43</v>
      </c>
      <c r="N312" s="14" t="s">
        <v>1170</v>
      </c>
      <c r="O312" s="17"/>
      <c r="P312" s="14"/>
      <c r="Q312" s="14"/>
      <c r="R312" s="13">
        <f>HYPERLINK("https://app.hubspot.com/contacts/8748051/record/0-2/10228278794", 10228278794)</f>
        <v>10228278794</v>
      </c>
      <c r="S312" s="14" t="s">
        <v>1171</v>
      </c>
      <c r="T312" s="18" t="s">
        <v>1172</v>
      </c>
      <c r="U312" s="14">
        <v>3.4564763E7</v>
      </c>
      <c r="V312" s="15">
        <v>81180.0</v>
      </c>
      <c r="W312" s="19">
        <v>274.0</v>
      </c>
      <c r="X312" s="19">
        <v>49.0</v>
      </c>
      <c r="Y312" s="20"/>
      <c r="Z312" s="20"/>
      <c r="AA312" s="21"/>
      <c r="AB312" s="20"/>
      <c r="AC312" s="20"/>
      <c r="AD312" s="20"/>
      <c r="AE312" s="20"/>
      <c r="AF312" s="17" t="str">
        <f t="shared" si="1"/>
        <v>Upsell</v>
      </c>
      <c r="AG312" s="17" t="str">
        <f t="shared" si="2"/>
        <v>Churn</v>
      </c>
      <c r="AH312" s="17" t="str">
        <f t="shared" si="3"/>
        <v>201-500</v>
      </c>
      <c r="AI312" s="17" t="str">
        <f t="shared" si="4"/>
        <v>21-50</v>
      </c>
    </row>
    <row r="313" ht="15.75" customHeight="1">
      <c r="A313" s="13">
        <f>HYPERLINK("https://app.hubspot.com/contacts/8748051/record/0-3/35306277454", 35306277454)</f>
        <v>35306277454</v>
      </c>
      <c r="B313" s="14" t="s">
        <v>1173</v>
      </c>
      <c r="C313" s="14" t="s">
        <v>49</v>
      </c>
      <c r="D313" s="15">
        <v>1000.0</v>
      </c>
      <c r="E313" s="14" t="s">
        <v>118</v>
      </c>
      <c r="F313" s="14"/>
      <c r="G313" s="16">
        <v>45747.69305555556</v>
      </c>
      <c r="H313" s="16">
        <v>45927.693020833336</v>
      </c>
      <c r="I313" s="14" t="s">
        <v>39</v>
      </c>
      <c r="J313" s="14" t="s">
        <v>40</v>
      </c>
      <c r="K313" s="14" t="s">
        <v>41</v>
      </c>
      <c r="L313" s="14" t="s">
        <v>42</v>
      </c>
      <c r="M313" s="14" t="s">
        <v>43</v>
      </c>
      <c r="N313" s="14"/>
      <c r="O313" s="14"/>
      <c r="P313" s="14" t="s">
        <v>260</v>
      </c>
      <c r="Q313" s="14"/>
      <c r="R313" s="13">
        <f>HYPERLINK("https://app.hubspot.com/contacts/8748051/record/0-2/31520606976", 31520606976)</f>
        <v>31520606976</v>
      </c>
      <c r="S313" s="14" t="s">
        <v>1174</v>
      </c>
      <c r="T313" s="18" t="s">
        <v>1175</v>
      </c>
      <c r="U313" s="14" t="s">
        <v>46</v>
      </c>
      <c r="V313" s="15"/>
      <c r="W313" s="19">
        <v>8.0</v>
      </c>
      <c r="X313" s="19">
        <v>2.0</v>
      </c>
      <c r="Y313" s="20"/>
      <c r="Z313" s="20"/>
      <c r="AA313" s="21"/>
      <c r="AB313" s="20"/>
      <c r="AC313" s="20"/>
      <c r="AD313" s="20"/>
      <c r="AE313" s="20"/>
      <c r="AF313" s="17" t="str">
        <f t="shared" si="1"/>
        <v>New Logo</v>
      </c>
      <c r="AG313" s="17" t="str">
        <f t="shared" si="2"/>
        <v>Lead</v>
      </c>
      <c r="AH313" s="17" t="str">
        <f t="shared" si="3"/>
        <v>0-200</v>
      </c>
      <c r="AI313" s="17" t="str">
        <f t="shared" si="4"/>
        <v>0-20</v>
      </c>
    </row>
    <row r="314" ht="15.75" customHeight="1">
      <c r="A314" s="13">
        <f>HYPERLINK("https://app.hubspot.com/contacts/8748051/record/0-3/35306115919", 35306115919)</f>
        <v>35306115919</v>
      </c>
      <c r="B314" s="14" t="s">
        <v>1176</v>
      </c>
      <c r="C314" s="14" t="s">
        <v>49</v>
      </c>
      <c r="D314" s="15">
        <v>40000.0</v>
      </c>
      <c r="E314" s="14" t="s">
        <v>124</v>
      </c>
      <c r="F314" s="14" t="s">
        <v>51</v>
      </c>
      <c r="G314" s="16">
        <v>45747.64556712963</v>
      </c>
      <c r="H314" s="16">
        <v>46022.38045138889</v>
      </c>
      <c r="I314" s="14" t="s">
        <v>39</v>
      </c>
      <c r="J314" s="14" t="s">
        <v>52</v>
      </c>
      <c r="K314" s="14" t="s">
        <v>41</v>
      </c>
      <c r="L314" s="14" t="s">
        <v>42</v>
      </c>
      <c r="M314" s="14" t="s">
        <v>43</v>
      </c>
      <c r="N314" s="14"/>
      <c r="O314" s="17"/>
      <c r="P314" s="14"/>
      <c r="Q314" s="14" t="s">
        <v>236</v>
      </c>
      <c r="R314" s="13">
        <f>HYPERLINK("https://app.hubspot.com/contacts/8748051/record/0-2/9173815374", 9173815374)</f>
        <v>9173815374</v>
      </c>
      <c r="S314" s="14" t="s">
        <v>1177</v>
      </c>
      <c r="T314" s="18" t="s">
        <v>1178</v>
      </c>
      <c r="U314" s="14" t="s">
        <v>46</v>
      </c>
      <c r="V314" s="15"/>
      <c r="W314" s="19">
        <v>1040.0</v>
      </c>
      <c r="X314" s="19">
        <v>149.0</v>
      </c>
      <c r="Y314" s="20" t="s">
        <v>63</v>
      </c>
      <c r="Z314" s="20"/>
      <c r="AA314" s="21"/>
      <c r="AB314" s="21"/>
      <c r="AC314" s="20"/>
      <c r="AD314" s="20"/>
      <c r="AE314" s="20"/>
      <c r="AF314" s="17" t="str">
        <f t="shared" si="1"/>
        <v>New Logo</v>
      </c>
      <c r="AG314" s="17" t="str">
        <f t="shared" si="2"/>
        <v>Lead</v>
      </c>
      <c r="AH314" s="17" t="str">
        <f t="shared" si="3"/>
        <v>1001-5000</v>
      </c>
      <c r="AI314" s="17" t="str">
        <f t="shared" si="4"/>
        <v>101-500</v>
      </c>
    </row>
    <row r="315" ht="15.75" customHeight="1">
      <c r="A315" s="13">
        <f>HYPERLINK("https://app.hubspot.com/contacts/8748051/record/0-3/35183588375", 35183588375)</f>
        <v>35183588375</v>
      </c>
      <c r="B315" s="14" t="s">
        <v>1179</v>
      </c>
      <c r="C315" s="14" t="s">
        <v>49</v>
      </c>
      <c r="D315" s="15">
        <v>500.0</v>
      </c>
      <c r="E315" s="14" t="s">
        <v>124</v>
      </c>
      <c r="F315" s="14" t="s">
        <v>51</v>
      </c>
      <c r="G315" s="16">
        <v>45744.549675925926</v>
      </c>
      <c r="H315" s="16">
        <v>45924.54965277778</v>
      </c>
      <c r="I315" s="14" t="s">
        <v>39</v>
      </c>
      <c r="J315" s="14" t="s">
        <v>40</v>
      </c>
      <c r="K315" s="14" t="s">
        <v>41</v>
      </c>
      <c r="L315" s="14" t="s">
        <v>42</v>
      </c>
      <c r="M315" s="14" t="s">
        <v>43</v>
      </c>
      <c r="N315" s="14"/>
      <c r="O315" s="14"/>
      <c r="P315" s="14"/>
      <c r="Q315" s="14" t="s">
        <v>141</v>
      </c>
      <c r="R315" s="13">
        <f>HYPERLINK("https://app.hubspot.com/contacts/8748051/record/0-2/31465293335", 31465293335)</f>
        <v>31465293335</v>
      </c>
      <c r="S315" s="14" t="s">
        <v>1180</v>
      </c>
      <c r="T315" s="18" t="s">
        <v>1181</v>
      </c>
      <c r="U315" s="14" t="s">
        <v>46</v>
      </c>
      <c r="V315" s="15"/>
      <c r="W315" s="19">
        <v>87.0</v>
      </c>
      <c r="X315" s="19">
        <v>1.0</v>
      </c>
      <c r="Y315" s="20"/>
      <c r="Z315" s="20"/>
      <c r="AA315" s="21"/>
      <c r="AB315" s="20"/>
      <c r="AC315" s="20"/>
      <c r="AD315" s="20"/>
      <c r="AE315" s="20"/>
      <c r="AF315" s="17" t="str">
        <f t="shared" si="1"/>
        <v>New Logo</v>
      </c>
      <c r="AG315" s="17" t="str">
        <f t="shared" si="2"/>
        <v>Lead</v>
      </c>
      <c r="AH315" s="17" t="str">
        <f t="shared" si="3"/>
        <v>0-200</v>
      </c>
      <c r="AI315" s="17" t="str">
        <f t="shared" si="4"/>
        <v>0-20</v>
      </c>
    </row>
    <row r="316" ht="15.75" customHeight="1">
      <c r="A316" s="13">
        <f>HYPERLINK("https://app.hubspot.com/contacts/8748051/record/0-3/35125218838", 35125218838)</f>
        <v>35125218838</v>
      </c>
      <c r="B316" s="14" t="s">
        <v>1182</v>
      </c>
      <c r="C316" s="14" t="s">
        <v>145</v>
      </c>
      <c r="D316" s="15">
        <v>15000.0</v>
      </c>
      <c r="E316" s="14" t="s">
        <v>124</v>
      </c>
      <c r="F316" s="14" t="s">
        <v>51</v>
      </c>
      <c r="G316" s="16">
        <v>45743.36203703703</v>
      </c>
      <c r="H316" s="16">
        <v>45807.43895833333</v>
      </c>
      <c r="I316" s="14" t="s">
        <v>39</v>
      </c>
      <c r="J316" s="14" t="s">
        <v>40</v>
      </c>
      <c r="K316" s="14" t="s">
        <v>41</v>
      </c>
      <c r="L316" s="14" t="s">
        <v>42</v>
      </c>
      <c r="M316" s="14" t="s">
        <v>72</v>
      </c>
      <c r="N316" s="14"/>
      <c r="O316" s="14"/>
      <c r="P316" s="14"/>
      <c r="Q316" s="14" t="s">
        <v>141</v>
      </c>
      <c r="R316" s="13">
        <f>HYPERLINK("https://app.hubspot.com/contacts/8748051/record/0-2/31169940651", 31169940651)</f>
        <v>31169940651</v>
      </c>
      <c r="S316" s="18" t="s">
        <v>1183</v>
      </c>
      <c r="T316" s="18" t="s">
        <v>1184</v>
      </c>
      <c r="U316" s="14" t="s">
        <v>46</v>
      </c>
      <c r="V316" s="15"/>
      <c r="W316" s="19">
        <v>45.0</v>
      </c>
      <c r="X316" s="19">
        <v>2.0</v>
      </c>
      <c r="Y316" s="20"/>
      <c r="Z316" s="20"/>
      <c r="AA316" s="20"/>
      <c r="AB316" s="21"/>
      <c r="AC316" s="20"/>
      <c r="AD316" s="20"/>
      <c r="AE316" s="20"/>
      <c r="AF316" s="17" t="str">
        <f t="shared" si="1"/>
        <v>New Logo</v>
      </c>
      <c r="AG316" s="17" t="str">
        <f t="shared" si="2"/>
        <v>Lead</v>
      </c>
      <c r="AH316" s="17" t="str">
        <f t="shared" si="3"/>
        <v>0-200</v>
      </c>
      <c r="AI316" s="17" t="str">
        <f t="shared" si="4"/>
        <v>0-20</v>
      </c>
    </row>
    <row r="317" ht="15.75" customHeight="1">
      <c r="A317" s="13">
        <f>HYPERLINK("https://app.hubspot.com/contacts/8748051/record/0-3/35043841054", 35043841054)</f>
        <v>35043841054</v>
      </c>
      <c r="B317" s="14" t="s">
        <v>1185</v>
      </c>
      <c r="C317" s="14" t="s">
        <v>145</v>
      </c>
      <c r="D317" s="15">
        <v>28000.0</v>
      </c>
      <c r="E317" s="14" t="s">
        <v>124</v>
      </c>
      <c r="F317" s="14" t="s">
        <v>51</v>
      </c>
      <c r="G317" s="16">
        <v>45741.36734953704</v>
      </c>
      <c r="H317" s="16">
        <v>45980.39059027778</v>
      </c>
      <c r="I317" s="14" t="s">
        <v>39</v>
      </c>
      <c r="J317" s="14" t="s">
        <v>40</v>
      </c>
      <c r="K317" s="14" t="s">
        <v>1186</v>
      </c>
      <c r="L317" s="14" t="s">
        <v>559</v>
      </c>
      <c r="M317" s="14" t="s">
        <v>43</v>
      </c>
      <c r="N317" s="14"/>
      <c r="O317" s="14"/>
      <c r="P317" s="14"/>
      <c r="Q317" s="14" t="s">
        <v>195</v>
      </c>
      <c r="R317" s="13">
        <f>HYPERLINK("https://app.hubspot.com/contacts/8748051/record/0-2/8923210761", 8923210761)</f>
        <v>8923210761</v>
      </c>
      <c r="S317" s="14" t="s">
        <v>1187</v>
      </c>
      <c r="T317" s="18" t="s">
        <v>1188</v>
      </c>
      <c r="U317" s="14" t="s">
        <v>46</v>
      </c>
      <c r="V317" s="15"/>
      <c r="W317" s="19">
        <v>466.0</v>
      </c>
      <c r="X317" s="19">
        <v>26.0</v>
      </c>
      <c r="Y317" s="20" t="s">
        <v>70</v>
      </c>
      <c r="Z317" s="20"/>
      <c r="AA317" s="21"/>
      <c r="AB317" s="21"/>
      <c r="AC317" s="20"/>
      <c r="AD317" s="21"/>
      <c r="AE317" s="20"/>
      <c r="AF317" s="17" t="str">
        <f t="shared" si="1"/>
        <v>New Logo</v>
      </c>
      <c r="AG317" s="17" t="str">
        <f t="shared" si="2"/>
        <v>Lead</v>
      </c>
      <c r="AH317" s="17" t="str">
        <f t="shared" si="3"/>
        <v>201-500</v>
      </c>
      <c r="AI317" s="17" t="str">
        <f t="shared" si="4"/>
        <v>21-50</v>
      </c>
    </row>
    <row r="318" ht="15.75" customHeight="1">
      <c r="A318" s="13">
        <f>HYPERLINK("https://app.hubspot.com/contacts/8748051/record/0-3/35047493152", 35047493152)</f>
        <v>35047493152</v>
      </c>
      <c r="B318" s="14" t="s">
        <v>1189</v>
      </c>
      <c r="C318" s="14" t="s">
        <v>145</v>
      </c>
      <c r="D318" s="15">
        <v>6000.0</v>
      </c>
      <c r="E318" s="14" t="s">
        <v>89</v>
      </c>
      <c r="F318" s="14" t="s">
        <v>51</v>
      </c>
      <c r="G318" s="16">
        <v>45741.36604166667</v>
      </c>
      <c r="H318" s="16">
        <v>45747.0</v>
      </c>
      <c r="I318" s="14" t="s">
        <v>39</v>
      </c>
      <c r="J318" s="14" t="s">
        <v>179</v>
      </c>
      <c r="K318" s="14" t="s">
        <v>158</v>
      </c>
      <c r="L318" s="14" t="s">
        <v>159</v>
      </c>
      <c r="M318" s="14" t="s">
        <v>98</v>
      </c>
      <c r="N318" s="14" t="s">
        <v>1190</v>
      </c>
      <c r="O318" s="17"/>
      <c r="P318" s="14"/>
      <c r="Q318" s="14"/>
      <c r="R318" s="13">
        <f>HYPERLINK("https://app.hubspot.com/contacts/8748051/record/0-2/9556278024", 9556278024)</f>
        <v>9556278024</v>
      </c>
      <c r="S318" s="14" t="s">
        <v>1191</v>
      </c>
      <c r="T318" s="18" t="s">
        <v>1192</v>
      </c>
      <c r="U318" s="14" t="s">
        <v>93</v>
      </c>
      <c r="V318" s="15">
        <v>12000.0</v>
      </c>
      <c r="W318" s="19">
        <v>321.0</v>
      </c>
      <c r="X318" s="19">
        <v>31.0</v>
      </c>
      <c r="Y318" s="20"/>
      <c r="Z318" s="20" t="s">
        <v>218</v>
      </c>
      <c r="AA318" s="20"/>
      <c r="AB318" s="21"/>
      <c r="AC318" s="20" t="s">
        <v>1193</v>
      </c>
      <c r="AD318" s="20"/>
      <c r="AE318" s="20" t="s">
        <v>166</v>
      </c>
      <c r="AF318" s="17" t="str">
        <f t="shared" si="1"/>
        <v>Upsell</v>
      </c>
      <c r="AG318" s="17" t="str">
        <f t="shared" si="2"/>
        <v>Customer</v>
      </c>
      <c r="AH318" s="17" t="str">
        <f t="shared" si="3"/>
        <v>201-500</v>
      </c>
      <c r="AI318" s="17" t="str">
        <f t="shared" si="4"/>
        <v>21-50</v>
      </c>
    </row>
    <row r="319" ht="15.75" customHeight="1">
      <c r="A319" s="13">
        <f>HYPERLINK("https://app.hubspot.com/contacts/8748051/record/0-3/35019058736", 35019058736)</f>
        <v>35019058736</v>
      </c>
      <c r="B319" s="14" t="s">
        <v>1194</v>
      </c>
      <c r="C319" s="14" t="s">
        <v>145</v>
      </c>
      <c r="D319" s="15">
        <v>99696.0</v>
      </c>
      <c r="E319" s="14" t="s">
        <v>89</v>
      </c>
      <c r="F319" s="14" t="s">
        <v>51</v>
      </c>
      <c r="G319" s="16">
        <v>45740.60212962963</v>
      </c>
      <c r="H319" s="16">
        <v>45860.479733796295</v>
      </c>
      <c r="I319" s="14" t="s">
        <v>39</v>
      </c>
      <c r="J319" s="14" t="s">
        <v>52</v>
      </c>
      <c r="K319" s="14" t="s">
        <v>41</v>
      </c>
      <c r="L319" s="14" t="s">
        <v>42</v>
      </c>
      <c r="M319" s="14" t="s">
        <v>43</v>
      </c>
      <c r="N319" s="14" t="s">
        <v>1195</v>
      </c>
      <c r="O319" s="17"/>
      <c r="P319" s="14"/>
      <c r="Q319" s="14"/>
      <c r="R319" s="13">
        <f>HYPERLINK("https://app.hubspot.com/contacts/8748051/record/0-2/36938590759", 36938590759)</f>
        <v>36938590759</v>
      </c>
      <c r="S319" s="14" t="s">
        <v>1196</v>
      </c>
      <c r="T319" s="18" t="s">
        <v>1197</v>
      </c>
      <c r="U319" s="14" t="s">
        <v>93</v>
      </c>
      <c r="V319" s="15">
        <v>99696.0</v>
      </c>
      <c r="W319" s="19">
        <v>723.0</v>
      </c>
      <c r="X319" s="19">
        <v>60.0</v>
      </c>
      <c r="Y319" s="20"/>
      <c r="Z319" s="20" t="s">
        <v>218</v>
      </c>
      <c r="AA319" s="21"/>
      <c r="AB319" s="20"/>
      <c r="AC319" s="20" t="s">
        <v>1198</v>
      </c>
      <c r="AD319" s="20"/>
      <c r="AE319" s="20" t="s">
        <v>166</v>
      </c>
      <c r="AF319" s="17" t="str">
        <f t="shared" si="1"/>
        <v>New Logo</v>
      </c>
      <c r="AG319" s="17" t="str">
        <f t="shared" si="2"/>
        <v>Customer</v>
      </c>
      <c r="AH319" s="17" t="str">
        <f t="shared" si="3"/>
        <v>501-1000</v>
      </c>
      <c r="AI319" s="17" t="str">
        <f t="shared" si="4"/>
        <v>51-100</v>
      </c>
    </row>
    <row r="320" ht="15.75" customHeight="1">
      <c r="A320" s="13">
        <f>HYPERLINK("https://app.hubspot.com/contacts/8748051/record/0-3/35032570806", 35032570806)</f>
        <v>35032570806</v>
      </c>
      <c r="B320" s="14" t="s">
        <v>1199</v>
      </c>
      <c r="C320" s="14" t="s">
        <v>49</v>
      </c>
      <c r="D320" s="15">
        <v>25000.0</v>
      </c>
      <c r="E320" s="14" t="s">
        <v>124</v>
      </c>
      <c r="F320" s="14" t="s">
        <v>51</v>
      </c>
      <c r="G320" s="16">
        <v>45740.588541666664</v>
      </c>
      <c r="H320" s="16">
        <v>45783.730671296296</v>
      </c>
      <c r="I320" s="14" t="s">
        <v>39</v>
      </c>
      <c r="J320" s="14" t="s">
        <v>40</v>
      </c>
      <c r="K320" s="14" t="s">
        <v>59</v>
      </c>
      <c r="L320" s="14" t="s">
        <v>180</v>
      </c>
      <c r="M320" s="14" t="s">
        <v>43</v>
      </c>
      <c r="N320" s="14"/>
      <c r="O320" s="17"/>
      <c r="P320" s="14"/>
      <c r="Q320" s="14" t="s">
        <v>502</v>
      </c>
      <c r="R320" s="13">
        <f>HYPERLINK("https://app.hubspot.com/contacts/8748051/record/0-2/31375782207", 31375782207)</f>
        <v>31375782207</v>
      </c>
      <c r="S320" s="14" t="s">
        <v>1200</v>
      </c>
      <c r="T320" s="18" t="s">
        <v>1201</v>
      </c>
      <c r="U320" s="14" t="s">
        <v>46</v>
      </c>
      <c r="V320" s="15"/>
      <c r="W320" s="19">
        <v>286.0</v>
      </c>
      <c r="X320" s="19"/>
      <c r="Y320" s="20"/>
      <c r="Z320" s="20"/>
      <c r="AA320" s="21"/>
      <c r="AB320" s="20"/>
      <c r="AC320" s="20"/>
      <c r="AD320" s="20"/>
      <c r="AE320" s="20"/>
      <c r="AF320" s="17" t="str">
        <f t="shared" si="1"/>
        <v>New Logo</v>
      </c>
      <c r="AG320" s="17" t="str">
        <f t="shared" si="2"/>
        <v>Lead</v>
      </c>
      <c r="AH320" s="17" t="str">
        <f t="shared" si="3"/>
        <v>201-500</v>
      </c>
      <c r="AI320" s="17" t="str">
        <f t="shared" si="4"/>
        <v>0-20</v>
      </c>
    </row>
    <row r="321" ht="15.75" customHeight="1">
      <c r="A321" s="13">
        <f>HYPERLINK("https://app.hubspot.com/contacts/8748051/record/0-3/35028911729", 35028911729)</f>
        <v>35028911729</v>
      </c>
      <c r="B321" s="14" t="s">
        <v>1202</v>
      </c>
      <c r="C321" s="14" t="s">
        <v>145</v>
      </c>
      <c r="D321" s="15">
        <v>7335.0</v>
      </c>
      <c r="E321" s="14" t="s">
        <v>89</v>
      </c>
      <c r="F321" s="14" t="s">
        <v>51</v>
      </c>
      <c r="G321" s="16">
        <v>45740.45309027778</v>
      </c>
      <c r="H321" s="16">
        <v>45744.335914351854</v>
      </c>
      <c r="I321" s="14" t="s">
        <v>39</v>
      </c>
      <c r="J321" s="14" t="s">
        <v>179</v>
      </c>
      <c r="K321" s="14" t="s">
        <v>41</v>
      </c>
      <c r="L321" s="14" t="s">
        <v>159</v>
      </c>
      <c r="M321" s="14" t="s">
        <v>43</v>
      </c>
      <c r="N321" s="14" t="s">
        <v>1203</v>
      </c>
      <c r="O321" s="17"/>
      <c r="P321" s="14"/>
      <c r="Q321" s="14"/>
      <c r="R321" s="13">
        <f>HYPERLINK("https://app.hubspot.com/contacts/8748051/record/0-2/8601300377", 8601300377)</f>
        <v>8601300377</v>
      </c>
      <c r="S321" s="14" t="s">
        <v>1204</v>
      </c>
      <c r="T321" s="18" t="s">
        <v>1205</v>
      </c>
      <c r="U321" s="14" t="s">
        <v>93</v>
      </c>
      <c r="V321" s="15">
        <v>32151.0</v>
      </c>
      <c r="W321" s="19">
        <v>136.0</v>
      </c>
      <c r="X321" s="19">
        <v>27.0</v>
      </c>
      <c r="Y321" s="20"/>
      <c r="Z321" s="20" t="s">
        <v>218</v>
      </c>
      <c r="AA321" s="20"/>
      <c r="AB321" s="20"/>
      <c r="AC321" s="20" t="s">
        <v>461</v>
      </c>
      <c r="AD321" s="20" t="s">
        <v>1206</v>
      </c>
      <c r="AE321" s="20" t="s">
        <v>166</v>
      </c>
      <c r="AF321" s="17" t="str">
        <f t="shared" si="1"/>
        <v>Upsell</v>
      </c>
      <c r="AG321" s="17" t="str">
        <f t="shared" si="2"/>
        <v>Customer</v>
      </c>
      <c r="AH321" s="17" t="str">
        <f t="shared" si="3"/>
        <v>0-200</v>
      </c>
      <c r="AI321" s="17" t="str">
        <f t="shared" si="4"/>
        <v>21-50</v>
      </c>
    </row>
    <row r="322" ht="15.75" customHeight="1">
      <c r="A322" s="13">
        <f>HYPERLINK("https://app.hubspot.com/contacts/8748051/record/0-3/35020030644", 35020030644)</f>
        <v>35020030644</v>
      </c>
      <c r="B322" s="14" t="s">
        <v>1207</v>
      </c>
      <c r="C322" s="14" t="s">
        <v>156</v>
      </c>
      <c r="D322" s="15">
        <v>-4140.0</v>
      </c>
      <c r="E322" s="14" t="s">
        <v>89</v>
      </c>
      <c r="F322" s="14"/>
      <c r="G322" s="16">
        <v>45740.3094212963</v>
      </c>
      <c r="H322" s="16">
        <v>45740.31081018518</v>
      </c>
      <c r="I322" s="14" t="s">
        <v>39</v>
      </c>
      <c r="J322" s="14" t="s">
        <v>157</v>
      </c>
      <c r="K322" s="14" t="s">
        <v>158</v>
      </c>
      <c r="L322" s="14" t="s">
        <v>159</v>
      </c>
      <c r="M322" s="14" t="s">
        <v>98</v>
      </c>
      <c r="N322" s="14" t="s">
        <v>1208</v>
      </c>
      <c r="O322" s="14"/>
      <c r="P322" s="14"/>
      <c r="Q322" s="14"/>
      <c r="R322" s="13">
        <f>HYPERLINK("https://app.hubspot.com/contacts/8748051/record/0-2/8557519787", 8557519787)</f>
        <v>8557519787</v>
      </c>
      <c r="S322" s="14" t="s">
        <v>1209</v>
      </c>
      <c r="T322" s="18" t="s">
        <v>1210</v>
      </c>
      <c r="U322" s="14" t="s">
        <v>93</v>
      </c>
      <c r="V322" s="15">
        <v>16560.0</v>
      </c>
      <c r="W322" s="19">
        <v>563.0</v>
      </c>
      <c r="X322" s="19">
        <v>72.0</v>
      </c>
      <c r="Y322" s="20"/>
      <c r="Z322" s="20" t="s">
        <v>218</v>
      </c>
      <c r="AA322" s="20"/>
      <c r="AB322" s="20" t="s">
        <v>267</v>
      </c>
      <c r="AC322" s="20" t="s">
        <v>1159</v>
      </c>
      <c r="AD322" s="20" t="s">
        <v>1211</v>
      </c>
      <c r="AE322" s="20" t="s">
        <v>553</v>
      </c>
      <c r="AF322" s="17" t="str">
        <f t="shared" si="1"/>
        <v>Downsell</v>
      </c>
      <c r="AG322" s="17" t="str">
        <f t="shared" si="2"/>
        <v>Customer</v>
      </c>
      <c r="AH322" s="17" t="str">
        <f t="shared" si="3"/>
        <v>501-1000</v>
      </c>
      <c r="AI322" s="17" t="str">
        <f t="shared" si="4"/>
        <v>51-100</v>
      </c>
    </row>
    <row r="323" ht="15.75" customHeight="1">
      <c r="A323" s="13">
        <f>HYPERLINK("https://app.hubspot.com/contacts/8748051/record/0-3/34988305307", 34988305307)</f>
        <v>34988305307</v>
      </c>
      <c r="B323" s="14" t="s">
        <v>1212</v>
      </c>
      <c r="C323" s="14" t="s">
        <v>1008</v>
      </c>
      <c r="D323" s="15">
        <v>0.0</v>
      </c>
      <c r="E323" s="14" t="s">
        <v>118</v>
      </c>
      <c r="F323" s="14"/>
      <c r="G323" s="16">
        <v>45739.75908564815</v>
      </c>
      <c r="H323" s="16">
        <v>45919.75907407407</v>
      </c>
      <c r="I323" s="14" t="s">
        <v>39</v>
      </c>
      <c r="J323" s="14" t="s">
        <v>40</v>
      </c>
      <c r="K323" s="14" t="s">
        <v>41</v>
      </c>
      <c r="L323" s="14" t="s">
        <v>42</v>
      </c>
      <c r="M323" s="14" t="s">
        <v>72</v>
      </c>
      <c r="N323" s="14"/>
      <c r="O323" s="14"/>
      <c r="P323" s="14" t="s">
        <v>232</v>
      </c>
      <c r="Q323" s="14"/>
      <c r="R323" s="13">
        <f>HYPERLINK("https://app.hubspot.com/contacts/8748051/record/0-2/31321704722", 31321704722)</f>
        <v>31321704722</v>
      </c>
      <c r="S323" s="14" t="s">
        <v>1213</v>
      </c>
      <c r="T323" s="18" t="s">
        <v>1214</v>
      </c>
      <c r="U323" s="14" t="s">
        <v>46</v>
      </c>
      <c r="V323" s="15"/>
      <c r="W323" s="19">
        <v>41.0</v>
      </c>
      <c r="X323" s="19">
        <v>0.0</v>
      </c>
      <c r="Y323" s="20"/>
      <c r="Z323" s="20"/>
      <c r="AA323" s="20"/>
      <c r="AB323" s="21"/>
      <c r="AC323" s="20"/>
      <c r="AD323" s="20"/>
      <c r="AE323" s="20"/>
      <c r="AF323" s="17" t="str">
        <f t="shared" si="1"/>
        <v>New Logo</v>
      </c>
      <c r="AG323" s="17" t="str">
        <f t="shared" si="2"/>
        <v>Lead</v>
      </c>
      <c r="AH323" s="17" t="str">
        <f t="shared" si="3"/>
        <v>0-200</v>
      </c>
      <c r="AI323" s="17" t="str">
        <f t="shared" si="4"/>
        <v>0-20</v>
      </c>
    </row>
    <row r="324" ht="15.75" customHeight="1">
      <c r="A324" s="13">
        <f>HYPERLINK("https://app.hubspot.com/contacts/8748051/record/0-3/34894570153", 34894570153)</f>
        <v>34894570153</v>
      </c>
      <c r="B324" s="14" t="s">
        <v>1215</v>
      </c>
      <c r="C324" s="14" t="s">
        <v>1008</v>
      </c>
      <c r="D324" s="15">
        <v>500.0</v>
      </c>
      <c r="E324" s="14" t="s">
        <v>118</v>
      </c>
      <c r="F324" s="14"/>
      <c r="G324" s="16">
        <v>45736.635659722226</v>
      </c>
      <c r="H324" s="16">
        <v>45916.63563657407</v>
      </c>
      <c r="I324" s="14" t="s">
        <v>39</v>
      </c>
      <c r="J324" s="14" t="s">
        <v>40</v>
      </c>
      <c r="K324" s="14" t="s">
        <v>41</v>
      </c>
      <c r="L324" s="14" t="s">
        <v>42</v>
      </c>
      <c r="M324" s="14"/>
      <c r="N324" s="14"/>
      <c r="O324" s="17"/>
      <c r="P324" s="14" t="s">
        <v>260</v>
      </c>
      <c r="Q324" s="14"/>
      <c r="R324" s="13">
        <f>HYPERLINK("https://app.hubspot.com/contacts/8748051/record/0-2/31093414731", 31093414731)</f>
        <v>31093414731</v>
      </c>
      <c r="S324" s="14" t="s">
        <v>1216</v>
      </c>
      <c r="T324" s="18" t="s">
        <v>1217</v>
      </c>
      <c r="U324" s="14" t="s">
        <v>46</v>
      </c>
      <c r="V324" s="15"/>
      <c r="W324" s="19">
        <v>15.0</v>
      </c>
      <c r="X324" s="19">
        <v>1.0</v>
      </c>
      <c r="Y324" s="20"/>
      <c r="Z324" s="20"/>
      <c r="AA324" s="20"/>
      <c r="AB324" s="20"/>
      <c r="AC324" s="20"/>
      <c r="AD324" s="20"/>
      <c r="AE324" s="20"/>
      <c r="AF324" s="17" t="str">
        <f t="shared" si="1"/>
        <v>New Logo</v>
      </c>
      <c r="AG324" s="17" t="str">
        <f t="shared" si="2"/>
        <v>Lead</v>
      </c>
      <c r="AH324" s="17" t="str">
        <f t="shared" si="3"/>
        <v>0-200</v>
      </c>
      <c r="AI324" s="17" t="str">
        <f t="shared" si="4"/>
        <v>0-20</v>
      </c>
    </row>
    <row r="325" ht="15.75" customHeight="1">
      <c r="A325" s="13">
        <f>HYPERLINK("https://app.hubspot.com/contacts/8748051/record/0-3/34811992634", 34811992634)</f>
        <v>34811992634</v>
      </c>
      <c r="B325" s="14" t="s">
        <v>1218</v>
      </c>
      <c r="C325" s="14" t="s">
        <v>145</v>
      </c>
      <c r="D325" s="15">
        <v>1200.0</v>
      </c>
      <c r="E325" s="14" t="s">
        <v>89</v>
      </c>
      <c r="F325" s="14" t="s">
        <v>51</v>
      </c>
      <c r="G325" s="16">
        <v>45735.495034722226</v>
      </c>
      <c r="H325" s="16">
        <v>45748.94678240741</v>
      </c>
      <c r="I325" s="14" t="s">
        <v>39</v>
      </c>
      <c r="J325" s="14" t="s">
        <v>179</v>
      </c>
      <c r="K325" s="14" t="s">
        <v>158</v>
      </c>
      <c r="L325" s="14" t="s">
        <v>159</v>
      </c>
      <c r="M325" s="14" t="s">
        <v>43</v>
      </c>
      <c r="N325" s="14" t="s">
        <v>1219</v>
      </c>
      <c r="O325" s="17"/>
      <c r="P325" s="14"/>
      <c r="Q325" s="14"/>
      <c r="R325" s="13">
        <f>HYPERLINK("https://app.hubspot.com/contacts/8748051/record/0-2/18382656883", 18382656883)</f>
        <v>18382656883</v>
      </c>
      <c r="S325" s="14" t="s">
        <v>303</v>
      </c>
      <c r="T325" s="18" t="s">
        <v>304</v>
      </c>
      <c r="U325" s="14" t="s">
        <v>93</v>
      </c>
      <c r="V325" s="15">
        <v>27480.0</v>
      </c>
      <c r="W325" s="19">
        <v>210.0</v>
      </c>
      <c r="X325" s="19">
        <v>16.0</v>
      </c>
      <c r="Y325" s="20"/>
      <c r="Z325" s="20" t="s">
        <v>205</v>
      </c>
      <c r="AA325" s="20" t="s">
        <v>192</v>
      </c>
      <c r="AB325" s="20"/>
      <c r="AC325" s="20" t="s">
        <v>305</v>
      </c>
      <c r="AD325" s="20" t="s">
        <v>306</v>
      </c>
      <c r="AE325" s="20" t="s">
        <v>166</v>
      </c>
      <c r="AF325" s="17" t="str">
        <f t="shared" si="1"/>
        <v>Upsell</v>
      </c>
      <c r="AG325" s="17" t="str">
        <f t="shared" si="2"/>
        <v>Customer</v>
      </c>
      <c r="AH325" s="17" t="str">
        <f t="shared" si="3"/>
        <v>201-500</v>
      </c>
      <c r="AI325" s="17" t="str">
        <f t="shared" si="4"/>
        <v>0-20</v>
      </c>
    </row>
    <row r="326" ht="15.75" customHeight="1">
      <c r="A326" s="13">
        <f>HYPERLINK("https://app.hubspot.com/contacts/8748051/record/0-3/34812250138", 34812250138)</f>
        <v>34812250138</v>
      </c>
      <c r="B326" s="14" t="s">
        <v>1220</v>
      </c>
      <c r="C326" s="14" t="s">
        <v>145</v>
      </c>
      <c r="D326" s="15">
        <v>40500.0</v>
      </c>
      <c r="E326" s="14" t="s">
        <v>118</v>
      </c>
      <c r="F326" s="14"/>
      <c r="G326" s="16">
        <v>45735.42215277778</v>
      </c>
      <c r="H326" s="16">
        <v>45895.0</v>
      </c>
      <c r="I326" s="14" t="s">
        <v>39</v>
      </c>
      <c r="J326" s="14" t="s">
        <v>52</v>
      </c>
      <c r="K326" s="14" t="s">
        <v>251</v>
      </c>
      <c r="L326" s="14" t="s">
        <v>175</v>
      </c>
      <c r="M326" s="14" t="s">
        <v>43</v>
      </c>
      <c r="N326" s="14"/>
      <c r="O326" s="14"/>
      <c r="P326" s="14" t="s">
        <v>211</v>
      </c>
      <c r="Q326" s="14"/>
      <c r="R326" s="13">
        <f>HYPERLINK("https://app.hubspot.com/contacts/8748051/record/0-2/19177041309", 19177041309)</f>
        <v>19177041309</v>
      </c>
      <c r="S326" s="14" t="s">
        <v>1221</v>
      </c>
      <c r="T326" s="18" t="s">
        <v>1222</v>
      </c>
      <c r="U326" s="14" t="s">
        <v>46</v>
      </c>
      <c r="V326" s="15"/>
      <c r="W326" s="19">
        <v>866.0</v>
      </c>
      <c r="X326" s="19">
        <v>113.0</v>
      </c>
      <c r="Y326" s="20" t="s">
        <v>55</v>
      </c>
      <c r="Z326" s="20"/>
      <c r="AA326" s="21"/>
      <c r="AB326" s="20"/>
      <c r="AC326" s="20"/>
      <c r="AD326" s="20"/>
      <c r="AE326" s="20"/>
      <c r="AF326" s="17" t="str">
        <f t="shared" si="1"/>
        <v>New Logo</v>
      </c>
      <c r="AG326" s="17" t="str">
        <f t="shared" si="2"/>
        <v>Lead</v>
      </c>
      <c r="AH326" s="17" t="str">
        <f t="shared" si="3"/>
        <v>501-1000</v>
      </c>
      <c r="AI326" s="17" t="str">
        <f t="shared" si="4"/>
        <v>101-500</v>
      </c>
    </row>
    <row r="327" ht="15.75" customHeight="1">
      <c r="A327" s="13">
        <f>HYPERLINK("https://app.hubspot.com/contacts/8748051/record/0-3/34778900532", 34778900532)</f>
        <v>34778900532</v>
      </c>
      <c r="B327" s="14" t="s">
        <v>1223</v>
      </c>
      <c r="C327" s="14" t="s">
        <v>37</v>
      </c>
      <c r="D327" s="15">
        <v>25000.0</v>
      </c>
      <c r="E327" s="14" t="s">
        <v>124</v>
      </c>
      <c r="F327" s="14" t="s">
        <v>51</v>
      </c>
      <c r="G327" s="16">
        <v>45734.4665625</v>
      </c>
      <c r="H327" s="16">
        <v>45838.0</v>
      </c>
      <c r="I327" s="14" t="s">
        <v>39</v>
      </c>
      <c r="J327" s="14" t="s">
        <v>40</v>
      </c>
      <c r="K327" s="14" t="s">
        <v>41</v>
      </c>
      <c r="L327" s="14" t="s">
        <v>42</v>
      </c>
      <c r="M327" s="14" t="s">
        <v>43</v>
      </c>
      <c r="N327" s="14"/>
      <c r="O327" s="14"/>
      <c r="P327" s="14"/>
      <c r="Q327" s="14" t="s">
        <v>125</v>
      </c>
      <c r="R327" s="13">
        <f>HYPERLINK("https://app.hubspot.com/contacts/8748051/record/0-2/8644546840", 8644546840)</f>
        <v>8644546840</v>
      </c>
      <c r="S327" s="14" t="s">
        <v>1224</v>
      </c>
      <c r="T327" s="18" t="s">
        <v>1225</v>
      </c>
      <c r="U327" s="14" t="s">
        <v>46</v>
      </c>
      <c r="V327" s="15"/>
      <c r="W327" s="19">
        <v>274.0</v>
      </c>
      <c r="X327" s="19">
        <v>61.0</v>
      </c>
      <c r="Y327" s="20" t="s">
        <v>70</v>
      </c>
      <c r="Z327" s="20"/>
      <c r="AA327" s="20"/>
      <c r="AB327" s="20"/>
      <c r="AC327" s="20"/>
      <c r="AD327" s="20"/>
      <c r="AE327" s="20"/>
      <c r="AF327" s="17" t="str">
        <f t="shared" si="1"/>
        <v>New Logo</v>
      </c>
      <c r="AG327" s="17" t="str">
        <f t="shared" si="2"/>
        <v>Lead</v>
      </c>
      <c r="AH327" s="17" t="str">
        <f t="shared" si="3"/>
        <v>201-500</v>
      </c>
      <c r="AI327" s="17" t="str">
        <f t="shared" si="4"/>
        <v>51-100</v>
      </c>
    </row>
    <row r="328" ht="15.75" customHeight="1">
      <c r="A328" s="13">
        <f>HYPERLINK("https://app.hubspot.com/contacts/8748051/record/0-3/34765050970", 34765050970)</f>
        <v>34765050970</v>
      </c>
      <c r="B328" s="14" t="s">
        <v>1226</v>
      </c>
      <c r="C328" s="14" t="s">
        <v>1227</v>
      </c>
      <c r="D328" s="15">
        <v>2249.0</v>
      </c>
      <c r="E328" s="14" t="s">
        <v>89</v>
      </c>
      <c r="F328" s="14"/>
      <c r="G328" s="16">
        <v>45734.40939814815</v>
      </c>
      <c r="H328" s="16">
        <v>45734.409525462965</v>
      </c>
      <c r="I328" s="14" t="s">
        <v>39</v>
      </c>
      <c r="J328" s="14" t="s">
        <v>179</v>
      </c>
      <c r="K328" s="14" t="s">
        <v>158</v>
      </c>
      <c r="L328" s="14" t="s">
        <v>159</v>
      </c>
      <c r="M328" s="14" t="s">
        <v>98</v>
      </c>
      <c r="N328" s="14" t="s">
        <v>179</v>
      </c>
      <c r="O328" s="14"/>
      <c r="P328" s="14"/>
      <c r="Q328" s="14"/>
      <c r="R328" s="13">
        <f>HYPERLINK("https://app.hubspot.com/contacts/8748051/record/0-2/10517320259", 10517320259)</f>
        <v>10517320259</v>
      </c>
      <c r="S328" s="14" t="s">
        <v>1228</v>
      </c>
      <c r="T328" s="18" t="s">
        <v>1229</v>
      </c>
      <c r="U328" s="14" t="s">
        <v>93</v>
      </c>
      <c r="V328" s="15">
        <v>8045.0</v>
      </c>
      <c r="W328" s="19">
        <v>283.0</v>
      </c>
      <c r="X328" s="19">
        <v>49.0</v>
      </c>
      <c r="Y328" s="20"/>
      <c r="Z328" s="20" t="s">
        <v>191</v>
      </c>
      <c r="AA328" s="21"/>
      <c r="AB328" s="20" t="s">
        <v>206</v>
      </c>
      <c r="AC328" s="20" t="s">
        <v>1230</v>
      </c>
      <c r="AD328" s="20" t="s">
        <v>1231</v>
      </c>
      <c r="AE328" s="20" t="s">
        <v>166</v>
      </c>
      <c r="AF328" s="17" t="str">
        <f t="shared" si="1"/>
        <v>Upsell</v>
      </c>
      <c r="AG328" s="17" t="str">
        <f t="shared" si="2"/>
        <v>Customer</v>
      </c>
      <c r="AH328" s="17" t="str">
        <f t="shared" si="3"/>
        <v>201-500</v>
      </c>
      <c r="AI328" s="17" t="str">
        <f t="shared" si="4"/>
        <v>21-50</v>
      </c>
    </row>
    <row r="329" ht="15.75" customHeight="1">
      <c r="A329" s="13">
        <f>HYPERLINK("https://app.hubspot.com/contacts/8748051/record/0-3/34651532886", 34651532886)</f>
        <v>34651532886</v>
      </c>
      <c r="B329" s="14" t="s">
        <v>1232</v>
      </c>
      <c r="C329" s="14" t="s">
        <v>49</v>
      </c>
      <c r="D329" s="15">
        <v>75000.0</v>
      </c>
      <c r="E329" s="14" t="s">
        <v>124</v>
      </c>
      <c r="F329" s="14" t="s">
        <v>51</v>
      </c>
      <c r="G329" s="16">
        <v>45730.58320601852</v>
      </c>
      <c r="H329" s="16">
        <v>46022.51206018519</v>
      </c>
      <c r="I329" s="14" t="s">
        <v>39</v>
      </c>
      <c r="J329" s="14" t="s">
        <v>40</v>
      </c>
      <c r="K329" s="14" t="s">
        <v>59</v>
      </c>
      <c r="L329" s="14" t="s">
        <v>60</v>
      </c>
      <c r="M329" s="14" t="s">
        <v>43</v>
      </c>
      <c r="N329" s="14"/>
      <c r="O329" s="14"/>
      <c r="P329" s="14"/>
      <c r="Q329" s="14" t="s">
        <v>373</v>
      </c>
      <c r="R329" s="13">
        <f>HYPERLINK("https://app.hubspot.com/contacts/8748051/record/0-2/8054026622", 8054026622)</f>
        <v>8054026622</v>
      </c>
      <c r="S329" s="14" t="s">
        <v>1233</v>
      </c>
      <c r="T329" s="18" t="s">
        <v>1234</v>
      </c>
      <c r="U329" s="14" t="s">
        <v>46</v>
      </c>
      <c r="V329" s="15"/>
      <c r="W329" s="19">
        <v>769.0</v>
      </c>
      <c r="X329" s="19">
        <v>186.0</v>
      </c>
      <c r="Y329" s="20" t="s">
        <v>78</v>
      </c>
      <c r="Z329" s="20"/>
      <c r="AA329" s="20"/>
      <c r="AB329" s="20"/>
      <c r="AC329" s="20"/>
      <c r="AD329" s="20"/>
      <c r="AE329" s="20"/>
      <c r="AF329" s="17" t="str">
        <f t="shared" si="1"/>
        <v>New Logo</v>
      </c>
      <c r="AG329" s="17" t="str">
        <f t="shared" si="2"/>
        <v>Lead</v>
      </c>
      <c r="AH329" s="17" t="str">
        <f t="shared" si="3"/>
        <v>501-1000</v>
      </c>
      <c r="AI329" s="17" t="str">
        <f t="shared" si="4"/>
        <v>101-500</v>
      </c>
    </row>
    <row r="330" ht="15.75" customHeight="1">
      <c r="A330" s="13">
        <f>HYPERLINK("https://app.hubspot.com/contacts/8748051/record/0-3/34603512158", 34603512158)</f>
        <v>34603512158</v>
      </c>
      <c r="B330" s="14" t="s">
        <v>1235</v>
      </c>
      <c r="C330" s="14" t="s">
        <v>49</v>
      </c>
      <c r="D330" s="15">
        <v>50000.0</v>
      </c>
      <c r="E330" s="14" t="s">
        <v>124</v>
      </c>
      <c r="F330" s="14" t="s">
        <v>51</v>
      </c>
      <c r="G330" s="16">
        <v>45728.74256944445</v>
      </c>
      <c r="H330" s="16">
        <v>45930.74182870371</v>
      </c>
      <c r="I330" s="14" t="s">
        <v>39</v>
      </c>
      <c r="J330" s="14" t="s">
        <v>52</v>
      </c>
      <c r="K330" s="14" t="s">
        <v>41</v>
      </c>
      <c r="L330" s="14" t="s">
        <v>42</v>
      </c>
      <c r="M330" s="14" t="s">
        <v>43</v>
      </c>
      <c r="N330" s="14"/>
      <c r="O330" s="17"/>
      <c r="P330" s="14"/>
      <c r="Q330" s="14" t="s">
        <v>195</v>
      </c>
      <c r="R330" s="13">
        <f>HYPERLINK("https://app.hubspot.com/contacts/8748051/record/0-2/8867142733", 8867142733)</f>
        <v>8867142733</v>
      </c>
      <c r="S330" s="14" t="s">
        <v>656</v>
      </c>
      <c r="T330" s="18" t="s">
        <v>657</v>
      </c>
      <c r="U330" s="14" t="s">
        <v>46</v>
      </c>
      <c r="V330" s="15"/>
      <c r="W330" s="19">
        <v>8750.0</v>
      </c>
      <c r="X330" s="19">
        <v>1438.0</v>
      </c>
      <c r="Y330" s="20" t="s">
        <v>658</v>
      </c>
      <c r="Z330" s="20"/>
      <c r="AA330" s="20"/>
      <c r="AB330" s="20"/>
      <c r="AC330" s="20"/>
      <c r="AD330" s="21"/>
      <c r="AE330" s="20"/>
      <c r="AF330" s="17" t="str">
        <f t="shared" si="1"/>
        <v>New Logo</v>
      </c>
      <c r="AG330" s="17" t="str">
        <f t="shared" si="2"/>
        <v>Lead</v>
      </c>
      <c r="AH330" s="17" t="str">
        <f t="shared" si="3"/>
        <v>5000-10000</v>
      </c>
      <c r="AI330" s="17" t="str">
        <f t="shared" si="4"/>
        <v>500+</v>
      </c>
    </row>
    <row r="331" ht="15.75" customHeight="1">
      <c r="A331" s="13">
        <f>HYPERLINK("https://app.hubspot.com/contacts/8748051/record/0-3/34575678733", 34575678733)</f>
        <v>34575678733</v>
      </c>
      <c r="B331" s="14" t="s">
        <v>1236</v>
      </c>
      <c r="C331" s="14" t="s">
        <v>49</v>
      </c>
      <c r="D331" s="15">
        <v>50000.0</v>
      </c>
      <c r="E331" s="14" t="s">
        <v>89</v>
      </c>
      <c r="F331" s="14" t="s">
        <v>51</v>
      </c>
      <c r="G331" s="16">
        <v>45728.51913194444</v>
      </c>
      <c r="H331" s="16">
        <v>45754.5690625</v>
      </c>
      <c r="I331" s="14" t="s">
        <v>39</v>
      </c>
      <c r="J331" s="14" t="s">
        <v>40</v>
      </c>
      <c r="K331" s="14" t="s">
        <v>1103</v>
      </c>
      <c r="L331" s="14" t="s">
        <v>559</v>
      </c>
      <c r="M331" s="14" t="s">
        <v>43</v>
      </c>
      <c r="N331" s="14" t="s">
        <v>1237</v>
      </c>
      <c r="O331" s="14"/>
      <c r="P331" s="14"/>
      <c r="Q331" s="14"/>
      <c r="R331" s="13">
        <f>HYPERLINK("https://app.hubspot.com/contacts/8748051/record/0-2/10198095893", 10198095893)</f>
        <v>10198095893</v>
      </c>
      <c r="S331" s="14" t="s">
        <v>1238</v>
      </c>
      <c r="T331" s="18" t="s">
        <v>1239</v>
      </c>
      <c r="U331" s="14" t="s">
        <v>93</v>
      </c>
      <c r="V331" s="15">
        <v>50000.0</v>
      </c>
      <c r="W331" s="19">
        <v>302.0</v>
      </c>
      <c r="X331" s="19">
        <v>40.0</v>
      </c>
      <c r="Y331" s="20"/>
      <c r="Z331" s="20" t="s">
        <v>184</v>
      </c>
      <c r="AA331" s="20" t="s">
        <v>205</v>
      </c>
      <c r="AB331" s="20" t="s">
        <v>267</v>
      </c>
      <c r="AC331" s="20" t="s">
        <v>1240</v>
      </c>
      <c r="AD331" s="20"/>
      <c r="AE331" s="20" t="s">
        <v>395</v>
      </c>
      <c r="AF331" s="17" t="str">
        <f t="shared" si="1"/>
        <v>New Logo</v>
      </c>
      <c r="AG331" s="17" t="str">
        <f t="shared" si="2"/>
        <v>Customer</v>
      </c>
      <c r="AH331" s="17" t="str">
        <f t="shared" si="3"/>
        <v>201-500</v>
      </c>
      <c r="AI331" s="17" t="str">
        <f t="shared" si="4"/>
        <v>21-50</v>
      </c>
    </row>
    <row r="332" ht="15.75" customHeight="1">
      <c r="A332" s="13">
        <f>HYPERLINK("https://app.hubspot.com/contacts/8748051/record/0-3/34480837013", 34480837013)</f>
        <v>34480837013</v>
      </c>
      <c r="B332" s="14" t="s">
        <v>1241</v>
      </c>
      <c r="C332" s="14" t="s">
        <v>49</v>
      </c>
      <c r="D332" s="15">
        <v>45000.0</v>
      </c>
      <c r="E332" s="14" t="s">
        <v>124</v>
      </c>
      <c r="F332" s="14" t="s">
        <v>51</v>
      </c>
      <c r="G332" s="16">
        <v>45726.496828703705</v>
      </c>
      <c r="H332" s="16">
        <v>46022.76974537037</v>
      </c>
      <c r="I332" s="14" t="s">
        <v>39</v>
      </c>
      <c r="J332" s="14" t="s">
        <v>40</v>
      </c>
      <c r="K332" s="14" t="s">
        <v>41</v>
      </c>
      <c r="L332" s="14" t="s">
        <v>42</v>
      </c>
      <c r="M332" s="14" t="s">
        <v>72</v>
      </c>
      <c r="N332" s="17"/>
      <c r="O332" s="14"/>
      <c r="P332" s="14"/>
      <c r="Q332" s="14" t="s">
        <v>236</v>
      </c>
      <c r="R332" s="13">
        <f>HYPERLINK("https://app.hubspot.com/contacts/8748051/record/0-2/35059245747", 35059245747)</f>
        <v>35059245747</v>
      </c>
      <c r="S332" s="14" t="s">
        <v>323</v>
      </c>
      <c r="T332" s="18" t="s">
        <v>324</v>
      </c>
      <c r="U332" s="14" t="s">
        <v>46</v>
      </c>
      <c r="V332" s="22"/>
      <c r="W332" s="19">
        <v>241.0</v>
      </c>
      <c r="X332" s="19">
        <v>47.0</v>
      </c>
      <c r="Y332" s="20" t="s">
        <v>104</v>
      </c>
      <c r="Z332" s="21"/>
      <c r="AA332" s="21"/>
      <c r="AB332" s="21"/>
      <c r="AC332" s="21"/>
      <c r="AD332" s="21"/>
      <c r="AE332" s="21"/>
      <c r="AF332" s="17" t="str">
        <f t="shared" si="1"/>
        <v>New Logo</v>
      </c>
      <c r="AG332" s="17" t="str">
        <f t="shared" si="2"/>
        <v>Lead</v>
      </c>
      <c r="AH332" s="17" t="str">
        <f t="shared" si="3"/>
        <v>201-500</v>
      </c>
      <c r="AI332" s="17" t="str">
        <f t="shared" si="4"/>
        <v>21-50</v>
      </c>
    </row>
    <row r="333" ht="15.75" customHeight="1">
      <c r="A333" s="13">
        <f>HYPERLINK("https://app.hubspot.com/contacts/8748051/record/0-3/34356310073", 34356310073)</f>
        <v>34356310073</v>
      </c>
      <c r="B333" s="14" t="s">
        <v>1242</v>
      </c>
      <c r="C333" s="14" t="s">
        <v>1008</v>
      </c>
      <c r="D333" s="15">
        <v>25000.0</v>
      </c>
      <c r="E333" s="14" t="s">
        <v>124</v>
      </c>
      <c r="F333" s="14" t="s">
        <v>51</v>
      </c>
      <c r="G333" s="16">
        <v>45723.56929398148</v>
      </c>
      <c r="H333" s="16">
        <v>45894.39409722222</v>
      </c>
      <c r="I333" s="14" t="s">
        <v>39</v>
      </c>
      <c r="J333" s="14" t="s">
        <v>40</v>
      </c>
      <c r="K333" s="14" t="s">
        <v>41</v>
      </c>
      <c r="L333" s="14" t="s">
        <v>42</v>
      </c>
      <c r="M333" s="14" t="s">
        <v>98</v>
      </c>
      <c r="N333" s="17"/>
      <c r="O333" s="14"/>
      <c r="P333" s="14"/>
      <c r="Q333" s="14" t="s">
        <v>373</v>
      </c>
      <c r="R333" s="13">
        <f>HYPERLINK("https://app.hubspot.com/contacts/8748051/record/0-2/8816517268", 8816517268)</f>
        <v>8816517268</v>
      </c>
      <c r="S333" s="14" t="s">
        <v>1243</v>
      </c>
      <c r="T333" s="18" t="s">
        <v>1244</v>
      </c>
      <c r="U333" s="14" t="s">
        <v>46</v>
      </c>
      <c r="V333" s="15"/>
      <c r="W333" s="19">
        <v>608.0</v>
      </c>
      <c r="X333" s="19">
        <v>100.0</v>
      </c>
      <c r="Y333" s="20" t="s">
        <v>1245</v>
      </c>
      <c r="Z333" s="20"/>
      <c r="AA333" s="20"/>
      <c r="AB333" s="20"/>
      <c r="AC333" s="20"/>
      <c r="AD333" s="20"/>
      <c r="AE333" s="20"/>
      <c r="AF333" s="17" t="str">
        <f t="shared" si="1"/>
        <v>New Logo</v>
      </c>
      <c r="AG333" s="17" t="str">
        <f t="shared" si="2"/>
        <v>Lead</v>
      </c>
      <c r="AH333" s="17" t="str">
        <f t="shared" si="3"/>
        <v>501-1000</v>
      </c>
      <c r="AI333" s="17" t="str">
        <f t="shared" si="4"/>
        <v>51-100</v>
      </c>
    </row>
    <row r="334" ht="15.75" customHeight="1">
      <c r="A334" s="13">
        <f>HYPERLINK("https://app.hubspot.com/contacts/8748051/record/0-3/34356268180", 34356268180)</f>
        <v>34356268180</v>
      </c>
      <c r="B334" s="14" t="s">
        <v>1246</v>
      </c>
      <c r="C334" s="14" t="s">
        <v>1008</v>
      </c>
      <c r="D334" s="15">
        <v>10000.0</v>
      </c>
      <c r="E334" s="14" t="s">
        <v>124</v>
      </c>
      <c r="F334" s="14" t="s">
        <v>51</v>
      </c>
      <c r="G334" s="16">
        <v>45723.56864583334</v>
      </c>
      <c r="H334" s="16">
        <v>45799.22219907407</v>
      </c>
      <c r="I334" s="14" t="s">
        <v>39</v>
      </c>
      <c r="J334" s="14" t="s">
        <v>40</v>
      </c>
      <c r="K334" s="14" t="s">
        <v>41</v>
      </c>
      <c r="L334" s="14" t="s">
        <v>42</v>
      </c>
      <c r="M334" s="14" t="s">
        <v>98</v>
      </c>
      <c r="N334" s="14"/>
      <c r="O334" s="14"/>
      <c r="P334" s="14"/>
      <c r="Q334" s="14" t="s">
        <v>141</v>
      </c>
      <c r="R334" s="13">
        <f>HYPERLINK("https://app.hubspot.com/contacts/8748051/record/0-2/7755953967", 7755953967)</f>
        <v>7755953967</v>
      </c>
      <c r="S334" s="14" t="s">
        <v>1247</v>
      </c>
      <c r="T334" s="18" t="s">
        <v>1248</v>
      </c>
      <c r="U334" s="14" t="s">
        <v>46</v>
      </c>
      <c r="V334" s="15"/>
      <c r="W334" s="19">
        <v>407.0</v>
      </c>
      <c r="X334" s="19">
        <v>51.0</v>
      </c>
      <c r="Y334" s="20"/>
      <c r="Z334" s="20"/>
      <c r="AA334" s="20"/>
      <c r="AB334" s="20"/>
      <c r="AC334" s="20"/>
      <c r="AD334" s="20"/>
      <c r="AE334" s="20"/>
      <c r="AF334" s="17" t="str">
        <f t="shared" si="1"/>
        <v>New Logo</v>
      </c>
      <c r="AG334" s="17" t="str">
        <f t="shared" si="2"/>
        <v>Lead</v>
      </c>
      <c r="AH334" s="17" t="str">
        <f t="shared" si="3"/>
        <v>201-500</v>
      </c>
      <c r="AI334" s="17" t="str">
        <f t="shared" si="4"/>
        <v>51-100</v>
      </c>
    </row>
    <row r="335" ht="15.75" customHeight="1">
      <c r="A335" s="13">
        <f>HYPERLINK("https://app.hubspot.com/contacts/8748051/record/0-3/34357358374", 34357358374)</f>
        <v>34357358374</v>
      </c>
      <c r="B335" s="14" t="s">
        <v>1249</v>
      </c>
      <c r="C335" s="14" t="s">
        <v>49</v>
      </c>
      <c r="D335" s="15">
        <v>25000.0</v>
      </c>
      <c r="E335" s="14" t="s">
        <v>124</v>
      </c>
      <c r="F335" s="14" t="s">
        <v>51</v>
      </c>
      <c r="G335" s="16">
        <v>45723.56795138889</v>
      </c>
      <c r="H335" s="16">
        <v>45930.52863425926</v>
      </c>
      <c r="I335" s="14" t="s">
        <v>39</v>
      </c>
      <c r="J335" s="14" t="s">
        <v>40</v>
      </c>
      <c r="K335" s="14" t="s">
        <v>41</v>
      </c>
      <c r="L335" s="14" t="s">
        <v>42</v>
      </c>
      <c r="M335" s="14" t="s">
        <v>43</v>
      </c>
      <c r="N335" s="14"/>
      <c r="O335" s="14"/>
      <c r="P335" s="14"/>
      <c r="Q335" s="14" t="s">
        <v>125</v>
      </c>
      <c r="R335" s="13">
        <f>HYPERLINK("https://app.hubspot.com/contacts/8748051/record/0-2/30760423032", 30760423032)</f>
        <v>30760423032</v>
      </c>
      <c r="S335" s="14" t="s">
        <v>1250</v>
      </c>
      <c r="T335" s="18" t="s">
        <v>1251</v>
      </c>
      <c r="U335" s="14" t="s">
        <v>46</v>
      </c>
      <c r="V335" s="15"/>
      <c r="W335" s="19">
        <v>85.0</v>
      </c>
      <c r="X335" s="19">
        <v>23.0</v>
      </c>
      <c r="Y335" s="20" t="s">
        <v>104</v>
      </c>
      <c r="Z335" s="20"/>
      <c r="AA335" s="21"/>
      <c r="AB335" s="21"/>
      <c r="AC335" s="20"/>
      <c r="AD335" s="20"/>
      <c r="AE335" s="20"/>
      <c r="AF335" s="17" t="str">
        <f t="shared" si="1"/>
        <v>New Logo</v>
      </c>
      <c r="AG335" s="17" t="str">
        <f t="shared" si="2"/>
        <v>Lead</v>
      </c>
      <c r="AH335" s="17" t="str">
        <f t="shared" si="3"/>
        <v>0-200</v>
      </c>
      <c r="AI335" s="17" t="str">
        <f t="shared" si="4"/>
        <v>21-50</v>
      </c>
    </row>
    <row r="336" ht="15.75" customHeight="1">
      <c r="A336" s="13">
        <f>HYPERLINK("https://app.hubspot.com/contacts/8748051/record/0-3/34203264029", 34203264029)</f>
        <v>34203264029</v>
      </c>
      <c r="B336" s="14" t="s">
        <v>1252</v>
      </c>
      <c r="C336" s="14" t="s">
        <v>1008</v>
      </c>
      <c r="D336" s="15">
        <v>15000.0</v>
      </c>
      <c r="E336" s="14" t="s">
        <v>146</v>
      </c>
      <c r="F336" s="14" t="s">
        <v>51</v>
      </c>
      <c r="G336" s="16">
        <v>45719.68505787037</v>
      </c>
      <c r="H336" s="16">
        <v>45746.43371527778</v>
      </c>
      <c r="I336" s="14" t="s">
        <v>39</v>
      </c>
      <c r="J336" s="14" t="s">
        <v>52</v>
      </c>
      <c r="K336" s="14" t="s">
        <v>41</v>
      </c>
      <c r="L336" s="14" t="s">
        <v>448</v>
      </c>
      <c r="M336" s="14" t="s">
        <v>43</v>
      </c>
      <c r="N336" s="14"/>
      <c r="O336" s="14" t="s">
        <v>1253</v>
      </c>
      <c r="P336" s="14"/>
      <c r="Q336" s="14"/>
      <c r="R336" s="13">
        <f>HYPERLINK("https://app.hubspot.com/contacts/8748051/record/0-2/17745948284", 17745948284)</f>
        <v>17745948284</v>
      </c>
      <c r="S336" s="14" t="s">
        <v>1254</v>
      </c>
      <c r="T336" s="18" t="s">
        <v>1255</v>
      </c>
      <c r="U336" s="14" t="s">
        <v>46</v>
      </c>
      <c r="V336" s="15"/>
      <c r="W336" s="19">
        <v>507.0</v>
      </c>
      <c r="X336" s="19">
        <v>73.0</v>
      </c>
      <c r="Y336" s="20" t="s">
        <v>63</v>
      </c>
      <c r="Z336" s="20"/>
      <c r="AA336" s="21"/>
      <c r="AB336" s="20"/>
      <c r="AC336" s="20"/>
      <c r="AD336" s="20"/>
      <c r="AE336" s="20"/>
      <c r="AF336" s="17" t="str">
        <f t="shared" si="1"/>
        <v>New Logo</v>
      </c>
      <c r="AG336" s="17" t="str">
        <f t="shared" si="2"/>
        <v>Lead</v>
      </c>
      <c r="AH336" s="17" t="str">
        <f t="shared" si="3"/>
        <v>501-1000</v>
      </c>
      <c r="AI336" s="17" t="str">
        <f t="shared" si="4"/>
        <v>51-100</v>
      </c>
    </row>
    <row r="337" ht="15.75" customHeight="1">
      <c r="A337" s="13">
        <f>HYPERLINK("https://app.hubspot.com/contacts/8748051/record/0-3/34056460396", 34056460396)</f>
        <v>34056460396</v>
      </c>
      <c r="B337" s="14" t="s">
        <v>1256</v>
      </c>
      <c r="C337" s="14" t="s">
        <v>1008</v>
      </c>
      <c r="D337" s="15">
        <v>0.0</v>
      </c>
      <c r="E337" s="14" t="s">
        <v>118</v>
      </c>
      <c r="F337" s="14"/>
      <c r="G337" s="16">
        <v>45716.32068287037</v>
      </c>
      <c r="H337" s="16">
        <v>45896.32067129629</v>
      </c>
      <c r="I337" s="14" t="s">
        <v>39</v>
      </c>
      <c r="J337" s="14" t="s">
        <v>40</v>
      </c>
      <c r="K337" s="14" t="s">
        <v>41</v>
      </c>
      <c r="L337" s="14" t="s">
        <v>42</v>
      </c>
      <c r="M337" s="14" t="s">
        <v>43</v>
      </c>
      <c r="N337" s="17"/>
      <c r="O337" s="14"/>
      <c r="P337" s="14" t="s">
        <v>232</v>
      </c>
      <c r="Q337" s="14"/>
      <c r="R337" s="13">
        <f>HYPERLINK("https://app.hubspot.com/contacts/8748051/record/0-2/30493775465", 30493775465)</f>
        <v>30493775465</v>
      </c>
      <c r="S337" s="14" t="s">
        <v>1257</v>
      </c>
      <c r="T337" s="18" t="s">
        <v>1258</v>
      </c>
      <c r="U337" s="14" t="s">
        <v>46</v>
      </c>
      <c r="V337" s="15"/>
      <c r="W337" s="19">
        <v>30.0</v>
      </c>
      <c r="X337" s="19">
        <v>0.0</v>
      </c>
      <c r="Y337" s="20"/>
      <c r="Z337" s="20"/>
      <c r="AA337" s="20"/>
      <c r="AB337" s="21"/>
      <c r="AC337" s="20"/>
      <c r="AD337" s="20"/>
      <c r="AE337" s="20"/>
      <c r="AF337" s="17" t="str">
        <f t="shared" si="1"/>
        <v>New Logo</v>
      </c>
      <c r="AG337" s="17" t="str">
        <f t="shared" si="2"/>
        <v>Lead</v>
      </c>
      <c r="AH337" s="17" t="str">
        <f t="shared" si="3"/>
        <v>0-200</v>
      </c>
      <c r="AI337" s="17" t="str">
        <f t="shared" si="4"/>
        <v>0-20</v>
      </c>
    </row>
    <row r="338" ht="15.75" customHeight="1">
      <c r="A338" s="13">
        <f>HYPERLINK("https://app.hubspot.com/contacts/8748051/record/0-3/33987701082", 33987701082)</f>
        <v>33987701082</v>
      </c>
      <c r="B338" s="14" t="s">
        <v>1259</v>
      </c>
      <c r="C338" s="14" t="s">
        <v>49</v>
      </c>
      <c r="D338" s="15">
        <v>57500.0</v>
      </c>
      <c r="E338" s="14" t="s">
        <v>146</v>
      </c>
      <c r="F338" s="14" t="s">
        <v>51</v>
      </c>
      <c r="G338" s="16">
        <v>45714.466527777775</v>
      </c>
      <c r="H338" s="16">
        <v>45769.77454861111</v>
      </c>
      <c r="I338" s="14" t="s">
        <v>39</v>
      </c>
      <c r="J338" s="14" t="s">
        <v>52</v>
      </c>
      <c r="K338" s="14" t="s">
        <v>41</v>
      </c>
      <c r="L338" s="14" t="s">
        <v>42</v>
      </c>
      <c r="M338" s="14" t="s">
        <v>43</v>
      </c>
      <c r="N338" s="14"/>
      <c r="O338" s="14" t="s">
        <v>1260</v>
      </c>
      <c r="P338" s="14"/>
      <c r="Q338" s="14"/>
      <c r="R338" s="13">
        <f>HYPERLINK("https://app.hubspot.com/contacts/8748051/record/0-2/8923232919", 8923232919)</f>
        <v>8923232919</v>
      </c>
      <c r="S338" s="14" t="s">
        <v>1261</v>
      </c>
      <c r="T338" s="18" t="s">
        <v>1262</v>
      </c>
      <c r="U338" s="14" t="s">
        <v>46</v>
      </c>
      <c r="V338" s="15"/>
      <c r="W338" s="19">
        <v>900.0</v>
      </c>
      <c r="X338" s="19">
        <v>162.0</v>
      </c>
      <c r="Y338" s="20" t="s">
        <v>455</v>
      </c>
      <c r="Z338" s="20"/>
      <c r="AA338" s="21"/>
      <c r="AB338" s="20"/>
      <c r="AC338" s="20"/>
      <c r="AD338" s="20"/>
      <c r="AE338" s="20"/>
      <c r="AF338" s="17" t="str">
        <f t="shared" si="1"/>
        <v>New Logo</v>
      </c>
      <c r="AG338" s="17" t="str">
        <f t="shared" si="2"/>
        <v>Lead</v>
      </c>
      <c r="AH338" s="17" t="str">
        <f t="shared" si="3"/>
        <v>501-1000</v>
      </c>
      <c r="AI338" s="17" t="str">
        <f t="shared" si="4"/>
        <v>101-500</v>
      </c>
    </row>
    <row r="339" ht="15.75" customHeight="1">
      <c r="A339" s="13">
        <f>HYPERLINK("https://app.hubspot.com/contacts/8748051/record/0-3/33928031105", 33928031105)</f>
        <v>33928031105</v>
      </c>
      <c r="B339" s="14" t="s">
        <v>1263</v>
      </c>
      <c r="C339" s="14" t="s">
        <v>49</v>
      </c>
      <c r="D339" s="15">
        <v>20000.0</v>
      </c>
      <c r="E339" s="14" t="s">
        <v>124</v>
      </c>
      <c r="F339" s="14" t="s">
        <v>51</v>
      </c>
      <c r="G339" s="16">
        <v>45713.52773148148</v>
      </c>
      <c r="H339" s="16">
        <v>45838.642858796295</v>
      </c>
      <c r="I339" s="14" t="s">
        <v>39</v>
      </c>
      <c r="J339" s="14" t="s">
        <v>40</v>
      </c>
      <c r="K339" s="14" t="s">
        <v>41</v>
      </c>
      <c r="L339" s="14" t="s">
        <v>42</v>
      </c>
      <c r="M339" s="14" t="s">
        <v>43</v>
      </c>
      <c r="N339" s="17"/>
      <c r="O339" s="17"/>
      <c r="P339" s="14"/>
      <c r="Q339" s="14" t="s">
        <v>141</v>
      </c>
      <c r="R339" s="13">
        <f>HYPERLINK("https://app.hubspot.com/contacts/8748051/record/0-2/31415333632", 31415333632)</f>
        <v>31415333632</v>
      </c>
      <c r="S339" s="14" t="s">
        <v>1264</v>
      </c>
      <c r="T339" s="18" t="s">
        <v>1265</v>
      </c>
      <c r="U339" s="14" t="s">
        <v>46</v>
      </c>
      <c r="V339" s="15"/>
      <c r="W339" s="19">
        <v>74.0</v>
      </c>
      <c r="X339" s="19">
        <v>9.0</v>
      </c>
      <c r="Y339" s="20"/>
      <c r="Z339" s="20"/>
      <c r="AA339" s="20"/>
      <c r="AB339" s="20"/>
      <c r="AC339" s="20"/>
      <c r="AD339" s="20"/>
      <c r="AE339" s="20"/>
      <c r="AF339" s="17" t="str">
        <f t="shared" si="1"/>
        <v>New Logo</v>
      </c>
      <c r="AG339" s="17" t="str">
        <f t="shared" si="2"/>
        <v>Lead</v>
      </c>
      <c r="AH339" s="17" t="str">
        <f t="shared" si="3"/>
        <v>0-200</v>
      </c>
      <c r="AI339" s="17" t="str">
        <f t="shared" si="4"/>
        <v>0-20</v>
      </c>
    </row>
    <row r="340" ht="15.75" customHeight="1">
      <c r="A340" s="13">
        <f>HYPERLINK("https://app.hubspot.com/contacts/8748051/record/0-3/33901191969", 33901191969)</f>
        <v>33901191969</v>
      </c>
      <c r="B340" s="14" t="s">
        <v>1266</v>
      </c>
      <c r="C340" s="14" t="s">
        <v>37</v>
      </c>
      <c r="D340" s="15">
        <v>50000.0</v>
      </c>
      <c r="E340" s="14" t="s">
        <v>124</v>
      </c>
      <c r="F340" s="14" t="s">
        <v>51</v>
      </c>
      <c r="G340" s="16">
        <v>45712.63744212963</v>
      </c>
      <c r="H340" s="16">
        <v>46107.31420138889</v>
      </c>
      <c r="I340" s="14" t="s">
        <v>39</v>
      </c>
      <c r="J340" s="14" t="s">
        <v>52</v>
      </c>
      <c r="K340" s="14" t="s">
        <v>41</v>
      </c>
      <c r="L340" s="14" t="s">
        <v>42</v>
      </c>
      <c r="M340" s="14" t="s">
        <v>43</v>
      </c>
      <c r="N340" s="14"/>
      <c r="O340" s="14"/>
      <c r="P340" s="14"/>
      <c r="Q340" s="14" t="s">
        <v>141</v>
      </c>
      <c r="R340" s="13">
        <f>HYPERLINK("https://app.hubspot.com/contacts/8748051/record/0-2/29996857005", 29996857005)</f>
        <v>29996857005</v>
      </c>
      <c r="S340" s="14" t="s">
        <v>1267</v>
      </c>
      <c r="T340" s="18" t="s">
        <v>1268</v>
      </c>
      <c r="U340" s="14" t="s">
        <v>46</v>
      </c>
      <c r="V340" s="15"/>
      <c r="W340" s="19">
        <v>3596.0</v>
      </c>
      <c r="X340" s="19">
        <v>156.0</v>
      </c>
      <c r="Y340" s="20" t="s">
        <v>596</v>
      </c>
      <c r="Z340" s="20"/>
      <c r="AA340" s="20"/>
      <c r="AB340" s="21"/>
      <c r="AC340" s="20"/>
      <c r="AD340" s="20"/>
      <c r="AE340" s="20"/>
      <c r="AF340" s="17" t="str">
        <f t="shared" si="1"/>
        <v>New Logo</v>
      </c>
      <c r="AG340" s="17" t="str">
        <f t="shared" si="2"/>
        <v>Lead</v>
      </c>
      <c r="AH340" s="17" t="str">
        <f t="shared" si="3"/>
        <v>1001-5000</v>
      </c>
      <c r="AI340" s="17" t="str">
        <f t="shared" si="4"/>
        <v>101-500</v>
      </c>
    </row>
    <row r="341" ht="15.75" customHeight="1">
      <c r="A341" s="13">
        <f>HYPERLINK("https://app.hubspot.com/contacts/8748051/record/0-3/33896691775", 33896691775)</f>
        <v>33896691775</v>
      </c>
      <c r="B341" s="14" t="s">
        <v>1269</v>
      </c>
      <c r="C341" s="14" t="s">
        <v>37</v>
      </c>
      <c r="D341" s="15">
        <v>11000.0</v>
      </c>
      <c r="E341" s="14" t="s">
        <v>118</v>
      </c>
      <c r="F341" s="14"/>
      <c r="G341" s="16">
        <v>45712.563206018516</v>
      </c>
      <c r="H341" s="16">
        <v>45892.56314814815</v>
      </c>
      <c r="I341" s="14" t="s">
        <v>39</v>
      </c>
      <c r="J341" s="14" t="s">
        <v>40</v>
      </c>
      <c r="K341" s="14" t="s">
        <v>41</v>
      </c>
      <c r="L341" s="14" t="s">
        <v>42</v>
      </c>
      <c r="M341" s="14" t="s">
        <v>43</v>
      </c>
      <c r="N341" s="14"/>
      <c r="O341" s="17"/>
      <c r="P341" s="14" t="s">
        <v>211</v>
      </c>
      <c r="Q341" s="14"/>
      <c r="R341" s="13">
        <f>HYPERLINK("https://app.hubspot.com/contacts/8748051/record/0-2/18382738048", 18382738048)</f>
        <v>18382738048</v>
      </c>
      <c r="S341" s="14" t="s">
        <v>1270</v>
      </c>
      <c r="T341" s="18" t="s">
        <v>1271</v>
      </c>
      <c r="U341" s="14" t="s">
        <v>46</v>
      </c>
      <c r="V341" s="15"/>
      <c r="W341" s="19">
        <v>349.0</v>
      </c>
      <c r="X341" s="19">
        <v>25.0</v>
      </c>
      <c r="Y341" s="20" t="s">
        <v>104</v>
      </c>
      <c r="Z341" s="20"/>
      <c r="AA341" s="21"/>
      <c r="AB341" s="20"/>
      <c r="AC341" s="20"/>
      <c r="AD341" s="20"/>
      <c r="AE341" s="20"/>
      <c r="AF341" s="17" t="str">
        <f t="shared" si="1"/>
        <v>New Logo</v>
      </c>
      <c r="AG341" s="17" t="str">
        <f t="shared" si="2"/>
        <v>Lead</v>
      </c>
      <c r="AH341" s="17" t="str">
        <f t="shared" si="3"/>
        <v>201-500</v>
      </c>
      <c r="AI341" s="17" t="str">
        <f t="shared" si="4"/>
        <v>21-50</v>
      </c>
    </row>
    <row r="342" ht="15.75" customHeight="1">
      <c r="A342" s="13">
        <f>HYPERLINK("https://app.hubspot.com/contacts/8748051/record/0-3/33841659748", 33841659748)</f>
        <v>33841659748</v>
      </c>
      <c r="B342" s="14" t="s">
        <v>1272</v>
      </c>
      <c r="C342" s="14" t="s">
        <v>49</v>
      </c>
      <c r="D342" s="15">
        <v>10000.0</v>
      </c>
      <c r="E342" s="14" t="s">
        <v>124</v>
      </c>
      <c r="F342" s="14"/>
      <c r="G342" s="16">
        <v>45709.67251157408</v>
      </c>
      <c r="H342" s="16">
        <v>45890.71262731482</v>
      </c>
      <c r="I342" s="14" t="s">
        <v>39</v>
      </c>
      <c r="J342" s="14" t="s">
        <v>40</v>
      </c>
      <c r="K342" s="14" t="s">
        <v>59</v>
      </c>
      <c r="L342" s="14" t="s">
        <v>448</v>
      </c>
      <c r="M342" s="14" t="s">
        <v>43</v>
      </c>
      <c r="N342" s="17"/>
      <c r="O342" s="14"/>
      <c r="P342" s="14"/>
      <c r="Q342" s="14" t="s">
        <v>244</v>
      </c>
      <c r="R342" s="13">
        <f>HYPERLINK("https://app.hubspot.com/contacts/8748051/record/0-2/19176609119", 19176609119)</f>
        <v>19176609119</v>
      </c>
      <c r="S342" s="14" t="s">
        <v>1273</v>
      </c>
      <c r="T342" s="18" t="s">
        <v>1274</v>
      </c>
      <c r="U342" s="14" t="s">
        <v>46</v>
      </c>
      <c r="V342" s="22"/>
      <c r="W342" s="19">
        <v>91.0</v>
      </c>
      <c r="X342" s="19">
        <v>8.0</v>
      </c>
      <c r="Y342" s="20"/>
      <c r="Z342" s="21"/>
      <c r="AA342" s="21"/>
      <c r="AB342" s="21"/>
      <c r="AC342" s="21"/>
      <c r="AD342" s="21"/>
      <c r="AE342" s="21"/>
      <c r="AF342" s="17" t="str">
        <f t="shared" si="1"/>
        <v>New Logo</v>
      </c>
      <c r="AG342" s="17" t="str">
        <f t="shared" si="2"/>
        <v>Lead</v>
      </c>
      <c r="AH342" s="17" t="str">
        <f t="shared" si="3"/>
        <v>0-200</v>
      </c>
      <c r="AI342" s="17" t="str">
        <f t="shared" si="4"/>
        <v>0-20</v>
      </c>
    </row>
    <row r="343" ht="15.75" customHeight="1">
      <c r="A343" s="13">
        <f>HYPERLINK("https://app.hubspot.com/contacts/8748051/record/0-3/33821373109", 33821373109)</f>
        <v>33821373109</v>
      </c>
      <c r="B343" s="14" t="s">
        <v>1275</v>
      </c>
      <c r="C343" s="14" t="s">
        <v>37</v>
      </c>
      <c r="D343" s="15">
        <v>11000.0</v>
      </c>
      <c r="E343" s="14" t="s">
        <v>118</v>
      </c>
      <c r="F343" s="14"/>
      <c r="G343" s="16">
        <v>45709.60717592593</v>
      </c>
      <c r="H343" s="16">
        <v>45889.607152777775</v>
      </c>
      <c r="I343" s="14" t="s">
        <v>39</v>
      </c>
      <c r="J343" s="14" t="s">
        <v>40</v>
      </c>
      <c r="K343" s="14" t="s">
        <v>41</v>
      </c>
      <c r="L343" s="14" t="s">
        <v>42</v>
      </c>
      <c r="M343" s="14" t="s">
        <v>43</v>
      </c>
      <c r="N343" s="14"/>
      <c r="O343" s="14"/>
      <c r="P343" s="14" t="s">
        <v>260</v>
      </c>
      <c r="Q343" s="14"/>
      <c r="R343" s="13">
        <f>HYPERLINK("https://app.hubspot.com/contacts/8748051/record/0-2/8396005127", 8396005127)</f>
        <v>8396005127</v>
      </c>
      <c r="S343" s="14" t="s">
        <v>601</v>
      </c>
      <c r="T343" s="18" t="s">
        <v>602</v>
      </c>
      <c r="U343" s="14" t="s">
        <v>46</v>
      </c>
      <c r="V343" s="15"/>
      <c r="W343" s="19">
        <v>126.0</v>
      </c>
      <c r="X343" s="19">
        <v>19.0</v>
      </c>
      <c r="Y343" s="20"/>
      <c r="Z343" s="20"/>
      <c r="AA343" s="21"/>
      <c r="AB343" s="20"/>
      <c r="AC343" s="20"/>
      <c r="AD343" s="20"/>
      <c r="AE343" s="20"/>
      <c r="AF343" s="17" t="str">
        <f t="shared" si="1"/>
        <v>New Logo</v>
      </c>
      <c r="AG343" s="17" t="str">
        <f t="shared" si="2"/>
        <v>Lead</v>
      </c>
      <c r="AH343" s="17" t="str">
        <f t="shared" si="3"/>
        <v>0-200</v>
      </c>
      <c r="AI343" s="17" t="str">
        <f t="shared" si="4"/>
        <v>0-20</v>
      </c>
    </row>
    <row r="344" ht="15.75" customHeight="1">
      <c r="A344" s="13">
        <f>HYPERLINK("https://app.hubspot.com/contacts/8748051/record/0-3/33780957847", 33780957847)</f>
        <v>33780957847</v>
      </c>
      <c r="B344" s="14" t="s">
        <v>1276</v>
      </c>
      <c r="C344" s="14" t="s">
        <v>1008</v>
      </c>
      <c r="D344" s="15">
        <v>1500.0</v>
      </c>
      <c r="E344" s="14" t="s">
        <v>118</v>
      </c>
      <c r="F344" s="14"/>
      <c r="G344" s="16">
        <v>45708.58269675926</v>
      </c>
      <c r="H344" s="16">
        <v>45888.58268518518</v>
      </c>
      <c r="I344" s="14" t="s">
        <v>39</v>
      </c>
      <c r="J344" s="14" t="s">
        <v>40</v>
      </c>
      <c r="K344" s="14" t="s">
        <v>41</v>
      </c>
      <c r="L344" s="14" t="s">
        <v>42</v>
      </c>
      <c r="M344" s="14" t="s">
        <v>98</v>
      </c>
      <c r="N344" s="14"/>
      <c r="O344" s="17"/>
      <c r="P344" s="14" t="s">
        <v>232</v>
      </c>
      <c r="Q344" s="14"/>
      <c r="R344" s="13">
        <f>HYPERLINK("https://app.hubspot.com/contacts/8748051/record/0-2/30256444746", 30256444746)</f>
        <v>30256444746</v>
      </c>
      <c r="S344" s="14" t="s">
        <v>1277</v>
      </c>
      <c r="T344" s="18" t="s">
        <v>1278</v>
      </c>
      <c r="U344" s="14" t="s">
        <v>46</v>
      </c>
      <c r="V344" s="15"/>
      <c r="W344" s="19">
        <v>41.0</v>
      </c>
      <c r="X344" s="19">
        <v>3.0</v>
      </c>
      <c r="Y344" s="20"/>
      <c r="Z344" s="20"/>
      <c r="AA344" s="21"/>
      <c r="AB344" s="20"/>
      <c r="AC344" s="20"/>
      <c r="AD344" s="20"/>
      <c r="AE344" s="20"/>
      <c r="AF344" s="17" t="str">
        <f t="shared" si="1"/>
        <v>New Logo</v>
      </c>
      <c r="AG344" s="17" t="str">
        <f t="shared" si="2"/>
        <v>Lead</v>
      </c>
      <c r="AH344" s="17" t="str">
        <f t="shared" si="3"/>
        <v>0-200</v>
      </c>
      <c r="AI344" s="17" t="str">
        <f t="shared" si="4"/>
        <v>0-20</v>
      </c>
    </row>
    <row r="345" ht="15.75" customHeight="1">
      <c r="A345" s="13">
        <f>HYPERLINK("https://app.hubspot.com/contacts/8748051/record/0-3/33463528074", 33463528074)</f>
        <v>33463528074</v>
      </c>
      <c r="B345" s="14" t="s">
        <v>1279</v>
      </c>
      <c r="C345" s="14" t="s">
        <v>145</v>
      </c>
      <c r="D345" s="15">
        <v>20500.0</v>
      </c>
      <c r="E345" s="14" t="s">
        <v>89</v>
      </c>
      <c r="F345" s="14" t="s">
        <v>51</v>
      </c>
      <c r="G345" s="16">
        <v>45701.94534722222</v>
      </c>
      <c r="H345" s="16">
        <v>45747.357627314814</v>
      </c>
      <c r="I345" s="14" t="s">
        <v>39</v>
      </c>
      <c r="J345" s="14" t="s">
        <v>40</v>
      </c>
      <c r="K345" s="14" t="s">
        <v>41</v>
      </c>
      <c r="L345" s="14" t="s">
        <v>42</v>
      </c>
      <c r="M345" s="14" t="s">
        <v>43</v>
      </c>
      <c r="N345" s="14" t="s">
        <v>1280</v>
      </c>
      <c r="O345" s="17"/>
      <c r="P345" s="14"/>
      <c r="Q345" s="14"/>
      <c r="R345" s="13">
        <f>HYPERLINK("https://app.hubspot.com/contacts/8748051/record/0-2/29950293363", 29950293363)</f>
        <v>29950293363</v>
      </c>
      <c r="S345" s="14" t="s">
        <v>1281</v>
      </c>
      <c r="T345" s="18" t="s">
        <v>1282</v>
      </c>
      <c r="U345" s="14" t="s">
        <v>93</v>
      </c>
      <c r="V345" s="15">
        <v>20500.0</v>
      </c>
      <c r="W345" s="19">
        <v>120.0</v>
      </c>
      <c r="X345" s="19">
        <v>13.0</v>
      </c>
      <c r="Y345" s="20"/>
      <c r="Z345" s="20" t="s">
        <v>184</v>
      </c>
      <c r="AA345" s="21"/>
      <c r="AB345" s="20" t="s">
        <v>460</v>
      </c>
      <c r="AC345" s="20" t="s">
        <v>229</v>
      </c>
      <c r="AD345" s="20" t="s">
        <v>1283</v>
      </c>
      <c r="AE345" s="20" t="s">
        <v>186</v>
      </c>
      <c r="AF345" s="17" t="str">
        <f t="shared" si="1"/>
        <v>New Logo</v>
      </c>
      <c r="AG345" s="17" t="str">
        <f t="shared" si="2"/>
        <v>Customer</v>
      </c>
      <c r="AH345" s="17" t="str">
        <f t="shared" si="3"/>
        <v>0-200</v>
      </c>
      <c r="AI345" s="17" t="str">
        <f t="shared" si="4"/>
        <v>0-20</v>
      </c>
    </row>
    <row r="346" ht="15.75" customHeight="1">
      <c r="A346" s="13">
        <f>HYPERLINK("https://app.hubspot.com/contacts/8748051/record/0-3/33451142788", 33451142788)</f>
        <v>33451142788</v>
      </c>
      <c r="B346" s="14" t="s">
        <v>1284</v>
      </c>
      <c r="C346" s="14" t="s">
        <v>37</v>
      </c>
      <c r="D346" s="15">
        <v>100000.0</v>
      </c>
      <c r="E346" s="14" t="s">
        <v>118</v>
      </c>
      <c r="F346" s="14"/>
      <c r="G346" s="16">
        <v>45701.53113425926</v>
      </c>
      <c r="H346" s="16">
        <v>45881.53111111111</v>
      </c>
      <c r="I346" s="14" t="s">
        <v>39</v>
      </c>
      <c r="J346" s="14" t="s">
        <v>52</v>
      </c>
      <c r="K346" s="14" t="s">
        <v>59</v>
      </c>
      <c r="L346" s="14" t="s">
        <v>60</v>
      </c>
      <c r="M346" s="14" t="s">
        <v>43</v>
      </c>
      <c r="N346" s="14"/>
      <c r="O346" s="14"/>
      <c r="P346" s="14" t="s">
        <v>119</v>
      </c>
      <c r="Q346" s="14"/>
      <c r="R346" s="13">
        <f>HYPERLINK("https://app.hubspot.com/contacts/8748051/record/0-2/9173350301", 9173350301)</f>
        <v>9173350301</v>
      </c>
      <c r="S346" s="14" t="s">
        <v>1285</v>
      </c>
      <c r="T346" s="18" t="s">
        <v>1286</v>
      </c>
      <c r="U346" s="14" t="s">
        <v>46</v>
      </c>
      <c r="V346" s="15"/>
      <c r="W346" s="19">
        <v>1065.0</v>
      </c>
      <c r="X346" s="19">
        <v>93.0</v>
      </c>
      <c r="Y346" s="20" t="s">
        <v>104</v>
      </c>
      <c r="Z346" s="20"/>
      <c r="AA346" s="21"/>
      <c r="AB346" s="21"/>
      <c r="AC346" s="20"/>
      <c r="AD346" s="20"/>
      <c r="AE346" s="20"/>
      <c r="AF346" s="17" t="str">
        <f t="shared" si="1"/>
        <v>New Logo</v>
      </c>
      <c r="AG346" s="17" t="str">
        <f t="shared" si="2"/>
        <v>Lead</v>
      </c>
      <c r="AH346" s="17" t="str">
        <f t="shared" si="3"/>
        <v>1001-5000</v>
      </c>
      <c r="AI346" s="17" t="str">
        <f t="shared" si="4"/>
        <v>51-100</v>
      </c>
    </row>
    <row r="347" ht="15.75" customHeight="1">
      <c r="A347" s="13">
        <f>HYPERLINK("https://app.hubspot.com/contacts/8748051/record/0-3/33359115101", 33359115101)</f>
        <v>33359115101</v>
      </c>
      <c r="B347" s="14" t="s">
        <v>1287</v>
      </c>
      <c r="C347" s="14" t="s">
        <v>145</v>
      </c>
      <c r="D347" s="15">
        <v>4160.0</v>
      </c>
      <c r="E347" s="14" t="s">
        <v>89</v>
      </c>
      <c r="F347" s="14"/>
      <c r="G347" s="16">
        <v>45699.73758101852</v>
      </c>
      <c r="H347" s="16">
        <v>45699.73762731482</v>
      </c>
      <c r="I347" s="14" t="s">
        <v>39</v>
      </c>
      <c r="J347" s="14" t="s">
        <v>179</v>
      </c>
      <c r="K347" s="14" t="s">
        <v>158</v>
      </c>
      <c r="L347" s="14" t="s">
        <v>159</v>
      </c>
      <c r="M347" s="14" t="s">
        <v>43</v>
      </c>
      <c r="N347" s="14" t="s">
        <v>1288</v>
      </c>
      <c r="O347" s="14"/>
      <c r="P347" s="14"/>
      <c r="Q347" s="14"/>
      <c r="R347" s="13">
        <f>HYPERLINK("https://app.hubspot.com/contacts/8748051/record/0-2/10013265046", 10013265046)</f>
        <v>10013265046</v>
      </c>
      <c r="S347" s="14" t="s">
        <v>470</v>
      </c>
      <c r="T347" s="18" t="s">
        <v>471</v>
      </c>
      <c r="U347" s="14" t="s">
        <v>93</v>
      </c>
      <c r="V347" s="15">
        <v>40000.0</v>
      </c>
      <c r="W347" s="19">
        <v>588.0</v>
      </c>
      <c r="X347" s="19">
        <v>142.0</v>
      </c>
      <c r="Y347" s="20"/>
      <c r="Z347" s="20" t="s">
        <v>218</v>
      </c>
      <c r="AA347" s="21"/>
      <c r="AB347" s="21"/>
      <c r="AC347" s="20" t="s">
        <v>472</v>
      </c>
      <c r="AD347" s="20" t="s">
        <v>473</v>
      </c>
      <c r="AE347" s="20" t="s">
        <v>166</v>
      </c>
      <c r="AF347" s="17" t="str">
        <f t="shared" si="1"/>
        <v>Upsell</v>
      </c>
      <c r="AG347" s="17" t="str">
        <f t="shared" si="2"/>
        <v>Customer</v>
      </c>
      <c r="AH347" s="17" t="str">
        <f t="shared" si="3"/>
        <v>501-1000</v>
      </c>
      <c r="AI347" s="17" t="str">
        <f t="shared" si="4"/>
        <v>101-500</v>
      </c>
    </row>
    <row r="348" ht="15.75" customHeight="1">
      <c r="A348" s="13">
        <f>HYPERLINK("https://app.hubspot.com/contacts/8748051/record/0-3/33278885182", 33278885182)</f>
        <v>33278885182</v>
      </c>
      <c r="B348" s="14" t="s">
        <v>1289</v>
      </c>
      <c r="C348" s="14" t="s">
        <v>49</v>
      </c>
      <c r="D348" s="15">
        <v>50000.0</v>
      </c>
      <c r="E348" s="14" t="s">
        <v>118</v>
      </c>
      <c r="F348" s="14"/>
      <c r="G348" s="16">
        <v>45698.52605324074</v>
      </c>
      <c r="H348" s="16">
        <v>45879.0</v>
      </c>
      <c r="I348" s="14" t="s">
        <v>39</v>
      </c>
      <c r="J348" s="14" t="s">
        <v>40</v>
      </c>
      <c r="K348" s="14" t="s">
        <v>59</v>
      </c>
      <c r="L348" s="14" t="s">
        <v>180</v>
      </c>
      <c r="M348" s="14" t="s">
        <v>43</v>
      </c>
      <c r="N348" s="14"/>
      <c r="O348" s="14"/>
      <c r="P348" s="14" t="s">
        <v>119</v>
      </c>
      <c r="Q348" s="14"/>
      <c r="R348" s="13">
        <f>HYPERLINK("https://app.hubspot.com/contacts/8748051/record/0-2/7961026681", 7961026681)</f>
        <v>7961026681</v>
      </c>
      <c r="S348" s="14" t="s">
        <v>1290</v>
      </c>
      <c r="T348" s="18" t="s">
        <v>1291</v>
      </c>
      <c r="U348" s="14" t="s">
        <v>46</v>
      </c>
      <c r="V348" s="15"/>
      <c r="W348" s="19">
        <v>810.0</v>
      </c>
      <c r="X348" s="19">
        <v>182.0</v>
      </c>
      <c r="Y348" s="20" t="s">
        <v>78</v>
      </c>
      <c r="Z348" s="20"/>
      <c r="AA348" s="21"/>
      <c r="AB348" s="21"/>
      <c r="AC348" s="20"/>
      <c r="AD348" s="21"/>
      <c r="AE348" s="20"/>
      <c r="AF348" s="17" t="str">
        <f t="shared" si="1"/>
        <v>New Logo</v>
      </c>
      <c r="AG348" s="17" t="str">
        <f t="shared" si="2"/>
        <v>Lead</v>
      </c>
      <c r="AH348" s="17" t="str">
        <f t="shared" si="3"/>
        <v>501-1000</v>
      </c>
      <c r="AI348" s="17" t="str">
        <f t="shared" si="4"/>
        <v>101-500</v>
      </c>
    </row>
    <row r="349" ht="15.75" customHeight="1">
      <c r="A349" s="13">
        <f>HYPERLINK("https://app.hubspot.com/contacts/8748051/record/0-3/33269703723", 33269703723)</f>
        <v>33269703723</v>
      </c>
      <c r="B349" s="14" t="s">
        <v>1292</v>
      </c>
      <c r="C349" s="14" t="s">
        <v>49</v>
      </c>
      <c r="D349" s="15">
        <v>10000.0</v>
      </c>
      <c r="E349" s="14" t="s">
        <v>146</v>
      </c>
      <c r="F349" s="14" t="s">
        <v>51</v>
      </c>
      <c r="G349" s="16">
        <v>45698.4287962963</v>
      </c>
      <c r="H349" s="16">
        <v>45878.84670138889</v>
      </c>
      <c r="I349" s="14" t="s">
        <v>39</v>
      </c>
      <c r="J349" s="14" t="s">
        <v>40</v>
      </c>
      <c r="K349" s="14" t="s">
        <v>41</v>
      </c>
      <c r="L349" s="14" t="s">
        <v>42</v>
      </c>
      <c r="M349" s="14" t="s">
        <v>43</v>
      </c>
      <c r="N349" s="14"/>
      <c r="O349" s="14" t="s">
        <v>1293</v>
      </c>
      <c r="P349" s="14"/>
      <c r="Q349" s="14"/>
      <c r="R349" s="13">
        <f>HYPERLINK("https://app.hubspot.com/contacts/8748051/record/0-2/7823678361", 7823678361)</f>
        <v>7823678361</v>
      </c>
      <c r="S349" s="14" t="s">
        <v>1294</v>
      </c>
      <c r="T349" s="18" t="s">
        <v>1295</v>
      </c>
      <c r="U349" s="14" t="s">
        <v>46</v>
      </c>
      <c r="V349" s="15"/>
      <c r="W349" s="19">
        <v>621.0</v>
      </c>
      <c r="X349" s="19">
        <v>127.0</v>
      </c>
      <c r="Y349" s="20" t="s">
        <v>70</v>
      </c>
      <c r="Z349" s="20"/>
      <c r="AA349" s="20"/>
      <c r="AB349" s="20"/>
      <c r="AC349" s="20"/>
      <c r="AD349" s="20"/>
      <c r="AE349" s="20"/>
      <c r="AF349" s="17" t="str">
        <f t="shared" si="1"/>
        <v>New Logo</v>
      </c>
      <c r="AG349" s="17" t="str">
        <f t="shared" si="2"/>
        <v>Lead</v>
      </c>
      <c r="AH349" s="17" t="str">
        <f t="shared" si="3"/>
        <v>501-1000</v>
      </c>
      <c r="AI349" s="17" t="str">
        <f t="shared" si="4"/>
        <v>101-500</v>
      </c>
    </row>
    <row r="350" ht="15.75" customHeight="1">
      <c r="A350" s="13">
        <f>HYPERLINK("https://app.hubspot.com/contacts/8748051/record/0-3/33268460088", 33268460088)</f>
        <v>33268460088</v>
      </c>
      <c r="B350" s="14" t="s">
        <v>1296</v>
      </c>
      <c r="C350" s="14" t="s">
        <v>1008</v>
      </c>
      <c r="D350" s="15">
        <v>2500.0</v>
      </c>
      <c r="E350" s="14" t="s">
        <v>118</v>
      </c>
      <c r="F350" s="14"/>
      <c r="G350" s="16">
        <v>45698.36241898148</v>
      </c>
      <c r="H350" s="16">
        <v>45878.36240740741</v>
      </c>
      <c r="I350" s="14" t="s">
        <v>39</v>
      </c>
      <c r="J350" s="14" t="s">
        <v>40</v>
      </c>
      <c r="K350" s="14"/>
      <c r="L350" s="14" t="s">
        <v>448</v>
      </c>
      <c r="M350" s="14" t="s">
        <v>43</v>
      </c>
      <c r="N350" s="14"/>
      <c r="O350" s="17"/>
      <c r="P350" s="14" t="s">
        <v>260</v>
      </c>
      <c r="Q350" s="14"/>
      <c r="R350" s="13">
        <f>HYPERLINK("https://app.hubspot.com/contacts/8748051/record/0-2/29748501653", 29748501653)</f>
        <v>29748501653</v>
      </c>
      <c r="S350" s="14" t="s">
        <v>1297</v>
      </c>
      <c r="T350" s="18" t="s">
        <v>1298</v>
      </c>
      <c r="U350" s="14" t="s">
        <v>46</v>
      </c>
      <c r="V350" s="15"/>
      <c r="W350" s="19">
        <v>76.0</v>
      </c>
      <c r="X350" s="19">
        <v>5.0</v>
      </c>
      <c r="Y350" s="20"/>
      <c r="Z350" s="20"/>
      <c r="AA350" s="21"/>
      <c r="AB350" s="20"/>
      <c r="AC350" s="20"/>
      <c r="AD350" s="20"/>
      <c r="AE350" s="20"/>
      <c r="AF350" s="17" t="str">
        <f t="shared" si="1"/>
        <v>New Logo</v>
      </c>
      <c r="AG350" s="17" t="str">
        <f t="shared" si="2"/>
        <v>Lead</v>
      </c>
      <c r="AH350" s="17" t="str">
        <f t="shared" si="3"/>
        <v>0-200</v>
      </c>
      <c r="AI350" s="17" t="str">
        <f t="shared" si="4"/>
        <v>0-20</v>
      </c>
    </row>
    <row r="351" ht="15.75" customHeight="1">
      <c r="A351" s="13">
        <f>HYPERLINK("https://app.hubspot.com/contacts/8748051/record/0-3/33169400227", 33169400227)</f>
        <v>33169400227</v>
      </c>
      <c r="B351" s="14" t="s">
        <v>1299</v>
      </c>
      <c r="C351" s="14" t="s">
        <v>49</v>
      </c>
      <c r="D351" s="15">
        <v>10000.0</v>
      </c>
      <c r="E351" s="14" t="s">
        <v>124</v>
      </c>
      <c r="F351" s="14"/>
      <c r="G351" s="16">
        <v>45695.426840277774</v>
      </c>
      <c r="H351" s="16">
        <v>45875.426828703705</v>
      </c>
      <c r="I351" s="14" t="s">
        <v>39</v>
      </c>
      <c r="J351" s="14" t="s">
        <v>40</v>
      </c>
      <c r="K351" s="14" t="s">
        <v>41</v>
      </c>
      <c r="L351" s="14" t="s">
        <v>42</v>
      </c>
      <c r="M351" s="14" t="s">
        <v>43</v>
      </c>
      <c r="N351" s="14"/>
      <c r="O351" s="14"/>
      <c r="P351" s="14"/>
      <c r="Q351" s="14" t="s">
        <v>400</v>
      </c>
      <c r="R351" s="13">
        <f>HYPERLINK("https://app.hubspot.com/contacts/8748051/record/0-2/10198128792", 10198128792)</f>
        <v>10198128792</v>
      </c>
      <c r="S351" s="14" t="s">
        <v>1300</v>
      </c>
      <c r="T351" s="18" t="s">
        <v>1301</v>
      </c>
      <c r="U351" s="14" t="s">
        <v>46</v>
      </c>
      <c r="V351" s="15"/>
      <c r="W351" s="19">
        <v>1461.0</v>
      </c>
      <c r="X351" s="19">
        <v>338.0</v>
      </c>
      <c r="Y351" s="20" t="s">
        <v>545</v>
      </c>
      <c r="Z351" s="20"/>
      <c r="AA351" s="20"/>
      <c r="AB351" s="21"/>
      <c r="AC351" s="20"/>
      <c r="AD351" s="20"/>
      <c r="AE351" s="20"/>
      <c r="AF351" s="17" t="str">
        <f t="shared" si="1"/>
        <v>New Logo</v>
      </c>
      <c r="AG351" s="17" t="str">
        <f t="shared" si="2"/>
        <v>Lead</v>
      </c>
      <c r="AH351" s="17" t="str">
        <f t="shared" si="3"/>
        <v>1001-5000</v>
      </c>
      <c r="AI351" s="17" t="str">
        <f t="shared" si="4"/>
        <v>101-500</v>
      </c>
    </row>
    <row r="352" ht="15.75" customHeight="1">
      <c r="A352" s="13">
        <f>HYPERLINK("https://app.hubspot.com/contacts/8748051/record/0-3/38310302480", 38310302480)</f>
        <v>38310302480</v>
      </c>
      <c r="B352" s="14" t="s">
        <v>1302</v>
      </c>
      <c r="C352" s="14" t="s">
        <v>145</v>
      </c>
      <c r="D352" s="15">
        <v>15000.0</v>
      </c>
      <c r="E352" s="14" t="s">
        <v>124</v>
      </c>
      <c r="F352" s="14" t="s">
        <v>51</v>
      </c>
      <c r="G352" s="16">
        <v>45693.669375</v>
      </c>
      <c r="H352" s="16">
        <v>45953.33903935185</v>
      </c>
      <c r="I352" s="14" t="s">
        <v>39</v>
      </c>
      <c r="J352" s="14" t="s">
        <v>40</v>
      </c>
      <c r="K352" s="14" t="s">
        <v>41</v>
      </c>
      <c r="L352" s="14" t="s">
        <v>42</v>
      </c>
      <c r="M352" s="14" t="s">
        <v>72</v>
      </c>
      <c r="N352" s="17"/>
      <c r="O352" s="14"/>
      <c r="P352" s="14" t="s">
        <v>232</v>
      </c>
      <c r="Q352" s="14" t="s">
        <v>502</v>
      </c>
      <c r="R352" s="13">
        <f>HYPERLINK("https://app.hubspot.com/contacts/8748051/record/0-2/29645372728", 29645372728)</f>
        <v>29645372728</v>
      </c>
      <c r="S352" s="14" t="s">
        <v>1303</v>
      </c>
      <c r="T352" s="18" t="s">
        <v>1304</v>
      </c>
      <c r="U352" s="14" t="s">
        <v>46</v>
      </c>
      <c r="V352" s="15"/>
      <c r="W352" s="19">
        <v>259.0</v>
      </c>
      <c r="X352" s="19">
        <v>35.0</v>
      </c>
      <c r="Y352" s="20"/>
      <c r="Z352" s="20"/>
      <c r="AA352" s="21"/>
      <c r="AB352" s="20"/>
      <c r="AC352" s="20"/>
      <c r="AD352" s="20"/>
      <c r="AE352" s="20"/>
      <c r="AF352" s="17" t="str">
        <f t="shared" si="1"/>
        <v>New Logo</v>
      </c>
      <c r="AG352" s="17" t="str">
        <f t="shared" si="2"/>
        <v>Lead</v>
      </c>
      <c r="AH352" s="17" t="str">
        <f t="shared" si="3"/>
        <v>201-500</v>
      </c>
      <c r="AI352" s="17" t="str">
        <f t="shared" si="4"/>
        <v>21-50</v>
      </c>
    </row>
    <row r="353" ht="15.75" customHeight="1">
      <c r="A353" s="13">
        <f>HYPERLINK("https://app.hubspot.com/contacts/8748051/record/0-3/33122383288", 33122383288)</f>
        <v>33122383288</v>
      </c>
      <c r="B353" s="14" t="s">
        <v>1305</v>
      </c>
      <c r="C353" s="14" t="s">
        <v>49</v>
      </c>
      <c r="D353" s="15">
        <v>6000.0</v>
      </c>
      <c r="E353" s="14" t="s">
        <v>118</v>
      </c>
      <c r="F353" s="14"/>
      <c r="G353" s="16">
        <v>45693.476689814815</v>
      </c>
      <c r="H353" s="16">
        <v>45930.492638888885</v>
      </c>
      <c r="I353" s="14" t="s">
        <v>39</v>
      </c>
      <c r="J353" s="14" t="s">
        <v>40</v>
      </c>
      <c r="K353" s="14" t="s">
        <v>41</v>
      </c>
      <c r="L353" s="14" t="s">
        <v>42</v>
      </c>
      <c r="M353" s="14" t="s">
        <v>43</v>
      </c>
      <c r="N353" s="17"/>
      <c r="O353" s="14"/>
      <c r="P353" s="14" t="s">
        <v>119</v>
      </c>
      <c r="Q353" s="14" t="s">
        <v>125</v>
      </c>
      <c r="R353" s="13">
        <f>HYPERLINK("https://app.hubspot.com/contacts/8748051/record/0-2/29633882961", 29633882961)</f>
        <v>29633882961</v>
      </c>
      <c r="S353" s="14" t="s">
        <v>1306</v>
      </c>
      <c r="T353" s="18" t="s">
        <v>1307</v>
      </c>
      <c r="U353" s="14" t="s">
        <v>46</v>
      </c>
      <c r="V353" s="15"/>
      <c r="W353" s="19">
        <v>181.0</v>
      </c>
      <c r="X353" s="19">
        <v>12.0</v>
      </c>
      <c r="Y353" s="20"/>
      <c r="Z353" s="20"/>
      <c r="AA353" s="20"/>
      <c r="AB353" s="21"/>
      <c r="AC353" s="20"/>
      <c r="AD353" s="20"/>
      <c r="AE353" s="20"/>
      <c r="AF353" s="17" t="str">
        <f t="shared" si="1"/>
        <v>New Logo</v>
      </c>
      <c r="AG353" s="17" t="str">
        <f t="shared" si="2"/>
        <v>Lead</v>
      </c>
      <c r="AH353" s="17" t="str">
        <f t="shared" si="3"/>
        <v>0-200</v>
      </c>
      <c r="AI353" s="17" t="str">
        <f t="shared" si="4"/>
        <v>0-20</v>
      </c>
    </row>
    <row r="354" ht="15.75" customHeight="1">
      <c r="A354" s="13">
        <f>HYPERLINK("https://app.hubspot.com/contacts/8748051/record/0-3/32952248417", 32952248417)</f>
        <v>32952248417</v>
      </c>
      <c r="B354" s="14" t="s">
        <v>1308</v>
      </c>
      <c r="C354" s="14" t="s">
        <v>49</v>
      </c>
      <c r="D354" s="15">
        <v>10000.0</v>
      </c>
      <c r="E354" s="14" t="s">
        <v>124</v>
      </c>
      <c r="F354" s="14" t="s">
        <v>51</v>
      </c>
      <c r="G354" s="16">
        <v>45691.52923611111</v>
      </c>
      <c r="H354" s="16">
        <v>45838.83614583333</v>
      </c>
      <c r="I354" s="14" t="s">
        <v>39</v>
      </c>
      <c r="J354" s="14" t="s">
        <v>40</v>
      </c>
      <c r="K354" s="14" t="s">
        <v>41</v>
      </c>
      <c r="L354" s="14" t="s">
        <v>42</v>
      </c>
      <c r="M354" s="14" t="s">
        <v>43</v>
      </c>
      <c r="N354" s="14"/>
      <c r="O354" s="14"/>
      <c r="P354" s="14"/>
      <c r="Q354" s="14" t="s">
        <v>1309</v>
      </c>
      <c r="R354" s="13">
        <f>HYPERLINK("https://app.hubspot.com/contacts/8748051/record/0-2/29475679086", 29475679086)</f>
        <v>29475679086</v>
      </c>
      <c r="S354" s="14" t="s">
        <v>1310</v>
      </c>
      <c r="T354" s="18" t="s">
        <v>1311</v>
      </c>
      <c r="U354" s="14" t="s">
        <v>46</v>
      </c>
      <c r="V354" s="15"/>
      <c r="W354" s="19">
        <v>38.0</v>
      </c>
      <c r="X354" s="19">
        <v>20.0</v>
      </c>
      <c r="Y354" s="20"/>
      <c r="Z354" s="20"/>
      <c r="AA354" s="20"/>
      <c r="AB354" s="21"/>
      <c r="AC354" s="20"/>
      <c r="AD354" s="20"/>
      <c r="AE354" s="20"/>
      <c r="AF354" s="17" t="str">
        <f t="shared" si="1"/>
        <v>New Logo</v>
      </c>
      <c r="AG354" s="17" t="str">
        <f t="shared" si="2"/>
        <v>Lead</v>
      </c>
      <c r="AH354" s="17" t="str">
        <f t="shared" si="3"/>
        <v>0-200</v>
      </c>
      <c r="AI354" s="17" t="str">
        <f t="shared" si="4"/>
        <v>0-20</v>
      </c>
    </row>
    <row r="355" ht="15.75" customHeight="1">
      <c r="A355" s="13">
        <f>HYPERLINK("https://app.hubspot.com/contacts/8748051/record/0-3/32823792266", 32823792266)</f>
        <v>32823792266</v>
      </c>
      <c r="B355" s="14" t="s">
        <v>1312</v>
      </c>
      <c r="C355" s="14" t="s">
        <v>145</v>
      </c>
      <c r="D355" s="15">
        <v>25000.0</v>
      </c>
      <c r="E355" s="14" t="s">
        <v>146</v>
      </c>
      <c r="F355" s="14" t="s">
        <v>51</v>
      </c>
      <c r="G355" s="16">
        <v>45688.67024305555</v>
      </c>
      <c r="H355" s="16">
        <v>45733.139016203706</v>
      </c>
      <c r="I355" s="14" t="s">
        <v>39</v>
      </c>
      <c r="J355" s="14" t="s">
        <v>40</v>
      </c>
      <c r="K355" s="14" t="s">
        <v>41</v>
      </c>
      <c r="L355" s="14" t="s">
        <v>42</v>
      </c>
      <c r="M355" s="14" t="s">
        <v>43</v>
      </c>
      <c r="N355" s="14"/>
      <c r="O355" s="14" t="s">
        <v>1313</v>
      </c>
      <c r="P355" s="14"/>
      <c r="Q355" s="14"/>
      <c r="R355" s="13">
        <f>HYPERLINK("https://app.hubspot.com/contacts/8748051/record/0-2/7700474462", 7700474462)</f>
        <v>7700474462</v>
      </c>
      <c r="S355" s="14" t="s">
        <v>1314</v>
      </c>
      <c r="T355" s="18" t="s">
        <v>1315</v>
      </c>
      <c r="U355" s="14" t="s">
        <v>46</v>
      </c>
      <c r="V355" s="15"/>
      <c r="W355" s="19">
        <v>460.0</v>
      </c>
      <c r="X355" s="19">
        <v>19.0</v>
      </c>
      <c r="Y355" s="20" t="s">
        <v>63</v>
      </c>
      <c r="Z355" s="20"/>
      <c r="AA355" s="21"/>
      <c r="AB355" s="20"/>
      <c r="AC355" s="20"/>
      <c r="AD355" s="20"/>
      <c r="AE355" s="20"/>
      <c r="AF355" s="17" t="str">
        <f t="shared" si="1"/>
        <v>New Logo</v>
      </c>
      <c r="AG355" s="17" t="str">
        <f t="shared" si="2"/>
        <v>Lead</v>
      </c>
      <c r="AH355" s="17" t="str">
        <f t="shared" si="3"/>
        <v>201-500</v>
      </c>
      <c r="AI355" s="17" t="str">
        <f t="shared" si="4"/>
        <v>0-20</v>
      </c>
    </row>
    <row r="356" ht="15.75" customHeight="1">
      <c r="A356" s="13">
        <f>HYPERLINK("https://app.hubspot.com/contacts/8748051/record/0-3/32747013650", 32747013650)</f>
        <v>32747013650</v>
      </c>
      <c r="B356" s="14" t="s">
        <v>1316</v>
      </c>
      <c r="C356" s="14" t="s">
        <v>49</v>
      </c>
      <c r="D356" s="15">
        <v>63000.0</v>
      </c>
      <c r="E356" s="14" t="s">
        <v>118</v>
      </c>
      <c r="F356" s="14"/>
      <c r="G356" s="16">
        <v>45687.35824074074</v>
      </c>
      <c r="H356" s="16">
        <v>45867.35822916667</v>
      </c>
      <c r="I356" s="14" t="s">
        <v>39</v>
      </c>
      <c r="J356" s="14" t="s">
        <v>52</v>
      </c>
      <c r="K356" s="14" t="s">
        <v>41</v>
      </c>
      <c r="L356" s="14" t="s">
        <v>42</v>
      </c>
      <c r="M356" s="14" t="s">
        <v>43</v>
      </c>
      <c r="N356" s="14"/>
      <c r="O356" s="17"/>
      <c r="P356" s="14" t="s">
        <v>260</v>
      </c>
      <c r="Q356" s="14"/>
      <c r="R356" s="13">
        <f>HYPERLINK("https://app.hubspot.com/contacts/8748051/record/0-2/7291516720", 7291516720)</f>
        <v>7291516720</v>
      </c>
      <c r="S356" s="14" t="s">
        <v>1317</v>
      </c>
      <c r="T356" s="18" t="s">
        <v>1318</v>
      </c>
      <c r="U356" s="14" t="s">
        <v>46</v>
      </c>
      <c r="V356" s="15"/>
      <c r="W356" s="19">
        <v>662.0</v>
      </c>
      <c r="X356" s="19">
        <v>132.0</v>
      </c>
      <c r="Y356" s="20" t="s">
        <v>55</v>
      </c>
      <c r="Z356" s="20"/>
      <c r="AA356" s="20"/>
      <c r="AB356" s="21"/>
      <c r="AC356" s="20"/>
      <c r="AD356" s="20"/>
      <c r="AE356" s="20"/>
      <c r="AF356" s="17" t="str">
        <f t="shared" si="1"/>
        <v>New Logo</v>
      </c>
      <c r="AG356" s="17" t="str">
        <f t="shared" si="2"/>
        <v>Lead</v>
      </c>
      <c r="AH356" s="17" t="str">
        <f t="shared" si="3"/>
        <v>501-1000</v>
      </c>
      <c r="AI356" s="17" t="str">
        <f t="shared" si="4"/>
        <v>101-500</v>
      </c>
    </row>
    <row r="357" ht="15.75" customHeight="1">
      <c r="A357" s="13">
        <f>HYPERLINK("https://app.hubspot.com/contacts/8748051/record/0-3/32748891700", 32748891700)</f>
        <v>32748891700</v>
      </c>
      <c r="B357" s="14" t="s">
        <v>1319</v>
      </c>
      <c r="C357" s="14" t="s">
        <v>1008</v>
      </c>
      <c r="D357" s="15">
        <v>15000.0</v>
      </c>
      <c r="E357" s="14" t="s">
        <v>124</v>
      </c>
      <c r="F357" s="14" t="s">
        <v>51</v>
      </c>
      <c r="G357" s="16">
        <v>45686.772372685184</v>
      </c>
      <c r="H357" s="16">
        <v>45723.387395833335</v>
      </c>
      <c r="I357" s="14" t="s">
        <v>39</v>
      </c>
      <c r="J357" s="14" t="s">
        <v>40</v>
      </c>
      <c r="K357" s="14" t="s">
        <v>41</v>
      </c>
      <c r="L357" s="14" t="s">
        <v>42</v>
      </c>
      <c r="M357" s="14" t="s">
        <v>98</v>
      </c>
      <c r="N357" s="14"/>
      <c r="O357" s="14"/>
      <c r="P357" s="14"/>
      <c r="Q357" s="14" t="s">
        <v>502</v>
      </c>
      <c r="R357" s="13">
        <f>HYPERLINK("https://app.hubspot.com/contacts/8748051/record/0-2/19176760746", 19176760746)</f>
        <v>19176760746</v>
      </c>
      <c r="S357" s="14" t="s">
        <v>1320</v>
      </c>
      <c r="T357" s="18" t="s">
        <v>1321</v>
      </c>
      <c r="U357" s="14" t="s">
        <v>46</v>
      </c>
      <c r="V357" s="15"/>
      <c r="W357" s="19">
        <v>154.0</v>
      </c>
      <c r="X357" s="19">
        <v>48.0</v>
      </c>
      <c r="Y357" s="20"/>
      <c r="Z357" s="20"/>
      <c r="AA357" s="20"/>
      <c r="AB357" s="20"/>
      <c r="AC357" s="20"/>
      <c r="AD357" s="20"/>
      <c r="AE357" s="20"/>
      <c r="AF357" s="17" t="str">
        <f t="shared" si="1"/>
        <v>New Logo</v>
      </c>
      <c r="AG357" s="17" t="str">
        <f t="shared" si="2"/>
        <v>Lead</v>
      </c>
      <c r="AH357" s="17" t="str">
        <f t="shared" si="3"/>
        <v>0-200</v>
      </c>
      <c r="AI357" s="17" t="str">
        <f t="shared" si="4"/>
        <v>21-50</v>
      </c>
    </row>
    <row r="358" ht="15.75" customHeight="1">
      <c r="A358" s="13">
        <f>HYPERLINK("https://app.hubspot.com/contacts/8748051/record/0-3/32659467397", 32659467397)</f>
        <v>32659467397</v>
      </c>
      <c r="B358" s="14" t="s">
        <v>1322</v>
      </c>
      <c r="C358" s="14" t="s">
        <v>1008</v>
      </c>
      <c r="D358" s="15">
        <v>100000.0</v>
      </c>
      <c r="E358" s="14" t="s">
        <v>118</v>
      </c>
      <c r="F358" s="14"/>
      <c r="G358" s="16">
        <v>45685.341678240744</v>
      </c>
      <c r="H358" s="16">
        <v>45865.34164351852</v>
      </c>
      <c r="I358" s="14" t="s">
        <v>39</v>
      </c>
      <c r="J358" s="14" t="s">
        <v>52</v>
      </c>
      <c r="K358" s="14" t="s">
        <v>41</v>
      </c>
      <c r="L358" s="14" t="s">
        <v>42</v>
      </c>
      <c r="M358" s="14" t="s">
        <v>72</v>
      </c>
      <c r="N358" s="14"/>
      <c r="O358" s="14"/>
      <c r="P358" s="14" t="s">
        <v>260</v>
      </c>
      <c r="Q358" s="14"/>
      <c r="R358" s="13">
        <f>HYPERLINK("https://app.hubspot.com/contacts/8748051/record/0-2/9238277157", 9238277157)</f>
        <v>9238277157</v>
      </c>
      <c r="S358" s="14" t="s">
        <v>1323</v>
      </c>
      <c r="T358" s="18" t="s">
        <v>1324</v>
      </c>
      <c r="U358" s="14" t="s">
        <v>46</v>
      </c>
      <c r="V358" s="15"/>
      <c r="W358" s="19">
        <v>4084.0</v>
      </c>
      <c r="X358" s="19">
        <v>803.0</v>
      </c>
      <c r="Y358" s="20"/>
      <c r="Z358" s="20"/>
      <c r="AA358" s="20"/>
      <c r="AB358" s="20"/>
      <c r="AC358" s="20"/>
      <c r="AD358" s="20"/>
      <c r="AE358" s="20"/>
      <c r="AF358" s="17" t="str">
        <f t="shared" si="1"/>
        <v>New Logo</v>
      </c>
      <c r="AG358" s="17" t="str">
        <f t="shared" si="2"/>
        <v>Lead</v>
      </c>
      <c r="AH358" s="17" t="str">
        <f t="shared" si="3"/>
        <v>1001-5000</v>
      </c>
      <c r="AI358" s="17" t="str">
        <f t="shared" si="4"/>
        <v>500+</v>
      </c>
    </row>
    <row r="359" ht="15.75" customHeight="1">
      <c r="A359" s="13">
        <f>HYPERLINK("https://app.hubspot.com/contacts/8748051/record/0-3/32369567636", 32369567636)</f>
        <v>32369567636</v>
      </c>
      <c r="B359" s="14" t="s">
        <v>1325</v>
      </c>
      <c r="C359" s="14" t="s">
        <v>145</v>
      </c>
      <c r="D359" s="15">
        <v>15000.0</v>
      </c>
      <c r="E359" s="14" t="s">
        <v>124</v>
      </c>
      <c r="F359" s="14"/>
      <c r="G359" s="16">
        <v>45680.62868055556</v>
      </c>
      <c r="H359" s="16">
        <v>45930.381875</v>
      </c>
      <c r="I359" s="14" t="s">
        <v>39</v>
      </c>
      <c r="J359" s="14" t="s">
        <v>179</v>
      </c>
      <c r="K359" s="14" t="s">
        <v>158</v>
      </c>
      <c r="L359" s="14" t="s">
        <v>714</v>
      </c>
      <c r="M359" s="14" t="s">
        <v>43</v>
      </c>
      <c r="N359" s="14"/>
      <c r="O359" s="14"/>
      <c r="P359" s="14"/>
      <c r="Q359" s="14" t="s">
        <v>141</v>
      </c>
      <c r="R359" s="13">
        <f>HYPERLINK("https://app.hubspot.com/contacts/8748051/record/0-2/15119716451", 15119716451)</f>
        <v>15119716451</v>
      </c>
      <c r="S359" s="14" t="s">
        <v>203</v>
      </c>
      <c r="T359" s="18" t="s">
        <v>204</v>
      </c>
      <c r="U359" s="14" t="s">
        <v>93</v>
      </c>
      <c r="V359" s="15">
        <v>28960.0</v>
      </c>
      <c r="W359" s="19">
        <v>406.0</v>
      </c>
      <c r="X359" s="19">
        <v>112.0</v>
      </c>
      <c r="Y359" s="20"/>
      <c r="Z359" s="20" t="s">
        <v>205</v>
      </c>
      <c r="AA359" s="20"/>
      <c r="AB359" s="20" t="s">
        <v>206</v>
      </c>
      <c r="AC359" s="20" t="s">
        <v>207</v>
      </c>
      <c r="AD359" s="20" t="s">
        <v>208</v>
      </c>
      <c r="AE359" s="20" t="s">
        <v>209</v>
      </c>
      <c r="AF359" s="17" t="str">
        <f t="shared" si="1"/>
        <v>Upsell</v>
      </c>
      <c r="AG359" s="17" t="str">
        <f t="shared" si="2"/>
        <v>Customer</v>
      </c>
      <c r="AH359" s="17" t="str">
        <f t="shared" si="3"/>
        <v>201-500</v>
      </c>
      <c r="AI359" s="17" t="str">
        <f t="shared" si="4"/>
        <v>101-500</v>
      </c>
    </row>
    <row r="360" ht="15.75" customHeight="1">
      <c r="A360" s="13">
        <f>HYPERLINK("https://app.hubspot.com/contacts/8748051/record/0-3/32369567488", 32369567488)</f>
        <v>32369567488</v>
      </c>
      <c r="B360" s="14" t="s">
        <v>1326</v>
      </c>
      <c r="C360" s="14" t="s">
        <v>145</v>
      </c>
      <c r="D360" s="15">
        <v>10000.0</v>
      </c>
      <c r="E360" s="14" t="s">
        <v>118</v>
      </c>
      <c r="F360" s="14"/>
      <c r="G360" s="16">
        <v>45680.62783564815</v>
      </c>
      <c r="H360" s="16">
        <v>45930.38150462963</v>
      </c>
      <c r="I360" s="14" t="s">
        <v>39</v>
      </c>
      <c r="J360" s="14" t="s">
        <v>179</v>
      </c>
      <c r="K360" s="14" t="s">
        <v>158</v>
      </c>
      <c r="L360" s="14" t="s">
        <v>714</v>
      </c>
      <c r="M360" s="14" t="s">
        <v>43</v>
      </c>
      <c r="N360" s="14"/>
      <c r="O360" s="14"/>
      <c r="P360" s="14" t="s">
        <v>232</v>
      </c>
      <c r="Q360" s="14"/>
      <c r="R360" s="13">
        <f>HYPERLINK("https://app.hubspot.com/contacts/8748051/record/0-2/7716034905", 7716034905)</f>
        <v>7716034905</v>
      </c>
      <c r="S360" s="14" t="s">
        <v>1327</v>
      </c>
      <c r="T360" s="18" t="s">
        <v>1328</v>
      </c>
      <c r="U360" s="14" t="s">
        <v>93</v>
      </c>
      <c r="V360" s="15">
        <v>72520.0</v>
      </c>
      <c r="W360" s="19">
        <v>1525.0</v>
      </c>
      <c r="X360" s="19">
        <v>150.0</v>
      </c>
      <c r="Y360" s="20"/>
      <c r="Z360" s="20" t="s">
        <v>205</v>
      </c>
      <c r="AA360" s="20" t="s">
        <v>184</v>
      </c>
      <c r="AB360" s="20"/>
      <c r="AC360" s="20" t="s">
        <v>1329</v>
      </c>
      <c r="AD360" s="20" t="s">
        <v>1330</v>
      </c>
      <c r="AE360" s="20" t="s">
        <v>395</v>
      </c>
      <c r="AF360" s="17" t="str">
        <f t="shared" si="1"/>
        <v>Upsell</v>
      </c>
      <c r="AG360" s="17" t="str">
        <f t="shared" si="2"/>
        <v>Customer</v>
      </c>
      <c r="AH360" s="17" t="str">
        <f t="shared" si="3"/>
        <v>1001-5000</v>
      </c>
      <c r="AI360" s="17" t="str">
        <f t="shared" si="4"/>
        <v>101-500</v>
      </c>
    </row>
    <row r="361" ht="15.75" customHeight="1">
      <c r="A361" s="13">
        <f>HYPERLINK("https://app.hubspot.com/contacts/8748051/record/0-3/32323634346", 32323634346)</f>
        <v>32323634346</v>
      </c>
      <c r="B361" s="14" t="s">
        <v>1331</v>
      </c>
      <c r="C361" s="14" t="s">
        <v>145</v>
      </c>
      <c r="D361" s="15">
        <v>100000.0</v>
      </c>
      <c r="E361" s="14" t="s">
        <v>146</v>
      </c>
      <c r="F361" s="14" t="s">
        <v>51</v>
      </c>
      <c r="G361" s="16">
        <v>45679.4087037037</v>
      </c>
      <c r="H361" s="16">
        <v>45831.65047453704</v>
      </c>
      <c r="I361" s="14" t="s">
        <v>39</v>
      </c>
      <c r="J361" s="14" t="s">
        <v>52</v>
      </c>
      <c r="K361" s="14" t="s">
        <v>41</v>
      </c>
      <c r="L361" s="14" t="s">
        <v>42</v>
      </c>
      <c r="M361" s="14" t="s">
        <v>72</v>
      </c>
      <c r="N361" s="14"/>
      <c r="O361" s="14" t="s">
        <v>1332</v>
      </c>
      <c r="P361" s="14"/>
      <c r="Q361" s="14"/>
      <c r="R361" s="13">
        <f>HYPERLINK("https://app.hubspot.com/contacts/8748051/record/0-2/9427315969", 9427315969)</f>
        <v>9427315969</v>
      </c>
      <c r="S361" s="14" t="s">
        <v>1333</v>
      </c>
      <c r="T361" s="18" t="s">
        <v>1334</v>
      </c>
      <c r="U361" s="14" t="s">
        <v>46</v>
      </c>
      <c r="V361" s="15"/>
      <c r="W361" s="19">
        <v>1601.0</v>
      </c>
      <c r="X361" s="19">
        <v>393.0</v>
      </c>
      <c r="Y361" s="20" t="s">
        <v>78</v>
      </c>
      <c r="Z361" s="20"/>
      <c r="AA361" s="20"/>
      <c r="AB361" s="20"/>
      <c r="AC361" s="20"/>
      <c r="AD361" s="20"/>
      <c r="AE361" s="20"/>
      <c r="AF361" s="17" t="str">
        <f t="shared" si="1"/>
        <v>New Logo</v>
      </c>
      <c r="AG361" s="17" t="str">
        <f t="shared" si="2"/>
        <v>Lead</v>
      </c>
      <c r="AH361" s="17" t="str">
        <f t="shared" si="3"/>
        <v>1001-5000</v>
      </c>
      <c r="AI361" s="17" t="str">
        <f t="shared" si="4"/>
        <v>101-500</v>
      </c>
    </row>
    <row r="362" ht="15.75" customHeight="1">
      <c r="A362" s="13">
        <f>HYPERLINK("https://app.hubspot.com/contacts/8748051/record/0-3/32323634178", 32323634178)</f>
        <v>32323634178</v>
      </c>
      <c r="B362" s="14" t="s">
        <v>1335</v>
      </c>
      <c r="C362" s="14" t="s">
        <v>49</v>
      </c>
      <c r="D362" s="15">
        <v>15000.0</v>
      </c>
      <c r="E362" s="14" t="s">
        <v>118</v>
      </c>
      <c r="F362" s="14"/>
      <c r="G362" s="16">
        <v>45679.40795138889</v>
      </c>
      <c r="H362" s="16">
        <v>45860.44907407407</v>
      </c>
      <c r="I362" s="14" t="s">
        <v>39</v>
      </c>
      <c r="J362" s="14" t="s">
        <v>52</v>
      </c>
      <c r="K362" s="14" t="s">
        <v>59</v>
      </c>
      <c r="L362" s="14" t="s">
        <v>175</v>
      </c>
      <c r="M362" s="14" t="s">
        <v>43</v>
      </c>
      <c r="N362" s="14"/>
      <c r="O362" s="14"/>
      <c r="P362" s="14" t="s">
        <v>119</v>
      </c>
      <c r="Q362" s="14"/>
      <c r="R362" s="13">
        <f>HYPERLINK("https://app.hubspot.com/contacts/8748051/record/0-2/8724276354", 8724276354)</f>
        <v>8724276354</v>
      </c>
      <c r="S362" s="14" t="s">
        <v>1336</v>
      </c>
      <c r="T362" s="18" t="s">
        <v>1337</v>
      </c>
      <c r="U362" s="14" t="s">
        <v>46</v>
      </c>
      <c r="V362" s="15"/>
      <c r="W362" s="19">
        <v>1516.0</v>
      </c>
      <c r="X362" s="19">
        <v>202.0</v>
      </c>
      <c r="Y362" s="20" t="s">
        <v>55</v>
      </c>
      <c r="Z362" s="20"/>
      <c r="AA362" s="20"/>
      <c r="AB362" s="20"/>
      <c r="AC362" s="20"/>
      <c r="AD362" s="20"/>
      <c r="AE362" s="20"/>
      <c r="AF362" s="17" t="str">
        <f t="shared" si="1"/>
        <v>New Logo</v>
      </c>
      <c r="AG362" s="17" t="str">
        <f t="shared" si="2"/>
        <v>Lead</v>
      </c>
      <c r="AH362" s="17" t="str">
        <f t="shared" si="3"/>
        <v>1001-5000</v>
      </c>
      <c r="AI362" s="17" t="str">
        <f t="shared" si="4"/>
        <v>101-500</v>
      </c>
    </row>
    <row r="363" ht="15.75" customHeight="1">
      <c r="A363" s="13">
        <f>HYPERLINK("https://app.hubspot.com/contacts/8748051/record/0-3/32146446082", 32146446082)</f>
        <v>32146446082</v>
      </c>
      <c r="B363" s="14" t="s">
        <v>1338</v>
      </c>
      <c r="C363" s="14" t="s">
        <v>145</v>
      </c>
      <c r="D363" s="15">
        <v>100000.0</v>
      </c>
      <c r="E363" s="14" t="s">
        <v>124</v>
      </c>
      <c r="F363" s="14" t="s">
        <v>51</v>
      </c>
      <c r="G363" s="16">
        <v>45674.89965277778</v>
      </c>
      <c r="H363" s="16">
        <v>45755.92328703704</v>
      </c>
      <c r="I363" s="14" t="s">
        <v>39</v>
      </c>
      <c r="J363" s="14" t="s">
        <v>52</v>
      </c>
      <c r="K363" s="14" t="s">
        <v>41</v>
      </c>
      <c r="L363" s="14" t="s">
        <v>42</v>
      </c>
      <c r="M363" s="14" t="s">
        <v>43</v>
      </c>
      <c r="N363" s="14" t="s">
        <v>1339</v>
      </c>
      <c r="O363" s="17"/>
      <c r="P363" s="14"/>
      <c r="Q363" s="14" t="s">
        <v>502</v>
      </c>
      <c r="R363" s="13">
        <f>HYPERLINK("https://app.hubspot.com/contacts/8748051/record/0-2/28715405232", 28715405232)</f>
        <v>28715405232</v>
      </c>
      <c r="S363" s="14" t="s">
        <v>497</v>
      </c>
      <c r="T363" s="18" t="s">
        <v>498</v>
      </c>
      <c r="U363" s="14" t="s">
        <v>93</v>
      </c>
      <c r="V363" s="15">
        <v>25000.0</v>
      </c>
      <c r="W363" s="19">
        <v>1511.0</v>
      </c>
      <c r="X363" s="19">
        <v>477.0</v>
      </c>
      <c r="Y363" s="20"/>
      <c r="Z363" s="20" t="s">
        <v>205</v>
      </c>
      <c r="AA363" s="20" t="s">
        <v>163</v>
      </c>
      <c r="AB363" s="20"/>
      <c r="AC363" s="20" t="s">
        <v>499</v>
      </c>
      <c r="AD363" s="20" t="s">
        <v>500</v>
      </c>
      <c r="AE363" s="20" t="s">
        <v>209</v>
      </c>
      <c r="AF363" s="17" t="str">
        <f t="shared" si="1"/>
        <v>New Logo</v>
      </c>
      <c r="AG363" s="17" t="str">
        <f t="shared" si="2"/>
        <v>Customer</v>
      </c>
      <c r="AH363" s="17" t="str">
        <f t="shared" si="3"/>
        <v>1001-5000</v>
      </c>
      <c r="AI363" s="17" t="str">
        <f t="shared" si="4"/>
        <v>101-500</v>
      </c>
    </row>
    <row r="364" ht="15.75" customHeight="1">
      <c r="A364" s="13">
        <f>HYPERLINK("https://app.hubspot.com/contacts/8748051/record/0-3/32136338459", 32136338459)</f>
        <v>32136338459</v>
      </c>
      <c r="B364" s="14" t="s">
        <v>1340</v>
      </c>
      <c r="C364" s="14" t="s">
        <v>145</v>
      </c>
      <c r="D364" s="15">
        <v>25000.0</v>
      </c>
      <c r="E364" s="14" t="s">
        <v>89</v>
      </c>
      <c r="F364" s="14" t="s">
        <v>51</v>
      </c>
      <c r="G364" s="16">
        <v>45674.083506944444</v>
      </c>
      <c r="H364" s="16">
        <v>45714.396678240744</v>
      </c>
      <c r="I364" s="14" t="s">
        <v>39</v>
      </c>
      <c r="J364" s="14" t="s">
        <v>40</v>
      </c>
      <c r="K364" s="14" t="s">
        <v>59</v>
      </c>
      <c r="L364" s="14" t="s">
        <v>180</v>
      </c>
      <c r="M364" s="14" t="s">
        <v>43</v>
      </c>
      <c r="N364" s="14" t="s">
        <v>1341</v>
      </c>
      <c r="O364" s="14"/>
      <c r="P364" s="14"/>
      <c r="Q364" s="14"/>
      <c r="R364" s="13">
        <f>HYPERLINK("https://app.hubspot.com/contacts/8748051/record/0-2/28688518980", 28688518980)</f>
        <v>28688518980</v>
      </c>
      <c r="S364" s="14" t="s">
        <v>227</v>
      </c>
      <c r="T364" s="18" t="s">
        <v>228</v>
      </c>
      <c r="U364" s="14" t="s">
        <v>93</v>
      </c>
      <c r="V364" s="15">
        <v>25000.0</v>
      </c>
      <c r="W364" s="19">
        <v>108.0</v>
      </c>
      <c r="X364" s="19">
        <v>13.0</v>
      </c>
      <c r="Y364" s="20"/>
      <c r="Z364" s="20" t="s">
        <v>184</v>
      </c>
      <c r="AA364" s="21"/>
      <c r="AB364" s="20" t="s">
        <v>206</v>
      </c>
      <c r="AC364" s="20" t="s">
        <v>229</v>
      </c>
      <c r="AD364" s="20" t="s">
        <v>230</v>
      </c>
      <c r="AE364" s="20" t="s">
        <v>209</v>
      </c>
      <c r="AF364" s="17" t="str">
        <f t="shared" si="1"/>
        <v>New Logo</v>
      </c>
      <c r="AG364" s="17" t="str">
        <f t="shared" si="2"/>
        <v>Customer</v>
      </c>
      <c r="AH364" s="17" t="str">
        <f t="shared" si="3"/>
        <v>0-200</v>
      </c>
      <c r="AI364" s="17" t="str">
        <f t="shared" si="4"/>
        <v>0-20</v>
      </c>
    </row>
    <row r="365" ht="15.75" customHeight="1">
      <c r="A365" s="13">
        <f>HYPERLINK("https://app.hubspot.com/contacts/8748051/record/0-3/32039439992", 32039439992)</f>
        <v>32039439992</v>
      </c>
      <c r="B365" s="14" t="s">
        <v>1342</v>
      </c>
      <c r="C365" s="14" t="s">
        <v>49</v>
      </c>
      <c r="D365" s="15">
        <v>1000.0</v>
      </c>
      <c r="E365" s="14" t="s">
        <v>118</v>
      </c>
      <c r="F365" s="14"/>
      <c r="G365" s="16">
        <v>45672.4152662037</v>
      </c>
      <c r="H365" s="16">
        <v>45852.41525462963</v>
      </c>
      <c r="I365" s="14" t="s">
        <v>39</v>
      </c>
      <c r="J365" s="14" t="s">
        <v>40</v>
      </c>
      <c r="K365" s="14" t="s">
        <v>41</v>
      </c>
      <c r="L365" s="14" t="s">
        <v>42</v>
      </c>
      <c r="M365" s="14" t="s">
        <v>43</v>
      </c>
      <c r="N365" s="14"/>
      <c r="O365" s="14"/>
      <c r="P365" s="14" t="s">
        <v>232</v>
      </c>
      <c r="Q365" s="14"/>
      <c r="R365" s="13">
        <f>HYPERLINK("https://app.hubspot.com/contacts/8748051/record/0-2/26389784166", 26389784166)</f>
        <v>26389784166</v>
      </c>
      <c r="S365" s="14" t="s">
        <v>1343</v>
      </c>
      <c r="T365" s="18" t="s">
        <v>1344</v>
      </c>
      <c r="U365" s="14" t="s">
        <v>46</v>
      </c>
      <c r="V365" s="15"/>
      <c r="W365" s="19">
        <v>16.0</v>
      </c>
      <c r="X365" s="19">
        <v>2.0</v>
      </c>
      <c r="Y365" s="20"/>
      <c r="Z365" s="20"/>
      <c r="AA365" s="20"/>
      <c r="AB365" s="20"/>
      <c r="AC365" s="20"/>
      <c r="AD365" s="20"/>
      <c r="AE365" s="20"/>
      <c r="AF365" s="17" t="str">
        <f t="shared" si="1"/>
        <v>New Logo</v>
      </c>
      <c r="AG365" s="17" t="str">
        <f t="shared" si="2"/>
        <v>Lead</v>
      </c>
      <c r="AH365" s="17" t="str">
        <f t="shared" si="3"/>
        <v>0-200</v>
      </c>
      <c r="AI365" s="17" t="str">
        <f t="shared" si="4"/>
        <v>0-20</v>
      </c>
    </row>
    <row r="366" ht="15.75" customHeight="1">
      <c r="A366" s="13">
        <f>HYPERLINK("https://app.hubspot.com/contacts/8748051/record/0-3/31813940542", 31813940542)</f>
        <v>31813940542</v>
      </c>
      <c r="B366" s="14" t="s">
        <v>1345</v>
      </c>
      <c r="C366" s="14" t="s">
        <v>37</v>
      </c>
      <c r="D366" s="15">
        <v>26500.0</v>
      </c>
      <c r="E366" s="14" t="s">
        <v>118</v>
      </c>
      <c r="F366" s="14"/>
      <c r="G366" s="16">
        <v>45667.551354166666</v>
      </c>
      <c r="H366" s="16">
        <v>45847.0</v>
      </c>
      <c r="I366" s="14" t="s">
        <v>39</v>
      </c>
      <c r="J366" s="14" t="s">
        <v>40</v>
      </c>
      <c r="K366" s="14" t="s">
        <v>59</v>
      </c>
      <c r="L366" s="14" t="s">
        <v>60</v>
      </c>
      <c r="M366" s="14" t="s">
        <v>43</v>
      </c>
      <c r="N366" s="14"/>
      <c r="O366" s="17"/>
      <c r="P366" s="14" t="s">
        <v>232</v>
      </c>
      <c r="Q366" s="14"/>
      <c r="R366" s="13">
        <f>HYPERLINK("https://app.hubspot.com/contacts/8748051/record/0-2/19177080437", 19177080437)</f>
        <v>19177080437</v>
      </c>
      <c r="S366" s="14" t="s">
        <v>1346</v>
      </c>
      <c r="T366" s="18" t="s">
        <v>1347</v>
      </c>
      <c r="U366" s="14" t="s">
        <v>46</v>
      </c>
      <c r="V366" s="15"/>
      <c r="W366" s="19">
        <v>471.0</v>
      </c>
      <c r="X366" s="19">
        <v>82.0</v>
      </c>
      <c r="Y366" s="20" t="s">
        <v>104</v>
      </c>
      <c r="Z366" s="20"/>
      <c r="AA366" s="21"/>
      <c r="AB366" s="20"/>
      <c r="AC366" s="20"/>
      <c r="AD366" s="20"/>
      <c r="AE366" s="20"/>
      <c r="AF366" s="17" t="str">
        <f t="shared" si="1"/>
        <v>New Logo</v>
      </c>
      <c r="AG366" s="17" t="str">
        <f t="shared" si="2"/>
        <v>Lead</v>
      </c>
      <c r="AH366" s="17" t="str">
        <f t="shared" si="3"/>
        <v>201-500</v>
      </c>
      <c r="AI366" s="17" t="str">
        <f t="shared" si="4"/>
        <v>51-100</v>
      </c>
    </row>
    <row r="367" ht="15.75" customHeight="1">
      <c r="A367" s="13">
        <f>HYPERLINK("https://app.hubspot.com/contacts/8748051/record/0-3/31791647307", 31791647307)</f>
        <v>31791647307</v>
      </c>
      <c r="B367" s="14" t="s">
        <v>1348</v>
      </c>
      <c r="C367" s="14" t="s">
        <v>145</v>
      </c>
      <c r="D367" s="15">
        <v>70000.0</v>
      </c>
      <c r="E367" s="14" t="s">
        <v>89</v>
      </c>
      <c r="F367" s="14" t="s">
        <v>51</v>
      </c>
      <c r="G367" s="16">
        <v>45667.49104166667</v>
      </c>
      <c r="H367" s="16">
        <v>45726.78587962963</v>
      </c>
      <c r="I367" s="14" t="s">
        <v>39</v>
      </c>
      <c r="J367" s="14" t="s">
        <v>40</v>
      </c>
      <c r="K367" s="14" t="s">
        <v>59</v>
      </c>
      <c r="L367" s="14" t="s">
        <v>175</v>
      </c>
      <c r="M367" s="14" t="s">
        <v>43</v>
      </c>
      <c r="N367" s="14" t="s">
        <v>1349</v>
      </c>
      <c r="O367" s="14"/>
      <c r="P367" s="14"/>
      <c r="Q367" s="17"/>
      <c r="R367" s="13">
        <f>HYPERLINK("https://app.hubspot.com/contacts/8748051/record/0-2/15869602939", 15869602939)</f>
        <v>15869602939</v>
      </c>
      <c r="S367" s="14" t="s">
        <v>1350</v>
      </c>
      <c r="T367" s="18" t="s">
        <v>1351</v>
      </c>
      <c r="U367" s="14" t="s">
        <v>93</v>
      </c>
      <c r="V367" s="15">
        <v>70000.0</v>
      </c>
      <c r="W367" s="19">
        <v>453.0</v>
      </c>
      <c r="X367" s="19">
        <v>89.0</v>
      </c>
      <c r="Y367" s="20"/>
      <c r="Z367" s="20" t="s">
        <v>205</v>
      </c>
      <c r="AA367" s="20"/>
      <c r="AB367" s="20" t="s">
        <v>267</v>
      </c>
      <c r="AC367" s="20" t="s">
        <v>1352</v>
      </c>
      <c r="AD367" s="20" t="s">
        <v>1353</v>
      </c>
      <c r="AE367" s="20" t="s">
        <v>553</v>
      </c>
      <c r="AF367" s="17" t="str">
        <f t="shared" si="1"/>
        <v>New Logo</v>
      </c>
      <c r="AG367" s="17" t="str">
        <f t="shared" si="2"/>
        <v>Customer</v>
      </c>
      <c r="AH367" s="17" t="str">
        <f t="shared" si="3"/>
        <v>201-500</v>
      </c>
      <c r="AI367" s="17" t="str">
        <f t="shared" si="4"/>
        <v>51-100</v>
      </c>
    </row>
    <row r="368" ht="15.75" customHeight="1">
      <c r="A368" s="13">
        <f>HYPERLINK("https://app.hubspot.com/contacts/8748051/record/0-3/31575517542", 31575517542)</f>
        <v>31575517542</v>
      </c>
      <c r="B368" s="14" t="s">
        <v>1354</v>
      </c>
      <c r="C368" s="14" t="s">
        <v>1008</v>
      </c>
      <c r="D368" s="15">
        <v>500.0</v>
      </c>
      <c r="E368" s="14" t="s">
        <v>118</v>
      </c>
      <c r="F368" s="14"/>
      <c r="G368" s="16">
        <v>45663.27276620371</v>
      </c>
      <c r="H368" s="16">
        <v>45753.27275462963</v>
      </c>
      <c r="I368" s="14" t="s">
        <v>39</v>
      </c>
      <c r="J368" s="14" t="s">
        <v>40</v>
      </c>
      <c r="K368" s="14" t="s">
        <v>41</v>
      </c>
      <c r="L368" s="14" t="s">
        <v>42</v>
      </c>
      <c r="M368" s="14" t="s">
        <v>98</v>
      </c>
      <c r="N368" s="14"/>
      <c r="O368" s="14"/>
      <c r="P368" s="14" t="s">
        <v>260</v>
      </c>
      <c r="Q368" s="14"/>
      <c r="R368" s="13">
        <f>HYPERLINK("https://app.hubspot.com/contacts/8748051/record/0-2/28152532135", 28152532135)</f>
        <v>28152532135</v>
      </c>
      <c r="S368" s="14" t="s">
        <v>1355</v>
      </c>
      <c r="T368" s="14" t="s">
        <v>1356</v>
      </c>
      <c r="U368" s="14" t="s">
        <v>46</v>
      </c>
      <c r="V368" s="15"/>
      <c r="W368" s="19">
        <v>23.0</v>
      </c>
      <c r="X368" s="19">
        <v>1.0</v>
      </c>
      <c r="Y368" s="20"/>
      <c r="Z368" s="20"/>
      <c r="AA368" s="20"/>
      <c r="AB368" s="20"/>
      <c r="AC368" s="20"/>
      <c r="AD368" s="20"/>
      <c r="AE368" s="20"/>
      <c r="AF368" s="17" t="str">
        <f t="shared" si="1"/>
        <v>New Logo</v>
      </c>
      <c r="AG368" s="17" t="str">
        <f t="shared" si="2"/>
        <v>Lead</v>
      </c>
      <c r="AH368" s="17" t="str">
        <f t="shared" si="3"/>
        <v>0-200</v>
      </c>
      <c r="AI368" s="17" t="str">
        <f t="shared" si="4"/>
        <v>0-20</v>
      </c>
    </row>
    <row r="369" ht="15.75" customHeight="1">
      <c r="A369" s="13">
        <f>HYPERLINK("https://app.hubspot.com/contacts/8748051/record/0-3/31422825903", 31422825903)</f>
        <v>31422825903</v>
      </c>
      <c r="B369" s="14" t="s">
        <v>1357</v>
      </c>
      <c r="C369" s="14" t="s">
        <v>1008</v>
      </c>
      <c r="D369" s="15">
        <v>72500.0</v>
      </c>
      <c r="E369" s="14" t="s">
        <v>118</v>
      </c>
      <c r="F369" s="14" t="s">
        <v>51</v>
      </c>
      <c r="G369" s="16">
        <v>45660.49454861111</v>
      </c>
      <c r="H369" s="16">
        <v>45869.270520833335</v>
      </c>
      <c r="I369" s="14" t="s">
        <v>39</v>
      </c>
      <c r="J369" s="14" t="s">
        <v>52</v>
      </c>
      <c r="K369" s="14" t="s">
        <v>1358</v>
      </c>
      <c r="L369" s="14" t="s">
        <v>175</v>
      </c>
      <c r="M369" s="14" t="s">
        <v>98</v>
      </c>
      <c r="N369" s="17"/>
      <c r="O369" s="14"/>
      <c r="P369" s="14" t="s">
        <v>232</v>
      </c>
      <c r="Q369" s="14"/>
      <c r="R369" s="13">
        <f>HYPERLINK("https://app.hubspot.com/contacts/8748051/record/0-2/6266336884", 6266336884)</f>
        <v>6266336884</v>
      </c>
      <c r="S369" s="14" t="s">
        <v>1359</v>
      </c>
      <c r="T369" s="18" t="s">
        <v>1360</v>
      </c>
      <c r="U369" s="14" t="s">
        <v>46</v>
      </c>
      <c r="V369" s="15"/>
      <c r="W369" s="19">
        <v>1182.0</v>
      </c>
      <c r="X369" s="19">
        <v>143.0</v>
      </c>
      <c r="Y369" s="20" t="s">
        <v>104</v>
      </c>
      <c r="Z369" s="20"/>
      <c r="AA369" s="21"/>
      <c r="AB369" s="21"/>
      <c r="AC369" s="20"/>
      <c r="AD369" s="21"/>
      <c r="AE369" s="20"/>
      <c r="AF369" s="17" t="str">
        <f t="shared" si="1"/>
        <v>New Logo</v>
      </c>
      <c r="AG369" s="17" t="str">
        <f t="shared" si="2"/>
        <v>Lead</v>
      </c>
      <c r="AH369" s="17" t="str">
        <f t="shared" si="3"/>
        <v>1001-5000</v>
      </c>
      <c r="AI369" s="17" t="str">
        <f t="shared" si="4"/>
        <v>101-500</v>
      </c>
    </row>
    <row r="370" ht="15.75" customHeight="1">
      <c r="A370" s="13">
        <f>HYPERLINK("https://app.hubspot.com/contacts/8748051/record/0-3/31312600139", 31312600139)</f>
        <v>31312600139</v>
      </c>
      <c r="B370" s="14" t="s">
        <v>1361</v>
      </c>
      <c r="C370" s="14" t="s">
        <v>1008</v>
      </c>
      <c r="D370" s="15">
        <v>500.0</v>
      </c>
      <c r="E370" s="14" t="s">
        <v>118</v>
      </c>
      <c r="F370" s="14"/>
      <c r="G370" s="16">
        <v>45659.40079861111</v>
      </c>
      <c r="H370" s="16">
        <v>45749.40078703704</v>
      </c>
      <c r="I370" s="14" t="s">
        <v>39</v>
      </c>
      <c r="J370" s="14" t="s">
        <v>40</v>
      </c>
      <c r="K370" s="14" t="s">
        <v>41</v>
      </c>
      <c r="L370" s="14" t="s">
        <v>42</v>
      </c>
      <c r="M370" s="14" t="s">
        <v>43</v>
      </c>
      <c r="N370" s="17"/>
      <c r="O370" s="14"/>
      <c r="P370" s="14" t="s">
        <v>232</v>
      </c>
      <c r="Q370" s="14"/>
      <c r="R370" s="13">
        <f>HYPERLINK("https://app.hubspot.com/contacts/8748051/record/0-2/27898083762", 27898083762)</f>
        <v>27898083762</v>
      </c>
      <c r="S370" s="14" t="s">
        <v>1362</v>
      </c>
      <c r="T370" s="18" t="s">
        <v>1363</v>
      </c>
      <c r="U370" s="14" t="s">
        <v>46</v>
      </c>
      <c r="V370" s="15"/>
      <c r="W370" s="19">
        <v>4.0</v>
      </c>
      <c r="X370" s="19">
        <v>1.0</v>
      </c>
      <c r="Y370" s="20"/>
      <c r="Z370" s="20"/>
      <c r="AA370" s="20"/>
      <c r="AB370" s="20"/>
      <c r="AC370" s="20"/>
      <c r="AD370" s="20"/>
      <c r="AE370" s="20"/>
      <c r="AF370" s="17" t="str">
        <f t="shared" si="1"/>
        <v>New Logo</v>
      </c>
      <c r="AG370" s="17" t="str">
        <f t="shared" si="2"/>
        <v>Lead</v>
      </c>
      <c r="AH370" s="17" t="str">
        <f t="shared" si="3"/>
        <v>0-200</v>
      </c>
      <c r="AI370" s="17" t="str">
        <f t="shared" si="4"/>
        <v>0-20</v>
      </c>
    </row>
    <row r="371" ht="15.75" customHeight="1">
      <c r="A371" s="13">
        <f>HYPERLINK("https://app.hubspot.com/contacts/8748051/record/0-3/31267233305", 31267233305)</f>
        <v>31267233305</v>
      </c>
      <c r="B371" s="14" t="s">
        <v>1364</v>
      </c>
      <c r="C371" s="14" t="s">
        <v>1008</v>
      </c>
      <c r="D371" s="15">
        <v>15000.0</v>
      </c>
      <c r="E371" s="14" t="s">
        <v>146</v>
      </c>
      <c r="F371" s="14" t="s">
        <v>51</v>
      </c>
      <c r="G371" s="16">
        <v>45659.14959490741</v>
      </c>
      <c r="H371" s="16">
        <v>45688.53763888889</v>
      </c>
      <c r="I371" s="14" t="s">
        <v>39</v>
      </c>
      <c r="J371" s="14" t="s">
        <v>40</v>
      </c>
      <c r="K371" s="14" t="s">
        <v>41</v>
      </c>
      <c r="L371" s="14" t="s">
        <v>42</v>
      </c>
      <c r="M371" s="14" t="s">
        <v>72</v>
      </c>
      <c r="N371" s="14"/>
      <c r="O371" s="14" t="s">
        <v>1365</v>
      </c>
      <c r="P371" s="14"/>
      <c r="Q371" s="14"/>
      <c r="R371" s="13">
        <f>HYPERLINK("https://app.hubspot.com/contacts/8748051/record/0-2/8142790700", 8142790700)</f>
        <v>8142790700</v>
      </c>
      <c r="S371" s="14" t="s">
        <v>1366</v>
      </c>
      <c r="T371" s="18" t="s">
        <v>1367</v>
      </c>
      <c r="U371" s="14" t="s">
        <v>46</v>
      </c>
      <c r="V371" s="15"/>
      <c r="W371" s="19">
        <v>167.0</v>
      </c>
      <c r="X371" s="19">
        <v>29.0</v>
      </c>
      <c r="Y371" s="20"/>
      <c r="Z371" s="20"/>
      <c r="AA371" s="20"/>
      <c r="AB371" s="20"/>
      <c r="AC371" s="20"/>
      <c r="AD371" s="20"/>
      <c r="AE371" s="20"/>
      <c r="AF371" s="17" t="str">
        <f t="shared" si="1"/>
        <v>New Logo</v>
      </c>
      <c r="AG371" s="17" t="str">
        <f t="shared" si="2"/>
        <v>Lead</v>
      </c>
      <c r="AH371" s="17" t="str">
        <f t="shared" si="3"/>
        <v>0-200</v>
      </c>
      <c r="AI371" s="17" t="str">
        <f t="shared" si="4"/>
        <v>21-50</v>
      </c>
    </row>
    <row r="372" ht="15.75" customHeight="1">
      <c r="A372" s="13">
        <f>HYPERLINK("https://app.hubspot.com/contacts/8748051/record/0-3/43995998260", 43995998260)</f>
        <v>43995998260</v>
      </c>
      <c r="B372" s="14" t="s">
        <v>1368</v>
      </c>
      <c r="C372" s="14" t="s">
        <v>156</v>
      </c>
      <c r="D372" s="15">
        <v>1167.0</v>
      </c>
      <c r="E372" s="14" t="s">
        <v>89</v>
      </c>
      <c r="F372" s="14"/>
      <c r="G372" s="16">
        <v>45658.14996527778</v>
      </c>
      <c r="H372" s="16">
        <v>45658.149988425925</v>
      </c>
      <c r="I372" s="14" t="s">
        <v>39</v>
      </c>
      <c r="J372" s="14" t="s">
        <v>179</v>
      </c>
      <c r="K372" s="14" t="s">
        <v>158</v>
      </c>
      <c r="L372" s="14" t="s">
        <v>159</v>
      </c>
      <c r="M372" s="14" t="s">
        <v>43</v>
      </c>
      <c r="N372" s="14"/>
      <c r="O372" s="14"/>
      <c r="P372" s="17"/>
      <c r="Q372" s="14"/>
      <c r="R372" s="13">
        <f>HYPERLINK("https://app.hubspot.com/contacts/8748051/record/0-2/16734679839", 16734679839)</f>
        <v>16734679839</v>
      </c>
      <c r="S372" s="14" t="s">
        <v>465</v>
      </c>
      <c r="T372" s="18" t="s">
        <v>466</v>
      </c>
      <c r="U372" s="14" t="s">
        <v>93</v>
      </c>
      <c r="V372" s="15">
        <v>29912.0</v>
      </c>
      <c r="W372" s="19">
        <v>280.0</v>
      </c>
      <c r="X372" s="19">
        <v>15.0</v>
      </c>
      <c r="Y372" s="20"/>
      <c r="Z372" s="20" t="s">
        <v>348</v>
      </c>
      <c r="AA372" s="20" t="s">
        <v>205</v>
      </c>
      <c r="AB372" s="20" t="s">
        <v>206</v>
      </c>
      <c r="AC372" s="20" t="s">
        <v>461</v>
      </c>
      <c r="AD372" s="20" t="s">
        <v>467</v>
      </c>
      <c r="AE372" s="20" t="s">
        <v>166</v>
      </c>
      <c r="AF372" s="17" t="str">
        <f t="shared" si="1"/>
        <v>Upsell</v>
      </c>
      <c r="AG372" s="17" t="str">
        <f t="shared" si="2"/>
        <v>Customer</v>
      </c>
      <c r="AH372" s="17" t="str">
        <f t="shared" si="3"/>
        <v>201-500</v>
      </c>
      <c r="AI372" s="17" t="str">
        <f t="shared" si="4"/>
        <v>0-20</v>
      </c>
    </row>
    <row r="373" ht="15.75" customHeight="1">
      <c r="A373" s="13">
        <f>HYPERLINK("https://app.hubspot.com/contacts/8748051/record/0-3/31244349587", 31244349587)</f>
        <v>31244349587</v>
      </c>
      <c r="B373" s="14" t="s">
        <v>1369</v>
      </c>
      <c r="C373" s="14" t="s">
        <v>49</v>
      </c>
      <c r="D373" s="15">
        <v>98490.0</v>
      </c>
      <c r="E373" s="14" t="s">
        <v>89</v>
      </c>
      <c r="F373" s="14" t="s">
        <v>51</v>
      </c>
      <c r="G373" s="16">
        <v>45657.46230324074</v>
      </c>
      <c r="H373" s="16">
        <v>45780.44943287037</v>
      </c>
      <c r="I373" s="14" t="s">
        <v>39</v>
      </c>
      <c r="J373" s="14" t="s">
        <v>40</v>
      </c>
      <c r="K373" s="14" t="s">
        <v>41</v>
      </c>
      <c r="L373" s="14" t="s">
        <v>42</v>
      </c>
      <c r="M373" s="14" t="s">
        <v>43</v>
      </c>
      <c r="N373" s="14" t="s">
        <v>1370</v>
      </c>
      <c r="O373" s="17"/>
      <c r="P373" s="14"/>
      <c r="Q373" s="14"/>
      <c r="R373" s="13">
        <f>HYPERLINK("https://app.hubspot.com/contacts/8748051/record/0-2/7589031515", 7589031515)</f>
        <v>7589031515</v>
      </c>
      <c r="S373" s="14" t="s">
        <v>1371</v>
      </c>
      <c r="T373" s="18" t="s">
        <v>1372</v>
      </c>
      <c r="U373" s="14">
        <v>3.4564763E7</v>
      </c>
      <c r="V373" s="15">
        <v>98490.0</v>
      </c>
      <c r="W373" s="19">
        <v>475.0</v>
      </c>
      <c r="X373" s="19">
        <v>74.0</v>
      </c>
      <c r="Y373" s="20"/>
      <c r="Z373" s="20" t="s">
        <v>205</v>
      </c>
      <c r="AA373" s="20"/>
      <c r="AB373" s="20"/>
      <c r="AC373" s="20" t="s">
        <v>1373</v>
      </c>
      <c r="AD373" s="20"/>
      <c r="AE373" s="20" t="s">
        <v>166</v>
      </c>
      <c r="AF373" s="17" t="str">
        <f t="shared" si="1"/>
        <v>New Logo</v>
      </c>
      <c r="AG373" s="17" t="str">
        <f t="shared" si="2"/>
        <v>Churn</v>
      </c>
      <c r="AH373" s="17" t="str">
        <f t="shared" si="3"/>
        <v>201-500</v>
      </c>
      <c r="AI373" s="17" t="str">
        <f t="shared" si="4"/>
        <v>51-100</v>
      </c>
    </row>
    <row r="374" ht="15.75" customHeight="1">
      <c r="A374" s="13">
        <f>HYPERLINK("https://app.hubspot.com/contacts/8748051/record/0-3/31232285004", 31232285004)</f>
        <v>31232285004</v>
      </c>
      <c r="B374" s="14" t="s">
        <v>1374</v>
      </c>
      <c r="C374" s="14" t="s">
        <v>1227</v>
      </c>
      <c r="D374" s="15">
        <v>4000.0</v>
      </c>
      <c r="E374" s="14" t="s">
        <v>89</v>
      </c>
      <c r="F374" s="14"/>
      <c r="G374" s="16">
        <v>45657.433020833334</v>
      </c>
      <c r="H374" s="16">
        <v>45657.43357638889</v>
      </c>
      <c r="I374" s="14" t="s">
        <v>39</v>
      </c>
      <c r="J374" s="14" t="s">
        <v>40</v>
      </c>
      <c r="K374" s="14" t="s">
        <v>59</v>
      </c>
      <c r="L374" s="14" t="s">
        <v>180</v>
      </c>
      <c r="M374" s="14" t="s">
        <v>98</v>
      </c>
      <c r="N374" s="14" t="s">
        <v>1375</v>
      </c>
      <c r="O374" s="14"/>
      <c r="P374" s="14"/>
      <c r="Q374" s="14"/>
      <c r="R374" s="13">
        <f>HYPERLINK("https://app.hubspot.com/contacts/8748051/record/0-2/9132283033", 9132283033)</f>
        <v>9132283033</v>
      </c>
      <c r="S374" s="14" t="s">
        <v>223</v>
      </c>
      <c r="T374" s="18" t="s">
        <v>224</v>
      </c>
      <c r="U374" s="14" t="s">
        <v>93</v>
      </c>
      <c r="V374" s="15">
        <v>7998.0</v>
      </c>
      <c r="W374" s="19">
        <v>1573.0</v>
      </c>
      <c r="X374" s="19">
        <v>43.0</v>
      </c>
      <c r="Y374" s="20"/>
      <c r="Z374" s="20" t="s">
        <v>218</v>
      </c>
      <c r="AA374" s="21"/>
      <c r="AB374" s="21"/>
      <c r="AC374" s="20" t="s">
        <v>219</v>
      </c>
      <c r="AD374" s="20" t="s">
        <v>225</v>
      </c>
      <c r="AE374" s="20" t="s">
        <v>166</v>
      </c>
      <c r="AF374" s="17" t="str">
        <f t="shared" si="1"/>
        <v>New Logo</v>
      </c>
      <c r="AG374" s="17" t="str">
        <f t="shared" si="2"/>
        <v>Customer</v>
      </c>
      <c r="AH374" s="17" t="str">
        <f t="shared" si="3"/>
        <v>1001-5000</v>
      </c>
      <c r="AI374" s="17" t="str">
        <f t="shared" si="4"/>
        <v>21-50</v>
      </c>
    </row>
    <row r="375" ht="15.75" customHeight="1">
      <c r="A375" s="13">
        <f>HYPERLINK("https://app.hubspot.com/contacts/8748051/record/0-3/31177528202", 31177528202)</f>
        <v>31177528202</v>
      </c>
      <c r="B375" s="14" t="s">
        <v>1376</v>
      </c>
      <c r="C375" s="14" t="s">
        <v>145</v>
      </c>
      <c r="D375" s="15">
        <v>500.0</v>
      </c>
      <c r="E375" s="14" t="s">
        <v>124</v>
      </c>
      <c r="F375" s="14"/>
      <c r="G375" s="16">
        <v>45655.97503472222</v>
      </c>
      <c r="H375" s="16">
        <v>45745.975023148145</v>
      </c>
      <c r="I375" s="14" t="s">
        <v>39</v>
      </c>
      <c r="J375" s="14" t="s">
        <v>40</v>
      </c>
      <c r="K375" s="14" t="s">
        <v>41</v>
      </c>
      <c r="L375" s="14" t="s">
        <v>42</v>
      </c>
      <c r="M375" s="14" t="s">
        <v>43</v>
      </c>
      <c r="N375" s="17"/>
      <c r="O375" s="17"/>
      <c r="P375" s="14"/>
      <c r="Q375" s="14" t="s">
        <v>141</v>
      </c>
      <c r="R375" s="13">
        <f>HYPERLINK("https://app.hubspot.com/contacts/8748051/record/0-2/27390856822", 27390856822)</f>
        <v>27390856822</v>
      </c>
      <c r="S375" s="14" t="s">
        <v>1377</v>
      </c>
      <c r="T375" s="18" t="s">
        <v>1378</v>
      </c>
      <c r="U375" s="14" t="s">
        <v>46</v>
      </c>
      <c r="V375" s="22"/>
      <c r="W375" s="19">
        <v>1.0</v>
      </c>
      <c r="X375" s="19">
        <v>1.0</v>
      </c>
      <c r="Y375" s="20"/>
      <c r="Z375" s="21"/>
      <c r="AA375" s="21"/>
      <c r="AB375" s="21"/>
      <c r="AC375" s="21"/>
      <c r="AD375" s="21"/>
      <c r="AE375" s="21"/>
      <c r="AF375" s="17" t="str">
        <f t="shared" si="1"/>
        <v>New Logo</v>
      </c>
      <c r="AG375" s="17" t="str">
        <f t="shared" si="2"/>
        <v>Lead</v>
      </c>
      <c r="AH375" s="17" t="str">
        <f t="shared" si="3"/>
        <v>0-200</v>
      </c>
      <c r="AI375" s="17" t="str">
        <f t="shared" si="4"/>
        <v>0-20</v>
      </c>
    </row>
    <row r="376" ht="15.75" customHeight="1">
      <c r="A376" s="13">
        <f>HYPERLINK("https://app.hubspot.com/contacts/8748051/record/0-3/31050406231", 31050406231)</f>
        <v>31050406231</v>
      </c>
      <c r="B376" s="14" t="s">
        <v>1223</v>
      </c>
      <c r="C376" s="14" t="s">
        <v>37</v>
      </c>
      <c r="D376" s="15">
        <v>27000.0</v>
      </c>
      <c r="E376" s="14" t="s">
        <v>118</v>
      </c>
      <c r="F376" s="14"/>
      <c r="G376" s="16">
        <v>45652.59229166667</v>
      </c>
      <c r="H376" s="16">
        <v>45742.59228009259</v>
      </c>
      <c r="I376" s="14" t="s">
        <v>39</v>
      </c>
      <c r="J376" s="14" t="s">
        <v>40</v>
      </c>
      <c r="K376" s="14" t="s">
        <v>41</v>
      </c>
      <c r="L376" s="14" t="s">
        <v>42</v>
      </c>
      <c r="M376" s="14" t="s">
        <v>43</v>
      </c>
      <c r="N376" s="14"/>
      <c r="O376" s="17"/>
      <c r="P376" s="14" t="s">
        <v>232</v>
      </c>
      <c r="Q376" s="14"/>
      <c r="R376" s="13">
        <f>HYPERLINK("https://app.hubspot.com/contacts/8748051/record/0-2/8644546840", 8644546840)</f>
        <v>8644546840</v>
      </c>
      <c r="S376" s="14" t="s">
        <v>1224</v>
      </c>
      <c r="T376" s="18" t="s">
        <v>1225</v>
      </c>
      <c r="U376" s="14" t="s">
        <v>46</v>
      </c>
      <c r="V376" s="15"/>
      <c r="W376" s="19">
        <v>274.0</v>
      </c>
      <c r="X376" s="19">
        <v>61.0</v>
      </c>
      <c r="Y376" s="20" t="s">
        <v>70</v>
      </c>
      <c r="Z376" s="20"/>
      <c r="AA376" s="21"/>
      <c r="AB376" s="21"/>
      <c r="AC376" s="20"/>
      <c r="AD376" s="20"/>
      <c r="AE376" s="20"/>
      <c r="AF376" s="17" t="str">
        <f t="shared" si="1"/>
        <v>New Logo</v>
      </c>
      <c r="AG376" s="17" t="str">
        <f t="shared" si="2"/>
        <v>Lead</v>
      </c>
      <c r="AH376" s="17" t="str">
        <f t="shared" si="3"/>
        <v>201-500</v>
      </c>
      <c r="AI376" s="17" t="str">
        <f t="shared" si="4"/>
        <v>51-100</v>
      </c>
    </row>
    <row r="377" ht="15.75" customHeight="1">
      <c r="A377" s="13">
        <f>HYPERLINK("https://app.hubspot.com/contacts/8748051/record/0-3/30842266738", 30842266738)</f>
        <v>30842266738</v>
      </c>
      <c r="B377" s="14" t="s">
        <v>1379</v>
      </c>
      <c r="C377" s="14" t="s">
        <v>1008</v>
      </c>
      <c r="D377" s="15">
        <v>10000.0</v>
      </c>
      <c r="E377" s="14" t="s">
        <v>118</v>
      </c>
      <c r="F377" s="14"/>
      <c r="G377" s="16">
        <v>45646.519224537034</v>
      </c>
      <c r="H377" s="16">
        <v>45736.519212962965</v>
      </c>
      <c r="I377" s="14" t="s">
        <v>39</v>
      </c>
      <c r="J377" s="14" t="s">
        <v>40</v>
      </c>
      <c r="K377" s="14" t="s">
        <v>41</v>
      </c>
      <c r="L377" s="14" t="s">
        <v>42</v>
      </c>
      <c r="M377" s="14" t="s">
        <v>43</v>
      </c>
      <c r="N377" s="14"/>
      <c r="O377" s="17"/>
      <c r="P377" s="14" t="s">
        <v>232</v>
      </c>
      <c r="Q377" s="14"/>
      <c r="R377" s="13">
        <f>HYPERLINK("https://app.hubspot.com/contacts/8748051/record/0-2/9238290097", 9238290097)</f>
        <v>9238290097</v>
      </c>
      <c r="S377" s="14" t="s">
        <v>1380</v>
      </c>
      <c r="T377" s="18" t="s">
        <v>1381</v>
      </c>
      <c r="U377" s="14" t="s">
        <v>46</v>
      </c>
      <c r="V377" s="15"/>
      <c r="W377" s="19">
        <v>180.0</v>
      </c>
      <c r="X377" s="19">
        <v>21.0</v>
      </c>
      <c r="Y377" s="20"/>
      <c r="Z377" s="20"/>
      <c r="AA377" s="20"/>
      <c r="AB377" s="20"/>
      <c r="AC377" s="20"/>
      <c r="AD377" s="21"/>
      <c r="AE377" s="20"/>
      <c r="AF377" s="17" t="str">
        <f t="shared" si="1"/>
        <v>New Logo</v>
      </c>
      <c r="AG377" s="17" t="str">
        <f t="shared" si="2"/>
        <v>Lead</v>
      </c>
      <c r="AH377" s="17" t="str">
        <f t="shared" si="3"/>
        <v>0-200</v>
      </c>
      <c r="AI377" s="17" t="str">
        <f t="shared" si="4"/>
        <v>21-50</v>
      </c>
    </row>
    <row r="378" ht="15.75" customHeight="1">
      <c r="A378" s="13">
        <f>HYPERLINK("https://app.hubspot.com/contacts/8748051/record/0-3/31009230392", 31009230392)</f>
        <v>31009230392</v>
      </c>
      <c r="B378" s="14" t="s">
        <v>1382</v>
      </c>
      <c r="C378" s="14" t="s">
        <v>49</v>
      </c>
      <c r="D378" s="15">
        <v>35000.0</v>
      </c>
      <c r="E378" s="14" t="s">
        <v>124</v>
      </c>
      <c r="F378" s="14" t="s">
        <v>51</v>
      </c>
      <c r="G378" s="16">
        <v>45646.51849537037</v>
      </c>
      <c r="H378" s="16">
        <v>45838.40613425926</v>
      </c>
      <c r="I378" s="14" t="s">
        <v>39</v>
      </c>
      <c r="J378" s="14" t="s">
        <v>40</v>
      </c>
      <c r="K378" s="14" t="s">
        <v>41</v>
      </c>
      <c r="L378" s="14" t="s">
        <v>42</v>
      </c>
      <c r="M378" s="14" t="s">
        <v>43</v>
      </c>
      <c r="N378" s="14"/>
      <c r="O378" s="14"/>
      <c r="P378" s="14"/>
      <c r="Q378" s="14" t="s">
        <v>125</v>
      </c>
      <c r="R378" s="13">
        <f>HYPERLINK("https://app.hubspot.com/contacts/8748051/record/0-2/30002652076", 30002652076)</f>
        <v>30002652076</v>
      </c>
      <c r="S378" s="14" t="s">
        <v>1383</v>
      </c>
      <c r="T378" s="18" t="s">
        <v>1384</v>
      </c>
      <c r="U378" s="14" t="s">
        <v>46</v>
      </c>
      <c r="V378" s="15"/>
      <c r="W378" s="19">
        <v>135.0</v>
      </c>
      <c r="X378" s="19">
        <v>38.0</v>
      </c>
      <c r="Y378" s="20"/>
      <c r="Z378" s="20"/>
      <c r="AA378" s="20"/>
      <c r="AB378" s="21"/>
      <c r="AC378" s="20"/>
      <c r="AD378" s="20"/>
      <c r="AE378" s="20"/>
      <c r="AF378" s="17" t="str">
        <f t="shared" si="1"/>
        <v>New Logo</v>
      </c>
      <c r="AG378" s="17" t="str">
        <f t="shared" si="2"/>
        <v>Lead</v>
      </c>
      <c r="AH378" s="17" t="str">
        <f t="shared" si="3"/>
        <v>0-200</v>
      </c>
      <c r="AI378" s="17" t="str">
        <f t="shared" si="4"/>
        <v>21-50</v>
      </c>
    </row>
    <row r="379" ht="15.75" customHeight="1">
      <c r="A379" s="13">
        <f>HYPERLINK("https://app.hubspot.com/contacts/8748051/record/0-3/30846906224", 30846906224)</f>
        <v>30846906224</v>
      </c>
      <c r="B379" s="14" t="s">
        <v>1385</v>
      </c>
      <c r="C379" s="14" t="s">
        <v>1008</v>
      </c>
      <c r="D379" s="15">
        <v>15000.0</v>
      </c>
      <c r="E379" s="14" t="s">
        <v>124</v>
      </c>
      <c r="F379" s="14"/>
      <c r="G379" s="16">
        <v>45646.518009259256</v>
      </c>
      <c r="H379" s="16">
        <v>45838.34292824074</v>
      </c>
      <c r="I379" s="14" t="s">
        <v>39</v>
      </c>
      <c r="J379" s="14" t="s">
        <v>40</v>
      </c>
      <c r="K379" s="14" t="s">
        <v>41</v>
      </c>
      <c r="L379" s="14" t="s">
        <v>42</v>
      </c>
      <c r="M379" s="14" t="s">
        <v>98</v>
      </c>
      <c r="N379" s="17"/>
      <c r="O379" s="14"/>
      <c r="P379" s="14"/>
      <c r="Q379" s="14" t="s">
        <v>141</v>
      </c>
      <c r="R379" s="13">
        <f>HYPERLINK("https://app.hubspot.com/contacts/8748051/record/0-2/19176332210", 19176332210)</f>
        <v>19176332210</v>
      </c>
      <c r="S379" s="14" t="s">
        <v>1386</v>
      </c>
      <c r="T379" s="18" t="s">
        <v>1387</v>
      </c>
      <c r="U379" s="14" t="s">
        <v>46</v>
      </c>
      <c r="V379" s="22"/>
      <c r="W379" s="19">
        <v>532.0</v>
      </c>
      <c r="X379" s="19">
        <v>62.0</v>
      </c>
      <c r="Y379" s="20" t="s">
        <v>104</v>
      </c>
      <c r="Z379" s="21"/>
      <c r="AA379" s="21"/>
      <c r="AB379" s="21"/>
      <c r="AC379" s="21"/>
      <c r="AD379" s="21"/>
      <c r="AE379" s="21"/>
      <c r="AF379" s="17" t="str">
        <f t="shared" si="1"/>
        <v>New Logo</v>
      </c>
      <c r="AG379" s="17" t="str">
        <f t="shared" si="2"/>
        <v>Lead</v>
      </c>
      <c r="AH379" s="17" t="str">
        <f t="shared" si="3"/>
        <v>501-1000</v>
      </c>
      <c r="AI379" s="17" t="str">
        <f t="shared" si="4"/>
        <v>51-100</v>
      </c>
    </row>
    <row r="380" ht="15.75" customHeight="1">
      <c r="A380" s="13">
        <f>HYPERLINK("https://app.hubspot.com/contacts/8748051/record/0-3/30748658958", 30748658958)</f>
        <v>30748658958</v>
      </c>
      <c r="B380" s="14" t="s">
        <v>1388</v>
      </c>
      <c r="C380" s="14" t="s">
        <v>37</v>
      </c>
      <c r="D380" s="15">
        <v>23500.0</v>
      </c>
      <c r="E380" s="14" t="s">
        <v>124</v>
      </c>
      <c r="F380" s="14"/>
      <c r="G380" s="16">
        <v>45644.668703703705</v>
      </c>
      <c r="H380" s="16">
        <v>45826.709710648145</v>
      </c>
      <c r="I380" s="14" t="s">
        <v>39</v>
      </c>
      <c r="J380" s="14" t="s">
        <v>40</v>
      </c>
      <c r="K380" s="14" t="s">
        <v>59</v>
      </c>
      <c r="L380" s="14" t="s">
        <v>175</v>
      </c>
      <c r="M380" s="14" t="s">
        <v>43</v>
      </c>
      <c r="N380" s="14"/>
      <c r="O380" s="14"/>
      <c r="P380" s="14"/>
      <c r="Q380" s="14" t="s">
        <v>502</v>
      </c>
      <c r="R380" s="13">
        <f>HYPERLINK("https://app.hubspot.com/contacts/8748051/record/0-2/15267965767", 15267965767)</f>
        <v>15267965767</v>
      </c>
      <c r="S380" s="14" t="s">
        <v>1389</v>
      </c>
      <c r="T380" s="18" t="s">
        <v>1390</v>
      </c>
      <c r="U380" s="14" t="s">
        <v>46</v>
      </c>
      <c r="V380" s="15"/>
      <c r="W380" s="19">
        <v>615.0</v>
      </c>
      <c r="X380" s="19">
        <v>75.0</v>
      </c>
      <c r="Y380" s="20" t="s">
        <v>104</v>
      </c>
      <c r="Z380" s="20"/>
      <c r="AA380" s="21"/>
      <c r="AB380" s="21"/>
      <c r="AC380" s="20"/>
      <c r="AD380" s="21"/>
      <c r="AE380" s="20"/>
      <c r="AF380" s="17" t="str">
        <f t="shared" si="1"/>
        <v>New Logo</v>
      </c>
      <c r="AG380" s="17" t="str">
        <f t="shared" si="2"/>
        <v>Lead</v>
      </c>
      <c r="AH380" s="17" t="str">
        <f t="shared" si="3"/>
        <v>501-1000</v>
      </c>
      <c r="AI380" s="17" t="str">
        <f t="shared" si="4"/>
        <v>51-100</v>
      </c>
    </row>
    <row r="381" ht="15.75" customHeight="1">
      <c r="A381" s="13">
        <f>HYPERLINK("https://app.hubspot.com/contacts/8748051/record/0-3/30737333406", 30737333406)</f>
        <v>30737333406</v>
      </c>
      <c r="B381" s="14" t="s">
        <v>1391</v>
      </c>
      <c r="C381" s="14" t="s">
        <v>145</v>
      </c>
      <c r="D381" s="15">
        <v>117000.0</v>
      </c>
      <c r="E381" s="14" t="s">
        <v>146</v>
      </c>
      <c r="F381" s="14" t="s">
        <v>51</v>
      </c>
      <c r="G381" s="16">
        <v>45644.44079861111</v>
      </c>
      <c r="H381" s="16">
        <v>45812.39534722222</v>
      </c>
      <c r="I381" s="14" t="s">
        <v>39</v>
      </c>
      <c r="J381" s="14" t="s">
        <v>40</v>
      </c>
      <c r="K381" s="14" t="s">
        <v>41</v>
      </c>
      <c r="L381" s="14" t="s">
        <v>42</v>
      </c>
      <c r="M381" s="14" t="s">
        <v>43</v>
      </c>
      <c r="N381" s="17"/>
      <c r="O381" s="14" t="s">
        <v>1392</v>
      </c>
      <c r="P381" s="14"/>
      <c r="Q381" s="14"/>
      <c r="R381" s="13">
        <f>HYPERLINK("https://app.hubspot.com/contacts/8748051/record/0-2/27308474633", 27308474633)</f>
        <v>27308474633</v>
      </c>
      <c r="S381" s="14" t="s">
        <v>1393</v>
      </c>
      <c r="T381" s="18" t="s">
        <v>1394</v>
      </c>
      <c r="U381" s="14" t="s">
        <v>46</v>
      </c>
      <c r="V381" s="15"/>
      <c r="W381" s="19">
        <v>321.0</v>
      </c>
      <c r="X381" s="19">
        <v>76.0</v>
      </c>
      <c r="Y381" s="20"/>
      <c r="Z381" s="20"/>
      <c r="AA381" s="21"/>
      <c r="AB381" s="21"/>
      <c r="AC381" s="20"/>
      <c r="AD381" s="20"/>
      <c r="AE381" s="20"/>
      <c r="AF381" s="17" t="str">
        <f t="shared" si="1"/>
        <v>New Logo</v>
      </c>
      <c r="AG381" s="17" t="str">
        <f t="shared" si="2"/>
        <v>Lead</v>
      </c>
      <c r="AH381" s="17" t="str">
        <f t="shared" si="3"/>
        <v>201-500</v>
      </c>
      <c r="AI381" s="17" t="str">
        <f t="shared" si="4"/>
        <v>51-100</v>
      </c>
    </row>
    <row r="382" ht="15.75" customHeight="1">
      <c r="A382" s="13">
        <f>HYPERLINK("https://app.hubspot.com/contacts/8748051/record/0-3/30237056164", 30237056164)</f>
        <v>30237056164</v>
      </c>
      <c r="B382" s="14" t="s">
        <v>1395</v>
      </c>
      <c r="C382" s="14" t="s">
        <v>37</v>
      </c>
      <c r="D382" s="15">
        <v>15000.0</v>
      </c>
      <c r="E382" s="14" t="s">
        <v>118</v>
      </c>
      <c r="F382" s="14"/>
      <c r="G382" s="16">
        <v>45638.62358796296</v>
      </c>
      <c r="H382" s="16">
        <v>45838.851631944446</v>
      </c>
      <c r="I382" s="14" t="s">
        <v>39</v>
      </c>
      <c r="J382" s="14" t="s">
        <v>40</v>
      </c>
      <c r="K382" s="14" t="s">
        <v>158</v>
      </c>
      <c r="L382" s="14" t="s">
        <v>159</v>
      </c>
      <c r="M382" s="14" t="s">
        <v>43</v>
      </c>
      <c r="N382" s="14"/>
      <c r="O382" s="14"/>
      <c r="P382" s="14" t="s">
        <v>119</v>
      </c>
      <c r="Q382" s="14"/>
      <c r="R382" s="13">
        <f>HYPERLINK("https://app.hubspot.com/contacts/8748051/record/0-2/8290026424", 8290026424)</f>
        <v>8290026424</v>
      </c>
      <c r="S382" s="14" t="s">
        <v>1396</v>
      </c>
      <c r="T382" s="18" t="s">
        <v>1397</v>
      </c>
      <c r="U382" s="14" t="s">
        <v>46</v>
      </c>
      <c r="V382" s="15"/>
      <c r="W382" s="19">
        <v>291.0</v>
      </c>
      <c r="X382" s="19">
        <v>50.0</v>
      </c>
      <c r="Y382" s="20"/>
      <c r="Z382" s="20"/>
      <c r="AA382" s="21"/>
      <c r="AB382" s="21"/>
      <c r="AC382" s="20"/>
      <c r="AD382" s="21"/>
      <c r="AE382" s="20"/>
      <c r="AF382" s="17" t="str">
        <f t="shared" si="1"/>
        <v>New Logo</v>
      </c>
      <c r="AG382" s="17" t="str">
        <f t="shared" si="2"/>
        <v>Lead</v>
      </c>
      <c r="AH382" s="17" t="str">
        <f t="shared" si="3"/>
        <v>201-500</v>
      </c>
      <c r="AI382" s="17" t="str">
        <f t="shared" si="4"/>
        <v>21-50</v>
      </c>
    </row>
    <row r="383" ht="15.75" customHeight="1">
      <c r="A383" s="13">
        <f>HYPERLINK("https://app.hubspot.com/contacts/8748051/record/0-3/30232636537", 30232636537)</f>
        <v>30232636537</v>
      </c>
      <c r="B383" s="14" t="s">
        <v>1398</v>
      </c>
      <c r="C383" s="14" t="s">
        <v>37</v>
      </c>
      <c r="D383" s="15">
        <v>12000.0</v>
      </c>
      <c r="E383" s="14" t="s">
        <v>124</v>
      </c>
      <c r="F383" s="14" t="s">
        <v>51</v>
      </c>
      <c r="G383" s="16">
        <v>45638.55635416666</v>
      </c>
      <c r="H383" s="16">
        <v>45838.85212962963</v>
      </c>
      <c r="I383" s="14" t="s">
        <v>39</v>
      </c>
      <c r="J383" s="14" t="s">
        <v>40</v>
      </c>
      <c r="K383" s="14" t="s">
        <v>41</v>
      </c>
      <c r="L383" s="14" t="s">
        <v>42</v>
      </c>
      <c r="M383" s="14" t="s">
        <v>43</v>
      </c>
      <c r="N383" s="14"/>
      <c r="O383" s="14"/>
      <c r="P383" s="14"/>
      <c r="Q383" s="14" t="s">
        <v>125</v>
      </c>
      <c r="R383" s="13">
        <f>HYPERLINK("https://app.hubspot.com/contacts/8748051/record/0-2/26975866210", 26975866210)</f>
        <v>26975866210</v>
      </c>
      <c r="S383" s="14" t="s">
        <v>1399</v>
      </c>
      <c r="T383" s="18" t="s">
        <v>1400</v>
      </c>
      <c r="U383" s="14" t="s">
        <v>46</v>
      </c>
      <c r="V383" s="15"/>
      <c r="W383" s="19">
        <v>76.0</v>
      </c>
      <c r="X383" s="19">
        <v>13.0</v>
      </c>
      <c r="Y383" s="20"/>
      <c r="Z383" s="20"/>
      <c r="AA383" s="20"/>
      <c r="AB383" s="20"/>
      <c r="AC383" s="20"/>
      <c r="AD383" s="20"/>
      <c r="AE383" s="20"/>
      <c r="AF383" s="17" t="str">
        <f t="shared" si="1"/>
        <v>New Logo</v>
      </c>
      <c r="AG383" s="17" t="str">
        <f t="shared" si="2"/>
        <v>Lead</v>
      </c>
      <c r="AH383" s="17" t="str">
        <f t="shared" si="3"/>
        <v>0-200</v>
      </c>
      <c r="AI383" s="17" t="str">
        <f t="shared" si="4"/>
        <v>0-20</v>
      </c>
    </row>
    <row r="384" ht="15.75" customHeight="1">
      <c r="A384" s="13">
        <f>HYPERLINK("https://app.hubspot.com/contacts/8748051/record/0-3/30081364780", 30081364780)</f>
        <v>30081364780</v>
      </c>
      <c r="B384" s="14" t="s">
        <v>1401</v>
      </c>
      <c r="C384" s="14" t="s">
        <v>1008</v>
      </c>
      <c r="D384" s="15">
        <v>100000.0</v>
      </c>
      <c r="E384" s="14" t="s">
        <v>124</v>
      </c>
      <c r="F384" s="14" t="s">
        <v>51</v>
      </c>
      <c r="G384" s="16">
        <v>45635.629895833335</v>
      </c>
      <c r="H384" s="16">
        <v>45817.6525</v>
      </c>
      <c r="I384" s="14" t="s">
        <v>39</v>
      </c>
      <c r="J384" s="14" t="s">
        <v>40</v>
      </c>
      <c r="K384" s="14" t="s">
        <v>41</v>
      </c>
      <c r="L384" s="14" t="s">
        <v>42</v>
      </c>
      <c r="M384" s="14" t="s">
        <v>43</v>
      </c>
      <c r="N384" s="17"/>
      <c r="O384" s="14"/>
      <c r="P384" s="14"/>
      <c r="Q384" s="14" t="s">
        <v>502</v>
      </c>
      <c r="R384" s="13">
        <f>HYPERLINK("https://app.hubspot.com/contacts/8748051/record/0-2/26681052168", 26681052168)</f>
        <v>26681052168</v>
      </c>
      <c r="S384" s="14" t="s">
        <v>1402</v>
      </c>
      <c r="T384" s="18" t="s">
        <v>1403</v>
      </c>
      <c r="U384" s="14" t="s">
        <v>46</v>
      </c>
      <c r="V384" s="15"/>
      <c r="W384" s="19">
        <v>5297.0</v>
      </c>
      <c r="X384" s="19">
        <v>961.0</v>
      </c>
      <c r="Y384" s="20"/>
      <c r="Z384" s="20"/>
      <c r="AA384" s="21"/>
      <c r="AB384" s="21"/>
      <c r="AC384" s="20"/>
      <c r="AD384" s="20"/>
      <c r="AE384" s="20"/>
      <c r="AF384" s="17" t="str">
        <f t="shared" si="1"/>
        <v>New Logo</v>
      </c>
      <c r="AG384" s="17" t="str">
        <f t="shared" si="2"/>
        <v>Lead</v>
      </c>
      <c r="AH384" s="17" t="str">
        <f t="shared" si="3"/>
        <v>5000-10000</v>
      </c>
      <c r="AI384" s="17" t="str">
        <f t="shared" si="4"/>
        <v>500+</v>
      </c>
    </row>
    <row r="385" ht="15.75" customHeight="1">
      <c r="A385" s="13">
        <f>HYPERLINK("https://app.hubspot.com/contacts/8748051/record/0-3/43991920163", 43991920163)</f>
        <v>43991920163</v>
      </c>
      <c r="B385" s="14" t="s">
        <v>1404</v>
      </c>
      <c r="C385" s="14" t="s">
        <v>156</v>
      </c>
      <c r="D385" s="15">
        <v>872.0</v>
      </c>
      <c r="E385" s="14" t="s">
        <v>89</v>
      </c>
      <c r="F385" s="14"/>
      <c r="G385" s="16">
        <v>45635.618784722225</v>
      </c>
      <c r="H385" s="16">
        <v>45635.618796296294</v>
      </c>
      <c r="I385" s="14" t="s">
        <v>39</v>
      </c>
      <c r="J385" s="14" t="s">
        <v>179</v>
      </c>
      <c r="K385" s="14" t="s">
        <v>158</v>
      </c>
      <c r="L385" s="14" t="s">
        <v>159</v>
      </c>
      <c r="M385" s="14"/>
      <c r="N385" s="14"/>
      <c r="O385" s="14"/>
      <c r="P385" s="14"/>
      <c r="Q385" s="14"/>
      <c r="R385" s="13">
        <f>HYPERLINK("https://app.hubspot.com/contacts/8748051/record/0-2/21926460338", 21926460338)</f>
        <v>21926460338</v>
      </c>
      <c r="S385" s="14" t="s">
        <v>216</v>
      </c>
      <c r="T385" s="18" t="s">
        <v>217</v>
      </c>
      <c r="U385" s="14" t="s">
        <v>93</v>
      </c>
      <c r="V385" s="15">
        <v>12368.0</v>
      </c>
      <c r="W385" s="19">
        <v>134.0</v>
      </c>
      <c r="X385" s="19">
        <v>16.0</v>
      </c>
      <c r="Y385" s="20"/>
      <c r="Z385" s="20" t="s">
        <v>218</v>
      </c>
      <c r="AA385" s="21"/>
      <c r="AB385" s="21"/>
      <c r="AC385" s="20" t="s">
        <v>219</v>
      </c>
      <c r="AD385" s="20" t="s">
        <v>220</v>
      </c>
      <c r="AE385" s="20" t="s">
        <v>166</v>
      </c>
      <c r="AF385" s="17" t="str">
        <f t="shared" si="1"/>
        <v>Upsell</v>
      </c>
      <c r="AG385" s="17" t="str">
        <f t="shared" si="2"/>
        <v>Customer</v>
      </c>
      <c r="AH385" s="17" t="str">
        <f t="shared" si="3"/>
        <v>0-200</v>
      </c>
      <c r="AI385" s="17" t="str">
        <f t="shared" si="4"/>
        <v>0-20</v>
      </c>
    </row>
    <row r="386" ht="15.75" customHeight="1">
      <c r="A386" s="13">
        <f>HYPERLINK("https://app.hubspot.com/contacts/8748051/record/0-3/29538983809", 29538983809)</f>
        <v>29538983809</v>
      </c>
      <c r="B386" s="14" t="s">
        <v>1405</v>
      </c>
      <c r="C386" s="14" t="s">
        <v>1008</v>
      </c>
      <c r="D386" s="15">
        <v>200000.0</v>
      </c>
      <c r="E386" s="14" t="s">
        <v>124</v>
      </c>
      <c r="F386" s="14" t="s">
        <v>51</v>
      </c>
      <c r="G386" s="16">
        <v>45621.28369212963</v>
      </c>
      <c r="H386" s="16">
        <v>45777.32508101852</v>
      </c>
      <c r="I386" s="14" t="s">
        <v>39</v>
      </c>
      <c r="J386" s="14" t="s">
        <v>52</v>
      </c>
      <c r="K386" s="14" t="s">
        <v>41</v>
      </c>
      <c r="L386" s="14" t="s">
        <v>42</v>
      </c>
      <c r="M386" s="14" t="s">
        <v>72</v>
      </c>
      <c r="N386" s="14"/>
      <c r="O386" s="17"/>
      <c r="P386" s="14"/>
      <c r="Q386" s="14" t="s">
        <v>141</v>
      </c>
      <c r="R386" s="13">
        <f>HYPERLINK("https://app.hubspot.com/contacts/8748051/record/0-2/7736681624", 7736681624)</f>
        <v>7736681624</v>
      </c>
      <c r="S386" s="14" t="s">
        <v>1406</v>
      </c>
      <c r="T386" s="18" t="s">
        <v>1407</v>
      </c>
      <c r="U386" s="14" t="s">
        <v>46</v>
      </c>
      <c r="V386" s="15"/>
      <c r="W386" s="19">
        <v>865.0</v>
      </c>
      <c r="X386" s="19">
        <v>128.0</v>
      </c>
      <c r="Y386" s="20" t="s">
        <v>545</v>
      </c>
      <c r="Z386" s="20"/>
      <c r="AA386" s="20"/>
      <c r="AB386" s="21"/>
      <c r="AC386" s="20"/>
      <c r="AD386" s="21"/>
      <c r="AE386" s="20"/>
      <c r="AF386" s="17" t="str">
        <f t="shared" si="1"/>
        <v>New Logo</v>
      </c>
      <c r="AG386" s="17" t="str">
        <f t="shared" si="2"/>
        <v>Lead</v>
      </c>
      <c r="AH386" s="17" t="str">
        <f t="shared" si="3"/>
        <v>501-1000</v>
      </c>
      <c r="AI386" s="17" t="str">
        <f t="shared" si="4"/>
        <v>101-500</v>
      </c>
    </row>
    <row r="387" ht="15.75" customHeight="1">
      <c r="A387" s="13">
        <f>HYPERLINK("https://app.hubspot.com/contacts/8748051/record/0-3/29538983465", 29538983465)</f>
        <v>29538983465</v>
      </c>
      <c r="B387" s="14" t="s">
        <v>1408</v>
      </c>
      <c r="C387" s="14" t="s">
        <v>145</v>
      </c>
      <c r="D387" s="15">
        <v>48000.0</v>
      </c>
      <c r="E387" s="14" t="s">
        <v>89</v>
      </c>
      <c r="F387" s="14" t="s">
        <v>51</v>
      </c>
      <c r="G387" s="16">
        <v>45621.28089120371</v>
      </c>
      <c r="H387" s="16">
        <v>45911.461180555554</v>
      </c>
      <c r="I387" s="14" t="s">
        <v>39</v>
      </c>
      <c r="J387" s="14" t="s">
        <v>40</v>
      </c>
      <c r="K387" s="14" t="s">
        <v>1358</v>
      </c>
      <c r="L387" s="14" t="s">
        <v>593</v>
      </c>
      <c r="M387" s="14" t="s">
        <v>72</v>
      </c>
      <c r="N387" s="14" t="s">
        <v>1409</v>
      </c>
      <c r="O387" s="14"/>
      <c r="P387" s="14"/>
      <c r="Q387" s="14"/>
      <c r="R387" s="13">
        <f>HYPERLINK("https://app.hubspot.com/contacts/8748051/record/0-2/16065697118", 16065697118)</f>
        <v>16065697118</v>
      </c>
      <c r="S387" s="14" t="s">
        <v>1410</v>
      </c>
      <c r="T387" s="18" t="s">
        <v>1411</v>
      </c>
      <c r="U387" s="14" t="s">
        <v>93</v>
      </c>
      <c r="V387" s="15">
        <v>48000.0</v>
      </c>
      <c r="W387" s="19">
        <v>421.0</v>
      </c>
      <c r="X387" s="19">
        <v>64.0</v>
      </c>
      <c r="Y387" s="20"/>
      <c r="Z387" s="20" t="s">
        <v>348</v>
      </c>
      <c r="AA387" s="21"/>
      <c r="AB387" s="21"/>
      <c r="AC387" s="20" t="s">
        <v>1412</v>
      </c>
      <c r="AD387" s="21"/>
      <c r="AE387" s="20" t="s">
        <v>847</v>
      </c>
      <c r="AF387" s="17" t="str">
        <f t="shared" si="1"/>
        <v>New Logo</v>
      </c>
      <c r="AG387" s="17" t="str">
        <f t="shared" si="2"/>
        <v>Customer</v>
      </c>
      <c r="AH387" s="17" t="str">
        <f t="shared" si="3"/>
        <v>201-500</v>
      </c>
      <c r="AI387" s="17" t="str">
        <f t="shared" si="4"/>
        <v>51-100</v>
      </c>
    </row>
    <row r="388" ht="15.75" customHeight="1">
      <c r="A388" s="13">
        <f>HYPERLINK("https://app.hubspot.com/contacts/8748051/record/0-3/29430556787", 29430556787)</f>
        <v>29430556787</v>
      </c>
      <c r="B388" s="14" t="s">
        <v>1413</v>
      </c>
      <c r="C388" s="14" t="s">
        <v>49</v>
      </c>
      <c r="D388" s="15">
        <v>30000.0</v>
      </c>
      <c r="E388" s="14" t="s">
        <v>124</v>
      </c>
      <c r="F388" s="14" t="s">
        <v>51</v>
      </c>
      <c r="G388" s="16">
        <v>45617.455300925925</v>
      </c>
      <c r="H388" s="16">
        <v>46112.73605324074</v>
      </c>
      <c r="I388" s="14" t="s">
        <v>39</v>
      </c>
      <c r="J388" s="14" t="s">
        <v>40</v>
      </c>
      <c r="K388" s="14" t="s">
        <v>41</v>
      </c>
      <c r="L388" s="14" t="s">
        <v>42</v>
      </c>
      <c r="M388" s="14" t="s">
        <v>43</v>
      </c>
      <c r="N388" s="14"/>
      <c r="O388" s="14"/>
      <c r="P388" s="14"/>
      <c r="Q388" s="14" t="s">
        <v>502</v>
      </c>
      <c r="R388" s="13">
        <f>HYPERLINK("https://app.hubspot.com/contacts/8748051/record/0-2/7902503572", 7902503572)</f>
        <v>7902503572</v>
      </c>
      <c r="S388" s="14" t="s">
        <v>1414</v>
      </c>
      <c r="T388" s="18" t="s">
        <v>1415</v>
      </c>
      <c r="U388" s="14" t="s">
        <v>46</v>
      </c>
      <c r="V388" s="15"/>
      <c r="W388" s="19">
        <v>289.0</v>
      </c>
      <c r="X388" s="19">
        <v>23.0</v>
      </c>
      <c r="Y388" s="20"/>
      <c r="Z388" s="20"/>
      <c r="AA388" s="20"/>
      <c r="AB388" s="21"/>
      <c r="AC388" s="20"/>
      <c r="AD388" s="20"/>
      <c r="AE388" s="20"/>
      <c r="AF388" s="17" t="str">
        <f t="shared" si="1"/>
        <v>New Logo</v>
      </c>
      <c r="AG388" s="17" t="str">
        <f t="shared" si="2"/>
        <v>Lead</v>
      </c>
      <c r="AH388" s="17" t="str">
        <f t="shared" si="3"/>
        <v>201-500</v>
      </c>
      <c r="AI388" s="17" t="str">
        <f t="shared" si="4"/>
        <v>21-50</v>
      </c>
    </row>
    <row r="389" ht="15.75" customHeight="1">
      <c r="A389" s="13">
        <f>HYPERLINK("https://app.hubspot.com/contacts/8748051/record/0-3/29238133398", 29238133398)</f>
        <v>29238133398</v>
      </c>
      <c r="B389" s="14" t="s">
        <v>1416</v>
      </c>
      <c r="C389" s="14" t="s">
        <v>49</v>
      </c>
      <c r="D389" s="15">
        <v>100000.0</v>
      </c>
      <c r="E389" s="14" t="s">
        <v>118</v>
      </c>
      <c r="F389" s="14"/>
      <c r="G389" s="16">
        <v>45614.257731481484</v>
      </c>
      <c r="H389" s="16">
        <v>45869.34417824074</v>
      </c>
      <c r="I389" s="14" t="s">
        <v>39</v>
      </c>
      <c r="J389" s="14" t="s">
        <v>40</v>
      </c>
      <c r="K389" s="14" t="s">
        <v>59</v>
      </c>
      <c r="L389" s="14" t="s">
        <v>175</v>
      </c>
      <c r="M389" s="14" t="s">
        <v>43</v>
      </c>
      <c r="N389" s="14"/>
      <c r="O389" s="14"/>
      <c r="P389" s="14" t="s">
        <v>211</v>
      </c>
      <c r="Q389" s="14"/>
      <c r="R389" s="13">
        <f>HYPERLINK("https://app.hubspot.com/contacts/8748051/record/0-2/15759773545", 15759773545)</f>
        <v>15759773545</v>
      </c>
      <c r="S389" s="14" t="s">
        <v>1417</v>
      </c>
      <c r="T389" s="18" t="s">
        <v>1418</v>
      </c>
      <c r="U389" s="14" t="s">
        <v>46</v>
      </c>
      <c r="V389" s="15"/>
      <c r="W389" s="19">
        <v>9547.0</v>
      </c>
      <c r="X389" s="19">
        <v>2291.0</v>
      </c>
      <c r="Y389" s="20" t="s">
        <v>1419</v>
      </c>
      <c r="Z389" s="20"/>
      <c r="AA389" s="21"/>
      <c r="AB389" s="21"/>
      <c r="AC389" s="20"/>
      <c r="AD389" s="20"/>
      <c r="AE389" s="20"/>
      <c r="AF389" s="17" t="str">
        <f t="shared" si="1"/>
        <v>New Logo</v>
      </c>
      <c r="AG389" s="17" t="str">
        <f t="shared" si="2"/>
        <v>Lead</v>
      </c>
      <c r="AH389" s="17" t="str">
        <f t="shared" si="3"/>
        <v>5000-10000</v>
      </c>
      <c r="AI389" s="17" t="str">
        <f t="shared" si="4"/>
        <v>500+</v>
      </c>
    </row>
    <row r="390" ht="15.75" customHeight="1">
      <c r="A390" s="13">
        <f>HYPERLINK("https://app.hubspot.com/contacts/8748051/record/0-3/29076873138", 29076873138)</f>
        <v>29076873138</v>
      </c>
      <c r="B390" s="14" t="s">
        <v>1420</v>
      </c>
      <c r="C390" s="14" t="s">
        <v>49</v>
      </c>
      <c r="D390" s="15">
        <v>6500.0</v>
      </c>
      <c r="E390" s="14" t="s">
        <v>146</v>
      </c>
      <c r="F390" s="14"/>
      <c r="G390" s="16">
        <v>45609.72452546296</v>
      </c>
      <c r="H390" s="16">
        <v>45636.52125</v>
      </c>
      <c r="I390" s="14" t="s">
        <v>39</v>
      </c>
      <c r="J390" s="14" t="s">
        <v>40</v>
      </c>
      <c r="K390" s="14" t="s">
        <v>41</v>
      </c>
      <c r="L390" s="14" t="s">
        <v>42</v>
      </c>
      <c r="M390" s="14" t="s">
        <v>43</v>
      </c>
      <c r="N390" s="14"/>
      <c r="O390" s="14" t="s">
        <v>1421</v>
      </c>
      <c r="P390" s="14"/>
      <c r="Q390" s="14"/>
      <c r="R390" s="13">
        <f>HYPERLINK("https://app.hubspot.com/contacts/8748051/record/0-2/25806579484", 25806579484)</f>
        <v>25806579484</v>
      </c>
      <c r="S390" s="18" t="s">
        <v>1422</v>
      </c>
      <c r="T390" s="18" t="s">
        <v>1423</v>
      </c>
      <c r="U390" s="14" t="s">
        <v>46</v>
      </c>
      <c r="V390" s="15"/>
      <c r="W390" s="19">
        <v>72.0</v>
      </c>
      <c r="X390" s="19">
        <v>13.0</v>
      </c>
      <c r="Y390" s="20"/>
      <c r="Z390" s="20"/>
      <c r="AA390" s="21"/>
      <c r="AB390" s="21"/>
      <c r="AC390" s="20"/>
      <c r="AD390" s="20"/>
      <c r="AE390" s="20"/>
      <c r="AF390" s="17" t="str">
        <f t="shared" si="1"/>
        <v>New Logo</v>
      </c>
      <c r="AG390" s="17" t="str">
        <f t="shared" si="2"/>
        <v>Lead</v>
      </c>
      <c r="AH390" s="17" t="str">
        <f t="shared" si="3"/>
        <v>0-200</v>
      </c>
      <c r="AI390" s="17" t="str">
        <f t="shared" si="4"/>
        <v>0-20</v>
      </c>
    </row>
    <row r="391" ht="15.75" customHeight="1">
      <c r="A391" s="13">
        <f>HYPERLINK("https://app.hubspot.com/contacts/8748051/record/0-3/29052533616", 29052533616)</f>
        <v>29052533616</v>
      </c>
      <c r="B391" s="14" t="s">
        <v>1424</v>
      </c>
      <c r="C391" s="14" t="s">
        <v>49</v>
      </c>
      <c r="D391" s="15">
        <v>62000.0</v>
      </c>
      <c r="E391" s="14" t="s">
        <v>118</v>
      </c>
      <c r="F391" s="14"/>
      <c r="G391" s="16">
        <v>45609.24107638889</v>
      </c>
      <c r="H391" s="16">
        <v>45790.28229166667</v>
      </c>
      <c r="I391" s="14" t="s">
        <v>39</v>
      </c>
      <c r="J391" s="14" t="s">
        <v>52</v>
      </c>
      <c r="K391" s="14" t="s">
        <v>59</v>
      </c>
      <c r="L391" s="14" t="s">
        <v>175</v>
      </c>
      <c r="M391" s="14" t="s">
        <v>43</v>
      </c>
      <c r="N391" s="14"/>
      <c r="O391" s="14"/>
      <c r="P391" s="14" t="s">
        <v>232</v>
      </c>
      <c r="Q391" s="14"/>
      <c r="R391" s="13">
        <f>HYPERLINK("https://app.hubspot.com/contacts/8748051/record/0-2/16065608240", 16065608240)</f>
        <v>16065608240</v>
      </c>
      <c r="S391" s="14" t="s">
        <v>1425</v>
      </c>
      <c r="T391" s="18" t="s">
        <v>1426</v>
      </c>
      <c r="U391" s="14" t="s">
        <v>46</v>
      </c>
      <c r="V391" s="15"/>
      <c r="W391" s="19">
        <v>1467.0</v>
      </c>
      <c r="X391" s="19">
        <v>130.0</v>
      </c>
      <c r="Y391" s="20" t="s">
        <v>104</v>
      </c>
      <c r="Z391" s="20"/>
      <c r="AA391" s="20"/>
      <c r="AB391" s="20"/>
      <c r="AC391" s="20"/>
      <c r="AD391" s="21"/>
      <c r="AE391" s="20"/>
      <c r="AF391" s="17" t="str">
        <f t="shared" si="1"/>
        <v>New Logo</v>
      </c>
      <c r="AG391" s="17" t="str">
        <f t="shared" si="2"/>
        <v>Lead</v>
      </c>
      <c r="AH391" s="17" t="str">
        <f t="shared" si="3"/>
        <v>1001-5000</v>
      </c>
      <c r="AI391" s="17" t="str">
        <f t="shared" si="4"/>
        <v>101-500</v>
      </c>
    </row>
    <row r="392" ht="15.75" customHeight="1">
      <c r="A392" s="13">
        <f>HYPERLINK("https://app.hubspot.com/contacts/8748051/record/0-3/28937055552", 28937055552)</f>
        <v>28937055552</v>
      </c>
      <c r="B392" s="14" t="s">
        <v>1427</v>
      </c>
      <c r="C392" s="14" t="s">
        <v>145</v>
      </c>
      <c r="D392" s="15">
        <v>25000.0</v>
      </c>
      <c r="E392" s="14" t="s">
        <v>146</v>
      </c>
      <c r="F392" s="14" t="s">
        <v>51</v>
      </c>
      <c r="G392" s="16">
        <v>45607.32482638889</v>
      </c>
      <c r="H392" s="16">
        <v>45812.3959837963</v>
      </c>
      <c r="I392" s="14" t="s">
        <v>39</v>
      </c>
      <c r="J392" s="14" t="s">
        <v>52</v>
      </c>
      <c r="K392" s="14" t="s">
        <v>41</v>
      </c>
      <c r="L392" s="14" t="s">
        <v>42</v>
      </c>
      <c r="M392" s="14" t="s">
        <v>43</v>
      </c>
      <c r="N392" s="14"/>
      <c r="O392" s="14" t="s">
        <v>1428</v>
      </c>
      <c r="P392" s="14"/>
      <c r="Q392" s="14"/>
      <c r="R392" s="13">
        <f>HYPERLINK("https://app.hubspot.com/contacts/8748051/record/0-2/7589543573", 7589543573)</f>
        <v>7589543573</v>
      </c>
      <c r="S392" s="14" t="s">
        <v>1429</v>
      </c>
      <c r="T392" s="18" t="s">
        <v>1430</v>
      </c>
      <c r="U392" s="14" t="s">
        <v>46</v>
      </c>
      <c r="V392" s="15"/>
      <c r="W392" s="19">
        <v>211.0</v>
      </c>
      <c r="X392" s="19">
        <v>45.0</v>
      </c>
      <c r="Y392" s="20" t="s">
        <v>70</v>
      </c>
      <c r="Z392" s="20"/>
      <c r="AA392" s="20"/>
      <c r="AB392" s="21"/>
      <c r="AC392" s="20"/>
      <c r="AD392" s="20"/>
      <c r="AE392" s="20"/>
      <c r="AF392" s="17" t="str">
        <f t="shared" si="1"/>
        <v>New Logo</v>
      </c>
      <c r="AG392" s="17" t="str">
        <f t="shared" si="2"/>
        <v>Lead</v>
      </c>
      <c r="AH392" s="17" t="str">
        <f t="shared" si="3"/>
        <v>201-500</v>
      </c>
      <c r="AI392" s="17" t="str">
        <f t="shared" si="4"/>
        <v>21-50</v>
      </c>
    </row>
    <row r="393" ht="15.75" customHeight="1">
      <c r="A393" s="13">
        <f>HYPERLINK("https://app.hubspot.com/contacts/8748051/record/0-3/28887370633", 28887370633)</f>
        <v>28887370633</v>
      </c>
      <c r="B393" s="14" t="s">
        <v>1431</v>
      </c>
      <c r="C393" s="14" t="s">
        <v>37</v>
      </c>
      <c r="D393" s="15">
        <v>25000.0</v>
      </c>
      <c r="E393" s="14" t="s">
        <v>124</v>
      </c>
      <c r="F393" s="14" t="s">
        <v>51</v>
      </c>
      <c r="G393" s="16">
        <v>45607.093460648146</v>
      </c>
      <c r="H393" s="16">
        <v>45930.0</v>
      </c>
      <c r="I393" s="14" t="s">
        <v>39</v>
      </c>
      <c r="J393" s="14" t="s">
        <v>52</v>
      </c>
      <c r="K393" s="14" t="s">
        <v>41</v>
      </c>
      <c r="L393" s="14" t="s">
        <v>42</v>
      </c>
      <c r="M393" s="14" t="s">
        <v>43</v>
      </c>
      <c r="N393" s="14"/>
      <c r="O393" s="17"/>
      <c r="P393" s="14"/>
      <c r="Q393" s="14" t="s">
        <v>125</v>
      </c>
      <c r="R393" s="13">
        <f>HYPERLINK("https://app.hubspot.com/contacts/8748051/record/0-2/7893085080", 7893085080)</f>
        <v>7893085080</v>
      </c>
      <c r="S393" s="14" t="s">
        <v>1432</v>
      </c>
      <c r="T393" s="18" t="s">
        <v>1433</v>
      </c>
      <c r="U393" s="14" t="s">
        <v>46</v>
      </c>
      <c r="V393" s="15"/>
      <c r="W393" s="19">
        <v>211.0</v>
      </c>
      <c r="X393" s="19">
        <v>24.0</v>
      </c>
      <c r="Y393" s="20"/>
      <c r="Z393" s="20"/>
      <c r="AA393" s="20"/>
      <c r="AB393" s="20"/>
      <c r="AC393" s="20"/>
      <c r="AD393" s="20"/>
      <c r="AE393" s="20"/>
      <c r="AF393" s="17" t="str">
        <f t="shared" si="1"/>
        <v>New Logo</v>
      </c>
      <c r="AG393" s="17" t="str">
        <f t="shared" si="2"/>
        <v>Lead</v>
      </c>
      <c r="AH393" s="17" t="str">
        <f t="shared" si="3"/>
        <v>201-500</v>
      </c>
      <c r="AI393" s="17" t="str">
        <f t="shared" si="4"/>
        <v>21-50</v>
      </c>
    </row>
    <row r="394" ht="15.75" customHeight="1">
      <c r="A394" s="13">
        <f>HYPERLINK("https://app.hubspot.com/contacts/8748051/record/0-3/28783885400", 28783885400)</f>
        <v>28783885400</v>
      </c>
      <c r="B394" s="14" t="s">
        <v>1434</v>
      </c>
      <c r="C394" s="14" t="s">
        <v>49</v>
      </c>
      <c r="D394" s="15">
        <v>40500.0</v>
      </c>
      <c r="E394" s="14" t="s">
        <v>124</v>
      </c>
      <c r="F394" s="14"/>
      <c r="G394" s="16">
        <v>45602.46773148148</v>
      </c>
      <c r="H394" s="16">
        <v>45930.492800925924</v>
      </c>
      <c r="I394" s="14" t="s">
        <v>39</v>
      </c>
      <c r="J394" s="14" t="s">
        <v>52</v>
      </c>
      <c r="K394" s="14" t="s">
        <v>59</v>
      </c>
      <c r="L394" s="14" t="s">
        <v>175</v>
      </c>
      <c r="M394" s="14" t="s">
        <v>43</v>
      </c>
      <c r="N394" s="14"/>
      <c r="O394" s="14"/>
      <c r="P394" s="14"/>
      <c r="Q394" s="14" t="s">
        <v>125</v>
      </c>
      <c r="R394" s="13">
        <f>HYPERLINK("https://app.hubspot.com/contacts/8748051/record/0-2/18002958357", 18002958357)</f>
        <v>18002958357</v>
      </c>
      <c r="S394" s="14" t="s">
        <v>1435</v>
      </c>
      <c r="T394" s="18" t="s">
        <v>1436</v>
      </c>
      <c r="U394" s="14" t="s">
        <v>46</v>
      </c>
      <c r="V394" s="15"/>
      <c r="W394" s="19">
        <v>2373.0</v>
      </c>
      <c r="X394" s="19">
        <v>139.0</v>
      </c>
      <c r="Y394" s="20" t="s">
        <v>55</v>
      </c>
      <c r="Z394" s="20"/>
      <c r="AA394" s="20"/>
      <c r="AB394" s="21"/>
      <c r="AC394" s="20"/>
      <c r="AD394" s="20"/>
      <c r="AE394" s="20"/>
      <c r="AF394" s="17" t="str">
        <f t="shared" si="1"/>
        <v>New Logo</v>
      </c>
      <c r="AG394" s="17" t="str">
        <f t="shared" si="2"/>
        <v>Lead</v>
      </c>
      <c r="AH394" s="17" t="str">
        <f t="shared" si="3"/>
        <v>1001-5000</v>
      </c>
      <c r="AI394" s="17" t="str">
        <f t="shared" si="4"/>
        <v>101-500</v>
      </c>
    </row>
    <row r="395" ht="15.75" customHeight="1">
      <c r="A395" s="13">
        <f>HYPERLINK("https://app.hubspot.com/contacts/8748051/record/0-3/28713160476", 28713160476)</f>
        <v>28713160476</v>
      </c>
      <c r="B395" s="14" t="s">
        <v>1437</v>
      </c>
      <c r="C395" s="14" t="s">
        <v>145</v>
      </c>
      <c r="D395" s="15">
        <v>23244.0</v>
      </c>
      <c r="E395" s="14" t="s">
        <v>89</v>
      </c>
      <c r="F395" s="14" t="s">
        <v>51</v>
      </c>
      <c r="G395" s="16">
        <v>45600.61954861111</v>
      </c>
      <c r="H395" s="16">
        <v>45649.632835648146</v>
      </c>
      <c r="I395" s="14" t="s">
        <v>39</v>
      </c>
      <c r="J395" s="14" t="s">
        <v>40</v>
      </c>
      <c r="K395" s="14" t="s">
        <v>41</v>
      </c>
      <c r="L395" s="14" t="s">
        <v>42</v>
      </c>
      <c r="M395" s="14" t="s">
        <v>43</v>
      </c>
      <c r="N395" s="14" t="s">
        <v>1438</v>
      </c>
      <c r="O395" s="17"/>
      <c r="P395" s="14"/>
      <c r="Q395" s="17"/>
      <c r="R395" s="13">
        <f>HYPERLINK("https://app.hubspot.com/contacts/8748051/record/0-2/7945231785", 7945231785)</f>
        <v>7945231785</v>
      </c>
      <c r="S395" s="14" t="s">
        <v>1439</v>
      </c>
      <c r="T395" s="18" t="s">
        <v>1440</v>
      </c>
      <c r="U395" s="14" t="s">
        <v>93</v>
      </c>
      <c r="V395" s="15">
        <v>23244.0</v>
      </c>
      <c r="W395" s="19">
        <v>125.0</v>
      </c>
      <c r="X395" s="19">
        <v>12.0</v>
      </c>
      <c r="Y395" s="20"/>
      <c r="Z395" s="20" t="s">
        <v>184</v>
      </c>
      <c r="AA395" s="20" t="s">
        <v>205</v>
      </c>
      <c r="AB395" s="21"/>
      <c r="AC395" s="20" t="s">
        <v>509</v>
      </c>
      <c r="AD395" s="20"/>
      <c r="AE395" s="20" t="s">
        <v>166</v>
      </c>
      <c r="AF395" s="17" t="str">
        <f t="shared" si="1"/>
        <v>New Logo</v>
      </c>
      <c r="AG395" s="17" t="str">
        <f t="shared" si="2"/>
        <v>Customer</v>
      </c>
      <c r="AH395" s="17" t="str">
        <f t="shared" si="3"/>
        <v>0-200</v>
      </c>
      <c r="AI395" s="17" t="str">
        <f t="shared" si="4"/>
        <v>0-20</v>
      </c>
    </row>
    <row r="396" ht="15.75" customHeight="1">
      <c r="A396" s="13">
        <f>HYPERLINK("https://app.hubspot.com/contacts/8748051/record/0-3/28529985366", 28529985366)</f>
        <v>28529985366</v>
      </c>
      <c r="B396" s="14" t="s">
        <v>1441</v>
      </c>
      <c r="C396" s="14" t="s">
        <v>49</v>
      </c>
      <c r="D396" s="15">
        <v>96500.0</v>
      </c>
      <c r="E396" s="14" t="s">
        <v>118</v>
      </c>
      <c r="F396" s="14"/>
      <c r="G396" s="16">
        <v>45595.42728009259</v>
      </c>
      <c r="H396" s="16">
        <v>45777.42680555556</v>
      </c>
      <c r="I396" s="14" t="s">
        <v>39</v>
      </c>
      <c r="J396" s="14" t="s">
        <v>52</v>
      </c>
      <c r="K396" s="14" t="s">
        <v>59</v>
      </c>
      <c r="L396" s="14" t="s">
        <v>175</v>
      </c>
      <c r="M396" s="14" t="s">
        <v>43</v>
      </c>
      <c r="N396" s="14"/>
      <c r="O396" s="14"/>
      <c r="P396" s="14" t="s">
        <v>119</v>
      </c>
      <c r="Q396" s="14"/>
      <c r="R396" s="13">
        <f>HYPERLINK("https://app.hubspot.com/contacts/8748051/record/0-2/8724276354", 8724276354)</f>
        <v>8724276354</v>
      </c>
      <c r="S396" s="14" t="s">
        <v>1336</v>
      </c>
      <c r="T396" s="18" t="s">
        <v>1337</v>
      </c>
      <c r="U396" s="14" t="s">
        <v>46</v>
      </c>
      <c r="V396" s="15"/>
      <c r="W396" s="19">
        <v>1516.0</v>
      </c>
      <c r="X396" s="19">
        <v>202.0</v>
      </c>
      <c r="Y396" s="20" t="s">
        <v>55</v>
      </c>
      <c r="Z396" s="20"/>
      <c r="AA396" s="21"/>
      <c r="AB396" s="21"/>
      <c r="AC396" s="20"/>
      <c r="AD396" s="20"/>
      <c r="AE396" s="20"/>
      <c r="AF396" s="17" t="str">
        <f t="shared" si="1"/>
        <v>New Logo</v>
      </c>
      <c r="AG396" s="17" t="str">
        <f t="shared" si="2"/>
        <v>Lead</v>
      </c>
      <c r="AH396" s="17" t="str">
        <f t="shared" si="3"/>
        <v>1001-5000</v>
      </c>
      <c r="AI396" s="17" t="str">
        <f t="shared" si="4"/>
        <v>101-500</v>
      </c>
    </row>
    <row r="397" ht="15.75" customHeight="1">
      <c r="A397" s="13">
        <f>HYPERLINK("https://app.hubspot.com/contacts/8748051/record/0-3/28468857859", 28468857859)</f>
        <v>28468857859</v>
      </c>
      <c r="B397" s="14" t="s">
        <v>1442</v>
      </c>
      <c r="C397" s="14" t="s">
        <v>145</v>
      </c>
      <c r="D397" s="15">
        <v>24816.0</v>
      </c>
      <c r="E397" s="14" t="s">
        <v>89</v>
      </c>
      <c r="F397" s="14" t="s">
        <v>51</v>
      </c>
      <c r="G397" s="16">
        <v>45594.67229166667</v>
      </c>
      <c r="H397" s="16">
        <v>45657.508622685185</v>
      </c>
      <c r="I397" s="14" t="s">
        <v>39</v>
      </c>
      <c r="J397" s="14" t="s">
        <v>40</v>
      </c>
      <c r="K397" s="14" t="s">
        <v>41</v>
      </c>
      <c r="L397" s="14" t="s">
        <v>42</v>
      </c>
      <c r="M397" s="14" t="s">
        <v>43</v>
      </c>
      <c r="N397" s="14" t="s">
        <v>1443</v>
      </c>
      <c r="O397" s="14"/>
      <c r="P397" s="14"/>
      <c r="Q397" s="14"/>
      <c r="R397" s="13">
        <f>HYPERLINK("https://app.hubspot.com/contacts/8748051/record/0-2/8601300377", 8601300377)</f>
        <v>8601300377</v>
      </c>
      <c r="S397" s="14" t="s">
        <v>1204</v>
      </c>
      <c r="T397" s="18" t="s">
        <v>1205</v>
      </c>
      <c r="U397" s="14" t="s">
        <v>93</v>
      </c>
      <c r="V397" s="15">
        <v>32151.0</v>
      </c>
      <c r="W397" s="19">
        <v>136.0</v>
      </c>
      <c r="X397" s="19">
        <v>27.0</v>
      </c>
      <c r="Y397" s="20"/>
      <c r="Z397" s="20" t="s">
        <v>218</v>
      </c>
      <c r="AA397" s="20"/>
      <c r="AB397" s="20"/>
      <c r="AC397" s="20" t="s">
        <v>461</v>
      </c>
      <c r="AD397" s="20" t="s">
        <v>1206</v>
      </c>
      <c r="AE397" s="20" t="s">
        <v>166</v>
      </c>
      <c r="AF397" s="17" t="str">
        <f t="shared" si="1"/>
        <v>New Logo</v>
      </c>
      <c r="AG397" s="17" t="str">
        <f t="shared" si="2"/>
        <v>Customer</v>
      </c>
      <c r="AH397" s="17" t="str">
        <f t="shared" si="3"/>
        <v>0-200</v>
      </c>
      <c r="AI397" s="17" t="str">
        <f t="shared" si="4"/>
        <v>21-50</v>
      </c>
    </row>
    <row r="398" ht="15.75" customHeight="1">
      <c r="A398" s="13">
        <f>HYPERLINK("https://app.hubspot.com/contacts/8748051/record/0-3/28468856854", 28468856854)</f>
        <v>28468856854</v>
      </c>
      <c r="B398" s="14" t="s">
        <v>1444</v>
      </c>
      <c r="C398" s="14" t="s">
        <v>145</v>
      </c>
      <c r="D398" s="15">
        <v>22000.0</v>
      </c>
      <c r="E398" s="14" t="s">
        <v>124</v>
      </c>
      <c r="F398" s="14"/>
      <c r="G398" s="16">
        <v>45594.66789351852</v>
      </c>
      <c r="H398" s="16">
        <v>45776.66724537037</v>
      </c>
      <c r="I398" s="14" t="s">
        <v>39</v>
      </c>
      <c r="J398" s="14" t="s">
        <v>40</v>
      </c>
      <c r="K398" s="14" t="s">
        <v>59</v>
      </c>
      <c r="L398" s="14" t="s">
        <v>175</v>
      </c>
      <c r="M398" s="14" t="s">
        <v>43</v>
      </c>
      <c r="N398" s="14"/>
      <c r="O398" s="14"/>
      <c r="P398" s="14"/>
      <c r="Q398" s="14" t="s">
        <v>125</v>
      </c>
      <c r="R398" s="13">
        <f>HYPERLINK("https://app.hubspot.com/contacts/8748051/record/0-2/8929875056", 8929875056)</f>
        <v>8929875056</v>
      </c>
      <c r="S398" s="14" t="s">
        <v>1445</v>
      </c>
      <c r="T398" s="18" t="s">
        <v>1446</v>
      </c>
      <c r="U398" s="14" t="s">
        <v>46</v>
      </c>
      <c r="V398" s="15"/>
      <c r="W398" s="19">
        <v>156.0</v>
      </c>
      <c r="X398" s="19">
        <v>53.0</v>
      </c>
      <c r="Y398" s="20" t="s">
        <v>70</v>
      </c>
      <c r="Z398" s="20"/>
      <c r="AA398" s="20"/>
      <c r="AB398" s="20"/>
      <c r="AC398" s="20"/>
      <c r="AD398" s="20"/>
      <c r="AE398" s="20"/>
      <c r="AF398" s="17" t="str">
        <f t="shared" si="1"/>
        <v>New Logo</v>
      </c>
      <c r="AG398" s="17" t="str">
        <f t="shared" si="2"/>
        <v>Lead</v>
      </c>
      <c r="AH398" s="17" t="str">
        <f t="shared" si="3"/>
        <v>0-200</v>
      </c>
      <c r="AI398" s="17" t="str">
        <f t="shared" si="4"/>
        <v>51-100</v>
      </c>
    </row>
    <row r="399" ht="15.75" customHeight="1">
      <c r="A399" s="13">
        <f>HYPERLINK("https://app.hubspot.com/contacts/8748051/record/0-3/28455181999", 28455181999)</f>
        <v>28455181999</v>
      </c>
      <c r="B399" s="14" t="s">
        <v>1447</v>
      </c>
      <c r="C399" s="14" t="s">
        <v>145</v>
      </c>
      <c r="D399" s="15">
        <v>3000.0</v>
      </c>
      <c r="E399" s="14" t="s">
        <v>89</v>
      </c>
      <c r="F399" s="14" t="s">
        <v>51</v>
      </c>
      <c r="G399" s="16">
        <v>45594.3278125</v>
      </c>
      <c r="H399" s="16">
        <v>45595.21581018518</v>
      </c>
      <c r="I399" s="14" t="s">
        <v>39</v>
      </c>
      <c r="J399" s="14" t="s">
        <v>179</v>
      </c>
      <c r="K399" s="14" t="s">
        <v>41</v>
      </c>
      <c r="L399" s="14" t="s">
        <v>448</v>
      </c>
      <c r="M399" s="14" t="s">
        <v>43</v>
      </c>
      <c r="N399" s="14" t="s">
        <v>1448</v>
      </c>
      <c r="O399" s="17"/>
      <c r="P399" s="14"/>
      <c r="Q399" s="14"/>
      <c r="R399" s="13">
        <f>HYPERLINK("https://app.hubspot.com/contacts/8748051/record/0-2/4761860926", 4761860926)</f>
        <v>4761860926</v>
      </c>
      <c r="S399" s="14" t="s">
        <v>1449</v>
      </c>
      <c r="T399" s="18" t="s">
        <v>1450</v>
      </c>
      <c r="U399" s="14" t="s">
        <v>93</v>
      </c>
      <c r="V399" s="15">
        <v>17400.0</v>
      </c>
      <c r="W399" s="19">
        <v>1173.0</v>
      </c>
      <c r="X399" s="19">
        <v>62.0</v>
      </c>
      <c r="Y399" s="20"/>
      <c r="Z399" s="20" t="s">
        <v>218</v>
      </c>
      <c r="AA399" s="20"/>
      <c r="AB399" s="20"/>
      <c r="AC399" s="20" t="s">
        <v>1451</v>
      </c>
      <c r="AD399" s="20" t="s">
        <v>1452</v>
      </c>
      <c r="AE399" s="20" t="s">
        <v>166</v>
      </c>
      <c r="AF399" s="17" t="str">
        <f t="shared" si="1"/>
        <v>Upsell</v>
      </c>
      <c r="AG399" s="17" t="str">
        <f t="shared" si="2"/>
        <v>Customer</v>
      </c>
      <c r="AH399" s="17" t="str">
        <f t="shared" si="3"/>
        <v>1001-5000</v>
      </c>
      <c r="AI399" s="17" t="str">
        <f t="shared" si="4"/>
        <v>51-100</v>
      </c>
    </row>
    <row r="400" ht="15.75" customHeight="1">
      <c r="A400" s="13">
        <f>HYPERLINK("https://app.hubspot.com/contacts/8748051/record/0-3/28376225033", 28376225033)</f>
        <v>28376225033</v>
      </c>
      <c r="B400" s="14" t="s">
        <v>1453</v>
      </c>
      <c r="C400" s="14" t="s">
        <v>1227</v>
      </c>
      <c r="D400" s="15">
        <v>51000.0</v>
      </c>
      <c r="E400" s="14" t="s">
        <v>89</v>
      </c>
      <c r="F400" s="14" t="s">
        <v>51</v>
      </c>
      <c r="G400" s="16">
        <v>45592.80636574074</v>
      </c>
      <c r="H400" s="16">
        <v>45657.38599537037</v>
      </c>
      <c r="I400" s="14" t="s">
        <v>39</v>
      </c>
      <c r="J400" s="14" t="s">
        <v>40</v>
      </c>
      <c r="K400" s="14" t="s">
        <v>59</v>
      </c>
      <c r="L400" s="14" t="s">
        <v>448</v>
      </c>
      <c r="M400" s="14" t="s">
        <v>43</v>
      </c>
      <c r="N400" s="14" t="s">
        <v>1454</v>
      </c>
      <c r="O400" s="14"/>
      <c r="P400" s="14"/>
      <c r="Q400" s="14"/>
      <c r="R400" s="13">
        <f>HYPERLINK("https://app.hubspot.com/contacts/8748051/record/0-2/19176648024", 19176648024)</f>
        <v>19176648024</v>
      </c>
      <c r="S400" s="14" t="s">
        <v>1455</v>
      </c>
      <c r="T400" s="18" t="s">
        <v>1456</v>
      </c>
      <c r="U400" s="14" t="s">
        <v>93</v>
      </c>
      <c r="V400" s="15">
        <v>51000.0</v>
      </c>
      <c r="W400" s="19">
        <v>233.0</v>
      </c>
      <c r="X400" s="19">
        <v>47.0</v>
      </c>
      <c r="Y400" s="20"/>
      <c r="Z400" s="20" t="s">
        <v>184</v>
      </c>
      <c r="AA400" s="20" t="s">
        <v>205</v>
      </c>
      <c r="AB400" s="20" t="s">
        <v>206</v>
      </c>
      <c r="AC400" s="20" t="s">
        <v>1457</v>
      </c>
      <c r="AD400" s="20"/>
      <c r="AE400" s="20" t="s">
        <v>166</v>
      </c>
      <c r="AF400" s="17" t="str">
        <f t="shared" si="1"/>
        <v>New Logo</v>
      </c>
      <c r="AG400" s="17" t="str">
        <f t="shared" si="2"/>
        <v>Customer</v>
      </c>
      <c r="AH400" s="17" t="str">
        <f t="shared" si="3"/>
        <v>201-500</v>
      </c>
      <c r="AI400" s="17" t="str">
        <f t="shared" si="4"/>
        <v>21-50</v>
      </c>
    </row>
    <row r="401" ht="15.75" customHeight="1">
      <c r="A401" s="13">
        <f>HYPERLINK("https://app.hubspot.com/contacts/8748051/record/0-3/28348018291", 28348018291)</f>
        <v>28348018291</v>
      </c>
      <c r="B401" s="14" t="s">
        <v>1458</v>
      </c>
      <c r="C401" s="14" t="s">
        <v>49</v>
      </c>
      <c r="D401" s="15">
        <v>47400.0</v>
      </c>
      <c r="E401" s="14" t="s">
        <v>89</v>
      </c>
      <c r="F401" s="14" t="s">
        <v>51</v>
      </c>
      <c r="G401" s="16">
        <v>45589.969293981485</v>
      </c>
      <c r="H401" s="16">
        <v>45742.69427083333</v>
      </c>
      <c r="I401" s="14" t="s">
        <v>39</v>
      </c>
      <c r="J401" s="14" t="s">
        <v>40</v>
      </c>
      <c r="K401" s="14" t="s">
        <v>158</v>
      </c>
      <c r="L401" s="14" t="s">
        <v>714</v>
      </c>
      <c r="M401" s="14" t="s">
        <v>43</v>
      </c>
      <c r="N401" s="14" t="s">
        <v>1459</v>
      </c>
      <c r="O401" s="14"/>
      <c r="P401" s="14"/>
      <c r="Q401" s="14"/>
      <c r="R401" s="13">
        <f>HYPERLINK("https://app.hubspot.com/contacts/8748051/record/0-2/7863723650", 7863723650)</f>
        <v>7863723650</v>
      </c>
      <c r="S401" s="14" t="s">
        <v>874</v>
      </c>
      <c r="T401" s="18" t="s">
        <v>875</v>
      </c>
      <c r="U401" s="14" t="s">
        <v>93</v>
      </c>
      <c r="V401" s="15">
        <v>65400.0</v>
      </c>
      <c r="W401" s="19">
        <v>650.0</v>
      </c>
      <c r="X401" s="19">
        <v>135.0</v>
      </c>
      <c r="Y401" s="20"/>
      <c r="Z401" s="20" t="s">
        <v>184</v>
      </c>
      <c r="AA401" s="20" t="s">
        <v>205</v>
      </c>
      <c r="AB401" s="21"/>
      <c r="AC401" s="20" t="s">
        <v>876</v>
      </c>
      <c r="AD401" s="20" t="s">
        <v>877</v>
      </c>
      <c r="AE401" s="20" t="s">
        <v>166</v>
      </c>
      <c r="AF401" s="17" t="str">
        <f t="shared" si="1"/>
        <v>New Logo</v>
      </c>
      <c r="AG401" s="17" t="str">
        <f t="shared" si="2"/>
        <v>Customer</v>
      </c>
      <c r="AH401" s="17" t="str">
        <f t="shared" si="3"/>
        <v>501-1000</v>
      </c>
      <c r="AI401" s="17" t="str">
        <f t="shared" si="4"/>
        <v>101-500</v>
      </c>
    </row>
    <row r="402" ht="15.75" customHeight="1">
      <c r="A402" s="13">
        <f>HYPERLINK("https://app.hubspot.com/contacts/8748051/record/0-3/23161767805", 23161767805)</f>
        <v>23161767805</v>
      </c>
      <c r="B402" s="14" t="s">
        <v>1460</v>
      </c>
      <c r="C402" s="14" t="s">
        <v>37</v>
      </c>
      <c r="D402" s="15">
        <v>28500.0</v>
      </c>
      <c r="E402" s="14" t="s">
        <v>118</v>
      </c>
      <c r="F402" s="14"/>
      <c r="G402" s="16">
        <v>45576.53197916667</v>
      </c>
      <c r="H402" s="16">
        <v>45758.53123842592</v>
      </c>
      <c r="I402" s="14" t="s">
        <v>39</v>
      </c>
      <c r="J402" s="14" t="s">
        <v>40</v>
      </c>
      <c r="K402" s="14" t="s">
        <v>59</v>
      </c>
      <c r="L402" s="14" t="s">
        <v>175</v>
      </c>
      <c r="M402" s="14" t="s">
        <v>43</v>
      </c>
      <c r="N402" s="14"/>
      <c r="O402" s="14"/>
      <c r="P402" s="14"/>
      <c r="Q402" s="14"/>
      <c r="R402" s="13">
        <f>HYPERLINK("https://app.hubspot.com/contacts/8748051/record/0-2/19176647953", 19176647953)</f>
        <v>19176647953</v>
      </c>
      <c r="S402" s="14" t="s">
        <v>1461</v>
      </c>
      <c r="T402" s="18" t="s">
        <v>1462</v>
      </c>
      <c r="U402" s="14" t="s">
        <v>46</v>
      </c>
      <c r="V402" s="15"/>
      <c r="W402" s="19">
        <v>190.0</v>
      </c>
      <c r="X402" s="19">
        <v>63.0</v>
      </c>
      <c r="Y402" s="20" t="s">
        <v>70</v>
      </c>
      <c r="Z402" s="20"/>
      <c r="AA402" s="20"/>
      <c r="AB402" s="21"/>
      <c r="AC402" s="20"/>
      <c r="AD402" s="20"/>
      <c r="AE402" s="20"/>
      <c r="AF402" s="17" t="str">
        <f t="shared" si="1"/>
        <v>New Logo</v>
      </c>
      <c r="AG402" s="17" t="str">
        <f t="shared" si="2"/>
        <v>Lead</v>
      </c>
      <c r="AH402" s="17" t="str">
        <f t="shared" si="3"/>
        <v>0-200</v>
      </c>
      <c r="AI402" s="17" t="str">
        <f t="shared" si="4"/>
        <v>51-100</v>
      </c>
    </row>
    <row r="403" ht="15.75" customHeight="1">
      <c r="A403" s="13">
        <f>HYPERLINK("https://app.hubspot.com/contacts/8748051/record/0-3/23152995192", 23152995192)</f>
        <v>23152995192</v>
      </c>
      <c r="B403" s="14" t="s">
        <v>1463</v>
      </c>
      <c r="C403" s="14" t="s">
        <v>49</v>
      </c>
      <c r="D403" s="15">
        <v>40000.0</v>
      </c>
      <c r="E403" s="14" t="s">
        <v>124</v>
      </c>
      <c r="F403" s="14" t="s">
        <v>51</v>
      </c>
      <c r="G403" s="16">
        <v>45576.361550925925</v>
      </c>
      <c r="H403" s="16">
        <v>45659.14740740741</v>
      </c>
      <c r="I403" s="14" t="s">
        <v>39</v>
      </c>
      <c r="J403" s="14" t="s">
        <v>40</v>
      </c>
      <c r="K403" s="14" t="s">
        <v>1186</v>
      </c>
      <c r="L403" s="14" t="s">
        <v>559</v>
      </c>
      <c r="M403" s="14" t="s">
        <v>72</v>
      </c>
      <c r="N403" s="14"/>
      <c r="O403" s="14" t="s">
        <v>1464</v>
      </c>
      <c r="P403" s="14"/>
      <c r="Q403" s="14" t="s">
        <v>125</v>
      </c>
      <c r="R403" s="13">
        <f>HYPERLINK("https://app.hubspot.com/contacts/8748051/record/0-2/9284099377", 9284099377)</f>
        <v>9284099377</v>
      </c>
      <c r="S403" s="14" t="s">
        <v>955</v>
      </c>
      <c r="T403" s="18" t="s">
        <v>956</v>
      </c>
      <c r="U403" s="14" t="s">
        <v>46</v>
      </c>
      <c r="V403" s="15"/>
      <c r="W403" s="19">
        <v>1509.0</v>
      </c>
      <c r="X403" s="19">
        <v>198.0</v>
      </c>
      <c r="Y403" s="20" t="s">
        <v>55</v>
      </c>
      <c r="Z403" s="20"/>
      <c r="AA403" s="21"/>
      <c r="AB403" s="21"/>
      <c r="AC403" s="20"/>
      <c r="AD403" s="20"/>
      <c r="AE403" s="20"/>
      <c r="AF403" s="17" t="str">
        <f t="shared" si="1"/>
        <v>New Logo</v>
      </c>
      <c r="AG403" s="17" t="str">
        <f t="shared" si="2"/>
        <v>Lead</v>
      </c>
      <c r="AH403" s="17" t="str">
        <f t="shared" si="3"/>
        <v>1001-5000</v>
      </c>
      <c r="AI403" s="17" t="str">
        <f t="shared" si="4"/>
        <v>101-500</v>
      </c>
    </row>
    <row r="404" ht="15.75" customHeight="1">
      <c r="A404" s="13">
        <f>HYPERLINK("https://app.hubspot.com/contacts/8748051/record/0-3/44000384344", 44000384344)</f>
        <v>44000384344</v>
      </c>
      <c r="B404" s="14" t="s">
        <v>1465</v>
      </c>
      <c r="C404" s="14" t="s">
        <v>156</v>
      </c>
      <c r="D404" s="15">
        <v>-5600.0</v>
      </c>
      <c r="E404" s="14" t="s">
        <v>89</v>
      </c>
      <c r="F404" s="14"/>
      <c r="G404" s="16">
        <v>45575.66027777778</v>
      </c>
      <c r="H404" s="16">
        <v>45575.66028935185</v>
      </c>
      <c r="I404" s="14" t="s">
        <v>39</v>
      </c>
      <c r="J404" s="14" t="s">
        <v>157</v>
      </c>
      <c r="K404" s="14" t="s">
        <v>158</v>
      </c>
      <c r="L404" s="14" t="s">
        <v>159</v>
      </c>
      <c r="M404" s="14" t="s">
        <v>98</v>
      </c>
      <c r="N404" s="14"/>
      <c r="O404" s="17"/>
      <c r="P404" s="14"/>
      <c r="Q404" s="14"/>
      <c r="R404" s="13">
        <f>HYPERLINK("https://app.hubspot.com/contacts/8748051/record/0-2/8323876145", 8323876145)</f>
        <v>8323876145</v>
      </c>
      <c r="S404" s="14" t="s">
        <v>391</v>
      </c>
      <c r="T404" s="18" t="s">
        <v>392</v>
      </c>
      <c r="U404" s="14" t="s">
        <v>93</v>
      </c>
      <c r="V404" s="15">
        <v>14000.0</v>
      </c>
      <c r="W404" s="19">
        <v>469.0</v>
      </c>
      <c r="X404" s="19">
        <v>42.0</v>
      </c>
      <c r="Y404" s="20"/>
      <c r="Z404" s="20" t="s">
        <v>218</v>
      </c>
      <c r="AA404" s="20"/>
      <c r="AB404" s="20"/>
      <c r="AC404" s="20" t="s">
        <v>393</v>
      </c>
      <c r="AD404" s="20" t="s">
        <v>394</v>
      </c>
      <c r="AE404" s="20" t="s">
        <v>395</v>
      </c>
      <c r="AF404" s="17" t="str">
        <f t="shared" si="1"/>
        <v>Downsell</v>
      </c>
      <c r="AG404" s="17" t="str">
        <f t="shared" si="2"/>
        <v>Customer</v>
      </c>
      <c r="AH404" s="17" t="str">
        <f t="shared" si="3"/>
        <v>201-500</v>
      </c>
      <c r="AI404" s="17" t="str">
        <f t="shared" si="4"/>
        <v>21-50</v>
      </c>
    </row>
    <row r="405" ht="15.75" customHeight="1">
      <c r="A405" s="13">
        <f>HYPERLINK("https://app.hubspot.com/contacts/8748051/record/0-3/22993440157", 22993440157)</f>
        <v>22993440157</v>
      </c>
      <c r="B405" s="14" t="s">
        <v>1466</v>
      </c>
      <c r="C405" s="14" t="s">
        <v>156</v>
      </c>
      <c r="D405" s="15">
        <v>19040.0</v>
      </c>
      <c r="E405" s="14" t="s">
        <v>89</v>
      </c>
      <c r="F405" s="14"/>
      <c r="G405" s="16">
        <v>45572.21346064815</v>
      </c>
      <c r="H405" s="16">
        <v>45572.92539351852</v>
      </c>
      <c r="I405" s="14" t="s">
        <v>39</v>
      </c>
      <c r="J405" s="14" t="s">
        <v>179</v>
      </c>
      <c r="K405" s="14" t="s">
        <v>41</v>
      </c>
      <c r="L405" s="14" t="s">
        <v>448</v>
      </c>
      <c r="M405" s="14" t="s">
        <v>43</v>
      </c>
      <c r="N405" s="14" t="s">
        <v>1467</v>
      </c>
      <c r="O405" s="14"/>
      <c r="P405" s="14"/>
      <c r="Q405" s="14"/>
      <c r="R405" s="13">
        <f>HYPERLINK("https://app.hubspot.com/contacts/8748051/record/0-2/7480085895", 7480085895)</f>
        <v>7480085895</v>
      </c>
      <c r="S405" s="14" t="s">
        <v>710</v>
      </c>
      <c r="T405" s="18" t="s">
        <v>711</v>
      </c>
      <c r="U405" s="14" t="s">
        <v>93</v>
      </c>
      <c r="V405" s="15">
        <v>40000.0</v>
      </c>
      <c r="W405" s="19">
        <v>535.0</v>
      </c>
      <c r="X405" s="19">
        <v>184.0</v>
      </c>
      <c r="Y405" s="20"/>
      <c r="Z405" s="20" t="s">
        <v>205</v>
      </c>
      <c r="AA405" s="20"/>
      <c r="AB405" s="20"/>
      <c r="AC405" s="20" t="s">
        <v>712</v>
      </c>
      <c r="AD405" s="20"/>
      <c r="AE405" s="20" t="s">
        <v>528</v>
      </c>
      <c r="AF405" s="17" t="str">
        <f t="shared" si="1"/>
        <v>Upsell</v>
      </c>
      <c r="AG405" s="17" t="str">
        <f t="shared" si="2"/>
        <v>Customer</v>
      </c>
      <c r="AH405" s="17" t="str">
        <f t="shared" si="3"/>
        <v>501-1000</v>
      </c>
      <c r="AI405" s="17" t="str">
        <f t="shared" si="4"/>
        <v>101-500</v>
      </c>
    </row>
    <row r="406" ht="15.75" customHeight="1">
      <c r="A406" s="13">
        <f>HYPERLINK("https://app.hubspot.com/contacts/8748051/record/0-3/22993178000", 22993178000)</f>
        <v>22993178000</v>
      </c>
      <c r="B406" s="14" t="s">
        <v>1468</v>
      </c>
      <c r="C406" s="14" t="s">
        <v>156</v>
      </c>
      <c r="D406" s="15">
        <v>4320.0</v>
      </c>
      <c r="E406" s="14" t="s">
        <v>89</v>
      </c>
      <c r="F406" s="14"/>
      <c r="G406" s="16">
        <v>45572.1919212963</v>
      </c>
      <c r="H406" s="16">
        <v>45566.8796875</v>
      </c>
      <c r="I406" s="14" t="s">
        <v>39</v>
      </c>
      <c r="J406" s="14" t="s">
        <v>179</v>
      </c>
      <c r="K406" s="14" t="s">
        <v>41</v>
      </c>
      <c r="L406" s="14" t="s">
        <v>448</v>
      </c>
      <c r="M406" s="14" t="s">
        <v>43</v>
      </c>
      <c r="N406" s="14" t="s">
        <v>1469</v>
      </c>
      <c r="O406" s="14"/>
      <c r="P406" s="14"/>
      <c r="Q406" s="14"/>
      <c r="R406" s="13">
        <f>HYPERLINK("https://app.hubspot.com/contacts/8748051/record/0-2/16734679839", 16734679839)</f>
        <v>16734679839</v>
      </c>
      <c r="S406" s="14" t="s">
        <v>465</v>
      </c>
      <c r="T406" s="18" t="s">
        <v>466</v>
      </c>
      <c r="U406" s="14" t="s">
        <v>93</v>
      </c>
      <c r="V406" s="15">
        <v>29912.0</v>
      </c>
      <c r="W406" s="19">
        <v>280.0</v>
      </c>
      <c r="X406" s="19">
        <v>15.0</v>
      </c>
      <c r="Y406" s="20"/>
      <c r="Z406" s="20" t="s">
        <v>348</v>
      </c>
      <c r="AA406" s="20" t="s">
        <v>205</v>
      </c>
      <c r="AB406" s="20" t="s">
        <v>206</v>
      </c>
      <c r="AC406" s="20" t="s">
        <v>461</v>
      </c>
      <c r="AD406" s="20" t="s">
        <v>467</v>
      </c>
      <c r="AE406" s="20" t="s">
        <v>166</v>
      </c>
      <c r="AF406" s="17" t="str">
        <f t="shared" si="1"/>
        <v>Upsell</v>
      </c>
      <c r="AG406" s="17" t="str">
        <f t="shared" si="2"/>
        <v>Customer</v>
      </c>
      <c r="AH406" s="17" t="str">
        <f t="shared" si="3"/>
        <v>201-500</v>
      </c>
      <c r="AI406" s="17" t="str">
        <f t="shared" si="4"/>
        <v>0-20</v>
      </c>
    </row>
    <row r="407" ht="15.75" customHeight="1">
      <c r="A407" s="13">
        <f>HYPERLINK("https://app.hubspot.com/contacts/8748051/record/0-3/22956973094", 22956973094)</f>
        <v>22956973094</v>
      </c>
      <c r="B407" s="14" t="s">
        <v>1470</v>
      </c>
      <c r="C407" s="14" t="s">
        <v>1227</v>
      </c>
      <c r="D407" s="15">
        <v>25000.0</v>
      </c>
      <c r="E407" s="14" t="s">
        <v>146</v>
      </c>
      <c r="F407" s="14" t="s">
        <v>51</v>
      </c>
      <c r="G407" s="16">
        <v>45572.11717592592</v>
      </c>
      <c r="H407" s="16">
        <v>45733.150775462964</v>
      </c>
      <c r="I407" s="14" t="s">
        <v>39</v>
      </c>
      <c r="J407" s="14" t="s">
        <v>179</v>
      </c>
      <c r="K407" s="14" t="s">
        <v>59</v>
      </c>
      <c r="L407" s="14" t="s">
        <v>180</v>
      </c>
      <c r="M407" s="14" t="s">
        <v>98</v>
      </c>
      <c r="N407" s="14"/>
      <c r="O407" s="14" t="s">
        <v>1471</v>
      </c>
      <c r="P407" s="14"/>
      <c r="Q407" s="14"/>
      <c r="R407" s="13">
        <f>HYPERLINK("https://app.hubspot.com/contacts/8748051/record/0-2/8513131656", 8513131656)</f>
        <v>8513131656</v>
      </c>
      <c r="S407" s="14" t="s">
        <v>856</v>
      </c>
      <c r="T407" s="18" t="s">
        <v>857</v>
      </c>
      <c r="U407" s="14" t="s">
        <v>93</v>
      </c>
      <c r="V407" s="15">
        <v>25500.0</v>
      </c>
      <c r="W407" s="19">
        <v>1321.0</v>
      </c>
      <c r="X407" s="19">
        <v>159.0</v>
      </c>
      <c r="Y407" s="20"/>
      <c r="Z407" s="20" t="s">
        <v>191</v>
      </c>
      <c r="AA407" s="20" t="s">
        <v>192</v>
      </c>
      <c r="AB407" s="20"/>
      <c r="AC407" s="20" t="s">
        <v>858</v>
      </c>
      <c r="AD407" s="21"/>
      <c r="AE407" s="20" t="s">
        <v>166</v>
      </c>
      <c r="AF407" s="17" t="str">
        <f t="shared" si="1"/>
        <v>Upsell</v>
      </c>
      <c r="AG407" s="17" t="str">
        <f t="shared" si="2"/>
        <v>Customer</v>
      </c>
      <c r="AH407" s="17" t="str">
        <f t="shared" si="3"/>
        <v>1001-5000</v>
      </c>
      <c r="AI407" s="17" t="str">
        <f t="shared" si="4"/>
        <v>101-500</v>
      </c>
    </row>
    <row r="408" ht="15.75" customHeight="1">
      <c r="A408" s="13">
        <f>HYPERLINK("https://app.hubspot.com/contacts/8748051/record/0-3/33145621135", 33145621135)</f>
        <v>33145621135</v>
      </c>
      <c r="B408" s="14" t="s">
        <v>1472</v>
      </c>
      <c r="C408" s="14" t="s">
        <v>37</v>
      </c>
      <c r="D408" s="15">
        <v>20000.0</v>
      </c>
      <c r="E408" s="14" t="s">
        <v>118</v>
      </c>
      <c r="F408" s="14"/>
      <c r="G408" s="16">
        <v>45568.19136574074</v>
      </c>
      <c r="H408" s="16">
        <v>45750.1908912037</v>
      </c>
      <c r="I408" s="14" t="s">
        <v>39</v>
      </c>
      <c r="J408" s="14" t="s">
        <v>40</v>
      </c>
      <c r="K408" s="14" t="s">
        <v>59</v>
      </c>
      <c r="L408" s="14" t="s">
        <v>175</v>
      </c>
      <c r="M408" s="14" t="s">
        <v>43</v>
      </c>
      <c r="N408" s="14"/>
      <c r="O408" s="14"/>
      <c r="P408" s="14"/>
      <c r="Q408" s="14"/>
      <c r="R408" s="13">
        <f>HYPERLINK("https://app.hubspot.com/contacts/8748051/record/0-2/19177312942", 19177312942)</f>
        <v>19177312942</v>
      </c>
      <c r="S408" s="14" t="s">
        <v>1473</v>
      </c>
      <c r="T408" s="18" t="s">
        <v>1474</v>
      </c>
      <c r="U408" s="14" t="s">
        <v>46</v>
      </c>
      <c r="V408" s="15"/>
      <c r="W408" s="19">
        <v>296.0</v>
      </c>
      <c r="X408" s="19">
        <v>52.0</v>
      </c>
      <c r="Y408" s="20" t="s">
        <v>55</v>
      </c>
      <c r="Z408" s="20"/>
      <c r="AA408" s="21"/>
      <c r="AB408" s="21"/>
      <c r="AC408" s="20"/>
      <c r="AD408" s="21"/>
      <c r="AE408" s="20"/>
      <c r="AF408" s="17" t="str">
        <f t="shared" si="1"/>
        <v>New Logo</v>
      </c>
      <c r="AG408" s="17" t="str">
        <f t="shared" si="2"/>
        <v>Lead</v>
      </c>
      <c r="AH408" s="17" t="str">
        <f t="shared" si="3"/>
        <v>201-500</v>
      </c>
      <c r="AI408" s="17" t="str">
        <f t="shared" si="4"/>
        <v>51-100</v>
      </c>
    </row>
    <row r="409" ht="15.75" customHeight="1">
      <c r="A409" s="13">
        <f>HYPERLINK("https://app.hubspot.com/contacts/8748051/record/0-3/22884374875", 22884374875)</f>
        <v>22884374875</v>
      </c>
      <c r="B409" s="14" t="s">
        <v>1475</v>
      </c>
      <c r="C409" s="14" t="s">
        <v>37</v>
      </c>
      <c r="D409" s="15">
        <v>100000.0</v>
      </c>
      <c r="E409" s="14" t="s">
        <v>118</v>
      </c>
      <c r="F409" s="14"/>
      <c r="G409" s="16">
        <v>45568.05578703704</v>
      </c>
      <c r="H409" s="16">
        <v>45750.05484953704</v>
      </c>
      <c r="I409" s="14" t="s">
        <v>39</v>
      </c>
      <c r="J409" s="14" t="s">
        <v>40</v>
      </c>
      <c r="K409" s="14" t="s">
        <v>59</v>
      </c>
      <c r="L409" s="14" t="s">
        <v>175</v>
      </c>
      <c r="M409" s="14" t="s">
        <v>43</v>
      </c>
      <c r="N409" s="14"/>
      <c r="O409" s="17"/>
      <c r="P409" s="14" t="s">
        <v>260</v>
      </c>
      <c r="Q409" s="14"/>
      <c r="R409" s="13">
        <f>HYPERLINK("https://app.hubspot.com/contacts/8748051/record/0-2/7700389762", 7700389762)</f>
        <v>7700389762</v>
      </c>
      <c r="S409" s="14" t="s">
        <v>1476</v>
      </c>
      <c r="T409" s="18" t="s">
        <v>1477</v>
      </c>
      <c r="U409" s="14" t="s">
        <v>46</v>
      </c>
      <c r="V409" s="15"/>
      <c r="W409" s="19">
        <v>1231.0</v>
      </c>
      <c r="X409" s="19">
        <v>438.0</v>
      </c>
      <c r="Y409" s="20"/>
      <c r="Z409" s="20"/>
      <c r="AA409" s="20"/>
      <c r="AB409" s="21"/>
      <c r="AC409" s="20"/>
      <c r="AD409" s="20"/>
      <c r="AE409" s="20"/>
      <c r="AF409" s="17" t="str">
        <f t="shared" si="1"/>
        <v>New Logo</v>
      </c>
      <c r="AG409" s="17" t="str">
        <f t="shared" si="2"/>
        <v>Lead</v>
      </c>
      <c r="AH409" s="17" t="str">
        <f t="shared" si="3"/>
        <v>1001-5000</v>
      </c>
      <c r="AI409" s="17" t="str">
        <f t="shared" si="4"/>
        <v>101-500</v>
      </c>
    </row>
    <row r="410" ht="15.75" customHeight="1">
      <c r="A410" s="13">
        <f>HYPERLINK("https://app.hubspot.com/contacts/8748051/record/0-3/22888888079", 22888888079)</f>
        <v>22888888079</v>
      </c>
      <c r="B410" s="14" t="s">
        <v>1478</v>
      </c>
      <c r="C410" s="14" t="s">
        <v>145</v>
      </c>
      <c r="D410" s="15">
        <v>3550.0</v>
      </c>
      <c r="E410" s="14" t="s">
        <v>89</v>
      </c>
      <c r="F410" s="14" t="s">
        <v>51</v>
      </c>
      <c r="G410" s="16">
        <v>45567.91775462963</v>
      </c>
      <c r="H410" s="16">
        <v>45746.33630787037</v>
      </c>
      <c r="I410" s="14" t="s">
        <v>39</v>
      </c>
      <c r="J410" s="14" t="s">
        <v>179</v>
      </c>
      <c r="K410" s="14" t="s">
        <v>41</v>
      </c>
      <c r="L410" s="14" t="s">
        <v>159</v>
      </c>
      <c r="M410" s="14" t="s">
        <v>43</v>
      </c>
      <c r="N410" s="14" t="s">
        <v>1479</v>
      </c>
      <c r="O410" s="14"/>
      <c r="P410" s="14"/>
      <c r="Q410" s="14"/>
      <c r="R410" s="13">
        <f>HYPERLINK("https://app.hubspot.com/contacts/8748051/record/0-2/7398526599", 7398526599)</f>
        <v>7398526599</v>
      </c>
      <c r="S410" s="14" t="s">
        <v>1480</v>
      </c>
      <c r="T410" s="18" t="s">
        <v>1481</v>
      </c>
      <c r="U410" s="14" t="s">
        <v>93</v>
      </c>
      <c r="V410" s="15">
        <v>28750.0</v>
      </c>
      <c r="W410" s="19">
        <v>467.0</v>
      </c>
      <c r="X410" s="19">
        <v>50.0</v>
      </c>
      <c r="Y410" s="20"/>
      <c r="Z410" s="20" t="s">
        <v>205</v>
      </c>
      <c r="AA410" s="20"/>
      <c r="AB410" s="21"/>
      <c r="AC410" s="20" t="s">
        <v>1482</v>
      </c>
      <c r="AD410" s="20"/>
      <c r="AE410" s="20" t="s">
        <v>553</v>
      </c>
      <c r="AF410" s="17" t="str">
        <f t="shared" si="1"/>
        <v>Upsell</v>
      </c>
      <c r="AG410" s="17" t="str">
        <f t="shared" si="2"/>
        <v>Customer</v>
      </c>
      <c r="AH410" s="17" t="str">
        <f t="shared" si="3"/>
        <v>201-500</v>
      </c>
      <c r="AI410" s="17" t="str">
        <f t="shared" si="4"/>
        <v>21-50</v>
      </c>
    </row>
    <row r="411" ht="15.75" customHeight="1">
      <c r="A411" s="13">
        <f>HYPERLINK("https://app.hubspot.com/contacts/8748051/record/0-3/22888887937", 22888887937)</f>
        <v>22888887937</v>
      </c>
      <c r="B411" s="14" t="s">
        <v>1483</v>
      </c>
      <c r="C411" s="14" t="s">
        <v>145</v>
      </c>
      <c r="D411" s="15">
        <v>9480.0</v>
      </c>
      <c r="E411" s="14" t="s">
        <v>89</v>
      </c>
      <c r="F411" s="14" t="s">
        <v>51</v>
      </c>
      <c r="G411" s="16">
        <v>45567.915972222225</v>
      </c>
      <c r="H411" s="16">
        <v>45747.35778935185</v>
      </c>
      <c r="I411" s="14" t="s">
        <v>39</v>
      </c>
      <c r="J411" s="14" t="s">
        <v>179</v>
      </c>
      <c r="K411" s="14" t="s">
        <v>59</v>
      </c>
      <c r="L411" s="14" t="s">
        <v>159</v>
      </c>
      <c r="M411" s="14" t="s">
        <v>43</v>
      </c>
      <c r="N411" s="14" t="s">
        <v>1484</v>
      </c>
      <c r="O411" s="14"/>
      <c r="P411" s="14"/>
      <c r="Q411" s="14"/>
      <c r="R411" s="13">
        <f>HYPERLINK("https://app.hubspot.com/contacts/8748051/record/0-2/8016919815", 8016919815)</f>
        <v>8016919815</v>
      </c>
      <c r="S411" s="14" t="s">
        <v>275</v>
      </c>
      <c r="T411" s="18" t="s">
        <v>276</v>
      </c>
      <c r="U411" s="14">
        <v>3.4564763E7</v>
      </c>
      <c r="V411" s="15">
        <v>27480.0</v>
      </c>
      <c r="W411" s="19">
        <v>301.0</v>
      </c>
      <c r="X411" s="19">
        <v>26.0</v>
      </c>
      <c r="Y411" s="20"/>
      <c r="Z411" s="20" t="s">
        <v>184</v>
      </c>
      <c r="AA411" s="20" t="s">
        <v>205</v>
      </c>
      <c r="AB411" s="21"/>
      <c r="AC411" s="20" t="s">
        <v>277</v>
      </c>
      <c r="AD411" s="20" t="s">
        <v>278</v>
      </c>
      <c r="AE411" s="20" t="s">
        <v>209</v>
      </c>
      <c r="AF411" s="17" t="str">
        <f t="shared" si="1"/>
        <v>Upsell</v>
      </c>
      <c r="AG411" s="17" t="str">
        <f t="shared" si="2"/>
        <v>Churn</v>
      </c>
      <c r="AH411" s="17" t="str">
        <f t="shared" si="3"/>
        <v>201-500</v>
      </c>
      <c r="AI411" s="17" t="str">
        <f t="shared" si="4"/>
        <v>21-50</v>
      </c>
    </row>
    <row r="412" ht="15.75" customHeight="1">
      <c r="A412" s="13">
        <f>HYPERLINK("https://app.hubspot.com/contacts/8748051/record/0-3/22568893263", 22568893263)</f>
        <v>22568893263</v>
      </c>
      <c r="B412" s="14" t="s">
        <v>1485</v>
      </c>
      <c r="C412" s="14" t="s">
        <v>37</v>
      </c>
      <c r="D412" s="15">
        <v>16000.0</v>
      </c>
      <c r="E412" s="14" t="s">
        <v>118</v>
      </c>
      <c r="F412" s="14"/>
      <c r="G412" s="16">
        <v>45559.141377314816</v>
      </c>
      <c r="H412" s="16">
        <v>45740.14079861111</v>
      </c>
      <c r="I412" s="14" t="s">
        <v>39</v>
      </c>
      <c r="J412" s="14" t="s">
        <v>40</v>
      </c>
      <c r="K412" s="14" t="s">
        <v>59</v>
      </c>
      <c r="L412" s="14" t="s">
        <v>175</v>
      </c>
      <c r="M412" s="14"/>
      <c r="N412" s="14"/>
      <c r="O412" s="17"/>
      <c r="P412" s="14" t="s">
        <v>260</v>
      </c>
      <c r="Q412" s="14"/>
      <c r="R412" s="13">
        <f>HYPERLINK("https://app.hubspot.com/contacts/8748051/record/0-2/7894656355", 7894656355)</f>
        <v>7894656355</v>
      </c>
      <c r="S412" s="14" t="s">
        <v>1486</v>
      </c>
      <c r="T412" s="18" t="s">
        <v>1487</v>
      </c>
      <c r="U412" s="14" t="s">
        <v>46</v>
      </c>
      <c r="V412" s="15"/>
      <c r="W412" s="19">
        <v>592.0</v>
      </c>
      <c r="X412" s="19">
        <v>44.0</v>
      </c>
      <c r="Y412" s="20" t="s">
        <v>104</v>
      </c>
      <c r="Z412" s="20"/>
      <c r="AA412" s="21"/>
      <c r="AB412" s="20"/>
      <c r="AC412" s="20"/>
      <c r="AD412" s="21"/>
      <c r="AE412" s="20"/>
      <c r="AF412" s="17" t="str">
        <f t="shared" si="1"/>
        <v>New Logo</v>
      </c>
      <c r="AG412" s="17" t="str">
        <f t="shared" si="2"/>
        <v>Lead</v>
      </c>
      <c r="AH412" s="17" t="str">
        <f t="shared" si="3"/>
        <v>501-1000</v>
      </c>
      <c r="AI412" s="17" t="str">
        <f t="shared" si="4"/>
        <v>21-50</v>
      </c>
    </row>
    <row r="413" ht="15.75" customHeight="1">
      <c r="A413" s="13">
        <f>HYPERLINK("https://app.hubspot.com/contacts/8748051/record/0-3/22540893203", 22540893203)</f>
        <v>22540893203</v>
      </c>
      <c r="B413" s="14" t="s">
        <v>1488</v>
      </c>
      <c r="C413" s="14" t="s">
        <v>1008</v>
      </c>
      <c r="D413" s="15">
        <v>86000.0</v>
      </c>
      <c r="E413" s="14" t="s">
        <v>118</v>
      </c>
      <c r="F413" s="14"/>
      <c r="G413" s="16">
        <v>45558.353530092594</v>
      </c>
      <c r="H413" s="16">
        <v>45739.35296296296</v>
      </c>
      <c r="I413" s="14" t="s">
        <v>39</v>
      </c>
      <c r="J413" s="14" t="s">
        <v>40</v>
      </c>
      <c r="K413" s="14" t="s">
        <v>59</v>
      </c>
      <c r="L413" s="14" t="s">
        <v>175</v>
      </c>
      <c r="M413" s="14" t="s">
        <v>43</v>
      </c>
      <c r="N413" s="17"/>
      <c r="O413" s="14"/>
      <c r="P413" s="14" t="s">
        <v>211</v>
      </c>
      <c r="Q413" s="14"/>
      <c r="R413" s="13">
        <f>HYPERLINK("https://app.hubspot.com/contacts/8748051/record/0-2/10078714228", 10078714228)</f>
        <v>10078714228</v>
      </c>
      <c r="S413" s="14" t="s">
        <v>1489</v>
      </c>
      <c r="T413" s="18" t="s">
        <v>1490</v>
      </c>
      <c r="U413" s="14" t="s">
        <v>46</v>
      </c>
      <c r="V413" s="22"/>
      <c r="W413" s="19">
        <v>977.0</v>
      </c>
      <c r="X413" s="19">
        <v>194.0</v>
      </c>
      <c r="Y413" s="20" t="s">
        <v>104</v>
      </c>
      <c r="Z413" s="21"/>
      <c r="AA413" s="21"/>
      <c r="AB413" s="21"/>
      <c r="AC413" s="21"/>
      <c r="AD413" s="21"/>
      <c r="AE413" s="21"/>
      <c r="AF413" s="17" t="str">
        <f t="shared" si="1"/>
        <v>New Logo</v>
      </c>
      <c r="AG413" s="17" t="str">
        <f t="shared" si="2"/>
        <v>Lead</v>
      </c>
      <c r="AH413" s="17" t="str">
        <f t="shared" si="3"/>
        <v>501-1000</v>
      </c>
      <c r="AI413" s="17" t="str">
        <f t="shared" si="4"/>
        <v>101-500</v>
      </c>
    </row>
    <row r="414" ht="15.75" customHeight="1">
      <c r="A414" s="13">
        <f>HYPERLINK("https://app.hubspot.com/contacts/8748051/record/0-3/22400649381", 22400649381)</f>
        <v>22400649381</v>
      </c>
      <c r="B414" s="14" t="s">
        <v>1491</v>
      </c>
      <c r="C414" s="14" t="s">
        <v>49</v>
      </c>
      <c r="D414" s="15">
        <v>30000.0</v>
      </c>
      <c r="E414" s="14" t="s">
        <v>118</v>
      </c>
      <c r="F414" s="14"/>
      <c r="G414" s="16">
        <v>45554.04628472222</v>
      </c>
      <c r="H414" s="16">
        <v>45735.04556712963</v>
      </c>
      <c r="I414" s="14" t="s">
        <v>39</v>
      </c>
      <c r="J414" s="14" t="s">
        <v>52</v>
      </c>
      <c r="K414" s="14" t="s">
        <v>59</v>
      </c>
      <c r="L414" s="14" t="s">
        <v>175</v>
      </c>
      <c r="M414" s="14" t="s">
        <v>72</v>
      </c>
      <c r="N414" s="17"/>
      <c r="O414" s="17"/>
      <c r="P414" s="14" t="s">
        <v>232</v>
      </c>
      <c r="Q414" s="14"/>
      <c r="R414" s="13">
        <f>HYPERLINK("https://app.hubspot.com/contacts/8748051/record/0-2/8347260766", 8347260766)</f>
        <v>8347260766</v>
      </c>
      <c r="S414" s="14" t="s">
        <v>1492</v>
      </c>
      <c r="T414" s="18" t="s">
        <v>1493</v>
      </c>
      <c r="U414" s="14" t="s">
        <v>46</v>
      </c>
      <c r="V414" s="22"/>
      <c r="W414" s="19">
        <v>223.0</v>
      </c>
      <c r="X414" s="19">
        <v>73.0</v>
      </c>
      <c r="Y414" s="20" t="s">
        <v>70</v>
      </c>
      <c r="Z414" s="21"/>
      <c r="AA414" s="21"/>
      <c r="AB414" s="21"/>
      <c r="AC414" s="21"/>
      <c r="AD414" s="21"/>
      <c r="AE414" s="21"/>
      <c r="AF414" s="17" t="str">
        <f t="shared" si="1"/>
        <v>New Logo</v>
      </c>
      <c r="AG414" s="17" t="str">
        <f t="shared" si="2"/>
        <v>Lead</v>
      </c>
      <c r="AH414" s="17" t="str">
        <f t="shared" si="3"/>
        <v>201-500</v>
      </c>
      <c r="AI414" s="17" t="str">
        <f t="shared" si="4"/>
        <v>51-100</v>
      </c>
    </row>
    <row r="415" ht="15.75" customHeight="1">
      <c r="A415" s="13">
        <f>HYPERLINK("https://app.hubspot.com/contacts/8748051/record/0-3/22328831522", 22328831522)</f>
        <v>22328831522</v>
      </c>
      <c r="B415" s="14" t="s">
        <v>1494</v>
      </c>
      <c r="C415" s="14" t="s">
        <v>49</v>
      </c>
      <c r="D415" s="15">
        <v>25000.0</v>
      </c>
      <c r="E415" s="14" t="s">
        <v>124</v>
      </c>
      <c r="F415" s="14"/>
      <c r="G415" s="16">
        <v>45551.594305555554</v>
      </c>
      <c r="H415" s="16">
        <v>45732.59357638889</v>
      </c>
      <c r="I415" s="14" t="s">
        <v>39</v>
      </c>
      <c r="J415" s="14" t="s">
        <v>40</v>
      </c>
      <c r="K415" s="14" t="s">
        <v>41</v>
      </c>
      <c r="L415" s="14" t="s">
        <v>42</v>
      </c>
      <c r="M415" s="14" t="s">
        <v>43</v>
      </c>
      <c r="N415" s="17"/>
      <c r="O415" s="14"/>
      <c r="P415" s="14"/>
      <c r="Q415" s="14" t="s">
        <v>125</v>
      </c>
      <c r="R415" s="13">
        <f>HYPERLINK("https://app.hubspot.com/contacts/8748051/record/0-2/9238240308", 9238240308)</f>
        <v>9238240308</v>
      </c>
      <c r="S415" s="14" t="s">
        <v>1495</v>
      </c>
      <c r="T415" s="18" t="s">
        <v>1496</v>
      </c>
      <c r="U415" s="14" t="s">
        <v>46</v>
      </c>
      <c r="V415" s="22"/>
      <c r="W415" s="19">
        <v>259.0</v>
      </c>
      <c r="X415" s="19">
        <v>65.0</v>
      </c>
      <c r="Y415" s="20" t="s">
        <v>104</v>
      </c>
      <c r="Z415" s="21"/>
      <c r="AA415" s="21"/>
      <c r="AB415" s="21"/>
      <c r="AC415" s="21"/>
      <c r="AD415" s="21"/>
      <c r="AE415" s="21"/>
      <c r="AF415" s="17" t="str">
        <f t="shared" si="1"/>
        <v>New Logo</v>
      </c>
      <c r="AG415" s="17" t="str">
        <f t="shared" si="2"/>
        <v>Lead</v>
      </c>
      <c r="AH415" s="17" t="str">
        <f t="shared" si="3"/>
        <v>201-500</v>
      </c>
      <c r="AI415" s="17" t="str">
        <f t="shared" si="4"/>
        <v>51-100</v>
      </c>
    </row>
    <row r="416" ht="15.75" customHeight="1">
      <c r="A416" s="13">
        <f>HYPERLINK("https://app.hubspot.com/contacts/8748051/record/0-3/22107298572", 22107298572)</f>
        <v>22107298572</v>
      </c>
      <c r="B416" s="14" t="s">
        <v>1497</v>
      </c>
      <c r="C416" s="14" t="s">
        <v>49</v>
      </c>
      <c r="D416" s="15">
        <v>20000.0</v>
      </c>
      <c r="E416" s="14" t="s">
        <v>118</v>
      </c>
      <c r="F416" s="14" t="s">
        <v>51</v>
      </c>
      <c r="G416" s="16">
        <v>45545.329039351855</v>
      </c>
      <c r="H416" s="16">
        <v>45726.32829861111</v>
      </c>
      <c r="I416" s="14" t="s">
        <v>39</v>
      </c>
      <c r="J416" s="14" t="s">
        <v>40</v>
      </c>
      <c r="K416" s="14" t="s">
        <v>41</v>
      </c>
      <c r="L416" s="14" t="s">
        <v>159</v>
      </c>
      <c r="M416" s="14" t="s">
        <v>98</v>
      </c>
      <c r="N416" s="17"/>
      <c r="O416" s="14"/>
      <c r="P416" s="14" t="s">
        <v>260</v>
      </c>
      <c r="Q416" s="14" t="s">
        <v>125</v>
      </c>
      <c r="R416" s="13">
        <f>HYPERLINK("https://app.hubspot.com/contacts/8748051/record/0-2/22876434468", 22876434468)</f>
        <v>22876434468</v>
      </c>
      <c r="S416" s="14" t="s">
        <v>1498</v>
      </c>
      <c r="T416" s="18" t="s">
        <v>1499</v>
      </c>
      <c r="U416" s="14" t="s">
        <v>46</v>
      </c>
      <c r="V416" s="22"/>
      <c r="W416" s="19">
        <v>180.0</v>
      </c>
      <c r="X416" s="19">
        <v>18.0</v>
      </c>
      <c r="Y416" s="20" t="s">
        <v>104</v>
      </c>
      <c r="Z416" s="21"/>
      <c r="AA416" s="21"/>
      <c r="AB416" s="21"/>
      <c r="AC416" s="21"/>
      <c r="AD416" s="21"/>
      <c r="AE416" s="21"/>
      <c r="AF416" s="17" t="str">
        <f t="shared" si="1"/>
        <v>New Logo</v>
      </c>
      <c r="AG416" s="17" t="str">
        <f t="shared" si="2"/>
        <v>Lead</v>
      </c>
      <c r="AH416" s="17" t="str">
        <f t="shared" si="3"/>
        <v>0-200</v>
      </c>
      <c r="AI416" s="17" t="str">
        <f t="shared" si="4"/>
        <v>0-20</v>
      </c>
    </row>
    <row r="417" ht="15.75" customHeight="1">
      <c r="A417" s="13">
        <f>HYPERLINK("https://app.hubspot.com/contacts/8748051/record/0-3/22087993731", 22087993731)</f>
        <v>22087993731</v>
      </c>
      <c r="B417" s="14" t="s">
        <v>1500</v>
      </c>
      <c r="C417" s="14" t="s">
        <v>49</v>
      </c>
      <c r="D417" s="15">
        <v>25000.0</v>
      </c>
      <c r="E417" s="14" t="s">
        <v>146</v>
      </c>
      <c r="F417" s="14" t="s">
        <v>51</v>
      </c>
      <c r="G417" s="16">
        <v>45544.571180555555</v>
      </c>
      <c r="H417" s="16">
        <v>45692.53457175926</v>
      </c>
      <c r="I417" s="14" t="s">
        <v>39</v>
      </c>
      <c r="J417" s="14" t="s">
        <v>40</v>
      </c>
      <c r="K417" s="14" t="s">
        <v>41</v>
      </c>
      <c r="L417" s="14" t="s">
        <v>42</v>
      </c>
      <c r="M417" s="14" t="s">
        <v>43</v>
      </c>
      <c r="N417" s="17"/>
      <c r="O417" s="14" t="s">
        <v>1501</v>
      </c>
      <c r="P417" s="14"/>
      <c r="Q417" s="14"/>
      <c r="R417" s="13">
        <f>HYPERLINK("https://app.hubspot.com/contacts/8748051/record/0-2/8051981464", 8051981464)</f>
        <v>8051981464</v>
      </c>
      <c r="S417" s="14" t="s">
        <v>1502</v>
      </c>
      <c r="T417" s="18" t="s">
        <v>1503</v>
      </c>
      <c r="U417" s="14" t="s">
        <v>46</v>
      </c>
      <c r="V417" s="22"/>
      <c r="W417" s="19">
        <v>923.0</v>
      </c>
      <c r="X417" s="19">
        <v>79.0</v>
      </c>
      <c r="Y417" s="20" t="s">
        <v>104</v>
      </c>
      <c r="Z417" s="21"/>
      <c r="AA417" s="21"/>
      <c r="AB417" s="21"/>
      <c r="AC417" s="21"/>
      <c r="AD417" s="21"/>
      <c r="AE417" s="21"/>
      <c r="AF417" s="17" t="str">
        <f t="shared" si="1"/>
        <v>New Logo</v>
      </c>
      <c r="AG417" s="17" t="str">
        <f t="shared" si="2"/>
        <v>Lead</v>
      </c>
      <c r="AH417" s="17" t="str">
        <f t="shared" si="3"/>
        <v>501-1000</v>
      </c>
      <c r="AI417" s="17" t="str">
        <f t="shared" si="4"/>
        <v>51-100</v>
      </c>
    </row>
    <row r="418" ht="15.75" customHeight="1">
      <c r="A418" s="13">
        <f>HYPERLINK("https://app.hubspot.com/contacts/8748051/record/0-3/21930764698", 21930764698)</f>
        <v>21930764698</v>
      </c>
      <c r="B418" s="14" t="s">
        <v>1504</v>
      </c>
      <c r="C418" s="14" t="s">
        <v>1008</v>
      </c>
      <c r="D418" s="15">
        <v>3000.0</v>
      </c>
      <c r="E418" s="14" t="s">
        <v>118</v>
      </c>
      <c r="F418" s="14"/>
      <c r="G418" s="16">
        <v>45539.40109953703</v>
      </c>
      <c r="H418" s="16">
        <v>45720.35869212963</v>
      </c>
      <c r="I418" s="14" t="s">
        <v>39</v>
      </c>
      <c r="J418" s="14" t="s">
        <v>40</v>
      </c>
      <c r="K418" s="14" t="s">
        <v>41</v>
      </c>
      <c r="L418" s="14" t="s">
        <v>42</v>
      </c>
      <c r="M418" s="14" t="s">
        <v>43</v>
      </c>
      <c r="N418" s="17"/>
      <c r="O418" s="14"/>
      <c r="P418" s="14" t="s">
        <v>232</v>
      </c>
      <c r="Q418" s="14"/>
      <c r="R418" s="13">
        <f>HYPERLINK("https://app.hubspot.com/contacts/8748051/record/0-2/22740307127", 22740307127)</f>
        <v>22740307127</v>
      </c>
      <c r="S418" s="14" t="s">
        <v>1505</v>
      </c>
      <c r="T418" s="18" t="s">
        <v>1506</v>
      </c>
      <c r="U418" s="14" t="s">
        <v>46</v>
      </c>
      <c r="V418" s="22"/>
      <c r="W418" s="19">
        <v>45.0</v>
      </c>
      <c r="X418" s="19">
        <v>6.0</v>
      </c>
      <c r="Y418" s="20"/>
      <c r="Z418" s="21"/>
      <c r="AA418" s="21"/>
      <c r="AB418" s="21"/>
      <c r="AC418" s="21"/>
      <c r="AD418" s="21"/>
      <c r="AE418" s="21"/>
      <c r="AF418" s="17" t="str">
        <f t="shared" si="1"/>
        <v>New Logo</v>
      </c>
      <c r="AG418" s="17" t="str">
        <f t="shared" si="2"/>
        <v>Lead</v>
      </c>
      <c r="AH418" s="17" t="str">
        <f t="shared" si="3"/>
        <v>0-200</v>
      </c>
      <c r="AI418" s="17" t="str">
        <f t="shared" si="4"/>
        <v>0-20</v>
      </c>
    </row>
    <row r="419" ht="15.75" customHeight="1">
      <c r="A419" s="13">
        <f>HYPERLINK("https://app.hubspot.com/contacts/8748051/record/0-3/21923430176", 21923430176)</f>
        <v>21923430176</v>
      </c>
      <c r="B419" s="14" t="s">
        <v>1507</v>
      </c>
      <c r="C419" s="14" t="s">
        <v>37</v>
      </c>
      <c r="D419" s="15">
        <v>22500.0</v>
      </c>
      <c r="E419" s="14" t="s">
        <v>124</v>
      </c>
      <c r="F419" s="14" t="s">
        <v>51</v>
      </c>
      <c r="G419" s="16">
        <v>45539.112280092595</v>
      </c>
      <c r="H419" s="16">
        <v>45720.06997685185</v>
      </c>
      <c r="I419" s="14" t="s">
        <v>39</v>
      </c>
      <c r="J419" s="14" t="s">
        <v>40</v>
      </c>
      <c r="K419" s="14" t="s">
        <v>41</v>
      </c>
      <c r="L419" s="14" t="s">
        <v>42</v>
      </c>
      <c r="M419" s="14" t="s">
        <v>72</v>
      </c>
      <c r="N419" s="14"/>
      <c r="O419" s="14"/>
      <c r="P419" s="14"/>
      <c r="Q419" s="14" t="s">
        <v>141</v>
      </c>
      <c r="R419" s="13">
        <f>HYPERLINK("https://app.hubspot.com/contacts/8748051/record/0-2/8872992577", 8872992577)</f>
        <v>8872992577</v>
      </c>
      <c r="S419" s="14" t="s">
        <v>1508</v>
      </c>
      <c r="T419" s="18" t="s">
        <v>1509</v>
      </c>
      <c r="U419" s="14" t="s">
        <v>46</v>
      </c>
      <c r="V419" s="15"/>
      <c r="W419" s="19">
        <v>528.0</v>
      </c>
      <c r="X419" s="19">
        <v>47.0</v>
      </c>
      <c r="Y419" s="20"/>
      <c r="Z419" s="20"/>
      <c r="AA419" s="21"/>
      <c r="AB419" s="21"/>
      <c r="AC419" s="20"/>
      <c r="AD419" s="20"/>
      <c r="AE419" s="20"/>
      <c r="AF419" s="17" t="str">
        <f t="shared" si="1"/>
        <v>New Logo</v>
      </c>
      <c r="AG419" s="17" t="str">
        <f t="shared" si="2"/>
        <v>Lead</v>
      </c>
      <c r="AH419" s="17" t="str">
        <f t="shared" si="3"/>
        <v>501-1000</v>
      </c>
      <c r="AI419" s="17" t="str">
        <f t="shared" si="4"/>
        <v>21-50</v>
      </c>
    </row>
    <row r="420" ht="15.75" customHeight="1">
      <c r="A420" s="13">
        <f>HYPERLINK("https://app.hubspot.com/contacts/8748051/record/0-3/21885759058", 21885759058)</f>
        <v>21885759058</v>
      </c>
      <c r="B420" s="14" t="s">
        <v>1510</v>
      </c>
      <c r="C420" s="14" t="s">
        <v>1008</v>
      </c>
      <c r="D420" s="15">
        <v>190000.0</v>
      </c>
      <c r="E420" s="14" t="s">
        <v>124</v>
      </c>
      <c r="F420" s="14" t="s">
        <v>51</v>
      </c>
      <c r="G420" s="16">
        <v>45538.154814814814</v>
      </c>
      <c r="H420" s="16">
        <v>45659.14766203704</v>
      </c>
      <c r="I420" s="14" t="s">
        <v>39</v>
      </c>
      <c r="J420" s="14" t="s">
        <v>52</v>
      </c>
      <c r="K420" s="14" t="s">
        <v>41</v>
      </c>
      <c r="L420" s="14" t="s">
        <v>42</v>
      </c>
      <c r="M420" s="14" t="s">
        <v>72</v>
      </c>
      <c r="N420" s="17"/>
      <c r="O420" s="14" t="s">
        <v>1464</v>
      </c>
      <c r="P420" s="14"/>
      <c r="Q420" s="14" t="s">
        <v>125</v>
      </c>
      <c r="R420" s="13">
        <f>HYPERLINK("https://app.hubspot.com/contacts/8748051/record/0-2/9238340021", 9238340021)</f>
        <v>9238340021</v>
      </c>
      <c r="S420" s="18" t="s">
        <v>1511</v>
      </c>
      <c r="T420" s="18" t="s">
        <v>1512</v>
      </c>
      <c r="U420" s="14" t="s">
        <v>46</v>
      </c>
      <c r="V420" s="22"/>
      <c r="W420" s="19">
        <v>2251.0</v>
      </c>
      <c r="X420" s="19">
        <v>316.0</v>
      </c>
      <c r="Y420" s="20" t="s">
        <v>371</v>
      </c>
      <c r="Z420" s="21"/>
      <c r="AA420" s="21"/>
      <c r="AB420" s="21"/>
      <c r="AC420" s="21"/>
      <c r="AD420" s="21"/>
      <c r="AE420" s="21"/>
      <c r="AF420" s="17" t="str">
        <f t="shared" si="1"/>
        <v>New Logo</v>
      </c>
      <c r="AG420" s="17" t="str">
        <f t="shared" si="2"/>
        <v>Lead</v>
      </c>
      <c r="AH420" s="17" t="str">
        <f t="shared" si="3"/>
        <v>1001-5000</v>
      </c>
      <c r="AI420" s="17" t="str">
        <f t="shared" si="4"/>
        <v>101-500</v>
      </c>
    </row>
    <row r="421" ht="15.75" customHeight="1">
      <c r="A421" s="13">
        <f>HYPERLINK("https://app.hubspot.com/contacts/8748051/record/0-3/21883397208", 21883397208)</f>
        <v>21883397208</v>
      </c>
      <c r="B421" s="14" t="s">
        <v>1513</v>
      </c>
      <c r="C421" s="14" t="s">
        <v>37</v>
      </c>
      <c r="D421" s="15">
        <v>65500.0</v>
      </c>
      <c r="E421" s="14" t="s">
        <v>118</v>
      </c>
      <c r="F421" s="14"/>
      <c r="G421" s="16">
        <v>45538.096400462964</v>
      </c>
      <c r="H421" s="16">
        <v>45719.05384259259</v>
      </c>
      <c r="I421" s="14" t="s">
        <v>39</v>
      </c>
      <c r="J421" s="14" t="s">
        <v>40</v>
      </c>
      <c r="K421" s="14" t="s">
        <v>59</v>
      </c>
      <c r="L421" s="14" t="s">
        <v>175</v>
      </c>
      <c r="M421" s="14" t="s">
        <v>72</v>
      </c>
      <c r="N421" s="14"/>
      <c r="O421" s="17"/>
      <c r="P421" s="14" t="s">
        <v>260</v>
      </c>
      <c r="Q421" s="14"/>
      <c r="R421" s="13">
        <f>HYPERLINK("https://app.hubspot.com/contacts/8748051/record/0-2/7822864173", 7822864173)</f>
        <v>7822864173</v>
      </c>
      <c r="S421" s="14" t="s">
        <v>1514</v>
      </c>
      <c r="T421" s="18" t="s">
        <v>1515</v>
      </c>
      <c r="U421" s="14" t="s">
        <v>46</v>
      </c>
      <c r="V421" s="15"/>
      <c r="W421" s="19">
        <v>813.0</v>
      </c>
      <c r="X421" s="19">
        <v>145.0</v>
      </c>
      <c r="Y421" s="20" t="s">
        <v>55</v>
      </c>
      <c r="Z421" s="20"/>
      <c r="AA421" s="20"/>
      <c r="AB421" s="21"/>
      <c r="AC421" s="20"/>
      <c r="AD421" s="20"/>
      <c r="AE421" s="20"/>
      <c r="AF421" s="17" t="str">
        <f t="shared" si="1"/>
        <v>New Logo</v>
      </c>
      <c r="AG421" s="17" t="str">
        <f t="shared" si="2"/>
        <v>Lead</v>
      </c>
      <c r="AH421" s="17" t="str">
        <f t="shared" si="3"/>
        <v>501-1000</v>
      </c>
      <c r="AI421" s="17" t="str">
        <f t="shared" si="4"/>
        <v>101-500</v>
      </c>
    </row>
    <row r="422" ht="15.75" customHeight="1">
      <c r="A422" s="13">
        <f>HYPERLINK("https://app.hubspot.com/contacts/8748051/record/0-3/21719639574", 21719639574)</f>
        <v>21719639574</v>
      </c>
      <c r="B422" s="14" t="s">
        <v>1516</v>
      </c>
      <c r="C422" s="14" t="s">
        <v>37</v>
      </c>
      <c r="D422" s="15">
        <v>60000.0</v>
      </c>
      <c r="E422" s="14" t="s">
        <v>577</v>
      </c>
      <c r="F422" s="14" t="s">
        <v>51</v>
      </c>
      <c r="G422" s="16">
        <v>45530.47287037037</v>
      </c>
      <c r="H422" s="16">
        <v>45896.640810185185</v>
      </c>
      <c r="I422" s="14" t="s">
        <v>39</v>
      </c>
      <c r="J422" s="14" t="s">
        <v>52</v>
      </c>
      <c r="K422" s="14" t="s">
        <v>59</v>
      </c>
      <c r="L422" s="14" t="s">
        <v>180</v>
      </c>
      <c r="M422" s="14" t="s">
        <v>72</v>
      </c>
      <c r="N422" s="14"/>
      <c r="O422" s="14"/>
      <c r="P422" s="17"/>
      <c r="Q422" s="14"/>
      <c r="R422" s="13">
        <f>HYPERLINK("https://app.hubspot.com/contacts/8748051/record/0-2/9238339652", 9238339652)</f>
        <v>9238339652</v>
      </c>
      <c r="S422" s="14" t="s">
        <v>1517</v>
      </c>
      <c r="T422" s="18" t="s">
        <v>1518</v>
      </c>
      <c r="U422" s="14" t="s">
        <v>46</v>
      </c>
      <c r="V422" s="15"/>
      <c r="W422" s="19">
        <v>2300.0</v>
      </c>
      <c r="X422" s="19">
        <v>363.0</v>
      </c>
      <c r="Y422" s="20" t="s">
        <v>1519</v>
      </c>
      <c r="Z422" s="20"/>
      <c r="AA422" s="21"/>
      <c r="AB422" s="20"/>
      <c r="AC422" s="20"/>
      <c r="AD422" s="21"/>
      <c r="AE422" s="20"/>
      <c r="AF422" s="17" t="str">
        <f t="shared" si="1"/>
        <v>New Logo</v>
      </c>
      <c r="AG422" s="17" t="str">
        <f t="shared" si="2"/>
        <v>Lead</v>
      </c>
      <c r="AH422" s="17" t="str">
        <f t="shared" si="3"/>
        <v>1001-5000</v>
      </c>
      <c r="AI422" s="17" t="str">
        <f t="shared" si="4"/>
        <v>101-500</v>
      </c>
    </row>
    <row r="423" ht="15.75" customHeight="1">
      <c r="A423" s="13">
        <f>HYPERLINK("https://app.hubspot.com/contacts/8748051/record/0-3/21610246772", 21610246772)</f>
        <v>21610246772</v>
      </c>
      <c r="B423" s="14" t="s">
        <v>1520</v>
      </c>
      <c r="C423" s="14" t="s">
        <v>1008</v>
      </c>
      <c r="D423" s="15">
        <v>25000.0</v>
      </c>
      <c r="E423" s="14" t="s">
        <v>124</v>
      </c>
      <c r="F423" s="14"/>
      <c r="G423" s="16">
        <v>45525.445231481484</v>
      </c>
      <c r="H423" s="16">
        <v>45838.410092592596</v>
      </c>
      <c r="I423" s="14" t="s">
        <v>39</v>
      </c>
      <c r="J423" s="14" t="s">
        <v>40</v>
      </c>
      <c r="K423" s="14" t="s">
        <v>59</v>
      </c>
      <c r="L423" s="14" t="s">
        <v>175</v>
      </c>
      <c r="M423" s="14" t="s">
        <v>43</v>
      </c>
      <c r="N423" s="14"/>
      <c r="O423" s="17"/>
      <c r="P423" s="14"/>
      <c r="Q423" s="14" t="s">
        <v>125</v>
      </c>
      <c r="R423" s="13">
        <f>HYPERLINK("https://app.hubspot.com/contacts/8748051/record/0-2/8142427002", 8142427002)</f>
        <v>8142427002</v>
      </c>
      <c r="S423" s="14" t="s">
        <v>1521</v>
      </c>
      <c r="T423" s="18" t="s">
        <v>1522</v>
      </c>
      <c r="U423" s="14" t="s">
        <v>46</v>
      </c>
      <c r="V423" s="15"/>
      <c r="W423" s="19">
        <v>405.0</v>
      </c>
      <c r="X423" s="19">
        <v>69.0</v>
      </c>
      <c r="Y423" s="20" t="s">
        <v>63</v>
      </c>
      <c r="Z423" s="20"/>
      <c r="AA423" s="20"/>
      <c r="AB423" s="21"/>
      <c r="AC423" s="20"/>
      <c r="AD423" s="20"/>
      <c r="AE423" s="20"/>
      <c r="AF423" s="17" t="str">
        <f t="shared" si="1"/>
        <v>New Logo</v>
      </c>
      <c r="AG423" s="17" t="str">
        <f t="shared" si="2"/>
        <v>Lead</v>
      </c>
      <c r="AH423" s="17" t="str">
        <f t="shared" si="3"/>
        <v>201-500</v>
      </c>
      <c r="AI423" s="17" t="str">
        <f t="shared" si="4"/>
        <v>51-100</v>
      </c>
    </row>
    <row r="424" ht="15.75" customHeight="1">
      <c r="A424" s="13">
        <f>HYPERLINK("https://app.hubspot.com/contacts/8748051/record/0-3/21513448375", 21513448375)</f>
        <v>21513448375</v>
      </c>
      <c r="B424" s="14" t="s">
        <v>1523</v>
      </c>
      <c r="C424" s="14" t="s">
        <v>1008</v>
      </c>
      <c r="D424" s="15">
        <v>32000.0</v>
      </c>
      <c r="E424" s="14" t="s">
        <v>124</v>
      </c>
      <c r="F424" s="14" t="s">
        <v>51</v>
      </c>
      <c r="G424" s="16">
        <v>45519.55574074074</v>
      </c>
      <c r="H424" s="16">
        <v>45930.42868055555</v>
      </c>
      <c r="I424" s="14" t="s">
        <v>39</v>
      </c>
      <c r="J424" s="14" t="s">
        <v>40</v>
      </c>
      <c r="K424" s="14" t="s">
        <v>59</v>
      </c>
      <c r="L424" s="14" t="s">
        <v>180</v>
      </c>
      <c r="M424" s="14" t="s">
        <v>43</v>
      </c>
      <c r="N424" s="14"/>
      <c r="O424" s="17"/>
      <c r="P424" s="14"/>
      <c r="Q424" s="14" t="s">
        <v>567</v>
      </c>
      <c r="R424" s="13">
        <f>HYPERLINK("https://app.hubspot.com/contacts/8748051/record/0-2/22428892599", 22428892599)</f>
        <v>22428892599</v>
      </c>
      <c r="S424" s="14" t="s">
        <v>1524</v>
      </c>
      <c r="T424" s="18" t="s">
        <v>1525</v>
      </c>
      <c r="U424" s="14" t="s">
        <v>46</v>
      </c>
      <c r="V424" s="15"/>
      <c r="W424" s="19">
        <v>155.0</v>
      </c>
      <c r="X424" s="19">
        <v>24.0</v>
      </c>
      <c r="Y424" s="20"/>
      <c r="Z424" s="21"/>
      <c r="AA424" s="21"/>
      <c r="AB424" s="21"/>
      <c r="AC424" s="21"/>
      <c r="AD424" s="21"/>
      <c r="AE424" s="21"/>
      <c r="AF424" s="17" t="str">
        <f t="shared" si="1"/>
        <v>New Logo</v>
      </c>
      <c r="AG424" s="17" t="str">
        <f t="shared" si="2"/>
        <v>Lead</v>
      </c>
      <c r="AH424" s="17" t="str">
        <f t="shared" si="3"/>
        <v>0-200</v>
      </c>
      <c r="AI424" s="17" t="str">
        <f t="shared" si="4"/>
        <v>21-50</v>
      </c>
    </row>
    <row r="425" ht="15.75" customHeight="1">
      <c r="A425" s="13">
        <f>HYPERLINK("https://app.hubspot.com/contacts/8748051/record/0-3/21376931417", 21376931417)</f>
        <v>21376931417</v>
      </c>
      <c r="B425" s="14" t="s">
        <v>1526</v>
      </c>
      <c r="C425" s="14" t="s">
        <v>1008</v>
      </c>
      <c r="D425" s="15">
        <v>100000.0</v>
      </c>
      <c r="E425" s="14" t="s">
        <v>118</v>
      </c>
      <c r="F425" s="14" t="s">
        <v>51</v>
      </c>
      <c r="G425" s="16">
        <v>45518.160092592596</v>
      </c>
      <c r="H425" s="16">
        <v>45897.23596064815</v>
      </c>
      <c r="I425" s="14" t="s">
        <v>39</v>
      </c>
      <c r="J425" s="14" t="s">
        <v>52</v>
      </c>
      <c r="K425" s="14" t="s">
        <v>59</v>
      </c>
      <c r="L425" s="14" t="s">
        <v>175</v>
      </c>
      <c r="M425" s="14" t="s">
        <v>72</v>
      </c>
      <c r="N425" s="14"/>
      <c r="O425" s="17"/>
      <c r="P425" s="14" t="s">
        <v>119</v>
      </c>
      <c r="Q425" s="14"/>
      <c r="R425" s="13">
        <f>HYPERLINK("https://app.hubspot.com/contacts/8748051/record/0-2/19176224866", 19176224866)</f>
        <v>19176224866</v>
      </c>
      <c r="S425" s="14" t="s">
        <v>1527</v>
      </c>
      <c r="T425" s="18" t="s">
        <v>1528</v>
      </c>
      <c r="U425" s="14" t="s">
        <v>46</v>
      </c>
      <c r="V425" s="15"/>
      <c r="W425" s="19">
        <v>7593.0</v>
      </c>
      <c r="X425" s="19">
        <v>305.0</v>
      </c>
      <c r="Y425" s="20" t="s">
        <v>104</v>
      </c>
      <c r="Z425" s="20"/>
      <c r="AA425" s="21"/>
      <c r="AB425" s="21"/>
      <c r="AC425" s="20"/>
      <c r="AD425" s="20"/>
      <c r="AE425" s="20"/>
      <c r="AF425" s="17" t="str">
        <f t="shared" si="1"/>
        <v>New Logo</v>
      </c>
      <c r="AG425" s="17" t="str">
        <f t="shared" si="2"/>
        <v>Lead</v>
      </c>
      <c r="AH425" s="17" t="str">
        <f t="shared" si="3"/>
        <v>5000-10000</v>
      </c>
      <c r="AI425" s="17" t="str">
        <f t="shared" si="4"/>
        <v>101-500</v>
      </c>
    </row>
    <row r="426" ht="15.75" customHeight="1">
      <c r="A426" s="13">
        <f>HYPERLINK("https://app.hubspot.com/contacts/8748051/record/0-3/21320662952", 21320662952)</f>
        <v>21320662952</v>
      </c>
      <c r="B426" s="14" t="s">
        <v>1529</v>
      </c>
      <c r="C426" s="14" t="s">
        <v>37</v>
      </c>
      <c r="D426" s="15">
        <v>100000.0</v>
      </c>
      <c r="E426" s="14" t="s">
        <v>118</v>
      </c>
      <c r="F426" s="14"/>
      <c r="G426" s="16">
        <v>45517.1841087963</v>
      </c>
      <c r="H426" s="16">
        <v>45701.14179398148</v>
      </c>
      <c r="I426" s="14" t="s">
        <v>39</v>
      </c>
      <c r="J426" s="14" t="s">
        <v>52</v>
      </c>
      <c r="K426" s="14" t="s">
        <v>59</v>
      </c>
      <c r="L426" s="14" t="s">
        <v>175</v>
      </c>
      <c r="M426" s="14" t="s">
        <v>72</v>
      </c>
      <c r="N426" s="14"/>
      <c r="O426" s="17"/>
      <c r="P426" s="14"/>
      <c r="Q426" s="14"/>
      <c r="R426" s="13">
        <f>HYPERLINK("https://app.hubspot.com/contacts/8748051/record/0-2/30038830182", 30038830182)</f>
        <v>30038830182</v>
      </c>
      <c r="S426" s="14" t="s">
        <v>1530</v>
      </c>
      <c r="T426" s="18" t="s">
        <v>1531</v>
      </c>
      <c r="U426" s="14" t="s">
        <v>46</v>
      </c>
      <c r="V426" s="15"/>
      <c r="W426" s="19">
        <v>3194.0</v>
      </c>
      <c r="X426" s="19">
        <v>810.0</v>
      </c>
      <c r="Y426" s="20" t="s">
        <v>794</v>
      </c>
      <c r="Z426" s="20"/>
      <c r="AA426" s="21"/>
      <c r="AB426" s="21"/>
      <c r="AC426" s="20"/>
      <c r="AD426" s="20"/>
      <c r="AE426" s="20"/>
      <c r="AF426" s="17" t="str">
        <f t="shared" si="1"/>
        <v>New Logo</v>
      </c>
      <c r="AG426" s="17" t="str">
        <f t="shared" si="2"/>
        <v>Lead</v>
      </c>
      <c r="AH426" s="17" t="str">
        <f t="shared" si="3"/>
        <v>1001-5000</v>
      </c>
      <c r="AI426" s="17" t="str">
        <f t="shared" si="4"/>
        <v>500+</v>
      </c>
    </row>
    <row r="427" ht="15.75" customHeight="1">
      <c r="A427" s="13">
        <f>HYPERLINK("https://app.hubspot.com/contacts/8748051/record/0-3/21320074868", 21320074868)</f>
        <v>21320074868</v>
      </c>
      <c r="B427" s="14" t="s">
        <v>1532</v>
      </c>
      <c r="C427" s="14" t="s">
        <v>1008</v>
      </c>
      <c r="D427" s="15">
        <v>25000.0</v>
      </c>
      <c r="E427" s="14" t="s">
        <v>124</v>
      </c>
      <c r="F427" s="14" t="s">
        <v>51</v>
      </c>
      <c r="G427" s="16">
        <v>45517.12747685185</v>
      </c>
      <c r="H427" s="16">
        <v>45838.166550925926</v>
      </c>
      <c r="I427" s="14" t="s">
        <v>39</v>
      </c>
      <c r="J427" s="14" t="s">
        <v>52</v>
      </c>
      <c r="K427" s="14" t="s">
        <v>59</v>
      </c>
      <c r="L427" s="14" t="s">
        <v>175</v>
      </c>
      <c r="M427" s="14" t="s">
        <v>98</v>
      </c>
      <c r="N427" s="14"/>
      <c r="O427" s="17"/>
      <c r="P427" s="14"/>
      <c r="Q427" s="14" t="s">
        <v>141</v>
      </c>
      <c r="R427" s="13">
        <f>HYPERLINK("https://app.hubspot.com/contacts/8748051/record/0-2/6262678542", 6262678542)</f>
        <v>6262678542</v>
      </c>
      <c r="S427" s="14" t="s">
        <v>1533</v>
      </c>
      <c r="T427" s="18" t="s">
        <v>1534</v>
      </c>
      <c r="U427" s="14" t="s">
        <v>46</v>
      </c>
      <c r="V427" s="15"/>
      <c r="W427" s="19">
        <v>9891.0</v>
      </c>
      <c r="X427" s="19">
        <v>606.0</v>
      </c>
      <c r="Y427" s="20"/>
      <c r="Z427" s="20"/>
      <c r="AA427" s="21"/>
      <c r="AB427" s="21"/>
      <c r="AC427" s="20"/>
      <c r="AD427" s="20"/>
      <c r="AE427" s="20"/>
      <c r="AF427" s="17" t="str">
        <f t="shared" si="1"/>
        <v>New Logo</v>
      </c>
      <c r="AG427" s="17" t="str">
        <f t="shared" si="2"/>
        <v>Lead</v>
      </c>
      <c r="AH427" s="17" t="str">
        <f t="shared" si="3"/>
        <v>5000-10000</v>
      </c>
      <c r="AI427" s="17" t="str">
        <f t="shared" si="4"/>
        <v>500+</v>
      </c>
    </row>
    <row r="428" ht="15.75" customHeight="1">
      <c r="A428" s="13">
        <f>HYPERLINK("https://app.hubspot.com/contacts/8748051/record/0-3/21188021669", 21188021669)</f>
        <v>21188021669</v>
      </c>
      <c r="B428" s="14" t="s">
        <v>1535</v>
      </c>
      <c r="C428" s="14" t="s">
        <v>1227</v>
      </c>
      <c r="D428" s="15">
        <v>21000.0</v>
      </c>
      <c r="E428" s="14" t="s">
        <v>89</v>
      </c>
      <c r="F428" s="14" t="s">
        <v>51</v>
      </c>
      <c r="G428" s="16">
        <v>45510.21648148148</v>
      </c>
      <c r="H428" s="16">
        <v>45601.33327546297</v>
      </c>
      <c r="I428" s="14" t="s">
        <v>39</v>
      </c>
      <c r="J428" s="14" t="s">
        <v>40</v>
      </c>
      <c r="K428" s="14" t="s">
        <v>41</v>
      </c>
      <c r="L428" s="14" t="s">
        <v>42</v>
      </c>
      <c r="M428" s="14" t="s">
        <v>98</v>
      </c>
      <c r="N428" s="14" t="s">
        <v>1536</v>
      </c>
      <c r="O428" s="17"/>
      <c r="P428" s="14"/>
      <c r="Q428" s="14"/>
      <c r="R428" s="13">
        <f>HYPERLINK("https://app.hubspot.com/contacts/8748051/record/0-2/8741219622", 8741219622)</f>
        <v>8741219622</v>
      </c>
      <c r="S428" s="14" t="s">
        <v>309</v>
      </c>
      <c r="T428" s="18" t="s">
        <v>310</v>
      </c>
      <c r="U428" s="14" t="s">
        <v>93</v>
      </c>
      <c r="V428" s="15">
        <v>23500.0</v>
      </c>
      <c r="W428" s="19">
        <v>262.0</v>
      </c>
      <c r="X428" s="19">
        <v>34.0</v>
      </c>
      <c r="Y428" s="20"/>
      <c r="Z428" s="20" t="s">
        <v>218</v>
      </c>
      <c r="AA428" s="20"/>
      <c r="AB428" s="21"/>
      <c r="AC428" s="20" t="s">
        <v>311</v>
      </c>
      <c r="AD428" s="20" t="s">
        <v>312</v>
      </c>
      <c r="AE428" s="20" t="s">
        <v>186</v>
      </c>
      <c r="AF428" s="17" t="str">
        <f t="shared" si="1"/>
        <v>New Logo</v>
      </c>
      <c r="AG428" s="17" t="str">
        <f t="shared" si="2"/>
        <v>Customer</v>
      </c>
      <c r="AH428" s="17" t="str">
        <f t="shared" si="3"/>
        <v>201-500</v>
      </c>
      <c r="AI428" s="17" t="str">
        <f t="shared" si="4"/>
        <v>21-50</v>
      </c>
    </row>
    <row r="429" ht="15.75" customHeight="1">
      <c r="A429" s="13">
        <f>HYPERLINK("https://app.hubspot.com/contacts/8748051/record/0-3/21114190631", 21114190631)</f>
        <v>21114190631</v>
      </c>
      <c r="B429" s="14" t="s">
        <v>1537</v>
      </c>
      <c r="C429" s="14" t="s">
        <v>49</v>
      </c>
      <c r="D429" s="15">
        <v>22000.0</v>
      </c>
      <c r="E429" s="14" t="s">
        <v>124</v>
      </c>
      <c r="F429" s="14" t="s">
        <v>51</v>
      </c>
      <c r="G429" s="16">
        <v>45505.45753472222</v>
      </c>
      <c r="H429" s="16">
        <v>45838.40740740741</v>
      </c>
      <c r="I429" s="14" t="s">
        <v>39</v>
      </c>
      <c r="J429" s="14" t="s">
        <v>52</v>
      </c>
      <c r="K429" s="14" t="s">
        <v>59</v>
      </c>
      <c r="L429" s="14" t="s">
        <v>180</v>
      </c>
      <c r="M429" s="14" t="s">
        <v>43</v>
      </c>
      <c r="N429" s="17"/>
      <c r="O429" s="17"/>
      <c r="P429" s="14"/>
      <c r="Q429" s="14" t="s">
        <v>125</v>
      </c>
      <c r="R429" s="13">
        <f>HYPERLINK("https://app.hubspot.com/contacts/8748051/record/0-2/6815283286", 6815283286)</f>
        <v>6815283286</v>
      </c>
      <c r="S429" s="14" t="s">
        <v>1538</v>
      </c>
      <c r="T429" s="18" t="s">
        <v>1539</v>
      </c>
      <c r="U429" s="14" t="s">
        <v>46</v>
      </c>
      <c r="V429" s="15"/>
      <c r="W429" s="19">
        <v>256.0</v>
      </c>
      <c r="X429" s="19">
        <v>45.0</v>
      </c>
      <c r="Y429" s="20" t="s">
        <v>1540</v>
      </c>
      <c r="Z429" s="20"/>
      <c r="AA429" s="20"/>
      <c r="AB429" s="21"/>
      <c r="AC429" s="20"/>
      <c r="AD429" s="21"/>
      <c r="AE429" s="20"/>
      <c r="AF429" s="17" t="str">
        <f t="shared" si="1"/>
        <v>New Logo</v>
      </c>
      <c r="AG429" s="17" t="str">
        <f t="shared" si="2"/>
        <v>Lead</v>
      </c>
      <c r="AH429" s="17" t="str">
        <f t="shared" si="3"/>
        <v>201-500</v>
      </c>
      <c r="AI429" s="17" t="str">
        <f t="shared" si="4"/>
        <v>21-50</v>
      </c>
    </row>
    <row r="430" ht="15.75" customHeight="1">
      <c r="A430" s="13">
        <f>HYPERLINK("https://app.hubspot.com/contacts/8748051/record/0-3/43983454997", 43983454997)</f>
        <v>43983454997</v>
      </c>
      <c r="B430" s="14" t="s">
        <v>1541</v>
      </c>
      <c r="C430" s="14" t="s">
        <v>156</v>
      </c>
      <c r="D430" s="15">
        <v>9060.0</v>
      </c>
      <c r="E430" s="14" t="s">
        <v>89</v>
      </c>
      <c r="F430" s="14"/>
      <c r="G430" s="16">
        <v>45497.659780092596</v>
      </c>
      <c r="H430" s="16">
        <v>45497.659791666665</v>
      </c>
      <c r="I430" s="14" t="s">
        <v>39</v>
      </c>
      <c r="J430" s="14" t="s">
        <v>179</v>
      </c>
      <c r="K430" s="14" t="s">
        <v>158</v>
      </c>
      <c r="L430" s="14" t="s">
        <v>159</v>
      </c>
      <c r="M430" s="14" t="s">
        <v>43</v>
      </c>
      <c r="N430" s="14"/>
      <c r="O430" s="17"/>
      <c r="P430" s="14"/>
      <c r="Q430" s="14"/>
      <c r="R430" s="13">
        <f>HYPERLINK("https://app.hubspot.com/contacts/8748051/record/0-2/8340612199", 8340612199)</f>
        <v>8340612199</v>
      </c>
      <c r="S430" s="14" t="s">
        <v>1542</v>
      </c>
      <c r="T430" s="18" t="s">
        <v>1543</v>
      </c>
      <c r="U430" s="14" t="s">
        <v>93</v>
      </c>
      <c r="V430" s="15">
        <v>16560.0</v>
      </c>
      <c r="W430" s="19">
        <v>129.0</v>
      </c>
      <c r="X430" s="19">
        <v>15.0</v>
      </c>
      <c r="Y430" s="20"/>
      <c r="Z430" s="20" t="s">
        <v>192</v>
      </c>
      <c r="AA430" s="20" t="s">
        <v>348</v>
      </c>
      <c r="AB430" s="21"/>
      <c r="AC430" s="20" t="s">
        <v>1544</v>
      </c>
      <c r="AD430" s="20"/>
      <c r="AE430" s="20" t="s">
        <v>166</v>
      </c>
      <c r="AF430" s="17" t="str">
        <f t="shared" si="1"/>
        <v>Upsell</v>
      </c>
      <c r="AG430" s="17" t="str">
        <f t="shared" si="2"/>
        <v>Customer</v>
      </c>
      <c r="AH430" s="17" t="str">
        <f t="shared" si="3"/>
        <v>0-200</v>
      </c>
      <c r="AI430" s="17" t="str">
        <f t="shared" si="4"/>
        <v>0-20</v>
      </c>
    </row>
    <row r="431" ht="15.75" customHeight="1">
      <c r="A431" s="13">
        <f>HYPERLINK("https://app.hubspot.com/contacts/8748051/record/0-3/20902616950", 20902616950)</f>
        <v>20902616950</v>
      </c>
      <c r="B431" s="14" t="s">
        <v>1545</v>
      </c>
      <c r="C431" s="14" t="s">
        <v>37</v>
      </c>
      <c r="D431" s="15">
        <v>19200.0</v>
      </c>
      <c r="E431" s="14" t="s">
        <v>118</v>
      </c>
      <c r="F431" s="14"/>
      <c r="G431" s="16">
        <v>45495.39304398148</v>
      </c>
      <c r="H431" s="16">
        <v>45679.391122685185</v>
      </c>
      <c r="I431" s="14" t="s">
        <v>39</v>
      </c>
      <c r="J431" s="14" t="s">
        <v>40</v>
      </c>
      <c r="K431" s="14" t="s">
        <v>1186</v>
      </c>
      <c r="L431" s="14" t="s">
        <v>559</v>
      </c>
      <c r="M431" s="14" t="s">
        <v>43</v>
      </c>
      <c r="N431" s="14"/>
      <c r="O431" s="17"/>
      <c r="P431" s="14"/>
      <c r="Q431" s="14"/>
      <c r="R431" s="13">
        <f>HYPERLINK("https://app.hubspot.com/contacts/8748051/record/0-2/7984212237", 7984212237)</f>
        <v>7984212237</v>
      </c>
      <c r="S431" s="14" t="s">
        <v>1546</v>
      </c>
      <c r="T431" s="18" t="s">
        <v>1547</v>
      </c>
      <c r="U431" s="14" t="s">
        <v>46</v>
      </c>
      <c r="V431" s="15"/>
      <c r="W431" s="19">
        <v>524.0</v>
      </c>
      <c r="X431" s="19">
        <v>61.0</v>
      </c>
      <c r="Y431" s="20" t="s">
        <v>104</v>
      </c>
      <c r="Z431" s="20"/>
      <c r="AA431" s="21"/>
      <c r="AB431" s="21"/>
      <c r="AC431" s="20"/>
      <c r="AD431" s="20"/>
      <c r="AE431" s="20"/>
      <c r="AF431" s="17" t="str">
        <f t="shared" si="1"/>
        <v>New Logo</v>
      </c>
      <c r="AG431" s="17" t="str">
        <f t="shared" si="2"/>
        <v>Lead</v>
      </c>
      <c r="AH431" s="17" t="str">
        <f t="shared" si="3"/>
        <v>501-1000</v>
      </c>
      <c r="AI431" s="17" t="str">
        <f t="shared" si="4"/>
        <v>51-100</v>
      </c>
    </row>
    <row r="432" ht="15.75" customHeight="1">
      <c r="A432" s="13">
        <f>HYPERLINK("https://app.hubspot.com/contacts/8748051/record/0-3/20829052298", 20829052298)</f>
        <v>20829052298</v>
      </c>
      <c r="B432" s="14" t="s">
        <v>1548</v>
      </c>
      <c r="C432" s="14" t="s">
        <v>1227</v>
      </c>
      <c r="D432" s="15">
        <v>8500.0</v>
      </c>
      <c r="E432" s="14" t="s">
        <v>89</v>
      </c>
      <c r="F432" s="14" t="s">
        <v>51</v>
      </c>
      <c r="G432" s="16">
        <v>45491.04329861111</v>
      </c>
      <c r="H432" s="16">
        <v>45628.43445601852</v>
      </c>
      <c r="I432" s="14" t="s">
        <v>39</v>
      </c>
      <c r="J432" s="14" t="s">
        <v>40</v>
      </c>
      <c r="K432" s="14" t="s">
        <v>41</v>
      </c>
      <c r="L432" s="14" t="s">
        <v>42</v>
      </c>
      <c r="M432" s="14" t="s">
        <v>72</v>
      </c>
      <c r="N432" s="14" t="s">
        <v>1549</v>
      </c>
      <c r="O432" s="14"/>
      <c r="P432" s="14"/>
      <c r="Q432" s="14"/>
      <c r="R432" s="13">
        <f>HYPERLINK("https://app.hubspot.com/contacts/8748051/record/0-2/21926460338", 21926460338)</f>
        <v>21926460338</v>
      </c>
      <c r="S432" s="14" t="s">
        <v>216</v>
      </c>
      <c r="T432" s="18" t="s">
        <v>217</v>
      </c>
      <c r="U432" s="14" t="s">
        <v>93</v>
      </c>
      <c r="V432" s="15">
        <v>12368.0</v>
      </c>
      <c r="W432" s="19">
        <v>134.0</v>
      </c>
      <c r="X432" s="19">
        <v>16.0</v>
      </c>
      <c r="Y432" s="20"/>
      <c r="Z432" s="20" t="s">
        <v>218</v>
      </c>
      <c r="AA432" s="21"/>
      <c r="AB432" s="21"/>
      <c r="AC432" s="20" t="s">
        <v>219</v>
      </c>
      <c r="AD432" s="20" t="s">
        <v>220</v>
      </c>
      <c r="AE432" s="20" t="s">
        <v>166</v>
      </c>
      <c r="AF432" s="17" t="str">
        <f t="shared" si="1"/>
        <v>New Logo</v>
      </c>
      <c r="AG432" s="17" t="str">
        <f t="shared" si="2"/>
        <v>Customer</v>
      </c>
      <c r="AH432" s="17" t="str">
        <f t="shared" si="3"/>
        <v>0-200</v>
      </c>
      <c r="AI432" s="17" t="str">
        <f t="shared" si="4"/>
        <v>0-20</v>
      </c>
    </row>
    <row r="433" ht="15.75" customHeight="1">
      <c r="A433" s="13">
        <f>HYPERLINK("https://app.hubspot.com/contacts/8748051/record/0-3/20638198658", 20638198658)</f>
        <v>20638198658</v>
      </c>
      <c r="B433" s="14" t="s">
        <v>1550</v>
      </c>
      <c r="C433" s="14" t="s">
        <v>145</v>
      </c>
      <c r="D433" s="15">
        <v>0.0</v>
      </c>
      <c r="E433" s="14" t="s">
        <v>89</v>
      </c>
      <c r="F433" s="14"/>
      <c r="G433" s="16">
        <v>45482.687060185184</v>
      </c>
      <c r="H433" s="16">
        <v>45489.36719907408</v>
      </c>
      <c r="I433" s="14" t="s">
        <v>39</v>
      </c>
      <c r="J433" s="14" t="s">
        <v>40</v>
      </c>
      <c r="K433" s="14" t="s">
        <v>59</v>
      </c>
      <c r="L433" s="14" t="s">
        <v>180</v>
      </c>
      <c r="M433" s="14" t="s">
        <v>43</v>
      </c>
      <c r="N433" s="14" t="s">
        <v>1551</v>
      </c>
      <c r="O433" s="14"/>
      <c r="P433" s="14"/>
      <c r="Q433" s="14"/>
      <c r="R433" s="13">
        <f>HYPERLINK("https://app.hubspot.com/contacts/8748051/record/0-2/21824549432", 21824549432)</f>
        <v>21824549432</v>
      </c>
      <c r="S433" s="14" t="s">
        <v>1552</v>
      </c>
      <c r="T433" s="18" t="s">
        <v>1553</v>
      </c>
      <c r="U433" s="14">
        <v>3.4564763E7</v>
      </c>
      <c r="V433" s="15">
        <v>0.0</v>
      </c>
      <c r="W433" s="19">
        <v>10.0</v>
      </c>
      <c r="X433" s="19">
        <v>1.0</v>
      </c>
      <c r="Y433" s="20"/>
      <c r="Z433" s="21"/>
      <c r="AA433" s="21"/>
      <c r="AB433" s="21"/>
      <c r="AC433" s="21"/>
      <c r="AD433" s="21"/>
      <c r="AE433" s="21"/>
      <c r="AF433" s="17" t="str">
        <f t="shared" si="1"/>
        <v>New Logo</v>
      </c>
      <c r="AG433" s="17" t="str">
        <f t="shared" si="2"/>
        <v>Churn</v>
      </c>
      <c r="AH433" s="17" t="str">
        <f t="shared" si="3"/>
        <v>0-200</v>
      </c>
      <c r="AI433" s="17" t="str">
        <f t="shared" si="4"/>
        <v>0-20</v>
      </c>
    </row>
    <row r="434" ht="15.75" customHeight="1">
      <c r="A434" s="13">
        <f>HYPERLINK("https://app.hubspot.com/contacts/8748051/record/0-3/20614218619", 20614218619)</f>
        <v>20614218619</v>
      </c>
      <c r="B434" s="14" t="s">
        <v>1554</v>
      </c>
      <c r="C434" s="14" t="s">
        <v>145</v>
      </c>
      <c r="D434" s="15">
        <v>240.0</v>
      </c>
      <c r="E434" s="14" t="s">
        <v>118</v>
      </c>
      <c r="F434" s="14"/>
      <c r="G434" s="16">
        <v>45481.60733796296</v>
      </c>
      <c r="H434" s="16">
        <v>45665.565405092595</v>
      </c>
      <c r="I434" s="14" t="s">
        <v>39</v>
      </c>
      <c r="J434" s="14" t="s">
        <v>40</v>
      </c>
      <c r="K434" s="14" t="s">
        <v>41</v>
      </c>
      <c r="L434" s="14" t="s">
        <v>42</v>
      </c>
      <c r="M434" s="14" t="s">
        <v>43</v>
      </c>
      <c r="N434" s="17"/>
      <c r="O434" s="14"/>
      <c r="P434" s="14"/>
      <c r="Q434" s="14"/>
      <c r="R434" s="13">
        <f>HYPERLINK("https://app.hubspot.com/contacts/8748051/record/0-2/21708541544", 21708541544)</f>
        <v>21708541544</v>
      </c>
      <c r="S434" s="14" t="s">
        <v>1555</v>
      </c>
      <c r="T434" s="18" t="s">
        <v>1556</v>
      </c>
      <c r="U434" s="14" t="s">
        <v>46</v>
      </c>
      <c r="V434" s="22"/>
      <c r="W434" s="19">
        <v>34.0</v>
      </c>
      <c r="X434" s="19">
        <v>1.0</v>
      </c>
      <c r="Y434" s="20"/>
      <c r="Z434" s="21"/>
      <c r="AA434" s="21"/>
      <c r="AB434" s="21"/>
      <c r="AC434" s="21"/>
      <c r="AD434" s="21"/>
      <c r="AE434" s="21"/>
      <c r="AF434" s="17" t="str">
        <f t="shared" si="1"/>
        <v>New Logo</v>
      </c>
      <c r="AG434" s="17" t="str">
        <f t="shared" si="2"/>
        <v>Lead</v>
      </c>
      <c r="AH434" s="17" t="str">
        <f t="shared" si="3"/>
        <v>0-200</v>
      </c>
      <c r="AI434" s="17" t="str">
        <f t="shared" si="4"/>
        <v>0-20</v>
      </c>
    </row>
    <row r="435" ht="15.75" customHeight="1">
      <c r="A435" s="13">
        <f>HYPERLINK("https://app.hubspot.com/contacts/8748051/record/0-3/20614218499", 20614218499)</f>
        <v>20614218499</v>
      </c>
      <c r="B435" s="14" t="s">
        <v>1557</v>
      </c>
      <c r="C435" s="14" t="s">
        <v>1008</v>
      </c>
      <c r="D435" s="15">
        <v>7920.0</v>
      </c>
      <c r="E435" s="14" t="s">
        <v>118</v>
      </c>
      <c r="F435" s="17"/>
      <c r="G435" s="16">
        <v>45481.60666666667</v>
      </c>
      <c r="H435" s="16">
        <v>45665.56475694444</v>
      </c>
      <c r="I435" s="14" t="s">
        <v>39</v>
      </c>
      <c r="J435" s="14" t="s">
        <v>40</v>
      </c>
      <c r="K435" s="14" t="s">
        <v>558</v>
      </c>
      <c r="L435" s="14" t="s">
        <v>559</v>
      </c>
      <c r="M435" s="14" t="s">
        <v>43</v>
      </c>
      <c r="N435" s="17"/>
      <c r="O435" s="17"/>
      <c r="P435" s="14" t="s">
        <v>119</v>
      </c>
      <c r="Q435" s="17"/>
      <c r="R435" s="13">
        <f>HYPERLINK("https://app.hubspot.com/contacts/8748051/record/0-2/7831515192", 7831515192)</f>
        <v>7831515192</v>
      </c>
      <c r="S435" s="14" t="s">
        <v>1558</v>
      </c>
      <c r="T435" s="18" t="s">
        <v>1559</v>
      </c>
      <c r="U435" s="14" t="s">
        <v>46</v>
      </c>
      <c r="V435" s="22"/>
      <c r="W435" s="19">
        <v>200.0</v>
      </c>
      <c r="X435" s="19">
        <v>56.0</v>
      </c>
      <c r="Y435" s="20" t="s">
        <v>70</v>
      </c>
      <c r="Z435" s="21"/>
      <c r="AA435" s="21"/>
      <c r="AB435" s="21"/>
      <c r="AC435" s="21"/>
      <c r="AD435" s="21"/>
      <c r="AE435" s="21"/>
      <c r="AF435" s="17" t="str">
        <f t="shared" si="1"/>
        <v>New Logo</v>
      </c>
      <c r="AG435" s="17" t="str">
        <f t="shared" si="2"/>
        <v>Lead</v>
      </c>
      <c r="AH435" s="17" t="str">
        <f t="shared" si="3"/>
        <v>0-200</v>
      </c>
      <c r="AI435" s="17" t="str">
        <f t="shared" si="4"/>
        <v>51-100</v>
      </c>
    </row>
    <row r="436" ht="15.75" customHeight="1">
      <c r="A436" s="13">
        <f>HYPERLINK("https://app.hubspot.com/contacts/8748051/record/0-3/20608745328", 20608745328)</f>
        <v>20608745328</v>
      </c>
      <c r="B436" s="14" t="s">
        <v>1560</v>
      </c>
      <c r="C436" s="14" t="s">
        <v>1008</v>
      </c>
      <c r="D436" s="15">
        <v>23760.0</v>
      </c>
      <c r="E436" s="14" t="s">
        <v>118</v>
      </c>
      <c r="F436" s="14"/>
      <c r="G436" s="16">
        <v>45481.43167824074</v>
      </c>
      <c r="H436" s="16">
        <v>45665.3896875</v>
      </c>
      <c r="I436" s="14" t="s">
        <v>39</v>
      </c>
      <c r="J436" s="14" t="s">
        <v>40</v>
      </c>
      <c r="K436" s="14" t="s">
        <v>558</v>
      </c>
      <c r="L436" s="14" t="s">
        <v>559</v>
      </c>
      <c r="M436" s="14" t="s">
        <v>43</v>
      </c>
      <c r="N436" s="14"/>
      <c r="O436" s="17"/>
      <c r="P436" s="14"/>
      <c r="Q436" s="14"/>
      <c r="R436" s="13">
        <f>HYPERLINK("https://app.hubspot.com/contacts/8748051/record/0-2/19176601210", 19176601210)</f>
        <v>19176601210</v>
      </c>
      <c r="S436" s="14" t="s">
        <v>1561</v>
      </c>
      <c r="T436" s="18" t="s">
        <v>1562</v>
      </c>
      <c r="U436" s="14" t="s">
        <v>46</v>
      </c>
      <c r="V436" s="15"/>
      <c r="W436" s="19">
        <v>1051.0</v>
      </c>
      <c r="X436" s="19">
        <v>88.0</v>
      </c>
      <c r="Y436" s="20" t="s">
        <v>104</v>
      </c>
      <c r="Z436" s="20"/>
      <c r="AA436" s="21"/>
      <c r="AB436" s="20"/>
      <c r="AC436" s="20"/>
      <c r="AD436" s="21"/>
      <c r="AE436" s="20"/>
      <c r="AF436" s="17" t="str">
        <f t="shared" si="1"/>
        <v>New Logo</v>
      </c>
      <c r="AG436" s="17" t="str">
        <f t="shared" si="2"/>
        <v>Lead</v>
      </c>
      <c r="AH436" s="17" t="str">
        <f t="shared" si="3"/>
        <v>1001-5000</v>
      </c>
      <c r="AI436" s="17" t="str">
        <f t="shared" si="4"/>
        <v>51-100</v>
      </c>
    </row>
    <row r="437" ht="15.75" customHeight="1">
      <c r="A437" s="13">
        <f>HYPERLINK("https://app.hubspot.com/contacts/8748051/record/0-3/20604661097", 20604661097)</f>
        <v>20604661097</v>
      </c>
      <c r="B437" s="14" t="s">
        <v>1563</v>
      </c>
      <c r="C437" s="14" t="s">
        <v>1008</v>
      </c>
      <c r="D437" s="15">
        <v>25000.0</v>
      </c>
      <c r="E437" s="14" t="s">
        <v>118</v>
      </c>
      <c r="F437" s="14"/>
      <c r="G437" s="16">
        <v>45481.32408564815</v>
      </c>
      <c r="H437" s="16">
        <v>45596.32376157407</v>
      </c>
      <c r="I437" s="14" t="s">
        <v>39</v>
      </c>
      <c r="J437" s="14" t="s">
        <v>40</v>
      </c>
      <c r="K437" s="14" t="s">
        <v>41</v>
      </c>
      <c r="L437" s="14" t="s">
        <v>42</v>
      </c>
      <c r="M437" s="14" t="s">
        <v>72</v>
      </c>
      <c r="N437" s="14"/>
      <c r="O437" s="17"/>
      <c r="P437" s="14" t="s">
        <v>260</v>
      </c>
      <c r="Q437" s="14"/>
      <c r="R437" s="13">
        <f>HYPERLINK("https://app.hubspot.com/contacts/8748051/record/0-2/21741925895", 21741925895)</f>
        <v>21741925895</v>
      </c>
      <c r="S437" s="14" t="s">
        <v>1564</v>
      </c>
      <c r="T437" s="18" t="s">
        <v>1565</v>
      </c>
      <c r="U437" s="14" t="s">
        <v>46</v>
      </c>
      <c r="V437" s="15"/>
      <c r="W437" s="19">
        <v>81.0</v>
      </c>
      <c r="X437" s="19">
        <v>10.0</v>
      </c>
      <c r="Y437" s="20"/>
      <c r="Z437" s="20"/>
      <c r="AA437" s="21"/>
      <c r="AB437" s="21"/>
      <c r="AC437" s="20"/>
      <c r="AD437" s="21"/>
      <c r="AE437" s="20"/>
      <c r="AF437" s="17" t="str">
        <f t="shared" si="1"/>
        <v>New Logo</v>
      </c>
      <c r="AG437" s="17" t="str">
        <f t="shared" si="2"/>
        <v>Lead</v>
      </c>
      <c r="AH437" s="17" t="str">
        <f t="shared" si="3"/>
        <v>0-200</v>
      </c>
      <c r="AI437" s="17" t="str">
        <f t="shared" si="4"/>
        <v>0-20</v>
      </c>
    </row>
    <row r="438" ht="15.75" customHeight="1">
      <c r="A438" s="13">
        <f>HYPERLINK("https://app.hubspot.com/contacts/8748051/record/0-3/20487492353", 20487492353)</f>
        <v>20487492353</v>
      </c>
      <c r="B438" s="14" t="s">
        <v>1566</v>
      </c>
      <c r="C438" s="14" t="s">
        <v>1008</v>
      </c>
      <c r="D438" s="15">
        <v>30480.0</v>
      </c>
      <c r="E438" s="14" t="s">
        <v>124</v>
      </c>
      <c r="F438" s="14" t="s">
        <v>51</v>
      </c>
      <c r="G438" s="16">
        <v>45475.578252314815</v>
      </c>
      <c r="H438" s="16">
        <v>45659.53640046297</v>
      </c>
      <c r="I438" s="14" t="s">
        <v>39</v>
      </c>
      <c r="J438" s="14" t="s">
        <v>40</v>
      </c>
      <c r="K438" s="14" t="s">
        <v>558</v>
      </c>
      <c r="L438" s="14" t="s">
        <v>559</v>
      </c>
      <c r="M438" s="14" t="s">
        <v>43</v>
      </c>
      <c r="N438" s="14"/>
      <c r="O438" s="14"/>
      <c r="P438" s="14"/>
      <c r="Q438" s="14" t="s">
        <v>1567</v>
      </c>
      <c r="R438" s="13">
        <f>HYPERLINK("https://app.hubspot.com/contacts/8748051/record/0-2/19176601204", 19176601204)</f>
        <v>19176601204</v>
      </c>
      <c r="S438" s="14" t="s">
        <v>1568</v>
      </c>
      <c r="T438" s="18" t="s">
        <v>1569</v>
      </c>
      <c r="U438" s="14" t="s">
        <v>46</v>
      </c>
      <c r="V438" s="15"/>
      <c r="W438" s="19">
        <v>689.0</v>
      </c>
      <c r="X438" s="19">
        <v>156.0</v>
      </c>
      <c r="Y438" s="20" t="s">
        <v>55</v>
      </c>
      <c r="Z438" s="20"/>
      <c r="AA438" s="21"/>
      <c r="AB438" s="20"/>
      <c r="AC438" s="20"/>
      <c r="AD438" s="21"/>
      <c r="AE438" s="20"/>
      <c r="AF438" s="17" t="str">
        <f t="shared" si="1"/>
        <v>New Logo</v>
      </c>
      <c r="AG438" s="17" t="str">
        <f t="shared" si="2"/>
        <v>Lead</v>
      </c>
      <c r="AH438" s="17" t="str">
        <f t="shared" si="3"/>
        <v>501-1000</v>
      </c>
      <c r="AI438" s="17" t="str">
        <f t="shared" si="4"/>
        <v>101-500</v>
      </c>
    </row>
    <row r="439" ht="15.75" customHeight="1">
      <c r="A439" s="13">
        <f>HYPERLINK("https://app.hubspot.com/contacts/8748051/record/0-3/20484752740", 20484752740)</f>
        <v>20484752740</v>
      </c>
      <c r="B439" s="14" t="s">
        <v>1570</v>
      </c>
      <c r="C439" s="14" t="s">
        <v>49</v>
      </c>
      <c r="D439" s="15">
        <v>25200.0</v>
      </c>
      <c r="E439" s="14" t="s">
        <v>118</v>
      </c>
      <c r="F439" s="14" t="s">
        <v>51</v>
      </c>
      <c r="G439" s="16">
        <v>45475.43533564815</v>
      </c>
      <c r="H439" s="16">
        <v>45838.67729166667</v>
      </c>
      <c r="I439" s="14" t="s">
        <v>39</v>
      </c>
      <c r="J439" s="14" t="s">
        <v>40</v>
      </c>
      <c r="K439" s="14" t="s">
        <v>558</v>
      </c>
      <c r="L439" s="14" t="s">
        <v>559</v>
      </c>
      <c r="M439" s="14" t="s">
        <v>43</v>
      </c>
      <c r="N439" s="17"/>
      <c r="O439" s="14"/>
      <c r="P439" s="14" t="s">
        <v>260</v>
      </c>
      <c r="Q439" s="14"/>
      <c r="R439" s="13">
        <f>HYPERLINK("https://app.hubspot.com/contacts/8748051/record/0-2/19176688712", 19176688712)</f>
        <v>19176688712</v>
      </c>
      <c r="S439" s="14" t="s">
        <v>1571</v>
      </c>
      <c r="T439" s="18" t="s">
        <v>1572</v>
      </c>
      <c r="U439" s="14" t="s">
        <v>46</v>
      </c>
      <c r="V439" s="22"/>
      <c r="W439" s="19">
        <v>187.0</v>
      </c>
      <c r="X439" s="19">
        <v>114.0</v>
      </c>
      <c r="Y439" s="20" t="s">
        <v>104</v>
      </c>
      <c r="Z439" s="21"/>
      <c r="AA439" s="21"/>
      <c r="AB439" s="21"/>
      <c r="AC439" s="21"/>
      <c r="AD439" s="21"/>
      <c r="AE439" s="21"/>
      <c r="AF439" s="17" t="str">
        <f t="shared" si="1"/>
        <v>New Logo</v>
      </c>
      <c r="AG439" s="17" t="str">
        <f t="shared" si="2"/>
        <v>Lead</v>
      </c>
      <c r="AH439" s="17" t="str">
        <f t="shared" si="3"/>
        <v>0-200</v>
      </c>
      <c r="AI439" s="17" t="str">
        <f t="shared" si="4"/>
        <v>101-500</v>
      </c>
    </row>
    <row r="440" ht="15.75" customHeight="1">
      <c r="A440" s="13">
        <f>HYPERLINK("https://app.hubspot.com/contacts/8748051/record/0-3/20470019409", 20470019409)</f>
        <v>20470019409</v>
      </c>
      <c r="B440" s="14" t="s">
        <v>1573</v>
      </c>
      <c r="C440" s="14" t="s">
        <v>145</v>
      </c>
      <c r="D440" s="15">
        <v>5040.0</v>
      </c>
      <c r="E440" s="14" t="s">
        <v>118</v>
      </c>
      <c r="F440" s="14"/>
      <c r="G440" s="16">
        <v>45474.75126157407</v>
      </c>
      <c r="H440" s="16">
        <v>45658.709386574075</v>
      </c>
      <c r="I440" s="14" t="s">
        <v>39</v>
      </c>
      <c r="J440" s="14" t="s">
        <v>40</v>
      </c>
      <c r="K440" s="14" t="s">
        <v>41</v>
      </c>
      <c r="L440" s="14" t="s">
        <v>42</v>
      </c>
      <c r="M440" s="14" t="s">
        <v>43</v>
      </c>
      <c r="N440" s="14"/>
      <c r="O440" s="14"/>
      <c r="P440" s="14" t="s">
        <v>232</v>
      </c>
      <c r="Q440" s="14"/>
      <c r="R440" s="13">
        <f>HYPERLINK("https://app.hubspot.com/contacts/8748051/record/0-2/7646130300", 7646130300)</f>
        <v>7646130300</v>
      </c>
      <c r="S440" s="14" t="s">
        <v>1574</v>
      </c>
      <c r="T440" s="18" t="s">
        <v>1575</v>
      </c>
      <c r="U440" s="14" t="s">
        <v>46</v>
      </c>
      <c r="V440" s="15"/>
      <c r="W440" s="19">
        <v>295.0</v>
      </c>
      <c r="X440" s="19">
        <v>38.0</v>
      </c>
      <c r="Y440" s="20"/>
      <c r="Z440" s="20"/>
      <c r="AA440" s="21"/>
      <c r="AB440" s="20"/>
      <c r="AC440" s="20"/>
      <c r="AD440" s="20"/>
      <c r="AE440" s="20"/>
      <c r="AF440" s="17" t="str">
        <f t="shared" si="1"/>
        <v>New Logo</v>
      </c>
      <c r="AG440" s="17" t="str">
        <f t="shared" si="2"/>
        <v>Lead</v>
      </c>
      <c r="AH440" s="17" t="str">
        <f t="shared" si="3"/>
        <v>201-500</v>
      </c>
      <c r="AI440" s="17" t="str">
        <f t="shared" si="4"/>
        <v>21-50</v>
      </c>
    </row>
    <row r="441" ht="15.75" customHeight="1">
      <c r="A441" s="13">
        <f>HYPERLINK("https://app.hubspot.com/contacts/8748051/record/0-3/20470019342", 20470019342)</f>
        <v>20470019342</v>
      </c>
      <c r="B441" s="14" t="s">
        <v>1576</v>
      </c>
      <c r="C441" s="14" t="s">
        <v>1008</v>
      </c>
      <c r="D441" s="15">
        <v>54480.0</v>
      </c>
      <c r="E441" s="14" t="s">
        <v>124</v>
      </c>
      <c r="F441" s="14" t="s">
        <v>51</v>
      </c>
      <c r="G441" s="16">
        <v>45474.750555555554</v>
      </c>
      <c r="H441" s="16">
        <v>45838.49841435185</v>
      </c>
      <c r="I441" s="14" t="s">
        <v>39</v>
      </c>
      <c r="J441" s="14" t="s">
        <v>52</v>
      </c>
      <c r="K441" s="14" t="s">
        <v>1186</v>
      </c>
      <c r="L441" s="14" t="s">
        <v>559</v>
      </c>
      <c r="M441" s="14" t="s">
        <v>43</v>
      </c>
      <c r="N441" s="14"/>
      <c r="O441" s="17"/>
      <c r="P441" s="14"/>
      <c r="Q441" s="14" t="s">
        <v>125</v>
      </c>
      <c r="R441" s="13">
        <f>HYPERLINK("https://app.hubspot.com/contacts/8748051/record/0-2/8724516529", 8724516529)</f>
        <v>8724516529</v>
      </c>
      <c r="S441" s="14" t="s">
        <v>1577</v>
      </c>
      <c r="T441" s="18" t="s">
        <v>1578</v>
      </c>
      <c r="U441" s="14" t="s">
        <v>46</v>
      </c>
      <c r="V441" s="15"/>
      <c r="W441" s="19">
        <v>1331.0</v>
      </c>
      <c r="X441" s="19">
        <v>238.0</v>
      </c>
      <c r="Y441" s="20" t="s">
        <v>55</v>
      </c>
      <c r="Z441" s="20"/>
      <c r="AA441" s="21"/>
      <c r="AB441" s="20"/>
      <c r="AC441" s="20"/>
      <c r="AD441" s="20"/>
      <c r="AE441" s="20"/>
      <c r="AF441" s="17" t="str">
        <f t="shared" si="1"/>
        <v>New Logo</v>
      </c>
      <c r="AG441" s="17" t="str">
        <f t="shared" si="2"/>
        <v>Lead</v>
      </c>
      <c r="AH441" s="17" t="str">
        <f t="shared" si="3"/>
        <v>1001-5000</v>
      </c>
      <c r="AI441" s="17" t="str">
        <f t="shared" si="4"/>
        <v>101-500</v>
      </c>
    </row>
    <row r="442" ht="15.75" customHeight="1">
      <c r="A442" s="13">
        <f>HYPERLINK("https://app.hubspot.com/contacts/8748051/record/0-3/20468757578", 20468757578)</f>
        <v>20468757578</v>
      </c>
      <c r="B442" s="14" t="s">
        <v>1579</v>
      </c>
      <c r="C442" s="14" t="s">
        <v>37</v>
      </c>
      <c r="D442" s="15">
        <v>12480.0</v>
      </c>
      <c r="E442" s="14" t="s">
        <v>118</v>
      </c>
      <c r="F442" s="17"/>
      <c r="G442" s="16">
        <v>45474.75</v>
      </c>
      <c r="H442" s="16">
        <v>45658.70805555556</v>
      </c>
      <c r="I442" s="14" t="s">
        <v>39</v>
      </c>
      <c r="J442" s="14" t="s">
        <v>40</v>
      </c>
      <c r="K442" s="14" t="s">
        <v>158</v>
      </c>
      <c r="L442" s="14" t="s">
        <v>714</v>
      </c>
      <c r="M442" s="14" t="s">
        <v>43</v>
      </c>
      <c r="N442" s="17"/>
      <c r="O442" s="17"/>
      <c r="P442" s="14"/>
      <c r="Q442" s="17"/>
      <c r="R442" s="13">
        <f>HYPERLINK("https://app.hubspot.com/contacts/8748051/record/0-2/8290026424", 8290026424)</f>
        <v>8290026424</v>
      </c>
      <c r="S442" s="14" t="s">
        <v>1396</v>
      </c>
      <c r="T442" s="18" t="s">
        <v>1397</v>
      </c>
      <c r="U442" s="14" t="s">
        <v>46</v>
      </c>
      <c r="V442" s="22"/>
      <c r="W442" s="19">
        <v>291.0</v>
      </c>
      <c r="X442" s="19">
        <v>50.0</v>
      </c>
      <c r="Y442" s="20"/>
      <c r="Z442" s="21"/>
      <c r="AA442" s="21"/>
      <c r="AB442" s="21"/>
      <c r="AC442" s="21"/>
      <c r="AD442" s="21"/>
      <c r="AE442" s="21"/>
      <c r="AF442" s="17" t="str">
        <f t="shared" si="1"/>
        <v>New Logo</v>
      </c>
      <c r="AG442" s="17" t="str">
        <f t="shared" si="2"/>
        <v>Lead</v>
      </c>
      <c r="AH442" s="17" t="str">
        <f t="shared" si="3"/>
        <v>201-500</v>
      </c>
      <c r="AI442" s="17" t="str">
        <f t="shared" si="4"/>
        <v>21-50</v>
      </c>
    </row>
    <row r="443" ht="15.75" customHeight="1">
      <c r="A443" s="13">
        <f>HYPERLINK("https://app.hubspot.com/contacts/8748051/record/0-3/20464474693", 20464474693)</f>
        <v>20464474693</v>
      </c>
      <c r="B443" s="14" t="s">
        <v>1580</v>
      </c>
      <c r="C443" s="14" t="s">
        <v>49</v>
      </c>
      <c r="D443" s="15">
        <v>11040.0</v>
      </c>
      <c r="E443" s="14" t="s">
        <v>118</v>
      </c>
      <c r="F443" s="14"/>
      <c r="G443" s="16">
        <v>45474.547800925924</v>
      </c>
      <c r="H443" s="16">
        <v>45658.50591435185</v>
      </c>
      <c r="I443" s="14" t="s">
        <v>39</v>
      </c>
      <c r="J443" s="14" t="s">
        <v>40</v>
      </c>
      <c r="K443" s="14" t="s">
        <v>1186</v>
      </c>
      <c r="L443" s="14" t="s">
        <v>559</v>
      </c>
      <c r="M443" s="14" t="s">
        <v>43</v>
      </c>
      <c r="N443" s="14"/>
      <c r="O443" s="17"/>
      <c r="P443" s="14" t="s">
        <v>211</v>
      </c>
      <c r="Q443" s="14"/>
      <c r="R443" s="13">
        <f>HYPERLINK("https://app.hubspot.com/contacts/8748051/record/0-2/9177829664", 9177829664)</f>
        <v>9177829664</v>
      </c>
      <c r="S443" s="14" t="s">
        <v>1581</v>
      </c>
      <c r="T443" s="18" t="s">
        <v>1582</v>
      </c>
      <c r="U443" s="14" t="s">
        <v>46</v>
      </c>
      <c r="V443" s="15"/>
      <c r="W443" s="19">
        <v>1253.0</v>
      </c>
      <c r="X443" s="19">
        <v>59.0</v>
      </c>
      <c r="Y443" s="20"/>
      <c r="Z443" s="20"/>
      <c r="AA443" s="21"/>
      <c r="AB443" s="20"/>
      <c r="AC443" s="20"/>
      <c r="AD443" s="21"/>
      <c r="AE443" s="20"/>
      <c r="AF443" s="17" t="str">
        <f t="shared" si="1"/>
        <v>New Logo</v>
      </c>
      <c r="AG443" s="17" t="str">
        <f t="shared" si="2"/>
        <v>Lead</v>
      </c>
      <c r="AH443" s="17" t="str">
        <f t="shared" si="3"/>
        <v>1001-5000</v>
      </c>
      <c r="AI443" s="17" t="str">
        <f t="shared" si="4"/>
        <v>51-100</v>
      </c>
    </row>
    <row r="444" ht="15.75" customHeight="1">
      <c r="A444" s="13">
        <f>HYPERLINK("https://app.hubspot.com/contacts/8748051/record/0-3/20464248171", 20464248171)</f>
        <v>20464248171</v>
      </c>
      <c r="B444" s="14" t="s">
        <v>1583</v>
      </c>
      <c r="C444" s="14" t="s">
        <v>1008</v>
      </c>
      <c r="D444" s="15">
        <v>24720.0</v>
      </c>
      <c r="E444" s="14" t="s">
        <v>118</v>
      </c>
      <c r="F444" s="14"/>
      <c r="G444" s="16">
        <v>45474.53565972222</v>
      </c>
      <c r="H444" s="16">
        <v>45658.49375</v>
      </c>
      <c r="I444" s="14" t="s">
        <v>39</v>
      </c>
      <c r="J444" s="14" t="s">
        <v>40</v>
      </c>
      <c r="K444" s="14" t="s">
        <v>558</v>
      </c>
      <c r="L444" s="14" t="s">
        <v>559</v>
      </c>
      <c r="M444" s="14" t="s">
        <v>43</v>
      </c>
      <c r="N444" s="14"/>
      <c r="O444" s="17"/>
      <c r="P444" s="14"/>
      <c r="Q444" s="17"/>
      <c r="R444" s="13">
        <f>HYPERLINK("https://app.hubspot.com/contacts/8748051/record/0-2/8142475653", 8142475653)</f>
        <v>8142475653</v>
      </c>
      <c r="S444" s="14" t="s">
        <v>1584</v>
      </c>
      <c r="T444" s="18" t="s">
        <v>1585</v>
      </c>
      <c r="U444" s="14" t="s">
        <v>46</v>
      </c>
      <c r="V444" s="15"/>
      <c r="W444" s="19">
        <v>964.0</v>
      </c>
      <c r="X444" s="19">
        <v>117.0</v>
      </c>
      <c r="Y444" s="20"/>
      <c r="Z444" s="20"/>
      <c r="AA444" s="21"/>
      <c r="AB444" s="20"/>
      <c r="AC444" s="20"/>
      <c r="AD444" s="21"/>
      <c r="AE444" s="20"/>
      <c r="AF444" s="17" t="str">
        <f t="shared" si="1"/>
        <v>New Logo</v>
      </c>
      <c r="AG444" s="17" t="str">
        <f t="shared" si="2"/>
        <v>Lead</v>
      </c>
      <c r="AH444" s="17" t="str">
        <f t="shared" si="3"/>
        <v>501-1000</v>
      </c>
      <c r="AI444" s="17" t="str">
        <f t="shared" si="4"/>
        <v>101-500</v>
      </c>
    </row>
    <row r="445" ht="15.75" customHeight="1">
      <c r="A445" s="13">
        <f>HYPERLINK("https://app.hubspot.com/contacts/8748051/record/0-3/20461954884", 20461954884)</f>
        <v>20461954884</v>
      </c>
      <c r="B445" s="14" t="s">
        <v>1586</v>
      </c>
      <c r="C445" s="14" t="s">
        <v>1227</v>
      </c>
      <c r="D445" s="15">
        <v>4050.0</v>
      </c>
      <c r="E445" s="14" t="s">
        <v>89</v>
      </c>
      <c r="F445" s="14" t="s">
        <v>51</v>
      </c>
      <c r="G445" s="16">
        <v>45474.39494212963</v>
      </c>
      <c r="H445" s="16">
        <v>45498.545277777775</v>
      </c>
      <c r="I445" s="14" t="s">
        <v>39</v>
      </c>
      <c r="J445" s="14" t="s">
        <v>40</v>
      </c>
      <c r="K445" s="14" t="s">
        <v>41</v>
      </c>
      <c r="L445" s="14" t="s">
        <v>42</v>
      </c>
      <c r="M445" s="14" t="s">
        <v>98</v>
      </c>
      <c r="N445" s="14" t="s">
        <v>1587</v>
      </c>
      <c r="O445" s="14"/>
      <c r="P445" s="14"/>
      <c r="Q445" s="17"/>
      <c r="R445" s="13">
        <f>HYPERLINK("https://app.hubspot.com/contacts/8748051/record/0-2/8946917146", 8946917146)</f>
        <v>8946917146</v>
      </c>
      <c r="S445" s="14" t="s">
        <v>1588</v>
      </c>
      <c r="T445" s="18" t="s">
        <v>1589</v>
      </c>
      <c r="U445" s="14" t="s">
        <v>93</v>
      </c>
      <c r="V445" s="15">
        <v>4050.0</v>
      </c>
      <c r="W445" s="19">
        <v>379.0</v>
      </c>
      <c r="X445" s="19">
        <v>28.0</v>
      </c>
      <c r="Y445" s="20"/>
      <c r="Z445" s="20" t="s">
        <v>191</v>
      </c>
      <c r="AA445" s="21"/>
      <c r="AB445" s="20" t="s">
        <v>206</v>
      </c>
      <c r="AC445" s="20" t="s">
        <v>865</v>
      </c>
      <c r="AD445" s="21"/>
      <c r="AE445" s="20" t="s">
        <v>166</v>
      </c>
      <c r="AF445" s="17" t="str">
        <f t="shared" si="1"/>
        <v>New Logo</v>
      </c>
      <c r="AG445" s="17" t="str">
        <f t="shared" si="2"/>
        <v>Customer</v>
      </c>
      <c r="AH445" s="17" t="str">
        <f t="shared" si="3"/>
        <v>201-500</v>
      </c>
      <c r="AI445" s="17" t="str">
        <f t="shared" si="4"/>
        <v>21-50</v>
      </c>
    </row>
    <row r="446" ht="15.75" customHeight="1">
      <c r="A446" s="13">
        <f>HYPERLINK("https://app.hubspot.com/contacts/8748051/record/0-3/20356153766", 20356153766)</f>
        <v>20356153766</v>
      </c>
      <c r="B446" s="14" t="s">
        <v>1590</v>
      </c>
      <c r="C446" s="14" t="s">
        <v>49</v>
      </c>
      <c r="D446" s="15">
        <v>56880.0</v>
      </c>
      <c r="E446" s="14" t="s">
        <v>118</v>
      </c>
      <c r="F446" s="14"/>
      <c r="G446" s="16">
        <v>45469.56270833333</v>
      </c>
      <c r="H446" s="16">
        <v>45652.52074074074</v>
      </c>
      <c r="I446" s="14" t="s">
        <v>39</v>
      </c>
      <c r="J446" s="14" t="s">
        <v>52</v>
      </c>
      <c r="K446" s="14" t="s">
        <v>1186</v>
      </c>
      <c r="L446" s="14" t="s">
        <v>559</v>
      </c>
      <c r="M446" s="14" t="s">
        <v>43</v>
      </c>
      <c r="N446" s="14"/>
      <c r="O446" s="14"/>
      <c r="P446" s="14"/>
      <c r="Q446" s="14"/>
      <c r="R446" s="13">
        <f>HYPERLINK("https://app.hubspot.com/contacts/8748051/record/0-2/32009387295", 32009387295)</f>
        <v>32009387295</v>
      </c>
      <c r="S446" s="14" t="s">
        <v>1591</v>
      </c>
      <c r="T446" s="18" t="s">
        <v>1592</v>
      </c>
      <c r="U446" s="14" t="s">
        <v>46</v>
      </c>
      <c r="V446" s="15"/>
      <c r="W446" s="19">
        <v>1731.0</v>
      </c>
      <c r="X446" s="19">
        <v>286.0</v>
      </c>
      <c r="Y446" s="20" t="s">
        <v>122</v>
      </c>
      <c r="Z446" s="20"/>
      <c r="AA446" s="21"/>
      <c r="AB446" s="20"/>
      <c r="AC446" s="20"/>
      <c r="AD446" s="20"/>
      <c r="AE446" s="20"/>
      <c r="AF446" s="17" t="str">
        <f t="shared" si="1"/>
        <v>New Logo</v>
      </c>
      <c r="AG446" s="17" t="str">
        <f t="shared" si="2"/>
        <v>Lead</v>
      </c>
      <c r="AH446" s="17" t="str">
        <f t="shared" si="3"/>
        <v>1001-5000</v>
      </c>
      <c r="AI446" s="17" t="str">
        <f t="shared" si="4"/>
        <v>101-500</v>
      </c>
    </row>
    <row r="447" ht="15.75" customHeight="1">
      <c r="A447" s="13">
        <f>HYPERLINK("https://app.hubspot.com/contacts/8748051/record/0-3/20356153684", 20356153684)</f>
        <v>20356153684</v>
      </c>
      <c r="B447" s="14" t="s">
        <v>1593</v>
      </c>
      <c r="C447" s="14" t="s">
        <v>49</v>
      </c>
      <c r="D447" s="15">
        <v>3120.0</v>
      </c>
      <c r="E447" s="14" t="s">
        <v>124</v>
      </c>
      <c r="F447" s="14" t="s">
        <v>51</v>
      </c>
      <c r="G447" s="16">
        <v>45469.561875</v>
      </c>
      <c r="H447" s="16">
        <v>45652.516539351855</v>
      </c>
      <c r="I447" s="14" t="s">
        <v>39</v>
      </c>
      <c r="J447" s="14" t="s">
        <v>40</v>
      </c>
      <c r="K447" s="14" t="s">
        <v>558</v>
      </c>
      <c r="L447" s="14" t="s">
        <v>559</v>
      </c>
      <c r="M447" s="14" t="s">
        <v>43</v>
      </c>
      <c r="N447" s="17"/>
      <c r="O447" s="17"/>
      <c r="P447" s="14"/>
      <c r="Q447" s="14"/>
      <c r="R447" s="13">
        <f>HYPERLINK("https://app.hubspot.com/contacts/8748051/record/0-2/19176644614", 19176644614)</f>
        <v>19176644614</v>
      </c>
      <c r="S447" s="14" t="s">
        <v>1594</v>
      </c>
      <c r="T447" s="18" t="s">
        <v>1595</v>
      </c>
      <c r="U447" s="14" t="s">
        <v>46</v>
      </c>
      <c r="V447" s="22"/>
      <c r="W447" s="19">
        <v>208.0</v>
      </c>
      <c r="X447" s="19">
        <v>26.0</v>
      </c>
      <c r="Y447" s="20"/>
      <c r="Z447" s="21"/>
      <c r="AA447" s="21"/>
      <c r="AB447" s="21"/>
      <c r="AC447" s="21"/>
      <c r="AD447" s="21"/>
      <c r="AE447" s="21"/>
      <c r="AF447" s="17" t="str">
        <f t="shared" si="1"/>
        <v>New Logo</v>
      </c>
      <c r="AG447" s="17" t="str">
        <f t="shared" si="2"/>
        <v>Lead</v>
      </c>
      <c r="AH447" s="17" t="str">
        <f t="shared" si="3"/>
        <v>201-500</v>
      </c>
      <c r="AI447" s="17" t="str">
        <f t="shared" si="4"/>
        <v>21-50</v>
      </c>
    </row>
    <row r="448" ht="15.75" customHeight="1">
      <c r="A448" s="13">
        <f>HYPERLINK("https://app.hubspot.com/contacts/8748051/record/0-3/20351614614", 20351614614)</f>
        <v>20351614614</v>
      </c>
      <c r="B448" s="14" t="s">
        <v>1596</v>
      </c>
      <c r="C448" s="14" t="s">
        <v>37</v>
      </c>
      <c r="D448" s="15">
        <v>7920.0</v>
      </c>
      <c r="E448" s="14" t="s">
        <v>118</v>
      </c>
      <c r="F448" s="14"/>
      <c r="G448" s="16">
        <v>45469.37855324074</v>
      </c>
      <c r="H448" s="16">
        <v>45652.33599537037</v>
      </c>
      <c r="I448" s="14" t="s">
        <v>39</v>
      </c>
      <c r="J448" s="14" t="s">
        <v>40</v>
      </c>
      <c r="K448" s="14" t="s">
        <v>558</v>
      </c>
      <c r="L448" s="14" t="s">
        <v>559</v>
      </c>
      <c r="M448" s="14" t="s">
        <v>43</v>
      </c>
      <c r="N448" s="17"/>
      <c r="O448" s="14"/>
      <c r="P448" s="14"/>
      <c r="Q448" s="17"/>
      <c r="R448" s="13">
        <f>HYPERLINK("https://app.hubspot.com/contacts/8748051/record/0-2/8142162853", 8142162853)</f>
        <v>8142162853</v>
      </c>
      <c r="S448" s="14" t="s">
        <v>1597</v>
      </c>
      <c r="T448" s="18" t="s">
        <v>1598</v>
      </c>
      <c r="U448" s="14" t="s">
        <v>46</v>
      </c>
      <c r="V448" s="22"/>
      <c r="W448" s="19">
        <v>929.0</v>
      </c>
      <c r="X448" s="19">
        <v>37.0</v>
      </c>
      <c r="Y448" s="20" t="s">
        <v>70</v>
      </c>
      <c r="Z448" s="21"/>
      <c r="AA448" s="21"/>
      <c r="AB448" s="21"/>
      <c r="AC448" s="21"/>
      <c r="AD448" s="21"/>
      <c r="AE448" s="21"/>
      <c r="AF448" s="17" t="str">
        <f t="shared" si="1"/>
        <v>New Logo</v>
      </c>
      <c r="AG448" s="17" t="str">
        <f t="shared" si="2"/>
        <v>Lead</v>
      </c>
      <c r="AH448" s="17" t="str">
        <f t="shared" si="3"/>
        <v>501-1000</v>
      </c>
      <c r="AI448" s="17" t="str">
        <f t="shared" si="4"/>
        <v>21-50</v>
      </c>
    </row>
    <row r="449" ht="15.75" customHeight="1">
      <c r="A449" s="13">
        <f>HYPERLINK("https://app.hubspot.com/contacts/8748051/record/0-3/20322511797", 20322511797)</f>
        <v>20322511797</v>
      </c>
      <c r="B449" s="14" t="s">
        <v>1599</v>
      </c>
      <c r="C449" s="14" t="s">
        <v>1008</v>
      </c>
      <c r="D449" s="15">
        <v>3600.0</v>
      </c>
      <c r="E449" s="14" t="s">
        <v>118</v>
      </c>
      <c r="F449" s="14"/>
      <c r="G449" s="16">
        <v>45468.32613425926</v>
      </c>
      <c r="H449" s="16">
        <v>45651.28372685185</v>
      </c>
      <c r="I449" s="14" t="s">
        <v>39</v>
      </c>
      <c r="J449" s="14" t="s">
        <v>40</v>
      </c>
      <c r="K449" s="14" t="s">
        <v>558</v>
      </c>
      <c r="L449" s="14" t="s">
        <v>175</v>
      </c>
      <c r="M449" s="14"/>
      <c r="N449" s="17"/>
      <c r="O449" s="14"/>
      <c r="P449" s="14"/>
      <c r="Q449" s="17"/>
      <c r="R449" s="13">
        <f>HYPERLINK("https://app.hubspot.com/contacts/8748051/record/0-2/10368059213", 10368059213)</f>
        <v>10368059213</v>
      </c>
      <c r="S449" s="14" t="s">
        <v>1600</v>
      </c>
      <c r="T449" s="18" t="s">
        <v>1601</v>
      </c>
      <c r="U449" s="14" t="s">
        <v>46</v>
      </c>
      <c r="V449" s="22"/>
      <c r="W449" s="19">
        <v>342.0</v>
      </c>
      <c r="X449" s="19">
        <v>41.0</v>
      </c>
      <c r="Y449" s="20" t="s">
        <v>70</v>
      </c>
      <c r="Z449" s="21"/>
      <c r="AA449" s="21"/>
      <c r="AB449" s="21"/>
      <c r="AC449" s="21"/>
      <c r="AD449" s="21"/>
      <c r="AE449" s="21"/>
      <c r="AF449" s="17" t="str">
        <f t="shared" si="1"/>
        <v>New Logo</v>
      </c>
      <c r="AG449" s="17" t="str">
        <f t="shared" si="2"/>
        <v>Lead</v>
      </c>
      <c r="AH449" s="17" t="str">
        <f t="shared" si="3"/>
        <v>201-500</v>
      </c>
      <c r="AI449" s="17" t="str">
        <f t="shared" si="4"/>
        <v>21-50</v>
      </c>
    </row>
    <row r="450" ht="15.75" customHeight="1">
      <c r="A450" s="13">
        <f>HYPERLINK("https://app.hubspot.com/contacts/8748051/record/0-3/20243443612", 20243443612)</f>
        <v>20243443612</v>
      </c>
      <c r="B450" s="14" t="s">
        <v>1602</v>
      </c>
      <c r="C450" s="14" t="s">
        <v>1008</v>
      </c>
      <c r="D450" s="15">
        <v>7920.0</v>
      </c>
      <c r="E450" s="14" t="s">
        <v>118</v>
      </c>
      <c r="F450" s="17"/>
      <c r="G450" s="16">
        <v>45464.47332175926</v>
      </c>
      <c r="H450" s="16">
        <v>45647.431296296294</v>
      </c>
      <c r="I450" s="14" t="s">
        <v>39</v>
      </c>
      <c r="J450" s="14" t="s">
        <v>40</v>
      </c>
      <c r="K450" s="14" t="s">
        <v>558</v>
      </c>
      <c r="L450" s="14" t="s">
        <v>559</v>
      </c>
      <c r="M450" s="14" t="s">
        <v>43</v>
      </c>
      <c r="N450" s="17"/>
      <c r="O450" s="17"/>
      <c r="P450" s="14" t="s">
        <v>119</v>
      </c>
      <c r="Q450" s="17"/>
      <c r="R450" s="13">
        <f>HYPERLINK("https://app.hubspot.com/contacts/8748051/record/0-2/19176594824", 19176594824)</f>
        <v>19176594824</v>
      </c>
      <c r="S450" s="14" t="s">
        <v>1603</v>
      </c>
      <c r="T450" s="18" t="s">
        <v>1604</v>
      </c>
      <c r="U450" s="14" t="s">
        <v>46</v>
      </c>
      <c r="V450" s="22"/>
      <c r="W450" s="19">
        <v>239.0</v>
      </c>
      <c r="X450" s="19">
        <v>32.0</v>
      </c>
      <c r="Y450" s="20"/>
      <c r="Z450" s="21"/>
      <c r="AA450" s="21"/>
      <c r="AB450" s="21"/>
      <c r="AC450" s="21"/>
      <c r="AD450" s="21"/>
      <c r="AE450" s="21"/>
      <c r="AF450" s="17" t="str">
        <f t="shared" si="1"/>
        <v>New Logo</v>
      </c>
      <c r="AG450" s="17" t="str">
        <f t="shared" si="2"/>
        <v>Lead</v>
      </c>
      <c r="AH450" s="17" t="str">
        <f t="shared" si="3"/>
        <v>201-500</v>
      </c>
      <c r="AI450" s="17" t="str">
        <f t="shared" si="4"/>
        <v>21-50</v>
      </c>
    </row>
    <row r="451" ht="15.75" customHeight="1">
      <c r="A451" s="13">
        <f>HYPERLINK("https://app.hubspot.com/contacts/8748051/record/0-3/20234149999", 20234149999)</f>
        <v>20234149999</v>
      </c>
      <c r="B451" s="14" t="s">
        <v>1605</v>
      </c>
      <c r="C451" s="14" t="s">
        <v>1008</v>
      </c>
      <c r="D451" s="15">
        <v>6720.0</v>
      </c>
      <c r="E451" s="14" t="s">
        <v>118</v>
      </c>
      <c r="F451" s="14"/>
      <c r="G451" s="16">
        <v>45464.118310185186</v>
      </c>
      <c r="H451" s="16">
        <v>45647.07565972222</v>
      </c>
      <c r="I451" s="14" t="s">
        <v>39</v>
      </c>
      <c r="J451" s="14" t="s">
        <v>40</v>
      </c>
      <c r="K451" s="14" t="s">
        <v>558</v>
      </c>
      <c r="L451" s="14" t="s">
        <v>175</v>
      </c>
      <c r="M451" s="14"/>
      <c r="N451" s="14"/>
      <c r="O451" s="17"/>
      <c r="P451" s="14"/>
      <c r="Q451" s="17"/>
      <c r="R451" s="13">
        <f>HYPERLINK("https://app.hubspot.com/contacts/8748051/record/0-2/19176672165", 19176672165)</f>
        <v>19176672165</v>
      </c>
      <c r="S451" s="14" t="s">
        <v>1606</v>
      </c>
      <c r="T451" s="18" t="s">
        <v>1607</v>
      </c>
      <c r="U451" s="14" t="s">
        <v>46</v>
      </c>
      <c r="V451" s="15"/>
      <c r="W451" s="19">
        <v>192.0</v>
      </c>
      <c r="X451" s="19">
        <v>25.0</v>
      </c>
      <c r="Y451" s="20"/>
      <c r="Z451" s="20"/>
      <c r="AA451" s="21"/>
      <c r="AB451" s="21"/>
      <c r="AC451" s="20"/>
      <c r="AD451" s="21"/>
      <c r="AE451" s="20"/>
      <c r="AF451" s="17" t="str">
        <f t="shared" si="1"/>
        <v>New Logo</v>
      </c>
      <c r="AG451" s="17" t="str">
        <f t="shared" si="2"/>
        <v>Lead</v>
      </c>
      <c r="AH451" s="17" t="str">
        <f t="shared" si="3"/>
        <v>0-200</v>
      </c>
      <c r="AI451" s="17" t="str">
        <f t="shared" si="4"/>
        <v>21-50</v>
      </c>
    </row>
    <row r="452" ht="15.75" customHeight="1">
      <c r="A452" s="13">
        <f>HYPERLINK("https://app.hubspot.com/contacts/8748051/record/0-3/20173159601", 20173159601)</f>
        <v>20173159601</v>
      </c>
      <c r="B452" s="14" t="s">
        <v>1608</v>
      </c>
      <c r="C452" s="14" t="s">
        <v>1008</v>
      </c>
      <c r="D452" s="15">
        <v>126480.0</v>
      </c>
      <c r="E452" s="14" t="s">
        <v>118</v>
      </c>
      <c r="F452" s="14"/>
      <c r="G452" s="16">
        <v>45461.55537037037</v>
      </c>
      <c r="H452" s="16">
        <v>45644.51336805556</v>
      </c>
      <c r="I452" s="14" t="s">
        <v>39</v>
      </c>
      <c r="J452" s="14" t="s">
        <v>52</v>
      </c>
      <c r="K452" s="14" t="s">
        <v>1186</v>
      </c>
      <c r="L452" s="14" t="s">
        <v>175</v>
      </c>
      <c r="M452" s="14" t="s">
        <v>43</v>
      </c>
      <c r="N452" s="17"/>
      <c r="O452" s="17"/>
      <c r="P452" s="17"/>
      <c r="Q452" s="14"/>
      <c r="R452" s="13">
        <f>HYPERLINK("https://app.hubspot.com/contacts/8748051/record/0-2/8324013689", 8324013689)</f>
        <v>8324013689</v>
      </c>
      <c r="S452" s="14" t="s">
        <v>1609</v>
      </c>
      <c r="T452" s="18" t="s">
        <v>1610</v>
      </c>
      <c r="U452" s="14" t="s">
        <v>46</v>
      </c>
      <c r="V452" s="22"/>
      <c r="W452" s="19">
        <v>3246.0</v>
      </c>
      <c r="X452" s="19">
        <v>726.0</v>
      </c>
      <c r="Y452" s="20" t="s">
        <v>1611</v>
      </c>
      <c r="Z452" s="21"/>
      <c r="AA452" s="21"/>
      <c r="AB452" s="21"/>
      <c r="AC452" s="21"/>
      <c r="AD452" s="21"/>
      <c r="AE452" s="21"/>
      <c r="AF452" s="17" t="str">
        <f t="shared" si="1"/>
        <v>New Logo</v>
      </c>
      <c r="AG452" s="17" t="str">
        <f t="shared" si="2"/>
        <v>Lead</v>
      </c>
      <c r="AH452" s="17" t="str">
        <f t="shared" si="3"/>
        <v>1001-5000</v>
      </c>
      <c r="AI452" s="17" t="str">
        <f t="shared" si="4"/>
        <v>500+</v>
      </c>
    </row>
    <row r="453" ht="15.75" customHeight="1">
      <c r="A453" s="13">
        <f>HYPERLINK("https://app.hubspot.com/contacts/8748051/record/0-3/20170334466", 20170334466)</f>
        <v>20170334466</v>
      </c>
      <c r="B453" s="14" t="s">
        <v>1612</v>
      </c>
      <c r="C453" s="14" t="s">
        <v>37</v>
      </c>
      <c r="D453" s="15">
        <v>52800.0</v>
      </c>
      <c r="E453" s="14" t="s">
        <v>118</v>
      </c>
      <c r="F453" s="14"/>
      <c r="G453" s="16">
        <v>45461.42655092593</v>
      </c>
      <c r="H453" s="16">
        <v>45644.38454861111</v>
      </c>
      <c r="I453" s="14" t="s">
        <v>39</v>
      </c>
      <c r="J453" s="14" t="s">
        <v>52</v>
      </c>
      <c r="K453" s="14" t="s">
        <v>1186</v>
      </c>
      <c r="L453" s="14" t="s">
        <v>559</v>
      </c>
      <c r="M453" s="14" t="s">
        <v>43</v>
      </c>
      <c r="N453" s="14"/>
      <c r="O453" s="14"/>
      <c r="P453" s="14"/>
      <c r="Q453" s="17"/>
      <c r="R453" s="13">
        <f>HYPERLINK("https://app.hubspot.com/contacts/8748051/record/0-2/8332581743", 8332581743)</f>
        <v>8332581743</v>
      </c>
      <c r="S453" s="14" t="s">
        <v>1613</v>
      </c>
      <c r="T453" s="18" t="s">
        <v>1614</v>
      </c>
      <c r="U453" s="14" t="s">
        <v>46</v>
      </c>
      <c r="V453" s="15"/>
      <c r="W453" s="19">
        <v>2068.0</v>
      </c>
      <c r="X453" s="19">
        <v>262.0</v>
      </c>
      <c r="Y453" s="20" t="s">
        <v>545</v>
      </c>
      <c r="Z453" s="20"/>
      <c r="AA453" s="21"/>
      <c r="AB453" s="21"/>
      <c r="AC453" s="20"/>
      <c r="AD453" s="21"/>
      <c r="AE453" s="20"/>
      <c r="AF453" s="17" t="str">
        <f t="shared" si="1"/>
        <v>New Logo</v>
      </c>
      <c r="AG453" s="17" t="str">
        <f t="shared" si="2"/>
        <v>Lead</v>
      </c>
      <c r="AH453" s="17" t="str">
        <f t="shared" si="3"/>
        <v>1001-5000</v>
      </c>
      <c r="AI453" s="17" t="str">
        <f t="shared" si="4"/>
        <v>101-500</v>
      </c>
    </row>
    <row r="454" ht="15.75" customHeight="1">
      <c r="A454" s="13">
        <f>HYPERLINK("https://app.hubspot.com/contacts/8748051/record/0-3/20170334263", 20170334263)</f>
        <v>20170334263</v>
      </c>
      <c r="B454" s="14" t="s">
        <v>1615</v>
      </c>
      <c r="C454" s="14" t="s">
        <v>145</v>
      </c>
      <c r="D454" s="15">
        <v>4320.0</v>
      </c>
      <c r="E454" s="14" t="s">
        <v>118</v>
      </c>
      <c r="F454" s="14"/>
      <c r="G454" s="16">
        <v>45461.42591435185</v>
      </c>
      <c r="H454" s="16">
        <v>45644.38398148148</v>
      </c>
      <c r="I454" s="14" t="s">
        <v>39</v>
      </c>
      <c r="J454" s="14" t="s">
        <v>40</v>
      </c>
      <c r="K454" s="14" t="s">
        <v>558</v>
      </c>
      <c r="L454" s="14" t="s">
        <v>559</v>
      </c>
      <c r="M454" s="14" t="s">
        <v>43</v>
      </c>
      <c r="N454" s="17"/>
      <c r="O454" s="14"/>
      <c r="P454" s="14"/>
      <c r="Q454" s="14"/>
      <c r="R454" s="13">
        <f>HYPERLINK("https://app.hubspot.com/contacts/8748051/record/0-2/19176317867", 19176317867)</f>
        <v>19176317867</v>
      </c>
      <c r="S454" s="14" t="s">
        <v>1616</v>
      </c>
      <c r="T454" s="18" t="s">
        <v>1617</v>
      </c>
      <c r="U454" s="14" t="s">
        <v>46</v>
      </c>
      <c r="V454" s="22"/>
      <c r="W454" s="19">
        <v>107.0</v>
      </c>
      <c r="X454" s="19">
        <v>17.0</v>
      </c>
      <c r="Y454" s="20"/>
      <c r="Z454" s="21"/>
      <c r="AA454" s="21"/>
      <c r="AB454" s="21"/>
      <c r="AC454" s="21"/>
      <c r="AD454" s="21"/>
      <c r="AE454" s="21"/>
      <c r="AF454" s="17" t="str">
        <f t="shared" si="1"/>
        <v>New Logo</v>
      </c>
      <c r="AG454" s="17" t="str">
        <f t="shared" si="2"/>
        <v>Lead</v>
      </c>
      <c r="AH454" s="17" t="str">
        <f t="shared" si="3"/>
        <v>0-200</v>
      </c>
      <c r="AI454" s="17" t="str">
        <f t="shared" si="4"/>
        <v>0-20</v>
      </c>
    </row>
    <row r="455" ht="15.75" customHeight="1">
      <c r="A455" s="13">
        <f>HYPERLINK("https://app.hubspot.com/contacts/8748051/record/0-3/20143381103", 20143381103)</f>
        <v>20143381103</v>
      </c>
      <c r="B455" s="14" t="s">
        <v>1618</v>
      </c>
      <c r="C455" s="14" t="s">
        <v>1008</v>
      </c>
      <c r="D455" s="15">
        <v>30000.0</v>
      </c>
      <c r="E455" s="14" t="s">
        <v>146</v>
      </c>
      <c r="F455" s="14" t="s">
        <v>51</v>
      </c>
      <c r="G455" s="16">
        <v>45460.59002314815</v>
      </c>
      <c r="H455" s="16">
        <v>45706.4559375</v>
      </c>
      <c r="I455" s="14" t="s">
        <v>39</v>
      </c>
      <c r="J455" s="14" t="s">
        <v>40</v>
      </c>
      <c r="K455" s="14" t="s">
        <v>558</v>
      </c>
      <c r="L455" s="14" t="s">
        <v>559</v>
      </c>
      <c r="M455" s="14" t="s">
        <v>43</v>
      </c>
      <c r="N455" s="17"/>
      <c r="O455" s="14" t="s">
        <v>1619</v>
      </c>
      <c r="P455" s="14"/>
      <c r="Q455" s="14"/>
      <c r="R455" s="13">
        <f>HYPERLINK("https://app.hubspot.com/contacts/8748051/record/0-2/9173832217", 9173832217)</f>
        <v>9173832217</v>
      </c>
      <c r="S455" s="14" t="s">
        <v>1620</v>
      </c>
      <c r="T455" s="18" t="s">
        <v>1621</v>
      </c>
      <c r="U455" s="14" t="s">
        <v>46</v>
      </c>
      <c r="V455" s="22"/>
      <c r="W455" s="19">
        <v>222.0</v>
      </c>
      <c r="X455" s="19">
        <v>38.0</v>
      </c>
      <c r="Y455" s="20" t="s">
        <v>104</v>
      </c>
      <c r="Z455" s="21"/>
      <c r="AA455" s="21"/>
      <c r="AB455" s="21"/>
      <c r="AC455" s="21"/>
      <c r="AD455" s="21"/>
      <c r="AE455" s="21"/>
      <c r="AF455" s="17" t="str">
        <f t="shared" si="1"/>
        <v>New Logo</v>
      </c>
      <c r="AG455" s="17" t="str">
        <f t="shared" si="2"/>
        <v>Lead</v>
      </c>
      <c r="AH455" s="17" t="str">
        <f t="shared" si="3"/>
        <v>201-500</v>
      </c>
      <c r="AI455" s="17" t="str">
        <f t="shared" si="4"/>
        <v>21-50</v>
      </c>
    </row>
    <row r="456" ht="15.75" customHeight="1">
      <c r="A456" s="13">
        <f>HYPERLINK("https://app.hubspot.com/contacts/8748051/record/0-3/20141360017", 20141360017)</f>
        <v>20141360017</v>
      </c>
      <c r="B456" s="14" t="s">
        <v>1622</v>
      </c>
      <c r="C456" s="14" t="s">
        <v>49</v>
      </c>
      <c r="D456" s="15">
        <v>38160.0</v>
      </c>
      <c r="E456" s="14" t="s">
        <v>118</v>
      </c>
      <c r="F456" s="14"/>
      <c r="G456" s="16">
        <v>45460.50662037037</v>
      </c>
      <c r="H456" s="16">
        <v>45643.46462962963</v>
      </c>
      <c r="I456" s="14" t="s">
        <v>39</v>
      </c>
      <c r="J456" s="14" t="s">
        <v>52</v>
      </c>
      <c r="K456" s="14" t="s">
        <v>1186</v>
      </c>
      <c r="L456" s="14" t="s">
        <v>559</v>
      </c>
      <c r="M456" s="14" t="s">
        <v>43</v>
      </c>
      <c r="N456" s="14"/>
      <c r="O456" s="14"/>
      <c r="P456" s="14" t="s">
        <v>119</v>
      </c>
      <c r="Q456" s="14"/>
      <c r="R456" s="13">
        <f>HYPERLINK("https://app.hubspot.com/contacts/8748051/record/0-2/6265997964", 6265997964)</f>
        <v>6265997964</v>
      </c>
      <c r="S456" s="14" t="s">
        <v>1623</v>
      </c>
      <c r="T456" s="18" t="s">
        <v>1624</v>
      </c>
      <c r="U456" s="14" t="s">
        <v>46</v>
      </c>
      <c r="V456" s="15"/>
      <c r="W456" s="19">
        <v>1228.0</v>
      </c>
      <c r="X456" s="19">
        <v>159.0</v>
      </c>
      <c r="Y456" s="20" t="s">
        <v>70</v>
      </c>
      <c r="Z456" s="20"/>
      <c r="AA456" s="21"/>
      <c r="AB456" s="20"/>
      <c r="AC456" s="20"/>
      <c r="AD456" s="20"/>
      <c r="AE456" s="20"/>
      <c r="AF456" s="17" t="str">
        <f t="shared" si="1"/>
        <v>New Logo</v>
      </c>
      <c r="AG456" s="17" t="str">
        <f t="shared" si="2"/>
        <v>Lead</v>
      </c>
      <c r="AH456" s="17" t="str">
        <f t="shared" si="3"/>
        <v>1001-5000</v>
      </c>
      <c r="AI456" s="17" t="str">
        <f t="shared" si="4"/>
        <v>101-500</v>
      </c>
    </row>
    <row r="457" ht="15.75" customHeight="1">
      <c r="A457" s="13">
        <f>HYPERLINK("https://app.hubspot.com/contacts/8748051/record/0-3/20139671819", 20139671819)</f>
        <v>20139671819</v>
      </c>
      <c r="B457" s="14" t="s">
        <v>1625</v>
      </c>
      <c r="C457" s="14" t="s">
        <v>1008</v>
      </c>
      <c r="D457" s="15">
        <v>91200.0</v>
      </c>
      <c r="E457" s="14" t="s">
        <v>118</v>
      </c>
      <c r="F457" s="14"/>
      <c r="G457" s="16">
        <v>45460.459652777776</v>
      </c>
      <c r="H457" s="16">
        <v>45643.417719907404</v>
      </c>
      <c r="I457" s="14" t="s">
        <v>39</v>
      </c>
      <c r="J457" s="14" t="s">
        <v>40</v>
      </c>
      <c r="K457" s="14" t="s">
        <v>1186</v>
      </c>
      <c r="L457" s="14" t="s">
        <v>559</v>
      </c>
      <c r="M457" s="14" t="s">
        <v>43</v>
      </c>
      <c r="N457" s="17"/>
      <c r="O457" s="17"/>
      <c r="P457" s="14"/>
      <c r="Q457" s="14"/>
      <c r="R457" s="13">
        <f>HYPERLINK("https://app.hubspot.com/contacts/8748051/record/0-2/9227915892", 9227915892)</f>
        <v>9227915892</v>
      </c>
      <c r="S457" s="14" t="s">
        <v>1626</v>
      </c>
      <c r="T457" s="18" t="s">
        <v>1627</v>
      </c>
      <c r="U457" s="14" t="s">
        <v>46</v>
      </c>
      <c r="V457" s="22"/>
      <c r="W457" s="19">
        <v>872.0</v>
      </c>
      <c r="X457" s="19">
        <v>237.0</v>
      </c>
      <c r="Y457" s="20"/>
      <c r="Z457" s="21"/>
      <c r="AA457" s="21"/>
      <c r="AB457" s="21"/>
      <c r="AC457" s="21"/>
      <c r="AD457" s="21"/>
      <c r="AE457" s="21"/>
      <c r="AF457" s="17" t="str">
        <f t="shared" si="1"/>
        <v>New Logo</v>
      </c>
      <c r="AG457" s="17" t="str">
        <f t="shared" si="2"/>
        <v>Lead</v>
      </c>
      <c r="AH457" s="17" t="str">
        <f t="shared" si="3"/>
        <v>501-1000</v>
      </c>
      <c r="AI457" s="17" t="str">
        <f t="shared" si="4"/>
        <v>101-500</v>
      </c>
    </row>
    <row r="458" ht="15.75" customHeight="1">
      <c r="A458" s="13">
        <f>HYPERLINK("https://app.hubspot.com/contacts/8748051/record/0-3/20079649321", 20079649321)</f>
        <v>20079649321</v>
      </c>
      <c r="B458" s="14" t="s">
        <v>1628</v>
      </c>
      <c r="C458" s="14" t="s">
        <v>1008</v>
      </c>
      <c r="D458" s="15">
        <v>7440.0</v>
      </c>
      <c r="E458" s="14" t="s">
        <v>118</v>
      </c>
      <c r="F458" s="14"/>
      <c r="G458" s="16">
        <v>45457.45481481482</v>
      </c>
      <c r="H458" s="16">
        <v>45640.412824074076</v>
      </c>
      <c r="I458" s="14" t="s">
        <v>39</v>
      </c>
      <c r="J458" s="14" t="s">
        <v>40</v>
      </c>
      <c r="K458" s="14" t="s">
        <v>558</v>
      </c>
      <c r="L458" s="14" t="s">
        <v>559</v>
      </c>
      <c r="M458" s="14" t="s">
        <v>43</v>
      </c>
      <c r="N458" s="14"/>
      <c r="O458" s="17"/>
      <c r="P458" s="14" t="s">
        <v>119</v>
      </c>
      <c r="Q458" s="17"/>
      <c r="R458" s="13">
        <f>HYPERLINK("https://app.hubspot.com/contacts/8748051/record/0-2/7902488946", 7902488946)</f>
        <v>7902488946</v>
      </c>
      <c r="S458" s="14" t="s">
        <v>1629</v>
      </c>
      <c r="T458" s="18" t="s">
        <v>1630</v>
      </c>
      <c r="U458" s="14" t="s">
        <v>46</v>
      </c>
      <c r="V458" s="15"/>
      <c r="W458" s="19">
        <v>460.0</v>
      </c>
      <c r="X458" s="19">
        <v>28.0</v>
      </c>
      <c r="Y458" s="20" t="s">
        <v>104</v>
      </c>
      <c r="Z458" s="20"/>
      <c r="AA458" s="21"/>
      <c r="AB458" s="21"/>
      <c r="AC458" s="20"/>
      <c r="AD458" s="21"/>
      <c r="AE458" s="20"/>
      <c r="AF458" s="17" t="str">
        <f t="shared" si="1"/>
        <v>New Logo</v>
      </c>
      <c r="AG458" s="17" t="str">
        <f t="shared" si="2"/>
        <v>Lead</v>
      </c>
      <c r="AH458" s="17" t="str">
        <f t="shared" si="3"/>
        <v>201-500</v>
      </c>
      <c r="AI458" s="17" t="str">
        <f t="shared" si="4"/>
        <v>21-50</v>
      </c>
    </row>
    <row r="459" ht="15.75" customHeight="1">
      <c r="A459" s="13">
        <f>HYPERLINK("https://app.hubspot.com/contacts/8748051/record/0-3/20075053706", 20075053706)</f>
        <v>20075053706</v>
      </c>
      <c r="B459" s="14" t="s">
        <v>1631</v>
      </c>
      <c r="C459" s="14" t="s">
        <v>1008</v>
      </c>
      <c r="D459" s="15">
        <v>3360.0</v>
      </c>
      <c r="E459" s="14" t="s">
        <v>118</v>
      </c>
      <c r="F459" s="14"/>
      <c r="G459" s="16">
        <v>45457.183020833334</v>
      </c>
      <c r="H459" s="16">
        <v>45640.140601851854</v>
      </c>
      <c r="I459" s="14" t="s">
        <v>39</v>
      </c>
      <c r="J459" s="14" t="s">
        <v>40</v>
      </c>
      <c r="K459" s="14" t="s">
        <v>41</v>
      </c>
      <c r="L459" s="14" t="s">
        <v>42</v>
      </c>
      <c r="M459" s="14" t="s">
        <v>43</v>
      </c>
      <c r="N459" s="14"/>
      <c r="O459" s="14"/>
      <c r="P459" s="14"/>
      <c r="Q459" s="14"/>
      <c r="R459" s="13">
        <f>HYPERLINK("https://app.hubspot.com/contacts/8748051/record/0-2/9069721364", 9069721364)</f>
        <v>9069721364</v>
      </c>
      <c r="S459" s="14" t="s">
        <v>1632</v>
      </c>
      <c r="T459" s="18" t="s">
        <v>1633</v>
      </c>
      <c r="U459" s="14" t="s">
        <v>46</v>
      </c>
      <c r="V459" s="15"/>
      <c r="W459" s="19">
        <v>153.0</v>
      </c>
      <c r="X459" s="19">
        <v>13.0</v>
      </c>
      <c r="Y459" s="20"/>
      <c r="Z459" s="20"/>
      <c r="AA459" s="21"/>
      <c r="AB459" s="21"/>
      <c r="AC459" s="20"/>
      <c r="AD459" s="21"/>
      <c r="AE459" s="20"/>
      <c r="AF459" s="17" t="str">
        <f t="shared" si="1"/>
        <v>New Logo</v>
      </c>
      <c r="AG459" s="17" t="str">
        <f t="shared" si="2"/>
        <v>Lead</v>
      </c>
      <c r="AH459" s="17" t="str">
        <f t="shared" si="3"/>
        <v>0-200</v>
      </c>
      <c r="AI459" s="17" t="str">
        <f t="shared" si="4"/>
        <v>0-20</v>
      </c>
    </row>
    <row r="460" ht="15.75" customHeight="1">
      <c r="A460" s="13">
        <f>HYPERLINK("https://app.hubspot.com/contacts/8748051/record/0-3/20030854984", 20030854984)</f>
        <v>20030854984</v>
      </c>
      <c r="B460" s="14" t="s">
        <v>1634</v>
      </c>
      <c r="C460" s="14" t="s">
        <v>145</v>
      </c>
      <c r="D460" s="15">
        <v>25200.0</v>
      </c>
      <c r="E460" s="14" t="s">
        <v>89</v>
      </c>
      <c r="F460" s="14" t="s">
        <v>51</v>
      </c>
      <c r="G460" s="16">
        <v>45455.41388888889</v>
      </c>
      <c r="H460" s="16">
        <v>45516.75090277778</v>
      </c>
      <c r="I460" s="14" t="s">
        <v>39</v>
      </c>
      <c r="J460" s="14" t="s">
        <v>40</v>
      </c>
      <c r="K460" s="14" t="s">
        <v>1186</v>
      </c>
      <c r="L460" s="14" t="s">
        <v>714</v>
      </c>
      <c r="M460" s="14" t="s">
        <v>43</v>
      </c>
      <c r="N460" s="14" t="s">
        <v>1635</v>
      </c>
      <c r="O460" s="14"/>
      <c r="P460" s="14"/>
      <c r="Q460" s="14"/>
      <c r="R460" s="13">
        <f>HYPERLINK("https://app.hubspot.com/contacts/8748051/record/0-2/7398526599", 7398526599)</f>
        <v>7398526599</v>
      </c>
      <c r="S460" s="14" t="s">
        <v>1480</v>
      </c>
      <c r="T460" s="18" t="s">
        <v>1481</v>
      </c>
      <c r="U460" s="14" t="s">
        <v>93</v>
      </c>
      <c r="V460" s="15">
        <v>28750.0</v>
      </c>
      <c r="W460" s="19">
        <v>467.0</v>
      </c>
      <c r="X460" s="19">
        <v>50.0</v>
      </c>
      <c r="Y460" s="20"/>
      <c r="Z460" s="20" t="s">
        <v>205</v>
      </c>
      <c r="AA460" s="21"/>
      <c r="AB460" s="21"/>
      <c r="AC460" s="20" t="s">
        <v>1482</v>
      </c>
      <c r="AD460" s="21"/>
      <c r="AE460" s="20" t="s">
        <v>553</v>
      </c>
      <c r="AF460" s="17" t="str">
        <f t="shared" si="1"/>
        <v>New Logo</v>
      </c>
      <c r="AG460" s="17" t="str">
        <f t="shared" si="2"/>
        <v>Customer</v>
      </c>
      <c r="AH460" s="17" t="str">
        <f t="shared" si="3"/>
        <v>201-500</v>
      </c>
      <c r="AI460" s="17" t="str">
        <f t="shared" si="4"/>
        <v>21-50</v>
      </c>
    </row>
    <row r="461" ht="15.75" customHeight="1">
      <c r="A461" s="13">
        <f>HYPERLINK("https://app.hubspot.com/contacts/8748051/record/0-3/20029394566", 20029394566)</f>
        <v>20029394566</v>
      </c>
      <c r="B461" s="14" t="s">
        <v>1636</v>
      </c>
      <c r="C461" s="14" t="s">
        <v>145</v>
      </c>
      <c r="D461" s="15">
        <v>164400.0</v>
      </c>
      <c r="E461" s="14" t="s">
        <v>118</v>
      </c>
      <c r="F461" s="14"/>
      <c r="G461" s="16">
        <v>45455.315150462964</v>
      </c>
      <c r="H461" s="16">
        <v>45638.314722222225</v>
      </c>
      <c r="I461" s="14" t="s">
        <v>39</v>
      </c>
      <c r="J461" s="14" t="s">
        <v>52</v>
      </c>
      <c r="K461" s="14" t="s">
        <v>1186</v>
      </c>
      <c r="L461" s="14" t="s">
        <v>559</v>
      </c>
      <c r="M461" s="14" t="s">
        <v>43</v>
      </c>
      <c r="N461" s="17"/>
      <c r="O461" s="14"/>
      <c r="P461" s="14"/>
      <c r="Q461" s="14"/>
      <c r="R461" s="13">
        <f>HYPERLINK("https://app.hubspot.com/contacts/8748051/record/0-2/9238276430", 9238276430)</f>
        <v>9238276430</v>
      </c>
      <c r="S461" s="14" t="s">
        <v>1637</v>
      </c>
      <c r="T461" s="18" t="s">
        <v>1638</v>
      </c>
      <c r="U461" s="14" t="s">
        <v>46</v>
      </c>
      <c r="V461" s="22"/>
      <c r="W461" s="19">
        <v>3880.0</v>
      </c>
      <c r="X461" s="19">
        <v>730.0</v>
      </c>
      <c r="Y461" s="20" t="s">
        <v>545</v>
      </c>
      <c r="Z461" s="21"/>
      <c r="AA461" s="21"/>
      <c r="AB461" s="21"/>
      <c r="AC461" s="21"/>
      <c r="AD461" s="21"/>
      <c r="AE461" s="21"/>
      <c r="AF461" s="17" t="str">
        <f t="shared" si="1"/>
        <v>New Logo</v>
      </c>
      <c r="AG461" s="17" t="str">
        <f t="shared" si="2"/>
        <v>Lead</v>
      </c>
      <c r="AH461" s="17" t="str">
        <f t="shared" si="3"/>
        <v>1001-5000</v>
      </c>
      <c r="AI461" s="17" t="str">
        <f t="shared" si="4"/>
        <v>500+</v>
      </c>
    </row>
    <row r="462" ht="15.75" customHeight="1">
      <c r="A462" s="13">
        <f>HYPERLINK("https://app.hubspot.com/contacts/8748051/record/0-3/20029087321", 20029087321)</f>
        <v>20029087321</v>
      </c>
      <c r="B462" s="14" t="s">
        <v>1639</v>
      </c>
      <c r="C462" s="14" t="s">
        <v>49</v>
      </c>
      <c r="D462" s="15">
        <v>57120.0</v>
      </c>
      <c r="E462" s="14" t="s">
        <v>118</v>
      </c>
      <c r="F462" s="14"/>
      <c r="G462" s="16">
        <v>45455.29417824074</v>
      </c>
      <c r="H462" s="16">
        <v>45638.29368055556</v>
      </c>
      <c r="I462" s="14" t="s">
        <v>39</v>
      </c>
      <c r="J462" s="14" t="s">
        <v>52</v>
      </c>
      <c r="K462" s="14" t="s">
        <v>558</v>
      </c>
      <c r="L462" s="14" t="s">
        <v>559</v>
      </c>
      <c r="M462" s="14" t="s">
        <v>43</v>
      </c>
      <c r="N462" s="17"/>
      <c r="O462" s="14"/>
      <c r="P462" s="14" t="s">
        <v>211</v>
      </c>
      <c r="Q462" s="14"/>
      <c r="R462" s="13">
        <f>HYPERLINK("https://app.hubspot.com/contacts/8748051/record/0-2/8791664444", 8791664444)</f>
        <v>8791664444</v>
      </c>
      <c r="S462" s="14" t="s">
        <v>1640</v>
      </c>
      <c r="T462" s="18" t="s">
        <v>1641</v>
      </c>
      <c r="U462" s="14" t="s">
        <v>46</v>
      </c>
      <c r="V462" s="22"/>
      <c r="W462" s="19">
        <v>1336.0</v>
      </c>
      <c r="X462" s="19">
        <v>246.0</v>
      </c>
      <c r="Y462" s="20" t="s">
        <v>104</v>
      </c>
      <c r="Z462" s="21"/>
      <c r="AA462" s="21"/>
      <c r="AB462" s="21"/>
      <c r="AC462" s="21"/>
      <c r="AD462" s="21"/>
      <c r="AE462" s="21"/>
      <c r="AF462" s="17" t="str">
        <f t="shared" si="1"/>
        <v>New Logo</v>
      </c>
      <c r="AG462" s="17" t="str">
        <f t="shared" si="2"/>
        <v>Lead</v>
      </c>
      <c r="AH462" s="17" t="str">
        <f t="shared" si="3"/>
        <v>1001-5000</v>
      </c>
      <c r="AI462" s="17" t="str">
        <f t="shared" si="4"/>
        <v>101-500</v>
      </c>
    </row>
    <row r="463" ht="15.75" customHeight="1">
      <c r="A463" s="13">
        <f>HYPERLINK("https://app.hubspot.com/contacts/8748051/record/0-3/20028993888", 20028993888)</f>
        <v>20028993888</v>
      </c>
      <c r="B463" s="14" t="s">
        <v>1642</v>
      </c>
      <c r="C463" s="14" t="s">
        <v>49</v>
      </c>
      <c r="D463" s="15">
        <v>20000.0</v>
      </c>
      <c r="E463" s="14" t="s">
        <v>124</v>
      </c>
      <c r="F463" s="14" t="s">
        <v>51</v>
      </c>
      <c r="G463" s="16">
        <v>45455.29326388889</v>
      </c>
      <c r="H463" s="16">
        <v>45838.84769675926</v>
      </c>
      <c r="I463" s="14" t="s">
        <v>39</v>
      </c>
      <c r="J463" s="14" t="s">
        <v>40</v>
      </c>
      <c r="K463" s="14" t="s">
        <v>1186</v>
      </c>
      <c r="L463" s="14" t="s">
        <v>559</v>
      </c>
      <c r="M463" s="14" t="s">
        <v>43</v>
      </c>
      <c r="N463" s="17"/>
      <c r="O463" s="14"/>
      <c r="P463" s="14"/>
      <c r="Q463" s="14" t="s">
        <v>125</v>
      </c>
      <c r="R463" s="13">
        <f>HYPERLINK("https://app.hubspot.com/contacts/8748051/record/0-2/9186989080", 9186989080)</f>
        <v>9186989080</v>
      </c>
      <c r="S463" s="14" t="s">
        <v>1643</v>
      </c>
      <c r="T463" s="18" t="s">
        <v>1644</v>
      </c>
      <c r="U463" s="14" t="s">
        <v>46</v>
      </c>
      <c r="V463" s="22"/>
      <c r="W463" s="19">
        <v>123.0</v>
      </c>
      <c r="X463" s="19">
        <v>41.0</v>
      </c>
      <c r="Y463" s="20"/>
      <c r="Z463" s="21"/>
      <c r="AA463" s="21"/>
      <c r="AB463" s="21"/>
      <c r="AC463" s="21"/>
      <c r="AD463" s="21"/>
      <c r="AE463" s="21"/>
      <c r="AF463" s="17" t="str">
        <f t="shared" si="1"/>
        <v>New Logo</v>
      </c>
      <c r="AG463" s="17" t="str">
        <f t="shared" si="2"/>
        <v>Lead</v>
      </c>
      <c r="AH463" s="17" t="str">
        <f t="shared" si="3"/>
        <v>0-200</v>
      </c>
      <c r="AI463" s="17" t="str">
        <f t="shared" si="4"/>
        <v>21-50</v>
      </c>
    </row>
    <row r="464" ht="15.75" customHeight="1">
      <c r="A464" s="13">
        <f>HYPERLINK("https://app.hubspot.com/contacts/8748051/record/0-3/19999649595", 19999649595)</f>
        <v>19999649595</v>
      </c>
      <c r="B464" s="14" t="s">
        <v>1645</v>
      </c>
      <c r="C464" s="14" t="s">
        <v>1008</v>
      </c>
      <c r="D464" s="15">
        <v>45360.0</v>
      </c>
      <c r="E464" s="14" t="s">
        <v>124</v>
      </c>
      <c r="F464" s="14" t="s">
        <v>51</v>
      </c>
      <c r="G464" s="16">
        <v>45454.05929398148</v>
      </c>
      <c r="H464" s="16">
        <v>45742.3758912037</v>
      </c>
      <c r="I464" s="14" t="s">
        <v>39</v>
      </c>
      <c r="J464" s="14" t="s">
        <v>52</v>
      </c>
      <c r="K464" s="14" t="s">
        <v>59</v>
      </c>
      <c r="L464" s="14" t="s">
        <v>175</v>
      </c>
      <c r="M464" s="14" t="s">
        <v>72</v>
      </c>
      <c r="N464" s="17"/>
      <c r="O464" s="14"/>
      <c r="P464" s="17"/>
      <c r="Q464" s="14"/>
      <c r="R464" s="13">
        <f>HYPERLINK("https://app.hubspot.com/contacts/8748051/record/0-2/19176621361", 19176621361)</f>
        <v>19176621361</v>
      </c>
      <c r="S464" s="14" t="s">
        <v>1646</v>
      </c>
      <c r="T464" s="18" t="s">
        <v>1647</v>
      </c>
      <c r="U464" s="14" t="s">
        <v>46</v>
      </c>
      <c r="V464" s="22"/>
      <c r="W464" s="19">
        <v>1062.0</v>
      </c>
      <c r="X464" s="19">
        <v>232.0</v>
      </c>
      <c r="Y464" s="20" t="s">
        <v>122</v>
      </c>
      <c r="Z464" s="21"/>
      <c r="AA464" s="21"/>
      <c r="AB464" s="21"/>
      <c r="AC464" s="21"/>
      <c r="AD464" s="21"/>
      <c r="AE464" s="21"/>
      <c r="AF464" s="17" t="str">
        <f t="shared" si="1"/>
        <v>New Logo</v>
      </c>
      <c r="AG464" s="17" t="str">
        <f t="shared" si="2"/>
        <v>Lead</v>
      </c>
      <c r="AH464" s="17" t="str">
        <f t="shared" si="3"/>
        <v>1001-5000</v>
      </c>
      <c r="AI464" s="17" t="str">
        <f t="shared" si="4"/>
        <v>101-500</v>
      </c>
    </row>
    <row r="465" ht="15.75" customHeight="1">
      <c r="A465" s="13">
        <f>HYPERLINK("https://app.hubspot.com/contacts/8748051/record/0-3/19992876367", 19992876367)</f>
        <v>19992876367</v>
      </c>
      <c r="B465" s="14" t="s">
        <v>1648</v>
      </c>
      <c r="C465" s="14" t="s">
        <v>145</v>
      </c>
      <c r="D465" s="15">
        <v>5280.0</v>
      </c>
      <c r="E465" s="14" t="s">
        <v>118</v>
      </c>
      <c r="F465" s="14"/>
      <c r="G465" s="16">
        <v>45453.74561342593</v>
      </c>
      <c r="H465" s="16">
        <v>45636.744409722225</v>
      </c>
      <c r="I465" s="14" t="s">
        <v>39</v>
      </c>
      <c r="J465" s="14" t="s">
        <v>40</v>
      </c>
      <c r="K465" s="14" t="s">
        <v>1186</v>
      </c>
      <c r="L465" s="14" t="s">
        <v>559</v>
      </c>
      <c r="M465" s="14" t="s">
        <v>43</v>
      </c>
      <c r="N465" s="17"/>
      <c r="O465" s="14"/>
      <c r="P465" s="14"/>
      <c r="Q465" s="14"/>
      <c r="R465" s="13">
        <f>HYPERLINK("https://app.hubspot.com/contacts/8748051/record/0-2/8964769280", 8964769280)</f>
        <v>8964769280</v>
      </c>
      <c r="S465" s="14" t="s">
        <v>1649</v>
      </c>
      <c r="T465" s="18" t="s">
        <v>1650</v>
      </c>
      <c r="U465" s="14" t="s">
        <v>46</v>
      </c>
      <c r="V465" s="22"/>
      <c r="W465" s="19">
        <v>262.0</v>
      </c>
      <c r="X465" s="19">
        <v>19.0</v>
      </c>
      <c r="Y465" s="20"/>
      <c r="Z465" s="21"/>
      <c r="AA465" s="21"/>
      <c r="AB465" s="21"/>
      <c r="AC465" s="21"/>
      <c r="AD465" s="21"/>
      <c r="AE465" s="21"/>
      <c r="AF465" s="17" t="str">
        <f t="shared" si="1"/>
        <v>New Logo</v>
      </c>
      <c r="AG465" s="17" t="str">
        <f t="shared" si="2"/>
        <v>Lead</v>
      </c>
      <c r="AH465" s="17" t="str">
        <f t="shared" si="3"/>
        <v>201-500</v>
      </c>
      <c r="AI465" s="17" t="str">
        <f t="shared" si="4"/>
        <v>0-20</v>
      </c>
    </row>
    <row r="466" ht="15.75" customHeight="1">
      <c r="A466" s="13">
        <f>HYPERLINK("https://app.hubspot.com/contacts/8748051/record/0-3/19992614737", 19992614737)</f>
        <v>19992614737</v>
      </c>
      <c r="B466" s="14" t="s">
        <v>1651</v>
      </c>
      <c r="C466" s="14" t="s">
        <v>49</v>
      </c>
      <c r="D466" s="15">
        <v>26880.0</v>
      </c>
      <c r="E466" s="14" t="s">
        <v>124</v>
      </c>
      <c r="F466" s="14" t="s">
        <v>51</v>
      </c>
      <c r="G466" s="16">
        <v>45453.74267361111</v>
      </c>
      <c r="H466" s="16">
        <v>45636.742164351854</v>
      </c>
      <c r="I466" s="14" t="s">
        <v>39</v>
      </c>
      <c r="J466" s="14" t="s">
        <v>40</v>
      </c>
      <c r="K466" s="14" t="s">
        <v>1186</v>
      </c>
      <c r="L466" s="14" t="s">
        <v>175</v>
      </c>
      <c r="M466" s="14" t="s">
        <v>43</v>
      </c>
      <c r="N466" s="17"/>
      <c r="O466" s="17"/>
      <c r="P466" s="14"/>
      <c r="Q466" s="14" t="s">
        <v>141</v>
      </c>
      <c r="R466" s="13">
        <f>HYPERLINK("https://app.hubspot.com/contacts/8748051/record/0-2/7649395999", 7649395999)</f>
        <v>7649395999</v>
      </c>
      <c r="S466" s="14" t="s">
        <v>1652</v>
      </c>
      <c r="T466" s="18" t="s">
        <v>1653</v>
      </c>
      <c r="U466" s="14" t="s">
        <v>46</v>
      </c>
      <c r="V466" s="22"/>
      <c r="W466" s="19">
        <v>622.0</v>
      </c>
      <c r="X466" s="19">
        <v>88.0</v>
      </c>
      <c r="Y466" s="20"/>
      <c r="Z466" s="21"/>
      <c r="AA466" s="21"/>
      <c r="AB466" s="21"/>
      <c r="AC466" s="21"/>
      <c r="AD466" s="21"/>
      <c r="AE466" s="21"/>
      <c r="AF466" s="17" t="str">
        <f t="shared" si="1"/>
        <v>New Logo</v>
      </c>
      <c r="AG466" s="17" t="str">
        <f t="shared" si="2"/>
        <v>Lead</v>
      </c>
      <c r="AH466" s="17" t="str">
        <f t="shared" si="3"/>
        <v>501-1000</v>
      </c>
      <c r="AI466" s="17" t="str">
        <f t="shared" si="4"/>
        <v>51-100</v>
      </c>
    </row>
    <row r="467" ht="15.75" customHeight="1">
      <c r="A467" s="13">
        <f>HYPERLINK("https://app.hubspot.com/contacts/8748051/record/0-3/19989811457", 19989811457)</f>
        <v>19989811457</v>
      </c>
      <c r="B467" s="14" t="s">
        <v>1654</v>
      </c>
      <c r="C467" s="14" t="s">
        <v>49</v>
      </c>
      <c r="D467" s="15">
        <v>31200.0</v>
      </c>
      <c r="E467" s="14" t="s">
        <v>118</v>
      </c>
      <c r="F467" s="14"/>
      <c r="G467" s="16">
        <v>45453.59243055555</v>
      </c>
      <c r="H467" s="16">
        <v>45636.592141203706</v>
      </c>
      <c r="I467" s="14" t="s">
        <v>39</v>
      </c>
      <c r="J467" s="14" t="s">
        <v>52</v>
      </c>
      <c r="K467" s="14" t="s">
        <v>558</v>
      </c>
      <c r="L467" s="14" t="s">
        <v>559</v>
      </c>
      <c r="M467" s="14" t="s">
        <v>43</v>
      </c>
      <c r="N467" s="17"/>
      <c r="O467" s="14"/>
      <c r="P467" s="14"/>
      <c r="Q467" s="17"/>
      <c r="R467" s="13">
        <f>HYPERLINK("https://app.hubspot.com/contacts/8748051/record/0-2/7941783360", 7941783360)</f>
        <v>7941783360</v>
      </c>
      <c r="S467" s="14" t="s">
        <v>1655</v>
      </c>
      <c r="T467" s="18" t="s">
        <v>1656</v>
      </c>
      <c r="U467" s="14" t="s">
        <v>46</v>
      </c>
      <c r="V467" s="22"/>
      <c r="W467" s="19">
        <v>302.0</v>
      </c>
      <c r="X467" s="19">
        <v>116.0</v>
      </c>
      <c r="Y467" s="20" t="s">
        <v>70</v>
      </c>
      <c r="Z467" s="21"/>
      <c r="AA467" s="21"/>
      <c r="AB467" s="21"/>
      <c r="AC467" s="21"/>
      <c r="AD467" s="21"/>
      <c r="AE467" s="21"/>
      <c r="AF467" s="17" t="str">
        <f t="shared" si="1"/>
        <v>New Logo</v>
      </c>
      <c r="AG467" s="17" t="str">
        <f t="shared" si="2"/>
        <v>Lead</v>
      </c>
      <c r="AH467" s="17" t="str">
        <f t="shared" si="3"/>
        <v>201-500</v>
      </c>
      <c r="AI467" s="17" t="str">
        <f t="shared" si="4"/>
        <v>101-500</v>
      </c>
    </row>
    <row r="468" ht="15.75" customHeight="1">
      <c r="A468" s="13">
        <f>HYPERLINK("https://app.hubspot.com/contacts/8748051/record/0-3/19983616576", 19983616576)</f>
        <v>19983616576</v>
      </c>
      <c r="B468" s="14" t="s">
        <v>592</v>
      </c>
      <c r="C468" s="14" t="s">
        <v>49</v>
      </c>
      <c r="D468" s="15">
        <v>44400.0</v>
      </c>
      <c r="E468" s="14" t="s">
        <v>118</v>
      </c>
      <c r="F468" s="14"/>
      <c r="G468" s="16">
        <v>45453.39706018518</v>
      </c>
      <c r="H468" s="16">
        <v>45636.39674768518</v>
      </c>
      <c r="I468" s="14" t="s">
        <v>39</v>
      </c>
      <c r="J468" s="14" t="s">
        <v>52</v>
      </c>
      <c r="K468" s="14" t="s">
        <v>558</v>
      </c>
      <c r="L468" s="14" t="s">
        <v>559</v>
      </c>
      <c r="M468" s="14" t="s">
        <v>43</v>
      </c>
      <c r="N468" s="17"/>
      <c r="O468" s="14"/>
      <c r="P468" s="14" t="s">
        <v>119</v>
      </c>
      <c r="Q468" s="17"/>
      <c r="R468" s="13">
        <f>HYPERLINK("https://app.hubspot.com/contacts/8748051/record/0-2/7655953081", 7655953081)</f>
        <v>7655953081</v>
      </c>
      <c r="S468" s="14" t="s">
        <v>594</v>
      </c>
      <c r="T468" s="18" t="s">
        <v>595</v>
      </c>
      <c r="U468" s="14" t="s">
        <v>46</v>
      </c>
      <c r="V468" s="22"/>
      <c r="W468" s="19">
        <v>1160.0</v>
      </c>
      <c r="X468" s="19">
        <v>187.0</v>
      </c>
      <c r="Y468" s="20" t="s">
        <v>596</v>
      </c>
      <c r="Z468" s="21"/>
      <c r="AA468" s="21"/>
      <c r="AB468" s="21"/>
      <c r="AC468" s="21"/>
      <c r="AD468" s="21"/>
      <c r="AE468" s="21"/>
      <c r="AF468" s="17" t="str">
        <f t="shared" si="1"/>
        <v>New Logo</v>
      </c>
      <c r="AG468" s="17" t="str">
        <f t="shared" si="2"/>
        <v>Lead</v>
      </c>
      <c r="AH468" s="17" t="str">
        <f t="shared" si="3"/>
        <v>1001-5000</v>
      </c>
      <c r="AI468" s="17" t="str">
        <f t="shared" si="4"/>
        <v>101-500</v>
      </c>
    </row>
    <row r="469" ht="15.75" customHeight="1">
      <c r="A469" s="13">
        <f>HYPERLINK("https://app.hubspot.com/contacts/8748051/record/0-3/19983475725", 19983475725)</f>
        <v>19983475725</v>
      </c>
      <c r="B469" s="14" t="s">
        <v>1657</v>
      </c>
      <c r="C469" s="14" t="s">
        <v>49</v>
      </c>
      <c r="D469" s="15">
        <v>11520.0</v>
      </c>
      <c r="E469" s="14" t="s">
        <v>118</v>
      </c>
      <c r="F469" s="14"/>
      <c r="G469" s="16">
        <v>45453.37440972222</v>
      </c>
      <c r="H469" s="16">
        <v>45636.3725</v>
      </c>
      <c r="I469" s="14" t="s">
        <v>39</v>
      </c>
      <c r="J469" s="14" t="s">
        <v>40</v>
      </c>
      <c r="K469" s="14" t="s">
        <v>558</v>
      </c>
      <c r="L469" s="14" t="s">
        <v>559</v>
      </c>
      <c r="M469" s="14" t="s">
        <v>43</v>
      </c>
      <c r="N469" s="17"/>
      <c r="O469" s="14"/>
      <c r="P469" s="14"/>
      <c r="Q469" s="14"/>
      <c r="R469" s="13">
        <f>HYPERLINK("https://app.hubspot.com/contacts/8748051/record/0-2/9976415114", 9976415114)</f>
        <v>9976415114</v>
      </c>
      <c r="S469" s="14" t="s">
        <v>1658</v>
      </c>
      <c r="T469" s="18" t="s">
        <v>1659</v>
      </c>
      <c r="U469" s="14" t="s">
        <v>46</v>
      </c>
      <c r="V469" s="22"/>
      <c r="W469" s="19">
        <v>1573.0</v>
      </c>
      <c r="X469" s="19">
        <v>63.0</v>
      </c>
      <c r="Y469" s="20" t="s">
        <v>104</v>
      </c>
      <c r="Z469" s="21"/>
      <c r="AA469" s="21"/>
      <c r="AB469" s="21"/>
      <c r="AC469" s="21"/>
      <c r="AD469" s="21"/>
      <c r="AE469" s="21"/>
      <c r="AF469" s="17" t="str">
        <f t="shared" si="1"/>
        <v>New Logo</v>
      </c>
      <c r="AG469" s="17" t="str">
        <f t="shared" si="2"/>
        <v>Lead</v>
      </c>
      <c r="AH469" s="17" t="str">
        <f t="shared" si="3"/>
        <v>1001-5000</v>
      </c>
      <c r="AI469" s="17" t="str">
        <f t="shared" si="4"/>
        <v>51-100</v>
      </c>
    </row>
    <row r="470" ht="15.75" customHeight="1">
      <c r="A470" s="13">
        <f>HYPERLINK("https://app.hubspot.com/contacts/8748051/record/0-3/19888114324", 19888114324)</f>
        <v>19888114324</v>
      </c>
      <c r="B470" s="14" t="s">
        <v>1660</v>
      </c>
      <c r="C470" s="14" t="s">
        <v>49</v>
      </c>
      <c r="D470" s="15">
        <v>7920.0</v>
      </c>
      <c r="E470" s="14" t="s">
        <v>118</v>
      </c>
      <c r="F470" s="14"/>
      <c r="G470" s="16">
        <v>45448.7684375</v>
      </c>
      <c r="H470" s="16">
        <v>45631.686898148146</v>
      </c>
      <c r="I470" s="14" t="s">
        <v>39</v>
      </c>
      <c r="J470" s="14" t="s">
        <v>40</v>
      </c>
      <c r="K470" s="14" t="s">
        <v>1186</v>
      </c>
      <c r="L470" s="14" t="s">
        <v>175</v>
      </c>
      <c r="M470" s="14" t="s">
        <v>43</v>
      </c>
      <c r="N470" s="14"/>
      <c r="O470" s="14"/>
      <c r="P470" s="14" t="s">
        <v>260</v>
      </c>
      <c r="Q470" s="14"/>
      <c r="R470" s="13">
        <f>HYPERLINK("https://app.hubspot.com/contacts/8748051/record/0-2/6816671022", 6816671022)</f>
        <v>6816671022</v>
      </c>
      <c r="S470" s="18" t="s">
        <v>1661</v>
      </c>
      <c r="T470" s="18" t="s">
        <v>1662</v>
      </c>
      <c r="U470" s="14" t="s">
        <v>46</v>
      </c>
      <c r="V470" s="15"/>
      <c r="W470" s="19">
        <v>219.0</v>
      </c>
      <c r="X470" s="19">
        <v>27.0</v>
      </c>
      <c r="Y470" s="20" t="s">
        <v>70</v>
      </c>
      <c r="Z470" s="20"/>
      <c r="AA470" s="21"/>
      <c r="AB470" s="20"/>
      <c r="AC470" s="20"/>
      <c r="AD470" s="20"/>
      <c r="AE470" s="20"/>
      <c r="AF470" s="17" t="str">
        <f t="shared" si="1"/>
        <v>New Logo</v>
      </c>
      <c r="AG470" s="17" t="str">
        <f t="shared" si="2"/>
        <v>Lead</v>
      </c>
      <c r="AH470" s="17" t="str">
        <f t="shared" si="3"/>
        <v>201-500</v>
      </c>
      <c r="AI470" s="17" t="str">
        <f t="shared" si="4"/>
        <v>21-50</v>
      </c>
    </row>
    <row r="471" ht="15.75" customHeight="1">
      <c r="A471" s="13">
        <f>HYPERLINK("https://app.hubspot.com/contacts/8748051/record/0-3/19887432084", 19887432084)</f>
        <v>19887432084</v>
      </c>
      <c r="B471" s="14" t="s">
        <v>1663</v>
      </c>
      <c r="C471" s="14" t="s">
        <v>145</v>
      </c>
      <c r="D471" s="15">
        <v>12720.0</v>
      </c>
      <c r="E471" s="14" t="s">
        <v>146</v>
      </c>
      <c r="F471" s="14"/>
      <c r="G471" s="16">
        <v>45448.725694444445</v>
      </c>
      <c r="H471" s="16">
        <v>45509.709872685184</v>
      </c>
      <c r="I471" s="14" t="s">
        <v>39</v>
      </c>
      <c r="J471" s="14" t="s">
        <v>40</v>
      </c>
      <c r="K471" s="14" t="s">
        <v>558</v>
      </c>
      <c r="L471" s="14" t="s">
        <v>559</v>
      </c>
      <c r="M471" s="14" t="s">
        <v>43</v>
      </c>
      <c r="N471" s="17"/>
      <c r="O471" s="14" t="s">
        <v>1664</v>
      </c>
      <c r="P471" s="14"/>
      <c r="Q471" s="14"/>
      <c r="R471" s="13">
        <f>HYPERLINK("https://app.hubspot.com/contacts/8748051/record/0-2/14811280198", 14811280198)</f>
        <v>14811280198</v>
      </c>
      <c r="S471" s="14" t="s">
        <v>1665</v>
      </c>
      <c r="T471" s="18" t="s">
        <v>1666</v>
      </c>
      <c r="U471" s="14" t="s">
        <v>46</v>
      </c>
      <c r="V471" s="22"/>
      <c r="W471" s="19">
        <v>176.0</v>
      </c>
      <c r="X471" s="19">
        <v>65.0</v>
      </c>
      <c r="Y471" s="20" t="s">
        <v>55</v>
      </c>
      <c r="Z471" s="21"/>
      <c r="AA471" s="21"/>
      <c r="AB471" s="21"/>
      <c r="AC471" s="21"/>
      <c r="AD471" s="21"/>
      <c r="AE471" s="21"/>
      <c r="AF471" s="17" t="str">
        <f t="shared" si="1"/>
        <v>New Logo</v>
      </c>
      <c r="AG471" s="17" t="str">
        <f t="shared" si="2"/>
        <v>Lead</v>
      </c>
      <c r="AH471" s="17" t="str">
        <f t="shared" si="3"/>
        <v>0-200</v>
      </c>
      <c r="AI471" s="17" t="str">
        <f t="shared" si="4"/>
        <v>51-100</v>
      </c>
    </row>
    <row r="472" ht="15.75" customHeight="1">
      <c r="A472" s="13">
        <f>HYPERLINK("https://app.hubspot.com/contacts/8748051/record/0-3/19883137361", 19883137361)</f>
        <v>19883137361</v>
      </c>
      <c r="B472" s="14" t="s">
        <v>1667</v>
      </c>
      <c r="C472" s="14" t="s">
        <v>49</v>
      </c>
      <c r="D472" s="15">
        <v>11200.0</v>
      </c>
      <c r="E472" s="14" t="s">
        <v>146</v>
      </c>
      <c r="F472" s="14" t="s">
        <v>51</v>
      </c>
      <c r="G472" s="16">
        <v>45448.58038194444</v>
      </c>
      <c r="H472" s="16">
        <v>45474.42486111111</v>
      </c>
      <c r="I472" s="14" t="s">
        <v>39</v>
      </c>
      <c r="J472" s="14" t="s">
        <v>40</v>
      </c>
      <c r="K472" s="14" t="s">
        <v>41</v>
      </c>
      <c r="L472" s="14" t="s">
        <v>42</v>
      </c>
      <c r="M472" s="14" t="s">
        <v>43</v>
      </c>
      <c r="N472" s="14"/>
      <c r="O472" s="14" t="s">
        <v>1668</v>
      </c>
      <c r="P472" s="14"/>
      <c r="Q472" s="17"/>
      <c r="R472" s="13">
        <f>HYPERLINK("https://app.hubspot.com/contacts/8748051/record/0-2/8310492554", 8310492554)</f>
        <v>8310492554</v>
      </c>
      <c r="S472" s="14" t="s">
        <v>1669</v>
      </c>
      <c r="T472" s="18" t="s">
        <v>1670</v>
      </c>
      <c r="U472" s="14" t="s">
        <v>46</v>
      </c>
      <c r="V472" s="15"/>
      <c r="W472" s="19">
        <v>40.0</v>
      </c>
      <c r="X472" s="19">
        <v>7.0</v>
      </c>
      <c r="Y472" s="20"/>
      <c r="Z472" s="20"/>
      <c r="AA472" s="21"/>
      <c r="AB472" s="20"/>
      <c r="AC472" s="20"/>
      <c r="AD472" s="20"/>
      <c r="AE472" s="20"/>
      <c r="AF472" s="17" t="str">
        <f t="shared" si="1"/>
        <v>New Logo</v>
      </c>
      <c r="AG472" s="17" t="str">
        <f t="shared" si="2"/>
        <v>Lead</v>
      </c>
      <c r="AH472" s="17" t="str">
        <f t="shared" si="3"/>
        <v>0-200</v>
      </c>
      <c r="AI472" s="17" t="str">
        <f t="shared" si="4"/>
        <v>0-20</v>
      </c>
    </row>
    <row r="473" ht="15.75" customHeight="1">
      <c r="A473" s="13">
        <f>HYPERLINK("https://app.hubspot.com/contacts/8748051/record/0-3/19882762662", 19882762662)</f>
        <v>19882762662</v>
      </c>
      <c r="B473" s="14" t="s">
        <v>1671</v>
      </c>
      <c r="C473" s="14" t="s">
        <v>145</v>
      </c>
      <c r="D473" s="15">
        <v>17040.0</v>
      </c>
      <c r="E473" s="14" t="s">
        <v>118</v>
      </c>
      <c r="F473" s="14"/>
      <c r="G473" s="16">
        <v>45448.55304398148</v>
      </c>
      <c r="H473" s="16">
        <v>45631.51091435185</v>
      </c>
      <c r="I473" s="14" t="s">
        <v>39</v>
      </c>
      <c r="J473" s="14" t="s">
        <v>40</v>
      </c>
      <c r="K473" s="14" t="s">
        <v>1186</v>
      </c>
      <c r="L473" s="14" t="s">
        <v>559</v>
      </c>
      <c r="M473" s="14" t="s">
        <v>43</v>
      </c>
      <c r="N473" s="17"/>
      <c r="O473" s="14"/>
      <c r="P473" s="14"/>
      <c r="Q473" s="17"/>
      <c r="R473" s="13">
        <f>HYPERLINK("https://app.hubspot.com/contacts/8748051/record/0-2/8724318599", 8724318599)</f>
        <v>8724318599</v>
      </c>
      <c r="S473" s="14" t="s">
        <v>1672</v>
      </c>
      <c r="T473" s="18" t="s">
        <v>1673</v>
      </c>
      <c r="U473" s="14" t="s">
        <v>46</v>
      </c>
      <c r="V473" s="15"/>
      <c r="W473" s="19">
        <v>514.0</v>
      </c>
      <c r="X473" s="19">
        <v>91.0</v>
      </c>
      <c r="Y473" s="20"/>
      <c r="Z473" s="20"/>
      <c r="AA473" s="21"/>
      <c r="AB473" s="21"/>
      <c r="AC473" s="20"/>
      <c r="AD473" s="21"/>
      <c r="AE473" s="20"/>
      <c r="AF473" s="17" t="str">
        <f t="shared" si="1"/>
        <v>New Logo</v>
      </c>
      <c r="AG473" s="17" t="str">
        <f t="shared" si="2"/>
        <v>Lead</v>
      </c>
      <c r="AH473" s="17" t="str">
        <f t="shared" si="3"/>
        <v>501-1000</v>
      </c>
      <c r="AI473" s="17" t="str">
        <f t="shared" si="4"/>
        <v>51-100</v>
      </c>
    </row>
    <row r="474" ht="15.75" customHeight="1">
      <c r="A474" s="13">
        <f>HYPERLINK("https://app.hubspot.com/contacts/8748051/record/0-3/19879026275", 19879026275)</f>
        <v>19879026275</v>
      </c>
      <c r="B474" s="14" t="s">
        <v>878</v>
      </c>
      <c r="C474" s="14" t="s">
        <v>1008</v>
      </c>
      <c r="D474" s="15">
        <v>11760.0</v>
      </c>
      <c r="E474" s="14" t="s">
        <v>118</v>
      </c>
      <c r="F474" s="14"/>
      <c r="G474" s="16">
        <v>45448.45358796296</v>
      </c>
      <c r="H474" s="16">
        <v>45631.41112268518</v>
      </c>
      <c r="I474" s="14" t="s">
        <v>39</v>
      </c>
      <c r="J474" s="14" t="s">
        <v>52</v>
      </c>
      <c r="K474" s="14" t="s">
        <v>1186</v>
      </c>
      <c r="L474" s="14" t="s">
        <v>175</v>
      </c>
      <c r="M474" s="14" t="s">
        <v>72</v>
      </c>
      <c r="N474" s="17"/>
      <c r="O474" s="17"/>
      <c r="P474" s="14"/>
      <c r="Q474" s="17"/>
      <c r="R474" s="13">
        <f>HYPERLINK("https://app.hubspot.com/contacts/8748051/record/0-2/18382767734", 18382767734)</f>
        <v>18382767734</v>
      </c>
      <c r="S474" s="14" t="s">
        <v>880</v>
      </c>
      <c r="T474" s="18" t="s">
        <v>881</v>
      </c>
      <c r="U474" s="14" t="s">
        <v>46</v>
      </c>
      <c r="V474" s="15"/>
      <c r="W474" s="19">
        <v>2212.0</v>
      </c>
      <c r="X474" s="19">
        <v>71.0</v>
      </c>
      <c r="Y474" s="20" t="s">
        <v>104</v>
      </c>
      <c r="Z474" s="20"/>
      <c r="AA474" s="21"/>
      <c r="AB474" s="21"/>
      <c r="AC474" s="20"/>
      <c r="AD474" s="21"/>
      <c r="AE474" s="20"/>
      <c r="AF474" s="17" t="str">
        <f t="shared" si="1"/>
        <v>New Logo</v>
      </c>
      <c r="AG474" s="17" t="str">
        <f t="shared" si="2"/>
        <v>Lead</v>
      </c>
      <c r="AH474" s="17" t="str">
        <f t="shared" si="3"/>
        <v>1001-5000</v>
      </c>
      <c r="AI474" s="17" t="str">
        <f t="shared" si="4"/>
        <v>51-100</v>
      </c>
    </row>
    <row r="475" ht="15.75" customHeight="1">
      <c r="A475" s="13">
        <f>HYPERLINK("https://app.hubspot.com/contacts/8748051/record/0-3/19877857027", 19877857027)</f>
        <v>19877857027</v>
      </c>
      <c r="B475" s="14" t="s">
        <v>1674</v>
      </c>
      <c r="C475" s="14" t="s">
        <v>1008</v>
      </c>
      <c r="D475" s="15">
        <v>19920.0</v>
      </c>
      <c r="E475" s="14" t="s">
        <v>118</v>
      </c>
      <c r="F475" s="14"/>
      <c r="G475" s="16">
        <v>45448.45034722222</v>
      </c>
      <c r="H475" s="16">
        <v>45631.40831018519</v>
      </c>
      <c r="I475" s="14" t="s">
        <v>39</v>
      </c>
      <c r="J475" s="14" t="s">
        <v>40</v>
      </c>
      <c r="K475" s="14" t="s">
        <v>558</v>
      </c>
      <c r="L475" s="14" t="s">
        <v>559</v>
      </c>
      <c r="M475" s="14" t="s">
        <v>43</v>
      </c>
      <c r="N475" s="17"/>
      <c r="O475" s="14"/>
      <c r="P475" s="14"/>
      <c r="Q475" s="17"/>
      <c r="R475" s="13">
        <f>HYPERLINK("https://app.hubspot.com/contacts/8748051/record/0-2/8983202742", 8983202742)</f>
        <v>8983202742</v>
      </c>
      <c r="S475" s="14" t="s">
        <v>1675</v>
      </c>
      <c r="T475" s="18" t="s">
        <v>1676</v>
      </c>
      <c r="U475" s="14" t="s">
        <v>46</v>
      </c>
      <c r="V475" s="22"/>
      <c r="W475" s="19">
        <v>885.0</v>
      </c>
      <c r="X475" s="19">
        <v>100.0</v>
      </c>
      <c r="Y475" s="20" t="s">
        <v>104</v>
      </c>
      <c r="Z475" s="21"/>
      <c r="AA475" s="21"/>
      <c r="AB475" s="21"/>
      <c r="AC475" s="21"/>
      <c r="AD475" s="21"/>
      <c r="AE475" s="21"/>
      <c r="AF475" s="17" t="str">
        <f t="shared" si="1"/>
        <v>New Logo</v>
      </c>
      <c r="AG475" s="17" t="str">
        <f t="shared" si="2"/>
        <v>Lead</v>
      </c>
      <c r="AH475" s="17" t="str">
        <f t="shared" si="3"/>
        <v>501-1000</v>
      </c>
      <c r="AI475" s="17" t="str">
        <f t="shared" si="4"/>
        <v>51-100</v>
      </c>
    </row>
    <row r="476" ht="15.75" customHeight="1">
      <c r="A476" s="13">
        <f>HYPERLINK("https://app.hubspot.com/contacts/8748051/record/0-3/19832205078", 19832205078)</f>
        <v>19832205078</v>
      </c>
      <c r="B476" s="14" t="s">
        <v>1677</v>
      </c>
      <c r="C476" s="14" t="s">
        <v>1008</v>
      </c>
      <c r="D476" s="15">
        <v>29520.0</v>
      </c>
      <c r="E476" s="14" t="s">
        <v>124</v>
      </c>
      <c r="F476" s="14" t="s">
        <v>51</v>
      </c>
      <c r="G476" s="16">
        <v>45446.716944444444</v>
      </c>
      <c r="H476" s="16">
        <v>45629.67403935185</v>
      </c>
      <c r="I476" s="14" t="s">
        <v>39</v>
      </c>
      <c r="J476" s="14" t="s">
        <v>40</v>
      </c>
      <c r="K476" s="14" t="s">
        <v>1186</v>
      </c>
      <c r="L476" s="14" t="s">
        <v>559</v>
      </c>
      <c r="M476" s="14" t="s">
        <v>43</v>
      </c>
      <c r="N476" s="17"/>
      <c r="O476" s="14"/>
      <c r="P476" s="14"/>
      <c r="Q476" s="14"/>
      <c r="R476" s="13">
        <f>HYPERLINK("https://app.hubspot.com/contacts/8748051/record/0-2/7862967926", 7862967926)</f>
        <v>7862967926</v>
      </c>
      <c r="S476" s="14" t="s">
        <v>1678</v>
      </c>
      <c r="T476" s="18" t="s">
        <v>1679</v>
      </c>
      <c r="U476" s="14" t="s">
        <v>46</v>
      </c>
      <c r="V476" s="22"/>
      <c r="W476" s="19">
        <v>1055.0</v>
      </c>
      <c r="X476" s="19">
        <v>192.0</v>
      </c>
      <c r="Y476" s="20" t="s">
        <v>78</v>
      </c>
      <c r="Z476" s="21"/>
      <c r="AA476" s="21"/>
      <c r="AB476" s="21"/>
      <c r="AC476" s="21"/>
      <c r="AD476" s="21"/>
      <c r="AE476" s="21"/>
      <c r="AF476" s="17" t="str">
        <f t="shared" si="1"/>
        <v>New Logo</v>
      </c>
      <c r="AG476" s="17" t="str">
        <f t="shared" si="2"/>
        <v>Lead</v>
      </c>
      <c r="AH476" s="17" t="str">
        <f t="shared" si="3"/>
        <v>1001-5000</v>
      </c>
      <c r="AI476" s="17" t="str">
        <f t="shared" si="4"/>
        <v>101-500</v>
      </c>
    </row>
    <row r="477" ht="15.75" customHeight="1">
      <c r="A477" s="13">
        <f>HYPERLINK("https://app.hubspot.com/contacts/8748051/record/0-3/19730622754", 19730622754)</f>
        <v>19730622754</v>
      </c>
      <c r="B477" s="14" t="s">
        <v>1680</v>
      </c>
      <c r="C477" s="14" t="s">
        <v>49</v>
      </c>
      <c r="D477" s="15">
        <v>4560.0</v>
      </c>
      <c r="E477" s="14" t="s">
        <v>118</v>
      </c>
      <c r="F477" s="14"/>
      <c r="G477" s="16">
        <v>45442.461689814816</v>
      </c>
      <c r="H477" s="16">
        <v>45626.45993055555</v>
      </c>
      <c r="I477" s="14" t="s">
        <v>39</v>
      </c>
      <c r="J477" s="14" t="s">
        <v>40</v>
      </c>
      <c r="K477" s="14" t="s">
        <v>1186</v>
      </c>
      <c r="L477" s="14" t="s">
        <v>559</v>
      </c>
      <c r="M477" s="14" t="s">
        <v>43</v>
      </c>
      <c r="N477" s="14"/>
      <c r="O477" s="14"/>
      <c r="P477" s="14" t="s">
        <v>260</v>
      </c>
      <c r="Q477" s="14"/>
      <c r="R477" s="13">
        <f>HYPERLINK("https://app.hubspot.com/contacts/8748051/record/0-2/33838053147", 33838053147)</f>
        <v>33838053147</v>
      </c>
      <c r="S477" s="14" t="s">
        <v>1681</v>
      </c>
      <c r="T477" s="18" t="s">
        <v>1682</v>
      </c>
      <c r="U477" s="14" t="s">
        <v>46</v>
      </c>
      <c r="V477" s="15"/>
      <c r="W477" s="19">
        <v>91.0</v>
      </c>
      <c r="X477" s="19"/>
      <c r="Y477" s="20"/>
      <c r="Z477" s="20"/>
      <c r="AA477" s="21"/>
      <c r="AB477" s="20"/>
      <c r="AC477" s="20"/>
      <c r="AD477" s="20"/>
      <c r="AE477" s="20"/>
      <c r="AF477" s="17" t="str">
        <f t="shared" si="1"/>
        <v>New Logo</v>
      </c>
      <c r="AG477" s="17" t="str">
        <f t="shared" si="2"/>
        <v>Lead</v>
      </c>
      <c r="AH477" s="17" t="str">
        <f t="shared" si="3"/>
        <v>0-200</v>
      </c>
      <c r="AI477" s="17" t="str">
        <f t="shared" si="4"/>
        <v>0-20</v>
      </c>
    </row>
    <row r="478" ht="15.75" customHeight="1">
      <c r="A478" s="13">
        <f>HYPERLINK("https://app.hubspot.com/contacts/8748051/record/0-3/19686425366", 19686425366)</f>
        <v>19686425366</v>
      </c>
      <c r="B478" s="14" t="s">
        <v>1683</v>
      </c>
      <c r="C478" s="14" t="s">
        <v>1008</v>
      </c>
      <c r="D478" s="15">
        <v>30000.0</v>
      </c>
      <c r="E478" s="14" t="s">
        <v>146</v>
      </c>
      <c r="F478" s="14" t="s">
        <v>51</v>
      </c>
      <c r="G478" s="16">
        <v>45440.781539351854</v>
      </c>
      <c r="H478" s="16">
        <v>45509.70905092593</v>
      </c>
      <c r="I478" s="14" t="s">
        <v>39</v>
      </c>
      <c r="J478" s="14" t="s">
        <v>40</v>
      </c>
      <c r="K478" s="14" t="s">
        <v>41</v>
      </c>
      <c r="L478" s="14" t="s">
        <v>42</v>
      </c>
      <c r="M478" s="14" t="s">
        <v>43</v>
      </c>
      <c r="N478" s="14"/>
      <c r="O478" s="14" t="s">
        <v>1684</v>
      </c>
      <c r="P478" s="14"/>
      <c r="Q478" s="14"/>
      <c r="R478" s="13">
        <f>HYPERLINK("https://app.hubspot.com/contacts/8748051/record/0-2/19176288828", 19176288828)</f>
        <v>19176288828</v>
      </c>
      <c r="S478" s="14" t="s">
        <v>1685</v>
      </c>
      <c r="T478" s="18" t="s">
        <v>1686</v>
      </c>
      <c r="U478" s="14" t="s">
        <v>46</v>
      </c>
      <c r="V478" s="15"/>
      <c r="W478" s="19">
        <v>1227.0</v>
      </c>
      <c r="X478" s="19">
        <v>57.0</v>
      </c>
      <c r="Y478" s="20" t="s">
        <v>63</v>
      </c>
      <c r="Z478" s="20"/>
      <c r="AA478" s="20"/>
      <c r="AB478" s="20"/>
      <c r="AC478" s="20"/>
      <c r="AD478" s="20"/>
      <c r="AE478" s="20"/>
      <c r="AF478" s="17" t="str">
        <f t="shared" si="1"/>
        <v>New Logo</v>
      </c>
      <c r="AG478" s="17" t="str">
        <f t="shared" si="2"/>
        <v>Lead</v>
      </c>
      <c r="AH478" s="17" t="str">
        <f t="shared" si="3"/>
        <v>1001-5000</v>
      </c>
      <c r="AI478" s="17" t="str">
        <f t="shared" si="4"/>
        <v>51-100</v>
      </c>
    </row>
    <row r="479" ht="15.75" customHeight="1">
      <c r="A479" s="13">
        <f>HYPERLINK("https://app.hubspot.com/contacts/8748051/record/0-3/19648590439", 19648590439)</f>
        <v>19648590439</v>
      </c>
      <c r="B479" s="14" t="s">
        <v>1687</v>
      </c>
      <c r="C479" s="14" t="s">
        <v>145</v>
      </c>
      <c r="D479" s="15">
        <v>32500.0</v>
      </c>
      <c r="E479" s="14" t="s">
        <v>89</v>
      </c>
      <c r="F479" s="14" t="s">
        <v>51</v>
      </c>
      <c r="G479" s="16">
        <v>45439.476805555554</v>
      </c>
      <c r="H479" s="16">
        <v>45565.92564814815</v>
      </c>
      <c r="I479" s="14" t="s">
        <v>39</v>
      </c>
      <c r="J479" s="14" t="s">
        <v>40</v>
      </c>
      <c r="K479" s="14" t="s">
        <v>1186</v>
      </c>
      <c r="L479" s="14" t="s">
        <v>559</v>
      </c>
      <c r="M479" s="14" t="s">
        <v>43</v>
      </c>
      <c r="N479" s="14" t="s">
        <v>1688</v>
      </c>
      <c r="O479" s="17"/>
      <c r="P479" s="14"/>
      <c r="Q479" s="14"/>
      <c r="R479" s="13">
        <f>HYPERLINK("https://app.hubspot.com/contacts/8748051/record/0-2/9093467233", 9093467233)</f>
        <v>9093467233</v>
      </c>
      <c r="S479" s="14" t="s">
        <v>1689</v>
      </c>
      <c r="T479" s="18" t="s">
        <v>1690</v>
      </c>
      <c r="U479" s="14" t="s">
        <v>93</v>
      </c>
      <c r="V479" s="15">
        <v>32500.0</v>
      </c>
      <c r="W479" s="19">
        <v>247.0</v>
      </c>
      <c r="X479" s="19">
        <v>35.0</v>
      </c>
      <c r="Y479" s="20"/>
      <c r="Z479" s="20" t="s">
        <v>205</v>
      </c>
      <c r="AA479" s="20"/>
      <c r="AB479" s="20" t="s">
        <v>267</v>
      </c>
      <c r="AC479" s="20" t="s">
        <v>1691</v>
      </c>
      <c r="AD479" s="20" t="s">
        <v>1692</v>
      </c>
      <c r="AE479" s="20" t="s">
        <v>186</v>
      </c>
      <c r="AF479" s="17" t="str">
        <f t="shared" si="1"/>
        <v>New Logo</v>
      </c>
      <c r="AG479" s="17" t="str">
        <f t="shared" si="2"/>
        <v>Customer</v>
      </c>
      <c r="AH479" s="17" t="str">
        <f t="shared" si="3"/>
        <v>201-500</v>
      </c>
      <c r="AI479" s="17" t="str">
        <f t="shared" si="4"/>
        <v>21-50</v>
      </c>
    </row>
    <row r="480" ht="15.75" customHeight="1">
      <c r="A480" s="13">
        <f>HYPERLINK("https://app.hubspot.com/contacts/8748051/record/0-3/19648590372", 19648590372)</f>
        <v>19648590372</v>
      </c>
      <c r="B480" s="14" t="s">
        <v>1693</v>
      </c>
      <c r="C480" s="14" t="s">
        <v>145</v>
      </c>
      <c r="D480" s="15">
        <v>40800.0</v>
      </c>
      <c r="E480" s="14" t="s">
        <v>118</v>
      </c>
      <c r="F480" s="14"/>
      <c r="G480" s="16">
        <v>45439.476168981484</v>
      </c>
      <c r="H480" s="16">
        <v>45623.47578703704</v>
      </c>
      <c r="I480" s="14" t="s">
        <v>39</v>
      </c>
      <c r="J480" s="14" t="s">
        <v>52</v>
      </c>
      <c r="K480" s="14" t="s">
        <v>558</v>
      </c>
      <c r="L480" s="14" t="s">
        <v>559</v>
      </c>
      <c r="M480" s="14" t="s">
        <v>43</v>
      </c>
      <c r="N480" s="17"/>
      <c r="O480" s="17"/>
      <c r="P480" s="14" t="s">
        <v>211</v>
      </c>
      <c r="Q480" s="14"/>
      <c r="R480" s="13">
        <f>HYPERLINK("https://app.hubspot.com/contacts/8748051/record/0-2/14809894517", 14809894517)</f>
        <v>14809894517</v>
      </c>
      <c r="S480" s="14" t="s">
        <v>1694</v>
      </c>
      <c r="T480" s="18" t="s">
        <v>1695</v>
      </c>
      <c r="U480" s="14" t="s">
        <v>46</v>
      </c>
      <c r="V480" s="22"/>
      <c r="W480" s="19">
        <v>850.0</v>
      </c>
      <c r="X480" s="19">
        <v>200.0</v>
      </c>
      <c r="Y480" s="20"/>
      <c r="Z480" s="21"/>
      <c r="AA480" s="21"/>
      <c r="AB480" s="21"/>
      <c r="AC480" s="21"/>
      <c r="AD480" s="21"/>
      <c r="AE480" s="21"/>
      <c r="AF480" s="17" t="str">
        <f t="shared" si="1"/>
        <v>New Logo</v>
      </c>
      <c r="AG480" s="17" t="str">
        <f t="shared" si="2"/>
        <v>Lead</v>
      </c>
      <c r="AH480" s="17" t="str">
        <f t="shared" si="3"/>
        <v>501-1000</v>
      </c>
      <c r="AI480" s="17" t="str">
        <f t="shared" si="4"/>
        <v>101-500</v>
      </c>
    </row>
    <row r="481" ht="15.75" customHeight="1">
      <c r="A481" s="13">
        <f>HYPERLINK("https://app.hubspot.com/contacts/8748051/record/0-3/19648590164", 19648590164)</f>
        <v>19648590164</v>
      </c>
      <c r="B481" s="14" t="s">
        <v>1696</v>
      </c>
      <c r="C481" s="14" t="s">
        <v>49</v>
      </c>
      <c r="D481" s="15">
        <v>23280.0</v>
      </c>
      <c r="E481" s="14" t="s">
        <v>118</v>
      </c>
      <c r="F481" s="17"/>
      <c r="G481" s="16">
        <v>45439.47513888889</v>
      </c>
      <c r="H481" s="16">
        <v>45623.47483796296</v>
      </c>
      <c r="I481" s="14" t="s">
        <v>39</v>
      </c>
      <c r="J481" s="14" t="s">
        <v>40</v>
      </c>
      <c r="K481" s="14" t="s">
        <v>1186</v>
      </c>
      <c r="L481" s="14" t="s">
        <v>175</v>
      </c>
      <c r="M481" s="14" t="s">
        <v>43</v>
      </c>
      <c r="N481" s="17"/>
      <c r="O481" s="17"/>
      <c r="P481" s="14"/>
      <c r="Q481" s="17"/>
      <c r="R481" s="13">
        <f>HYPERLINK("https://app.hubspot.com/contacts/8748051/record/0-2/7686834774", 7686834774)</f>
        <v>7686834774</v>
      </c>
      <c r="S481" s="14" t="s">
        <v>1697</v>
      </c>
      <c r="T481" s="18" t="s">
        <v>1698</v>
      </c>
      <c r="U481" s="14" t="s">
        <v>46</v>
      </c>
      <c r="V481" s="22"/>
      <c r="W481" s="19">
        <v>838.0</v>
      </c>
      <c r="X481" s="19">
        <v>141.0</v>
      </c>
      <c r="Y481" s="20" t="s">
        <v>63</v>
      </c>
      <c r="Z481" s="21"/>
      <c r="AA481" s="21"/>
      <c r="AB481" s="21"/>
      <c r="AC481" s="21"/>
      <c r="AD481" s="21"/>
      <c r="AE481" s="21"/>
      <c r="AF481" s="17" t="str">
        <f t="shared" si="1"/>
        <v>New Logo</v>
      </c>
      <c r="AG481" s="17" t="str">
        <f t="shared" si="2"/>
        <v>Lead</v>
      </c>
      <c r="AH481" s="17" t="str">
        <f t="shared" si="3"/>
        <v>501-1000</v>
      </c>
      <c r="AI481" s="17" t="str">
        <f t="shared" si="4"/>
        <v>101-500</v>
      </c>
    </row>
    <row r="482" ht="15.75" customHeight="1">
      <c r="A482" s="13">
        <f>HYPERLINK("https://app.hubspot.com/contacts/8748051/record/0-3/19648469796", 19648469796)</f>
        <v>19648469796</v>
      </c>
      <c r="B482" s="14" t="s">
        <v>1699</v>
      </c>
      <c r="C482" s="14" t="s">
        <v>49</v>
      </c>
      <c r="D482" s="15">
        <v>13680.0</v>
      </c>
      <c r="E482" s="14" t="s">
        <v>118</v>
      </c>
      <c r="F482" s="14"/>
      <c r="G482" s="16">
        <v>45439.47424768518</v>
      </c>
      <c r="H482" s="16">
        <v>45623.47394675926</v>
      </c>
      <c r="I482" s="14" t="s">
        <v>39</v>
      </c>
      <c r="J482" s="14" t="s">
        <v>40</v>
      </c>
      <c r="K482" s="14" t="s">
        <v>558</v>
      </c>
      <c r="L482" s="14" t="s">
        <v>559</v>
      </c>
      <c r="M482" s="14" t="s">
        <v>43</v>
      </c>
      <c r="N482" s="17"/>
      <c r="O482" s="17"/>
      <c r="P482" s="14"/>
      <c r="Q482" s="14"/>
      <c r="R482" s="13">
        <f>HYPERLINK("https://app.hubspot.com/contacts/8748051/record/0-2/8929794578", 8929794578)</f>
        <v>8929794578</v>
      </c>
      <c r="S482" s="14" t="s">
        <v>1700</v>
      </c>
      <c r="T482" s="18" t="s">
        <v>1701</v>
      </c>
      <c r="U482" s="14" t="s">
        <v>46</v>
      </c>
      <c r="V482" s="22"/>
      <c r="W482" s="19">
        <v>311.0</v>
      </c>
      <c r="X482" s="19">
        <v>80.0</v>
      </c>
      <c r="Y482" s="20" t="s">
        <v>104</v>
      </c>
      <c r="Z482" s="21"/>
      <c r="AA482" s="21"/>
      <c r="AB482" s="21"/>
      <c r="AC482" s="21"/>
      <c r="AD482" s="21"/>
      <c r="AE482" s="21"/>
      <c r="AF482" s="17" t="str">
        <f t="shared" si="1"/>
        <v>New Logo</v>
      </c>
      <c r="AG482" s="17" t="str">
        <f t="shared" si="2"/>
        <v>Lead</v>
      </c>
      <c r="AH482" s="17" t="str">
        <f t="shared" si="3"/>
        <v>201-500</v>
      </c>
      <c r="AI482" s="17" t="str">
        <f t="shared" si="4"/>
        <v>51-100</v>
      </c>
    </row>
    <row r="483" ht="15.75" customHeight="1">
      <c r="A483" s="13">
        <f>HYPERLINK("https://app.hubspot.com/contacts/8748051/record/0-3/19583853592", 19583853592)</f>
        <v>19583853592</v>
      </c>
      <c r="B483" s="14" t="s">
        <v>1702</v>
      </c>
      <c r="C483" s="14" t="s">
        <v>1008</v>
      </c>
      <c r="D483" s="15">
        <v>80160.0</v>
      </c>
      <c r="E483" s="14" t="s">
        <v>118</v>
      </c>
      <c r="F483" s="14"/>
      <c r="G483" s="16">
        <v>45436.25864583333</v>
      </c>
      <c r="H483" s="16">
        <v>45620.21658564815</v>
      </c>
      <c r="I483" s="14" t="s">
        <v>39</v>
      </c>
      <c r="J483" s="14" t="s">
        <v>52</v>
      </c>
      <c r="K483" s="14" t="s">
        <v>59</v>
      </c>
      <c r="L483" s="14" t="s">
        <v>175</v>
      </c>
      <c r="M483" s="14" t="s">
        <v>98</v>
      </c>
      <c r="N483" s="14"/>
      <c r="O483" s="14"/>
      <c r="P483" s="14" t="s">
        <v>260</v>
      </c>
      <c r="Q483" s="14"/>
      <c r="R483" s="13">
        <f>HYPERLINK("https://app.hubspot.com/contacts/8748051/record/0-2/19176558447", 19176558447)</f>
        <v>19176558447</v>
      </c>
      <c r="S483" s="14" t="s">
        <v>1703</v>
      </c>
      <c r="T483" s="18" t="s">
        <v>1704</v>
      </c>
      <c r="U483" s="14" t="s">
        <v>46</v>
      </c>
      <c r="V483" s="15"/>
      <c r="W483" s="19">
        <v>1247.0</v>
      </c>
      <c r="X483" s="19">
        <v>392.0</v>
      </c>
      <c r="Y483" s="20"/>
      <c r="Z483" s="20"/>
      <c r="AA483" s="21"/>
      <c r="AB483" s="21"/>
      <c r="AC483" s="20"/>
      <c r="AD483" s="20"/>
      <c r="AE483" s="20"/>
      <c r="AF483" s="17" t="str">
        <f t="shared" si="1"/>
        <v>New Logo</v>
      </c>
      <c r="AG483" s="17" t="str">
        <f t="shared" si="2"/>
        <v>Lead</v>
      </c>
      <c r="AH483" s="17" t="str">
        <f t="shared" si="3"/>
        <v>1001-5000</v>
      </c>
      <c r="AI483" s="17" t="str">
        <f t="shared" si="4"/>
        <v>101-500</v>
      </c>
    </row>
    <row r="484" ht="15.75" customHeight="1">
      <c r="A484" s="13">
        <f>HYPERLINK("https://app.hubspot.com/contacts/8748051/record/0-3/19563841131", 19563841131)</f>
        <v>19563841131</v>
      </c>
      <c r="B484" s="14" t="s">
        <v>1705</v>
      </c>
      <c r="C484" s="14" t="s">
        <v>1008</v>
      </c>
      <c r="D484" s="15">
        <v>3120.0</v>
      </c>
      <c r="E484" s="14" t="s">
        <v>118</v>
      </c>
      <c r="F484" s="14"/>
      <c r="G484" s="16">
        <v>45435.466782407406</v>
      </c>
      <c r="H484" s="16">
        <v>45619.46628472222</v>
      </c>
      <c r="I484" s="14" t="s">
        <v>39</v>
      </c>
      <c r="J484" s="14" t="s">
        <v>40</v>
      </c>
      <c r="K484" s="14" t="s">
        <v>558</v>
      </c>
      <c r="L484" s="14" t="s">
        <v>559</v>
      </c>
      <c r="M484" s="14" t="s">
        <v>43</v>
      </c>
      <c r="N484" s="14"/>
      <c r="O484" s="17"/>
      <c r="P484" s="14" t="s">
        <v>119</v>
      </c>
      <c r="Q484" s="14"/>
      <c r="R484" s="13">
        <f>HYPERLINK("https://app.hubspot.com/contacts/8748051/record/0-2/8990615352", 8990615352)</f>
        <v>8990615352</v>
      </c>
      <c r="S484" s="14" t="s">
        <v>1706</v>
      </c>
      <c r="T484" s="18" t="s">
        <v>1707</v>
      </c>
      <c r="U484" s="14" t="s">
        <v>46</v>
      </c>
      <c r="V484" s="15"/>
      <c r="W484" s="19">
        <v>105.0</v>
      </c>
      <c r="X484" s="19">
        <v>13.0</v>
      </c>
      <c r="Y484" s="20"/>
      <c r="Z484" s="20"/>
      <c r="AA484" s="20"/>
      <c r="AB484" s="21"/>
      <c r="AC484" s="20"/>
      <c r="AD484" s="21"/>
      <c r="AE484" s="20"/>
      <c r="AF484" s="17" t="str">
        <f t="shared" si="1"/>
        <v>New Logo</v>
      </c>
      <c r="AG484" s="17" t="str">
        <f t="shared" si="2"/>
        <v>Lead</v>
      </c>
      <c r="AH484" s="17" t="str">
        <f t="shared" si="3"/>
        <v>0-200</v>
      </c>
      <c r="AI484" s="17" t="str">
        <f t="shared" si="4"/>
        <v>0-20</v>
      </c>
    </row>
    <row r="485" ht="15.75" customHeight="1">
      <c r="A485" s="13">
        <f>HYPERLINK("https://app.hubspot.com/contacts/8748051/record/0-3/19555520154", 19555520154)</f>
        <v>19555520154</v>
      </c>
      <c r="B485" s="14" t="s">
        <v>1708</v>
      </c>
      <c r="C485" s="14" t="s">
        <v>1008</v>
      </c>
      <c r="D485" s="15">
        <v>20000.0</v>
      </c>
      <c r="E485" s="14" t="s">
        <v>124</v>
      </c>
      <c r="F485" s="14" t="s">
        <v>51</v>
      </c>
      <c r="G485" s="16">
        <v>45435.10091435185</v>
      </c>
      <c r="H485" s="16">
        <v>45657.297638888886</v>
      </c>
      <c r="I485" s="14" t="s">
        <v>39</v>
      </c>
      <c r="J485" s="14" t="s">
        <v>40</v>
      </c>
      <c r="K485" s="14" t="s">
        <v>158</v>
      </c>
      <c r="L485" s="14" t="s">
        <v>714</v>
      </c>
      <c r="M485" s="14" t="s">
        <v>72</v>
      </c>
      <c r="N485" s="17"/>
      <c r="O485" s="14"/>
      <c r="P485" s="14"/>
      <c r="Q485" s="14" t="s">
        <v>141</v>
      </c>
      <c r="R485" s="13">
        <f>HYPERLINK("https://app.hubspot.com/contacts/8748051/record/0-2/9597010068", 9597010068)</f>
        <v>9597010068</v>
      </c>
      <c r="S485" s="18" t="s">
        <v>1709</v>
      </c>
      <c r="T485" s="18" t="s">
        <v>1710</v>
      </c>
      <c r="U485" s="14" t="s">
        <v>46</v>
      </c>
      <c r="V485" s="22"/>
      <c r="W485" s="19">
        <v>542.0</v>
      </c>
      <c r="X485" s="19">
        <v>45.0</v>
      </c>
      <c r="Y485" s="20" t="s">
        <v>104</v>
      </c>
      <c r="Z485" s="21"/>
      <c r="AA485" s="21"/>
      <c r="AB485" s="21"/>
      <c r="AC485" s="21"/>
      <c r="AD485" s="21"/>
      <c r="AE485" s="21"/>
      <c r="AF485" s="17" t="str">
        <f t="shared" si="1"/>
        <v>New Logo</v>
      </c>
      <c r="AG485" s="17" t="str">
        <f t="shared" si="2"/>
        <v>Lead</v>
      </c>
      <c r="AH485" s="17" t="str">
        <f t="shared" si="3"/>
        <v>501-1000</v>
      </c>
      <c r="AI485" s="17" t="str">
        <f t="shared" si="4"/>
        <v>21-50</v>
      </c>
    </row>
    <row r="486" ht="15.75" customHeight="1">
      <c r="A486" s="13">
        <f>HYPERLINK("https://app.hubspot.com/contacts/8748051/record/0-3/19553200478", 19553200478)</f>
        <v>19553200478</v>
      </c>
      <c r="B486" s="14" t="s">
        <v>1711</v>
      </c>
      <c r="C486" s="14" t="s">
        <v>1008</v>
      </c>
      <c r="D486" s="15">
        <v>44640.0</v>
      </c>
      <c r="E486" s="14" t="s">
        <v>118</v>
      </c>
      <c r="F486" s="14"/>
      <c r="G486" s="16">
        <v>45434.957662037035</v>
      </c>
      <c r="H486" s="16">
        <v>45618.91553240741</v>
      </c>
      <c r="I486" s="14" t="s">
        <v>39</v>
      </c>
      <c r="J486" s="14" t="s">
        <v>40</v>
      </c>
      <c r="K486" s="14" t="s">
        <v>558</v>
      </c>
      <c r="L486" s="14" t="s">
        <v>559</v>
      </c>
      <c r="M486" s="14" t="s">
        <v>98</v>
      </c>
      <c r="N486" s="14"/>
      <c r="O486" s="17"/>
      <c r="P486" s="14"/>
      <c r="Q486" s="14"/>
      <c r="R486" s="13">
        <f>HYPERLINK("https://app.hubspot.com/contacts/8748051/record/0-2/8096886339", 8096886339)</f>
        <v>8096886339</v>
      </c>
      <c r="S486" s="18" t="s">
        <v>1712</v>
      </c>
      <c r="T486" s="18" t="s">
        <v>1713</v>
      </c>
      <c r="U486" s="14" t="s">
        <v>46</v>
      </c>
      <c r="V486" s="15"/>
      <c r="W486" s="19">
        <v>1676.0</v>
      </c>
      <c r="X486" s="19">
        <v>175.0</v>
      </c>
      <c r="Y486" s="20"/>
      <c r="Z486" s="20"/>
      <c r="AA486" s="21"/>
      <c r="AB486" s="21"/>
      <c r="AC486" s="20"/>
      <c r="AD486" s="20"/>
      <c r="AE486" s="20"/>
      <c r="AF486" s="17" t="str">
        <f t="shared" si="1"/>
        <v>New Logo</v>
      </c>
      <c r="AG486" s="17" t="str">
        <f t="shared" si="2"/>
        <v>Lead</v>
      </c>
      <c r="AH486" s="17" t="str">
        <f t="shared" si="3"/>
        <v>1001-5000</v>
      </c>
      <c r="AI486" s="17" t="str">
        <f t="shared" si="4"/>
        <v>101-500</v>
      </c>
    </row>
    <row r="487" ht="15.75" customHeight="1">
      <c r="A487" s="13">
        <f>HYPERLINK("https://app.hubspot.com/contacts/8748051/record/0-3/19541444764", 19541444764)</f>
        <v>19541444764</v>
      </c>
      <c r="B487" s="14" t="s">
        <v>1714</v>
      </c>
      <c r="C487" s="14" t="s">
        <v>1008</v>
      </c>
      <c r="D487" s="15">
        <v>18480.0</v>
      </c>
      <c r="E487" s="14" t="s">
        <v>118</v>
      </c>
      <c r="F487" s="14"/>
      <c r="G487" s="16">
        <v>45434.45658564815</v>
      </c>
      <c r="H487" s="16">
        <v>45618.45637731482</v>
      </c>
      <c r="I487" s="14" t="s">
        <v>39</v>
      </c>
      <c r="J487" s="14" t="s">
        <v>40</v>
      </c>
      <c r="K487" s="14" t="s">
        <v>558</v>
      </c>
      <c r="L487" s="14" t="s">
        <v>559</v>
      </c>
      <c r="M487" s="14" t="s">
        <v>43</v>
      </c>
      <c r="N487" s="14"/>
      <c r="O487" s="14"/>
      <c r="P487" s="14"/>
      <c r="Q487" s="17"/>
      <c r="R487" s="13">
        <f>HYPERLINK("https://app.hubspot.com/contacts/8748051/record/0-2/19176594795", 19176594795)</f>
        <v>19176594795</v>
      </c>
      <c r="S487" s="14" t="s">
        <v>1715</v>
      </c>
      <c r="T487" s="18" t="s">
        <v>1716</v>
      </c>
      <c r="U487" s="14" t="s">
        <v>46</v>
      </c>
      <c r="V487" s="15"/>
      <c r="W487" s="19">
        <v>598.0</v>
      </c>
      <c r="X487" s="19">
        <v>72.0</v>
      </c>
      <c r="Y487" s="20" t="s">
        <v>104</v>
      </c>
      <c r="Z487" s="20"/>
      <c r="AA487" s="21"/>
      <c r="AB487" s="21"/>
      <c r="AC487" s="20"/>
      <c r="AD487" s="20"/>
      <c r="AE487" s="20"/>
      <c r="AF487" s="17" t="str">
        <f t="shared" si="1"/>
        <v>New Logo</v>
      </c>
      <c r="AG487" s="17" t="str">
        <f t="shared" si="2"/>
        <v>Lead</v>
      </c>
      <c r="AH487" s="17" t="str">
        <f t="shared" si="3"/>
        <v>501-1000</v>
      </c>
      <c r="AI487" s="17" t="str">
        <f t="shared" si="4"/>
        <v>51-100</v>
      </c>
    </row>
    <row r="488" ht="15.75" customHeight="1">
      <c r="A488" s="13">
        <f>HYPERLINK("https://app.hubspot.com/contacts/8748051/record/0-3/19520379064", 19520379064)</f>
        <v>19520379064</v>
      </c>
      <c r="B488" s="14" t="s">
        <v>1717</v>
      </c>
      <c r="C488" s="14" t="s">
        <v>49</v>
      </c>
      <c r="D488" s="15">
        <v>50400.0</v>
      </c>
      <c r="E488" s="14" t="s">
        <v>118</v>
      </c>
      <c r="F488" s="14"/>
      <c r="G488" s="16">
        <v>45433.65510416667</v>
      </c>
      <c r="H488" s="16">
        <v>45617.6546875</v>
      </c>
      <c r="I488" s="14" t="s">
        <v>39</v>
      </c>
      <c r="J488" s="14" t="s">
        <v>52</v>
      </c>
      <c r="K488" s="14" t="s">
        <v>1186</v>
      </c>
      <c r="L488" s="14" t="s">
        <v>559</v>
      </c>
      <c r="M488" s="14" t="s">
        <v>43</v>
      </c>
      <c r="N488" s="14"/>
      <c r="O488" s="17"/>
      <c r="P488" s="14" t="s">
        <v>119</v>
      </c>
      <c r="Q488" s="17"/>
      <c r="R488" s="13">
        <f>HYPERLINK("https://app.hubspot.com/contacts/8748051/record/0-2/51621298002", 51621298002)</f>
        <v>51621298002</v>
      </c>
      <c r="S488" s="14" t="s">
        <v>1718</v>
      </c>
      <c r="T488" s="18" t="s">
        <v>1719</v>
      </c>
      <c r="U488" s="14" t="s">
        <v>46</v>
      </c>
      <c r="V488" s="15"/>
      <c r="W488" s="19">
        <v>1431.0</v>
      </c>
      <c r="X488" s="19">
        <v>441.0</v>
      </c>
      <c r="Y488" s="20" t="s">
        <v>371</v>
      </c>
      <c r="Z488" s="20"/>
      <c r="AA488" s="21"/>
      <c r="AB488" s="21"/>
      <c r="AC488" s="20"/>
      <c r="AD488" s="21"/>
      <c r="AE488" s="20"/>
      <c r="AF488" s="17" t="str">
        <f t="shared" si="1"/>
        <v>New Logo</v>
      </c>
      <c r="AG488" s="17" t="str">
        <f t="shared" si="2"/>
        <v>Lead</v>
      </c>
      <c r="AH488" s="17" t="str">
        <f t="shared" si="3"/>
        <v>1001-5000</v>
      </c>
      <c r="AI488" s="17" t="str">
        <f t="shared" si="4"/>
        <v>101-500</v>
      </c>
    </row>
    <row r="489" ht="15.75" customHeight="1">
      <c r="A489" s="13">
        <f>HYPERLINK("https://app.hubspot.com/contacts/8748051/record/0-3/19518082666", 19518082666)</f>
        <v>19518082666</v>
      </c>
      <c r="B489" s="14" t="s">
        <v>1720</v>
      </c>
      <c r="C489" s="14" t="s">
        <v>37</v>
      </c>
      <c r="D489" s="15">
        <v>7200.0</v>
      </c>
      <c r="E489" s="14" t="s">
        <v>118</v>
      </c>
      <c r="F489" s="14"/>
      <c r="G489" s="16">
        <v>45433.58180555556</v>
      </c>
      <c r="H489" s="16">
        <v>45617.581030092595</v>
      </c>
      <c r="I489" s="14" t="s">
        <v>39</v>
      </c>
      <c r="J489" s="14" t="s">
        <v>40</v>
      </c>
      <c r="K489" s="14" t="s">
        <v>558</v>
      </c>
      <c r="L489" s="14" t="s">
        <v>559</v>
      </c>
      <c r="M489" s="14" t="s">
        <v>43</v>
      </c>
      <c r="N489" s="17"/>
      <c r="O489" s="14"/>
      <c r="P489" s="14"/>
      <c r="Q489" s="17"/>
      <c r="R489" s="13">
        <f>HYPERLINK("https://app.hubspot.com/contacts/8748051/record/0-2/7648495778", 7648495778)</f>
        <v>7648495778</v>
      </c>
      <c r="S489" s="14" t="s">
        <v>1721</v>
      </c>
      <c r="T489" s="18" t="s">
        <v>1722</v>
      </c>
      <c r="U489" s="14" t="s">
        <v>46</v>
      </c>
      <c r="V489" s="15"/>
      <c r="W489" s="19">
        <v>139.0</v>
      </c>
      <c r="X489" s="19">
        <v>24.0</v>
      </c>
      <c r="Y489" s="20" t="s">
        <v>104</v>
      </c>
      <c r="Z489" s="20"/>
      <c r="AA489" s="21"/>
      <c r="AB489" s="21"/>
      <c r="AC489" s="20"/>
      <c r="AD489" s="21"/>
      <c r="AE489" s="20"/>
      <c r="AF489" s="17" t="str">
        <f t="shared" si="1"/>
        <v>New Logo</v>
      </c>
      <c r="AG489" s="17" t="str">
        <f t="shared" si="2"/>
        <v>Lead</v>
      </c>
      <c r="AH489" s="17" t="str">
        <f t="shared" si="3"/>
        <v>0-200</v>
      </c>
      <c r="AI489" s="17" t="str">
        <f t="shared" si="4"/>
        <v>21-50</v>
      </c>
    </row>
    <row r="490" ht="15.75" customHeight="1">
      <c r="A490" s="13">
        <f>HYPERLINK("https://app.hubspot.com/contacts/8748051/record/0-3/19516319289", 19516319289)</f>
        <v>19516319289</v>
      </c>
      <c r="B490" s="14" t="s">
        <v>1723</v>
      </c>
      <c r="C490" s="14" t="s">
        <v>37</v>
      </c>
      <c r="D490" s="15">
        <v>2880.0</v>
      </c>
      <c r="E490" s="14" t="s">
        <v>118</v>
      </c>
      <c r="F490" s="14"/>
      <c r="G490" s="16">
        <v>45433.48568287037</v>
      </c>
      <c r="H490" s="16">
        <v>45617.485243055555</v>
      </c>
      <c r="I490" s="14" t="s">
        <v>39</v>
      </c>
      <c r="J490" s="14" t="s">
        <v>40</v>
      </c>
      <c r="K490" s="14" t="s">
        <v>1186</v>
      </c>
      <c r="L490" s="14" t="s">
        <v>175</v>
      </c>
      <c r="M490" s="14" t="s">
        <v>43</v>
      </c>
      <c r="N490" s="17"/>
      <c r="O490" s="14"/>
      <c r="P490" s="14"/>
      <c r="Q490" s="14"/>
      <c r="R490" s="13">
        <f>HYPERLINK("https://app.hubspot.com/contacts/8748051/record/0-2/19176318013", 19176318013)</f>
        <v>19176318013</v>
      </c>
      <c r="S490" s="14" t="s">
        <v>1724</v>
      </c>
      <c r="T490" s="18" t="s">
        <v>1725</v>
      </c>
      <c r="U490" s="14" t="s">
        <v>46</v>
      </c>
      <c r="V490" s="22"/>
      <c r="W490" s="19">
        <v>152.0</v>
      </c>
      <c r="X490" s="19">
        <v>17.0</v>
      </c>
      <c r="Y490" s="20" t="s">
        <v>104</v>
      </c>
      <c r="Z490" s="21"/>
      <c r="AA490" s="21"/>
      <c r="AB490" s="21"/>
      <c r="AC490" s="21"/>
      <c r="AD490" s="21"/>
      <c r="AE490" s="21"/>
      <c r="AF490" s="17" t="str">
        <f t="shared" si="1"/>
        <v>New Logo</v>
      </c>
      <c r="AG490" s="17" t="str">
        <f t="shared" si="2"/>
        <v>Lead</v>
      </c>
      <c r="AH490" s="17" t="str">
        <f t="shared" si="3"/>
        <v>0-200</v>
      </c>
      <c r="AI490" s="17" t="str">
        <f t="shared" si="4"/>
        <v>0-20</v>
      </c>
    </row>
    <row r="491" ht="15.75" customHeight="1">
      <c r="A491" s="13">
        <f>HYPERLINK("https://app.hubspot.com/contacts/8748051/record/0-3/19511918986", 19511918986)</f>
        <v>19511918986</v>
      </c>
      <c r="B491" s="14" t="s">
        <v>1726</v>
      </c>
      <c r="C491" s="14" t="s">
        <v>49</v>
      </c>
      <c r="D491" s="15">
        <v>57360.0</v>
      </c>
      <c r="E491" s="14" t="s">
        <v>118</v>
      </c>
      <c r="F491" s="14"/>
      <c r="G491" s="16">
        <v>45433.37836805556</v>
      </c>
      <c r="H491" s="16">
        <v>45617.37818287037</v>
      </c>
      <c r="I491" s="14" t="s">
        <v>39</v>
      </c>
      <c r="J491" s="14" t="s">
        <v>52</v>
      </c>
      <c r="K491" s="14" t="s">
        <v>1186</v>
      </c>
      <c r="L491" s="14" t="s">
        <v>175</v>
      </c>
      <c r="M491" s="14" t="s">
        <v>43</v>
      </c>
      <c r="N491" s="17"/>
      <c r="O491" s="14"/>
      <c r="P491" s="14"/>
      <c r="Q491" s="14"/>
      <c r="R491" s="13">
        <f>HYPERLINK("https://app.hubspot.com/contacts/8748051/record/0-2/9227944800", 9227944800)</f>
        <v>9227944800</v>
      </c>
      <c r="S491" s="14" t="s">
        <v>1727</v>
      </c>
      <c r="T491" s="18" t="s">
        <v>1728</v>
      </c>
      <c r="U491" s="14" t="s">
        <v>46</v>
      </c>
      <c r="V491" s="22"/>
      <c r="W491" s="19">
        <v>1769.0</v>
      </c>
      <c r="X491" s="19">
        <v>232.0</v>
      </c>
      <c r="Y491" s="20" t="s">
        <v>104</v>
      </c>
      <c r="Z491" s="21"/>
      <c r="AA491" s="21"/>
      <c r="AB491" s="21"/>
      <c r="AC491" s="21"/>
      <c r="AD491" s="21"/>
      <c r="AE491" s="21"/>
      <c r="AF491" s="17" t="str">
        <f t="shared" si="1"/>
        <v>New Logo</v>
      </c>
      <c r="AG491" s="17" t="str">
        <f t="shared" si="2"/>
        <v>Lead</v>
      </c>
      <c r="AH491" s="17" t="str">
        <f t="shared" si="3"/>
        <v>1001-5000</v>
      </c>
      <c r="AI491" s="17" t="str">
        <f t="shared" si="4"/>
        <v>101-500</v>
      </c>
    </row>
    <row r="492" ht="15.75" customHeight="1">
      <c r="A492" s="13">
        <f>HYPERLINK("https://app.hubspot.com/contacts/8748051/record/0-3/19498556300", 19498556300)</f>
        <v>19498556300</v>
      </c>
      <c r="B492" s="14" t="s">
        <v>1729</v>
      </c>
      <c r="C492" s="14" t="s">
        <v>49</v>
      </c>
      <c r="D492" s="15">
        <v>40000.0</v>
      </c>
      <c r="E492" s="14" t="s">
        <v>146</v>
      </c>
      <c r="F492" s="14" t="s">
        <v>51</v>
      </c>
      <c r="G492" s="16">
        <v>45432.71570601852</v>
      </c>
      <c r="H492" s="16">
        <v>45454.45381944445</v>
      </c>
      <c r="I492" s="14" t="s">
        <v>39</v>
      </c>
      <c r="J492" s="14" t="s">
        <v>52</v>
      </c>
      <c r="K492" s="14" t="s">
        <v>41</v>
      </c>
      <c r="L492" s="14" t="s">
        <v>42</v>
      </c>
      <c r="M492" s="14" t="s">
        <v>43</v>
      </c>
      <c r="N492" s="14"/>
      <c r="O492" s="14" t="s">
        <v>1730</v>
      </c>
      <c r="P492" s="14"/>
      <c r="Q492" s="14"/>
      <c r="R492" s="13">
        <f>HYPERLINK("https://app.hubspot.com/contacts/8748051/record/0-2/7647906153", 7647906153)</f>
        <v>7647906153</v>
      </c>
      <c r="S492" s="14" t="s">
        <v>1731</v>
      </c>
      <c r="T492" s="18" t="s">
        <v>1732</v>
      </c>
      <c r="U492" s="14" t="s">
        <v>46</v>
      </c>
      <c r="V492" s="15"/>
      <c r="W492" s="19">
        <v>693.0</v>
      </c>
      <c r="X492" s="19">
        <v>62.0</v>
      </c>
      <c r="Y492" s="20" t="s">
        <v>70</v>
      </c>
      <c r="Z492" s="20"/>
      <c r="AA492" s="21"/>
      <c r="AB492" s="21"/>
      <c r="AC492" s="20"/>
      <c r="AD492" s="20"/>
      <c r="AE492" s="20"/>
      <c r="AF492" s="17" t="str">
        <f t="shared" si="1"/>
        <v>New Logo</v>
      </c>
      <c r="AG492" s="17" t="str">
        <f t="shared" si="2"/>
        <v>Lead</v>
      </c>
      <c r="AH492" s="17" t="str">
        <f t="shared" si="3"/>
        <v>501-1000</v>
      </c>
      <c r="AI492" s="17" t="str">
        <f t="shared" si="4"/>
        <v>51-100</v>
      </c>
    </row>
    <row r="493" ht="15.75" customHeight="1">
      <c r="A493" s="13">
        <f>HYPERLINK("https://app.hubspot.com/contacts/8748051/record/0-3/19486725196", 19486725196)</f>
        <v>19486725196</v>
      </c>
      <c r="B493" s="14" t="s">
        <v>1733</v>
      </c>
      <c r="C493" s="14" t="s">
        <v>1008</v>
      </c>
      <c r="D493" s="15">
        <v>10000.0</v>
      </c>
      <c r="E493" s="14" t="s">
        <v>124</v>
      </c>
      <c r="F493" s="14" t="s">
        <v>51</v>
      </c>
      <c r="G493" s="16">
        <v>45432.12741898148</v>
      </c>
      <c r="H493" s="16">
        <v>45503.12599537037</v>
      </c>
      <c r="I493" s="14" t="s">
        <v>39</v>
      </c>
      <c r="J493" s="14" t="s">
        <v>40</v>
      </c>
      <c r="K493" s="14" t="s">
        <v>41</v>
      </c>
      <c r="L493" s="14" t="s">
        <v>42</v>
      </c>
      <c r="M493" s="14" t="s">
        <v>98</v>
      </c>
      <c r="N493" s="14"/>
      <c r="O493" s="14"/>
      <c r="P493" s="14"/>
      <c r="Q493" s="14" t="s">
        <v>195</v>
      </c>
      <c r="R493" s="13">
        <f>HYPERLINK("https://app.hubspot.com/contacts/8748051/record/0-2/20897315186", 20897315186)</f>
        <v>20897315186</v>
      </c>
      <c r="S493" s="14" t="s">
        <v>1734</v>
      </c>
      <c r="T493" s="18" t="s">
        <v>1735</v>
      </c>
      <c r="U493" s="14" t="s">
        <v>46</v>
      </c>
      <c r="V493" s="15"/>
      <c r="W493" s="19">
        <v>548.0</v>
      </c>
      <c r="X493" s="19">
        <v>18.0</v>
      </c>
      <c r="Y493" s="20"/>
      <c r="Z493" s="20"/>
      <c r="AA493" s="21"/>
      <c r="AB493" s="21"/>
      <c r="AC493" s="20"/>
      <c r="AD493" s="20"/>
      <c r="AE493" s="20"/>
      <c r="AF493" s="17" t="str">
        <f t="shared" si="1"/>
        <v>New Logo</v>
      </c>
      <c r="AG493" s="17" t="str">
        <f t="shared" si="2"/>
        <v>Lead</v>
      </c>
      <c r="AH493" s="17" t="str">
        <f t="shared" si="3"/>
        <v>501-1000</v>
      </c>
      <c r="AI493" s="17" t="str">
        <f t="shared" si="4"/>
        <v>0-20</v>
      </c>
    </row>
    <row r="494" ht="15.75" customHeight="1">
      <c r="A494" s="13">
        <f>HYPERLINK("https://app.hubspot.com/contacts/8748051/record/0-3/19474969734", 19474969734)</f>
        <v>19474969734</v>
      </c>
      <c r="B494" s="14" t="s">
        <v>1736</v>
      </c>
      <c r="C494" s="14" t="s">
        <v>49</v>
      </c>
      <c r="D494" s="15">
        <v>10000.0</v>
      </c>
      <c r="E494" s="14" t="s">
        <v>146</v>
      </c>
      <c r="F494" s="14" t="s">
        <v>51</v>
      </c>
      <c r="G494" s="16">
        <v>45431.45416666667</v>
      </c>
      <c r="H494" s="16">
        <v>45509.30163194444</v>
      </c>
      <c r="I494" s="14" t="s">
        <v>39</v>
      </c>
      <c r="J494" s="14" t="s">
        <v>40</v>
      </c>
      <c r="K494" s="14" t="s">
        <v>41</v>
      </c>
      <c r="L494" s="14" t="s">
        <v>42</v>
      </c>
      <c r="M494" s="14" t="s">
        <v>98</v>
      </c>
      <c r="N494" s="14"/>
      <c r="O494" s="14" t="s">
        <v>1737</v>
      </c>
      <c r="P494" s="14"/>
      <c r="Q494" s="14"/>
      <c r="R494" s="13">
        <f>HYPERLINK("https://app.hubspot.com/contacts/8748051/record/0-2/18303139897", 18303139897)</f>
        <v>18303139897</v>
      </c>
      <c r="S494" s="14" t="s">
        <v>1738</v>
      </c>
      <c r="T494" s="18" t="s">
        <v>1739</v>
      </c>
      <c r="U494" s="14" t="s">
        <v>46</v>
      </c>
      <c r="V494" s="15"/>
      <c r="W494" s="19">
        <v>216.0</v>
      </c>
      <c r="X494" s="19">
        <v>26.0</v>
      </c>
      <c r="Y494" s="20" t="s">
        <v>1740</v>
      </c>
      <c r="Z494" s="20"/>
      <c r="AA494" s="20"/>
      <c r="AB494" s="21"/>
      <c r="AC494" s="20"/>
      <c r="AD494" s="21"/>
      <c r="AE494" s="20"/>
      <c r="AF494" s="17" t="str">
        <f t="shared" si="1"/>
        <v>New Logo</v>
      </c>
      <c r="AG494" s="17" t="str">
        <f t="shared" si="2"/>
        <v>Lead</v>
      </c>
      <c r="AH494" s="17" t="str">
        <f t="shared" si="3"/>
        <v>201-500</v>
      </c>
      <c r="AI494" s="17" t="str">
        <f t="shared" si="4"/>
        <v>21-50</v>
      </c>
    </row>
    <row r="495" ht="15.75" customHeight="1">
      <c r="A495" s="13">
        <f>HYPERLINK("https://app.hubspot.com/contacts/8748051/record/0-3/19440631842", 19440631842)</f>
        <v>19440631842</v>
      </c>
      <c r="B495" s="14" t="s">
        <v>1741</v>
      </c>
      <c r="C495" s="14" t="s">
        <v>145</v>
      </c>
      <c r="D495" s="15">
        <v>2400.0</v>
      </c>
      <c r="E495" s="14" t="s">
        <v>118</v>
      </c>
      <c r="F495" s="14"/>
      <c r="G495" s="16">
        <v>45429.557916666665</v>
      </c>
      <c r="H495" s="16">
        <v>45613.55777777778</v>
      </c>
      <c r="I495" s="14" t="s">
        <v>39</v>
      </c>
      <c r="J495" s="14" t="s">
        <v>40</v>
      </c>
      <c r="K495" s="14" t="s">
        <v>558</v>
      </c>
      <c r="L495" s="14" t="s">
        <v>559</v>
      </c>
      <c r="M495" s="14"/>
      <c r="N495" s="17"/>
      <c r="O495" s="17"/>
      <c r="P495" s="14" t="s">
        <v>260</v>
      </c>
      <c r="Q495" s="14"/>
      <c r="R495" s="13">
        <f>HYPERLINK("https://app.hubspot.com/contacts/8748051/record/0-2/19176703400", 19176703400)</f>
        <v>19176703400</v>
      </c>
      <c r="S495" s="14" t="s">
        <v>1742</v>
      </c>
      <c r="T495" s="14" t="s">
        <v>1743</v>
      </c>
      <c r="U495" s="14" t="s">
        <v>46</v>
      </c>
      <c r="V495" s="22"/>
      <c r="W495" s="19">
        <v>54.0</v>
      </c>
      <c r="X495" s="19">
        <v>9.0</v>
      </c>
      <c r="Y495" s="20"/>
      <c r="Z495" s="21"/>
      <c r="AA495" s="21"/>
      <c r="AB495" s="21"/>
      <c r="AC495" s="21"/>
      <c r="AD495" s="21"/>
      <c r="AE495" s="21"/>
      <c r="AF495" s="17" t="str">
        <f t="shared" si="1"/>
        <v>New Logo</v>
      </c>
      <c r="AG495" s="17" t="str">
        <f t="shared" si="2"/>
        <v>Lead</v>
      </c>
      <c r="AH495" s="17" t="str">
        <f t="shared" si="3"/>
        <v>0-200</v>
      </c>
      <c r="AI495" s="17" t="str">
        <f t="shared" si="4"/>
        <v>0-20</v>
      </c>
    </row>
    <row r="496" ht="15.75" customHeight="1">
      <c r="A496" s="13">
        <f>HYPERLINK("https://app.hubspot.com/contacts/8748051/record/0-3/19433554088", 19433554088)</f>
        <v>19433554088</v>
      </c>
      <c r="B496" s="14" t="s">
        <v>1744</v>
      </c>
      <c r="C496" s="14" t="s">
        <v>1008</v>
      </c>
      <c r="D496" s="15">
        <v>3120.0</v>
      </c>
      <c r="E496" s="14" t="s">
        <v>118</v>
      </c>
      <c r="F496" s="14"/>
      <c r="G496" s="16">
        <v>45429.31454861111</v>
      </c>
      <c r="H496" s="16">
        <v>45613.27241898148</v>
      </c>
      <c r="I496" s="14" t="s">
        <v>39</v>
      </c>
      <c r="J496" s="14" t="s">
        <v>40</v>
      </c>
      <c r="K496" s="14" t="s">
        <v>558</v>
      </c>
      <c r="L496" s="14" t="s">
        <v>559</v>
      </c>
      <c r="M496" s="14" t="s">
        <v>98</v>
      </c>
      <c r="N496" s="17"/>
      <c r="O496" s="14"/>
      <c r="P496" s="14" t="s">
        <v>232</v>
      </c>
      <c r="Q496" s="14"/>
      <c r="R496" s="13">
        <f>HYPERLINK("https://app.hubspot.com/contacts/8748051/record/0-2/19176224837", 19176224837)</f>
        <v>19176224837</v>
      </c>
      <c r="S496" s="14" t="s">
        <v>1745</v>
      </c>
      <c r="T496" s="18" t="s">
        <v>1746</v>
      </c>
      <c r="U496" s="14" t="s">
        <v>46</v>
      </c>
      <c r="V496" s="22"/>
      <c r="W496" s="19">
        <v>53.0</v>
      </c>
      <c r="X496" s="19">
        <v>14.0</v>
      </c>
      <c r="Y496" s="20"/>
      <c r="Z496" s="21"/>
      <c r="AA496" s="21"/>
      <c r="AB496" s="21"/>
      <c r="AC496" s="21"/>
      <c r="AD496" s="21"/>
      <c r="AE496" s="21"/>
      <c r="AF496" s="17" t="str">
        <f t="shared" si="1"/>
        <v>New Logo</v>
      </c>
      <c r="AG496" s="17" t="str">
        <f t="shared" si="2"/>
        <v>Lead</v>
      </c>
      <c r="AH496" s="17" t="str">
        <f t="shared" si="3"/>
        <v>0-200</v>
      </c>
      <c r="AI496" s="17" t="str">
        <f t="shared" si="4"/>
        <v>0-20</v>
      </c>
    </row>
    <row r="497" ht="15.75" customHeight="1">
      <c r="A497" s="13">
        <f>HYPERLINK("https://app.hubspot.com/contacts/8748051/record/0-3/19384395654", 19384395654)</f>
        <v>19384395654</v>
      </c>
      <c r="B497" s="14" t="s">
        <v>1747</v>
      </c>
      <c r="C497" s="14" t="s">
        <v>1008</v>
      </c>
      <c r="D497" s="15">
        <v>139920.0</v>
      </c>
      <c r="E497" s="14" t="s">
        <v>118</v>
      </c>
      <c r="F497" s="14"/>
      <c r="G497" s="16">
        <v>45427.3900462963</v>
      </c>
      <c r="H497" s="16">
        <v>45611.38967592592</v>
      </c>
      <c r="I497" s="14" t="s">
        <v>39</v>
      </c>
      <c r="J497" s="14" t="s">
        <v>52</v>
      </c>
      <c r="K497" s="14" t="s">
        <v>41</v>
      </c>
      <c r="L497" s="14" t="s">
        <v>42</v>
      </c>
      <c r="M497" s="14" t="s">
        <v>43</v>
      </c>
      <c r="N497" s="17"/>
      <c r="O497" s="14"/>
      <c r="P497" s="14"/>
      <c r="Q497" s="14"/>
      <c r="R497" s="13">
        <f>HYPERLINK("https://app.hubspot.com/contacts/8748051/record/0-2/20789157299", 20789157299)</f>
        <v>20789157299</v>
      </c>
      <c r="S497" s="14" t="s">
        <v>1748</v>
      </c>
      <c r="T497" s="18" t="s">
        <v>1749</v>
      </c>
      <c r="U497" s="14" t="s">
        <v>46</v>
      </c>
      <c r="V497" s="22"/>
      <c r="W497" s="19">
        <v>7296.0</v>
      </c>
      <c r="X497" s="19">
        <v>796.0</v>
      </c>
      <c r="Y497" s="20" t="s">
        <v>104</v>
      </c>
      <c r="Z497" s="21"/>
      <c r="AA497" s="21"/>
      <c r="AB497" s="21"/>
      <c r="AC497" s="21"/>
      <c r="AD497" s="21"/>
      <c r="AE497" s="21"/>
      <c r="AF497" s="17" t="str">
        <f t="shared" si="1"/>
        <v>New Logo</v>
      </c>
      <c r="AG497" s="17" t="str">
        <f t="shared" si="2"/>
        <v>Lead</v>
      </c>
      <c r="AH497" s="17" t="str">
        <f t="shared" si="3"/>
        <v>5000-10000</v>
      </c>
      <c r="AI497" s="17" t="str">
        <f t="shared" si="4"/>
        <v>500+</v>
      </c>
    </row>
    <row r="498" ht="15.75" customHeight="1">
      <c r="A498" s="13">
        <f>HYPERLINK("https://app.hubspot.com/contacts/8748051/record/0-3/19382542690", 19382542690)</f>
        <v>19382542690</v>
      </c>
      <c r="B498" s="14" t="s">
        <v>1750</v>
      </c>
      <c r="C498" s="14" t="s">
        <v>1008</v>
      </c>
      <c r="D498" s="15">
        <v>60000.0</v>
      </c>
      <c r="E498" s="14" t="s">
        <v>146</v>
      </c>
      <c r="F498" s="14" t="s">
        <v>51</v>
      </c>
      <c r="G498" s="16">
        <v>45427.33987268519</v>
      </c>
      <c r="H498" s="16">
        <v>45719.379594907405</v>
      </c>
      <c r="I498" s="14" t="s">
        <v>39</v>
      </c>
      <c r="J498" s="14" t="s">
        <v>40</v>
      </c>
      <c r="K498" s="14" t="s">
        <v>1186</v>
      </c>
      <c r="L498" s="14" t="s">
        <v>559</v>
      </c>
      <c r="M498" s="14" t="s">
        <v>43</v>
      </c>
      <c r="N498" s="17"/>
      <c r="O498" s="14" t="s">
        <v>1751</v>
      </c>
      <c r="P498" s="14"/>
      <c r="Q498" s="14"/>
      <c r="R498" s="13">
        <f>HYPERLINK("https://app.hubspot.com/contacts/8748051/record/0-2/19634895107", 19634895107)</f>
        <v>19634895107</v>
      </c>
      <c r="S498" s="14" t="s">
        <v>1752</v>
      </c>
      <c r="T498" s="18" t="s">
        <v>1753</v>
      </c>
      <c r="U498" s="14" t="s">
        <v>46</v>
      </c>
      <c r="V498" s="22"/>
      <c r="W498" s="19">
        <v>707.0</v>
      </c>
      <c r="X498" s="19">
        <v>115.0</v>
      </c>
      <c r="Y498" s="20" t="s">
        <v>63</v>
      </c>
      <c r="Z498" s="21"/>
      <c r="AA498" s="21"/>
      <c r="AB498" s="21"/>
      <c r="AC498" s="21"/>
      <c r="AD498" s="21"/>
      <c r="AE498" s="21"/>
      <c r="AF498" s="17" t="str">
        <f t="shared" si="1"/>
        <v>New Logo</v>
      </c>
      <c r="AG498" s="17" t="str">
        <f t="shared" si="2"/>
        <v>Lead</v>
      </c>
      <c r="AH498" s="17" t="str">
        <f t="shared" si="3"/>
        <v>501-1000</v>
      </c>
      <c r="AI498" s="17" t="str">
        <f t="shared" si="4"/>
        <v>101-500</v>
      </c>
    </row>
    <row r="499" ht="15.75" customHeight="1">
      <c r="A499" s="13">
        <f>HYPERLINK("https://app.hubspot.com/contacts/8748051/record/0-3/19382287200", 19382287200)</f>
        <v>19382287200</v>
      </c>
      <c r="B499" s="14" t="s">
        <v>1754</v>
      </c>
      <c r="C499" s="14" t="s">
        <v>1008</v>
      </c>
      <c r="D499" s="15">
        <v>16080.0</v>
      </c>
      <c r="E499" s="14" t="s">
        <v>118</v>
      </c>
      <c r="F499" s="14"/>
      <c r="G499" s="16">
        <v>45427.33863425926</v>
      </c>
      <c r="H499" s="16">
        <v>45611.29651620371</v>
      </c>
      <c r="I499" s="14" t="s">
        <v>39</v>
      </c>
      <c r="J499" s="14" t="s">
        <v>40</v>
      </c>
      <c r="K499" s="14" t="s">
        <v>1186</v>
      </c>
      <c r="L499" s="14" t="s">
        <v>559</v>
      </c>
      <c r="M499" s="14" t="s">
        <v>43</v>
      </c>
      <c r="N499" s="17"/>
      <c r="O499" s="14"/>
      <c r="P499" s="14" t="s">
        <v>232</v>
      </c>
      <c r="Q499" s="14"/>
      <c r="R499" s="13">
        <f>HYPERLINK("https://app.hubspot.com/contacts/8748051/record/0-2/10038650925", 10038650925)</f>
        <v>10038650925</v>
      </c>
      <c r="S499" s="14" t="s">
        <v>1755</v>
      </c>
      <c r="T499" s="18" t="s">
        <v>1756</v>
      </c>
      <c r="U499" s="14" t="s">
        <v>46</v>
      </c>
      <c r="V499" s="22"/>
      <c r="W499" s="19">
        <v>2774.0</v>
      </c>
      <c r="X499" s="19">
        <v>91.0</v>
      </c>
      <c r="Y499" s="20" t="s">
        <v>63</v>
      </c>
      <c r="Z499" s="21"/>
      <c r="AA499" s="21"/>
      <c r="AB499" s="21"/>
      <c r="AC499" s="21"/>
      <c r="AD499" s="21"/>
      <c r="AE499" s="21"/>
      <c r="AF499" s="17" t="str">
        <f t="shared" si="1"/>
        <v>New Logo</v>
      </c>
      <c r="AG499" s="17" t="str">
        <f t="shared" si="2"/>
        <v>Lead</v>
      </c>
      <c r="AH499" s="17" t="str">
        <f t="shared" si="3"/>
        <v>1001-5000</v>
      </c>
      <c r="AI499" s="17" t="str">
        <f t="shared" si="4"/>
        <v>51-100</v>
      </c>
    </row>
    <row r="500" ht="15.75" customHeight="1">
      <c r="A500" s="13">
        <f>HYPERLINK("https://app.hubspot.com/contacts/8748051/record/0-3/19379967092", 19379967092)</f>
        <v>19379967092</v>
      </c>
      <c r="B500" s="14" t="s">
        <v>1757</v>
      </c>
      <c r="C500" s="14" t="s">
        <v>1008</v>
      </c>
      <c r="D500" s="15">
        <v>18000.0</v>
      </c>
      <c r="E500" s="14" t="s">
        <v>118</v>
      </c>
      <c r="F500" s="14"/>
      <c r="G500" s="16">
        <v>45427.2277662037</v>
      </c>
      <c r="H500" s="16">
        <v>45611.18556712963</v>
      </c>
      <c r="I500" s="14" t="s">
        <v>39</v>
      </c>
      <c r="J500" s="14" t="s">
        <v>40</v>
      </c>
      <c r="K500" s="14" t="s">
        <v>59</v>
      </c>
      <c r="L500" s="14" t="s">
        <v>175</v>
      </c>
      <c r="M500" s="14" t="s">
        <v>72</v>
      </c>
      <c r="N500" s="17"/>
      <c r="O500" s="17"/>
      <c r="P500" s="14"/>
      <c r="Q500" s="14"/>
      <c r="R500" s="13">
        <f>HYPERLINK("https://app.hubspot.com/contacts/8748051/record/0-2/19176328886", 19176328886)</f>
        <v>19176328886</v>
      </c>
      <c r="S500" s="14" t="s">
        <v>1758</v>
      </c>
      <c r="T500" s="18" t="s">
        <v>1759</v>
      </c>
      <c r="U500" s="14" t="s">
        <v>46</v>
      </c>
      <c r="V500" s="22"/>
      <c r="W500" s="19">
        <v>414.0</v>
      </c>
      <c r="X500" s="19">
        <v>160.0</v>
      </c>
      <c r="Y500" s="20" t="s">
        <v>70</v>
      </c>
      <c r="Z500" s="21"/>
      <c r="AA500" s="21"/>
      <c r="AB500" s="21"/>
      <c r="AC500" s="21"/>
      <c r="AD500" s="21"/>
      <c r="AE500" s="21"/>
      <c r="AF500" s="17" t="str">
        <f t="shared" si="1"/>
        <v>New Logo</v>
      </c>
      <c r="AG500" s="17" t="str">
        <f t="shared" si="2"/>
        <v>Lead</v>
      </c>
      <c r="AH500" s="17" t="str">
        <f t="shared" si="3"/>
        <v>201-500</v>
      </c>
      <c r="AI500" s="17" t="str">
        <f t="shared" si="4"/>
        <v>101-500</v>
      </c>
    </row>
    <row r="501" ht="15.75" customHeight="1">
      <c r="A501" s="13">
        <f>HYPERLINK("https://app.hubspot.com/contacts/8748051/record/0-3/19346662583", 19346662583)</f>
        <v>19346662583</v>
      </c>
      <c r="B501" s="14" t="s">
        <v>1760</v>
      </c>
      <c r="C501" s="14" t="s">
        <v>1008</v>
      </c>
      <c r="D501" s="15">
        <v>15360.0</v>
      </c>
      <c r="E501" s="14" t="s">
        <v>118</v>
      </c>
      <c r="F501" s="14"/>
      <c r="G501" s="16">
        <v>45426.06431712963</v>
      </c>
      <c r="H501" s="16">
        <v>45610.02193287037</v>
      </c>
      <c r="I501" s="14" t="s">
        <v>39</v>
      </c>
      <c r="J501" s="14" t="s">
        <v>40</v>
      </c>
      <c r="K501" s="14" t="s">
        <v>558</v>
      </c>
      <c r="L501" s="14" t="s">
        <v>559</v>
      </c>
      <c r="M501" s="14" t="s">
        <v>72</v>
      </c>
      <c r="N501" s="17"/>
      <c r="O501" s="17"/>
      <c r="P501" s="14"/>
      <c r="Q501" s="14"/>
      <c r="R501" s="13">
        <f>HYPERLINK("https://app.hubspot.com/contacts/8748051/record/0-2/14810315681", 14810315681)</f>
        <v>14810315681</v>
      </c>
      <c r="S501" s="14" t="s">
        <v>1761</v>
      </c>
      <c r="T501" s="18" t="s">
        <v>1762</v>
      </c>
      <c r="U501" s="14" t="s">
        <v>46</v>
      </c>
      <c r="V501" s="22"/>
      <c r="W501" s="19">
        <v>685.0</v>
      </c>
      <c r="X501" s="19">
        <v>66.0</v>
      </c>
      <c r="Y501" s="20"/>
      <c r="Z501" s="21"/>
      <c r="AA501" s="21"/>
      <c r="AB501" s="21"/>
      <c r="AC501" s="21"/>
      <c r="AD501" s="21"/>
      <c r="AE501" s="21"/>
      <c r="AF501" s="17" t="str">
        <f t="shared" si="1"/>
        <v>New Logo</v>
      </c>
      <c r="AG501" s="17" t="str">
        <f t="shared" si="2"/>
        <v>Lead</v>
      </c>
      <c r="AH501" s="17" t="str">
        <f t="shared" si="3"/>
        <v>501-1000</v>
      </c>
      <c r="AI501" s="17" t="str">
        <f t="shared" si="4"/>
        <v>51-100</v>
      </c>
    </row>
    <row r="502" ht="15.75" customHeight="1">
      <c r="A502" s="13">
        <f>HYPERLINK("https://app.hubspot.com/contacts/8748051/record/0-3/19326424371", 19326424371)</f>
        <v>19326424371</v>
      </c>
      <c r="B502" s="14" t="s">
        <v>1763</v>
      </c>
      <c r="C502" s="14" t="s">
        <v>1008</v>
      </c>
      <c r="D502" s="15">
        <v>80000.0</v>
      </c>
      <c r="E502" s="14" t="s">
        <v>124</v>
      </c>
      <c r="F502" s="14" t="s">
        <v>51</v>
      </c>
      <c r="G502" s="16">
        <v>45425.444131944445</v>
      </c>
      <c r="H502" s="16">
        <v>45609.443564814814</v>
      </c>
      <c r="I502" s="14" t="s">
        <v>39</v>
      </c>
      <c r="J502" s="14" t="s">
        <v>52</v>
      </c>
      <c r="K502" s="14" t="s">
        <v>1186</v>
      </c>
      <c r="L502" s="14" t="s">
        <v>175</v>
      </c>
      <c r="M502" s="14" t="s">
        <v>43</v>
      </c>
      <c r="N502" s="14"/>
      <c r="O502" s="17"/>
      <c r="P502" s="14"/>
      <c r="Q502" s="14" t="s">
        <v>236</v>
      </c>
      <c r="R502" s="13">
        <f>HYPERLINK("https://app.hubspot.com/contacts/8748051/record/0-2/5851187747", 5851187747)</f>
        <v>5851187747</v>
      </c>
      <c r="S502" s="14" t="s">
        <v>1764</v>
      </c>
      <c r="T502" s="18" t="s">
        <v>1765</v>
      </c>
      <c r="U502" s="14" t="s">
        <v>46</v>
      </c>
      <c r="V502" s="15"/>
      <c r="W502" s="19">
        <v>1504.0</v>
      </c>
      <c r="X502" s="19">
        <v>587.0</v>
      </c>
      <c r="Y502" s="20" t="s">
        <v>545</v>
      </c>
      <c r="Z502" s="20"/>
      <c r="AA502" s="21"/>
      <c r="AB502" s="21"/>
      <c r="AC502" s="20"/>
      <c r="AD502" s="20"/>
      <c r="AE502" s="20"/>
      <c r="AF502" s="17" t="str">
        <f t="shared" si="1"/>
        <v>New Logo</v>
      </c>
      <c r="AG502" s="17" t="str">
        <f t="shared" si="2"/>
        <v>Lead</v>
      </c>
      <c r="AH502" s="17" t="str">
        <f t="shared" si="3"/>
        <v>1001-5000</v>
      </c>
      <c r="AI502" s="17" t="str">
        <f t="shared" si="4"/>
        <v>500+</v>
      </c>
    </row>
    <row r="503" ht="15.75" customHeight="1">
      <c r="A503" s="13">
        <f>HYPERLINK("https://app.hubspot.com/contacts/8748051/record/0-3/19326413229", 19326413229)</f>
        <v>19326413229</v>
      </c>
      <c r="B503" s="14" t="s">
        <v>1766</v>
      </c>
      <c r="C503" s="14" t="s">
        <v>1008</v>
      </c>
      <c r="D503" s="15">
        <v>6000.0</v>
      </c>
      <c r="E503" s="14" t="s">
        <v>124</v>
      </c>
      <c r="F503" s="14" t="s">
        <v>51</v>
      </c>
      <c r="G503" s="16">
        <v>45425.44296296296</v>
      </c>
      <c r="H503" s="16">
        <v>45609.44241898148</v>
      </c>
      <c r="I503" s="14" t="s">
        <v>39</v>
      </c>
      <c r="J503" s="14" t="s">
        <v>40</v>
      </c>
      <c r="K503" s="14" t="s">
        <v>558</v>
      </c>
      <c r="L503" s="14" t="s">
        <v>559</v>
      </c>
      <c r="M503" s="14" t="s">
        <v>43</v>
      </c>
      <c r="N503" s="14"/>
      <c r="O503" s="17"/>
      <c r="P503" s="14"/>
      <c r="Q503" s="14" t="s">
        <v>1767</v>
      </c>
      <c r="R503" s="13">
        <f>HYPERLINK("https://app.hubspot.com/contacts/8748051/record/0-2/6816717199", 6816717199)</f>
        <v>6816717199</v>
      </c>
      <c r="S503" s="14" t="s">
        <v>1768</v>
      </c>
      <c r="T503" s="18" t="s">
        <v>1769</v>
      </c>
      <c r="U503" s="14" t="s">
        <v>46</v>
      </c>
      <c r="V503" s="15"/>
      <c r="W503" s="19">
        <v>144.0</v>
      </c>
      <c r="X503" s="19">
        <v>48.0</v>
      </c>
      <c r="Y503" s="20" t="s">
        <v>104</v>
      </c>
      <c r="Z503" s="20"/>
      <c r="AA503" s="21"/>
      <c r="AB503" s="21"/>
      <c r="AC503" s="20"/>
      <c r="AD503" s="21"/>
      <c r="AE503" s="20"/>
      <c r="AF503" s="17" t="str">
        <f t="shared" si="1"/>
        <v>New Logo</v>
      </c>
      <c r="AG503" s="17" t="str">
        <f t="shared" si="2"/>
        <v>Lead</v>
      </c>
      <c r="AH503" s="17" t="str">
        <f t="shared" si="3"/>
        <v>0-200</v>
      </c>
      <c r="AI503" s="17" t="str">
        <f t="shared" si="4"/>
        <v>21-50</v>
      </c>
    </row>
    <row r="504" ht="15.75" customHeight="1">
      <c r="A504" s="13">
        <f>HYPERLINK("https://app.hubspot.com/contacts/8748051/record/0-3/19322825011", 19322825011)</f>
        <v>19322825011</v>
      </c>
      <c r="B504" s="14" t="s">
        <v>1770</v>
      </c>
      <c r="C504" s="14" t="s">
        <v>1008</v>
      </c>
      <c r="D504" s="15">
        <v>90720.0</v>
      </c>
      <c r="E504" s="14" t="s">
        <v>118</v>
      </c>
      <c r="F504" s="14"/>
      <c r="G504" s="16">
        <v>45425.35613425926</v>
      </c>
      <c r="H504" s="16">
        <v>45609.31413194445</v>
      </c>
      <c r="I504" s="14" t="s">
        <v>39</v>
      </c>
      <c r="J504" s="14" t="s">
        <v>40</v>
      </c>
      <c r="K504" s="14" t="s">
        <v>1186</v>
      </c>
      <c r="L504" s="14" t="s">
        <v>559</v>
      </c>
      <c r="M504" s="14" t="s">
        <v>72</v>
      </c>
      <c r="N504" s="14"/>
      <c r="O504" s="14"/>
      <c r="P504" s="14"/>
      <c r="Q504" s="14"/>
      <c r="R504" s="13">
        <f>HYPERLINK("https://app.hubspot.com/contacts/8748051/record/0-2/7691152294", 7691152294)</f>
        <v>7691152294</v>
      </c>
      <c r="S504" s="14" t="s">
        <v>1771</v>
      </c>
      <c r="T504" s="18" t="s">
        <v>1772</v>
      </c>
      <c r="U504" s="14" t="s">
        <v>46</v>
      </c>
      <c r="V504" s="15"/>
      <c r="W504" s="19">
        <v>2717.0</v>
      </c>
      <c r="X504" s="19">
        <v>430.0</v>
      </c>
      <c r="Y504" s="20" t="s">
        <v>794</v>
      </c>
      <c r="Z504" s="20"/>
      <c r="AA504" s="20"/>
      <c r="AB504" s="21"/>
      <c r="AC504" s="20"/>
      <c r="AD504" s="20"/>
      <c r="AE504" s="20"/>
      <c r="AF504" s="17" t="str">
        <f t="shared" si="1"/>
        <v>New Logo</v>
      </c>
      <c r="AG504" s="17" t="str">
        <f t="shared" si="2"/>
        <v>Lead</v>
      </c>
      <c r="AH504" s="17" t="str">
        <f t="shared" si="3"/>
        <v>1001-5000</v>
      </c>
      <c r="AI504" s="17" t="str">
        <f t="shared" si="4"/>
        <v>101-500</v>
      </c>
    </row>
    <row r="505" ht="15.75" customHeight="1">
      <c r="A505" s="13">
        <f>HYPERLINK("https://app.hubspot.com/contacts/8748051/record/0-3/19249539619", 19249539619)</f>
        <v>19249539619</v>
      </c>
      <c r="B505" s="14" t="s">
        <v>1773</v>
      </c>
      <c r="C505" s="14" t="s">
        <v>37</v>
      </c>
      <c r="D505" s="15">
        <v>16800.0</v>
      </c>
      <c r="E505" s="14" t="s">
        <v>118</v>
      </c>
      <c r="F505" s="14"/>
      <c r="G505" s="16">
        <v>45421.60290509259</v>
      </c>
      <c r="H505" s="16">
        <v>45605.56081018518</v>
      </c>
      <c r="I505" s="14" t="s">
        <v>39</v>
      </c>
      <c r="J505" s="14" t="s">
        <v>40</v>
      </c>
      <c r="K505" s="14" t="s">
        <v>1186</v>
      </c>
      <c r="L505" s="14" t="s">
        <v>175</v>
      </c>
      <c r="M505" s="14" t="s">
        <v>43</v>
      </c>
      <c r="N505" s="14"/>
      <c r="O505" s="14"/>
      <c r="P505" s="14"/>
      <c r="Q505" s="17"/>
      <c r="R505" s="13">
        <f>HYPERLINK("https://app.hubspot.com/contacts/8748051/record/0-2/7894705949", 7894705949)</f>
        <v>7894705949</v>
      </c>
      <c r="S505" s="14" t="s">
        <v>1774</v>
      </c>
      <c r="T505" s="18" t="s">
        <v>1775</v>
      </c>
      <c r="U505" s="14" t="s">
        <v>46</v>
      </c>
      <c r="V505" s="15"/>
      <c r="W505" s="19">
        <v>569.0</v>
      </c>
      <c r="X505" s="19">
        <v>51.0</v>
      </c>
      <c r="Y505" s="20" t="s">
        <v>70</v>
      </c>
      <c r="Z505" s="20"/>
      <c r="AA505" s="20"/>
      <c r="AB505" s="21"/>
      <c r="AC505" s="20"/>
      <c r="AD505" s="20"/>
      <c r="AE505" s="20"/>
      <c r="AF505" s="17" t="str">
        <f t="shared" si="1"/>
        <v>New Logo</v>
      </c>
      <c r="AG505" s="17" t="str">
        <f t="shared" si="2"/>
        <v>Lead</v>
      </c>
      <c r="AH505" s="17" t="str">
        <f t="shared" si="3"/>
        <v>501-1000</v>
      </c>
      <c r="AI505" s="17" t="str">
        <f t="shared" si="4"/>
        <v>51-100</v>
      </c>
    </row>
    <row r="506" ht="15.75" customHeight="1">
      <c r="A506" s="13">
        <f>HYPERLINK("https://app.hubspot.com/contacts/8748051/record/0-3/19249539454", 19249539454)</f>
        <v>19249539454</v>
      </c>
      <c r="B506" s="14" t="s">
        <v>1776</v>
      </c>
      <c r="C506" s="14" t="s">
        <v>49</v>
      </c>
      <c r="D506" s="15">
        <v>18000.0</v>
      </c>
      <c r="E506" s="14" t="s">
        <v>146</v>
      </c>
      <c r="F506" s="14" t="s">
        <v>51</v>
      </c>
      <c r="G506" s="16">
        <v>45421.602326388886</v>
      </c>
      <c r="H506" s="16">
        <v>45460.42606481481</v>
      </c>
      <c r="I506" s="14" t="s">
        <v>39</v>
      </c>
      <c r="J506" s="14" t="s">
        <v>40</v>
      </c>
      <c r="K506" s="14" t="s">
        <v>1186</v>
      </c>
      <c r="L506" s="14" t="s">
        <v>175</v>
      </c>
      <c r="M506" s="14" t="s">
        <v>43</v>
      </c>
      <c r="N506" s="17"/>
      <c r="O506" s="14" t="s">
        <v>1777</v>
      </c>
      <c r="P506" s="14"/>
      <c r="Q506" s="14"/>
      <c r="R506" s="13">
        <f>HYPERLINK("https://app.hubspot.com/contacts/8748051/record/0-2/7481536824", 7481536824)</f>
        <v>7481536824</v>
      </c>
      <c r="S506" s="14" t="s">
        <v>1778</v>
      </c>
      <c r="T506" s="18" t="s">
        <v>1779</v>
      </c>
      <c r="U506" s="14" t="s">
        <v>46</v>
      </c>
      <c r="V506" s="22"/>
      <c r="W506" s="19">
        <v>301.0</v>
      </c>
      <c r="X506" s="19">
        <v>51.0</v>
      </c>
      <c r="Y506" s="20" t="s">
        <v>104</v>
      </c>
      <c r="Z506" s="21"/>
      <c r="AA506" s="21"/>
      <c r="AB506" s="21"/>
      <c r="AC506" s="21"/>
      <c r="AD506" s="21"/>
      <c r="AE506" s="21"/>
      <c r="AF506" s="17" t="str">
        <f t="shared" si="1"/>
        <v>New Logo</v>
      </c>
      <c r="AG506" s="17" t="str">
        <f t="shared" si="2"/>
        <v>Lead</v>
      </c>
      <c r="AH506" s="17" t="str">
        <f t="shared" si="3"/>
        <v>201-500</v>
      </c>
      <c r="AI506" s="17" t="str">
        <f t="shared" si="4"/>
        <v>51-100</v>
      </c>
    </row>
    <row r="507" ht="15.75" customHeight="1">
      <c r="A507" s="13">
        <f>HYPERLINK("https://app.hubspot.com/contacts/8748051/record/0-3/19231289733", 19231289733)</f>
        <v>19231289733</v>
      </c>
      <c r="B507" s="14" t="s">
        <v>1013</v>
      </c>
      <c r="C507" s="14" t="s">
        <v>1008</v>
      </c>
      <c r="D507" s="15">
        <v>6000.0</v>
      </c>
      <c r="E507" s="14" t="s">
        <v>118</v>
      </c>
      <c r="F507" s="14"/>
      <c r="G507" s="16">
        <v>45421.054027777776</v>
      </c>
      <c r="H507" s="16">
        <v>45605.01195601852</v>
      </c>
      <c r="I507" s="14" t="s">
        <v>39</v>
      </c>
      <c r="J507" s="14" t="s">
        <v>40</v>
      </c>
      <c r="K507" s="14" t="s">
        <v>59</v>
      </c>
      <c r="L507" s="14" t="s">
        <v>175</v>
      </c>
      <c r="M507" s="14" t="s">
        <v>72</v>
      </c>
      <c r="N507" s="14"/>
      <c r="O507" s="17"/>
      <c r="P507" s="14" t="s">
        <v>232</v>
      </c>
      <c r="Q507" s="14"/>
      <c r="R507" s="13">
        <f>HYPERLINK("https://app.hubspot.com/contacts/8748051/record/0-2/32765657909", 32765657909)</f>
        <v>32765657909</v>
      </c>
      <c r="S507" s="14" t="s">
        <v>1014</v>
      </c>
      <c r="T507" s="18" t="s">
        <v>1015</v>
      </c>
      <c r="U507" s="14" t="s">
        <v>46</v>
      </c>
      <c r="V507" s="15"/>
      <c r="W507" s="19">
        <v>159.0</v>
      </c>
      <c r="X507" s="19">
        <v>33.0</v>
      </c>
      <c r="Y507" s="20"/>
      <c r="Z507" s="20"/>
      <c r="AA507" s="21"/>
      <c r="AB507" s="21"/>
      <c r="AC507" s="20"/>
      <c r="AD507" s="20"/>
      <c r="AE507" s="20"/>
      <c r="AF507" s="17" t="str">
        <f t="shared" si="1"/>
        <v>New Logo</v>
      </c>
      <c r="AG507" s="17" t="str">
        <f t="shared" si="2"/>
        <v>Lead</v>
      </c>
      <c r="AH507" s="17" t="str">
        <f t="shared" si="3"/>
        <v>0-200</v>
      </c>
      <c r="AI507" s="17" t="str">
        <f t="shared" si="4"/>
        <v>21-50</v>
      </c>
    </row>
    <row r="508" ht="15.75" customHeight="1">
      <c r="A508" s="13">
        <f>HYPERLINK("https://app.hubspot.com/contacts/8748051/record/0-3/19199427910", 19199427910)</f>
        <v>19199427910</v>
      </c>
      <c r="B508" s="14" t="s">
        <v>1780</v>
      </c>
      <c r="C508" s="14" t="s">
        <v>1008</v>
      </c>
      <c r="D508" s="15">
        <v>82080.0</v>
      </c>
      <c r="E508" s="14" t="s">
        <v>118</v>
      </c>
      <c r="F508" s="14"/>
      <c r="G508" s="16">
        <v>45419.826944444445</v>
      </c>
      <c r="H508" s="16">
        <v>45603.78461805556</v>
      </c>
      <c r="I508" s="14" t="s">
        <v>39</v>
      </c>
      <c r="J508" s="14" t="s">
        <v>40</v>
      </c>
      <c r="K508" s="14" t="s">
        <v>1186</v>
      </c>
      <c r="L508" s="14" t="s">
        <v>559</v>
      </c>
      <c r="M508" s="14" t="s">
        <v>43</v>
      </c>
      <c r="N508" s="14"/>
      <c r="O508" s="17"/>
      <c r="P508" s="14"/>
      <c r="Q508" s="14"/>
      <c r="R508" s="13">
        <f>HYPERLINK("https://app.hubspot.com/contacts/8748051/record/0-2/9137273695", 9137273695)</f>
        <v>9137273695</v>
      </c>
      <c r="S508" s="14" t="s">
        <v>1781</v>
      </c>
      <c r="T508" s="18" t="s">
        <v>1782</v>
      </c>
      <c r="U508" s="14" t="s">
        <v>46</v>
      </c>
      <c r="V508" s="15"/>
      <c r="W508" s="19">
        <v>1586.0</v>
      </c>
      <c r="X508" s="19">
        <v>360.0</v>
      </c>
      <c r="Y508" s="20" t="s">
        <v>55</v>
      </c>
      <c r="Z508" s="20"/>
      <c r="AA508" s="20"/>
      <c r="AB508" s="21"/>
      <c r="AC508" s="20"/>
      <c r="AD508" s="21"/>
      <c r="AE508" s="20"/>
      <c r="AF508" s="17" t="str">
        <f t="shared" si="1"/>
        <v>New Logo</v>
      </c>
      <c r="AG508" s="17" t="str">
        <f t="shared" si="2"/>
        <v>Lead</v>
      </c>
      <c r="AH508" s="17" t="str">
        <f t="shared" si="3"/>
        <v>1001-5000</v>
      </c>
      <c r="AI508" s="17" t="str">
        <f t="shared" si="4"/>
        <v>101-500</v>
      </c>
    </row>
    <row r="509" ht="15.75" customHeight="1">
      <c r="A509" s="13">
        <f>HYPERLINK("https://app.hubspot.com/contacts/8748051/record/0-3/19195638288", 19195638288)</f>
        <v>19195638288</v>
      </c>
      <c r="B509" s="14" t="s">
        <v>1783</v>
      </c>
      <c r="C509" s="14" t="s">
        <v>37</v>
      </c>
      <c r="D509" s="15">
        <v>29200.0</v>
      </c>
      <c r="E509" s="14" t="s">
        <v>124</v>
      </c>
      <c r="F509" s="14" t="s">
        <v>51</v>
      </c>
      <c r="G509" s="16">
        <v>45419.74188657408</v>
      </c>
      <c r="H509" s="16">
        <v>45747.63508101852</v>
      </c>
      <c r="I509" s="14" t="s">
        <v>39</v>
      </c>
      <c r="J509" s="14" t="s">
        <v>40</v>
      </c>
      <c r="K509" s="14" t="s">
        <v>1186</v>
      </c>
      <c r="L509" s="14" t="s">
        <v>559</v>
      </c>
      <c r="M509" s="14" t="s">
        <v>43</v>
      </c>
      <c r="N509" s="14"/>
      <c r="O509" s="17"/>
      <c r="P509" s="14"/>
      <c r="Q509" s="14" t="s">
        <v>125</v>
      </c>
      <c r="R509" s="13">
        <f>HYPERLINK("https://app.hubspot.com/contacts/8748051/record/0-2/7941851257", 7941851257)</f>
        <v>7941851257</v>
      </c>
      <c r="S509" s="14" t="s">
        <v>1784</v>
      </c>
      <c r="T509" s="18" t="s">
        <v>1785</v>
      </c>
      <c r="U509" s="14" t="s">
        <v>46</v>
      </c>
      <c r="V509" s="15"/>
      <c r="W509" s="19">
        <v>680.0</v>
      </c>
      <c r="X509" s="19">
        <v>44.0</v>
      </c>
      <c r="Y509" s="20"/>
      <c r="Z509" s="20"/>
      <c r="AA509" s="21"/>
      <c r="AB509" s="21"/>
      <c r="AC509" s="20"/>
      <c r="AD509" s="20"/>
      <c r="AE509" s="20"/>
      <c r="AF509" s="17" t="str">
        <f t="shared" si="1"/>
        <v>New Logo</v>
      </c>
      <c r="AG509" s="17" t="str">
        <f t="shared" si="2"/>
        <v>Lead</v>
      </c>
      <c r="AH509" s="17" t="str">
        <f t="shared" si="3"/>
        <v>501-1000</v>
      </c>
      <c r="AI509" s="17" t="str">
        <f t="shared" si="4"/>
        <v>21-50</v>
      </c>
    </row>
    <row r="510" ht="15.75" customHeight="1">
      <c r="A510" s="13">
        <f>HYPERLINK("https://app.hubspot.com/contacts/8748051/record/0-3/19189400089", 19189400089)</f>
        <v>19189400089</v>
      </c>
      <c r="B510" s="14" t="s">
        <v>1786</v>
      </c>
      <c r="C510" s="14" t="s">
        <v>37</v>
      </c>
      <c r="D510" s="15">
        <v>8640.0</v>
      </c>
      <c r="E510" s="14" t="s">
        <v>118</v>
      </c>
      <c r="F510" s="14"/>
      <c r="G510" s="16">
        <v>45419.45274305555</v>
      </c>
      <c r="H510" s="16">
        <v>45603.410833333335</v>
      </c>
      <c r="I510" s="14" t="s">
        <v>39</v>
      </c>
      <c r="J510" s="14" t="s">
        <v>40</v>
      </c>
      <c r="K510" s="14" t="s">
        <v>558</v>
      </c>
      <c r="L510" s="14" t="s">
        <v>559</v>
      </c>
      <c r="M510" s="14" t="s">
        <v>43</v>
      </c>
      <c r="N510" s="14"/>
      <c r="O510" s="17"/>
      <c r="P510" s="14" t="s">
        <v>211</v>
      </c>
      <c r="Q510" s="17"/>
      <c r="R510" s="13">
        <f>HYPERLINK("https://app.hubspot.com/contacts/8748051/record/0-2/16375814968", 16375814968)</f>
        <v>16375814968</v>
      </c>
      <c r="S510" s="14" t="s">
        <v>1787</v>
      </c>
      <c r="T510" s="18" t="s">
        <v>1788</v>
      </c>
      <c r="U510" s="14" t="s">
        <v>46</v>
      </c>
      <c r="V510" s="15"/>
      <c r="W510" s="19">
        <v>240.0</v>
      </c>
      <c r="X510" s="19">
        <v>43.0</v>
      </c>
      <c r="Y510" s="20"/>
      <c r="Z510" s="20"/>
      <c r="AA510" s="20"/>
      <c r="AB510" s="21"/>
      <c r="AC510" s="20"/>
      <c r="AD510" s="20"/>
      <c r="AE510" s="20"/>
      <c r="AF510" s="17" t="str">
        <f t="shared" si="1"/>
        <v>New Logo</v>
      </c>
      <c r="AG510" s="17" t="str">
        <f t="shared" si="2"/>
        <v>Lead</v>
      </c>
      <c r="AH510" s="17" t="str">
        <f t="shared" si="3"/>
        <v>201-500</v>
      </c>
      <c r="AI510" s="17" t="str">
        <f t="shared" si="4"/>
        <v>21-50</v>
      </c>
    </row>
    <row r="511" ht="15.75" customHeight="1">
      <c r="A511" s="13">
        <f>HYPERLINK("https://app.hubspot.com/contacts/8748051/record/0-3/19156902974", 19156902974)</f>
        <v>19156902974</v>
      </c>
      <c r="B511" s="14" t="s">
        <v>1789</v>
      </c>
      <c r="C511" s="14" t="s">
        <v>1008</v>
      </c>
      <c r="D511" s="15">
        <v>45600.0</v>
      </c>
      <c r="E511" s="14" t="s">
        <v>118</v>
      </c>
      <c r="F511" s="17"/>
      <c r="G511" s="16">
        <v>45418.45959490741</v>
      </c>
      <c r="H511" s="16">
        <v>45602.416863425926</v>
      </c>
      <c r="I511" s="14" t="s">
        <v>39</v>
      </c>
      <c r="J511" s="14" t="s">
        <v>52</v>
      </c>
      <c r="K511" s="14" t="s">
        <v>1186</v>
      </c>
      <c r="L511" s="14" t="s">
        <v>559</v>
      </c>
      <c r="M511" s="14" t="s">
        <v>43</v>
      </c>
      <c r="N511" s="17"/>
      <c r="O511" s="17"/>
      <c r="P511" s="14" t="s">
        <v>119</v>
      </c>
      <c r="Q511" s="17"/>
      <c r="R511" s="13">
        <f>HYPERLINK("https://app.hubspot.com/contacts/8748051/record/0-2/18382839621", 18382839621)</f>
        <v>18382839621</v>
      </c>
      <c r="S511" s="14" t="s">
        <v>1790</v>
      </c>
      <c r="T511" s="18" t="s">
        <v>1791</v>
      </c>
      <c r="U511" s="14" t="s">
        <v>46</v>
      </c>
      <c r="V511" s="15"/>
      <c r="W511" s="19">
        <v>985.0</v>
      </c>
      <c r="X511" s="19">
        <v>233.0</v>
      </c>
      <c r="Y511" s="20" t="s">
        <v>70</v>
      </c>
      <c r="Z511" s="20"/>
      <c r="AA511" s="21"/>
      <c r="AB511" s="21"/>
      <c r="AC511" s="20"/>
      <c r="AD511" s="21"/>
      <c r="AE511" s="20"/>
      <c r="AF511" s="17" t="str">
        <f t="shared" si="1"/>
        <v>New Logo</v>
      </c>
      <c r="AG511" s="17" t="str">
        <f t="shared" si="2"/>
        <v>Lead</v>
      </c>
      <c r="AH511" s="17" t="str">
        <f t="shared" si="3"/>
        <v>501-1000</v>
      </c>
      <c r="AI511" s="17" t="str">
        <f t="shared" si="4"/>
        <v>101-500</v>
      </c>
    </row>
    <row r="512" ht="15.75" customHeight="1">
      <c r="A512" s="13">
        <f>HYPERLINK("https://app.hubspot.com/contacts/8748051/record/0-3/19154041781", 19154041781)</f>
        <v>19154041781</v>
      </c>
      <c r="B512" s="14" t="s">
        <v>1792</v>
      </c>
      <c r="C512" s="14" t="s">
        <v>145</v>
      </c>
      <c r="D512" s="15">
        <v>10800.0</v>
      </c>
      <c r="E512" s="14" t="s">
        <v>118</v>
      </c>
      <c r="F512" s="14"/>
      <c r="G512" s="16">
        <v>45418.394733796296</v>
      </c>
      <c r="H512" s="16">
        <v>45602.39408564815</v>
      </c>
      <c r="I512" s="14" t="s">
        <v>39</v>
      </c>
      <c r="J512" s="14" t="s">
        <v>179</v>
      </c>
      <c r="K512" s="14"/>
      <c r="L512" s="14"/>
      <c r="M512" s="14" t="s">
        <v>43</v>
      </c>
      <c r="N512" s="17"/>
      <c r="O512" s="17"/>
      <c r="P512" s="14"/>
      <c r="Q512" s="14"/>
      <c r="R512" s="13">
        <f>HYPERLINK("https://app.hubspot.com/contacts/8748051/record/0-2/7737526328", 7737526328)</f>
        <v>7737526328</v>
      </c>
      <c r="S512" s="14" t="s">
        <v>839</v>
      </c>
      <c r="T512" s="18" t="s">
        <v>840</v>
      </c>
      <c r="U512" s="14" t="s">
        <v>93</v>
      </c>
      <c r="V512" s="15">
        <v>3210.0</v>
      </c>
      <c r="W512" s="19">
        <v>294.0</v>
      </c>
      <c r="X512" s="19">
        <v>46.0</v>
      </c>
      <c r="Y512" s="20"/>
      <c r="Z512" s="20" t="s">
        <v>348</v>
      </c>
      <c r="AA512" s="21"/>
      <c r="AB512" s="21"/>
      <c r="AC512" s="20" t="s">
        <v>841</v>
      </c>
      <c r="AD512" s="21"/>
      <c r="AE512" s="20" t="s">
        <v>763</v>
      </c>
      <c r="AF512" s="17" t="str">
        <f t="shared" si="1"/>
        <v>Upsell</v>
      </c>
      <c r="AG512" s="17" t="str">
        <f t="shared" si="2"/>
        <v>Customer</v>
      </c>
      <c r="AH512" s="17" t="str">
        <f t="shared" si="3"/>
        <v>201-500</v>
      </c>
      <c r="AI512" s="17" t="str">
        <f t="shared" si="4"/>
        <v>21-50</v>
      </c>
    </row>
    <row r="513" ht="15.75" customHeight="1">
      <c r="A513" s="13">
        <f>HYPERLINK("https://app.hubspot.com/contacts/8748051/record/0-3/19148605769", 19148605769)</f>
        <v>19148605769</v>
      </c>
      <c r="B513" s="14" t="s">
        <v>1793</v>
      </c>
      <c r="C513" s="14" t="s">
        <v>145</v>
      </c>
      <c r="D513" s="15">
        <v>9840.0</v>
      </c>
      <c r="E513" s="14" t="s">
        <v>118</v>
      </c>
      <c r="F513" s="14"/>
      <c r="G513" s="16">
        <v>45418.114224537036</v>
      </c>
      <c r="H513" s="16">
        <v>45602.072164351855</v>
      </c>
      <c r="I513" s="14" t="s">
        <v>39</v>
      </c>
      <c r="J513" s="14" t="s">
        <v>40</v>
      </c>
      <c r="K513" s="14" t="s">
        <v>558</v>
      </c>
      <c r="L513" s="14" t="s">
        <v>559</v>
      </c>
      <c r="M513" s="14" t="s">
        <v>98</v>
      </c>
      <c r="N513" s="17"/>
      <c r="O513" s="14"/>
      <c r="P513" s="14" t="s">
        <v>260</v>
      </c>
      <c r="Q513" s="14"/>
      <c r="R513" s="13">
        <f>HYPERLINK("https://app.hubspot.com/contacts/8748051/record/0-2/16065697119", 16065697119)</f>
        <v>16065697119</v>
      </c>
      <c r="S513" s="14" t="s">
        <v>1794</v>
      </c>
      <c r="T513" s="18" t="s">
        <v>1795</v>
      </c>
      <c r="U513" s="14" t="s">
        <v>46</v>
      </c>
      <c r="V513" s="22"/>
      <c r="W513" s="19">
        <v>2593.0</v>
      </c>
      <c r="X513" s="19">
        <v>71.0</v>
      </c>
      <c r="Y513" s="20" t="s">
        <v>70</v>
      </c>
      <c r="Z513" s="21"/>
      <c r="AA513" s="21"/>
      <c r="AB513" s="21"/>
      <c r="AC513" s="21"/>
      <c r="AD513" s="21"/>
      <c r="AE513" s="21"/>
      <c r="AF513" s="17" t="str">
        <f t="shared" si="1"/>
        <v>New Logo</v>
      </c>
      <c r="AG513" s="17" t="str">
        <f t="shared" si="2"/>
        <v>Lead</v>
      </c>
      <c r="AH513" s="17" t="str">
        <f t="shared" si="3"/>
        <v>1001-5000</v>
      </c>
      <c r="AI513" s="17" t="str">
        <f t="shared" si="4"/>
        <v>51-100</v>
      </c>
    </row>
    <row r="514" ht="15.75" customHeight="1">
      <c r="A514" s="13">
        <f>HYPERLINK("https://app.hubspot.com/contacts/8748051/record/0-3/19093943398", 19093943398)</f>
        <v>19093943398</v>
      </c>
      <c r="B514" s="14" t="s">
        <v>1796</v>
      </c>
      <c r="C514" s="14" t="s">
        <v>1008</v>
      </c>
      <c r="D514" s="15">
        <v>36960.0</v>
      </c>
      <c r="E514" s="14" t="s">
        <v>118</v>
      </c>
      <c r="F514" s="14"/>
      <c r="G514" s="16">
        <v>45415.50377314815</v>
      </c>
      <c r="H514" s="16">
        <v>45599.46177083333</v>
      </c>
      <c r="I514" s="14" t="s">
        <v>39</v>
      </c>
      <c r="J514" s="14" t="s">
        <v>40</v>
      </c>
      <c r="K514" s="14" t="s">
        <v>1186</v>
      </c>
      <c r="L514" s="14" t="s">
        <v>175</v>
      </c>
      <c r="M514" s="14" t="s">
        <v>43</v>
      </c>
      <c r="N514" s="14"/>
      <c r="O514" s="14"/>
      <c r="P514" s="14"/>
      <c r="Q514" s="14"/>
      <c r="R514" s="13">
        <f>HYPERLINK("https://app.hubspot.com/contacts/8748051/record/0-2/14810826675", 14810826675)</f>
        <v>14810826675</v>
      </c>
      <c r="S514" s="14" t="s">
        <v>1797</v>
      </c>
      <c r="T514" s="18" t="s">
        <v>1798</v>
      </c>
      <c r="U514" s="14" t="s">
        <v>46</v>
      </c>
      <c r="V514" s="15"/>
      <c r="W514" s="19">
        <v>1410.0</v>
      </c>
      <c r="X514" s="19">
        <v>231.0</v>
      </c>
      <c r="Y514" s="20" t="s">
        <v>70</v>
      </c>
      <c r="Z514" s="20"/>
      <c r="AA514" s="21"/>
      <c r="AB514" s="21"/>
      <c r="AC514" s="20"/>
      <c r="AD514" s="20"/>
      <c r="AE514" s="20"/>
      <c r="AF514" s="17" t="str">
        <f t="shared" si="1"/>
        <v>New Logo</v>
      </c>
      <c r="AG514" s="17" t="str">
        <f t="shared" si="2"/>
        <v>Lead</v>
      </c>
      <c r="AH514" s="17" t="str">
        <f t="shared" si="3"/>
        <v>1001-5000</v>
      </c>
      <c r="AI514" s="17" t="str">
        <f t="shared" si="4"/>
        <v>101-500</v>
      </c>
    </row>
    <row r="515" ht="15.75" customHeight="1">
      <c r="A515" s="13">
        <f>HYPERLINK("https://app.hubspot.com/contacts/8748051/record/0-3/19093862754", 19093862754)</f>
        <v>19093862754</v>
      </c>
      <c r="B515" s="14" t="s">
        <v>1799</v>
      </c>
      <c r="C515" s="14" t="s">
        <v>1008</v>
      </c>
      <c r="D515" s="15">
        <v>6000.0</v>
      </c>
      <c r="E515" s="14" t="s">
        <v>124</v>
      </c>
      <c r="F515" s="14" t="s">
        <v>51</v>
      </c>
      <c r="G515" s="16">
        <v>45415.48299768518</v>
      </c>
      <c r="H515" s="16">
        <v>45599.44097222222</v>
      </c>
      <c r="I515" s="14" t="s">
        <v>39</v>
      </c>
      <c r="J515" s="14" t="s">
        <v>40</v>
      </c>
      <c r="K515" s="14" t="s">
        <v>1186</v>
      </c>
      <c r="L515" s="14" t="s">
        <v>175</v>
      </c>
      <c r="M515" s="14" t="s">
        <v>43</v>
      </c>
      <c r="N515" s="14"/>
      <c r="O515" s="17"/>
      <c r="P515" s="14"/>
      <c r="Q515" s="14" t="s">
        <v>373</v>
      </c>
      <c r="R515" s="13">
        <f>HYPERLINK("https://app.hubspot.com/contacts/8748051/record/0-2/8920376633", 8920376633)</f>
        <v>8920376633</v>
      </c>
      <c r="S515" s="14" t="s">
        <v>1800</v>
      </c>
      <c r="T515" s="18" t="s">
        <v>1801</v>
      </c>
      <c r="U515" s="14" t="s">
        <v>46</v>
      </c>
      <c r="V515" s="15"/>
      <c r="W515" s="19">
        <v>1756.0</v>
      </c>
      <c r="X515" s="19">
        <v>217.0</v>
      </c>
      <c r="Y515" s="20" t="s">
        <v>70</v>
      </c>
      <c r="Z515" s="20"/>
      <c r="AA515" s="20"/>
      <c r="AB515" s="21"/>
      <c r="AC515" s="20"/>
      <c r="AD515" s="20"/>
      <c r="AE515" s="20"/>
      <c r="AF515" s="17" t="str">
        <f t="shared" si="1"/>
        <v>New Logo</v>
      </c>
      <c r="AG515" s="17" t="str">
        <f t="shared" si="2"/>
        <v>Lead</v>
      </c>
      <c r="AH515" s="17" t="str">
        <f t="shared" si="3"/>
        <v>1001-5000</v>
      </c>
      <c r="AI515" s="17" t="str">
        <f t="shared" si="4"/>
        <v>101-500</v>
      </c>
    </row>
    <row r="516" ht="15.75" customHeight="1">
      <c r="A516" s="13">
        <f>HYPERLINK("https://app.hubspot.com/contacts/8748051/record/0-3/19090051890", 19090051890)</f>
        <v>19090051890</v>
      </c>
      <c r="B516" s="14" t="s">
        <v>1802</v>
      </c>
      <c r="C516" s="14" t="s">
        <v>1227</v>
      </c>
      <c r="D516" s="15">
        <v>3120.0</v>
      </c>
      <c r="E516" s="14" t="s">
        <v>89</v>
      </c>
      <c r="F516" s="14" t="s">
        <v>51</v>
      </c>
      <c r="G516" s="16">
        <v>45415.2659375</v>
      </c>
      <c r="H516" s="16">
        <v>45530.359872685185</v>
      </c>
      <c r="I516" s="14" t="s">
        <v>39</v>
      </c>
      <c r="J516" s="14" t="s">
        <v>52</v>
      </c>
      <c r="K516" s="14" t="s">
        <v>41</v>
      </c>
      <c r="L516" s="14" t="s">
        <v>42</v>
      </c>
      <c r="M516" s="14" t="s">
        <v>98</v>
      </c>
      <c r="N516" s="14" t="s">
        <v>1803</v>
      </c>
      <c r="O516" s="17"/>
      <c r="P516" s="14"/>
      <c r="Q516" s="17"/>
      <c r="R516" s="13">
        <f>HYPERLINK("https://app.hubspot.com/contacts/8748051/record/0-2/7735473314", 7735473314)</f>
        <v>7735473314</v>
      </c>
      <c r="S516" s="14" t="s">
        <v>315</v>
      </c>
      <c r="T516" s="18" t="s">
        <v>316</v>
      </c>
      <c r="U516" s="14" t="s">
        <v>93</v>
      </c>
      <c r="V516" s="15">
        <v>7920.0</v>
      </c>
      <c r="W516" s="19">
        <v>653.0</v>
      </c>
      <c r="X516" s="19">
        <v>92.0</v>
      </c>
      <c r="Y516" s="20"/>
      <c r="Z516" s="20" t="s">
        <v>191</v>
      </c>
      <c r="AA516" s="20"/>
      <c r="AB516" s="21"/>
      <c r="AC516" s="20" t="s">
        <v>317</v>
      </c>
      <c r="AD516" s="20" t="s">
        <v>318</v>
      </c>
      <c r="AE516" s="20" t="s">
        <v>166</v>
      </c>
      <c r="AF516" s="17" t="str">
        <f t="shared" si="1"/>
        <v>New Logo</v>
      </c>
      <c r="AG516" s="17" t="str">
        <f t="shared" si="2"/>
        <v>Customer</v>
      </c>
      <c r="AH516" s="17" t="str">
        <f t="shared" si="3"/>
        <v>501-1000</v>
      </c>
      <c r="AI516" s="17" t="str">
        <f t="shared" si="4"/>
        <v>51-100</v>
      </c>
    </row>
    <row r="517" ht="15.75" customHeight="1">
      <c r="A517" s="13">
        <f>HYPERLINK("https://app.hubspot.com/contacts/8748051/record/0-3/19075241630", 19075241630)</f>
        <v>19075241630</v>
      </c>
      <c r="B517" s="14" t="s">
        <v>1804</v>
      </c>
      <c r="C517" s="14" t="s">
        <v>1805</v>
      </c>
      <c r="D517" s="15">
        <v>12500.0</v>
      </c>
      <c r="E517" s="14" t="s">
        <v>89</v>
      </c>
      <c r="F517" s="14" t="s">
        <v>51</v>
      </c>
      <c r="G517" s="16">
        <v>45414.76158564815</v>
      </c>
      <c r="H517" s="16">
        <v>45471.79305555556</v>
      </c>
      <c r="I517" s="14" t="s">
        <v>39</v>
      </c>
      <c r="J517" s="14" t="s">
        <v>40</v>
      </c>
      <c r="K517" s="14" t="s">
        <v>1186</v>
      </c>
      <c r="L517" s="14" t="s">
        <v>559</v>
      </c>
      <c r="M517" s="14" t="s">
        <v>43</v>
      </c>
      <c r="N517" s="14" t="s">
        <v>1806</v>
      </c>
      <c r="O517" s="14"/>
      <c r="P517" s="14"/>
      <c r="Q517" s="14"/>
      <c r="R517" s="13">
        <f>HYPERLINK("https://app.hubspot.com/contacts/8748051/record/0-2/6816508469", 6816508469)</f>
        <v>6816508469</v>
      </c>
      <c r="S517" s="14" t="s">
        <v>1807</v>
      </c>
      <c r="T517" s="18" t="s">
        <v>1808</v>
      </c>
      <c r="U517" s="14" t="s">
        <v>93</v>
      </c>
      <c r="V517" s="15">
        <v>12500.0</v>
      </c>
      <c r="W517" s="19">
        <v>98.0</v>
      </c>
      <c r="X517" s="19">
        <v>13.0</v>
      </c>
      <c r="Y517" s="20"/>
      <c r="Z517" s="20" t="s">
        <v>184</v>
      </c>
      <c r="AA517" s="20" t="s">
        <v>205</v>
      </c>
      <c r="AB517" s="21"/>
      <c r="AC517" s="20" t="s">
        <v>1198</v>
      </c>
      <c r="AD517" s="21"/>
      <c r="AE517" s="20" t="s">
        <v>166</v>
      </c>
      <c r="AF517" s="17" t="str">
        <f t="shared" si="1"/>
        <v>New Logo</v>
      </c>
      <c r="AG517" s="17" t="str">
        <f t="shared" si="2"/>
        <v>Customer</v>
      </c>
      <c r="AH517" s="17" t="str">
        <f t="shared" si="3"/>
        <v>0-200</v>
      </c>
      <c r="AI517" s="17" t="str">
        <f t="shared" si="4"/>
        <v>0-20</v>
      </c>
    </row>
    <row r="518" ht="15.75" customHeight="1">
      <c r="A518" s="13">
        <f>HYPERLINK("https://app.hubspot.com/contacts/8748051/record/0-3/19063660091", 19063660091)</f>
        <v>19063660091</v>
      </c>
      <c r="B518" s="14" t="s">
        <v>1809</v>
      </c>
      <c r="C518" s="14" t="s">
        <v>1008</v>
      </c>
      <c r="D518" s="15">
        <v>4080.0</v>
      </c>
      <c r="E518" s="14" t="s">
        <v>118</v>
      </c>
      <c r="F518" s="14"/>
      <c r="G518" s="16">
        <v>45414.17055555555</v>
      </c>
      <c r="H518" s="16">
        <v>45598.16982638889</v>
      </c>
      <c r="I518" s="14" t="s">
        <v>39</v>
      </c>
      <c r="J518" s="14" t="s">
        <v>40</v>
      </c>
      <c r="K518" s="14" t="s">
        <v>558</v>
      </c>
      <c r="L518" s="14" t="s">
        <v>559</v>
      </c>
      <c r="M518" s="14"/>
      <c r="N518" s="14"/>
      <c r="O518" s="14"/>
      <c r="P518" s="14" t="s">
        <v>260</v>
      </c>
      <c r="Q518" s="17"/>
      <c r="R518" s="13">
        <f>HYPERLINK("https://app.hubspot.com/contacts/8748051/record/0-2/7716029499", 7716029499)</f>
        <v>7716029499</v>
      </c>
      <c r="S518" s="14" t="s">
        <v>1810</v>
      </c>
      <c r="T518" s="18" t="s">
        <v>1811</v>
      </c>
      <c r="U518" s="14" t="s">
        <v>46</v>
      </c>
      <c r="V518" s="15"/>
      <c r="W518" s="19">
        <v>181.0</v>
      </c>
      <c r="X518" s="19">
        <v>19.0</v>
      </c>
      <c r="Y518" s="20" t="s">
        <v>104</v>
      </c>
      <c r="Z518" s="20"/>
      <c r="AA518" s="21"/>
      <c r="AB518" s="21"/>
      <c r="AC518" s="20"/>
      <c r="AD518" s="20"/>
      <c r="AE518" s="20"/>
      <c r="AF518" s="17" t="str">
        <f t="shared" si="1"/>
        <v>New Logo</v>
      </c>
      <c r="AG518" s="17" t="str">
        <f t="shared" si="2"/>
        <v>Lead</v>
      </c>
      <c r="AH518" s="17" t="str">
        <f t="shared" si="3"/>
        <v>0-200</v>
      </c>
      <c r="AI518" s="17" t="str">
        <f t="shared" si="4"/>
        <v>0-20</v>
      </c>
    </row>
    <row r="519" ht="15.75" customHeight="1">
      <c r="A519" s="13">
        <f>HYPERLINK("https://app.hubspot.com/contacts/8748051/record/0-3/19061162282", 19061162282)</f>
        <v>19061162282</v>
      </c>
      <c r="B519" s="14" t="s">
        <v>950</v>
      </c>
      <c r="C519" s="14" t="s">
        <v>37</v>
      </c>
      <c r="D519" s="15">
        <v>129360.0</v>
      </c>
      <c r="E519" s="14" t="s">
        <v>118</v>
      </c>
      <c r="F519" s="14"/>
      <c r="G519" s="16">
        <v>45414.092453703706</v>
      </c>
      <c r="H519" s="16">
        <v>45598.09201388889</v>
      </c>
      <c r="I519" s="14" t="s">
        <v>39</v>
      </c>
      <c r="J519" s="14" t="s">
        <v>40</v>
      </c>
      <c r="K519" s="14" t="s">
        <v>59</v>
      </c>
      <c r="L519" s="14" t="s">
        <v>175</v>
      </c>
      <c r="M519" s="14" t="s">
        <v>72</v>
      </c>
      <c r="N519" s="14"/>
      <c r="O519" s="14"/>
      <c r="P519" s="14"/>
      <c r="Q519" s="14"/>
      <c r="R519" s="13">
        <f>HYPERLINK("https://app.hubspot.com/contacts/8748051/record/0-2/8142764962", 8142764962)</f>
        <v>8142764962</v>
      </c>
      <c r="S519" s="14" t="s">
        <v>951</v>
      </c>
      <c r="T519" s="18" t="s">
        <v>952</v>
      </c>
      <c r="U519" s="14" t="s">
        <v>46</v>
      </c>
      <c r="V519" s="15"/>
      <c r="W519" s="19">
        <v>4351.0</v>
      </c>
      <c r="X519" s="19">
        <v>550.0</v>
      </c>
      <c r="Y519" s="20" t="s">
        <v>55</v>
      </c>
      <c r="Z519" s="20"/>
      <c r="AA519" s="20"/>
      <c r="AB519" s="21"/>
      <c r="AC519" s="20"/>
      <c r="AD519" s="21"/>
      <c r="AE519" s="20"/>
      <c r="AF519" s="17" t="str">
        <f t="shared" si="1"/>
        <v>New Logo</v>
      </c>
      <c r="AG519" s="17" t="str">
        <f t="shared" si="2"/>
        <v>Lead</v>
      </c>
      <c r="AH519" s="17" t="str">
        <f t="shared" si="3"/>
        <v>1001-5000</v>
      </c>
      <c r="AI519" s="17" t="str">
        <f t="shared" si="4"/>
        <v>500+</v>
      </c>
    </row>
    <row r="520" ht="15.75" customHeight="1">
      <c r="A520" s="13">
        <f>HYPERLINK("https://app.hubspot.com/contacts/8748051/record/0-3/18984527650", 18984527650)</f>
        <v>18984527650</v>
      </c>
      <c r="B520" s="14" t="s">
        <v>1812</v>
      </c>
      <c r="C520" s="14" t="s">
        <v>49</v>
      </c>
      <c r="D520" s="15">
        <v>70080.0</v>
      </c>
      <c r="E520" s="14" t="s">
        <v>118</v>
      </c>
      <c r="F520" s="14"/>
      <c r="G520" s="16">
        <v>45411.746145833335</v>
      </c>
      <c r="H520" s="16">
        <v>45594.745474537034</v>
      </c>
      <c r="I520" s="14" t="s">
        <v>39</v>
      </c>
      <c r="J520" s="14" t="s">
        <v>40</v>
      </c>
      <c r="K520" s="14" t="s">
        <v>1186</v>
      </c>
      <c r="L520" s="14" t="s">
        <v>559</v>
      </c>
      <c r="M520" s="14" t="s">
        <v>43</v>
      </c>
      <c r="N520" s="14"/>
      <c r="O520" s="17"/>
      <c r="P520" s="14" t="s">
        <v>119</v>
      </c>
      <c r="Q520" s="14"/>
      <c r="R520" s="13">
        <f>HYPERLINK("https://app.hubspot.com/contacts/8748051/record/0-2/9406234408", 9406234408)</f>
        <v>9406234408</v>
      </c>
      <c r="S520" s="14" t="s">
        <v>1813</v>
      </c>
      <c r="T520" s="18" t="s">
        <v>1814</v>
      </c>
      <c r="U520" s="14" t="s">
        <v>46</v>
      </c>
      <c r="V520" s="15"/>
      <c r="W520" s="19">
        <v>3457.0</v>
      </c>
      <c r="X520" s="19">
        <v>344.0</v>
      </c>
      <c r="Y520" s="20" t="s">
        <v>371</v>
      </c>
      <c r="Z520" s="20"/>
      <c r="AA520" s="20"/>
      <c r="AB520" s="21"/>
      <c r="AC520" s="20"/>
      <c r="AD520" s="20"/>
      <c r="AE520" s="20"/>
      <c r="AF520" s="17" t="str">
        <f t="shared" si="1"/>
        <v>New Logo</v>
      </c>
      <c r="AG520" s="17" t="str">
        <f t="shared" si="2"/>
        <v>Lead</v>
      </c>
      <c r="AH520" s="17" t="str">
        <f t="shared" si="3"/>
        <v>1001-5000</v>
      </c>
      <c r="AI520" s="17" t="str">
        <f t="shared" si="4"/>
        <v>101-500</v>
      </c>
    </row>
    <row r="521" ht="15.75" customHeight="1">
      <c r="A521" s="13">
        <f>HYPERLINK("https://app.hubspot.com/contacts/8748051/record/0-3/18979099451", 18979099451)</f>
        <v>18979099451</v>
      </c>
      <c r="B521" s="14" t="s">
        <v>1815</v>
      </c>
      <c r="C521" s="14" t="s">
        <v>37</v>
      </c>
      <c r="D521" s="15">
        <v>2400.0</v>
      </c>
      <c r="E521" s="14" t="s">
        <v>118</v>
      </c>
      <c r="F521" s="17"/>
      <c r="G521" s="16">
        <v>45411.58777777778</v>
      </c>
      <c r="H521" s="16">
        <v>45594.58663194445</v>
      </c>
      <c r="I521" s="14" t="s">
        <v>39</v>
      </c>
      <c r="J521" s="14" t="s">
        <v>40</v>
      </c>
      <c r="K521" s="14" t="s">
        <v>1186</v>
      </c>
      <c r="L521" s="14" t="s">
        <v>175</v>
      </c>
      <c r="M521" s="14" t="s">
        <v>43</v>
      </c>
      <c r="N521" s="17"/>
      <c r="O521" s="17"/>
      <c r="P521" s="14" t="s">
        <v>119</v>
      </c>
      <c r="Q521" s="17"/>
      <c r="R521" s="13">
        <f>HYPERLINK("https://app.hubspot.com/contacts/8748051/record/0-2/18382834036", 18382834036)</f>
        <v>18382834036</v>
      </c>
      <c r="S521" s="14" t="s">
        <v>1816</v>
      </c>
      <c r="T521" s="18" t="s">
        <v>1817</v>
      </c>
      <c r="U521" s="14" t="s">
        <v>46</v>
      </c>
      <c r="V521" s="22"/>
      <c r="W521" s="19">
        <v>102.0</v>
      </c>
      <c r="X521" s="19">
        <v>11.0</v>
      </c>
      <c r="Y521" s="20"/>
      <c r="Z521" s="21"/>
      <c r="AA521" s="21"/>
      <c r="AB521" s="21"/>
      <c r="AC521" s="21"/>
      <c r="AD521" s="21"/>
      <c r="AE521" s="21"/>
      <c r="AF521" s="17" t="str">
        <f t="shared" si="1"/>
        <v>New Logo</v>
      </c>
      <c r="AG521" s="17" t="str">
        <f t="shared" si="2"/>
        <v>Lead</v>
      </c>
      <c r="AH521" s="17" t="str">
        <f t="shared" si="3"/>
        <v>0-200</v>
      </c>
      <c r="AI521" s="17" t="str">
        <f t="shared" si="4"/>
        <v>0-20</v>
      </c>
    </row>
    <row r="522" ht="15.75" customHeight="1">
      <c r="A522" s="13">
        <f>HYPERLINK("https://app.hubspot.com/contacts/8748051/record/0-3/18970382396", 18970382396)</f>
        <v>18970382396</v>
      </c>
      <c r="B522" s="14" t="s">
        <v>1818</v>
      </c>
      <c r="C522" s="14" t="s">
        <v>1008</v>
      </c>
      <c r="D522" s="15">
        <v>50000.0</v>
      </c>
      <c r="E522" s="14" t="s">
        <v>118</v>
      </c>
      <c r="F522" s="14"/>
      <c r="G522" s="16">
        <v>45411.1812037037</v>
      </c>
      <c r="H522" s="16">
        <v>45596.1808912037</v>
      </c>
      <c r="I522" s="14" t="s">
        <v>39</v>
      </c>
      <c r="J522" s="14" t="s">
        <v>40</v>
      </c>
      <c r="K522" s="14" t="s">
        <v>41</v>
      </c>
      <c r="L522" s="14" t="s">
        <v>42</v>
      </c>
      <c r="M522" s="14" t="s">
        <v>98</v>
      </c>
      <c r="N522" s="17"/>
      <c r="O522" s="17"/>
      <c r="P522" s="14" t="s">
        <v>260</v>
      </c>
      <c r="Q522" s="14"/>
      <c r="R522" s="13">
        <f>HYPERLINK("https://app.hubspot.com/contacts/8748051/record/0-2/13452522550", 13452522550)</f>
        <v>13452522550</v>
      </c>
      <c r="S522" s="14" t="s">
        <v>1819</v>
      </c>
      <c r="T522" s="18" t="s">
        <v>1820</v>
      </c>
      <c r="U522" s="14" t="s">
        <v>46</v>
      </c>
      <c r="V522" s="22"/>
      <c r="W522" s="19">
        <v>241.0</v>
      </c>
      <c r="X522" s="19">
        <v>53.0</v>
      </c>
      <c r="Y522" s="20"/>
      <c r="Z522" s="21"/>
      <c r="AA522" s="21"/>
      <c r="AB522" s="21"/>
      <c r="AC522" s="21"/>
      <c r="AD522" s="21"/>
      <c r="AE522" s="21"/>
      <c r="AF522" s="17" t="str">
        <f t="shared" si="1"/>
        <v>New Logo</v>
      </c>
      <c r="AG522" s="17" t="str">
        <f t="shared" si="2"/>
        <v>Lead</v>
      </c>
      <c r="AH522" s="17" t="str">
        <f t="shared" si="3"/>
        <v>201-500</v>
      </c>
      <c r="AI522" s="17" t="str">
        <f t="shared" si="4"/>
        <v>51-100</v>
      </c>
    </row>
    <row r="523" ht="15.75" customHeight="1">
      <c r="A523" s="13">
        <f>HYPERLINK("https://app.hubspot.com/contacts/8748051/record/0-3/18967322425", 18967322425)</f>
        <v>18967322425</v>
      </c>
      <c r="B523" s="14" t="s">
        <v>1821</v>
      </c>
      <c r="C523" s="14" t="s">
        <v>1008</v>
      </c>
      <c r="D523" s="15">
        <v>7920.0</v>
      </c>
      <c r="E523" s="14" t="s">
        <v>118</v>
      </c>
      <c r="F523" s="14"/>
      <c r="G523" s="16">
        <v>45411.0034375</v>
      </c>
      <c r="H523" s="16">
        <v>45594.00299768519</v>
      </c>
      <c r="I523" s="14" t="s">
        <v>39</v>
      </c>
      <c r="J523" s="14" t="s">
        <v>40</v>
      </c>
      <c r="K523" s="14" t="s">
        <v>558</v>
      </c>
      <c r="L523" s="14" t="s">
        <v>559</v>
      </c>
      <c r="M523" s="14" t="s">
        <v>98</v>
      </c>
      <c r="N523" s="14"/>
      <c r="O523" s="14"/>
      <c r="P523" s="14"/>
      <c r="Q523" s="17"/>
      <c r="R523" s="13">
        <f>HYPERLINK("https://app.hubspot.com/contacts/8748051/record/0-2/16066097808", 16066097808)</f>
        <v>16066097808</v>
      </c>
      <c r="S523" s="14" t="s">
        <v>1822</v>
      </c>
      <c r="T523" s="14" t="s">
        <v>1823</v>
      </c>
      <c r="U523" s="14" t="s">
        <v>46</v>
      </c>
      <c r="V523" s="15"/>
      <c r="W523" s="19">
        <v>252.0</v>
      </c>
      <c r="X523" s="19">
        <v>35.0</v>
      </c>
      <c r="Y523" s="20"/>
      <c r="Z523" s="20"/>
      <c r="AA523" s="21"/>
      <c r="AB523" s="21"/>
      <c r="AC523" s="20"/>
      <c r="AD523" s="20"/>
      <c r="AE523" s="20"/>
      <c r="AF523" s="17" t="str">
        <f t="shared" si="1"/>
        <v>New Logo</v>
      </c>
      <c r="AG523" s="17" t="str">
        <f t="shared" si="2"/>
        <v>Lead</v>
      </c>
      <c r="AH523" s="17" t="str">
        <f t="shared" si="3"/>
        <v>201-500</v>
      </c>
      <c r="AI523" s="17" t="str">
        <f t="shared" si="4"/>
        <v>21-50</v>
      </c>
    </row>
    <row r="524" ht="15.75" customHeight="1">
      <c r="A524" s="13">
        <f>HYPERLINK("https://app.hubspot.com/contacts/8748051/record/0-3/18967221561", 18967221561)</f>
        <v>18967221561</v>
      </c>
      <c r="B524" s="14" t="s">
        <v>1824</v>
      </c>
      <c r="C524" s="14" t="s">
        <v>1008</v>
      </c>
      <c r="D524" s="15">
        <v>8880.0</v>
      </c>
      <c r="E524" s="14" t="s">
        <v>118</v>
      </c>
      <c r="F524" s="14"/>
      <c r="G524" s="16">
        <v>45411.00082175926</v>
      </c>
      <c r="H524" s="16">
        <v>45594.0002662037</v>
      </c>
      <c r="I524" s="14" t="s">
        <v>39</v>
      </c>
      <c r="J524" s="14" t="s">
        <v>40</v>
      </c>
      <c r="K524" s="14" t="s">
        <v>558</v>
      </c>
      <c r="L524" s="14" t="s">
        <v>559</v>
      </c>
      <c r="M524" s="14"/>
      <c r="N524" s="14"/>
      <c r="O524" s="17"/>
      <c r="P524" s="14" t="s">
        <v>119</v>
      </c>
      <c r="Q524" s="14"/>
      <c r="R524" s="13">
        <f>HYPERLINK("https://app.hubspot.com/contacts/8748051/record/0-2/16065522216", 16065522216)</f>
        <v>16065522216</v>
      </c>
      <c r="S524" s="14" t="s">
        <v>1825</v>
      </c>
      <c r="T524" s="18" t="s">
        <v>1826</v>
      </c>
      <c r="U524" s="14" t="s">
        <v>46</v>
      </c>
      <c r="V524" s="15"/>
      <c r="W524" s="19">
        <v>324.0</v>
      </c>
      <c r="X524" s="19">
        <v>53.0</v>
      </c>
      <c r="Y524" s="20" t="s">
        <v>104</v>
      </c>
      <c r="Z524" s="20"/>
      <c r="AA524" s="20"/>
      <c r="AB524" s="21"/>
      <c r="AC524" s="20"/>
      <c r="AD524" s="20"/>
      <c r="AE524" s="20"/>
      <c r="AF524" s="17" t="str">
        <f t="shared" si="1"/>
        <v>New Logo</v>
      </c>
      <c r="AG524" s="17" t="str">
        <f t="shared" si="2"/>
        <v>Lead</v>
      </c>
      <c r="AH524" s="17" t="str">
        <f t="shared" si="3"/>
        <v>201-500</v>
      </c>
      <c r="AI524" s="17" t="str">
        <f t="shared" si="4"/>
        <v>51-100</v>
      </c>
    </row>
    <row r="525" ht="15.75" customHeight="1">
      <c r="A525" s="13">
        <f>HYPERLINK("https://app.hubspot.com/contacts/8748051/record/0-3/18899800123", 18899800123)</f>
        <v>18899800123</v>
      </c>
      <c r="B525" s="14" t="s">
        <v>1827</v>
      </c>
      <c r="C525" s="14" t="s">
        <v>1227</v>
      </c>
      <c r="D525" s="15">
        <v>5400.0</v>
      </c>
      <c r="E525" s="14" t="s">
        <v>89</v>
      </c>
      <c r="F525" s="14" t="s">
        <v>51</v>
      </c>
      <c r="G525" s="16">
        <v>45407.56851851852</v>
      </c>
      <c r="H525" s="16">
        <v>45572.115266203706</v>
      </c>
      <c r="I525" s="14" t="s">
        <v>39</v>
      </c>
      <c r="J525" s="14" t="s">
        <v>40</v>
      </c>
      <c r="K525" s="14" t="s">
        <v>59</v>
      </c>
      <c r="L525" s="14" t="s">
        <v>175</v>
      </c>
      <c r="M525" s="14" t="s">
        <v>98</v>
      </c>
      <c r="N525" s="14" t="s">
        <v>1828</v>
      </c>
      <c r="O525" s="17"/>
      <c r="P525" s="14"/>
      <c r="Q525" s="17"/>
      <c r="R525" s="13">
        <f>HYPERLINK("https://app.hubspot.com/contacts/8748051/record/0-2/8831495001", 8831495001)</f>
        <v>8831495001</v>
      </c>
      <c r="S525" s="14" t="s">
        <v>1829</v>
      </c>
      <c r="T525" s="18" t="s">
        <v>1830</v>
      </c>
      <c r="U525" s="14">
        <v>3.4564763E7</v>
      </c>
      <c r="V525" s="15">
        <v>5400.0</v>
      </c>
      <c r="W525" s="19">
        <v>3544.0</v>
      </c>
      <c r="X525" s="19">
        <v>342.0</v>
      </c>
      <c r="Y525" s="20"/>
      <c r="Z525" s="20" t="s">
        <v>218</v>
      </c>
      <c r="AA525" s="20"/>
      <c r="AB525" s="21"/>
      <c r="AC525" s="20" t="s">
        <v>1831</v>
      </c>
      <c r="AD525" s="20" t="s">
        <v>1832</v>
      </c>
      <c r="AE525" s="20" t="s">
        <v>209</v>
      </c>
      <c r="AF525" s="17" t="str">
        <f t="shared" si="1"/>
        <v>New Logo</v>
      </c>
      <c r="AG525" s="17" t="str">
        <f t="shared" si="2"/>
        <v>Churn</v>
      </c>
      <c r="AH525" s="17" t="str">
        <f t="shared" si="3"/>
        <v>1001-5000</v>
      </c>
      <c r="AI525" s="17" t="str">
        <f t="shared" si="4"/>
        <v>101-500</v>
      </c>
    </row>
    <row r="526" ht="15.75" customHeight="1">
      <c r="A526" s="13">
        <f>HYPERLINK("https://app.hubspot.com/contacts/8748051/record/0-3/18895022157", 18895022157)</f>
        <v>18895022157</v>
      </c>
      <c r="B526" s="14" t="s">
        <v>1833</v>
      </c>
      <c r="C526" s="14" t="s">
        <v>1834</v>
      </c>
      <c r="D526" s="15">
        <v>17500.0</v>
      </c>
      <c r="E526" s="14" t="s">
        <v>89</v>
      </c>
      <c r="F526" s="14"/>
      <c r="G526" s="16">
        <v>45407.35533564815</v>
      </c>
      <c r="H526" s="16">
        <v>45170.354363425926</v>
      </c>
      <c r="I526" s="14" t="s">
        <v>39</v>
      </c>
      <c r="J526" s="14" t="s">
        <v>179</v>
      </c>
      <c r="K526" s="14"/>
      <c r="L526" s="14" t="s">
        <v>159</v>
      </c>
      <c r="M526" s="14" t="s">
        <v>43</v>
      </c>
      <c r="N526" s="14" t="s">
        <v>1835</v>
      </c>
      <c r="O526" s="14"/>
      <c r="P526" s="14"/>
      <c r="Q526" s="14"/>
      <c r="R526" s="13">
        <f>HYPERLINK("https://app.hubspot.com/contacts/8748051/record/0-2/6996465316", 6996465316)</f>
        <v>6996465316</v>
      </c>
      <c r="S526" s="14" t="s">
        <v>788</v>
      </c>
      <c r="T526" s="18" t="s">
        <v>789</v>
      </c>
      <c r="U526" s="14" t="s">
        <v>93</v>
      </c>
      <c r="V526" s="15">
        <v>52500.0</v>
      </c>
      <c r="W526" s="19">
        <v>848.0</v>
      </c>
      <c r="X526" s="19">
        <v>65.0</v>
      </c>
      <c r="Y526" s="20"/>
      <c r="Z526" s="20" t="s">
        <v>218</v>
      </c>
      <c r="AA526" s="20" t="s">
        <v>192</v>
      </c>
      <c r="AB526" s="21"/>
      <c r="AC526" s="20" t="s">
        <v>790</v>
      </c>
      <c r="AD526" s="21"/>
      <c r="AE526" s="20" t="s">
        <v>166</v>
      </c>
      <c r="AF526" s="17" t="str">
        <f t="shared" si="1"/>
        <v>Upsell</v>
      </c>
      <c r="AG526" s="17" t="str">
        <f t="shared" si="2"/>
        <v>Customer</v>
      </c>
      <c r="AH526" s="17" t="str">
        <f t="shared" si="3"/>
        <v>501-1000</v>
      </c>
      <c r="AI526" s="17" t="str">
        <f t="shared" si="4"/>
        <v>51-100</v>
      </c>
    </row>
    <row r="527" ht="15.75" customHeight="1">
      <c r="A527" s="13">
        <f>HYPERLINK("https://app.hubspot.com/contacts/8748051/record/0-3/18877324962", 18877324962)</f>
        <v>18877324962</v>
      </c>
      <c r="B527" s="14" t="s">
        <v>1836</v>
      </c>
      <c r="C527" s="14" t="s">
        <v>49</v>
      </c>
      <c r="D527" s="15">
        <v>18000.0</v>
      </c>
      <c r="E527" s="14" t="s">
        <v>118</v>
      </c>
      <c r="F527" s="14" t="s">
        <v>51</v>
      </c>
      <c r="G527" s="16">
        <v>45406.6372337963</v>
      </c>
      <c r="H527" s="16">
        <v>45589.63318287037</v>
      </c>
      <c r="I527" s="14" t="s">
        <v>39</v>
      </c>
      <c r="J527" s="14" t="s">
        <v>40</v>
      </c>
      <c r="K527" s="14" t="s">
        <v>1186</v>
      </c>
      <c r="L527" s="14" t="s">
        <v>559</v>
      </c>
      <c r="M527" s="14" t="s">
        <v>43</v>
      </c>
      <c r="N527" s="17"/>
      <c r="O527" s="14"/>
      <c r="P527" s="14" t="s">
        <v>232</v>
      </c>
      <c r="Q527" s="14"/>
      <c r="R527" s="13">
        <f>HYPERLINK("https://app.hubspot.com/contacts/8748051/record/0-2/7242660753", 7242660753)</f>
        <v>7242660753</v>
      </c>
      <c r="S527" s="14" t="s">
        <v>1837</v>
      </c>
      <c r="T527" s="18" t="s">
        <v>1838</v>
      </c>
      <c r="U527" s="14" t="s">
        <v>46</v>
      </c>
      <c r="V527" s="22"/>
      <c r="W527" s="19">
        <v>311.0</v>
      </c>
      <c r="X527" s="19">
        <v>50.0</v>
      </c>
      <c r="Y527" s="20" t="s">
        <v>70</v>
      </c>
      <c r="Z527" s="21"/>
      <c r="AA527" s="21"/>
      <c r="AB527" s="21"/>
      <c r="AC527" s="21"/>
      <c r="AD527" s="21"/>
      <c r="AE527" s="21"/>
      <c r="AF527" s="17" t="str">
        <f t="shared" si="1"/>
        <v>New Logo</v>
      </c>
      <c r="AG527" s="17" t="str">
        <f t="shared" si="2"/>
        <v>Lead</v>
      </c>
      <c r="AH527" s="17" t="str">
        <f t="shared" si="3"/>
        <v>201-500</v>
      </c>
      <c r="AI527" s="17" t="str">
        <f t="shared" si="4"/>
        <v>21-50</v>
      </c>
    </row>
    <row r="528" ht="15.75" customHeight="1">
      <c r="A528" s="13">
        <f>HYPERLINK("https://app.hubspot.com/contacts/8748051/record/0-3/18874796404", 18874796404)</f>
        <v>18874796404</v>
      </c>
      <c r="B528" s="14" t="s">
        <v>1839</v>
      </c>
      <c r="C528" s="14" t="s">
        <v>49</v>
      </c>
      <c r="D528" s="15">
        <v>5280.0</v>
      </c>
      <c r="E528" s="14" t="s">
        <v>118</v>
      </c>
      <c r="F528" s="14"/>
      <c r="G528" s="16">
        <v>45406.59761574074</v>
      </c>
      <c r="H528" s="16">
        <v>45589.596817129626</v>
      </c>
      <c r="I528" s="14" t="s">
        <v>39</v>
      </c>
      <c r="J528" s="14" t="s">
        <v>40</v>
      </c>
      <c r="K528" s="14" t="s">
        <v>1186</v>
      </c>
      <c r="L528" s="14" t="s">
        <v>559</v>
      </c>
      <c r="M528" s="14" t="s">
        <v>43</v>
      </c>
      <c r="N528" s="17"/>
      <c r="O528" s="17"/>
      <c r="P528" s="14"/>
      <c r="Q528" s="14"/>
      <c r="R528" s="13">
        <f>HYPERLINK("https://app.hubspot.com/contacts/8748051/record/0-2/19176639378", 19176639378)</f>
        <v>19176639378</v>
      </c>
      <c r="S528" s="14" t="s">
        <v>1840</v>
      </c>
      <c r="T528" s="18" t="s">
        <v>1841</v>
      </c>
      <c r="U528" s="14" t="s">
        <v>46</v>
      </c>
      <c r="V528" s="22"/>
      <c r="W528" s="19">
        <v>116.0</v>
      </c>
      <c r="X528" s="19">
        <v>15.0</v>
      </c>
      <c r="Y528" s="20"/>
      <c r="Z528" s="21"/>
      <c r="AA528" s="21"/>
      <c r="AB528" s="21"/>
      <c r="AC528" s="21"/>
      <c r="AD528" s="21"/>
      <c r="AE528" s="21"/>
      <c r="AF528" s="17" t="str">
        <f t="shared" si="1"/>
        <v>New Logo</v>
      </c>
      <c r="AG528" s="17" t="str">
        <f t="shared" si="2"/>
        <v>Lead</v>
      </c>
      <c r="AH528" s="17" t="str">
        <f t="shared" si="3"/>
        <v>0-200</v>
      </c>
      <c r="AI528" s="17" t="str">
        <f t="shared" si="4"/>
        <v>0-20</v>
      </c>
    </row>
    <row r="529" ht="15.75" customHeight="1">
      <c r="A529" s="13">
        <f>HYPERLINK("https://app.hubspot.com/contacts/8748051/record/0-3/18820879654", 18820879654)</f>
        <v>18820879654</v>
      </c>
      <c r="B529" s="14" t="s">
        <v>1842</v>
      </c>
      <c r="C529" s="14" t="s">
        <v>37</v>
      </c>
      <c r="D529" s="15">
        <v>21600.0</v>
      </c>
      <c r="E529" s="14" t="s">
        <v>124</v>
      </c>
      <c r="F529" s="14" t="s">
        <v>51</v>
      </c>
      <c r="G529" s="16">
        <v>45404.40045138889</v>
      </c>
      <c r="H529" s="16">
        <v>45657.546689814815</v>
      </c>
      <c r="I529" s="14" t="s">
        <v>39</v>
      </c>
      <c r="J529" s="14" t="s">
        <v>52</v>
      </c>
      <c r="K529" s="14" t="s">
        <v>1186</v>
      </c>
      <c r="L529" s="14" t="s">
        <v>559</v>
      </c>
      <c r="M529" s="14" t="s">
        <v>43</v>
      </c>
      <c r="N529" s="17"/>
      <c r="O529" s="14"/>
      <c r="P529" s="14"/>
      <c r="Q529" s="14" t="s">
        <v>125</v>
      </c>
      <c r="R529" s="13">
        <f>HYPERLINK("https://app.hubspot.com/contacts/8748051/record/0-2/7673856018", 7673856018)</f>
        <v>7673856018</v>
      </c>
      <c r="S529" s="14" t="s">
        <v>1843</v>
      </c>
      <c r="T529" s="18" t="s">
        <v>1844</v>
      </c>
      <c r="U529" s="14" t="s">
        <v>46</v>
      </c>
      <c r="V529" s="22"/>
      <c r="W529" s="19">
        <v>641.0</v>
      </c>
      <c r="X529" s="19">
        <v>179.0</v>
      </c>
      <c r="Y529" s="20" t="s">
        <v>55</v>
      </c>
      <c r="Z529" s="21"/>
      <c r="AA529" s="21"/>
      <c r="AB529" s="21"/>
      <c r="AC529" s="21"/>
      <c r="AD529" s="21"/>
      <c r="AE529" s="21"/>
      <c r="AF529" s="17" t="str">
        <f t="shared" si="1"/>
        <v>New Logo</v>
      </c>
      <c r="AG529" s="17" t="str">
        <f t="shared" si="2"/>
        <v>Lead</v>
      </c>
      <c r="AH529" s="17" t="str">
        <f t="shared" si="3"/>
        <v>501-1000</v>
      </c>
      <c r="AI529" s="17" t="str">
        <f t="shared" si="4"/>
        <v>101-500</v>
      </c>
    </row>
    <row r="530" ht="15.75" customHeight="1">
      <c r="A530" s="13">
        <f>HYPERLINK("https://app.hubspot.com/contacts/8748051/record/0-3/18815495849", 18815495849)</f>
        <v>18815495849</v>
      </c>
      <c r="B530" s="14" t="s">
        <v>1845</v>
      </c>
      <c r="C530" s="14" t="s">
        <v>1008</v>
      </c>
      <c r="D530" s="15">
        <v>5760.0</v>
      </c>
      <c r="E530" s="14" t="s">
        <v>118</v>
      </c>
      <c r="F530" s="14"/>
      <c r="G530" s="16">
        <v>45404.039664351854</v>
      </c>
      <c r="H530" s="16">
        <v>45587.039247685185</v>
      </c>
      <c r="I530" s="14" t="s">
        <v>39</v>
      </c>
      <c r="J530" s="14" t="s">
        <v>40</v>
      </c>
      <c r="K530" s="14" t="s">
        <v>558</v>
      </c>
      <c r="L530" s="14" t="s">
        <v>559</v>
      </c>
      <c r="M530" s="14" t="s">
        <v>43</v>
      </c>
      <c r="N530" s="17"/>
      <c r="O530" s="17"/>
      <c r="P530" s="14" t="s">
        <v>211</v>
      </c>
      <c r="Q530" s="14"/>
      <c r="R530" s="13">
        <f>HYPERLINK("https://app.hubspot.com/contacts/8748051/record/0-2/6936374888", 6936374888)</f>
        <v>6936374888</v>
      </c>
      <c r="S530" s="14" t="s">
        <v>1846</v>
      </c>
      <c r="T530" s="18" t="s">
        <v>1847</v>
      </c>
      <c r="U530" s="14" t="s">
        <v>46</v>
      </c>
      <c r="V530" s="22"/>
      <c r="W530" s="19">
        <v>224.0</v>
      </c>
      <c r="X530" s="19">
        <v>51.0</v>
      </c>
      <c r="Y530" s="20" t="s">
        <v>104</v>
      </c>
      <c r="Z530" s="21"/>
      <c r="AA530" s="21"/>
      <c r="AB530" s="21"/>
      <c r="AC530" s="21"/>
      <c r="AD530" s="21"/>
      <c r="AE530" s="21"/>
      <c r="AF530" s="17" t="str">
        <f t="shared" si="1"/>
        <v>New Logo</v>
      </c>
      <c r="AG530" s="17" t="str">
        <f t="shared" si="2"/>
        <v>Lead</v>
      </c>
      <c r="AH530" s="17" t="str">
        <f t="shared" si="3"/>
        <v>201-500</v>
      </c>
      <c r="AI530" s="17" t="str">
        <f t="shared" si="4"/>
        <v>51-100</v>
      </c>
    </row>
    <row r="531" ht="15.75" customHeight="1">
      <c r="A531" s="13">
        <f>HYPERLINK("https://app.hubspot.com/contacts/8748051/record/0-3/18730838812", 18730838812)</f>
        <v>18730838812</v>
      </c>
      <c r="B531" s="14" t="s">
        <v>1848</v>
      </c>
      <c r="C531" s="14" t="s">
        <v>1008</v>
      </c>
      <c r="D531" s="15">
        <v>4560.0</v>
      </c>
      <c r="E531" s="14" t="s">
        <v>124</v>
      </c>
      <c r="F531" s="14" t="s">
        <v>51</v>
      </c>
      <c r="G531" s="16">
        <v>45400.43866898148</v>
      </c>
      <c r="H531" s="16">
        <v>45583.43827546296</v>
      </c>
      <c r="I531" s="14" t="s">
        <v>39</v>
      </c>
      <c r="J531" s="14" t="s">
        <v>40</v>
      </c>
      <c r="K531" s="14" t="s">
        <v>41</v>
      </c>
      <c r="L531" s="14" t="s">
        <v>42</v>
      </c>
      <c r="M531" s="14" t="s">
        <v>43</v>
      </c>
      <c r="N531" s="17"/>
      <c r="O531" s="17"/>
      <c r="P531" s="14"/>
      <c r="Q531" s="14" t="s">
        <v>141</v>
      </c>
      <c r="R531" s="13">
        <f>HYPERLINK("https://app.hubspot.com/contacts/8748051/record/0-2/20334216210", 20334216210)</f>
        <v>20334216210</v>
      </c>
      <c r="S531" s="14" t="s">
        <v>1849</v>
      </c>
      <c r="T531" s="18" t="s">
        <v>1850</v>
      </c>
      <c r="U531" s="14" t="s">
        <v>46</v>
      </c>
      <c r="V531" s="22"/>
      <c r="W531" s="19">
        <v>724.0</v>
      </c>
      <c r="X531" s="19">
        <v>43.0</v>
      </c>
      <c r="Y531" s="20" t="s">
        <v>104</v>
      </c>
      <c r="Z531" s="21"/>
      <c r="AA531" s="21"/>
      <c r="AB531" s="21"/>
      <c r="AC531" s="21"/>
      <c r="AD531" s="21"/>
      <c r="AE531" s="21"/>
      <c r="AF531" s="17" t="str">
        <f t="shared" si="1"/>
        <v>New Logo</v>
      </c>
      <c r="AG531" s="17" t="str">
        <f t="shared" si="2"/>
        <v>Lead</v>
      </c>
      <c r="AH531" s="17" t="str">
        <f t="shared" si="3"/>
        <v>501-1000</v>
      </c>
      <c r="AI531" s="17" t="str">
        <f t="shared" si="4"/>
        <v>21-50</v>
      </c>
    </row>
    <row r="532" ht="15.75" customHeight="1">
      <c r="A532" s="13">
        <f>HYPERLINK("https://app.hubspot.com/contacts/8748051/record/0-3/18729240990", 18729240990)</f>
        <v>18729240990</v>
      </c>
      <c r="B532" s="14" t="s">
        <v>1851</v>
      </c>
      <c r="C532" s="14" t="s">
        <v>49</v>
      </c>
      <c r="D532" s="15">
        <v>4560.0</v>
      </c>
      <c r="E532" s="14" t="s">
        <v>118</v>
      </c>
      <c r="F532" s="14"/>
      <c r="G532" s="16">
        <v>45400.37943287037</v>
      </c>
      <c r="H532" s="16">
        <v>45583.37914351852</v>
      </c>
      <c r="I532" s="14" t="s">
        <v>39</v>
      </c>
      <c r="J532" s="14" t="s">
        <v>40</v>
      </c>
      <c r="K532" s="14" t="s">
        <v>1186</v>
      </c>
      <c r="L532" s="14" t="s">
        <v>175</v>
      </c>
      <c r="M532" s="14" t="s">
        <v>43</v>
      </c>
      <c r="N532" s="17"/>
      <c r="O532" s="14"/>
      <c r="P532" s="14"/>
      <c r="Q532" s="17"/>
      <c r="R532" s="13">
        <f>HYPERLINK("https://app.hubspot.com/contacts/8748051/record/0-2/18832134671", 18832134671)</f>
        <v>18832134671</v>
      </c>
      <c r="S532" s="14" t="s">
        <v>1852</v>
      </c>
      <c r="T532" s="18" t="s">
        <v>1853</v>
      </c>
      <c r="U532" s="14" t="s">
        <v>46</v>
      </c>
      <c r="V532" s="22"/>
      <c r="W532" s="19">
        <v>203.0</v>
      </c>
      <c r="X532" s="19">
        <v>29.0</v>
      </c>
      <c r="Y532" s="20"/>
      <c r="Z532" s="21"/>
      <c r="AA532" s="21"/>
      <c r="AB532" s="21"/>
      <c r="AC532" s="21"/>
      <c r="AD532" s="21"/>
      <c r="AE532" s="21"/>
      <c r="AF532" s="17" t="str">
        <f t="shared" si="1"/>
        <v>New Logo</v>
      </c>
      <c r="AG532" s="17" t="str">
        <f t="shared" si="2"/>
        <v>Lead</v>
      </c>
      <c r="AH532" s="17" t="str">
        <f t="shared" si="3"/>
        <v>201-500</v>
      </c>
      <c r="AI532" s="17" t="str">
        <f t="shared" si="4"/>
        <v>21-50</v>
      </c>
    </row>
    <row r="533" ht="15.75" customHeight="1">
      <c r="A533" s="13">
        <f>HYPERLINK("https://app.hubspot.com/contacts/8748051/record/0-3/18729245276", 18729245276)</f>
        <v>18729245276</v>
      </c>
      <c r="B533" s="14" t="s">
        <v>1854</v>
      </c>
      <c r="C533" s="14" t="s">
        <v>49</v>
      </c>
      <c r="D533" s="15">
        <v>14640.0</v>
      </c>
      <c r="E533" s="14" t="s">
        <v>118</v>
      </c>
      <c r="F533" s="14"/>
      <c r="G533" s="16">
        <v>45400.37872685185</v>
      </c>
      <c r="H533" s="16">
        <v>45583.37836805556</v>
      </c>
      <c r="I533" s="14" t="s">
        <v>39</v>
      </c>
      <c r="J533" s="14" t="s">
        <v>40</v>
      </c>
      <c r="K533" s="14" t="s">
        <v>1186</v>
      </c>
      <c r="L533" s="14" t="s">
        <v>559</v>
      </c>
      <c r="M533" s="14" t="s">
        <v>43</v>
      </c>
      <c r="N533" s="17"/>
      <c r="O533" s="14"/>
      <c r="P533" s="14"/>
      <c r="Q533" s="14"/>
      <c r="R533" s="13">
        <f>HYPERLINK("https://app.hubspot.com/contacts/8748051/record/0-2/8929939120", 8929939120)</f>
        <v>8929939120</v>
      </c>
      <c r="S533" s="14" t="s">
        <v>1855</v>
      </c>
      <c r="T533" s="18" t="s">
        <v>1856</v>
      </c>
      <c r="U533" s="14" t="s">
        <v>46</v>
      </c>
      <c r="V533" s="22"/>
      <c r="W533" s="19">
        <v>411.0</v>
      </c>
      <c r="X533" s="19">
        <v>31.0</v>
      </c>
      <c r="Y533" s="20" t="s">
        <v>104</v>
      </c>
      <c r="Z533" s="21"/>
      <c r="AA533" s="21"/>
      <c r="AB533" s="21"/>
      <c r="AC533" s="21"/>
      <c r="AD533" s="21"/>
      <c r="AE533" s="21"/>
      <c r="AF533" s="17" t="str">
        <f t="shared" si="1"/>
        <v>New Logo</v>
      </c>
      <c r="AG533" s="17" t="str">
        <f t="shared" si="2"/>
        <v>Lead</v>
      </c>
      <c r="AH533" s="17" t="str">
        <f t="shared" si="3"/>
        <v>201-500</v>
      </c>
      <c r="AI533" s="17" t="str">
        <f t="shared" si="4"/>
        <v>21-50</v>
      </c>
    </row>
    <row r="534" ht="15.75" customHeight="1">
      <c r="A534" s="13">
        <f>HYPERLINK("https://app.hubspot.com/contacts/8748051/record/0-3/18729240670", 18729240670)</f>
        <v>18729240670</v>
      </c>
      <c r="B534" s="14" t="s">
        <v>1857</v>
      </c>
      <c r="C534" s="14" t="s">
        <v>145</v>
      </c>
      <c r="D534" s="15">
        <v>7440.0</v>
      </c>
      <c r="E534" s="14" t="s">
        <v>118</v>
      </c>
      <c r="F534" s="14"/>
      <c r="G534" s="16">
        <v>45400.37782407407</v>
      </c>
      <c r="H534" s="16">
        <v>45583.37732638889</v>
      </c>
      <c r="I534" s="14" t="s">
        <v>39</v>
      </c>
      <c r="J534" s="14" t="s">
        <v>40</v>
      </c>
      <c r="K534" s="14" t="s">
        <v>1186</v>
      </c>
      <c r="L534" s="14" t="s">
        <v>175</v>
      </c>
      <c r="M534" s="14" t="s">
        <v>43</v>
      </c>
      <c r="N534" s="14"/>
      <c r="O534" s="17"/>
      <c r="P534" s="14"/>
      <c r="Q534" s="14"/>
      <c r="R534" s="13">
        <f>HYPERLINK("https://app.hubspot.com/contacts/8748051/record/0-2/7786743127", 7786743127)</f>
        <v>7786743127</v>
      </c>
      <c r="S534" s="14" t="s">
        <v>1858</v>
      </c>
      <c r="T534" s="18" t="s">
        <v>1859</v>
      </c>
      <c r="U534" s="14" t="s">
        <v>46</v>
      </c>
      <c r="V534" s="15"/>
      <c r="W534" s="19">
        <v>301.0</v>
      </c>
      <c r="X534" s="19">
        <v>21.0</v>
      </c>
      <c r="Y534" s="20" t="s">
        <v>1740</v>
      </c>
      <c r="Z534" s="20"/>
      <c r="AA534" s="20"/>
      <c r="AB534" s="21"/>
      <c r="AC534" s="20"/>
      <c r="AD534" s="20"/>
      <c r="AE534" s="20"/>
      <c r="AF534" s="17" t="str">
        <f t="shared" si="1"/>
        <v>New Logo</v>
      </c>
      <c r="AG534" s="17" t="str">
        <f t="shared" si="2"/>
        <v>Lead</v>
      </c>
      <c r="AH534" s="17" t="str">
        <f t="shared" si="3"/>
        <v>201-500</v>
      </c>
      <c r="AI534" s="17" t="str">
        <f t="shared" si="4"/>
        <v>21-50</v>
      </c>
    </row>
    <row r="535" ht="15.75" customHeight="1">
      <c r="A535" s="13">
        <f>HYPERLINK("https://app.hubspot.com/contacts/8748051/record/0-3/18721169187", 18721169187)</f>
        <v>18721169187</v>
      </c>
      <c r="B535" s="14" t="s">
        <v>1860</v>
      </c>
      <c r="C535" s="14" t="s">
        <v>49</v>
      </c>
      <c r="D535" s="15">
        <v>10000.0</v>
      </c>
      <c r="E535" s="14" t="s">
        <v>124</v>
      </c>
      <c r="F535" s="14" t="s">
        <v>51</v>
      </c>
      <c r="G535" s="16">
        <v>45400.07864583333</v>
      </c>
      <c r="H535" s="16">
        <v>45583.34005787037</v>
      </c>
      <c r="I535" s="14" t="s">
        <v>39</v>
      </c>
      <c r="J535" s="14" t="s">
        <v>40</v>
      </c>
      <c r="K535" s="14" t="s">
        <v>558</v>
      </c>
      <c r="L535" s="14" t="s">
        <v>559</v>
      </c>
      <c r="M535" s="14" t="s">
        <v>72</v>
      </c>
      <c r="N535" s="17"/>
      <c r="O535" s="17"/>
      <c r="P535" s="14"/>
      <c r="Q535" s="14" t="s">
        <v>141</v>
      </c>
      <c r="R535" s="13">
        <f>HYPERLINK("https://app.hubspot.com/contacts/8748051/record/0-2/9238284430", 9238284430)</f>
        <v>9238284430</v>
      </c>
      <c r="S535" s="14" t="s">
        <v>1861</v>
      </c>
      <c r="T535" s="18" t="s">
        <v>1862</v>
      </c>
      <c r="U535" s="14" t="s">
        <v>46</v>
      </c>
      <c r="V535" s="22"/>
      <c r="W535" s="19">
        <v>131.0</v>
      </c>
      <c r="X535" s="19">
        <v>20.0</v>
      </c>
      <c r="Y535" s="20"/>
      <c r="Z535" s="21"/>
      <c r="AA535" s="21"/>
      <c r="AB535" s="21"/>
      <c r="AC535" s="21"/>
      <c r="AD535" s="21"/>
      <c r="AE535" s="21"/>
      <c r="AF535" s="17" t="str">
        <f t="shared" si="1"/>
        <v>New Logo</v>
      </c>
      <c r="AG535" s="17" t="str">
        <f t="shared" si="2"/>
        <v>Lead</v>
      </c>
      <c r="AH535" s="17" t="str">
        <f t="shared" si="3"/>
        <v>0-200</v>
      </c>
      <c r="AI535" s="17" t="str">
        <f t="shared" si="4"/>
        <v>0-20</v>
      </c>
    </row>
    <row r="536" ht="15.75" customHeight="1">
      <c r="A536" s="13">
        <f>HYPERLINK("https://app.hubspot.com/contacts/8748051/record/0-3/18712204348", 18712204348)</f>
        <v>18712204348</v>
      </c>
      <c r="B536" s="14" t="s">
        <v>1863</v>
      </c>
      <c r="C536" s="14" t="s">
        <v>49</v>
      </c>
      <c r="D536" s="15">
        <v>5760.0</v>
      </c>
      <c r="E536" s="14" t="s">
        <v>118</v>
      </c>
      <c r="F536" s="14"/>
      <c r="G536" s="16">
        <v>45399.71795138889</v>
      </c>
      <c r="H536" s="16">
        <v>45582.717627314814</v>
      </c>
      <c r="I536" s="14" t="s">
        <v>39</v>
      </c>
      <c r="J536" s="14" t="s">
        <v>40</v>
      </c>
      <c r="K536" s="14" t="s">
        <v>1186</v>
      </c>
      <c r="L536" s="14" t="s">
        <v>559</v>
      </c>
      <c r="M536" s="14" t="s">
        <v>43</v>
      </c>
      <c r="N536" s="14"/>
      <c r="O536" s="14"/>
      <c r="P536" s="14"/>
      <c r="Q536" s="14"/>
      <c r="R536" s="13">
        <f>HYPERLINK("https://app.hubspot.com/contacts/8748051/record/0-2/7398503445", 7398503445)</f>
        <v>7398503445</v>
      </c>
      <c r="S536" s="14" t="s">
        <v>1864</v>
      </c>
      <c r="T536" s="18" t="s">
        <v>1865</v>
      </c>
      <c r="U536" s="14" t="s">
        <v>46</v>
      </c>
      <c r="V536" s="15"/>
      <c r="W536" s="19">
        <v>158.0</v>
      </c>
      <c r="X536" s="19">
        <v>20.0</v>
      </c>
      <c r="Y536" s="20" t="s">
        <v>70</v>
      </c>
      <c r="Z536" s="20"/>
      <c r="AA536" s="20"/>
      <c r="AB536" s="20"/>
      <c r="AC536" s="20"/>
      <c r="AD536" s="20"/>
      <c r="AE536" s="20"/>
      <c r="AF536" s="17" t="str">
        <f t="shared" si="1"/>
        <v>New Logo</v>
      </c>
      <c r="AG536" s="17" t="str">
        <f t="shared" si="2"/>
        <v>Lead</v>
      </c>
      <c r="AH536" s="17" t="str">
        <f t="shared" si="3"/>
        <v>0-200</v>
      </c>
      <c r="AI536" s="17" t="str">
        <f t="shared" si="4"/>
        <v>0-20</v>
      </c>
    </row>
    <row r="537" ht="15.75" customHeight="1">
      <c r="A537" s="13">
        <f>HYPERLINK("https://app.hubspot.com/contacts/8748051/record/0-3/18712204201", 18712204201)</f>
        <v>18712204201</v>
      </c>
      <c r="B537" s="14" t="s">
        <v>1866</v>
      </c>
      <c r="C537" s="14" t="s">
        <v>1008</v>
      </c>
      <c r="D537" s="15">
        <v>50000.0</v>
      </c>
      <c r="E537" s="14" t="s">
        <v>124</v>
      </c>
      <c r="F537" s="14" t="s">
        <v>51</v>
      </c>
      <c r="G537" s="16">
        <v>45399.71724537037</v>
      </c>
      <c r="H537" s="16">
        <v>45582.71695601852</v>
      </c>
      <c r="I537" s="14" t="s">
        <v>39</v>
      </c>
      <c r="J537" s="14" t="s">
        <v>40</v>
      </c>
      <c r="K537" s="14" t="s">
        <v>1186</v>
      </c>
      <c r="L537" s="14" t="s">
        <v>175</v>
      </c>
      <c r="M537" s="14" t="s">
        <v>43</v>
      </c>
      <c r="N537" s="17"/>
      <c r="O537" s="14"/>
      <c r="P537" s="14"/>
      <c r="Q537" s="14" t="s">
        <v>195</v>
      </c>
      <c r="R537" s="13">
        <f>HYPERLINK("https://app.hubspot.com/contacts/8748051/record/0-2/7945192759", 7945192759)</f>
        <v>7945192759</v>
      </c>
      <c r="S537" s="14" t="s">
        <v>1867</v>
      </c>
      <c r="T537" s="18" t="s">
        <v>1868</v>
      </c>
      <c r="U537" s="14" t="s">
        <v>46</v>
      </c>
      <c r="V537" s="15"/>
      <c r="W537" s="19">
        <v>451.0</v>
      </c>
      <c r="X537" s="19">
        <v>95.0</v>
      </c>
      <c r="Y537" s="20" t="s">
        <v>55</v>
      </c>
      <c r="Z537" s="20"/>
      <c r="AA537" s="21"/>
      <c r="AB537" s="20"/>
      <c r="AC537" s="20"/>
      <c r="AD537" s="21"/>
      <c r="AE537" s="20"/>
      <c r="AF537" s="17" t="str">
        <f t="shared" si="1"/>
        <v>New Logo</v>
      </c>
      <c r="AG537" s="17" t="str">
        <f t="shared" si="2"/>
        <v>Lead</v>
      </c>
      <c r="AH537" s="17" t="str">
        <f t="shared" si="3"/>
        <v>201-500</v>
      </c>
      <c r="AI537" s="17" t="str">
        <f t="shared" si="4"/>
        <v>51-100</v>
      </c>
    </row>
    <row r="538" ht="15.75" customHeight="1">
      <c r="A538" s="13">
        <f>HYPERLINK("https://app.hubspot.com/contacts/8748051/record/0-3/18712203603", 18712203603)</f>
        <v>18712203603</v>
      </c>
      <c r="B538" s="14" t="s">
        <v>1869</v>
      </c>
      <c r="C538" s="14" t="s">
        <v>49</v>
      </c>
      <c r="D538" s="15">
        <v>62880.0</v>
      </c>
      <c r="E538" s="14" t="s">
        <v>118</v>
      </c>
      <c r="F538" s="14"/>
      <c r="G538" s="16">
        <v>45399.71368055556</v>
      </c>
      <c r="H538" s="16">
        <v>45747.47</v>
      </c>
      <c r="I538" s="14" t="s">
        <v>39</v>
      </c>
      <c r="J538" s="14" t="s">
        <v>40</v>
      </c>
      <c r="K538" s="14" t="s">
        <v>1186</v>
      </c>
      <c r="L538" s="14" t="s">
        <v>559</v>
      </c>
      <c r="M538" s="14" t="s">
        <v>43</v>
      </c>
      <c r="N538" s="17"/>
      <c r="O538" s="17"/>
      <c r="P538" s="14" t="s">
        <v>211</v>
      </c>
      <c r="Q538" s="14"/>
      <c r="R538" s="13">
        <f>HYPERLINK("https://app.hubspot.com/contacts/8748051/record/0-2/9238284404", 9238284404)</f>
        <v>9238284404</v>
      </c>
      <c r="S538" s="14" t="s">
        <v>1870</v>
      </c>
      <c r="T538" s="18" t="s">
        <v>1871</v>
      </c>
      <c r="U538" s="14" t="s">
        <v>46</v>
      </c>
      <c r="V538" s="22"/>
      <c r="W538" s="19">
        <v>1554.0</v>
      </c>
      <c r="X538" s="19">
        <v>226.0</v>
      </c>
      <c r="Y538" s="20" t="s">
        <v>55</v>
      </c>
      <c r="Z538" s="21"/>
      <c r="AA538" s="21"/>
      <c r="AB538" s="21"/>
      <c r="AC538" s="21"/>
      <c r="AD538" s="21"/>
      <c r="AE538" s="21"/>
      <c r="AF538" s="17" t="str">
        <f t="shared" si="1"/>
        <v>New Logo</v>
      </c>
      <c r="AG538" s="17" t="str">
        <f t="shared" si="2"/>
        <v>Lead</v>
      </c>
      <c r="AH538" s="17" t="str">
        <f t="shared" si="3"/>
        <v>1001-5000</v>
      </c>
      <c r="AI538" s="17" t="str">
        <f t="shared" si="4"/>
        <v>101-500</v>
      </c>
    </row>
    <row r="539" ht="15.75" customHeight="1">
      <c r="A539" s="13">
        <f>HYPERLINK("https://app.hubspot.com/contacts/8748051/record/0-3/18712203395", 18712203395)</f>
        <v>18712203395</v>
      </c>
      <c r="B539" s="14" t="s">
        <v>764</v>
      </c>
      <c r="C539" s="14" t="s">
        <v>49</v>
      </c>
      <c r="D539" s="15">
        <v>10560.0</v>
      </c>
      <c r="E539" s="14" t="s">
        <v>118</v>
      </c>
      <c r="F539" s="14"/>
      <c r="G539" s="16">
        <v>45399.71273148148</v>
      </c>
      <c r="H539" s="16">
        <v>45582.709861111114</v>
      </c>
      <c r="I539" s="14" t="s">
        <v>39</v>
      </c>
      <c r="J539" s="14" t="s">
        <v>40</v>
      </c>
      <c r="K539" s="14" t="s">
        <v>558</v>
      </c>
      <c r="L539" s="14" t="s">
        <v>559</v>
      </c>
      <c r="M539" s="14" t="s">
        <v>43</v>
      </c>
      <c r="N539" s="17"/>
      <c r="O539" s="17"/>
      <c r="P539" s="14"/>
      <c r="Q539" s="14"/>
      <c r="R539" s="13">
        <f>HYPERLINK("https://app.hubspot.com/contacts/8748051/record/0-2/10198110024", 10198110024)</f>
        <v>10198110024</v>
      </c>
      <c r="S539" s="14" t="s">
        <v>765</v>
      </c>
      <c r="T539" s="18" t="s">
        <v>766</v>
      </c>
      <c r="U539" s="14" t="s">
        <v>46</v>
      </c>
      <c r="V539" s="22"/>
      <c r="W539" s="19">
        <v>771.0</v>
      </c>
      <c r="X539" s="19">
        <v>52.0</v>
      </c>
      <c r="Y539" s="20" t="s">
        <v>122</v>
      </c>
      <c r="Z539" s="21"/>
      <c r="AA539" s="21"/>
      <c r="AB539" s="21"/>
      <c r="AC539" s="21"/>
      <c r="AD539" s="21"/>
      <c r="AE539" s="21"/>
      <c r="AF539" s="17" t="str">
        <f t="shared" si="1"/>
        <v>New Logo</v>
      </c>
      <c r="AG539" s="17" t="str">
        <f t="shared" si="2"/>
        <v>Lead</v>
      </c>
      <c r="AH539" s="17" t="str">
        <f t="shared" si="3"/>
        <v>501-1000</v>
      </c>
      <c r="AI539" s="17" t="str">
        <f t="shared" si="4"/>
        <v>51-100</v>
      </c>
    </row>
    <row r="540" ht="15.75" customHeight="1">
      <c r="A540" s="13">
        <f>HYPERLINK("https://app.hubspot.com/contacts/8748051/record/0-3/18710066546", 18710066546)</f>
        <v>18710066546</v>
      </c>
      <c r="B540" s="14" t="s">
        <v>1872</v>
      </c>
      <c r="C540" s="14" t="s">
        <v>49</v>
      </c>
      <c r="D540" s="15">
        <v>10080.0</v>
      </c>
      <c r="E540" s="14" t="s">
        <v>124</v>
      </c>
      <c r="F540" s="14" t="s">
        <v>51</v>
      </c>
      <c r="G540" s="16">
        <v>45399.65902777778</v>
      </c>
      <c r="H540" s="16">
        <v>45747.63613425926</v>
      </c>
      <c r="I540" s="14" t="s">
        <v>39</v>
      </c>
      <c r="J540" s="14" t="s">
        <v>52</v>
      </c>
      <c r="K540" s="14" t="s">
        <v>59</v>
      </c>
      <c r="L540" s="14" t="s">
        <v>180</v>
      </c>
      <c r="M540" s="14" t="s">
        <v>43</v>
      </c>
      <c r="N540" s="17"/>
      <c r="O540" s="17"/>
      <c r="P540" s="14"/>
      <c r="Q540" s="14" t="s">
        <v>141</v>
      </c>
      <c r="R540" s="13">
        <f>HYPERLINK("https://app.hubspot.com/contacts/8748051/record/0-2/8920383258", 8920383258)</f>
        <v>8920383258</v>
      </c>
      <c r="S540" s="14" t="s">
        <v>1873</v>
      </c>
      <c r="T540" s="18" t="s">
        <v>1874</v>
      </c>
      <c r="U540" s="14" t="s">
        <v>46</v>
      </c>
      <c r="V540" s="22"/>
      <c r="W540" s="19">
        <v>173.0</v>
      </c>
      <c r="X540" s="19">
        <v>17.0</v>
      </c>
      <c r="Y540" s="20"/>
      <c r="Z540" s="21"/>
      <c r="AA540" s="21"/>
      <c r="AB540" s="21"/>
      <c r="AC540" s="21"/>
      <c r="AD540" s="21"/>
      <c r="AE540" s="21"/>
      <c r="AF540" s="17" t="str">
        <f t="shared" si="1"/>
        <v>New Logo</v>
      </c>
      <c r="AG540" s="17" t="str">
        <f t="shared" si="2"/>
        <v>Lead</v>
      </c>
      <c r="AH540" s="17" t="str">
        <f t="shared" si="3"/>
        <v>0-200</v>
      </c>
      <c r="AI540" s="17" t="str">
        <f t="shared" si="4"/>
        <v>0-20</v>
      </c>
    </row>
    <row r="541" ht="15.75" customHeight="1">
      <c r="A541" s="13">
        <f>HYPERLINK("https://app.hubspot.com/contacts/8748051/record/0-3/18706132882", 18706132882)</f>
        <v>18706132882</v>
      </c>
      <c r="B541" s="14" t="s">
        <v>1875</v>
      </c>
      <c r="C541" s="14" t="s">
        <v>1008</v>
      </c>
      <c r="D541" s="15">
        <v>6480.0</v>
      </c>
      <c r="E541" s="14" t="s">
        <v>118</v>
      </c>
      <c r="F541" s="14"/>
      <c r="G541" s="16">
        <v>45399.47204861111</v>
      </c>
      <c r="H541" s="16">
        <v>45582.46368055556</v>
      </c>
      <c r="I541" s="14" t="s">
        <v>39</v>
      </c>
      <c r="J541" s="14" t="s">
        <v>40</v>
      </c>
      <c r="K541" s="14" t="s">
        <v>558</v>
      </c>
      <c r="L541" s="14" t="s">
        <v>559</v>
      </c>
      <c r="M541" s="14" t="s">
        <v>43</v>
      </c>
      <c r="N541" s="14"/>
      <c r="O541" s="17"/>
      <c r="P541" s="14"/>
      <c r="Q541" s="14"/>
      <c r="R541" s="13">
        <f>HYPERLINK("https://app.hubspot.com/contacts/8748051/record/0-2/7940842543", 7940842543)</f>
        <v>7940842543</v>
      </c>
      <c r="S541" s="14" t="s">
        <v>1876</v>
      </c>
      <c r="T541" s="18" t="s">
        <v>1877</v>
      </c>
      <c r="U541" s="14" t="s">
        <v>46</v>
      </c>
      <c r="V541" s="15"/>
      <c r="W541" s="19">
        <v>479.0</v>
      </c>
      <c r="X541" s="19">
        <v>24.0</v>
      </c>
      <c r="Y541" s="20"/>
      <c r="Z541" s="20"/>
      <c r="AA541" s="20"/>
      <c r="AB541" s="21"/>
      <c r="AC541" s="20"/>
      <c r="AD541" s="20"/>
      <c r="AE541" s="20"/>
      <c r="AF541" s="17" t="str">
        <f t="shared" si="1"/>
        <v>New Logo</v>
      </c>
      <c r="AG541" s="17" t="str">
        <f t="shared" si="2"/>
        <v>Lead</v>
      </c>
      <c r="AH541" s="17" t="str">
        <f t="shared" si="3"/>
        <v>201-500</v>
      </c>
      <c r="AI541" s="17" t="str">
        <f t="shared" si="4"/>
        <v>21-50</v>
      </c>
    </row>
    <row r="542" ht="15.75" customHeight="1">
      <c r="A542" s="13">
        <f>HYPERLINK("https://app.hubspot.com/contacts/8748051/record/0-3/18706084360", 18706084360)</f>
        <v>18706084360</v>
      </c>
      <c r="B542" s="14" t="s">
        <v>1878</v>
      </c>
      <c r="C542" s="14" t="s">
        <v>145</v>
      </c>
      <c r="D542" s="15">
        <v>3600.0</v>
      </c>
      <c r="E542" s="14" t="s">
        <v>118</v>
      </c>
      <c r="F542" s="14"/>
      <c r="G542" s="16">
        <v>45399.4615625</v>
      </c>
      <c r="H542" s="16">
        <v>45582.461226851854</v>
      </c>
      <c r="I542" s="14" t="s">
        <v>39</v>
      </c>
      <c r="J542" s="14" t="s">
        <v>40</v>
      </c>
      <c r="K542" s="14" t="s">
        <v>558</v>
      </c>
      <c r="L542" s="14" t="s">
        <v>559</v>
      </c>
      <c r="M542" s="14" t="s">
        <v>43</v>
      </c>
      <c r="N542" s="14"/>
      <c r="O542" s="14"/>
      <c r="P542" s="14" t="s">
        <v>211</v>
      </c>
      <c r="Q542" s="17"/>
      <c r="R542" s="13">
        <f>HYPERLINK("https://app.hubspot.com/contacts/8748051/record/0-2/7648304657", 7648304657)</f>
        <v>7648304657</v>
      </c>
      <c r="S542" s="14" t="s">
        <v>1879</v>
      </c>
      <c r="T542" s="18" t="s">
        <v>1880</v>
      </c>
      <c r="U542" s="14" t="s">
        <v>46</v>
      </c>
      <c r="V542" s="15"/>
      <c r="W542" s="19">
        <v>106.0</v>
      </c>
      <c r="X542" s="19">
        <v>16.0</v>
      </c>
      <c r="Y542" s="20"/>
      <c r="Z542" s="20"/>
      <c r="AA542" s="20"/>
      <c r="AB542" s="20"/>
      <c r="AC542" s="20"/>
      <c r="AD542" s="20"/>
      <c r="AE542" s="20"/>
      <c r="AF542" s="17" t="str">
        <f t="shared" si="1"/>
        <v>New Logo</v>
      </c>
      <c r="AG542" s="17" t="str">
        <f t="shared" si="2"/>
        <v>Lead</v>
      </c>
      <c r="AH542" s="17" t="str">
        <f t="shared" si="3"/>
        <v>0-200</v>
      </c>
      <c r="AI542" s="17" t="str">
        <f t="shared" si="4"/>
        <v>0-20</v>
      </c>
    </row>
    <row r="543" ht="15.75" customHeight="1">
      <c r="A543" s="13">
        <f>HYPERLINK("https://app.hubspot.com/contacts/8748051/record/0-3/18682261332", 18682261332)</f>
        <v>18682261332</v>
      </c>
      <c r="B543" s="14" t="s">
        <v>1881</v>
      </c>
      <c r="C543" s="14" t="s">
        <v>1805</v>
      </c>
      <c r="D543" s="15">
        <v>18000.0</v>
      </c>
      <c r="E543" s="14" t="s">
        <v>89</v>
      </c>
      <c r="F543" s="14" t="s">
        <v>51</v>
      </c>
      <c r="G543" s="16">
        <v>45398.602106481485</v>
      </c>
      <c r="H543" s="16">
        <v>45472.91320601852</v>
      </c>
      <c r="I543" s="14" t="s">
        <v>39</v>
      </c>
      <c r="J543" s="14" t="s">
        <v>40</v>
      </c>
      <c r="K543" s="14" t="s">
        <v>41</v>
      </c>
      <c r="L543" s="14" t="s">
        <v>42</v>
      </c>
      <c r="M543" s="14" t="s">
        <v>43</v>
      </c>
      <c r="N543" s="14" t="s">
        <v>1882</v>
      </c>
      <c r="O543" s="14"/>
      <c r="P543" s="14"/>
      <c r="Q543" s="14"/>
      <c r="R543" s="13">
        <f>HYPERLINK("https://app.hubspot.com/contacts/8748051/record/0-2/8016919815", 8016919815)</f>
        <v>8016919815</v>
      </c>
      <c r="S543" s="14" t="s">
        <v>275</v>
      </c>
      <c r="T543" s="18" t="s">
        <v>276</v>
      </c>
      <c r="U543" s="14">
        <v>3.4564763E7</v>
      </c>
      <c r="V543" s="15">
        <v>27480.0</v>
      </c>
      <c r="W543" s="19">
        <v>301.0</v>
      </c>
      <c r="X543" s="19">
        <v>26.0</v>
      </c>
      <c r="Y543" s="20"/>
      <c r="Z543" s="20" t="s">
        <v>184</v>
      </c>
      <c r="AA543" s="20" t="s">
        <v>205</v>
      </c>
      <c r="AB543" s="21"/>
      <c r="AC543" s="20" t="s">
        <v>277</v>
      </c>
      <c r="AD543" s="20" t="s">
        <v>278</v>
      </c>
      <c r="AE543" s="20" t="s">
        <v>209</v>
      </c>
      <c r="AF543" s="17" t="str">
        <f t="shared" si="1"/>
        <v>New Logo</v>
      </c>
      <c r="AG543" s="17" t="str">
        <f t="shared" si="2"/>
        <v>Churn</v>
      </c>
      <c r="AH543" s="17" t="str">
        <f t="shared" si="3"/>
        <v>201-500</v>
      </c>
      <c r="AI543" s="17" t="str">
        <f t="shared" si="4"/>
        <v>21-50</v>
      </c>
    </row>
    <row r="544" ht="15.75" customHeight="1">
      <c r="A544" s="13">
        <f>HYPERLINK("https://app.hubspot.com/contacts/8748051/record/0-3/18680534870", 18680534870)</f>
        <v>18680534870</v>
      </c>
      <c r="B544" s="14" t="s">
        <v>1883</v>
      </c>
      <c r="C544" s="14" t="s">
        <v>1008</v>
      </c>
      <c r="D544" s="15">
        <v>15840.0</v>
      </c>
      <c r="E544" s="14" t="s">
        <v>118</v>
      </c>
      <c r="F544" s="14"/>
      <c r="G544" s="16">
        <v>45398.56849537037</v>
      </c>
      <c r="H544" s="16">
        <v>45581.56798611111</v>
      </c>
      <c r="I544" s="14" t="s">
        <v>39</v>
      </c>
      <c r="J544" s="14" t="s">
        <v>40</v>
      </c>
      <c r="K544" s="14" t="s">
        <v>558</v>
      </c>
      <c r="L544" s="14" t="s">
        <v>559</v>
      </c>
      <c r="M544" s="14" t="s">
        <v>43</v>
      </c>
      <c r="N544" s="14"/>
      <c r="O544" s="17"/>
      <c r="P544" s="14"/>
      <c r="Q544" s="17"/>
      <c r="R544" s="13">
        <f>HYPERLINK("https://app.hubspot.com/contacts/8748051/record/0-2/7514178488", 7514178488)</f>
        <v>7514178488</v>
      </c>
      <c r="S544" s="14" t="s">
        <v>1884</v>
      </c>
      <c r="T544" s="18" t="s">
        <v>1885</v>
      </c>
      <c r="U544" s="14" t="s">
        <v>46</v>
      </c>
      <c r="V544" s="15"/>
      <c r="W544" s="19">
        <v>253.0</v>
      </c>
      <c r="X544" s="19">
        <v>75.0</v>
      </c>
      <c r="Y544" s="20"/>
      <c r="Z544" s="20"/>
      <c r="AA544" s="21"/>
      <c r="AB544" s="21"/>
      <c r="AC544" s="20"/>
      <c r="AD544" s="21"/>
      <c r="AE544" s="20"/>
      <c r="AF544" s="17" t="str">
        <f t="shared" si="1"/>
        <v>New Logo</v>
      </c>
      <c r="AG544" s="17" t="str">
        <f t="shared" si="2"/>
        <v>Lead</v>
      </c>
      <c r="AH544" s="17" t="str">
        <f t="shared" si="3"/>
        <v>201-500</v>
      </c>
      <c r="AI544" s="17" t="str">
        <f t="shared" si="4"/>
        <v>51-100</v>
      </c>
    </row>
    <row r="545" ht="15.75" customHeight="1">
      <c r="A545" s="13">
        <f>HYPERLINK("https://app.hubspot.com/contacts/8748051/record/0-3/18673492263", 18673492263)</f>
        <v>18673492263</v>
      </c>
      <c r="B545" s="14" t="s">
        <v>1886</v>
      </c>
      <c r="C545" s="14" t="s">
        <v>1008</v>
      </c>
      <c r="D545" s="15">
        <v>24720.0</v>
      </c>
      <c r="E545" s="14" t="s">
        <v>118</v>
      </c>
      <c r="F545" s="14"/>
      <c r="G545" s="16">
        <v>45398.351064814815</v>
      </c>
      <c r="H545" s="16">
        <v>45581.35042824074</v>
      </c>
      <c r="I545" s="14" t="s">
        <v>39</v>
      </c>
      <c r="J545" s="14" t="s">
        <v>40</v>
      </c>
      <c r="K545" s="14" t="s">
        <v>1186</v>
      </c>
      <c r="L545" s="14" t="s">
        <v>175</v>
      </c>
      <c r="M545" s="14" t="s">
        <v>43</v>
      </c>
      <c r="N545" s="14"/>
      <c r="O545" s="14"/>
      <c r="P545" s="14" t="s">
        <v>232</v>
      </c>
      <c r="Q545" s="14"/>
      <c r="R545" s="13">
        <f>HYPERLINK("https://app.hubspot.com/contacts/8748051/record/0-2/7655954774", 7655954774)</f>
        <v>7655954774</v>
      </c>
      <c r="S545" s="14" t="s">
        <v>1887</v>
      </c>
      <c r="T545" s="18" t="s">
        <v>1888</v>
      </c>
      <c r="U545" s="14" t="s">
        <v>46</v>
      </c>
      <c r="V545" s="15"/>
      <c r="W545" s="19">
        <v>1669.0</v>
      </c>
      <c r="X545" s="19">
        <v>143.0</v>
      </c>
      <c r="Y545" s="20" t="s">
        <v>63</v>
      </c>
      <c r="Z545" s="20"/>
      <c r="AA545" s="21"/>
      <c r="AB545" s="21"/>
      <c r="AC545" s="20"/>
      <c r="AD545" s="21"/>
      <c r="AE545" s="20"/>
      <c r="AF545" s="17" t="str">
        <f t="shared" si="1"/>
        <v>New Logo</v>
      </c>
      <c r="AG545" s="17" t="str">
        <f t="shared" si="2"/>
        <v>Lead</v>
      </c>
      <c r="AH545" s="17" t="str">
        <f t="shared" si="3"/>
        <v>1001-5000</v>
      </c>
      <c r="AI545" s="17" t="str">
        <f t="shared" si="4"/>
        <v>101-500</v>
      </c>
    </row>
    <row r="546" ht="15.75" customHeight="1">
      <c r="A546" s="13">
        <f>HYPERLINK("https://app.hubspot.com/contacts/8748051/record/0-3/18673492017", 18673492017)</f>
        <v>18673492017</v>
      </c>
      <c r="B546" s="14" t="s">
        <v>1889</v>
      </c>
      <c r="C546" s="14" t="s">
        <v>145</v>
      </c>
      <c r="D546" s="15">
        <v>7440.0</v>
      </c>
      <c r="E546" s="14" t="s">
        <v>118</v>
      </c>
      <c r="F546" s="14"/>
      <c r="G546" s="16">
        <v>45398.34984953704</v>
      </c>
      <c r="H546" s="16">
        <v>45581.34898148148</v>
      </c>
      <c r="I546" s="14" t="s">
        <v>39</v>
      </c>
      <c r="J546" s="14" t="s">
        <v>40</v>
      </c>
      <c r="K546" s="14" t="s">
        <v>558</v>
      </c>
      <c r="L546" s="14" t="s">
        <v>559</v>
      </c>
      <c r="M546" s="14" t="s">
        <v>43</v>
      </c>
      <c r="N546" s="17"/>
      <c r="O546" s="17"/>
      <c r="P546" s="14" t="s">
        <v>211</v>
      </c>
      <c r="Q546" s="14"/>
      <c r="R546" s="13">
        <f>HYPERLINK("https://app.hubspot.com/contacts/8748051/record/0-2/8724376947", 8724376947)</f>
        <v>8724376947</v>
      </c>
      <c r="S546" s="14" t="s">
        <v>1890</v>
      </c>
      <c r="T546" s="18" t="s">
        <v>1891</v>
      </c>
      <c r="U546" s="14" t="s">
        <v>46</v>
      </c>
      <c r="V546" s="22"/>
      <c r="W546" s="19">
        <v>280.0</v>
      </c>
      <c r="X546" s="19">
        <v>41.0</v>
      </c>
      <c r="Y546" s="20" t="s">
        <v>104</v>
      </c>
      <c r="Z546" s="21"/>
      <c r="AA546" s="21"/>
      <c r="AB546" s="21"/>
      <c r="AC546" s="21"/>
      <c r="AD546" s="21"/>
      <c r="AE546" s="21"/>
      <c r="AF546" s="17" t="str">
        <f t="shared" si="1"/>
        <v>New Logo</v>
      </c>
      <c r="AG546" s="17" t="str">
        <f t="shared" si="2"/>
        <v>Lead</v>
      </c>
      <c r="AH546" s="17" t="str">
        <f t="shared" si="3"/>
        <v>201-500</v>
      </c>
      <c r="AI546" s="17" t="str">
        <f t="shared" si="4"/>
        <v>21-50</v>
      </c>
    </row>
    <row r="547" ht="15.75" customHeight="1">
      <c r="A547" s="13">
        <f>HYPERLINK("https://app.hubspot.com/contacts/8748051/record/0-3/18658723757", 18658723757)</f>
        <v>18658723757</v>
      </c>
      <c r="B547" s="14" t="s">
        <v>1892</v>
      </c>
      <c r="C547" s="14" t="s">
        <v>1008</v>
      </c>
      <c r="D547" s="15">
        <v>11760.0</v>
      </c>
      <c r="E547" s="14" t="s">
        <v>118</v>
      </c>
      <c r="F547" s="14"/>
      <c r="G547" s="16">
        <v>45397.67259259259</v>
      </c>
      <c r="H547" s="16">
        <v>45580.67166666667</v>
      </c>
      <c r="I547" s="14" t="s">
        <v>39</v>
      </c>
      <c r="J547" s="14" t="s">
        <v>40</v>
      </c>
      <c r="K547" s="14" t="s">
        <v>1186</v>
      </c>
      <c r="L547" s="14" t="s">
        <v>559</v>
      </c>
      <c r="M547" s="14" t="s">
        <v>43</v>
      </c>
      <c r="N547" s="17"/>
      <c r="O547" s="14"/>
      <c r="P547" s="14"/>
      <c r="Q547" s="14"/>
      <c r="R547" s="13">
        <f>HYPERLINK("https://app.hubspot.com/contacts/8748051/record/0-2/32765657906", 32765657906)</f>
        <v>32765657906</v>
      </c>
      <c r="S547" s="14" t="s">
        <v>1893</v>
      </c>
      <c r="T547" s="18" t="s">
        <v>1894</v>
      </c>
      <c r="U547" s="14" t="s">
        <v>46</v>
      </c>
      <c r="V547" s="22"/>
      <c r="W547" s="19">
        <v>366.0</v>
      </c>
      <c r="X547" s="19">
        <v>51.0</v>
      </c>
      <c r="Y547" s="20" t="s">
        <v>545</v>
      </c>
      <c r="Z547" s="21"/>
      <c r="AA547" s="21"/>
      <c r="AB547" s="21"/>
      <c r="AC547" s="21"/>
      <c r="AD547" s="21"/>
      <c r="AE547" s="21"/>
      <c r="AF547" s="17" t="str">
        <f t="shared" si="1"/>
        <v>New Logo</v>
      </c>
      <c r="AG547" s="17" t="str">
        <f t="shared" si="2"/>
        <v>Lead</v>
      </c>
      <c r="AH547" s="17" t="str">
        <f t="shared" si="3"/>
        <v>201-500</v>
      </c>
      <c r="AI547" s="17" t="str">
        <f t="shared" si="4"/>
        <v>51-100</v>
      </c>
    </row>
    <row r="548" ht="15.75" customHeight="1">
      <c r="A548" s="13">
        <f>HYPERLINK("https://app.hubspot.com/contacts/8748051/record/0-3/18657596262", 18657596262)</f>
        <v>18657596262</v>
      </c>
      <c r="B548" s="14" t="s">
        <v>1895</v>
      </c>
      <c r="C548" s="14" t="s">
        <v>49</v>
      </c>
      <c r="D548" s="15">
        <v>2880.0</v>
      </c>
      <c r="E548" s="14" t="s">
        <v>118</v>
      </c>
      <c r="F548" s="14"/>
      <c r="G548" s="16">
        <v>45397.600069444445</v>
      </c>
      <c r="H548" s="16">
        <v>45580.599699074075</v>
      </c>
      <c r="I548" s="14" t="s">
        <v>39</v>
      </c>
      <c r="J548" s="14" t="s">
        <v>40</v>
      </c>
      <c r="K548" s="14" t="s">
        <v>41</v>
      </c>
      <c r="L548" s="14" t="s">
        <v>42</v>
      </c>
      <c r="M548" s="14" t="s">
        <v>43</v>
      </c>
      <c r="N548" s="17"/>
      <c r="O548" s="17"/>
      <c r="P548" s="14" t="s">
        <v>260</v>
      </c>
      <c r="Q548" s="14"/>
      <c r="R548" s="13">
        <f>HYPERLINK("https://app.hubspot.com/contacts/8748051/record/0-2/18159786760", 18159786760)</f>
        <v>18159786760</v>
      </c>
      <c r="S548" s="14" t="s">
        <v>1896</v>
      </c>
      <c r="T548" s="18" t="s">
        <v>1897</v>
      </c>
      <c r="U548" s="14" t="s">
        <v>46</v>
      </c>
      <c r="V548" s="22"/>
      <c r="W548" s="19">
        <v>92.0</v>
      </c>
      <c r="X548" s="19">
        <v>11.0</v>
      </c>
      <c r="Y548" s="20"/>
      <c r="Z548" s="21"/>
      <c r="AA548" s="21"/>
      <c r="AB548" s="21"/>
      <c r="AC548" s="21"/>
      <c r="AD548" s="21"/>
      <c r="AE548" s="21"/>
      <c r="AF548" s="17" t="str">
        <f t="shared" si="1"/>
        <v>New Logo</v>
      </c>
      <c r="AG548" s="17" t="str">
        <f t="shared" si="2"/>
        <v>Lead</v>
      </c>
      <c r="AH548" s="17" t="str">
        <f t="shared" si="3"/>
        <v>0-200</v>
      </c>
      <c r="AI548" s="17" t="str">
        <f t="shared" si="4"/>
        <v>0-20</v>
      </c>
    </row>
    <row r="549" ht="15.75" customHeight="1">
      <c r="A549" s="13">
        <f>HYPERLINK("https://app.hubspot.com/contacts/8748051/record/0-3/18657370719", 18657370719)</f>
        <v>18657370719</v>
      </c>
      <c r="B549" s="14" t="s">
        <v>1898</v>
      </c>
      <c r="C549" s="14" t="s">
        <v>49</v>
      </c>
      <c r="D549" s="15">
        <v>2160.0</v>
      </c>
      <c r="E549" s="14" t="s">
        <v>118</v>
      </c>
      <c r="F549" s="14"/>
      <c r="G549" s="16">
        <v>45397.57497685185</v>
      </c>
      <c r="H549" s="16">
        <v>45580.57435185185</v>
      </c>
      <c r="I549" s="14" t="s">
        <v>39</v>
      </c>
      <c r="J549" s="14" t="s">
        <v>40</v>
      </c>
      <c r="K549" s="14" t="s">
        <v>1186</v>
      </c>
      <c r="L549" s="14" t="s">
        <v>559</v>
      </c>
      <c r="M549" s="14" t="s">
        <v>43</v>
      </c>
      <c r="N549" s="17"/>
      <c r="O549" s="14"/>
      <c r="P549" s="14" t="s">
        <v>211</v>
      </c>
      <c r="Q549" s="17"/>
      <c r="R549" s="13">
        <f>HYPERLINK("https://app.hubspot.com/contacts/8748051/record/0-2/19176609119", 19176609119)</f>
        <v>19176609119</v>
      </c>
      <c r="S549" s="14" t="s">
        <v>1273</v>
      </c>
      <c r="T549" s="18" t="s">
        <v>1274</v>
      </c>
      <c r="U549" s="14" t="s">
        <v>46</v>
      </c>
      <c r="V549" s="22"/>
      <c r="W549" s="19">
        <v>91.0</v>
      </c>
      <c r="X549" s="19">
        <v>8.0</v>
      </c>
      <c r="Y549" s="20"/>
      <c r="Z549" s="21"/>
      <c r="AA549" s="21"/>
      <c r="AB549" s="21"/>
      <c r="AC549" s="21"/>
      <c r="AD549" s="21"/>
      <c r="AE549" s="21"/>
      <c r="AF549" s="17" t="str">
        <f t="shared" si="1"/>
        <v>New Logo</v>
      </c>
      <c r="AG549" s="17" t="str">
        <f t="shared" si="2"/>
        <v>Lead</v>
      </c>
      <c r="AH549" s="17" t="str">
        <f t="shared" si="3"/>
        <v>0-200</v>
      </c>
      <c r="AI549" s="17" t="str">
        <f t="shared" si="4"/>
        <v>0-20</v>
      </c>
    </row>
    <row r="550" ht="15.75" customHeight="1">
      <c r="A550" s="13">
        <f>HYPERLINK("https://app.hubspot.com/contacts/8748051/record/0-3/18654045212", 18654045212)</f>
        <v>18654045212</v>
      </c>
      <c r="B550" s="14" t="s">
        <v>1899</v>
      </c>
      <c r="C550" s="14" t="s">
        <v>37</v>
      </c>
      <c r="D550" s="15">
        <v>24480.0</v>
      </c>
      <c r="E550" s="14" t="s">
        <v>118</v>
      </c>
      <c r="F550" s="14"/>
      <c r="G550" s="16">
        <v>45397.45243055555</v>
      </c>
      <c r="H550" s="16">
        <v>45580.40189814815</v>
      </c>
      <c r="I550" s="14" t="s">
        <v>39</v>
      </c>
      <c r="J550" s="14" t="s">
        <v>52</v>
      </c>
      <c r="K550" s="14" t="s">
        <v>1186</v>
      </c>
      <c r="L550" s="14" t="s">
        <v>175</v>
      </c>
      <c r="M550" s="14" t="s">
        <v>43</v>
      </c>
      <c r="N550" s="14"/>
      <c r="O550" s="14"/>
      <c r="P550" s="14" t="s">
        <v>119</v>
      </c>
      <c r="Q550" s="14"/>
      <c r="R550" s="13">
        <f>HYPERLINK("https://app.hubspot.com/contacts/8748051/record/0-2/8196824334", 8196824334)</f>
        <v>8196824334</v>
      </c>
      <c r="S550" s="14" t="s">
        <v>1900</v>
      </c>
      <c r="T550" s="18" t="s">
        <v>1901</v>
      </c>
      <c r="U550" s="14" t="s">
        <v>46</v>
      </c>
      <c r="V550" s="15"/>
      <c r="W550" s="19">
        <v>612.0</v>
      </c>
      <c r="X550" s="19">
        <v>100.0</v>
      </c>
      <c r="Y550" s="20" t="s">
        <v>104</v>
      </c>
      <c r="Z550" s="20"/>
      <c r="AA550" s="21"/>
      <c r="AB550" s="21"/>
      <c r="AC550" s="20"/>
      <c r="AD550" s="21"/>
      <c r="AE550" s="20"/>
      <c r="AF550" s="17" t="str">
        <f t="shared" si="1"/>
        <v>New Logo</v>
      </c>
      <c r="AG550" s="17" t="str">
        <f t="shared" si="2"/>
        <v>Lead</v>
      </c>
      <c r="AH550" s="17" t="str">
        <f t="shared" si="3"/>
        <v>501-1000</v>
      </c>
      <c r="AI550" s="17" t="str">
        <f t="shared" si="4"/>
        <v>51-100</v>
      </c>
    </row>
    <row r="551" ht="15.75" customHeight="1">
      <c r="A551" s="13">
        <f>HYPERLINK("https://app.hubspot.com/contacts/8748051/record/0-3/18646892189", 18646892189)</f>
        <v>18646892189</v>
      </c>
      <c r="B551" s="14" t="s">
        <v>1902</v>
      </c>
      <c r="C551" s="14" t="s">
        <v>1008</v>
      </c>
      <c r="D551" s="15">
        <v>14160.0</v>
      </c>
      <c r="E551" s="14" t="s">
        <v>118</v>
      </c>
      <c r="F551" s="14"/>
      <c r="G551" s="16">
        <v>45397.03355324074</v>
      </c>
      <c r="H551" s="16">
        <v>45580.03306712963</v>
      </c>
      <c r="I551" s="14" t="s">
        <v>39</v>
      </c>
      <c r="J551" s="14" t="s">
        <v>40</v>
      </c>
      <c r="K551" s="14" t="s">
        <v>59</v>
      </c>
      <c r="L551" s="14" t="s">
        <v>175</v>
      </c>
      <c r="M551" s="14" t="s">
        <v>72</v>
      </c>
      <c r="N551" s="17"/>
      <c r="O551" s="14"/>
      <c r="P551" s="14" t="s">
        <v>232</v>
      </c>
      <c r="Q551" s="14"/>
      <c r="R551" s="13">
        <f>HYPERLINK("https://app.hubspot.com/contacts/8748051/record/0-2/13563301018", 13563301018)</f>
        <v>13563301018</v>
      </c>
      <c r="S551" s="14" t="s">
        <v>1903</v>
      </c>
      <c r="T551" s="18" t="s">
        <v>1904</v>
      </c>
      <c r="U551" s="14" t="s">
        <v>46</v>
      </c>
      <c r="V551" s="22"/>
      <c r="W551" s="19">
        <v>256.0</v>
      </c>
      <c r="X551" s="19">
        <v>36.0</v>
      </c>
      <c r="Y551" s="20" t="s">
        <v>104</v>
      </c>
      <c r="Z551" s="21"/>
      <c r="AA551" s="21"/>
      <c r="AB551" s="21"/>
      <c r="AC551" s="21"/>
      <c r="AD551" s="21"/>
      <c r="AE551" s="21"/>
      <c r="AF551" s="17" t="str">
        <f t="shared" si="1"/>
        <v>New Logo</v>
      </c>
      <c r="AG551" s="17" t="str">
        <f t="shared" si="2"/>
        <v>Lead</v>
      </c>
      <c r="AH551" s="17" t="str">
        <f t="shared" si="3"/>
        <v>201-500</v>
      </c>
      <c r="AI551" s="17" t="str">
        <f t="shared" si="4"/>
        <v>21-50</v>
      </c>
    </row>
    <row r="552" ht="15.75" customHeight="1">
      <c r="A552" s="13">
        <f>HYPERLINK("https://app.hubspot.com/contacts/8748051/record/0-3/18607290001", 18607290001)</f>
        <v>18607290001</v>
      </c>
      <c r="B552" s="14" t="s">
        <v>1905</v>
      </c>
      <c r="C552" s="14" t="s">
        <v>145</v>
      </c>
      <c r="D552" s="15">
        <v>30000.0</v>
      </c>
      <c r="E552" s="14" t="s">
        <v>146</v>
      </c>
      <c r="F552" s="14" t="s">
        <v>51</v>
      </c>
      <c r="G552" s="16">
        <v>45394.774733796294</v>
      </c>
      <c r="H552" s="16">
        <v>45525.66511574074</v>
      </c>
      <c r="I552" s="14" t="s">
        <v>39</v>
      </c>
      <c r="J552" s="14" t="s">
        <v>40</v>
      </c>
      <c r="K552" s="14" t="s">
        <v>1186</v>
      </c>
      <c r="L552" s="14" t="s">
        <v>559</v>
      </c>
      <c r="M552" s="14" t="s">
        <v>43</v>
      </c>
      <c r="N552" s="17"/>
      <c r="O552" s="14" t="s">
        <v>1906</v>
      </c>
      <c r="P552" s="14"/>
      <c r="Q552" s="14" t="s">
        <v>502</v>
      </c>
      <c r="R552" s="13">
        <f>HYPERLINK("https://app.hubspot.com/contacts/8748051/record/0-2/8142837591", 8142837591)</f>
        <v>8142837591</v>
      </c>
      <c r="S552" s="14" t="s">
        <v>1907</v>
      </c>
      <c r="T552" s="18" t="s">
        <v>1908</v>
      </c>
      <c r="U552" s="14" t="s">
        <v>46</v>
      </c>
      <c r="V552" s="15"/>
      <c r="W552" s="19">
        <v>565.0</v>
      </c>
      <c r="X552" s="19">
        <v>58.0</v>
      </c>
      <c r="Y552" s="20" t="s">
        <v>122</v>
      </c>
      <c r="Z552" s="20"/>
      <c r="AA552" s="21"/>
      <c r="AB552" s="20"/>
      <c r="AC552" s="20"/>
      <c r="AD552" s="21"/>
      <c r="AE552" s="20"/>
      <c r="AF552" s="17" t="str">
        <f t="shared" si="1"/>
        <v>New Logo</v>
      </c>
      <c r="AG552" s="17" t="str">
        <f t="shared" si="2"/>
        <v>Lead</v>
      </c>
      <c r="AH552" s="17" t="str">
        <f t="shared" si="3"/>
        <v>501-1000</v>
      </c>
      <c r="AI552" s="17" t="str">
        <f t="shared" si="4"/>
        <v>51-100</v>
      </c>
    </row>
    <row r="553" ht="15.75" customHeight="1">
      <c r="A553" s="13">
        <f>HYPERLINK("https://app.hubspot.com/contacts/8748051/record/0-3/18607099669", 18607099669)</f>
        <v>18607099669</v>
      </c>
      <c r="B553" s="14" t="s">
        <v>1909</v>
      </c>
      <c r="C553" s="14" t="s">
        <v>49</v>
      </c>
      <c r="D553" s="15">
        <v>3600.0</v>
      </c>
      <c r="E553" s="14" t="s">
        <v>118</v>
      </c>
      <c r="F553" s="14"/>
      <c r="G553" s="16">
        <v>45394.773206018515</v>
      </c>
      <c r="H553" s="16">
        <v>45577.77263888889</v>
      </c>
      <c r="I553" s="14" t="s">
        <v>39</v>
      </c>
      <c r="J553" s="14" t="s">
        <v>40</v>
      </c>
      <c r="K553" s="14" t="s">
        <v>558</v>
      </c>
      <c r="L553" s="14" t="s">
        <v>559</v>
      </c>
      <c r="M553" s="14" t="s">
        <v>43</v>
      </c>
      <c r="N553" s="17"/>
      <c r="O553" s="17"/>
      <c r="P553" s="14"/>
      <c r="Q553" s="14"/>
      <c r="R553" s="13">
        <f>HYPERLINK("https://app.hubspot.com/contacts/8748051/record/0-2/18159846809", 18159846809)</f>
        <v>18159846809</v>
      </c>
      <c r="S553" s="14" t="s">
        <v>1910</v>
      </c>
      <c r="T553" s="18" t="s">
        <v>1911</v>
      </c>
      <c r="U553" s="14" t="s">
        <v>46</v>
      </c>
      <c r="V553" s="15"/>
      <c r="W553" s="19">
        <v>118.0</v>
      </c>
      <c r="X553" s="19">
        <v>10.0</v>
      </c>
      <c r="Y553" s="20"/>
      <c r="Z553" s="20"/>
      <c r="AA553" s="21"/>
      <c r="AB553" s="21"/>
      <c r="AC553" s="20"/>
      <c r="AD553" s="21"/>
      <c r="AE553" s="20"/>
      <c r="AF553" s="17" t="str">
        <f t="shared" si="1"/>
        <v>New Logo</v>
      </c>
      <c r="AG553" s="17" t="str">
        <f t="shared" si="2"/>
        <v>Lead</v>
      </c>
      <c r="AH553" s="17" t="str">
        <f t="shared" si="3"/>
        <v>0-200</v>
      </c>
      <c r="AI553" s="17" t="str">
        <f t="shared" si="4"/>
        <v>0-20</v>
      </c>
    </row>
    <row r="554" ht="15.75" customHeight="1">
      <c r="A554" s="13">
        <f>HYPERLINK("https://app.hubspot.com/contacts/8748051/record/0-3/18602959245", 18602959245)</f>
        <v>18602959245</v>
      </c>
      <c r="B554" s="14" t="s">
        <v>1912</v>
      </c>
      <c r="C554" s="14" t="s">
        <v>49</v>
      </c>
      <c r="D554" s="15">
        <v>8880.0</v>
      </c>
      <c r="E554" s="14" t="s">
        <v>118</v>
      </c>
      <c r="F554" s="14"/>
      <c r="G554" s="16">
        <v>45394.55945601852</v>
      </c>
      <c r="H554" s="16">
        <v>45577.55917824074</v>
      </c>
      <c r="I554" s="14" t="s">
        <v>39</v>
      </c>
      <c r="J554" s="14" t="s">
        <v>40</v>
      </c>
      <c r="K554" s="14" t="s">
        <v>1186</v>
      </c>
      <c r="L554" s="14" t="s">
        <v>175</v>
      </c>
      <c r="M554" s="14" t="s">
        <v>43</v>
      </c>
      <c r="N554" s="17"/>
      <c r="O554" s="14"/>
      <c r="P554" s="14"/>
      <c r="Q554" s="14"/>
      <c r="R554" s="13">
        <f>HYPERLINK("https://app.hubspot.com/contacts/8748051/record/0-2/7975237289", 7975237289)</f>
        <v>7975237289</v>
      </c>
      <c r="S554" s="14" t="s">
        <v>1913</v>
      </c>
      <c r="T554" s="18" t="s">
        <v>1914</v>
      </c>
      <c r="U554" s="14" t="s">
        <v>46</v>
      </c>
      <c r="V554" s="22"/>
      <c r="W554" s="19">
        <v>309.0</v>
      </c>
      <c r="X554" s="19">
        <v>44.0</v>
      </c>
      <c r="Y554" s="20" t="s">
        <v>70</v>
      </c>
      <c r="Z554" s="21"/>
      <c r="AA554" s="21"/>
      <c r="AB554" s="21"/>
      <c r="AC554" s="21"/>
      <c r="AD554" s="21"/>
      <c r="AE554" s="21"/>
      <c r="AF554" s="17" t="str">
        <f t="shared" si="1"/>
        <v>New Logo</v>
      </c>
      <c r="AG554" s="17" t="str">
        <f t="shared" si="2"/>
        <v>Lead</v>
      </c>
      <c r="AH554" s="17" t="str">
        <f t="shared" si="3"/>
        <v>201-500</v>
      </c>
      <c r="AI554" s="17" t="str">
        <f t="shared" si="4"/>
        <v>21-50</v>
      </c>
    </row>
    <row r="555" ht="15.75" customHeight="1">
      <c r="A555" s="13">
        <f>HYPERLINK("https://app.hubspot.com/contacts/8748051/record/0-3/18549559868", 18549559868)</f>
        <v>18549559868</v>
      </c>
      <c r="B555" s="14" t="s">
        <v>1915</v>
      </c>
      <c r="C555" s="14" t="s">
        <v>37</v>
      </c>
      <c r="D555" s="15">
        <v>960.0</v>
      </c>
      <c r="E555" s="14" t="s">
        <v>118</v>
      </c>
      <c r="F555" s="14"/>
      <c r="G555" s="16">
        <v>45392.23370370371</v>
      </c>
      <c r="H555" s="16">
        <v>45575.233136574076</v>
      </c>
      <c r="I555" s="14" t="s">
        <v>39</v>
      </c>
      <c r="J555" s="14" t="s">
        <v>40</v>
      </c>
      <c r="K555" s="14" t="s">
        <v>59</v>
      </c>
      <c r="L555" s="14" t="s">
        <v>175</v>
      </c>
      <c r="M555" s="14" t="s">
        <v>98</v>
      </c>
      <c r="N555" s="17"/>
      <c r="O555" s="14"/>
      <c r="P555" s="14" t="s">
        <v>119</v>
      </c>
      <c r="Q555" s="17"/>
      <c r="R555" s="13">
        <f>HYPERLINK("https://app.hubspot.com/contacts/8748051/record/0-2/16376145215", 16376145215)</f>
        <v>16376145215</v>
      </c>
      <c r="S555" s="14" t="s">
        <v>1916</v>
      </c>
      <c r="T555" s="18" t="s">
        <v>1917</v>
      </c>
      <c r="U555" s="14" t="s">
        <v>46</v>
      </c>
      <c r="V555" s="22"/>
      <c r="W555" s="19">
        <v>175.0</v>
      </c>
      <c r="X555" s="19">
        <v>4.0</v>
      </c>
      <c r="Y555" s="20"/>
      <c r="Z555" s="21"/>
      <c r="AA555" s="21"/>
      <c r="AB555" s="21"/>
      <c r="AC555" s="21"/>
      <c r="AD555" s="21"/>
      <c r="AE555" s="21"/>
      <c r="AF555" s="17" t="str">
        <f t="shared" si="1"/>
        <v>New Logo</v>
      </c>
      <c r="AG555" s="17" t="str">
        <f t="shared" si="2"/>
        <v>Lead</v>
      </c>
      <c r="AH555" s="17" t="str">
        <f t="shared" si="3"/>
        <v>0-200</v>
      </c>
      <c r="AI555" s="17" t="str">
        <f t="shared" si="4"/>
        <v>0-20</v>
      </c>
    </row>
    <row r="556" ht="15.75" customHeight="1">
      <c r="A556" s="13">
        <f>HYPERLINK("https://app.hubspot.com/contacts/8748051/record/0-3/18549100897", 18549100897)</f>
        <v>18549100897</v>
      </c>
      <c r="B556" s="14" t="s">
        <v>1918</v>
      </c>
      <c r="C556" s="14" t="s">
        <v>1008</v>
      </c>
      <c r="D556" s="15">
        <v>45000.0</v>
      </c>
      <c r="E556" s="14" t="s">
        <v>146</v>
      </c>
      <c r="F556" s="14" t="s">
        <v>51</v>
      </c>
      <c r="G556" s="16">
        <v>45392.18951388889</v>
      </c>
      <c r="H556" s="16">
        <v>45565.34903935185</v>
      </c>
      <c r="I556" s="14" t="s">
        <v>39</v>
      </c>
      <c r="J556" s="14" t="s">
        <v>52</v>
      </c>
      <c r="K556" s="14" t="s">
        <v>59</v>
      </c>
      <c r="L556" s="14" t="s">
        <v>180</v>
      </c>
      <c r="M556" s="14" t="s">
        <v>98</v>
      </c>
      <c r="N556" s="17"/>
      <c r="O556" s="14" t="s">
        <v>1919</v>
      </c>
      <c r="P556" s="14"/>
      <c r="Q556" s="14"/>
      <c r="R556" s="13">
        <f>HYPERLINK("https://app.hubspot.com/contacts/8748051/record/0-2/7786751651", 7786751651)</f>
        <v>7786751651</v>
      </c>
      <c r="S556" s="14" t="s">
        <v>1920</v>
      </c>
      <c r="T556" s="18" t="s">
        <v>1921</v>
      </c>
      <c r="U556" s="14" t="s">
        <v>46</v>
      </c>
      <c r="V556" s="22"/>
      <c r="W556" s="19">
        <v>1827.0</v>
      </c>
      <c r="X556" s="19">
        <v>378.0</v>
      </c>
      <c r="Y556" s="20" t="s">
        <v>78</v>
      </c>
      <c r="Z556" s="21"/>
      <c r="AA556" s="21"/>
      <c r="AB556" s="21"/>
      <c r="AC556" s="21"/>
      <c r="AD556" s="21"/>
      <c r="AE556" s="21"/>
      <c r="AF556" s="17" t="str">
        <f t="shared" si="1"/>
        <v>New Logo</v>
      </c>
      <c r="AG556" s="17" t="str">
        <f t="shared" si="2"/>
        <v>Lead</v>
      </c>
      <c r="AH556" s="17" t="str">
        <f t="shared" si="3"/>
        <v>1001-5000</v>
      </c>
      <c r="AI556" s="17" t="str">
        <f t="shared" si="4"/>
        <v>101-500</v>
      </c>
    </row>
    <row r="557" ht="15.75" customHeight="1">
      <c r="A557" s="13">
        <f>HYPERLINK("https://app.hubspot.com/contacts/8748051/record/0-3/18428209003", 18428209003)</f>
        <v>18428209003</v>
      </c>
      <c r="B557" s="14" t="s">
        <v>1922</v>
      </c>
      <c r="C557" s="14" t="s">
        <v>49</v>
      </c>
      <c r="D557" s="15">
        <v>8400.0</v>
      </c>
      <c r="E557" s="14" t="s">
        <v>118</v>
      </c>
      <c r="F557" s="14"/>
      <c r="G557" s="16">
        <v>45386.48070601852</v>
      </c>
      <c r="H557" s="16">
        <v>45569.480416666665</v>
      </c>
      <c r="I557" s="14" t="s">
        <v>39</v>
      </c>
      <c r="J557" s="14" t="s">
        <v>40</v>
      </c>
      <c r="K557" s="14" t="s">
        <v>1186</v>
      </c>
      <c r="L557" s="14" t="s">
        <v>175</v>
      </c>
      <c r="M557" s="14" t="s">
        <v>43</v>
      </c>
      <c r="N557" s="17"/>
      <c r="O557" s="14"/>
      <c r="P557" s="14" t="s">
        <v>211</v>
      </c>
      <c r="Q557" s="17"/>
      <c r="R557" s="13">
        <f>HYPERLINK("https://app.hubspot.com/contacts/8748051/record/0-2/7961044904", 7961044904)</f>
        <v>7961044904</v>
      </c>
      <c r="S557" s="14" t="s">
        <v>1923</v>
      </c>
      <c r="T557" s="18" t="s">
        <v>1924</v>
      </c>
      <c r="U557" s="14" t="s">
        <v>46</v>
      </c>
      <c r="V557" s="22"/>
      <c r="W557" s="19">
        <v>2710.0</v>
      </c>
      <c r="X557" s="19">
        <v>89.0</v>
      </c>
      <c r="Y557" s="20" t="s">
        <v>78</v>
      </c>
      <c r="Z557" s="21"/>
      <c r="AA557" s="21"/>
      <c r="AB557" s="21"/>
      <c r="AC557" s="21"/>
      <c r="AD557" s="21"/>
      <c r="AE557" s="21"/>
      <c r="AF557" s="17" t="str">
        <f t="shared" si="1"/>
        <v>New Logo</v>
      </c>
      <c r="AG557" s="17" t="str">
        <f t="shared" si="2"/>
        <v>Lead</v>
      </c>
      <c r="AH557" s="17" t="str">
        <f t="shared" si="3"/>
        <v>1001-5000</v>
      </c>
      <c r="AI557" s="17" t="str">
        <f t="shared" si="4"/>
        <v>51-100</v>
      </c>
    </row>
    <row r="558" ht="15.75" customHeight="1">
      <c r="A558" s="13">
        <f>HYPERLINK("https://app.hubspot.com/contacts/8748051/record/0-3/18428212873", 18428212873)</f>
        <v>18428212873</v>
      </c>
      <c r="B558" s="14" t="s">
        <v>1925</v>
      </c>
      <c r="C558" s="14" t="s">
        <v>37</v>
      </c>
      <c r="D558" s="15">
        <v>23280.0</v>
      </c>
      <c r="E558" s="14" t="s">
        <v>118</v>
      </c>
      <c r="F558" s="14"/>
      <c r="G558" s="16">
        <v>45386.47886574074</v>
      </c>
      <c r="H558" s="16">
        <v>45569.47675925926</v>
      </c>
      <c r="I558" s="14" t="s">
        <v>39</v>
      </c>
      <c r="J558" s="14" t="s">
        <v>40</v>
      </c>
      <c r="K558" s="14" t="s">
        <v>1186</v>
      </c>
      <c r="L558" s="14" t="s">
        <v>559</v>
      </c>
      <c r="M558" s="14" t="s">
        <v>43</v>
      </c>
      <c r="N558" s="17"/>
      <c r="O558" s="14"/>
      <c r="P558" s="14" t="s">
        <v>119</v>
      </c>
      <c r="Q558" s="17"/>
      <c r="R558" s="13">
        <f>HYPERLINK("https://app.hubspot.com/contacts/8748051/record/0-2/7648580645", 7648580645)</f>
        <v>7648580645</v>
      </c>
      <c r="S558" s="14" t="s">
        <v>1926</v>
      </c>
      <c r="T558" s="18" t="s">
        <v>1927</v>
      </c>
      <c r="U558" s="14" t="s">
        <v>46</v>
      </c>
      <c r="V558" s="15"/>
      <c r="W558" s="19">
        <v>729.0</v>
      </c>
      <c r="X558" s="19">
        <v>120.0</v>
      </c>
      <c r="Y558" s="20"/>
      <c r="Z558" s="20"/>
      <c r="AA558" s="21"/>
      <c r="AB558" s="21"/>
      <c r="AC558" s="20"/>
      <c r="AD558" s="21"/>
      <c r="AE558" s="20"/>
      <c r="AF558" s="17" t="str">
        <f t="shared" si="1"/>
        <v>New Logo</v>
      </c>
      <c r="AG558" s="17" t="str">
        <f t="shared" si="2"/>
        <v>Lead</v>
      </c>
      <c r="AH558" s="17" t="str">
        <f t="shared" si="3"/>
        <v>501-1000</v>
      </c>
      <c r="AI558" s="17" t="str">
        <f t="shared" si="4"/>
        <v>101-500</v>
      </c>
    </row>
    <row r="559" ht="15.75" customHeight="1">
      <c r="A559" s="13">
        <f>HYPERLINK("https://app.hubspot.com/contacts/8748051/record/0-3/18415884122", 18415884122)</f>
        <v>18415884122</v>
      </c>
      <c r="B559" s="14" t="s">
        <v>1928</v>
      </c>
      <c r="C559" s="14" t="s">
        <v>1008</v>
      </c>
      <c r="D559" s="15">
        <v>1200.0</v>
      </c>
      <c r="E559" s="14" t="s">
        <v>118</v>
      </c>
      <c r="F559" s="14"/>
      <c r="G559" s="16">
        <v>45386.02659722222</v>
      </c>
      <c r="H559" s="16">
        <v>45569.026192129626</v>
      </c>
      <c r="I559" s="14" t="s">
        <v>39</v>
      </c>
      <c r="J559" s="14" t="s">
        <v>40</v>
      </c>
      <c r="K559" s="14" t="s">
        <v>558</v>
      </c>
      <c r="L559" s="14" t="s">
        <v>559</v>
      </c>
      <c r="M559" s="14"/>
      <c r="N559" s="17"/>
      <c r="O559" s="17"/>
      <c r="P559" s="14" t="s">
        <v>119</v>
      </c>
      <c r="Q559" s="14"/>
      <c r="R559" s="13">
        <f>HYPERLINK("https://app.hubspot.com/contacts/8748051/record/0-2/7776398214", 7776398214)</f>
        <v>7776398214</v>
      </c>
      <c r="S559" s="14" t="s">
        <v>1929</v>
      </c>
      <c r="T559" s="14" t="s">
        <v>1930</v>
      </c>
      <c r="U559" s="14" t="s">
        <v>46</v>
      </c>
      <c r="V559" s="22"/>
      <c r="W559" s="19">
        <v>108.0</v>
      </c>
      <c r="X559" s="19">
        <v>8.0</v>
      </c>
      <c r="Y559" s="20"/>
      <c r="Z559" s="21"/>
      <c r="AA559" s="21"/>
      <c r="AB559" s="21"/>
      <c r="AC559" s="21"/>
      <c r="AD559" s="21"/>
      <c r="AE559" s="21"/>
      <c r="AF559" s="17" t="str">
        <f t="shared" si="1"/>
        <v>New Logo</v>
      </c>
      <c r="AG559" s="17" t="str">
        <f t="shared" si="2"/>
        <v>Lead</v>
      </c>
      <c r="AH559" s="17" t="str">
        <f t="shared" si="3"/>
        <v>0-200</v>
      </c>
      <c r="AI559" s="17" t="str">
        <f t="shared" si="4"/>
        <v>0-20</v>
      </c>
    </row>
    <row r="560" ht="15.75" customHeight="1">
      <c r="A560" s="13">
        <f>HYPERLINK("https://app.hubspot.com/contacts/8748051/record/0-3/18406594379", 18406594379)</f>
        <v>18406594379</v>
      </c>
      <c r="B560" s="14" t="s">
        <v>1931</v>
      </c>
      <c r="C560" s="14" t="s">
        <v>49</v>
      </c>
      <c r="D560" s="15">
        <v>10800.0</v>
      </c>
      <c r="E560" s="14" t="s">
        <v>118</v>
      </c>
      <c r="F560" s="14"/>
      <c r="G560" s="16">
        <v>45385.55792824074</v>
      </c>
      <c r="H560" s="16">
        <v>45568.55773148148</v>
      </c>
      <c r="I560" s="14" t="s">
        <v>39</v>
      </c>
      <c r="J560" s="14" t="s">
        <v>40</v>
      </c>
      <c r="K560" s="14" t="s">
        <v>558</v>
      </c>
      <c r="L560" s="14" t="s">
        <v>559</v>
      </c>
      <c r="M560" s="14"/>
      <c r="N560" s="14"/>
      <c r="O560" s="17"/>
      <c r="P560" s="14" t="s">
        <v>211</v>
      </c>
      <c r="Q560" s="14"/>
      <c r="R560" s="13">
        <f>HYPERLINK("https://app.hubspot.com/contacts/8748051/record/0-2/8929923999", 8929923999)</f>
        <v>8929923999</v>
      </c>
      <c r="S560" s="14" t="s">
        <v>1932</v>
      </c>
      <c r="T560" s="18" t="s">
        <v>1933</v>
      </c>
      <c r="U560" s="14" t="s">
        <v>46</v>
      </c>
      <c r="V560" s="15"/>
      <c r="W560" s="19">
        <v>456.0</v>
      </c>
      <c r="X560" s="19">
        <v>58.0</v>
      </c>
      <c r="Y560" s="20"/>
      <c r="Z560" s="20"/>
      <c r="AA560" s="21"/>
      <c r="AB560" s="21"/>
      <c r="AC560" s="20"/>
      <c r="AD560" s="21"/>
      <c r="AE560" s="20"/>
      <c r="AF560" s="17" t="str">
        <f t="shared" si="1"/>
        <v>New Logo</v>
      </c>
      <c r="AG560" s="17" t="str">
        <f t="shared" si="2"/>
        <v>Lead</v>
      </c>
      <c r="AH560" s="17" t="str">
        <f t="shared" si="3"/>
        <v>201-500</v>
      </c>
      <c r="AI560" s="17" t="str">
        <f t="shared" si="4"/>
        <v>51-100</v>
      </c>
    </row>
    <row r="561" ht="15.75" customHeight="1">
      <c r="A561" s="13">
        <f>HYPERLINK("https://app.hubspot.com/contacts/8748051/record/0-3/18406472510", 18406472510)</f>
        <v>18406472510</v>
      </c>
      <c r="B561" s="14" t="s">
        <v>1934</v>
      </c>
      <c r="C561" s="14" t="s">
        <v>145</v>
      </c>
      <c r="D561" s="15">
        <v>12720.0</v>
      </c>
      <c r="E561" s="14" t="s">
        <v>118</v>
      </c>
      <c r="F561" s="14"/>
      <c r="G561" s="16">
        <v>45385.55604166666</v>
      </c>
      <c r="H561" s="16">
        <v>45568.5421875</v>
      </c>
      <c r="I561" s="14" t="s">
        <v>39</v>
      </c>
      <c r="J561" s="14" t="s">
        <v>40</v>
      </c>
      <c r="K561" s="14" t="s">
        <v>1186</v>
      </c>
      <c r="L561" s="14" t="s">
        <v>559</v>
      </c>
      <c r="M561" s="14" t="s">
        <v>43</v>
      </c>
      <c r="N561" s="17"/>
      <c r="O561" s="17"/>
      <c r="P561" s="14"/>
      <c r="Q561" s="14"/>
      <c r="R561" s="13">
        <f>HYPERLINK("https://app.hubspot.com/contacts/8748051/record/0-2/9596997709", 9596997709)</f>
        <v>9596997709</v>
      </c>
      <c r="S561" s="14" t="s">
        <v>1935</v>
      </c>
      <c r="T561" s="18" t="s">
        <v>1936</v>
      </c>
      <c r="U561" s="14" t="s">
        <v>46</v>
      </c>
      <c r="V561" s="22"/>
      <c r="W561" s="19">
        <v>153.0</v>
      </c>
      <c r="X561" s="19">
        <v>62.0</v>
      </c>
      <c r="Y561" s="20" t="s">
        <v>70</v>
      </c>
      <c r="Z561" s="21"/>
      <c r="AA561" s="21"/>
      <c r="AB561" s="21"/>
      <c r="AC561" s="21"/>
      <c r="AD561" s="21"/>
      <c r="AE561" s="21"/>
      <c r="AF561" s="17" t="str">
        <f t="shared" si="1"/>
        <v>New Logo</v>
      </c>
      <c r="AG561" s="17" t="str">
        <f t="shared" si="2"/>
        <v>Lead</v>
      </c>
      <c r="AH561" s="17" t="str">
        <f t="shared" si="3"/>
        <v>0-200</v>
      </c>
      <c r="AI561" s="17" t="str">
        <f t="shared" si="4"/>
        <v>51-100</v>
      </c>
    </row>
    <row r="562" ht="15.75" customHeight="1">
      <c r="A562" s="13">
        <f>HYPERLINK("https://app.hubspot.com/contacts/8748051/record/0-3/18406481524", 18406481524)</f>
        <v>18406481524</v>
      </c>
      <c r="B562" s="14" t="s">
        <v>1937</v>
      </c>
      <c r="C562" s="14" t="s">
        <v>145</v>
      </c>
      <c r="D562" s="15">
        <v>5280.0</v>
      </c>
      <c r="E562" s="14" t="s">
        <v>118</v>
      </c>
      <c r="F562" s="14"/>
      <c r="G562" s="16">
        <v>45385.54180555556</v>
      </c>
      <c r="H562" s="16">
        <v>45568.540601851855</v>
      </c>
      <c r="I562" s="14" t="s">
        <v>39</v>
      </c>
      <c r="J562" s="14" t="s">
        <v>40</v>
      </c>
      <c r="K562" s="14" t="s">
        <v>1186</v>
      </c>
      <c r="L562" s="14" t="s">
        <v>175</v>
      </c>
      <c r="M562" s="14" t="s">
        <v>43</v>
      </c>
      <c r="N562" s="17"/>
      <c r="O562" s="14"/>
      <c r="P562" s="14" t="s">
        <v>119</v>
      </c>
      <c r="Q562" s="17"/>
      <c r="R562" s="13">
        <f>HYPERLINK("https://app.hubspot.com/contacts/8748051/record/0-2/8142338612", 8142338612)</f>
        <v>8142338612</v>
      </c>
      <c r="S562" s="14" t="s">
        <v>1938</v>
      </c>
      <c r="T562" s="18" t="s">
        <v>1939</v>
      </c>
      <c r="U562" s="14" t="s">
        <v>46</v>
      </c>
      <c r="V562" s="22"/>
      <c r="W562" s="19">
        <v>223.0</v>
      </c>
      <c r="X562" s="19">
        <v>22.0</v>
      </c>
      <c r="Y562" s="20"/>
      <c r="Z562" s="21"/>
      <c r="AA562" s="21"/>
      <c r="AB562" s="21"/>
      <c r="AC562" s="21"/>
      <c r="AD562" s="21"/>
      <c r="AE562" s="21"/>
      <c r="AF562" s="17" t="str">
        <f t="shared" si="1"/>
        <v>New Logo</v>
      </c>
      <c r="AG562" s="17" t="str">
        <f t="shared" si="2"/>
        <v>Lead</v>
      </c>
      <c r="AH562" s="17" t="str">
        <f t="shared" si="3"/>
        <v>201-500</v>
      </c>
      <c r="AI562" s="17" t="str">
        <f t="shared" si="4"/>
        <v>21-50</v>
      </c>
    </row>
    <row r="563" ht="15.75" customHeight="1">
      <c r="A563" s="13">
        <f>HYPERLINK("https://app.hubspot.com/contacts/8748051/record/0-3/18406279072", 18406279072)</f>
        <v>18406279072</v>
      </c>
      <c r="B563" s="14" t="s">
        <v>1940</v>
      </c>
      <c r="C563" s="14" t="s">
        <v>49</v>
      </c>
      <c r="D563" s="15">
        <v>17760.0</v>
      </c>
      <c r="E563" s="14" t="s">
        <v>118</v>
      </c>
      <c r="F563" s="14"/>
      <c r="G563" s="16">
        <v>45385.53800925926</v>
      </c>
      <c r="H563" s="16">
        <v>45568.537627314814</v>
      </c>
      <c r="I563" s="14" t="s">
        <v>39</v>
      </c>
      <c r="J563" s="14" t="s">
        <v>40</v>
      </c>
      <c r="K563" s="14" t="s">
        <v>1186</v>
      </c>
      <c r="L563" s="14" t="s">
        <v>175</v>
      </c>
      <c r="M563" s="14" t="s">
        <v>43</v>
      </c>
      <c r="N563" s="17"/>
      <c r="O563" s="14"/>
      <c r="P563" s="14" t="s">
        <v>119</v>
      </c>
      <c r="Q563" s="14"/>
      <c r="R563" s="13">
        <f>HYPERLINK("https://app.hubspot.com/contacts/8748051/record/0-2/9086663713", 9086663713)</f>
        <v>9086663713</v>
      </c>
      <c r="S563" s="14" t="s">
        <v>1941</v>
      </c>
      <c r="T563" s="18" t="s">
        <v>1942</v>
      </c>
      <c r="U563" s="14" t="s">
        <v>46</v>
      </c>
      <c r="V563" s="22"/>
      <c r="W563" s="19">
        <v>827.0</v>
      </c>
      <c r="X563" s="19">
        <v>189.0</v>
      </c>
      <c r="Y563" s="20" t="s">
        <v>78</v>
      </c>
      <c r="Z563" s="21"/>
      <c r="AA563" s="21"/>
      <c r="AB563" s="21"/>
      <c r="AC563" s="21"/>
      <c r="AD563" s="21"/>
      <c r="AE563" s="21"/>
      <c r="AF563" s="17" t="str">
        <f t="shared" si="1"/>
        <v>New Logo</v>
      </c>
      <c r="AG563" s="17" t="str">
        <f t="shared" si="2"/>
        <v>Lead</v>
      </c>
      <c r="AH563" s="17" t="str">
        <f t="shared" si="3"/>
        <v>501-1000</v>
      </c>
      <c r="AI563" s="17" t="str">
        <f t="shared" si="4"/>
        <v>101-500</v>
      </c>
    </row>
    <row r="564" ht="15.75" customHeight="1">
      <c r="A564" s="13">
        <f>HYPERLINK("https://app.hubspot.com/contacts/8748051/record/0-3/18403770891", 18403770891)</f>
        <v>18403770891</v>
      </c>
      <c r="B564" s="14" t="s">
        <v>1943</v>
      </c>
      <c r="C564" s="14" t="s">
        <v>37</v>
      </c>
      <c r="D564" s="15">
        <v>75000.0</v>
      </c>
      <c r="E564" s="14" t="s">
        <v>124</v>
      </c>
      <c r="F564" s="14" t="s">
        <v>51</v>
      </c>
      <c r="G564" s="16">
        <v>45385.469375</v>
      </c>
      <c r="H564" s="16">
        <v>45747.85159722222</v>
      </c>
      <c r="I564" s="14" t="s">
        <v>39</v>
      </c>
      <c r="J564" s="14" t="s">
        <v>40</v>
      </c>
      <c r="K564" s="14" t="s">
        <v>59</v>
      </c>
      <c r="L564" s="14" t="s">
        <v>175</v>
      </c>
      <c r="M564" s="14" t="s">
        <v>43</v>
      </c>
      <c r="N564" s="17"/>
      <c r="O564" s="14"/>
      <c r="P564" s="14"/>
      <c r="Q564" s="17"/>
      <c r="R564" s="13">
        <f>HYPERLINK("https://app.hubspot.com/contacts/8748051/record/0-2/7420318749", 7420318749)</f>
        <v>7420318749</v>
      </c>
      <c r="S564" s="14" t="s">
        <v>1944</v>
      </c>
      <c r="T564" s="18" t="s">
        <v>1945</v>
      </c>
      <c r="U564" s="14" t="s">
        <v>46</v>
      </c>
      <c r="V564" s="22"/>
      <c r="W564" s="19">
        <v>1998.0</v>
      </c>
      <c r="X564" s="19">
        <v>340.0</v>
      </c>
      <c r="Y564" s="20" t="s">
        <v>122</v>
      </c>
      <c r="Z564" s="21"/>
      <c r="AA564" s="21"/>
      <c r="AB564" s="21"/>
      <c r="AC564" s="21"/>
      <c r="AD564" s="21"/>
      <c r="AE564" s="21"/>
      <c r="AF564" s="17" t="str">
        <f t="shared" si="1"/>
        <v>New Logo</v>
      </c>
      <c r="AG564" s="17" t="str">
        <f t="shared" si="2"/>
        <v>Lead</v>
      </c>
      <c r="AH564" s="17" t="str">
        <f t="shared" si="3"/>
        <v>1001-5000</v>
      </c>
      <c r="AI564" s="17" t="str">
        <f t="shared" si="4"/>
        <v>101-500</v>
      </c>
    </row>
    <row r="565" ht="15.75" customHeight="1">
      <c r="A565" s="13">
        <f>HYPERLINK("https://app.hubspot.com/contacts/8748051/record/0-3/18382529655", 18382529655)</f>
        <v>18382529655</v>
      </c>
      <c r="B565" s="14" t="s">
        <v>1946</v>
      </c>
      <c r="C565" s="14" t="s">
        <v>49</v>
      </c>
      <c r="D565" s="15">
        <v>10000.0</v>
      </c>
      <c r="E565" s="14" t="s">
        <v>146</v>
      </c>
      <c r="F565" s="14" t="s">
        <v>51</v>
      </c>
      <c r="G565" s="16">
        <v>45384.56715277778</v>
      </c>
      <c r="H565" s="16">
        <v>45432.00865740741</v>
      </c>
      <c r="I565" s="14" t="s">
        <v>39</v>
      </c>
      <c r="J565" s="14" t="s">
        <v>40</v>
      </c>
      <c r="K565" s="14" t="s">
        <v>1186</v>
      </c>
      <c r="L565" s="14" t="s">
        <v>175</v>
      </c>
      <c r="M565" s="14" t="s">
        <v>43</v>
      </c>
      <c r="N565" s="17"/>
      <c r="O565" s="14" t="s">
        <v>1947</v>
      </c>
      <c r="P565" s="14"/>
      <c r="Q565" s="17"/>
      <c r="R565" s="13">
        <f>HYPERLINK("https://app.hubspot.com/contacts/8748051/record/0-2/9186947975", 9186947975)</f>
        <v>9186947975</v>
      </c>
      <c r="S565" s="14" t="s">
        <v>1948</v>
      </c>
      <c r="T565" s="14" t="s">
        <v>1949</v>
      </c>
      <c r="U565" s="14" t="s">
        <v>46</v>
      </c>
      <c r="V565" s="22"/>
      <c r="W565" s="19">
        <v>197.0</v>
      </c>
      <c r="X565" s="19">
        <v>40.0</v>
      </c>
      <c r="Y565" s="20" t="s">
        <v>104</v>
      </c>
      <c r="Z565" s="21"/>
      <c r="AA565" s="21"/>
      <c r="AB565" s="21"/>
      <c r="AC565" s="21"/>
      <c r="AD565" s="21"/>
      <c r="AE565" s="21"/>
      <c r="AF565" s="17" t="str">
        <f t="shared" si="1"/>
        <v>New Logo</v>
      </c>
      <c r="AG565" s="17" t="str">
        <f t="shared" si="2"/>
        <v>Lead</v>
      </c>
      <c r="AH565" s="17" t="str">
        <f t="shared" si="3"/>
        <v>0-200</v>
      </c>
      <c r="AI565" s="17" t="str">
        <f t="shared" si="4"/>
        <v>21-50</v>
      </c>
    </row>
    <row r="566" ht="15.75" customHeight="1">
      <c r="A566" s="13">
        <f>HYPERLINK("https://app.hubspot.com/contacts/8748051/record/0-3/18377682338", 18377682338)</f>
        <v>18377682338</v>
      </c>
      <c r="B566" s="14" t="s">
        <v>1950</v>
      </c>
      <c r="C566" s="14" t="s">
        <v>49</v>
      </c>
      <c r="D566" s="15">
        <v>4560.0</v>
      </c>
      <c r="E566" s="14" t="s">
        <v>118</v>
      </c>
      <c r="F566" s="14"/>
      <c r="G566" s="16">
        <v>45384.34662037037</v>
      </c>
      <c r="H566" s="16">
        <v>45567.34627314815</v>
      </c>
      <c r="I566" s="14" t="s">
        <v>39</v>
      </c>
      <c r="J566" s="14" t="s">
        <v>40</v>
      </c>
      <c r="K566" s="14" t="s">
        <v>558</v>
      </c>
      <c r="L566" s="14" t="s">
        <v>559</v>
      </c>
      <c r="M566" s="14" t="s">
        <v>43</v>
      </c>
      <c r="N566" s="17"/>
      <c r="O566" s="14"/>
      <c r="P566" s="14" t="s">
        <v>260</v>
      </c>
      <c r="Q566" s="14"/>
      <c r="R566" s="13">
        <f>HYPERLINK("https://app.hubspot.com/contacts/8748051/record/0-2/19176617366", 19176617366)</f>
        <v>19176617366</v>
      </c>
      <c r="S566" s="14" t="s">
        <v>1951</v>
      </c>
      <c r="T566" s="18" t="s">
        <v>1952</v>
      </c>
      <c r="U566" s="14" t="s">
        <v>46</v>
      </c>
      <c r="V566" s="15"/>
      <c r="W566" s="19">
        <v>149.0</v>
      </c>
      <c r="X566" s="19">
        <v>31.0</v>
      </c>
      <c r="Y566" s="20" t="s">
        <v>104</v>
      </c>
      <c r="Z566" s="20"/>
      <c r="AA566" s="21"/>
      <c r="AB566" s="20"/>
      <c r="AC566" s="20"/>
      <c r="AD566" s="21"/>
      <c r="AE566" s="20"/>
      <c r="AF566" s="17" t="str">
        <f t="shared" si="1"/>
        <v>New Logo</v>
      </c>
      <c r="AG566" s="17" t="str">
        <f t="shared" si="2"/>
        <v>Lead</v>
      </c>
      <c r="AH566" s="17" t="str">
        <f t="shared" si="3"/>
        <v>0-200</v>
      </c>
      <c r="AI566" s="17" t="str">
        <f t="shared" si="4"/>
        <v>21-50</v>
      </c>
    </row>
    <row r="567" ht="15.75" customHeight="1">
      <c r="A567" s="13">
        <f>HYPERLINK("https://app.hubspot.com/contacts/8748051/record/0-3/18377681450", 18377681450)</f>
        <v>18377681450</v>
      </c>
      <c r="B567" s="14" t="s">
        <v>1953</v>
      </c>
      <c r="C567" s="14" t="s">
        <v>49</v>
      </c>
      <c r="D567" s="15">
        <v>157680.0</v>
      </c>
      <c r="E567" s="14" t="s">
        <v>118</v>
      </c>
      <c r="F567" s="17"/>
      <c r="G567" s="16">
        <v>45384.34049768518</v>
      </c>
      <c r="H567" s="16">
        <v>45567.340092592596</v>
      </c>
      <c r="I567" s="14" t="s">
        <v>39</v>
      </c>
      <c r="J567" s="14" t="s">
        <v>40</v>
      </c>
      <c r="K567" s="14" t="s">
        <v>1186</v>
      </c>
      <c r="L567" s="14" t="s">
        <v>175</v>
      </c>
      <c r="M567" s="14" t="s">
        <v>43</v>
      </c>
      <c r="N567" s="17"/>
      <c r="O567" s="17"/>
      <c r="P567" s="14" t="s">
        <v>211</v>
      </c>
      <c r="Q567" s="17"/>
      <c r="R567" s="13">
        <f>HYPERLINK("https://app.hubspot.com/contacts/8748051/record/0-2/18832172188", 18832172188)</f>
        <v>18832172188</v>
      </c>
      <c r="S567" s="14" t="s">
        <v>1954</v>
      </c>
      <c r="T567" s="18" t="s">
        <v>1955</v>
      </c>
      <c r="U567" s="14" t="s">
        <v>46</v>
      </c>
      <c r="V567" s="22"/>
      <c r="W567" s="19">
        <v>9906.0</v>
      </c>
      <c r="X567" s="19">
        <v>755.0</v>
      </c>
      <c r="Y567" s="20" t="s">
        <v>55</v>
      </c>
      <c r="Z567" s="21"/>
      <c r="AA567" s="21"/>
      <c r="AB567" s="21"/>
      <c r="AC567" s="21"/>
      <c r="AD567" s="21"/>
      <c r="AE567" s="21"/>
      <c r="AF567" s="17" t="str">
        <f t="shared" si="1"/>
        <v>New Logo</v>
      </c>
      <c r="AG567" s="17" t="str">
        <f t="shared" si="2"/>
        <v>Lead</v>
      </c>
      <c r="AH567" s="17" t="str">
        <f t="shared" si="3"/>
        <v>5000-10000</v>
      </c>
      <c r="AI567" s="17" t="str">
        <f t="shared" si="4"/>
        <v>500+</v>
      </c>
    </row>
    <row r="568" ht="15.75" customHeight="1">
      <c r="A568" s="13">
        <f>HYPERLINK("https://app.hubspot.com/contacts/8748051/record/0-3/18377681310", 18377681310)</f>
        <v>18377681310</v>
      </c>
      <c r="B568" s="14" t="s">
        <v>1956</v>
      </c>
      <c r="C568" s="14" t="s">
        <v>1008</v>
      </c>
      <c r="D568" s="15">
        <v>12960.0</v>
      </c>
      <c r="E568" s="14" t="s">
        <v>118</v>
      </c>
      <c r="F568" s="14"/>
      <c r="G568" s="16">
        <v>45384.339733796296</v>
      </c>
      <c r="H568" s="16">
        <v>45567.33903935185</v>
      </c>
      <c r="I568" s="14" t="s">
        <v>39</v>
      </c>
      <c r="J568" s="14" t="s">
        <v>40</v>
      </c>
      <c r="K568" s="14" t="s">
        <v>1186</v>
      </c>
      <c r="L568" s="14" t="s">
        <v>175</v>
      </c>
      <c r="M568" s="14" t="s">
        <v>43</v>
      </c>
      <c r="N568" s="17"/>
      <c r="O568" s="14"/>
      <c r="P568" s="14" t="s">
        <v>260</v>
      </c>
      <c r="Q568" s="17"/>
      <c r="R568" s="13">
        <f>HYPERLINK("https://app.hubspot.com/contacts/8748051/record/0-2/8207782760", 8207782760)</f>
        <v>8207782760</v>
      </c>
      <c r="S568" s="14" t="s">
        <v>1957</v>
      </c>
      <c r="T568" s="18" t="s">
        <v>1958</v>
      </c>
      <c r="U568" s="14" t="s">
        <v>46</v>
      </c>
      <c r="V568" s="15"/>
      <c r="W568" s="19">
        <v>2203.0</v>
      </c>
      <c r="X568" s="19">
        <v>120.0</v>
      </c>
      <c r="Y568" s="20" t="s">
        <v>104</v>
      </c>
      <c r="Z568" s="20"/>
      <c r="AA568" s="21"/>
      <c r="AB568" s="20"/>
      <c r="AC568" s="20"/>
      <c r="AD568" s="21"/>
      <c r="AE568" s="20"/>
      <c r="AF568" s="17" t="str">
        <f t="shared" si="1"/>
        <v>New Logo</v>
      </c>
      <c r="AG568" s="17" t="str">
        <f t="shared" si="2"/>
        <v>Lead</v>
      </c>
      <c r="AH568" s="17" t="str">
        <f t="shared" si="3"/>
        <v>1001-5000</v>
      </c>
      <c r="AI568" s="17" t="str">
        <f t="shared" si="4"/>
        <v>101-500</v>
      </c>
    </row>
    <row r="569" ht="15.75" customHeight="1">
      <c r="A569" s="13">
        <f>HYPERLINK("https://app.hubspot.com/contacts/8748051/record/0-3/18377681022", 18377681022)</f>
        <v>18377681022</v>
      </c>
      <c r="B569" s="14" t="s">
        <v>1959</v>
      </c>
      <c r="C569" s="14" t="s">
        <v>37</v>
      </c>
      <c r="D569" s="15">
        <v>5760.0</v>
      </c>
      <c r="E569" s="14" t="s">
        <v>118</v>
      </c>
      <c r="F569" s="14"/>
      <c r="G569" s="16">
        <v>45384.337685185186</v>
      </c>
      <c r="H569" s="16">
        <v>45567.336863425924</v>
      </c>
      <c r="I569" s="14" t="s">
        <v>39</v>
      </c>
      <c r="J569" s="14" t="s">
        <v>40</v>
      </c>
      <c r="K569" s="14" t="s">
        <v>1186</v>
      </c>
      <c r="L569" s="14" t="s">
        <v>175</v>
      </c>
      <c r="M569" s="14" t="s">
        <v>43</v>
      </c>
      <c r="N569" s="17"/>
      <c r="O569" s="17"/>
      <c r="P569" s="14" t="s">
        <v>119</v>
      </c>
      <c r="Q569" s="14"/>
      <c r="R569" s="13">
        <f>HYPERLINK("https://app.hubspot.com/contacts/8748051/record/0-2/17208326188", 17208326188)</f>
        <v>17208326188</v>
      </c>
      <c r="S569" s="14" t="s">
        <v>1960</v>
      </c>
      <c r="T569" s="18" t="s">
        <v>1961</v>
      </c>
      <c r="U569" s="14" t="s">
        <v>46</v>
      </c>
      <c r="V569" s="22"/>
      <c r="W569" s="19">
        <v>234.0</v>
      </c>
      <c r="X569" s="19">
        <v>38.0</v>
      </c>
      <c r="Y569" s="20" t="s">
        <v>70</v>
      </c>
      <c r="Z569" s="21"/>
      <c r="AA569" s="21"/>
      <c r="AB569" s="21"/>
      <c r="AC569" s="21"/>
      <c r="AD569" s="21"/>
      <c r="AE569" s="21"/>
      <c r="AF569" s="17" t="str">
        <f t="shared" si="1"/>
        <v>New Logo</v>
      </c>
      <c r="AG569" s="17" t="str">
        <f t="shared" si="2"/>
        <v>Lead</v>
      </c>
      <c r="AH569" s="17" t="str">
        <f t="shared" si="3"/>
        <v>201-500</v>
      </c>
      <c r="AI569" s="17" t="str">
        <f t="shared" si="4"/>
        <v>21-50</v>
      </c>
    </row>
    <row r="570" ht="15.75" customHeight="1">
      <c r="A570" s="13">
        <f>HYPERLINK("https://app.hubspot.com/contacts/8748051/record/0-3/18362784067", 18362784067)</f>
        <v>18362784067</v>
      </c>
      <c r="B570" s="14" t="s">
        <v>1962</v>
      </c>
      <c r="C570" s="14" t="s">
        <v>49</v>
      </c>
      <c r="D570" s="15">
        <v>6480.0</v>
      </c>
      <c r="E570" s="14" t="s">
        <v>118</v>
      </c>
      <c r="F570" s="14"/>
      <c r="G570" s="16">
        <v>45383.67234953704</v>
      </c>
      <c r="H570" s="16">
        <v>45566.671875</v>
      </c>
      <c r="I570" s="14" t="s">
        <v>39</v>
      </c>
      <c r="J570" s="14" t="s">
        <v>40</v>
      </c>
      <c r="K570" s="14" t="s">
        <v>1186</v>
      </c>
      <c r="L570" s="14" t="s">
        <v>175</v>
      </c>
      <c r="M570" s="14" t="s">
        <v>43</v>
      </c>
      <c r="N570" s="17"/>
      <c r="O570" s="17"/>
      <c r="P570" s="14" t="s">
        <v>260</v>
      </c>
      <c r="Q570" s="14"/>
      <c r="R570" s="13">
        <f>HYPERLINK("https://app.hubspot.com/contacts/8748051/record/0-2/5851830646", 5851830646)</f>
        <v>5851830646</v>
      </c>
      <c r="S570" s="14" t="s">
        <v>1963</v>
      </c>
      <c r="T570" s="18" t="s">
        <v>1964</v>
      </c>
      <c r="U570" s="14" t="s">
        <v>46</v>
      </c>
      <c r="V570" s="22"/>
      <c r="W570" s="19">
        <v>130.0</v>
      </c>
      <c r="X570" s="19">
        <v>30.0</v>
      </c>
      <c r="Y570" s="20"/>
      <c r="Z570" s="21"/>
      <c r="AA570" s="21"/>
      <c r="AB570" s="21"/>
      <c r="AC570" s="21"/>
      <c r="AD570" s="21"/>
      <c r="AE570" s="21"/>
      <c r="AF570" s="17" t="str">
        <f t="shared" si="1"/>
        <v>New Logo</v>
      </c>
      <c r="AG570" s="17" t="str">
        <f t="shared" si="2"/>
        <v>Lead</v>
      </c>
      <c r="AH570" s="17" t="str">
        <f t="shared" si="3"/>
        <v>0-200</v>
      </c>
      <c r="AI570" s="17" t="str">
        <f t="shared" si="4"/>
        <v>21-50</v>
      </c>
    </row>
    <row r="571" ht="15.75" customHeight="1">
      <c r="A571" s="13">
        <f>HYPERLINK("https://app.hubspot.com/contacts/8748051/record/0-3/18363319042", 18363319042)</f>
        <v>18363319042</v>
      </c>
      <c r="B571" s="14" t="s">
        <v>1965</v>
      </c>
      <c r="C571" s="14" t="s">
        <v>37</v>
      </c>
      <c r="D571" s="15">
        <v>240.0</v>
      </c>
      <c r="E571" s="14" t="s">
        <v>118</v>
      </c>
      <c r="F571" s="14"/>
      <c r="G571" s="16">
        <v>45383.611180555556</v>
      </c>
      <c r="H571" s="16">
        <v>45566.610671296294</v>
      </c>
      <c r="I571" s="14" t="s">
        <v>39</v>
      </c>
      <c r="J571" s="14" t="s">
        <v>40</v>
      </c>
      <c r="K571" s="14" t="s">
        <v>1186</v>
      </c>
      <c r="L571" s="14" t="s">
        <v>559</v>
      </c>
      <c r="M571" s="14" t="s">
        <v>43</v>
      </c>
      <c r="N571" s="17"/>
      <c r="O571" s="17"/>
      <c r="P571" s="14" t="s">
        <v>119</v>
      </c>
      <c r="Q571" s="14"/>
      <c r="R571" s="13">
        <f>HYPERLINK("https://app.hubspot.com/contacts/8748051/record/0-2/18382764727", 18382764727)</f>
        <v>18382764727</v>
      </c>
      <c r="S571" s="14" t="s">
        <v>1966</v>
      </c>
      <c r="T571" s="18" t="s">
        <v>1967</v>
      </c>
      <c r="U571" s="14" t="s">
        <v>46</v>
      </c>
      <c r="V571" s="22"/>
      <c r="W571" s="19">
        <v>310.0</v>
      </c>
      <c r="X571" s="19">
        <v>6.0</v>
      </c>
      <c r="Y571" s="20"/>
      <c r="Z571" s="21"/>
      <c r="AA571" s="21"/>
      <c r="AB571" s="21"/>
      <c r="AC571" s="21"/>
      <c r="AD571" s="21"/>
      <c r="AE571" s="21"/>
      <c r="AF571" s="17" t="str">
        <f t="shared" si="1"/>
        <v>New Logo</v>
      </c>
      <c r="AG571" s="17" t="str">
        <f t="shared" si="2"/>
        <v>Lead</v>
      </c>
      <c r="AH571" s="17" t="str">
        <f t="shared" si="3"/>
        <v>201-500</v>
      </c>
      <c r="AI571" s="17" t="str">
        <f t="shared" si="4"/>
        <v>0-20</v>
      </c>
    </row>
    <row r="572" ht="15.75" customHeight="1">
      <c r="A572" s="13">
        <f>HYPERLINK("https://app.hubspot.com/contacts/8748051/record/0-3/18357121384", 18357121384)</f>
        <v>18357121384</v>
      </c>
      <c r="B572" s="14" t="s">
        <v>1968</v>
      </c>
      <c r="C572" s="14" t="s">
        <v>1008</v>
      </c>
      <c r="D572" s="15">
        <v>69120.0</v>
      </c>
      <c r="E572" s="14" t="s">
        <v>118</v>
      </c>
      <c r="F572" s="14"/>
      <c r="G572" s="16">
        <v>45383.31452546296</v>
      </c>
      <c r="H572" s="16">
        <v>45566.313622685186</v>
      </c>
      <c r="I572" s="14" t="s">
        <v>39</v>
      </c>
      <c r="J572" s="14" t="s">
        <v>52</v>
      </c>
      <c r="K572" s="14" t="s">
        <v>59</v>
      </c>
      <c r="L572" s="14" t="s">
        <v>175</v>
      </c>
      <c r="M572" s="14" t="s">
        <v>72</v>
      </c>
      <c r="N572" s="17"/>
      <c r="O572" s="14"/>
      <c r="P572" s="14" t="s">
        <v>232</v>
      </c>
      <c r="Q572" s="14"/>
      <c r="R572" s="13">
        <f>HYPERLINK("https://app.hubspot.com/contacts/8748051/record/0-2/8879983211", 8879983211)</f>
        <v>8879983211</v>
      </c>
      <c r="S572" s="14" t="s">
        <v>1969</v>
      </c>
      <c r="T572" s="18" t="s">
        <v>1970</v>
      </c>
      <c r="U572" s="14" t="s">
        <v>46</v>
      </c>
      <c r="V572" s="22"/>
      <c r="W572" s="19">
        <v>1504.0</v>
      </c>
      <c r="X572" s="19">
        <v>431.0</v>
      </c>
      <c r="Y572" s="20" t="s">
        <v>122</v>
      </c>
      <c r="Z572" s="21"/>
      <c r="AA572" s="21"/>
      <c r="AB572" s="21"/>
      <c r="AC572" s="21"/>
      <c r="AD572" s="21"/>
      <c r="AE572" s="21"/>
      <c r="AF572" s="17" t="str">
        <f t="shared" si="1"/>
        <v>New Logo</v>
      </c>
      <c r="AG572" s="17" t="str">
        <f t="shared" si="2"/>
        <v>Lead</v>
      </c>
      <c r="AH572" s="17" t="str">
        <f t="shared" si="3"/>
        <v>1001-5000</v>
      </c>
      <c r="AI572" s="17" t="str">
        <f t="shared" si="4"/>
        <v>101-500</v>
      </c>
    </row>
    <row r="573" ht="15.75" customHeight="1">
      <c r="A573" s="13">
        <f>HYPERLINK("https://app.hubspot.com/contacts/8748051/record/0-3/18357121301", 18357121301)</f>
        <v>18357121301</v>
      </c>
      <c r="B573" s="14" t="s">
        <v>1971</v>
      </c>
      <c r="C573" s="14" t="s">
        <v>37</v>
      </c>
      <c r="D573" s="15">
        <v>16560.0</v>
      </c>
      <c r="E573" s="14" t="s">
        <v>118</v>
      </c>
      <c r="F573" s="14"/>
      <c r="G573" s="16">
        <v>45383.312939814816</v>
      </c>
      <c r="H573" s="16">
        <v>45566.31238425926</v>
      </c>
      <c r="I573" s="14" t="s">
        <v>39</v>
      </c>
      <c r="J573" s="14" t="s">
        <v>40</v>
      </c>
      <c r="K573" s="14" t="s">
        <v>59</v>
      </c>
      <c r="L573" s="14" t="s">
        <v>175</v>
      </c>
      <c r="M573" s="14" t="s">
        <v>72</v>
      </c>
      <c r="N573" s="17"/>
      <c r="O573" s="14"/>
      <c r="P573" s="14" t="s">
        <v>119</v>
      </c>
      <c r="Q573" s="17"/>
      <c r="R573" s="13">
        <f>HYPERLINK("https://app.hubspot.com/contacts/8748051/record/0-2/8142384926", 8142384926)</f>
        <v>8142384926</v>
      </c>
      <c r="S573" s="14" t="s">
        <v>1972</v>
      </c>
      <c r="T573" s="18" t="s">
        <v>1973</v>
      </c>
      <c r="U573" s="14" t="s">
        <v>46</v>
      </c>
      <c r="V573" s="15"/>
      <c r="W573" s="19">
        <v>694.0</v>
      </c>
      <c r="X573" s="19">
        <v>70.0</v>
      </c>
      <c r="Y573" s="20" t="s">
        <v>55</v>
      </c>
      <c r="Z573" s="20"/>
      <c r="AA573" s="21"/>
      <c r="AB573" s="20"/>
      <c r="AC573" s="20"/>
      <c r="AD573" s="21"/>
      <c r="AE573" s="20"/>
      <c r="AF573" s="17" t="str">
        <f t="shared" si="1"/>
        <v>New Logo</v>
      </c>
      <c r="AG573" s="17" t="str">
        <f t="shared" si="2"/>
        <v>Lead</v>
      </c>
      <c r="AH573" s="17" t="str">
        <f t="shared" si="3"/>
        <v>501-1000</v>
      </c>
      <c r="AI573" s="17" t="str">
        <f t="shared" si="4"/>
        <v>51-100</v>
      </c>
    </row>
    <row r="574" ht="15.75" customHeight="1">
      <c r="A574" s="13">
        <f>HYPERLINK("https://app.hubspot.com/contacts/8748051/record/0-3/18309555983", 18309555983)</f>
        <v>18309555983</v>
      </c>
      <c r="B574" s="14" t="s">
        <v>1974</v>
      </c>
      <c r="C574" s="14" t="s">
        <v>37</v>
      </c>
      <c r="D574" s="15">
        <v>20400.0</v>
      </c>
      <c r="E574" s="14" t="s">
        <v>118</v>
      </c>
      <c r="F574" s="14"/>
      <c r="G574" s="16">
        <v>45380.49519675926</v>
      </c>
      <c r="H574" s="16">
        <v>45564.494942129626</v>
      </c>
      <c r="I574" s="14" t="s">
        <v>39</v>
      </c>
      <c r="J574" s="14" t="s">
        <v>40</v>
      </c>
      <c r="K574" s="14" t="s">
        <v>1186</v>
      </c>
      <c r="L574" s="14" t="s">
        <v>559</v>
      </c>
      <c r="M574" s="14" t="s">
        <v>43</v>
      </c>
      <c r="N574" s="14"/>
      <c r="O574" s="14"/>
      <c r="P574" s="14" t="s">
        <v>260</v>
      </c>
      <c r="Q574" s="17"/>
      <c r="R574" s="13">
        <f>HYPERLINK("https://app.hubspot.com/contacts/8748051/record/0-2/8141927813", 8141927813)</f>
        <v>8141927813</v>
      </c>
      <c r="S574" s="14" t="s">
        <v>1975</v>
      </c>
      <c r="T574" s="18" t="s">
        <v>1976</v>
      </c>
      <c r="U574" s="14" t="s">
        <v>46</v>
      </c>
      <c r="V574" s="15"/>
      <c r="W574" s="19">
        <v>370.0</v>
      </c>
      <c r="X574" s="19">
        <v>67.0</v>
      </c>
      <c r="Y574" s="20" t="s">
        <v>70</v>
      </c>
      <c r="Z574" s="20"/>
      <c r="AA574" s="21"/>
      <c r="AB574" s="20"/>
      <c r="AC574" s="20"/>
      <c r="AD574" s="21"/>
      <c r="AE574" s="20"/>
      <c r="AF574" s="17" t="str">
        <f t="shared" si="1"/>
        <v>New Logo</v>
      </c>
      <c r="AG574" s="17" t="str">
        <f t="shared" si="2"/>
        <v>Lead</v>
      </c>
      <c r="AH574" s="17" t="str">
        <f t="shared" si="3"/>
        <v>201-500</v>
      </c>
      <c r="AI574" s="17" t="str">
        <f t="shared" si="4"/>
        <v>51-100</v>
      </c>
    </row>
    <row r="575" ht="15.75" customHeight="1">
      <c r="A575" s="13">
        <f>HYPERLINK("https://app.hubspot.com/contacts/8748051/record/0-3/18295488692", 18295488692)</f>
        <v>18295488692</v>
      </c>
      <c r="B575" s="14" t="s">
        <v>1977</v>
      </c>
      <c r="C575" s="14" t="s">
        <v>145</v>
      </c>
      <c r="D575" s="15">
        <v>26900.0</v>
      </c>
      <c r="E575" s="14" t="s">
        <v>146</v>
      </c>
      <c r="F575" s="14" t="s">
        <v>51</v>
      </c>
      <c r="G575" s="16">
        <v>45379.69824074074</v>
      </c>
      <c r="H575" s="16">
        <v>45440.31780092593</v>
      </c>
      <c r="I575" s="14" t="s">
        <v>39</v>
      </c>
      <c r="J575" s="14" t="s">
        <v>40</v>
      </c>
      <c r="K575" s="14" t="s">
        <v>1186</v>
      </c>
      <c r="L575" s="14" t="s">
        <v>559</v>
      </c>
      <c r="M575" s="14" t="s">
        <v>43</v>
      </c>
      <c r="N575" s="17"/>
      <c r="O575" s="14" t="s">
        <v>1978</v>
      </c>
      <c r="P575" s="14"/>
      <c r="Q575" s="14"/>
      <c r="R575" s="13">
        <f>HYPERLINK("https://app.hubspot.com/contacts/8748051/record/0-2/8161507100", 8161507100)</f>
        <v>8161507100</v>
      </c>
      <c r="S575" s="14" t="s">
        <v>1096</v>
      </c>
      <c r="T575" s="18" t="s">
        <v>1097</v>
      </c>
      <c r="U575" s="14" t="s">
        <v>93</v>
      </c>
      <c r="V575" s="15">
        <v>46000.0</v>
      </c>
      <c r="W575" s="19">
        <v>1078.0</v>
      </c>
      <c r="X575" s="19">
        <v>310.0</v>
      </c>
      <c r="Y575" s="20"/>
      <c r="Z575" s="20" t="s">
        <v>205</v>
      </c>
      <c r="AA575" s="21"/>
      <c r="AB575" s="20" t="s">
        <v>267</v>
      </c>
      <c r="AC575" s="20" t="s">
        <v>1098</v>
      </c>
      <c r="AD575" s="21"/>
      <c r="AE575" s="20" t="s">
        <v>553</v>
      </c>
      <c r="AF575" s="17" t="str">
        <f t="shared" si="1"/>
        <v>New Logo</v>
      </c>
      <c r="AG575" s="17" t="str">
        <f t="shared" si="2"/>
        <v>Customer</v>
      </c>
      <c r="AH575" s="17" t="str">
        <f t="shared" si="3"/>
        <v>1001-5000</v>
      </c>
      <c r="AI575" s="17" t="str">
        <f t="shared" si="4"/>
        <v>101-500</v>
      </c>
    </row>
    <row r="576" ht="15.75" customHeight="1">
      <c r="A576" s="13">
        <f>HYPERLINK("https://app.hubspot.com/contacts/8748051/record/0-3/18266663518", 18266663518)</f>
        <v>18266663518</v>
      </c>
      <c r="B576" s="14" t="s">
        <v>1979</v>
      </c>
      <c r="C576" s="14" t="s">
        <v>49</v>
      </c>
      <c r="D576" s="15">
        <v>13920.0</v>
      </c>
      <c r="E576" s="14" t="s">
        <v>118</v>
      </c>
      <c r="F576" s="14"/>
      <c r="G576" s="16">
        <v>45378.56212962963</v>
      </c>
      <c r="H576" s="16">
        <v>45562.56144675926</v>
      </c>
      <c r="I576" s="14" t="s">
        <v>39</v>
      </c>
      <c r="J576" s="14" t="s">
        <v>40</v>
      </c>
      <c r="K576" s="14" t="s">
        <v>1186</v>
      </c>
      <c r="L576" s="14" t="s">
        <v>175</v>
      </c>
      <c r="M576" s="14" t="s">
        <v>43</v>
      </c>
      <c r="N576" s="14"/>
      <c r="O576" s="17"/>
      <c r="P576" s="14" t="s">
        <v>232</v>
      </c>
      <c r="Q576" s="14"/>
      <c r="R576" s="13">
        <f>HYPERLINK("https://app.hubspot.com/contacts/8748051/record/0-2/9174471592", 9174471592)</f>
        <v>9174471592</v>
      </c>
      <c r="S576" s="14" t="s">
        <v>1980</v>
      </c>
      <c r="T576" s="18" t="s">
        <v>1981</v>
      </c>
      <c r="U576" s="14" t="s">
        <v>46</v>
      </c>
      <c r="V576" s="15"/>
      <c r="W576" s="19">
        <v>510.0</v>
      </c>
      <c r="X576" s="19">
        <v>72.0</v>
      </c>
      <c r="Y576" s="20" t="s">
        <v>63</v>
      </c>
      <c r="Z576" s="20"/>
      <c r="AA576" s="21"/>
      <c r="AB576" s="21"/>
      <c r="AC576" s="20"/>
      <c r="AD576" s="21"/>
      <c r="AE576" s="20"/>
      <c r="AF576" s="17" t="str">
        <f t="shared" si="1"/>
        <v>New Logo</v>
      </c>
      <c r="AG576" s="17" t="str">
        <f t="shared" si="2"/>
        <v>Lead</v>
      </c>
      <c r="AH576" s="17" t="str">
        <f t="shared" si="3"/>
        <v>501-1000</v>
      </c>
      <c r="AI576" s="17" t="str">
        <f t="shared" si="4"/>
        <v>51-100</v>
      </c>
    </row>
    <row r="577" ht="15.75" customHeight="1">
      <c r="A577" s="13">
        <f>HYPERLINK("https://app.hubspot.com/contacts/8748051/record/0-3/18265988383", 18265988383)</f>
        <v>18265988383</v>
      </c>
      <c r="B577" s="14" t="s">
        <v>1982</v>
      </c>
      <c r="C577" s="14" t="s">
        <v>37</v>
      </c>
      <c r="D577" s="15">
        <v>7440.0</v>
      </c>
      <c r="E577" s="14" t="s">
        <v>118</v>
      </c>
      <c r="F577" s="14"/>
      <c r="G577" s="16">
        <v>45378.56047453704</v>
      </c>
      <c r="H577" s="16">
        <v>45562.56008101852</v>
      </c>
      <c r="I577" s="14" t="s">
        <v>39</v>
      </c>
      <c r="J577" s="14" t="s">
        <v>40</v>
      </c>
      <c r="K577" s="14" t="s">
        <v>558</v>
      </c>
      <c r="L577" s="14" t="s">
        <v>559</v>
      </c>
      <c r="M577" s="14" t="s">
        <v>43</v>
      </c>
      <c r="N577" s="17"/>
      <c r="O577" s="17"/>
      <c r="P577" s="14" t="s">
        <v>211</v>
      </c>
      <c r="Q577" s="14"/>
      <c r="R577" s="13">
        <f>HYPERLINK("https://app.hubspot.com/contacts/8748051/record/0-2/17551055214", 17551055214)</f>
        <v>17551055214</v>
      </c>
      <c r="S577" s="14" t="s">
        <v>1983</v>
      </c>
      <c r="T577" s="18" t="s">
        <v>1984</v>
      </c>
      <c r="U577" s="14" t="s">
        <v>46</v>
      </c>
      <c r="V577" s="22"/>
      <c r="W577" s="19">
        <v>206.0</v>
      </c>
      <c r="X577" s="19">
        <v>40.0</v>
      </c>
      <c r="Y577" s="20" t="s">
        <v>104</v>
      </c>
      <c r="Z577" s="21"/>
      <c r="AA577" s="21"/>
      <c r="AB577" s="21"/>
      <c r="AC577" s="21"/>
      <c r="AD577" s="21"/>
      <c r="AE577" s="21"/>
      <c r="AF577" s="17" t="str">
        <f t="shared" si="1"/>
        <v>New Logo</v>
      </c>
      <c r="AG577" s="17" t="str">
        <f t="shared" si="2"/>
        <v>Lead</v>
      </c>
      <c r="AH577" s="17" t="str">
        <f t="shared" si="3"/>
        <v>201-500</v>
      </c>
      <c r="AI577" s="17" t="str">
        <f t="shared" si="4"/>
        <v>21-50</v>
      </c>
    </row>
    <row r="578" ht="15.75" customHeight="1">
      <c r="A578" s="13">
        <f>HYPERLINK("https://app.hubspot.com/contacts/8748051/record/0-3/18265173382", 18265173382)</f>
        <v>18265173382</v>
      </c>
      <c r="B578" s="14" t="s">
        <v>1985</v>
      </c>
      <c r="C578" s="14" t="s">
        <v>49</v>
      </c>
      <c r="D578" s="15">
        <v>25000.0</v>
      </c>
      <c r="E578" s="14" t="s">
        <v>118</v>
      </c>
      <c r="F578" s="14"/>
      <c r="G578" s="16">
        <v>45378.48707175926</v>
      </c>
      <c r="H578" s="16">
        <v>45562.48672453704</v>
      </c>
      <c r="I578" s="14" t="s">
        <v>39</v>
      </c>
      <c r="J578" s="14" t="s">
        <v>40</v>
      </c>
      <c r="K578" s="14" t="s">
        <v>1186</v>
      </c>
      <c r="L578" s="14" t="s">
        <v>559</v>
      </c>
      <c r="M578" s="14" t="s">
        <v>43</v>
      </c>
      <c r="N578" s="17"/>
      <c r="O578" s="17"/>
      <c r="P578" s="14" t="s">
        <v>211</v>
      </c>
      <c r="Q578" s="14"/>
      <c r="R578" s="13">
        <f>HYPERLINK("https://app.hubspot.com/contacts/8748051/record/0-2/7945145246", 7945145246)</f>
        <v>7945145246</v>
      </c>
      <c r="S578" s="14" t="s">
        <v>1986</v>
      </c>
      <c r="T578" s="18" t="s">
        <v>1987</v>
      </c>
      <c r="U578" s="14" t="s">
        <v>46</v>
      </c>
      <c r="V578" s="22"/>
      <c r="W578" s="19">
        <v>1123.0</v>
      </c>
      <c r="X578" s="19">
        <v>149.0</v>
      </c>
      <c r="Y578" s="20" t="s">
        <v>122</v>
      </c>
      <c r="Z578" s="21"/>
      <c r="AA578" s="21"/>
      <c r="AB578" s="21"/>
      <c r="AC578" s="21"/>
      <c r="AD578" s="21"/>
      <c r="AE578" s="21"/>
      <c r="AF578" s="17" t="str">
        <f t="shared" si="1"/>
        <v>New Logo</v>
      </c>
      <c r="AG578" s="17" t="str">
        <f t="shared" si="2"/>
        <v>Lead</v>
      </c>
      <c r="AH578" s="17" t="str">
        <f t="shared" si="3"/>
        <v>1001-5000</v>
      </c>
      <c r="AI578" s="17" t="str">
        <f t="shared" si="4"/>
        <v>101-500</v>
      </c>
    </row>
    <row r="579" ht="15.75" customHeight="1">
      <c r="A579" s="13">
        <f>HYPERLINK("https://app.hubspot.com/contacts/8748051/record/0-3/18265009441", 18265009441)</f>
        <v>18265009441</v>
      </c>
      <c r="B579" s="14" t="s">
        <v>1988</v>
      </c>
      <c r="C579" s="14" t="s">
        <v>49</v>
      </c>
      <c r="D579" s="15">
        <v>35000.0</v>
      </c>
      <c r="E579" s="14" t="s">
        <v>124</v>
      </c>
      <c r="F579" s="14" t="s">
        <v>51</v>
      </c>
      <c r="G579" s="16">
        <v>45378.475625</v>
      </c>
      <c r="H579" s="16">
        <v>45657.6166087963</v>
      </c>
      <c r="I579" s="14" t="s">
        <v>39</v>
      </c>
      <c r="J579" s="14" t="s">
        <v>40</v>
      </c>
      <c r="K579" s="14" t="s">
        <v>1186</v>
      </c>
      <c r="L579" s="14" t="s">
        <v>175</v>
      </c>
      <c r="M579" s="14" t="s">
        <v>43</v>
      </c>
      <c r="N579" s="17"/>
      <c r="O579" s="17"/>
      <c r="P579" s="14"/>
      <c r="Q579" s="14" t="s">
        <v>141</v>
      </c>
      <c r="R579" s="13">
        <f>HYPERLINK("https://app.hubspot.com/contacts/8748051/record/0-2/7794343183", 7794343183)</f>
        <v>7794343183</v>
      </c>
      <c r="S579" s="14" t="s">
        <v>1989</v>
      </c>
      <c r="T579" s="18" t="s">
        <v>1990</v>
      </c>
      <c r="U579" s="14" t="s">
        <v>46</v>
      </c>
      <c r="V579" s="22"/>
      <c r="W579" s="19">
        <v>230.0</v>
      </c>
      <c r="X579" s="19">
        <v>33.0</v>
      </c>
      <c r="Y579" s="20"/>
      <c r="Z579" s="21"/>
      <c r="AA579" s="21"/>
      <c r="AB579" s="21"/>
      <c r="AC579" s="21"/>
      <c r="AD579" s="21"/>
      <c r="AE579" s="21"/>
      <c r="AF579" s="17" t="str">
        <f t="shared" si="1"/>
        <v>New Logo</v>
      </c>
      <c r="AG579" s="17" t="str">
        <f t="shared" si="2"/>
        <v>Lead</v>
      </c>
      <c r="AH579" s="17" t="str">
        <f t="shared" si="3"/>
        <v>201-500</v>
      </c>
      <c r="AI579" s="17" t="str">
        <f t="shared" si="4"/>
        <v>21-50</v>
      </c>
    </row>
    <row r="580" ht="15.75" customHeight="1">
      <c r="A580" s="13">
        <f>HYPERLINK("https://app.hubspot.com/contacts/8748051/record/0-3/18259577383", 18259577383)</f>
        <v>18259577383</v>
      </c>
      <c r="B580" s="14" t="s">
        <v>953</v>
      </c>
      <c r="C580" s="14" t="s">
        <v>49</v>
      </c>
      <c r="D580" s="15">
        <v>36480.0</v>
      </c>
      <c r="E580" s="14" t="s">
        <v>118</v>
      </c>
      <c r="F580" s="17"/>
      <c r="G580" s="16">
        <v>45378.19616898148</v>
      </c>
      <c r="H580" s="16">
        <v>45562.19571759259</v>
      </c>
      <c r="I580" s="14" t="s">
        <v>39</v>
      </c>
      <c r="J580" s="14" t="s">
        <v>40</v>
      </c>
      <c r="K580" s="14" t="s">
        <v>1186</v>
      </c>
      <c r="L580" s="14" t="s">
        <v>559</v>
      </c>
      <c r="M580" s="14" t="s">
        <v>72</v>
      </c>
      <c r="N580" s="17"/>
      <c r="O580" s="17"/>
      <c r="P580" s="14" t="s">
        <v>211</v>
      </c>
      <c r="Q580" s="17"/>
      <c r="R580" s="13">
        <f>HYPERLINK("https://app.hubspot.com/contacts/8748051/record/0-2/9284099377", 9284099377)</f>
        <v>9284099377</v>
      </c>
      <c r="S580" s="14" t="s">
        <v>955</v>
      </c>
      <c r="T580" s="18" t="s">
        <v>956</v>
      </c>
      <c r="U580" s="14" t="s">
        <v>46</v>
      </c>
      <c r="V580" s="22"/>
      <c r="W580" s="19">
        <v>1509.0</v>
      </c>
      <c r="X580" s="19">
        <v>198.0</v>
      </c>
      <c r="Y580" s="20" t="s">
        <v>55</v>
      </c>
      <c r="Z580" s="21"/>
      <c r="AA580" s="21"/>
      <c r="AB580" s="21"/>
      <c r="AC580" s="21"/>
      <c r="AD580" s="21"/>
      <c r="AE580" s="21"/>
      <c r="AF580" s="17" t="str">
        <f t="shared" si="1"/>
        <v>New Logo</v>
      </c>
      <c r="AG580" s="17" t="str">
        <f t="shared" si="2"/>
        <v>Lead</v>
      </c>
      <c r="AH580" s="17" t="str">
        <f t="shared" si="3"/>
        <v>1001-5000</v>
      </c>
      <c r="AI580" s="17" t="str">
        <f t="shared" si="4"/>
        <v>101-500</v>
      </c>
    </row>
    <row r="581" ht="15.75" customHeight="1">
      <c r="A581" s="13">
        <f>HYPERLINK("https://app.hubspot.com/contacts/8748051/record/0-3/18259285081", 18259285081)</f>
        <v>18259285081</v>
      </c>
      <c r="B581" s="14" t="s">
        <v>1991</v>
      </c>
      <c r="C581" s="14" t="s">
        <v>37</v>
      </c>
      <c r="D581" s="15">
        <v>9360.0</v>
      </c>
      <c r="E581" s="14" t="s">
        <v>118</v>
      </c>
      <c r="F581" s="14"/>
      <c r="G581" s="16">
        <v>45378.1721875</v>
      </c>
      <c r="H581" s="16">
        <v>45562.171851851854</v>
      </c>
      <c r="I581" s="14" t="s">
        <v>39</v>
      </c>
      <c r="J581" s="14" t="s">
        <v>40</v>
      </c>
      <c r="K581" s="14" t="s">
        <v>1186</v>
      </c>
      <c r="L581" s="14" t="s">
        <v>559</v>
      </c>
      <c r="M581" s="14"/>
      <c r="N581" s="14"/>
      <c r="O581" s="17"/>
      <c r="P581" s="14" t="s">
        <v>260</v>
      </c>
      <c r="Q581" s="17"/>
      <c r="R581" s="13">
        <f>HYPERLINK("https://app.hubspot.com/contacts/8748051/record/0-2/15241894827", 15241894827)</f>
        <v>15241894827</v>
      </c>
      <c r="S581" s="14" t="s">
        <v>1992</v>
      </c>
      <c r="T581" s="18" t="s">
        <v>1993</v>
      </c>
      <c r="U581" s="14" t="s">
        <v>46</v>
      </c>
      <c r="V581" s="15"/>
      <c r="W581" s="19">
        <v>271.0</v>
      </c>
      <c r="X581" s="19">
        <v>44.0</v>
      </c>
      <c r="Y581" s="20" t="s">
        <v>63</v>
      </c>
      <c r="Z581" s="20"/>
      <c r="AA581" s="21"/>
      <c r="AB581" s="21"/>
      <c r="AC581" s="20"/>
      <c r="AD581" s="21"/>
      <c r="AE581" s="20"/>
      <c r="AF581" s="17" t="str">
        <f t="shared" si="1"/>
        <v>New Logo</v>
      </c>
      <c r="AG581" s="17" t="str">
        <f t="shared" si="2"/>
        <v>Lead</v>
      </c>
      <c r="AH581" s="17" t="str">
        <f t="shared" si="3"/>
        <v>201-500</v>
      </c>
      <c r="AI581" s="17" t="str">
        <f t="shared" si="4"/>
        <v>21-50</v>
      </c>
    </row>
    <row r="582" ht="15.75" customHeight="1">
      <c r="A582" s="13">
        <f>HYPERLINK("https://app.hubspot.com/contacts/8748051/record/0-3/18246193204", 18246193204)</f>
        <v>18246193204</v>
      </c>
      <c r="B582" s="14" t="s">
        <v>1994</v>
      </c>
      <c r="C582" s="14" t="s">
        <v>37</v>
      </c>
      <c r="D582" s="15">
        <v>19440.0</v>
      </c>
      <c r="E582" s="14" t="s">
        <v>118</v>
      </c>
      <c r="F582" s="14"/>
      <c r="G582" s="16">
        <v>45377.54659722222</v>
      </c>
      <c r="H582" s="16">
        <v>45561.546319444446</v>
      </c>
      <c r="I582" s="14" t="s">
        <v>39</v>
      </c>
      <c r="J582" s="14" t="s">
        <v>40</v>
      </c>
      <c r="K582" s="14" t="s">
        <v>1186</v>
      </c>
      <c r="L582" s="14" t="s">
        <v>175</v>
      </c>
      <c r="M582" s="14" t="s">
        <v>43</v>
      </c>
      <c r="N582" s="14"/>
      <c r="O582" s="17"/>
      <c r="P582" s="14" t="s">
        <v>211</v>
      </c>
      <c r="Q582" s="14"/>
      <c r="R582" s="13">
        <f>HYPERLINK("https://app.hubspot.com/contacts/8748051/record/0-2/9174364217", 9174364217)</f>
        <v>9174364217</v>
      </c>
      <c r="S582" s="14" t="s">
        <v>1995</v>
      </c>
      <c r="T582" s="18" t="s">
        <v>1996</v>
      </c>
      <c r="U582" s="14" t="s">
        <v>46</v>
      </c>
      <c r="V582" s="15"/>
      <c r="W582" s="19">
        <v>496.0</v>
      </c>
      <c r="X582" s="19">
        <v>70.0</v>
      </c>
      <c r="Y582" s="20"/>
      <c r="Z582" s="20"/>
      <c r="AA582" s="21"/>
      <c r="AB582" s="21"/>
      <c r="AC582" s="20"/>
      <c r="AD582" s="21"/>
      <c r="AE582" s="20"/>
      <c r="AF582" s="17" t="str">
        <f t="shared" si="1"/>
        <v>New Logo</v>
      </c>
      <c r="AG582" s="17" t="str">
        <f t="shared" si="2"/>
        <v>Lead</v>
      </c>
      <c r="AH582" s="17" t="str">
        <f t="shared" si="3"/>
        <v>201-500</v>
      </c>
      <c r="AI582" s="17" t="str">
        <f t="shared" si="4"/>
        <v>51-100</v>
      </c>
    </row>
    <row r="583" ht="15.75" customHeight="1">
      <c r="A583" s="13">
        <f>HYPERLINK("https://app.hubspot.com/contacts/8748051/record/0-3/18245525816", 18245525816)</f>
        <v>18245525816</v>
      </c>
      <c r="B583" s="14" t="s">
        <v>1997</v>
      </c>
      <c r="C583" s="14" t="s">
        <v>49</v>
      </c>
      <c r="D583" s="15">
        <v>100000.0</v>
      </c>
      <c r="E583" s="14" t="s">
        <v>89</v>
      </c>
      <c r="F583" s="14" t="s">
        <v>51</v>
      </c>
      <c r="G583" s="16">
        <v>45377.51186342593</v>
      </c>
      <c r="H583" s="16">
        <v>45905.88135416667</v>
      </c>
      <c r="I583" s="14" t="s">
        <v>39</v>
      </c>
      <c r="J583" s="14" t="s">
        <v>40</v>
      </c>
      <c r="K583" s="14" t="s">
        <v>41</v>
      </c>
      <c r="L583" s="14" t="s">
        <v>42</v>
      </c>
      <c r="M583" s="14" t="s">
        <v>43</v>
      </c>
      <c r="N583" s="14" t="s">
        <v>1998</v>
      </c>
      <c r="O583" s="17"/>
      <c r="P583" s="14"/>
      <c r="Q583" s="14"/>
      <c r="R583" s="13">
        <f>HYPERLINK("https://app.hubspot.com/contacts/8748051/record/0-2/8920311154", 8920311154)</f>
        <v>8920311154</v>
      </c>
      <c r="S583" s="14" t="s">
        <v>1999</v>
      </c>
      <c r="T583" s="18" t="s">
        <v>2000</v>
      </c>
      <c r="U583" s="14" t="s">
        <v>93</v>
      </c>
      <c r="V583" s="15">
        <v>100000.0</v>
      </c>
      <c r="W583" s="19">
        <v>672.0</v>
      </c>
      <c r="X583" s="19">
        <v>228.0</v>
      </c>
      <c r="Y583" s="20" t="s">
        <v>2001</v>
      </c>
      <c r="Z583" s="20" t="s">
        <v>205</v>
      </c>
      <c r="AA583" s="21"/>
      <c r="AB583" s="21"/>
      <c r="AC583" s="20" t="s">
        <v>2002</v>
      </c>
      <c r="AD583" s="21"/>
      <c r="AE583" s="20" t="s">
        <v>166</v>
      </c>
      <c r="AF583" s="17" t="str">
        <f t="shared" si="1"/>
        <v>New Logo</v>
      </c>
      <c r="AG583" s="17" t="str">
        <f t="shared" si="2"/>
        <v>Customer</v>
      </c>
      <c r="AH583" s="17" t="str">
        <f t="shared" si="3"/>
        <v>501-1000</v>
      </c>
      <c r="AI583" s="17" t="str">
        <f t="shared" si="4"/>
        <v>101-500</v>
      </c>
    </row>
    <row r="584" ht="15.75" customHeight="1">
      <c r="A584" s="13">
        <f>HYPERLINK("https://app.hubspot.com/contacts/8748051/record/0-3/18241838613", 18241838613)</f>
        <v>18241838613</v>
      </c>
      <c r="B584" s="14" t="s">
        <v>2003</v>
      </c>
      <c r="C584" s="14" t="s">
        <v>1008</v>
      </c>
      <c r="D584" s="15">
        <v>44400.0</v>
      </c>
      <c r="E584" s="14" t="s">
        <v>118</v>
      </c>
      <c r="F584" s="14"/>
      <c r="G584" s="16">
        <v>45377.35013888889</v>
      </c>
      <c r="H584" s="16">
        <v>45561.349641203706</v>
      </c>
      <c r="I584" s="14" t="s">
        <v>39</v>
      </c>
      <c r="J584" s="14" t="s">
        <v>40</v>
      </c>
      <c r="K584" s="14" t="s">
        <v>558</v>
      </c>
      <c r="L584" s="14" t="s">
        <v>559</v>
      </c>
      <c r="M584" s="14"/>
      <c r="N584" s="17"/>
      <c r="O584" s="17"/>
      <c r="P584" s="14" t="s">
        <v>211</v>
      </c>
      <c r="Q584" s="14"/>
      <c r="R584" s="13">
        <f>HYPERLINK("https://app.hubspot.com/contacts/8748051/record/0-2/14810961931", 14810961931)</f>
        <v>14810961931</v>
      </c>
      <c r="S584" s="14" t="s">
        <v>2004</v>
      </c>
      <c r="T584" s="18" t="s">
        <v>2005</v>
      </c>
      <c r="U584" s="14" t="s">
        <v>46</v>
      </c>
      <c r="V584" s="15"/>
      <c r="W584" s="19">
        <v>2924.0</v>
      </c>
      <c r="X584" s="19">
        <v>238.0</v>
      </c>
      <c r="Y584" s="20" t="s">
        <v>104</v>
      </c>
      <c r="Z584" s="20"/>
      <c r="AA584" s="21"/>
      <c r="AB584" s="21"/>
      <c r="AC584" s="20"/>
      <c r="AD584" s="21"/>
      <c r="AE584" s="20"/>
      <c r="AF584" s="17" t="str">
        <f t="shared" si="1"/>
        <v>New Logo</v>
      </c>
      <c r="AG584" s="17" t="str">
        <f t="shared" si="2"/>
        <v>Lead</v>
      </c>
      <c r="AH584" s="17" t="str">
        <f t="shared" si="3"/>
        <v>1001-5000</v>
      </c>
      <c r="AI584" s="17" t="str">
        <f t="shared" si="4"/>
        <v>101-500</v>
      </c>
    </row>
    <row r="585" ht="15.75" customHeight="1">
      <c r="A585" s="13">
        <f>HYPERLINK("https://app.hubspot.com/contacts/8748051/record/0-3/18236888355", 18236888355)</f>
        <v>18236888355</v>
      </c>
      <c r="B585" s="14" t="s">
        <v>2006</v>
      </c>
      <c r="C585" s="14" t="s">
        <v>1008</v>
      </c>
      <c r="D585" s="15">
        <v>27840.0</v>
      </c>
      <c r="E585" s="14" t="s">
        <v>118</v>
      </c>
      <c r="F585" s="14"/>
      <c r="G585" s="16">
        <v>45377.06866898148</v>
      </c>
      <c r="H585" s="16">
        <v>45561.068333333336</v>
      </c>
      <c r="I585" s="14" t="s">
        <v>39</v>
      </c>
      <c r="J585" s="14" t="s">
        <v>40</v>
      </c>
      <c r="K585" s="14" t="s">
        <v>1186</v>
      </c>
      <c r="L585" s="14" t="s">
        <v>175</v>
      </c>
      <c r="M585" s="14" t="s">
        <v>72</v>
      </c>
      <c r="N585" s="17"/>
      <c r="O585" s="17"/>
      <c r="P585" s="14"/>
      <c r="Q585" s="14"/>
      <c r="R585" s="13">
        <f>HYPERLINK("https://app.hubspot.com/contacts/8748051/record/0-2/9186906963", 9186906963)</f>
        <v>9186906963</v>
      </c>
      <c r="S585" s="14" t="s">
        <v>2007</v>
      </c>
      <c r="T585" s="18" t="s">
        <v>2008</v>
      </c>
      <c r="U585" s="14" t="s">
        <v>46</v>
      </c>
      <c r="V585" s="22"/>
      <c r="W585" s="19">
        <v>1487.0</v>
      </c>
      <c r="X585" s="19">
        <v>207.0</v>
      </c>
      <c r="Y585" s="20" t="s">
        <v>78</v>
      </c>
      <c r="Z585" s="21"/>
      <c r="AA585" s="21"/>
      <c r="AB585" s="21"/>
      <c r="AC585" s="21"/>
      <c r="AD585" s="21"/>
      <c r="AE585" s="21"/>
      <c r="AF585" s="17" t="str">
        <f t="shared" si="1"/>
        <v>New Logo</v>
      </c>
      <c r="AG585" s="17" t="str">
        <f t="shared" si="2"/>
        <v>Lead</v>
      </c>
      <c r="AH585" s="17" t="str">
        <f t="shared" si="3"/>
        <v>1001-5000</v>
      </c>
      <c r="AI585" s="17" t="str">
        <f t="shared" si="4"/>
        <v>101-500</v>
      </c>
    </row>
    <row r="586" ht="15.75" customHeight="1">
      <c r="A586" s="13">
        <f>HYPERLINK("https://app.hubspot.com/contacts/8748051/record/0-3/18236585886", 18236585886)</f>
        <v>18236585886</v>
      </c>
      <c r="B586" s="14" t="s">
        <v>2009</v>
      </c>
      <c r="C586" s="14" t="s">
        <v>1008</v>
      </c>
      <c r="D586" s="15">
        <v>20000.0</v>
      </c>
      <c r="E586" s="14" t="s">
        <v>124</v>
      </c>
      <c r="F586" s="14" t="s">
        <v>51</v>
      </c>
      <c r="G586" s="16">
        <v>45377.06581018519</v>
      </c>
      <c r="H586" s="16">
        <v>45561.065300925926</v>
      </c>
      <c r="I586" s="14" t="s">
        <v>39</v>
      </c>
      <c r="J586" s="14" t="s">
        <v>40</v>
      </c>
      <c r="K586" s="14" t="s">
        <v>59</v>
      </c>
      <c r="L586" s="14" t="s">
        <v>175</v>
      </c>
      <c r="M586" s="14" t="s">
        <v>98</v>
      </c>
      <c r="N586" s="17"/>
      <c r="O586" s="14"/>
      <c r="P586" s="14"/>
      <c r="Q586" s="14" t="s">
        <v>195</v>
      </c>
      <c r="R586" s="13">
        <f>HYPERLINK("https://app.hubspot.com/contacts/8748051/record/0-2/19176694710", 19176694710)</f>
        <v>19176694710</v>
      </c>
      <c r="S586" s="14" t="s">
        <v>2010</v>
      </c>
      <c r="T586" s="18" t="s">
        <v>2011</v>
      </c>
      <c r="U586" s="14" t="s">
        <v>46</v>
      </c>
      <c r="V586" s="22"/>
      <c r="W586" s="19">
        <v>196.0</v>
      </c>
      <c r="X586" s="19">
        <v>75.0</v>
      </c>
      <c r="Y586" s="21"/>
      <c r="Z586" s="21"/>
      <c r="AA586" s="21"/>
      <c r="AB586" s="21"/>
      <c r="AC586" s="21"/>
      <c r="AD586" s="21"/>
      <c r="AE586" s="21"/>
      <c r="AF586" s="17" t="str">
        <f t="shared" si="1"/>
        <v>New Logo</v>
      </c>
      <c r="AG586" s="17" t="str">
        <f t="shared" si="2"/>
        <v>Lead</v>
      </c>
      <c r="AH586" s="17" t="str">
        <f t="shared" si="3"/>
        <v>0-200</v>
      </c>
      <c r="AI586" s="17" t="str">
        <f t="shared" si="4"/>
        <v>51-100</v>
      </c>
    </row>
    <row r="587" ht="15.75" customHeight="1">
      <c r="A587" s="13">
        <f>HYPERLINK("https://app.hubspot.com/contacts/8748051/record/0-3/18228130450", 18228130450)</f>
        <v>18228130450</v>
      </c>
      <c r="B587" s="14" t="s">
        <v>2012</v>
      </c>
      <c r="C587" s="14" t="s">
        <v>145</v>
      </c>
      <c r="D587" s="15">
        <v>4560.0</v>
      </c>
      <c r="E587" s="14" t="s">
        <v>118</v>
      </c>
      <c r="F587" s="14"/>
      <c r="G587" s="16">
        <v>45376.70570601852</v>
      </c>
      <c r="H587" s="16">
        <v>45560.705358796295</v>
      </c>
      <c r="I587" s="14" t="s">
        <v>39</v>
      </c>
      <c r="J587" s="14" t="s">
        <v>40</v>
      </c>
      <c r="K587" s="14" t="s">
        <v>558</v>
      </c>
      <c r="L587" s="14" t="s">
        <v>559</v>
      </c>
      <c r="M587" s="14" t="s">
        <v>43</v>
      </c>
      <c r="N587" s="17"/>
      <c r="O587" s="17"/>
      <c r="P587" s="14" t="s">
        <v>211</v>
      </c>
      <c r="Q587" s="14"/>
      <c r="R587" s="13">
        <f>HYPERLINK("https://app.hubspot.com/contacts/8748051/record/0-2/19176733003", 19176733003)</f>
        <v>19176733003</v>
      </c>
      <c r="S587" s="14" t="s">
        <v>2013</v>
      </c>
      <c r="T587" s="18" t="s">
        <v>2014</v>
      </c>
      <c r="U587" s="14" t="s">
        <v>46</v>
      </c>
      <c r="V587" s="22"/>
      <c r="W587" s="19">
        <v>106.0</v>
      </c>
      <c r="X587" s="19">
        <v>23.0</v>
      </c>
      <c r="Y587" s="20"/>
      <c r="Z587" s="21"/>
      <c r="AA587" s="21"/>
      <c r="AB587" s="21"/>
      <c r="AC587" s="21"/>
      <c r="AD587" s="21"/>
      <c r="AE587" s="21"/>
      <c r="AF587" s="17" t="str">
        <f t="shared" si="1"/>
        <v>New Logo</v>
      </c>
      <c r="AG587" s="17" t="str">
        <f t="shared" si="2"/>
        <v>Lead</v>
      </c>
      <c r="AH587" s="17" t="str">
        <f t="shared" si="3"/>
        <v>0-200</v>
      </c>
      <c r="AI587" s="17" t="str">
        <f t="shared" si="4"/>
        <v>21-50</v>
      </c>
    </row>
    <row r="588" ht="15.75" customHeight="1">
      <c r="A588" s="13">
        <f>HYPERLINK("https://app.hubspot.com/contacts/8748051/record/0-3/18228130230", 18228130230)</f>
        <v>18228130230</v>
      </c>
      <c r="B588" s="14" t="s">
        <v>2015</v>
      </c>
      <c r="C588" s="14" t="s">
        <v>49</v>
      </c>
      <c r="D588" s="15">
        <v>10320.0</v>
      </c>
      <c r="E588" s="14" t="s">
        <v>118</v>
      </c>
      <c r="F588" s="14"/>
      <c r="G588" s="16">
        <v>45376.704675925925</v>
      </c>
      <c r="H588" s="16">
        <v>45560.70417824074</v>
      </c>
      <c r="I588" s="14" t="s">
        <v>39</v>
      </c>
      <c r="J588" s="14" t="s">
        <v>40</v>
      </c>
      <c r="K588" s="14" t="s">
        <v>1186</v>
      </c>
      <c r="L588" s="14" t="s">
        <v>175</v>
      </c>
      <c r="M588" s="14" t="s">
        <v>43</v>
      </c>
      <c r="N588" s="17"/>
      <c r="O588" s="14"/>
      <c r="P588" s="14" t="s">
        <v>119</v>
      </c>
      <c r="Q588" s="14"/>
      <c r="R588" s="13">
        <f>HYPERLINK("https://app.hubspot.com/contacts/8748051/record/0-2/9238316172", 9238316172)</f>
        <v>9238316172</v>
      </c>
      <c r="S588" s="14" t="s">
        <v>2016</v>
      </c>
      <c r="T588" s="18" t="s">
        <v>2017</v>
      </c>
      <c r="U588" s="14" t="s">
        <v>46</v>
      </c>
      <c r="V588" s="22"/>
      <c r="W588" s="19">
        <v>260.0</v>
      </c>
      <c r="X588" s="19">
        <v>49.0</v>
      </c>
      <c r="Y588" s="20"/>
      <c r="Z588" s="21"/>
      <c r="AA588" s="21"/>
      <c r="AB588" s="21"/>
      <c r="AC588" s="21"/>
      <c r="AD588" s="21"/>
      <c r="AE588" s="21"/>
      <c r="AF588" s="17" t="str">
        <f t="shared" si="1"/>
        <v>New Logo</v>
      </c>
      <c r="AG588" s="17" t="str">
        <f t="shared" si="2"/>
        <v>Lead</v>
      </c>
      <c r="AH588" s="17" t="str">
        <f t="shared" si="3"/>
        <v>201-500</v>
      </c>
      <c r="AI588" s="17" t="str">
        <f t="shared" si="4"/>
        <v>21-50</v>
      </c>
    </row>
    <row r="589" ht="15.75" customHeight="1">
      <c r="A589" s="13">
        <f>HYPERLINK("https://app.hubspot.com/contacts/8748051/record/0-3/18225666131", 18225666131)</f>
        <v>18225666131</v>
      </c>
      <c r="B589" s="14" t="s">
        <v>2018</v>
      </c>
      <c r="C589" s="14" t="s">
        <v>37</v>
      </c>
      <c r="D589" s="15">
        <v>20640.0</v>
      </c>
      <c r="E589" s="14" t="s">
        <v>118</v>
      </c>
      <c r="F589" s="17"/>
      <c r="G589" s="16">
        <v>45376.61619212963</v>
      </c>
      <c r="H589" s="16">
        <v>45560.61585648148</v>
      </c>
      <c r="I589" s="14" t="s">
        <v>39</v>
      </c>
      <c r="J589" s="14" t="s">
        <v>40</v>
      </c>
      <c r="K589" s="14" t="s">
        <v>1186</v>
      </c>
      <c r="L589" s="14" t="s">
        <v>559</v>
      </c>
      <c r="M589" s="14" t="s">
        <v>43</v>
      </c>
      <c r="N589" s="17"/>
      <c r="O589" s="17"/>
      <c r="P589" s="14" t="s">
        <v>232</v>
      </c>
      <c r="Q589" s="17"/>
      <c r="R589" s="13">
        <f>HYPERLINK("https://app.hubspot.com/contacts/8748051/record/0-2/9132261741", 9132261741)</f>
        <v>9132261741</v>
      </c>
      <c r="S589" s="14" t="s">
        <v>2019</v>
      </c>
      <c r="T589" s="18" t="s">
        <v>2020</v>
      </c>
      <c r="U589" s="14" t="s">
        <v>46</v>
      </c>
      <c r="V589" s="15"/>
      <c r="W589" s="19">
        <v>620.0</v>
      </c>
      <c r="X589" s="19">
        <v>74.0</v>
      </c>
      <c r="Y589" s="20"/>
      <c r="Z589" s="20"/>
      <c r="AA589" s="21"/>
      <c r="AB589" s="21"/>
      <c r="AC589" s="20"/>
      <c r="AD589" s="21"/>
      <c r="AE589" s="20"/>
      <c r="AF589" s="17" t="str">
        <f t="shared" si="1"/>
        <v>New Logo</v>
      </c>
      <c r="AG589" s="17" t="str">
        <f t="shared" si="2"/>
        <v>Lead</v>
      </c>
      <c r="AH589" s="17" t="str">
        <f t="shared" si="3"/>
        <v>501-1000</v>
      </c>
      <c r="AI589" s="17" t="str">
        <f t="shared" si="4"/>
        <v>51-100</v>
      </c>
    </row>
    <row r="590" ht="15.75" customHeight="1">
      <c r="A590" s="13">
        <f>HYPERLINK("https://app.hubspot.com/contacts/8748051/record/0-3/18224553580", 18224553580)</f>
        <v>18224553580</v>
      </c>
      <c r="B590" s="14" t="s">
        <v>2021</v>
      </c>
      <c r="C590" s="14" t="s">
        <v>37</v>
      </c>
      <c r="D590" s="15">
        <v>13920.0</v>
      </c>
      <c r="E590" s="14" t="s">
        <v>118</v>
      </c>
      <c r="F590" s="14"/>
      <c r="G590" s="16">
        <v>45376.581354166665</v>
      </c>
      <c r="H590" s="16">
        <v>45560.57476851852</v>
      </c>
      <c r="I590" s="14" t="s">
        <v>39</v>
      </c>
      <c r="J590" s="14" t="s">
        <v>40</v>
      </c>
      <c r="K590" s="14" t="s">
        <v>1186</v>
      </c>
      <c r="L590" s="14" t="s">
        <v>175</v>
      </c>
      <c r="M590" s="14" t="s">
        <v>43</v>
      </c>
      <c r="N590" s="17"/>
      <c r="O590" s="17"/>
      <c r="P590" s="14" t="s">
        <v>119</v>
      </c>
      <c r="Q590" s="14"/>
      <c r="R590" s="13">
        <f>HYPERLINK("https://app.hubspot.com/contacts/8748051/record/0-2/10198101026", 10198101026)</f>
        <v>10198101026</v>
      </c>
      <c r="S590" s="14" t="s">
        <v>2022</v>
      </c>
      <c r="T590" s="18" t="s">
        <v>2023</v>
      </c>
      <c r="U590" s="14" t="s">
        <v>46</v>
      </c>
      <c r="V590" s="15"/>
      <c r="W590" s="19">
        <v>582.0</v>
      </c>
      <c r="X590" s="19">
        <v>99.0</v>
      </c>
      <c r="Y590" s="20" t="s">
        <v>63</v>
      </c>
      <c r="Z590" s="20"/>
      <c r="AA590" s="21"/>
      <c r="AB590" s="21"/>
      <c r="AC590" s="20"/>
      <c r="AD590" s="21"/>
      <c r="AE590" s="20"/>
      <c r="AF590" s="17" t="str">
        <f t="shared" si="1"/>
        <v>New Logo</v>
      </c>
      <c r="AG590" s="17" t="str">
        <f t="shared" si="2"/>
        <v>Lead</v>
      </c>
      <c r="AH590" s="17" t="str">
        <f t="shared" si="3"/>
        <v>501-1000</v>
      </c>
      <c r="AI590" s="17" t="str">
        <f t="shared" si="4"/>
        <v>51-100</v>
      </c>
    </row>
    <row r="591" ht="15.75" customHeight="1">
      <c r="A591" s="13">
        <f>HYPERLINK("https://app.hubspot.com/contacts/8748051/record/0-3/18220758645", 18220758645)</f>
        <v>18220758645</v>
      </c>
      <c r="B591" s="14" t="s">
        <v>2024</v>
      </c>
      <c r="C591" s="14" t="s">
        <v>49</v>
      </c>
      <c r="D591" s="15">
        <v>17000.0</v>
      </c>
      <c r="E591" s="14" t="s">
        <v>118</v>
      </c>
      <c r="F591" s="14"/>
      <c r="G591" s="16">
        <v>45376.39875</v>
      </c>
      <c r="H591" s="16">
        <v>45560.39822916667</v>
      </c>
      <c r="I591" s="14" t="s">
        <v>39</v>
      </c>
      <c r="J591" s="14" t="s">
        <v>40</v>
      </c>
      <c r="K591" s="14" t="s">
        <v>1186</v>
      </c>
      <c r="L591" s="14" t="s">
        <v>175</v>
      </c>
      <c r="M591" s="14" t="s">
        <v>43</v>
      </c>
      <c r="N591" s="17"/>
      <c r="O591" s="17"/>
      <c r="P591" s="14" t="s">
        <v>211</v>
      </c>
      <c r="Q591" s="14"/>
      <c r="R591" s="13">
        <f>HYPERLINK("https://app.hubspot.com/contacts/8748051/record/0-2/7589031515", 7589031515)</f>
        <v>7589031515</v>
      </c>
      <c r="S591" s="14" t="s">
        <v>1371</v>
      </c>
      <c r="T591" s="18" t="s">
        <v>1372</v>
      </c>
      <c r="U591" s="14">
        <v>3.4564763E7</v>
      </c>
      <c r="V591" s="15">
        <v>98490.0</v>
      </c>
      <c r="W591" s="19">
        <v>475.0</v>
      </c>
      <c r="X591" s="19">
        <v>74.0</v>
      </c>
      <c r="Y591" s="20"/>
      <c r="Z591" s="20" t="s">
        <v>205</v>
      </c>
      <c r="AA591" s="21"/>
      <c r="AB591" s="21"/>
      <c r="AC591" s="20" t="s">
        <v>1373</v>
      </c>
      <c r="AD591" s="21"/>
      <c r="AE591" s="20" t="s">
        <v>166</v>
      </c>
      <c r="AF591" s="17" t="str">
        <f t="shared" si="1"/>
        <v>New Logo</v>
      </c>
      <c r="AG591" s="17" t="str">
        <f t="shared" si="2"/>
        <v>Churn</v>
      </c>
      <c r="AH591" s="17" t="str">
        <f t="shared" si="3"/>
        <v>201-500</v>
      </c>
      <c r="AI591" s="17" t="str">
        <f t="shared" si="4"/>
        <v>51-100</v>
      </c>
    </row>
    <row r="592" ht="15.75" customHeight="1">
      <c r="A592" s="13">
        <f>HYPERLINK("https://app.hubspot.com/contacts/8748051/record/0-3/18219071497", 18219071497)</f>
        <v>18219071497</v>
      </c>
      <c r="B592" s="14" t="s">
        <v>2025</v>
      </c>
      <c r="C592" s="14" t="s">
        <v>49</v>
      </c>
      <c r="D592" s="15">
        <v>30000.0</v>
      </c>
      <c r="E592" s="14" t="s">
        <v>124</v>
      </c>
      <c r="F592" s="14" t="s">
        <v>51</v>
      </c>
      <c r="G592" s="16">
        <v>45376.3959837963</v>
      </c>
      <c r="H592" s="16">
        <v>45657.75340277778</v>
      </c>
      <c r="I592" s="14" t="s">
        <v>39</v>
      </c>
      <c r="J592" s="14" t="s">
        <v>40</v>
      </c>
      <c r="K592" s="14" t="s">
        <v>1186</v>
      </c>
      <c r="L592" s="14" t="s">
        <v>559</v>
      </c>
      <c r="M592" s="14" t="s">
        <v>43</v>
      </c>
      <c r="N592" s="17"/>
      <c r="O592" s="17"/>
      <c r="P592" s="14"/>
      <c r="Q592" s="14" t="s">
        <v>141</v>
      </c>
      <c r="R592" s="13">
        <f>HYPERLINK("https://app.hubspot.com/contacts/8748051/record/0-2/9793685141", 9793685141)</f>
        <v>9793685141</v>
      </c>
      <c r="S592" s="14" t="s">
        <v>2026</v>
      </c>
      <c r="T592" s="18" t="s">
        <v>2027</v>
      </c>
      <c r="U592" s="14" t="s">
        <v>46</v>
      </c>
      <c r="V592" s="22"/>
      <c r="W592" s="19">
        <v>545.0</v>
      </c>
      <c r="X592" s="19">
        <v>117.0</v>
      </c>
      <c r="Y592" s="20" t="s">
        <v>104</v>
      </c>
      <c r="Z592" s="21"/>
      <c r="AA592" s="21"/>
      <c r="AB592" s="21"/>
      <c r="AC592" s="21"/>
      <c r="AD592" s="21"/>
      <c r="AE592" s="21"/>
      <c r="AF592" s="17" t="str">
        <f t="shared" si="1"/>
        <v>New Logo</v>
      </c>
      <c r="AG592" s="17" t="str">
        <f t="shared" si="2"/>
        <v>Lead</v>
      </c>
      <c r="AH592" s="17" t="str">
        <f t="shared" si="3"/>
        <v>501-1000</v>
      </c>
      <c r="AI592" s="17" t="str">
        <f t="shared" si="4"/>
        <v>101-500</v>
      </c>
    </row>
    <row r="593" ht="15.75" customHeight="1">
      <c r="A593" s="13">
        <f>HYPERLINK("https://app.hubspot.com/contacts/8748051/record/0-3/18220757846", 18220757846)</f>
        <v>18220757846</v>
      </c>
      <c r="B593" s="14" t="s">
        <v>2028</v>
      </c>
      <c r="C593" s="14" t="s">
        <v>1008</v>
      </c>
      <c r="D593" s="15">
        <v>2880.0</v>
      </c>
      <c r="E593" s="14" t="s">
        <v>118</v>
      </c>
      <c r="F593" s="17"/>
      <c r="G593" s="16">
        <v>45376.395474537036</v>
      </c>
      <c r="H593" s="16">
        <v>45560.39491898148</v>
      </c>
      <c r="I593" s="14" t="s">
        <v>39</v>
      </c>
      <c r="J593" s="14" t="s">
        <v>40</v>
      </c>
      <c r="K593" s="14" t="s">
        <v>1186</v>
      </c>
      <c r="L593" s="14" t="s">
        <v>175</v>
      </c>
      <c r="M593" s="14" t="s">
        <v>43</v>
      </c>
      <c r="N593" s="17"/>
      <c r="O593" s="14"/>
      <c r="P593" s="14" t="s">
        <v>260</v>
      </c>
      <c r="Q593" s="17"/>
      <c r="R593" s="13">
        <f>HYPERLINK("https://app.hubspot.com/contacts/8748051/record/0-2/6816600130", 6816600130)</f>
        <v>6816600130</v>
      </c>
      <c r="S593" s="14" t="s">
        <v>2029</v>
      </c>
      <c r="T593" s="18" t="s">
        <v>2030</v>
      </c>
      <c r="U593" s="14" t="s">
        <v>46</v>
      </c>
      <c r="V593" s="22"/>
      <c r="W593" s="19">
        <v>93.0</v>
      </c>
      <c r="X593" s="19">
        <v>15.0</v>
      </c>
      <c r="Y593" s="20"/>
      <c r="Z593" s="21"/>
      <c r="AA593" s="21"/>
      <c r="AB593" s="21"/>
      <c r="AC593" s="21"/>
      <c r="AD593" s="21"/>
      <c r="AE593" s="21"/>
      <c r="AF593" s="17" t="str">
        <f t="shared" si="1"/>
        <v>New Logo</v>
      </c>
      <c r="AG593" s="17" t="str">
        <f t="shared" si="2"/>
        <v>Lead</v>
      </c>
      <c r="AH593" s="17" t="str">
        <f t="shared" si="3"/>
        <v>0-200</v>
      </c>
      <c r="AI593" s="17" t="str">
        <f t="shared" si="4"/>
        <v>0-20</v>
      </c>
    </row>
    <row r="594" ht="15.75" customHeight="1">
      <c r="A594" s="13">
        <f>HYPERLINK("https://app.hubspot.com/contacts/8748051/record/0-3/18219426108", 18219426108)</f>
        <v>18219426108</v>
      </c>
      <c r="B594" s="14" t="s">
        <v>2031</v>
      </c>
      <c r="C594" s="14" t="s">
        <v>1008</v>
      </c>
      <c r="D594" s="15">
        <v>140400.0</v>
      </c>
      <c r="E594" s="14" t="s">
        <v>118</v>
      </c>
      <c r="F594" s="17"/>
      <c r="G594" s="16">
        <v>45376.253483796296</v>
      </c>
      <c r="H594" s="16">
        <v>45560.253020833334</v>
      </c>
      <c r="I594" s="14" t="s">
        <v>39</v>
      </c>
      <c r="J594" s="14" t="s">
        <v>40</v>
      </c>
      <c r="K594" s="14" t="s">
        <v>1186</v>
      </c>
      <c r="L594" s="14" t="s">
        <v>175</v>
      </c>
      <c r="M594" s="14" t="s">
        <v>72</v>
      </c>
      <c r="N594" s="17"/>
      <c r="O594" s="14"/>
      <c r="P594" s="14" t="s">
        <v>211</v>
      </c>
      <c r="Q594" s="17"/>
      <c r="R594" s="13">
        <f>HYPERLINK("https://app.hubspot.com/contacts/8748051/record/0-2/10038688044", 10038688044)</f>
        <v>10038688044</v>
      </c>
      <c r="S594" s="14" t="s">
        <v>2032</v>
      </c>
      <c r="T594" s="18" t="s">
        <v>2033</v>
      </c>
      <c r="U594" s="14" t="s">
        <v>46</v>
      </c>
      <c r="V594" s="22"/>
      <c r="W594" s="19">
        <v>4774.0</v>
      </c>
      <c r="X594" s="19">
        <v>743.0</v>
      </c>
      <c r="Y594" s="20" t="s">
        <v>545</v>
      </c>
      <c r="Z594" s="21"/>
      <c r="AA594" s="21"/>
      <c r="AB594" s="21"/>
      <c r="AC594" s="21"/>
      <c r="AD594" s="21"/>
      <c r="AE594" s="21"/>
      <c r="AF594" s="17" t="str">
        <f t="shared" si="1"/>
        <v>New Logo</v>
      </c>
      <c r="AG594" s="17" t="str">
        <f t="shared" si="2"/>
        <v>Lead</v>
      </c>
      <c r="AH594" s="17" t="str">
        <f t="shared" si="3"/>
        <v>1001-5000</v>
      </c>
      <c r="AI594" s="17" t="str">
        <f t="shared" si="4"/>
        <v>500+</v>
      </c>
    </row>
    <row r="595" ht="15.75" customHeight="1">
      <c r="A595" s="13">
        <f>HYPERLINK("https://app.hubspot.com/contacts/8748051/record/0-3/18161130936", 18161130936)</f>
        <v>18161130936</v>
      </c>
      <c r="B595" s="14" t="s">
        <v>2034</v>
      </c>
      <c r="C595" s="14" t="s">
        <v>49</v>
      </c>
      <c r="D595" s="15">
        <v>6500.0</v>
      </c>
      <c r="E595" s="14" t="s">
        <v>118</v>
      </c>
      <c r="F595" s="17"/>
      <c r="G595" s="16">
        <v>45373.00840277778</v>
      </c>
      <c r="H595" s="16">
        <v>45383.15069444444</v>
      </c>
      <c r="I595" s="14" t="s">
        <v>39</v>
      </c>
      <c r="J595" s="14" t="s">
        <v>40</v>
      </c>
      <c r="K595" s="14" t="s">
        <v>558</v>
      </c>
      <c r="L595" s="14" t="s">
        <v>559</v>
      </c>
      <c r="M595" s="14" t="s">
        <v>98</v>
      </c>
      <c r="N595" s="17"/>
      <c r="O595" s="14" t="s">
        <v>2035</v>
      </c>
      <c r="P595" s="14" t="s">
        <v>260</v>
      </c>
      <c r="Q595" s="17"/>
      <c r="R595" s="13">
        <f>HYPERLINK("https://app.hubspot.com/contacts/8748051/record/0-2/19176598385", 19176598385)</f>
        <v>19176598385</v>
      </c>
      <c r="S595" s="14" t="s">
        <v>2036</v>
      </c>
      <c r="T595" s="18" t="s">
        <v>2037</v>
      </c>
      <c r="U595" s="14" t="s">
        <v>46</v>
      </c>
      <c r="V595" s="22"/>
      <c r="W595" s="19">
        <v>313.0</v>
      </c>
      <c r="X595" s="19">
        <v>15.0</v>
      </c>
      <c r="Y595" s="20"/>
      <c r="Z595" s="21"/>
      <c r="AA595" s="21"/>
      <c r="AB595" s="21"/>
      <c r="AC595" s="21"/>
      <c r="AD595" s="21"/>
      <c r="AE595" s="21"/>
      <c r="AF595" s="17" t="str">
        <f t="shared" si="1"/>
        <v>New Logo</v>
      </c>
      <c r="AG595" s="17" t="str">
        <f t="shared" si="2"/>
        <v>Lead</v>
      </c>
      <c r="AH595" s="17" t="str">
        <f t="shared" si="3"/>
        <v>201-500</v>
      </c>
      <c r="AI595" s="17" t="str">
        <f t="shared" si="4"/>
        <v>0-20</v>
      </c>
    </row>
    <row r="596" ht="15.75" customHeight="1">
      <c r="A596" s="13">
        <f>HYPERLINK("https://app.hubspot.com/contacts/8748051/record/0-3/18151200856", 18151200856)</f>
        <v>18151200856</v>
      </c>
      <c r="B596" s="14" t="s">
        <v>2038</v>
      </c>
      <c r="C596" s="14" t="s">
        <v>49</v>
      </c>
      <c r="D596" s="15">
        <v>17000.0</v>
      </c>
      <c r="E596" s="14" t="s">
        <v>118</v>
      </c>
      <c r="F596" s="17"/>
      <c r="G596" s="16">
        <v>45372.53980324074</v>
      </c>
      <c r="H596" s="16">
        <v>45556.53946759259</v>
      </c>
      <c r="I596" s="14" t="s">
        <v>39</v>
      </c>
      <c r="J596" s="14" t="s">
        <v>40</v>
      </c>
      <c r="K596" s="14" t="s">
        <v>1186</v>
      </c>
      <c r="L596" s="14" t="s">
        <v>175</v>
      </c>
      <c r="M596" s="14" t="s">
        <v>43</v>
      </c>
      <c r="N596" s="17"/>
      <c r="O596" s="17"/>
      <c r="P596" s="14" t="s">
        <v>211</v>
      </c>
      <c r="Q596" s="17"/>
      <c r="R596" s="13">
        <f>HYPERLINK("https://app.hubspot.com/contacts/8748051/record/0-2/7666466217", 7666466217)</f>
        <v>7666466217</v>
      </c>
      <c r="S596" s="14" t="s">
        <v>2039</v>
      </c>
      <c r="T596" s="18" t="s">
        <v>2040</v>
      </c>
      <c r="U596" s="14" t="s">
        <v>46</v>
      </c>
      <c r="V596" s="15"/>
      <c r="W596" s="19">
        <v>381.0</v>
      </c>
      <c r="X596" s="19">
        <v>80.0</v>
      </c>
      <c r="Y596" s="20" t="s">
        <v>63</v>
      </c>
      <c r="Z596" s="20"/>
      <c r="AA596" s="21"/>
      <c r="AB596" s="21"/>
      <c r="AC596" s="20"/>
      <c r="AD596" s="21"/>
      <c r="AE596" s="21"/>
      <c r="AF596" s="17" t="str">
        <f t="shared" si="1"/>
        <v>New Logo</v>
      </c>
      <c r="AG596" s="17" t="str">
        <f t="shared" si="2"/>
        <v>Lead</v>
      </c>
      <c r="AH596" s="17" t="str">
        <f t="shared" si="3"/>
        <v>201-500</v>
      </c>
      <c r="AI596" s="17" t="str">
        <f t="shared" si="4"/>
        <v>51-100</v>
      </c>
    </row>
    <row r="597" ht="15.75" customHeight="1">
      <c r="A597" s="13">
        <f>HYPERLINK("https://app.hubspot.com/contacts/8748051/record/0-3/18151200631", 18151200631)</f>
        <v>18151200631</v>
      </c>
      <c r="B597" s="14" t="s">
        <v>2041</v>
      </c>
      <c r="C597" s="14" t="s">
        <v>49</v>
      </c>
      <c r="D597" s="15">
        <v>420480.0</v>
      </c>
      <c r="E597" s="14" t="s">
        <v>118</v>
      </c>
      <c r="F597" s="14"/>
      <c r="G597" s="16">
        <v>45372.5390162037</v>
      </c>
      <c r="H597" s="16">
        <v>45556.532638888886</v>
      </c>
      <c r="I597" s="14" t="s">
        <v>39</v>
      </c>
      <c r="J597" s="14" t="s">
        <v>40</v>
      </c>
      <c r="K597" s="14" t="s">
        <v>1186</v>
      </c>
      <c r="L597" s="14" t="s">
        <v>559</v>
      </c>
      <c r="M597" s="14" t="s">
        <v>43</v>
      </c>
      <c r="N597" s="17"/>
      <c r="O597" s="17"/>
      <c r="P597" s="14" t="s">
        <v>211</v>
      </c>
      <c r="Q597" s="14"/>
      <c r="R597" s="13">
        <f>HYPERLINK("https://app.hubspot.com/contacts/8748051/record/0-2/18252335002", 18252335002)</f>
        <v>18252335002</v>
      </c>
      <c r="S597" s="14" t="s">
        <v>2042</v>
      </c>
      <c r="T597" s="18" t="s">
        <v>2043</v>
      </c>
      <c r="U597" s="14" t="s">
        <v>46</v>
      </c>
      <c r="V597" s="22"/>
      <c r="W597" s="19">
        <v>67767.0</v>
      </c>
      <c r="X597" s="19">
        <v>3815.0</v>
      </c>
      <c r="Y597" s="20"/>
      <c r="Z597" s="21"/>
      <c r="AA597" s="21"/>
      <c r="AB597" s="21"/>
      <c r="AC597" s="21"/>
      <c r="AD597" s="21"/>
      <c r="AE597" s="21"/>
      <c r="AF597" s="17" t="str">
        <f t="shared" si="1"/>
        <v>New Logo</v>
      </c>
      <c r="AG597" s="17" t="str">
        <f t="shared" si="2"/>
        <v>Lead</v>
      </c>
      <c r="AH597" s="17" t="str">
        <f t="shared" si="3"/>
        <v>10000+</v>
      </c>
      <c r="AI597" s="17" t="str">
        <f t="shared" si="4"/>
        <v>500+</v>
      </c>
    </row>
    <row r="598" ht="15.75" customHeight="1">
      <c r="A598" s="13">
        <f>HYPERLINK("https://app.hubspot.com/contacts/8748051/record/0-3/18137545558", 18137545558)</f>
        <v>18137545558</v>
      </c>
      <c r="B598" s="14" t="s">
        <v>2044</v>
      </c>
      <c r="C598" s="14" t="s">
        <v>1008</v>
      </c>
      <c r="D598" s="15">
        <v>6480.0</v>
      </c>
      <c r="E598" s="14" t="s">
        <v>118</v>
      </c>
      <c r="F598" s="14"/>
      <c r="G598" s="16">
        <v>45371.97420138889</v>
      </c>
      <c r="H598" s="16">
        <v>45555.9737962963</v>
      </c>
      <c r="I598" s="14" t="s">
        <v>39</v>
      </c>
      <c r="J598" s="14" t="s">
        <v>40</v>
      </c>
      <c r="K598" s="14" t="s">
        <v>558</v>
      </c>
      <c r="L598" s="14" t="s">
        <v>559</v>
      </c>
      <c r="M598" s="14" t="s">
        <v>72</v>
      </c>
      <c r="N598" s="17"/>
      <c r="O598" s="17"/>
      <c r="P598" s="14" t="s">
        <v>211</v>
      </c>
      <c r="Q598" s="14"/>
      <c r="R598" s="13">
        <f>HYPERLINK("https://app.hubspot.com/contacts/8748051/record/0-2/19176635234", 19176635234)</f>
        <v>19176635234</v>
      </c>
      <c r="S598" s="14" t="s">
        <v>2045</v>
      </c>
      <c r="T598" s="18" t="s">
        <v>2046</v>
      </c>
      <c r="U598" s="14" t="s">
        <v>46</v>
      </c>
      <c r="V598" s="22"/>
      <c r="W598" s="19">
        <v>151.0</v>
      </c>
      <c r="X598" s="19">
        <v>18.0</v>
      </c>
      <c r="Y598" s="20" t="s">
        <v>104</v>
      </c>
      <c r="Z598" s="21"/>
      <c r="AA598" s="21"/>
      <c r="AB598" s="21"/>
      <c r="AC598" s="21"/>
      <c r="AD598" s="21"/>
      <c r="AE598" s="21"/>
      <c r="AF598" s="17" t="str">
        <f t="shared" si="1"/>
        <v>New Logo</v>
      </c>
      <c r="AG598" s="17" t="str">
        <f t="shared" si="2"/>
        <v>Lead</v>
      </c>
      <c r="AH598" s="17" t="str">
        <f t="shared" si="3"/>
        <v>0-200</v>
      </c>
      <c r="AI598" s="17" t="str">
        <f t="shared" si="4"/>
        <v>0-20</v>
      </c>
    </row>
    <row r="599" ht="15.75" customHeight="1">
      <c r="A599" s="13">
        <f>HYPERLINK("https://app.hubspot.com/contacts/8748051/record/0-3/18137545526", 18137545526)</f>
        <v>18137545526</v>
      </c>
      <c r="B599" s="14" t="s">
        <v>1405</v>
      </c>
      <c r="C599" s="14" t="s">
        <v>1008</v>
      </c>
      <c r="D599" s="15">
        <v>70000.0</v>
      </c>
      <c r="E599" s="14" t="s">
        <v>124</v>
      </c>
      <c r="F599" s="14" t="s">
        <v>51</v>
      </c>
      <c r="G599" s="16">
        <v>45371.97326388889</v>
      </c>
      <c r="H599" s="16">
        <v>45555.972905092596</v>
      </c>
      <c r="I599" s="14" t="s">
        <v>39</v>
      </c>
      <c r="J599" s="14" t="s">
        <v>52</v>
      </c>
      <c r="K599" s="14" t="s">
        <v>41</v>
      </c>
      <c r="L599" s="14" t="s">
        <v>42</v>
      </c>
      <c r="M599" s="14" t="s">
        <v>72</v>
      </c>
      <c r="N599" s="17"/>
      <c r="O599" s="17"/>
      <c r="P599" s="14"/>
      <c r="Q599" s="14" t="s">
        <v>567</v>
      </c>
      <c r="R599" s="13">
        <f>HYPERLINK("https://app.hubspot.com/contacts/8748051/record/0-2/7736681624", 7736681624)</f>
        <v>7736681624</v>
      </c>
      <c r="S599" s="14" t="s">
        <v>1406</v>
      </c>
      <c r="T599" s="18" t="s">
        <v>1407</v>
      </c>
      <c r="U599" s="14" t="s">
        <v>46</v>
      </c>
      <c r="V599" s="22"/>
      <c r="W599" s="19">
        <v>865.0</v>
      </c>
      <c r="X599" s="19">
        <v>128.0</v>
      </c>
      <c r="Y599" s="20" t="s">
        <v>545</v>
      </c>
      <c r="Z599" s="21"/>
      <c r="AA599" s="21"/>
      <c r="AB599" s="21"/>
      <c r="AC599" s="21"/>
      <c r="AD599" s="21"/>
      <c r="AE599" s="21"/>
      <c r="AF599" s="17" t="str">
        <f t="shared" si="1"/>
        <v>New Logo</v>
      </c>
      <c r="AG599" s="17" t="str">
        <f t="shared" si="2"/>
        <v>Lead</v>
      </c>
      <c r="AH599" s="17" t="str">
        <f t="shared" si="3"/>
        <v>501-1000</v>
      </c>
      <c r="AI599" s="17" t="str">
        <f t="shared" si="4"/>
        <v>101-500</v>
      </c>
    </row>
    <row r="600" ht="15.75" customHeight="1">
      <c r="A600" s="13">
        <f>HYPERLINK("https://app.hubspot.com/contacts/8748051/record/0-3/18125984425", 18125984425)</f>
        <v>18125984425</v>
      </c>
      <c r="B600" s="14" t="s">
        <v>2047</v>
      </c>
      <c r="C600" s="14" t="s">
        <v>37</v>
      </c>
      <c r="D600" s="15">
        <v>6480.0</v>
      </c>
      <c r="E600" s="14" t="s">
        <v>118</v>
      </c>
      <c r="F600" s="14"/>
      <c r="G600" s="16">
        <v>45371.35070601852</v>
      </c>
      <c r="H600" s="16">
        <v>45555.35034722222</v>
      </c>
      <c r="I600" s="14" t="s">
        <v>39</v>
      </c>
      <c r="J600" s="14" t="s">
        <v>40</v>
      </c>
      <c r="K600" s="14" t="s">
        <v>1186</v>
      </c>
      <c r="L600" s="14" t="s">
        <v>175</v>
      </c>
      <c r="M600" s="14" t="s">
        <v>43</v>
      </c>
      <c r="N600" s="17"/>
      <c r="O600" s="17"/>
      <c r="P600" s="14" t="s">
        <v>260</v>
      </c>
      <c r="Q600" s="17"/>
      <c r="R600" s="13">
        <f>HYPERLINK("https://app.hubspot.com/contacts/8748051/record/0-2/9014031639", 9014031639)</f>
        <v>9014031639</v>
      </c>
      <c r="S600" s="14" t="s">
        <v>2048</v>
      </c>
      <c r="T600" s="18" t="s">
        <v>2049</v>
      </c>
      <c r="U600" s="14" t="s">
        <v>46</v>
      </c>
      <c r="V600" s="22"/>
      <c r="W600" s="19">
        <v>93.0</v>
      </c>
      <c r="X600" s="19">
        <v>18.0</v>
      </c>
      <c r="Y600" s="20" t="s">
        <v>63</v>
      </c>
      <c r="Z600" s="21"/>
      <c r="AA600" s="21"/>
      <c r="AB600" s="21"/>
      <c r="AC600" s="21"/>
      <c r="AD600" s="21"/>
      <c r="AE600" s="21"/>
      <c r="AF600" s="17" t="str">
        <f t="shared" si="1"/>
        <v>New Logo</v>
      </c>
      <c r="AG600" s="17" t="str">
        <f t="shared" si="2"/>
        <v>Lead</v>
      </c>
      <c r="AH600" s="17" t="str">
        <f t="shared" si="3"/>
        <v>0-200</v>
      </c>
      <c r="AI600" s="17" t="str">
        <f t="shared" si="4"/>
        <v>0-20</v>
      </c>
    </row>
    <row r="601" ht="15.75" customHeight="1">
      <c r="A601" s="13">
        <f>HYPERLINK("https://app.hubspot.com/contacts/8748051/record/0-3/18123525024", 18123525024)</f>
        <v>18123525024</v>
      </c>
      <c r="B601" s="14" t="s">
        <v>2050</v>
      </c>
      <c r="C601" s="14" t="s">
        <v>1008</v>
      </c>
      <c r="D601" s="15">
        <v>9120.0</v>
      </c>
      <c r="E601" s="14" t="s">
        <v>118</v>
      </c>
      <c r="F601" s="14"/>
      <c r="G601" s="16">
        <v>45371.18388888889</v>
      </c>
      <c r="H601" s="16">
        <v>45555.18340277778</v>
      </c>
      <c r="I601" s="14" t="s">
        <v>39</v>
      </c>
      <c r="J601" s="14" t="s">
        <v>40</v>
      </c>
      <c r="K601" s="14" t="s">
        <v>558</v>
      </c>
      <c r="L601" s="14" t="s">
        <v>559</v>
      </c>
      <c r="M601" s="14" t="s">
        <v>72</v>
      </c>
      <c r="N601" s="17"/>
      <c r="O601" s="17"/>
      <c r="P601" s="14" t="s">
        <v>119</v>
      </c>
      <c r="Q601" s="14"/>
      <c r="R601" s="13">
        <f>HYPERLINK("https://app.hubspot.com/contacts/8748051/record/0-2/10013686893", 10013686893)</f>
        <v>10013686893</v>
      </c>
      <c r="S601" s="14" t="s">
        <v>2051</v>
      </c>
      <c r="T601" s="18" t="s">
        <v>2052</v>
      </c>
      <c r="U601" s="14" t="s">
        <v>46</v>
      </c>
      <c r="V601" s="22"/>
      <c r="W601" s="19">
        <v>191.0</v>
      </c>
      <c r="X601" s="19">
        <v>40.0</v>
      </c>
      <c r="Y601" s="20" t="s">
        <v>104</v>
      </c>
      <c r="Z601" s="21"/>
      <c r="AA601" s="21"/>
      <c r="AB601" s="21"/>
      <c r="AC601" s="21"/>
      <c r="AD601" s="21"/>
      <c r="AE601" s="21"/>
      <c r="AF601" s="17" t="str">
        <f t="shared" si="1"/>
        <v>New Logo</v>
      </c>
      <c r="AG601" s="17" t="str">
        <f t="shared" si="2"/>
        <v>Lead</v>
      </c>
      <c r="AH601" s="17" t="str">
        <f t="shared" si="3"/>
        <v>0-200</v>
      </c>
      <c r="AI601" s="17" t="str">
        <f t="shared" si="4"/>
        <v>21-50</v>
      </c>
    </row>
    <row r="602" ht="15.75" customHeight="1">
      <c r="A602" s="13">
        <f>HYPERLINK("https://app.hubspot.com/contacts/8748051/record/0-3/18110875398", 18110875398)</f>
        <v>18110875398</v>
      </c>
      <c r="B602" s="14" t="s">
        <v>2053</v>
      </c>
      <c r="C602" s="14" t="s">
        <v>1008</v>
      </c>
      <c r="D602" s="15">
        <v>4800.0</v>
      </c>
      <c r="E602" s="14" t="s">
        <v>118</v>
      </c>
      <c r="F602" s="17"/>
      <c r="G602" s="16">
        <v>45370.48554398148</v>
      </c>
      <c r="H602" s="16">
        <v>45554.48520833333</v>
      </c>
      <c r="I602" s="14" t="s">
        <v>39</v>
      </c>
      <c r="J602" s="14" t="s">
        <v>40</v>
      </c>
      <c r="K602" s="14" t="s">
        <v>1186</v>
      </c>
      <c r="L602" s="14" t="s">
        <v>175</v>
      </c>
      <c r="M602" s="14" t="s">
        <v>43</v>
      </c>
      <c r="N602" s="17"/>
      <c r="O602" s="17"/>
      <c r="P602" s="14" t="s">
        <v>211</v>
      </c>
      <c r="Q602" s="17"/>
      <c r="R602" s="13">
        <f>HYPERLINK("https://app.hubspot.com/contacts/8748051/record/0-2/17518459778", 17518459778)</f>
        <v>17518459778</v>
      </c>
      <c r="S602" s="14" t="s">
        <v>2054</v>
      </c>
      <c r="T602" s="18" t="s">
        <v>2055</v>
      </c>
      <c r="U602" s="14" t="s">
        <v>46</v>
      </c>
      <c r="V602" s="22"/>
      <c r="W602" s="19">
        <v>192.0</v>
      </c>
      <c r="X602" s="19">
        <v>28.0</v>
      </c>
      <c r="Y602" s="20"/>
      <c r="Z602" s="21"/>
      <c r="AA602" s="21"/>
      <c r="AB602" s="21"/>
      <c r="AC602" s="21"/>
      <c r="AD602" s="21"/>
      <c r="AE602" s="21"/>
      <c r="AF602" s="17" t="str">
        <f t="shared" si="1"/>
        <v>New Logo</v>
      </c>
      <c r="AG602" s="17" t="str">
        <f t="shared" si="2"/>
        <v>Lead</v>
      </c>
      <c r="AH602" s="17" t="str">
        <f t="shared" si="3"/>
        <v>0-200</v>
      </c>
      <c r="AI602" s="17" t="str">
        <f t="shared" si="4"/>
        <v>21-50</v>
      </c>
    </row>
    <row r="603" ht="15.75" customHeight="1">
      <c r="A603" s="13">
        <f>HYPERLINK("https://app.hubspot.com/contacts/8748051/record/0-3/18096330107", 18096330107)</f>
        <v>18096330107</v>
      </c>
      <c r="B603" s="14" t="s">
        <v>2056</v>
      </c>
      <c r="C603" s="14" t="s">
        <v>49</v>
      </c>
      <c r="D603" s="15">
        <v>48000.0</v>
      </c>
      <c r="E603" s="14" t="s">
        <v>118</v>
      </c>
      <c r="F603" s="14"/>
      <c r="G603" s="16">
        <v>45369.64195601852</v>
      </c>
      <c r="H603" s="16">
        <v>45556.64142361111</v>
      </c>
      <c r="I603" s="14" t="s">
        <v>39</v>
      </c>
      <c r="J603" s="14" t="s">
        <v>40</v>
      </c>
      <c r="K603" s="14" t="s">
        <v>1186</v>
      </c>
      <c r="L603" s="14" t="s">
        <v>175</v>
      </c>
      <c r="M603" s="14" t="s">
        <v>43</v>
      </c>
      <c r="N603" s="17"/>
      <c r="O603" s="17"/>
      <c r="P603" s="14" t="s">
        <v>211</v>
      </c>
      <c r="Q603" s="14"/>
      <c r="R603" s="13">
        <f>HYPERLINK("https://app.hubspot.com/contacts/8748051/record/0-2/9086573923", 9086573923)</f>
        <v>9086573923</v>
      </c>
      <c r="S603" s="14" t="s">
        <v>2057</v>
      </c>
      <c r="T603" s="18" t="s">
        <v>2058</v>
      </c>
      <c r="U603" s="14" t="s">
        <v>46</v>
      </c>
      <c r="V603" s="22"/>
      <c r="W603" s="19">
        <v>1396.0</v>
      </c>
      <c r="X603" s="19">
        <v>260.0</v>
      </c>
      <c r="Y603" s="20" t="s">
        <v>70</v>
      </c>
      <c r="Z603" s="21"/>
      <c r="AA603" s="21"/>
      <c r="AB603" s="21"/>
      <c r="AC603" s="21"/>
      <c r="AD603" s="21"/>
      <c r="AE603" s="21"/>
      <c r="AF603" s="17" t="str">
        <f t="shared" si="1"/>
        <v>New Logo</v>
      </c>
      <c r="AG603" s="17" t="str">
        <f t="shared" si="2"/>
        <v>Lead</v>
      </c>
      <c r="AH603" s="17" t="str">
        <f t="shared" si="3"/>
        <v>1001-5000</v>
      </c>
      <c r="AI603" s="17" t="str">
        <f t="shared" si="4"/>
        <v>101-500</v>
      </c>
    </row>
    <row r="604" ht="15.75" customHeight="1">
      <c r="A604" s="13">
        <f>HYPERLINK("https://app.hubspot.com/contacts/8748051/record/0-3/18094274709", 18094274709)</f>
        <v>18094274709</v>
      </c>
      <c r="B604" s="14" t="s">
        <v>2059</v>
      </c>
      <c r="C604" s="14" t="s">
        <v>1008</v>
      </c>
      <c r="D604" s="15">
        <v>5520.0</v>
      </c>
      <c r="E604" s="14" t="s">
        <v>118</v>
      </c>
      <c r="F604" s="17"/>
      <c r="G604" s="16">
        <v>45369.559328703705</v>
      </c>
      <c r="H604" s="16">
        <v>45553.55899305556</v>
      </c>
      <c r="I604" s="14" t="s">
        <v>39</v>
      </c>
      <c r="J604" s="14" t="s">
        <v>40</v>
      </c>
      <c r="K604" s="14" t="s">
        <v>1186</v>
      </c>
      <c r="L604" s="14" t="s">
        <v>175</v>
      </c>
      <c r="M604" s="14" t="s">
        <v>43</v>
      </c>
      <c r="N604" s="17"/>
      <c r="O604" s="17"/>
      <c r="P604" s="14" t="s">
        <v>211</v>
      </c>
      <c r="Q604" s="17"/>
      <c r="R604" s="13">
        <f>HYPERLINK("https://app.hubspot.com/contacts/8748051/record/0-2/18831115095", 18831115095)</f>
        <v>18831115095</v>
      </c>
      <c r="S604" s="14" t="s">
        <v>2060</v>
      </c>
      <c r="T604" s="18" t="s">
        <v>2061</v>
      </c>
      <c r="U604" s="14" t="s">
        <v>46</v>
      </c>
      <c r="V604" s="22"/>
      <c r="W604" s="19">
        <v>180.0</v>
      </c>
      <c r="X604" s="19">
        <v>25.0</v>
      </c>
      <c r="Y604" s="20" t="s">
        <v>70</v>
      </c>
      <c r="Z604" s="21"/>
      <c r="AA604" s="21"/>
      <c r="AB604" s="21"/>
      <c r="AC604" s="21"/>
      <c r="AD604" s="21"/>
      <c r="AE604" s="21"/>
      <c r="AF604" s="17" t="str">
        <f t="shared" si="1"/>
        <v>New Logo</v>
      </c>
      <c r="AG604" s="17" t="str">
        <f t="shared" si="2"/>
        <v>Lead</v>
      </c>
      <c r="AH604" s="17" t="str">
        <f t="shared" si="3"/>
        <v>0-200</v>
      </c>
      <c r="AI604" s="17" t="str">
        <f t="shared" si="4"/>
        <v>21-50</v>
      </c>
    </row>
    <row r="605" ht="15.75" customHeight="1">
      <c r="A605" s="13">
        <f>HYPERLINK("https://app.hubspot.com/contacts/8748051/record/0-3/18094274308", 18094274308)</f>
        <v>18094274308</v>
      </c>
      <c r="B605" s="14" t="s">
        <v>2062</v>
      </c>
      <c r="C605" s="14" t="s">
        <v>145</v>
      </c>
      <c r="D605" s="15">
        <v>10080.0</v>
      </c>
      <c r="E605" s="14" t="s">
        <v>118</v>
      </c>
      <c r="F605" s="14"/>
      <c r="G605" s="16">
        <v>45369.55762731482</v>
      </c>
      <c r="H605" s="16">
        <v>45553.556979166664</v>
      </c>
      <c r="I605" s="14" t="s">
        <v>39</v>
      </c>
      <c r="J605" s="14" t="s">
        <v>40</v>
      </c>
      <c r="K605" s="14" t="s">
        <v>41</v>
      </c>
      <c r="L605" s="14" t="s">
        <v>42</v>
      </c>
      <c r="M605" s="14" t="s">
        <v>43</v>
      </c>
      <c r="N605" s="17"/>
      <c r="O605" s="17"/>
      <c r="P605" s="14" t="s">
        <v>119</v>
      </c>
      <c r="Q605" s="17"/>
      <c r="R605" s="13">
        <f>HYPERLINK("https://app.hubspot.com/contacts/8748051/record/0-2/7648032795", 7648032795)</f>
        <v>7648032795</v>
      </c>
      <c r="S605" s="14" t="s">
        <v>2063</v>
      </c>
      <c r="T605" s="18" t="s">
        <v>2064</v>
      </c>
      <c r="U605" s="14" t="s">
        <v>46</v>
      </c>
      <c r="V605" s="22"/>
      <c r="W605" s="19">
        <v>381.0</v>
      </c>
      <c r="X605" s="19">
        <v>45.0</v>
      </c>
      <c r="Y605" s="20" t="s">
        <v>63</v>
      </c>
      <c r="Z605" s="21"/>
      <c r="AA605" s="21"/>
      <c r="AB605" s="21"/>
      <c r="AC605" s="21"/>
      <c r="AD605" s="21"/>
      <c r="AE605" s="21"/>
      <c r="AF605" s="17" t="str">
        <f t="shared" si="1"/>
        <v>New Logo</v>
      </c>
      <c r="AG605" s="17" t="str">
        <f t="shared" si="2"/>
        <v>Lead</v>
      </c>
      <c r="AH605" s="17" t="str">
        <f t="shared" si="3"/>
        <v>201-500</v>
      </c>
      <c r="AI605" s="17" t="str">
        <f t="shared" si="4"/>
        <v>21-50</v>
      </c>
    </row>
    <row r="606" ht="15.75" customHeight="1">
      <c r="A606" s="13">
        <f>HYPERLINK("https://app.hubspot.com/contacts/8748051/record/0-3/18094342834", 18094342834)</f>
        <v>18094342834</v>
      </c>
      <c r="B606" s="14" t="s">
        <v>2065</v>
      </c>
      <c r="C606" s="14" t="s">
        <v>145</v>
      </c>
      <c r="D606" s="15">
        <v>10800.0</v>
      </c>
      <c r="E606" s="14" t="s">
        <v>118</v>
      </c>
      <c r="F606" s="14"/>
      <c r="G606" s="16">
        <v>45369.55637731482</v>
      </c>
      <c r="H606" s="16">
        <v>45553.555868055555</v>
      </c>
      <c r="I606" s="14" t="s">
        <v>39</v>
      </c>
      <c r="J606" s="14" t="s">
        <v>40</v>
      </c>
      <c r="K606" s="14" t="s">
        <v>558</v>
      </c>
      <c r="L606" s="14" t="s">
        <v>559</v>
      </c>
      <c r="M606" s="14" t="s">
        <v>43</v>
      </c>
      <c r="N606" s="17"/>
      <c r="O606" s="14"/>
      <c r="P606" s="14" t="s">
        <v>211</v>
      </c>
      <c r="Q606" s="14"/>
      <c r="R606" s="13">
        <f>HYPERLINK("https://app.hubspot.com/contacts/8748051/record/0-2/8920275369", 8920275369)</f>
        <v>8920275369</v>
      </c>
      <c r="S606" s="14" t="s">
        <v>2066</v>
      </c>
      <c r="T606" s="18" t="s">
        <v>2067</v>
      </c>
      <c r="U606" s="14" t="s">
        <v>46</v>
      </c>
      <c r="V606" s="15"/>
      <c r="W606" s="19">
        <v>227.0</v>
      </c>
      <c r="X606" s="19">
        <v>61.0</v>
      </c>
      <c r="Y606" s="20" t="s">
        <v>70</v>
      </c>
      <c r="Z606" s="20"/>
      <c r="AA606" s="21"/>
      <c r="AB606" s="21"/>
      <c r="AC606" s="20"/>
      <c r="AD606" s="21"/>
      <c r="AE606" s="21"/>
      <c r="AF606" s="17" t="str">
        <f t="shared" si="1"/>
        <v>New Logo</v>
      </c>
      <c r="AG606" s="17" t="str">
        <f t="shared" si="2"/>
        <v>Lead</v>
      </c>
      <c r="AH606" s="17" t="str">
        <f t="shared" si="3"/>
        <v>201-500</v>
      </c>
      <c r="AI606" s="17" t="str">
        <f t="shared" si="4"/>
        <v>51-100</v>
      </c>
    </row>
    <row r="607" ht="15.75" customHeight="1">
      <c r="A607" s="13">
        <f>HYPERLINK("https://app.hubspot.com/contacts/8748051/record/0-3/18089950094", 18089950094)</f>
        <v>18089950094</v>
      </c>
      <c r="B607" s="14" t="s">
        <v>2068</v>
      </c>
      <c r="C607" s="14" t="s">
        <v>1008</v>
      </c>
      <c r="D607" s="15">
        <v>5000.0</v>
      </c>
      <c r="E607" s="14" t="s">
        <v>118</v>
      </c>
      <c r="F607" s="14"/>
      <c r="G607" s="16">
        <v>45369.33451388889</v>
      </c>
      <c r="H607" s="16">
        <v>45473.33427083334</v>
      </c>
      <c r="I607" s="14" t="s">
        <v>39</v>
      </c>
      <c r="J607" s="14" t="s">
        <v>40</v>
      </c>
      <c r="K607" s="14" t="s">
        <v>41</v>
      </c>
      <c r="L607" s="14" t="s">
        <v>42</v>
      </c>
      <c r="M607" s="14" t="s">
        <v>98</v>
      </c>
      <c r="N607" s="17"/>
      <c r="O607" s="14"/>
      <c r="P607" s="14" t="s">
        <v>260</v>
      </c>
      <c r="Q607" s="14"/>
      <c r="R607" s="13">
        <f>HYPERLINK("https://app.hubspot.com/contacts/8748051/record/0-2/18450809606", 18450809606)</f>
        <v>18450809606</v>
      </c>
      <c r="S607" s="14" t="s">
        <v>1122</v>
      </c>
      <c r="T607" s="18" t="s">
        <v>1123</v>
      </c>
      <c r="U607" s="14" t="s">
        <v>46</v>
      </c>
      <c r="V607" s="22"/>
      <c r="W607" s="19">
        <v>260.0</v>
      </c>
      <c r="X607" s="19">
        <v>25.0</v>
      </c>
      <c r="Y607" s="20"/>
      <c r="Z607" s="21"/>
      <c r="AA607" s="21"/>
      <c r="AB607" s="21"/>
      <c r="AC607" s="21"/>
      <c r="AD607" s="21"/>
      <c r="AE607" s="21"/>
      <c r="AF607" s="17" t="str">
        <f t="shared" si="1"/>
        <v>New Logo</v>
      </c>
      <c r="AG607" s="17" t="str">
        <f t="shared" si="2"/>
        <v>Lead</v>
      </c>
      <c r="AH607" s="17" t="str">
        <f t="shared" si="3"/>
        <v>201-500</v>
      </c>
      <c r="AI607" s="17" t="str">
        <f t="shared" si="4"/>
        <v>21-50</v>
      </c>
    </row>
    <row r="608" ht="15.75" customHeight="1">
      <c r="A608" s="13">
        <f>HYPERLINK("https://app.hubspot.com/contacts/8748051/record/0-3/18072483249", 18072483249)</f>
        <v>18072483249</v>
      </c>
      <c r="B608" s="14" t="s">
        <v>2069</v>
      </c>
      <c r="C608" s="14" t="s">
        <v>37</v>
      </c>
      <c r="D608" s="15">
        <v>8000.0</v>
      </c>
      <c r="E608" s="14" t="s">
        <v>124</v>
      </c>
      <c r="F608" s="14" t="s">
        <v>51</v>
      </c>
      <c r="G608" s="16">
        <v>45368.04539351852</v>
      </c>
      <c r="H608" s="16">
        <v>45394.14724537037</v>
      </c>
      <c r="I608" s="14" t="s">
        <v>39</v>
      </c>
      <c r="J608" s="14" t="s">
        <v>40</v>
      </c>
      <c r="K608" s="14" t="s">
        <v>59</v>
      </c>
      <c r="L608" s="14" t="s">
        <v>180</v>
      </c>
      <c r="M608" s="14" t="s">
        <v>98</v>
      </c>
      <c r="N608" s="17"/>
      <c r="O608" s="17"/>
      <c r="P608" s="14"/>
      <c r="Q608" s="14" t="s">
        <v>195</v>
      </c>
      <c r="R608" s="13">
        <f>HYPERLINK("https://app.hubspot.com/contacts/8748051/record/0-2/9618589480", 9618589480)</f>
        <v>9618589480</v>
      </c>
      <c r="S608" s="14" t="s">
        <v>2070</v>
      </c>
      <c r="T608" s="18" t="s">
        <v>2071</v>
      </c>
      <c r="U608" s="14" t="s">
        <v>46</v>
      </c>
      <c r="V608" s="22"/>
      <c r="W608" s="19">
        <v>152.0</v>
      </c>
      <c r="X608" s="19">
        <v>21.0</v>
      </c>
      <c r="Y608" s="20"/>
      <c r="Z608" s="21"/>
      <c r="AA608" s="21"/>
      <c r="AB608" s="21"/>
      <c r="AC608" s="21"/>
      <c r="AD608" s="21"/>
      <c r="AE608" s="21"/>
      <c r="AF608" s="17" t="str">
        <f t="shared" si="1"/>
        <v>New Logo</v>
      </c>
      <c r="AG608" s="17" t="str">
        <f t="shared" si="2"/>
        <v>Lead</v>
      </c>
      <c r="AH608" s="17" t="str">
        <f t="shared" si="3"/>
        <v>0-200</v>
      </c>
      <c r="AI608" s="17" t="str">
        <f t="shared" si="4"/>
        <v>21-50</v>
      </c>
    </row>
    <row r="609" ht="15.75" customHeight="1">
      <c r="A609" s="13">
        <f>HYPERLINK("https://app.hubspot.com/contacts/8748051/record/0-3/18054714713", 18054714713)</f>
        <v>18054714713</v>
      </c>
      <c r="B609" s="14" t="s">
        <v>2072</v>
      </c>
      <c r="C609" s="14" t="s">
        <v>49</v>
      </c>
      <c r="D609" s="15">
        <v>6960.0</v>
      </c>
      <c r="E609" s="14" t="s">
        <v>118</v>
      </c>
      <c r="F609" s="14"/>
      <c r="G609" s="16">
        <v>45366.77431712963</v>
      </c>
      <c r="H609" s="16">
        <v>45550.773680555554</v>
      </c>
      <c r="I609" s="14" t="s">
        <v>39</v>
      </c>
      <c r="J609" s="14" t="s">
        <v>40</v>
      </c>
      <c r="K609" s="14" t="s">
        <v>558</v>
      </c>
      <c r="L609" s="14" t="s">
        <v>559</v>
      </c>
      <c r="M609" s="14" t="s">
        <v>43</v>
      </c>
      <c r="N609" s="17"/>
      <c r="O609" s="17"/>
      <c r="P609" s="14" t="s">
        <v>119</v>
      </c>
      <c r="Q609" s="14"/>
      <c r="R609" s="13">
        <f>HYPERLINK("https://app.hubspot.com/contacts/8748051/record/0-2/8714365305", 8714365305)</f>
        <v>8714365305</v>
      </c>
      <c r="S609" s="14" t="s">
        <v>2073</v>
      </c>
      <c r="T609" s="18" t="s">
        <v>2074</v>
      </c>
      <c r="U609" s="14" t="s">
        <v>46</v>
      </c>
      <c r="V609" s="22"/>
      <c r="W609" s="19">
        <v>219.0</v>
      </c>
      <c r="X609" s="19">
        <v>28.0</v>
      </c>
      <c r="Y609" s="20"/>
      <c r="Z609" s="21"/>
      <c r="AA609" s="21"/>
      <c r="AB609" s="21"/>
      <c r="AC609" s="21"/>
      <c r="AD609" s="21"/>
      <c r="AE609" s="21"/>
      <c r="AF609" s="17" t="str">
        <f t="shared" si="1"/>
        <v>New Logo</v>
      </c>
      <c r="AG609" s="17" t="str">
        <f t="shared" si="2"/>
        <v>Lead</v>
      </c>
      <c r="AH609" s="17" t="str">
        <f t="shared" si="3"/>
        <v>201-500</v>
      </c>
      <c r="AI609" s="17" t="str">
        <f t="shared" si="4"/>
        <v>21-50</v>
      </c>
    </row>
    <row r="610" ht="15.75" customHeight="1">
      <c r="A610" s="13">
        <f>HYPERLINK("https://app.hubspot.com/contacts/8748051/record/0-3/18054714652", 18054714652)</f>
        <v>18054714652</v>
      </c>
      <c r="B610" s="14" t="s">
        <v>2075</v>
      </c>
      <c r="C610" s="14" t="s">
        <v>49</v>
      </c>
      <c r="D610" s="15">
        <v>64080.0</v>
      </c>
      <c r="E610" s="14" t="s">
        <v>124</v>
      </c>
      <c r="F610" s="14" t="s">
        <v>51</v>
      </c>
      <c r="G610" s="16">
        <v>45366.77326388889</v>
      </c>
      <c r="H610" s="16">
        <v>45550.77265046296</v>
      </c>
      <c r="I610" s="14" t="s">
        <v>39</v>
      </c>
      <c r="J610" s="14" t="s">
        <v>40</v>
      </c>
      <c r="K610" s="14" t="s">
        <v>1186</v>
      </c>
      <c r="L610" s="14" t="s">
        <v>175</v>
      </c>
      <c r="M610" s="14" t="s">
        <v>43</v>
      </c>
      <c r="N610" s="17"/>
      <c r="O610" s="17"/>
      <c r="P610" s="14"/>
      <c r="Q610" s="14" t="s">
        <v>502</v>
      </c>
      <c r="R610" s="13">
        <f>HYPERLINK("https://app.hubspot.com/contacts/8748051/record/0-2/30038830164", 30038830164)</f>
        <v>30038830164</v>
      </c>
      <c r="S610" s="14" t="s">
        <v>2076</v>
      </c>
      <c r="T610" s="18" t="s">
        <v>2077</v>
      </c>
      <c r="U610" s="14" t="s">
        <v>46</v>
      </c>
      <c r="V610" s="22"/>
      <c r="W610" s="19">
        <v>1989.0</v>
      </c>
      <c r="X610" s="19">
        <v>274.0</v>
      </c>
      <c r="Y610" s="20" t="s">
        <v>545</v>
      </c>
      <c r="Z610" s="21"/>
      <c r="AA610" s="21"/>
      <c r="AB610" s="21"/>
      <c r="AC610" s="21"/>
      <c r="AD610" s="21"/>
      <c r="AE610" s="21"/>
      <c r="AF610" s="17" t="str">
        <f t="shared" si="1"/>
        <v>New Logo</v>
      </c>
      <c r="AG610" s="17" t="str">
        <f t="shared" si="2"/>
        <v>Lead</v>
      </c>
      <c r="AH610" s="17" t="str">
        <f t="shared" si="3"/>
        <v>1001-5000</v>
      </c>
      <c r="AI610" s="17" t="str">
        <f t="shared" si="4"/>
        <v>101-500</v>
      </c>
    </row>
    <row r="611" ht="15.75" customHeight="1">
      <c r="A611" s="13">
        <f>HYPERLINK("https://app.hubspot.com/contacts/8748051/record/0-3/18055963821", 18055963821)</f>
        <v>18055963821</v>
      </c>
      <c r="B611" s="14" t="s">
        <v>2078</v>
      </c>
      <c r="C611" s="14" t="s">
        <v>37</v>
      </c>
      <c r="D611" s="15">
        <v>10560.0</v>
      </c>
      <c r="E611" s="14" t="s">
        <v>118</v>
      </c>
      <c r="F611" s="14"/>
      <c r="G611" s="16">
        <v>45366.771944444445</v>
      </c>
      <c r="H611" s="16">
        <v>45550.771574074075</v>
      </c>
      <c r="I611" s="14" t="s">
        <v>39</v>
      </c>
      <c r="J611" s="14" t="s">
        <v>40</v>
      </c>
      <c r="K611" s="14" t="s">
        <v>1186</v>
      </c>
      <c r="L611" s="14" t="s">
        <v>175</v>
      </c>
      <c r="M611" s="14" t="s">
        <v>43</v>
      </c>
      <c r="N611" s="17"/>
      <c r="O611" s="17"/>
      <c r="P611" s="14" t="s">
        <v>119</v>
      </c>
      <c r="Q611" s="14"/>
      <c r="R611" s="13">
        <f>HYPERLINK("https://app.hubspot.com/contacts/8748051/record/0-2/9913542440", 9913542440)</f>
        <v>9913542440</v>
      </c>
      <c r="S611" s="14" t="s">
        <v>1118</v>
      </c>
      <c r="T611" s="18" t="s">
        <v>1119</v>
      </c>
      <c r="U611" s="14" t="s">
        <v>46</v>
      </c>
      <c r="V611" s="22"/>
      <c r="W611" s="19">
        <v>360.0</v>
      </c>
      <c r="X611" s="19">
        <v>42.0</v>
      </c>
      <c r="Y611" s="20" t="s">
        <v>104</v>
      </c>
      <c r="Z611" s="21"/>
      <c r="AA611" s="21"/>
      <c r="AB611" s="21"/>
      <c r="AC611" s="21"/>
      <c r="AD611" s="21"/>
      <c r="AE611" s="21"/>
      <c r="AF611" s="17" t="str">
        <f t="shared" si="1"/>
        <v>New Logo</v>
      </c>
      <c r="AG611" s="17" t="str">
        <f t="shared" si="2"/>
        <v>Lead</v>
      </c>
      <c r="AH611" s="17" t="str">
        <f t="shared" si="3"/>
        <v>201-500</v>
      </c>
      <c r="AI611" s="17" t="str">
        <f t="shared" si="4"/>
        <v>21-50</v>
      </c>
    </row>
    <row r="612" ht="15.75" customHeight="1">
      <c r="A612" s="13">
        <f>HYPERLINK("https://app.hubspot.com/contacts/8748051/record/0-3/18033529351", 18033529351)</f>
        <v>18033529351</v>
      </c>
      <c r="B612" s="14" t="s">
        <v>2079</v>
      </c>
      <c r="C612" s="14" t="s">
        <v>1008</v>
      </c>
      <c r="D612" s="15">
        <v>24000.0</v>
      </c>
      <c r="E612" s="14" t="s">
        <v>118</v>
      </c>
      <c r="F612" s="14"/>
      <c r="G612" s="16">
        <v>45365.49795138889</v>
      </c>
      <c r="H612" s="16">
        <v>45549.49753472222</v>
      </c>
      <c r="I612" s="14" t="s">
        <v>39</v>
      </c>
      <c r="J612" s="14" t="s">
        <v>40</v>
      </c>
      <c r="K612" s="14" t="s">
        <v>1186</v>
      </c>
      <c r="L612" s="14" t="s">
        <v>175</v>
      </c>
      <c r="M612" s="14" t="s">
        <v>72</v>
      </c>
      <c r="N612" s="17"/>
      <c r="O612" s="14"/>
      <c r="P612" s="14" t="s">
        <v>119</v>
      </c>
      <c r="Q612" s="14"/>
      <c r="R612" s="13">
        <f>HYPERLINK("https://app.hubspot.com/contacts/8748051/record/0-2/9186976566", 9186976566)</f>
        <v>9186976566</v>
      </c>
      <c r="S612" s="14" t="s">
        <v>2080</v>
      </c>
      <c r="T612" s="18" t="s">
        <v>2081</v>
      </c>
      <c r="U612" s="14" t="s">
        <v>46</v>
      </c>
      <c r="V612" s="22"/>
      <c r="W612" s="19">
        <v>359.0</v>
      </c>
      <c r="X612" s="19">
        <v>60.0</v>
      </c>
      <c r="Y612" s="20"/>
      <c r="Z612" s="21"/>
      <c r="AA612" s="21"/>
      <c r="AB612" s="21"/>
      <c r="AC612" s="21"/>
      <c r="AD612" s="21"/>
      <c r="AE612" s="21"/>
      <c r="AF612" s="17" t="str">
        <f t="shared" si="1"/>
        <v>New Logo</v>
      </c>
      <c r="AG612" s="17" t="str">
        <f t="shared" si="2"/>
        <v>Lead</v>
      </c>
      <c r="AH612" s="17" t="str">
        <f t="shared" si="3"/>
        <v>201-500</v>
      </c>
      <c r="AI612" s="17" t="str">
        <f t="shared" si="4"/>
        <v>51-100</v>
      </c>
    </row>
    <row r="613" ht="15.75" customHeight="1">
      <c r="A613" s="13">
        <f>HYPERLINK("https://app.hubspot.com/contacts/8748051/record/0-3/18033529128", 18033529128)</f>
        <v>18033529128</v>
      </c>
      <c r="B613" s="14" t="s">
        <v>2082</v>
      </c>
      <c r="C613" s="14" t="s">
        <v>1008</v>
      </c>
      <c r="D613" s="15">
        <v>12960.0</v>
      </c>
      <c r="E613" s="14" t="s">
        <v>118</v>
      </c>
      <c r="F613" s="17"/>
      <c r="G613" s="16">
        <v>45365.49721064815</v>
      </c>
      <c r="H613" s="16">
        <v>45549.49489583333</v>
      </c>
      <c r="I613" s="14" t="s">
        <v>39</v>
      </c>
      <c r="J613" s="14" t="s">
        <v>40</v>
      </c>
      <c r="K613" s="14" t="s">
        <v>558</v>
      </c>
      <c r="L613" s="14" t="s">
        <v>559</v>
      </c>
      <c r="M613" s="14"/>
      <c r="N613" s="17"/>
      <c r="O613" s="17"/>
      <c r="P613" s="14" t="s">
        <v>232</v>
      </c>
      <c r="Q613" s="17"/>
      <c r="R613" s="13">
        <f>HYPERLINK("https://app.hubspot.com/contacts/8748051/record/0-2/8950349389", 8950349389)</f>
        <v>8950349389</v>
      </c>
      <c r="S613" s="14" t="s">
        <v>2083</v>
      </c>
      <c r="T613" s="18" t="s">
        <v>2084</v>
      </c>
      <c r="U613" s="14" t="s">
        <v>46</v>
      </c>
      <c r="V613" s="22"/>
      <c r="W613" s="19">
        <v>315.0</v>
      </c>
      <c r="X613" s="19">
        <v>84.0</v>
      </c>
      <c r="Y613" s="20" t="s">
        <v>104</v>
      </c>
      <c r="Z613" s="21"/>
      <c r="AA613" s="21"/>
      <c r="AB613" s="21"/>
      <c r="AC613" s="21"/>
      <c r="AD613" s="21"/>
      <c r="AE613" s="21"/>
      <c r="AF613" s="17" t="str">
        <f t="shared" si="1"/>
        <v>New Logo</v>
      </c>
      <c r="AG613" s="17" t="str">
        <f t="shared" si="2"/>
        <v>Lead</v>
      </c>
      <c r="AH613" s="17" t="str">
        <f t="shared" si="3"/>
        <v>201-500</v>
      </c>
      <c r="AI613" s="17" t="str">
        <f t="shared" si="4"/>
        <v>51-100</v>
      </c>
    </row>
    <row r="614" ht="15.75" customHeight="1">
      <c r="A614" s="13">
        <f>HYPERLINK("https://app.hubspot.com/contacts/8748051/record/0-3/18023483559", 18023483559)</f>
        <v>18023483559</v>
      </c>
      <c r="B614" s="14" t="s">
        <v>2085</v>
      </c>
      <c r="C614" s="14" t="s">
        <v>1008</v>
      </c>
      <c r="D614" s="15">
        <v>19200.0</v>
      </c>
      <c r="E614" s="14" t="s">
        <v>118</v>
      </c>
      <c r="F614" s="14"/>
      <c r="G614" s="16">
        <v>45365.03989583333</v>
      </c>
      <c r="H614" s="16">
        <v>45549.03940972222</v>
      </c>
      <c r="I614" s="14" t="s">
        <v>39</v>
      </c>
      <c r="J614" s="14" t="s">
        <v>40</v>
      </c>
      <c r="K614" s="14" t="s">
        <v>59</v>
      </c>
      <c r="L614" s="14" t="s">
        <v>175</v>
      </c>
      <c r="M614" s="14" t="s">
        <v>72</v>
      </c>
      <c r="N614" s="17"/>
      <c r="O614" s="17"/>
      <c r="P614" s="14" t="s">
        <v>119</v>
      </c>
      <c r="Q614" s="14"/>
      <c r="R614" s="13">
        <f>HYPERLINK("https://app.hubspot.com/contacts/8748051/record/0-2/9132299348", 9132299348)</f>
        <v>9132299348</v>
      </c>
      <c r="S614" s="14" t="s">
        <v>2086</v>
      </c>
      <c r="T614" s="18" t="s">
        <v>2087</v>
      </c>
      <c r="U614" s="14" t="s">
        <v>46</v>
      </c>
      <c r="V614" s="22"/>
      <c r="W614" s="19">
        <v>460.0</v>
      </c>
      <c r="X614" s="19">
        <v>105.0</v>
      </c>
      <c r="Y614" s="20" t="s">
        <v>104</v>
      </c>
      <c r="Z614" s="21"/>
      <c r="AA614" s="21"/>
      <c r="AB614" s="21"/>
      <c r="AC614" s="21"/>
      <c r="AD614" s="21"/>
      <c r="AE614" s="21"/>
      <c r="AF614" s="17" t="str">
        <f t="shared" si="1"/>
        <v>New Logo</v>
      </c>
      <c r="AG614" s="17" t="str">
        <f t="shared" si="2"/>
        <v>Lead</v>
      </c>
      <c r="AH614" s="17" t="str">
        <f t="shared" si="3"/>
        <v>201-500</v>
      </c>
      <c r="AI614" s="17" t="str">
        <f t="shared" si="4"/>
        <v>101-500</v>
      </c>
    </row>
    <row r="615" ht="15.75" customHeight="1">
      <c r="A615" s="13">
        <f>HYPERLINK("https://app.hubspot.com/contacts/8748051/record/0-3/18023307441", 18023307441)</f>
        <v>18023307441</v>
      </c>
      <c r="B615" s="14" t="s">
        <v>2088</v>
      </c>
      <c r="C615" s="14" t="s">
        <v>1008</v>
      </c>
      <c r="D615" s="15">
        <v>10320.0</v>
      </c>
      <c r="E615" s="14" t="s">
        <v>118</v>
      </c>
      <c r="F615" s="14"/>
      <c r="G615" s="16">
        <v>45365.034525462965</v>
      </c>
      <c r="H615" s="16">
        <v>45549.03395833333</v>
      </c>
      <c r="I615" s="14" t="s">
        <v>39</v>
      </c>
      <c r="J615" s="14" t="s">
        <v>40</v>
      </c>
      <c r="K615" s="14" t="s">
        <v>558</v>
      </c>
      <c r="L615" s="14" t="s">
        <v>559</v>
      </c>
      <c r="M615" s="14" t="s">
        <v>98</v>
      </c>
      <c r="N615" s="17"/>
      <c r="O615" s="17"/>
      <c r="P615" s="14" t="s">
        <v>260</v>
      </c>
      <c r="Q615" s="14"/>
      <c r="R615" s="13">
        <f>HYPERLINK("https://app.hubspot.com/contacts/8748051/record/0-2/19176594784", 19176594784)</f>
        <v>19176594784</v>
      </c>
      <c r="S615" s="14" t="s">
        <v>2089</v>
      </c>
      <c r="T615" s="18" t="s">
        <v>2090</v>
      </c>
      <c r="U615" s="14" t="s">
        <v>46</v>
      </c>
      <c r="V615" s="22"/>
      <c r="W615" s="19">
        <v>1678.0</v>
      </c>
      <c r="X615" s="19">
        <v>132.0</v>
      </c>
      <c r="Y615" s="20"/>
      <c r="Z615" s="21"/>
      <c r="AA615" s="21"/>
      <c r="AB615" s="21"/>
      <c r="AC615" s="21"/>
      <c r="AD615" s="21"/>
      <c r="AE615" s="21"/>
      <c r="AF615" s="17" t="str">
        <f t="shared" si="1"/>
        <v>New Logo</v>
      </c>
      <c r="AG615" s="17" t="str">
        <f t="shared" si="2"/>
        <v>Lead</v>
      </c>
      <c r="AH615" s="17" t="str">
        <f t="shared" si="3"/>
        <v>1001-5000</v>
      </c>
      <c r="AI615" s="17" t="str">
        <f t="shared" si="4"/>
        <v>101-500</v>
      </c>
    </row>
    <row r="616" ht="15.75" customHeight="1">
      <c r="A616" s="13">
        <f>HYPERLINK("https://app.hubspot.com/contacts/8748051/record/0-3/18016475409", 18016475409)</f>
        <v>18016475409</v>
      </c>
      <c r="B616" s="14" t="s">
        <v>2091</v>
      </c>
      <c r="C616" s="14" t="s">
        <v>49</v>
      </c>
      <c r="D616" s="15">
        <v>17500.0</v>
      </c>
      <c r="E616" s="14" t="s">
        <v>118</v>
      </c>
      <c r="F616" s="14"/>
      <c r="G616" s="16">
        <v>45364.55810185185</v>
      </c>
      <c r="H616" s="16">
        <v>45473.493680555555</v>
      </c>
      <c r="I616" s="14" t="s">
        <v>39</v>
      </c>
      <c r="J616" s="14" t="s">
        <v>40</v>
      </c>
      <c r="K616" s="14" t="s">
        <v>59</v>
      </c>
      <c r="L616" s="14" t="s">
        <v>175</v>
      </c>
      <c r="M616" s="14" t="s">
        <v>43</v>
      </c>
      <c r="N616" s="17"/>
      <c r="O616" s="17"/>
      <c r="P616" s="14" t="s">
        <v>211</v>
      </c>
      <c r="Q616" s="17"/>
      <c r="R616" s="13">
        <f>HYPERLINK("https://app.hubspot.com/contacts/8748051/record/0-2/17746945174", 17746945174)</f>
        <v>17746945174</v>
      </c>
      <c r="S616" s="14" t="s">
        <v>2092</v>
      </c>
      <c r="T616" s="18" t="s">
        <v>2093</v>
      </c>
      <c r="U616" s="14" t="s">
        <v>46</v>
      </c>
      <c r="V616" s="22"/>
      <c r="W616" s="19">
        <v>153.0</v>
      </c>
      <c r="X616" s="19">
        <v>34.0</v>
      </c>
      <c r="Y616" s="20"/>
      <c r="Z616" s="21"/>
      <c r="AA616" s="21"/>
      <c r="AB616" s="21"/>
      <c r="AC616" s="21"/>
      <c r="AD616" s="21"/>
      <c r="AE616" s="21"/>
      <c r="AF616" s="17" t="str">
        <f t="shared" si="1"/>
        <v>New Logo</v>
      </c>
      <c r="AG616" s="17" t="str">
        <f t="shared" si="2"/>
        <v>Lead</v>
      </c>
      <c r="AH616" s="17" t="str">
        <f t="shared" si="3"/>
        <v>0-200</v>
      </c>
      <c r="AI616" s="17" t="str">
        <f t="shared" si="4"/>
        <v>21-50</v>
      </c>
    </row>
    <row r="617" ht="15.75" customHeight="1">
      <c r="A617" s="13">
        <f>HYPERLINK("https://app.hubspot.com/contacts/8748051/record/0-3/18015066786", 18015066786)</f>
        <v>18015066786</v>
      </c>
      <c r="B617" s="14" t="s">
        <v>2094</v>
      </c>
      <c r="C617" s="14" t="s">
        <v>1008</v>
      </c>
      <c r="D617" s="15">
        <v>70560.0</v>
      </c>
      <c r="E617" s="14" t="s">
        <v>118</v>
      </c>
      <c r="F617" s="14"/>
      <c r="G617" s="16">
        <v>45364.494305555556</v>
      </c>
      <c r="H617" s="16">
        <v>45548.493842592594</v>
      </c>
      <c r="I617" s="14" t="s">
        <v>39</v>
      </c>
      <c r="J617" s="14" t="s">
        <v>40</v>
      </c>
      <c r="K617" s="14" t="s">
        <v>1186</v>
      </c>
      <c r="L617" s="14" t="s">
        <v>175</v>
      </c>
      <c r="M617" s="14" t="s">
        <v>72</v>
      </c>
      <c r="N617" s="17"/>
      <c r="O617" s="17"/>
      <c r="P617" s="14" t="s">
        <v>119</v>
      </c>
      <c r="Q617" s="14"/>
      <c r="R617" s="13">
        <f>HYPERLINK("https://app.hubspot.com/contacts/8748051/record/0-2/8975905460", 8975905460)</f>
        <v>8975905460</v>
      </c>
      <c r="S617" s="14" t="s">
        <v>2095</v>
      </c>
      <c r="T617" s="18" t="s">
        <v>2096</v>
      </c>
      <c r="U617" s="14" t="s">
        <v>46</v>
      </c>
      <c r="V617" s="22"/>
      <c r="W617" s="19">
        <v>921.0</v>
      </c>
      <c r="X617" s="19">
        <v>231.0</v>
      </c>
      <c r="Y617" s="20" t="s">
        <v>55</v>
      </c>
      <c r="Z617" s="21"/>
      <c r="AA617" s="21"/>
      <c r="AB617" s="21"/>
      <c r="AC617" s="21"/>
      <c r="AD617" s="21"/>
      <c r="AE617" s="21"/>
      <c r="AF617" s="17" t="str">
        <f t="shared" si="1"/>
        <v>New Logo</v>
      </c>
      <c r="AG617" s="17" t="str">
        <f t="shared" si="2"/>
        <v>Lead</v>
      </c>
      <c r="AH617" s="17" t="str">
        <f t="shared" si="3"/>
        <v>501-1000</v>
      </c>
      <c r="AI617" s="17" t="str">
        <f t="shared" si="4"/>
        <v>101-500</v>
      </c>
    </row>
    <row r="618" ht="15.75" customHeight="1">
      <c r="A618" s="13">
        <f>HYPERLINK("https://app.hubspot.com/contacts/8748051/record/0-3/18014606995", 18014606995)</f>
        <v>18014606995</v>
      </c>
      <c r="B618" s="14" t="s">
        <v>2097</v>
      </c>
      <c r="C618" s="14" t="s">
        <v>1008</v>
      </c>
      <c r="D618" s="15">
        <v>1200.0</v>
      </c>
      <c r="E618" s="14" t="s">
        <v>118</v>
      </c>
      <c r="F618" s="17"/>
      <c r="G618" s="16">
        <v>45364.45863425926</v>
      </c>
      <c r="H618" s="16">
        <v>45548.458090277774</v>
      </c>
      <c r="I618" s="14" t="s">
        <v>39</v>
      </c>
      <c r="J618" s="14" t="s">
        <v>40</v>
      </c>
      <c r="K618" s="14" t="s">
        <v>558</v>
      </c>
      <c r="L618" s="14" t="s">
        <v>559</v>
      </c>
      <c r="M618" s="14" t="s">
        <v>72</v>
      </c>
      <c r="N618" s="17"/>
      <c r="O618" s="17"/>
      <c r="P618" s="14" t="s">
        <v>260</v>
      </c>
      <c r="Q618" s="17"/>
      <c r="R618" s="13">
        <f>HYPERLINK("https://app.hubspot.com/contacts/8748051/record/0-2/19176558462", 19176558462)</f>
        <v>19176558462</v>
      </c>
      <c r="S618" s="14" t="s">
        <v>2098</v>
      </c>
      <c r="T618" s="18" t="s">
        <v>2099</v>
      </c>
      <c r="U618" s="14" t="s">
        <v>46</v>
      </c>
      <c r="V618" s="22"/>
      <c r="W618" s="19">
        <v>76.0</v>
      </c>
      <c r="X618" s="19">
        <v>3.0</v>
      </c>
      <c r="Y618" s="20"/>
      <c r="Z618" s="21"/>
      <c r="AA618" s="21"/>
      <c r="AB618" s="21"/>
      <c r="AC618" s="21"/>
      <c r="AD618" s="21"/>
      <c r="AE618" s="21"/>
      <c r="AF618" s="17" t="str">
        <f t="shared" si="1"/>
        <v>New Logo</v>
      </c>
      <c r="AG618" s="17" t="str">
        <f t="shared" si="2"/>
        <v>Lead</v>
      </c>
      <c r="AH618" s="17" t="str">
        <f t="shared" si="3"/>
        <v>0-200</v>
      </c>
      <c r="AI618" s="17" t="str">
        <f t="shared" si="4"/>
        <v>0-20</v>
      </c>
    </row>
    <row r="619" ht="15.75" customHeight="1">
      <c r="A619" s="13">
        <f>HYPERLINK("https://app.hubspot.com/contacts/8748051/record/0-3/18013265161", 18013265161)</f>
        <v>18013265161</v>
      </c>
      <c r="B619" s="14" t="s">
        <v>2100</v>
      </c>
      <c r="C619" s="14" t="s">
        <v>49</v>
      </c>
      <c r="D619" s="15">
        <v>19680.0</v>
      </c>
      <c r="E619" s="14" t="s">
        <v>118</v>
      </c>
      <c r="F619" s="14"/>
      <c r="G619" s="16">
        <v>45364.348761574074</v>
      </c>
      <c r="H619" s="16">
        <v>45548.347974537035</v>
      </c>
      <c r="I619" s="14" t="s">
        <v>39</v>
      </c>
      <c r="J619" s="14" t="s">
        <v>40</v>
      </c>
      <c r="K619" s="14" t="s">
        <v>1186</v>
      </c>
      <c r="L619" s="14" t="s">
        <v>175</v>
      </c>
      <c r="M619" s="14" t="s">
        <v>43</v>
      </c>
      <c r="N619" s="17"/>
      <c r="O619" s="17"/>
      <c r="P619" s="14" t="s">
        <v>211</v>
      </c>
      <c r="Q619" s="14"/>
      <c r="R619" s="13">
        <f>HYPERLINK("https://app.hubspot.com/contacts/8748051/record/0-2/6816397496", 6816397496)</f>
        <v>6816397496</v>
      </c>
      <c r="S619" s="14" t="s">
        <v>2101</v>
      </c>
      <c r="T619" s="18" t="s">
        <v>2102</v>
      </c>
      <c r="U619" s="14" t="s">
        <v>46</v>
      </c>
      <c r="V619" s="22"/>
      <c r="W619" s="19">
        <v>193.0</v>
      </c>
      <c r="X619" s="19">
        <v>70.0</v>
      </c>
      <c r="Y619" s="20"/>
      <c r="Z619" s="21"/>
      <c r="AA619" s="21"/>
      <c r="AB619" s="21"/>
      <c r="AC619" s="21"/>
      <c r="AD619" s="21"/>
      <c r="AE619" s="21"/>
      <c r="AF619" s="17" t="str">
        <f t="shared" si="1"/>
        <v>New Logo</v>
      </c>
      <c r="AG619" s="17" t="str">
        <f t="shared" si="2"/>
        <v>Lead</v>
      </c>
      <c r="AH619" s="17" t="str">
        <f t="shared" si="3"/>
        <v>0-200</v>
      </c>
      <c r="AI619" s="17" t="str">
        <f t="shared" si="4"/>
        <v>51-100</v>
      </c>
    </row>
    <row r="620" ht="15.75" customHeight="1">
      <c r="A620" s="13">
        <f>HYPERLINK("https://app.hubspot.com/contacts/8748051/record/0-3/18013264969", 18013264969)</f>
        <v>18013264969</v>
      </c>
      <c r="B620" s="14" t="s">
        <v>2103</v>
      </c>
      <c r="C620" s="14" t="s">
        <v>145</v>
      </c>
      <c r="D620" s="15">
        <v>3840.0</v>
      </c>
      <c r="E620" s="14" t="s">
        <v>118</v>
      </c>
      <c r="F620" s="14"/>
      <c r="G620" s="16">
        <v>45364.34778935185</v>
      </c>
      <c r="H620" s="16">
        <v>45548.346400462964</v>
      </c>
      <c r="I620" s="14" t="s">
        <v>39</v>
      </c>
      <c r="J620" s="14" t="s">
        <v>40</v>
      </c>
      <c r="K620" s="14" t="s">
        <v>558</v>
      </c>
      <c r="L620" s="14" t="s">
        <v>559</v>
      </c>
      <c r="M620" s="14" t="s">
        <v>43</v>
      </c>
      <c r="N620" s="17"/>
      <c r="O620" s="17"/>
      <c r="P620" s="14" t="s">
        <v>119</v>
      </c>
      <c r="Q620" s="14"/>
      <c r="R620" s="13">
        <f>HYPERLINK("https://app.hubspot.com/contacts/8748051/record/0-2/19176228613", 19176228613)</f>
        <v>19176228613</v>
      </c>
      <c r="S620" s="14" t="s">
        <v>2104</v>
      </c>
      <c r="T620" s="18" t="s">
        <v>2105</v>
      </c>
      <c r="U620" s="14" t="s">
        <v>46</v>
      </c>
      <c r="V620" s="15"/>
      <c r="W620" s="19">
        <v>96.0</v>
      </c>
      <c r="X620" s="19">
        <v>10.0</v>
      </c>
      <c r="Y620" s="20"/>
      <c r="Z620" s="20"/>
      <c r="AA620" s="21"/>
      <c r="AB620" s="21"/>
      <c r="AC620" s="20"/>
      <c r="AD620" s="21"/>
      <c r="AE620" s="20"/>
      <c r="AF620" s="17" t="str">
        <f t="shared" si="1"/>
        <v>New Logo</v>
      </c>
      <c r="AG620" s="17" t="str">
        <f t="shared" si="2"/>
        <v>Lead</v>
      </c>
      <c r="AH620" s="17" t="str">
        <f t="shared" si="3"/>
        <v>0-200</v>
      </c>
      <c r="AI620" s="17" t="str">
        <f t="shared" si="4"/>
        <v>0-20</v>
      </c>
    </row>
    <row r="621" ht="15.75" customHeight="1">
      <c r="A621" s="13">
        <f>HYPERLINK("https://app.hubspot.com/contacts/8748051/record/0-3/18013065228", 18013065228)</f>
        <v>18013065228</v>
      </c>
      <c r="B621" s="14" t="s">
        <v>748</v>
      </c>
      <c r="C621" s="14" t="s">
        <v>1008</v>
      </c>
      <c r="D621" s="15">
        <v>18000.0</v>
      </c>
      <c r="E621" s="14" t="s">
        <v>124</v>
      </c>
      <c r="F621" s="14" t="s">
        <v>51</v>
      </c>
      <c r="G621" s="16">
        <v>45364.324467592596</v>
      </c>
      <c r="H621" s="16">
        <v>45596.29746527778</v>
      </c>
      <c r="I621" s="14" t="s">
        <v>39</v>
      </c>
      <c r="J621" s="14" t="s">
        <v>40</v>
      </c>
      <c r="K621" s="14" t="s">
        <v>41</v>
      </c>
      <c r="L621" s="14" t="s">
        <v>42</v>
      </c>
      <c r="M621" s="14" t="s">
        <v>98</v>
      </c>
      <c r="N621" s="17"/>
      <c r="O621" s="17"/>
      <c r="P621" s="14"/>
      <c r="Q621" s="14" t="s">
        <v>502</v>
      </c>
      <c r="R621" s="13">
        <f>HYPERLINK("https://app.hubspot.com/contacts/8748051/record/0-2/9238305910", 9238305910)</f>
        <v>9238305910</v>
      </c>
      <c r="S621" s="14" t="s">
        <v>749</v>
      </c>
      <c r="T621" s="18" t="s">
        <v>750</v>
      </c>
      <c r="U621" s="14" t="s">
        <v>46</v>
      </c>
      <c r="V621" s="22"/>
      <c r="W621" s="19">
        <v>544.0</v>
      </c>
      <c r="X621" s="19">
        <v>43.0</v>
      </c>
      <c r="Y621" s="20"/>
      <c r="Z621" s="21"/>
      <c r="AA621" s="21"/>
      <c r="AB621" s="21"/>
      <c r="AC621" s="21"/>
      <c r="AD621" s="21"/>
      <c r="AE621" s="21"/>
      <c r="AF621" s="17" t="str">
        <f t="shared" si="1"/>
        <v>New Logo</v>
      </c>
      <c r="AG621" s="17" t="str">
        <f t="shared" si="2"/>
        <v>Lead</v>
      </c>
      <c r="AH621" s="17" t="str">
        <f t="shared" si="3"/>
        <v>501-1000</v>
      </c>
      <c r="AI621" s="17" t="str">
        <f t="shared" si="4"/>
        <v>21-50</v>
      </c>
    </row>
    <row r="622" ht="15.75" customHeight="1">
      <c r="A622" s="13">
        <f>HYPERLINK("https://app.hubspot.com/contacts/8748051/record/0-3/18009921624", 18009921624)</f>
        <v>18009921624</v>
      </c>
      <c r="B622" s="14" t="s">
        <v>2106</v>
      </c>
      <c r="C622" s="14" t="s">
        <v>1008</v>
      </c>
      <c r="D622" s="15">
        <v>100000.0</v>
      </c>
      <c r="E622" s="14" t="s">
        <v>118</v>
      </c>
      <c r="F622" s="14"/>
      <c r="G622" s="16">
        <v>45364.16840277778</v>
      </c>
      <c r="H622" s="16">
        <v>45548.16746527778</v>
      </c>
      <c r="I622" s="14" t="s">
        <v>39</v>
      </c>
      <c r="J622" s="14" t="s">
        <v>40</v>
      </c>
      <c r="K622" s="14" t="s">
        <v>59</v>
      </c>
      <c r="L622" s="14" t="s">
        <v>175</v>
      </c>
      <c r="M622" s="14" t="s">
        <v>72</v>
      </c>
      <c r="N622" s="17"/>
      <c r="O622" s="14"/>
      <c r="P622" s="14" t="s">
        <v>211</v>
      </c>
      <c r="Q622" s="14"/>
      <c r="R622" s="13">
        <f>HYPERLINK("https://app.hubspot.com/contacts/8748051/record/0-2/9238358136", 9238358136)</f>
        <v>9238358136</v>
      </c>
      <c r="S622" s="14" t="s">
        <v>2107</v>
      </c>
      <c r="T622" s="18" t="s">
        <v>2108</v>
      </c>
      <c r="U622" s="14" t="s">
        <v>46</v>
      </c>
      <c r="V622" s="15"/>
      <c r="W622" s="19">
        <v>3981.0</v>
      </c>
      <c r="X622" s="19">
        <v>912.0</v>
      </c>
      <c r="Y622" s="20" t="s">
        <v>2109</v>
      </c>
      <c r="Z622" s="20"/>
      <c r="AA622" s="21"/>
      <c r="AB622" s="21"/>
      <c r="AC622" s="20"/>
      <c r="AD622" s="21"/>
      <c r="AE622" s="20"/>
      <c r="AF622" s="17" t="str">
        <f t="shared" si="1"/>
        <v>New Logo</v>
      </c>
      <c r="AG622" s="17" t="str">
        <f t="shared" si="2"/>
        <v>Lead</v>
      </c>
      <c r="AH622" s="17" t="str">
        <f t="shared" si="3"/>
        <v>1001-5000</v>
      </c>
      <c r="AI622" s="17" t="str">
        <f t="shared" si="4"/>
        <v>500+</v>
      </c>
    </row>
    <row r="623" ht="15.75" customHeight="1">
      <c r="A623" s="13">
        <f>HYPERLINK("https://app.hubspot.com/contacts/8748051/record/0-3/18000221535", 18000221535)</f>
        <v>18000221535</v>
      </c>
      <c r="B623" s="14" t="s">
        <v>2110</v>
      </c>
      <c r="C623" s="14" t="s">
        <v>1008</v>
      </c>
      <c r="D623" s="15">
        <v>21600.0</v>
      </c>
      <c r="E623" s="14" t="s">
        <v>118</v>
      </c>
      <c r="F623" s="14"/>
      <c r="G623" s="16">
        <v>45363.51631944445</v>
      </c>
      <c r="H623" s="16">
        <v>45547.5156712963</v>
      </c>
      <c r="I623" s="14" t="s">
        <v>39</v>
      </c>
      <c r="J623" s="14" t="s">
        <v>40</v>
      </c>
      <c r="K623" s="14" t="s">
        <v>1186</v>
      </c>
      <c r="L623" s="14" t="s">
        <v>175</v>
      </c>
      <c r="M623" s="14" t="s">
        <v>43</v>
      </c>
      <c r="N623" s="17"/>
      <c r="O623" s="17"/>
      <c r="P623" s="14" t="s">
        <v>119</v>
      </c>
      <c r="Q623" s="14"/>
      <c r="R623" s="13">
        <f>HYPERLINK("https://app.hubspot.com/contacts/8748051/record/0-2/10198128784", 10198128784)</f>
        <v>10198128784</v>
      </c>
      <c r="S623" s="14" t="s">
        <v>2111</v>
      </c>
      <c r="T623" s="18" t="s">
        <v>2112</v>
      </c>
      <c r="U623" s="14" t="s">
        <v>46</v>
      </c>
      <c r="V623" s="22"/>
      <c r="W623" s="19">
        <v>527.0</v>
      </c>
      <c r="X623" s="19">
        <v>101.0</v>
      </c>
      <c r="Y623" s="20" t="s">
        <v>70</v>
      </c>
      <c r="Z623" s="21"/>
      <c r="AA623" s="21"/>
      <c r="AB623" s="21"/>
      <c r="AC623" s="21"/>
      <c r="AD623" s="21"/>
      <c r="AE623" s="21"/>
      <c r="AF623" s="17" t="str">
        <f t="shared" si="1"/>
        <v>New Logo</v>
      </c>
      <c r="AG623" s="17" t="str">
        <f t="shared" si="2"/>
        <v>Lead</v>
      </c>
      <c r="AH623" s="17" t="str">
        <f t="shared" si="3"/>
        <v>501-1000</v>
      </c>
      <c r="AI623" s="17" t="str">
        <f t="shared" si="4"/>
        <v>101-500</v>
      </c>
    </row>
    <row r="624" ht="15.75" customHeight="1">
      <c r="A624" s="13">
        <f>HYPERLINK("https://app.hubspot.com/contacts/8748051/record/0-3/17983737638", 17983737638)</f>
        <v>17983737638</v>
      </c>
      <c r="B624" s="14" t="s">
        <v>2113</v>
      </c>
      <c r="C624" s="14" t="s">
        <v>49</v>
      </c>
      <c r="D624" s="15">
        <v>10000.0</v>
      </c>
      <c r="E624" s="14" t="s">
        <v>124</v>
      </c>
      <c r="F624" s="14" t="s">
        <v>51</v>
      </c>
      <c r="G624" s="16">
        <v>45362.73394675926</v>
      </c>
      <c r="H624" s="16">
        <v>45546.73315972222</v>
      </c>
      <c r="I624" s="14" t="s">
        <v>39</v>
      </c>
      <c r="J624" s="14" t="s">
        <v>40</v>
      </c>
      <c r="K624" s="14" t="s">
        <v>1186</v>
      </c>
      <c r="L624" s="14" t="s">
        <v>175</v>
      </c>
      <c r="M624" s="14" t="s">
        <v>43</v>
      </c>
      <c r="N624" s="17"/>
      <c r="O624" s="17"/>
      <c r="P624" s="14"/>
      <c r="Q624" s="14" t="s">
        <v>2114</v>
      </c>
      <c r="R624" s="13">
        <f>HYPERLINK("https://app.hubspot.com/contacts/8748051/record/0-2/17520934068", 17520934068)</f>
        <v>17520934068</v>
      </c>
      <c r="S624" s="14" t="s">
        <v>2115</v>
      </c>
      <c r="T624" s="18" t="s">
        <v>2116</v>
      </c>
      <c r="U624" s="14" t="s">
        <v>46</v>
      </c>
      <c r="V624" s="22"/>
      <c r="W624" s="19">
        <v>569.0</v>
      </c>
      <c r="X624" s="19">
        <v>81.0</v>
      </c>
      <c r="Y624" s="20"/>
      <c r="Z624" s="21"/>
      <c r="AA624" s="21"/>
      <c r="AB624" s="21"/>
      <c r="AC624" s="21"/>
      <c r="AD624" s="21"/>
      <c r="AE624" s="21"/>
      <c r="AF624" s="17" t="str">
        <f t="shared" si="1"/>
        <v>New Logo</v>
      </c>
      <c r="AG624" s="17" t="str">
        <f t="shared" si="2"/>
        <v>Lead</v>
      </c>
      <c r="AH624" s="17" t="str">
        <f t="shared" si="3"/>
        <v>501-1000</v>
      </c>
      <c r="AI624" s="17" t="str">
        <f t="shared" si="4"/>
        <v>51-100</v>
      </c>
    </row>
    <row r="625" ht="15.75" customHeight="1">
      <c r="A625" s="13">
        <f>HYPERLINK("https://app.hubspot.com/contacts/8748051/record/0-3/17979318788", 17979318788)</f>
        <v>17979318788</v>
      </c>
      <c r="B625" s="14" t="s">
        <v>2117</v>
      </c>
      <c r="C625" s="14" t="s">
        <v>49</v>
      </c>
      <c r="D625" s="15">
        <v>7680.0</v>
      </c>
      <c r="E625" s="14" t="s">
        <v>118</v>
      </c>
      <c r="F625" s="14"/>
      <c r="G625" s="16">
        <v>45362.566712962966</v>
      </c>
      <c r="H625" s="16">
        <v>45546.565474537034</v>
      </c>
      <c r="I625" s="14" t="s">
        <v>39</v>
      </c>
      <c r="J625" s="14" t="s">
        <v>40</v>
      </c>
      <c r="K625" s="14" t="s">
        <v>41</v>
      </c>
      <c r="L625" s="14" t="s">
        <v>42</v>
      </c>
      <c r="M625" s="14" t="s">
        <v>43</v>
      </c>
      <c r="N625" s="17"/>
      <c r="O625" s="17"/>
      <c r="P625" s="14" t="s">
        <v>119</v>
      </c>
      <c r="Q625" s="14"/>
      <c r="R625" s="13">
        <f>HYPERLINK("https://app.hubspot.com/contacts/8748051/record/0-2/16375809954", 16375809954)</f>
        <v>16375809954</v>
      </c>
      <c r="S625" s="14" t="s">
        <v>2118</v>
      </c>
      <c r="T625" s="18" t="s">
        <v>2119</v>
      </c>
      <c r="U625" s="14" t="s">
        <v>46</v>
      </c>
      <c r="V625" s="22"/>
      <c r="W625" s="19">
        <v>373.0</v>
      </c>
      <c r="X625" s="19">
        <v>41.0</v>
      </c>
      <c r="Y625" s="20"/>
      <c r="Z625" s="21"/>
      <c r="AA625" s="21"/>
      <c r="AB625" s="21"/>
      <c r="AC625" s="21"/>
      <c r="AD625" s="21"/>
      <c r="AE625" s="21"/>
      <c r="AF625" s="17" t="str">
        <f t="shared" si="1"/>
        <v>New Logo</v>
      </c>
      <c r="AG625" s="17" t="str">
        <f t="shared" si="2"/>
        <v>Lead</v>
      </c>
      <c r="AH625" s="17" t="str">
        <f t="shared" si="3"/>
        <v>201-500</v>
      </c>
      <c r="AI625" s="17" t="str">
        <f t="shared" si="4"/>
        <v>21-50</v>
      </c>
    </row>
    <row r="626" ht="15.75" customHeight="1">
      <c r="A626" s="13">
        <f>HYPERLINK("https://app.hubspot.com/contacts/8748051/record/0-3/17980040818", 17980040818)</f>
        <v>17980040818</v>
      </c>
      <c r="B626" s="14" t="s">
        <v>2120</v>
      </c>
      <c r="C626" s="14" t="s">
        <v>49</v>
      </c>
      <c r="D626" s="15">
        <v>18000.0</v>
      </c>
      <c r="E626" s="14" t="s">
        <v>118</v>
      </c>
      <c r="F626" s="14"/>
      <c r="G626" s="16">
        <v>45362.56471064815</v>
      </c>
      <c r="H626" s="16">
        <v>45546.56380787037</v>
      </c>
      <c r="I626" s="14" t="s">
        <v>39</v>
      </c>
      <c r="J626" s="14" t="s">
        <v>40</v>
      </c>
      <c r="K626" s="14" t="s">
        <v>1186</v>
      </c>
      <c r="L626" s="14" t="s">
        <v>175</v>
      </c>
      <c r="M626" s="14" t="s">
        <v>43</v>
      </c>
      <c r="N626" s="14"/>
      <c r="O626" s="17"/>
      <c r="P626" s="14" t="s">
        <v>211</v>
      </c>
      <c r="Q626" s="14"/>
      <c r="R626" s="13">
        <f>HYPERLINK("https://app.hubspot.com/contacts/8748051/record/0-2/7709450411", 7709450411)</f>
        <v>7709450411</v>
      </c>
      <c r="S626" s="14" t="s">
        <v>2121</v>
      </c>
      <c r="T626" s="18" t="s">
        <v>2122</v>
      </c>
      <c r="U626" s="14" t="s">
        <v>46</v>
      </c>
      <c r="V626" s="15"/>
      <c r="W626" s="19">
        <v>553.0</v>
      </c>
      <c r="X626" s="19">
        <v>102.0</v>
      </c>
      <c r="Y626" s="20" t="s">
        <v>70</v>
      </c>
      <c r="Z626" s="21"/>
      <c r="AA626" s="21"/>
      <c r="AB626" s="21"/>
      <c r="AC626" s="21"/>
      <c r="AD626" s="21"/>
      <c r="AE626" s="21"/>
      <c r="AF626" s="17" t="str">
        <f t="shared" si="1"/>
        <v>New Logo</v>
      </c>
      <c r="AG626" s="17" t="str">
        <f t="shared" si="2"/>
        <v>Lead</v>
      </c>
      <c r="AH626" s="17" t="str">
        <f t="shared" si="3"/>
        <v>501-1000</v>
      </c>
      <c r="AI626" s="17" t="str">
        <f t="shared" si="4"/>
        <v>101-500</v>
      </c>
    </row>
    <row r="627" ht="15.75" customHeight="1">
      <c r="A627" s="13">
        <f>HYPERLINK("https://app.hubspot.com/contacts/8748051/record/0-3/17975800861", 17975800861)</f>
        <v>17975800861</v>
      </c>
      <c r="B627" s="14" t="s">
        <v>2123</v>
      </c>
      <c r="C627" s="14" t="s">
        <v>37</v>
      </c>
      <c r="D627" s="15">
        <v>67200.0</v>
      </c>
      <c r="E627" s="14" t="s">
        <v>118</v>
      </c>
      <c r="F627" s="14"/>
      <c r="G627" s="16">
        <v>45362.52123842593</v>
      </c>
      <c r="H627" s="16">
        <v>45546.52085648148</v>
      </c>
      <c r="I627" s="14" t="s">
        <v>39</v>
      </c>
      <c r="J627" s="14" t="s">
        <v>40</v>
      </c>
      <c r="K627" s="14" t="s">
        <v>1186</v>
      </c>
      <c r="L627" s="14" t="s">
        <v>559</v>
      </c>
      <c r="M627" s="14" t="s">
        <v>43</v>
      </c>
      <c r="N627" s="14"/>
      <c r="O627" s="17"/>
      <c r="P627" s="14" t="s">
        <v>211</v>
      </c>
      <c r="Q627" s="14"/>
      <c r="R627" s="13">
        <f>HYPERLINK("https://app.hubspot.com/contacts/8748051/record/0-2/9960253283", 9960253283)</f>
        <v>9960253283</v>
      </c>
      <c r="S627" s="14" t="s">
        <v>743</v>
      </c>
      <c r="T627" s="18" t="s">
        <v>744</v>
      </c>
      <c r="U627" s="14" t="s">
        <v>46</v>
      </c>
      <c r="V627" s="15"/>
      <c r="W627" s="19">
        <v>1496.0</v>
      </c>
      <c r="X627" s="19">
        <v>273.0</v>
      </c>
      <c r="Y627" s="20" t="s">
        <v>70</v>
      </c>
      <c r="Z627" s="20"/>
      <c r="AA627" s="21"/>
      <c r="AB627" s="21"/>
      <c r="AC627" s="20"/>
      <c r="AD627" s="21"/>
      <c r="AE627" s="20"/>
      <c r="AF627" s="17" t="str">
        <f t="shared" si="1"/>
        <v>New Logo</v>
      </c>
      <c r="AG627" s="17" t="str">
        <f t="shared" si="2"/>
        <v>Lead</v>
      </c>
      <c r="AH627" s="17" t="str">
        <f t="shared" si="3"/>
        <v>1001-5000</v>
      </c>
      <c r="AI627" s="17" t="str">
        <f t="shared" si="4"/>
        <v>101-500</v>
      </c>
    </row>
    <row r="628" ht="15.75" customHeight="1">
      <c r="A628" s="13">
        <f>HYPERLINK("https://app.hubspot.com/contacts/8748051/record/0-3/17970821516", 17970821516)</f>
        <v>17970821516</v>
      </c>
      <c r="B628" s="14" t="s">
        <v>2124</v>
      </c>
      <c r="C628" s="14" t="s">
        <v>1008</v>
      </c>
      <c r="D628" s="15">
        <v>13920.0</v>
      </c>
      <c r="E628" s="14" t="s">
        <v>118</v>
      </c>
      <c r="F628" s="14"/>
      <c r="G628" s="16">
        <v>45362.27280092592</v>
      </c>
      <c r="H628" s="16">
        <v>45546.271585648145</v>
      </c>
      <c r="I628" s="14" t="s">
        <v>39</v>
      </c>
      <c r="J628" s="14" t="s">
        <v>40</v>
      </c>
      <c r="K628" s="14" t="s">
        <v>59</v>
      </c>
      <c r="L628" s="14" t="s">
        <v>175</v>
      </c>
      <c r="M628" s="14" t="s">
        <v>72</v>
      </c>
      <c r="N628" s="14"/>
      <c r="O628" s="17"/>
      <c r="P628" s="14" t="s">
        <v>119</v>
      </c>
      <c r="Q628" s="17"/>
      <c r="R628" s="13">
        <f>HYPERLINK("https://app.hubspot.com/contacts/8748051/record/0-2/32005978018", 32005978018)</f>
        <v>32005978018</v>
      </c>
      <c r="S628" s="14" t="s">
        <v>2125</v>
      </c>
      <c r="T628" s="18" t="s">
        <v>2126</v>
      </c>
      <c r="U628" s="14" t="s">
        <v>46</v>
      </c>
      <c r="V628" s="15"/>
      <c r="W628" s="19">
        <v>556.0</v>
      </c>
      <c r="X628" s="19">
        <v>103.0</v>
      </c>
      <c r="Y628" s="20" t="s">
        <v>55</v>
      </c>
      <c r="Z628" s="20"/>
      <c r="AA628" s="21"/>
      <c r="AB628" s="21"/>
      <c r="AC628" s="20"/>
      <c r="AD628" s="21"/>
      <c r="AE628" s="20"/>
      <c r="AF628" s="17" t="str">
        <f t="shared" si="1"/>
        <v>New Logo</v>
      </c>
      <c r="AG628" s="17" t="str">
        <f t="shared" si="2"/>
        <v>Lead</v>
      </c>
      <c r="AH628" s="17" t="str">
        <f t="shared" si="3"/>
        <v>501-1000</v>
      </c>
      <c r="AI628" s="17" t="str">
        <f t="shared" si="4"/>
        <v>101-500</v>
      </c>
    </row>
    <row r="629" ht="15.75" customHeight="1">
      <c r="A629" s="13">
        <f>HYPERLINK("https://app.hubspot.com/contacts/8748051/record/0-3/17905546143", 17905546143)</f>
        <v>17905546143</v>
      </c>
      <c r="B629" s="14" t="s">
        <v>2127</v>
      </c>
      <c r="C629" s="14" t="s">
        <v>49</v>
      </c>
      <c r="D629" s="15">
        <v>11280.0</v>
      </c>
      <c r="E629" s="14" t="s">
        <v>118</v>
      </c>
      <c r="F629" s="14"/>
      <c r="G629" s="16">
        <v>45358.516388888886</v>
      </c>
      <c r="H629" s="16">
        <v>45542.557650462964</v>
      </c>
      <c r="I629" s="14" t="s">
        <v>39</v>
      </c>
      <c r="J629" s="14" t="s">
        <v>40</v>
      </c>
      <c r="K629" s="14" t="s">
        <v>1186</v>
      </c>
      <c r="L629" s="14" t="s">
        <v>175</v>
      </c>
      <c r="M629" s="14" t="s">
        <v>43</v>
      </c>
      <c r="N629" s="17"/>
      <c r="O629" s="17"/>
      <c r="P629" s="14" t="s">
        <v>119</v>
      </c>
      <c r="Q629" s="17"/>
      <c r="R629" s="13">
        <f>HYPERLINK("https://app.hubspot.com/contacts/8748051/record/0-2/9186997870", 9186997870)</f>
        <v>9186997870</v>
      </c>
      <c r="S629" s="14" t="s">
        <v>691</v>
      </c>
      <c r="T629" s="18" t="s">
        <v>692</v>
      </c>
      <c r="U629" s="14" t="s">
        <v>93</v>
      </c>
      <c r="V629" s="15">
        <v>60000.0</v>
      </c>
      <c r="W629" s="19">
        <v>5630.0</v>
      </c>
      <c r="X629" s="19">
        <v>154.0</v>
      </c>
      <c r="Y629" s="20"/>
      <c r="Z629" s="20" t="s">
        <v>205</v>
      </c>
      <c r="AA629" s="21"/>
      <c r="AB629" s="21"/>
      <c r="AC629" s="20" t="s">
        <v>311</v>
      </c>
      <c r="AD629" s="21"/>
      <c r="AE629" s="20" t="s">
        <v>528</v>
      </c>
      <c r="AF629" s="17" t="str">
        <f t="shared" si="1"/>
        <v>New Logo</v>
      </c>
      <c r="AG629" s="17" t="str">
        <f t="shared" si="2"/>
        <v>Customer</v>
      </c>
      <c r="AH629" s="17" t="str">
        <f t="shared" si="3"/>
        <v>5000-10000</v>
      </c>
      <c r="AI629" s="17" t="str">
        <f t="shared" si="4"/>
        <v>101-500</v>
      </c>
    </row>
    <row r="630" ht="15.75" customHeight="1">
      <c r="A630" s="13">
        <f>HYPERLINK("https://app.hubspot.com/contacts/8748051/record/0-3/17887560099", 17887560099)</f>
        <v>17887560099</v>
      </c>
      <c r="B630" s="14" t="s">
        <v>2128</v>
      </c>
      <c r="C630" s="14" t="s">
        <v>37</v>
      </c>
      <c r="D630" s="15">
        <v>14640.0</v>
      </c>
      <c r="E630" s="14" t="s">
        <v>118</v>
      </c>
      <c r="F630" s="17"/>
      <c r="G630" s="16">
        <v>45357.44658564815</v>
      </c>
      <c r="H630" s="16">
        <v>45541.48747685185</v>
      </c>
      <c r="I630" s="14" t="s">
        <v>39</v>
      </c>
      <c r="J630" s="14" t="s">
        <v>40</v>
      </c>
      <c r="K630" s="14" t="s">
        <v>1186</v>
      </c>
      <c r="L630" s="14" t="s">
        <v>175</v>
      </c>
      <c r="M630" s="14" t="s">
        <v>43</v>
      </c>
      <c r="N630" s="17"/>
      <c r="O630" s="17"/>
      <c r="P630" s="14" t="s">
        <v>211</v>
      </c>
      <c r="Q630" s="17"/>
      <c r="R630" s="13">
        <f>HYPERLINK("https://app.hubspot.com/contacts/8748051/record/0-2/18382863505", 18382863505)</f>
        <v>18382863505</v>
      </c>
      <c r="S630" s="14" t="s">
        <v>2129</v>
      </c>
      <c r="T630" s="18" t="s">
        <v>2130</v>
      </c>
      <c r="U630" s="14" t="s">
        <v>46</v>
      </c>
      <c r="V630" s="22"/>
      <c r="W630" s="19">
        <v>752.0</v>
      </c>
      <c r="X630" s="19">
        <v>117.0</v>
      </c>
      <c r="Y630" s="20" t="s">
        <v>70</v>
      </c>
      <c r="Z630" s="21"/>
      <c r="AA630" s="21"/>
      <c r="AB630" s="21"/>
      <c r="AC630" s="21"/>
      <c r="AD630" s="21"/>
      <c r="AE630" s="21"/>
      <c r="AF630" s="17" t="str">
        <f t="shared" si="1"/>
        <v>New Logo</v>
      </c>
      <c r="AG630" s="17" t="str">
        <f t="shared" si="2"/>
        <v>Lead</v>
      </c>
      <c r="AH630" s="17" t="str">
        <f t="shared" si="3"/>
        <v>501-1000</v>
      </c>
      <c r="AI630" s="17" t="str">
        <f t="shared" si="4"/>
        <v>101-500</v>
      </c>
    </row>
    <row r="631" ht="15.75" customHeight="1">
      <c r="A631" s="13">
        <f>HYPERLINK("https://app.hubspot.com/contacts/8748051/record/0-3/17886607515", 17886607515)</f>
        <v>17886607515</v>
      </c>
      <c r="B631" s="14" t="s">
        <v>2131</v>
      </c>
      <c r="C631" s="14" t="s">
        <v>1008</v>
      </c>
      <c r="D631" s="15">
        <v>5520.0</v>
      </c>
      <c r="E631" s="14" t="s">
        <v>118</v>
      </c>
      <c r="F631" s="14"/>
      <c r="G631" s="16">
        <v>45357.44556712963</v>
      </c>
      <c r="H631" s="16">
        <v>45541.48670138889</v>
      </c>
      <c r="I631" s="14" t="s">
        <v>39</v>
      </c>
      <c r="J631" s="14" t="s">
        <v>40</v>
      </c>
      <c r="K631" s="14" t="s">
        <v>1186</v>
      </c>
      <c r="L631" s="14" t="s">
        <v>175</v>
      </c>
      <c r="M631" s="14" t="s">
        <v>43</v>
      </c>
      <c r="N631" s="17"/>
      <c r="O631" s="17"/>
      <c r="P631" s="14" t="s">
        <v>260</v>
      </c>
      <c r="Q631" s="14"/>
      <c r="R631" s="13">
        <f>HYPERLINK("https://app.hubspot.com/contacts/8748051/record/0-2/19176667820", 19176667820)</f>
        <v>19176667820</v>
      </c>
      <c r="S631" s="14" t="s">
        <v>568</v>
      </c>
      <c r="T631" s="18" t="s">
        <v>569</v>
      </c>
      <c r="U631" s="14" t="s">
        <v>46</v>
      </c>
      <c r="V631" s="22"/>
      <c r="W631" s="19">
        <v>174.0</v>
      </c>
      <c r="X631" s="19">
        <v>41.0</v>
      </c>
      <c r="Y631" s="20"/>
      <c r="Z631" s="21"/>
      <c r="AA631" s="21"/>
      <c r="AB631" s="21"/>
      <c r="AC631" s="21"/>
      <c r="AD631" s="21"/>
      <c r="AE631" s="21"/>
      <c r="AF631" s="17" t="str">
        <f t="shared" si="1"/>
        <v>New Logo</v>
      </c>
      <c r="AG631" s="17" t="str">
        <f t="shared" si="2"/>
        <v>Lead</v>
      </c>
      <c r="AH631" s="17" t="str">
        <f t="shared" si="3"/>
        <v>0-200</v>
      </c>
      <c r="AI631" s="17" t="str">
        <f t="shared" si="4"/>
        <v>21-50</v>
      </c>
    </row>
    <row r="632" ht="15.75" customHeight="1">
      <c r="A632" s="13">
        <f>HYPERLINK("https://app.hubspot.com/contacts/8748051/record/0-3/17886607384", 17886607384)</f>
        <v>17886607384</v>
      </c>
      <c r="B632" s="14" t="s">
        <v>2132</v>
      </c>
      <c r="C632" s="14" t="s">
        <v>49</v>
      </c>
      <c r="D632" s="15">
        <v>219600.0</v>
      </c>
      <c r="E632" s="14" t="s">
        <v>118</v>
      </c>
      <c r="F632" s="17"/>
      <c r="G632" s="16">
        <v>45357.44480324074</v>
      </c>
      <c r="H632" s="16">
        <v>45541.48582175926</v>
      </c>
      <c r="I632" s="14" t="s">
        <v>39</v>
      </c>
      <c r="J632" s="14" t="s">
        <v>40</v>
      </c>
      <c r="K632" s="14" t="s">
        <v>1186</v>
      </c>
      <c r="L632" s="14" t="s">
        <v>559</v>
      </c>
      <c r="M632" s="14" t="s">
        <v>43</v>
      </c>
      <c r="N632" s="14"/>
      <c r="O632" s="17"/>
      <c r="P632" s="14" t="s">
        <v>260</v>
      </c>
      <c r="Q632" s="17"/>
      <c r="R632" s="13">
        <f>HYPERLINK("https://app.hubspot.com/contacts/8748051/record/0-2/7232076364", 7232076364)</f>
        <v>7232076364</v>
      </c>
      <c r="S632" s="14" t="s">
        <v>2133</v>
      </c>
      <c r="T632" s="18" t="s">
        <v>2134</v>
      </c>
      <c r="U632" s="14" t="s">
        <v>46</v>
      </c>
      <c r="V632" s="15"/>
      <c r="W632" s="19">
        <v>6151.0</v>
      </c>
      <c r="X632" s="19">
        <v>1082.0</v>
      </c>
      <c r="Y632" s="20" t="s">
        <v>2135</v>
      </c>
      <c r="Z632" s="21"/>
      <c r="AA632" s="21"/>
      <c r="AB632" s="21"/>
      <c r="AC632" s="21"/>
      <c r="AD632" s="21"/>
      <c r="AE632" s="21"/>
      <c r="AF632" s="17" t="str">
        <f t="shared" si="1"/>
        <v>New Logo</v>
      </c>
      <c r="AG632" s="17" t="str">
        <f t="shared" si="2"/>
        <v>Lead</v>
      </c>
      <c r="AH632" s="17" t="str">
        <f t="shared" si="3"/>
        <v>5000-10000</v>
      </c>
      <c r="AI632" s="17" t="str">
        <f t="shared" si="4"/>
        <v>500+</v>
      </c>
    </row>
    <row r="633" ht="15.75" customHeight="1">
      <c r="A633" s="13">
        <f>HYPERLINK("https://app.hubspot.com/contacts/8748051/record/0-3/17886606198", 17886606198)</f>
        <v>17886606198</v>
      </c>
      <c r="B633" s="14" t="s">
        <v>2136</v>
      </c>
      <c r="C633" s="14" t="s">
        <v>49</v>
      </c>
      <c r="D633" s="15">
        <v>13440.0</v>
      </c>
      <c r="E633" s="14" t="s">
        <v>118</v>
      </c>
      <c r="F633" s="14"/>
      <c r="G633" s="16">
        <v>45357.44090277778</v>
      </c>
      <c r="H633" s="16">
        <v>45541.482303240744</v>
      </c>
      <c r="I633" s="14" t="s">
        <v>39</v>
      </c>
      <c r="J633" s="14" t="s">
        <v>40</v>
      </c>
      <c r="K633" s="14" t="s">
        <v>1186</v>
      </c>
      <c r="L633" s="14" t="s">
        <v>175</v>
      </c>
      <c r="M633" s="14" t="s">
        <v>43</v>
      </c>
      <c r="N633" s="14"/>
      <c r="O633" s="17"/>
      <c r="P633" s="14" t="s">
        <v>119</v>
      </c>
      <c r="Q633" s="17"/>
      <c r="R633" s="13">
        <f>HYPERLINK("https://app.hubspot.com/contacts/8748051/record/0-2/7502181270", 7502181270)</f>
        <v>7502181270</v>
      </c>
      <c r="S633" s="14" t="s">
        <v>2137</v>
      </c>
      <c r="T633" s="18" t="s">
        <v>2138</v>
      </c>
      <c r="U633" s="14" t="s">
        <v>46</v>
      </c>
      <c r="V633" s="15"/>
      <c r="W633" s="19">
        <v>462.0</v>
      </c>
      <c r="X633" s="19">
        <v>49.0</v>
      </c>
      <c r="Y633" s="20"/>
      <c r="Z633" s="21"/>
      <c r="AA633" s="21"/>
      <c r="AB633" s="21"/>
      <c r="AC633" s="21"/>
      <c r="AD633" s="21"/>
      <c r="AE633" s="21"/>
      <c r="AF633" s="17" t="str">
        <f t="shared" si="1"/>
        <v>New Logo</v>
      </c>
      <c r="AG633" s="17" t="str">
        <f t="shared" si="2"/>
        <v>Lead</v>
      </c>
      <c r="AH633" s="17" t="str">
        <f t="shared" si="3"/>
        <v>201-500</v>
      </c>
      <c r="AI633" s="17" t="str">
        <f t="shared" si="4"/>
        <v>21-50</v>
      </c>
    </row>
    <row r="634" ht="15.75" customHeight="1">
      <c r="A634" s="13">
        <f>HYPERLINK("https://app.hubspot.com/contacts/8748051/record/0-3/17877917581", 17877917581)</f>
        <v>17877917581</v>
      </c>
      <c r="B634" s="14" t="s">
        <v>2139</v>
      </c>
      <c r="C634" s="14" t="s">
        <v>1008</v>
      </c>
      <c r="D634" s="15">
        <v>10800.0</v>
      </c>
      <c r="E634" s="14" t="s">
        <v>118</v>
      </c>
      <c r="F634" s="14"/>
      <c r="G634" s="16">
        <v>45356.9637037037</v>
      </c>
      <c r="H634" s="16">
        <v>45541.00475694444</v>
      </c>
      <c r="I634" s="14" t="s">
        <v>39</v>
      </c>
      <c r="J634" s="14" t="s">
        <v>40</v>
      </c>
      <c r="K634" s="14" t="s">
        <v>59</v>
      </c>
      <c r="L634" s="14" t="s">
        <v>175</v>
      </c>
      <c r="M634" s="14" t="s">
        <v>98</v>
      </c>
      <c r="N634" s="17"/>
      <c r="O634" s="17"/>
      <c r="P634" s="14" t="s">
        <v>260</v>
      </c>
      <c r="Q634" s="17"/>
      <c r="R634" s="13">
        <f>HYPERLINK("https://app.hubspot.com/contacts/8748051/record/0-2/32005978036", 32005978036)</f>
        <v>32005978036</v>
      </c>
      <c r="S634" s="14" t="s">
        <v>2140</v>
      </c>
      <c r="T634" s="18" t="s">
        <v>2141</v>
      </c>
      <c r="U634" s="14" t="s">
        <v>46</v>
      </c>
      <c r="V634" s="22"/>
      <c r="W634" s="19">
        <v>2254.0</v>
      </c>
      <c r="X634" s="19">
        <v>58.0</v>
      </c>
      <c r="Y634" s="20"/>
      <c r="Z634" s="21"/>
      <c r="AA634" s="21"/>
      <c r="AB634" s="21"/>
      <c r="AC634" s="21"/>
      <c r="AD634" s="21"/>
      <c r="AE634" s="21"/>
      <c r="AF634" s="17" t="str">
        <f t="shared" si="1"/>
        <v>New Logo</v>
      </c>
      <c r="AG634" s="17" t="str">
        <f t="shared" si="2"/>
        <v>Lead</v>
      </c>
      <c r="AH634" s="17" t="str">
        <f t="shared" si="3"/>
        <v>1001-5000</v>
      </c>
      <c r="AI634" s="17" t="str">
        <f t="shared" si="4"/>
        <v>51-100</v>
      </c>
    </row>
    <row r="635" ht="15.75" customHeight="1">
      <c r="A635" s="13">
        <f>HYPERLINK("https://app.hubspot.com/contacts/8748051/record/0-3/17874471476", 17874471476)</f>
        <v>17874471476</v>
      </c>
      <c r="B635" s="14" t="s">
        <v>2142</v>
      </c>
      <c r="C635" s="14" t="s">
        <v>1008</v>
      </c>
      <c r="D635" s="15">
        <v>4080.0</v>
      </c>
      <c r="E635" s="14" t="s">
        <v>118</v>
      </c>
      <c r="F635" s="14"/>
      <c r="G635" s="16">
        <v>45356.63177083333</v>
      </c>
      <c r="H635" s="16">
        <v>45540.63143518518</v>
      </c>
      <c r="I635" s="14" t="s">
        <v>39</v>
      </c>
      <c r="J635" s="14" t="s">
        <v>40</v>
      </c>
      <c r="K635" s="14"/>
      <c r="L635" s="14" t="s">
        <v>180</v>
      </c>
      <c r="M635" s="14" t="s">
        <v>43</v>
      </c>
      <c r="N635" s="17"/>
      <c r="O635" s="17"/>
      <c r="P635" s="14" t="s">
        <v>119</v>
      </c>
      <c r="Q635" s="14"/>
      <c r="R635" s="13">
        <f>HYPERLINK("https://app.hubspot.com/contacts/8748051/record/0-2/19176644633", 19176644633)</f>
        <v>19176644633</v>
      </c>
      <c r="S635" s="14" t="s">
        <v>2143</v>
      </c>
      <c r="T635" s="18" t="s">
        <v>2144</v>
      </c>
      <c r="U635" s="14" t="s">
        <v>46</v>
      </c>
      <c r="V635" s="22"/>
      <c r="W635" s="19">
        <v>155.0</v>
      </c>
      <c r="X635" s="19">
        <v>18.0</v>
      </c>
      <c r="Y635" s="20"/>
      <c r="Z635" s="21"/>
      <c r="AA635" s="21"/>
      <c r="AB635" s="21"/>
      <c r="AC635" s="21"/>
      <c r="AD635" s="21"/>
      <c r="AE635" s="21"/>
      <c r="AF635" s="17" t="str">
        <f t="shared" si="1"/>
        <v>New Logo</v>
      </c>
      <c r="AG635" s="17" t="str">
        <f t="shared" si="2"/>
        <v>Lead</v>
      </c>
      <c r="AH635" s="17" t="str">
        <f t="shared" si="3"/>
        <v>0-200</v>
      </c>
      <c r="AI635" s="17" t="str">
        <f t="shared" si="4"/>
        <v>0-20</v>
      </c>
    </row>
    <row r="636" ht="15.75" customHeight="1">
      <c r="A636" s="13">
        <f>HYPERLINK("https://app.hubspot.com/contacts/8748051/record/0-3/17870771010", 17870771010)</f>
        <v>17870771010</v>
      </c>
      <c r="B636" s="14" t="s">
        <v>2145</v>
      </c>
      <c r="C636" s="14" t="s">
        <v>49</v>
      </c>
      <c r="D636" s="15">
        <v>35760.0</v>
      </c>
      <c r="E636" s="14" t="s">
        <v>118</v>
      </c>
      <c r="F636" s="14"/>
      <c r="G636" s="16">
        <v>45356.53086805555</v>
      </c>
      <c r="H636" s="16">
        <v>45540.45667824074</v>
      </c>
      <c r="I636" s="14" t="s">
        <v>39</v>
      </c>
      <c r="J636" s="14" t="s">
        <v>40</v>
      </c>
      <c r="K636" s="14" t="s">
        <v>1186</v>
      </c>
      <c r="L636" s="14" t="s">
        <v>559</v>
      </c>
      <c r="M636" s="14" t="s">
        <v>43</v>
      </c>
      <c r="N636" s="17"/>
      <c r="O636" s="14"/>
      <c r="P636" s="14" t="s">
        <v>211</v>
      </c>
      <c r="Q636" s="14"/>
      <c r="R636" s="13">
        <f>HYPERLINK("https://app.hubspot.com/contacts/8748051/record/0-2/9238328473", 9238328473)</f>
        <v>9238328473</v>
      </c>
      <c r="S636" s="14" t="s">
        <v>2146</v>
      </c>
      <c r="T636" s="18" t="s">
        <v>2147</v>
      </c>
      <c r="U636" s="14" t="s">
        <v>46</v>
      </c>
      <c r="V636" s="22"/>
      <c r="W636" s="19">
        <v>1633.0</v>
      </c>
      <c r="X636" s="19">
        <v>160.0</v>
      </c>
      <c r="Y636" s="20" t="s">
        <v>78</v>
      </c>
      <c r="Z636" s="21"/>
      <c r="AA636" s="21"/>
      <c r="AB636" s="21"/>
      <c r="AC636" s="21"/>
      <c r="AD636" s="21"/>
      <c r="AE636" s="21"/>
      <c r="AF636" s="17" t="str">
        <f t="shared" si="1"/>
        <v>New Logo</v>
      </c>
      <c r="AG636" s="17" t="str">
        <f t="shared" si="2"/>
        <v>Lead</v>
      </c>
      <c r="AH636" s="17" t="str">
        <f t="shared" si="3"/>
        <v>1001-5000</v>
      </c>
      <c r="AI636" s="17" t="str">
        <f t="shared" si="4"/>
        <v>101-500</v>
      </c>
    </row>
    <row r="637" ht="15.75" customHeight="1">
      <c r="A637" s="13">
        <f>HYPERLINK("https://app.hubspot.com/contacts/8748051/record/0-3/17869011823", 17869011823)</f>
        <v>17869011823</v>
      </c>
      <c r="B637" s="14" t="s">
        <v>2148</v>
      </c>
      <c r="C637" s="14" t="s">
        <v>1008</v>
      </c>
      <c r="D637" s="15">
        <v>10560.0</v>
      </c>
      <c r="E637" s="14" t="s">
        <v>118</v>
      </c>
      <c r="F637" s="14"/>
      <c r="G637" s="16">
        <v>45356.414722222224</v>
      </c>
      <c r="H637" s="16">
        <v>45540.45591435185</v>
      </c>
      <c r="I637" s="14" t="s">
        <v>39</v>
      </c>
      <c r="J637" s="14" t="s">
        <v>40</v>
      </c>
      <c r="K637" s="14" t="s">
        <v>1186</v>
      </c>
      <c r="L637" s="14" t="s">
        <v>175</v>
      </c>
      <c r="M637" s="14" t="s">
        <v>43</v>
      </c>
      <c r="N637" s="17"/>
      <c r="O637" s="17"/>
      <c r="P637" s="14" t="s">
        <v>119</v>
      </c>
      <c r="Q637" s="17"/>
      <c r="R637" s="13">
        <f>HYPERLINK("https://app.hubspot.com/contacts/8748051/record/0-2/8142427002", 8142427002)</f>
        <v>8142427002</v>
      </c>
      <c r="S637" s="14" t="s">
        <v>1521</v>
      </c>
      <c r="T637" s="18" t="s">
        <v>1522</v>
      </c>
      <c r="U637" s="14" t="s">
        <v>46</v>
      </c>
      <c r="V637" s="22"/>
      <c r="W637" s="19">
        <v>405.0</v>
      </c>
      <c r="X637" s="19">
        <v>69.0</v>
      </c>
      <c r="Y637" s="20" t="s">
        <v>63</v>
      </c>
      <c r="Z637" s="21"/>
      <c r="AA637" s="21"/>
      <c r="AB637" s="21"/>
      <c r="AC637" s="21"/>
      <c r="AD637" s="21"/>
      <c r="AE637" s="21"/>
      <c r="AF637" s="17" t="str">
        <f t="shared" si="1"/>
        <v>New Logo</v>
      </c>
      <c r="AG637" s="17" t="str">
        <f t="shared" si="2"/>
        <v>Lead</v>
      </c>
      <c r="AH637" s="17" t="str">
        <f t="shared" si="3"/>
        <v>201-500</v>
      </c>
      <c r="AI637" s="17" t="str">
        <f t="shared" si="4"/>
        <v>51-100</v>
      </c>
    </row>
    <row r="638" ht="15.75" customHeight="1">
      <c r="A638" s="13">
        <f>HYPERLINK("https://app.hubspot.com/contacts/8748051/record/0-3/17856208138", 17856208138)</f>
        <v>17856208138</v>
      </c>
      <c r="B638" s="14" t="s">
        <v>2149</v>
      </c>
      <c r="C638" s="14" t="s">
        <v>49</v>
      </c>
      <c r="D638" s="15">
        <v>20000.0</v>
      </c>
      <c r="E638" s="14" t="s">
        <v>124</v>
      </c>
      <c r="F638" s="14" t="s">
        <v>51</v>
      </c>
      <c r="G638" s="16">
        <v>45355.49423611111</v>
      </c>
      <c r="H638" s="16">
        <v>45596.55446759259</v>
      </c>
      <c r="I638" s="14" t="s">
        <v>39</v>
      </c>
      <c r="J638" s="14" t="s">
        <v>40</v>
      </c>
      <c r="K638" s="14" t="s">
        <v>1186</v>
      </c>
      <c r="L638" s="14" t="s">
        <v>175</v>
      </c>
      <c r="M638" s="14" t="s">
        <v>43</v>
      </c>
      <c r="N638" s="17"/>
      <c r="O638" s="14"/>
      <c r="P638" s="14"/>
      <c r="Q638" s="17"/>
      <c r="R638" s="13">
        <f>HYPERLINK("https://app.hubspot.com/contacts/8748051/record/0-2/6530174271", 6530174271)</f>
        <v>6530174271</v>
      </c>
      <c r="S638" s="14" t="s">
        <v>2150</v>
      </c>
      <c r="T638" s="18" t="s">
        <v>2151</v>
      </c>
      <c r="U638" s="14" t="s">
        <v>46</v>
      </c>
      <c r="V638" s="22"/>
      <c r="W638" s="19">
        <v>343.0</v>
      </c>
      <c r="X638" s="19">
        <v>63.0</v>
      </c>
      <c r="Y638" s="20" t="s">
        <v>104</v>
      </c>
      <c r="Z638" s="21"/>
      <c r="AA638" s="21"/>
      <c r="AB638" s="21"/>
      <c r="AC638" s="21"/>
      <c r="AD638" s="21"/>
      <c r="AE638" s="21"/>
      <c r="AF638" s="17" t="str">
        <f t="shared" si="1"/>
        <v>New Logo</v>
      </c>
      <c r="AG638" s="17" t="str">
        <f t="shared" si="2"/>
        <v>Lead</v>
      </c>
      <c r="AH638" s="17" t="str">
        <f t="shared" si="3"/>
        <v>201-500</v>
      </c>
      <c r="AI638" s="17" t="str">
        <f t="shared" si="4"/>
        <v>51-100</v>
      </c>
    </row>
    <row r="639" ht="15.75" customHeight="1">
      <c r="A639" s="13">
        <f>HYPERLINK("https://app.hubspot.com/contacts/8748051/record/0-3/17856207466", 17856207466)</f>
        <v>17856207466</v>
      </c>
      <c r="B639" s="14" t="s">
        <v>2152</v>
      </c>
      <c r="C639" s="14" t="s">
        <v>1008</v>
      </c>
      <c r="D639" s="15">
        <v>6960.0</v>
      </c>
      <c r="E639" s="14" t="s">
        <v>118</v>
      </c>
      <c r="F639" s="14"/>
      <c r="G639" s="16">
        <v>45355.492418981485</v>
      </c>
      <c r="H639" s="16">
        <v>45539.53349537037</v>
      </c>
      <c r="I639" s="14" t="s">
        <v>39</v>
      </c>
      <c r="J639" s="14" t="s">
        <v>40</v>
      </c>
      <c r="K639" s="14" t="s">
        <v>1186</v>
      </c>
      <c r="L639" s="14" t="s">
        <v>175</v>
      </c>
      <c r="M639" s="14" t="s">
        <v>43</v>
      </c>
      <c r="N639" s="17"/>
      <c r="O639" s="17"/>
      <c r="P639" s="14" t="s">
        <v>119</v>
      </c>
      <c r="Q639" s="14"/>
      <c r="R639" s="13">
        <f>HYPERLINK("https://app.hubspot.com/contacts/8748051/record/0-2/8929767830", 8929767830)</f>
        <v>8929767830</v>
      </c>
      <c r="S639" s="14" t="s">
        <v>2153</v>
      </c>
      <c r="T639" s="18" t="s">
        <v>2154</v>
      </c>
      <c r="U639" s="14" t="s">
        <v>46</v>
      </c>
      <c r="V639" s="22"/>
      <c r="W639" s="19">
        <v>280.0</v>
      </c>
      <c r="X639" s="19">
        <v>33.0</v>
      </c>
      <c r="Y639" s="20" t="s">
        <v>104</v>
      </c>
      <c r="Z639" s="21"/>
      <c r="AA639" s="21"/>
      <c r="AB639" s="21"/>
      <c r="AC639" s="21"/>
      <c r="AD639" s="21"/>
      <c r="AE639" s="21"/>
      <c r="AF639" s="17" t="str">
        <f t="shared" si="1"/>
        <v>New Logo</v>
      </c>
      <c r="AG639" s="17" t="str">
        <f t="shared" si="2"/>
        <v>Lead</v>
      </c>
      <c r="AH639" s="17" t="str">
        <f t="shared" si="3"/>
        <v>201-500</v>
      </c>
      <c r="AI639" s="17" t="str">
        <f t="shared" si="4"/>
        <v>21-50</v>
      </c>
    </row>
    <row r="640" ht="15.75" customHeight="1">
      <c r="A640" s="13">
        <f>HYPERLINK("https://app.hubspot.com/contacts/8748051/record/0-3/17780472456", 17780472456)</f>
        <v>17780472456</v>
      </c>
      <c r="B640" s="14" t="s">
        <v>2155</v>
      </c>
      <c r="C640" s="14" t="s">
        <v>37</v>
      </c>
      <c r="D640" s="15">
        <v>3360.0</v>
      </c>
      <c r="E640" s="14" t="s">
        <v>118</v>
      </c>
      <c r="F640" s="14"/>
      <c r="G640" s="16">
        <v>45350.80315972222</v>
      </c>
      <c r="H640" s="16">
        <v>45532.84413194445</v>
      </c>
      <c r="I640" s="14" t="s">
        <v>39</v>
      </c>
      <c r="J640" s="14" t="s">
        <v>40</v>
      </c>
      <c r="K640" s="14" t="s">
        <v>59</v>
      </c>
      <c r="L640" s="14" t="s">
        <v>175</v>
      </c>
      <c r="M640" s="14" t="s">
        <v>43</v>
      </c>
      <c r="N640" s="14"/>
      <c r="O640" s="17"/>
      <c r="P640" s="14" t="s">
        <v>211</v>
      </c>
      <c r="Q640" s="17"/>
      <c r="R640" s="13">
        <f>HYPERLINK("https://app.hubspot.com/contacts/8748051/record/0-2/17506104613", 17506104613)</f>
        <v>17506104613</v>
      </c>
      <c r="S640" s="14" t="s">
        <v>2156</v>
      </c>
      <c r="T640" s="18" t="s">
        <v>2157</v>
      </c>
      <c r="U640" s="14" t="s">
        <v>46</v>
      </c>
      <c r="V640" s="15"/>
      <c r="W640" s="19">
        <v>747.0</v>
      </c>
      <c r="X640" s="19">
        <v>17.0</v>
      </c>
      <c r="Y640" s="20"/>
      <c r="Z640" s="20"/>
      <c r="AA640" s="20"/>
      <c r="AB640" s="21"/>
      <c r="AC640" s="20"/>
      <c r="AD640" s="20"/>
      <c r="AE640" s="20"/>
      <c r="AF640" s="17" t="str">
        <f t="shared" si="1"/>
        <v>New Logo</v>
      </c>
      <c r="AG640" s="17" t="str">
        <f t="shared" si="2"/>
        <v>Lead</v>
      </c>
      <c r="AH640" s="17" t="str">
        <f t="shared" si="3"/>
        <v>501-1000</v>
      </c>
      <c r="AI640" s="17" t="str">
        <f t="shared" si="4"/>
        <v>0-20</v>
      </c>
    </row>
    <row r="641" ht="15.75" customHeight="1">
      <c r="A641" s="13">
        <f>HYPERLINK("https://app.hubspot.com/contacts/8748051/record/0-3/17776248898", 17776248898)</f>
        <v>17776248898</v>
      </c>
      <c r="B641" s="14" t="s">
        <v>2158</v>
      </c>
      <c r="C641" s="14" t="s">
        <v>49</v>
      </c>
      <c r="D641" s="15">
        <v>8160.0</v>
      </c>
      <c r="E641" s="14" t="s">
        <v>118</v>
      </c>
      <c r="F641" s="14"/>
      <c r="G641" s="16">
        <v>45350.52704861111</v>
      </c>
      <c r="H641" s="16">
        <v>45532.5678125</v>
      </c>
      <c r="I641" s="14" t="s">
        <v>39</v>
      </c>
      <c r="J641" s="14" t="s">
        <v>40</v>
      </c>
      <c r="K641" s="14" t="s">
        <v>558</v>
      </c>
      <c r="L641" s="14" t="s">
        <v>559</v>
      </c>
      <c r="M641" s="14" t="s">
        <v>43</v>
      </c>
      <c r="N641" s="14"/>
      <c r="O641" s="17"/>
      <c r="P641" s="14" t="s">
        <v>260</v>
      </c>
      <c r="Q641" s="14"/>
      <c r="R641" s="13">
        <f>HYPERLINK("https://app.hubspot.com/contacts/8748051/record/0-2/6816683335", 6816683335)</f>
        <v>6816683335</v>
      </c>
      <c r="S641" s="14" t="s">
        <v>2159</v>
      </c>
      <c r="T641" s="18" t="s">
        <v>2160</v>
      </c>
      <c r="U641" s="14" t="s">
        <v>46</v>
      </c>
      <c r="V641" s="15"/>
      <c r="W641" s="19">
        <v>356.0</v>
      </c>
      <c r="X641" s="19">
        <v>42.0</v>
      </c>
      <c r="Y641" s="20" t="s">
        <v>70</v>
      </c>
      <c r="Z641" s="20"/>
      <c r="AA641" s="20"/>
      <c r="AB641" s="21"/>
      <c r="AC641" s="20"/>
      <c r="AD641" s="20"/>
      <c r="AE641" s="20"/>
      <c r="AF641" s="17" t="str">
        <f t="shared" si="1"/>
        <v>New Logo</v>
      </c>
      <c r="AG641" s="17" t="str">
        <f t="shared" si="2"/>
        <v>Lead</v>
      </c>
      <c r="AH641" s="17" t="str">
        <f t="shared" si="3"/>
        <v>201-500</v>
      </c>
      <c r="AI641" s="17" t="str">
        <f t="shared" si="4"/>
        <v>21-50</v>
      </c>
    </row>
    <row r="642" ht="15.75" customHeight="1">
      <c r="A642" s="13">
        <f>HYPERLINK("https://app.hubspot.com/contacts/8748051/record/0-3/17776347709", 17776347709)</f>
        <v>17776347709</v>
      </c>
      <c r="B642" s="14" t="s">
        <v>2161</v>
      </c>
      <c r="C642" s="14" t="s">
        <v>1008</v>
      </c>
      <c r="D642" s="15">
        <v>32640.0</v>
      </c>
      <c r="E642" s="14" t="s">
        <v>118</v>
      </c>
      <c r="F642" s="17"/>
      <c r="G642" s="16">
        <v>45350.52596064815</v>
      </c>
      <c r="H642" s="16">
        <v>45532.56690972222</v>
      </c>
      <c r="I642" s="14" t="s">
        <v>39</v>
      </c>
      <c r="J642" s="14" t="s">
        <v>40</v>
      </c>
      <c r="K642" s="14" t="s">
        <v>1186</v>
      </c>
      <c r="L642" s="14" t="s">
        <v>559</v>
      </c>
      <c r="M642" s="14" t="s">
        <v>43</v>
      </c>
      <c r="N642" s="14"/>
      <c r="O642" s="17"/>
      <c r="P642" s="14" t="s">
        <v>119</v>
      </c>
      <c r="Q642" s="17"/>
      <c r="R642" s="13">
        <f>HYPERLINK("https://app.hubspot.com/contacts/8748051/record/0-2/36350850883", 36350850883)</f>
        <v>36350850883</v>
      </c>
      <c r="S642" s="14" t="s">
        <v>2162</v>
      </c>
      <c r="T642" s="18" t="s">
        <v>2163</v>
      </c>
      <c r="U642" s="14" t="s">
        <v>46</v>
      </c>
      <c r="V642" s="15"/>
      <c r="W642" s="19">
        <v>1562.0</v>
      </c>
      <c r="X642" s="19">
        <v>176.0</v>
      </c>
      <c r="Y642" s="20" t="s">
        <v>371</v>
      </c>
      <c r="Z642" s="21"/>
      <c r="AA642" s="21"/>
      <c r="AB642" s="21"/>
      <c r="AC642" s="21"/>
      <c r="AD642" s="21"/>
      <c r="AE642" s="21"/>
      <c r="AF642" s="17" t="str">
        <f t="shared" si="1"/>
        <v>New Logo</v>
      </c>
      <c r="AG642" s="17" t="str">
        <f t="shared" si="2"/>
        <v>Lead</v>
      </c>
      <c r="AH642" s="17" t="str">
        <f t="shared" si="3"/>
        <v>1001-5000</v>
      </c>
      <c r="AI642" s="17" t="str">
        <f t="shared" si="4"/>
        <v>101-500</v>
      </c>
    </row>
    <row r="643" ht="15.75" customHeight="1">
      <c r="A643" s="13">
        <f>HYPERLINK("https://app.hubspot.com/contacts/8748051/record/0-3/17767974585", 17767974585)</f>
        <v>17767974585</v>
      </c>
      <c r="B643" s="14" t="s">
        <v>2164</v>
      </c>
      <c r="C643" s="14" t="s">
        <v>1008</v>
      </c>
      <c r="D643" s="15">
        <v>2880.0</v>
      </c>
      <c r="E643" s="14" t="s">
        <v>118</v>
      </c>
      <c r="F643" s="14"/>
      <c r="G643" s="16">
        <v>45350.18369212963</v>
      </c>
      <c r="H643" s="16">
        <v>45532.22494212963</v>
      </c>
      <c r="I643" s="14" t="s">
        <v>39</v>
      </c>
      <c r="J643" s="14" t="s">
        <v>40</v>
      </c>
      <c r="K643" s="14" t="s">
        <v>558</v>
      </c>
      <c r="L643" s="14" t="s">
        <v>559</v>
      </c>
      <c r="M643" s="14" t="s">
        <v>72</v>
      </c>
      <c r="N643" s="14"/>
      <c r="O643" s="14"/>
      <c r="P643" s="14" t="s">
        <v>211</v>
      </c>
      <c r="Q643" s="14"/>
      <c r="R643" s="13">
        <f>HYPERLINK("https://app.hubspot.com/contacts/8748051/record/0-2/16376183859", 16376183859)</f>
        <v>16376183859</v>
      </c>
      <c r="S643" s="14" t="s">
        <v>2165</v>
      </c>
      <c r="T643" s="18" t="s">
        <v>2166</v>
      </c>
      <c r="U643" s="14" t="s">
        <v>46</v>
      </c>
      <c r="V643" s="15"/>
      <c r="W643" s="19">
        <v>118.0</v>
      </c>
      <c r="X643" s="19">
        <v>17.0</v>
      </c>
      <c r="Y643" s="20"/>
      <c r="Z643" s="21"/>
      <c r="AA643" s="21"/>
      <c r="AB643" s="21"/>
      <c r="AC643" s="21"/>
      <c r="AD643" s="21"/>
      <c r="AE643" s="21"/>
      <c r="AF643" s="17" t="str">
        <f t="shared" si="1"/>
        <v>New Logo</v>
      </c>
      <c r="AG643" s="17" t="str">
        <f t="shared" si="2"/>
        <v>Lead</v>
      </c>
      <c r="AH643" s="17" t="str">
        <f t="shared" si="3"/>
        <v>0-200</v>
      </c>
      <c r="AI643" s="17" t="str">
        <f t="shared" si="4"/>
        <v>0-20</v>
      </c>
    </row>
    <row r="644" ht="15.75" customHeight="1">
      <c r="A644" s="13">
        <f>HYPERLINK("https://app.hubspot.com/contacts/8748051/record/0-3/17767974279", 17767974279)</f>
        <v>17767974279</v>
      </c>
      <c r="B644" s="14" t="s">
        <v>2167</v>
      </c>
      <c r="C644" s="14" t="s">
        <v>1008</v>
      </c>
      <c r="D644" s="15">
        <v>21600.0</v>
      </c>
      <c r="E644" s="14" t="s">
        <v>118</v>
      </c>
      <c r="F644" s="14"/>
      <c r="G644" s="16">
        <v>45350.18111111111</v>
      </c>
      <c r="H644" s="16">
        <v>45532.2225</v>
      </c>
      <c r="I644" s="14" t="s">
        <v>39</v>
      </c>
      <c r="J644" s="14" t="s">
        <v>40</v>
      </c>
      <c r="K644" s="14" t="s">
        <v>1186</v>
      </c>
      <c r="L644" s="14" t="s">
        <v>559</v>
      </c>
      <c r="M644" s="14"/>
      <c r="N644" s="17"/>
      <c r="O644" s="14"/>
      <c r="P644" s="14" t="s">
        <v>232</v>
      </c>
      <c r="Q644" s="14"/>
      <c r="R644" s="13">
        <f>HYPERLINK("https://app.hubspot.com/contacts/8748051/record/0-2/16065681050", 16065681050)</f>
        <v>16065681050</v>
      </c>
      <c r="S644" s="14" t="s">
        <v>2168</v>
      </c>
      <c r="T644" s="18" t="s">
        <v>2169</v>
      </c>
      <c r="U644" s="14" t="s">
        <v>46</v>
      </c>
      <c r="V644" s="22"/>
      <c r="W644" s="19">
        <v>760.0</v>
      </c>
      <c r="X644" s="19">
        <v>129.0</v>
      </c>
      <c r="Y644" s="20" t="s">
        <v>104</v>
      </c>
      <c r="Z644" s="21"/>
      <c r="AA644" s="21"/>
      <c r="AB644" s="21"/>
      <c r="AC644" s="21"/>
      <c r="AD644" s="21"/>
      <c r="AE644" s="21"/>
      <c r="AF644" s="17" t="str">
        <f t="shared" si="1"/>
        <v>New Logo</v>
      </c>
      <c r="AG644" s="17" t="str">
        <f t="shared" si="2"/>
        <v>Lead</v>
      </c>
      <c r="AH644" s="17" t="str">
        <f t="shared" si="3"/>
        <v>501-1000</v>
      </c>
      <c r="AI644" s="17" t="str">
        <f t="shared" si="4"/>
        <v>101-500</v>
      </c>
    </row>
    <row r="645" ht="15.75" customHeight="1">
      <c r="A645" s="13">
        <f>HYPERLINK("https://app.hubspot.com/contacts/8748051/record/0-3/17730863121", 17730863121)</f>
        <v>17730863121</v>
      </c>
      <c r="B645" s="14" t="s">
        <v>2170</v>
      </c>
      <c r="C645" s="14" t="s">
        <v>1008</v>
      </c>
      <c r="D645" s="15">
        <v>70000.0</v>
      </c>
      <c r="E645" s="14" t="s">
        <v>146</v>
      </c>
      <c r="F645" s="14" t="s">
        <v>51</v>
      </c>
      <c r="G645" s="16">
        <v>45348.39503472222</v>
      </c>
      <c r="H645" s="16">
        <v>45425.36835648148</v>
      </c>
      <c r="I645" s="14" t="s">
        <v>39</v>
      </c>
      <c r="J645" s="14" t="s">
        <v>52</v>
      </c>
      <c r="K645" s="14" t="s">
        <v>59</v>
      </c>
      <c r="L645" s="14" t="s">
        <v>180</v>
      </c>
      <c r="M645" s="14" t="s">
        <v>98</v>
      </c>
      <c r="N645" s="17"/>
      <c r="O645" s="14" t="s">
        <v>2171</v>
      </c>
      <c r="P645" s="14"/>
      <c r="Q645" s="17"/>
      <c r="R645" s="13">
        <f>HYPERLINK("https://app.hubspot.com/contacts/8748051/record/0-2/6266336884", 6266336884)</f>
        <v>6266336884</v>
      </c>
      <c r="S645" s="14" t="s">
        <v>1359</v>
      </c>
      <c r="T645" s="18" t="s">
        <v>1360</v>
      </c>
      <c r="U645" s="14" t="s">
        <v>46</v>
      </c>
      <c r="V645" s="22"/>
      <c r="W645" s="19">
        <v>1182.0</v>
      </c>
      <c r="X645" s="19">
        <v>143.0</v>
      </c>
      <c r="Y645" s="20" t="s">
        <v>104</v>
      </c>
      <c r="Z645" s="21"/>
      <c r="AA645" s="21"/>
      <c r="AB645" s="21"/>
      <c r="AC645" s="21"/>
      <c r="AD645" s="21"/>
      <c r="AE645" s="21"/>
      <c r="AF645" s="17" t="str">
        <f t="shared" si="1"/>
        <v>New Logo</v>
      </c>
      <c r="AG645" s="17" t="str">
        <f t="shared" si="2"/>
        <v>Lead</v>
      </c>
      <c r="AH645" s="17" t="str">
        <f t="shared" si="3"/>
        <v>1001-5000</v>
      </c>
      <c r="AI645" s="17" t="str">
        <f t="shared" si="4"/>
        <v>101-500</v>
      </c>
    </row>
    <row r="646" ht="15.75" customHeight="1">
      <c r="A646" s="13">
        <f>HYPERLINK("https://app.hubspot.com/contacts/8748051/record/0-3/17694632028", 17694632028)</f>
        <v>17694632028</v>
      </c>
      <c r="B646" s="14" t="s">
        <v>2172</v>
      </c>
      <c r="C646" s="14" t="s">
        <v>49</v>
      </c>
      <c r="D646" s="15">
        <v>10320.0</v>
      </c>
      <c r="E646" s="14" t="s">
        <v>118</v>
      </c>
      <c r="F646" s="14"/>
      <c r="G646" s="16">
        <v>45345.67010416667</v>
      </c>
      <c r="H646" s="16">
        <v>45527.71119212963</v>
      </c>
      <c r="I646" s="14" t="s">
        <v>39</v>
      </c>
      <c r="J646" s="14" t="s">
        <v>40</v>
      </c>
      <c r="K646" s="14" t="s">
        <v>1186</v>
      </c>
      <c r="L646" s="14" t="s">
        <v>559</v>
      </c>
      <c r="M646" s="14" t="s">
        <v>43</v>
      </c>
      <c r="N646" s="14"/>
      <c r="O646" s="17"/>
      <c r="P646" s="14" t="s">
        <v>119</v>
      </c>
      <c r="Q646" s="14"/>
      <c r="R646" s="13">
        <f>HYPERLINK("https://app.hubspot.com/contacts/8748051/record/0-2/6262695047", 6262695047)</f>
        <v>6262695047</v>
      </c>
      <c r="S646" s="14" t="s">
        <v>2173</v>
      </c>
      <c r="T646" s="18" t="s">
        <v>2174</v>
      </c>
      <c r="U646" s="14" t="s">
        <v>46</v>
      </c>
      <c r="V646" s="15"/>
      <c r="W646" s="19">
        <v>532.0</v>
      </c>
      <c r="X646" s="19">
        <v>67.0</v>
      </c>
      <c r="Y646" s="20" t="s">
        <v>70</v>
      </c>
      <c r="Z646" s="20"/>
      <c r="AA646" s="20"/>
      <c r="AB646" s="21"/>
      <c r="AC646" s="20"/>
      <c r="AD646" s="20"/>
      <c r="AE646" s="20"/>
      <c r="AF646" s="17" t="str">
        <f t="shared" si="1"/>
        <v>New Logo</v>
      </c>
      <c r="AG646" s="17" t="str">
        <f t="shared" si="2"/>
        <v>Lead</v>
      </c>
      <c r="AH646" s="17" t="str">
        <f t="shared" si="3"/>
        <v>501-1000</v>
      </c>
      <c r="AI646" s="17" t="str">
        <f t="shared" si="4"/>
        <v>51-100</v>
      </c>
    </row>
    <row r="647" ht="15.75" customHeight="1">
      <c r="A647" s="13">
        <f>HYPERLINK("https://app.hubspot.com/contacts/8748051/record/0-3/17682026421", 17682026421)</f>
        <v>17682026421</v>
      </c>
      <c r="B647" s="14" t="s">
        <v>2175</v>
      </c>
      <c r="C647" s="14" t="s">
        <v>1008</v>
      </c>
      <c r="D647" s="15">
        <v>8500.0</v>
      </c>
      <c r="E647" s="14" t="s">
        <v>118</v>
      </c>
      <c r="F647" s="14"/>
      <c r="G647" s="16">
        <v>45344.9955787037</v>
      </c>
      <c r="H647" s="16">
        <v>45527.03695601852</v>
      </c>
      <c r="I647" s="14" t="s">
        <v>39</v>
      </c>
      <c r="J647" s="14" t="s">
        <v>40</v>
      </c>
      <c r="K647" s="14" t="s">
        <v>558</v>
      </c>
      <c r="L647" s="14" t="s">
        <v>559</v>
      </c>
      <c r="M647" s="14" t="s">
        <v>72</v>
      </c>
      <c r="N647" s="17"/>
      <c r="O647" s="17"/>
      <c r="P647" s="14" t="s">
        <v>211</v>
      </c>
      <c r="Q647" s="14"/>
      <c r="R647" s="13">
        <f>HYPERLINK("https://app.hubspot.com/contacts/8748051/record/0-2/19176716086", 19176716086)</f>
        <v>19176716086</v>
      </c>
      <c r="S647" s="14" t="s">
        <v>2176</v>
      </c>
      <c r="T647" s="18" t="s">
        <v>2177</v>
      </c>
      <c r="U647" s="14" t="s">
        <v>46</v>
      </c>
      <c r="V647" s="22"/>
      <c r="W647" s="19">
        <v>155.0</v>
      </c>
      <c r="X647" s="19">
        <v>17.0</v>
      </c>
      <c r="Y647" s="20"/>
      <c r="Z647" s="21"/>
      <c r="AA647" s="21"/>
      <c r="AB647" s="21"/>
      <c r="AC647" s="21"/>
      <c r="AD647" s="21"/>
      <c r="AE647" s="21"/>
      <c r="AF647" s="17" t="str">
        <f t="shared" si="1"/>
        <v>New Logo</v>
      </c>
      <c r="AG647" s="17" t="str">
        <f t="shared" si="2"/>
        <v>Lead</v>
      </c>
      <c r="AH647" s="17" t="str">
        <f t="shared" si="3"/>
        <v>0-200</v>
      </c>
      <c r="AI647" s="17" t="str">
        <f t="shared" si="4"/>
        <v>0-20</v>
      </c>
    </row>
    <row r="648" ht="15.75" customHeight="1">
      <c r="A648" s="13">
        <f>HYPERLINK("https://app.hubspot.com/contacts/8748051/record/0-3/17677785517", 17677785517)</f>
        <v>17677785517</v>
      </c>
      <c r="B648" s="14" t="s">
        <v>2178</v>
      </c>
      <c r="C648" s="14" t="s">
        <v>37</v>
      </c>
      <c r="D648" s="15">
        <v>26400.0</v>
      </c>
      <c r="E648" s="14" t="s">
        <v>124</v>
      </c>
      <c r="F648" s="14" t="s">
        <v>51</v>
      </c>
      <c r="G648" s="16">
        <v>45344.63743055556</v>
      </c>
      <c r="H648" s="16">
        <v>45526.67853009259</v>
      </c>
      <c r="I648" s="14" t="s">
        <v>39</v>
      </c>
      <c r="J648" s="14" t="s">
        <v>40</v>
      </c>
      <c r="K648" s="14" t="s">
        <v>1186</v>
      </c>
      <c r="L648" s="14" t="s">
        <v>559</v>
      </c>
      <c r="M648" s="14" t="s">
        <v>43</v>
      </c>
      <c r="N648" s="17"/>
      <c r="O648" s="17"/>
      <c r="P648" s="14"/>
      <c r="Q648" s="14" t="s">
        <v>141</v>
      </c>
      <c r="R648" s="13">
        <f>HYPERLINK("https://app.hubspot.com/contacts/8748051/record/0-2/6262832278", 6262832278)</f>
        <v>6262832278</v>
      </c>
      <c r="S648" s="14" t="s">
        <v>2179</v>
      </c>
      <c r="T648" s="18" t="s">
        <v>2180</v>
      </c>
      <c r="U648" s="14" t="s">
        <v>46</v>
      </c>
      <c r="V648" s="22"/>
      <c r="W648" s="19">
        <v>556.0</v>
      </c>
      <c r="X648" s="19">
        <v>82.0</v>
      </c>
      <c r="Y648" s="20"/>
      <c r="Z648" s="21"/>
      <c r="AA648" s="21"/>
      <c r="AB648" s="21"/>
      <c r="AC648" s="21"/>
      <c r="AD648" s="21"/>
      <c r="AE648" s="21"/>
      <c r="AF648" s="17" t="str">
        <f t="shared" si="1"/>
        <v>New Logo</v>
      </c>
      <c r="AG648" s="17" t="str">
        <f t="shared" si="2"/>
        <v>Lead</v>
      </c>
      <c r="AH648" s="17" t="str">
        <f t="shared" si="3"/>
        <v>501-1000</v>
      </c>
      <c r="AI648" s="17" t="str">
        <f t="shared" si="4"/>
        <v>51-100</v>
      </c>
    </row>
    <row r="649" ht="15.75" customHeight="1">
      <c r="A649" s="13">
        <f>HYPERLINK("https://app.hubspot.com/contacts/8748051/record/0-3/17675627871", 17675627871)</f>
        <v>17675627871</v>
      </c>
      <c r="B649" s="14" t="s">
        <v>2181</v>
      </c>
      <c r="C649" s="14" t="s">
        <v>49</v>
      </c>
      <c r="D649" s="15">
        <v>46800.0</v>
      </c>
      <c r="E649" s="14" t="s">
        <v>118</v>
      </c>
      <c r="F649" s="14"/>
      <c r="G649" s="16">
        <v>45344.494791666664</v>
      </c>
      <c r="H649" s="16">
        <v>45526.53590277778</v>
      </c>
      <c r="I649" s="14" t="s">
        <v>39</v>
      </c>
      <c r="J649" s="14" t="s">
        <v>40</v>
      </c>
      <c r="K649" s="14" t="s">
        <v>1186</v>
      </c>
      <c r="L649" s="14" t="s">
        <v>559</v>
      </c>
      <c r="M649" s="14" t="s">
        <v>43</v>
      </c>
      <c r="N649" s="17"/>
      <c r="O649" s="17"/>
      <c r="P649" s="14" t="s">
        <v>211</v>
      </c>
      <c r="Q649" s="14"/>
      <c r="R649" s="13">
        <f>HYPERLINK("https://app.hubspot.com/contacts/8748051/record/0-2/9132303215", 9132303215)</f>
        <v>9132303215</v>
      </c>
      <c r="S649" s="14" t="s">
        <v>2182</v>
      </c>
      <c r="T649" s="18" t="s">
        <v>2183</v>
      </c>
      <c r="U649" s="14" t="s">
        <v>46</v>
      </c>
      <c r="V649" s="22"/>
      <c r="W649" s="19">
        <v>1296.0</v>
      </c>
      <c r="X649" s="19">
        <v>185.0</v>
      </c>
      <c r="Y649" s="20" t="s">
        <v>78</v>
      </c>
      <c r="Z649" s="21"/>
      <c r="AA649" s="21"/>
      <c r="AB649" s="21"/>
      <c r="AC649" s="21"/>
      <c r="AD649" s="21"/>
      <c r="AE649" s="21"/>
      <c r="AF649" s="17" t="str">
        <f t="shared" si="1"/>
        <v>New Logo</v>
      </c>
      <c r="AG649" s="17" t="str">
        <f t="shared" si="2"/>
        <v>Lead</v>
      </c>
      <c r="AH649" s="17" t="str">
        <f t="shared" si="3"/>
        <v>1001-5000</v>
      </c>
      <c r="AI649" s="17" t="str">
        <f t="shared" si="4"/>
        <v>101-500</v>
      </c>
    </row>
    <row r="650" ht="15.75" customHeight="1">
      <c r="A650" s="13">
        <f>HYPERLINK("https://app.hubspot.com/contacts/8748051/record/0-3/17656398737", 17656398737)</f>
        <v>17656398737</v>
      </c>
      <c r="B650" s="14" t="s">
        <v>2184</v>
      </c>
      <c r="C650" s="14" t="s">
        <v>49</v>
      </c>
      <c r="D650" s="15">
        <v>12000.0</v>
      </c>
      <c r="E650" s="14" t="s">
        <v>124</v>
      </c>
      <c r="F650" s="14" t="s">
        <v>51</v>
      </c>
      <c r="G650" s="16">
        <v>45343.65986111111</v>
      </c>
      <c r="H650" s="16">
        <v>45525.692766203705</v>
      </c>
      <c r="I650" s="14" t="s">
        <v>39</v>
      </c>
      <c r="J650" s="14" t="s">
        <v>40</v>
      </c>
      <c r="K650" s="14" t="s">
        <v>41</v>
      </c>
      <c r="L650" s="14" t="s">
        <v>42</v>
      </c>
      <c r="M650" s="14" t="s">
        <v>43</v>
      </c>
      <c r="N650" s="17"/>
      <c r="O650" s="17"/>
      <c r="P650" s="14"/>
      <c r="Q650" s="14" t="s">
        <v>195</v>
      </c>
      <c r="R650" s="13">
        <f>HYPERLINK("https://app.hubspot.com/contacts/8748051/record/0-2/7232132629", 7232132629)</f>
        <v>7232132629</v>
      </c>
      <c r="S650" s="14" t="s">
        <v>2185</v>
      </c>
      <c r="T650" s="18" t="s">
        <v>2186</v>
      </c>
      <c r="U650" s="14" t="s">
        <v>46</v>
      </c>
      <c r="V650" s="22"/>
      <c r="W650" s="19">
        <v>182.0</v>
      </c>
      <c r="X650" s="19">
        <v>23.0</v>
      </c>
      <c r="Y650" s="20" t="s">
        <v>104</v>
      </c>
      <c r="Z650" s="21"/>
      <c r="AA650" s="21"/>
      <c r="AB650" s="21"/>
      <c r="AC650" s="21"/>
      <c r="AD650" s="21"/>
      <c r="AE650" s="21"/>
      <c r="AF650" s="17" t="str">
        <f t="shared" si="1"/>
        <v>New Logo</v>
      </c>
      <c r="AG650" s="17" t="str">
        <f t="shared" si="2"/>
        <v>Lead</v>
      </c>
      <c r="AH650" s="17" t="str">
        <f t="shared" si="3"/>
        <v>0-200</v>
      </c>
      <c r="AI650" s="17" t="str">
        <f t="shared" si="4"/>
        <v>21-50</v>
      </c>
    </row>
    <row r="651" ht="15.75" customHeight="1">
      <c r="A651" s="13">
        <f>HYPERLINK("https://app.hubspot.com/contacts/8748051/record/0-3/17654781232", 17654781232)</f>
        <v>17654781232</v>
      </c>
      <c r="B651" s="14" t="s">
        <v>2187</v>
      </c>
      <c r="C651" s="14" t="s">
        <v>37</v>
      </c>
      <c r="D651" s="15">
        <v>14640.0</v>
      </c>
      <c r="E651" s="14" t="s">
        <v>118</v>
      </c>
      <c r="F651" s="14"/>
      <c r="G651" s="16">
        <v>45343.54314814815</v>
      </c>
      <c r="H651" s="16">
        <v>45525.584398148145</v>
      </c>
      <c r="I651" s="14" t="s">
        <v>39</v>
      </c>
      <c r="J651" s="14" t="s">
        <v>40</v>
      </c>
      <c r="K651" s="14" t="s">
        <v>1186</v>
      </c>
      <c r="L651" s="14" t="s">
        <v>559</v>
      </c>
      <c r="M651" s="14" t="s">
        <v>43</v>
      </c>
      <c r="N651" s="17"/>
      <c r="O651" s="17"/>
      <c r="P651" s="14" t="s">
        <v>232</v>
      </c>
      <c r="Q651" s="14"/>
      <c r="R651" s="13">
        <f>HYPERLINK("https://app.hubspot.com/contacts/8748051/record/0-2/9559255442", 9559255442)</f>
        <v>9559255442</v>
      </c>
      <c r="S651" s="14" t="s">
        <v>2188</v>
      </c>
      <c r="T651" s="18" t="s">
        <v>2189</v>
      </c>
      <c r="U651" s="14" t="s">
        <v>46</v>
      </c>
      <c r="V651" s="22"/>
      <c r="W651" s="19">
        <v>189.0</v>
      </c>
      <c r="X651" s="19">
        <v>60.0</v>
      </c>
      <c r="Y651" s="20"/>
      <c r="Z651" s="21"/>
      <c r="AA651" s="21"/>
      <c r="AB651" s="21"/>
      <c r="AC651" s="21"/>
      <c r="AD651" s="21"/>
      <c r="AE651" s="21"/>
      <c r="AF651" s="17" t="str">
        <f t="shared" si="1"/>
        <v>New Logo</v>
      </c>
      <c r="AG651" s="17" t="str">
        <f t="shared" si="2"/>
        <v>Lead</v>
      </c>
      <c r="AH651" s="17" t="str">
        <f t="shared" si="3"/>
        <v>0-200</v>
      </c>
      <c r="AI651" s="17" t="str">
        <f t="shared" si="4"/>
        <v>51-100</v>
      </c>
    </row>
    <row r="652" ht="15.75" customHeight="1">
      <c r="A652" s="13">
        <f>HYPERLINK("https://app.hubspot.com/contacts/8748051/record/0-3/17636004502", 17636004502)</f>
        <v>17636004502</v>
      </c>
      <c r="B652" s="14" t="s">
        <v>2190</v>
      </c>
      <c r="C652" s="14" t="s">
        <v>49</v>
      </c>
      <c r="D652" s="15">
        <v>21600.0</v>
      </c>
      <c r="E652" s="14" t="s">
        <v>118</v>
      </c>
      <c r="F652" s="14"/>
      <c r="G652" s="16">
        <v>45342.56384259259</v>
      </c>
      <c r="H652" s="16">
        <v>45524.604780092595</v>
      </c>
      <c r="I652" s="14" t="s">
        <v>39</v>
      </c>
      <c r="J652" s="14" t="s">
        <v>40</v>
      </c>
      <c r="K652" s="14" t="s">
        <v>1186</v>
      </c>
      <c r="L652" s="14" t="s">
        <v>559</v>
      </c>
      <c r="M652" s="14" t="s">
        <v>43</v>
      </c>
      <c r="N652" s="17"/>
      <c r="O652" s="17"/>
      <c r="P652" s="14" t="s">
        <v>119</v>
      </c>
      <c r="Q652" s="14"/>
      <c r="R652" s="13">
        <f>HYPERLINK("https://app.hubspot.com/contacts/8748051/record/0-2/7700289454", 7700289454)</f>
        <v>7700289454</v>
      </c>
      <c r="S652" s="14" t="s">
        <v>2191</v>
      </c>
      <c r="T652" s="18" t="s">
        <v>2192</v>
      </c>
      <c r="U652" s="14" t="s">
        <v>46</v>
      </c>
      <c r="V652" s="22"/>
      <c r="W652" s="19">
        <v>1118.0</v>
      </c>
      <c r="X652" s="19">
        <v>190.0</v>
      </c>
      <c r="Y652" s="20" t="s">
        <v>70</v>
      </c>
      <c r="Z652" s="21"/>
      <c r="AA652" s="21"/>
      <c r="AB652" s="21"/>
      <c r="AC652" s="21"/>
      <c r="AD652" s="21"/>
      <c r="AE652" s="21"/>
      <c r="AF652" s="17" t="str">
        <f t="shared" si="1"/>
        <v>New Logo</v>
      </c>
      <c r="AG652" s="17" t="str">
        <f t="shared" si="2"/>
        <v>Lead</v>
      </c>
      <c r="AH652" s="17" t="str">
        <f t="shared" si="3"/>
        <v>1001-5000</v>
      </c>
      <c r="AI652" s="17" t="str">
        <f t="shared" si="4"/>
        <v>101-500</v>
      </c>
    </row>
    <row r="653" ht="15.75" customHeight="1">
      <c r="A653" s="13">
        <f>HYPERLINK("https://app.hubspot.com/contacts/8748051/record/0-3/17635669026", 17635669026)</f>
        <v>17635669026</v>
      </c>
      <c r="B653" s="14" t="s">
        <v>2193</v>
      </c>
      <c r="C653" s="14" t="s">
        <v>145</v>
      </c>
      <c r="D653" s="15">
        <v>7200.0</v>
      </c>
      <c r="E653" s="14" t="s">
        <v>118</v>
      </c>
      <c r="F653" s="14"/>
      <c r="G653" s="16">
        <v>45342.550787037035</v>
      </c>
      <c r="H653" s="16">
        <v>45524.59211805555</v>
      </c>
      <c r="I653" s="14" t="s">
        <v>39</v>
      </c>
      <c r="J653" s="14" t="s">
        <v>40</v>
      </c>
      <c r="K653" s="14" t="s">
        <v>1186</v>
      </c>
      <c r="L653" s="14" t="s">
        <v>559</v>
      </c>
      <c r="M653" s="14"/>
      <c r="N653" s="14"/>
      <c r="O653" s="17"/>
      <c r="P653" s="14" t="s">
        <v>119</v>
      </c>
      <c r="Q653" s="17"/>
      <c r="R653" s="13">
        <f>HYPERLINK("https://app.hubspot.com/contacts/8748051/record/0-2/9238368537", 9238368537)</f>
        <v>9238368537</v>
      </c>
      <c r="S653" s="14" t="s">
        <v>2194</v>
      </c>
      <c r="T653" s="18" t="s">
        <v>2195</v>
      </c>
      <c r="U653" s="14" t="s">
        <v>46</v>
      </c>
      <c r="V653" s="15"/>
      <c r="W653" s="19">
        <v>370.0</v>
      </c>
      <c r="X653" s="19">
        <v>34.0</v>
      </c>
      <c r="Y653" s="20" t="s">
        <v>104</v>
      </c>
      <c r="Z653" s="20"/>
      <c r="AA653" s="21"/>
      <c r="AB653" s="21"/>
      <c r="AC653" s="20"/>
      <c r="AD653" s="20"/>
      <c r="AE653" s="20"/>
      <c r="AF653" s="17" t="str">
        <f t="shared" si="1"/>
        <v>New Logo</v>
      </c>
      <c r="AG653" s="17" t="str">
        <f t="shared" si="2"/>
        <v>Lead</v>
      </c>
      <c r="AH653" s="17" t="str">
        <f t="shared" si="3"/>
        <v>201-500</v>
      </c>
      <c r="AI653" s="17" t="str">
        <f t="shared" si="4"/>
        <v>21-50</v>
      </c>
    </row>
    <row r="654" ht="15.75" customHeight="1">
      <c r="A654" s="13">
        <f>HYPERLINK("https://app.hubspot.com/contacts/8748051/record/0-3/17626185331", 17626185331)</f>
        <v>17626185331</v>
      </c>
      <c r="B654" s="14" t="s">
        <v>2196</v>
      </c>
      <c r="C654" s="14" t="s">
        <v>49</v>
      </c>
      <c r="D654" s="15">
        <v>25000.0</v>
      </c>
      <c r="E654" s="14" t="s">
        <v>118</v>
      </c>
      <c r="F654" s="14" t="s">
        <v>51</v>
      </c>
      <c r="G654" s="16">
        <v>45341.96729166667</v>
      </c>
      <c r="H654" s="16">
        <v>45688.26267361111</v>
      </c>
      <c r="I654" s="14" t="s">
        <v>39</v>
      </c>
      <c r="J654" s="14" t="s">
        <v>40</v>
      </c>
      <c r="K654" s="14" t="s">
        <v>59</v>
      </c>
      <c r="L654" s="14" t="s">
        <v>175</v>
      </c>
      <c r="M654" s="14" t="s">
        <v>72</v>
      </c>
      <c r="N654" s="14"/>
      <c r="O654" s="17"/>
      <c r="P654" s="14" t="s">
        <v>260</v>
      </c>
      <c r="Q654" s="17"/>
      <c r="R654" s="13">
        <f>HYPERLINK("https://app.hubspot.com/contacts/8748051/record/0-2/8002248351", 8002248351)</f>
        <v>8002248351</v>
      </c>
      <c r="S654" s="14" t="s">
        <v>2197</v>
      </c>
      <c r="T654" s="18" t="s">
        <v>2198</v>
      </c>
      <c r="U654" s="14" t="s">
        <v>46</v>
      </c>
      <c r="V654" s="15"/>
      <c r="W654" s="19">
        <v>170.0</v>
      </c>
      <c r="X654" s="19">
        <v>38.0</v>
      </c>
      <c r="Y654" s="20"/>
      <c r="Z654" s="20"/>
      <c r="AA654" s="21"/>
      <c r="AB654" s="21"/>
      <c r="AC654" s="20"/>
      <c r="AD654" s="20"/>
      <c r="AE654" s="20"/>
      <c r="AF654" s="17" t="str">
        <f t="shared" si="1"/>
        <v>New Logo</v>
      </c>
      <c r="AG654" s="17" t="str">
        <f t="shared" si="2"/>
        <v>Lead</v>
      </c>
      <c r="AH654" s="17" t="str">
        <f t="shared" si="3"/>
        <v>0-200</v>
      </c>
      <c r="AI654" s="17" t="str">
        <f t="shared" si="4"/>
        <v>21-50</v>
      </c>
    </row>
    <row r="655" ht="15.75" customHeight="1">
      <c r="A655" s="13">
        <f>HYPERLINK("https://app.hubspot.com/contacts/8748051/record/0-3/17626185031", 17626185031)</f>
        <v>17626185031</v>
      </c>
      <c r="B655" s="14" t="s">
        <v>2199</v>
      </c>
      <c r="C655" s="14" t="s">
        <v>1008</v>
      </c>
      <c r="D655" s="15">
        <v>22560.0</v>
      </c>
      <c r="E655" s="14" t="s">
        <v>118</v>
      </c>
      <c r="F655" s="14"/>
      <c r="G655" s="16">
        <v>45341.96203703704</v>
      </c>
      <c r="H655" s="16">
        <v>45524.0028125</v>
      </c>
      <c r="I655" s="14" t="s">
        <v>39</v>
      </c>
      <c r="J655" s="14" t="s">
        <v>40</v>
      </c>
      <c r="K655" s="14" t="s">
        <v>1186</v>
      </c>
      <c r="L655" s="14" t="s">
        <v>559</v>
      </c>
      <c r="M655" s="14" t="s">
        <v>98</v>
      </c>
      <c r="N655" s="17"/>
      <c r="O655" s="17"/>
      <c r="P655" s="14" t="s">
        <v>260</v>
      </c>
      <c r="Q655" s="14"/>
      <c r="R655" s="13">
        <f>HYPERLINK("https://app.hubspot.com/contacts/8748051/record/0-2/7709596024", 7709596024)</f>
        <v>7709596024</v>
      </c>
      <c r="S655" s="14" t="s">
        <v>2200</v>
      </c>
      <c r="T655" s="18" t="s">
        <v>2201</v>
      </c>
      <c r="U655" s="14" t="s">
        <v>46</v>
      </c>
      <c r="V655" s="22"/>
      <c r="W655" s="19">
        <v>1385.0</v>
      </c>
      <c r="X655" s="19">
        <v>136.0</v>
      </c>
      <c r="Y655" s="20" t="s">
        <v>70</v>
      </c>
      <c r="Z655" s="21"/>
      <c r="AA655" s="21"/>
      <c r="AB655" s="21"/>
      <c r="AC655" s="21"/>
      <c r="AD655" s="21"/>
      <c r="AE655" s="21"/>
      <c r="AF655" s="17" t="str">
        <f t="shared" si="1"/>
        <v>New Logo</v>
      </c>
      <c r="AG655" s="17" t="str">
        <f t="shared" si="2"/>
        <v>Lead</v>
      </c>
      <c r="AH655" s="17" t="str">
        <f t="shared" si="3"/>
        <v>1001-5000</v>
      </c>
      <c r="AI655" s="17" t="str">
        <f t="shared" si="4"/>
        <v>101-500</v>
      </c>
    </row>
    <row r="656" ht="15.75" customHeight="1">
      <c r="A656" s="13">
        <f>HYPERLINK("https://app.hubspot.com/contacts/8748051/record/0-3/17615300110", 17615300110)</f>
        <v>17615300110</v>
      </c>
      <c r="B656" s="14" t="s">
        <v>2202</v>
      </c>
      <c r="C656" s="14" t="s">
        <v>1008</v>
      </c>
      <c r="D656" s="15">
        <v>12500.0</v>
      </c>
      <c r="E656" s="14" t="s">
        <v>118</v>
      </c>
      <c r="F656" s="14"/>
      <c r="G656" s="16">
        <v>45341.099641203706</v>
      </c>
      <c r="H656" s="16">
        <v>45412.142743055556</v>
      </c>
      <c r="I656" s="14" t="s">
        <v>39</v>
      </c>
      <c r="J656" s="14" t="s">
        <v>40</v>
      </c>
      <c r="K656" s="14" t="s">
        <v>41</v>
      </c>
      <c r="L656" s="14" t="s">
        <v>42</v>
      </c>
      <c r="M656" s="14" t="s">
        <v>98</v>
      </c>
      <c r="N656" s="14"/>
      <c r="O656" s="17"/>
      <c r="P656" s="14" t="s">
        <v>211</v>
      </c>
      <c r="Q656" s="14"/>
      <c r="R656" s="13">
        <f>HYPERLINK("https://app.hubspot.com/contacts/8748051/record/0-2/11995178296", 11995178296)</f>
        <v>11995178296</v>
      </c>
      <c r="S656" s="14" t="s">
        <v>2203</v>
      </c>
      <c r="T656" s="18" t="s">
        <v>2204</v>
      </c>
      <c r="U656" s="14" t="s">
        <v>46</v>
      </c>
      <c r="V656" s="15"/>
      <c r="W656" s="19">
        <v>66.0</v>
      </c>
      <c r="X656" s="19">
        <v>28.0</v>
      </c>
      <c r="Y656" s="20"/>
      <c r="Z656" s="20"/>
      <c r="AA656" s="20"/>
      <c r="AB656" s="21"/>
      <c r="AC656" s="20"/>
      <c r="AD656" s="20"/>
      <c r="AE656" s="20"/>
      <c r="AF656" s="17" t="str">
        <f t="shared" si="1"/>
        <v>New Logo</v>
      </c>
      <c r="AG656" s="17" t="str">
        <f t="shared" si="2"/>
        <v>Lead</v>
      </c>
      <c r="AH656" s="17" t="str">
        <f t="shared" si="3"/>
        <v>0-200</v>
      </c>
      <c r="AI656" s="17" t="str">
        <f t="shared" si="4"/>
        <v>21-50</v>
      </c>
    </row>
    <row r="657" ht="15.75" customHeight="1">
      <c r="A657" s="13">
        <f>HYPERLINK("https://app.hubspot.com/contacts/8748051/record/0-3/17615274063", 17615274063)</f>
        <v>17615274063</v>
      </c>
      <c r="B657" s="14" t="s">
        <v>2205</v>
      </c>
      <c r="C657" s="14" t="s">
        <v>1008</v>
      </c>
      <c r="D657" s="15">
        <v>100000.0</v>
      </c>
      <c r="E657" s="14" t="s">
        <v>118</v>
      </c>
      <c r="F657" s="14"/>
      <c r="G657" s="16">
        <v>45341.097592592596</v>
      </c>
      <c r="H657" s="16">
        <v>45528.13903935185</v>
      </c>
      <c r="I657" s="14" t="s">
        <v>39</v>
      </c>
      <c r="J657" s="14" t="s">
        <v>40</v>
      </c>
      <c r="K657" s="14" t="s">
        <v>41</v>
      </c>
      <c r="L657" s="14" t="s">
        <v>42</v>
      </c>
      <c r="M657" s="14" t="s">
        <v>98</v>
      </c>
      <c r="N657" s="14"/>
      <c r="O657" s="17"/>
      <c r="P657" s="14" t="s">
        <v>260</v>
      </c>
      <c r="Q657" s="14"/>
      <c r="R657" s="13">
        <f>HYPERLINK("https://app.hubspot.com/contacts/8748051/record/0-2/18975734823", 18975734823)</f>
        <v>18975734823</v>
      </c>
      <c r="S657" s="14" t="s">
        <v>2206</v>
      </c>
      <c r="T657" s="18" t="s">
        <v>2207</v>
      </c>
      <c r="U657" s="14" t="s">
        <v>46</v>
      </c>
      <c r="V657" s="15"/>
      <c r="W657" s="19">
        <v>12934.0</v>
      </c>
      <c r="X657" s="19">
        <v>659.0</v>
      </c>
      <c r="Y657" s="20"/>
      <c r="Z657" s="21"/>
      <c r="AA657" s="21"/>
      <c r="AB657" s="21"/>
      <c r="AC657" s="21"/>
      <c r="AD657" s="21"/>
      <c r="AE657" s="21"/>
      <c r="AF657" s="17" t="str">
        <f t="shared" si="1"/>
        <v>New Logo</v>
      </c>
      <c r="AG657" s="17" t="str">
        <f t="shared" si="2"/>
        <v>Lead</v>
      </c>
      <c r="AH657" s="17" t="str">
        <f t="shared" si="3"/>
        <v>10000+</v>
      </c>
      <c r="AI657" s="17" t="str">
        <f t="shared" si="4"/>
        <v>500+</v>
      </c>
    </row>
    <row r="658" ht="15.75" customHeight="1">
      <c r="A658" s="13">
        <f>HYPERLINK("https://app.hubspot.com/contacts/8748051/record/0-3/17584737536", 17584737536)</f>
        <v>17584737536</v>
      </c>
      <c r="B658" s="14" t="s">
        <v>2208</v>
      </c>
      <c r="C658" s="14" t="s">
        <v>1008</v>
      </c>
      <c r="D658" s="15">
        <v>186720.0</v>
      </c>
      <c r="E658" s="14" t="s">
        <v>124</v>
      </c>
      <c r="F658" s="14" t="s">
        <v>51</v>
      </c>
      <c r="G658" s="16">
        <v>45338.67586805556</v>
      </c>
      <c r="H658" s="16">
        <v>45520.716990740744</v>
      </c>
      <c r="I658" s="14" t="s">
        <v>39</v>
      </c>
      <c r="J658" s="14" t="s">
        <v>40</v>
      </c>
      <c r="K658" s="14" t="s">
        <v>1186</v>
      </c>
      <c r="L658" s="14" t="s">
        <v>559</v>
      </c>
      <c r="M658" s="14" t="s">
        <v>43</v>
      </c>
      <c r="N658" s="14"/>
      <c r="O658" s="17"/>
      <c r="P658" s="14"/>
      <c r="Q658" s="14" t="s">
        <v>240</v>
      </c>
      <c r="R658" s="13">
        <f>HYPERLINK("https://app.hubspot.com/contacts/8748051/record/0-2/18382637153", 18382637153)</f>
        <v>18382637153</v>
      </c>
      <c r="S658" s="14" t="s">
        <v>2209</v>
      </c>
      <c r="T658" s="18" t="s">
        <v>2210</v>
      </c>
      <c r="U658" s="14" t="s">
        <v>46</v>
      </c>
      <c r="V658" s="15"/>
      <c r="W658" s="19">
        <v>3442.0</v>
      </c>
      <c r="X658" s="19">
        <v>881.0</v>
      </c>
      <c r="Y658" s="20"/>
      <c r="Z658" s="20"/>
      <c r="AA658" s="21"/>
      <c r="AB658" s="20"/>
      <c r="AC658" s="20"/>
      <c r="AD658" s="20"/>
      <c r="AE658" s="20"/>
      <c r="AF658" s="17" t="str">
        <f t="shared" si="1"/>
        <v>New Logo</v>
      </c>
      <c r="AG658" s="17" t="str">
        <f t="shared" si="2"/>
        <v>Lead</v>
      </c>
      <c r="AH658" s="17" t="str">
        <f t="shared" si="3"/>
        <v>1001-5000</v>
      </c>
      <c r="AI658" s="17" t="str">
        <f t="shared" si="4"/>
        <v>500+</v>
      </c>
    </row>
    <row r="659" ht="15.75" customHeight="1">
      <c r="A659" s="13">
        <f>HYPERLINK("https://app.hubspot.com/contacts/8748051/record/0-3/17584736025", 17584736025)</f>
        <v>17584736025</v>
      </c>
      <c r="B659" s="14" t="s">
        <v>2211</v>
      </c>
      <c r="C659" s="14" t="s">
        <v>37</v>
      </c>
      <c r="D659" s="15">
        <v>30000.0</v>
      </c>
      <c r="E659" s="14" t="s">
        <v>124</v>
      </c>
      <c r="F659" s="14" t="s">
        <v>51</v>
      </c>
      <c r="G659" s="16">
        <v>45338.666030092594</v>
      </c>
      <c r="H659" s="16">
        <v>45504.54577546296</v>
      </c>
      <c r="I659" s="14" t="s">
        <v>39</v>
      </c>
      <c r="J659" s="14" t="s">
        <v>40</v>
      </c>
      <c r="K659" s="14" t="s">
        <v>1186</v>
      </c>
      <c r="L659" s="14" t="s">
        <v>559</v>
      </c>
      <c r="M659" s="14" t="s">
        <v>43</v>
      </c>
      <c r="N659" s="14"/>
      <c r="O659" s="17"/>
      <c r="P659" s="14"/>
      <c r="Q659" s="14" t="s">
        <v>400</v>
      </c>
      <c r="R659" s="13">
        <f>HYPERLINK("https://app.hubspot.com/contacts/8748051/record/0-2/7924223543", 7924223543)</f>
        <v>7924223543</v>
      </c>
      <c r="S659" s="14" t="s">
        <v>2212</v>
      </c>
      <c r="T659" s="18" t="s">
        <v>2213</v>
      </c>
      <c r="U659" s="14" t="s">
        <v>46</v>
      </c>
      <c r="V659" s="15"/>
      <c r="W659" s="19">
        <v>657.0</v>
      </c>
      <c r="X659" s="19">
        <v>71.0</v>
      </c>
      <c r="Y659" s="20" t="s">
        <v>70</v>
      </c>
      <c r="Z659" s="20"/>
      <c r="AA659" s="21"/>
      <c r="AB659" s="20"/>
      <c r="AC659" s="20"/>
      <c r="AD659" s="20"/>
      <c r="AE659" s="20"/>
      <c r="AF659" s="17" t="str">
        <f t="shared" si="1"/>
        <v>New Logo</v>
      </c>
      <c r="AG659" s="17" t="str">
        <f t="shared" si="2"/>
        <v>Lead</v>
      </c>
      <c r="AH659" s="17" t="str">
        <f t="shared" si="3"/>
        <v>501-1000</v>
      </c>
      <c r="AI659" s="17" t="str">
        <f t="shared" si="4"/>
        <v>51-100</v>
      </c>
    </row>
    <row r="660" ht="15.75" customHeight="1">
      <c r="A660" s="13">
        <f>HYPERLINK("https://app.hubspot.com/contacts/8748051/record/0-3/17563382909", 17563382909)</f>
        <v>17563382909</v>
      </c>
      <c r="B660" s="14" t="s">
        <v>2214</v>
      </c>
      <c r="C660" s="14" t="s">
        <v>49</v>
      </c>
      <c r="D660" s="15">
        <v>11040.0</v>
      </c>
      <c r="E660" s="14" t="s">
        <v>118</v>
      </c>
      <c r="F660" s="14"/>
      <c r="G660" s="16">
        <v>45338.03090277778</v>
      </c>
      <c r="H660" s="16">
        <v>45520.07197916666</v>
      </c>
      <c r="I660" s="14" t="s">
        <v>39</v>
      </c>
      <c r="J660" s="14" t="s">
        <v>40</v>
      </c>
      <c r="K660" s="14" t="s">
        <v>59</v>
      </c>
      <c r="L660" s="14" t="s">
        <v>175</v>
      </c>
      <c r="M660" s="14" t="s">
        <v>72</v>
      </c>
      <c r="N660" s="14"/>
      <c r="O660" s="17"/>
      <c r="P660" s="14" t="s">
        <v>119</v>
      </c>
      <c r="Q660" s="17"/>
      <c r="R660" s="13">
        <f>HYPERLINK("https://app.hubspot.com/contacts/8748051/record/0-2/6816601934", 6816601934)</f>
        <v>6816601934</v>
      </c>
      <c r="S660" s="14" t="s">
        <v>2215</v>
      </c>
      <c r="T660" s="18" t="s">
        <v>2216</v>
      </c>
      <c r="U660" s="14" t="s">
        <v>46</v>
      </c>
      <c r="V660" s="15"/>
      <c r="W660" s="19">
        <v>318.0</v>
      </c>
      <c r="X660" s="19">
        <v>45.0</v>
      </c>
      <c r="Y660" s="20" t="s">
        <v>104</v>
      </c>
      <c r="Z660" s="20"/>
      <c r="AA660" s="21"/>
      <c r="AB660" s="21"/>
      <c r="AC660" s="20"/>
      <c r="AD660" s="21"/>
      <c r="AE660" s="20"/>
      <c r="AF660" s="17" t="str">
        <f t="shared" si="1"/>
        <v>New Logo</v>
      </c>
      <c r="AG660" s="17" t="str">
        <f t="shared" si="2"/>
        <v>Lead</v>
      </c>
      <c r="AH660" s="17" t="str">
        <f t="shared" si="3"/>
        <v>201-500</v>
      </c>
      <c r="AI660" s="17" t="str">
        <f t="shared" si="4"/>
        <v>21-50</v>
      </c>
    </row>
    <row r="661" ht="15.75" customHeight="1">
      <c r="A661" s="13">
        <f>HYPERLINK("https://app.hubspot.com/contacts/8748051/record/0-3/17548561436", 17548561436)</f>
        <v>17548561436</v>
      </c>
      <c r="B661" s="14" t="s">
        <v>2217</v>
      </c>
      <c r="C661" s="14" t="s">
        <v>1008</v>
      </c>
      <c r="D661" s="15">
        <v>10000.0</v>
      </c>
      <c r="E661" s="14" t="s">
        <v>124</v>
      </c>
      <c r="F661" s="14" t="s">
        <v>51</v>
      </c>
      <c r="G661" s="16">
        <v>45337.497662037036</v>
      </c>
      <c r="H661" s="16">
        <v>45653.40447916667</v>
      </c>
      <c r="I661" s="14" t="s">
        <v>39</v>
      </c>
      <c r="J661" s="14" t="s">
        <v>40</v>
      </c>
      <c r="K661" s="14" t="s">
        <v>1186</v>
      </c>
      <c r="L661" s="14" t="s">
        <v>559</v>
      </c>
      <c r="M661" s="14" t="s">
        <v>43</v>
      </c>
      <c r="N661" s="17"/>
      <c r="O661" s="17"/>
      <c r="P661" s="14" t="s">
        <v>119</v>
      </c>
      <c r="Q661" s="14"/>
      <c r="R661" s="13">
        <f>HYPERLINK("https://app.hubspot.com/contacts/8748051/record/0-2/15869619115", 15869619115)</f>
        <v>15869619115</v>
      </c>
      <c r="S661" s="14" t="s">
        <v>2218</v>
      </c>
      <c r="T661" s="18" t="s">
        <v>2219</v>
      </c>
      <c r="U661" s="14" t="s">
        <v>46</v>
      </c>
      <c r="V661" s="22"/>
      <c r="W661" s="19">
        <v>120.0</v>
      </c>
      <c r="X661" s="19">
        <v>9.0</v>
      </c>
      <c r="Y661" s="20" t="s">
        <v>104</v>
      </c>
      <c r="Z661" s="21"/>
      <c r="AA661" s="21"/>
      <c r="AB661" s="21"/>
      <c r="AC661" s="21"/>
      <c r="AD661" s="21"/>
      <c r="AE661" s="21"/>
      <c r="AF661" s="17" t="str">
        <f t="shared" si="1"/>
        <v>New Logo</v>
      </c>
      <c r="AG661" s="17" t="str">
        <f t="shared" si="2"/>
        <v>Lead</v>
      </c>
      <c r="AH661" s="17" t="str">
        <f t="shared" si="3"/>
        <v>0-200</v>
      </c>
      <c r="AI661" s="17" t="str">
        <f t="shared" si="4"/>
        <v>0-20</v>
      </c>
    </row>
    <row r="662" ht="15.75" customHeight="1">
      <c r="A662" s="13">
        <f>HYPERLINK("https://app.hubspot.com/contacts/8748051/record/0-3/17547714187", 17547714187)</f>
        <v>17547714187</v>
      </c>
      <c r="B662" s="14" t="s">
        <v>2220</v>
      </c>
      <c r="C662" s="14" t="s">
        <v>1008</v>
      </c>
      <c r="D662" s="15">
        <v>9360.0</v>
      </c>
      <c r="E662" s="14" t="s">
        <v>118</v>
      </c>
      <c r="F662" s="14"/>
      <c r="G662" s="16">
        <v>45337.412824074076</v>
      </c>
      <c r="H662" s="16">
        <v>45519.45425925926</v>
      </c>
      <c r="I662" s="14" t="s">
        <v>39</v>
      </c>
      <c r="J662" s="14" t="s">
        <v>40</v>
      </c>
      <c r="K662" s="14" t="s">
        <v>41</v>
      </c>
      <c r="L662" s="14" t="s">
        <v>42</v>
      </c>
      <c r="M662" s="14" t="s">
        <v>43</v>
      </c>
      <c r="N662" s="17"/>
      <c r="O662" s="17"/>
      <c r="P662" s="14" t="s">
        <v>260</v>
      </c>
      <c r="Q662" s="14"/>
      <c r="R662" s="13">
        <f>HYPERLINK("https://app.hubspot.com/contacts/8748051/record/0-2/9686640476", 9686640476)</f>
        <v>9686640476</v>
      </c>
      <c r="S662" s="14" t="s">
        <v>2221</v>
      </c>
      <c r="T662" s="18" t="s">
        <v>2222</v>
      </c>
      <c r="U662" s="14" t="s">
        <v>46</v>
      </c>
      <c r="V662" s="22"/>
      <c r="W662" s="19">
        <v>902.0</v>
      </c>
      <c r="X662" s="19">
        <v>52.0</v>
      </c>
      <c r="Y662" s="20"/>
      <c r="Z662" s="21"/>
      <c r="AA662" s="21"/>
      <c r="AB662" s="21"/>
      <c r="AC662" s="21"/>
      <c r="AD662" s="21"/>
      <c r="AE662" s="21"/>
      <c r="AF662" s="17" t="str">
        <f t="shared" si="1"/>
        <v>New Logo</v>
      </c>
      <c r="AG662" s="17" t="str">
        <f t="shared" si="2"/>
        <v>Lead</v>
      </c>
      <c r="AH662" s="17" t="str">
        <f t="shared" si="3"/>
        <v>501-1000</v>
      </c>
      <c r="AI662" s="17" t="str">
        <f t="shared" si="4"/>
        <v>51-100</v>
      </c>
    </row>
    <row r="663" ht="15.75" customHeight="1">
      <c r="A663" s="13">
        <f>HYPERLINK("https://app.hubspot.com/contacts/8748051/record/0-3/17525735054", 17525735054)</f>
        <v>17525735054</v>
      </c>
      <c r="B663" s="14" t="s">
        <v>2223</v>
      </c>
      <c r="C663" s="14" t="s">
        <v>49</v>
      </c>
      <c r="D663" s="15">
        <v>164160.0</v>
      </c>
      <c r="E663" s="14" t="s">
        <v>118</v>
      </c>
      <c r="F663" s="14"/>
      <c r="G663" s="16">
        <v>45336.645</v>
      </c>
      <c r="H663" s="16">
        <v>45518.68568287037</v>
      </c>
      <c r="I663" s="14" t="s">
        <v>39</v>
      </c>
      <c r="J663" s="14" t="s">
        <v>40</v>
      </c>
      <c r="K663" s="14" t="s">
        <v>1186</v>
      </c>
      <c r="L663" s="14" t="s">
        <v>559</v>
      </c>
      <c r="M663" s="14" t="s">
        <v>43</v>
      </c>
      <c r="N663" s="14"/>
      <c r="O663" s="17"/>
      <c r="P663" s="14" t="s">
        <v>211</v>
      </c>
      <c r="Q663" s="14"/>
      <c r="R663" s="13">
        <f>HYPERLINK("https://app.hubspot.com/contacts/8748051/record/0-2/18832368258", 18832368258)</f>
        <v>18832368258</v>
      </c>
      <c r="S663" s="14" t="s">
        <v>2224</v>
      </c>
      <c r="T663" s="18" t="s">
        <v>2225</v>
      </c>
      <c r="U663" s="14" t="s">
        <v>46</v>
      </c>
      <c r="V663" s="15"/>
      <c r="W663" s="19">
        <v>8932.0</v>
      </c>
      <c r="X663" s="19">
        <v>815.0</v>
      </c>
      <c r="Y663" s="20" t="s">
        <v>70</v>
      </c>
      <c r="Z663" s="21"/>
      <c r="AA663" s="21"/>
      <c r="AB663" s="21"/>
      <c r="AC663" s="21"/>
      <c r="AD663" s="21"/>
      <c r="AE663" s="21"/>
      <c r="AF663" s="17" t="str">
        <f t="shared" si="1"/>
        <v>New Logo</v>
      </c>
      <c r="AG663" s="17" t="str">
        <f t="shared" si="2"/>
        <v>Lead</v>
      </c>
      <c r="AH663" s="17" t="str">
        <f t="shared" si="3"/>
        <v>5000-10000</v>
      </c>
      <c r="AI663" s="17" t="str">
        <f t="shared" si="4"/>
        <v>500+</v>
      </c>
    </row>
    <row r="664" ht="15.75" customHeight="1">
      <c r="A664" s="13">
        <f>HYPERLINK("https://app.hubspot.com/contacts/8748051/record/0-3/17419320206", 17419320206)</f>
        <v>17419320206</v>
      </c>
      <c r="B664" s="14" t="s">
        <v>2226</v>
      </c>
      <c r="C664" s="14" t="s">
        <v>37</v>
      </c>
      <c r="D664" s="15">
        <v>46500.0</v>
      </c>
      <c r="E664" s="14" t="s">
        <v>124</v>
      </c>
      <c r="F664" s="14" t="s">
        <v>51</v>
      </c>
      <c r="G664" s="16">
        <v>45329.762650462966</v>
      </c>
      <c r="H664" s="16">
        <v>45511.761666666665</v>
      </c>
      <c r="I664" s="14" t="s">
        <v>39</v>
      </c>
      <c r="J664" s="14" t="s">
        <v>40</v>
      </c>
      <c r="K664" s="14" t="s">
        <v>41</v>
      </c>
      <c r="L664" s="14" t="s">
        <v>42</v>
      </c>
      <c r="M664" s="14" t="s">
        <v>43</v>
      </c>
      <c r="N664" s="14"/>
      <c r="O664" s="17"/>
      <c r="P664" s="14"/>
      <c r="Q664" s="14" t="s">
        <v>125</v>
      </c>
      <c r="R664" s="13">
        <f>HYPERLINK("https://app.hubspot.com/contacts/8748051/record/0-2/7648554051", 7648554051)</f>
        <v>7648554051</v>
      </c>
      <c r="S664" s="14" t="s">
        <v>2227</v>
      </c>
      <c r="T664" s="18" t="s">
        <v>2228</v>
      </c>
      <c r="U664" s="14" t="s">
        <v>46</v>
      </c>
      <c r="V664" s="15"/>
      <c r="W664" s="19">
        <v>1406.0</v>
      </c>
      <c r="X664" s="19">
        <v>140.0</v>
      </c>
      <c r="Y664" s="20" t="s">
        <v>63</v>
      </c>
      <c r="Z664" s="20"/>
      <c r="AA664" s="21"/>
      <c r="AB664" s="20"/>
      <c r="AC664" s="20"/>
      <c r="AD664" s="20"/>
      <c r="AE664" s="20"/>
      <c r="AF664" s="17" t="str">
        <f t="shared" si="1"/>
        <v>New Logo</v>
      </c>
      <c r="AG664" s="17" t="str">
        <f t="shared" si="2"/>
        <v>Lead</v>
      </c>
      <c r="AH664" s="17" t="str">
        <f t="shared" si="3"/>
        <v>1001-5000</v>
      </c>
      <c r="AI664" s="17" t="str">
        <f t="shared" si="4"/>
        <v>101-500</v>
      </c>
    </row>
    <row r="665" ht="15.75" customHeight="1">
      <c r="A665" s="13">
        <f>HYPERLINK("https://app.hubspot.com/contacts/8748051/record/0-3/17404517388", 17404517388)</f>
        <v>17404517388</v>
      </c>
      <c r="B665" s="14" t="s">
        <v>2229</v>
      </c>
      <c r="C665" s="14" t="s">
        <v>156</v>
      </c>
      <c r="D665" s="15">
        <v>16200.0</v>
      </c>
      <c r="E665" s="14" t="s">
        <v>89</v>
      </c>
      <c r="F665" s="14"/>
      <c r="G665" s="16">
        <v>45329.12957175926</v>
      </c>
      <c r="H665" s="16">
        <v>45329.127858796295</v>
      </c>
      <c r="I665" s="14" t="s">
        <v>39</v>
      </c>
      <c r="J665" s="14" t="s">
        <v>179</v>
      </c>
      <c r="K665" s="14"/>
      <c r="L665" s="14" t="s">
        <v>159</v>
      </c>
      <c r="M665" s="14" t="s">
        <v>43</v>
      </c>
      <c r="N665" s="14" t="s">
        <v>2230</v>
      </c>
      <c r="O665" s="17"/>
      <c r="P665" s="14"/>
      <c r="Q665" s="14"/>
      <c r="R665" s="13">
        <f>HYPERLINK("https://app.hubspot.com/contacts/8748051/record/0-2/10228278794", 10228278794)</f>
        <v>10228278794</v>
      </c>
      <c r="S665" s="14" t="s">
        <v>1171</v>
      </c>
      <c r="T665" s="18" t="s">
        <v>1172</v>
      </c>
      <c r="U665" s="14">
        <v>3.4564763E7</v>
      </c>
      <c r="V665" s="15">
        <v>81180.0</v>
      </c>
      <c r="W665" s="19">
        <v>274.0</v>
      </c>
      <c r="X665" s="19">
        <v>49.0</v>
      </c>
      <c r="Y665" s="20"/>
      <c r="Z665" s="20"/>
      <c r="AA665" s="21"/>
      <c r="AB665" s="21"/>
      <c r="AC665" s="20"/>
      <c r="AD665" s="21"/>
      <c r="AE665" s="20"/>
      <c r="AF665" s="17" t="str">
        <f t="shared" si="1"/>
        <v>Upsell</v>
      </c>
      <c r="AG665" s="17" t="str">
        <f t="shared" si="2"/>
        <v>Churn</v>
      </c>
      <c r="AH665" s="17" t="str">
        <f t="shared" si="3"/>
        <v>201-500</v>
      </c>
      <c r="AI665" s="17" t="str">
        <f t="shared" si="4"/>
        <v>21-50</v>
      </c>
    </row>
    <row r="666" ht="15.75" customHeight="1">
      <c r="A666" s="13">
        <f>HYPERLINK("https://app.hubspot.com/contacts/8748051/record/0-3/17365984275", 17365984275)</f>
        <v>17365984275</v>
      </c>
      <c r="B666" s="14" t="s">
        <v>2231</v>
      </c>
      <c r="C666" s="14" t="s">
        <v>1227</v>
      </c>
      <c r="D666" s="15">
        <v>6000.0</v>
      </c>
      <c r="E666" s="14" t="s">
        <v>89</v>
      </c>
      <c r="F666" s="14" t="s">
        <v>51</v>
      </c>
      <c r="G666" s="16">
        <v>45327.27601851852</v>
      </c>
      <c r="H666" s="16">
        <v>45377.14040509259</v>
      </c>
      <c r="I666" s="14" t="s">
        <v>39</v>
      </c>
      <c r="J666" s="14" t="s">
        <v>40</v>
      </c>
      <c r="K666" s="14" t="s">
        <v>41</v>
      </c>
      <c r="L666" s="14" t="s">
        <v>42</v>
      </c>
      <c r="M666" s="14" t="s">
        <v>98</v>
      </c>
      <c r="N666" s="14" t="s">
        <v>2232</v>
      </c>
      <c r="O666" s="17"/>
      <c r="P666" s="14"/>
      <c r="Q666" s="17"/>
      <c r="R666" s="13">
        <f>HYPERLINK("https://app.hubspot.com/contacts/8748051/record/0-2/9397911942", 9397911942)</f>
        <v>9397911942</v>
      </c>
      <c r="S666" s="14" t="s">
        <v>2233</v>
      </c>
      <c r="T666" s="18" t="s">
        <v>2234</v>
      </c>
      <c r="U666" s="14">
        <v>3.4564763E7</v>
      </c>
      <c r="V666" s="15">
        <v>6000.0</v>
      </c>
      <c r="W666" s="19">
        <v>678.0</v>
      </c>
      <c r="X666" s="19">
        <v>139.0</v>
      </c>
      <c r="Y666" s="20"/>
      <c r="Z666" s="21"/>
      <c r="AA666" s="21"/>
      <c r="AB666" s="21"/>
      <c r="AC666" s="21"/>
      <c r="AD666" s="21"/>
      <c r="AE666" s="21"/>
      <c r="AF666" s="17" t="str">
        <f t="shared" si="1"/>
        <v>New Logo</v>
      </c>
      <c r="AG666" s="17" t="str">
        <f t="shared" si="2"/>
        <v>Churn</v>
      </c>
      <c r="AH666" s="17" t="str">
        <f t="shared" si="3"/>
        <v>501-1000</v>
      </c>
      <c r="AI666" s="17" t="str">
        <f t="shared" si="4"/>
        <v>101-500</v>
      </c>
    </row>
    <row r="667" ht="15.75" customHeight="1">
      <c r="A667" s="13">
        <f>HYPERLINK("https://app.hubspot.com/contacts/8748051/record/0-3/17365980934", 17365980934)</f>
        <v>17365980934</v>
      </c>
      <c r="B667" s="14" t="s">
        <v>2235</v>
      </c>
      <c r="C667" s="14" t="s">
        <v>1008</v>
      </c>
      <c r="D667" s="15">
        <v>18000.0</v>
      </c>
      <c r="E667" s="14" t="s">
        <v>118</v>
      </c>
      <c r="F667" s="14"/>
      <c r="G667" s="16">
        <v>45327.25170138889</v>
      </c>
      <c r="H667" s="16">
        <v>45509.29248842593</v>
      </c>
      <c r="I667" s="14" t="s">
        <v>39</v>
      </c>
      <c r="J667" s="14" t="s">
        <v>52</v>
      </c>
      <c r="K667" s="14" t="s">
        <v>1186</v>
      </c>
      <c r="L667" s="14" t="s">
        <v>559</v>
      </c>
      <c r="M667" s="14" t="s">
        <v>72</v>
      </c>
      <c r="N667" s="17"/>
      <c r="O667" s="17"/>
      <c r="P667" s="14" t="s">
        <v>260</v>
      </c>
      <c r="Q667" s="14"/>
      <c r="R667" s="13">
        <f>HYPERLINK("https://app.hubspot.com/contacts/8748051/record/0-2/14811314448", 14811314448)</f>
        <v>14811314448</v>
      </c>
      <c r="S667" s="14" t="s">
        <v>2236</v>
      </c>
      <c r="T667" s="18" t="s">
        <v>2237</v>
      </c>
      <c r="U667" s="14" t="s">
        <v>46</v>
      </c>
      <c r="V667" s="22"/>
      <c r="W667" s="19">
        <v>273.0</v>
      </c>
      <c r="X667" s="19">
        <v>43.0</v>
      </c>
      <c r="Y667" s="20"/>
      <c r="Z667" s="21"/>
      <c r="AA667" s="21"/>
      <c r="AB667" s="21"/>
      <c r="AC667" s="21"/>
      <c r="AD667" s="21"/>
      <c r="AE667" s="21"/>
      <c r="AF667" s="17" t="str">
        <f t="shared" si="1"/>
        <v>New Logo</v>
      </c>
      <c r="AG667" s="17" t="str">
        <f t="shared" si="2"/>
        <v>Lead</v>
      </c>
      <c r="AH667" s="17" t="str">
        <f t="shared" si="3"/>
        <v>201-500</v>
      </c>
      <c r="AI667" s="17" t="str">
        <f t="shared" si="4"/>
        <v>21-50</v>
      </c>
    </row>
    <row r="668" ht="15.75" customHeight="1">
      <c r="A668" s="13">
        <f>HYPERLINK("https://app.hubspot.com/contacts/8748051/record/0-3/17365963443", 17365963443)</f>
        <v>17365963443</v>
      </c>
      <c r="B668" s="14" t="s">
        <v>2238</v>
      </c>
      <c r="C668" s="14" t="s">
        <v>1008</v>
      </c>
      <c r="D668" s="15">
        <v>100000.0</v>
      </c>
      <c r="E668" s="14" t="s">
        <v>118</v>
      </c>
      <c r="F668" s="14"/>
      <c r="G668" s="16">
        <v>45327.25017361111</v>
      </c>
      <c r="H668" s="16">
        <v>45509.29077546296</v>
      </c>
      <c r="I668" s="14" t="s">
        <v>39</v>
      </c>
      <c r="J668" s="14" t="s">
        <v>52</v>
      </c>
      <c r="K668" s="14" t="s">
        <v>59</v>
      </c>
      <c r="L668" s="14" t="s">
        <v>175</v>
      </c>
      <c r="M668" s="14" t="s">
        <v>72</v>
      </c>
      <c r="N668" s="17"/>
      <c r="O668" s="17"/>
      <c r="P668" s="14" t="s">
        <v>119</v>
      </c>
      <c r="Q668" s="14"/>
      <c r="R668" s="13">
        <f>HYPERLINK("https://app.hubspot.com/contacts/8748051/record/0-2/8879983211", 8879983211)</f>
        <v>8879983211</v>
      </c>
      <c r="S668" s="14" t="s">
        <v>1969</v>
      </c>
      <c r="T668" s="18" t="s">
        <v>1970</v>
      </c>
      <c r="U668" s="14" t="s">
        <v>46</v>
      </c>
      <c r="V668" s="22"/>
      <c r="W668" s="19">
        <v>1504.0</v>
      </c>
      <c r="X668" s="19">
        <v>431.0</v>
      </c>
      <c r="Y668" s="20" t="s">
        <v>122</v>
      </c>
      <c r="Z668" s="21"/>
      <c r="AA668" s="21"/>
      <c r="AB668" s="21"/>
      <c r="AC668" s="21"/>
      <c r="AD668" s="21"/>
      <c r="AE668" s="21"/>
      <c r="AF668" s="17" t="str">
        <f t="shared" si="1"/>
        <v>New Logo</v>
      </c>
      <c r="AG668" s="17" t="str">
        <f t="shared" si="2"/>
        <v>Lead</v>
      </c>
      <c r="AH668" s="17" t="str">
        <f t="shared" si="3"/>
        <v>1001-5000</v>
      </c>
      <c r="AI668" s="17" t="str">
        <f t="shared" si="4"/>
        <v>101-500</v>
      </c>
    </row>
    <row r="669" ht="15.75" customHeight="1">
      <c r="A669" s="13">
        <f>HYPERLINK("https://app.hubspot.com/contacts/8748051/record/0-3/17365963063", 17365963063)</f>
        <v>17365963063</v>
      </c>
      <c r="B669" s="14" t="s">
        <v>2239</v>
      </c>
      <c r="C669" s="14" t="s">
        <v>1008</v>
      </c>
      <c r="D669" s="15">
        <v>6500.0</v>
      </c>
      <c r="E669" s="14" t="s">
        <v>118</v>
      </c>
      <c r="F669" s="14"/>
      <c r="G669" s="16">
        <v>45327.24725694444</v>
      </c>
      <c r="H669" s="16">
        <v>45412.2884375</v>
      </c>
      <c r="I669" s="14" t="s">
        <v>39</v>
      </c>
      <c r="J669" s="14" t="s">
        <v>40</v>
      </c>
      <c r="K669" s="14" t="s">
        <v>1186</v>
      </c>
      <c r="L669" s="14" t="s">
        <v>559</v>
      </c>
      <c r="M669" s="14" t="s">
        <v>72</v>
      </c>
      <c r="N669" s="14"/>
      <c r="O669" s="17"/>
      <c r="P669" s="14" t="s">
        <v>260</v>
      </c>
      <c r="Q669" s="14"/>
      <c r="R669" s="13">
        <f>HYPERLINK("https://app.hubspot.com/contacts/8748051/record/0-2/8933543510", 8933543510)</f>
        <v>8933543510</v>
      </c>
      <c r="S669" s="14" t="s">
        <v>2240</v>
      </c>
      <c r="T669" s="18" t="s">
        <v>2241</v>
      </c>
      <c r="U669" s="14" t="s">
        <v>46</v>
      </c>
      <c r="V669" s="15"/>
      <c r="W669" s="19">
        <v>95.0</v>
      </c>
      <c r="X669" s="19">
        <v>17.0</v>
      </c>
      <c r="Y669" s="20"/>
      <c r="Z669" s="20"/>
      <c r="AA669" s="21"/>
      <c r="AB669" s="21"/>
      <c r="AC669" s="20"/>
      <c r="AD669" s="20"/>
      <c r="AE669" s="20"/>
      <c r="AF669" s="17" t="str">
        <f t="shared" si="1"/>
        <v>New Logo</v>
      </c>
      <c r="AG669" s="17" t="str">
        <f t="shared" si="2"/>
        <v>Lead</v>
      </c>
      <c r="AH669" s="17" t="str">
        <f t="shared" si="3"/>
        <v>0-200</v>
      </c>
      <c r="AI669" s="17" t="str">
        <f t="shared" si="4"/>
        <v>0-20</v>
      </c>
    </row>
    <row r="670" ht="15.75" customHeight="1">
      <c r="A670" s="13">
        <f>HYPERLINK("https://app.hubspot.com/contacts/8748051/record/0-3/17365830041", 17365830041)</f>
        <v>17365830041</v>
      </c>
      <c r="B670" s="14" t="s">
        <v>2242</v>
      </c>
      <c r="C670" s="14" t="s">
        <v>37</v>
      </c>
      <c r="D670" s="15">
        <v>22500.0</v>
      </c>
      <c r="E670" s="14" t="s">
        <v>118</v>
      </c>
      <c r="F670" s="14"/>
      <c r="G670" s="16">
        <v>45327.24484953703</v>
      </c>
      <c r="H670" s="16">
        <v>45443.28668981481</v>
      </c>
      <c r="I670" s="14" t="s">
        <v>39</v>
      </c>
      <c r="J670" s="14" t="s">
        <v>52</v>
      </c>
      <c r="K670" s="14" t="s">
        <v>1186</v>
      </c>
      <c r="L670" s="14" t="s">
        <v>559</v>
      </c>
      <c r="M670" s="14" t="s">
        <v>98</v>
      </c>
      <c r="N670" s="14"/>
      <c r="O670" s="14"/>
      <c r="P670" s="14" t="s">
        <v>211</v>
      </c>
      <c r="Q670" s="14"/>
      <c r="R670" s="13">
        <f>HYPERLINK("https://app.hubspot.com/contacts/8748051/record/0-2/9177958280", 9177958280)</f>
        <v>9177958280</v>
      </c>
      <c r="S670" s="14" t="s">
        <v>2243</v>
      </c>
      <c r="T670" s="18" t="s">
        <v>2244</v>
      </c>
      <c r="U670" s="14" t="s">
        <v>46</v>
      </c>
      <c r="V670" s="15"/>
      <c r="W670" s="19">
        <v>1056.0</v>
      </c>
      <c r="X670" s="19">
        <v>62.0</v>
      </c>
      <c r="Y670" s="20" t="s">
        <v>70</v>
      </c>
      <c r="Z670" s="20"/>
      <c r="AA670" s="20"/>
      <c r="AB670" s="21"/>
      <c r="AC670" s="20"/>
      <c r="AD670" s="20"/>
      <c r="AE670" s="20"/>
      <c r="AF670" s="17" t="str">
        <f t="shared" si="1"/>
        <v>New Logo</v>
      </c>
      <c r="AG670" s="17" t="str">
        <f t="shared" si="2"/>
        <v>Lead</v>
      </c>
      <c r="AH670" s="17" t="str">
        <f t="shared" si="3"/>
        <v>1001-5000</v>
      </c>
      <c r="AI670" s="17" t="str">
        <f t="shared" si="4"/>
        <v>51-100</v>
      </c>
    </row>
    <row r="671" ht="15.75" customHeight="1">
      <c r="A671" s="13">
        <f>HYPERLINK("https://app.hubspot.com/contacts/8748051/record/0-3/17364383095", 17364383095)</f>
        <v>17364383095</v>
      </c>
      <c r="B671" s="14" t="s">
        <v>2245</v>
      </c>
      <c r="C671" s="14" t="s">
        <v>49</v>
      </c>
      <c r="D671" s="15">
        <v>202320.0</v>
      </c>
      <c r="E671" s="14" t="s">
        <v>118</v>
      </c>
      <c r="F671" s="14"/>
      <c r="G671" s="16">
        <v>45327.04900462963</v>
      </c>
      <c r="H671" s="16">
        <v>45509.09030092593</v>
      </c>
      <c r="I671" s="14" t="s">
        <v>39</v>
      </c>
      <c r="J671" s="14" t="s">
        <v>40</v>
      </c>
      <c r="K671" s="14" t="s">
        <v>1186</v>
      </c>
      <c r="L671" s="14" t="s">
        <v>559</v>
      </c>
      <c r="M671" s="14" t="s">
        <v>43</v>
      </c>
      <c r="N671" s="14"/>
      <c r="O671" s="14"/>
      <c r="P671" s="14" t="s">
        <v>119</v>
      </c>
      <c r="Q671" s="17"/>
      <c r="R671" s="13">
        <f>HYPERLINK("https://app.hubspot.com/contacts/8748051/record/0-2/9091290424", 9091290424)</f>
        <v>9091290424</v>
      </c>
      <c r="S671" s="14" t="s">
        <v>2246</v>
      </c>
      <c r="T671" s="18" t="s">
        <v>2247</v>
      </c>
      <c r="U671" s="14" t="s">
        <v>46</v>
      </c>
      <c r="V671" s="15"/>
      <c r="W671" s="19">
        <v>16794.0</v>
      </c>
      <c r="X671" s="19">
        <v>1317.0</v>
      </c>
      <c r="Y671" s="20"/>
      <c r="Z671" s="20"/>
      <c r="AA671" s="21"/>
      <c r="AB671" s="21"/>
      <c r="AC671" s="20"/>
      <c r="AD671" s="21"/>
      <c r="AE671" s="20"/>
      <c r="AF671" s="17" t="str">
        <f t="shared" si="1"/>
        <v>New Logo</v>
      </c>
      <c r="AG671" s="17" t="str">
        <f t="shared" si="2"/>
        <v>Lead</v>
      </c>
      <c r="AH671" s="17" t="str">
        <f t="shared" si="3"/>
        <v>10000+</v>
      </c>
      <c r="AI671" s="17" t="str">
        <f t="shared" si="4"/>
        <v>500+</v>
      </c>
    </row>
    <row r="672" ht="15.75" customHeight="1">
      <c r="A672" s="13">
        <f>HYPERLINK("https://app.hubspot.com/contacts/8748051/record/0-3/17364383056", 17364383056)</f>
        <v>17364383056</v>
      </c>
      <c r="B672" s="14" t="s">
        <v>2248</v>
      </c>
      <c r="C672" s="14" t="s">
        <v>49</v>
      </c>
      <c r="D672" s="15">
        <v>11040.0</v>
      </c>
      <c r="E672" s="14" t="s">
        <v>118</v>
      </c>
      <c r="F672" s="14"/>
      <c r="G672" s="16">
        <v>45327.04837962963</v>
      </c>
      <c r="H672" s="16">
        <v>45509.08939814815</v>
      </c>
      <c r="I672" s="14" t="s">
        <v>39</v>
      </c>
      <c r="J672" s="14" t="s">
        <v>40</v>
      </c>
      <c r="K672" s="14" t="s">
        <v>1186</v>
      </c>
      <c r="L672" s="14" t="s">
        <v>559</v>
      </c>
      <c r="M672" s="14" t="s">
        <v>43</v>
      </c>
      <c r="N672" s="14"/>
      <c r="O672" s="17"/>
      <c r="P672" s="14" t="s">
        <v>119</v>
      </c>
      <c r="Q672" s="17"/>
      <c r="R672" s="13">
        <f>HYPERLINK("https://app.hubspot.com/contacts/8748051/record/0-2/9238240308", 9238240308)</f>
        <v>9238240308</v>
      </c>
      <c r="S672" s="14" t="s">
        <v>1495</v>
      </c>
      <c r="T672" s="18" t="s">
        <v>1496</v>
      </c>
      <c r="U672" s="14" t="s">
        <v>46</v>
      </c>
      <c r="V672" s="15"/>
      <c r="W672" s="19">
        <v>259.0</v>
      </c>
      <c r="X672" s="19">
        <v>65.0</v>
      </c>
      <c r="Y672" s="20" t="s">
        <v>104</v>
      </c>
      <c r="Z672" s="20"/>
      <c r="AA672" s="20"/>
      <c r="AB672" s="21"/>
      <c r="AC672" s="20"/>
      <c r="AD672" s="20"/>
      <c r="AE672" s="20"/>
      <c r="AF672" s="17" t="str">
        <f t="shared" si="1"/>
        <v>New Logo</v>
      </c>
      <c r="AG672" s="17" t="str">
        <f t="shared" si="2"/>
        <v>Lead</v>
      </c>
      <c r="AH672" s="17" t="str">
        <f t="shared" si="3"/>
        <v>201-500</v>
      </c>
      <c r="AI672" s="17" t="str">
        <f t="shared" si="4"/>
        <v>51-100</v>
      </c>
    </row>
    <row r="673" ht="15.75" customHeight="1">
      <c r="A673" s="13">
        <f>HYPERLINK("https://app.hubspot.com/contacts/8748051/record/0-3/17364382845", 17364382845)</f>
        <v>17364382845</v>
      </c>
      <c r="B673" s="14" t="s">
        <v>2249</v>
      </c>
      <c r="C673" s="14" t="s">
        <v>49</v>
      </c>
      <c r="D673" s="15">
        <v>5040.0</v>
      </c>
      <c r="E673" s="14" t="s">
        <v>124</v>
      </c>
      <c r="F673" s="14" t="s">
        <v>51</v>
      </c>
      <c r="G673" s="16">
        <v>45327.04597222222</v>
      </c>
      <c r="H673" s="16">
        <v>45625.478055555555</v>
      </c>
      <c r="I673" s="14" t="s">
        <v>39</v>
      </c>
      <c r="J673" s="14" t="s">
        <v>40</v>
      </c>
      <c r="K673" s="14" t="s">
        <v>1186</v>
      </c>
      <c r="L673" s="14" t="s">
        <v>559</v>
      </c>
      <c r="M673" s="14" t="s">
        <v>43</v>
      </c>
      <c r="N673" s="14"/>
      <c r="O673" s="17"/>
      <c r="P673" s="14"/>
      <c r="Q673" s="14"/>
      <c r="R673" s="13">
        <f>HYPERLINK("https://app.hubspot.com/contacts/8748051/record/0-2/7503655293", 7503655293)</f>
        <v>7503655293</v>
      </c>
      <c r="S673" s="14" t="s">
        <v>2250</v>
      </c>
      <c r="T673" s="18" t="s">
        <v>2251</v>
      </c>
      <c r="U673" s="14" t="s">
        <v>46</v>
      </c>
      <c r="V673" s="15"/>
      <c r="W673" s="19">
        <v>144.0</v>
      </c>
      <c r="X673" s="19">
        <v>25.0</v>
      </c>
      <c r="Y673" s="20"/>
      <c r="Z673" s="20"/>
      <c r="AA673" s="21"/>
      <c r="AB673" s="21"/>
      <c r="AC673" s="20"/>
      <c r="AD673" s="20"/>
      <c r="AE673" s="20"/>
      <c r="AF673" s="17" t="str">
        <f t="shared" si="1"/>
        <v>New Logo</v>
      </c>
      <c r="AG673" s="17" t="str">
        <f t="shared" si="2"/>
        <v>Lead</v>
      </c>
      <c r="AH673" s="17" t="str">
        <f t="shared" si="3"/>
        <v>0-200</v>
      </c>
      <c r="AI673" s="17" t="str">
        <f t="shared" si="4"/>
        <v>21-50</v>
      </c>
    </row>
    <row r="674" ht="15.75" customHeight="1">
      <c r="A674" s="13">
        <f>HYPERLINK("https://app.hubspot.com/contacts/8748051/record/0-3/17362837325", 17362837325)</f>
        <v>17362837325</v>
      </c>
      <c r="B674" s="14" t="s">
        <v>2252</v>
      </c>
      <c r="C674" s="14" t="s">
        <v>145</v>
      </c>
      <c r="D674" s="15">
        <v>12240.0</v>
      </c>
      <c r="E674" s="14" t="s">
        <v>118</v>
      </c>
      <c r="F674" s="14"/>
      <c r="G674" s="16">
        <v>45327.044537037036</v>
      </c>
      <c r="H674" s="16">
        <v>45509.085393518515</v>
      </c>
      <c r="I674" s="14" t="s">
        <v>39</v>
      </c>
      <c r="J674" s="14" t="s">
        <v>40</v>
      </c>
      <c r="K674" s="14" t="s">
        <v>1186</v>
      </c>
      <c r="L674" s="14" t="s">
        <v>559</v>
      </c>
      <c r="M674" s="14" t="s">
        <v>43</v>
      </c>
      <c r="N674" s="14"/>
      <c r="O674" s="17"/>
      <c r="P674" s="14" t="s">
        <v>119</v>
      </c>
      <c r="Q674" s="14"/>
      <c r="R674" s="13">
        <f>HYPERLINK("https://app.hubspot.com/contacts/8748051/record/0-2/8601297796", 8601297796)</f>
        <v>8601297796</v>
      </c>
      <c r="S674" s="14" t="s">
        <v>2253</v>
      </c>
      <c r="T674" s="18" t="s">
        <v>2254</v>
      </c>
      <c r="U674" s="14" t="s">
        <v>46</v>
      </c>
      <c r="V674" s="15"/>
      <c r="W674" s="19">
        <v>301.0</v>
      </c>
      <c r="X674" s="19">
        <v>56.0</v>
      </c>
      <c r="Y674" s="20" t="s">
        <v>104</v>
      </c>
      <c r="Z674" s="20"/>
      <c r="AA674" s="21"/>
      <c r="AB674" s="20"/>
      <c r="AC674" s="20"/>
      <c r="AD674" s="20"/>
      <c r="AE674" s="20"/>
      <c r="AF674" s="17" t="str">
        <f t="shared" si="1"/>
        <v>New Logo</v>
      </c>
      <c r="AG674" s="17" t="str">
        <f t="shared" si="2"/>
        <v>Lead</v>
      </c>
      <c r="AH674" s="17" t="str">
        <f t="shared" si="3"/>
        <v>201-500</v>
      </c>
      <c r="AI674" s="17" t="str">
        <f t="shared" si="4"/>
        <v>51-100</v>
      </c>
    </row>
    <row r="675" ht="15.75" customHeight="1">
      <c r="A675" s="13">
        <f>HYPERLINK("https://app.hubspot.com/contacts/8748051/record/0-3/17362837135", 17362837135)</f>
        <v>17362837135</v>
      </c>
      <c r="B675" s="14" t="s">
        <v>2255</v>
      </c>
      <c r="C675" s="14" t="s">
        <v>145</v>
      </c>
      <c r="D675" s="15">
        <v>10800.0</v>
      </c>
      <c r="E675" s="14" t="s">
        <v>118</v>
      </c>
      <c r="F675" s="14"/>
      <c r="G675" s="16">
        <v>45327.04226851852</v>
      </c>
      <c r="H675" s="16">
        <v>45509.08304398148</v>
      </c>
      <c r="I675" s="14" t="s">
        <v>39</v>
      </c>
      <c r="J675" s="14" t="s">
        <v>40</v>
      </c>
      <c r="K675" s="14" t="s">
        <v>1186</v>
      </c>
      <c r="L675" s="14" t="s">
        <v>559</v>
      </c>
      <c r="M675" s="14"/>
      <c r="N675" s="14"/>
      <c r="O675" s="17"/>
      <c r="P675" s="14" t="s">
        <v>119</v>
      </c>
      <c r="Q675" s="14"/>
      <c r="R675" s="13">
        <f>HYPERLINK("https://app.hubspot.com/contacts/8748051/record/0-2/8125402385", 8125402385)</f>
        <v>8125402385</v>
      </c>
      <c r="S675" s="14" t="s">
        <v>2256</v>
      </c>
      <c r="T675" s="18" t="s">
        <v>2257</v>
      </c>
      <c r="U675" s="14" t="s">
        <v>46</v>
      </c>
      <c r="V675" s="15"/>
      <c r="W675" s="19">
        <v>727.0</v>
      </c>
      <c r="X675" s="19">
        <v>63.0</v>
      </c>
      <c r="Y675" s="20" t="s">
        <v>70</v>
      </c>
      <c r="Z675" s="20"/>
      <c r="AA675" s="21"/>
      <c r="AB675" s="21"/>
      <c r="AC675" s="20"/>
      <c r="AD675" s="21"/>
      <c r="AE675" s="20"/>
      <c r="AF675" s="17" t="str">
        <f t="shared" si="1"/>
        <v>New Logo</v>
      </c>
      <c r="AG675" s="17" t="str">
        <f t="shared" si="2"/>
        <v>Lead</v>
      </c>
      <c r="AH675" s="17" t="str">
        <f t="shared" si="3"/>
        <v>501-1000</v>
      </c>
      <c r="AI675" s="17" t="str">
        <f t="shared" si="4"/>
        <v>51-100</v>
      </c>
    </row>
    <row r="676" ht="15.75" customHeight="1">
      <c r="A676" s="13">
        <f>HYPERLINK("https://app.hubspot.com/contacts/8748051/record/0-3/17290231458", 17290231458)</f>
        <v>17290231458</v>
      </c>
      <c r="B676" s="14" t="s">
        <v>2258</v>
      </c>
      <c r="C676" s="14" t="s">
        <v>37</v>
      </c>
      <c r="D676" s="15">
        <v>100000.0</v>
      </c>
      <c r="E676" s="14" t="s">
        <v>118</v>
      </c>
      <c r="F676" s="14"/>
      <c r="G676" s="16">
        <v>45323.151284722226</v>
      </c>
      <c r="H676" s="16">
        <v>45657.156319444446</v>
      </c>
      <c r="I676" s="14" t="s">
        <v>39</v>
      </c>
      <c r="J676" s="14" t="s">
        <v>52</v>
      </c>
      <c r="K676" s="14" t="s">
        <v>1186</v>
      </c>
      <c r="L676" s="14" t="s">
        <v>559</v>
      </c>
      <c r="M676" s="14" t="s">
        <v>72</v>
      </c>
      <c r="N676" s="17"/>
      <c r="O676" s="14"/>
      <c r="P676" s="14" t="s">
        <v>119</v>
      </c>
      <c r="Q676" s="17"/>
      <c r="R676" s="13">
        <f>HYPERLINK("https://app.hubspot.com/contacts/8748051/record/0-2/9051006220", 9051006220)</f>
        <v>9051006220</v>
      </c>
      <c r="S676" s="14" t="s">
        <v>2259</v>
      </c>
      <c r="T676" s="18" t="s">
        <v>2260</v>
      </c>
      <c r="U676" s="14" t="s">
        <v>46</v>
      </c>
      <c r="V676" s="22"/>
      <c r="W676" s="19">
        <v>1284.0</v>
      </c>
      <c r="X676" s="19">
        <v>261.0</v>
      </c>
      <c r="Y676" s="20" t="s">
        <v>70</v>
      </c>
      <c r="Z676" s="21"/>
      <c r="AA676" s="21"/>
      <c r="AB676" s="21"/>
      <c r="AC676" s="21"/>
      <c r="AD676" s="21"/>
      <c r="AE676" s="21"/>
      <c r="AF676" s="17" t="str">
        <f t="shared" si="1"/>
        <v>New Logo</v>
      </c>
      <c r="AG676" s="17" t="str">
        <f t="shared" si="2"/>
        <v>Lead</v>
      </c>
      <c r="AH676" s="17" t="str">
        <f t="shared" si="3"/>
        <v>1001-5000</v>
      </c>
      <c r="AI676" s="17" t="str">
        <f t="shared" si="4"/>
        <v>101-500</v>
      </c>
    </row>
    <row r="677" ht="15.75" customHeight="1">
      <c r="A677" s="13">
        <f>HYPERLINK("https://app.hubspot.com/contacts/8748051/record/0-3/17272675843", 17272675843)</f>
        <v>17272675843</v>
      </c>
      <c r="B677" s="14" t="s">
        <v>2261</v>
      </c>
      <c r="C677" s="14" t="s">
        <v>37</v>
      </c>
      <c r="D677" s="15">
        <v>59000.0</v>
      </c>
      <c r="E677" s="14" t="s">
        <v>118</v>
      </c>
      <c r="F677" s="14"/>
      <c r="G677" s="16">
        <v>45322.54467592593</v>
      </c>
      <c r="H677" s="16">
        <v>45504.586018518516</v>
      </c>
      <c r="I677" s="14" t="s">
        <v>39</v>
      </c>
      <c r="J677" s="14" t="s">
        <v>40</v>
      </c>
      <c r="K677" s="14" t="s">
        <v>1186</v>
      </c>
      <c r="L677" s="14" t="s">
        <v>559</v>
      </c>
      <c r="M677" s="14" t="s">
        <v>43</v>
      </c>
      <c r="N677" s="14"/>
      <c r="O677" s="17"/>
      <c r="P677" s="14" t="s">
        <v>260</v>
      </c>
      <c r="Q677" s="14"/>
      <c r="R677" s="13">
        <f>HYPERLINK("https://app.hubspot.com/contacts/8748051/record/0-2/9092137602", 9092137602)</f>
        <v>9092137602</v>
      </c>
      <c r="S677" s="14" t="s">
        <v>2262</v>
      </c>
      <c r="T677" s="18" t="s">
        <v>2263</v>
      </c>
      <c r="U677" s="14" t="s">
        <v>46</v>
      </c>
      <c r="V677" s="15"/>
      <c r="W677" s="19">
        <v>1222.0</v>
      </c>
      <c r="X677" s="19">
        <v>105.0</v>
      </c>
      <c r="Y677" s="20" t="s">
        <v>70</v>
      </c>
      <c r="Z677" s="20"/>
      <c r="AA677" s="20"/>
      <c r="AB677" s="21"/>
      <c r="AC677" s="20"/>
      <c r="AD677" s="20"/>
      <c r="AE677" s="20"/>
      <c r="AF677" s="17" t="str">
        <f t="shared" si="1"/>
        <v>New Logo</v>
      </c>
      <c r="AG677" s="17" t="str">
        <f t="shared" si="2"/>
        <v>Lead</v>
      </c>
      <c r="AH677" s="17" t="str">
        <f t="shared" si="3"/>
        <v>1001-5000</v>
      </c>
      <c r="AI677" s="17" t="str">
        <f t="shared" si="4"/>
        <v>101-500</v>
      </c>
    </row>
    <row r="678" ht="15.75" customHeight="1">
      <c r="A678" s="13">
        <f>HYPERLINK("https://app.hubspot.com/contacts/8748051/record/0-3/17272675512", 17272675512)</f>
        <v>17272675512</v>
      </c>
      <c r="B678" s="14" t="s">
        <v>2264</v>
      </c>
      <c r="C678" s="14" t="s">
        <v>37</v>
      </c>
      <c r="D678" s="15">
        <v>3500.0</v>
      </c>
      <c r="E678" s="14" t="s">
        <v>118</v>
      </c>
      <c r="F678" s="14"/>
      <c r="G678" s="16">
        <v>45322.54349537037</v>
      </c>
      <c r="H678" s="16">
        <v>45504.58483796296</v>
      </c>
      <c r="I678" s="14" t="s">
        <v>39</v>
      </c>
      <c r="J678" s="14" t="s">
        <v>40</v>
      </c>
      <c r="K678" s="14" t="s">
        <v>1186</v>
      </c>
      <c r="L678" s="14" t="s">
        <v>559</v>
      </c>
      <c r="M678" s="14" t="s">
        <v>43</v>
      </c>
      <c r="N678" s="14"/>
      <c r="O678" s="17"/>
      <c r="P678" s="14" t="s">
        <v>260</v>
      </c>
      <c r="Q678" s="14"/>
      <c r="R678" s="13">
        <f>HYPERLINK("https://app.hubspot.com/contacts/8748051/record/0-2/18832405921", 18832405921)</f>
        <v>18832405921</v>
      </c>
      <c r="S678" s="14" t="s">
        <v>2265</v>
      </c>
      <c r="T678" s="18" t="s">
        <v>2266</v>
      </c>
      <c r="U678" s="14" t="s">
        <v>46</v>
      </c>
      <c r="V678" s="15"/>
      <c r="W678" s="19">
        <v>257.0</v>
      </c>
      <c r="X678" s="19">
        <v>12.0</v>
      </c>
      <c r="Y678" s="20"/>
      <c r="Z678" s="20"/>
      <c r="AA678" s="20"/>
      <c r="AB678" s="21"/>
      <c r="AC678" s="20"/>
      <c r="AD678" s="20"/>
      <c r="AE678" s="20"/>
      <c r="AF678" s="17" t="str">
        <f t="shared" si="1"/>
        <v>New Logo</v>
      </c>
      <c r="AG678" s="17" t="str">
        <f t="shared" si="2"/>
        <v>Lead</v>
      </c>
      <c r="AH678" s="17" t="str">
        <f t="shared" si="3"/>
        <v>201-500</v>
      </c>
      <c r="AI678" s="17" t="str">
        <f t="shared" si="4"/>
        <v>0-20</v>
      </c>
    </row>
    <row r="679" ht="15.75" customHeight="1">
      <c r="A679" s="13">
        <f>HYPERLINK("https://app.hubspot.com/contacts/8748051/record/0-3/17273008313", 17273008313)</f>
        <v>17273008313</v>
      </c>
      <c r="B679" s="14" t="s">
        <v>2267</v>
      </c>
      <c r="C679" s="14" t="s">
        <v>145</v>
      </c>
      <c r="D679" s="15">
        <v>72520.0</v>
      </c>
      <c r="E679" s="14" t="s">
        <v>89</v>
      </c>
      <c r="F679" s="14" t="s">
        <v>51</v>
      </c>
      <c r="G679" s="16">
        <v>45322.54252314815</v>
      </c>
      <c r="H679" s="16">
        <v>45607.917280092595</v>
      </c>
      <c r="I679" s="14" t="s">
        <v>39</v>
      </c>
      <c r="J679" s="14" t="s">
        <v>40</v>
      </c>
      <c r="K679" s="14" t="s">
        <v>1186</v>
      </c>
      <c r="L679" s="14" t="s">
        <v>559</v>
      </c>
      <c r="M679" s="14" t="s">
        <v>43</v>
      </c>
      <c r="N679" s="14" t="s">
        <v>2268</v>
      </c>
      <c r="O679" s="17"/>
      <c r="P679" s="14"/>
      <c r="Q679" s="14"/>
      <c r="R679" s="13">
        <f>HYPERLINK("https://app.hubspot.com/contacts/8748051/record/0-2/7716034905", 7716034905)</f>
        <v>7716034905</v>
      </c>
      <c r="S679" s="14" t="s">
        <v>1327</v>
      </c>
      <c r="T679" s="18" t="s">
        <v>1328</v>
      </c>
      <c r="U679" s="14" t="s">
        <v>93</v>
      </c>
      <c r="V679" s="15">
        <v>72520.0</v>
      </c>
      <c r="W679" s="19">
        <v>1525.0</v>
      </c>
      <c r="X679" s="19">
        <v>150.0</v>
      </c>
      <c r="Y679" s="20"/>
      <c r="Z679" s="20" t="s">
        <v>205</v>
      </c>
      <c r="AA679" s="20" t="s">
        <v>184</v>
      </c>
      <c r="AB679" s="21"/>
      <c r="AC679" s="20" t="s">
        <v>1329</v>
      </c>
      <c r="AD679" s="20" t="s">
        <v>1330</v>
      </c>
      <c r="AE679" s="20" t="s">
        <v>395</v>
      </c>
      <c r="AF679" s="17" t="str">
        <f t="shared" si="1"/>
        <v>New Logo</v>
      </c>
      <c r="AG679" s="17" t="str">
        <f t="shared" si="2"/>
        <v>Customer</v>
      </c>
      <c r="AH679" s="17" t="str">
        <f t="shared" si="3"/>
        <v>1001-5000</v>
      </c>
      <c r="AI679" s="17" t="str">
        <f t="shared" si="4"/>
        <v>101-500</v>
      </c>
    </row>
    <row r="680" ht="15.75" customHeight="1">
      <c r="A680" s="13">
        <f>HYPERLINK("https://app.hubspot.com/contacts/8748051/record/0-3/17273008143", 17273008143)</f>
        <v>17273008143</v>
      </c>
      <c r="B680" s="14" t="s">
        <v>2269</v>
      </c>
      <c r="C680" s="14" t="s">
        <v>49</v>
      </c>
      <c r="D680" s="15">
        <v>100000.0</v>
      </c>
      <c r="E680" s="14" t="s">
        <v>118</v>
      </c>
      <c r="F680" s="14"/>
      <c r="G680" s="16">
        <v>45322.54148148148</v>
      </c>
      <c r="H680" s="16">
        <v>45504.582453703704</v>
      </c>
      <c r="I680" s="14" t="s">
        <v>39</v>
      </c>
      <c r="J680" s="14" t="s">
        <v>40</v>
      </c>
      <c r="K680" s="14" t="s">
        <v>1186</v>
      </c>
      <c r="L680" s="14" t="s">
        <v>559</v>
      </c>
      <c r="M680" s="14" t="s">
        <v>43</v>
      </c>
      <c r="N680" s="17"/>
      <c r="O680" s="17"/>
      <c r="P680" s="14" t="s">
        <v>119</v>
      </c>
      <c r="Q680" s="14"/>
      <c r="R680" s="13">
        <f>HYPERLINK("https://app.hubspot.com/contacts/8748051/record/0-2/9137262742", 9137262742)</f>
        <v>9137262742</v>
      </c>
      <c r="S680" s="14" t="s">
        <v>2269</v>
      </c>
      <c r="T680" s="18" t="s">
        <v>2270</v>
      </c>
      <c r="U680" s="14" t="s">
        <v>46</v>
      </c>
      <c r="V680" s="22"/>
      <c r="W680" s="19">
        <v>3042.0</v>
      </c>
      <c r="X680" s="19">
        <v>413.0</v>
      </c>
      <c r="Y680" s="20" t="s">
        <v>122</v>
      </c>
      <c r="Z680" s="21"/>
      <c r="AA680" s="21"/>
      <c r="AB680" s="21"/>
      <c r="AC680" s="21"/>
      <c r="AD680" s="21"/>
      <c r="AE680" s="21"/>
      <c r="AF680" s="17" t="str">
        <f t="shared" si="1"/>
        <v>New Logo</v>
      </c>
      <c r="AG680" s="17" t="str">
        <f t="shared" si="2"/>
        <v>Lead</v>
      </c>
      <c r="AH680" s="17" t="str">
        <f t="shared" si="3"/>
        <v>1001-5000</v>
      </c>
      <c r="AI680" s="17" t="str">
        <f t="shared" si="4"/>
        <v>101-500</v>
      </c>
    </row>
    <row r="681" ht="15.75" customHeight="1">
      <c r="A681" s="13">
        <f>HYPERLINK("https://app.hubspot.com/contacts/8748051/record/0-3/17272674726", 17272674726)</f>
        <v>17272674726</v>
      </c>
      <c r="B681" s="14" t="s">
        <v>2271</v>
      </c>
      <c r="C681" s="14" t="s">
        <v>1008</v>
      </c>
      <c r="D681" s="15">
        <v>20500.0</v>
      </c>
      <c r="E681" s="14" t="s">
        <v>118</v>
      </c>
      <c r="F681" s="14"/>
      <c r="G681" s="16">
        <v>45322.540127314816</v>
      </c>
      <c r="H681" s="16">
        <v>45504.58130787037</v>
      </c>
      <c r="I681" s="14" t="s">
        <v>39</v>
      </c>
      <c r="J681" s="14" t="s">
        <v>40</v>
      </c>
      <c r="K681" s="14" t="s">
        <v>1186</v>
      </c>
      <c r="L681" s="14" t="s">
        <v>559</v>
      </c>
      <c r="M681" s="14" t="s">
        <v>43</v>
      </c>
      <c r="N681" s="17"/>
      <c r="O681" s="17"/>
      <c r="P681" s="14" t="s">
        <v>119</v>
      </c>
      <c r="Q681" s="14"/>
      <c r="R681" s="13">
        <f>HYPERLINK("https://app.hubspot.com/contacts/8748051/record/0-2/7721411430", 7721411430)</f>
        <v>7721411430</v>
      </c>
      <c r="S681" s="14" t="s">
        <v>2272</v>
      </c>
      <c r="T681" s="18" t="s">
        <v>2273</v>
      </c>
      <c r="U681" s="14" t="s">
        <v>46</v>
      </c>
      <c r="V681" s="22"/>
      <c r="W681" s="19">
        <v>451.0</v>
      </c>
      <c r="X681" s="19">
        <v>39.0</v>
      </c>
      <c r="Y681" s="20"/>
      <c r="Z681" s="21"/>
      <c r="AA681" s="21"/>
      <c r="AB681" s="21"/>
      <c r="AC681" s="21"/>
      <c r="AD681" s="21"/>
      <c r="AE681" s="21"/>
      <c r="AF681" s="17" t="str">
        <f t="shared" si="1"/>
        <v>New Logo</v>
      </c>
      <c r="AG681" s="17" t="str">
        <f t="shared" si="2"/>
        <v>Lead</v>
      </c>
      <c r="AH681" s="17" t="str">
        <f t="shared" si="3"/>
        <v>201-500</v>
      </c>
      <c r="AI681" s="17" t="str">
        <f t="shared" si="4"/>
        <v>21-50</v>
      </c>
    </row>
    <row r="682" ht="15.75" customHeight="1">
      <c r="A682" s="13">
        <f>HYPERLINK("https://app.hubspot.com/contacts/8748051/record/0-3/17273007436", 17273007436)</f>
        <v>17273007436</v>
      </c>
      <c r="B682" s="14" t="s">
        <v>2274</v>
      </c>
      <c r="C682" s="14" t="s">
        <v>1008</v>
      </c>
      <c r="D682" s="15">
        <v>20500.0</v>
      </c>
      <c r="E682" s="14" t="s">
        <v>124</v>
      </c>
      <c r="F682" s="14" t="s">
        <v>51</v>
      </c>
      <c r="G682" s="16">
        <v>45322.538518518515</v>
      </c>
      <c r="H682" s="16">
        <v>45504.57950231482</v>
      </c>
      <c r="I682" s="14" t="s">
        <v>39</v>
      </c>
      <c r="J682" s="14" t="s">
        <v>40</v>
      </c>
      <c r="K682" s="14" t="s">
        <v>1186</v>
      </c>
      <c r="L682" s="14" t="s">
        <v>559</v>
      </c>
      <c r="M682" s="14" t="s">
        <v>43</v>
      </c>
      <c r="N682" s="17"/>
      <c r="O682" s="17"/>
      <c r="P682" s="14"/>
      <c r="Q682" s="14" t="s">
        <v>502</v>
      </c>
      <c r="R682" s="13">
        <f>HYPERLINK("https://app.hubspot.com/contacts/8748051/record/0-2/7514043522", 7514043522)</f>
        <v>7514043522</v>
      </c>
      <c r="S682" s="14" t="s">
        <v>2275</v>
      </c>
      <c r="T682" s="18" t="s">
        <v>2276</v>
      </c>
      <c r="U682" s="14" t="s">
        <v>46</v>
      </c>
      <c r="V682" s="22"/>
      <c r="W682" s="19">
        <v>197.0</v>
      </c>
      <c r="X682" s="19">
        <v>29.0</v>
      </c>
      <c r="Y682" s="20" t="s">
        <v>104</v>
      </c>
      <c r="Z682" s="21"/>
      <c r="AA682" s="21"/>
      <c r="AB682" s="21"/>
      <c r="AC682" s="21"/>
      <c r="AD682" s="21"/>
      <c r="AE682" s="21"/>
      <c r="AF682" s="17" t="str">
        <f t="shared" si="1"/>
        <v>New Logo</v>
      </c>
      <c r="AG682" s="17" t="str">
        <f t="shared" si="2"/>
        <v>Lead</v>
      </c>
      <c r="AH682" s="17" t="str">
        <f t="shared" si="3"/>
        <v>0-200</v>
      </c>
      <c r="AI682" s="17" t="str">
        <f t="shared" si="4"/>
        <v>21-50</v>
      </c>
    </row>
    <row r="683" ht="15.75" customHeight="1">
      <c r="A683" s="13">
        <f>HYPERLINK("https://app.hubspot.com/contacts/8748051/record/0-3/17271324481", 17271324481)</f>
        <v>17271324481</v>
      </c>
      <c r="B683" s="14" t="s">
        <v>2277</v>
      </c>
      <c r="C683" s="14" t="s">
        <v>37</v>
      </c>
      <c r="D683" s="15">
        <v>91500.0</v>
      </c>
      <c r="E683" s="14" t="s">
        <v>118</v>
      </c>
      <c r="F683" s="14"/>
      <c r="G683" s="16">
        <v>45322.475486111114</v>
      </c>
      <c r="H683" s="16">
        <v>45380.53923611111</v>
      </c>
      <c r="I683" s="14" t="s">
        <v>39</v>
      </c>
      <c r="J683" s="14" t="s">
        <v>40</v>
      </c>
      <c r="K683" s="14"/>
      <c r="L683" s="14" t="s">
        <v>180</v>
      </c>
      <c r="M683" s="14" t="s">
        <v>43</v>
      </c>
      <c r="N683" s="14"/>
      <c r="O683" s="14"/>
      <c r="P683" s="14" t="s">
        <v>119</v>
      </c>
      <c r="Q683" s="14"/>
      <c r="R683" s="13">
        <f>HYPERLINK("https://app.hubspot.com/contacts/8748051/record/0-2/14810866220", 14810866220)</f>
        <v>14810866220</v>
      </c>
      <c r="S683" s="14" t="s">
        <v>2278</v>
      </c>
      <c r="T683" s="18" t="s">
        <v>2279</v>
      </c>
      <c r="U683" s="14" t="s">
        <v>46</v>
      </c>
      <c r="V683" s="15"/>
      <c r="W683" s="19">
        <v>1317.0</v>
      </c>
      <c r="X683" s="19">
        <v>234.0</v>
      </c>
      <c r="Y683" s="20" t="s">
        <v>104</v>
      </c>
      <c r="Z683" s="20"/>
      <c r="AA683" s="20"/>
      <c r="AB683" s="21"/>
      <c r="AC683" s="20"/>
      <c r="AD683" s="20"/>
      <c r="AE683" s="20"/>
      <c r="AF683" s="17" t="str">
        <f t="shared" si="1"/>
        <v>New Logo</v>
      </c>
      <c r="AG683" s="17" t="str">
        <f t="shared" si="2"/>
        <v>Lead</v>
      </c>
      <c r="AH683" s="17" t="str">
        <f t="shared" si="3"/>
        <v>1001-5000</v>
      </c>
      <c r="AI683" s="17" t="str">
        <f t="shared" si="4"/>
        <v>101-500</v>
      </c>
    </row>
    <row r="684" ht="15.75" customHeight="1">
      <c r="A684" s="13">
        <f>HYPERLINK("https://app.hubspot.com/contacts/8748051/record/0-3/17244404402", 17244404402)</f>
        <v>17244404402</v>
      </c>
      <c r="B684" s="14" t="s">
        <v>2280</v>
      </c>
      <c r="C684" s="14" t="s">
        <v>145</v>
      </c>
      <c r="D684" s="15">
        <v>22000.0</v>
      </c>
      <c r="E684" s="14" t="s">
        <v>118</v>
      </c>
      <c r="F684" s="14"/>
      <c r="G684" s="16">
        <v>45321.56104166667</v>
      </c>
      <c r="H684" s="16">
        <v>45503.60115740741</v>
      </c>
      <c r="I684" s="14" t="s">
        <v>39</v>
      </c>
      <c r="J684" s="14" t="s">
        <v>40</v>
      </c>
      <c r="K684" s="14" t="s">
        <v>1186</v>
      </c>
      <c r="L684" s="14" t="s">
        <v>559</v>
      </c>
      <c r="M684" s="14" t="s">
        <v>43</v>
      </c>
      <c r="N684" s="17"/>
      <c r="O684" s="14"/>
      <c r="P684" s="14" t="s">
        <v>260</v>
      </c>
      <c r="Q684" s="14"/>
      <c r="R684" s="13">
        <f>HYPERLINK("https://app.hubspot.com/contacts/8748051/record/0-2/6266140957", 6266140957)</f>
        <v>6266140957</v>
      </c>
      <c r="S684" s="14" t="s">
        <v>2281</v>
      </c>
      <c r="T684" s="18" t="s">
        <v>2282</v>
      </c>
      <c r="U684" s="14" t="s">
        <v>46</v>
      </c>
      <c r="V684" s="22"/>
      <c r="W684" s="19">
        <v>303.0</v>
      </c>
      <c r="X684" s="19">
        <v>51.0</v>
      </c>
      <c r="Y684" s="20"/>
      <c r="Z684" s="21"/>
      <c r="AA684" s="21"/>
      <c r="AB684" s="21"/>
      <c r="AC684" s="21"/>
      <c r="AD684" s="21"/>
      <c r="AE684" s="21"/>
      <c r="AF684" s="17" t="str">
        <f t="shared" si="1"/>
        <v>New Logo</v>
      </c>
      <c r="AG684" s="17" t="str">
        <f t="shared" si="2"/>
        <v>Lead</v>
      </c>
      <c r="AH684" s="17" t="str">
        <f t="shared" si="3"/>
        <v>201-500</v>
      </c>
      <c r="AI684" s="17" t="str">
        <f t="shared" si="4"/>
        <v>51-100</v>
      </c>
    </row>
    <row r="685" ht="15.75" customHeight="1">
      <c r="A685" s="13">
        <f>HYPERLINK("https://app.hubspot.com/contacts/8748051/record/0-3/17181931842", 17181931842)</f>
        <v>17181931842</v>
      </c>
      <c r="B685" s="14" t="s">
        <v>2283</v>
      </c>
      <c r="C685" s="14" t="s">
        <v>37</v>
      </c>
      <c r="D685" s="15">
        <v>3000.0</v>
      </c>
      <c r="E685" s="14" t="s">
        <v>118</v>
      </c>
      <c r="F685" s="14"/>
      <c r="G685" s="16">
        <v>45318.3283912037</v>
      </c>
      <c r="H685" s="16">
        <v>45500.368483796294</v>
      </c>
      <c r="I685" s="14" t="s">
        <v>39</v>
      </c>
      <c r="J685" s="14" t="s">
        <v>52</v>
      </c>
      <c r="K685" s="14" t="s">
        <v>1186</v>
      </c>
      <c r="L685" s="14" t="s">
        <v>559</v>
      </c>
      <c r="M685" s="14" t="s">
        <v>72</v>
      </c>
      <c r="N685" s="14"/>
      <c r="O685" s="14"/>
      <c r="P685" s="14" t="s">
        <v>119</v>
      </c>
      <c r="Q685" s="17"/>
      <c r="R685" s="13">
        <f>HYPERLINK("https://app.hubspot.com/contacts/8748051/record/0-2/18808860831", 18808860831)</f>
        <v>18808860831</v>
      </c>
      <c r="S685" s="14" t="s">
        <v>2284</v>
      </c>
      <c r="T685" s="18" t="s">
        <v>2285</v>
      </c>
      <c r="U685" s="14" t="s">
        <v>46</v>
      </c>
      <c r="V685" s="15"/>
      <c r="W685" s="19">
        <v>110.0</v>
      </c>
      <c r="X685" s="19">
        <v>9.0</v>
      </c>
      <c r="Y685" s="20"/>
      <c r="Z685" s="20"/>
      <c r="AA685" s="20"/>
      <c r="AB685" s="21"/>
      <c r="AC685" s="20"/>
      <c r="AD685" s="20"/>
      <c r="AE685" s="20"/>
      <c r="AF685" s="17" t="str">
        <f t="shared" si="1"/>
        <v>New Logo</v>
      </c>
      <c r="AG685" s="17" t="str">
        <f t="shared" si="2"/>
        <v>Lead</v>
      </c>
      <c r="AH685" s="17" t="str">
        <f t="shared" si="3"/>
        <v>0-200</v>
      </c>
      <c r="AI685" s="17" t="str">
        <f t="shared" si="4"/>
        <v>0-20</v>
      </c>
    </row>
    <row r="686" ht="15.75" customHeight="1">
      <c r="A686" s="13">
        <f>HYPERLINK("https://app.hubspot.com/contacts/8748051/record/0-3/17183749773", 17183749773)</f>
        <v>17183749773</v>
      </c>
      <c r="B686" s="14" t="s">
        <v>2286</v>
      </c>
      <c r="C686" s="14" t="s">
        <v>1008</v>
      </c>
      <c r="D686" s="15">
        <v>47500.0</v>
      </c>
      <c r="E686" s="14" t="s">
        <v>118</v>
      </c>
      <c r="F686" s="14"/>
      <c r="G686" s="16">
        <v>45318.32622685185</v>
      </c>
      <c r="H686" s="16">
        <v>45500.36704861111</v>
      </c>
      <c r="I686" s="14" t="s">
        <v>39</v>
      </c>
      <c r="J686" s="14" t="s">
        <v>52</v>
      </c>
      <c r="K686" s="14" t="s">
        <v>1186</v>
      </c>
      <c r="L686" s="14" t="s">
        <v>559</v>
      </c>
      <c r="M686" s="14" t="s">
        <v>72</v>
      </c>
      <c r="N686" s="17"/>
      <c r="O686" s="14"/>
      <c r="P686" s="14" t="s">
        <v>119</v>
      </c>
      <c r="Q686" s="14"/>
      <c r="R686" s="13">
        <f>HYPERLINK("https://app.hubspot.com/contacts/8748051/record/0-2/9237584657", 9237584657)</f>
        <v>9237584657</v>
      </c>
      <c r="S686" s="14" t="s">
        <v>2287</v>
      </c>
      <c r="T686" s="18" t="s">
        <v>2288</v>
      </c>
      <c r="U686" s="14" t="s">
        <v>46</v>
      </c>
      <c r="V686" s="22"/>
      <c r="W686" s="19">
        <v>558.0</v>
      </c>
      <c r="X686" s="19">
        <v>94.0</v>
      </c>
      <c r="Y686" s="20" t="s">
        <v>104</v>
      </c>
      <c r="Z686" s="21"/>
      <c r="AA686" s="21"/>
      <c r="AB686" s="21"/>
      <c r="AC686" s="21"/>
      <c r="AD686" s="21"/>
      <c r="AE686" s="21"/>
      <c r="AF686" s="17" t="str">
        <f t="shared" si="1"/>
        <v>New Logo</v>
      </c>
      <c r="AG686" s="17" t="str">
        <f t="shared" si="2"/>
        <v>Lead</v>
      </c>
      <c r="AH686" s="17" t="str">
        <f t="shared" si="3"/>
        <v>501-1000</v>
      </c>
      <c r="AI686" s="17" t="str">
        <f t="shared" si="4"/>
        <v>51-100</v>
      </c>
    </row>
    <row r="687" ht="15.75" customHeight="1">
      <c r="A687" s="13">
        <f>HYPERLINK("https://app.hubspot.com/contacts/8748051/record/0-3/17181670915", 17181670915)</f>
        <v>17181670915</v>
      </c>
      <c r="B687" s="14" t="s">
        <v>2289</v>
      </c>
      <c r="C687" s="14" t="s">
        <v>37</v>
      </c>
      <c r="D687" s="15">
        <v>29000.0</v>
      </c>
      <c r="E687" s="14" t="s">
        <v>118</v>
      </c>
      <c r="F687" s="14"/>
      <c r="G687" s="16">
        <v>45318.317881944444</v>
      </c>
      <c r="H687" s="16">
        <v>45500.35545138889</v>
      </c>
      <c r="I687" s="14" t="s">
        <v>39</v>
      </c>
      <c r="J687" s="14" t="s">
        <v>52</v>
      </c>
      <c r="K687" s="14" t="s">
        <v>1186</v>
      </c>
      <c r="L687" s="14" t="s">
        <v>559</v>
      </c>
      <c r="M687" s="14" t="s">
        <v>72</v>
      </c>
      <c r="N687" s="14"/>
      <c r="O687" s="17"/>
      <c r="P687" s="14" t="s">
        <v>211</v>
      </c>
      <c r="Q687" s="14"/>
      <c r="R687" s="13">
        <f>HYPERLINK("https://app.hubspot.com/contacts/8748051/record/0-2/8310486294", 8310486294)</f>
        <v>8310486294</v>
      </c>
      <c r="S687" s="14" t="s">
        <v>2290</v>
      </c>
      <c r="T687" s="18" t="s">
        <v>2291</v>
      </c>
      <c r="U687" s="14" t="s">
        <v>46</v>
      </c>
      <c r="V687" s="15"/>
      <c r="W687" s="19">
        <v>394.0</v>
      </c>
      <c r="X687" s="19">
        <v>64.0</v>
      </c>
      <c r="Y687" s="20" t="s">
        <v>2292</v>
      </c>
      <c r="Z687" s="20"/>
      <c r="AA687" s="21"/>
      <c r="AB687" s="21"/>
      <c r="AC687" s="20"/>
      <c r="AD687" s="21"/>
      <c r="AE687" s="20"/>
      <c r="AF687" s="17" t="str">
        <f t="shared" si="1"/>
        <v>New Logo</v>
      </c>
      <c r="AG687" s="17" t="str">
        <f t="shared" si="2"/>
        <v>Lead</v>
      </c>
      <c r="AH687" s="17" t="str">
        <f t="shared" si="3"/>
        <v>201-500</v>
      </c>
      <c r="AI687" s="17" t="str">
        <f t="shared" si="4"/>
        <v>51-100</v>
      </c>
    </row>
    <row r="688" ht="15.75" customHeight="1">
      <c r="A688" s="13">
        <f>HYPERLINK("https://app.hubspot.com/contacts/8748051/record/0-3/17182254377", 17182254377)</f>
        <v>17182254377</v>
      </c>
      <c r="B688" s="14" t="s">
        <v>2293</v>
      </c>
      <c r="C688" s="14" t="s">
        <v>49</v>
      </c>
      <c r="D688" s="15">
        <v>37000.0</v>
      </c>
      <c r="E688" s="14" t="s">
        <v>124</v>
      </c>
      <c r="F688" s="14" t="s">
        <v>51</v>
      </c>
      <c r="G688" s="16">
        <v>45318.30876157407</v>
      </c>
      <c r="H688" s="16">
        <v>45443.291550925926</v>
      </c>
      <c r="I688" s="14" t="s">
        <v>39</v>
      </c>
      <c r="J688" s="14" t="s">
        <v>40</v>
      </c>
      <c r="K688" s="14" t="s">
        <v>41</v>
      </c>
      <c r="L688" s="14" t="s">
        <v>42</v>
      </c>
      <c r="M688" s="14" t="s">
        <v>98</v>
      </c>
      <c r="N688" s="14"/>
      <c r="O688" s="17"/>
      <c r="P688" s="14"/>
      <c r="Q688" s="14" t="s">
        <v>195</v>
      </c>
      <c r="R688" s="13">
        <f>HYPERLINK("https://app.hubspot.com/contacts/8748051/record/0-2/8816517268", 8816517268)</f>
        <v>8816517268</v>
      </c>
      <c r="S688" s="14" t="s">
        <v>1243</v>
      </c>
      <c r="T688" s="18" t="s">
        <v>1244</v>
      </c>
      <c r="U688" s="14" t="s">
        <v>46</v>
      </c>
      <c r="V688" s="15"/>
      <c r="W688" s="19">
        <v>608.0</v>
      </c>
      <c r="X688" s="19">
        <v>100.0</v>
      </c>
      <c r="Y688" s="20" t="s">
        <v>1245</v>
      </c>
      <c r="Z688" s="20"/>
      <c r="AA688" s="21"/>
      <c r="AB688" s="20"/>
      <c r="AC688" s="20"/>
      <c r="AD688" s="20"/>
      <c r="AE688" s="20"/>
      <c r="AF688" s="17" t="str">
        <f t="shared" si="1"/>
        <v>New Logo</v>
      </c>
      <c r="AG688" s="17" t="str">
        <f t="shared" si="2"/>
        <v>Lead</v>
      </c>
      <c r="AH688" s="17" t="str">
        <f t="shared" si="3"/>
        <v>501-1000</v>
      </c>
      <c r="AI688" s="17" t="str">
        <f t="shared" si="4"/>
        <v>51-100</v>
      </c>
    </row>
    <row r="689" ht="15.75" customHeight="1">
      <c r="A689" s="13">
        <f>HYPERLINK("https://app.hubspot.com/contacts/8748051/record/0-3/17182254345", 17182254345)</f>
        <v>17182254345</v>
      </c>
      <c r="B689" s="14" t="s">
        <v>2294</v>
      </c>
      <c r="C689" s="14" t="s">
        <v>49</v>
      </c>
      <c r="D689" s="15">
        <v>25500.0</v>
      </c>
      <c r="E689" s="14" t="s">
        <v>118</v>
      </c>
      <c r="F689" s="14"/>
      <c r="G689" s="16">
        <v>45318.306921296295</v>
      </c>
      <c r="H689" s="16">
        <v>45657.31631944444</v>
      </c>
      <c r="I689" s="14" t="s">
        <v>39</v>
      </c>
      <c r="J689" s="14" t="s">
        <v>52</v>
      </c>
      <c r="K689" s="14" t="s">
        <v>59</v>
      </c>
      <c r="L689" s="14" t="s">
        <v>175</v>
      </c>
      <c r="M689" s="14" t="s">
        <v>98</v>
      </c>
      <c r="N689" s="14"/>
      <c r="O689" s="14"/>
      <c r="P689" s="14"/>
      <c r="Q689" s="14"/>
      <c r="R689" s="13">
        <f>HYPERLINK("https://app.hubspot.com/contacts/8748051/record/0-2/7934372530", 7934372530)</f>
        <v>7934372530</v>
      </c>
      <c r="S689" s="14" t="s">
        <v>2295</v>
      </c>
      <c r="T689" s="18" t="s">
        <v>2296</v>
      </c>
      <c r="U689" s="14" t="s">
        <v>46</v>
      </c>
      <c r="V689" s="15"/>
      <c r="W689" s="19">
        <v>886.0</v>
      </c>
      <c r="X689" s="19">
        <v>72.0</v>
      </c>
      <c r="Y689" s="20" t="s">
        <v>63</v>
      </c>
      <c r="Z689" s="20"/>
      <c r="AA689" s="20"/>
      <c r="AB689" s="21"/>
      <c r="AC689" s="20"/>
      <c r="AD689" s="20"/>
      <c r="AE689" s="20"/>
      <c r="AF689" s="17" t="str">
        <f t="shared" si="1"/>
        <v>New Logo</v>
      </c>
      <c r="AG689" s="17" t="str">
        <f t="shared" si="2"/>
        <v>Lead</v>
      </c>
      <c r="AH689" s="17" t="str">
        <f t="shared" si="3"/>
        <v>501-1000</v>
      </c>
      <c r="AI689" s="17" t="str">
        <f t="shared" si="4"/>
        <v>51-100</v>
      </c>
    </row>
    <row r="690" ht="15.75" customHeight="1">
      <c r="A690" s="13">
        <f>HYPERLINK("https://app.hubspot.com/contacts/8748051/record/0-3/17182007659", 17182007659)</f>
        <v>17182007659</v>
      </c>
      <c r="B690" s="14" t="s">
        <v>2297</v>
      </c>
      <c r="C690" s="14" t="s">
        <v>37</v>
      </c>
      <c r="D690" s="15">
        <v>12500.0</v>
      </c>
      <c r="E690" s="14" t="s">
        <v>118</v>
      </c>
      <c r="F690" s="14"/>
      <c r="G690" s="16">
        <v>45318.28592592593</v>
      </c>
      <c r="H690" s="16">
        <v>45535.17413194444</v>
      </c>
      <c r="I690" s="14" t="s">
        <v>39</v>
      </c>
      <c r="J690" s="14" t="s">
        <v>40</v>
      </c>
      <c r="K690" s="14" t="s">
        <v>59</v>
      </c>
      <c r="L690" s="14" t="s">
        <v>175</v>
      </c>
      <c r="M690" s="14" t="s">
        <v>72</v>
      </c>
      <c r="N690" s="14"/>
      <c r="O690" s="17"/>
      <c r="P690" s="14" t="s">
        <v>119</v>
      </c>
      <c r="Q690" s="14"/>
      <c r="R690" s="13">
        <f>HYPERLINK("https://app.hubspot.com/contacts/8748051/record/0-2/14809233430", 14809233430)</f>
        <v>14809233430</v>
      </c>
      <c r="S690" s="14" t="s">
        <v>2298</v>
      </c>
      <c r="T690" s="18" t="s">
        <v>2299</v>
      </c>
      <c r="U690" s="14" t="s">
        <v>46</v>
      </c>
      <c r="V690" s="15"/>
      <c r="W690" s="19">
        <v>145.0</v>
      </c>
      <c r="X690" s="19">
        <v>21.0</v>
      </c>
      <c r="Y690" s="20" t="s">
        <v>55</v>
      </c>
      <c r="Z690" s="20"/>
      <c r="AA690" s="20"/>
      <c r="AB690" s="20"/>
      <c r="AC690" s="20"/>
      <c r="AD690" s="20"/>
      <c r="AE690" s="20"/>
      <c r="AF690" s="17" t="str">
        <f t="shared" si="1"/>
        <v>New Logo</v>
      </c>
      <c r="AG690" s="17" t="str">
        <f t="shared" si="2"/>
        <v>Lead</v>
      </c>
      <c r="AH690" s="17" t="str">
        <f t="shared" si="3"/>
        <v>0-200</v>
      </c>
      <c r="AI690" s="17" t="str">
        <f t="shared" si="4"/>
        <v>21-50</v>
      </c>
    </row>
    <row r="691" ht="15.75" customHeight="1">
      <c r="A691" s="13">
        <f>HYPERLINK("https://app.hubspot.com/contacts/8748051/record/0-3/17181518890", 17181518890)</f>
        <v>17181518890</v>
      </c>
      <c r="B691" s="14" t="s">
        <v>2300</v>
      </c>
      <c r="C691" s="14" t="s">
        <v>1008</v>
      </c>
      <c r="D691" s="15">
        <v>100000.0</v>
      </c>
      <c r="E691" s="14" t="s">
        <v>118</v>
      </c>
      <c r="F691" s="14"/>
      <c r="G691" s="16">
        <v>45318.26498842592</v>
      </c>
      <c r="H691" s="16">
        <v>45473.30630787037</v>
      </c>
      <c r="I691" s="14" t="s">
        <v>39</v>
      </c>
      <c r="J691" s="14" t="s">
        <v>52</v>
      </c>
      <c r="K691" s="14" t="s">
        <v>1186</v>
      </c>
      <c r="L691" s="14" t="s">
        <v>559</v>
      </c>
      <c r="M691" s="14" t="s">
        <v>72</v>
      </c>
      <c r="N691" s="14"/>
      <c r="O691" s="14"/>
      <c r="P691" s="14" t="s">
        <v>211</v>
      </c>
      <c r="Q691" s="14"/>
      <c r="R691" s="13">
        <f>HYPERLINK("https://app.hubspot.com/contacts/8748051/record/0-2/9238357425", 9238357425)</f>
        <v>9238357425</v>
      </c>
      <c r="S691" s="14" t="s">
        <v>2301</v>
      </c>
      <c r="T691" s="18" t="s">
        <v>2302</v>
      </c>
      <c r="U691" s="14" t="s">
        <v>46</v>
      </c>
      <c r="V691" s="15"/>
      <c r="W691" s="19">
        <v>6521.0</v>
      </c>
      <c r="X691" s="19">
        <v>1039.0</v>
      </c>
      <c r="Y691" s="20" t="s">
        <v>371</v>
      </c>
      <c r="Z691" s="20"/>
      <c r="AA691" s="20"/>
      <c r="AB691" s="21"/>
      <c r="AC691" s="20"/>
      <c r="AD691" s="20"/>
      <c r="AE691" s="20"/>
      <c r="AF691" s="17" t="str">
        <f t="shared" si="1"/>
        <v>New Logo</v>
      </c>
      <c r="AG691" s="17" t="str">
        <f t="shared" si="2"/>
        <v>Lead</v>
      </c>
      <c r="AH691" s="17" t="str">
        <f t="shared" si="3"/>
        <v>5000-10000</v>
      </c>
      <c r="AI691" s="17" t="str">
        <f t="shared" si="4"/>
        <v>500+</v>
      </c>
    </row>
    <row r="692" ht="15.75" customHeight="1">
      <c r="A692" s="13">
        <f>HYPERLINK("https://app.hubspot.com/contacts/8748051/record/0-3/17172389960", 17172389960)</f>
        <v>17172389960</v>
      </c>
      <c r="B692" s="14" t="s">
        <v>2303</v>
      </c>
      <c r="C692" s="14" t="s">
        <v>2304</v>
      </c>
      <c r="D692" s="15">
        <v>29500.0</v>
      </c>
      <c r="E692" s="14" t="s">
        <v>89</v>
      </c>
      <c r="F692" s="14" t="s">
        <v>51</v>
      </c>
      <c r="G692" s="16">
        <v>45317.58818287037</v>
      </c>
      <c r="H692" s="16">
        <v>45358.660208333335</v>
      </c>
      <c r="I692" s="14" t="s">
        <v>39</v>
      </c>
      <c r="J692" s="14" t="s">
        <v>52</v>
      </c>
      <c r="K692" s="14" t="s">
        <v>1186</v>
      </c>
      <c r="L692" s="14" t="s">
        <v>180</v>
      </c>
      <c r="M692" s="14" t="s">
        <v>43</v>
      </c>
      <c r="N692" s="14" t="s">
        <v>2305</v>
      </c>
      <c r="O692" s="17"/>
      <c r="P692" s="14"/>
      <c r="Q692" s="14"/>
      <c r="R692" s="13">
        <f>HYPERLINK("https://app.hubspot.com/contacts/8748051/record/0-2/6816601476", 6816601476)</f>
        <v>6816601476</v>
      </c>
      <c r="S692" s="14" t="s">
        <v>1077</v>
      </c>
      <c r="T692" s="18" t="s">
        <v>1078</v>
      </c>
      <c r="U692" s="14" t="s">
        <v>93</v>
      </c>
      <c r="V692" s="15">
        <v>32450.0</v>
      </c>
      <c r="W692" s="19">
        <v>203.0</v>
      </c>
      <c r="X692" s="19">
        <v>40.0</v>
      </c>
      <c r="Y692" s="20"/>
      <c r="Z692" s="20" t="s">
        <v>205</v>
      </c>
      <c r="AA692" s="20" t="s">
        <v>192</v>
      </c>
      <c r="AB692" s="21"/>
      <c r="AC692" s="20" t="s">
        <v>876</v>
      </c>
      <c r="AD692" s="20" t="s">
        <v>1079</v>
      </c>
      <c r="AE692" s="20" t="s">
        <v>553</v>
      </c>
      <c r="AF692" s="17" t="str">
        <f t="shared" si="1"/>
        <v>New Logo</v>
      </c>
      <c r="AG692" s="17" t="str">
        <f t="shared" si="2"/>
        <v>Customer</v>
      </c>
      <c r="AH692" s="17" t="str">
        <f t="shared" si="3"/>
        <v>201-500</v>
      </c>
      <c r="AI692" s="17" t="str">
        <f t="shared" si="4"/>
        <v>21-50</v>
      </c>
    </row>
    <row r="693" ht="15.75" customHeight="1">
      <c r="A693" s="13">
        <f>HYPERLINK("https://app.hubspot.com/contacts/8748051/record/0-3/17157154989", 17157154989)</f>
        <v>17157154989</v>
      </c>
      <c r="B693" s="14" t="s">
        <v>2306</v>
      </c>
      <c r="C693" s="14" t="s">
        <v>1008</v>
      </c>
      <c r="D693" s="15">
        <v>18480.0</v>
      </c>
      <c r="E693" s="14" t="s">
        <v>124</v>
      </c>
      <c r="F693" s="14" t="s">
        <v>51</v>
      </c>
      <c r="G693" s="16">
        <v>45316.492951388886</v>
      </c>
      <c r="H693" s="16">
        <v>45590.63245370371</v>
      </c>
      <c r="I693" s="14" t="s">
        <v>39</v>
      </c>
      <c r="J693" s="14" t="s">
        <v>40</v>
      </c>
      <c r="K693" s="14" t="s">
        <v>1186</v>
      </c>
      <c r="L693" s="14" t="s">
        <v>559</v>
      </c>
      <c r="M693" s="14" t="s">
        <v>43</v>
      </c>
      <c r="N693" s="17"/>
      <c r="O693" s="17"/>
      <c r="P693" s="14"/>
      <c r="Q693" s="14"/>
      <c r="R693" s="13">
        <f>HYPERLINK("https://app.hubspot.com/contacts/8748051/record/0-2/7893829192", 7893829192)</f>
        <v>7893829192</v>
      </c>
      <c r="S693" s="14" t="s">
        <v>2307</v>
      </c>
      <c r="T693" s="18" t="s">
        <v>2308</v>
      </c>
      <c r="U693" s="14" t="s">
        <v>46</v>
      </c>
      <c r="V693" s="22"/>
      <c r="W693" s="19">
        <v>456.0</v>
      </c>
      <c r="X693" s="19">
        <v>79.0</v>
      </c>
      <c r="Y693" s="20" t="s">
        <v>70</v>
      </c>
      <c r="Z693" s="21"/>
      <c r="AA693" s="21"/>
      <c r="AB693" s="21"/>
      <c r="AC693" s="21"/>
      <c r="AD693" s="21"/>
      <c r="AE693" s="21"/>
      <c r="AF693" s="17" t="str">
        <f t="shared" si="1"/>
        <v>New Logo</v>
      </c>
      <c r="AG693" s="17" t="str">
        <f t="shared" si="2"/>
        <v>Lead</v>
      </c>
      <c r="AH693" s="17" t="str">
        <f t="shared" si="3"/>
        <v>201-500</v>
      </c>
      <c r="AI693" s="17" t="str">
        <f t="shared" si="4"/>
        <v>51-100</v>
      </c>
    </row>
    <row r="694" ht="15.75" customHeight="1">
      <c r="A694" s="13">
        <f>HYPERLINK("https://app.hubspot.com/contacts/8748051/record/0-3/17156438330", 17156438330)</f>
        <v>17156438330</v>
      </c>
      <c r="B694" s="14" t="s">
        <v>2309</v>
      </c>
      <c r="C694" s="14" t="s">
        <v>49</v>
      </c>
      <c r="D694" s="15">
        <v>6500.0</v>
      </c>
      <c r="E694" s="14" t="s">
        <v>118</v>
      </c>
      <c r="F694" s="14"/>
      <c r="G694" s="16">
        <v>45316.44545138889</v>
      </c>
      <c r="H694" s="16">
        <v>45498.44511574074</v>
      </c>
      <c r="I694" s="14" t="s">
        <v>39</v>
      </c>
      <c r="J694" s="14" t="s">
        <v>40</v>
      </c>
      <c r="K694" s="14" t="s">
        <v>1186</v>
      </c>
      <c r="L694" s="14" t="s">
        <v>559</v>
      </c>
      <c r="M694" s="14" t="s">
        <v>43</v>
      </c>
      <c r="N694" s="17"/>
      <c r="O694" s="17"/>
      <c r="P694" s="14" t="s">
        <v>232</v>
      </c>
      <c r="Q694" s="14"/>
      <c r="R694" s="13">
        <f>HYPERLINK("https://app.hubspot.com/contacts/8748051/record/0-2/9238413945", 9238413945)</f>
        <v>9238413945</v>
      </c>
      <c r="S694" s="14" t="s">
        <v>2310</v>
      </c>
      <c r="T694" s="18" t="s">
        <v>2311</v>
      </c>
      <c r="U694" s="14" t="s">
        <v>46</v>
      </c>
      <c r="V694" s="22"/>
      <c r="W694" s="19">
        <v>162.0</v>
      </c>
      <c r="X694" s="19">
        <v>15.0</v>
      </c>
      <c r="Y694" s="20"/>
      <c r="Z694" s="21"/>
      <c r="AA694" s="21"/>
      <c r="AB694" s="21"/>
      <c r="AC694" s="21"/>
      <c r="AD694" s="21"/>
      <c r="AE694" s="21"/>
      <c r="AF694" s="17" t="str">
        <f t="shared" si="1"/>
        <v>New Logo</v>
      </c>
      <c r="AG694" s="17" t="str">
        <f t="shared" si="2"/>
        <v>Lead</v>
      </c>
      <c r="AH694" s="17" t="str">
        <f t="shared" si="3"/>
        <v>0-200</v>
      </c>
      <c r="AI694" s="17" t="str">
        <f t="shared" si="4"/>
        <v>0-20</v>
      </c>
    </row>
    <row r="695" ht="15.75" customHeight="1">
      <c r="A695" s="13">
        <f>HYPERLINK("https://app.hubspot.com/contacts/8748051/record/0-3/17142319916", 17142319916)</f>
        <v>17142319916</v>
      </c>
      <c r="B695" s="14" t="s">
        <v>2312</v>
      </c>
      <c r="C695" s="14" t="s">
        <v>49</v>
      </c>
      <c r="D695" s="15">
        <v>89000.0</v>
      </c>
      <c r="E695" s="14" t="s">
        <v>118</v>
      </c>
      <c r="F695" s="14"/>
      <c r="G695" s="16">
        <v>45315.745717592596</v>
      </c>
      <c r="H695" s="16">
        <v>45497.740381944444</v>
      </c>
      <c r="I695" s="14" t="s">
        <v>39</v>
      </c>
      <c r="J695" s="14" t="s">
        <v>40</v>
      </c>
      <c r="K695" s="14" t="s">
        <v>1186</v>
      </c>
      <c r="L695" s="14" t="s">
        <v>559</v>
      </c>
      <c r="M695" s="14" t="s">
        <v>43</v>
      </c>
      <c r="N695" s="14"/>
      <c r="O695" s="17"/>
      <c r="P695" s="14" t="s">
        <v>260</v>
      </c>
      <c r="Q695" s="14"/>
      <c r="R695" s="13">
        <f>HYPERLINK("https://app.hubspot.com/contacts/8748051/record/0-2/9238284427", 9238284427)</f>
        <v>9238284427</v>
      </c>
      <c r="S695" s="14" t="s">
        <v>2313</v>
      </c>
      <c r="T695" s="18" t="s">
        <v>2314</v>
      </c>
      <c r="U695" s="14" t="s">
        <v>46</v>
      </c>
      <c r="V695" s="15"/>
      <c r="W695" s="19">
        <v>435.0</v>
      </c>
      <c r="X695" s="19">
        <v>273.0</v>
      </c>
      <c r="Y695" s="20" t="s">
        <v>104</v>
      </c>
      <c r="Z695" s="20"/>
      <c r="AA695" s="21"/>
      <c r="AB695" s="20"/>
      <c r="AC695" s="20"/>
      <c r="AD695" s="20"/>
      <c r="AE695" s="20"/>
      <c r="AF695" s="17" t="str">
        <f t="shared" si="1"/>
        <v>New Logo</v>
      </c>
      <c r="AG695" s="17" t="str">
        <f t="shared" si="2"/>
        <v>Lead</v>
      </c>
      <c r="AH695" s="17" t="str">
        <f t="shared" si="3"/>
        <v>201-500</v>
      </c>
      <c r="AI695" s="17" t="str">
        <f t="shared" si="4"/>
        <v>101-500</v>
      </c>
    </row>
    <row r="696" ht="15.75" customHeight="1">
      <c r="A696" s="13">
        <f>HYPERLINK("https://app.hubspot.com/contacts/8748051/record/0-3/17142722654", 17142722654)</f>
        <v>17142722654</v>
      </c>
      <c r="B696" s="14" t="s">
        <v>2315</v>
      </c>
      <c r="C696" s="14" t="s">
        <v>49</v>
      </c>
      <c r="D696" s="15">
        <v>10560.0</v>
      </c>
      <c r="E696" s="14" t="s">
        <v>124</v>
      </c>
      <c r="F696" s="14" t="s">
        <v>51</v>
      </c>
      <c r="G696" s="16">
        <v>45315.724074074074</v>
      </c>
      <c r="H696" s="16">
        <v>45625.599490740744</v>
      </c>
      <c r="I696" s="14" t="s">
        <v>39</v>
      </c>
      <c r="J696" s="14" t="s">
        <v>40</v>
      </c>
      <c r="K696" s="14" t="s">
        <v>1186</v>
      </c>
      <c r="L696" s="14" t="s">
        <v>559</v>
      </c>
      <c r="M696" s="14" t="s">
        <v>43</v>
      </c>
      <c r="N696" s="14"/>
      <c r="O696" s="17"/>
      <c r="P696" s="14"/>
      <c r="Q696" s="14" t="s">
        <v>373</v>
      </c>
      <c r="R696" s="13">
        <f>HYPERLINK("https://app.hubspot.com/contacts/8748051/record/0-2/9186970750", 9186970750)</f>
        <v>9186970750</v>
      </c>
      <c r="S696" s="14" t="s">
        <v>2316</v>
      </c>
      <c r="T696" s="18" t="s">
        <v>2317</v>
      </c>
      <c r="U696" s="14" t="s">
        <v>46</v>
      </c>
      <c r="V696" s="15"/>
      <c r="W696" s="19">
        <v>275.0</v>
      </c>
      <c r="X696" s="19">
        <v>38.0</v>
      </c>
      <c r="Y696" s="20"/>
      <c r="Z696" s="20"/>
      <c r="AA696" s="20"/>
      <c r="AB696" s="20"/>
      <c r="AC696" s="20"/>
      <c r="AD696" s="20"/>
      <c r="AE696" s="20"/>
      <c r="AF696" s="17" t="str">
        <f t="shared" si="1"/>
        <v>New Logo</v>
      </c>
      <c r="AG696" s="17" t="str">
        <f t="shared" si="2"/>
        <v>Lead</v>
      </c>
      <c r="AH696" s="17" t="str">
        <f t="shared" si="3"/>
        <v>201-500</v>
      </c>
      <c r="AI696" s="17" t="str">
        <f t="shared" si="4"/>
        <v>21-50</v>
      </c>
    </row>
    <row r="697" ht="15.75" customHeight="1">
      <c r="A697" s="13">
        <f>HYPERLINK("https://app.hubspot.com/contacts/8748051/record/0-3/17100968511", 17100968511)</f>
        <v>17100968511</v>
      </c>
      <c r="B697" s="14" t="s">
        <v>2318</v>
      </c>
      <c r="C697" s="14" t="s">
        <v>145</v>
      </c>
      <c r="D697" s="15">
        <v>29562.0</v>
      </c>
      <c r="E697" s="14" t="s">
        <v>89</v>
      </c>
      <c r="F697" s="14" t="s">
        <v>51</v>
      </c>
      <c r="G697" s="16">
        <v>45313.41743055556</v>
      </c>
      <c r="H697" s="16">
        <v>45541.50965277778</v>
      </c>
      <c r="I697" s="14" t="s">
        <v>39</v>
      </c>
      <c r="J697" s="14" t="s">
        <v>40</v>
      </c>
      <c r="K697" s="14" t="s">
        <v>41</v>
      </c>
      <c r="L697" s="14" t="s">
        <v>42</v>
      </c>
      <c r="M697" s="14" t="s">
        <v>43</v>
      </c>
      <c r="N697" s="14" t="s">
        <v>2319</v>
      </c>
      <c r="O697" s="17"/>
      <c r="P697" s="14"/>
      <c r="Q697" s="14"/>
      <c r="R697" s="13">
        <f>HYPERLINK("https://app.hubspot.com/contacts/8748051/record/0-2/15119716451", 15119716451)</f>
        <v>15119716451</v>
      </c>
      <c r="S697" s="14" t="s">
        <v>203</v>
      </c>
      <c r="T697" s="18" t="s">
        <v>204</v>
      </c>
      <c r="U697" s="14" t="s">
        <v>93</v>
      </c>
      <c r="V697" s="15">
        <v>28960.0</v>
      </c>
      <c r="W697" s="19">
        <v>406.0</v>
      </c>
      <c r="X697" s="19">
        <v>112.0</v>
      </c>
      <c r="Y697" s="20"/>
      <c r="Z697" s="20" t="s">
        <v>205</v>
      </c>
      <c r="AA697" s="20"/>
      <c r="AB697" s="20" t="s">
        <v>206</v>
      </c>
      <c r="AC697" s="20" t="s">
        <v>207</v>
      </c>
      <c r="AD697" s="20" t="s">
        <v>208</v>
      </c>
      <c r="AE697" s="20" t="s">
        <v>209</v>
      </c>
      <c r="AF697" s="17" t="str">
        <f t="shared" si="1"/>
        <v>New Logo</v>
      </c>
      <c r="AG697" s="17" t="str">
        <f t="shared" si="2"/>
        <v>Customer</v>
      </c>
      <c r="AH697" s="17" t="str">
        <f t="shared" si="3"/>
        <v>201-500</v>
      </c>
      <c r="AI697" s="17" t="str">
        <f t="shared" si="4"/>
        <v>101-500</v>
      </c>
    </row>
    <row r="698" ht="15.75" customHeight="1">
      <c r="A698" s="13">
        <f>HYPERLINK("https://app.hubspot.com/contacts/8748051/record/0-3/17097007914", 17097007914)</f>
        <v>17097007914</v>
      </c>
      <c r="B698" s="14" t="s">
        <v>2320</v>
      </c>
      <c r="C698" s="14" t="s">
        <v>1227</v>
      </c>
      <c r="D698" s="15">
        <v>27500.0</v>
      </c>
      <c r="E698" s="14" t="s">
        <v>89</v>
      </c>
      <c r="F698" s="14" t="s">
        <v>51</v>
      </c>
      <c r="G698" s="16">
        <v>45313.13853009259</v>
      </c>
      <c r="H698" s="16">
        <v>45393.54377314815</v>
      </c>
      <c r="I698" s="14" t="s">
        <v>39</v>
      </c>
      <c r="J698" s="14" t="s">
        <v>40</v>
      </c>
      <c r="K698" s="14" t="s">
        <v>41</v>
      </c>
      <c r="L698" s="14" t="s">
        <v>42</v>
      </c>
      <c r="M698" s="14" t="s">
        <v>98</v>
      </c>
      <c r="N698" s="14" t="s">
        <v>2321</v>
      </c>
      <c r="O698" s="17"/>
      <c r="P698" s="14"/>
      <c r="Q698" s="14"/>
      <c r="R698" s="13">
        <f>HYPERLINK("https://app.hubspot.com/contacts/8748051/record/0-2/8950154645", 8950154645)</f>
        <v>8950154645</v>
      </c>
      <c r="S698" s="14" t="s">
        <v>189</v>
      </c>
      <c r="T698" s="18" t="s">
        <v>190</v>
      </c>
      <c r="U698" s="14" t="s">
        <v>93</v>
      </c>
      <c r="V698" s="15">
        <v>79564.0</v>
      </c>
      <c r="W698" s="19">
        <v>882.0</v>
      </c>
      <c r="X698" s="19">
        <v>60.0</v>
      </c>
      <c r="Y698" s="20"/>
      <c r="Z698" s="20" t="s">
        <v>191</v>
      </c>
      <c r="AA698" s="20" t="s">
        <v>192</v>
      </c>
      <c r="AB698" s="21"/>
      <c r="AC698" s="20" t="s">
        <v>193</v>
      </c>
      <c r="AD698" s="21"/>
      <c r="AE698" s="20" t="s">
        <v>166</v>
      </c>
      <c r="AF698" s="17" t="str">
        <f t="shared" si="1"/>
        <v>New Logo</v>
      </c>
      <c r="AG698" s="17" t="str">
        <f t="shared" si="2"/>
        <v>Customer</v>
      </c>
      <c r="AH698" s="17" t="str">
        <f t="shared" si="3"/>
        <v>501-1000</v>
      </c>
      <c r="AI698" s="17" t="str">
        <f t="shared" si="4"/>
        <v>51-100</v>
      </c>
    </row>
    <row r="699" ht="15.75" customHeight="1">
      <c r="A699" s="13">
        <f>HYPERLINK("https://app.hubspot.com/contacts/8748051/record/0-3/17095789349", 17095789349)</f>
        <v>17095789349</v>
      </c>
      <c r="B699" s="14" t="s">
        <v>2322</v>
      </c>
      <c r="C699" s="14" t="s">
        <v>1008</v>
      </c>
      <c r="D699" s="15">
        <v>20500.0</v>
      </c>
      <c r="E699" s="14" t="s">
        <v>118</v>
      </c>
      <c r="F699" s="14" t="s">
        <v>51</v>
      </c>
      <c r="G699" s="16">
        <v>45313.13003472222</v>
      </c>
      <c r="H699" s="16">
        <v>45443.17152777778</v>
      </c>
      <c r="I699" s="14" t="s">
        <v>39</v>
      </c>
      <c r="J699" s="14" t="s">
        <v>52</v>
      </c>
      <c r="K699" s="14" t="s">
        <v>1186</v>
      </c>
      <c r="L699" s="14" t="s">
        <v>559</v>
      </c>
      <c r="M699" s="14" t="s">
        <v>72</v>
      </c>
      <c r="N699" s="17"/>
      <c r="O699" s="14"/>
      <c r="P699" s="14" t="s">
        <v>119</v>
      </c>
      <c r="Q699" s="14"/>
      <c r="R699" s="13">
        <f>HYPERLINK("https://app.hubspot.com/contacts/8748051/record/0-2/9132245851", 9132245851)</f>
        <v>9132245851</v>
      </c>
      <c r="S699" s="14" t="s">
        <v>2323</v>
      </c>
      <c r="T699" s="18" t="s">
        <v>2324</v>
      </c>
      <c r="U699" s="14" t="s">
        <v>46</v>
      </c>
      <c r="V699" s="22"/>
      <c r="W699" s="19">
        <v>293.0</v>
      </c>
      <c r="X699" s="19">
        <v>44.0</v>
      </c>
      <c r="Y699" s="20" t="s">
        <v>104</v>
      </c>
      <c r="Z699" s="21"/>
      <c r="AA699" s="21"/>
      <c r="AB699" s="21"/>
      <c r="AC699" s="21"/>
      <c r="AD699" s="21"/>
      <c r="AE699" s="21"/>
      <c r="AF699" s="17" t="str">
        <f t="shared" si="1"/>
        <v>New Logo</v>
      </c>
      <c r="AG699" s="17" t="str">
        <f t="shared" si="2"/>
        <v>Lead</v>
      </c>
      <c r="AH699" s="17" t="str">
        <f t="shared" si="3"/>
        <v>201-500</v>
      </c>
      <c r="AI699" s="17" t="str">
        <f t="shared" si="4"/>
        <v>21-50</v>
      </c>
    </row>
    <row r="700" ht="15.75" customHeight="1">
      <c r="A700" s="13">
        <f>HYPERLINK("https://app.hubspot.com/contacts/8748051/record/0-3/17019442080", 17019442080)</f>
        <v>17019442080</v>
      </c>
      <c r="B700" s="14" t="s">
        <v>2325</v>
      </c>
      <c r="C700" s="14" t="s">
        <v>49</v>
      </c>
      <c r="D700" s="15">
        <v>6500.0</v>
      </c>
      <c r="E700" s="14" t="s">
        <v>124</v>
      </c>
      <c r="F700" s="14" t="s">
        <v>51</v>
      </c>
      <c r="G700" s="16">
        <v>45309.43614583334</v>
      </c>
      <c r="H700" s="16">
        <v>45412.44521990741</v>
      </c>
      <c r="I700" s="14" t="s">
        <v>39</v>
      </c>
      <c r="J700" s="14" t="s">
        <v>40</v>
      </c>
      <c r="K700" s="14" t="s">
        <v>1186</v>
      </c>
      <c r="L700" s="14" t="s">
        <v>559</v>
      </c>
      <c r="M700" s="14" t="s">
        <v>43</v>
      </c>
      <c r="N700" s="17"/>
      <c r="O700" s="14"/>
      <c r="P700" s="14"/>
      <c r="Q700" s="14" t="s">
        <v>125</v>
      </c>
      <c r="R700" s="13">
        <f>HYPERLINK("https://app.hubspot.com/contacts/8748051/record/0-2/7398575155", 7398575155)</f>
        <v>7398575155</v>
      </c>
      <c r="S700" s="14" t="s">
        <v>2326</v>
      </c>
      <c r="T700" s="18" t="s">
        <v>2327</v>
      </c>
      <c r="U700" s="14" t="s">
        <v>46</v>
      </c>
      <c r="V700" s="22"/>
      <c r="W700" s="19">
        <v>70.0</v>
      </c>
      <c r="X700" s="19">
        <v>7.0</v>
      </c>
      <c r="Y700" s="20"/>
      <c r="Z700" s="21"/>
      <c r="AA700" s="21"/>
      <c r="AB700" s="21"/>
      <c r="AC700" s="21"/>
      <c r="AD700" s="21"/>
      <c r="AE700" s="21"/>
      <c r="AF700" s="17" t="str">
        <f t="shared" si="1"/>
        <v>New Logo</v>
      </c>
      <c r="AG700" s="17" t="str">
        <f t="shared" si="2"/>
        <v>Lead</v>
      </c>
      <c r="AH700" s="17" t="str">
        <f t="shared" si="3"/>
        <v>0-200</v>
      </c>
      <c r="AI700" s="17" t="str">
        <f t="shared" si="4"/>
        <v>0-20</v>
      </c>
    </row>
    <row r="701" ht="15.75" customHeight="1">
      <c r="A701" s="13">
        <f>HYPERLINK("https://app.hubspot.com/contacts/8748051/record/0-3/17021084424", 17021084424)</f>
        <v>17021084424</v>
      </c>
      <c r="B701" s="14" t="s">
        <v>2328</v>
      </c>
      <c r="C701" s="14" t="s">
        <v>49</v>
      </c>
      <c r="D701" s="15">
        <v>8000.0</v>
      </c>
      <c r="E701" s="14" t="s">
        <v>124</v>
      </c>
      <c r="F701" s="14" t="s">
        <v>51</v>
      </c>
      <c r="G701" s="16">
        <v>45309.391689814816</v>
      </c>
      <c r="H701" s="16">
        <v>45838.67679398148</v>
      </c>
      <c r="I701" s="14" t="s">
        <v>39</v>
      </c>
      <c r="J701" s="14" t="s">
        <v>40</v>
      </c>
      <c r="K701" s="14" t="s">
        <v>1186</v>
      </c>
      <c r="L701" s="14" t="s">
        <v>559</v>
      </c>
      <c r="M701" s="14" t="s">
        <v>43</v>
      </c>
      <c r="N701" s="14"/>
      <c r="O701" s="14"/>
      <c r="P701" s="14"/>
      <c r="Q701" s="14" t="s">
        <v>373</v>
      </c>
      <c r="R701" s="13">
        <f>HYPERLINK("https://app.hubspot.com/contacts/8748051/record/0-2/8941103485", 8941103485)</f>
        <v>8941103485</v>
      </c>
      <c r="S701" s="14" t="s">
        <v>2329</v>
      </c>
      <c r="T701" s="18" t="s">
        <v>2330</v>
      </c>
      <c r="U701" s="14" t="s">
        <v>46</v>
      </c>
      <c r="V701" s="15"/>
      <c r="W701" s="19">
        <v>291.0</v>
      </c>
      <c r="X701" s="19">
        <v>47.0</v>
      </c>
      <c r="Y701" s="20"/>
      <c r="Z701" s="20"/>
      <c r="AA701" s="21"/>
      <c r="AB701" s="21"/>
      <c r="AC701" s="20"/>
      <c r="AD701" s="21"/>
      <c r="AE701" s="20"/>
      <c r="AF701" s="17" t="str">
        <f t="shared" si="1"/>
        <v>New Logo</v>
      </c>
      <c r="AG701" s="17" t="str">
        <f t="shared" si="2"/>
        <v>Lead</v>
      </c>
      <c r="AH701" s="17" t="str">
        <f t="shared" si="3"/>
        <v>201-500</v>
      </c>
      <c r="AI701" s="17" t="str">
        <f t="shared" si="4"/>
        <v>21-50</v>
      </c>
    </row>
    <row r="702" ht="15.75" customHeight="1">
      <c r="A702" s="13">
        <f>HYPERLINK("https://app.hubspot.com/contacts/8748051/record/0-3/16996544815", 16996544815)</f>
        <v>16996544815</v>
      </c>
      <c r="B702" s="14" t="s">
        <v>2331</v>
      </c>
      <c r="C702" s="14" t="s">
        <v>1008</v>
      </c>
      <c r="D702" s="15">
        <v>100000.0</v>
      </c>
      <c r="E702" s="14" t="s">
        <v>118</v>
      </c>
      <c r="F702" s="14"/>
      <c r="G702" s="16">
        <v>45308.2325</v>
      </c>
      <c r="H702" s="16">
        <v>45443.27365740741</v>
      </c>
      <c r="I702" s="14" t="s">
        <v>39</v>
      </c>
      <c r="J702" s="14" t="s">
        <v>52</v>
      </c>
      <c r="K702" s="14" t="s">
        <v>1186</v>
      </c>
      <c r="L702" s="14" t="s">
        <v>559</v>
      </c>
      <c r="M702" s="14" t="s">
        <v>72</v>
      </c>
      <c r="N702" s="14"/>
      <c r="O702" s="14"/>
      <c r="P702" s="14" t="s">
        <v>211</v>
      </c>
      <c r="Q702" s="14"/>
      <c r="R702" s="13">
        <f>HYPERLINK("https://app.hubspot.com/contacts/8748051/record/0-2/7646095542", 7646095542)</f>
        <v>7646095542</v>
      </c>
      <c r="S702" s="18" t="s">
        <v>2332</v>
      </c>
      <c r="T702" s="18" t="s">
        <v>2332</v>
      </c>
      <c r="U702" s="14" t="s">
        <v>46</v>
      </c>
      <c r="V702" s="15"/>
      <c r="W702" s="19">
        <v>3710.0</v>
      </c>
      <c r="X702" s="19">
        <v>771.0</v>
      </c>
      <c r="Y702" s="20" t="s">
        <v>2333</v>
      </c>
      <c r="Z702" s="20"/>
      <c r="AA702" s="20"/>
      <c r="AB702" s="21"/>
      <c r="AC702" s="20"/>
      <c r="AD702" s="20"/>
      <c r="AE702" s="20"/>
      <c r="AF702" s="17" t="str">
        <f t="shared" si="1"/>
        <v>New Logo</v>
      </c>
      <c r="AG702" s="17" t="str">
        <f t="shared" si="2"/>
        <v>Lead</v>
      </c>
      <c r="AH702" s="17" t="str">
        <f t="shared" si="3"/>
        <v>1001-5000</v>
      </c>
      <c r="AI702" s="17" t="str">
        <f t="shared" si="4"/>
        <v>500+</v>
      </c>
    </row>
    <row r="703" ht="15.75" customHeight="1">
      <c r="A703" s="13">
        <f>HYPERLINK("https://app.hubspot.com/contacts/8748051/record/0-3/16975731980", 16975731980)</f>
        <v>16975731980</v>
      </c>
      <c r="B703" s="14" t="s">
        <v>2334</v>
      </c>
      <c r="C703" s="14" t="s">
        <v>145</v>
      </c>
      <c r="D703" s="15">
        <v>36000.0</v>
      </c>
      <c r="E703" s="14" t="s">
        <v>124</v>
      </c>
      <c r="F703" s="14" t="s">
        <v>51</v>
      </c>
      <c r="G703" s="16">
        <v>45307.50824074074</v>
      </c>
      <c r="H703" s="16">
        <v>45473.595868055556</v>
      </c>
      <c r="I703" s="14" t="s">
        <v>39</v>
      </c>
      <c r="J703" s="14" t="s">
        <v>40</v>
      </c>
      <c r="K703" s="14" t="s">
        <v>1186</v>
      </c>
      <c r="L703" s="14" t="s">
        <v>559</v>
      </c>
      <c r="M703" s="14" t="s">
        <v>43</v>
      </c>
      <c r="N703" s="14"/>
      <c r="O703" s="14"/>
      <c r="P703" s="14"/>
      <c r="Q703" s="14" t="s">
        <v>141</v>
      </c>
      <c r="R703" s="13">
        <f>HYPERLINK("https://app.hubspot.com/contacts/8748051/record/0-2/8929748773", 8929748773)</f>
        <v>8929748773</v>
      </c>
      <c r="S703" s="14" t="s">
        <v>2335</v>
      </c>
      <c r="T703" s="18" t="s">
        <v>2336</v>
      </c>
      <c r="U703" s="14" t="s">
        <v>46</v>
      </c>
      <c r="V703" s="15"/>
      <c r="W703" s="19">
        <v>451.0</v>
      </c>
      <c r="X703" s="19">
        <v>81.0</v>
      </c>
      <c r="Y703" s="20" t="s">
        <v>63</v>
      </c>
      <c r="Z703" s="20"/>
      <c r="AA703" s="20"/>
      <c r="AB703" s="21"/>
      <c r="AC703" s="20"/>
      <c r="AD703" s="20"/>
      <c r="AE703" s="20"/>
      <c r="AF703" s="17" t="str">
        <f t="shared" si="1"/>
        <v>New Logo</v>
      </c>
      <c r="AG703" s="17" t="str">
        <f t="shared" si="2"/>
        <v>Lead</v>
      </c>
      <c r="AH703" s="17" t="str">
        <f t="shared" si="3"/>
        <v>201-500</v>
      </c>
      <c r="AI703" s="17" t="str">
        <f t="shared" si="4"/>
        <v>51-100</v>
      </c>
    </row>
    <row r="704" ht="15.75" customHeight="1">
      <c r="A704" s="13">
        <f>HYPERLINK("https://app.hubspot.com/contacts/8748051/record/0-3/16974250360", 16974250360)</f>
        <v>16974250360</v>
      </c>
      <c r="B704" s="14" t="s">
        <v>2337</v>
      </c>
      <c r="C704" s="14" t="s">
        <v>49</v>
      </c>
      <c r="D704" s="15">
        <v>91500.0</v>
      </c>
      <c r="E704" s="14" t="s">
        <v>118</v>
      </c>
      <c r="F704" s="14"/>
      <c r="G704" s="16">
        <v>45307.495150462964</v>
      </c>
      <c r="H704" s="16">
        <v>45412.53664351852</v>
      </c>
      <c r="I704" s="14" t="s">
        <v>39</v>
      </c>
      <c r="J704" s="14" t="s">
        <v>40</v>
      </c>
      <c r="K704" s="14" t="s">
        <v>1186</v>
      </c>
      <c r="L704" s="14" t="s">
        <v>559</v>
      </c>
      <c r="M704" s="14" t="s">
        <v>43</v>
      </c>
      <c r="N704" s="14"/>
      <c r="O704" s="14"/>
      <c r="P704" s="14" t="s">
        <v>211</v>
      </c>
      <c r="Q704" s="14"/>
      <c r="R704" s="13">
        <f>HYPERLINK("https://app.hubspot.com/contacts/8748051/record/0-2/7752315399", 7752315399)</f>
        <v>7752315399</v>
      </c>
      <c r="S704" s="14" t="s">
        <v>2338</v>
      </c>
      <c r="T704" s="18" t="s">
        <v>2339</v>
      </c>
      <c r="U704" s="14" t="s">
        <v>46</v>
      </c>
      <c r="V704" s="15"/>
      <c r="W704" s="19">
        <v>1106.0</v>
      </c>
      <c r="X704" s="19">
        <v>123.0</v>
      </c>
      <c r="Y704" s="20" t="s">
        <v>78</v>
      </c>
      <c r="Z704" s="20"/>
      <c r="AA704" s="21"/>
      <c r="AB704" s="21"/>
      <c r="AC704" s="20"/>
      <c r="AD704" s="20"/>
      <c r="AE704" s="20"/>
      <c r="AF704" s="17" t="str">
        <f t="shared" si="1"/>
        <v>New Logo</v>
      </c>
      <c r="AG704" s="17" t="str">
        <f t="shared" si="2"/>
        <v>Lead</v>
      </c>
      <c r="AH704" s="17" t="str">
        <f t="shared" si="3"/>
        <v>1001-5000</v>
      </c>
      <c r="AI704" s="17" t="str">
        <f t="shared" si="4"/>
        <v>101-500</v>
      </c>
    </row>
    <row r="705" ht="15.75" customHeight="1">
      <c r="A705" s="13">
        <f>HYPERLINK("https://app.hubspot.com/contacts/8748051/record/0-3/16974075299", 16974075299)</f>
        <v>16974075299</v>
      </c>
      <c r="B705" s="14" t="s">
        <v>2340</v>
      </c>
      <c r="C705" s="14" t="s">
        <v>49</v>
      </c>
      <c r="D705" s="15">
        <v>100000.0</v>
      </c>
      <c r="E705" s="14" t="s">
        <v>118</v>
      </c>
      <c r="F705" s="14"/>
      <c r="G705" s="16">
        <v>45307.48270833334</v>
      </c>
      <c r="H705" s="16">
        <v>45412.524189814816</v>
      </c>
      <c r="I705" s="14" t="s">
        <v>39</v>
      </c>
      <c r="J705" s="14" t="s">
        <v>40</v>
      </c>
      <c r="K705" s="14" t="s">
        <v>1186</v>
      </c>
      <c r="L705" s="14" t="s">
        <v>559</v>
      </c>
      <c r="M705" s="14" t="s">
        <v>43</v>
      </c>
      <c r="N705" s="14"/>
      <c r="O705" s="17"/>
      <c r="P705" s="14" t="s">
        <v>119</v>
      </c>
      <c r="Q705" s="14"/>
      <c r="R705" s="13">
        <f>HYPERLINK("https://app.hubspot.com/contacts/8748051/record/0-2/8921968153", 8921968153)</f>
        <v>8921968153</v>
      </c>
      <c r="S705" s="14" t="s">
        <v>2341</v>
      </c>
      <c r="T705" s="18" t="s">
        <v>2342</v>
      </c>
      <c r="U705" s="14" t="s">
        <v>46</v>
      </c>
      <c r="V705" s="15"/>
      <c r="W705" s="19">
        <v>3357.0</v>
      </c>
      <c r="X705" s="19">
        <v>456.0</v>
      </c>
      <c r="Y705" s="20" t="s">
        <v>455</v>
      </c>
      <c r="Z705" s="20"/>
      <c r="AA705" s="20"/>
      <c r="AB705" s="21"/>
      <c r="AC705" s="20"/>
      <c r="AD705" s="20"/>
      <c r="AE705" s="20"/>
      <c r="AF705" s="17" t="str">
        <f t="shared" si="1"/>
        <v>New Logo</v>
      </c>
      <c r="AG705" s="17" t="str">
        <f t="shared" si="2"/>
        <v>Lead</v>
      </c>
      <c r="AH705" s="17" t="str">
        <f t="shared" si="3"/>
        <v>1001-5000</v>
      </c>
      <c r="AI705" s="17" t="str">
        <f t="shared" si="4"/>
        <v>101-500</v>
      </c>
    </row>
    <row r="706" ht="15.75" customHeight="1">
      <c r="A706" s="13">
        <f>HYPERLINK("https://app.hubspot.com/contacts/8748051/record/0-3/16969602603", 16969602603)</f>
        <v>16969602603</v>
      </c>
      <c r="B706" s="14" t="s">
        <v>2343</v>
      </c>
      <c r="C706" s="14" t="s">
        <v>1008</v>
      </c>
      <c r="D706" s="15">
        <v>100000.0</v>
      </c>
      <c r="E706" s="14" t="s">
        <v>124</v>
      </c>
      <c r="F706" s="14" t="s">
        <v>51</v>
      </c>
      <c r="G706" s="16">
        <v>45307.33321759259</v>
      </c>
      <c r="H706" s="16">
        <v>45367.373252314814</v>
      </c>
      <c r="I706" s="14" t="s">
        <v>39</v>
      </c>
      <c r="J706" s="14" t="s">
        <v>40</v>
      </c>
      <c r="K706" s="14" t="s">
        <v>59</v>
      </c>
      <c r="L706" s="14" t="s">
        <v>180</v>
      </c>
      <c r="M706" s="14" t="s">
        <v>98</v>
      </c>
      <c r="N706" s="14"/>
      <c r="O706" s="17"/>
      <c r="P706" s="14" t="s">
        <v>260</v>
      </c>
      <c r="Q706" s="14" t="s">
        <v>1567</v>
      </c>
      <c r="R706" s="13">
        <f>HYPERLINK("https://app.hubspot.com/contacts/8748051/record/0-2/18695418206", 18695418206)</f>
        <v>18695418206</v>
      </c>
      <c r="S706" s="14" t="s">
        <v>2344</v>
      </c>
      <c r="T706" s="18" t="s">
        <v>2345</v>
      </c>
      <c r="U706" s="14" t="s">
        <v>46</v>
      </c>
      <c r="V706" s="15"/>
      <c r="W706" s="19">
        <v>3591.0</v>
      </c>
      <c r="X706" s="19">
        <v>351.0</v>
      </c>
      <c r="Y706" s="20"/>
      <c r="Z706" s="20"/>
      <c r="AA706" s="21"/>
      <c r="AB706" s="21"/>
      <c r="AC706" s="20"/>
      <c r="AD706" s="21"/>
      <c r="AE706" s="20"/>
      <c r="AF706" s="17" t="str">
        <f t="shared" si="1"/>
        <v>New Logo</v>
      </c>
      <c r="AG706" s="17" t="str">
        <f t="shared" si="2"/>
        <v>Lead</v>
      </c>
      <c r="AH706" s="17" t="str">
        <f t="shared" si="3"/>
        <v>1001-5000</v>
      </c>
      <c r="AI706" s="17" t="str">
        <f t="shared" si="4"/>
        <v>101-500</v>
      </c>
    </row>
    <row r="707" ht="15.75" customHeight="1">
      <c r="A707" s="13">
        <f>HYPERLINK("https://app.hubspot.com/contacts/8748051/record/0-3/16967146657", 16967146657)</f>
        <v>16967146657</v>
      </c>
      <c r="B707" s="14" t="s">
        <v>2346</v>
      </c>
      <c r="C707" s="14" t="s">
        <v>49</v>
      </c>
      <c r="D707" s="15">
        <v>36000.0</v>
      </c>
      <c r="E707" s="14" t="s">
        <v>124</v>
      </c>
      <c r="F707" s="14" t="s">
        <v>51</v>
      </c>
      <c r="G707" s="16">
        <v>45307.19084490741</v>
      </c>
      <c r="H707" s="16">
        <v>45412.179293981484</v>
      </c>
      <c r="I707" s="14" t="s">
        <v>39</v>
      </c>
      <c r="J707" s="14" t="s">
        <v>40</v>
      </c>
      <c r="K707" s="14" t="s">
        <v>59</v>
      </c>
      <c r="L707" s="14" t="s">
        <v>175</v>
      </c>
      <c r="M707" s="14" t="s">
        <v>98</v>
      </c>
      <c r="N707" s="17"/>
      <c r="O707" s="14"/>
      <c r="P707" s="14"/>
      <c r="Q707" s="14" t="s">
        <v>125</v>
      </c>
      <c r="R707" s="13">
        <f>HYPERLINK("https://app.hubspot.com/contacts/8748051/record/0-2/8762803843", 8762803843)</f>
        <v>8762803843</v>
      </c>
      <c r="S707" s="14" t="s">
        <v>2347</v>
      </c>
      <c r="T707" s="18" t="s">
        <v>2348</v>
      </c>
      <c r="U707" s="14" t="s">
        <v>46</v>
      </c>
      <c r="V707" s="22"/>
      <c r="W707" s="19">
        <v>422.0</v>
      </c>
      <c r="X707" s="19">
        <v>74.0</v>
      </c>
      <c r="Y707" s="20"/>
      <c r="Z707" s="21"/>
      <c r="AA707" s="21"/>
      <c r="AB707" s="21"/>
      <c r="AC707" s="21"/>
      <c r="AD707" s="21"/>
      <c r="AE707" s="21"/>
      <c r="AF707" s="17" t="str">
        <f t="shared" si="1"/>
        <v>New Logo</v>
      </c>
      <c r="AG707" s="17" t="str">
        <f t="shared" si="2"/>
        <v>Lead</v>
      </c>
      <c r="AH707" s="17" t="str">
        <f t="shared" si="3"/>
        <v>201-500</v>
      </c>
      <c r="AI707" s="17" t="str">
        <f t="shared" si="4"/>
        <v>51-100</v>
      </c>
    </row>
    <row r="708" ht="15.75" customHeight="1">
      <c r="A708" s="13">
        <f>HYPERLINK("https://app.hubspot.com/contacts/8748051/record/0-3/16909949611", 16909949611)</f>
        <v>16909949611</v>
      </c>
      <c r="B708" s="14" t="s">
        <v>2349</v>
      </c>
      <c r="C708" s="14" t="s">
        <v>49</v>
      </c>
      <c r="D708" s="15">
        <v>93500.0</v>
      </c>
      <c r="E708" s="14" t="s">
        <v>118</v>
      </c>
      <c r="F708" s="14"/>
      <c r="G708" s="16">
        <v>45303.463321759256</v>
      </c>
      <c r="H708" s="16">
        <v>45412.50480324074</v>
      </c>
      <c r="I708" s="14" t="s">
        <v>39</v>
      </c>
      <c r="J708" s="14" t="s">
        <v>40</v>
      </c>
      <c r="K708" s="14" t="s">
        <v>1186</v>
      </c>
      <c r="L708" s="14" t="s">
        <v>559</v>
      </c>
      <c r="M708" s="14" t="s">
        <v>43</v>
      </c>
      <c r="N708" s="14"/>
      <c r="O708" s="14"/>
      <c r="P708" s="14" t="s">
        <v>260</v>
      </c>
      <c r="Q708" s="17"/>
      <c r="R708" s="13">
        <f>HYPERLINK("https://app.hubspot.com/contacts/8748051/record/0-2/18354000145", 18354000145)</f>
        <v>18354000145</v>
      </c>
      <c r="S708" s="14" t="s">
        <v>706</v>
      </c>
      <c r="T708" s="18" t="s">
        <v>707</v>
      </c>
      <c r="U708" s="14" t="s">
        <v>46</v>
      </c>
      <c r="V708" s="15"/>
      <c r="W708" s="19">
        <v>1345.0</v>
      </c>
      <c r="X708" s="19">
        <v>267.0</v>
      </c>
      <c r="Y708" s="20" t="s">
        <v>63</v>
      </c>
      <c r="Z708" s="20"/>
      <c r="AA708" s="20"/>
      <c r="AB708" s="21"/>
      <c r="AC708" s="20"/>
      <c r="AD708" s="20"/>
      <c r="AE708" s="20"/>
      <c r="AF708" s="17" t="str">
        <f t="shared" si="1"/>
        <v>New Logo</v>
      </c>
      <c r="AG708" s="17" t="str">
        <f t="shared" si="2"/>
        <v>Lead</v>
      </c>
      <c r="AH708" s="17" t="str">
        <f t="shared" si="3"/>
        <v>1001-5000</v>
      </c>
      <c r="AI708" s="17" t="str">
        <f t="shared" si="4"/>
        <v>101-500</v>
      </c>
    </row>
    <row r="709" ht="15.75" customHeight="1">
      <c r="A709" s="13">
        <f>HYPERLINK("https://app.hubspot.com/contacts/8748051/record/0-3/16896494634", 16896494634)</f>
        <v>16896494634</v>
      </c>
      <c r="B709" s="14" t="s">
        <v>2350</v>
      </c>
      <c r="C709" s="14" t="s">
        <v>49</v>
      </c>
      <c r="D709" s="15">
        <v>20000.0</v>
      </c>
      <c r="E709" s="14" t="s">
        <v>146</v>
      </c>
      <c r="F709" s="14" t="s">
        <v>51</v>
      </c>
      <c r="G709" s="16">
        <v>45302.58241898148</v>
      </c>
      <c r="H709" s="16">
        <v>45431.688738425924</v>
      </c>
      <c r="I709" s="14" t="s">
        <v>39</v>
      </c>
      <c r="J709" s="14" t="s">
        <v>40</v>
      </c>
      <c r="K709" s="14" t="s">
        <v>1186</v>
      </c>
      <c r="L709" s="14" t="s">
        <v>559</v>
      </c>
      <c r="M709" s="14" t="s">
        <v>43</v>
      </c>
      <c r="N709" s="14"/>
      <c r="O709" s="14" t="s">
        <v>2351</v>
      </c>
      <c r="P709" s="14"/>
      <c r="Q709" s="17"/>
      <c r="R709" s="13">
        <f>HYPERLINK("https://app.hubspot.com/contacts/8748051/record/0-2/16376165937", 16376165937)</f>
        <v>16376165937</v>
      </c>
      <c r="S709" s="14" t="s">
        <v>2352</v>
      </c>
      <c r="T709" s="18" t="s">
        <v>2353</v>
      </c>
      <c r="U709" s="14" t="s">
        <v>46</v>
      </c>
      <c r="V709" s="15"/>
      <c r="W709" s="19">
        <v>512.0</v>
      </c>
      <c r="X709" s="19">
        <v>85.0</v>
      </c>
      <c r="Y709" s="20" t="s">
        <v>63</v>
      </c>
      <c r="Z709" s="20"/>
      <c r="AA709" s="21"/>
      <c r="AB709" s="21"/>
      <c r="AC709" s="20"/>
      <c r="AD709" s="21"/>
      <c r="AE709" s="20"/>
      <c r="AF709" s="17" t="str">
        <f t="shared" si="1"/>
        <v>New Logo</v>
      </c>
      <c r="AG709" s="17" t="str">
        <f t="shared" si="2"/>
        <v>Lead</v>
      </c>
      <c r="AH709" s="17" t="str">
        <f t="shared" si="3"/>
        <v>501-1000</v>
      </c>
      <c r="AI709" s="17" t="str">
        <f t="shared" si="4"/>
        <v>51-100</v>
      </c>
    </row>
    <row r="710" ht="15.75" customHeight="1">
      <c r="A710" s="13">
        <f>HYPERLINK("https://app.hubspot.com/contacts/8748051/record/0-3/16895319697", 16895319697)</f>
        <v>16895319697</v>
      </c>
      <c r="B710" s="14" t="s">
        <v>2354</v>
      </c>
      <c r="C710" s="14" t="s">
        <v>2304</v>
      </c>
      <c r="D710" s="15">
        <v>46600.0</v>
      </c>
      <c r="E710" s="14" t="s">
        <v>89</v>
      </c>
      <c r="F710" s="14" t="s">
        <v>51</v>
      </c>
      <c r="G710" s="16">
        <v>45302.494259259256</v>
      </c>
      <c r="H710" s="16">
        <v>45489.58070601852</v>
      </c>
      <c r="I710" s="14" t="s">
        <v>39</v>
      </c>
      <c r="J710" s="14" t="s">
        <v>52</v>
      </c>
      <c r="K710" s="14" t="s">
        <v>1186</v>
      </c>
      <c r="L710" s="14" t="s">
        <v>175</v>
      </c>
      <c r="M710" s="14" t="s">
        <v>43</v>
      </c>
      <c r="N710" s="14" t="s">
        <v>2355</v>
      </c>
      <c r="O710" s="17"/>
      <c r="P710" s="14"/>
      <c r="Q710" s="17"/>
      <c r="R710" s="13">
        <f>HYPERLINK("https://app.hubspot.com/contacts/8748051/record/0-2/7686762401", 7686762401)</f>
        <v>7686762401</v>
      </c>
      <c r="S710" s="14" t="s">
        <v>907</v>
      </c>
      <c r="T710" s="18" t="s">
        <v>908</v>
      </c>
      <c r="U710" s="14" t="s">
        <v>93</v>
      </c>
      <c r="V710" s="15">
        <v>48465.0</v>
      </c>
      <c r="W710" s="19">
        <v>966.0</v>
      </c>
      <c r="X710" s="19">
        <v>102.0</v>
      </c>
      <c r="Y710" s="20"/>
      <c r="Z710" s="20" t="s">
        <v>205</v>
      </c>
      <c r="AA710" s="20"/>
      <c r="AB710" s="20"/>
      <c r="AC710" s="20" t="s">
        <v>909</v>
      </c>
      <c r="AD710" s="20"/>
      <c r="AE710" s="20" t="s">
        <v>553</v>
      </c>
      <c r="AF710" s="17" t="str">
        <f t="shared" si="1"/>
        <v>New Logo</v>
      </c>
      <c r="AG710" s="17" t="str">
        <f t="shared" si="2"/>
        <v>Customer</v>
      </c>
      <c r="AH710" s="17" t="str">
        <f t="shared" si="3"/>
        <v>501-1000</v>
      </c>
      <c r="AI710" s="17" t="str">
        <f t="shared" si="4"/>
        <v>101-500</v>
      </c>
    </row>
    <row r="711" ht="15.75" customHeight="1">
      <c r="A711" s="13">
        <f>HYPERLINK("https://app.hubspot.com/contacts/8748051/record/0-3/16883612470", 16883612470)</f>
        <v>16883612470</v>
      </c>
      <c r="B711" s="14" t="s">
        <v>2356</v>
      </c>
      <c r="C711" s="14" t="s">
        <v>49</v>
      </c>
      <c r="D711" s="15">
        <v>100000.0</v>
      </c>
      <c r="E711" s="14" t="s">
        <v>118</v>
      </c>
      <c r="F711" s="14"/>
      <c r="G711" s="16">
        <v>45301.57811342592</v>
      </c>
      <c r="H711" s="16">
        <v>45412.61954861111</v>
      </c>
      <c r="I711" s="14" t="s">
        <v>39</v>
      </c>
      <c r="J711" s="14" t="s">
        <v>52</v>
      </c>
      <c r="K711" s="14" t="s">
        <v>1186</v>
      </c>
      <c r="L711" s="14" t="s">
        <v>559</v>
      </c>
      <c r="M711" s="14" t="s">
        <v>43</v>
      </c>
      <c r="N711" s="14"/>
      <c r="O711" s="17"/>
      <c r="P711" s="14" t="s">
        <v>211</v>
      </c>
      <c r="Q711" s="14"/>
      <c r="R711" s="13">
        <f>HYPERLINK("https://app.hubspot.com/contacts/8748051/record/0-2/9793677612", 9793677612)</f>
        <v>9793677612</v>
      </c>
      <c r="S711" s="14" t="s">
        <v>2357</v>
      </c>
      <c r="T711" s="18" t="s">
        <v>2358</v>
      </c>
      <c r="U711" s="14" t="s">
        <v>46</v>
      </c>
      <c r="V711" s="15"/>
      <c r="W711" s="19">
        <v>3318.0</v>
      </c>
      <c r="X711" s="19">
        <v>562.0</v>
      </c>
      <c r="Y711" s="20" t="s">
        <v>455</v>
      </c>
      <c r="Z711" s="20"/>
      <c r="AA711" s="20"/>
      <c r="AB711" s="20"/>
      <c r="AC711" s="20"/>
      <c r="AD711" s="20"/>
      <c r="AE711" s="20"/>
      <c r="AF711" s="17" t="str">
        <f t="shared" si="1"/>
        <v>New Logo</v>
      </c>
      <c r="AG711" s="17" t="str">
        <f t="shared" si="2"/>
        <v>Lead</v>
      </c>
      <c r="AH711" s="17" t="str">
        <f t="shared" si="3"/>
        <v>1001-5000</v>
      </c>
      <c r="AI711" s="17" t="str">
        <f t="shared" si="4"/>
        <v>500+</v>
      </c>
    </row>
    <row r="712" ht="15.75" customHeight="1">
      <c r="A712" s="13">
        <f>HYPERLINK("https://app.hubspot.com/contacts/8748051/record/0-3/16878472798", 16878472798)</f>
        <v>16878472798</v>
      </c>
      <c r="B712" s="14" t="s">
        <v>2359</v>
      </c>
      <c r="C712" s="14" t="s">
        <v>2304</v>
      </c>
      <c r="D712" s="15">
        <v>25000.0</v>
      </c>
      <c r="E712" s="14" t="s">
        <v>89</v>
      </c>
      <c r="F712" s="14" t="s">
        <v>51</v>
      </c>
      <c r="G712" s="16">
        <v>45301.30631944445</v>
      </c>
      <c r="H712" s="16">
        <v>45351.81851851852</v>
      </c>
      <c r="I712" s="14" t="s">
        <v>39</v>
      </c>
      <c r="J712" s="14" t="s">
        <v>40</v>
      </c>
      <c r="K712" s="14" t="s">
        <v>1186</v>
      </c>
      <c r="L712" s="14" t="s">
        <v>559</v>
      </c>
      <c r="M712" s="14" t="s">
        <v>43</v>
      </c>
      <c r="N712" s="14" t="s">
        <v>2360</v>
      </c>
      <c r="O712" s="17"/>
      <c r="P712" s="14"/>
      <c r="Q712" s="14"/>
      <c r="R712" s="13">
        <f>HYPERLINK("https://app.hubspot.com/contacts/8748051/record/0-2/18382656883", 18382656883)</f>
        <v>18382656883</v>
      </c>
      <c r="S712" s="14" t="s">
        <v>303</v>
      </c>
      <c r="T712" s="18" t="s">
        <v>304</v>
      </c>
      <c r="U712" s="14" t="s">
        <v>93</v>
      </c>
      <c r="V712" s="15">
        <v>27480.0</v>
      </c>
      <c r="W712" s="19">
        <v>210.0</v>
      </c>
      <c r="X712" s="19">
        <v>16.0</v>
      </c>
      <c r="Y712" s="20"/>
      <c r="Z712" s="20" t="s">
        <v>205</v>
      </c>
      <c r="AA712" s="20" t="s">
        <v>192</v>
      </c>
      <c r="AB712" s="21"/>
      <c r="AC712" s="20" t="s">
        <v>305</v>
      </c>
      <c r="AD712" s="20" t="s">
        <v>306</v>
      </c>
      <c r="AE712" s="20" t="s">
        <v>166</v>
      </c>
      <c r="AF712" s="17" t="str">
        <f t="shared" si="1"/>
        <v>New Logo</v>
      </c>
      <c r="AG712" s="17" t="str">
        <f t="shared" si="2"/>
        <v>Customer</v>
      </c>
      <c r="AH712" s="17" t="str">
        <f t="shared" si="3"/>
        <v>201-500</v>
      </c>
      <c r="AI712" s="17" t="str">
        <f t="shared" si="4"/>
        <v>0-20</v>
      </c>
    </row>
    <row r="713" ht="15.75" customHeight="1">
      <c r="A713" s="13">
        <f>HYPERLINK("https://app.hubspot.com/contacts/8748051/record/0-3/16853343638", 16853343638)</f>
        <v>16853343638</v>
      </c>
      <c r="B713" s="14" t="s">
        <v>2361</v>
      </c>
      <c r="C713" s="14" t="s">
        <v>49</v>
      </c>
      <c r="D713" s="15">
        <v>11500.0</v>
      </c>
      <c r="E713" s="14" t="s">
        <v>118</v>
      </c>
      <c r="F713" s="14"/>
      <c r="G713" s="16">
        <v>45299.48134259259</v>
      </c>
      <c r="H713" s="16">
        <v>45471.63837962963</v>
      </c>
      <c r="I713" s="14" t="s">
        <v>39</v>
      </c>
      <c r="J713" s="14" t="s">
        <v>40</v>
      </c>
      <c r="K713" s="14" t="s">
        <v>1186</v>
      </c>
      <c r="L713" s="14" t="s">
        <v>559</v>
      </c>
      <c r="M713" s="14" t="s">
        <v>43</v>
      </c>
      <c r="N713" s="14"/>
      <c r="O713" s="14"/>
      <c r="P713" s="14" t="s">
        <v>260</v>
      </c>
      <c r="Q713" s="14"/>
      <c r="R713" s="13">
        <f>HYPERLINK("https://app.hubspot.com/contacts/8748051/record/0-2/6816443217", 6816443217)</f>
        <v>6816443217</v>
      </c>
      <c r="S713" s="14" t="s">
        <v>2362</v>
      </c>
      <c r="T713" s="18" t="s">
        <v>2363</v>
      </c>
      <c r="U713" s="14" t="s">
        <v>46</v>
      </c>
      <c r="V713" s="15"/>
      <c r="W713" s="19">
        <v>116.0</v>
      </c>
      <c r="X713" s="19">
        <v>27.0</v>
      </c>
      <c r="Y713" s="20"/>
      <c r="Z713" s="21"/>
      <c r="AA713" s="21"/>
      <c r="AB713" s="21"/>
      <c r="AC713" s="21"/>
      <c r="AD713" s="21"/>
      <c r="AE713" s="21"/>
      <c r="AF713" s="17" t="str">
        <f t="shared" si="1"/>
        <v>New Logo</v>
      </c>
      <c r="AG713" s="17" t="str">
        <f t="shared" si="2"/>
        <v>Lead</v>
      </c>
      <c r="AH713" s="17" t="str">
        <f t="shared" si="3"/>
        <v>0-200</v>
      </c>
      <c r="AI713" s="17" t="str">
        <f t="shared" si="4"/>
        <v>21-50</v>
      </c>
    </row>
    <row r="714" ht="15.75" customHeight="1">
      <c r="A714" s="13">
        <f>HYPERLINK("https://app.hubspot.com/contacts/8748051/record/0-3/16853102238", 16853102238)</f>
        <v>16853102238</v>
      </c>
      <c r="B714" s="14" t="s">
        <v>2364</v>
      </c>
      <c r="C714" s="14" t="s">
        <v>49</v>
      </c>
      <c r="D714" s="15">
        <v>10500.0</v>
      </c>
      <c r="E714" s="14" t="s">
        <v>118</v>
      </c>
      <c r="F714" s="14"/>
      <c r="G714" s="16">
        <v>45299.45953703704</v>
      </c>
      <c r="H714" s="16">
        <v>45412.50067129629</v>
      </c>
      <c r="I714" s="14" t="s">
        <v>39</v>
      </c>
      <c r="J714" s="14" t="s">
        <v>40</v>
      </c>
      <c r="K714" s="14" t="s">
        <v>1186</v>
      </c>
      <c r="L714" s="14" t="s">
        <v>559</v>
      </c>
      <c r="M714" s="14" t="s">
        <v>43</v>
      </c>
      <c r="N714" s="17"/>
      <c r="O714" s="14"/>
      <c r="P714" s="14" t="s">
        <v>119</v>
      </c>
      <c r="Q714" s="17"/>
      <c r="R714" s="13">
        <f>HYPERLINK("https://app.hubspot.com/contacts/8748051/record/0-2/8003803471", 8003803471)</f>
        <v>8003803471</v>
      </c>
      <c r="S714" s="14" t="s">
        <v>2365</v>
      </c>
      <c r="T714" s="18" t="s">
        <v>2366</v>
      </c>
      <c r="U714" s="14" t="s">
        <v>46</v>
      </c>
      <c r="V714" s="22"/>
      <c r="W714" s="19">
        <v>242.0</v>
      </c>
      <c r="X714" s="19">
        <v>26.0</v>
      </c>
      <c r="Y714" s="20" t="s">
        <v>2367</v>
      </c>
      <c r="Z714" s="21"/>
      <c r="AA714" s="21"/>
      <c r="AB714" s="21"/>
      <c r="AC714" s="21"/>
      <c r="AD714" s="21"/>
      <c r="AE714" s="21"/>
      <c r="AF714" s="17" t="str">
        <f t="shared" si="1"/>
        <v>New Logo</v>
      </c>
      <c r="AG714" s="17" t="str">
        <f t="shared" si="2"/>
        <v>Lead</v>
      </c>
      <c r="AH714" s="17" t="str">
        <f t="shared" si="3"/>
        <v>201-500</v>
      </c>
      <c r="AI714" s="17" t="str">
        <f t="shared" si="4"/>
        <v>21-50</v>
      </c>
    </row>
    <row r="715" ht="15.75" customHeight="1">
      <c r="A715" s="13">
        <f>HYPERLINK("https://app.hubspot.com/contacts/8748051/record/0-3/16852846504", 16852846504)</f>
        <v>16852846504</v>
      </c>
      <c r="B715" s="14" t="s">
        <v>2368</v>
      </c>
      <c r="C715" s="14" t="s">
        <v>49</v>
      </c>
      <c r="D715" s="15">
        <v>4000.0</v>
      </c>
      <c r="E715" s="14" t="s">
        <v>118</v>
      </c>
      <c r="F715" s="14"/>
      <c r="G715" s="16">
        <v>45299.42010416667</v>
      </c>
      <c r="H715" s="16">
        <v>45412.461377314816</v>
      </c>
      <c r="I715" s="14" t="s">
        <v>39</v>
      </c>
      <c r="J715" s="14" t="s">
        <v>40</v>
      </c>
      <c r="K715" s="14" t="s">
        <v>1186</v>
      </c>
      <c r="L715" s="14" t="s">
        <v>559</v>
      </c>
      <c r="M715" s="14" t="s">
        <v>43</v>
      </c>
      <c r="N715" s="14"/>
      <c r="O715" s="14"/>
      <c r="P715" s="14" t="s">
        <v>211</v>
      </c>
      <c r="Q715" s="17"/>
      <c r="R715" s="13">
        <f>HYPERLINK("https://app.hubspot.com/contacts/8748051/record/0-2/18382825985", 18382825985)</f>
        <v>18382825985</v>
      </c>
      <c r="S715" s="14" t="s">
        <v>2369</v>
      </c>
      <c r="T715" s="18" t="s">
        <v>2370</v>
      </c>
      <c r="U715" s="14" t="s">
        <v>46</v>
      </c>
      <c r="V715" s="15"/>
      <c r="W715" s="19">
        <v>183.0</v>
      </c>
      <c r="X715" s="19">
        <v>17.0</v>
      </c>
      <c r="Y715" s="20" t="s">
        <v>63</v>
      </c>
      <c r="Z715" s="20"/>
      <c r="AA715" s="21"/>
      <c r="AB715" s="21"/>
      <c r="AC715" s="20"/>
      <c r="AD715" s="21"/>
      <c r="AE715" s="20"/>
      <c r="AF715" s="17" t="str">
        <f t="shared" si="1"/>
        <v>New Logo</v>
      </c>
      <c r="AG715" s="17" t="str">
        <f t="shared" si="2"/>
        <v>Lead</v>
      </c>
      <c r="AH715" s="17" t="str">
        <f t="shared" si="3"/>
        <v>0-200</v>
      </c>
      <c r="AI715" s="17" t="str">
        <f t="shared" si="4"/>
        <v>0-20</v>
      </c>
    </row>
    <row r="716" ht="15.75" customHeight="1">
      <c r="A716" s="13">
        <f>HYPERLINK("https://app.hubspot.com/contacts/8748051/record/0-3/16807714365", 16807714365)</f>
        <v>16807714365</v>
      </c>
      <c r="B716" s="14" t="s">
        <v>2371</v>
      </c>
      <c r="C716" s="14" t="s">
        <v>145</v>
      </c>
      <c r="D716" s="15">
        <v>38500.0</v>
      </c>
      <c r="E716" s="14" t="s">
        <v>118</v>
      </c>
      <c r="F716" s="14"/>
      <c r="G716" s="16">
        <v>45295.48645833333</v>
      </c>
      <c r="H716" s="16">
        <v>45566.45340277778</v>
      </c>
      <c r="I716" s="14" t="s">
        <v>39</v>
      </c>
      <c r="J716" s="14" t="s">
        <v>40</v>
      </c>
      <c r="K716" s="14" t="s">
        <v>1186</v>
      </c>
      <c r="L716" s="14" t="s">
        <v>559</v>
      </c>
      <c r="M716" s="14"/>
      <c r="N716" s="14"/>
      <c r="O716" s="17"/>
      <c r="P716" s="14"/>
      <c r="Q716" s="14"/>
      <c r="R716" s="13">
        <f>HYPERLINK("https://app.hubspot.com/contacts/8748051/record/0-2/8142158894", 8142158894)</f>
        <v>8142158894</v>
      </c>
      <c r="S716" s="14" t="s">
        <v>2372</v>
      </c>
      <c r="T716" s="18" t="s">
        <v>2373</v>
      </c>
      <c r="U716" s="14" t="s">
        <v>46</v>
      </c>
      <c r="V716" s="15"/>
      <c r="W716" s="19">
        <v>542.0</v>
      </c>
      <c r="X716" s="19">
        <v>98.0</v>
      </c>
      <c r="Y716" s="20" t="s">
        <v>104</v>
      </c>
      <c r="Z716" s="20"/>
      <c r="AA716" s="21"/>
      <c r="AB716" s="20"/>
      <c r="AC716" s="20"/>
      <c r="AD716" s="20"/>
      <c r="AE716" s="20"/>
      <c r="AF716" s="17" t="str">
        <f t="shared" si="1"/>
        <v>New Logo</v>
      </c>
      <c r="AG716" s="17" t="str">
        <f t="shared" si="2"/>
        <v>Lead</v>
      </c>
      <c r="AH716" s="17" t="str">
        <f t="shared" si="3"/>
        <v>501-1000</v>
      </c>
      <c r="AI716" s="17" t="str">
        <f t="shared" si="4"/>
        <v>51-100</v>
      </c>
    </row>
    <row r="717" ht="15.75" customHeight="1">
      <c r="A717" s="13">
        <f>HYPERLINK("https://app.hubspot.com/contacts/8748051/record/0-3/16622118027", 16622118027)</f>
        <v>16622118027</v>
      </c>
      <c r="B717" s="14" t="s">
        <v>2374</v>
      </c>
      <c r="C717" s="14" t="s">
        <v>37</v>
      </c>
      <c r="D717" s="15">
        <v>64000.0</v>
      </c>
      <c r="E717" s="14" t="s">
        <v>118</v>
      </c>
      <c r="F717" s="14"/>
      <c r="G717" s="16">
        <v>45281.58541666667</v>
      </c>
      <c r="H717" s="16">
        <v>45471.64009259259</v>
      </c>
      <c r="I717" s="14" t="s">
        <v>39</v>
      </c>
      <c r="J717" s="14" t="s">
        <v>40</v>
      </c>
      <c r="K717" s="14" t="s">
        <v>1186</v>
      </c>
      <c r="L717" s="14" t="s">
        <v>559</v>
      </c>
      <c r="M717" s="14" t="s">
        <v>43</v>
      </c>
      <c r="N717" s="17"/>
      <c r="O717" s="14"/>
      <c r="P717" s="14" t="s">
        <v>260</v>
      </c>
      <c r="Q717" s="14"/>
      <c r="R717" s="13">
        <f>HYPERLINK("https://app.hubspot.com/contacts/8748051/record/0-2/7945145244", 7945145244)</f>
        <v>7945145244</v>
      </c>
      <c r="S717" s="14" t="s">
        <v>2375</v>
      </c>
      <c r="T717" s="18" t="s">
        <v>2376</v>
      </c>
      <c r="U717" s="14" t="s">
        <v>46</v>
      </c>
      <c r="V717" s="22"/>
      <c r="W717" s="19">
        <v>577.0</v>
      </c>
      <c r="X717" s="19">
        <v>115.0</v>
      </c>
      <c r="Y717" s="20" t="s">
        <v>55</v>
      </c>
      <c r="Z717" s="21"/>
      <c r="AA717" s="21"/>
      <c r="AB717" s="21"/>
      <c r="AC717" s="21"/>
      <c r="AD717" s="21"/>
      <c r="AE717" s="21"/>
      <c r="AF717" s="17" t="str">
        <f t="shared" si="1"/>
        <v>New Logo</v>
      </c>
      <c r="AG717" s="17" t="str">
        <f t="shared" si="2"/>
        <v>Lead</v>
      </c>
      <c r="AH717" s="17" t="str">
        <f t="shared" si="3"/>
        <v>501-1000</v>
      </c>
      <c r="AI717" s="17" t="str">
        <f t="shared" si="4"/>
        <v>101-500</v>
      </c>
    </row>
    <row r="718" ht="15.75" customHeight="1">
      <c r="A718" s="13">
        <f>HYPERLINK("https://app.hubspot.com/contacts/8748051/record/0-3/16619969863", 16619969863)</f>
        <v>16619969863</v>
      </c>
      <c r="B718" s="14" t="s">
        <v>2377</v>
      </c>
      <c r="C718" s="14" t="s">
        <v>1008</v>
      </c>
      <c r="D718" s="15">
        <v>26160.0</v>
      </c>
      <c r="E718" s="14" t="s">
        <v>118</v>
      </c>
      <c r="F718" s="14"/>
      <c r="G718" s="16">
        <v>45281.45155092593</v>
      </c>
      <c r="H718" s="16">
        <v>45565.42251157408</v>
      </c>
      <c r="I718" s="14" t="s">
        <v>39</v>
      </c>
      <c r="J718" s="14" t="s">
        <v>40</v>
      </c>
      <c r="K718" s="14" t="s">
        <v>1186</v>
      </c>
      <c r="L718" s="14" t="s">
        <v>559</v>
      </c>
      <c r="M718" s="14" t="s">
        <v>43</v>
      </c>
      <c r="N718" s="14"/>
      <c r="O718" s="14"/>
      <c r="P718" s="14" t="s">
        <v>119</v>
      </c>
      <c r="Q718" s="17"/>
      <c r="R718" s="13">
        <f>HYPERLINK("https://app.hubspot.com/contacts/8748051/record/0-2/18382682273", 18382682273)</f>
        <v>18382682273</v>
      </c>
      <c r="S718" s="14" t="s">
        <v>2378</v>
      </c>
      <c r="T718" s="18" t="s">
        <v>2379</v>
      </c>
      <c r="U718" s="14" t="s">
        <v>46</v>
      </c>
      <c r="V718" s="15"/>
      <c r="W718" s="19">
        <v>478.0</v>
      </c>
      <c r="X718" s="19">
        <v>105.0</v>
      </c>
      <c r="Y718" s="20" t="s">
        <v>104</v>
      </c>
      <c r="Z718" s="20"/>
      <c r="AA718" s="20"/>
      <c r="AB718" s="21"/>
      <c r="AC718" s="20"/>
      <c r="AD718" s="20"/>
      <c r="AE718" s="20"/>
      <c r="AF718" s="17" t="str">
        <f t="shared" si="1"/>
        <v>New Logo</v>
      </c>
      <c r="AG718" s="17" t="str">
        <f t="shared" si="2"/>
        <v>Lead</v>
      </c>
      <c r="AH718" s="17" t="str">
        <f t="shared" si="3"/>
        <v>201-500</v>
      </c>
      <c r="AI718" s="17" t="str">
        <f t="shared" si="4"/>
        <v>101-500</v>
      </c>
    </row>
    <row r="719" ht="15.75" customHeight="1">
      <c r="A719" s="13">
        <f>HYPERLINK("https://app.hubspot.com/contacts/8748051/record/0-3/16591081601", 16591081601)</f>
        <v>16591081601</v>
      </c>
      <c r="B719" s="14" t="s">
        <v>2380</v>
      </c>
      <c r="C719" s="14" t="s">
        <v>49</v>
      </c>
      <c r="D719" s="15">
        <v>100000.0</v>
      </c>
      <c r="E719" s="14" t="s">
        <v>118</v>
      </c>
      <c r="F719" s="14"/>
      <c r="G719" s="16">
        <v>45279.526238425926</v>
      </c>
      <c r="H719" s="16">
        <v>45382.52587962963</v>
      </c>
      <c r="I719" s="14" t="s">
        <v>39</v>
      </c>
      <c r="J719" s="14" t="s">
        <v>40</v>
      </c>
      <c r="K719" s="14" t="s">
        <v>1186</v>
      </c>
      <c r="L719" s="14" t="s">
        <v>559</v>
      </c>
      <c r="M719" s="14" t="s">
        <v>43</v>
      </c>
      <c r="N719" s="14"/>
      <c r="O719" s="14"/>
      <c r="P719" s="14" t="s">
        <v>211</v>
      </c>
      <c r="Q719" s="14"/>
      <c r="R719" s="13">
        <f>HYPERLINK("https://app.hubspot.com/contacts/8748051/record/0-2/7882279602", 7882279602)</f>
        <v>7882279602</v>
      </c>
      <c r="S719" s="14" t="s">
        <v>2381</v>
      </c>
      <c r="T719" s="18" t="s">
        <v>2382</v>
      </c>
      <c r="U719" s="14" t="s">
        <v>46</v>
      </c>
      <c r="V719" s="15"/>
      <c r="W719" s="19">
        <v>1230.0</v>
      </c>
      <c r="X719" s="19">
        <v>234.0</v>
      </c>
      <c r="Y719" s="20" t="s">
        <v>1106</v>
      </c>
      <c r="Z719" s="20"/>
      <c r="AA719" s="20"/>
      <c r="AB719" s="20"/>
      <c r="AC719" s="20"/>
      <c r="AD719" s="20"/>
      <c r="AE719" s="20"/>
      <c r="AF719" s="17" t="str">
        <f t="shared" si="1"/>
        <v>New Logo</v>
      </c>
      <c r="AG719" s="17" t="str">
        <f t="shared" si="2"/>
        <v>Lead</v>
      </c>
      <c r="AH719" s="17" t="str">
        <f t="shared" si="3"/>
        <v>1001-5000</v>
      </c>
      <c r="AI719" s="17" t="str">
        <f t="shared" si="4"/>
        <v>101-500</v>
      </c>
    </row>
    <row r="720" ht="15.75" customHeight="1">
      <c r="A720" s="13">
        <f>HYPERLINK("https://app.hubspot.com/contacts/8748051/record/0-3/16583441408", 16583441408)</f>
        <v>16583441408</v>
      </c>
      <c r="B720" s="14" t="s">
        <v>2383</v>
      </c>
      <c r="C720" s="14" t="s">
        <v>1008</v>
      </c>
      <c r="D720" s="15">
        <v>100000.0</v>
      </c>
      <c r="E720" s="14" t="s">
        <v>118</v>
      </c>
      <c r="F720" s="14"/>
      <c r="G720" s="16">
        <v>45279.00844907408</v>
      </c>
      <c r="H720" s="16">
        <v>45444.008564814816</v>
      </c>
      <c r="I720" s="14" t="s">
        <v>39</v>
      </c>
      <c r="J720" s="14" t="s">
        <v>40</v>
      </c>
      <c r="K720" s="14" t="s">
        <v>1186</v>
      </c>
      <c r="L720" s="14" t="s">
        <v>559</v>
      </c>
      <c r="M720" s="14" t="s">
        <v>43</v>
      </c>
      <c r="N720" s="14"/>
      <c r="O720" s="14"/>
      <c r="P720" s="14" t="s">
        <v>119</v>
      </c>
      <c r="Q720" s="14"/>
      <c r="R720" s="13">
        <f>HYPERLINK("https://app.hubspot.com/contacts/8748051/record/0-2/14809836036", 14809836036)</f>
        <v>14809836036</v>
      </c>
      <c r="S720" s="14" t="s">
        <v>2384</v>
      </c>
      <c r="T720" s="18" t="s">
        <v>2385</v>
      </c>
      <c r="U720" s="14" t="s">
        <v>46</v>
      </c>
      <c r="V720" s="15"/>
      <c r="W720" s="19">
        <v>5222.0</v>
      </c>
      <c r="X720" s="19">
        <v>704.0</v>
      </c>
      <c r="Y720" s="20" t="s">
        <v>122</v>
      </c>
      <c r="Z720" s="20"/>
      <c r="AA720" s="20"/>
      <c r="AB720" s="20"/>
      <c r="AC720" s="20"/>
      <c r="AD720" s="20"/>
      <c r="AE720" s="20"/>
      <c r="AF720" s="17" t="str">
        <f t="shared" si="1"/>
        <v>New Logo</v>
      </c>
      <c r="AG720" s="17" t="str">
        <f t="shared" si="2"/>
        <v>Lead</v>
      </c>
      <c r="AH720" s="17" t="str">
        <f t="shared" si="3"/>
        <v>5000-10000</v>
      </c>
      <c r="AI720" s="17" t="str">
        <f t="shared" si="4"/>
        <v>500+</v>
      </c>
    </row>
    <row r="721" ht="15.75" customHeight="1">
      <c r="A721" s="13">
        <f>HYPERLINK("https://app.hubspot.com/contacts/8748051/record/0-3/16580938278", 16580938278)</f>
        <v>16580938278</v>
      </c>
      <c r="B721" s="14" t="s">
        <v>2386</v>
      </c>
      <c r="C721" s="14" t="s">
        <v>49</v>
      </c>
      <c r="D721" s="15">
        <v>2500.0</v>
      </c>
      <c r="E721" s="14" t="s">
        <v>118</v>
      </c>
      <c r="F721" s="14"/>
      <c r="G721" s="16">
        <v>45279.00587962963</v>
      </c>
      <c r="H721" s="16">
        <v>45383.005532407406</v>
      </c>
      <c r="I721" s="14" t="s">
        <v>39</v>
      </c>
      <c r="J721" s="14" t="s">
        <v>40</v>
      </c>
      <c r="K721" s="14" t="s">
        <v>1186</v>
      </c>
      <c r="L721" s="14" t="s">
        <v>559</v>
      </c>
      <c r="M721" s="14" t="s">
        <v>43</v>
      </c>
      <c r="N721" s="14"/>
      <c r="O721" s="14"/>
      <c r="P721" s="14" t="s">
        <v>211</v>
      </c>
      <c r="Q721" s="14"/>
      <c r="R721" s="13">
        <f>HYPERLINK("https://app.hubspot.com/contacts/8748051/record/0-2/18432139818", 18432139818)</f>
        <v>18432139818</v>
      </c>
      <c r="S721" s="14" t="s">
        <v>2387</v>
      </c>
      <c r="T721" s="18" t="s">
        <v>2388</v>
      </c>
      <c r="U721" s="14" t="s">
        <v>46</v>
      </c>
      <c r="V721" s="15"/>
      <c r="W721" s="19">
        <v>115.0</v>
      </c>
      <c r="X721" s="19">
        <v>5.0</v>
      </c>
      <c r="Y721" s="20"/>
      <c r="Z721" s="20"/>
      <c r="AA721" s="21"/>
      <c r="AB721" s="21"/>
      <c r="AC721" s="20"/>
      <c r="AD721" s="21"/>
      <c r="AE721" s="20"/>
      <c r="AF721" s="17" t="str">
        <f t="shared" si="1"/>
        <v>New Logo</v>
      </c>
      <c r="AG721" s="17" t="str">
        <f t="shared" si="2"/>
        <v>Lead</v>
      </c>
      <c r="AH721" s="17" t="str">
        <f t="shared" si="3"/>
        <v>0-200</v>
      </c>
      <c r="AI721" s="17" t="str">
        <f t="shared" si="4"/>
        <v>0-20</v>
      </c>
    </row>
    <row r="722" ht="15.75" customHeight="1">
      <c r="A722" s="13">
        <f>HYPERLINK("https://app.hubspot.com/contacts/8748051/record/0-3/16580579411", 16580579411)</f>
        <v>16580579411</v>
      </c>
      <c r="B722" s="14" t="s">
        <v>2389</v>
      </c>
      <c r="C722" s="14" t="s">
        <v>145</v>
      </c>
      <c r="D722" s="15">
        <v>40000.0</v>
      </c>
      <c r="E722" s="14" t="s">
        <v>146</v>
      </c>
      <c r="F722" s="14" t="s">
        <v>51</v>
      </c>
      <c r="G722" s="16">
        <v>45278.91662037037</v>
      </c>
      <c r="H722" s="16">
        <v>45318.24916666667</v>
      </c>
      <c r="I722" s="14" t="s">
        <v>39</v>
      </c>
      <c r="J722" s="14" t="s">
        <v>52</v>
      </c>
      <c r="K722" s="14" t="s">
        <v>59</v>
      </c>
      <c r="L722" s="14" t="s">
        <v>175</v>
      </c>
      <c r="M722" s="14" t="s">
        <v>72</v>
      </c>
      <c r="N722" s="17"/>
      <c r="O722" s="14" t="s">
        <v>2390</v>
      </c>
      <c r="P722" s="14"/>
      <c r="Q722" s="14"/>
      <c r="R722" s="13">
        <f>HYPERLINK("https://app.hubspot.com/contacts/8748051/record/0-2/7668097955", 7668097955)</f>
        <v>7668097955</v>
      </c>
      <c r="S722" s="18" t="s">
        <v>2391</v>
      </c>
      <c r="T722" s="18" t="s">
        <v>2392</v>
      </c>
      <c r="U722" s="14" t="s">
        <v>46</v>
      </c>
      <c r="V722" s="22"/>
      <c r="W722" s="19">
        <v>1272.0</v>
      </c>
      <c r="X722" s="19">
        <v>127.0</v>
      </c>
      <c r="Y722" s="20" t="s">
        <v>78</v>
      </c>
      <c r="Z722" s="21"/>
      <c r="AA722" s="21"/>
      <c r="AB722" s="21"/>
      <c r="AC722" s="21"/>
      <c r="AD722" s="21"/>
      <c r="AE722" s="21"/>
      <c r="AF722" s="17" t="str">
        <f t="shared" si="1"/>
        <v>New Logo</v>
      </c>
      <c r="AG722" s="17" t="str">
        <f t="shared" si="2"/>
        <v>Lead</v>
      </c>
      <c r="AH722" s="17" t="str">
        <f t="shared" si="3"/>
        <v>1001-5000</v>
      </c>
      <c r="AI722" s="17" t="str">
        <f t="shared" si="4"/>
        <v>101-500</v>
      </c>
    </row>
    <row r="723" ht="15.75" customHeight="1">
      <c r="A723" s="13">
        <f>HYPERLINK("https://app.hubspot.com/contacts/8748051/record/0-3/16575647146", 16575647146)</f>
        <v>16575647146</v>
      </c>
      <c r="B723" s="14" t="s">
        <v>2393</v>
      </c>
      <c r="C723" s="14" t="s">
        <v>1008</v>
      </c>
      <c r="D723" s="15">
        <v>83000.0</v>
      </c>
      <c r="E723" s="14" t="s">
        <v>118</v>
      </c>
      <c r="F723" s="14"/>
      <c r="G723" s="16">
        <v>45278.45413194445</v>
      </c>
      <c r="H723" s="16">
        <v>45382.45134259259</v>
      </c>
      <c r="I723" s="14" t="s">
        <v>39</v>
      </c>
      <c r="J723" s="14" t="s">
        <v>40</v>
      </c>
      <c r="K723" s="14" t="s">
        <v>1186</v>
      </c>
      <c r="L723" s="14" t="s">
        <v>559</v>
      </c>
      <c r="M723" s="14" t="s">
        <v>43</v>
      </c>
      <c r="N723" s="17"/>
      <c r="O723" s="14"/>
      <c r="P723" s="14" t="s">
        <v>211</v>
      </c>
      <c r="Q723" s="17"/>
      <c r="R723" s="13">
        <f>HYPERLINK("https://app.hubspot.com/contacts/8748051/record/0-2/9083544964", 9083544964)</f>
        <v>9083544964</v>
      </c>
      <c r="S723" s="14" t="s">
        <v>1034</v>
      </c>
      <c r="T723" s="18" t="s">
        <v>1035</v>
      </c>
      <c r="U723" s="14" t="s">
        <v>46</v>
      </c>
      <c r="V723" s="22"/>
      <c r="W723" s="19">
        <v>1312.0</v>
      </c>
      <c r="X723" s="19">
        <v>202.0</v>
      </c>
      <c r="Y723" s="20" t="s">
        <v>55</v>
      </c>
      <c r="Z723" s="21"/>
      <c r="AA723" s="21"/>
      <c r="AB723" s="21"/>
      <c r="AC723" s="21"/>
      <c r="AD723" s="21"/>
      <c r="AE723" s="21"/>
      <c r="AF723" s="17" t="str">
        <f t="shared" si="1"/>
        <v>New Logo</v>
      </c>
      <c r="AG723" s="17" t="str">
        <f t="shared" si="2"/>
        <v>Lead</v>
      </c>
      <c r="AH723" s="17" t="str">
        <f t="shared" si="3"/>
        <v>1001-5000</v>
      </c>
      <c r="AI723" s="17" t="str">
        <f t="shared" si="4"/>
        <v>101-500</v>
      </c>
    </row>
    <row r="724" ht="15.75" customHeight="1">
      <c r="A724" s="13">
        <f>HYPERLINK("https://app.hubspot.com/contacts/8748051/record/0-3/16575451293", 16575451293)</f>
        <v>16575451293</v>
      </c>
      <c r="B724" s="14" t="s">
        <v>2394</v>
      </c>
      <c r="C724" s="14" t="s">
        <v>49</v>
      </c>
      <c r="D724" s="15"/>
      <c r="E724" s="14" t="s">
        <v>146</v>
      </c>
      <c r="F724" s="14"/>
      <c r="G724" s="16">
        <v>45278.437581018516</v>
      </c>
      <c r="H724" s="16">
        <v>45327.6340162037</v>
      </c>
      <c r="I724" s="14" t="s">
        <v>39</v>
      </c>
      <c r="J724" s="14" t="s">
        <v>40</v>
      </c>
      <c r="K724" s="14" t="s">
        <v>1186</v>
      </c>
      <c r="L724" s="14" t="s">
        <v>559</v>
      </c>
      <c r="M724" s="14" t="s">
        <v>43</v>
      </c>
      <c r="N724" s="17"/>
      <c r="O724" s="14" t="s">
        <v>2395</v>
      </c>
      <c r="P724" s="14"/>
      <c r="Q724" s="14"/>
      <c r="R724" s="13">
        <f>HYPERLINK("https://app.hubspot.com/contacts/8748051/record/0-2/9238251130", 9238251130)</f>
        <v>9238251130</v>
      </c>
      <c r="S724" s="14" t="s">
        <v>2396</v>
      </c>
      <c r="T724" s="18" t="s">
        <v>2397</v>
      </c>
      <c r="U724" s="14" t="s">
        <v>46</v>
      </c>
      <c r="V724" s="22"/>
      <c r="W724" s="19">
        <v>6152.0</v>
      </c>
      <c r="X724" s="19">
        <v>387.0</v>
      </c>
      <c r="Y724" s="20" t="s">
        <v>70</v>
      </c>
      <c r="Z724" s="21"/>
      <c r="AA724" s="21"/>
      <c r="AB724" s="21"/>
      <c r="AC724" s="21"/>
      <c r="AD724" s="21"/>
      <c r="AE724" s="21"/>
      <c r="AF724" s="17" t="str">
        <f t="shared" si="1"/>
        <v>New Logo</v>
      </c>
      <c r="AG724" s="17" t="str">
        <f t="shared" si="2"/>
        <v>Lead</v>
      </c>
      <c r="AH724" s="17" t="str">
        <f t="shared" si="3"/>
        <v>5000-10000</v>
      </c>
      <c r="AI724" s="17" t="str">
        <f t="shared" si="4"/>
        <v>101-500</v>
      </c>
    </row>
    <row r="725" ht="15.75" customHeight="1">
      <c r="A725" s="13">
        <f>HYPERLINK("https://app.hubspot.com/contacts/8748051/record/0-3/16572445771", 16572445771)</f>
        <v>16572445771</v>
      </c>
      <c r="B725" s="14" t="s">
        <v>1968</v>
      </c>
      <c r="C725" s="14" t="s">
        <v>1008</v>
      </c>
      <c r="D725" s="15">
        <v>100000.0</v>
      </c>
      <c r="E725" s="14" t="s">
        <v>118</v>
      </c>
      <c r="F725" s="14" t="s">
        <v>51</v>
      </c>
      <c r="G725" s="16">
        <v>45278.310636574075</v>
      </c>
      <c r="H725" s="16">
        <v>45657.301354166666</v>
      </c>
      <c r="I725" s="14" t="s">
        <v>39</v>
      </c>
      <c r="J725" s="14" t="s">
        <v>52</v>
      </c>
      <c r="K725" s="14" t="s">
        <v>1186</v>
      </c>
      <c r="L725" s="14" t="s">
        <v>559</v>
      </c>
      <c r="M725" s="14" t="s">
        <v>72</v>
      </c>
      <c r="N725" s="14"/>
      <c r="O725" s="14"/>
      <c r="P725" s="14" t="s">
        <v>119</v>
      </c>
      <c r="Q725" s="14"/>
      <c r="R725" s="13">
        <f>HYPERLINK("https://app.hubspot.com/contacts/8748051/record/0-2/8879983211", 8879983211)</f>
        <v>8879983211</v>
      </c>
      <c r="S725" s="14" t="s">
        <v>1969</v>
      </c>
      <c r="T725" s="18" t="s">
        <v>1970</v>
      </c>
      <c r="U725" s="14" t="s">
        <v>46</v>
      </c>
      <c r="V725" s="15"/>
      <c r="W725" s="19">
        <v>1504.0</v>
      </c>
      <c r="X725" s="19">
        <v>431.0</v>
      </c>
      <c r="Y725" s="20" t="s">
        <v>122</v>
      </c>
      <c r="Z725" s="20"/>
      <c r="AA725" s="20"/>
      <c r="AB725" s="20"/>
      <c r="AC725" s="20"/>
      <c r="AD725" s="20"/>
      <c r="AE725" s="20"/>
      <c r="AF725" s="17" t="str">
        <f t="shared" si="1"/>
        <v>New Logo</v>
      </c>
      <c r="AG725" s="17" t="str">
        <f t="shared" si="2"/>
        <v>Lead</v>
      </c>
      <c r="AH725" s="17" t="str">
        <f t="shared" si="3"/>
        <v>1001-5000</v>
      </c>
      <c r="AI725" s="17" t="str">
        <f t="shared" si="4"/>
        <v>101-500</v>
      </c>
    </row>
    <row r="726" ht="15.75" customHeight="1">
      <c r="A726" s="13">
        <f>HYPERLINK("https://app.hubspot.com/contacts/8748051/record/0-3/16572427950", 16572427950)</f>
        <v>16572427950</v>
      </c>
      <c r="B726" s="14" t="s">
        <v>2398</v>
      </c>
      <c r="C726" s="14" t="s">
        <v>1008</v>
      </c>
      <c r="D726" s="15">
        <v>35000.0</v>
      </c>
      <c r="E726" s="14" t="s">
        <v>124</v>
      </c>
      <c r="F726" s="14" t="s">
        <v>51</v>
      </c>
      <c r="G726" s="16">
        <v>45278.30803240741</v>
      </c>
      <c r="H726" s="16">
        <v>45747.36268518519</v>
      </c>
      <c r="I726" s="14" t="s">
        <v>39</v>
      </c>
      <c r="J726" s="14" t="s">
        <v>40</v>
      </c>
      <c r="K726" s="14" t="s">
        <v>41</v>
      </c>
      <c r="L726" s="14" t="s">
        <v>559</v>
      </c>
      <c r="M726" s="14" t="s">
        <v>72</v>
      </c>
      <c r="N726" s="14"/>
      <c r="O726" s="17"/>
      <c r="P726" s="14"/>
      <c r="Q726" s="14" t="s">
        <v>141</v>
      </c>
      <c r="R726" s="13">
        <f>HYPERLINK("https://app.hubspot.com/contacts/8748051/record/0-2/6262327611", 6262327611)</f>
        <v>6262327611</v>
      </c>
      <c r="S726" s="14" t="s">
        <v>2399</v>
      </c>
      <c r="T726" s="18" t="s">
        <v>2400</v>
      </c>
      <c r="U726" s="14" t="s">
        <v>46</v>
      </c>
      <c r="V726" s="15"/>
      <c r="W726" s="19">
        <v>501.0</v>
      </c>
      <c r="X726" s="19">
        <v>92.0</v>
      </c>
      <c r="Y726" s="20" t="s">
        <v>70</v>
      </c>
      <c r="Z726" s="20"/>
      <c r="AA726" s="21"/>
      <c r="AB726" s="20"/>
      <c r="AC726" s="20"/>
      <c r="AD726" s="20"/>
      <c r="AE726" s="20"/>
      <c r="AF726" s="17" t="str">
        <f t="shared" si="1"/>
        <v>New Logo</v>
      </c>
      <c r="AG726" s="17" t="str">
        <f t="shared" si="2"/>
        <v>Lead</v>
      </c>
      <c r="AH726" s="17" t="str">
        <f t="shared" si="3"/>
        <v>501-1000</v>
      </c>
      <c r="AI726" s="17" t="str">
        <f t="shared" si="4"/>
        <v>51-100</v>
      </c>
    </row>
    <row r="727" ht="15.75" customHeight="1">
      <c r="A727" s="13">
        <f>HYPERLINK("https://app.hubspot.com/contacts/8748051/record/0-3/16533455668", 16533455668)</f>
        <v>16533455668</v>
      </c>
      <c r="B727" s="14" t="s">
        <v>2401</v>
      </c>
      <c r="C727" s="14" t="s">
        <v>1008</v>
      </c>
      <c r="D727" s="15">
        <v>100000.0</v>
      </c>
      <c r="E727" s="14" t="s">
        <v>118</v>
      </c>
      <c r="F727" s="14"/>
      <c r="G727" s="16">
        <v>45275.639386574076</v>
      </c>
      <c r="H727" s="16">
        <v>45412.68048611111</v>
      </c>
      <c r="I727" s="14" t="s">
        <v>39</v>
      </c>
      <c r="J727" s="14" t="s">
        <v>40</v>
      </c>
      <c r="K727" s="14" t="s">
        <v>1186</v>
      </c>
      <c r="L727" s="14" t="s">
        <v>559</v>
      </c>
      <c r="M727" s="14" t="s">
        <v>43</v>
      </c>
      <c r="N727" s="17"/>
      <c r="O727" s="14"/>
      <c r="P727" s="14" t="s">
        <v>260</v>
      </c>
      <c r="Q727" s="14"/>
      <c r="R727" s="13">
        <f>HYPERLINK("https://app.hubspot.com/contacts/8748051/record/0-2/15483714669", 15483714669)</f>
        <v>15483714669</v>
      </c>
      <c r="S727" s="14" t="s">
        <v>2402</v>
      </c>
      <c r="T727" s="18" t="s">
        <v>2403</v>
      </c>
      <c r="U727" s="14" t="s">
        <v>46</v>
      </c>
      <c r="V727" s="22"/>
      <c r="W727" s="19">
        <v>5041.0</v>
      </c>
      <c r="X727" s="19">
        <v>844.0</v>
      </c>
      <c r="Y727" s="20" t="s">
        <v>1106</v>
      </c>
      <c r="Z727" s="21"/>
      <c r="AA727" s="21"/>
      <c r="AB727" s="21"/>
      <c r="AC727" s="21"/>
      <c r="AD727" s="21"/>
      <c r="AE727" s="21"/>
      <c r="AF727" s="17" t="str">
        <f t="shared" si="1"/>
        <v>New Logo</v>
      </c>
      <c r="AG727" s="17" t="str">
        <f t="shared" si="2"/>
        <v>Lead</v>
      </c>
      <c r="AH727" s="17" t="str">
        <f t="shared" si="3"/>
        <v>5000-10000</v>
      </c>
      <c r="AI727" s="17" t="str">
        <f t="shared" si="4"/>
        <v>500+</v>
      </c>
    </row>
    <row r="728" ht="15.75" customHeight="1">
      <c r="A728" s="13">
        <f>HYPERLINK("https://app.hubspot.com/contacts/8748051/record/0-3/16527633000", 16527633000)</f>
        <v>16527633000</v>
      </c>
      <c r="B728" s="14" t="s">
        <v>2404</v>
      </c>
      <c r="C728" s="14" t="s">
        <v>49</v>
      </c>
      <c r="D728" s="15">
        <v>9600.0</v>
      </c>
      <c r="E728" s="14" t="s">
        <v>118</v>
      </c>
      <c r="F728" s="14"/>
      <c r="G728" s="16">
        <v>45275.30819444444</v>
      </c>
      <c r="H728" s="16">
        <v>45564.51457175926</v>
      </c>
      <c r="I728" s="14" t="s">
        <v>39</v>
      </c>
      <c r="J728" s="14" t="s">
        <v>40</v>
      </c>
      <c r="K728" s="14" t="s">
        <v>1186</v>
      </c>
      <c r="L728" s="14" t="s">
        <v>559</v>
      </c>
      <c r="M728" s="14" t="s">
        <v>43</v>
      </c>
      <c r="N728" s="14"/>
      <c r="O728" s="14"/>
      <c r="P728" s="14" t="s">
        <v>260</v>
      </c>
      <c r="Q728" s="14"/>
      <c r="R728" s="13">
        <f>HYPERLINK("https://app.hubspot.com/contacts/8748051/record/0-2/7945114506", 7945114506)</f>
        <v>7945114506</v>
      </c>
      <c r="S728" s="14" t="s">
        <v>2405</v>
      </c>
      <c r="T728" s="18" t="s">
        <v>2406</v>
      </c>
      <c r="U728" s="14" t="s">
        <v>46</v>
      </c>
      <c r="V728" s="15"/>
      <c r="W728" s="19">
        <v>75.0</v>
      </c>
      <c r="X728" s="19">
        <v>32.0</v>
      </c>
      <c r="Y728" s="20" t="s">
        <v>2407</v>
      </c>
      <c r="Z728" s="20"/>
      <c r="AA728" s="21"/>
      <c r="AB728" s="20"/>
      <c r="AC728" s="20"/>
      <c r="AD728" s="20"/>
      <c r="AE728" s="20"/>
      <c r="AF728" s="17" t="str">
        <f t="shared" si="1"/>
        <v>New Logo</v>
      </c>
      <c r="AG728" s="17" t="str">
        <f t="shared" si="2"/>
        <v>Lead</v>
      </c>
      <c r="AH728" s="17" t="str">
        <f t="shared" si="3"/>
        <v>0-200</v>
      </c>
      <c r="AI728" s="17" t="str">
        <f t="shared" si="4"/>
        <v>21-50</v>
      </c>
    </row>
    <row r="729" ht="15.75" customHeight="1">
      <c r="A729" s="13">
        <f>HYPERLINK("https://app.hubspot.com/contacts/8748051/record/0-3/16508415114", 16508415114)</f>
        <v>16508415114</v>
      </c>
      <c r="B729" s="14" t="s">
        <v>2408</v>
      </c>
      <c r="C729" s="14" t="s">
        <v>49</v>
      </c>
      <c r="D729" s="15">
        <v>72500.0</v>
      </c>
      <c r="E729" s="14" t="s">
        <v>124</v>
      </c>
      <c r="F729" s="14" t="s">
        <v>51</v>
      </c>
      <c r="G729" s="16">
        <v>45274.71650462963</v>
      </c>
      <c r="H729" s="16">
        <v>45471.64289351852</v>
      </c>
      <c r="I729" s="14" t="s">
        <v>39</v>
      </c>
      <c r="J729" s="14" t="s">
        <v>40</v>
      </c>
      <c r="K729" s="14" t="s">
        <v>1186</v>
      </c>
      <c r="L729" s="14" t="s">
        <v>559</v>
      </c>
      <c r="M729" s="14" t="s">
        <v>43</v>
      </c>
      <c r="N729" s="14"/>
      <c r="O729" s="14"/>
      <c r="P729" s="14"/>
      <c r="Q729" s="14" t="s">
        <v>141</v>
      </c>
      <c r="R729" s="13">
        <f>HYPERLINK("https://app.hubspot.com/contacts/8748051/record/0-2/15939922518", 15939922518)</f>
        <v>15939922518</v>
      </c>
      <c r="S729" s="14" t="s">
        <v>2409</v>
      </c>
      <c r="T729" s="18" t="s">
        <v>2410</v>
      </c>
      <c r="U729" s="14" t="s">
        <v>46</v>
      </c>
      <c r="V729" s="15"/>
      <c r="W729" s="19">
        <v>953.0</v>
      </c>
      <c r="X729" s="19">
        <v>171.0</v>
      </c>
      <c r="Y729" s="20" t="s">
        <v>122</v>
      </c>
      <c r="Z729" s="20"/>
      <c r="AA729" s="21"/>
      <c r="AB729" s="20"/>
      <c r="AC729" s="20"/>
      <c r="AD729" s="20"/>
      <c r="AE729" s="20"/>
      <c r="AF729" s="17" t="str">
        <f t="shared" si="1"/>
        <v>New Logo</v>
      </c>
      <c r="AG729" s="17" t="str">
        <f t="shared" si="2"/>
        <v>Lead</v>
      </c>
      <c r="AH729" s="17" t="str">
        <f t="shared" si="3"/>
        <v>501-1000</v>
      </c>
      <c r="AI729" s="17" t="str">
        <f t="shared" si="4"/>
        <v>101-500</v>
      </c>
    </row>
    <row r="730" ht="15.75" customHeight="1">
      <c r="A730" s="13">
        <f>HYPERLINK("https://app.hubspot.com/contacts/8748051/record/0-3/16508520234", 16508520234)</f>
        <v>16508520234</v>
      </c>
      <c r="B730" s="14" t="s">
        <v>2411</v>
      </c>
      <c r="C730" s="14" t="s">
        <v>49</v>
      </c>
      <c r="D730" s="15">
        <v>100000.0</v>
      </c>
      <c r="E730" s="14" t="s">
        <v>118</v>
      </c>
      <c r="F730" s="14"/>
      <c r="G730" s="16">
        <v>45274.6997337963</v>
      </c>
      <c r="H730" s="16">
        <v>45382.74116898148</v>
      </c>
      <c r="I730" s="14" t="s">
        <v>39</v>
      </c>
      <c r="J730" s="14" t="s">
        <v>40</v>
      </c>
      <c r="K730" s="14" t="s">
        <v>1186</v>
      </c>
      <c r="L730" s="14" t="s">
        <v>559</v>
      </c>
      <c r="M730" s="14" t="s">
        <v>43</v>
      </c>
      <c r="N730" s="14"/>
      <c r="O730" s="14"/>
      <c r="P730" s="14" t="s">
        <v>211</v>
      </c>
      <c r="Q730" s="14"/>
      <c r="R730" s="13">
        <f>HYPERLINK("https://app.hubspot.com/contacts/8748051/record/0-2/7514685489", 7514685489)</f>
        <v>7514685489</v>
      </c>
      <c r="S730" s="14" t="s">
        <v>2412</v>
      </c>
      <c r="T730" s="18" t="s">
        <v>2413</v>
      </c>
      <c r="U730" s="14" t="s">
        <v>46</v>
      </c>
      <c r="V730" s="15"/>
      <c r="W730" s="19">
        <v>1431.0</v>
      </c>
      <c r="X730" s="19">
        <v>339.0</v>
      </c>
      <c r="Y730" s="20" t="s">
        <v>122</v>
      </c>
      <c r="Z730" s="20"/>
      <c r="AA730" s="21"/>
      <c r="AB730" s="20"/>
      <c r="AC730" s="20"/>
      <c r="AD730" s="20"/>
      <c r="AE730" s="20"/>
      <c r="AF730" s="17" t="str">
        <f t="shared" si="1"/>
        <v>New Logo</v>
      </c>
      <c r="AG730" s="17" t="str">
        <f t="shared" si="2"/>
        <v>Lead</v>
      </c>
      <c r="AH730" s="17" t="str">
        <f t="shared" si="3"/>
        <v>1001-5000</v>
      </c>
      <c r="AI730" s="17" t="str">
        <f t="shared" si="4"/>
        <v>101-500</v>
      </c>
    </row>
    <row r="731" ht="15.75" customHeight="1">
      <c r="A731" s="13">
        <f>HYPERLINK("https://app.hubspot.com/contacts/8748051/record/0-3/16508412252", 16508412252)</f>
        <v>16508412252</v>
      </c>
      <c r="B731" s="14" t="s">
        <v>2414</v>
      </c>
      <c r="C731" s="14" t="s">
        <v>49</v>
      </c>
      <c r="D731" s="15">
        <v>38000.0</v>
      </c>
      <c r="E731" s="14" t="s">
        <v>118</v>
      </c>
      <c r="F731" s="14"/>
      <c r="G731" s="16">
        <v>45274.69702546296</v>
      </c>
      <c r="H731" s="16">
        <v>45382.73861111111</v>
      </c>
      <c r="I731" s="14" t="s">
        <v>39</v>
      </c>
      <c r="J731" s="14" t="s">
        <v>40</v>
      </c>
      <c r="K731" s="14" t="s">
        <v>1186</v>
      </c>
      <c r="L731" s="14" t="s">
        <v>559</v>
      </c>
      <c r="M731" s="14" t="s">
        <v>43</v>
      </c>
      <c r="N731" s="14"/>
      <c r="O731" s="14"/>
      <c r="P731" s="14" t="s">
        <v>211</v>
      </c>
      <c r="Q731" s="14"/>
      <c r="R731" s="13">
        <f>HYPERLINK("https://app.hubspot.com/contacts/8748051/record/0-2/8051981464", 8051981464)</f>
        <v>8051981464</v>
      </c>
      <c r="S731" s="14" t="s">
        <v>1502</v>
      </c>
      <c r="T731" s="18" t="s">
        <v>1503</v>
      </c>
      <c r="U731" s="14" t="s">
        <v>46</v>
      </c>
      <c r="V731" s="15"/>
      <c r="W731" s="19">
        <v>923.0</v>
      </c>
      <c r="X731" s="19">
        <v>79.0</v>
      </c>
      <c r="Y731" s="20" t="s">
        <v>104</v>
      </c>
      <c r="Z731" s="20"/>
      <c r="AA731" s="21"/>
      <c r="AB731" s="21"/>
      <c r="AC731" s="20"/>
      <c r="AD731" s="21"/>
      <c r="AE731" s="20"/>
      <c r="AF731" s="17" t="str">
        <f t="shared" si="1"/>
        <v>New Logo</v>
      </c>
      <c r="AG731" s="17" t="str">
        <f t="shared" si="2"/>
        <v>Lead</v>
      </c>
      <c r="AH731" s="17" t="str">
        <f t="shared" si="3"/>
        <v>501-1000</v>
      </c>
      <c r="AI731" s="17" t="str">
        <f t="shared" si="4"/>
        <v>51-100</v>
      </c>
    </row>
    <row r="732" ht="15.75" customHeight="1">
      <c r="A732" s="13">
        <f>HYPERLINK("https://app.hubspot.com/contacts/8748051/record/0-3/16497061404", 16497061404)</f>
        <v>16497061404</v>
      </c>
      <c r="B732" s="14" t="s">
        <v>2415</v>
      </c>
      <c r="C732" s="14" t="s">
        <v>1008</v>
      </c>
      <c r="D732" s="15">
        <v>37500.0</v>
      </c>
      <c r="E732" s="14" t="s">
        <v>118</v>
      </c>
      <c r="F732" s="14"/>
      <c r="G732" s="16">
        <v>45273.76189814815</v>
      </c>
      <c r="H732" s="16">
        <v>45382.80326388889</v>
      </c>
      <c r="I732" s="14" t="s">
        <v>39</v>
      </c>
      <c r="J732" s="14" t="s">
        <v>40</v>
      </c>
      <c r="K732" s="14" t="s">
        <v>1186</v>
      </c>
      <c r="L732" s="14" t="s">
        <v>559</v>
      </c>
      <c r="M732" s="14" t="s">
        <v>43</v>
      </c>
      <c r="N732" s="14"/>
      <c r="O732" s="14"/>
      <c r="P732" s="14" t="s">
        <v>211</v>
      </c>
      <c r="Q732" s="14"/>
      <c r="R732" s="13">
        <f>HYPERLINK("https://app.hubspot.com/contacts/8748051/record/0-2/9228058420", 9228058420)</f>
        <v>9228058420</v>
      </c>
      <c r="S732" s="14" t="s">
        <v>2416</v>
      </c>
      <c r="T732" s="18" t="s">
        <v>2417</v>
      </c>
      <c r="U732" s="14" t="s">
        <v>46</v>
      </c>
      <c r="V732" s="15"/>
      <c r="W732" s="19">
        <v>422.0</v>
      </c>
      <c r="X732" s="19">
        <v>87.0</v>
      </c>
      <c r="Y732" s="20" t="s">
        <v>104</v>
      </c>
      <c r="Z732" s="20"/>
      <c r="AA732" s="20"/>
      <c r="AB732" s="21"/>
      <c r="AC732" s="20"/>
      <c r="AD732" s="20"/>
      <c r="AE732" s="20"/>
      <c r="AF732" s="17" t="str">
        <f t="shared" si="1"/>
        <v>New Logo</v>
      </c>
      <c r="AG732" s="17" t="str">
        <f t="shared" si="2"/>
        <v>Lead</v>
      </c>
      <c r="AH732" s="17" t="str">
        <f t="shared" si="3"/>
        <v>201-500</v>
      </c>
      <c r="AI732" s="17" t="str">
        <f t="shared" si="4"/>
        <v>51-100</v>
      </c>
    </row>
    <row r="733" ht="15.75" customHeight="1">
      <c r="A733" s="13">
        <f>HYPERLINK("https://app.hubspot.com/contacts/8748051/record/0-3/16479520279", 16479520279)</f>
        <v>16479520279</v>
      </c>
      <c r="B733" s="14" t="s">
        <v>2418</v>
      </c>
      <c r="C733" s="14" t="s">
        <v>1008</v>
      </c>
      <c r="D733" s="15">
        <v>16500.0</v>
      </c>
      <c r="E733" s="14" t="s">
        <v>118</v>
      </c>
      <c r="F733" s="14"/>
      <c r="G733" s="16">
        <v>45272.698900462965</v>
      </c>
      <c r="H733" s="16">
        <v>45382.737592592595</v>
      </c>
      <c r="I733" s="14" t="s">
        <v>39</v>
      </c>
      <c r="J733" s="14" t="s">
        <v>40</v>
      </c>
      <c r="K733" s="14" t="s">
        <v>1186</v>
      </c>
      <c r="L733" s="14" t="s">
        <v>559</v>
      </c>
      <c r="M733" s="14" t="s">
        <v>43</v>
      </c>
      <c r="N733" s="14"/>
      <c r="O733" s="14"/>
      <c r="P733" s="14" t="s">
        <v>260</v>
      </c>
      <c r="Q733" s="14"/>
      <c r="R733" s="13">
        <f>HYPERLINK("https://app.hubspot.com/contacts/8748051/record/0-2/8370344576", 8370344576)</f>
        <v>8370344576</v>
      </c>
      <c r="S733" s="14" t="s">
        <v>2419</v>
      </c>
      <c r="T733" s="18" t="s">
        <v>2420</v>
      </c>
      <c r="U733" s="14" t="s">
        <v>46</v>
      </c>
      <c r="V733" s="15"/>
      <c r="W733" s="19">
        <v>312.0</v>
      </c>
      <c r="X733" s="19">
        <v>41.0</v>
      </c>
      <c r="Y733" s="20"/>
      <c r="Z733" s="20"/>
      <c r="AA733" s="20"/>
      <c r="AB733" s="20"/>
      <c r="AC733" s="20"/>
      <c r="AD733" s="21"/>
      <c r="AE733" s="20"/>
      <c r="AF733" s="17" t="str">
        <f t="shared" si="1"/>
        <v>New Logo</v>
      </c>
      <c r="AG733" s="17" t="str">
        <f t="shared" si="2"/>
        <v>Lead</v>
      </c>
      <c r="AH733" s="17" t="str">
        <f t="shared" si="3"/>
        <v>201-500</v>
      </c>
      <c r="AI733" s="17" t="str">
        <f t="shared" si="4"/>
        <v>21-50</v>
      </c>
    </row>
    <row r="734" ht="15.75" customHeight="1">
      <c r="A734" s="13">
        <f>HYPERLINK("https://app.hubspot.com/contacts/8748051/record/0-3/16455042417", 16455042417)</f>
        <v>16455042417</v>
      </c>
      <c r="B734" s="14" t="s">
        <v>2421</v>
      </c>
      <c r="C734" s="14" t="s">
        <v>37</v>
      </c>
      <c r="D734" s="15">
        <v>100000.0</v>
      </c>
      <c r="E734" s="14" t="s">
        <v>118</v>
      </c>
      <c r="F734" s="14"/>
      <c r="G734" s="16">
        <v>45271.609918981485</v>
      </c>
      <c r="H734" s="16">
        <v>45382.651504629626</v>
      </c>
      <c r="I734" s="14" t="s">
        <v>39</v>
      </c>
      <c r="J734" s="14" t="s">
        <v>40</v>
      </c>
      <c r="K734" s="14" t="s">
        <v>1186</v>
      </c>
      <c r="L734" s="14" t="s">
        <v>559</v>
      </c>
      <c r="M734" s="14" t="s">
        <v>43</v>
      </c>
      <c r="N734" s="14"/>
      <c r="O734" s="14"/>
      <c r="P734" s="14" t="s">
        <v>260</v>
      </c>
      <c r="Q734" s="14"/>
      <c r="R734" s="13">
        <f>HYPERLINK("https://app.hubspot.com/contacts/8748051/record/0-2/14811203588", 14811203588)</f>
        <v>14811203588</v>
      </c>
      <c r="S734" s="14" t="s">
        <v>2422</v>
      </c>
      <c r="T734" s="18" t="s">
        <v>2423</v>
      </c>
      <c r="U734" s="14" t="s">
        <v>46</v>
      </c>
      <c r="V734" s="15"/>
      <c r="W734" s="19">
        <v>1218.0</v>
      </c>
      <c r="X734" s="19">
        <v>224.0</v>
      </c>
      <c r="Y734" s="20"/>
      <c r="Z734" s="20"/>
      <c r="AA734" s="20"/>
      <c r="AB734" s="20"/>
      <c r="AC734" s="20"/>
      <c r="AD734" s="20"/>
      <c r="AE734" s="20"/>
      <c r="AF734" s="17" t="str">
        <f t="shared" si="1"/>
        <v>New Logo</v>
      </c>
      <c r="AG734" s="17" t="str">
        <f t="shared" si="2"/>
        <v>Lead</v>
      </c>
      <c r="AH734" s="17" t="str">
        <f t="shared" si="3"/>
        <v>1001-5000</v>
      </c>
      <c r="AI734" s="17" t="str">
        <f t="shared" si="4"/>
        <v>101-500</v>
      </c>
    </row>
    <row r="735" ht="15.75" customHeight="1">
      <c r="A735" s="13">
        <f>HYPERLINK("https://app.hubspot.com/contacts/8748051/record/0-3/16453295360", 16453295360)</f>
        <v>16453295360</v>
      </c>
      <c r="B735" s="14" t="s">
        <v>2424</v>
      </c>
      <c r="C735" s="14" t="s">
        <v>49</v>
      </c>
      <c r="D735" s="15">
        <v>21500.0</v>
      </c>
      <c r="E735" s="14" t="s">
        <v>118</v>
      </c>
      <c r="F735" s="14"/>
      <c r="G735" s="16">
        <v>45271.57369212963</v>
      </c>
      <c r="H735" s="16">
        <v>45382.6150462963</v>
      </c>
      <c r="I735" s="14" t="s">
        <v>39</v>
      </c>
      <c r="J735" s="14" t="s">
        <v>40</v>
      </c>
      <c r="K735" s="14" t="s">
        <v>1186</v>
      </c>
      <c r="L735" s="14" t="s">
        <v>559</v>
      </c>
      <c r="M735" s="14" t="s">
        <v>43</v>
      </c>
      <c r="N735" s="14"/>
      <c r="O735" s="14"/>
      <c r="P735" s="14" t="s">
        <v>119</v>
      </c>
      <c r="Q735" s="14"/>
      <c r="R735" s="13">
        <f>HYPERLINK("https://app.hubspot.com/contacts/8748051/record/0-2/17252662641", 17252662641)</f>
        <v>17252662641</v>
      </c>
      <c r="S735" s="14" t="s">
        <v>2425</v>
      </c>
      <c r="T735" s="18" t="s">
        <v>2426</v>
      </c>
      <c r="U735" s="14" t="s">
        <v>46</v>
      </c>
      <c r="V735" s="15"/>
      <c r="W735" s="19">
        <v>228.0</v>
      </c>
      <c r="X735" s="19">
        <v>41.0</v>
      </c>
      <c r="Y735" s="20" t="s">
        <v>104</v>
      </c>
      <c r="Z735" s="20"/>
      <c r="AA735" s="20"/>
      <c r="AB735" s="20"/>
      <c r="AC735" s="20"/>
      <c r="AD735" s="20"/>
      <c r="AE735" s="20"/>
      <c r="AF735" s="17" t="str">
        <f t="shared" si="1"/>
        <v>New Logo</v>
      </c>
      <c r="AG735" s="17" t="str">
        <f t="shared" si="2"/>
        <v>Lead</v>
      </c>
      <c r="AH735" s="17" t="str">
        <f t="shared" si="3"/>
        <v>201-500</v>
      </c>
      <c r="AI735" s="17" t="str">
        <f t="shared" si="4"/>
        <v>21-50</v>
      </c>
    </row>
    <row r="736" ht="15.75" customHeight="1">
      <c r="A736" s="13">
        <f>HYPERLINK("https://app.hubspot.com/contacts/8748051/record/0-3/16445568855", 16445568855)</f>
        <v>16445568855</v>
      </c>
      <c r="B736" s="14" t="s">
        <v>2427</v>
      </c>
      <c r="C736" s="14" t="s">
        <v>49</v>
      </c>
      <c r="D736" s="15">
        <v>8800.0</v>
      </c>
      <c r="E736" s="14" t="s">
        <v>124</v>
      </c>
      <c r="F736" s="14" t="s">
        <v>51</v>
      </c>
      <c r="G736" s="16">
        <v>45271.13246527778</v>
      </c>
      <c r="H736" s="16">
        <v>45382.3656712963</v>
      </c>
      <c r="I736" s="14" t="s">
        <v>39</v>
      </c>
      <c r="J736" s="14" t="s">
        <v>40</v>
      </c>
      <c r="K736" s="14" t="s">
        <v>41</v>
      </c>
      <c r="L736" s="14" t="s">
        <v>42</v>
      </c>
      <c r="M736" s="14" t="s">
        <v>98</v>
      </c>
      <c r="N736" s="14"/>
      <c r="O736" s="14"/>
      <c r="P736" s="14"/>
      <c r="Q736" s="14" t="s">
        <v>125</v>
      </c>
      <c r="R736" s="13">
        <f>HYPERLINK("https://app.hubspot.com/contacts/8748051/record/0-2/9069677845", 9069677845)</f>
        <v>9069677845</v>
      </c>
      <c r="S736" s="14" t="s">
        <v>2428</v>
      </c>
      <c r="T736" s="18" t="s">
        <v>2429</v>
      </c>
      <c r="U736" s="14" t="s">
        <v>46</v>
      </c>
      <c r="V736" s="15"/>
      <c r="W736" s="19">
        <v>233.0</v>
      </c>
      <c r="X736" s="19">
        <v>24.0</v>
      </c>
      <c r="Y736" s="20"/>
      <c r="Z736" s="20"/>
      <c r="AA736" s="21"/>
      <c r="AB736" s="21"/>
      <c r="AC736" s="20"/>
      <c r="AD736" s="20"/>
      <c r="AE736" s="20"/>
      <c r="AF736" s="17" t="str">
        <f t="shared" si="1"/>
        <v>New Logo</v>
      </c>
      <c r="AG736" s="17" t="str">
        <f t="shared" si="2"/>
        <v>Lead</v>
      </c>
      <c r="AH736" s="17" t="str">
        <f t="shared" si="3"/>
        <v>201-500</v>
      </c>
      <c r="AI736" s="17" t="str">
        <f t="shared" si="4"/>
        <v>21-50</v>
      </c>
    </row>
    <row r="737" ht="15.75" customHeight="1">
      <c r="A737" s="13">
        <f>HYPERLINK("https://app.hubspot.com/contacts/8748051/record/0-3/16403447730", 16403447730)</f>
        <v>16403447730</v>
      </c>
      <c r="B737" s="14" t="s">
        <v>2430</v>
      </c>
      <c r="C737" s="14" t="s">
        <v>37</v>
      </c>
      <c r="D737" s="15">
        <v>100000.0</v>
      </c>
      <c r="E737" s="14" t="s">
        <v>118</v>
      </c>
      <c r="F737" s="14"/>
      <c r="G737" s="16">
        <v>45267.67737268518</v>
      </c>
      <c r="H737" s="16">
        <v>45382.71895833333</v>
      </c>
      <c r="I737" s="14" t="s">
        <v>39</v>
      </c>
      <c r="J737" s="14" t="s">
        <v>40</v>
      </c>
      <c r="K737" s="14" t="s">
        <v>1186</v>
      </c>
      <c r="L737" s="14" t="s">
        <v>559</v>
      </c>
      <c r="M737" s="14" t="s">
        <v>43</v>
      </c>
      <c r="N737" s="14"/>
      <c r="O737" s="14"/>
      <c r="P737" s="14" t="s">
        <v>260</v>
      </c>
      <c r="Q737" s="14"/>
      <c r="R737" s="13">
        <f>HYPERLINK("https://app.hubspot.com/contacts/8748051/record/0-2/8597343587", 8597343587)</f>
        <v>8597343587</v>
      </c>
      <c r="S737" s="14" t="s">
        <v>2431</v>
      </c>
      <c r="T737" s="18" t="s">
        <v>2432</v>
      </c>
      <c r="U737" s="14" t="s">
        <v>46</v>
      </c>
      <c r="V737" s="15"/>
      <c r="W737" s="19">
        <v>2870.0</v>
      </c>
      <c r="X737" s="19">
        <v>359.0</v>
      </c>
      <c r="Y737" s="20" t="s">
        <v>596</v>
      </c>
      <c r="Z737" s="20"/>
      <c r="AA737" s="21"/>
      <c r="AB737" s="21"/>
      <c r="AC737" s="20"/>
      <c r="AD737" s="21"/>
      <c r="AE737" s="20"/>
      <c r="AF737" s="17" t="str">
        <f t="shared" si="1"/>
        <v>New Logo</v>
      </c>
      <c r="AG737" s="17" t="str">
        <f t="shared" si="2"/>
        <v>Lead</v>
      </c>
      <c r="AH737" s="17" t="str">
        <f t="shared" si="3"/>
        <v>1001-5000</v>
      </c>
      <c r="AI737" s="17" t="str">
        <f t="shared" si="4"/>
        <v>101-500</v>
      </c>
    </row>
    <row r="738" ht="15.75" customHeight="1">
      <c r="A738" s="13">
        <f>HYPERLINK("https://app.hubspot.com/contacts/8748051/record/0-3/16388480607", 16388480607)</f>
        <v>16388480607</v>
      </c>
      <c r="B738" s="14" t="s">
        <v>2433</v>
      </c>
      <c r="C738" s="14" t="s">
        <v>1008</v>
      </c>
      <c r="D738" s="15">
        <v>71500.0</v>
      </c>
      <c r="E738" s="14" t="s">
        <v>118</v>
      </c>
      <c r="F738" s="14"/>
      <c r="G738" s="16">
        <v>45266.63309027778</v>
      </c>
      <c r="H738" s="16">
        <v>45382.67386574074</v>
      </c>
      <c r="I738" s="14" t="s">
        <v>39</v>
      </c>
      <c r="J738" s="14" t="s">
        <v>40</v>
      </c>
      <c r="K738" s="14" t="s">
        <v>1186</v>
      </c>
      <c r="L738" s="14" t="s">
        <v>559</v>
      </c>
      <c r="M738" s="14" t="s">
        <v>43</v>
      </c>
      <c r="N738" s="14"/>
      <c r="O738" s="14"/>
      <c r="P738" s="14" t="s">
        <v>119</v>
      </c>
      <c r="Q738" s="14"/>
      <c r="R738" s="13">
        <f>HYPERLINK("https://app.hubspot.com/contacts/8748051/record/0-2/7673659823", 7673659823)</f>
        <v>7673659823</v>
      </c>
      <c r="S738" s="14" t="s">
        <v>2434</v>
      </c>
      <c r="T738" s="18" t="s">
        <v>2435</v>
      </c>
      <c r="U738" s="14" t="s">
        <v>46</v>
      </c>
      <c r="V738" s="15"/>
      <c r="W738" s="19">
        <v>1233.0</v>
      </c>
      <c r="X738" s="19">
        <v>155.0</v>
      </c>
      <c r="Y738" s="20" t="s">
        <v>545</v>
      </c>
      <c r="Z738" s="21"/>
      <c r="AA738" s="21"/>
      <c r="AB738" s="21"/>
      <c r="AC738" s="21"/>
      <c r="AD738" s="21"/>
      <c r="AE738" s="21"/>
      <c r="AF738" s="17" t="str">
        <f t="shared" si="1"/>
        <v>New Logo</v>
      </c>
      <c r="AG738" s="17" t="str">
        <f t="shared" si="2"/>
        <v>Lead</v>
      </c>
      <c r="AH738" s="17" t="str">
        <f t="shared" si="3"/>
        <v>1001-5000</v>
      </c>
      <c r="AI738" s="17" t="str">
        <f t="shared" si="4"/>
        <v>101-500</v>
      </c>
    </row>
    <row r="739" ht="15.75" customHeight="1">
      <c r="A739" s="13">
        <f>HYPERLINK("https://app.hubspot.com/contacts/8748051/record/0-3/16388213329", 16388213329)</f>
        <v>16388213329</v>
      </c>
      <c r="B739" s="14" t="s">
        <v>2436</v>
      </c>
      <c r="C739" s="14" t="s">
        <v>49</v>
      </c>
      <c r="D739" s="15">
        <v>35000.0</v>
      </c>
      <c r="E739" s="14" t="s">
        <v>124</v>
      </c>
      <c r="F739" s="14" t="s">
        <v>51</v>
      </c>
      <c r="G739" s="16">
        <v>45266.62961805556</v>
      </c>
      <c r="H739" s="16">
        <v>45366.38428240741</v>
      </c>
      <c r="I739" s="14" t="s">
        <v>39</v>
      </c>
      <c r="J739" s="14" t="s">
        <v>40</v>
      </c>
      <c r="K739" s="14" t="s">
        <v>1186</v>
      </c>
      <c r="L739" s="14" t="s">
        <v>559</v>
      </c>
      <c r="M739" s="14" t="s">
        <v>43</v>
      </c>
      <c r="N739" s="14"/>
      <c r="O739" s="14"/>
      <c r="P739" s="14"/>
      <c r="Q739" s="14" t="s">
        <v>400</v>
      </c>
      <c r="R739" s="13">
        <f>HYPERLINK("https://app.hubspot.com/contacts/8748051/record/0-2/7502884737", 7502884737)</f>
        <v>7502884737</v>
      </c>
      <c r="S739" s="14" t="s">
        <v>2437</v>
      </c>
      <c r="T739" s="18" t="s">
        <v>2438</v>
      </c>
      <c r="U739" s="14" t="s">
        <v>46</v>
      </c>
      <c r="V739" s="15"/>
      <c r="W739" s="19">
        <v>83.0</v>
      </c>
      <c r="X739" s="19">
        <v>24.0</v>
      </c>
      <c r="Y739" s="20"/>
      <c r="Z739" s="20"/>
      <c r="AA739" s="20"/>
      <c r="AB739" s="20"/>
      <c r="AC739" s="20"/>
      <c r="AD739" s="20"/>
      <c r="AE739" s="20"/>
      <c r="AF739" s="17" t="str">
        <f t="shared" si="1"/>
        <v>New Logo</v>
      </c>
      <c r="AG739" s="17" t="str">
        <f t="shared" si="2"/>
        <v>Lead</v>
      </c>
      <c r="AH739" s="17" t="str">
        <f t="shared" si="3"/>
        <v>0-200</v>
      </c>
      <c r="AI739" s="17" t="str">
        <f t="shared" si="4"/>
        <v>21-50</v>
      </c>
    </row>
    <row r="740" ht="15.75" customHeight="1">
      <c r="A740" s="13">
        <f>HYPERLINK("https://app.hubspot.com/contacts/8748051/record/0-3/16382867041", 16382867041)</f>
        <v>16382867041</v>
      </c>
      <c r="B740" s="14" t="s">
        <v>2439</v>
      </c>
      <c r="C740" s="14" t="s">
        <v>49</v>
      </c>
      <c r="D740" s="15">
        <v>10000.0</v>
      </c>
      <c r="E740" s="14" t="s">
        <v>124</v>
      </c>
      <c r="F740" s="14" t="s">
        <v>51</v>
      </c>
      <c r="G740" s="16">
        <v>45266.24084490741</v>
      </c>
      <c r="H740" s="16">
        <v>45504.41019675926</v>
      </c>
      <c r="I740" s="14" t="s">
        <v>39</v>
      </c>
      <c r="J740" s="14" t="s">
        <v>40</v>
      </c>
      <c r="K740" s="14" t="s">
        <v>41</v>
      </c>
      <c r="L740" s="14" t="s">
        <v>42</v>
      </c>
      <c r="M740" s="14" t="s">
        <v>98</v>
      </c>
      <c r="N740" s="14"/>
      <c r="O740" s="14"/>
      <c r="P740" s="14"/>
      <c r="Q740" s="14" t="s">
        <v>502</v>
      </c>
      <c r="R740" s="13">
        <f>HYPERLINK("https://app.hubspot.com/contacts/8748051/record/0-2/18303139897", 18303139897)</f>
        <v>18303139897</v>
      </c>
      <c r="S740" s="14" t="s">
        <v>1738</v>
      </c>
      <c r="T740" s="18" t="s">
        <v>1739</v>
      </c>
      <c r="U740" s="14" t="s">
        <v>46</v>
      </c>
      <c r="V740" s="15"/>
      <c r="W740" s="19">
        <v>216.0</v>
      </c>
      <c r="X740" s="19">
        <v>26.0</v>
      </c>
      <c r="Y740" s="20" t="s">
        <v>1740</v>
      </c>
      <c r="Z740" s="20"/>
      <c r="AA740" s="20"/>
      <c r="AB740" s="20"/>
      <c r="AC740" s="20"/>
      <c r="AD740" s="20"/>
      <c r="AE740" s="20"/>
      <c r="AF740" s="17" t="str">
        <f t="shared" si="1"/>
        <v>New Logo</v>
      </c>
      <c r="AG740" s="17" t="str">
        <f t="shared" si="2"/>
        <v>Lead</v>
      </c>
      <c r="AH740" s="17" t="str">
        <f t="shared" si="3"/>
        <v>201-500</v>
      </c>
      <c r="AI740" s="17" t="str">
        <f t="shared" si="4"/>
        <v>21-50</v>
      </c>
    </row>
    <row r="741" ht="15.75" customHeight="1">
      <c r="A741" s="13">
        <f>HYPERLINK("https://app.hubspot.com/contacts/8748051/record/0-3/16358624272", 16358624272)</f>
        <v>16358624272</v>
      </c>
      <c r="B741" s="14" t="s">
        <v>2440</v>
      </c>
      <c r="C741" s="14" t="s">
        <v>156</v>
      </c>
      <c r="D741" s="15">
        <v>5400.0</v>
      </c>
      <c r="E741" s="14" t="s">
        <v>89</v>
      </c>
      <c r="F741" s="14"/>
      <c r="G741" s="16">
        <v>45264.55912037037</v>
      </c>
      <c r="H741" s="16">
        <v>45264.558275462965</v>
      </c>
      <c r="I741" s="14" t="s">
        <v>39</v>
      </c>
      <c r="J741" s="14" t="s">
        <v>179</v>
      </c>
      <c r="K741" s="14"/>
      <c r="L741" s="14" t="s">
        <v>159</v>
      </c>
      <c r="M741" s="14" t="s">
        <v>43</v>
      </c>
      <c r="N741" s="14" t="s">
        <v>2441</v>
      </c>
      <c r="O741" s="14"/>
      <c r="P741" s="17"/>
      <c r="Q741" s="14"/>
      <c r="R741" s="13">
        <f>HYPERLINK("https://app.hubspot.com/contacts/8748051/record/0-2/6262674716", 6262674716)</f>
        <v>6262674716</v>
      </c>
      <c r="S741" s="14" t="s">
        <v>2442</v>
      </c>
      <c r="T741" s="18" t="s">
        <v>2443</v>
      </c>
      <c r="U741" s="14" t="s">
        <v>93</v>
      </c>
      <c r="V741" s="15">
        <v>19800.0</v>
      </c>
      <c r="W741" s="19">
        <v>391.0</v>
      </c>
      <c r="X741" s="19">
        <v>58.0</v>
      </c>
      <c r="Y741" s="20"/>
      <c r="Z741" s="20" t="s">
        <v>184</v>
      </c>
      <c r="AA741" s="20" t="s">
        <v>205</v>
      </c>
      <c r="AB741" s="21"/>
      <c r="AC741" s="20" t="s">
        <v>2444</v>
      </c>
      <c r="AD741" s="20" t="s">
        <v>2445</v>
      </c>
      <c r="AE741" s="20" t="s">
        <v>209</v>
      </c>
      <c r="AF741" s="17" t="str">
        <f t="shared" si="1"/>
        <v>Upsell</v>
      </c>
      <c r="AG741" s="17" t="str">
        <f t="shared" si="2"/>
        <v>Customer</v>
      </c>
      <c r="AH741" s="17" t="str">
        <f t="shared" si="3"/>
        <v>201-500</v>
      </c>
      <c r="AI741" s="17" t="str">
        <f t="shared" si="4"/>
        <v>51-100</v>
      </c>
    </row>
    <row r="742" ht="15.75" customHeight="1">
      <c r="A742" s="13">
        <f>HYPERLINK("https://app.hubspot.com/contacts/8748051/record/0-3/16159987467", 16159987467)</f>
        <v>16159987467</v>
      </c>
      <c r="B742" s="14" t="s">
        <v>2446</v>
      </c>
      <c r="C742" s="14" t="s">
        <v>145</v>
      </c>
      <c r="D742" s="15">
        <v>20000.0</v>
      </c>
      <c r="E742" s="14" t="s">
        <v>146</v>
      </c>
      <c r="F742" s="14" t="s">
        <v>51</v>
      </c>
      <c r="G742" s="16">
        <v>45251.48170138889</v>
      </c>
      <c r="H742" s="16">
        <v>45312.815300925926</v>
      </c>
      <c r="I742" s="14" t="s">
        <v>39</v>
      </c>
      <c r="J742" s="14" t="s">
        <v>40</v>
      </c>
      <c r="K742" s="14"/>
      <c r="L742" s="14" t="s">
        <v>42</v>
      </c>
      <c r="M742" s="14" t="s">
        <v>43</v>
      </c>
      <c r="N742" s="14"/>
      <c r="O742" s="14" t="s">
        <v>2447</v>
      </c>
      <c r="P742" s="14"/>
      <c r="Q742" s="14"/>
      <c r="R742" s="13">
        <f>HYPERLINK("https://app.hubspot.com/contacts/8748051/record/0-2/18112298241", 18112298241)</f>
        <v>18112298241</v>
      </c>
      <c r="S742" s="14" t="s">
        <v>2448</v>
      </c>
      <c r="T742" s="18" t="s">
        <v>2449</v>
      </c>
      <c r="U742" s="14" t="s">
        <v>46</v>
      </c>
      <c r="V742" s="15"/>
      <c r="W742" s="19">
        <v>153.0</v>
      </c>
      <c r="X742" s="19">
        <v>12.0</v>
      </c>
      <c r="Y742" s="20"/>
      <c r="Z742" s="20"/>
      <c r="AA742" s="21"/>
      <c r="AB742" s="20"/>
      <c r="AC742" s="20"/>
      <c r="AD742" s="20"/>
      <c r="AE742" s="20"/>
      <c r="AF742" s="17" t="str">
        <f t="shared" si="1"/>
        <v>New Logo</v>
      </c>
      <c r="AG742" s="17" t="str">
        <f t="shared" si="2"/>
        <v>Lead</v>
      </c>
      <c r="AH742" s="17" t="str">
        <f t="shared" si="3"/>
        <v>0-200</v>
      </c>
      <c r="AI742" s="17" t="str">
        <f t="shared" si="4"/>
        <v>0-20</v>
      </c>
    </row>
    <row r="743" ht="15.75" customHeight="1">
      <c r="A743" s="13">
        <f>HYPERLINK("https://app.hubspot.com/contacts/8748051/record/0-3/16151420842", 16151420842)</f>
        <v>16151420842</v>
      </c>
      <c r="B743" s="14" t="s">
        <v>2450</v>
      </c>
      <c r="C743" s="14" t="s">
        <v>1227</v>
      </c>
      <c r="D743" s="15">
        <v>3600.0</v>
      </c>
      <c r="E743" s="14" t="s">
        <v>89</v>
      </c>
      <c r="F743" s="14"/>
      <c r="G743" s="16">
        <v>45251.04378472222</v>
      </c>
      <c r="H743" s="16">
        <v>45251.04288194444</v>
      </c>
      <c r="I743" s="14" t="s">
        <v>39</v>
      </c>
      <c r="J743" s="14" t="s">
        <v>179</v>
      </c>
      <c r="K743" s="14"/>
      <c r="L743" s="14"/>
      <c r="M743" s="14" t="s">
        <v>43</v>
      </c>
      <c r="N743" s="14" t="s">
        <v>2451</v>
      </c>
      <c r="O743" s="14"/>
      <c r="P743" s="14"/>
      <c r="Q743" s="14"/>
      <c r="R743" s="13">
        <f>HYPERLINK("https://app.hubspot.com/contacts/8748051/record/0-2/4761860926", 4761860926)</f>
        <v>4761860926</v>
      </c>
      <c r="S743" s="14" t="s">
        <v>1449</v>
      </c>
      <c r="T743" s="18" t="s">
        <v>1450</v>
      </c>
      <c r="U743" s="14" t="s">
        <v>93</v>
      </c>
      <c r="V743" s="15">
        <v>17400.0</v>
      </c>
      <c r="W743" s="19">
        <v>1173.0</v>
      </c>
      <c r="X743" s="19">
        <v>62.0</v>
      </c>
      <c r="Y743" s="20"/>
      <c r="Z743" s="20" t="s">
        <v>218</v>
      </c>
      <c r="AA743" s="21"/>
      <c r="AB743" s="21"/>
      <c r="AC743" s="20" t="s">
        <v>1451</v>
      </c>
      <c r="AD743" s="20" t="s">
        <v>1452</v>
      </c>
      <c r="AE743" s="20" t="s">
        <v>166</v>
      </c>
      <c r="AF743" s="17" t="str">
        <f t="shared" si="1"/>
        <v>Upsell</v>
      </c>
      <c r="AG743" s="17" t="str">
        <f t="shared" si="2"/>
        <v>Customer</v>
      </c>
      <c r="AH743" s="17" t="str">
        <f t="shared" si="3"/>
        <v>1001-5000</v>
      </c>
      <c r="AI743" s="17" t="str">
        <f t="shared" si="4"/>
        <v>51-100</v>
      </c>
    </row>
    <row r="744" ht="15.75" customHeight="1">
      <c r="A744" s="13">
        <f>HYPERLINK("https://app.hubspot.com/contacts/8748051/record/0-3/16135998297", 16135998297)</f>
        <v>16135998297</v>
      </c>
      <c r="B744" s="14" t="s">
        <v>2452</v>
      </c>
      <c r="C744" s="14" t="s">
        <v>145</v>
      </c>
      <c r="D744" s="15">
        <v>60000.0</v>
      </c>
      <c r="E744" s="14" t="s">
        <v>89</v>
      </c>
      <c r="F744" s="14" t="s">
        <v>51</v>
      </c>
      <c r="G744" s="16">
        <v>45250.39659722222</v>
      </c>
      <c r="H744" s="16">
        <v>45495.46853009259</v>
      </c>
      <c r="I744" s="14" t="s">
        <v>39</v>
      </c>
      <c r="J744" s="14" t="s">
        <v>40</v>
      </c>
      <c r="K744" s="14" t="s">
        <v>41</v>
      </c>
      <c r="L744" s="14" t="s">
        <v>42</v>
      </c>
      <c r="M744" s="14" t="s">
        <v>43</v>
      </c>
      <c r="N744" s="14" t="s">
        <v>2453</v>
      </c>
      <c r="O744" s="14"/>
      <c r="P744" s="14"/>
      <c r="Q744" s="14"/>
      <c r="R744" s="13">
        <f>HYPERLINK("https://app.hubspot.com/contacts/8748051/record/0-2/7771788382", 7771788382)</f>
        <v>7771788382</v>
      </c>
      <c r="S744" s="14" t="s">
        <v>2454</v>
      </c>
      <c r="T744" s="18" t="s">
        <v>2455</v>
      </c>
      <c r="U744" s="14" t="s">
        <v>93</v>
      </c>
      <c r="V744" s="15">
        <v>60000.0</v>
      </c>
      <c r="W744" s="19">
        <v>638.0</v>
      </c>
      <c r="X744" s="19">
        <v>116.0</v>
      </c>
      <c r="Y744" s="20"/>
      <c r="Z744" s="20" t="s">
        <v>205</v>
      </c>
      <c r="AA744" s="21"/>
      <c r="AB744" s="20"/>
      <c r="AC744" s="20" t="s">
        <v>2456</v>
      </c>
      <c r="AD744" s="20"/>
      <c r="AE744" s="20" t="s">
        <v>166</v>
      </c>
      <c r="AF744" s="17" t="str">
        <f t="shared" si="1"/>
        <v>New Logo</v>
      </c>
      <c r="AG744" s="17" t="str">
        <f t="shared" si="2"/>
        <v>Customer</v>
      </c>
      <c r="AH744" s="17" t="str">
        <f t="shared" si="3"/>
        <v>501-1000</v>
      </c>
      <c r="AI744" s="17" t="str">
        <f t="shared" si="4"/>
        <v>101-500</v>
      </c>
    </row>
    <row r="745" ht="15.75" customHeight="1">
      <c r="A745" s="13">
        <f>HYPERLINK("https://app.hubspot.com/contacts/8748051/record/0-3/16054393377", 16054393377)</f>
        <v>16054393377</v>
      </c>
      <c r="B745" s="14" t="s">
        <v>2457</v>
      </c>
      <c r="C745" s="14" t="s">
        <v>1008</v>
      </c>
      <c r="D745" s="15">
        <v>41500.0</v>
      </c>
      <c r="E745" s="14" t="s">
        <v>118</v>
      </c>
      <c r="F745" s="14"/>
      <c r="G745" s="16">
        <v>45244.36172453704</v>
      </c>
      <c r="H745" s="16">
        <v>45412.40319444444</v>
      </c>
      <c r="I745" s="14" t="s">
        <v>39</v>
      </c>
      <c r="J745" s="14" t="s">
        <v>40</v>
      </c>
      <c r="K745" s="14"/>
      <c r="L745" s="14"/>
      <c r="M745" s="14" t="s">
        <v>72</v>
      </c>
      <c r="N745" s="14"/>
      <c r="O745" s="14"/>
      <c r="P745" s="14" t="s">
        <v>119</v>
      </c>
      <c r="Q745" s="17"/>
      <c r="R745" s="13">
        <f>HYPERLINK("https://app.hubspot.com/contacts/8748051/record/0-2/9895983173", 9895983173)</f>
        <v>9895983173</v>
      </c>
      <c r="S745" s="14" t="s">
        <v>2458</v>
      </c>
      <c r="T745" s="18" t="s">
        <v>2459</v>
      </c>
      <c r="U745" s="14" t="s">
        <v>46</v>
      </c>
      <c r="V745" s="15"/>
      <c r="W745" s="19">
        <v>445.0</v>
      </c>
      <c r="X745" s="19">
        <v>88.0</v>
      </c>
      <c r="Y745" s="20"/>
      <c r="Z745" s="20"/>
      <c r="AA745" s="21"/>
      <c r="AB745" s="20"/>
      <c r="AC745" s="20"/>
      <c r="AD745" s="20"/>
      <c r="AE745" s="20"/>
      <c r="AF745" s="17" t="str">
        <f t="shared" si="1"/>
        <v>New Logo</v>
      </c>
      <c r="AG745" s="17" t="str">
        <f t="shared" si="2"/>
        <v>Lead</v>
      </c>
      <c r="AH745" s="17" t="str">
        <f t="shared" si="3"/>
        <v>201-500</v>
      </c>
      <c r="AI745" s="17" t="str">
        <f t="shared" si="4"/>
        <v>51-100</v>
      </c>
    </row>
    <row r="746" ht="15.75" customHeight="1">
      <c r="A746" s="13">
        <f>HYPERLINK("https://app.hubspot.com/contacts/8748051/record/0-3/16054662244", 16054662244)</f>
        <v>16054662244</v>
      </c>
      <c r="B746" s="14" t="s">
        <v>2460</v>
      </c>
      <c r="C746" s="14" t="s">
        <v>1008</v>
      </c>
      <c r="D746" s="15">
        <v>10000.0</v>
      </c>
      <c r="E746" s="14" t="s">
        <v>118</v>
      </c>
      <c r="F746" s="14"/>
      <c r="G746" s="16">
        <v>45244.34809027778</v>
      </c>
      <c r="H746" s="16">
        <v>45657.176712962966</v>
      </c>
      <c r="I746" s="14" t="s">
        <v>39</v>
      </c>
      <c r="J746" s="14" t="s">
        <v>40</v>
      </c>
      <c r="K746" s="17"/>
      <c r="L746" s="17"/>
      <c r="M746" s="14" t="s">
        <v>72</v>
      </c>
      <c r="N746" s="14"/>
      <c r="O746" s="14"/>
      <c r="P746" s="14"/>
      <c r="Q746" s="14"/>
      <c r="R746" s="13">
        <f>HYPERLINK("https://app.hubspot.com/contacts/8748051/record/0-2/21057534580", 21057534580)</f>
        <v>21057534580</v>
      </c>
      <c r="S746" s="14" t="s">
        <v>2461</v>
      </c>
      <c r="T746" s="18" t="s">
        <v>2462</v>
      </c>
      <c r="U746" s="14" t="s">
        <v>46</v>
      </c>
      <c r="V746" s="15"/>
      <c r="W746" s="19">
        <v>347.0</v>
      </c>
      <c r="X746" s="19">
        <v>77.0</v>
      </c>
      <c r="Y746" s="20" t="s">
        <v>104</v>
      </c>
      <c r="Z746" s="21"/>
      <c r="AA746" s="21"/>
      <c r="AB746" s="21"/>
      <c r="AC746" s="21"/>
      <c r="AD746" s="21"/>
      <c r="AE746" s="21"/>
      <c r="AF746" s="17" t="str">
        <f t="shared" si="1"/>
        <v>New Logo</v>
      </c>
      <c r="AG746" s="17" t="str">
        <f t="shared" si="2"/>
        <v>Lead</v>
      </c>
      <c r="AH746" s="17" t="str">
        <f t="shared" si="3"/>
        <v>201-500</v>
      </c>
      <c r="AI746" s="17" t="str">
        <f t="shared" si="4"/>
        <v>51-100</v>
      </c>
    </row>
    <row r="747" ht="15.75" customHeight="1">
      <c r="A747" s="13">
        <f>HYPERLINK("https://app.hubspot.com/contacts/8748051/record/0-3/16049521010", 16049521010)</f>
        <v>16049521010</v>
      </c>
      <c r="B747" s="14" t="s">
        <v>2463</v>
      </c>
      <c r="C747" s="14" t="s">
        <v>37</v>
      </c>
      <c r="D747" s="15">
        <v>100000.0</v>
      </c>
      <c r="E747" s="14" t="s">
        <v>118</v>
      </c>
      <c r="F747" s="14"/>
      <c r="G747" s="16">
        <v>45244.01081018519</v>
      </c>
      <c r="H747" s="16">
        <v>45473.05199074074</v>
      </c>
      <c r="I747" s="14" t="s">
        <v>39</v>
      </c>
      <c r="J747" s="14" t="s">
        <v>52</v>
      </c>
      <c r="K747" s="14"/>
      <c r="L747" s="14"/>
      <c r="M747" s="14" t="s">
        <v>72</v>
      </c>
      <c r="N747" s="14"/>
      <c r="O747" s="14"/>
      <c r="P747" s="14" t="s">
        <v>119</v>
      </c>
      <c r="Q747" s="14"/>
      <c r="R747" s="13">
        <f>HYPERLINK("https://app.hubspot.com/contacts/8748051/record/0-2/9427315969", 9427315969)</f>
        <v>9427315969</v>
      </c>
      <c r="S747" s="14" t="s">
        <v>1333</v>
      </c>
      <c r="T747" s="18" t="s">
        <v>1334</v>
      </c>
      <c r="U747" s="14" t="s">
        <v>46</v>
      </c>
      <c r="V747" s="15"/>
      <c r="W747" s="19">
        <v>1601.0</v>
      </c>
      <c r="X747" s="19">
        <v>393.0</v>
      </c>
      <c r="Y747" s="20" t="s">
        <v>78</v>
      </c>
      <c r="Z747" s="20"/>
      <c r="AA747" s="21"/>
      <c r="AB747" s="20"/>
      <c r="AC747" s="20"/>
      <c r="AD747" s="20"/>
      <c r="AE747" s="20"/>
      <c r="AF747" s="17" t="str">
        <f t="shared" si="1"/>
        <v>New Logo</v>
      </c>
      <c r="AG747" s="17" t="str">
        <f t="shared" si="2"/>
        <v>Lead</v>
      </c>
      <c r="AH747" s="17" t="str">
        <f t="shared" si="3"/>
        <v>1001-5000</v>
      </c>
      <c r="AI747" s="17" t="str">
        <f t="shared" si="4"/>
        <v>101-500</v>
      </c>
    </row>
    <row r="748" ht="15.75" customHeight="1">
      <c r="A748" s="13">
        <f>HYPERLINK("https://app.hubspot.com/contacts/8748051/record/0-3/16041854889", 16041854889)</f>
        <v>16041854889</v>
      </c>
      <c r="B748" s="14" t="s">
        <v>2464</v>
      </c>
      <c r="C748" s="14" t="s">
        <v>2304</v>
      </c>
      <c r="D748" s="15">
        <v>18000.0</v>
      </c>
      <c r="E748" s="14" t="s">
        <v>89</v>
      </c>
      <c r="F748" s="14" t="s">
        <v>51</v>
      </c>
      <c r="G748" s="16">
        <v>45243.602164351854</v>
      </c>
      <c r="H748" s="16">
        <v>45275.69474537037</v>
      </c>
      <c r="I748" s="14" t="s">
        <v>39</v>
      </c>
      <c r="J748" s="14" t="s">
        <v>40</v>
      </c>
      <c r="K748" s="14"/>
      <c r="L748" s="14"/>
      <c r="M748" s="14" t="s">
        <v>43</v>
      </c>
      <c r="N748" s="14" t="s">
        <v>2465</v>
      </c>
      <c r="O748" s="14"/>
      <c r="P748" s="14"/>
      <c r="Q748" s="14"/>
      <c r="R748" s="13">
        <f>HYPERLINK("https://app.hubspot.com/contacts/8748051/record/0-2/18062059805", 18062059805)</f>
        <v>18062059805</v>
      </c>
      <c r="S748" s="14" t="s">
        <v>2466</v>
      </c>
      <c r="T748" s="18" t="s">
        <v>2467</v>
      </c>
      <c r="U748" s="14">
        <v>3.4564763E7</v>
      </c>
      <c r="V748" s="15">
        <v>18000.0</v>
      </c>
      <c r="W748" s="19">
        <v>169.0</v>
      </c>
      <c r="X748" s="19">
        <v>19.0</v>
      </c>
      <c r="Y748" s="20"/>
      <c r="Z748" s="20"/>
      <c r="AA748" s="21"/>
      <c r="AB748" s="20"/>
      <c r="AC748" s="20"/>
      <c r="AD748" s="20"/>
      <c r="AE748" s="20"/>
      <c r="AF748" s="17" t="str">
        <f t="shared" si="1"/>
        <v>New Logo</v>
      </c>
      <c r="AG748" s="17" t="str">
        <f t="shared" si="2"/>
        <v>Churn</v>
      </c>
      <c r="AH748" s="17" t="str">
        <f t="shared" si="3"/>
        <v>0-200</v>
      </c>
      <c r="AI748" s="17" t="str">
        <f t="shared" si="4"/>
        <v>0-20</v>
      </c>
    </row>
    <row r="749" ht="15.75" customHeight="1">
      <c r="A749" s="13">
        <f>HYPERLINK("https://app.hubspot.com/contacts/8748051/record/0-3/16003065679", 16003065679)</f>
        <v>16003065679</v>
      </c>
      <c r="B749" s="14" t="s">
        <v>1157</v>
      </c>
      <c r="C749" s="14" t="s">
        <v>2304</v>
      </c>
      <c r="D749" s="15">
        <v>10800.0</v>
      </c>
      <c r="E749" s="14" t="s">
        <v>89</v>
      </c>
      <c r="F749" s="14" t="s">
        <v>51</v>
      </c>
      <c r="G749" s="16">
        <v>45240.40083333333</v>
      </c>
      <c r="H749" s="16">
        <v>45303.429131944446</v>
      </c>
      <c r="I749" s="14" t="s">
        <v>39</v>
      </c>
      <c r="J749" s="14" t="s">
        <v>40</v>
      </c>
      <c r="K749" s="14" t="s">
        <v>41</v>
      </c>
      <c r="L749" s="14" t="s">
        <v>42</v>
      </c>
      <c r="M749" s="14" t="s">
        <v>43</v>
      </c>
      <c r="N749" s="14" t="s">
        <v>2468</v>
      </c>
      <c r="O749" s="17"/>
      <c r="P749" s="17"/>
      <c r="Q749" s="14"/>
      <c r="R749" s="13">
        <f>HYPERLINK("https://app.hubspot.com/contacts/8748051/record/0-2/17971689616", 17971689616)</f>
        <v>17971689616</v>
      </c>
      <c r="S749" s="14" t="s">
        <v>1157</v>
      </c>
      <c r="T749" s="18" t="s">
        <v>1158</v>
      </c>
      <c r="U749" s="14">
        <v>3.4564763E7</v>
      </c>
      <c r="V749" s="15">
        <v>9800.0</v>
      </c>
      <c r="W749" s="19">
        <v>84.0</v>
      </c>
      <c r="X749" s="19">
        <v>2.0</v>
      </c>
      <c r="Y749" s="20"/>
      <c r="Z749" s="20" t="s">
        <v>184</v>
      </c>
      <c r="AA749" s="20"/>
      <c r="AB749" s="20" t="s">
        <v>267</v>
      </c>
      <c r="AC749" s="20" t="s">
        <v>1159</v>
      </c>
      <c r="AD749" s="20" t="s">
        <v>1160</v>
      </c>
      <c r="AE749" s="20" t="s">
        <v>209</v>
      </c>
      <c r="AF749" s="17" t="str">
        <f t="shared" si="1"/>
        <v>New Logo</v>
      </c>
      <c r="AG749" s="17" t="str">
        <f t="shared" si="2"/>
        <v>Churn</v>
      </c>
      <c r="AH749" s="17" t="str">
        <f t="shared" si="3"/>
        <v>0-200</v>
      </c>
      <c r="AI749" s="17" t="str">
        <f t="shared" si="4"/>
        <v>0-20</v>
      </c>
    </row>
    <row r="750" ht="15.75" customHeight="1">
      <c r="A750" s="13">
        <f>HYPERLINK("https://app.hubspot.com/contacts/8748051/record/0-3/15959411104", 15959411104)</f>
        <v>15959411104</v>
      </c>
      <c r="B750" s="14" t="s">
        <v>2469</v>
      </c>
      <c r="C750" s="14" t="s">
        <v>49</v>
      </c>
      <c r="D750" s="15">
        <v>5000.0</v>
      </c>
      <c r="E750" s="14" t="s">
        <v>124</v>
      </c>
      <c r="F750" s="14" t="s">
        <v>51</v>
      </c>
      <c r="G750" s="16">
        <v>45237.649872685186</v>
      </c>
      <c r="H750" s="16">
        <v>45380.693715277775</v>
      </c>
      <c r="I750" s="14" t="s">
        <v>39</v>
      </c>
      <c r="J750" s="14" t="s">
        <v>52</v>
      </c>
      <c r="K750" s="14" t="s">
        <v>1186</v>
      </c>
      <c r="L750" s="14" t="s">
        <v>175</v>
      </c>
      <c r="M750" s="14" t="s">
        <v>43</v>
      </c>
      <c r="N750" s="14"/>
      <c r="O750" s="14"/>
      <c r="P750" s="14"/>
      <c r="Q750" s="14" t="s">
        <v>1567</v>
      </c>
      <c r="R750" s="13">
        <f>HYPERLINK("https://app.hubspot.com/contacts/8748051/record/0-2/17692640394", 17692640394)</f>
        <v>17692640394</v>
      </c>
      <c r="S750" s="14" t="s">
        <v>2470</v>
      </c>
      <c r="T750" s="18" t="s">
        <v>2471</v>
      </c>
      <c r="U750" s="14" t="s">
        <v>46</v>
      </c>
      <c r="V750" s="15"/>
      <c r="W750" s="19">
        <v>503.0</v>
      </c>
      <c r="X750" s="19">
        <v>49.0</v>
      </c>
      <c r="Y750" s="20" t="s">
        <v>104</v>
      </c>
      <c r="Z750" s="20"/>
      <c r="AA750" s="20"/>
      <c r="AB750" s="20"/>
      <c r="AC750" s="20"/>
      <c r="AD750" s="20"/>
      <c r="AE750" s="20"/>
      <c r="AF750" s="17" t="str">
        <f t="shared" si="1"/>
        <v>New Logo</v>
      </c>
      <c r="AG750" s="17" t="str">
        <f t="shared" si="2"/>
        <v>Lead</v>
      </c>
      <c r="AH750" s="17" t="str">
        <f t="shared" si="3"/>
        <v>501-1000</v>
      </c>
      <c r="AI750" s="17" t="str">
        <f t="shared" si="4"/>
        <v>21-50</v>
      </c>
    </row>
    <row r="751" ht="15.75" customHeight="1">
      <c r="A751" s="13">
        <f>HYPERLINK("https://app.hubspot.com/contacts/8748051/record/0-3/15954356508", 15954356508)</f>
        <v>15954356508</v>
      </c>
      <c r="B751" s="14" t="s">
        <v>2472</v>
      </c>
      <c r="C751" s="14" t="s">
        <v>2304</v>
      </c>
      <c r="D751" s="15">
        <v>16125.0</v>
      </c>
      <c r="E751" s="14" t="s">
        <v>89</v>
      </c>
      <c r="F751" s="14" t="s">
        <v>51</v>
      </c>
      <c r="G751" s="16">
        <v>45237.38862268518</v>
      </c>
      <c r="H751" s="16">
        <v>45400.336493055554</v>
      </c>
      <c r="I751" s="14" t="s">
        <v>39</v>
      </c>
      <c r="J751" s="14" t="s">
        <v>179</v>
      </c>
      <c r="K751" s="17"/>
      <c r="L751" s="14" t="s">
        <v>159</v>
      </c>
      <c r="M751" s="14" t="s">
        <v>43</v>
      </c>
      <c r="N751" s="14" t="s">
        <v>2473</v>
      </c>
      <c r="O751" s="14"/>
      <c r="P751" s="14"/>
      <c r="Q751" s="14"/>
      <c r="R751" s="13">
        <f>HYPERLINK("https://app.hubspot.com/contacts/8748051/record/0-2/16376201758", 16376201758)</f>
        <v>16376201758</v>
      </c>
      <c r="S751" s="14" t="s">
        <v>2474</v>
      </c>
      <c r="T751" s="18" t="s">
        <v>2475</v>
      </c>
      <c r="U751" s="14">
        <v>3.4564763E7</v>
      </c>
      <c r="V751" s="15">
        <v>27965.0</v>
      </c>
      <c r="W751" s="19">
        <v>411.0</v>
      </c>
      <c r="X751" s="19">
        <v>36.0</v>
      </c>
      <c r="Y751" s="20"/>
      <c r="Z751" s="20"/>
      <c r="AA751" s="20"/>
      <c r="AB751" s="20"/>
      <c r="AC751" s="20"/>
      <c r="AD751" s="20"/>
      <c r="AE751" s="20"/>
      <c r="AF751" s="17" t="str">
        <f t="shared" si="1"/>
        <v>Upsell</v>
      </c>
      <c r="AG751" s="17" t="str">
        <f t="shared" si="2"/>
        <v>Churn</v>
      </c>
      <c r="AH751" s="17" t="str">
        <f t="shared" si="3"/>
        <v>201-500</v>
      </c>
      <c r="AI751" s="17" t="str">
        <f t="shared" si="4"/>
        <v>21-50</v>
      </c>
    </row>
    <row r="752" ht="15.75" customHeight="1">
      <c r="A752" s="13">
        <f>HYPERLINK("https://app.hubspot.com/contacts/8748051/record/0-3/15905577653", 15905577653)</f>
        <v>15905577653</v>
      </c>
      <c r="B752" s="14" t="s">
        <v>2476</v>
      </c>
      <c r="C752" s="14" t="s">
        <v>1008</v>
      </c>
      <c r="D752" s="15">
        <v>0.0</v>
      </c>
      <c r="E752" s="14" t="s">
        <v>146</v>
      </c>
      <c r="F752" s="14" t="s">
        <v>51</v>
      </c>
      <c r="G752" s="16">
        <v>45233.16149305556</v>
      </c>
      <c r="H752" s="16">
        <v>45239.117800925924</v>
      </c>
      <c r="I752" s="14" t="s">
        <v>39</v>
      </c>
      <c r="J752" s="14" t="s">
        <v>40</v>
      </c>
      <c r="K752" s="17"/>
      <c r="L752" s="14"/>
      <c r="M752" s="14" t="s">
        <v>72</v>
      </c>
      <c r="N752" s="14"/>
      <c r="O752" s="14" t="s">
        <v>2477</v>
      </c>
      <c r="P752" s="14"/>
      <c r="Q752" s="14"/>
      <c r="R752" s="13">
        <f>HYPERLINK("https://app.hubspot.com/contacts/8748051/record/0-2/10322469467", 10322469467)</f>
        <v>10322469467</v>
      </c>
      <c r="S752" s="14" t="s">
        <v>2478</v>
      </c>
      <c r="T752" s="18" t="s">
        <v>2479</v>
      </c>
      <c r="U752" s="14" t="s">
        <v>46</v>
      </c>
      <c r="V752" s="15"/>
      <c r="W752" s="19">
        <v>124.0</v>
      </c>
      <c r="X752" s="19">
        <v>25.0</v>
      </c>
      <c r="Y752" s="20" t="s">
        <v>104</v>
      </c>
      <c r="Z752" s="20"/>
      <c r="AA752" s="21"/>
      <c r="AB752" s="20"/>
      <c r="AC752" s="20"/>
      <c r="AD752" s="20"/>
      <c r="AE752" s="20"/>
      <c r="AF752" s="17" t="str">
        <f t="shared" si="1"/>
        <v>New Logo</v>
      </c>
      <c r="AG752" s="17" t="str">
        <f t="shared" si="2"/>
        <v>Lead</v>
      </c>
      <c r="AH752" s="17" t="str">
        <f t="shared" si="3"/>
        <v>0-200</v>
      </c>
      <c r="AI752" s="17" t="str">
        <f t="shared" si="4"/>
        <v>21-50</v>
      </c>
    </row>
    <row r="753" ht="15.75" customHeight="1">
      <c r="A753" s="13">
        <f>HYPERLINK("https://app.hubspot.com/contacts/8748051/record/0-3/15845371518", 15845371518)</f>
        <v>15845371518</v>
      </c>
      <c r="B753" s="14" t="s">
        <v>2480</v>
      </c>
      <c r="C753" s="14" t="s">
        <v>1008</v>
      </c>
      <c r="D753" s="15">
        <v>15000.0</v>
      </c>
      <c r="E753" s="14" t="s">
        <v>118</v>
      </c>
      <c r="F753" s="14" t="s">
        <v>51</v>
      </c>
      <c r="G753" s="16">
        <v>45229.38153935185</v>
      </c>
      <c r="H753" s="16">
        <v>45380.70354166667</v>
      </c>
      <c r="I753" s="14" t="s">
        <v>39</v>
      </c>
      <c r="J753" s="14" t="s">
        <v>52</v>
      </c>
      <c r="K753" s="17"/>
      <c r="L753" s="17"/>
      <c r="M753" s="14" t="s">
        <v>98</v>
      </c>
      <c r="N753" s="14"/>
      <c r="O753" s="14"/>
      <c r="P753" s="14" t="s">
        <v>211</v>
      </c>
      <c r="Q753" s="14"/>
      <c r="R753" s="13">
        <f>HYPERLINK("https://app.hubspot.com/contacts/8748051/record/0-2/17769597851", 17769597851)</f>
        <v>17769597851</v>
      </c>
      <c r="S753" s="14" t="s">
        <v>2481</v>
      </c>
      <c r="T753" s="18" t="s">
        <v>2482</v>
      </c>
      <c r="U753" s="14" t="s">
        <v>46</v>
      </c>
      <c r="V753" s="15"/>
      <c r="W753" s="19">
        <v>1485.0</v>
      </c>
      <c r="X753" s="19">
        <v>87.0</v>
      </c>
      <c r="Y753" s="20"/>
      <c r="Z753" s="20"/>
      <c r="AA753" s="21"/>
      <c r="AB753" s="21"/>
      <c r="AC753" s="20"/>
      <c r="AD753" s="21"/>
      <c r="AE753" s="20"/>
      <c r="AF753" s="17" t="str">
        <f t="shared" si="1"/>
        <v>New Logo</v>
      </c>
      <c r="AG753" s="17" t="str">
        <f t="shared" si="2"/>
        <v>Lead</v>
      </c>
      <c r="AH753" s="17" t="str">
        <f t="shared" si="3"/>
        <v>1001-5000</v>
      </c>
      <c r="AI753" s="17" t="str">
        <f t="shared" si="4"/>
        <v>51-100</v>
      </c>
    </row>
    <row r="754" ht="15.75" customHeight="1">
      <c r="A754" s="13">
        <f>HYPERLINK("https://app.hubspot.com/contacts/8748051/record/0-3/15845371239", 15845371239)</f>
        <v>15845371239</v>
      </c>
      <c r="B754" s="14" t="s">
        <v>2483</v>
      </c>
      <c r="C754" s="14" t="s">
        <v>1008</v>
      </c>
      <c r="D754" s="15">
        <v>59500.0</v>
      </c>
      <c r="E754" s="14" t="s">
        <v>118</v>
      </c>
      <c r="F754" s="14" t="s">
        <v>51</v>
      </c>
      <c r="G754" s="16">
        <v>45229.380277777775</v>
      </c>
      <c r="H754" s="16">
        <v>45351.33809027778</v>
      </c>
      <c r="I754" s="14" t="s">
        <v>39</v>
      </c>
      <c r="J754" s="14" t="s">
        <v>40</v>
      </c>
      <c r="K754" s="17"/>
      <c r="L754" s="17"/>
      <c r="M754" s="14" t="s">
        <v>98</v>
      </c>
      <c r="N754" s="17"/>
      <c r="O754" s="14"/>
      <c r="P754" s="14" t="s">
        <v>260</v>
      </c>
      <c r="Q754" s="14"/>
      <c r="R754" s="13">
        <f>HYPERLINK("https://app.hubspot.com/contacts/8748051/record/0-2/9069717254", 9069717254)</f>
        <v>9069717254</v>
      </c>
      <c r="S754" s="14" t="s">
        <v>998</v>
      </c>
      <c r="T754" s="18" t="s">
        <v>999</v>
      </c>
      <c r="U754" s="14" t="s">
        <v>93</v>
      </c>
      <c r="V754" s="15">
        <v>5040.0</v>
      </c>
      <c r="W754" s="19">
        <v>991.0</v>
      </c>
      <c r="X754" s="19">
        <v>213.0</v>
      </c>
      <c r="Y754" s="20"/>
      <c r="Z754" s="20" t="s">
        <v>218</v>
      </c>
      <c r="AA754" s="21"/>
      <c r="AB754" s="21"/>
      <c r="AC754" s="20" t="s">
        <v>1000</v>
      </c>
      <c r="AD754" s="21"/>
      <c r="AE754" s="20" t="s">
        <v>763</v>
      </c>
      <c r="AF754" s="17" t="str">
        <f t="shared" si="1"/>
        <v>New Logo</v>
      </c>
      <c r="AG754" s="17" t="str">
        <f t="shared" si="2"/>
        <v>Customer</v>
      </c>
      <c r="AH754" s="17" t="str">
        <f t="shared" si="3"/>
        <v>501-1000</v>
      </c>
      <c r="AI754" s="17" t="str">
        <f t="shared" si="4"/>
        <v>101-500</v>
      </c>
    </row>
    <row r="755" ht="15.75" customHeight="1">
      <c r="A755" s="13">
        <f>HYPERLINK("https://app.hubspot.com/contacts/8748051/record/0-3/15798206087", 15798206087)</f>
        <v>15798206087</v>
      </c>
      <c r="B755" s="14" t="s">
        <v>2484</v>
      </c>
      <c r="C755" s="14" t="s">
        <v>145</v>
      </c>
      <c r="D755" s="15">
        <v>2000.0</v>
      </c>
      <c r="E755" s="14" t="s">
        <v>118</v>
      </c>
      <c r="F755" s="14"/>
      <c r="G755" s="16">
        <v>45225.53215277778</v>
      </c>
      <c r="H755" s="16">
        <v>45471.563368055555</v>
      </c>
      <c r="I755" s="14" t="s">
        <v>39</v>
      </c>
      <c r="J755" s="14" t="s">
        <v>40</v>
      </c>
      <c r="K755" s="17"/>
      <c r="L755" s="17"/>
      <c r="M755" s="14" t="s">
        <v>43</v>
      </c>
      <c r="N755" s="14"/>
      <c r="O755" s="14"/>
      <c r="P755" s="14" t="s">
        <v>260</v>
      </c>
      <c r="Q755" s="17"/>
      <c r="R755" s="13">
        <f>HYPERLINK("https://app.hubspot.com/contacts/8748051/record/0-2/17801803546", 17801803546)</f>
        <v>17801803546</v>
      </c>
      <c r="S755" s="14" t="s">
        <v>2485</v>
      </c>
      <c r="T755" s="18" t="s">
        <v>2486</v>
      </c>
      <c r="U755" s="14" t="s">
        <v>46</v>
      </c>
      <c r="V755" s="15"/>
      <c r="W755" s="19">
        <v>41.0</v>
      </c>
      <c r="X755" s="19">
        <v>4.0</v>
      </c>
      <c r="Y755" s="20"/>
      <c r="Z755" s="20"/>
      <c r="AA755" s="20"/>
      <c r="AB755" s="20"/>
      <c r="AC755" s="20"/>
      <c r="AD755" s="20"/>
      <c r="AE755" s="20"/>
      <c r="AF755" s="17" t="str">
        <f t="shared" si="1"/>
        <v>New Logo</v>
      </c>
      <c r="AG755" s="17" t="str">
        <f t="shared" si="2"/>
        <v>Lead</v>
      </c>
      <c r="AH755" s="17" t="str">
        <f t="shared" si="3"/>
        <v>0-200</v>
      </c>
      <c r="AI755" s="17" t="str">
        <f t="shared" si="4"/>
        <v>0-20</v>
      </c>
    </row>
    <row r="756" ht="15.75" customHeight="1">
      <c r="A756" s="13">
        <f>HYPERLINK("https://app.hubspot.com/contacts/8748051/record/0-3/15778099270", 15778099270)</f>
        <v>15778099270</v>
      </c>
      <c r="B756" s="14" t="s">
        <v>2487</v>
      </c>
      <c r="C756" s="14" t="s">
        <v>49</v>
      </c>
      <c r="D756" s="15">
        <v>11000.0</v>
      </c>
      <c r="E756" s="14" t="s">
        <v>118</v>
      </c>
      <c r="F756" s="14"/>
      <c r="G756" s="16">
        <v>45224.175046296295</v>
      </c>
      <c r="H756" s="16">
        <v>45565.34273148148</v>
      </c>
      <c r="I756" s="14" t="s">
        <v>39</v>
      </c>
      <c r="J756" s="14" t="s">
        <v>52</v>
      </c>
      <c r="K756" s="14"/>
      <c r="L756" s="14"/>
      <c r="M756" s="14" t="s">
        <v>72</v>
      </c>
      <c r="N756" s="14"/>
      <c r="O756" s="14"/>
      <c r="P756" s="14"/>
      <c r="Q756" s="17"/>
      <c r="R756" s="13">
        <f>HYPERLINK("https://app.hubspot.com/contacts/8748051/record/0-2/6816552040", 6816552040)</f>
        <v>6816552040</v>
      </c>
      <c r="S756" s="14" t="s">
        <v>2488</v>
      </c>
      <c r="T756" s="18" t="s">
        <v>2489</v>
      </c>
      <c r="U756" s="14" t="s">
        <v>46</v>
      </c>
      <c r="V756" s="15"/>
      <c r="W756" s="19">
        <v>442.0</v>
      </c>
      <c r="X756" s="19">
        <v>22.0</v>
      </c>
      <c r="Y756" s="20" t="s">
        <v>104</v>
      </c>
      <c r="Z756" s="20"/>
      <c r="AA756" s="20"/>
      <c r="AB756" s="20"/>
      <c r="AC756" s="20"/>
      <c r="AD756" s="20"/>
      <c r="AE756" s="20"/>
      <c r="AF756" s="17" t="str">
        <f t="shared" si="1"/>
        <v>New Logo</v>
      </c>
      <c r="AG756" s="17" t="str">
        <f t="shared" si="2"/>
        <v>Lead</v>
      </c>
      <c r="AH756" s="17" t="str">
        <f t="shared" si="3"/>
        <v>201-500</v>
      </c>
      <c r="AI756" s="17" t="str">
        <f t="shared" si="4"/>
        <v>21-50</v>
      </c>
    </row>
    <row r="757" ht="15.75" customHeight="1">
      <c r="A757" s="13">
        <f>HYPERLINK("https://app.hubspot.com/contacts/8748051/record/0-3/15754439595", 15754439595)</f>
        <v>15754439595</v>
      </c>
      <c r="B757" s="14" t="s">
        <v>2490</v>
      </c>
      <c r="C757" s="14" t="s">
        <v>49</v>
      </c>
      <c r="D757" s="15">
        <v>20000.0</v>
      </c>
      <c r="E757" s="14" t="s">
        <v>146</v>
      </c>
      <c r="F757" s="14" t="s">
        <v>51</v>
      </c>
      <c r="G757" s="16">
        <v>45222.38471064815</v>
      </c>
      <c r="H757" s="16">
        <v>45237.39268518519</v>
      </c>
      <c r="I757" s="14" t="s">
        <v>39</v>
      </c>
      <c r="J757" s="14" t="s">
        <v>40</v>
      </c>
      <c r="K757" s="14"/>
      <c r="L757" s="14"/>
      <c r="M757" s="14" t="s">
        <v>43</v>
      </c>
      <c r="N757" s="14"/>
      <c r="O757" s="14" t="s">
        <v>2491</v>
      </c>
      <c r="P757" s="14"/>
      <c r="Q757" s="14"/>
      <c r="R757" s="13">
        <f>HYPERLINK("https://app.hubspot.com/contacts/8748051/record/0-2/9238334248", 9238334248)</f>
        <v>9238334248</v>
      </c>
      <c r="S757" s="14" t="s">
        <v>2490</v>
      </c>
      <c r="T757" s="18" t="s">
        <v>2492</v>
      </c>
      <c r="U757" s="14" t="s">
        <v>46</v>
      </c>
      <c r="V757" s="15"/>
      <c r="W757" s="19">
        <v>537.0</v>
      </c>
      <c r="X757" s="19">
        <v>57.0</v>
      </c>
      <c r="Y757" s="20" t="s">
        <v>70</v>
      </c>
      <c r="Z757" s="20"/>
      <c r="AA757" s="20"/>
      <c r="AB757" s="20"/>
      <c r="AC757" s="20"/>
      <c r="AD757" s="20"/>
      <c r="AE757" s="20"/>
      <c r="AF757" s="17" t="str">
        <f t="shared" si="1"/>
        <v>New Logo</v>
      </c>
      <c r="AG757" s="17" t="str">
        <f t="shared" si="2"/>
        <v>Lead</v>
      </c>
      <c r="AH757" s="17" t="str">
        <f t="shared" si="3"/>
        <v>501-1000</v>
      </c>
      <c r="AI757" s="17" t="str">
        <f t="shared" si="4"/>
        <v>51-100</v>
      </c>
    </row>
    <row r="758" ht="15.75" customHeight="1">
      <c r="A758" s="13">
        <f>HYPERLINK("https://app.hubspot.com/contacts/8748051/record/0-3/15723492419", 15723492419)</f>
        <v>15723492419</v>
      </c>
      <c r="B758" s="14" t="s">
        <v>265</v>
      </c>
      <c r="C758" s="14" t="s">
        <v>2304</v>
      </c>
      <c r="D758" s="15">
        <v>27720.0</v>
      </c>
      <c r="E758" s="14" t="s">
        <v>89</v>
      </c>
      <c r="F758" s="14" t="s">
        <v>51</v>
      </c>
      <c r="G758" s="16">
        <v>45219.643483796295</v>
      </c>
      <c r="H758" s="16">
        <v>45308.35223379629</v>
      </c>
      <c r="I758" s="14" t="s">
        <v>39</v>
      </c>
      <c r="J758" s="14" t="s">
        <v>52</v>
      </c>
      <c r="K758" s="17"/>
      <c r="L758" s="14" t="s">
        <v>448</v>
      </c>
      <c r="M758" s="14" t="s">
        <v>43</v>
      </c>
      <c r="N758" s="14" t="s">
        <v>2493</v>
      </c>
      <c r="O758" s="14"/>
      <c r="P758" s="14"/>
      <c r="Q758" s="14"/>
      <c r="R758" s="13">
        <f>HYPERLINK("https://app.hubspot.com/contacts/8748051/record/0-2/7776553322", 7776553322)</f>
        <v>7776553322</v>
      </c>
      <c r="S758" s="14" t="s">
        <v>265</v>
      </c>
      <c r="T758" s="18" t="s">
        <v>266</v>
      </c>
      <c r="U758" s="14" t="s">
        <v>93</v>
      </c>
      <c r="V758" s="15">
        <v>25740.0</v>
      </c>
      <c r="W758" s="19">
        <v>211.0</v>
      </c>
      <c r="X758" s="19">
        <v>27.0</v>
      </c>
      <c r="Y758" s="20"/>
      <c r="Z758" s="20" t="s">
        <v>184</v>
      </c>
      <c r="AA758" s="20" t="s">
        <v>205</v>
      </c>
      <c r="AB758" s="20" t="s">
        <v>267</v>
      </c>
      <c r="AC758" s="20" t="s">
        <v>268</v>
      </c>
      <c r="AD758" s="20" t="s">
        <v>269</v>
      </c>
      <c r="AE758" s="20" t="s">
        <v>166</v>
      </c>
      <c r="AF758" s="17" t="str">
        <f t="shared" si="1"/>
        <v>New Logo</v>
      </c>
      <c r="AG758" s="17" t="str">
        <f t="shared" si="2"/>
        <v>Customer</v>
      </c>
      <c r="AH758" s="17" t="str">
        <f t="shared" si="3"/>
        <v>201-500</v>
      </c>
      <c r="AI758" s="17" t="str">
        <f t="shared" si="4"/>
        <v>21-50</v>
      </c>
    </row>
    <row r="759" ht="15.75" customHeight="1">
      <c r="A759" s="13">
        <f>HYPERLINK("https://app.hubspot.com/contacts/8748051/record/0-3/15723271730", 15723271730)</f>
        <v>15723271730</v>
      </c>
      <c r="B759" s="14" t="s">
        <v>2494</v>
      </c>
      <c r="C759" s="14" t="s">
        <v>1008</v>
      </c>
      <c r="D759" s="15">
        <v>100000.0</v>
      </c>
      <c r="E759" s="14" t="s">
        <v>118</v>
      </c>
      <c r="F759" s="14"/>
      <c r="G759" s="16">
        <v>45219.60637731481</v>
      </c>
      <c r="H759" s="16">
        <v>45351.60596064815</v>
      </c>
      <c r="I759" s="14" t="s">
        <v>39</v>
      </c>
      <c r="J759" s="14" t="s">
        <v>52</v>
      </c>
      <c r="K759" s="14"/>
      <c r="L759" s="14"/>
      <c r="M759" s="14" t="s">
        <v>43</v>
      </c>
      <c r="N759" s="14"/>
      <c r="O759" s="14"/>
      <c r="P759" s="14" t="s">
        <v>119</v>
      </c>
      <c r="Q759" s="14"/>
      <c r="R759" s="13">
        <f>HYPERLINK("https://app.hubspot.com/contacts/8748051/record/0-2/9238328396", 9238328396)</f>
        <v>9238328396</v>
      </c>
      <c r="S759" s="14" t="s">
        <v>2495</v>
      </c>
      <c r="T759" s="18" t="s">
        <v>2496</v>
      </c>
      <c r="U759" s="14" t="s">
        <v>46</v>
      </c>
      <c r="V759" s="15"/>
      <c r="W759" s="19">
        <v>2404.0</v>
      </c>
      <c r="X759" s="19">
        <v>305.0</v>
      </c>
      <c r="Y759" s="20" t="s">
        <v>545</v>
      </c>
      <c r="Z759" s="20"/>
      <c r="AA759" s="21"/>
      <c r="AB759" s="20"/>
      <c r="AC759" s="20"/>
      <c r="AD759" s="20"/>
      <c r="AE759" s="20"/>
      <c r="AF759" s="17" t="str">
        <f t="shared" si="1"/>
        <v>New Logo</v>
      </c>
      <c r="AG759" s="17" t="str">
        <f t="shared" si="2"/>
        <v>Lead</v>
      </c>
      <c r="AH759" s="17" t="str">
        <f t="shared" si="3"/>
        <v>1001-5000</v>
      </c>
      <c r="AI759" s="17" t="str">
        <f t="shared" si="4"/>
        <v>101-500</v>
      </c>
    </row>
    <row r="760" ht="15.75" customHeight="1">
      <c r="A760" s="13">
        <f>HYPERLINK("https://app.hubspot.com/contacts/8748051/record/0-3/15690632721", 15690632721)</f>
        <v>15690632721</v>
      </c>
      <c r="B760" s="14" t="s">
        <v>2497</v>
      </c>
      <c r="C760" s="14" t="s">
        <v>49</v>
      </c>
      <c r="D760" s="15">
        <v>15000.0</v>
      </c>
      <c r="E760" s="14" t="s">
        <v>124</v>
      </c>
      <c r="F760" s="14" t="s">
        <v>51</v>
      </c>
      <c r="G760" s="16">
        <v>45217.574467592596</v>
      </c>
      <c r="H760" s="16">
        <v>45504.41721064815</v>
      </c>
      <c r="I760" s="14" t="s">
        <v>39</v>
      </c>
      <c r="J760" s="14" t="s">
        <v>40</v>
      </c>
      <c r="K760" s="17"/>
      <c r="L760" s="17"/>
      <c r="M760" s="14" t="s">
        <v>43</v>
      </c>
      <c r="N760" s="14"/>
      <c r="O760" s="14"/>
      <c r="P760" s="14"/>
      <c r="Q760" s="14" t="s">
        <v>141</v>
      </c>
      <c r="R760" s="13">
        <f>HYPERLINK("https://app.hubspot.com/contacts/8748051/record/0-2/7131052804", 7131052804)</f>
        <v>7131052804</v>
      </c>
      <c r="S760" s="14" t="s">
        <v>2498</v>
      </c>
      <c r="T760" s="18" t="s">
        <v>2499</v>
      </c>
      <c r="U760" s="14" t="s">
        <v>46</v>
      </c>
      <c r="V760" s="15"/>
      <c r="W760" s="19">
        <v>626.0</v>
      </c>
      <c r="X760" s="19">
        <v>135.0</v>
      </c>
      <c r="Y760" s="20" t="s">
        <v>70</v>
      </c>
      <c r="Z760" s="20"/>
      <c r="AA760" s="21"/>
      <c r="AB760" s="20"/>
      <c r="AC760" s="20"/>
      <c r="AD760" s="20"/>
      <c r="AE760" s="20"/>
      <c r="AF760" s="17" t="str">
        <f t="shared" si="1"/>
        <v>New Logo</v>
      </c>
      <c r="AG760" s="17" t="str">
        <f t="shared" si="2"/>
        <v>Lead</v>
      </c>
      <c r="AH760" s="17" t="str">
        <f t="shared" si="3"/>
        <v>501-1000</v>
      </c>
      <c r="AI760" s="17" t="str">
        <f t="shared" si="4"/>
        <v>101-500</v>
      </c>
    </row>
    <row r="761" ht="15.75" customHeight="1">
      <c r="A761" s="13">
        <f>HYPERLINK("https://app.hubspot.com/contacts/8748051/record/0-3/15671832458", 15671832458)</f>
        <v>15671832458</v>
      </c>
      <c r="B761" s="14" t="s">
        <v>2500</v>
      </c>
      <c r="C761" s="14" t="s">
        <v>49</v>
      </c>
      <c r="D761" s="15">
        <v>0.0</v>
      </c>
      <c r="E761" s="14" t="s">
        <v>146</v>
      </c>
      <c r="F761" s="14" t="s">
        <v>51</v>
      </c>
      <c r="G761" s="16">
        <v>45216.686574074076</v>
      </c>
      <c r="H761" s="16">
        <v>45286.70049768518</v>
      </c>
      <c r="I761" s="14" t="s">
        <v>39</v>
      </c>
      <c r="J761" s="14" t="s">
        <v>40</v>
      </c>
      <c r="K761" s="14"/>
      <c r="L761" s="14"/>
      <c r="M761" s="14" t="s">
        <v>43</v>
      </c>
      <c r="N761" s="14"/>
      <c r="O761" s="14" t="s">
        <v>2501</v>
      </c>
      <c r="P761" s="17"/>
      <c r="Q761" s="17"/>
      <c r="R761" s="13">
        <f>HYPERLINK("https://app.hubspot.com/contacts/8748051/record/0-2/7624135269", 7624135269)</f>
        <v>7624135269</v>
      </c>
      <c r="S761" s="14" t="s">
        <v>2502</v>
      </c>
      <c r="T761" s="14" t="s">
        <v>2503</v>
      </c>
      <c r="U761" s="14" t="s">
        <v>46</v>
      </c>
      <c r="V761" s="15"/>
      <c r="W761" s="19">
        <v>570.0</v>
      </c>
      <c r="X761" s="19">
        <v>61.0</v>
      </c>
      <c r="Y761" s="20"/>
      <c r="Z761" s="20"/>
      <c r="AA761" s="21"/>
      <c r="AB761" s="20"/>
      <c r="AC761" s="20"/>
      <c r="AD761" s="20"/>
      <c r="AE761" s="20"/>
      <c r="AF761" s="17" t="str">
        <f t="shared" si="1"/>
        <v>New Logo</v>
      </c>
      <c r="AG761" s="17" t="str">
        <f t="shared" si="2"/>
        <v>Lead</v>
      </c>
      <c r="AH761" s="17" t="str">
        <f t="shared" si="3"/>
        <v>501-1000</v>
      </c>
      <c r="AI761" s="17" t="str">
        <f t="shared" si="4"/>
        <v>51-100</v>
      </c>
    </row>
    <row r="762" ht="15.75" customHeight="1">
      <c r="A762" s="13">
        <f>HYPERLINK("https://app.hubspot.com/contacts/8748051/record/0-3/15671831890", 15671831890)</f>
        <v>15671831890</v>
      </c>
      <c r="B762" s="14" t="s">
        <v>2504</v>
      </c>
      <c r="C762" s="14" t="s">
        <v>1008</v>
      </c>
      <c r="D762" s="15">
        <v>0.0</v>
      </c>
      <c r="E762" s="14" t="s">
        <v>146</v>
      </c>
      <c r="F762" s="14" t="s">
        <v>51</v>
      </c>
      <c r="G762" s="16">
        <v>45216.68375</v>
      </c>
      <c r="H762" s="16">
        <v>45301.646458333336</v>
      </c>
      <c r="I762" s="14" t="s">
        <v>39</v>
      </c>
      <c r="J762" s="14" t="s">
        <v>40</v>
      </c>
      <c r="K762" s="14"/>
      <c r="L762" s="14"/>
      <c r="M762" s="14" t="s">
        <v>43</v>
      </c>
      <c r="N762" s="14"/>
      <c r="O762" s="14" t="s">
        <v>2505</v>
      </c>
      <c r="P762" s="17"/>
      <c r="Q762" s="14"/>
      <c r="R762" s="13">
        <f>HYPERLINK("https://app.hubspot.com/contacts/8748051/record/0-2/17707036310", 17707036310)</f>
        <v>17707036310</v>
      </c>
      <c r="S762" s="14" t="s">
        <v>2506</v>
      </c>
      <c r="T762" s="18" t="s">
        <v>2507</v>
      </c>
      <c r="U762" s="14" t="s">
        <v>46</v>
      </c>
      <c r="V762" s="15"/>
      <c r="W762" s="19">
        <v>35.0</v>
      </c>
      <c r="X762" s="19">
        <v>2.0</v>
      </c>
      <c r="Y762" s="20"/>
      <c r="Z762" s="20"/>
      <c r="AA762" s="20"/>
      <c r="AB762" s="20"/>
      <c r="AC762" s="20"/>
      <c r="AD762" s="20"/>
      <c r="AE762" s="20"/>
      <c r="AF762" s="17" t="str">
        <f t="shared" si="1"/>
        <v>New Logo</v>
      </c>
      <c r="AG762" s="17" t="str">
        <f t="shared" si="2"/>
        <v>Lead</v>
      </c>
      <c r="AH762" s="17" t="str">
        <f t="shared" si="3"/>
        <v>0-200</v>
      </c>
      <c r="AI762" s="17" t="str">
        <f t="shared" si="4"/>
        <v>0-20</v>
      </c>
    </row>
    <row r="763" ht="15.75" customHeight="1">
      <c r="A763" s="13">
        <f>HYPERLINK("https://app.hubspot.com/contacts/8748051/record/0-3/15612855611", 15612855611)</f>
        <v>15612855611</v>
      </c>
      <c r="B763" s="14" t="s">
        <v>2508</v>
      </c>
      <c r="C763" s="14" t="s">
        <v>49</v>
      </c>
      <c r="D763" s="15">
        <v>0.0</v>
      </c>
      <c r="E763" s="14" t="s">
        <v>146</v>
      </c>
      <c r="F763" s="14" t="s">
        <v>51</v>
      </c>
      <c r="G763" s="16">
        <v>45212.419953703706</v>
      </c>
      <c r="H763" s="16">
        <v>45237.412673611114</v>
      </c>
      <c r="I763" s="14" t="s">
        <v>39</v>
      </c>
      <c r="J763" s="14" t="s">
        <v>52</v>
      </c>
      <c r="K763" s="17"/>
      <c r="L763" s="17"/>
      <c r="M763" s="14" t="s">
        <v>43</v>
      </c>
      <c r="N763" s="14"/>
      <c r="O763" s="14" t="s">
        <v>2509</v>
      </c>
      <c r="P763" s="14"/>
      <c r="Q763" s="14"/>
      <c r="R763" s="13">
        <f>HYPERLINK("https://app.hubspot.com/contacts/8748051/record/0-2/7709393079", 7709393079)</f>
        <v>7709393079</v>
      </c>
      <c r="S763" s="14" t="s">
        <v>2510</v>
      </c>
      <c r="T763" s="14" t="s">
        <v>2511</v>
      </c>
      <c r="U763" s="14" t="s">
        <v>46</v>
      </c>
      <c r="V763" s="15"/>
      <c r="W763" s="19">
        <v>40.0</v>
      </c>
      <c r="X763" s="19">
        <v>2.0</v>
      </c>
      <c r="Y763" s="20"/>
      <c r="Z763" s="20"/>
      <c r="AA763" s="20"/>
      <c r="AB763" s="20"/>
      <c r="AC763" s="20"/>
      <c r="AD763" s="20"/>
      <c r="AE763" s="20"/>
      <c r="AF763" s="17" t="str">
        <f t="shared" si="1"/>
        <v>New Logo</v>
      </c>
      <c r="AG763" s="17" t="str">
        <f t="shared" si="2"/>
        <v>Lead</v>
      </c>
      <c r="AH763" s="17" t="str">
        <f t="shared" si="3"/>
        <v>0-200</v>
      </c>
      <c r="AI763" s="17" t="str">
        <f t="shared" si="4"/>
        <v>0-20</v>
      </c>
    </row>
    <row r="764" ht="15.75" customHeight="1">
      <c r="A764" s="13">
        <f>HYPERLINK("https://app.hubspot.com/contacts/8748051/record/0-3/15608437407", 15608437407)</f>
        <v>15608437407</v>
      </c>
      <c r="B764" s="14" t="s">
        <v>2512</v>
      </c>
      <c r="C764" s="14" t="s">
        <v>1227</v>
      </c>
      <c r="D764" s="15">
        <v>3750.0</v>
      </c>
      <c r="E764" s="14" t="s">
        <v>89</v>
      </c>
      <c r="F764" s="14" t="s">
        <v>51</v>
      </c>
      <c r="G764" s="16">
        <v>45212.11864583333</v>
      </c>
      <c r="H764" s="16">
        <v>45224.334282407406</v>
      </c>
      <c r="I764" s="14" t="s">
        <v>39</v>
      </c>
      <c r="J764" s="14" t="s">
        <v>179</v>
      </c>
      <c r="K764" s="17"/>
      <c r="L764" s="17"/>
      <c r="M764" s="14" t="s">
        <v>98</v>
      </c>
      <c r="N764" s="14" t="s">
        <v>2513</v>
      </c>
      <c r="O764" s="14"/>
      <c r="P764" s="14"/>
      <c r="Q764" s="14"/>
      <c r="R764" s="13">
        <f>HYPERLINK("https://app.hubspot.com/contacts/8748051/record/0-2/9781558177", 9781558177)</f>
        <v>9781558177</v>
      </c>
      <c r="S764" s="14" t="s">
        <v>863</v>
      </c>
      <c r="T764" s="18" t="s">
        <v>864</v>
      </c>
      <c r="U764" s="14" t="s">
        <v>93</v>
      </c>
      <c r="V764" s="15">
        <v>21840.0</v>
      </c>
      <c r="W764" s="19">
        <v>221.0</v>
      </c>
      <c r="X764" s="19">
        <v>17.0</v>
      </c>
      <c r="Y764" s="20"/>
      <c r="Z764" s="20" t="s">
        <v>218</v>
      </c>
      <c r="AA764" s="20"/>
      <c r="AB764" s="20"/>
      <c r="AC764" s="20" t="s">
        <v>865</v>
      </c>
      <c r="AD764" s="20"/>
      <c r="AE764" s="20" t="s">
        <v>166</v>
      </c>
      <c r="AF764" s="17" t="str">
        <f t="shared" si="1"/>
        <v>Upsell</v>
      </c>
      <c r="AG764" s="17" t="str">
        <f t="shared" si="2"/>
        <v>Customer</v>
      </c>
      <c r="AH764" s="17" t="str">
        <f t="shared" si="3"/>
        <v>201-500</v>
      </c>
      <c r="AI764" s="17" t="str">
        <f t="shared" si="4"/>
        <v>0-20</v>
      </c>
    </row>
    <row r="765" ht="15.75" customHeight="1">
      <c r="A765" s="13">
        <f>HYPERLINK("https://app.hubspot.com/contacts/8748051/record/0-3/15608816671", 15608816671)</f>
        <v>15608816671</v>
      </c>
      <c r="B765" s="14" t="s">
        <v>2514</v>
      </c>
      <c r="C765" s="14" t="s">
        <v>49</v>
      </c>
      <c r="D765" s="15">
        <v>100000.0</v>
      </c>
      <c r="E765" s="14" t="s">
        <v>118</v>
      </c>
      <c r="F765" s="14" t="s">
        <v>51</v>
      </c>
      <c r="G765" s="16">
        <v>45212.06769675926</v>
      </c>
      <c r="H765" s="16">
        <v>45473.22707175926</v>
      </c>
      <c r="I765" s="14" t="s">
        <v>39</v>
      </c>
      <c r="J765" s="14" t="s">
        <v>52</v>
      </c>
      <c r="K765" s="17"/>
      <c r="L765" s="17"/>
      <c r="M765" s="14" t="s">
        <v>98</v>
      </c>
      <c r="N765" s="14"/>
      <c r="O765" s="14"/>
      <c r="P765" s="14" t="s">
        <v>211</v>
      </c>
      <c r="Q765" s="14"/>
      <c r="R765" s="13">
        <f>HYPERLINK("https://app.hubspot.com/contacts/8748051/record/0-2/8929362983", 8929362983)</f>
        <v>8929362983</v>
      </c>
      <c r="S765" s="14" t="s">
        <v>2515</v>
      </c>
      <c r="T765" s="18" t="s">
        <v>2516</v>
      </c>
      <c r="U765" s="14" t="s">
        <v>46</v>
      </c>
      <c r="V765" s="15"/>
      <c r="W765" s="19">
        <v>2076.0</v>
      </c>
      <c r="X765" s="19">
        <v>225.0</v>
      </c>
      <c r="Y765" s="20"/>
      <c r="Z765" s="20"/>
      <c r="AA765" s="20"/>
      <c r="AB765" s="20"/>
      <c r="AC765" s="20"/>
      <c r="AD765" s="20"/>
      <c r="AE765" s="20"/>
      <c r="AF765" s="17" t="str">
        <f t="shared" si="1"/>
        <v>New Logo</v>
      </c>
      <c r="AG765" s="17" t="str">
        <f t="shared" si="2"/>
        <v>Lead</v>
      </c>
      <c r="AH765" s="17" t="str">
        <f t="shared" si="3"/>
        <v>1001-5000</v>
      </c>
      <c r="AI765" s="17" t="str">
        <f t="shared" si="4"/>
        <v>101-500</v>
      </c>
    </row>
    <row r="766" ht="15.75" customHeight="1">
      <c r="A766" s="13">
        <f>HYPERLINK("https://app.hubspot.com/contacts/8748051/record/0-3/15375831562", 15375831562)</f>
        <v>15375831562</v>
      </c>
      <c r="B766" s="14" t="s">
        <v>2517</v>
      </c>
      <c r="C766" s="14" t="s">
        <v>49</v>
      </c>
      <c r="D766" s="15">
        <v>30000.0</v>
      </c>
      <c r="E766" s="14" t="s">
        <v>146</v>
      </c>
      <c r="F766" s="14" t="s">
        <v>51</v>
      </c>
      <c r="G766" s="16">
        <v>45198.582974537036</v>
      </c>
      <c r="H766" s="16">
        <v>45211.60034722222</v>
      </c>
      <c r="I766" s="14" t="s">
        <v>39</v>
      </c>
      <c r="J766" s="14" t="s">
        <v>40</v>
      </c>
      <c r="K766" s="14"/>
      <c r="L766" s="14"/>
      <c r="M766" s="14" t="s">
        <v>43</v>
      </c>
      <c r="N766" s="14"/>
      <c r="O766" s="14" t="s">
        <v>2518</v>
      </c>
      <c r="P766" s="17"/>
      <c r="Q766" s="17"/>
      <c r="R766" s="13">
        <f>HYPERLINK("https://app.hubspot.com/contacts/8748051/record/0-2/7666466217", 7666466217)</f>
        <v>7666466217</v>
      </c>
      <c r="S766" s="14" t="s">
        <v>2039</v>
      </c>
      <c r="T766" s="18" t="s">
        <v>2040</v>
      </c>
      <c r="U766" s="14" t="s">
        <v>46</v>
      </c>
      <c r="V766" s="15"/>
      <c r="W766" s="19">
        <v>381.0</v>
      </c>
      <c r="X766" s="19">
        <v>80.0</v>
      </c>
      <c r="Y766" s="20" t="s">
        <v>63</v>
      </c>
      <c r="Z766" s="20"/>
      <c r="AA766" s="20"/>
      <c r="AB766" s="20"/>
      <c r="AC766" s="20"/>
      <c r="AD766" s="20"/>
      <c r="AE766" s="20"/>
      <c r="AF766" s="17" t="str">
        <f t="shared" si="1"/>
        <v>New Logo</v>
      </c>
      <c r="AG766" s="17" t="str">
        <f t="shared" si="2"/>
        <v>Lead</v>
      </c>
      <c r="AH766" s="17" t="str">
        <f t="shared" si="3"/>
        <v>201-500</v>
      </c>
      <c r="AI766" s="17" t="str">
        <f t="shared" si="4"/>
        <v>51-100</v>
      </c>
    </row>
    <row r="767" ht="15.75" customHeight="1">
      <c r="A767" s="13">
        <f>HYPERLINK("https://app.hubspot.com/contacts/8748051/record/0-3/15318294862", 15318294862)</f>
        <v>15318294862</v>
      </c>
      <c r="B767" s="14" t="s">
        <v>2519</v>
      </c>
      <c r="C767" s="14" t="s">
        <v>1227</v>
      </c>
      <c r="D767" s="15">
        <v>5796.0</v>
      </c>
      <c r="E767" s="14" t="s">
        <v>89</v>
      </c>
      <c r="F767" s="14" t="s">
        <v>51</v>
      </c>
      <c r="G767" s="16">
        <v>45194.713796296295</v>
      </c>
      <c r="H767" s="16">
        <v>45258.99505787037</v>
      </c>
      <c r="I767" s="14" t="s">
        <v>39</v>
      </c>
      <c r="J767" s="14" t="s">
        <v>40</v>
      </c>
      <c r="K767" s="14"/>
      <c r="L767" s="14"/>
      <c r="M767" s="14" t="s">
        <v>98</v>
      </c>
      <c r="N767" s="14" t="s">
        <v>2520</v>
      </c>
      <c r="O767" s="14"/>
      <c r="P767" s="17"/>
      <c r="Q767" s="14"/>
      <c r="R767" s="13">
        <f>HYPERLINK("https://app.hubspot.com/contacts/8748051/record/0-2/10517320259", 10517320259)</f>
        <v>10517320259</v>
      </c>
      <c r="S767" s="14" t="s">
        <v>1228</v>
      </c>
      <c r="T767" s="18" t="s">
        <v>1229</v>
      </c>
      <c r="U767" s="14" t="s">
        <v>93</v>
      </c>
      <c r="V767" s="15">
        <v>8045.0</v>
      </c>
      <c r="W767" s="19">
        <v>283.0</v>
      </c>
      <c r="X767" s="19">
        <v>49.0</v>
      </c>
      <c r="Y767" s="20"/>
      <c r="Z767" s="20" t="s">
        <v>191</v>
      </c>
      <c r="AA767" s="21"/>
      <c r="AB767" s="20" t="s">
        <v>206</v>
      </c>
      <c r="AC767" s="20" t="s">
        <v>1230</v>
      </c>
      <c r="AD767" s="20" t="s">
        <v>1231</v>
      </c>
      <c r="AE767" s="20" t="s">
        <v>166</v>
      </c>
      <c r="AF767" s="17" t="str">
        <f t="shared" si="1"/>
        <v>New Logo</v>
      </c>
      <c r="AG767" s="17" t="str">
        <f t="shared" si="2"/>
        <v>Customer</v>
      </c>
      <c r="AH767" s="17" t="str">
        <f t="shared" si="3"/>
        <v>201-500</v>
      </c>
      <c r="AI767" s="17" t="str">
        <f t="shared" si="4"/>
        <v>21-50</v>
      </c>
    </row>
    <row r="768" ht="15.75" customHeight="1">
      <c r="A768" s="13">
        <f>HYPERLINK("https://app.hubspot.com/contacts/8748051/record/0-3/15317964317", 15317964317)</f>
        <v>15317964317</v>
      </c>
      <c r="B768" s="14" t="s">
        <v>2521</v>
      </c>
      <c r="C768" s="14" t="s">
        <v>2304</v>
      </c>
      <c r="D768" s="15">
        <v>6500.0</v>
      </c>
      <c r="E768" s="14" t="s">
        <v>89</v>
      </c>
      <c r="F768" s="14" t="s">
        <v>51</v>
      </c>
      <c r="G768" s="16">
        <v>45194.708645833336</v>
      </c>
      <c r="H768" s="16">
        <v>45294.43791666667</v>
      </c>
      <c r="I768" s="14" t="s">
        <v>39</v>
      </c>
      <c r="J768" s="14" t="s">
        <v>40</v>
      </c>
      <c r="K768" s="14" t="s">
        <v>41</v>
      </c>
      <c r="L768" s="14" t="s">
        <v>42</v>
      </c>
      <c r="M768" s="14" t="s">
        <v>43</v>
      </c>
      <c r="N768" s="14" t="s">
        <v>2522</v>
      </c>
      <c r="O768" s="14"/>
      <c r="P768" s="17"/>
      <c r="Q768" s="14"/>
      <c r="R768" s="13">
        <f>HYPERLINK("https://app.hubspot.com/contacts/8748051/record/0-2/17267716867", 17267716867)</f>
        <v>17267716867</v>
      </c>
      <c r="S768" s="14" t="s">
        <v>458</v>
      </c>
      <c r="T768" s="18" t="s">
        <v>459</v>
      </c>
      <c r="U768" s="14" t="s">
        <v>93</v>
      </c>
      <c r="V768" s="15">
        <v>3960.0</v>
      </c>
      <c r="W768" s="19">
        <v>349.0</v>
      </c>
      <c r="X768" s="19">
        <v>21.0</v>
      </c>
      <c r="Y768" s="20"/>
      <c r="Z768" s="20" t="s">
        <v>205</v>
      </c>
      <c r="AA768" s="21"/>
      <c r="AB768" s="20" t="s">
        <v>460</v>
      </c>
      <c r="AC768" s="20" t="s">
        <v>461</v>
      </c>
      <c r="AD768" s="20" t="s">
        <v>462</v>
      </c>
      <c r="AE768" s="20" t="s">
        <v>209</v>
      </c>
      <c r="AF768" s="17" t="str">
        <f t="shared" si="1"/>
        <v>New Logo</v>
      </c>
      <c r="AG768" s="17" t="str">
        <f t="shared" si="2"/>
        <v>Customer</v>
      </c>
      <c r="AH768" s="17" t="str">
        <f t="shared" si="3"/>
        <v>201-500</v>
      </c>
      <c r="AI768" s="17" t="str">
        <f t="shared" si="4"/>
        <v>21-50</v>
      </c>
    </row>
    <row r="769" ht="15.75" customHeight="1">
      <c r="A769" s="13">
        <f>HYPERLINK("https://app.hubspot.com/contacts/8748051/record/0-3/15315646550", 15315646550)</f>
        <v>15315646550</v>
      </c>
      <c r="B769" s="14" t="s">
        <v>2523</v>
      </c>
      <c r="C769" s="14" t="s">
        <v>49</v>
      </c>
      <c r="D769" s="15">
        <v>40000.0</v>
      </c>
      <c r="E769" s="14" t="s">
        <v>124</v>
      </c>
      <c r="F769" s="14" t="s">
        <v>51</v>
      </c>
      <c r="G769" s="16">
        <v>45194.546805555554</v>
      </c>
      <c r="H769" s="16">
        <v>45351.41306712963</v>
      </c>
      <c r="I769" s="14" t="s">
        <v>39</v>
      </c>
      <c r="J769" s="14" t="s">
        <v>52</v>
      </c>
      <c r="K769" s="17"/>
      <c r="L769" s="17"/>
      <c r="M769" s="14" t="s">
        <v>43</v>
      </c>
      <c r="N769" s="14"/>
      <c r="O769" s="14"/>
      <c r="P769" s="14"/>
      <c r="Q769" s="14" t="s">
        <v>236</v>
      </c>
      <c r="R769" s="13">
        <f>HYPERLINK("https://app.hubspot.com/contacts/8748051/record/0-2/9240658489", 9240658489)</f>
        <v>9240658489</v>
      </c>
      <c r="S769" s="14" t="s">
        <v>2524</v>
      </c>
      <c r="T769" s="18" t="s">
        <v>2525</v>
      </c>
      <c r="U769" s="14" t="s">
        <v>46</v>
      </c>
      <c r="V769" s="15"/>
      <c r="W769" s="19">
        <v>7181.0</v>
      </c>
      <c r="X769" s="19">
        <v>1340.0</v>
      </c>
      <c r="Y769" s="20" t="s">
        <v>55</v>
      </c>
      <c r="Z769" s="20"/>
      <c r="AA769" s="21"/>
      <c r="AB769" s="21"/>
      <c r="AC769" s="20"/>
      <c r="AD769" s="20"/>
      <c r="AE769" s="20"/>
      <c r="AF769" s="17" t="str">
        <f t="shared" si="1"/>
        <v>New Logo</v>
      </c>
      <c r="AG769" s="17" t="str">
        <f t="shared" si="2"/>
        <v>Lead</v>
      </c>
      <c r="AH769" s="17" t="str">
        <f t="shared" si="3"/>
        <v>5000-10000</v>
      </c>
      <c r="AI769" s="17" t="str">
        <f t="shared" si="4"/>
        <v>500+</v>
      </c>
    </row>
    <row r="770" ht="15.75" customHeight="1">
      <c r="A770" s="13">
        <f>HYPERLINK("https://app.hubspot.com/contacts/8748051/record/0-3/15315412542", 15315412542)</f>
        <v>15315412542</v>
      </c>
      <c r="B770" s="14" t="s">
        <v>2526</v>
      </c>
      <c r="C770" s="14" t="s">
        <v>49</v>
      </c>
      <c r="D770" s="15">
        <v>50000.0</v>
      </c>
      <c r="E770" s="14" t="s">
        <v>146</v>
      </c>
      <c r="F770" s="14" t="s">
        <v>51</v>
      </c>
      <c r="G770" s="16">
        <v>45194.5434837963</v>
      </c>
      <c r="H770" s="16">
        <v>45288.580358796295</v>
      </c>
      <c r="I770" s="14" t="s">
        <v>39</v>
      </c>
      <c r="J770" s="14" t="s">
        <v>52</v>
      </c>
      <c r="K770" s="17"/>
      <c r="L770" s="17"/>
      <c r="M770" s="14" t="s">
        <v>43</v>
      </c>
      <c r="N770" s="14"/>
      <c r="O770" s="14" t="s">
        <v>2527</v>
      </c>
      <c r="P770" s="14"/>
      <c r="Q770" s="14"/>
      <c r="R770" s="13">
        <f>HYPERLINK("https://app.hubspot.com/contacts/8748051/record/0-2/35705026207", 35705026207)</f>
        <v>35705026207</v>
      </c>
      <c r="S770" s="14" t="s">
        <v>2528</v>
      </c>
      <c r="T770" s="18" t="s">
        <v>2529</v>
      </c>
      <c r="U770" s="14" t="s">
        <v>46</v>
      </c>
      <c r="V770" s="15"/>
      <c r="W770" s="19">
        <v>6087.0</v>
      </c>
      <c r="X770" s="19">
        <v>1241.0</v>
      </c>
      <c r="Y770" s="20" t="s">
        <v>2530</v>
      </c>
      <c r="Z770" s="20"/>
      <c r="AA770" s="20"/>
      <c r="AB770" s="20"/>
      <c r="AC770" s="20"/>
      <c r="AD770" s="21"/>
      <c r="AE770" s="20"/>
      <c r="AF770" s="17" t="str">
        <f t="shared" si="1"/>
        <v>New Logo</v>
      </c>
      <c r="AG770" s="17" t="str">
        <f t="shared" si="2"/>
        <v>Lead</v>
      </c>
      <c r="AH770" s="17" t="str">
        <f t="shared" si="3"/>
        <v>5000-10000</v>
      </c>
      <c r="AI770" s="17" t="str">
        <f t="shared" si="4"/>
        <v>500+</v>
      </c>
    </row>
    <row r="771" ht="15.75" customHeight="1">
      <c r="A771" s="13">
        <f>HYPERLINK("https://app.hubspot.com/contacts/8748051/record/0-3/15172350993", 15172350993)</f>
        <v>15172350993</v>
      </c>
      <c r="B771" s="14" t="s">
        <v>2531</v>
      </c>
      <c r="C771" s="14" t="s">
        <v>2304</v>
      </c>
      <c r="D771" s="15">
        <v>2000.0</v>
      </c>
      <c r="E771" s="14" t="s">
        <v>89</v>
      </c>
      <c r="F771" s="14" t="s">
        <v>51</v>
      </c>
      <c r="G771" s="16">
        <v>45184.63940972222</v>
      </c>
      <c r="H771" s="16">
        <v>45210.666979166665</v>
      </c>
      <c r="I771" s="14" t="s">
        <v>39</v>
      </c>
      <c r="J771" s="14" t="s">
        <v>179</v>
      </c>
      <c r="K771" s="14"/>
      <c r="L771" s="14"/>
      <c r="M771" s="14" t="s">
        <v>43</v>
      </c>
      <c r="N771" s="14" t="s">
        <v>2532</v>
      </c>
      <c r="O771" s="14"/>
      <c r="P771" s="14"/>
      <c r="Q771" s="14"/>
      <c r="R771" s="13">
        <f>HYPERLINK("https://app.hubspot.com/contacts/8748051/record/0-2/16376201758", 16376201758)</f>
        <v>16376201758</v>
      </c>
      <c r="S771" s="14" t="s">
        <v>2474</v>
      </c>
      <c r="T771" s="18" t="s">
        <v>2475</v>
      </c>
      <c r="U771" s="14">
        <v>3.4564763E7</v>
      </c>
      <c r="V771" s="15">
        <v>27965.0</v>
      </c>
      <c r="W771" s="19">
        <v>411.0</v>
      </c>
      <c r="X771" s="19">
        <v>36.0</v>
      </c>
      <c r="Y771" s="20"/>
      <c r="Z771" s="20"/>
      <c r="AA771" s="20"/>
      <c r="AB771" s="20"/>
      <c r="AC771" s="20"/>
      <c r="AD771" s="20"/>
      <c r="AE771" s="20"/>
      <c r="AF771" s="17" t="str">
        <f t="shared" si="1"/>
        <v>Upsell</v>
      </c>
      <c r="AG771" s="17" t="str">
        <f t="shared" si="2"/>
        <v>Churn</v>
      </c>
      <c r="AH771" s="17" t="str">
        <f t="shared" si="3"/>
        <v>201-500</v>
      </c>
      <c r="AI771" s="17" t="str">
        <f t="shared" si="4"/>
        <v>21-50</v>
      </c>
    </row>
    <row r="772" ht="15.75" customHeight="1">
      <c r="A772" s="13">
        <f>HYPERLINK("https://app.hubspot.com/contacts/8748051/record/0-3/15111722054", 15111722054)</f>
        <v>15111722054</v>
      </c>
      <c r="B772" s="14" t="s">
        <v>2533</v>
      </c>
      <c r="C772" s="14" t="s">
        <v>2304</v>
      </c>
      <c r="D772" s="15">
        <v>4000.0</v>
      </c>
      <c r="E772" s="14" t="s">
        <v>89</v>
      </c>
      <c r="F772" s="14" t="s">
        <v>51</v>
      </c>
      <c r="G772" s="16">
        <v>45180.603530092594</v>
      </c>
      <c r="H772" s="16">
        <v>45196.82435185185</v>
      </c>
      <c r="I772" s="14" t="s">
        <v>39</v>
      </c>
      <c r="J772" s="14" t="s">
        <v>40</v>
      </c>
      <c r="K772" s="14"/>
      <c r="L772" s="14"/>
      <c r="M772" s="14" t="s">
        <v>43</v>
      </c>
      <c r="N772" s="14" t="s">
        <v>2534</v>
      </c>
      <c r="O772" s="14"/>
      <c r="P772" s="17"/>
      <c r="Q772" s="14"/>
      <c r="R772" s="13">
        <f>HYPERLINK("https://app.hubspot.com/contacts/8748051/record/0-2/17208502141", 17208502141)</f>
        <v>17208502141</v>
      </c>
      <c r="S772" s="14" t="s">
        <v>2533</v>
      </c>
      <c r="T772" s="18" t="s">
        <v>2535</v>
      </c>
      <c r="U772" s="14" t="s">
        <v>93</v>
      </c>
      <c r="V772" s="15">
        <v>4000.0</v>
      </c>
      <c r="W772" s="19">
        <v>25.0</v>
      </c>
      <c r="X772" s="19">
        <v>3.0</v>
      </c>
      <c r="Y772" s="20"/>
      <c r="Z772" s="20" t="s">
        <v>184</v>
      </c>
      <c r="AA772" s="20" t="s">
        <v>205</v>
      </c>
      <c r="AB772" s="20" t="s">
        <v>267</v>
      </c>
      <c r="AC772" s="20" t="s">
        <v>2536</v>
      </c>
      <c r="AD772" s="20"/>
      <c r="AE772" s="20" t="s">
        <v>209</v>
      </c>
      <c r="AF772" s="17" t="str">
        <f t="shared" si="1"/>
        <v>New Logo</v>
      </c>
      <c r="AG772" s="17" t="str">
        <f t="shared" si="2"/>
        <v>Customer</v>
      </c>
      <c r="AH772" s="17" t="str">
        <f t="shared" si="3"/>
        <v>0-200</v>
      </c>
      <c r="AI772" s="17" t="str">
        <f t="shared" si="4"/>
        <v>0-20</v>
      </c>
    </row>
    <row r="773" ht="15.75" customHeight="1">
      <c r="A773" s="13">
        <f>HYPERLINK("https://app.hubspot.com/contacts/8748051/record/0-3/15054004557", 15054004557)</f>
        <v>15054004557</v>
      </c>
      <c r="B773" s="14" t="s">
        <v>2537</v>
      </c>
      <c r="C773" s="14" t="s">
        <v>2304</v>
      </c>
      <c r="D773" s="15">
        <v>6000.0</v>
      </c>
      <c r="E773" s="14" t="s">
        <v>89</v>
      </c>
      <c r="F773" s="14" t="s">
        <v>51</v>
      </c>
      <c r="G773" s="16">
        <v>45176.36447916667</v>
      </c>
      <c r="H773" s="16">
        <v>45218.58603009259</v>
      </c>
      <c r="I773" s="14" t="s">
        <v>39</v>
      </c>
      <c r="J773" s="14" t="s">
        <v>40</v>
      </c>
      <c r="K773" s="17"/>
      <c r="L773" s="17"/>
      <c r="M773" s="14" t="s">
        <v>43</v>
      </c>
      <c r="N773" s="14" t="s">
        <v>2538</v>
      </c>
      <c r="O773" s="14"/>
      <c r="P773" s="17"/>
      <c r="Q773" s="14"/>
      <c r="R773" s="13">
        <f>HYPERLINK("https://app.hubspot.com/contacts/8748051/record/0-2/10627221527", 10627221527)</f>
        <v>10627221527</v>
      </c>
      <c r="S773" s="14" t="s">
        <v>2539</v>
      </c>
      <c r="T773" s="18" t="s">
        <v>2540</v>
      </c>
      <c r="U773" s="14" t="s">
        <v>93</v>
      </c>
      <c r="V773" s="15">
        <v>6000.0</v>
      </c>
      <c r="W773" s="19">
        <v>68.0</v>
      </c>
      <c r="X773" s="19">
        <v>6.0</v>
      </c>
      <c r="Y773" s="20"/>
      <c r="Z773" s="20" t="s">
        <v>184</v>
      </c>
      <c r="AA773" s="20" t="s">
        <v>205</v>
      </c>
      <c r="AB773" s="20" t="s">
        <v>267</v>
      </c>
      <c r="AC773" s="20" t="s">
        <v>2541</v>
      </c>
      <c r="AD773" s="20" t="s">
        <v>2542</v>
      </c>
      <c r="AE773" s="20" t="s">
        <v>395</v>
      </c>
      <c r="AF773" s="17" t="str">
        <f t="shared" si="1"/>
        <v>New Logo</v>
      </c>
      <c r="AG773" s="17" t="str">
        <f t="shared" si="2"/>
        <v>Customer</v>
      </c>
      <c r="AH773" s="17" t="str">
        <f t="shared" si="3"/>
        <v>0-200</v>
      </c>
      <c r="AI773" s="17" t="str">
        <f t="shared" si="4"/>
        <v>0-20</v>
      </c>
    </row>
    <row r="774" ht="15.75" customHeight="1">
      <c r="A774" s="13">
        <f>HYPERLINK("https://app.hubspot.com/contacts/8748051/record/0-3/15052406331", 15052406331)</f>
        <v>15052406331</v>
      </c>
      <c r="B774" s="14" t="s">
        <v>2543</v>
      </c>
      <c r="C774" s="14" t="s">
        <v>49</v>
      </c>
      <c r="D774" s="15">
        <v>60000.0</v>
      </c>
      <c r="E774" s="14" t="s">
        <v>124</v>
      </c>
      <c r="F774" s="14" t="s">
        <v>51</v>
      </c>
      <c r="G774" s="16">
        <v>45176.36331018519</v>
      </c>
      <c r="H774" s="16">
        <v>45380.33540509259</v>
      </c>
      <c r="I774" s="14" t="s">
        <v>39</v>
      </c>
      <c r="J774" s="14" t="s">
        <v>52</v>
      </c>
      <c r="K774" s="17"/>
      <c r="L774" s="17"/>
      <c r="M774" s="14" t="s">
        <v>43</v>
      </c>
      <c r="N774" s="14"/>
      <c r="O774" s="14"/>
      <c r="P774" s="17"/>
      <c r="Q774" s="14" t="s">
        <v>236</v>
      </c>
      <c r="R774" s="13">
        <f>HYPERLINK("https://app.hubspot.com/contacts/8748051/record/0-2/8142399857", 8142399857)</f>
        <v>8142399857</v>
      </c>
      <c r="S774" s="14" t="s">
        <v>2544</v>
      </c>
      <c r="T774" s="18" t="s">
        <v>2545</v>
      </c>
      <c r="U774" s="14" t="s">
        <v>46</v>
      </c>
      <c r="V774" s="15"/>
      <c r="W774" s="19">
        <v>1638.0</v>
      </c>
      <c r="X774" s="19">
        <v>260.0</v>
      </c>
      <c r="Y774" s="20" t="s">
        <v>70</v>
      </c>
      <c r="Z774" s="20"/>
      <c r="AA774" s="21"/>
      <c r="AB774" s="21"/>
      <c r="AC774" s="20"/>
      <c r="AD774" s="20"/>
      <c r="AE774" s="20"/>
      <c r="AF774" s="17" t="str">
        <f t="shared" si="1"/>
        <v>New Logo</v>
      </c>
      <c r="AG774" s="17" t="str">
        <f t="shared" si="2"/>
        <v>Lead</v>
      </c>
      <c r="AH774" s="17" t="str">
        <f t="shared" si="3"/>
        <v>1001-5000</v>
      </c>
      <c r="AI774" s="17" t="str">
        <f t="shared" si="4"/>
        <v>101-500</v>
      </c>
    </row>
    <row r="775" ht="15.75" customHeight="1">
      <c r="A775" s="13">
        <f>HYPERLINK("https://app.hubspot.com/contacts/8748051/record/0-3/15052406089", 15052406089)</f>
        <v>15052406089</v>
      </c>
      <c r="B775" s="14" t="s">
        <v>2546</v>
      </c>
      <c r="C775" s="14" t="s">
        <v>49</v>
      </c>
      <c r="D775" s="15"/>
      <c r="E775" s="14" t="s">
        <v>146</v>
      </c>
      <c r="F775" s="14"/>
      <c r="G775" s="16">
        <v>45176.361805555556</v>
      </c>
      <c r="H775" s="16">
        <v>45196.7396875</v>
      </c>
      <c r="I775" s="14" t="s">
        <v>39</v>
      </c>
      <c r="J775" s="14" t="s">
        <v>40</v>
      </c>
      <c r="K775" s="17"/>
      <c r="L775" s="17"/>
      <c r="M775" s="14" t="s">
        <v>43</v>
      </c>
      <c r="N775" s="14"/>
      <c r="O775" s="14" t="s">
        <v>2547</v>
      </c>
      <c r="P775" s="17"/>
      <c r="Q775" s="14"/>
      <c r="R775" s="13">
        <f>HYPERLINK("https://app.hubspot.com/contacts/8748051/record/0-2/17230827179", 17230827179)</f>
        <v>17230827179</v>
      </c>
      <c r="S775" s="14" t="s">
        <v>2548</v>
      </c>
      <c r="T775" s="18" t="s">
        <v>2549</v>
      </c>
      <c r="U775" s="14" t="s">
        <v>46</v>
      </c>
      <c r="V775" s="15"/>
      <c r="W775" s="19">
        <v>2052.0</v>
      </c>
      <c r="X775" s="19">
        <v>134.0</v>
      </c>
      <c r="Y775" s="20"/>
      <c r="Z775" s="21"/>
      <c r="AA775" s="21"/>
      <c r="AB775" s="21"/>
      <c r="AC775" s="21"/>
      <c r="AD775" s="21"/>
      <c r="AE775" s="21"/>
      <c r="AF775" s="17" t="str">
        <f t="shared" si="1"/>
        <v>New Logo</v>
      </c>
      <c r="AG775" s="17" t="str">
        <f t="shared" si="2"/>
        <v>Lead</v>
      </c>
      <c r="AH775" s="17" t="str">
        <f t="shared" si="3"/>
        <v>1001-5000</v>
      </c>
      <c r="AI775" s="17" t="str">
        <f t="shared" si="4"/>
        <v>101-500</v>
      </c>
    </row>
    <row r="776" ht="15.75" customHeight="1">
      <c r="A776" s="13">
        <f>HYPERLINK("https://app.hubspot.com/contacts/8748051/record/0-3/15052277257", 15052277257)</f>
        <v>15052277257</v>
      </c>
      <c r="B776" s="14" t="s">
        <v>2550</v>
      </c>
      <c r="C776" s="14" t="s">
        <v>37</v>
      </c>
      <c r="D776" s="15">
        <v>4000.0</v>
      </c>
      <c r="E776" s="14" t="s">
        <v>124</v>
      </c>
      <c r="F776" s="14" t="s">
        <v>51</v>
      </c>
      <c r="G776" s="16">
        <v>45176.3605787037</v>
      </c>
      <c r="H776" s="16">
        <v>45464.54597222222</v>
      </c>
      <c r="I776" s="14" t="s">
        <v>39</v>
      </c>
      <c r="J776" s="14" t="s">
        <v>40</v>
      </c>
      <c r="K776" s="17"/>
      <c r="L776" s="17"/>
      <c r="M776" s="14" t="s">
        <v>43</v>
      </c>
      <c r="N776" s="14"/>
      <c r="O776" s="14"/>
      <c r="P776" s="14"/>
      <c r="Q776" s="14" t="s">
        <v>2551</v>
      </c>
      <c r="R776" s="13">
        <f>HYPERLINK("https://app.hubspot.com/contacts/8748051/record/0-2/8724282115", 8724282115)</f>
        <v>8724282115</v>
      </c>
      <c r="S776" s="14" t="s">
        <v>2552</v>
      </c>
      <c r="T776" s="18" t="s">
        <v>2553</v>
      </c>
      <c r="U776" s="14" t="s">
        <v>46</v>
      </c>
      <c r="V776" s="15"/>
      <c r="W776" s="19">
        <v>79.0</v>
      </c>
      <c r="X776" s="19">
        <v>0.0</v>
      </c>
      <c r="Y776" s="20"/>
      <c r="Z776" s="20"/>
      <c r="AA776" s="21"/>
      <c r="AB776" s="21"/>
      <c r="AC776" s="20"/>
      <c r="AD776" s="20"/>
      <c r="AE776" s="20"/>
      <c r="AF776" s="17" t="str">
        <f t="shared" si="1"/>
        <v>New Logo</v>
      </c>
      <c r="AG776" s="17" t="str">
        <f t="shared" si="2"/>
        <v>Lead</v>
      </c>
      <c r="AH776" s="17" t="str">
        <f t="shared" si="3"/>
        <v>0-200</v>
      </c>
      <c r="AI776" s="17" t="str">
        <f t="shared" si="4"/>
        <v>0-20</v>
      </c>
    </row>
    <row r="777" ht="15.75" customHeight="1">
      <c r="A777" s="13">
        <f>HYPERLINK("https://app.hubspot.com/contacts/8748051/record/0-3/15052276821", 15052276821)</f>
        <v>15052276821</v>
      </c>
      <c r="B777" s="14" t="s">
        <v>2554</v>
      </c>
      <c r="C777" s="14" t="s">
        <v>1008</v>
      </c>
      <c r="D777" s="15">
        <v>10000.0</v>
      </c>
      <c r="E777" s="14" t="s">
        <v>124</v>
      </c>
      <c r="F777" s="14" t="s">
        <v>51</v>
      </c>
      <c r="G777" s="16">
        <v>45176.35822916667</v>
      </c>
      <c r="H777" s="16">
        <v>45412.55221064815</v>
      </c>
      <c r="I777" s="14" t="s">
        <v>39</v>
      </c>
      <c r="J777" s="14" t="s">
        <v>40</v>
      </c>
      <c r="K777" s="14"/>
      <c r="L777" s="14"/>
      <c r="M777" s="14" t="s">
        <v>43</v>
      </c>
      <c r="N777" s="14"/>
      <c r="O777" s="14"/>
      <c r="P777" s="14"/>
      <c r="Q777" s="14" t="s">
        <v>1567</v>
      </c>
      <c r="R777" s="13">
        <f>HYPERLINK("https://app.hubspot.com/contacts/8748051/record/0-2/7655826979", 7655826979)</f>
        <v>7655826979</v>
      </c>
      <c r="S777" s="14" t="s">
        <v>2555</v>
      </c>
      <c r="T777" s="18" t="s">
        <v>2556</v>
      </c>
      <c r="U777" s="14" t="s">
        <v>46</v>
      </c>
      <c r="V777" s="15"/>
      <c r="W777" s="19">
        <v>353.0</v>
      </c>
      <c r="X777" s="19">
        <v>58.0</v>
      </c>
      <c r="Y777" s="20" t="s">
        <v>2557</v>
      </c>
      <c r="Z777" s="20"/>
      <c r="AA777" s="21"/>
      <c r="AB777" s="21"/>
      <c r="AC777" s="20"/>
      <c r="AD777" s="20"/>
      <c r="AE777" s="20"/>
      <c r="AF777" s="17" t="str">
        <f t="shared" si="1"/>
        <v>New Logo</v>
      </c>
      <c r="AG777" s="17" t="str">
        <f t="shared" si="2"/>
        <v>Lead</v>
      </c>
      <c r="AH777" s="17" t="str">
        <f t="shared" si="3"/>
        <v>201-500</v>
      </c>
      <c r="AI777" s="17" t="str">
        <f t="shared" si="4"/>
        <v>51-100</v>
      </c>
    </row>
    <row r="778" ht="15.75" customHeight="1">
      <c r="A778" s="13">
        <f>HYPERLINK("https://app.hubspot.com/contacts/8748051/record/0-3/14998091546", 14998091546)</f>
        <v>14998091546</v>
      </c>
      <c r="B778" s="14" t="s">
        <v>2558</v>
      </c>
      <c r="C778" s="14" t="s">
        <v>37</v>
      </c>
      <c r="D778" s="15">
        <v>10000.0</v>
      </c>
      <c r="E778" s="14" t="s">
        <v>118</v>
      </c>
      <c r="F778" s="14"/>
      <c r="G778" s="16">
        <v>45174.55474537037</v>
      </c>
      <c r="H778" s="16">
        <v>45290.368784722225</v>
      </c>
      <c r="I778" s="14" t="s">
        <v>39</v>
      </c>
      <c r="J778" s="14" t="s">
        <v>40</v>
      </c>
      <c r="K778" s="17"/>
      <c r="L778" s="17"/>
      <c r="M778" s="14" t="s">
        <v>43</v>
      </c>
      <c r="N778" s="14"/>
      <c r="O778" s="14"/>
      <c r="P778" s="14" t="s">
        <v>211</v>
      </c>
      <c r="Q778" s="14"/>
      <c r="R778" s="13">
        <f>HYPERLINK("https://app.hubspot.com/contacts/8748051/record/0-2/17208326188", 17208326188)</f>
        <v>17208326188</v>
      </c>
      <c r="S778" s="14" t="s">
        <v>1960</v>
      </c>
      <c r="T778" s="18" t="s">
        <v>1961</v>
      </c>
      <c r="U778" s="14" t="s">
        <v>46</v>
      </c>
      <c r="V778" s="15"/>
      <c r="W778" s="19">
        <v>234.0</v>
      </c>
      <c r="X778" s="19">
        <v>38.0</v>
      </c>
      <c r="Y778" s="20" t="s">
        <v>70</v>
      </c>
      <c r="Z778" s="21"/>
      <c r="AA778" s="21"/>
      <c r="AB778" s="21"/>
      <c r="AC778" s="21"/>
      <c r="AD778" s="21"/>
      <c r="AE778" s="21"/>
      <c r="AF778" s="17" t="str">
        <f t="shared" si="1"/>
        <v>New Logo</v>
      </c>
      <c r="AG778" s="17" t="str">
        <f t="shared" si="2"/>
        <v>Lead</v>
      </c>
      <c r="AH778" s="17" t="str">
        <f t="shared" si="3"/>
        <v>201-500</v>
      </c>
      <c r="AI778" s="17" t="str">
        <f t="shared" si="4"/>
        <v>21-50</v>
      </c>
    </row>
    <row r="779" ht="15.75" customHeight="1">
      <c r="A779" s="13">
        <f>HYPERLINK("https://app.hubspot.com/contacts/8748051/record/0-3/14996712333", 14996712333)</f>
        <v>14996712333</v>
      </c>
      <c r="B779" s="14" t="s">
        <v>2559</v>
      </c>
      <c r="C779" s="14" t="s">
        <v>49</v>
      </c>
      <c r="D779" s="15">
        <v>20000.0</v>
      </c>
      <c r="E779" s="14" t="s">
        <v>146</v>
      </c>
      <c r="F779" s="14" t="s">
        <v>51</v>
      </c>
      <c r="G779" s="16">
        <v>45174.46172453704</v>
      </c>
      <c r="H779" s="16">
        <v>45307.58416666667</v>
      </c>
      <c r="I779" s="14" t="s">
        <v>39</v>
      </c>
      <c r="J779" s="14" t="s">
        <v>52</v>
      </c>
      <c r="K779" s="17"/>
      <c r="L779" s="17"/>
      <c r="M779" s="14" t="s">
        <v>43</v>
      </c>
      <c r="N779" s="14"/>
      <c r="O779" s="14" t="s">
        <v>2560</v>
      </c>
      <c r="P779" s="14"/>
      <c r="Q779" s="14"/>
      <c r="R779" s="13">
        <f>HYPERLINK("https://app.hubspot.com/contacts/8748051/record/0-2/4796109238", 4796109238)</f>
        <v>4796109238</v>
      </c>
      <c r="S779" s="14" t="s">
        <v>2561</v>
      </c>
      <c r="T779" s="18" t="s">
        <v>2562</v>
      </c>
      <c r="U779" s="14" t="s">
        <v>46</v>
      </c>
      <c r="V779" s="15"/>
      <c r="W779" s="19">
        <v>1098.0</v>
      </c>
      <c r="X779" s="19">
        <v>92.0</v>
      </c>
      <c r="Y779" s="20" t="s">
        <v>63</v>
      </c>
      <c r="Z779" s="20"/>
      <c r="AA779" s="20"/>
      <c r="AB779" s="20"/>
      <c r="AC779" s="20"/>
      <c r="AD779" s="20"/>
      <c r="AE779" s="20"/>
      <c r="AF779" s="17" t="str">
        <f t="shared" si="1"/>
        <v>New Logo</v>
      </c>
      <c r="AG779" s="17" t="str">
        <f t="shared" si="2"/>
        <v>Lead</v>
      </c>
      <c r="AH779" s="17" t="str">
        <f t="shared" si="3"/>
        <v>1001-5000</v>
      </c>
      <c r="AI779" s="17" t="str">
        <f t="shared" si="4"/>
        <v>51-100</v>
      </c>
    </row>
    <row r="780" ht="15.75" customHeight="1">
      <c r="A780" s="13">
        <f>HYPERLINK("https://app.hubspot.com/contacts/8748051/record/0-3/14781929348", 14781929348)</f>
        <v>14781929348</v>
      </c>
      <c r="B780" s="14" t="s">
        <v>2563</v>
      </c>
      <c r="C780" s="14" t="s">
        <v>49</v>
      </c>
      <c r="D780" s="15">
        <v>20000.0</v>
      </c>
      <c r="E780" s="14" t="s">
        <v>124</v>
      </c>
      <c r="F780" s="14" t="s">
        <v>51</v>
      </c>
      <c r="G780" s="16">
        <v>45160.4597337963</v>
      </c>
      <c r="H780" s="16">
        <v>45259.791666666664</v>
      </c>
      <c r="I780" s="14" t="s">
        <v>39</v>
      </c>
      <c r="J780" s="14" t="s">
        <v>40</v>
      </c>
      <c r="K780" s="17"/>
      <c r="L780" s="17"/>
      <c r="M780" s="14" t="s">
        <v>43</v>
      </c>
      <c r="N780" s="14"/>
      <c r="O780" s="14"/>
      <c r="P780" s="14"/>
      <c r="Q780" s="14" t="s">
        <v>1767</v>
      </c>
      <c r="R780" s="13">
        <f>HYPERLINK("https://app.hubspot.com/contacts/8748051/record/0-2/7668545338", 7668545338)</f>
        <v>7668545338</v>
      </c>
      <c r="S780" s="14" t="s">
        <v>2563</v>
      </c>
      <c r="T780" s="18" t="s">
        <v>2564</v>
      </c>
      <c r="U780" s="14" t="s">
        <v>46</v>
      </c>
      <c r="V780" s="15"/>
      <c r="W780" s="19">
        <v>565.0</v>
      </c>
      <c r="X780" s="19">
        <v>46.0</v>
      </c>
      <c r="Y780" s="20" t="s">
        <v>70</v>
      </c>
      <c r="Z780" s="21"/>
      <c r="AA780" s="21"/>
      <c r="AB780" s="21"/>
      <c r="AC780" s="21"/>
      <c r="AD780" s="21"/>
      <c r="AE780" s="21"/>
      <c r="AF780" s="17" t="str">
        <f t="shared" si="1"/>
        <v>New Logo</v>
      </c>
      <c r="AG780" s="17" t="str">
        <f t="shared" si="2"/>
        <v>Lead</v>
      </c>
      <c r="AH780" s="17" t="str">
        <f t="shared" si="3"/>
        <v>501-1000</v>
      </c>
      <c r="AI780" s="17" t="str">
        <f t="shared" si="4"/>
        <v>21-50</v>
      </c>
    </row>
    <row r="781" ht="15.75" customHeight="1">
      <c r="A781" s="13">
        <f>HYPERLINK("https://app.hubspot.com/contacts/8748051/record/0-3/14761904493", 14761904493)</f>
        <v>14761904493</v>
      </c>
      <c r="B781" s="14" t="s">
        <v>2565</v>
      </c>
      <c r="C781" s="14" t="s">
        <v>145</v>
      </c>
      <c r="D781" s="15">
        <v>50000.0</v>
      </c>
      <c r="E781" s="14" t="s">
        <v>146</v>
      </c>
      <c r="F781" s="14"/>
      <c r="G781" s="16">
        <v>45159.68052083333</v>
      </c>
      <c r="H781" s="16">
        <v>45222.39824074074</v>
      </c>
      <c r="I781" s="14" t="s">
        <v>39</v>
      </c>
      <c r="J781" s="14" t="s">
        <v>40</v>
      </c>
      <c r="K781" s="17"/>
      <c r="L781" s="14"/>
      <c r="M781" s="14" t="s">
        <v>43</v>
      </c>
      <c r="N781" s="14"/>
      <c r="O781" s="14" t="s">
        <v>2566</v>
      </c>
      <c r="P781" s="14"/>
      <c r="Q781" s="14"/>
      <c r="R781" s="13">
        <f>HYPERLINK("https://app.hubspot.com/contacts/8748051/record/0-2/17026206243", 17026206243)</f>
        <v>17026206243</v>
      </c>
      <c r="S781" s="14" t="s">
        <v>2567</v>
      </c>
      <c r="T781" s="18" t="s">
        <v>2568</v>
      </c>
      <c r="U781" s="14" t="s">
        <v>46</v>
      </c>
      <c r="V781" s="15"/>
      <c r="W781" s="19">
        <v>1303.0</v>
      </c>
      <c r="X781" s="19">
        <v>547.0</v>
      </c>
      <c r="Y781" s="20"/>
      <c r="Z781" s="20"/>
      <c r="AA781" s="20"/>
      <c r="AB781" s="20"/>
      <c r="AC781" s="20"/>
      <c r="AD781" s="20"/>
      <c r="AE781" s="20"/>
      <c r="AF781" s="17" t="str">
        <f t="shared" si="1"/>
        <v>New Logo</v>
      </c>
      <c r="AG781" s="17" t="str">
        <f t="shared" si="2"/>
        <v>Lead</v>
      </c>
      <c r="AH781" s="17" t="str">
        <f t="shared" si="3"/>
        <v>1001-5000</v>
      </c>
      <c r="AI781" s="17" t="str">
        <f t="shared" si="4"/>
        <v>500+</v>
      </c>
    </row>
    <row r="782" ht="15.75" customHeight="1">
      <c r="A782" s="13">
        <f>HYPERLINK("https://app.hubspot.com/contacts/8748051/record/0-3/14757689212", 14757689212)</f>
        <v>14757689212</v>
      </c>
      <c r="B782" s="14" t="s">
        <v>2569</v>
      </c>
      <c r="C782" s="14" t="s">
        <v>1008</v>
      </c>
      <c r="D782" s="15">
        <v>5000.0</v>
      </c>
      <c r="E782" s="14" t="s">
        <v>124</v>
      </c>
      <c r="F782" s="14" t="s">
        <v>51</v>
      </c>
      <c r="G782" s="16">
        <v>45159.39771990741</v>
      </c>
      <c r="H782" s="16">
        <v>45412.384884259256</v>
      </c>
      <c r="I782" s="14" t="s">
        <v>39</v>
      </c>
      <c r="J782" s="14" t="s">
        <v>40</v>
      </c>
      <c r="K782" s="17"/>
      <c r="L782" s="17"/>
      <c r="M782" s="14" t="s">
        <v>72</v>
      </c>
      <c r="N782" s="14"/>
      <c r="O782" s="14"/>
      <c r="P782" s="17"/>
      <c r="Q782" s="14" t="s">
        <v>141</v>
      </c>
      <c r="R782" s="13">
        <f>HYPERLINK("https://app.hubspot.com/contacts/8748051/record/0-2/16978525470", 16978525470)</f>
        <v>16978525470</v>
      </c>
      <c r="S782" s="14" t="s">
        <v>2570</v>
      </c>
      <c r="T782" s="18" t="s">
        <v>2571</v>
      </c>
      <c r="U782" s="14" t="s">
        <v>46</v>
      </c>
      <c r="V782" s="15"/>
      <c r="W782" s="19">
        <v>49.0</v>
      </c>
      <c r="X782" s="19">
        <v>1.0</v>
      </c>
      <c r="Y782" s="20"/>
      <c r="Z782" s="20"/>
      <c r="AA782" s="21"/>
      <c r="AB782" s="21"/>
      <c r="AC782" s="20"/>
      <c r="AD782" s="20"/>
      <c r="AE782" s="20"/>
      <c r="AF782" s="17" t="str">
        <f t="shared" si="1"/>
        <v>New Logo</v>
      </c>
      <c r="AG782" s="17" t="str">
        <f t="shared" si="2"/>
        <v>Lead</v>
      </c>
      <c r="AH782" s="17" t="str">
        <f t="shared" si="3"/>
        <v>0-200</v>
      </c>
      <c r="AI782" s="17" t="str">
        <f t="shared" si="4"/>
        <v>0-20</v>
      </c>
    </row>
    <row r="783" ht="15.75" customHeight="1">
      <c r="A783" s="13">
        <f>HYPERLINK("https://app.hubspot.com/contacts/8748051/record/0-3/14544764794", 14544764794)</f>
        <v>14544764794</v>
      </c>
      <c r="B783" s="14" t="s">
        <v>2572</v>
      </c>
      <c r="C783" s="14" t="s">
        <v>49</v>
      </c>
      <c r="D783" s="15">
        <v>200000.0</v>
      </c>
      <c r="E783" s="14" t="s">
        <v>146</v>
      </c>
      <c r="F783" s="14" t="s">
        <v>51</v>
      </c>
      <c r="G783" s="16">
        <v>45147.571076388886</v>
      </c>
      <c r="H783" s="16">
        <v>45238.32943287037</v>
      </c>
      <c r="I783" s="14" t="s">
        <v>39</v>
      </c>
      <c r="J783" s="14" t="s">
        <v>52</v>
      </c>
      <c r="K783" s="17"/>
      <c r="L783" s="14"/>
      <c r="M783" s="14" t="s">
        <v>72</v>
      </c>
      <c r="N783" s="14"/>
      <c r="O783" s="14" t="s">
        <v>2573</v>
      </c>
      <c r="P783" s="14"/>
      <c r="Q783" s="14"/>
      <c r="R783" s="13">
        <f>HYPERLINK("https://app.hubspot.com/contacts/8748051/record/0-2/9137337000", 9137337000)</f>
        <v>9137337000</v>
      </c>
      <c r="S783" s="14" t="s">
        <v>2574</v>
      </c>
      <c r="T783" s="18" t="s">
        <v>2575</v>
      </c>
      <c r="U783" s="14" t="s">
        <v>46</v>
      </c>
      <c r="V783" s="15"/>
      <c r="W783" s="19">
        <v>1496.0</v>
      </c>
      <c r="X783" s="19">
        <v>290.0</v>
      </c>
      <c r="Y783" s="20" t="s">
        <v>122</v>
      </c>
      <c r="Z783" s="20"/>
      <c r="AA783" s="21"/>
      <c r="AB783" s="20"/>
      <c r="AC783" s="20"/>
      <c r="AD783" s="20"/>
      <c r="AE783" s="20"/>
      <c r="AF783" s="17" t="str">
        <f t="shared" si="1"/>
        <v>New Logo</v>
      </c>
      <c r="AG783" s="17" t="str">
        <f t="shared" si="2"/>
        <v>Lead</v>
      </c>
      <c r="AH783" s="17" t="str">
        <f t="shared" si="3"/>
        <v>1001-5000</v>
      </c>
      <c r="AI783" s="17" t="str">
        <f t="shared" si="4"/>
        <v>101-500</v>
      </c>
    </row>
    <row r="784" ht="15.75" customHeight="1">
      <c r="A784" s="13">
        <f>HYPERLINK("https://app.hubspot.com/contacts/8748051/record/0-3/14529004386", 14529004386)</f>
        <v>14529004386</v>
      </c>
      <c r="B784" s="14" t="s">
        <v>2576</v>
      </c>
      <c r="C784" s="14" t="s">
        <v>2304</v>
      </c>
      <c r="D784" s="15">
        <v>4800.0</v>
      </c>
      <c r="E784" s="14" t="s">
        <v>89</v>
      </c>
      <c r="F784" s="14" t="s">
        <v>51</v>
      </c>
      <c r="G784" s="16">
        <v>45146.426620370374</v>
      </c>
      <c r="H784" s="16">
        <v>45149.54145833333</v>
      </c>
      <c r="I784" s="14" t="s">
        <v>39</v>
      </c>
      <c r="J784" s="14" t="s">
        <v>179</v>
      </c>
      <c r="K784" s="17"/>
      <c r="L784" s="17"/>
      <c r="M784" s="14" t="s">
        <v>43</v>
      </c>
      <c r="N784" s="14" t="s">
        <v>2577</v>
      </c>
      <c r="O784" s="17"/>
      <c r="P784" s="14"/>
      <c r="Q784" s="14"/>
      <c r="R784" s="13">
        <f>HYPERLINK("https://app.hubspot.com/contacts/8748051/record/0-2/16376201758", 16376201758)</f>
        <v>16376201758</v>
      </c>
      <c r="S784" s="14" t="s">
        <v>2474</v>
      </c>
      <c r="T784" s="18" t="s">
        <v>2475</v>
      </c>
      <c r="U784" s="14">
        <v>3.4564763E7</v>
      </c>
      <c r="V784" s="15">
        <v>27965.0</v>
      </c>
      <c r="W784" s="19">
        <v>411.0</v>
      </c>
      <c r="X784" s="19">
        <v>36.0</v>
      </c>
      <c r="Y784" s="20"/>
      <c r="Z784" s="20"/>
      <c r="AA784" s="21"/>
      <c r="AB784" s="21"/>
      <c r="AC784" s="20"/>
      <c r="AD784" s="20"/>
      <c r="AE784" s="20"/>
      <c r="AF784" s="17" t="str">
        <f t="shared" si="1"/>
        <v>Upsell</v>
      </c>
      <c r="AG784" s="17" t="str">
        <f t="shared" si="2"/>
        <v>Churn</v>
      </c>
      <c r="AH784" s="17" t="str">
        <f t="shared" si="3"/>
        <v>201-500</v>
      </c>
      <c r="AI784" s="17" t="str">
        <f t="shared" si="4"/>
        <v>21-50</v>
      </c>
    </row>
    <row r="785" ht="15.75" customHeight="1">
      <c r="A785" s="13">
        <f>HYPERLINK("https://app.hubspot.com/contacts/8748051/record/0-3/14517452321", 14517452321)</f>
        <v>14517452321</v>
      </c>
      <c r="B785" s="14" t="s">
        <v>2578</v>
      </c>
      <c r="C785" s="14" t="s">
        <v>37</v>
      </c>
      <c r="D785" s="15">
        <v>50000.0</v>
      </c>
      <c r="E785" s="14" t="s">
        <v>124</v>
      </c>
      <c r="F785" s="14" t="s">
        <v>51</v>
      </c>
      <c r="G785" s="16">
        <v>45145.45091435185</v>
      </c>
      <c r="H785" s="16">
        <v>45562.39722222222</v>
      </c>
      <c r="I785" s="14" t="s">
        <v>39</v>
      </c>
      <c r="J785" s="14" t="s">
        <v>52</v>
      </c>
      <c r="K785" s="17"/>
      <c r="L785" s="17"/>
      <c r="M785" s="14" t="s">
        <v>43</v>
      </c>
      <c r="N785" s="17"/>
      <c r="O785" s="14"/>
      <c r="P785" s="14"/>
      <c r="Q785" s="14" t="s">
        <v>125</v>
      </c>
      <c r="R785" s="13">
        <f>HYPERLINK("https://app.hubspot.com/contacts/8748051/record/0-2/7648310571", 7648310571)</f>
        <v>7648310571</v>
      </c>
      <c r="S785" s="14" t="s">
        <v>2579</v>
      </c>
      <c r="T785" s="18" t="s">
        <v>2580</v>
      </c>
      <c r="U785" s="14" t="s">
        <v>46</v>
      </c>
      <c r="V785" s="22"/>
      <c r="W785" s="19">
        <v>268.0</v>
      </c>
      <c r="X785" s="19">
        <v>30.0</v>
      </c>
      <c r="Y785" s="20" t="s">
        <v>70</v>
      </c>
      <c r="Z785" s="21"/>
      <c r="AA785" s="21"/>
      <c r="AB785" s="21"/>
      <c r="AC785" s="21"/>
      <c r="AD785" s="21"/>
      <c r="AE785" s="21"/>
      <c r="AF785" s="17" t="str">
        <f t="shared" si="1"/>
        <v>New Logo</v>
      </c>
      <c r="AG785" s="17" t="str">
        <f t="shared" si="2"/>
        <v>Lead</v>
      </c>
      <c r="AH785" s="17" t="str">
        <f t="shared" si="3"/>
        <v>201-500</v>
      </c>
      <c r="AI785" s="17" t="str">
        <f t="shared" si="4"/>
        <v>21-50</v>
      </c>
    </row>
    <row r="786" ht="15.75" customHeight="1">
      <c r="A786" s="13">
        <f>HYPERLINK("https://app.hubspot.com/contacts/8748051/record/0-3/14516232633", 14516232633)</f>
        <v>14516232633</v>
      </c>
      <c r="B786" s="14" t="s">
        <v>2581</v>
      </c>
      <c r="C786" s="14" t="s">
        <v>1008</v>
      </c>
      <c r="D786" s="15">
        <v>10000.0</v>
      </c>
      <c r="E786" s="14" t="s">
        <v>118</v>
      </c>
      <c r="F786" s="14"/>
      <c r="G786" s="16">
        <v>45145.37462962963</v>
      </c>
      <c r="H786" s="16">
        <v>45205.37326388889</v>
      </c>
      <c r="I786" s="14" t="s">
        <v>39</v>
      </c>
      <c r="J786" s="14" t="s">
        <v>40</v>
      </c>
      <c r="K786" s="14"/>
      <c r="L786" s="14"/>
      <c r="M786" s="14" t="s">
        <v>43</v>
      </c>
      <c r="N786" s="14"/>
      <c r="O786" s="14"/>
      <c r="P786" s="14" t="s">
        <v>260</v>
      </c>
      <c r="Q786" s="14"/>
      <c r="R786" s="13">
        <f>HYPERLINK("https://app.hubspot.com/contacts/8748051/record/0-2/9177938991", 9177938991)</f>
        <v>9177938991</v>
      </c>
      <c r="S786" s="14" t="s">
        <v>2581</v>
      </c>
      <c r="T786" s="18" t="s">
        <v>2582</v>
      </c>
      <c r="U786" s="14" t="s">
        <v>46</v>
      </c>
      <c r="V786" s="15"/>
      <c r="W786" s="19">
        <v>526.0</v>
      </c>
      <c r="X786" s="19">
        <v>119.0</v>
      </c>
      <c r="Y786" s="20" t="s">
        <v>78</v>
      </c>
      <c r="Z786" s="20"/>
      <c r="AA786" s="20"/>
      <c r="AB786" s="20"/>
      <c r="AC786" s="20"/>
      <c r="AD786" s="20"/>
      <c r="AE786" s="20"/>
      <c r="AF786" s="17" t="str">
        <f t="shared" si="1"/>
        <v>New Logo</v>
      </c>
      <c r="AG786" s="17" t="str">
        <f t="shared" si="2"/>
        <v>Lead</v>
      </c>
      <c r="AH786" s="17" t="str">
        <f t="shared" si="3"/>
        <v>501-1000</v>
      </c>
      <c r="AI786" s="17" t="str">
        <f t="shared" si="4"/>
        <v>101-500</v>
      </c>
    </row>
    <row r="787" ht="15.75" customHeight="1">
      <c r="A787" s="13">
        <f>HYPERLINK("https://app.hubspot.com/contacts/8748051/record/0-3/14515880232", 14515880232)</f>
        <v>14515880232</v>
      </c>
      <c r="B787" s="14" t="s">
        <v>2583</v>
      </c>
      <c r="C787" s="14" t="s">
        <v>37</v>
      </c>
      <c r="D787" s="15">
        <v>10000.0</v>
      </c>
      <c r="E787" s="14" t="s">
        <v>124</v>
      </c>
      <c r="F787" s="14" t="s">
        <v>51</v>
      </c>
      <c r="G787" s="16">
        <v>45145.35755787037</v>
      </c>
      <c r="H787" s="16">
        <v>45351.39538194444</v>
      </c>
      <c r="I787" s="14" t="s">
        <v>39</v>
      </c>
      <c r="J787" s="14" t="s">
        <v>40</v>
      </c>
      <c r="K787" s="14"/>
      <c r="L787" s="14"/>
      <c r="M787" s="14" t="s">
        <v>43</v>
      </c>
      <c r="N787" s="14"/>
      <c r="O787" s="14"/>
      <c r="P787" s="17"/>
      <c r="Q787" s="14" t="s">
        <v>373</v>
      </c>
      <c r="R787" s="13">
        <f>HYPERLINK("https://app.hubspot.com/contacts/8748051/record/0-2/16868060087", 16868060087)</f>
        <v>16868060087</v>
      </c>
      <c r="S787" s="14" t="s">
        <v>2584</v>
      </c>
      <c r="T787" s="18" t="s">
        <v>2585</v>
      </c>
      <c r="U787" s="14" t="s">
        <v>46</v>
      </c>
      <c r="V787" s="15"/>
      <c r="W787" s="19">
        <v>176.0</v>
      </c>
      <c r="X787" s="19">
        <v>15.0</v>
      </c>
      <c r="Y787" s="20"/>
      <c r="Z787" s="20"/>
      <c r="AA787" s="20"/>
      <c r="AB787" s="20"/>
      <c r="AC787" s="20"/>
      <c r="AD787" s="20"/>
      <c r="AE787" s="20"/>
      <c r="AF787" s="17" t="str">
        <f t="shared" si="1"/>
        <v>New Logo</v>
      </c>
      <c r="AG787" s="17" t="str">
        <f t="shared" si="2"/>
        <v>Lead</v>
      </c>
      <c r="AH787" s="17" t="str">
        <f t="shared" si="3"/>
        <v>0-200</v>
      </c>
      <c r="AI787" s="17" t="str">
        <f t="shared" si="4"/>
        <v>0-20</v>
      </c>
    </row>
    <row r="788" ht="15.75" customHeight="1">
      <c r="A788" s="13">
        <f>HYPERLINK("https://app.hubspot.com/contacts/8748051/record/0-3/14515842907", 14515842907)</f>
        <v>14515842907</v>
      </c>
      <c r="B788" s="14" t="s">
        <v>2586</v>
      </c>
      <c r="C788" s="14" t="s">
        <v>2304</v>
      </c>
      <c r="D788" s="15">
        <v>13125.0</v>
      </c>
      <c r="E788" s="14" t="s">
        <v>89</v>
      </c>
      <c r="F788" s="14" t="s">
        <v>51</v>
      </c>
      <c r="G788" s="16">
        <v>45145.349270833336</v>
      </c>
      <c r="H788" s="16">
        <v>45197.40083333333</v>
      </c>
      <c r="I788" s="14" t="s">
        <v>39</v>
      </c>
      <c r="J788" s="14" t="s">
        <v>40</v>
      </c>
      <c r="K788" s="14"/>
      <c r="L788" s="14"/>
      <c r="M788" s="14" t="s">
        <v>43</v>
      </c>
      <c r="N788" s="14" t="s">
        <v>2587</v>
      </c>
      <c r="O788" s="14"/>
      <c r="P788" s="17"/>
      <c r="Q788" s="14"/>
      <c r="R788" s="13">
        <f>HYPERLINK("https://app.hubspot.com/contacts/8748051/record/0-2/16734679839", 16734679839)</f>
        <v>16734679839</v>
      </c>
      <c r="S788" s="14" t="s">
        <v>465</v>
      </c>
      <c r="T788" s="18" t="s">
        <v>466</v>
      </c>
      <c r="U788" s="14" t="s">
        <v>93</v>
      </c>
      <c r="V788" s="15">
        <v>29912.0</v>
      </c>
      <c r="W788" s="19">
        <v>280.0</v>
      </c>
      <c r="X788" s="19">
        <v>15.0</v>
      </c>
      <c r="Y788" s="20"/>
      <c r="Z788" s="20" t="s">
        <v>348</v>
      </c>
      <c r="AA788" s="20" t="s">
        <v>205</v>
      </c>
      <c r="AB788" s="20" t="s">
        <v>206</v>
      </c>
      <c r="AC788" s="20" t="s">
        <v>461</v>
      </c>
      <c r="AD788" s="20" t="s">
        <v>467</v>
      </c>
      <c r="AE788" s="20" t="s">
        <v>166</v>
      </c>
      <c r="AF788" s="17" t="str">
        <f t="shared" si="1"/>
        <v>New Logo</v>
      </c>
      <c r="AG788" s="17" t="str">
        <f t="shared" si="2"/>
        <v>Customer</v>
      </c>
      <c r="AH788" s="17" t="str">
        <f t="shared" si="3"/>
        <v>201-500</v>
      </c>
      <c r="AI788" s="17" t="str">
        <f t="shared" si="4"/>
        <v>0-20</v>
      </c>
    </row>
    <row r="789" ht="15.75" customHeight="1">
      <c r="A789" s="13">
        <f>HYPERLINK("https://app.hubspot.com/contacts/8748051/record/0-3/14444380956", 14444380956)</f>
        <v>14444380956</v>
      </c>
      <c r="B789" s="14" t="s">
        <v>2588</v>
      </c>
      <c r="C789" s="14" t="s">
        <v>156</v>
      </c>
      <c r="D789" s="15">
        <v>1500.0</v>
      </c>
      <c r="E789" s="14" t="s">
        <v>89</v>
      </c>
      <c r="F789" s="14"/>
      <c r="G789" s="16">
        <v>45141.03943287037</v>
      </c>
      <c r="H789" s="16">
        <v>45122.03700231481</v>
      </c>
      <c r="I789" s="14" t="s">
        <v>39</v>
      </c>
      <c r="J789" s="14" t="s">
        <v>179</v>
      </c>
      <c r="K789" s="17"/>
      <c r="L789" s="14"/>
      <c r="M789" s="14" t="s">
        <v>98</v>
      </c>
      <c r="N789" s="14" t="s">
        <v>2589</v>
      </c>
      <c r="O789" s="14"/>
      <c r="P789" s="17"/>
      <c r="Q789" s="14"/>
      <c r="R789" s="13">
        <f>HYPERLINK("https://app.hubspot.com/contacts/8748051/record/0-2/8616793166", 8616793166)</f>
        <v>8616793166</v>
      </c>
      <c r="S789" s="14" t="s">
        <v>2590</v>
      </c>
      <c r="T789" s="18" t="s">
        <v>2591</v>
      </c>
      <c r="U789" s="14">
        <v>3.4564763E7</v>
      </c>
      <c r="V789" s="15">
        <v>24000.0</v>
      </c>
      <c r="W789" s="19">
        <v>124.0</v>
      </c>
      <c r="X789" s="19">
        <v>15.0</v>
      </c>
      <c r="Y789" s="20"/>
      <c r="Z789" s="20"/>
      <c r="AA789" s="21"/>
      <c r="AB789" s="20"/>
      <c r="AC789" s="20"/>
      <c r="AD789" s="20"/>
      <c r="AE789" s="20"/>
      <c r="AF789" s="17" t="str">
        <f t="shared" si="1"/>
        <v>Upsell</v>
      </c>
      <c r="AG789" s="17" t="str">
        <f t="shared" si="2"/>
        <v>Churn</v>
      </c>
      <c r="AH789" s="17" t="str">
        <f t="shared" si="3"/>
        <v>0-200</v>
      </c>
      <c r="AI789" s="17" t="str">
        <f t="shared" si="4"/>
        <v>0-20</v>
      </c>
    </row>
    <row r="790" ht="15.75" customHeight="1">
      <c r="A790" s="13">
        <f>HYPERLINK("https://app.hubspot.com/contacts/8748051/record/0-3/14307401474", 14307401474)</f>
        <v>14307401474</v>
      </c>
      <c r="B790" s="14" t="s">
        <v>2592</v>
      </c>
      <c r="C790" s="14" t="s">
        <v>1227</v>
      </c>
      <c r="D790" s="15">
        <v>17730.0</v>
      </c>
      <c r="E790" s="14" t="s">
        <v>89</v>
      </c>
      <c r="F790" s="14" t="s">
        <v>51</v>
      </c>
      <c r="G790" s="16">
        <v>45132.10444444444</v>
      </c>
      <c r="H790" s="16">
        <v>45288.33582175926</v>
      </c>
      <c r="I790" s="14" t="s">
        <v>39</v>
      </c>
      <c r="J790" s="14" t="s">
        <v>40</v>
      </c>
      <c r="K790" s="17"/>
      <c r="L790" s="14" t="s">
        <v>180</v>
      </c>
      <c r="M790" s="14" t="s">
        <v>98</v>
      </c>
      <c r="N790" s="14" t="s">
        <v>2593</v>
      </c>
      <c r="O790" s="14"/>
      <c r="P790" s="14"/>
      <c r="Q790" s="14"/>
      <c r="R790" s="13">
        <f>HYPERLINK("https://app.hubspot.com/contacts/8748051/record/0-2/8741221026", 8741221026)</f>
        <v>8741221026</v>
      </c>
      <c r="S790" s="14" t="s">
        <v>2594</v>
      </c>
      <c r="T790" s="18" t="s">
        <v>2595</v>
      </c>
      <c r="U790" s="14">
        <v>3.4564763E7</v>
      </c>
      <c r="V790" s="15">
        <v>17730.0</v>
      </c>
      <c r="W790" s="19">
        <v>1046.0</v>
      </c>
      <c r="X790" s="19">
        <v>140.0</v>
      </c>
      <c r="Y790" s="20"/>
      <c r="Z790" s="20" t="s">
        <v>163</v>
      </c>
      <c r="AA790" s="21"/>
      <c r="AB790" s="20" t="s">
        <v>267</v>
      </c>
      <c r="AC790" s="20" t="s">
        <v>2596</v>
      </c>
      <c r="AD790" s="20" t="s">
        <v>2597</v>
      </c>
      <c r="AE790" s="20" t="s">
        <v>209</v>
      </c>
      <c r="AF790" s="17" t="str">
        <f t="shared" si="1"/>
        <v>New Logo</v>
      </c>
      <c r="AG790" s="17" t="str">
        <f t="shared" si="2"/>
        <v>Churn</v>
      </c>
      <c r="AH790" s="17" t="str">
        <f t="shared" si="3"/>
        <v>1001-5000</v>
      </c>
      <c r="AI790" s="17" t="str">
        <f t="shared" si="4"/>
        <v>101-500</v>
      </c>
    </row>
    <row r="791" ht="15.75" customHeight="1">
      <c r="A791" s="13">
        <f>HYPERLINK("https://app.hubspot.com/contacts/8748051/record/0-3/14251916700", 14251916700)</f>
        <v>14251916700</v>
      </c>
      <c r="B791" s="14" t="s">
        <v>2598</v>
      </c>
      <c r="C791" s="14" t="s">
        <v>2304</v>
      </c>
      <c r="D791" s="15">
        <v>5040.0</v>
      </c>
      <c r="E791" s="14" t="s">
        <v>89</v>
      </c>
      <c r="F791" s="14" t="s">
        <v>51</v>
      </c>
      <c r="G791" s="16">
        <v>45127.56725694444</v>
      </c>
      <c r="H791" s="16">
        <v>45138.66439814815</v>
      </c>
      <c r="I791" s="14" t="s">
        <v>39</v>
      </c>
      <c r="J791" s="14" t="s">
        <v>40</v>
      </c>
      <c r="K791" s="17"/>
      <c r="L791" s="17"/>
      <c r="M791" s="14" t="s">
        <v>43</v>
      </c>
      <c r="N791" s="14" t="s">
        <v>2599</v>
      </c>
      <c r="O791" s="14"/>
      <c r="P791" s="14"/>
      <c r="Q791" s="14"/>
      <c r="R791" s="13">
        <f>HYPERLINK("https://app.hubspot.com/contacts/8748051/record/0-2/16376201758", 16376201758)</f>
        <v>16376201758</v>
      </c>
      <c r="S791" s="14" t="s">
        <v>2474</v>
      </c>
      <c r="T791" s="18" t="s">
        <v>2475</v>
      </c>
      <c r="U791" s="14">
        <v>3.4564763E7</v>
      </c>
      <c r="V791" s="15">
        <v>27965.0</v>
      </c>
      <c r="W791" s="19">
        <v>411.0</v>
      </c>
      <c r="X791" s="19">
        <v>36.0</v>
      </c>
      <c r="Y791" s="20"/>
      <c r="Z791" s="21"/>
      <c r="AA791" s="21"/>
      <c r="AB791" s="21"/>
      <c r="AC791" s="21"/>
      <c r="AD791" s="21"/>
      <c r="AE791" s="21"/>
      <c r="AF791" s="17" t="str">
        <f t="shared" si="1"/>
        <v>New Logo</v>
      </c>
      <c r="AG791" s="17" t="str">
        <f t="shared" si="2"/>
        <v>Churn</v>
      </c>
      <c r="AH791" s="17" t="str">
        <f t="shared" si="3"/>
        <v>201-500</v>
      </c>
      <c r="AI791" s="17" t="str">
        <f t="shared" si="4"/>
        <v>21-50</v>
      </c>
    </row>
    <row r="792" ht="15.75" customHeight="1">
      <c r="A792" s="13">
        <f>HYPERLINK("https://app.hubspot.com/contacts/8748051/record/0-3/14063920218", 14063920218)</f>
        <v>14063920218</v>
      </c>
      <c r="B792" s="14" t="s">
        <v>2600</v>
      </c>
      <c r="C792" s="14" t="s">
        <v>49</v>
      </c>
      <c r="D792" s="15">
        <v>100000.0</v>
      </c>
      <c r="E792" s="14" t="s">
        <v>118</v>
      </c>
      <c r="F792" s="14"/>
      <c r="G792" s="16">
        <v>45118.65894675926</v>
      </c>
      <c r="H792" s="16">
        <v>45289.65820601852</v>
      </c>
      <c r="I792" s="14" t="s">
        <v>39</v>
      </c>
      <c r="J792" s="14" t="s">
        <v>40</v>
      </c>
      <c r="K792" s="17"/>
      <c r="L792" s="17"/>
      <c r="M792" s="14" t="s">
        <v>43</v>
      </c>
      <c r="N792" s="14"/>
      <c r="O792" s="14"/>
      <c r="P792" s="14" t="s">
        <v>211</v>
      </c>
      <c r="Q792" s="14"/>
      <c r="R792" s="13">
        <f>HYPERLINK("https://app.hubspot.com/contacts/8748051/record/0-2/7781791666", 7781791666)</f>
        <v>7781791666</v>
      </c>
      <c r="S792" s="18" t="s">
        <v>2601</v>
      </c>
      <c r="T792" s="18" t="s">
        <v>2601</v>
      </c>
      <c r="U792" s="14" t="s">
        <v>46</v>
      </c>
      <c r="V792" s="15"/>
      <c r="W792" s="19">
        <v>3363.0</v>
      </c>
      <c r="X792" s="19">
        <v>436.0</v>
      </c>
      <c r="Y792" s="20" t="s">
        <v>371</v>
      </c>
      <c r="Z792" s="20"/>
      <c r="AA792" s="21"/>
      <c r="AB792" s="21"/>
      <c r="AC792" s="20"/>
      <c r="AD792" s="20"/>
      <c r="AE792" s="20"/>
      <c r="AF792" s="17" t="str">
        <f t="shared" si="1"/>
        <v>New Logo</v>
      </c>
      <c r="AG792" s="17" t="str">
        <f t="shared" si="2"/>
        <v>Lead</v>
      </c>
      <c r="AH792" s="17" t="str">
        <f t="shared" si="3"/>
        <v>1001-5000</v>
      </c>
      <c r="AI792" s="17" t="str">
        <f t="shared" si="4"/>
        <v>101-500</v>
      </c>
    </row>
    <row r="793" ht="15.75" customHeight="1">
      <c r="A793" s="13">
        <f>HYPERLINK("https://app.hubspot.com/contacts/8748051/record/0-3/13982376552", 13982376552)</f>
        <v>13982376552</v>
      </c>
      <c r="B793" s="14" t="s">
        <v>2602</v>
      </c>
      <c r="C793" s="14" t="s">
        <v>37</v>
      </c>
      <c r="D793" s="15">
        <v>30000.0</v>
      </c>
      <c r="E793" s="14" t="s">
        <v>118</v>
      </c>
      <c r="F793" s="14"/>
      <c r="G793" s="16">
        <v>45112.626493055555</v>
      </c>
      <c r="H793" s="16">
        <v>45261.624756944446</v>
      </c>
      <c r="I793" s="14" t="s">
        <v>39</v>
      </c>
      <c r="J793" s="14" t="s">
        <v>40</v>
      </c>
      <c r="K793" s="14"/>
      <c r="L793" s="14"/>
      <c r="M793" s="14" t="s">
        <v>43</v>
      </c>
      <c r="N793" s="14"/>
      <c r="O793" s="14"/>
      <c r="P793" s="14" t="s">
        <v>119</v>
      </c>
      <c r="Q793" s="14"/>
      <c r="R793" s="13">
        <f>HYPERLINK("https://app.hubspot.com/contacts/8748051/record/0-2/14811052928", 14811052928)</f>
        <v>14811052928</v>
      </c>
      <c r="S793" s="14" t="s">
        <v>2603</v>
      </c>
      <c r="T793" s="18" t="s">
        <v>2604</v>
      </c>
      <c r="U793" s="14" t="s">
        <v>46</v>
      </c>
      <c r="V793" s="15"/>
      <c r="W793" s="19">
        <v>1969.0</v>
      </c>
      <c r="X793" s="19">
        <v>157.0</v>
      </c>
      <c r="Y793" s="20"/>
      <c r="Z793" s="20"/>
      <c r="AA793" s="20"/>
      <c r="AB793" s="20"/>
      <c r="AC793" s="20"/>
      <c r="AD793" s="20"/>
      <c r="AE793" s="20"/>
      <c r="AF793" s="17" t="str">
        <f t="shared" si="1"/>
        <v>New Logo</v>
      </c>
      <c r="AG793" s="17" t="str">
        <f t="shared" si="2"/>
        <v>Lead</v>
      </c>
      <c r="AH793" s="17" t="str">
        <f t="shared" si="3"/>
        <v>1001-5000</v>
      </c>
      <c r="AI793" s="17" t="str">
        <f t="shared" si="4"/>
        <v>101-500</v>
      </c>
    </row>
    <row r="794" ht="15.75" customHeight="1">
      <c r="A794" s="13">
        <f>HYPERLINK("https://app.hubspot.com/contacts/8748051/record/0-3/13885015156", 13885015156)</f>
        <v>13885015156</v>
      </c>
      <c r="B794" s="14" t="s">
        <v>2605</v>
      </c>
      <c r="C794" s="14" t="s">
        <v>145</v>
      </c>
      <c r="D794" s="15">
        <v>30000.0</v>
      </c>
      <c r="E794" s="14" t="s">
        <v>146</v>
      </c>
      <c r="F794" s="14" t="s">
        <v>51</v>
      </c>
      <c r="G794" s="16">
        <v>45104.47423611111</v>
      </c>
      <c r="H794" s="16">
        <v>45176.348275462966</v>
      </c>
      <c r="I794" s="14" t="s">
        <v>39</v>
      </c>
      <c r="J794" s="14" t="s">
        <v>40</v>
      </c>
      <c r="K794" s="14"/>
      <c r="L794" s="14"/>
      <c r="M794" s="14" t="s">
        <v>72</v>
      </c>
      <c r="N794" s="14"/>
      <c r="O794" s="14" t="s">
        <v>2606</v>
      </c>
      <c r="P794" s="17"/>
      <c r="Q794" s="14"/>
      <c r="R794" s="13">
        <f>HYPERLINK("https://app.hubspot.com/contacts/8748051/record/0-2/9132230811", 9132230811)</f>
        <v>9132230811</v>
      </c>
      <c r="S794" s="14" t="s">
        <v>2607</v>
      </c>
      <c r="T794" s="18" t="s">
        <v>2608</v>
      </c>
      <c r="U794" s="14" t="s">
        <v>46</v>
      </c>
      <c r="V794" s="15"/>
      <c r="W794" s="19">
        <v>515.0</v>
      </c>
      <c r="X794" s="19">
        <v>70.0</v>
      </c>
      <c r="Y794" s="20" t="s">
        <v>104</v>
      </c>
      <c r="Z794" s="20"/>
      <c r="AA794" s="20"/>
      <c r="AB794" s="20"/>
      <c r="AC794" s="20"/>
      <c r="AD794" s="20"/>
      <c r="AE794" s="20"/>
      <c r="AF794" s="17" t="str">
        <f t="shared" si="1"/>
        <v>New Logo</v>
      </c>
      <c r="AG794" s="17" t="str">
        <f t="shared" si="2"/>
        <v>Lead</v>
      </c>
      <c r="AH794" s="17" t="str">
        <f t="shared" si="3"/>
        <v>501-1000</v>
      </c>
      <c r="AI794" s="17" t="str">
        <f t="shared" si="4"/>
        <v>51-100</v>
      </c>
    </row>
    <row r="795" ht="15.75" customHeight="1">
      <c r="A795" s="13">
        <f>HYPERLINK("https://app.hubspot.com/contacts/8748051/record/0-3/13714325510", 13714325510)</f>
        <v>13714325510</v>
      </c>
      <c r="B795" s="14" t="s">
        <v>2609</v>
      </c>
      <c r="C795" s="14" t="s">
        <v>145</v>
      </c>
      <c r="D795" s="15">
        <v>20000.0</v>
      </c>
      <c r="E795" s="14" t="s">
        <v>89</v>
      </c>
      <c r="F795" s="14" t="s">
        <v>51</v>
      </c>
      <c r="G795" s="16">
        <v>45091.76572916667</v>
      </c>
      <c r="H795" s="16">
        <v>45596.73302083334</v>
      </c>
      <c r="I795" s="14" t="s">
        <v>39</v>
      </c>
      <c r="J795" s="14" t="s">
        <v>40</v>
      </c>
      <c r="K795" s="14" t="s">
        <v>59</v>
      </c>
      <c r="L795" s="14" t="s">
        <v>180</v>
      </c>
      <c r="M795" s="14" t="s">
        <v>43</v>
      </c>
      <c r="N795" s="14" t="s">
        <v>2610</v>
      </c>
      <c r="O795" s="14"/>
      <c r="P795" s="17"/>
      <c r="Q795" s="14"/>
      <c r="R795" s="13">
        <f>HYPERLINK("https://app.hubspot.com/contacts/8748051/record/0-2/15823033951", 15823033951)</f>
        <v>15823033951</v>
      </c>
      <c r="S795" s="14" t="s">
        <v>581</v>
      </c>
      <c r="T795" s="18" t="s">
        <v>582</v>
      </c>
      <c r="U795" s="14" t="s">
        <v>93</v>
      </c>
      <c r="V795" s="15">
        <v>20500.0</v>
      </c>
      <c r="W795" s="19">
        <v>175.0</v>
      </c>
      <c r="X795" s="19">
        <v>27.0</v>
      </c>
      <c r="Y795" s="20"/>
      <c r="Z795" s="20" t="s">
        <v>184</v>
      </c>
      <c r="AA795" s="20" t="s">
        <v>205</v>
      </c>
      <c r="AB795" s="20" t="s">
        <v>460</v>
      </c>
      <c r="AC795" s="20" t="s">
        <v>583</v>
      </c>
      <c r="AD795" s="20" t="s">
        <v>584</v>
      </c>
      <c r="AE795" s="20" t="s">
        <v>585</v>
      </c>
      <c r="AF795" s="17" t="str">
        <f t="shared" si="1"/>
        <v>New Logo</v>
      </c>
      <c r="AG795" s="17" t="str">
        <f t="shared" si="2"/>
        <v>Customer</v>
      </c>
      <c r="AH795" s="17" t="str">
        <f t="shared" si="3"/>
        <v>0-200</v>
      </c>
      <c r="AI795" s="17" t="str">
        <f t="shared" si="4"/>
        <v>21-50</v>
      </c>
    </row>
    <row r="796" ht="15.75" customHeight="1">
      <c r="A796" s="13">
        <f>HYPERLINK("https://app.hubspot.com/contacts/8748051/record/0-3/13685793899", 13685793899)</f>
        <v>13685793899</v>
      </c>
      <c r="B796" s="14" t="s">
        <v>1374</v>
      </c>
      <c r="C796" s="14" t="s">
        <v>1227</v>
      </c>
      <c r="D796" s="15">
        <v>15000.0</v>
      </c>
      <c r="E796" s="14" t="s">
        <v>124</v>
      </c>
      <c r="F796" s="14" t="s">
        <v>51</v>
      </c>
      <c r="G796" s="16">
        <v>45090.085694444446</v>
      </c>
      <c r="H796" s="16">
        <v>45322.34017361111</v>
      </c>
      <c r="I796" s="14" t="s">
        <v>39</v>
      </c>
      <c r="J796" s="14" t="s">
        <v>40</v>
      </c>
      <c r="K796" s="17"/>
      <c r="L796" s="17"/>
      <c r="M796" s="14" t="s">
        <v>98</v>
      </c>
      <c r="N796" s="14"/>
      <c r="O796" s="14"/>
      <c r="P796" s="14"/>
      <c r="Q796" s="14" t="s">
        <v>195</v>
      </c>
      <c r="R796" s="13">
        <f>HYPERLINK("https://app.hubspot.com/contacts/8748051/record/0-2/9132283033", 9132283033)</f>
        <v>9132283033</v>
      </c>
      <c r="S796" s="14" t="s">
        <v>223</v>
      </c>
      <c r="T796" s="18" t="s">
        <v>224</v>
      </c>
      <c r="U796" s="14" t="s">
        <v>93</v>
      </c>
      <c r="V796" s="15">
        <v>7998.0</v>
      </c>
      <c r="W796" s="19">
        <v>1573.0</v>
      </c>
      <c r="X796" s="19">
        <v>43.0</v>
      </c>
      <c r="Y796" s="20"/>
      <c r="Z796" s="20" t="s">
        <v>218</v>
      </c>
      <c r="AA796" s="21"/>
      <c r="AB796" s="21"/>
      <c r="AC796" s="20" t="s">
        <v>219</v>
      </c>
      <c r="AD796" s="20" t="s">
        <v>225</v>
      </c>
      <c r="AE796" s="20" t="s">
        <v>166</v>
      </c>
      <c r="AF796" s="17" t="str">
        <f t="shared" si="1"/>
        <v>New Logo</v>
      </c>
      <c r="AG796" s="17" t="str">
        <f t="shared" si="2"/>
        <v>Customer</v>
      </c>
      <c r="AH796" s="17" t="str">
        <f t="shared" si="3"/>
        <v>1001-5000</v>
      </c>
      <c r="AI796" s="17" t="str">
        <f t="shared" si="4"/>
        <v>21-50</v>
      </c>
    </row>
    <row r="797" ht="15.75" customHeight="1">
      <c r="A797" s="13">
        <f>HYPERLINK("https://app.hubspot.com/contacts/8748051/record/0-3/13445670982", 13445670982)</f>
        <v>13445670982</v>
      </c>
      <c r="B797" s="14" t="s">
        <v>2611</v>
      </c>
      <c r="C797" s="14" t="s">
        <v>1008</v>
      </c>
      <c r="D797" s="15">
        <v>82500.0</v>
      </c>
      <c r="E797" s="14" t="s">
        <v>124</v>
      </c>
      <c r="F797" s="14" t="s">
        <v>51</v>
      </c>
      <c r="G797" s="16">
        <v>45071.48939814815</v>
      </c>
      <c r="H797" s="16">
        <v>45504.425520833334</v>
      </c>
      <c r="I797" s="14" t="s">
        <v>39</v>
      </c>
      <c r="J797" s="14" t="s">
        <v>40</v>
      </c>
      <c r="K797" s="14"/>
      <c r="L797" s="14"/>
      <c r="M797" s="14" t="s">
        <v>43</v>
      </c>
      <c r="N797" s="14"/>
      <c r="O797" s="14"/>
      <c r="P797" s="14"/>
      <c r="Q797" s="14" t="s">
        <v>141</v>
      </c>
      <c r="R797" s="13">
        <f>HYPERLINK("https://app.hubspot.com/contacts/8748051/record/0-2/9183858956", 9183858956)</f>
        <v>9183858956</v>
      </c>
      <c r="S797" s="14" t="s">
        <v>2612</v>
      </c>
      <c r="T797" s="18" t="s">
        <v>2613</v>
      </c>
      <c r="U797" s="14" t="s">
        <v>46</v>
      </c>
      <c r="V797" s="15"/>
      <c r="W797" s="19">
        <v>4262.0</v>
      </c>
      <c r="X797" s="19">
        <v>182.0</v>
      </c>
      <c r="Y797" s="20" t="s">
        <v>2614</v>
      </c>
      <c r="Z797" s="20"/>
      <c r="AA797" s="21"/>
      <c r="AB797" s="21"/>
      <c r="AC797" s="20"/>
      <c r="AD797" s="21"/>
      <c r="AE797" s="20"/>
      <c r="AF797" s="17" t="str">
        <f t="shared" si="1"/>
        <v>New Logo</v>
      </c>
      <c r="AG797" s="17" t="str">
        <f t="shared" si="2"/>
        <v>Lead</v>
      </c>
      <c r="AH797" s="17" t="str">
        <f t="shared" si="3"/>
        <v>1001-5000</v>
      </c>
      <c r="AI797" s="17" t="str">
        <f t="shared" si="4"/>
        <v>101-500</v>
      </c>
    </row>
    <row r="798" ht="15.75" customHeight="1">
      <c r="A798" s="13">
        <f>HYPERLINK("https://app.hubspot.com/contacts/8748051/record/0-3/13366231134", 13366231134)</f>
        <v>13366231134</v>
      </c>
      <c r="B798" s="14" t="s">
        <v>2615</v>
      </c>
      <c r="C798" s="14" t="s">
        <v>1008</v>
      </c>
      <c r="D798" s="15">
        <v>17280.0</v>
      </c>
      <c r="E798" s="14" t="s">
        <v>146</v>
      </c>
      <c r="F798" s="14" t="s">
        <v>51</v>
      </c>
      <c r="G798" s="16">
        <v>45063.38290509259</v>
      </c>
      <c r="H798" s="16">
        <v>45222.40180555556</v>
      </c>
      <c r="I798" s="14" t="s">
        <v>39</v>
      </c>
      <c r="J798" s="14" t="s">
        <v>40</v>
      </c>
      <c r="K798" s="14"/>
      <c r="L798" s="14"/>
      <c r="M798" s="14" t="s">
        <v>43</v>
      </c>
      <c r="N798" s="14"/>
      <c r="O798" s="14" t="s">
        <v>2616</v>
      </c>
      <c r="P798" s="17"/>
      <c r="Q798" s="14"/>
      <c r="R798" s="13">
        <f>HYPERLINK("https://app.hubspot.com/contacts/8748051/record/0-2/15345840543", 15345840543)</f>
        <v>15345840543</v>
      </c>
      <c r="S798" s="14" t="s">
        <v>2617</v>
      </c>
      <c r="T798" s="18" t="s">
        <v>2618</v>
      </c>
      <c r="U798" s="14" t="s">
        <v>46</v>
      </c>
      <c r="V798" s="15"/>
      <c r="W798" s="19">
        <v>47.0</v>
      </c>
      <c r="X798" s="19">
        <v>8.0</v>
      </c>
      <c r="Y798" s="20"/>
      <c r="Z798" s="20"/>
      <c r="AA798" s="21"/>
      <c r="AB798" s="21"/>
      <c r="AC798" s="20"/>
      <c r="AD798" s="20"/>
      <c r="AE798" s="20"/>
      <c r="AF798" s="17" t="str">
        <f t="shared" si="1"/>
        <v>New Logo</v>
      </c>
      <c r="AG798" s="17" t="str">
        <f t="shared" si="2"/>
        <v>Lead</v>
      </c>
      <c r="AH798" s="17" t="str">
        <f t="shared" si="3"/>
        <v>0-200</v>
      </c>
      <c r="AI798" s="17" t="str">
        <f t="shared" si="4"/>
        <v>0-20</v>
      </c>
    </row>
    <row r="799" ht="15.75" customHeight="1">
      <c r="A799" s="13">
        <f>HYPERLINK("https://app.hubspot.com/contacts/8748051/record/0-3/13240819320", 13240819320)</f>
        <v>13240819320</v>
      </c>
      <c r="B799" s="14" t="s">
        <v>2619</v>
      </c>
      <c r="C799" s="14" t="s">
        <v>1008</v>
      </c>
      <c r="D799" s="15">
        <v>15000.0</v>
      </c>
      <c r="E799" s="14" t="s">
        <v>146</v>
      </c>
      <c r="F799" s="14" t="s">
        <v>51</v>
      </c>
      <c r="G799" s="16">
        <v>45051.306493055556</v>
      </c>
      <c r="H799" s="16">
        <v>45120.103483796294</v>
      </c>
      <c r="I799" s="14" t="s">
        <v>39</v>
      </c>
      <c r="J799" s="14" t="s">
        <v>52</v>
      </c>
      <c r="K799" s="17"/>
      <c r="L799" s="17"/>
      <c r="M799" s="14" t="s">
        <v>72</v>
      </c>
      <c r="N799" s="17"/>
      <c r="O799" s="14" t="s">
        <v>1464</v>
      </c>
      <c r="P799" s="17"/>
      <c r="Q799" s="14"/>
      <c r="R799" s="13">
        <f>HYPERLINK("https://app.hubspot.com/contacts/8748051/record/0-2/10198123849", 10198123849)</f>
        <v>10198123849</v>
      </c>
      <c r="S799" s="14" t="s">
        <v>2620</v>
      </c>
      <c r="T799" s="18" t="s">
        <v>2621</v>
      </c>
      <c r="U799" s="14" t="s">
        <v>46</v>
      </c>
      <c r="V799" s="22"/>
      <c r="W799" s="19">
        <v>305.0</v>
      </c>
      <c r="X799" s="19">
        <v>74.0</v>
      </c>
      <c r="Y799" s="20"/>
      <c r="Z799" s="21"/>
      <c r="AA799" s="21"/>
      <c r="AB799" s="21"/>
      <c r="AC799" s="21"/>
      <c r="AD799" s="21"/>
      <c r="AE799" s="21"/>
      <c r="AF799" s="17" t="str">
        <f t="shared" si="1"/>
        <v>New Logo</v>
      </c>
      <c r="AG799" s="17" t="str">
        <f t="shared" si="2"/>
        <v>Lead</v>
      </c>
      <c r="AH799" s="17" t="str">
        <f t="shared" si="3"/>
        <v>201-500</v>
      </c>
      <c r="AI799" s="17" t="str">
        <f t="shared" si="4"/>
        <v>51-100</v>
      </c>
    </row>
    <row r="800" ht="15.75" customHeight="1">
      <c r="A800" s="13">
        <f>HYPERLINK("https://app.hubspot.com/contacts/8748051/record/0-3/13240413296", 13240413296)</f>
        <v>13240413296</v>
      </c>
      <c r="B800" s="14" t="s">
        <v>2622</v>
      </c>
      <c r="C800" s="14" t="s">
        <v>145</v>
      </c>
      <c r="D800" s="15">
        <v>9000.0</v>
      </c>
      <c r="E800" s="14" t="s">
        <v>146</v>
      </c>
      <c r="F800" s="14" t="s">
        <v>51</v>
      </c>
      <c r="G800" s="16">
        <v>45051.305081018516</v>
      </c>
      <c r="H800" s="16">
        <v>45120.10391203704</v>
      </c>
      <c r="I800" s="14" t="s">
        <v>39</v>
      </c>
      <c r="J800" s="14" t="s">
        <v>52</v>
      </c>
      <c r="K800" s="17"/>
      <c r="L800" s="17"/>
      <c r="M800" s="14" t="s">
        <v>98</v>
      </c>
      <c r="N800" s="14"/>
      <c r="O800" s="14" t="s">
        <v>2623</v>
      </c>
      <c r="P800" s="17"/>
      <c r="Q800" s="14"/>
      <c r="R800" s="13">
        <f>HYPERLINK("https://app.hubspot.com/contacts/8748051/record/0-2/7946436488", 7946436488)</f>
        <v>7946436488</v>
      </c>
      <c r="S800" s="14" t="s">
        <v>2624</v>
      </c>
      <c r="T800" s="18" t="s">
        <v>2625</v>
      </c>
      <c r="U800" s="14" t="s">
        <v>46</v>
      </c>
      <c r="V800" s="15"/>
      <c r="W800" s="19">
        <v>226.0</v>
      </c>
      <c r="X800" s="19">
        <v>25.0</v>
      </c>
      <c r="Y800" s="20"/>
      <c r="Z800" s="20"/>
      <c r="AA800" s="21"/>
      <c r="AB800" s="21"/>
      <c r="AC800" s="20"/>
      <c r="AD800" s="20"/>
      <c r="AE800" s="20"/>
      <c r="AF800" s="17" t="str">
        <f t="shared" si="1"/>
        <v>New Logo</v>
      </c>
      <c r="AG800" s="17" t="str">
        <f t="shared" si="2"/>
        <v>Lead</v>
      </c>
      <c r="AH800" s="17" t="str">
        <f t="shared" si="3"/>
        <v>201-500</v>
      </c>
      <c r="AI800" s="17" t="str">
        <f t="shared" si="4"/>
        <v>21-50</v>
      </c>
    </row>
    <row r="801" ht="15.75" customHeight="1">
      <c r="A801" s="13">
        <f>HYPERLINK("https://app.hubspot.com/contacts/8748051/record/0-3/13169390936", 13169390936)</f>
        <v>13169390936</v>
      </c>
      <c r="B801" s="14" t="s">
        <v>2626</v>
      </c>
      <c r="C801" s="14" t="s">
        <v>1008</v>
      </c>
      <c r="D801" s="15">
        <v>9000.0</v>
      </c>
      <c r="E801" s="14" t="s">
        <v>124</v>
      </c>
      <c r="F801" s="14"/>
      <c r="G801" s="16">
        <v>45044.2784375</v>
      </c>
      <c r="H801" s="16">
        <v>45230.277962962966</v>
      </c>
      <c r="I801" s="14" t="s">
        <v>39</v>
      </c>
      <c r="J801" s="14" t="s">
        <v>40</v>
      </c>
      <c r="K801" s="14"/>
      <c r="L801" s="14"/>
      <c r="M801" s="14" t="s">
        <v>72</v>
      </c>
      <c r="N801" s="14"/>
      <c r="O801" s="14"/>
      <c r="P801" s="17"/>
      <c r="Q801" s="14" t="s">
        <v>141</v>
      </c>
      <c r="R801" s="13">
        <f>HYPERLINK("https://app.hubspot.com/contacts/8748051/record/0-2/14981052460", 14981052460)</f>
        <v>14981052460</v>
      </c>
      <c r="S801" s="14" t="s">
        <v>2627</v>
      </c>
      <c r="T801" s="18" t="s">
        <v>2628</v>
      </c>
      <c r="U801" s="14" t="s">
        <v>46</v>
      </c>
      <c r="V801" s="15"/>
      <c r="W801" s="19">
        <v>108.0</v>
      </c>
      <c r="X801" s="19">
        <v>12.0</v>
      </c>
      <c r="Y801" s="20"/>
      <c r="Z801" s="20"/>
      <c r="AA801" s="20"/>
      <c r="AB801" s="21"/>
      <c r="AC801" s="20"/>
      <c r="AD801" s="21"/>
      <c r="AE801" s="20"/>
      <c r="AF801" s="17" t="str">
        <f t="shared" si="1"/>
        <v>New Logo</v>
      </c>
      <c r="AG801" s="17" t="str">
        <f t="shared" si="2"/>
        <v>Lead</v>
      </c>
      <c r="AH801" s="17" t="str">
        <f t="shared" si="3"/>
        <v>0-200</v>
      </c>
      <c r="AI801" s="17" t="str">
        <f t="shared" si="4"/>
        <v>0-20</v>
      </c>
    </row>
    <row r="802" ht="15.75" customHeight="1">
      <c r="A802" s="13">
        <f>HYPERLINK("https://app.hubspot.com/contacts/8748051/record/0-3/13133630903", 13133630903)</f>
        <v>13133630903</v>
      </c>
      <c r="B802" s="14" t="s">
        <v>2629</v>
      </c>
      <c r="C802" s="14" t="s">
        <v>156</v>
      </c>
      <c r="D802" s="15">
        <v>4500.0</v>
      </c>
      <c r="E802" s="14" t="s">
        <v>89</v>
      </c>
      <c r="F802" s="14"/>
      <c r="G802" s="16">
        <v>45041.29372685185</v>
      </c>
      <c r="H802" s="16">
        <v>45032.56796296296</v>
      </c>
      <c r="I802" s="14" t="s">
        <v>39</v>
      </c>
      <c r="J802" s="14" t="s">
        <v>179</v>
      </c>
      <c r="K802" s="17"/>
      <c r="L802" s="17"/>
      <c r="M802" s="14" t="s">
        <v>43</v>
      </c>
      <c r="N802" s="14" t="s">
        <v>2630</v>
      </c>
      <c r="O802" s="14"/>
      <c r="P802" s="14"/>
      <c r="Q802" s="14"/>
      <c r="R802" s="13">
        <f>HYPERLINK("https://app.hubspot.com/contacts/8748051/record/0-2/6968305783", 6968305783)</f>
        <v>6968305783</v>
      </c>
      <c r="S802" s="14" t="s">
        <v>2631</v>
      </c>
      <c r="T802" s="18" t="s">
        <v>2632</v>
      </c>
      <c r="U802" s="14">
        <v>3.4564763E7</v>
      </c>
      <c r="V802" s="15">
        <v>12000.0</v>
      </c>
      <c r="W802" s="19">
        <v>312.0</v>
      </c>
      <c r="X802" s="19">
        <v>26.0</v>
      </c>
      <c r="Y802" s="20"/>
      <c r="Z802" s="20"/>
      <c r="AA802" s="21"/>
      <c r="AB802" s="21"/>
      <c r="AC802" s="20"/>
      <c r="AD802" s="21"/>
      <c r="AE802" s="20"/>
      <c r="AF802" s="17" t="str">
        <f t="shared" si="1"/>
        <v>Upsell</v>
      </c>
      <c r="AG802" s="17" t="str">
        <f t="shared" si="2"/>
        <v>Churn</v>
      </c>
      <c r="AH802" s="17" t="str">
        <f t="shared" si="3"/>
        <v>201-500</v>
      </c>
      <c r="AI802" s="17" t="str">
        <f t="shared" si="4"/>
        <v>21-50</v>
      </c>
    </row>
    <row r="803" ht="15.75" customHeight="1">
      <c r="A803" s="13">
        <f>HYPERLINK("https://app.hubspot.com/contacts/8748051/record/0-3/13069403672", 13069403672)</f>
        <v>13069403672</v>
      </c>
      <c r="B803" s="14" t="s">
        <v>2633</v>
      </c>
      <c r="C803" s="14" t="s">
        <v>37</v>
      </c>
      <c r="D803" s="15">
        <v>30000.0</v>
      </c>
      <c r="E803" s="14" t="s">
        <v>124</v>
      </c>
      <c r="F803" s="14" t="s">
        <v>51</v>
      </c>
      <c r="G803" s="16">
        <v>45036.332824074074</v>
      </c>
      <c r="H803" s="16">
        <v>45504.002175925925</v>
      </c>
      <c r="I803" s="14" t="s">
        <v>39</v>
      </c>
      <c r="J803" s="14" t="s">
        <v>40</v>
      </c>
      <c r="K803" s="14"/>
      <c r="L803" s="14"/>
      <c r="M803" s="14" t="s">
        <v>43</v>
      </c>
      <c r="N803" s="14"/>
      <c r="O803" s="14"/>
      <c r="P803" s="14"/>
      <c r="Q803" s="14" t="s">
        <v>373</v>
      </c>
      <c r="R803" s="13">
        <f>HYPERLINK("https://app.hubspot.com/contacts/8748051/record/0-2/9092869730", 9092869730)</f>
        <v>9092869730</v>
      </c>
      <c r="S803" s="14" t="s">
        <v>2634</v>
      </c>
      <c r="T803" s="18" t="s">
        <v>2635</v>
      </c>
      <c r="U803" s="14" t="s">
        <v>46</v>
      </c>
      <c r="V803" s="15"/>
      <c r="W803" s="19">
        <v>1141.0</v>
      </c>
      <c r="X803" s="19">
        <v>304.0</v>
      </c>
      <c r="Y803" s="20" t="s">
        <v>104</v>
      </c>
      <c r="Z803" s="20"/>
      <c r="AA803" s="20"/>
      <c r="AB803" s="21"/>
      <c r="AC803" s="20"/>
      <c r="AD803" s="21"/>
      <c r="AE803" s="20"/>
      <c r="AF803" s="17" t="str">
        <f t="shared" si="1"/>
        <v>New Logo</v>
      </c>
      <c r="AG803" s="17" t="str">
        <f t="shared" si="2"/>
        <v>Lead</v>
      </c>
      <c r="AH803" s="17" t="str">
        <f t="shared" si="3"/>
        <v>1001-5000</v>
      </c>
      <c r="AI803" s="17" t="str">
        <f t="shared" si="4"/>
        <v>101-500</v>
      </c>
    </row>
    <row r="804" ht="15.75" customHeight="1">
      <c r="A804" s="13">
        <f>HYPERLINK("https://app.hubspot.com/contacts/8748051/record/0-3/12970621556", 12970621556)</f>
        <v>12970621556</v>
      </c>
      <c r="B804" s="14" t="s">
        <v>2636</v>
      </c>
      <c r="C804" s="14" t="s">
        <v>1227</v>
      </c>
      <c r="D804" s="15">
        <v>13500.0</v>
      </c>
      <c r="E804" s="14" t="s">
        <v>89</v>
      </c>
      <c r="F804" s="14" t="s">
        <v>51</v>
      </c>
      <c r="G804" s="16">
        <v>45029.41174768518</v>
      </c>
      <c r="H804" s="16">
        <v>45138.34447916667</v>
      </c>
      <c r="I804" s="14" t="s">
        <v>39</v>
      </c>
      <c r="J804" s="14" t="s">
        <v>40</v>
      </c>
      <c r="K804" s="17"/>
      <c r="L804" s="17"/>
      <c r="M804" s="14" t="s">
        <v>98</v>
      </c>
      <c r="N804" s="14" t="s">
        <v>2637</v>
      </c>
      <c r="O804" s="14"/>
      <c r="P804" s="14"/>
      <c r="Q804" s="14"/>
      <c r="R804" s="13">
        <f>HYPERLINK("https://app.hubspot.com/contacts/8748051/record/0-2/9781558177", 9781558177)</f>
        <v>9781558177</v>
      </c>
      <c r="S804" s="14" t="s">
        <v>863</v>
      </c>
      <c r="T804" s="18" t="s">
        <v>864</v>
      </c>
      <c r="U804" s="14" t="s">
        <v>93</v>
      </c>
      <c r="V804" s="15">
        <v>21840.0</v>
      </c>
      <c r="W804" s="19">
        <v>221.0</v>
      </c>
      <c r="X804" s="19">
        <v>17.0</v>
      </c>
      <c r="Y804" s="20"/>
      <c r="Z804" s="20" t="s">
        <v>218</v>
      </c>
      <c r="AA804" s="20"/>
      <c r="AB804" s="21"/>
      <c r="AC804" s="20" t="s">
        <v>865</v>
      </c>
      <c r="AD804" s="20"/>
      <c r="AE804" s="20" t="s">
        <v>166</v>
      </c>
      <c r="AF804" s="17" t="str">
        <f t="shared" si="1"/>
        <v>New Logo</v>
      </c>
      <c r="AG804" s="17" t="str">
        <f t="shared" si="2"/>
        <v>Customer</v>
      </c>
      <c r="AH804" s="17" t="str">
        <f t="shared" si="3"/>
        <v>201-500</v>
      </c>
      <c r="AI804" s="17" t="str">
        <f t="shared" si="4"/>
        <v>0-20</v>
      </c>
    </row>
    <row r="805" ht="15.75" customHeight="1">
      <c r="A805" s="13">
        <f>HYPERLINK("https://app.hubspot.com/contacts/8748051/record/0-3/12970621013", 12970621013)</f>
        <v>12970621013</v>
      </c>
      <c r="B805" s="14" t="s">
        <v>2638</v>
      </c>
      <c r="C805" s="14" t="s">
        <v>1227</v>
      </c>
      <c r="D805" s="15">
        <v>6500.0</v>
      </c>
      <c r="E805" s="14" t="s">
        <v>89</v>
      </c>
      <c r="F805" s="14" t="s">
        <v>51</v>
      </c>
      <c r="G805" s="16">
        <v>45029.40939814815</v>
      </c>
      <c r="H805" s="16">
        <v>45058.439363425925</v>
      </c>
      <c r="I805" s="14" t="s">
        <v>39</v>
      </c>
      <c r="J805" s="14" t="s">
        <v>40</v>
      </c>
      <c r="K805" s="17"/>
      <c r="L805" s="17"/>
      <c r="M805" s="14" t="s">
        <v>98</v>
      </c>
      <c r="N805" s="14" t="s">
        <v>2639</v>
      </c>
      <c r="O805" s="14"/>
      <c r="P805" s="17"/>
      <c r="Q805" s="14"/>
      <c r="R805" s="13">
        <f>HYPERLINK("https://app.hubspot.com/contacts/8748051/record/0-2/15326901028", 15326901028)</f>
        <v>15326901028</v>
      </c>
      <c r="S805" s="14" t="s">
        <v>2640</v>
      </c>
      <c r="T805" s="18" t="s">
        <v>2641</v>
      </c>
      <c r="U805" s="14" t="s">
        <v>93</v>
      </c>
      <c r="V805" s="15">
        <v>6500.0</v>
      </c>
      <c r="W805" s="19">
        <v>461.0</v>
      </c>
      <c r="X805" s="19">
        <v>16.0</v>
      </c>
      <c r="Y805" s="20"/>
      <c r="Z805" s="20" t="s">
        <v>191</v>
      </c>
      <c r="AA805" s="20"/>
      <c r="AB805" s="21"/>
      <c r="AC805" s="20" t="s">
        <v>2642</v>
      </c>
      <c r="AD805" s="20"/>
      <c r="AE805" s="20" t="s">
        <v>166</v>
      </c>
      <c r="AF805" s="17" t="str">
        <f t="shared" si="1"/>
        <v>New Logo</v>
      </c>
      <c r="AG805" s="17" t="str">
        <f t="shared" si="2"/>
        <v>Customer</v>
      </c>
      <c r="AH805" s="17" t="str">
        <f t="shared" si="3"/>
        <v>201-500</v>
      </c>
      <c r="AI805" s="17" t="str">
        <f t="shared" si="4"/>
        <v>0-20</v>
      </c>
    </row>
    <row r="806" ht="15.75" customHeight="1">
      <c r="A806" s="13">
        <f>HYPERLINK("https://app.hubspot.com/contacts/8748051/record/0-3/12951906110", 12951906110)</f>
        <v>12951906110</v>
      </c>
      <c r="B806" s="14" t="s">
        <v>2643</v>
      </c>
      <c r="C806" s="14" t="s">
        <v>37</v>
      </c>
      <c r="D806" s="15">
        <v>30000.0</v>
      </c>
      <c r="E806" s="14" t="s">
        <v>124</v>
      </c>
      <c r="F806" s="14" t="s">
        <v>51</v>
      </c>
      <c r="G806" s="16">
        <v>45028.46462962963</v>
      </c>
      <c r="H806" s="16">
        <v>45380.419907407406</v>
      </c>
      <c r="I806" s="14" t="s">
        <v>39</v>
      </c>
      <c r="J806" s="14" t="s">
        <v>40</v>
      </c>
      <c r="K806" s="17"/>
      <c r="L806" s="17"/>
      <c r="M806" s="14" t="s">
        <v>43</v>
      </c>
      <c r="N806" s="14"/>
      <c r="O806" s="14"/>
      <c r="P806" s="17"/>
      <c r="Q806" s="14" t="s">
        <v>141</v>
      </c>
      <c r="R806" s="13">
        <f>HYPERLINK("https://app.hubspot.com/contacts/8748051/record/0-2/9406244429", 9406244429)</f>
        <v>9406244429</v>
      </c>
      <c r="S806" s="14" t="s">
        <v>2644</v>
      </c>
      <c r="T806" s="18" t="s">
        <v>2645</v>
      </c>
      <c r="U806" s="14" t="s">
        <v>46</v>
      </c>
      <c r="V806" s="15"/>
      <c r="W806" s="19">
        <v>4242.0</v>
      </c>
      <c r="X806" s="19">
        <v>494.0</v>
      </c>
      <c r="Y806" s="20" t="s">
        <v>55</v>
      </c>
      <c r="Z806" s="20"/>
      <c r="AA806" s="21"/>
      <c r="AB806" s="21"/>
      <c r="AC806" s="20"/>
      <c r="AD806" s="20"/>
      <c r="AE806" s="20"/>
      <c r="AF806" s="17" t="str">
        <f t="shared" si="1"/>
        <v>New Logo</v>
      </c>
      <c r="AG806" s="17" t="str">
        <f t="shared" si="2"/>
        <v>Lead</v>
      </c>
      <c r="AH806" s="17" t="str">
        <f t="shared" si="3"/>
        <v>1001-5000</v>
      </c>
      <c r="AI806" s="17" t="str">
        <f t="shared" si="4"/>
        <v>101-500</v>
      </c>
    </row>
    <row r="807" ht="15.75" customHeight="1">
      <c r="A807" s="13">
        <f>HYPERLINK("https://app.hubspot.com/contacts/8748051/record/0-3/12786386002", 12786386002)</f>
        <v>12786386002</v>
      </c>
      <c r="B807" s="14" t="s">
        <v>2646</v>
      </c>
      <c r="C807" s="14" t="s">
        <v>156</v>
      </c>
      <c r="D807" s="15">
        <v>4380.0</v>
      </c>
      <c r="E807" s="14" t="s">
        <v>89</v>
      </c>
      <c r="F807" s="14" t="s">
        <v>51</v>
      </c>
      <c r="G807" s="16">
        <v>45016.185740740744</v>
      </c>
      <c r="H807" s="16">
        <v>45022.233715277776</v>
      </c>
      <c r="I807" s="14" t="s">
        <v>39</v>
      </c>
      <c r="J807" s="14" t="s">
        <v>179</v>
      </c>
      <c r="K807" s="17"/>
      <c r="L807" s="17"/>
      <c r="M807" s="14" t="s">
        <v>98</v>
      </c>
      <c r="N807" s="14" t="s">
        <v>2647</v>
      </c>
      <c r="O807" s="14"/>
      <c r="P807" s="17"/>
      <c r="Q807" s="14"/>
      <c r="R807" s="13">
        <f>HYPERLINK("https://app.hubspot.com/contacts/8748051/record/0-2/9668863759", 9668863759)</f>
        <v>9668863759</v>
      </c>
      <c r="S807" s="14" t="s">
        <v>2648</v>
      </c>
      <c r="T807" s="18" t="s">
        <v>2649</v>
      </c>
      <c r="U807" s="14">
        <v>3.4564763E7</v>
      </c>
      <c r="V807" s="15">
        <v>11880.0</v>
      </c>
      <c r="W807" s="19">
        <v>435.0</v>
      </c>
      <c r="X807" s="19">
        <v>41.0</v>
      </c>
      <c r="Y807" s="20"/>
      <c r="Z807" s="20" t="s">
        <v>191</v>
      </c>
      <c r="AA807" s="21"/>
      <c r="AB807" s="21"/>
      <c r="AC807" s="20" t="s">
        <v>2650</v>
      </c>
      <c r="AD807" s="20" t="s">
        <v>2651</v>
      </c>
      <c r="AE807" s="20" t="s">
        <v>395</v>
      </c>
      <c r="AF807" s="17" t="str">
        <f t="shared" si="1"/>
        <v>Upsell</v>
      </c>
      <c r="AG807" s="17" t="str">
        <f t="shared" si="2"/>
        <v>Churn</v>
      </c>
      <c r="AH807" s="17" t="str">
        <f t="shared" si="3"/>
        <v>201-500</v>
      </c>
      <c r="AI807" s="17" t="str">
        <f t="shared" si="4"/>
        <v>21-50</v>
      </c>
    </row>
    <row r="808" ht="15.75" customHeight="1">
      <c r="A808" s="13">
        <f>HYPERLINK("https://app.hubspot.com/contacts/8748051/record/0-3/12781363073", 12781363073)</f>
        <v>12781363073</v>
      </c>
      <c r="B808" s="14" t="s">
        <v>2652</v>
      </c>
      <c r="C808" s="14" t="s">
        <v>49</v>
      </c>
      <c r="D808" s="15">
        <v>30000.0</v>
      </c>
      <c r="E808" s="14" t="s">
        <v>146</v>
      </c>
      <c r="F808" s="14"/>
      <c r="G808" s="16">
        <v>45015.672268518516</v>
      </c>
      <c r="H808" s="16">
        <v>45090.64929398148</v>
      </c>
      <c r="I808" s="14" t="s">
        <v>39</v>
      </c>
      <c r="J808" s="14" t="s">
        <v>52</v>
      </c>
      <c r="K808" s="14"/>
      <c r="L808" s="14"/>
      <c r="M808" s="14" t="s">
        <v>43</v>
      </c>
      <c r="N808" s="14"/>
      <c r="O808" s="14" t="s">
        <v>2653</v>
      </c>
      <c r="P808" s="17"/>
      <c r="Q808" s="14"/>
      <c r="R808" s="13">
        <f>HYPERLINK("https://app.hubspot.com/contacts/8748051/record/0-2/9174404187", 9174404187)</f>
        <v>9174404187</v>
      </c>
      <c r="S808" s="14" t="s">
        <v>2654</v>
      </c>
      <c r="T808" s="18" t="s">
        <v>2655</v>
      </c>
      <c r="U808" s="14" t="s">
        <v>46</v>
      </c>
      <c r="V808" s="15"/>
      <c r="W808" s="19">
        <v>849.0</v>
      </c>
      <c r="X808" s="19">
        <v>112.0</v>
      </c>
      <c r="Y808" s="20" t="s">
        <v>55</v>
      </c>
      <c r="Z808" s="20"/>
      <c r="AA808" s="20"/>
      <c r="AB808" s="21"/>
      <c r="AC808" s="20"/>
      <c r="AD808" s="20"/>
      <c r="AE808" s="20"/>
      <c r="AF808" s="17" t="str">
        <f t="shared" si="1"/>
        <v>New Logo</v>
      </c>
      <c r="AG808" s="17" t="str">
        <f t="shared" si="2"/>
        <v>Lead</v>
      </c>
      <c r="AH808" s="17" t="str">
        <f t="shared" si="3"/>
        <v>501-1000</v>
      </c>
      <c r="AI808" s="17" t="str">
        <f t="shared" si="4"/>
        <v>101-500</v>
      </c>
    </row>
    <row r="809" ht="15.75" customHeight="1">
      <c r="A809" s="13">
        <f>HYPERLINK("https://app.hubspot.com/contacts/8748051/record/0-3/12776931937", 12776931937)</f>
        <v>12776931937</v>
      </c>
      <c r="B809" s="14" t="s">
        <v>2656</v>
      </c>
      <c r="C809" s="14" t="s">
        <v>145</v>
      </c>
      <c r="D809" s="15">
        <v>50000.0</v>
      </c>
      <c r="E809" s="14" t="s">
        <v>146</v>
      </c>
      <c r="F809" s="14"/>
      <c r="G809" s="16">
        <v>45015.44667824074</v>
      </c>
      <c r="H809" s="16">
        <v>45091.45537037037</v>
      </c>
      <c r="I809" s="14" t="s">
        <v>39</v>
      </c>
      <c r="J809" s="14" t="s">
        <v>52</v>
      </c>
      <c r="K809" s="14"/>
      <c r="L809" s="14"/>
      <c r="M809" s="14" t="s">
        <v>43</v>
      </c>
      <c r="N809" s="14"/>
      <c r="O809" s="14" t="s">
        <v>2657</v>
      </c>
      <c r="P809" s="14"/>
      <c r="Q809" s="14"/>
      <c r="R809" s="13">
        <f>HYPERLINK("https://app.hubspot.com/contacts/8748051/record/0-2/9186911040", 9186911040)</f>
        <v>9186911040</v>
      </c>
      <c r="S809" s="14" t="s">
        <v>2658</v>
      </c>
      <c r="T809" s="18" t="s">
        <v>2659</v>
      </c>
      <c r="U809" s="14" t="s">
        <v>46</v>
      </c>
      <c r="V809" s="15"/>
      <c r="W809" s="19">
        <v>1686.0</v>
      </c>
      <c r="X809" s="19">
        <v>415.0</v>
      </c>
      <c r="Y809" s="20" t="s">
        <v>455</v>
      </c>
      <c r="Z809" s="20"/>
      <c r="AA809" s="20"/>
      <c r="AB809" s="21"/>
      <c r="AC809" s="20"/>
      <c r="AD809" s="21"/>
      <c r="AE809" s="20"/>
      <c r="AF809" s="17" t="str">
        <f t="shared" si="1"/>
        <v>New Logo</v>
      </c>
      <c r="AG809" s="17" t="str">
        <f t="shared" si="2"/>
        <v>Lead</v>
      </c>
      <c r="AH809" s="17" t="str">
        <f t="shared" si="3"/>
        <v>1001-5000</v>
      </c>
      <c r="AI809" s="17" t="str">
        <f t="shared" si="4"/>
        <v>101-500</v>
      </c>
    </row>
    <row r="810" ht="15.75" customHeight="1">
      <c r="A810" s="13">
        <f>HYPERLINK("https://app.hubspot.com/contacts/8748051/record/0-3/12610512902", 12610512902)</f>
        <v>12610512902</v>
      </c>
      <c r="B810" s="14" t="s">
        <v>2660</v>
      </c>
      <c r="C810" s="14" t="s">
        <v>1227</v>
      </c>
      <c r="D810" s="15">
        <v>43200.0</v>
      </c>
      <c r="E810" s="14" t="s">
        <v>89</v>
      </c>
      <c r="F810" s="14" t="s">
        <v>51</v>
      </c>
      <c r="G810" s="16">
        <v>45004.152337962965</v>
      </c>
      <c r="H810" s="16">
        <v>45503.195023148146</v>
      </c>
      <c r="I810" s="14" t="s">
        <v>39</v>
      </c>
      <c r="J810" s="14" t="s">
        <v>52</v>
      </c>
      <c r="K810" s="14" t="s">
        <v>41</v>
      </c>
      <c r="L810" s="14" t="s">
        <v>42</v>
      </c>
      <c r="M810" s="14" t="s">
        <v>98</v>
      </c>
      <c r="N810" s="14" t="s">
        <v>2661</v>
      </c>
      <c r="O810" s="14"/>
      <c r="P810" s="14"/>
      <c r="Q810" s="14"/>
      <c r="R810" s="13">
        <f>HYPERLINK("https://app.hubspot.com/contacts/8748051/record/0-2/8513131656", 8513131656)</f>
        <v>8513131656</v>
      </c>
      <c r="S810" s="14" t="s">
        <v>856</v>
      </c>
      <c r="T810" s="18" t="s">
        <v>857</v>
      </c>
      <c r="U810" s="14" t="s">
        <v>93</v>
      </c>
      <c r="V810" s="15">
        <v>25500.0</v>
      </c>
      <c r="W810" s="19">
        <v>1321.0</v>
      </c>
      <c r="X810" s="19">
        <v>159.0</v>
      </c>
      <c r="Y810" s="20"/>
      <c r="Z810" s="20" t="s">
        <v>191</v>
      </c>
      <c r="AA810" s="20" t="s">
        <v>192</v>
      </c>
      <c r="AB810" s="21"/>
      <c r="AC810" s="20" t="s">
        <v>858</v>
      </c>
      <c r="AD810" s="20"/>
      <c r="AE810" s="20" t="s">
        <v>166</v>
      </c>
      <c r="AF810" s="17" t="str">
        <f t="shared" si="1"/>
        <v>New Logo</v>
      </c>
      <c r="AG810" s="17" t="str">
        <f t="shared" si="2"/>
        <v>Customer</v>
      </c>
      <c r="AH810" s="17" t="str">
        <f t="shared" si="3"/>
        <v>1001-5000</v>
      </c>
      <c r="AI810" s="17" t="str">
        <f t="shared" si="4"/>
        <v>101-500</v>
      </c>
    </row>
    <row r="811" ht="15.75" customHeight="1">
      <c r="A811" s="13">
        <f>HYPERLINK("https://app.hubspot.com/contacts/8748051/record/0-3/12432786074", 12432786074)</f>
        <v>12432786074</v>
      </c>
      <c r="B811" s="14" t="s">
        <v>2662</v>
      </c>
      <c r="C811" s="14" t="s">
        <v>145</v>
      </c>
      <c r="D811" s="15">
        <v>10000.0</v>
      </c>
      <c r="E811" s="14" t="s">
        <v>146</v>
      </c>
      <c r="F811" s="14" t="s">
        <v>51</v>
      </c>
      <c r="G811" s="16">
        <v>44992.44020833333</v>
      </c>
      <c r="H811" s="16">
        <v>45091.44590277778</v>
      </c>
      <c r="I811" s="14" t="s">
        <v>39</v>
      </c>
      <c r="J811" s="14" t="s">
        <v>40</v>
      </c>
      <c r="K811" s="17"/>
      <c r="L811" s="17"/>
      <c r="M811" s="14" t="s">
        <v>43</v>
      </c>
      <c r="N811" s="14"/>
      <c r="O811" s="14" t="s">
        <v>2663</v>
      </c>
      <c r="P811" s="17"/>
      <c r="Q811" s="14"/>
      <c r="R811" s="13">
        <f>HYPERLINK("https://app.hubspot.com/contacts/8748051/record/0-2/14939852455", 14939852455)</f>
        <v>14939852455</v>
      </c>
      <c r="S811" s="14" t="s">
        <v>2664</v>
      </c>
      <c r="T811" s="18" t="s">
        <v>2665</v>
      </c>
      <c r="U811" s="14" t="s">
        <v>46</v>
      </c>
      <c r="V811" s="15"/>
      <c r="W811" s="19">
        <v>66.0</v>
      </c>
      <c r="X811" s="19">
        <v>9.0</v>
      </c>
      <c r="Y811" s="20"/>
      <c r="Z811" s="20"/>
      <c r="AA811" s="21"/>
      <c r="AB811" s="21"/>
      <c r="AC811" s="20"/>
      <c r="AD811" s="21"/>
      <c r="AE811" s="20"/>
      <c r="AF811" s="17" t="str">
        <f t="shared" si="1"/>
        <v>New Logo</v>
      </c>
      <c r="AG811" s="17" t="str">
        <f t="shared" si="2"/>
        <v>Lead</v>
      </c>
      <c r="AH811" s="17" t="str">
        <f t="shared" si="3"/>
        <v>0-200</v>
      </c>
      <c r="AI811" s="17" t="str">
        <f t="shared" si="4"/>
        <v>0-20</v>
      </c>
    </row>
    <row r="812" ht="15.75" customHeight="1">
      <c r="A812" s="13">
        <f>HYPERLINK("https://app.hubspot.com/contacts/8748051/record/0-3/12423375895", 12423375895)</f>
        <v>12423375895</v>
      </c>
      <c r="B812" s="14" t="s">
        <v>2666</v>
      </c>
      <c r="C812" s="14" t="s">
        <v>49</v>
      </c>
      <c r="D812" s="15">
        <v>30000.0</v>
      </c>
      <c r="E812" s="14" t="s">
        <v>146</v>
      </c>
      <c r="F812" s="14"/>
      <c r="G812" s="16">
        <v>44991.60888888889</v>
      </c>
      <c r="H812" s="16">
        <v>45063.383993055555</v>
      </c>
      <c r="I812" s="14" t="s">
        <v>39</v>
      </c>
      <c r="J812" s="14" t="s">
        <v>52</v>
      </c>
      <c r="K812" s="17"/>
      <c r="L812" s="17"/>
      <c r="M812" s="14" t="s">
        <v>43</v>
      </c>
      <c r="N812" s="17"/>
      <c r="O812" s="14" t="s">
        <v>2667</v>
      </c>
      <c r="P812" s="14"/>
      <c r="Q812" s="14"/>
      <c r="R812" s="13">
        <f>HYPERLINK("https://app.hubspot.com/contacts/8748051/record/0-2/7687434062", 7687434062)</f>
        <v>7687434062</v>
      </c>
      <c r="S812" s="14" t="s">
        <v>2668</v>
      </c>
      <c r="T812" s="18" t="s">
        <v>2669</v>
      </c>
      <c r="U812" s="14" t="s">
        <v>46</v>
      </c>
      <c r="V812" s="22"/>
      <c r="W812" s="19">
        <v>593.0</v>
      </c>
      <c r="X812" s="19">
        <v>176.0</v>
      </c>
      <c r="Y812" s="20" t="s">
        <v>78</v>
      </c>
      <c r="Z812" s="21"/>
      <c r="AA812" s="21"/>
      <c r="AB812" s="21"/>
      <c r="AC812" s="21"/>
      <c r="AD812" s="21"/>
      <c r="AE812" s="21"/>
      <c r="AF812" s="17" t="str">
        <f t="shared" si="1"/>
        <v>New Logo</v>
      </c>
      <c r="AG812" s="17" t="str">
        <f t="shared" si="2"/>
        <v>Lead</v>
      </c>
      <c r="AH812" s="17" t="str">
        <f t="shared" si="3"/>
        <v>501-1000</v>
      </c>
      <c r="AI812" s="17" t="str">
        <f t="shared" si="4"/>
        <v>101-500</v>
      </c>
    </row>
    <row r="813" ht="15.75" customHeight="1">
      <c r="A813" s="13">
        <f>HYPERLINK("https://app.hubspot.com/contacts/8748051/record/0-3/12415411596", 12415411596)</f>
        <v>12415411596</v>
      </c>
      <c r="B813" s="14" t="s">
        <v>2670</v>
      </c>
      <c r="C813" s="14" t="s">
        <v>1008</v>
      </c>
      <c r="D813" s="15">
        <v>23500.0</v>
      </c>
      <c r="E813" s="14" t="s">
        <v>124</v>
      </c>
      <c r="F813" s="14" t="s">
        <v>51</v>
      </c>
      <c r="G813" s="16">
        <v>44991.02868055556</v>
      </c>
      <c r="H813" s="16">
        <v>45657.06494212963</v>
      </c>
      <c r="I813" s="14" t="s">
        <v>39</v>
      </c>
      <c r="J813" s="14" t="s">
        <v>40</v>
      </c>
      <c r="K813" s="14"/>
      <c r="L813" s="14"/>
      <c r="M813" s="14" t="s">
        <v>72</v>
      </c>
      <c r="N813" s="14"/>
      <c r="O813" s="14" t="s">
        <v>2671</v>
      </c>
      <c r="P813" s="17"/>
      <c r="Q813" s="14" t="s">
        <v>502</v>
      </c>
      <c r="R813" s="13">
        <f>HYPERLINK("https://app.hubspot.com/contacts/8748051/record/0-2/10910026910", 10910026910)</f>
        <v>10910026910</v>
      </c>
      <c r="S813" s="14" t="s">
        <v>1125</v>
      </c>
      <c r="T813" s="18" t="s">
        <v>1126</v>
      </c>
      <c r="U813" s="14" t="s">
        <v>46</v>
      </c>
      <c r="V813" s="15"/>
      <c r="W813" s="19">
        <v>256.0</v>
      </c>
      <c r="X813" s="19">
        <v>59.0</v>
      </c>
      <c r="Y813" s="20" t="s">
        <v>104</v>
      </c>
      <c r="Z813" s="20"/>
      <c r="AA813" s="21"/>
      <c r="AB813" s="21"/>
      <c r="AC813" s="20"/>
      <c r="AD813" s="20"/>
      <c r="AE813" s="20"/>
      <c r="AF813" s="17" t="str">
        <f t="shared" si="1"/>
        <v>New Logo</v>
      </c>
      <c r="AG813" s="17" t="str">
        <f t="shared" si="2"/>
        <v>Lead</v>
      </c>
      <c r="AH813" s="17" t="str">
        <f t="shared" si="3"/>
        <v>201-500</v>
      </c>
      <c r="AI813" s="17" t="str">
        <f t="shared" si="4"/>
        <v>51-100</v>
      </c>
    </row>
    <row r="814" ht="15.75" customHeight="1">
      <c r="A814" s="13">
        <f>HYPERLINK("https://app.hubspot.com/contacts/8748051/record/0-3/12352797203", 12352797203)</f>
        <v>12352797203</v>
      </c>
      <c r="B814" s="14" t="s">
        <v>2672</v>
      </c>
      <c r="C814" s="14" t="s">
        <v>145</v>
      </c>
      <c r="D814" s="15">
        <v>30000.0</v>
      </c>
      <c r="E814" s="14" t="s">
        <v>146</v>
      </c>
      <c r="F814" s="14" t="s">
        <v>51</v>
      </c>
      <c r="G814" s="16">
        <v>44986.40042824074</v>
      </c>
      <c r="H814" s="16">
        <v>45336.46891203704</v>
      </c>
      <c r="I814" s="14" t="s">
        <v>39</v>
      </c>
      <c r="J814" s="14" t="s">
        <v>40</v>
      </c>
      <c r="K814" s="17"/>
      <c r="L814" s="14"/>
      <c r="M814" s="14" t="s">
        <v>43</v>
      </c>
      <c r="N814" s="14"/>
      <c r="O814" s="14" t="s">
        <v>2673</v>
      </c>
      <c r="P814" s="17"/>
      <c r="Q814" s="14"/>
      <c r="R814" s="13">
        <f>HYPERLINK("https://app.hubspot.com/contacts/8748051/record/0-2/8920279324", 8920279324)</f>
        <v>8920279324</v>
      </c>
      <c r="S814" s="14" t="s">
        <v>2674</v>
      </c>
      <c r="T814" s="18" t="s">
        <v>2675</v>
      </c>
      <c r="U814" s="14" t="s">
        <v>46</v>
      </c>
      <c r="V814" s="15"/>
      <c r="W814" s="19">
        <v>624.0</v>
      </c>
      <c r="X814" s="19">
        <v>58.0</v>
      </c>
      <c r="Y814" s="20" t="s">
        <v>104</v>
      </c>
      <c r="Z814" s="20"/>
      <c r="AA814" s="21"/>
      <c r="AB814" s="21"/>
      <c r="AC814" s="20"/>
      <c r="AD814" s="20"/>
      <c r="AE814" s="20"/>
      <c r="AF814" s="17" t="str">
        <f t="shared" si="1"/>
        <v>New Logo</v>
      </c>
      <c r="AG814" s="17" t="str">
        <f t="shared" si="2"/>
        <v>Lead</v>
      </c>
      <c r="AH814" s="17" t="str">
        <f t="shared" si="3"/>
        <v>501-1000</v>
      </c>
      <c r="AI814" s="17" t="str">
        <f t="shared" si="4"/>
        <v>51-100</v>
      </c>
    </row>
    <row r="815" ht="15.75" customHeight="1">
      <c r="A815" s="13">
        <f>HYPERLINK("https://app.hubspot.com/contacts/8748051/record/0-3/12314663575", 12314663575)</f>
        <v>12314663575</v>
      </c>
      <c r="B815" s="14" t="s">
        <v>2676</v>
      </c>
      <c r="C815" s="14" t="s">
        <v>1227</v>
      </c>
      <c r="D815" s="15">
        <v>21600.0</v>
      </c>
      <c r="E815" s="14" t="s">
        <v>89</v>
      </c>
      <c r="F815" s="14" t="s">
        <v>51</v>
      </c>
      <c r="G815" s="16">
        <v>44984.00320601852</v>
      </c>
      <c r="H815" s="16">
        <v>45187.057708333334</v>
      </c>
      <c r="I815" s="14" t="s">
        <v>39</v>
      </c>
      <c r="J815" s="14" t="s">
        <v>40</v>
      </c>
      <c r="K815" s="17"/>
      <c r="L815" s="17"/>
      <c r="M815" s="14" t="s">
        <v>98</v>
      </c>
      <c r="N815" s="14" t="s">
        <v>2677</v>
      </c>
      <c r="O815" s="14"/>
      <c r="P815" s="17"/>
      <c r="Q815" s="14"/>
      <c r="R815" s="13">
        <f>HYPERLINK("https://app.hubspot.com/contacts/8748051/record/0-2/8323876145", 8323876145)</f>
        <v>8323876145</v>
      </c>
      <c r="S815" s="14" t="s">
        <v>391</v>
      </c>
      <c r="T815" s="18" t="s">
        <v>392</v>
      </c>
      <c r="U815" s="14" t="s">
        <v>93</v>
      </c>
      <c r="V815" s="15">
        <v>14000.0</v>
      </c>
      <c r="W815" s="19">
        <v>469.0</v>
      </c>
      <c r="X815" s="19">
        <v>42.0</v>
      </c>
      <c r="Y815" s="20"/>
      <c r="Z815" s="20" t="s">
        <v>218</v>
      </c>
      <c r="AA815" s="21"/>
      <c r="AB815" s="21"/>
      <c r="AC815" s="20" t="s">
        <v>393</v>
      </c>
      <c r="AD815" s="20" t="s">
        <v>394</v>
      </c>
      <c r="AE815" s="20" t="s">
        <v>395</v>
      </c>
      <c r="AF815" s="17" t="str">
        <f t="shared" si="1"/>
        <v>New Logo</v>
      </c>
      <c r="AG815" s="17" t="str">
        <f t="shared" si="2"/>
        <v>Customer</v>
      </c>
      <c r="AH815" s="17" t="str">
        <f t="shared" si="3"/>
        <v>201-500</v>
      </c>
      <c r="AI815" s="17" t="str">
        <f t="shared" si="4"/>
        <v>21-50</v>
      </c>
    </row>
    <row r="816" ht="15.75" customHeight="1">
      <c r="A816" s="13">
        <f>HYPERLINK("https://app.hubspot.com/contacts/8748051/record/0-3/12278130487", 12278130487)</f>
        <v>12278130487</v>
      </c>
      <c r="B816" s="14" t="s">
        <v>2678</v>
      </c>
      <c r="C816" s="14" t="s">
        <v>49</v>
      </c>
      <c r="D816" s="15">
        <v>60000.0</v>
      </c>
      <c r="E816" s="14" t="s">
        <v>124</v>
      </c>
      <c r="F816" s="14"/>
      <c r="G816" s="16">
        <v>44980.38637731481</v>
      </c>
      <c r="H816" s="16">
        <v>45046.38532407407</v>
      </c>
      <c r="I816" s="14" t="s">
        <v>39</v>
      </c>
      <c r="J816" s="14" t="s">
        <v>52</v>
      </c>
      <c r="K816" s="17"/>
      <c r="L816" s="17"/>
      <c r="M816" s="14" t="s">
        <v>43</v>
      </c>
      <c r="N816" s="14"/>
      <c r="O816" s="14"/>
      <c r="P816" s="17"/>
      <c r="Q816" s="14" t="s">
        <v>125</v>
      </c>
      <c r="R816" s="13">
        <f>HYPERLINK("https://app.hubspot.com/contacts/8748051/record/0-2/14132642436", 14132642436)</f>
        <v>14132642436</v>
      </c>
      <c r="S816" s="18" t="s">
        <v>2679</v>
      </c>
      <c r="T816" s="18" t="s">
        <v>2679</v>
      </c>
      <c r="U816" s="14" t="s">
        <v>46</v>
      </c>
      <c r="V816" s="15"/>
      <c r="W816" s="19">
        <v>3314.0</v>
      </c>
      <c r="X816" s="19">
        <v>318.0</v>
      </c>
      <c r="Y816" s="20"/>
      <c r="Z816" s="21"/>
      <c r="AA816" s="21"/>
      <c r="AB816" s="21"/>
      <c r="AC816" s="21"/>
      <c r="AD816" s="21"/>
      <c r="AE816" s="21"/>
      <c r="AF816" s="17" t="str">
        <f t="shared" si="1"/>
        <v>New Logo</v>
      </c>
      <c r="AG816" s="17" t="str">
        <f t="shared" si="2"/>
        <v>Lead</v>
      </c>
      <c r="AH816" s="17" t="str">
        <f t="shared" si="3"/>
        <v>1001-5000</v>
      </c>
      <c r="AI816" s="17" t="str">
        <f t="shared" si="4"/>
        <v>101-500</v>
      </c>
    </row>
    <row r="817" ht="15.75" customHeight="1">
      <c r="A817" s="13">
        <f>HYPERLINK("https://app.hubspot.com/contacts/8748051/record/0-3/13146718594", 13146718594)</f>
        <v>13146718594</v>
      </c>
      <c r="B817" s="14" t="s">
        <v>2680</v>
      </c>
      <c r="C817" s="14" t="s">
        <v>1227</v>
      </c>
      <c r="D817" s="15">
        <v>3528.0</v>
      </c>
      <c r="E817" s="14" t="s">
        <v>89</v>
      </c>
      <c r="F817" s="14" t="s">
        <v>51</v>
      </c>
      <c r="G817" s="16">
        <v>44971.12300925926</v>
      </c>
      <c r="H817" s="16">
        <v>45042.50096064815</v>
      </c>
      <c r="I817" s="14" t="s">
        <v>39</v>
      </c>
      <c r="J817" s="14" t="s">
        <v>40</v>
      </c>
      <c r="K817" s="17"/>
      <c r="L817" s="17"/>
      <c r="M817" s="14" t="s">
        <v>72</v>
      </c>
      <c r="N817" s="14" t="s">
        <v>2681</v>
      </c>
      <c r="O817" s="14"/>
      <c r="P817" s="14"/>
      <c r="Q817" s="14"/>
      <c r="R817" s="13">
        <f>HYPERLINK("https://app.hubspot.com/contacts/8748051/record/0-2/11995817103", 11995817103)</f>
        <v>11995817103</v>
      </c>
      <c r="S817" s="14" t="s">
        <v>2682</v>
      </c>
      <c r="T817" s="14" t="s">
        <v>2683</v>
      </c>
      <c r="U817" s="14">
        <v>3.4564763E7</v>
      </c>
      <c r="V817" s="15">
        <v>3528.0</v>
      </c>
      <c r="W817" s="19">
        <v>62.0</v>
      </c>
      <c r="X817" s="19">
        <v>1.0</v>
      </c>
      <c r="Y817" s="20"/>
      <c r="Z817" s="20"/>
      <c r="AA817" s="21"/>
      <c r="AB817" s="21"/>
      <c r="AC817" s="20"/>
      <c r="AD817" s="20"/>
      <c r="AE817" s="20"/>
      <c r="AF817" s="17" t="str">
        <f t="shared" si="1"/>
        <v>New Logo</v>
      </c>
      <c r="AG817" s="17" t="str">
        <f t="shared" si="2"/>
        <v>Churn</v>
      </c>
      <c r="AH817" s="17" t="str">
        <f t="shared" si="3"/>
        <v>0-200</v>
      </c>
      <c r="AI817" s="17" t="str">
        <f t="shared" si="4"/>
        <v>0-20</v>
      </c>
    </row>
    <row r="818" ht="15.75" customHeight="1">
      <c r="A818" s="13">
        <f>HYPERLINK("https://app.hubspot.com/contacts/8748051/record/0-3/12090447128", 12090447128)</f>
        <v>12090447128</v>
      </c>
      <c r="B818" s="14" t="s">
        <v>2684</v>
      </c>
      <c r="C818" s="14" t="s">
        <v>49</v>
      </c>
      <c r="D818" s="15">
        <v>15000.0</v>
      </c>
      <c r="E818" s="14" t="s">
        <v>146</v>
      </c>
      <c r="F818" s="14" t="s">
        <v>51</v>
      </c>
      <c r="G818" s="16">
        <v>44966.61039351852</v>
      </c>
      <c r="H818" s="16">
        <v>45090.64857638889</v>
      </c>
      <c r="I818" s="14" t="s">
        <v>39</v>
      </c>
      <c r="J818" s="14" t="s">
        <v>40</v>
      </c>
      <c r="K818" s="17"/>
      <c r="L818" s="17"/>
      <c r="M818" s="14" t="s">
        <v>43</v>
      </c>
      <c r="N818" s="14"/>
      <c r="O818" s="14" t="s">
        <v>2685</v>
      </c>
      <c r="P818" s="14"/>
      <c r="Q818" s="14"/>
      <c r="R818" s="13">
        <f>HYPERLINK("https://app.hubspot.com/contacts/8748051/record/0-2/9685485496", 9685485496)</f>
        <v>9685485496</v>
      </c>
      <c r="S818" s="14" t="s">
        <v>2686</v>
      </c>
      <c r="T818" s="18" t="s">
        <v>2687</v>
      </c>
      <c r="U818" s="14" t="s">
        <v>46</v>
      </c>
      <c r="V818" s="15"/>
      <c r="W818" s="19">
        <v>2294.0</v>
      </c>
      <c r="X818" s="19">
        <v>417.0</v>
      </c>
      <c r="Y818" s="20" t="s">
        <v>455</v>
      </c>
      <c r="Z818" s="20"/>
      <c r="AA818" s="21"/>
      <c r="AB818" s="21"/>
      <c r="AC818" s="20"/>
      <c r="AD818" s="20"/>
      <c r="AE818" s="20"/>
      <c r="AF818" s="17" t="str">
        <f t="shared" si="1"/>
        <v>New Logo</v>
      </c>
      <c r="AG818" s="17" t="str">
        <f t="shared" si="2"/>
        <v>Lead</v>
      </c>
      <c r="AH818" s="17" t="str">
        <f t="shared" si="3"/>
        <v>1001-5000</v>
      </c>
      <c r="AI818" s="17" t="str">
        <f t="shared" si="4"/>
        <v>101-500</v>
      </c>
    </row>
    <row r="819" ht="15.75" customHeight="1">
      <c r="A819" s="13">
        <f>HYPERLINK("https://app.hubspot.com/contacts/8748051/record/0-3/12083258192", 12083258192)</f>
        <v>12083258192</v>
      </c>
      <c r="B819" s="14" t="s">
        <v>2688</v>
      </c>
      <c r="C819" s="14" t="s">
        <v>145</v>
      </c>
      <c r="D819" s="15">
        <v>15000.0</v>
      </c>
      <c r="E819" s="14" t="s">
        <v>118</v>
      </c>
      <c r="F819" s="14" t="s">
        <v>51</v>
      </c>
      <c r="G819" s="16">
        <v>44966.24392361111</v>
      </c>
      <c r="H819" s="16">
        <v>45046.029386574075</v>
      </c>
      <c r="I819" s="14" t="s">
        <v>39</v>
      </c>
      <c r="J819" s="14" t="s">
        <v>52</v>
      </c>
      <c r="K819" s="17"/>
      <c r="L819" s="17"/>
      <c r="M819" s="14" t="s">
        <v>98</v>
      </c>
      <c r="N819" s="14"/>
      <c r="O819" s="14"/>
      <c r="P819" s="14" t="s">
        <v>119</v>
      </c>
      <c r="Q819" s="14"/>
      <c r="R819" s="13">
        <f>HYPERLINK("https://app.hubspot.com/contacts/8748051/record/0-2/30002651979", 30002651979)</f>
        <v>30002651979</v>
      </c>
      <c r="S819" s="14" t="s">
        <v>2689</v>
      </c>
      <c r="T819" s="18" t="s">
        <v>2690</v>
      </c>
      <c r="U819" s="14" t="s">
        <v>46</v>
      </c>
      <c r="V819" s="15"/>
      <c r="W819" s="19">
        <v>1103.0</v>
      </c>
      <c r="X819" s="19">
        <v>190.0</v>
      </c>
      <c r="Y819" s="20" t="s">
        <v>78</v>
      </c>
      <c r="Z819" s="21"/>
      <c r="AA819" s="21"/>
      <c r="AB819" s="21"/>
      <c r="AC819" s="21"/>
      <c r="AD819" s="21"/>
      <c r="AE819" s="21"/>
      <c r="AF819" s="17" t="str">
        <f t="shared" si="1"/>
        <v>New Logo</v>
      </c>
      <c r="AG819" s="17" t="str">
        <f t="shared" si="2"/>
        <v>Lead</v>
      </c>
      <c r="AH819" s="17" t="str">
        <f t="shared" si="3"/>
        <v>1001-5000</v>
      </c>
      <c r="AI819" s="17" t="str">
        <f t="shared" si="4"/>
        <v>101-500</v>
      </c>
    </row>
    <row r="820" ht="15.75" customHeight="1">
      <c r="A820" s="13">
        <f>HYPERLINK("https://app.hubspot.com/contacts/8748051/record/0-3/12037674622", 12037674622)</f>
        <v>12037674622</v>
      </c>
      <c r="B820" s="14" t="s">
        <v>2691</v>
      </c>
      <c r="C820" s="14" t="s">
        <v>145</v>
      </c>
      <c r="D820" s="15">
        <v>25000.0</v>
      </c>
      <c r="E820" s="14" t="s">
        <v>124</v>
      </c>
      <c r="F820" s="14" t="s">
        <v>51</v>
      </c>
      <c r="G820" s="16">
        <v>44963.468136574076</v>
      </c>
      <c r="H820" s="16">
        <v>45016.46695601852</v>
      </c>
      <c r="I820" s="14" t="s">
        <v>39</v>
      </c>
      <c r="J820" s="14" t="s">
        <v>40</v>
      </c>
      <c r="K820" s="17"/>
      <c r="L820" s="17"/>
      <c r="M820" s="14" t="s">
        <v>43</v>
      </c>
      <c r="N820" s="14"/>
      <c r="O820" s="14"/>
      <c r="P820" s="17"/>
      <c r="Q820" s="14" t="s">
        <v>2551</v>
      </c>
      <c r="R820" s="13">
        <f>HYPERLINK("https://app.hubspot.com/contacts/8748051/record/0-2/10131985065", 10131985065)</f>
        <v>10131985065</v>
      </c>
      <c r="S820" s="14" t="s">
        <v>2692</v>
      </c>
      <c r="T820" s="18" t="s">
        <v>2693</v>
      </c>
      <c r="U820" s="14" t="s">
        <v>46</v>
      </c>
      <c r="V820" s="15"/>
      <c r="W820" s="19">
        <v>314.0</v>
      </c>
      <c r="X820" s="19">
        <v>67.0</v>
      </c>
      <c r="Y820" s="20" t="s">
        <v>63</v>
      </c>
      <c r="Z820" s="20"/>
      <c r="AA820" s="20"/>
      <c r="AB820" s="21"/>
      <c r="AC820" s="20"/>
      <c r="AD820" s="20"/>
      <c r="AE820" s="20"/>
      <c r="AF820" s="17" t="str">
        <f t="shared" si="1"/>
        <v>New Logo</v>
      </c>
      <c r="AG820" s="17" t="str">
        <f t="shared" si="2"/>
        <v>Lead</v>
      </c>
      <c r="AH820" s="17" t="str">
        <f t="shared" si="3"/>
        <v>201-500</v>
      </c>
      <c r="AI820" s="17" t="str">
        <f t="shared" si="4"/>
        <v>51-100</v>
      </c>
    </row>
    <row r="821" ht="15.75" customHeight="1">
      <c r="A821" s="13">
        <f>HYPERLINK("https://app.hubspot.com/contacts/8748051/record/0-3/12003069527", 12003069527)</f>
        <v>12003069527</v>
      </c>
      <c r="B821" s="14" t="s">
        <v>2694</v>
      </c>
      <c r="C821" s="14" t="s">
        <v>49</v>
      </c>
      <c r="D821" s="15">
        <v>50000.0</v>
      </c>
      <c r="E821" s="14" t="s">
        <v>146</v>
      </c>
      <c r="F821" s="14"/>
      <c r="G821" s="16">
        <v>44960.41511574074</v>
      </c>
      <c r="H821" s="16">
        <v>45027.329884259256</v>
      </c>
      <c r="I821" s="14" t="s">
        <v>39</v>
      </c>
      <c r="J821" s="14" t="s">
        <v>40</v>
      </c>
      <c r="K821" s="17"/>
      <c r="L821" s="17"/>
      <c r="M821" s="14" t="s">
        <v>43</v>
      </c>
      <c r="N821" s="17"/>
      <c r="O821" s="14" t="s">
        <v>2695</v>
      </c>
      <c r="P821" s="17"/>
      <c r="Q821" s="14"/>
      <c r="R821" s="13">
        <f>HYPERLINK("https://app.hubspot.com/contacts/8748051/record/0-2/9748720698", 9748720698)</f>
        <v>9748720698</v>
      </c>
      <c r="S821" s="14" t="s">
        <v>2696</v>
      </c>
      <c r="T821" s="18" t="s">
        <v>2697</v>
      </c>
      <c r="U821" s="14" t="s">
        <v>46</v>
      </c>
      <c r="V821" s="22"/>
      <c r="W821" s="19">
        <v>2952.0</v>
      </c>
      <c r="X821" s="19">
        <v>602.0</v>
      </c>
      <c r="Y821" s="20" t="s">
        <v>2109</v>
      </c>
      <c r="Z821" s="21"/>
      <c r="AA821" s="21"/>
      <c r="AB821" s="21"/>
      <c r="AC821" s="21"/>
      <c r="AD821" s="21"/>
      <c r="AE821" s="21"/>
      <c r="AF821" s="17" t="str">
        <f t="shared" si="1"/>
        <v>New Logo</v>
      </c>
      <c r="AG821" s="17" t="str">
        <f t="shared" si="2"/>
        <v>Lead</v>
      </c>
      <c r="AH821" s="17" t="str">
        <f t="shared" si="3"/>
        <v>1001-5000</v>
      </c>
      <c r="AI821" s="17" t="str">
        <f t="shared" si="4"/>
        <v>500+</v>
      </c>
    </row>
    <row r="822" ht="15.75" customHeight="1">
      <c r="A822" s="13">
        <f>HYPERLINK("https://app.hubspot.com/contacts/8748051/record/0-3/11691165567", 11691165567)</f>
        <v>11691165567</v>
      </c>
      <c r="B822" s="14" t="s">
        <v>2698</v>
      </c>
      <c r="C822" s="14" t="s">
        <v>1008</v>
      </c>
      <c r="D822" s="15">
        <v>15000.0</v>
      </c>
      <c r="E822" s="14" t="s">
        <v>124</v>
      </c>
      <c r="F822" s="14" t="s">
        <v>51</v>
      </c>
      <c r="G822" s="16">
        <v>44939.62699074074</v>
      </c>
      <c r="H822" s="16">
        <v>44957.62513888889</v>
      </c>
      <c r="I822" s="14" t="s">
        <v>39</v>
      </c>
      <c r="J822" s="14" t="s">
        <v>40</v>
      </c>
      <c r="K822" s="17"/>
      <c r="L822" s="17"/>
      <c r="M822" s="14" t="s">
        <v>43</v>
      </c>
      <c r="N822" s="14"/>
      <c r="O822" s="17"/>
      <c r="P822" s="17"/>
      <c r="Q822" s="14" t="s">
        <v>141</v>
      </c>
      <c r="R822" s="13">
        <f>HYPERLINK("https://app.hubspot.com/contacts/8748051/record/0-2/10735700844", 10735700844)</f>
        <v>10735700844</v>
      </c>
      <c r="S822" s="14" t="s">
        <v>2699</v>
      </c>
      <c r="T822" s="18" t="s">
        <v>2700</v>
      </c>
      <c r="U822" s="14" t="s">
        <v>46</v>
      </c>
      <c r="V822" s="15"/>
      <c r="W822" s="19">
        <v>109.0</v>
      </c>
      <c r="X822" s="19">
        <v>35.0</v>
      </c>
      <c r="Y822" s="20"/>
      <c r="Z822" s="21"/>
      <c r="AA822" s="21"/>
      <c r="AB822" s="21"/>
      <c r="AC822" s="21"/>
      <c r="AD822" s="21"/>
      <c r="AE822" s="21"/>
      <c r="AF822" s="17" t="str">
        <f t="shared" si="1"/>
        <v>New Logo</v>
      </c>
      <c r="AG822" s="17" t="str">
        <f t="shared" si="2"/>
        <v>Lead</v>
      </c>
      <c r="AH822" s="17" t="str">
        <f t="shared" si="3"/>
        <v>0-200</v>
      </c>
      <c r="AI822" s="17" t="str">
        <f t="shared" si="4"/>
        <v>21-50</v>
      </c>
    </row>
    <row r="823" ht="15.75" customHeight="1">
      <c r="A823" s="13">
        <f>HYPERLINK("https://app.hubspot.com/contacts/8748051/record/0-3/11691162667", 11691162667)</f>
        <v>11691162667</v>
      </c>
      <c r="B823" s="14" t="s">
        <v>2701</v>
      </c>
      <c r="C823" s="14" t="s">
        <v>37</v>
      </c>
      <c r="D823" s="15">
        <v>20000.0</v>
      </c>
      <c r="E823" s="14" t="s">
        <v>124</v>
      </c>
      <c r="F823" s="14"/>
      <c r="G823" s="16">
        <v>44939.61015046296</v>
      </c>
      <c r="H823" s="16">
        <v>45077.60978009259</v>
      </c>
      <c r="I823" s="14" t="s">
        <v>39</v>
      </c>
      <c r="J823" s="14" t="s">
        <v>52</v>
      </c>
      <c r="K823" s="17"/>
      <c r="L823" s="17"/>
      <c r="M823" s="14" t="s">
        <v>43</v>
      </c>
      <c r="N823" s="14"/>
      <c r="O823" s="14"/>
      <c r="P823" s="17"/>
      <c r="Q823" s="14" t="s">
        <v>141</v>
      </c>
      <c r="R823" s="13">
        <f>HYPERLINK("https://app.hubspot.com/contacts/8748051/record/0-2/8196824334", 8196824334)</f>
        <v>8196824334</v>
      </c>
      <c r="S823" s="14" t="s">
        <v>1900</v>
      </c>
      <c r="T823" s="18" t="s">
        <v>1901</v>
      </c>
      <c r="U823" s="14" t="s">
        <v>46</v>
      </c>
      <c r="V823" s="15"/>
      <c r="W823" s="19">
        <v>612.0</v>
      </c>
      <c r="X823" s="19">
        <v>100.0</v>
      </c>
      <c r="Y823" s="20" t="s">
        <v>104</v>
      </c>
      <c r="Z823" s="20"/>
      <c r="AA823" s="21"/>
      <c r="AB823" s="21"/>
      <c r="AC823" s="20"/>
      <c r="AD823" s="20"/>
      <c r="AE823" s="20"/>
      <c r="AF823" s="17" t="str">
        <f t="shared" si="1"/>
        <v>New Logo</v>
      </c>
      <c r="AG823" s="17" t="str">
        <f t="shared" si="2"/>
        <v>Lead</v>
      </c>
      <c r="AH823" s="17" t="str">
        <f t="shared" si="3"/>
        <v>501-1000</v>
      </c>
      <c r="AI823" s="17" t="str">
        <f t="shared" si="4"/>
        <v>51-100</v>
      </c>
    </row>
    <row r="824" ht="15.75" customHeight="1">
      <c r="A824" s="13">
        <f>HYPERLINK("https://app.hubspot.com/contacts/8748051/record/0-3/11593605293", 11593605293)</f>
        <v>11593605293</v>
      </c>
      <c r="B824" s="14" t="s">
        <v>2702</v>
      </c>
      <c r="C824" s="14" t="s">
        <v>49</v>
      </c>
      <c r="D824" s="15">
        <v>50000.0</v>
      </c>
      <c r="E824" s="14" t="s">
        <v>124</v>
      </c>
      <c r="F824" s="14"/>
      <c r="G824" s="16">
        <v>44931.53202546296</v>
      </c>
      <c r="H824" s="16">
        <v>45046.531539351854</v>
      </c>
      <c r="I824" s="14" t="s">
        <v>39</v>
      </c>
      <c r="J824" s="14" t="s">
        <v>52</v>
      </c>
      <c r="K824" s="17"/>
      <c r="L824" s="14"/>
      <c r="M824" s="14" t="s">
        <v>43</v>
      </c>
      <c r="N824" s="14"/>
      <c r="O824" s="14"/>
      <c r="P824" s="17"/>
      <c r="Q824" s="14" t="s">
        <v>141</v>
      </c>
      <c r="R824" s="13">
        <f>HYPERLINK("https://app.hubspot.com/contacts/8748051/record/0-2/9093323081", 9093323081)</f>
        <v>9093323081</v>
      </c>
      <c r="S824" s="14" t="s">
        <v>2703</v>
      </c>
      <c r="T824" s="18" t="s">
        <v>2704</v>
      </c>
      <c r="U824" s="14" t="s">
        <v>46</v>
      </c>
      <c r="V824" s="15"/>
      <c r="W824" s="19">
        <v>985.0</v>
      </c>
      <c r="X824" s="19">
        <v>240.0</v>
      </c>
      <c r="Y824" s="20" t="s">
        <v>70</v>
      </c>
      <c r="Z824" s="20"/>
      <c r="AA824" s="21"/>
      <c r="AB824" s="21"/>
      <c r="AC824" s="20"/>
      <c r="AD824" s="20"/>
      <c r="AE824" s="20"/>
      <c r="AF824" s="17" t="str">
        <f t="shared" si="1"/>
        <v>New Logo</v>
      </c>
      <c r="AG824" s="17" t="str">
        <f t="shared" si="2"/>
        <v>Lead</v>
      </c>
      <c r="AH824" s="17" t="str">
        <f t="shared" si="3"/>
        <v>501-1000</v>
      </c>
      <c r="AI824" s="17" t="str">
        <f t="shared" si="4"/>
        <v>101-500</v>
      </c>
    </row>
    <row r="825" ht="15.75" customHeight="1">
      <c r="A825" s="13">
        <f>HYPERLINK("https://app.hubspot.com/contacts/8748051/record/0-3/11493057653", 11493057653)</f>
        <v>11493057653</v>
      </c>
      <c r="B825" s="14" t="s">
        <v>2705</v>
      </c>
      <c r="C825" s="14" t="s">
        <v>49</v>
      </c>
      <c r="D825" s="15">
        <v>40000.0</v>
      </c>
      <c r="E825" s="14" t="s">
        <v>146</v>
      </c>
      <c r="F825" s="14" t="s">
        <v>51</v>
      </c>
      <c r="G825" s="16">
        <v>44922.68953703704</v>
      </c>
      <c r="H825" s="16">
        <v>44966.46571759259</v>
      </c>
      <c r="I825" s="14" t="s">
        <v>39</v>
      </c>
      <c r="J825" s="14" t="s">
        <v>52</v>
      </c>
      <c r="K825" s="17"/>
      <c r="L825" s="17"/>
      <c r="M825" s="14" t="s">
        <v>43</v>
      </c>
      <c r="N825" s="14"/>
      <c r="O825" s="14" t="s">
        <v>2706</v>
      </c>
      <c r="P825" s="17"/>
      <c r="Q825" s="14"/>
      <c r="R825" s="13">
        <f>HYPERLINK("https://app.hubspot.com/contacts/8748051/record/0-2/8929926200", 8929926200)</f>
        <v>8929926200</v>
      </c>
      <c r="S825" s="14" t="s">
        <v>2707</v>
      </c>
      <c r="T825" s="18" t="s">
        <v>2708</v>
      </c>
      <c r="U825" s="14" t="s">
        <v>46</v>
      </c>
      <c r="V825" s="15"/>
      <c r="W825" s="19">
        <v>320.0</v>
      </c>
      <c r="X825" s="19">
        <v>40.0</v>
      </c>
      <c r="Y825" s="20"/>
      <c r="Z825" s="20"/>
      <c r="AA825" s="21"/>
      <c r="AB825" s="21"/>
      <c r="AC825" s="20"/>
      <c r="AD825" s="20"/>
      <c r="AE825" s="20"/>
      <c r="AF825" s="17" t="str">
        <f t="shared" si="1"/>
        <v>New Logo</v>
      </c>
      <c r="AG825" s="17" t="str">
        <f t="shared" si="2"/>
        <v>Lead</v>
      </c>
      <c r="AH825" s="17" t="str">
        <f t="shared" si="3"/>
        <v>201-500</v>
      </c>
      <c r="AI825" s="17" t="str">
        <f t="shared" si="4"/>
        <v>21-50</v>
      </c>
    </row>
    <row r="826" ht="15.75" customHeight="1">
      <c r="A826" s="13">
        <f>HYPERLINK("https://app.hubspot.com/contacts/8748051/record/0-3/11318701656", 11318701656)</f>
        <v>11318701656</v>
      </c>
      <c r="B826" s="14" t="s">
        <v>2709</v>
      </c>
      <c r="C826" s="14" t="s">
        <v>2304</v>
      </c>
      <c r="D826" s="15">
        <v>62100.0</v>
      </c>
      <c r="E826" s="14" t="s">
        <v>89</v>
      </c>
      <c r="F826" s="14" t="s">
        <v>51</v>
      </c>
      <c r="G826" s="16">
        <v>44907.434699074074</v>
      </c>
      <c r="H826" s="16">
        <v>44937.37253472222</v>
      </c>
      <c r="I826" s="14" t="s">
        <v>39</v>
      </c>
      <c r="J826" s="14" t="s">
        <v>52</v>
      </c>
      <c r="K826" s="17"/>
      <c r="L826" s="17"/>
      <c r="M826" s="14" t="s">
        <v>43</v>
      </c>
      <c r="N826" s="14" t="s">
        <v>2710</v>
      </c>
      <c r="O826" s="14"/>
      <c r="P826" s="14"/>
      <c r="Q826" s="14"/>
      <c r="R826" s="13">
        <f>HYPERLINK("https://app.hubspot.com/contacts/8748051/record/0-2/10228278794", 10228278794)</f>
        <v>10228278794</v>
      </c>
      <c r="S826" s="14" t="s">
        <v>1171</v>
      </c>
      <c r="T826" s="18" t="s">
        <v>1172</v>
      </c>
      <c r="U826" s="14">
        <v>3.4564763E7</v>
      </c>
      <c r="V826" s="15">
        <v>81180.0</v>
      </c>
      <c r="W826" s="19">
        <v>274.0</v>
      </c>
      <c r="X826" s="19">
        <v>49.0</v>
      </c>
      <c r="Y826" s="20"/>
      <c r="Z826" s="20"/>
      <c r="AA826" s="21"/>
      <c r="AB826" s="21"/>
      <c r="AC826" s="20"/>
      <c r="AD826" s="20"/>
      <c r="AE826" s="20"/>
      <c r="AF826" s="17" t="str">
        <f t="shared" si="1"/>
        <v>New Logo</v>
      </c>
      <c r="AG826" s="17" t="str">
        <f t="shared" si="2"/>
        <v>Churn</v>
      </c>
      <c r="AH826" s="17" t="str">
        <f t="shared" si="3"/>
        <v>201-500</v>
      </c>
      <c r="AI826" s="17" t="str">
        <f t="shared" si="4"/>
        <v>21-50</v>
      </c>
    </row>
    <row r="827" ht="15.75" customHeight="1">
      <c r="A827" s="13">
        <f>HYPERLINK("https://app.hubspot.com/contacts/8748051/record/0-3/11318663327", 11318663327)</f>
        <v>11318663327</v>
      </c>
      <c r="B827" s="14" t="s">
        <v>2711</v>
      </c>
      <c r="C827" s="14" t="s">
        <v>1008</v>
      </c>
      <c r="D827" s="15">
        <v>8000.0</v>
      </c>
      <c r="E827" s="14" t="s">
        <v>124</v>
      </c>
      <c r="F827" s="14" t="s">
        <v>51</v>
      </c>
      <c r="G827" s="16">
        <v>44907.42244212963</v>
      </c>
      <c r="H827" s="16">
        <v>45230.412407407406</v>
      </c>
      <c r="I827" s="14" t="s">
        <v>39</v>
      </c>
      <c r="J827" s="14" t="s">
        <v>40</v>
      </c>
      <c r="K827" s="14"/>
      <c r="L827" s="14"/>
      <c r="M827" s="14" t="s">
        <v>72</v>
      </c>
      <c r="N827" s="14"/>
      <c r="O827" s="14"/>
      <c r="P827" s="17"/>
      <c r="Q827" s="14" t="s">
        <v>771</v>
      </c>
      <c r="R827" s="13">
        <f>HYPERLINK("https://app.hubspot.com/contacts/8748051/record/0-2/9238333748", 9238333748)</f>
        <v>9238333748</v>
      </c>
      <c r="S827" s="14" t="s">
        <v>2712</v>
      </c>
      <c r="T827" s="18" t="s">
        <v>2713</v>
      </c>
      <c r="U827" s="14" t="s">
        <v>46</v>
      </c>
      <c r="V827" s="15"/>
      <c r="W827" s="19">
        <v>119.0</v>
      </c>
      <c r="X827" s="19">
        <v>17.0</v>
      </c>
      <c r="Y827" s="20"/>
      <c r="Z827" s="20"/>
      <c r="AA827" s="21"/>
      <c r="AB827" s="21"/>
      <c r="AC827" s="20"/>
      <c r="AD827" s="21"/>
      <c r="AE827" s="20"/>
      <c r="AF827" s="17" t="str">
        <f t="shared" si="1"/>
        <v>New Logo</v>
      </c>
      <c r="AG827" s="17" t="str">
        <f t="shared" si="2"/>
        <v>Lead</v>
      </c>
      <c r="AH827" s="17" t="str">
        <f t="shared" si="3"/>
        <v>0-200</v>
      </c>
      <c r="AI827" s="17" t="str">
        <f t="shared" si="4"/>
        <v>0-20</v>
      </c>
    </row>
    <row r="828" ht="15.75" customHeight="1">
      <c r="A828" s="13">
        <f>HYPERLINK("https://app.hubspot.com/contacts/8748051/record/0-3/11282170026", 11282170026)</f>
        <v>11282170026</v>
      </c>
      <c r="B828" s="14" t="s">
        <v>2714</v>
      </c>
      <c r="C828" s="14" t="s">
        <v>1008</v>
      </c>
      <c r="D828" s="15">
        <v>45000.0</v>
      </c>
      <c r="E828" s="14" t="s">
        <v>124</v>
      </c>
      <c r="F828" s="14" t="s">
        <v>51</v>
      </c>
      <c r="G828" s="16">
        <v>44904.12777777778</v>
      </c>
      <c r="H828" s="16">
        <v>45016.168541666666</v>
      </c>
      <c r="I828" s="14" t="s">
        <v>39</v>
      </c>
      <c r="J828" s="14" t="s">
        <v>52</v>
      </c>
      <c r="K828" s="17"/>
      <c r="L828" s="17"/>
      <c r="M828" s="14" t="s">
        <v>98</v>
      </c>
      <c r="N828" s="17"/>
      <c r="O828" s="14"/>
      <c r="P828" s="14"/>
      <c r="Q828" s="14" t="s">
        <v>141</v>
      </c>
      <c r="R828" s="13">
        <f>HYPERLINK("https://app.hubspot.com/contacts/8748051/record/0-2/7786751651", 7786751651)</f>
        <v>7786751651</v>
      </c>
      <c r="S828" s="14" t="s">
        <v>1920</v>
      </c>
      <c r="T828" s="18" t="s">
        <v>1921</v>
      </c>
      <c r="U828" s="14" t="s">
        <v>46</v>
      </c>
      <c r="V828" s="22"/>
      <c r="W828" s="19">
        <v>1827.0</v>
      </c>
      <c r="X828" s="19">
        <v>378.0</v>
      </c>
      <c r="Y828" s="20" t="s">
        <v>78</v>
      </c>
      <c r="Z828" s="21"/>
      <c r="AA828" s="21"/>
      <c r="AB828" s="21"/>
      <c r="AC828" s="21"/>
      <c r="AD828" s="21"/>
      <c r="AE828" s="21"/>
      <c r="AF828" s="17" t="str">
        <f t="shared" si="1"/>
        <v>New Logo</v>
      </c>
      <c r="AG828" s="17" t="str">
        <f t="shared" si="2"/>
        <v>Lead</v>
      </c>
      <c r="AH828" s="17" t="str">
        <f t="shared" si="3"/>
        <v>1001-5000</v>
      </c>
      <c r="AI828" s="17" t="str">
        <f t="shared" si="4"/>
        <v>101-500</v>
      </c>
    </row>
    <row r="829" ht="15.75" customHeight="1">
      <c r="A829" s="13">
        <f>HYPERLINK("https://app.hubspot.com/contacts/8748051/record/0-3/11277545078", 11277545078)</f>
        <v>11277545078</v>
      </c>
      <c r="B829" s="14" t="s">
        <v>2715</v>
      </c>
      <c r="C829" s="14" t="s">
        <v>1008</v>
      </c>
      <c r="D829" s="15">
        <v>9000.0</v>
      </c>
      <c r="E829" s="14" t="s">
        <v>124</v>
      </c>
      <c r="F829" s="14" t="s">
        <v>51</v>
      </c>
      <c r="G829" s="16">
        <v>44904.00570601852</v>
      </c>
      <c r="H829" s="16">
        <v>45016.023993055554</v>
      </c>
      <c r="I829" s="14" t="s">
        <v>39</v>
      </c>
      <c r="J829" s="14" t="s">
        <v>52</v>
      </c>
      <c r="K829" s="14"/>
      <c r="L829" s="14"/>
      <c r="M829" s="14" t="s">
        <v>72</v>
      </c>
      <c r="N829" s="14"/>
      <c r="O829" s="14"/>
      <c r="P829" s="17"/>
      <c r="Q829" s="14" t="s">
        <v>141</v>
      </c>
      <c r="R829" s="13">
        <f>HYPERLINK("https://app.hubspot.com/contacts/8748051/record/0-2/10266662914", 10266662914)</f>
        <v>10266662914</v>
      </c>
      <c r="S829" s="14" t="s">
        <v>2716</v>
      </c>
      <c r="T829" s="18" t="s">
        <v>2717</v>
      </c>
      <c r="U829" s="14" t="s">
        <v>46</v>
      </c>
      <c r="V829" s="15"/>
      <c r="W829" s="19">
        <v>139.0</v>
      </c>
      <c r="X829" s="19">
        <v>3.0</v>
      </c>
      <c r="Y829" s="20"/>
      <c r="Z829" s="20"/>
      <c r="AA829" s="21"/>
      <c r="AB829" s="21"/>
      <c r="AC829" s="20"/>
      <c r="AD829" s="21"/>
      <c r="AE829" s="20"/>
      <c r="AF829" s="17" t="str">
        <f t="shared" si="1"/>
        <v>New Logo</v>
      </c>
      <c r="AG829" s="17" t="str">
        <f t="shared" si="2"/>
        <v>Lead</v>
      </c>
      <c r="AH829" s="17" t="str">
        <f t="shared" si="3"/>
        <v>0-200</v>
      </c>
      <c r="AI829" s="17" t="str">
        <f t="shared" si="4"/>
        <v>0-20</v>
      </c>
    </row>
    <row r="830" ht="15.75" customHeight="1">
      <c r="A830" s="13">
        <f>HYPERLINK("https://app.hubspot.com/contacts/8748051/record/0-3/11277650784", 11277650784)</f>
        <v>11277650784</v>
      </c>
      <c r="B830" s="14" t="s">
        <v>2718</v>
      </c>
      <c r="C830" s="14" t="s">
        <v>49</v>
      </c>
      <c r="D830" s="15">
        <v>15000.0</v>
      </c>
      <c r="E830" s="14" t="s">
        <v>124</v>
      </c>
      <c r="F830" s="14" t="s">
        <v>51</v>
      </c>
      <c r="G830" s="16">
        <v>44904.00403935185</v>
      </c>
      <c r="H830" s="16">
        <v>45291.45725694444</v>
      </c>
      <c r="I830" s="14" t="s">
        <v>39</v>
      </c>
      <c r="J830" s="14" t="s">
        <v>52</v>
      </c>
      <c r="K830" s="17"/>
      <c r="L830" s="17"/>
      <c r="M830" s="14" t="s">
        <v>98</v>
      </c>
      <c r="N830" s="14"/>
      <c r="O830" s="14"/>
      <c r="P830" s="17"/>
      <c r="Q830" s="14" t="s">
        <v>125</v>
      </c>
      <c r="R830" s="13">
        <f>HYPERLINK("https://app.hubspot.com/contacts/8748051/record/0-2/10242262171", 10242262171)</f>
        <v>10242262171</v>
      </c>
      <c r="S830" s="14" t="s">
        <v>2719</v>
      </c>
      <c r="T830" s="18" t="s">
        <v>2720</v>
      </c>
      <c r="U830" s="14" t="s">
        <v>46</v>
      </c>
      <c r="V830" s="15"/>
      <c r="W830" s="19">
        <v>4481.0</v>
      </c>
      <c r="X830" s="19">
        <v>119.0</v>
      </c>
      <c r="Y830" s="20"/>
      <c r="Z830" s="20"/>
      <c r="AA830" s="21"/>
      <c r="AB830" s="21"/>
      <c r="AC830" s="20"/>
      <c r="AD830" s="20"/>
      <c r="AE830" s="20"/>
      <c r="AF830" s="17" t="str">
        <f t="shared" si="1"/>
        <v>New Logo</v>
      </c>
      <c r="AG830" s="17" t="str">
        <f t="shared" si="2"/>
        <v>Lead</v>
      </c>
      <c r="AH830" s="17" t="str">
        <f t="shared" si="3"/>
        <v>1001-5000</v>
      </c>
      <c r="AI830" s="17" t="str">
        <f t="shared" si="4"/>
        <v>101-500</v>
      </c>
    </row>
    <row r="831" ht="15.75" customHeight="1">
      <c r="A831" s="13">
        <f>HYPERLINK("https://app.hubspot.com/contacts/8748051/record/0-3/11126269023", 11126269023)</f>
        <v>11126269023</v>
      </c>
      <c r="B831" s="14" t="s">
        <v>2721</v>
      </c>
      <c r="C831" s="14" t="s">
        <v>2304</v>
      </c>
      <c r="D831" s="15">
        <v>60000.0</v>
      </c>
      <c r="E831" s="14" t="s">
        <v>89</v>
      </c>
      <c r="F831" s="14" t="s">
        <v>51</v>
      </c>
      <c r="G831" s="16">
        <v>44893.383043981485</v>
      </c>
      <c r="H831" s="16">
        <v>45134.51627314815</v>
      </c>
      <c r="I831" s="14" t="s">
        <v>39</v>
      </c>
      <c r="J831" s="14" t="s">
        <v>52</v>
      </c>
      <c r="K831" s="17"/>
      <c r="L831" s="17"/>
      <c r="M831" s="14" t="s">
        <v>43</v>
      </c>
      <c r="N831" s="14" t="s">
        <v>2722</v>
      </c>
      <c r="O831" s="14"/>
      <c r="P831" s="17"/>
      <c r="Q831" s="14"/>
      <c r="R831" s="13">
        <f>HYPERLINK("https://app.hubspot.com/contacts/8748051/record/0-2/8865410631", 8865410631)</f>
        <v>8865410631</v>
      </c>
      <c r="S831" s="14" t="s">
        <v>2723</v>
      </c>
      <c r="T831" s="18" t="s">
        <v>2724</v>
      </c>
      <c r="U831" s="14">
        <v>3.4564763E7</v>
      </c>
      <c r="V831" s="15">
        <v>60000.0</v>
      </c>
      <c r="W831" s="19">
        <v>314.0</v>
      </c>
      <c r="X831" s="19">
        <v>19.0</v>
      </c>
      <c r="Y831" s="20"/>
      <c r="Z831" s="20"/>
      <c r="AA831" s="21"/>
      <c r="AB831" s="21"/>
      <c r="AC831" s="20"/>
      <c r="AD831" s="20"/>
      <c r="AE831" s="20"/>
      <c r="AF831" s="17" t="str">
        <f t="shared" si="1"/>
        <v>New Logo</v>
      </c>
      <c r="AG831" s="17" t="str">
        <f t="shared" si="2"/>
        <v>Churn</v>
      </c>
      <c r="AH831" s="17" t="str">
        <f t="shared" si="3"/>
        <v>201-500</v>
      </c>
      <c r="AI831" s="17" t="str">
        <f t="shared" si="4"/>
        <v>0-20</v>
      </c>
    </row>
    <row r="832" ht="15.75" customHeight="1">
      <c r="A832" s="13">
        <f>HYPERLINK("https://app.hubspot.com/contacts/8748051/record/0-3/11126268723", 11126268723)</f>
        <v>11126268723</v>
      </c>
      <c r="B832" s="14" t="s">
        <v>2725</v>
      </c>
      <c r="C832" s="14" t="s">
        <v>145</v>
      </c>
      <c r="D832" s="15">
        <v>10000.0</v>
      </c>
      <c r="E832" s="14" t="s">
        <v>146</v>
      </c>
      <c r="F832" s="14"/>
      <c r="G832" s="16">
        <v>44893.38167824074</v>
      </c>
      <c r="H832" s="16">
        <v>45145.369791666664</v>
      </c>
      <c r="I832" s="14" t="s">
        <v>39</v>
      </c>
      <c r="J832" s="14" t="s">
        <v>40</v>
      </c>
      <c r="K832" s="17"/>
      <c r="L832" s="17"/>
      <c r="M832" s="14" t="s">
        <v>43</v>
      </c>
      <c r="N832" s="14"/>
      <c r="O832" s="14" t="s">
        <v>2726</v>
      </c>
      <c r="P832" s="17"/>
      <c r="Q832" s="14"/>
      <c r="R832" s="13">
        <f>HYPERLINK("https://app.hubspot.com/contacts/8748051/record/0-2/8138011789", 8138011789)</f>
        <v>8138011789</v>
      </c>
      <c r="S832" s="14" t="s">
        <v>2727</v>
      </c>
      <c r="T832" s="18" t="s">
        <v>2728</v>
      </c>
      <c r="U832" s="14" t="s">
        <v>46</v>
      </c>
      <c r="V832" s="15"/>
      <c r="W832" s="19">
        <v>118.0</v>
      </c>
      <c r="X832" s="19">
        <v>15.0</v>
      </c>
      <c r="Y832" s="20"/>
      <c r="Z832" s="20"/>
      <c r="AA832" s="21"/>
      <c r="AB832" s="21"/>
      <c r="AC832" s="20"/>
      <c r="AD832" s="20"/>
      <c r="AE832" s="20"/>
      <c r="AF832" s="17" t="str">
        <f t="shared" si="1"/>
        <v>New Logo</v>
      </c>
      <c r="AG832" s="17" t="str">
        <f t="shared" si="2"/>
        <v>Lead</v>
      </c>
      <c r="AH832" s="17" t="str">
        <f t="shared" si="3"/>
        <v>0-200</v>
      </c>
      <c r="AI832" s="17" t="str">
        <f t="shared" si="4"/>
        <v>0-20</v>
      </c>
    </row>
    <row r="833" ht="15.75" customHeight="1">
      <c r="A833" s="13">
        <f>HYPERLINK("https://app.hubspot.com/contacts/8748051/record/0-3/13265319806", 13265319806)</f>
        <v>13265319806</v>
      </c>
      <c r="B833" s="14" t="s">
        <v>2729</v>
      </c>
      <c r="C833" s="14" t="s">
        <v>2304</v>
      </c>
      <c r="D833" s="15">
        <v>19000.0</v>
      </c>
      <c r="E833" s="14" t="s">
        <v>89</v>
      </c>
      <c r="F833" s="14" t="s">
        <v>51</v>
      </c>
      <c r="G833" s="16">
        <v>44886.68201388889</v>
      </c>
      <c r="H833" s="16">
        <v>44918.328668981485</v>
      </c>
      <c r="I833" s="14" t="s">
        <v>39</v>
      </c>
      <c r="J833" s="14" t="s">
        <v>40</v>
      </c>
      <c r="K833" s="17"/>
      <c r="L833" s="17"/>
      <c r="M833" s="14" t="s">
        <v>43</v>
      </c>
      <c r="N833" s="14" t="s">
        <v>2730</v>
      </c>
      <c r="O833" s="14"/>
      <c r="P833" s="14"/>
      <c r="Q833" s="14"/>
      <c r="R833" s="13">
        <f>HYPERLINK("https://app.hubspot.com/contacts/8748051/record/0-2/10013265046", 10013265046)</f>
        <v>10013265046</v>
      </c>
      <c r="S833" s="14" t="s">
        <v>470</v>
      </c>
      <c r="T833" s="18" t="s">
        <v>471</v>
      </c>
      <c r="U833" s="14" t="s">
        <v>93</v>
      </c>
      <c r="V833" s="15">
        <v>40000.0</v>
      </c>
      <c r="W833" s="19">
        <v>588.0</v>
      </c>
      <c r="X833" s="19">
        <v>142.0</v>
      </c>
      <c r="Y833" s="20"/>
      <c r="Z833" s="20" t="s">
        <v>218</v>
      </c>
      <c r="AA833" s="21"/>
      <c r="AB833" s="21"/>
      <c r="AC833" s="20" t="s">
        <v>472</v>
      </c>
      <c r="AD833" s="20" t="s">
        <v>473</v>
      </c>
      <c r="AE833" s="20" t="s">
        <v>166</v>
      </c>
      <c r="AF833" s="17" t="str">
        <f t="shared" si="1"/>
        <v>New Logo</v>
      </c>
      <c r="AG833" s="17" t="str">
        <f t="shared" si="2"/>
        <v>Customer</v>
      </c>
      <c r="AH833" s="17" t="str">
        <f t="shared" si="3"/>
        <v>501-1000</v>
      </c>
      <c r="AI833" s="17" t="str">
        <f t="shared" si="4"/>
        <v>101-500</v>
      </c>
    </row>
    <row r="834" ht="15.75" customHeight="1">
      <c r="A834" s="13">
        <f>HYPERLINK("https://app.hubspot.com/contacts/8748051/record/0-3/11032121970", 11032121970)</f>
        <v>11032121970</v>
      </c>
      <c r="B834" s="14" t="s">
        <v>2731</v>
      </c>
      <c r="C834" s="14" t="s">
        <v>2304</v>
      </c>
      <c r="D834" s="15">
        <v>25000.0</v>
      </c>
      <c r="E834" s="14" t="s">
        <v>89</v>
      </c>
      <c r="F834" s="14" t="s">
        <v>51</v>
      </c>
      <c r="G834" s="16">
        <v>44886.67989583333</v>
      </c>
      <c r="H834" s="16">
        <v>45198.43188657407</v>
      </c>
      <c r="I834" s="14" t="s">
        <v>39</v>
      </c>
      <c r="J834" s="14" t="s">
        <v>40</v>
      </c>
      <c r="K834" s="14"/>
      <c r="L834" s="14"/>
      <c r="M834" s="14" t="s">
        <v>43</v>
      </c>
      <c r="N834" s="14" t="s">
        <v>2732</v>
      </c>
      <c r="O834" s="14"/>
      <c r="P834" s="14"/>
      <c r="Q834" s="14"/>
      <c r="R834" s="13">
        <f>HYPERLINK("https://app.hubspot.com/contacts/8748051/record/0-2/7480085895", 7480085895)</f>
        <v>7480085895</v>
      </c>
      <c r="S834" s="14" t="s">
        <v>710</v>
      </c>
      <c r="T834" s="18" t="s">
        <v>711</v>
      </c>
      <c r="U834" s="14" t="s">
        <v>93</v>
      </c>
      <c r="V834" s="15">
        <v>40000.0</v>
      </c>
      <c r="W834" s="19">
        <v>535.0</v>
      </c>
      <c r="X834" s="19">
        <v>184.0</v>
      </c>
      <c r="Y834" s="20"/>
      <c r="Z834" s="20" t="s">
        <v>205</v>
      </c>
      <c r="AA834" s="20"/>
      <c r="AB834" s="21"/>
      <c r="AC834" s="20" t="s">
        <v>712</v>
      </c>
      <c r="AD834" s="20"/>
      <c r="AE834" s="20" t="s">
        <v>528</v>
      </c>
      <c r="AF834" s="17" t="str">
        <f t="shared" si="1"/>
        <v>New Logo</v>
      </c>
      <c r="AG834" s="17" t="str">
        <f t="shared" si="2"/>
        <v>Customer</v>
      </c>
      <c r="AH834" s="17" t="str">
        <f t="shared" si="3"/>
        <v>501-1000</v>
      </c>
      <c r="AI834" s="17" t="str">
        <f t="shared" si="4"/>
        <v>101-500</v>
      </c>
    </row>
    <row r="835" ht="15.75" customHeight="1">
      <c r="A835" s="13">
        <f>HYPERLINK("https://app.hubspot.com/contacts/8748051/record/0-3/10925152141", 10925152141)</f>
        <v>10925152141</v>
      </c>
      <c r="B835" s="14" t="s">
        <v>2733</v>
      </c>
      <c r="C835" s="14" t="s">
        <v>37</v>
      </c>
      <c r="D835" s="15">
        <v>8000.0</v>
      </c>
      <c r="E835" s="14" t="s">
        <v>118</v>
      </c>
      <c r="F835" s="14" t="s">
        <v>51</v>
      </c>
      <c r="G835" s="16">
        <v>44879.022986111115</v>
      </c>
      <c r="H835" s="16">
        <v>45077.49974537037</v>
      </c>
      <c r="I835" s="14" t="s">
        <v>39</v>
      </c>
      <c r="J835" s="14" t="s">
        <v>40</v>
      </c>
      <c r="K835" s="14"/>
      <c r="L835" s="14"/>
      <c r="M835" s="14" t="s">
        <v>98</v>
      </c>
      <c r="N835" s="14"/>
      <c r="O835" s="14"/>
      <c r="P835" s="14" t="s">
        <v>211</v>
      </c>
      <c r="Q835" s="14"/>
      <c r="R835" s="13">
        <f>HYPERLINK("https://app.hubspot.com/contacts/8748051/record/0-2/32721374641", 32721374641)</f>
        <v>32721374641</v>
      </c>
      <c r="S835" s="14" t="s">
        <v>2734</v>
      </c>
      <c r="T835" s="18" t="s">
        <v>2735</v>
      </c>
      <c r="U835" s="14" t="s">
        <v>46</v>
      </c>
      <c r="V835" s="15"/>
      <c r="W835" s="19">
        <v>269.0</v>
      </c>
      <c r="X835" s="19">
        <v>22.0</v>
      </c>
      <c r="Y835" s="20"/>
      <c r="Z835" s="20"/>
      <c r="AA835" s="21"/>
      <c r="AB835" s="21"/>
      <c r="AC835" s="20"/>
      <c r="AD835" s="21"/>
      <c r="AE835" s="20"/>
      <c r="AF835" s="17" t="str">
        <f t="shared" si="1"/>
        <v>New Logo</v>
      </c>
      <c r="AG835" s="17" t="str">
        <f t="shared" si="2"/>
        <v>Lead</v>
      </c>
      <c r="AH835" s="17" t="str">
        <f t="shared" si="3"/>
        <v>201-500</v>
      </c>
      <c r="AI835" s="17" t="str">
        <f t="shared" si="4"/>
        <v>21-50</v>
      </c>
    </row>
    <row r="836" ht="15.75" customHeight="1">
      <c r="A836" s="13">
        <f>HYPERLINK("https://app.hubspot.com/contacts/8748051/record/0-3/10925140224", 10925140224)</f>
        <v>10925140224</v>
      </c>
      <c r="B836" s="14" t="s">
        <v>2736</v>
      </c>
      <c r="C836" s="14" t="s">
        <v>1227</v>
      </c>
      <c r="D836" s="15">
        <v>95040.0</v>
      </c>
      <c r="E836" s="14" t="s">
        <v>89</v>
      </c>
      <c r="F836" s="14" t="s">
        <v>51</v>
      </c>
      <c r="G836" s="16">
        <v>44879.02122685185</v>
      </c>
      <c r="H836" s="16">
        <v>45516.486122685186</v>
      </c>
      <c r="I836" s="14" t="s">
        <v>39</v>
      </c>
      <c r="J836" s="14" t="s">
        <v>52</v>
      </c>
      <c r="K836" s="14" t="s">
        <v>59</v>
      </c>
      <c r="L836" s="14" t="s">
        <v>448</v>
      </c>
      <c r="M836" s="14" t="s">
        <v>98</v>
      </c>
      <c r="N836" s="14" t="s">
        <v>2737</v>
      </c>
      <c r="O836" s="14"/>
      <c r="P836" s="17"/>
      <c r="Q836" s="14"/>
      <c r="R836" s="13">
        <f>HYPERLINK("https://app.hubspot.com/contacts/8748051/record/0-2/8724369215", 8724369215)</f>
        <v>8724369215</v>
      </c>
      <c r="S836" s="14" t="s">
        <v>2738</v>
      </c>
      <c r="T836" s="18" t="s">
        <v>2739</v>
      </c>
      <c r="U836" s="14" t="s">
        <v>93</v>
      </c>
      <c r="V836" s="15">
        <v>95040.0</v>
      </c>
      <c r="W836" s="19">
        <v>4522.0</v>
      </c>
      <c r="X836" s="19">
        <v>203.0</v>
      </c>
      <c r="Y836" s="20"/>
      <c r="Z836" s="20" t="s">
        <v>163</v>
      </c>
      <c r="AA836" s="20"/>
      <c r="AB836" s="21"/>
      <c r="AC836" s="20" t="s">
        <v>2740</v>
      </c>
      <c r="AD836" s="20"/>
      <c r="AE836" s="20" t="s">
        <v>166</v>
      </c>
      <c r="AF836" s="17" t="str">
        <f t="shared" si="1"/>
        <v>New Logo</v>
      </c>
      <c r="AG836" s="17" t="str">
        <f t="shared" si="2"/>
        <v>Customer</v>
      </c>
      <c r="AH836" s="17" t="str">
        <f t="shared" si="3"/>
        <v>1001-5000</v>
      </c>
      <c r="AI836" s="17" t="str">
        <f t="shared" si="4"/>
        <v>101-500</v>
      </c>
    </row>
    <row r="837" ht="15.75" customHeight="1">
      <c r="A837" s="13">
        <f>HYPERLINK("https://app.hubspot.com/contacts/8748051/record/0-3/10750772853", 10750772853)</f>
        <v>10750772853</v>
      </c>
      <c r="B837" s="14" t="s">
        <v>2741</v>
      </c>
      <c r="C837" s="14" t="s">
        <v>1008</v>
      </c>
      <c r="D837" s="15">
        <v>25000.0</v>
      </c>
      <c r="E837" s="14" t="s">
        <v>124</v>
      </c>
      <c r="F837" s="14" t="s">
        <v>51</v>
      </c>
      <c r="G837" s="16">
        <v>44865.302708333336</v>
      </c>
      <c r="H837" s="16">
        <v>45291.495671296296</v>
      </c>
      <c r="I837" s="14" t="s">
        <v>39</v>
      </c>
      <c r="J837" s="14" t="s">
        <v>52</v>
      </c>
      <c r="K837" s="17"/>
      <c r="L837" s="17"/>
      <c r="M837" s="14" t="s">
        <v>98</v>
      </c>
      <c r="N837" s="14"/>
      <c r="O837" s="14"/>
      <c r="P837" s="17"/>
      <c r="Q837" s="14" t="s">
        <v>125</v>
      </c>
      <c r="R837" s="13">
        <f>HYPERLINK("https://app.hubspot.com/contacts/8748051/record/0-2/9673925377", 9673925377)</f>
        <v>9673925377</v>
      </c>
      <c r="S837" s="14" t="s">
        <v>2742</v>
      </c>
      <c r="T837" s="18" t="s">
        <v>2743</v>
      </c>
      <c r="U837" s="14" t="s">
        <v>46</v>
      </c>
      <c r="V837" s="15"/>
      <c r="W837" s="19">
        <v>3728.0</v>
      </c>
      <c r="X837" s="19">
        <v>58.0</v>
      </c>
      <c r="Y837" s="20"/>
      <c r="Z837" s="21"/>
      <c r="AA837" s="21"/>
      <c r="AB837" s="21"/>
      <c r="AC837" s="21"/>
      <c r="AD837" s="21"/>
      <c r="AE837" s="21"/>
      <c r="AF837" s="17" t="str">
        <f t="shared" si="1"/>
        <v>New Logo</v>
      </c>
      <c r="AG837" s="17" t="str">
        <f t="shared" si="2"/>
        <v>Lead</v>
      </c>
      <c r="AH837" s="17" t="str">
        <f t="shared" si="3"/>
        <v>1001-5000</v>
      </c>
      <c r="AI837" s="17" t="str">
        <f t="shared" si="4"/>
        <v>51-100</v>
      </c>
    </row>
    <row r="838" ht="15.75" customHeight="1">
      <c r="A838" s="13">
        <f>HYPERLINK("https://app.hubspot.com/contacts/8748051/record/0-3/10722357548", 10722357548)</f>
        <v>10722357548</v>
      </c>
      <c r="B838" s="14" t="s">
        <v>2744</v>
      </c>
      <c r="C838" s="14" t="s">
        <v>1008</v>
      </c>
      <c r="D838" s="15">
        <v>35000.0</v>
      </c>
      <c r="E838" s="14" t="s">
        <v>146</v>
      </c>
      <c r="F838" s="14" t="s">
        <v>51</v>
      </c>
      <c r="G838" s="16">
        <v>44862.50032407408</v>
      </c>
      <c r="H838" s="16">
        <v>45393.462789351855</v>
      </c>
      <c r="I838" s="14" t="s">
        <v>39</v>
      </c>
      <c r="J838" s="14" t="s">
        <v>40</v>
      </c>
      <c r="K838" s="17"/>
      <c r="L838" s="14"/>
      <c r="M838" s="14" t="s">
        <v>43</v>
      </c>
      <c r="N838" s="14"/>
      <c r="O838" s="14" t="s">
        <v>2745</v>
      </c>
      <c r="P838" s="17"/>
      <c r="Q838" s="14"/>
      <c r="R838" s="13">
        <f>HYPERLINK("https://app.hubspot.com/contacts/8748051/record/0-2/8929886638", 8929886638)</f>
        <v>8929886638</v>
      </c>
      <c r="S838" s="14" t="s">
        <v>2746</v>
      </c>
      <c r="T838" s="18" t="s">
        <v>2747</v>
      </c>
      <c r="U838" s="14" t="s">
        <v>46</v>
      </c>
      <c r="V838" s="15"/>
      <c r="W838" s="19">
        <v>466.0</v>
      </c>
      <c r="X838" s="19">
        <v>192.0</v>
      </c>
      <c r="Y838" s="20" t="s">
        <v>104</v>
      </c>
      <c r="Z838" s="20"/>
      <c r="AA838" s="21"/>
      <c r="AB838" s="21"/>
      <c r="AC838" s="20"/>
      <c r="AD838" s="21"/>
      <c r="AE838" s="20"/>
      <c r="AF838" s="17" t="str">
        <f t="shared" si="1"/>
        <v>New Logo</v>
      </c>
      <c r="AG838" s="17" t="str">
        <f t="shared" si="2"/>
        <v>Lead</v>
      </c>
      <c r="AH838" s="17" t="str">
        <f t="shared" si="3"/>
        <v>201-500</v>
      </c>
      <c r="AI838" s="17" t="str">
        <f t="shared" si="4"/>
        <v>101-500</v>
      </c>
    </row>
    <row r="839" ht="15.75" customHeight="1">
      <c r="A839" s="13">
        <f>HYPERLINK("https://app.hubspot.com/contacts/8748051/record/0-3/10681963337", 10681963337)</f>
        <v>10681963337</v>
      </c>
      <c r="B839" s="14" t="s">
        <v>2748</v>
      </c>
      <c r="C839" s="14" t="s">
        <v>1008</v>
      </c>
      <c r="D839" s="15">
        <v>7900.0</v>
      </c>
      <c r="E839" s="14" t="s">
        <v>146</v>
      </c>
      <c r="F839" s="14" t="s">
        <v>51</v>
      </c>
      <c r="G839" s="16">
        <v>44859.07148148148</v>
      </c>
      <c r="H839" s="16">
        <v>44865.31239583333</v>
      </c>
      <c r="I839" s="14" t="s">
        <v>39</v>
      </c>
      <c r="J839" s="14" t="s">
        <v>40</v>
      </c>
      <c r="K839" s="17"/>
      <c r="L839" s="17"/>
      <c r="M839" s="14" t="s">
        <v>72</v>
      </c>
      <c r="N839" s="17"/>
      <c r="O839" s="14" t="s">
        <v>2749</v>
      </c>
      <c r="P839" s="17"/>
      <c r="Q839" s="14"/>
      <c r="R839" s="13">
        <f>HYPERLINK("https://app.hubspot.com/contacts/8748051/record/0-2/8918859942", 8918859942)</f>
        <v>8918859942</v>
      </c>
      <c r="S839" s="14" t="s">
        <v>2750</v>
      </c>
      <c r="T839" s="18" t="s">
        <v>2751</v>
      </c>
      <c r="U839" s="14" t="s">
        <v>46</v>
      </c>
      <c r="V839" s="22"/>
      <c r="W839" s="19">
        <v>47.0</v>
      </c>
      <c r="X839" s="19">
        <v>9.0</v>
      </c>
      <c r="Y839" s="20"/>
      <c r="Z839" s="21"/>
      <c r="AA839" s="21"/>
      <c r="AB839" s="21"/>
      <c r="AC839" s="21"/>
      <c r="AD839" s="21"/>
      <c r="AE839" s="21"/>
      <c r="AF839" s="17" t="str">
        <f t="shared" si="1"/>
        <v>New Logo</v>
      </c>
      <c r="AG839" s="17" t="str">
        <f t="shared" si="2"/>
        <v>Lead</v>
      </c>
      <c r="AH839" s="17" t="str">
        <f t="shared" si="3"/>
        <v>0-200</v>
      </c>
      <c r="AI839" s="17" t="str">
        <f t="shared" si="4"/>
        <v>0-20</v>
      </c>
    </row>
    <row r="840" ht="15.75" customHeight="1">
      <c r="A840" s="13">
        <f>HYPERLINK("https://app.hubspot.com/contacts/8748051/record/0-3/10561785483", 10561785483)</f>
        <v>10561785483</v>
      </c>
      <c r="B840" s="14" t="s">
        <v>2752</v>
      </c>
      <c r="C840" s="14" t="s">
        <v>49</v>
      </c>
      <c r="D840" s="15">
        <v>10000.0</v>
      </c>
      <c r="E840" s="14" t="s">
        <v>146</v>
      </c>
      <c r="F840" s="14" t="s">
        <v>51</v>
      </c>
      <c r="G840" s="16">
        <v>44848.332974537036</v>
      </c>
      <c r="H840" s="16">
        <v>45093.52453703704</v>
      </c>
      <c r="I840" s="14" t="s">
        <v>39</v>
      </c>
      <c r="J840" s="14" t="s">
        <v>40</v>
      </c>
      <c r="K840" s="14"/>
      <c r="L840" s="14"/>
      <c r="M840" s="14" t="s">
        <v>43</v>
      </c>
      <c r="N840" s="14"/>
      <c r="O840" s="14" t="s">
        <v>2753</v>
      </c>
      <c r="P840" s="14"/>
      <c r="Q840" s="14"/>
      <c r="R840" s="13">
        <f>HYPERLINK("https://app.hubspot.com/contacts/8748051/record/0-2/7933757566", 7933757566)</f>
        <v>7933757566</v>
      </c>
      <c r="S840" s="14" t="s">
        <v>2754</v>
      </c>
      <c r="T840" s="18" t="s">
        <v>2755</v>
      </c>
      <c r="U840" s="14" t="s">
        <v>46</v>
      </c>
      <c r="V840" s="15"/>
      <c r="W840" s="19">
        <v>72.0</v>
      </c>
      <c r="X840" s="19">
        <v>6.0</v>
      </c>
      <c r="Y840" s="20"/>
      <c r="Z840" s="20"/>
      <c r="AA840" s="21"/>
      <c r="AB840" s="21"/>
      <c r="AC840" s="20"/>
      <c r="AD840" s="20"/>
      <c r="AE840" s="20"/>
      <c r="AF840" s="17" t="str">
        <f t="shared" si="1"/>
        <v>New Logo</v>
      </c>
      <c r="AG840" s="17" t="str">
        <f t="shared" si="2"/>
        <v>Lead</v>
      </c>
      <c r="AH840" s="17" t="str">
        <f t="shared" si="3"/>
        <v>0-200</v>
      </c>
      <c r="AI840" s="17" t="str">
        <f t="shared" si="4"/>
        <v>0-20</v>
      </c>
    </row>
    <row r="841" ht="15.75" customHeight="1">
      <c r="A841" s="13">
        <f>HYPERLINK("https://app.hubspot.com/contacts/8748051/record/0-3/10516583528", 10516583528)</f>
        <v>10516583528</v>
      </c>
      <c r="B841" s="14" t="s">
        <v>2756</v>
      </c>
      <c r="C841" s="14" t="s">
        <v>145</v>
      </c>
      <c r="D841" s="15">
        <v>30000.0</v>
      </c>
      <c r="E841" s="14" t="s">
        <v>146</v>
      </c>
      <c r="F841" s="14"/>
      <c r="G841" s="16">
        <v>44844.588854166665</v>
      </c>
      <c r="H841" s="16">
        <v>44862.34173611111</v>
      </c>
      <c r="I841" s="14" t="s">
        <v>39</v>
      </c>
      <c r="J841" s="14" t="s">
        <v>52</v>
      </c>
      <c r="K841" s="17"/>
      <c r="L841" s="17"/>
      <c r="M841" s="14" t="s">
        <v>43</v>
      </c>
      <c r="N841" s="14"/>
      <c r="O841" s="14" t="s">
        <v>2757</v>
      </c>
      <c r="P841" s="14"/>
      <c r="Q841" s="14"/>
      <c r="R841" s="13">
        <f>HYPERLINK("https://app.hubspot.com/contacts/8748051/record/0-2/7668657557", 7668657557)</f>
        <v>7668657557</v>
      </c>
      <c r="S841" s="14" t="s">
        <v>2758</v>
      </c>
      <c r="T841" s="18" t="s">
        <v>2759</v>
      </c>
      <c r="U841" s="14" t="s">
        <v>46</v>
      </c>
      <c r="V841" s="15"/>
      <c r="W841" s="19">
        <v>923.0</v>
      </c>
      <c r="X841" s="19">
        <v>210.0</v>
      </c>
      <c r="Y841" s="20" t="s">
        <v>545</v>
      </c>
      <c r="Z841" s="20"/>
      <c r="AA841" s="20"/>
      <c r="AB841" s="21"/>
      <c r="AC841" s="20"/>
      <c r="AD841" s="20"/>
      <c r="AE841" s="20"/>
      <c r="AF841" s="17" t="str">
        <f t="shared" si="1"/>
        <v>New Logo</v>
      </c>
      <c r="AG841" s="17" t="str">
        <f t="shared" si="2"/>
        <v>Lead</v>
      </c>
      <c r="AH841" s="17" t="str">
        <f t="shared" si="3"/>
        <v>501-1000</v>
      </c>
      <c r="AI841" s="17" t="str">
        <f t="shared" si="4"/>
        <v>101-500</v>
      </c>
    </row>
    <row r="842" ht="15.75" customHeight="1">
      <c r="A842" s="13">
        <f>HYPERLINK("https://app.hubspot.com/contacts/8748051/record/0-3/10486140833", 10486140833)</f>
        <v>10486140833</v>
      </c>
      <c r="B842" s="14" t="s">
        <v>2760</v>
      </c>
      <c r="C842" s="14" t="s">
        <v>1008</v>
      </c>
      <c r="D842" s="15">
        <v>100000.0</v>
      </c>
      <c r="E842" s="14" t="s">
        <v>118</v>
      </c>
      <c r="F842" s="14"/>
      <c r="G842" s="16">
        <v>44841.390393518515</v>
      </c>
      <c r="H842" s="16">
        <v>45138.433541666665</v>
      </c>
      <c r="I842" s="14" t="s">
        <v>39</v>
      </c>
      <c r="J842" s="14" t="s">
        <v>40</v>
      </c>
      <c r="K842" s="17"/>
      <c r="L842" s="17"/>
      <c r="M842" s="14" t="s">
        <v>43</v>
      </c>
      <c r="N842" s="14"/>
      <c r="O842" s="17"/>
      <c r="P842" s="14" t="s">
        <v>119</v>
      </c>
      <c r="Q842" s="14"/>
      <c r="R842" s="13">
        <f>HYPERLINK("https://app.hubspot.com/contacts/8748051/record/0-2/9596187524", 9596187524)</f>
        <v>9596187524</v>
      </c>
      <c r="S842" s="14" t="s">
        <v>2761</v>
      </c>
      <c r="T842" s="18" t="s">
        <v>2762</v>
      </c>
      <c r="U842" s="14" t="s">
        <v>46</v>
      </c>
      <c r="V842" s="15"/>
      <c r="W842" s="19">
        <v>3738.0</v>
      </c>
      <c r="X842" s="19">
        <v>555.0</v>
      </c>
      <c r="Y842" s="20" t="s">
        <v>122</v>
      </c>
      <c r="Z842" s="20"/>
      <c r="AA842" s="20"/>
      <c r="AB842" s="21"/>
      <c r="AC842" s="20"/>
      <c r="AD842" s="20"/>
      <c r="AE842" s="20"/>
      <c r="AF842" s="17" t="str">
        <f t="shared" si="1"/>
        <v>New Logo</v>
      </c>
      <c r="AG842" s="17" t="str">
        <f t="shared" si="2"/>
        <v>Lead</v>
      </c>
      <c r="AH842" s="17" t="str">
        <f t="shared" si="3"/>
        <v>1001-5000</v>
      </c>
      <c r="AI842" s="17" t="str">
        <f t="shared" si="4"/>
        <v>500+</v>
      </c>
    </row>
    <row r="843" ht="15.75" customHeight="1">
      <c r="A843" s="13">
        <f>HYPERLINK("https://app.hubspot.com/contacts/8748051/record/0-3/10477206113", 10477206113)</f>
        <v>10477206113</v>
      </c>
      <c r="B843" s="14" t="s">
        <v>2763</v>
      </c>
      <c r="C843" s="14" t="s">
        <v>2304</v>
      </c>
      <c r="D843" s="15">
        <v>14400.0</v>
      </c>
      <c r="E843" s="14" t="s">
        <v>89</v>
      </c>
      <c r="F843" s="14" t="s">
        <v>51</v>
      </c>
      <c r="G843" s="16">
        <v>44840.569814814815</v>
      </c>
      <c r="H843" s="16">
        <v>44904.318391203706</v>
      </c>
      <c r="I843" s="14" t="s">
        <v>39</v>
      </c>
      <c r="J843" s="14" t="s">
        <v>40</v>
      </c>
      <c r="K843" s="17"/>
      <c r="L843" s="17"/>
      <c r="M843" s="14" t="s">
        <v>43</v>
      </c>
      <c r="N843" s="14" t="s">
        <v>2764</v>
      </c>
      <c r="O843" s="14"/>
      <c r="P843" s="14"/>
      <c r="Q843" s="14"/>
      <c r="R843" s="13">
        <f>HYPERLINK("https://app.hubspot.com/contacts/8748051/record/0-2/6262674716", 6262674716)</f>
        <v>6262674716</v>
      </c>
      <c r="S843" s="14" t="s">
        <v>2442</v>
      </c>
      <c r="T843" s="18" t="s">
        <v>2443</v>
      </c>
      <c r="U843" s="14" t="s">
        <v>93</v>
      </c>
      <c r="V843" s="15">
        <v>19800.0</v>
      </c>
      <c r="W843" s="19">
        <v>391.0</v>
      </c>
      <c r="X843" s="19">
        <v>58.0</v>
      </c>
      <c r="Y843" s="20"/>
      <c r="Z843" s="20" t="s">
        <v>184</v>
      </c>
      <c r="AA843" s="20" t="s">
        <v>205</v>
      </c>
      <c r="AB843" s="21"/>
      <c r="AC843" s="20" t="s">
        <v>2444</v>
      </c>
      <c r="AD843" s="20" t="s">
        <v>2445</v>
      </c>
      <c r="AE843" s="20" t="s">
        <v>209</v>
      </c>
      <c r="AF843" s="17" t="str">
        <f t="shared" si="1"/>
        <v>New Logo</v>
      </c>
      <c r="AG843" s="17" t="str">
        <f t="shared" si="2"/>
        <v>Customer</v>
      </c>
      <c r="AH843" s="17" t="str">
        <f t="shared" si="3"/>
        <v>201-500</v>
      </c>
      <c r="AI843" s="17" t="str">
        <f t="shared" si="4"/>
        <v>51-100</v>
      </c>
    </row>
    <row r="844" ht="15.75" customHeight="1">
      <c r="A844" s="13">
        <f>HYPERLINK("https://app.hubspot.com/contacts/8748051/record/0-3/10355101347", 10355101347)</f>
        <v>10355101347</v>
      </c>
      <c r="B844" s="14" t="s">
        <v>2765</v>
      </c>
      <c r="C844" s="14" t="s">
        <v>1008</v>
      </c>
      <c r="D844" s="15">
        <v>15000.0</v>
      </c>
      <c r="E844" s="14" t="s">
        <v>124</v>
      </c>
      <c r="F844" s="14"/>
      <c r="G844" s="16">
        <v>44833.35423611111</v>
      </c>
      <c r="H844" s="16">
        <v>45016.35334490741</v>
      </c>
      <c r="I844" s="14" t="s">
        <v>39</v>
      </c>
      <c r="J844" s="14" t="s">
        <v>40</v>
      </c>
      <c r="K844" s="17"/>
      <c r="L844" s="17"/>
      <c r="M844" s="14" t="s">
        <v>43</v>
      </c>
      <c r="N844" s="14"/>
      <c r="O844" s="14"/>
      <c r="P844" s="14"/>
      <c r="Q844" s="14" t="s">
        <v>502</v>
      </c>
      <c r="R844" s="13">
        <f>HYPERLINK("https://app.hubspot.com/contacts/8748051/record/0-2/8088324138", 8088324138)</f>
        <v>8088324138</v>
      </c>
      <c r="S844" s="14" t="s">
        <v>2766</v>
      </c>
      <c r="T844" s="18" t="s">
        <v>2767</v>
      </c>
      <c r="U844" s="14" t="s">
        <v>46</v>
      </c>
      <c r="V844" s="15"/>
      <c r="W844" s="19">
        <v>135.0</v>
      </c>
      <c r="X844" s="19">
        <v>28.0</v>
      </c>
      <c r="Y844" s="20" t="s">
        <v>104</v>
      </c>
      <c r="Z844" s="20"/>
      <c r="AA844" s="21"/>
      <c r="AB844" s="20"/>
      <c r="AC844" s="20"/>
      <c r="AD844" s="20"/>
      <c r="AE844" s="20"/>
      <c r="AF844" s="17" t="str">
        <f t="shared" si="1"/>
        <v>New Logo</v>
      </c>
      <c r="AG844" s="17" t="str">
        <f t="shared" si="2"/>
        <v>Lead</v>
      </c>
      <c r="AH844" s="17" t="str">
        <f t="shared" si="3"/>
        <v>0-200</v>
      </c>
      <c r="AI844" s="17" t="str">
        <f t="shared" si="4"/>
        <v>21-50</v>
      </c>
    </row>
    <row r="845" ht="15.75" customHeight="1">
      <c r="A845" s="13">
        <f>HYPERLINK("https://app.hubspot.com/contacts/8748051/record/0-3/10355100942", 10355100942)</f>
        <v>10355100942</v>
      </c>
      <c r="B845" s="14" t="s">
        <v>2768</v>
      </c>
      <c r="C845" s="14" t="s">
        <v>49</v>
      </c>
      <c r="D845" s="15">
        <v>15000.0</v>
      </c>
      <c r="E845" s="14" t="s">
        <v>124</v>
      </c>
      <c r="F845" s="14" t="s">
        <v>51</v>
      </c>
      <c r="G845" s="16">
        <v>44833.35039351852</v>
      </c>
      <c r="H845" s="16">
        <v>44896.37483796296</v>
      </c>
      <c r="I845" s="14" t="s">
        <v>39</v>
      </c>
      <c r="J845" s="14" t="s">
        <v>40</v>
      </c>
      <c r="K845" s="17"/>
      <c r="L845" s="14"/>
      <c r="M845" s="14" t="s">
        <v>43</v>
      </c>
      <c r="N845" s="14"/>
      <c r="O845" s="14"/>
      <c r="P845" s="17"/>
      <c r="Q845" s="14" t="s">
        <v>125</v>
      </c>
      <c r="R845" s="13">
        <f>HYPERLINK("https://app.hubspot.com/contacts/8748051/record/0-2/7649366028", 7649366028)</f>
        <v>7649366028</v>
      </c>
      <c r="S845" s="14" t="s">
        <v>83</v>
      </c>
      <c r="T845" s="18" t="s">
        <v>84</v>
      </c>
      <c r="U845" s="14" t="s">
        <v>46</v>
      </c>
      <c r="V845" s="15"/>
      <c r="W845" s="19">
        <v>413.0</v>
      </c>
      <c r="X845" s="19">
        <v>45.0</v>
      </c>
      <c r="Y845" s="20" t="s">
        <v>70</v>
      </c>
      <c r="Z845" s="20"/>
      <c r="AA845" s="21"/>
      <c r="AB845" s="20"/>
      <c r="AC845" s="20"/>
      <c r="AD845" s="20"/>
      <c r="AE845" s="20"/>
      <c r="AF845" s="17" t="str">
        <f t="shared" si="1"/>
        <v>New Logo</v>
      </c>
      <c r="AG845" s="17" t="str">
        <f t="shared" si="2"/>
        <v>Lead</v>
      </c>
      <c r="AH845" s="17" t="str">
        <f t="shared" si="3"/>
        <v>201-500</v>
      </c>
      <c r="AI845" s="17" t="str">
        <f t="shared" si="4"/>
        <v>21-50</v>
      </c>
    </row>
    <row r="846" ht="15.75" customHeight="1">
      <c r="A846" s="13">
        <f>HYPERLINK("https://app.hubspot.com/contacts/8748051/record/0-3/10323909810", 10323909810)</f>
        <v>10323909810</v>
      </c>
      <c r="B846" s="14" t="s">
        <v>2769</v>
      </c>
      <c r="C846" s="14" t="s">
        <v>37</v>
      </c>
      <c r="D846" s="15">
        <v>21000.0</v>
      </c>
      <c r="E846" s="14" t="s">
        <v>124</v>
      </c>
      <c r="F846" s="14" t="s">
        <v>51</v>
      </c>
      <c r="G846" s="16">
        <v>44831.12079861111</v>
      </c>
      <c r="H846" s="16">
        <v>45351.06081018518</v>
      </c>
      <c r="I846" s="14" t="s">
        <v>39</v>
      </c>
      <c r="J846" s="14" t="s">
        <v>52</v>
      </c>
      <c r="K846" s="17"/>
      <c r="L846" s="14"/>
      <c r="M846" s="14" t="s">
        <v>98</v>
      </c>
      <c r="N846" s="14"/>
      <c r="O846" s="14" t="s">
        <v>2770</v>
      </c>
      <c r="P846" s="17"/>
      <c r="Q846" s="14" t="s">
        <v>141</v>
      </c>
      <c r="R846" s="13">
        <f>HYPERLINK("https://app.hubspot.com/contacts/8748051/record/0-2/8448459081", 8448459081)</f>
        <v>8448459081</v>
      </c>
      <c r="S846" s="14" t="s">
        <v>369</v>
      </c>
      <c r="T846" s="18" t="s">
        <v>370</v>
      </c>
      <c r="U846" s="14" t="s">
        <v>46</v>
      </c>
      <c r="V846" s="15"/>
      <c r="W846" s="19">
        <v>1160.0</v>
      </c>
      <c r="X846" s="19">
        <v>188.0</v>
      </c>
      <c r="Y846" s="20" t="s">
        <v>371</v>
      </c>
      <c r="Z846" s="20"/>
      <c r="AA846" s="21"/>
      <c r="AB846" s="21"/>
      <c r="AC846" s="20"/>
      <c r="AD846" s="21"/>
      <c r="AE846" s="20"/>
      <c r="AF846" s="17" t="str">
        <f t="shared" si="1"/>
        <v>New Logo</v>
      </c>
      <c r="AG846" s="17" t="str">
        <f t="shared" si="2"/>
        <v>Lead</v>
      </c>
      <c r="AH846" s="17" t="str">
        <f t="shared" si="3"/>
        <v>1001-5000</v>
      </c>
      <c r="AI846" s="17" t="str">
        <f t="shared" si="4"/>
        <v>101-500</v>
      </c>
    </row>
    <row r="847" ht="15.75" customHeight="1">
      <c r="A847" s="13">
        <f>HYPERLINK("https://app.hubspot.com/contacts/8748051/record/0-3/10284876203", 10284876203)</f>
        <v>10284876203</v>
      </c>
      <c r="B847" s="14" t="s">
        <v>2771</v>
      </c>
      <c r="C847" s="14" t="s">
        <v>1227</v>
      </c>
      <c r="D847" s="15">
        <v>6000.0</v>
      </c>
      <c r="E847" s="14" t="s">
        <v>89</v>
      </c>
      <c r="F847" s="14" t="s">
        <v>51</v>
      </c>
      <c r="G847" s="16">
        <v>44827.19553240741</v>
      </c>
      <c r="H847" s="16">
        <v>45258.36460648148</v>
      </c>
      <c r="I847" s="14" t="s">
        <v>39</v>
      </c>
      <c r="J847" s="14" t="s">
        <v>40</v>
      </c>
      <c r="K847" s="17"/>
      <c r="L847" s="14" t="s">
        <v>180</v>
      </c>
      <c r="M847" s="14" t="s">
        <v>98</v>
      </c>
      <c r="N847" s="14" t="s">
        <v>2772</v>
      </c>
      <c r="O847" s="14"/>
      <c r="P847" s="17"/>
      <c r="Q847" s="14"/>
      <c r="R847" s="13">
        <f>HYPERLINK("https://app.hubspot.com/contacts/8748051/record/0-2/9556278024", 9556278024)</f>
        <v>9556278024</v>
      </c>
      <c r="S847" s="14" t="s">
        <v>1191</v>
      </c>
      <c r="T847" s="18" t="s">
        <v>1192</v>
      </c>
      <c r="U847" s="14" t="s">
        <v>93</v>
      </c>
      <c r="V847" s="15">
        <v>12000.0</v>
      </c>
      <c r="W847" s="19">
        <v>321.0</v>
      </c>
      <c r="X847" s="19">
        <v>31.0</v>
      </c>
      <c r="Y847" s="20"/>
      <c r="Z847" s="20" t="s">
        <v>218</v>
      </c>
      <c r="AA847" s="21"/>
      <c r="AB847" s="21"/>
      <c r="AC847" s="20" t="s">
        <v>1193</v>
      </c>
      <c r="AD847" s="20"/>
      <c r="AE847" s="20" t="s">
        <v>166</v>
      </c>
      <c r="AF847" s="17" t="str">
        <f t="shared" si="1"/>
        <v>New Logo</v>
      </c>
      <c r="AG847" s="17" t="str">
        <f t="shared" si="2"/>
        <v>Customer</v>
      </c>
      <c r="AH847" s="17" t="str">
        <f t="shared" si="3"/>
        <v>201-500</v>
      </c>
      <c r="AI847" s="17" t="str">
        <f t="shared" si="4"/>
        <v>21-50</v>
      </c>
    </row>
    <row r="848" ht="15.75" customHeight="1">
      <c r="A848" s="13">
        <f>HYPERLINK("https://app.hubspot.com/contacts/8748051/record/0-3/10104322709", 10104322709)</f>
        <v>10104322709</v>
      </c>
      <c r="B848" s="14" t="s">
        <v>2773</v>
      </c>
      <c r="C848" s="14" t="s">
        <v>145</v>
      </c>
      <c r="D848" s="15"/>
      <c r="E848" s="14" t="s">
        <v>146</v>
      </c>
      <c r="F848" s="14" t="s">
        <v>51</v>
      </c>
      <c r="G848" s="16">
        <v>44811.71072916667</v>
      </c>
      <c r="H848" s="16">
        <v>44862.34300925926</v>
      </c>
      <c r="I848" s="14" t="s">
        <v>39</v>
      </c>
      <c r="J848" s="14" t="s">
        <v>40</v>
      </c>
      <c r="K848" s="17"/>
      <c r="L848" s="17"/>
      <c r="M848" s="14" t="s">
        <v>43</v>
      </c>
      <c r="N848" s="17"/>
      <c r="O848" s="14" t="s">
        <v>2774</v>
      </c>
      <c r="P848" s="17"/>
      <c r="Q848" s="14"/>
      <c r="R848" s="13">
        <f>HYPERLINK("https://app.hubspot.com/contacts/8748051/record/0-2/9173801365", 9173801365)</f>
        <v>9173801365</v>
      </c>
      <c r="S848" s="14" t="s">
        <v>2775</v>
      </c>
      <c r="T848" s="18" t="s">
        <v>2776</v>
      </c>
      <c r="U848" s="14" t="s">
        <v>46</v>
      </c>
      <c r="V848" s="22"/>
      <c r="W848" s="19">
        <v>1527.0</v>
      </c>
      <c r="X848" s="19">
        <v>177.0</v>
      </c>
      <c r="Y848" s="20" t="s">
        <v>63</v>
      </c>
      <c r="Z848" s="21"/>
      <c r="AA848" s="21"/>
      <c r="AB848" s="21"/>
      <c r="AC848" s="21"/>
      <c r="AD848" s="21"/>
      <c r="AE848" s="21"/>
      <c r="AF848" s="17" t="str">
        <f t="shared" si="1"/>
        <v>New Logo</v>
      </c>
      <c r="AG848" s="17" t="str">
        <f t="shared" si="2"/>
        <v>Lead</v>
      </c>
      <c r="AH848" s="17" t="str">
        <f t="shared" si="3"/>
        <v>1001-5000</v>
      </c>
      <c r="AI848" s="17" t="str">
        <f t="shared" si="4"/>
        <v>101-500</v>
      </c>
    </row>
    <row r="849" ht="15.75" customHeight="1">
      <c r="A849" s="13">
        <f>HYPERLINK("https://app.hubspot.com/contacts/8748051/record/0-3/9993740065", 9993740065)</f>
        <v>9993740065</v>
      </c>
      <c r="B849" s="14" t="s">
        <v>2777</v>
      </c>
      <c r="C849" s="14" t="s">
        <v>49</v>
      </c>
      <c r="D849" s="15">
        <v>15000.0</v>
      </c>
      <c r="E849" s="14" t="s">
        <v>124</v>
      </c>
      <c r="F849" s="14" t="s">
        <v>51</v>
      </c>
      <c r="G849" s="16">
        <v>44803.70993055555</v>
      </c>
      <c r="H849" s="16">
        <v>45376.43366898148</v>
      </c>
      <c r="I849" s="14" t="s">
        <v>39</v>
      </c>
      <c r="J849" s="14" t="s">
        <v>40</v>
      </c>
      <c r="K849" s="17"/>
      <c r="L849" s="17"/>
      <c r="M849" s="14" t="s">
        <v>43</v>
      </c>
      <c r="N849" s="14"/>
      <c r="O849" s="14"/>
      <c r="P849" s="14"/>
      <c r="Q849" s="14" t="s">
        <v>502</v>
      </c>
      <c r="R849" s="13">
        <f>HYPERLINK("https://app.hubspot.com/contacts/8748051/record/0-2/7648061975", 7648061975)</f>
        <v>7648061975</v>
      </c>
      <c r="S849" s="14" t="s">
        <v>2778</v>
      </c>
      <c r="T849" s="18" t="s">
        <v>2779</v>
      </c>
      <c r="U849" s="14" t="s">
        <v>46</v>
      </c>
      <c r="V849" s="15"/>
      <c r="W849" s="19">
        <v>1585.0</v>
      </c>
      <c r="X849" s="19">
        <v>426.0</v>
      </c>
      <c r="Y849" s="20" t="s">
        <v>1106</v>
      </c>
      <c r="Z849" s="20"/>
      <c r="AA849" s="21"/>
      <c r="AB849" s="21"/>
      <c r="AC849" s="20"/>
      <c r="AD849" s="20"/>
      <c r="AE849" s="20"/>
      <c r="AF849" s="17" t="str">
        <f t="shared" si="1"/>
        <v>New Logo</v>
      </c>
      <c r="AG849" s="17" t="str">
        <f t="shared" si="2"/>
        <v>Lead</v>
      </c>
      <c r="AH849" s="17" t="str">
        <f t="shared" si="3"/>
        <v>1001-5000</v>
      </c>
      <c r="AI849" s="17" t="str">
        <f t="shared" si="4"/>
        <v>101-500</v>
      </c>
    </row>
    <row r="850" ht="15.75" customHeight="1">
      <c r="A850" s="13">
        <f>HYPERLINK("https://app.hubspot.com/contacts/8748051/record/0-3/9993513755", 9993513755)</f>
        <v>9993513755</v>
      </c>
      <c r="B850" s="14" t="s">
        <v>2780</v>
      </c>
      <c r="C850" s="14" t="s">
        <v>49</v>
      </c>
      <c r="D850" s="15">
        <v>10000.0</v>
      </c>
      <c r="E850" s="14" t="s">
        <v>146</v>
      </c>
      <c r="F850" s="14" t="s">
        <v>51</v>
      </c>
      <c r="G850" s="16">
        <v>44803.697696759256</v>
      </c>
      <c r="H850" s="16">
        <v>45093.52421296296</v>
      </c>
      <c r="I850" s="14" t="s">
        <v>39</v>
      </c>
      <c r="J850" s="14" t="s">
        <v>52</v>
      </c>
      <c r="K850" s="14"/>
      <c r="L850" s="14"/>
      <c r="M850" s="14" t="s">
        <v>43</v>
      </c>
      <c r="N850" s="14"/>
      <c r="O850" s="14" t="s">
        <v>2781</v>
      </c>
      <c r="P850" s="14"/>
      <c r="Q850" s="14"/>
      <c r="R850" s="13">
        <f>HYPERLINK("https://app.hubspot.com/contacts/8748051/record/0-2/5851007907", 5851007907)</f>
        <v>5851007907</v>
      </c>
      <c r="S850" s="14" t="s">
        <v>2782</v>
      </c>
      <c r="T850" s="18" t="s">
        <v>2783</v>
      </c>
      <c r="U850" s="14" t="s">
        <v>46</v>
      </c>
      <c r="V850" s="15"/>
      <c r="W850" s="19">
        <v>964.0</v>
      </c>
      <c r="X850" s="19">
        <v>195.0</v>
      </c>
      <c r="Y850" s="20" t="s">
        <v>455</v>
      </c>
      <c r="Z850" s="20"/>
      <c r="AA850" s="21"/>
      <c r="AB850" s="20"/>
      <c r="AC850" s="20"/>
      <c r="AD850" s="20"/>
      <c r="AE850" s="20"/>
      <c r="AF850" s="17" t="str">
        <f t="shared" si="1"/>
        <v>New Logo</v>
      </c>
      <c r="AG850" s="17" t="str">
        <f t="shared" si="2"/>
        <v>Lead</v>
      </c>
      <c r="AH850" s="17" t="str">
        <f t="shared" si="3"/>
        <v>501-1000</v>
      </c>
      <c r="AI850" s="17" t="str">
        <f t="shared" si="4"/>
        <v>101-500</v>
      </c>
    </row>
    <row r="851" ht="15.75" customHeight="1">
      <c r="A851" s="13">
        <f>HYPERLINK("https://app.hubspot.com/contacts/8748051/record/0-3/9870374452", 9870374452)</f>
        <v>9870374452</v>
      </c>
      <c r="B851" s="14" t="s">
        <v>2784</v>
      </c>
      <c r="C851" s="14" t="s">
        <v>37</v>
      </c>
      <c r="D851" s="15">
        <v>10000.0</v>
      </c>
      <c r="E851" s="14" t="s">
        <v>124</v>
      </c>
      <c r="F851" s="14"/>
      <c r="G851" s="16">
        <v>44792.409537037034</v>
      </c>
      <c r="H851" s="16">
        <v>44926.46818287037</v>
      </c>
      <c r="I851" s="14" t="s">
        <v>39</v>
      </c>
      <c r="J851" s="14" t="s">
        <v>40</v>
      </c>
      <c r="K851" s="17"/>
      <c r="L851" s="14"/>
      <c r="M851" s="14" t="s">
        <v>43</v>
      </c>
      <c r="N851" s="14"/>
      <c r="O851" s="14"/>
      <c r="P851" s="14"/>
      <c r="Q851" s="14" t="s">
        <v>373</v>
      </c>
      <c r="R851" s="13">
        <f>HYPERLINK("https://app.hubspot.com/contacts/8748051/record/0-2/7776755848", 7776755848)</f>
        <v>7776755848</v>
      </c>
      <c r="S851" s="14" t="s">
        <v>2785</v>
      </c>
      <c r="T851" s="18" t="s">
        <v>2786</v>
      </c>
      <c r="U851" s="14" t="s">
        <v>46</v>
      </c>
      <c r="V851" s="15"/>
      <c r="W851" s="19">
        <v>863.0</v>
      </c>
      <c r="X851" s="19">
        <v>188.0</v>
      </c>
      <c r="Y851" s="20" t="s">
        <v>371</v>
      </c>
      <c r="Z851" s="21"/>
      <c r="AA851" s="21"/>
      <c r="AB851" s="21"/>
      <c r="AC851" s="21"/>
      <c r="AD851" s="21"/>
      <c r="AE851" s="21"/>
      <c r="AF851" s="17" t="str">
        <f t="shared" si="1"/>
        <v>New Logo</v>
      </c>
      <c r="AG851" s="17" t="str">
        <f t="shared" si="2"/>
        <v>Lead</v>
      </c>
      <c r="AH851" s="17" t="str">
        <f t="shared" si="3"/>
        <v>501-1000</v>
      </c>
      <c r="AI851" s="17" t="str">
        <f t="shared" si="4"/>
        <v>101-500</v>
      </c>
    </row>
    <row r="852" ht="15.75" customHeight="1">
      <c r="A852" s="13">
        <f>HYPERLINK("https://app.hubspot.com/contacts/8748051/record/0-3/9848992125", 9848992125)</f>
        <v>9848992125</v>
      </c>
      <c r="B852" s="14" t="s">
        <v>2787</v>
      </c>
      <c r="C852" s="14" t="s">
        <v>49</v>
      </c>
      <c r="D852" s="15">
        <v>10000.0</v>
      </c>
      <c r="E852" s="14" t="s">
        <v>124</v>
      </c>
      <c r="F852" s="14"/>
      <c r="G852" s="16">
        <v>44790.527453703704</v>
      </c>
      <c r="H852" s="16">
        <v>44865.52700231481</v>
      </c>
      <c r="I852" s="14" t="s">
        <v>39</v>
      </c>
      <c r="J852" s="14" t="s">
        <v>40</v>
      </c>
      <c r="K852" s="17"/>
      <c r="L852" s="14"/>
      <c r="M852" s="14" t="s">
        <v>43</v>
      </c>
      <c r="N852" s="14"/>
      <c r="O852" s="14"/>
      <c r="P852" s="17"/>
      <c r="Q852" s="14" t="s">
        <v>141</v>
      </c>
      <c r="R852" s="13">
        <f>HYPERLINK("https://app.hubspot.com/contacts/8748051/record/0-2/6816536166", 6816536166)</f>
        <v>6816536166</v>
      </c>
      <c r="S852" s="14" t="s">
        <v>2788</v>
      </c>
      <c r="T852" s="18" t="s">
        <v>2789</v>
      </c>
      <c r="U852" s="14" t="s">
        <v>46</v>
      </c>
      <c r="V852" s="15"/>
      <c r="W852" s="19">
        <v>221.0</v>
      </c>
      <c r="X852" s="19">
        <v>12.0</v>
      </c>
      <c r="Y852" s="20"/>
      <c r="Z852" s="21"/>
      <c r="AA852" s="21"/>
      <c r="AB852" s="21"/>
      <c r="AC852" s="21"/>
      <c r="AD852" s="21"/>
      <c r="AE852" s="21"/>
      <c r="AF852" s="17" t="str">
        <f t="shared" si="1"/>
        <v>New Logo</v>
      </c>
      <c r="AG852" s="17" t="str">
        <f t="shared" si="2"/>
        <v>Lead</v>
      </c>
      <c r="AH852" s="17" t="str">
        <f t="shared" si="3"/>
        <v>201-500</v>
      </c>
      <c r="AI852" s="17" t="str">
        <f t="shared" si="4"/>
        <v>0-20</v>
      </c>
    </row>
    <row r="853" ht="15.75" customHeight="1">
      <c r="A853" s="13">
        <f>HYPERLINK("https://app.hubspot.com/contacts/8748051/record/0-3/9836898461", 9836898461)</f>
        <v>9836898461</v>
      </c>
      <c r="B853" s="14" t="s">
        <v>2790</v>
      </c>
      <c r="C853" s="14" t="s">
        <v>1008</v>
      </c>
      <c r="D853" s="15">
        <v>4000.0</v>
      </c>
      <c r="E853" s="14" t="s">
        <v>124</v>
      </c>
      <c r="F853" s="14"/>
      <c r="G853" s="16">
        <v>44789.721597222226</v>
      </c>
      <c r="H853" s="16">
        <v>45016.37619212963</v>
      </c>
      <c r="I853" s="14" t="s">
        <v>39</v>
      </c>
      <c r="J853" s="14" t="s">
        <v>40</v>
      </c>
      <c r="K853" s="17"/>
      <c r="L853" s="17"/>
      <c r="M853" s="14" t="s">
        <v>43</v>
      </c>
      <c r="N853" s="14"/>
      <c r="O853" s="14"/>
      <c r="P853" s="17"/>
      <c r="Q853" s="14" t="s">
        <v>141</v>
      </c>
      <c r="R853" s="13">
        <f>HYPERLINK("https://app.hubspot.com/contacts/8748051/record/0-2/8922942776", 8922942776)</f>
        <v>8922942776</v>
      </c>
      <c r="S853" s="14" t="s">
        <v>2791</v>
      </c>
      <c r="T853" s="18" t="s">
        <v>2792</v>
      </c>
      <c r="U853" s="14" t="s">
        <v>46</v>
      </c>
      <c r="V853" s="15"/>
      <c r="W853" s="19">
        <v>177.0</v>
      </c>
      <c r="X853" s="19">
        <v>42.0</v>
      </c>
      <c r="Y853" s="20"/>
      <c r="Z853" s="21"/>
      <c r="AA853" s="21"/>
      <c r="AB853" s="21"/>
      <c r="AC853" s="21"/>
      <c r="AD853" s="21"/>
      <c r="AE853" s="21"/>
      <c r="AF853" s="17" t="str">
        <f t="shared" si="1"/>
        <v>New Logo</v>
      </c>
      <c r="AG853" s="17" t="str">
        <f t="shared" si="2"/>
        <v>Lead</v>
      </c>
      <c r="AH853" s="17" t="str">
        <f t="shared" si="3"/>
        <v>0-200</v>
      </c>
      <c r="AI853" s="17" t="str">
        <f t="shared" si="4"/>
        <v>21-50</v>
      </c>
    </row>
    <row r="854" ht="15.75" customHeight="1">
      <c r="A854" s="13">
        <f>HYPERLINK("https://app.hubspot.com/contacts/8748051/record/0-3/9789652540", 9789652540)</f>
        <v>9789652540</v>
      </c>
      <c r="B854" s="14" t="s">
        <v>2793</v>
      </c>
      <c r="C854" s="14" t="s">
        <v>145</v>
      </c>
      <c r="D854" s="15">
        <v>10000.0</v>
      </c>
      <c r="E854" s="14" t="s">
        <v>146</v>
      </c>
      <c r="F854" s="14" t="s">
        <v>51</v>
      </c>
      <c r="G854" s="16">
        <v>44784.33181712963</v>
      </c>
      <c r="H854" s="16">
        <v>45093.416238425925</v>
      </c>
      <c r="I854" s="14" t="s">
        <v>39</v>
      </c>
      <c r="J854" s="14" t="s">
        <v>40</v>
      </c>
      <c r="K854" s="17"/>
      <c r="L854" s="17"/>
      <c r="M854" s="14" t="s">
        <v>43</v>
      </c>
      <c r="N854" s="14"/>
      <c r="O854" s="14" t="s">
        <v>2794</v>
      </c>
      <c r="P854" s="17"/>
      <c r="Q854" s="14"/>
      <c r="R854" s="13">
        <f>HYPERLINK("https://app.hubspot.com/contacts/8748051/record/0-2/9276865083", 9276865083)</f>
        <v>9276865083</v>
      </c>
      <c r="S854" s="14" t="s">
        <v>2795</v>
      </c>
      <c r="T854" s="18" t="s">
        <v>2796</v>
      </c>
      <c r="U854" s="14" t="s">
        <v>46</v>
      </c>
      <c r="V854" s="15"/>
      <c r="W854" s="19">
        <v>19.0</v>
      </c>
      <c r="X854" s="19">
        <v>3.0</v>
      </c>
      <c r="Y854" s="20"/>
      <c r="Z854" s="20"/>
      <c r="AA854" s="21"/>
      <c r="AB854" s="21"/>
      <c r="AC854" s="20"/>
      <c r="AD854" s="20"/>
      <c r="AE854" s="20"/>
      <c r="AF854" s="17" t="str">
        <f t="shared" si="1"/>
        <v>New Logo</v>
      </c>
      <c r="AG854" s="17" t="str">
        <f t="shared" si="2"/>
        <v>Lead</v>
      </c>
      <c r="AH854" s="17" t="str">
        <f t="shared" si="3"/>
        <v>0-200</v>
      </c>
      <c r="AI854" s="17" t="str">
        <f t="shared" si="4"/>
        <v>0-20</v>
      </c>
    </row>
    <row r="855" ht="15.75" customHeight="1">
      <c r="A855" s="13">
        <f>HYPERLINK("https://app.hubspot.com/contacts/8748051/record/0-3/9772203419", 9772203419)</f>
        <v>9772203419</v>
      </c>
      <c r="B855" s="14" t="s">
        <v>2797</v>
      </c>
      <c r="C855" s="14" t="s">
        <v>49</v>
      </c>
      <c r="D855" s="15">
        <v>20000.0</v>
      </c>
      <c r="E855" s="14" t="s">
        <v>577</v>
      </c>
      <c r="F855" s="14"/>
      <c r="G855" s="16">
        <v>44782.75114583333</v>
      </c>
      <c r="H855" s="16">
        <v>44895.750543981485</v>
      </c>
      <c r="I855" s="14" t="s">
        <v>39</v>
      </c>
      <c r="J855" s="14" t="s">
        <v>40</v>
      </c>
      <c r="K855" s="14"/>
      <c r="L855" s="14"/>
      <c r="M855" s="14" t="s">
        <v>43</v>
      </c>
      <c r="N855" s="14"/>
      <c r="O855" s="17"/>
      <c r="P855" s="17"/>
      <c r="Q855" s="14"/>
      <c r="R855" s="13">
        <f>HYPERLINK("https://app.hubspot.com/contacts/8748051/record/0-2/8724489606", 8724489606)</f>
        <v>8724489606</v>
      </c>
      <c r="S855" s="14" t="s">
        <v>2798</v>
      </c>
      <c r="T855" s="18" t="s">
        <v>2799</v>
      </c>
      <c r="U855" s="14" t="s">
        <v>46</v>
      </c>
      <c r="V855" s="15"/>
      <c r="W855" s="19">
        <v>246.0</v>
      </c>
      <c r="X855" s="19">
        <v>49.0</v>
      </c>
      <c r="Y855" s="20"/>
      <c r="Z855" s="20"/>
      <c r="AA855" s="21"/>
      <c r="AB855" s="21"/>
      <c r="AC855" s="20"/>
      <c r="AD855" s="20"/>
      <c r="AE855" s="20"/>
      <c r="AF855" s="17" t="str">
        <f t="shared" si="1"/>
        <v>New Logo</v>
      </c>
      <c r="AG855" s="17" t="str">
        <f t="shared" si="2"/>
        <v>Lead</v>
      </c>
      <c r="AH855" s="17" t="str">
        <f t="shared" si="3"/>
        <v>201-500</v>
      </c>
      <c r="AI855" s="17" t="str">
        <f t="shared" si="4"/>
        <v>21-50</v>
      </c>
    </row>
    <row r="856" ht="15.75" customHeight="1">
      <c r="A856" s="13">
        <f>HYPERLINK("https://app.hubspot.com/contacts/8748051/record/0-3/9752646991", 9752646991)</f>
        <v>9752646991</v>
      </c>
      <c r="B856" s="14" t="s">
        <v>2800</v>
      </c>
      <c r="C856" s="14" t="s">
        <v>1227</v>
      </c>
      <c r="D856" s="15">
        <v>31500.0</v>
      </c>
      <c r="E856" s="14" t="s">
        <v>89</v>
      </c>
      <c r="F856" s="14" t="s">
        <v>51</v>
      </c>
      <c r="G856" s="16">
        <v>44781.03773148148</v>
      </c>
      <c r="H856" s="16">
        <v>44862.4428125</v>
      </c>
      <c r="I856" s="14" t="s">
        <v>39</v>
      </c>
      <c r="J856" s="14" t="s">
        <v>52</v>
      </c>
      <c r="K856" s="14"/>
      <c r="L856" s="14"/>
      <c r="M856" s="14" t="s">
        <v>98</v>
      </c>
      <c r="N856" s="14" t="s">
        <v>2801</v>
      </c>
      <c r="O856" s="14"/>
      <c r="P856" s="14"/>
      <c r="Q856" s="14"/>
      <c r="R856" s="13">
        <f>HYPERLINK("https://app.hubspot.com/contacts/8748051/record/0-2/7763642695", 7763642695)</f>
        <v>7763642695</v>
      </c>
      <c r="S856" s="14" t="s">
        <v>161</v>
      </c>
      <c r="T856" s="18" t="s">
        <v>162</v>
      </c>
      <c r="U856" s="14" t="s">
        <v>93</v>
      </c>
      <c r="V856" s="15">
        <v>28130.0</v>
      </c>
      <c r="W856" s="19">
        <v>1195.0</v>
      </c>
      <c r="X856" s="19">
        <v>176.0</v>
      </c>
      <c r="Y856" s="20"/>
      <c r="Z856" s="20" t="s">
        <v>163</v>
      </c>
      <c r="AA856" s="21"/>
      <c r="AB856" s="21"/>
      <c r="AC856" s="20" t="s">
        <v>164</v>
      </c>
      <c r="AD856" s="20" t="s">
        <v>165</v>
      </c>
      <c r="AE856" s="20" t="s">
        <v>166</v>
      </c>
      <c r="AF856" s="17" t="str">
        <f t="shared" si="1"/>
        <v>New Logo</v>
      </c>
      <c r="AG856" s="17" t="str">
        <f t="shared" si="2"/>
        <v>Customer</v>
      </c>
      <c r="AH856" s="17" t="str">
        <f t="shared" si="3"/>
        <v>1001-5000</v>
      </c>
      <c r="AI856" s="17" t="str">
        <f t="shared" si="4"/>
        <v>101-500</v>
      </c>
    </row>
    <row r="857" ht="15.75" customHeight="1">
      <c r="A857" s="13">
        <f>HYPERLINK("https://app.hubspot.com/contacts/8748051/record/0-3/9698586481", 9698586481)</f>
        <v>9698586481</v>
      </c>
      <c r="B857" s="14" t="s">
        <v>2802</v>
      </c>
      <c r="C857" s="14" t="s">
        <v>49</v>
      </c>
      <c r="D857" s="15">
        <v>10000.0</v>
      </c>
      <c r="E857" s="14" t="s">
        <v>124</v>
      </c>
      <c r="F857" s="14"/>
      <c r="G857" s="16">
        <v>44777.35114583333</v>
      </c>
      <c r="H857" s="16">
        <v>44957.35071759259</v>
      </c>
      <c r="I857" s="14" t="s">
        <v>39</v>
      </c>
      <c r="J857" s="14" t="s">
        <v>40</v>
      </c>
      <c r="K857" s="17"/>
      <c r="L857" s="14"/>
      <c r="M857" s="14" t="s">
        <v>43</v>
      </c>
      <c r="N857" s="14"/>
      <c r="O857" s="14"/>
      <c r="P857" s="17"/>
      <c r="Q857" s="14" t="s">
        <v>141</v>
      </c>
      <c r="R857" s="13">
        <f>HYPERLINK("https://app.hubspot.com/contacts/8748051/record/0-2/5851189553", 5851189553)</f>
        <v>5851189553</v>
      </c>
      <c r="S857" s="14" t="s">
        <v>2803</v>
      </c>
      <c r="T857" s="18" t="s">
        <v>2804</v>
      </c>
      <c r="U857" s="14" t="s">
        <v>46</v>
      </c>
      <c r="V857" s="15"/>
      <c r="W857" s="19">
        <v>905.0</v>
      </c>
      <c r="X857" s="19">
        <v>145.0</v>
      </c>
      <c r="Y857" s="20" t="s">
        <v>55</v>
      </c>
      <c r="Z857" s="21"/>
      <c r="AA857" s="21"/>
      <c r="AB857" s="21"/>
      <c r="AC857" s="21"/>
      <c r="AD857" s="21"/>
      <c r="AE857" s="21"/>
      <c r="AF857" s="17" t="str">
        <f t="shared" si="1"/>
        <v>New Logo</v>
      </c>
      <c r="AG857" s="17" t="str">
        <f t="shared" si="2"/>
        <v>Lead</v>
      </c>
      <c r="AH857" s="17" t="str">
        <f t="shared" si="3"/>
        <v>501-1000</v>
      </c>
      <c r="AI857" s="17" t="str">
        <f t="shared" si="4"/>
        <v>101-500</v>
      </c>
    </row>
    <row r="858" ht="15.75" customHeight="1">
      <c r="A858" s="13">
        <f>HYPERLINK("https://app.hubspot.com/contacts/8748051/record/0-3/9698585716", 9698585716)</f>
        <v>9698585716</v>
      </c>
      <c r="B858" s="14" t="s">
        <v>2805</v>
      </c>
      <c r="C858" s="14" t="s">
        <v>2304</v>
      </c>
      <c r="D858" s="15">
        <v>14700.0</v>
      </c>
      <c r="E858" s="14" t="s">
        <v>89</v>
      </c>
      <c r="F858" s="14" t="s">
        <v>51</v>
      </c>
      <c r="G858" s="16">
        <v>44777.34469907408</v>
      </c>
      <c r="H858" s="16">
        <v>44896.68732638889</v>
      </c>
      <c r="I858" s="14" t="s">
        <v>39</v>
      </c>
      <c r="J858" s="14" t="s">
        <v>40</v>
      </c>
      <c r="K858" s="17"/>
      <c r="L858" s="17"/>
      <c r="M858" s="14" t="s">
        <v>43</v>
      </c>
      <c r="N858" s="14" t="s">
        <v>2806</v>
      </c>
      <c r="O858" s="14"/>
      <c r="P858" s="17"/>
      <c r="Q858" s="14"/>
      <c r="R858" s="13">
        <f>HYPERLINK("https://app.hubspot.com/contacts/8748051/record/0-2/9241527874", 9241527874)</f>
        <v>9241527874</v>
      </c>
      <c r="S858" s="14" t="s">
        <v>2807</v>
      </c>
      <c r="T858" s="18" t="s">
        <v>2808</v>
      </c>
      <c r="U858" s="14">
        <v>3.4564763E7</v>
      </c>
      <c r="V858" s="15">
        <v>14700.0</v>
      </c>
      <c r="W858" s="19">
        <v>1373.0</v>
      </c>
      <c r="X858" s="19">
        <v>95.0</v>
      </c>
      <c r="Y858" s="20"/>
      <c r="Z858" s="21"/>
      <c r="AA858" s="21"/>
      <c r="AB858" s="21"/>
      <c r="AC858" s="21"/>
      <c r="AD858" s="21"/>
      <c r="AE858" s="21"/>
      <c r="AF858" s="17" t="str">
        <f t="shared" si="1"/>
        <v>New Logo</v>
      </c>
      <c r="AG858" s="17" t="str">
        <f t="shared" si="2"/>
        <v>Churn</v>
      </c>
      <c r="AH858" s="17" t="str">
        <f t="shared" si="3"/>
        <v>1001-5000</v>
      </c>
      <c r="AI858" s="17" t="str">
        <f t="shared" si="4"/>
        <v>51-100</v>
      </c>
    </row>
    <row r="859" ht="15.75" customHeight="1">
      <c r="A859" s="13">
        <f>HYPERLINK("https://app.hubspot.com/contacts/8748051/record/0-3/9604311724", 9604311724)</f>
        <v>9604311724</v>
      </c>
      <c r="B859" s="14" t="s">
        <v>2809</v>
      </c>
      <c r="C859" s="14" t="s">
        <v>49</v>
      </c>
      <c r="D859" s="15">
        <v>10000.0</v>
      </c>
      <c r="E859" s="14" t="s">
        <v>146</v>
      </c>
      <c r="F859" s="14"/>
      <c r="G859" s="16">
        <v>44768.672326388885</v>
      </c>
      <c r="H859" s="16">
        <v>45397.391168981485</v>
      </c>
      <c r="I859" s="14" t="s">
        <v>39</v>
      </c>
      <c r="J859" s="14" t="s">
        <v>40</v>
      </c>
      <c r="K859" s="17"/>
      <c r="L859" s="17"/>
      <c r="M859" s="14" t="s">
        <v>43</v>
      </c>
      <c r="N859" s="14"/>
      <c r="O859" s="14" t="s">
        <v>2810</v>
      </c>
      <c r="P859" s="14"/>
      <c r="Q859" s="14"/>
      <c r="R859" s="13">
        <f>HYPERLINK("https://app.hubspot.com/contacts/8748051/record/0-2/7945114506", 7945114506)</f>
        <v>7945114506</v>
      </c>
      <c r="S859" s="14" t="s">
        <v>2405</v>
      </c>
      <c r="T859" s="18" t="s">
        <v>2406</v>
      </c>
      <c r="U859" s="14" t="s">
        <v>46</v>
      </c>
      <c r="V859" s="15"/>
      <c r="W859" s="19">
        <v>75.0</v>
      </c>
      <c r="X859" s="19">
        <v>32.0</v>
      </c>
      <c r="Y859" s="20" t="s">
        <v>2407</v>
      </c>
      <c r="Z859" s="21"/>
      <c r="AA859" s="21"/>
      <c r="AB859" s="21"/>
      <c r="AC859" s="21"/>
      <c r="AD859" s="21"/>
      <c r="AE859" s="21"/>
      <c r="AF859" s="17" t="str">
        <f t="shared" si="1"/>
        <v>New Logo</v>
      </c>
      <c r="AG859" s="17" t="str">
        <f t="shared" si="2"/>
        <v>Lead</v>
      </c>
      <c r="AH859" s="17" t="str">
        <f t="shared" si="3"/>
        <v>0-200</v>
      </c>
      <c r="AI859" s="17" t="str">
        <f t="shared" si="4"/>
        <v>21-50</v>
      </c>
    </row>
    <row r="860" ht="15.75" customHeight="1">
      <c r="A860" s="13">
        <f>HYPERLINK("https://app.hubspot.com/contacts/8748051/record/0-3/9600481898", 9600481898)</f>
        <v>9600481898</v>
      </c>
      <c r="B860" s="14" t="s">
        <v>2811</v>
      </c>
      <c r="C860" s="14" t="s">
        <v>49</v>
      </c>
      <c r="D860" s="15">
        <v>20000.0</v>
      </c>
      <c r="E860" s="14" t="s">
        <v>124</v>
      </c>
      <c r="F860" s="14"/>
      <c r="G860" s="16">
        <v>44768.392430555556</v>
      </c>
      <c r="H860" s="16">
        <v>44895.392060185186</v>
      </c>
      <c r="I860" s="14" t="s">
        <v>39</v>
      </c>
      <c r="J860" s="14" t="s">
        <v>40</v>
      </c>
      <c r="K860" s="17"/>
      <c r="L860" s="17"/>
      <c r="M860" s="14" t="s">
        <v>43</v>
      </c>
      <c r="N860" s="14"/>
      <c r="O860" s="14"/>
      <c r="P860" s="17"/>
      <c r="Q860" s="14" t="s">
        <v>125</v>
      </c>
      <c r="R860" s="13">
        <f>HYPERLINK("https://app.hubspot.com/contacts/8748051/record/0-2/9069676582", 9069676582)</f>
        <v>9069676582</v>
      </c>
      <c r="S860" s="14" t="s">
        <v>2812</v>
      </c>
      <c r="T860" s="18" t="s">
        <v>2813</v>
      </c>
      <c r="U860" s="14" t="s">
        <v>46</v>
      </c>
      <c r="V860" s="15"/>
      <c r="W860" s="19">
        <v>796.0</v>
      </c>
      <c r="X860" s="19">
        <v>67.0</v>
      </c>
      <c r="Y860" s="20" t="s">
        <v>104</v>
      </c>
      <c r="Z860" s="20"/>
      <c r="AA860" s="21"/>
      <c r="AB860" s="20"/>
      <c r="AC860" s="20"/>
      <c r="AD860" s="20"/>
      <c r="AE860" s="20"/>
      <c r="AF860" s="17" t="str">
        <f t="shared" si="1"/>
        <v>New Logo</v>
      </c>
      <c r="AG860" s="17" t="str">
        <f t="shared" si="2"/>
        <v>Lead</v>
      </c>
      <c r="AH860" s="17" t="str">
        <f t="shared" si="3"/>
        <v>501-1000</v>
      </c>
      <c r="AI860" s="17" t="str">
        <f t="shared" si="4"/>
        <v>51-100</v>
      </c>
    </row>
    <row r="861" ht="15.75" customHeight="1">
      <c r="A861" s="13">
        <f>HYPERLINK("https://app.hubspot.com/contacts/8748051/record/0-3/9564084288", 9564084288)</f>
        <v>9564084288</v>
      </c>
      <c r="B861" s="14" t="s">
        <v>2814</v>
      </c>
      <c r="C861" s="14" t="s">
        <v>145</v>
      </c>
      <c r="D861" s="15">
        <v>10000.0</v>
      </c>
      <c r="E861" s="14" t="s">
        <v>124</v>
      </c>
      <c r="F861" s="14" t="s">
        <v>51</v>
      </c>
      <c r="G861" s="16">
        <v>44764.347719907404</v>
      </c>
      <c r="H861" s="16">
        <v>44834.347349537034</v>
      </c>
      <c r="I861" s="14" t="s">
        <v>39</v>
      </c>
      <c r="J861" s="14" t="s">
        <v>40</v>
      </c>
      <c r="K861" s="14"/>
      <c r="L861" s="14"/>
      <c r="M861" s="14" t="s">
        <v>43</v>
      </c>
      <c r="N861" s="14"/>
      <c r="O861" s="14"/>
      <c r="P861" s="17"/>
      <c r="Q861" s="14" t="s">
        <v>125</v>
      </c>
      <c r="R861" s="13">
        <f>HYPERLINK("https://app.hubspot.com/contacts/8748051/record/0-2/9112371739", 9112371739)</f>
        <v>9112371739</v>
      </c>
      <c r="S861" s="14" t="s">
        <v>2815</v>
      </c>
      <c r="T861" s="18" t="s">
        <v>2816</v>
      </c>
      <c r="U861" s="14" t="s">
        <v>46</v>
      </c>
      <c r="V861" s="15"/>
      <c r="W861" s="19">
        <v>2219.0</v>
      </c>
      <c r="X861" s="19">
        <v>179.0</v>
      </c>
      <c r="Y861" s="20" t="s">
        <v>104</v>
      </c>
      <c r="Z861" s="20"/>
      <c r="AA861" s="21"/>
      <c r="AB861" s="21"/>
      <c r="AC861" s="20"/>
      <c r="AD861" s="20"/>
      <c r="AE861" s="20"/>
      <c r="AF861" s="17" t="str">
        <f t="shared" si="1"/>
        <v>New Logo</v>
      </c>
      <c r="AG861" s="17" t="str">
        <f t="shared" si="2"/>
        <v>Lead</v>
      </c>
      <c r="AH861" s="17" t="str">
        <f t="shared" si="3"/>
        <v>1001-5000</v>
      </c>
      <c r="AI861" s="17" t="str">
        <f t="shared" si="4"/>
        <v>101-500</v>
      </c>
    </row>
    <row r="862" ht="15.75" customHeight="1">
      <c r="A862" s="13">
        <f>HYPERLINK("https://app.hubspot.com/contacts/8748051/record/0-3/9563948660", 9563948660)</f>
        <v>9563948660</v>
      </c>
      <c r="B862" s="14" t="s">
        <v>2817</v>
      </c>
      <c r="C862" s="14" t="s">
        <v>145</v>
      </c>
      <c r="D862" s="15">
        <v>1000.0</v>
      </c>
      <c r="E862" s="14" t="s">
        <v>124</v>
      </c>
      <c r="F862" s="14" t="s">
        <v>51</v>
      </c>
      <c r="G862" s="16">
        <v>44764.33013888889</v>
      </c>
      <c r="H862" s="16">
        <v>44896.40537037037</v>
      </c>
      <c r="I862" s="14" t="s">
        <v>39</v>
      </c>
      <c r="J862" s="14" t="s">
        <v>40</v>
      </c>
      <c r="K862" s="17"/>
      <c r="L862" s="17"/>
      <c r="M862" s="14" t="s">
        <v>43</v>
      </c>
      <c r="N862" s="14"/>
      <c r="O862" s="14"/>
      <c r="P862" s="17"/>
      <c r="Q862" s="14" t="s">
        <v>195</v>
      </c>
      <c r="R862" s="13">
        <f>HYPERLINK("https://app.hubspot.com/contacts/8748051/record/0-2/9199031126", 9199031126)</f>
        <v>9199031126</v>
      </c>
      <c r="S862" s="14" t="s">
        <v>2818</v>
      </c>
      <c r="T862" s="18" t="s">
        <v>2819</v>
      </c>
      <c r="U862" s="14" t="s">
        <v>46</v>
      </c>
      <c r="V862" s="15"/>
      <c r="W862" s="19">
        <v>0.0</v>
      </c>
      <c r="X862" s="19">
        <v>0.0</v>
      </c>
      <c r="Y862" s="20"/>
      <c r="Z862" s="20"/>
      <c r="AA862" s="21"/>
      <c r="AB862" s="21"/>
      <c r="AC862" s="20"/>
      <c r="AD862" s="20"/>
      <c r="AE862" s="20"/>
      <c r="AF862" s="17" t="str">
        <f t="shared" si="1"/>
        <v>New Logo</v>
      </c>
      <c r="AG862" s="17" t="str">
        <f t="shared" si="2"/>
        <v>Lead</v>
      </c>
      <c r="AH862" s="17" t="str">
        <f t="shared" si="3"/>
        <v>0-200</v>
      </c>
      <c r="AI862" s="17" t="str">
        <f t="shared" si="4"/>
        <v>0-20</v>
      </c>
    </row>
    <row r="863" ht="15.75" customHeight="1">
      <c r="A863" s="13">
        <f>HYPERLINK("https://app.hubspot.com/contacts/8748051/record/0-3/9563771392", 9563771392)</f>
        <v>9563771392</v>
      </c>
      <c r="B863" s="14" t="s">
        <v>2820</v>
      </c>
      <c r="C863" s="14" t="s">
        <v>1227</v>
      </c>
      <c r="D863" s="15">
        <v>10000.0</v>
      </c>
      <c r="E863" s="14" t="s">
        <v>124</v>
      </c>
      <c r="F863" s="14" t="s">
        <v>51</v>
      </c>
      <c r="G863" s="16">
        <v>44764.31429398148</v>
      </c>
      <c r="H863" s="16">
        <v>45046.50203703704</v>
      </c>
      <c r="I863" s="14" t="s">
        <v>39</v>
      </c>
      <c r="J863" s="14" t="s">
        <v>52</v>
      </c>
      <c r="K863" s="17"/>
      <c r="L863" s="17"/>
      <c r="M863" s="14" t="s">
        <v>98</v>
      </c>
      <c r="N863" s="14"/>
      <c r="O863" s="14" t="s">
        <v>2821</v>
      </c>
      <c r="P863" s="17"/>
      <c r="Q863" s="14" t="s">
        <v>195</v>
      </c>
      <c r="R863" s="13">
        <f>HYPERLINK("https://app.hubspot.com/contacts/8748051/record/0-2/7735473314", 7735473314)</f>
        <v>7735473314</v>
      </c>
      <c r="S863" s="14" t="s">
        <v>315</v>
      </c>
      <c r="T863" s="18" t="s">
        <v>316</v>
      </c>
      <c r="U863" s="14" t="s">
        <v>93</v>
      </c>
      <c r="V863" s="15">
        <v>7920.0</v>
      </c>
      <c r="W863" s="19">
        <v>653.0</v>
      </c>
      <c r="X863" s="19">
        <v>92.0</v>
      </c>
      <c r="Y863" s="20"/>
      <c r="Z863" s="20" t="s">
        <v>191</v>
      </c>
      <c r="AA863" s="21"/>
      <c r="AB863" s="21"/>
      <c r="AC863" s="20" t="s">
        <v>317</v>
      </c>
      <c r="AD863" s="20" t="s">
        <v>318</v>
      </c>
      <c r="AE863" s="20" t="s">
        <v>166</v>
      </c>
      <c r="AF863" s="17" t="str">
        <f t="shared" si="1"/>
        <v>New Logo</v>
      </c>
      <c r="AG863" s="17" t="str">
        <f t="shared" si="2"/>
        <v>Customer</v>
      </c>
      <c r="AH863" s="17" t="str">
        <f t="shared" si="3"/>
        <v>501-1000</v>
      </c>
      <c r="AI863" s="17" t="str">
        <f t="shared" si="4"/>
        <v>51-100</v>
      </c>
    </row>
    <row r="864" ht="15.75" customHeight="1">
      <c r="A864" s="13">
        <f>HYPERLINK("https://app.hubspot.com/contacts/8748051/record/0-3/9500191316", 9500191316)</f>
        <v>9500191316</v>
      </c>
      <c r="B864" s="14" t="s">
        <v>2822</v>
      </c>
      <c r="C864" s="14" t="s">
        <v>1227</v>
      </c>
      <c r="D864" s="15">
        <v>8000.0</v>
      </c>
      <c r="E864" s="14" t="s">
        <v>89</v>
      </c>
      <c r="F864" s="14" t="s">
        <v>51</v>
      </c>
      <c r="G864" s="16">
        <v>44757.16119212963</v>
      </c>
      <c r="H864" s="16">
        <v>44854.298854166664</v>
      </c>
      <c r="I864" s="14" t="s">
        <v>39</v>
      </c>
      <c r="J864" s="14" t="s">
        <v>40</v>
      </c>
      <c r="K864" s="14"/>
      <c r="L864" s="14"/>
      <c r="M864" s="14" t="s">
        <v>98</v>
      </c>
      <c r="N864" s="14" t="s">
        <v>2823</v>
      </c>
      <c r="O864" s="14"/>
      <c r="P864" s="17"/>
      <c r="Q864" s="14"/>
      <c r="R864" s="13">
        <f>HYPERLINK("https://app.hubspot.com/contacts/8748051/record/0-2/9069677835", 9069677835)</f>
        <v>9069677835</v>
      </c>
      <c r="S864" s="14" t="s">
        <v>2824</v>
      </c>
      <c r="T864" s="18" t="s">
        <v>2825</v>
      </c>
      <c r="U864" s="14">
        <v>3.4564763E7</v>
      </c>
      <c r="V864" s="15">
        <v>8000.0</v>
      </c>
      <c r="W864" s="19">
        <v>72.0</v>
      </c>
      <c r="X864" s="19">
        <v>15.0</v>
      </c>
      <c r="Y864" s="20"/>
      <c r="Z864" s="21"/>
      <c r="AA864" s="21"/>
      <c r="AB864" s="21"/>
      <c r="AC864" s="21"/>
      <c r="AD864" s="21"/>
      <c r="AE864" s="21"/>
      <c r="AF864" s="17" t="str">
        <f t="shared" si="1"/>
        <v>New Logo</v>
      </c>
      <c r="AG864" s="17" t="str">
        <f t="shared" si="2"/>
        <v>Churn</v>
      </c>
      <c r="AH864" s="17" t="str">
        <f t="shared" si="3"/>
        <v>0-200</v>
      </c>
      <c r="AI864" s="17" t="str">
        <f t="shared" si="4"/>
        <v>0-20</v>
      </c>
    </row>
    <row r="865" ht="15.75" customHeight="1">
      <c r="A865" s="13">
        <f>HYPERLINK("https://app.hubspot.com/contacts/8748051/record/0-3/9492530510", 9492530510)</f>
        <v>9492530510</v>
      </c>
      <c r="B865" s="14" t="s">
        <v>2826</v>
      </c>
      <c r="C865" s="14" t="s">
        <v>1008</v>
      </c>
      <c r="D865" s="15">
        <v>12000.0</v>
      </c>
      <c r="E865" s="14" t="s">
        <v>124</v>
      </c>
      <c r="F865" s="14" t="s">
        <v>51</v>
      </c>
      <c r="G865" s="16">
        <v>44756.336226851854</v>
      </c>
      <c r="H865" s="16">
        <v>45016.099016203705</v>
      </c>
      <c r="I865" s="14" t="s">
        <v>39</v>
      </c>
      <c r="J865" s="14" t="s">
        <v>40</v>
      </c>
      <c r="K865" s="17"/>
      <c r="L865" s="17"/>
      <c r="M865" s="14" t="s">
        <v>98</v>
      </c>
      <c r="N865" s="17"/>
      <c r="O865" s="14"/>
      <c r="P865" s="17"/>
      <c r="Q865" s="14" t="s">
        <v>195</v>
      </c>
      <c r="R865" s="13">
        <f>HYPERLINK("https://app.hubspot.com/contacts/8748051/record/0-2/9102544233", 9102544233)</f>
        <v>9102544233</v>
      </c>
      <c r="S865" s="14" t="s">
        <v>2827</v>
      </c>
      <c r="T865" s="18" t="s">
        <v>2828</v>
      </c>
      <c r="U865" s="14" t="s">
        <v>46</v>
      </c>
      <c r="V865" s="22"/>
      <c r="W865" s="19">
        <v>112.0</v>
      </c>
      <c r="X865" s="19">
        <v>16.0</v>
      </c>
      <c r="Y865" s="20"/>
      <c r="Z865" s="21"/>
      <c r="AA865" s="21"/>
      <c r="AB865" s="21"/>
      <c r="AC865" s="21"/>
      <c r="AD865" s="21"/>
      <c r="AE865" s="21"/>
      <c r="AF865" s="17" t="str">
        <f t="shared" si="1"/>
        <v>New Logo</v>
      </c>
      <c r="AG865" s="17" t="str">
        <f t="shared" si="2"/>
        <v>Lead</v>
      </c>
      <c r="AH865" s="17" t="str">
        <f t="shared" si="3"/>
        <v>0-200</v>
      </c>
      <c r="AI865" s="17" t="str">
        <f t="shared" si="4"/>
        <v>0-20</v>
      </c>
    </row>
    <row r="866" ht="15.75" customHeight="1">
      <c r="A866" s="13">
        <f>HYPERLINK("https://app.hubspot.com/contacts/8748051/record/0-3/9491980806", 9491980806)</f>
        <v>9491980806</v>
      </c>
      <c r="B866" s="14" t="s">
        <v>2199</v>
      </c>
      <c r="C866" s="14" t="s">
        <v>1008</v>
      </c>
      <c r="D866" s="15">
        <v>43000.0</v>
      </c>
      <c r="E866" s="14" t="s">
        <v>146</v>
      </c>
      <c r="F866" s="14" t="s">
        <v>51</v>
      </c>
      <c r="G866" s="16">
        <v>44756.245300925926</v>
      </c>
      <c r="H866" s="16">
        <v>44775.19868055556</v>
      </c>
      <c r="I866" s="14" t="s">
        <v>39</v>
      </c>
      <c r="J866" s="14" t="s">
        <v>40</v>
      </c>
      <c r="K866" s="14"/>
      <c r="L866" s="14"/>
      <c r="M866" s="14" t="s">
        <v>98</v>
      </c>
      <c r="N866" s="14"/>
      <c r="O866" s="14" t="s">
        <v>2829</v>
      </c>
      <c r="P866" s="14"/>
      <c r="Q866" s="14"/>
      <c r="R866" s="13">
        <f>HYPERLINK("https://app.hubspot.com/contacts/8748051/record/0-2/7709596024", 7709596024)</f>
        <v>7709596024</v>
      </c>
      <c r="S866" s="14" t="s">
        <v>2200</v>
      </c>
      <c r="T866" s="18" t="s">
        <v>2201</v>
      </c>
      <c r="U866" s="14" t="s">
        <v>46</v>
      </c>
      <c r="V866" s="15"/>
      <c r="W866" s="19">
        <v>1385.0</v>
      </c>
      <c r="X866" s="19">
        <v>136.0</v>
      </c>
      <c r="Y866" s="20" t="s">
        <v>70</v>
      </c>
      <c r="Z866" s="20"/>
      <c r="AA866" s="21"/>
      <c r="AB866" s="21"/>
      <c r="AC866" s="20"/>
      <c r="AD866" s="21"/>
      <c r="AE866" s="20"/>
      <c r="AF866" s="17" t="str">
        <f t="shared" si="1"/>
        <v>New Logo</v>
      </c>
      <c r="AG866" s="17" t="str">
        <f t="shared" si="2"/>
        <v>Lead</v>
      </c>
      <c r="AH866" s="17" t="str">
        <f t="shared" si="3"/>
        <v>1001-5000</v>
      </c>
      <c r="AI866" s="17" t="str">
        <f t="shared" si="4"/>
        <v>101-500</v>
      </c>
    </row>
    <row r="867" ht="15.75" customHeight="1">
      <c r="A867" s="13">
        <f>HYPERLINK("https://app.hubspot.com/contacts/8748051/record/0-3/13265977096", 13265977096)</f>
        <v>13265977096</v>
      </c>
      <c r="B867" s="14" t="s">
        <v>2830</v>
      </c>
      <c r="C867" s="14" t="s">
        <v>1008</v>
      </c>
      <c r="D867" s="15">
        <v>18000.0</v>
      </c>
      <c r="E867" s="14" t="s">
        <v>124</v>
      </c>
      <c r="F867" s="14" t="s">
        <v>51</v>
      </c>
      <c r="G867" s="16">
        <v>44756.03060185185</v>
      </c>
      <c r="H867" s="16">
        <v>45016.308854166666</v>
      </c>
      <c r="I867" s="14" t="s">
        <v>39</v>
      </c>
      <c r="J867" s="14" t="s">
        <v>40</v>
      </c>
      <c r="K867" s="17"/>
      <c r="L867" s="14"/>
      <c r="M867" s="14" t="s">
        <v>98</v>
      </c>
      <c r="N867" s="14"/>
      <c r="O867" s="14"/>
      <c r="P867" s="17"/>
      <c r="Q867" s="14" t="s">
        <v>141</v>
      </c>
      <c r="R867" s="13">
        <f>HYPERLINK("https://app.hubspot.com/contacts/8748051/record/0-2/8954257817", 8954257817)</f>
        <v>8954257817</v>
      </c>
      <c r="S867" s="14" t="s">
        <v>2831</v>
      </c>
      <c r="T867" s="18" t="s">
        <v>2832</v>
      </c>
      <c r="U867" s="14" t="s">
        <v>46</v>
      </c>
      <c r="V867" s="15"/>
      <c r="W867" s="19">
        <v>508.0</v>
      </c>
      <c r="X867" s="19">
        <v>9.0</v>
      </c>
      <c r="Y867" s="20"/>
      <c r="Z867" s="20"/>
      <c r="AA867" s="21"/>
      <c r="AB867" s="21"/>
      <c r="AC867" s="20"/>
      <c r="AD867" s="21"/>
      <c r="AE867" s="20"/>
      <c r="AF867" s="17" t="str">
        <f t="shared" si="1"/>
        <v>New Logo</v>
      </c>
      <c r="AG867" s="17" t="str">
        <f t="shared" si="2"/>
        <v>Lead</v>
      </c>
      <c r="AH867" s="17" t="str">
        <f t="shared" si="3"/>
        <v>501-1000</v>
      </c>
      <c r="AI867" s="17" t="str">
        <f t="shared" si="4"/>
        <v>0-20</v>
      </c>
    </row>
    <row r="868" ht="15.75" customHeight="1">
      <c r="A868" s="13">
        <f>HYPERLINK("https://app.hubspot.com/contacts/8748051/record/0-3/9465234347", 9465234347)</f>
        <v>9465234347</v>
      </c>
      <c r="B868" s="14" t="s">
        <v>2833</v>
      </c>
      <c r="C868" s="14" t="s">
        <v>1008</v>
      </c>
      <c r="D868" s="15">
        <v>18000.0</v>
      </c>
      <c r="E868" s="14" t="s">
        <v>146</v>
      </c>
      <c r="F868" s="14" t="s">
        <v>51</v>
      </c>
      <c r="G868" s="16">
        <v>44754.05266203704</v>
      </c>
      <c r="H868" s="16">
        <v>44789.078414351854</v>
      </c>
      <c r="I868" s="14" t="s">
        <v>39</v>
      </c>
      <c r="J868" s="14" t="s">
        <v>40</v>
      </c>
      <c r="K868" s="17"/>
      <c r="L868" s="17"/>
      <c r="M868" s="14" t="s">
        <v>98</v>
      </c>
      <c r="N868" s="14"/>
      <c r="O868" s="14" t="s">
        <v>2834</v>
      </c>
      <c r="P868" s="17"/>
      <c r="Q868" s="14"/>
      <c r="R868" s="13">
        <f>HYPERLINK("https://app.hubspot.com/contacts/8748051/record/0-2/8762802616", 8762802616)</f>
        <v>8762802616</v>
      </c>
      <c r="S868" s="14" t="s">
        <v>2835</v>
      </c>
      <c r="T868" s="18" t="s">
        <v>2836</v>
      </c>
      <c r="U868" s="14" t="s">
        <v>46</v>
      </c>
      <c r="V868" s="15"/>
      <c r="W868" s="19">
        <v>511.0</v>
      </c>
      <c r="X868" s="19">
        <v>105.0</v>
      </c>
      <c r="Y868" s="20"/>
      <c r="Z868" s="21"/>
      <c r="AA868" s="21"/>
      <c r="AB868" s="21"/>
      <c r="AC868" s="21"/>
      <c r="AD868" s="21"/>
      <c r="AE868" s="21"/>
      <c r="AF868" s="17" t="str">
        <f t="shared" si="1"/>
        <v>New Logo</v>
      </c>
      <c r="AG868" s="17" t="str">
        <f t="shared" si="2"/>
        <v>Lead</v>
      </c>
      <c r="AH868" s="17" t="str">
        <f t="shared" si="3"/>
        <v>501-1000</v>
      </c>
      <c r="AI868" s="17" t="str">
        <f t="shared" si="4"/>
        <v>101-500</v>
      </c>
    </row>
    <row r="869" ht="15.75" customHeight="1">
      <c r="A869" s="13">
        <f>HYPERLINK("https://app.hubspot.com/contacts/8748051/record/0-3/9352799377", 9352799377)</f>
        <v>9352799377</v>
      </c>
      <c r="B869" s="14" t="s">
        <v>2837</v>
      </c>
      <c r="C869" s="14" t="s">
        <v>49</v>
      </c>
      <c r="D869" s="15">
        <v>30000.0</v>
      </c>
      <c r="E869" s="14" t="s">
        <v>146</v>
      </c>
      <c r="F869" s="14" t="s">
        <v>51</v>
      </c>
      <c r="G869" s="16">
        <v>44742.35517361111</v>
      </c>
      <c r="H869" s="16">
        <v>44938.576840277776</v>
      </c>
      <c r="I869" s="14" t="s">
        <v>39</v>
      </c>
      <c r="J869" s="14" t="s">
        <v>40</v>
      </c>
      <c r="K869" s="17"/>
      <c r="L869" s="17"/>
      <c r="M869" s="14" t="s">
        <v>43</v>
      </c>
      <c r="N869" s="14"/>
      <c r="O869" s="14" t="s">
        <v>2838</v>
      </c>
      <c r="P869" s="17"/>
      <c r="Q869" s="14"/>
      <c r="R869" s="13">
        <f>HYPERLINK("https://app.hubspot.com/contacts/8748051/record/0-2/7514685489", 7514685489)</f>
        <v>7514685489</v>
      </c>
      <c r="S869" s="14" t="s">
        <v>2412</v>
      </c>
      <c r="T869" s="18" t="s">
        <v>2413</v>
      </c>
      <c r="U869" s="14" t="s">
        <v>46</v>
      </c>
      <c r="V869" s="15"/>
      <c r="W869" s="19">
        <v>1431.0</v>
      </c>
      <c r="X869" s="19">
        <v>339.0</v>
      </c>
      <c r="Y869" s="20" t="s">
        <v>122</v>
      </c>
      <c r="Z869" s="21"/>
      <c r="AA869" s="21"/>
      <c r="AB869" s="21"/>
      <c r="AC869" s="21"/>
      <c r="AD869" s="21"/>
      <c r="AE869" s="21"/>
      <c r="AF869" s="17" t="str">
        <f t="shared" si="1"/>
        <v>New Logo</v>
      </c>
      <c r="AG869" s="17" t="str">
        <f t="shared" si="2"/>
        <v>Lead</v>
      </c>
      <c r="AH869" s="17" t="str">
        <f t="shared" si="3"/>
        <v>1001-5000</v>
      </c>
      <c r="AI869" s="17" t="str">
        <f t="shared" si="4"/>
        <v>101-500</v>
      </c>
    </row>
    <row r="870" ht="15.75" customHeight="1">
      <c r="A870" s="13">
        <f>HYPERLINK("https://app.hubspot.com/contacts/8748051/record/0-3/9317549940", 9317549940)</f>
        <v>9317549940</v>
      </c>
      <c r="B870" s="14" t="s">
        <v>2839</v>
      </c>
      <c r="C870" s="14" t="s">
        <v>49</v>
      </c>
      <c r="D870" s="15">
        <v>10000.0</v>
      </c>
      <c r="E870" s="14" t="s">
        <v>124</v>
      </c>
      <c r="F870" s="14"/>
      <c r="G870" s="16">
        <v>44739.36682870371</v>
      </c>
      <c r="H870" s="16">
        <v>44834.36616898148</v>
      </c>
      <c r="I870" s="14" t="s">
        <v>39</v>
      </c>
      <c r="J870" s="14" t="s">
        <v>40</v>
      </c>
      <c r="K870" s="17"/>
      <c r="L870" s="17"/>
      <c r="M870" s="14" t="s">
        <v>43</v>
      </c>
      <c r="N870" s="14"/>
      <c r="O870" s="14"/>
      <c r="P870" s="17"/>
      <c r="Q870" s="14" t="s">
        <v>141</v>
      </c>
      <c r="R870" s="13">
        <f>HYPERLINK("https://app.hubspot.com/contacts/8748051/record/0-2/30038830176", 30038830176)</f>
        <v>30038830176</v>
      </c>
      <c r="S870" s="14" t="s">
        <v>2840</v>
      </c>
      <c r="T870" s="18" t="s">
        <v>2841</v>
      </c>
      <c r="U870" s="14" t="s">
        <v>46</v>
      </c>
      <c r="V870" s="15"/>
      <c r="W870" s="19">
        <v>1597.0</v>
      </c>
      <c r="X870" s="19">
        <v>301.0</v>
      </c>
      <c r="Y870" s="20" t="s">
        <v>122</v>
      </c>
      <c r="Z870" s="20"/>
      <c r="AA870" s="21"/>
      <c r="AB870" s="21"/>
      <c r="AC870" s="20"/>
      <c r="AD870" s="21"/>
      <c r="AE870" s="20"/>
      <c r="AF870" s="17" t="str">
        <f t="shared" si="1"/>
        <v>New Logo</v>
      </c>
      <c r="AG870" s="17" t="str">
        <f t="shared" si="2"/>
        <v>Lead</v>
      </c>
      <c r="AH870" s="17" t="str">
        <f t="shared" si="3"/>
        <v>1001-5000</v>
      </c>
      <c r="AI870" s="17" t="str">
        <f t="shared" si="4"/>
        <v>101-500</v>
      </c>
    </row>
    <row r="871" ht="15.75" customHeight="1">
      <c r="A871" s="13">
        <f>HYPERLINK("https://app.hubspot.com/contacts/8748051/record/0-3/9317549428", 9317549428)</f>
        <v>9317549428</v>
      </c>
      <c r="B871" s="14" t="s">
        <v>2842</v>
      </c>
      <c r="C871" s="14" t="s">
        <v>145</v>
      </c>
      <c r="D871" s="15">
        <v>10000.0</v>
      </c>
      <c r="E871" s="14" t="s">
        <v>124</v>
      </c>
      <c r="F871" s="14" t="s">
        <v>51</v>
      </c>
      <c r="G871" s="16">
        <v>44739.36399305556</v>
      </c>
      <c r="H871" s="16">
        <v>44926.409583333334</v>
      </c>
      <c r="I871" s="14" t="s">
        <v>39</v>
      </c>
      <c r="J871" s="14" t="s">
        <v>40</v>
      </c>
      <c r="K871" s="14"/>
      <c r="L871" s="14"/>
      <c r="M871" s="14" t="s">
        <v>43</v>
      </c>
      <c r="N871" s="14"/>
      <c r="O871" s="14"/>
      <c r="P871" s="17"/>
      <c r="Q871" s="14" t="s">
        <v>125</v>
      </c>
      <c r="R871" s="13">
        <f>HYPERLINK("https://app.hubspot.com/contacts/8748051/record/0-2/8142148194", 8142148194)</f>
        <v>8142148194</v>
      </c>
      <c r="S871" s="14" t="s">
        <v>2843</v>
      </c>
      <c r="T871" s="18" t="s">
        <v>2844</v>
      </c>
      <c r="U871" s="14" t="s">
        <v>46</v>
      </c>
      <c r="V871" s="15"/>
      <c r="W871" s="19">
        <v>600.0</v>
      </c>
      <c r="X871" s="19">
        <v>30.0</v>
      </c>
      <c r="Y871" s="20" t="s">
        <v>55</v>
      </c>
      <c r="Z871" s="20"/>
      <c r="AA871" s="21"/>
      <c r="AB871" s="21"/>
      <c r="AC871" s="20"/>
      <c r="AD871" s="21"/>
      <c r="AE871" s="20"/>
      <c r="AF871" s="17" t="str">
        <f t="shared" si="1"/>
        <v>New Logo</v>
      </c>
      <c r="AG871" s="17" t="str">
        <f t="shared" si="2"/>
        <v>Lead</v>
      </c>
      <c r="AH871" s="17" t="str">
        <f t="shared" si="3"/>
        <v>501-1000</v>
      </c>
      <c r="AI871" s="17" t="str">
        <f t="shared" si="4"/>
        <v>21-50</v>
      </c>
    </row>
    <row r="872" ht="15.75" customHeight="1">
      <c r="A872" s="13">
        <f>HYPERLINK("https://app.hubspot.com/contacts/8748051/record/0-3/9252558724", 9252558724)</f>
        <v>9252558724</v>
      </c>
      <c r="B872" s="14" t="s">
        <v>2845</v>
      </c>
      <c r="C872" s="14" t="s">
        <v>145</v>
      </c>
      <c r="D872" s="15">
        <v>20000.0</v>
      </c>
      <c r="E872" s="14" t="s">
        <v>146</v>
      </c>
      <c r="F872" s="14" t="s">
        <v>51</v>
      </c>
      <c r="G872" s="16">
        <v>44732.40894675926</v>
      </c>
      <c r="H872" s="16">
        <v>44755.38041666667</v>
      </c>
      <c r="I872" s="14" t="s">
        <v>39</v>
      </c>
      <c r="J872" s="14" t="s">
        <v>40</v>
      </c>
      <c r="K872" s="14"/>
      <c r="L872" s="14"/>
      <c r="M872" s="14" t="s">
        <v>43</v>
      </c>
      <c r="N872" s="14"/>
      <c r="O872" s="14" t="s">
        <v>2846</v>
      </c>
      <c r="P872" s="17"/>
      <c r="Q872" s="14"/>
      <c r="R872" s="13">
        <f>HYPERLINK("https://app.hubspot.com/contacts/8748051/record/0-2/17208462762", 17208462762)</f>
        <v>17208462762</v>
      </c>
      <c r="S872" s="14" t="s">
        <v>2847</v>
      </c>
      <c r="T872" s="14" t="s">
        <v>2848</v>
      </c>
      <c r="U872" s="14" t="s">
        <v>46</v>
      </c>
      <c r="V872" s="15"/>
      <c r="W872" s="19">
        <v>361.0</v>
      </c>
      <c r="X872" s="19">
        <v>31.0</v>
      </c>
      <c r="Y872" s="20"/>
      <c r="Z872" s="20"/>
      <c r="AA872" s="21"/>
      <c r="AB872" s="21"/>
      <c r="AC872" s="20"/>
      <c r="AD872" s="21"/>
      <c r="AE872" s="20"/>
      <c r="AF872" s="17" t="str">
        <f t="shared" si="1"/>
        <v>New Logo</v>
      </c>
      <c r="AG872" s="17" t="str">
        <f t="shared" si="2"/>
        <v>Lead</v>
      </c>
      <c r="AH872" s="17" t="str">
        <f t="shared" si="3"/>
        <v>201-500</v>
      </c>
      <c r="AI872" s="17" t="str">
        <f t="shared" si="4"/>
        <v>21-50</v>
      </c>
    </row>
    <row r="873" ht="15.75" customHeight="1">
      <c r="A873" s="13">
        <f>HYPERLINK("https://app.hubspot.com/contacts/8748051/record/0-3/9216908208", 9216908208)</f>
        <v>9216908208</v>
      </c>
      <c r="B873" s="14" t="s">
        <v>2849</v>
      </c>
      <c r="C873" s="14" t="s">
        <v>49</v>
      </c>
      <c r="D873" s="15">
        <v>10000.0</v>
      </c>
      <c r="E873" s="14" t="s">
        <v>124</v>
      </c>
      <c r="F873" s="14"/>
      <c r="G873" s="16">
        <v>44729.374606481484</v>
      </c>
      <c r="H873" s="16">
        <v>44862.35203703704</v>
      </c>
      <c r="I873" s="14" t="s">
        <v>39</v>
      </c>
      <c r="J873" s="14" t="s">
        <v>40</v>
      </c>
      <c r="K873" s="14" t="s">
        <v>59</v>
      </c>
      <c r="L873" s="14" t="s">
        <v>175</v>
      </c>
      <c r="M873" s="14" t="s">
        <v>43</v>
      </c>
      <c r="N873" s="14"/>
      <c r="O873" s="14"/>
      <c r="P873" s="14"/>
      <c r="Q873" s="14" t="s">
        <v>125</v>
      </c>
      <c r="R873" s="13">
        <f>HYPERLINK("https://app.hubspot.com/contacts/8748051/record/0-2/7231790886", 7231790886)</f>
        <v>7231790886</v>
      </c>
      <c r="S873" s="14" t="s">
        <v>2850</v>
      </c>
      <c r="T873" s="18" t="s">
        <v>2851</v>
      </c>
      <c r="U873" s="14" t="s">
        <v>46</v>
      </c>
      <c r="V873" s="15"/>
      <c r="W873" s="19">
        <v>288.0</v>
      </c>
      <c r="X873" s="19">
        <v>18.0</v>
      </c>
      <c r="Y873" s="20" t="s">
        <v>104</v>
      </c>
      <c r="Z873" s="21"/>
      <c r="AA873" s="21"/>
      <c r="AB873" s="21"/>
      <c r="AC873" s="21"/>
      <c r="AD873" s="21"/>
      <c r="AE873" s="21"/>
      <c r="AF873" s="17" t="str">
        <f t="shared" si="1"/>
        <v>New Logo</v>
      </c>
      <c r="AG873" s="17" t="str">
        <f t="shared" si="2"/>
        <v>Lead</v>
      </c>
      <c r="AH873" s="17" t="str">
        <f t="shared" si="3"/>
        <v>201-500</v>
      </c>
      <c r="AI873" s="17" t="str">
        <f t="shared" si="4"/>
        <v>0-20</v>
      </c>
    </row>
    <row r="874" ht="15.75" customHeight="1">
      <c r="A874" s="13">
        <f>HYPERLINK("https://app.hubspot.com/contacts/8748051/record/0-3/9216797471", 9216797471)</f>
        <v>9216797471</v>
      </c>
      <c r="B874" s="14" t="s">
        <v>2852</v>
      </c>
      <c r="C874" s="14" t="s">
        <v>49</v>
      </c>
      <c r="D874" s="15">
        <v>10000.0</v>
      </c>
      <c r="E874" s="14" t="s">
        <v>124</v>
      </c>
      <c r="F874" s="14"/>
      <c r="G874" s="16">
        <v>44729.36243055556</v>
      </c>
      <c r="H874" s="16">
        <v>45044.43240740741</v>
      </c>
      <c r="I874" s="14" t="s">
        <v>39</v>
      </c>
      <c r="J874" s="14" t="s">
        <v>40</v>
      </c>
      <c r="K874" s="17"/>
      <c r="L874" s="17"/>
      <c r="M874" s="14" t="s">
        <v>43</v>
      </c>
      <c r="N874" s="14"/>
      <c r="O874" s="14"/>
      <c r="P874" s="17"/>
      <c r="Q874" s="14" t="s">
        <v>125</v>
      </c>
      <c r="R874" s="13">
        <f>HYPERLINK("https://app.hubspot.com/contacts/8748051/record/0-2/8512837194", 8512837194)</f>
        <v>8512837194</v>
      </c>
      <c r="S874" s="14" t="s">
        <v>2853</v>
      </c>
      <c r="T874" s="18" t="s">
        <v>2854</v>
      </c>
      <c r="U874" s="14" t="s">
        <v>46</v>
      </c>
      <c r="V874" s="15"/>
      <c r="W874" s="19">
        <v>1561.0</v>
      </c>
      <c r="X874" s="19">
        <v>78.0</v>
      </c>
      <c r="Y874" s="20"/>
      <c r="Z874" s="20"/>
      <c r="AA874" s="21"/>
      <c r="AB874" s="20"/>
      <c r="AC874" s="20"/>
      <c r="AD874" s="20"/>
      <c r="AE874" s="20"/>
      <c r="AF874" s="17" t="str">
        <f t="shared" si="1"/>
        <v>New Logo</v>
      </c>
      <c r="AG874" s="17" t="str">
        <f t="shared" si="2"/>
        <v>Lead</v>
      </c>
      <c r="AH874" s="17" t="str">
        <f t="shared" si="3"/>
        <v>1001-5000</v>
      </c>
      <c r="AI874" s="17" t="str">
        <f t="shared" si="4"/>
        <v>51-100</v>
      </c>
    </row>
    <row r="875" ht="15.75" customHeight="1">
      <c r="A875" s="13">
        <f>HYPERLINK("https://app.hubspot.com/contacts/8748051/record/0-3/9175640955", 9175640955)</f>
        <v>9175640955</v>
      </c>
      <c r="B875" s="14" t="s">
        <v>2855</v>
      </c>
      <c r="C875" s="14" t="s">
        <v>1227</v>
      </c>
      <c r="D875" s="15">
        <v>11040.0</v>
      </c>
      <c r="E875" s="14" t="s">
        <v>89</v>
      </c>
      <c r="F875" s="14" t="s">
        <v>51</v>
      </c>
      <c r="G875" s="16">
        <v>44725.51950231481</v>
      </c>
      <c r="H875" s="16">
        <v>44753.1040162037</v>
      </c>
      <c r="I875" s="14" t="s">
        <v>39</v>
      </c>
      <c r="J875" s="14" t="s">
        <v>40</v>
      </c>
      <c r="K875" s="17"/>
      <c r="L875" s="17"/>
      <c r="M875" s="14" t="s">
        <v>98</v>
      </c>
      <c r="N875" s="14" t="s">
        <v>2856</v>
      </c>
      <c r="O875" s="14"/>
      <c r="P875" s="14"/>
      <c r="Q875" s="14"/>
      <c r="R875" s="13">
        <f>HYPERLINK("https://app.hubspot.com/contacts/8748051/record/0-2/8088324111", 8088324111)</f>
        <v>8088324111</v>
      </c>
      <c r="S875" s="14" t="s">
        <v>2857</v>
      </c>
      <c r="T875" s="18" t="s">
        <v>2858</v>
      </c>
      <c r="U875" s="14">
        <v>3.4564763E7</v>
      </c>
      <c r="V875" s="15">
        <v>11040.0</v>
      </c>
      <c r="W875" s="19">
        <v>409.0</v>
      </c>
      <c r="X875" s="19">
        <v>35.0</v>
      </c>
      <c r="Y875" s="20"/>
      <c r="Z875" s="21"/>
      <c r="AA875" s="21"/>
      <c r="AB875" s="21"/>
      <c r="AC875" s="21"/>
      <c r="AD875" s="21"/>
      <c r="AE875" s="21"/>
      <c r="AF875" s="17" t="str">
        <f t="shared" si="1"/>
        <v>New Logo</v>
      </c>
      <c r="AG875" s="17" t="str">
        <f t="shared" si="2"/>
        <v>Churn</v>
      </c>
      <c r="AH875" s="17" t="str">
        <f t="shared" si="3"/>
        <v>201-500</v>
      </c>
      <c r="AI875" s="17" t="str">
        <f t="shared" si="4"/>
        <v>21-50</v>
      </c>
    </row>
    <row r="876" ht="15.75" customHeight="1">
      <c r="A876" s="13">
        <f>HYPERLINK("https://app.hubspot.com/contacts/8748051/record/0-3/9154174210", 9154174210)</f>
        <v>9154174210</v>
      </c>
      <c r="B876" s="14" t="s">
        <v>2859</v>
      </c>
      <c r="C876" s="14" t="s">
        <v>49</v>
      </c>
      <c r="D876" s="15">
        <v>10500.0</v>
      </c>
      <c r="E876" s="14" t="s">
        <v>124</v>
      </c>
      <c r="F876" s="14" t="s">
        <v>51</v>
      </c>
      <c r="G876" s="16">
        <v>44722.45475694445</v>
      </c>
      <c r="H876" s="16">
        <v>44895.335381944446</v>
      </c>
      <c r="I876" s="14" t="s">
        <v>39</v>
      </c>
      <c r="J876" s="14" t="s">
        <v>40</v>
      </c>
      <c r="K876" s="17"/>
      <c r="L876" s="17"/>
      <c r="M876" s="14" t="s">
        <v>43</v>
      </c>
      <c r="N876" s="14"/>
      <c r="O876" s="14"/>
      <c r="P876" s="17"/>
      <c r="Q876" s="14" t="s">
        <v>125</v>
      </c>
      <c r="R876" s="13">
        <f>HYPERLINK("https://app.hubspot.com/contacts/8748051/record/0-2/7668475050", 7668475050)</f>
        <v>7668475050</v>
      </c>
      <c r="S876" s="14" t="s">
        <v>2860</v>
      </c>
      <c r="T876" s="18" t="s">
        <v>2861</v>
      </c>
      <c r="U876" s="14" t="s">
        <v>46</v>
      </c>
      <c r="V876" s="15"/>
      <c r="W876" s="19">
        <v>253.0</v>
      </c>
      <c r="X876" s="19">
        <v>32.0</v>
      </c>
      <c r="Y876" s="20" t="s">
        <v>104</v>
      </c>
      <c r="Z876" s="20"/>
      <c r="AA876" s="21"/>
      <c r="AB876" s="20"/>
      <c r="AC876" s="20"/>
      <c r="AD876" s="20"/>
      <c r="AE876" s="20"/>
      <c r="AF876" s="17" t="str">
        <f t="shared" si="1"/>
        <v>New Logo</v>
      </c>
      <c r="AG876" s="17" t="str">
        <f t="shared" si="2"/>
        <v>Lead</v>
      </c>
      <c r="AH876" s="17" t="str">
        <f t="shared" si="3"/>
        <v>201-500</v>
      </c>
      <c r="AI876" s="17" t="str">
        <f t="shared" si="4"/>
        <v>21-50</v>
      </c>
    </row>
    <row r="877" ht="15.75" customHeight="1">
      <c r="A877" s="13">
        <f>HYPERLINK("https://app.hubspot.com/contacts/8748051/record/0-3/9110428302", 9110428302)</f>
        <v>9110428302</v>
      </c>
      <c r="B877" s="14" t="s">
        <v>2862</v>
      </c>
      <c r="C877" s="14" t="s">
        <v>1008</v>
      </c>
      <c r="D877" s="15">
        <v>15000.0</v>
      </c>
      <c r="E877" s="14" t="s">
        <v>124</v>
      </c>
      <c r="F877" s="14" t="s">
        <v>51</v>
      </c>
      <c r="G877" s="16">
        <v>44718.23318287037</v>
      </c>
      <c r="H877" s="16">
        <v>45230.53818287037</v>
      </c>
      <c r="I877" s="14" t="s">
        <v>39</v>
      </c>
      <c r="J877" s="14" t="s">
        <v>40</v>
      </c>
      <c r="K877" s="17"/>
      <c r="L877" s="17"/>
      <c r="M877" s="14" t="s">
        <v>98</v>
      </c>
      <c r="N877" s="17"/>
      <c r="O877" s="14" t="s">
        <v>2863</v>
      </c>
      <c r="P877" s="17"/>
      <c r="Q877" s="14" t="s">
        <v>141</v>
      </c>
      <c r="R877" s="13">
        <f>HYPERLINK("https://app.hubspot.com/contacts/8748051/record/0-2/8817052744", 8817052744)</f>
        <v>8817052744</v>
      </c>
      <c r="S877" s="14" t="s">
        <v>2864</v>
      </c>
      <c r="T877" s="18" t="s">
        <v>2865</v>
      </c>
      <c r="U877" s="14" t="s">
        <v>46</v>
      </c>
      <c r="V877" s="22"/>
      <c r="W877" s="19">
        <v>297.0</v>
      </c>
      <c r="X877" s="19">
        <v>20.0</v>
      </c>
      <c r="Y877" s="20"/>
      <c r="Z877" s="21"/>
      <c r="AA877" s="21"/>
      <c r="AB877" s="21"/>
      <c r="AC877" s="21"/>
      <c r="AD877" s="21"/>
      <c r="AE877" s="21"/>
      <c r="AF877" s="17" t="str">
        <f t="shared" si="1"/>
        <v>New Logo</v>
      </c>
      <c r="AG877" s="17" t="str">
        <f t="shared" si="2"/>
        <v>Lead</v>
      </c>
      <c r="AH877" s="17" t="str">
        <f t="shared" si="3"/>
        <v>201-500</v>
      </c>
      <c r="AI877" s="17" t="str">
        <f t="shared" si="4"/>
        <v>0-20</v>
      </c>
    </row>
    <row r="878" ht="15.75" customHeight="1">
      <c r="A878" s="13">
        <f>HYPERLINK("https://app.hubspot.com/contacts/8748051/record/0-3/9079701175", 9079701175)</f>
        <v>9079701175</v>
      </c>
      <c r="B878" s="14" t="s">
        <v>2866</v>
      </c>
      <c r="C878" s="14" t="s">
        <v>49</v>
      </c>
      <c r="D878" s="15">
        <v>10000.0</v>
      </c>
      <c r="E878" s="14" t="s">
        <v>124</v>
      </c>
      <c r="F878" s="14" t="s">
        <v>51</v>
      </c>
      <c r="G878" s="16">
        <v>44714.33678240741</v>
      </c>
      <c r="H878" s="16">
        <v>45016.43363425926</v>
      </c>
      <c r="I878" s="14" t="s">
        <v>39</v>
      </c>
      <c r="J878" s="14" t="s">
        <v>40</v>
      </c>
      <c r="K878" s="17"/>
      <c r="L878" s="17"/>
      <c r="M878" s="14" t="s">
        <v>43</v>
      </c>
      <c r="N878" s="17"/>
      <c r="O878" s="14"/>
      <c r="P878" s="17"/>
      <c r="Q878" s="14" t="s">
        <v>141</v>
      </c>
      <c r="R878" s="13">
        <f>HYPERLINK("https://app.hubspot.com/contacts/8748051/record/0-2/7131052804", 7131052804)</f>
        <v>7131052804</v>
      </c>
      <c r="S878" s="14" t="s">
        <v>2498</v>
      </c>
      <c r="T878" s="18" t="s">
        <v>2499</v>
      </c>
      <c r="U878" s="14" t="s">
        <v>46</v>
      </c>
      <c r="V878" s="22"/>
      <c r="W878" s="19">
        <v>626.0</v>
      </c>
      <c r="X878" s="19">
        <v>135.0</v>
      </c>
      <c r="Y878" s="20" t="s">
        <v>70</v>
      </c>
      <c r="Z878" s="21"/>
      <c r="AA878" s="21"/>
      <c r="AB878" s="21"/>
      <c r="AC878" s="21"/>
      <c r="AD878" s="21"/>
      <c r="AE878" s="21"/>
      <c r="AF878" s="17" t="str">
        <f t="shared" si="1"/>
        <v>New Logo</v>
      </c>
      <c r="AG878" s="17" t="str">
        <f t="shared" si="2"/>
        <v>Lead</v>
      </c>
      <c r="AH878" s="17" t="str">
        <f t="shared" si="3"/>
        <v>501-1000</v>
      </c>
      <c r="AI878" s="17" t="str">
        <f t="shared" si="4"/>
        <v>101-500</v>
      </c>
    </row>
    <row r="879" ht="15.75" customHeight="1">
      <c r="A879" s="13">
        <f>HYPERLINK("https://app.hubspot.com/contacts/8748051/record/0-3/9055002536", 9055002536)</f>
        <v>9055002536</v>
      </c>
      <c r="B879" s="14" t="s">
        <v>2867</v>
      </c>
      <c r="C879" s="14" t="s">
        <v>1008</v>
      </c>
      <c r="D879" s="15">
        <v>1500.0</v>
      </c>
      <c r="E879" s="14" t="s">
        <v>124</v>
      </c>
      <c r="F879" s="14"/>
      <c r="G879" s="16">
        <v>44712.29418981481</v>
      </c>
      <c r="H879" s="16">
        <v>44865.22592592592</v>
      </c>
      <c r="I879" s="14" t="s">
        <v>39</v>
      </c>
      <c r="J879" s="14" t="s">
        <v>40</v>
      </c>
      <c r="K879" s="17"/>
      <c r="L879" s="17"/>
      <c r="M879" s="14" t="s">
        <v>98</v>
      </c>
      <c r="N879" s="14"/>
      <c r="O879" s="14"/>
      <c r="P879" s="17"/>
      <c r="Q879" s="14" t="s">
        <v>125</v>
      </c>
      <c r="R879" s="13">
        <f>HYPERLINK("https://app.hubspot.com/contacts/8748051/record/0-2/7231779621", 7231779621)</f>
        <v>7231779621</v>
      </c>
      <c r="S879" s="14" t="s">
        <v>2868</v>
      </c>
      <c r="T879" s="18" t="s">
        <v>2869</v>
      </c>
      <c r="U879" s="14" t="s">
        <v>46</v>
      </c>
      <c r="V879" s="15"/>
      <c r="W879" s="19">
        <v>68.0</v>
      </c>
      <c r="X879" s="19">
        <v>3.0</v>
      </c>
      <c r="Y879" s="20"/>
      <c r="Z879" s="21"/>
      <c r="AA879" s="21"/>
      <c r="AB879" s="21"/>
      <c r="AC879" s="21"/>
      <c r="AD879" s="21"/>
      <c r="AE879" s="21"/>
      <c r="AF879" s="17" t="str">
        <f t="shared" si="1"/>
        <v>New Logo</v>
      </c>
      <c r="AG879" s="17" t="str">
        <f t="shared" si="2"/>
        <v>Lead</v>
      </c>
      <c r="AH879" s="17" t="str">
        <f t="shared" si="3"/>
        <v>0-200</v>
      </c>
      <c r="AI879" s="17" t="str">
        <f t="shared" si="4"/>
        <v>0-20</v>
      </c>
    </row>
    <row r="880" ht="15.75" customHeight="1">
      <c r="A880" s="13">
        <f>HYPERLINK("https://app.hubspot.com/contacts/8748051/record/0-3/9018076471", 9018076471)</f>
        <v>9018076471</v>
      </c>
      <c r="B880" s="14" t="s">
        <v>2870</v>
      </c>
      <c r="C880" s="14" t="s">
        <v>49</v>
      </c>
      <c r="D880" s="15">
        <v>20000.0</v>
      </c>
      <c r="E880" s="14" t="s">
        <v>124</v>
      </c>
      <c r="F880" s="14" t="s">
        <v>51</v>
      </c>
      <c r="G880" s="16">
        <v>44707.601493055554</v>
      </c>
      <c r="H880" s="16">
        <v>44804.600798611114</v>
      </c>
      <c r="I880" s="14" t="s">
        <v>39</v>
      </c>
      <c r="J880" s="14" t="s">
        <v>40</v>
      </c>
      <c r="K880" s="17"/>
      <c r="L880" s="17"/>
      <c r="M880" s="14" t="s">
        <v>43</v>
      </c>
      <c r="N880" s="17"/>
      <c r="O880" s="14"/>
      <c r="P880" s="14"/>
      <c r="Q880" s="14" t="s">
        <v>125</v>
      </c>
      <c r="R880" s="13">
        <f>HYPERLINK("https://app.hubspot.com/contacts/8748051/record/0-2/8142344025", 8142344025)</f>
        <v>8142344025</v>
      </c>
      <c r="S880" s="14" t="s">
        <v>2871</v>
      </c>
      <c r="T880" s="18" t="s">
        <v>2872</v>
      </c>
      <c r="U880" s="14" t="s">
        <v>46</v>
      </c>
      <c r="V880" s="22"/>
      <c r="W880" s="19">
        <v>779.0</v>
      </c>
      <c r="X880" s="19">
        <v>146.0</v>
      </c>
      <c r="Y880" s="20" t="s">
        <v>545</v>
      </c>
      <c r="Z880" s="21"/>
      <c r="AA880" s="21"/>
      <c r="AB880" s="21"/>
      <c r="AC880" s="21"/>
      <c r="AD880" s="21"/>
      <c r="AE880" s="21"/>
      <c r="AF880" s="17" t="str">
        <f t="shared" si="1"/>
        <v>New Logo</v>
      </c>
      <c r="AG880" s="17" t="str">
        <f t="shared" si="2"/>
        <v>Lead</v>
      </c>
      <c r="AH880" s="17" t="str">
        <f t="shared" si="3"/>
        <v>501-1000</v>
      </c>
      <c r="AI880" s="17" t="str">
        <f t="shared" si="4"/>
        <v>101-500</v>
      </c>
    </row>
    <row r="881" ht="15.75" customHeight="1">
      <c r="A881" s="13">
        <f>HYPERLINK("https://app.hubspot.com/contacts/8748051/record/0-3/8938873429", 8938873429)</f>
        <v>8938873429</v>
      </c>
      <c r="B881" s="14" t="s">
        <v>2873</v>
      </c>
      <c r="C881" s="14" t="s">
        <v>1008</v>
      </c>
      <c r="D881" s="15">
        <v>4000.0</v>
      </c>
      <c r="E881" s="14" t="s">
        <v>124</v>
      </c>
      <c r="F881" s="14"/>
      <c r="G881" s="16">
        <v>44698.69996527778</v>
      </c>
      <c r="H881" s="16">
        <v>44895.4106712963</v>
      </c>
      <c r="I881" s="14" t="s">
        <v>39</v>
      </c>
      <c r="J881" s="14" t="s">
        <v>40</v>
      </c>
      <c r="K881" s="17"/>
      <c r="L881" s="14"/>
      <c r="M881" s="14" t="s">
        <v>43</v>
      </c>
      <c r="N881" s="14"/>
      <c r="O881" s="14"/>
      <c r="P881" s="14"/>
      <c r="Q881" s="14" t="s">
        <v>125</v>
      </c>
      <c r="R881" s="13">
        <f>HYPERLINK("https://app.hubspot.com/contacts/8748051/record/0-2/7266212204", 7266212204)</f>
        <v>7266212204</v>
      </c>
      <c r="S881" s="14" t="s">
        <v>2874</v>
      </c>
      <c r="T881" s="18" t="s">
        <v>2875</v>
      </c>
      <c r="U881" s="14" t="s">
        <v>46</v>
      </c>
      <c r="V881" s="15"/>
      <c r="W881" s="19">
        <v>100.0</v>
      </c>
      <c r="X881" s="19">
        <v>8.0</v>
      </c>
      <c r="Y881" s="20"/>
      <c r="Z881" s="20"/>
      <c r="AA881" s="21"/>
      <c r="AB881" s="20"/>
      <c r="AC881" s="20"/>
      <c r="AD881" s="20"/>
      <c r="AE881" s="20"/>
      <c r="AF881" s="17" t="str">
        <f t="shared" si="1"/>
        <v>New Logo</v>
      </c>
      <c r="AG881" s="17" t="str">
        <f t="shared" si="2"/>
        <v>Lead</v>
      </c>
      <c r="AH881" s="17" t="str">
        <f t="shared" si="3"/>
        <v>0-200</v>
      </c>
      <c r="AI881" s="17" t="str">
        <f t="shared" si="4"/>
        <v>0-20</v>
      </c>
    </row>
    <row r="882" ht="15.75" customHeight="1">
      <c r="A882" s="13">
        <f>HYPERLINK("https://app.hubspot.com/contacts/8748051/record/0-3/8926954531", 8926954531)</f>
        <v>8926954531</v>
      </c>
      <c r="B882" s="14" t="s">
        <v>2876</v>
      </c>
      <c r="C882" s="14" t="s">
        <v>37</v>
      </c>
      <c r="D882" s="15">
        <v>21500.0</v>
      </c>
      <c r="E882" s="14" t="s">
        <v>118</v>
      </c>
      <c r="F882" s="14" t="s">
        <v>51</v>
      </c>
      <c r="G882" s="16">
        <v>44697.56209490741</v>
      </c>
      <c r="H882" s="16">
        <v>45282.35472222222</v>
      </c>
      <c r="I882" s="14" t="s">
        <v>39</v>
      </c>
      <c r="J882" s="14" t="s">
        <v>40</v>
      </c>
      <c r="K882" s="17"/>
      <c r="L882" s="17"/>
      <c r="M882" s="14" t="s">
        <v>43</v>
      </c>
      <c r="N882" s="14"/>
      <c r="O882" s="14"/>
      <c r="P882" s="14" t="s">
        <v>119</v>
      </c>
      <c r="Q882" s="14"/>
      <c r="R882" s="13">
        <f>HYPERLINK("https://app.hubspot.com/contacts/8748051/record/0-2/8142425750", 8142425750)</f>
        <v>8142425750</v>
      </c>
      <c r="S882" s="18" t="s">
        <v>2877</v>
      </c>
      <c r="T882" s="18" t="s">
        <v>2878</v>
      </c>
      <c r="U882" s="14" t="s">
        <v>46</v>
      </c>
      <c r="V882" s="15"/>
      <c r="W882" s="19">
        <v>1630.0</v>
      </c>
      <c r="X882" s="19">
        <v>49.0</v>
      </c>
      <c r="Y882" s="20"/>
      <c r="Z882" s="20"/>
      <c r="AA882" s="21"/>
      <c r="AB882" s="20"/>
      <c r="AC882" s="20"/>
      <c r="AD882" s="20"/>
      <c r="AE882" s="20"/>
      <c r="AF882" s="17" t="str">
        <f t="shared" si="1"/>
        <v>New Logo</v>
      </c>
      <c r="AG882" s="17" t="str">
        <f t="shared" si="2"/>
        <v>Lead</v>
      </c>
      <c r="AH882" s="17" t="str">
        <f t="shared" si="3"/>
        <v>1001-5000</v>
      </c>
      <c r="AI882" s="17" t="str">
        <f t="shared" si="4"/>
        <v>21-50</v>
      </c>
    </row>
    <row r="883" ht="15.75" customHeight="1">
      <c r="A883" s="13">
        <f>HYPERLINK("https://app.hubspot.com/contacts/8748051/record/0-3/8911452847", 8911452847)</f>
        <v>8911452847</v>
      </c>
      <c r="B883" s="14" t="s">
        <v>2879</v>
      </c>
      <c r="C883" s="14" t="s">
        <v>1227</v>
      </c>
      <c r="D883" s="15">
        <v>20700.0</v>
      </c>
      <c r="E883" s="14" t="s">
        <v>89</v>
      </c>
      <c r="F883" s="14" t="s">
        <v>51</v>
      </c>
      <c r="G883" s="16">
        <v>44695.45181712963</v>
      </c>
      <c r="H883" s="16">
        <v>44949.29667824074</v>
      </c>
      <c r="I883" s="14" t="s">
        <v>39</v>
      </c>
      <c r="J883" s="14" t="s">
        <v>40</v>
      </c>
      <c r="K883" s="17"/>
      <c r="L883" s="14"/>
      <c r="M883" s="14" t="s">
        <v>98</v>
      </c>
      <c r="N883" s="14" t="s">
        <v>2880</v>
      </c>
      <c r="O883" s="14" t="s">
        <v>2881</v>
      </c>
      <c r="P883" s="17"/>
      <c r="Q883" s="14"/>
      <c r="R883" s="13">
        <f>HYPERLINK("https://app.hubspot.com/contacts/8748051/record/0-2/8557519787", 8557519787)</f>
        <v>8557519787</v>
      </c>
      <c r="S883" s="14" t="s">
        <v>1209</v>
      </c>
      <c r="T883" s="18" t="s">
        <v>1210</v>
      </c>
      <c r="U883" s="14" t="s">
        <v>93</v>
      </c>
      <c r="V883" s="15">
        <v>16560.0</v>
      </c>
      <c r="W883" s="19">
        <v>563.0</v>
      </c>
      <c r="X883" s="19">
        <v>72.0</v>
      </c>
      <c r="Y883" s="20"/>
      <c r="Z883" s="20" t="s">
        <v>218</v>
      </c>
      <c r="AA883" s="21"/>
      <c r="AB883" s="20" t="s">
        <v>267</v>
      </c>
      <c r="AC883" s="20" t="s">
        <v>1159</v>
      </c>
      <c r="AD883" s="20" t="s">
        <v>1211</v>
      </c>
      <c r="AE883" s="20" t="s">
        <v>553</v>
      </c>
      <c r="AF883" s="17" t="str">
        <f t="shared" si="1"/>
        <v>New Logo</v>
      </c>
      <c r="AG883" s="17" t="str">
        <f t="shared" si="2"/>
        <v>Customer</v>
      </c>
      <c r="AH883" s="17" t="str">
        <f t="shared" si="3"/>
        <v>501-1000</v>
      </c>
      <c r="AI883" s="17" t="str">
        <f t="shared" si="4"/>
        <v>51-100</v>
      </c>
    </row>
    <row r="884" ht="15.75" customHeight="1">
      <c r="A884" s="13">
        <f>HYPERLINK("https://app.hubspot.com/contacts/8748051/record/0-3/8911452825", 8911452825)</f>
        <v>8911452825</v>
      </c>
      <c r="B884" s="14" t="s">
        <v>2882</v>
      </c>
      <c r="C884" s="14" t="s">
        <v>1008</v>
      </c>
      <c r="D884" s="15"/>
      <c r="E884" s="14" t="s">
        <v>146</v>
      </c>
      <c r="F884" s="14"/>
      <c r="G884" s="16">
        <v>44695.448171296295</v>
      </c>
      <c r="H884" s="16">
        <v>44865.309745370374</v>
      </c>
      <c r="I884" s="14" t="s">
        <v>39</v>
      </c>
      <c r="J884" s="14" t="s">
        <v>40</v>
      </c>
      <c r="K884" s="17"/>
      <c r="L884" s="17"/>
      <c r="M884" s="14" t="s">
        <v>98</v>
      </c>
      <c r="N884" s="14"/>
      <c r="O884" s="14" t="s">
        <v>2883</v>
      </c>
      <c r="P884" s="17"/>
      <c r="Q884" s="14"/>
      <c r="R884" s="13">
        <f>HYPERLINK("https://app.hubspot.com/contacts/8748051/record/0-2/8549506158", 8549506158)</f>
        <v>8549506158</v>
      </c>
      <c r="S884" s="14" t="s">
        <v>2884</v>
      </c>
      <c r="T884" s="18" t="s">
        <v>2885</v>
      </c>
      <c r="U884" s="14" t="s">
        <v>46</v>
      </c>
      <c r="V884" s="15"/>
      <c r="W884" s="19">
        <v>1108.0</v>
      </c>
      <c r="X884" s="19">
        <v>44.0</v>
      </c>
      <c r="Y884" s="20"/>
      <c r="Z884" s="21"/>
      <c r="AA884" s="21"/>
      <c r="AB884" s="21"/>
      <c r="AC884" s="21"/>
      <c r="AD884" s="21"/>
      <c r="AE884" s="21"/>
      <c r="AF884" s="17" t="str">
        <f t="shared" si="1"/>
        <v>New Logo</v>
      </c>
      <c r="AG884" s="17" t="str">
        <f t="shared" si="2"/>
        <v>Lead</v>
      </c>
      <c r="AH884" s="17" t="str">
        <f t="shared" si="3"/>
        <v>1001-5000</v>
      </c>
      <c r="AI884" s="17" t="str">
        <f t="shared" si="4"/>
        <v>21-50</v>
      </c>
    </row>
    <row r="885" ht="15.75" customHeight="1">
      <c r="A885" s="13">
        <f>HYPERLINK("https://app.hubspot.com/contacts/8748051/record/0-3/8911615338", 8911615338)</f>
        <v>8911615338</v>
      </c>
      <c r="B885" s="14" t="s">
        <v>2886</v>
      </c>
      <c r="C885" s="14" t="s">
        <v>1008</v>
      </c>
      <c r="D885" s="15"/>
      <c r="E885" s="14" t="s">
        <v>146</v>
      </c>
      <c r="F885" s="14" t="s">
        <v>51</v>
      </c>
      <c r="G885" s="16">
        <v>44695.44363425926</v>
      </c>
      <c r="H885" s="16">
        <v>44750.485868055555</v>
      </c>
      <c r="I885" s="14" t="s">
        <v>39</v>
      </c>
      <c r="J885" s="14" t="s">
        <v>40</v>
      </c>
      <c r="K885" s="14"/>
      <c r="L885" s="14"/>
      <c r="M885" s="14" t="s">
        <v>98</v>
      </c>
      <c r="N885" s="14"/>
      <c r="O885" s="14" t="s">
        <v>2887</v>
      </c>
      <c r="P885" s="17"/>
      <c r="Q885" s="14"/>
      <c r="R885" s="13">
        <f>HYPERLINK("https://app.hubspot.com/contacts/8748051/record/0-2/26369838987", 26369838987)</f>
        <v>26369838987</v>
      </c>
      <c r="S885" s="14" t="s">
        <v>2888</v>
      </c>
      <c r="T885" s="18" t="s">
        <v>2889</v>
      </c>
      <c r="U885" s="14" t="s">
        <v>46</v>
      </c>
      <c r="V885" s="15"/>
      <c r="W885" s="19">
        <v>120.0</v>
      </c>
      <c r="X885" s="19">
        <v>25.0</v>
      </c>
      <c r="Y885" s="20"/>
      <c r="Z885" s="20"/>
      <c r="AA885" s="20"/>
      <c r="AB885" s="21"/>
      <c r="AC885" s="20"/>
      <c r="AD885" s="21"/>
      <c r="AE885" s="20"/>
      <c r="AF885" s="17" t="str">
        <f t="shared" si="1"/>
        <v>New Logo</v>
      </c>
      <c r="AG885" s="17" t="str">
        <f t="shared" si="2"/>
        <v>Lead</v>
      </c>
      <c r="AH885" s="17" t="str">
        <f t="shared" si="3"/>
        <v>0-200</v>
      </c>
      <c r="AI885" s="17" t="str">
        <f t="shared" si="4"/>
        <v>21-50</v>
      </c>
    </row>
    <row r="886" ht="15.75" customHeight="1">
      <c r="A886" s="13">
        <f>HYPERLINK("https://app.hubspot.com/contacts/8748051/record/0-3/8908158255", 8908158255)</f>
        <v>8908158255</v>
      </c>
      <c r="B886" s="14" t="s">
        <v>2890</v>
      </c>
      <c r="C886" s="14" t="s">
        <v>49</v>
      </c>
      <c r="D886" s="15">
        <v>20000.0</v>
      </c>
      <c r="E886" s="14" t="s">
        <v>124</v>
      </c>
      <c r="F886" s="14" t="s">
        <v>51</v>
      </c>
      <c r="G886" s="16">
        <v>44694.907326388886</v>
      </c>
      <c r="H886" s="16">
        <v>44865.35498842593</v>
      </c>
      <c r="I886" s="14" t="s">
        <v>39</v>
      </c>
      <c r="J886" s="14" t="s">
        <v>40</v>
      </c>
      <c r="K886" s="17"/>
      <c r="L886" s="17"/>
      <c r="M886" s="14" t="s">
        <v>43</v>
      </c>
      <c r="N886" s="14"/>
      <c r="O886" s="14"/>
      <c r="P886" s="17"/>
      <c r="Q886" s="14" t="s">
        <v>125</v>
      </c>
      <c r="R886" s="13">
        <f>HYPERLINK("https://app.hubspot.com/contacts/8748051/record/0-2/5851034012", 5851034012)</f>
        <v>5851034012</v>
      </c>
      <c r="S886" s="14" t="s">
        <v>2891</v>
      </c>
      <c r="T886" s="18" t="s">
        <v>2892</v>
      </c>
      <c r="U886" s="14" t="s">
        <v>46</v>
      </c>
      <c r="V886" s="15"/>
      <c r="W886" s="19">
        <v>558.0</v>
      </c>
      <c r="X886" s="19">
        <v>65.0</v>
      </c>
      <c r="Y886" s="20" t="s">
        <v>63</v>
      </c>
      <c r="Z886" s="20"/>
      <c r="AA886" s="21"/>
      <c r="AB886" s="21"/>
      <c r="AC886" s="20"/>
      <c r="AD886" s="21"/>
      <c r="AE886" s="20"/>
      <c r="AF886" s="17" t="str">
        <f t="shared" si="1"/>
        <v>New Logo</v>
      </c>
      <c r="AG886" s="17" t="str">
        <f t="shared" si="2"/>
        <v>Lead</v>
      </c>
      <c r="AH886" s="17" t="str">
        <f t="shared" si="3"/>
        <v>501-1000</v>
      </c>
      <c r="AI886" s="17" t="str">
        <f t="shared" si="4"/>
        <v>51-100</v>
      </c>
    </row>
    <row r="887" ht="15.75" customHeight="1">
      <c r="A887" s="13">
        <f>HYPERLINK("https://app.hubspot.com/contacts/8748051/record/0-3/8893183525", 8893183525)</f>
        <v>8893183525</v>
      </c>
      <c r="B887" s="14" t="s">
        <v>2893</v>
      </c>
      <c r="C887" s="14" t="s">
        <v>49</v>
      </c>
      <c r="D887" s="15">
        <v>10000.0</v>
      </c>
      <c r="E887" s="14" t="s">
        <v>124</v>
      </c>
      <c r="F887" s="14"/>
      <c r="G887" s="16">
        <v>44693.56453703704</v>
      </c>
      <c r="H887" s="16">
        <v>44895.52064814815</v>
      </c>
      <c r="I887" s="14" t="s">
        <v>39</v>
      </c>
      <c r="J887" s="14" t="s">
        <v>40</v>
      </c>
      <c r="K887" s="14"/>
      <c r="L887" s="14"/>
      <c r="M887" s="14" t="s">
        <v>43</v>
      </c>
      <c r="N887" s="14"/>
      <c r="O887" s="14"/>
      <c r="P887" s="14"/>
      <c r="Q887" s="14" t="s">
        <v>502</v>
      </c>
      <c r="R887" s="13">
        <f>HYPERLINK("https://app.hubspot.com/contacts/8748051/record/0-2/8207710619", 8207710619)</f>
        <v>8207710619</v>
      </c>
      <c r="S887" s="14" t="s">
        <v>2894</v>
      </c>
      <c r="T887" s="18" t="s">
        <v>2895</v>
      </c>
      <c r="U887" s="14" t="s">
        <v>46</v>
      </c>
      <c r="V887" s="15"/>
      <c r="W887" s="19">
        <v>180.0</v>
      </c>
      <c r="X887" s="19">
        <v>13.0</v>
      </c>
      <c r="Y887" s="20"/>
      <c r="Z887" s="20"/>
      <c r="AA887" s="20"/>
      <c r="AB887" s="21"/>
      <c r="AC887" s="20"/>
      <c r="AD887" s="21"/>
      <c r="AE887" s="20"/>
      <c r="AF887" s="17" t="str">
        <f t="shared" si="1"/>
        <v>New Logo</v>
      </c>
      <c r="AG887" s="17" t="str">
        <f t="shared" si="2"/>
        <v>Lead</v>
      </c>
      <c r="AH887" s="17" t="str">
        <f t="shared" si="3"/>
        <v>0-200</v>
      </c>
      <c r="AI887" s="17" t="str">
        <f t="shared" si="4"/>
        <v>0-20</v>
      </c>
    </row>
    <row r="888" ht="15.75" customHeight="1">
      <c r="A888" s="13">
        <f>HYPERLINK("https://app.hubspot.com/contacts/8748051/record/0-3/8856079459", 8856079459)</f>
        <v>8856079459</v>
      </c>
      <c r="B888" s="14" t="s">
        <v>613</v>
      </c>
      <c r="C888" s="14" t="s">
        <v>1008</v>
      </c>
      <c r="D888" s="15">
        <v>13000.0</v>
      </c>
      <c r="E888" s="14" t="s">
        <v>124</v>
      </c>
      <c r="F888" s="14" t="s">
        <v>51</v>
      </c>
      <c r="G888" s="16">
        <v>44690.42387731482</v>
      </c>
      <c r="H888" s="16">
        <v>45138.05954861111</v>
      </c>
      <c r="I888" s="14" t="s">
        <v>39</v>
      </c>
      <c r="J888" s="14" t="s">
        <v>40</v>
      </c>
      <c r="K888" s="14"/>
      <c r="L888" s="14"/>
      <c r="M888" s="14" t="s">
        <v>98</v>
      </c>
      <c r="N888" s="14"/>
      <c r="O888" s="14"/>
      <c r="P888" s="14"/>
      <c r="Q888" s="14" t="s">
        <v>141</v>
      </c>
      <c r="R888" s="13">
        <f>HYPERLINK("https://app.hubspot.com/contacts/8748051/record/0-2/8630538410", 8630538410)</f>
        <v>8630538410</v>
      </c>
      <c r="S888" s="14" t="s">
        <v>614</v>
      </c>
      <c r="T888" s="18" t="s">
        <v>615</v>
      </c>
      <c r="U888" s="14" t="s">
        <v>46</v>
      </c>
      <c r="V888" s="15"/>
      <c r="W888" s="19">
        <v>531.0</v>
      </c>
      <c r="X888" s="19">
        <v>65.0</v>
      </c>
      <c r="Y888" s="20" t="s">
        <v>616</v>
      </c>
      <c r="Z888" s="21"/>
      <c r="AA888" s="21"/>
      <c r="AB888" s="21"/>
      <c r="AC888" s="21"/>
      <c r="AD888" s="21"/>
      <c r="AE888" s="21"/>
      <c r="AF888" s="17" t="str">
        <f t="shared" si="1"/>
        <v>New Logo</v>
      </c>
      <c r="AG888" s="17" t="str">
        <f t="shared" si="2"/>
        <v>Lead</v>
      </c>
      <c r="AH888" s="17" t="str">
        <f t="shared" si="3"/>
        <v>501-1000</v>
      </c>
      <c r="AI888" s="17" t="str">
        <f t="shared" si="4"/>
        <v>51-100</v>
      </c>
    </row>
    <row r="889" ht="15.75" customHeight="1">
      <c r="A889" s="13">
        <f>HYPERLINK("https://app.hubspot.com/contacts/8748051/record/0-3/8825726608", 8825726608)</f>
        <v>8825726608</v>
      </c>
      <c r="B889" s="14" t="s">
        <v>2896</v>
      </c>
      <c r="C889" s="14" t="s">
        <v>1008</v>
      </c>
      <c r="D889" s="15">
        <v>9000.0</v>
      </c>
      <c r="E889" s="14" t="s">
        <v>118</v>
      </c>
      <c r="F889" s="14" t="s">
        <v>51</v>
      </c>
      <c r="G889" s="16">
        <v>44687.31039351852</v>
      </c>
      <c r="H889" s="16">
        <v>45016.3094212963</v>
      </c>
      <c r="I889" s="14" t="s">
        <v>39</v>
      </c>
      <c r="J889" s="14" t="s">
        <v>40</v>
      </c>
      <c r="K889" s="17"/>
      <c r="L889" s="14"/>
      <c r="M889" s="14" t="s">
        <v>98</v>
      </c>
      <c r="N889" s="17"/>
      <c r="O889" s="14"/>
      <c r="P889" s="14" t="s">
        <v>260</v>
      </c>
      <c r="Q889" s="14"/>
      <c r="R889" s="13">
        <f>HYPERLINK("https://app.hubspot.com/contacts/8748051/record/0-2/8549469861", 8549469861)</f>
        <v>8549469861</v>
      </c>
      <c r="S889" s="14" t="s">
        <v>2897</v>
      </c>
      <c r="T889" s="18" t="s">
        <v>2898</v>
      </c>
      <c r="U889" s="14" t="s">
        <v>46</v>
      </c>
      <c r="V889" s="22"/>
      <c r="W889" s="19">
        <v>188.0</v>
      </c>
      <c r="X889" s="19">
        <v>12.0</v>
      </c>
      <c r="Y889" s="20"/>
      <c r="Z889" s="21"/>
      <c r="AA889" s="21"/>
      <c r="AB889" s="21"/>
      <c r="AC889" s="21"/>
      <c r="AD889" s="21"/>
      <c r="AE889" s="21"/>
      <c r="AF889" s="17" t="str">
        <f t="shared" si="1"/>
        <v>New Logo</v>
      </c>
      <c r="AG889" s="17" t="str">
        <f t="shared" si="2"/>
        <v>Lead</v>
      </c>
      <c r="AH889" s="17" t="str">
        <f t="shared" si="3"/>
        <v>0-200</v>
      </c>
      <c r="AI889" s="17" t="str">
        <f t="shared" si="4"/>
        <v>0-20</v>
      </c>
    </row>
    <row r="890" ht="15.75" customHeight="1">
      <c r="A890" s="13">
        <f>HYPERLINK("https://app.hubspot.com/contacts/8748051/record/0-3/8825740640", 8825740640)</f>
        <v>8825740640</v>
      </c>
      <c r="B890" s="14" t="s">
        <v>2899</v>
      </c>
      <c r="C890" s="14" t="s">
        <v>145</v>
      </c>
      <c r="D890" s="15">
        <v>21000.0</v>
      </c>
      <c r="E890" s="14" t="s">
        <v>146</v>
      </c>
      <c r="F890" s="14" t="s">
        <v>51</v>
      </c>
      <c r="G890" s="16">
        <v>44687.309386574074</v>
      </c>
      <c r="H890" s="16">
        <v>45474.33908564815</v>
      </c>
      <c r="I890" s="14" t="s">
        <v>39</v>
      </c>
      <c r="J890" s="14" t="s">
        <v>40</v>
      </c>
      <c r="K890" s="17"/>
      <c r="L890" s="14" t="s">
        <v>180</v>
      </c>
      <c r="M890" s="14" t="s">
        <v>98</v>
      </c>
      <c r="N890" s="14"/>
      <c r="O890" s="14" t="s">
        <v>2900</v>
      </c>
      <c r="P890" s="17"/>
      <c r="Q890" s="14"/>
      <c r="R890" s="13">
        <f>HYPERLINK("https://app.hubspot.com/contacts/8748051/record/0-2/8587394835", 8587394835)</f>
        <v>8587394835</v>
      </c>
      <c r="S890" s="14" t="s">
        <v>2901</v>
      </c>
      <c r="T890" s="18" t="s">
        <v>2902</v>
      </c>
      <c r="U890" s="14" t="s">
        <v>46</v>
      </c>
      <c r="V890" s="15"/>
      <c r="W890" s="19">
        <v>1261.0</v>
      </c>
      <c r="X890" s="19">
        <v>105.0</v>
      </c>
      <c r="Y890" s="20" t="s">
        <v>63</v>
      </c>
      <c r="Z890" s="21"/>
      <c r="AA890" s="21"/>
      <c r="AB890" s="21"/>
      <c r="AC890" s="21"/>
      <c r="AD890" s="21"/>
      <c r="AE890" s="21"/>
      <c r="AF890" s="17" t="str">
        <f t="shared" si="1"/>
        <v>New Logo</v>
      </c>
      <c r="AG890" s="17" t="str">
        <f t="shared" si="2"/>
        <v>Lead</v>
      </c>
      <c r="AH890" s="17" t="str">
        <f t="shared" si="3"/>
        <v>1001-5000</v>
      </c>
      <c r="AI890" s="17" t="str">
        <f t="shared" si="4"/>
        <v>101-500</v>
      </c>
    </row>
    <row r="891" ht="15.75" customHeight="1">
      <c r="A891" s="13">
        <f>HYPERLINK("https://app.hubspot.com/contacts/8748051/record/0-3/8825170095", 8825170095)</f>
        <v>8825170095</v>
      </c>
      <c r="B891" s="14" t="s">
        <v>2903</v>
      </c>
      <c r="C891" s="14" t="s">
        <v>1008</v>
      </c>
      <c r="D891" s="15">
        <v>12000.0</v>
      </c>
      <c r="E891" s="14" t="s">
        <v>124</v>
      </c>
      <c r="F891" s="14" t="s">
        <v>51</v>
      </c>
      <c r="G891" s="16">
        <v>44687.308275462965</v>
      </c>
      <c r="H891" s="16">
        <v>45183.03640046297</v>
      </c>
      <c r="I891" s="14" t="s">
        <v>39</v>
      </c>
      <c r="J891" s="14" t="s">
        <v>40</v>
      </c>
      <c r="K891" s="17"/>
      <c r="L891" s="17"/>
      <c r="M891" s="14" t="s">
        <v>98</v>
      </c>
      <c r="N891" s="14"/>
      <c r="O891" s="14"/>
      <c r="P891" s="17"/>
      <c r="Q891" s="14" t="s">
        <v>195</v>
      </c>
      <c r="R891" s="13">
        <f>HYPERLINK("https://app.hubspot.com/contacts/8748051/record/0-2/8324054933", 8324054933)</f>
        <v>8324054933</v>
      </c>
      <c r="S891" s="14" t="s">
        <v>2904</v>
      </c>
      <c r="T891" s="18" t="s">
        <v>2905</v>
      </c>
      <c r="U891" s="14" t="s">
        <v>46</v>
      </c>
      <c r="V891" s="15"/>
      <c r="W891" s="19">
        <v>289.0</v>
      </c>
      <c r="X891" s="19">
        <v>33.0</v>
      </c>
      <c r="Y891" s="20" t="s">
        <v>2906</v>
      </c>
      <c r="Z891" s="21"/>
      <c r="AA891" s="21"/>
      <c r="AB891" s="21"/>
      <c r="AC891" s="21"/>
      <c r="AD891" s="21"/>
      <c r="AE891" s="21"/>
      <c r="AF891" s="17" t="str">
        <f t="shared" si="1"/>
        <v>New Logo</v>
      </c>
      <c r="AG891" s="17" t="str">
        <f t="shared" si="2"/>
        <v>Lead</v>
      </c>
      <c r="AH891" s="17" t="str">
        <f t="shared" si="3"/>
        <v>201-500</v>
      </c>
      <c r="AI891" s="17" t="str">
        <f t="shared" si="4"/>
        <v>21-50</v>
      </c>
    </row>
    <row r="892" ht="15.75" customHeight="1">
      <c r="A892" s="13">
        <f>HYPERLINK("https://app.hubspot.com/contacts/8748051/record/0-3/8825725727", 8825725727)</f>
        <v>8825725727</v>
      </c>
      <c r="B892" s="14" t="s">
        <v>2907</v>
      </c>
      <c r="C892" s="14" t="s">
        <v>1227</v>
      </c>
      <c r="D892" s="15">
        <v>22500.0</v>
      </c>
      <c r="E892" s="14" t="s">
        <v>89</v>
      </c>
      <c r="F892" s="14" t="s">
        <v>51</v>
      </c>
      <c r="G892" s="16">
        <v>44687.307708333334</v>
      </c>
      <c r="H892" s="16">
        <v>44749.28417824074</v>
      </c>
      <c r="I892" s="14" t="s">
        <v>39</v>
      </c>
      <c r="J892" s="14" t="s">
        <v>40</v>
      </c>
      <c r="K892" s="14"/>
      <c r="L892" s="14"/>
      <c r="M892" s="14" t="s">
        <v>98</v>
      </c>
      <c r="N892" s="14" t="s">
        <v>2908</v>
      </c>
      <c r="O892" s="14"/>
      <c r="P892" s="17"/>
      <c r="Q892" s="14"/>
      <c r="R892" s="13">
        <f>HYPERLINK("https://app.hubspot.com/contacts/8748051/record/0-2/8616793166", 8616793166)</f>
        <v>8616793166</v>
      </c>
      <c r="S892" s="14" t="s">
        <v>2590</v>
      </c>
      <c r="T892" s="18" t="s">
        <v>2591</v>
      </c>
      <c r="U892" s="14">
        <v>3.4564763E7</v>
      </c>
      <c r="V892" s="15">
        <v>24000.0</v>
      </c>
      <c r="W892" s="19">
        <v>124.0</v>
      </c>
      <c r="X892" s="19">
        <v>15.0</v>
      </c>
      <c r="Y892" s="20"/>
      <c r="Z892" s="20"/>
      <c r="AA892" s="20"/>
      <c r="AB892" s="21"/>
      <c r="AC892" s="20"/>
      <c r="AD892" s="21"/>
      <c r="AE892" s="20"/>
      <c r="AF892" s="17" t="str">
        <f t="shared" si="1"/>
        <v>New Logo</v>
      </c>
      <c r="AG892" s="17" t="str">
        <f t="shared" si="2"/>
        <v>Churn</v>
      </c>
      <c r="AH892" s="17" t="str">
        <f t="shared" si="3"/>
        <v>0-200</v>
      </c>
      <c r="AI892" s="17" t="str">
        <f t="shared" si="4"/>
        <v>0-20</v>
      </c>
    </row>
    <row r="893" ht="15.75" customHeight="1">
      <c r="A893" s="13">
        <f>HYPERLINK("https://app.hubspot.com/contacts/8748051/record/0-3/8824245518", 8824245518)</f>
        <v>8824245518</v>
      </c>
      <c r="B893" s="14" t="s">
        <v>2909</v>
      </c>
      <c r="C893" s="14" t="s">
        <v>156</v>
      </c>
      <c r="D893" s="15">
        <v>2000.0</v>
      </c>
      <c r="E893" s="14" t="s">
        <v>89</v>
      </c>
      <c r="F893" s="14" t="s">
        <v>51</v>
      </c>
      <c r="G893" s="16">
        <v>44687.10291666666</v>
      </c>
      <c r="H893" s="16">
        <v>44704.06359953704</v>
      </c>
      <c r="I893" s="14" t="s">
        <v>39</v>
      </c>
      <c r="J893" s="14" t="s">
        <v>40</v>
      </c>
      <c r="K893" s="14"/>
      <c r="L893" s="14"/>
      <c r="M893" s="14"/>
      <c r="N893" s="14" t="s">
        <v>2910</v>
      </c>
      <c r="O893" s="14"/>
      <c r="P893" s="17"/>
      <c r="Q893" s="14"/>
      <c r="R893" s="13">
        <f>HYPERLINK("https://app.hubspot.com/contacts/8748051/record/0-2/8613535884", 8613535884)</f>
        <v>8613535884</v>
      </c>
      <c r="S893" s="14" t="s">
        <v>2911</v>
      </c>
      <c r="T893" s="18" t="s">
        <v>2912</v>
      </c>
      <c r="U893" s="14">
        <v>3.4564763E7</v>
      </c>
      <c r="V893" s="15">
        <v>2000.0</v>
      </c>
      <c r="W893" s="19">
        <v>57.0</v>
      </c>
      <c r="X893" s="19">
        <v>1.0</v>
      </c>
      <c r="Y893" s="20"/>
      <c r="Z893" s="20"/>
      <c r="AA893" s="20"/>
      <c r="AB893" s="21"/>
      <c r="AC893" s="20"/>
      <c r="AD893" s="20"/>
      <c r="AE893" s="20"/>
      <c r="AF893" s="17" t="str">
        <f t="shared" si="1"/>
        <v>New Logo</v>
      </c>
      <c r="AG893" s="17" t="str">
        <f t="shared" si="2"/>
        <v>Churn</v>
      </c>
      <c r="AH893" s="17" t="str">
        <f t="shared" si="3"/>
        <v>0-200</v>
      </c>
      <c r="AI893" s="17" t="str">
        <f t="shared" si="4"/>
        <v>0-20</v>
      </c>
    </row>
    <row r="894" ht="15.75" customHeight="1">
      <c r="A894" s="13">
        <f>HYPERLINK("https://app.hubspot.com/contacts/8748051/record/0-3/8818919818", 8818919818)</f>
        <v>8818919818</v>
      </c>
      <c r="B894" s="14" t="s">
        <v>2913</v>
      </c>
      <c r="C894" s="14" t="s">
        <v>2304</v>
      </c>
      <c r="D894" s="15">
        <v>7500.0</v>
      </c>
      <c r="E894" s="14" t="s">
        <v>89</v>
      </c>
      <c r="F894" s="14" t="s">
        <v>51</v>
      </c>
      <c r="G894" s="16">
        <v>44686.58150462963</v>
      </c>
      <c r="H894" s="16">
        <v>44768.63905092593</v>
      </c>
      <c r="I894" s="14" t="s">
        <v>39</v>
      </c>
      <c r="J894" s="14" t="s">
        <v>40</v>
      </c>
      <c r="K894" s="14" t="s">
        <v>59</v>
      </c>
      <c r="L894" s="14" t="s">
        <v>175</v>
      </c>
      <c r="M894" s="14" t="s">
        <v>43</v>
      </c>
      <c r="N894" s="14" t="s">
        <v>2914</v>
      </c>
      <c r="O894" s="14"/>
      <c r="P894" s="17"/>
      <c r="Q894" s="14"/>
      <c r="R894" s="13">
        <f>HYPERLINK("https://app.hubspot.com/contacts/8748051/record/0-2/8340612199", 8340612199)</f>
        <v>8340612199</v>
      </c>
      <c r="S894" s="14" t="s">
        <v>1542</v>
      </c>
      <c r="T894" s="18" t="s">
        <v>1543</v>
      </c>
      <c r="U894" s="14" t="s">
        <v>93</v>
      </c>
      <c r="V894" s="15">
        <v>16560.0</v>
      </c>
      <c r="W894" s="19">
        <v>129.0</v>
      </c>
      <c r="X894" s="19">
        <v>15.0</v>
      </c>
      <c r="Y894" s="20"/>
      <c r="Z894" s="20" t="s">
        <v>192</v>
      </c>
      <c r="AA894" s="20" t="s">
        <v>348</v>
      </c>
      <c r="AB894" s="21"/>
      <c r="AC894" s="20" t="s">
        <v>1544</v>
      </c>
      <c r="AD894" s="20"/>
      <c r="AE894" s="20" t="s">
        <v>166</v>
      </c>
      <c r="AF894" s="17" t="str">
        <f t="shared" si="1"/>
        <v>New Logo</v>
      </c>
      <c r="AG894" s="17" t="str">
        <f t="shared" si="2"/>
        <v>Customer</v>
      </c>
      <c r="AH894" s="17" t="str">
        <f t="shared" si="3"/>
        <v>0-200</v>
      </c>
      <c r="AI894" s="17" t="str">
        <f t="shared" si="4"/>
        <v>0-20</v>
      </c>
    </row>
    <row r="895" ht="15.75" customHeight="1">
      <c r="A895" s="13">
        <f>HYPERLINK("https://app.hubspot.com/contacts/8748051/record/0-3/13265319712", 13265319712)</f>
        <v>13265319712</v>
      </c>
      <c r="B895" s="14" t="s">
        <v>2915</v>
      </c>
      <c r="C895" s="14" t="s">
        <v>49</v>
      </c>
      <c r="D895" s="15">
        <v>30000.0</v>
      </c>
      <c r="E895" s="14" t="s">
        <v>146</v>
      </c>
      <c r="F895" s="14" t="s">
        <v>51</v>
      </c>
      <c r="G895" s="16">
        <v>44685.492581018516</v>
      </c>
      <c r="H895" s="16">
        <v>44781.656180555554</v>
      </c>
      <c r="I895" s="14" t="s">
        <v>39</v>
      </c>
      <c r="J895" s="14" t="s">
        <v>52</v>
      </c>
      <c r="K895" s="17"/>
      <c r="L895" s="17"/>
      <c r="M895" s="14" t="s">
        <v>43</v>
      </c>
      <c r="N895" s="14"/>
      <c r="O895" s="14" t="s">
        <v>2916</v>
      </c>
      <c r="P895" s="17"/>
      <c r="Q895" s="14"/>
      <c r="R895" s="13">
        <f>HYPERLINK("https://app.hubspot.com/contacts/8748051/record/0-2/7666426408", 7666426408)</f>
        <v>7666426408</v>
      </c>
      <c r="S895" s="14" t="s">
        <v>2917</v>
      </c>
      <c r="T895" s="18" t="s">
        <v>2918</v>
      </c>
      <c r="U895" s="14" t="s">
        <v>46</v>
      </c>
      <c r="V895" s="15"/>
      <c r="W895" s="19">
        <v>855.0</v>
      </c>
      <c r="X895" s="19">
        <v>141.0</v>
      </c>
      <c r="Y895" s="20" t="s">
        <v>104</v>
      </c>
      <c r="Z895" s="21"/>
      <c r="AA895" s="21"/>
      <c r="AB895" s="21"/>
      <c r="AC895" s="21"/>
      <c r="AD895" s="21"/>
      <c r="AE895" s="21"/>
      <c r="AF895" s="17" t="str">
        <f t="shared" si="1"/>
        <v>New Logo</v>
      </c>
      <c r="AG895" s="17" t="str">
        <f t="shared" si="2"/>
        <v>Lead</v>
      </c>
      <c r="AH895" s="17" t="str">
        <f t="shared" si="3"/>
        <v>501-1000</v>
      </c>
      <c r="AI895" s="17" t="str">
        <f t="shared" si="4"/>
        <v>101-500</v>
      </c>
    </row>
    <row r="896" ht="15.75" customHeight="1">
      <c r="A896" s="13">
        <f>HYPERLINK("https://app.hubspot.com/contacts/8748051/record/0-3/8808028719", 8808028719)</f>
        <v>8808028719</v>
      </c>
      <c r="B896" s="14" t="s">
        <v>2919</v>
      </c>
      <c r="C896" s="14" t="s">
        <v>1008</v>
      </c>
      <c r="D896" s="15">
        <v>30000.0</v>
      </c>
      <c r="E896" s="14" t="s">
        <v>146</v>
      </c>
      <c r="F896" s="14" t="s">
        <v>51</v>
      </c>
      <c r="G896" s="16">
        <v>44685.49097222222</v>
      </c>
      <c r="H896" s="16">
        <v>44687.40440972222</v>
      </c>
      <c r="I896" s="14" t="s">
        <v>39</v>
      </c>
      <c r="J896" s="14" t="s">
        <v>52</v>
      </c>
      <c r="K896" s="17"/>
      <c r="L896" s="17"/>
      <c r="M896" s="14" t="s">
        <v>43</v>
      </c>
      <c r="N896" s="14"/>
      <c r="O896" s="14" t="s">
        <v>2920</v>
      </c>
      <c r="P896" s="17"/>
      <c r="Q896" s="14"/>
      <c r="R896" s="13">
        <f>HYPERLINK("https://app.hubspot.com/contacts/8748051/record/0-2/7638761139", 7638761139)</f>
        <v>7638761139</v>
      </c>
      <c r="S896" s="18" t="s">
        <v>2921</v>
      </c>
      <c r="T896" s="18" t="s">
        <v>2922</v>
      </c>
      <c r="U896" s="14" t="s">
        <v>46</v>
      </c>
      <c r="V896" s="15"/>
      <c r="W896" s="19">
        <v>1050.0</v>
      </c>
      <c r="X896" s="19">
        <v>286.0</v>
      </c>
      <c r="Y896" s="20" t="s">
        <v>371</v>
      </c>
      <c r="Z896" s="20"/>
      <c r="AA896" s="20"/>
      <c r="AB896" s="21"/>
      <c r="AC896" s="20"/>
      <c r="AD896" s="21"/>
      <c r="AE896" s="20"/>
      <c r="AF896" s="17" t="str">
        <f t="shared" si="1"/>
        <v>New Logo</v>
      </c>
      <c r="AG896" s="17" t="str">
        <f t="shared" si="2"/>
        <v>Lead</v>
      </c>
      <c r="AH896" s="17" t="str">
        <f t="shared" si="3"/>
        <v>1001-5000</v>
      </c>
      <c r="AI896" s="17" t="str">
        <f t="shared" si="4"/>
        <v>101-500</v>
      </c>
    </row>
    <row r="897" ht="15.75" customHeight="1">
      <c r="A897" s="13">
        <f>HYPERLINK("https://app.hubspot.com/contacts/8748051/record/0-3/8735218023", 8735218023)</f>
        <v>8735218023</v>
      </c>
      <c r="B897" s="14" t="s">
        <v>2923</v>
      </c>
      <c r="C897" s="14" t="s">
        <v>145</v>
      </c>
      <c r="D897" s="15"/>
      <c r="E897" s="14" t="s">
        <v>146</v>
      </c>
      <c r="F897" s="14" t="s">
        <v>51</v>
      </c>
      <c r="G897" s="16">
        <v>44678.36386574074</v>
      </c>
      <c r="H897" s="16">
        <v>44707.555185185185</v>
      </c>
      <c r="I897" s="14" t="s">
        <v>39</v>
      </c>
      <c r="J897" s="14" t="s">
        <v>40</v>
      </c>
      <c r="K897" s="17"/>
      <c r="L897" s="17"/>
      <c r="M897" s="14" t="s">
        <v>43</v>
      </c>
      <c r="N897" s="17"/>
      <c r="O897" s="14" t="s">
        <v>2924</v>
      </c>
      <c r="P897" s="17"/>
      <c r="Q897" s="14"/>
      <c r="R897" s="13">
        <f>HYPERLINK("https://app.hubspot.com/contacts/8748051/record/0-2/8125402385", 8125402385)</f>
        <v>8125402385</v>
      </c>
      <c r="S897" s="14" t="s">
        <v>2256</v>
      </c>
      <c r="T897" s="18" t="s">
        <v>2257</v>
      </c>
      <c r="U897" s="14" t="s">
        <v>46</v>
      </c>
      <c r="V897" s="22"/>
      <c r="W897" s="19">
        <v>727.0</v>
      </c>
      <c r="X897" s="19">
        <v>63.0</v>
      </c>
      <c r="Y897" s="20" t="s">
        <v>70</v>
      </c>
      <c r="Z897" s="21"/>
      <c r="AA897" s="21"/>
      <c r="AB897" s="21"/>
      <c r="AC897" s="21"/>
      <c r="AD897" s="21"/>
      <c r="AE897" s="21"/>
      <c r="AF897" s="17" t="str">
        <f t="shared" si="1"/>
        <v>New Logo</v>
      </c>
      <c r="AG897" s="17" t="str">
        <f t="shared" si="2"/>
        <v>Lead</v>
      </c>
      <c r="AH897" s="17" t="str">
        <f t="shared" si="3"/>
        <v>501-1000</v>
      </c>
      <c r="AI897" s="17" t="str">
        <f t="shared" si="4"/>
        <v>51-100</v>
      </c>
    </row>
    <row r="898" ht="15.75" customHeight="1">
      <c r="A898" s="13">
        <f>HYPERLINK("https://app.hubspot.com/contacts/8748051/record/0-3/8721263655", 8721263655)</f>
        <v>8721263655</v>
      </c>
      <c r="B898" s="14" t="s">
        <v>2925</v>
      </c>
      <c r="C898" s="14" t="s">
        <v>49</v>
      </c>
      <c r="D898" s="15">
        <v>20000.0</v>
      </c>
      <c r="E898" s="14" t="s">
        <v>146</v>
      </c>
      <c r="F898" s="14" t="s">
        <v>51</v>
      </c>
      <c r="G898" s="16">
        <v>44677.47078703704</v>
      </c>
      <c r="H898" s="16">
        <v>44777.3356712963</v>
      </c>
      <c r="I898" s="14" t="s">
        <v>39</v>
      </c>
      <c r="J898" s="14" t="s">
        <v>40</v>
      </c>
      <c r="K898" s="17"/>
      <c r="L898" s="17"/>
      <c r="M898" s="14" t="s">
        <v>43</v>
      </c>
      <c r="N898" s="14"/>
      <c r="O898" s="14" t="s">
        <v>2926</v>
      </c>
      <c r="P898" s="17"/>
      <c r="Q898" s="14"/>
      <c r="R898" s="13">
        <f>HYPERLINK("https://app.hubspot.com/contacts/8748051/record/0-2/7822059172", 7822059172)</f>
        <v>7822059172</v>
      </c>
      <c r="S898" s="14" t="s">
        <v>2927</v>
      </c>
      <c r="T898" s="18" t="s">
        <v>2928</v>
      </c>
      <c r="U898" s="14" t="s">
        <v>46</v>
      </c>
      <c r="V898" s="15"/>
      <c r="W898" s="19">
        <v>132.0</v>
      </c>
      <c r="X898" s="19">
        <v>14.0</v>
      </c>
      <c r="Y898" s="20"/>
      <c r="Z898" s="20"/>
      <c r="AA898" s="20"/>
      <c r="AB898" s="21"/>
      <c r="AC898" s="20"/>
      <c r="AD898" s="21"/>
      <c r="AE898" s="20"/>
      <c r="AF898" s="17" t="str">
        <f t="shared" si="1"/>
        <v>New Logo</v>
      </c>
      <c r="AG898" s="17" t="str">
        <f t="shared" si="2"/>
        <v>Lead</v>
      </c>
      <c r="AH898" s="17" t="str">
        <f t="shared" si="3"/>
        <v>0-200</v>
      </c>
      <c r="AI898" s="17" t="str">
        <f t="shared" si="4"/>
        <v>0-20</v>
      </c>
    </row>
    <row r="899" ht="15.75" customHeight="1">
      <c r="A899" s="13">
        <f>HYPERLINK("https://app.hubspot.com/contacts/8748051/record/0-3/8663035812", 8663035812)</f>
        <v>8663035812</v>
      </c>
      <c r="B899" s="14" t="s">
        <v>2929</v>
      </c>
      <c r="C899" s="14" t="s">
        <v>145</v>
      </c>
      <c r="D899" s="15"/>
      <c r="E899" s="14" t="s">
        <v>146</v>
      </c>
      <c r="F899" s="14"/>
      <c r="G899" s="16">
        <v>44671.17412037037</v>
      </c>
      <c r="H899" s="16">
        <v>44742.17420138889</v>
      </c>
      <c r="I899" s="14" t="s">
        <v>39</v>
      </c>
      <c r="J899" s="14" t="s">
        <v>52</v>
      </c>
      <c r="K899" s="17"/>
      <c r="L899" s="17"/>
      <c r="M899" s="14" t="s">
        <v>43</v>
      </c>
      <c r="N899" s="14"/>
      <c r="O899" s="14"/>
      <c r="P899" s="17"/>
      <c r="Q899" s="14"/>
      <c r="R899" s="13">
        <f>HYPERLINK("https://app.hubspot.com/contacts/8748051/record/0-2/7946436488", 7946436488)</f>
        <v>7946436488</v>
      </c>
      <c r="S899" s="14" t="s">
        <v>2624</v>
      </c>
      <c r="T899" s="18" t="s">
        <v>2625</v>
      </c>
      <c r="U899" s="14" t="s">
        <v>46</v>
      </c>
      <c r="V899" s="15"/>
      <c r="W899" s="19">
        <v>226.0</v>
      </c>
      <c r="X899" s="19">
        <v>25.0</v>
      </c>
      <c r="Y899" s="20"/>
      <c r="Z899" s="20"/>
      <c r="AA899" s="21"/>
      <c r="AB899" s="21"/>
      <c r="AC899" s="20"/>
      <c r="AD899" s="20"/>
      <c r="AE899" s="20"/>
      <c r="AF899" s="17" t="str">
        <f t="shared" si="1"/>
        <v>New Logo</v>
      </c>
      <c r="AG899" s="17" t="str">
        <f t="shared" si="2"/>
        <v>Lead</v>
      </c>
      <c r="AH899" s="17" t="str">
        <f t="shared" si="3"/>
        <v>201-500</v>
      </c>
      <c r="AI899" s="17" t="str">
        <f t="shared" si="4"/>
        <v>21-50</v>
      </c>
    </row>
    <row r="900" ht="15.75" customHeight="1">
      <c r="A900" s="13">
        <f>HYPERLINK("https://app.hubspot.com/contacts/8748051/record/0-3/8658524342", 8658524342)</f>
        <v>8658524342</v>
      </c>
      <c r="B900" s="14" t="s">
        <v>2930</v>
      </c>
      <c r="C900" s="14" t="s">
        <v>145</v>
      </c>
      <c r="D900" s="15"/>
      <c r="E900" s="14" t="s">
        <v>146</v>
      </c>
      <c r="F900" s="14"/>
      <c r="G900" s="16">
        <v>44670.62630787037</v>
      </c>
      <c r="H900" s="16">
        <v>44907.386724537035</v>
      </c>
      <c r="I900" s="14" t="s">
        <v>39</v>
      </c>
      <c r="J900" s="14" t="s">
        <v>40</v>
      </c>
      <c r="K900" s="17"/>
      <c r="L900" s="17"/>
      <c r="M900" s="14" t="s">
        <v>43</v>
      </c>
      <c r="N900" s="14"/>
      <c r="O900" s="14" t="s">
        <v>2931</v>
      </c>
      <c r="P900" s="17"/>
      <c r="Q900" s="14"/>
      <c r="R900" s="13">
        <f>HYPERLINK("https://app.hubspot.com/contacts/8748051/record/0-2/7658100915", 7658100915)</f>
        <v>7658100915</v>
      </c>
      <c r="S900" s="14" t="s">
        <v>2932</v>
      </c>
      <c r="T900" s="18" t="s">
        <v>2933</v>
      </c>
      <c r="U900" s="14" t="s">
        <v>46</v>
      </c>
      <c r="V900" s="15"/>
      <c r="W900" s="19">
        <v>84.0</v>
      </c>
      <c r="X900" s="19">
        <v>19.0</v>
      </c>
      <c r="Y900" s="20"/>
      <c r="Z900" s="20"/>
      <c r="AA900" s="20"/>
      <c r="AB900" s="21"/>
      <c r="AC900" s="20"/>
      <c r="AD900" s="21"/>
      <c r="AE900" s="20"/>
      <c r="AF900" s="17" t="str">
        <f t="shared" si="1"/>
        <v>New Logo</v>
      </c>
      <c r="AG900" s="17" t="str">
        <f t="shared" si="2"/>
        <v>Lead</v>
      </c>
      <c r="AH900" s="17" t="str">
        <f t="shared" si="3"/>
        <v>0-200</v>
      </c>
      <c r="AI900" s="17" t="str">
        <f t="shared" si="4"/>
        <v>0-20</v>
      </c>
    </row>
    <row r="901" ht="15.75" customHeight="1">
      <c r="A901" s="13">
        <f>HYPERLINK("https://app.hubspot.com/contacts/8748051/record/0-3/8644294692", 8644294692)</f>
        <v>8644294692</v>
      </c>
      <c r="B901" s="14" t="s">
        <v>2934</v>
      </c>
      <c r="C901" s="14" t="s">
        <v>145</v>
      </c>
      <c r="D901" s="15"/>
      <c r="E901" s="14" t="s">
        <v>146</v>
      </c>
      <c r="F901" s="14"/>
      <c r="G901" s="16">
        <v>44669.18246527778</v>
      </c>
      <c r="H901" s="16">
        <v>44865.31136574074</v>
      </c>
      <c r="I901" s="14" t="s">
        <v>39</v>
      </c>
      <c r="J901" s="14" t="s">
        <v>40</v>
      </c>
      <c r="K901" s="17"/>
      <c r="L901" s="17"/>
      <c r="M901" s="14" t="s">
        <v>43</v>
      </c>
      <c r="N901" s="14"/>
      <c r="O901" s="14" t="s">
        <v>2935</v>
      </c>
      <c r="P901" s="17"/>
      <c r="Q901" s="14"/>
      <c r="R901" s="13">
        <f>HYPERLINK("https://app.hubspot.com/contacts/8748051/record/0-2/8479912490", 8479912490)</f>
        <v>8479912490</v>
      </c>
      <c r="S901" s="14" t="s">
        <v>2936</v>
      </c>
      <c r="T901" s="18" t="s">
        <v>2937</v>
      </c>
      <c r="U901" s="14" t="s">
        <v>46</v>
      </c>
      <c r="V901" s="15"/>
      <c r="W901" s="19">
        <v>386.0</v>
      </c>
      <c r="X901" s="19">
        <v>60.0</v>
      </c>
      <c r="Y901" s="20"/>
      <c r="Z901" s="20"/>
      <c r="AA901" s="21"/>
      <c r="AB901" s="21"/>
      <c r="AC901" s="20"/>
      <c r="AD901" s="21"/>
      <c r="AE901" s="20"/>
      <c r="AF901" s="17" t="str">
        <f t="shared" si="1"/>
        <v>New Logo</v>
      </c>
      <c r="AG901" s="17" t="str">
        <f t="shared" si="2"/>
        <v>Lead</v>
      </c>
      <c r="AH901" s="17" t="str">
        <f t="shared" si="3"/>
        <v>201-500</v>
      </c>
      <c r="AI901" s="17" t="str">
        <f t="shared" si="4"/>
        <v>51-100</v>
      </c>
    </row>
    <row r="902" ht="15.75" customHeight="1">
      <c r="A902" s="13">
        <f>HYPERLINK("https://app.hubspot.com/contacts/8748051/record/0-3/8625461567", 8625461567)</f>
        <v>8625461567</v>
      </c>
      <c r="B902" s="14" t="s">
        <v>2938</v>
      </c>
      <c r="C902" s="14" t="s">
        <v>156</v>
      </c>
      <c r="D902" s="15">
        <v>3500.0</v>
      </c>
      <c r="E902" s="14" t="s">
        <v>89</v>
      </c>
      <c r="F902" s="14" t="s">
        <v>51</v>
      </c>
      <c r="G902" s="16">
        <v>44666.26137731481</v>
      </c>
      <c r="H902" s="16">
        <v>44676.40641203704</v>
      </c>
      <c r="I902" s="14" t="s">
        <v>39</v>
      </c>
      <c r="J902" s="14" t="s">
        <v>40</v>
      </c>
      <c r="K902" s="17"/>
      <c r="L902" s="17"/>
      <c r="M902" s="14" t="s">
        <v>98</v>
      </c>
      <c r="N902" s="14" t="s">
        <v>2939</v>
      </c>
      <c r="O902" s="14"/>
      <c r="P902" s="17"/>
      <c r="Q902" s="14"/>
      <c r="R902" s="13">
        <f>HYPERLINK("https://app.hubspot.com/contacts/8748051/record/0-2/8125624904", 8125624904)</f>
        <v>8125624904</v>
      </c>
      <c r="S902" s="14" t="s">
        <v>2940</v>
      </c>
      <c r="T902" s="18" t="s">
        <v>2941</v>
      </c>
      <c r="U902" s="14">
        <v>3.4564763E7</v>
      </c>
      <c r="V902" s="15">
        <v>3500.0</v>
      </c>
      <c r="W902" s="19">
        <v>98.0</v>
      </c>
      <c r="X902" s="19">
        <v>7.0</v>
      </c>
      <c r="Y902" s="20"/>
      <c r="Z902" s="20"/>
      <c r="AA902" s="20"/>
      <c r="AB902" s="21"/>
      <c r="AC902" s="20"/>
      <c r="AD902" s="21"/>
      <c r="AE902" s="20"/>
      <c r="AF902" s="17" t="str">
        <f t="shared" si="1"/>
        <v>New Logo</v>
      </c>
      <c r="AG902" s="17" t="str">
        <f t="shared" si="2"/>
        <v>Churn</v>
      </c>
      <c r="AH902" s="17" t="str">
        <f t="shared" si="3"/>
        <v>0-200</v>
      </c>
      <c r="AI902" s="17" t="str">
        <f t="shared" si="4"/>
        <v>0-20</v>
      </c>
    </row>
    <row r="903" ht="15.75" customHeight="1">
      <c r="A903" s="13">
        <f>HYPERLINK("https://app.hubspot.com/contacts/8748051/record/0-3/8595142934", 8595142934)</f>
        <v>8595142934</v>
      </c>
      <c r="B903" s="14" t="s">
        <v>2942</v>
      </c>
      <c r="C903" s="14" t="s">
        <v>145</v>
      </c>
      <c r="D903" s="15">
        <v>5000.0</v>
      </c>
      <c r="E903" s="14" t="s">
        <v>146</v>
      </c>
      <c r="F903" s="14" t="s">
        <v>51</v>
      </c>
      <c r="G903" s="16">
        <v>44663.44353009259</v>
      </c>
      <c r="H903" s="16">
        <v>44719.35322916666</v>
      </c>
      <c r="I903" s="14" t="s">
        <v>39</v>
      </c>
      <c r="J903" s="14" t="s">
        <v>40</v>
      </c>
      <c r="K903" s="14"/>
      <c r="L903" s="14"/>
      <c r="M903" s="14" t="s">
        <v>43</v>
      </c>
      <c r="N903" s="14"/>
      <c r="O903" s="14" t="s">
        <v>2943</v>
      </c>
      <c r="P903" s="17"/>
      <c r="Q903" s="14"/>
      <c r="R903" s="13">
        <f>HYPERLINK("https://app.hubspot.com/contacts/8748051/record/0-2/7624051054", 7624051054)</f>
        <v>7624051054</v>
      </c>
      <c r="S903" s="14" t="s">
        <v>2944</v>
      </c>
      <c r="T903" s="18" t="s">
        <v>2945</v>
      </c>
      <c r="U903" s="14" t="s">
        <v>46</v>
      </c>
      <c r="V903" s="15"/>
      <c r="W903" s="19">
        <v>479.0</v>
      </c>
      <c r="X903" s="19">
        <v>95.0</v>
      </c>
      <c r="Y903" s="20"/>
      <c r="Z903" s="20"/>
      <c r="AA903" s="20"/>
      <c r="AB903" s="21"/>
      <c r="AC903" s="20"/>
      <c r="AD903" s="21"/>
      <c r="AE903" s="20"/>
      <c r="AF903" s="17" t="str">
        <f t="shared" si="1"/>
        <v>New Logo</v>
      </c>
      <c r="AG903" s="17" t="str">
        <f t="shared" si="2"/>
        <v>Lead</v>
      </c>
      <c r="AH903" s="17" t="str">
        <f t="shared" si="3"/>
        <v>201-500</v>
      </c>
      <c r="AI903" s="17" t="str">
        <f t="shared" si="4"/>
        <v>51-100</v>
      </c>
    </row>
    <row r="904" ht="15.75" customHeight="1">
      <c r="A904" s="13">
        <f>HYPERLINK("https://app.hubspot.com/contacts/8748051/record/0-3/8579889302", 8579889302)</f>
        <v>8579889302</v>
      </c>
      <c r="B904" s="14" t="s">
        <v>2946</v>
      </c>
      <c r="C904" s="14" t="s">
        <v>1008</v>
      </c>
      <c r="D904" s="15">
        <v>18000.0</v>
      </c>
      <c r="E904" s="14" t="s">
        <v>124</v>
      </c>
      <c r="F904" s="14" t="s">
        <v>51</v>
      </c>
      <c r="G904" s="16">
        <v>44662.357766203706</v>
      </c>
      <c r="H904" s="16">
        <v>44681.357766203706</v>
      </c>
      <c r="I904" s="14" t="s">
        <v>39</v>
      </c>
      <c r="J904" s="14" t="s">
        <v>40</v>
      </c>
      <c r="K904" s="17"/>
      <c r="L904" s="17"/>
      <c r="M904" s="14" t="s">
        <v>43</v>
      </c>
      <c r="N904" s="14"/>
      <c r="O904" s="14"/>
      <c r="P904" s="17"/>
      <c r="Q904" s="14" t="s">
        <v>195</v>
      </c>
      <c r="R904" s="13">
        <f>HYPERLINK("https://app.hubspot.com/contacts/8748051/record/0-2/7983577462", 7983577462)</f>
        <v>7983577462</v>
      </c>
      <c r="S904" s="14" t="s">
        <v>2947</v>
      </c>
      <c r="T904" s="18" t="s">
        <v>2948</v>
      </c>
      <c r="U904" s="14" t="s">
        <v>46</v>
      </c>
      <c r="V904" s="15"/>
      <c r="W904" s="19">
        <v>48.0</v>
      </c>
      <c r="X904" s="19">
        <v>13.0</v>
      </c>
      <c r="Y904" s="20"/>
      <c r="Z904" s="20"/>
      <c r="AA904" s="20"/>
      <c r="AB904" s="21"/>
      <c r="AC904" s="20"/>
      <c r="AD904" s="21"/>
      <c r="AE904" s="20"/>
      <c r="AF904" s="17" t="str">
        <f t="shared" si="1"/>
        <v>New Logo</v>
      </c>
      <c r="AG904" s="17" t="str">
        <f t="shared" si="2"/>
        <v>Lead</v>
      </c>
      <c r="AH904" s="17" t="str">
        <f t="shared" si="3"/>
        <v>0-200</v>
      </c>
      <c r="AI904" s="17" t="str">
        <f t="shared" si="4"/>
        <v>0-20</v>
      </c>
    </row>
    <row r="905" ht="15.75" customHeight="1">
      <c r="A905" s="13">
        <f>HYPERLINK("https://app.hubspot.com/contacts/8748051/record/0-3/8402415267", 8402415267)</f>
        <v>8402415267</v>
      </c>
      <c r="B905" s="14" t="s">
        <v>2949</v>
      </c>
      <c r="C905" s="14" t="s">
        <v>2304</v>
      </c>
      <c r="D905" s="15">
        <v>30000.0</v>
      </c>
      <c r="E905" s="14" t="s">
        <v>89</v>
      </c>
      <c r="F905" s="14" t="s">
        <v>51</v>
      </c>
      <c r="G905" s="16">
        <v>44650.41300925926</v>
      </c>
      <c r="H905" s="16">
        <v>44760.43556712963</v>
      </c>
      <c r="I905" s="14" t="s">
        <v>39</v>
      </c>
      <c r="J905" s="14" t="s">
        <v>52</v>
      </c>
      <c r="K905" s="17"/>
      <c r="L905" s="17"/>
      <c r="M905" s="14" t="s">
        <v>98</v>
      </c>
      <c r="N905" s="14" t="s">
        <v>2950</v>
      </c>
      <c r="O905" s="14"/>
      <c r="P905" s="17"/>
      <c r="Q905" s="14"/>
      <c r="R905" s="13">
        <f>HYPERLINK("https://app.hubspot.com/contacts/8748051/record/0-2/6996465316", 6996465316)</f>
        <v>6996465316</v>
      </c>
      <c r="S905" s="14" t="s">
        <v>788</v>
      </c>
      <c r="T905" s="18" t="s">
        <v>789</v>
      </c>
      <c r="U905" s="14" t="s">
        <v>93</v>
      </c>
      <c r="V905" s="15">
        <v>52500.0</v>
      </c>
      <c r="W905" s="19">
        <v>848.0</v>
      </c>
      <c r="X905" s="19">
        <v>65.0</v>
      </c>
      <c r="Y905" s="20"/>
      <c r="Z905" s="20" t="s">
        <v>218</v>
      </c>
      <c r="AA905" s="20" t="s">
        <v>192</v>
      </c>
      <c r="AB905" s="21"/>
      <c r="AC905" s="20" t="s">
        <v>790</v>
      </c>
      <c r="AD905" s="21"/>
      <c r="AE905" s="20" t="s">
        <v>166</v>
      </c>
      <c r="AF905" s="17" t="str">
        <f t="shared" si="1"/>
        <v>New Logo</v>
      </c>
      <c r="AG905" s="17" t="str">
        <f t="shared" si="2"/>
        <v>Customer</v>
      </c>
      <c r="AH905" s="17" t="str">
        <f t="shared" si="3"/>
        <v>501-1000</v>
      </c>
      <c r="AI905" s="17" t="str">
        <f t="shared" si="4"/>
        <v>51-100</v>
      </c>
    </row>
    <row r="906" ht="15.75" customHeight="1">
      <c r="A906" s="13">
        <f>HYPERLINK("https://app.hubspot.com/contacts/8748051/record/0-3/8402343013", 8402343013)</f>
        <v>8402343013</v>
      </c>
      <c r="B906" s="14" t="s">
        <v>2951</v>
      </c>
      <c r="C906" s="14" t="s">
        <v>49</v>
      </c>
      <c r="D906" s="15">
        <v>10000.0</v>
      </c>
      <c r="E906" s="14" t="s">
        <v>124</v>
      </c>
      <c r="F906" s="14" t="s">
        <v>51</v>
      </c>
      <c r="G906" s="16">
        <v>44650.37803240741</v>
      </c>
      <c r="H906" s="16">
        <v>44804.599652777775</v>
      </c>
      <c r="I906" s="14" t="s">
        <v>39</v>
      </c>
      <c r="J906" s="14" t="s">
        <v>40</v>
      </c>
      <c r="K906" s="17"/>
      <c r="L906" s="17"/>
      <c r="M906" s="14" t="s">
        <v>43</v>
      </c>
      <c r="N906" s="14"/>
      <c r="O906" s="14"/>
      <c r="P906" s="17"/>
      <c r="Q906" s="14" t="s">
        <v>502</v>
      </c>
      <c r="R906" s="13">
        <f>HYPERLINK("https://app.hubspot.com/contacts/8748051/record/0-2/8231931505", 8231931505)</f>
        <v>8231931505</v>
      </c>
      <c r="S906" s="14" t="s">
        <v>2952</v>
      </c>
      <c r="T906" s="18" t="s">
        <v>2953</v>
      </c>
      <c r="U906" s="14" t="s">
        <v>46</v>
      </c>
      <c r="V906" s="15"/>
      <c r="W906" s="19">
        <v>2040.0</v>
      </c>
      <c r="X906" s="19">
        <v>279.0</v>
      </c>
      <c r="Y906" s="20" t="s">
        <v>63</v>
      </c>
      <c r="Z906" s="21"/>
      <c r="AA906" s="21"/>
      <c r="AB906" s="21"/>
      <c r="AC906" s="21"/>
      <c r="AD906" s="21"/>
      <c r="AE906" s="21"/>
      <c r="AF906" s="17" t="str">
        <f t="shared" si="1"/>
        <v>New Logo</v>
      </c>
      <c r="AG906" s="17" t="str">
        <f t="shared" si="2"/>
        <v>Lead</v>
      </c>
      <c r="AH906" s="17" t="str">
        <f t="shared" si="3"/>
        <v>1001-5000</v>
      </c>
      <c r="AI906" s="17" t="str">
        <f t="shared" si="4"/>
        <v>101-500</v>
      </c>
    </row>
    <row r="907" ht="15.75" customHeight="1">
      <c r="A907" s="13">
        <f>HYPERLINK("https://app.hubspot.com/contacts/8748051/record/0-3/8352519960", 8352519960)</f>
        <v>8352519960</v>
      </c>
      <c r="B907" s="14" t="s">
        <v>2954</v>
      </c>
      <c r="C907" s="14" t="s">
        <v>1834</v>
      </c>
      <c r="D907" s="15">
        <v>7500.0</v>
      </c>
      <c r="E907" s="14" t="s">
        <v>89</v>
      </c>
      <c r="F907" s="14" t="s">
        <v>51</v>
      </c>
      <c r="G907" s="16">
        <v>44645.28854166667</v>
      </c>
      <c r="H907" s="16">
        <v>44692.12144675926</v>
      </c>
      <c r="I907" s="14" t="s">
        <v>39</v>
      </c>
      <c r="J907" s="14" t="s">
        <v>40</v>
      </c>
      <c r="K907" s="17"/>
      <c r="L907" s="17"/>
      <c r="M907" s="14" t="s">
        <v>98</v>
      </c>
      <c r="N907" s="14" t="s">
        <v>2955</v>
      </c>
      <c r="O907" s="14"/>
      <c r="P907" s="17"/>
      <c r="Q907" s="14"/>
      <c r="R907" s="13">
        <f>HYPERLINK("https://app.hubspot.com/contacts/8748051/record/0-2/6968305783", 6968305783)</f>
        <v>6968305783</v>
      </c>
      <c r="S907" s="14" t="s">
        <v>2631</v>
      </c>
      <c r="T907" s="18" t="s">
        <v>2632</v>
      </c>
      <c r="U907" s="14">
        <v>3.4564763E7</v>
      </c>
      <c r="V907" s="15">
        <v>12000.0</v>
      </c>
      <c r="W907" s="19">
        <v>312.0</v>
      </c>
      <c r="X907" s="19">
        <v>26.0</v>
      </c>
      <c r="Y907" s="20"/>
      <c r="Z907" s="20"/>
      <c r="AA907" s="20"/>
      <c r="AB907" s="21"/>
      <c r="AC907" s="20"/>
      <c r="AD907" s="21"/>
      <c r="AE907" s="20"/>
      <c r="AF907" s="17" t="str">
        <f t="shared" si="1"/>
        <v>New Logo</v>
      </c>
      <c r="AG907" s="17" t="str">
        <f t="shared" si="2"/>
        <v>Churn</v>
      </c>
      <c r="AH907" s="17" t="str">
        <f t="shared" si="3"/>
        <v>201-500</v>
      </c>
      <c r="AI907" s="17" t="str">
        <f t="shared" si="4"/>
        <v>21-50</v>
      </c>
    </row>
    <row r="908" ht="15.75" customHeight="1">
      <c r="A908" s="13">
        <f>HYPERLINK("https://app.hubspot.com/contacts/8748051/record/0-3/8250169972", 8250169972)</f>
        <v>8250169972</v>
      </c>
      <c r="B908" s="14" t="s">
        <v>2956</v>
      </c>
      <c r="C908" s="14" t="s">
        <v>1008</v>
      </c>
      <c r="D908" s="15">
        <v>10000.0</v>
      </c>
      <c r="E908" s="14" t="s">
        <v>124</v>
      </c>
      <c r="F908" s="14" t="s">
        <v>51</v>
      </c>
      <c r="G908" s="16">
        <v>44637.5424537037</v>
      </c>
      <c r="H908" s="16">
        <v>44712.542592592596</v>
      </c>
      <c r="I908" s="14" t="s">
        <v>39</v>
      </c>
      <c r="J908" s="14" t="s">
        <v>40</v>
      </c>
      <c r="K908" s="17"/>
      <c r="L908" s="17"/>
      <c r="M908" s="14" t="s">
        <v>43</v>
      </c>
      <c r="N908" s="17"/>
      <c r="O908" s="14"/>
      <c r="P908" s="17"/>
      <c r="Q908" s="14" t="s">
        <v>141</v>
      </c>
      <c r="R908" s="13">
        <f>HYPERLINK("https://app.hubspot.com/contacts/8748051/record/0-2/8033128541", 8033128541)</f>
        <v>8033128541</v>
      </c>
      <c r="S908" s="14" t="s">
        <v>2957</v>
      </c>
      <c r="T908" s="18" t="s">
        <v>2958</v>
      </c>
      <c r="U908" s="14" t="s">
        <v>46</v>
      </c>
      <c r="V908" s="15"/>
      <c r="W908" s="19">
        <v>265.0</v>
      </c>
      <c r="X908" s="19">
        <v>38.0</v>
      </c>
      <c r="Y908" s="20"/>
      <c r="Z908" s="20"/>
      <c r="AA908" s="20"/>
      <c r="AB908" s="21"/>
      <c r="AC908" s="20"/>
      <c r="AD908" s="21"/>
      <c r="AE908" s="20"/>
      <c r="AF908" s="17" t="str">
        <f t="shared" si="1"/>
        <v>New Logo</v>
      </c>
      <c r="AG908" s="17" t="str">
        <f t="shared" si="2"/>
        <v>Lead</v>
      </c>
      <c r="AH908" s="17" t="str">
        <f t="shared" si="3"/>
        <v>201-500</v>
      </c>
      <c r="AI908" s="17" t="str">
        <f t="shared" si="4"/>
        <v>21-50</v>
      </c>
    </row>
    <row r="909" ht="15.75" customHeight="1">
      <c r="A909" s="13">
        <f>HYPERLINK("https://app.hubspot.com/contacts/8748051/record/0-3/8215842219", 8215842219)</f>
        <v>8215842219</v>
      </c>
      <c r="B909" s="14" t="s">
        <v>2959</v>
      </c>
      <c r="C909" s="14" t="s">
        <v>1227</v>
      </c>
      <c r="D909" s="15">
        <v>79500.0</v>
      </c>
      <c r="E909" s="14" t="s">
        <v>124</v>
      </c>
      <c r="F909" s="14"/>
      <c r="G909" s="16">
        <v>44634.2030787037</v>
      </c>
      <c r="H909" s="16">
        <v>45016.30983796297</v>
      </c>
      <c r="I909" s="14" t="s">
        <v>39</v>
      </c>
      <c r="J909" s="14" t="s">
        <v>40</v>
      </c>
      <c r="K909" s="17"/>
      <c r="L909" s="17"/>
      <c r="M909" s="14" t="s">
        <v>98</v>
      </c>
      <c r="N909" s="14"/>
      <c r="O909" s="14"/>
      <c r="P909" s="17"/>
      <c r="Q909" s="14" t="s">
        <v>141</v>
      </c>
      <c r="R909" s="13">
        <f>HYPERLINK("https://app.hubspot.com/contacts/8748051/record/0-2/8513131656", 8513131656)</f>
        <v>8513131656</v>
      </c>
      <c r="S909" s="14" t="s">
        <v>856</v>
      </c>
      <c r="T909" s="18" t="s">
        <v>857</v>
      </c>
      <c r="U909" s="14" t="s">
        <v>93</v>
      </c>
      <c r="V909" s="15">
        <v>25500.0</v>
      </c>
      <c r="W909" s="19">
        <v>1321.0</v>
      </c>
      <c r="X909" s="19">
        <v>159.0</v>
      </c>
      <c r="Y909" s="20"/>
      <c r="Z909" s="20" t="s">
        <v>191</v>
      </c>
      <c r="AA909" s="20" t="s">
        <v>192</v>
      </c>
      <c r="AB909" s="21"/>
      <c r="AC909" s="20" t="s">
        <v>858</v>
      </c>
      <c r="AD909" s="20"/>
      <c r="AE909" s="20" t="s">
        <v>166</v>
      </c>
      <c r="AF909" s="17" t="str">
        <f t="shared" si="1"/>
        <v>New Logo</v>
      </c>
      <c r="AG909" s="17" t="str">
        <f t="shared" si="2"/>
        <v>Customer</v>
      </c>
      <c r="AH909" s="17" t="str">
        <f t="shared" si="3"/>
        <v>1001-5000</v>
      </c>
      <c r="AI909" s="17" t="str">
        <f t="shared" si="4"/>
        <v>101-500</v>
      </c>
    </row>
    <row r="910" ht="15.75" customHeight="1">
      <c r="A910" s="13">
        <f>HYPERLINK("https://app.hubspot.com/contacts/8748051/record/0-3/8189781140", 8189781140)</f>
        <v>8189781140</v>
      </c>
      <c r="B910" s="14" t="s">
        <v>2960</v>
      </c>
      <c r="C910" s="14" t="s">
        <v>49</v>
      </c>
      <c r="D910" s="15"/>
      <c r="E910" s="14" t="s">
        <v>146</v>
      </c>
      <c r="F910" s="14"/>
      <c r="G910" s="16">
        <v>44630.72652777778</v>
      </c>
      <c r="H910" s="16">
        <v>44692.65366898148</v>
      </c>
      <c r="I910" s="14" t="s">
        <v>39</v>
      </c>
      <c r="J910" s="14" t="s">
        <v>40</v>
      </c>
      <c r="K910" s="17"/>
      <c r="L910" s="17"/>
      <c r="M910" s="14" t="s">
        <v>43</v>
      </c>
      <c r="N910" s="17"/>
      <c r="O910" s="14" t="s">
        <v>2961</v>
      </c>
      <c r="P910" s="17"/>
      <c r="Q910" s="14"/>
      <c r="R910" s="13">
        <f>HYPERLINK("https://app.hubspot.com/contacts/8748051/record/0-2/8016984454", 8016984454)</f>
        <v>8016984454</v>
      </c>
      <c r="S910" s="14" t="s">
        <v>2962</v>
      </c>
      <c r="T910" s="18" t="s">
        <v>2963</v>
      </c>
      <c r="U910" s="14" t="s">
        <v>46</v>
      </c>
      <c r="V910" s="22"/>
      <c r="W910" s="19">
        <v>50.0</v>
      </c>
      <c r="X910" s="19">
        <v>4.0</v>
      </c>
      <c r="Y910" s="20"/>
      <c r="Z910" s="21"/>
      <c r="AA910" s="21"/>
      <c r="AB910" s="21"/>
      <c r="AC910" s="21"/>
      <c r="AD910" s="21"/>
      <c r="AE910" s="21"/>
      <c r="AF910" s="17" t="str">
        <f t="shared" si="1"/>
        <v>New Logo</v>
      </c>
      <c r="AG910" s="17" t="str">
        <f t="shared" si="2"/>
        <v>Lead</v>
      </c>
      <c r="AH910" s="17" t="str">
        <f t="shared" si="3"/>
        <v>0-200</v>
      </c>
      <c r="AI910" s="17" t="str">
        <f t="shared" si="4"/>
        <v>0-20</v>
      </c>
    </row>
    <row r="911" ht="15.75" customHeight="1">
      <c r="A911" s="13">
        <f>HYPERLINK("https://app.hubspot.com/contacts/8748051/record/0-3/8189808282", 8189808282)</f>
        <v>8189808282</v>
      </c>
      <c r="B911" s="14" t="s">
        <v>2964</v>
      </c>
      <c r="C911" s="14" t="s">
        <v>37</v>
      </c>
      <c r="D911" s="15">
        <v>28500.0</v>
      </c>
      <c r="E911" s="14" t="s">
        <v>577</v>
      </c>
      <c r="F911" s="14"/>
      <c r="G911" s="16">
        <v>44630.7231712963</v>
      </c>
      <c r="H911" s="16">
        <v>44834.72336805556</v>
      </c>
      <c r="I911" s="14" t="s">
        <v>39</v>
      </c>
      <c r="J911" s="14" t="s">
        <v>40</v>
      </c>
      <c r="K911" s="17"/>
      <c r="L911" s="17"/>
      <c r="M911" s="14" t="s">
        <v>43</v>
      </c>
      <c r="N911" s="14"/>
      <c r="O911" s="14"/>
      <c r="P911" s="17"/>
      <c r="Q911" s="14"/>
      <c r="R911" s="13">
        <f>HYPERLINK("https://app.hubspot.com/contacts/8748051/record/0-2/8087960190", 8087960190)</f>
        <v>8087960190</v>
      </c>
      <c r="S911" s="14" t="s">
        <v>2965</v>
      </c>
      <c r="T911" s="18" t="s">
        <v>2966</v>
      </c>
      <c r="U911" s="14" t="s">
        <v>46</v>
      </c>
      <c r="V911" s="15"/>
      <c r="W911" s="19">
        <v>565.0</v>
      </c>
      <c r="X911" s="19">
        <v>93.0</v>
      </c>
      <c r="Y911" s="20" t="s">
        <v>104</v>
      </c>
      <c r="Z911" s="21"/>
      <c r="AA911" s="21"/>
      <c r="AB911" s="21"/>
      <c r="AC911" s="21"/>
      <c r="AD911" s="21"/>
      <c r="AE911" s="21"/>
      <c r="AF911" s="17" t="str">
        <f t="shared" si="1"/>
        <v>New Logo</v>
      </c>
      <c r="AG911" s="17" t="str">
        <f t="shared" si="2"/>
        <v>Lead</v>
      </c>
      <c r="AH911" s="17" t="str">
        <f t="shared" si="3"/>
        <v>501-1000</v>
      </c>
      <c r="AI911" s="17" t="str">
        <f t="shared" si="4"/>
        <v>51-100</v>
      </c>
    </row>
    <row r="912" ht="15.75" customHeight="1">
      <c r="A912" s="13">
        <f>HYPERLINK("https://app.hubspot.com/contacts/8748051/record/0-3/8184032035", 8184032035)</f>
        <v>8184032035</v>
      </c>
      <c r="B912" s="14" t="s">
        <v>2967</v>
      </c>
      <c r="C912" s="14" t="s">
        <v>145</v>
      </c>
      <c r="D912" s="15"/>
      <c r="E912" s="14" t="s">
        <v>146</v>
      </c>
      <c r="F912" s="14"/>
      <c r="G912" s="16">
        <v>44630.31306712963</v>
      </c>
      <c r="H912" s="16">
        <v>44865.31104166667</v>
      </c>
      <c r="I912" s="14" t="s">
        <v>39</v>
      </c>
      <c r="J912" s="14" t="s">
        <v>40</v>
      </c>
      <c r="K912" s="17"/>
      <c r="L912" s="17"/>
      <c r="M912" s="14" t="s">
        <v>72</v>
      </c>
      <c r="N912" s="17"/>
      <c r="O912" s="14" t="s">
        <v>2968</v>
      </c>
      <c r="P912" s="17"/>
      <c r="Q912" s="14"/>
      <c r="R912" s="13">
        <f>HYPERLINK("https://app.hubspot.com/contacts/8748051/record/0-2/8140219698", 8140219698)</f>
        <v>8140219698</v>
      </c>
      <c r="S912" s="14" t="s">
        <v>2967</v>
      </c>
      <c r="T912" s="18" t="s">
        <v>2969</v>
      </c>
      <c r="U912" s="14" t="s">
        <v>46</v>
      </c>
      <c r="V912" s="22"/>
      <c r="W912" s="19">
        <v>1565.0</v>
      </c>
      <c r="X912" s="19">
        <v>157.0</v>
      </c>
      <c r="Y912" s="20" t="s">
        <v>2970</v>
      </c>
      <c r="Z912" s="21"/>
      <c r="AA912" s="21"/>
      <c r="AB912" s="21"/>
      <c r="AC912" s="21"/>
      <c r="AD912" s="21"/>
      <c r="AE912" s="21"/>
      <c r="AF912" s="17" t="str">
        <f t="shared" si="1"/>
        <v>New Logo</v>
      </c>
      <c r="AG912" s="17" t="str">
        <f t="shared" si="2"/>
        <v>Lead</v>
      </c>
      <c r="AH912" s="17" t="str">
        <f t="shared" si="3"/>
        <v>1001-5000</v>
      </c>
      <c r="AI912" s="17" t="str">
        <f t="shared" si="4"/>
        <v>101-500</v>
      </c>
    </row>
    <row r="913" ht="15.75" customHeight="1">
      <c r="A913" s="13">
        <f>HYPERLINK("https://app.hubspot.com/contacts/8748051/record/0-3/8169143869", 8169143869)</f>
        <v>8169143869</v>
      </c>
      <c r="B913" s="14" t="s">
        <v>2971</v>
      </c>
      <c r="C913" s="14" t="s">
        <v>49</v>
      </c>
      <c r="D913" s="15">
        <v>10000.0</v>
      </c>
      <c r="E913" s="14" t="s">
        <v>146</v>
      </c>
      <c r="F913" s="14"/>
      <c r="G913" s="16">
        <v>44628.707916666666</v>
      </c>
      <c r="H913" s="16">
        <v>45093.52357638889</v>
      </c>
      <c r="I913" s="14" t="s">
        <v>39</v>
      </c>
      <c r="J913" s="14" t="s">
        <v>52</v>
      </c>
      <c r="K913" s="17"/>
      <c r="L913" s="17"/>
      <c r="M913" s="14" t="s">
        <v>43</v>
      </c>
      <c r="N913" s="17"/>
      <c r="O913" s="14" t="s">
        <v>2972</v>
      </c>
      <c r="P913" s="17"/>
      <c r="Q913" s="14"/>
      <c r="R913" s="13">
        <f>HYPERLINK("https://app.hubspot.com/contacts/8748051/record/0-2/6815283286", 6815283286)</f>
        <v>6815283286</v>
      </c>
      <c r="S913" s="14" t="s">
        <v>1538</v>
      </c>
      <c r="T913" s="18" t="s">
        <v>1539</v>
      </c>
      <c r="U913" s="14" t="s">
        <v>46</v>
      </c>
      <c r="V913" s="22"/>
      <c r="W913" s="19">
        <v>256.0</v>
      </c>
      <c r="X913" s="19">
        <v>45.0</v>
      </c>
      <c r="Y913" s="20" t="s">
        <v>1540</v>
      </c>
      <c r="Z913" s="21"/>
      <c r="AA913" s="21"/>
      <c r="AB913" s="21"/>
      <c r="AC913" s="21"/>
      <c r="AD913" s="21"/>
      <c r="AE913" s="21"/>
      <c r="AF913" s="17" t="str">
        <f t="shared" si="1"/>
        <v>New Logo</v>
      </c>
      <c r="AG913" s="17" t="str">
        <f t="shared" si="2"/>
        <v>Lead</v>
      </c>
      <c r="AH913" s="17" t="str">
        <f t="shared" si="3"/>
        <v>201-500</v>
      </c>
      <c r="AI913" s="17" t="str">
        <f t="shared" si="4"/>
        <v>21-50</v>
      </c>
    </row>
    <row r="914" ht="15.75" customHeight="1">
      <c r="A914" s="13">
        <f>HYPERLINK("https://app.hubspot.com/contacts/8748051/record/0-3/8165748399", 8165748399)</f>
        <v>8165748399</v>
      </c>
      <c r="B914" s="14" t="s">
        <v>2973</v>
      </c>
      <c r="C914" s="14" t="s">
        <v>1008</v>
      </c>
      <c r="D914" s="15">
        <v>10000.0</v>
      </c>
      <c r="E914" s="14" t="s">
        <v>124</v>
      </c>
      <c r="F914" s="14" t="s">
        <v>51</v>
      </c>
      <c r="G914" s="16">
        <v>44628.361805555556</v>
      </c>
      <c r="H914" s="16">
        <v>44834.60061342592</v>
      </c>
      <c r="I914" s="14" t="s">
        <v>39</v>
      </c>
      <c r="J914" s="14" t="s">
        <v>40</v>
      </c>
      <c r="K914" s="17"/>
      <c r="L914" s="17"/>
      <c r="M914" s="14" t="s">
        <v>43</v>
      </c>
      <c r="N914" s="17"/>
      <c r="O914" s="14"/>
      <c r="P914" s="17"/>
      <c r="Q914" s="14" t="s">
        <v>141</v>
      </c>
      <c r="R914" s="13">
        <f>HYPERLINK("https://app.hubspot.com/contacts/8748051/record/0-2/8052267831", 8052267831)</f>
        <v>8052267831</v>
      </c>
      <c r="S914" s="14" t="s">
        <v>2974</v>
      </c>
      <c r="T914" s="18" t="s">
        <v>2975</v>
      </c>
      <c r="U914" s="14" t="s">
        <v>46</v>
      </c>
      <c r="V914" s="22"/>
      <c r="W914" s="19">
        <v>549.0</v>
      </c>
      <c r="X914" s="19">
        <v>93.0</v>
      </c>
      <c r="Y914" s="20"/>
      <c r="Z914" s="21"/>
      <c r="AA914" s="21"/>
      <c r="AB914" s="21"/>
      <c r="AC914" s="21"/>
      <c r="AD914" s="21"/>
      <c r="AE914" s="21"/>
      <c r="AF914" s="17" t="str">
        <f t="shared" si="1"/>
        <v>New Logo</v>
      </c>
      <c r="AG914" s="17" t="str">
        <f t="shared" si="2"/>
        <v>Lead</v>
      </c>
      <c r="AH914" s="17" t="str">
        <f t="shared" si="3"/>
        <v>501-1000</v>
      </c>
      <c r="AI914" s="17" t="str">
        <f t="shared" si="4"/>
        <v>51-100</v>
      </c>
    </row>
    <row r="915" ht="15.75" customHeight="1">
      <c r="A915" s="13">
        <f>HYPERLINK("https://app.hubspot.com/contacts/8748051/record/0-3/8165917035", 8165917035)</f>
        <v>8165917035</v>
      </c>
      <c r="B915" s="14" t="s">
        <v>2976</v>
      </c>
      <c r="C915" s="14" t="s">
        <v>49</v>
      </c>
      <c r="D915" s="15">
        <v>7500.0</v>
      </c>
      <c r="E915" s="14" t="s">
        <v>124</v>
      </c>
      <c r="F915" s="14" t="s">
        <v>51</v>
      </c>
      <c r="G915" s="16">
        <v>44628.36115740741</v>
      </c>
      <c r="H915" s="16">
        <v>44804.598761574074</v>
      </c>
      <c r="I915" s="14" t="s">
        <v>39</v>
      </c>
      <c r="J915" s="14" t="s">
        <v>40</v>
      </c>
      <c r="K915" s="17"/>
      <c r="L915" s="17"/>
      <c r="M915" s="14" t="s">
        <v>43</v>
      </c>
      <c r="N915" s="17"/>
      <c r="O915" s="17"/>
      <c r="P915" s="17"/>
      <c r="Q915" s="14" t="s">
        <v>400</v>
      </c>
      <c r="R915" s="13">
        <f>HYPERLINK("https://app.hubspot.com/contacts/8748051/record/0-2/7624021374", 7624021374)</f>
        <v>7624021374</v>
      </c>
      <c r="S915" s="14" t="s">
        <v>2977</v>
      </c>
      <c r="T915" s="18" t="s">
        <v>2978</v>
      </c>
      <c r="U915" s="14" t="s">
        <v>46</v>
      </c>
      <c r="V915" s="22"/>
      <c r="W915" s="19">
        <v>380.0</v>
      </c>
      <c r="X915" s="19">
        <v>62.0</v>
      </c>
      <c r="Y915" s="20" t="s">
        <v>55</v>
      </c>
      <c r="Z915" s="21"/>
      <c r="AA915" s="21"/>
      <c r="AB915" s="21"/>
      <c r="AC915" s="21"/>
      <c r="AD915" s="21"/>
      <c r="AE915" s="21"/>
      <c r="AF915" s="17" t="str">
        <f t="shared" si="1"/>
        <v>New Logo</v>
      </c>
      <c r="AG915" s="17" t="str">
        <f t="shared" si="2"/>
        <v>Lead</v>
      </c>
      <c r="AH915" s="17" t="str">
        <f t="shared" si="3"/>
        <v>201-500</v>
      </c>
      <c r="AI915" s="17" t="str">
        <f t="shared" si="4"/>
        <v>51-100</v>
      </c>
    </row>
    <row r="916" ht="15.75" customHeight="1">
      <c r="A916" s="13">
        <f>HYPERLINK("https://app.hubspot.com/contacts/8748051/record/0-3/8165744990", 8165744990)</f>
        <v>8165744990</v>
      </c>
      <c r="B916" s="14" t="s">
        <v>2979</v>
      </c>
      <c r="C916" s="14" t="s">
        <v>37</v>
      </c>
      <c r="D916" s="15">
        <v>10000.0</v>
      </c>
      <c r="E916" s="14" t="s">
        <v>124</v>
      </c>
      <c r="F916" s="14"/>
      <c r="G916" s="16">
        <v>44628.35853009259</v>
      </c>
      <c r="H916" s="16">
        <v>44712.35865740741</v>
      </c>
      <c r="I916" s="14" t="s">
        <v>39</v>
      </c>
      <c r="J916" s="14" t="s">
        <v>40</v>
      </c>
      <c r="K916" s="17"/>
      <c r="L916" s="17"/>
      <c r="M916" s="14" t="s">
        <v>43</v>
      </c>
      <c r="N916" s="17"/>
      <c r="O916" s="17"/>
      <c r="P916" s="17"/>
      <c r="Q916" s="14" t="s">
        <v>2980</v>
      </c>
      <c r="R916" s="13">
        <f>HYPERLINK("https://app.hubspot.com/contacts/8748051/record/0-2/6265997730", 6265997730)</f>
        <v>6265997730</v>
      </c>
      <c r="S916" s="14" t="s">
        <v>2981</v>
      </c>
      <c r="T916" s="18" t="s">
        <v>2982</v>
      </c>
      <c r="U916" s="14" t="s">
        <v>46</v>
      </c>
      <c r="V916" s="22"/>
      <c r="W916" s="19">
        <v>504.0</v>
      </c>
      <c r="X916" s="19">
        <v>26.0</v>
      </c>
      <c r="Y916" s="20" t="s">
        <v>104</v>
      </c>
      <c r="Z916" s="21"/>
      <c r="AA916" s="21"/>
      <c r="AB916" s="21"/>
      <c r="AC916" s="21"/>
      <c r="AD916" s="21"/>
      <c r="AE916" s="21"/>
      <c r="AF916" s="17" t="str">
        <f t="shared" si="1"/>
        <v>New Logo</v>
      </c>
      <c r="AG916" s="17" t="str">
        <f t="shared" si="2"/>
        <v>Lead</v>
      </c>
      <c r="AH916" s="17" t="str">
        <f t="shared" si="3"/>
        <v>501-1000</v>
      </c>
      <c r="AI916" s="17" t="str">
        <f t="shared" si="4"/>
        <v>21-50</v>
      </c>
    </row>
    <row r="917" ht="15.75" customHeight="1">
      <c r="A917" s="13">
        <f>HYPERLINK("https://app.hubspot.com/contacts/8748051/record/0-3/8123155475", 8123155475)</f>
        <v>8123155475</v>
      </c>
      <c r="B917" s="14" t="s">
        <v>1113</v>
      </c>
      <c r="C917" s="14" t="s">
        <v>1008</v>
      </c>
      <c r="D917" s="15">
        <v>10000.0</v>
      </c>
      <c r="E917" s="14" t="s">
        <v>124</v>
      </c>
      <c r="F917" s="14" t="s">
        <v>51</v>
      </c>
      <c r="G917" s="16">
        <v>44624.384780092594</v>
      </c>
      <c r="H917" s="16">
        <v>44742.38489583333</v>
      </c>
      <c r="I917" s="14" t="s">
        <v>39</v>
      </c>
      <c r="J917" s="14" t="s">
        <v>40</v>
      </c>
      <c r="K917" s="14"/>
      <c r="L917" s="14"/>
      <c r="M917" s="14" t="s">
        <v>43</v>
      </c>
      <c r="N917" s="14"/>
      <c r="O917" s="14"/>
      <c r="P917" s="17"/>
      <c r="Q917" s="14" t="s">
        <v>400</v>
      </c>
      <c r="R917" s="13">
        <f>HYPERLINK("https://app.hubspot.com/contacts/8748051/record/0-2/7983431442", 7983431442)</f>
        <v>7983431442</v>
      </c>
      <c r="S917" s="14" t="s">
        <v>1114</v>
      </c>
      <c r="T917" s="18" t="s">
        <v>1115</v>
      </c>
      <c r="U917" s="14" t="s">
        <v>46</v>
      </c>
      <c r="V917" s="15"/>
      <c r="W917" s="19">
        <v>183.0</v>
      </c>
      <c r="X917" s="19">
        <v>35.0</v>
      </c>
      <c r="Y917" s="20" t="s">
        <v>104</v>
      </c>
      <c r="Z917" s="20"/>
      <c r="AA917" s="21"/>
      <c r="AB917" s="21"/>
      <c r="AC917" s="20"/>
      <c r="AD917" s="21"/>
      <c r="AE917" s="20"/>
      <c r="AF917" s="17" t="str">
        <f t="shared" si="1"/>
        <v>New Logo</v>
      </c>
      <c r="AG917" s="17" t="str">
        <f t="shared" si="2"/>
        <v>Lead</v>
      </c>
      <c r="AH917" s="17" t="str">
        <f t="shared" si="3"/>
        <v>0-200</v>
      </c>
      <c r="AI917" s="17" t="str">
        <f t="shared" si="4"/>
        <v>21-50</v>
      </c>
    </row>
    <row r="918" ht="15.75" customHeight="1">
      <c r="A918" s="13">
        <f>HYPERLINK("https://app.hubspot.com/contacts/8748051/record/0-3/8122950785", 8122950785)</f>
        <v>8122950785</v>
      </c>
      <c r="B918" s="14" t="s">
        <v>2983</v>
      </c>
      <c r="C918" s="14" t="s">
        <v>49</v>
      </c>
      <c r="D918" s="15">
        <v>5000.0</v>
      </c>
      <c r="E918" s="14" t="s">
        <v>124</v>
      </c>
      <c r="F918" s="14"/>
      <c r="G918" s="16">
        <v>44624.37856481481</v>
      </c>
      <c r="H918" s="16">
        <v>44742.37868055556</v>
      </c>
      <c r="I918" s="14" t="s">
        <v>39</v>
      </c>
      <c r="J918" s="14" t="s">
        <v>40</v>
      </c>
      <c r="K918" s="17"/>
      <c r="L918" s="17"/>
      <c r="M918" s="14" t="s">
        <v>43</v>
      </c>
      <c r="N918" s="17"/>
      <c r="O918" s="14"/>
      <c r="P918" s="17"/>
      <c r="Q918" s="14" t="s">
        <v>195</v>
      </c>
      <c r="R918" s="13">
        <f>HYPERLINK("https://app.hubspot.com/contacts/8748051/record/0-2/7915849144", 7915849144)</f>
        <v>7915849144</v>
      </c>
      <c r="S918" s="14" t="s">
        <v>2984</v>
      </c>
      <c r="T918" s="18" t="s">
        <v>2985</v>
      </c>
      <c r="U918" s="14" t="s">
        <v>46</v>
      </c>
      <c r="V918" s="22"/>
      <c r="W918" s="19">
        <v>290.0</v>
      </c>
      <c r="X918" s="19">
        <v>21.0</v>
      </c>
      <c r="Y918" s="20"/>
      <c r="Z918" s="21"/>
      <c r="AA918" s="21"/>
      <c r="AB918" s="21"/>
      <c r="AC918" s="21"/>
      <c r="AD918" s="21"/>
      <c r="AE918" s="21"/>
      <c r="AF918" s="17" t="str">
        <f t="shared" si="1"/>
        <v>New Logo</v>
      </c>
      <c r="AG918" s="17" t="str">
        <f t="shared" si="2"/>
        <v>Lead</v>
      </c>
      <c r="AH918" s="17" t="str">
        <f t="shared" si="3"/>
        <v>201-500</v>
      </c>
      <c r="AI918" s="17" t="str">
        <f t="shared" si="4"/>
        <v>21-50</v>
      </c>
    </row>
    <row r="919" ht="15.75" customHeight="1">
      <c r="A919" s="13">
        <f>HYPERLINK("https://app.hubspot.com/contacts/8748051/record/0-3/8093002100", 8093002100)</f>
        <v>8093002100</v>
      </c>
      <c r="B919" s="14" t="s">
        <v>2986</v>
      </c>
      <c r="C919" s="14" t="s">
        <v>49</v>
      </c>
      <c r="D919" s="15">
        <v>20000.0</v>
      </c>
      <c r="E919" s="14" t="s">
        <v>146</v>
      </c>
      <c r="F919" s="14" t="s">
        <v>51</v>
      </c>
      <c r="G919" s="16">
        <v>44621.35372685185</v>
      </c>
      <c r="H919" s="16">
        <v>45110.41045138889</v>
      </c>
      <c r="I919" s="14" t="s">
        <v>39</v>
      </c>
      <c r="J919" s="14" t="s">
        <v>52</v>
      </c>
      <c r="K919" s="14"/>
      <c r="L919" s="14"/>
      <c r="M919" s="14" t="s">
        <v>43</v>
      </c>
      <c r="N919" s="14"/>
      <c r="O919" s="14" t="s">
        <v>2987</v>
      </c>
      <c r="P919" s="17"/>
      <c r="Q919" s="14"/>
      <c r="R919" s="13">
        <f>HYPERLINK("https://app.hubspot.com/contacts/8748051/record/0-2/5851235881", 5851235881)</f>
        <v>5851235881</v>
      </c>
      <c r="S919" s="14" t="s">
        <v>2988</v>
      </c>
      <c r="T919" s="18" t="s">
        <v>2989</v>
      </c>
      <c r="U919" s="14" t="s">
        <v>46</v>
      </c>
      <c r="V919" s="15"/>
      <c r="W919" s="19">
        <v>1489.0</v>
      </c>
      <c r="X919" s="19">
        <v>264.0</v>
      </c>
      <c r="Y919" s="20" t="s">
        <v>596</v>
      </c>
      <c r="Z919" s="21"/>
      <c r="AA919" s="21"/>
      <c r="AB919" s="21"/>
      <c r="AC919" s="21"/>
      <c r="AD919" s="21"/>
      <c r="AE919" s="21"/>
      <c r="AF919" s="17" t="str">
        <f t="shared" si="1"/>
        <v>New Logo</v>
      </c>
      <c r="AG919" s="17" t="str">
        <f t="shared" si="2"/>
        <v>Lead</v>
      </c>
      <c r="AH919" s="17" t="str">
        <f t="shared" si="3"/>
        <v>1001-5000</v>
      </c>
      <c r="AI919" s="17" t="str">
        <f t="shared" si="4"/>
        <v>101-500</v>
      </c>
    </row>
    <row r="920" ht="15.75" customHeight="1">
      <c r="A920" s="13">
        <f>HYPERLINK("https://app.hubspot.com/contacts/8748051/record/0-3/8092791193", 8092791193)</f>
        <v>8092791193</v>
      </c>
      <c r="B920" s="14" t="s">
        <v>2990</v>
      </c>
      <c r="C920" s="14" t="s">
        <v>145</v>
      </c>
      <c r="D920" s="15">
        <v>10000.0</v>
      </c>
      <c r="E920" s="14" t="s">
        <v>146</v>
      </c>
      <c r="F920" s="14" t="s">
        <v>51</v>
      </c>
      <c r="G920" s="16">
        <v>44621.35292824074</v>
      </c>
      <c r="H920" s="16">
        <v>44629.38773148148</v>
      </c>
      <c r="I920" s="14" t="s">
        <v>39</v>
      </c>
      <c r="J920" s="14" t="s">
        <v>40</v>
      </c>
      <c r="K920" s="17"/>
      <c r="L920" s="17"/>
      <c r="M920" s="14" t="s">
        <v>43</v>
      </c>
      <c r="N920" s="17"/>
      <c r="O920" s="14" t="s">
        <v>2991</v>
      </c>
      <c r="P920" s="17"/>
      <c r="Q920" s="14"/>
      <c r="R920" s="13">
        <f>HYPERLINK("https://app.hubspot.com/contacts/8748051/record/0-2/30038830165", 30038830165)</f>
        <v>30038830165</v>
      </c>
      <c r="S920" s="14" t="s">
        <v>2992</v>
      </c>
      <c r="T920" s="18" t="s">
        <v>2993</v>
      </c>
      <c r="U920" s="14" t="s">
        <v>46</v>
      </c>
      <c r="V920" s="22"/>
      <c r="W920" s="19">
        <v>264.0</v>
      </c>
      <c r="X920" s="19">
        <v>54.0</v>
      </c>
      <c r="Y920" s="20" t="s">
        <v>104</v>
      </c>
      <c r="Z920" s="21"/>
      <c r="AA920" s="21"/>
      <c r="AB920" s="21"/>
      <c r="AC920" s="21"/>
      <c r="AD920" s="21"/>
      <c r="AE920" s="21"/>
      <c r="AF920" s="17" t="str">
        <f t="shared" si="1"/>
        <v>New Logo</v>
      </c>
      <c r="AG920" s="17" t="str">
        <f t="shared" si="2"/>
        <v>Lead</v>
      </c>
      <c r="AH920" s="17" t="str">
        <f t="shared" si="3"/>
        <v>201-500</v>
      </c>
      <c r="AI920" s="17" t="str">
        <f t="shared" si="4"/>
        <v>51-100</v>
      </c>
    </row>
    <row r="921" ht="15.75" customHeight="1">
      <c r="A921" s="13">
        <f>HYPERLINK("https://app.hubspot.com/contacts/8748051/record/0-3/8092605104", 8092605104)</f>
        <v>8092605104</v>
      </c>
      <c r="B921" s="14" t="s">
        <v>2994</v>
      </c>
      <c r="C921" s="14" t="s">
        <v>49</v>
      </c>
      <c r="D921" s="15">
        <v>10000.0</v>
      </c>
      <c r="E921" s="14" t="s">
        <v>124</v>
      </c>
      <c r="F921" s="14"/>
      <c r="G921" s="16">
        <v>44621.3374537037</v>
      </c>
      <c r="H921" s="16">
        <v>44742.33761574074</v>
      </c>
      <c r="I921" s="14" t="s">
        <v>39</v>
      </c>
      <c r="J921" s="14" t="s">
        <v>40</v>
      </c>
      <c r="K921" s="17"/>
      <c r="L921" s="17"/>
      <c r="M921" s="14" t="s">
        <v>43</v>
      </c>
      <c r="N921" s="14"/>
      <c r="O921" s="14"/>
      <c r="P921" s="17"/>
      <c r="Q921" s="14" t="s">
        <v>195</v>
      </c>
      <c r="R921" s="13">
        <f>HYPERLINK("https://app.hubspot.com/contacts/8748051/record/0-2/7655806045", 7655806045)</f>
        <v>7655806045</v>
      </c>
      <c r="S921" s="14" t="s">
        <v>2995</v>
      </c>
      <c r="T921" s="18" t="s">
        <v>2996</v>
      </c>
      <c r="U921" s="14" t="s">
        <v>46</v>
      </c>
      <c r="V921" s="15"/>
      <c r="W921" s="19">
        <v>1213.0</v>
      </c>
      <c r="X921" s="19">
        <v>81.0</v>
      </c>
      <c r="Y921" s="20" t="s">
        <v>104</v>
      </c>
      <c r="Z921" s="21"/>
      <c r="AA921" s="21"/>
      <c r="AB921" s="21"/>
      <c r="AC921" s="21"/>
      <c r="AD921" s="21"/>
      <c r="AE921" s="21"/>
      <c r="AF921" s="17" t="str">
        <f t="shared" si="1"/>
        <v>New Logo</v>
      </c>
      <c r="AG921" s="17" t="str">
        <f t="shared" si="2"/>
        <v>Lead</v>
      </c>
      <c r="AH921" s="17" t="str">
        <f t="shared" si="3"/>
        <v>1001-5000</v>
      </c>
      <c r="AI921" s="17" t="str">
        <f t="shared" si="4"/>
        <v>51-100</v>
      </c>
    </row>
    <row r="922" ht="15.75" customHeight="1">
      <c r="A922" s="13">
        <f>HYPERLINK("https://app.hubspot.com/contacts/8748051/record/0-3/8088245613", 8088245613)</f>
        <v>8088245613</v>
      </c>
      <c r="B922" s="14" t="s">
        <v>2997</v>
      </c>
      <c r="C922" s="14" t="s">
        <v>37</v>
      </c>
      <c r="D922" s="15">
        <v>10000.0</v>
      </c>
      <c r="E922" s="14" t="s">
        <v>124</v>
      </c>
      <c r="F922" s="14" t="s">
        <v>51</v>
      </c>
      <c r="G922" s="16">
        <v>44621.335648148146</v>
      </c>
      <c r="H922" s="16">
        <v>44834.579780092594</v>
      </c>
      <c r="I922" s="14" t="s">
        <v>39</v>
      </c>
      <c r="J922" s="14" t="s">
        <v>40</v>
      </c>
      <c r="K922" s="17"/>
      <c r="L922" s="17"/>
      <c r="M922" s="14" t="s">
        <v>43</v>
      </c>
      <c r="N922" s="17"/>
      <c r="O922" s="14"/>
      <c r="P922" s="17"/>
      <c r="Q922" s="14" t="s">
        <v>236</v>
      </c>
      <c r="R922" s="13">
        <f>HYPERLINK("https://app.hubspot.com/contacts/8748051/record/0-2/7624051053", 7624051053)</f>
        <v>7624051053</v>
      </c>
      <c r="S922" s="14" t="s">
        <v>2998</v>
      </c>
      <c r="T922" s="18" t="s">
        <v>2999</v>
      </c>
      <c r="U922" s="14" t="s">
        <v>46</v>
      </c>
      <c r="V922" s="22"/>
      <c r="W922" s="19">
        <v>279.0</v>
      </c>
      <c r="X922" s="19">
        <v>45.0</v>
      </c>
      <c r="Y922" s="20"/>
      <c r="Z922" s="21"/>
      <c r="AA922" s="21"/>
      <c r="AB922" s="21"/>
      <c r="AC922" s="21"/>
      <c r="AD922" s="21"/>
      <c r="AE922" s="21"/>
      <c r="AF922" s="17" t="str">
        <f t="shared" si="1"/>
        <v>New Logo</v>
      </c>
      <c r="AG922" s="17" t="str">
        <f t="shared" si="2"/>
        <v>Lead</v>
      </c>
      <c r="AH922" s="17" t="str">
        <f t="shared" si="3"/>
        <v>201-500</v>
      </c>
      <c r="AI922" s="17" t="str">
        <f t="shared" si="4"/>
        <v>21-50</v>
      </c>
    </row>
    <row r="923" ht="15.75" customHeight="1">
      <c r="A923" s="13">
        <f>HYPERLINK("https://app.hubspot.com/contacts/8748051/record/0-3/8024041783", 8024041783)</f>
        <v>8024041783</v>
      </c>
      <c r="B923" s="14" t="s">
        <v>3000</v>
      </c>
      <c r="C923" s="14" t="s">
        <v>1008</v>
      </c>
      <c r="D923" s="15">
        <v>10000.0</v>
      </c>
      <c r="E923" s="14" t="s">
        <v>124</v>
      </c>
      <c r="F923" s="14"/>
      <c r="G923" s="16">
        <v>44617.41173611111</v>
      </c>
      <c r="H923" s="16">
        <v>44834.411678240744</v>
      </c>
      <c r="I923" s="14" t="s">
        <v>39</v>
      </c>
      <c r="J923" s="14" t="s">
        <v>40</v>
      </c>
      <c r="K923" s="17"/>
      <c r="L923" s="17"/>
      <c r="M923" s="14" t="s">
        <v>43</v>
      </c>
      <c r="N923" s="14"/>
      <c r="O923" s="14"/>
      <c r="P923" s="17"/>
      <c r="Q923" s="14" t="s">
        <v>125</v>
      </c>
      <c r="R923" s="13">
        <f>HYPERLINK("https://app.hubspot.com/contacts/8748051/record/0-2/7668408714", 7668408714)</f>
        <v>7668408714</v>
      </c>
      <c r="S923" s="14" t="s">
        <v>3001</v>
      </c>
      <c r="T923" s="18" t="s">
        <v>3002</v>
      </c>
      <c r="U923" s="14" t="s">
        <v>46</v>
      </c>
      <c r="V923" s="15"/>
      <c r="W923" s="19">
        <v>330.0</v>
      </c>
      <c r="X923" s="19">
        <v>44.0</v>
      </c>
      <c r="Y923" s="20" t="s">
        <v>70</v>
      </c>
      <c r="Z923" s="20"/>
      <c r="AA923" s="21"/>
      <c r="AB923" s="21"/>
      <c r="AC923" s="20"/>
      <c r="AD923" s="20"/>
      <c r="AE923" s="20"/>
      <c r="AF923" s="17" t="str">
        <f t="shared" si="1"/>
        <v>New Logo</v>
      </c>
      <c r="AG923" s="17" t="str">
        <f t="shared" si="2"/>
        <v>Lead</v>
      </c>
      <c r="AH923" s="17" t="str">
        <f t="shared" si="3"/>
        <v>201-500</v>
      </c>
      <c r="AI923" s="17" t="str">
        <f t="shared" si="4"/>
        <v>21-50</v>
      </c>
    </row>
    <row r="924" ht="15.75" customHeight="1">
      <c r="A924" s="13">
        <f>HYPERLINK("https://app.hubspot.com/contacts/8748051/record/0-3/8024041240", 8024041240)</f>
        <v>8024041240</v>
      </c>
      <c r="B924" s="14" t="s">
        <v>3003</v>
      </c>
      <c r="C924" s="14" t="s">
        <v>49</v>
      </c>
      <c r="D924" s="15">
        <v>10000.0</v>
      </c>
      <c r="E924" s="14" t="s">
        <v>146</v>
      </c>
      <c r="F924" s="14"/>
      <c r="G924" s="16">
        <v>44617.40980324074</v>
      </c>
      <c r="H924" s="16">
        <v>44620.40960648148</v>
      </c>
      <c r="I924" s="14" t="s">
        <v>39</v>
      </c>
      <c r="J924" s="14" t="s">
        <v>40</v>
      </c>
      <c r="K924" s="14"/>
      <c r="L924" s="14"/>
      <c r="M924" s="14" t="s">
        <v>43</v>
      </c>
      <c r="N924" s="14"/>
      <c r="O924" s="14"/>
      <c r="P924" s="14"/>
      <c r="Q924" s="14"/>
      <c r="R924" s="13">
        <f>HYPERLINK("https://app.hubspot.com/contacts/8748051/record/0-2/7895305112", 7895305112)</f>
        <v>7895305112</v>
      </c>
      <c r="S924" s="14" t="s">
        <v>3004</v>
      </c>
      <c r="T924" s="18" t="s">
        <v>3005</v>
      </c>
      <c r="U924" s="14" t="s">
        <v>46</v>
      </c>
      <c r="V924" s="15"/>
      <c r="W924" s="19">
        <v>14.0</v>
      </c>
      <c r="X924" s="19">
        <v>1.0</v>
      </c>
      <c r="Y924" s="20"/>
      <c r="Z924" s="21"/>
      <c r="AA924" s="21"/>
      <c r="AB924" s="21"/>
      <c r="AC924" s="21"/>
      <c r="AD924" s="21"/>
      <c r="AE924" s="21"/>
      <c r="AF924" s="17" t="str">
        <f t="shared" si="1"/>
        <v>New Logo</v>
      </c>
      <c r="AG924" s="17" t="str">
        <f t="shared" si="2"/>
        <v>Lead</v>
      </c>
      <c r="AH924" s="17" t="str">
        <f t="shared" si="3"/>
        <v>0-200</v>
      </c>
      <c r="AI924" s="17" t="str">
        <f t="shared" si="4"/>
        <v>0-20</v>
      </c>
    </row>
    <row r="925" ht="15.75" customHeight="1">
      <c r="A925" s="13">
        <f>HYPERLINK("https://app.hubspot.com/contacts/8748051/record/0-3/8024016818", 8024016818)</f>
        <v>8024016818</v>
      </c>
      <c r="B925" s="14" t="s">
        <v>3006</v>
      </c>
      <c r="C925" s="14" t="s">
        <v>145</v>
      </c>
      <c r="D925" s="15">
        <v>10000.0</v>
      </c>
      <c r="E925" s="14" t="s">
        <v>146</v>
      </c>
      <c r="F925" s="14"/>
      <c r="G925" s="16">
        <v>44617.40875</v>
      </c>
      <c r="H925" s="16"/>
      <c r="I925" s="14" t="s">
        <v>39</v>
      </c>
      <c r="J925" s="14" t="s">
        <v>40</v>
      </c>
      <c r="K925" s="14"/>
      <c r="L925" s="14"/>
      <c r="M925" s="14" t="s">
        <v>43</v>
      </c>
      <c r="N925" s="14"/>
      <c r="O925" s="14"/>
      <c r="P925" s="14"/>
      <c r="Q925" s="14"/>
      <c r="R925" s="13">
        <f>HYPERLINK("https://app.hubspot.com/contacts/8748051/record/0-2/7891009350", 7891009350)</f>
        <v>7891009350</v>
      </c>
      <c r="S925" s="14" t="s">
        <v>3007</v>
      </c>
      <c r="T925" s="18" t="s">
        <v>3008</v>
      </c>
      <c r="U925" s="14" t="s">
        <v>46</v>
      </c>
      <c r="V925" s="15"/>
      <c r="W925" s="19">
        <v>13.0</v>
      </c>
      <c r="X925" s="19">
        <v>2.0</v>
      </c>
      <c r="Y925" s="20"/>
      <c r="Z925" s="20"/>
      <c r="AA925" s="21"/>
      <c r="AB925" s="21"/>
      <c r="AC925" s="20"/>
      <c r="AD925" s="20"/>
      <c r="AE925" s="20"/>
      <c r="AF925" s="17" t="str">
        <f t="shared" si="1"/>
        <v>New Logo</v>
      </c>
      <c r="AG925" s="17" t="str">
        <f t="shared" si="2"/>
        <v>Lead</v>
      </c>
      <c r="AH925" s="17" t="str">
        <f t="shared" si="3"/>
        <v>0-200</v>
      </c>
      <c r="AI925" s="17" t="str">
        <f t="shared" si="4"/>
        <v>0-20</v>
      </c>
    </row>
    <row r="926" ht="15.75" customHeight="1">
      <c r="A926" s="13">
        <f>HYPERLINK("https://app.hubspot.com/contacts/8748051/record/0-3/8023783343", 8023783343)</f>
        <v>8023783343</v>
      </c>
      <c r="B926" s="14" t="s">
        <v>3009</v>
      </c>
      <c r="C926" s="14" t="s">
        <v>2304</v>
      </c>
      <c r="D926" s="15">
        <v>3500.0</v>
      </c>
      <c r="E926" s="14" t="s">
        <v>89</v>
      </c>
      <c r="F926" s="14" t="s">
        <v>51</v>
      </c>
      <c r="G926" s="16">
        <v>44617.4041087963</v>
      </c>
      <c r="H926" s="16">
        <v>44683.63489583333</v>
      </c>
      <c r="I926" s="14" t="s">
        <v>39</v>
      </c>
      <c r="J926" s="14" t="s">
        <v>40</v>
      </c>
      <c r="K926" s="14" t="s">
        <v>59</v>
      </c>
      <c r="L926" s="14" t="s">
        <v>175</v>
      </c>
      <c r="M926" s="14"/>
      <c r="N926" s="14" t="s">
        <v>3010</v>
      </c>
      <c r="O926" s="14"/>
      <c r="P926" s="17"/>
      <c r="Q926" s="14"/>
      <c r="R926" s="13">
        <f>HYPERLINK("https://app.hubspot.com/contacts/8748051/record/0-2/30555009103", 30555009103)</f>
        <v>30555009103</v>
      </c>
      <c r="S926" s="18" t="s">
        <v>3011</v>
      </c>
      <c r="T926" s="18" t="s">
        <v>3012</v>
      </c>
      <c r="U926" s="14">
        <v>3.4564763E7</v>
      </c>
      <c r="V926" s="15">
        <v>3500.0</v>
      </c>
      <c r="W926" s="19">
        <v>125.0</v>
      </c>
      <c r="X926" s="19">
        <v>16.0</v>
      </c>
      <c r="Y926" s="20"/>
      <c r="Z926" s="20"/>
      <c r="AA926" s="21"/>
      <c r="AB926" s="21"/>
      <c r="AC926" s="20"/>
      <c r="AD926" s="21"/>
      <c r="AE926" s="20"/>
      <c r="AF926" s="17" t="str">
        <f t="shared" si="1"/>
        <v>New Logo</v>
      </c>
      <c r="AG926" s="17" t="str">
        <f t="shared" si="2"/>
        <v>Churn</v>
      </c>
      <c r="AH926" s="17" t="str">
        <f t="shared" si="3"/>
        <v>0-200</v>
      </c>
      <c r="AI926" s="17" t="str">
        <f t="shared" si="4"/>
        <v>0-20</v>
      </c>
    </row>
    <row r="927" ht="15.75" customHeight="1">
      <c r="A927" s="13">
        <f>HYPERLINK("https://app.hubspot.com/contacts/8748051/record/0-3/8024110227", 8024110227)</f>
        <v>8024110227</v>
      </c>
      <c r="B927" s="14" t="s">
        <v>3013</v>
      </c>
      <c r="C927" s="14" t="s">
        <v>145</v>
      </c>
      <c r="D927" s="15">
        <v>20000.0</v>
      </c>
      <c r="E927" s="14" t="s">
        <v>124</v>
      </c>
      <c r="F927" s="14" t="s">
        <v>51</v>
      </c>
      <c r="G927" s="16">
        <v>44617.401458333334</v>
      </c>
      <c r="H927" s="16">
        <v>45107.397835648146</v>
      </c>
      <c r="I927" s="14" t="s">
        <v>39</v>
      </c>
      <c r="J927" s="14" t="s">
        <v>40</v>
      </c>
      <c r="K927" s="17"/>
      <c r="L927" s="17"/>
      <c r="M927" s="14"/>
      <c r="N927" s="17"/>
      <c r="O927" s="14"/>
      <c r="P927" s="17"/>
      <c r="Q927" s="14" t="s">
        <v>567</v>
      </c>
      <c r="R927" s="13">
        <f>HYPERLINK("https://app.hubspot.com/contacts/8748051/record/0-2/7904545450", 7904545450)</f>
        <v>7904545450</v>
      </c>
      <c r="S927" s="14" t="s">
        <v>3014</v>
      </c>
      <c r="T927" s="18" t="s">
        <v>3015</v>
      </c>
      <c r="U927" s="14" t="s">
        <v>46</v>
      </c>
      <c r="V927" s="15"/>
      <c r="W927" s="19">
        <v>319.0</v>
      </c>
      <c r="X927" s="19">
        <v>36.0</v>
      </c>
      <c r="Y927" s="20" t="s">
        <v>104</v>
      </c>
      <c r="Z927" s="20"/>
      <c r="AA927" s="21"/>
      <c r="AB927" s="21"/>
      <c r="AC927" s="20"/>
      <c r="AD927" s="21"/>
      <c r="AE927" s="20"/>
      <c r="AF927" s="17" t="str">
        <f t="shared" si="1"/>
        <v>New Logo</v>
      </c>
      <c r="AG927" s="17" t="str">
        <f t="shared" si="2"/>
        <v>Lead</v>
      </c>
      <c r="AH927" s="17" t="str">
        <f t="shared" si="3"/>
        <v>201-500</v>
      </c>
      <c r="AI927" s="17" t="str">
        <f t="shared" si="4"/>
        <v>21-50</v>
      </c>
    </row>
    <row r="928" ht="15.75" customHeight="1">
      <c r="A928" s="13">
        <f>HYPERLINK("https://app.hubspot.com/contacts/8748051/record/0-3/7865359153", 7865359153)</f>
        <v>7865359153</v>
      </c>
      <c r="B928" s="14" t="s">
        <v>3016</v>
      </c>
      <c r="C928" s="14" t="s">
        <v>145</v>
      </c>
      <c r="D928" s="15">
        <v>10000.0</v>
      </c>
      <c r="E928" s="14" t="s">
        <v>124</v>
      </c>
      <c r="F928" s="14"/>
      <c r="G928" s="16">
        <v>44601.470671296294</v>
      </c>
      <c r="H928" s="16">
        <v>44773.47075231482</v>
      </c>
      <c r="I928" s="14" t="s">
        <v>39</v>
      </c>
      <c r="J928" s="14" t="s">
        <v>40</v>
      </c>
      <c r="K928" s="17"/>
      <c r="L928" s="17"/>
      <c r="M928" s="14"/>
      <c r="N928" s="17"/>
      <c r="O928" s="14"/>
      <c r="P928" s="17"/>
      <c r="Q928" s="14" t="s">
        <v>141</v>
      </c>
      <c r="R928" s="13">
        <f>HYPERLINK("https://app.hubspot.com/contacts/8748051/record/0-2/5851830957", 5851830957)</f>
        <v>5851830957</v>
      </c>
      <c r="S928" s="14" t="s">
        <v>3017</v>
      </c>
      <c r="T928" s="18" t="s">
        <v>3018</v>
      </c>
      <c r="U928" s="14" t="s">
        <v>46</v>
      </c>
      <c r="V928" s="22"/>
      <c r="W928" s="19">
        <v>166.0</v>
      </c>
      <c r="X928" s="19">
        <v>33.0</v>
      </c>
      <c r="Y928" s="20" t="s">
        <v>104</v>
      </c>
      <c r="Z928" s="21"/>
      <c r="AA928" s="21"/>
      <c r="AB928" s="21"/>
      <c r="AC928" s="21"/>
      <c r="AD928" s="21"/>
      <c r="AE928" s="21"/>
      <c r="AF928" s="17" t="str">
        <f t="shared" si="1"/>
        <v>New Logo</v>
      </c>
      <c r="AG928" s="17" t="str">
        <f t="shared" si="2"/>
        <v>Lead</v>
      </c>
      <c r="AH928" s="17" t="str">
        <f t="shared" si="3"/>
        <v>0-200</v>
      </c>
      <c r="AI928" s="17" t="str">
        <f t="shared" si="4"/>
        <v>21-50</v>
      </c>
    </row>
    <row r="929" ht="15.75" customHeight="1">
      <c r="A929" s="13">
        <f>HYPERLINK("https://app.hubspot.com/contacts/8748051/record/0-3/7864438568", 7864438568)</f>
        <v>7864438568</v>
      </c>
      <c r="B929" s="14" t="s">
        <v>3019</v>
      </c>
      <c r="C929" s="14" t="s">
        <v>49</v>
      </c>
      <c r="D929" s="15">
        <v>10000.0</v>
      </c>
      <c r="E929" s="14" t="s">
        <v>124</v>
      </c>
      <c r="F929" s="14"/>
      <c r="G929" s="16">
        <v>44601.43568287037</v>
      </c>
      <c r="H929" s="16">
        <v>44834.624548611115</v>
      </c>
      <c r="I929" s="14" t="s">
        <v>39</v>
      </c>
      <c r="J929" s="14" t="s">
        <v>40</v>
      </c>
      <c r="K929" s="17"/>
      <c r="L929" s="17"/>
      <c r="M929" s="14" t="s">
        <v>43</v>
      </c>
      <c r="N929" s="17"/>
      <c r="O929" s="14"/>
      <c r="P929" s="17"/>
      <c r="Q929" s="14" t="s">
        <v>125</v>
      </c>
      <c r="R929" s="13">
        <f>HYPERLINK("https://app.hubspot.com/contacts/8748051/record/0-2/7679164328", 7679164328)</f>
        <v>7679164328</v>
      </c>
      <c r="S929" s="14" t="s">
        <v>3020</v>
      </c>
      <c r="T929" s="18" t="s">
        <v>3021</v>
      </c>
      <c r="U929" s="14" t="s">
        <v>46</v>
      </c>
      <c r="V929" s="22"/>
      <c r="W929" s="19">
        <v>573.0</v>
      </c>
      <c r="X929" s="19">
        <v>171.0</v>
      </c>
      <c r="Y929" s="20" t="s">
        <v>70</v>
      </c>
      <c r="Z929" s="21"/>
      <c r="AA929" s="21"/>
      <c r="AB929" s="21"/>
      <c r="AC929" s="21"/>
      <c r="AD929" s="21"/>
      <c r="AE929" s="21"/>
      <c r="AF929" s="17" t="str">
        <f t="shared" si="1"/>
        <v>New Logo</v>
      </c>
      <c r="AG929" s="17" t="str">
        <f t="shared" si="2"/>
        <v>Lead</v>
      </c>
      <c r="AH929" s="17" t="str">
        <f t="shared" si="3"/>
        <v>501-1000</v>
      </c>
      <c r="AI929" s="17" t="str">
        <f t="shared" si="4"/>
        <v>101-500</v>
      </c>
    </row>
    <row r="930" ht="15.75" customHeight="1">
      <c r="A930" s="13">
        <f>HYPERLINK("https://app.hubspot.com/contacts/8748051/record/0-3/7864463995", 7864463995)</f>
        <v>7864463995</v>
      </c>
      <c r="B930" s="14" t="s">
        <v>3022</v>
      </c>
      <c r="C930" s="14" t="s">
        <v>37</v>
      </c>
      <c r="D930" s="15">
        <v>10000.0</v>
      </c>
      <c r="E930" s="14" t="s">
        <v>124</v>
      </c>
      <c r="F930" s="14"/>
      <c r="G930" s="16">
        <v>44601.42633101852</v>
      </c>
      <c r="H930" s="16">
        <v>44742.426469907405</v>
      </c>
      <c r="I930" s="14" t="s">
        <v>39</v>
      </c>
      <c r="J930" s="14" t="s">
        <v>40</v>
      </c>
      <c r="K930" s="17"/>
      <c r="L930" s="17"/>
      <c r="M930" s="14" t="s">
        <v>43</v>
      </c>
      <c r="N930" s="14"/>
      <c r="O930" s="14"/>
      <c r="P930" s="14"/>
      <c r="Q930" s="14" t="s">
        <v>195</v>
      </c>
      <c r="R930" s="13">
        <f>HYPERLINK("https://app.hubspot.com/contacts/8748051/record/0-2/7864113947", 7864113947)</f>
        <v>7864113947</v>
      </c>
      <c r="S930" s="14" t="s">
        <v>3023</v>
      </c>
      <c r="T930" s="18" t="s">
        <v>3024</v>
      </c>
      <c r="U930" s="14" t="s">
        <v>46</v>
      </c>
      <c r="V930" s="15"/>
      <c r="W930" s="19">
        <v>14.0</v>
      </c>
      <c r="X930" s="19">
        <v>1.0</v>
      </c>
      <c r="Y930" s="20"/>
      <c r="Z930" s="20"/>
      <c r="AA930" s="21"/>
      <c r="AB930" s="21"/>
      <c r="AC930" s="20"/>
      <c r="AD930" s="20"/>
      <c r="AE930" s="20"/>
      <c r="AF930" s="17" t="str">
        <f t="shared" si="1"/>
        <v>New Logo</v>
      </c>
      <c r="AG930" s="17" t="str">
        <f t="shared" si="2"/>
        <v>Lead</v>
      </c>
      <c r="AH930" s="17" t="str">
        <f t="shared" si="3"/>
        <v>0-200</v>
      </c>
      <c r="AI930" s="17" t="str">
        <f t="shared" si="4"/>
        <v>0-20</v>
      </c>
    </row>
    <row r="931" ht="15.75" customHeight="1">
      <c r="A931" s="13">
        <f>HYPERLINK("https://app.hubspot.com/contacts/8748051/record/0-3/7843901545", 7843901545)</f>
        <v>7843901545</v>
      </c>
      <c r="B931" s="14" t="s">
        <v>3025</v>
      </c>
      <c r="C931" s="14" t="s">
        <v>49</v>
      </c>
      <c r="D931" s="15">
        <v>30000.0</v>
      </c>
      <c r="E931" s="14" t="s">
        <v>124</v>
      </c>
      <c r="F931" s="14" t="s">
        <v>51</v>
      </c>
      <c r="G931" s="16">
        <v>44599.32511574074</v>
      </c>
      <c r="H931" s="16">
        <v>45291.039664351854</v>
      </c>
      <c r="I931" s="14" t="s">
        <v>39</v>
      </c>
      <c r="J931" s="14" t="s">
        <v>40</v>
      </c>
      <c r="K931" s="17"/>
      <c r="L931" s="17"/>
      <c r="M931" s="14" t="s">
        <v>98</v>
      </c>
      <c r="N931" s="14"/>
      <c r="O931" s="14"/>
      <c r="P931" s="17"/>
      <c r="Q931" s="14" t="s">
        <v>141</v>
      </c>
      <c r="R931" s="13">
        <f>HYPERLINK("https://app.hubspot.com/contacts/8748051/record/0-2/7755953967", 7755953967)</f>
        <v>7755953967</v>
      </c>
      <c r="S931" s="14" t="s">
        <v>1247</v>
      </c>
      <c r="T931" s="18" t="s">
        <v>1248</v>
      </c>
      <c r="U931" s="14" t="s">
        <v>46</v>
      </c>
      <c r="V931" s="15"/>
      <c r="W931" s="19">
        <v>407.0</v>
      </c>
      <c r="X931" s="19">
        <v>51.0</v>
      </c>
      <c r="Y931" s="20"/>
      <c r="Z931" s="20"/>
      <c r="AA931" s="21"/>
      <c r="AB931" s="21"/>
      <c r="AC931" s="20"/>
      <c r="AD931" s="20"/>
      <c r="AE931" s="20"/>
      <c r="AF931" s="17" t="str">
        <f t="shared" si="1"/>
        <v>New Logo</v>
      </c>
      <c r="AG931" s="17" t="str">
        <f t="shared" si="2"/>
        <v>Lead</v>
      </c>
      <c r="AH931" s="17" t="str">
        <f t="shared" si="3"/>
        <v>201-500</v>
      </c>
      <c r="AI931" s="17" t="str">
        <f t="shared" si="4"/>
        <v>51-100</v>
      </c>
    </row>
    <row r="932" ht="15.75" customHeight="1">
      <c r="A932" s="13">
        <f>HYPERLINK("https://app.hubspot.com/contacts/8748051/record/0-3/7783376958", 7783376958)</f>
        <v>7783376958</v>
      </c>
      <c r="B932" s="14" t="s">
        <v>3026</v>
      </c>
      <c r="C932" s="14" t="s">
        <v>1834</v>
      </c>
      <c r="D932" s="15">
        <v>7500.0</v>
      </c>
      <c r="E932" s="14" t="s">
        <v>89</v>
      </c>
      <c r="F932" s="14" t="s">
        <v>51</v>
      </c>
      <c r="G932" s="16">
        <v>44593.125613425924</v>
      </c>
      <c r="H932" s="16">
        <v>44635.111134259256</v>
      </c>
      <c r="I932" s="14" t="s">
        <v>39</v>
      </c>
      <c r="J932" s="14" t="s">
        <v>40</v>
      </c>
      <c r="K932" s="17"/>
      <c r="L932" s="17"/>
      <c r="M932" s="14" t="s">
        <v>98</v>
      </c>
      <c r="N932" s="14" t="s">
        <v>3027</v>
      </c>
      <c r="O932" s="14"/>
      <c r="P932" s="17"/>
      <c r="Q932" s="14"/>
      <c r="R932" s="13">
        <f>HYPERLINK("https://app.hubspot.com/contacts/8748051/record/0-2/9668863759", 9668863759)</f>
        <v>9668863759</v>
      </c>
      <c r="S932" s="14" t="s">
        <v>2648</v>
      </c>
      <c r="T932" s="18" t="s">
        <v>2649</v>
      </c>
      <c r="U932" s="14">
        <v>3.4564763E7</v>
      </c>
      <c r="V932" s="15">
        <v>11880.0</v>
      </c>
      <c r="W932" s="19">
        <v>435.0</v>
      </c>
      <c r="X932" s="19">
        <v>41.0</v>
      </c>
      <c r="Y932" s="20"/>
      <c r="Z932" s="20" t="s">
        <v>191</v>
      </c>
      <c r="AA932" s="21"/>
      <c r="AB932" s="21"/>
      <c r="AC932" s="20" t="s">
        <v>2650</v>
      </c>
      <c r="AD932" s="20" t="s">
        <v>2651</v>
      </c>
      <c r="AE932" s="20" t="s">
        <v>395</v>
      </c>
      <c r="AF932" s="17" t="str">
        <f t="shared" si="1"/>
        <v>New Logo</v>
      </c>
      <c r="AG932" s="17" t="str">
        <f t="shared" si="2"/>
        <v>Churn</v>
      </c>
      <c r="AH932" s="17" t="str">
        <f t="shared" si="3"/>
        <v>201-500</v>
      </c>
      <c r="AI932" s="17" t="str">
        <f t="shared" si="4"/>
        <v>21-50</v>
      </c>
    </row>
    <row r="933" ht="15.75" customHeight="1">
      <c r="A933" s="13">
        <f>HYPERLINK("https://app.hubspot.com/contacts/8748051/record/0-3/7774924090", 7774924090)</f>
        <v>7774924090</v>
      </c>
      <c r="B933" s="14" t="s">
        <v>3028</v>
      </c>
      <c r="C933" s="14" t="s">
        <v>49</v>
      </c>
      <c r="D933" s="15">
        <v>10000.0</v>
      </c>
      <c r="E933" s="14" t="s">
        <v>124</v>
      </c>
      <c r="F933" s="14"/>
      <c r="G933" s="16">
        <v>44592.449016203704</v>
      </c>
      <c r="H933" s="16">
        <v>44712.44913194444</v>
      </c>
      <c r="I933" s="14" t="s">
        <v>39</v>
      </c>
      <c r="J933" s="14" t="s">
        <v>40</v>
      </c>
      <c r="K933" s="17"/>
      <c r="L933" s="17"/>
      <c r="M933" s="14" t="s">
        <v>43</v>
      </c>
      <c r="N933" s="14"/>
      <c r="O933" s="14"/>
      <c r="P933" s="17"/>
      <c r="Q933" s="14" t="s">
        <v>400</v>
      </c>
      <c r="R933" s="13">
        <f>HYPERLINK("https://app.hubspot.com/contacts/8748051/record/0-2/6816461158", 6816461158)</f>
        <v>6816461158</v>
      </c>
      <c r="S933" s="14" t="s">
        <v>3029</v>
      </c>
      <c r="T933" s="18" t="s">
        <v>3030</v>
      </c>
      <c r="U933" s="14" t="s">
        <v>46</v>
      </c>
      <c r="V933" s="15"/>
      <c r="W933" s="19">
        <v>259.0</v>
      </c>
      <c r="X933" s="19">
        <v>27.0</v>
      </c>
      <c r="Y933" s="20"/>
      <c r="Z933" s="20"/>
      <c r="AA933" s="21"/>
      <c r="AB933" s="21"/>
      <c r="AC933" s="20"/>
      <c r="AD933" s="21"/>
      <c r="AE933" s="20"/>
      <c r="AF933" s="17" t="str">
        <f t="shared" si="1"/>
        <v>New Logo</v>
      </c>
      <c r="AG933" s="17" t="str">
        <f t="shared" si="2"/>
        <v>Lead</v>
      </c>
      <c r="AH933" s="17" t="str">
        <f t="shared" si="3"/>
        <v>201-500</v>
      </c>
      <c r="AI933" s="17" t="str">
        <f t="shared" si="4"/>
        <v>21-50</v>
      </c>
    </row>
    <row r="934" ht="15.75" customHeight="1">
      <c r="A934" s="13">
        <f>HYPERLINK("https://app.hubspot.com/contacts/8748051/record/0-3/7753818436", 7753818436)</f>
        <v>7753818436</v>
      </c>
      <c r="B934" s="14" t="s">
        <v>3031</v>
      </c>
      <c r="C934" s="14" t="s">
        <v>37</v>
      </c>
      <c r="D934" s="15">
        <v>10000.0</v>
      </c>
      <c r="E934" s="14" t="s">
        <v>124</v>
      </c>
      <c r="F934" s="14"/>
      <c r="G934" s="16">
        <v>44589.567766203705</v>
      </c>
      <c r="H934" s="16">
        <v>44742.5678587963</v>
      </c>
      <c r="I934" s="14" t="s">
        <v>39</v>
      </c>
      <c r="J934" s="14" t="s">
        <v>40</v>
      </c>
      <c r="K934" s="17"/>
      <c r="L934" s="17"/>
      <c r="M934" s="14" t="s">
        <v>98</v>
      </c>
      <c r="N934" s="17"/>
      <c r="O934" s="14"/>
      <c r="P934" s="17"/>
      <c r="Q934" s="14" t="s">
        <v>195</v>
      </c>
      <c r="R934" s="13">
        <f>HYPERLINK("https://app.hubspot.com/contacts/8748051/record/0-2/7736651330", 7736651330)</f>
        <v>7736651330</v>
      </c>
      <c r="S934" s="14" t="s">
        <v>3032</v>
      </c>
      <c r="T934" s="18" t="s">
        <v>3033</v>
      </c>
      <c r="U934" s="14" t="s">
        <v>46</v>
      </c>
      <c r="V934" s="22"/>
      <c r="W934" s="19">
        <v>577.0</v>
      </c>
      <c r="X934" s="19">
        <v>95.0</v>
      </c>
      <c r="Y934" s="20" t="s">
        <v>55</v>
      </c>
      <c r="Z934" s="21"/>
      <c r="AA934" s="21"/>
      <c r="AB934" s="21"/>
      <c r="AC934" s="21"/>
      <c r="AD934" s="21"/>
      <c r="AE934" s="21"/>
      <c r="AF934" s="17" t="str">
        <f t="shared" si="1"/>
        <v>New Logo</v>
      </c>
      <c r="AG934" s="17" t="str">
        <f t="shared" si="2"/>
        <v>Lead</v>
      </c>
      <c r="AH934" s="17" t="str">
        <f t="shared" si="3"/>
        <v>501-1000</v>
      </c>
      <c r="AI934" s="17" t="str">
        <f t="shared" si="4"/>
        <v>51-100</v>
      </c>
    </row>
    <row r="935" ht="15.75" customHeight="1">
      <c r="A935" s="13">
        <f>HYPERLINK("https://app.hubspot.com/contacts/8748051/record/0-3/7753736023", 7753736023)</f>
        <v>7753736023</v>
      </c>
      <c r="B935" s="14" t="s">
        <v>3034</v>
      </c>
      <c r="C935" s="14" t="s">
        <v>49</v>
      </c>
      <c r="D935" s="15">
        <v>10000.0</v>
      </c>
      <c r="E935" s="14" t="s">
        <v>124</v>
      </c>
      <c r="F935" s="14" t="s">
        <v>51</v>
      </c>
      <c r="G935" s="16">
        <v>44589.566412037035</v>
      </c>
      <c r="H935" s="16">
        <v>45016.51453703704</v>
      </c>
      <c r="I935" s="14" t="s">
        <v>39</v>
      </c>
      <c r="J935" s="14" t="s">
        <v>40</v>
      </c>
      <c r="K935" s="17"/>
      <c r="L935" s="17"/>
      <c r="M935" s="14" t="s">
        <v>43</v>
      </c>
      <c r="N935" s="14"/>
      <c r="O935" s="14"/>
      <c r="P935" s="17"/>
      <c r="Q935" s="14" t="s">
        <v>195</v>
      </c>
      <c r="R935" s="13">
        <f>HYPERLINK("https://app.hubspot.com/contacts/8748051/record/0-2/7231779621", 7231779621)</f>
        <v>7231779621</v>
      </c>
      <c r="S935" s="14" t="s">
        <v>2868</v>
      </c>
      <c r="T935" s="18" t="s">
        <v>2869</v>
      </c>
      <c r="U935" s="14" t="s">
        <v>46</v>
      </c>
      <c r="V935" s="15"/>
      <c r="W935" s="19">
        <v>68.0</v>
      </c>
      <c r="X935" s="19">
        <v>3.0</v>
      </c>
      <c r="Y935" s="20"/>
      <c r="Z935" s="21"/>
      <c r="AA935" s="21"/>
      <c r="AB935" s="21"/>
      <c r="AC935" s="21"/>
      <c r="AD935" s="21"/>
      <c r="AE935" s="21"/>
      <c r="AF935" s="17" t="str">
        <f t="shared" si="1"/>
        <v>New Logo</v>
      </c>
      <c r="AG935" s="17" t="str">
        <f t="shared" si="2"/>
        <v>Lead</v>
      </c>
      <c r="AH935" s="17" t="str">
        <f t="shared" si="3"/>
        <v>0-200</v>
      </c>
      <c r="AI935" s="17" t="str">
        <f t="shared" si="4"/>
        <v>0-20</v>
      </c>
    </row>
    <row r="936" ht="15.75" customHeight="1">
      <c r="A936" s="13">
        <f>HYPERLINK("https://app.hubspot.com/contacts/8748051/record/0-3/7753743532", 7753743532)</f>
        <v>7753743532</v>
      </c>
      <c r="B936" s="14" t="s">
        <v>3035</v>
      </c>
      <c r="C936" s="14" t="s">
        <v>49</v>
      </c>
      <c r="D936" s="15">
        <v>10000.0</v>
      </c>
      <c r="E936" s="14" t="s">
        <v>124</v>
      </c>
      <c r="F936" s="14"/>
      <c r="G936" s="16">
        <v>44589.56321759259</v>
      </c>
      <c r="H936" s="16">
        <v>44834.46822916667</v>
      </c>
      <c r="I936" s="14" t="s">
        <v>39</v>
      </c>
      <c r="J936" s="14" t="s">
        <v>40</v>
      </c>
      <c r="K936" s="17"/>
      <c r="L936" s="17"/>
      <c r="M936" s="14" t="s">
        <v>43</v>
      </c>
      <c r="N936" s="17"/>
      <c r="O936" s="17"/>
      <c r="P936" s="17"/>
      <c r="Q936" s="14" t="s">
        <v>195</v>
      </c>
      <c r="R936" s="13">
        <f>HYPERLINK("https://app.hubspot.com/contacts/8748051/record/0-2/7674377618", 7674377618)</f>
        <v>7674377618</v>
      </c>
      <c r="S936" s="18" t="s">
        <v>3036</v>
      </c>
      <c r="T936" s="18" t="s">
        <v>3037</v>
      </c>
      <c r="U936" s="14" t="s">
        <v>46</v>
      </c>
      <c r="V936" s="22"/>
      <c r="W936" s="19">
        <v>35.0</v>
      </c>
      <c r="X936" s="19">
        <v>5.0</v>
      </c>
      <c r="Y936" s="20"/>
      <c r="Z936" s="21"/>
      <c r="AA936" s="21"/>
      <c r="AB936" s="21"/>
      <c r="AC936" s="21"/>
      <c r="AD936" s="21"/>
      <c r="AE936" s="21"/>
      <c r="AF936" s="17" t="str">
        <f t="shared" si="1"/>
        <v>New Logo</v>
      </c>
      <c r="AG936" s="17" t="str">
        <f t="shared" si="2"/>
        <v>Lead</v>
      </c>
      <c r="AH936" s="17" t="str">
        <f t="shared" si="3"/>
        <v>0-200</v>
      </c>
      <c r="AI936" s="17" t="str">
        <f t="shared" si="4"/>
        <v>0-20</v>
      </c>
    </row>
    <row r="937" ht="15.75" customHeight="1">
      <c r="A937" s="13">
        <f>HYPERLINK("https://app.hubspot.com/contacts/8748051/record/0-3/7743870835", 7743870835)</f>
        <v>7743870835</v>
      </c>
      <c r="B937" s="14" t="s">
        <v>3038</v>
      </c>
      <c r="C937" s="14" t="s">
        <v>49</v>
      </c>
      <c r="D937" s="15">
        <v>10000.0</v>
      </c>
      <c r="E937" s="14" t="s">
        <v>124</v>
      </c>
      <c r="F937" s="14"/>
      <c r="G937" s="16">
        <v>44588.513344907406</v>
      </c>
      <c r="H937" s="16">
        <v>44865.51346064815</v>
      </c>
      <c r="I937" s="14" t="s">
        <v>39</v>
      </c>
      <c r="J937" s="14" t="s">
        <v>40</v>
      </c>
      <c r="K937" s="17"/>
      <c r="L937" s="17"/>
      <c r="M937" s="14" t="s">
        <v>43</v>
      </c>
      <c r="N937" s="14"/>
      <c r="O937" s="14"/>
      <c r="P937" s="17"/>
      <c r="Q937" s="14" t="s">
        <v>125</v>
      </c>
      <c r="R937" s="13">
        <f>HYPERLINK("https://app.hubspot.com/contacts/8748051/record/0-2/7769807126", 7769807126)</f>
        <v>7769807126</v>
      </c>
      <c r="S937" s="14" t="s">
        <v>3039</v>
      </c>
      <c r="T937" s="18" t="s">
        <v>3040</v>
      </c>
      <c r="U937" s="14" t="s">
        <v>46</v>
      </c>
      <c r="V937" s="15"/>
      <c r="W937" s="19">
        <v>160.0</v>
      </c>
      <c r="X937" s="19">
        <v>46.0</v>
      </c>
      <c r="Y937" s="20" t="s">
        <v>104</v>
      </c>
      <c r="Z937" s="21"/>
      <c r="AA937" s="21"/>
      <c r="AB937" s="21"/>
      <c r="AC937" s="21"/>
      <c r="AD937" s="21"/>
      <c r="AE937" s="21"/>
      <c r="AF937" s="17" t="str">
        <f t="shared" si="1"/>
        <v>New Logo</v>
      </c>
      <c r="AG937" s="17" t="str">
        <f t="shared" si="2"/>
        <v>Lead</v>
      </c>
      <c r="AH937" s="17" t="str">
        <f t="shared" si="3"/>
        <v>0-200</v>
      </c>
      <c r="AI937" s="17" t="str">
        <f t="shared" si="4"/>
        <v>21-50</v>
      </c>
    </row>
    <row r="938" ht="15.75" customHeight="1">
      <c r="A938" s="13">
        <f>HYPERLINK("https://app.hubspot.com/contacts/8748051/record/0-3/7743346836", 7743346836)</f>
        <v>7743346836</v>
      </c>
      <c r="B938" s="14" t="s">
        <v>3041</v>
      </c>
      <c r="C938" s="14" t="s">
        <v>1008</v>
      </c>
      <c r="D938" s="15">
        <v>15000.0</v>
      </c>
      <c r="E938" s="14" t="s">
        <v>124</v>
      </c>
      <c r="F938" s="14"/>
      <c r="G938" s="16">
        <v>44588.448159722226</v>
      </c>
      <c r="H938" s="16">
        <v>44711.44834490741</v>
      </c>
      <c r="I938" s="14" t="s">
        <v>39</v>
      </c>
      <c r="J938" s="14" t="s">
        <v>40</v>
      </c>
      <c r="K938" s="17"/>
      <c r="L938" s="17"/>
      <c r="M938" s="14" t="s">
        <v>43</v>
      </c>
      <c r="N938" s="14"/>
      <c r="O938" s="14"/>
      <c r="P938" s="17"/>
      <c r="Q938" s="14" t="s">
        <v>141</v>
      </c>
      <c r="R938" s="13">
        <f>HYPERLINK("https://app.hubspot.com/contacts/8748051/record/0-2/7489504694", 7489504694)</f>
        <v>7489504694</v>
      </c>
      <c r="S938" s="14" t="s">
        <v>3042</v>
      </c>
      <c r="T938" s="18" t="s">
        <v>3043</v>
      </c>
      <c r="U938" s="14" t="s">
        <v>46</v>
      </c>
      <c r="V938" s="15"/>
      <c r="W938" s="19">
        <v>774.0</v>
      </c>
      <c r="X938" s="19">
        <v>28.0</v>
      </c>
      <c r="Y938" s="20"/>
      <c r="Z938" s="20"/>
      <c r="AA938" s="21"/>
      <c r="AB938" s="21"/>
      <c r="AC938" s="20"/>
      <c r="AD938" s="21"/>
      <c r="AE938" s="20"/>
      <c r="AF938" s="17" t="str">
        <f t="shared" si="1"/>
        <v>New Logo</v>
      </c>
      <c r="AG938" s="17" t="str">
        <f t="shared" si="2"/>
        <v>Lead</v>
      </c>
      <c r="AH938" s="17" t="str">
        <f t="shared" si="3"/>
        <v>501-1000</v>
      </c>
      <c r="AI938" s="17" t="str">
        <f t="shared" si="4"/>
        <v>21-50</v>
      </c>
    </row>
    <row r="939" ht="15.75" customHeight="1">
      <c r="A939" s="13">
        <f>HYPERLINK("https://app.hubspot.com/contacts/8748051/record/0-3/8023783336", 8023783336)</f>
        <v>8023783336</v>
      </c>
      <c r="B939" s="14" t="s">
        <v>3044</v>
      </c>
      <c r="C939" s="14" t="s">
        <v>37</v>
      </c>
      <c r="D939" s="15">
        <v>10000.0</v>
      </c>
      <c r="E939" s="14" t="s">
        <v>124</v>
      </c>
      <c r="F939" s="14" t="s">
        <v>51</v>
      </c>
      <c r="G939" s="16">
        <v>44587.56178240741</v>
      </c>
      <c r="H939" s="16">
        <v>44712.402233796296</v>
      </c>
      <c r="I939" s="14" t="s">
        <v>39</v>
      </c>
      <c r="J939" s="14" t="s">
        <v>40</v>
      </c>
      <c r="K939" s="17"/>
      <c r="L939" s="17"/>
      <c r="M939" s="14" t="s">
        <v>43</v>
      </c>
      <c r="N939" s="14"/>
      <c r="O939" s="14"/>
      <c r="P939" s="17"/>
      <c r="Q939" s="14" t="s">
        <v>125</v>
      </c>
      <c r="R939" s="13">
        <f>HYPERLINK("https://app.hubspot.com/contacts/8748051/record/0-2/5851190426", 5851190426)</f>
        <v>5851190426</v>
      </c>
      <c r="S939" s="14" t="s">
        <v>3044</v>
      </c>
      <c r="T939" s="18" t="s">
        <v>3045</v>
      </c>
      <c r="U939" s="14" t="s">
        <v>46</v>
      </c>
      <c r="V939" s="15"/>
      <c r="W939" s="19">
        <v>49.0</v>
      </c>
      <c r="X939" s="19">
        <v>6.0</v>
      </c>
      <c r="Y939" s="20"/>
      <c r="Z939" s="20"/>
      <c r="AA939" s="21"/>
      <c r="AB939" s="21"/>
      <c r="AC939" s="20"/>
      <c r="AD939" s="21"/>
      <c r="AE939" s="20"/>
      <c r="AF939" s="17" t="str">
        <f t="shared" si="1"/>
        <v>New Logo</v>
      </c>
      <c r="AG939" s="17" t="str">
        <f t="shared" si="2"/>
        <v>Lead</v>
      </c>
      <c r="AH939" s="17" t="str">
        <f t="shared" si="3"/>
        <v>0-200</v>
      </c>
      <c r="AI939" s="17" t="str">
        <f t="shared" si="4"/>
        <v>0-20</v>
      </c>
    </row>
    <row r="940" ht="15.75" customHeight="1">
      <c r="A940" s="13">
        <f>HYPERLINK("https://app.hubspot.com/contacts/8748051/record/0-3/7723230853", 7723230853)</f>
        <v>7723230853</v>
      </c>
      <c r="B940" s="14" t="s">
        <v>3046</v>
      </c>
      <c r="C940" s="14" t="s">
        <v>2304</v>
      </c>
      <c r="D940" s="15">
        <v>3000.0</v>
      </c>
      <c r="E940" s="14" t="s">
        <v>89</v>
      </c>
      <c r="F940" s="14" t="s">
        <v>51</v>
      </c>
      <c r="G940" s="16">
        <v>44587.40053240741</v>
      </c>
      <c r="H940" s="16">
        <v>45142.30326388889</v>
      </c>
      <c r="I940" s="14" t="s">
        <v>39</v>
      </c>
      <c r="J940" s="14" t="s">
        <v>40</v>
      </c>
      <c r="K940" s="17"/>
      <c r="L940" s="17"/>
      <c r="M940" s="14" t="s">
        <v>43</v>
      </c>
      <c r="N940" s="14" t="s">
        <v>3047</v>
      </c>
      <c r="O940" s="14" t="s">
        <v>3048</v>
      </c>
      <c r="P940" s="14"/>
      <c r="Q940" s="14"/>
      <c r="R940" s="13">
        <f>HYPERLINK("https://app.hubspot.com/contacts/8748051/record/0-2/7737526328", 7737526328)</f>
        <v>7737526328</v>
      </c>
      <c r="S940" s="14" t="s">
        <v>839</v>
      </c>
      <c r="T940" s="18" t="s">
        <v>840</v>
      </c>
      <c r="U940" s="14" t="s">
        <v>93</v>
      </c>
      <c r="V940" s="15">
        <v>3210.0</v>
      </c>
      <c r="W940" s="19">
        <v>294.0</v>
      </c>
      <c r="X940" s="19">
        <v>46.0</v>
      </c>
      <c r="Y940" s="20"/>
      <c r="Z940" s="20" t="s">
        <v>348</v>
      </c>
      <c r="AA940" s="21"/>
      <c r="AB940" s="21"/>
      <c r="AC940" s="20" t="s">
        <v>841</v>
      </c>
      <c r="AD940" s="21"/>
      <c r="AE940" s="20" t="s">
        <v>763</v>
      </c>
      <c r="AF940" s="17" t="str">
        <f t="shared" si="1"/>
        <v>New Logo</v>
      </c>
      <c r="AG940" s="17" t="str">
        <f t="shared" si="2"/>
        <v>Customer</v>
      </c>
      <c r="AH940" s="17" t="str">
        <f t="shared" si="3"/>
        <v>201-500</v>
      </c>
      <c r="AI940" s="17" t="str">
        <f t="shared" si="4"/>
        <v>21-50</v>
      </c>
    </row>
    <row r="941" ht="15.75" customHeight="1">
      <c r="A941" s="13">
        <f>HYPERLINK("https://app.hubspot.com/contacts/8748051/record/0-3/7697286571", 7697286571)</f>
        <v>7697286571</v>
      </c>
      <c r="B941" s="14" t="s">
        <v>3049</v>
      </c>
      <c r="C941" s="14" t="s">
        <v>145</v>
      </c>
      <c r="D941" s="15">
        <v>30000.0</v>
      </c>
      <c r="E941" s="14" t="s">
        <v>146</v>
      </c>
      <c r="F941" s="14" t="s">
        <v>51</v>
      </c>
      <c r="G941" s="16">
        <v>44586.69128472222</v>
      </c>
      <c r="H941" s="16">
        <v>44722.37306712963</v>
      </c>
      <c r="I941" s="14" t="s">
        <v>39</v>
      </c>
      <c r="J941" s="14" t="s">
        <v>52</v>
      </c>
      <c r="K941" s="17"/>
      <c r="L941" s="17"/>
      <c r="M941" s="14" t="s">
        <v>43</v>
      </c>
      <c r="N941" s="17"/>
      <c r="O941" s="14" t="s">
        <v>3050</v>
      </c>
      <c r="P941" s="17"/>
      <c r="Q941" s="14"/>
      <c r="R941" s="13">
        <f>HYPERLINK("https://app.hubspot.com/contacts/8748051/record/0-2/6262832187", 6262832187)</f>
        <v>6262832187</v>
      </c>
      <c r="S941" s="14" t="s">
        <v>3051</v>
      </c>
      <c r="T941" s="18" t="s">
        <v>3052</v>
      </c>
      <c r="U941" s="14" t="s">
        <v>46</v>
      </c>
      <c r="V941" s="22"/>
      <c r="W941" s="19">
        <v>225.0</v>
      </c>
      <c r="X941" s="19">
        <v>33.0</v>
      </c>
      <c r="Y941" s="20" t="s">
        <v>3053</v>
      </c>
      <c r="Z941" s="21"/>
      <c r="AA941" s="21"/>
      <c r="AB941" s="21"/>
      <c r="AC941" s="21"/>
      <c r="AD941" s="21"/>
      <c r="AE941" s="21"/>
      <c r="AF941" s="17" t="str">
        <f t="shared" si="1"/>
        <v>New Logo</v>
      </c>
      <c r="AG941" s="17" t="str">
        <f t="shared" si="2"/>
        <v>Lead</v>
      </c>
      <c r="AH941" s="17" t="str">
        <f t="shared" si="3"/>
        <v>201-500</v>
      </c>
      <c r="AI941" s="17" t="str">
        <f t="shared" si="4"/>
        <v>21-50</v>
      </c>
    </row>
    <row r="942" ht="15.75" customHeight="1">
      <c r="A942" s="13">
        <f>HYPERLINK("https://app.hubspot.com/contacts/8748051/record/0-3/7695009703", 7695009703)</f>
        <v>7695009703</v>
      </c>
      <c r="B942" s="14" t="s">
        <v>3054</v>
      </c>
      <c r="C942" s="14" t="s">
        <v>37</v>
      </c>
      <c r="D942" s="15">
        <v>10000.0</v>
      </c>
      <c r="E942" s="14" t="s">
        <v>124</v>
      </c>
      <c r="F942" s="14"/>
      <c r="G942" s="16">
        <v>44586.49429398148</v>
      </c>
      <c r="H942" s="16">
        <v>44712.38182870371</v>
      </c>
      <c r="I942" s="14" t="s">
        <v>39</v>
      </c>
      <c r="J942" s="14" t="s">
        <v>40</v>
      </c>
      <c r="K942" s="17"/>
      <c r="L942" s="17"/>
      <c r="M942" s="14" t="s">
        <v>43</v>
      </c>
      <c r="N942" s="14"/>
      <c r="O942" s="14"/>
      <c r="P942" s="17"/>
      <c r="Q942" s="14" t="s">
        <v>125</v>
      </c>
      <c r="R942" s="13">
        <f>HYPERLINK("https://app.hubspot.com/contacts/8748051/record/0-2/6816615300", 6816615300)</f>
        <v>6816615300</v>
      </c>
      <c r="S942" s="14" t="s">
        <v>3055</v>
      </c>
      <c r="T942" s="18" t="s">
        <v>3056</v>
      </c>
      <c r="U942" s="14" t="s">
        <v>46</v>
      </c>
      <c r="V942" s="15"/>
      <c r="W942" s="19">
        <v>344.0</v>
      </c>
      <c r="X942" s="19">
        <v>72.0</v>
      </c>
      <c r="Y942" s="20"/>
      <c r="Z942" s="20"/>
      <c r="AA942" s="21"/>
      <c r="AB942" s="21"/>
      <c r="AC942" s="20"/>
      <c r="AD942" s="21"/>
      <c r="AE942" s="20"/>
      <c r="AF942" s="17" t="str">
        <f t="shared" si="1"/>
        <v>New Logo</v>
      </c>
      <c r="AG942" s="17" t="str">
        <f t="shared" si="2"/>
        <v>Lead</v>
      </c>
      <c r="AH942" s="17" t="str">
        <f t="shared" si="3"/>
        <v>201-500</v>
      </c>
      <c r="AI942" s="17" t="str">
        <f t="shared" si="4"/>
        <v>51-100</v>
      </c>
    </row>
    <row r="943" ht="15.75" customHeight="1">
      <c r="A943" s="13">
        <f>HYPERLINK("https://app.hubspot.com/contacts/8748051/record/0-3/7694503948", 7694503948)</f>
        <v>7694503948</v>
      </c>
      <c r="B943" s="14" t="s">
        <v>1235</v>
      </c>
      <c r="C943" s="14" t="s">
        <v>49</v>
      </c>
      <c r="D943" s="15">
        <v>15000.0</v>
      </c>
      <c r="E943" s="14" t="s">
        <v>124</v>
      </c>
      <c r="F943" s="14"/>
      <c r="G943" s="16">
        <v>44586.43372685185</v>
      </c>
      <c r="H943" s="16">
        <v>44957.345659722225</v>
      </c>
      <c r="I943" s="14" t="s">
        <v>39</v>
      </c>
      <c r="J943" s="14" t="s">
        <v>52</v>
      </c>
      <c r="K943" s="17"/>
      <c r="L943" s="17"/>
      <c r="M943" s="14" t="s">
        <v>43</v>
      </c>
      <c r="N943" s="14"/>
      <c r="O943" s="14"/>
      <c r="P943" s="17"/>
      <c r="Q943" s="14" t="s">
        <v>141</v>
      </c>
      <c r="R943" s="13">
        <f>HYPERLINK("https://app.hubspot.com/contacts/8748051/record/0-2/8867142733", 8867142733)</f>
        <v>8867142733</v>
      </c>
      <c r="S943" s="14" t="s">
        <v>656</v>
      </c>
      <c r="T943" s="18" t="s">
        <v>657</v>
      </c>
      <c r="U943" s="14" t="s">
        <v>46</v>
      </c>
      <c r="V943" s="15"/>
      <c r="W943" s="19">
        <v>8750.0</v>
      </c>
      <c r="X943" s="19">
        <v>1438.0</v>
      </c>
      <c r="Y943" s="20" t="s">
        <v>658</v>
      </c>
      <c r="Z943" s="21"/>
      <c r="AA943" s="21"/>
      <c r="AB943" s="21"/>
      <c r="AC943" s="21"/>
      <c r="AD943" s="21"/>
      <c r="AE943" s="21"/>
      <c r="AF943" s="17" t="str">
        <f t="shared" si="1"/>
        <v>New Logo</v>
      </c>
      <c r="AG943" s="17" t="str">
        <f t="shared" si="2"/>
        <v>Lead</v>
      </c>
      <c r="AH943" s="17" t="str">
        <f t="shared" si="3"/>
        <v>5000-10000</v>
      </c>
      <c r="AI943" s="17" t="str">
        <f t="shared" si="4"/>
        <v>500+</v>
      </c>
    </row>
    <row r="944" ht="15.75" customHeight="1">
      <c r="A944" s="13">
        <f>HYPERLINK("https://app.hubspot.com/contacts/8748051/record/0-3/7684015763", 7684015763)</f>
        <v>7684015763</v>
      </c>
      <c r="B944" s="14" t="s">
        <v>3057</v>
      </c>
      <c r="C944" s="14" t="s">
        <v>2304</v>
      </c>
      <c r="D944" s="15">
        <v>10000.0</v>
      </c>
      <c r="E944" s="14" t="s">
        <v>89</v>
      </c>
      <c r="F944" s="14" t="s">
        <v>51</v>
      </c>
      <c r="G944" s="16">
        <v>44585.39922453704</v>
      </c>
      <c r="H944" s="16">
        <v>44655.75001157408</v>
      </c>
      <c r="I944" s="14" t="s">
        <v>39</v>
      </c>
      <c r="J944" s="14" t="s">
        <v>40</v>
      </c>
      <c r="K944" s="17"/>
      <c r="L944" s="17"/>
      <c r="M944" s="14" t="s">
        <v>43</v>
      </c>
      <c r="N944" s="14" t="s">
        <v>3058</v>
      </c>
      <c r="O944" s="14"/>
      <c r="P944" s="17"/>
      <c r="Q944" s="14"/>
      <c r="R944" s="13">
        <f>HYPERLINK("https://app.hubspot.com/contacts/8748051/record/0-2/7636759347", 7636759347)</f>
        <v>7636759347</v>
      </c>
      <c r="S944" s="14" t="s">
        <v>3059</v>
      </c>
      <c r="T944" s="18" t="s">
        <v>3060</v>
      </c>
      <c r="U944" s="14">
        <v>3.4564763E7</v>
      </c>
      <c r="V944" s="15">
        <v>10000.0</v>
      </c>
      <c r="W944" s="19">
        <v>194.0</v>
      </c>
      <c r="X944" s="19">
        <v>21.0</v>
      </c>
      <c r="Y944" s="20"/>
      <c r="Z944" s="21"/>
      <c r="AA944" s="21"/>
      <c r="AB944" s="21"/>
      <c r="AC944" s="21"/>
      <c r="AD944" s="21"/>
      <c r="AE944" s="21"/>
      <c r="AF944" s="17" t="str">
        <f t="shared" si="1"/>
        <v>New Logo</v>
      </c>
      <c r="AG944" s="17" t="str">
        <f t="shared" si="2"/>
        <v>Churn</v>
      </c>
      <c r="AH944" s="17" t="str">
        <f t="shared" si="3"/>
        <v>0-200</v>
      </c>
      <c r="AI944" s="17" t="str">
        <f t="shared" si="4"/>
        <v>21-50</v>
      </c>
    </row>
    <row r="945" ht="15.75" customHeight="1">
      <c r="A945" s="13">
        <f>HYPERLINK("https://app.hubspot.com/contacts/8748051/record/0-3/7656436278", 7656436278)</f>
        <v>7656436278</v>
      </c>
      <c r="B945" s="14" t="s">
        <v>3061</v>
      </c>
      <c r="C945" s="14" t="s">
        <v>1008</v>
      </c>
      <c r="D945" s="15">
        <v>10000.0</v>
      </c>
      <c r="E945" s="14" t="s">
        <v>124</v>
      </c>
      <c r="F945" s="14" t="s">
        <v>51</v>
      </c>
      <c r="G945" s="16">
        <v>44582.43827546296</v>
      </c>
      <c r="H945" s="16">
        <v>44834.543912037036</v>
      </c>
      <c r="I945" s="14" t="s">
        <v>39</v>
      </c>
      <c r="J945" s="14" t="s">
        <v>40</v>
      </c>
      <c r="K945" s="17"/>
      <c r="L945" s="17"/>
      <c r="M945" s="14" t="s">
        <v>43</v>
      </c>
      <c r="N945" s="17"/>
      <c r="O945" s="14"/>
      <c r="P945" s="17"/>
      <c r="Q945" s="14" t="s">
        <v>195</v>
      </c>
      <c r="R945" s="13">
        <f>HYPERLINK("https://app.hubspot.com/contacts/8748051/record/0-2/7715988807", 7715988807)</f>
        <v>7715988807</v>
      </c>
      <c r="S945" s="14" t="s">
        <v>3062</v>
      </c>
      <c r="T945" s="18" t="s">
        <v>3063</v>
      </c>
      <c r="U945" s="14" t="s">
        <v>46</v>
      </c>
      <c r="V945" s="22"/>
      <c r="W945" s="19">
        <v>199.0</v>
      </c>
      <c r="X945" s="19">
        <v>45.0</v>
      </c>
      <c r="Y945" s="20"/>
      <c r="Z945" s="21"/>
      <c r="AA945" s="21"/>
      <c r="AB945" s="21"/>
      <c r="AC945" s="21"/>
      <c r="AD945" s="21"/>
      <c r="AE945" s="21"/>
      <c r="AF945" s="17" t="str">
        <f t="shared" si="1"/>
        <v>New Logo</v>
      </c>
      <c r="AG945" s="17" t="str">
        <f t="shared" si="2"/>
        <v>Lead</v>
      </c>
      <c r="AH945" s="17" t="str">
        <f t="shared" si="3"/>
        <v>0-200</v>
      </c>
      <c r="AI945" s="17" t="str">
        <f t="shared" si="4"/>
        <v>21-50</v>
      </c>
    </row>
    <row r="946" ht="15.75" customHeight="1">
      <c r="A946" s="13">
        <f>HYPERLINK("https://app.hubspot.com/contacts/8748051/record/0-3/7656395039", 7656395039)</f>
        <v>7656395039</v>
      </c>
      <c r="B946" s="14" t="s">
        <v>452</v>
      </c>
      <c r="C946" s="14" t="s">
        <v>145</v>
      </c>
      <c r="D946" s="15">
        <v>10000.0</v>
      </c>
      <c r="E946" s="14" t="s">
        <v>124</v>
      </c>
      <c r="F946" s="14"/>
      <c r="G946" s="16">
        <v>44582.42930555555</v>
      </c>
      <c r="H946" s="16">
        <v>44816.55358796296</v>
      </c>
      <c r="I946" s="14" t="s">
        <v>39</v>
      </c>
      <c r="J946" s="14" t="s">
        <v>40</v>
      </c>
      <c r="K946" s="17"/>
      <c r="L946" s="17"/>
      <c r="M946" s="14" t="s">
        <v>43</v>
      </c>
      <c r="N946" s="17"/>
      <c r="O946" s="14"/>
      <c r="P946" s="17"/>
      <c r="Q946" s="14" t="s">
        <v>141</v>
      </c>
      <c r="R946" s="13">
        <f>HYPERLINK("https://app.hubspot.com/contacts/8748051/record/0-2/7715913391", 7715913391)</f>
        <v>7715913391</v>
      </c>
      <c r="S946" s="14" t="s">
        <v>453</v>
      </c>
      <c r="T946" s="18" t="s">
        <v>454</v>
      </c>
      <c r="U946" s="14" t="s">
        <v>46</v>
      </c>
      <c r="V946" s="22"/>
      <c r="W946" s="19">
        <v>1019.0</v>
      </c>
      <c r="X946" s="19">
        <v>183.0</v>
      </c>
      <c r="Y946" s="20" t="s">
        <v>455</v>
      </c>
      <c r="Z946" s="21"/>
      <c r="AA946" s="21"/>
      <c r="AB946" s="21"/>
      <c r="AC946" s="21"/>
      <c r="AD946" s="21"/>
      <c r="AE946" s="21"/>
      <c r="AF946" s="17" t="str">
        <f t="shared" si="1"/>
        <v>New Logo</v>
      </c>
      <c r="AG946" s="17" t="str">
        <f t="shared" si="2"/>
        <v>Lead</v>
      </c>
      <c r="AH946" s="17" t="str">
        <f t="shared" si="3"/>
        <v>1001-5000</v>
      </c>
      <c r="AI946" s="17" t="str">
        <f t="shared" si="4"/>
        <v>101-500</v>
      </c>
    </row>
    <row r="947" ht="15.75" customHeight="1">
      <c r="A947" s="13">
        <f>HYPERLINK("https://app.hubspot.com/contacts/8748051/record/0-3/7642390660", 7642390660)</f>
        <v>7642390660</v>
      </c>
      <c r="B947" s="14" t="s">
        <v>3064</v>
      </c>
      <c r="C947" s="14" t="s">
        <v>49</v>
      </c>
      <c r="D947" s="15">
        <v>10000.0</v>
      </c>
      <c r="E947" s="14" t="s">
        <v>124</v>
      </c>
      <c r="F947" s="14"/>
      <c r="G947" s="16">
        <v>44581.47693287037</v>
      </c>
      <c r="H947" s="16">
        <v>44680.47702546296</v>
      </c>
      <c r="I947" s="14" t="s">
        <v>39</v>
      </c>
      <c r="J947" s="14" t="s">
        <v>40</v>
      </c>
      <c r="K947" s="17"/>
      <c r="L947" s="17"/>
      <c r="M947" s="14" t="s">
        <v>43</v>
      </c>
      <c r="N947" s="17"/>
      <c r="O947" s="14"/>
      <c r="P947" s="17"/>
      <c r="Q947" s="14" t="s">
        <v>141</v>
      </c>
      <c r="R947" s="13">
        <f>HYPERLINK("https://app.hubspot.com/contacts/8748051/record/0-2/7589578042", 7589578042)</f>
        <v>7589578042</v>
      </c>
      <c r="S947" s="14" t="s">
        <v>3065</v>
      </c>
      <c r="T947" s="18" t="s">
        <v>3066</v>
      </c>
      <c r="U947" s="14" t="s">
        <v>46</v>
      </c>
      <c r="V947" s="22"/>
      <c r="W947" s="19">
        <v>931.0</v>
      </c>
      <c r="X947" s="19">
        <v>213.0</v>
      </c>
      <c r="Y947" s="20" t="s">
        <v>55</v>
      </c>
      <c r="Z947" s="21"/>
      <c r="AA947" s="21"/>
      <c r="AB947" s="21"/>
      <c r="AC947" s="21"/>
      <c r="AD947" s="21"/>
      <c r="AE947" s="21"/>
      <c r="AF947" s="17" t="str">
        <f t="shared" si="1"/>
        <v>New Logo</v>
      </c>
      <c r="AG947" s="17" t="str">
        <f t="shared" si="2"/>
        <v>Lead</v>
      </c>
      <c r="AH947" s="17" t="str">
        <f t="shared" si="3"/>
        <v>501-1000</v>
      </c>
      <c r="AI947" s="17" t="str">
        <f t="shared" si="4"/>
        <v>101-500</v>
      </c>
    </row>
    <row r="948" ht="15.75" customHeight="1">
      <c r="A948" s="13">
        <f>HYPERLINK("https://app.hubspot.com/contacts/8748051/record/0-3/7634894380", 7634894380)</f>
        <v>7634894380</v>
      </c>
      <c r="B948" s="14" t="s">
        <v>3067</v>
      </c>
      <c r="C948" s="14" t="s">
        <v>37</v>
      </c>
      <c r="D948" s="15">
        <v>10000.0</v>
      </c>
      <c r="E948" s="14" t="s">
        <v>124</v>
      </c>
      <c r="F948" s="14"/>
      <c r="G948" s="16">
        <v>44580.64412037037</v>
      </c>
      <c r="H948" s="16">
        <v>44742.420486111114</v>
      </c>
      <c r="I948" s="14" t="s">
        <v>39</v>
      </c>
      <c r="J948" s="14" t="s">
        <v>40</v>
      </c>
      <c r="K948" s="17"/>
      <c r="L948" s="17"/>
      <c r="M948" s="14" t="s">
        <v>43</v>
      </c>
      <c r="N948" s="17"/>
      <c r="O948" s="14"/>
      <c r="P948" s="17"/>
      <c r="Q948" s="14" t="s">
        <v>125</v>
      </c>
      <c r="R948" s="13">
        <f>HYPERLINK("https://app.hubspot.com/contacts/8748051/record/0-2/7702651793", 7702651793)</f>
        <v>7702651793</v>
      </c>
      <c r="S948" s="14" t="s">
        <v>3068</v>
      </c>
      <c r="T948" s="18" t="s">
        <v>3069</v>
      </c>
      <c r="U948" s="14" t="s">
        <v>46</v>
      </c>
      <c r="V948" s="22"/>
      <c r="W948" s="19">
        <v>656.0</v>
      </c>
      <c r="X948" s="19">
        <v>47.0</v>
      </c>
      <c r="Y948" s="20"/>
      <c r="Z948" s="21"/>
      <c r="AA948" s="21"/>
      <c r="AB948" s="21"/>
      <c r="AC948" s="21"/>
      <c r="AD948" s="21"/>
      <c r="AE948" s="21"/>
      <c r="AF948" s="17" t="str">
        <f t="shared" si="1"/>
        <v>New Logo</v>
      </c>
      <c r="AG948" s="17" t="str">
        <f t="shared" si="2"/>
        <v>Lead</v>
      </c>
      <c r="AH948" s="17" t="str">
        <f t="shared" si="3"/>
        <v>501-1000</v>
      </c>
      <c r="AI948" s="17" t="str">
        <f t="shared" si="4"/>
        <v>21-50</v>
      </c>
    </row>
    <row r="949" ht="15.75" customHeight="1">
      <c r="A949" s="13">
        <f>HYPERLINK("https://app.hubspot.com/contacts/8748051/record/0-3/7610424754", 7610424754)</f>
        <v>7610424754</v>
      </c>
      <c r="B949" s="14" t="s">
        <v>3070</v>
      </c>
      <c r="C949" s="14" t="s">
        <v>145</v>
      </c>
      <c r="D949" s="15">
        <v>8000.0</v>
      </c>
      <c r="E949" s="14" t="s">
        <v>124</v>
      </c>
      <c r="F949" s="14"/>
      <c r="G949" s="16">
        <v>44579.53849537037</v>
      </c>
      <c r="H949" s="16">
        <v>44742.53855324074</v>
      </c>
      <c r="I949" s="14" t="s">
        <v>39</v>
      </c>
      <c r="J949" s="14" t="s">
        <v>40</v>
      </c>
      <c r="K949" s="17"/>
      <c r="L949" s="17"/>
      <c r="M949" s="14" t="s">
        <v>43</v>
      </c>
      <c r="N949" s="17"/>
      <c r="O949" s="14"/>
      <c r="P949" s="17"/>
      <c r="Q949" s="14" t="s">
        <v>125</v>
      </c>
      <c r="R949" s="13">
        <f>HYPERLINK("https://app.hubspot.com/contacts/8748051/record/0-2/6530075529", 6530075529)</f>
        <v>6530075529</v>
      </c>
      <c r="S949" s="14" t="s">
        <v>3071</v>
      </c>
      <c r="T949" s="18" t="s">
        <v>3072</v>
      </c>
      <c r="U949" s="14" t="s">
        <v>46</v>
      </c>
      <c r="V949" s="22"/>
      <c r="W949" s="19">
        <v>399.0</v>
      </c>
      <c r="X949" s="19">
        <v>26.0</v>
      </c>
      <c r="Y949" s="20" t="s">
        <v>70</v>
      </c>
      <c r="Z949" s="21"/>
      <c r="AA949" s="21"/>
      <c r="AB949" s="21"/>
      <c r="AC949" s="21"/>
      <c r="AD949" s="21"/>
      <c r="AE949" s="21"/>
      <c r="AF949" s="17" t="str">
        <f t="shared" si="1"/>
        <v>New Logo</v>
      </c>
      <c r="AG949" s="17" t="str">
        <f t="shared" si="2"/>
        <v>Lead</v>
      </c>
      <c r="AH949" s="17" t="str">
        <f t="shared" si="3"/>
        <v>201-500</v>
      </c>
      <c r="AI949" s="17" t="str">
        <f t="shared" si="4"/>
        <v>21-50</v>
      </c>
    </row>
    <row r="950" ht="15.75" customHeight="1">
      <c r="A950" s="13">
        <f>HYPERLINK("https://app.hubspot.com/contacts/8748051/record/0-3/7610134072", 7610134072)</f>
        <v>7610134072</v>
      </c>
      <c r="B950" s="14" t="s">
        <v>3073</v>
      </c>
      <c r="C950" s="14" t="s">
        <v>1008</v>
      </c>
      <c r="D950" s="15"/>
      <c r="E950" s="14" t="s">
        <v>146</v>
      </c>
      <c r="F950" s="14"/>
      <c r="G950" s="16">
        <v>44579.51710648148</v>
      </c>
      <c r="H950" s="16">
        <v>44582.42701388889</v>
      </c>
      <c r="I950" s="14" t="s">
        <v>39</v>
      </c>
      <c r="J950" s="14" t="s">
        <v>40</v>
      </c>
      <c r="K950" s="17"/>
      <c r="L950" s="17"/>
      <c r="M950" s="14" t="s">
        <v>43</v>
      </c>
      <c r="N950" s="17"/>
      <c r="O950" s="14" t="s">
        <v>3074</v>
      </c>
      <c r="P950" s="17"/>
      <c r="Q950" s="14"/>
      <c r="R950" s="13">
        <f>HYPERLINK("https://app.hubspot.com/contacts/8748051/record/0-2/7648298660", 7648298660)</f>
        <v>7648298660</v>
      </c>
      <c r="S950" s="14" t="s">
        <v>3075</v>
      </c>
      <c r="T950" s="18" t="s">
        <v>3076</v>
      </c>
      <c r="U950" s="14" t="s">
        <v>46</v>
      </c>
      <c r="V950" s="22"/>
      <c r="W950" s="19">
        <v>115.0</v>
      </c>
      <c r="X950" s="19">
        <v>29.0</v>
      </c>
      <c r="Y950" s="20" t="s">
        <v>104</v>
      </c>
      <c r="Z950" s="21"/>
      <c r="AA950" s="21"/>
      <c r="AB950" s="21"/>
      <c r="AC950" s="21"/>
      <c r="AD950" s="21"/>
      <c r="AE950" s="21"/>
      <c r="AF950" s="17" t="str">
        <f t="shared" si="1"/>
        <v>New Logo</v>
      </c>
      <c r="AG950" s="17" t="str">
        <f t="shared" si="2"/>
        <v>Lead</v>
      </c>
      <c r="AH950" s="17" t="str">
        <f t="shared" si="3"/>
        <v>0-200</v>
      </c>
      <c r="AI950" s="17" t="str">
        <f t="shared" si="4"/>
        <v>21-50</v>
      </c>
    </row>
    <row r="951" ht="15.75" customHeight="1">
      <c r="A951" s="13">
        <f>HYPERLINK("https://app.hubspot.com/contacts/8748051/record/0-3/7609786926", 7609786926)</f>
        <v>7609786926</v>
      </c>
      <c r="B951" s="14" t="s">
        <v>3077</v>
      </c>
      <c r="C951" s="14" t="s">
        <v>49</v>
      </c>
      <c r="D951" s="15">
        <v>17500.0</v>
      </c>
      <c r="E951" s="14" t="s">
        <v>124</v>
      </c>
      <c r="F951" s="14"/>
      <c r="G951" s="16">
        <v>44579.502905092595</v>
      </c>
      <c r="H951" s="16">
        <v>44712.502962962964</v>
      </c>
      <c r="I951" s="14" t="s">
        <v>39</v>
      </c>
      <c r="J951" s="14" t="s">
        <v>40</v>
      </c>
      <c r="K951" s="17"/>
      <c r="L951" s="17"/>
      <c r="M951" s="14" t="s">
        <v>43</v>
      </c>
      <c r="N951" s="14"/>
      <c r="O951" s="14"/>
      <c r="P951" s="17"/>
      <c r="Q951" s="14" t="s">
        <v>195</v>
      </c>
      <c r="R951" s="13">
        <f>HYPERLINK("https://app.hubspot.com/contacts/8748051/record/0-2/7692269129", 7692269129)</f>
        <v>7692269129</v>
      </c>
      <c r="S951" s="14" t="s">
        <v>3078</v>
      </c>
      <c r="T951" s="18" t="s">
        <v>3079</v>
      </c>
      <c r="U951" s="14" t="s">
        <v>46</v>
      </c>
      <c r="V951" s="15"/>
      <c r="W951" s="19">
        <v>148.0</v>
      </c>
      <c r="X951" s="19">
        <v>35.0</v>
      </c>
      <c r="Y951" s="20"/>
      <c r="Z951" s="21"/>
      <c r="AA951" s="21"/>
      <c r="AB951" s="21"/>
      <c r="AC951" s="21"/>
      <c r="AD951" s="21"/>
      <c r="AE951" s="21"/>
      <c r="AF951" s="17" t="str">
        <f t="shared" si="1"/>
        <v>New Logo</v>
      </c>
      <c r="AG951" s="17" t="str">
        <f t="shared" si="2"/>
        <v>Lead</v>
      </c>
      <c r="AH951" s="17" t="str">
        <f t="shared" si="3"/>
        <v>0-200</v>
      </c>
      <c r="AI951" s="17" t="str">
        <f t="shared" si="4"/>
        <v>21-50</v>
      </c>
    </row>
    <row r="952" ht="15.75" customHeight="1">
      <c r="A952" s="13">
        <f>HYPERLINK("https://app.hubspot.com/contacts/8748051/record/0-3/7610022220", 7610022220)</f>
        <v>7610022220</v>
      </c>
      <c r="B952" s="14" t="s">
        <v>3080</v>
      </c>
      <c r="C952" s="14" t="s">
        <v>49</v>
      </c>
      <c r="D952" s="15"/>
      <c r="E952" s="14" t="s">
        <v>146</v>
      </c>
      <c r="F952" s="14"/>
      <c r="G952" s="16">
        <v>44579.498125</v>
      </c>
      <c r="H952" s="16">
        <v>44594.56967592592</v>
      </c>
      <c r="I952" s="14" t="s">
        <v>39</v>
      </c>
      <c r="J952" s="14" t="s">
        <v>40</v>
      </c>
      <c r="K952" s="17"/>
      <c r="L952" s="17"/>
      <c r="M952" s="14" t="s">
        <v>43</v>
      </c>
      <c r="N952" s="14"/>
      <c r="O952" s="14" t="s">
        <v>3081</v>
      </c>
      <c r="P952" s="17"/>
      <c r="Q952" s="14"/>
      <c r="R952" s="13">
        <f>HYPERLINK("https://app.hubspot.com/contacts/8748051/record/0-2/7692033078", 7692033078)</f>
        <v>7692033078</v>
      </c>
      <c r="S952" s="14" t="s">
        <v>3082</v>
      </c>
      <c r="T952" s="18" t="s">
        <v>3083</v>
      </c>
      <c r="U952" s="14" t="s">
        <v>46</v>
      </c>
      <c r="V952" s="15"/>
      <c r="W952" s="19">
        <v>75.0</v>
      </c>
      <c r="X952" s="19">
        <v>16.0</v>
      </c>
      <c r="Y952" s="20"/>
      <c r="Z952" s="21"/>
      <c r="AA952" s="21"/>
      <c r="AB952" s="21"/>
      <c r="AC952" s="21"/>
      <c r="AD952" s="21"/>
      <c r="AE952" s="21"/>
      <c r="AF952" s="17" t="str">
        <f t="shared" si="1"/>
        <v>New Logo</v>
      </c>
      <c r="AG952" s="17" t="str">
        <f t="shared" si="2"/>
        <v>Lead</v>
      </c>
      <c r="AH952" s="17" t="str">
        <f t="shared" si="3"/>
        <v>0-200</v>
      </c>
      <c r="AI952" s="17" t="str">
        <f t="shared" si="4"/>
        <v>0-20</v>
      </c>
    </row>
    <row r="953" ht="15.75" customHeight="1">
      <c r="A953" s="13">
        <f>HYPERLINK("https://app.hubspot.com/contacts/8748051/record/0-3/7609887087", 7609887087)</f>
        <v>7609887087</v>
      </c>
      <c r="B953" s="14" t="s">
        <v>3084</v>
      </c>
      <c r="C953" s="14" t="s">
        <v>49</v>
      </c>
      <c r="D953" s="15">
        <v>100000.0</v>
      </c>
      <c r="E953" s="14" t="s">
        <v>124</v>
      </c>
      <c r="F953" s="14" t="s">
        <v>51</v>
      </c>
      <c r="G953" s="16">
        <v>44579.49275462963</v>
      </c>
      <c r="H953" s="16">
        <v>44865.354467592595</v>
      </c>
      <c r="I953" s="14" t="s">
        <v>39</v>
      </c>
      <c r="J953" s="14" t="s">
        <v>40</v>
      </c>
      <c r="K953" s="17"/>
      <c r="L953" s="17"/>
      <c r="M953" s="14" t="s">
        <v>43</v>
      </c>
      <c r="N953" s="14"/>
      <c r="O953" s="14"/>
      <c r="P953" s="17"/>
      <c r="Q953" s="14" t="s">
        <v>125</v>
      </c>
      <c r="R953" s="13">
        <f>HYPERLINK("https://app.hubspot.com/contacts/8748051/record/0-2/7513598797", 7513598797)</f>
        <v>7513598797</v>
      </c>
      <c r="S953" s="14" t="s">
        <v>3085</v>
      </c>
      <c r="T953" s="18" t="s">
        <v>3086</v>
      </c>
      <c r="U953" s="14" t="s">
        <v>46</v>
      </c>
      <c r="V953" s="15"/>
      <c r="W953" s="19">
        <v>3945.0</v>
      </c>
      <c r="X953" s="19">
        <v>373.0</v>
      </c>
      <c r="Y953" s="20" t="s">
        <v>78</v>
      </c>
      <c r="Z953" s="21"/>
      <c r="AA953" s="21"/>
      <c r="AB953" s="21"/>
      <c r="AC953" s="21"/>
      <c r="AD953" s="21"/>
      <c r="AE953" s="21"/>
      <c r="AF953" s="17" t="str">
        <f t="shared" si="1"/>
        <v>New Logo</v>
      </c>
      <c r="AG953" s="17" t="str">
        <f t="shared" si="2"/>
        <v>Lead</v>
      </c>
      <c r="AH953" s="17" t="str">
        <f t="shared" si="3"/>
        <v>1001-5000</v>
      </c>
      <c r="AI953" s="17" t="str">
        <f t="shared" si="4"/>
        <v>101-500</v>
      </c>
    </row>
    <row r="954" ht="15.75" customHeight="1">
      <c r="A954" s="13">
        <f>HYPERLINK("https://app.hubspot.com/contacts/8748051/record/0-3/7609940783", 7609940783)</f>
        <v>7609940783</v>
      </c>
      <c r="B954" s="14" t="s">
        <v>3087</v>
      </c>
      <c r="C954" s="14" t="s">
        <v>49</v>
      </c>
      <c r="D954" s="15">
        <v>9000.0</v>
      </c>
      <c r="E954" s="14" t="s">
        <v>124</v>
      </c>
      <c r="F954" s="14" t="s">
        <v>51</v>
      </c>
      <c r="G954" s="16">
        <v>44579.49207175926</v>
      </c>
      <c r="H954" s="16">
        <v>44773.601956018516</v>
      </c>
      <c r="I954" s="14" t="s">
        <v>39</v>
      </c>
      <c r="J954" s="14" t="s">
        <v>40</v>
      </c>
      <c r="K954" s="17"/>
      <c r="L954" s="17"/>
      <c r="M954" s="14" t="s">
        <v>43</v>
      </c>
      <c r="N954" s="17"/>
      <c r="O954" s="14"/>
      <c r="P954" s="14"/>
      <c r="Q954" s="14" t="s">
        <v>125</v>
      </c>
      <c r="R954" s="13">
        <f>HYPERLINK("https://app.hubspot.com/contacts/8748051/record/0-2/7692213848", 7692213848)</f>
        <v>7692213848</v>
      </c>
      <c r="S954" s="14" t="s">
        <v>3088</v>
      </c>
      <c r="T954" s="18" t="s">
        <v>3089</v>
      </c>
      <c r="U954" s="14" t="s">
        <v>46</v>
      </c>
      <c r="V954" s="22"/>
      <c r="W954" s="19">
        <v>100.0</v>
      </c>
      <c r="X954" s="19">
        <v>13.0</v>
      </c>
      <c r="Y954" s="20"/>
      <c r="Z954" s="21"/>
      <c r="AA954" s="21"/>
      <c r="AB954" s="21"/>
      <c r="AC954" s="21"/>
      <c r="AD954" s="21"/>
      <c r="AE954" s="21"/>
      <c r="AF954" s="17" t="str">
        <f t="shared" si="1"/>
        <v>New Logo</v>
      </c>
      <c r="AG954" s="17" t="str">
        <f t="shared" si="2"/>
        <v>Lead</v>
      </c>
      <c r="AH954" s="17" t="str">
        <f t="shared" si="3"/>
        <v>0-200</v>
      </c>
      <c r="AI954" s="17" t="str">
        <f t="shared" si="4"/>
        <v>0-20</v>
      </c>
    </row>
    <row r="955" ht="15.75" customHeight="1">
      <c r="A955" s="13">
        <f>HYPERLINK("https://app.hubspot.com/contacts/8748051/record/0-3/7609841844", 7609841844)</f>
        <v>7609841844</v>
      </c>
      <c r="B955" s="14" t="s">
        <v>3090</v>
      </c>
      <c r="C955" s="14" t="s">
        <v>49</v>
      </c>
      <c r="D955" s="15">
        <v>6500.0</v>
      </c>
      <c r="E955" s="14" t="s">
        <v>577</v>
      </c>
      <c r="F955" s="14"/>
      <c r="G955" s="16">
        <v>44579.488483796296</v>
      </c>
      <c r="H955" s="16">
        <v>44712.48855324074</v>
      </c>
      <c r="I955" s="14" t="s">
        <v>39</v>
      </c>
      <c r="J955" s="14" t="s">
        <v>40</v>
      </c>
      <c r="K955" s="17"/>
      <c r="L955" s="17"/>
      <c r="M955" s="14" t="s">
        <v>43</v>
      </c>
      <c r="N955" s="14"/>
      <c r="O955" s="14"/>
      <c r="P955" s="17"/>
      <c r="Q955" s="14"/>
      <c r="R955" s="13">
        <f>HYPERLINK("https://app.hubspot.com/contacts/8748051/record/0-2/6816672327", 6816672327)</f>
        <v>6816672327</v>
      </c>
      <c r="S955" s="14" t="s">
        <v>3091</v>
      </c>
      <c r="T955" s="18" t="s">
        <v>3092</v>
      </c>
      <c r="U955" s="14" t="s">
        <v>46</v>
      </c>
      <c r="V955" s="15"/>
      <c r="W955" s="19">
        <v>250.0</v>
      </c>
      <c r="X955" s="19">
        <v>15.0</v>
      </c>
      <c r="Y955" s="20"/>
      <c r="Z955" s="20"/>
      <c r="AA955" s="21"/>
      <c r="AB955" s="21"/>
      <c r="AC955" s="20"/>
      <c r="AD955" s="20"/>
      <c r="AE955" s="20"/>
      <c r="AF955" s="17" t="str">
        <f t="shared" si="1"/>
        <v>New Logo</v>
      </c>
      <c r="AG955" s="17" t="str">
        <f t="shared" si="2"/>
        <v>Lead</v>
      </c>
      <c r="AH955" s="17" t="str">
        <f t="shared" si="3"/>
        <v>201-500</v>
      </c>
      <c r="AI955" s="17" t="str">
        <f t="shared" si="4"/>
        <v>0-20</v>
      </c>
    </row>
    <row r="956" ht="15.75" customHeight="1">
      <c r="A956" s="13">
        <f>HYPERLINK("https://app.hubspot.com/contacts/8748051/record/0-3/7609632286", 7609632286)</f>
        <v>7609632286</v>
      </c>
      <c r="B956" s="14" t="s">
        <v>3093</v>
      </c>
      <c r="C956" s="14" t="s">
        <v>37</v>
      </c>
      <c r="D956" s="15">
        <v>100000.0</v>
      </c>
      <c r="E956" s="14" t="s">
        <v>577</v>
      </c>
      <c r="F956" s="14"/>
      <c r="G956" s="16">
        <v>44579.48780092593</v>
      </c>
      <c r="H956" s="16">
        <v>44834.62472222222</v>
      </c>
      <c r="I956" s="14" t="s">
        <v>39</v>
      </c>
      <c r="J956" s="14" t="s">
        <v>52</v>
      </c>
      <c r="K956" s="17"/>
      <c r="L956" s="17"/>
      <c r="M956" s="14" t="s">
        <v>43</v>
      </c>
      <c r="N956" s="14"/>
      <c r="O956" s="14"/>
      <c r="P956" s="14"/>
      <c r="Q956" s="17"/>
      <c r="R956" s="13">
        <f>HYPERLINK("https://app.hubspot.com/contacts/8748051/record/0-2/7669028660", 7669028660)</f>
        <v>7669028660</v>
      </c>
      <c r="S956" s="14" t="s">
        <v>3094</v>
      </c>
      <c r="T956" s="18" t="s">
        <v>3095</v>
      </c>
      <c r="U956" s="14" t="s">
        <v>46</v>
      </c>
      <c r="V956" s="15"/>
      <c r="W956" s="19">
        <v>3650.0</v>
      </c>
      <c r="X956" s="19">
        <v>648.0</v>
      </c>
      <c r="Y956" s="20" t="s">
        <v>122</v>
      </c>
      <c r="Z956" s="20"/>
      <c r="AA956" s="21"/>
      <c r="AB956" s="21"/>
      <c r="AC956" s="20"/>
      <c r="AD956" s="20"/>
      <c r="AE956" s="20"/>
      <c r="AF956" s="17" t="str">
        <f t="shared" si="1"/>
        <v>New Logo</v>
      </c>
      <c r="AG956" s="17" t="str">
        <f t="shared" si="2"/>
        <v>Lead</v>
      </c>
      <c r="AH956" s="17" t="str">
        <f t="shared" si="3"/>
        <v>1001-5000</v>
      </c>
      <c r="AI956" s="17" t="str">
        <f t="shared" si="4"/>
        <v>500+</v>
      </c>
    </row>
    <row r="957" ht="15.75" customHeight="1">
      <c r="A957" s="13">
        <f>HYPERLINK("https://app.hubspot.com/contacts/8748051/record/0-3/7493544229", 7493544229)</f>
        <v>7493544229</v>
      </c>
      <c r="B957" s="14" t="s">
        <v>3096</v>
      </c>
      <c r="C957" s="14" t="s">
        <v>1008</v>
      </c>
      <c r="D957" s="15">
        <v>15000.0</v>
      </c>
      <c r="E957" s="14" t="s">
        <v>577</v>
      </c>
      <c r="F957" s="14" t="s">
        <v>51</v>
      </c>
      <c r="G957" s="16">
        <v>44573.403391203705</v>
      </c>
      <c r="H957" s="16">
        <v>44742.47311342593</v>
      </c>
      <c r="I957" s="14" t="s">
        <v>39</v>
      </c>
      <c r="J957" s="14" t="s">
        <v>40</v>
      </c>
      <c r="K957" s="17"/>
      <c r="L957" s="17"/>
      <c r="M957" s="14" t="s">
        <v>43</v>
      </c>
      <c r="N957" s="14"/>
      <c r="O957" s="14"/>
      <c r="P957" s="14"/>
      <c r="Q957" s="17"/>
      <c r="R957" s="13">
        <f>HYPERLINK("https://app.hubspot.com/contacts/8748051/record/0-2/6816565826", 6816565826)</f>
        <v>6816565826</v>
      </c>
      <c r="S957" s="14" t="s">
        <v>3096</v>
      </c>
      <c r="T957" s="18" t="s">
        <v>3097</v>
      </c>
      <c r="U957" s="14" t="s">
        <v>46</v>
      </c>
      <c r="V957" s="15"/>
      <c r="W957" s="19">
        <v>154.0</v>
      </c>
      <c r="X957" s="19">
        <v>31.0</v>
      </c>
      <c r="Y957" s="20"/>
      <c r="Z957" s="20"/>
      <c r="AA957" s="21"/>
      <c r="AB957" s="21"/>
      <c r="AC957" s="20"/>
      <c r="AD957" s="21"/>
      <c r="AE957" s="20"/>
      <c r="AF957" s="17" t="str">
        <f t="shared" si="1"/>
        <v>New Logo</v>
      </c>
      <c r="AG957" s="17" t="str">
        <f t="shared" si="2"/>
        <v>Lead</v>
      </c>
      <c r="AH957" s="17" t="str">
        <f t="shared" si="3"/>
        <v>0-200</v>
      </c>
      <c r="AI957" s="17" t="str">
        <f t="shared" si="4"/>
        <v>21-50</v>
      </c>
    </row>
    <row r="958" ht="15.75" customHeight="1">
      <c r="A958" s="23">
        <f>HYPERLINK("https://app.hubspot.com/contacts/8748051/record/0-3/7420947576", 7420947576)</f>
        <v>7420947576</v>
      </c>
      <c r="B958" s="14" t="s">
        <v>3098</v>
      </c>
      <c r="C958" s="14" t="s">
        <v>37</v>
      </c>
      <c r="D958" s="15">
        <v>15000.0</v>
      </c>
      <c r="E958" s="14" t="s">
        <v>577</v>
      </c>
      <c r="F958" s="14" t="s">
        <v>51</v>
      </c>
      <c r="G958" s="16">
        <v>44566.46188657408</v>
      </c>
      <c r="H958" s="16">
        <v>44834.60246527778</v>
      </c>
      <c r="I958" s="14" t="s">
        <v>39</v>
      </c>
      <c r="J958" s="14" t="s">
        <v>40</v>
      </c>
      <c r="K958" s="17"/>
      <c r="L958" s="17"/>
      <c r="M958" s="14" t="s">
        <v>43</v>
      </c>
      <c r="N958" s="14"/>
      <c r="O958" s="14"/>
      <c r="P958" s="14"/>
      <c r="Q958" s="17"/>
      <c r="R958" s="23">
        <f>HYPERLINK("https://app.hubspot.com/contacts/8748051/record/0-2/7595517443", 7595517443)</f>
        <v>7595517443</v>
      </c>
      <c r="S958" s="14" t="s">
        <v>740</v>
      </c>
      <c r="T958" s="18" t="s">
        <v>741</v>
      </c>
      <c r="U958" s="14" t="s">
        <v>46</v>
      </c>
      <c r="V958" s="15"/>
      <c r="W958" s="19">
        <v>255.0</v>
      </c>
      <c r="X958" s="19">
        <v>50.0</v>
      </c>
      <c r="Y958" s="20" t="s">
        <v>104</v>
      </c>
      <c r="Z958" s="20"/>
      <c r="AA958" s="21"/>
      <c r="AB958" s="21"/>
      <c r="AC958" s="20"/>
      <c r="AD958" s="21"/>
      <c r="AE958" s="20"/>
      <c r="AF958" s="17" t="str">
        <f t="shared" si="1"/>
        <v>New Logo</v>
      </c>
      <c r="AG958" s="17" t="str">
        <f t="shared" ref="AG958:AG997" si="5">IF(U958="customer","Customer",IF(U958=34564763,"Churn","Lead"))</f>
        <v>Lead</v>
      </c>
      <c r="AH958" s="17" t="str">
        <f t="shared" ref="AH958:AH997" si="6">IF(W958&lt;=200,"0-200",
IF(W958&lt;=500,"201-500",
IF(W958&lt;=1000,"501-1000",
IF(W958&lt;=5000,"1001-5000",
IF(W958&lt;=10000,"5000-10000","10000+")))))</f>
        <v>201-500</v>
      </c>
      <c r="AI958" s="17" t="str">
        <f t="shared" ref="AI958:AI997" si="7">IF(X958&lt;=20,"0-20",
IF(X958&lt;=50,"21-50",
IF(X958&lt;=100,"51-100",
IF(X958&lt;=500,"101-500","500+"))))</f>
        <v>21-50</v>
      </c>
    </row>
    <row r="959" ht="15.75" customHeight="1">
      <c r="A959" s="23">
        <f>HYPERLINK("https://app.hubspot.com/contacts/8748051/record/0-3/7420529429", 7420529429)</f>
        <v>7420529429</v>
      </c>
      <c r="B959" s="14" t="s">
        <v>3099</v>
      </c>
      <c r="C959" s="14" t="s">
        <v>49</v>
      </c>
      <c r="D959" s="15">
        <v>10000.0</v>
      </c>
      <c r="E959" s="14" t="s">
        <v>577</v>
      </c>
      <c r="F959" s="14"/>
      <c r="G959" s="16">
        <v>44566.4600462963</v>
      </c>
      <c r="H959" s="16">
        <v>44712.46021990741</v>
      </c>
      <c r="I959" s="14" t="s">
        <v>39</v>
      </c>
      <c r="J959" s="14" t="s">
        <v>40</v>
      </c>
      <c r="K959" s="24"/>
      <c r="L959" s="24"/>
      <c r="M959" s="14" t="s">
        <v>43</v>
      </c>
      <c r="N959" s="24"/>
      <c r="O959" s="14"/>
      <c r="P959" s="24"/>
      <c r="Q959" s="24"/>
      <c r="R959" s="23">
        <f>HYPERLINK("https://app.hubspot.com/contacts/8748051/record/0-2/6816522774", 6816522774)</f>
        <v>6816522774</v>
      </c>
      <c r="S959" s="14" t="s">
        <v>3100</v>
      </c>
      <c r="T959" s="18" t="s">
        <v>3101</v>
      </c>
      <c r="U959" s="14" t="s">
        <v>46</v>
      </c>
      <c r="V959" s="22"/>
      <c r="W959" s="19">
        <v>1626.0</v>
      </c>
      <c r="X959" s="19">
        <v>177.0</v>
      </c>
      <c r="Y959" s="20" t="s">
        <v>545</v>
      </c>
      <c r="Z959" s="21"/>
      <c r="AA959" s="21"/>
      <c r="AB959" s="21"/>
      <c r="AC959" s="21"/>
      <c r="AD959" s="21"/>
      <c r="AE959" s="21"/>
      <c r="AF959" s="24" t="str">
        <f t="shared" si="1"/>
        <v>New Logo</v>
      </c>
      <c r="AG959" s="24" t="str">
        <f t="shared" si="5"/>
        <v>Lead</v>
      </c>
      <c r="AH959" s="24" t="str">
        <f t="shared" si="6"/>
        <v>1001-5000</v>
      </c>
      <c r="AI959" s="17" t="str">
        <f t="shared" si="7"/>
        <v>101-500</v>
      </c>
    </row>
    <row r="960" ht="15.75" customHeight="1">
      <c r="A960" s="23">
        <f>HYPERLINK("https://app.hubspot.com/contacts/8748051/record/0-3/7401440768", 7401440768)</f>
        <v>7401440768</v>
      </c>
      <c r="B960" s="14" t="s">
        <v>3102</v>
      </c>
      <c r="C960" s="14" t="s">
        <v>145</v>
      </c>
      <c r="D960" s="15">
        <v>10000.0</v>
      </c>
      <c r="E960" s="14" t="s">
        <v>146</v>
      </c>
      <c r="F960" s="14" t="s">
        <v>51</v>
      </c>
      <c r="G960" s="16">
        <v>44564.394270833334</v>
      </c>
      <c r="H960" s="16">
        <v>44573.39356481482</v>
      </c>
      <c r="I960" s="14" t="s">
        <v>39</v>
      </c>
      <c r="J960" s="14" t="s">
        <v>52</v>
      </c>
      <c r="K960" s="24"/>
      <c r="L960" s="24"/>
      <c r="M960" s="14" t="s">
        <v>43</v>
      </c>
      <c r="N960" s="24"/>
      <c r="O960" s="14" t="s">
        <v>3103</v>
      </c>
      <c r="P960" s="24"/>
      <c r="Q960" s="24"/>
      <c r="R960" s="23">
        <f>HYPERLINK("https://app.hubspot.com/contacts/8748051/record/0-2/6816600138", 6816600138)</f>
        <v>6816600138</v>
      </c>
      <c r="S960" s="14" t="s">
        <v>3104</v>
      </c>
      <c r="T960" s="18" t="s">
        <v>3105</v>
      </c>
      <c r="U960" s="14" t="s">
        <v>46</v>
      </c>
      <c r="V960" s="22"/>
      <c r="W960" s="19">
        <v>190.0</v>
      </c>
      <c r="X960" s="19">
        <v>16.0</v>
      </c>
      <c r="Y960" s="20"/>
      <c r="Z960" s="21"/>
      <c r="AA960" s="21"/>
      <c r="AB960" s="21"/>
      <c r="AC960" s="21"/>
      <c r="AD960" s="21"/>
      <c r="AE960" s="21"/>
      <c r="AF960" s="24" t="str">
        <f t="shared" si="1"/>
        <v>New Logo</v>
      </c>
      <c r="AG960" s="24" t="str">
        <f t="shared" si="5"/>
        <v>Lead</v>
      </c>
      <c r="AH960" s="24" t="str">
        <f t="shared" si="6"/>
        <v>0-200</v>
      </c>
      <c r="AI960" s="17" t="str">
        <f t="shared" si="7"/>
        <v>0-20</v>
      </c>
    </row>
    <row r="961" ht="15.75" customHeight="1">
      <c r="A961" s="23">
        <f>HYPERLINK("https://app.hubspot.com/contacts/8748051/record/0-3/7048538547", 7048538547)</f>
        <v>7048538547</v>
      </c>
      <c r="B961" s="14" t="s">
        <v>3106</v>
      </c>
      <c r="C961" s="14" t="s">
        <v>49</v>
      </c>
      <c r="D961" s="15">
        <v>15000.0</v>
      </c>
      <c r="E961" s="14" t="s">
        <v>146</v>
      </c>
      <c r="F961" s="14" t="s">
        <v>51</v>
      </c>
      <c r="G961" s="16">
        <v>44530.6244212963</v>
      </c>
      <c r="H961" s="16">
        <v>44601.50041666667</v>
      </c>
      <c r="I961" s="14" t="s">
        <v>39</v>
      </c>
      <c r="J961" s="14" t="s">
        <v>40</v>
      </c>
      <c r="K961" s="24"/>
      <c r="L961" s="24"/>
      <c r="M961" s="14" t="s">
        <v>43</v>
      </c>
      <c r="N961" s="14"/>
      <c r="O961" s="14" t="s">
        <v>3107</v>
      </c>
      <c r="P961" s="14"/>
      <c r="Q961" s="24"/>
      <c r="R961" s="23">
        <f>HYPERLINK("https://app.hubspot.com/contacts/8748051/record/0-2/7387117480", 7387117480)</f>
        <v>7387117480</v>
      </c>
      <c r="S961" s="14" t="s">
        <v>3108</v>
      </c>
      <c r="T961" s="18" t="s">
        <v>3109</v>
      </c>
      <c r="U961" s="14" t="s">
        <v>46</v>
      </c>
      <c r="V961" s="15"/>
      <c r="W961" s="19">
        <v>46.0</v>
      </c>
      <c r="X961" s="19">
        <v>6.0</v>
      </c>
      <c r="Y961" s="20"/>
      <c r="Z961" s="20"/>
      <c r="AA961" s="21"/>
      <c r="AB961" s="21"/>
      <c r="AC961" s="20"/>
      <c r="AD961" s="20"/>
      <c r="AE961" s="20"/>
      <c r="AF961" s="24" t="str">
        <f t="shared" si="1"/>
        <v>New Logo</v>
      </c>
      <c r="AG961" s="24" t="str">
        <f t="shared" si="5"/>
        <v>Lead</v>
      </c>
      <c r="AH961" s="24" t="str">
        <f t="shared" si="6"/>
        <v>0-200</v>
      </c>
      <c r="AI961" s="17" t="str">
        <f t="shared" si="7"/>
        <v>0-20</v>
      </c>
    </row>
    <row r="962" ht="15.75" customHeight="1">
      <c r="A962" s="23">
        <f>HYPERLINK("https://app.hubspot.com/contacts/8748051/record/0-3/6994296464", 6994296464)</f>
        <v>6994296464</v>
      </c>
      <c r="B962" s="14" t="s">
        <v>3110</v>
      </c>
      <c r="C962" s="14" t="s">
        <v>49</v>
      </c>
      <c r="D962" s="15"/>
      <c r="E962" s="14" t="s">
        <v>146</v>
      </c>
      <c r="F962" s="14" t="s">
        <v>51</v>
      </c>
      <c r="G962" s="16">
        <v>44523.65099537037</v>
      </c>
      <c r="H962" s="16">
        <v>44573.39828703704</v>
      </c>
      <c r="I962" s="14" t="s">
        <v>39</v>
      </c>
      <c r="J962" s="14" t="s">
        <v>40</v>
      </c>
      <c r="K962" s="24"/>
      <c r="L962" s="24"/>
      <c r="M962" s="14" t="s">
        <v>43</v>
      </c>
      <c r="N962" s="14"/>
      <c r="O962" s="14" t="s">
        <v>3111</v>
      </c>
      <c r="P962" s="14"/>
      <c r="Q962" s="24"/>
      <c r="R962" s="23">
        <f>HYPERLINK("https://app.hubspot.com/contacts/8748051/record/0-2/7262007443", 7262007443)</f>
        <v>7262007443</v>
      </c>
      <c r="S962" s="14" t="s">
        <v>3112</v>
      </c>
      <c r="T962" s="18" t="s">
        <v>3113</v>
      </c>
      <c r="U962" s="14" t="s">
        <v>46</v>
      </c>
      <c r="V962" s="15"/>
      <c r="W962" s="19">
        <v>735.0</v>
      </c>
      <c r="X962" s="19">
        <v>252.0</v>
      </c>
      <c r="Y962" s="20"/>
      <c r="Z962" s="20"/>
      <c r="AA962" s="21"/>
      <c r="AB962" s="21"/>
      <c r="AC962" s="20"/>
      <c r="AD962" s="21"/>
      <c r="AE962" s="20"/>
      <c r="AF962" s="24" t="str">
        <f t="shared" si="1"/>
        <v>New Logo</v>
      </c>
      <c r="AG962" s="24" t="str">
        <f t="shared" si="5"/>
        <v>Lead</v>
      </c>
      <c r="AH962" s="24" t="str">
        <f t="shared" si="6"/>
        <v>501-1000</v>
      </c>
      <c r="AI962" s="17" t="str">
        <f t="shared" si="7"/>
        <v>101-500</v>
      </c>
    </row>
    <row r="963" ht="15.75" customHeight="1">
      <c r="A963" s="23">
        <f>HYPERLINK("https://app.hubspot.com/contacts/8748051/record/0-3/6983179108", 6983179108)</f>
        <v>6983179108</v>
      </c>
      <c r="B963" s="14" t="s">
        <v>3114</v>
      </c>
      <c r="C963" s="14" t="s">
        <v>37</v>
      </c>
      <c r="D963" s="15">
        <v>10000.0</v>
      </c>
      <c r="E963" s="14" t="s">
        <v>118</v>
      </c>
      <c r="F963" s="14" t="s">
        <v>51</v>
      </c>
      <c r="G963" s="16">
        <v>44522.40586805555</v>
      </c>
      <c r="H963" s="16">
        <v>44651.44761574074</v>
      </c>
      <c r="I963" s="14" t="s">
        <v>39</v>
      </c>
      <c r="J963" s="14" t="s">
        <v>40</v>
      </c>
      <c r="K963" s="24"/>
      <c r="L963" s="24"/>
      <c r="M963" s="14" t="s">
        <v>43</v>
      </c>
      <c r="N963" s="24"/>
      <c r="O963" s="14"/>
      <c r="P963" s="14" t="s">
        <v>260</v>
      </c>
      <c r="Q963" s="24"/>
      <c r="R963" s="23">
        <f>HYPERLINK("https://app.hubspot.com/contacts/8748051/record/0-2/9618589480", 9618589480)</f>
        <v>9618589480</v>
      </c>
      <c r="S963" s="14" t="s">
        <v>2070</v>
      </c>
      <c r="T963" s="18" t="s">
        <v>2071</v>
      </c>
      <c r="U963" s="14" t="s">
        <v>46</v>
      </c>
      <c r="V963" s="15"/>
      <c r="W963" s="19">
        <v>152.0</v>
      </c>
      <c r="X963" s="19">
        <v>21.0</v>
      </c>
      <c r="Y963" s="20"/>
      <c r="Z963" s="20"/>
      <c r="AA963" s="21"/>
      <c r="AB963" s="21"/>
      <c r="AC963" s="20"/>
      <c r="AD963" s="21"/>
      <c r="AE963" s="20"/>
      <c r="AF963" s="24" t="str">
        <f t="shared" si="1"/>
        <v>New Logo</v>
      </c>
      <c r="AG963" s="24" t="str">
        <f t="shared" si="5"/>
        <v>Lead</v>
      </c>
      <c r="AH963" s="24" t="str">
        <f t="shared" si="6"/>
        <v>0-200</v>
      </c>
      <c r="AI963" s="17" t="str">
        <f t="shared" si="7"/>
        <v>21-50</v>
      </c>
    </row>
    <row r="964" ht="15.75" customHeight="1">
      <c r="A964" s="23">
        <f>HYPERLINK("https://app.hubspot.com/contacts/8748051/record/0-3/6937912383", 6937912383)</f>
        <v>6937912383</v>
      </c>
      <c r="B964" s="14" t="s">
        <v>3115</v>
      </c>
      <c r="C964" s="14" t="s">
        <v>49</v>
      </c>
      <c r="D964" s="15"/>
      <c r="E964" s="14" t="s">
        <v>146</v>
      </c>
      <c r="F964" s="14" t="s">
        <v>51</v>
      </c>
      <c r="G964" s="16">
        <v>44516.53686342593</v>
      </c>
      <c r="H964" s="16">
        <v>44536.497245370374</v>
      </c>
      <c r="I964" s="14" t="s">
        <v>39</v>
      </c>
      <c r="J964" s="14" t="s">
        <v>40</v>
      </c>
      <c r="K964" s="24"/>
      <c r="L964" s="24"/>
      <c r="M964" s="14" t="s">
        <v>43</v>
      </c>
      <c r="N964" s="24"/>
      <c r="O964" s="14" t="s">
        <v>3116</v>
      </c>
      <c r="P964" s="24"/>
      <c r="Q964" s="24"/>
      <c r="R964" s="23">
        <f>HYPERLINK("https://app.hubspot.com/contacts/8748051/record/0-2/7261914934", 7261914934)</f>
        <v>7261914934</v>
      </c>
      <c r="S964" s="14" t="s">
        <v>3115</v>
      </c>
      <c r="T964" s="18" t="s">
        <v>3117</v>
      </c>
      <c r="U964" s="14" t="s">
        <v>46</v>
      </c>
      <c r="V964" s="15"/>
      <c r="W964" s="19">
        <v>401.0</v>
      </c>
      <c r="X964" s="19">
        <v>48.0</v>
      </c>
      <c r="Y964" s="20"/>
      <c r="Z964" s="20"/>
      <c r="AA964" s="21"/>
      <c r="AB964" s="21"/>
      <c r="AC964" s="20"/>
      <c r="AD964" s="21"/>
      <c r="AE964" s="20"/>
      <c r="AF964" s="24" t="str">
        <f t="shared" si="1"/>
        <v>New Logo</v>
      </c>
      <c r="AG964" s="24" t="str">
        <f t="shared" si="5"/>
        <v>Lead</v>
      </c>
      <c r="AH964" s="24" t="str">
        <f t="shared" si="6"/>
        <v>201-500</v>
      </c>
      <c r="AI964" s="17" t="str">
        <f t="shared" si="7"/>
        <v>21-50</v>
      </c>
    </row>
    <row r="965" ht="15.75" customHeight="1">
      <c r="A965" s="23">
        <f>HYPERLINK("https://app.hubspot.com/contacts/8748051/record/0-3/6869123757", 6869123757)</f>
        <v>6869123757</v>
      </c>
      <c r="B965" s="14" t="s">
        <v>839</v>
      </c>
      <c r="C965" s="14" t="s">
        <v>3118</v>
      </c>
      <c r="D965" s="15"/>
      <c r="E965" s="14" t="s">
        <v>146</v>
      </c>
      <c r="F965" s="14"/>
      <c r="G965" s="16">
        <v>44508.47299768519</v>
      </c>
      <c r="H965" s="16"/>
      <c r="I965" s="14" t="s">
        <v>39</v>
      </c>
      <c r="J965" s="14" t="s">
        <v>40</v>
      </c>
      <c r="K965" s="24"/>
      <c r="L965" s="24"/>
      <c r="M965" s="14" t="s">
        <v>43</v>
      </c>
      <c r="N965" s="24"/>
      <c r="O965" s="14" t="s">
        <v>3119</v>
      </c>
      <c r="P965" s="24"/>
      <c r="Q965" s="24"/>
      <c r="R965" s="23">
        <f>HYPERLINK("https://app.hubspot.com/contacts/8748051/record/0-2/7737526328", 7737526328)</f>
        <v>7737526328</v>
      </c>
      <c r="S965" s="14" t="s">
        <v>839</v>
      </c>
      <c r="T965" s="18" t="s">
        <v>840</v>
      </c>
      <c r="U965" s="14" t="s">
        <v>93</v>
      </c>
      <c r="V965" s="15">
        <v>3210.0</v>
      </c>
      <c r="W965" s="19">
        <v>294.0</v>
      </c>
      <c r="X965" s="19">
        <v>46.0</v>
      </c>
      <c r="Y965" s="20"/>
      <c r="Z965" s="20" t="s">
        <v>348</v>
      </c>
      <c r="AA965" s="21"/>
      <c r="AB965" s="21"/>
      <c r="AC965" s="20" t="s">
        <v>841</v>
      </c>
      <c r="AD965" s="21"/>
      <c r="AE965" s="20" t="s">
        <v>763</v>
      </c>
      <c r="AF965" s="24" t="str">
        <f t="shared" si="1"/>
        <v>New Logo</v>
      </c>
      <c r="AG965" s="24" t="str">
        <f t="shared" si="5"/>
        <v>Customer</v>
      </c>
      <c r="AH965" s="24" t="str">
        <f t="shared" si="6"/>
        <v>201-500</v>
      </c>
      <c r="AI965" s="17" t="str">
        <f t="shared" si="7"/>
        <v>21-50</v>
      </c>
    </row>
    <row r="966" ht="15.75" customHeight="1">
      <c r="A966" s="23">
        <f>HYPERLINK("https://app.hubspot.com/contacts/8748051/record/0-3/6869605445", 6869605445)</f>
        <v>6869605445</v>
      </c>
      <c r="B966" s="14" t="s">
        <v>3120</v>
      </c>
      <c r="C966" s="14" t="s">
        <v>49</v>
      </c>
      <c r="D966" s="15"/>
      <c r="E966" s="14" t="s">
        <v>146</v>
      </c>
      <c r="F966" s="14"/>
      <c r="G966" s="16">
        <v>44508.472604166665</v>
      </c>
      <c r="H966" s="16"/>
      <c r="I966" s="14" t="s">
        <v>39</v>
      </c>
      <c r="J966" s="14" t="s">
        <v>40</v>
      </c>
      <c r="K966" s="24"/>
      <c r="L966" s="24"/>
      <c r="M966" s="14" t="s">
        <v>43</v>
      </c>
      <c r="N966" s="24"/>
      <c r="O966" s="14" t="s">
        <v>3121</v>
      </c>
      <c r="P966" s="24"/>
      <c r="Q966" s="24"/>
      <c r="R966" s="23">
        <f>HYPERLINK("https://app.hubspot.com/contacts/8748051/record/0-2/6262205443", 6262205443)</f>
        <v>6262205443</v>
      </c>
      <c r="S966" s="14" t="s">
        <v>3120</v>
      </c>
      <c r="T966" s="18" t="s">
        <v>3122</v>
      </c>
      <c r="U966" s="14" t="s">
        <v>46</v>
      </c>
      <c r="V966" s="22"/>
      <c r="W966" s="19">
        <v>272.0</v>
      </c>
      <c r="X966" s="19">
        <v>38.0</v>
      </c>
      <c r="Y966" s="20"/>
      <c r="Z966" s="21"/>
      <c r="AA966" s="21"/>
      <c r="AB966" s="21"/>
      <c r="AC966" s="21"/>
      <c r="AD966" s="21"/>
      <c r="AE966" s="21"/>
      <c r="AF966" s="24" t="str">
        <f t="shared" si="1"/>
        <v>New Logo</v>
      </c>
      <c r="AG966" s="24" t="str">
        <f t="shared" si="5"/>
        <v>Lead</v>
      </c>
      <c r="AH966" s="24" t="str">
        <f t="shared" si="6"/>
        <v>201-500</v>
      </c>
      <c r="AI966" s="17" t="str">
        <f t="shared" si="7"/>
        <v>21-50</v>
      </c>
    </row>
    <row r="967" ht="15.75" customHeight="1">
      <c r="A967" s="23">
        <f>HYPERLINK("https://app.hubspot.com/contacts/8748051/record/0-3/6869101369", 6869101369)</f>
        <v>6869101369</v>
      </c>
      <c r="B967" s="14" t="s">
        <v>3123</v>
      </c>
      <c r="C967" s="14" t="s">
        <v>49</v>
      </c>
      <c r="D967" s="15">
        <v>100000.0</v>
      </c>
      <c r="E967" s="14" t="s">
        <v>577</v>
      </c>
      <c r="F967" s="14" t="s">
        <v>51</v>
      </c>
      <c r="G967" s="16">
        <v>44508.47091435185</v>
      </c>
      <c r="H967" s="16"/>
      <c r="I967" s="14" t="s">
        <v>39</v>
      </c>
      <c r="J967" s="14" t="s">
        <v>52</v>
      </c>
      <c r="K967" s="24"/>
      <c r="L967" s="24"/>
      <c r="M967" s="14" t="s">
        <v>43</v>
      </c>
      <c r="N967" s="14"/>
      <c r="O967" s="14"/>
      <c r="P967" s="24"/>
      <c r="Q967" s="24"/>
      <c r="R967" s="23">
        <f>HYPERLINK("https://app.hubspot.com/contacts/8748051/record/0-2/7246281518", 7246281518)</f>
        <v>7246281518</v>
      </c>
      <c r="S967" s="14" t="s">
        <v>3123</v>
      </c>
      <c r="T967" s="18" t="s">
        <v>3124</v>
      </c>
      <c r="U967" s="14" t="s">
        <v>46</v>
      </c>
      <c r="V967" s="15"/>
      <c r="W967" s="19">
        <v>3102.0</v>
      </c>
      <c r="X967" s="19">
        <v>564.0</v>
      </c>
      <c r="Y967" s="20" t="s">
        <v>2614</v>
      </c>
      <c r="Z967" s="21"/>
      <c r="AA967" s="21"/>
      <c r="AB967" s="21"/>
      <c r="AC967" s="21"/>
      <c r="AD967" s="21"/>
      <c r="AE967" s="21"/>
      <c r="AF967" s="24" t="str">
        <f t="shared" si="1"/>
        <v>New Logo</v>
      </c>
      <c r="AG967" s="24" t="str">
        <f t="shared" si="5"/>
        <v>Lead</v>
      </c>
      <c r="AH967" s="24" t="str">
        <f t="shared" si="6"/>
        <v>1001-5000</v>
      </c>
      <c r="AI967" s="17" t="str">
        <f t="shared" si="7"/>
        <v>500+</v>
      </c>
    </row>
    <row r="968" ht="15.75" customHeight="1">
      <c r="A968" s="23">
        <f>HYPERLINK("https://app.hubspot.com/contacts/8748051/record/0-3/6869518006", 6869518006)</f>
        <v>6869518006</v>
      </c>
      <c r="B968" s="14" t="s">
        <v>3125</v>
      </c>
      <c r="C968" s="14" t="s">
        <v>145</v>
      </c>
      <c r="D968" s="15"/>
      <c r="E968" s="14" t="s">
        <v>146</v>
      </c>
      <c r="F968" s="14" t="s">
        <v>51</v>
      </c>
      <c r="G968" s="16">
        <v>44508.4703125</v>
      </c>
      <c r="H968" s="16">
        <v>44553.69850694444</v>
      </c>
      <c r="I968" s="14" t="s">
        <v>39</v>
      </c>
      <c r="J968" s="14" t="s">
        <v>40</v>
      </c>
      <c r="K968" s="24"/>
      <c r="L968" s="24"/>
      <c r="M968" s="14" t="s">
        <v>43</v>
      </c>
      <c r="N968" s="14"/>
      <c r="O968" s="14" t="s">
        <v>3126</v>
      </c>
      <c r="P968" s="24"/>
      <c r="Q968" s="24"/>
      <c r="R968" s="23">
        <f>HYPERLINK("https://app.hubspot.com/contacts/8748051/record/0-2/7246281378", 7246281378)</f>
        <v>7246281378</v>
      </c>
      <c r="S968" s="14" t="s">
        <v>3125</v>
      </c>
      <c r="T968" s="18" t="s">
        <v>3127</v>
      </c>
      <c r="U968" s="14" t="s">
        <v>46</v>
      </c>
      <c r="V968" s="15"/>
      <c r="W968" s="19">
        <v>253.0</v>
      </c>
      <c r="X968" s="19">
        <v>102.0</v>
      </c>
      <c r="Y968" s="20"/>
      <c r="Z968" s="21"/>
      <c r="AA968" s="21"/>
      <c r="AB968" s="21"/>
      <c r="AC968" s="21"/>
      <c r="AD968" s="21"/>
      <c r="AE968" s="21"/>
      <c r="AF968" s="24" t="str">
        <f t="shared" si="1"/>
        <v>New Logo</v>
      </c>
      <c r="AG968" s="24" t="str">
        <f t="shared" si="5"/>
        <v>Lead</v>
      </c>
      <c r="AH968" s="24" t="str">
        <f t="shared" si="6"/>
        <v>201-500</v>
      </c>
      <c r="AI968" s="17" t="str">
        <f t="shared" si="7"/>
        <v>101-500</v>
      </c>
    </row>
    <row r="969" ht="15.75" customHeight="1">
      <c r="A969" s="23">
        <f>HYPERLINK("https://app.hubspot.com/contacts/8748051/record/0-3/6868986001", 6868986001)</f>
        <v>6868986001</v>
      </c>
      <c r="B969" s="14" t="s">
        <v>3128</v>
      </c>
      <c r="C969" s="14" t="s">
        <v>49</v>
      </c>
      <c r="D969" s="15">
        <v>18500.0</v>
      </c>
      <c r="E969" s="14" t="s">
        <v>577</v>
      </c>
      <c r="F969" s="14"/>
      <c r="G969" s="16">
        <v>44508.46979166667</v>
      </c>
      <c r="H969" s="16">
        <v>44742.45260416667</v>
      </c>
      <c r="I969" s="14" t="s">
        <v>39</v>
      </c>
      <c r="J969" s="14" t="s">
        <v>40</v>
      </c>
      <c r="K969" s="24"/>
      <c r="L969" s="24"/>
      <c r="M969" s="14" t="s">
        <v>43</v>
      </c>
      <c r="N969" s="24"/>
      <c r="O969" s="14"/>
      <c r="P969" s="24"/>
      <c r="Q969" s="14"/>
      <c r="R969" s="23">
        <f>HYPERLINK("https://app.hubspot.com/contacts/8748051/record/0-2/6646708313", 6646708313)</f>
        <v>6646708313</v>
      </c>
      <c r="S969" s="14" t="s">
        <v>3129</v>
      </c>
      <c r="T969" s="18" t="s">
        <v>3130</v>
      </c>
      <c r="U969" s="14" t="s">
        <v>46</v>
      </c>
      <c r="V969" s="22"/>
      <c r="W969" s="19">
        <v>160.0</v>
      </c>
      <c r="X969" s="19">
        <v>37.0</v>
      </c>
      <c r="Y969" s="20" t="s">
        <v>3131</v>
      </c>
      <c r="Z969" s="21"/>
      <c r="AA969" s="21"/>
      <c r="AB969" s="21"/>
      <c r="AC969" s="21"/>
      <c r="AD969" s="21"/>
      <c r="AE969" s="21"/>
      <c r="AF969" s="24" t="str">
        <f t="shared" si="1"/>
        <v>New Logo</v>
      </c>
      <c r="AG969" s="24" t="str">
        <f t="shared" si="5"/>
        <v>Lead</v>
      </c>
      <c r="AH969" s="24" t="str">
        <f t="shared" si="6"/>
        <v>0-200</v>
      </c>
      <c r="AI969" s="17" t="str">
        <f t="shared" si="7"/>
        <v>21-50</v>
      </c>
    </row>
    <row r="970" ht="15.75" customHeight="1">
      <c r="A970" s="23">
        <f>HYPERLINK("https://app.hubspot.com/contacts/8748051/record/0-3/6869517709", 6869517709)</f>
        <v>6869517709</v>
      </c>
      <c r="B970" s="14" t="s">
        <v>3132</v>
      </c>
      <c r="C970" s="14" t="s">
        <v>49</v>
      </c>
      <c r="D970" s="15"/>
      <c r="E970" s="14" t="s">
        <v>146</v>
      </c>
      <c r="F970" s="14"/>
      <c r="G970" s="16">
        <v>44508.468935185185</v>
      </c>
      <c r="H970" s="16">
        <v>44573.40180555556</v>
      </c>
      <c r="I970" s="14" t="s">
        <v>39</v>
      </c>
      <c r="J970" s="14" t="s">
        <v>40</v>
      </c>
      <c r="K970" s="24"/>
      <c r="L970" s="24"/>
      <c r="M970" s="14" t="s">
        <v>43</v>
      </c>
      <c r="N970" s="24"/>
      <c r="O970" s="14" t="s">
        <v>3133</v>
      </c>
      <c r="P970" s="24"/>
      <c r="Q970" s="24"/>
      <c r="R970" s="23">
        <f>HYPERLINK("https://app.hubspot.com/contacts/8748051/record/0-2/6262678383", 6262678383)</f>
        <v>6262678383</v>
      </c>
      <c r="S970" s="14" t="s">
        <v>3132</v>
      </c>
      <c r="T970" s="18" t="s">
        <v>3134</v>
      </c>
      <c r="U970" s="14" t="s">
        <v>46</v>
      </c>
      <c r="V970" s="22"/>
      <c r="W970" s="19">
        <v>433.0</v>
      </c>
      <c r="X970" s="19">
        <v>57.0</v>
      </c>
      <c r="Y970" s="20" t="s">
        <v>70</v>
      </c>
      <c r="Z970" s="21"/>
      <c r="AA970" s="21"/>
      <c r="AB970" s="21"/>
      <c r="AC970" s="21"/>
      <c r="AD970" s="21"/>
      <c r="AE970" s="21"/>
      <c r="AF970" s="24" t="str">
        <f t="shared" si="1"/>
        <v>New Logo</v>
      </c>
      <c r="AG970" s="24" t="str">
        <f t="shared" si="5"/>
        <v>Lead</v>
      </c>
      <c r="AH970" s="24" t="str">
        <f t="shared" si="6"/>
        <v>201-500</v>
      </c>
      <c r="AI970" s="17" t="str">
        <f t="shared" si="7"/>
        <v>51-100</v>
      </c>
    </row>
    <row r="971" ht="15.75" customHeight="1">
      <c r="A971" s="23">
        <f>HYPERLINK("https://app.hubspot.com/contacts/8748051/record/0-3/6869003422", 6869003422)</f>
        <v>6869003422</v>
      </c>
      <c r="B971" s="14" t="s">
        <v>3135</v>
      </c>
      <c r="C971" s="14" t="s">
        <v>1008</v>
      </c>
      <c r="D971" s="15"/>
      <c r="E971" s="14" t="s">
        <v>146</v>
      </c>
      <c r="F971" s="14"/>
      <c r="G971" s="16">
        <v>44508.467627314814</v>
      </c>
      <c r="H971" s="16"/>
      <c r="I971" s="14" t="s">
        <v>39</v>
      </c>
      <c r="J971" s="14" t="s">
        <v>40</v>
      </c>
      <c r="K971" s="24"/>
      <c r="L971" s="24"/>
      <c r="M971" s="14" t="s">
        <v>43</v>
      </c>
      <c r="N971" s="14"/>
      <c r="O971" s="14" t="s">
        <v>3136</v>
      </c>
      <c r="P971" s="24"/>
      <c r="Q971" s="14"/>
      <c r="R971" s="23">
        <f>HYPERLINK("https://app.hubspot.com/contacts/8748051/record/0-2/6262678295", 6262678295)</f>
        <v>6262678295</v>
      </c>
      <c r="S971" s="14" t="s">
        <v>3135</v>
      </c>
      <c r="T971" s="18" t="s">
        <v>3137</v>
      </c>
      <c r="U971" s="14" t="s">
        <v>46</v>
      </c>
      <c r="V971" s="15"/>
      <c r="W971" s="19">
        <v>22.0</v>
      </c>
      <c r="X971" s="19">
        <v>1.0</v>
      </c>
      <c r="Y971" s="20"/>
      <c r="Z971" s="20"/>
      <c r="AA971" s="21"/>
      <c r="AB971" s="21"/>
      <c r="AC971" s="20"/>
      <c r="AD971" s="20"/>
      <c r="AE971" s="20"/>
      <c r="AF971" s="24" t="str">
        <f t="shared" si="1"/>
        <v>New Logo</v>
      </c>
      <c r="AG971" s="24" t="str">
        <f t="shared" si="5"/>
        <v>Lead</v>
      </c>
      <c r="AH971" s="24" t="str">
        <f t="shared" si="6"/>
        <v>0-200</v>
      </c>
      <c r="AI971" s="17" t="str">
        <f t="shared" si="7"/>
        <v>0-20</v>
      </c>
    </row>
    <row r="972" ht="15.75" customHeight="1">
      <c r="A972" s="23">
        <f>HYPERLINK("https://app.hubspot.com/contacts/8748051/record/0-3/6869084561", 6869084561)</f>
        <v>6869084561</v>
      </c>
      <c r="B972" s="14" t="s">
        <v>3138</v>
      </c>
      <c r="C972" s="14" t="s">
        <v>1008</v>
      </c>
      <c r="D972" s="15"/>
      <c r="E972" s="14" t="s">
        <v>146</v>
      </c>
      <c r="F972" s="14"/>
      <c r="G972" s="16">
        <v>44508.46686342593</v>
      </c>
      <c r="H972" s="16"/>
      <c r="I972" s="14" t="s">
        <v>39</v>
      </c>
      <c r="J972" s="14" t="s">
        <v>40</v>
      </c>
      <c r="K972" s="24"/>
      <c r="L972" s="24"/>
      <c r="M972" s="14" t="s">
        <v>43</v>
      </c>
      <c r="N972" s="14"/>
      <c r="O972" s="14"/>
      <c r="P972" s="24"/>
      <c r="Q972" s="24"/>
      <c r="R972" s="23">
        <f>HYPERLINK("https://app.hubspot.com/contacts/8748051/record/0-2/6262326657", 6262326657)</f>
        <v>6262326657</v>
      </c>
      <c r="S972" s="14" t="s">
        <v>3139</v>
      </c>
      <c r="T972" s="18" t="s">
        <v>3140</v>
      </c>
      <c r="U972" s="14" t="s">
        <v>46</v>
      </c>
      <c r="V972" s="15"/>
      <c r="W972" s="19">
        <v>30.0</v>
      </c>
      <c r="X972" s="19">
        <v>3.0</v>
      </c>
      <c r="Y972" s="20"/>
      <c r="Z972" s="20"/>
      <c r="AA972" s="21"/>
      <c r="AB972" s="21"/>
      <c r="AC972" s="20"/>
      <c r="AD972" s="21"/>
      <c r="AE972" s="20"/>
      <c r="AF972" s="24" t="str">
        <f t="shared" si="1"/>
        <v>New Logo</v>
      </c>
      <c r="AG972" s="24" t="str">
        <f t="shared" si="5"/>
        <v>Lead</v>
      </c>
      <c r="AH972" s="24" t="str">
        <f t="shared" si="6"/>
        <v>0-200</v>
      </c>
      <c r="AI972" s="17" t="str">
        <f t="shared" si="7"/>
        <v>0-20</v>
      </c>
    </row>
    <row r="973" ht="15.75" customHeight="1">
      <c r="A973" s="23">
        <f>HYPERLINK("https://app.hubspot.com/contacts/8748051/record/0-3/6869524381", 6869524381)</f>
        <v>6869524381</v>
      </c>
      <c r="B973" s="14" t="s">
        <v>3141</v>
      </c>
      <c r="C973" s="14" t="s">
        <v>1008</v>
      </c>
      <c r="D973" s="15">
        <v>15000.0</v>
      </c>
      <c r="E973" s="14" t="s">
        <v>146</v>
      </c>
      <c r="F973" s="14" t="s">
        <v>51</v>
      </c>
      <c r="G973" s="16">
        <v>44508.464849537035</v>
      </c>
      <c r="H973" s="16">
        <v>44739.36271990741</v>
      </c>
      <c r="I973" s="14" t="s">
        <v>39</v>
      </c>
      <c r="J973" s="14" t="s">
        <v>40</v>
      </c>
      <c r="K973" s="24"/>
      <c r="L973" s="24"/>
      <c r="M973" s="14" t="s">
        <v>43</v>
      </c>
      <c r="N973" s="24"/>
      <c r="O973" s="14" t="s">
        <v>3142</v>
      </c>
      <c r="P973" s="14"/>
      <c r="Q973" s="24"/>
      <c r="R973" s="23">
        <f>HYPERLINK("https://app.hubspot.com/contacts/8748051/record/0-2/7544209316", 7544209316)</f>
        <v>7544209316</v>
      </c>
      <c r="S973" s="14" t="s">
        <v>3143</v>
      </c>
      <c r="T973" s="18" t="s">
        <v>3144</v>
      </c>
      <c r="U973" s="14" t="s">
        <v>46</v>
      </c>
      <c r="V973" s="22"/>
      <c r="W973" s="19">
        <v>100.0</v>
      </c>
      <c r="X973" s="19">
        <v>20.0</v>
      </c>
      <c r="Y973" s="20" t="s">
        <v>104</v>
      </c>
      <c r="Z973" s="21"/>
      <c r="AA973" s="21"/>
      <c r="AB973" s="21"/>
      <c r="AC973" s="21"/>
      <c r="AD973" s="21"/>
      <c r="AE973" s="21"/>
      <c r="AF973" s="24" t="str">
        <f t="shared" si="1"/>
        <v>New Logo</v>
      </c>
      <c r="AG973" s="24" t="str">
        <f t="shared" si="5"/>
        <v>Lead</v>
      </c>
      <c r="AH973" s="24" t="str">
        <f t="shared" si="6"/>
        <v>0-200</v>
      </c>
      <c r="AI973" s="17" t="str">
        <f t="shared" si="7"/>
        <v>0-20</v>
      </c>
    </row>
    <row r="974" ht="15.75" customHeight="1">
      <c r="A974" s="23">
        <f>HYPERLINK("https://app.hubspot.com/contacts/8748051/record/0-3/6869065638", 6869065638)</f>
        <v>6869065638</v>
      </c>
      <c r="B974" s="14" t="s">
        <v>3145</v>
      </c>
      <c r="C974" s="14" t="s">
        <v>49</v>
      </c>
      <c r="D974" s="15">
        <v>49000.0</v>
      </c>
      <c r="E974" s="14" t="s">
        <v>577</v>
      </c>
      <c r="F974" s="14" t="s">
        <v>51</v>
      </c>
      <c r="G974" s="16">
        <v>44508.464108796295</v>
      </c>
      <c r="H974" s="16">
        <v>44895.653449074074</v>
      </c>
      <c r="I974" s="14" t="s">
        <v>39</v>
      </c>
      <c r="J974" s="14" t="s">
        <v>52</v>
      </c>
      <c r="K974" s="24"/>
      <c r="L974" s="24"/>
      <c r="M974" s="14" t="s">
        <v>43</v>
      </c>
      <c r="N974" s="24"/>
      <c r="O974" s="14"/>
      <c r="P974" s="24"/>
      <c r="Q974" s="24"/>
      <c r="R974" s="23">
        <f>HYPERLINK("https://app.hubspot.com/contacts/8748051/record/0-2/5850911620", 5850911620)</f>
        <v>5850911620</v>
      </c>
      <c r="S974" s="14" t="s">
        <v>3146</v>
      </c>
      <c r="T974" s="18" t="s">
        <v>3147</v>
      </c>
      <c r="U974" s="14" t="s">
        <v>46</v>
      </c>
      <c r="V974" s="22"/>
      <c r="W974" s="19">
        <v>880.0</v>
      </c>
      <c r="X974" s="19">
        <v>109.0</v>
      </c>
      <c r="Y974" s="20" t="s">
        <v>122</v>
      </c>
      <c r="Z974" s="21"/>
      <c r="AA974" s="21"/>
      <c r="AB974" s="21"/>
      <c r="AC974" s="21"/>
      <c r="AD974" s="21"/>
      <c r="AE974" s="21"/>
      <c r="AF974" s="24" t="str">
        <f t="shared" si="1"/>
        <v>New Logo</v>
      </c>
      <c r="AG974" s="24" t="str">
        <f t="shared" si="5"/>
        <v>Lead</v>
      </c>
      <c r="AH974" s="24" t="str">
        <f t="shared" si="6"/>
        <v>501-1000</v>
      </c>
      <c r="AI974" s="17" t="str">
        <f t="shared" si="7"/>
        <v>101-500</v>
      </c>
    </row>
    <row r="975" ht="15.75" customHeight="1">
      <c r="A975" s="23">
        <f>HYPERLINK("https://app.hubspot.com/contacts/8748051/record/0-3/6832364381", 6832364381)</f>
        <v>6832364381</v>
      </c>
      <c r="B975" s="14" t="s">
        <v>3148</v>
      </c>
      <c r="C975" s="14" t="s">
        <v>37</v>
      </c>
      <c r="D975" s="15">
        <v>10000.0</v>
      </c>
      <c r="E975" s="14" t="s">
        <v>577</v>
      </c>
      <c r="F975" s="14" t="s">
        <v>51</v>
      </c>
      <c r="G975" s="16">
        <v>44503.54424768518</v>
      </c>
      <c r="H975" s="16">
        <v>44834.5630787037</v>
      </c>
      <c r="I975" s="14" t="s">
        <v>39</v>
      </c>
      <c r="J975" s="14" t="s">
        <v>40</v>
      </c>
      <c r="K975" s="24"/>
      <c r="L975" s="24"/>
      <c r="M975" s="14" t="s">
        <v>43</v>
      </c>
      <c r="N975" s="24"/>
      <c r="O975" s="14"/>
      <c r="P975" s="24"/>
      <c r="Q975" s="24"/>
      <c r="R975" s="23">
        <f>HYPERLINK("https://app.hubspot.com/contacts/8748051/record/0-2/7220704258", 7220704258)</f>
        <v>7220704258</v>
      </c>
      <c r="S975" s="14" t="s">
        <v>3149</v>
      </c>
      <c r="T975" s="18" t="s">
        <v>3150</v>
      </c>
      <c r="U975" s="14" t="s">
        <v>46</v>
      </c>
      <c r="V975" s="22"/>
      <c r="W975" s="19">
        <v>189.0</v>
      </c>
      <c r="X975" s="19">
        <v>3.0</v>
      </c>
      <c r="Y975" s="20"/>
      <c r="Z975" s="21"/>
      <c r="AA975" s="21"/>
      <c r="AB975" s="21"/>
      <c r="AC975" s="21"/>
      <c r="AD975" s="21"/>
      <c r="AE975" s="21"/>
      <c r="AF975" s="24" t="str">
        <f t="shared" si="1"/>
        <v>New Logo</v>
      </c>
      <c r="AG975" s="24" t="str">
        <f t="shared" si="5"/>
        <v>Lead</v>
      </c>
      <c r="AH975" s="24" t="str">
        <f t="shared" si="6"/>
        <v>0-200</v>
      </c>
      <c r="AI975" s="17" t="str">
        <f t="shared" si="7"/>
        <v>0-20</v>
      </c>
    </row>
    <row r="976" ht="15.75" customHeight="1">
      <c r="A976" s="23">
        <f>HYPERLINK("https://app.hubspot.com/contacts/8748051/record/0-3/6832483208", 6832483208)</f>
        <v>6832483208</v>
      </c>
      <c r="B976" s="14" t="s">
        <v>3151</v>
      </c>
      <c r="C976" s="14" t="s">
        <v>1008</v>
      </c>
      <c r="D976" s="15"/>
      <c r="E976" s="14" t="s">
        <v>146</v>
      </c>
      <c r="F976" s="14" t="s">
        <v>51</v>
      </c>
      <c r="G976" s="16">
        <v>44503.53780092593</v>
      </c>
      <c r="H976" s="16">
        <v>44532.651550925926</v>
      </c>
      <c r="I976" s="14" t="s">
        <v>39</v>
      </c>
      <c r="J976" s="14" t="s">
        <v>52</v>
      </c>
      <c r="K976" s="24"/>
      <c r="L976" s="24"/>
      <c r="M976" s="14" t="s">
        <v>43</v>
      </c>
      <c r="N976" s="24"/>
      <c r="O976" s="14" t="s">
        <v>3152</v>
      </c>
      <c r="P976" s="24"/>
      <c r="Q976" s="14"/>
      <c r="R976" s="23">
        <f>HYPERLINK("https://app.hubspot.com/contacts/8748051/record/0-2/7220703489", 7220703489)</f>
        <v>7220703489</v>
      </c>
      <c r="S976" s="14" t="s">
        <v>3151</v>
      </c>
      <c r="T976" s="18" t="s">
        <v>3153</v>
      </c>
      <c r="U976" s="14" t="s">
        <v>46</v>
      </c>
      <c r="V976" s="22"/>
      <c r="W976" s="19">
        <v>256.0</v>
      </c>
      <c r="X976" s="19">
        <v>60.0</v>
      </c>
      <c r="Y976" s="20"/>
      <c r="Z976" s="21"/>
      <c r="AA976" s="21"/>
      <c r="AB976" s="21"/>
      <c r="AC976" s="21"/>
      <c r="AD976" s="21"/>
      <c r="AE976" s="21"/>
      <c r="AF976" s="24" t="str">
        <f t="shared" si="1"/>
        <v>New Logo</v>
      </c>
      <c r="AG976" s="24" t="str">
        <f t="shared" si="5"/>
        <v>Lead</v>
      </c>
      <c r="AH976" s="24" t="str">
        <f t="shared" si="6"/>
        <v>201-500</v>
      </c>
      <c r="AI976" s="17" t="str">
        <f t="shared" si="7"/>
        <v>51-100</v>
      </c>
    </row>
    <row r="977" ht="15.75" customHeight="1">
      <c r="A977" s="23">
        <f>HYPERLINK("https://app.hubspot.com/contacts/8748051/record/0-3/6755904163", 6755904163)</f>
        <v>6755904163</v>
      </c>
      <c r="B977" s="14" t="s">
        <v>3154</v>
      </c>
      <c r="C977" s="14" t="s">
        <v>49</v>
      </c>
      <c r="D977" s="15">
        <v>40000.0</v>
      </c>
      <c r="E977" s="14" t="s">
        <v>146</v>
      </c>
      <c r="F977" s="14" t="s">
        <v>51</v>
      </c>
      <c r="G977" s="16">
        <v>44495.41626157407</v>
      </c>
      <c r="H977" s="16">
        <v>44907.38964120371</v>
      </c>
      <c r="I977" s="14" t="s">
        <v>39</v>
      </c>
      <c r="J977" s="14" t="s">
        <v>52</v>
      </c>
      <c r="K977" s="24"/>
      <c r="L977" s="24"/>
      <c r="M977" s="14" t="s">
        <v>43</v>
      </c>
      <c r="N977" s="24"/>
      <c r="O977" s="14" t="s">
        <v>3155</v>
      </c>
      <c r="P977" s="24"/>
      <c r="Q977" s="14"/>
      <c r="R977" s="23">
        <f>HYPERLINK("https://app.hubspot.com/contacts/8748051/record/0-2/7172652145", 7172652145)</f>
        <v>7172652145</v>
      </c>
      <c r="S977" s="14" t="s">
        <v>3154</v>
      </c>
      <c r="T977" s="18" t="s">
        <v>3156</v>
      </c>
      <c r="U977" s="14" t="s">
        <v>46</v>
      </c>
      <c r="V977" s="22"/>
      <c r="W977" s="19">
        <v>20.0</v>
      </c>
      <c r="X977" s="19">
        <v>3.0</v>
      </c>
      <c r="Y977" s="20"/>
      <c r="Z977" s="21"/>
      <c r="AA977" s="21"/>
      <c r="AB977" s="21"/>
      <c r="AC977" s="21"/>
      <c r="AD977" s="21"/>
      <c r="AE977" s="21"/>
      <c r="AF977" s="24" t="str">
        <f t="shared" si="1"/>
        <v>New Logo</v>
      </c>
      <c r="AG977" s="24" t="str">
        <f t="shared" si="5"/>
        <v>Lead</v>
      </c>
      <c r="AH977" s="24" t="str">
        <f t="shared" si="6"/>
        <v>0-200</v>
      </c>
      <c r="AI977" s="17" t="str">
        <f t="shared" si="7"/>
        <v>0-20</v>
      </c>
    </row>
    <row r="978" ht="15.75" customHeight="1">
      <c r="A978" s="23">
        <f>HYPERLINK("https://app.hubspot.com/contacts/8748051/record/0-3/6696779416", 6696779416)</f>
        <v>6696779416</v>
      </c>
      <c r="B978" s="14" t="s">
        <v>3157</v>
      </c>
      <c r="C978" s="14" t="s">
        <v>49</v>
      </c>
      <c r="D978" s="15">
        <v>8000.0</v>
      </c>
      <c r="E978" s="14" t="s">
        <v>124</v>
      </c>
      <c r="F978" s="14" t="s">
        <v>51</v>
      </c>
      <c r="G978" s="16">
        <v>44488.58560185185</v>
      </c>
      <c r="H978" s="16">
        <v>45138.6937962963</v>
      </c>
      <c r="I978" s="14" t="s">
        <v>39</v>
      </c>
      <c r="J978" s="14" t="s">
        <v>52</v>
      </c>
      <c r="K978" s="24"/>
      <c r="L978" s="24"/>
      <c r="M978" s="14" t="s">
        <v>43</v>
      </c>
      <c r="N978" s="24"/>
      <c r="O978" s="14"/>
      <c r="P978" s="24"/>
      <c r="Q978" s="14" t="s">
        <v>373</v>
      </c>
      <c r="R978" s="23">
        <f>HYPERLINK("https://app.hubspot.com/contacts/8748051/record/0-2/8386319462", 8386319462)</f>
        <v>8386319462</v>
      </c>
      <c r="S978" s="18" t="s">
        <v>3158</v>
      </c>
      <c r="T978" s="18" t="s">
        <v>3159</v>
      </c>
      <c r="U978" s="14" t="s">
        <v>46</v>
      </c>
      <c r="V978" s="22"/>
      <c r="W978" s="19">
        <v>102.0</v>
      </c>
      <c r="X978" s="19">
        <v>11.0</v>
      </c>
      <c r="Y978" s="20" t="s">
        <v>104</v>
      </c>
      <c r="Z978" s="21"/>
      <c r="AA978" s="21"/>
      <c r="AB978" s="21"/>
      <c r="AC978" s="21"/>
      <c r="AD978" s="21"/>
      <c r="AE978" s="21"/>
      <c r="AF978" s="24" t="str">
        <f t="shared" si="1"/>
        <v>New Logo</v>
      </c>
      <c r="AG978" s="24" t="str">
        <f t="shared" si="5"/>
        <v>Lead</v>
      </c>
      <c r="AH978" s="24" t="str">
        <f t="shared" si="6"/>
        <v>0-200</v>
      </c>
      <c r="AI978" s="17" t="str">
        <f t="shared" si="7"/>
        <v>0-20</v>
      </c>
    </row>
    <row r="979" ht="15.75" customHeight="1">
      <c r="A979" s="23">
        <f>HYPERLINK("https://app.hubspot.com/contacts/8748051/record/0-3/6546546773", 6546546773)</f>
        <v>6546546773</v>
      </c>
      <c r="B979" s="14" t="s">
        <v>3160</v>
      </c>
      <c r="C979" s="14" t="s">
        <v>145</v>
      </c>
      <c r="D979" s="15"/>
      <c r="E979" s="14" t="s">
        <v>146</v>
      </c>
      <c r="F979" s="14"/>
      <c r="G979" s="16">
        <v>44476.12196759259</v>
      </c>
      <c r="H979" s="16">
        <v>44491.10792824074</v>
      </c>
      <c r="I979" s="14" t="s">
        <v>39</v>
      </c>
      <c r="J979" s="14" t="s">
        <v>40</v>
      </c>
      <c r="K979" s="24"/>
      <c r="L979" s="24"/>
      <c r="M979" s="14" t="s">
        <v>43</v>
      </c>
      <c r="N979" s="24"/>
      <c r="O979" s="14" t="s">
        <v>3161</v>
      </c>
      <c r="P979" s="24"/>
      <c r="Q979" s="24"/>
      <c r="R979" s="23">
        <f>HYPERLINK("https://app.hubspot.com/contacts/8748051/record/0-2/7075255110", 7075255110)</f>
        <v>7075255110</v>
      </c>
      <c r="S979" s="14" t="s">
        <v>3162</v>
      </c>
      <c r="T979" s="18" t="s">
        <v>3163</v>
      </c>
      <c r="U979" s="14" t="s">
        <v>46</v>
      </c>
      <c r="V979" s="22"/>
      <c r="W979" s="19">
        <v>170.0</v>
      </c>
      <c r="X979" s="19">
        <v>24.0</v>
      </c>
      <c r="Y979" s="20" t="s">
        <v>70</v>
      </c>
      <c r="Z979" s="21"/>
      <c r="AA979" s="21"/>
      <c r="AB979" s="21"/>
      <c r="AC979" s="21"/>
      <c r="AD979" s="21"/>
      <c r="AE979" s="21"/>
      <c r="AF979" s="24" t="str">
        <f t="shared" si="1"/>
        <v>New Logo</v>
      </c>
      <c r="AG979" s="24" t="str">
        <f t="shared" si="5"/>
        <v>Lead</v>
      </c>
      <c r="AH979" s="24" t="str">
        <f t="shared" si="6"/>
        <v>0-200</v>
      </c>
      <c r="AI979" s="17" t="str">
        <f t="shared" si="7"/>
        <v>21-50</v>
      </c>
    </row>
    <row r="980" ht="15.75" customHeight="1">
      <c r="A980" s="23">
        <f>HYPERLINK("https://app.hubspot.com/contacts/8748051/record/0-3/6257008023", 6257008023)</f>
        <v>6257008023</v>
      </c>
      <c r="B980" s="14" t="s">
        <v>3164</v>
      </c>
      <c r="C980" s="14" t="s">
        <v>49</v>
      </c>
      <c r="D980" s="15">
        <v>32500.0</v>
      </c>
      <c r="E980" s="14" t="s">
        <v>577</v>
      </c>
      <c r="F980" s="14" t="s">
        <v>51</v>
      </c>
      <c r="G980" s="16">
        <v>44459.309537037036</v>
      </c>
      <c r="H980" s="16">
        <v>44561.2680787037</v>
      </c>
      <c r="I980" s="14" t="s">
        <v>39</v>
      </c>
      <c r="J980" s="14" t="s">
        <v>40</v>
      </c>
      <c r="K980" s="24"/>
      <c r="L980" s="24"/>
      <c r="M980" s="14" t="s">
        <v>98</v>
      </c>
      <c r="N980" s="24"/>
      <c r="O980" s="14"/>
      <c r="P980" s="24"/>
      <c r="Q980" s="24"/>
      <c r="R980" s="23">
        <f>HYPERLINK("https://app.hubspot.com/contacts/8748051/record/0-2/6960300050", 6960300050)</f>
        <v>6960300050</v>
      </c>
      <c r="S980" s="14" t="s">
        <v>3165</v>
      </c>
      <c r="T980" s="18" t="s">
        <v>3166</v>
      </c>
      <c r="U980" s="14" t="s">
        <v>46</v>
      </c>
      <c r="V980" s="22"/>
      <c r="W980" s="19">
        <v>347.0</v>
      </c>
      <c r="X980" s="19">
        <v>62.0</v>
      </c>
      <c r="Y980" s="20" t="s">
        <v>104</v>
      </c>
      <c r="Z980" s="21"/>
      <c r="AA980" s="21"/>
      <c r="AB980" s="21"/>
      <c r="AC980" s="21"/>
      <c r="AD980" s="21"/>
      <c r="AE980" s="21"/>
      <c r="AF980" s="24" t="str">
        <f t="shared" si="1"/>
        <v>New Logo</v>
      </c>
      <c r="AG980" s="24" t="str">
        <f t="shared" si="5"/>
        <v>Lead</v>
      </c>
      <c r="AH980" s="24" t="str">
        <f t="shared" si="6"/>
        <v>201-500</v>
      </c>
      <c r="AI980" s="17" t="str">
        <f t="shared" si="7"/>
        <v>51-100</v>
      </c>
    </row>
    <row r="981" ht="15.75" customHeight="1">
      <c r="A981" s="23">
        <f>HYPERLINK("https://app.hubspot.com/contacts/8748051/record/0-3/5480590924", 5480590924)</f>
        <v>5480590924</v>
      </c>
      <c r="B981" s="14" t="s">
        <v>3167</v>
      </c>
      <c r="C981" s="14" t="s">
        <v>1008</v>
      </c>
      <c r="D981" s="15"/>
      <c r="E981" s="14" t="s">
        <v>146</v>
      </c>
      <c r="F981" s="24"/>
      <c r="G981" s="16">
        <v>44365.40101851852</v>
      </c>
      <c r="H981" s="16"/>
      <c r="I981" s="14" t="s">
        <v>39</v>
      </c>
      <c r="J981" s="14" t="s">
        <v>40</v>
      </c>
      <c r="K981" s="24"/>
      <c r="L981" s="24"/>
      <c r="M981" s="14" t="s">
        <v>43</v>
      </c>
      <c r="N981" s="14"/>
      <c r="O981" s="14" t="s">
        <v>3168</v>
      </c>
      <c r="P981" s="24"/>
      <c r="Q981" s="24"/>
      <c r="R981" s="23">
        <f>HYPERLINK("https://app.hubspot.com/contacts/8748051/record/0-2/6266336548", 6266336548)</f>
        <v>6266336548</v>
      </c>
      <c r="S981" s="14" t="s">
        <v>3167</v>
      </c>
      <c r="T981" s="18" t="s">
        <v>3169</v>
      </c>
      <c r="U981" s="14" t="s">
        <v>46</v>
      </c>
      <c r="V981" s="15"/>
      <c r="W981" s="19">
        <v>47.0</v>
      </c>
      <c r="X981" s="19">
        <v>8.0</v>
      </c>
      <c r="Y981" s="21"/>
      <c r="Z981" s="21"/>
      <c r="AA981" s="21"/>
      <c r="AB981" s="21"/>
      <c r="AC981" s="21"/>
      <c r="AD981" s="21"/>
      <c r="AE981" s="21"/>
      <c r="AF981" s="24" t="str">
        <f t="shared" si="1"/>
        <v>New Logo</v>
      </c>
      <c r="AG981" s="24" t="str">
        <f t="shared" si="5"/>
        <v>Lead</v>
      </c>
      <c r="AH981" s="24" t="str">
        <f t="shared" si="6"/>
        <v>0-200</v>
      </c>
      <c r="AI981" s="17" t="str">
        <f t="shared" si="7"/>
        <v>0-20</v>
      </c>
    </row>
    <row r="982" ht="15.75" customHeight="1">
      <c r="A982" s="23">
        <f>HYPERLINK("https://app.hubspot.com/contacts/8748051/record/0-3/5480540424", 5480540424)</f>
        <v>5480540424</v>
      </c>
      <c r="B982" s="14" t="s">
        <v>3170</v>
      </c>
      <c r="C982" s="14" t="s">
        <v>1008</v>
      </c>
      <c r="D982" s="15"/>
      <c r="E982" s="14" t="s">
        <v>146</v>
      </c>
      <c r="F982" s="14"/>
      <c r="G982" s="16">
        <v>44365.39229166666</v>
      </c>
      <c r="H982" s="16"/>
      <c r="I982" s="14" t="s">
        <v>39</v>
      </c>
      <c r="J982" s="14" t="s">
        <v>40</v>
      </c>
      <c r="K982" s="24"/>
      <c r="L982" s="24"/>
      <c r="M982" s="14" t="s">
        <v>43</v>
      </c>
      <c r="N982" s="14"/>
      <c r="O982" s="14"/>
      <c r="P982" s="24"/>
      <c r="Q982" s="24"/>
      <c r="R982" s="23">
        <f>HYPERLINK("https://app.hubspot.com/contacts/8748051/record/0-2/5851755791", 5851755791)</f>
        <v>5851755791</v>
      </c>
      <c r="S982" s="14" t="s">
        <v>3170</v>
      </c>
      <c r="T982" s="18" t="s">
        <v>3171</v>
      </c>
      <c r="U982" s="14" t="s">
        <v>46</v>
      </c>
      <c r="V982" s="15"/>
      <c r="W982" s="19">
        <v>340.0</v>
      </c>
      <c r="X982" s="19">
        <v>31.0</v>
      </c>
      <c r="Y982" s="20"/>
      <c r="Z982" s="21"/>
      <c r="AA982" s="21"/>
      <c r="AB982" s="21"/>
      <c r="AC982" s="21"/>
      <c r="AD982" s="21"/>
      <c r="AE982" s="21"/>
      <c r="AF982" s="24" t="str">
        <f t="shared" si="1"/>
        <v>New Logo</v>
      </c>
      <c r="AG982" s="24" t="str">
        <f t="shared" si="5"/>
        <v>Lead</v>
      </c>
      <c r="AH982" s="24" t="str">
        <f t="shared" si="6"/>
        <v>201-500</v>
      </c>
      <c r="AI982" s="17" t="str">
        <f t="shared" si="7"/>
        <v>21-50</v>
      </c>
    </row>
    <row r="983" ht="15.75" customHeight="1">
      <c r="A983" s="23">
        <f>HYPERLINK("https://app.hubspot.com/contacts/8748051/record/0-3/5480459659", 5480459659)</f>
        <v>5480459659</v>
      </c>
      <c r="B983" s="14" t="s">
        <v>3172</v>
      </c>
      <c r="C983" s="14" t="s">
        <v>1008</v>
      </c>
      <c r="D983" s="15"/>
      <c r="E983" s="14" t="s">
        <v>146</v>
      </c>
      <c r="F983" s="14"/>
      <c r="G983" s="16">
        <v>44365.38890046296</v>
      </c>
      <c r="H983" s="16"/>
      <c r="I983" s="14" t="s">
        <v>39</v>
      </c>
      <c r="J983" s="14" t="s">
        <v>40</v>
      </c>
      <c r="K983" s="24"/>
      <c r="L983" s="24"/>
      <c r="M983" s="14" t="s">
        <v>43</v>
      </c>
      <c r="N983" s="14"/>
      <c r="O983" s="14"/>
      <c r="P983" s="24"/>
      <c r="Q983" s="24"/>
      <c r="R983" s="23">
        <f>HYPERLINK("https://app.hubspot.com/contacts/8748051/record/0-2/6265997943", 6265997943)</f>
        <v>6265997943</v>
      </c>
      <c r="S983" s="14" t="s">
        <v>3172</v>
      </c>
      <c r="T983" s="18" t="s">
        <v>3173</v>
      </c>
      <c r="U983" s="14" t="s">
        <v>46</v>
      </c>
      <c r="V983" s="15"/>
      <c r="W983" s="19">
        <v>146.0</v>
      </c>
      <c r="X983" s="19">
        <v>17.0</v>
      </c>
      <c r="Y983" s="20"/>
      <c r="Z983" s="21"/>
      <c r="AA983" s="21"/>
      <c r="AB983" s="21"/>
      <c r="AC983" s="21"/>
      <c r="AD983" s="21"/>
      <c r="AE983" s="21"/>
      <c r="AF983" s="24" t="str">
        <f t="shared" si="1"/>
        <v>New Logo</v>
      </c>
      <c r="AG983" s="24" t="str">
        <f t="shared" si="5"/>
        <v>Lead</v>
      </c>
      <c r="AH983" s="24" t="str">
        <f t="shared" si="6"/>
        <v>0-200</v>
      </c>
      <c r="AI983" s="17" t="str">
        <f t="shared" si="7"/>
        <v>0-20</v>
      </c>
    </row>
    <row r="984" ht="15.75" customHeight="1">
      <c r="A984" s="23">
        <f>HYPERLINK("https://app.hubspot.com/contacts/8748051/record/0-3/5478595504", 5478595504)</f>
        <v>5478595504</v>
      </c>
      <c r="B984" s="14" t="s">
        <v>3174</v>
      </c>
      <c r="C984" s="14" t="s">
        <v>145</v>
      </c>
      <c r="D984" s="15"/>
      <c r="E984" s="14" t="s">
        <v>146</v>
      </c>
      <c r="F984" s="14"/>
      <c r="G984" s="16">
        <v>44365.05006944444</v>
      </c>
      <c r="H984" s="16"/>
      <c r="I984" s="14" t="s">
        <v>39</v>
      </c>
      <c r="J984" s="14" t="s">
        <v>40</v>
      </c>
      <c r="K984" s="24"/>
      <c r="L984" s="24"/>
      <c r="M984" s="14" t="s">
        <v>43</v>
      </c>
      <c r="N984" s="14"/>
      <c r="O984" s="14"/>
      <c r="P984" s="24"/>
      <c r="Q984" s="24"/>
      <c r="R984" s="23">
        <f>HYPERLINK("https://app.hubspot.com/contacts/8748051/record/0-2/14810902100", 14810902100)</f>
        <v>14810902100</v>
      </c>
      <c r="S984" s="14" t="s">
        <v>3175</v>
      </c>
      <c r="T984" s="18" t="s">
        <v>3176</v>
      </c>
      <c r="U984" s="14" t="s">
        <v>46</v>
      </c>
      <c r="V984" s="15"/>
      <c r="W984" s="19">
        <v>770.0</v>
      </c>
      <c r="X984" s="19">
        <v>92.0</v>
      </c>
      <c r="Y984" s="20" t="s">
        <v>78</v>
      </c>
      <c r="Z984" s="21"/>
      <c r="AA984" s="21"/>
      <c r="AB984" s="21"/>
      <c r="AC984" s="21"/>
      <c r="AD984" s="21"/>
      <c r="AE984" s="21"/>
      <c r="AF984" s="24" t="str">
        <f t="shared" si="1"/>
        <v>New Logo</v>
      </c>
      <c r="AG984" s="24" t="str">
        <f t="shared" si="5"/>
        <v>Lead</v>
      </c>
      <c r="AH984" s="24" t="str">
        <f t="shared" si="6"/>
        <v>501-1000</v>
      </c>
      <c r="AI984" s="17" t="str">
        <f t="shared" si="7"/>
        <v>51-100</v>
      </c>
    </row>
    <row r="985" ht="15.75" customHeight="1">
      <c r="A985" s="23">
        <f>HYPERLINK("https://app.hubspot.com/contacts/8748051/record/0-3/5478588253", 5478588253)</f>
        <v>5478588253</v>
      </c>
      <c r="B985" s="14" t="s">
        <v>3177</v>
      </c>
      <c r="C985" s="14" t="s">
        <v>49</v>
      </c>
      <c r="D985" s="15"/>
      <c r="E985" s="14" t="s">
        <v>146</v>
      </c>
      <c r="F985" s="14"/>
      <c r="G985" s="16">
        <v>44365.04153935185</v>
      </c>
      <c r="H985" s="16">
        <v>44620.37980324074</v>
      </c>
      <c r="I985" s="14" t="s">
        <v>39</v>
      </c>
      <c r="J985" s="14" t="s">
        <v>52</v>
      </c>
      <c r="K985" s="24"/>
      <c r="L985" s="24"/>
      <c r="M985" s="14" t="s">
        <v>43</v>
      </c>
      <c r="N985" s="14"/>
      <c r="O985" s="14" t="s">
        <v>3178</v>
      </c>
      <c r="P985" s="24"/>
      <c r="Q985" s="24"/>
      <c r="R985" s="23">
        <f>HYPERLINK("https://app.hubspot.com/contacts/8748051/record/0-2/6262674542", 6262674542)</f>
        <v>6262674542</v>
      </c>
      <c r="S985" s="14" t="s">
        <v>3177</v>
      </c>
      <c r="T985" s="18" t="s">
        <v>3179</v>
      </c>
      <c r="U985" s="14" t="s">
        <v>46</v>
      </c>
      <c r="V985" s="15"/>
      <c r="W985" s="19">
        <v>559.0</v>
      </c>
      <c r="X985" s="19">
        <v>105.0</v>
      </c>
      <c r="Y985" s="20" t="s">
        <v>55</v>
      </c>
      <c r="Z985" s="20"/>
      <c r="AA985" s="21"/>
      <c r="AB985" s="21"/>
      <c r="AC985" s="20"/>
      <c r="AD985" s="20"/>
      <c r="AE985" s="20"/>
      <c r="AF985" s="24" t="str">
        <f t="shared" si="1"/>
        <v>New Logo</v>
      </c>
      <c r="AG985" s="24" t="str">
        <f t="shared" si="5"/>
        <v>Lead</v>
      </c>
      <c r="AH985" s="24" t="str">
        <f t="shared" si="6"/>
        <v>501-1000</v>
      </c>
      <c r="AI985" s="17" t="str">
        <f t="shared" si="7"/>
        <v>101-500</v>
      </c>
    </row>
    <row r="986" ht="15.75" customHeight="1">
      <c r="A986" s="23">
        <f>HYPERLINK("https://app.hubspot.com/contacts/8748051/record/0-3/5478503541", 5478503541)</f>
        <v>5478503541</v>
      </c>
      <c r="B986" s="14" t="s">
        <v>3180</v>
      </c>
      <c r="C986" s="14" t="s">
        <v>49</v>
      </c>
      <c r="D986" s="15">
        <v>26500.0</v>
      </c>
      <c r="E986" s="14" t="s">
        <v>577</v>
      </c>
      <c r="F986" s="14" t="s">
        <v>51</v>
      </c>
      <c r="G986" s="16">
        <v>44365.039664351854</v>
      </c>
      <c r="H986" s="16">
        <v>44742.45011574074</v>
      </c>
      <c r="I986" s="14" t="s">
        <v>39</v>
      </c>
      <c r="J986" s="14" t="s">
        <v>40</v>
      </c>
      <c r="K986" s="24"/>
      <c r="L986" s="24"/>
      <c r="M986" s="14" t="s">
        <v>43</v>
      </c>
      <c r="N986" s="14"/>
      <c r="O986" s="14"/>
      <c r="P986" s="24"/>
      <c r="Q986" s="24"/>
      <c r="R986" s="23">
        <f>HYPERLINK("https://app.hubspot.com/contacts/8748051/record/0-2/6262678564", 6262678564)</f>
        <v>6262678564</v>
      </c>
      <c r="S986" s="14" t="s">
        <v>3180</v>
      </c>
      <c r="T986" s="18" t="s">
        <v>3181</v>
      </c>
      <c r="U986" s="14" t="s">
        <v>46</v>
      </c>
      <c r="V986" s="15"/>
      <c r="W986" s="19">
        <v>396.0</v>
      </c>
      <c r="X986" s="19">
        <v>56.0</v>
      </c>
      <c r="Y986" s="20" t="s">
        <v>104</v>
      </c>
      <c r="Z986" s="20"/>
      <c r="AA986" s="21"/>
      <c r="AB986" s="21"/>
      <c r="AC986" s="20"/>
      <c r="AD986" s="21"/>
      <c r="AE986" s="20"/>
      <c r="AF986" s="24" t="str">
        <f t="shared" si="1"/>
        <v>New Logo</v>
      </c>
      <c r="AG986" s="24" t="str">
        <f t="shared" si="5"/>
        <v>Lead</v>
      </c>
      <c r="AH986" s="24" t="str">
        <f t="shared" si="6"/>
        <v>201-500</v>
      </c>
      <c r="AI986" s="17" t="str">
        <f t="shared" si="7"/>
        <v>51-100</v>
      </c>
    </row>
    <row r="987" ht="15.75" customHeight="1">
      <c r="A987" s="23">
        <f>HYPERLINK("https://app.hubspot.com/contacts/8748051/record/0-3/5478502789", 5478502789)</f>
        <v>5478502789</v>
      </c>
      <c r="B987" s="18" t="s">
        <v>3182</v>
      </c>
      <c r="C987" s="14" t="s">
        <v>49</v>
      </c>
      <c r="D987" s="15">
        <v>7500.0</v>
      </c>
      <c r="E987" s="14" t="s">
        <v>146</v>
      </c>
      <c r="F987" s="14" t="s">
        <v>51</v>
      </c>
      <c r="G987" s="16">
        <v>44365.02377314815</v>
      </c>
      <c r="H987" s="16">
        <v>44547.46488425926</v>
      </c>
      <c r="I987" s="14" t="s">
        <v>39</v>
      </c>
      <c r="J987" s="14" t="s">
        <v>40</v>
      </c>
      <c r="K987" s="24"/>
      <c r="L987" s="24"/>
      <c r="M987" s="14" t="s">
        <v>43</v>
      </c>
      <c r="N987" s="14"/>
      <c r="O987" s="14" t="s">
        <v>3183</v>
      </c>
      <c r="P987" s="14"/>
      <c r="Q987" s="24"/>
      <c r="R987" s="23">
        <f>HYPERLINK("https://app.hubspot.com/contacts/8748051/record/0-2/6262678349", 6262678349)</f>
        <v>6262678349</v>
      </c>
      <c r="S987" s="18" t="s">
        <v>3182</v>
      </c>
      <c r="T987" s="18" t="s">
        <v>3184</v>
      </c>
      <c r="U987" s="14" t="s">
        <v>46</v>
      </c>
      <c r="V987" s="15"/>
      <c r="W987" s="19">
        <v>691.0</v>
      </c>
      <c r="X987" s="19">
        <v>202.0</v>
      </c>
      <c r="Y987" s="20" t="s">
        <v>545</v>
      </c>
      <c r="Z987" s="20"/>
      <c r="AA987" s="21"/>
      <c r="AB987" s="21"/>
      <c r="AC987" s="20"/>
      <c r="AD987" s="20"/>
      <c r="AE987" s="20"/>
      <c r="AF987" s="24" t="str">
        <f t="shared" si="1"/>
        <v>New Logo</v>
      </c>
      <c r="AG987" s="24" t="str">
        <f t="shared" si="5"/>
        <v>Lead</v>
      </c>
      <c r="AH987" s="24" t="str">
        <f t="shared" si="6"/>
        <v>501-1000</v>
      </c>
      <c r="AI987" s="17" t="str">
        <f t="shared" si="7"/>
        <v>101-500</v>
      </c>
    </row>
    <row r="988" ht="15.75" customHeight="1">
      <c r="A988" s="23">
        <f>HYPERLINK("https://app.hubspot.com/contacts/8748051/record/0-3/5478594426", 5478594426)</f>
        <v>5478594426</v>
      </c>
      <c r="B988" s="14" t="s">
        <v>3185</v>
      </c>
      <c r="C988" s="14" t="s">
        <v>49</v>
      </c>
      <c r="D988" s="15">
        <v>10000.0</v>
      </c>
      <c r="E988" s="14" t="s">
        <v>577</v>
      </c>
      <c r="F988" s="14"/>
      <c r="G988" s="16">
        <v>44365.0231712963</v>
      </c>
      <c r="H988" s="16">
        <v>44712.37552083333</v>
      </c>
      <c r="I988" s="14" t="s">
        <v>39</v>
      </c>
      <c r="J988" s="14" t="s">
        <v>40</v>
      </c>
      <c r="K988" s="24"/>
      <c r="L988" s="24"/>
      <c r="M988" s="14" t="s">
        <v>43</v>
      </c>
      <c r="N988" s="14"/>
      <c r="O988" s="14" t="s">
        <v>3186</v>
      </c>
      <c r="P988" s="24"/>
      <c r="Q988" s="24"/>
      <c r="R988" s="23">
        <f>HYPERLINK("https://app.hubspot.com/contacts/8748051/record/0-2/6262674309", 6262674309)</f>
        <v>6262674309</v>
      </c>
      <c r="S988" s="14" t="s">
        <v>3185</v>
      </c>
      <c r="T988" s="18" t="s">
        <v>3187</v>
      </c>
      <c r="U988" s="14" t="s">
        <v>46</v>
      </c>
      <c r="V988" s="15"/>
      <c r="W988" s="19">
        <v>181.0</v>
      </c>
      <c r="X988" s="19">
        <v>23.0</v>
      </c>
      <c r="Y988" s="20"/>
      <c r="Z988" s="20"/>
      <c r="AA988" s="21"/>
      <c r="AB988" s="21"/>
      <c r="AC988" s="20"/>
      <c r="AD988" s="21"/>
      <c r="AE988" s="20"/>
      <c r="AF988" s="24" t="str">
        <f t="shared" si="1"/>
        <v>New Logo</v>
      </c>
      <c r="AG988" s="24" t="str">
        <f t="shared" si="5"/>
        <v>Lead</v>
      </c>
      <c r="AH988" s="24" t="str">
        <f t="shared" si="6"/>
        <v>0-200</v>
      </c>
      <c r="AI988" s="17" t="str">
        <f t="shared" si="7"/>
        <v>21-50</v>
      </c>
    </row>
    <row r="989" ht="15.75" customHeight="1">
      <c r="A989" s="23">
        <f>HYPERLINK("https://app.hubspot.com/contacts/8748051/record/0-3/5478718029", 5478718029)</f>
        <v>5478718029</v>
      </c>
      <c r="B989" s="14" t="s">
        <v>3188</v>
      </c>
      <c r="C989" s="14" t="s">
        <v>1008</v>
      </c>
      <c r="D989" s="15">
        <v>20000.0</v>
      </c>
      <c r="E989" s="14" t="s">
        <v>146</v>
      </c>
      <c r="F989" s="14" t="s">
        <v>51</v>
      </c>
      <c r="G989" s="16">
        <v>44365.018472222226</v>
      </c>
      <c r="H989" s="16">
        <v>44564.38657407407</v>
      </c>
      <c r="I989" s="14" t="s">
        <v>39</v>
      </c>
      <c r="J989" s="14" t="s">
        <v>40</v>
      </c>
      <c r="K989" s="24"/>
      <c r="L989" s="24"/>
      <c r="M989" s="14" t="s">
        <v>43</v>
      </c>
      <c r="N989" s="14"/>
      <c r="O989" s="14" t="s">
        <v>3189</v>
      </c>
      <c r="P989" s="14"/>
      <c r="Q989" s="24"/>
      <c r="R989" s="23">
        <f>HYPERLINK("https://app.hubspot.com/contacts/8748051/record/0-2/5851188300", 5851188300)</f>
        <v>5851188300</v>
      </c>
      <c r="S989" s="14" t="s">
        <v>3188</v>
      </c>
      <c r="T989" s="18" t="s">
        <v>3190</v>
      </c>
      <c r="U989" s="14" t="s">
        <v>46</v>
      </c>
      <c r="V989" s="15"/>
      <c r="W989" s="19">
        <v>539.0</v>
      </c>
      <c r="X989" s="19">
        <v>132.0</v>
      </c>
      <c r="Y989" s="20" t="s">
        <v>3191</v>
      </c>
      <c r="Z989" s="21"/>
      <c r="AA989" s="21"/>
      <c r="AB989" s="21"/>
      <c r="AC989" s="21"/>
      <c r="AD989" s="21"/>
      <c r="AE989" s="21"/>
      <c r="AF989" s="24" t="str">
        <f t="shared" si="1"/>
        <v>New Logo</v>
      </c>
      <c r="AG989" s="24" t="str">
        <f t="shared" si="5"/>
        <v>Lead</v>
      </c>
      <c r="AH989" s="24" t="str">
        <f t="shared" si="6"/>
        <v>501-1000</v>
      </c>
      <c r="AI989" s="17" t="str">
        <f t="shared" si="7"/>
        <v>101-500</v>
      </c>
    </row>
    <row r="990" ht="15.75" customHeight="1">
      <c r="A990" s="23">
        <f>HYPERLINK("https://app.hubspot.com/contacts/8748051/record/0-3/5478502308", 5478502308)</f>
        <v>5478502308</v>
      </c>
      <c r="B990" s="14" t="s">
        <v>3192</v>
      </c>
      <c r="C990" s="14" t="s">
        <v>3118</v>
      </c>
      <c r="D990" s="15">
        <v>5000.0</v>
      </c>
      <c r="E990" s="14" t="s">
        <v>89</v>
      </c>
      <c r="F990" s="14"/>
      <c r="G990" s="16">
        <v>44365.01736111111</v>
      </c>
      <c r="H990" s="16">
        <v>44495.389016203706</v>
      </c>
      <c r="I990" s="14" t="s">
        <v>39</v>
      </c>
      <c r="J990" s="14" t="s">
        <v>40</v>
      </c>
      <c r="K990" s="24"/>
      <c r="L990" s="24"/>
      <c r="M990" s="14" t="s">
        <v>98</v>
      </c>
      <c r="N990" s="14" t="s">
        <v>3193</v>
      </c>
      <c r="O990" s="14"/>
      <c r="P990" s="24"/>
      <c r="Q990" s="24"/>
      <c r="R990" s="23">
        <f>HYPERLINK("https://app.hubspot.com/contacts/8748051/record/0-2/5837498170", 5837498170)</f>
        <v>5837498170</v>
      </c>
      <c r="S990" s="14" t="s">
        <v>3192</v>
      </c>
      <c r="T990" s="18" t="s">
        <v>3194</v>
      </c>
      <c r="U990" s="14">
        <v>3.4564763E7</v>
      </c>
      <c r="V990" s="15">
        <v>5000.0</v>
      </c>
      <c r="W990" s="19">
        <v>80.0</v>
      </c>
      <c r="X990" s="19">
        <v>5.0</v>
      </c>
      <c r="Y990" s="20"/>
      <c r="Z990" s="21"/>
      <c r="AA990" s="21"/>
      <c r="AB990" s="21"/>
      <c r="AC990" s="21"/>
      <c r="AD990" s="21"/>
      <c r="AE990" s="21"/>
      <c r="AF990" s="24" t="str">
        <f t="shared" si="1"/>
        <v>New Logo</v>
      </c>
      <c r="AG990" s="24" t="str">
        <f t="shared" si="5"/>
        <v>Churn</v>
      </c>
      <c r="AH990" s="24" t="str">
        <f t="shared" si="6"/>
        <v>0-200</v>
      </c>
      <c r="AI990" s="17" t="str">
        <f t="shared" si="7"/>
        <v>0-20</v>
      </c>
    </row>
    <row r="991" ht="15.75" customHeight="1">
      <c r="A991" s="23">
        <f>HYPERLINK("https://app.hubspot.com/contacts/8748051/record/0-3/5478370607", 5478370607)</f>
        <v>5478370607</v>
      </c>
      <c r="B991" s="14" t="s">
        <v>3195</v>
      </c>
      <c r="C991" s="14" t="s">
        <v>3118</v>
      </c>
      <c r="D991" s="15">
        <v>7500.0</v>
      </c>
      <c r="E991" s="14" t="s">
        <v>89</v>
      </c>
      <c r="F991" s="14" t="s">
        <v>51</v>
      </c>
      <c r="G991" s="16">
        <v>44364.98743055556</v>
      </c>
      <c r="H991" s="16">
        <v>44564.38512731482</v>
      </c>
      <c r="I991" s="14" t="s">
        <v>39</v>
      </c>
      <c r="J991" s="14" t="s">
        <v>40</v>
      </c>
      <c r="K991" s="24"/>
      <c r="L991" s="24"/>
      <c r="M991" s="14" t="s">
        <v>43</v>
      </c>
      <c r="N991" s="14" t="s">
        <v>3196</v>
      </c>
      <c r="O991" s="14"/>
      <c r="P991" s="24"/>
      <c r="Q991" s="24"/>
      <c r="R991" s="23">
        <f>HYPERLINK("https://app.hubspot.com/contacts/8748051/record/0-2/6262256971", 6262256971)</f>
        <v>6262256971</v>
      </c>
      <c r="S991" s="14" t="s">
        <v>3195</v>
      </c>
      <c r="T991" s="18" t="s">
        <v>3197</v>
      </c>
      <c r="U991" s="14">
        <v>3.4564763E7</v>
      </c>
      <c r="V991" s="15">
        <v>7500.0</v>
      </c>
      <c r="W991" s="19">
        <v>725.0</v>
      </c>
      <c r="X991" s="19">
        <v>17.0</v>
      </c>
      <c r="Y991" s="20"/>
      <c r="Z991" s="21"/>
      <c r="AA991" s="21"/>
      <c r="AB991" s="21"/>
      <c r="AC991" s="21"/>
      <c r="AD991" s="21"/>
      <c r="AE991" s="21"/>
      <c r="AF991" s="24" t="str">
        <f t="shared" si="1"/>
        <v>New Logo</v>
      </c>
      <c r="AG991" s="24" t="str">
        <f t="shared" si="5"/>
        <v>Churn</v>
      </c>
      <c r="AH991" s="24" t="str">
        <f t="shared" si="6"/>
        <v>501-1000</v>
      </c>
      <c r="AI991" s="17" t="str">
        <f t="shared" si="7"/>
        <v>0-20</v>
      </c>
    </row>
    <row r="992" ht="15.75" customHeight="1">
      <c r="A992" s="23">
        <f>HYPERLINK("https://app.hubspot.com/contacts/8748051/record/0-3/5478347160", 5478347160)</f>
        <v>5478347160</v>
      </c>
      <c r="B992" s="14" t="s">
        <v>3198</v>
      </c>
      <c r="C992" s="14" t="s">
        <v>49</v>
      </c>
      <c r="D992" s="15"/>
      <c r="E992" s="14" t="s">
        <v>146</v>
      </c>
      <c r="F992" s="14" t="s">
        <v>51</v>
      </c>
      <c r="G992" s="16">
        <v>44364.976631944446</v>
      </c>
      <c r="H992" s="16">
        <v>44656.40350694444</v>
      </c>
      <c r="I992" s="14" t="s">
        <v>39</v>
      </c>
      <c r="J992" s="14" t="s">
        <v>40</v>
      </c>
      <c r="K992" s="24"/>
      <c r="L992" s="24"/>
      <c r="M992" s="14" t="s">
        <v>43</v>
      </c>
      <c r="N992" s="14"/>
      <c r="O992" s="14" t="s">
        <v>3199</v>
      </c>
      <c r="P992" s="24"/>
      <c r="Q992" s="24"/>
      <c r="R992" s="23">
        <f>HYPERLINK("https://app.hubspot.com/contacts/8748051/record/0-2/5851561101", 5851561101)</f>
        <v>5851561101</v>
      </c>
      <c r="S992" s="14" t="s">
        <v>3198</v>
      </c>
      <c r="T992" s="18" t="s">
        <v>3200</v>
      </c>
      <c r="U992" s="14" t="s">
        <v>46</v>
      </c>
      <c r="V992" s="15"/>
      <c r="W992" s="19">
        <v>203.0</v>
      </c>
      <c r="X992" s="19">
        <v>24.0</v>
      </c>
      <c r="Y992" s="20" t="s">
        <v>104</v>
      </c>
      <c r="Z992" s="20"/>
      <c r="AA992" s="21"/>
      <c r="AB992" s="21"/>
      <c r="AC992" s="20"/>
      <c r="AD992" s="20"/>
      <c r="AE992" s="20"/>
      <c r="AF992" s="24" t="str">
        <f t="shared" si="1"/>
        <v>New Logo</v>
      </c>
      <c r="AG992" s="24" t="str">
        <f t="shared" si="5"/>
        <v>Lead</v>
      </c>
      <c r="AH992" s="24" t="str">
        <f t="shared" si="6"/>
        <v>201-500</v>
      </c>
      <c r="AI992" s="17" t="str">
        <f t="shared" si="7"/>
        <v>21-50</v>
      </c>
    </row>
    <row r="993" ht="15.75" customHeight="1">
      <c r="A993" s="23">
        <f>HYPERLINK("https://app.hubspot.com/contacts/8748051/record/0-3/3297345826", 3297345826)</f>
        <v>3297345826</v>
      </c>
      <c r="B993" s="14" t="s">
        <v>3201</v>
      </c>
      <c r="C993" s="14" t="s">
        <v>3202</v>
      </c>
      <c r="D993" s="15"/>
      <c r="E993" s="14" t="s">
        <v>146</v>
      </c>
      <c r="F993" s="14"/>
      <c r="G993" s="16">
        <v>44137.8872337963</v>
      </c>
      <c r="H993" s="16">
        <v>44365.007048611114</v>
      </c>
      <c r="I993" s="14" t="s">
        <v>39</v>
      </c>
      <c r="J993" s="14" t="s">
        <v>40</v>
      </c>
      <c r="K993" s="24"/>
      <c r="L993" s="24"/>
      <c r="M993" s="14" t="s">
        <v>43</v>
      </c>
      <c r="N993" s="14"/>
      <c r="O993" s="14" t="s">
        <v>3203</v>
      </c>
      <c r="P993" s="24"/>
      <c r="Q993" s="24"/>
      <c r="R993" s="23">
        <f>HYPERLINK("https://app.hubspot.com/contacts/8748051/record/0-2/4761860919", 4761860919)</f>
        <v>4761860919</v>
      </c>
      <c r="S993" s="14" t="s">
        <v>3201</v>
      </c>
      <c r="T993" s="18" t="s">
        <v>3204</v>
      </c>
      <c r="U993" s="14" t="s">
        <v>46</v>
      </c>
      <c r="V993" s="15"/>
      <c r="W993" s="19">
        <v>72.0</v>
      </c>
      <c r="X993" s="19">
        <v>23.0</v>
      </c>
      <c r="Y993" s="21"/>
      <c r="Z993" s="20"/>
      <c r="AA993" s="21"/>
      <c r="AB993" s="21"/>
      <c r="AC993" s="20"/>
      <c r="AD993" s="20"/>
      <c r="AE993" s="20"/>
      <c r="AF993" s="24" t="str">
        <f t="shared" si="1"/>
        <v>New Logo</v>
      </c>
      <c r="AG993" s="24" t="str">
        <f t="shared" si="5"/>
        <v>Lead</v>
      </c>
      <c r="AH993" s="24" t="str">
        <f t="shared" si="6"/>
        <v>0-200</v>
      </c>
      <c r="AI993" s="17" t="str">
        <f t="shared" si="7"/>
        <v>21-50</v>
      </c>
    </row>
    <row r="994" ht="15.75" customHeight="1">
      <c r="A994" s="23">
        <f>HYPERLINK("https://app.hubspot.com/contacts/8748051/record/0-3/3298053242", 3298053242)</f>
        <v>3298053242</v>
      </c>
      <c r="B994" s="14" t="s">
        <v>3205</v>
      </c>
      <c r="C994" s="14" t="s">
        <v>1227</v>
      </c>
      <c r="D994" s="15">
        <v>10800.0</v>
      </c>
      <c r="E994" s="14" t="s">
        <v>89</v>
      </c>
      <c r="F994" s="14" t="s">
        <v>51</v>
      </c>
      <c r="G994" s="16">
        <v>44137.8872337963</v>
      </c>
      <c r="H994" s="16">
        <v>44881.521145833336</v>
      </c>
      <c r="I994" s="14" t="s">
        <v>39</v>
      </c>
      <c r="J994" s="14" t="s">
        <v>40</v>
      </c>
      <c r="K994" s="24"/>
      <c r="L994" s="24"/>
      <c r="M994" s="14" t="s">
        <v>98</v>
      </c>
      <c r="N994" s="14" t="s">
        <v>3206</v>
      </c>
      <c r="O994" s="14" t="s">
        <v>3207</v>
      </c>
      <c r="P994" s="14"/>
      <c r="Q994" s="24"/>
      <c r="R994" s="23">
        <f>HYPERLINK("https://app.hubspot.com/contacts/8748051/record/0-2/4761860926", 4761860926)</f>
        <v>4761860926</v>
      </c>
      <c r="S994" s="14" t="s">
        <v>1449</v>
      </c>
      <c r="T994" s="18" t="s">
        <v>1450</v>
      </c>
      <c r="U994" s="14" t="s">
        <v>93</v>
      </c>
      <c r="V994" s="15">
        <v>17400.0</v>
      </c>
      <c r="W994" s="19">
        <v>1173.0</v>
      </c>
      <c r="X994" s="19">
        <v>62.0</v>
      </c>
      <c r="Y994" s="20"/>
      <c r="Z994" s="20" t="s">
        <v>218</v>
      </c>
      <c r="AA994" s="21"/>
      <c r="AB994" s="21"/>
      <c r="AC994" s="20" t="s">
        <v>1451</v>
      </c>
      <c r="AD994" s="20" t="s">
        <v>1452</v>
      </c>
      <c r="AE994" s="20" t="s">
        <v>166</v>
      </c>
      <c r="AF994" s="24" t="str">
        <f t="shared" si="1"/>
        <v>New Logo</v>
      </c>
      <c r="AG994" s="24" t="str">
        <f t="shared" si="5"/>
        <v>Customer</v>
      </c>
      <c r="AH994" s="24" t="str">
        <f t="shared" si="6"/>
        <v>1001-5000</v>
      </c>
      <c r="AI994" s="17" t="str">
        <f t="shared" si="7"/>
        <v>51-100</v>
      </c>
    </row>
    <row r="995" ht="15.75" customHeight="1">
      <c r="A995" s="23">
        <f>HYPERLINK("https://app.hubspot.com/contacts/8748051/record/0-3/3298056918", 3298056918)</f>
        <v>3298056918</v>
      </c>
      <c r="B995" s="14" t="s">
        <v>967</v>
      </c>
      <c r="C995" s="14" t="s">
        <v>3202</v>
      </c>
      <c r="D995" s="15">
        <v>15000.0</v>
      </c>
      <c r="E995" s="14" t="s">
        <v>89</v>
      </c>
      <c r="F995" s="14"/>
      <c r="G995" s="16">
        <v>44137.8872337963</v>
      </c>
      <c r="H995" s="16">
        <v>44495.38884259259</v>
      </c>
      <c r="I995" s="14" t="s">
        <v>39</v>
      </c>
      <c r="J995" s="14" t="s">
        <v>40</v>
      </c>
      <c r="K995" s="24"/>
      <c r="L995" s="24"/>
      <c r="M995" s="14" t="s">
        <v>98</v>
      </c>
      <c r="N995" s="14" t="s">
        <v>3193</v>
      </c>
      <c r="O995" s="14"/>
      <c r="P995" s="14"/>
      <c r="Q995" s="24"/>
      <c r="R995" s="23">
        <f>HYPERLINK("https://app.hubspot.com/contacts/8748051/record/0-2/37512849741", 37512849741)</f>
        <v>37512849741</v>
      </c>
      <c r="S995" s="14" t="s">
        <v>967</v>
      </c>
      <c r="T995" s="18" t="s">
        <v>968</v>
      </c>
      <c r="U995" s="14" t="s">
        <v>93</v>
      </c>
      <c r="V995" s="15">
        <v>17000.0</v>
      </c>
      <c r="W995" s="19">
        <v>1348.0</v>
      </c>
      <c r="X995" s="19">
        <v>181.0</v>
      </c>
      <c r="Y995" s="20"/>
      <c r="Z995" s="20" t="s">
        <v>218</v>
      </c>
      <c r="AA995" s="21"/>
      <c r="AB995" s="21"/>
      <c r="AC995" s="20" t="s">
        <v>969</v>
      </c>
      <c r="AD995" s="21"/>
      <c r="AE995" s="20" t="s">
        <v>166</v>
      </c>
      <c r="AF995" s="24" t="str">
        <f t="shared" si="1"/>
        <v>New Logo</v>
      </c>
      <c r="AG995" s="24" t="str">
        <f t="shared" si="5"/>
        <v>Customer</v>
      </c>
      <c r="AH995" s="24" t="str">
        <f t="shared" si="6"/>
        <v>1001-5000</v>
      </c>
      <c r="AI995" s="17" t="str">
        <f t="shared" si="7"/>
        <v>101-500</v>
      </c>
    </row>
    <row r="996" ht="15.75" customHeight="1">
      <c r="A996" s="23">
        <f>HYPERLINK("https://app.hubspot.com/contacts/8748051/record/0-3/3298067923", 3298067923)</f>
        <v>3298067923</v>
      </c>
      <c r="B996" s="14" t="s">
        <v>3208</v>
      </c>
      <c r="C996" s="14" t="s">
        <v>49</v>
      </c>
      <c r="D996" s="15">
        <v>20000.0</v>
      </c>
      <c r="E996" s="14" t="s">
        <v>118</v>
      </c>
      <c r="F996" s="14" t="s">
        <v>51</v>
      </c>
      <c r="G996" s="16">
        <v>44137.8872337963</v>
      </c>
      <c r="H996" s="16">
        <v>45230.080671296295</v>
      </c>
      <c r="I996" s="14" t="s">
        <v>39</v>
      </c>
      <c r="J996" s="14" t="s">
        <v>52</v>
      </c>
      <c r="K996" s="24"/>
      <c r="L996" s="24"/>
      <c r="M996" s="14" t="s">
        <v>98</v>
      </c>
      <c r="N996" s="24"/>
      <c r="O996" s="14" t="s">
        <v>3207</v>
      </c>
      <c r="P996" s="14" t="s">
        <v>211</v>
      </c>
      <c r="Q996" s="24"/>
      <c r="R996" s="23">
        <f>HYPERLINK("https://app.hubspot.com/contacts/8748051/record/0-2/7581027087", 7581027087)</f>
        <v>7581027087</v>
      </c>
      <c r="S996" s="18" t="s">
        <v>3209</v>
      </c>
      <c r="T996" s="18" t="s">
        <v>3210</v>
      </c>
      <c r="U996" s="14" t="s">
        <v>46</v>
      </c>
      <c r="V996" s="22"/>
      <c r="W996" s="19">
        <v>896.0</v>
      </c>
      <c r="X996" s="19">
        <v>87.0</v>
      </c>
      <c r="Y996" s="20" t="s">
        <v>104</v>
      </c>
      <c r="Z996" s="21"/>
      <c r="AA996" s="21"/>
      <c r="AB996" s="21"/>
      <c r="AC996" s="21"/>
      <c r="AD996" s="21"/>
      <c r="AE996" s="21"/>
      <c r="AF996" s="24" t="str">
        <f t="shared" si="1"/>
        <v>New Logo</v>
      </c>
      <c r="AG996" s="24" t="str">
        <f t="shared" si="5"/>
        <v>Lead</v>
      </c>
      <c r="AH996" s="24" t="str">
        <f t="shared" si="6"/>
        <v>501-1000</v>
      </c>
      <c r="AI996" s="17" t="str">
        <f t="shared" si="7"/>
        <v>51-100</v>
      </c>
    </row>
    <row r="997" ht="15.75" customHeight="1">
      <c r="A997" s="23">
        <f>HYPERLINK("https://app.hubspot.com/contacts/8748051/record/0-3/3298080761", 3298080761)</f>
        <v>3298080761</v>
      </c>
      <c r="B997" s="14" t="s">
        <v>3211</v>
      </c>
      <c r="C997" s="14" t="s">
        <v>1227</v>
      </c>
      <c r="D997" s="22"/>
      <c r="E997" s="14" t="s">
        <v>146</v>
      </c>
      <c r="F997" s="24"/>
      <c r="G997" s="16">
        <v>44137.8872337963</v>
      </c>
      <c r="H997" s="16">
        <v>45372.47694444445</v>
      </c>
      <c r="I997" s="14" t="s">
        <v>39</v>
      </c>
      <c r="J997" s="14" t="s">
        <v>52</v>
      </c>
      <c r="K997" s="24"/>
      <c r="L997" s="24"/>
      <c r="M997" s="14" t="s">
        <v>98</v>
      </c>
      <c r="N997" s="24"/>
      <c r="O997" s="14" t="s">
        <v>3212</v>
      </c>
      <c r="P997" s="24"/>
      <c r="Q997" s="24"/>
      <c r="R997" s="23">
        <f>HYPERLINK("https://app.hubspot.com/contacts/8748051/record/0-2/4761627925", 4761627925)</f>
        <v>4761627925</v>
      </c>
      <c r="S997" s="14" t="s">
        <v>3211</v>
      </c>
      <c r="T997" s="18" t="s">
        <v>3213</v>
      </c>
      <c r="U997" s="14" t="s">
        <v>46</v>
      </c>
      <c r="V997" s="22"/>
      <c r="W997" s="19">
        <v>1159.0</v>
      </c>
      <c r="X997" s="19">
        <v>183.0</v>
      </c>
      <c r="Y997" s="20" t="s">
        <v>545</v>
      </c>
      <c r="Z997" s="21"/>
      <c r="AA997" s="21"/>
      <c r="AB997" s="21"/>
      <c r="AC997" s="21"/>
      <c r="AD997" s="21"/>
      <c r="AE997" s="21"/>
      <c r="AF997" s="24" t="str">
        <f t="shared" si="1"/>
        <v>New Logo</v>
      </c>
      <c r="AG997" s="24" t="str">
        <f t="shared" si="5"/>
        <v>Lead</v>
      </c>
      <c r="AH997" s="24" t="str">
        <f t="shared" si="6"/>
        <v>1001-5000</v>
      </c>
      <c r="AI997" s="17" t="str">
        <f t="shared" si="7"/>
        <v>101-500</v>
      </c>
    </row>
    <row r="998" ht="15.75" customHeight="1">
      <c r="A998" s="24"/>
      <c r="B998" s="24"/>
      <c r="C998" s="24"/>
      <c r="D998" s="22"/>
      <c r="E998" s="24"/>
      <c r="F998" s="24"/>
      <c r="G998" s="25"/>
      <c r="H998" s="25"/>
      <c r="I998" s="24"/>
      <c r="J998" s="24"/>
      <c r="K998" s="24"/>
      <c r="L998" s="24"/>
      <c r="M998" s="24"/>
      <c r="N998" s="24"/>
      <c r="O998" s="24"/>
      <c r="P998" s="24"/>
      <c r="Q998" s="24"/>
      <c r="R998" s="24"/>
      <c r="S998" s="24"/>
      <c r="T998" s="24"/>
      <c r="U998" s="24"/>
      <c r="V998" s="22"/>
      <c r="W998" s="26"/>
      <c r="X998" s="26"/>
      <c r="Y998" s="21"/>
      <c r="Z998" s="21"/>
      <c r="AA998" s="21"/>
      <c r="AB998" s="21"/>
      <c r="AC998" s="21"/>
      <c r="AD998" s="21"/>
      <c r="AE998" s="21"/>
      <c r="AF998" s="24"/>
      <c r="AG998" s="24"/>
      <c r="AH998" s="24"/>
      <c r="AI998" s="17"/>
    </row>
    <row r="999" ht="15.75" customHeight="1">
      <c r="A999" s="24"/>
      <c r="B999" s="24"/>
      <c r="C999" s="24"/>
      <c r="D999" s="22"/>
      <c r="E999" s="24"/>
      <c r="F999" s="24"/>
      <c r="G999" s="25"/>
      <c r="H999" s="25"/>
      <c r="I999" s="24"/>
      <c r="J999" s="24"/>
      <c r="K999" s="24"/>
      <c r="L999" s="24"/>
      <c r="M999" s="24"/>
      <c r="N999" s="24"/>
      <c r="O999" s="24"/>
      <c r="P999" s="24"/>
      <c r="Q999" s="24"/>
      <c r="R999" s="24"/>
      <c r="S999" s="24"/>
      <c r="T999" s="24"/>
      <c r="U999" s="24"/>
      <c r="V999" s="22"/>
      <c r="W999" s="26"/>
      <c r="X999" s="26"/>
      <c r="Y999" s="21"/>
      <c r="Z999" s="21"/>
      <c r="AA999" s="21"/>
      <c r="AB999" s="21"/>
      <c r="AC999" s="21"/>
      <c r="AD999" s="21"/>
      <c r="AE999" s="21"/>
      <c r="AF999" s="24"/>
      <c r="AG999" s="24"/>
      <c r="AH999" s="24"/>
      <c r="AI999" s="17"/>
    </row>
    <row r="1000" ht="15.75" customHeight="1">
      <c r="A1000" s="24"/>
      <c r="B1000" s="24"/>
      <c r="C1000" s="24"/>
      <c r="D1000" s="22"/>
      <c r="E1000" s="24"/>
      <c r="F1000" s="24"/>
      <c r="G1000" s="25"/>
      <c r="H1000" s="25"/>
      <c r="I1000" s="24"/>
      <c r="J1000" s="24"/>
      <c r="K1000" s="24"/>
      <c r="L1000" s="24"/>
      <c r="M1000" s="24"/>
      <c r="N1000" s="24"/>
      <c r="O1000" s="24"/>
      <c r="P1000" s="24"/>
      <c r="Q1000" s="24"/>
      <c r="R1000" s="24"/>
      <c r="S1000" s="24"/>
      <c r="T1000" s="24"/>
      <c r="U1000" s="24"/>
      <c r="V1000" s="22"/>
      <c r="W1000" s="26"/>
      <c r="X1000" s="26"/>
      <c r="Y1000" s="21"/>
      <c r="Z1000" s="21"/>
      <c r="AA1000" s="21"/>
      <c r="AB1000" s="21"/>
      <c r="AC1000" s="21"/>
      <c r="AD1000" s="21"/>
      <c r="AE1000" s="21"/>
      <c r="AF1000" s="24"/>
      <c r="AG1000" s="24"/>
      <c r="AH1000" s="24"/>
      <c r="AI1000" s="17"/>
    </row>
  </sheetData>
  <hyperlinks>
    <hyperlink r:id="rId2" ref="T3"/>
    <hyperlink r:id="rId3" ref="T4"/>
    <hyperlink r:id="rId4" ref="S5"/>
    <hyperlink r:id="rId5" ref="T5"/>
    <hyperlink r:id="rId6" ref="T6"/>
    <hyperlink r:id="rId7" ref="T7"/>
    <hyperlink r:id="rId8" ref="T8"/>
    <hyperlink r:id="rId9" ref="T9"/>
    <hyperlink r:id="rId10" ref="T10"/>
    <hyperlink r:id="rId11" ref="T11"/>
    <hyperlink r:id="rId12" ref="T12"/>
    <hyperlink r:id="rId13" ref="T13"/>
    <hyperlink r:id="rId14" ref="T14"/>
    <hyperlink r:id="rId15" ref="T15"/>
    <hyperlink r:id="rId16" ref="T16"/>
    <hyperlink r:id="rId17" ref="T17"/>
    <hyperlink r:id="rId18" ref="T18"/>
    <hyperlink r:id="rId19" ref="T19"/>
    <hyperlink r:id="rId20" ref="T20"/>
    <hyperlink r:id="rId21" ref="T21"/>
    <hyperlink r:id="rId22" ref="T22"/>
    <hyperlink r:id="rId23" ref="T23"/>
    <hyperlink r:id="rId24" ref="T24"/>
    <hyperlink r:id="rId25" ref="T25"/>
    <hyperlink r:id="rId26" ref="T26"/>
    <hyperlink r:id="rId27" ref="T27"/>
    <hyperlink r:id="rId28" ref="T28"/>
    <hyperlink r:id="rId29" ref="T29"/>
    <hyperlink r:id="rId30" ref="T30"/>
    <hyperlink r:id="rId31" ref="T31"/>
    <hyperlink r:id="rId32" ref="T32"/>
    <hyperlink r:id="rId33" ref="T33"/>
    <hyperlink r:id="rId34" ref="T34"/>
    <hyperlink r:id="rId35" ref="T35"/>
    <hyperlink r:id="rId36" ref="T36"/>
    <hyperlink r:id="rId37" ref="T37"/>
    <hyperlink r:id="rId38" ref="T38"/>
    <hyperlink r:id="rId39" ref="T39"/>
    <hyperlink r:id="rId40" ref="S40"/>
    <hyperlink r:id="rId41" ref="T40"/>
    <hyperlink r:id="rId42" ref="T41"/>
    <hyperlink r:id="rId43" ref="T42"/>
    <hyperlink r:id="rId44" ref="T43"/>
    <hyperlink r:id="rId45" ref="T44"/>
    <hyperlink r:id="rId46" ref="T45"/>
    <hyperlink r:id="rId47" ref="T46"/>
    <hyperlink r:id="rId48" ref="T47"/>
    <hyperlink r:id="rId49" ref="T48"/>
    <hyperlink r:id="rId50" ref="T49"/>
    <hyperlink r:id="rId51" ref="T50"/>
    <hyperlink r:id="rId52" ref="T51"/>
    <hyperlink r:id="rId53" ref="T52"/>
    <hyperlink r:id="rId54" ref="T53"/>
    <hyperlink r:id="rId55" ref="T54"/>
    <hyperlink r:id="rId56" ref="T55"/>
    <hyperlink r:id="rId57" ref="T56"/>
    <hyperlink r:id="rId58" ref="T59"/>
    <hyperlink r:id="rId59" ref="T60"/>
    <hyperlink r:id="rId60" ref="T61"/>
    <hyperlink r:id="rId61" ref="T62"/>
    <hyperlink r:id="rId62" ref="T63"/>
    <hyperlink r:id="rId63" ref="T64"/>
    <hyperlink r:id="rId64" ref="T65"/>
    <hyperlink r:id="rId65" ref="T66"/>
    <hyperlink r:id="rId66" ref="T67"/>
    <hyperlink r:id="rId67" ref="T68"/>
    <hyperlink r:id="rId68" ref="T69"/>
    <hyperlink r:id="rId69" ref="T70"/>
    <hyperlink r:id="rId70" ref="T71"/>
    <hyperlink r:id="rId71" ref="T72"/>
    <hyperlink r:id="rId72" ref="T73"/>
    <hyperlink r:id="rId73" ref="T74"/>
    <hyperlink r:id="rId74" ref="T75"/>
    <hyperlink r:id="rId75" ref="T76"/>
    <hyperlink r:id="rId76" ref="T77"/>
    <hyperlink r:id="rId77" ref="T78"/>
    <hyperlink r:id="rId78" ref="T79"/>
    <hyperlink r:id="rId79" ref="T80"/>
    <hyperlink r:id="rId80" ref="T81"/>
    <hyperlink r:id="rId81" ref="T82"/>
    <hyperlink r:id="rId82" ref="T83"/>
    <hyperlink r:id="rId83" ref="T84"/>
    <hyperlink r:id="rId84" ref="T85"/>
    <hyperlink r:id="rId85" ref="T86"/>
    <hyperlink r:id="rId86" ref="T87"/>
    <hyperlink r:id="rId87" ref="T88"/>
    <hyperlink r:id="rId88" ref="T89"/>
    <hyperlink r:id="rId89" ref="T91"/>
    <hyperlink r:id="rId90" ref="T92"/>
    <hyperlink r:id="rId91" ref="T93"/>
    <hyperlink r:id="rId92" ref="T94"/>
    <hyperlink r:id="rId93" ref="T95"/>
    <hyperlink r:id="rId94" ref="T96"/>
    <hyperlink r:id="rId95" ref="T97"/>
    <hyperlink r:id="rId96" ref="T98"/>
    <hyperlink r:id="rId97" ref="T99"/>
    <hyperlink r:id="rId98" ref="T100"/>
    <hyperlink r:id="rId99" ref="T102"/>
    <hyperlink r:id="rId100" ref="T103"/>
    <hyperlink r:id="rId101" ref="T104"/>
    <hyperlink r:id="rId102" ref="T105"/>
    <hyperlink r:id="rId103" ref="T106"/>
    <hyperlink r:id="rId104" ref="T107"/>
    <hyperlink r:id="rId105" ref="T108"/>
    <hyperlink r:id="rId106" ref="T109"/>
    <hyperlink r:id="rId107" ref="T110"/>
    <hyperlink r:id="rId108" ref="T111"/>
    <hyperlink r:id="rId109" ref="T112"/>
    <hyperlink r:id="rId110" ref="T113"/>
    <hyperlink r:id="rId111" ref="T114"/>
    <hyperlink r:id="rId112" ref="T115"/>
    <hyperlink r:id="rId113" ref="T116"/>
    <hyperlink r:id="rId114" ref="T117"/>
    <hyperlink r:id="rId115" ref="T119"/>
    <hyperlink r:id="rId116" ref="T120"/>
    <hyperlink r:id="rId117" ref="T121"/>
    <hyperlink r:id="rId118" ref="T122"/>
    <hyperlink r:id="rId119" ref="T123"/>
    <hyperlink r:id="rId120" ref="T124"/>
    <hyperlink r:id="rId121" ref="T125"/>
    <hyperlink r:id="rId122" ref="T126"/>
    <hyperlink r:id="rId123" ref="T127"/>
    <hyperlink r:id="rId124" ref="T128"/>
    <hyperlink r:id="rId125" ref="T129"/>
    <hyperlink r:id="rId126" ref="T130"/>
    <hyperlink r:id="rId127" ref="T131"/>
    <hyperlink r:id="rId128" ref="T132"/>
    <hyperlink r:id="rId129" ref="T133"/>
    <hyperlink r:id="rId130" ref="T134"/>
    <hyperlink r:id="rId131" ref="T135"/>
    <hyperlink r:id="rId132" ref="T136"/>
    <hyperlink r:id="rId133" ref="T137"/>
    <hyperlink r:id="rId134" ref="T138"/>
    <hyperlink r:id="rId135" ref="T139"/>
    <hyperlink r:id="rId136" ref="T140"/>
    <hyperlink r:id="rId137" ref="T141"/>
    <hyperlink r:id="rId138" ref="T142"/>
    <hyperlink r:id="rId139" ref="T143"/>
    <hyperlink r:id="rId140" ref="T144"/>
    <hyperlink r:id="rId141" ref="T145"/>
    <hyperlink r:id="rId142" ref="T146"/>
    <hyperlink r:id="rId143" ref="S147"/>
    <hyperlink r:id="rId144" ref="T147"/>
    <hyperlink r:id="rId145" ref="T148"/>
    <hyperlink r:id="rId146" ref="T149"/>
    <hyperlink r:id="rId147" ref="T150"/>
    <hyperlink r:id="rId148" ref="T151"/>
    <hyperlink r:id="rId149" ref="T153"/>
    <hyperlink r:id="rId150" ref="T154"/>
    <hyperlink r:id="rId151" ref="T155"/>
    <hyperlink r:id="rId152" ref="T156"/>
    <hyperlink r:id="rId153" ref="T157"/>
    <hyperlink r:id="rId154" ref="T158"/>
    <hyperlink r:id="rId155" ref="T159"/>
    <hyperlink r:id="rId156" ref="T160"/>
    <hyperlink r:id="rId157" ref="T161"/>
    <hyperlink r:id="rId158" ref="T162"/>
    <hyperlink r:id="rId159" ref="T163"/>
    <hyperlink r:id="rId160" ref="T164"/>
    <hyperlink r:id="rId161" ref="T165"/>
    <hyperlink r:id="rId162" ref="T166"/>
    <hyperlink r:id="rId163" ref="T167"/>
    <hyperlink r:id="rId164" ref="T168"/>
    <hyperlink r:id="rId165" ref="T169"/>
    <hyperlink r:id="rId166" ref="T170"/>
    <hyperlink r:id="rId167" ref="T171"/>
    <hyperlink r:id="rId168" ref="T172"/>
    <hyperlink r:id="rId169" ref="T173"/>
    <hyperlink r:id="rId170" ref="T174"/>
    <hyperlink r:id="rId171" ref="T175"/>
    <hyperlink r:id="rId172" ref="T176"/>
    <hyperlink r:id="rId173" ref="T177"/>
    <hyperlink r:id="rId174" ref="T178"/>
    <hyperlink r:id="rId175" ref="T179"/>
    <hyperlink r:id="rId176" ref="T180"/>
    <hyperlink r:id="rId177" ref="T181"/>
    <hyperlink r:id="rId178" ref="T182"/>
    <hyperlink r:id="rId179" ref="T183"/>
    <hyperlink r:id="rId180" ref="T184"/>
    <hyperlink r:id="rId181" ref="T185"/>
    <hyperlink r:id="rId182" ref="T186"/>
    <hyperlink r:id="rId183" ref="T187"/>
    <hyperlink r:id="rId184" ref="T188"/>
    <hyperlink r:id="rId185" ref="T189"/>
    <hyperlink r:id="rId186" ref="T190"/>
    <hyperlink r:id="rId187" ref="T191"/>
    <hyperlink r:id="rId188" ref="T192"/>
    <hyperlink r:id="rId189" ref="T193"/>
    <hyperlink r:id="rId190" ref="T194"/>
    <hyperlink r:id="rId191" ref="T195"/>
    <hyperlink r:id="rId192" ref="T196"/>
    <hyperlink r:id="rId193" ref="T197"/>
    <hyperlink r:id="rId194" ref="T198"/>
    <hyperlink r:id="rId195" ref="T199"/>
    <hyperlink r:id="rId196" ref="T200"/>
    <hyperlink r:id="rId197" ref="T201"/>
    <hyperlink r:id="rId198" ref="T202"/>
    <hyperlink r:id="rId199" ref="T203"/>
    <hyperlink r:id="rId200" ref="T204"/>
    <hyperlink r:id="rId201" ref="T205"/>
    <hyperlink r:id="rId202" ref="T206"/>
    <hyperlink r:id="rId203" ref="T207"/>
    <hyperlink r:id="rId204" ref="T208"/>
    <hyperlink r:id="rId205" ref="T209"/>
    <hyperlink r:id="rId206" ref="T210"/>
    <hyperlink r:id="rId207" ref="T211"/>
    <hyperlink r:id="rId208" ref="T212"/>
    <hyperlink r:id="rId209" ref="T213"/>
    <hyperlink r:id="rId210" ref="T214"/>
    <hyperlink r:id="rId211" ref="T215"/>
    <hyperlink r:id="rId212" ref="T216"/>
    <hyperlink r:id="rId213" ref="T217"/>
    <hyperlink r:id="rId214" ref="T218"/>
    <hyperlink r:id="rId215" ref="T219"/>
    <hyperlink r:id="rId216" ref="T220"/>
    <hyperlink r:id="rId217" ref="T221"/>
    <hyperlink r:id="rId218" ref="T222"/>
    <hyperlink r:id="rId219" ref="T223"/>
    <hyperlink r:id="rId220" ref="T224"/>
    <hyperlink r:id="rId221" ref="T225"/>
    <hyperlink r:id="rId222" ref="T226"/>
    <hyperlink r:id="rId223" ref="T227"/>
    <hyperlink r:id="rId224" ref="T228"/>
    <hyperlink r:id="rId225" ref="T229"/>
    <hyperlink r:id="rId226" ref="T230"/>
    <hyperlink r:id="rId227" ref="T231"/>
    <hyperlink r:id="rId228" ref="T232"/>
    <hyperlink r:id="rId229" ref="T233"/>
    <hyperlink r:id="rId230" ref="T234"/>
    <hyperlink r:id="rId231" ref="T235"/>
    <hyperlink r:id="rId232" ref="S236"/>
    <hyperlink r:id="rId233" ref="T236"/>
    <hyperlink r:id="rId234" ref="T237"/>
    <hyperlink r:id="rId235" ref="T238"/>
    <hyperlink r:id="rId236" ref="T239"/>
    <hyperlink r:id="rId237" ref="T240"/>
    <hyperlink r:id="rId238" ref="T241"/>
    <hyperlink r:id="rId239" ref="T242"/>
    <hyperlink r:id="rId240" ref="T243"/>
    <hyperlink r:id="rId241" ref="T244"/>
    <hyperlink r:id="rId242" ref="T245"/>
    <hyperlink r:id="rId243" ref="T246"/>
    <hyperlink r:id="rId244" ref="T247"/>
    <hyperlink r:id="rId245" ref="T248"/>
    <hyperlink r:id="rId246" ref="T249"/>
    <hyperlink r:id="rId247" ref="T250"/>
    <hyperlink r:id="rId248" ref="T251"/>
    <hyperlink r:id="rId249" ref="T252"/>
    <hyperlink r:id="rId250" ref="T253"/>
    <hyperlink r:id="rId251" ref="T254"/>
    <hyperlink r:id="rId252" ref="T255"/>
    <hyperlink r:id="rId253" ref="T256"/>
    <hyperlink r:id="rId254" ref="T257"/>
    <hyperlink r:id="rId255" ref="T258"/>
    <hyperlink r:id="rId256" ref="T259"/>
    <hyperlink r:id="rId257" ref="T260"/>
    <hyperlink r:id="rId258" ref="T261"/>
    <hyperlink r:id="rId259" ref="T262"/>
    <hyperlink r:id="rId260" ref="T263"/>
    <hyperlink r:id="rId261" ref="T264"/>
    <hyperlink r:id="rId262" ref="T265"/>
    <hyperlink r:id="rId263" ref="T266"/>
    <hyperlink r:id="rId264" ref="T267"/>
    <hyperlink r:id="rId265" ref="T268"/>
    <hyperlink r:id="rId266" ref="T269"/>
    <hyperlink r:id="rId267" ref="T270"/>
    <hyperlink r:id="rId268" ref="T271"/>
    <hyperlink r:id="rId269" ref="T272"/>
    <hyperlink r:id="rId270" ref="T274"/>
    <hyperlink r:id="rId271" ref="T276"/>
    <hyperlink r:id="rId272" ref="T277"/>
    <hyperlink r:id="rId273" ref="T278"/>
    <hyperlink r:id="rId274" ref="T279"/>
    <hyperlink r:id="rId275" ref="T280"/>
    <hyperlink r:id="rId276" ref="S281"/>
    <hyperlink r:id="rId277" ref="T281"/>
    <hyperlink r:id="rId278" ref="T282"/>
    <hyperlink r:id="rId279" ref="T283"/>
    <hyperlink r:id="rId280" ref="T284"/>
    <hyperlink r:id="rId281" ref="T285"/>
    <hyperlink r:id="rId282" ref="T286"/>
    <hyperlink r:id="rId283" ref="T287"/>
    <hyperlink r:id="rId284" ref="T288"/>
    <hyperlink r:id="rId285" ref="T289"/>
    <hyperlink r:id="rId286" ref="T290"/>
    <hyperlink r:id="rId287" ref="T291"/>
    <hyperlink r:id="rId288" ref="T292"/>
    <hyperlink r:id="rId289" ref="T293"/>
    <hyperlink r:id="rId290" ref="T294"/>
    <hyperlink r:id="rId291" ref="T295"/>
    <hyperlink r:id="rId292" ref="T296"/>
    <hyperlink r:id="rId293" ref="T297"/>
    <hyperlink r:id="rId294" ref="T298"/>
    <hyperlink r:id="rId295" ref="T299"/>
    <hyperlink r:id="rId296" ref="T300"/>
    <hyperlink r:id="rId297" ref="T301"/>
    <hyperlink r:id="rId298" ref="T302"/>
    <hyperlink r:id="rId299" ref="T303"/>
    <hyperlink r:id="rId300" ref="T304"/>
    <hyperlink r:id="rId301" ref="T305"/>
    <hyperlink r:id="rId302" ref="T306"/>
    <hyperlink r:id="rId303" ref="T307"/>
    <hyperlink r:id="rId304" ref="T308"/>
    <hyperlink r:id="rId305" ref="T309"/>
    <hyperlink r:id="rId306" ref="T310"/>
    <hyperlink r:id="rId307" ref="T311"/>
    <hyperlink r:id="rId308" ref="T312"/>
    <hyperlink r:id="rId309" ref="T313"/>
    <hyperlink r:id="rId310" ref="T314"/>
    <hyperlink r:id="rId311" ref="T315"/>
    <hyperlink r:id="rId312" ref="S316"/>
    <hyperlink r:id="rId313" ref="T316"/>
    <hyperlink r:id="rId314" ref="T317"/>
    <hyperlink r:id="rId315" ref="T318"/>
    <hyperlink r:id="rId316" ref="T319"/>
    <hyperlink r:id="rId317" ref="T320"/>
    <hyperlink r:id="rId318" ref="T321"/>
    <hyperlink r:id="rId319" ref="T322"/>
    <hyperlink r:id="rId320" ref="T323"/>
    <hyperlink r:id="rId321" ref="T324"/>
    <hyperlink r:id="rId322" ref="T325"/>
    <hyperlink r:id="rId323" ref="T326"/>
    <hyperlink r:id="rId324" ref="T327"/>
    <hyperlink r:id="rId325" ref="T328"/>
    <hyperlink r:id="rId326" ref="T329"/>
    <hyperlink r:id="rId327" ref="T330"/>
    <hyperlink r:id="rId328" ref="T331"/>
    <hyperlink r:id="rId329" ref="T332"/>
    <hyperlink r:id="rId330" ref="T333"/>
    <hyperlink r:id="rId331" ref="T334"/>
    <hyperlink r:id="rId332" ref="T335"/>
    <hyperlink r:id="rId333" ref="T336"/>
    <hyperlink r:id="rId334" ref="T337"/>
    <hyperlink r:id="rId335" ref="T338"/>
    <hyperlink r:id="rId336" ref="T339"/>
    <hyperlink r:id="rId337" ref="T340"/>
    <hyperlink r:id="rId338" ref="T341"/>
    <hyperlink r:id="rId339" ref="T342"/>
    <hyperlink r:id="rId340" ref="T343"/>
    <hyperlink r:id="rId341" ref="T344"/>
    <hyperlink r:id="rId342" ref="T345"/>
    <hyperlink r:id="rId343" ref="T346"/>
    <hyperlink r:id="rId344" ref="T347"/>
    <hyperlink r:id="rId345" ref="T348"/>
    <hyperlink r:id="rId346" ref="T349"/>
    <hyperlink r:id="rId347" ref="T350"/>
    <hyperlink r:id="rId348" ref="T351"/>
    <hyperlink r:id="rId349" ref="T352"/>
    <hyperlink r:id="rId350" ref="T353"/>
    <hyperlink r:id="rId351" ref="T354"/>
    <hyperlink r:id="rId352" ref="T355"/>
    <hyperlink r:id="rId353" ref="T356"/>
    <hyperlink r:id="rId354" ref="T357"/>
    <hyperlink r:id="rId355" ref="T358"/>
    <hyperlink r:id="rId356" ref="T359"/>
    <hyperlink r:id="rId357" ref="T360"/>
    <hyperlink r:id="rId358" ref="T361"/>
    <hyperlink r:id="rId359" ref="T362"/>
    <hyperlink r:id="rId360" ref="T363"/>
    <hyperlink r:id="rId361" ref="T364"/>
    <hyperlink r:id="rId362" ref="T365"/>
    <hyperlink r:id="rId363" ref="T366"/>
    <hyperlink r:id="rId364" ref="T367"/>
    <hyperlink r:id="rId365" ref="T369"/>
    <hyperlink r:id="rId366" ref="T370"/>
    <hyperlink r:id="rId367" ref="T371"/>
    <hyperlink r:id="rId368" ref="T372"/>
    <hyperlink r:id="rId369" ref="T373"/>
    <hyperlink r:id="rId370" ref="T374"/>
    <hyperlink r:id="rId371" ref="T375"/>
    <hyperlink r:id="rId372" ref="T376"/>
    <hyperlink r:id="rId373" ref="T377"/>
    <hyperlink r:id="rId374" ref="T378"/>
    <hyperlink r:id="rId375" ref="T379"/>
    <hyperlink r:id="rId376" ref="T380"/>
    <hyperlink r:id="rId377" ref="T381"/>
    <hyperlink r:id="rId378" ref="T382"/>
    <hyperlink r:id="rId379" ref="T383"/>
    <hyperlink r:id="rId380" ref="T384"/>
    <hyperlink r:id="rId381" ref="T385"/>
    <hyperlink r:id="rId382" ref="T386"/>
    <hyperlink r:id="rId383" ref="T387"/>
    <hyperlink r:id="rId384" ref="T388"/>
    <hyperlink r:id="rId385" ref="T389"/>
    <hyperlink r:id="rId386" ref="S390"/>
    <hyperlink r:id="rId387" ref="T390"/>
    <hyperlink r:id="rId388" ref="T391"/>
    <hyperlink r:id="rId389" ref="T392"/>
    <hyperlink r:id="rId390" ref="T393"/>
    <hyperlink r:id="rId391" ref="T394"/>
    <hyperlink r:id="rId392" ref="T395"/>
    <hyperlink r:id="rId393" ref="T396"/>
    <hyperlink r:id="rId394" ref="T397"/>
    <hyperlink r:id="rId395" ref="T398"/>
    <hyperlink r:id="rId396" ref="T399"/>
    <hyperlink r:id="rId397" ref="T400"/>
    <hyperlink r:id="rId398" ref="T401"/>
    <hyperlink r:id="rId399" ref="T402"/>
    <hyperlink r:id="rId400" ref="T403"/>
    <hyperlink r:id="rId401" ref="T404"/>
    <hyperlink r:id="rId402" ref="T405"/>
    <hyperlink r:id="rId403" ref="T406"/>
    <hyperlink r:id="rId404" ref="T407"/>
    <hyperlink r:id="rId405" ref="T408"/>
    <hyperlink r:id="rId406" ref="T409"/>
    <hyperlink r:id="rId407" ref="T410"/>
    <hyperlink r:id="rId408" ref="T411"/>
    <hyperlink r:id="rId409" ref="T412"/>
    <hyperlink r:id="rId410" ref="T413"/>
    <hyperlink r:id="rId411" ref="T414"/>
    <hyperlink r:id="rId412" ref="T415"/>
    <hyperlink r:id="rId413" ref="T416"/>
    <hyperlink r:id="rId414" ref="T417"/>
    <hyperlink r:id="rId415" ref="T418"/>
    <hyperlink r:id="rId416" ref="T419"/>
    <hyperlink r:id="rId417" ref="S420"/>
    <hyperlink r:id="rId418" ref="T420"/>
    <hyperlink r:id="rId419" ref="T421"/>
    <hyperlink r:id="rId420" ref="T422"/>
    <hyperlink r:id="rId421" ref="T423"/>
    <hyperlink r:id="rId422" ref="T424"/>
    <hyperlink r:id="rId423" ref="T425"/>
    <hyperlink r:id="rId424" ref="T426"/>
    <hyperlink r:id="rId425" ref="T427"/>
    <hyperlink r:id="rId426" ref="T428"/>
    <hyperlink r:id="rId427" ref="T429"/>
    <hyperlink r:id="rId428" ref="T430"/>
    <hyperlink r:id="rId429" ref="T431"/>
    <hyperlink r:id="rId430" ref="T432"/>
    <hyperlink r:id="rId431" ref="T433"/>
    <hyperlink r:id="rId432" ref="T434"/>
    <hyperlink r:id="rId433" ref="T435"/>
    <hyperlink r:id="rId434" ref="T436"/>
    <hyperlink r:id="rId435" ref="T437"/>
    <hyperlink r:id="rId436" ref="T438"/>
    <hyperlink r:id="rId437" ref="T439"/>
    <hyperlink r:id="rId438" ref="T440"/>
    <hyperlink r:id="rId439" ref="T441"/>
    <hyperlink r:id="rId440" ref="T442"/>
    <hyperlink r:id="rId441" ref="T443"/>
    <hyperlink r:id="rId442" ref="T444"/>
    <hyperlink r:id="rId443" ref="T445"/>
    <hyperlink r:id="rId444" ref="T446"/>
    <hyperlink r:id="rId445" ref="T447"/>
    <hyperlink r:id="rId446" ref="T448"/>
    <hyperlink r:id="rId447" ref="T449"/>
    <hyperlink r:id="rId448" ref="T450"/>
    <hyperlink r:id="rId449" ref="T451"/>
    <hyperlink r:id="rId450" ref="T452"/>
    <hyperlink r:id="rId451" ref="T453"/>
    <hyperlink r:id="rId452" ref="T454"/>
    <hyperlink r:id="rId453" ref="T455"/>
    <hyperlink r:id="rId454" ref="T456"/>
    <hyperlink r:id="rId455" ref="T457"/>
    <hyperlink r:id="rId456" ref="T458"/>
    <hyperlink r:id="rId457" ref="T459"/>
    <hyperlink r:id="rId458" ref="T460"/>
    <hyperlink r:id="rId459" ref="T461"/>
    <hyperlink r:id="rId460" ref="T462"/>
    <hyperlink r:id="rId461" ref="T463"/>
    <hyperlink r:id="rId462" ref="T464"/>
    <hyperlink r:id="rId463" ref="T465"/>
    <hyperlink r:id="rId464" ref="T466"/>
    <hyperlink r:id="rId465" ref="T467"/>
    <hyperlink r:id="rId466" ref="T468"/>
    <hyperlink r:id="rId467" ref="T469"/>
    <hyperlink r:id="rId468" ref="S470"/>
    <hyperlink r:id="rId469" ref="T470"/>
    <hyperlink r:id="rId470" ref="T471"/>
    <hyperlink r:id="rId471" ref="T472"/>
    <hyperlink r:id="rId472" ref="T473"/>
    <hyperlink r:id="rId473" ref="T474"/>
    <hyperlink r:id="rId474" ref="T475"/>
    <hyperlink r:id="rId475" ref="T476"/>
    <hyperlink r:id="rId476" ref="T477"/>
    <hyperlink r:id="rId477" ref="T478"/>
    <hyperlink r:id="rId478" ref="T479"/>
    <hyperlink r:id="rId479" ref="T480"/>
    <hyperlink r:id="rId480" ref="T481"/>
    <hyperlink r:id="rId481" ref="T482"/>
    <hyperlink r:id="rId482" ref="T483"/>
    <hyperlink r:id="rId483" ref="T484"/>
    <hyperlink r:id="rId484" ref="S485"/>
    <hyperlink r:id="rId485" ref="T485"/>
    <hyperlink r:id="rId486" ref="S486"/>
    <hyperlink r:id="rId487" ref="T486"/>
    <hyperlink r:id="rId488" ref="T487"/>
    <hyperlink r:id="rId489" ref="T488"/>
    <hyperlink r:id="rId490" ref="T489"/>
    <hyperlink r:id="rId491" ref="T490"/>
    <hyperlink r:id="rId492" ref="T491"/>
    <hyperlink r:id="rId493" ref="T492"/>
    <hyperlink r:id="rId494" ref="T493"/>
    <hyperlink r:id="rId495" ref="T494"/>
    <hyperlink r:id="rId496" ref="T496"/>
    <hyperlink r:id="rId497" ref="T497"/>
    <hyperlink r:id="rId498" ref="T498"/>
    <hyperlink r:id="rId499" ref="T499"/>
    <hyperlink r:id="rId500" ref="T500"/>
    <hyperlink r:id="rId501" ref="T501"/>
    <hyperlink r:id="rId502" ref="T502"/>
    <hyperlink r:id="rId503" ref="T503"/>
    <hyperlink r:id="rId504" ref="T504"/>
    <hyperlink r:id="rId505" ref="T505"/>
    <hyperlink r:id="rId506" ref="T506"/>
    <hyperlink r:id="rId507" ref="T507"/>
    <hyperlink r:id="rId508" ref="T508"/>
    <hyperlink r:id="rId509" ref="T509"/>
    <hyperlink r:id="rId510" ref="T510"/>
    <hyperlink r:id="rId511" ref="T511"/>
    <hyperlink r:id="rId512" ref="T512"/>
    <hyperlink r:id="rId513" ref="T513"/>
    <hyperlink r:id="rId514" ref="T514"/>
    <hyperlink r:id="rId515" ref="T515"/>
    <hyperlink r:id="rId516" ref="T516"/>
    <hyperlink r:id="rId517" ref="T517"/>
    <hyperlink r:id="rId518" ref="T518"/>
    <hyperlink r:id="rId519" ref="T519"/>
    <hyperlink r:id="rId520" ref="T520"/>
    <hyperlink r:id="rId521" ref="T521"/>
    <hyperlink r:id="rId522" ref="T522"/>
    <hyperlink r:id="rId523" ref="T524"/>
    <hyperlink r:id="rId524" ref="T525"/>
    <hyperlink r:id="rId525" ref="T526"/>
    <hyperlink r:id="rId526" ref="T527"/>
    <hyperlink r:id="rId527" ref="T528"/>
    <hyperlink r:id="rId528" ref="T529"/>
    <hyperlink r:id="rId529" ref="T530"/>
    <hyperlink r:id="rId530" ref="T531"/>
    <hyperlink r:id="rId531" ref="T532"/>
    <hyperlink r:id="rId532" ref="T533"/>
    <hyperlink r:id="rId533" ref="T534"/>
    <hyperlink r:id="rId534" ref="T535"/>
    <hyperlink r:id="rId535" ref="T536"/>
    <hyperlink r:id="rId536" ref="T537"/>
    <hyperlink r:id="rId537" ref="T538"/>
    <hyperlink r:id="rId538" ref="T539"/>
    <hyperlink r:id="rId539" ref="T540"/>
    <hyperlink r:id="rId540" ref="T541"/>
    <hyperlink r:id="rId541" ref="T542"/>
    <hyperlink r:id="rId542" ref="T543"/>
    <hyperlink r:id="rId543" ref="T544"/>
    <hyperlink r:id="rId544" ref="T545"/>
    <hyperlink r:id="rId545" ref="T546"/>
    <hyperlink r:id="rId546" ref="T547"/>
    <hyperlink r:id="rId547" ref="T548"/>
    <hyperlink r:id="rId548" ref="T549"/>
    <hyperlink r:id="rId549" ref="T550"/>
    <hyperlink r:id="rId550" ref="T551"/>
    <hyperlink r:id="rId551" ref="T552"/>
    <hyperlink r:id="rId552" ref="T553"/>
    <hyperlink r:id="rId553" ref="T554"/>
    <hyperlink r:id="rId554" ref="T555"/>
    <hyperlink r:id="rId555" ref="T556"/>
    <hyperlink r:id="rId556" ref="T557"/>
    <hyperlink r:id="rId557" ref="T558"/>
    <hyperlink r:id="rId558" ref="T560"/>
    <hyperlink r:id="rId559" ref="T561"/>
    <hyperlink r:id="rId560" ref="T562"/>
    <hyperlink r:id="rId561" ref="T563"/>
    <hyperlink r:id="rId562" ref="T564"/>
    <hyperlink r:id="rId563" ref="T566"/>
    <hyperlink r:id="rId564" ref="T567"/>
    <hyperlink r:id="rId565" ref="T568"/>
    <hyperlink r:id="rId566" ref="T569"/>
    <hyperlink r:id="rId567" ref="T570"/>
    <hyperlink r:id="rId568" ref="T571"/>
    <hyperlink r:id="rId569" ref="T572"/>
    <hyperlink r:id="rId570" ref="T573"/>
    <hyperlink r:id="rId571" ref="T574"/>
    <hyperlink r:id="rId572" ref="T575"/>
    <hyperlink r:id="rId573" ref="T576"/>
    <hyperlink r:id="rId574" ref="T577"/>
    <hyperlink r:id="rId575" ref="T578"/>
    <hyperlink r:id="rId576" ref="T579"/>
    <hyperlink r:id="rId577" ref="T580"/>
    <hyperlink r:id="rId578" ref="T581"/>
    <hyperlink r:id="rId579" ref="T582"/>
    <hyperlink r:id="rId580" ref="T583"/>
    <hyperlink r:id="rId581" ref="T584"/>
    <hyperlink r:id="rId582" ref="T585"/>
    <hyperlink r:id="rId583" ref="T586"/>
    <hyperlink r:id="rId584" ref="T587"/>
    <hyperlink r:id="rId585" ref="T588"/>
    <hyperlink r:id="rId586" ref="T589"/>
    <hyperlink r:id="rId587" ref="T590"/>
    <hyperlink r:id="rId588" ref="T591"/>
    <hyperlink r:id="rId589" ref="T592"/>
    <hyperlink r:id="rId590" ref="T593"/>
    <hyperlink r:id="rId591" ref="T594"/>
    <hyperlink r:id="rId592" ref="T595"/>
    <hyperlink r:id="rId593" ref="T596"/>
    <hyperlink r:id="rId594" ref="T597"/>
    <hyperlink r:id="rId595" ref="T598"/>
    <hyperlink r:id="rId596" ref="T599"/>
    <hyperlink r:id="rId597" ref="T600"/>
    <hyperlink r:id="rId598" ref="T601"/>
    <hyperlink r:id="rId599" ref="T602"/>
    <hyperlink r:id="rId600" ref="T603"/>
    <hyperlink r:id="rId601" ref="T604"/>
    <hyperlink r:id="rId602" ref="T605"/>
    <hyperlink r:id="rId603" ref="T606"/>
    <hyperlink r:id="rId604" ref="T607"/>
    <hyperlink r:id="rId605" ref="T608"/>
    <hyperlink r:id="rId606" ref="T609"/>
    <hyperlink r:id="rId607" ref="T610"/>
    <hyperlink r:id="rId608" ref="T611"/>
    <hyperlink r:id="rId609" ref="T612"/>
    <hyperlink r:id="rId610" ref="T613"/>
    <hyperlink r:id="rId611" ref="T614"/>
    <hyperlink r:id="rId612" ref="T615"/>
    <hyperlink r:id="rId613" ref="T616"/>
    <hyperlink r:id="rId614" ref="T617"/>
    <hyperlink r:id="rId615" ref="T618"/>
    <hyperlink r:id="rId616" ref="T619"/>
    <hyperlink r:id="rId617" ref="T620"/>
    <hyperlink r:id="rId618" ref="T621"/>
    <hyperlink r:id="rId619" ref="T622"/>
    <hyperlink r:id="rId620" ref="T623"/>
    <hyperlink r:id="rId621" ref="T624"/>
    <hyperlink r:id="rId622" ref="T625"/>
    <hyperlink r:id="rId623" ref="T626"/>
    <hyperlink r:id="rId624" ref="T627"/>
    <hyperlink r:id="rId625" ref="T628"/>
    <hyperlink r:id="rId626" ref="T629"/>
    <hyperlink r:id="rId627" ref="T630"/>
    <hyperlink r:id="rId628" ref="T631"/>
    <hyperlink r:id="rId629" ref="T632"/>
    <hyperlink r:id="rId630" ref="T633"/>
    <hyperlink r:id="rId631" ref="T634"/>
    <hyperlink r:id="rId632" ref="T635"/>
    <hyperlink r:id="rId633" ref="T636"/>
    <hyperlink r:id="rId634" ref="T637"/>
    <hyperlink r:id="rId635" ref="T638"/>
    <hyperlink r:id="rId636" ref="T639"/>
    <hyperlink r:id="rId637" ref="T640"/>
    <hyperlink r:id="rId638" ref="T641"/>
    <hyperlink r:id="rId639" ref="T642"/>
    <hyperlink r:id="rId640" ref="T643"/>
    <hyperlink r:id="rId641" ref="T644"/>
    <hyperlink r:id="rId642" ref="T645"/>
    <hyperlink r:id="rId643" ref="T646"/>
    <hyperlink r:id="rId644" ref="T647"/>
    <hyperlink r:id="rId645" ref="T648"/>
    <hyperlink r:id="rId646" ref="T649"/>
    <hyperlink r:id="rId647" ref="T650"/>
    <hyperlink r:id="rId648" ref="T651"/>
    <hyperlink r:id="rId649" ref="T652"/>
    <hyperlink r:id="rId650" ref="T653"/>
    <hyperlink r:id="rId651" ref="T654"/>
    <hyperlink r:id="rId652" ref="T655"/>
    <hyperlink r:id="rId653" ref="T656"/>
    <hyperlink r:id="rId654" ref="T657"/>
    <hyperlink r:id="rId655" ref="T658"/>
    <hyperlink r:id="rId656" ref="T659"/>
    <hyperlink r:id="rId657" ref="T660"/>
    <hyperlink r:id="rId658" ref="T661"/>
    <hyperlink r:id="rId659" ref="T662"/>
    <hyperlink r:id="rId660" ref="T663"/>
    <hyperlink r:id="rId661" ref="T664"/>
    <hyperlink r:id="rId662" ref="T665"/>
    <hyperlink r:id="rId663" ref="T666"/>
    <hyperlink r:id="rId664" ref="T667"/>
    <hyperlink r:id="rId665" ref="T668"/>
    <hyperlink r:id="rId666" ref="T669"/>
    <hyperlink r:id="rId667" ref="T670"/>
    <hyperlink r:id="rId668" ref="T671"/>
    <hyperlink r:id="rId669" ref="T672"/>
    <hyperlink r:id="rId670" ref="T673"/>
    <hyperlink r:id="rId671" ref="T674"/>
    <hyperlink r:id="rId672" ref="T675"/>
    <hyperlink r:id="rId673" ref="T676"/>
    <hyperlink r:id="rId674" ref="T677"/>
    <hyperlink r:id="rId675" ref="T678"/>
    <hyperlink r:id="rId676" ref="T679"/>
    <hyperlink r:id="rId677" ref="T680"/>
    <hyperlink r:id="rId678" ref="T681"/>
    <hyperlink r:id="rId679" ref="T682"/>
    <hyperlink r:id="rId680" ref="T683"/>
    <hyperlink r:id="rId681" ref="T684"/>
    <hyperlink r:id="rId682" ref="T685"/>
    <hyperlink r:id="rId683" ref="T686"/>
    <hyperlink r:id="rId684" ref="T687"/>
    <hyperlink r:id="rId685" ref="T688"/>
    <hyperlink r:id="rId686" ref="T689"/>
    <hyperlink r:id="rId687" ref="T690"/>
    <hyperlink r:id="rId688" ref="T691"/>
    <hyperlink r:id="rId689" ref="T692"/>
    <hyperlink r:id="rId690" ref="T693"/>
    <hyperlink r:id="rId691" ref="T694"/>
    <hyperlink r:id="rId692" ref="T695"/>
    <hyperlink r:id="rId693" ref="T696"/>
    <hyperlink r:id="rId694" ref="T697"/>
    <hyperlink r:id="rId695" ref="T698"/>
    <hyperlink r:id="rId696" ref="T699"/>
    <hyperlink r:id="rId697" ref="T700"/>
    <hyperlink r:id="rId698" ref="T701"/>
    <hyperlink r:id="rId699" ref="S702"/>
    <hyperlink r:id="rId700" ref="T702"/>
    <hyperlink r:id="rId701" ref="T703"/>
    <hyperlink r:id="rId702" ref="T704"/>
    <hyperlink r:id="rId703" ref="T705"/>
    <hyperlink r:id="rId704" ref="T706"/>
    <hyperlink r:id="rId705" ref="T707"/>
    <hyperlink r:id="rId706" ref="T708"/>
    <hyperlink r:id="rId707" ref="T709"/>
    <hyperlink r:id="rId708" ref="T710"/>
    <hyperlink r:id="rId709" ref="T711"/>
    <hyperlink r:id="rId710" ref="T712"/>
    <hyperlink r:id="rId711" ref="T713"/>
    <hyperlink r:id="rId712" ref="T714"/>
    <hyperlink r:id="rId713" ref="T715"/>
    <hyperlink r:id="rId714" ref="T716"/>
    <hyperlink r:id="rId715" ref="T717"/>
    <hyperlink r:id="rId716" ref="T718"/>
    <hyperlink r:id="rId717" ref="T719"/>
    <hyperlink r:id="rId718" ref="T720"/>
    <hyperlink r:id="rId719" ref="T721"/>
    <hyperlink r:id="rId720" ref="S722"/>
    <hyperlink r:id="rId721" ref="T722"/>
    <hyperlink r:id="rId722" ref="T723"/>
    <hyperlink r:id="rId723" ref="T724"/>
    <hyperlink r:id="rId724" ref="T725"/>
    <hyperlink r:id="rId725" ref="T726"/>
    <hyperlink r:id="rId726" ref="T727"/>
    <hyperlink r:id="rId727" ref="T728"/>
    <hyperlink r:id="rId728" ref="T729"/>
    <hyperlink r:id="rId729" ref="T730"/>
    <hyperlink r:id="rId730" ref="T731"/>
    <hyperlink r:id="rId731" ref="T732"/>
    <hyperlink r:id="rId732" ref="T733"/>
    <hyperlink r:id="rId733" ref="T734"/>
    <hyperlink r:id="rId734" ref="T735"/>
    <hyperlink r:id="rId735" ref="T736"/>
    <hyperlink r:id="rId736" ref="T737"/>
    <hyperlink r:id="rId737" ref="T738"/>
    <hyperlink r:id="rId738" ref="T739"/>
    <hyperlink r:id="rId739" ref="T740"/>
    <hyperlink r:id="rId740" ref="T741"/>
    <hyperlink r:id="rId741" ref="T742"/>
    <hyperlink r:id="rId742" ref="T743"/>
    <hyperlink r:id="rId743" ref="T744"/>
    <hyperlink r:id="rId744" ref="T745"/>
    <hyperlink r:id="rId745" ref="T746"/>
    <hyperlink r:id="rId746" ref="T747"/>
    <hyperlink r:id="rId747" ref="T748"/>
    <hyperlink r:id="rId748" ref="T749"/>
    <hyperlink r:id="rId749" ref="T750"/>
    <hyperlink r:id="rId750" ref="T751"/>
    <hyperlink r:id="rId751" ref="T752"/>
    <hyperlink r:id="rId752" ref="T753"/>
    <hyperlink r:id="rId753" ref="T754"/>
    <hyperlink r:id="rId754" ref="T755"/>
    <hyperlink r:id="rId755" ref="T756"/>
    <hyperlink r:id="rId756" ref="T757"/>
    <hyperlink r:id="rId757" ref="T758"/>
    <hyperlink r:id="rId758" ref="T759"/>
    <hyperlink r:id="rId759" ref="T760"/>
    <hyperlink r:id="rId760" ref="T762"/>
    <hyperlink r:id="rId761" ref="T764"/>
    <hyperlink r:id="rId762" ref="T765"/>
    <hyperlink r:id="rId763" ref="T766"/>
    <hyperlink r:id="rId764" ref="T767"/>
    <hyperlink r:id="rId765" ref="T768"/>
    <hyperlink r:id="rId766" ref="T769"/>
    <hyperlink r:id="rId767" ref="T770"/>
    <hyperlink r:id="rId768" ref="T771"/>
    <hyperlink r:id="rId769" ref="T772"/>
    <hyperlink r:id="rId770" ref="T773"/>
    <hyperlink r:id="rId771" ref="T774"/>
    <hyperlink r:id="rId772" ref="T775"/>
    <hyperlink r:id="rId773" ref="T776"/>
    <hyperlink r:id="rId774" ref="T777"/>
    <hyperlink r:id="rId775" ref="T778"/>
    <hyperlink r:id="rId776" ref="T779"/>
    <hyperlink r:id="rId777" ref="T780"/>
    <hyperlink r:id="rId778" ref="T781"/>
    <hyperlink r:id="rId779" ref="T782"/>
    <hyperlink r:id="rId780" ref="T783"/>
    <hyperlink r:id="rId781" ref="T784"/>
    <hyperlink r:id="rId782" ref="T785"/>
    <hyperlink r:id="rId783" ref="T786"/>
    <hyperlink r:id="rId784" ref="T787"/>
    <hyperlink r:id="rId785" ref="T788"/>
    <hyperlink r:id="rId786" ref="T789"/>
    <hyperlink r:id="rId787" ref="T790"/>
    <hyperlink r:id="rId788" ref="T791"/>
    <hyperlink r:id="rId789" ref="S792"/>
    <hyperlink r:id="rId790" ref="T792"/>
    <hyperlink r:id="rId791" ref="T793"/>
    <hyperlink r:id="rId792" ref="T794"/>
    <hyperlink r:id="rId793" ref="T795"/>
    <hyperlink r:id="rId794" ref="T796"/>
    <hyperlink r:id="rId795" ref="T797"/>
    <hyperlink r:id="rId796" ref="T798"/>
    <hyperlink r:id="rId797" ref="T799"/>
    <hyperlink r:id="rId798" ref="T800"/>
    <hyperlink r:id="rId799" ref="T801"/>
    <hyperlink r:id="rId800" ref="T802"/>
    <hyperlink r:id="rId801" ref="T803"/>
    <hyperlink r:id="rId802" ref="T804"/>
    <hyperlink r:id="rId803" ref="T805"/>
    <hyperlink r:id="rId804" ref="T806"/>
    <hyperlink r:id="rId805" ref="T807"/>
    <hyperlink r:id="rId806" ref="T808"/>
    <hyperlink r:id="rId807" ref="T809"/>
    <hyperlink r:id="rId808" ref="T810"/>
    <hyperlink r:id="rId809" ref="T811"/>
    <hyperlink r:id="rId810" ref="T812"/>
    <hyperlink r:id="rId811" ref="T813"/>
    <hyperlink r:id="rId812" ref="T814"/>
    <hyperlink r:id="rId813" ref="T815"/>
    <hyperlink r:id="rId814" ref="S816"/>
    <hyperlink r:id="rId815" ref="T816"/>
    <hyperlink r:id="rId816" ref="T818"/>
    <hyperlink r:id="rId817" ref="T819"/>
    <hyperlink r:id="rId818" ref="T820"/>
    <hyperlink r:id="rId819" ref="T821"/>
    <hyperlink r:id="rId820" ref="T822"/>
    <hyperlink r:id="rId821" ref="T823"/>
    <hyperlink r:id="rId822" ref="T824"/>
    <hyperlink r:id="rId823" ref="T825"/>
    <hyperlink r:id="rId824" ref="T826"/>
    <hyperlink r:id="rId825" ref="T827"/>
    <hyperlink r:id="rId826" ref="T828"/>
    <hyperlink r:id="rId827" ref="T829"/>
    <hyperlink r:id="rId828" ref="T830"/>
    <hyperlink r:id="rId829" ref="T831"/>
    <hyperlink r:id="rId830" ref="T832"/>
    <hyperlink r:id="rId831" ref="T833"/>
    <hyperlink r:id="rId832" ref="T834"/>
    <hyperlink r:id="rId833" ref="T835"/>
    <hyperlink r:id="rId834" ref="T836"/>
    <hyperlink r:id="rId835" ref="T837"/>
    <hyperlink r:id="rId836" ref="T838"/>
    <hyperlink r:id="rId837" ref="T839"/>
    <hyperlink r:id="rId838" ref="T840"/>
    <hyperlink r:id="rId839" ref="T841"/>
    <hyperlink r:id="rId840" ref="T842"/>
    <hyperlink r:id="rId841" ref="T843"/>
    <hyperlink r:id="rId842" ref="T844"/>
    <hyperlink r:id="rId843" ref="T845"/>
    <hyperlink r:id="rId844" ref="T846"/>
    <hyperlink r:id="rId845" ref="T847"/>
    <hyperlink r:id="rId846" ref="T848"/>
    <hyperlink r:id="rId847" ref="T849"/>
    <hyperlink r:id="rId848" ref="T850"/>
    <hyperlink r:id="rId849" ref="T851"/>
    <hyperlink r:id="rId850" ref="T852"/>
    <hyperlink r:id="rId851" ref="T853"/>
    <hyperlink r:id="rId852" ref="T854"/>
    <hyperlink r:id="rId853" ref="T855"/>
    <hyperlink r:id="rId854" ref="T856"/>
    <hyperlink r:id="rId855" ref="T857"/>
    <hyperlink r:id="rId856" ref="T858"/>
    <hyperlink r:id="rId857" ref="T859"/>
    <hyperlink r:id="rId858" ref="T860"/>
    <hyperlink r:id="rId859" ref="T861"/>
    <hyperlink r:id="rId860" ref="T862"/>
    <hyperlink r:id="rId861" ref="T863"/>
    <hyperlink r:id="rId862" ref="T864"/>
    <hyperlink r:id="rId863" ref="T865"/>
    <hyperlink r:id="rId864" ref="T866"/>
    <hyperlink r:id="rId865" ref="T867"/>
    <hyperlink r:id="rId866" ref="T868"/>
    <hyperlink r:id="rId867" ref="T869"/>
    <hyperlink r:id="rId868" ref="T870"/>
    <hyperlink r:id="rId869" ref="T871"/>
    <hyperlink r:id="rId870" ref="T873"/>
    <hyperlink r:id="rId871" ref="T874"/>
    <hyperlink r:id="rId872" ref="T875"/>
    <hyperlink r:id="rId873" ref="T876"/>
    <hyperlink r:id="rId874" ref="T877"/>
    <hyperlink r:id="rId875" ref="T878"/>
    <hyperlink r:id="rId876" ref="T879"/>
    <hyperlink r:id="rId877" ref="T880"/>
    <hyperlink r:id="rId878" ref="T881"/>
    <hyperlink r:id="rId879" ref="S882"/>
    <hyperlink r:id="rId880" ref="T882"/>
    <hyperlink r:id="rId881" ref="T883"/>
    <hyperlink r:id="rId882" ref="T884"/>
    <hyperlink r:id="rId883" ref="T885"/>
    <hyperlink r:id="rId884" ref="T886"/>
    <hyperlink r:id="rId885" ref="T887"/>
    <hyperlink r:id="rId886" ref="T888"/>
    <hyperlink r:id="rId887" ref="T889"/>
    <hyperlink r:id="rId888" ref="T890"/>
    <hyperlink r:id="rId889" ref="T891"/>
    <hyperlink r:id="rId890" ref="T892"/>
    <hyperlink r:id="rId891" ref="T893"/>
    <hyperlink r:id="rId892" ref="T894"/>
    <hyperlink r:id="rId893" ref="T895"/>
    <hyperlink r:id="rId894" ref="S896"/>
    <hyperlink r:id="rId895" ref="T896"/>
    <hyperlink r:id="rId896" ref="T897"/>
    <hyperlink r:id="rId897" ref="T898"/>
    <hyperlink r:id="rId898" ref="T899"/>
    <hyperlink r:id="rId899" ref="T900"/>
    <hyperlink r:id="rId900" ref="T901"/>
    <hyperlink r:id="rId901" ref="T902"/>
    <hyperlink r:id="rId902" ref="T903"/>
    <hyperlink r:id="rId903" ref="T904"/>
    <hyperlink r:id="rId904" ref="T905"/>
    <hyperlink r:id="rId905" ref="T906"/>
    <hyperlink r:id="rId906" ref="T907"/>
    <hyperlink r:id="rId907" ref="T908"/>
    <hyperlink r:id="rId908" ref="T909"/>
    <hyperlink r:id="rId909" ref="T910"/>
    <hyperlink r:id="rId910" ref="T911"/>
    <hyperlink r:id="rId911" ref="T912"/>
    <hyperlink r:id="rId912" ref="T913"/>
    <hyperlink r:id="rId913" ref="T914"/>
    <hyperlink r:id="rId914" ref="T915"/>
    <hyperlink r:id="rId915" ref="T916"/>
    <hyperlink r:id="rId916" ref="T917"/>
    <hyperlink r:id="rId917" ref="T918"/>
    <hyperlink r:id="rId918" ref="T919"/>
    <hyperlink r:id="rId919" ref="T920"/>
    <hyperlink r:id="rId920" ref="T921"/>
    <hyperlink r:id="rId921" ref="T922"/>
    <hyperlink r:id="rId922" ref="T923"/>
    <hyperlink r:id="rId923" ref="T924"/>
    <hyperlink r:id="rId924" ref="T925"/>
    <hyperlink r:id="rId925" ref="S926"/>
    <hyperlink r:id="rId926" ref="T926"/>
    <hyperlink r:id="rId927" ref="T927"/>
    <hyperlink r:id="rId928" ref="T928"/>
    <hyperlink r:id="rId929" ref="T929"/>
    <hyperlink r:id="rId930" ref="T930"/>
    <hyperlink r:id="rId931" ref="T931"/>
    <hyperlink r:id="rId932" ref="T932"/>
    <hyperlink r:id="rId933" ref="T933"/>
    <hyperlink r:id="rId934" ref="T934"/>
    <hyperlink r:id="rId935" ref="T935"/>
    <hyperlink r:id="rId936" ref="S936"/>
    <hyperlink r:id="rId937" ref="T936"/>
    <hyperlink r:id="rId938" ref="T937"/>
    <hyperlink r:id="rId939" ref="T938"/>
    <hyperlink r:id="rId940" ref="T939"/>
    <hyperlink r:id="rId941" ref="T940"/>
    <hyperlink r:id="rId942" ref="T941"/>
    <hyperlink r:id="rId943" ref="T942"/>
    <hyperlink r:id="rId944" ref="T943"/>
    <hyperlink r:id="rId945" ref="T944"/>
    <hyperlink r:id="rId946" ref="T945"/>
    <hyperlink r:id="rId947" ref="T946"/>
    <hyperlink r:id="rId948" ref="T947"/>
    <hyperlink r:id="rId949" ref="T948"/>
    <hyperlink r:id="rId950" ref="T949"/>
    <hyperlink r:id="rId951" ref="T950"/>
    <hyperlink r:id="rId952" ref="T951"/>
    <hyperlink r:id="rId953" ref="T952"/>
    <hyperlink r:id="rId954" ref="T953"/>
    <hyperlink r:id="rId955" ref="T954"/>
    <hyperlink r:id="rId956" ref="T955"/>
    <hyperlink r:id="rId957" ref="T956"/>
    <hyperlink r:id="rId958" ref="T957"/>
    <hyperlink r:id="rId959" ref="T958"/>
    <hyperlink r:id="rId960" ref="T959"/>
    <hyperlink r:id="rId961" ref="T960"/>
    <hyperlink r:id="rId962" ref="T961"/>
    <hyperlink r:id="rId963" ref="T962"/>
    <hyperlink r:id="rId964" ref="T963"/>
    <hyperlink r:id="rId965" ref="T964"/>
    <hyperlink r:id="rId966" ref="T965"/>
    <hyperlink r:id="rId967" ref="T966"/>
    <hyperlink r:id="rId968" ref="T967"/>
    <hyperlink r:id="rId969" ref="T968"/>
    <hyperlink r:id="rId970" ref="T969"/>
    <hyperlink r:id="rId971" ref="T970"/>
    <hyperlink r:id="rId972" ref="T971"/>
    <hyperlink r:id="rId973" ref="T972"/>
    <hyperlink r:id="rId974" ref="T973"/>
    <hyperlink r:id="rId975" ref="T974"/>
    <hyperlink r:id="rId976" ref="T975"/>
    <hyperlink r:id="rId977" ref="T976"/>
    <hyperlink r:id="rId978" ref="T977"/>
    <hyperlink r:id="rId979" ref="S978"/>
    <hyperlink r:id="rId980" ref="T978"/>
    <hyperlink r:id="rId981" ref="T979"/>
    <hyperlink r:id="rId982" ref="T980"/>
    <hyperlink r:id="rId983" ref="T981"/>
    <hyperlink r:id="rId984" ref="T982"/>
    <hyperlink r:id="rId985" ref="T983"/>
    <hyperlink r:id="rId986" ref="T984"/>
    <hyperlink r:id="rId987" ref="T985"/>
    <hyperlink r:id="rId988" ref="T986"/>
    <hyperlink r:id="rId989" ref="B987"/>
    <hyperlink r:id="rId990" ref="S987"/>
    <hyperlink r:id="rId991" ref="T987"/>
    <hyperlink r:id="rId992" ref="T988"/>
    <hyperlink r:id="rId993" ref="T989"/>
    <hyperlink r:id="rId994" ref="T990"/>
    <hyperlink r:id="rId995" ref="T991"/>
    <hyperlink r:id="rId996" ref="T992"/>
    <hyperlink r:id="rId997" ref="T993"/>
    <hyperlink r:id="rId998" ref="T994"/>
    <hyperlink r:id="rId999" ref="T995"/>
    <hyperlink r:id="rId1000" ref="S996"/>
    <hyperlink r:id="rId1001" ref="T996"/>
    <hyperlink r:id="rId1002" ref="T997"/>
  </hyperlinks>
  <drawing r:id="rId1003"/>
  <legacyDrawing r:id="rId100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23" width="11.63"/>
  </cols>
  <sheetData>
    <row r="1" ht="33.75" customHeight="1">
      <c r="A1" s="27" t="str">
        <f>CONCATENATE(
            "              ", "HubSpot Import", char(10),
            "              ", "",
            IFERROR(IFS(
                (now()-"2026/04/06 20:08") &lt;= 0,
                    "",
                AND((now()-"2026/04/06 20:08") * 1440 &gt;= 0, (now()-"2026/04/06 20:08") * 1440 &lt;= 5),
                    "Last updated just now",
                (now()-"2026/04/06 20:08") * 1440 &lt;= 60,
                    "Last updated "&amp;FLOOR((now()-"2026/04/06 20:08")*1440,1)&amp;" minutes ago",
                (now()-"2026/04/06 20:08") * 24 &lt;= 24,
                    "Last updated "&amp;FLOOR((now()-"2026/04/06 20:08")*24,1) &amp;
                        IF(FLOOR((now()-"2026/04/06 20:08")*24,1) &lt;= 1, " hour ago", " hours ago"),
                (now()-"2026/04/06 20:08") &lt;= 30,
                    "Last updated "&amp;FLOOR((now()-"2026/04/06 20:08"),1) &amp;
                        IF(FLOOR((now()-"2026/04/06 20:08"),1) &lt;= 1, " day ago", " days ago"),
                (now()-"2026/04/06 20:08") &gt; 30,
                    "Last updated " &amp;
                        FLOOR((now()-"2026/04/06 20:08")/7,1) &amp;
                        IF(FLOOR((now()-"2026/04/06 20:08"),1) &lt;= 1, " week ago", " weeks ago")
            ),"Last updated on 2026/04/06 20:08")
        )</f>
        <v>              HubSpot Import
              Last updated just now</v>
      </c>
      <c r="B1" s="27" t="s">
        <v>0</v>
      </c>
      <c r="C1" s="27" t="str">
        <f>IFERROR(IF(NOW(), _COEFF_ssop()),"")</f>
        <v/>
      </c>
      <c r="D1" s="27" t="s">
        <v>0</v>
      </c>
      <c r="E1" s="27" t="s">
        <v>0</v>
      </c>
      <c r="F1" s="27" t="s">
        <v>0</v>
      </c>
      <c r="G1" s="27" t="s">
        <v>0</v>
      </c>
      <c r="H1" s="27" t="s">
        <v>0</v>
      </c>
      <c r="I1" s="27" t="s">
        <v>0</v>
      </c>
      <c r="J1" s="27" t="s">
        <v>0</v>
      </c>
      <c r="K1" s="27" t="s">
        <v>0</v>
      </c>
      <c r="L1" s="27" t="s">
        <v>0</v>
      </c>
      <c r="M1" s="27" t="s">
        <v>0</v>
      </c>
      <c r="N1" s="27" t="s">
        <v>0</v>
      </c>
      <c r="O1" s="27" t="s">
        <v>0</v>
      </c>
      <c r="P1" s="27" t="s">
        <v>0</v>
      </c>
      <c r="Q1" s="27" t="s">
        <v>0</v>
      </c>
      <c r="R1" s="27" t="s">
        <v>0</v>
      </c>
      <c r="S1" s="28"/>
      <c r="T1" s="28"/>
      <c r="U1" s="28"/>
      <c r="V1" s="28"/>
      <c r="W1" s="29"/>
    </row>
    <row r="2" ht="22.5" customHeight="1">
      <c r="A2" s="30" t="s">
        <v>3214</v>
      </c>
      <c r="B2" s="30" t="s">
        <v>3215</v>
      </c>
      <c r="C2" s="30" t="s">
        <v>3216</v>
      </c>
      <c r="D2" s="30" t="s">
        <v>3217</v>
      </c>
      <c r="E2" s="30" t="s">
        <v>3218</v>
      </c>
      <c r="F2" s="30" t="s">
        <v>3219</v>
      </c>
      <c r="G2" s="30" t="s">
        <v>3220</v>
      </c>
      <c r="H2" s="30" t="s">
        <v>3221</v>
      </c>
      <c r="I2" s="30" t="s">
        <v>3222</v>
      </c>
      <c r="J2" s="30" t="s">
        <v>3223</v>
      </c>
      <c r="K2" s="30" t="s">
        <v>18</v>
      </c>
      <c r="L2" s="30" t="s">
        <v>19</v>
      </c>
      <c r="M2" s="30" t="s">
        <v>20</v>
      </c>
      <c r="N2" s="30" t="s">
        <v>1</v>
      </c>
      <c r="O2" s="30" t="s">
        <v>2</v>
      </c>
      <c r="P2" s="30" t="s">
        <v>5</v>
      </c>
      <c r="Q2" s="30" t="s">
        <v>4</v>
      </c>
      <c r="R2" s="30" t="s">
        <v>6</v>
      </c>
      <c r="S2" s="31" t="s">
        <v>3224</v>
      </c>
      <c r="T2" s="31" t="s">
        <v>3225</v>
      </c>
      <c r="U2" s="31" t="s">
        <v>3226</v>
      </c>
      <c r="V2" s="31" t="s">
        <v>3227</v>
      </c>
      <c r="W2" s="31" t="s">
        <v>3228</v>
      </c>
    </row>
    <row r="3" ht="14.25" customHeight="1">
      <c r="A3" s="18">
        <f>HYPERLINK("https://app.hubspot.com/contacts/8748051/record/0-1/213020795739", 213020795739)</f>
        <v>213020795739</v>
      </c>
      <c r="B3" s="14" t="s">
        <v>3229</v>
      </c>
      <c r="C3" s="16">
        <v>46113.487233796295</v>
      </c>
      <c r="D3" s="16"/>
      <c r="E3" s="32"/>
      <c r="F3" s="32"/>
      <c r="G3" s="32"/>
      <c r="H3" s="14" t="s">
        <v>3230</v>
      </c>
      <c r="I3" s="14"/>
      <c r="J3" s="14"/>
      <c r="K3" s="18">
        <f>HYPERLINK("https://app.hubspot.com/contacts/8748051/record/0-2/6266374152", 6266374152)</f>
        <v>6266374152</v>
      </c>
      <c r="L3" s="14" t="s">
        <v>44</v>
      </c>
      <c r="M3" s="18" t="s">
        <v>45</v>
      </c>
      <c r="N3" s="18">
        <f>HYPERLINK("https://app.hubspot.com/contacts/8748051/record/0-3/58642910638", 58642910638)</f>
        <v>58642910638</v>
      </c>
      <c r="O3" s="14" t="s">
        <v>36</v>
      </c>
      <c r="P3" s="14" t="s">
        <v>38</v>
      </c>
      <c r="Q3" s="14">
        <v>10500.0</v>
      </c>
      <c r="R3" s="14"/>
      <c r="S3" s="24" t="str">
        <f t="shared" ref="S3:U3" si="1">IF(E3&lt;&gt;"","Yes","")</f>
        <v/>
      </c>
      <c r="T3" s="24" t="str">
        <f t="shared" si="1"/>
        <v/>
      </c>
      <c r="U3" s="24" t="str">
        <f t="shared" si="1"/>
        <v/>
      </c>
      <c r="V3" s="24" t="str">
        <f t="shared" ref="V3:V664" si="3">IF(P3="S7a: Closed-Won / Start Onboarding","Yes","")</f>
        <v/>
      </c>
      <c r="W3" s="14" t="str">
        <f t="shared" ref="W3:W664" si="4">IF(P3="S7b: Closed-Lost","Yes","")</f>
        <v/>
      </c>
    </row>
    <row r="4" ht="14.25" customHeight="1">
      <c r="A4" s="18">
        <f>HYPERLINK("https://app.hubspot.com/contacts/8748051/record/0-1/1402952", 1402952)</f>
        <v>1402952</v>
      </c>
      <c r="B4" s="14" t="s">
        <v>3231</v>
      </c>
      <c r="C4" s="16">
        <v>46112.434386574074</v>
      </c>
      <c r="D4" s="16"/>
      <c r="E4" s="32"/>
      <c r="F4" s="32"/>
      <c r="G4" s="32"/>
      <c r="H4" s="14" t="s">
        <v>3232</v>
      </c>
      <c r="I4" s="14"/>
      <c r="J4" s="14"/>
      <c r="K4" s="18">
        <f>HYPERLINK("https://app.hubspot.com/contacts/8748051/record/0-2/9909085526", 9909085526)</f>
        <v>9909085526</v>
      </c>
      <c r="L4" s="14" t="s">
        <v>53</v>
      </c>
      <c r="M4" s="18" t="s">
        <v>54</v>
      </c>
      <c r="N4" s="18">
        <f>HYPERLINK("https://app.hubspot.com/contacts/8748051/record/0-3/58604482148", 58604482148)</f>
        <v>58604482148</v>
      </c>
      <c r="O4" s="14" t="s">
        <v>48</v>
      </c>
      <c r="P4" s="14" t="s">
        <v>50</v>
      </c>
      <c r="Q4" s="14">
        <v>75000.0</v>
      </c>
      <c r="R4" s="14" t="b">
        <v>1</v>
      </c>
      <c r="S4" s="24" t="str">
        <f t="shared" ref="S4:U4" si="2">IF(E4&lt;&gt;"","Yes","")</f>
        <v/>
      </c>
      <c r="T4" s="24" t="str">
        <f t="shared" si="2"/>
        <v/>
      </c>
      <c r="U4" s="24" t="str">
        <f t="shared" si="2"/>
        <v/>
      </c>
      <c r="V4" s="24" t="str">
        <f t="shared" si="3"/>
        <v/>
      </c>
      <c r="W4" s="14" t="str">
        <f t="shared" si="4"/>
        <v/>
      </c>
    </row>
    <row r="5" ht="14.25" customHeight="1">
      <c r="A5" s="18">
        <f>HYPERLINK("https://app.hubspot.com/contacts/8748051/record/0-1/211727081244", 211727081244)</f>
        <v>211727081244</v>
      </c>
      <c r="B5" s="14" t="s">
        <v>3233</v>
      </c>
      <c r="C5" s="16">
        <v>46107.368113425924</v>
      </c>
      <c r="D5" s="14"/>
      <c r="E5" s="32"/>
      <c r="F5" s="32"/>
      <c r="G5" s="32"/>
      <c r="H5" s="14" t="s">
        <v>3234</v>
      </c>
      <c r="I5" s="14" t="s">
        <v>3235</v>
      </c>
      <c r="J5" s="24"/>
      <c r="K5" s="18">
        <f>HYPERLINK("https://app.hubspot.com/contacts/8748051/record/0-2/9069625153", 9069625153)</f>
        <v>9069625153</v>
      </c>
      <c r="L5" s="18" t="s">
        <v>57</v>
      </c>
      <c r="M5" s="18" t="s">
        <v>57</v>
      </c>
      <c r="N5" s="18">
        <f>HYPERLINK("https://app.hubspot.com/contacts/8748051/record/0-3/58387272752", 58387272752)</f>
        <v>58387272752</v>
      </c>
      <c r="O5" s="14" t="s">
        <v>56</v>
      </c>
      <c r="P5" s="14" t="s">
        <v>38</v>
      </c>
      <c r="Q5" s="14">
        <v>7000.0</v>
      </c>
      <c r="R5" s="14"/>
      <c r="S5" s="24" t="str">
        <f t="shared" ref="S5:U5" si="5">IF(E5&lt;&gt;"","Yes","")</f>
        <v/>
      </c>
      <c r="T5" s="24" t="str">
        <f t="shared" si="5"/>
        <v/>
      </c>
      <c r="U5" s="24" t="str">
        <f t="shared" si="5"/>
        <v/>
      </c>
      <c r="V5" s="24" t="str">
        <f t="shared" si="3"/>
        <v/>
      </c>
      <c r="W5" s="14" t="str">
        <f t="shared" si="4"/>
        <v/>
      </c>
    </row>
    <row r="6" ht="14.25" customHeight="1">
      <c r="A6" s="18">
        <f>HYPERLINK("https://app.hubspot.com/contacts/8748051/record/0-1/211506844548", 211506844548)</f>
        <v>211506844548</v>
      </c>
      <c r="B6" s="14" t="s">
        <v>3236</v>
      </c>
      <c r="C6" s="16">
        <v>46106.40715277778</v>
      </c>
      <c r="D6" s="14"/>
      <c r="E6" s="32">
        <v>46106.0</v>
      </c>
      <c r="F6" s="32">
        <v>46107.0</v>
      </c>
      <c r="G6" s="32"/>
      <c r="H6" s="14" t="s">
        <v>3230</v>
      </c>
      <c r="I6" s="14" t="s">
        <v>3237</v>
      </c>
      <c r="J6" s="14"/>
      <c r="K6" s="18">
        <f>HYPERLINK("https://app.hubspot.com/contacts/8748051/record/0-2/53246882698", 53246882698)</f>
        <v>53246882698</v>
      </c>
      <c r="L6" s="14" t="s">
        <v>65</v>
      </c>
      <c r="M6" s="18" t="s">
        <v>66</v>
      </c>
      <c r="N6" s="23">
        <f>HYPERLINK("https://app.hubspot.com/contacts/8748051/record/0-3/58333389614", 58333389614)</f>
        <v>58333389614</v>
      </c>
      <c r="O6" s="14" t="s">
        <v>64</v>
      </c>
      <c r="P6" s="14" t="s">
        <v>38</v>
      </c>
      <c r="Q6" s="14">
        <v>8000.0</v>
      </c>
      <c r="R6" s="14"/>
      <c r="S6" s="24" t="str">
        <f t="shared" ref="S6:U6" si="6">IF(E6&lt;&gt;"","Yes","")</f>
        <v>Yes</v>
      </c>
      <c r="T6" s="24" t="str">
        <f t="shared" si="6"/>
        <v>Yes</v>
      </c>
      <c r="U6" s="24" t="str">
        <f t="shared" si="6"/>
        <v/>
      </c>
      <c r="V6" s="24" t="str">
        <f t="shared" si="3"/>
        <v/>
      </c>
      <c r="W6" s="14" t="str">
        <f t="shared" si="4"/>
        <v/>
      </c>
    </row>
    <row r="7" ht="14.25" customHeight="1">
      <c r="A7" s="18">
        <f>HYPERLINK("https://app.hubspot.com/contacts/8748051/record/0-1/204087719447", 204087719447)</f>
        <v>204087719447</v>
      </c>
      <c r="B7" s="14" t="s">
        <v>3238</v>
      </c>
      <c r="C7" s="16">
        <v>46105.93467592593</v>
      </c>
      <c r="D7" s="16"/>
      <c r="E7" s="32">
        <v>46106.0</v>
      </c>
      <c r="F7" s="32">
        <v>46108.0</v>
      </c>
      <c r="G7" s="32"/>
      <c r="H7" s="14" t="s">
        <v>3239</v>
      </c>
      <c r="I7" s="14" t="s">
        <v>3240</v>
      </c>
      <c r="J7" s="14"/>
      <c r="K7" s="18">
        <f>HYPERLINK("https://app.hubspot.com/contacts/8748051/record/0-2/53211444012", 53211444012)</f>
        <v>53211444012</v>
      </c>
      <c r="L7" s="14" t="s">
        <v>68</v>
      </c>
      <c r="M7" s="18" t="s">
        <v>69</v>
      </c>
      <c r="N7" s="23">
        <f>HYPERLINK("https://app.hubspot.com/contacts/8748051/record/0-3/58316326266", 58316326266)</f>
        <v>58316326266</v>
      </c>
      <c r="O7" s="14" t="s">
        <v>67</v>
      </c>
      <c r="P7" s="14" t="s">
        <v>38</v>
      </c>
      <c r="Q7" s="14">
        <v>80000.0</v>
      </c>
      <c r="R7" s="14"/>
      <c r="S7" s="24" t="str">
        <f t="shared" ref="S7:U7" si="7">IF(E7&lt;&gt;"","Yes","")</f>
        <v>Yes</v>
      </c>
      <c r="T7" s="24" t="str">
        <f t="shared" si="7"/>
        <v>Yes</v>
      </c>
      <c r="U7" s="24" t="str">
        <f t="shared" si="7"/>
        <v/>
      </c>
      <c r="V7" s="24" t="str">
        <f t="shared" si="3"/>
        <v/>
      </c>
      <c r="W7" s="14" t="str">
        <f t="shared" si="4"/>
        <v/>
      </c>
    </row>
    <row r="8" ht="14.25" customHeight="1">
      <c r="A8" s="18">
        <f>HYPERLINK("https://app.hubspot.com/contacts/8748051/record/0-1/210951987821", 210951987821)</f>
        <v>210951987821</v>
      </c>
      <c r="B8" s="14" t="s">
        <v>3241</v>
      </c>
      <c r="C8" s="16">
        <v>46104.32114583333</v>
      </c>
      <c r="D8" s="14"/>
      <c r="E8" s="32">
        <v>46104.0</v>
      </c>
      <c r="F8" s="32">
        <v>46105.0</v>
      </c>
      <c r="G8" s="32">
        <v>46105.0</v>
      </c>
      <c r="H8" s="14" t="s">
        <v>3242</v>
      </c>
      <c r="I8" s="14" t="s">
        <v>3243</v>
      </c>
      <c r="J8" s="14"/>
      <c r="K8" s="18">
        <f>HYPERLINK("https://app.hubspot.com/contacts/8748051/record/0-2/53158535438", 53158535438)</f>
        <v>53158535438</v>
      </c>
      <c r="L8" s="14" t="s">
        <v>73</v>
      </c>
      <c r="M8" s="18" t="s">
        <v>74</v>
      </c>
      <c r="N8" s="18">
        <f>HYPERLINK("https://app.hubspot.com/contacts/8748051/record/0-3/58247153269", 58247153269)</f>
        <v>58247153269</v>
      </c>
      <c r="O8" s="14" t="s">
        <v>71</v>
      </c>
      <c r="P8" s="14" t="s">
        <v>38</v>
      </c>
      <c r="Q8" s="14">
        <v>0.0</v>
      </c>
      <c r="R8" s="14"/>
      <c r="S8" s="24" t="str">
        <f t="shared" ref="S8:U8" si="8">IF(E8&lt;&gt;"","Yes","")</f>
        <v>Yes</v>
      </c>
      <c r="T8" s="24" t="str">
        <f t="shared" si="8"/>
        <v>Yes</v>
      </c>
      <c r="U8" s="24" t="str">
        <f t="shared" si="8"/>
        <v>Yes</v>
      </c>
      <c r="V8" s="24" t="str">
        <f t="shared" si="3"/>
        <v/>
      </c>
      <c r="W8" s="14" t="str">
        <f t="shared" si="4"/>
        <v/>
      </c>
    </row>
    <row r="9" ht="14.25" customHeight="1">
      <c r="A9" s="18">
        <f>HYPERLINK("https://app.hubspot.com/contacts/8748051/record/0-1/210412067224", 210412067224)</f>
        <v>210412067224</v>
      </c>
      <c r="B9" s="14" t="s">
        <v>3244</v>
      </c>
      <c r="C9" s="16">
        <v>46101.89709490741</v>
      </c>
      <c r="D9" s="16"/>
      <c r="E9" s="32">
        <v>46102.0</v>
      </c>
      <c r="F9" s="32">
        <v>46111.0</v>
      </c>
      <c r="G9" s="32"/>
      <c r="H9" s="14" t="s">
        <v>3245</v>
      </c>
      <c r="I9" s="14" t="s">
        <v>3246</v>
      </c>
      <c r="J9" s="14" t="s">
        <v>3247</v>
      </c>
      <c r="K9" s="18">
        <f>HYPERLINK("https://app.hubspot.com/contacts/8748051/record/0-2/46826990727", 46826990727)</f>
        <v>46826990727</v>
      </c>
      <c r="L9" s="14" t="s">
        <v>76</v>
      </c>
      <c r="M9" s="18" t="s">
        <v>77</v>
      </c>
      <c r="N9" s="23">
        <f>HYPERLINK("https://app.hubspot.com/contacts/8748051/record/0-3/58220787347", 58220787347)</f>
        <v>58220787347</v>
      </c>
      <c r="O9" s="14" t="s">
        <v>75</v>
      </c>
      <c r="P9" s="14" t="s">
        <v>50</v>
      </c>
      <c r="Q9" s="14">
        <v>50000.0</v>
      </c>
      <c r="R9" s="14" t="b">
        <v>1</v>
      </c>
      <c r="S9" s="24" t="str">
        <f t="shared" ref="S9:U9" si="9">IF(E9&lt;&gt;"","Yes","")</f>
        <v>Yes</v>
      </c>
      <c r="T9" s="24" t="str">
        <f t="shared" si="9"/>
        <v>Yes</v>
      </c>
      <c r="U9" s="24" t="str">
        <f t="shared" si="9"/>
        <v/>
      </c>
      <c r="V9" s="24" t="str">
        <f t="shared" si="3"/>
        <v/>
      </c>
      <c r="W9" s="14" t="str">
        <f t="shared" si="4"/>
        <v/>
      </c>
    </row>
    <row r="10" ht="14.25" customHeight="1">
      <c r="A10" s="18">
        <f>HYPERLINK("https://app.hubspot.com/contacts/8748051/record/0-1/185305730621", 185305730621)</f>
        <v>185305730621</v>
      </c>
      <c r="B10" s="14" t="s">
        <v>3248</v>
      </c>
      <c r="C10" s="16">
        <v>46101.436747685184</v>
      </c>
      <c r="D10" s="14"/>
      <c r="E10" s="32">
        <v>46101.0</v>
      </c>
      <c r="F10" s="32">
        <v>46105.0</v>
      </c>
      <c r="G10" s="32"/>
      <c r="H10" s="14" t="s">
        <v>3249</v>
      </c>
      <c r="I10" s="14" t="s">
        <v>3250</v>
      </c>
      <c r="J10" s="14" t="s">
        <v>3247</v>
      </c>
      <c r="K10" s="18">
        <f>HYPERLINK("https://app.hubspot.com/contacts/8748051/record/0-2/8929735180", 8929735180)</f>
        <v>8929735180</v>
      </c>
      <c r="L10" s="14" t="s">
        <v>80</v>
      </c>
      <c r="M10" s="18" t="s">
        <v>81</v>
      </c>
      <c r="N10" s="23">
        <f>HYPERLINK("https://app.hubspot.com/contacts/8748051/record/0-3/58206471848", 58206471848)</f>
        <v>58206471848</v>
      </c>
      <c r="O10" s="14" t="s">
        <v>79</v>
      </c>
      <c r="P10" s="14" t="s">
        <v>50</v>
      </c>
      <c r="Q10" s="14">
        <v>43500.0</v>
      </c>
      <c r="R10" s="14" t="b">
        <v>1</v>
      </c>
      <c r="S10" s="24" t="str">
        <f t="shared" ref="S10:U10" si="10">IF(E10&lt;&gt;"","Yes","")</f>
        <v>Yes</v>
      </c>
      <c r="T10" s="24" t="str">
        <f t="shared" si="10"/>
        <v>Yes</v>
      </c>
      <c r="U10" s="24" t="str">
        <f t="shared" si="10"/>
        <v/>
      </c>
      <c r="V10" s="24" t="str">
        <f t="shared" si="3"/>
        <v/>
      </c>
      <c r="W10" s="14" t="str">
        <f t="shared" si="4"/>
        <v/>
      </c>
    </row>
    <row r="11" ht="14.25" customHeight="1">
      <c r="A11" s="18">
        <f>HYPERLINK("https://app.hubspot.com/contacts/8748051/record/0-1/210207842390", 210207842390)</f>
        <v>210207842390</v>
      </c>
      <c r="B11" s="14" t="s">
        <v>3251</v>
      </c>
      <c r="C11" s="16">
        <v>46099.81591435185</v>
      </c>
      <c r="D11" s="14"/>
      <c r="E11" s="32">
        <v>46100.0</v>
      </c>
      <c r="F11" s="32">
        <v>46101.0</v>
      </c>
      <c r="G11" s="32"/>
      <c r="H11" s="14" t="s">
        <v>3252</v>
      </c>
      <c r="I11" s="14" t="s">
        <v>3237</v>
      </c>
      <c r="J11" s="24"/>
      <c r="K11" s="18">
        <f>HYPERLINK("https://app.hubspot.com/contacts/8748051/record/0-2/53113806635", 53113806635)</f>
        <v>53113806635</v>
      </c>
      <c r="L11" s="14" t="s">
        <v>86</v>
      </c>
      <c r="M11" s="18" t="s">
        <v>87</v>
      </c>
      <c r="N11" s="23">
        <f>HYPERLINK("https://app.hubspot.com/contacts/8748051/record/0-3/58179794196", 58179794196)</f>
        <v>58179794196</v>
      </c>
      <c r="O11" s="14" t="s">
        <v>85</v>
      </c>
      <c r="P11" s="14" t="s">
        <v>38</v>
      </c>
      <c r="Q11" s="14">
        <v>3500.0</v>
      </c>
      <c r="R11" s="14"/>
      <c r="S11" s="24" t="str">
        <f t="shared" ref="S11:U11" si="11">IF(E11&lt;&gt;"","Yes","")</f>
        <v>Yes</v>
      </c>
      <c r="T11" s="24" t="str">
        <f t="shared" si="11"/>
        <v>Yes</v>
      </c>
      <c r="U11" s="24" t="str">
        <f t="shared" si="11"/>
        <v/>
      </c>
      <c r="V11" s="24" t="str">
        <f t="shared" si="3"/>
        <v/>
      </c>
      <c r="W11" s="14" t="str">
        <f t="shared" si="4"/>
        <v/>
      </c>
    </row>
    <row r="12" ht="14.25" customHeight="1">
      <c r="A12" s="18">
        <f>HYPERLINK("https://app.hubspot.com/contacts/8748051/record/0-1/210162957684", 210162957684)</f>
        <v>210162957684</v>
      </c>
      <c r="B12" s="14" t="s">
        <v>3253</v>
      </c>
      <c r="C12" s="16">
        <v>46099.65880787037</v>
      </c>
      <c r="D12" s="14"/>
      <c r="E12" s="32">
        <v>46100.0</v>
      </c>
      <c r="F12" s="32">
        <v>46104.0</v>
      </c>
      <c r="G12" s="32"/>
      <c r="H12" s="14" t="s">
        <v>152</v>
      </c>
      <c r="I12" s="14" t="s">
        <v>152</v>
      </c>
      <c r="J12" s="14"/>
      <c r="K12" s="18">
        <f>HYPERLINK("https://app.hubspot.com/contacts/8748051/record/0-2/7649366028", 7649366028)</f>
        <v>7649366028</v>
      </c>
      <c r="L12" s="14" t="s">
        <v>83</v>
      </c>
      <c r="M12" s="18" t="s">
        <v>84</v>
      </c>
      <c r="N12" s="18">
        <f>HYPERLINK("https://app.hubspot.com/contacts/8748051/record/0-3/58158334877", 58158334877)</f>
        <v>58158334877</v>
      </c>
      <c r="O12" s="14" t="s">
        <v>82</v>
      </c>
      <c r="P12" s="14" t="s">
        <v>50</v>
      </c>
      <c r="Q12" s="14">
        <v>75000.0</v>
      </c>
      <c r="R12" s="14" t="b">
        <v>1</v>
      </c>
      <c r="S12" s="24" t="str">
        <f t="shared" ref="S12:U12" si="12">IF(E12&lt;&gt;"","Yes","")</f>
        <v>Yes</v>
      </c>
      <c r="T12" s="24" t="str">
        <f t="shared" si="12"/>
        <v>Yes</v>
      </c>
      <c r="U12" s="24" t="str">
        <f t="shared" si="12"/>
        <v/>
      </c>
      <c r="V12" s="24" t="str">
        <f t="shared" si="3"/>
        <v/>
      </c>
      <c r="W12" s="14" t="str">
        <f t="shared" si="4"/>
        <v/>
      </c>
    </row>
    <row r="13" ht="14.25" customHeight="1">
      <c r="A13" s="18">
        <f>HYPERLINK("https://app.hubspot.com/contacts/8748051/record/0-1/209907510832", 209907510832)</f>
        <v>209907510832</v>
      </c>
      <c r="B13" s="14" t="s">
        <v>3254</v>
      </c>
      <c r="C13" s="16">
        <v>46098.743263888886</v>
      </c>
      <c r="D13" s="16"/>
      <c r="E13" s="32">
        <v>46099.0</v>
      </c>
      <c r="F13" s="32">
        <v>46101.0</v>
      </c>
      <c r="G13" s="32">
        <v>46101.0</v>
      </c>
      <c r="H13" s="14" t="s">
        <v>3255</v>
      </c>
      <c r="I13" s="14" t="s">
        <v>3240</v>
      </c>
      <c r="J13" s="14"/>
      <c r="K13" s="18">
        <f>HYPERLINK("https://app.hubspot.com/contacts/8748051/record/0-2/53016781695", 53016781695)</f>
        <v>53016781695</v>
      </c>
      <c r="L13" s="14" t="s">
        <v>91</v>
      </c>
      <c r="M13" s="18" t="s">
        <v>92</v>
      </c>
      <c r="N13" s="23">
        <f>HYPERLINK("https://app.hubspot.com/contacts/8748051/record/0-3/58098333475", 58098333475)</f>
        <v>58098333475</v>
      </c>
      <c r="O13" s="14" t="s">
        <v>88</v>
      </c>
      <c r="P13" s="14" t="s">
        <v>89</v>
      </c>
      <c r="Q13" s="14">
        <v>28800.0</v>
      </c>
      <c r="R13" s="14" t="b">
        <v>1</v>
      </c>
      <c r="S13" s="24" t="str">
        <f t="shared" ref="S13:U13" si="13">IF(E13&lt;&gt;"","Yes","")</f>
        <v>Yes</v>
      </c>
      <c r="T13" s="24" t="str">
        <f t="shared" si="13"/>
        <v>Yes</v>
      </c>
      <c r="U13" s="24" t="str">
        <f t="shared" si="13"/>
        <v>Yes</v>
      </c>
      <c r="V13" s="24" t="str">
        <f t="shared" si="3"/>
        <v>Yes</v>
      </c>
      <c r="W13" s="14" t="str">
        <f t="shared" si="4"/>
        <v/>
      </c>
    </row>
    <row r="14" ht="14.25" customHeight="1">
      <c r="A14" s="18">
        <f>HYPERLINK("https://app.hubspot.com/contacts/8748051/record/0-1/209607309748", 209607309748)</f>
        <v>209607309748</v>
      </c>
      <c r="B14" s="14" t="s">
        <v>3256</v>
      </c>
      <c r="C14" s="16">
        <v>46097.717141203706</v>
      </c>
      <c r="D14" s="14"/>
      <c r="E14" s="32">
        <v>46098.0</v>
      </c>
      <c r="F14" s="32">
        <v>46112.0</v>
      </c>
      <c r="G14" s="32"/>
      <c r="H14" s="14" t="s">
        <v>3257</v>
      </c>
      <c r="I14" s="14" t="s">
        <v>152</v>
      </c>
      <c r="J14" s="14"/>
      <c r="K14" s="18">
        <f>HYPERLINK("https://app.hubspot.com/contacts/8748051/record/0-2/8929767828", 8929767828)</f>
        <v>8929767828</v>
      </c>
      <c r="L14" s="14" t="s">
        <v>95</v>
      </c>
      <c r="M14" s="18" t="s">
        <v>96</v>
      </c>
      <c r="N14" s="18">
        <f>HYPERLINK("https://app.hubspot.com/contacts/8748051/record/0-3/58055838476", 58055838476)</f>
        <v>58055838476</v>
      </c>
      <c r="O14" s="14" t="s">
        <v>94</v>
      </c>
      <c r="P14" s="14" t="s">
        <v>50</v>
      </c>
      <c r="Q14" s="14">
        <v>50000.0</v>
      </c>
      <c r="R14" s="14" t="b">
        <v>1</v>
      </c>
      <c r="S14" s="24" t="str">
        <f t="shared" ref="S14:U14" si="14">IF(E14&lt;&gt;"","Yes","")</f>
        <v>Yes</v>
      </c>
      <c r="T14" s="24" t="str">
        <f t="shared" si="14"/>
        <v>Yes</v>
      </c>
      <c r="U14" s="24" t="str">
        <f t="shared" si="14"/>
        <v/>
      </c>
      <c r="V14" s="24" t="str">
        <f t="shared" si="3"/>
        <v/>
      </c>
      <c r="W14" s="14" t="str">
        <f t="shared" si="4"/>
        <v/>
      </c>
    </row>
    <row r="15" ht="14.25" customHeight="1">
      <c r="A15" s="18">
        <f>HYPERLINK("https://app.hubspot.com/contacts/8748051/record/0-1/209295687714", 209295687714)</f>
        <v>209295687714</v>
      </c>
      <c r="B15" s="14" t="s">
        <v>3258</v>
      </c>
      <c r="C15" s="16">
        <v>46096.110451388886</v>
      </c>
      <c r="D15" s="14"/>
      <c r="E15" s="32">
        <v>46096.0</v>
      </c>
      <c r="F15" s="32">
        <v>46099.0</v>
      </c>
      <c r="G15" s="32">
        <v>46099.0</v>
      </c>
      <c r="H15" s="14" t="s">
        <v>3259</v>
      </c>
      <c r="I15" s="14" t="s">
        <v>3240</v>
      </c>
      <c r="J15" s="14"/>
      <c r="K15" s="18">
        <f>HYPERLINK("https://app.hubspot.com/contacts/8748051/record/0-2/9664359229", 9664359229)</f>
        <v>9664359229</v>
      </c>
      <c r="L15" s="14" t="s">
        <v>99</v>
      </c>
      <c r="M15" s="18" t="s">
        <v>100</v>
      </c>
      <c r="N15" s="18">
        <f>HYPERLINK("https://app.hubspot.com/contacts/8748051/record/0-3/58008942377", 58008942377)</f>
        <v>58008942377</v>
      </c>
      <c r="O15" s="14" t="s">
        <v>97</v>
      </c>
      <c r="P15" s="14" t="s">
        <v>38</v>
      </c>
      <c r="Q15" s="14">
        <v>100000.0</v>
      </c>
      <c r="R15" s="14"/>
      <c r="S15" s="24" t="str">
        <f t="shared" ref="S15:U15" si="15">IF(E15&lt;&gt;"","Yes","")</f>
        <v>Yes</v>
      </c>
      <c r="T15" s="24" t="str">
        <f t="shared" si="15"/>
        <v>Yes</v>
      </c>
      <c r="U15" s="24" t="str">
        <f t="shared" si="15"/>
        <v>Yes</v>
      </c>
      <c r="V15" s="24" t="str">
        <f t="shared" si="3"/>
        <v/>
      </c>
      <c r="W15" s="14" t="str">
        <f t="shared" si="4"/>
        <v/>
      </c>
    </row>
    <row r="16" ht="14.25" customHeight="1">
      <c r="A16" s="18">
        <f>HYPERLINK("https://app.hubspot.com/contacts/8748051/record/0-1/3450851", 3450851)</f>
        <v>3450851</v>
      </c>
      <c r="B16" s="14" t="s">
        <v>3260</v>
      </c>
      <c r="C16" s="16">
        <v>46094.534270833334</v>
      </c>
      <c r="D16" s="14"/>
      <c r="E16" s="32">
        <v>46094.0</v>
      </c>
      <c r="F16" s="32">
        <v>46098.0</v>
      </c>
      <c r="G16" s="32">
        <v>46098.0</v>
      </c>
      <c r="H16" s="14" t="s">
        <v>3261</v>
      </c>
      <c r="I16" s="14" t="s">
        <v>152</v>
      </c>
      <c r="J16" s="14" t="s">
        <v>3247</v>
      </c>
      <c r="K16" s="18">
        <f>HYPERLINK("https://app.hubspot.com/contacts/8748051/record/0-2/17911970466", 17911970466)</f>
        <v>17911970466</v>
      </c>
      <c r="L16" s="14" t="s">
        <v>102</v>
      </c>
      <c r="M16" s="18" t="s">
        <v>103</v>
      </c>
      <c r="N16" s="18">
        <f>HYPERLINK("https://app.hubspot.com/contacts/8748051/record/0-3/58006091190", 58006091190)</f>
        <v>58006091190</v>
      </c>
      <c r="O16" s="14" t="s">
        <v>101</v>
      </c>
      <c r="P16" s="14" t="s">
        <v>50</v>
      </c>
      <c r="Q16" s="14">
        <v>35000.0</v>
      </c>
      <c r="R16" s="14" t="b">
        <v>1</v>
      </c>
      <c r="S16" s="24" t="str">
        <f t="shared" ref="S16:U16" si="16">IF(E16&lt;&gt;"","Yes","")</f>
        <v>Yes</v>
      </c>
      <c r="T16" s="24" t="str">
        <f t="shared" si="16"/>
        <v>Yes</v>
      </c>
      <c r="U16" s="24" t="str">
        <f t="shared" si="16"/>
        <v>Yes</v>
      </c>
      <c r="V16" s="24" t="str">
        <f t="shared" si="3"/>
        <v/>
      </c>
      <c r="W16" s="14" t="str">
        <f t="shared" si="4"/>
        <v/>
      </c>
    </row>
    <row r="17" ht="14.25" customHeight="1">
      <c r="A17" s="18">
        <f>HYPERLINK("https://app.hubspot.com/contacts/8748051/record/0-1/204087421523", 204087421523)</f>
        <v>204087421523</v>
      </c>
      <c r="B17" s="14" t="s">
        <v>3262</v>
      </c>
      <c r="C17" s="16">
        <v>46094.431805555556</v>
      </c>
      <c r="D17" s="16"/>
      <c r="E17" s="32">
        <v>46094.0</v>
      </c>
      <c r="F17" s="32">
        <v>46098.0</v>
      </c>
      <c r="G17" s="32">
        <v>46098.0</v>
      </c>
      <c r="H17" s="14" t="s">
        <v>3263</v>
      </c>
      <c r="I17" s="14"/>
      <c r="J17" s="14"/>
      <c r="K17" s="18">
        <f>HYPERLINK("https://app.hubspot.com/contacts/8748051/record/0-2/52944634674", 52944634674)</f>
        <v>52944634674</v>
      </c>
      <c r="L17" s="14" t="s">
        <v>106</v>
      </c>
      <c r="M17" s="18" t="s">
        <v>107</v>
      </c>
      <c r="N17" s="18">
        <f>HYPERLINK("https://app.hubspot.com/contacts/8748051/record/0-3/57991199811", 57991199811)</f>
        <v>57991199811</v>
      </c>
      <c r="O17" s="14" t="s">
        <v>105</v>
      </c>
      <c r="P17" s="14" t="s">
        <v>50</v>
      </c>
      <c r="Q17" s="14">
        <v>100000.0</v>
      </c>
      <c r="R17" s="14" t="b">
        <v>1</v>
      </c>
      <c r="S17" s="24" t="str">
        <f t="shared" ref="S17:U17" si="17">IF(E17&lt;&gt;"","Yes","")</f>
        <v>Yes</v>
      </c>
      <c r="T17" s="24" t="str">
        <f t="shared" si="17"/>
        <v>Yes</v>
      </c>
      <c r="U17" s="24" t="str">
        <f t="shared" si="17"/>
        <v>Yes</v>
      </c>
      <c r="V17" s="24" t="str">
        <f t="shared" si="3"/>
        <v/>
      </c>
      <c r="W17" s="14" t="str">
        <f t="shared" si="4"/>
        <v/>
      </c>
    </row>
    <row r="18" ht="14.25" customHeight="1">
      <c r="A18" s="18">
        <f>HYPERLINK("https://app.hubspot.com/contacts/8748051/record/0-1/208107220661", 208107220661)</f>
        <v>208107220661</v>
      </c>
      <c r="B18" s="14" t="s">
        <v>3264</v>
      </c>
      <c r="C18" s="16">
        <v>46090.62525462963</v>
      </c>
      <c r="D18" s="16"/>
      <c r="E18" s="32">
        <v>46091.0</v>
      </c>
      <c r="F18" s="32">
        <v>46092.0</v>
      </c>
      <c r="G18" s="32">
        <v>46092.0</v>
      </c>
      <c r="H18" s="14" t="s">
        <v>3252</v>
      </c>
      <c r="I18" s="14" t="s">
        <v>3237</v>
      </c>
      <c r="J18" s="14"/>
      <c r="K18" s="18">
        <f>HYPERLINK("https://app.hubspot.com/contacts/8748051/record/0-2/8762296116", 8762296116)</f>
        <v>8762296116</v>
      </c>
      <c r="L18" s="14" t="s">
        <v>112</v>
      </c>
      <c r="M18" s="18" t="s">
        <v>113</v>
      </c>
      <c r="N18" s="23">
        <f>HYPERLINK("https://app.hubspot.com/contacts/8748051/record/0-3/57833065393", 57833065393)</f>
        <v>57833065393</v>
      </c>
      <c r="O18" s="14" t="s">
        <v>111</v>
      </c>
      <c r="P18" s="14" t="s">
        <v>50</v>
      </c>
      <c r="Q18" s="14">
        <v>32500.0</v>
      </c>
      <c r="R18" s="14" t="b">
        <v>1</v>
      </c>
      <c r="S18" s="24" t="str">
        <f t="shared" ref="S18:U18" si="18">IF(E18&lt;&gt;"","Yes","")</f>
        <v>Yes</v>
      </c>
      <c r="T18" s="24" t="str">
        <f t="shared" si="18"/>
        <v>Yes</v>
      </c>
      <c r="U18" s="24" t="str">
        <f t="shared" si="18"/>
        <v>Yes</v>
      </c>
      <c r="V18" s="24" t="str">
        <f t="shared" si="3"/>
        <v/>
      </c>
      <c r="W18" s="14" t="str">
        <f t="shared" si="4"/>
        <v/>
      </c>
    </row>
    <row r="19" ht="14.25" customHeight="1">
      <c r="A19" s="18">
        <f>HYPERLINK("https://app.hubspot.com/contacts/8748051/record/0-1/206703961242", 206703961242)</f>
        <v>206703961242</v>
      </c>
      <c r="B19" s="14" t="s">
        <v>3265</v>
      </c>
      <c r="C19" s="16">
        <v>46084.389328703706</v>
      </c>
      <c r="D19" s="14"/>
      <c r="E19" s="32">
        <v>46084.0</v>
      </c>
      <c r="F19" s="32">
        <v>46085.0</v>
      </c>
      <c r="G19" s="32">
        <v>46085.0</v>
      </c>
      <c r="H19" s="14" t="s">
        <v>2689</v>
      </c>
      <c r="I19" s="14" t="s">
        <v>3243</v>
      </c>
      <c r="J19" s="14"/>
      <c r="K19" s="18">
        <f>HYPERLINK("https://app.hubspot.com/contacts/8748051/record/0-2/52429945224", 52429945224)</f>
        <v>52429945224</v>
      </c>
      <c r="L19" s="14" t="s">
        <v>126</v>
      </c>
      <c r="M19" s="18" t="s">
        <v>127</v>
      </c>
      <c r="N19" s="23">
        <f>HYPERLINK("https://app.hubspot.com/contacts/8748051/record/0-3/57388475262", 57388475262)</f>
        <v>57388475262</v>
      </c>
      <c r="O19" s="14" t="s">
        <v>123</v>
      </c>
      <c r="P19" s="14" t="s">
        <v>124</v>
      </c>
      <c r="Q19" s="14">
        <v>20000.0</v>
      </c>
      <c r="R19" s="14" t="b">
        <v>1</v>
      </c>
      <c r="S19" s="24" t="str">
        <f t="shared" ref="S19:U19" si="19">IF(E19&lt;&gt;"","Yes","")</f>
        <v>Yes</v>
      </c>
      <c r="T19" s="24" t="str">
        <f t="shared" si="19"/>
        <v>Yes</v>
      </c>
      <c r="U19" s="24" t="str">
        <f t="shared" si="19"/>
        <v>Yes</v>
      </c>
      <c r="V19" s="24" t="str">
        <f t="shared" si="3"/>
        <v/>
      </c>
      <c r="W19" s="14" t="str">
        <f t="shared" si="4"/>
        <v/>
      </c>
    </row>
    <row r="20" ht="14.25" customHeight="1">
      <c r="A20" s="18">
        <f>HYPERLINK("https://app.hubspot.com/contacts/8748051/record/0-1/206671860839", 206671860839)</f>
        <v>206671860839</v>
      </c>
      <c r="B20" s="14" t="s">
        <v>3266</v>
      </c>
      <c r="C20" s="16">
        <v>46084.23619212963</v>
      </c>
      <c r="D20" s="14"/>
      <c r="E20" s="32">
        <v>46084.0</v>
      </c>
      <c r="F20" s="32">
        <v>46084.0</v>
      </c>
      <c r="G20" s="32">
        <v>46084.0</v>
      </c>
      <c r="H20" s="14" t="s">
        <v>3237</v>
      </c>
      <c r="I20" s="14" t="s">
        <v>3237</v>
      </c>
      <c r="J20" s="14"/>
      <c r="K20" s="18">
        <f>HYPERLINK("https://app.hubspot.com/contacts/8748051/record/0-2/52433793158", 52433793158)</f>
        <v>52433793158</v>
      </c>
      <c r="L20" s="14" t="s">
        <v>129</v>
      </c>
      <c r="M20" s="18" t="s">
        <v>130</v>
      </c>
      <c r="N20" s="18">
        <f>HYPERLINK("https://app.hubspot.com/contacts/8748051/record/0-3/57398781292", 57398781292)</f>
        <v>57398781292</v>
      </c>
      <c r="O20" s="14" t="s">
        <v>128</v>
      </c>
      <c r="P20" s="14" t="s">
        <v>38</v>
      </c>
      <c r="Q20" s="14">
        <v>0.0</v>
      </c>
      <c r="R20" s="14"/>
      <c r="S20" s="24" t="str">
        <f t="shared" ref="S20:U20" si="20">IF(E20&lt;&gt;"","Yes","")</f>
        <v>Yes</v>
      </c>
      <c r="T20" s="24" t="str">
        <f t="shared" si="20"/>
        <v>Yes</v>
      </c>
      <c r="U20" s="24" t="str">
        <f t="shared" si="20"/>
        <v>Yes</v>
      </c>
      <c r="V20" s="24" t="str">
        <f t="shared" si="3"/>
        <v/>
      </c>
      <c r="W20" s="14" t="str">
        <f t="shared" si="4"/>
        <v/>
      </c>
    </row>
    <row r="21" ht="14.25" customHeight="1">
      <c r="A21" s="18">
        <f>HYPERLINK("https://app.hubspot.com/contacts/8748051/record/0-1/205993216093", 205993216093)</f>
        <v>205993216093</v>
      </c>
      <c r="B21" s="14" t="s">
        <v>3267</v>
      </c>
      <c r="C21" s="16">
        <v>46081.11581018518</v>
      </c>
      <c r="D21" s="16"/>
      <c r="E21" s="32">
        <v>46081.0</v>
      </c>
      <c r="F21" s="32">
        <v>46085.0</v>
      </c>
      <c r="G21" s="32">
        <v>46085.0</v>
      </c>
      <c r="H21" s="14" t="s">
        <v>3268</v>
      </c>
      <c r="I21" s="14" t="s">
        <v>3237</v>
      </c>
      <c r="J21" s="14"/>
      <c r="K21" s="18">
        <f>HYPERLINK("https://app.hubspot.com/contacts/8748051/record/0-2/52198138726", 52198138726)</f>
        <v>52198138726</v>
      </c>
      <c r="L21" s="14" t="s">
        <v>138</v>
      </c>
      <c r="M21" s="18" t="s">
        <v>139</v>
      </c>
      <c r="N21" s="18">
        <f>HYPERLINK("https://app.hubspot.com/contacts/8748051/record/0-3/57219368517", 57219368517)</f>
        <v>57219368517</v>
      </c>
      <c r="O21" s="14" t="s">
        <v>137</v>
      </c>
      <c r="P21" s="14" t="s">
        <v>38</v>
      </c>
      <c r="Q21" s="14">
        <v>500.0</v>
      </c>
      <c r="R21" s="14"/>
      <c r="S21" s="24" t="str">
        <f t="shared" ref="S21:U21" si="21">IF(E21&lt;&gt;"","Yes","")</f>
        <v>Yes</v>
      </c>
      <c r="T21" s="24" t="str">
        <f t="shared" si="21"/>
        <v>Yes</v>
      </c>
      <c r="U21" s="24" t="str">
        <f t="shared" si="21"/>
        <v>Yes</v>
      </c>
      <c r="V21" s="24" t="str">
        <f t="shared" si="3"/>
        <v/>
      </c>
      <c r="W21" s="14" t="str">
        <f t="shared" si="4"/>
        <v/>
      </c>
    </row>
    <row r="22" ht="14.25" customHeight="1">
      <c r="A22" s="18">
        <f>HYPERLINK("https://app.hubspot.com/contacts/8748051/record/0-1/197826170154", 197826170154)</f>
        <v>197826170154</v>
      </c>
      <c r="B22" s="14" t="s">
        <v>3269</v>
      </c>
      <c r="C22" s="16">
        <v>46080.66068287037</v>
      </c>
      <c r="D22" s="14"/>
      <c r="E22" s="32">
        <v>46081.0</v>
      </c>
      <c r="F22" s="32">
        <v>46091.0</v>
      </c>
      <c r="G22" s="32">
        <v>46091.0</v>
      </c>
      <c r="H22" s="14" t="s">
        <v>3270</v>
      </c>
      <c r="I22" s="14" t="s">
        <v>152</v>
      </c>
      <c r="J22" s="14"/>
      <c r="K22" s="18">
        <f>HYPERLINK("https://app.hubspot.com/contacts/8748051/record/0-2/52248697149", 52248697149)</f>
        <v>52248697149</v>
      </c>
      <c r="L22" s="14" t="s">
        <v>142</v>
      </c>
      <c r="M22" s="18" t="s">
        <v>143</v>
      </c>
      <c r="N22" s="23">
        <f>HYPERLINK("https://app.hubspot.com/contacts/8748051/record/0-3/57137183797", 57137183797)</f>
        <v>57137183797</v>
      </c>
      <c r="O22" s="14" t="s">
        <v>140</v>
      </c>
      <c r="P22" s="14" t="s">
        <v>124</v>
      </c>
      <c r="Q22" s="14">
        <v>3000.0</v>
      </c>
      <c r="R22" s="14"/>
      <c r="S22" s="24" t="str">
        <f t="shared" ref="S22:U22" si="22">IF(E22&lt;&gt;"","Yes","")</f>
        <v>Yes</v>
      </c>
      <c r="T22" s="24" t="str">
        <f t="shared" si="22"/>
        <v>Yes</v>
      </c>
      <c r="U22" s="24" t="str">
        <f t="shared" si="22"/>
        <v>Yes</v>
      </c>
      <c r="V22" s="24" t="str">
        <f t="shared" si="3"/>
        <v/>
      </c>
      <c r="W22" s="14" t="str">
        <f t="shared" si="4"/>
        <v/>
      </c>
    </row>
    <row r="23" ht="14.25" customHeight="1">
      <c r="A23" s="18">
        <f>HYPERLINK("https://app.hubspot.com/contacts/8748051/record/0-1/205659557961", 205659557961)</f>
        <v>205659557961</v>
      </c>
      <c r="B23" s="14" t="s">
        <v>3271</v>
      </c>
      <c r="C23" s="16">
        <v>46079.59806712963</v>
      </c>
      <c r="D23" s="14"/>
      <c r="E23" s="32">
        <v>46080.0</v>
      </c>
      <c r="F23" s="32">
        <v>46083.0</v>
      </c>
      <c r="G23" s="32">
        <v>46083.0</v>
      </c>
      <c r="H23" s="14" t="s">
        <v>3272</v>
      </c>
      <c r="I23" s="14" t="s">
        <v>3237</v>
      </c>
      <c r="J23" s="14"/>
      <c r="K23" s="18">
        <f>HYPERLINK("https://app.hubspot.com/contacts/8748051/record/0-2/52161971734", 52161971734)</f>
        <v>52161971734</v>
      </c>
      <c r="L23" s="14" t="s">
        <v>148</v>
      </c>
      <c r="M23" s="18" t="s">
        <v>149</v>
      </c>
      <c r="N23" s="18">
        <f>HYPERLINK("https://app.hubspot.com/contacts/8748051/record/0-3/57114347057", 57114347057)</f>
        <v>57114347057</v>
      </c>
      <c r="O23" s="14" t="s">
        <v>144</v>
      </c>
      <c r="P23" s="14" t="s">
        <v>146</v>
      </c>
      <c r="Q23" s="14">
        <v>8500.0</v>
      </c>
      <c r="R23" s="14" t="b">
        <v>1</v>
      </c>
      <c r="S23" s="24" t="str">
        <f t="shared" ref="S23:U23" si="23">IF(E23&lt;&gt;"","Yes","")</f>
        <v>Yes</v>
      </c>
      <c r="T23" s="24" t="str">
        <f t="shared" si="23"/>
        <v>Yes</v>
      </c>
      <c r="U23" s="24" t="str">
        <f t="shared" si="23"/>
        <v>Yes</v>
      </c>
      <c r="V23" s="24" t="str">
        <f t="shared" si="3"/>
        <v/>
      </c>
      <c r="W23" s="14" t="str">
        <f t="shared" si="4"/>
        <v>Yes</v>
      </c>
    </row>
    <row r="24" ht="14.25" customHeight="1">
      <c r="A24" s="18">
        <f>HYPERLINK("https://app.hubspot.com/contacts/8748051/record/0-1/163869539214", 163869539214)</f>
        <v>163869539214</v>
      </c>
      <c r="B24" s="14" t="s">
        <v>3273</v>
      </c>
      <c r="C24" s="16">
        <v>46078.69497685185</v>
      </c>
      <c r="D24" s="14"/>
      <c r="E24" s="32">
        <v>46079.0</v>
      </c>
      <c r="F24" s="32">
        <v>46080.0</v>
      </c>
      <c r="G24" s="32">
        <v>46080.0</v>
      </c>
      <c r="H24" s="14" t="s">
        <v>3274</v>
      </c>
      <c r="I24" s="14" t="s">
        <v>152</v>
      </c>
      <c r="J24" s="14" t="s">
        <v>3247</v>
      </c>
      <c r="K24" s="18">
        <f>HYPERLINK("https://app.hubspot.com/contacts/8748051/record/0-2/41632615322", 41632615322)</f>
        <v>41632615322</v>
      </c>
      <c r="L24" s="14" t="s">
        <v>169</v>
      </c>
      <c r="M24" s="18" t="s">
        <v>170</v>
      </c>
      <c r="N24" s="23">
        <f>HYPERLINK("https://app.hubspot.com/contacts/8748051/record/0-3/57049619590", 57049619590)</f>
        <v>57049619590</v>
      </c>
      <c r="O24" s="14" t="s">
        <v>167</v>
      </c>
      <c r="P24" s="14" t="s">
        <v>146</v>
      </c>
      <c r="Q24" s="14">
        <v>23000.0</v>
      </c>
      <c r="R24" s="14" t="b">
        <v>1</v>
      </c>
      <c r="S24" s="24" t="str">
        <f t="shared" ref="S24:U24" si="24">IF(E24&lt;&gt;"","Yes","")</f>
        <v>Yes</v>
      </c>
      <c r="T24" s="24" t="str">
        <f t="shared" si="24"/>
        <v>Yes</v>
      </c>
      <c r="U24" s="24" t="str">
        <f t="shared" si="24"/>
        <v>Yes</v>
      </c>
      <c r="V24" s="24" t="str">
        <f t="shared" si="3"/>
        <v/>
      </c>
      <c r="W24" s="14" t="str">
        <f t="shared" si="4"/>
        <v>Yes</v>
      </c>
    </row>
    <row r="25" ht="14.25" customHeight="1">
      <c r="A25" s="18">
        <f>HYPERLINK("https://app.hubspot.com/contacts/8748051/record/0-1/204086140428", 204086140428)</f>
        <v>204086140428</v>
      </c>
      <c r="B25" s="14" t="s">
        <v>3275</v>
      </c>
      <c r="C25" s="16">
        <v>46073.26582175926</v>
      </c>
      <c r="D25" s="14"/>
      <c r="E25" s="32"/>
      <c r="F25" s="32"/>
      <c r="G25" s="32"/>
      <c r="H25" s="14"/>
      <c r="I25" s="14"/>
      <c r="J25" s="24"/>
      <c r="K25" s="18">
        <f>HYPERLINK("https://app.hubspot.com/contacts/8748051/record/0-2/51630411326", 51630411326)</f>
        <v>51630411326</v>
      </c>
      <c r="L25" s="14" t="s">
        <v>3276</v>
      </c>
      <c r="M25" s="18" t="s">
        <v>3277</v>
      </c>
      <c r="N25" s="14"/>
      <c r="O25" s="14"/>
      <c r="P25" s="14"/>
      <c r="Q25" s="14"/>
      <c r="R25" s="14"/>
      <c r="S25" s="24" t="str">
        <f t="shared" ref="S25:U25" si="25">IF(E25&lt;&gt;"","Yes","")</f>
        <v/>
      </c>
      <c r="T25" s="24" t="str">
        <f t="shared" si="25"/>
        <v/>
      </c>
      <c r="U25" s="24" t="str">
        <f t="shared" si="25"/>
        <v/>
      </c>
      <c r="V25" s="24" t="str">
        <f t="shared" si="3"/>
        <v/>
      </c>
      <c r="W25" s="14" t="str">
        <f t="shared" si="4"/>
        <v/>
      </c>
    </row>
    <row r="26" ht="14.25" customHeight="1">
      <c r="A26" s="18">
        <f>HYPERLINK("https://app.hubspot.com/contacts/8748051/record/0-1/203608324409", 203608324409)</f>
        <v>203608324409</v>
      </c>
      <c r="B26" s="14" t="s">
        <v>3278</v>
      </c>
      <c r="C26" s="16">
        <v>46071.403344907405</v>
      </c>
      <c r="D26" s="14" t="s">
        <v>3279</v>
      </c>
      <c r="E26" s="32"/>
      <c r="F26" s="32"/>
      <c r="G26" s="32"/>
      <c r="H26" s="14" t="s">
        <v>3280</v>
      </c>
      <c r="I26" s="14" t="s">
        <v>3243</v>
      </c>
      <c r="J26" s="14"/>
      <c r="K26" s="18">
        <f>HYPERLINK("https://app.hubspot.com/contacts/8748051/record/0-2/51547282860", 51547282860)</f>
        <v>51547282860</v>
      </c>
      <c r="L26" s="14" t="s">
        <v>3281</v>
      </c>
      <c r="M26" s="18" t="s">
        <v>3282</v>
      </c>
      <c r="N26" s="14"/>
      <c r="O26" s="14"/>
      <c r="P26" s="14"/>
      <c r="Q26" s="14"/>
      <c r="R26" s="14"/>
      <c r="S26" s="24" t="str">
        <f t="shared" ref="S26:U26" si="26">IF(E26&lt;&gt;"","Yes","")</f>
        <v/>
      </c>
      <c r="T26" s="24" t="str">
        <f t="shared" si="26"/>
        <v/>
      </c>
      <c r="U26" s="24" t="str">
        <f t="shared" si="26"/>
        <v/>
      </c>
      <c r="V26" s="24" t="str">
        <f t="shared" si="3"/>
        <v/>
      </c>
      <c r="W26" s="14" t="str">
        <f t="shared" si="4"/>
        <v/>
      </c>
    </row>
    <row r="27" ht="14.25" customHeight="1">
      <c r="A27" s="18">
        <f>HYPERLINK("https://app.hubspot.com/contacts/8748051/record/0-1/201916599337", 201916599337)</f>
        <v>201916599337</v>
      </c>
      <c r="B27" s="14" t="s">
        <v>3283</v>
      </c>
      <c r="C27" s="16">
        <v>46065.7953125</v>
      </c>
      <c r="D27" s="14"/>
      <c r="E27" s="32">
        <v>46066.0</v>
      </c>
      <c r="F27" s="32">
        <v>46079.0</v>
      </c>
      <c r="G27" s="32">
        <v>46079.0</v>
      </c>
      <c r="H27" s="14" t="s">
        <v>3284</v>
      </c>
      <c r="I27" s="14" t="s">
        <v>152</v>
      </c>
      <c r="J27" s="14"/>
      <c r="K27" s="18">
        <f>HYPERLINK("https://app.hubspot.com/contacts/8748051/record/0-2/51272752282", 51272752282)</f>
        <v>51272752282</v>
      </c>
      <c r="L27" s="14" t="s">
        <v>196</v>
      </c>
      <c r="M27" s="18" t="s">
        <v>197</v>
      </c>
      <c r="N27" s="23">
        <f>HYPERLINK("https://app.hubspot.com/contacts/8748051/record/0-3/56137197580", 56137197580)</f>
        <v>56137197580</v>
      </c>
      <c r="O27" s="14" t="s">
        <v>194</v>
      </c>
      <c r="P27" s="14" t="s">
        <v>124</v>
      </c>
      <c r="Q27" s="14">
        <v>500.0</v>
      </c>
      <c r="R27" s="14"/>
      <c r="S27" s="24" t="str">
        <f t="shared" ref="S27:U27" si="27">IF(E27&lt;&gt;"","Yes","")</f>
        <v>Yes</v>
      </c>
      <c r="T27" s="24" t="str">
        <f t="shared" si="27"/>
        <v>Yes</v>
      </c>
      <c r="U27" s="24" t="str">
        <f t="shared" si="27"/>
        <v>Yes</v>
      </c>
      <c r="V27" s="24" t="str">
        <f t="shared" si="3"/>
        <v/>
      </c>
      <c r="W27" s="14" t="str">
        <f t="shared" si="4"/>
        <v/>
      </c>
    </row>
    <row r="28" ht="14.25" customHeight="1">
      <c r="A28" s="18">
        <f>HYPERLINK("https://app.hubspot.com/contacts/8748051/record/0-1/201573956360", 201573956360)</f>
        <v>201573956360</v>
      </c>
      <c r="B28" s="14" t="s">
        <v>3285</v>
      </c>
      <c r="C28" s="16">
        <v>46064.59548611111</v>
      </c>
      <c r="D28" s="14"/>
      <c r="E28" s="32">
        <v>46073.0</v>
      </c>
      <c r="F28" s="32">
        <v>46070.0</v>
      </c>
      <c r="G28" s="32">
        <v>46070.0</v>
      </c>
      <c r="H28" s="14" t="s">
        <v>3286</v>
      </c>
      <c r="I28" s="14" t="s">
        <v>152</v>
      </c>
      <c r="J28" s="14" t="s">
        <v>3247</v>
      </c>
      <c r="K28" s="18">
        <f>HYPERLINK("https://app.hubspot.com/contacts/8748051/record/0-2/18415173681", 18415173681)</f>
        <v>18415173681</v>
      </c>
      <c r="L28" s="14" t="s">
        <v>199</v>
      </c>
      <c r="M28" s="18" t="s">
        <v>200</v>
      </c>
      <c r="N28" s="18">
        <f>HYPERLINK("https://app.hubspot.com/contacts/8748051/record/0-3/56125966216", 56125966216)</f>
        <v>56125966216</v>
      </c>
      <c r="O28" s="14" t="s">
        <v>198</v>
      </c>
      <c r="P28" s="14" t="s">
        <v>50</v>
      </c>
      <c r="Q28" s="14">
        <v>30000.0</v>
      </c>
      <c r="R28" s="14" t="b">
        <v>1</v>
      </c>
      <c r="S28" s="24" t="str">
        <f t="shared" ref="S28:U28" si="28">IF(E28&lt;&gt;"","Yes","")</f>
        <v>Yes</v>
      </c>
      <c r="T28" s="24" t="str">
        <f t="shared" si="28"/>
        <v>Yes</v>
      </c>
      <c r="U28" s="24" t="str">
        <f t="shared" si="28"/>
        <v>Yes</v>
      </c>
      <c r="V28" s="24" t="str">
        <f t="shared" si="3"/>
        <v/>
      </c>
      <c r="W28" s="14" t="str">
        <f t="shared" si="4"/>
        <v/>
      </c>
    </row>
    <row r="29" ht="14.25" customHeight="1">
      <c r="A29" s="18">
        <f>HYPERLINK("https://app.hubspot.com/contacts/8748051/record/0-1/200594813059", 200594813059)</f>
        <v>200594813059</v>
      </c>
      <c r="B29" s="14" t="s">
        <v>3287</v>
      </c>
      <c r="C29" s="16">
        <v>46062.33143518519</v>
      </c>
      <c r="D29" s="14" t="s">
        <v>3288</v>
      </c>
      <c r="E29" s="32"/>
      <c r="F29" s="32"/>
      <c r="G29" s="32"/>
      <c r="H29" s="14" t="s">
        <v>3289</v>
      </c>
      <c r="I29" s="14" t="s">
        <v>3240</v>
      </c>
      <c r="J29" s="14"/>
      <c r="K29" s="18">
        <f>HYPERLINK("https://app.hubspot.com/contacts/8748051/record/0-2/7914190947", 7914190947)</f>
        <v>7914190947</v>
      </c>
      <c r="L29" s="14" t="s">
        <v>1163</v>
      </c>
      <c r="M29" s="18" t="s">
        <v>1164</v>
      </c>
      <c r="N29" s="24"/>
      <c r="O29" s="14"/>
      <c r="P29" s="14"/>
      <c r="Q29" s="14"/>
      <c r="R29" s="14"/>
      <c r="S29" s="24" t="str">
        <f t="shared" ref="S29:U29" si="29">IF(E29&lt;&gt;"","Yes","")</f>
        <v/>
      </c>
      <c r="T29" s="24" t="str">
        <f t="shared" si="29"/>
        <v/>
      </c>
      <c r="U29" s="24" t="str">
        <f t="shared" si="29"/>
        <v/>
      </c>
      <c r="V29" s="24" t="str">
        <f t="shared" si="3"/>
        <v/>
      </c>
      <c r="W29" s="14" t="str">
        <f t="shared" si="4"/>
        <v/>
      </c>
    </row>
    <row r="30" ht="14.25" customHeight="1">
      <c r="A30" s="18">
        <f>HYPERLINK("https://app.hubspot.com/contacts/8748051/record/0-1/200497474872", 200497474872)</f>
        <v>200497474872</v>
      </c>
      <c r="B30" s="14" t="s">
        <v>3290</v>
      </c>
      <c r="C30" s="16">
        <v>46062.16909722222</v>
      </c>
      <c r="D30" s="14" t="s">
        <v>3291</v>
      </c>
      <c r="E30" s="32"/>
      <c r="F30" s="32"/>
      <c r="G30" s="32"/>
      <c r="H30" s="14" t="s">
        <v>3292</v>
      </c>
      <c r="I30" s="14" t="s">
        <v>152</v>
      </c>
      <c r="J30" s="14"/>
      <c r="K30" s="18">
        <f>HYPERLINK("https://app.hubspot.com/contacts/8748051/record/0-2/50847208248", 50847208248)</f>
        <v>50847208248</v>
      </c>
      <c r="L30" s="14" t="s">
        <v>3293</v>
      </c>
      <c r="M30" s="18" t="s">
        <v>3294</v>
      </c>
      <c r="N30" s="14"/>
      <c r="O30" s="14"/>
      <c r="P30" s="14"/>
      <c r="Q30" s="14"/>
      <c r="R30" s="14"/>
      <c r="S30" s="24" t="str">
        <f t="shared" ref="S30:U30" si="30">IF(E30&lt;&gt;"","Yes","")</f>
        <v/>
      </c>
      <c r="T30" s="24" t="str">
        <f t="shared" si="30"/>
        <v/>
      </c>
      <c r="U30" s="24" t="str">
        <f t="shared" si="30"/>
        <v/>
      </c>
      <c r="V30" s="24" t="str">
        <f t="shared" si="3"/>
        <v/>
      </c>
      <c r="W30" s="14" t="str">
        <f t="shared" si="4"/>
        <v/>
      </c>
    </row>
    <row r="31" ht="14.25" customHeight="1">
      <c r="A31" s="18">
        <f>HYPERLINK("https://app.hubspot.com/contacts/8748051/record/0-1/200119139930", 200119139930)</f>
        <v>200119139930</v>
      </c>
      <c r="B31" s="14" t="s">
        <v>3295</v>
      </c>
      <c r="C31" s="16">
        <v>46059.8419212963</v>
      </c>
      <c r="D31" s="16"/>
      <c r="E31" s="32">
        <v>46060.0</v>
      </c>
      <c r="F31" s="32"/>
      <c r="G31" s="32"/>
      <c r="H31" s="14" t="s">
        <v>3296</v>
      </c>
      <c r="I31" s="14" t="s">
        <v>3237</v>
      </c>
      <c r="J31" s="14"/>
      <c r="K31" s="18">
        <f>HYPERLINK("https://app.hubspot.com/contacts/8748051/record/0-2/19176652457", 19176652457)</f>
        <v>19176652457</v>
      </c>
      <c r="L31" s="14" t="s">
        <v>3297</v>
      </c>
      <c r="M31" s="18" t="s">
        <v>3298</v>
      </c>
      <c r="N31" s="14"/>
      <c r="O31" s="14"/>
      <c r="P31" s="14"/>
      <c r="Q31" s="14"/>
      <c r="R31" s="14"/>
      <c r="S31" s="24" t="str">
        <f t="shared" ref="S31:U31" si="31">IF(E31&lt;&gt;"","Yes","")</f>
        <v>Yes</v>
      </c>
      <c r="T31" s="24" t="str">
        <f t="shared" si="31"/>
        <v/>
      </c>
      <c r="U31" s="24" t="str">
        <f t="shared" si="31"/>
        <v/>
      </c>
      <c r="V31" s="24" t="str">
        <f t="shared" si="3"/>
        <v/>
      </c>
      <c r="W31" s="14" t="str">
        <f t="shared" si="4"/>
        <v/>
      </c>
    </row>
    <row r="32" ht="14.25" customHeight="1">
      <c r="A32" s="18">
        <f>HYPERLINK("https://app.hubspot.com/contacts/8748051/record/0-1/199891897946", 199891897946)</f>
        <v>199891897946</v>
      </c>
      <c r="B32" s="14" t="s">
        <v>3299</v>
      </c>
      <c r="C32" s="16">
        <v>46058.9687962963</v>
      </c>
      <c r="D32" s="14"/>
      <c r="E32" s="32">
        <v>46059.0</v>
      </c>
      <c r="F32" s="32">
        <v>46064.0</v>
      </c>
      <c r="G32" s="32">
        <v>46064.0</v>
      </c>
      <c r="H32" s="14" t="s">
        <v>3300</v>
      </c>
      <c r="I32" s="14" t="s">
        <v>3237</v>
      </c>
      <c r="J32" s="14"/>
      <c r="K32" s="18">
        <f>HYPERLINK("https://app.hubspot.com/contacts/8748051/record/0-2/7646062645", 7646062645)</f>
        <v>7646062645</v>
      </c>
      <c r="L32" s="18" t="s">
        <v>212</v>
      </c>
      <c r="M32" s="18" t="s">
        <v>213</v>
      </c>
      <c r="N32" s="23">
        <f>HYPERLINK("https://app.hubspot.com/contacts/8748051/record/0-3/55816943678", 55816943678)</f>
        <v>55816943678</v>
      </c>
      <c r="O32" s="14" t="s">
        <v>210</v>
      </c>
      <c r="P32" s="14" t="s">
        <v>118</v>
      </c>
      <c r="Q32" s="14">
        <v>25000.0</v>
      </c>
      <c r="R32" s="14"/>
      <c r="S32" s="24" t="str">
        <f t="shared" ref="S32:U32" si="32">IF(E32&lt;&gt;"","Yes","")</f>
        <v>Yes</v>
      </c>
      <c r="T32" s="24" t="str">
        <f t="shared" si="32"/>
        <v>Yes</v>
      </c>
      <c r="U32" s="24" t="str">
        <f t="shared" si="32"/>
        <v>Yes</v>
      </c>
      <c r="V32" s="24" t="str">
        <f t="shared" si="3"/>
        <v/>
      </c>
      <c r="W32" s="14" t="str">
        <f t="shared" si="4"/>
        <v/>
      </c>
    </row>
    <row r="33" ht="14.25" customHeight="1">
      <c r="A33" s="18">
        <f>HYPERLINK("https://app.hubspot.com/contacts/8748051/record/0-1/197816085633", 197816085633)</f>
        <v>197816085633</v>
      </c>
      <c r="B33" s="14" t="s">
        <v>3301</v>
      </c>
      <c r="C33" s="16">
        <v>46052.430555555555</v>
      </c>
      <c r="D33" s="14"/>
      <c r="E33" s="32">
        <v>46052.0</v>
      </c>
      <c r="F33" s="32">
        <v>46056.0</v>
      </c>
      <c r="G33" s="32"/>
      <c r="H33" s="14" t="s">
        <v>3302</v>
      </c>
      <c r="I33" s="14" t="s">
        <v>3240</v>
      </c>
      <c r="J33" s="14"/>
      <c r="K33" s="18">
        <f>HYPERLINK("https://app.hubspot.com/contacts/8748051/record/0-2/50242061138", 50242061138)</f>
        <v>50242061138</v>
      </c>
      <c r="L33" s="14" t="s">
        <v>233</v>
      </c>
      <c r="M33" s="18" t="s">
        <v>234</v>
      </c>
      <c r="N33" s="18">
        <f>HYPERLINK("https://app.hubspot.com/contacts/8748051/record/0-3/55080753511", 55080753511)</f>
        <v>55080753511</v>
      </c>
      <c r="O33" s="14" t="s">
        <v>231</v>
      </c>
      <c r="P33" s="14" t="s">
        <v>118</v>
      </c>
      <c r="Q33" s="14">
        <v>500.0</v>
      </c>
      <c r="R33" s="14"/>
      <c r="S33" s="24" t="str">
        <f t="shared" ref="S33:U33" si="33">IF(E33&lt;&gt;"","Yes","")</f>
        <v>Yes</v>
      </c>
      <c r="T33" s="24" t="str">
        <f t="shared" si="33"/>
        <v>Yes</v>
      </c>
      <c r="U33" s="24" t="str">
        <f t="shared" si="33"/>
        <v/>
      </c>
      <c r="V33" s="24" t="str">
        <f t="shared" si="3"/>
        <v/>
      </c>
      <c r="W33" s="14" t="str">
        <f t="shared" si="4"/>
        <v/>
      </c>
    </row>
    <row r="34" ht="14.25" customHeight="1">
      <c r="A34" s="18">
        <f>HYPERLINK("https://app.hubspot.com/contacts/8748051/record/0-1/197822735646", 197822735646)</f>
        <v>197822735646</v>
      </c>
      <c r="B34" s="14" t="s">
        <v>3303</v>
      </c>
      <c r="C34" s="16">
        <v>46052.364849537036</v>
      </c>
      <c r="D34" s="14" t="s">
        <v>3304</v>
      </c>
      <c r="E34" s="32"/>
      <c r="F34" s="32"/>
      <c r="G34" s="32"/>
      <c r="H34" s="14" t="s">
        <v>1071</v>
      </c>
      <c r="I34" s="14" t="s">
        <v>3240</v>
      </c>
      <c r="J34" s="14"/>
      <c r="K34" s="18">
        <f>HYPERLINK("https://app.hubspot.com/contacts/8748051/record/0-2/50228766477", 50228766477)</f>
        <v>50228766477</v>
      </c>
      <c r="L34" s="14" t="s">
        <v>3305</v>
      </c>
      <c r="M34" s="18" t="s">
        <v>3306</v>
      </c>
      <c r="N34" s="14"/>
      <c r="O34" s="14"/>
      <c r="P34" s="14"/>
      <c r="Q34" s="14"/>
      <c r="R34" s="14"/>
      <c r="S34" s="24" t="str">
        <f t="shared" ref="S34:U34" si="34">IF(E34&lt;&gt;"","Yes","")</f>
        <v/>
      </c>
      <c r="T34" s="24" t="str">
        <f t="shared" si="34"/>
        <v/>
      </c>
      <c r="U34" s="24" t="str">
        <f t="shared" si="34"/>
        <v/>
      </c>
      <c r="V34" s="24" t="str">
        <f t="shared" si="3"/>
        <v/>
      </c>
      <c r="W34" s="14" t="str">
        <f t="shared" si="4"/>
        <v/>
      </c>
    </row>
    <row r="35" ht="14.25" customHeight="1">
      <c r="A35" s="18">
        <f>HYPERLINK("https://app.hubspot.com/contacts/8748051/record/0-1/197728246887", 197728246887)</f>
        <v>197728246887</v>
      </c>
      <c r="B35" s="14" t="s">
        <v>3307</v>
      </c>
      <c r="C35" s="16">
        <v>46052.05677083333</v>
      </c>
      <c r="D35" s="14"/>
      <c r="E35" s="32">
        <v>46052.0</v>
      </c>
      <c r="F35" s="32"/>
      <c r="G35" s="32"/>
      <c r="H35" s="14" t="s">
        <v>3308</v>
      </c>
      <c r="I35" s="14" t="s">
        <v>3237</v>
      </c>
      <c r="J35" s="14"/>
      <c r="K35" s="18">
        <f>HYPERLINK("https://app.hubspot.com/contacts/8748051/record/0-2/50230301871", 50230301871)</f>
        <v>50230301871</v>
      </c>
      <c r="L35" s="14" t="s">
        <v>3309</v>
      </c>
      <c r="M35" s="18" t="s">
        <v>3310</v>
      </c>
      <c r="N35" s="24"/>
      <c r="O35" s="14"/>
      <c r="P35" s="14"/>
      <c r="Q35" s="14"/>
      <c r="R35" s="14"/>
      <c r="S35" s="24" t="str">
        <f t="shared" ref="S35:U35" si="35">IF(E35&lt;&gt;"","Yes","")</f>
        <v>Yes</v>
      </c>
      <c r="T35" s="24" t="str">
        <f t="shared" si="35"/>
        <v/>
      </c>
      <c r="U35" s="24" t="str">
        <f t="shared" si="35"/>
        <v/>
      </c>
      <c r="V35" s="24" t="str">
        <f t="shared" si="3"/>
        <v/>
      </c>
      <c r="W35" s="14" t="str">
        <f t="shared" si="4"/>
        <v/>
      </c>
    </row>
    <row r="36" ht="14.25" customHeight="1">
      <c r="A36" s="18">
        <f>HYPERLINK("https://app.hubspot.com/contacts/8748051/record/0-1/197346398843", 197346398843)</f>
        <v>197346398843</v>
      </c>
      <c r="B36" s="14" t="s">
        <v>3311</v>
      </c>
      <c r="C36" s="16">
        <v>46050.97659722222</v>
      </c>
      <c r="D36" s="16"/>
      <c r="E36" s="32">
        <v>46051.0</v>
      </c>
      <c r="F36" s="32">
        <v>46057.0</v>
      </c>
      <c r="G36" s="32">
        <v>46057.0</v>
      </c>
      <c r="H36" s="14" t="s">
        <v>3234</v>
      </c>
      <c r="I36" s="14" t="s">
        <v>3235</v>
      </c>
      <c r="J36" s="14" t="s">
        <v>3247</v>
      </c>
      <c r="K36" s="18">
        <f>HYPERLINK("https://app.hubspot.com/contacts/8748051/record/0-2/9238289492", 9238289492)</f>
        <v>9238289492</v>
      </c>
      <c r="L36" s="14" t="s">
        <v>237</v>
      </c>
      <c r="M36" s="18" t="s">
        <v>238</v>
      </c>
      <c r="N36" s="23">
        <f>HYPERLINK("https://app.hubspot.com/contacts/8748051/record/0-3/54975935143", 54975935143)</f>
        <v>54975935143</v>
      </c>
      <c r="O36" s="14" t="s">
        <v>235</v>
      </c>
      <c r="P36" s="14" t="s">
        <v>124</v>
      </c>
      <c r="Q36" s="14">
        <v>35000.0</v>
      </c>
      <c r="R36" s="14" t="b">
        <v>1</v>
      </c>
      <c r="S36" s="24" t="str">
        <f t="shared" ref="S36:U36" si="36">IF(E36&lt;&gt;"","Yes","")</f>
        <v>Yes</v>
      </c>
      <c r="T36" s="24" t="str">
        <f t="shared" si="36"/>
        <v>Yes</v>
      </c>
      <c r="U36" s="24" t="str">
        <f t="shared" si="36"/>
        <v>Yes</v>
      </c>
      <c r="V36" s="24" t="str">
        <f t="shared" si="3"/>
        <v/>
      </c>
      <c r="W36" s="14" t="str">
        <f t="shared" si="4"/>
        <v/>
      </c>
    </row>
    <row r="37" ht="14.25" customHeight="1">
      <c r="A37" s="18">
        <f>HYPERLINK("https://app.hubspot.com/contacts/8748051/record/0-1/197125418627", 197125418627)</f>
        <v>197125418627</v>
      </c>
      <c r="B37" s="14" t="s">
        <v>3312</v>
      </c>
      <c r="C37" s="16">
        <v>46050.310636574075</v>
      </c>
      <c r="D37" s="14"/>
      <c r="E37" s="32">
        <v>46050.0</v>
      </c>
      <c r="F37" s="32">
        <v>46055.0</v>
      </c>
      <c r="G37" s="32">
        <v>46055.0</v>
      </c>
      <c r="H37" s="14" t="s">
        <v>3296</v>
      </c>
      <c r="I37" s="14" t="s">
        <v>3237</v>
      </c>
      <c r="J37" s="14"/>
      <c r="K37" s="18">
        <f>HYPERLINK("https://app.hubspot.com/contacts/8748051/record/0-2/49960779408", 49960779408)</f>
        <v>49960779408</v>
      </c>
      <c r="L37" s="14" t="s">
        <v>241</v>
      </c>
      <c r="M37" s="18" t="s">
        <v>242</v>
      </c>
      <c r="N37" s="23">
        <f>HYPERLINK("https://app.hubspot.com/contacts/8748051/record/0-3/54944809320", 54944809320)</f>
        <v>54944809320</v>
      </c>
      <c r="O37" s="14" t="s">
        <v>239</v>
      </c>
      <c r="P37" s="14" t="s">
        <v>124</v>
      </c>
      <c r="Q37" s="14">
        <v>15000.0</v>
      </c>
      <c r="R37" s="14" t="b">
        <v>1</v>
      </c>
      <c r="S37" s="24" t="str">
        <f t="shared" ref="S37:U37" si="37">IF(E37&lt;&gt;"","Yes","")</f>
        <v>Yes</v>
      </c>
      <c r="T37" s="24" t="str">
        <f t="shared" si="37"/>
        <v>Yes</v>
      </c>
      <c r="U37" s="24" t="str">
        <f t="shared" si="37"/>
        <v>Yes</v>
      </c>
      <c r="V37" s="24" t="str">
        <f t="shared" si="3"/>
        <v/>
      </c>
      <c r="W37" s="14" t="str">
        <f t="shared" si="4"/>
        <v/>
      </c>
    </row>
    <row r="38" ht="14.25" customHeight="1">
      <c r="A38" s="18">
        <f>HYPERLINK("https://app.hubspot.com/contacts/8748051/record/0-1/196026413414", 196026413414)</f>
        <v>196026413414</v>
      </c>
      <c r="B38" s="14" t="s">
        <v>3313</v>
      </c>
      <c r="C38" s="16">
        <v>46047.983564814815</v>
      </c>
      <c r="D38" s="14"/>
      <c r="E38" s="32">
        <v>46048.0</v>
      </c>
      <c r="F38" s="32">
        <v>46049.0</v>
      </c>
      <c r="G38" s="32">
        <v>46049.0</v>
      </c>
      <c r="H38" s="14" t="s">
        <v>3314</v>
      </c>
      <c r="I38" s="14" t="s">
        <v>152</v>
      </c>
      <c r="J38" s="14" t="s">
        <v>3247</v>
      </c>
      <c r="K38" s="18">
        <f>HYPERLINK("https://app.hubspot.com/contacts/8748051/record/0-2/49640665012", 49640665012)</f>
        <v>49640665012</v>
      </c>
      <c r="L38" s="14" t="s">
        <v>245</v>
      </c>
      <c r="M38" s="18" t="s">
        <v>246</v>
      </c>
      <c r="N38" s="18">
        <f>HYPERLINK("https://app.hubspot.com/contacts/8748051/record/0-3/54545581328", 54545581328)</f>
        <v>54545581328</v>
      </c>
      <c r="O38" s="14" t="s">
        <v>243</v>
      </c>
      <c r="P38" s="14" t="s">
        <v>124</v>
      </c>
      <c r="Q38" s="14">
        <v>15000.0</v>
      </c>
      <c r="R38" s="14" t="b">
        <v>1</v>
      </c>
      <c r="S38" s="24" t="str">
        <f t="shared" ref="S38:U38" si="38">IF(E38&lt;&gt;"","Yes","")</f>
        <v>Yes</v>
      </c>
      <c r="T38" s="24" t="str">
        <f t="shared" si="38"/>
        <v>Yes</v>
      </c>
      <c r="U38" s="24" t="str">
        <f t="shared" si="38"/>
        <v>Yes</v>
      </c>
      <c r="V38" s="24" t="str">
        <f t="shared" si="3"/>
        <v/>
      </c>
      <c r="W38" s="14" t="str">
        <f t="shared" si="4"/>
        <v/>
      </c>
    </row>
    <row r="39" ht="14.25" customHeight="1">
      <c r="A39" s="18">
        <f>HYPERLINK("https://app.hubspot.com/contacts/8748051/record/0-1/195499462692", 195499462692)</f>
        <v>195499462692</v>
      </c>
      <c r="B39" s="14" t="s">
        <v>3315</v>
      </c>
      <c r="C39" s="16">
        <v>46045.356828703705</v>
      </c>
      <c r="D39" s="16"/>
      <c r="E39" s="32">
        <v>46045.0</v>
      </c>
      <c r="F39" s="32">
        <v>46053.0</v>
      </c>
      <c r="G39" s="32">
        <v>46053.0</v>
      </c>
      <c r="H39" s="14" t="s">
        <v>1807</v>
      </c>
      <c r="I39" s="14" t="s">
        <v>152</v>
      </c>
      <c r="J39" s="14"/>
      <c r="K39" s="18">
        <f>HYPERLINK("https://app.hubspot.com/contacts/8748051/record/0-2/49481986307", 49481986307)</f>
        <v>49481986307</v>
      </c>
      <c r="L39" s="14" t="s">
        <v>248</v>
      </c>
      <c r="M39" s="18" t="s">
        <v>249</v>
      </c>
      <c r="N39" s="18">
        <f>HYPERLINK("https://app.hubspot.com/contacts/8748051/record/0-3/54362525809", 54362525809)</f>
        <v>54362525809</v>
      </c>
      <c r="O39" s="14" t="s">
        <v>247</v>
      </c>
      <c r="P39" s="14" t="s">
        <v>50</v>
      </c>
      <c r="Q39" s="14">
        <v>10000.0</v>
      </c>
      <c r="R39" s="14" t="b">
        <v>1</v>
      </c>
      <c r="S39" s="24" t="str">
        <f t="shared" ref="S39:U39" si="39">IF(E39&lt;&gt;"","Yes","")</f>
        <v>Yes</v>
      </c>
      <c r="T39" s="24" t="str">
        <f t="shared" si="39"/>
        <v>Yes</v>
      </c>
      <c r="U39" s="24" t="str">
        <f t="shared" si="39"/>
        <v>Yes</v>
      </c>
      <c r="V39" s="24" t="str">
        <f t="shared" si="3"/>
        <v/>
      </c>
      <c r="W39" s="14" t="str">
        <f t="shared" si="4"/>
        <v/>
      </c>
    </row>
    <row r="40" ht="14.25" customHeight="1">
      <c r="A40" s="18">
        <f>HYPERLINK("https://app.hubspot.com/contacts/8748051/record/0-1/195311706924", 195311706924)</f>
        <v>195311706924</v>
      </c>
      <c r="B40" s="14" t="s">
        <v>3316</v>
      </c>
      <c r="C40" s="16">
        <v>46044.650868055556</v>
      </c>
      <c r="D40" s="16"/>
      <c r="E40" s="32">
        <v>46045.0</v>
      </c>
      <c r="F40" s="32">
        <v>46060.0</v>
      </c>
      <c r="G40" s="32">
        <v>46060.0</v>
      </c>
      <c r="H40" s="14" t="s">
        <v>3317</v>
      </c>
      <c r="I40" s="14" t="s">
        <v>152</v>
      </c>
      <c r="J40" s="24"/>
      <c r="K40" s="18">
        <f>HYPERLINK("https://app.hubspot.com/contacts/8748051/record/0-2/7984321028", 7984321028)</f>
        <v>7984321028</v>
      </c>
      <c r="L40" s="14" t="s">
        <v>257</v>
      </c>
      <c r="M40" s="18" t="s">
        <v>258</v>
      </c>
      <c r="N40" s="18">
        <f>HYPERLINK("https://app.hubspot.com/contacts/8748051/record/0-3/54341766995", 54341766995)</f>
        <v>54341766995</v>
      </c>
      <c r="O40" s="14" t="s">
        <v>255</v>
      </c>
      <c r="P40" s="14" t="s">
        <v>89</v>
      </c>
      <c r="Q40" s="14">
        <v>26000.0</v>
      </c>
      <c r="R40" s="14" t="b">
        <v>1</v>
      </c>
      <c r="S40" s="24" t="str">
        <f t="shared" ref="S40:U40" si="40">IF(E40&lt;&gt;"","Yes","")</f>
        <v>Yes</v>
      </c>
      <c r="T40" s="24" t="str">
        <f t="shared" si="40"/>
        <v>Yes</v>
      </c>
      <c r="U40" s="24" t="str">
        <f t="shared" si="40"/>
        <v>Yes</v>
      </c>
      <c r="V40" s="24" t="str">
        <f t="shared" si="3"/>
        <v>Yes</v>
      </c>
      <c r="W40" s="14" t="str">
        <f t="shared" si="4"/>
        <v/>
      </c>
    </row>
    <row r="41" ht="14.25" customHeight="1">
      <c r="A41" s="18">
        <f>HYPERLINK("https://app.hubspot.com/contacts/8748051/record/0-1/194881166643", 194881166643)</f>
        <v>194881166643</v>
      </c>
      <c r="B41" s="14" t="s">
        <v>3318</v>
      </c>
      <c r="C41" s="16">
        <v>46043.20275462963</v>
      </c>
      <c r="D41" s="14"/>
      <c r="E41" s="32">
        <v>46043.0</v>
      </c>
      <c r="F41" s="32">
        <v>46057.0</v>
      </c>
      <c r="G41" s="32">
        <v>46057.0</v>
      </c>
      <c r="H41" s="14" t="s">
        <v>3319</v>
      </c>
      <c r="I41" s="14" t="s">
        <v>152</v>
      </c>
      <c r="J41" s="14"/>
      <c r="K41" s="18">
        <f>HYPERLINK("https://app.hubspot.com/contacts/8748051/record/0-2/50471069085", 50471069085)</f>
        <v>50471069085</v>
      </c>
      <c r="L41" s="14" t="s">
        <v>271</v>
      </c>
      <c r="M41" s="18" t="s">
        <v>272</v>
      </c>
      <c r="N41" s="23">
        <f>HYPERLINK("https://app.hubspot.com/contacts/8748051/record/0-3/54288161660", 54288161660)</f>
        <v>54288161660</v>
      </c>
      <c r="O41" s="14" t="s">
        <v>270</v>
      </c>
      <c r="P41" s="14" t="s">
        <v>38</v>
      </c>
      <c r="Q41" s="14">
        <v>15000.0</v>
      </c>
      <c r="R41" s="14"/>
      <c r="S41" s="24" t="str">
        <f t="shared" ref="S41:U41" si="41">IF(E41&lt;&gt;"","Yes","")</f>
        <v>Yes</v>
      </c>
      <c r="T41" s="24" t="str">
        <f t="shared" si="41"/>
        <v>Yes</v>
      </c>
      <c r="U41" s="24" t="str">
        <f t="shared" si="41"/>
        <v>Yes</v>
      </c>
      <c r="V41" s="24" t="str">
        <f t="shared" si="3"/>
        <v/>
      </c>
      <c r="W41" s="14" t="str">
        <f t="shared" si="4"/>
        <v/>
      </c>
    </row>
    <row r="42" ht="14.25" customHeight="1">
      <c r="A42" s="18">
        <f>HYPERLINK("https://app.hubspot.com/contacts/8748051/record/0-1/194889635161", 194889635161)</f>
        <v>194889635161</v>
      </c>
      <c r="B42" s="14" t="s">
        <v>3320</v>
      </c>
      <c r="C42" s="16">
        <v>46043.19646990741</v>
      </c>
      <c r="D42" s="16"/>
      <c r="E42" s="32">
        <v>46043.0</v>
      </c>
      <c r="F42" s="32"/>
      <c r="G42" s="32"/>
      <c r="H42" s="14" t="s">
        <v>3321</v>
      </c>
      <c r="I42" s="14" t="s">
        <v>152</v>
      </c>
      <c r="J42" s="14"/>
      <c r="K42" s="18">
        <f>HYPERLINK("https://app.hubspot.com/contacts/8748051/record/0-2/49466527758", 49466527758)</f>
        <v>49466527758</v>
      </c>
      <c r="L42" s="14" t="s">
        <v>3322</v>
      </c>
      <c r="M42" s="18" t="s">
        <v>3323</v>
      </c>
      <c r="N42" s="24"/>
      <c r="O42" s="14"/>
      <c r="P42" s="14"/>
      <c r="Q42" s="14"/>
      <c r="R42" s="14"/>
      <c r="S42" s="24" t="str">
        <f t="shared" ref="S42:U42" si="42">IF(E42&lt;&gt;"","Yes","")</f>
        <v>Yes</v>
      </c>
      <c r="T42" s="24" t="str">
        <f t="shared" si="42"/>
        <v/>
      </c>
      <c r="U42" s="24" t="str">
        <f t="shared" si="42"/>
        <v/>
      </c>
      <c r="V42" s="24" t="str">
        <f t="shared" si="3"/>
        <v/>
      </c>
      <c r="W42" s="14" t="str">
        <f t="shared" si="4"/>
        <v/>
      </c>
    </row>
    <row r="43" ht="14.25" customHeight="1">
      <c r="A43" s="18">
        <f>HYPERLINK("https://app.hubspot.com/contacts/8748051/record/0-1/194543057822", 194543057822)</f>
        <v>194543057822</v>
      </c>
      <c r="B43" s="14" t="s">
        <v>3324</v>
      </c>
      <c r="C43" s="16">
        <v>46042.96042824074</v>
      </c>
      <c r="D43" s="16"/>
      <c r="E43" s="32">
        <v>46043.0</v>
      </c>
      <c r="F43" s="32"/>
      <c r="G43" s="32"/>
      <c r="H43" s="14" t="s">
        <v>3252</v>
      </c>
      <c r="I43" s="14" t="s">
        <v>3237</v>
      </c>
      <c r="J43" s="14"/>
      <c r="K43" s="18">
        <f>HYPERLINK("https://app.hubspot.com/contacts/8748051/record/0-2/49459528067", 49459528067)</f>
        <v>49459528067</v>
      </c>
      <c r="L43" s="14" t="s">
        <v>3325</v>
      </c>
      <c r="M43" s="18" t="s">
        <v>3326</v>
      </c>
      <c r="N43" s="14"/>
      <c r="O43" s="14"/>
      <c r="P43" s="14"/>
      <c r="Q43" s="14"/>
      <c r="R43" s="14"/>
      <c r="S43" s="24" t="str">
        <f t="shared" ref="S43:U43" si="43">IF(E43&lt;&gt;"","Yes","")</f>
        <v>Yes</v>
      </c>
      <c r="T43" s="24" t="str">
        <f t="shared" si="43"/>
        <v/>
      </c>
      <c r="U43" s="24" t="str">
        <f t="shared" si="43"/>
        <v/>
      </c>
      <c r="V43" s="24" t="str">
        <f t="shared" si="3"/>
        <v/>
      </c>
      <c r="W43" s="14" t="str">
        <f t="shared" si="4"/>
        <v/>
      </c>
    </row>
    <row r="44" ht="14.25" customHeight="1">
      <c r="A44" s="18">
        <f>HYPERLINK("https://app.hubspot.com/contacts/8748051/record/0-1/194780933240", 194780933240)</f>
        <v>194780933240</v>
      </c>
      <c r="B44" s="14" t="s">
        <v>3327</v>
      </c>
      <c r="C44" s="16">
        <v>46042.786041666666</v>
      </c>
      <c r="D44" s="14"/>
      <c r="E44" s="32">
        <v>46043.0</v>
      </c>
      <c r="F44" s="32">
        <v>46050.0</v>
      </c>
      <c r="G44" s="32">
        <v>46050.0</v>
      </c>
      <c r="H44" s="14" t="s">
        <v>3328</v>
      </c>
      <c r="I44" s="14" t="s">
        <v>152</v>
      </c>
      <c r="J44" s="14"/>
      <c r="K44" s="18">
        <f>HYPERLINK("https://app.hubspot.com/contacts/8748051/record/0-2/49434176815", 49434176815)</f>
        <v>49434176815</v>
      </c>
      <c r="L44" s="14" t="s">
        <v>261</v>
      </c>
      <c r="M44" s="18" t="s">
        <v>262</v>
      </c>
      <c r="N44" s="23">
        <f>HYPERLINK("https://app.hubspot.com/contacts/8748051/record/0-3/54314549078", 54314549078)</f>
        <v>54314549078</v>
      </c>
      <c r="O44" s="14" t="s">
        <v>259</v>
      </c>
      <c r="P44" s="14" t="s">
        <v>118</v>
      </c>
      <c r="Q44" s="14">
        <v>2500.0</v>
      </c>
      <c r="R44" s="14"/>
      <c r="S44" s="24" t="str">
        <f t="shared" ref="S44:U44" si="44">IF(E44&lt;&gt;"","Yes","")</f>
        <v>Yes</v>
      </c>
      <c r="T44" s="24" t="str">
        <f t="shared" si="44"/>
        <v>Yes</v>
      </c>
      <c r="U44" s="24" t="str">
        <f t="shared" si="44"/>
        <v>Yes</v>
      </c>
      <c r="V44" s="24" t="str">
        <f t="shared" si="3"/>
        <v/>
      </c>
      <c r="W44" s="14" t="str">
        <f t="shared" si="4"/>
        <v/>
      </c>
    </row>
    <row r="45" ht="14.25" customHeight="1">
      <c r="A45" s="18">
        <f>HYPERLINK("https://app.hubspot.com/contacts/8748051/record/0-1/194293405457", 194293405457)</f>
        <v>194293405457</v>
      </c>
      <c r="B45" s="14" t="s">
        <v>3329</v>
      </c>
      <c r="C45" s="16">
        <v>46041.093726851854</v>
      </c>
      <c r="D45" s="14"/>
      <c r="E45" s="32">
        <v>46044.0</v>
      </c>
      <c r="F45" s="32">
        <v>46044.0</v>
      </c>
      <c r="G45" s="32"/>
      <c r="H45" s="14" t="s">
        <v>3237</v>
      </c>
      <c r="I45" s="14" t="s">
        <v>3237</v>
      </c>
      <c r="J45" s="14"/>
      <c r="K45" s="18">
        <f>HYPERLINK("https://app.hubspot.com/contacts/8748051/record/0-2/49356471705", 49356471705)</f>
        <v>49356471705</v>
      </c>
      <c r="L45" s="14" t="s">
        <v>280</v>
      </c>
      <c r="M45" s="18" t="s">
        <v>281</v>
      </c>
      <c r="N45" s="18">
        <f>HYPERLINK("https://app.hubspot.com/contacts/8748051/record/0-3/54192627052", 54192627052)</f>
        <v>54192627052</v>
      </c>
      <c r="O45" s="14" t="s">
        <v>279</v>
      </c>
      <c r="P45" s="14" t="s">
        <v>118</v>
      </c>
      <c r="Q45" s="14">
        <v>0.0</v>
      </c>
      <c r="R45" s="14"/>
      <c r="S45" s="24" t="str">
        <f t="shared" ref="S45:U45" si="45">IF(E45&lt;&gt;"","Yes","")</f>
        <v>Yes</v>
      </c>
      <c r="T45" s="24" t="str">
        <f t="shared" si="45"/>
        <v>Yes</v>
      </c>
      <c r="U45" s="24" t="str">
        <f t="shared" si="45"/>
        <v/>
      </c>
      <c r="V45" s="24" t="str">
        <f t="shared" si="3"/>
        <v/>
      </c>
      <c r="W45" s="14" t="str">
        <f t="shared" si="4"/>
        <v/>
      </c>
    </row>
    <row r="46" ht="14.25" customHeight="1">
      <c r="A46" s="18">
        <f>HYPERLINK("https://app.hubspot.com/contacts/8748051/record/0-1/193512784467", 193512784467)</f>
        <v>193512784467</v>
      </c>
      <c r="B46" s="14" t="s">
        <v>3330</v>
      </c>
      <c r="C46" s="16">
        <v>46037.7575</v>
      </c>
      <c r="D46" s="14"/>
      <c r="E46" s="32">
        <v>46038.0</v>
      </c>
      <c r="F46" s="32">
        <v>46052.0</v>
      </c>
      <c r="G46" s="32">
        <v>46052.0</v>
      </c>
      <c r="H46" s="14" t="s">
        <v>3252</v>
      </c>
      <c r="I46" s="14" t="s">
        <v>3237</v>
      </c>
      <c r="J46" s="14"/>
      <c r="K46" s="18">
        <f>HYPERLINK("https://app.hubspot.com/contacts/8748051/record/0-2/49119537465", 49119537465)</f>
        <v>49119537465</v>
      </c>
      <c r="L46" s="14" t="s">
        <v>284</v>
      </c>
      <c r="M46" s="18" t="s">
        <v>285</v>
      </c>
      <c r="N46" s="18">
        <f>HYPERLINK("https://app.hubspot.com/contacts/8748051/record/0-3/54003637801", 54003637801)</f>
        <v>54003637801</v>
      </c>
      <c r="O46" s="14" t="s">
        <v>282</v>
      </c>
      <c r="P46" s="14" t="s">
        <v>146</v>
      </c>
      <c r="Q46" s="14">
        <v>15000.0</v>
      </c>
      <c r="R46" s="14" t="b">
        <v>1</v>
      </c>
      <c r="S46" s="24" t="str">
        <f t="shared" ref="S46:U46" si="46">IF(E46&lt;&gt;"","Yes","")</f>
        <v>Yes</v>
      </c>
      <c r="T46" s="24" t="str">
        <f t="shared" si="46"/>
        <v>Yes</v>
      </c>
      <c r="U46" s="24" t="str">
        <f t="shared" si="46"/>
        <v>Yes</v>
      </c>
      <c r="V46" s="24" t="str">
        <f t="shared" si="3"/>
        <v/>
      </c>
      <c r="W46" s="14" t="str">
        <f t="shared" si="4"/>
        <v>Yes</v>
      </c>
    </row>
    <row r="47" ht="14.25" customHeight="1">
      <c r="A47" s="18">
        <f>HYPERLINK("https://app.hubspot.com/contacts/8748051/record/0-1/193298029115", 193298029115)</f>
        <v>193298029115</v>
      </c>
      <c r="B47" s="14" t="s">
        <v>3331</v>
      </c>
      <c r="C47" s="16">
        <v>46037.13211805555</v>
      </c>
      <c r="D47" s="14"/>
      <c r="E47" s="32">
        <v>46037.0</v>
      </c>
      <c r="F47" s="32">
        <v>46038.0</v>
      </c>
      <c r="G47" s="32">
        <v>46038.0</v>
      </c>
      <c r="H47" s="14" t="s">
        <v>3332</v>
      </c>
      <c r="I47" s="14" t="s">
        <v>3250</v>
      </c>
      <c r="J47" s="14"/>
      <c r="K47" s="18">
        <f>HYPERLINK("https://app.hubspot.com/contacts/8748051/record/0-2/18598720558", 18598720558)</f>
        <v>18598720558</v>
      </c>
      <c r="L47" s="14" t="s">
        <v>287</v>
      </c>
      <c r="M47" s="14" t="s">
        <v>288</v>
      </c>
      <c r="N47" s="18">
        <f>HYPERLINK("https://app.hubspot.com/contacts/8748051/record/0-3/53944291355", 53944291355)</f>
        <v>53944291355</v>
      </c>
      <c r="O47" s="14" t="s">
        <v>286</v>
      </c>
      <c r="P47" s="14" t="s">
        <v>118</v>
      </c>
      <c r="Q47" s="14">
        <v>12500.0</v>
      </c>
      <c r="R47" s="14"/>
      <c r="S47" s="24" t="str">
        <f t="shared" ref="S47:U47" si="47">IF(E47&lt;&gt;"","Yes","")</f>
        <v>Yes</v>
      </c>
      <c r="T47" s="24" t="str">
        <f t="shared" si="47"/>
        <v>Yes</v>
      </c>
      <c r="U47" s="24" t="str">
        <f t="shared" si="47"/>
        <v>Yes</v>
      </c>
      <c r="V47" s="24" t="str">
        <f t="shared" si="3"/>
        <v/>
      </c>
      <c r="W47" s="14" t="str">
        <f t="shared" si="4"/>
        <v/>
      </c>
    </row>
    <row r="48" ht="14.25" customHeight="1">
      <c r="A48" s="18">
        <f>HYPERLINK("https://app.hubspot.com/contacts/8748051/record/0-1/193263873353", 193263873353)</f>
        <v>193263873353</v>
      </c>
      <c r="B48" s="14" t="s">
        <v>3333</v>
      </c>
      <c r="C48" s="16">
        <v>46036.89171296296</v>
      </c>
      <c r="D48" s="16"/>
      <c r="E48" s="32">
        <v>46037.0</v>
      </c>
      <c r="F48" s="32">
        <v>46041.0</v>
      </c>
      <c r="G48" s="32">
        <v>46041.0</v>
      </c>
      <c r="H48" s="14" t="s">
        <v>3334</v>
      </c>
      <c r="I48" s="14" t="s">
        <v>152</v>
      </c>
      <c r="J48" s="14" t="s">
        <v>3247</v>
      </c>
      <c r="K48" s="18">
        <f>HYPERLINK("https://app.hubspot.com/contacts/8748051/record/0-2/49076433176", 49076433176)</f>
        <v>49076433176</v>
      </c>
      <c r="L48" s="14" t="s">
        <v>290</v>
      </c>
      <c r="M48" s="14" t="s">
        <v>291</v>
      </c>
      <c r="N48" s="23">
        <f>HYPERLINK("https://app.hubspot.com/contacts/8748051/record/0-3/53864542225", 53864542225)</f>
        <v>53864542225</v>
      </c>
      <c r="O48" s="14" t="s">
        <v>289</v>
      </c>
      <c r="P48" s="14" t="s">
        <v>124</v>
      </c>
      <c r="Q48" s="14">
        <v>7500.0</v>
      </c>
      <c r="R48" s="14" t="b">
        <v>1</v>
      </c>
      <c r="S48" s="24" t="str">
        <f t="shared" ref="S48:U48" si="48">IF(E48&lt;&gt;"","Yes","")</f>
        <v>Yes</v>
      </c>
      <c r="T48" s="24" t="str">
        <f t="shared" si="48"/>
        <v>Yes</v>
      </c>
      <c r="U48" s="24" t="str">
        <f t="shared" si="48"/>
        <v>Yes</v>
      </c>
      <c r="V48" s="24" t="str">
        <f t="shared" si="3"/>
        <v/>
      </c>
      <c r="W48" s="14" t="str">
        <f t="shared" si="4"/>
        <v/>
      </c>
    </row>
    <row r="49" ht="14.25" customHeight="1">
      <c r="A49" s="18">
        <f>HYPERLINK("https://app.hubspot.com/contacts/8748051/record/0-1/193021305913", 193021305913)</f>
        <v>193021305913</v>
      </c>
      <c r="B49" s="14" t="s">
        <v>3335</v>
      </c>
      <c r="C49" s="16">
        <v>46036.38171296296</v>
      </c>
      <c r="D49" s="14"/>
      <c r="E49" s="32">
        <v>46036.0</v>
      </c>
      <c r="F49" s="32">
        <v>46043.0</v>
      </c>
      <c r="G49" s="32">
        <v>46043.0</v>
      </c>
      <c r="H49" s="14" t="s">
        <v>3336</v>
      </c>
      <c r="I49" s="14" t="s">
        <v>3246</v>
      </c>
      <c r="J49" s="14"/>
      <c r="K49" s="18">
        <f>HYPERLINK("https://app.hubspot.com/contacts/8748051/record/0-2/48931812153", 48931812153)</f>
        <v>48931812153</v>
      </c>
      <c r="L49" s="14" t="s">
        <v>293</v>
      </c>
      <c r="M49" s="18" t="s">
        <v>294</v>
      </c>
      <c r="N49" s="18">
        <f>HYPERLINK("https://app.hubspot.com/contacts/8748051/record/0-3/53814466116", 53814466116)</f>
        <v>53814466116</v>
      </c>
      <c r="O49" s="14" t="s">
        <v>292</v>
      </c>
      <c r="P49" s="14" t="s">
        <v>124</v>
      </c>
      <c r="Q49" s="14">
        <v>26000.0</v>
      </c>
      <c r="R49" s="14" t="b">
        <v>1</v>
      </c>
      <c r="S49" s="24" t="str">
        <f t="shared" ref="S49:U49" si="49">IF(E49&lt;&gt;"","Yes","")</f>
        <v>Yes</v>
      </c>
      <c r="T49" s="24" t="str">
        <f t="shared" si="49"/>
        <v>Yes</v>
      </c>
      <c r="U49" s="24" t="str">
        <f t="shared" si="49"/>
        <v>Yes</v>
      </c>
      <c r="V49" s="24" t="str">
        <f t="shared" si="3"/>
        <v/>
      </c>
      <c r="W49" s="14" t="str">
        <f t="shared" si="4"/>
        <v/>
      </c>
    </row>
    <row r="50" ht="14.25" customHeight="1">
      <c r="A50" s="18">
        <f>HYPERLINK("https://app.hubspot.com/contacts/8748051/record/0-1/192840380835", 192840380835)</f>
        <v>192840380835</v>
      </c>
      <c r="B50" s="14" t="s">
        <v>3337</v>
      </c>
      <c r="C50" s="16">
        <v>46035.82564814815</v>
      </c>
      <c r="D50" s="14"/>
      <c r="E50" s="32">
        <v>46036.0</v>
      </c>
      <c r="F50" s="32">
        <v>46042.0</v>
      </c>
      <c r="G50" s="32"/>
      <c r="H50" s="14" t="s">
        <v>3252</v>
      </c>
      <c r="I50" s="14" t="s">
        <v>3237</v>
      </c>
      <c r="J50" s="14" t="s">
        <v>3338</v>
      </c>
      <c r="K50" s="18">
        <f>HYPERLINK("https://app.hubspot.com/contacts/8748051/record/0-2/48922792753", 48922792753)</f>
        <v>48922792753</v>
      </c>
      <c r="L50" s="14" t="s">
        <v>296</v>
      </c>
      <c r="M50" s="18" t="s">
        <v>297</v>
      </c>
      <c r="N50" s="23">
        <f>HYPERLINK("https://app.hubspot.com/contacts/8748051/record/0-3/53811994683", 53811994683)</f>
        <v>53811994683</v>
      </c>
      <c r="O50" s="14" t="s">
        <v>295</v>
      </c>
      <c r="P50" s="14" t="s">
        <v>118</v>
      </c>
      <c r="Q50" s="14">
        <v>0.0</v>
      </c>
      <c r="R50" s="14"/>
      <c r="S50" s="24" t="str">
        <f t="shared" ref="S50:U50" si="50">IF(E50&lt;&gt;"","Yes","")</f>
        <v>Yes</v>
      </c>
      <c r="T50" s="24" t="str">
        <f t="shared" si="50"/>
        <v>Yes</v>
      </c>
      <c r="U50" s="24" t="str">
        <f t="shared" si="50"/>
        <v/>
      </c>
      <c r="V50" s="24" t="str">
        <f t="shared" si="3"/>
        <v/>
      </c>
      <c r="W50" s="14" t="str">
        <f t="shared" si="4"/>
        <v/>
      </c>
    </row>
    <row r="51" ht="14.25" customHeight="1">
      <c r="A51" s="18">
        <f>HYPERLINK("https://app.hubspot.com/contacts/8748051/record/0-1/192793188272", 192793188272)</f>
        <v>192793188272</v>
      </c>
      <c r="B51" s="14" t="s">
        <v>3339</v>
      </c>
      <c r="C51" s="16">
        <v>46035.650185185186</v>
      </c>
      <c r="D51" s="14"/>
      <c r="E51" s="32">
        <v>46036.0</v>
      </c>
      <c r="F51" s="32">
        <v>46042.0</v>
      </c>
      <c r="G51" s="32"/>
      <c r="H51" s="14" t="s">
        <v>3340</v>
      </c>
      <c r="I51" s="14" t="s">
        <v>152</v>
      </c>
      <c r="J51" s="14" t="s">
        <v>3247</v>
      </c>
      <c r="K51" s="18">
        <f>HYPERLINK("https://app.hubspot.com/contacts/8748051/record/0-2/48892513299", 48892513299)</f>
        <v>48892513299</v>
      </c>
      <c r="L51" s="14" t="s">
        <v>299</v>
      </c>
      <c r="M51" s="18" t="s">
        <v>300</v>
      </c>
      <c r="N51" s="23">
        <f>HYPERLINK("https://app.hubspot.com/contacts/8748051/record/0-3/53767933957", 53767933957)</f>
        <v>53767933957</v>
      </c>
      <c r="O51" s="14" t="s">
        <v>298</v>
      </c>
      <c r="P51" s="14" t="s">
        <v>118</v>
      </c>
      <c r="Q51" s="14">
        <v>1500.0</v>
      </c>
      <c r="R51" s="14"/>
      <c r="S51" s="24" t="str">
        <f t="shared" ref="S51:U51" si="51">IF(E51&lt;&gt;"","Yes","")</f>
        <v>Yes</v>
      </c>
      <c r="T51" s="24" t="str">
        <f t="shared" si="51"/>
        <v>Yes</v>
      </c>
      <c r="U51" s="24" t="str">
        <f t="shared" si="51"/>
        <v/>
      </c>
      <c r="V51" s="24" t="str">
        <f t="shared" si="3"/>
        <v/>
      </c>
      <c r="W51" s="14" t="str">
        <f t="shared" si="4"/>
        <v/>
      </c>
    </row>
    <row r="52" ht="14.25" customHeight="1">
      <c r="A52" s="18">
        <f>HYPERLINK("https://app.hubspot.com/contacts/8748051/record/0-1/192577252218", 192577252218)</f>
        <v>192577252218</v>
      </c>
      <c r="B52" s="14" t="s">
        <v>3341</v>
      </c>
      <c r="C52" s="16">
        <v>46035.27532407407</v>
      </c>
      <c r="D52" s="14" t="s">
        <v>3342</v>
      </c>
      <c r="E52" s="32"/>
      <c r="F52" s="32"/>
      <c r="G52" s="32"/>
      <c r="H52" s="14" t="s">
        <v>3343</v>
      </c>
      <c r="I52" s="14" t="s">
        <v>152</v>
      </c>
      <c r="J52" s="14"/>
      <c r="K52" s="18">
        <f>HYPERLINK("https://app.hubspot.com/contacts/8748051/record/0-2/7165296547", 7165296547)</f>
        <v>7165296547</v>
      </c>
      <c r="L52" s="14" t="s">
        <v>785</v>
      </c>
      <c r="M52" s="18" t="s">
        <v>786</v>
      </c>
      <c r="N52" s="24"/>
      <c r="O52" s="14"/>
      <c r="P52" s="14"/>
      <c r="Q52" s="14"/>
      <c r="R52" s="14"/>
      <c r="S52" s="24" t="str">
        <f t="shared" ref="S52:U52" si="52">IF(E52&lt;&gt;"","Yes","")</f>
        <v/>
      </c>
      <c r="T52" s="24" t="str">
        <f t="shared" si="52"/>
        <v/>
      </c>
      <c r="U52" s="24" t="str">
        <f t="shared" si="52"/>
        <v/>
      </c>
      <c r="V52" s="24" t="str">
        <f t="shared" si="3"/>
        <v/>
      </c>
      <c r="W52" s="14" t="str">
        <f t="shared" si="4"/>
        <v/>
      </c>
    </row>
    <row r="53" ht="14.25" customHeight="1">
      <c r="A53" s="18">
        <f>HYPERLINK("https://app.hubspot.com/contacts/8748051/record/0-1/191705249436", 191705249436)</f>
        <v>191705249436</v>
      </c>
      <c r="B53" s="14" t="s">
        <v>3344</v>
      </c>
      <c r="C53" s="16">
        <v>46031.48097222222</v>
      </c>
      <c r="D53" s="14"/>
      <c r="E53" s="32">
        <v>46031.0</v>
      </c>
      <c r="F53" s="32">
        <v>46042.0</v>
      </c>
      <c r="G53" s="32"/>
      <c r="H53" s="14" t="s">
        <v>3345</v>
      </c>
      <c r="I53" s="14" t="s">
        <v>152</v>
      </c>
      <c r="J53" s="14"/>
      <c r="K53" s="18">
        <f>HYPERLINK("https://app.hubspot.com/contacts/8748051/record/0-2/48717714718", 48717714718)</f>
        <v>48717714718</v>
      </c>
      <c r="L53" s="14" t="s">
        <v>320</v>
      </c>
      <c r="M53" s="18" t="s">
        <v>321</v>
      </c>
      <c r="N53" s="23">
        <f>HYPERLINK("https://app.hubspot.com/contacts/8748051/record/0-3/53531187273", 53531187273)</f>
        <v>53531187273</v>
      </c>
      <c r="O53" s="14" t="s">
        <v>319</v>
      </c>
      <c r="P53" s="14" t="s">
        <v>118</v>
      </c>
      <c r="Q53" s="14">
        <v>2000.0</v>
      </c>
      <c r="R53" s="14"/>
      <c r="S53" s="24" t="str">
        <f t="shared" ref="S53:U53" si="53">IF(E53&lt;&gt;"","Yes","")</f>
        <v>Yes</v>
      </c>
      <c r="T53" s="24" t="str">
        <f t="shared" si="53"/>
        <v>Yes</v>
      </c>
      <c r="U53" s="24" t="str">
        <f t="shared" si="53"/>
        <v/>
      </c>
      <c r="V53" s="24" t="str">
        <f t="shared" si="3"/>
        <v/>
      </c>
      <c r="W53" s="14" t="str">
        <f t="shared" si="4"/>
        <v/>
      </c>
    </row>
    <row r="54" ht="14.25" customHeight="1">
      <c r="A54" s="18">
        <f>HYPERLINK("https://app.hubspot.com/contacts/8748051/record/0-1/191451250946", 191451250946)</f>
        <v>191451250946</v>
      </c>
      <c r="B54" s="14" t="s">
        <v>3346</v>
      </c>
      <c r="C54" s="16">
        <v>46030.55966435185</v>
      </c>
      <c r="D54" s="16"/>
      <c r="E54" s="32">
        <v>46030.0</v>
      </c>
      <c r="F54" s="32">
        <v>46043.0</v>
      </c>
      <c r="G54" s="32">
        <v>46043.0</v>
      </c>
      <c r="H54" s="14" t="s">
        <v>3347</v>
      </c>
      <c r="I54" s="14" t="s">
        <v>152</v>
      </c>
      <c r="J54" s="14" t="s">
        <v>3247</v>
      </c>
      <c r="K54" s="18">
        <f>HYPERLINK("https://app.hubspot.com/contacts/8748051/record/0-2/19176672265", 19176672265)</f>
        <v>19176672265</v>
      </c>
      <c r="L54" s="14" t="s">
        <v>327</v>
      </c>
      <c r="M54" s="18" t="s">
        <v>328</v>
      </c>
      <c r="N54" s="18">
        <f>HYPERLINK("https://app.hubspot.com/contacts/8748051/record/0-3/53428932737", 53428932737)</f>
        <v>53428932737</v>
      </c>
      <c r="O54" s="14" t="s">
        <v>325</v>
      </c>
      <c r="P54" s="14" t="s">
        <v>326</v>
      </c>
      <c r="Q54" s="14">
        <v>25000.0</v>
      </c>
      <c r="R54" s="14" t="b">
        <v>1</v>
      </c>
      <c r="S54" s="24" t="str">
        <f t="shared" ref="S54:U54" si="54">IF(E54&lt;&gt;"","Yes","")</f>
        <v>Yes</v>
      </c>
      <c r="T54" s="24" t="str">
        <f t="shared" si="54"/>
        <v>Yes</v>
      </c>
      <c r="U54" s="24" t="str">
        <f t="shared" si="54"/>
        <v>Yes</v>
      </c>
      <c r="V54" s="24" t="str">
        <f t="shared" si="3"/>
        <v/>
      </c>
      <c r="W54" s="14" t="str">
        <f t="shared" si="4"/>
        <v/>
      </c>
    </row>
    <row r="55" ht="14.25" customHeight="1">
      <c r="A55" s="18">
        <f>HYPERLINK("https://app.hubspot.com/contacts/8748051/record/0-1/191377676687", 191377676687)</f>
        <v>191377676687</v>
      </c>
      <c r="B55" s="14" t="s">
        <v>3348</v>
      </c>
      <c r="C55" s="16">
        <v>46030.39980324074</v>
      </c>
      <c r="D55" s="14"/>
      <c r="E55" s="32">
        <v>46030.0</v>
      </c>
      <c r="F55" s="32">
        <v>46031.0</v>
      </c>
      <c r="G55" s="32">
        <v>46031.0</v>
      </c>
      <c r="H55" s="14" t="s">
        <v>3349</v>
      </c>
      <c r="I55" s="14" t="s">
        <v>3237</v>
      </c>
      <c r="J55" s="14"/>
      <c r="K55" s="18">
        <f>HYPERLINK("https://app.hubspot.com/contacts/8748051/record/0-2/38577068592", 38577068592)</f>
        <v>38577068592</v>
      </c>
      <c r="L55" s="14" t="s">
        <v>330</v>
      </c>
      <c r="M55" s="18" t="s">
        <v>331</v>
      </c>
      <c r="N55" s="23">
        <f>HYPERLINK("https://app.hubspot.com/contacts/8748051/record/0-3/53397139783", 53397139783)</f>
        <v>53397139783</v>
      </c>
      <c r="O55" s="14" t="s">
        <v>329</v>
      </c>
      <c r="P55" s="14" t="s">
        <v>124</v>
      </c>
      <c r="Q55" s="14">
        <v>10000.0</v>
      </c>
      <c r="R55" s="14" t="b">
        <v>1</v>
      </c>
      <c r="S55" s="24" t="str">
        <f t="shared" ref="S55:U55" si="55">IF(E55&lt;&gt;"","Yes","")</f>
        <v>Yes</v>
      </c>
      <c r="T55" s="24" t="str">
        <f t="shared" si="55"/>
        <v>Yes</v>
      </c>
      <c r="U55" s="24" t="str">
        <f t="shared" si="55"/>
        <v>Yes</v>
      </c>
      <c r="V55" s="24" t="str">
        <f t="shared" si="3"/>
        <v/>
      </c>
      <c r="W55" s="14" t="str">
        <f t="shared" si="4"/>
        <v/>
      </c>
    </row>
    <row r="56" ht="14.25" customHeight="1">
      <c r="A56" s="18">
        <f>HYPERLINK("https://app.hubspot.com/contacts/8748051/record/0-1/185599812782", 185599812782)</f>
        <v>185599812782</v>
      </c>
      <c r="B56" s="14" t="s">
        <v>3350</v>
      </c>
      <c r="C56" s="16">
        <v>46029.104409722226</v>
      </c>
      <c r="D56" s="14"/>
      <c r="E56" s="32">
        <v>46029.0</v>
      </c>
      <c r="F56" s="32">
        <v>46037.0</v>
      </c>
      <c r="G56" s="32">
        <v>46037.0</v>
      </c>
      <c r="H56" s="14" t="s">
        <v>3351</v>
      </c>
      <c r="I56" s="14" t="s">
        <v>3237</v>
      </c>
      <c r="J56" s="14"/>
      <c r="K56" s="18">
        <f>HYPERLINK("https://app.hubspot.com/contacts/8748051/record/0-2/48582687828", 48582687828)</f>
        <v>48582687828</v>
      </c>
      <c r="L56" s="14" t="s">
        <v>336</v>
      </c>
      <c r="M56" s="18" t="s">
        <v>337</v>
      </c>
      <c r="N56" s="18">
        <f>HYPERLINK("https://app.hubspot.com/contacts/8748051/record/0-3/53380681538", 53380681538)</f>
        <v>53380681538</v>
      </c>
      <c r="O56" s="14" t="s">
        <v>335</v>
      </c>
      <c r="P56" s="14" t="s">
        <v>50</v>
      </c>
      <c r="Q56" s="14">
        <v>6000.0</v>
      </c>
      <c r="R56" s="14" t="b">
        <v>1</v>
      </c>
      <c r="S56" s="24" t="str">
        <f t="shared" ref="S56:U56" si="56">IF(E56&lt;&gt;"","Yes","")</f>
        <v>Yes</v>
      </c>
      <c r="T56" s="24" t="str">
        <f t="shared" si="56"/>
        <v>Yes</v>
      </c>
      <c r="U56" s="24" t="str">
        <f t="shared" si="56"/>
        <v>Yes</v>
      </c>
      <c r="V56" s="24" t="str">
        <f t="shared" si="3"/>
        <v/>
      </c>
      <c r="W56" s="14" t="str">
        <f t="shared" si="4"/>
        <v/>
      </c>
    </row>
    <row r="57" ht="14.25" customHeight="1">
      <c r="A57" s="18">
        <f>HYPERLINK("https://app.hubspot.com/contacts/8748051/record/0-1/190812727714", 190812727714)</f>
        <v>190812727714</v>
      </c>
      <c r="B57" s="14" t="s">
        <v>3352</v>
      </c>
      <c r="C57" s="16">
        <v>46028.289768518516</v>
      </c>
      <c r="D57" s="14"/>
      <c r="E57" s="32">
        <v>46028.0</v>
      </c>
      <c r="F57" s="32">
        <v>46028.0</v>
      </c>
      <c r="G57" s="32">
        <v>46028.0</v>
      </c>
      <c r="H57" s="14" t="s">
        <v>3353</v>
      </c>
      <c r="I57" s="14" t="s">
        <v>3237</v>
      </c>
      <c r="J57" s="14"/>
      <c r="K57" s="18">
        <f t="shared" ref="K57:K58" si="58">HYPERLINK("https://app.hubspot.com/contacts/8748051/record/0-2/19176303172", 19176303172)</f>
        <v>19176303172</v>
      </c>
      <c r="L57" s="14" t="s">
        <v>339</v>
      </c>
      <c r="M57" s="18" t="s">
        <v>340</v>
      </c>
      <c r="N57" s="23">
        <f t="shared" ref="N57:N58" si="59">HYPERLINK("https://app.hubspot.com/contacts/8748051/record/0-3/53178277456", 53178277456)</f>
        <v>53178277456</v>
      </c>
      <c r="O57" s="14" t="s">
        <v>338</v>
      </c>
      <c r="P57" s="14" t="s">
        <v>124</v>
      </c>
      <c r="Q57" s="14">
        <v>35000.0</v>
      </c>
      <c r="R57" s="14" t="b">
        <v>1</v>
      </c>
      <c r="S57" s="24" t="str">
        <f t="shared" ref="S57:U57" si="57">IF(E57&lt;&gt;"","Yes","")</f>
        <v>Yes</v>
      </c>
      <c r="T57" s="24" t="str">
        <f t="shared" si="57"/>
        <v>Yes</v>
      </c>
      <c r="U57" s="24" t="str">
        <f t="shared" si="57"/>
        <v>Yes</v>
      </c>
      <c r="V57" s="24" t="str">
        <f t="shared" si="3"/>
        <v/>
      </c>
      <c r="W57" s="14" t="str">
        <f t="shared" si="4"/>
        <v/>
      </c>
    </row>
    <row r="58" ht="14.25" customHeight="1">
      <c r="A58" s="18">
        <f>HYPERLINK("https://app.hubspot.com/contacts/8748051/record/0-1/183270738770", 183270738770)</f>
        <v>183270738770</v>
      </c>
      <c r="B58" s="14" t="s">
        <v>3354</v>
      </c>
      <c r="C58" s="16">
        <v>46028.25717592592</v>
      </c>
      <c r="D58" s="14"/>
      <c r="E58" s="32">
        <v>46028.0</v>
      </c>
      <c r="F58" s="32">
        <v>46034.0</v>
      </c>
      <c r="G58" s="32">
        <v>46034.0</v>
      </c>
      <c r="H58" s="14" t="s">
        <v>3355</v>
      </c>
      <c r="I58" s="14" t="s">
        <v>3237</v>
      </c>
      <c r="J58" s="14"/>
      <c r="K58" s="18">
        <f t="shared" si="58"/>
        <v>19176303172</v>
      </c>
      <c r="L58" s="14" t="s">
        <v>339</v>
      </c>
      <c r="M58" s="18" t="s">
        <v>340</v>
      </c>
      <c r="N58" s="23">
        <f t="shared" si="59"/>
        <v>53178277456</v>
      </c>
      <c r="O58" s="14" t="s">
        <v>338</v>
      </c>
      <c r="P58" s="14" t="s">
        <v>124</v>
      </c>
      <c r="Q58" s="14">
        <v>35000.0</v>
      </c>
      <c r="R58" s="14" t="b">
        <v>1</v>
      </c>
      <c r="S58" s="24" t="str">
        <f t="shared" ref="S58:U58" si="60">IF(E58&lt;&gt;"","Yes","")</f>
        <v>Yes</v>
      </c>
      <c r="T58" s="24" t="str">
        <f t="shared" si="60"/>
        <v>Yes</v>
      </c>
      <c r="U58" s="24" t="str">
        <f t="shared" si="60"/>
        <v>Yes</v>
      </c>
      <c r="V58" s="24" t="str">
        <f t="shared" si="3"/>
        <v/>
      </c>
      <c r="W58" s="14" t="str">
        <f t="shared" si="4"/>
        <v/>
      </c>
    </row>
    <row r="59" ht="14.25" customHeight="1">
      <c r="A59" s="18">
        <f>HYPERLINK("https://app.hubspot.com/contacts/8748051/record/0-1/189156394862", 189156394862)</f>
        <v>189156394862</v>
      </c>
      <c r="B59" s="14" t="s">
        <v>3356</v>
      </c>
      <c r="C59" s="16">
        <v>46024.069814814815</v>
      </c>
      <c r="D59" s="14" t="s">
        <v>3304</v>
      </c>
      <c r="E59" s="32"/>
      <c r="F59" s="32"/>
      <c r="G59" s="32"/>
      <c r="H59" s="14" t="s">
        <v>3357</v>
      </c>
      <c r="I59" s="14" t="s">
        <v>3235</v>
      </c>
      <c r="J59" s="14"/>
      <c r="K59" s="18">
        <f>HYPERLINK("https://app.hubspot.com/contacts/8748051/record/0-2/48092993678", 48092993678)</f>
        <v>48092993678</v>
      </c>
      <c r="L59" s="14"/>
      <c r="M59" s="18" t="s">
        <v>3358</v>
      </c>
      <c r="N59" s="14"/>
      <c r="O59" s="14"/>
      <c r="P59" s="14"/>
      <c r="Q59" s="14"/>
      <c r="R59" s="14"/>
      <c r="S59" s="24" t="str">
        <f t="shared" ref="S59:U59" si="61">IF(E59&lt;&gt;"","Yes","")</f>
        <v/>
      </c>
      <c r="T59" s="24" t="str">
        <f t="shared" si="61"/>
        <v/>
      </c>
      <c r="U59" s="24" t="str">
        <f t="shared" si="61"/>
        <v/>
      </c>
      <c r="V59" s="24" t="str">
        <f t="shared" si="3"/>
        <v/>
      </c>
      <c r="W59" s="14" t="str">
        <f t="shared" si="4"/>
        <v/>
      </c>
    </row>
    <row r="60" ht="14.25" customHeight="1">
      <c r="A60" s="18">
        <f>HYPERLINK("https://app.hubspot.com/contacts/8748051/record/0-1/189646743922", 189646743922)</f>
        <v>189646743922</v>
      </c>
      <c r="B60" s="14" t="s">
        <v>3359</v>
      </c>
      <c r="C60" s="16">
        <v>46023.64083333333</v>
      </c>
      <c r="D60" s="14"/>
      <c r="E60" s="32">
        <v>46024.0</v>
      </c>
      <c r="F60" s="32">
        <v>46027.0</v>
      </c>
      <c r="G60" s="32">
        <v>46027.0</v>
      </c>
      <c r="H60" s="14" t="s">
        <v>3360</v>
      </c>
      <c r="I60" s="14" t="s">
        <v>3361</v>
      </c>
      <c r="J60" s="14"/>
      <c r="K60" s="18">
        <f>HYPERLINK("https://app.hubspot.com/contacts/8748051/record/0-2/48108158301", 48108158301)</f>
        <v>48108158301</v>
      </c>
      <c r="L60" s="14" t="s">
        <v>351</v>
      </c>
      <c r="M60" s="18" t="s">
        <v>352</v>
      </c>
      <c r="N60" s="23">
        <f>HYPERLINK("https://app.hubspot.com/contacts/8748051/record/0-3/53116847482", 53116847482)</f>
        <v>53116847482</v>
      </c>
      <c r="O60" s="14" t="s">
        <v>350</v>
      </c>
      <c r="P60" s="14" t="s">
        <v>124</v>
      </c>
      <c r="Q60" s="14">
        <v>0.0</v>
      </c>
      <c r="R60" s="14" t="b">
        <v>1</v>
      </c>
      <c r="S60" s="24" t="str">
        <f t="shared" ref="S60:U60" si="62">IF(E60&lt;&gt;"","Yes","")</f>
        <v>Yes</v>
      </c>
      <c r="T60" s="24" t="str">
        <f t="shared" si="62"/>
        <v>Yes</v>
      </c>
      <c r="U60" s="24" t="str">
        <f t="shared" si="62"/>
        <v>Yes</v>
      </c>
      <c r="V60" s="24" t="str">
        <f t="shared" si="3"/>
        <v/>
      </c>
      <c r="W60" s="14" t="str">
        <f t="shared" si="4"/>
        <v/>
      </c>
    </row>
    <row r="61" ht="14.25" customHeight="1">
      <c r="A61" s="18">
        <f>HYPERLINK("https://app.hubspot.com/contacts/8748051/record/0-1/176986259510", 176986259510)</f>
        <v>176986259510</v>
      </c>
      <c r="B61" s="14" t="s">
        <v>3362</v>
      </c>
      <c r="C61" s="16">
        <v>46022.24133101852</v>
      </c>
      <c r="D61" s="14"/>
      <c r="E61" s="32">
        <v>46022.0</v>
      </c>
      <c r="F61" s="32">
        <v>46034.0</v>
      </c>
      <c r="G61" s="32">
        <v>46034.0</v>
      </c>
      <c r="H61" s="14" t="s">
        <v>3363</v>
      </c>
      <c r="I61" s="14" t="s">
        <v>3250</v>
      </c>
      <c r="J61" s="14"/>
      <c r="K61" s="18">
        <f>HYPERLINK("https://app.hubspot.com/contacts/8748051/record/0-2/48226874505", 48226874505)</f>
        <v>48226874505</v>
      </c>
      <c r="L61" s="14" t="s">
        <v>333</v>
      </c>
      <c r="M61" s="18" t="s">
        <v>334</v>
      </c>
      <c r="N61" s="23">
        <f>HYPERLINK("https://app.hubspot.com/contacts/8748051/record/0-3/53410978432", 53410978432)</f>
        <v>53410978432</v>
      </c>
      <c r="O61" s="14" t="s">
        <v>332</v>
      </c>
      <c r="P61" s="14" t="s">
        <v>124</v>
      </c>
      <c r="Q61" s="14">
        <v>25000.0</v>
      </c>
      <c r="R61" s="14" t="b">
        <v>1</v>
      </c>
      <c r="S61" s="24" t="str">
        <f t="shared" ref="S61:U61" si="63">IF(E61&lt;&gt;"","Yes","")</f>
        <v>Yes</v>
      </c>
      <c r="T61" s="24" t="str">
        <f t="shared" si="63"/>
        <v>Yes</v>
      </c>
      <c r="U61" s="24" t="str">
        <f t="shared" si="63"/>
        <v>Yes</v>
      </c>
      <c r="V61" s="24" t="str">
        <f t="shared" si="3"/>
        <v/>
      </c>
      <c r="W61" s="14" t="str">
        <f t="shared" si="4"/>
        <v/>
      </c>
    </row>
    <row r="62" ht="14.25" customHeight="1">
      <c r="A62" s="18">
        <f>HYPERLINK("https://app.hubspot.com/contacts/8748051/record/0-1/187925555868", 187925555868)</f>
        <v>187925555868</v>
      </c>
      <c r="B62" s="14" t="s">
        <v>3364</v>
      </c>
      <c r="C62" s="16">
        <v>46016.85775462963</v>
      </c>
      <c r="D62" s="14" t="s">
        <v>3304</v>
      </c>
      <c r="E62" s="32"/>
      <c r="F62" s="32"/>
      <c r="G62" s="32"/>
      <c r="H62" s="14" t="s">
        <v>3365</v>
      </c>
      <c r="I62" s="14" t="s">
        <v>152</v>
      </c>
      <c r="J62" s="14"/>
      <c r="K62" s="18">
        <f>HYPERLINK("https://app.hubspot.com/contacts/8748051/record/0-2/47641832338", 47641832338)</f>
        <v>47641832338</v>
      </c>
      <c r="L62" s="14" t="s">
        <v>3366</v>
      </c>
      <c r="M62" s="18" t="s">
        <v>3367</v>
      </c>
      <c r="N62" s="24"/>
      <c r="O62" s="14"/>
      <c r="P62" s="14"/>
      <c r="Q62" s="14"/>
      <c r="R62" s="14"/>
      <c r="S62" s="24" t="str">
        <f t="shared" ref="S62:U62" si="64">IF(E62&lt;&gt;"","Yes","")</f>
        <v/>
      </c>
      <c r="T62" s="24" t="str">
        <f t="shared" si="64"/>
        <v/>
      </c>
      <c r="U62" s="24" t="str">
        <f t="shared" si="64"/>
        <v/>
      </c>
      <c r="V62" s="24" t="str">
        <f t="shared" si="3"/>
        <v/>
      </c>
      <c r="W62" s="14" t="str">
        <f t="shared" si="4"/>
        <v/>
      </c>
    </row>
    <row r="63" ht="14.25" customHeight="1">
      <c r="A63" s="18">
        <f>HYPERLINK("https://app.hubspot.com/contacts/8748051/record/0-1/193043895314", 193043895314)</f>
        <v>193043895314</v>
      </c>
      <c r="B63" s="14" t="s">
        <v>3368</v>
      </c>
      <c r="C63" s="16">
        <v>46014.29675925926</v>
      </c>
      <c r="D63" s="16"/>
      <c r="E63" s="32">
        <v>46014.0</v>
      </c>
      <c r="F63" s="32"/>
      <c r="G63" s="32"/>
      <c r="H63" s="14" t="s">
        <v>3369</v>
      </c>
      <c r="I63" s="14" t="s">
        <v>152</v>
      </c>
      <c r="J63" s="14"/>
      <c r="K63" s="18">
        <f>HYPERLINK("https://app.hubspot.com/contacts/8748051/record/0-2/47633566089", 47633566089)</f>
        <v>47633566089</v>
      </c>
      <c r="L63" s="14" t="s">
        <v>3370</v>
      </c>
      <c r="M63" s="18" t="s">
        <v>3371</v>
      </c>
      <c r="N63" s="24"/>
      <c r="O63" s="14"/>
      <c r="P63" s="14"/>
      <c r="Q63" s="14"/>
      <c r="R63" s="14"/>
      <c r="S63" s="24" t="str">
        <f t="shared" ref="S63:U63" si="65">IF(E63&lt;&gt;"","Yes","")</f>
        <v>Yes</v>
      </c>
      <c r="T63" s="24" t="str">
        <f t="shared" si="65"/>
        <v/>
      </c>
      <c r="U63" s="24" t="str">
        <f t="shared" si="65"/>
        <v/>
      </c>
      <c r="V63" s="24" t="str">
        <f t="shared" si="3"/>
        <v/>
      </c>
      <c r="W63" s="14" t="str">
        <f t="shared" si="4"/>
        <v/>
      </c>
    </row>
    <row r="64" ht="14.25" customHeight="1">
      <c r="A64" s="18">
        <f>HYPERLINK("https://app.hubspot.com/contacts/8748051/record/0-1/186772164971", 186772164971)</f>
        <v>186772164971</v>
      </c>
      <c r="B64" s="14" t="s">
        <v>3372</v>
      </c>
      <c r="C64" s="16">
        <v>46012.50510416667</v>
      </c>
      <c r="D64" s="16"/>
      <c r="E64" s="32">
        <v>46012.0</v>
      </c>
      <c r="F64" s="32">
        <v>46031.0</v>
      </c>
      <c r="G64" s="32"/>
      <c r="H64" s="14" t="s">
        <v>3373</v>
      </c>
      <c r="I64" s="14" t="s">
        <v>3235</v>
      </c>
      <c r="J64" s="14"/>
      <c r="K64" s="18">
        <f>HYPERLINK("https://app.hubspot.com/contacts/8748051/record/0-2/47614471201", 47614471201)</f>
        <v>47614471201</v>
      </c>
      <c r="L64" s="14" t="s">
        <v>362</v>
      </c>
      <c r="M64" s="18" t="s">
        <v>363</v>
      </c>
      <c r="N64" s="18">
        <f>HYPERLINK("https://app.hubspot.com/contacts/8748051/record/0-3/52375066671", 52375066671)</f>
        <v>52375066671</v>
      </c>
      <c r="O64" s="14" t="s">
        <v>361</v>
      </c>
      <c r="P64" s="14" t="s">
        <v>118</v>
      </c>
      <c r="Q64" s="14">
        <v>0.0</v>
      </c>
      <c r="R64" s="14"/>
      <c r="S64" s="24" t="str">
        <f t="shared" ref="S64:U64" si="66">IF(E64&lt;&gt;"","Yes","")</f>
        <v>Yes</v>
      </c>
      <c r="T64" s="24" t="str">
        <f t="shared" si="66"/>
        <v>Yes</v>
      </c>
      <c r="U64" s="24" t="str">
        <f t="shared" si="66"/>
        <v/>
      </c>
      <c r="V64" s="24" t="str">
        <f t="shared" si="3"/>
        <v/>
      </c>
      <c r="W64" s="14" t="str">
        <f t="shared" si="4"/>
        <v/>
      </c>
    </row>
    <row r="65" ht="14.25" customHeight="1">
      <c r="A65" s="18">
        <f>HYPERLINK("https://app.hubspot.com/contacts/8748051/record/0-1/186604082788", 186604082788)</f>
        <v>186604082788</v>
      </c>
      <c r="B65" s="14" t="s">
        <v>3374</v>
      </c>
      <c r="C65" s="16">
        <v>46011.60774305555</v>
      </c>
      <c r="D65" s="16"/>
      <c r="E65" s="32">
        <v>46012.0</v>
      </c>
      <c r="F65" s="32">
        <v>46028.0</v>
      </c>
      <c r="G65" s="32">
        <v>46028.0</v>
      </c>
      <c r="H65" s="14" t="s">
        <v>3296</v>
      </c>
      <c r="I65" s="14" t="s">
        <v>3237</v>
      </c>
      <c r="J65" s="14" t="s">
        <v>3375</v>
      </c>
      <c r="K65" s="18">
        <f>HYPERLINK("https://app.hubspot.com/contacts/8748051/record/0-2/47571406086", 47571406086)</f>
        <v>47571406086</v>
      </c>
      <c r="L65" s="14" t="s">
        <v>342</v>
      </c>
      <c r="M65" s="18" t="s">
        <v>343</v>
      </c>
      <c r="N65" s="23">
        <f>HYPERLINK("https://app.hubspot.com/contacts/8748051/record/0-3/53263612979", 53263612979)</f>
        <v>53263612979</v>
      </c>
      <c r="O65" s="14" t="s">
        <v>341</v>
      </c>
      <c r="P65" s="14" t="s">
        <v>124</v>
      </c>
      <c r="Q65" s="14">
        <v>2000.0</v>
      </c>
      <c r="R65" s="14"/>
      <c r="S65" s="24" t="str">
        <f t="shared" ref="S65:U65" si="67">IF(E65&lt;&gt;"","Yes","")</f>
        <v>Yes</v>
      </c>
      <c r="T65" s="24" t="str">
        <f t="shared" si="67"/>
        <v>Yes</v>
      </c>
      <c r="U65" s="24" t="str">
        <f t="shared" si="67"/>
        <v>Yes</v>
      </c>
      <c r="V65" s="24" t="str">
        <f t="shared" si="3"/>
        <v/>
      </c>
      <c r="W65" s="14" t="str">
        <f t="shared" si="4"/>
        <v/>
      </c>
    </row>
    <row r="66" ht="14.25" customHeight="1">
      <c r="A66" s="18">
        <f>HYPERLINK("https://app.hubspot.com/contacts/8748051/record/0-1/186460971390", 186460971390)</f>
        <v>186460971390</v>
      </c>
      <c r="B66" s="14" t="s">
        <v>3376</v>
      </c>
      <c r="C66" s="16">
        <v>46010.72232638889</v>
      </c>
      <c r="D66" s="14"/>
      <c r="E66" s="32">
        <v>46011.0</v>
      </c>
      <c r="F66" s="32">
        <v>46013.0</v>
      </c>
      <c r="G66" s="32">
        <v>46013.0</v>
      </c>
      <c r="H66" s="14" t="s">
        <v>3252</v>
      </c>
      <c r="I66" s="14" t="s">
        <v>3237</v>
      </c>
      <c r="J66" s="14" t="s">
        <v>3377</v>
      </c>
      <c r="K66" s="18">
        <f>HYPERLINK("https://app.hubspot.com/contacts/8748051/record/0-2/47564970161", 47564970161)</f>
        <v>47564970161</v>
      </c>
      <c r="L66" s="14" t="s">
        <v>365</v>
      </c>
      <c r="M66" s="18" t="s">
        <v>366</v>
      </c>
      <c r="N66" s="23">
        <f>HYPERLINK("https://app.hubspot.com/contacts/8748051/record/0-3/52241804103", 52241804103)</f>
        <v>52241804103</v>
      </c>
      <c r="O66" s="14" t="s">
        <v>364</v>
      </c>
      <c r="P66" s="14" t="s">
        <v>124</v>
      </c>
      <c r="Q66" s="14">
        <v>1000.0</v>
      </c>
      <c r="R66" s="14"/>
      <c r="S66" s="24" t="str">
        <f t="shared" ref="S66:U66" si="68">IF(E66&lt;&gt;"","Yes","")</f>
        <v>Yes</v>
      </c>
      <c r="T66" s="24" t="str">
        <f t="shared" si="68"/>
        <v>Yes</v>
      </c>
      <c r="U66" s="24" t="str">
        <f t="shared" si="68"/>
        <v>Yes</v>
      </c>
      <c r="V66" s="24" t="str">
        <f t="shared" si="3"/>
        <v/>
      </c>
      <c r="W66" s="14" t="str">
        <f t="shared" si="4"/>
        <v/>
      </c>
    </row>
    <row r="67" ht="14.25" customHeight="1">
      <c r="A67" s="18">
        <f>HYPERLINK("https://app.hubspot.com/contacts/8748051/record/0-1/186423208808", 186423208808)</f>
        <v>186423208808</v>
      </c>
      <c r="B67" s="14" t="s">
        <v>3378</v>
      </c>
      <c r="C67" s="16">
        <v>46010.55412037037</v>
      </c>
      <c r="D67" s="14"/>
      <c r="E67" s="32">
        <v>46010.0</v>
      </c>
      <c r="F67" s="32">
        <v>46013.0</v>
      </c>
      <c r="G67" s="32">
        <v>46013.0</v>
      </c>
      <c r="H67" s="14" t="s">
        <v>3379</v>
      </c>
      <c r="I67" s="14" t="s">
        <v>152</v>
      </c>
      <c r="J67" s="14"/>
      <c r="K67" s="18">
        <f>HYPERLINK("https://app.hubspot.com/contacts/8748051/record/0-2/8448459081", 8448459081)</f>
        <v>8448459081</v>
      </c>
      <c r="L67" s="14" t="s">
        <v>369</v>
      </c>
      <c r="M67" s="18" t="s">
        <v>370</v>
      </c>
      <c r="N67" s="18">
        <f>HYPERLINK("https://app.hubspot.com/contacts/8748051/record/0-3/52243205923", 52243205923)</f>
        <v>52243205923</v>
      </c>
      <c r="O67" s="14" t="s">
        <v>367</v>
      </c>
      <c r="P67" s="14" t="s">
        <v>146</v>
      </c>
      <c r="Q67" s="14">
        <v>62000.0</v>
      </c>
      <c r="R67" s="14" t="b">
        <v>1</v>
      </c>
      <c r="S67" s="24" t="str">
        <f t="shared" ref="S67:U67" si="69">IF(E67&lt;&gt;"","Yes","")</f>
        <v>Yes</v>
      </c>
      <c r="T67" s="24" t="str">
        <f t="shared" si="69"/>
        <v>Yes</v>
      </c>
      <c r="U67" s="24" t="str">
        <f t="shared" si="69"/>
        <v>Yes</v>
      </c>
      <c r="V67" s="24" t="str">
        <f t="shared" si="3"/>
        <v/>
      </c>
      <c r="W67" s="14" t="str">
        <f t="shared" si="4"/>
        <v>Yes</v>
      </c>
    </row>
    <row r="68" ht="14.25" customHeight="1">
      <c r="A68" s="18">
        <f>HYPERLINK("https://app.hubspot.com/contacts/8748051/record/0-1/190405632082", 190405632082)</f>
        <v>190405632082</v>
      </c>
      <c r="B68" s="14" t="s">
        <v>3380</v>
      </c>
      <c r="C68" s="16">
        <v>46010.52258101852</v>
      </c>
      <c r="D68" s="16"/>
      <c r="E68" s="32">
        <v>46010.0</v>
      </c>
      <c r="F68" s="32">
        <v>46020.0</v>
      </c>
      <c r="G68" s="32">
        <v>46020.0</v>
      </c>
      <c r="H68" s="14" t="s">
        <v>3355</v>
      </c>
      <c r="I68" s="14" t="s">
        <v>3237</v>
      </c>
      <c r="J68" s="14"/>
      <c r="K68" s="18">
        <f>HYPERLINK("https://app.hubspot.com/contacts/8748051/record/0-2/48189021323", 48189021323)</f>
        <v>48189021323</v>
      </c>
      <c r="L68" s="14" t="s">
        <v>374</v>
      </c>
      <c r="M68" s="18" t="s">
        <v>375</v>
      </c>
      <c r="N68" s="23">
        <f>HYPERLINK("https://app.hubspot.com/contacts/8748051/record/0-3/53233734008", 53233734008)</f>
        <v>53233734008</v>
      </c>
      <c r="O68" s="14" t="s">
        <v>372</v>
      </c>
      <c r="P68" s="14" t="s">
        <v>124</v>
      </c>
      <c r="Q68" s="14">
        <v>10000.0</v>
      </c>
      <c r="R68" s="14" t="b">
        <v>1</v>
      </c>
      <c r="S68" s="24" t="str">
        <f t="shared" ref="S68:U68" si="70">IF(E68&lt;&gt;"","Yes","")</f>
        <v>Yes</v>
      </c>
      <c r="T68" s="24" t="str">
        <f t="shared" si="70"/>
        <v>Yes</v>
      </c>
      <c r="U68" s="24" t="str">
        <f t="shared" si="70"/>
        <v>Yes</v>
      </c>
      <c r="V68" s="24" t="str">
        <f t="shared" si="3"/>
        <v/>
      </c>
      <c r="W68" s="14" t="str">
        <f t="shared" si="4"/>
        <v/>
      </c>
    </row>
    <row r="69" ht="14.25" customHeight="1">
      <c r="A69" s="18">
        <f>HYPERLINK("https://app.hubspot.com/contacts/8748051/record/0-1/186354333218", 186354333218)</f>
        <v>186354333218</v>
      </c>
      <c r="B69" s="14" t="s">
        <v>3381</v>
      </c>
      <c r="C69" s="16">
        <v>46010.480833333335</v>
      </c>
      <c r="D69" s="16"/>
      <c r="E69" s="32">
        <v>46010.0</v>
      </c>
      <c r="F69" s="32">
        <v>46013.0</v>
      </c>
      <c r="G69" s="32">
        <v>46013.0</v>
      </c>
      <c r="H69" s="14" t="s">
        <v>3382</v>
      </c>
      <c r="I69" s="14" t="s">
        <v>152</v>
      </c>
      <c r="J69" s="14"/>
      <c r="K69" s="18">
        <f>HYPERLINK("https://app.hubspot.com/contacts/8748051/record/0-2/17747112247", 17747112247)</f>
        <v>17747112247</v>
      </c>
      <c r="L69" s="14" t="s">
        <v>377</v>
      </c>
      <c r="M69" s="18" t="s">
        <v>378</v>
      </c>
      <c r="N69" s="18">
        <f>HYPERLINK("https://app.hubspot.com/contacts/8748051/record/0-3/52097481373", 52097481373)</f>
        <v>52097481373</v>
      </c>
      <c r="O69" s="14" t="s">
        <v>376</v>
      </c>
      <c r="P69" s="14" t="s">
        <v>124</v>
      </c>
      <c r="Q69" s="14">
        <v>50500.0</v>
      </c>
      <c r="R69" s="14" t="b">
        <v>1</v>
      </c>
      <c r="S69" s="24" t="str">
        <f t="shared" ref="S69:U69" si="71">IF(E69&lt;&gt;"","Yes","")</f>
        <v>Yes</v>
      </c>
      <c r="T69" s="24" t="str">
        <f t="shared" si="71"/>
        <v>Yes</v>
      </c>
      <c r="U69" s="24" t="str">
        <f t="shared" si="71"/>
        <v>Yes</v>
      </c>
      <c r="V69" s="24" t="str">
        <f t="shared" si="3"/>
        <v/>
      </c>
      <c r="W69" s="14" t="str">
        <f t="shared" si="4"/>
        <v/>
      </c>
    </row>
    <row r="70" ht="14.25" customHeight="1">
      <c r="A70" s="18">
        <f>HYPERLINK("https://app.hubspot.com/contacts/8748051/record/0-1/120039431321", 120039431321)</f>
        <v>120039431321</v>
      </c>
      <c r="B70" s="14" t="s">
        <v>3383</v>
      </c>
      <c r="C70" s="16">
        <v>46009.52096064815</v>
      </c>
      <c r="D70" s="14"/>
      <c r="E70" s="32">
        <v>46009.0</v>
      </c>
      <c r="F70" s="32">
        <v>46015.0</v>
      </c>
      <c r="G70" s="32"/>
      <c r="H70" s="14" t="s">
        <v>3384</v>
      </c>
      <c r="I70" s="14" t="s">
        <v>3246</v>
      </c>
      <c r="J70" s="14"/>
      <c r="K70" s="18">
        <f>HYPERLINK("https://app.hubspot.com/contacts/8748051/record/0-2/33148834998", 33148834998)</f>
        <v>33148834998</v>
      </c>
      <c r="L70" s="14" t="s">
        <v>380</v>
      </c>
      <c r="M70" s="18" t="s">
        <v>381</v>
      </c>
      <c r="N70" s="23">
        <f>HYPERLINK("https://app.hubspot.com/contacts/8748051/record/0-3/52073496170", 52073496170)</f>
        <v>52073496170</v>
      </c>
      <c r="O70" s="14" t="s">
        <v>379</v>
      </c>
      <c r="P70" s="14" t="s">
        <v>118</v>
      </c>
      <c r="Q70" s="14">
        <v>15000.0</v>
      </c>
      <c r="R70" s="14"/>
      <c r="S70" s="24" t="str">
        <f t="shared" ref="S70:U70" si="72">IF(E70&lt;&gt;"","Yes","")</f>
        <v>Yes</v>
      </c>
      <c r="T70" s="24" t="str">
        <f t="shared" si="72"/>
        <v>Yes</v>
      </c>
      <c r="U70" s="24" t="str">
        <f t="shared" si="72"/>
        <v/>
      </c>
      <c r="V70" s="24" t="str">
        <f t="shared" si="3"/>
        <v/>
      </c>
      <c r="W70" s="14" t="str">
        <f t="shared" si="4"/>
        <v/>
      </c>
    </row>
    <row r="71" ht="14.25" customHeight="1">
      <c r="A71" s="18">
        <f>HYPERLINK("https://app.hubspot.com/contacts/8748051/record/0-1/185488481564", 185488481564)</f>
        <v>185488481564</v>
      </c>
      <c r="B71" s="14" t="s">
        <v>3385</v>
      </c>
      <c r="C71" s="16">
        <v>46007.59689814815</v>
      </c>
      <c r="D71" s="14"/>
      <c r="E71" s="32">
        <v>46008.0</v>
      </c>
      <c r="F71" s="32">
        <v>46028.0</v>
      </c>
      <c r="G71" s="32"/>
      <c r="H71" s="14" t="s">
        <v>3386</v>
      </c>
      <c r="I71" s="14" t="s">
        <v>3237</v>
      </c>
      <c r="J71" s="14" t="s">
        <v>3377</v>
      </c>
      <c r="K71" s="18">
        <f>HYPERLINK("https://app.hubspot.com/contacts/8748051/record/0-2/47340881525", 47340881525)</f>
        <v>47340881525</v>
      </c>
      <c r="L71" s="14" t="s">
        <v>387</v>
      </c>
      <c r="M71" s="18" t="s">
        <v>388</v>
      </c>
      <c r="N71" s="23">
        <f>HYPERLINK("https://app.hubspot.com/contacts/8748051/record/0-3/51995664283", 51995664283)</f>
        <v>51995664283</v>
      </c>
      <c r="O71" s="14" t="s">
        <v>386</v>
      </c>
      <c r="P71" s="14" t="s">
        <v>118</v>
      </c>
      <c r="Q71" s="14">
        <v>14500.0</v>
      </c>
      <c r="R71" s="14"/>
      <c r="S71" s="24" t="str">
        <f t="shared" ref="S71:U71" si="73">IF(E71&lt;&gt;"","Yes","")</f>
        <v>Yes</v>
      </c>
      <c r="T71" s="24" t="str">
        <f t="shared" si="73"/>
        <v>Yes</v>
      </c>
      <c r="U71" s="24" t="str">
        <f t="shared" si="73"/>
        <v/>
      </c>
      <c r="V71" s="24" t="str">
        <f t="shared" si="3"/>
        <v/>
      </c>
      <c r="W71" s="14" t="str">
        <f t="shared" si="4"/>
        <v/>
      </c>
    </row>
    <row r="72" ht="14.25" customHeight="1">
      <c r="A72" s="18">
        <f>HYPERLINK("https://app.hubspot.com/contacts/8748051/record/0-1/185426915198", 185426915198)</f>
        <v>185426915198</v>
      </c>
      <c r="B72" s="14" t="s">
        <v>3387</v>
      </c>
      <c r="C72" s="16">
        <v>46007.454988425925</v>
      </c>
      <c r="D72" s="14"/>
      <c r="E72" s="32">
        <v>46007.0</v>
      </c>
      <c r="F72" s="32">
        <v>46009.0</v>
      </c>
      <c r="G72" s="32">
        <v>46009.0</v>
      </c>
      <c r="H72" s="14" t="s">
        <v>3388</v>
      </c>
      <c r="I72" s="14" t="s">
        <v>152</v>
      </c>
      <c r="J72" s="14"/>
      <c r="K72" s="18">
        <f>HYPERLINK("https://app.hubspot.com/contacts/8748051/record/0-2/47334647695", 47334647695)</f>
        <v>47334647695</v>
      </c>
      <c r="L72" s="14" t="s">
        <v>384</v>
      </c>
      <c r="M72" s="18" t="s">
        <v>385</v>
      </c>
      <c r="N72" s="23">
        <f>HYPERLINK("https://app.hubspot.com/contacts/8748051/record/0-3/52069893214", 52069893214)</f>
        <v>52069893214</v>
      </c>
      <c r="O72" s="14" t="s">
        <v>382</v>
      </c>
      <c r="P72" s="14" t="s">
        <v>383</v>
      </c>
      <c r="Q72" s="14">
        <v>17000.0</v>
      </c>
      <c r="R72" s="14" t="b">
        <v>1</v>
      </c>
      <c r="S72" s="24" t="str">
        <f t="shared" ref="S72:U72" si="74">IF(E72&lt;&gt;"","Yes","")</f>
        <v>Yes</v>
      </c>
      <c r="T72" s="24" t="str">
        <f t="shared" si="74"/>
        <v>Yes</v>
      </c>
      <c r="U72" s="24" t="str">
        <f t="shared" si="74"/>
        <v>Yes</v>
      </c>
      <c r="V72" s="24" t="str">
        <f t="shared" si="3"/>
        <v/>
      </c>
      <c r="W72" s="14" t="str">
        <f t="shared" si="4"/>
        <v/>
      </c>
    </row>
    <row r="73" ht="14.25" customHeight="1">
      <c r="A73" s="18">
        <f>HYPERLINK("https://app.hubspot.com/contacts/8748051/record/0-1/184985832238", 184985832238)</f>
        <v>184985832238</v>
      </c>
      <c r="B73" s="14" t="s">
        <v>3389</v>
      </c>
      <c r="C73" s="16">
        <v>46005.70747685185</v>
      </c>
      <c r="D73" s="14" t="s">
        <v>3304</v>
      </c>
      <c r="E73" s="32"/>
      <c r="F73" s="32"/>
      <c r="G73" s="32"/>
      <c r="H73" s="14" t="s">
        <v>3308</v>
      </c>
      <c r="I73" s="14" t="s">
        <v>3237</v>
      </c>
      <c r="J73" s="14"/>
      <c r="K73" s="18">
        <f>HYPERLINK("https://app.hubspot.com/contacts/8748051/record/0-2/47072377720", 47072377720)</f>
        <v>47072377720</v>
      </c>
      <c r="L73" s="14"/>
      <c r="M73" s="18" t="s">
        <v>3390</v>
      </c>
      <c r="N73" s="24"/>
      <c r="O73" s="14"/>
      <c r="P73" s="14"/>
      <c r="Q73" s="14"/>
      <c r="R73" s="14"/>
      <c r="S73" s="24" t="str">
        <f t="shared" ref="S73:U73" si="75">IF(E73&lt;&gt;"","Yes","")</f>
        <v/>
      </c>
      <c r="T73" s="24" t="str">
        <f t="shared" si="75"/>
        <v/>
      </c>
      <c r="U73" s="24" t="str">
        <f t="shared" si="75"/>
        <v/>
      </c>
      <c r="V73" s="24" t="str">
        <f t="shared" si="3"/>
        <v/>
      </c>
      <c r="W73" s="14" t="str">
        <f t="shared" si="4"/>
        <v/>
      </c>
    </row>
    <row r="74" ht="14.25" customHeight="1">
      <c r="A74" s="18">
        <f>HYPERLINK("https://app.hubspot.com/contacts/8748051/record/0-1/184252165941", 184252165941)</f>
        <v>184252165941</v>
      </c>
      <c r="B74" s="14" t="s">
        <v>3391</v>
      </c>
      <c r="C74" s="16">
        <v>46002.72310185185</v>
      </c>
      <c r="D74" s="14"/>
      <c r="E74" s="32">
        <v>46003.0</v>
      </c>
      <c r="F74" s="32">
        <v>46004.0</v>
      </c>
      <c r="G74" s="32">
        <v>46004.0</v>
      </c>
      <c r="H74" s="14" t="s">
        <v>3355</v>
      </c>
      <c r="I74" s="14" t="s">
        <v>3237</v>
      </c>
      <c r="J74" s="14"/>
      <c r="K74" s="18">
        <f>HYPERLINK("https://app.hubspot.com/contacts/8748051/record/0-2/47058468877", 47058468877)</f>
        <v>47058468877</v>
      </c>
      <c r="L74" s="14" t="s">
        <v>401</v>
      </c>
      <c r="M74" s="18" t="s">
        <v>402</v>
      </c>
      <c r="N74" s="23">
        <f>HYPERLINK("https://app.hubspot.com/contacts/8748051/record/0-3/51684994066", 51684994066)</f>
        <v>51684994066</v>
      </c>
      <c r="O74" s="14" t="s">
        <v>399</v>
      </c>
      <c r="P74" s="14" t="s">
        <v>124</v>
      </c>
      <c r="Q74" s="14">
        <v>15000.0</v>
      </c>
      <c r="R74" s="14" t="b">
        <v>1</v>
      </c>
      <c r="S74" s="24" t="str">
        <f t="shared" ref="S74:U74" si="76">IF(E74&lt;&gt;"","Yes","")</f>
        <v>Yes</v>
      </c>
      <c r="T74" s="24" t="str">
        <f t="shared" si="76"/>
        <v>Yes</v>
      </c>
      <c r="U74" s="24" t="str">
        <f t="shared" si="76"/>
        <v>Yes</v>
      </c>
      <c r="V74" s="24" t="str">
        <f t="shared" si="3"/>
        <v/>
      </c>
      <c r="W74" s="14" t="str">
        <f t="shared" si="4"/>
        <v/>
      </c>
    </row>
    <row r="75" ht="14.25" customHeight="1">
      <c r="A75" s="18">
        <f>HYPERLINK("https://app.hubspot.com/contacts/8748051/record/0-1/184167997206", 184167997206)</f>
        <v>184167997206</v>
      </c>
      <c r="B75" s="14" t="s">
        <v>3392</v>
      </c>
      <c r="C75" s="16">
        <v>46002.57603009259</v>
      </c>
      <c r="D75" s="16"/>
      <c r="E75" s="32">
        <v>46003.0</v>
      </c>
      <c r="F75" s="32"/>
      <c r="G75" s="32"/>
      <c r="H75" s="14" t="s">
        <v>3215</v>
      </c>
      <c r="I75" s="14" t="s">
        <v>3237</v>
      </c>
      <c r="J75" s="14"/>
      <c r="K75" s="18">
        <f>HYPERLINK("https://app.hubspot.com/contacts/8748051/record/0-2/47005517116", 47005517116)</f>
        <v>47005517116</v>
      </c>
      <c r="L75" s="14" t="s">
        <v>3393</v>
      </c>
      <c r="M75" s="18" t="s">
        <v>3394</v>
      </c>
      <c r="N75" s="14"/>
      <c r="O75" s="14"/>
      <c r="P75" s="14"/>
      <c r="Q75" s="14"/>
      <c r="R75" s="14"/>
      <c r="S75" s="24" t="str">
        <f t="shared" ref="S75:U75" si="77">IF(E75&lt;&gt;"","Yes","")</f>
        <v>Yes</v>
      </c>
      <c r="T75" s="24" t="str">
        <f t="shared" si="77"/>
        <v/>
      </c>
      <c r="U75" s="24" t="str">
        <f t="shared" si="77"/>
        <v/>
      </c>
      <c r="V75" s="24" t="str">
        <f t="shared" si="3"/>
        <v/>
      </c>
      <c r="W75" s="14" t="str">
        <f t="shared" si="4"/>
        <v/>
      </c>
    </row>
    <row r="76" ht="14.25" customHeight="1">
      <c r="A76" s="18">
        <f>HYPERLINK("https://app.hubspot.com/contacts/8748051/record/0-1/190489075731", 190489075731)</f>
        <v>190489075731</v>
      </c>
      <c r="B76" s="14" t="s">
        <v>3395</v>
      </c>
      <c r="C76" s="16">
        <v>46002.35503472222</v>
      </c>
      <c r="D76" s="14"/>
      <c r="E76" s="32">
        <v>46002.0</v>
      </c>
      <c r="F76" s="32">
        <v>46003.0</v>
      </c>
      <c r="G76" s="32">
        <v>46003.0</v>
      </c>
      <c r="H76" s="14" t="s">
        <v>3396</v>
      </c>
      <c r="I76" s="14" t="s">
        <v>3250</v>
      </c>
      <c r="J76" s="14"/>
      <c r="K76" s="18">
        <f>HYPERLINK("https://app.hubspot.com/contacts/8748051/record/0-2/19176574816", 19176574816)</f>
        <v>19176574816</v>
      </c>
      <c r="L76" s="14" t="s">
        <v>404</v>
      </c>
      <c r="M76" s="18" t="s">
        <v>405</v>
      </c>
      <c r="N76" s="18">
        <f>HYPERLINK("https://app.hubspot.com/contacts/8748051/record/0-3/51655318907", 51655318907)</f>
        <v>51655318907</v>
      </c>
      <c r="O76" s="14" t="s">
        <v>403</v>
      </c>
      <c r="P76" s="14" t="s">
        <v>38</v>
      </c>
      <c r="Q76" s="14">
        <v>12500.0</v>
      </c>
      <c r="R76" s="14"/>
      <c r="S76" s="24" t="str">
        <f t="shared" ref="S76:U76" si="78">IF(E76&lt;&gt;"","Yes","")</f>
        <v>Yes</v>
      </c>
      <c r="T76" s="24" t="str">
        <f t="shared" si="78"/>
        <v>Yes</v>
      </c>
      <c r="U76" s="24" t="str">
        <f t="shared" si="78"/>
        <v>Yes</v>
      </c>
      <c r="V76" s="24" t="str">
        <f t="shared" si="3"/>
        <v/>
      </c>
      <c r="W76" s="14" t="str">
        <f t="shared" si="4"/>
        <v/>
      </c>
    </row>
    <row r="77" ht="14.25" customHeight="1">
      <c r="A77" s="18">
        <f>HYPERLINK("https://app.hubspot.com/contacts/8748051/record/0-1/183811749134", 183811749134)</f>
        <v>183811749134</v>
      </c>
      <c r="B77" s="14" t="s">
        <v>3397</v>
      </c>
      <c r="C77" s="16">
        <v>46001.689097222225</v>
      </c>
      <c r="D77" s="16"/>
      <c r="E77" s="32">
        <v>46002.0</v>
      </c>
      <c r="F77" s="32">
        <v>46003.0</v>
      </c>
      <c r="G77" s="32"/>
      <c r="H77" s="14" t="s">
        <v>3398</v>
      </c>
      <c r="I77" s="14" t="s">
        <v>152</v>
      </c>
      <c r="J77" s="14" t="s">
        <v>3247</v>
      </c>
      <c r="K77" s="18">
        <f>HYPERLINK("https://app.hubspot.com/contacts/8748051/record/0-2/46942005066", 46942005066)</f>
        <v>46942005066</v>
      </c>
      <c r="L77" s="14" t="s">
        <v>407</v>
      </c>
      <c r="M77" s="18" t="s">
        <v>408</v>
      </c>
      <c r="N77" s="23">
        <f>HYPERLINK("https://app.hubspot.com/contacts/8748051/record/0-3/51634328111", 51634328111)</f>
        <v>51634328111</v>
      </c>
      <c r="O77" s="14" t="s">
        <v>406</v>
      </c>
      <c r="P77" s="14" t="s">
        <v>118</v>
      </c>
      <c r="Q77" s="14">
        <v>0.0</v>
      </c>
      <c r="R77" s="14"/>
      <c r="S77" s="24" t="str">
        <f t="shared" ref="S77:U77" si="79">IF(E77&lt;&gt;"","Yes","")</f>
        <v>Yes</v>
      </c>
      <c r="T77" s="24" t="str">
        <f t="shared" si="79"/>
        <v>Yes</v>
      </c>
      <c r="U77" s="24" t="str">
        <f t="shared" si="79"/>
        <v/>
      </c>
      <c r="V77" s="24" t="str">
        <f t="shared" si="3"/>
        <v/>
      </c>
      <c r="W77" s="14" t="str">
        <f t="shared" si="4"/>
        <v/>
      </c>
    </row>
    <row r="78" ht="14.25" customHeight="1">
      <c r="A78" s="18">
        <f>HYPERLINK("https://app.hubspot.com/contacts/8748051/record/0-1/183593167705", 183593167705)</f>
        <v>183593167705</v>
      </c>
      <c r="B78" s="14" t="s">
        <v>3399</v>
      </c>
      <c r="C78" s="16">
        <v>46001.201145833336</v>
      </c>
      <c r="D78" s="16"/>
      <c r="E78" s="32">
        <v>46001.0</v>
      </c>
      <c r="F78" s="32">
        <v>46035.0</v>
      </c>
      <c r="G78" s="32"/>
      <c r="H78" s="14" t="s">
        <v>3261</v>
      </c>
      <c r="I78" s="14" t="s">
        <v>152</v>
      </c>
      <c r="J78" s="14"/>
      <c r="K78" s="18">
        <f>HYPERLINK("https://app.hubspot.com/contacts/8748051/record/0-2/35059245747", 35059245747)</f>
        <v>35059245747</v>
      </c>
      <c r="L78" s="14" t="s">
        <v>323</v>
      </c>
      <c r="M78" s="18" t="s">
        <v>324</v>
      </c>
      <c r="N78" s="18">
        <f>HYPERLINK("https://app.hubspot.com/contacts/8748051/record/0-3/53451551280", 53451551280)</f>
        <v>53451551280</v>
      </c>
      <c r="O78" s="14" t="s">
        <v>322</v>
      </c>
      <c r="P78" s="14" t="s">
        <v>118</v>
      </c>
      <c r="Q78" s="14">
        <v>12500.0</v>
      </c>
      <c r="R78" s="14"/>
      <c r="S78" s="24" t="str">
        <f t="shared" ref="S78:U78" si="80">IF(E78&lt;&gt;"","Yes","")</f>
        <v>Yes</v>
      </c>
      <c r="T78" s="24" t="str">
        <f t="shared" si="80"/>
        <v>Yes</v>
      </c>
      <c r="U78" s="24" t="str">
        <f t="shared" si="80"/>
        <v/>
      </c>
      <c r="V78" s="24" t="str">
        <f t="shared" si="3"/>
        <v/>
      </c>
      <c r="W78" s="14" t="str">
        <f t="shared" si="4"/>
        <v/>
      </c>
    </row>
    <row r="79" ht="14.25" customHeight="1">
      <c r="A79" s="18">
        <f>HYPERLINK("https://app.hubspot.com/contacts/8748051/record/0-1/179198174236", 179198174236)</f>
        <v>179198174236</v>
      </c>
      <c r="B79" s="14" t="s">
        <v>3400</v>
      </c>
      <c r="C79" s="16">
        <v>46000.675358796296</v>
      </c>
      <c r="D79" s="16"/>
      <c r="E79" s="32">
        <v>46001.0</v>
      </c>
      <c r="F79" s="32">
        <v>46003.0</v>
      </c>
      <c r="G79" s="32">
        <v>46003.0</v>
      </c>
      <c r="H79" s="14" t="s">
        <v>3401</v>
      </c>
      <c r="I79" s="14" t="s">
        <v>3402</v>
      </c>
      <c r="J79" s="14" t="s">
        <v>3375</v>
      </c>
      <c r="K79" s="18">
        <f>HYPERLINK("https://app.hubspot.com/contacts/8748051/record/0-2/46909196430", 46909196430)</f>
        <v>46909196430</v>
      </c>
      <c r="L79" s="14" t="s">
        <v>413</v>
      </c>
      <c r="M79" s="18" t="s">
        <v>414</v>
      </c>
      <c r="N79" s="18">
        <f>HYPERLINK("https://app.hubspot.com/contacts/8748051/record/0-3/51528548755", 51528548755)</f>
        <v>51528548755</v>
      </c>
      <c r="O79" s="14" t="s">
        <v>412</v>
      </c>
      <c r="P79" s="14" t="s">
        <v>118</v>
      </c>
      <c r="Q79" s="14">
        <v>6500.0</v>
      </c>
      <c r="R79" s="14"/>
      <c r="S79" s="24" t="str">
        <f t="shared" ref="S79:U79" si="81">IF(E79&lt;&gt;"","Yes","")</f>
        <v>Yes</v>
      </c>
      <c r="T79" s="24" t="str">
        <f t="shared" si="81"/>
        <v>Yes</v>
      </c>
      <c r="U79" s="24" t="str">
        <f t="shared" si="81"/>
        <v>Yes</v>
      </c>
      <c r="V79" s="24" t="str">
        <f t="shared" si="3"/>
        <v/>
      </c>
      <c r="W79" s="14" t="str">
        <f t="shared" si="4"/>
        <v/>
      </c>
    </row>
    <row r="80" ht="14.25" customHeight="1">
      <c r="A80" s="18">
        <f>HYPERLINK("https://app.hubspot.com/contacts/8748051/record/0-1/183441945612", 183441945612)</f>
        <v>183441945612</v>
      </c>
      <c r="B80" s="14" t="s">
        <v>3403</v>
      </c>
      <c r="C80" s="16">
        <v>46000.588217592594</v>
      </c>
      <c r="D80" s="16"/>
      <c r="E80" s="32">
        <v>46001.0</v>
      </c>
      <c r="F80" s="32">
        <v>46001.0</v>
      </c>
      <c r="G80" s="32">
        <v>46001.0</v>
      </c>
      <c r="H80" s="14" t="s">
        <v>3404</v>
      </c>
      <c r="I80" s="14" t="s">
        <v>152</v>
      </c>
      <c r="J80" s="14" t="s">
        <v>3247</v>
      </c>
      <c r="K80" s="18">
        <f>HYPERLINK("https://app.hubspot.com/contacts/8748051/record/0-2/46912343452", 46912343452)</f>
        <v>46912343452</v>
      </c>
      <c r="L80" s="14" t="s">
        <v>416</v>
      </c>
      <c r="M80" s="18" t="s">
        <v>417</v>
      </c>
      <c r="N80" s="23">
        <f>HYPERLINK("https://app.hubspot.com/contacts/8748051/record/0-3/51521629606", 51521629606)</f>
        <v>51521629606</v>
      </c>
      <c r="O80" s="14" t="s">
        <v>415</v>
      </c>
      <c r="P80" s="14" t="s">
        <v>118</v>
      </c>
      <c r="Q80" s="14">
        <v>3500.0</v>
      </c>
      <c r="R80" s="14"/>
      <c r="S80" s="24" t="str">
        <f t="shared" ref="S80:U80" si="82">IF(E80&lt;&gt;"","Yes","")</f>
        <v>Yes</v>
      </c>
      <c r="T80" s="24" t="str">
        <f t="shared" si="82"/>
        <v>Yes</v>
      </c>
      <c r="U80" s="24" t="str">
        <f t="shared" si="82"/>
        <v>Yes</v>
      </c>
      <c r="V80" s="24" t="str">
        <f t="shared" si="3"/>
        <v/>
      </c>
      <c r="W80" s="14" t="str">
        <f t="shared" si="4"/>
        <v/>
      </c>
    </row>
    <row r="81" ht="14.25" customHeight="1">
      <c r="A81" s="18">
        <f>HYPERLINK("https://app.hubspot.com/contacts/8748051/record/0-1/183355117919", 183355117919)</f>
        <v>183355117919</v>
      </c>
      <c r="B81" s="14" t="s">
        <v>3405</v>
      </c>
      <c r="C81" s="16">
        <v>46000.370034722226</v>
      </c>
      <c r="D81" s="16"/>
      <c r="E81" s="32">
        <v>46000.0</v>
      </c>
      <c r="F81" s="32">
        <v>46004.0</v>
      </c>
      <c r="G81" s="32">
        <v>46004.0</v>
      </c>
      <c r="H81" s="14" t="s">
        <v>3252</v>
      </c>
      <c r="I81" s="14" t="s">
        <v>3237</v>
      </c>
      <c r="J81" s="14"/>
      <c r="K81" s="18">
        <f>HYPERLINK("https://app.hubspot.com/contacts/8748051/record/0-2/19177041320", 19177041320)</f>
        <v>19177041320</v>
      </c>
      <c r="L81" s="14" t="s">
        <v>420</v>
      </c>
      <c r="M81" s="18" t="s">
        <v>421</v>
      </c>
      <c r="N81" s="18">
        <f>HYPERLINK("https://app.hubspot.com/contacts/8748051/record/0-3/51441209176", 51441209176)</f>
        <v>51441209176</v>
      </c>
      <c r="O81" s="14" t="s">
        <v>418</v>
      </c>
      <c r="P81" s="14" t="s">
        <v>89</v>
      </c>
      <c r="Q81" s="14">
        <v>20000.0</v>
      </c>
      <c r="R81" s="14" t="b">
        <v>1</v>
      </c>
      <c r="S81" s="24" t="str">
        <f t="shared" ref="S81:U81" si="83">IF(E81&lt;&gt;"","Yes","")</f>
        <v>Yes</v>
      </c>
      <c r="T81" s="24" t="str">
        <f t="shared" si="83"/>
        <v>Yes</v>
      </c>
      <c r="U81" s="24" t="str">
        <f t="shared" si="83"/>
        <v>Yes</v>
      </c>
      <c r="V81" s="24" t="str">
        <f t="shared" si="3"/>
        <v>Yes</v>
      </c>
      <c r="W81" s="14" t="str">
        <f t="shared" si="4"/>
        <v/>
      </c>
    </row>
    <row r="82" ht="14.25" customHeight="1">
      <c r="A82" s="18">
        <f>HYPERLINK("https://app.hubspot.com/contacts/8748051/record/0-1/182568845181", 182568845181)</f>
        <v>182568845181</v>
      </c>
      <c r="B82" s="14" t="s">
        <v>3406</v>
      </c>
      <c r="C82" s="16">
        <v>45996.7452662037</v>
      </c>
      <c r="D82" s="16"/>
      <c r="E82" s="32">
        <v>45997.0</v>
      </c>
      <c r="F82" s="32">
        <v>46001.0</v>
      </c>
      <c r="G82" s="32">
        <v>46001.0</v>
      </c>
      <c r="H82" s="14" t="s">
        <v>3386</v>
      </c>
      <c r="I82" s="14" t="s">
        <v>3237</v>
      </c>
      <c r="J82" s="14"/>
      <c r="K82" s="18">
        <f>HYPERLINK("https://app.hubspot.com/contacts/8748051/record/0-2/46777806410", 46777806410)</f>
        <v>46777806410</v>
      </c>
      <c r="L82" s="14" t="s">
        <v>426</v>
      </c>
      <c r="M82" s="18" t="s">
        <v>427</v>
      </c>
      <c r="N82" s="23">
        <f>HYPERLINK("https://app.hubspot.com/contacts/8748051/record/0-3/51445687066", 51445687066)</f>
        <v>51445687066</v>
      </c>
      <c r="O82" s="14" t="s">
        <v>425</v>
      </c>
      <c r="P82" s="14" t="s">
        <v>124</v>
      </c>
      <c r="Q82" s="14">
        <v>5000.0</v>
      </c>
      <c r="R82" s="14" t="b">
        <v>1</v>
      </c>
      <c r="S82" s="24" t="str">
        <f t="shared" ref="S82:U82" si="84">IF(E82&lt;&gt;"","Yes","")</f>
        <v>Yes</v>
      </c>
      <c r="T82" s="24" t="str">
        <f t="shared" si="84"/>
        <v>Yes</v>
      </c>
      <c r="U82" s="24" t="str">
        <f t="shared" si="84"/>
        <v>Yes</v>
      </c>
      <c r="V82" s="24" t="str">
        <f t="shared" si="3"/>
        <v/>
      </c>
      <c r="W82" s="14" t="str">
        <f t="shared" si="4"/>
        <v/>
      </c>
    </row>
    <row r="83" ht="14.25" customHeight="1">
      <c r="A83" s="18">
        <f>HYPERLINK("https://app.hubspot.com/contacts/8748051/record/0-1/181943351079", 181943351079)</f>
        <v>181943351079</v>
      </c>
      <c r="B83" s="14" t="s">
        <v>3407</v>
      </c>
      <c r="C83" s="16">
        <v>45994.63788194444</v>
      </c>
      <c r="D83" s="16"/>
      <c r="E83" s="32">
        <v>45995.0</v>
      </c>
      <c r="F83" s="32"/>
      <c r="G83" s="32"/>
      <c r="H83" s="14" t="s">
        <v>3234</v>
      </c>
      <c r="I83" s="14" t="s">
        <v>3235</v>
      </c>
      <c r="J83" s="14"/>
      <c r="K83" s="18">
        <f>HYPERLINK("https://app.hubspot.com/contacts/8748051/record/0-2/46572158989", 46572158989)</f>
        <v>46572158989</v>
      </c>
      <c r="L83" s="14" t="s">
        <v>3408</v>
      </c>
      <c r="M83" s="18" t="s">
        <v>3409</v>
      </c>
      <c r="N83" s="24"/>
      <c r="O83" s="14"/>
      <c r="P83" s="14"/>
      <c r="Q83" s="14"/>
      <c r="R83" s="14"/>
      <c r="S83" s="24" t="str">
        <f t="shared" ref="S83:U83" si="85">IF(E83&lt;&gt;"","Yes","")</f>
        <v>Yes</v>
      </c>
      <c r="T83" s="24" t="str">
        <f t="shared" si="85"/>
        <v/>
      </c>
      <c r="U83" s="24" t="str">
        <f t="shared" si="85"/>
        <v/>
      </c>
      <c r="V83" s="24" t="str">
        <f t="shared" si="3"/>
        <v/>
      </c>
      <c r="W83" s="14" t="str">
        <f t="shared" si="4"/>
        <v/>
      </c>
    </row>
    <row r="84" ht="14.25" customHeight="1">
      <c r="A84" s="18">
        <f>HYPERLINK("https://app.hubspot.com/contacts/8748051/record/0-1/181725768024", 181725768024)</f>
        <v>181725768024</v>
      </c>
      <c r="B84" s="14" t="s">
        <v>3410</v>
      </c>
      <c r="C84" s="16">
        <v>45994.52061342593</v>
      </c>
      <c r="D84" s="14"/>
      <c r="E84" s="32">
        <v>45994.0</v>
      </c>
      <c r="F84" s="32">
        <v>45996.0</v>
      </c>
      <c r="G84" s="32">
        <v>45996.0</v>
      </c>
      <c r="H84" s="14" t="s">
        <v>3411</v>
      </c>
      <c r="I84" s="14" t="s">
        <v>3250</v>
      </c>
      <c r="J84" s="14"/>
      <c r="K84" s="18">
        <f>HYPERLINK("https://app.hubspot.com/contacts/8748051/record/0-2/18003109253", 18003109253)</f>
        <v>18003109253</v>
      </c>
      <c r="L84" s="14" t="s">
        <v>429</v>
      </c>
      <c r="M84" s="18" t="s">
        <v>430</v>
      </c>
      <c r="N84" s="18">
        <f>HYPERLINK("https://app.hubspot.com/contacts/8748051/record/0-3/51149486686", 51149486686)</f>
        <v>51149486686</v>
      </c>
      <c r="O84" s="14" t="s">
        <v>428</v>
      </c>
      <c r="P84" s="14" t="s">
        <v>326</v>
      </c>
      <c r="Q84" s="14">
        <v>25000.0</v>
      </c>
      <c r="R84" s="14" t="b">
        <v>1</v>
      </c>
      <c r="S84" s="24" t="str">
        <f t="shared" ref="S84:U84" si="86">IF(E84&lt;&gt;"","Yes","")</f>
        <v>Yes</v>
      </c>
      <c r="T84" s="24" t="str">
        <f t="shared" si="86"/>
        <v>Yes</v>
      </c>
      <c r="U84" s="24" t="str">
        <f t="shared" si="86"/>
        <v>Yes</v>
      </c>
      <c r="V84" s="24" t="str">
        <f t="shared" si="3"/>
        <v/>
      </c>
      <c r="W84" s="14" t="str">
        <f t="shared" si="4"/>
        <v/>
      </c>
    </row>
    <row r="85" ht="14.25" customHeight="1">
      <c r="A85" s="18">
        <f>HYPERLINK("https://app.hubspot.com/contacts/8748051/record/0-1/181492057124", 181492057124)</f>
        <v>181492057124</v>
      </c>
      <c r="B85" s="14" t="s">
        <v>3412</v>
      </c>
      <c r="C85" s="16">
        <v>45993.50879629629</v>
      </c>
      <c r="D85" s="14"/>
      <c r="E85" s="32">
        <v>45993.0</v>
      </c>
      <c r="F85" s="32">
        <v>45996.0</v>
      </c>
      <c r="G85" s="32">
        <v>45996.0</v>
      </c>
      <c r="H85" s="14" t="s">
        <v>3413</v>
      </c>
      <c r="I85" s="14" t="s">
        <v>3237</v>
      </c>
      <c r="J85" s="14"/>
      <c r="K85" s="18">
        <f>HYPERLINK("https://app.hubspot.com/contacts/8748051/record/0-2/46444519487", 46444519487)</f>
        <v>46444519487</v>
      </c>
      <c r="L85" s="14" t="s">
        <v>432</v>
      </c>
      <c r="M85" s="18" t="s">
        <v>433</v>
      </c>
      <c r="N85" s="23">
        <f>HYPERLINK("https://app.hubspot.com/contacts/8748051/record/0-3/51042426447", 51042426447)</f>
        <v>51042426447</v>
      </c>
      <c r="O85" s="14" t="s">
        <v>431</v>
      </c>
      <c r="P85" s="14" t="s">
        <v>118</v>
      </c>
      <c r="Q85" s="14">
        <v>1000.0</v>
      </c>
      <c r="R85" s="14"/>
      <c r="S85" s="24" t="str">
        <f t="shared" ref="S85:U85" si="87">IF(E85&lt;&gt;"","Yes","")</f>
        <v>Yes</v>
      </c>
      <c r="T85" s="24" t="str">
        <f t="shared" si="87"/>
        <v>Yes</v>
      </c>
      <c r="U85" s="24" t="str">
        <f t="shared" si="87"/>
        <v>Yes</v>
      </c>
      <c r="V85" s="24" t="str">
        <f t="shared" si="3"/>
        <v/>
      </c>
      <c r="W85" s="14" t="str">
        <f t="shared" si="4"/>
        <v/>
      </c>
    </row>
    <row r="86" ht="14.25" customHeight="1">
      <c r="A86" s="18">
        <f>HYPERLINK("https://app.hubspot.com/contacts/8748051/record/0-1/181053741749", 181053741749)</f>
        <v>181053741749</v>
      </c>
      <c r="B86" s="14" t="s">
        <v>3414</v>
      </c>
      <c r="C86" s="16">
        <v>45992.686273148145</v>
      </c>
      <c r="D86" s="16"/>
      <c r="E86" s="32">
        <v>45993.0</v>
      </c>
      <c r="F86" s="32">
        <v>45996.0</v>
      </c>
      <c r="G86" s="32">
        <v>45996.0</v>
      </c>
      <c r="H86" s="14" t="s">
        <v>3252</v>
      </c>
      <c r="I86" s="14" t="s">
        <v>3237</v>
      </c>
      <c r="J86" s="14" t="s">
        <v>3377</v>
      </c>
      <c r="K86" s="18">
        <f>HYPERLINK("https://app.hubspot.com/contacts/8748051/record/0-2/43795392292", 43795392292)</f>
        <v>43795392292</v>
      </c>
      <c r="L86" s="14" t="s">
        <v>438</v>
      </c>
      <c r="M86" s="18" t="s">
        <v>439</v>
      </c>
      <c r="N86" s="23">
        <f>HYPERLINK("https://app.hubspot.com/contacts/8748051/record/0-3/50871348566", 50871348566)</f>
        <v>50871348566</v>
      </c>
      <c r="O86" s="14" t="s">
        <v>437</v>
      </c>
      <c r="P86" s="14" t="s">
        <v>124</v>
      </c>
      <c r="Q86" s="14">
        <v>15000.0</v>
      </c>
      <c r="R86" s="14" t="b">
        <v>1</v>
      </c>
      <c r="S86" s="24" t="str">
        <f t="shared" ref="S86:U86" si="88">IF(E86&lt;&gt;"","Yes","")</f>
        <v>Yes</v>
      </c>
      <c r="T86" s="24" t="str">
        <f t="shared" si="88"/>
        <v>Yes</v>
      </c>
      <c r="U86" s="24" t="str">
        <f t="shared" si="88"/>
        <v>Yes</v>
      </c>
      <c r="V86" s="24" t="str">
        <f t="shared" si="3"/>
        <v/>
      </c>
      <c r="W86" s="14" t="str">
        <f t="shared" si="4"/>
        <v/>
      </c>
    </row>
    <row r="87" ht="14.25" customHeight="1">
      <c r="A87" s="18">
        <f>HYPERLINK("https://app.hubspot.com/contacts/8748051/record/0-1/181000572570", 181000572570)</f>
        <v>181000572570</v>
      </c>
      <c r="B87" s="14" t="s">
        <v>3415</v>
      </c>
      <c r="C87" s="16">
        <v>45992.60369212963</v>
      </c>
      <c r="D87" s="16"/>
      <c r="E87" s="32">
        <v>45993.0</v>
      </c>
      <c r="F87" s="32">
        <v>46003.0</v>
      </c>
      <c r="G87" s="32">
        <v>46003.0</v>
      </c>
      <c r="H87" s="14" t="s">
        <v>3416</v>
      </c>
      <c r="I87" s="14" t="s">
        <v>3237</v>
      </c>
      <c r="J87" s="14" t="s">
        <v>3247</v>
      </c>
      <c r="K87" s="18">
        <f>HYPERLINK("https://app.hubspot.com/contacts/8748051/record/0-2/46229441682", 46229441682)</f>
        <v>46229441682</v>
      </c>
      <c r="L87" s="14" t="s">
        <v>442</v>
      </c>
      <c r="M87" s="18" t="s">
        <v>443</v>
      </c>
      <c r="N87" s="18">
        <f>HYPERLINK("https://app.hubspot.com/contacts/8748051/record/0-3/50793353798", 50793353798)</f>
        <v>50793353798</v>
      </c>
      <c r="O87" s="14" t="s">
        <v>440</v>
      </c>
      <c r="P87" s="14" t="s">
        <v>441</v>
      </c>
      <c r="Q87" s="14">
        <v>25000.0</v>
      </c>
      <c r="R87" s="14" t="b">
        <v>1</v>
      </c>
      <c r="S87" s="24" t="str">
        <f t="shared" ref="S87:U87" si="89">IF(E87&lt;&gt;"","Yes","")</f>
        <v>Yes</v>
      </c>
      <c r="T87" s="24" t="str">
        <f t="shared" si="89"/>
        <v>Yes</v>
      </c>
      <c r="U87" s="24" t="str">
        <f t="shared" si="89"/>
        <v>Yes</v>
      </c>
      <c r="V87" s="24" t="str">
        <f t="shared" si="3"/>
        <v/>
      </c>
      <c r="W87" s="14" t="str">
        <f t="shared" si="4"/>
        <v/>
      </c>
    </row>
    <row r="88" ht="14.25" customHeight="1">
      <c r="A88" s="18">
        <f>HYPERLINK("https://app.hubspot.com/contacts/8748051/record/0-1/179301771816", 179301771816)</f>
        <v>179301771816</v>
      </c>
      <c r="B88" s="14" t="s">
        <v>3417</v>
      </c>
      <c r="C88" s="16">
        <v>45986.775289351855</v>
      </c>
      <c r="D88" s="16"/>
      <c r="E88" s="32">
        <v>45986.0</v>
      </c>
      <c r="F88" s="32">
        <v>45987.0</v>
      </c>
      <c r="G88" s="32">
        <v>45987.0</v>
      </c>
      <c r="H88" s="14" t="s">
        <v>3234</v>
      </c>
      <c r="I88" s="14" t="s">
        <v>3235</v>
      </c>
      <c r="J88" s="14"/>
      <c r="K88" s="18">
        <f>HYPERLINK("https://app.hubspot.com/contacts/8748051/record/0-2/9460883813", 9460883813)</f>
        <v>9460883813</v>
      </c>
      <c r="L88" s="14" t="s">
        <v>445</v>
      </c>
      <c r="M88" s="14" t="s">
        <v>446</v>
      </c>
      <c r="N88" s="23">
        <f>HYPERLINK("https://app.hubspot.com/contacts/8748051/record/0-3/50478039948", 50478039948)</f>
        <v>50478039948</v>
      </c>
      <c r="O88" s="14" t="s">
        <v>444</v>
      </c>
      <c r="P88" s="14" t="s">
        <v>124</v>
      </c>
      <c r="Q88" s="14">
        <v>36500.0</v>
      </c>
      <c r="R88" s="14" t="b">
        <v>1</v>
      </c>
      <c r="S88" s="24" t="str">
        <f t="shared" ref="S88:U88" si="90">IF(E88&lt;&gt;"","Yes","")</f>
        <v>Yes</v>
      </c>
      <c r="T88" s="24" t="str">
        <f t="shared" si="90"/>
        <v>Yes</v>
      </c>
      <c r="U88" s="24" t="str">
        <f t="shared" si="90"/>
        <v>Yes</v>
      </c>
      <c r="V88" s="24" t="str">
        <f t="shared" si="3"/>
        <v/>
      </c>
      <c r="W88" s="14" t="str">
        <f t="shared" si="4"/>
        <v/>
      </c>
    </row>
    <row r="89" ht="14.25" customHeight="1">
      <c r="A89" s="18">
        <f>HYPERLINK("https://app.hubspot.com/contacts/8748051/record/0-1/179250667047", 179250667047)</f>
        <v>179250667047</v>
      </c>
      <c r="B89" s="14" t="s">
        <v>3418</v>
      </c>
      <c r="C89" s="16">
        <v>45986.520208333335</v>
      </c>
      <c r="D89" s="14"/>
      <c r="E89" s="32">
        <v>45986.0</v>
      </c>
      <c r="F89" s="32"/>
      <c r="G89" s="32"/>
      <c r="H89" s="14" t="s">
        <v>3419</v>
      </c>
      <c r="I89" s="14" t="s">
        <v>3237</v>
      </c>
      <c r="J89" s="14" t="s">
        <v>3377</v>
      </c>
      <c r="K89" s="18">
        <f>HYPERLINK("https://app.hubspot.com/contacts/8748051/record/0-2/7808973682", 7808973682)</f>
        <v>7808973682</v>
      </c>
      <c r="L89" s="14" t="s">
        <v>3420</v>
      </c>
      <c r="M89" s="18" t="s">
        <v>3421</v>
      </c>
      <c r="N89" s="24"/>
      <c r="O89" s="14"/>
      <c r="P89" s="14"/>
      <c r="Q89" s="14"/>
      <c r="R89" s="14"/>
      <c r="S89" s="24" t="str">
        <f t="shared" ref="S89:U89" si="91">IF(E89&lt;&gt;"","Yes","")</f>
        <v>Yes</v>
      </c>
      <c r="T89" s="24" t="str">
        <f t="shared" si="91"/>
        <v/>
      </c>
      <c r="U89" s="24" t="str">
        <f t="shared" si="91"/>
        <v/>
      </c>
      <c r="V89" s="24" t="str">
        <f t="shared" si="3"/>
        <v/>
      </c>
      <c r="W89" s="14" t="str">
        <f t="shared" si="4"/>
        <v/>
      </c>
    </row>
    <row r="90" ht="14.25" customHeight="1">
      <c r="A90" s="18">
        <f>HYPERLINK("https://app.hubspot.com/contacts/8748051/record/0-1/179243078009", 179243078009)</f>
        <v>179243078009</v>
      </c>
      <c r="B90" s="14" t="s">
        <v>3422</v>
      </c>
      <c r="C90" s="16">
        <v>45986.49070601852</v>
      </c>
      <c r="D90" s="14"/>
      <c r="E90" s="32">
        <v>45986.0</v>
      </c>
      <c r="F90" s="32">
        <v>46003.0</v>
      </c>
      <c r="G90" s="32"/>
      <c r="H90" s="14" t="s">
        <v>3423</v>
      </c>
      <c r="I90" s="14" t="s">
        <v>3235</v>
      </c>
      <c r="J90" s="14" t="s">
        <v>3247</v>
      </c>
      <c r="K90" s="18">
        <f>HYPERLINK("https://app.hubspot.com/contacts/8748051/record/0-2/7715913391", 7715913391)</f>
        <v>7715913391</v>
      </c>
      <c r="L90" s="14" t="s">
        <v>453</v>
      </c>
      <c r="M90" s="18" t="s">
        <v>454</v>
      </c>
      <c r="N90" s="23">
        <f>HYPERLINK("https://app.hubspot.com/contacts/8748051/record/0-3/50452632124", 50452632124)</f>
        <v>50452632124</v>
      </c>
      <c r="O90" s="14" t="s">
        <v>452</v>
      </c>
      <c r="P90" s="14" t="s">
        <v>118</v>
      </c>
      <c r="Q90" s="14">
        <v>99500.0</v>
      </c>
      <c r="R90" s="14"/>
      <c r="S90" s="24" t="str">
        <f t="shared" ref="S90:U90" si="92">IF(E90&lt;&gt;"","Yes","")</f>
        <v>Yes</v>
      </c>
      <c r="T90" s="24" t="str">
        <f t="shared" si="92"/>
        <v>Yes</v>
      </c>
      <c r="U90" s="24" t="str">
        <f t="shared" si="92"/>
        <v/>
      </c>
      <c r="V90" s="24" t="str">
        <f t="shared" si="3"/>
        <v/>
      </c>
      <c r="W90" s="14" t="str">
        <f t="shared" si="4"/>
        <v/>
      </c>
    </row>
    <row r="91" ht="14.25" customHeight="1">
      <c r="A91" s="18">
        <f>HYPERLINK("https://app.hubspot.com/contacts/8748051/record/0-1/179070088759", 179070088759)</f>
        <v>179070088759</v>
      </c>
      <c r="B91" s="14" t="s">
        <v>3424</v>
      </c>
      <c r="C91" s="16">
        <v>45986.11211805556</v>
      </c>
      <c r="D91" s="14" t="s">
        <v>3304</v>
      </c>
      <c r="E91" s="32"/>
      <c r="F91" s="32"/>
      <c r="G91" s="32"/>
      <c r="H91" s="14" t="s">
        <v>3425</v>
      </c>
      <c r="I91" s="14" t="s">
        <v>3237</v>
      </c>
      <c r="J91" s="14"/>
      <c r="K91" s="18">
        <f>HYPERLINK("https://app.hubspot.com/contacts/8748051/record/0-2/45818649976", 45818649976)</f>
        <v>45818649976</v>
      </c>
      <c r="L91" s="14" t="s">
        <v>3426</v>
      </c>
      <c r="M91" s="18" t="s">
        <v>3427</v>
      </c>
      <c r="N91" s="14"/>
      <c r="O91" s="14"/>
      <c r="P91" s="14"/>
      <c r="Q91" s="14"/>
      <c r="R91" s="14"/>
      <c r="S91" s="24" t="str">
        <f t="shared" ref="S91:U91" si="93">IF(E91&lt;&gt;"","Yes","")</f>
        <v/>
      </c>
      <c r="T91" s="24" t="str">
        <f t="shared" si="93"/>
        <v/>
      </c>
      <c r="U91" s="24" t="str">
        <f t="shared" si="93"/>
        <v/>
      </c>
      <c r="V91" s="24" t="str">
        <f t="shared" si="3"/>
        <v/>
      </c>
      <c r="W91" s="14" t="str">
        <f t="shared" si="4"/>
        <v/>
      </c>
    </row>
    <row r="92" ht="14.25" customHeight="1">
      <c r="A92" s="18">
        <f>HYPERLINK("https://app.hubspot.com/contacts/8748051/record/0-1/177137858619", 177137858619)</f>
        <v>177137858619</v>
      </c>
      <c r="B92" s="14" t="s">
        <v>3428</v>
      </c>
      <c r="C92" s="16">
        <v>45981.5909375</v>
      </c>
      <c r="D92" s="16"/>
      <c r="E92" s="32">
        <v>45982.0</v>
      </c>
      <c r="F92" s="32">
        <v>45995.0</v>
      </c>
      <c r="G92" s="32">
        <v>45995.0</v>
      </c>
      <c r="H92" s="14" t="s">
        <v>3429</v>
      </c>
      <c r="I92" s="14" t="s">
        <v>152</v>
      </c>
      <c r="J92" s="14" t="s">
        <v>3247</v>
      </c>
      <c r="K92" s="18">
        <f>HYPERLINK("https://app.hubspot.com/contacts/8748051/record/0-2/45255543475", 45255543475)</f>
        <v>45255543475</v>
      </c>
      <c r="L92" s="14" t="s">
        <v>475</v>
      </c>
      <c r="M92" s="18" t="s">
        <v>476</v>
      </c>
      <c r="N92" s="23">
        <f>HYPERLINK("https://app.hubspot.com/contacts/8748051/record/0-3/49729053081", 49729053081)</f>
        <v>49729053081</v>
      </c>
      <c r="O92" s="14" t="s">
        <v>474</v>
      </c>
      <c r="P92" s="14" t="s">
        <v>124</v>
      </c>
      <c r="Q92" s="14">
        <v>24500.0</v>
      </c>
      <c r="R92" s="14" t="b">
        <v>1</v>
      </c>
      <c r="S92" s="24" t="str">
        <f t="shared" ref="S92:U92" si="94">IF(E92&lt;&gt;"","Yes","")</f>
        <v>Yes</v>
      </c>
      <c r="T92" s="24" t="str">
        <f t="shared" si="94"/>
        <v>Yes</v>
      </c>
      <c r="U92" s="24" t="str">
        <f t="shared" si="94"/>
        <v>Yes</v>
      </c>
      <c r="V92" s="24" t="str">
        <f t="shared" si="3"/>
        <v/>
      </c>
      <c r="W92" s="14" t="str">
        <f t="shared" si="4"/>
        <v/>
      </c>
    </row>
    <row r="93" ht="14.25" customHeight="1">
      <c r="A93" s="18">
        <f>HYPERLINK("https://app.hubspot.com/contacts/8748051/record/0-1/176512100725", 176512100725)</f>
        <v>176512100725</v>
      </c>
      <c r="B93" s="14" t="s">
        <v>3430</v>
      </c>
      <c r="C93" s="16">
        <v>45981.51741898148</v>
      </c>
      <c r="D93" s="16"/>
      <c r="E93" s="32">
        <v>45981.0</v>
      </c>
      <c r="F93" s="32">
        <v>45986.0</v>
      </c>
      <c r="G93" s="32">
        <v>45986.0</v>
      </c>
      <c r="H93" s="14" t="s">
        <v>3431</v>
      </c>
      <c r="I93" s="14" t="s">
        <v>3237</v>
      </c>
      <c r="J93" s="14"/>
      <c r="K93" s="18">
        <f>HYPERLINK("https://app.hubspot.com/contacts/8748051/record/0-2/15942371161", 15942371161)</f>
        <v>15942371161</v>
      </c>
      <c r="L93" s="14" t="s">
        <v>478</v>
      </c>
      <c r="M93" s="18" t="s">
        <v>479</v>
      </c>
      <c r="N93" s="23">
        <f>HYPERLINK("https://app.hubspot.com/contacts/8748051/record/0-3/49719151166", 49719151166)</f>
        <v>49719151166</v>
      </c>
      <c r="O93" s="14" t="s">
        <v>477</v>
      </c>
      <c r="P93" s="14" t="s">
        <v>124</v>
      </c>
      <c r="Q93" s="14">
        <v>20000.0</v>
      </c>
      <c r="R93" s="14" t="b">
        <v>1</v>
      </c>
      <c r="S93" s="24" t="str">
        <f t="shared" ref="S93:U93" si="95">IF(E93&lt;&gt;"","Yes","")</f>
        <v>Yes</v>
      </c>
      <c r="T93" s="24" t="str">
        <f t="shared" si="95"/>
        <v>Yes</v>
      </c>
      <c r="U93" s="24" t="str">
        <f t="shared" si="95"/>
        <v>Yes</v>
      </c>
      <c r="V93" s="24" t="str">
        <f t="shared" si="3"/>
        <v/>
      </c>
      <c r="W93" s="14" t="str">
        <f t="shared" si="4"/>
        <v/>
      </c>
    </row>
    <row r="94" ht="14.25" customHeight="1">
      <c r="A94" s="18">
        <f>HYPERLINK("https://app.hubspot.com/contacts/8748051/record/0-1/176933337471", 176933337471)</f>
        <v>176933337471</v>
      </c>
      <c r="B94" s="14" t="s">
        <v>3432</v>
      </c>
      <c r="C94" s="16">
        <v>45981.126655092594</v>
      </c>
      <c r="D94" s="16"/>
      <c r="E94" s="32">
        <v>45981.0</v>
      </c>
      <c r="F94" s="32">
        <v>45986.0</v>
      </c>
      <c r="G94" s="32">
        <v>45986.0</v>
      </c>
      <c r="H94" s="14" t="s">
        <v>3433</v>
      </c>
      <c r="I94" s="14" t="s">
        <v>3402</v>
      </c>
      <c r="J94" s="14"/>
      <c r="K94" s="18">
        <f>HYPERLINK("https://app.hubspot.com/contacts/8748051/record/0-2/44999704181", 44999704181)</f>
        <v>44999704181</v>
      </c>
      <c r="L94" s="14" t="s">
        <v>481</v>
      </c>
      <c r="M94" s="18" t="s">
        <v>482</v>
      </c>
      <c r="N94" s="23">
        <f>HYPERLINK("https://app.hubspot.com/contacts/8748051/record/0-3/49653738372", 49653738372)</f>
        <v>49653738372</v>
      </c>
      <c r="O94" s="14" t="s">
        <v>480</v>
      </c>
      <c r="P94" s="14" t="s">
        <v>118</v>
      </c>
      <c r="Q94" s="14">
        <v>0.0</v>
      </c>
      <c r="R94" s="14"/>
      <c r="S94" s="24" t="str">
        <f t="shared" ref="S94:U94" si="96">IF(E94&lt;&gt;"","Yes","")</f>
        <v>Yes</v>
      </c>
      <c r="T94" s="24" t="str">
        <f t="shared" si="96"/>
        <v>Yes</v>
      </c>
      <c r="U94" s="24" t="str">
        <f t="shared" si="96"/>
        <v>Yes</v>
      </c>
      <c r="V94" s="24" t="str">
        <f t="shared" si="3"/>
        <v/>
      </c>
      <c r="W94" s="14" t="str">
        <f t="shared" si="4"/>
        <v/>
      </c>
    </row>
    <row r="95" ht="14.25" customHeight="1">
      <c r="A95" s="18">
        <f>HYPERLINK("https://app.hubspot.com/contacts/8748051/record/0-1/171598750977", 171598750977)</f>
        <v>171598750977</v>
      </c>
      <c r="B95" s="14" t="s">
        <v>3434</v>
      </c>
      <c r="C95" s="16">
        <v>45980.794594907406</v>
      </c>
      <c r="D95" s="16"/>
      <c r="E95" s="32">
        <v>45981.0</v>
      </c>
      <c r="F95" s="32">
        <v>45987.0</v>
      </c>
      <c r="G95" s="32">
        <v>45987.0</v>
      </c>
      <c r="H95" s="14" t="s">
        <v>3435</v>
      </c>
      <c r="I95" s="14" t="s">
        <v>152</v>
      </c>
      <c r="J95" s="14"/>
      <c r="K95" s="18">
        <f>HYPERLINK("https://app.hubspot.com/contacts/8748051/record/0-2/45186326845", 45186326845)</f>
        <v>45186326845</v>
      </c>
      <c r="L95" s="14" t="s">
        <v>490</v>
      </c>
      <c r="M95" s="18" t="s">
        <v>491</v>
      </c>
      <c r="N95" s="23">
        <f>HYPERLINK("https://app.hubspot.com/contacts/8748051/record/0-3/49655767943", 49655767943)</f>
        <v>49655767943</v>
      </c>
      <c r="O95" s="14" t="s">
        <v>489</v>
      </c>
      <c r="P95" s="14" t="s">
        <v>124</v>
      </c>
      <c r="Q95" s="14">
        <v>10000.0</v>
      </c>
      <c r="R95" s="14"/>
      <c r="S95" s="24" t="str">
        <f t="shared" ref="S95:U95" si="97">IF(E95&lt;&gt;"","Yes","")</f>
        <v>Yes</v>
      </c>
      <c r="T95" s="24" t="str">
        <f t="shared" si="97"/>
        <v>Yes</v>
      </c>
      <c r="U95" s="24" t="str">
        <f t="shared" si="97"/>
        <v>Yes</v>
      </c>
      <c r="V95" s="24" t="str">
        <f t="shared" si="3"/>
        <v/>
      </c>
      <c r="W95" s="14" t="str">
        <f t="shared" si="4"/>
        <v/>
      </c>
    </row>
    <row r="96" ht="14.25" customHeight="1">
      <c r="A96" s="18">
        <f>HYPERLINK("https://app.hubspot.com/contacts/8748051/record/0-1/179198482797", 179198482797)</f>
        <v>179198482797</v>
      </c>
      <c r="B96" s="14" t="s">
        <v>3436</v>
      </c>
      <c r="C96" s="16">
        <v>45980.07729166667</v>
      </c>
      <c r="D96" s="16"/>
      <c r="E96" s="32">
        <v>45980.0</v>
      </c>
      <c r="F96" s="32">
        <v>45987.0</v>
      </c>
      <c r="G96" s="32">
        <v>45987.0</v>
      </c>
      <c r="H96" s="14" t="s">
        <v>3437</v>
      </c>
      <c r="I96" s="14" t="s">
        <v>3237</v>
      </c>
      <c r="J96" s="14"/>
      <c r="K96" s="18">
        <f>HYPERLINK("https://app.hubspot.com/contacts/8748051/record/0-2/45062632855", 45062632855)</f>
        <v>45062632855</v>
      </c>
      <c r="L96" s="14" t="s">
        <v>503</v>
      </c>
      <c r="M96" s="18" t="s">
        <v>504</v>
      </c>
      <c r="N96" s="23">
        <f>HYPERLINK("https://app.hubspot.com/contacts/8748051/record/0-3/49470592616", 49470592616)</f>
        <v>49470592616</v>
      </c>
      <c r="O96" s="14" t="s">
        <v>501</v>
      </c>
      <c r="P96" s="14" t="s">
        <v>124</v>
      </c>
      <c r="Q96" s="14">
        <v>7500.0</v>
      </c>
      <c r="R96" s="14" t="b">
        <v>1</v>
      </c>
      <c r="S96" s="24" t="str">
        <f t="shared" ref="S96:U96" si="98">IF(E96&lt;&gt;"","Yes","")</f>
        <v>Yes</v>
      </c>
      <c r="T96" s="24" t="str">
        <f t="shared" si="98"/>
        <v>Yes</v>
      </c>
      <c r="U96" s="24" t="str">
        <f t="shared" si="98"/>
        <v>Yes</v>
      </c>
      <c r="V96" s="24" t="str">
        <f t="shared" si="3"/>
        <v/>
      </c>
      <c r="W96" s="14" t="str">
        <f t="shared" si="4"/>
        <v/>
      </c>
    </row>
    <row r="97" ht="14.25" customHeight="1">
      <c r="A97" s="18">
        <f>HYPERLINK("https://app.hubspot.com/contacts/8748051/record/0-1/176561659920", 176561659920)</f>
        <v>176561659920</v>
      </c>
      <c r="B97" s="14" t="s">
        <v>3438</v>
      </c>
      <c r="C97" s="16">
        <v>45979.87287037037</v>
      </c>
      <c r="D97" s="16"/>
      <c r="E97" s="32">
        <v>45980.0</v>
      </c>
      <c r="F97" s="32">
        <v>45985.0</v>
      </c>
      <c r="G97" s="32">
        <v>45985.0</v>
      </c>
      <c r="H97" s="14" t="s">
        <v>3439</v>
      </c>
      <c r="I97" s="14" t="s">
        <v>3237</v>
      </c>
      <c r="J97" s="24"/>
      <c r="K97" s="18">
        <f>HYPERLINK("https://app.hubspot.com/contacts/8748051/record/0-2/47566489205", 47566489205)</f>
        <v>47566489205</v>
      </c>
      <c r="L97" s="14" t="s">
        <v>507</v>
      </c>
      <c r="M97" s="18" t="s">
        <v>508</v>
      </c>
      <c r="N97" s="18">
        <f>HYPERLINK("https://app.hubspot.com/contacts/8748051/record/0-3/49599094866", 49599094866)</f>
        <v>49599094866</v>
      </c>
      <c r="O97" s="14" t="s">
        <v>505</v>
      </c>
      <c r="P97" s="14" t="s">
        <v>89</v>
      </c>
      <c r="Q97" s="14">
        <v>50760.0</v>
      </c>
      <c r="R97" s="14" t="b">
        <v>1</v>
      </c>
      <c r="S97" s="24" t="str">
        <f t="shared" ref="S97:U97" si="99">IF(E97&lt;&gt;"","Yes","")</f>
        <v>Yes</v>
      </c>
      <c r="T97" s="24" t="str">
        <f t="shared" si="99"/>
        <v>Yes</v>
      </c>
      <c r="U97" s="24" t="str">
        <f t="shared" si="99"/>
        <v>Yes</v>
      </c>
      <c r="V97" s="24" t="str">
        <f t="shared" si="3"/>
        <v>Yes</v>
      </c>
      <c r="W97" s="14" t="str">
        <f t="shared" si="4"/>
        <v/>
      </c>
    </row>
    <row r="98" ht="14.25" customHeight="1">
      <c r="A98" s="18">
        <f>HYPERLINK("https://app.hubspot.com/contacts/8748051/record/0-1/176363802442", 176363802442)</f>
        <v>176363802442</v>
      </c>
      <c r="B98" s="14" t="s">
        <v>3440</v>
      </c>
      <c r="C98" s="16">
        <v>45979.40752314815</v>
      </c>
      <c r="D98" s="14"/>
      <c r="E98" s="32">
        <v>45979.0</v>
      </c>
      <c r="F98" s="32"/>
      <c r="G98" s="32"/>
      <c r="H98" s="14" t="s">
        <v>3419</v>
      </c>
      <c r="I98" s="14" t="s">
        <v>3237</v>
      </c>
      <c r="J98" s="14"/>
      <c r="K98" s="18">
        <f>HYPERLINK("https://app.hubspot.com/contacts/8748051/record/0-2/45064360289", 45064360289)</f>
        <v>45064360289</v>
      </c>
      <c r="L98" s="14" t="s">
        <v>3441</v>
      </c>
      <c r="M98" s="18" t="s">
        <v>3442</v>
      </c>
      <c r="N98" s="14"/>
      <c r="O98" s="14"/>
      <c r="P98" s="14"/>
      <c r="Q98" s="14"/>
      <c r="R98" s="14"/>
      <c r="S98" s="24" t="str">
        <f t="shared" ref="S98:U98" si="100">IF(E98&lt;&gt;"","Yes","")</f>
        <v>Yes</v>
      </c>
      <c r="T98" s="24" t="str">
        <f t="shared" si="100"/>
        <v/>
      </c>
      <c r="U98" s="24" t="str">
        <f t="shared" si="100"/>
        <v/>
      </c>
      <c r="V98" s="24" t="str">
        <f t="shared" si="3"/>
        <v/>
      </c>
      <c r="W98" s="14" t="str">
        <f t="shared" si="4"/>
        <v/>
      </c>
    </row>
    <row r="99" ht="14.25" customHeight="1">
      <c r="A99" s="18">
        <f>HYPERLINK("https://app.hubspot.com/contacts/8748051/record/0-1/176149589796", 176149589796)</f>
        <v>176149589796</v>
      </c>
      <c r="B99" s="14" t="s">
        <v>3443</v>
      </c>
      <c r="C99" s="16">
        <v>45979.10833333333</v>
      </c>
      <c r="D99" s="16"/>
      <c r="E99" s="32">
        <v>45979.0</v>
      </c>
      <c r="F99" s="32">
        <v>45993.0</v>
      </c>
      <c r="G99" s="32"/>
      <c r="H99" s="14" t="s">
        <v>3444</v>
      </c>
      <c r="I99" s="14" t="s">
        <v>3240</v>
      </c>
      <c r="J99" s="14"/>
      <c r="K99" s="18">
        <f>HYPERLINK("https://app.hubspot.com/contacts/8748051/record/0-2/45061800802", 45061800802)</f>
        <v>45061800802</v>
      </c>
      <c r="L99" s="14" t="s">
        <v>514</v>
      </c>
      <c r="M99" s="14" t="s">
        <v>515</v>
      </c>
      <c r="N99" s="23">
        <f>HYPERLINK("https://app.hubspot.com/contacts/8748051/record/0-3/49464959126", 49464959126)</f>
        <v>49464959126</v>
      </c>
      <c r="O99" s="14" t="s">
        <v>513</v>
      </c>
      <c r="P99" s="14" t="s">
        <v>118</v>
      </c>
      <c r="Q99" s="14">
        <v>1500.0</v>
      </c>
      <c r="R99" s="14"/>
      <c r="S99" s="24" t="str">
        <f t="shared" ref="S99:U99" si="101">IF(E99&lt;&gt;"","Yes","")</f>
        <v>Yes</v>
      </c>
      <c r="T99" s="24" t="str">
        <f t="shared" si="101"/>
        <v>Yes</v>
      </c>
      <c r="U99" s="24" t="str">
        <f t="shared" si="101"/>
        <v/>
      </c>
      <c r="V99" s="24" t="str">
        <f t="shared" si="3"/>
        <v/>
      </c>
      <c r="W99" s="14" t="str">
        <f t="shared" si="4"/>
        <v/>
      </c>
    </row>
    <row r="100" ht="14.25" customHeight="1">
      <c r="A100" s="18">
        <f>HYPERLINK("https://app.hubspot.com/contacts/8748051/record/0-1/175864153463", 175864153463)</f>
        <v>175864153463</v>
      </c>
      <c r="B100" s="14" t="s">
        <v>3445</v>
      </c>
      <c r="C100" s="16">
        <v>45978.55626157407</v>
      </c>
      <c r="D100" s="16"/>
      <c r="E100" s="32">
        <v>45978.0</v>
      </c>
      <c r="F100" s="32">
        <v>45980.0</v>
      </c>
      <c r="G100" s="32">
        <v>45980.0</v>
      </c>
      <c r="H100" s="14" t="s">
        <v>3261</v>
      </c>
      <c r="I100" s="14" t="s">
        <v>152</v>
      </c>
      <c r="J100" s="14"/>
      <c r="K100" s="18">
        <f>HYPERLINK("https://app.hubspot.com/contacts/8748051/record/0-2/19176667820", 19176667820)</f>
        <v>19176667820</v>
      </c>
      <c r="L100" s="14" t="s">
        <v>568</v>
      </c>
      <c r="M100" s="18" t="s">
        <v>569</v>
      </c>
      <c r="N100" s="23">
        <f>HYPERLINK("https://app.hubspot.com/contacts/8748051/record/0-3/48123091042", 48123091042)</f>
        <v>48123091042</v>
      </c>
      <c r="O100" s="14" t="s">
        <v>566</v>
      </c>
      <c r="P100" s="14" t="s">
        <v>124</v>
      </c>
      <c r="Q100" s="14">
        <v>10000.0</v>
      </c>
      <c r="R100" s="14" t="b">
        <v>1</v>
      </c>
      <c r="S100" s="24" t="str">
        <f t="shared" ref="S100:U100" si="102">IF(E100&lt;&gt;"","Yes","")</f>
        <v>Yes</v>
      </c>
      <c r="T100" s="24" t="str">
        <f t="shared" si="102"/>
        <v>Yes</v>
      </c>
      <c r="U100" s="24" t="str">
        <f t="shared" si="102"/>
        <v>Yes</v>
      </c>
      <c r="V100" s="24" t="str">
        <f t="shared" si="3"/>
        <v/>
      </c>
      <c r="W100" s="14" t="str">
        <f t="shared" si="4"/>
        <v/>
      </c>
    </row>
    <row r="101" ht="14.25" customHeight="1">
      <c r="A101" s="18">
        <f>HYPERLINK("https://app.hubspot.com/contacts/8748051/record/0-1/175813688135", 175813688135)</f>
        <v>175813688135</v>
      </c>
      <c r="B101" s="14" t="s">
        <v>3446</v>
      </c>
      <c r="C101" s="16">
        <v>45978.53288194445</v>
      </c>
      <c r="D101" s="14"/>
      <c r="E101" s="32">
        <v>45978.0</v>
      </c>
      <c r="F101" s="32">
        <v>45979.0</v>
      </c>
      <c r="G101" s="32"/>
      <c r="H101" s="14" t="s">
        <v>3365</v>
      </c>
      <c r="I101" s="14" t="s">
        <v>152</v>
      </c>
      <c r="J101" s="14" t="s">
        <v>3377</v>
      </c>
      <c r="K101" s="18">
        <f>HYPERLINK("https://app.hubspot.com/contacts/8748051/record/0-2/44826338349", 44826338349)</f>
        <v>44826338349</v>
      </c>
      <c r="L101" s="14" t="s">
        <v>517</v>
      </c>
      <c r="M101" s="18" t="s">
        <v>518</v>
      </c>
      <c r="N101" s="23">
        <f>HYPERLINK("https://app.hubspot.com/contacts/8748051/record/0-3/49322585098", 49322585098)</f>
        <v>49322585098</v>
      </c>
      <c r="O101" s="14" t="s">
        <v>516</v>
      </c>
      <c r="P101" s="14" t="s">
        <v>118</v>
      </c>
      <c r="Q101" s="14">
        <v>0.0</v>
      </c>
      <c r="R101" s="14"/>
      <c r="S101" s="24" t="str">
        <f t="shared" ref="S101:U101" si="103">IF(E101&lt;&gt;"","Yes","")</f>
        <v>Yes</v>
      </c>
      <c r="T101" s="24" t="str">
        <f t="shared" si="103"/>
        <v>Yes</v>
      </c>
      <c r="U101" s="24" t="str">
        <f t="shared" si="103"/>
        <v/>
      </c>
      <c r="V101" s="24" t="str">
        <f t="shared" si="3"/>
        <v/>
      </c>
      <c r="W101" s="14" t="str">
        <f t="shared" si="4"/>
        <v/>
      </c>
    </row>
    <row r="102" ht="14.25" customHeight="1">
      <c r="A102" s="18">
        <f>HYPERLINK("https://app.hubspot.com/contacts/8748051/record/0-1/174459151435", 174459151435)</f>
        <v>174459151435</v>
      </c>
      <c r="B102" s="14" t="s">
        <v>3447</v>
      </c>
      <c r="C102" s="16">
        <v>45978.46436342593</v>
      </c>
      <c r="D102" s="16"/>
      <c r="E102" s="32">
        <v>45978.0</v>
      </c>
      <c r="F102" s="32">
        <v>45978.0</v>
      </c>
      <c r="G102" s="32">
        <v>45978.0</v>
      </c>
      <c r="H102" s="14" t="s">
        <v>3448</v>
      </c>
      <c r="I102" s="14" t="s">
        <v>3237</v>
      </c>
      <c r="J102" s="14"/>
      <c r="K102" s="18">
        <f>HYPERLINK("https://app.hubspot.com/contacts/8748051/record/0-2/9846549330", 9846549330)</f>
        <v>9846549330</v>
      </c>
      <c r="L102" s="14" t="s">
        <v>521</v>
      </c>
      <c r="M102" s="18" t="s">
        <v>522</v>
      </c>
      <c r="N102" s="23">
        <f>HYPERLINK("https://app.hubspot.com/contacts/8748051/record/0-3/49247354988", 49247354988)</f>
        <v>49247354988</v>
      </c>
      <c r="O102" s="14" t="s">
        <v>519</v>
      </c>
      <c r="P102" s="14" t="s">
        <v>146</v>
      </c>
      <c r="Q102" s="14">
        <v>60500.0</v>
      </c>
      <c r="R102" s="14" t="b">
        <v>1</v>
      </c>
      <c r="S102" s="24" t="str">
        <f t="shared" ref="S102:U102" si="104">IF(E102&lt;&gt;"","Yes","")</f>
        <v>Yes</v>
      </c>
      <c r="T102" s="24" t="str">
        <f t="shared" si="104"/>
        <v>Yes</v>
      </c>
      <c r="U102" s="24" t="str">
        <f t="shared" si="104"/>
        <v>Yes</v>
      </c>
      <c r="V102" s="24" t="str">
        <f t="shared" si="3"/>
        <v/>
      </c>
      <c r="W102" s="14" t="str">
        <f t="shared" si="4"/>
        <v>Yes</v>
      </c>
    </row>
    <row r="103" ht="14.25" customHeight="1">
      <c r="A103" s="18">
        <f>HYPERLINK("https://app.hubspot.com/contacts/8748051/record/0-1/175580736272", 175580736272)</f>
        <v>175580736272</v>
      </c>
      <c r="B103" s="14" t="s">
        <v>3449</v>
      </c>
      <c r="C103" s="16">
        <v>45977.94157407407</v>
      </c>
      <c r="D103" s="14"/>
      <c r="E103" s="32">
        <v>45978.0</v>
      </c>
      <c r="F103" s="32">
        <v>45986.0</v>
      </c>
      <c r="G103" s="32">
        <v>45986.0</v>
      </c>
      <c r="H103" s="14" t="s">
        <v>152</v>
      </c>
      <c r="I103" s="14" t="s">
        <v>152</v>
      </c>
      <c r="J103" s="14"/>
      <c r="K103" s="18">
        <f>HYPERLINK("https://app.hubspot.com/contacts/8748051/record/0-2/48571644819", 48571644819)</f>
        <v>48571644819</v>
      </c>
      <c r="L103" s="14" t="s">
        <v>511</v>
      </c>
      <c r="M103" s="18" t="s">
        <v>512</v>
      </c>
      <c r="N103" s="18">
        <f>HYPERLINK("https://app.hubspot.com/contacts/8748051/record/0-3/49604626604", 49604626604)</f>
        <v>49604626604</v>
      </c>
      <c r="O103" s="14" t="s">
        <v>510</v>
      </c>
      <c r="P103" s="14" t="s">
        <v>441</v>
      </c>
      <c r="Q103" s="14">
        <v>25000.0</v>
      </c>
      <c r="R103" s="14" t="b">
        <v>1</v>
      </c>
      <c r="S103" s="24" t="str">
        <f t="shared" ref="S103:U103" si="105">IF(E103&lt;&gt;"","Yes","")</f>
        <v>Yes</v>
      </c>
      <c r="T103" s="24" t="str">
        <f t="shared" si="105"/>
        <v>Yes</v>
      </c>
      <c r="U103" s="24" t="str">
        <f t="shared" si="105"/>
        <v>Yes</v>
      </c>
      <c r="V103" s="24" t="str">
        <f t="shared" si="3"/>
        <v/>
      </c>
      <c r="W103" s="14" t="str">
        <f t="shared" si="4"/>
        <v/>
      </c>
    </row>
    <row r="104" ht="14.25" customHeight="1">
      <c r="A104" s="18">
        <f>HYPERLINK("https://app.hubspot.com/contacts/8748051/record/0-1/174978597411", 174978597411)</f>
        <v>174978597411</v>
      </c>
      <c r="B104" s="14" t="s">
        <v>3450</v>
      </c>
      <c r="C104" s="16">
        <v>45975.22289351852</v>
      </c>
      <c r="D104" s="14"/>
      <c r="E104" s="32">
        <v>45975.0</v>
      </c>
      <c r="F104" s="32">
        <v>45986.0</v>
      </c>
      <c r="G104" s="32">
        <v>45986.0</v>
      </c>
      <c r="H104" s="14" t="s">
        <v>3252</v>
      </c>
      <c r="I104" s="14" t="s">
        <v>3237</v>
      </c>
      <c r="J104" s="14"/>
      <c r="K104" s="18">
        <f>HYPERLINK("https://app.hubspot.com/contacts/8748051/record/0-2/44621085270", 44621085270)</f>
        <v>44621085270</v>
      </c>
      <c r="L104" s="14" t="s">
        <v>530</v>
      </c>
      <c r="M104" s="18" t="s">
        <v>531</v>
      </c>
      <c r="N104" s="23">
        <f>HYPERLINK("https://app.hubspot.com/contacts/8748051/record/0-3/49048169882", 49048169882)</f>
        <v>49048169882</v>
      </c>
      <c r="O104" s="14" t="s">
        <v>529</v>
      </c>
      <c r="P104" s="14" t="s">
        <v>118</v>
      </c>
      <c r="Q104" s="14">
        <v>9000.0</v>
      </c>
      <c r="R104" s="14" t="b">
        <v>1</v>
      </c>
      <c r="S104" s="24" t="str">
        <f t="shared" ref="S104:U104" si="106">IF(E104&lt;&gt;"","Yes","")</f>
        <v>Yes</v>
      </c>
      <c r="T104" s="24" t="str">
        <f t="shared" si="106"/>
        <v>Yes</v>
      </c>
      <c r="U104" s="24" t="str">
        <f t="shared" si="106"/>
        <v>Yes</v>
      </c>
      <c r="V104" s="24" t="str">
        <f t="shared" si="3"/>
        <v/>
      </c>
      <c r="W104" s="14" t="str">
        <f t="shared" si="4"/>
        <v/>
      </c>
    </row>
    <row r="105" ht="14.25" customHeight="1">
      <c r="A105" s="18">
        <f>HYPERLINK("https://app.hubspot.com/contacts/8748051/record/0-1/176194664559", 176194664559)</f>
        <v>176194664559</v>
      </c>
      <c r="B105" s="14" t="s">
        <v>3451</v>
      </c>
      <c r="C105" s="16">
        <v>45973.37847222222</v>
      </c>
      <c r="D105" s="16"/>
      <c r="E105" s="32">
        <v>45973.0</v>
      </c>
      <c r="F105" s="32">
        <v>45987.0</v>
      </c>
      <c r="G105" s="32">
        <v>45987.0</v>
      </c>
      <c r="H105" s="14" t="s">
        <v>3296</v>
      </c>
      <c r="I105" s="14" t="s">
        <v>3237</v>
      </c>
      <c r="J105" s="14"/>
      <c r="K105" s="18">
        <f>HYPERLINK("https://app.hubspot.com/contacts/8748051/record/0-2/44383913314", 44383913314)</f>
        <v>44383913314</v>
      </c>
      <c r="L105" s="14" t="s">
        <v>484</v>
      </c>
      <c r="M105" s="18" t="s">
        <v>485</v>
      </c>
      <c r="N105" s="18">
        <f>HYPERLINK("https://app.hubspot.com/contacts/8748051/record/0-3/49619975860", 49619975860)</f>
        <v>49619975860</v>
      </c>
      <c r="O105" s="14" t="s">
        <v>483</v>
      </c>
      <c r="P105" s="14" t="s">
        <v>118</v>
      </c>
      <c r="Q105" s="14">
        <v>0.0</v>
      </c>
      <c r="R105" s="14"/>
      <c r="S105" s="24" t="str">
        <f t="shared" ref="S105:U105" si="107">IF(E105&lt;&gt;"","Yes","")</f>
        <v>Yes</v>
      </c>
      <c r="T105" s="24" t="str">
        <f t="shared" si="107"/>
        <v>Yes</v>
      </c>
      <c r="U105" s="24" t="str">
        <f t="shared" si="107"/>
        <v>Yes</v>
      </c>
      <c r="V105" s="24" t="str">
        <f t="shared" si="3"/>
        <v/>
      </c>
      <c r="W105" s="14" t="str">
        <f t="shared" si="4"/>
        <v/>
      </c>
    </row>
    <row r="106" ht="14.25" customHeight="1">
      <c r="A106" s="18">
        <f>HYPERLINK("https://app.hubspot.com/contacts/8748051/record/0-1/173984858444", 173984858444)</f>
        <v>173984858444</v>
      </c>
      <c r="B106" s="14" t="s">
        <v>3452</v>
      </c>
      <c r="C106" s="16">
        <v>45971.84890046297</v>
      </c>
      <c r="D106" s="16"/>
      <c r="E106" s="32">
        <v>45972.0</v>
      </c>
      <c r="F106" s="32">
        <v>45976.0</v>
      </c>
      <c r="G106" s="32"/>
      <c r="H106" s="14" t="s">
        <v>3453</v>
      </c>
      <c r="I106" s="14" t="s">
        <v>3235</v>
      </c>
      <c r="J106" s="14"/>
      <c r="K106" s="18">
        <f>HYPERLINK("https://app.hubspot.com/contacts/8748051/record/0-2/44398650284", 44398650284)</f>
        <v>44398650284</v>
      </c>
      <c r="L106" s="14" t="s">
        <v>533</v>
      </c>
      <c r="M106" s="18" t="s">
        <v>534</v>
      </c>
      <c r="N106" s="23">
        <f>HYPERLINK("https://app.hubspot.com/contacts/8748051/record/0-3/48818454545", 48818454545)</f>
        <v>48818454545</v>
      </c>
      <c r="O106" s="14" t="s">
        <v>532</v>
      </c>
      <c r="P106" s="14" t="s">
        <v>118</v>
      </c>
      <c r="Q106" s="14">
        <v>0.0</v>
      </c>
      <c r="R106" s="14"/>
      <c r="S106" s="24" t="str">
        <f t="shared" ref="S106:U106" si="108">IF(E106&lt;&gt;"","Yes","")</f>
        <v>Yes</v>
      </c>
      <c r="T106" s="24" t="str">
        <f t="shared" si="108"/>
        <v>Yes</v>
      </c>
      <c r="U106" s="24" t="str">
        <f t="shared" si="108"/>
        <v/>
      </c>
      <c r="V106" s="24" t="str">
        <f t="shared" si="3"/>
        <v/>
      </c>
      <c r="W106" s="14" t="str">
        <f t="shared" si="4"/>
        <v/>
      </c>
    </row>
    <row r="107" ht="14.25" customHeight="1">
      <c r="A107" s="18">
        <f>HYPERLINK("https://app.hubspot.com/contacts/8748051/record/0-1/173969212787", 173969212787)</f>
        <v>173969212787</v>
      </c>
      <c r="B107" s="14" t="s">
        <v>3454</v>
      </c>
      <c r="C107" s="16">
        <v>45971.68002314815</v>
      </c>
      <c r="D107" s="14"/>
      <c r="E107" s="32">
        <v>45972.0</v>
      </c>
      <c r="F107" s="32">
        <v>45976.0</v>
      </c>
      <c r="G107" s="32">
        <v>45976.0</v>
      </c>
      <c r="H107" s="14" t="s">
        <v>3455</v>
      </c>
      <c r="I107" s="14" t="s">
        <v>3243</v>
      </c>
      <c r="J107" s="14"/>
      <c r="K107" s="18">
        <f>HYPERLINK("https://app.hubspot.com/contacts/8748051/record/0-2/44387724722", 44387724722)</f>
        <v>44387724722</v>
      </c>
      <c r="L107" s="14" t="s">
        <v>536</v>
      </c>
      <c r="M107" s="18" t="s">
        <v>537</v>
      </c>
      <c r="N107" s="23">
        <f>HYPERLINK("https://app.hubspot.com/contacts/8748051/record/0-3/48830381419", 48830381419)</f>
        <v>48830381419</v>
      </c>
      <c r="O107" s="14" t="s">
        <v>535</v>
      </c>
      <c r="P107" s="14" t="s">
        <v>118</v>
      </c>
      <c r="Q107" s="14">
        <v>3500.0</v>
      </c>
      <c r="R107" s="14"/>
      <c r="S107" s="24" t="str">
        <f t="shared" ref="S107:U107" si="109">IF(E107&lt;&gt;"","Yes","")</f>
        <v>Yes</v>
      </c>
      <c r="T107" s="24" t="str">
        <f t="shared" si="109"/>
        <v>Yes</v>
      </c>
      <c r="U107" s="24" t="str">
        <f t="shared" si="109"/>
        <v>Yes</v>
      </c>
      <c r="V107" s="24" t="str">
        <f t="shared" si="3"/>
        <v/>
      </c>
      <c r="W107" s="14" t="str">
        <f t="shared" si="4"/>
        <v/>
      </c>
    </row>
    <row r="108" ht="14.25" customHeight="1">
      <c r="A108" s="18">
        <f>HYPERLINK("https://app.hubspot.com/contacts/8748051/record/0-1/173824200889", 173824200889)</f>
        <v>173824200889</v>
      </c>
      <c r="B108" s="14" t="s">
        <v>3456</v>
      </c>
      <c r="C108" s="16">
        <v>45971.39696759259</v>
      </c>
      <c r="D108" s="14"/>
      <c r="E108" s="32">
        <v>45971.0</v>
      </c>
      <c r="F108" s="32">
        <v>45974.0</v>
      </c>
      <c r="G108" s="32">
        <v>45974.0</v>
      </c>
      <c r="H108" s="14" t="s">
        <v>3457</v>
      </c>
      <c r="I108" s="14" t="s">
        <v>3237</v>
      </c>
      <c r="J108" s="14" t="s">
        <v>3247</v>
      </c>
      <c r="K108" s="18">
        <f>HYPERLINK("https://app.hubspot.com/contacts/8748051/record/0-2/8714341039", 8714341039)</f>
        <v>8714341039</v>
      </c>
      <c r="L108" s="14" t="s">
        <v>539</v>
      </c>
      <c r="M108" s="18" t="s">
        <v>540</v>
      </c>
      <c r="N108" s="18">
        <f>HYPERLINK("https://app.hubspot.com/contacts/8748051/record/0-3/48786999816", 48786999816)</f>
        <v>48786999816</v>
      </c>
      <c r="O108" s="14" t="s">
        <v>538</v>
      </c>
      <c r="P108" s="14" t="s">
        <v>50</v>
      </c>
      <c r="Q108" s="14">
        <v>100000.0</v>
      </c>
      <c r="R108" s="14" t="b">
        <v>1</v>
      </c>
      <c r="S108" s="24" t="str">
        <f t="shared" ref="S108:U108" si="110">IF(E108&lt;&gt;"","Yes","")</f>
        <v>Yes</v>
      </c>
      <c r="T108" s="24" t="str">
        <f t="shared" si="110"/>
        <v>Yes</v>
      </c>
      <c r="U108" s="24" t="str">
        <f t="shared" si="110"/>
        <v>Yes</v>
      </c>
      <c r="V108" s="24" t="str">
        <f t="shared" si="3"/>
        <v/>
      </c>
      <c r="W108" s="14" t="str">
        <f t="shared" si="4"/>
        <v/>
      </c>
    </row>
    <row r="109" ht="14.25" customHeight="1">
      <c r="A109" s="18">
        <f>HYPERLINK("https://app.hubspot.com/contacts/8748051/record/0-1/173120413491", 173120413491)</f>
        <v>173120413491</v>
      </c>
      <c r="B109" s="14" t="s">
        <v>3458</v>
      </c>
      <c r="C109" s="16">
        <v>45969.46037037037</v>
      </c>
      <c r="D109" s="14"/>
      <c r="E109" s="32">
        <v>45969.0</v>
      </c>
      <c r="F109" s="32">
        <v>45975.0</v>
      </c>
      <c r="G109" s="32">
        <v>45975.0</v>
      </c>
      <c r="H109" s="14" t="s">
        <v>3459</v>
      </c>
      <c r="I109" s="14" t="s">
        <v>3240</v>
      </c>
      <c r="J109" s="14"/>
      <c r="K109" s="18">
        <f>HYPERLINK("https://app.hubspot.com/contacts/8748051/record/0-2/9354298161", 9354298161)</f>
        <v>9354298161</v>
      </c>
      <c r="L109" s="14" t="s">
        <v>543</v>
      </c>
      <c r="M109" s="18" t="s">
        <v>544</v>
      </c>
      <c r="N109" s="23">
        <f>HYPERLINK("https://app.hubspot.com/contacts/8748051/record/0-3/48719124392", 48719124392)</f>
        <v>48719124392</v>
      </c>
      <c r="O109" s="14" t="s">
        <v>542</v>
      </c>
      <c r="P109" s="14" t="s">
        <v>124</v>
      </c>
      <c r="Q109" s="14">
        <v>100000.0</v>
      </c>
      <c r="R109" s="14" t="b">
        <v>1</v>
      </c>
      <c r="S109" s="24" t="str">
        <f t="shared" ref="S109:U109" si="111">IF(E109&lt;&gt;"","Yes","")</f>
        <v>Yes</v>
      </c>
      <c r="T109" s="24" t="str">
        <f t="shared" si="111"/>
        <v>Yes</v>
      </c>
      <c r="U109" s="24" t="str">
        <f t="shared" si="111"/>
        <v>Yes</v>
      </c>
      <c r="V109" s="24" t="str">
        <f t="shared" si="3"/>
        <v/>
      </c>
      <c r="W109" s="14" t="str">
        <f t="shared" si="4"/>
        <v/>
      </c>
    </row>
    <row r="110" ht="14.25" customHeight="1">
      <c r="A110" s="18">
        <f>HYPERLINK("https://app.hubspot.com/contacts/8748051/record/0-1/169315910296", 169315910296)</f>
        <v>169315910296</v>
      </c>
      <c r="B110" s="14" t="s">
        <v>3460</v>
      </c>
      <c r="C110" s="16">
        <v>45966.393217592595</v>
      </c>
      <c r="D110" s="14"/>
      <c r="E110" s="32">
        <v>45966.0</v>
      </c>
      <c r="F110" s="32">
        <v>45973.0</v>
      </c>
      <c r="G110" s="32">
        <v>45973.0</v>
      </c>
      <c r="H110" s="14" t="s">
        <v>3461</v>
      </c>
      <c r="I110" s="14" t="s">
        <v>3235</v>
      </c>
      <c r="J110" s="14" t="s">
        <v>3247</v>
      </c>
      <c r="K110" s="18">
        <f>HYPERLINK("https://app.hubspot.com/contacts/8748051/record/0-2/19176660885", 19176660885)</f>
        <v>19176660885</v>
      </c>
      <c r="L110" s="14" t="s">
        <v>551</v>
      </c>
      <c r="M110" s="18" t="s">
        <v>552</v>
      </c>
      <c r="N110" s="23">
        <f>HYPERLINK("https://app.hubspot.com/contacts/8748051/record/0-3/48374291714", 48374291714)</f>
        <v>48374291714</v>
      </c>
      <c r="O110" s="14" t="s">
        <v>549</v>
      </c>
      <c r="P110" s="14" t="s">
        <v>89</v>
      </c>
      <c r="Q110" s="14">
        <v>10000.0</v>
      </c>
      <c r="R110" s="14" t="b">
        <v>1</v>
      </c>
      <c r="S110" s="24" t="str">
        <f t="shared" ref="S110:U110" si="112">IF(E110&lt;&gt;"","Yes","")</f>
        <v>Yes</v>
      </c>
      <c r="T110" s="24" t="str">
        <f t="shared" si="112"/>
        <v>Yes</v>
      </c>
      <c r="U110" s="24" t="str">
        <f t="shared" si="112"/>
        <v>Yes</v>
      </c>
      <c r="V110" s="24" t="str">
        <f t="shared" si="3"/>
        <v>Yes</v>
      </c>
      <c r="W110" s="14" t="str">
        <f t="shared" si="4"/>
        <v/>
      </c>
    </row>
    <row r="111" ht="14.25" customHeight="1">
      <c r="A111" s="18">
        <f>HYPERLINK("https://app.hubspot.com/contacts/8748051/record/0-1/171819315088", 171819315088)</f>
        <v>171819315088</v>
      </c>
      <c r="B111" s="14" t="s">
        <v>3462</v>
      </c>
      <c r="C111" s="16">
        <v>45965.477476851855</v>
      </c>
      <c r="D111" s="16"/>
      <c r="E111" s="32">
        <v>45965.0</v>
      </c>
      <c r="F111" s="32">
        <v>45972.0</v>
      </c>
      <c r="G111" s="32">
        <v>45972.0</v>
      </c>
      <c r="H111" s="14" t="s">
        <v>3463</v>
      </c>
      <c r="I111" s="14" t="s">
        <v>152</v>
      </c>
      <c r="J111" s="14"/>
      <c r="K111" s="18">
        <f>HYPERLINK("https://app.hubspot.com/contacts/8748051/record/0-2/8965285538", 8965285538)</f>
        <v>8965285538</v>
      </c>
      <c r="L111" s="14" t="s">
        <v>555</v>
      </c>
      <c r="M111" s="18" t="s">
        <v>556</v>
      </c>
      <c r="N111" s="23">
        <f>HYPERLINK("https://app.hubspot.com/contacts/8748051/record/0-3/48176732041", 48176732041)</f>
        <v>48176732041</v>
      </c>
      <c r="O111" s="14" t="s">
        <v>554</v>
      </c>
      <c r="P111" s="14" t="s">
        <v>124</v>
      </c>
      <c r="Q111" s="14">
        <v>40000.0</v>
      </c>
      <c r="R111" s="14" t="b">
        <v>1</v>
      </c>
      <c r="S111" s="24" t="str">
        <f t="shared" ref="S111:U111" si="113">IF(E111&lt;&gt;"","Yes","")</f>
        <v>Yes</v>
      </c>
      <c r="T111" s="24" t="str">
        <f t="shared" si="113"/>
        <v>Yes</v>
      </c>
      <c r="U111" s="24" t="str">
        <f t="shared" si="113"/>
        <v>Yes</v>
      </c>
      <c r="V111" s="24" t="str">
        <f t="shared" si="3"/>
        <v/>
      </c>
      <c r="W111" s="14" t="str">
        <f t="shared" si="4"/>
        <v/>
      </c>
    </row>
    <row r="112" ht="14.25" customHeight="1">
      <c r="A112" s="18">
        <f>HYPERLINK("https://app.hubspot.com/contacts/8748051/record/0-1/171490749795", 171490749795)</f>
        <v>171490749795</v>
      </c>
      <c r="B112" s="14" t="s">
        <v>3464</v>
      </c>
      <c r="C112" s="16">
        <v>45964.44719907407</v>
      </c>
      <c r="D112" s="14"/>
      <c r="E112" s="32">
        <v>45964.0</v>
      </c>
      <c r="F112" s="32">
        <v>45965.0</v>
      </c>
      <c r="G112" s="32">
        <v>45965.0</v>
      </c>
      <c r="H112" s="14" t="s">
        <v>3465</v>
      </c>
      <c r="I112" s="14" t="s">
        <v>3250</v>
      </c>
      <c r="J112" s="14"/>
      <c r="K112" s="18">
        <f>HYPERLINK("https://app.hubspot.com/contacts/8748051/record/0-2/43493632080", 43493632080)</f>
        <v>43493632080</v>
      </c>
      <c r="L112" s="14" t="s">
        <v>564</v>
      </c>
      <c r="M112" s="18" t="s">
        <v>565</v>
      </c>
      <c r="N112" s="23">
        <f>HYPERLINK("https://app.hubspot.com/contacts/8748051/record/0-3/48152079462", 48152079462)</f>
        <v>48152079462</v>
      </c>
      <c r="O112" s="14" t="s">
        <v>563</v>
      </c>
      <c r="P112" s="14" t="s">
        <v>124</v>
      </c>
      <c r="Q112" s="14">
        <v>50000.0</v>
      </c>
      <c r="R112" s="14" t="b">
        <v>1</v>
      </c>
      <c r="S112" s="24" t="str">
        <f t="shared" ref="S112:U112" si="114">IF(E112&lt;&gt;"","Yes","")</f>
        <v>Yes</v>
      </c>
      <c r="T112" s="24" t="str">
        <f t="shared" si="114"/>
        <v>Yes</v>
      </c>
      <c r="U112" s="24" t="str">
        <f t="shared" si="114"/>
        <v>Yes</v>
      </c>
      <c r="V112" s="24" t="str">
        <f t="shared" si="3"/>
        <v/>
      </c>
      <c r="W112" s="14" t="str">
        <f t="shared" si="4"/>
        <v/>
      </c>
    </row>
    <row r="113" ht="14.25" customHeight="1">
      <c r="A113" s="18">
        <f>HYPERLINK("https://app.hubspot.com/contacts/8748051/record/0-1/171269022980", 171269022980)</f>
        <v>171269022980</v>
      </c>
      <c r="B113" s="14" t="s">
        <v>3466</v>
      </c>
      <c r="C113" s="16">
        <v>45963.55353009259</v>
      </c>
      <c r="D113" s="14"/>
      <c r="E113" s="32">
        <v>45963.0</v>
      </c>
      <c r="F113" s="32">
        <v>45969.0</v>
      </c>
      <c r="G113" s="32"/>
      <c r="H113" s="14" t="s">
        <v>3467</v>
      </c>
      <c r="I113" s="14" t="s">
        <v>3235</v>
      </c>
      <c r="J113" s="14" t="s">
        <v>3247</v>
      </c>
      <c r="K113" s="18">
        <f>HYPERLINK("https://app.hubspot.com/contacts/8748051/record/0-2/43465112984", 43465112984)</f>
        <v>43465112984</v>
      </c>
      <c r="L113" s="14" t="s">
        <v>571</v>
      </c>
      <c r="M113" s="18" t="s">
        <v>572</v>
      </c>
      <c r="N113" s="23">
        <f>HYPERLINK("https://app.hubspot.com/contacts/8748051/record/0-3/48149495562", 48149495562)</f>
        <v>48149495562</v>
      </c>
      <c r="O113" s="14" t="s">
        <v>570</v>
      </c>
      <c r="P113" s="14" t="s">
        <v>118</v>
      </c>
      <c r="Q113" s="14">
        <v>3000.0</v>
      </c>
      <c r="R113" s="14"/>
      <c r="S113" s="24" t="str">
        <f t="shared" ref="S113:U113" si="115">IF(E113&lt;&gt;"","Yes","")</f>
        <v>Yes</v>
      </c>
      <c r="T113" s="24" t="str">
        <f t="shared" si="115"/>
        <v>Yes</v>
      </c>
      <c r="U113" s="24" t="str">
        <f t="shared" si="115"/>
        <v/>
      </c>
      <c r="V113" s="24" t="str">
        <f t="shared" si="3"/>
        <v/>
      </c>
      <c r="W113" s="14" t="str">
        <f t="shared" si="4"/>
        <v/>
      </c>
    </row>
    <row r="114" ht="14.25" customHeight="1">
      <c r="A114" s="18">
        <f>HYPERLINK("https://app.hubspot.com/contacts/8748051/record/0-1/3468951", 3468951)</f>
        <v>3468951</v>
      </c>
      <c r="B114" s="14" t="s">
        <v>3468</v>
      </c>
      <c r="C114" s="16">
        <v>45961.83116898148</v>
      </c>
      <c r="D114" s="16"/>
      <c r="E114" s="32">
        <v>45962.0</v>
      </c>
      <c r="F114" s="32">
        <v>45968.0</v>
      </c>
      <c r="G114" s="32">
        <v>45968.0</v>
      </c>
      <c r="H114" s="14" t="s">
        <v>3469</v>
      </c>
      <c r="I114" s="14" t="s">
        <v>3470</v>
      </c>
      <c r="J114" s="14" t="s">
        <v>3247</v>
      </c>
      <c r="K114" s="18">
        <f>HYPERLINK("https://app.hubspot.com/contacts/8748051/record/0-2/19176667820", 19176667820)</f>
        <v>19176667820</v>
      </c>
      <c r="L114" s="14" t="s">
        <v>568</v>
      </c>
      <c r="M114" s="18" t="s">
        <v>569</v>
      </c>
      <c r="N114" s="18">
        <f>HYPERLINK("https://app.hubspot.com/contacts/8748051/record/0-3/17886607515", 17886607515)</f>
        <v>17886607515</v>
      </c>
      <c r="O114" s="14" t="s">
        <v>2131</v>
      </c>
      <c r="P114" s="14" t="s">
        <v>118</v>
      </c>
      <c r="Q114" s="14">
        <v>5520.0</v>
      </c>
      <c r="R114" s="14"/>
      <c r="S114" s="24" t="str">
        <f t="shared" ref="S114:U114" si="116">IF(E114&lt;&gt;"","Yes","")</f>
        <v>Yes</v>
      </c>
      <c r="T114" s="24" t="str">
        <f t="shared" si="116"/>
        <v>Yes</v>
      </c>
      <c r="U114" s="24" t="str">
        <f t="shared" si="116"/>
        <v>Yes</v>
      </c>
      <c r="V114" s="24" t="str">
        <f t="shared" si="3"/>
        <v/>
      </c>
      <c r="W114" s="14" t="str">
        <f t="shared" si="4"/>
        <v/>
      </c>
    </row>
    <row r="115" ht="14.25" customHeight="1">
      <c r="A115" s="18">
        <f>HYPERLINK("https://app.hubspot.com/contacts/8748051/record/0-1/170677264536", 170677264536)</f>
        <v>170677264536</v>
      </c>
      <c r="B115" s="14" t="s">
        <v>3471</v>
      </c>
      <c r="C115" s="16">
        <v>45961.30872685185</v>
      </c>
      <c r="D115" s="14"/>
      <c r="E115" s="32">
        <v>45961.0</v>
      </c>
      <c r="F115" s="32">
        <v>45966.0</v>
      </c>
      <c r="G115" s="32">
        <v>45966.0</v>
      </c>
      <c r="H115" s="14" t="s">
        <v>3472</v>
      </c>
      <c r="I115" s="14" t="s">
        <v>3250</v>
      </c>
      <c r="J115" s="24"/>
      <c r="K115" s="18">
        <f>HYPERLINK("https://app.hubspot.com/contacts/8748051/record/0-2/26386786317", 26386786317)</f>
        <v>26386786317</v>
      </c>
      <c r="L115" s="14" t="s">
        <v>574</v>
      </c>
      <c r="M115" s="18" t="s">
        <v>575</v>
      </c>
      <c r="N115" s="23">
        <f>HYPERLINK("https://app.hubspot.com/contacts/8748051/record/0-3/47839184727", 47839184727)</f>
        <v>47839184727</v>
      </c>
      <c r="O115" s="14" t="s">
        <v>573</v>
      </c>
      <c r="P115" s="14" t="s">
        <v>124</v>
      </c>
      <c r="Q115" s="14">
        <v>15000.0</v>
      </c>
      <c r="R115" s="14" t="b">
        <v>1</v>
      </c>
      <c r="S115" s="24" t="str">
        <f t="shared" ref="S115:U115" si="117">IF(E115&lt;&gt;"","Yes","")</f>
        <v>Yes</v>
      </c>
      <c r="T115" s="24" t="str">
        <f t="shared" si="117"/>
        <v>Yes</v>
      </c>
      <c r="U115" s="24" t="str">
        <f t="shared" si="117"/>
        <v>Yes</v>
      </c>
      <c r="V115" s="24" t="str">
        <f t="shared" si="3"/>
        <v/>
      </c>
      <c r="W115" s="14" t="str">
        <f t="shared" si="4"/>
        <v/>
      </c>
    </row>
    <row r="116" ht="14.25" customHeight="1">
      <c r="A116" s="18">
        <f>HYPERLINK("https://app.hubspot.com/contacts/8748051/record/0-1/170658934061", 170658934061)</f>
        <v>170658934061</v>
      </c>
      <c r="B116" s="14" t="s">
        <v>3473</v>
      </c>
      <c r="C116" s="16">
        <v>45961.150625</v>
      </c>
      <c r="D116" s="14"/>
      <c r="E116" s="32">
        <v>45961.0</v>
      </c>
      <c r="F116" s="32">
        <v>45962.0</v>
      </c>
      <c r="G116" s="32">
        <v>45962.0</v>
      </c>
      <c r="H116" s="14" t="s">
        <v>3252</v>
      </c>
      <c r="I116" s="14" t="s">
        <v>3237</v>
      </c>
      <c r="J116" s="14"/>
      <c r="K116" s="18">
        <f>HYPERLINK("https://app.hubspot.com/contacts/8748051/record/0-2/43369192841", 43369192841)</f>
        <v>43369192841</v>
      </c>
      <c r="L116" s="14" t="s">
        <v>578</v>
      </c>
      <c r="M116" s="18" t="s">
        <v>579</v>
      </c>
      <c r="N116" s="23">
        <f>HYPERLINK("https://app.hubspot.com/contacts/8748051/record/0-3/47680023644", 47680023644)</f>
        <v>47680023644</v>
      </c>
      <c r="O116" s="14" t="s">
        <v>576</v>
      </c>
      <c r="P116" s="14" t="s">
        <v>577</v>
      </c>
      <c r="Q116" s="14">
        <v>3500.0</v>
      </c>
      <c r="R116" s="14"/>
      <c r="S116" s="24" t="str">
        <f t="shared" ref="S116:U116" si="118">IF(E116&lt;&gt;"","Yes","")</f>
        <v>Yes</v>
      </c>
      <c r="T116" s="24" t="str">
        <f t="shared" si="118"/>
        <v>Yes</v>
      </c>
      <c r="U116" s="24" t="str">
        <f t="shared" si="118"/>
        <v>Yes</v>
      </c>
      <c r="V116" s="24" t="str">
        <f t="shared" si="3"/>
        <v/>
      </c>
      <c r="W116" s="14" t="str">
        <f t="shared" si="4"/>
        <v/>
      </c>
    </row>
    <row r="117" ht="14.25" customHeight="1">
      <c r="A117" s="18">
        <f>HYPERLINK("https://app.hubspot.com/contacts/8748051/record/0-1/170114432624", 170114432624)</f>
        <v>170114432624</v>
      </c>
      <c r="B117" s="14" t="s">
        <v>3474</v>
      </c>
      <c r="C117" s="16">
        <v>45960.33403935185</v>
      </c>
      <c r="D117" s="16"/>
      <c r="E117" s="32">
        <v>45960.0</v>
      </c>
      <c r="F117" s="32">
        <v>45960.0</v>
      </c>
      <c r="G117" s="32"/>
      <c r="H117" s="14" t="s">
        <v>3237</v>
      </c>
      <c r="I117" s="14" t="s">
        <v>3237</v>
      </c>
      <c r="J117" s="14"/>
      <c r="K117" s="18">
        <f>HYPERLINK("https://app.hubspot.com/contacts/8748051/record/0-2/43254158111", 43254158111)</f>
        <v>43254158111</v>
      </c>
      <c r="L117" s="14" t="s">
        <v>590</v>
      </c>
      <c r="M117" s="18" t="s">
        <v>591</v>
      </c>
      <c r="N117" s="23">
        <f>HYPERLINK("https://app.hubspot.com/contacts/8748051/record/0-3/47721664944", 47721664944)</f>
        <v>47721664944</v>
      </c>
      <c r="O117" s="14" t="s">
        <v>589</v>
      </c>
      <c r="P117" s="14" t="s">
        <v>118</v>
      </c>
      <c r="Q117" s="14">
        <v>3000.0</v>
      </c>
      <c r="R117" s="14"/>
      <c r="S117" s="24" t="str">
        <f t="shared" ref="S117:U117" si="119">IF(E117&lt;&gt;"","Yes","")</f>
        <v>Yes</v>
      </c>
      <c r="T117" s="24" t="str">
        <f t="shared" si="119"/>
        <v>Yes</v>
      </c>
      <c r="U117" s="24" t="str">
        <f t="shared" si="119"/>
        <v/>
      </c>
      <c r="V117" s="24" t="str">
        <f t="shared" si="3"/>
        <v/>
      </c>
      <c r="W117" s="14" t="str">
        <f t="shared" si="4"/>
        <v/>
      </c>
    </row>
    <row r="118" ht="14.25" customHeight="1">
      <c r="A118" s="18">
        <f>HYPERLINK("https://app.hubspot.com/contacts/8748051/record/0-1/166406679840", 166406679840)</f>
        <v>166406679840</v>
      </c>
      <c r="B118" s="14" t="s">
        <v>3475</v>
      </c>
      <c r="C118" s="16">
        <v>45952.81476851852</v>
      </c>
      <c r="D118" s="14"/>
      <c r="E118" s="32">
        <v>45953.0</v>
      </c>
      <c r="F118" s="32">
        <v>45953.0</v>
      </c>
      <c r="G118" s="32">
        <v>45953.0</v>
      </c>
      <c r="H118" s="14" t="s">
        <v>3252</v>
      </c>
      <c r="I118" s="14" t="s">
        <v>3237</v>
      </c>
      <c r="J118" s="14" t="s">
        <v>3338</v>
      </c>
      <c r="K118" s="18">
        <f>HYPERLINK("https://app.hubspot.com/contacts/8748051/record/0-2/9238301248", 9238301248)</f>
        <v>9238301248</v>
      </c>
      <c r="L118" s="14" t="s">
        <v>598</v>
      </c>
      <c r="M118" s="18" t="s">
        <v>599</v>
      </c>
      <c r="N118" s="23">
        <f>HYPERLINK("https://app.hubspot.com/contacts/8748051/record/0-3/46752765625", 46752765625)</f>
        <v>46752765625</v>
      </c>
      <c r="O118" s="14" t="s">
        <v>597</v>
      </c>
      <c r="P118" s="14" t="s">
        <v>124</v>
      </c>
      <c r="Q118" s="14">
        <v>15000.0</v>
      </c>
      <c r="R118" s="14" t="b">
        <v>1</v>
      </c>
      <c r="S118" s="24" t="str">
        <f t="shared" ref="S118:U118" si="120">IF(E118&lt;&gt;"","Yes","")</f>
        <v>Yes</v>
      </c>
      <c r="T118" s="24" t="str">
        <f t="shared" si="120"/>
        <v>Yes</v>
      </c>
      <c r="U118" s="24" t="str">
        <f t="shared" si="120"/>
        <v>Yes</v>
      </c>
      <c r="V118" s="24" t="str">
        <f t="shared" si="3"/>
        <v/>
      </c>
      <c r="W118" s="14" t="str">
        <f t="shared" si="4"/>
        <v/>
      </c>
    </row>
    <row r="119" ht="14.25" customHeight="1">
      <c r="A119" s="18">
        <f>HYPERLINK("https://app.hubspot.com/contacts/8748051/record/0-1/166009848198", 166009848198)</f>
        <v>166009848198</v>
      </c>
      <c r="B119" s="14" t="s">
        <v>3476</v>
      </c>
      <c r="C119" s="16">
        <v>45951.59788194444</v>
      </c>
      <c r="D119" s="14"/>
      <c r="E119" s="32">
        <v>45951.0</v>
      </c>
      <c r="F119" s="32">
        <v>45953.0</v>
      </c>
      <c r="G119" s="32"/>
      <c r="H119" s="14" t="s">
        <v>3477</v>
      </c>
      <c r="I119" s="14" t="s">
        <v>3235</v>
      </c>
      <c r="J119" s="14"/>
      <c r="K119" s="18">
        <f>HYPERLINK("https://app.hubspot.com/contacts/8748051/record/0-2/9069602715", 9069602715)</f>
        <v>9069602715</v>
      </c>
      <c r="L119" s="14" t="s">
        <v>604</v>
      </c>
      <c r="M119" s="18" t="s">
        <v>605</v>
      </c>
      <c r="N119" s="23">
        <f>HYPERLINK("https://app.hubspot.com/contacts/8748051/record/0-3/46659535648", 46659535648)</f>
        <v>46659535648</v>
      </c>
      <c r="O119" s="14" t="s">
        <v>603</v>
      </c>
      <c r="P119" s="14" t="s">
        <v>118</v>
      </c>
      <c r="Q119" s="14">
        <v>14500.0</v>
      </c>
      <c r="R119" s="14"/>
      <c r="S119" s="24" t="str">
        <f t="shared" ref="S119:U119" si="121">IF(E119&lt;&gt;"","Yes","")</f>
        <v>Yes</v>
      </c>
      <c r="T119" s="24" t="str">
        <f t="shared" si="121"/>
        <v>Yes</v>
      </c>
      <c r="U119" s="24" t="str">
        <f t="shared" si="121"/>
        <v/>
      </c>
      <c r="V119" s="24" t="str">
        <f t="shared" si="3"/>
        <v/>
      </c>
      <c r="W119" s="14" t="str">
        <f t="shared" si="4"/>
        <v/>
      </c>
    </row>
    <row r="120" ht="14.25" customHeight="1">
      <c r="A120" s="18">
        <f>HYPERLINK("https://app.hubspot.com/contacts/8748051/record/0-1/166017867406", 166017867406)</f>
        <v>166017867406</v>
      </c>
      <c r="B120" s="14" t="s">
        <v>3478</v>
      </c>
      <c r="C120" s="16">
        <v>45951.57585648148</v>
      </c>
      <c r="D120" s="14"/>
      <c r="E120" s="32">
        <v>45951.0</v>
      </c>
      <c r="F120" s="32">
        <v>45952.0</v>
      </c>
      <c r="G120" s="32">
        <v>45952.0</v>
      </c>
      <c r="H120" s="14" t="s">
        <v>2689</v>
      </c>
      <c r="I120" s="14" t="s">
        <v>3240</v>
      </c>
      <c r="J120" s="14" t="s">
        <v>3247</v>
      </c>
      <c r="K120" s="18">
        <f>HYPERLINK("https://app.hubspot.com/contacts/8748051/record/0-2/42260545864", 42260545864)</f>
        <v>42260545864</v>
      </c>
      <c r="L120" s="14" t="s">
        <v>608</v>
      </c>
      <c r="M120" s="18" t="s">
        <v>609</v>
      </c>
      <c r="N120" s="23">
        <f>HYPERLINK("https://app.hubspot.com/contacts/8748051/record/0-3/46648765099", 46648765099)</f>
        <v>46648765099</v>
      </c>
      <c r="O120" s="14" t="s">
        <v>606</v>
      </c>
      <c r="P120" s="14" t="s">
        <v>146</v>
      </c>
      <c r="Q120" s="14">
        <v>25000.0</v>
      </c>
      <c r="R120" s="14" t="b">
        <v>1</v>
      </c>
      <c r="S120" s="24" t="str">
        <f t="shared" ref="S120:U120" si="122">IF(E120&lt;&gt;"","Yes","")</f>
        <v>Yes</v>
      </c>
      <c r="T120" s="24" t="str">
        <f t="shared" si="122"/>
        <v>Yes</v>
      </c>
      <c r="U120" s="24" t="str">
        <f t="shared" si="122"/>
        <v>Yes</v>
      </c>
      <c r="V120" s="24" t="str">
        <f t="shared" si="3"/>
        <v/>
      </c>
      <c r="W120" s="14" t="str">
        <f t="shared" si="4"/>
        <v>Yes</v>
      </c>
    </row>
    <row r="121" ht="14.25" customHeight="1">
      <c r="A121" s="18">
        <f>HYPERLINK("https://app.hubspot.com/contacts/8748051/record/0-1/339951", 339951)</f>
        <v>339951</v>
      </c>
      <c r="B121" s="14" t="s">
        <v>3479</v>
      </c>
      <c r="C121" s="16">
        <v>45947.5209837963</v>
      </c>
      <c r="D121" s="14"/>
      <c r="E121" s="32">
        <v>45947.0</v>
      </c>
      <c r="F121" s="32">
        <v>45954.0</v>
      </c>
      <c r="G121" s="32"/>
      <c r="H121" s="14" t="s">
        <v>3480</v>
      </c>
      <c r="I121" s="14" t="s">
        <v>152</v>
      </c>
      <c r="J121" s="14"/>
      <c r="K121" s="18">
        <f>HYPERLINK("https://app.hubspot.com/contacts/8748051/record/0-2/8630538410", 8630538410)</f>
        <v>8630538410</v>
      </c>
      <c r="L121" s="14" t="s">
        <v>614</v>
      </c>
      <c r="M121" s="18" t="s">
        <v>615</v>
      </c>
      <c r="N121" s="23">
        <f>HYPERLINK("https://app.hubspot.com/contacts/8748051/record/0-3/46334165395", 46334165395)</f>
        <v>46334165395</v>
      </c>
      <c r="O121" s="14" t="s">
        <v>613</v>
      </c>
      <c r="P121" s="14" t="s">
        <v>118</v>
      </c>
      <c r="Q121" s="14">
        <v>35000.0</v>
      </c>
      <c r="R121" s="14"/>
      <c r="S121" s="24" t="str">
        <f t="shared" ref="S121:U121" si="123">IF(E121&lt;&gt;"","Yes","")</f>
        <v>Yes</v>
      </c>
      <c r="T121" s="24" t="str">
        <f t="shared" si="123"/>
        <v>Yes</v>
      </c>
      <c r="U121" s="24" t="str">
        <f t="shared" si="123"/>
        <v/>
      </c>
      <c r="V121" s="24" t="str">
        <f t="shared" si="3"/>
        <v/>
      </c>
      <c r="W121" s="14" t="str">
        <f t="shared" si="4"/>
        <v/>
      </c>
    </row>
    <row r="122" ht="14.25" customHeight="1">
      <c r="A122" s="18">
        <f>HYPERLINK("https://app.hubspot.com/contacts/8748051/record/0-1/163964158369", 163964158369)</f>
        <v>163964158369</v>
      </c>
      <c r="B122" s="14" t="s">
        <v>3481</v>
      </c>
      <c r="C122" s="16">
        <v>45944.71728009259</v>
      </c>
      <c r="D122" s="14" t="s">
        <v>3304</v>
      </c>
      <c r="E122" s="32"/>
      <c r="F122" s="32"/>
      <c r="G122" s="32"/>
      <c r="H122" s="14" t="s">
        <v>3482</v>
      </c>
      <c r="I122" s="14"/>
      <c r="J122" s="14"/>
      <c r="K122" s="18">
        <f>HYPERLINK("https://app.hubspot.com/contacts/8748051/record/0-2/41618242430", 41618242430)</f>
        <v>41618242430</v>
      </c>
      <c r="L122" s="14"/>
      <c r="M122" s="18" t="s">
        <v>3483</v>
      </c>
      <c r="N122" s="24"/>
      <c r="O122" s="14"/>
      <c r="P122" s="14"/>
      <c r="Q122" s="14"/>
      <c r="R122" s="14"/>
      <c r="S122" s="24" t="str">
        <f t="shared" ref="S122:U122" si="124">IF(E122&lt;&gt;"","Yes","")</f>
        <v/>
      </c>
      <c r="T122" s="24" t="str">
        <f t="shared" si="124"/>
        <v/>
      </c>
      <c r="U122" s="24" t="str">
        <f t="shared" si="124"/>
        <v/>
      </c>
      <c r="V122" s="24" t="str">
        <f t="shared" si="3"/>
        <v/>
      </c>
      <c r="W122" s="14" t="str">
        <f t="shared" si="4"/>
        <v/>
      </c>
    </row>
    <row r="123" ht="14.25" customHeight="1">
      <c r="A123" s="18">
        <f>HYPERLINK("https://app.hubspot.com/contacts/8748051/record/0-1/163944007818", 163944007818)</f>
        <v>163944007818</v>
      </c>
      <c r="B123" s="14" t="s">
        <v>3484</v>
      </c>
      <c r="C123" s="16">
        <v>45944.638553240744</v>
      </c>
      <c r="D123" s="14"/>
      <c r="E123" s="32">
        <v>45945.0</v>
      </c>
      <c r="F123" s="32">
        <v>45946.0</v>
      </c>
      <c r="G123" s="32">
        <v>45946.0</v>
      </c>
      <c r="H123" s="14" t="s">
        <v>3485</v>
      </c>
      <c r="I123" s="14" t="s">
        <v>3237</v>
      </c>
      <c r="J123" s="14" t="s">
        <v>3338</v>
      </c>
      <c r="K123" s="18">
        <f>HYPERLINK("https://app.hubspot.com/contacts/8748051/record/0-2/41629652867", 41629652867)</f>
        <v>41629652867</v>
      </c>
      <c r="L123" s="14" t="s">
        <v>618</v>
      </c>
      <c r="M123" s="18" t="s">
        <v>619</v>
      </c>
      <c r="N123" s="23">
        <f>HYPERLINK("https://app.hubspot.com/contacts/8748051/record/0-3/45987841872", 45987841872)</f>
        <v>45987841872</v>
      </c>
      <c r="O123" s="14" t="s">
        <v>617</v>
      </c>
      <c r="P123" s="14" t="s">
        <v>118</v>
      </c>
      <c r="Q123" s="14">
        <v>0.0</v>
      </c>
      <c r="R123" s="14"/>
      <c r="S123" s="24" t="str">
        <f t="shared" ref="S123:U123" si="125">IF(E123&lt;&gt;"","Yes","")</f>
        <v>Yes</v>
      </c>
      <c r="T123" s="24" t="str">
        <f t="shared" si="125"/>
        <v>Yes</v>
      </c>
      <c r="U123" s="24" t="str">
        <f t="shared" si="125"/>
        <v>Yes</v>
      </c>
      <c r="V123" s="24" t="str">
        <f t="shared" si="3"/>
        <v/>
      </c>
      <c r="W123" s="14" t="str">
        <f t="shared" si="4"/>
        <v/>
      </c>
    </row>
    <row r="124" ht="14.25" customHeight="1">
      <c r="A124" s="18">
        <f>HYPERLINK("https://app.hubspot.com/contacts/8748051/record/0-1/150078151291", 150078151291)</f>
        <v>150078151291</v>
      </c>
      <c r="B124" s="14" t="s">
        <v>3486</v>
      </c>
      <c r="C124" s="16">
        <v>45943.12619212963</v>
      </c>
      <c r="D124" s="14"/>
      <c r="E124" s="32">
        <v>45943.0</v>
      </c>
      <c r="F124" s="32">
        <v>45944.0</v>
      </c>
      <c r="G124" s="32"/>
      <c r="H124" s="14" t="s">
        <v>3487</v>
      </c>
      <c r="I124" s="14" t="s">
        <v>152</v>
      </c>
      <c r="J124" s="14"/>
      <c r="K124" s="18">
        <f>HYPERLINK("https://app.hubspot.com/contacts/8748051/record/0-2/9664359229", 9664359229)</f>
        <v>9664359229</v>
      </c>
      <c r="L124" s="14" t="s">
        <v>99</v>
      </c>
      <c r="M124" s="18" t="s">
        <v>100</v>
      </c>
      <c r="N124" s="23">
        <f>HYPERLINK("https://app.hubspot.com/contacts/8748051/record/0-3/45764913665", 45764913665)</f>
        <v>45764913665</v>
      </c>
      <c r="O124" s="14" t="s">
        <v>623</v>
      </c>
      <c r="P124" s="14" t="s">
        <v>118</v>
      </c>
      <c r="Q124" s="14">
        <v>100000.0</v>
      </c>
      <c r="R124" s="14"/>
      <c r="S124" s="24" t="str">
        <f t="shared" ref="S124:U124" si="126">IF(E124&lt;&gt;"","Yes","")</f>
        <v>Yes</v>
      </c>
      <c r="T124" s="24" t="str">
        <f t="shared" si="126"/>
        <v>Yes</v>
      </c>
      <c r="U124" s="24" t="str">
        <f t="shared" si="126"/>
        <v/>
      </c>
      <c r="V124" s="24" t="str">
        <f t="shared" si="3"/>
        <v/>
      </c>
      <c r="W124" s="14" t="str">
        <f t="shared" si="4"/>
        <v/>
      </c>
    </row>
    <row r="125" ht="14.25" customHeight="1">
      <c r="A125" s="18">
        <f>HYPERLINK("https://app.hubspot.com/contacts/8748051/record/0-1/163020349811", 163020349811)</f>
        <v>163020349811</v>
      </c>
      <c r="B125" s="14" t="s">
        <v>3488</v>
      </c>
      <c r="C125" s="16">
        <v>45941.653275462966</v>
      </c>
      <c r="D125" s="14" t="s">
        <v>3304</v>
      </c>
      <c r="E125" s="32"/>
      <c r="F125" s="32"/>
      <c r="G125" s="32"/>
      <c r="H125" s="14" t="s">
        <v>3296</v>
      </c>
      <c r="I125" s="14"/>
      <c r="J125" s="14" t="s">
        <v>3377</v>
      </c>
      <c r="K125" s="18">
        <f>HYPERLINK("https://app.hubspot.com/contacts/8748051/record/0-2/41422144047", 41422144047)</f>
        <v>41422144047</v>
      </c>
      <c r="L125" s="14" t="s">
        <v>3489</v>
      </c>
      <c r="M125" s="18" t="s">
        <v>3490</v>
      </c>
      <c r="N125" s="24"/>
      <c r="O125" s="14"/>
      <c r="P125" s="14"/>
      <c r="Q125" s="14"/>
      <c r="R125" s="14"/>
      <c r="S125" s="24" t="str">
        <f t="shared" ref="S125:U125" si="127">IF(E125&lt;&gt;"","Yes","")</f>
        <v/>
      </c>
      <c r="T125" s="24" t="str">
        <f t="shared" si="127"/>
        <v/>
      </c>
      <c r="U125" s="24" t="str">
        <f t="shared" si="127"/>
        <v/>
      </c>
      <c r="V125" s="24" t="str">
        <f t="shared" si="3"/>
        <v/>
      </c>
      <c r="W125" s="14" t="str">
        <f t="shared" si="4"/>
        <v/>
      </c>
    </row>
    <row r="126" ht="14.25" customHeight="1">
      <c r="A126" s="18">
        <f>HYPERLINK("https://app.hubspot.com/contacts/8748051/record/0-1/162845891460", 162845891460)</f>
        <v>162845891460</v>
      </c>
      <c r="B126" s="14" t="s">
        <v>3491</v>
      </c>
      <c r="C126" s="16">
        <v>45941.10623842593</v>
      </c>
      <c r="D126" s="14"/>
      <c r="E126" s="32">
        <v>45941.0</v>
      </c>
      <c r="F126" s="32">
        <v>45948.0</v>
      </c>
      <c r="G126" s="32">
        <v>45948.0</v>
      </c>
      <c r="H126" s="14" t="s">
        <v>3252</v>
      </c>
      <c r="I126" s="14" t="s">
        <v>3237</v>
      </c>
      <c r="J126" s="14"/>
      <c r="K126" s="18">
        <f>HYPERLINK("https://app.hubspot.com/contacts/8748051/record/0-2/39594237571", 39594237571)</f>
        <v>39594237571</v>
      </c>
      <c r="L126" s="18" t="s">
        <v>621</v>
      </c>
      <c r="M126" s="18" t="s">
        <v>622</v>
      </c>
      <c r="N126" s="23">
        <f>HYPERLINK("https://app.hubspot.com/contacts/8748051/record/0-3/45939175996", 45939175996)</f>
        <v>45939175996</v>
      </c>
      <c r="O126" s="14" t="s">
        <v>620</v>
      </c>
      <c r="P126" s="14" t="s">
        <v>50</v>
      </c>
      <c r="Q126" s="14">
        <v>15000.0</v>
      </c>
      <c r="R126" s="14" t="b">
        <v>1</v>
      </c>
      <c r="S126" s="24" t="str">
        <f t="shared" ref="S126:U126" si="128">IF(E126&lt;&gt;"","Yes","")</f>
        <v>Yes</v>
      </c>
      <c r="T126" s="24" t="str">
        <f t="shared" si="128"/>
        <v>Yes</v>
      </c>
      <c r="U126" s="24" t="str">
        <f t="shared" si="128"/>
        <v>Yes</v>
      </c>
      <c r="V126" s="24" t="str">
        <f t="shared" si="3"/>
        <v/>
      </c>
      <c r="W126" s="14" t="str">
        <f t="shared" si="4"/>
        <v/>
      </c>
    </row>
    <row r="127" ht="14.25" customHeight="1">
      <c r="A127" s="18">
        <f>HYPERLINK("https://app.hubspot.com/contacts/8748051/record/0-1/163693711982", 163693711982)</f>
        <v>163693711982</v>
      </c>
      <c r="B127" s="14" t="s">
        <v>3492</v>
      </c>
      <c r="C127" s="16">
        <v>45939.949467592596</v>
      </c>
      <c r="D127" s="14" t="s">
        <v>3304</v>
      </c>
      <c r="E127" s="32"/>
      <c r="F127" s="32"/>
      <c r="G127" s="32"/>
      <c r="H127" s="14" t="s">
        <v>3357</v>
      </c>
      <c r="I127" s="14"/>
      <c r="J127" s="14"/>
      <c r="K127" s="18">
        <f>HYPERLINK("https://app.hubspot.com/contacts/8748051/record/0-2/41301935005", 41301935005)</f>
        <v>41301935005</v>
      </c>
      <c r="L127" s="14" t="s">
        <v>3493</v>
      </c>
      <c r="M127" s="18" t="s">
        <v>3494</v>
      </c>
      <c r="N127" s="14"/>
      <c r="O127" s="14"/>
      <c r="P127" s="14"/>
      <c r="Q127" s="14"/>
      <c r="R127" s="14"/>
      <c r="S127" s="24" t="str">
        <f t="shared" ref="S127:U127" si="129">IF(E127&lt;&gt;"","Yes","")</f>
        <v/>
      </c>
      <c r="T127" s="24" t="str">
        <f t="shared" si="129"/>
        <v/>
      </c>
      <c r="U127" s="24" t="str">
        <f t="shared" si="129"/>
        <v/>
      </c>
      <c r="V127" s="24" t="str">
        <f t="shared" si="3"/>
        <v/>
      </c>
      <c r="W127" s="14" t="str">
        <f t="shared" si="4"/>
        <v/>
      </c>
    </row>
    <row r="128" ht="14.25" customHeight="1">
      <c r="A128" s="18">
        <f>HYPERLINK("https://app.hubspot.com/contacts/8748051/record/0-1/162285280147", 162285280147)</f>
        <v>162285280147</v>
      </c>
      <c r="B128" s="14" t="s">
        <v>3495</v>
      </c>
      <c r="C128" s="16">
        <v>45938.94199074074</v>
      </c>
      <c r="D128" s="14"/>
      <c r="E128" s="32">
        <v>45939.0</v>
      </c>
      <c r="F128" s="32">
        <v>45945.0</v>
      </c>
      <c r="G128" s="32">
        <v>45945.0</v>
      </c>
      <c r="H128" s="14" t="s">
        <v>3230</v>
      </c>
      <c r="I128" s="14" t="s">
        <v>3237</v>
      </c>
      <c r="J128" s="14" t="s">
        <v>3377</v>
      </c>
      <c r="K128" s="18">
        <f>HYPERLINK("https://app.hubspot.com/contacts/8748051/record/0-2/41190590628", 41190590628)</f>
        <v>41190590628</v>
      </c>
      <c r="L128" s="14" t="s">
        <v>625</v>
      </c>
      <c r="M128" s="18" t="s">
        <v>626</v>
      </c>
      <c r="N128" s="23">
        <f>HYPERLINK("https://app.hubspot.com/contacts/8748051/record/0-3/45586133514", 45586133514)</f>
        <v>45586133514</v>
      </c>
      <c r="O128" s="14" t="s">
        <v>624</v>
      </c>
      <c r="P128" s="14" t="s">
        <v>118</v>
      </c>
      <c r="Q128" s="14">
        <v>19000.0</v>
      </c>
      <c r="R128" s="14"/>
      <c r="S128" s="24" t="str">
        <f t="shared" ref="S128:U128" si="130">IF(E128&lt;&gt;"","Yes","")</f>
        <v>Yes</v>
      </c>
      <c r="T128" s="24" t="str">
        <f t="shared" si="130"/>
        <v>Yes</v>
      </c>
      <c r="U128" s="24" t="str">
        <f t="shared" si="130"/>
        <v>Yes</v>
      </c>
      <c r="V128" s="24" t="str">
        <f t="shared" si="3"/>
        <v/>
      </c>
      <c r="W128" s="14" t="str">
        <f t="shared" si="4"/>
        <v/>
      </c>
    </row>
    <row r="129" ht="14.25" customHeight="1">
      <c r="A129" s="18">
        <f>HYPERLINK("https://app.hubspot.com/contacts/8748051/record/0-1/161965565328", 161965565328)</f>
        <v>161965565328</v>
      </c>
      <c r="B129" s="14" t="s">
        <v>3496</v>
      </c>
      <c r="C129" s="16">
        <v>45938.350173611114</v>
      </c>
      <c r="D129" s="16"/>
      <c r="E129" s="32">
        <v>45938.0</v>
      </c>
      <c r="F129" s="32">
        <v>45940.0</v>
      </c>
      <c r="G129" s="32">
        <v>45940.0</v>
      </c>
      <c r="H129" s="14" t="s">
        <v>3497</v>
      </c>
      <c r="I129" s="14" t="s">
        <v>3235</v>
      </c>
      <c r="J129" s="14"/>
      <c r="K129" s="18">
        <f>HYPERLINK("https://app.hubspot.com/contacts/8748051/record/0-2/41077974430", 41077974430)</f>
        <v>41077974430</v>
      </c>
      <c r="L129" s="14" t="s">
        <v>635</v>
      </c>
      <c r="M129" s="14" t="s">
        <v>636</v>
      </c>
      <c r="N129" s="18">
        <f>HYPERLINK("https://app.hubspot.com/contacts/8748051/record/0-3/45442101095", 45442101095)</f>
        <v>45442101095</v>
      </c>
      <c r="O129" s="14" t="s">
        <v>634</v>
      </c>
      <c r="P129" s="14" t="s">
        <v>124</v>
      </c>
      <c r="Q129" s="14">
        <v>2000.0</v>
      </c>
      <c r="R129" s="14"/>
      <c r="S129" s="24" t="str">
        <f t="shared" ref="S129:U129" si="131">IF(E129&lt;&gt;"","Yes","")</f>
        <v>Yes</v>
      </c>
      <c r="T129" s="24" t="str">
        <f t="shared" si="131"/>
        <v>Yes</v>
      </c>
      <c r="U129" s="24" t="str">
        <f t="shared" si="131"/>
        <v>Yes</v>
      </c>
      <c r="V129" s="24" t="str">
        <f t="shared" si="3"/>
        <v/>
      </c>
      <c r="W129" s="14" t="str">
        <f t="shared" si="4"/>
        <v/>
      </c>
    </row>
    <row r="130" ht="14.25" customHeight="1">
      <c r="A130" s="18">
        <f>HYPERLINK("https://app.hubspot.com/contacts/8748051/record/0-1/161840431506", 161840431506)</f>
        <v>161840431506</v>
      </c>
      <c r="B130" s="14" t="s">
        <v>3498</v>
      </c>
      <c r="C130" s="16">
        <v>45937.843680555554</v>
      </c>
      <c r="D130" s="14"/>
      <c r="E130" s="32">
        <v>45938.0</v>
      </c>
      <c r="F130" s="32">
        <v>45940.0</v>
      </c>
      <c r="G130" s="32">
        <v>45940.0</v>
      </c>
      <c r="H130" s="14" t="s">
        <v>3499</v>
      </c>
      <c r="I130" s="14" t="s">
        <v>3235</v>
      </c>
      <c r="J130" s="14"/>
      <c r="K130" s="18">
        <f>HYPERLINK("https://app.hubspot.com/contacts/8748051/record/0-2/41105868191", 41105868191)</f>
        <v>41105868191</v>
      </c>
      <c r="L130" s="14" t="s">
        <v>646</v>
      </c>
      <c r="M130" s="18" t="s">
        <v>647</v>
      </c>
      <c r="N130" s="23">
        <f>HYPERLINK("https://app.hubspot.com/contacts/8748051/record/0-3/45451928346", 45451928346)</f>
        <v>45451928346</v>
      </c>
      <c r="O130" s="14" t="s">
        <v>644</v>
      </c>
      <c r="P130" s="14" t="s">
        <v>146</v>
      </c>
      <c r="Q130" s="14">
        <v>100000.0</v>
      </c>
      <c r="R130" s="14"/>
      <c r="S130" s="24" t="str">
        <f t="shared" ref="S130:U130" si="132">IF(E130&lt;&gt;"","Yes","")</f>
        <v>Yes</v>
      </c>
      <c r="T130" s="24" t="str">
        <f t="shared" si="132"/>
        <v>Yes</v>
      </c>
      <c r="U130" s="24" t="str">
        <f t="shared" si="132"/>
        <v>Yes</v>
      </c>
      <c r="V130" s="24" t="str">
        <f t="shared" si="3"/>
        <v/>
      </c>
      <c r="W130" s="14" t="str">
        <f t="shared" si="4"/>
        <v>Yes</v>
      </c>
    </row>
    <row r="131" ht="14.25" customHeight="1">
      <c r="A131" s="18">
        <f>HYPERLINK("https://app.hubspot.com/contacts/8748051/record/0-1/161703598863", 161703598863)</f>
        <v>161703598863</v>
      </c>
      <c r="B131" s="14" t="s">
        <v>3500</v>
      </c>
      <c r="C131" s="16">
        <v>45937.47106481482</v>
      </c>
      <c r="D131" s="16"/>
      <c r="E131" s="32">
        <v>45937.0</v>
      </c>
      <c r="F131" s="32">
        <v>45945.0</v>
      </c>
      <c r="G131" s="32">
        <v>45945.0</v>
      </c>
      <c r="H131" s="14" t="s">
        <v>3501</v>
      </c>
      <c r="I131" s="14" t="s">
        <v>3237</v>
      </c>
      <c r="J131" s="14"/>
      <c r="K131" s="18">
        <f>HYPERLINK("https://app.hubspot.com/contacts/8748051/record/0-2/18832368254", 18832368254)</f>
        <v>18832368254</v>
      </c>
      <c r="L131" s="14" t="s">
        <v>649</v>
      </c>
      <c r="M131" s="18" t="s">
        <v>650</v>
      </c>
      <c r="N131" s="23">
        <f>HYPERLINK("https://app.hubspot.com/contacts/8748051/record/0-3/45354363535", 45354363535)</f>
        <v>45354363535</v>
      </c>
      <c r="O131" s="14" t="s">
        <v>648</v>
      </c>
      <c r="P131" s="14" t="s">
        <v>50</v>
      </c>
      <c r="Q131" s="14">
        <v>100000.0</v>
      </c>
      <c r="R131" s="14" t="b">
        <v>1</v>
      </c>
      <c r="S131" s="24" t="str">
        <f t="shared" ref="S131:U131" si="133">IF(E131&lt;&gt;"","Yes","")</f>
        <v>Yes</v>
      </c>
      <c r="T131" s="24" t="str">
        <f t="shared" si="133"/>
        <v>Yes</v>
      </c>
      <c r="U131" s="24" t="str">
        <f t="shared" si="133"/>
        <v>Yes</v>
      </c>
      <c r="V131" s="24" t="str">
        <f t="shared" si="3"/>
        <v/>
      </c>
      <c r="W131" s="14" t="str">
        <f t="shared" si="4"/>
        <v/>
      </c>
    </row>
    <row r="132" ht="14.25" customHeight="1">
      <c r="A132" s="18">
        <f>HYPERLINK("https://app.hubspot.com/contacts/8748051/record/0-1/160708318854", 160708318854)</f>
        <v>160708318854</v>
      </c>
      <c r="B132" s="14" t="s">
        <v>3502</v>
      </c>
      <c r="C132" s="16">
        <v>45936.399976851855</v>
      </c>
      <c r="D132" s="14"/>
      <c r="E132" s="32">
        <v>45936.0</v>
      </c>
      <c r="F132" s="32">
        <v>45941.0</v>
      </c>
      <c r="G132" s="32">
        <v>45941.0</v>
      </c>
      <c r="H132" s="14" t="s">
        <v>3252</v>
      </c>
      <c r="I132" s="14" t="s">
        <v>3237</v>
      </c>
      <c r="J132" s="14"/>
      <c r="K132" s="18">
        <f>HYPERLINK("https://app.hubspot.com/contacts/8748051/record/0-2/40871142018", 40871142018)</f>
        <v>40871142018</v>
      </c>
      <c r="L132" s="14" t="s">
        <v>653</v>
      </c>
      <c r="M132" s="18" t="s">
        <v>654</v>
      </c>
      <c r="N132" s="23">
        <f>HYPERLINK("https://app.hubspot.com/contacts/8748051/record/0-3/45315192745", 45315192745)</f>
        <v>45315192745</v>
      </c>
      <c r="O132" s="14" t="s">
        <v>651</v>
      </c>
      <c r="P132" s="14" t="s">
        <v>146</v>
      </c>
      <c r="Q132" s="14">
        <v>10500.0</v>
      </c>
      <c r="R132" s="14" t="b">
        <v>1</v>
      </c>
      <c r="S132" s="24" t="str">
        <f t="shared" ref="S132:U132" si="134">IF(E132&lt;&gt;"","Yes","")</f>
        <v>Yes</v>
      </c>
      <c r="T132" s="24" t="str">
        <f t="shared" si="134"/>
        <v>Yes</v>
      </c>
      <c r="U132" s="24" t="str">
        <f t="shared" si="134"/>
        <v>Yes</v>
      </c>
      <c r="V132" s="24" t="str">
        <f t="shared" si="3"/>
        <v/>
      </c>
      <c r="W132" s="14" t="str">
        <f t="shared" si="4"/>
        <v>Yes</v>
      </c>
    </row>
    <row r="133" ht="14.25" customHeight="1">
      <c r="A133" s="18">
        <f>HYPERLINK("https://app.hubspot.com/contacts/8748051/record/0-1/174631836584", 174631836584)</f>
        <v>174631836584</v>
      </c>
      <c r="B133" s="14" t="s">
        <v>3503</v>
      </c>
      <c r="C133" s="16">
        <v>45936.395833333336</v>
      </c>
      <c r="D133" s="16"/>
      <c r="E133" s="32">
        <v>45936.0</v>
      </c>
      <c r="F133" s="32">
        <v>45729.0</v>
      </c>
      <c r="G133" s="32">
        <v>45729.0</v>
      </c>
      <c r="H133" s="14" t="s">
        <v>3296</v>
      </c>
      <c r="I133" s="14" t="s">
        <v>3470</v>
      </c>
      <c r="J133" s="14"/>
      <c r="K133" s="18">
        <f>HYPERLINK("https://app.hubspot.com/contacts/8748051/record/0-2/8867142733", 8867142733)</f>
        <v>8867142733</v>
      </c>
      <c r="L133" s="14" t="s">
        <v>656</v>
      </c>
      <c r="M133" s="18" t="s">
        <v>657</v>
      </c>
      <c r="N133" s="18">
        <f>HYPERLINK("https://app.hubspot.com/contacts/8748051/record/0-3/34603512158", 34603512158)</f>
        <v>34603512158</v>
      </c>
      <c r="O133" s="14" t="s">
        <v>1235</v>
      </c>
      <c r="P133" s="14" t="s">
        <v>124</v>
      </c>
      <c r="Q133" s="14">
        <v>50000.0</v>
      </c>
      <c r="R133" s="14" t="b">
        <v>1</v>
      </c>
      <c r="S133" s="24" t="str">
        <f t="shared" ref="S133:U133" si="135">IF(E133&lt;&gt;"","Yes","")</f>
        <v>Yes</v>
      </c>
      <c r="T133" s="24" t="str">
        <f t="shared" si="135"/>
        <v>Yes</v>
      </c>
      <c r="U133" s="24" t="str">
        <f t="shared" si="135"/>
        <v>Yes</v>
      </c>
      <c r="V133" s="24" t="str">
        <f t="shared" si="3"/>
        <v/>
      </c>
      <c r="W133" s="14" t="str">
        <f t="shared" si="4"/>
        <v/>
      </c>
    </row>
    <row r="134" ht="14.25" customHeight="1">
      <c r="A134" s="18">
        <f>HYPERLINK("https://app.hubspot.com/contacts/8748051/record/0-1/116460228483", 116460228483)</f>
        <v>116460228483</v>
      </c>
      <c r="B134" s="14" t="s">
        <v>3504</v>
      </c>
      <c r="C134" s="16">
        <v>45934.5625</v>
      </c>
      <c r="D134" s="14"/>
      <c r="E134" s="32">
        <v>45934.0</v>
      </c>
      <c r="F134" s="32">
        <v>45939.0</v>
      </c>
      <c r="G134" s="32">
        <v>45939.0</v>
      </c>
      <c r="H134" s="14" t="s">
        <v>3505</v>
      </c>
      <c r="I134" s="14" t="s">
        <v>3470</v>
      </c>
      <c r="J134" s="14"/>
      <c r="K134" s="18">
        <f>HYPERLINK("https://app.hubspot.com/contacts/8748051/record/0-2/35716472621", 35716472621)</f>
        <v>35716472621</v>
      </c>
      <c r="L134" s="14" t="s">
        <v>182</v>
      </c>
      <c r="M134" s="18" t="s">
        <v>183</v>
      </c>
      <c r="N134" s="23">
        <f>HYPERLINK("https://app.hubspot.com/contacts/8748051/record/0-3/36124029510", 36124029510)</f>
        <v>36124029510</v>
      </c>
      <c r="O134" s="14" t="s">
        <v>1089</v>
      </c>
      <c r="P134" s="14" t="s">
        <v>89</v>
      </c>
      <c r="Q134" s="14">
        <v>80000.0</v>
      </c>
      <c r="R134" s="14" t="b">
        <v>1</v>
      </c>
      <c r="S134" s="24" t="str">
        <f t="shared" ref="S134:U134" si="136">IF(E134&lt;&gt;"","Yes","")</f>
        <v>Yes</v>
      </c>
      <c r="T134" s="24" t="str">
        <f t="shared" si="136"/>
        <v>Yes</v>
      </c>
      <c r="U134" s="24" t="str">
        <f t="shared" si="136"/>
        <v>Yes</v>
      </c>
      <c r="V134" s="24" t="str">
        <f t="shared" si="3"/>
        <v>Yes</v>
      </c>
      <c r="W134" s="14" t="str">
        <f t="shared" si="4"/>
        <v/>
      </c>
    </row>
    <row r="135" ht="14.25" customHeight="1">
      <c r="A135" s="18">
        <f>HYPERLINK("https://app.hubspot.com/contacts/8748051/record/0-1/163680354896", 163680354896)</f>
        <v>163680354896</v>
      </c>
      <c r="B135" s="14" t="s">
        <v>3506</v>
      </c>
      <c r="C135" s="16">
        <v>45932.742118055554</v>
      </c>
      <c r="D135" s="16"/>
      <c r="E135" s="32">
        <v>45933.0</v>
      </c>
      <c r="F135" s="32">
        <v>45937.0</v>
      </c>
      <c r="G135" s="32">
        <v>45937.0</v>
      </c>
      <c r="H135" s="14" t="s">
        <v>3507</v>
      </c>
      <c r="I135" s="14" t="s">
        <v>152</v>
      </c>
      <c r="J135" s="14" t="s">
        <v>3247</v>
      </c>
      <c r="K135" s="18">
        <f>HYPERLINK("https://app.hubspot.com/contacts/8748051/record/0-2/39723801196", 39723801196)</f>
        <v>39723801196</v>
      </c>
      <c r="L135" s="14" t="s">
        <v>660</v>
      </c>
      <c r="M135" s="18" t="s">
        <v>661</v>
      </c>
      <c r="N135" s="18">
        <f>HYPERLINK("https://app.hubspot.com/contacts/8748051/record/0-3/45189008786", 45189008786)</f>
        <v>45189008786</v>
      </c>
      <c r="O135" s="14" t="s">
        <v>659</v>
      </c>
      <c r="P135" s="14" t="s">
        <v>124</v>
      </c>
      <c r="Q135" s="14">
        <v>10000.0</v>
      </c>
      <c r="R135" s="14" t="b">
        <v>1</v>
      </c>
      <c r="S135" s="24" t="str">
        <f t="shared" ref="S135:U135" si="137">IF(E135&lt;&gt;"","Yes","")</f>
        <v>Yes</v>
      </c>
      <c r="T135" s="24" t="str">
        <f t="shared" si="137"/>
        <v>Yes</v>
      </c>
      <c r="U135" s="24" t="str">
        <f t="shared" si="137"/>
        <v>Yes</v>
      </c>
      <c r="V135" s="24" t="str">
        <f t="shared" si="3"/>
        <v/>
      </c>
      <c r="W135" s="14" t="str">
        <f t="shared" si="4"/>
        <v/>
      </c>
    </row>
    <row r="136" ht="14.25" customHeight="1">
      <c r="A136" s="18">
        <f>HYPERLINK("https://app.hubspot.com/contacts/8748051/record/0-1/168544144690", 168544144690)</f>
        <v>168544144690</v>
      </c>
      <c r="B136" s="14" t="s">
        <v>3508</v>
      </c>
      <c r="C136" s="16">
        <v>45932.4359375</v>
      </c>
      <c r="D136" s="14"/>
      <c r="E136" s="32">
        <v>45932.0</v>
      </c>
      <c r="F136" s="32">
        <v>45933.0</v>
      </c>
      <c r="G136" s="32">
        <v>45933.0</v>
      </c>
      <c r="H136" s="14" t="s">
        <v>3509</v>
      </c>
      <c r="I136" s="14" t="s">
        <v>3240</v>
      </c>
      <c r="J136" s="14" t="s">
        <v>3247</v>
      </c>
      <c r="K136" s="18">
        <f>HYPERLINK("https://app.hubspot.com/contacts/8748051/record/0-2/39434406029", 39434406029)</f>
        <v>39434406029</v>
      </c>
      <c r="L136" s="14" t="s">
        <v>669</v>
      </c>
      <c r="M136" s="18" t="s">
        <v>670</v>
      </c>
      <c r="N136" s="23">
        <f>HYPERLINK("https://app.hubspot.com/contacts/8748051/record/0-3/45102633035", 45102633035)</f>
        <v>45102633035</v>
      </c>
      <c r="O136" s="14" t="s">
        <v>667</v>
      </c>
      <c r="P136" s="14" t="s">
        <v>146</v>
      </c>
      <c r="Q136" s="14">
        <v>25000.0</v>
      </c>
      <c r="R136" s="14" t="b">
        <v>1</v>
      </c>
      <c r="S136" s="24" t="str">
        <f t="shared" ref="S136:U136" si="138">IF(E136&lt;&gt;"","Yes","")</f>
        <v>Yes</v>
      </c>
      <c r="T136" s="24" t="str">
        <f t="shared" si="138"/>
        <v>Yes</v>
      </c>
      <c r="U136" s="24" t="str">
        <f t="shared" si="138"/>
        <v>Yes</v>
      </c>
      <c r="V136" s="24" t="str">
        <f t="shared" si="3"/>
        <v/>
      </c>
      <c r="W136" s="14" t="str">
        <f t="shared" si="4"/>
        <v>Yes</v>
      </c>
    </row>
    <row r="137" ht="14.25" customHeight="1">
      <c r="A137" s="18">
        <f>HYPERLINK("https://app.hubspot.com/contacts/8748051/record/0-1/159853270061", 159853270061)</f>
        <v>159853270061</v>
      </c>
      <c r="B137" s="14" t="s">
        <v>3510</v>
      </c>
      <c r="C137" s="16">
        <v>45930.604629629626</v>
      </c>
      <c r="D137" s="14"/>
      <c r="E137" s="32">
        <v>45931.0</v>
      </c>
      <c r="F137" s="32">
        <v>45937.0</v>
      </c>
      <c r="G137" s="32">
        <v>45937.0</v>
      </c>
      <c r="H137" s="14" t="s">
        <v>3511</v>
      </c>
      <c r="I137" s="14" t="s">
        <v>3250</v>
      </c>
      <c r="J137" s="14" t="s">
        <v>3247</v>
      </c>
      <c r="K137" s="18">
        <f>HYPERLINK("https://app.hubspot.com/contacts/8748051/record/0-2/31946973311", 31946973311)</f>
        <v>31946973311</v>
      </c>
      <c r="L137" s="14" t="s">
        <v>672</v>
      </c>
      <c r="M137" s="18" t="s">
        <v>673</v>
      </c>
      <c r="N137" s="18">
        <f>HYPERLINK("https://app.hubspot.com/contacts/8748051/record/0-3/44941183668", 44941183668)</f>
        <v>44941183668</v>
      </c>
      <c r="O137" s="14" t="s">
        <v>671</v>
      </c>
      <c r="P137" s="14" t="s">
        <v>124</v>
      </c>
      <c r="Q137" s="14">
        <v>35000.0</v>
      </c>
      <c r="R137" s="14" t="b">
        <v>1</v>
      </c>
      <c r="S137" s="24" t="str">
        <f t="shared" ref="S137:U137" si="139">IF(E137&lt;&gt;"","Yes","")</f>
        <v>Yes</v>
      </c>
      <c r="T137" s="24" t="str">
        <f t="shared" si="139"/>
        <v>Yes</v>
      </c>
      <c r="U137" s="24" t="str">
        <f t="shared" si="139"/>
        <v>Yes</v>
      </c>
      <c r="V137" s="24" t="str">
        <f t="shared" si="3"/>
        <v/>
      </c>
      <c r="W137" s="14" t="str">
        <f t="shared" si="4"/>
        <v/>
      </c>
    </row>
    <row r="138" ht="14.25" customHeight="1">
      <c r="A138" s="18">
        <f>HYPERLINK("https://app.hubspot.com/contacts/8748051/record/0-1/26732201820", 26732201820)</f>
        <v>26732201820</v>
      </c>
      <c r="B138" s="14" t="s">
        <v>3512</v>
      </c>
      <c r="C138" s="16">
        <v>45930.57917824074</v>
      </c>
      <c r="D138" s="16"/>
      <c r="E138" s="32">
        <v>45930.0</v>
      </c>
      <c r="F138" s="32">
        <v>45933.0</v>
      </c>
      <c r="G138" s="32">
        <v>45933.0</v>
      </c>
      <c r="H138" s="14" t="s">
        <v>3513</v>
      </c>
      <c r="I138" s="14" t="s">
        <v>152</v>
      </c>
      <c r="J138" s="14" t="s">
        <v>3247</v>
      </c>
      <c r="K138" s="18">
        <f>HYPERLINK("https://app.hubspot.com/contacts/8748051/record/0-2/39658829577", 39658829577)</f>
        <v>39658829577</v>
      </c>
      <c r="L138" s="14" t="s">
        <v>726</v>
      </c>
      <c r="M138" s="18" t="s">
        <v>727</v>
      </c>
      <c r="N138" s="23">
        <f>HYPERLINK("https://app.hubspot.com/contacts/8748051/record/0-3/43942831434", 43942831434)</f>
        <v>43942831434</v>
      </c>
      <c r="O138" s="14" t="s">
        <v>725</v>
      </c>
      <c r="P138" s="14" t="s">
        <v>124</v>
      </c>
      <c r="Q138" s="14">
        <v>25000.0</v>
      </c>
      <c r="R138" s="14" t="b">
        <v>1</v>
      </c>
      <c r="S138" s="24" t="str">
        <f t="shared" ref="S138:U138" si="140">IF(E138&lt;&gt;"","Yes","")</f>
        <v>Yes</v>
      </c>
      <c r="T138" s="24" t="str">
        <f t="shared" si="140"/>
        <v>Yes</v>
      </c>
      <c r="U138" s="24" t="str">
        <f t="shared" si="140"/>
        <v>Yes</v>
      </c>
      <c r="V138" s="24" t="str">
        <f t="shared" si="3"/>
        <v/>
      </c>
      <c r="W138" s="14" t="str">
        <f t="shared" si="4"/>
        <v/>
      </c>
    </row>
    <row r="139" ht="14.25" customHeight="1">
      <c r="A139" s="18">
        <f>HYPERLINK("https://app.hubspot.com/contacts/8748051/record/0-1/159569494540", 159569494540)</f>
        <v>159569494540</v>
      </c>
      <c r="B139" s="14" t="s">
        <v>3514</v>
      </c>
      <c r="C139" s="16">
        <v>45929.701875</v>
      </c>
      <c r="D139" s="14"/>
      <c r="E139" s="32">
        <v>45930.0</v>
      </c>
      <c r="F139" s="32">
        <v>45945.0</v>
      </c>
      <c r="G139" s="32">
        <v>45945.0</v>
      </c>
      <c r="H139" s="14" t="s">
        <v>3515</v>
      </c>
      <c r="I139" s="14" t="s">
        <v>3237</v>
      </c>
      <c r="J139" s="14"/>
      <c r="K139" s="18">
        <f>HYPERLINK("https://app.hubspot.com/contacts/8748051/record/0-2/40573152920", 40573152920)</f>
        <v>40573152920</v>
      </c>
      <c r="L139" s="14" t="s">
        <v>675</v>
      </c>
      <c r="M139" s="18" t="s">
        <v>676</v>
      </c>
      <c r="N139" s="23">
        <f>HYPERLINK("https://app.hubspot.com/contacts/8748051/record/0-3/45116551543", 45116551543)</f>
        <v>45116551543</v>
      </c>
      <c r="O139" s="14" t="s">
        <v>674</v>
      </c>
      <c r="P139" s="14" t="s">
        <v>124</v>
      </c>
      <c r="Q139" s="14">
        <v>6000.0</v>
      </c>
      <c r="R139" s="14" t="b">
        <v>1</v>
      </c>
      <c r="S139" s="24" t="str">
        <f t="shared" ref="S139:U139" si="141">IF(E139&lt;&gt;"","Yes","")</f>
        <v>Yes</v>
      </c>
      <c r="T139" s="24" t="str">
        <f t="shared" si="141"/>
        <v>Yes</v>
      </c>
      <c r="U139" s="24" t="str">
        <f t="shared" si="141"/>
        <v>Yes</v>
      </c>
      <c r="V139" s="24" t="str">
        <f t="shared" si="3"/>
        <v/>
      </c>
      <c r="W139" s="14" t="str">
        <f t="shared" si="4"/>
        <v/>
      </c>
    </row>
    <row r="140" ht="14.25" customHeight="1">
      <c r="A140" s="18">
        <f>HYPERLINK("https://app.hubspot.com/contacts/8748051/record/0-1/158974498660", 158974498660)</f>
        <v>158974498660</v>
      </c>
      <c r="B140" s="14" t="s">
        <v>3516</v>
      </c>
      <c r="C140" s="16">
        <v>45927.41596064815</v>
      </c>
      <c r="D140" s="16"/>
      <c r="E140" s="32">
        <v>45927.0</v>
      </c>
      <c r="F140" s="32">
        <v>45930.0</v>
      </c>
      <c r="G140" s="32">
        <v>45930.0</v>
      </c>
      <c r="H140" s="14" t="s">
        <v>3252</v>
      </c>
      <c r="I140" s="14" t="s">
        <v>3237</v>
      </c>
      <c r="J140" s="14" t="s">
        <v>3338</v>
      </c>
      <c r="K140" s="18">
        <f>HYPERLINK("https://app.hubspot.com/contacts/8748051/record/0-2/40360210872", 40360210872)</f>
        <v>40360210872</v>
      </c>
      <c r="L140" s="14" t="s">
        <v>684</v>
      </c>
      <c r="M140" s="18" t="s">
        <v>685</v>
      </c>
      <c r="N140" s="23">
        <f>HYPERLINK("https://app.hubspot.com/contacts/8748051/record/0-3/44844133543", 44844133543)</f>
        <v>44844133543</v>
      </c>
      <c r="O140" s="14" t="s">
        <v>683</v>
      </c>
      <c r="P140" s="14" t="s">
        <v>118</v>
      </c>
      <c r="Q140" s="14">
        <v>0.0</v>
      </c>
      <c r="R140" s="14"/>
      <c r="S140" s="24" t="str">
        <f t="shared" ref="S140:U140" si="142">IF(E140&lt;&gt;"","Yes","")</f>
        <v>Yes</v>
      </c>
      <c r="T140" s="24" t="str">
        <f t="shared" si="142"/>
        <v>Yes</v>
      </c>
      <c r="U140" s="24" t="str">
        <f t="shared" si="142"/>
        <v>Yes</v>
      </c>
      <c r="V140" s="24" t="str">
        <f t="shared" si="3"/>
        <v/>
      </c>
      <c r="W140" s="14" t="str">
        <f t="shared" si="4"/>
        <v/>
      </c>
    </row>
    <row r="141" ht="14.25" customHeight="1">
      <c r="A141" s="18">
        <f>HYPERLINK("https://app.hubspot.com/contacts/8748051/record/0-1/163614350690", 163614350690)</f>
        <v>163614350690</v>
      </c>
      <c r="B141" s="14" t="s">
        <v>3517</v>
      </c>
      <c r="C141" s="16">
        <v>45925.536631944444</v>
      </c>
      <c r="D141" s="14"/>
      <c r="E141" s="32">
        <v>45925.0</v>
      </c>
      <c r="F141" s="32">
        <v>45930.0</v>
      </c>
      <c r="G141" s="32">
        <v>45930.0</v>
      </c>
      <c r="H141" s="14" t="s">
        <v>3518</v>
      </c>
      <c r="I141" s="14" t="s">
        <v>3470</v>
      </c>
      <c r="J141" s="14"/>
      <c r="K141" s="18">
        <f>HYPERLINK("https://app.hubspot.com/contacts/8748051/record/0-2/9186997870", 9186997870)</f>
        <v>9186997870</v>
      </c>
      <c r="L141" s="14" t="s">
        <v>691</v>
      </c>
      <c r="M141" s="18" t="s">
        <v>692</v>
      </c>
      <c r="N141" s="23">
        <f>HYPERLINK("https://app.hubspot.com/contacts/8748051/record/0-3/17905546143", 17905546143)</f>
        <v>17905546143</v>
      </c>
      <c r="O141" s="14" t="s">
        <v>2127</v>
      </c>
      <c r="P141" s="14" t="s">
        <v>118</v>
      </c>
      <c r="Q141" s="14">
        <v>11280.0</v>
      </c>
      <c r="R141" s="14"/>
      <c r="S141" s="24" t="str">
        <f t="shared" ref="S141:U141" si="143">IF(E141&lt;&gt;"","Yes","")</f>
        <v>Yes</v>
      </c>
      <c r="T141" s="24" t="str">
        <f t="shared" si="143"/>
        <v>Yes</v>
      </c>
      <c r="U141" s="24" t="str">
        <f t="shared" si="143"/>
        <v>Yes</v>
      </c>
      <c r="V141" s="24" t="str">
        <f t="shared" si="3"/>
        <v/>
      </c>
      <c r="W141" s="14" t="str">
        <f t="shared" si="4"/>
        <v/>
      </c>
    </row>
    <row r="142" ht="14.25" customHeight="1">
      <c r="A142" s="18">
        <f>HYPERLINK("https://app.hubspot.com/contacts/8748051/record/0-1/145084734867", 145084734867)</f>
        <v>145084734867</v>
      </c>
      <c r="B142" s="14" t="s">
        <v>3519</v>
      </c>
      <c r="C142" s="16">
        <v>45925.420625</v>
      </c>
      <c r="D142" s="14"/>
      <c r="E142" s="32">
        <v>45925.0</v>
      </c>
      <c r="F142" s="32">
        <v>45932.0</v>
      </c>
      <c r="G142" s="32">
        <v>45932.0</v>
      </c>
      <c r="H142" s="14" t="s">
        <v>3520</v>
      </c>
      <c r="I142" s="14" t="s">
        <v>3240</v>
      </c>
      <c r="J142" s="14"/>
      <c r="K142" s="18">
        <f>HYPERLINK("https://app.hubspot.com/contacts/8748051/record/0-2/40210067266", 40210067266)</f>
        <v>40210067266</v>
      </c>
      <c r="L142" s="14" t="s">
        <v>697</v>
      </c>
      <c r="M142" s="18" t="s">
        <v>698</v>
      </c>
      <c r="N142" s="23">
        <f>HYPERLINK("https://app.hubspot.com/contacts/8748051/record/0-3/44501843533", 44501843533)</f>
        <v>44501843533</v>
      </c>
      <c r="O142" s="14" t="s">
        <v>696</v>
      </c>
      <c r="P142" s="14" t="s">
        <v>124</v>
      </c>
      <c r="Q142" s="14">
        <v>0.0</v>
      </c>
      <c r="R142" s="14" t="b">
        <v>1</v>
      </c>
      <c r="S142" s="24" t="str">
        <f t="shared" ref="S142:U142" si="144">IF(E142&lt;&gt;"","Yes","")</f>
        <v>Yes</v>
      </c>
      <c r="T142" s="24" t="str">
        <f t="shared" si="144"/>
        <v>Yes</v>
      </c>
      <c r="U142" s="24" t="str">
        <f t="shared" si="144"/>
        <v>Yes</v>
      </c>
      <c r="V142" s="24" t="str">
        <f t="shared" si="3"/>
        <v/>
      </c>
      <c r="W142" s="14" t="str">
        <f t="shared" si="4"/>
        <v/>
      </c>
    </row>
    <row r="143" ht="14.25" customHeight="1">
      <c r="A143" s="18">
        <f>HYPERLINK("https://app.hubspot.com/contacts/8748051/record/0-1/158188357977", 158188357977)</f>
        <v>158188357977</v>
      </c>
      <c r="B143" s="14" t="s">
        <v>3521</v>
      </c>
      <c r="C143" s="16">
        <v>45924.57606481481</v>
      </c>
      <c r="D143" s="14"/>
      <c r="E143" s="32">
        <v>45924.0</v>
      </c>
      <c r="F143" s="32">
        <v>45929.0</v>
      </c>
      <c r="G143" s="32">
        <v>45929.0</v>
      </c>
      <c r="H143" s="14" t="s">
        <v>3522</v>
      </c>
      <c r="I143" s="14" t="s">
        <v>3250</v>
      </c>
      <c r="J143" s="14"/>
      <c r="K143" s="18">
        <f>HYPERLINK("https://app.hubspot.com/contacts/8748051/record/0-2/40061927186", 40061927186)</f>
        <v>40061927186</v>
      </c>
      <c r="L143" s="14" t="s">
        <v>700</v>
      </c>
      <c r="M143" s="18" t="s">
        <v>701</v>
      </c>
      <c r="N143" s="23">
        <f>HYPERLINK("https://app.hubspot.com/contacts/8748051/record/0-3/44388175650", 44388175650)</f>
        <v>44388175650</v>
      </c>
      <c r="O143" s="14" t="s">
        <v>699</v>
      </c>
      <c r="P143" s="14" t="s">
        <v>124</v>
      </c>
      <c r="Q143" s="14">
        <v>15000.0</v>
      </c>
      <c r="R143" s="14" t="b">
        <v>1</v>
      </c>
      <c r="S143" s="24" t="str">
        <f t="shared" ref="S143:U143" si="145">IF(E143&lt;&gt;"","Yes","")</f>
        <v>Yes</v>
      </c>
      <c r="T143" s="24" t="str">
        <f t="shared" si="145"/>
        <v>Yes</v>
      </c>
      <c r="U143" s="24" t="str">
        <f t="shared" si="145"/>
        <v>Yes</v>
      </c>
      <c r="V143" s="24" t="str">
        <f t="shared" si="3"/>
        <v/>
      </c>
      <c r="W143" s="14" t="str">
        <f t="shared" si="4"/>
        <v/>
      </c>
    </row>
    <row r="144" ht="14.25" customHeight="1">
      <c r="A144" s="18">
        <f>HYPERLINK("https://app.hubspot.com/contacts/8748051/record/0-1/154520894990", 154520894990)</f>
        <v>154520894990</v>
      </c>
      <c r="B144" s="14" t="s">
        <v>3523</v>
      </c>
      <c r="C144" s="16">
        <v>45924.327685185184</v>
      </c>
      <c r="D144" s="16"/>
      <c r="E144" s="32">
        <v>45924.0</v>
      </c>
      <c r="F144" s="32">
        <v>45926.0</v>
      </c>
      <c r="G144" s="32">
        <v>45926.0</v>
      </c>
      <c r="H144" s="14" t="s">
        <v>3524</v>
      </c>
      <c r="I144" s="14" t="s">
        <v>3237</v>
      </c>
      <c r="J144" s="14"/>
      <c r="K144" s="18">
        <f>HYPERLINK("https://app.hubspot.com/contacts/8748051/record/0-2/40070535474", 40070535474)</f>
        <v>40070535474</v>
      </c>
      <c r="L144" s="14" t="s">
        <v>703</v>
      </c>
      <c r="M144" s="18" t="s">
        <v>704</v>
      </c>
      <c r="N144" s="23">
        <f>HYPERLINK("https://app.hubspot.com/contacts/8748051/record/0-3/44433420045", 44433420045)</f>
        <v>44433420045</v>
      </c>
      <c r="O144" s="14" t="s">
        <v>702</v>
      </c>
      <c r="P144" s="14" t="s">
        <v>118</v>
      </c>
      <c r="Q144" s="14">
        <v>0.0</v>
      </c>
      <c r="R144" s="14"/>
      <c r="S144" s="24" t="str">
        <f t="shared" ref="S144:U144" si="146">IF(E144&lt;&gt;"","Yes","")</f>
        <v>Yes</v>
      </c>
      <c r="T144" s="24" t="str">
        <f t="shared" si="146"/>
        <v>Yes</v>
      </c>
      <c r="U144" s="24" t="str">
        <f t="shared" si="146"/>
        <v>Yes</v>
      </c>
      <c r="V144" s="24" t="str">
        <f t="shared" si="3"/>
        <v/>
      </c>
      <c r="W144" s="14" t="str">
        <f t="shared" si="4"/>
        <v/>
      </c>
    </row>
    <row r="145" ht="14.25" customHeight="1">
      <c r="A145" s="18">
        <f>HYPERLINK("https://app.hubspot.com/contacts/8748051/record/0-1/53483862660", 53483862660)</f>
        <v>53483862660</v>
      </c>
      <c r="B145" s="14" t="s">
        <v>3525</v>
      </c>
      <c r="C145" s="16">
        <v>45923.63982638889</v>
      </c>
      <c r="D145" s="14"/>
      <c r="E145" s="32">
        <v>45924.0</v>
      </c>
      <c r="F145" s="32">
        <v>45931.0</v>
      </c>
      <c r="G145" s="32">
        <v>45931.0</v>
      </c>
      <c r="H145" s="14" t="s">
        <v>3355</v>
      </c>
      <c r="I145" s="14" t="s">
        <v>3237</v>
      </c>
      <c r="J145" s="14"/>
      <c r="K145" s="18">
        <f>HYPERLINK("https://app.hubspot.com/contacts/8748051/record/0-2/18354000145", 18354000145)</f>
        <v>18354000145</v>
      </c>
      <c r="L145" s="14" t="s">
        <v>706</v>
      </c>
      <c r="M145" s="18" t="s">
        <v>707</v>
      </c>
      <c r="N145" s="23">
        <f>HYPERLINK("https://app.hubspot.com/contacts/8748051/record/0-3/44390795530", 44390795530)</f>
        <v>44390795530</v>
      </c>
      <c r="O145" s="14" t="s">
        <v>705</v>
      </c>
      <c r="P145" s="14" t="s">
        <v>124</v>
      </c>
      <c r="Q145" s="14">
        <v>10000.0</v>
      </c>
      <c r="R145" s="14" t="b">
        <v>1</v>
      </c>
      <c r="S145" s="24" t="str">
        <f t="shared" ref="S145:U145" si="147">IF(E145&lt;&gt;"","Yes","")</f>
        <v>Yes</v>
      </c>
      <c r="T145" s="24" t="str">
        <f t="shared" si="147"/>
        <v>Yes</v>
      </c>
      <c r="U145" s="24" t="str">
        <f t="shared" si="147"/>
        <v>Yes</v>
      </c>
      <c r="V145" s="24" t="str">
        <f t="shared" si="3"/>
        <v/>
      </c>
      <c r="W145" s="14" t="str">
        <f t="shared" si="4"/>
        <v/>
      </c>
    </row>
    <row r="146" ht="14.25" customHeight="1">
      <c r="A146" s="18">
        <f>HYPERLINK("https://app.hubspot.com/contacts/8748051/record/0-1/156691378440", 156691378440)</f>
        <v>156691378440</v>
      </c>
      <c r="B146" s="14" t="s">
        <v>3526</v>
      </c>
      <c r="C146" s="16">
        <v>45919.46341435185</v>
      </c>
      <c r="D146" s="14"/>
      <c r="E146" s="32">
        <v>45919.0</v>
      </c>
      <c r="F146" s="32">
        <v>45924.0</v>
      </c>
      <c r="G146" s="32">
        <v>45924.0</v>
      </c>
      <c r="H146" s="14" t="s">
        <v>3261</v>
      </c>
      <c r="I146" s="14" t="s">
        <v>152</v>
      </c>
      <c r="J146" s="14" t="s">
        <v>3247</v>
      </c>
      <c r="K146" s="18">
        <f>HYPERLINK("https://app.hubspot.com/contacts/8748051/record/0-2/39658829577", 39658829577)</f>
        <v>39658829577</v>
      </c>
      <c r="L146" s="14" t="s">
        <v>726</v>
      </c>
      <c r="M146" s="18" t="s">
        <v>727</v>
      </c>
      <c r="N146" s="23">
        <f>HYPERLINK("https://app.hubspot.com/contacts/8748051/record/0-3/43942831434", 43942831434)</f>
        <v>43942831434</v>
      </c>
      <c r="O146" s="14" t="s">
        <v>725</v>
      </c>
      <c r="P146" s="14" t="s">
        <v>124</v>
      </c>
      <c r="Q146" s="14">
        <v>25000.0</v>
      </c>
      <c r="R146" s="14" t="b">
        <v>1</v>
      </c>
      <c r="S146" s="24" t="str">
        <f t="shared" ref="S146:U146" si="148">IF(E146&lt;&gt;"","Yes","")</f>
        <v>Yes</v>
      </c>
      <c r="T146" s="24" t="str">
        <f t="shared" si="148"/>
        <v>Yes</v>
      </c>
      <c r="U146" s="24" t="str">
        <f t="shared" si="148"/>
        <v>Yes</v>
      </c>
      <c r="V146" s="24" t="str">
        <f t="shared" si="3"/>
        <v/>
      </c>
      <c r="W146" s="14" t="str">
        <f t="shared" si="4"/>
        <v/>
      </c>
    </row>
    <row r="147" ht="14.25" customHeight="1">
      <c r="A147" s="18">
        <f>HYPERLINK("https://app.hubspot.com/contacts/8748051/record/0-1/156613026207", 156613026207)</f>
        <v>156613026207</v>
      </c>
      <c r="B147" s="14" t="s">
        <v>3527</v>
      </c>
      <c r="C147" s="16">
        <v>45919.29950231482</v>
      </c>
      <c r="D147" s="14"/>
      <c r="E147" s="32">
        <v>45919.0</v>
      </c>
      <c r="F147" s="32">
        <v>45922.0</v>
      </c>
      <c r="G147" s="32">
        <v>45922.0</v>
      </c>
      <c r="H147" s="14" t="s">
        <v>3296</v>
      </c>
      <c r="I147" s="14" t="s">
        <v>3237</v>
      </c>
      <c r="J147" s="14"/>
      <c r="K147" s="18">
        <f>HYPERLINK("https://app.hubspot.com/contacts/8748051/record/0-2/39616251562", 39616251562)</f>
        <v>39616251562</v>
      </c>
      <c r="L147" s="14" t="s">
        <v>729</v>
      </c>
      <c r="M147" s="18" t="s">
        <v>730</v>
      </c>
      <c r="N147" s="23">
        <f>HYPERLINK("https://app.hubspot.com/contacts/8748051/record/0-3/43906616068", 43906616068)</f>
        <v>43906616068</v>
      </c>
      <c r="O147" s="14" t="s">
        <v>728</v>
      </c>
      <c r="P147" s="14" t="s">
        <v>124</v>
      </c>
      <c r="Q147" s="14">
        <v>9500.0</v>
      </c>
      <c r="R147" s="14" t="b">
        <v>1</v>
      </c>
      <c r="S147" s="24" t="str">
        <f t="shared" ref="S147:U147" si="149">IF(E147&lt;&gt;"","Yes","")</f>
        <v>Yes</v>
      </c>
      <c r="T147" s="24" t="str">
        <f t="shared" si="149"/>
        <v>Yes</v>
      </c>
      <c r="U147" s="24" t="str">
        <f t="shared" si="149"/>
        <v>Yes</v>
      </c>
      <c r="V147" s="24" t="str">
        <f t="shared" si="3"/>
        <v/>
      </c>
      <c r="W147" s="14" t="str">
        <f t="shared" si="4"/>
        <v/>
      </c>
    </row>
    <row r="148" ht="14.25" customHeight="1">
      <c r="A148" s="18">
        <f>HYPERLINK("https://app.hubspot.com/contacts/8748051/record/0-1/178301", 178301)</f>
        <v>178301</v>
      </c>
      <c r="B148" s="14" t="s">
        <v>3528</v>
      </c>
      <c r="C148" s="16">
        <v>45919.26976851852</v>
      </c>
      <c r="D148" s="14"/>
      <c r="E148" s="32">
        <v>45919.0</v>
      </c>
      <c r="F148" s="32">
        <v>45926.0</v>
      </c>
      <c r="G148" s="32">
        <v>45926.0</v>
      </c>
      <c r="H148" s="14" t="s">
        <v>3529</v>
      </c>
      <c r="I148" s="14" t="s">
        <v>3246</v>
      </c>
      <c r="J148" s="14"/>
      <c r="K148" s="18">
        <f>HYPERLINK("https://app.hubspot.com/contacts/8748051/record/0-2/6816616587", 6816616587)</f>
        <v>6816616587</v>
      </c>
      <c r="L148" s="14" t="s">
        <v>723</v>
      </c>
      <c r="M148" s="18" t="s">
        <v>724</v>
      </c>
      <c r="N148" s="23">
        <f>HYPERLINK("https://app.hubspot.com/contacts/8748051/record/0-3/43937008921", 43937008921)</f>
        <v>43937008921</v>
      </c>
      <c r="O148" s="14" t="s">
        <v>721</v>
      </c>
      <c r="P148" s="14" t="s">
        <v>146</v>
      </c>
      <c r="Q148" s="14">
        <v>24500.0</v>
      </c>
      <c r="R148" s="14" t="b">
        <v>1</v>
      </c>
      <c r="S148" s="24" t="str">
        <f t="shared" ref="S148:U148" si="150">IF(E148&lt;&gt;"","Yes","")</f>
        <v>Yes</v>
      </c>
      <c r="T148" s="24" t="str">
        <f t="shared" si="150"/>
        <v>Yes</v>
      </c>
      <c r="U148" s="24" t="str">
        <f t="shared" si="150"/>
        <v>Yes</v>
      </c>
      <c r="V148" s="24" t="str">
        <f t="shared" si="3"/>
        <v/>
      </c>
      <c r="W148" s="14" t="str">
        <f t="shared" si="4"/>
        <v>Yes</v>
      </c>
    </row>
    <row r="149" ht="14.25" customHeight="1">
      <c r="A149" s="18">
        <f>HYPERLINK("https://app.hubspot.com/contacts/8748051/record/0-1/156506956702", 156506956702)</f>
        <v>156506956702</v>
      </c>
      <c r="B149" s="14" t="s">
        <v>3530</v>
      </c>
      <c r="C149" s="16">
        <v>45918.81773148148</v>
      </c>
      <c r="D149" s="14"/>
      <c r="E149" s="32">
        <v>45919.0</v>
      </c>
      <c r="F149" s="32">
        <v>45923.0</v>
      </c>
      <c r="G149" s="32">
        <v>45923.0</v>
      </c>
      <c r="H149" s="14" t="s">
        <v>1071</v>
      </c>
      <c r="I149" s="14" t="s">
        <v>3240</v>
      </c>
      <c r="J149" s="14"/>
      <c r="K149" s="18">
        <f>HYPERLINK("https://app.hubspot.com/contacts/8748051/record/0-2/44493161811", 44493161811)</f>
        <v>44493161811</v>
      </c>
      <c r="L149" s="14" t="s">
        <v>732</v>
      </c>
      <c r="M149" s="18" t="s">
        <v>733</v>
      </c>
      <c r="N149" s="23">
        <f>HYPERLINK("https://app.hubspot.com/contacts/8748051/record/0-3/43908394920", 43908394920)</f>
        <v>43908394920</v>
      </c>
      <c r="O149" s="14" t="s">
        <v>731</v>
      </c>
      <c r="P149" s="14" t="s">
        <v>124</v>
      </c>
      <c r="Q149" s="14">
        <v>50000.0</v>
      </c>
      <c r="R149" s="14" t="b">
        <v>1</v>
      </c>
      <c r="S149" s="24" t="str">
        <f t="shared" ref="S149:U149" si="151">IF(E149&lt;&gt;"","Yes","")</f>
        <v>Yes</v>
      </c>
      <c r="T149" s="24" t="str">
        <f t="shared" si="151"/>
        <v>Yes</v>
      </c>
      <c r="U149" s="24" t="str">
        <f t="shared" si="151"/>
        <v>Yes</v>
      </c>
      <c r="V149" s="24" t="str">
        <f t="shared" si="3"/>
        <v/>
      </c>
      <c r="W149" s="14" t="str">
        <f t="shared" si="4"/>
        <v/>
      </c>
    </row>
    <row r="150" ht="14.25" customHeight="1">
      <c r="A150" s="18">
        <f>HYPERLINK("https://app.hubspot.com/contacts/8748051/record/0-1/156331708984", 156331708984)</f>
        <v>156331708984</v>
      </c>
      <c r="B150" s="14" t="s">
        <v>3531</v>
      </c>
      <c r="C150" s="16">
        <v>45918.20515046296</v>
      </c>
      <c r="D150" s="14"/>
      <c r="E150" s="32">
        <v>45968.0</v>
      </c>
      <c r="F150" s="32">
        <v>45975.0</v>
      </c>
      <c r="G150" s="32">
        <v>45975.0</v>
      </c>
      <c r="H150" s="14" t="s">
        <v>3532</v>
      </c>
      <c r="I150" s="14" t="s">
        <v>152</v>
      </c>
      <c r="J150" s="14"/>
      <c r="K150" s="18">
        <f>HYPERLINK("https://app.hubspot.com/contacts/8748051/record/0-2/8816890039", 8816890039)</f>
        <v>8816890039</v>
      </c>
      <c r="L150" s="14" t="s">
        <v>736</v>
      </c>
      <c r="M150" s="18" t="s">
        <v>737</v>
      </c>
      <c r="N150" s="23">
        <f>HYPERLINK("https://app.hubspot.com/contacts/8748051/record/0-3/43873250321", 43873250321)</f>
        <v>43873250321</v>
      </c>
      <c r="O150" s="14" t="s">
        <v>734</v>
      </c>
      <c r="P150" s="14" t="s">
        <v>146</v>
      </c>
      <c r="Q150" s="14">
        <v>50000.0</v>
      </c>
      <c r="R150" s="14" t="b">
        <v>1</v>
      </c>
      <c r="S150" s="24" t="str">
        <f t="shared" ref="S150:U150" si="152">IF(E150&lt;&gt;"","Yes","")</f>
        <v>Yes</v>
      </c>
      <c r="T150" s="24" t="str">
        <f t="shared" si="152"/>
        <v>Yes</v>
      </c>
      <c r="U150" s="24" t="str">
        <f t="shared" si="152"/>
        <v>Yes</v>
      </c>
      <c r="V150" s="24" t="str">
        <f t="shared" si="3"/>
        <v/>
      </c>
      <c r="W150" s="14" t="str">
        <f t="shared" si="4"/>
        <v>Yes</v>
      </c>
    </row>
    <row r="151" ht="14.25" customHeight="1">
      <c r="A151" s="18">
        <f>HYPERLINK("https://app.hubspot.com/contacts/8748051/record/0-1/156045796740", 156045796740)</f>
        <v>156045796740</v>
      </c>
      <c r="B151" s="14" t="s">
        <v>3533</v>
      </c>
      <c r="C151" s="16">
        <v>45917.1446875</v>
      </c>
      <c r="D151" s="14"/>
      <c r="E151" s="32">
        <v>45917.0</v>
      </c>
      <c r="F151" s="32">
        <v>45923.0</v>
      </c>
      <c r="G151" s="32"/>
      <c r="H151" s="14" t="s">
        <v>3534</v>
      </c>
      <c r="I151" s="14" t="s">
        <v>152</v>
      </c>
      <c r="J151" s="14"/>
      <c r="K151" s="18">
        <f>HYPERLINK("https://app.hubspot.com/contacts/8748051/record/0-2/20925995561", 20925995561)</f>
        <v>20925995561</v>
      </c>
      <c r="L151" s="14" t="s">
        <v>746</v>
      </c>
      <c r="M151" s="18" t="s">
        <v>747</v>
      </c>
      <c r="N151" s="23">
        <f>HYPERLINK("https://app.hubspot.com/contacts/8748051/record/0-3/43853328764", 43853328764)</f>
        <v>43853328764</v>
      </c>
      <c r="O151" s="14" t="s">
        <v>745</v>
      </c>
      <c r="P151" s="14" t="s">
        <v>118</v>
      </c>
      <c r="Q151" s="14">
        <v>14000.0</v>
      </c>
      <c r="R151" s="14"/>
      <c r="S151" s="24" t="str">
        <f t="shared" ref="S151:U151" si="153">IF(E151&lt;&gt;"","Yes","")</f>
        <v>Yes</v>
      </c>
      <c r="T151" s="24" t="str">
        <f t="shared" si="153"/>
        <v>Yes</v>
      </c>
      <c r="U151" s="24" t="str">
        <f t="shared" si="153"/>
        <v/>
      </c>
      <c r="V151" s="24" t="str">
        <f t="shared" si="3"/>
        <v/>
      </c>
      <c r="W151" s="14" t="str">
        <f t="shared" si="4"/>
        <v/>
      </c>
    </row>
    <row r="152" ht="14.25" customHeight="1">
      <c r="A152" s="18">
        <f>HYPERLINK("https://app.hubspot.com/contacts/8748051/record/0-1/155444872842", 155444872842)</f>
        <v>155444872842</v>
      </c>
      <c r="B152" s="14" t="s">
        <v>3535</v>
      </c>
      <c r="C152" s="16">
        <v>45915.34508101852</v>
      </c>
      <c r="D152" s="14" t="s">
        <v>3304</v>
      </c>
      <c r="E152" s="32"/>
      <c r="F152" s="32"/>
      <c r="G152" s="32"/>
      <c r="H152" s="14" t="s">
        <v>3536</v>
      </c>
      <c r="I152" s="14"/>
      <c r="J152" s="14"/>
      <c r="K152" s="18">
        <f>HYPERLINK("https://app.hubspot.com/contacts/8748051/record/0-2/39424808991", 39424808991)</f>
        <v>39424808991</v>
      </c>
      <c r="L152" s="14" t="s">
        <v>3537</v>
      </c>
      <c r="M152" s="18" t="s">
        <v>3538</v>
      </c>
      <c r="N152" s="24"/>
      <c r="O152" s="14"/>
      <c r="P152" s="14"/>
      <c r="Q152" s="14"/>
      <c r="R152" s="14"/>
      <c r="S152" s="24" t="str">
        <f t="shared" ref="S152:U152" si="154">IF(E152&lt;&gt;"","Yes","")</f>
        <v/>
      </c>
      <c r="T152" s="24" t="str">
        <f t="shared" si="154"/>
        <v/>
      </c>
      <c r="U152" s="24" t="str">
        <f t="shared" si="154"/>
        <v/>
      </c>
      <c r="V152" s="24" t="str">
        <f t="shared" si="3"/>
        <v/>
      </c>
      <c r="W152" s="14" t="str">
        <f t="shared" si="4"/>
        <v/>
      </c>
    </row>
    <row r="153" ht="14.25" customHeight="1">
      <c r="A153" s="18">
        <f>HYPERLINK("https://app.hubspot.com/contacts/8748051/record/0-1/155369192012", 155369192012)</f>
        <v>155369192012</v>
      </c>
      <c r="B153" s="14" t="s">
        <v>3539</v>
      </c>
      <c r="C153" s="16">
        <v>45915.20866898148</v>
      </c>
      <c r="D153" s="14"/>
      <c r="E153" s="32">
        <v>45915.0</v>
      </c>
      <c r="F153" s="32">
        <v>45929.0</v>
      </c>
      <c r="G153" s="32"/>
      <c r="H153" s="14" t="s">
        <v>3252</v>
      </c>
      <c r="I153" s="14" t="s">
        <v>3237</v>
      </c>
      <c r="J153" s="14"/>
      <c r="K153" s="18">
        <f>HYPERLINK("https://app.hubspot.com/contacts/8748051/record/0-2/9238305910", 9238305910)</f>
        <v>9238305910</v>
      </c>
      <c r="L153" s="14" t="s">
        <v>749</v>
      </c>
      <c r="M153" s="18" t="s">
        <v>750</v>
      </c>
      <c r="N153" s="23">
        <f>HYPERLINK("https://app.hubspot.com/contacts/8748051/record/0-3/43719652211", 43719652211)</f>
        <v>43719652211</v>
      </c>
      <c r="O153" s="14" t="s">
        <v>748</v>
      </c>
      <c r="P153" s="14" t="s">
        <v>118</v>
      </c>
      <c r="Q153" s="14">
        <v>21500.0</v>
      </c>
      <c r="R153" s="14"/>
      <c r="S153" s="24" t="str">
        <f t="shared" ref="S153:U153" si="155">IF(E153&lt;&gt;"","Yes","")</f>
        <v>Yes</v>
      </c>
      <c r="T153" s="24" t="str">
        <f t="shared" si="155"/>
        <v>Yes</v>
      </c>
      <c r="U153" s="24" t="str">
        <f t="shared" si="155"/>
        <v/>
      </c>
      <c r="V153" s="24" t="str">
        <f t="shared" si="3"/>
        <v/>
      </c>
      <c r="W153" s="14" t="str">
        <f t="shared" si="4"/>
        <v/>
      </c>
    </row>
    <row r="154" ht="14.25" customHeight="1">
      <c r="A154" s="18">
        <f>HYPERLINK("https://app.hubspot.com/contacts/8748051/record/0-1/155050041688", 155050041688)</f>
        <v>155050041688</v>
      </c>
      <c r="B154" s="14" t="s">
        <v>3540</v>
      </c>
      <c r="C154" s="16">
        <v>45913.454375</v>
      </c>
      <c r="D154" s="14" t="s">
        <v>3304</v>
      </c>
      <c r="E154" s="32"/>
      <c r="F154" s="32"/>
      <c r="G154" s="32"/>
      <c r="H154" s="14" t="s">
        <v>3541</v>
      </c>
      <c r="I154" s="14"/>
      <c r="J154" s="14"/>
      <c r="K154" s="18">
        <f>HYPERLINK("https://app.hubspot.com/contacts/8748051/record/0-2/39424909605", 39424909605)</f>
        <v>39424909605</v>
      </c>
      <c r="L154" s="14" t="s">
        <v>3542</v>
      </c>
      <c r="M154" s="18" t="s">
        <v>3543</v>
      </c>
      <c r="N154" s="24"/>
      <c r="O154" s="14"/>
      <c r="P154" s="14"/>
      <c r="Q154" s="14"/>
      <c r="R154" s="14"/>
      <c r="S154" s="24" t="str">
        <f t="shared" ref="S154:U154" si="156">IF(E154&lt;&gt;"","Yes","")</f>
        <v/>
      </c>
      <c r="T154" s="24" t="str">
        <f t="shared" si="156"/>
        <v/>
      </c>
      <c r="U154" s="24" t="str">
        <f t="shared" si="156"/>
        <v/>
      </c>
      <c r="V154" s="24" t="str">
        <f t="shared" si="3"/>
        <v/>
      </c>
      <c r="W154" s="14" t="str">
        <f t="shared" si="4"/>
        <v/>
      </c>
    </row>
    <row r="155" ht="14.25" customHeight="1">
      <c r="A155" s="18">
        <f>HYPERLINK("https://app.hubspot.com/contacts/8748051/record/0-1/154672233006", 154672233006)</f>
        <v>154672233006</v>
      </c>
      <c r="B155" s="14" t="s">
        <v>3544</v>
      </c>
      <c r="C155" s="16">
        <v>45911.85873842592</v>
      </c>
      <c r="D155" s="16"/>
      <c r="E155" s="32">
        <v>45912.0</v>
      </c>
      <c r="F155" s="32">
        <v>45917.0</v>
      </c>
      <c r="G155" s="32">
        <v>45917.0</v>
      </c>
      <c r="H155" s="14" t="s">
        <v>3545</v>
      </c>
      <c r="I155" s="14" t="s">
        <v>152</v>
      </c>
      <c r="J155" s="14"/>
      <c r="K155" s="18">
        <f>HYPERLINK("https://app.hubspot.com/contacts/8748051/record/0-2/39354506623", 39354506623)</f>
        <v>39354506623</v>
      </c>
      <c r="L155" s="14" t="s">
        <v>756</v>
      </c>
      <c r="M155" s="18" t="s">
        <v>757</v>
      </c>
      <c r="N155" s="18">
        <f>HYPERLINK("https://app.hubspot.com/contacts/8748051/record/0-3/43640783017", 43640783017)</f>
        <v>43640783017</v>
      </c>
      <c r="O155" s="14" t="s">
        <v>754</v>
      </c>
      <c r="P155" s="14" t="s">
        <v>89</v>
      </c>
      <c r="Q155" s="14">
        <v>10000.0</v>
      </c>
      <c r="R155" s="14" t="b">
        <v>1</v>
      </c>
      <c r="S155" s="24" t="str">
        <f t="shared" ref="S155:U155" si="157">IF(E155&lt;&gt;"","Yes","")</f>
        <v>Yes</v>
      </c>
      <c r="T155" s="24" t="str">
        <f t="shared" si="157"/>
        <v>Yes</v>
      </c>
      <c r="U155" s="24" t="str">
        <f t="shared" si="157"/>
        <v>Yes</v>
      </c>
      <c r="V155" s="24" t="str">
        <f t="shared" si="3"/>
        <v>Yes</v>
      </c>
      <c r="W155" s="14" t="str">
        <f t="shared" si="4"/>
        <v/>
      </c>
    </row>
    <row r="156" ht="14.25" customHeight="1">
      <c r="A156" s="18">
        <f>HYPERLINK("https://app.hubspot.com/contacts/8748051/record/0-1/154651092054", 154651092054)</f>
        <v>154651092054</v>
      </c>
      <c r="B156" s="14" t="s">
        <v>3546</v>
      </c>
      <c r="C156" s="16">
        <v>45911.78224537037</v>
      </c>
      <c r="D156" s="14"/>
      <c r="E156" s="32">
        <v>45912.0</v>
      </c>
      <c r="F156" s="32">
        <v>45916.0</v>
      </c>
      <c r="G156" s="32">
        <v>45916.0</v>
      </c>
      <c r="H156" s="14" t="s">
        <v>3547</v>
      </c>
      <c r="I156" s="14" t="s">
        <v>3235</v>
      </c>
      <c r="J156" s="14"/>
      <c r="K156" s="18">
        <f>HYPERLINK("https://app.hubspot.com/contacts/8748051/record/0-2/9238323308", 9238323308)</f>
        <v>9238323308</v>
      </c>
      <c r="L156" s="14" t="s">
        <v>752</v>
      </c>
      <c r="M156" s="18" t="s">
        <v>753</v>
      </c>
      <c r="N156" s="23">
        <f>HYPERLINK("https://app.hubspot.com/contacts/8748051/record/0-3/43653756229", 43653756229)</f>
        <v>43653756229</v>
      </c>
      <c r="O156" s="14" t="s">
        <v>751</v>
      </c>
      <c r="P156" s="14" t="s">
        <v>124</v>
      </c>
      <c r="Q156" s="14">
        <v>22000.0</v>
      </c>
      <c r="R156" s="14" t="b">
        <v>1</v>
      </c>
      <c r="S156" s="24" t="str">
        <f t="shared" ref="S156:U156" si="158">IF(E156&lt;&gt;"","Yes","")</f>
        <v>Yes</v>
      </c>
      <c r="T156" s="24" t="str">
        <f t="shared" si="158"/>
        <v>Yes</v>
      </c>
      <c r="U156" s="24" t="str">
        <f t="shared" si="158"/>
        <v>Yes</v>
      </c>
      <c r="V156" s="24" t="str">
        <f t="shared" si="3"/>
        <v/>
      </c>
      <c r="W156" s="14" t="str">
        <f t="shared" si="4"/>
        <v/>
      </c>
    </row>
    <row r="157" ht="14.25" customHeight="1">
      <c r="A157" s="18">
        <f>HYPERLINK("https://app.hubspot.com/contacts/8748051/record/0-1/158484378208", 158484378208)</f>
        <v>158484378208</v>
      </c>
      <c r="B157" s="14" t="s">
        <v>3548</v>
      </c>
      <c r="C157" s="16">
        <v>45910.553125</v>
      </c>
      <c r="D157" s="16"/>
      <c r="E157" s="32">
        <v>45910.0</v>
      </c>
      <c r="F157" s="32"/>
      <c r="G157" s="32"/>
      <c r="H157" s="14" t="s">
        <v>3308</v>
      </c>
      <c r="I157" s="14" t="s">
        <v>3237</v>
      </c>
      <c r="J157" s="14" t="s">
        <v>3549</v>
      </c>
      <c r="K157" s="18">
        <f>HYPERLINK("https://app.hubspot.com/contacts/8748051/record/0-2/15759773545", 15759773545)</f>
        <v>15759773545</v>
      </c>
      <c r="L157" s="14" t="s">
        <v>1417</v>
      </c>
      <c r="M157" s="18" t="s">
        <v>1418</v>
      </c>
      <c r="N157" s="14"/>
      <c r="O157" s="14"/>
      <c r="P157" s="14"/>
      <c r="Q157" s="14"/>
      <c r="R157" s="14"/>
      <c r="S157" s="24" t="str">
        <f t="shared" ref="S157:U157" si="159">IF(E157&lt;&gt;"","Yes","")</f>
        <v>Yes</v>
      </c>
      <c r="T157" s="24" t="str">
        <f t="shared" si="159"/>
        <v/>
      </c>
      <c r="U157" s="24" t="str">
        <f t="shared" si="159"/>
        <v/>
      </c>
      <c r="V157" s="24" t="str">
        <f t="shared" si="3"/>
        <v/>
      </c>
      <c r="W157" s="14" t="str">
        <f t="shared" si="4"/>
        <v/>
      </c>
    </row>
    <row r="158" ht="14.25" customHeight="1">
      <c r="A158" s="18">
        <f>HYPERLINK("https://app.hubspot.com/contacts/8748051/record/0-1/153821714866", 153821714866)</f>
        <v>153821714866</v>
      </c>
      <c r="B158" s="14" t="s">
        <v>3550</v>
      </c>
      <c r="C158" s="16">
        <v>45908.65300925926</v>
      </c>
      <c r="D158" s="14"/>
      <c r="E158" s="32">
        <v>45909.0</v>
      </c>
      <c r="F158" s="32">
        <v>45913.0</v>
      </c>
      <c r="G158" s="32">
        <v>45913.0</v>
      </c>
      <c r="H158" s="14" t="s">
        <v>3551</v>
      </c>
      <c r="I158" s="14" t="s">
        <v>152</v>
      </c>
      <c r="J158" s="14" t="s">
        <v>3247</v>
      </c>
      <c r="K158" s="18">
        <f>HYPERLINK("https://app.hubspot.com/contacts/8748051/record/0-2/42295909988", 42295909988)</f>
        <v>42295909988</v>
      </c>
      <c r="L158" s="14" t="s">
        <v>761</v>
      </c>
      <c r="M158" s="18" t="s">
        <v>762</v>
      </c>
      <c r="N158" s="23">
        <f>HYPERLINK("https://app.hubspot.com/contacts/8748051/record/0-3/43504578083", 43504578083)</f>
        <v>43504578083</v>
      </c>
      <c r="O158" s="14" t="s">
        <v>759</v>
      </c>
      <c r="P158" s="14" t="s">
        <v>89</v>
      </c>
      <c r="Q158" s="14">
        <v>17500.0</v>
      </c>
      <c r="R158" s="14" t="b">
        <v>1</v>
      </c>
      <c r="S158" s="24" t="str">
        <f t="shared" ref="S158:U158" si="160">IF(E158&lt;&gt;"","Yes","")</f>
        <v>Yes</v>
      </c>
      <c r="T158" s="24" t="str">
        <f t="shared" si="160"/>
        <v>Yes</v>
      </c>
      <c r="U158" s="24" t="str">
        <f t="shared" si="160"/>
        <v>Yes</v>
      </c>
      <c r="V158" s="24" t="str">
        <f t="shared" si="3"/>
        <v>Yes</v>
      </c>
      <c r="W158" s="14" t="str">
        <f t="shared" si="4"/>
        <v/>
      </c>
    </row>
    <row r="159" ht="14.25" customHeight="1">
      <c r="A159" s="18">
        <f>HYPERLINK("https://app.hubspot.com/contacts/8748051/record/0-1/2837103", 2837103)</f>
        <v>2837103</v>
      </c>
      <c r="B159" s="14" t="s">
        <v>3552</v>
      </c>
      <c r="C159" s="16">
        <v>45905.83975694444</v>
      </c>
      <c r="D159" s="14"/>
      <c r="E159" s="32">
        <v>45906.0</v>
      </c>
      <c r="F159" s="32">
        <v>45910.0</v>
      </c>
      <c r="G159" s="32">
        <v>45910.0</v>
      </c>
      <c r="H159" s="14" t="s">
        <v>3553</v>
      </c>
      <c r="I159" s="14" t="s">
        <v>152</v>
      </c>
      <c r="J159" s="14" t="s">
        <v>3554</v>
      </c>
      <c r="K159" s="18">
        <f>HYPERLINK("https://app.hubspot.com/contacts/8748051/record/0-2/10198110024", 10198110024)</f>
        <v>10198110024</v>
      </c>
      <c r="L159" s="14" t="s">
        <v>765</v>
      </c>
      <c r="M159" s="18" t="s">
        <v>766</v>
      </c>
      <c r="N159" s="23">
        <f>HYPERLINK("https://app.hubspot.com/contacts/8748051/record/0-3/43407730434", 43407730434)</f>
        <v>43407730434</v>
      </c>
      <c r="O159" s="14" t="s">
        <v>764</v>
      </c>
      <c r="P159" s="14" t="s">
        <v>124</v>
      </c>
      <c r="Q159" s="14">
        <v>20000.0</v>
      </c>
      <c r="R159" s="14" t="b">
        <v>1</v>
      </c>
      <c r="S159" s="24" t="str">
        <f t="shared" ref="S159:U159" si="161">IF(E159&lt;&gt;"","Yes","")</f>
        <v>Yes</v>
      </c>
      <c r="T159" s="24" t="str">
        <f t="shared" si="161"/>
        <v>Yes</v>
      </c>
      <c r="U159" s="24" t="str">
        <f t="shared" si="161"/>
        <v>Yes</v>
      </c>
      <c r="V159" s="24" t="str">
        <f t="shared" si="3"/>
        <v/>
      </c>
      <c r="W159" s="14" t="str">
        <f t="shared" si="4"/>
        <v/>
      </c>
    </row>
    <row r="160" ht="14.25" customHeight="1">
      <c r="A160" s="18">
        <f>HYPERLINK("https://app.hubspot.com/contacts/8748051/record/0-1/153210789806", 153210789806)</f>
        <v>153210789806</v>
      </c>
      <c r="B160" s="14" t="s">
        <v>3555</v>
      </c>
      <c r="C160" s="16">
        <v>45905.60092592592</v>
      </c>
      <c r="D160" s="14"/>
      <c r="E160" s="32">
        <v>45905.0</v>
      </c>
      <c r="F160" s="32">
        <v>45909.0</v>
      </c>
      <c r="G160" s="32">
        <v>45909.0</v>
      </c>
      <c r="H160" s="14" t="s">
        <v>3556</v>
      </c>
      <c r="I160" s="14" t="s">
        <v>152</v>
      </c>
      <c r="J160" s="24"/>
      <c r="K160" s="18">
        <f>HYPERLINK("https://app.hubspot.com/contacts/8748051/record/0-2/39182619295", 39182619295)</f>
        <v>39182619295</v>
      </c>
      <c r="L160" s="14" t="s">
        <v>772</v>
      </c>
      <c r="M160" s="18" t="s">
        <v>773</v>
      </c>
      <c r="N160" s="23">
        <f>HYPERLINK("https://app.hubspot.com/contacts/8748051/record/0-3/43418805132", 43418805132)</f>
        <v>43418805132</v>
      </c>
      <c r="O160" s="14" t="s">
        <v>770</v>
      </c>
      <c r="P160" s="14" t="s">
        <v>124</v>
      </c>
      <c r="Q160" s="14">
        <v>22500.0</v>
      </c>
      <c r="R160" s="14" t="b">
        <v>1</v>
      </c>
      <c r="S160" s="24" t="str">
        <f t="shared" ref="S160:U160" si="162">IF(E160&lt;&gt;"","Yes","")</f>
        <v>Yes</v>
      </c>
      <c r="T160" s="24" t="str">
        <f t="shared" si="162"/>
        <v>Yes</v>
      </c>
      <c r="U160" s="24" t="str">
        <f t="shared" si="162"/>
        <v>Yes</v>
      </c>
      <c r="V160" s="24" t="str">
        <f t="shared" si="3"/>
        <v/>
      </c>
      <c r="W160" s="14" t="str">
        <f t="shared" si="4"/>
        <v/>
      </c>
    </row>
    <row r="161" ht="14.25" customHeight="1">
      <c r="A161" s="18">
        <f>HYPERLINK("https://app.hubspot.com/contacts/8748051/record/0-1/152825829377", 152825829377)</f>
        <v>152825829377</v>
      </c>
      <c r="B161" s="14" t="s">
        <v>3557</v>
      </c>
      <c r="C161" s="16">
        <v>45904.17768518518</v>
      </c>
      <c r="D161" s="14"/>
      <c r="E161" s="32">
        <v>45904.0</v>
      </c>
      <c r="F161" s="32">
        <v>45912.0</v>
      </c>
      <c r="G161" s="32">
        <v>45912.0</v>
      </c>
      <c r="H161" s="14" t="s">
        <v>3558</v>
      </c>
      <c r="I161" s="14" t="s">
        <v>152</v>
      </c>
      <c r="J161" s="24"/>
      <c r="K161" s="18">
        <f>HYPERLINK("https://app.hubspot.com/contacts/8748051/record/0-2/19176728720", 19176728720)</f>
        <v>19176728720</v>
      </c>
      <c r="L161" s="14" t="s">
        <v>779</v>
      </c>
      <c r="M161" s="18" t="s">
        <v>780</v>
      </c>
      <c r="N161" s="23">
        <f>HYPERLINK("https://app.hubspot.com/contacts/8748051/record/0-3/43827765270", 43827765270)</f>
        <v>43827765270</v>
      </c>
      <c r="O161" s="14" t="s">
        <v>778</v>
      </c>
      <c r="P161" s="14" t="s">
        <v>124</v>
      </c>
      <c r="Q161" s="14">
        <v>25000.0</v>
      </c>
      <c r="R161" s="14" t="b">
        <v>1</v>
      </c>
      <c r="S161" s="24" t="str">
        <f t="shared" ref="S161:U161" si="163">IF(E161&lt;&gt;"","Yes","")</f>
        <v>Yes</v>
      </c>
      <c r="T161" s="24" t="str">
        <f t="shared" si="163"/>
        <v>Yes</v>
      </c>
      <c r="U161" s="24" t="str">
        <f t="shared" si="163"/>
        <v>Yes</v>
      </c>
      <c r="V161" s="24" t="str">
        <f t="shared" si="3"/>
        <v/>
      </c>
      <c r="W161" s="14" t="str">
        <f t="shared" si="4"/>
        <v/>
      </c>
    </row>
    <row r="162" ht="14.25" customHeight="1">
      <c r="A162" s="18">
        <f>HYPERLINK("https://app.hubspot.com/contacts/8748051/record/0-1/152449620505", 152449620505)</f>
        <v>152449620505</v>
      </c>
      <c r="B162" s="14" t="s">
        <v>3559</v>
      </c>
      <c r="C162" s="16">
        <v>45902.68738425926</v>
      </c>
      <c r="D162" s="14"/>
      <c r="E162" s="32">
        <v>45903.0</v>
      </c>
      <c r="F162" s="32">
        <v>45903.0</v>
      </c>
      <c r="G162" s="32"/>
      <c r="H162" s="14" t="s">
        <v>3560</v>
      </c>
      <c r="I162" s="14" t="s">
        <v>3235</v>
      </c>
      <c r="J162" s="24"/>
      <c r="K162" s="18">
        <f>HYPERLINK("https://app.hubspot.com/contacts/8748051/record/0-2/9238251109", 9238251109)</f>
        <v>9238251109</v>
      </c>
      <c r="L162" s="14" t="s">
        <v>782</v>
      </c>
      <c r="M162" s="18" t="s">
        <v>783</v>
      </c>
      <c r="N162" s="23">
        <f>HYPERLINK("https://app.hubspot.com/contacts/8748051/record/0-3/43284912510", 43284912510)</f>
        <v>43284912510</v>
      </c>
      <c r="O162" s="14" t="s">
        <v>781</v>
      </c>
      <c r="P162" s="14" t="s">
        <v>124</v>
      </c>
      <c r="Q162" s="14">
        <v>19500.0</v>
      </c>
      <c r="R162" s="14"/>
      <c r="S162" s="24" t="str">
        <f t="shared" ref="S162:U162" si="164">IF(E162&lt;&gt;"","Yes","")</f>
        <v>Yes</v>
      </c>
      <c r="T162" s="24" t="str">
        <f t="shared" si="164"/>
        <v>Yes</v>
      </c>
      <c r="U162" s="24" t="str">
        <f t="shared" si="164"/>
        <v/>
      </c>
      <c r="V162" s="24" t="str">
        <f t="shared" si="3"/>
        <v/>
      </c>
      <c r="W162" s="14" t="str">
        <f t="shared" si="4"/>
        <v/>
      </c>
    </row>
    <row r="163" ht="14.25" customHeight="1">
      <c r="A163" s="18">
        <f>HYPERLINK("https://app.hubspot.com/contacts/8748051/record/0-1/152352762116", 152352762116)</f>
        <v>152352762116</v>
      </c>
      <c r="B163" s="14" t="s">
        <v>3561</v>
      </c>
      <c r="C163" s="16">
        <v>45902.41957175926</v>
      </c>
      <c r="D163" s="14"/>
      <c r="E163" s="32">
        <v>45902.0</v>
      </c>
      <c r="F163" s="32">
        <v>45909.0</v>
      </c>
      <c r="G163" s="32">
        <v>45909.0</v>
      </c>
      <c r="H163" s="14" t="s">
        <v>3562</v>
      </c>
      <c r="I163" s="14" t="s">
        <v>3250</v>
      </c>
      <c r="J163" s="24"/>
      <c r="K163" s="18">
        <f>HYPERLINK("https://app.hubspot.com/contacts/8748051/record/0-2/7165296547", 7165296547)</f>
        <v>7165296547</v>
      </c>
      <c r="L163" s="14" t="s">
        <v>785</v>
      </c>
      <c r="M163" s="18" t="s">
        <v>786</v>
      </c>
      <c r="N163" s="23">
        <f>HYPERLINK("https://app.hubspot.com/contacts/8748051/record/0-3/43270768272", 43270768272)</f>
        <v>43270768272</v>
      </c>
      <c r="O163" s="14" t="s">
        <v>784</v>
      </c>
      <c r="P163" s="14" t="s">
        <v>326</v>
      </c>
      <c r="Q163" s="14">
        <v>33000.0</v>
      </c>
      <c r="R163" s="14" t="b">
        <v>1</v>
      </c>
      <c r="S163" s="24" t="str">
        <f t="shared" ref="S163:U163" si="165">IF(E163&lt;&gt;"","Yes","")</f>
        <v>Yes</v>
      </c>
      <c r="T163" s="24" t="str">
        <f t="shared" si="165"/>
        <v>Yes</v>
      </c>
      <c r="U163" s="24" t="str">
        <f t="shared" si="165"/>
        <v>Yes</v>
      </c>
      <c r="V163" s="24" t="str">
        <f t="shared" si="3"/>
        <v/>
      </c>
      <c r="W163" s="14" t="str">
        <f t="shared" si="4"/>
        <v/>
      </c>
    </row>
    <row r="164" ht="14.25" customHeight="1">
      <c r="A164" s="18">
        <f>HYPERLINK("https://app.hubspot.com/contacts/8748051/record/0-1/152202476067", 152202476067)</f>
        <v>152202476067</v>
      </c>
      <c r="B164" s="14" t="s">
        <v>3563</v>
      </c>
      <c r="C164" s="16">
        <v>45901.79659722222</v>
      </c>
      <c r="D164" s="14"/>
      <c r="E164" s="32">
        <v>45902.0</v>
      </c>
      <c r="F164" s="32">
        <v>45902.0</v>
      </c>
      <c r="G164" s="32">
        <v>45902.0</v>
      </c>
      <c r="H164" s="14" t="s">
        <v>3564</v>
      </c>
      <c r="I164" s="14" t="s">
        <v>3237</v>
      </c>
      <c r="J164" s="24"/>
      <c r="K164" s="18">
        <f>HYPERLINK("https://app.hubspot.com/contacts/8748051/record/0-2/9238380169", 9238380169)</f>
        <v>9238380169</v>
      </c>
      <c r="L164" s="14" t="s">
        <v>768</v>
      </c>
      <c r="M164" s="18" t="s">
        <v>769</v>
      </c>
      <c r="N164" s="23">
        <f>HYPERLINK("https://app.hubspot.com/contacts/8748051/record/0-3/43374235921", 43374235921)</f>
        <v>43374235921</v>
      </c>
      <c r="O164" s="14" t="s">
        <v>767</v>
      </c>
      <c r="P164" s="14" t="s">
        <v>118</v>
      </c>
      <c r="Q164" s="14">
        <v>0.0</v>
      </c>
      <c r="R164" s="14"/>
      <c r="S164" s="24" t="str">
        <f t="shared" ref="S164:U164" si="166">IF(E164&lt;&gt;"","Yes","")</f>
        <v>Yes</v>
      </c>
      <c r="T164" s="24" t="str">
        <f t="shared" si="166"/>
        <v>Yes</v>
      </c>
      <c r="U164" s="24" t="str">
        <f t="shared" si="166"/>
        <v>Yes</v>
      </c>
      <c r="V164" s="24" t="str">
        <f t="shared" si="3"/>
        <v/>
      </c>
      <c r="W164" s="14" t="str">
        <f t="shared" si="4"/>
        <v/>
      </c>
    </row>
    <row r="165" ht="14.25" customHeight="1">
      <c r="A165" s="18">
        <f>HYPERLINK("https://app.hubspot.com/contacts/8748051/record/0-1/151780847130", 151780847130)</f>
        <v>151780847130</v>
      </c>
      <c r="B165" s="14" t="s">
        <v>3565</v>
      </c>
      <c r="C165" s="16">
        <v>45900.168587962966</v>
      </c>
      <c r="D165" s="14"/>
      <c r="E165" s="32">
        <v>45900.0</v>
      </c>
      <c r="F165" s="32"/>
      <c r="G165" s="32"/>
      <c r="H165" s="14" t="s">
        <v>3252</v>
      </c>
      <c r="I165" s="14" t="s">
        <v>3237</v>
      </c>
      <c r="J165" s="14"/>
      <c r="K165" s="18">
        <f>HYPERLINK("https://app.hubspot.com/contacts/8748051/record/0-2/38953881706", 38953881706)</f>
        <v>38953881706</v>
      </c>
      <c r="L165" s="14" t="s">
        <v>3566</v>
      </c>
      <c r="M165" s="18" t="s">
        <v>3567</v>
      </c>
      <c r="N165" s="14"/>
      <c r="O165" s="14"/>
      <c r="P165" s="14"/>
      <c r="Q165" s="14"/>
      <c r="R165" s="14"/>
      <c r="S165" s="24" t="str">
        <f t="shared" ref="S165:U165" si="167">IF(E165&lt;&gt;"","Yes","")</f>
        <v>Yes</v>
      </c>
      <c r="T165" s="24" t="str">
        <f t="shared" si="167"/>
        <v/>
      </c>
      <c r="U165" s="24" t="str">
        <f t="shared" si="167"/>
        <v/>
      </c>
      <c r="V165" s="24" t="str">
        <f t="shared" si="3"/>
        <v/>
      </c>
      <c r="W165" s="14" t="str">
        <f t="shared" si="4"/>
        <v/>
      </c>
    </row>
    <row r="166" ht="14.25" customHeight="1">
      <c r="A166" s="18">
        <f>HYPERLINK("https://app.hubspot.com/contacts/8748051/record/0-1/150302491267", 150302491267)</f>
        <v>150302491267</v>
      </c>
      <c r="B166" s="14" t="s">
        <v>3568</v>
      </c>
      <c r="C166" s="16">
        <v>45897.64540509259</v>
      </c>
      <c r="D166" s="14"/>
      <c r="E166" s="32">
        <v>45898.0</v>
      </c>
      <c r="F166" s="32">
        <v>45916.0</v>
      </c>
      <c r="G166" s="32">
        <v>45916.0</v>
      </c>
      <c r="H166" s="14" t="s">
        <v>3569</v>
      </c>
      <c r="I166" s="14" t="s">
        <v>152</v>
      </c>
      <c r="J166" s="14"/>
      <c r="K166" s="18">
        <f>HYPERLINK("https://app.hubspot.com/contacts/8748051/record/0-2/9238334353", 9238334353)</f>
        <v>9238334353</v>
      </c>
      <c r="L166" s="14" t="s">
        <v>792</v>
      </c>
      <c r="M166" s="18" t="s">
        <v>793</v>
      </c>
      <c r="N166" s="23">
        <f>HYPERLINK("https://app.hubspot.com/contacts/8748051/record/0-3/43739681136", 43739681136)</f>
        <v>43739681136</v>
      </c>
      <c r="O166" s="14" t="s">
        <v>791</v>
      </c>
      <c r="P166" s="14" t="s">
        <v>50</v>
      </c>
      <c r="Q166" s="14">
        <v>100000.0</v>
      </c>
      <c r="R166" s="14" t="b">
        <v>1</v>
      </c>
      <c r="S166" s="24" t="str">
        <f t="shared" ref="S166:U166" si="168">IF(E166&lt;&gt;"","Yes","")</f>
        <v>Yes</v>
      </c>
      <c r="T166" s="24" t="str">
        <f t="shared" si="168"/>
        <v>Yes</v>
      </c>
      <c r="U166" s="24" t="str">
        <f t="shared" si="168"/>
        <v>Yes</v>
      </c>
      <c r="V166" s="24" t="str">
        <f t="shared" si="3"/>
        <v/>
      </c>
      <c r="W166" s="14" t="str">
        <f t="shared" si="4"/>
        <v/>
      </c>
    </row>
    <row r="167" ht="14.25" customHeight="1">
      <c r="A167" s="18">
        <f>HYPERLINK("https://app.hubspot.com/contacts/8748051/record/0-1/161382153774", 161382153774)</f>
        <v>161382153774</v>
      </c>
      <c r="B167" s="14" t="s">
        <v>3570</v>
      </c>
      <c r="C167" s="16">
        <v>45897.43111111111</v>
      </c>
      <c r="D167" s="14" t="s">
        <v>3304</v>
      </c>
      <c r="E167" s="32"/>
      <c r="F167" s="32"/>
      <c r="G167" s="32"/>
      <c r="H167" s="14" t="s">
        <v>3571</v>
      </c>
      <c r="I167" s="14"/>
      <c r="J167" s="14"/>
      <c r="K167" s="18">
        <f>HYPERLINK("https://app.hubspot.com/contacts/8748051/record/0-2/38834456403", 38834456403)</f>
        <v>38834456403</v>
      </c>
      <c r="L167" s="14" t="s">
        <v>3572</v>
      </c>
      <c r="M167" s="18" t="s">
        <v>3573</v>
      </c>
      <c r="N167" s="24"/>
      <c r="O167" s="14"/>
      <c r="P167" s="14"/>
      <c r="Q167" s="14"/>
      <c r="R167" s="14"/>
      <c r="S167" s="24" t="str">
        <f t="shared" ref="S167:U167" si="169">IF(E167&lt;&gt;"","Yes","")</f>
        <v/>
      </c>
      <c r="T167" s="24" t="str">
        <f t="shared" si="169"/>
        <v/>
      </c>
      <c r="U167" s="24" t="str">
        <f t="shared" si="169"/>
        <v/>
      </c>
      <c r="V167" s="24" t="str">
        <f t="shared" si="3"/>
        <v/>
      </c>
      <c r="W167" s="14" t="str">
        <f t="shared" si="4"/>
        <v/>
      </c>
    </row>
    <row r="168" ht="14.25" customHeight="1">
      <c r="A168" s="18">
        <f>HYPERLINK("https://app.hubspot.com/contacts/8748051/record/0-1/150452158047", 150452158047)</f>
        <v>150452158047</v>
      </c>
      <c r="B168" s="14" t="s">
        <v>3574</v>
      </c>
      <c r="C168" s="16">
        <v>45895.10420138889</v>
      </c>
      <c r="D168" s="14"/>
      <c r="E168" s="32">
        <v>45929.0</v>
      </c>
      <c r="F168" s="32">
        <v>45912.0</v>
      </c>
      <c r="G168" s="32"/>
      <c r="H168" s="14" t="s">
        <v>3575</v>
      </c>
      <c r="I168" s="14" t="s">
        <v>152</v>
      </c>
      <c r="J168" s="14"/>
      <c r="K168" s="18">
        <f>HYPERLINK("https://app.hubspot.com/contacts/8748051/record/0-2/38710820780", 38710820780)</f>
        <v>38710820780</v>
      </c>
      <c r="L168" s="14" t="s">
        <v>694</v>
      </c>
      <c r="M168" s="18" t="s">
        <v>695</v>
      </c>
      <c r="N168" s="23">
        <f>HYPERLINK("https://app.hubspot.com/contacts/8748051/record/0-3/44491129487", 44491129487)</f>
        <v>44491129487</v>
      </c>
      <c r="O168" s="14" t="s">
        <v>693</v>
      </c>
      <c r="P168" s="14" t="s">
        <v>118</v>
      </c>
      <c r="Q168" s="14">
        <v>4500.0</v>
      </c>
      <c r="R168" s="14"/>
      <c r="S168" s="24" t="str">
        <f t="shared" ref="S168:U168" si="170">IF(E168&lt;&gt;"","Yes","")</f>
        <v>Yes</v>
      </c>
      <c r="T168" s="24" t="str">
        <f t="shared" si="170"/>
        <v>Yes</v>
      </c>
      <c r="U168" s="24" t="str">
        <f t="shared" si="170"/>
        <v/>
      </c>
      <c r="V168" s="24" t="str">
        <f t="shared" si="3"/>
        <v/>
      </c>
      <c r="W168" s="14" t="str">
        <f t="shared" si="4"/>
        <v/>
      </c>
    </row>
    <row r="169" ht="14.25" customHeight="1">
      <c r="A169" s="18">
        <f>HYPERLINK("https://app.hubspot.com/contacts/8748051/record/0-1/150219579279", 150219579279)</f>
        <v>150219579279</v>
      </c>
      <c r="B169" s="14" t="s">
        <v>3576</v>
      </c>
      <c r="C169" s="16">
        <v>45894.409479166665</v>
      </c>
      <c r="D169" s="14"/>
      <c r="E169" s="32">
        <v>45894.0</v>
      </c>
      <c r="F169" s="32">
        <v>45897.0</v>
      </c>
      <c r="G169" s="32">
        <v>45897.0</v>
      </c>
      <c r="H169" s="14" t="s">
        <v>3577</v>
      </c>
      <c r="I169" s="14" t="s">
        <v>3237</v>
      </c>
      <c r="J169" s="24"/>
      <c r="K169" s="18">
        <f>HYPERLINK("https://app.hubspot.com/contacts/8748051/record/0-2/38631159351", 38631159351)</f>
        <v>38631159351</v>
      </c>
      <c r="L169" s="14" t="s">
        <v>802</v>
      </c>
      <c r="M169" s="18" t="s">
        <v>803</v>
      </c>
      <c r="N169" s="23">
        <f>HYPERLINK("https://app.hubspot.com/contacts/8748051/record/0-3/42826036055", 42826036055)</f>
        <v>42826036055</v>
      </c>
      <c r="O169" s="14" t="s">
        <v>801</v>
      </c>
      <c r="P169" s="14" t="s">
        <v>118</v>
      </c>
      <c r="Q169" s="14">
        <v>0.0</v>
      </c>
      <c r="R169" s="14"/>
      <c r="S169" s="24" t="str">
        <f t="shared" ref="S169:U169" si="171">IF(E169&lt;&gt;"","Yes","")</f>
        <v>Yes</v>
      </c>
      <c r="T169" s="24" t="str">
        <f t="shared" si="171"/>
        <v>Yes</v>
      </c>
      <c r="U169" s="24" t="str">
        <f t="shared" si="171"/>
        <v>Yes</v>
      </c>
      <c r="V169" s="24" t="str">
        <f t="shared" si="3"/>
        <v/>
      </c>
      <c r="W169" s="14" t="str">
        <f t="shared" si="4"/>
        <v/>
      </c>
    </row>
    <row r="170" ht="14.25" customHeight="1">
      <c r="A170" s="18">
        <f>HYPERLINK("https://app.hubspot.com/contacts/8748051/record/0-1/149558915846", 149558915846)</f>
        <v>149558915846</v>
      </c>
      <c r="B170" s="14" t="s">
        <v>3578</v>
      </c>
      <c r="C170" s="16">
        <v>45894.37935185185</v>
      </c>
      <c r="D170" s="14"/>
      <c r="E170" s="32">
        <v>45894.0</v>
      </c>
      <c r="F170" s="32">
        <v>45897.0</v>
      </c>
      <c r="G170" s="32">
        <v>45897.0</v>
      </c>
      <c r="H170" s="14" t="s">
        <v>3579</v>
      </c>
      <c r="I170" s="14" t="s">
        <v>152</v>
      </c>
      <c r="J170" s="14"/>
      <c r="K170" s="18">
        <f>HYPERLINK("https://app.hubspot.com/contacts/8748051/record/0-2/9016989477", 9016989477)</f>
        <v>9016989477</v>
      </c>
      <c r="L170" s="14" t="s">
        <v>977</v>
      </c>
      <c r="M170" s="18" t="s">
        <v>978</v>
      </c>
      <c r="N170" s="23">
        <f>HYPERLINK("https://app.hubspot.com/contacts/8748051/record/0-3/39019144489", 39019144489)</f>
        <v>39019144489</v>
      </c>
      <c r="O170" s="14" t="s">
        <v>976</v>
      </c>
      <c r="P170" s="14" t="s">
        <v>124</v>
      </c>
      <c r="Q170" s="14">
        <v>70000.0</v>
      </c>
      <c r="R170" s="14" t="b">
        <v>1</v>
      </c>
      <c r="S170" s="24" t="str">
        <f t="shared" ref="S170:U170" si="172">IF(E170&lt;&gt;"","Yes","")</f>
        <v>Yes</v>
      </c>
      <c r="T170" s="24" t="str">
        <f t="shared" si="172"/>
        <v>Yes</v>
      </c>
      <c r="U170" s="24" t="str">
        <f t="shared" si="172"/>
        <v>Yes</v>
      </c>
      <c r="V170" s="24" t="str">
        <f t="shared" si="3"/>
        <v/>
      </c>
      <c r="W170" s="14" t="str">
        <f t="shared" si="4"/>
        <v/>
      </c>
    </row>
    <row r="171" ht="14.25" customHeight="1">
      <c r="A171" s="18">
        <f>HYPERLINK("https://app.hubspot.com/contacts/8748051/record/0-1/149878472282", 149878472282)</f>
        <v>149878472282</v>
      </c>
      <c r="B171" s="14" t="s">
        <v>3580</v>
      </c>
      <c r="C171" s="16">
        <v>45892.66454861111</v>
      </c>
      <c r="D171" s="14" t="s">
        <v>3581</v>
      </c>
      <c r="E171" s="32"/>
      <c r="F171" s="32"/>
      <c r="G171" s="32"/>
      <c r="H171" s="14" t="s">
        <v>3582</v>
      </c>
      <c r="I171" s="14"/>
      <c r="J171" s="14"/>
      <c r="K171" s="18">
        <f>HYPERLINK("https://app.hubspot.com/contacts/8748051/record/0-2/38593981865", 38593981865)</f>
        <v>38593981865</v>
      </c>
      <c r="L171" s="14" t="s">
        <v>3583</v>
      </c>
      <c r="M171" s="18" t="s">
        <v>3584</v>
      </c>
      <c r="N171" s="14"/>
      <c r="O171" s="14"/>
      <c r="P171" s="14"/>
      <c r="Q171" s="14"/>
      <c r="R171" s="14"/>
      <c r="S171" s="24" t="str">
        <f t="shared" ref="S171:U171" si="173">IF(E171&lt;&gt;"","Yes","")</f>
        <v/>
      </c>
      <c r="T171" s="24" t="str">
        <f t="shared" si="173"/>
        <v/>
      </c>
      <c r="U171" s="24" t="str">
        <f t="shared" si="173"/>
        <v/>
      </c>
      <c r="V171" s="24" t="str">
        <f t="shared" si="3"/>
        <v/>
      </c>
      <c r="W171" s="14" t="str">
        <f t="shared" si="4"/>
        <v/>
      </c>
    </row>
    <row r="172" ht="14.25" customHeight="1">
      <c r="A172" s="18">
        <f>HYPERLINK("https://app.hubspot.com/contacts/8748051/record/0-1/149316396209", 149316396209)</f>
        <v>149316396209</v>
      </c>
      <c r="B172" s="14" t="s">
        <v>3585</v>
      </c>
      <c r="C172" s="16">
        <v>45890.70214120371</v>
      </c>
      <c r="D172" s="14"/>
      <c r="E172" s="32">
        <v>45891.0</v>
      </c>
      <c r="F172" s="32">
        <v>45895.0</v>
      </c>
      <c r="G172" s="32">
        <v>45895.0</v>
      </c>
      <c r="H172" s="14" t="s">
        <v>3261</v>
      </c>
      <c r="I172" s="14" t="s">
        <v>152</v>
      </c>
      <c r="J172" s="14" t="s">
        <v>3247</v>
      </c>
      <c r="K172" s="18">
        <f>HYPERLINK("https://app.hubspot.com/contacts/8748051/record/0-2/38512368226", 38512368226)</f>
        <v>38512368226</v>
      </c>
      <c r="L172" s="14" t="s">
        <v>805</v>
      </c>
      <c r="M172" s="18" t="s">
        <v>806</v>
      </c>
      <c r="N172" s="18">
        <f>HYPERLINK("https://app.hubspot.com/contacts/8748051/record/0-3/42666529807", 42666529807)</f>
        <v>42666529807</v>
      </c>
      <c r="O172" s="14" t="s">
        <v>804</v>
      </c>
      <c r="P172" s="14" t="s">
        <v>124</v>
      </c>
      <c r="Q172" s="14">
        <v>12000.0</v>
      </c>
      <c r="R172" s="14" t="b">
        <v>1</v>
      </c>
      <c r="S172" s="24" t="str">
        <f t="shared" ref="S172:U172" si="174">IF(E172&lt;&gt;"","Yes","")</f>
        <v>Yes</v>
      </c>
      <c r="T172" s="24" t="str">
        <f t="shared" si="174"/>
        <v>Yes</v>
      </c>
      <c r="U172" s="24" t="str">
        <f t="shared" si="174"/>
        <v>Yes</v>
      </c>
      <c r="V172" s="24" t="str">
        <f t="shared" si="3"/>
        <v/>
      </c>
      <c r="W172" s="14" t="str">
        <f t="shared" si="4"/>
        <v/>
      </c>
    </row>
    <row r="173" ht="14.25" customHeight="1">
      <c r="A173" s="18">
        <f>HYPERLINK("https://app.hubspot.com/contacts/8748051/record/0-1/149272793461", 149272793461)</f>
        <v>149272793461</v>
      </c>
      <c r="B173" s="14" t="s">
        <v>3586</v>
      </c>
      <c r="C173" s="16">
        <v>45890.53480324074</v>
      </c>
      <c r="D173" s="16"/>
      <c r="E173" s="32">
        <v>45890.0</v>
      </c>
      <c r="F173" s="32">
        <v>45891.0</v>
      </c>
      <c r="G173" s="32">
        <v>45891.0</v>
      </c>
      <c r="H173" s="14" t="s">
        <v>3587</v>
      </c>
      <c r="I173" s="14" t="s">
        <v>152</v>
      </c>
      <c r="J173" s="14" t="s">
        <v>3247</v>
      </c>
      <c r="K173" s="18">
        <f>HYPERLINK("https://app.hubspot.com/contacts/8748051/record/0-2/17692579406", 17692579406)</f>
        <v>17692579406</v>
      </c>
      <c r="L173" s="14" t="s">
        <v>808</v>
      </c>
      <c r="M173" s="18" t="s">
        <v>809</v>
      </c>
      <c r="N173" s="23">
        <f>HYPERLINK("https://app.hubspot.com/contacts/8748051/record/0-3/42667854228", 42667854228)</f>
        <v>42667854228</v>
      </c>
      <c r="O173" s="14" t="s">
        <v>807</v>
      </c>
      <c r="P173" s="14" t="s">
        <v>124</v>
      </c>
      <c r="Q173" s="14">
        <v>25000.0</v>
      </c>
      <c r="R173" s="14" t="b">
        <v>1</v>
      </c>
      <c r="S173" s="24" t="str">
        <f t="shared" ref="S173:U173" si="175">IF(E173&lt;&gt;"","Yes","")</f>
        <v>Yes</v>
      </c>
      <c r="T173" s="24" t="str">
        <f t="shared" si="175"/>
        <v>Yes</v>
      </c>
      <c r="U173" s="24" t="str">
        <f t="shared" si="175"/>
        <v>Yes</v>
      </c>
      <c r="V173" s="24" t="str">
        <f t="shared" si="3"/>
        <v/>
      </c>
      <c r="W173" s="14" t="str">
        <f t="shared" si="4"/>
        <v/>
      </c>
    </row>
    <row r="174" ht="14.25" customHeight="1">
      <c r="A174" s="18">
        <f>HYPERLINK("https://app.hubspot.com/contacts/8748051/record/0-1/148449730447", 148449730447)</f>
        <v>148449730447</v>
      </c>
      <c r="B174" s="14" t="s">
        <v>3588</v>
      </c>
      <c r="C174" s="16">
        <v>45888.317824074074</v>
      </c>
      <c r="D174" s="14"/>
      <c r="E174" s="32">
        <v>45888.0</v>
      </c>
      <c r="F174" s="32">
        <v>45892.0</v>
      </c>
      <c r="G174" s="32"/>
      <c r="H174" s="14" t="s">
        <v>3589</v>
      </c>
      <c r="I174" s="14" t="s">
        <v>3237</v>
      </c>
      <c r="J174" s="14"/>
      <c r="K174" s="18">
        <f>HYPERLINK("https://app.hubspot.com/contacts/8748051/record/0-2/38273694055", 38273694055)</f>
        <v>38273694055</v>
      </c>
      <c r="L174" s="14" t="s">
        <v>811</v>
      </c>
      <c r="M174" s="18" t="s">
        <v>812</v>
      </c>
      <c r="N174" s="23">
        <f>HYPERLINK("https://app.hubspot.com/contacts/8748051/record/0-3/42405388646", 42405388646)</f>
        <v>42405388646</v>
      </c>
      <c r="O174" s="14" t="s">
        <v>810</v>
      </c>
      <c r="P174" s="14" t="s">
        <v>118</v>
      </c>
      <c r="Q174" s="14">
        <v>0.0</v>
      </c>
      <c r="R174" s="14"/>
      <c r="S174" s="24" t="str">
        <f t="shared" ref="S174:U174" si="176">IF(E174&lt;&gt;"","Yes","")</f>
        <v>Yes</v>
      </c>
      <c r="T174" s="24" t="str">
        <f t="shared" si="176"/>
        <v>Yes</v>
      </c>
      <c r="U174" s="24" t="str">
        <f t="shared" si="176"/>
        <v/>
      </c>
      <c r="V174" s="24" t="str">
        <f t="shared" si="3"/>
        <v/>
      </c>
      <c r="W174" s="14" t="str">
        <f t="shared" si="4"/>
        <v/>
      </c>
    </row>
    <row r="175" ht="14.25" customHeight="1">
      <c r="A175" s="18">
        <f>HYPERLINK("https://app.hubspot.com/contacts/8748051/record/0-1/148384404317", 148384404317)</f>
        <v>148384404317</v>
      </c>
      <c r="B175" s="14" t="s">
        <v>3590</v>
      </c>
      <c r="C175" s="16">
        <v>45888.1646412037</v>
      </c>
      <c r="D175" s="14"/>
      <c r="E175" s="32">
        <v>45888.0</v>
      </c>
      <c r="F175" s="32">
        <v>45895.0</v>
      </c>
      <c r="G175" s="32">
        <v>45895.0</v>
      </c>
      <c r="H175" s="14" t="s">
        <v>3252</v>
      </c>
      <c r="I175" s="14" t="s">
        <v>3237</v>
      </c>
      <c r="J175" s="24"/>
      <c r="K175" s="18">
        <f>HYPERLINK("https://app.hubspot.com/contacts/8748051/record/0-2/38275083582", 38275083582)</f>
        <v>38275083582</v>
      </c>
      <c r="L175" s="14" t="s">
        <v>814</v>
      </c>
      <c r="M175" s="18" t="s">
        <v>815</v>
      </c>
      <c r="N175" s="18">
        <f>HYPERLINK("https://app.hubspot.com/contacts/8748051/record/0-3/42411650572", 42411650572)</f>
        <v>42411650572</v>
      </c>
      <c r="O175" s="14" t="s">
        <v>813</v>
      </c>
      <c r="P175" s="14" t="s">
        <v>124</v>
      </c>
      <c r="Q175" s="14">
        <v>40000.0</v>
      </c>
      <c r="R175" s="14" t="b">
        <v>1</v>
      </c>
      <c r="S175" s="24" t="str">
        <f t="shared" ref="S175:U175" si="177">IF(E175&lt;&gt;"","Yes","")</f>
        <v>Yes</v>
      </c>
      <c r="T175" s="24" t="str">
        <f t="shared" si="177"/>
        <v>Yes</v>
      </c>
      <c r="U175" s="24" t="str">
        <f t="shared" si="177"/>
        <v>Yes</v>
      </c>
      <c r="V175" s="24" t="str">
        <f t="shared" si="3"/>
        <v/>
      </c>
      <c r="W175" s="14" t="str">
        <f t="shared" si="4"/>
        <v/>
      </c>
    </row>
    <row r="176" ht="14.25" customHeight="1">
      <c r="A176" s="18">
        <f>HYPERLINK("https://app.hubspot.com/contacts/8748051/record/0-1/148363160694", 148363160694)</f>
        <v>148363160694</v>
      </c>
      <c r="B176" s="14" t="s">
        <v>3591</v>
      </c>
      <c r="C176" s="16">
        <v>45888.064421296294</v>
      </c>
      <c r="D176" s="14"/>
      <c r="E176" s="32">
        <v>45888.0</v>
      </c>
      <c r="F176" s="32">
        <v>45895.0</v>
      </c>
      <c r="G176" s="32"/>
      <c r="H176" s="14" t="s">
        <v>3386</v>
      </c>
      <c r="I176" s="14" t="s">
        <v>3237</v>
      </c>
      <c r="J176" s="14"/>
      <c r="K176" s="18">
        <f>HYPERLINK("https://app.hubspot.com/contacts/8748051/record/0-2/19176587355", 19176587355)</f>
        <v>19176587355</v>
      </c>
      <c r="L176" s="14" t="s">
        <v>817</v>
      </c>
      <c r="M176" s="18" t="s">
        <v>818</v>
      </c>
      <c r="N176" s="23">
        <f>HYPERLINK("https://app.hubspot.com/contacts/8748051/record/0-3/42428405315", 42428405315)</f>
        <v>42428405315</v>
      </c>
      <c r="O176" s="14" t="s">
        <v>816</v>
      </c>
      <c r="P176" s="14" t="s">
        <v>118</v>
      </c>
      <c r="Q176" s="14">
        <v>13000.0</v>
      </c>
      <c r="R176" s="14"/>
      <c r="S176" s="24" t="str">
        <f t="shared" ref="S176:U176" si="178">IF(E176&lt;&gt;"","Yes","")</f>
        <v>Yes</v>
      </c>
      <c r="T176" s="24" t="str">
        <f t="shared" si="178"/>
        <v>Yes</v>
      </c>
      <c r="U176" s="24" t="str">
        <f t="shared" si="178"/>
        <v/>
      </c>
      <c r="V176" s="24" t="str">
        <f t="shared" si="3"/>
        <v/>
      </c>
      <c r="W176" s="14" t="str">
        <f t="shared" si="4"/>
        <v/>
      </c>
    </row>
    <row r="177" ht="14.25" customHeight="1">
      <c r="A177" s="18">
        <f>HYPERLINK("https://app.hubspot.com/contacts/8748051/record/0-1/128870803350", 128870803350)</f>
        <v>128870803350</v>
      </c>
      <c r="B177" s="14" t="s">
        <v>3592</v>
      </c>
      <c r="C177" s="16">
        <v>45884.20856481481</v>
      </c>
      <c r="D177" s="14" t="s">
        <v>3593</v>
      </c>
      <c r="E177" s="32"/>
      <c r="F177" s="32"/>
      <c r="G177" s="32"/>
      <c r="H177" s="14" t="s">
        <v>3594</v>
      </c>
      <c r="I177" s="14"/>
      <c r="J177" s="14"/>
      <c r="K177" s="18">
        <f>HYPERLINK("https://app.hubspot.com/contacts/8748051/record/0-2/34993090688", 34993090688)</f>
        <v>34993090688</v>
      </c>
      <c r="L177" s="18" t="s">
        <v>3595</v>
      </c>
      <c r="M177" s="18" t="s">
        <v>3595</v>
      </c>
      <c r="N177" s="24"/>
      <c r="O177" s="14"/>
      <c r="P177" s="14"/>
      <c r="Q177" s="14"/>
      <c r="R177" s="14"/>
      <c r="S177" s="24" t="str">
        <f t="shared" ref="S177:U177" si="179">IF(E177&lt;&gt;"","Yes","")</f>
        <v/>
      </c>
      <c r="T177" s="24" t="str">
        <f t="shared" si="179"/>
        <v/>
      </c>
      <c r="U177" s="24" t="str">
        <f t="shared" si="179"/>
        <v/>
      </c>
      <c r="V177" s="24" t="str">
        <f t="shared" si="3"/>
        <v/>
      </c>
      <c r="W177" s="14" t="str">
        <f t="shared" si="4"/>
        <v/>
      </c>
    </row>
    <row r="178" ht="14.25" customHeight="1">
      <c r="A178" s="18">
        <f>HYPERLINK("https://app.hubspot.com/contacts/8748051/record/0-1/146455071638", 146455071638)</f>
        <v>146455071638</v>
      </c>
      <c r="B178" s="14" t="s">
        <v>3596</v>
      </c>
      <c r="C178" s="16">
        <v>45882.3774537037</v>
      </c>
      <c r="D178" s="14"/>
      <c r="E178" s="32">
        <v>45882.0</v>
      </c>
      <c r="F178" s="32">
        <v>45896.0</v>
      </c>
      <c r="G178" s="32">
        <v>45896.0</v>
      </c>
      <c r="H178" s="14" t="s">
        <v>3252</v>
      </c>
      <c r="I178" s="14" t="s">
        <v>3402</v>
      </c>
      <c r="J178" s="24"/>
      <c r="K178" s="18">
        <f>HYPERLINK("https://app.hubspot.com/contacts/8748051/record/0-2/7681111402", 7681111402)</f>
        <v>7681111402</v>
      </c>
      <c r="L178" s="14" t="s">
        <v>799</v>
      </c>
      <c r="M178" s="18" t="s">
        <v>800</v>
      </c>
      <c r="N178" s="18">
        <f>HYPERLINK("https://app.hubspot.com/contacts/8748051/record/0-3/42847856979", 42847856979)</f>
        <v>42847856979</v>
      </c>
      <c r="O178" s="14" t="s">
        <v>798</v>
      </c>
      <c r="P178" s="14" t="s">
        <v>118</v>
      </c>
      <c r="Q178" s="14">
        <v>100000.0</v>
      </c>
      <c r="R178" s="14"/>
      <c r="S178" s="24" t="str">
        <f t="shared" ref="S178:U178" si="180">IF(E178&lt;&gt;"","Yes","")</f>
        <v>Yes</v>
      </c>
      <c r="T178" s="24" t="str">
        <f t="shared" si="180"/>
        <v>Yes</v>
      </c>
      <c r="U178" s="24" t="str">
        <f t="shared" si="180"/>
        <v>Yes</v>
      </c>
      <c r="V178" s="24" t="str">
        <f t="shared" si="3"/>
        <v/>
      </c>
      <c r="W178" s="14" t="str">
        <f t="shared" si="4"/>
        <v/>
      </c>
    </row>
    <row r="179" ht="14.25" customHeight="1">
      <c r="A179" s="18">
        <f>HYPERLINK("https://app.hubspot.com/contacts/8748051/record/0-1/149276016535", 149276016535)</f>
        <v>149276016535</v>
      </c>
      <c r="B179" s="14" t="s">
        <v>3597</v>
      </c>
      <c r="C179" s="16">
        <v>45881.00855324074</v>
      </c>
      <c r="D179" s="14"/>
      <c r="E179" s="32">
        <v>45881.0</v>
      </c>
      <c r="F179" s="32">
        <v>45882.0</v>
      </c>
      <c r="G179" s="32">
        <v>45882.0</v>
      </c>
      <c r="H179" s="14" t="s">
        <v>3357</v>
      </c>
      <c r="I179" s="14" t="s">
        <v>3235</v>
      </c>
      <c r="J179" s="24"/>
      <c r="K179" s="18">
        <f>HYPERLINK("https://app.hubspot.com/contacts/8748051/record/0-2/37664571821", 37664571821)</f>
        <v>37664571821</v>
      </c>
      <c r="L179" s="14" t="s">
        <v>823</v>
      </c>
      <c r="M179" s="18" t="s">
        <v>824</v>
      </c>
      <c r="N179" s="23">
        <f>HYPERLINK("https://app.hubspot.com/contacts/8748051/record/0-3/41809982898", 41809982898)</f>
        <v>41809982898</v>
      </c>
      <c r="O179" s="14" t="s">
        <v>822</v>
      </c>
      <c r="P179" s="14" t="s">
        <v>124</v>
      </c>
      <c r="Q179" s="14">
        <v>25000.0</v>
      </c>
      <c r="R179" s="14" t="b">
        <v>1</v>
      </c>
      <c r="S179" s="24" t="str">
        <f t="shared" ref="S179:U179" si="181">IF(E179&lt;&gt;"","Yes","")</f>
        <v>Yes</v>
      </c>
      <c r="T179" s="24" t="str">
        <f t="shared" si="181"/>
        <v>Yes</v>
      </c>
      <c r="U179" s="24" t="str">
        <f t="shared" si="181"/>
        <v>Yes</v>
      </c>
      <c r="V179" s="24" t="str">
        <f t="shared" si="3"/>
        <v/>
      </c>
      <c r="W179" s="14" t="str">
        <f t="shared" si="4"/>
        <v/>
      </c>
    </row>
    <row r="180" ht="14.25" customHeight="1">
      <c r="A180" s="18">
        <f>HYPERLINK("https://app.hubspot.com/contacts/8748051/record/0-1/145790618452", 145790618452)</f>
        <v>145790618452</v>
      </c>
      <c r="B180" s="14" t="s">
        <v>3598</v>
      </c>
      <c r="C180" s="16">
        <v>45880.61585648148</v>
      </c>
      <c r="D180" s="14"/>
      <c r="E180" s="32">
        <v>45881.0</v>
      </c>
      <c r="F180" s="32">
        <v>45882.0</v>
      </c>
      <c r="G180" s="32">
        <v>45882.0</v>
      </c>
      <c r="H180" s="14" t="s">
        <v>3384</v>
      </c>
      <c r="I180" s="14" t="s">
        <v>3246</v>
      </c>
      <c r="J180" s="24"/>
      <c r="K180" s="18">
        <f>HYPERLINK("https://app.hubspot.com/contacts/8748051/record/0-2/6816553099", 6816553099)</f>
        <v>6816553099</v>
      </c>
      <c r="L180" s="14" t="s">
        <v>827</v>
      </c>
      <c r="M180" s="18" t="s">
        <v>828</v>
      </c>
      <c r="N180" s="23">
        <f>HYPERLINK("https://app.hubspot.com/contacts/8748051/record/0-3/41785897769", 41785897769)</f>
        <v>41785897769</v>
      </c>
      <c r="O180" s="14" t="s">
        <v>825</v>
      </c>
      <c r="P180" s="14" t="s">
        <v>146</v>
      </c>
      <c r="Q180" s="14">
        <v>15000.0</v>
      </c>
      <c r="R180" s="14" t="b">
        <v>1</v>
      </c>
      <c r="S180" s="24" t="str">
        <f t="shared" ref="S180:U180" si="182">IF(E180&lt;&gt;"","Yes","")</f>
        <v>Yes</v>
      </c>
      <c r="T180" s="24" t="str">
        <f t="shared" si="182"/>
        <v>Yes</v>
      </c>
      <c r="U180" s="24" t="str">
        <f t="shared" si="182"/>
        <v>Yes</v>
      </c>
      <c r="V180" s="24" t="str">
        <f t="shared" si="3"/>
        <v/>
      </c>
      <c r="W180" s="14" t="str">
        <f t="shared" si="4"/>
        <v>Yes</v>
      </c>
    </row>
    <row r="181" ht="14.25" customHeight="1">
      <c r="A181" s="18">
        <f>HYPERLINK("https://app.hubspot.com/contacts/8748051/record/0-1/145793650000", 145793650000)</f>
        <v>145793650000</v>
      </c>
      <c r="B181" s="14" t="s">
        <v>3599</v>
      </c>
      <c r="C181" s="16">
        <v>45880.52951388889</v>
      </c>
      <c r="D181" s="14"/>
      <c r="E181" s="32">
        <v>45887.0</v>
      </c>
      <c r="F181" s="32">
        <v>45889.0</v>
      </c>
      <c r="G181" s="32">
        <v>45889.0</v>
      </c>
      <c r="H181" s="14" t="s">
        <v>3501</v>
      </c>
      <c r="I181" s="14" t="s">
        <v>3237</v>
      </c>
      <c r="J181" s="14"/>
      <c r="K181" s="18">
        <f>HYPERLINK("https://app.hubspot.com/contacts/8748051/record/0-2/20185415273", 20185415273)</f>
        <v>20185415273</v>
      </c>
      <c r="L181" s="14" t="s">
        <v>820</v>
      </c>
      <c r="M181" s="18" t="s">
        <v>821</v>
      </c>
      <c r="N181" s="23">
        <f>HYPERLINK("https://app.hubspot.com/contacts/8748051/record/0-3/42374346529", 42374346529)</f>
        <v>42374346529</v>
      </c>
      <c r="O181" s="14" t="s">
        <v>819</v>
      </c>
      <c r="P181" s="14" t="s">
        <v>124</v>
      </c>
      <c r="Q181" s="14">
        <v>5000.0</v>
      </c>
      <c r="R181" s="14" t="b">
        <v>1</v>
      </c>
      <c r="S181" s="24" t="str">
        <f t="shared" ref="S181:U181" si="183">IF(E181&lt;&gt;"","Yes","")</f>
        <v>Yes</v>
      </c>
      <c r="T181" s="24" t="str">
        <f t="shared" si="183"/>
        <v>Yes</v>
      </c>
      <c r="U181" s="24" t="str">
        <f t="shared" si="183"/>
        <v>Yes</v>
      </c>
      <c r="V181" s="24" t="str">
        <f t="shared" si="3"/>
        <v/>
      </c>
      <c r="W181" s="14" t="str">
        <f t="shared" si="4"/>
        <v/>
      </c>
    </row>
    <row r="182" ht="14.25" customHeight="1">
      <c r="A182" s="18">
        <f>HYPERLINK("https://app.hubspot.com/contacts/8748051/record/0-1/145585334180", 145585334180)</f>
        <v>145585334180</v>
      </c>
      <c r="B182" s="14" t="s">
        <v>3600</v>
      </c>
      <c r="C182" s="16">
        <v>45880.148831018516</v>
      </c>
      <c r="D182" s="14" t="s">
        <v>3304</v>
      </c>
      <c r="E182" s="32"/>
      <c r="F182" s="32"/>
      <c r="G182" s="32"/>
      <c r="H182" s="14" t="s">
        <v>3601</v>
      </c>
      <c r="I182" s="14"/>
      <c r="J182" s="14"/>
      <c r="K182" s="18">
        <f>HYPERLINK("https://app.hubspot.com/contacts/8748051/record/0-2/37537793674", 37537793674)</f>
        <v>37537793674</v>
      </c>
      <c r="L182" s="14" t="s">
        <v>3602</v>
      </c>
      <c r="M182" s="18" t="s">
        <v>3603</v>
      </c>
      <c r="N182" s="24"/>
      <c r="O182" s="14"/>
      <c r="P182" s="14"/>
      <c r="Q182" s="14"/>
      <c r="R182" s="14"/>
      <c r="S182" s="24" t="str">
        <f t="shared" ref="S182:U182" si="184">IF(E182&lt;&gt;"","Yes","")</f>
        <v/>
      </c>
      <c r="T182" s="24" t="str">
        <f t="shared" si="184"/>
        <v/>
      </c>
      <c r="U182" s="24" t="str">
        <f t="shared" si="184"/>
        <v/>
      </c>
      <c r="V182" s="24" t="str">
        <f t="shared" si="3"/>
        <v/>
      </c>
      <c r="W182" s="14" t="str">
        <f t="shared" si="4"/>
        <v/>
      </c>
    </row>
    <row r="183" ht="14.25" customHeight="1">
      <c r="A183" s="18">
        <f>HYPERLINK("https://app.hubspot.com/contacts/8748051/record/0-1/145073380358", 145073380358)</f>
        <v>145073380358</v>
      </c>
      <c r="B183" s="14" t="s">
        <v>3604</v>
      </c>
      <c r="C183" s="16">
        <v>45877.45233796296</v>
      </c>
      <c r="D183" s="14"/>
      <c r="E183" s="32">
        <v>45877.0</v>
      </c>
      <c r="F183" s="32">
        <v>45878.0</v>
      </c>
      <c r="G183" s="32">
        <v>45878.0</v>
      </c>
      <c r="H183" s="14" t="s">
        <v>3605</v>
      </c>
      <c r="I183" s="14" t="s">
        <v>3237</v>
      </c>
      <c r="J183" s="14" t="s">
        <v>3606</v>
      </c>
      <c r="K183" s="18">
        <f>HYPERLINK("https://app.hubspot.com/contacts/8748051/record/0-2/19176719448", 19176719448)</f>
        <v>19176719448</v>
      </c>
      <c r="L183" s="14" t="s">
        <v>830</v>
      </c>
      <c r="M183" s="18" t="s">
        <v>831</v>
      </c>
      <c r="N183" s="23">
        <f>HYPERLINK("https://app.hubspot.com/contacts/8748051/record/0-3/41578503009", 41578503009)</f>
        <v>41578503009</v>
      </c>
      <c r="O183" s="14" t="s">
        <v>829</v>
      </c>
      <c r="P183" s="14" t="s">
        <v>124</v>
      </c>
      <c r="Q183" s="14">
        <v>25000.0</v>
      </c>
      <c r="R183" s="14" t="b">
        <v>1</v>
      </c>
      <c r="S183" s="24" t="str">
        <f t="shared" ref="S183:U183" si="185">IF(E183&lt;&gt;"","Yes","")</f>
        <v>Yes</v>
      </c>
      <c r="T183" s="24" t="str">
        <f t="shared" si="185"/>
        <v>Yes</v>
      </c>
      <c r="U183" s="24" t="str">
        <f t="shared" si="185"/>
        <v>Yes</v>
      </c>
      <c r="V183" s="24" t="str">
        <f t="shared" si="3"/>
        <v/>
      </c>
      <c r="W183" s="14" t="str">
        <f t="shared" si="4"/>
        <v/>
      </c>
    </row>
    <row r="184" ht="14.25" customHeight="1">
      <c r="A184" s="18">
        <f>HYPERLINK("https://app.hubspot.com/contacts/8748051/record/0-1/144846307349", 144846307349)</f>
        <v>144846307349</v>
      </c>
      <c r="B184" s="14" t="s">
        <v>3607</v>
      </c>
      <c r="C184" s="16">
        <v>45876.475335648145</v>
      </c>
      <c r="D184" s="14" t="s">
        <v>3304</v>
      </c>
      <c r="E184" s="32"/>
      <c r="F184" s="32"/>
      <c r="G184" s="32"/>
      <c r="H184" s="14" t="s">
        <v>3608</v>
      </c>
      <c r="I184" s="14"/>
      <c r="J184" s="24"/>
      <c r="K184" s="18">
        <f>HYPERLINK("https://app.hubspot.com/contacts/8748051/record/0-2/37410096268", 37410096268)</f>
        <v>37410096268</v>
      </c>
      <c r="L184" s="14" t="s">
        <v>3609</v>
      </c>
      <c r="M184" s="18" t="s">
        <v>3610</v>
      </c>
      <c r="N184" s="24"/>
      <c r="O184" s="14"/>
      <c r="P184" s="14"/>
      <c r="Q184" s="14"/>
      <c r="R184" s="14"/>
      <c r="S184" s="24" t="str">
        <f t="shared" ref="S184:U184" si="186">IF(E184&lt;&gt;"","Yes","")</f>
        <v/>
      </c>
      <c r="T184" s="24" t="str">
        <f t="shared" si="186"/>
        <v/>
      </c>
      <c r="U184" s="24" t="str">
        <f t="shared" si="186"/>
        <v/>
      </c>
      <c r="V184" s="24" t="str">
        <f t="shared" si="3"/>
        <v/>
      </c>
      <c r="W184" s="14" t="str">
        <f t="shared" si="4"/>
        <v/>
      </c>
    </row>
    <row r="185" ht="14.25" customHeight="1">
      <c r="A185" s="18">
        <f>HYPERLINK("https://app.hubspot.com/contacts/8748051/record/0-1/144543051911", 144543051911)</f>
        <v>144543051911</v>
      </c>
      <c r="B185" s="14" t="s">
        <v>3611</v>
      </c>
      <c r="C185" s="16">
        <v>45875.408900462964</v>
      </c>
      <c r="D185" s="14" t="s">
        <v>3304</v>
      </c>
      <c r="E185" s="32"/>
      <c r="F185" s="32"/>
      <c r="G185" s="32"/>
      <c r="H185" s="14" t="s">
        <v>3612</v>
      </c>
      <c r="I185" s="14"/>
      <c r="J185" s="24"/>
      <c r="K185" s="23">
        <f>HYPERLINK("https://app.hubspot.com/contacts/8748051/record/0-2/37363828022", 37363828022)</f>
        <v>37363828022</v>
      </c>
      <c r="L185" s="14" t="s">
        <v>3613</v>
      </c>
      <c r="M185" s="18" t="s">
        <v>3614</v>
      </c>
      <c r="N185" s="24"/>
      <c r="O185" s="14"/>
      <c r="P185" s="14"/>
      <c r="Q185" s="14"/>
      <c r="R185" s="14"/>
      <c r="S185" s="24" t="str">
        <f t="shared" ref="S185:U185" si="187">IF(E185&lt;&gt;"","Yes","")</f>
        <v/>
      </c>
      <c r="T185" s="24" t="str">
        <f t="shared" si="187"/>
        <v/>
      </c>
      <c r="U185" s="24" t="str">
        <f t="shared" si="187"/>
        <v/>
      </c>
      <c r="V185" s="24" t="str">
        <f t="shared" si="3"/>
        <v/>
      </c>
      <c r="W185" s="14" t="str">
        <f t="shared" si="4"/>
        <v/>
      </c>
    </row>
    <row r="186" ht="14.25" customHeight="1">
      <c r="A186" s="18">
        <f>HYPERLINK("https://app.hubspot.com/contacts/8748051/record/0-1/143806445103", 143806445103)</f>
        <v>143806445103</v>
      </c>
      <c r="B186" s="14" t="s">
        <v>3615</v>
      </c>
      <c r="C186" s="16">
        <v>45873.285949074074</v>
      </c>
      <c r="D186" s="14" t="s">
        <v>3304</v>
      </c>
      <c r="E186" s="32"/>
      <c r="F186" s="32"/>
      <c r="G186" s="32"/>
      <c r="H186" s="14" t="s">
        <v>3616</v>
      </c>
      <c r="I186" s="14"/>
      <c r="J186" s="24"/>
      <c r="K186" s="18">
        <f>HYPERLINK("https://app.hubspot.com/contacts/8748051/record/0-2/28152532135", 28152532135)</f>
        <v>28152532135</v>
      </c>
      <c r="L186" s="14" t="s">
        <v>1355</v>
      </c>
      <c r="M186" s="14" t="s">
        <v>1356</v>
      </c>
      <c r="N186" s="24"/>
      <c r="O186" s="14"/>
      <c r="P186" s="14"/>
      <c r="Q186" s="14"/>
      <c r="R186" s="14"/>
      <c r="S186" s="24" t="str">
        <f t="shared" ref="S186:U186" si="188">IF(E186&lt;&gt;"","Yes","")</f>
        <v/>
      </c>
      <c r="T186" s="24" t="str">
        <f t="shared" si="188"/>
        <v/>
      </c>
      <c r="U186" s="24" t="str">
        <f t="shared" si="188"/>
        <v/>
      </c>
      <c r="V186" s="24" t="str">
        <f t="shared" si="3"/>
        <v/>
      </c>
      <c r="W186" s="14" t="str">
        <f t="shared" si="4"/>
        <v/>
      </c>
    </row>
    <row r="187" ht="14.25" customHeight="1">
      <c r="A187" s="18">
        <f>HYPERLINK("https://app.hubspot.com/contacts/8748051/record/0-1/143804596336", 143804596336)</f>
        <v>143804596336</v>
      </c>
      <c r="B187" s="14" t="s">
        <v>3617</v>
      </c>
      <c r="C187" s="16">
        <v>45873.27355324074</v>
      </c>
      <c r="D187" s="14"/>
      <c r="E187" s="32">
        <v>45873.0</v>
      </c>
      <c r="F187" s="32">
        <v>45877.0</v>
      </c>
      <c r="G187" s="32">
        <v>45877.0</v>
      </c>
      <c r="H187" s="14" t="s">
        <v>3618</v>
      </c>
      <c r="I187" s="14" t="s">
        <v>3237</v>
      </c>
      <c r="J187" s="24"/>
      <c r="K187" s="18">
        <f>HYPERLINK("https://app.hubspot.com/contacts/8748051/record/0-2/37196899503", 37196899503)</f>
        <v>37196899503</v>
      </c>
      <c r="L187" s="14" t="s">
        <v>860</v>
      </c>
      <c r="M187" s="18" t="s">
        <v>861</v>
      </c>
      <c r="N187" s="23">
        <f>HYPERLINK("https://app.hubspot.com/contacts/8748051/record/0-3/41323418478", 41323418478)</f>
        <v>41323418478</v>
      </c>
      <c r="O187" s="14" t="s">
        <v>859</v>
      </c>
      <c r="P187" s="14" t="s">
        <v>124</v>
      </c>
      <c r="Q187" s="14">
        <v>2500.0</v>
      </c>
      <c r="R187" s="14" t="b">
        <v>1</v>
      </c>
      <c r="S187" s="24" t="str">
        <f t="shared" ref="S187:U187" si="189">IF(E187&lt;&gt;"","Yes","")</f>
        <v>Yes</v>
      </c>
      <c r="T187" s="24" t="str">
        <f t="shared" si="189"/>
        <v>Yes</v>
      </c>
      <c r="U187" s="24" t="str">
        <f t="shared" si="189"/>
        <v>Yes</v>
      </c>
      <c r="V187" s="24" t="str">
        <f t="shared" si="3"/>
        <v/>
      </c>
      <c r="W187" s="14" t="str">
        <f t="shared" si="4"/>
        <v/>
      </c>
    </row>
    <row r="188" ht="14.25" customHeight="1">
      <c r="A188" s="18">
        <f>HYPERLINK("https://app.hubspot.com/contacts/8748051/record/0-1/143270342232", 143270342232)</f>
        <v>143270342232</v>
      </c>
      <c r="B188" s="14" t="s">
        <v>3619</v>
      </c>
      <c r="C188" s="16">
        <v>45871.06140046296</v>
      </c>
      <c r="D188" s="14"/>
      <c r="E188" s="32">
        <v>45871.0</v>
      </c>
      <c r="F188" s="32"/>
      <c r="G188" s="32"/>
      <c r="H188" s="14" t="s">
        <v>3620</v>
      </c>
      <c r="I188" s="14" t="s">
        <v>3237</v>
      </c>
      <c r="J188" s="24"/>
      <c r="K188" s="18">
        <f>HYPERLINK("https://app.hubspot.com/contacts/8748051/record/0-2/26381081622", 26381081622)</f>
        <v>26381081622</v>
      </c>
      <c r="L188" s="14" t="s">
        <v>3621</v>
      </c>
      <c r="M188" s="18" t="s">
        <v>3622</v>
      </c>
      <c r="N188" s="24"/>
      <c r="O188" s="14"/>
      <c r="P188" s="14"/>
      <c r="Q188" s="14"/>
      <c r="R188" s="14"/>
      <c r="S188" s="24" t="str">
        <f t="shared" ref="S188:U188" si="190">IF(E188&lt;&gt;"","Yes","")</f>
        <v>Yes</v>
      </c>
      <c r="T188" s="24" t="str">
        <f t="shared" si="190"/>
        <v/>
      </c>
      <c r="U188" s="24" t="str">
        <f t="shared" si="190"/>
        <v/>
      </c>
      <c r="V188" s="24" t="str">
        <f t="shared" si="3"/>
        <v/>
      </c>
      <c r="W188" s="14" t="str">
        <f t="shared" si="4"/>
        <v/>
      </c>
    </row>
    <row r="189" ht="14.25" customHeight="1">
      <c r="A189" s="18">
        <f>HYPERLINK("https://app.hubspot.com/contacts/8748051/record/0-1/137294871359", 137294871359)</f>
        <v>137294871359</v>
      </c>
      <c r="B189" s="14" t="s">
        <v>3623</v>
      </c>
      <c r="C189" s="16">
        <v>45870.24633101852</v>
      </c>
      <c r="D189" s="14" t="s">
        <v>3304</v>
      </c>
      <c r="E189" s="32"/>
      <c r="F189" s="32"/>
      <c r="G189" s="32"/>
      <c r="H189" s="14" t="s">
        <v>3624</v>
      </c>
      <c r="I189" s="14"/>
      <c r="J189" s="24"/>
      <c r="K189" s="18">
        <f>HYPERLINK("https://app.hubspot.com/contacts/8748051/record/0-2/37082688777", 37082688777)</f>
        <v>37082688777</v>
      </c>
      <c r="L189" s="14" t="s">
        <v>3625</v>
      </c>
      <c r="M189" s="18" t="s">
        <v>3626</v>
      </c>
      <c r="N189" s="24"/>
      <c r="O189" s="14"/>
      <c r="P189" s="14"/>
      <c r="Q189" s="14"/>
      <c r="R189" s="14"/>
      <c r="S189" s="24" t="str">
        <f t="shared" ref="S189:U189" si="191">IF(E189&lt;&gt;"","Yes","")</f>
        <v/>
      </c>
      <c r="T189" s="24" t="str">
        <f t="shared" si="191"/>
        <v/>
      </c>
      <c r="U189" s="24" t="str">
        <f t="shared" si="191"/>
        <v/>
      </c>
      <c r="V189" s="24" t="str">
        <f t="shared" si="3"/>
        <v/>
      </c>
      <c r="W189" s="14" t="str">
        <f t="shared" si="4"/>
        <v/>
      </c>
    </row>
    <row r="190" ht="14.25" customHeight="1">
      <c r="A190" s="18">
        <f>HYPERLINK("https://app.hubspot.com/contacts/8748051/record/0-1/138852431135", 138852431135)</f>
        <v>138852431135</v>
      </c>
      <c r="B190" s="14" t="s">
        <v>3627</v>
      </c>
      <c r="C190" s="16">
        <v>45868.41030092593</v>
      </c>
      <c r="D190" s="14"/>
      <c r="E190" s="32">
        <v>45868.0</v>
      </c>
      <c r="F190" s="32">
        <v>45874.0</v>
      </c>
      <c r="G190" s="32">
        <v>45874.0</v>
      </c>
      <c r="H190" s="14" t="s">
        <v>1071</v>
      </c>
      <c r="I190" s="14" t="s">
        <v>3240</v>
      </c>
      <c r="J190" s="24"/>
      <c r="K190" s="18">
        <f>HYPERLINK("https://app.hubspot.com/contacts/8748051/record/0-2/18382767734", 18382767734)</f>
        <v>18382767734</v>
      </c>
      <c r="L190" s="14" t="s">
        <v>880</v>
      </c>
      <c r="M190" s="18" t="s">
        <v>881</v>
      </c>
      <c r="N190" s="23">
        <f>HYPERLINK("https://app.hubspot.com/contacts/8748051/record/0-3/41068201060", 41068201060)</f>
        <v>41068201060</v>
      </c>
      <c r="O190" s="14" t="s">
        <v>878</v>
      </c>
      <c r="P190" s="14" t="s">
        <v>146</v>
      </c>
      <c r="Q190" s="14">
        <v>30500.0</v>
      </c>
      <c r="R190" s="14" t="b">
        <v>1</v>
      </c>
      <c r="S190" s="24" t="str">
        <f t="shared" ref="S190:U190" si="192">IF(E190&lt;&gt;"","Yes","")</f>
        <v>Yes</v>
      </c>
      <c r="T190" s="24" t="str">
        <f t="shared" si="192"/>
        <v>Yes</v>
      </c>
      <c r="U190" s="24" t="str">
        <f t="shared" si="192"/>
        <v>Yes</v>
      </c>
      <c r="V190" s="24" t="str">
        <f t="shared" si="3"/>
        <v/>
      </c>
      <c r="W190" s="14" t="str">
        <f t="shared" si="4"/>
        <v>Yes</v>
      </c>
    </row>
    <row r="191" ht="14.25" customHeight="1">
      <c r="A191" s="18">
        <f>HYPERLINK("https://app.hubspot.com/contacts/8748051/record/0-1/132671057255", 132671057255)</f>
        <v>132671057255</v>
      </c>
      <c r="B191" s="14" t="s">
        <v>3628</v>
      </c>
      <c r="C191" s="16">
        <v>45868.405648148146</v>
      </c>
      <c r="D191" s="16"/>
      <c r="E191" s="32">
        <v>45868.0</v>
      </c>
      <c r="F191" s="32">
        <v>45889.0</v>
      </c>
      <c r="G191" s="32">
        <v>45889.0</v>
      </c>
      <c r="H191" s="14" t="s">
        <v>3629</v>
      </c>
      <c r="I191" s="14" t="s">
        <v>3361</v>
      </c>
      <c r="J191" s="24"/>
      <c r="K191" s="18">
        <f>HYPERLINK("https://app.hubspot.com/contacts/8748051/record/0-2/36960772898", 36960772898)</f>
        <v>36960772898</v>
      </c>
      <c r="L191" s="14" t="s">
        <v>884</v>
      </c>
      <c r="M191" s="18" t="s">
        <v>885</v>
      </c>
      <c r="N191" s="23">
        <f>HYPERLINK("https://app.hubspot.com/contacts/8748051/record/0-3/41066731397", 41066731397)</f>
        <v>41066731397</v>
      </c>
      <c r="O191" s="14" t="s">
        <v>882</v>
      </c>
      <c r="P191" s="14" t="s">
        <v>89</v>
      </c>
      <c r="Q191" s="14">
        <v>20000.0</v>
      </c>
      <c r="R191" s="14" t="b">
        <v>1</v>
      </c>
      <c r="S191" s="24" t="str">
        <f t="shared" ref="S191:U191" si="193">IF(E191&lt;&gt;"","Yes","")</f>
        <v>Yes</v>
      </c>
      <c r="T191" s="24" t="str">
        <f t="shared" si="193"/>
        <v>Yes</v>
      </c>
      <c r="U191" s="24" t="str">
        <f t="shared" si="193"/>
        <v>Yes</v>
      </c>
      <c r="V191" s="24" t="str">
        <f t="shared" si="3"/>
        <v>Yes</v>
      </c>
      <c r="W191" s="14" t="str">
        <f t="shared" si="4"/>
        <v/>
      </c>
    </row>
    <row r="192" ht="14.25" customHeight="1">
      <c r="A192" s="18">
        <f>HYPERLINK("https://app.hubspot.com/contacts/8748051/record/0-1/7422263359", 7422263359)</f>
        <v>7422263359</v>
      </c>
      <c r="B192" s="14" t="s">
        <v>3630</v>
      </c>
      <c r="C192" s="16">
        <v>45868.0724537037</v>
      </c>
      <c r="D192" s="14"/>
      <c r="E192" s="32">
        <v>45868.0</v>
      </c>
      <c r="F192" s="32">
        <v>45874.0</v>
      </c>
      <c r="G192" s="32">
        <v>45874.0</v>
      </c>
      <c r="H192" s="14" t="s">
        <v>3631</v>
      </c>
      <c r="I192" s="14" t="s">
        <v>3237</v>
      </c>
      <c r="J192" s="24"/>
      <c r="K192" s="18">
        <f>HYPERLINK("https://app.hubspot.com/contacts/8748051/record/0-2/19176224894", 19176224894)</f>
        <v>19176224894</v>
      </c>
      <c r="L192" s="14" t="s">
        <v>867</v>
      </c>
      <c r="M192" s="18" t="s">
        <v>868</v>
      </c>
      <c r="N192" s="23">
        <f>HYPERLINK("https://app.hubspot.com/contacts/8748051/record/0-3/41120785998", 41120785998)</f>
        <v>41120785998</v>
      </c>
      <c r="O192" s="14" t="s">
        <v>866</v>
      </c>
      <c r="P192" s="14" t="s">
        <v>118</v>
      </c>
      <c r="Q192" s="14">
        <v>10000.0</v>
      </c>
      <c r="R192" s="14"/>
      <c r="S192" s="24" t="str">
        <f t="shared" ref="S192:U192" si="194">IF(E192&lt;&gt;"","Yes","")</f>
        <v>Yes</v>
      </c>
      <c r="T192" s="24" t="str">
        <f t="shared" si="194"/>
        <v>Yes</v>
      </c>
      <c r="U192" s="24" t="str">
        <f t="shared" si="194"/>
        <v>Yes</v>
      </c>
      <c r="V192" s="24" t="str">
        <f t="shared" si="3"/>
        <v/>
      </c>
      <c r="W192" s="14" t="str">
        <f t="shared" si="4"/>
        <v/>
      </c>
    </row>
    <row r="193" ht="14.25" customHeight="1">
      <c r="A193" s="18">
        <f>HYPERLINK("https://app.hubspot.com/contacts/8748051/record/0-1/141948134176", 141948134176)</f>
        <v>141948134176</v>
      </c>
      <c r="B193" s="14" t="s">
        <v>3632</v>
      </c>
      <c r="C193" s="16">
        <v>45867.13653935185</v>
      </c>
      <c r="D193" s="14"/>
      <c r="E193" s="32">
        <v>45867.0</v>
      </c>
      <c r="F193" s="32">
        <v>45881.0</v>
      </c>
      <c r="G193" s="32">
        <v>45881.0</v>
      </c>
      <c r="H193" s="14" t="s">
        <v>3633</v>
      </c>
      <c r="I193" s="14" t="s">
        <v>152</v>
      </c>
      <c r="J193" s="24"/>
      <c r="K193" s="18">
        <f>HYPERLINK("https://app.hubspot.com/contacts/8748051/record/0-2/14810422275", 14810422275)</f>
        <v>14810422275</v>
      </c>
      <c r="L193" s="14" t="s">
        <v>833</v>
      </c>
      <c r="M193" s="18" t="s">
        <v>834</v>
      </c>
      <c r="N193" s="23">
        <f>HYPERLINK("https://app.hubspot.com/contacts/8748051/record/0-3/41576219434", 41576219434)</f>
        <v>41576219434</v>
      </c>
      <c r="O193" s="14" t="s">
        <v>832</v>
      </c>
      <c r="P193" s="14" t="s">
        <v>118</v>
      </c>
      <c r="Q193" s="14">
        <v>41000.0</v>
      </c>
      <c r="R193" s="14"/>
      <c r="S193" s="24" t="str">
        <f t="shared" ref="S193:U193" si="195">IF(E193&lt;&gt;"","Yes","")</f>
        <v>Yes</v>
      </c>
      <c r="T193" s="24" t="str">
        <f t="shared" si="195"/>
        <v>Yes</v>
      </c>
      <c r="U193" s="24" t="str">
        <f t="shared" si="195"/>
        <v>Yes</v>
      </c>
      <c r="V193" s="24" t="str">
        <f t="shared" si="3"/>
        <v/>
      </c>
      <c r="W193" s="14" t="str">
        <f t="shared" si="4"/>
        <v/>
      </c>
    </row>
    <row r="194" ht="14.25" customHeight="1">
      <c r="A194" s="18">
        <f>HYPERLINK("https://app.hubspot.com/contacts/8748051/record/0-1/141981650509", 141981650509)</f>
        <v>141981650509</v>
      </c>
      <c r="B194" s="14" t="s">
        <v>3634</v>
      </c>
      <c r="C194" s="16">
        <v>45867.08994212963</v>
      </c>
      <c r="D194" s="14" t="s">
        <v>3288</v>
      </c>
      <c r="E194" s="32"/>
      <c r="F194" s="32"/>
      <c r="G194" s="32"/>
      <c r="H194" s="14" t="s">
        <v>3296</v>
      </c>
      <c r="I194" s="14"/>
      <c r="J194" s="24"/>
      <c r="K194" s="18">
        <f>HYPERLINK("https://app.hubspot.com/contacts/8748051/record/0-2/9069717254", 9069717254)</f>
        <v>9069717254</v>
      </c>
      <c r="L194" s="14" t="s">
        <v>998</v>
      </c>
      <c r="M194" s="18" t="s">
        <v>999</v>
      </c>
      <c r="N194" s="24"/>
      <c r="O194" s="14"/>
      <c r="P194" s="14"/>
      <c r="Q194" s="14"/>
      <c r="R194" s="14"/>
      <c r="S194" s="24" t="str">
        <f t="shared" ref="S194:U194" si="196">IF(E194&lt;&gt;"","Yes","")</f>
        <v/>
      </c>
      <c r="T194" s="24" t="str">
        <f t="shared" si="196"/>
        <v/>
      </c>
      <c r="U194" s="24" t="str">
        <f t="shared" si="196"/>
        <v/>
      </c>
      <c r="V194" s="24" t="str">
        <f t="shared" si="3"/>
        <v/>
      </c>
      <c r="W194" s="14" t="str">
        <f t="shared" si="4"/>
        <v/>
      </c>
    </row>
    <row r="195" ht="14.25" customHeight="1">
      <c r="A195" s="18">
        <f>HYPERLINK("https://app.hubspot.com/contacts/8748051/record/0-1/140213655157", 140213655157)</f>
        <v>140213655157</v>
      </c>
      <c r="B195" s="14" t="s">
        <v>3635</v>
      </c>
      <c r="C195" s="16">
        <v>45862.465636574074</v>
      </c>
      <c r="D195" s="14"/>
      <c r="E195" s="32">
        <v>45863.0</v>
      </c>
      <c r="F195" s="32">
        <v>45863.0</v>
      </c>
      <c r="G195" s="32">
        <v>45863.0</v>
      </c>
      <c r="H195" s="14" t="s">
        <v>3302</v>
      </c>
      <c r="I195" s="14" t="s">
        <v>3240</v>
      </c>
      <c r="J195" s="24"/>
      <c r="K195" s="18">
        <f>HYPERLINK("https://app.hubspot.com/contacts/8748051/record/0-2/36689275544", 36689275544)</f>
        <v>36689275544</v>
      </c>
      <c r="L195" s="14" t="s">
        <v>890</v>
      </c>
      <c r="M195" s="18" t="s">
        <v>891</v>
      </c>
      <c r="N195" s="23">
        <f>HYPERLINK("https://app.hubspot.com/contacts/8748051/record/0-3/40754286148", 40754286148)</f>
        <v>40754286148</v>
      </c>
      <c r="O195" s="14" t="s">
        <v>889</v>
      </c>
      <c r="P195" s="14" t="s">
        <v>118</v>
      </c>
      <c r="Q195" s="14">
        <v>0.0</v>
      </c>
      <c r="R195" s="14"/>
      <c r="S195" s="24" t="str">
        <f t="shared" ref="S195:U195" si="197">IF(E195&lt;&gt;"","Yes","")</f>
        <v>Yes</v>
      </c>
      <c r="T195" s="24" t="str">
        <f t="shared" si="197"/>
        <v>Yes</v>
      </c>
      <c r="U195" s="24" t="str">
        <f t="shared" si="197"/>
        <v>Yes</v>
      </c>
      <c r="V195" s="24" t="str">
        <f t="shared" si="3"/>
        <v/>
      </c>
      <c r="W195" s="14" t="str">
        <f t="shared" si="4"/>
        <v/>
      </c>
    </row>
    <row r="196" ht="14.25" customHeight="1">
      <c r="A196" s="18">
        <f>HYPERLINK("https://app.hubspot.com/contacts/8748051/record/0-1/140166299435", 140166299435)</f>
        <v>140166299435</v>
      </c>
      <c r="B196" s="14" t="s">
        <v>3636</v>
      </c>
      <c r="C196" s="16">
        <v>45860.16475694445</v>
      </c>
      <c r="D196" s="14" t="s">
        <v>3304</v>
      </c>
      <c r="E196" s="32"/>
      <c r="F196" s="32"/>
      <c r="G196" s="32"/>
      <c r="H196" s="14" t="s">
        <v>3637</v>
      </c>
      <c r="I196" s="14"/>
      <c r="J196" s="24"/>
      <c r="K196" s="18">
        <f>HYPERLINK("https://app.hubspot.com/contacts/8748051/record/0-2/36586293575", 36586293575)</f>
        <v>36586293575</v>
      </c>
      <c r="L196" s="14" t="s">
        <v>3638</v>
      </c>
      <c r="M196" s="18" t="s">
        <v>3639</v>
      </c>
      <c r="N196" s="24"/>
      <c r="O196" s="14"/>
      <c r="P196" s="14"/>
      <c r="Q196" s="14"/>
      <c r="R196" s="14"/>
      <c r="S196" s="24" t="str">
        <f t="shared" ref="S196:U196" si="198">IF(E196&lt;&gt;"","Yes","")</f>
        <v/>
      </c>
      <c r="T196" s="24" t="str">
        <f t="shared" si="198"/>
        <v/>
      </c>
      <c r="U196" s="24" t="str">
        <f t="shared" si="198"/>
        <v/>
      </c>
      <c r="V196" s="24" t="str">
        <f t="shared" si="3"/>
        <v/>
      </c>
      <c r="W196" s="14" t="str">
        <f t="shared" si="4"/>
        <v/>
      </c>
    </row>
    <row r="197" ht="14.25" customHeight="1">
      <c r="A197" s="18">
        <f>HYPERLINK("https://app.hubspot.com/contacts/8748051/record/0-1/140062429237", 140062429237)</f>
        <v>140062429237</v>
      </c>
      <c r="B197" s="14" t="s">
        <v>3640</v>
      </c>
      <c r="C197" s="16">
        <v>45859.90351851852</v>
      </c>
      <c r="D197" s="14"/>
      <c r="E197" s="32">
        <v>45860.0</v>
      </c>
      <c r="F197" s="32">
        <v>45860.0</v>
      </c>
      <c r="G197" s="32">
        <v>45860.0</v>
      </c>
      <c r="H197" s="14" t="s">
        <v>3641</v>
      </c>
      <c r="I197" s="14" t="s">
        <v>3237</v>
      </c>
      <c r="J197" s="24"/>
      <c r="K197" s="18">
        <f>HYPERLINK("https://app.hubspot.com/contacts/8748051/record/0-2/36581207151", 36581207151)</f>
        <v>36581207151</v>
      </c>
      <c r="L197" s="14" t="s">
        <v>897</v>
      </c>
      <c r="M197" s="18" t="s">
        <v>898</v>
      </c>
      <c r="N197" s="18">
        <f>HYPERLINK("https://app.hubspot.com/contacts/8748051/record/0-3/40637983819", 40637983819)</f>
        <v>40637983819</v>
      </c>
      <c r="O197" s="14" t="s">
        <v>895</v>
      </c>
      <c r="P197" s="14" t="s">
        <v>89</v>
      </c>
      <c r="Q197" s="14">
        <v>15000.0</v>
      </c>
      <c r="R197" s="14" t="b">
        <v>1</v>
      </c>
      <c r="S197" s="24" t="str">
        <f t="shared" ref="S197:U197" si="199">IF(E197&lt;&gt;"","Yes","")</f>
        <v>Yes</v>
      </c>
      <c r="T197" s="24" t="str">
        <f t="shared" si="199"/>
        <v>Yes</v>
      </c>
      <c r="U197" s="24" t="str">
        <f t="shared" si="199"/>
        <v>Yes</v>
      </c>
      <c r="V197" s="24" t="str">
        <f t="shared" si="3"/>
        <v>Yes</v>
      </c>
      <c r="W197" s="14" t="str">
        <f t="shared" si="4"/>
        <v/>
      </c>
    </row>
    <row r="198" ht="14.25" customHeight="1">
      <c r="A198" s="18">
        <f>HYPERLINK("https://app.hubspot.com/contacts/8748051/record/0-1/2399001", 2399001)</f>
        <v>2399001</v>
      </c>
      <c r="B198" s="14" t="s">
        <v>3642</v>
      </c>
      <c r="C198" s="16">
        <v>45859.66731481482</v>
      </c>
      <c r="D198" s="14"/>
      <c r="E198" s="32">
        <v>45860.0</v>
      </c>
      <c r="F198" s="32">
        <v>45863.0</v>
      </c>
      <c r="G198" s="32">
        <v>45863.0</v>
      </c>
      <c r="H198" s="14" t="s">
        <v>3643</v>
      </c>
      <c r="I198" s="14" t="s">
        <v>152</v>
      </c>
      <c r="J198" s="24"/>
      <c r="K198" s="18">
        <f>HYPERLINK("https://app.hubspot.com/contacts/8748051/record/0-2/15869853957", 15869853957)</f>
        <v>15869853957</v>
      </c>
      <c r="L198" s="14" t="s">
        <v>901</v>
      </c>
      <c r="M198" s="18" t="s">
        <v>902</v>
      </c>
      <c r="N198" s="23">
        <f>HYPERLINK("https://app.hubspot.com/contacts/8748051/record/0-3/40594900741", 40594900741)</f>
        <v>40594900741</v>
      </c>
      <c r="O198" s="14" t="s">
        <v>900</v>
      </c>
      <c r="P198" s="14" t="s">
        <v>124</v>
      </c>
      <c r="Q198" s="14">
        <v>89000.0</v>
      </c>
      <c r="R198" s="14" t="b">
        <v>1</v>
      </c>
      <c r="S198" s="24" t="str">
        <f t="shared" ref="S198:U198" si="200">IF(E198&lt;&gt;"","Yes","")</f>
        <v>Yes</v>
      </c>
      <c r="T198" s="24" t="str">
        <f t="shared" si="200"/>
        <v>Yes</v>
      </c>
      <c r="U198" s="24" t="str">
        <f t="shared" si="200"/>
        <v>Yes</v>
      </c>
      <c r="V198" s="24" t="str">
        <f t="shared" si="3"/>
        <v/>
      </c>
      <c r="W198" s="14" t="str">
        <f t="shared" si="4"/>
        <v/>
      </c>
    </row>
    <row r="199" ht="14.25" customHeight="1">
      <c r="A199" s="18">
        <f>HYPERLINK("https://app.hubspot.com/contacts/8748051/record/0-1/138337716380", 138337716380)</f>
        <v>138337716380</v>
      </c>
      <c r="B199" s="14" t="s">
        <v>3644</v>
      </c>
      <c r="C199" s="16">
        <v>45856.551712962966</v>
      </c>
      <c r="D199" s="16"/>
      <c r="E199" s="32">
        <v>45857.0</v>
      </c>
      <c r="F199" s="32">
        <v>45877.0</v>
      </c>
      <c r="G199" s="32">
        <v>45877.0</v>
      </c>
      <c r="H199" s="14" t="s">
        <v>3645</v>
      </c>
      <c r="I199" s="14" t="s">
        <v>3243</v>
      </c>
      <c r="J199" s="24"/>
      <c r="K199" s="18">
        <f>HYPERLINK("https://app.hubspot.com/contacts/8748051/record/0-2/38806934327", 38806934327)</f>
        <v>38806934327</v>
      </c>
      <c r="L199" s="14" t="s">
        <v>850</v>
      </c>
      <c r="M199" s="18" t="s">
        <v>851</v>
      </c>
      <c r="N199" s="23">
        <f>HYPERLINK("https://app.hubspot.com/contacts/8748051/record/0-3/41452513074", 41452513074)</f>
        <v>41452513074</v>
      </c>
      <c r="O199" s="14" t="s">
        <v>848</v>
      </c>
      <c r="P199" s="14" t="s">
        <v>146</v>
      </c>
      <c r="Q199" s="14">
        <v>100000.0</v>
      </c>
      <c r="R199" s="14" t="b">
        <v>1</v>
      </c>
      <c r="S199" s="24" t="str">
        <f t="shared" ref="S199:U199" si="201">IF(E199&lt;&gt;"","Yes","")</f>
        <v>Yes</v>
      </c>
      <c r="T199" s="24" t="str">
        <f t="shared" si="201"/>
        <v>Yes</v>
      </c>
      <c r="U199" s="24" t="str">
        <f t="shared" si="201"/>
        <v>Yes</v>
      </c>
      <c r="V199" s="24" t="str">
        <f t="shared" si="3"/>
        <v/>
      </c>
      <c r="W199" s="14" t="str">
        <f t="shared" si="4"/>
        <v>Yes</v>
      </c>
    </row>
    <row r="200" ht="14.25" customHeight="1">
      <c r="A200" s="18">
        <f>HYPERLINK("https://app.hubspot.com/contacts/8748051/record/0-1/139051109966", 139051109966)</f>
        <v>139051109966</v>
      </c>
      <c r="B200" s="14" t="s">
        <v>3646</v>
      </c>
      <c r="C200" s="16">
        <v>45856.267847222225</v>
      </c>
      <c r="D200" s="14"/>
      <c r="E200" s="32">
        <v>45856.0</v>
      </c>
      <c r="F200" s="32">
        <v>45866.0</v>
      </c>
      <c r="G200" s="32">
        <v>45866.0</v>
      </c>
      <c r="H200" s="14" t="s">
        <v>3647</v>
      </c>
      <c r="I200" s="14" t="s">
        <v>152</v>
      </c>
      <c r="J200" s="24"/>
      <c r="K200" s="18">
        <f>HYPERLINK("https://app.hubspot.com/contacts/8748051/record/0-2/19176582916", 19176582916)</f>
        <v>19176582916</v>
      </c>
      <c r="L200" s="14" t="s">
        <v>904</v>
      </c>
      <c r="M200" s="18" t="s">
        <v>905</v>
      </c>
      <c r="N200" s="23">
        <f>HYPERLINK("https://app.hubspot.com/contacts/8748051/record/0-3/40561459858", 40561459858)</f>
        <v>40561459858</v>
      </c>
      <c r="O200" s="14" t="s">
        <v>903</v>
      </c>
      <c r="P200" s="14" t="s">
        <v>124</v>
      </c>
      <c r="Q200" s="14">
        <v>25000.0</v>
      </c>
      <c r="R200" s="14" t="b">
        <v>1</v>
      </c>
      <c r="S200" s="24" t="str">
        <f t="shared" ref="S200:U200" si="202">IF(E200&lt;&gt;"","Yes","")</f>
        <v>Yes</v>
      </c>
      <c r="T200" s="24" t="str">
        <f t="shared" si="202"/>
        <v>Yes</v>
      </c>
      <c r="U200" s="24" t="str">
        <f t="shared" si="202"/>
        <v>Yes</v>
      </c>
      <c r="V200" s="24" t="str">
        <f t="shared" si="3"/>
        <v/>
      </c>
      <c r="W200" s="14" t="str">
        <f t="shared" si="4"/>
        <v/>
      </c>
    </row>
    <row r="201" ht="14.25" customHeight="1">
      <c r="A201" s="18">
        <f>HYPERLINK("https://app.hubspot.com/contacts/8748051/record/0-1/138969147218", 138969147218)</f>
        <v>138969147218</v>
      </c>
      <c r="B201" s="14" t="s">
        <v>3648</v>
      </c>
      <c r="C201" s="16">
        <v>45856.020150462966</v>
      </c>
      <c r="D201" s="14"/>
      <c r="E201" s="32">
        <v>45856.0</v>
      </c>
      <c r="F201" s="32">
        <v>45869.0</v>
      </c>
      <c r="G201" s="32">
        <v>45869.0</v>
      </c>
      <c r="H201" s="14" t="s">
        <v>3649</v>
      </c>
      <c r="I201" s="14" t="s">
        <v>3237</v>
      </c>
      <c r="J201" s="24"/>
      <c r="K201" s="18">
        <f>HYPERLINK("https://app.hubspot.com/contacts/8748051/record/0-2/36401575587", 36401575587)</f>
        <v>36401575587</v>
      </c>
      <c r="L201" s="14" t="s">
        <v>893</v>
      </c>
      <c r="M201" s="18" t="s">
        <v>894</v>
      </c>
      <c r="N201" s="23">
        <f>HYPERLINK("https://app.hubspot.com/contacts/8748051/record/0-3/40673451836", 40673451836)</f>
        <v>40673451836</v>
      </c>
      <c r="O201" s="14" t="s">
        <v>892</v>
      </c>
      <c r="P201" s="14" t="s">
        <v>124</v>
      </c>
      <c r="Q201" s="14">
        <v>8500.0</v>
      </c>
      <c r="R201" s="14" t="b">
        <v>1</v>
      </c>
      <c r="S201" s="24" t="str">
        <f t="shared" ref="S201:U201" si="203">IF(E201&lt;&gt;"","Yes","")</f>
        <v>Yes</v>
      </c>
      <c r="T201" s="24" t="str">
        <f t="shared" si="203"/>
        <v>Yes</v>
      </c>
      <c r="U201" s="24" t="str">
        <f t="shared" si="203"/>
        <v>Yes</v>
      </c>
      <c r="V201" s="24" t="str">
        <f t="shared" si="3"/>
        <v/>
      </c>
      <c r="W201" s="14" t="str">
        <f t="shared" si="4"/>
        <v/>
      </c>
    </row>
    <row r="202" ht="14.25" customHeight="1">
      <c r="A202" s="18">
        <f>HYPERLINK("https://app.hubspot.com/contacts/8748051/record/0-1/138065151233", 138065151233)</f>
        <v>138065151233</v>
      </c>
      <c r="B202" s="14" t="s">
        <v>3650</v>
      </c>
      <c r="C202" s="16">
        <v>45853.863541666666</v>
      </c>
      <c r="D202" s="14" t="s">
        <v>3304</v>
      </c>
      <c r="E202" s="32"/>
      <c r="F202" s="32"/>
      <c r="G202" s="32"/>
      <c r="H202" s="14" t="s">
        <v>3651</v>
      </c>
      <c r="I202" s="14"/>
      <c r="J202" s="24"/>
      <c r="K202" s="18">
        <f>HYPERLINK("https://app.hubspot.com/contacts/8748051/record/0-2/36294141333", 36294141333)</f>
        <v>36294141333</v>
      </c>
      <c r="L202" s="14" t="s">
        <v>3652</v>
      </c>
      <c r="M202" s="18" t="s">
        <v>3653</v>
      </c>
      <c r="N202" s="24"/>
      <c r="O202" s="14"/>
      <c r="P202" s="14"/>
      <c r="Q202" s="14"/>
      <c r="R202" s="14"/>
      <c r="S202" s="24" t="str">
        <f t="shared" ref="S202:U202" si="204">IF(E202&lt;&gt;"","Yes","")</f>
        <v/>
      </c>
      <c r="T202" s="24" t="str">
        <f t="shared" si="204"/>
        <v/>
      </c>
      <c r="U202" s="24" t="str">
        <f t="shared" si="204"/>
        <v/>
      </c>
      <c r="V202" s="24" t="str">
        <f t="shared" si="3"/>
        <v/>
      </c>
      <c r="W202" s="14" t="str">
        <f t="shared" si="4"/>
        <v/>
      </c>
    </row>
    <row r="203" ht="14.25" customHeight="1">
      <c r="A203" s="18">
        <f>HYPERLINK("https://app.hubspot.com/contacts/8748051/record/0-1/137832029463", 137832029463)</f>
        <v>137832029463</v>
      </c>
      <c r="B203" s="14" t="s">
        <v>3654</v>
      </c>
      <c r="C203" s="16">
        <v>45853.20469907407</v>
      </c>
      <c r="D203" s="14" t="s">
        <v>3304</v>
      </c>
      <c r="E203" s="32"/>
      <c r="F203" s="32"/>
      <c r="G203" s="32"/>
      <c r="H203" s="14" t="s">
        <v>3252</v>
      </c>
      <c r="I203" s="14"/>
      <c r="J203" s="24"/>
      <c r="K203" s="18">
        <f>HYPERLINK("https://app.hubspot.com/contacts/8748051/record/0-2/36264937108", 36264937108)</f>
        <v>36264937108</v>
      </c>
      <c r="L203" s="14" t="s">
        <v>3655</v>
      </c>
      <c r="M203" s="18" t="s">
        <v>3656</v>
      </c>
      <c r="N203" s="14"/>
      <c r="O203" s="14"/>
      <c r="P203" s="14"/>
      <c r="Q203" s="14"/>
      <c r="R203" s="14"/>
      <c r="S203" s="24" t="str">
        <f t="shared" ref="S203:U203" si="205">IF(E203&lt;&gt;"","Yes","")</f>
        <v/>
      </c>
      <c r="T203" s="24" t="str">
        <f t="shared" si="205"/>
        <v/>
      </c>
      <c r="U203" s="24" t="str">
        <f t="shared" si="205"/>
        <v/>
      </c>
      <c r="V203" s="24" t="str">
        <f t="shared" si="3"/>
        <v/>
      </c>
      <c r="W203" s="14" t="str">
        <f t="shared" si="4"/>
        <v/>
      </c>
    </row>
    <row r="204" ht="14.25" customHeight="1">
      <c r="A204" s="18">
        <f>HYPERLINK("https://app.hubspot.com/contacts/8748051/record/0-1/136903832489", 136903832489)</f>
        <v>136903832489</v>
      </c>
      <c r="B204" s="14" t="s">
        <v>3657</v>
      </c>
      <c r="C204" s="16">
        <v>45852.70118055555</v>
      </c>
      <c r="D204" s="14"/>
      <c r="E204" s="32">
        <v>45853.0</v>
      </c>
      <c r="F204" s="32">
        <v>45859.0</v>
      </c>
      <c r="G204" s="32">
        <v>45859.0</v>
      </c>
      <c r="H204" s="14" t="s">
        <v>3658</v>
      </c>
      <c r="I204" s="14" t="s">
        <v>152</v>
      </c>
      <c r="J204" s="24"/>
      <c r="K204" s="18">
        <f>HYPERLINK("https://app.hubspot.com/contacts/8748051/record/0-2/19176533838", 19176533838)</f>
        <v>19176533838</v>
      </c>
      <c r="L204" s="14" t="s">
        <v>911</v>
      </c>
      <c r="M204" s="18" t="s">
        <v>912</v>
      </c>
      <c r="N204" s="23">
        <f>HYPERLINK("https://app.hubspot.com/contacts/8748051/record/0-3/40235751763", 40235751763)</f>
        <v>40235751763</v>
      </c>
      <c r="O204" s="14" t="s">
        <v>910</v>
      </c>
      <c r="P204" s="14" t="s">
        <v>124</v>
      </c>
      <c r="Q204" s="14">
        <v>30000.0</v>
      </c>
      <c r="R204" s="14" t="b">
        <v>1</v>
      </c>
      <c r="S204" s="24" t="str">
        <f t="shared" ref="S204:U204" si="206">IF(E204&lt;&gt;"","Yes","")</f>
        <v>Yes</v>
      </c>
      <c r="T204" s="24" t="str">
        <f t="shared" si="206"/>
        <v>Yes</v>
      </c>
      <c r="U204" s="24" t="str">
        <f t="shared" si="206"/>
        <v>Yes</v>
      </c>
      <c r="V204" s="24" t="str">
        <f t="shared" si="3"/>
        <v/>
      </c>
      <c r="W204" s="14" t="str">
        <f t="shared" si="4"/>
        <v/>
      </c>
    </row>
    <row r="205" ht="14.25" customHeight="1">
      <c r="A205" s="18">
        <f>HYPERLINK("https://app.hubspot.com/contacts/8748051/record/0-1/133681296433", 133681296433)</f>
        <v>133681296433</v>
      </c>
      <c r="B205" s="14" t="s">
        <v>3659</v>
      </c>
      <c r="C205" s="16">
        <v>45849.57842592592</v>
      </c>
      <c r="D205" s="14"/>
      <c r="E205" s="32">
        <v>45849.0</v>
      </c>
      <c r="F205" s="32">
        <v>45853.0</v>
      </c>
      <c r="G205" s="32"/>
      <c r="H205" s="14" t="s">
        <v>3660</v>
      </c>
      <c r="I205" s="14" t="s">
        <v>3235</v>
      </c>
      <c r="J205" s="24"/>
      <c r="K205" s="18">
        <f>HYPERLINK("https://app.hubspot.com/contacts/8748051/record/0-2/36031664519", 36031664519)</f>
        <v>36031664519</v>
      </c>
      <c r="L205" s="14" t="s">
        <v>917</v>
      </c>
      <c r="M205" s="18" t="s">
        <v>918</v>
      </c>
      <c r="N205" s="23">
        <f>HYPERLINK("https://app.hubspot.com/contacts/8748051/record/0-3/40024962160", 40024962160)</f>
        <v>40024962160</v>
      </c>
      <c r="O205" s="14" t="s">
        <v>916</v>
      </c>
      <c r="P205" s="14" t="s">
        <v>118</v>
      </c>
      <c r="Q205" s="14">
        <v>4500.0</v>
      </c>
      <c r="R205" s="14"/>
      <c r="S205" s="24" t="str">
        <f t="shared" ref="S205:U205" si="207">IF(E205&lt;&gt;"","Yes","")</f>
        <v>Yes</v>
      </c>
      <c r="T205" s="24" t="str">
        <f t="shared" si="207"/>
        <v>Yes</v>
      </c>
      <c r="U205" s="24" t="str">
        <f t="shared" si="207"/>
        <v/>
      </c>
      <c r="V205" s="24" t="str">
        <f t="shared" si="3"/>
        <v/>
      </c>
      <c r="W205" s="14" t="str">
        <f t="shared" si="4"/>
        <v/>
      </c>
    </row>
    <row r="206" ht="14.25" customHeight="1">
      <c r="A206" s="18">
        <f>HYPERLINK("https://app.hubspot.com/contacts/8748051/record/0-1/135673301260", 135673301260)</f>
        <v>135673301260</v>
      </c>
      <c r="B206" s="14" t="s">
        <v>3661</v>
      </c>
      <c r="C206" s="16">
        <v>45847.62006944444</v>
      </c>
      <c r="D206" s="14"/>
      <c r="E206" s="32">
        <v>45848.0</v>
      </c>
      <c r="F206" s="32">
        <v>45849.0</v>
      </c>
      <c r="G206" s="32">
        <v>45849.0</v>
      </c>
      <c r="H206" s="14" t="s">
        <v>3662</v>
      </c>
      <c r="I206" s="14" t="s">
        <v>152</v>
      </c>
      <c r="J206" s="24"/>
      <c r="K206" s="18">
        <f>HYPERLINK("https://app.hubspot.com/contacts/8748051/record/0-2/8142455696", 8142455696)</f>
        <v>8142455696</v>
      </c>
      <c r="L206" s="14" t="s">
        <v>921</v>
      </c>
      <c r="M206" s="18" t="s">
        <v>922</v>
      </c>
      <c r="N206" s="23">
        <f>HYPERLINK("https://app.hubspot.com/contacts/8748051/record/0-3/39921808681", 39921808681)</f>
        <v>39921808681</v>
      </c>
      <c r="O206" s="14" t="s">
        <v>919</v>
      </c>
      <c r="P206" s="14" t="s">
        <v>89</v>
      </c>
      <c r="Q206" s="14">
        <v>88000.0</v>
      </c>
      <c r="R206" s="14" t="b">
        <v>1</v>
      </c>
      <c r="S206" s="24" t="str">
        <f t="shared" ref="S206:U206" si="208">IF(E206&lt;&gt;"","Yes","")</f>
        <v>Yes</v>
      </c>
      <c r="T206" s="24" t="str">
        <f t="shared" si="208"/>
        <v>Yes</v>
      </c>
      <c r="U206" s="24" t="str">
        <f t="shared" si="208"/>
        <v>Yes</v>
      </c>
      <c r="V206" s="24" t="str">
        <f t="shared" si="3"/>
        <v>Yes</v>
      </c>
      <c r="W206" s="14" t="str">
        <f t="shared" si="4"/>
        <v/>
      </c>
    </row>
    <row r="207" ht="14.25" customHeight="1">
      <c r="A207" s="18">
        <f>HYPERLINK("https://app.hubspot.com/contacts/8748051/record/0-1/128492694371", 128492694371)</f>
        <v>128492694371</v>
      </c>
      <c r="B207" s="14" t="s">
        <v>3663</v>
      </c>
      <c r="C207" s="16">
        <v>45847.496157407404</v>
      </c>
      <c r="D207" s="14"/>
      <c r="E207" s="32">
        <v>45847.0</v>
      </c>
      <c r="F207" s="32">
        <v>45853.0</v>
      </c>
      <c r="G207" s="32">
        <v>45853.0</v>
      </c>
      <c r="H207" s="14" t="s">
        <v>3664</v>
      </c>
      <c r="I207" s="14" t="s">
        <v>152</v>
      </c>
      <c r="J207" s="24"/>
      <c r="K207" s="18">
        <f>HYPERLINK("https://app.hubspot.com/contacts/8748051/record/0-2/9238306695", 9238306695)</f>
        <v>9238306695</v>
      </c>
      <c r="L207" s="14" t="s">
        <v>914</v>
      </c>
      <c r="M207" s="18" t="s">
        <v>915</v>
      </c>
      <c r="N207" s="23">
        <f>HYPERLINK("https://app.hubspot.com/contacts/8748051/record/0-3/40250836559", 40250836559)</f>
        <v>40250836559</v>
      </c>
      <c r="O207" s="14" t="s">
        <v>913</v>
      </c>
      <c r="P207" s="14" t="s">
        <v>50</v>
      </c>
      <c r="Q207" s="14">
        <v>100000.0</v>
      </c>
      <c r="R207" s="14" t="b">
        <v>1</v>
      </c>
      <c r="S207" s="24" t="str">
        <f t="shared" ref="S207:U207" si="209">IF(E207&lt;&gt;"","Yes","")</f>
        <v>Yes</v>
      </c>
      <c r="T207" s="24" t="str">
        <f t="shared" si="209"/>
        <v>Yes</v>
      </c>
      <c r="U207" s="24" t="str">
        <f t="shared" si="209"/>
        <v>Yes</v>
      </c>
      <c r="V207" s="24" t="str">
        <f t="shared" si="3"/>
        <v/>
      </c>
      <c r="W207" s="14" t="str">
        <f t="shared" si="4"/>
        <v/>
      </c>
    </row>
    <row r="208" ht="14.25" customHeight="1">
      <c r="A208" s="18">
        <f>HYPERLINK("https://app.hubspot.com/contacts/8748051/record/0-1/135885052022", 135885052022)</f>
        <v>135885052022</v>
      </c>
      <c r="B208" s="14" t="s">
        <v>3665</v>
      </c>
      <c r="C208" s="16">
        <v>45846.48107638889</v>
      </c>
      <c r="D208" s="14"/>
      <c r="E208" s="32">
        <v>45846.0</v>
      </c>
      <c r="F208" s="32">
        <v>45848.0</v>
      </c>
      <c r="G208" s="32">
        <v>45848.0</v>
      </c>
      <c r="H208" s="14" t="s">
        <v>3234</v>
      </c>
      <c r="I208" s="14" t="s">
        <v>3235</v>
      </c>
      <c r="J208" s="24"/>
      <c r="K208" s="18">
        <f>HYPERLINK("https://app.hubspot.com/contacts/8748051/record/0-2/35873852551", 35873852551)</f>
        <v>35873852551</v>
      </c>
      <c r="L208" s="18" t="s">
        <v>925</v>
      </c>
      <c r="M208" s="18" t="s">
        <v>926</v>
      </c>
      <c r="N208" s="23">
        <f>HYPERLINK("https://app.hubspot.com/contacts/8748051/record/0-3/39929995149", 39929995149)</f>
        <v>39929995149</v>
      </c>
      <c r="O208" s="14" t="s">
        <v>924</v>
      </c>
      <c r="P208" s="14" t="s">
        <v>124</v>
      </c>
      <c r="Q208" s="14">
        <v>25000.0</v>
      </c>
      <c r="R208" s="14" t="b">
        <v>1</v>
      </c>
      <c r="S208" s="24" t="str">
        <f t="shared" ref="S208:U208" si="210">IF(E208&lt;&gt;"","Yes","")</f>
        <v>Yes</v>
      </c>
      <c r="T208" s="24" t="str">
        <f t="shared" si="210"/>
        <v>Yes</v>
      </c>
      <c r="U208" s="24" t="str">
        <f t="shared" si="210"/>
        <v>Yes</v>
      </c>
      <c r="V208" s="24" t="str">
        <f t="shared" si="3"/>
        <v/>
      </c>
      <c r="W208" s="14" t="str">
        <f t="shared" si="4"/>
        <v/>
      </c>
    </row>
    <row r="209" ht="14.25" customHeight="1">
      <c r="A209" s="18">
        <f>HYPERLINK("https://app.hubspot.com/contacts/8748051/record/0-1/135820408435", 135820408435)</f>
        <v>135820408435</v>
      </c>
      <c r="B209" s="14" t="s">
        <v>3666</v>
      </c>
      <c r="C209" s="16">
        <v>45846.30287037037</v>
      </c>
      <c r="D209" s="14"/>
      <c r="E209" s="32">
        <v>45846.0</v>
      </c>
      <c r="F209" s="32">
        <v>45846.0</v>
      </c>
      <c r="G209" s="32">
        <v>45846.0</v>
      </c>
      <c r="H209" s="14" t="s">
        <v>3252</v>
      </c>
      <c r="I209" s="14" t="s">
        <v>3237</v>
      </c>
      <c r="J209" s="24"/>
      <c r="K209" s="18">
        <f>HYPERLINK("https://app.hubspot.com/contacts/8748051/record/0-2/35852040843", 35852040843)</f>
        <v>35852040843</v>
      </c>
      <c r="L209" s="14" t="s">
        <v>928</v>
      </c>
      <c r="M209" s="18" t="s">
        <v>929</v>
      </c>
      <c r="N209" s="23">
        <f>HYPERLINK("https://app.hubspot.com/contacts/8748051/record/0-3/39855861805", 39855861805)</f>
        <v>39855861805</v>
      </c>
      <c r="O209" s="14" t="s">
        <v>927</v>
      </c>
      <c r="P209" s="14" t="s">
        <v>118</v>
      </c>
      <c r="Q209" s="14">
        <v>7500.0</v>
      </c>
      <c r="R209" s="14"/>
      <c r="S209" s="24" t="str">
        <f t="shared" ref="S209:U209" si="211">IF(E209&lt;&gt;"","Yes","")</f>
        <v>Yes</v>
      </c>
      <c r="T209" s="24" t="str">
        <f t="shared" si="211"/>
        <v>Yes</v>
      </c>
      <c r="U209" s="24" t="str">
        <f t="shared" si="211"/>
        <v>Yes</v>
      </c>
      <c r="V209" s="24" t="str">
        <f t="shared" si="3"/>
        <v/>
      </c>
      <c r="W209" s="14" t="str">
        <f t="shared" si="4"/>
        <v/>
      </c>
    </row>
    <row r="210" ht="14.25" customHeight="1">
      <c r="A210" s="18">
        <f>HYPERLINK("https://app.hubspot.com/contacts/8748051/record/0-1/135477027195", 135477027195)</f>
        <v>135477027195</v>
      </c>
      <c r="B210" s="14" t="s">
        <v>3667</v>
      </c>
      <c r="C210" s="16">
        <v>45845.1590625</v>
      </c>
      <c r="D210" s="14"/>
      <c r="E210" s="32">
        <v>45845.0</v>
      </c>
      <c r="F210" s="32">
        <v>45846.0</v>
      </c>
      <c r="G210" s="32">
        <v>45846.0</v>
      </c>
      <c r="H210" s="14" t="s">
        <v>3668</v>
      </c>
      <c r="I210" s="14" t="s">
        <v>3470</v>
      </c>
      <c r="J210" s="24"/>
      <c r="K210" s="18">
        <f>HYPERLINK("https://app.hubspot.com/contacts/8748051/record/0-2/34645141515", 34645141515)</f>
        <v>34645141515</v>
      </c>
      <c r="L210" s="14" t="s">
        <v>1005</v>
      </c>
      <c r="M210" s="18" t="s">
        <v>1006</v>
      </c>
      <c r="N210" s="23">
        <f>HYPERLINK("https://app.hubspot.com/contacts/8748051/record/0-3/38434478902", 38434478902)</f>
        <v>38434478902</v>
      </c>
      <c r="O210" s="14" t="s">
        <v>1004</v>
      </c>
      <c r="P210" s="14" t="s">
        <v>118</v>
      </c>
      <c r="Q210" s="14">
        <v>32500.0</v>
      </c>
      <c r="R210" s="14"/>
      <c r="S210" s="24" t="str">
        <f t="shared" ref="S210:U210" si="212">IF(E210&lt;&gt;"","Yes","")</f>
        <v>Yes</v>
      </c>
      <c r="T210" s="24" t="str">
        <f t="shared" si="212"/>
        <v>Yes</v>
      </c>
      <c r="U210" s="24" t="str">
        <f t="shared" si="212"/>
        <v>Yes</v>
      </c>
      <c r="V210" s="24" t="str">
        <f t="shared" si="3"/>
        <v/>
      </c>
      <c r="W210" s="14" t="str">
        <f t="shared" si="4"/>
        <v/>
      </c>
    </row>
    <row r="211" ht="14.25" customHeight="1">
      <c r="A211" s="18">
        <f>HYPERLINK("https://app.hubspot.com/contacts/8748051/record/0-1/134760977003", 134760977003)</f>
        <v>134760977003</v>
      </c>
      <c r="B211" s="14" t="s">
        <v>3669</v>
      </c>
      <c r="C211" s="16">
        <v>45842.20831018518</v>
      </c>
      <c r="D211" s="14"/>
      <c r="E211" s="32">
        <v>45842.0</v>
      </c>
      <c r="F211" s="32">
        <v>45847.0</v>
      </c>
      <c r="G211" s="32"/>
      <c r="H211" s="14" t="s">
        <v>3670</v>
      </c>
      <c r="I211" s="14" t="s">
        <v>3237</v>
      </c>
      <c r="J211" s="24"/>
      <c r="K211" s="18">
        <f>HYPERLINK("https://app.hubspot.com/contacts/8748051/record/0-2/35716473420", 35716473420)</f>
        <v>35716473420</v>
      </c>
      <c r="L211" s="14" t="s">
        <v>931</v>
      </c>
      <c r="M211" s="18" t="s">
        <v>932</v>
      </c>
      <c r="N211" s="23">
        <f>HYPERLINK("https://app.hubspot.com/contacts/8748051/record/0-3/39685011320", 39685011320)</f>
        <v>39685011320</v>
      </c>
      <c r="O211" s="14" t="s">
        <v>930</v>
      </c>
      <c r="P211" s="14" t="s">
        <v>118</v>
      </c>
      <c r="Q211" s="14">
        <v>5000.0</v>
      </c>
      <c r="R211" s="14"/>
      <c r="S211" s="24" t="str">
        <f t="shared" ref="S211:U211" si="213">IF(E211&lt;&gt;"","Yes","")</f>
        <v>Yes</v>
      </c>
      <c r="T211" s="24" t="str">
        <f t="shared" si="213"/>
        <v>Yes</v>
      </c>
      <c r="U211" s="24" t="str">
        <f t="shared" si="213"/>
        <v/>
      </c>
      <c r="V211" s="24" t="str">
        <f t="shared" si="3"/>
        <v/>
      </c>
      <c r="W211" s="14" t="str">
        <f t="shared" si="4"/>
        <v/>
      </c>
    </row>
    <row r="212" ht="14.25" customHeight="1">
      <c r="A212" s="18">
        <f>HYPERLINK("https://app.hubspot.com/contacts/8748051/record/0-1/134706354073", 134706354073)</f>
        <v>134706354073</v>
      </c>
      <c r="B212" s="14" t="s">
        <v>3671</v>
      </c>
      <c r="C212" s="16">
        <v>45842.01694444445</v>
      </c>
      <c r="D212" s="14"/>
      <c r="E212" s="32">
        <v>45842.0</v>
      </c>
      <c r="F212" s="32">
        <v>45848.0</v>
      </c>
      <c r="G212" s="32">
        <v>45848.0</v>
      </c>
      <c r="H212" s="14" t="s">
        <v>3672</v>
      </c>
      <c r="I212" s="14" t="s">
        <v>3243</v>
      </c>
      <c r="J212" s="24"/>
      <c r="K212" s="18">
        <f>HYPERLINK("https://app.hubspot.com/contacts/8748051/record/0-2/35714288133", 35714288133)</f>
        <v>35714288133</v>
      </c>
      <c r="L212" s="14" t="s">
        <v>934</v>
      </c>
      <c r="M212" s="18" t="s">
        <v>935</v>
      </c>
      <c r="N212" s="23">
        <f>HYPERLINK("https://app.hubspot.com/contacts/8748051/record/0-3/39680299684", 39680299684)</f>
        <v>39680299684</v>
      </c>
      <c r="O212" s="14" t="s">
        <v>933</v>
      </c>
      <c r="P212" s="14" t="s">
        <v>124</v>
      </c>
      <c r="Q212" s="14">
        <v>7500.0</v>
      </c>
      <c r="R212" s="14" t="b">
        <v>1</v>
      </c>
      <c r="S212" s="24" t="str">
        <f t="shared" ref="S212:U212" si="214">IF(E212&lt;&gt;"","Yes","")</f>
        <v>Yes</v>
      </c>
      <c r="T212" s="24" t="str">
        <f t="shared" si="214"/>
        <v>Yes</v>
      </c>
      <c r="U212" s="24" t="str">
        <f t="shared" si="214"/>
        <v>Yes</v>
      </c>
      <c r="V212" s="24" t="str">
        <f t="shared" si="3"/>
        <v/>
      </c>
      <c r="W212" s="14" t="str">
        <f t="shared" si="4"/>
        <v/>
      </c>
    </row>
    <row r="213" ht="14.25" customHeight="1">
      <c r="A213" s="18">
        <f>HYPERLINK("https://app.hubspot.com/contacts/8748051/record/0-1/134425547553", 134425547553)</f>
        <v>134425547553</v>
      </c>
      <c r="B213" s="14" t="s">
        <v>3673</v>
      </c>
      <c r="C213" s="16">
        <v>45841.254224537035</v>
      </c>
      <c r="D213" s="14"/>
      <c r="E213" s="32">
        <v>45841.0</v>
      </c>
      <c r="F213" s="32">
        <v>45848.0</v>
      </c>
      <c r="G213" s="32">
        <v>45882.0</v>
      </c>
      <c r="H213" s="14" t="s">
        <v>3674</v>
      </c>
      <c r="I213" s="14" t="s">
        <v>152</v>
      </c>
      <c r="J213" s="24"/>
      <c r="K213" s="18">
        <f>HYPERLINK("https://app.hubspot.com/contacts/8748051/record/0-2/35677443192", 35677443192)</f>
        <v>35677443192</v>
      </c>
      <c r="L213" s="14" t="s">
        <v>941</v>
      </c>
      <c r="M213" s="18" t="s">
        <v>942</v>
      </c>
      <c r="N213" s="23">
        <f>HYPERLINK("https://app.hubspot.com/contacts/8748051/record/0-3/39651087419", 39651087419)</f>
        <v>39651087419</v>
      </c>
      <c r="O213" s="14" t="s">
        <v>939</v>
      </c>
      <c r="P213" s="14" t="s">
        <v>146</v>
      </c>
      <c r="Q213" s="14">
        <v>15000.0</v>
      </c>
      <c r="R213" s="14" t="b">
        <v>1</v>
      </c>
      <c r="S213" s="24" t="str">
        <f t="shared" ref="S213:U213" si="215">IF(E213&lt;&gt;"","Yes","")</f>
        <v>Yes</v>
      </c>
      <c r="T213" s="24" t="str">
        <f t="shared" si="215"/>
        <v>Yes</v>
      </c>
      <c r="U213" s="24" t="str">
        <f t="shared" si="215"/>
        <v>Yes</v>
      </c>
      <c r="V213" s="24" t="str">
        <f t="shared" si="3"/>
        <v/>
      </c>
      <c r="W213" s="14" t="str">
        <f t="shared" si="4"/>
        <v>Yes</v>
      </c>
    </row>
    <row r="214" ht="14.25" customHeight="1">
      <c r="A214" s="18">
        <f>HYPERLINK("https://app.hubspot.com/contacts/8748051/record/0-1/134320656682", 134320656682)</f>
        <v>134320656682</v>
      </c>
      <c r="B214" s="14" t="s">
        <v>3675</v>
      </c>
      <c r="C214" s="16">
        <v>45840.87045138889</v>
      </c>
      <c r="D214" s="14"/>
      <c r="E214" s="32">
        <v>45841.0</v>
      </c>
      <c r="F214" s="32">
        <v>45842.0</v>
      </c>
      <c r="G214" s="32"/>
      <c r="H214" s="14" t="s">
        <v>3676</v>
      </c>
      <c r="I214" s="14" t="s">
        <v>152</v>
      </c>
      <c r="J214" s="24"/>
      <c r="K214" s="18">
        <f>HYPERLINK("https://app.hubspot.com/contacts/8748051/record/0-2/35652802098", 35652802098)</f>
        <v>35652802098</v>
      </c>
      <c r="L214" s="14" t="s">
        <v>937</v>
      </c>
      <c r="M214" s="18" t="s">
        <v>938</v>
      </c>
      <c r="N214" s="23">
        <f>HYPERLINK("https://app.hubspot.com/contacts/8748051/record/0-3/39650960754", 39650960754)</f>
        <v>39650960754</v>
      </c>
      <c r="O214" s="14" t="s">
        <v>936</v>
      </c>
      <c r="P214" s="14" t="s">
        <v>118</v>
      </c>
      <c r="Q214" s="14">
        <v>3500.0</v>
      </c>
      <c r="R214" s="14"/>
      <c r="S214" s="24" t="str">
        <f t="shared" ref="S214:U214" si="216">IF(E214&lt;&gt;"","Yes","")</f>
        <v>Yes</v>
      </c>
      <c r="T214" s="24" t="str">
        <f t="shared" si="216"/>
        <v>Yes</v>
      </c>
      <c r="U214" s="24" t="str">
        <f t="shared" si="216"/>
        <v/>
      </c>
      <c r="V214" s="24" t="str">
        <f t="shared" si="3"/>
        <v/>
      </c>
      <c r="W214" s="14" t="str">
        <f t="shared" si="4"/>
        <v/>
      </c>
    </row>
    <row r="215" ht="14.25" customHeight="1">
      <c r="A215" s="18">
        <f>HYPERLINK("https://app.hubspot.com/contacts/8748051/record/0-1/477201", 477201)</f>
        <v>477201</v>
      </c>
      <c r="B215" s="14" t="s">
        <v>3677</v>
      </c>
      <c r="C215" s="16">
        <v>45838.64917824074</v>
      </c>
      <c r="D215" s="14"/>
      <c r="E215" s="32">
        <v>45839.0</v>
      </c>
      <c r="F215" s="32">
        <v>45848.0</v>
      </c>
      <c r="G215" s="32">
        <v>45848.0</v>
      </c>
      <c r="H215" s="14" t="s">
        <v>3678</v>
      </c>
      <c r="I215" s="14" t="s">
        <v>3240</v>
      </c>
      <c r="J215" s="24"/>
      <c r="K215" s="18">
        <f>HYPERLINK("https://app.hubspot.com/contacts/8748051/record/0-2/8303507885", 8303507885)</f>
        <v>8303507885</v>
      </c>
      <c r="L215" s="14" t="s">
        <v>945</v>
      </c>
      <c r="M215" s="18" t="s">
        <v>946</v>
      </c>
      <c r="N215" s="23">
        <f>HYPERLINK("https://app.hubspot.com/contacts/8748051/record/0-3/39524397206", 39524397206)</f>
        <v>39524397206</v>
      </c>
      <c r="O215" s="14" t="s">
        <v>943</v>
      </c>
      <c r="P215" s="14" t="s">
        <v>89</v>
      </c>
      <c r="Q215" s="14">
        <v>35000.0</v>
      </c>
      <c r="R215" s="14" t="b">
        <v>1</v>
      </c>
      <c r="S215" s="24" t="str">
        <f t="shared" ref="S215:U215" si="217">IF(E215&lt;&gt;"","Yes","")</f>
        <v>Yes</v>
      </c>
      <c r="T215" s="24" t="str">
        <f t="shared" si="217"/>
        <v>Yes</v>
      </c>
      <c r="U215" s="24" t="str">
        <f t="shared" si="217"/>
        <v>Yes</v>
      </c>
      <c r="V215" s="24" t="str">
        <f t="shared" si="3"/>
        <v>Yes</v>
      </c>
      <c r="W215" s="14" t="str">
        <f t="shared" si="4"/>
        <v/>
      </c>
    </row>
    <row r="216" ht="14.25" customHeight="1">
      <c r="A216" s="18">
        <f>HYPERLINK("https://app.hubspot.com/contacts/8748051/record/0-1/133503354626", 133503354626)</f>
        <v>133503354626</v>
      </c>
      <c r="B216" s="14" t="s">
        <v>3679</v>
      </c>
      <c r="C216" s="16">
        <v>45838.28605324074</v>
      </c>
      <c r="D216" s="14"/>
      <c r="E216" s="32">
        <v>45838.0</v>
      </c>
      <c r="F216" s="32">
        <v>45846.0</v>
      </c>
      <c r="G216" s="32"/>
      <c r="H216" s="14" t="s">
        <v>152</v>
      </c>
      <c r="I216" s="14" t="s">
        <v>152</v>
      </c>
      <c r="J216" s="24"/>
      <c r="K216" s="23">
        <f>HYPERLINK("https://app.hubspot.com/contacts/8748051/record/0-2/35502416005", 35502416005)</f>
        <v>35502416005</v>
      </c>
      <c r="L216" s="14" t="s">
        <v>948</v>
      </c>
      <c r="M216" s="18" t="s">
        <v>949</v>
      </c>
      <c r="N216" s="23">
        <f>HYPERLINK("https://app.hubspot.com/contacts/8748051/record/0-3/39493234444", 39493234444)</f>
        <v>39493234444</v>
      </c>
      <c r="O216" s="14" t="s">
        <v>947</v>
      </c>
      <c r="P216" s="14" t="s">
        <v>118</v>
      </c>
      <c r="Q216" s="14">
        <v>7000.0</v>
      </c>
      <c r="R216" s="14"/>
      <c r="S216" s="24" t="str">
        <f t="shared" ref="S216:U216" si="218">IF(E216&lt;&gt;"","Yes","")</f>
        <v>Yes</v>
      </c>
      <c r="T216" s="24" t="str">
        <f t="shared" si="218"/>
        <v>Yes</v>
      </c>
      <c r="U216" s="24" t="str">
        <f t="shared" si="218"/>
        <v/>
      </c>
      <c r="V216" s="24" t="str">
        <f t="shared" si="3"/>
        <v/>
      </c>
      <c r="W216" s="14" t="str">
        <f t="shared" si="4"/>
        <v/>
      </c>
    </row>
    <row r="217" ht="14.25" customHeight="1">
      <c r="A217" s="18">
        <f>HYPERLINK("https://app.hubspot.com/contacts/8748051/record/0-1/132689630055", 132689630055)</f>
        <v>132689630055</v>
      </c>
      <c r="B217" s="14" t="s">
        <v>3680</v>
      </c>
      <c r="C217" s="16">
        <v>45834.695231481484</v>
      </c>
      <c r="D217" s="14"/>
      <c r="E217" s="32">
        <v>45835.0</v>
      </c>
      <c r="F217" s="32">
        <v>45838.0</v>
      </c>
      <c r="G217" s="32"/>
      <c r="H217" s="14" t="s">
        <v>3681</v>
      </c>
      <c r="I217" s="14" t="s">
        <v>152</v>
      </c>
      <c r="J217" s="24"/>
      <c r="K217" s="18">
        <f>HYPERLINK("https://app.hubspot.com/contacts/8748051/record/0-2/8142764962", 8142764962)</f>
        <v>8142764962</v>
      </c>
      <c r="L217" s="14" t="s">
        <v>951</v>
      </c>
      <c r="M217" s="18" t="s">
        <v>952</v>
      </c>
      <c r="N217" s="23">
        <f>HYPERLINK("https://app.hubspot.com/contacts/8748051/record/0-3/39358096402", 39358096402)</f>
        <v>39358096402</v>
      </c>
      <c r="O217" s="14" t="s">
        <v>950</v>
      </c>
      <c r="P217" s="14" t="s">
        <v>118</v>
      </c>
      <c r="Q217" s="14">
        <v>100000.0</v>
      </c>
      <c r="R217" s="14"/>
      <c r="S217" s="24" t="str">
        <f t="shared" ref="S217:U217" si="219">IF(E217&lt;&gt;"","Yes","")</f>
        <v>Yes</v>
      </c>
      <c r="T217" s="24" t="str">
        <f t="shared" si="219"/>
        <v>Yes</v>
      </c>
      <c r="U217" s="24" t="str">
        <f t="shared" si="219"/>
        <v/>
      </c>
      <c r="V217" s="24" t="str">
        <f t="shared" si="3"/>
        <v/>
      </c>
      <c r="W217" s="14" t="str">
        <f t="shared" si="4"/>
        <v/>
      </c>
    </row>
    <row r="218" ht="14.25" customHeight="1">
      <c r="A218" s="18">
        <f>HYPERLINK("https://app.hubspot.com/contacts/8748051/record/0-1/132109195822", 132109195822)</f>
        <v>132109195822</v>
      </c>
      <c r="B218" s="14" t="s">
        <v>3682</v>
      </c>
      <c r="C218" s="16">
        <v>45832.5783912037</v>
      </c>
      <c r="D218" s="14"/>
      <c r="E218" s="32">
        <v>45833.0</v>
      </c>
      <c r="F218" s="32">
        <v>45834.0</v>
      </c>
      <c r="G218" s="32">
        <v>45834.0</v>
      </c>
      <c r="H218" s="14" t="s">
        <v>3683</v>
      </c>
      <c r="I218" s="14" t="s">
        <v>152</v>
      </c>
      <c r="J218" s="24"/>
      <c r="K218" s="18">
        <f>HYPERLINK("https://app.hubspot.com/contacts/8748051/record/0-2/35404479570", 35404479570)</f>
        <v>35404479570</v>
      </c>
      <c r="L218" s="14" t="s">
        <v>959</v>
      </c>
      <c r="M218" s="18" t="s">
        <v>960</v>
      </c>
      <c r="N218" s="18">
        <f>HYPERLINK("https://app.hubspot.com/contacts/8748051/record/0-3/39253037614", 39253037614)</f>
        <v>39253037614</v>
      </c>
      <c r="O218" s="14" t="s">
        <v>957</v>
      </c>
      <c r="P218" s="14" t="s">
        <v>89</v>
      </c>
      <c r="Q218" s="14">
        <v>15000.0</v>
      </c>
      <c r="R218" s="14" t="b">
        <v>1</v>
      </c>
      <c r="S218" s="24" t="str">
        <f t="shared" ref="S218:U218" si="220">IF(E218&lt;&gt;"","Yes","")</f>
        <v>Yes</v>
      </c>
      <c r="T218" s="24" t="str">
        <f t="shared" si="220"/>
        <v>Yes</v>
      </c>
      <c r="U218" s="24" t="str">
        <f t="shared" si="220"/>
        <v>Yes</v>
      </c>
      <c r="V218" s="24" t="str">
        <f t="shared" si="3"/>
        <v>Yes</v>
      </c>
      <c r="W218" s="14" t="str">
        <f t="shared" si="4"/>
        <v/>
      </c>
    </row>
    <row r="219" ht="14.25" customHeight="1">
      <c r="A219" s="18">
        <f>HYPERLINK("https://app.hubspot.com/contacts/8748051/record/0-1/132072030477", 132072030477)</f>
        <v>132072030477</v>
      </c>
      <c r="B219" s="14" t="s">
        <v>3684</v>
      </c>
      <c r="C219" s="16">
        <v>45832.42916666667</v>
      </c>
      <c r="D219" s="14"/>
      <c r="E219" s="32">
        <v>45832.0</v>
      </c>
      <c r="F219" s="32">
        <v>45834.0</v>
      </c>
      <c r="G219" s="32">
        <v>45834.0</v>
      </c>
      <c r="H219" s="14" t="s">
        <v>3664</v>
      </c>
      <c r="I219" s="14" t="s">
        <v>152</v>
      </c>
      <c r="J219" s="24"/>
      <c r="K219" s="18">
        <f>HYPERLINK("https://app.hubspot.com/contacts/8748051/record/0-2/19176660880", 19176660880)</f>
        <v>19176660880</v>
      </c>
      <c r="L219" s="14" t="s">
        <v>964</v>
      </c>
      <c r="M219" s="18" t="s">
        <v>965</v>
      </c>
      <c r="N219" s="23">
        <f>HYPERLINK("https://app.hubspot.com/contacts/8748051/record/0-3/39253601357", 39253601357)</f>
        <v>39253601357</v>
      </c>
      <c r="O219" s="14" t="s">
        <v>963</v>
      </c>
      <c r="P219" s="14" t="s">
        <v>118</v>
      </c>
      <c r="Q219" s="14">
        <v>19000.0</v>
      </c>
      <c r="R219" s="14"/>
      <c r="S219" s="24" t="str">
        <f t="shared" ref="S219:U219" si="221">IF(E219&lt;&gt;"","Yes","")</f>
        <v>Yes</v>
      </c>
      <c r="T219" s="24" t="str">
        <f t="shared" si="221"/>
        <v>Yes</v>
      </c>
      <c r="U219" s="24" t="str">
        <f t="shared" si="221"/>
        <v>Yes</v>
      </c>
      <c r="V219" s="24" t="str">
        <f t="shared" si="3"/>
        <v/>
      </c>
      <c r="W219" s="14" t="str">
        <f t="shared" si="4"/>
        <v/>
      </c>
    </row>
    <row r="220" ht="14.25" customHeight="1">
      <c r="A220" s="18">
        <f>HYPERLINK("https://app.hubspot.com/contacts/8748051/record/0-1/131414577046", 131414577046)</f>
        <v>131414577046</v>
      </c>
      <c r="B220" s="14" t="s">
        <v>3685</v>
      </c>
      <c r="C220" s="16">
        <v>45830.361875</v>
      </c>
      <c r="D220" s="14"/>
      <c r="E220" s="32">
        <v>45830.0</v>
      </c>
      <c r="F220" s="32">
        <v>45838.0</v>
      </c>
      <c r="G220" s="32">
        <v>45838.0</v>
      </c>
      <c r="H220" s="14" t="s">
        <v>3686</v>
      </c>
      <c r="I220" s="14" t="s">
        <v>152</v>
      </c>
      <c r="J220" s="24"/>
      <c r="K220" s="18">
        <f>HYPERLINK("https://app.hubspot.com/contacts/8748051/record/0-2/35271236145", 35271236145)</f>
        <v>35271236145</v>
      </c>
      <c r="L220" s="14" t="s">
        <v>971</v>
      </c>
      <c r="M220" s="18" t="s">
        <v>972</v>
      </c>
      <c r="N220" s="23">
        <f>HYPERLINK("https://app.hubspot.com/contacts/8748051/record/0-3/39208575374", 39208575374)</f>
        <v>39208575374</v>
      </c>
      <c r="O220" s="14" t="s">
        <v>970</v>
      </c>
      <c r="P220" s="14" t="s">
        <v>118</v>
      </c>
      <c r="Q220" s="14">
        <v>6500.0</v>
      </c>
      <c r="R220" s="14"/>
      <c r="S220" s="24" t="str">
        <f t="shared" ref="S220:U220" si="222">IF(E220&lt;&gt;"","Yes","")</f>
        <v>Yes</v>
      </c>
      <c r="T220" s="24" t="str">
        <f t="shared" si="222"/>
        <v>Yes</v>
      </c>
      <c r="U220" s="24" t="str">
        <f t="shared" si="222"/>
        <v>Yes</v>
      </c>
      <c r="V220" s="24" t="str">
        <f t="shared" si="3"/>
        <v/>
      </c>
      <c r="W220" s="14" t="str">
        <f t="shared" si="4"/>
        <v/>
      </c>
    </row>
    <row r="221" ht="14.25" customHeight="1">
      <c r="A221" s="18">
        <f>HYPERLINK("https://app.hubspot.com/contacts/8748051/record/0-1/618352", 618352)</f>
        <v>618352</v>
      </c>
      <c r="B221" s="14" t="s">
        <v>3687</v>
      </c>
      <c r="C221" s="16">
        <v>45828.7021875</v>
      </c>
      <c r="D221" s="14"/>
      <c r="E221" s="32">
        <v>45829.0</v>
      </c>
      <c r="F221" s="32">
        <v>45888.0</v>
      </c>
      <c r="G221" s="32">
        <v>45888.0</v>
      </c>
      <c r="H221" s="14" t="s">
        <v>3688</v>
      </c>
      <c r="I221" s="14" t="s">
        <v>152</v>
      </c>
      <c r="J221" s="24"/>
      <c r="K221" s="18">
        <f>HYPERLINK("https://app.hubspot.com/contacts/8748051/record/0-2/9016989477", 9016989477)</f>
        <v>9016989477</v>
      </c>
      <c r="L221" s="14" t="s">
        <v>977</v>
      </c>
      <c r="M221" s="18" t="s">
        <v>978</v>
      </c>
      <c r="N221" s="18">
        <f>HYPERLINK("https://app.hubspot.com/contacts/8748051/record/0-3/39019144489", 39019144489)</f>
        <v>39019144489</v>
      </c>
      <c r="O221" s="14" t="s">
        <v>976</v>
      </c>
      <c r="P221" s="14" t="s">
        <v>124</v>
      </c>
      <c r="Q221" s="14">
        <v>70000.0</v>
      </c>
      <c r="R221" s="14" t="b">
        <v>1</v>
      </c>
      <c r="S221" s="24" t="str">
        <f t="shared" ref="S221:U221" si="223">IF(E221&lt;&gt;"","Yes","")</f>
        <v>Yes</v>
      </c>
      <c r="T221" s="24" t="str">
        <f t="shared" si="223"/>
        <v>Yes</v>
      </c>
      <c r="U221" s="24" t="str">
        <f t="shared" si="223"/>
        <v>Yes</v>
      </c>
      <c r="V221" s="24" t="str">
        <f t="shared" si="3"/>
        <v/>
      </c>
      <c r="W221" s="14" t="str">
        <f t="shared" si="4"/>
        <v/>
      </c>
    </row>
    <row r="222" ht="14.25" customHeight="1">
      <c r="A222" s="18">
        <f>HYPERLINK("https://app.hubspot.com/contacts/8748051/record/0-1/130888616119", 130888616119)</f>
        <v>130888616119</v>
      </c>
      <c r="B222" s="14" t="s">
        <v>3689</v>
      </c>
      <c r="C222" s="16">
        <v>45828.39976851852</v>
      </c>
      <c r="D222" s="14" t="s">
        <v>3304</v>
      </c>
      <c r="E222" s="32"/>
      <c r="F222" s="32"/>
      <c r="G222" s="32"/>
      <c r="H222" s="14" t="s">
        <v>3690</v>
      </c>
      <c r="I222" s="14"/>
      <c r="J222" s="24"/>
      <c r="K222" s="18">
        <f>HYPERLINK("https://app.hubspot.com/contacts/8748051/record/0-2/35252240423", 35252240423)</f>
        <v>35252240423</v>
      </c>
      <c r="L222" s="18" t="s">
        <v>3691</v>
      </c>
      <c r="M222" s="18" t="s">
        <v>3691</v>
      </c>
      <c r="N222" s="24"/>
      <c r="O222" s="14"/>
      <c r="P222" s="14"/>
      <c r="Q222" s="14"/>
      <c r="R222" s="14"/>
      <c r="S222" s="24" t="str">
        <f t="shared" ref="S222:U222" si="224">IF(E222&lt;&gt;"","Yes","")</f>
        <v/>
      </c>
      <c r="T222" s="24" t="str">
        <f t="shared" si="224"/>
        <v/>
      </c>
      <c r="U222" s="24" t="str">
        <f t="shared" si="224"/>
        <v/>
      </c>
      <c r="V222" s="24" t="str">
        <f t="shared" si="3"/>
        <v/>
      </c>
      <c r="W222" s="14" t="str">
        <f t="shared" si="4"/>
        <v/>
      </c>
    </row>
    <row r="223" ht="14.25" customHeight="1">
      <c r="A223" s="18">
        <f>HYPERLINK("https://app.hubspot.com/contacts/8748051/record/0-1/130532751929", 130532751929)</f>
        <v>130532751929</v>
      </c>
      <c r="B223" s="14" t="s">
        <v>3692</v>
      </c>
      <c r="C223" s="16">
        <v>45826.58363425926</v>
      </c>
      <c r="D223" s="14"/>
      <c r="E223" s="32">
        <v>45827.0</v>
      </c>
      <c r="F223" s="32">
        <v>45832.0</v>
      </c>
      <c r="G223" s="32">
        <v>45832.0</v>
      </c>
      <c r="H223" s="14" t="s">
        <v>3693</v>
      </c>
      <c r="I223" s="14" t="s">
        <v>3470</v>
      </c>
      <c r="J223" s="24"/>
      <c r="K223" s="18">
        <f>HYPERLINK("https://app.hubspot.com/contacts/8748051/record/0-2/7914547487", 7914547487)</f>
        <v>7914547487</v>
      </c>
      <c r="L223" s="14" t="s">
        <v>974</v>
      </c>
      <c r="M223" s="18" t="s">
        <v>975</v>
      </c>
      <c r="N223" s="23">
        <f>HYPERLINK("https://app.hubspot.com/contacts/8748051/record/0-3/39016902017", 39016902017)</f>
        <v>39016902017</v>
      </c>
      <c r="O223" s="14" t="s">
        <v>973</v>
      </c>
      <c r="P223" s="14" t="s">
        <v>124</v>
      </c>
      <c r="Q223" s="14">
        <v>40500.0</v>
      </c>
      <c r="R223" s="14" t="b">
        <v>1</v>
      </c>
      <c r="S223" s="24" t="str">
        <f t="shared" ref="S223:U223" si="225">IF(E223&lt;&gt;"","Yes","")</f>
        <v>Yes</v>
      </c>
      <c r="T223" s="24" t="str">
        <f t="shared" si="225"/>
        <v>Yes</v>
      </c>
      <c r="U223" s="24" t="str">
        <f t="shared" si="225"/>
        <v>Yes</v>
      </c>
      <c r="V223" s="24" t="str">
        <f t="shared" si="3"/>
        <v/>
      </c>
      <c r="W223" s="14" t="str">
        <f t="shared" si="4"/>
        <v/>
      </c>
    </row>
    <row r="224" ht="14.25" customHeight="1">
      <c r="A224" s="18">
        <f>HYPERLINK("https://app.hubspot.com/contacts/8748051/record/0-1/128981663015", 128981663015)</f>
        <v>128981663015</v>
      </c>
      <c r="B224" s="14" t="s">
        <v>3694</v>
      </c>
      <c r="C224" s="16">
        <v>45824.111134259256</v>
      </c>
      <c r="D224" s="14"/>
      <c r="E224" s="32">
        <v>45824.0</v>
      </c>
      <c r="F224" s="32">
        <v>45838.0</v>
      </c>
      <c r="G224" s="32">
        <v>45838.0</v>
      </c>
      <c r="H224" s="14" t="s">
        <v>3695</v>
      </c>
      <c r="I224" s="14" t="s">
        <v>152</v>
      </c>
      <c r="J224" s="24"/>
      <c r="K224" s="18">
        <f>HYPERLINK("https://app.hubspot.com/contacts/8748051/record/0-2/35097416855", 35097416855)</f>
        <v>35097416855</v>
      </c>
      <c r="L224" s="14" t="s">
        <v>981</v>
      </c>
      <c r="M224" s="18" t="s">
        <v>982</v>
      </c>
      <c r="N224" s="18">
        <f>HYPERLINK("https://app.hubspot.com/contacts/8748051/record/0-3/38959354216", 38959354216)</f>
        <v>38959354216</v>
      </c>
      <c r="O224" s="14" t="s">
        <v>980</v>
      </c>
      <c r="P224" s="14" t="s">
        <v>118</v>
      </c>
      <c r="Q224" s="14">
        <v>4000.0</v>
      </c>
      <c r="R224" s="14"/>
      <c r="S224" s="24" t="str">
        <f t="shared" ref="S224:U224" si="226">IF(E224&lt;&gt;"","Yes","")</f>
        <v>Yes</v>
      </c>
      <c r="T224" s="24" t="str">
        <f t="shared" si="226"/>
        <v>Yes</v>
      </c>
      <c r="U224" s="24" t="str">
        <f t="shared" si="226"/>
        <v>Yes</v>
      </c>
      <c r="V224" s="24" t="str">
        <f t="shared" si="3"/>
        <v/>
      </c>
      <c r="W224" s="14" t="str">
        <f t="shared" si="4"/>
        <v/>
      </c>
    </row>
    <row r="225" ht="14.25" customHeight="1">
      <c r="A225" s="18">
        <f>HYPERLINK("https://app.hubspot.com/contacts/8748051/record/0-1/129516484148", 129516484148)</f>
        <v>129516484148</v>
      </c>
      <c r="B225" s="14" t="s">
        <v>3696</v>
      </c>
      <c r="C225" s="16">
        <v>45823.32171296296</v>
      </c>
      <c r="D225" s="14" t="s">
        <v>3304</v>
      </c>
      <c r="E225" s="32"/>
      <c r="F225" s="32"/>
      <c r="G225" s="32"/>
      <c r="H225" s="14" t="s">
        <v>3697</v>
      </c>
      <c r="I225" s="14"/>
      <c r="J225" s="24"/>
      <c r="K225" s="18">
        <f>HYPERLINK("https://app.hubspot.com/contacts/8748051/record/0-2/35085375382", 35085375382)</f>
        <v>35085375382</v>
      </c>
      <c r="L225" s="18" t="s">
        <v>3698</v>
      </c>
      <c r="M225" s="18" t="s">
        <v>3699</v>
      </c>
      <c r="N225" s="14"/>
      <c r="O225" s="14"/>
      <c r="P225" s="14"/>
      <c r="Q225" s="14"/>
      <c r="R225" s="14"/>
      <c r="S225" s="24" t="str">
        <f t="shared" ref="S225:U225" si="227">IF(E225&lt;&gt;"","Yes","")</f>
        <v/>
      </c>
      <c r="T225" s="24" t="str">
        <f t="shared" si="227"/>
        <v/>
      </c>
      <c r="U225" s="24" t="str">
        <f t="shared" si="227"/>
        <v/>
      </c>
      <c r="V225" s="24" t="str">
        <f t="shared" si="3"/>
        <v/>
      </c>
      <c r="W225" s="14" t="str">
        <f t="shared" si="4"/>
        <v/>
      </c>
    </row>
    <row r="226" ht="14.25" customHeight="1">
      <c r="A226" s="18">
        <f>HYPERLINK("https://app.hubspot.com/contacts/8748051/record/0-1/129403190292", 129403190292)</f>
        <v>129403190292</v>
      </c>
      <c r="B226" s="14" t="s">
        <v>3700</v>
      </c>
      <c r="C226" s="16">
        <v>45822.589594907404</v>
      </c>
      <c r="D226" s="14" t="s">
        <v>3304</v>
      </c>
      <c r="E226" s="32"/>
      <c r="F226" s="32"/>
      <c r="G226" s="32"/>
      <c r="H226" s="14" t="s">
        <v>3701</v>
      </c>
      <c r="I226" s="14"/>
      <c r="J226" s="24"/>
      <c r="K226" s="18">
        <f>HYPERLINK("https://app.hubspot.com/contacts/8748051/record/0-2/35058105742", 35058105742)</f>
        <v>35058105742</v>
      </c>
      <c r="L226" s="14" t="s">
        <v>3702</v>
      </c>
      <c r="M226" s="18" t="s">
        <v>3703</v>
      </c>
      <c r="N226" s="24"/>
      <c r="O226" s="14"/>
      <c r="P226" s="14"/>
      <c r="Q226" s="14"/>
      <c r="R226" s="14"/>
      <c r="S226" s="24" t="str">
        <f t="shared" ref="S226:U226" si="228">IF(E226&lt;&gt;"","Yes","")</f>
        <v/>
      </c>
      <c r="T226" s="24" t="str">
        <f t="shared" si="228"/>
        <v/>
      </c>
      <c r="U226" s="24" t="str">
        <f t="shared" si="228"/>
        <v/>
      </c>
      <c r="V226" s="24" t="str">
        <f t="shared" si="3"/>
        <v/>
      </c>
      <c r="W226" s="14" t="str">
        <f t="shared" si="4"/>
        <v/>
      </c>
    </row>
    <row r="227" ht="14.25" customHeight="1">
      <c r="A227" s="18">
        <f>HYPERLINK("https://app.hubspot.com/contacts/8748051/record/0-1/129050705278", 129050705278)</f>
        <v>129050705278</v>
      </c>
      <c r="B227" s="14" t="s">
        <v>3704</v>
      </c>
      <c r="C227" s="16">
        <v>45820.69505787037</v>
      </c>
      <c r="D227" s="14"/>
      <c r="E227" s="32">
        <v>45821.0</v>
      </c>
      <c r="F227" s="32">
        <v>45821.0</v>
      </c>
      <c r="G227" s="32">
        <v>45821.0</v>
      </c>
      <c r="H227" s="14" t="s">
        <v>3705</v>
      </c>
      <c r="I227" s="14" t="s">
        <v>152</v>
      </c>
      <c r="J227" s="24"/>
      <c r="K227" s="18">
        <f>HYPERLINK("https://app.hubspot.com/contacts/8748051/record/0-2/35012615804", 35012615804)</f>
        <v>35012615804</v>
      </c>
      <c r="L227" s="14" t="s">
        <v>988</v>
      </c>
      <c r="M227" s="18" t="s">
        <v>989</v>
      </c>
      <c r="N227" s="18">
        <f>HYPERLINK("https://app.hubspot.com/contacts/8748051/record/0-3/38824171154", 38824171154)</f>
        <v>38824171154</v>
      </c>
      <c r="O227" s="14" t="s">
        <v>986</v>
      </c>
      <c r="P227" s="14" t="s">
        <v>89</v>
      </c>
      <c r="Q227" s="14">
        <v>7500.0</v>
      </c>
      <c r="R227" s="14" t="b">
        <v>1</v>
      </c>
      <c r="S227" s="24" t="str">
        <f t="shared" ref="S227:U227" si="229">IF(E227&lt;&gt;"","Yes","")</f>
        <v>Yes</v>
      </c>
      <c r="T227" s="24" t="str">
        <f t="shared" si="229"/>
        <v>Yes</v>
      </c>
      <c r="U227" s="24" t="str">
        <f t="shared" si="229"/>
        <v>Yes</v>
      </c>
      <c r="V227" s="24" t="str">
        <f t="shared" si="3"/>
        <v>Yes</v>
      </c>
      <c r="W227" s="14" t="str">
        <f t="shared" si="4"/>
        <v/>
      </c>
    </row>
    <row r="228" ht="14.25" customHeight="1">
      <c r="A228" s="18">
        <f>HYPERLINK("https://app.hubspot.com/contacts/8748051/record/0-1/918551", 918551)</f>
        <v>918551</v>
      </c>
      <c r="B228" s="14" t="s">
        <v>3706</v>
      </c>
      <c r="C228" s="16">
        <v>45819.702314814815</v>
      </c>
      <c r="D228" s="14"/>
      <c r="E228" s="32">
        <v>45820.0</v>
      </c>
      <c r="F228" s="32">
        <v>45826.0</v>
      </c>
      <c r="G228" s="32">
        <v>45826.0</v>
      </c>
      <c r="H228" s="14" t="s">
        <v>3707</v>
      </c>
      <c r="I228" s="14" t="s">
        <v>3707</v>
      </c>
      <c r="J228" s="14"/>
      <c r="K228" s="18">
        <f>HYPERLINK("https://app.hubspot.com/contacts/8748051/record/0-2/9016989477", 9016989477)</f>
        <v>9016989477</v>
      </c>
      <c r="L228" s="14" t="s">
        <v>977</v>
      </c>
      <c r="M228" s="18" t="s">
        <v>978</v>
      </c>
      <c r="N228" s="18">
        <f>HYPERLINK("https://app.hubspot.com/contacts/8748051/record/0-3/39019144489", 39019144489)</f>
        <v>39019144489</v>
      </c>
      <c r="O228" s="14" t="s">
        <v>976</v>
      </c>
      <c r="P228" s="14" t="s">
        <v>124</v>
      </c>
      <c r="Q228" s="14">
        <v>70000.0</v>
      </c>
      <c r="R228" s="14" t="b">
        <v>1</v>
      </c>
      <c r="S228" s="24" t="str">
        <f t="shared" ref="S228:U228" si="230">IF(E228&lt;&gt;"","Yes","")</f>
        <v>Yes</v>
      </c>
      <c r="T228" s="24" t="str">
        <f t="shared" si="230"/>
        <v>Yes</v>
      </c>
      <c r="U228" s="24" t="str">
        <f t="shared" si="230"/>
        <v>Yes</v>
      </c>
      <c r="V228" s="24" t="str">
        <f t="shared" si="3"/>
        <v/>
      </c>
      <c r="W228" s="14" t="str">
        <f t="shared" si="4"/>
        <v/>
      </c>
    </row>
    <row r="229" ht="14.25" customHeight="1">
      <c r="A229" s="18">
        <f>HYPERLINK("https://app.hubspot.com/contacts/8748051/record/0-1/128720223635", 128720223635)</f>
        <v>128720223635</v>
      </c>
      <c r="B229" s="14" t="s">
        <v>3708</v>
      </c>
      <c r="C229" s="16">
        <v>45819.586539351854</v>
      </c>
      <c r="D229" s="14"/>
      <c r="E229" s="32">
        <v>45819.0</v>
      </c>
      <c r="F229" s="32">
        <v>45826.0</v>
      </c>
      <c r="G229" s="32">
        <v>45826.0</v>
      </c>
      <c r="H229" s="14" t="s">
        <v>3709</v>
      </c>
      <c r="I229" s="14" t="s">
        <v>3240</v>
      </c>
      <c r="J229" s="24"/>
      <c r="K229" s="18">
        <f>HYPERLINK("https://app.hubspot.com/contacts/8748051/record/0-2/34978412171", 34978412171)</f>
        <v>34978412171</v>
      </c>
      <c r="L229" s="14" t="s">
        <v>992</v>
      </c>
      <c r="M229" s="18" t="s">
        <v>993</v>
      </c>
      <c r="N229" s="23">
        <f>HYPERLINK("https://app.hubspot.com/contacts/8748051/record/0-3/38775189683", 38775189683)</f>
        <v>38775189683</v>
      </c>
      <c r="O229" s="14" t="s">
        <v>991</v>
      </c>
      <c r="P229" s="14" t="s">
        <v>124</v>
      </c>
      <c r="Q229" s="14">
        <v>49500.0</v>
      </c>
      <c r="R229" s="14" t="b">
        <v>1</v>
      </c>
      <c r="S229" s="24" t="str">
        <f t="shared" ref="S229:U229" si="231">IF(E229&lt;&gt;"","Yes","")</f>
        <v>Yes</v>
      </c>
      <c r="T229" s="24" t="str">
        <f t="shared" si="231"/>
        <v>Yes</v>
      </c>
      <c r="U229" s="24" t="str">
        <f t="shared" si="231"/>
        <v>Yes</v>
      </c>
      <c r="V229" s="24" t="str">
        <f t="shared" si="3"/>
        <v/>
      </c>
      <c r="W229" s="14" t="str">
        <f t="shared" si="4"/>
        <v/>
      </c>
    </row>
    <row r="230" ht="14.25" customHeight="1">
      <c r="A230" s="18">
        <f>HYPERLINK("https://app.hubspot.com/contacts/8748051/record/0-1/128651748759", 128651748759)</f>
        <v>128651748759</v>
      </c>
      <c r="B230" s="14" t="s">
        <v>3710</v>
      </c>
      <c r="C230" s="16">
        <v>45819.080034722225</v>
      </c>
      <c r="D230" s="14" t="s">
        <v>3304</v>
      </c>
      <c r="E230" s="32"/>
      <c r="F230" s="32"/>
      <c r="G230" s="32"/>
      <c r="H230" s="14" t="s">
        <v>3711</v>
      </c>
      <c r="I230" s="14"/>
      <c r="J230" s="14"/>
      <c r="K230" s="18">
        <f>HYPERLINK("https://app.hubspot.com/contacts/8748051/record/0-2/9238374038", 9238374038)</f>
        <v>9238374038</v>
      </c>
      <c r="L230" s="14" t="s">
        <v>3712</v>
      </c>
      <c r="M230" s="18" t="s">
        <v>3713</v>
      </c>
      <c r="N230" s="24"/>
      <c r="O230" s="14"/>
      <c r="P230" s="14"/>
      <c r="Q230" s="14"/>
      <c r="R230" s="14"/>
      <c r="S230" s="24" t="str">
        <f t="shared" ref="S230:U230" si="232">IF(E230&lt;&gt;"","Yes","")</f>
        <v/>
      </c>
      <c r="T230" s="24" t="str">
        <f t="shared" si="232"/>
        <v/>
      </c>
      <c r="U230" s="24" t="str">
        <f t="shared" si="232"/>
        <v/>
      </c>
      <c r="V230" s="24" t="str">
        <f t="shared" si="3"/>
        <v/>
      </c>
      <c r="W230" s="14" t="str">
        <f t="shared" si="4"/>
        <v/>
      </c>
    </row>
    <row r="231" ht="14.25" customHeight="1">
      <c r="A231" s="18">
        <f>HYPERLINK("https://app.hubspot.com/contacts/8748051/record/0-1/127706756922", 127706756922)</f>
        <v>127706756922</v>
      </c>
      <c r="B231" s="14" t="s">
        <v>3714</v>
      </c>
      <c r="C231" s="16">
        <v>45814.5747337963</v>
      </c>
      <c r="D231" s="14"/>
      <c r="E231" s="32">
        <v>45814.0</v>
      </c>
      <c r="F231" s="32">
        <v>45828.0</v>
      </c>
      <c r="G231" s="32">
        <v>45828.0</v>
      </c>
      <c r="H231" s="14" t="s">
        <v>3715</v>
      </c>
      <c r="I231" s="14" t="s">
        <v>3246</v>
      </c>
      <c r="J231" s="24"/>
      <c r="K231" s="18">
        <f>HYPERLINK("https://app.hubspot.com/contacts/8748051/record/0-2/34789099193", 34789099193)</f>
        <v>34789099193</v>
      </c>
      <c r="L231" s="14" t="s">
        <v>995</v>
      </c>
      <c r="M231" s="18" t="s">
        <v>996</v>
      </c>
      <c r="N231" s="23">
        <f>HYPERLINK("https://app.hubspot.com/contacts/8748051/record/0-3/38643597239", 38643597239)</f>
        <v>38643597239</v>
      </c>
      <c r="O231" s="14" t="s">
        <v>994</v>
      </c>
      <c r="P231" s="14" t="s">
        <v>124</v>
      </c>
      <c r="Q231" s="14">
        <v>7000.0</v>
      </c>
      <c r="R231" s="14" t="b">
        <v>1</v>
      </c>
      <c r="S231" s="24" t="str">
        <f t="shared" ref="S231:U231" si="233">IF(E231&lt;&gt;"","Yes","")</f>
        <v>Yes</v>
      </c>
      <c r="T231" s="24" t="str">
        <f t="shared" si="233"/>
        <v>Yes</v>
      </c>
      <c r="U231" s="24" t="str">
        <f t="shared" si="233"/>
        <v>Yes</v>
      </c>
      <c r="V231" s="24" t="str">
        <f t="shared" si="3"/>
        <v/>
      </c>
      <c r="W231" s="14" t="str">
        <f t="shared" si="4"/>
        <v/>
      </c>
    </row>
    <row r="232" ht="14.25" customHeight="1">
      <c r="A232" s="18">
        <f>HYPERLINK("https://app.hubspot.com/contacts/8748051/record/0-1/1698103", 1698103)</f>
        <v>1698103</v>
      </c>
      <c r="B232" s="14" t="s">
        <v>3716</v>
      </c>
      <c r="C232" s="16">
        <v>45813.65594907408</v>
      </c>
      <c r="D232" s="14"/>
      <c r="E232" s="32">
        <v>45814.0</v>
      </c>
      <c r="F232" s="32">
        <v>45821.0</v>
      </c>
      <c r="G232" s="32">
        <v>45821.0</v>
      </c>
      <c r="H232" s="14" t="s">
        <v>1071</v>
      </c>
      <c r="I232" s="14" t="s">
        <v>3240</v>
      </c>
      <c r="J232" s="24"/>
      <c r="K232" s="18">
        <f>HYPERLINK("https://app.hubspot.com/contacts/8748051/record/0-2/16376183860", 16376183860)</f>
        <v>16376183860</v>
      </c>
      <c r="L232" s="14" t="s">
        <v>1002</v>
      </c>
      <c r="M232" s="18" t="s">
        <v>1003</v>
      </c>
      <c r="N232" s="23">
        <f>HYPERLINK("https://app.hubspot.com/contacts/8748051/record/0-3/38509006409", 38509006409)</f>
        <v>38509006409</v>
      </c>
      <c r="O232" s="14" t="s">
        <v>1001</v>
      </c>
      <c r="P232" s="14" t="s">
        <v>124</v>
      </c>
      <c r="Q232" s="14">
        <v>10000.0</v>
      </c>
      <c r="R232" s="14" t="b">
        <v>1</v>
      </c>
      <c r="S232" s="24" t="str">
        <f t="shared" ref="S232:U232" si="234">IF(E232&lt;&gt;"","Yes","")</f>
        <v>Yes</v>
      </c>
      <c r="T232" s="24" t="str">
        <f t="shared" si="234"/>
        <v>Yes</v>
      </c>
      <c r="U232" s="24" t="str">
        <f t="shared" si="234"/>
        <v>Yes</v>
      </c>
      <c r="V232" s="24" t="str">
        <f t="shared" si="3"/>
        <v/>
      </c>
      <c r="W232" s="14" t="str">
        <f t="shared" si="4"/>
        <v/>
      </c>
    </row>
    <row r="233" ht="14.25" customHeight="1">
      <c r="A233" s="18">
        <f>HYPERLINK("https://app.hubspot.com/contacts/8748051/record/0-1/127350973003", 127350973003)</f>
        <v>127350973003</v>
      </c>
      <c r="B233" s="14" t="s">
        <v>3717</v>
      </c>
      <c r="C233" s="16">
        <v>45813.172326388885</v>
      </c>
      <c r="D233" s="14" t="s">
        <v>3304</v>
      </c>
      <c r="E233" s="32"/>
      <c r="F233" s="32"/>
      <c r="G233" s="32"/>
      <c r="H233" s="14" t="s">
        <v>3718</v>
      </c>
      <c r="I233" s="14"/>
      <c r="J233" s="24"/>
      <c r="K233" s="18">
        <f>HYPERLINK("https://app.hubspot.com/contacts/8748051/record/0-2/34724412990", 34724412990)</f>
        <v>34724412990</v>
      </c>
      <c r="L233" s="14" t="s">
        <v>3719</v>
      </c>
      <c r="M233" s="18" t="s">
        <v>3720</v>
      </c>
      <c r="N233" s="14"/>
      <c r="O233" s="14"/>
      <c r="P233" s="14"/>
      <c r="Q233" s="14"/>
      <c r="R233" s="24"/>
      <c r="S233" s="24" t="str">
        <f t="shared" ref="S233:U233" si="235">IF(E233&lt;&gt;"","Yes","")</f>
        <v/>
      </c>
      <c r="T233" s="24" t="str">
        <f t="shared" si="235"/>
        <v/>
      </c>
      <c r="U233" s="24" t="str">
        <f t="shared" si="235"/>
        <v/>
      </c>
      <c r="V233" s="24" t="str">
        <f t="shared" si="3"/>
        <v/>
      </c>
      <c r="W233" s="14" t="str">
        <f t="shared" si="4"/>
        <v/>
      </c>
    </row>
    <row r="234" ht="14.25" customHeight="1">
      <c r="A234" s="18">
        <f>HYPERLINK("https://app.hubspot.com/contacts/8748051/record/0-1/127068049191", 127068049191)</f>
        <v>127068049191</v>
      </c>
      <c r="B234" s="14" t="s">
        <v>3721</v>
      </c>
      <c r="C234" s="16">
        <v>45812.0715162037</v>
      </c>
      <c r="D234" s="16"/>
      <c r="E234" s="32">
        <v>45812.0</v>
      </c>
      <c r="F234" s="32">
        <v>45813.0</v>
      </c>
      <c r="G234" s="32"/>
      <c r="H234" s="14" t="s">
        <v>3722</v>
      </c>
      <c r="I234" s="14" t="s">
        <v>3243</v>
      </c>
      <c r="J234" s="24"/>
      <c r="K234" s="18">
        <f>HYPERLINK("https://app.hubspot.com/contacts/8748051/record/0-2/34645141515", 34645141515)</f>
        <v>34645141515</v>
      </c>
      <c r="L234" s="14" t="s">
        <v>1005</v>
      </c>
      <c r="M234" s="18" t="s">
        <v>1006</v>
      </c>
      <c r="N234" s="18">
        <f>HYPERLINK("https://app.hubspot.com/contacts/8748051/record/0-3/38434478902", 38434478902)</f>
        <v>38434478902</v>
      </c>
      <c r="O234" s="14" t="s">
        <v>1004</v>
      </c>
      <c r="P234" s="14" t="s">
        <v>118</v>
      </c>
      <c r="Q234" s="14">
        <v>32500.0</v>
      </c>
      <c r="R234" s="14"/>
      <c r="S234" s="24" t="str">
        <f t="shared" ref="S234:U234" si="236">IF(E234&lt;&gt;"","Yes","")</f>
        <v>Yes</v>
      </c>
      <c r="T234" s="24" t="str">
        <f t="shared" si="236"/>
        <v>Yes</v>
      </c>
      <c r="U234" s="24" t="str">
        <f t="shared" si="236"/>
        <v/>
      </c>
      <c r="V234" s="24" t="str">
        <f t="shared" si="3"/>
        <v/>
      </c>
      <c r="W234" s="14" t="str">
        <f t="shared" si="4"/>
        <v/>
      </c>
    </row>
    <row r="235" ht="14.25" customHeight="1">
      <c r="A235" s="18">
        <f>HYPERLINK("https://app.hubspot.com/contacts/8748051/record/0-1/127023682346", 127023682346)</f>
        <v>127023682346</v>
      </c>
      <c r="B235" s="14" t="s">
        <v>3723</v>
      </c>
      <c r="C235" s="16">
        <v>45811.961493055554</v>
      </c>
      <c r="D235" s="14"/>
      <c r="E235" s="32">
        <v>45812.0</v>
      </c>
      <c r="F235" s="32">
        <v>45827.0</v>
      </c>
      <c r="G235" s="32">
        <v>45832.0</v>
      </c>
      <c r="H235" s="14" t="s">
        <v>3724</v>
      </c>
      <c r="I235" s="14" t="s">
        <v>3240</v>
      </c>
      <c r="J235" s="24"/>
      <c r="K235" s="18">
        <f>HYPERLINK("https://app.hubspot.com/contacts/8748051/record/0-2/9238401146", 9238401146)</f>
        <v>9238401146</v>
      </c>
      <c r="L235" s="14" t="s">
        <v>984</v>
      </c>
      <c r="M235" s="18" t="s">
        <v>985</v>
      </c>
      <c r="N235" s="23">
        <f>HYPERLINK("https://app.hubspot.com/contacts/8748051/record/0-3/38846224783", 38846224783)</f>
        <v>38846224783</v>
      </c>
      <c r="O235" s="14" t="s">
        <v>983</v>
      </c>
      <c r="P235" s="14" t="s">
        <v>124</v>
      </c>
      <c r="Q235" s="14">
        <v>10000.0</v>
      </c>
      <c r="R235" s="14"/>
      <c r="S235" s="24" t="str">
        <f t="shared" ref="S235:U235" si="237">IF(E235&lt;&gt;"","Yes","")</f>
        <v>Yes</v>
      </c>
      <c r="T235" s="24" t="str">
        <f t="shared" si="237"/>
        <v>Yes</v>
      </c>
      <c r="U235" s="24" t="str">
        <f t="shared" si="237"/>
        <v>Yes</v>
      </c>
      <c r="V235" s="24" t="str">
        <f t="shared" si="3"/>
        <v/>
      </c>
      <c r="W235" s="14" t="str">
        <f t="shared" si="4"/>
        <v/>
      </c>
    </row>
    <row r="236" ht="14.25" customHeight="1">
      <c r="A236" s="18">
        <f>HYPERLINK("https://app.hubspot.com/contacts/8748051/record/0-1/126818993590", 126818993590)</f>
        <v>126818993590</v>
      </c>
      <c r="B236" s="14" t="s">
        <v>3725</v>
      </c>
      <c r="C236" s="16">
        <v>45811.382106481484</v>
      </c>
      <c r="D236" s="14"/>
      <c r="E236" s="32">
        <v>45811.0</v>
      </c>
      <c r="F236" s="32">
        <v>45813.0</v>
      </c>
      <c r="G236" s="32">
        <v>45813.0</v>
      </c>
      <c r="H236" s="14" t="s">
        <v>3726</v>
      </c>
      <c r="I236" s="14" t="s">
        <v>152</v>
      </c>
      <c r="J236" s="14"/>
      <c r="K236" s="18">
        <f>HYPERLINK("https://app.hubspot.com/contacts/8748051/record/0-2/34499925019", 34499925019)</f>
        <v>34499925019</v>
      </c>
      <c r="L236" s="14" t="s">
        <v>1009</v>
      </c>
      <c r="M236" s="18" t="s">
        <v>1010</v>
      </c>
      <c r="N236" s="18">
        <f>HYPERLINK("https://app.hubspot.com/contacts/8748051/record/0-3/38348580449", 38348580449)</f>
        <v>38348580449</v>
      </c>
      <c r="O236" s="14" t="s">
        <v>1007</v>
      </c>
      <c r="P236" s="14" t="s">
        <v>118</v>
      </c>
      <c r="Q236" s="14">
        <v>5000.0</v>
      </c>
      <c r="R236" s="14"/>
      <c r="S236" s="24" t="str">
        <f t="shared" ref="S236:U236" si="238">IF(E236&lt;&gt;"","Yes","")</f>
        <v>Yes</v>
      </c>
      <c r="T236" s="24" t="str">
        <f t="shared" si="238"/>
        <v>Yes</v>
      </c>
      <c r="U236" s="24" t="str">
        <f t="shared" si="238"/>
        <v>Yes</v>
      </c>
      <c r="V236" s="24" t="str">
        <f t="shared" si="3"/>
        <v/>
      </c>
      <c r="W236" s="14" t="str">
        <f t="shared" si="4"/>
        <v/>
      </c>
    </row>
    <row r="237" ht="14.25" customHeight="1">
      <c r="A237" s="18">
        <f>HYPERLINK("https://app.hubspot.com/contacts/8748051/record/0-1/126573074040", 126573074040)</f>
        <v>126573074040</v>
      </c>
      <c r="B237" s="14" t="s">
        <v>3727</v>
      </c>
      <c r="C237" s="16">
        <v>45810.442662037036</v>
      </c>
      <c r="D237" s="14"/>
      <c r="E237" s="32">
        <v>45810.0</v>
      </c>
      <c r="F237" s="32">
        <v>45811.0</v>
      </c>
      <c r="G237" s="32">
        <v>45811.0</v>
      </c>
      <c r="H237" s="14" t="s">
        <v>3448</v>
      </c>
      <c r="I237" s="14" t="s">
        <v>3237</v>
      </c>
      <c r="J237" s="24"/>
      <c r="K237" s="18">
        <f>HYPERLINK("https://app.hubspot.com/contacts/8748051/record/0-2/34500337286", 34500337286)</f>
        <v>34500337286</v>
      </c>
      <c r="L237" s="14" t="s">
        <v>1017</v>
      </c>
      <c r="M237" s="18" t="s">
        <v>1018</v>
      </c>
      <c r="N237" s="23">
        <f>HYPERLINK("https://app.hubspot.com/contacts/8748051/record/0-3/38320089488", 38320089488)</f>
        <v>38320089488</v>
      </c>
      <c r="O237" s="14" t="s">
        <v>1016</v>
      </c>
      <c r="P237" s="14" t="s">
        <v>118</v>
      </c>
      <c r="Q237" s="14">
        <v>13000.0</v>
      </c>
      <c r="R237" s="14"/>
      <c r="S237" s="24" t="str">
        <f t="shared" ref="S237:U237" si="239">IF(E237&lt;&gt;"","Yes","")</f>
        <v>Yes</v>
      </c>
      <c r="T237" s="24" t="str">
        <f t="shared" si="239"/>
        <v>Yes</v>
      </c>
      <c r="U237" s="24" t="str">
        <f t="shared" si="239"/>
        <v>Yes</v>
      </c>
      <c r="V237" s="24" t="str">
        <f t="shared" si="3"/>
        <v/>
      </c>
      <c r="W237" s="14" t="str">
        <f t="shared" si="4"/>
        <v/>
      </c>
    </row>
    <row r="238" ht="14.25" customHeight="1">
      <c r="A238" s="18">
        <f>HYPERLINK("https://app.hubspot.com/contacts/8748051/record/0-1/125944743792", 125944743792)</f>
        <v>125944743792</v>
      </c>
      <c r="B238" s="14" t="s">
        <v>3728</v>
      </c>
      <c r="C238" s="16">
        <v>45807.04620370371</v>
      </c>
      <c r="D238" s="14"/>
      <c r="E238" s="32">
        <v>45807.0</v>
      </c>
      <c r="F238" s="32">
        <v>45807.0</v>
      </c>
      <c r="G238" s="32">
        <v>45807.0</v>
      </c>
      <c r="H238" s="14" t="s">
        <v>3729</v>
      </c>
      <c r="I238" s="14" t="s">
        <v>3237</v>
      </c>
      <c r="J238" s="24"/>
      <c r="K238" s="18">
        <f>HYPERLINK("https://app.hubspot.com/contacts/8748051/record/0-2/34450059282", 34450059282)</f>
        <v>34450059282</v>
      </c>
      <c r="L238" s="14" t="s">
        <v>1020</v>
      </c>
      <c r="M238" s="18" t="s">
        <v>1021</v>
      </c>
      <c r="N238" s="18">
        <f>HYPERLINK("https://app.hubspot.com/contacts/8748051/record/0-3/38231802427", 38231802427)</f>
        <v>38231802427</v>
      </c>
      <c r="O238" s="14" t="s">
        <v>1019</v>
      </c>
      <c r="P238" s="14" t="s">
        <v>118</v>
      </c>
      <c r="Q238" s="14">
        <v>500.0</v>
      </c>
      <c r="R238" s="14"/>
      <c r="S238" s="24" t="str">
        <f t="shared" ref="S238:U238" si="240">IF(E238&lt;&gt;"","Yes","")</f>
        <v>Yes</v>
      </c>
      <c r="T238" s="24" t="str">
        <f t="shared" si="240"/>
        <v>Yes</v>
      </c>
      <c r="U238" s="24" t="str">
        <f t="shared" si="240"/>
        <v>Yes</v>
      </c>
      <c r="V238" s="24" t="str">
        <f t="shared" si="3"/>
        <v/>
      </c>
      <c r="W238" s="14" t="str">
        <f t="shared" si="4"/>
        <v/>
      </c>
    </row>
    <row r="239" ht="14.25" customHeight="1">
      <c r="A239" s="18">
        <f>HYPERLINK("https://app.hubspot.com/contacts/8748051/record/0-1/123407452217", 123407452217)</f>
        <v>123407452217</v>
      </c>
      <c r="B239" s="14" t="s">
        <v>3730</v>
      </c>
      <c r="C239" s="16">
        <v>45806.69664351852</v>
      </c>
      <c r="D239" s="14"/>
      <c r="E239" s="32">
        <v>45807.0</v>
      </c>
      <c r="F239" s="32">
        <v>45812.0</v>
      </c>
      <c r="G239" s="32">
        <v>45812.0</v>
      </c>
      <c r="H239" s="14" t="s">
        <v>3731</v>
      </c>
      <c r="I239" s="14" t="s">
        <v>3246</v>
      </c>
      <c r="J239" s="24"/>
      <c r="K239" s="18">
        <f>HYPERLINK("https://app.hubspot.com/contacts/8748051/record/0-2/34347985315", 34347985315)</f>
        <v>34347985315</v>
      </c>
      <c r="L239" s="14" t="s">
        <v>1023</v>
      </c>
      <c r="M239" s="18" t="s">
        <v>1024</v>
      </c>
      <c r="N239" s="23">
        <f>HYPERLINK("https://app.hubspot.com/contacts/8748051/record/0-3/38139472152", 38139472152)</f>
        <v>38139472152</v>
      </c>
      <c r="O239" s="14" t="s">
        <v>1022</v>
      </c>
      <c r="P239" s="14" t="s">
        <v>118</v>
      </c>
      <c r="Q239" s="14">
        <v>25000.0</v>
      </c>
      <c r="R239" s="14"/>
      <c r="S239" s="24" t="str">
        <f t="shared" ref="S239:U239" si="241">IF(E239&lt;&gt;"","Yes","")</f>
        <v>Yes</v>
      </c>
      <c r="T239" s="24" t="str">
        <f t="shared" si="241"/>
        <v>Yes</v>
      </c>
      <c r="U239" s="24" t="str">
        <f t="shared" si="241"/>
        <v>Yes</v>
      </c>
      <c r="V239" s="24" t="str">
        <f t="shared" si="3"/>
        <v/>
      </c>
      <c r="W239" s="14" t="str">
        <f t="shared" si="4"/>
        <v/>
      </c>
    </row>
    <row r="240" ht="14.25" customHeight="1">
      <c r="A240" s="18">
        <f>HYPERLINK("https://app.hubspot.com/contacts/8748051/record/0-1/125750042716", 125750042716)</f>
        <v>125750042716</v>
      </c>
      <c r="B240" s="14" t="s">
        <v>3732</v>
      </c>
      <c r="C240" s="16">
        <v>45806.40797453704</v>
      </c>
      <c r="D240" s="14"/>
      <c r="E240" s="32">
        <v>45806.0</v>
      </c>
      <c r="F240" s="32">
        <v>45814.0</v>
      </c>
      <c r="G240" s="32">
        <v>45818.0</v>
      </c>
      <c r="H240" s="14" t="s">
        <v>3733</v>
      </c>
      <c r="I240" s="14" t="s">
        <v>3237</v>
      </c>
      <c r="J240" s="24"/>
      <c r="K240" s="18">
        <f>HYPERLINK("https://app.hubspot.com/contacts/8748051/record/0-2/8816890039", 8816890039)</f>
        <v>8816890039</v>
      </c>
      <c r="L240" s="14" t="s">
        <v>736</v>
      </c>
      <c r="M240" s="18" t="s">
        <v>737</v>
      </c>
      <c r="N240" s="18">
        <f>HYPERLINK("https://app.hubspot.com/contacts/8748051/record/0-3/38133930364", 38133930364)</f>
        <v>38133930364</v>
      </c>
      <c r="O240" s="14" t="s">
        <v>1025</v>
      </c>
      <c r="P240" s="14" t="s">
        <v>118</v>
      </c>
      <c r="Q240" s="14">
        <v>100000.0</v>
      </c>
      <c r="R240" s="14"/>
      <c r="S240" s="24" t="str">
        <f t="shared" ref="S240:U240" si="242">IF(E240&lt;&gt;"","Yes","")</f>
        <v>Yes</v>
      </c>
      <c r="T240" s="24" t="str">
        <f t="shared" si="242"/>
        <v>Yes</v>
      </c>
      <c r="U240" s="24" t="str">
        <f t="shared" si="242"/>
        <v>Yes</v>
      </c>
      <c r="V240" s="24" t="str">
        <f t="shared" si="3"/>
        <v/>
      </c>
      <c r="W240" s="14" t="str">
        <f t="shared" si="4"/>
        <v/>
      </c>
    </row>
    <row r="241" ht="14.25" customHeight="1">
      <c r="A241" s="18">
        <f>HYPERLINK("https://app.hubspot.com/contacts/8748051/record/0-1/123222325375", 123222325375)</f>
        <v>123222325375</v>
      </c>
      <c r="B241" s="14" t="s">
        <v>3734</v>
      </c>
      <c r="C241" s="16">
        <v>45800.74930555555</v>
      </c>
      <c r="D241" s="14"/>
      <c r="E241" s="32">
        <v>45801.0</v>
      </c>
      <c r="F241" s="32">
        <v>45805.0</v>
      </c>
      <c r="G241" s="32">
        <v>45805.0</v>
      </c>
      <c r="H241" s="14" t="s">
        <v>3735</v>
      </c>
      <c r="I241" s="14" t="s">
        <v>3243</v>
      </c>
      <c r="J241" s="24"/>
      <c r="K241" s="18">
        <f>HYPERLINK("https://app.hubspot.com/contacts/8748051/record/0-2/19176635436", 19176635436)</f>
        <v>19176635436</v>
      </c>
      <c r="L241" s="14" t="s">
        <v>1028</v>
      </c>
      <c r="M241" s="18" t="s">
        <v>1029</v>
      </c>
      <c r="N241" s="23">
        <f>HYPERLINK("https://app.hubspot.com/contacts/8748051/record/0-3/37905622539", 37905622539)</f>
        <v>37905622539</v>
      </c>
      <c r="O241" s="14" t="s">
        <v>1026</v>
      </c>
      <c r="P241" s="14" t="s">
        <v>146</v>
      </c>
      <c r="Q241" s="14">
        <v>27000.0</v>
      </c>
      <c r="R241" s="14" t="b">
        <v>1</v>
      </c>
      <c r="S241" s="24" t="str">
        <f t="shared" ref="S241:U241" si="243">IF(E241&lt;&gt;"","Yes","")</f>
        <v>Yes</v>
      </c>
      <c r="T241" s="24" t="str">
        <f t="shared" si="243"/>
        <v>Yes</v>
      </c>
      <c r="U241" s="24" t="str">
        <f t="shared" si="243"/>
        <v>Yes</v>
      </c>
      <c r="V241" s="24" t="str">
        <f t="shared" si="3"/>
        <v/>
      </c>
      <c r="W241" s="14" t="str">
        <f t="shared" si="4"/>
        <v>Yes</v>
      </c>
    </row>
    <row r="242" ht="14.25" customHeight="1">
      <c r="A242" s="18">
        <f>HYPERLINK("https://app.hubspot.com/contacts/8748051/record/0-1/1251751", 1251751)</f>
        <v>1251751</v>
      </c>
      <c r="B242" s="14" t="s">
        <v>3736</v>
      </c>
      <c r="C242" s="16">
        <v>45797.86111111111</v>
      </c>
      <c r="D242" s="14"/>
      <c r="E242" s="32">
        <v>45798.0</v>
      </c>
      <c r="F242" s="32">
        <v>45799.0</v>
      </c>
      <c r="G242" s="32">
        <v>45799.0</v>
      </c>
      <c r="H242" s="14" t="s">
        <v>3737</v>
      </c>
      <c r="I242" s="14" t="s">
        <v>3470</v>
      </c>
      <c r="J242" s="24"/>
      <c r="K242" s="18">
        <f>HYPERLINK("https://app.hubspot.com/contacts/8748051/record/0-2/9083544964", 9083544964)</f>
        <v>9083544964</v>
      </c>
      <c r="L242" s="14" t="s">
        <v>1034</v>
      </c>
      <c r="M242" s="18" t="s">
        <v>1035</v>
      </c>
      <c r="N242" s="23">
        <f>HYPERLINK("https://app.hubspot.com/contacts/8748051/record/0-3/16575647146", 16575647146)</f>
        <v>16575647146</v>
      </c>
      <c r="O242" s="14" t="s">
        <v>2393</v>
      </c>
      <c r="P242" s="14" t="s">
        <v>118</v>
      </c>
      <c r="Q242" s="14">
        <v>83000.0</v>
      </c>
      <c r="R242" s="14"/>
      <c r="S242" s="24" t="str">
        <f t="shared" ref="S242:U242" si="244">IF(E242&lt;&gt;"","Yes","")</f>
        <v>Yes</v>
      </c>
      <c r="T242" s="24" t="str">
        <f t="shared" si="244"/>
        <v>Yes</v>
      </c>
      <c r="U242" s="24" t="str">
        <f t="shared" si="244"/>
        <v>Yes</v>
      </c>
      <c r="V242" s="24" t="str">
        <f t="shared" si="3"/>
        <v/>
      </c>
      <c r="W242" s="14" t="str">
        <f t="shared" si="4"/>
        <v/>
      </c>
    </row>
    <row r="243" ht="14.25" customHeight="1">
      <c r="A243" s="18">
        <f>HYPERLINK("https://app.hubspot.com/contacts/8748051/record/0-1/118651603309", 118651603309)</f>
        <v>118651603309</v>
      </c>
      <c r="B243" s="14" t="s">
        <v>3738</v>
      </c>
      <c r="C243" s="16">
        <v>45797.07202546296</v>
      </c>
      <c r="D243" s="14"/>
      <c r="E243" s="32">
        <v>45797.0</v>
      </c>
      <c r="F243" s="32">
        <v>45799.0</v>
      </c>
      <c r="G243" s="32">
        <v>45799.0</v>
      </c>
      <c r="H243" s="14" t="s">
        <v>3524</v>
      </c>
      <c r="I243" s="14" t="s">
        <v>3237</v>
      </c>
      <c r="J243" s="24"/>
      <c r="K243" s="18">
        <f>HYPERLINK("https://app.hubspot.com/contacts/8748051/record/0-2/33682076983", 33682076983)</f>
        <v>33682076983</v>
      </c>
      <c r="L243" s="14" t="s">
        <v>1038</v>
      </c>
      <c r="M243" s="18" t="s">
        <v>1039</v>
      </c>
      <c r="N243" s="23">
        <f>HYPERLINK("https://app.hubspot.com/contacts/8748051/record/0-3/37447289907", 37447289907)</f>
        <v>37447289907</v>
      </c>
      <c r="O243" s="14" t="s">
        <v>1036</v>
      </c>
      <c r="P243" s="14" t="s">
        <v>146</v>
      </c>
      <c r="Q243" s="14">
        <v>22000.0</v>
      </c>
      <c r="R243" s="14" t="b">
        <v>1</v>
      </c>
      <c r="S243" s="24" t="str">
        <f t="shared" ref="S243:U243" si="245">IF(E243&lt;&gt;"","Yes","")</f>
        <v>Yes</v>
      </c>
      <c r="T243" s="24" t="str">
        <f t="shared" si="245"/>
        <v>Yes</v>
      </c>
      <c r="U243" s="24" t="str">
        <f t="shared" si="245"/>
        <v>Yes</v>
      </c>
      <c r="V243" s="24" t="str">
        <f t="shared" si="3"/>
        <v/>
      </c>
      <c r="W243" s="14" t="str">
        <f t="shared" si="4"/>
        <v>Yes</v>
      </c>
    </row>
    <row r="244" ht="14.25" customHeight="1">
      <c r="A244" s="18">
        <f>HYPERLINK("https://app.hubspot.com/contacts/8748051/record/0-1/122563609644", 122563609644)</f>
        <v>122563609644</v>
      </c>
      <c r="B244" s="14" t="s">
        <v>3739</v>
      </c>
      <c r="C244" s="16">
        <v>45795.422476851854</v>
      </c>
      <c r="D244" s="14"/>
      <c r="E244" s="32">
        <v>45795.0</v>
      </c>
      <c r="F244" s="32">
        <v>45797.0</v>
      </c>
      <c r="G244" s="32">
        <v>45797.0</v>
      </c>
      <c r="H244" s="14" t="s">
        <v>3740</v>
      </c>
      <c r="I244" s="14" t="s">
        <v>152</v>
      </c>
      <c r="J244" s="24"/>
      <c r="K244" s="18">
        <f>HYPERLINK("https://app.hubspot.com/contacts/8748051/record/0-2/33625048942", 33625048942)</f>
        <v>33625048942</v>
      </c>
      <c r="L244" s="14" t="s">
        <v>1041</v>
      </c>
      <c r="M244" s="18" t="s">
        <v>1042</v>
      </c>
      <c r="N244" s="23">
        <f>HYPERLINK("https://app.hubspot.com/contacts/8748051/record/0-3/37432838235", 37432838235)</f>
        <v>37432838235</v>
      </c>
      <c r="O244" s="14" t="s">
        <v>1040</v>
      </c>
      <c r="P244" s="14" t="s">
        <v>118</v>
      </c>
      <c r="Q244" s="14">
        <v>0.0</v>
      </c>
      <c r="R244" s="14"/>
      <c r="S244" s="24" t="str">
        <f t="shared" ref="S244:U244" si="246">IF(E244&lt;&gt;"","Yes","")</f>
        <v>Yes</v>
      </c>
      <c r="T244" s="24" t="str">
        <f t="shared" si="246"/>
        <v>Yes</v>
      </c>
      <c r="U244" s="24" t="str">
        <f t="shared" si="246"/>
        <v>Yes</v>
      </c>
      <c r="V244" s="24" t="str">
        <f t="shared" si="3"/>
        <v/>
      </c>
      <c r="W244" s="14" t="str">
        <f t="shared" si="4"/>
        <v/>
      </c>
    </row>
    <row r="245" ht="14.25" customHeight="1">
      <c r="A245" s="18">
        <f>HYPERLINK("https://app.hubspot.com/contacts/8748051/record/0-1/122137447742", 122137447742)</f>
        <v>122137447742</v>
      </c>
      <c r="B245" s="14" t="s">
        <v>3741</v>
      </c>
      <c r="C245" s="16">
        <v>45793.26226851852</v>
      </c>
      <c r="D245" s="14"/>
      <c r="E245" s="32">
        <v>45793.0</v>
      </c>
      <c r="F245" s="32">
        <v>45796.0</v>
      </c>
      <c r="G245" s="32">
        <v>45796.0</v>
      </c>
      <c r="H245" s="14" t="s">
        <v>3742</v>
      </c>
      <c r="I245" s="14" t="s">
        <v>152</v>
      </c>
      <c r="J245" s="14"/>
      <c r="K245" s="18">
        <f>HYPERLINK("https://app.hubspot.com/contacts/8748051/record/0-2/33537883760", 33537883760)</f>
        <v>33537883760</v>
      </c>
      <c r="L245" s="14" t="s">
        <v>1047</v>
      </c>
      <c r="M245" s="18" t="s">
        <v>1048</v>
      </c>
      <c r="N245" s="23">
        <f>HYPERLINK("https://app.hubspot.com/contacts/8748051/record/0-3/37313929140", 37313929140)</f>
        <v>37313929140</v>
      </c>
      <c r="O245" s="14" t="s">
        <v>1046</v>
      </c>
      <c r="P245" s="14" t="s">
        <v>50</v>
      </c>
      <c r="Q245" s="14">
        <v>10000.0</v>
      </c>
      <c r="R245" s="14" t="b">
        <v>1</v>
      </c>
      <c r="S245" s="24" t="str">
        <f t="shared" ref="S245:U245" si="247">IF(E245&lt;&gt;"","Yes","")</f>
        <v>Yes</v>
      </c>
      <c r="T245" s="24" t="str">
        <f t="shared" si="247"/>
        <v>Yes</v>
      </c>
      <c r="U245" s="24" t="str">
        <f t="shared" si="247"/>
        <v>Yes</v>
      </c>
      <c r="V245" s="24" t="str">
        <f t="shared" si="3"/>
        <v/>
      </c>
      <c r="W245" s="14" t="str">
        <f t="shared" si="4"/>
        <v/>
      </c>
    </row>
    <row r="246" ht="14.25" customHeight="1">
      <c r="A246" s="18">
        <f>HYPERLINK("https://app.hubspot.com/contacts/8748051/record/0-1/120293507943", 120293507943)</f>
        <v>120293507943</v>
      </c>
      <c r="B246" s="14" t="s">
        <v>3743</v>
      </c>
      <c r="C246" s="16">
        <v>45792.447916666664</v>
      </c>
      <c r="D246" s="14"/>
      <c r="E246" s="32">
        <v>45792.0</v>
      </c>
      <c r="F246" s="32">
        <v>45793.0</v>
      </c>
      <c r="G246" s="32">
        <v>45793.0</v>
      </c>
      <c r="H246" s="14" t="s">
        <v>3744</v>
      </c>
      <c r="I246" s="14" t="s">
        <v>152</v>
      </c>
      <c r="J246" s="14"/>
      <c r="K246" s="18">
        <f>HYPERLINK("https://app.hubspot.com/contacts/8748051/record/0-2/6816568461", 6816568461)</f>
        <v>6816568461</v>
      </c>
      <c r="L246" s="14" t="s">
        <v>1050</v>
      </c>
      <c r="M246" s="14" t="s">
        <v>1051</v>
      </c>
      <c r="N246" s="18">
        <f>HYPERLINK("https://app.hubspot.com/contacts/8748051/record/0-3/37268046968", 37268046968)</f>
        <v>37268046968</v>
      </c>
      <c r="O246" s="14" t="s">
        <v>1049</v>
      </c>
      <c r="P246" s="14" t="s">
        <v>124</v>
      </c>
      <c r="Q246" s="14">
        <v>20000.0</v>
      </c>
      <c r="R246" s="14" t="b">
        <v>1</v>
      </c>
      <c r="S246" s="24" t="str">
        <f t="shared" ref="S246:U246" si="248">IF(E246&lt;&gt;"","Yes","")</f>
        <v>Yes</v>
      </c>
      <c r="T246" s="24" t="str">
        <f t="shared" si="248"/>
        <v>Yes</v>
      </c>
      <c r="U246" s="24" t="str">
        <f t="shared" si="248"/>
        <v>Yes</v>
      </c>
      <c r="V246" s="24" t="str">
        <f t="shared" si="3"/>
        <v/>
      </c>
      <c r="W246" s="14" t="str">
        <f t="shared" si="4"/>
        <v/>
      </c>
    </row>
    <row r="247" ht="14.25" customHeight="1">
      <c r="A247" s="18">
        <f>HYPERLINK("https://app.hubspot.com/contacts/8748051/record/0-1/121647032098", 121647032098)</f>
        <v>121647032098</v>
      </c>
      <c r="B247" s="14" t="s">
        <v>3745</v>
      </c>
      <c r="C247" s="16">
        <v>45791.32310185185</v>
      </c>
      <c r="D247" s="14"/>
      <c r="E247" s="32">
        <v>45791.0</v>
      </c>
      <c r="F247" s="32">
        <v>45799.0</v>
      </c>
      <c r="G247" s="32">
        <v>45799.0</v>
      </c>
      <c r="H247" s="14" t="s">
        <v>3746</v>
      </c>
      <c r="I247" s="14" t="s">
        <v>152</v>
      </c>
      <c r="J247" s="24"/>
      <c r="K247" s="18">
        <f>HYPERLINK("https://app.hubspot.com/contacts/8748051/record/0-2/33362121578", 33362121578)</f>
        <v>33362121578</v>
      </c>
      <c r="L247" s="14" t="s">
        <v>1053</v>
      </c>
      <c r="M247" s="18" t="s">
        <v>1054</v>
      </c>
      <c r="N247" s="23">
        <f>HYPERLINK("https://app.hubspot.com/contacts/8748051/record/0-3/37182513242", 37182513242)</f>
        <v>37182513242</v>
      </c>
      <c r="O247" s="14" t="s">
        <v>1052</v>
      </c>
      <c r="P247" s="14" t="s">
        <v>124</v>
      </c>
      <c r="Q247" s="14">
        <v>5000.0</v>
      </c>
      <c r="R247" s="14" t="b">
        <v>1</v>
      </c>
      <c r="S247" s="24" t="str">
        <f t="shared" ref="S247:U247" si="249">IF(E247&lt;&gt;"","Yes","")</f>
        <v>Yes</v>
      </c>
      <c r="T247" s="24" t="str">
        <f t="shared" si="249"/>
        <v>Yes</v>
      </c>
      <c r="U247" s="24" t="str">
        <f t="shared" si="249"/>
        <v>Yes</v>
      </c>
      <c r="V247" s="24" t="str">
        <f t="shared" si="3"/>
        <v/>
      </c>
      <c r="W247" s="14" t="str">
        <f t="shared" si="4"/>
        <v/>
      </c>
    </row>
    <row r="248" ht="14.25" customHeight="1">
      <c r="A248" s="18">
        <f>HYPERLINK("https://app.hubspot.com/contacts/8748051/record/0-1/121464692876", 121464692876)</f>
        <v>121464692876</v>
      </c>
      <c r="B248" s="14" t="s">
        <v>3747</v>
      </c>
      <c r="C248" s="16">
        <v>45790.608125</v>
      </c>
      <c r="D248" s="14" t="s">
        <v>3304</v>
      </c>
      <c r="E248" s="32"/>
      <c r="F248" s="32"/>
      <c r="G248" s="32"/>
      <c r="H248" s="14" t="s">
        <v>3515</v>
      </c>
      <c r="I248" s="14"/>
      <c r="J248" s="24"/>
      <c r="K248" s="18">
        <f>HYPERLINK("https://app.hubspot.com/contacts/8748051/record/0-2/33364783747", 33364783747)</f>
        <v>33364783747</v>
      </c>
      <c r="L248" s="14" t="s">
        <v>3748</v>
      </c>
      <c r="M248" s="18" t="s">
        <v>3749</v>
      </c>
      <c r="N248" s="24"/>
      <c r="O248" s="14"/>
      <c r="P248" s="14"/>
      <c r="Q248" s="14"/>
      <c r="R248" s="14"/>
      <c r="S248" s="24" t="str">
        <f t="shared" ref="S248:U248" si="250">IF(E248&lt;&gt;"","Yes","")</f>
        <v/>
      </c>
      <c r="T248" s="24" t="str">
        <f t="shared" si="250"/>
        <v/>
      </c>
      <c r="U248" s="24" t="str">
        <f t="shared" si="250"/>
        <v/>
      </c>
      <c r="V248" s="24" t="str">
        <f t="shared" si="3"/>
        <v/>
      </c>
      <c r="W248" s="14" t="str">
        <f t="shared" si="4"/>
        <v/>
      </c>
    </row>
    <row r="249" ht="14.25" customHeight="1">
      <c r="A249" s="18">
        <f>HYPERLINK("https://app.hubspot.com/contacts/8748051/record/0-1/121041264465", 121041264465)</f>
        <v>121041264465</v>
      </c>
      <c r="B249" s="14" t="s">
        <v>3750</v>
      </c>
      <c r="C249" s="16">
        <v>45789.31616898148</v>
      </c>
      <c r="D249" s="14"/>
      <c r="E249" s="32">
        <v>45789.0</v>
      </c>
      <c r="F249" s="32">
        <v>45793.0</v>
      </c>
      <c r="G249" s="32"/>
      <c r="H249" s="14" t="s">
        <v>3751</v>
      </c>
      <c r="I249" s="14" t="s">
        <v>3361</v>
      </c>
      <c r="J249" s="24"/>
      <c r="K249" s="18">
        <f>HYPERLINK("https://app.hubspot.com/contacts/8748051/record/0-2/33347273798", 33347273798)</f>
        <v>33347273798</v>
      </c>
      <c r="L249" s="14" t="s">
        <v>1056</v>
      </c>
      <c r="M249" s="18" t="s">
        <v>1057</v>
      </c>
      <c r="N249" s="23">
        <f>HYPERLINK("https://app.hubspot.com/contacts/8748051/record/0-3/37137693053", 37137693053)</f>
        <v>37137693053</v>
      </c>
      <c r="O249" s="14" t="s">
        <v>1055</v>
      </c>
      <c r="P249" s="14" t="s">
        <v>118</v>
      </c>
      <c r="Q249" s="14">
        <v>1500.0</v>
      </c>
      <c r="R249" s="14"/>
      <c r="S249" s="24" t="str">
        <f t="shared" ref="S249:U249" si="251">IF(E249&lt;&gt;"","Yes","")</f>
        <v>Yes</v>
      </c>
      <c r="T249" s="24" t="str">
        <f t="shared" si="251"/>
        <v>Yes</v>
      </c>
      <c r="U249" s="24" t="str">
        <f t="shared" si="251"/>
        <v/>
      </c>
      <c r="V249" s="24" t="str">
        <f t="shared" si="3"/>
        <v/>
      </c>
      <c r="W249" s="14" t="str">
        <f t="shared" si="4"/>
        <v/>
      </c>
    </row>
    <row r="250" ht="14.25" customHeight="1">
      <c r="A250" s="18">
        <f>HYPERLINK("https://app.hubspot.com/contacts/8748051/record/0-1/120990527581", 120990527581)</f>
        <v>120990527581</v>
      </c>
      <c r="B250" s="14" t="s">
        <v>3752</v>
      </c>
      <c r="C250" s="16">
        <v>45789.09453703704</v>
      </c>
      <c r="D250" s="14"/>
      <c r="E250" s="32">
        <v>45789.0</v>
      </c>
      <c r="F250" s="32">
        <v>45812.0</v>
      </c>
      <c r="G250" s="32">
        <v>45812.0</v>
      </c>
      <c r="H250" s="14" t="s">
        <v>3753</v>
      </c>
      <c r="I250" s="14" t="s">
        <v>3240</v>
      </c>
      <c r="J250" s="24"/>
      <c r="K250" s="18">
        <f>HYPERLINK("https://app.hubspot.com/contacts/8748051/record/0-2/33299670550", 33299670550)</f>
        <v>33299670550</v>
      </c>
      <c r="L250" s="14" t="s">
        <v>1044</v>
      </c>
      <c r="M250" s="14" t="s">
        <v>1045</v>
      </c>
      <c r="N250" s="18">
        <f>HYPERLINK("https://app.hubspot.com/contacts/8748051/record/0-3/37413800245", 37413800245)</f>
        <v>37413800245</v>
      </c>
      <c r="O250" s="14" t="s">
        <v>1043</v>
      </c>
      <c r="P250" s="14" t="s">
        <v>118</v>
      </c>
      <c r="Q250" s="14">
        <v>2000.0</v>
      </c>
      <c r="R250" s="14"/>
      <c r="S250" s="24" t="str">
        <f t="shared" ref="S250:U250" si="252">IF(E250&lt;&gt;"","Yes","")</f>
        <v>Yes</v>
      </c>
      <c r="T250" s="24" t="str">
        <f t="shared" si="252"/>
        <v>Yes</v>
      </c>
      <c r="U250" s="24" t="str">
        <f t="shared" si="252"/>
        <v>Yes</v>
      </c>
      <c r="V250" s="24" t="str">
        <f t="shared" si="3"/>
        <v/>
      </c>
      <c r="W250" s="14" t="str">
        <f t="shared" si="4"/>
        <v/>
      </c>
    </row>
    <row r="251" ht="14.25" customHeight="1">
      <c r="A251" s="18">
        <f>HYPERLINK("https://app.hubspot.com/contacts/8748051/record/0-1/120375628689", 120375628689)</f>
        <v>120375628689</v>
      </c>
      <c r="B251" s="14" t="s">
        <v>3754</v>
      </c>
      <c r="C251" s="16">
        <v>45786.22032407407</v>
      </c>
      <c r="D251" s="14" t="s">
        <v>3304</v>
      </c>
      <c r="E251" s="32"/>
      <c r="F251" s="32"/>
      <c r="G251" s="32"/>
      <c r="H251" s="14" t="s">
        <v>3755</v>
      </c>
      <c r="I251" s="14"/>
      <c r="J251" s="14"/>
      <c r="K251" s="18">
        <f>HYPERLINK("https://app.hubspot.com/contacts/8748051/record/0-2/33225731128", 33225731128)</f>
        <v>33225731128</v>
      </c>
      <c r="L251" s="14" t="s">
        <v>3756</v>
      </c>
      <c r="M251" s="14" t="s">
        <v>3757</v>
      </c>
      <c r="N251" s="14"/>
      <c r="O251" s="14"/>
      <c r="P251" s="14"/>
      <c r="Q251" s="14"/>
      <c r="R251" s="14"/>
      <c r="S251" s="24" t="str">
        <f t="shared" ref="S251:U251" si="253">IF(E251&lt;&gt;"","Yes","")</f>
        <v/>
      </c>
      <c r="T251" s="24" t="str">
        <f t="shared" si="253"/>
        <v/>
      </c>
      <c r="U251" s="24" t="str">
        <f t="shared" si="253"/>
        <v/>
      </c>
      <c r="V251" s="24" t="str">
        <f t="shared" si="3"/>
        <v/>
      </c>
      <c r="W251" s="14" t="str">
        <f t="shared" si="4"/>
        <v/>
      </c>
    </row>
    <row r="252" ht="14.25" customHeight="1">
      <c r="A252" s="18">
        <f>HYPERLINK("https://app.hubspot.com/contacts/8748051/record/0-1/138950455648", 138950455648)</f>
        <v>138950455648</v>
      </c>
      <c r="B252" s="14" t="s">
        <v>3758</v>
      </c>
      <c r="C252" s="16">
        <v>45783.98650462963</v>
      </c>
      <c r="D252" s="14"/>
      <c r="E252" s="32">
        <v>45784.0</v>
      </c>
      <c r="F252" s="32">
        <v>45785.0</v>
      </c>
      <c r="G252" s="32">
        <v>45785.0</v>
      </c>
      <c r="H252" s="14" t="s">
        <v>3261</v>
      </c>
      <c r="I252" s="14" t="s">
        <v>152</v>
      </c>
      <c r="J252" s="24"/>
      <c r="K252" s="18">
        <f>HYPERLINK("https://app.hubspot.com/contacts/8748051/record/0-2/19177046457", 19177046457)</f>
        <v>19177046457</v>
      </c>
      <c r="L252" s="14" t="s">
        <v>1059</v>
      </c>
      <c r="M252" s="18" t="s">
        <v>1060</v>
      </c>
      <c r="N252" s="23">
        <f>HYPERLINK("https://app.hubspot.com/contacts/8748051/record/0-3/36855145610", 36855145610)</f>
        <v>36855145610</v>
      </c>
      <c r="O252" s="14" t="s">
        <v>1058</v>
      </c>
      <c r="P252" s="14" t="s">
        <v>124</v>
      </c>
      <c r="Q252" s="14">
        <v>25000.0</v>
      </c>
      <c r="R252" s="14" t="b">
        <v>1</v>
      </c>
      <c r="S252" s="24" t="str">
        <f t="shared" ref="S252:U252" si="254">IF(E252&lt;&gt;"","Yes","")</f>
        <v>Yes</v>
      </c>
      <c r="T252" s="24" t="str">
        <f t="shared" si="254"/>
        <v>Yes</v>
      </c>
      <c r="U252" s="24" t="str">
        <f t="shared" si="254"/>
        <v>Yes</v>
      </c>
      <c r="V252" s="24" t="str">
        <f t="shared" si="3"/>
        <v/>
      </c>
      <c r="W252" s="14" t="str">
        <f t="shared" si="4"/>
        <v/>
      </c>
    </row>
    <row r="253" ht="14.25" customHeight="1">
      <c r="A253" s="18">
        <f>HYPERLINK("https://app.hubspot.com/contacts/8748051/record/0-1/116332009537", 116332009537)</f>
        <v>116332009537</v>
      </c>
      <c r="B253" s="14" t="s">
        <v>3759</v>
      </c>
      <c r="C253" s="16">
        <v>45780.40771990741</v>
      </c>
      <c r="D253" s="14"/>
      <c r="E253" s="32">
        <v>45780.0</v>
      </c>
      <c r="F253" s="32">
        <v>45783.0</v>
      </c>
      <c r="G253" s="32">
        <v>45783.0</v>
      </c>
      <c r="H253" s="14" t="s">
        <v>3724</v>
      </c>
      <c r="I253" s="14" t="s">
        <v>3240</v>
      </c>
      <c r="J253" s="24"/>
      <c r="K253" s="18">
        <f>HYPERLINK("https://app.hubspot.com/contacts/8748051/record/0-2/32907464513", 32907464513)</f>
        <v>32907464513</v>
      </c>
      <c r="L253" s="14" t="s">
        <v>1062</v>
      </c>
      <c r="M253" s="18" t="s">
        <v>1063</v>
      </c>
      <c r="N253" s="23">
        <f>HYPERLINK("https://app.hubspot.com/contacts/8748051/record/0-3/36655737257", 36655737257)</f>
        <v>36655737257</v>
      </c>
      <c r="O253" s="14" t="s">
        <v>1061</v>
      </c>
      <c r="P253" s="14" t="s">
        <v>118</v>
      </c>
      <c r="Q253" s="14">
        <v>7200.0</v>
      </c>
      <c r="R253" s="14"/>
      <c r="S253" s="24" t="str">
        <f t="shared" ref="S253:U253" si="255">IF(E253&lt;&gt;"","Yes","")</f>
        <v>Yes</v>
      </c>
      <c r="T253" s="24" t="str">
        <f t="shared" si="255"/>
        <v>Yes</v>
      </c>
      <c r="U253" s="24" t="str">
        <f t="shared" si="255"/>
        <v>Yes</v>
      </c>
      <c r="V253" s="24" t="str">
        <f t="shared" si="3"/>
        <v/>
      </c>
      <c r="W253" s="14" t="str">
        <f t="shared" si="4"/>
        <v/>
      </c>
    </row>
    <row r="254" ht="14.25" customHeight="1">
      <c r="A254" s="18">
        <f>HYPERLINK("https://app.hubspot.com/contacts/8748051/record/0-1/118612404282", 118612404282)</f>
        <v>118612404282</v>
      </c>
      <c r="B254" s="14" t="s">
        <v>3760</v>
      </c>
      <c r="C254" s="16">
        <v>45778.84810185185</v>
      </c>
      <c r="D254" s="14"/>
      <c r="E254" s="32">
        <v>45779.0</v>
      </c>
      <c r="F254" s="32">
        <v>45783.0</v>
      </c>
      <c r="G254" s="32">
        <v>45783.0</v>
      </c>
      <c r="H254" s="14" t="s">
        <v>1071</v>
      </c>
      <c r="I254" s="14" t="s">
        <v>3240</v>
      </c>
      <c r="J254" s="24"/>
      <c r="K254" s="18">
        <f>HYPERLINK("https://app.hubspot.com/contacts/8748051/record/0-2/32877998338", 32877998338)</f>
        <v>32877998338</v>
      </c>
      <c r="L254" s="18" t="s">
        <v>1067</v>
      </c>
      <c r="M254" s="18" t="s">
        <v>1068</v>
      </c>
      <c r="N254" s="23">
        <f>HYPERLINK("https://app.hubspot.com/contacts/8748051/record/0-3/36622077979", 36622077979)</f>
        <v>36622077979</v>
      </c>
      <c r="O254" s="14" t="s">
        <v>1066</v>
      </c>
      <c r="P254" s="14" t="s">
        <v>118</v>
      </c>
      <c r="Q254" s="14">
        <v>0.0</v>
      </c>
      <c r="R254" s="14"/>
      <c r="S254" s="24" t="str">
        <f t="shared" ref="S254:U254" si="256">IF(E254&lt;&gt;"","Yes","")</f>
        <v>Yes</v>
      </c>
      <c r="T254" s="24" t="str">
        <f t="shared" si="256"/>
        <v>Yes</v>
      </c>
      <c r="U254" s="24" t="str">
        <f t="shared" si="256"/>
        <v>Yes</v>
      </c>
      <c r="V254" s="24" t="str">
        <f t="shared" si="3"/>
        <v/>
      </c>
      <c r="W254" s="14" t="str">
        <f t="shared" si="4"/>
        <v/>
      </c>
    </row>
    <row r="255" ht="14.25" customHeight="1">
      <c r="A255" s="18">
        <f>HYPERLINK("https://app.hubspot.com/contacts/8748051/record/0-1/118519859228", 118519859228)</f>
        <v>118519859228</v>
      </c>
      <c r="B255" s="14" t="s">
        <v>3761</v>
      </c>
      <c r="C255" s="16">
        <v>45778.5024537037</v>
      </c>
      <c r="D255" s="14"/>
      <c r="E255" s="32">
        <v>45778.0</v>
      </c>
      <c r="F255" s="32">
        <v>45786.0</v>
      </c>
      <c r="G255" s="32">
        <v>45786.0</v>
      </c>
      <c r="H255" s="14" t="s">
        <v>3762</v>
      </c>
      <c r="I255" s="14" t="s">
        <v>3246</v>
      </c>
      <c r="J255" s="24"/>
      <c r="K255" s="18">
        <f>HYPERLINK("https://app.hubspot.com/contacts/8748051/record/0-2/33065200735", 33065200735)</f>
        <v>33065200735</v>
      </c>
      <c r="L255" s="14" t="s">
        <v>1071</v>
      </c>
      <c r="M255" s="18" t="s">
        <v>1072</v>
      </c>
      <c r="N255" s="23">
        <f>HYPERLINK("https://app.hubspot.com/contacts/8748051/record/0-3/36587972188", 36587972188)</f>
        <v>36587972188</v>
      </c>
      <c r="O255" s="14" t="s">
        <v>1069</v>
      </c>
      <c r="P255" s="14" t="s">
        <v>146</v>
      </c>
      <c r="Q255" s="14">
        <v>90000.0</v>
      </c>
      <c r="R255" s="14" t="b">
        <v>1</v>
      </c>
      <c r="S255" s="24" t="str">
        <f t="shared" ref="S255:U255" si="257">IF(E255&lt;&gt;"","Yes","")</f>
        <v>Yes</v>
      </c>
      <c r="T255" s="24" t="str">
        <f t="shared" si="257"/>
        <v>Yes</v>
      </c>
      <c r="U255" s="24" t="str">
        <f t="shared" si="257"/>
        <v>Yes</v>
      </c>
      <c r="V255" s="24" t="str">
        <f t="shared" si="3"/>
        <v/>
      </c>
      <c r="W255" s="14" t="str">
        <f t="shared" si="4"/>
        <v>Yes</v>
      </c>
    </row>
    <row r="256" ht="14.25" customHeight="1">
      <c r="A256" s="18">
        <f>HYPERLINK("https://app.hubspot.com/contacts/8748051/record/0-1/118271135532", 118271135532)</f>
        <v>118271135532</v>
      </c>
      <c r="B256" s="14" t="s">
        <v>3763</v>
      </c>
      <c r="C256" s="16">
        <v>45777.47908564815</v>
      </c>
      <c r="D256" s="14"/>
      <c r="E256" s="32">
        <v>45777.0</v>
      </c>
      <c r="F256" s="32">
        <v>45778.0</v>
      </c>
      <c r="G256" s="32">
        <v>45778.0</v>
      </c>
      <c r="H256" s="14" t="s">
        <v>3764</v>
      </c>
      <c r="I256" s="14" t="s">
        <v>3237</v>
      </c>
      <c r="J256" s="24"/>
      <c r="K256" s="18">
        <f>HYPERLINK("https://app.hubspot.com/contacts/8748051/record/0-2/9513641119", 9513641119)</f>
        <v>9513641119</v>
      </c>
      <c r="L256" s="14" t="s">
        <v>1081</v>
      </c>
      <c r="M256" s="18" t="s">
        <v>1082</v>
      </c>
      <c r="N256" s="23">
        <f>HYPERLINK("https://app.hubspot.com/contacts/8748051/record/0-3/36595382346", 36595382346)</f>
        <v>36595382346</v>
      </c>
      <c r="O256" s="14" t="s">
        <v>1080</v>
      </c>
      <c r="P256" s="14" t="s">
        <v>124</v>
      </c>
      <c r="Q256" s="14">
        <v>10000.0</v>
      </c>
      <c r="R256" s="14" t="b">
        <v>1</v>
      </c>
      <c r="S256" s="24" t="str">
        <f t="shared" ref="S256:U256" si="258">IF(E256&lt;&gt;"","Yes","")</f>
        <v>Yes</v>
      </c>
      <c r="T256" s="24" t="str">
        <f t="shared" si="258"/>
        <v>Yes</v>
      </c>
      <c r="U256" s="24" t="str">
        <f t="shared" si="258"/>
        <v>Yes</v>
      </c>
      <c r="V256" s="24" t="str">
        <f t="shared" si="3"/>
        <v/>
      </c>
      <c r="W256" s="14" t="str">
        <f t="shared" si="4"/>
        <v/>
      </c>
    </row>
    <row r="257" ht="14.25" customHeight="1">
      <c r="A257" s="18">
        <f>HYPERLINK("https://app.hubspot.com/contacts/8748051/record/0-1/117960779629", 117960779629)</f>
        <v>117960779629</v>
      </c>
      <c r="B257" s="14" t="s">
        <v>3765</v>
      </c>
      <c r="C257" s="16">
        <v>45776.41587962963</v>
      </c>
      <c r="D257" s="14"/>
      <c r="E257" s="32">
        <v>45776.0</v>
      </c>
      <c r="F257" s="32">
        <v>45777.0</v>
      </c>
      <c r="G257" s="32">
        <v>45777.0</v>
      </c>
      <c r="H257" s="14" t="s">
        <v>3766</v>
      </c>
      <c r="I257" s="14" t="s">
        <v>3361</v>
      </c>
      <c r="J257" s="24"/>
      <c r="K257" s="18">
        <f>HYPERLINK("https://app.hubspot.com/contacts/8748051/record/0-2/32722080322", 32722080322)</f>
        <v>32722080322</v>
      </c>
      <c r="L257" s="14" t="s">
        <v>1084</v>
      </c>
      <c r="M257" s="18" t="s">
        <v>1085</v>
      </c>
      <c r="N257" s="18">
        <f>HYPERLINK("https://app.hubspot.com/contacts/8748051/record/0-3/36563149903", 36563149903)</f>
        <v>36563149903</v>
      </c>
      <c r="O257" s="14" t="s">
        <v>1083</v>
      </c>
      <c r="P257" s="14" t="s">
        <v>118</v>
      </c>
      <c r="Q257" s="14">
        <v>2000.0</v>
      </c>
      <c r="R257" s="14"/>
      <c r="S257" s="24" t="str">
        <f t="shared" ref="S257:U257" si="259">IF(E257&lt;&gt;"","Yes","")</f>
        <v>Yes</v>
      </c>
      <c r="T257" s="24" t="str">
        <f t="shared" si="259"/>
        <v>Yes</v>
      </c>
      <c r="U257" s="24" t="str">
        <f t="shared" si="259"/>
        <v>Yes</v>
      </c>
      <c r="V257" s="24" t="str">
        <f t="shared" si="3"/>
        <v/>
      </c>
      <c r="W257" s="14" t="str">
        <f t="shared" si="4"/>
        <v/>
      </c>
    </row>
    <row r="258" ht="14.25" customHeight="1">
      <c r="A258" s="18">
        <f>HYPERLINK("https://app.hubspot.com/contacts/8748051/record/0-1/116596312416", 116596312416)</f>
        <v>116596312416</v>
      </c>
      <c r="B258" s="14" t="s">
        <v>3767</v>
      </c>
      <c r="C258" s="16">
        <v>45771.96204861111</v>
      </c>
      <c r="D258" s="14"/>
      <c r="E258" s="32">
        <v>45772.0</v>
      </c>
      <c r="F258" s="32">
        <v>45773.0</v>
      </c>
      <c r="G258" s="32"/>
      <c r="H258" s="14" t="s">
        <v>3768</v>
      </c>
      <c r="I258" s="14" t="s">
        <v>3240</v>
      </c>
      <c r="J258" s="24"/>
      <c r="K258" s="18">
        <f>HYPERLINK("https://app.hubspot.com/contacts/8748051/record/0-2/6816458012", 6816458012)</f>
        <v>6816458012</v>
      </c>
      <c r="L258" s="14" t="s">
        <v>1087</v>
      </c>
      <c r="M258" s="18" t="s">
        <v>1088</v>
      </c>
      <c r="N258" s="23">
        <f>HYPERLINK("https://app.hubspot.com/contacts/8748051/record/0-3/36212115727", 36212115727)</f>
        <v>36212115727</v>
      </c>
      <c r="O258" s="14" t="s">
        <v>1086</v>
      </c>
      <c r="P258" s="14" t="s">
        <v>118</v>
      </c>
      <c r="Q258" s="14">
        <v>100000.0</v>
      </c>
      <c r="R258" s="14"/>
      <c r="S258" s="24" t="str">
        <f t="shared" ref="S258:U258" si="260">IF(E258&lt;&gt;"","Yes","")</f>
        <v>Yes</v>
      </c>
      <c r="T258" s="24" t="str">
        <f t="shared" si="260"/>
        <v>Yes</v>
      </c>
      <c r="U258" s="24" t="str">
        <f t="shared" si="260"/>
        <v/>
      </c>
      <c r="V258" s="24" t="str">
        <f t="shared" si="3"/>
        <v/>
      </c>
      <c r="W258" s="14" t="str">
        <f t="shared" si="4"/>
        <v/>
      </c>
    </row>
    <row r="259" ht="14.25" customHeight="1">
      <c r="A259" s="18">
        <f>HYPERLINK("https://app.hubspot.com/contacts/8748051/record/0-1/116367302755", 116367302755)</f>
        <v>116367302755</v>
      </c>
      <c r="B259" s="14" t="s">
        <v>3769</v>
      </c>
      <c r="C259" s="16">
        <v>45770.4021875</v>
      </c>
      <c r="D259" s="16"/>
      <c r="E259" s="32">
        <v>45770.0</v>
      </c>
      <c r="F259" s="32">
        <v>45771.0</v>
      </c>
      <c r="G259" s="32">
        <v>45771.0</v>
      </c>
      <c r="H259" s="14" t="s">
        <v>3770</v>
      </c>
      <c r="I259" s="14" t="s">
        <v>3470</v>
      </c>
      <c r="J259" s="24"/>
      <c r="K259" s="18">
        <f>HYPERLINK("https://app.hubspot.com/contacts/8748051/record/0-2/32425083941", 32425083941)</f>
        <v>32425083941</v>
      </c>
      <c r="L259" s="14" t="s">
        <v>1092</v>
      </c>
      <c r="M259" s="18" t="s">
        <v>1093</v>
      </c>
      <c r="N259" s="23">
        <f>HYPERLINK("https://app.hubspot.com/contacts/8748051/record/0-3/36142638880", 36142638880)</f>
        <v>36142638880</v>
      </c>
      <c r="O259" s="14" t="s">
        <v>1091</v>
      </c>
      <c r="P259" s="14" t="s">
        <v>124</v>
      </c>
      <c r="Q259" s="14">
        <v>43500.0</v>
      </c>
      <c r="R259" s="14" t="b">
        <v>1</v>
      </c>
      <c r="S259" s="24" t="str">
        <f t="shared" ref="S259:U259" si="261">IF(E259&lt;&gt;"","Yes","")</f>
        <v>Yes</v>
      </c>
      <c r="T259" s="24" t="str">
        <f t="shared" si="261"/>
        <v>Yes</v>
      </c>
      <c r="U259" s="24" t="str">
        <f t="shared" si="261"/>
        <v>Yes</v>
      </c>
      <c r="V259" s="24" t="str">
        <f t="shared" si="3"/>
        <v/>
      </c>
      <c r="W259" s="14" t="str">
        <f t="shared" si="4"/>
        <v/>
      </c>
    </row>
    <row r="260" ht="14.25" customHeight="1">
      <c r="A260" s="18">
        <f>HYPERLINK("https://app.hubspot.com/contacts/8748051/record/0-1/116164581271", 116164581271)</f>
        <v>116164581271</v>
      </c>
      <c r="B260" s="14" t="s">
        <v>3771</v>
      </c>
      <c r="C260" s="16">
        <v>45769.59275462963</v>
      </c>
      <c r="D260" s="14"/>
      <c r="E260" s="32">
        <v>45769.0</v>
      </c>
      <c r="F260" s="32">
        <v>45771.0</v>
      </c>
      <c r="G260" s="32">
        <v>45771.0</v>
      </c>
      <c r="H260" s="14" t="s">
        <v>3616</v>
      </c>
      <c r="I260" s="14" t="s">
        <v>152</v>
      </c>
      <c r="J260" s="24"/>
      <c r="K260" s="18">
        <f>HYPERLINK("https://app.hubspot.com/contacts/8748051/record/0-2/8161507100", 8161507100)</f>
        <v>8161507100</v>
      </c>
      <c r="L260" s="14" t="s">
        <v>1096</v>
      </c>
      <c r="M260" s="18" t="s">
        <v>1097</v>
      </c>
      <c r="N260" s="23">
        <f>HYPERLINK("https://app.hubspot.com/contacts/8748051/record/0-3/36065556254", 36065556254)</f>
        <v>36065556254</v>
      </c>
      <c r="O260" s="14" t="s">
        <v>1094</v>
      </c>
      <c r="P260" s="14" t="s">
        <v>89</v>
      </c>
      <c r="Q260" s="14">
        <v>46000.0</v>
      </c>
      <c r="R260" s="14" t="b">
        <v>1</v>
      </c>
      <c r="S260" s="24" t="str">
        <f t="shared" ref="S260:U260" si="262">IF(E260&lt;&gt;"","Yes","")</f>
        <v>Yes</v>
      </c>
      <c r="T260" s="24" t="str">
        <f t="shared" si="262"/>
        <v>Yes</v>
      </c>
      <c r="U260" s="24" t="str">
        <f t="shared" si="262"/>
        <v>Yes</v>
      </c>
      <c r="V260" s="24" t="str">
        <f t="shared" si="3"/>
        <v>Yes</v>
      </c>
      <c r="W260" s="14" t="str">
        <f t="shared" si="4"/>
        <v/>
      </c>
    </row>
    <row r="261" ht="14.25" customHeight="1">
      <c r="A261" s="18">
        <f>HYPERLINK("https://app.hubspot.com/contacts/8748051/record/0-1/103919077156", 103919077156)</f>
        <v>103919077156</v>
      </c>
      <c r="B261" s="14" t="s">
        <v>3772</v>
      </c>
      <c r="C261" s="16">
        <v>45768.39346064815</v>
      </c>
      <c r="D261" s="14"/>
      <c r="E261" s="32">
        <v>45768.0</v>
      </c>
      <c r="F261" s="32">
        <v>45779.0</v>
      </c>
      <c r="G261" s="32">
        <v>45791.0</v>
      </c>
      <c r="H261" s="14" t="s">
        <v>3773</v>
      </c>
      <c r="I261" s="14" t="s">
        <v>3240</v>
      </c>
      <c r="J261" s="24"/>
      <c r="K261" s="18">
        <f>HYPERLINK("https://app.hubspot.com/contacts/8748051/record/0-2/9238390855", 9238390855)</f>
        <v>9238390855</v>
      </c>
      <c r="L261" s="14" t="s">
        <v>1100</v>
      </c>
      <c r="M261" s="18" t="s">
        <v>1101</v>
      </c>
      <c r="N261" s="23">
        <f>HYPERLINK("https://app.hubspot.com/contacts/8748051/record/0-3/36028597311", 36028597311)</f>
        <v>36028597311</v>
      </c>
      <c r="O261" s="14" t="s">
        <v>1099</v>
      </c>
      <c r="P261" s="14" t="s">
        <v>118</v>
      </c>
      <c r="Q261" s="14">
        <v>35500.0</v>
      </c>
      <c r="R261" s="14"/>
      <c r="S261" s="24" t="str">
        <f t="shared" ref="S261:U261" si="263">IF(E261&lt;&gt;"","Yes","")</f>
        <v>Yes</v>
      </c>
      <c r="T261" s="24" t="str">
        <f t="shared" si="263"/>
        <v>Yes</v>
      </c>
      <c r="U261" s="24" t="str">
        <f t="shared" si="263"/>
        <v>Yes</v>
      </c>
      <c r="V261" s="24" t="str">
        <f t="shared" si="3"/>
        <v/>
      </c>
      <c r="W261" s="14" t="str">
        <f t="shared" si="4"/>
        <v/>
      </c>
    </row>
    <row r="262" ht="14.25" customHeight="1">
      <c r="A262" s="18">
        <f>HYPERLINK("https://app.hubspot.com/contacts/8748051/record/0-1/114857478560", 114857478560)</f>
        <v>114857478560</v>
      </c>
      <c r="B262" s="14" t="s">
        <v>3774</v>
      </c>
      <c r="C262" s="16">
        <v>45764.79491898148</v>
      </c>
      <c r="D262" s="14" t="s">
        <v>3304</v>
      </c>
      <c r="E262" s="32"/>
      <c r="F262" s="32"/>
      <c r="G262" s="32"/>
      <c r="H262" s="14" t="s">
        <v>3775</v>
      </c>
      <c r="I262" s="14"/>
      <c r="J262" s="24"/>
      <c r="K262" s="18">
        <f>HYPERLINK("https://app.hubspot.com/contacts/8748051/record/0-2/32158380933", 32158380933)</f>
        <v>32158380933</v>
      </c>
      <c r="L262" s="18" t="s">
        <v>3776</v>
      </c>
      <c r="M262" s="18" t="s">
        <v>3776</v>
      </c>
      <c r="N262" s="24"/>
      <c r="O262" s="14"/>
      <c r="P262" s="14"/>
      <c r="Q262" s="14"/>
      <c r="R262" s="14"/>
      <c r="S262" s="24" t="str">
        <f t="shared" ref="S262:U262" si="264">IF(E262&lt;&gt;"","Yes","")</f>
        <v/>
      </c>
      <c r="T262" s="24" t="str">
        <f t="shared" si="264"/>
        <v/>
      </c>
      <c r="U262" s="24" t="str">
        <f t="shared" si="264"/>
        <v/>
      </c>
      <c r="V262" s="24" t="str">
        <f t="shared" si="3"/>
        <v/>
      </c>
      <c r="W262" s="14" t="str">
        <f t="shared" si="4"/>
        <v/>
      </c>
    </row>
    <row r="263" ht="14.25" customHeight="1">
      <c r="A263" s="18">
        <f>HYPERLINK("https://app.hubspot.com/contacts/8748051/record/0-1/114464081481", 114464081481)</f>
        <v>114464081481</v>
      </c>
      <c r="B263" s="14" t="s">
        <v>3777</v>
      </c>
      <c r="C263" s="16">
        <v>45763.4428125</v>
      </c>
      <c r="D263" s="14"/>
      <c r="E263" s="32">
        <v>45763.0</v>
      </c>
      <c r="F263" s="32">
        <v>45768.0</v>
      </c>
      <c r="G263" s="32">
        <v>45768.0</v>
      </c>
      <c r="H263" s="14" t="s">
        <v>3419</v>
      </c>
      <c r="I263" s="14" t="s">
        <v>3237</v>
      </c>
      <c r="J263" s="24"/>
      <c r="K263" s="18">
        <f>HYPERLINK("https://app.hubspot.com/contacts/8748051/record/0-2/20185415273", 20185415273)</f>
        <v>20185415273</v>
      </c>
      <c r="L263" s="14" t="s">
        <v>820</v>
      </c>
      <c r="M263" s="18" t="s">
        <v>821</v>
      </c>
      <c r="N263" s="23">
        <f>HYPERLINK("https://app.hubspot.com/contacts/8748051/record/0-3/35827801260", 35827801260)</f>
        <v>35827801260</v>
      </c>
      <c r="O263" s="14" t="s">
        <v>1107</v>
      </c>
      <c r="P263" s="14" t="s">
        <v>118</v>
      </c>
      <c r="Q263" s="14">
        <v>5000.0</v>
      </c>
      <c r="R263" s="14"/>
      <c r="S263" s="24" t="str">
        <f t="shared" ref="S263:U263" si="265">IF(E263&lt;&gt;"","Yes","")</f>
        <v>Yes</v>
      </c>
      <c r="T263" s="24" t="str">
        <f t="shared" si="265"/>
        <v>Yes</v>
      </c>
      <c r="U263" s="24" t="str">
        <f t="shared" si="265"/>
        <v>Yes</v>
      </c>
      <c r="V263" s="24" t="str">
        <f t="shared" si="3"/>
        <v/>
      </c>
      <c r="W263" s="14" t="str">
        <f t="shared" si="4"/>
        <v/>
      </c>
    </row>
    <row r="264" ht="14.25" customHeight="1">
      <c r="A264" s="18">
        <f>HYPERLINK("https://app.hubspot.com/contacts/8748051/record/0-1/114314742665", 114314742665)</f>
        <v>114314742665</v>
      </c>
      <c r="B264" s="14" t="s">
        <v>3778</v>
      </c>
      <c r="C264" s="16">
        <v>45762.783483796295</v>
      </c>
      <c r="D264" s="14"/>
      <c r="E264" s="32">
        <v>45763.0</v>
      </c>
      <c r="F264" s="32">
        <v>45766.0</v>
      </c>
      <c r="G264" s="32">
        <v>45766.0</v>
      </c>
      <c r="H264" s="14" t="s">
        <v>3386</v>
      </c>
      <c r="I264" s="14" t="s">
        <v>3237</v>
      </c>
      <c r="J264" s="14"/>
      <c r="K264" s="18">
        <f>HYPERLINK("https://app.hubspot.com/contacts/8748051/record/0-2/32056215688", 32056215688)</f>
        <v>32056215688</v>
      </c>
      <c r="L264" s="14" t="s">
        <v>1109</v>
      </c>
      <c r="M264" s="18" t="s">
        <v>1110</v>
      </c>
      <c r="N264" s="18">
        <f>HYPERLINK("https://app.hubspot.com/contacts/8748051/record/0-3/35764308320", 35764308320)</f>
        <v>35764308320</v>
      </c>
      <c r="O264" s="14" t="s">
        <v>1108</v>
      </c>
      <c r="P264" s="14" t="s">
        <v>118</v>
      </c>
      <c r="Q264" s="14">
        <v>9500.0</v>
      </c>
      <c r="R264" s="14"/>
      <c r="S264" s="24" t="str">
        <f t="shared" ref="S264:U264" si="266">IF(E264&lt;&gt;"","Yes","")</f>
        <v>Yes</v>
      </c>
      <c r="T264" s="24" t="str">
        <f t="shared" si="266"/>
        <v>Yes</v>
      </c>
      <c r="U264" s="24" t="str">
        <f t="shared" si="266"/>
        <v>Yes</v>
      </c>
      <c r="V264" s="24" t="str">
        <f t="shared" si="3"/>
        <v/>
      </c>
      <c r="W264" s="14" t="str">
        <f t="shared" si="4"/>
        <v/>
      </c>
    </row>
    <row r="265" ht="14.25" customHeight="1">
      <c r="A265" s="18">
        <f>HYPERLINK("https://app.hubspot.com/contacts/8748051/record/0-1/102382023095", 102382023095)</f>
        <v>102382023095</v>
      </c>
      <c r="B265" s="14" t="s">
        <v>3779</v>
      </c>
      <c r="C265" s="16">
        <v>45758.641689814816</v>
      </c>
      <c r="D265" s="14"/>
      <c r="E265" s="32">
        <v>45759.0</v>
      </c>
      <c r="F265" s="32">
        <v>45763.0</v>
      </c>
      <c r="G265" s="32"/>
      <c r="H265" s="14" t="s">
        <v>3780</v>
      </c>
      <c r="I265" s="14" t="s">
        <v>152</v>
      </c>
      <c r="J265" s="24"/>
      <c r="K265" s="18">
        <f>HYPERLINK("https://app.hubspot.com/contacts/8748051/record/0-2/31946973311", 31946973311)</f>
        <v>31946973311</v>
      </c>
      <c r="L265" s="14" t="s">
        <v>672</v>
      </c>
      <c r="M265" s="18" t="s">
        <v>673</v>
      </c>
      <c r="N265" s="18">
        <f>HYPERLINK("https://app.hubspot.com/contacts/8748051/record/0-3/35676027492", 35676027492)</f>
        <v>35676027492</v>
      </c>
      <c r="O265" s="14" t="s">
        <v>1112</v>
      </c>
      <c r="P265" s="14" t="s">
        <v>118</v>
      </c>
      <c r="Q265" s="14">
        <v>1500.0</v>
      </c>
      <c r="R265" s="14"/>
      <c r="S265" s="24" t="str">
        <f t="shared" ref="S265:U265" si="267">IF(E265&lt;&gt;"","Yes","")</f>
        <v>Yes</v>
      </c>
      <c r="T265" s="24" t="str">
        <f t="shared" si="267"/>
        <v>Yes</v>
      </c>
      <c r="U265" s="24" t="str">
        <f t="shared" si="267"/>
        <v/>
      </c>
      <c r="V265" s="24" t="str">
        <f t="shared" si="3"/>
        <v/>
      </c>
      <c r="W265" s="14" t="str">
        <f t="shared" si="4"/>
        <v/>
      </c>
    </row>
    <row r="266" ht="14.25" customHeight="1">
      <c r="A266" s="18">
        <f>HYPERLINK("https://app.hubspot.com/contacts/8748051/record/0-1/1423303", 1423303)</f>
        <v>1423303</v>
      </c>
      <c r="B266" s="14" t="s">
        <v>3781</v>
      </c>
      <c r="C266" s="16">
        <v>45757.55755787037</v>
      </c>
      <c r="D266" s="14"/>
      <c r="E266" s="32">
        <v>45757.0</v>
      </c>
      <c r="F266" s="32">
        <v>45758.0</v>
      </c>
      <c r="G266" s="32">
        <v>45758.0</v>
      </c>
      <c r="H266" s="14" t="s">
        <v>3782</v>
      </c>
      <c r="I266" s="14" t="s">
        <v>3707</v>
      </c>
      <c r="J266" s="24"/>
      <c r="K266" s="18">
        <f>HYPERLINK("https://app.hubspot.com/contacts/8748051/record/0-2/7983431442", 7983431442)</f>
        <v>7983431442</v>
      </c>
      <c r="L266" s="14" t="s">
        <v>1114</v>
      </c>
      <c r="M266" s="18" t="s">
        <v>1115</v>
      </c>
      <c r="N266" s="23">
        <f>HYPERLINK("https://app.hubspot.com/contacts/8748051/record/0-3/35633263727", 35633263727)</f>
        <v>35633263727</v>
      </c>
      <c r="O266" s="14" t="s">
        <v>1113</v>
      </c>
      <c r="P266" s="14" t="s">
        <v>118</v>
      </c>
      <c r="Q266" s="14">
        <v>11000.0</v>
      </c>
      <c r="R266" s="14"/>
      <c r="S266" s="24" t="str">
        <f t="shared" ref="S266:U266" si="268">IF(E266&lt;&gt;"","Yes","")</f>
        <v>Yes</v>
      </c>
      <c r="T266" s="24" t="str">
        <f t="shared" si="268"/>
        <v>Yes</v>
      </c>
      <c r="U266" s="24" t="str">
        <f t="shared" si="268"/>
        <v>Yes</v>
      </c>
      <c r="V266" s="24" t="str">
        <f t="shared" si="3"/>
        <v/>
      </c>
      <c r="W266" s="14" t="str">
        <f t="shared" si="4"/>
        <v/>
      </c>
    </row>
    <row r="267" ht="14.25" customHeight="1">
      <c r="A267" s="18">
        <f>HYPERLINK("https://app.hubspot.com/contacts/8748051/record/0-1/112736394496", 112736394496)</f>
        <v>112736394496</v>
      </c>
      <c r="B267" s="14" t="s">
        <v>3783</v>
      </c>
      <c r="C267" s="16">
        <v>45756.63171296296</v>
      </c>
      <c r="D267" s="14"/>
      <c r="E267" s="32">
        <v>45757.0</v>
      </c>
      <c r="F267" s="32">
        <v>45758.0</v>
      </c>
      <c r="G267" s="32">
        <v>45758.0</v>
      </c>
      <c r="H267" s="14" t="s">
        <v>3784</v>
      </c>
      <c r="I267" s="14" t="s">
        <v>3235</v>
      </c>
      <c r="J267" s="24"/>
      <c r="K267" s="18">
        <f>HYPERLINK("https://app.hubspot.com/contacts/8748051/record/0-2/8142764962", 8142764962)</f>
        <v>8142764962</v>
      </c>
      <c r="L267" s="14" t="s">
        <v>951</v>
      </c>
      <c r="M267" s="18" t="s">
        <v>952</v>
      </c>
      <c r="N267" s="23">
        <f>HYPERLINK("https://app.hubspot.com/contacts/8748051/record/0-3/35628527472", 35628527472)</f>
        <v>35628527472</v>
      </c>
      <c r="O267" s="14" t="s">
        <v>1120</v>
      </c>
      <c r="P267" s="14" t="s">
        <v>118</v>
      </c>
      <c r="Q267" s="14">
        <v>100000.0</v>
      </c>
      <c r="R267" s="14"/>
      <c r="S267" s="24" t="str">
        <f t="shared" ref="S267:U267" si="269">IF(E267&lt;&gt;"","Yes","")</f>
        <v>Yes</v>
      </c>
      <c r="T267" s="24" t="str">
        <f t="shared" si="269"/>
        <v>Yes</v>
      </c>
      <c r="U267" s="24" t="str">
        <f t="shared" si="269"/>
        <v>Yes</v>
      </c>
      <c r="V267" s="24" t="str">
        <f t="shared" si="3"/>
        <v/>
      </c>
      <c r="W267" s="14" t="str">
        <f t="shared" si="4"/>
        <v/>
      </c>
    </row>
    <row r="268" ht="14.25" customHeight="1">
      <c r="A268" s="18">
        <f>HYPERLINK("https://app.hubspot.com/contacts/8748051/record/0-1/112463056208", 112463056208)</f>
        <v>112463056208</v>
      </c>
      <c r="B268" s="14" t="s">
        <v>3785</v>
      </c>
      <c r="C268" s="16">
        <v>45755.64795138889</v>
      </c>
      <c r="D268" s="14"/>
      <c r="E268" s="32">
        <v>45756.0</v>
      </c>
      <c r="F268" s="32">
        <v>45763.0</v>
      </c>
      <c r="G268" s="32">
        <v>45763.0</v>
      </c>
      <c r="H268" s="14" t="s">
        <v>3786</v>
      </c>
      <c r="I268" s="14" t="s">
        <v>152</v>
      </c>
      <c r="J268" s="24"/>
      <c r="K268" s="18">
        <f>HYPERLINK("https://app.hubspot.com/contacts/8748051/record/0-2/16376195482", 16376195482)</f>
        <v>16376195482</v>
      </c>
      <c r="L268" s="14" t="s">
        <v>1129</v>
      </c>
      <c r="M268" s="18" t="s">
        <v>1130</v>
      </c>
      <c r="N268" s="23">
        <f>HYPERLINK("https://app.hubspot.com/contacts/8748051/record/0-3/35601301376", 35601301376)</f>
        <v>35601301376</v>
      </c>
      <c r="O268" s="14" t="s">
        <v>1127</v>
      </c>
      <c r="P268" s="14" t="s">
        <v>146</v>
      </c>
      <c r="Q268" s="14">
        <v>25000.0</v>
      </c>
      <c r="R268" s="14" t="b">
        <v>1</v>
      </c>
      <c r="S268" s="24" t="str">
        <f t="shared" ref="S268:U268" si="270">IF(E268&lt;&gt;"","Yes","")</f>
        <v>Yes</v>
      </c>
      <c r="T268" s="24" t="str">
        <f t="shared" si="270"/>
        <v>Yes</v>
      </c>
      <c r="U268" s="24" t="str">
        <f t="shared" si="270"/>
        <v>Yes</v>
      </c>
      <c r="V268" s="24" t="str">
        <f t="shared" si="3"/>
        <v/>
      </c>
      <c r="W268" s="14" t="str">
        <f t="shared" si="4"/>
        <v>Yes</v>
      </c>
    </row>
    <row r="269" ht="14.25" customHeight="1">
      <c r="A269" s="18">
        <f>HYPERLINK("https://app.hubspot.com/contacts/8748051/record/0-1/111336572436", 111336572436)</f>
        <v>111336572436</v>
      </c>
      <c r="B269" s="14" t="s">
        <v>3787</v>
      </c>
      <c r="C269" s="16">
        <v>45750.678923611114</v>
      </c>
      <c r="D269" s="16"/>
      <c r="E269" s="32">
        <v>45751.0</v>
      </c>
      <c r="F269" s="32">
        <v>45752.0</v>
      </c>
      <c r="G269" s="32"/>
      <c r="H269" s="14" t="s">
        <v>3788</v>
      </c>
      <c r="I269" s="14" t="s">
        <v>152</v>
      </c>
      <c r="J269" s="24"/>
      <c r="K269" s="18">
        <f>HYPERLINK("https://app.hubspot.com/contacts/8748051/record/0-2/31731876899", 31731876899)</f>
        <v>31731876899</v>
      </c>
      <c r="L269" s="14" t="s">
        <v>1132</v>
      </c>
      <c r="M269" s="18" t="s">
        <v>1133</v>
      </c>
      <c r="N269" s="23">
        <f>HYPERLINK("https://app.hubspot.com/contacts/8748051/record/0-3/35398932836", 35398932836)</f>
        <v>35398932836</v>
      </c>
      <c r="O269" s="14" t="s">
        <v>1131</v>
      </c>
      <c r="P269" s="14" t="s">
        <v>118</v>
      </c>
      <c r="Q269" s="14">
        <v>22000.0</v>
      </c>
      <c r="R269" s="14"/>
      <c r="S269" s="24" t="str">
        <f t="shared" ref="S269:U269" si="271">IF(E269&lt;&gt;"","Yes","")</f>
        <v>Yes</v>
      </c>
      <c r="T269" s="24" t="str">
        <f t="shared" si="271"/>
        <v>Yes</v>
      </c>
      <c r="U269" s="24" t="str">
        <f t="shared" si="271"/>
        <v/>
      </c>
      <c r="V269" s="24" t="str">
        <f t="shared" si="3"/>
        <v/>
      </c>
      <c r="W269" s="14" t="str">
        <f t="shared" si="4"/>
        <v/>
      </c>
    </row>
    <row r="270" ht="14.25" customHeight="1">
      <c r="A270" s="18">
        <f>HYPERLINK("https://app.hubspot.com/contacts/8748051/record/0-1/111321287528", 111321287528)</f>
        <v>111321287528</v>
      </c>
      <c r="B270" s="14" t="s">
        <v>3789</v>
      </c>
      <c r="C270" s="16">
        <v>45750.62777777778</v>
      </c>
      <c r="D270" s="14"/>
      <c r="E270" s="32">
        <v>45751.0</v>
      </c>
      <c r="F270" s="32">
        <v>45764.0</v>
      </c>
      <c r="G270" s="32">
        <v>45764.0</v>
      </c>
      <c r="H270" s="14" t="s">
        <v>3790</v>
      </c>
      <c r="I270" s="14" t="s">
        <v>3791</v>
      </c>
      <c r="J270" s="24"/>
      <c r="K270" s="18">
        <f>HYPERLINK("https://app.hubspot.com/contacts/8748051/record/0-2/7691930755", 7691930755)</f>
        <v>7691930755</v>
      </c>
      <c r="L270" s="14" t="s">
        <v>1136</v>
      </c>
      <c r="M270" s="18" t="s">
        <v>1137</v>
      </c>
      <c r="N270" s="18">
        <f>HYPERLINK("https://app.hubspot.com/contacts/8748051/record/0-3/35443306906", 35443306906)</f>
        <v>35443306906</v>
      </c>
      <c r="O270" s="14" t="s">
        <v>1134</v>
      </c>
      <c r="P270" s="14" t="s">
        <v>89</v>
      </c>
      <c r="Q270" s="14">
        <v>75000.0</v>
      </c>
      <c r="R270" s="14" t="b">
        <v>1</v>
      </c>
      <c r="S270" s="24" t="str">
        <f t="shared" ref="S270:U270" si="272">IF(E270&lt;&gt;"","Yes","")</f>
        <v>Yes</v>
      </c>
      <c r="T270" s="24" t="str">
        <f t="shared" si="272"/>
        <v>Yes</v>
      </c>
      <c r="U270" s="24" t="str">
        <f t="shared" si="272"/>
        <v>Yes</v>
      </c>
      <c r="V270" s="24" t="str">
        <f t="shared" si="3"/>
        <v>Yes</v>
      </c>
      <c r="W270" s="14" t="str">
        <f t="shared" si="4"/>
        <v/>
      </c>
    </row>
    <row r="271" ht="14.25" customHeight="1">
      <c r="A271" s="18">
        <f>HYPERLINK("https://app.hubspot.com/contacts/8748051/record/0-1/111259705763", 111259705763)</f>
        <v>111259705763</v>
      </c>
      <c r="B271" s="14" t="s">
        <v>3792</v>
      </c>
      <c r="C271" s="16">
        <v>45750.43471064815</v>
      </c>
      <c r="D271" s="14"/>
      <c r="E271" s="32">
        <v>45750.0</v>
      </c>
      <c r="F271" s="32">
        <v>45751.0</v>
      </c>
      <c r="G271" s="32">
        <v>45751.0</v>
      </c>
      <c r="H271" s="14" t="s">
        <v>3296</v>
      </c>
      <c r="I271" s="14" t="s">
        <v>3237</v>
      </c>
      <c r="J271" s="24"/>
      <c r="K271" s="18">
        <f>HYPERLINK("https://app.hubspot.com/contacts/8748051/record/0-2/19176733015", 19176733015)</f>
        <v>19176733015</v>
      </c>
      <c r="L271" s="14" t="s">
        <v>1140</v>
      </c>
      <c r="M271" s="18" t="s">
        <v>1141</v>
      </c>
      <c r="N271" s="23">
        <f>HYPERLINK("https://app.hubspot.com/contacts/8748051/record/0-3/35396163611", 35396163611)</f>
        <v>35396163611</v>
      </c>
      <c r="O271" s="14" t="s">
        <v>1139</v>
      </c>
      <c r="P271" s="14" t="s">
        <v>146</v>
      </c>
      <c r="Q271" s="14">
        <v>14000.0</v>
      </c>
      <c r="R271" s="14" t="b">
        <v>1</v>
      </c>
      <c r="S271" s="24" t="str">
        <f t="shared" ref="S271:U271" si="273">IF(E271&lt;&gt;"","Yes","")</f>
        <v>Yes</v>
      </c>
      <c r="T271" s="24" t="str">
        <f t="shared" si="273"/>
        <v>Yes</v>
      </c>
      <c r="U271" s="24" t="str">
        <f t="shared" si="273"/>
        <v>Yes</v>
      </c>
      <c r="V271" s="24" t="str">
        <f t="shared" si="3"/>
        <v/>
      </c>
      <c r="W271" s="14" t="str">
        <f t="shared" si="4"/>
        <v>Yes</v>
      </c>
    </row>
    <row r="272" ht="14.25" customHeight="1">
      <c r="A272" s="18">
        <f>HYPERLINK("https://app.hubspot.com/contacts/8748051/record/0-1/111115029900", 111115029900)</f>
        <v>111115029900</v>
      </c>
      <c r="B272" s="14" t="s">
        <v>3793</v>
      </c>
      <c r="C272" s="16">
        <v>45749.8965625</v>
      </c>
      <c r="D272" s="14" t="s">
        <v>3304</v>
      </c>
      <c r="E272" s="32"/>
      <c r="F272" s="32"/>
      <c r="G272" s="32"/>
      <c r="H272" s="14" t="s">
        <v>3794</v>
      </c>
      <c r="I272" s="14"/>
      <c r="J272" s="24"/>
      <c r="K272" s="18">
        <f>HYPERLINK("https://app.hubspot.com/contacts/8748051/record/0-2/31727176244", 31727176244)</f>
        <v>31727176244</v>
      </c>
      <c r="L272" s="14" t="s">
        <v>3795</v>
      </c>
      <c r="M272" s="18" t="s">
        <v>3796</v>
      </c>
      <c r="N272" s="24"/>
      <c r="O272" s="14"/>
      <c r="P272" s="14"/>
      <c r="Q272" s="14"/>
      <c r="R272" s="14"/>
      <c r="S272" s="24" t="str">
        <f t="shared" ref="S272:U272" si="274">IF(E272&lt;&gt;"","Yes","")</f>
        <v/>
      </c>
      <c r="T272" s="24" t="str">
        <f t="shared" si="274"/>
        <v/>
      </c>
      <c r="U272" s="24" t="str">
        <f t="shared" si="274"/>
        <v/>
      </c>
      <c r="V272" s="24" t="str">
        <f t="shared" si="3"/>
        <v/>
      </c>
      <c r="W272" s="14" t="str">
        <f t="shared" si="4"/>
        <v/>
      </c>
    </row>
    <row r="273" ht="14.25" customHeight="1">
      <c r="A273" s="18">
        <f>HYPERLINK("https://app.hubspot.com/contacts/8748051/record/0-1/111091077437", 111091077437)</f>
        <v>111091077437</v>
      </c>
      <c r="B273" s="14" t="s">
        <v>3797</v>
      </c>
      <c r="C273" s="16">
        <v>45749.835868055554</v>
      </c>
      <c r="D273" s="14"/>
      <c r="E273" s="32">
        <v>45750.0</v>
      </c>
      <c r="F273" s="32">
        <v>45752.0</v>
      </c>
      <c r="G273" s="32">
        <v>45752.0</v>
      </c>
      <c r="H273" s="14" t="s">
        <v>1071</v>
      </c>
      <c r="I273" s="14" t="s">
        <v>3240</v>
      </c>
      <c r="J273" s="24"/>
      <c r="K273" s="18">
        <f>HYPERLINK("https://app.hubspot.com/contacts/8748051/record/0-2/19176719531", 19176719531)</f>
        <v>19176719531</v>
      </c>
      <c r="L273" s="14" t="s">
        <v>1143</v>
      </c>
      <c r="M273" s="18" t="s">
        <v>1144</v>
      </c>
      <c r="N273" s="23">
        <f>HYPERLINK("https://app.hubspot.com/contacts/8748051/record/0-3/35396838020", 35396838020)</f>
        <v>35396838020</v>
      </c>
      <c r="O273" s="14" t="s">
        <v>1142</v>
      </c>
      <c r="P273" s="14" t="s">
        <v>118</v>
      </c>
      <c r="Q273" s="14">
        <v>8000.0</v>
      </c>
      <c r="R273" s="14"/>
      <c r="S273" s="24" t="str">
        <f t="shared" ref="S273:U273" si="275">IF(E273&lt;&gt;"","Yes","")</f>
        <v>Yes</v>
      </c>
      <c r="T273" s="24" t="str">
        <f t="shared" si="275"/>
        <v>Yes</v>
      </c>
      <c r="U273" s="24" t="str">
        <f t="shared" si="275"/>
        <v>Yes</v>
      </c>
      <c r="V273" s="24" t="str">
        <f t="shared" si="3"/>
        <v/>
      </c>
      <c r="W273" s="14" t="str">
        <f t="shared" si="4"/>
        <v/>
      </c>
    </row>
    <row r="274" ht="14.25" customHeight="1">
      <c r="A274" s="18">
        <f>HYPERLINK("https://app.hubspot.com/contacts/8748051/record/0-1/111059378593", 111059378593)</f>
        <v>111059378593</v>
      </c>
      <c r="B274" s="14" t="s">
        <v>3798</v>
      </c>
      <c r="C274" s="16">
        <v>45749.66341435185</v>
      </c>
      <c r="D274" s="14"/>
      <c r="E274" s="32">
        <v>45750.0</v>
      </c>
      <c r="F274" s="32">
        <v>45752.0</v>
      </c>
      <c r="G274" s="32">
        <v>45752.0</v>
      </c>
      <c r="H274" s="14" t="s">
        <v>3799</v>
      </c>
      <c r="I274" s="14" t="s">
        <v>152</v>
      </c>
      <c r="J274" s="24"/>
      <c r="K274" s="18">
        <f>HYPERLINK("https://app.hubspot.com/contacts/8748051/record/0-2/31273452392", 31273452392)</f>
        <v>31273452392</v>
      </c>
      <c r="L274" s="14" t="s">
        <v>1152</v>
      </c>
      <c r="M274" s="18" t="s">
        <v>1153</v>
      </c>
      <c r="N274" s="23">
        <f>HYPERLINK("https://app.hubspot.com/contacts/8748051/record/0-3/35410720290", 35410720290)</f>
        <v>35410720290</v>
      </c>
      <c r="O274" s="14" t="s">
        <v>1150</v>
      </c>
      <c r="P274" s="14" t="s">
        <v>89</v>
      </c>
      <c r="Q274" s="14">
        <v>35000.0</v>
      </c>
      <c r="R274" s="14" t="b">
        <v>1</v>
      </c>
      <c r="S274" s="24" t="str">
        <f t="shared" ref="S274:U274" si="276">IF(E274&lt;&gt;"","Yes","")</f>
        <v>Yes</v>
      </c>
      <c r="T274" s="24" t="str">
        <f t="shared" si="276"/>
        <v>Yes</v>
      </c>
      <c r="U274" s="24" t="str">
        <f t="shared" si="276"/>
        <v>Yes</v>
      </c>
      <c r="V274" s="24" t="str">
        <f t="shared" si="3"/>
        <v>Yes</v>
      </c>
      <c r="W274" s="14" t="str">
        <f t="shared" si="4"/>
        <v/>
      </c>
    </row>
    <row r="275" ht="14.25" customHeight="1">
      <c r="A275" s="18">
        <f>HYPERLINK("https://app.hubspot.com/contacts/8748051/record/0-1/110759186325", 110759186325)</f>
        <v>110759186325</v>
      </c>
      <c r="B275" s="14" t="s">
        <v>3800</v>
      </c>
      <c r="C275" s="16">
        <v>45748.78165509259</v>
      </c>
      <c r="D275" s="14"/>
      <c r="E275" s="32">
        <v>45749.0</v>
      </c>
      <c r="F275" s="32">
        <v>45750.0</v>
      </c>
      <c r="G275" s="32">
        <v>45750.0</v>
      </c>
      <c r="H275" s="14" t="s">
        <v>3801</v>
      </c>
      <c r="I275" s="14" t="s">
        <v>3361</v>
      </c>
      <c r="J275" s="24"/>
      <c r="K275" s="18">
        <f>HYPERLINK("https://app.hubspot.com/contacts/8748051/record/0-2/9238276433", 9238276433)</f>
        <v>9238276433</v>
      </c>
      <c r="L275" s="14" t="s">
        <v>1167</v>
      </c>
      <c r="M275" s="18" t="s">
        <v>1168</v>
      </c>
      <c r="N275" s="18">
        <f>HYPERLINK("https://app.hubspot.com/contacts/8748051/record/0-3/35346512133", 35346512133)</f>
        <v>35346512133</v>
      </c>
      <c r="O275" s="14" t="s">
        <v>1166</v>
      </c>
      <c r="P275" s="14" t="s">
        <v>118</v>
      </c>
      <c r="Q275" s="14">
        <v>100000.0</v>
      </c>
      <c r="R275" s="14"/>
      <c r="S275" s="24" t="str">
        <f t="shared" ref="S275:U275" si="277">IF(E275&lt;&gt;"","Yes","")</f>
        <v>Yes</v>
      </c>
      <c r="T275" s="24" t="str">
        <f t="shared" si="277"/>
        <v>Yes</v>
      </c>
      <c r="U275" s="24" t="str">
        <f t="shared" si="277"/>
        <v>Yes</v>
      </c>
      <c r="V275" s="24" t="str">
        <f t="shared" si="3"/>
        <v/>
      </c>
      <c r="W275" s="14" t="str">
        <f t="shared" si="4"/>
        <v/>
      </c>
    </row>
    <row r="276" ht="14.25" customHeight="1">
      <c r="A276" s="18">
        <f>HYPERLINK("https://app.hubspot.com/contacts/8748051/record/0-1/158494577981", 158494577981)</f>
        <v>158494577981</v>
      </c>
      <c r="B276" s="14" t="s">
        <v>3802</v>
      </c>
      <c r="C276" s="16">
        <v>45747.64076388889</v>
      </c>
      <c r="D276" s="14"/>
      <c r="E276" s="32">
        <v>45748.0</v>
      </c>
      <c r="F276" s="32">
        <v>45748.0</v>
      </c>
      <c r="G276" s="32">
        <v>45748.0</v>
      </c>
      <c r="H276" s="14" t="s">
        <v>3252</v>
      </c>
      <c r="I276" s="14" t="s">
        <v>3237</v>
      </c>
      <c r="J276" s="24"/>
      <c r="K276" s="18">
        <f>HYPERLINK("https://app.hubspot.com/contacts/8748051/record/0-2/9173815374", 9173815374)</f>
        <v>9173815374</v>
      </c>
      <c r="L276" s="14" t="s">
        <v>1177</v>
      </c>
      <c r="M276" s="18" t="s">
        <v>1178</v>
      </c>
      <c r="N276" s="23">
        <f>HYPERLINK("https://app.hubspot.com/contacts/8748051/record/0-3/35306115919", 35306115919)</f>
        <v>35306115919</v>
      </c>
      <c r="O276" s="14" t="s">
        <v>1176</v>
      </c>
      <c r="P276" s="14" t="s">
        <v>124</v>
      </c>
      <c r="Q276" s="14">
        <v>40000.0</v>
      </c>
      <c r="R276" s="14" t="b">
        <v>1</v>
      </c>
      <c r="S276" s="24" t="str">
        <f t="shared" ref="S276:U276" si="278">IF(E276&lt;&gt;"","Yes","")</f>
        <v>Yes</v>
      </c>
      <c r="T276" s="24" t="str">
        <f t="shared" si="278"/>
        <v>Yes</v>
      </c>
      <c r="U276" s="24" t="str">
        <f t="shared" si="278"/>
        <v>Yes</v>
      </c>
      <c r="V276" s="24" t="str">
        <f t="shared" si="3"/>
        <v/>
      </c>
      <c r="W276" s="14" t="str">
        <f t="shared" si="4"/>
        <v/>
      </c>
    </row>
    <row r="277" ht="14.25" customHeight="1">
      <c r="A277" s="18">
        <f>HYPERLINK("https://app.hubspot.com/contacts/8748051/record/0-1/109876083857", 109876083857)</f>
        <v>109876083857</v>
      </c>
      <c r="B277" s="14" t="s">
        <v>3803</v>
      </c>
      <c r="C277" s="16">
        <v>45745.66724537037</v>
      </c>
      <c r="D277" s="14"/>
      <c r="E277" s="32">
        <v>45746.0</v>
      </c>
      <c r="F277" s="32">
        <v>45748.0</v>
      </c>
      <c r="G277" s="32"/>
      <c r="H277" s="14" t="s">
        <v>3804</v>
      </c>
      <c r="I277" s="14" t="s">
        <v>3240</v>
      </c>
      <c r="J277" s="24"/>
      <c r="K277" s="18">
        <f>HYPERLINK("https://app.hubspot.com/contacts/8748051/record/0-2/31520606976", 31520606976)</f>
        <v>31520606976</v>
      </c>
      <c r="L277" s="14" t="s">
        <v>1174</v>
      </c>
      <c r="M277" s="18" t="s">
        <v>1175</v>
      </c>
      <c r="N277" s="23">
        <f>HYPERLINK("https://app.hubspot.com/contacts/8748051/record/0-3/35306277454", 35306277454)</f>
        <v>35306277454</v>
      </c>
      <c r="O277" s="14" t="s">
        <v>1173</v>
      </c>
      <c r="P277" s="14" t="s">
        <v>118</v>
      </c>
      <c r="Q277" s="14">
        <v>1000.0</v>
      </c>
      <c r="R277" s="14"/>
      <c r="S277" s="24" t="str">
        <f t="shared" ref="S277:U277" si="279">IF(E277&lt;&gt;"","Yes","")</f>
        <v>Yes</v>
      </c>
      <c r="T277" s="24" t="str">
        <f t="shared" si="279"/>
        <v>Yes</v>
      </c>
      <c r="U277" s="24" t="str">
        <f t="shared" si="279"/>
        <v/>
      </c>
      <c r="V277" s="24" t="str">
        <f t="shared" si="3"/>
        <v/>
      </c>
      <c r="W277" s="14" t="str">
        <f t="shared" si="4"/>
        <v/>
      </c>
    </row>
    <row r="278" ht="14.25" customHeight="1">
      <c r="A278" s="18">
        <f>HYPERLINK("https://app.hubspot.com/contacts/8748051/record/0-1/109434607262", 109434607262)</f>
        <v>109434607262</v>
      </c>
      <c r="B278" s="14" t="s">
        <v>3805</v>
      </c>
      <c r="C278" s="16">
        <v>45744.544965277775</v>
      </c>
      <c r="D278" s="14"/>
      <c r="E278" s="32">
        <v>45744.0</v>
      </c>
      <c r="F278" s="32">
        <v>45782.0</v>
      </c>
      <c r="G278" s="32">
        <v>45782.0</v>
      </c>
      <c r="H278" s="14" t="s">
        <v>3806</v>
      </c>
      <c r="I278" s="14" t="s">
        <v>3402</v>
      </c>
      <c r="J278" s="24"/>
      <c r="K278" s="18">
        <f>HYPERLINK("https://app.hubspot.com/contacts/8748051/record/0-2/31465293335", 31465293335)</f>
        <v>31465293335</v>
      </c>
      <c r="L278" s="14" t="s">
        <v>1180</v>
      </c>
      <c r="M278" s="18" t="s">
        <v>1181</v>
      </c>
      <c r="N278" s="23">
        <f>HYPERLINK("https://app.hubspot.com/contacts/8748051/record/0-3/35183588375", 35183588375)</f>
        <v>35183588375</v>
      </c>
      <c r="O278" s="14" t="s">
        <v>1179</v>
      </c>
      <c r="P278" s="14" t="s">
        <v>124</v>
      </c>
      <c r="Q278" s="14">
        <v>500.0</v>
      </c>
      <c r="R278" s="14" t="b">
        <v>1</v>
      </c>
      <c r="S278" s="24" t="str">
        <f t="shared" ref="S278:U278" si="280">IF(E278&lt;&gt;"","Yes","")</f>
        <v>Yes</v>
      </c>
      <c r="T278" s="24" t="str">
        <f t="shared" si="280"/>
        <v>Yes</v>
      </c>
      <c r="U278" s="24" t="str">
        <f t="shared" si="280"/>
        <v>Yes</v>
      </c>
      <c r="V278" s="24" t="str">
        <f t="shared" si="3"/>
        <v/>
      </c>
      <c r="W278" s="14" t="str">
        <f t="shared" si="4"/>
        <v/>
      </c>
    </row>
    <row r="279" ht="14.25" customHeight="1">
      <c r="A279" s="18">
        <f>HYPERLINK("https://app.hubspot.com/contacts/8748051/record/0-1/108518797474", 108518797474)</f>
        <v>108518797474</v>
      </c>
      <c r="B279" s="14" t="s">
        <v>3807</v>
      </c>
      <c r="C279" s="16">
        <v>45740.55520833333</v>
      </c>
      <c r="D279" s="14"/>
      <c r="E279" s="32">
        <v>45740.0</v>
      </c>
      <c r="F279" s="32">
        <v>45741.0</v>
      </c>
      <c r="G279" s="32">
        <v>45741.0</v>
      </c>
      <c r="H279" s="24"/>
      <c r="I279" s="14" t="s">
        <v>152</v>
      </c>
      <c r="J279" s="24"/>
      <c r="K279" s="18">
        <f>HYPERLINK("https://app.hubspot.com/contacts/8748051/record/0-2/36938590759", 36938590759)</f>
        <v>36938590759</v>
      </c>
      <c r="L279" s="14" t="s">
        <v>1196</v>
      </c>
      <c r="M279" s="18" t="s">
        <v>1197</v>
      </c>
      <c r="N279" s="23">
        <f>HYPERLINK("https://app.hubspot.com/contacts/8748051/record/0-3/35019058736", 35019058736)</f>
        <v>35019058736</v>
      </c>
      <c r="O279" s="14" t="s">
        <v>1194</v>
      </c>
      <c r="P279" s="14" t="s">
        <v>89</v>
      </c>
      <c r="Q279" s="14">
        <v>99696.0</v>
      </c>
      <c r="R279" s="14" t="b">
        <v>1</v>
      </c>
      <c r="S279" s="24" t="str">
        <f t="shared" ref="S279:U279" si="281">IF(E279&lt;&gt;"","Yes","")</f>
        <v>Yes</v>
      </c>
      <c r="T279" s="24" t="str">
        <f t="shared" si="281"/>
        <v>Yes</v>
      </c>
      <c r="U279" s="24" t="str">
        <f t="shared" si="281"/>
        <v>Yes</v>
      </c>
      <c r="V279" s="24" t="str">
        <f t="shared" si="3"/>
        <v>Yes</v>
      </c>
      <c r="W279" s="14" t="str">
        <f t="shared" si="4"/>
        <v/>
      </c>
    </row>
    <row r="280" ht="14.25" customHeight="1">
      <c r="A280" s="18">
        <f>HYPERLINK("https://app.hubspot.com/contacts/8748051/record/0-1/103843566147", 103843566147)</f>
        <v>103843566147</v>
      </c>
      <c r="B280" s="14" t="s">
        <v>3808</v>
      </c>
      <c r="C280" s="16">
        <v>45739.525925925926</v>
      </c>
      <c r="D280" s="14"/>
      <c r="E280" s="32">
        <v>45739.0</v>
      </c>
      <c r="F280" s="32">
        <v>45740.0</v>
      </c>
      <c r="G280" s="32"/>
      <c r="H280" s="24"/>
      <c r="I280" s="14" t="s">
        <v>3203</v>
      </c>
      <c r="J280" s="14"/>
      <c r="K280" s="18">
        <f>HYPERLINK("https://app.hubspot.com/contacts/8748051/record/0-2/31321704722", 31321704722)</f>
        <v>31321704722</v>
      </c>
      <c r="L280" s="14" t="s">
        <v>1213</v>
      </c>
      <c r="M280" s="18" t="s">
        <v>1214</v>
      </c>
      <c r="N280" s="18">
        <f>HYPERLINK("https://app.hubspot.com/contacts/8748051/record/0-3/34988305307", 34988305307)</f>
        <v>34988305307</v>
      </c>
      <c r="O280" s="14" t="s">
        <v>1212</v>
      </c>
      <c r="P280" s="14" t="s">
        <v>118</v>
      </c>
      <c r="Q280" s="14">
        <v>0.0</v>
      </c>
      <c r="R280" s="14"/>
      <c r="S280" s="24" t="str">
        <f t="shared" ref="S280:U280" si="282">IF(E280&lt;&gt;"","Yes","")</f>
        <v>Yes</v>
      </c>
      <c r="T280" s="24" t="str">
        <f t="shared" si="282"/>
        <v>Yes</v>
      </c>
      <c r="U280" s="24" t="str">
        <f t="shared" si="282"/>
        <v/>
      </c>
      <c r="V280" s="24" t="str">
        <f t="shared" si="3"/>
        <v/>
      </c>
      <c r="W280" s="14" t="str">
        <f t="shared" si="4"/>
        <v/>
      </c>
    </row>
    <row r="281" ht="14.25" customHeight="1">
      <c r="A281" s="18">
        <f>HYPERLINK("https://app.hubspot.com/contacts/8748051/record/0-1/107152830780", 107152830780)</f>
        <v>107152830780</v>
      </c>
      <c r="B281" s="14" t="s">
        <v>3809</v>
      </c>
      <c r="C281" s="16">
        <v>45735.26244212963</v>
      </c>
      <c r="D281" s="14"/>
      <c r="E281" s="32">
        <v>45735.0</v>
      </c>
      <c r="F281" s="32">
        <v>45748.0</v>
      </c>
      <c r="G281" s="32">
        <v>45748.0</v>
      </c>
      <c r="H281" s="24"/>
      <c r="I281" s="14" t="s">
        <v>3237</v>
      </c>
      <c r="J281" s="24"/>
      <c r="K281" s="18">
        <f>HYPERLINK("https://app.hubspot.com/contacts/8748051/record/0-2/31169940651", 31169940651)</f>
        <v>31169940651</v>
      </c>
      <c r="L281" s="18" t="s">
        <v>1183</v>
      </c>
      <c r="M281" s="18" t="s">
        <v>1184</v>
      </c>
      <c r="N281" s="23">
        <f>HYPERLINK("https://app.hubspot.com/contacts/8748051/record/0-3/35125218838", 35125218838)</f>
        <v>35125218838</v>
      </c>
      <c r="O281" s="14" t="s">
        <v>1182</v>
      </c>
      <c r="P281" s="14" t="s">
        <v>124</v>
      </c>
      <c r="Q281" s="14">
        <v>15000.0</v>
      </c>
      <c r="R281" s="14" t="b">
        <v>1</v>
      </c>
      <c r="S281" s="24" t="str">
        <f t="shared" ref="S281:U281" si="283">IF(E281&lt;&gt;"","Yes","")</f>
        <v>Yes</v>
      </c>
      <c r="T281" s="24" t="str">
        <f t="shared" si="283"/>
        <v>Yes</v>
      </c>
      <c r="U281" s="24" t="str">
        <f t="shared" si="283"/>
        <v>Yes</v>
      </c>
      <c r="V281" s="24" t="str">
        <f t="shared" si="3"/>
        <v/>
      </c>
      <c r="W281" s="14" t="str">
        <f t="shared" si="4"/>
        <v/>
      </c>
    </row>
    <row r="282" ht="14.25" customHeight="1">
      <c r="A282" s="18">
        <f>HYPERLINK("https://app.hubspot.com/contacts/8748051/record/0-1/477761", 477761)</f>
        <v>477761</v>
      </c>
      <c r="B282" s="14" t="s">
        <v>3810</v>
      </c>
      <c r="C282" s="16">
        <v>45733.65319444444</v>
      </c>
      <c r="D282" s="14"/>
      <c r="E282" s="32">
        <v>45734.0</v>
      </c>
      <c r="F282" s="32">
        <v>45734.0</v>
      </c>
      <c r="G282" s="32">
        <v>45734.0</v>
      </c>
      <c r="H282" s="24"/>
      <c r="I282" s="14" t="s">
        <v>152</v>
      </c>
      <c r="J282" s="24"/>
      <c r="K282" s="18">
        <f>HYPERLINK("https://app.hubspot.com/contacts/8748051/record/0-2/8644546840", 8644546840)</f>
        <v>8644546840</v>
      </c>
      <c r="L282" s="14" t="s">
        <v>1224</v>
      </c>
      <c r="M282" s="18" t="s">
        <v>1225</v>
      </c>
      <c r="N282" s="23">
        <f>HYPERLINK("https://app.hubspot.com/contacts/8748051/record/0-3/34778900532", 34778900532)</f>
        <v>34778900532</v>
      </c>
      <c r="O282" s="14" t="s">
        <v>1223</v>
      </c>
      <c r="P282" s="14" t="s">
        <v>124</v>
      </c>
      <c r="Q282" s="14">
        <v>25000.0</v>
      </c>
      <c r="R282" s="14" t="b">
        <v>1</v>
      </c>
      <c r="S282" s="24" t="str">
        <f t="shared" ref="S282:U282" si="284">IF(E282&lt;&gt;"","Yes","")</f>
        <v>Yes</v>
      </c>
      <c r="T282" s="24" t="str">
        <f t="shared" si="284"/>
        <v>Yes</v>
      </c>
      <c r="U282" s="24" t="str">
        <f t="shared" si="284"/>
        <v>Yes</v>
      </c>
      <c r="V282" s="24" t="str">
        <f t="shared" si="3"/>
        <v/>
      </c>
      <c r="W282" s="14" t="str">
        <f t="shared" si="4"/>
        <v/>
      </c>
    </row>
    <row r="283" ht="14.25" customHeight="1">
      <c r="A283" s="18">
        <f>HYPERLINK("https://app.hubspot.com/contacts/8748051/record/0-1/106225794221", 106225794221)</f>
        <v>106225794221</v>
      </c>
      <c r="B283" s="14" t="s">
        <v>3811</v>
      </c>
      <c r="C283" s="16">
        <v>45731.17443287037</v>
      </c>
      <c r="D283" s="14"/>
      <c r="E283" s="32">
        <v>45731.0</v>
      </c>
      <c r="F283" s="32">
        <v>45733.0</v>
      </c>
      <c r="G283" s="32">
        <v>45733.0</v>
      </c>
      <c r="H283" s="24"/>
      <c r="I283" s="14" t="s">
        <v>3203</v>
      </c>
      <c r="J283" s="24"/>
      <c r="K283" s="18">
        <f>HYPERLINK("https://app.hubspot.com/contacts/8748051/record/0-2/31093414731", 31093414731)</f>
        <v>31093414731</v>
      </c>
      <c r="L283" s="14" t="s">
        <v>1216</v>
      </c>
      <c r="M283" s="18" t="s">
        <v>1217</v>
      </c>
      <c r="N283" s="23">
        <f>HYPERLINK("https://app.hubspot.com/contacts/8748051/record/0-3/34894570153", 34894570153)</f>
        <v>34894570153</v>
      </c>
      <c r="O283" s="14" t="s">
        <v>1215</v>
      </c>
      <c r="P283" s="14" t="s">
        <v>118</v>
      </c>
      <c r="Q283" s="14">
        <v>500.0</v>
      </c>
      <c r="R283" s="14"/>
      <c r="S283" s="24" t="str">
        <f t="shared" ref="S283:U283" si="285">IF(E283&lt;&gt;"","Yes","")</f>
        <v>Yes</v>
      </c>
      <c r="T283" s="24" t="str">
        <f t="shared" si="285"/>
        <v>Yes</v>
      </c>
      <c r="U283" s="24" t="str">
        <f t="shared" si="285"/>
        <v>Yes</v>
      </c>
      <c r="V283" s="24" t="str">
        <f t="shared" si="3"/>
        <v/>
      </c>
      <c r="W283" s="14" t="str">
        <f t="shared" si="4"/>
        <v/>
      </c>
    </row>
    <row r="284" ht="14.25" customHeight="1">
      <c r="A284" s="18">
        <f>HYPERLINK("https://app.hubspot.com/contacts/8748051/record/0-1/138833402292", 138833402292)</f>
        <v>138833402292</v>
      </c>
      <c r="B284" s="14" t="s">
        <v>3812</v>
      </c>
      <c r="C284" s="16">
        <v>45726.48961805556</v>
      </c>
      <c r="D284" s="14"/>
      <c r="E284" s="32">
        <v>45726.0</v>
      </c>
      <c r="F284" s="32">
        <v>45728.0</v>
      </c>
      <c r="G284" s="32">
        <v>45728.0</v>
      </c>
      <c r="H284" s="24"/>
      <c r="I284" s="14" t="s">
        <v>3237</v>
      </c>
      <c r="J284" s="24"/>
      <c r="K284" s="18">
        <f>HYPERLINK("https://app.hubspot.com/contacts/8748051/record/0-2/35059245747", 35059245747)</f>
        <v>35059245747</v>
      </c>
      <c r="L284" s="14" t="s">
        <v>323</v>
      </c>
      <c r="M284" s="18" t="s">
        <v>324</v>
      </c>
      <c r="N284" s="23">
        <f>HYPERLINK("https://app.hubspot.com/contacts/8748051/record/0-3/34480837013", 34480837013)</f>
        <v>34480837013</v>
      </c>
      <c r="O284" s="14" t="s">
        <v>1241</v>
      </c>
      <c r="P284" s="14" t="s">
        <v>124</v>
      </c>
      <c r="Q284" s="14">
        <v>45000.0</v>
      </c>
      <c r="R284" s="14" t="b">
        <v>1</v>
      </c>
      <c r="S284" s="24" t="str">
        <f t="shared" ref="S284:U284" si="286">IF(E284&lt;&gt;"","Yes","")</f>
        <v>Yes</v>
      </c>
      <c r="T284" s="24" t="str">
        <f t="shared" si="286"/>
        <v>Yes</v>
      </c>
      <c r="U284" s="24" t="str">
        <f t="shared" si="286"/>
        <v>Yes</v>
      </c>
      <c r="V284" s="24" t="str">
        <f t="shared" si="3"/>
        <v/>
      </c>
      <c r="W284" s="14" t="str">
        <f t="shared" si="4"/>
        <v/>
      </c>
    </row>
    <row r="285" ht="14.25" customHeight="1">
      <c r="A285" s="18">
        <f>HYPERLINK("https://app.hubspot.com/contacts/8748051/record/0-1/104377823363", 104377823363)</f>
        <v>104377823363</v>
      </c>
      <c r="B285" s="14" t="s">
        <v>3813</v>
      </c>
      <c r="C285" s="16">
        <v>45723.266747685186</v>
      </c>
      <c r="D285" s="14"/>
      <c r="E285" s="32">
        <v>45723.0</v>
      </c>
      <c r="F285" s="32">
        <v>45723.0</v>
      </c>
      <c r="G285" s="32">
        <v>45723.0</v>
      </c>
      <c r="H285" s="24"/>
      <c r="I285" s="14" t="s">
        <v>3237</v>
      </c>
      <c r="J285" s="24"/>
      <c r="K285" s="18">
        <f>HYPERLINK("https://app.hubspot.com/contacts/8748051/record/0-2/8816517268", 8816517268)</f>
        <v>8816517268</v>
      </c>
      <c r="L285" s="14" t="s">
        <v>1243</v>
      </c>
      <c r="M285" s="18" t="s">
        <v>1244</v>
      </c>
      <c r="N285" s="23">
        <f>HYPERLINK("https://app.hubspot.com/contacts/8748051/record/0-3/34356310073", 34356310073)</f>
        <v>34356310073</v>
      </c>
      <c r="O285" s="14" t="s">
        <v>1242</v>
      </c>
      <c r="P285" s="14" t="s">
        <v>124</v>
      </c>
      <c r="Q285" s="14">
        <v>25000.0</v>
      </c>
      <c r="R285" s="14" t="b">
        <v>1</v>
      </c>
      <c r="S285" s="24" t="str">
        <f t="shared" ref="S285:U285" si="287">IF(E285&lt;&gt;"","Yes","")</f>
        <v>Yes</v>
      </c>
      <c r="T285" s="24" t="str">
        <f t="shared" si="287"/>
        <v>Yes</v>
      </c>
      <c r="U285" s="24" t="str">
        <f t="shared" si="287"/>
        <v>Yes</v>
      </c>
      <c r="V285" s="24" t="str">
        <f t="shared" si="3"/>
        <v/>
      </c>
      <c r="W285" s="14" t="str">
        <f t="shared" si="4"/>
        <v/>
      </c>
    </row>
    <row r="286" ht="14.25" customHeight="1">
      <c r="A286" s="18">
        <f>HYPERLINK("https://app.hubspot.com/contacts/8748051/record/0-1/102804723241", 102804723241)</f>
        <v>102804723241</v>
      </c>
      <c r="B286" s="14" t="s">
        <v>3814</v>
      </c>
      <c r="C286" s="16">
        <v>45723.21916666667</v>
      </c>
      <c r="D286" s="14"/>
      <c r="E286" s="32">
        <v>45723.0</v>
      </c>
      <c r="F286" s="32">
        <v>45729.0</v>
      </c>
      <c r="G286" s="32">
        <v>45729.0</v>
      </c>
      <c r="H286" s="24"/>
      <c r="I286" s="14" t="s">
        <v>152</v>
      </c>
      <c r="J286" s="24"/>
      <c r="K286" s="18">
        <f>HYPERLINK("https://app.hubspot.com/contacts/8748051/record/0-2/7755953967", 7755953967)</f>
        <v>7755953967</v>
      </c>
      <c r="L286" s="14" t="s">
        <v>1247</v>
      </c>
      <c r="M286" s="18" t="s">
        <v>1248</v>
      </c>
      <c r="N286" s="18">
        <f>HYPERLINK("https://app.hubspot.com/contacts/8748051/record/0-3/34356268180", 34356268180)</f>
        <v>34356268180</v>
      </c>
      <c r="O286" s="14" t="s">
        <v>1246</v>
      </c>
      <c r="P286" s="14" t="s">
        <v>124</v>
      </c>
      <c r="Q286" s="14">
        <v>10000.0</v>
      </c>
      <c r="R286" s="14" t="b">
        <v>1</v>
      </c>
      <c r="S286" s="24" t="str">
        <f t="shared" ref="S286:U286" si="288">IF(E286&lt;&gt;"","Yes","")</f>
        <v>Yes</v>
      </c>
      <c r="T286" s="24" t="str">
        <f t="shared" si="288"/>
        <v>Yes</v>
      </c>
      <c r="U286" s="24" t="str">
        <f t="shared" si="288"/>
        <v>Yes</v>
      </c>
      <c r="V286" s="24" t="str">
        <f t="shared" si="3"/>
        <v/>
      </c>
      <c r="W286" s="14" t="str">
        <f t="shared" si="4"/>
        <v/>
      </c>
    </row>
    <row r="287" ht="14.25" customHeight="1">
      <c r="A287" s="18">
        <f>HYPERLINK("https://app.hubspot.com/contacts/8748051/record/0-1/104214414490", 104214414490)</f>
        <v>104214414490</v>
      </c>
      <c r="B287" s="14" t="s">
        <v>3815</v>
      </c>
      <c r="C287" s="16">
        <v>45722.445706018516</v>
      </c>
      <c r="D287" s="14"/>
      <c r="E287" s="32">
        <v>45722.0</v>
      </c>
      <c r="F287" s="32">
        <v>45728.0</v>
      </c>
      <c r="G287" s="32">
        <v>45728.0</v>
      </c>
      <c r="H287" s="24"/>
      <c r="I287" s="14" t="s">
        <v>3246</v>
      </c>
      <c r="J287" s="24"/>
      <c r="K287" s="18">
        <f>HYPERLINK("https://app.hubspot.com/contacts/8748051/record/0-2/30760423032", 30760423032)</f>
        <v>30760423032</v>
      </c>
      <c r="L287" s="14" t="s">
        <v>1250</v>
      </c>
      <c r="M287" s="18" t="s">
        <v>1251</v>
      </c>
      <c r="N287" s="18">
        <f>HYPERLINK("https://app.hubspot.com/contacts/8748051/record/0-3/34357358374", 34357358374)</f>
        <v>34357358374</v>
      </c>
      <c r="O287" s="14" t="s">
        <v>1249</v>
      </c>
      <c r="P287" s="14" t="s">
        <v>124</v>
      </c>
      <c r="Q287" s="14">
        <v>25000.0</v>
      </c>
      <c r="R287" s="14" t="b">
        <v>1</v>
      </c>
      <c r="S287" s="24" t="str">
        <f t="shared" ref="S287:U287" si="289">IF(E287&lt;&gt;"","Yes","")</f>
        <v>Yes</v>
      </c>
      <c r="T287" s="24" t="str">
        <f t="shared" si="289"/>
        <v>Yes</v>
      </c>
      <c r="U287" s="24" t="str">
        <f t="shared" si="289"/>
        <v>Yes</v>
      </c>
      <c r="V287" s="24" t="str">
        <f t="shared" si="3"/>
        <v/>
      </c>
      <c r="W287" s="14" t="str">
        <f t="shared" si="4"/>
        <v/>
      </c>
    </row>
    <row r="288" ht="14.25" customHeight="1">
      <c r="A288" s="18">
        <f>HYPERLINK("https://app.hubspot.com/contacts/8748051/record/0-1/102817359444", 102817359444)</f>
        <v>102817359444</v>
      </c>
      <c r="B288" s="14" t="s">
        <v>3816</v>
      </c>
      <c r="C288" s="16">
        <v>45716.26825231482</v>
      </c>
      <c r="D288" s="14"/>
      <c r="E288" s="32">
        <v>45716.0</v>
      </c>
      <c r="F288" s="32">
        <v>45719.0</v>
      </c>
      <c r="G288" s="32"/>
      <c r="H288" s="14"/>
      <c r="I288" s="14" t="s">
        <v>3203</v>
      </c>
      <c r="J288" s="14"/>
      <c r="K288" s="18">
        <f t="shared" ref="K288:K289" si="291">HYPERLINK("https://app.hubspot.com/contacts/8748051/record/0-2/30493775465", 30493775465)</f>
        <v>30493775465</v>
      </c>
      <c r="L288" s="14" t="s">
        <v>1257</v>
      </c>
      <c r="M288" s="18" t="s">
        <v>1258</v>
      </c>
      <c r="N288" s="18">
        <f t="shared" ref="N288:N289" si="292">HYPERLINK("https://app.hubspot.com/contacts/8748051/record/0-3/34056460396", 34056460396)</f>
        <v>34056460396</v>
      </c>
      <c r="O288" s="14" t="s">
        <v>1256</v>
      </c>
      <c r="P288" s="14" t="s">
        <v>118</v>
      </c>
      <c r="Q288" s="14">
        <v>0.0</v>
      </c>
      <c r="R288" s="14"/>
      <c r="S288" s="24" t="str">
        <f t="shared" ref="S288:U288" si="290">IF(E288&lt;&gt;"","Yes","")</f>
        <v>Yes</v>
      </c>
      <c r="T288" s="24" t="str">
        <f t="shared" si="290"/>
        <v>Yes</v>
      </c>
      <c r="U288" s="24" t="str">
        <f t="shared" si="290"/>
        <v/>
      </c>
      <c r="V288" s="24" t="str">
        <f t="shared" si="3"/>
        <v/>
      </c>
      <c r="W288" s="14" t="str">
        <f t="shared" si="4"/>
        <v/>
      </c>
    </row>
    <row r="289" ht="14.25" customHeight="1">
      <c r="A289" s="18">
        <f>HYPERLINK("https://app.hubspot.com/contacts/8748051/record/0-1/102508588703", 102508588703)</f>
        <v>102508588703</v>
      </c>
      <c r="B289" s="14" t="s">
        <v>3817</v>
      </c>
      <c r="C289" s="16">
        <v>45716.24334490741</v>
      </c>
      <c r="D289" s="14"/>
      <c r="E289" s="32">
        <v>45716.0</v>
      </c>
      <c r="F289" s="32">
        <v>45719.0</v>
      </c>
      <c r="G289" s="32"/>
      <c r="H289" s="14"/>
      <c r="I289" s="14" t="s">
        <v>3203</v>
      </c>
      <c r="J289" s="14"/>
      <c r="K289" s="18">
        <f t="shared" si="291"/>
        <v>30493775465</v>
      </c>
      <c r="L289" s="14" t="s">
        <v>1257</v>
      </c>
      <c r="M289" s="18" t="s">
        <v>1258</v>
      </c>
      <c r="N289" s="18">
        <f t="shared" si="292"/>
        <v>34056460396</v>
      </c>
      <c r="O289" s="14" t="s">
        <v>1256</v>
      </c>
      <c r="P289" s="14" t="s">
        <v>118</v>
      </c>
      <c r="Q289" s="14">
        <v>0.0</v>
      </c>
      <c r="R289" s="14"/>
      <c r="S289" s="24" t="str">
        <f t="shared" ref="S289:U289" si="293">IF(E289&lt;&gt;"","Yes","")</f>
        <v>Yes</v>
      </c>
      <c r="T289" s="24" t="str">
        <f t="shared" si="293"/>
        <v>Yes</v>
      </c>
      <c r="U289" s="24" t="str">
        <f t="shared" si="293"/>
        <v/>
      </c>
      <c r="V289" s="24" t="str">
        <f t="shared" si="3"/>
        <v/>
      </c>
      <c r="W289" s="14" t="str">
        <f t="shared" si="4"/>
        <v/>
      </c>
    </row>
    <row r="290" ht="14.25" customHeight="1">
      <c r="A290" s="18">
        <f>HYPERLINK("https://app.hubspot.com/contacts/8748051/record/0-1/102780343835", 102780343835)</f>
        <v>102780343835</v>
      </c>
      <c r="B290" s="14" t="s">
        <v>3818</v>
      </c>
      <c r="C290" s="16">
        <v>45716.079363425924</v>
      </c>
      <c r="D290" s="14" t="s">
        <v>3304</v>
      </c>
      <c r="E290" s="32"/>
      <c r="F290" s="32"/>
      <c r="G290" s="32"/>
      <c r="H290" s="24"/>
      <c r="I290" s="14"/>
      <c r="J290" s="24"/>
      <c r="K290" s="18">
        <f>HYPERLINK("https://app.hubspot.com/contacts/8748051/record/0-2/30479100067", 30479100067)</f>
        <v>30479100067</v>
      </c>
      <c r="L290" s="14" t="s">
        <v>3819</v>
      </c>
      <c r="M290" s="18" t="s">
        <v>3820</v>
      </c>
      <c r="N290" s="14"/>
      <c r="O290" s="14"/>
      <c r="P290" s="14"/>
      <c r="Q290" s="14"/>
      <c r="R290" s="14"/>
      <c r="S290" s="24" t="str">
        <f t="shared" ref="S290:U290" si="294">IF(E290&lt;&gt;"","Yes","")</f>
        <v/>
      </c>
      <c r="T290" s="24" t="str">
        <f t="shared" si="294"/>
        <v/>
      </c>
      <c r="U290" s="24" t="str">
        <f t="shared" si="294"/>
        <v/>
      </c>
      <c r="V290" s="24" t="str">
        <f t="shared" si="3"/>
        <v/>
      </c>
      <c r="W290" s="14" t="str">
        <f t="shared" si="4"/>
        <v/>
      </c>
    </row>
    <row r="291" ht="14.25" customHeight="1">
      <c r="A291" s="18">
        <f>HYPERLINK("https://app.hubspot.com/contacts/8748051/record/0-1/102346709543", 102346709543)</f>
        <v>102346709543</v>
      </c>
      <c r="B291" s="14" t="s">
        <v>3821</v>
      </c>
      <c r="C291" s="16">
        <v>45714.462800925925</v>
      </c>
      <c r="D291" s="14"/>
      <c r="E291" s="32">
        <v>45714.0</v>
      </c>
      <c r="F291" s="32">
        <v>45722.0</v>
      </c>
      <c r="G291" s="32">
        <v>45722.0</v>
      </c>
      <c r="H291" s="24"/>
      <c r="I291" s="14" t="s">
        <v>3470</v>
      </c>
      <c r="J291" s="24"/>
      <c r="K291" s="18">
        <f>HYPERLINK("https://app.hubspot.com/contacts/8748051/record/0-2/8923232919", 8923232919)</f>
        <v>8923232919</v>
      </c>
      <c r="L291" s="14" t="s">
        <v>1261</v>
      </c>
      <c r="M291" s="18" t="s">
        <v>1262</v>
      </c>
      <c r="N291" s="23">
        <f>HYPERLINK("https://app.hubspot.com/contacts/8748051/record/0-3/33987701082", 33987701082)</f>
        <v>33987701082</v>
      </c>
      <c r="O291" s="14" t="s">
        <v>1259</v>
      </c>
      <c r="P291" s="14" t="s">
        <v>146</v>
      </c>
      <c r="Q291" s="14">
        <v>57500.0</v>
      </c>
      <c r="R291" s="14" t="b">
        <v>1</v>
      </c>
      <c r="S291" s="24" t="str">
        <f t="shared" ref="S291:U291" si="295">IF(E291&lt;&gt;"","Yes","")</f>
        <v>Yes</v>
      </c>
      <c r="T291" s="24" t="str">
        <f t="shared" si="295"/>
        <v>Yes</v>
      </c>
      <c r="U291" s="24" t="str">
        <f t="shared" si="295"/>
        <v>Yes</v>
      </c>
      <c r="V291" s="24" t="str">
        <f t="shared" si="3"/>
        <v/>
      </c>
      <c r="W291" s="14" t="str">
        <f t="shared" si="4"/>
        <v>Yes</v>
      </c>
    </row>
    <row r="292" ht="14.25" customHeight="1">
      <c r="A292" s="18">
        <f>HYPERLINK("https://app.hubspot.com/contacts/8748051/record/0-1/101904087361", 101904087361)</f>
        <v>101904087361</v>
      </c>
      <c r="B292" s="14" t="s">
        <v>3822</v>
      </c>
      <c r="C292" s="16">
        <v>45713.521527777775</v>
      </c>
      <c r="D292" s="14"/>
      <c r="E292" s="32">
        <v>45714.0</v>
      </c>
      <c r="F292" s="32">
        <v>45717.0</v>
      </c>
      <c r="G292" s="32">
        <v>45717.0</v>
      </c>
      <c r="H292" s="24"/>
      <c r="I292" s="14" t="s">
        <v>3246</v>
      </c>
      <c r="J292" s="24"/>
      <c r="K292" s="18">
        <f>HYPERLINK("https://app.hubspot.com/contacts/8748051/record/0-2/31415333632", 31415333632)</f>
        <v>31415333632</v>
      </c>
      <c r="L292" s="14" t="s">
        <v>1264</v>
      </c>
      <c r="M292" s="18" t="s">
        <v>1265</v>
      </c>
      <c r="N292" s="18">
        <f>HYPERLINK("https://app.hubspot.com/contacts/8748051/record/0-3/33928031105", 33928031105)</f>
        <v>33928031105</v>
      </c>
      <c r="O292" s="14" t="s">
        <v>1263</v>
      </c>
      <c r="P292" s="14" t="s">
        <v>124</v>
      </c>
      <c r="Q292" s="14">
        <v>20000.0</v>
      </c>
      <c r="R292" s="14" t="b">
        <v>1</v>
      </c>
      <c r="S292" s="24" t="str">
        <f t="shared" ref="S292:U292" si="296">IF(E292&lt;&gt;"","Yes","")</f>
        <v>Yes</v>
      </c>
      <c r="T292" s="24" t="str">
        <f t="shared" si="296"/>
        <v>Yes</v>
      </c>
      <c r="U292" s="24" t="str">
        <f t="shared" si="296"/>
        <v>Yes</v>
      </c>
      <c r="V292" s="24" t="str">
        <f t="shared" si="3"/>
        <v/>
      </c>
      <c r="W292" s="14" t="str">
        <f t="shared" si="4"/>
        <v/>
      </c>
    </row>
    <row r="293" ht="14.25" customHeight="1">
      <c r="A293" s="18">
        <f>HYPERLINK("https://app.hubspot.com/contacts/8748051/record/0-1/91325200132", 91325200132)</f>
        <v>91325200132</v>
      </c>
      <c r="B293" s="14" t="s">
        <v>3823</v>
      </c>
      <c r="C293" s="16">
        <v>45712.56214120371</v>
      </c>
      <c r="D293" s="14"/>
      <c r="E293" s="32">
        <v>45712.0</v>
      </c>
      <c r="F293" s="32">
        <v>45713.0</v>
      </c>
      <c r="G293" s="32">
        <v>45713.0</v>
      </c>
      <c r="H293" s="24"/>
      <c r="I293" s="14" t="s">
        <v>3824</v>
      </c>
      <c r="J293" s="24"/>
      <c r="K293" s="18">
        <f>HYPERLINK("https://app.hubspot.com/contacts/8748051/record/0-2/18382738048", 18382738048)</f>
        <v>18382738048</v>
      </c>
      <c r="L293" s="14" t="s">
        <v>1270</v>
      </c>
      <c r="M293" s="18" t="s">
        <v>1271</v>
      </c>
      <c r="N293" s="23">
        <f>HYPERLINK("https://app.hubspot.com/contacts/8748051/record/0-3/33896691775", 33896691775)</f>
        <v>33896691775</v>
      </c>
      <c r="O293" s="14" t="s">
        <v>1269</v>
      </c>
      <c r="P293" s="14" t="s">
        <v>118</v>
      </c>
      <c r="Q293" s="14">
        <v>11000.0</v>
      </c>
      <c r="R293" s="14"/>
      <c r="S293" s="24" t="str">
        <f t="shared" ref="S293:U293" si="297">IF(E293&lt;&gt;"","Yes","")</f>
        <v>Yes</v>
      </c>
      <c r="T293" s="24" t="str">
        <f t="shared" si="297"/>
        <v>Yes</v>
      </c>
      <c r="U293" s="24" t="str">
        <f t="shared" si="297"/>
        <v>Yes</v>
      </c>
      <c r="V293" s="24" t="str">
        <f t="shared" si="3"/>
        <v/>
      </c>
      <c r="W293" s="14" t="str">
        <f t="shared" si="4"/>
        <v/>
      </c>
    </row>
    <row r="294" ht="14.25" customHeight="1">
      <c r="A294" s="18">
        <f>HYPERLINK("https://app.hubspot.com/contacts/8748051/record/0-1/174636838508", 174636838508)</f>
        <v>174636838508</v>
      </c>
      <c r="B294" s="14" t="s">
        <v>3825</v>
      </c>
      <c r="C294" s="16">
        <v>45709.54403935185</v>
      </c>
      <c r="D294" s="14"/>
      <c r="E294" s="32">
        <v>45709.0</v>
      </c>
      <c r="F294" s="32">
        <v>45720.0</v>
      </c>
      <c r="G294" s="32">
        <v>45720.0</v>
      </c>
      <c r="H294" s="24"/>
      <c r="I294" s="14" t="s">
        <v>3791</v>
      </c>
      <c r="J294" s="24"/>
      <c r="K294" s="18">
        <f>HYPERLINK("https://app.hubspot.com/contacts/8748051/record/0-2/8396005127", 8396005127)</f>
        <v>8396005127</v>
      </c>
      <c r="L294" s="14" t="s">
        <v>601</v>
      </c>
      <c r="M294" s="18" t="s">
        <v>602</v>
      </c>
      <c r="N294" s="23">
        <f>HYPERLINK("https://app.hubspot.com/contacts/8748051/record/0-3/33821373109", 33821373109)</f>
        <v>33821373109</v>
      </c>
      <c r="O294" s="14" t="s">
        <v>1275</v>
      </c>
      <c r="P294" s="14" t="s">
        <v>118</v>
      </c>
      <c r="Q294" s="14">
        <v>11000.0</v>
      </c>
      <c r="R294" s="14"/>
      <c r="S294" s="24" t="str">
        <f t="shared" ref="S294:U294" si="298">IF(E294&lt;&gt;"","Yes","")</f>
        <v>Yes</v>
      </c>
      <c r="T294" s="24" t="str">
        <f t="shared" si="298"/>
        <v>Yes</v>
      </c>
      <c r="U294" s="24" t="str">
        <f t="shared" si="298"/>
        <v>Yes</v>
      </c>
      <c r="V294" s="24" t="str">
        <f t="shared" si="3"/>
        <v/>
      </c>
      <c r="W294" s="14" t="str">
        <f t="shared" si="4"/>
        <v/>
      </c>
    </row>
    <row r="295" ht="14.25" customHeight="1">
      <c r="A295" s="18">
        <f>HYPERLINK("https://app.hubspot.com/contacts/8748051/record/0-1/100971269199", 100971269199)</f>
        <v>100971269199</v>
      </c>
      <c r="B295" s="14" t="s">
        <v>3826</v>
      </c>
      <c r="C295" s="16">
        <v>45708.57828703704</v>
      </c>
      <c r="D295" s="14"/>
      <c r="E295" s="32">
        <v>45709.0</v>
      </c>
      <c r="F295" s="32">
        <v>45713.0</v>
      </c>
      <c r="G295" s="32"/>
      <c r="H295" s="24"/>
      <c r="I295" s="14" t="s">
        <v>3203</v>
      </c>
      <c r="J295" s="24"/>
      <c r="K295" s="18">
        <f>HYPERLINK("https://app.hubspot.com/contacts/8748051/record/0-2/30256444746", 30256444746)</f>
        <v>30256444746</v>
      </c>
      <c r="L295" s="14" t="s">
        <v>1277</v>
      </c>
      <c r="M295" s="18" t="s">
        <v>1278</v>
      </c>
      <c r="N295" s="18">
        <f>HYPERLINK("https://app.hubspot.com/contacts/8748051/record/0-3/33780957847", 33780957847)</f>
        <v>33780957847</v>
      </c>
      <c r="O295" s="14" t="s">
        <v>1276</v>
      </c>
      <c r="P295" s="14" t="s">
        <v>118</v>
      </c>
      <c r="Q295" s="14">
        <v>1500.0</v>
      </c>
      <c r="R295" s="14"/>
      <c r="S295" s="24" t="str">
        <f t="shared" ref="S295:U295" si="299">IF(E295&lt;&gt;"","Yes","")</f>
        <v>Yes</v>
      </c>
      <c r="T295" s="24" t="str">
        <f t="shared" si="299"/>
        <v>Yes</v>
      </c>
      <c r="U295" s="24" t="str">
        <f t="shared" si="299"/>
        <v/>
      </c>
      <c r="V295" s="24" t="str">
        <f t="shared" si="3"/>
        <v/>
      </c>
      <c r="W295" s="14" t="str">
        <f t="shared" si="4"/>
        <v/>
      </c>
    </row>
    <row r="296" ht="14.25" customHeight="1">
      <c r="A296" s="18">
        <f>HYPERLINK("https://app.hubspot.com/contacts/8748051/record/0-1/99014702481", 99014702481)</f>
        <v>99014702481</v>
      </c>
      <c r="B296" s="14" t="s">
        <v>3827</v>
      </c>
      <c r="C296" s="16">
        <v>45706.53855324074</v>
      </c>
      <c r="D296" s="14"/>
      <c r="E296" s="32">
        <v>45701.0</v>
      </c>
      <c r="F296" s="32">
        <v>45713.0</v>
      </c>
      <c r="G296" s="32">
        <v>45713.0</v>
      </c>
      <c r="H296" s="24"/>
      <c r="I296" s="14" t="s">
        <v>152</v>
      </c>
      <c r="J296" s="24"/>
      <c r="K296" s="18">
        <f>HYPERLINK("https://app.hubspot.com/contacts/8748051/record/0-2/29996857005", 29996857005)</f>
        <v>29996857005</v>
      </c>
      <c r="L296" s="14" t="s">
        <v>1267</v>
      </c>
      <c r="M296" s="18" t="s">
        <v>1268</v>
      </c>
      <c r="N296" s="23">
        <f>HYPERLINK("https://app.hubspot.com/contacts/8748051/record/0-3/33901191969", 33901191969)</f>
        <v>33901191969</v>
      </c>
      <c r="O296" s="14" t="s">
        <v>1266</v>
      </c>
      <c r="P296" s="14" t="s">
        <v>124</v>
      </c>
      <c r="Q296" s="14">
        <v>50000.0</v>
      </c>
      <c r="R296" s="14" t="b">
        <v>1</v>
      </c>
      <c r="S296" s="24" t="str">
        <f t="shared" ref="S296:U296" si="300">IF(E296&lt;&gt;"","Yes","")</f>
        <v>Yes</v>
      </c>
      <c r="T296" s="24" t="str">
        <f t="shared" si="300"/>
        <v>Yes</v>
      </c>
      <c r="U296" s="24" t="str">
        <f t="shared" si="300"/>
        <v>Yes</v>
      </c>
      <c r="V296" s="24" t="str">
        <f t="shared" si="3"/>
        <v/>
      </c>
      <c r="W296" s="14" t="str">
        <f t="shared" si="4"/>
        <v/>
      </c>
    </row>
    <row r="297" ht="14.25" customHeight="1">
      <c r="A297" s="18">
        <f>HYPERLINK("https://app.hubspot.com/contacts/8748051/record/0-1/99383141773", 99383141773)</f>
        <v>99383141773</v>
      </c>
      <c r="B297" s="14" t="s">
        <v>3828</v>
      </c>
      <c r="C297" s="16">
        <v>45701.866585648146</v>
      </c>
      <c r="D297" s="14" t="s">
        <v>3304</v>
      </c>
      <c r="E297" s="32"/>
      <c r="F297" s="32"/>
      <c r="G297" s="32"/>
      <c r="H297" s="24"/>
      <c r="I297" s="14"/>
      <c r="J297" s="24"/>
      <c r="K297" s="18">
        <f>HYPERLINK("https://app.hubspot.com/contacts/8748051/record/0-2/29963143203", 29963143203)</f>
        <v>29963143203</v>
      </c>
      <c r="L297" s="18" t="s">
        <v>3829</v>
      </c>
      <c r="M297" s="18" t="s">
        <v>3829</v>
      </c>
      <c r="N297" s="14"/>
      <c r="O297" s="14"/>
      <c r="P297" s="14"/>
      <c r="Q297" s="14"/>
      <c r="R297" s="14"/>
      <c r="S297" s="24" t="str">
        <f t="shared" ref="S297:U297" si="301">IF(E297&lt;&gt;"","Yes","")</f>
        <v/>
      </c>
      <c r="T297" s="24" t="str">
        <f t="shared" si="301"/>
        <v/>
      </c>
      <c r="U297" s="24" t="str">
        <f t="shared" si="301"/>
        <v/>
      </c>
      <c r="V297" s="24" t="str">
        <f t="shared" si="3"/>
        <v/>
      </c>
      <c r="W297" s="14" t="str">
        <f t="shared" si="4"/>
        <v/>
      </c>
    </row>
    <row r="298" ht="14.25" customHeight="1">
      <c r="A298" s="18">
        <f>HYPERLINK("https://app.hubspot.com/contacts/8748051/record/0-1/99213935659", 99213935659)</f>
        <v>99213935659</v>
      </c>
      <c r="B298" s="14" t="s">
        <v>3830</v>
      </c>
      <c r="C298" s="16">
        <v>45701.504953703705</v>
      </c>
      <c r="D298" s="14"/>
      <c r="E298" s="32">
        <v>45701.0</v>
      </c>
      <c r="F298" s="32">
        <v>45703.0</v>
      </c>
      <c r="G298" s="32">
        <v>45703.0</v>
      </c>
      <c r="H298" s="24"/>
      <c r="I298" s="14" t="s">
        <v>152</v>
      </c>
      <c r="J298" s="24"/>
      <c r="K298" s="18">
        <f>HYPERLINK("https://app.hubspot.com/contacts/8748051/record/0-2/29950293363", 29950293363)</f>
        <v>29950293363</v>
      </c>
      <c r="L298" s="14" t="s">
        <v>1281</v>
      </c>
      <c r="M298" s="18" t="s">
        <v>1282</v>
      </c>
      <c r="N298" s="23">
        <f>HYPERLINK("https://app.hubspot.com/contacts/8748051/record/0-3/33463528074", 33463528074)</f>
        <v>33463528074</v>
      </c>
      <c r="O298" s="14" t="s">
        <v>1279</v>
      </c>
      <c r="P298" s="14" t="s">
        <v>89</v>
      </c>
      <c r="Q298" s="14">
        <v>20500.0</v>
      </c>
      <c r="R298" s="14" t="b">
        <v>1</v>
      </c>
      <c r="S298" s="24" t="str">
        <f t="shared" ref="S298:U298" si="302">IF(E298&lt;&gt;"","Yes","")</f>
        <v>Yes</v>
      </c>
      <c r="T298" s="24" t="str">
        <f t="shared" si="302"/>
        <v>Yes</v>
      </c>
      <c r="U298" s="24" t="str">
        <f t="shared" si="302"/>
        <v>Yes</v>
      </c>
      <c r="V298" s="24" t="str">
        <f t="shared" si="3"/>
        <v>Yes</v>
      </c>
      <c r="W298" s="14" t="str">
        <f t="shared" si="4"/>
        <v/>
      </c>
    </row>
    <row r="299" ht="14.25" customHeight="1">
      <c r="A299" s="18">
        <f>HYPERLINK("https://app.hubspot.com/contacts/8748051/record/0-1/1814001", 1814001)</f>
        <v>1814001</v>
      </c>
      <c r="B299" s="14" t="s">
        <v>3831</v>
      </c>
      <c r="C299" s="16">
        <v>45695.385416666664</v>
      </c>
      <c r="D299" s="14"/>
      <c r="E299" s="32">
        <v>45695.0</v>
      </c>
      <c r="F299" s="32">
        <v>45714.0</v>
      </c>
      <c r="G299" s="32">
        <v>45714.0</v>
      </c>
      <c r="H299" s="24"/>
      <c r="I299" s="14" t="s">
        <v>152</v>
      </c>
      <c r="J299" s="24"/>
      <c r="K299" s="18">
        <f>HYPERLINK("https://app.hubspot.com/contacts/8748051/record/0-2/10198128792", 10198128792)</f>
        <v>10198128792</v>
      </c>
      <c r="L299" s="14" t="s">
        <v>1300</v>
      </c>
      <c r="M299" s="18" t="s">
        <v>1301</v>
      </c>
      <c r="N299" s="23">
        <f>HYPERLINK("https://app.hubspot.com/contacts/8748051/record/0-3/33169400227", 33169400227)</f>
        <v>33169400227</v>
      </c>
      <c r="O299" s="14" t="s">
        <v>1299</v>
      </c>
      <c r="P299" s="14" t="s">
        <v>124</v>
      </c>
      <c r="Q299" s="14">
        <v>10000.0</v>
      </c>
      <c r="R299" s="14"/>
      <c r="S299" s="24" t="str">
        <f t="shared" ref="S299:U299" si="303">IF(E299&lt;&gt;"","Yes","")</f>
        <v>Yes</v>
      </c>
      <c r="T299" s="24" t="str">
        <f t="shared" si="303"/>
        <v>Yes</v>
      </c>
      <c r="U299" s="24" t="str">
        <f t="shared" si="303"/>
        <v>Yes</v>
      </c>
      <c r="V299" s="24" t="str">
        <f t="shared" si="3"/>
        <v/>
      </c>
      <c r="W299" s="14" t="str">
        <f t="shared" si="4"/>
        <v/>
      </c>
    </row>
    <row r="300" ht="14.25" customHeight="1">
      <c r="A300" s="18">
        <f>HYPERLINK("https://app.hubspot.com/contacts/8748051/record/0-1/50851", 50851)</f>
        <v>50851</v>
      </c>
      <c r="B300" s="14" t="s">
        <v>3832</v>
      </c>
      <c r="C300" s="16">
        <v>45694.426099537035</v>
      </c>
      <c r="D300" s="14"/>
      <c r="E300" s="32">
        <v>45694.0</v>
      </c>
      <c r="F300" s="32">
        <v>45700.0</v>
      </c>
      <c r="G300" s="32">
        <v>45700.0</v>
      </c>
      <c r="H300" s="24"/>
      <c r="I300" s="14" t="s">
        <v>3237</v>
      </c>
      <c r="J300" s="24"/>
      <c r="K300" s="18">
        <f>HYPERLINK("https://app.hubspot.com/contacts/8748051/record/0-2/7823678361", 7823678361)</f>
        <v>7823678361</v>
      </c>
      <c r="L300" s="14" t="s">
        <v>1294</v>
      </c>
      <c r="M300" s="18" t="s">
        <v>1295</v>
      </c>
      <c r="N300" s="23">
        <f>HYPERLINK("https://app.hubspot.com/contacts/8748051/record/0-3/33269703723", 33269703723)</f>
        <v>33269703723</v>
      </c>
      <c r="O300" s="14" t="s">
        <v>1292</v>
      </c>
      <c r="P300" s="14" t="s">
        <v>146</v>
      </c>
      <c r="Q300" s="14">
        <v>10000.0</v>
      </c>
      <c r="R300" s="14" t="b">
        <v>1</v>
      </c>
      <c r="S300" s="24" t="str">
        <f t="shared" ref="S300:U300" si="304">IF(E300&lt;&gt;"","Yes","")</f>
        <v>Yes</v>
      </c>
      <c r="T300" s="24" t="str">
        <f t="shared" si="304"/>
        <v>Yes</v>
      </c>
      <c r="U300" s="24" t="str">
        <f t="shared" si="304"/>
        <v>Yes</v>
      </c>
      <c r="V300" s="24" t="str">
        <f t="shared" si="3"/>
        <v/>
      </c>
      <c r="W300" s="14" t="str">
        <f t="shared" si="4"/>
        <v>Yes</v>
      </c>
    </row>
    <row r="301" ht="14.25" customHeight="1">
      <c r="A301" s="18">
        <f>HYPERLINK("https://app.hubspot.com/contacts/8748051/record/0-1/97329719041", 97329719041)</f>
        <v>97329719041</v>
      </c>
      <c r="B301" s="14" t="s">
        <v>3833</v>
      </c>
      <c r="C301" s="16">
        <v>45694.11313657407</v>
      </c>
      <c r="D301" s="14"/>
      <c r="E301" s="32">
        <v>45694.0</v>
      </c>
      <c r="F301" s="32"/>
      <c r="G301" s="32"/>
      <c r="H301" s="24"/>
      <c r="I301" s="14" t="s">
        <v>3791</v>
      </c>
      <c r="J301" s="24"/>
      <c r="K301" s="18">
        <f>HYPERLINK("https://app.hubspot.com/contacts/8748051/record/0-2/29645291274", 29645291274)</f>
        <v>29645291274</v>
      </c>
      <c r="L301" s="14" t="s">
        <v>3834</v>
      </c>
      <c r="M301" s="18" t="s">
        <v>3835</v>
      </c>
      <c r="N301" s="24"/>
      <c r="O301" s="14"/>
      <c r="P301" s="14"/>
      <c r="Q301" s="14"/>
      <c r="R301" s="14"/>
      <c r="S301" s="24" t="str">
        <f t="shared" ref="S301:U301" si="305">IF(E301&lt;&gt;"","Yes","")</f>
        <v>Yes</v>
      </c>
      <c r="T301" s="24" t="str">
        <f t="shared" si="305"/>
        <v/>
      </c>
      <c r="U301" s="24" t="str">
        <f t="shared" si="305"/>
        <v/>
      </c>
      <c r="V301" s="24" t="str">
        <f t="shared" si="3"/>
        <v/>
      </c>
      <c r="W301" s="14" t="str">
        <f t="shared" si="4"/>
        <v/>
      </c>
    </row>
    <row r="302" ht="14.25" customHeight="1">
      <c r="A302" s="18">
        <f>HYPERLINK("https://app.hubspot.com/contacts/8748051/record/0-1/97238068878", 97238068878)</f>
        <v>97238068878</v>
      </c>
      <c r="B302" s="14" t="s">
        <v>3836</v>
      </c>
      <c r="C302" s="16">
        <v>45693.6596875</v>
      </c>
      <c r="D302" s="16"/>
      <c r="E302" s="32">
        <v>45694.0</v>
      </c>
      <c r="F302" s="32">
        <v>45770.0</v>
      </c>
      <c r="G302" s="32">
        <v>45770.0</v>
      </c>
      <c r="H302" s="24"/>
      <c r="I302" s="14" t="s">
        <v>3791</v>
      </c>
      <c r="J302" s="24"/>
      <c r="K302" s="18">
        <f>HYPERLINK("https://app.hubspot.com/contacts/8748051/record/0-2/29645372728", 29645372728)</f>
        <v>29645372728</v>
      </c>
      <c r="L302" s="14" t="s">
        <v>1303</v>
      </c>
      <c r="M302" s="18" t="s">
        <v>1304</v>
      </c>
      <c r="N302" s="23">
        <f>HYPERLINK("https://app.hubspot.com/contacts/8748051/record/0-3/38310302480", 38310302480)</f>
        <v>38310302480</v>
      </c>
      <c r="O302" s="14" t="s">
        <v>1302</v>
      </c>
      <c r="P302" s="14" t="s">
        <v>124</v>
      </c>
      <c r="Q302" s="14">
        <v>15000.0</v>
      </c>
      <c r="R302" s="14" t="b">
        <v>1</v>
      </c>
      <c r="S302" s="24" t="str">
        <f t="shared" ref="S302:U302" si="306">IF(E302&lt;&gt;"","Yes","")</f>
        <v>Yes</v>
      </c>
      <c r="T302" s="24" t="str">
        <f t="shared" si="306"/>
        <v>Yes</v>
      </c>
      <c r="U302" s="24" t="str">
        <f t="shared" si="306"/>
        <v>Yes</v>
      </c>
      <c r="V302" s="24" t="str">
        <f t="shared" si="3"/>
        <v/>
      </c>
      <c r="W302" s="14" t="str">
        <f t="shared" si="4"/>
        <v/>
      </c>
    </row>
    <row r="303" ht="14.25" customHeight="1">
      <c r="A303" s="18">
        <f>HYPERLINK("https://app.hubspot.com/contacts/8748051/record/0-1/97178070796", 97178070796)</f>
        <v>97178070796</v>
      </c>
      <c r="B303" s="14" t="s">
        <v>3837</v>
      </c>
      <c r="C303" s="16">
        <v>45693.47351851852</v>
      </c>
      <c r="D303" s="14"/>
      <c r="E303" s="32">
        <v>45693.0</v>
      </c>
      <c r="F303" s="32">
        <v>45709.0</v>
      </c>
      <c r="G303" s="32">
        <v>45709.0</v>
      </c>
      <c r="H303" s="24"/>
      <c r="I303" s="14" t="s">
        <v>3791</v>
      </c>
      <c r="J303" s="14"/>
      <c r="K303" s="18">
        <f>HYPERLINK("https://app.hubspot.com/contacts/8748051/record/0-2/29633882961", 29633882961)</f>
        <v>29633882961</v>
      </c>
      <c r="L303" s="14" t="s">
        <v>1306</v>
      </c>
      <c r="M303" s="18" t="s">
        <v>1307</v>
      </c>
      <c r="N303" s="18">
        <f>HYPERLINK("https://app.hubspot.com/contacts/8748051/record/0-3/33122383288", 33122383288)</f>
        <v>33122383288</v>
      </c>
      <c r="O303" s="14" t="s">
        <v>1305</v>
      </c>
      <c r="P303" s="14" t="s">
        <v>118</v>
      </c>
      <c r="Q303" s="14">
        <v>6000.0</v>
      </c>
      <c r="R303" s="14"/>
      <c r="S303" s="24" t="str">
        <f t="shared" ref="S303:U303" si="307">IF(E303&lt;&gt;"","Yes","")</f>
        <v>Yes</v>
      </c>
      <c r="T303" s="24" t="str">
        <f t="shared" si="307"/>
        <v>Yes</v>
      </c>
      <c r="U303" s="24" t="str">
        <f t="shared" si="307"/>
        <v>Yes</v>
      </c>
      <c r="V303" s="24" t="str">
        <f t="shared" si="3"/>
        <v/>
      </c>
      <c r="W303" s="14" t="str">
        <f t="shared" si="4"/>
        <v/>
      </c>
    </row>
    <row r="304" ht="14.25" customHeight="1">
      <c r="A304" s="18">
        <f>HYPERLINK("https://app.hubspot.com/contacts/8748051/record/0-1/96802949980", 96802949980)</f>
        <v>96802949980</v>
      </c>
      <c r="B304" s="14" t="s">
        <v>3838</v>
      </c>
      <c r="C304" s="16">
        <v>45693.050358796296</v>
      </c>
      <c r="D304" s="14"/>
      <c r="E304" s="32">
        <v>45692.0</v>
      </c>
      <c r="F304" s="32"/>
      <c r="G304" s="32"/>
      <c r="H304" s="24"/>
      <c r="I304" s="14" t="s">
        <v>3203</v>
      </c>
      <c r="J304" s="24"/>
      <c r="K304" s="18">
        <f>HYPERLINK("https://app.hubspot.com/contacts/8748051/record/0-2/29593536886", 29593536886)</f>
        <v>29593536886</v>
      </c>
      <c r="L304" s="14" t="s">
        <v>3839</v>
      </c>
      <c r="M304" s="18" t="s">
        <v>3840</v>
      </c>
      <c r="N304" s="24"/>
      <c r="O304" s="14"/>
      <c r="P304" s="14"/>
      <c r="Q304" s="14"/>
      <c r="R304" s="14"/>
      <c r="S304" s="24" t="str">
        <f t="shared" ref="S304:U304" si="308">IF(E304&lt;&gt;"","Yes","")</f>
        <v>Yes</v>
      </c>
      <c r="T304" s="24" t="str">
        <f t="shared" si="308"/>
        <v/>
      </c>
      <c r="U304" s="24" t="str">
        <f t="shared" si="308"/>
        <v/>
      </c>
      <c r="V304" s="24" t="str">
        <f t="shared" si="3"/>
        <v/>
      </c>
      <c r="W304" s="14" t="str">
        <f t="shared" si="4"/>
        <v/>
      </c>
    </row>
    <row r="305" ht="14.25" customHeight="1">
      <c r="A305" s="18">
        <f>HYPERLINK("https://app.hubspot.com/contacts/8748051/record/0-1/96600999447", 96600999447)</f>
        <v>96600999447</v>
      </c>
      <c r="B305" s="14" t="s">
        <v>3841</v>
      </c>
      <c r="C305" s="16">
        <v>45691.52819444444</v>
      </c>
      <c r="D305" s="14"/>
      <c r="E305" s="32">
        <v>45691.0</v>
      </c>
      <c r="F305" s="32">
        <v>45692.0</v>
      </c>
      <c r="G305" s="32">
        <v>45692.0</v>
      </c>
      <c r="H305" s="24"/>
      <c r="I305" s="14" t="s">
        <v>152</v>
      </c>
      <c r="J305" s="24"/>
      <c r="K305" s="18">
        <f>HYPERLINK("https://app.hubspot.com/contacts/8748051/record/0-2/29475679086", 29475679086)</f>
        <v>29475679086</v>
      </c>
      <c r="L305" s="14" t="s">
        <v>1310</v>
      </c>
      <c r="M305" s="18" t="s">
        <v>1311</v>
      </c>
      <c r="N305" s="18">
        <f>HYPERLINK("https://app.hubspot.com/contacts/8748051/record/0-3/32952248417", 32952248417)</f>
        <v>32952248417</v>
      </c>
      <c r="O305" s="14" t="s">
        <v>1308</v>
      </c>
      <c r="P305" s="14" t="s">
        <v>124</v>
      </c>
      <c r="Q305" s="14">
        <v>10000.0</v>
      </c>
      <c r="R305" s="14" t="b">
        <v>1</v>
      </c>
      <c r="S305" s="24" t="str">
        <f t="shared" ref="S305:U305" si="309">IF(E305&lt;&gt;"","Yes","")</f>
        <v>Yes</v>
      </c>
      <c r="T305" s="24" t="str">
        <f t="shared" si="309"/>
        <v>Yes</v>
      </c>
      <c r="U305" s="24" t="str">
        <f t="shared" si="309"/>
        <v>Yes</v>
      </c>
      <c r="V305" s="24" t="str">
        <f t="shared" si="3"/>
        <v/>
      </c>
      <c r="W305" s="14" t="str">
        <f t="shared" si="4"/>
        <v/>
      </c>
    </row>
    <row r="306" ht="14.25" customHeight="1">
      <c r="A306" s="18">
        <f>HYPERLINK("https://app.hubspot.com/contacts/8748051/record/0-1/3434501", 3434501)</f>
        <v>3434501</v>
      </c>
      <c r="B306" s="14" t="s">
        <v>3842</v>
      </c>
      <c r="C306" s="16">
        <v>45688.505636574075</v>
      </c>
      <c r="D306" s="14"/>
      <c r="E306" s="32">
        <v>45688.0</v>
      </c>
      <c r="F306" s="32">
        <v>45702.0</v>
      </c>
      <c r="G306" s="32">
        <v>45702.0</v>
      </c>
      <c r="H306" s="14"/>
      <c r="I306" s="14" t="s">
        <v>3470</v>
      </c>
      <c r="J306" s="14"/>
      <c r="K306" s="18">
        <f>HYPERLINK("https://app.hubspot.com/contacts/8748051/record/0-2/7700474462", 7700474462)</f>
        <v>7700474462</v>
      </c>
      <c r="L306" s="14" t="s">
        <v>1314</v>
      </c>
      <c r="M306" s="18" t="s">
        <v>1315</v>
      </c>
      <c r="N306" s="23">
        <f>HYPERLINK("https://app.hubspot.com/contacts/8748051/record/0-3/32823792266", 32823792266)</f>
        <v>32823792266</v>
      </c>
      <c r="O306" s="14" t="s">
        <v>1312</v>
      </c>
      <c r="P306" s="14" t="s">
        <v>146</v>
      </c>
      <c r="Q306" s="14">
        <v>25000.0</v>
      </c>
      <c r="R306" s="14" t="b">
        <v>1</v>
      </c>
      <c r="S306" s="24" t="str">
        <f t="shared" ref="S306:U306" si="310">IF(E306&lt;&gt;"","Yes","")</f>
        <v>Yes</v>
      </c>
      <c r="T306" s="24" t="str">
        <f t="shared" si="310"/>
        <v>Yes</v>
      </c>
      <c r="U306" s="24" t="str">
        <f t="shared" si="310"/>
        <v>Yes</v>
      </c>
      <c r="V306" s="24" t="str">
        <f t="shared" si="3"/>
        <v/>
      </c>
      <c r="W306" s="14" t="str">
        <f t="shared" si="4"/>
        <v>Yes</v>
      </c>
    </row>
    <row r="307" ht="14.25" customHeight="1">
      <c r="A307" s="18">
        <f>HYPERLINK("https://app.hubspot.com/contacts/8748051/record/0-1/94625568842", 94625568842)</f>
        <v>94625568842</v>
      </c>
      <c r="B307" s="14" t="s">
        <v>3843</v>
      </c>
      <c r="C307" s="16">
        <v>45686.76516203704</v>
      </c>
      <c r="D307" s="14"/>
      <c r="E307" s="32">
        <v>45687.0</v>
      </c>
      <c r="F307" s="32">
        <v>45699.0</v>
      </c>
      <c r="G307" s="32">
        <v>45699.0</v>
      </c>
      <c r="H307" s="24"/>
      <c r="I307" s="14" t="s">
        <v>3824</v>
      </c>
      <c r="J307" s="14"/>
      <c r="K307" s="18">
        <f>HYPERLINK("https://app.hubspot.com/contacts/8748051/record/0-2/19176760746", 19176760746)</f>
        <v>19176760746</v>
      </c>
      <c r="L307" s="14" t="s">
        <v>1320</v>
      </c>
      <c r="M307" s="18" t="s">
        <v>1321</v>
      </c>
      <c r="N307" s="18">
        <f>HYPERLINK("https://app.hubspot.com/contacts/8748051/record/0-3/32748891700", 32748891700)</f>
        <v>32748891700</v>
      </c>
      <c r="O307" s="14" t="s">
        <v>1319</v>
      </c>
      <c r="P307" s="14" t="s">
        <v>124</v>
      </c>
      <c r="Q307" s="14">
        <v>15000.0</v>
      </c>
      <c r="R307" s="14" t="b">
        <v>1</v>
      </c>
      <c r="S307" s="24" t="str">
        <f t="shared" ref="S307:U307" si="311">IF(E307&lt;&gt;"","Yes","")</f>
        <v>Yes</v>
      </c>
      <c r="T307" s="24" t="str">
        <f t="shared" si="311"/>
        <v>Yes</v>
      </c>
      <c r="U307" s="24" t="str">
        <f t="shared" si="311"/>
        <v>Yes</v>
      </c>
      <c r="V307" s="24" t="str">
        <f t="shared" si="3"/>
        <v/>
      </c>
      <c r="W307" s="14" t="str">
        <f t="shared" si="4"/>
        <v/>
      </c>
    </row>
    <row r="308" ht="14.25" customHeight="1">
      <c r="A308" s="18">
        <f>HYPERLINK("https://app.hubspot.com/contacts/8748051/record/0-1/95257453999", 95257453999)</f>
        <v>95257453999</v>
      </c>
      <c r="B308" s="14" t="s">
        <v>3844</v>
      </c>
      <c r="C308" s="16">
        <v>45686.44244212963</v>
      </c>
      <c r="D308" s="14"/>
      <c r="E308" s="32">
        <v>45686.0</v>
      </c>
      <c r="F308" s="32"/>
      <c r="G308" s="32"/>
      <c r="H308" s="24"/>
      <c r="I308" s="14" t="s">
        <v>3203</v>
      </c>
      <c r="J308" s="24"/>
      <c r="K308" s="18">
        <f>HYPERLINK("https://app.hubspot.com/contacts/8748051/record/0-2/7945135253", 7945135253)</f>
        <v>7945135253</v>
      </c>
      <c r="L308" s="14" t="s">
        <v>3845</v>
      </c>
      <c r="M308" s="18" t="s">
        <v>3846</v>
      </c>
      <c r="N308" s="24"/>
      <c r="O308" s="14"/>
      <c r="P308" s="14"/>
      <c r="Q308" s="14"/>
      <c r="R308" s="14"/>
      <c r="S308" s="24" t="str">
        <f t="shared" ref="S308:U308" si="312">IF(E308&lt;&gt;"","Yes","")</f>
        <v>Yes</v>
      </c>
      <c r="T308" s="24" t="str">
        <f t="shared" si="312"/>
        <v/>
      </c>
      <c r="U308" s="24" t="str">
        <f t="shared" si="312"/>
        <v/>
      </c>
      <c r="V308" s="24" t="str">
        <f t="shared" si="3"/>
        <v/>
      </c>
      <c r="W308" s="14" t="str">
        <f t="shared" si="4"/>
        <v/>
      </c>
    </row>
    <row r="309" ht="14.25" customHeight="1">
      <c r="A309" s="18">
        <f>HYPERLINK("https://app.hubspot.com/contacts/8748051/record/0-1/94630032524", 94630032524)</f>
        <v>94630032524</v>
      </c>
      <c r="B309" s="14" t="s">
        <v>3847</v>
      </c>
      <c r="C309" s="16">
        <v>45684.508576388886</v>
      </c>
      <c r="D309" s="14"/>
      <c r="E309" s="32">
        <v>45684.0</v>
      </c>
      <c r="F309" s="32">
        <v>45691.0</v>
      </c>
      <c r="G309" s="32">
        <v>45691.0</v>
      </c>
      <c r="H309" s="24"/>
      <c r="I309" s="14" t="s">
        <v>3237</v>
      </c>
      <c r="J309" s="14"/>
      <c r="K309" s="18">
        <f>HYPERLINK("https://app.hubspot.com/contacts/8748051/record/0-2/9238277157", 9238277157)</f>
        <v>9238277157</v>
      </c>
      <c r="L309" s="14" t="s">
        <v>1323</v>
      </c>
      <c r="M309" s="18" t="s">
        <v>1324</v>
      </c>
      <c r="N309" s="18">
        <f>HYPERLINK("https://app.hubspot.com/contacts/8748051/record/0-3/32659467397", 32659467397)</f>
        <v>32659467397</v>
      </c>
      <c r="O309" s="14" t="s">
        <v>1322</v>
      </c>
      <c r="P309" s="14" t="s">
        <v>118</v>
      </c>
      <c r="Q309" s="14">
        <v>100000.0</v>
      </c>
      <c r="R309" s="14"/>
      <c r="S309" s="24" t="str">
        <f t="shared" ref="S309:U309" si="313">IF(E309&lt;&gt;"","Yes","")</f>
        <v>Yes</v>
      </c>
      <c r="T309" s="24" t="str">
        <f t="shared" si="313"/>
        <v>Yes</v>
      </c>
      <c r="U309" s="24" t="str">
        <f t="shared" si="313"/>
        <v>Yes</v>
      </c>
      <c r="V309" s="24" t="str">
        <f t="shared" si="3"/>
        <v/>
      </c>
      <c r="W309" s="14" t="str">
        <f t="shared" si="4"/>
        <v/>
      </c>
    </row>
    <row r="310" ht="14.25" customHeight="1">
      <c r="A310" s="18">
        <f>HYPERLINK("https://app.hubspot.com/contacts/8748051/record/0-1/94072638552", 94072638552)</f>
        <v>94072638552</v>
      </c>
      <c r="B310" s="14" t="s">
        <v>3848</v>
      </c>
      <c r="C310" s="16">
        <v>45681.858194444445</v>
      </c>
      <c r="D310" s="14" t="s">
        <v>3304</v>
      </c>
      <c r="E310" s="32"/>
      <c r="F310" s="32"/>
      <c r="G310" s="32"/>
      <c r="H310" s="14"/>
      <c r="I310" s="14"/>
      <c r="J310" s="14"/>
      <c r="K310" s="18">
        <f>HYPERLINK("https://app.hubspot.com/contacts/8748051/record/0-2/28976245804", 28976245804)</f>
        <v>28976245804</v>
      </c>
      <c r="L310" s="18" t="s">
        <v>3849</v>
      </c>
      <c r="M310" s="18" t="s">
        <v>3849</v>
      </c>
      <c r="N310" s="14"/>
      <c r="O310" s="14"/>
      <c r="P310" s="14"/>
      <c r="Q310" s="14"/>
      <c r="R310" s="14"/>
      <c r="S310" s="24" t="str">
        <f t="shared" ref="S310:U310" si="314">IF(E310&lt;&gt;"","Yes","")</f>
        <v/>
      </c>
      <c r="T310" s="24" t="str">
        <f t="shared" si="314"/>
        <v/>
      </c>
      <c r="U310" s="24" t="str">
        <f t="shared" si="314"/>
        <v/>
      </c>
      <c r="V310" s="24" t="str">
        <f t="shared" si="3"/>
        <v/>
      </c>
      <c r="W310" s="14" t="str">
        <f t="shared" si="4"/>
        <v/>
      </c>
    </row>
    <row r="311" ht="14.25" customHeight="1">
      <c r="A311" s="18">
        <f>HYPERLINK("https://app.hubspot.com/contacts/8748051/record/0-1/93450237334", 93450237334)</f>
        <v>93450237334</v>
      </c>
      <c r="B311" s="14" t="s">
        <v>3850</v>
      </c>
      <c r="C311" s="16">
        <v>45679.476585648146</v>
      </c>
      <c r="D311" s="14" t="s">
        <v>3304</v>
      </c>
      <c r="E311" s="32"/>
      <c r="F311" s="32"/>
      <c r="G311" s="32"/>
      <c r="H311" s="14"/>
      <c r="I311" s="14"/>
      <c r="J311" s="14"/>
      <c r="K311" s="18">
        <f>HYPERLINK("https://app.hubspot.com/contacts/8748051/record/0-2/28853702319", 28853702319)</f>
        <v>28853702319</v>
      </c>
      <c r="L311" s="14" t="s">
        <v>3851</v>
      </c>
      <c r="M311" s="18" t="s">
        <v>3852</v>
      </c>
      <c r="N311" s="24"/>
      <c r="O311" s="14"/>
      <c r="P311" s="14"/>
      <c r="Q311" s="14"/>
      <c r="R311" s="14"/>
      <c r="S311" s="24" t="str">
        <f t="shared" ref="S311:U311" si="315">IF(E311&lt;&gt;"","Yes","")</f>
        <v/>
      </c>
      <c r="T311" s="24" t="str">
        <f t="shared" si="315"/>
        <v/>
      </c>
      <c r="U311" s="24" t="str">
        <f t="shared" si="315"/>
        <v/>
      </c>
      <c r="V311" s="24" t="str">
        <f t="shared" si="3"/>
        <v/>
      </c>
      <c r="W311" s="14" t="str">
        <f t="shared" si="4"/>
        <v/>
      </c>
    </row>
    <row r="312" ht="14.25" customHeight="1">
      <c r="A312" s="18">
        <f>HYPERLINK("https://app.hubspot.com/contacts/8748051/record/0-1/92441342014", 92441342014)</f>
        <v>92441342014</v>
      </c>
      <c r="B312" s="14" t="s">
        <v>3853</v>
      </c>
      <c r="C312" s="16">
        <v>45674.89633101852</v>
      </c>
      <c r="D312" s="14"/>
      <c r="E312" s="32">
        <v>45675.0</v>
      </c>
      <c r="F312" s="32">
        <v>45681.0</v>
      </c>
      <c r="G312" s="32">
        <v>45681.0</v>
      </c>
      <c r="H312" s="14"/>
      <c r="I312" s="14" t="s">
        <v>3237</v>
      </c>
      <c r="J312" s="14"/>
      <c r="K312" s="18">
        <f>HYPERLINK("https://app.hubspot.com/contacts/8748051/record/0-2/28715405232", 28715405232)</f>
        <v>28715405232</v>
      </c>
      <c r="L312" s="14" t="s">
        <v>497</v>
      </c>
      <c r="M312" s="18" t="s">
        <v>498</v>
      </c>
      <c r="N312" s="18">
        <f>HYPERLINK("https://app.hubspot.com/contacts/8748051/record/0-3/32146446082", 32146446082)</f>
        <v>32146446082</v>
      </c>
      <c r="O312" s="14" t="s">
        <v>1338</v>
      </c>
      <c r="P312" s="14" t="s">
        <v>124</v>
      </c>
      <c r="Q312" s="14">
        <v>100000.0</v>
      </c>
      <c r="R312" s="14" t="b">
        <v>1</v>
      </c>
      <c r="S312" s="24" t="str">
        <f t="shared" ref="S312:U312" si="316">IF(E312&lt;&gt;"","Yes","")</f>
        <v>Yes</v>
      </c>
      <c r="T312" s="24" t="str">
        <f t="shared" si="316"/>
        <v>Yes</v>
      </c>
      <c r="U312" s="24" t="str">
        <f t="shared" si="316"/>
        <v>Yes</v>
      </c>
      <c r="V312" s="24" t="str">
        <f t="shared" si="3"/>
        <v/>
      </c>
      <c r="W312" s="14" t="str">
        <f t="shared" si="4"/>
        <v/>
      </c>
    </row>
    <row r="313" ht="14.25" customHeight="1">
      <c r="A313" s="18">
        <f>HYPERLINK("https://app.hubspot.com/contacts/8748051/record/0-1/92132936608", 92132936608)</f>
        <v>92132936608</v>
      </c>
      <c r="B313" s="14" t="s">
        <v>3854</v>
      </c>
      <c r="C313" s="16">
        <v>45673.55153935185</v>
      </c>
      <c r="D313" s="14"/>
      <c r="E313" s="32">
        <v>45673.0</v>
      </c>
      <c r="F313" s="32"/>
      <c r="G313" s="32"/>
      <c r="H313" s="14"/>
      <c r="I313" s="14" t="s">
        <v>3237</v>
      </c>
      <c r="J313" s="24"/>
      <c r="K313" s="18">
        <f>HYPERLINK("https://app.hubspot.com/contacts/8748051/record/0-2/28647749135", 28647749135)</f>
        <v>28647749135</v>
      </c>
      <c r="L313" s="14" t="s">
        <v>3855</v>
      </c>
      <c r="M313" s="18" t="s">
        <v>3856</v>
      </c>
      <c r="N313" s="24"/>
      <c r="O313" s="14"/>
      <c r="P313" s="14"/>
      <c r="Q313" s="14"/>
      <c r="R313" s="14"/>
      <c r="S313" s="24" t="str">
        <f t="shared" ref="S313:U313" si="317">IF(E313&lt;&gt;"","Yes","")</f>
        <v>Yes</v>
      </c>
      <c r="T313" s="24" t="str">
        <f t="shared" si="317"/>
        <v/>
      </c>
      <c r="U313" s="24" t="str">
        <f t="shared" si="317"/>
        <v/>
      </c>
      <c r="V313" s="24" t="str">
        <f t="shared" si="3"/>
        <v/>
      </c>
      <c r="W313" s="14" t="str">
        <f t="shared" si="4"/>
        <v/>
      </c>
    </row>
    <row r="314" ht="14.25" customHeight="1">
      <c r="A314" s="18">
        <f>HYPERLINK("https://app.hubspot.com/contacts/8748051/record/0-1/91888805488", 91888805488)</f>
        <v>91888805488</v>
      </c>
      <c r="B314" s="14" t="s">
        <v>3857</v>
      </c>
      <c r="C314" s="16">
        <v>45672.56333333333</v>
      </c>
      <c r="D314" s="14" t="s">
        <v>3304</v>
      </c>
      <c r="E314" s="32"/>
      <c r="F314" s="32"/>
      <c r="G314" s="32"/>
      <c r="H314" s="24"/>
      <c r="I314" s="14"/>
      <c r="J314" s="14"/>
      <c r="K314" s="18">
        <f>HYPERLINK("https://app.hubspot.com/contacts/8748051/record/0-2/28624918125", 28624918125)</f>
        <v>28624918125</v>
      </c>
      <c r="L314" s="14" t="s">
        <v>3858</v>
      </c>
      <c r="M314" s="18" t="s">
        <v>3859</v>
      </c>
      <c r="N314" s="24"/>
      <c r="O314" s="14"/>
      <c r="P314" s="14"/>
      <c r="Q314" s="14"/>
      <c r="R314" s="14"/>
      <c r="S314" s="24" t="str">
        <f t="shared" ref="S314:U314" si="318">IF(E314&lt;&gt;"","Yes","")</f>
        <v/>
      </c>
      <c r="T314" s="24" t="str">
        <f t="shared" si="318"/>
        <v/>
      </c>
      <c r="U314" s="24" t="str">
        <f t="shared" si="318"/>
        <v/>
      </c>
      <c r="V314" s="24" t="str">
        <f t="shared" si="3"/>
        <v/>
      </c>
      <c r="W314" s="14" t="str">
        <f t="shared" si="4"/>
        <v/>
      </c>
    </row>
    <row r="315" ht="14.25" customHeight="1">
      <c r="A315" s="18">
        <f>HYPERLINK("https://app.hubspot.com/contacts/8748051/record/0-1/91786984014", 91786984014)</f>
        <v>91786984014</v>
      </c>
      <c r="B315" s="14" t="s">
        <v>3860</v>
      </c>
      <c r="C315" s="16">
        <v>45672.11604166667</v>
      </c>
      <c r="D315" s="14"/>
      <c r="E315" s="32">
        <v>45672.0</v>
      </c>
      <c r="F315" s="32">
        <v>45673.0</v>
      </c>
      <c r="G315" s="32"/>
      <c r="H315" s="24"/>
      <c r="I315" s="14" t="s">
        <v>3237</v>
      </c>
      <c r="J315" s="14"/>
      <c r="K315" s="18">
        <f>HYPERLINK("https://app.hubspot.com/contacts/8748051/record/0-2/26389784166", 26389784166)</f>
        <v>26389784166</v>
      </c>
      <c r="L315" s="14" t="s">
        <v>1343</v>
      </c>
      <c r="M315" s="18" t="s">
        <v>1344</v>
      </c>
      <c r="N315" s="18">
        <f>HYPERLINK("https://app.hubspot.com/contacts/8748051/record/0-3/32039439992", 32039439992)</f>
        <v>32039439992</v>
      </c>
      <c r="O315" s="14" t="s">
        <v>1342</v>
      </c>
      <c r="P315" s="14" t="s">
        <v>118</v>
      </c>
      <c r="Q315" s="14">
        <v>1000.0</v>
      </c>
      <c r="R315" s="14"/>
      <c r="S315" s="24" t="str">
        <f t="shared" ref="S315:U315" si="319">IF(E315&lt;&gt;"","Yes","")</f>
        <v>Yes</v>
      </c>
      <c r="T315" s="24" t="str">
        <f t="shared" si="319"/>
        <v>Yes</v>
      </c>
      <c r="U315" s="24" t="str">
        <f t="shared" si="319"/>
        <v/>
      </c>
      <c r="V315" s="24" t="str">
        <f t="shared" si="3"/>
        <v/>
      </c>
      <c r="W315" s="14" t="str">
        <f t="shared" si="4"/>
        <v/>
      </c>
    </row>
    <row r="316" ht="14.25" customHeight="1">
      <c r="A316" s="18">
        <f>HYPERLINK("https://app.hubspot.com/contacts/8748051/record/0-1/1950751", 1950751)</f>
        <v>1950751</v>
      </c>
      <c r="B316" s="14" t="s">
        <v>3861</v>
      </c>
      <c r="C316" s="16">
        <v>45666.589421296296</v>
      </c>
      <c r="D316" s="14"/>
      <c r="E316" s="32">
        <v>45667.0</v>
      </c>
      <c r="F316" s="32">
        <v>45679.0</v>
      </c>
      <c r="G316" s="32">
        <v>45679.0</v>
      </c>
      <c r="H316" s="24"/>
      <c r="I316" s="14" t="s">
        <v>3707</v>
      </c>
      <c r="J316" s="14"/>
      <c r="K316" s="18">
        <f>HYPERLINK("https://app.hubspot.com/contacts/8748051/record/0-2/9427315969", 9427315969)</f>
        <v>9427315969</v>
      </c>
      <c r="L316" s="14" t="s">
        <v>1333</v>
      </c>
      <c r="M316" s="18" t="s">
        <v>1334</v>
      </c>
      <c r="N316" s="18">
        <f>HYPERLINK("https://app.hubspot.com/contacts/8748051/record/0-3/32323634346", 32323634346)</f>
        <v>32323634346</v>
      </c>
      <c r="O316" s="14" t="s">
        <v>1331</v>
      </c>
      <c r="P316" s="14" t="s">
        <v>146</v>
      </c>
      <c r="Q316" s="14">
        <v>100000.0</v>
      </c>
      <c r="R316" s="14" t="b">
        <v>1</v>
      </c>
      <c r="S316" s="24" t="str">
        <f t="shared" ref="S316:U316" si="320">IF(E316&lt;&gt;"","Yes","")</f>
        <v>Yes</v>
      </c>
      <c r="T316" s="24" t="str">
        <f t="shared" si="320"/>
        <v>Yes</v>
      </c>
      <c r="U316" s="24" t="str">
        <f t="shared" si="320"/>
        <v>Yes</v>
      </c>
      <c r="V316" s="24" t="str">
        <f t="shared" si="3"/>
        <v/>
      </c>
      <c r="W316" s="14" t="str">
        <f t="shared" si="4"/>
        <v>Yes</v>
      </c>
    </row>
    <row r="317" ht="14.25" customHeight="1">
      <c r="A317" s="18">
        <f>HYPERLINK("https://app.hubspot.com/contacts/8748051/record/0-1/89372091831", 89372091831)</f>
        <v>89372091831</v>
      </c>
      <c r="B317" s="14" t="s">
        <v>3862</v>
      </c>
      <c r="C317" s="16">
        <v>45663.06707175926</v>
      </c>
      <c r="D317" s="14"/>
      <c r="E317" s="32">
        <v>45663.0</v>
      </c>
      <c r="F317" s="32">
        <v>45664.0</v>
      </c>
      <c r="G317" s="32">
        <v>45664.0</v>
      </c>
      <c r="H317" s="14"/>
      <c r="I317" s="14" t="s">
        <v>3237</v>
      </c>
      <c r="J317" s="14"/>
      <c r="K317" s="18">
        <f>HYPERLINK("https://app.hubspot.com/contacts/8748051/record/0-2/28152532135", 28152532135)</f>
        <v>28152532135</v>
      </c>
      <c r="L317" s="14" t="s">
        <v>1355</v>
      </c>
      <c r="M317" s="14" t="s">
        <v>1356</v>
      </c>
      <c r="N317" s="23">
        <f>HYPERLINK("https://app.hubspot.com/contacts/8748051/record/0-3/31575517542", 31575517542)</f>
        <v>31575517542</v>
      </c>
      <c r="O317" s="14" t="s">
        <v>1354</v>
      </c>
      <c r="P317" s="14" t="s">
        <v>118</v>
      </c>
      <c r="Q317" s="14">
        <v>500.0</v>
      </c>
      <c r="R317" s="14"/>
      <c r="S317" s="24" t="str">
        <f t="shared" ref="S317:U317" si="321">IF(E317&lt;&gt;"","Yes","")</f>
        <v>Yes</v>
      </c>
      <c r="T317" s="24" t="str">
        <f t="shared" si="321"/>
        <v>Yes</v>
      </c>
      <c r="U317" s="24" t="str">
        <f t="shared" si="321"/>
        <v>Yes</v>
      </c>
      <c r="V317" s="24" t="str">
        <f t="shared" si="3"/>
        <v/>
      </c>
      <c r="W317" s="14" t="str">
        <f t="shared" si="4"/>
        <v/>
      </c>
    </row>
    <row r="318" ht="14.25" customHeight="1">
      <c r="A318" s="18">
        <f>HYPERLINK("https://app.hubspot.com/contacts/8748051/record/0-1/89066236829", 89066236829)</f>
        <v>89066236829</v>
      </c>
      <c r="B318" s="14" t="s">
        <v>3863</v>
      </c>
      <c r="C318" s="16">
        <v>45661.73694444444</v>
      </c>
      <c r="D318" s="14" t="s">
        <v>3304</v>
      </c>
      <c r="E318" s="32"/>
      <c r="F318" s="32"/>
      <c r="G318" s="32"/>
      <c r="H318" s="24"/>
      <c r="I318" s="14"/>
      <c r="J318" s="14"/>
      <c r="K318" s="18">
        <f>HYPERLINK("https://app.hubspot.com/contacts/8748051/record/0-2/27985976346", 27985976346)</f>
        <v>27985976346</v>
      </c>
      <c r="L318" s="14" t="s">
        <v>3864</v>
      </c>
      <c r="M318" s="14" t="s">
        <v>3865</v>
      </c>
      <c r="N318" s="14"/>
      <c r="O318" s="14"/>
      <c r="P318" s="14"/>
      <c r="Q318" s="14"/>
      <c r="R318" s="14"/>
      <c r="S318" s="24" t="str">
        <f t="shared" ref="S318:U318" si="322">IF(E318&lt;&gt;"","Yes","")</f>
        <v/>
      </c>
      <c r="T318" s="24" t="str">
        <f t="shared" si="322"/>
        <v/>
      </c>
      <c r="U318" s="24" t="str">
        <f t="shared" si="322"/>
        <v/>
      </c>
      <c r="V318" s="24" t="str">
        <f t="shared" si="3"/>
        <v/>
      </c>
      <c r="W318" s="14" t="str">
        <f t="shared" si="4"/>
        <v/>
      </c>
    </row>
    <row r="319" ht="14.25" customHeight="1">
      <c r="A319" s="18">
        <f>HYPERLINK("https://app.hubspot.com/contacts/8748051/record/0-1/88564531260", 88564531260)</f>
        <v>88564531260</v>
      </c>
      <c r="B319" s="14" t="s">
        <v>3866</v>
      </c>
      <c r="C319" s="16">
        <v>45659.39313657407</v>
      </c>
      <c r="D319" s="14"/>
      <c r="E319" s="32">
        <v>45659.0</v>
      </c>
      <c r="F319" s="32">
        <v>45663.0</v>
      </c>
      <c r="G319" s="32"/>
      <c r="H319" s="14"/>
      <c r="I319" s="14" t="s">
        <v>3237</v>
      </c>
      <c r="J319" s="14"/>
      <c r="K319" s="18">
        <f>HYPERLINK("https://app.hubspot.com/contacts/8748051/record/0-2/27898083762", 27898083762)</f>
        <v>27898083762</v>
      </c>
      <c r="L319" s="14" t="s">
        <v>1362</v>
      </c>
      <c r="M319" s="18" t="s">
        <v>1363</v>
      </c>
      <c r="N319" s="18">
        <f>HYPERLINK("https://app.hubspot.com/contacts/8748051/record/0-3/31312600139", 31312600139)</f>
        <v>31312600139</v>
      </c>
      <c r="O319" s="14" t="s">
        <v>1361</v>
      </c>
      <c r="P319" s="14" t="s">
        <v>118</v>
      </c>
      <c r="Q319" s="14">
        <v>500.0</v>
      </c>
      <c r="R319" s="14"/>
      <c r="S319" s="24" t="str">
        <f t="shared" ref="S319:U319" si="323">IF(E319&lt;&gt;"","Yes","")</f>
        <v>Yes</v>
      </c>
      <c r="T319" s="24" t="str">
        <f t="shared" si="323"/>
        <v>Yes</v>
      </c>
      <c r="U319" s="24" t="str">
        <f t="shared" si="323"/>
        <v/>
      </c>
      <c r="V319" s="24" t="str">
        <f t="shared" si="3"/>
        <v/>
      </c>
      <c r="W319" s="14" t="str">
        <f t="shared" si="4"/>
        <v/>
      </c>
    </row>
    <row r="320" ht="14.25" customHeight="1">
      <c r="A320" s="18">
        <f>HYPERLINK("https://app.hubspot.com/contacts/8748051/record/0-1/88045945961", 88045945961)</f>
        <v>88045945961</v>
      </c>
      <c r="B320" s="14" t="s">
        <v>3867</v>
      </c>
      <c r="C320" s="16">
        <v>45656.524513888886</v>
      </c>
      <c r="D320" s="14"/>
      <c r="E320" s="32">
        <v>45656.0</v>
      </c>
      <c r="F320" s="32"/>
      <c r="G320" s="32"/>
      <c r="H320" s="24"/>
      <c r="I320" s="14"/>
      <c r="J320" s="14"/>
      <c r="K320" s="18">
        <f>HYPERLINK("https://app.hubspot.com/contacts/8748051/record/0-2/27798668722", 27798668722)</f>
        <v>27798668722</v>
      </c>
      <c r="L320" s="14" t="s">
        <v>3868</v>
      </c>
      <c r="M320" s="18" t="s">
        <v>3869</v>
      </c>
      <c r="N320" s="14"/>
      <c r="O320" s="14"/>
      <c r="P320" s="14"/>
      <c r="Q320" s="14"/>
      <c r="R320" s="14"/>
      <c r="S320" s="24" t="str">
        <f t="shared" ref="S320:U320" si="324">IF(E320&lt;&gt;"","Yes","")</f>
        <v>Yes</v>
      </c>
      <c r="T320" s="24" t="str">
        <f t="shared" si="324"/>
        <v/>
      </c>
      <c r="U320" s="24" t="str">
        <f t="shared" si="324"/>
        <v/>
      </c>
      <c r="V320" s="24" t="str">
        <f t="shared" si="3"/>
        <v/>
      </c>
      <c r="W320" s="14" t="str">
        <f t="shared" si="4"/>
        <v/>
      </c>
    </row>
    <row r="321" ht="14.25" customHeight="1">
      <c r="A321" s="18">
        <f>HYPERLINK("https://app.hubspot.com/contacts/8748051/record/0-1/87020101260", 87020101260)</f>
        <v>87020101260</v>
      </c>
      <c r="B321" s="14" t="s">
        <v>3870</v>
      </c>
      <c r="C321" s="16">
        <v>45650.28579861111</v>
      </c>
      <c r="D321" s="14" t="s">
        <v>3304</v>
      </c>
      <c r="E321" s="32"/>
      <c r="F321" s="32"/>
      <c r="G321" s="32"/>
      <c r="H321" s="14"/>
      <c r="I321" s="14"/>
      <c r="J321" s="14"/>
      <c r="K321" s="18">
        <f>HYPERLINK("https://app.hubspot.com/contacts/8748051/record/0-2/27615618634", 27615618634)</f>
        <v>27615618634</v>
      </c>
      <c r="L321" s="14" t="s">
        <v>3871</v>
      </c>
      <c r="M321" s="18" t="s">
        <v>3872</v>
      </c>
      <c r="N321" s="24"/>
      <c r="O321" s="14"/>
      <c r="P321" s="14"/>
      <c r="Q321" s="14"/>
      <c r="R321" s="14"/>
      <c r="S321" s="24" t="str">
        <f t="shared" ref="S321:U321" si="325">IF(E321&lt;&gt;"","Yes","")</f>
        <v/>
      </c>
      <c r="T321" s="24" t="str">
        <f t="shared" si="325"/>
        <v/>
      </c>
      <c r="U321" s="24" t="str">
        <f t="shared" si="325"/>
        <v/>
      </c>
      <c r="V321" s="24" t="str">
        <f t="shared" si="3"/>
        <v/>
      </c>
      <c r="W321" s="14" t="str">
        <f t="shared" si="4"/>
        <v/>
      </c>
    </row>
    <row r="322" ht="14.25" customHeight="1">
      <c r="A322" s="18">
        <f>HYPERLINK("https://app.hubspot.com/contacts/8748051/record/0-1/86129997328", 86129997328)</f>
        <v>86129997328</v>
      </c>
      <c r="B322" s="14" t="s">
        <v>3873</v>
      </c>
      <c r="C322" s="16">
        <v>45649.30275462963</v>
      </c>
      <c r="D322" s="14"/>
      <c r="E322" s="32">
        <v>45646.0</v>
      </c>
      <c r="F322" s="32">
        <v>45646.0</v>
      </c>
      <c r="G322" s="32">
        <v>45650.0</v>
      </c>
      <c r="H322" s="24"/>
      <c r="I322" s="14"/>
      <c r="J322" s="24"/>
      <c r="K322" s="18">
        <f>HYPERLINK("https://app.hubspot.com/contacts/8748051/record/0-2/19176332210", 19176332210)</f>
        <v>19176332210</v>
      </c>
      <c r="L322" s="14" t="s">
        <v>1386</v>
      </c>
      <c r="M322" s="18" t="s">
        <v>1387</v>
      </c>
      <c r="N322" s="23">
        <f>HYPERLINK("https://app.hubspot.com/contacts/8748051/record/0-3/30846906224", 30846906224)</f>
        <v>30846906224</v>
      </c>
      <c r="O322" s="14" t="s">
        <v>1385</v>
      </c>
      <c r="P322" s="14" t="s">
        <v>124</v>
      </c>
      <c r="Q322" s="14">
        <v>15000.0</v>
      </c>
      <c r="R322" s="14"/>
      <c r="S322" s="24" t="str">
        <f t="shared" ref="S322:U322" si="326">IF(E322&lt;&gt;"","Yes","")</f>
        <v>Yes</v>
      </c>
      <c r="T322" s="24" t="str">
        <f t="shared" si="326"/>
        <v>Yes</v>
      </c>
      <c r="U322" s="24" t="str">
        <f t="shared" si="326"/>
        <v>Yes</v>
      </c>
      <c r="V322" s="24" t="str">
        <f t="shared" si="3"/>
        <v/>
      </c>
      <c r="W322" s="14" t="str">
        <f t="shared" si="4"/>
        <v/>
      </c>
    </row>
    <row r="323" ht="14.25" customHeight="1">
      <c r="A323" s="18">
        <f>HYPERLINK("https://app.hubspot.com/contacts/8748051/record/0-1/193132108817", 193132108817)</f>
        <v>193132108817</v>
      </c>
      <c r="B323" s="14" t="s">
        <v>3874</v>
      </c>
      <c r="C323" s="16">
        <v>45646.55373842592</v>
      </c>
      <c r="D323" s="14"/>
      <c r="E323" s="32">
        <v>45646.0</v>
      </c>
      <c r="F323" s="32"/>
      <c r="G323" s="32"/>
      <c r="H323" s="24"/>
      <c r="I323" s="14"/>
      <c r="J323" s="14"/>
      <c r="K323" s="18">
        <f>HYPERLINK("https://app.hubspot.com/contacts/8748051/record/0-2/27554911339", 27554911339)</f>
        <v>27554911339</v>
      </c>
      <c r="L323" s="14" t="s">
        <v>3875</v>
      </c>
      <c r="M323" s="18" t="s">
        <v>3876</v>
      </c>
      <c r="N323" s="14"/>
      <c r="O323" s="14"/>
      <c r="P323" s="14"/>
      <c r="Q323" s="14"/>
      <c r="R323" s="14"/>
      <c r="S323" s="24" t="str">
        <f t="shared" ref="S323:U323" si="327">IF(E323&lt;&gt;"","Yes","")</f>
        <v>Yes</v>
      </c>
      <c r="T323" s="24" t="str">
        <f t="shared" si="327"/>
        <v/>
      </c>
      <c r="U323" s="24" t="str">
        <f t="shared" si="327"/>
        <v/>
      </c>
      <c r="V323" s="24" t="str">
        <f t="shared" si="3"/>
        <v/>
      </c>
      <c r="W323" s="14" t="str">
        <f t="shared" si="4"/>
        <v/>
      </c>
    </row>
    <row r="324" ht="14.25" customHeight="1">
      <c r="A324" s="18">
        <f>HYPERLINK("https://app.hubspot.com/contacts/8748051/record/0-1/86214230848", 86214230848)</f>
        <v>86214230848</v>
      </c>
      <c r="B324" s="14" t="s">
        <v>3877</v>
      </c>
      <c r="C324" s="16">
        <v>45645.57351851852</v>
      </c>
      <c r="D324" s="14"/>
      <c r="E324" s="32">
        <v>45646.0</v>
      </c>
      <c r="F324" s="32">
        <v>45649.0</v>
      </c>
      <c r="G324" s="32">
        <v>45650.0</v>
      </c>
      <c r="H324" s="14"/>
      <c r="I324" s="24"/>
      <c r="J324" s="24"/>
      <c r="K324" s="18">
        <f>HYPERLINK("https://app.hubspot.com/contacts/8748051/record/0-2/30002652076", 30002652076)</f>
        <v>30002652076</v>
      </c>
      <c r="L324" s="14" t="s">
        <v>1383</v>
      </c>
      <c r="M324" s="18" t="s">
        <v>1384</v>
      </c>
      <c r="N324" s="23">
        <f>HYPERLINK("https://app.hubspot.com/contacts/8748051/record/0-3/31009230392", 31009230392)</f>
        <v>31009230392</v>
      </c>
      <c r="O324" s="14" t="s">
        <v>1382</v>
      </c>
      <c r="P324" s="14" t="s">
        <v>124</v>
      </c>
      <c r="Q324" s="14">
        <v>35000.0</v>
      </c>
      <c r="R324" s="14" t="b">
        <v>1</v>
      </c>
      <c r="S324" s="24" t="str">
        <f t="shared" ref="S324:U324" si="328">IF(E324&lt;&gt;"","Yes","")</f>
        <v>Yes</v>
      </c>
      <c r="T324" s="24" t="str">
        <f t="shared" si="328"/>
        <v>Yes</v>
      </c>
      <c r="U324" s="24" t="str">
        <f t="shared" si="328"/>
        <v>Yes</v>
      </c>
      <c r="V324" s="24" t="str">
        <f t="shared" si="3"/>
        <v/>
      </c>
      <c r="W324" s="14" t="str">
        <f t="shared" si="4"/>
        <v/>
      </c>
    </row>
    <row r="325" ht="14.25" customHeight="1">
      <c r="A325" s="18">
        <f>HYPERLINK("https://app.hubspot.com/contacts/8748051/record/0-1/85715550070", 85715550070)</f>
        <v>85715550070</v>
      </c>
      <c r="B325" s="14" t="s">
        <v>3878</v>
      </c>
      <c r="C325" s="16">
        <v>45643.69887731481</v>
      </c>
      <c r="D325" s="14"/>
      <c r="E325" s="32">
        <v>45644.0</v>
      </c>
      <c r="F325" s="32">
        <v>45644.0</v>
      </c>
      <c r="G325" s="32">
        <v>45665.0</v>
      </c>
      <c r="H325" s="24"/>
      <c r="I325" s="24"/>
      <c r="J325" s="24"/>
      <c r="K325" s="18">
        <f>HYPERLINK("https://app.hubspot.com/contacts/8748051/record/0-2/27390856822", 27390856822)</f>
        <v>27390856822</v>
      </c>
      <c r="L325" s="14" t="s">
        <v>1377</v>
      </c>
      <c r="M325" s="18" t="s">
        <v>1378</v>
      </c>
      <c r="N325" s="23">
        <f>HYPERLINK("https://app.hubspot.com/contacts/8748051/record/0-3/31177528202", 31177528202)</f>
        <v>31177528202</v>
      </c>
      <c r="O325" s="14" t="s">
        <v>1376</v>
      </c>
      <c r="P325" s="14" t="s">
        <v>124</v>
      </c>
      <c r="Q325" s="14">
        <v>500.0</v>
      </c>
      <c r="R325" s="14"/>
      <c r="S325" s="24" t="str">
        <f t="shared" ref="S325:U325" si="329">IF(E325&lt;&gt;"","Yes","")</f>
        <v>Yes</v>
      </c>
      <c r="T325" s="24" t="str">
        <f t="shared" si="329"/>
        <v>Yes</v>
      </c>
      <c r="U325" s="24" t="str">
        <f t="shared" si="329"/>
        <v>Yes</v>
      </c>
      <c r="V325" s="24" t="str">
        <f t="shared" si="3"/>
        <v/>
      </c>
      <c r="W325" s="14" t="str">
        <f t="shared" si="4"/>
        <v/>
      </c>
    </row>
    <row r="326" ht="14.25" customHeight="1">
      <c r="A326" s="18">
        <f>HYPERLINK("https://app.hubspot.com/contacts/8748051/record/0-1/85362139269", 85362139269)</f>
        <v>85362139269</v>
      </c>
      <c r="B326" s="14" t="s">
        <v>3879</v>
      </c>
      <c r="C326" s="16">
        <v>45643.40012731482</v>
      </c>
      <c r="D326" s="14"/>
      <c r="E326" s="32">
        <v>45643.0</v>
      </c>
      <c r="F326" s="32">
        <v>45644.0</v>
      </c>
      <c r="G326" s="32">
        <v>45644.0</v>
      </c>
      <c r="H326" s="14"/>
      <c r="I326" s="14"/>
      <c r="J326" s="14"/>
      <c r="K326" s="18">
        <f>HYPERLINK("https://app.hubspot.com/contacts/8748051/record/0-2/27308474633", 27308474633)</f>
        <v>27308474633</v>
      </c>
      <c r="L326" s="14" t="s">
        <v>1393</v>
      </c>
      <c r="M326" s="18" t="s">
        <v>1394</v>
      </c>
      <c r="N326" s="18">
        <f>HYPERLINK("https://app.hubspot.com/contacts/8748051/record/0-3/30737333406", 30737333406)</f>
        <v>30737333406</v>
      </c>
      <c r="O326" s="14" t="s">
        <v>1391</v>
      </c>
      <c r="P326" s="14" t="s">
        <v>146</v>
      </c>
      <c r="Q326" s="14">
        <v>117000.0</v>
      </c>
      <c r="R326" s="14" t="b">
        <v>1</v>
      </c>
      <c r="S326" s="24" t="str">
        <f t="shared" ref="S326:U326" si="330">IF(E326&lt;&gt;"","Yes","")</f>
        <v>Yes</v>
      </c>
      <c r="T326" s="24" t="str">
        <f t="shared" si="330"/>
        <v>Yes</v>
      </c>
      <c r="U326" s="24" t="str">
        <f t="shared" si="330"/>
        <v>Yes</v>
      </c>
      <c r="V326" s="24" t="str">
        <f t="shared" si="3"/>
        <v/>
      </c>
      <c r="W326" s="14" t="str">
        <f t="shared" si="4"/>
        <v>Yes</v>
      </c>
    </row>
    <row r="327" ht="14.25" customHeight="1">
      <c r="A327" s="18">
        <f>HYPERLINK("https://app.hubspot.com/contacts/8748051/record/0-1/85595628405", 85595628405)</f>
        <v>85595628405</v>
      </c>
      <c r="B327" s="14" t="s">
        <v>3880</v>
      </c>
      <c r="C327" s="16">
        <v>45643.299409722225</v>
      </c>
      <c r="D327" s="14"/>
      <c r="E327" s="32">
        <v>45644.0</v>
      </c>
      <c r="F327" s="32">
        <v>45688.0</v>
      </c>
      <c r="G327" s="32"/>
      <c r="H327" s="14"/>
      <c r="I327" s="14"/>
      <c r="J327" s="14"/>
      <c r="K327" s="18">
        <f>HYPERLINK("https://app.hubspot.com/contacts/8748051/record/0-2/9238290097", 9238290097)</f>
        <v>9238290097</v>
      </c>
      <c r="L327" s="14" t="s">
        <v>1380</v>
      </c>
      <c r="M327" s="18" t="s">
        <v>1381</v>
      </c>
      <c r="N327" s="18">
        <f>HYPERLINK("https://app.hubspot.com/contacts/8748051/record/0-3/30842266738", 30842266738)</f>
        <v>30842266738</v>
      </c>
      <c r="O327" s="14" t="s">
        <v>1379</v>
      </c>
      <c r="P327" s="14" t="s">
        <v>118</v>
      </c>
      <c r="Q327" s="14">
        <v>10000.0</v>
      </c>
      <c r="R327" s="14"/>
      <c r="S327" s="24" t="str">
        <f t="shared" ref="S327:U327" si="331">IF(E327&lt;&gt;"","Yes","")</f>
        <v>Yes</v>
      </c>
      <c r="T327" s="24" t="str">
        <f t="shared" si="331"/>
        <v>Yes</v>
      </c>
      <c r="U327" s="24" t="str">
        <f t="shared" si="331"/>
        <v/>
      </c>
      <c r="V327" s="24" t="str">
        <f t="shared" si="3"/>
        <v/>
      </c>
      <c r="W327" s="14" t="str">
        <f t="shared" si="4"/>
        <v/>
      </c>
    </row>
    <row r="328" ht="14.25" customHeight="1">
      <c r="A328" s="18">
        <f>HYPERLINK("https://app.hubspot.com/contacts/8748051/record/0-1/85481276226", 85481276226)</f>
        <v>85481276226</v>
      </c>
      <c r="B328" s="14" t="s">
        <v>3881</v>
      </c>
      <c r="C328" s="16">
        <v>45642.96916666667</v>
      </c>
      <c r="D328" s="14" t="s">
        <v>3882</v>
      </c>
      <c r="E328" s="32"/>
      <c r="F328" s="32"/>
      <c r="G328" s="32"/>
      <c r="H328" s="24"/>
      <c r="I328" s="24"/>
      <c r="J328" s="24"/>
      <c r="K328" s="18">
        <f>HYPERLINK("https://app.hubspot.com/contacts/8748051/record/0-2/6971368712", 6971368712)</f>
        <v>6971368712</v>
      </c>
      <c r="L328" s="14" t="s">
        <v>3883</v>
      </c>
      <c r="M328" s="18" t="s">
        <v>3884</v>
      </c>
      <c r="N328" s="24"/>
      <c r="O328" s="14"/>
      <c r="P328" s="14"/>
      <c r="Q328" s="14"/>
      <c r="R328" s="14"/>
      <c r="S328" s="24" t="str">
        <f t="shared" ref="S328:U328" si="332">IF(E328&lt;&gt;"","Yes","")</f>
        <v/>
      </c>
      <c r="T328" s="24" t="str">
        <f t="shared" si="332"/>
        <v/>
      </c>
      <c r="U328" s="24" t="str">
        <f t="shared" si="332"/>
        <v/>
      </c>
      <c r="V328" s="24" t="str">
        <f t="shared" si="3"/>
        <v/>
      </c>
      <c r="W328" s="14" t="str">
        <f t="shared" si="4"/>
        <v/>
      </c>
    </row>
    <row r="329" ht="14.25" customHeight="1">
      <c r="A329" s="18">
        <f>HYPERLINK("https://app.hubspot.com/contacts/8748051/record/0-1/85259331381", 85259331381)</f>
        <v>85259331381</v>
      </c>
      <c r="B329" s="14" t="s">
        <v>3885</v>
      </c>
      <c r="C329" s="16">
        <v>45642.43920138889</v>
      </c>
      <c r="D329" s="14"/>
      <c r="E329" s="32">
        <v>45642.0</v>
      </c>
      <c r="F329" s="32"/>
      <c r="G329" s="32"/>
      <c r="H329" s="24"/>
      <c r="I329" s="14"/>
      <c r="J329" s="24"/>
      <c r="K329" s="18">
        <f>HYPERLINK("https://app.hubspot.com/contacts/8748051/record/0-2/27221825818", 27221825818)</f>
        <v>27221825818</v>
      </c>
      <c r="L329" s="14" t="s">
        <v>3886</v>
      </c>
      <c r="M329" s="18" t="s">
        <v>3887</v>
      </c>
      <c r="N329" s="24"/>
      <c r="O329" s="14"/>
      <c r="P329" s="14"/>
      <c r="Q329" s="14"/>
      <c r="R329" s="14"/>
      <c r="S329" s="24" t="str">
        <f t="shared" ref="S329:U329" si="333">IF(E329&lt;&gt;"","Yes","")</f>
        <v>Yes</v>
      </c>
      <c r="T329" s="24" t="str">
        <f t="shared" si="333"/>
        <v/>
      </c>
      <c r="U329" s="24" t="str">
        <f t="shared" si="333"/>
        <v/>
      </c>
      <c r="V329" s="24" t="str">
        <f t="shared" si="3"/>
        <v/>
      </c>
      <c r="W329" s="14" t="str">
        <f t="shared" si="4"/>
        <v/>
      </c>
    </row>
    <row r="330" ht="14.25" customHeight="1">
      <c r="A330" s="18">
        <f>HYPERLINK("https://app.hubspot.com/contacts/8748051/record/0-1/84204665377", 84204665377)</f>
        <v>84204665377</v>
      </c>
      <c r="B330" s="14" t="s">
        <v>3888</v>
      </c>
      <c r="C330" s="16">
        <v>45638.47069444445</v>
      </c>
      <c r="D330" s="16"/>
      <c r="E330" s="32">
        <v>45638.0</v>
      </c>
      <c r="F330" s="32">
        <v>45638.0</v>
      </c>
      <c r="G330" s="32">
        <v>45638.0</v>
      </c>
      <c r="H330" s="14"/>
      <c r="I330" s="14"/>
      <c r="J330" s="14"/>
      <c r="K330" s="18">
        <f>HYPERLINK("https://app.hubspot.com/contacts/8748051/record/0-2/26975866210", 26975866210)</f>
        <v>26975866210</v>
      </c>
      <c r="L330" s="14" t="s">
        <v>1399</v>
      </c>
      <c r="M330" s="18" t="s">
        <v>1400</v>
      </c>
      <c r="N330" s="23">
        <f>HYPERLINK("https://app.hubspot.com/contacts/8748051/record/0-3/30232636537", 30232636537)</f>
        <v>30232636537</v>
      </c>
      <c r="O330" s="14" t="s">
        <v>1398</v>
      </c>
      <c r="P330" s="14" t="s">
        <v>124</v>
      </c>
      <c r="Q330" s="14">
        <v>12000.0</v>
      </c>
      <c r="R330" s="14" t="b">
        <v>1</v>
      </c>
      <c r="S330" s="24" t="str">
        <f t="shared" ref="S330:U330" si="334">IF(E330&lt;&gt;"","Yes","")</f>
        <v>Yes</v>
      </c>
      <c r="T330" s="24" t="str">
        <f t="shared" si="334"/>
        <v>Yes</v>
      </c>
      <c r="U330" s="24" t="str">
        <f t="shared" si="334"/>
        <v>Yes</v>
      </c>
      <c r="V330" s="24" t="str">
        <f t="shared" si="3"/>
        <v/>
      </c>
      <c r="W330" s="14" t="str">
        <f t="shared" si="4"/>
        <v/>
      </c>
    </row>
    <row r="331" ht="14.25" customHeight="1">
      <c r="A331" s="18">
        <f>HYPERLINK("https://app.hubspot.com/contacts/8748051/record/0-1/2839652", 2839652)</f>
        <v>2839652</v>
      </c>
      <c r="B331" s="14" t="s">
        <v>3889</v>
      </c>
      <c r="C331" s="16">
        <v>45637.03503472222</v>
      </c>
      <c r="D331" s="14"/>
      <c r="E331" s="32">
        <v>45637.0</v>
      </c>
      <c r="F331" s="32">
        <v>45639.0</v>
      </c>
      <c r="G331" s="32">
        <v>45640.0</v>
      </c>
      <c r="H331" s="24"/>
      <c r="I331" s="14"/>
      <c r="J331" s="14"/>
      <c r="K331" s="18">
        <f>HYPERLINK("https://app.hubspot.com/contacts/8748051/record/0-2/7589031515", 7589031515)</f>
        <v>7589031515</v>
      </c>
      <c r="L331" s="14" t="s">
        <v>1371</v>
      </c>
      <c r="M331" s="18" t="s">
        <v>1372</v>
      </c>
      <c r="N331" s="23">
        <f>HYPERLINK("https://app.hubspot.com/contacts/8748051/record/0-3/31244349587", 31244349587)</f>
        <v>31244349587</v>
      </c>
      <c r="O331" s="14" t="s">
        <v>1369</v>
      </c>
      <c r="P331" s="14" t="s">
        <v>89</v>
      </c>
      <c r="Q331" s="14">
        <v>98490.0</v>
      </c>
      <c r="R331" s="14" t="b">
        <v>1</v>
      </c>
      <c r="S331" s="24" t="str">
        <f t="shared" ref="S331:U331" si="335">IF(E331&lt;&gt;"","Yes","")</f>
        <v>Yes</v>
      </c>
      <c r="T331" s="24" t="str">
        <f t="shared" si="335"/>
        <v>Yes</v>
      </c>
      <c r="U331" s="24" t="str">
        <f t="shared" si="335"/>
        <v>Yes</v>
      </c>
      <c r="V331" s="24" t="str">
        <f t="shared" si="3"/>
        <v>Yes</v>
      </c>
      <c r="W331" s="14" t="str">
        <f t="shared" si="4"/>
        <v/>
      </c>
    </row>
    <row r="332" ht="14.25" customHeight="1">
      <c r="A332" s="18">
        <f>HYPERLINK("https://app.hubspot.com/contacts/8748051/record/0-1/83438305582", 83438305582)</f>
        <v>83438305582</v>
      </c>
      <c r="B332" s="14" t="s">
        <v>3890</v>
      </c>
      <c r="C332" s="16">
        <v>45635.639699074076</v>
      </c>
      <c r="D332" s="16"/>
      <c r="E332" s="32">
        <v>45636.0</v>
      </c>
      <c r="F332" s="32">
        <v>45672.0</v>
      </c>
      <c r="G332" s="32"/>
      <c r="H332" s="14"/>
      <c r="I332" s="14"/>
      <c r="J332" s="14"/>
      <c r="K332" s="18">
        <f>HYPERLINK("https://app.hubspot.com/contacts/8748051/record/0-2/8644546840", 8644546840)</f>
        <v>8644546840</v>
      </c>
      <c r="L332" s="14" t="s">
        <v>1224</v>
      </c>
      <c r="M332" s="18" t="s">
        <v>1225</v>
      </c>
      <c r="N332" s="23">
        <f>HYPERLINK("https://app.hubspot.com/contacts/8748051/record/0-3/31050406231", 31050406231)</f>
        <v>31050406231</v>
      </c>
      <c r="O332" s="14" t="s">
        <v>1223</v>
      </c>
      <c r="P332" s="14" t="s">
        <v>118</v>
      </c>
      <c r="Q332" s="14">
        <v>27000.0</v>
      </c>
      <c r="R332" s="14"/>
      <c r="S332" s="24" t="str">
        <f t="shared" ref="S332:U332" si="336">IF(E332&lt;&gt;"","Yes","")</f>
        <v>Yes</v>
      </c>
      <c r="T332" s="24" t="str">
        <f t="shared" si="336"/>
        <v>Yes</v>
      </c>
      <c r="U332" s="24" t="str">
        <f t="shared" si="336"/>
        <v/>
      </c>
      <c r="V332" s="24" t="str">
        <f t="shared" si="3"/>
        <v/>
      </c>
      <c r="W332" s="14" t="str">
        <f t="shared" si="4"/>
        <v/>
      </c>
    </row>
    <row r="333" ht="14.25" customHeight="1">
      <c r="A333" s="18">
        <f>HYPERLINK("https://app.hubspot.com/contacts/8748051/record/0-1/82779341153", 82779341153)</f>
        <v>82779341153</v>
      </c>
      <c r="B333" s="14" t="s">
        <v>3891</v>
      </c>
      <c r="C333" s="16">
        <v>45632.62902777778</v>
      </c>
      <c r="D333" s="16"/>
      <c r="E333" s="32">
        <v>45633.0</v>
      </c>
      <c r="F333" s="32">
        <v>45633.0</v>
      </c>
      <c r="G333" s="32">
        <v>45640.0</v>
      </c>
      <c r="H333" s="24"/>
      <c r="I333" s="14"/>
      <c r="J333" s="14"/>
      <c r="K333" s="18">
        <f>HYPERLINK("https://app.hubspot.com/contacts/8748051/record/0-2/26681052168", 26681052168)</f>
        <v>26681052168</v>
      </c>
      <c r="L333" s="14" t="s">
        <v>1402</v>
      </c>
      <c r="M333" s="18" t="s">
        <v>1403</v>
      </c>
      <c r="N333" s="18">
        <f>HYPERLINK("https://app.hubspot.com/contacts/8748051/record/0-3/30081364780", 30081364780)</f>
        <v>30081364780</v>
      </c>
      <c r="O333" s="14" t="s">
        <v>1401</v>
      </c>
      <c r="P333" s="14" t="s">
        <v>124</v>
      </c>
      <c r="Q333" s="14">
        <v>100000.0</v>
      </c>
      <c r="R333" s="14" t="b">
        <v>1</v>
      </c>
      <c r="S333" s="24" t="str">
        <f t="shared" ref="S333:U333" si="337">IF(E333&lt;&gt;"","Yes","")</f>
        <v>Yes</v>
      </c>
      <c r="T333" s="24" t="str">
        <f t="shared" si="337"/>
        <v>Yes</v>
      </c>
      <c r="U333" s="24" t="str">
        <f t="shared" si="337"/>
        <v>Yes</v>
      </c>
      <c r="V333" s="24" t="str">
        <f t="shared" si="3"/>
        <v/>
      </c>
      <c r="W333" s="14" t="str">
        <f t="shared" si="4"/>
        <v/>
      </c>
    </row>
    <row r="334" ht="14.25" customHeight="1">
      <c r="A334" s="18">
        <f>HYPERLINK("https://app.hubspot.com/contacts/8748051/record/0-1/82631782039", 82631782039)</f>
        <v>82631782039</v>
      </c>
      <c r="B334" s="14" t="s">
        <v>3892</v>
      </c>
      <c r="C334" s="16">
        <v>45632.23082175926</v>
      </c>
      <c r="D334" s="14"/>
      <c r="E334" s="32">
        <v>45632.0</v>
      </c>
      <c r="F334" s="32">
        <v>45636.0</v>
      </c>
      <c r="G334" s="32">
        <v>45636.0</v>
      </c>
      <c r="H334" s="24"/>
      <c r="I334" s="24"/>
      <c r="J334" s="24"/>
      <c r="K334" s="18">
        <f>HYPERLINK("https://app.hubspot.com/contacts/8748051/record/0-2/8142790700", 8142790700)</f>
        <v>8142790700</v>
      </c>
      <c r="L334" s="14" t="s">
        <v>1366</v>
      </c>
      <c r="M334" s="18" t="s">
        <v>1367</v>
      </c>
      <c r="N334" s="18">
        <f>HYPERLINK("https://app.hubspot.com/contacts/8748051/record/0-3/31267233305", 31267233305)</f>
        <v>31267233305</v>
      </c>
      <c r="O334" s="14" t="s">
        <v>1364</v>
      </c>
      <c r="P334" s="14" t="s">
        <v>146</v>
      </c>
      <c r="Q334" s="14">
        <v>15000.0</v>
      </c>
      <c r="R334" s="14" t="b">
        <v>1</v>
      </c>
      <c r="S334" s="24" t="str">
        <f t="shared" ref="S334:U334" si="338">IF(E334&lt;&gt;"","Yes","")</f>
        <v>Yes</v>
      </c>
      <c r="T334" s="24" t="str">
        <f t="shared" si="338"/>
        <v>Yes</v>
      </c>
      <c r="U334" s="24" t="str">
        <f t="shared" si="338"/>
        <v>Yes</v>
      </c>
      <c r="V334" s="24" t="str">
        <f t="shared" si="3"/>
        <v/>
      </c>
      <c r="W334" s="14" t="str">
        <f t="shared" si="4"/>
        <v>Yes</v>
      </c>
    </row>
    <row r="335" ht="14.25" customHeight="1">
      <c r="A335" s="18">
        <f>HYPERLINK("https://app.hubspot.com/contacts/8748051/record/0-1/82264938022", 82264938022)</f>
        <v>82264938022</v>
      </c>
      <c r="B335" s="14" t="s">
        <v>3893</v>
      </c>
      <c r="C335" s="16">
        <v>45630.582291666666</v>
      </c>
      <c r="D335" s="14"/>
      <c r="E335" s="32">
        <v>45631.0</v>
      </c>
      <c r="F335" s="32"/>
      <c r="G335" s="32"/>
      <c r="H335" s="14"/>
      <c r="I335" s="14"/>
      <c r="J335" s="24"/>
      <c r="K335" s="18">
        <f>HYPERLINK("https://app.hubspot.com/contacts/8748051/record/0-2/26595298456", 26595298456)</f>
        <v>26595298456</v>
      </c>
      <c r="L335" s="14" t="s">
        <v>3894</v>
      </c>
      <c r="M335" s="18" t="s">
        <v>3895</v>
      </c>
      <c r="N335" s="14"/>
      <c r="O335" s="14"/>
      <c r="P335" s="14"/>
      <c r="Q335" s="14"/>
      <c r="R335" s="14"/>
      <c r="S335" s="24" t="str">
        <f t="shared" ref="S335:U335" si="339">IF(E335&lt;&gt;"","Yes","")</f>
        <v>Yes</v>
      </c>
      <c r="T335" s="24" t="str">
        <f t="shared" si="339"/>
        <v/>
      </c>
      <c r="U335" s="24" t="str">
        <f t="shared" si="339"/>
        <v/>
      </c>
      <c r="V335" s="24" t="str">
        <f t="shared" si="3"/>
        <v/>
      </c>
      <c r="W335" s="14" t="str">
        <f t="shared" si="4"/>
        <v/>
      </c>
    </row>
    <row r="336" ht="14.25" customHeight="1">
      <c r="A336" s="18">
        <f>HYPERLINK("https://app.hubspot.com/contacts/8748051/record/0-1/80838124650", 80838124650)</f>
        <v>80838124650</v>
      </c>
      <c r="B336" s="14" t="s">
        <v>3896</v>
      </c>
      <c r="C336" s="16">
        <v>45623.986030092594</v>
      </c>
      <c r="D336" s="16"/>
      <c r="E336" s="32">
        <v>45624.0</v>
      </c>
      <c r="F336" s="32"/>
      <c r="G336" s="32"/>
      <c r="H336" s="24"/>
      <c r="I336" s="14"/>
      <c r="J336" s="24"/>
      <c r="K336" s="18">
        <f>HYPERLINK("https://app.hubspot.com/contacts/8748051/record/0-2/26386026027", 26386026027)</f>
        <v>26386026027</v>
      </c>
      <c r="L336" s="14" t="s">
        <v>3897</v>
      </c>
      <c r="M336" s="18" t="s">
        <v>3898</v>
      </c>
      <c r="N336" s="24"/>
      <c r="O336" s="14"/>
      <c r="P336" s="14"/>
      <c r="Q336" s="14"/>
      <c r="R336" s="14"/>
      <c r="S336" s="24" t="str">
        <f t="shared" ref="S336:U336" si="340">IF(E336&lt;&gt;"","Yes","")</f>
        <v>Yes</v>
      </c>
      <c r="T336" s="24" t="str">
        <f t="shared" si="340"/>
        <v/>
      </c>
      <c r="U336" s="24" t="str">
        <f t="shared" si="340"/>
        <v/>
      </c>
      <c r="V336" s="24" t="str">
        <f t="shared" si="3"/>
        <v/>
      </c>
      <c r="W336" s="14" t="str">
        <f t="shared" si="4"/>
        <v/>
      </c>
    </row>
    <row r="337" ht="14.25" customHeight="1">
      <c r="A337" s="18">
        <f>HYPERLINK("https://app.hubspot.com/contacts/8748051/record/0-1/77543754295", 77543754295)</f>
        <v>77543754295</v>
      </c>
      <c r="B337" s="14" t="s">
        <v>3899</v>
      </c>
      <c r="C337" s="16">
        <v>45610.19832175926</v>
      </c>
      <c r="D337" s="14"/>
      <c r="E337" s="32">
        <v>45610.0</v>
      </c>
      <c r="F337" s="32">
        <v>45610.0</v>
      </c>
      <c r="G337" s="32">
        <v>45614.0</v>
      </c>
      <c r="H337" s="24"/>
      <c r="I337" s="14"/>
      <c r="J337" s="14"/>
      <c r="K337" s="18">
        <f>HYPERLINK("https://app.hubspot.com/contacts/8748051/record/0-2/15827910251", 15827910251)</f>
        <v>15827910251</v>
      </c>
      <c r="L337" s="14" t="s">
        <v>3900</v>
      </c>
      <c r="M337" s="18" t="s">
        <v>3901</v>
      </c>
      <c r="N337" s="14"/>
      <c r="O337" s="14"/>
      <c r="P337" s="14"/>
      <c r="Q337" s="14"/>
      <c r="R337" s="14"/>
      <c r="S337" s="24" t="str">
        <f t="shared" ref="S337:U337" si="341">IF(E337&lt;&gt;"","Yes","")</f>
        <v>Yes</v>
      </c>
      <c r="T337" s="24" t="str">
        <f t="shared" si="341"/>
        <v>Yes</v>
      </c>
      <c r="U337" s="24" t="str">
        <f t="shared" si="341"/>
        <v>Yes</v>
      </c>
      <c r="V337" s="24" t="str">
        <f t="shared" si="3"/>
        <v/>
      </c>
      <c r="W337" s="14" t="str">
        <f t="shared" si="4"/>
        <v/>
      </c>
    </row>
    <row r="338" ht="14.25" customHeight="1">
      <c r="A338" s="18">
        <f>HYPERLINK("https://app.hubspot.com/contacts/8748051/record/0-1/77362306129", 77362306129)</f>
        <v>77362306129</v>
      </c>
      <c r="B338" s="14" t="s">
        <v>3902</v>
      </c>
      <c r="C338" s="16">
        <v>45609.55358796296</v>
      </c>
      <c r="D338" s="14"/>
      <c r="E338" s="32">
        <v>45609.0</v>
      </c>
      <c r="F338" s="32">
        <v>45610.0</v>
      </c>
      <c r="G338" s="32">
        <v>45611.0</v>
      </c>
      <c r="H338" s="14"/>
      <c r="I338" s="14"/>
      <c r="J338" s="14"/>
      <c r="K338" s="18">
        <f>HYPERLINK("https://app.hubspot.com/contacts/8748051/record/0-2/25806579484", 25806579484)</f>
        <v>25806579484</v>
      </c>
      <c r="L338" s="18" t="s">
        <v>1422</v>
      </c>
      <c r="M338" s="18" t="s">
        <v>1423</v>
      </c>
      <c r="N338" s="18">
        <f>HYPERLINK("https://app.hubspot.com/contacts/8748051/record/0-3/29076873138", 29076873138)</f>
        <v>29076873138</v>
      </c>
      <c r="O338" s="14" t="s">
        <v>1420</v>
      </c>
      <c r="P338" s="14" t="s">
        <v>146</v>
      </c>
      <c r="Q338" s="14">
        <v>6500.0</v>
      </c>
      <c r="R338" s="14"/>
      <c r="S338" s="24" t="str">
        <f t="shared" ref="S338:U338" si="342">IF(E338&lt;&gt;"","Yes","")</f>
        <v>Yes</v>
      </c>
      <c r="T338" s="24" t="str">
        <f t="shared" si="342"/>
        <v>Yes</v>
      </c>
      <c r="U338" s="24" t="str">
        <f t="shared" si="342"/>
        <v>Yes</v>
      </c>
      <c r="V338" s="24" t="str">
        <f t="shared" si="3"/>
        <v/>
      </c>
      <c r="W338" s="14" t="str">
        <f t="shared" si="4"/>
        <v>Yes</v>
      </c>
    </row>
    <row r="339" ht="14.25" customHeight="1">
      <c r="A339" s="18">
        <f>HYPERLINK("https://app.hubspot.com/contacts/8748051/record/0-1/76895143800", 76895143800)</f>
        <v>76895143800</v>
      </c>
      <c r="B339" s="14" t="s">
        <v>3903</v>
      </c>
      <c r="C339" s="16">
        <v>45608.17649305556</v>
      </c>
      <c r="D339" s="14"/>
      <c r="E339" s="32">
        <v>45608.0</v>
      </c>
      <c r="F339" s="32">
        <v>45614.0</v>
      </c>
      <c r="G339" s="32"/>
      <c r="H339" s="14"/>
      <c r="I339" s="14"/>
      <c r="J339" s="14"/>
      <c r="K339" s="18">
        <f>HYPERLINK("https://app.hubspot.com/contacts/8748051/record/0-2/19176296094", 19176296094)</f>
        <v>19176296094</v>
      </c>
      <c r="L339" s="14" t="s">
        <v>3904</v>
      </c>
      <c r="M339" s="18" t="s">
        <v>3905</v>
      </c>
      <c r="N339" s="24"/>
      <c r="O339" s="14"/>
      <c r="P339" s="14"/>
      <c r="Q339" s="14"/>
      <c r="R339" s="14"/>
      <c r="S339" s="24" t="str">
        <f t="shared" ref="S339:U339" si="343">IF(E339&lt;&gt;"","Yes","")</f>
        <v>Yes</v>
      </c>
      <c r="T339" s="24" t="str">
        <f t="shared" si="343"/>
        <v>Yes</v>
      </c>
      <c r="U339" s="24" t="str">
        <f t="shared" si="343"/>
        <v/>
      </c>
      <c r="V339" s="24" t="str">
        <f t="shared" si="3"/>
        <v/>
      </c>
      <c r="W339" s="14" t="str">
        <f t="shared" si="4"/>
        <v/>
      </c>
    </row>
    <row r="340" ht="14.25" customHeight="1">
      <c r="A340" s="18">
        <f>HYPERLINK("https://app.hubspot.com/contacts/8748051/record/0-1/75221375409", 75221375409)</f>
        <v>75221375409</v>
      </c>
      <c r="B340" s="14" t="s">
        <v>3906</v>
      </c>
      <c r="C340" s="16">
        <v>45604.67392361111</v>
      </c>
      <c r="D340" s="14"/>
      <c r="E340" s="32">
        <v>45601.0</v>
      </c>
      <c r="F340" s="32">
        <v>45605.0</v>
      </c>
      <c r="G340" s="32">
        <v>45616.0</v>
      </c>
      <c r="H340" s="24"/>
      <c r="I340" s="24"/>
      <c r="J340" s="24"/>
      <c r="K340" s="18">
        <f>HYPERLINK("https://app.hubspot.com/contacts/8748051/record/0-2/25485157743", 25485157743)</f>
        <v>25485157743</v>
      </c>
      <c r="L340" s="14" t="s">
        <v>3907</v>
      </c>
      <c r="M340" s="14" t="s">
        <v>3908</v>
      </c>
      <c r="N340" s="14"/>
      <c r="O340" s="14"/>
      <c r="P340" s="14"/>
      <c r="Q340" s="14"/>
      <c r="R340" s="14"/>
      <c r="S340" s="24" t="str">
        <f t="shared" ref="S340:U340" si="344">IF(E340&lt;&gt;"","Yes","")</f>
        <v>Yes</v>
      </c>
      <c r="T340" s="24" t="str">
        <f t="shared" si="344"/>
        <v>Yes</v>
      </c>
      <c r="U340" s="24" t="str">
        <f t="shared" si="344"/>
        <v>Yes</v>
      </c>
      <c r="V340" s="24" t="str">
        <f t="shared" si="3"/>
        <v/>
      </c>
      <c r="W340" s="14" t="str">
        <f t="shared" si="4"/>
        <v/>
      </c>
    </row>
    <row r="341" ht="14.25" customHeight="1">
      <c r="A341" s="18">
        <f>HYPERLINK("https://app.hubspot.com/contacts/8748051/record/0-1/75820626540", 75820626540)</f>
        <v>75820626540</v>
      </c>
      <c r="B341" s="14" t="s">
        <v>3909</v>
      </c>
      <c r="C341" s="16">
        <v>45603.25017361111</v>
      </c>
      <c r="D341" s="14" t="s">
        <v>3910</v>
      </c>
      <c r="E341" s="32"/>
      <c r="F341" s="32"/>
      <c r="G341" s="32"/>
      <c r="H341" s="14"/>
      <c r="I341" s="14"/>
      <c r="J341" s="14"/>
      <c r="K341" s="18">
        <f>HYPERLINK("https://app.hubspot.com/contacts/8748051/record/0-2/7277523063", 7277523063)</f>
        <v>7277523063</v>
      </c>
      <c r="L341" s="14" t="s">
        <v>3911</v>
      </c>
      <c r="M341" s="18" t="s">
        <v>3912</v>
      </c>
      <c r="N341" s="14"/>
      <c r="O341" s="14"/>
      <c r="P341" s="14"/>
      <c r="Q341" s="14"/>
      <c r="R341" s="14"/>
      <c r="S341" s="24" t="str">
        <f t="shared" ref="S341:U341" si="345">IF(E341&lt;&gt;"","Yes","")</f>
        <v/>
      </c>
      <c r="T341" s="24" t="str">
        <f t="shared" si="345"/>
        <v/>
      </c>
      <c r="U341" s="24" t="str">
        <f t="shared" si="345"/>
        <v/>
      </c>
      <c r="V341" s="24" t="str">
        <f t="shared" si="3"/>
        <v/>
      </c>
      <c r="W341" s="14" t="str">
        <f t="shared" si="4"/>
        <v/>
      </c>
    </row>
    <row r="342" ht="14.25" customHeight="1">
      <c r="A342" s="18">
        <f>HYPERLINK("https://app.hubspot.com/contacts/8748051/record/0-1/75638680969", 75638680969)</f>
        <v>75638680969</v>
      </c>
      <c r="B342" s="14" t="s">
        <v>3913</v>
      </c>
      <c r="C342" s="16">
        <v>45602.75439814815</v>
      </c>
      <c r="D342" s="14"/>
      <c r="E342" s="32">
        <v>45603.0</v>
      </c>
      <c r="F342" s="32">
        <v>45607.0</v>
      </c>
      <c r="G342" s="32">
        <v>45672.0</v>
      </c>
      <c r="H342" s="24"/>
      <c r="I342" s="24"/>
      <c r="J342" s="24"/>
      <c r="K342" s="18">
        <f>HYPERLINK("https://app.hubspot.com/contacts/8748051/record/0-2/7902503572", 7902503572)</f>
        <v>7902503572</v>
      </c>
      <c r="L342" s="14" t="s">
        <v>1414</v>
      </c>
      <c r="M342" s="18" t="s">
        <v>1415</v>
      </c>
      <c r="N342" s="23">
        <f>HYPERLINK("https://app.hubspot.com/contacts/8748051/record/0-3/29430556787", 29430556787)</f>
        <v>29430556787</v>
      </c>
      <c r="O342" s="14" t="s">
        <v>1413</v>
      </c>
      <c r="P342" s="14" t="s">
        <v>124</v>
      </c>
      <c r="Q342" s="14">
        <v>30000.0</v>
      </c>
      <c r="R342" s="14" t="b">
        <v>1</v>
      </c>
      <c r="S342" s="24" t="str">
        <f t="shared" ref="S342:U342" si="346">IF(E342&lt;&gt;"","Yes","")</f>
        <v>Yes</v>
      </c>
      <c r="T342" s="24" t="str">
        <f t="shared" si="346"/>
        <v>Yes</v>
      </c>
      <c r="U342" s="24" t="str">
        <f t="shared" si="346"/>
        <v>Yes</v>
      </c>
      <c r="V342" s="24" t="str">
        <f t="shared" si="3"/>
        <v/>
      </c>
      <c r="W342" s="14" t="str">
        <f t="shared" si="4"/>
        <v/>
      </c>
    </row>
    <row r="343" ht="14.25" customHeight="1">
      <c r="A343" s="18">
        <f>HYPERLINK("https://app.hubspot.com/contacts/8748051/record/0-1/52633103175", 52633103175)</f>
        <v>52633103175</v>
      </c>
      <c r="B343" s="14" t="s">
        <v>3914</v>
      </c>
      <c r="C343" s="16">
        <v>45596.44462962963</v>
      </c>
      <c r="D343" s="14"/>
      <c r="E343" s="32">
        <v>45596.0</v>
      </c>
      <c r="F343" s="32">
        <v>45597.0</v>
      </c>
      <c r="G343" s="32">
        <v>45597.0</v>
      </c>
      <c r="H343" s="14"/>
      <c r="I343" s="24"/>
      <c r="J343" s="24"/>
      <c r="K343" s="18">
        <f>HYPERLINK("https://app.hubspot.com/contacts/8748051/record/0-2/7589543573", 7589543573)</f>
        <v>7589543573</v>
      </c>
      <c r="L343" s="14" t="s">
        <v>1429</v>
      </c>
      <c r="M343" s="18" t="s">
        <v>1430</v>
      </c>
      <c r="N343" s="23">
        <f>HYPERLINK("https://app.hubspot.com/contacts/8748051/record/0-3/28937055552", 28937055552)</f>
        <v>28937055552</v>
      </c>
      <c r="O343" s="14" t="s">
        <v>1427</v>
      </c>
      <c r="P343" s="14" t="s">
        <v>146</v>
      </c>
      <c r="Q343" s="14">
        <v>25000.0</v>
      </c>
      <c r="R343" s="14" t="b">
        <v>1</v>
      </c>
      <c r="S343" s="24" t="str">
        <f t="shared" ref="S343:U343" si="347">IF(E343&lt;&gt;"","Yes","")</f>
        <v>Yes</v>
      </c>
      <c r="T343" s="24" t="str">
        <f t="shared" si="347"/>
        <v>Yes</v>
      </c>
      <c r="U343" s="24" t="str">
        <f t="shared" si="347"/>
        <v>Yes</v>
      </c>
      <c r="V343" s="24" t="str">
        <f t="shared" si="3"/>
        <v/>
      </c>
      <c r="W343" s="14" t="str">
        <f t="shared" si="4"/>
        <v>Yes</v>
      </c>
    </row>
    <row r="344" ht="14.25" customHeight="1">
      <c r="A344" s="18">
        <f>HYPERLINK("https://app.hubspot.com/contacts/8748051/record/0-1/73924462155", 73924462155)</f>
        <v>73924462155</v>
      </c>
      <c r="B344" s="14" t="s">
        <v>3915</v>
      </c>
      <c r="C344" s="16">
        <v>45596.3365162037</v>
      </c>
      <c r="D344" s="14" t="s">
        <v>3916</v>
      </c>
      <c r="E344" s="32"/>
      <c r="F344" s="32"/>
      <c r="G344" s="32"/>
      <c r="H344" s="24"/>
      <c r="I344" s="24"/>
      <c r="J344" s="24"/>
      <c r="K344" s="18">
        <f>HYPERLINK("https://app.hubspot.com/contacts/8748051/record/0-2/25303544432", 25303544432)</f>
        <v>25303544432</v>
      </c>
      <c r="L344" s="18" t="s">
        <v>3917</v>
      </c>
      <c r="M344" s="18" t="s">
        <v>3917</v>
      </c>
      <c r="N344" s="24"/>
      <c r="O344" s="14"/>
      <c r="P344" s="14"/>
      <c r="Q344" s="14"/>
      <c r="R344" s="14"/>
      <c r="S344" s="24" t="str">
        <f t="shared" ref="S344:U344" si="348">IF(E344&lt;&gt;"","Yes","")</f>
        <v/>
      </c>
      <c r="T344" s="24" t="str">
        <f t="shared" si="348"/>
        <v/>
      </c>
      <c r="U344" s="24" t="str">
        <f t="shared" si="348"/>
        <v/>
      </c>
      <c r="V344" s="24" t="str">
        <f t="shared" si="3"/>
        <v/>
      </c>
      <c r="W344" s="14" t="str">
        <f t="shared" si="4"/>
        <v/>
      </c>
    </row>
    <row r="345" ht="14.25" customHeight="1">
      <c r="A345" s="18">
        <f>HYPERLINK("https://app.hubspot.com/contacts/8748051/record/0-1/73818971248", 73818971248)</f>
        <v>73818971248</v>
      </c>
      <c r="B345" s="14" t="s">
        <v>3918</v>
      </c>
      <c r="C345" s="16">
        <v>45595.946909722225</v>
      </c>
      <c r="D345" s="14"/>
      <c r="E345" s="32">
        <v>45596.0</v>
      </c>
      <c r="F345" s="32">
        <v>45597.0</v>
      </c>
      <c r="G345" s="32">
        <v>45601.0</v>
      </c>
      <c r="H345" s="24"/>
      <c r="I345" s="14"/>
      <c r="J345" s="14"/>
      <c r="K345" s="18">
        <f>HYPERLINK("https://app.hubspot.com/contacts/8748051/record/0-2/7945231785", 7945231785)</f>
        <v>7945231785</v>
      </c>
      <c r="L345" s="14" t="s">
        <v>1439</v>
      </c>
      <c r="M345" s="18" t="s">
        <v>1440</v>
      </c>
      <c r="N345" s="23">
        <f>HYPERLINK("https://app.hubspot.com/contacts/8748051/record/0-3/28713160476", 28713160476)</f>
        <v>28713160476</v>
      </c>
      <c r="O345" s="14" t="s">
        <v>1437</v>
      </c>
      <c r="P345" s="14" t="s">
        <v>89</v>
      </c>
      <c r="Q345" s="14">
        <v>23244.0</v>
      </c>
      <c r="R345" s="14" t="b">
        <v>1</v>
      </c>
      <c r="S345" s="24" t="str">
        <f t="shared" ref="S345:U345" si="349">IF(E345&lt;&gt;"","Yes","")</f>
        <v>Yes</v>
      </c>
      <c r="T345" s="24" t="str">
        <f t="shared" si="349"/>
        <v>Yes</v>
      </c>
      <c r="U345" s="24" t="str">
        <f t="shared" si="349"/>
        <v>Yes</v>
      </c>
      <c r="V345" s="24" t="str">
        <f t="shared" si="3"/>
        <v>Yes</v>
      </c>
      <c r="W345" s="14" t="str">
        <f t="shared" si="4"/>
        <v/>
      </c>
    </row>
    <row r="346" ht="14.25" customHeight="1">
      <c r="A346" s="18">
        <f>HYPERLINK("https://app.hubspot.com/contacts/8748051/record/0-1/69398795829", 69398795829)</f>
        <v>69398795829</v>
      </c>
      <c r="B346" s="14" t="s">
        <v>3919</v>
      </c>
      <c r="C346" s="16">
        <v>45595.38427083333</v>
      </c>
      <c r="D346" s="14"/>
      <c r="E346" s="32">
        <v>45595.0</v>
      </c>
      <c r="F346" s="32">
        <v>45595.0</v>
      </c>
      <c r="G346" s="32">
        <v>45604.0</v>
      </c>
      <c r="H346" s="24"/>
      <c r="I346" s="24"/>
      <c r="J346" s="24"/>
      <c r="K346" s="18">
        <f>HYPERLINK("https://app.hubspot.com/contacts/8748051/record/0-2/7893085080", 7893085080)</f>
        <v>7893085080</v>
      </c>
      <c r="L346" s="14" t="s">
        <v>1432</v>
      </c>
      <c r="M346" s="18" t="s">
        <v>1433</v>
      </c>
      <c r="N346" s="18">
        <f>HYPERLINK("https://app.hubspot.com/contacts/8748051/record/0-3/28887370633", 28887370633)</f>
        <v>28887370633</v>
      </c>
      <c r="O346" s="14" t="s">
        <v>1431</v>
      </c>
      <c r="P346" s="14" t="s">
        <v>124</v>
      </c>
      <c r="Q346" s="14">
        <v>25000.0</v>
      </c>
      <c r="R346" s="14" t="b">
        <v>1</v>
      </c>
      <c r="S346" s="24" t="str">
        <f t="shared" ref="S346:U346" si="350">IF(E346&lt;&gt;"","Yes","")</f>
        <v>Yes</v>
      </c>
      <c r="T346" s="24" t="str">
        <f t="shared" si="350"/>
        <v>Yes</v>
      </c>
      <c r="U346" s="24" t="str">
        <f t="shared" si="350"/>
        <v>Yes</v>
      </c>
      <c r="V346" s="24" t="str">
        <f t="shared" si="3"/>
        <v/>
      </c>
      <c r="W346" s="14" t="str">
        <f t="shared" si="4"/>
        <v/>
      </c>
    </row>
    <row r="347" ht="14.25" customHeight="1">
      <c r="A347" s="18">
        <f>HYPERLINK("https://app.hubspot.com/contacts/8748051/record/0-1/72657973359", 72657973359)</f>
        <v>72657973359</v>
      </c>
      <c r="B347" s="14" t="s">
        <v>3920</v>
      </c>
      <c r="C347" s="16">
        <v>45593.04769675926</v>
      </c>
      <c r="D347" s="14"/>
      <c r="E347" s="32">
        <v>45593.0</v>
      </c>
      <c r="F347" s="32"/>
      <c r="G347" s="32"/>
      <c r="H347" s="24"/>
      <c r="I347" s="14"/>
      <c r="J347" s="14"/>
      <c r="K347" s="18">
        <f>HYPERLINK("https://app.hubspot.com/contacts/8748051/record/0-2/25166873715", 25166873715)</f>
        <v>25166873715</v>
      </c>
      <c r="L347" s="14" t="s">
        <v>3921</v>
      </c>
      <c r="M347" s="18" t="s">
        <v>3922</v>
      </c>
      <c r="N347" s="24"/>
      <c r="O347" s="14"/>
      <c r="P347" s="14"/>
      <c r="Q347" s="14"/>
      <c r="R347" s="14"/>
      <c r="S347" s="24" t="str">
        <f t="shared" ref="S347:U347" si="351">IF(E347&lt;&gt;"","Yes","")</f>
        <v>Yes</v>
      </c>
      <c r="T347" s="24" t="str">
        <f t="shared" si="351"/>
        <v/>
      </c>
      <c r="U347" s="24" t="str">
        <f t="shared" si="351"/>
        <v/>
      </c>
      <c r="V347" s="24" t="str">
        <f t="shared" si="3"/>
        <v/>
      </c>
      <c r="W347" s="14" t="str">
        <f t="shared" si="4"/>
        <v/>
      </c>
    </row>
    <row r="348" ht="14.25" customHeight="1">
      <c r="A348" s="18">
        <f>HYPERLINK("https://app.hubspot.com/contacts/8748051/record/0-1/70425213954", 70425213954)</f>
        <v>70425213954</v>
      </c>
      <c r="B348" s="14" t="s">
        <v>3923</v>
      </c>
      <c r="C348" s="16">
        <v>45587.00848379629</v>
      </c>
      <c r="D348" s="14"/>
      <c r="E348" s="32">
        <v>45587.0</v>
      </c>
      <c r="F348" s="32">
        <v>45588.0</v>
      </c>
      <c r="G348" s="32">
        <v>45597.0</v>
      </c>
      <c r="H348" s="24"/>
      <c r="I348" s="24"/>
      <c r="J348" s="24"/>
      <c r="K348" s="18">
        <f>HYPERLINK("https://app.hubspot.com/contacts/8748051/record/0-2/8601300377", 8601300377)</f>
        <v>8601300377</v>
      </c>
      <c r="L348" s="14" t="s">
        <v>1204</v>
      </c>
      <c r="M348" s="18" t="s">
        <v>1205</v>
      </c>
      <c r="N348" s="23">
        <f>HYPERLINK("https://app.hubspot.com/contacts/8748051/record/0-3/28468857859", 28468857859)</f>
        <v>28468857859</v>
      </c>
      <c r="O348" s="14" t="s">
        <v>1442</v>
      </c>
      <c r="P348" s="14" t="s">
        <v>89</v>
      </c>
      <c r="Q348" s="14">
        <v>24816.0</v>
      </c>
      <c r="R348" s="14" t="b">
        <v>1</v>
      </c>
      <c r="S348" s="24" t="str">
        <f t="shared" ref="S348:U348" si="352">IF(E348&lt;&gt;"","Yes","")</f>
        <v>Yes</v>
      </c>
      <c r="T348" s="24" t="str">
        <f t="shared" si="352"/>
        <v>Yes</v>
      </c>
      <c r="U348" s="24" t="str">
        <f t="shared" si="352"/>
        <v>Yes</v>
      </c>
      <c r="V348" s="24" t="str">
        <f t="shared" si="3"/>
        <v>Yes</v>
      </c>
      <c r="W348" s="14" t="str">
        <f t="shared" si="4"/>
        <v/>
      </c>
    </row>
    <row r="349" ht="14.25" customHeight="1">
      <c r="A349" s="18">
        <f>HYPERLINK("https://app.hubspot.com/contacts/8748051/record/0-1/68154273367", 68154273367)</f>
        <v>68154273367</v>
      </c>
      <c r="B349" s="14" t="s">
        <v>3924</v>
      </c>
      <c r="C349" s="16">
        <v>45581.04609953704</v>
      </c>
      <c r="D349" s="14"/>
      <c r="E349" s="32">
        <v>45582.0</v>
      </c>
      <c r="F349" s="32"/>
      <c r="G349" s="32"/>
      <c r="H349" s="14"/>
      <c r="I349" s="14"/>
      <c r="J349" s="14"/>
      <c r="K349" s="18">
        <f>HYPERLINK("https://app.hubspot.com/contacts/8748051/record/0-2/23857518950", 23857518950)</f>
        <v>23857518950</v>
      </c>
      <c r="L349" s="14" t="s">
        <v>3925</v>
      </c>
      <c r="M349" s="14" t="s">
        <v>3925</v>
      </c>
      <c r="N349" s="14"/>
      <c r="O349" s="14"/>
      <c r="P349" s="14"/>
      <c r="Q349" s="14"/>
      <c r="R349" s="14"/>
      <c r="S349" s="24" t="str">
        <f t="shared" ref="S349:U349" si="353">IF(E349&lt;&gt;"","Yes","")</f>
        <v>Yes</v>
      </c>
      <c r="T349" s="24" t="str">
        <f t="shared" si="353"/>
        <v/>
      </c>
      <c r="U349" s="24" t="str">
        <f t="shared" si="353"/>
        <v/>
      </c>
      <c r="V349" s="24" t="str">
        <f t="shared" si="3"/>
        <v/>
      </c>
      <c r="W349" s="14" t="str">
        <f t="shared" si="4"/>
        <v/>
      </c>
    </row>
    <row r="350" ht="14.25" customHeight="1">
      <c r="A350" s="18">
        <f>HYPERLINK("https://app.hubspot.com/contacts/8748051/record/0-1/67144164766", 67144164766)</f>
        <v>67144164766</v>
      </c>
      <c r="B350" s="14" t="s">
        <v>3926</v>
      </c>
      <c r="C350" s="16">
        <v>45578.53320601852</v>
      </c>
      <c r="D350" s="16"/>
      <c r="E350" s="32">
        <v>45578.0</v>
      </c>
      <c r="F350" s="32">
        <v>45579.0</v>
      </c>
      <c r="G350" s="32">
        <v>45579.0</v>
      </c>
      <c r="H350" s="14"/>
      <c r="I350" s="14"/>
      <c r="J350" s="14"/>
      <c r="K350" s="18">
        <f>HYPERLINK("https://app.hubspot.com/contacts/8748051/record/0-2/23793942304", 23793942304)</f>
        <v>23793942304</v>
      </c>
      <c r="L350" s="14" t="s">
        <v>3927</v>
      </c>
      <c r="M350" s="18" t="s">
        <v>3928</v>
      </c>
      <c r="N350" s="14"/>
      <c r="O350" s="14"/>
      <c r="P350" s="14"/>
      <c r="Q350" s="14"/>
      <c r="R350" s="14"/>
      <c r="S350" s="24" t="str">
        <f t="shared" ref="S350:U350" si="354">IF(E350&lt;&gt;"","Yes","")</f>
        <v>Yes</v>
      </c>
      <c r="T350" s="24" t="str">
        <f t="shared" si="354"/>
        <v>Yes</v>
      </c>
      <c r="U350" s="24" t="str">
        <f t="shared" si="354"/>
        <v>Yes</v>
      </c>
      <c r="V350" s="24" t="str">
        <f t="shared" si="3"/>
        <v/>
      </c>
      <c r="W350" s="14" t="str">
        <f t="shared" si="4"/>
        <v/>
      </c>
    </row>
    <row r="351" ht="14.25" customHeight="1">
      <c r="A351" s="18">
        <f>HYPERLINK("https://app.hubspot.com/contacts/8748051/record/0-1/63219771809", 63219771809)</f>
        <v>63219771809</v>
      </c>
      <c r="B351" s="14" t="s">
        <v>3929</v>
      </c>
      <c r="C351" s="16">
        <v>45565.38377314815</v>
      </c>
      <c r="D351" s="14"/>
      <c r="E351" s="32">
        <v>45595.0</v>
      </c>
      <c r="F351" s="32">
        <v>45566.0</v>
      </c>
      <c r="G351" s="32"/>
      <c r="H351" s="14"/>
      <c r="I351" s="14"/>
      <c r="J351" s="14"/>
      <c r="K351" s="18">
        <f>HYPERLINK("https://app.hubspot.com/contacts/8748051/record/0-2/15823033951", 15823033951)</f>
        <v>15823033951</v>
      </c>
      <c r="L351" s="14" t="s">
        <v>581</v>
      </c>
      <c r="M351" s="18" t="s">
        <v>582</v>
      </c>
      <c r="N351" s="14"/>
      <c r="O351" s="14"/>
      <c r="P351" s="14"/>
      <c r="Q351" s="14"/>
      <c r="R351" s="14"/>
      <c r="S351" s="24" t="str">
        <f t="shared" ref="S351:U351" si="355">IF(E351&lt;&gt;"","Yes","")</f>
        <v>Yes</v>
      </c>
      <c r="T351" s="24" t="str">
        <f t="shared" si="355"/>
        <v>Yes</v>
      </c>
      <c r="U351" s="24" t="str">
        <f t="shared" si="355"/>
        <v/>
      </c>
      <c r="V351" s="24" t="str">
        <f t="shared" si="3"/>
        <v/>
      </c>
      <c r="W351" s="14" t="str">
        <f t="shared" si="4"/>
        <v/>
      </c>
    </row>
    <row r="352" ht="14.25" customHeight="1">
      <c r="A352" s="18">
        <f>HYPERLINK("https://app.hubspot.com/contacts/8748051/record/0-1/63009714494", 63009714494)</f>
        <v>63009714494</v>
      </c>
      <c r="B352" s="14" t="s">
        <v>3930</v>
      </c>
      <c r="C352" s="16">
        <v>45564.571018518516</v>
      </c>
      <c r="D352" s="14"/>
      <c r="E352" s="32">
        <v>45565.0</v>
      </c>
      <c r="F352" s="32"/>
      <c r="G352" s="32"/>
      <c r="H352" s="24"/>
      <c r="I352" s="14"/>
      <c r="J352" s="14"/>
      <c r="K352" s="18">
        <f>HYPERLINK("https://app.hubspot.com/contacts/8748051/record/0-2/8995666011", 8995666011)</f>
        <v>8995666011</v>
      </c>
      <c r="L352" s="14" t="s">
        <v>3931</v>
      </c>
      <c r="M352" s="18" t="s">
        <v>3932</v>
      </c>
      <c r="N352" s="24"/>
      <c r="O352" s="14"/>
      <c r="P352" s="14"/>
      <c r="Q352" s="14"/>
      <c r="R352" s="14"/>
      <c r="S352" s="24" t="str">
        <f t="shared" ref="S352:U352" si="356">IF(E352&lt;&gt;"","Yes","")</f>
        <v>Yes</v>
      </c>
      <c r="T352" s="24" t="str">
        <f t="shared" si="356"/>
        <v/>
      </c>
      <c r="U352" s="24" t="str">
        <f t="shared" si="356"/>
        <v/>
      </c>
      <c r="V352" s="24" t="str">
        <f t="shared" si="3"/>
        <v/>
      </c>
      <c r="W352" s="14" t="str">
        <f t="shared" si="4"/>
        <v/>
      </c>
    </row>
    <row r="353" ht="14.25" customHeight="1">
      <c r="A353" s="18">
        <f>HYPERLINK("https://app.hubspot.com/contacts/8748051/record/0-1/61125743173", 61125743173)</f>
        <v>61125743173</v>
      </c>
      <c r="B353" s="14" t="s">
        <v>3933</v>
      </c>
      <c r="C353" s="16">
        <v>45558.74209490741</v>
      </c>
      <c r="D353" s="16"/>
      <c r="E353" s="32">
        <v>45559.0</v>
      </c>
      <c r="F353" s="32">
        <v>45559.0</v>
      </c>
      <c r="G353" s="32"/>
      <c r="H353" s="14"/>
      <c r="I353" s="14"/>
      <c r="J353" s="14"/>
      <c r="K353" s="18">
        <f>HYPERLINK("https://app.hubspot.com/contacts/8748051/record/0-2/23223236231", 23223236231)</f>
        <v>23223236231</v>
      </c>
      <c r="L353" s="14" t="s">
        <v>3934</v>
      </c>
      <c r="M353" s="18" t="s">
        <v>3935</v>
      </c>
      <c r="N353" s="14"/>
      <c r="O353" s="14"/>
      <c r="P353" s="14"/>
      <c r="Q353" s="14"/>
      <c r="R353" s="14"/>
      <c r="S353" s="24" t="str">
        <f t="shared" ref="S353:U353" si="357">IF(E353&lt;&gt;"","Yes","")</f>
        <v>Yes</v>
      </c>
      <c r="T353" s="24" t="str">
        <f t="shared" si="357"/>
        <v>Yes</v>
      </c>
      <c r="U353" s="24" t="str">
        <f t="shared" si="357"/>
        <v/>
      </c>
      <c r="V353" s="24" t="str">
        <f t="shared" si="3"/>
        <v/>
      </c>
      <c r="W353" s="14" t="str">
        <f t="shared" si="4"/>
        <v/>
      </c>
    </row>
    <row r="354" ht="14.25" customHeight="1">
      <c r="A354" s="18">
        <f>HYPERLINK("https://app.hubspot.com/contacts/8748051/record/0-1/60807418207", 60807418207)</f>
        <v>60807418207</v>
      </c>
      <c r="B354" s="14" t="s">
        <v>3936</v>
      </c>
      <c r="C354" s="16">
        <v>45557.68952546296</v>
      </c>
      <c r="D354" s="14"/>
      <c r="E354" s="32">
        <v>45558.0</v>
      </c>
      <c r="F354" s="32"/>
      <c r="G354" s="32"/>
      <c r="H354" s="24"/>
      <c r="I354" s="14"/>
      <c r="J354" s="24"/>
      <c r="K354" s="18">
        <f>HYPERLINK("https://app.hubspot.com/contacts/8748051/record/0-2/23183201599", 23183201599)</f>
        <v>23183201599</v>
      </c>
      <c r="L354" s="14" t="s">
        <v>3937</v>
      </c>
      <c r="M354" s="18" t="s">
        <v>3938</v>
      </c>
      <c r="N354" s="14"/>
      <c r="O354" s="14"/>
      <c r="P354" s="14"/>
      <c r="Q354" s="14"/>
      <c r="R354" s="14"/>
      <c r="S354" s="24" t="str">
        <f t="shared" ref="S354:U354" si="358">IF(E354&lt;&gt;"","Yes","")</f>
        <v>Yes</v>
      </c>
      <c r="T354" s="24" t="str">
        <f t="shared" si="358"/>
        <v/>
      </c>
      <c r="U354" s="24" t="str">
        <f t="shared" si="358"/>
        <v/>
      </c>
      <c r="V354" s="24" t="str">
        <f t="shared" si="3"/>
        <v/>
      </c>
      <c r="W354" s="14" t="str">
        <f t="shared" si="4"/>
        <v/>
      </c>
    </row>
    <row r="355" ht="14.25" customHeight="1">
      <c r="A355" s="18">
        <f>HYPERLINK("https://app.hubspot.com/contacts/8748051/record/0-1/57280296077", 57280296077)</f>
        <v>57280296077</v>
      </c>
      <c r="B355" s="14" t="s">
        <v>3939</v>
      </c>
      <c r="C355" s="16">
        <v>45546.94516203704</v>
      </c>
      <c r="D355" s="14"/>
      <c r="E355" s="32">
        <v>45547.0</v>
      </c>
      <c r="F355" s="32"/>
      <c r="G355" s="32"/>
      <c r="H355" s="24"/>
      <c r="I355" s="14"/>
      <c r="J355" s="24"/>
      <c r="K355" s="18">
        <f>HYPERLINK("https://app.hubspot.com/contacts/8748051/record/0-2/22948883347", 22948883347)</f>
        <v>22948883347</v>
      </c>
      <c r="L355" s="14" t="s">
        <v>3940</v>
      </c>
      <c r="M355" s="18" t="s">
        <v>3941</v>
      </c>
      <c r="N355" s="24"/>
      <c r="O355" s="14"/>
      <c r="P355" s="14"/>
      <c r="Q355" s="14"/>
      <c r="R355" s="14"/>
      <c r="S355" s="24" t="str">
        <f t="shared" ref="S355:U355" si="359">IF(E355&lt;&gt;"","Yes","")</f>
        <v>Yes</v>
      </c>
      <c r="T355" s="24" t="str">
        <f t="shared" si="359"/>
        <v/>
      </c>
      <c r="U355" s="24" t="str">
        <f t="shared" si="359"/>
        <v/>
      </c>
      <c r="V355" s="24" t="str">
        <f t="shared" si="3"/>
        <v/>
      </c>
      <c r="W355" s="14" t="str">
        <f t="shared" si="4"/>
        <v/>
      </c>
    </row>
    <row r="356" ht="14.25" customHeight="1">
      <c r="A356" s="18">
        <f>HYPERLINK("https://app.hubspot.com/contacts/8748051/record/0-1/3335401", 3335401)</f>
        <v>3335401</v>
      </c>
      <c r="B356" s="14" t="s">
        <v>3942</v>
      </c>
      <c r="C356" s="16">
        <v>45546.61298611111</v>
      </c>
      <c r="D356" s="14"/>
      <c r="E356" s="32">
        <v>45321.0</v>
      </c>
      <c r="F356" s="32">
        <v>45328.0</v>
      </c>
      <c r="G356" s="32">
        <v>45328.0</v>
      </c>
      <c r="H356" s="24"/>
      <c r="I356" s="24"/>
      <c r="J356" s="24"/>
      <c r="K356" s="18">
        <f>HYPERLINK("https://app.hubspot.com/contacts/8748051/record/0-2/9238240308", 9238240308)</f>
        <v>9238240308</v>
      </c>
      <c r="L356" s="14" t="s">
        <v>1495</v>
      </c>
      <c r="M356" s="18" t="s">
        <v>1496</v>
      </c>
      <c r="N356" s="23">
        <f>HYPERLINK("https://app.hubspot.com/contacts/8748051/record/0-3/17364383056", 17364383056)</f>
        <v>17364383056</v>
      </c>
      <c r="O356" s="14" t="s">
        <v>2248</v>
      </c>
      <c r="P356" s="14" t="s">
        <v>118</v>
      </c>
      <c r="Q356" s="14">
        <v>11040.0</v>
      </c>
      <c r="R356" s="14"/>
      <c r="S356" s="24" t="str">
        <f t="shared" ref="S356:U356" si="360">IF(E356&lt;&gt;"","Yes","")</f>
        <v>Yes</v>
      </c>
      <c r="T356" s="24" t="str">
        <f t="shared" si="360"/>
        <v>Yes</v>
      </c>
      <c r="U356" s="24" t="str">
        <f t="shared" si="360"/>
        <v>Yes</v>
      </c>
      <c r="V356" s="24" t="str">
        <f t="shared" si="3"/>
        <v/>
      </c>
      <c r="W356" s="14" t="str">
        <f t="shared" si="4"/>
        <v/>
      </c>
    </row>
    <row r="357" ht="14.25" customHeight="1">
      <c r="A357" s="18">
        <f>HYPERLINK("https://app.hubspot.com/contacts/8748051/record/0-1/1700552", 1700552)</f>
        <v>1700552</v>
      </c>
      <c r="B357" s="14" t="s">
        <v>3943</v>
      </c>
      <c r="C357" s="16">
        <v>45540.73900462963</v>
      </c>
      <c r="D357" s="14"/>
      <c r="E357" s="32">
        <v>45541.0</v>
      </c>
      <c r="F357" s="32">
        <v>45544.0</v>
      </c>
      <c r="G357" s="32">
        <v>45544.0</v>
      </c>
      <c r="H357" s="14"/>
      <c r="I357" s="14"/>
      <c r="J357" s="14"/>
      <c r="K357" s="18">
        <f>HYPERLINK("https://app.hubspot.com/contacts/8748051/record/0-2/8051981464", 8051981464)</f>
        <v>8051981464</v>
      </c>
      <c r="L357" s="14" t="s">
        <v>1502</v>
      </c>
      <c r="M357" s="18" t="s">
        <v>1503</v>
      </c>
      <c r="N357" s="18">
        <f>HYPERLINK("https://app.hubspot.com/contacts/8748051/record/0-3/16508412252", 16508412252)</f>
        <v>16508412252</v>
      </c>
      <c r="O357" s="14" t="s">
        <v>2414</v>
      </c>
      <c r="P357" s="14" t="s">
        <v>118</v>
      </c>
      <c r="Q357" s="14">
        <v>38000.0</v>
      </c>
      <c r="R357" s="14"/>
      <c r="S357" s="24" t="str">
        <f t="shared" ref="S357:U357" si="361">IF(E357&lt;&gt;"","Yes","")</f>
        <v>Yes</v>
      </c>
      <c r="T357" s="24" t="str">
        <f t="shared" si="361"/>
        <v>Yes</v>
      </c>
      <c r="U357" s="24" t="str">
        <f t="shared" si="361"/>
        <v>Yes</v>
      </c>
      <c r="V357" s="24" t="str">
        <f t="shared" si="3"/>
        <v/>
      </c>
      <c r="W357" s="14" t="str">
        <f t="shared" si="4"/>
        <v/>
      </c>
    </row>
    <row r="358" ht="14.25" customHeight="1">
      <c r="A358" s="18">
        <f>HYPERLINK("https://app.hubspot.com/contacts/8748051/record/0-1/54528787888", 54528787888)</f>
        <v>54528787888</v>
      </c>
      <c r="B358" s="14" t="s">
        <v>3944</v>
      </c>
      <c r="C358" s="16">
        <v>45538.645</v>
      </c>
      <c r="D358" s="14"/>
      <c r="E358" s="32">
        <v>45539.0</v>
      </c>
      <c r="F358" s="32">
        <v>45546.0</v>
      </c>
      <c r="G358" s="32"/>
      <c r="H358" s="24"/>
      <c r="I358" s="24"/>
      <c r="J358" s="24"/>
      <c r="K358" s="18">
        <f>HYPERLINK("https://app.hubspot.com/contacts/8748051/record/0-2/22740307127", 22740307127)</f>
        <v>22740307127</v>
      </c>
      <c r="L358" s="14" t="s">
        <v>1505</v>
      </c>
      <c r="M358" s="18" t="s">
        <v>1506</v>
      </c>
      <c r="N358" s="18">
        <f>HYPERLINK("https://app.hubspot.com/contacts/8748051/record/0-3/21930764698", 21930764698)</f>
        <v>21930764698</v>
      </c>
      <c r="O358" s="14" t="s">
        <v>1504</v>
      </c>
      <c r="P358" s="14" t="s">
        <v>118</v>
      </c>
      <c r="Q358" s="14">
        <v>3000.0</v>
      </c>
      <c r="R358" s="14"/>
      <c r="S358" s="24" t="str">
        <f t="shared" ref="S358:U358" si="362">IF(E358&lt;&gt;"","Yes","")</f>
        <v>Yes</v>
      </c>
      <c r="T358" s="24" t="str">
        <f t="shared" si="362"/>
        <v>Yes</v>
      </c>
      <c r="U358" s="24" t="str">
        <f t="shared" si="362"/>
        <v/>
      </c>
      <c r="V358" s="24" t="str">
        <f t="shared" si="3"/>
        <v/>
      </c>
      <c r="W358" s="14" t="str">
        <f t="shared" si="4"/>
        <v/>
      </c>
    </row>
    <row r="359" ht="14.25" customHeight="1">
      <c r="A359" s="18">
        <f>HYPERLINK("https://app.hubspot.com/contacts/8748051/record/0-1/158296840106", 158296840106)</f>
        <v>158296840106</v>
      </c>
      <c r="B359" s="14" t="s">
        <v>3945</v>
      </c>
      <c r="C359" s="16">
        <v>45537.515439814815</v>
      </c>
      <c r="D359" s="14"/>
      <c r="E359" s="32">
        <v>45538.0</v>
      </c>
      <c r="F359" s="32">
        <v>45544.0</v>
      </c>
      <c r="G359" s="32">
        <v>45544.0</v>
      </c>
      <c r="H359" s="24"/>
      <c r="I359" s="14"/>
      <c r="J359" s="14"/>
      <c r="K359" s="18">
        <f>HYPERLINK("https://app.hubspot.com/contacts/8748051/record/0-2/9238340021", 9238340021)</f>
        <v>9238340021</v>
      </c>
      <c r="L359" s="18" t="s">
        <v>1511</v>
      </c>
      <c r="M359" s="18" t="s">
        <v>1512</v>
      </c>
      <c r="N359" s="23">
        <f>HYPERLINK("https://app.hubspot.com/contacts/8748051/record/0-3/21885759058", 21885759058)</f>
        <v>21885759058</v>
      </c>
      <c r="O359" s="14" t="s">
        <v>1510</v>
      </c>
      <c r="P359" s="14" t="s">
        <v>124</v>
      </c>
      <c r="Q359" s="14">
        <v>190000.0</v>
      </c>
      <c r="R359" s="14" t="b">
        <v>1</v>
      </c>
      <c r="S359" s="24" t="str">
        <f t="shared" ref="S359:U359" si="363">IF(E359&lt;&gt;"","Yes","")</f>
        <v>Yes</v>
      </c>
      <c r="T359" s="24" t="str">
        <f t="shared" si="363"/>
        <v>Yes</v>
      </c>
      <c r="U359" s="24" t="str">
        <f t="shared" si="363"/>
        <v>Yes</v>
      </c>
      <c r="V359" s="24" t="str">
        <f t="shared" si="3"/>
        <v/>
      </c>
      <c r="W359" s="14" t="str">
        <f t="shared" si="4"/>
        <v/>
      </c>
    </row>
    <row r="360" ht="14.25" customHeight="1">
      <c r="A360" s="18">
        <f>HYPERLINK("https://app.hubspot.com/contacts/8748051/record/0-1/54027563391", 54027563391)</f>
        <v>54027563391</v>
      </c>
      <c r="B360" s="14" t="s">
        <v>3946</v>
      </c>
      <c r="C360" s="16">
        <v>45537.09017361111</v>
      </c>
      <c r="D360" s="14"/>
      <c r="E360" s="32">
        <v>45537.0</v>
      </c>
      <c r="F360" s="32">
        <v>45538.0</v>
      </c>
      <c r="G360" s="32">
        <v>45538.0</v>
      </c>
      <c r="H360" s="14"/>
      <c r="I360" s="14"/>
      <c r="J360" s="24"/>
      <c r="K360" s="18">
        <f>HYPERLINK("https://app.hubspot.com/contacts/8748051/record/0-2/22723795738", 22723795738)</f>
        <v>22723795738</v>
      </c>
      <c r="L360" s="14" t="s">
        <v>3947</v>
      </c>
      <c r="M360" s="18" t="s">
        <v>3948</v>
      </c>
      <c r="N360" s="24"/>
      <c r="O360" s="14"/>
      <c r="P360" s="14"/>
      <c r="Q360" s="14"/>
      <c r="R360" s="14"/>
      <c r="S360" s="24" t="str">
        <f t="shared" ref="S360:U360" si="364">IF(E360&lt;&gt;"","Yes","")</f>
        <v>Yes</v>
      </c>
      <c r="T360" s="24" t="str">
        <f t="shared" si="364"/>
        <v>Yes</v>
      </c>
      <c r="U360" s="24" t="str">
        <f t="shared" si="364"/>
        <v>Yes</v>
      </c>
      <c r="V360" s="24" t="str">
        <f t="shared" si="3"/>
        <v/>
      </c>
      <c r="W360" s="14" t="str">
        <f t="shared" si="4"/>
        <v/>
      </c>
    </row>
    <row r="361" ht="14.25" customHeight="1">
      <c r="A361" s="18">
        <f>HYPERLINK("https://app.hubspot.com/contacts/8748051/record/0-1/52305471908", 52305471908)</f>
        <v>52305471908</v>
      </c>
      <c r="B361" s="14" t="s">
        <v>3949</v>
      </c>
      <c r="C361" s="16">
        <v>45531.523564814815</v>
      </c>
      <c r="D361" s="14" t="s">
        <v>3950</v>
      </c>
      <c r="E361" s="32"/>
      <c r="F361" s="32"/>
      <c r="G361" s="32"/>
      <c r="H361" s="14"/>
      <c r="I361" s="14"/>
      <c r="J361" s="14"/>
      <c r="K361" s="18">
        <f>HYPERLINK("https://app.hubspot.com/contacts/8748051/record/0-2/22639691124", 22639691124)</f>
        <v>22639691124</v>
      </c>
      <c r="L361" s="18" t="s">
        <v>3951</v>
      </c>
      <c r="M361" s="18" t="s">
        <v>3951</v>
      </c>
      <c r="N361" s="14"/>
      <c r="O361" s="14"/>
      <c r="P361" s="14"/>
      <c r="Q361" s="14"/>
      <c r="R361" s="14"/>
      <c r="S361" s="24" t="str">
        <f t="shared" ref="S361:U361" si="365">IF(E361&lt;&gt;"","Yes","")</f>
        <v/>
      </c>
      <c r="T361" s="24" t="str">
        <f t="shared" si="365"/>
        <v/>
      </c>
      <c r="U361" s="24" t="str">
        <f t="shared" si="365"/>
        <v/>
      </c>
      <c r="V361" s="24" t="str">
        <f t="shared" si="3"/>
        <v/>
      </c>
      <c r="W361" s="14" t="str">
        <f t="shared" si="4"/>
        <v/>
      </c>
    </row>
    <row r="362" ht="14.25" customHeight="1">
      <c r="A362" s="18">
        <f>HYPERLINK("https://app.hubspot.com/contacts/8748051/record/0-1/51099565171", 51099565171)</f>
        <v>51099565171</v>
      </c>
      <c r="B362" s="14" t="s">
        <v>3952</v>
      </c>
      <c r="C362" s="16">
        <v>45527.40855324074</v>
      </c>
      <c r="D362" s="14" t="s">
        <v>3953</v>
      </c>
      <c r="E362" s="32"/>
      <c r="F362" s="32"/>
      <c r="G362" s="32"/>
      <c r="H362" s="24"/>
      <c r="I362" s="14"/>
      <c r="J362" s="24"/>
      <c r="K362" s="18">
        <f>HYPERLINK("https://app.hubspot.com/contacts/8748051/record/0-2/22573931703", 22573931703)</f>
        <v>22573931703</v>
      </c>
      <c r="L362" s="14"/>
      <c r="M362" s="18" t="s">
        <v>3954</v>
      </c>
      <c r="N362" s="24"/>
      <c r="O362" s="14"/>
      <c r="P362" s="14"/>
      <c r="Q362" s="14"/>
      <c r="R362" s="14"/>
      <c r="S362" s="24" t="str">
        <f t="shared" ref="S362:U362" si="366">IF(E362&lt;&gt;"","Yes","")</f>
        <v/>
      </c>
      <c r="T362" s="24" t="str">
        <f t="shared" si="366"/>
        <v/>
      </c>
      <c r="U362" s="24" t="str">
        <f t="shared" si="366"/>
        <v/>
      </c>
      <c r="V362" s="24" t="str">
        <f t="shared" si="3"/>
        <v/>
      </c>
      <c r="W362" s="14" t="str">
        <f t="shared" si="4"/>
        <v/>
      </c>
    </row>
    <row r="363" ht="14.25" customHeight="1">
      <c r="A363" s="18">
        <f>HYPERLINK("https://app.hubspot.com/contacts/8748051/record/0-1/46615092778", 46615092778)</f>
        <v>46615092778</v>
      </c>
      <c r="B363" s="14" t="s">
        <v>3955</v>
      </c>
      <c r="C363" s="16">
        <v>45527.14100694445</v>
      </c>
      <c r="D363" s="14"/>
      <c r="E363" s="32">
        <v>45527.0</v>
      </c>
      <c r="F363" s="32">
        <v>45530.0</v>
      </c>
      <c r="G363" s="32">
        <v>45539.0</v>
      </c>
      <c r="H363" s="14"/>
      <c r="I363" s="14"/>
      <c r="J363" s="14"/>
      <c r="K363" s="18">
        <f>HYPERLINK("https://app.hubspot.com/contacts/8748051/record/0-2/8872992577", 8872992577)</f>
        <v>8872992577</v>
      </c>
      <c r="L363" s="14" t="s">
        <v>1508</v>
      </c>
      <c r="M363" s="18" t="s">
        <v>1509</v>
      </c>
      <c r="N363" s="18">
        <f>HYPERLINK("https://app.hubspot.com/contacts/8748051/record/0-3/21923430176", 21923430176)</f>
        <v>21923430176</v>
      </c>
      <c r="O363" s="14" t="s">
        <v>1507</v>
      </c>
      <c r="P363" s="14" t="s">
        <v>124</v>
      </c>
      <c r="Q363" s="14">
        <v>22500.0</v>
      </c>
      <c r="R363" s="14" t="b">
        <v>1</v>
      </c>
      <c r="S363" s="24" t="str">
        <f t="shared" ref="S363:U363" si="367">IF(E363&lt;&gt;"","Yes","")</f>
        <v>Yes</v>
      </c>
      <c r="T363" s="24" t="str">
        <f t="shared" si="367"/>
        <v>Yes</v>
      </c>
      <c r="U363" s="24" t="str">
        <f t="shared" si="367"/>
        <v>Yes</v>
      </c>
      <c r="V363" s="24" t="str">
        <f t="shared" si="3"/>
        <v/>
      </c>
      <c r="W363" s="14" t="str">
        <f t="shared" si="4"/>
        <v/>
      </c>
    </row>
    <row r="364" ht="14.25" customHeight="1">
      <c r="A364" s="18">
        <f>HYPERLINK("https://app.hubspot.com/contacts/8748051/record/0-1/45942052099", 45942052099)</f>
        <v>45942052099</v>
      </c>
      <c r="B364" s="14" t="s">
        <v>3956</v>
      </c>
      <c r="C364" s="16">
        <v>45509.96140046296</v>
      </c>
      <c r="D364" s="14" t="s">
        <v>3957</v>
      </c>
      <c r="E364" s="32"/>
      <c r="F364" s="32"/>
      <c r="G364" s="32"/>
      <c r="H364" s="14"/>
      <c r="I364" s="14"/>
      <c r="J364" s="14"/>
      <c r="K364" s="18">
        <f>HYPERLINK("https://app.hubspot.com/contacts/8748051/record/0-2/22252567429", 22252567429)</f>
        <v>22252567429</v>
      </c>
      <c r="L364" s="18" t="s">
        <v>3958</v>
      </c>
      <c r="M364" s="18" t="s">
        <v>3958</v>
      </c>
      <c r="N364" s="14"/>
      <c r="O364" s="14"/>
      <c r="P364" s="14"/>
      <c r="Q364" s="14"/>
      <c r="R364" s="14"/>
      <c r="S364" s="24" t="str">
        <f t="shared" ref="S364:U364" si="368">IF(E364&lt;&gt;"","Yes","")</f>
        <v/>
      </c>
      <c r="T364" s="24" t="str">
        <f t="shared" si="368"/>
        <v/>
      </c>
      <c r="U364" s="24" t="str">
        <f t="shared" si="368"/>
        <v/>
      </c>
      <c r="V364" s="24" t="str">
        <f t="shared" si="3"/>
        <v/>
      </c>
      <c r="W364" s="14" t="str">
        <f t="shared" si="4"/>
        <v/>
      </c>
    </row>
    <row r="365" ht="14.25" customHeight="1">
      <c r="A365" s="18">
        <f>HYPERLINK("https://app.hubspot.com/contacts/8748051/record/0-1/45750395190", 45750395190)</f>
        <v>45750395190</v>
      </c>
      <c r="B365" s="14" t="s">
        <v>3959</v>
      </c>
      <c r="C365" s="16">
        <v>45509.444189814814</v>
      </c>
      <c r="D365" s="14"/>
      <c r="E365" s="32">
        <v>45509.0</v>
      </c>
      <c r="F365" s="32">
        <v>45510.0</v>
      </c>
      <c r="G365" s="32">
        <v>45510.0</v>
      </c>
      <c r="H365" s="24"/>
      <c r="I365" s="14"/>
      <c r="J365" s="14"/>
      <c r="K365" s="18">
        <f>HYPERLINK("https://app.hubspot.com/contacts/8748051/record/0-2/8741219622", 8741219622)</f>
        <v>8741219622</v>
      </c>
      <c r="L365" s="14" t="s">
        <v>309</v>
      </c>
      <c r="M365" s="18" t="s">
        <v>310</v>
      </c>
      <c r="N365" s="23">
        <f>HYPERLINK("https://app.hubspot.com/contacts/8748051/record/0-3/21188021669", 21188021669)</f>
        <v>21188021669</v>
      </c>
      <c r="O365" s="14" t="s">
        <v>1535</v>
      </c>
      <c r="P365" s="14" t="s">
        <v>89</v>
      </c>
      <c r="Q365" s="14">
        <v>21000.0</v>
      </c>
      <c r="R365" s="14" t="b">
        <v>1</v>
      </c>
      <c r="S365" s="24" t="str">
        <f t="shared" ref="S365:U365" si="369">IF(E365&lt;&gt;"","Yes","")</f>
        <v>Yes</v>
      </c>
      <c r="T365" s="24" t="str">
        <f t="shared" si="369"/>
        <v>Yes</v>
      </c>
      <c r="U365" s="24" t="str">
        <f t="shared" si="369"/>
        <v>Yes</v>
      </c>
      <c r="V365" s="24" t="str">
        <f t="shared" si="3"/>
        <v>Yes</v>
      </c>
      <c r="W365" s="14" t="str">
        <f t="shared" si="4"/>
        <v/>
      </c>
    </row>
    <row r="366" ht="14.25" customHeight="1">
      <c r="A366" s="18">
        <f>HYPERLINK("https://app.hubspot.com/contacts/8748051/record/0-1/45648871428", 45648871428)</f>
        <v>45648871428</v>
      </c>
      <c r="B366" s="14" t="s">
        <v>3960</v>
      </c>
      <c r="C366" s="16">
        <v>45509.09898148148</v>
      </c>
      <c r="D366" s="14"/>
      <c r="E366" s="32">
        <v>45509.0</v>
      </c>
      <c r="F366" s="32"/>
      <c r="G366" s="32"/>
      <c r="H366" s="24"/>
      <c r="I366" s="14"/>
      <c r="J366" s="14"/>
      <c r="K366" s="18">
        <f>HYPERLINK("https://app.hubspot.com/contacts/8748051/record/0-2/22237390484", 22237390484)</f>
        <v>22237390484</v>
      </c>
      <c r="L366" s="14" t="s">
        <v>3961</v>
      </c>
      <c r="M366" s="18" t="s">
        <v>3962</v>
      </c>
      <c r="N366" s="14"/>
      <c r="O366" s="14"/>
      <c r="P366" s="14"/>
      <c r="Q366" s="14"/>
      <c r="R366" s="14"/>
      <c r="S366" s="24" t="str">
        <f t="shared" ref="S366:U366" si="370">IF(E366&lt;&gt;"","Yes","")</f>
        <v>Yes</v>
      </c>
      <c r="T366" s="24" t="str">
        <f t="shared" si="370"/>
        <v/>
      </c>
      <c r="U366" s="24" t="str">
        <f t="shared" si="370"/>
        <v/>
      </c>
      <c r="V366" s="24" t="str">
        <f t="shared" si="3"/>
        <v/>
      </c>
      <c r="W366" s="14" t="str">
        <f t="shared" si="4"/>
        <v/>
      </c>
    </row>
    <row r="367" ht="14.25" customHeight="1">
      <c r="A367" s="18">
        <f>HYPERLINK("https://app.hubspot.com/contacts/8748051/record/0-1/44710745269", 44710745269)</f>
        <v>44710745269</v>
      </c>
      <c r="B367" s="14" t="s">
        <v>3963</v>
      </c>
      <c r="C367" s="16">
        <v>45505.488958333335</v>
      </c>
      <c r="D367" s="14" t="s">
        <v>3964</v>
      </c>
      <c r="E367" s="32"/>
      <c r="F367" s="32"/>
      <c r="G367" s="32"/>
      <c r="H367" s="24"/>
      <c r="I367" s="14"/>
      <c r="J367" s="14"/>
      <c r="K367" s="18">
        <f>HYPERLINK("https://app.hubspot.com/contacts/8748051/record/0-2/22186281826", 22186281826)</f>
        <v>22186281826</v>
      </c>
      <c r="L367" s="14" t="s">
        <v>3965</v>
      </c>
      <c r="M367" s="18" t="s">
        <v>3966</v>
      </c>
      <c r="N367" s="14"/>
      <c r="O367" s="14"/>
      <c r="P367" s="14"/>
      <c r="Q367" s="14"/>
      <c r="R367" s="24"/>
      <c r="S367" s="24" t="str">
        <f t="shared" ref="S367:U367" si="371">IF(E367&lt;&gt;"","Yes","")</f>
        <v/>
      </c>
      <c r="T367" s="24" t="str">
        <f t="shared" si="371"/>
        <v/>
      </c>
      <c r="U367" s="24" t="str">
        <f t="shared" si="371"/>
        <v/>
      </c>
      <c r="V367" s="24" t="str">
        <f t="shared" si="3"/>
        <v/>
      </c>
      <c r="W367" s="14" t="str">
        <f t="shared" si="4"/>
        <v/>
      </c>
    </row>
    <row r="368" ht="14.25" customHeight="1">
      <c r="A368" s="18">
        <f>HYPERLINK("https://app.hubspot.com/contacts/8748051/record/0-1/44057321592", 44057321592)</f>
        <v>44057321592</v>
      </c>
      <c r="B368" s="14" t="s">
        <v>3967</v>
      </c>
      <c r="C368" s="16">
        <v>45503.63015046297</v>
      </c>
      <c r="D368" s="14"/>
      <c r="E368" s="32">
        <v>45506.0</v>
      </c>
      <c r="F368" s="32"/>
      <c r="G368" s="32"/>
      <c r="H368" s="24"/>
      <c r="I368" s="24"/>
      <c r="J368" s="24"/>
      <c r="K368" s="18">
        <f>HYPERLINK("https://app.hubspot.com/contacts/8748051/record/0-2/19176678430", 19176678430)</f>
        <v>19176678430</v>
      </c>
      <c r="L368" s="14" t="s">
        <v>3968</v>
      </c>
      <c r="M368" s="18" t="s">
        <v>3969</v>
      </c>
      <c r="N368" s="14"/>
      <c r="O368" s="14"/>
      <c r="P368" s="14"/>
      <c r="Q368" s="14"/>
      <c r="R368" s="14"/>
      <c r="S368" s="24" t="str">
        <f t="shared" ref="S368:U368" si="372">IF(E368&lt;&gt;"","Yes","")</f>
        <v>Yes</v>
      </c>
      <c r="T368" s="24" t="str">
        <f t="shared" si="372"/>
        <v/>
      </c>
      <c r="U368" s="24" t="str">
        <f t="shared" si="372"/>
        <v/>
      </c>
      <c r="V368" s="24" t="str">
        <f t="shared" si="3"/>
        <v/>
      </c>
      <c r="W368" s="14" t="str">
        <f t="shared" si="4"/>
        <v/>
      </c>
    </row>
    <row r="369" ht="14.25" customHeight="1">
      <c r="A369" s="18">
        <f>HYPERLINK("https://app.hubspot.com/contacts/8748051/record/0-1/41522854475", 41522854475)</f>
        <v>41522854475</v>
      </c>
      <c r="B369" s="14" t="s">
        <v>3970</v>
      </c>
      <c r="C369" s="16">
        <v>45496.24699074074</v>
      </c>
      <c r="D369" s="14" t="s">
        <v>3971</v>
      </c>
      <c r="E369" s="32"/>
      <c r="F369" s="32"/>
      <c r="G369" s="32"/>
      <c r="H369" s="24"/>
      <c r="I369" s="24"/>
      <c r="J369" s="24"/>
      <c r="K369" s="18">
        <f>HYPERLINK("https://app.hubspot.com/contacts/8748051/record/0-2/22022675354", 22022675354)</f>
        <v>22022675354</v>
      </c>
      <c r="L369" s="14" t="s">
        <v>3972</v>
      </c>
      <c r="M369" s="18" t="s">
        <v>3973</v>
      </c>
      <c r="N369" s="24"/>
      <c r="O369" s="14"/>
      <c r="P369" s="14"/>
      <c r="Q369" s="14"/>
      <c r="R369" s="14"/>
      <c r="S369" s="24" t="str">
        <f t="shared" ref="S369:U369" si="373">IF(E369&lt;&gt;"","Yes","")</f>
        <v/>
      </c>
      <c r="T369" s="24" t="str">
        <f t="shared" si="373"/>
        <v/>
      </c>
      <c r="U369" s="24" t="str">
        <f t="shared" si="373"/>
        <v/>
      </c>
      <c r="V369" s="24" t="str">
        <f t="shared" si="3"/>
        <v/>
      </c>
      <c r="W369" s="14" t="str">
        <f t="shared" si="4"/>
        <v/>
      </c>
    </row>
    <row r="370" ht="14.25" customHeight="1">
      <c r="A370" s="18">
        <f>HYPERLINK("https://app.hubspot.com/contacts/8748051/record/0-1/38609057842", 38609057842)</f>
        <v>38609057842</v>
      </c>
      <c r="B370" s="14" t="s">
        <v>3974</v>
      </c>
      <c r="C370" s="16">
        <v>45491.56842592593</v>
      </c>
      <c r="D370" s="14"/>
      <c r="E370" s="32">
        <v>45486.0</v>
      </c>
      <c r="F370" s="32"/>
      <c r="G370" s="32"/>
      <c r="H370" s="24"/>
      <c r="I370" s="14"/>
      <c r="J370" s="14"/>
      <c r="K370" s="18">
        <f>HYPERLINK("https://app.hubspot.com/contacts/8748051/record/0-2/21872354883", 21872354883)</f>
        <v>21872354883</v>
      </c>
      <c r="L370" s="14" t="s">
        <v>3975</v>
      </c>
      <c r="M370" s="18" t="s">
        <v>3976</v>
      </c>
      <c r="N370" s="14"/>
      <c r="O370" s="14"/>
      <c r="P370" s="14"/>
      <c r="Q370" s="14"/>
      <c r="R370" s="14"/>
      <c r="S370" s="24" t="str">
        <f t="shared" ref="S370:U370" si="374">IF(E370&lt;&gt;"","Yes","")</f>
        <v>Yes</v>
      </c>
      <c r="T370" s="24" t="str">
        <f t="shared" si="374"/>
        <v/>
      </c>
      <c r="U370" s="24" t="str">
        <f t="shared" si="374"/>
        <v/>
      </c>
      <c r="V370" s="24" t="str">
        <f t="shared" si="3"/>
        <v/>
      </c>
      <c r="W370" s="14" t="str">
        <f t="shared" si="4"/>
        <v/>
      </c>
    </row>
    <row r="371" ht="14.25" customHeight="1">
      <c r="A371" s="18">
        <f>HYPERLINK("https://app.hubspot.com/contacts/8748051/record/0-1/180991864190", 180991864190)</f>
        <v>180991864190</v>
      </c>
      <c r="B371" s="14" t="s">
        <v>3977</v>
      </c>
      <c r="C371" s="16">
        <v>45489.52847222222</v>
      </c>
      <c r="D371" s="14"/>
      <c r="E371" s="32">
        <v>45489.0</v>
      </c>
      <c r="F371" s="32">
        <v>45491.0</v>
      </c>
      <c r="G371" s="32">
        <v>45491.0</v>
      </c>
      <c r="H371" s="24"/>
      <c r="I371" s="14"/>
      <c r="J371" s="14"/>
      <c r="K371" s="18">
        <f>HYPERLINK("https://app.hubspot.com/contacts/8748051/record/0-2/21926460338", 21926460338)</f>
        <v>21926460338</v>
      </c>
      <c r="L371" s="14" t="s">
        <v>216</v>
      </c>
      <c r="M371" s="18" t="s">
        <v>217</v>
      </c>
      <c r="N371" s="23">
        <f>HYPERLINK("https://app.hubspot.com/contacts/8748051/record/0-3/20829052298", 20829052298)</f>
        <v>20829052298</v>
      </c>
      <c r="O371" s="14" t="s">
        <v>1548</v>
      </c>
      <c r="P371" s="14" t="s">
        <v>89</v>
      </c>
      <c r="Q371" s="14">
        <v>8500.0</v>
      </c>
      <c r="R371" s="14" t="b">
        <v>1</v>
      </c>
      <c r="S371" s="24" t="str">
        <f t="shared" ref="S371:U371" si="375">IF(E371&lt;&gt;"","Yes","")</f>
        <v>Yes</v>
      </c>
      <c r="T371" s="24" t="str">
        <f t="shared" si="375"/>
        <v>Yes</v>
      </c>
      <c r="U371" s="24" t="str">
        <f t="shared" si="375"/>
        <v>Yes</v>
      </c>
      <c r="V371" s="24" t="str">
        <f t="shared" si="3"/>
        <v>Yes</v>
      </c>
      <c r="W371" s="14" t="str">
        <f t="shared" si="4"/>
        <v/>
      </c>
    </row>
    <row r="372" ht="14.25" customHeight="1">
      <c r="A372" s="18">
        <f>HYPERLINK("https://app.hubspot.com/contacts/8748051/record/0-1/30809343519", 30809343519)</f>
        <v>30809343519</v>
      </c>
      <c r="B372" s="14" t="s">
        <v>3978</v>
      </c>
      <c r="C372" s="16">
        <v>45481.14027777778</v>
      </c>
      <c r="D372" s="14" t="s">
        <v>3979</v>
      </c>
      <c r="E372" s="32"/>
      <c r="F372" s="32"/>
      <c r="G372" s="32"/>
      <c r="H372" s="14"/>
      <c r="I372" s="14"/>
      <c r="J372" s="24"/>
      <c r="K372" s="18">
        <f>HYPERLINK("https://app.hubspot.com/contacts/8748051/record/0-2/21793253561", 21793253561)</f>
        <v>21793253561</v>
      </c>
      <c r="L372" s="18" t="s">
        <v>3980</v>
      </c>
      <c r="M372" s="18" t="s">
        <v>3981</v>
      </c>
      <c r="N372" s="14"/>
      <c r="O372" s="14"/>
      <c r="P372" s="14"/>
      <c r="Q372" s="14"/>
      <c r="R372" s="14"/>
      <c r="S372" s="24" t="str">
        <f t="shared" ref="S372:U372" si="376">IF(E372&lt;&gt;"","Yes","")</f>
        <v/>
      </c>
      <c r="T372" s="24" t="str">
        <f t="shared" si="376"/>
        <v/>
      </c>
      <c r="U372" s="24" t="str">
        <f t="shared" si="376"/>
        <v/>
      </c>
      <c r="V372" s="24" t="str">
        <f t="shared" si="3"/>
        <v/>
      </c>
      <c r="W372" s="14" t="str">
        <f t="shared" si="4"/>
        <v/>
      </c>
    </row>
    <row r="373" ht="14.25" customHeight="1">
      <c r="A373" s="18">
        <f>HYPERLINK("https://app.hubspot.com/contacts/8748051/record/0-1/36400709644", 36400709644)</f>
        <v>36400709644</v>
      </c>
      <c r="B373" s="14" t="s">
        <v>3982</v>
      </c>
      <c r="C373" s="16">
        <v>45478.471863425926</v>
      </c>
      <c r="D373" s="14"/>
      <c r="E373" s="32">
        <v>45481.0</v>
      </c>
      <c r="F373" s="32"/>
      <c r="G373" s="32"/>
      <c r="H373" s="14"/>
      <c r="I373" s="14"/>
      <c r="J373" s="14"/>
      <c r="K373" s="18">
        <f>HYPERLINK("https://app.hubspot.com/contacts/8748051/record/0-2/21758718374", 21758718374)</f>
        <v>21758718374</v>
      </c>
      <c r="L373" s="14" t="s">
        <v>3983</v>
      </c>
      <c r="M373" s="18" t="s">
        <v>3984</v>
      </c>
      <c r="N373" s="14"/>
      <c r="O373" s="14"/>
      <c r="P373" s="14"/>
      <c r="Q373" s="14"/>
      <c r="R373" s="14"/>
      <c r="S373" s="24" t="str">
        <f t="shared" ref="S373:U373" si="377">IF(E373&lt;&gt;"","Yes","")</f>
        <v>Yes</v>
      </c>
      <c r="T373" s="24" t="str">
        <f t="shared" si="377"/>
        <v/>
      </c>
      <c r="U373" s="24" t="str">
        <f t="shared" si="377"/>
        <v/>
      </c>
      <c r="V373" s="24" t="str">
        <f t="shared" si="3"/>
        <v/>
      </c>
      <c r="W373" s="14" t="str">
        <f t="shared" si="4"/>
        <v/>
      </c>
    </row>
    <row r="374" ht="14.25" customHeight="1">
      <c r="A374" s="18">
        <f>HYPERLINK("https://app.hubspot.com/contacts/8748051/record/0-1/36073220435", 36073220435)</f>
        <v>36073220435</v>
      </c>
      <c r="B374" s="14" t="s">
        <v>3985</v>
      </c>
      <c r="C374" s="16">
        <v>45477.295266203706</v>
      </c>
      <c r="D374" s="14"/>
      <c r="E374" s="32">
        <v>45477.0</v>
      </c>
      <c r="F374" s="32">
        <v>45478.0</v>
      </c>
      <c r="G374" s="32">
        <v>45478.0</v>
      </c>
      <c r="H374" s="24"/>
      <c r="I374" s="14"/>
      <c r="J374" s="14"/>
      <c r="K374" s="18">
        <f>HYPERLINK("https://app.hubspot.com/contacts/8748051/record/0-2/21741925895", 21741925895)</f>
        <v>21741925895</v>
      </c>
      <c r="L374" s="14" t="s">
        <v>1564</v>
      </c>
      <c r="M374" s="18" t="s">
        <v>1565</v>
      </c>
      <c r="N374" s="18">
        <f>HYPERLINK("https://app.hubspot.com/contacts/8748051/record/0-3/20604661097", 20604661097)</f>
        <v>20604661097</v>
      </c>
      <c r="O374" s="14" t="s">
        <v>1563</v>
      </c>
      <c r="P374" s="14" t="s">
        <v>118</v>
      </c>
      <c r="Q374" s="14">
        <v>25000.0</v>
      </c>
      <c r="R374" s="14"/>
      <c r="S374" s="24" t="str">
        <f t="shared" ref="S374:U374" si="378">IF(E374&lt;&gt;"","Yes","")</f>
        <v>Yes</v>
      </c>
      <c r="T374" s="24" t="str">
        <f t="shared" si="378"/>
        <v>Yes</v>
      </c>
      <c r="U374" s="24" t="str">
        <f t="shared" si="378"/>
        <v>Yes</v>
      </c>
      <c r="V374" s="24" t="str">
        <f t="shared" si="3"/>
        <v/>
      </c>
      <c r="W374" s="14" t="str">
        <f t="shared" si="4"/>
        <v/>
      </c>
    </row>
    <row r="375" ht="14.25" customHeight="1">
      <c r="A375" s="18">
        <f>HYPERLINK("https://app.hubspot.com/contacts/8748051/record/0-1/35496965042", 35496965042)</f>
        <v>35496965042</v>
      </c>
      <c r="B375" s="14" t="s">
        <v>3986</v>
      </c>
      <c r="C375" s="16">
        <v>45475.65420138889</v>
      </c>
      <c r="D375" s="14"/>
      <c r="E375" s="32">
        <v>45476.0</v>
      </c>
      <c r="F375" s="32">
        <v>45476.0</v>
      </c>
      <c r="G375" s="32">
        <v>45484.0</v>
      </c>
      <c r="H375" s="14"/>
      <c r="I375" s="14"/>
      <c r="J375" s="14"/>
      <c r="K375" s="18">
        <f>HYPERLINK("https://app.hubspot.com/contacts/8748051/record/0-2/21708541544", 21708541544)</f>
        <v>21708541544</v>
      </c>
      <c r="L375" s="14" t="s">
        <v>1555</v>
      </c>
      <c r="M375" s="18" t="s">
        <v>1556</v>
      </c>
      <c r="N375" s="23">
        <f>HYPERLINK("https://app.hubspot.com/contacts/8748051/record/0-3/20614218619", 20614218619)</f>
        <v>20614218619</v>
      </c>
      <c r="O375" s="14" t="s">
        <v>1554</v>
      </c>
      <c r="P375" s="14" t="s">
        <v>118</v>
      </c>
      <c r="Q375" s="14">
        <v>240.0</v>
      </c>
      <c r="R375" s="14"/>
      <c r="S375" s="24" t="str">
        <f t="shared" ref="S375:U375" si="379">IF(E375&lt;&gt;"","Yes","")</f>
        <v>Yes</v>
      </c>
      <c r="T375" s="24" t="str">
        <f t="shared" si="379"/>
        <v>Yes</v>
      </c>
      <c r="U375" s="24" t="str">
        <f t="shared" si="379"/>
        <v>Yes</v>
      </c>
      <c r="V375" s="24" t="str">
        <f t="shared" si="3"/>
        <v/>
      </c>
      <c r="W375" s="14" t="str">
        <f t="shared" si="4"/>
        <v/>
      </c>
    </row>
    <row r="376" ht="14.25" customHeight="1">
      <c r="A376" s="18">
        <f>HYPERLINK("https://app.hubspot.com/contacts/8748051/record/0-1/35041989756", 35041989756)</f>
        <v>35041989756</v>
      </c>
      <c r="B376" s="14" t="s">
        <v>3987</v>
      </c>
      <c r="C376" s="16">
        <v>45474.38738425926</v>
      </c>
      <c r="D376" s="14"/>
      <c r="E376" s="32">
        <v>45474.0</v>
      </c>
      <c r="F376" s="32"/>
      <c r="G376" s="32"/>
      <c r="H376" s="24"/>
      <c r="I376" s="14"/>
      <c r="J376" s="14"/>
      <c r="K376" s="18">
        <f>HYPERLINK("https://app.hubspot.com/contacts/8748051/record/0-2/21686214585", 21686214585)</f>
        <v>21686214585</v>
      </c>
      <c r="L376" s="14" t="s">
        <v>3988</v>
      </c>
      <c r="M376" s="18" t="s">
        <v>3989</v>
      </c>
      <c r="N376" s="14"/>
      <c r="O376" s="14"/>
      <c r="P376" s="14"/>
      <c r="Q376" s="14"/>
      <c r="R376" s="14"/>
      <c r="S376" s="24" t="str">
        <f t="shared" ref="S376:U376" si="380">IF(E376&lt;&gt;"","Yes","")</f>
        <v>Yes</v>
      </c>
      <c r="T376" s="24" t="str">
        <f t="shared" si="380"/>
        <v/>
      </c>
      <c r="U376" s="24" t="str">
        <f t="shared" si="380"/>
        <v/>
      </c>
      <c r="V376" s="24" t="str">
        <f t="shared" si="3"/>
        <v/>
      </c>
      <c r="W376" s="14" t="str">
        <f t="shared" si="4"/>
        <v/>
      </c>
    </row>
    <row r="377" ht="14.25" customHeight="1">
      <c r="A377" s="18">
        <f>HYPERLINK("https://app.hubspot.com/contacts/8748051/record/0-1/33672278180", 33672278180)</f>
        <v>33672278180</v>
      </c>
      <c r="B377" s="14" t="s">
        <v>3990</v>
      </c>
      <c r="C377" s="16">
        <v>45469.80900462963</v>
      </c>
      <c r="D377" s="14"/>
      <c r="E377" s="32">
        <v>45470.0</v>
      </c>
      <c r="F377" s="32">
        <v>45482.0</v>
      </c>
      <c r="G377" s="32"/>
      <c r="H377" s="24"/>
      <c r="I377" s="14"/>
      <c r="J377" s="14"/>
      <c r="K377" s="18">
        <f>HYPERLINK("https://app.hubspot.com/contacts/8748051/record/0-2/7646130300", 7646130300)</f>
        <v>7646130300</v>
      </c>
      <c r="L377" s="14" t="s">
        <v>1574</v>
      </c>
      <c r="M377" s="18" t="s">
        <v>1575</v>
      </c>
      <c r="N377" s="18">
        <f>HYPERLINK("https://app.hubspot.com/contacts/8748051/record/0-3/20470019409", 20470019409)</f>
        <v>20470019409</v>
      </c>
      <c r="O377" s="14" t="s">
        <v>1573</v>
      </c>
      <c r="P377" s="14" t="s">
        <v>118</v>
      </c>
      <c r="Q377" s="14">
        <v>5040.0</v>
      </c>
      <c r="R377" s="14"/>
      <c r="S377" s="24" t="str">
        <f t="shared" ref="S377:U377" si="381">IF(E377&lt;&gt;"","Yes","")</f>
        <v>Yes</v>
      </c>
      <c r="T377" s="24" t="str">
        <f t="shared" si="381"/>
        <v>Yes</v>
      </c>
      <c r="U377" s="24" t="str">
        <f t="shared" si="381"/>
        <v/>
      </c>
      <c r="V377" s="24" t="str">
        <f t="shared" si="3"/>
        <v/>
      </c>
      <c r="W377" s="14" t="str">
        <f t="shared" si="4"/>
        <v/>
      </c>
    </row>
    <row r="378" ht="14.25" customHeight="1">
      <c r="A378" s="18">
        <f>HYPERLINK("https://app.hubspot.com/contacts/8748051/record/0-1/33066397530", 33066397530)</f>
        <v>33066397530</v>
      </c>
      <c r="B378" s="14" t="s">
        <v>3991</v>
      </c>
      <c r="C378" s="16">
        <v>45468.26069444444</v>
      </c>
      <c r="D378" s="14"/>
      <c r="E378" s="32">
        <v>45468.0</v>
      </c>
      <c r="F378" s="32">
        <v>45469.0</v>
      </c>
      <c r="G378" s="32">
        <v>45499.0</v>
      </c>
      <c r="H378" s="24"/>
      <c r="I378" s="14"/>
      <c r="J378" s="14"/>
      <c r="K378" s="18">
        <f>HYPERLINK("https://app.hubspot.com/contacts/8748051/record/0-2/8946917146", 8946917146)</f>
        <v>8946917146</v>
      </c>
      <c r="L378" s="14" t="s">
        <v>1588</v>
      </c>
      <c r="M378" s="18" t="s">
        <v>1589</v>
      </c>
      <c r="N378" s="23">
        <f>HYPERLINK("https://app.hubspot.com/contacts/8748051/record/0-3/20461954884", 20461954884)</f>
        <v>20461954884</v>
      </c>
      <c r="O378" s="14" t="s">
        <v>1586</v>
      </c>
      <c r="P378" s="14" t="s">
        <v>89</v>
      </c>
      <c r="Q378" s="14">
        <v>4050.0</v>
      </c>
      <c r="R378" s="14" t="b">
        <v>1</v>
      </c>
      <c r="S378" s="24" t="str">
        <f t="shared" ref="S378:U378" si="382">IF(E378&lt;&gt;"","Yes","")</f>
        <v>Yes</v>
      </c>
      <c r="T378" s="24" t="str">
        <f t="shared" si="382"/>
        <v>Yes</v>
      </c>
      <c r="U378" s="24" t="str">
        <f t="shared" si="382"/>
        <v>Yes</v>
      </c>
      <c r="V378" s="24" t="str">
        <f t="shared" si="3"/>
        <v>Yes</v>
      </c>
      <c r="W378" s="14" t="str">
        <f t="shared" si="4"/>
        <v/>
      </c>
    </row>
    <row r="379" ht="14.25" customHeight="1">
      <c r="A379" s="18">
        <f>HYPERLINK("https://app.hubspot.com/contacts/8748051/record/0-1/32712439376", 32712439376)</f>
        <v>32712439376</v>
      </c>
      <c r="B379" s="14" t="s">
        <v>3992</v>
      </c>
      <c r="C379" s="16">
        <v>45467.08857638889</v>
      </c>
      <c r="D379" s="14"/>
      <c r="E379" s="32">
        <v>45467.0</v>
      </c>
      <c r="F379" s="32">
        <v>45467.0</v>
      </c>
      <c r="G379" s="32"/>
      <c r="H379" s="14"/>
      <c r="I379" s="14"/>
      <c r="J379" s="14"/>
      <c r="K379" s="18">
        <f>HYPERLINK("https://app.hubspot.com/contacts/8748051/record/0-2/21571204495", 21571204495)</f>
        <v>21571204495</v>
      </c>
      <c r="L379" s="14" t="s">
        <v>3993</v>
      </c>
      <c r="M379" s="14" t="s">
        <v>3994</v>
      </c>
      <c r="N379" s="14"/>
      <c r="O379" s="14"/>
      <c r="P379" s="14"/>
      <c r="Q379" s="14"/>
      <c r="R379" s="14"/>
      <c r="S379" s="24" t="str">
        <f t="shared" ref="S379:U379" si="383">IF(E379&lt;&gt;"","Yes","")</f>
        <v>Yes</v>
      </c>
      <c r="T379" s="24" t="str">
        <f t="shared" si="383"/>
        <v>Yes</v>
      </c>
      <c r="U379" s="24" t="str">
        <f t="shared" si="383"/>
        <v/>
      </c>
      <c r="V379" s="24" t="str">
        <f t="shared" si="3"/>
        <v/>
      </c>
      <c r="W379" s="14" t="str">
        <f t="shared" si="4"/>
        <v/>
      </c>
    </row>
    <row r="380" ht="14.25" customHeight="1">
      <c r="A380" s="18">
        <f>HYPERLINK("https://app.hubspot.com/contacts/8748051/record/0-1/29590282771", 29590282771)</f>
        <v>29590282771</v>
      </c>
      <c r="B380" s="14" t="s">
        <v>3995</v>
      </c>
      <c r="C380" s="16">
        <v>45455.76923611111</v>
      </c>
      <c r="D380" s="14"/>
      <c r="E380" s="32">
        <v>45456.0</v>
      </c>
      <c r="F380" s="32"/>
      <c r="G380" s="32"/>
      <c r="H380" s="24"/>
      <c r="I380" s="14"/>
      <c r="J380" s="24"/>
      <c r="K380" s="18">
        <f>HYPERLINK("https://app.hubspot.com/contacts/8748051/record/0-2/21404272756", 21404272756)</f>
        <v>21404272756</v>
      </c>
      <c r="L380" s="14" t="s">
        <v>3996</v>
      </c>
      <c r="M380" s="18" t="s">
        <v>3997</v>
      </c>
      <c r="N380" s="24"/>
      <c r="O380" s="14"/>
      <c r="P380" s="14"/>
      <c r="Q380" s="14"/>
      <c r="R380" s="14"/>
      <c r="S380" s="24" t="str">
        <f t="shared" ref="S380:U380" si="384">IF(E380&lt;&gt;"","Yes","")</f>
        <v>Yes</v>
      </c>
      <c r="T380" s="24" t="str">
        <f t="shared" si="384"/>
        <v/>
      </c>
      <c r="U380" s="24" t="str">
        <f t="shared" si="384"/>
        <v/>
      </c>
      <c r="V380" s="24" t="str">
        <f t="shared" si="3"/>
        <v/>
      </c>
      <c r="W380" s="14" t="str">
        <f t="shared" si="4"/>
        <v/>
      </c>
    </row>
    <row r="381" ht="14.25" customHeight="1">
      <c r="A381" s="18">
        <f>HYPERLINK("https://app.hubspot.com/contacts/8748051/record/0-1/29174117733", 29174117733)</f>
        <v>29174117733</v>
      </c>
      <c r="B381" s="14" t="s">
        <v>3998</v>
      </c>
      <c r="C381" s="16">
        <v>45454.49618055556</v>
      </c>
      <c r="D381" s="14"/>
      <c r="E381" s="32">
        <v>45454.0</v>
      </c>
      <c r="F381" s="32">
        <v>45457.0</v>
      </c>
      <c r="G381" s="32">
        <v>45457.0</v>
      </c>
      <c r="H381" s="24"/>
      <c r="I381" s="14"/>
      <c r="J381" s="14"/>
      <c r="K381" s="18">
        <f>HYPERLINK("https://app.hubspot.com/contacts/8748051/record/0-2/9069721364", 9069721364)</f>
        <v>9069721364</v>
      </c>
      <c r="L381" s="14" t="s">
        <v>1632</v>
      </c>
      <c r="M381" s="18" t="s">
        <v>1633</v>
      </c>
      <c r="N381" s="18">
        <f>HYPERLINK("https://app.hubspot.com/contacts/8748051/record/0-3/20075053706", 20075053706)</f>
        <v>20075053706</v>
      </c>
      <c r="O381" s="14" t="s">
        <v>1631</v>
      </c>
      <c r="P381" s="14" t="s">
        <v>118</v>
      </c>
      <c r="Q381" s="14">
        <v>3360.0</v>
      </c>
      <c r="R381" s="14"/>
      <c r="S381" s="24" t="str">
        <f t="shared" ref="S381:U381" si="385">IF(E381&lt;&gt;"","Yes","")</f>
        <v>Yes</v>
      </c>
      <c r="T381" s="24" t="str">
        <f t="shared" si="385"/>
        <v>Yes</v>
      </c>
      <c r="U381" s="24" t="str">
        <f t="shared" si="385"/>
        <v>Yes</v>
      </c>
      <c r="V381" s="24" t="str">
        <f t="shared" si="3"/>
        <v/>
      </c>
      <c r="W381" s="14" t="str">
        <f t="shared" si="4"/>
        <v/>
      </c>
    </row>
    <row r="382" ht="14.25" customHeight="1">
      <c r="A382" s="18">
        <f>HYPERLINK("https://app.hubspot.com/contacts/8748051/record/0-1/29170006107", 29170006107)</f>
        <v>29170006107</v>
      </c>
      <c r="B382" s="14" t="s">
        <v>3999</v>
      </c>
      <c r="C382" s="16">
        <v>45454.44684027778</v>
      </c>
      <c r="D382" s="14" t="s">
        <v>4000</v>
      </c>
      <c r="E382" s="32"/>
      <c r="F382" s="32"/>
      <c r="G382" s="32"/>
      <c r="H382" s="24"/>
      <c r="I382" s="14"/>
      <c r="J382" s="24"/>
      <c r="K382" s="18">
        <f>HYPERLINK("https://app.hubspot.com/contacts/8748051/record/0-2/21373083162", 21373083162)</f>
        <v>21373083162</v>
      </c>
      <c r="L382" s="14" t="s">
        <v>4001</v>
      </c>
      <c r="M382" s="18" t="s">
        <v>4002</v>
      </c>
      <c r="N382" s="24"/>
      <c r="O382" s="14"/>
      <c r="P382" s="14"/>
      <c r="Q382" s="14"/>
      <c r="R382" s="14"/>
      <c r="S382" s="24" t="str">
        <f t="shared" ref="S382:U382" si="386">IF(E382&lt;&gt;"","Yes","")</f>
        <v/>
      </c>
      <c r="T382" s="24" t="str">
        <f t="shared" si="386"/>
        <v/>
      </c>
      <c r="U382" s="24" t="str">
        <f t="shared" si="386"/>
        <v/>
      </c>
      <c r="V382" s="24" t="str">
        <f t="shared" si="3"/>
        <v/>
      </c>
      <c r="W382" s="14" t="str">
        <f t="shared" si="4"/>
        <v/>
      </c>
    </row>
    <row r="383" ht="14.25" customHeight="1">
      <c r="A383" s="18">
        <f>HYPERLINK("https://app.hubspot.com/contacts/8748051/record/0-1/29059814464", 29059814464)</f>
        <v>29059814464</v>
      </c>
      <c r="B383" s="14" t="s">
        <v>4003</v>
      </c>
      <c r="C383" s="16">
        <v>45454.11324074074</v>
      </c>
      <c r="D383" s="14"/>
      <c r="E383" s="32">
        <v>45454.0</v>
      </c>
      <c r="F383" s="32">
        <v>45454.0</v>
      </c>
      <c r="G383" s="32">
        <v>45454.0</v>
      </c>
      <c r="H383" s="24"/>
      <c r="I383" s="14"/>
      <c r="J383" s="14"/>
      <c r="K383" s="18">
        <f>HYPERLINK("https://app.hubspot.com/contacts/8748051/record/0-2/19176630067", 19176630067)</f>
        <v>19176630067</v>
      </c>
      <c r="L383" s="14" t="s">
        <v>4004</v>
      </c>
      <c r="M383" s="18" t="s">
        <v>4005</v>
      </c>
      <c r="N383" s="24"/>
      <c r="O383" s="14"/>
      <c r="P383" s="14"/>
      <c r="Q383" s="14"/>
      <c r="R383" s="14"/>
      <c r="S383" s="24" t="str">
        <f t="shared" ref="S383:U383" si="387">IF(E383&lt;&gt;"","Yes","")</f>
        <v>Yes</v>
      </c>
      <c r="T383" s="24" t="str">
        <f t="shared" si="387"/>
        <v>Yes</v>
      </c>
      <c r="U383" s="24" t="str">
        <f t="shared" si="387"/>
        <v>Yes</v>
      </c>
      <c r="V383" s="24" t="str">
        <f t="shared" si="3"/>
        <v/>
      </c>
      <c r="W383" s="14" t="str">
        <f t="shared" si="4"/>
        <v/>
      </c>
    </row>
    <row r="384" ht="14.25" customHeight="1">
      <c r="A384" s="18">
        <f>HYPERLINK("https://app.hubspot.com/contacts/8748051/record/0-1/28061694628", 28061694628)</f>
        <v>28061694628</v>
      </c>
      <c r="B384" s="14" t="s">
        <v>4006</v>
      </c>
      <c r="C384" s="16">
        <v>45450.26971064815</v>
      </c>
      <c r="D384" s="14"/>
      <c r="E384" s="32">
        <v>45450.0</v>
      </c>
      <c r="F384" s="32"/>
      <c r="G384" s="32"/>
      <c r="H384" s="14"/>
      <c r="I384" s="14"/>
      <c r="J384" s="14"/>
      <c r="K384" s="18">
        <f>HYPERLINK("https://app.hubspot.com/contacts/8748051/record/0-2/21304934567", 21304934567)</f>
        <v>21304934567</v>
      </c>
      <c r="L384" s="18" t="s">
        <v>4007</v>
      </c>
      <c r="M384" s="18" t="s">
        <v>4007</v>
      </c>
      <c r="N384" s="24"/>
      <c r="O384" s="14"/>
      <c r="P384" s="14"/>
      <c r="Q384" s="14"/>
      <c r="R384" s="14"/>
      <c r="S384" s="24" t="str">
        <f t="shared" ref="S384:U384" si="388">IF(E384&lt;&gt;"","Yes","")</f>
        <v>Yes</v>
      </c>
      <c r="T384" s="24" t="str">
        <f t="shared" si="388"/>
        <v/>
      </c>
      <c r="U384" s="24" t="str">
        <f t="shared" si="388"/>
        <v/>
      </c>
      <c r="V384" s="24" t="str">
        <f t="shared" si="3"/>
        <v/>
      </c>
      <c r="W384" s="14" t="str">
        <f t="shared" si="4"/>
        <v/>
      </c>
    </row>
    <row r="385" ht="14.25" customHeight="1">
      <c r="A385" s="18">
        <f>HYPERLINK("https://app.hubspot.com/contacts/8748051/record/0-1/27686359921", 27686359921)</f>
        <v>27686359921</v>
      </c>
      <c r="B385" s="14" t="s">
        <v>4008</v>
      </c>
      <c r="C385" s="16">
        <v>45449.05642361111</v>
      </c>
      <c r="D385" s="14" t="s">
        <v>4009</v>
      </c>
      <c r="E385" s="32"/>
      <c r="F385" s="32"/>
      <c r="G385" s="32"/>
      <c r="H385" s="14"/>
      <c r="I385" s="24"/>
      <c r="J385" s="24"/>
      <c r="K385" s="18">
        <f>HYPERLINK("https://app.hubspot.com/contacts/8748051/record/0-2/21282967135", 21282967135)</f>
        <v>21282967135</v>
      </c>
      <c r="L385" s="14" t="s">
        <v>4010</v>
      </c>
      <c r="M385" s="18" t="s">
        <v>4011</v>
      </c>
      <c r="N385" s="24"/>
      <c r="O385" s="14"/>
      <c r="P385" s="14"/>
      <c r="Q385" s="14"/>
      <c r="R385" s="14"/>
      <c r="S385" s="24" t="str">
        <f t="shared" ref="S385:U385" si="389">IF(E385&lt;&gt;"","Yes","")</f>
        <v/>
      </c>
      <c r="T385" s="24" t="str">
        <f t="shared" si="389"/>
        <v/>
      </c>
      <c r="U385" s="24" t="str">
        <f t="shared" si="389"/>
        <v/>
      </c>
      <c r="V385" s="24" t="str">
        <f t="shared" si="3"/>
        <v/>
      </c>
      <c r="W385" s="14" t="str">
        <f t="shared" si="4"/>
        <v/>
      </c>
    </row>
    <row r="386" ht="14.25" customHeight="1">
      <c r="A386" s="18">
        <f>HYPERLINK("https://app.hubspot.com/contacts/8748051/record/0-1/27605320031", 27605320031)</f>
        <v>27605320031</v>
      </c>
      <c r="B386" s="14" t="s">
        <v>4012</v>
      </c>
      <c r="C386" s="16">
        <v>45448.774872685186</v>
      </c>
      <c r="D386" s="14" t="s">
        <v>4009</v>
      </c>
      <c r="E386" s="32"/>
      <c r="F386" s="32"/>
      <c r="G386" s="32"/>
      <c r="H386" s="24"/>
      <c r="I386" s="24"/>
      <c r="J386" s="24"/>
      <c r="K386" s="18">
        <f>HYPERLINK("https://app.hubspot.com/contacts/8748051/record/0-2/21278324406", 21278324406)</f>
        <v>21278324406</v>
      </c>
      <c r="L386" s="18" t="s">
        <v>4013</v>
      </c>
      <c r="M386" s="18" t="s">
        <v>4013</v>
      </c>
      <c r="N386" s="24"/>
      <c r="O386" s="14"/>
      <c r="P386" s="14"/>
      <c r="Q386" s="14"/>
      <c r="R386" s="14"/>
      <c r="S386" s="24" t="str">
        <f t="shared" ref="S386:U386" si="390">IF(E386&lt;&gt;"","Yes","")</f>
        <v/>
      </c>
      <c r="T386" s="24" t="str">
        <f t="shared" si="390"/>
        <v/>
      </c>
      <c r="U386" s="24" t="str">
        <f t="shared" si="390"/>
        <v/>
      </c>
      <c r="V386" s="24" t="str">
        <f t="shared" si="3"/>
        <v/>
      </c>
      <c r="W386" s="14" t="str">
        <f t="shared" si="4"/>
        <v/>
      </c>
    </row>
    <row r="387" ht="14.25" customHeight="1">
      <c r="A387" s="18">
        <f>HYPERLINK("https://app.hubspot.com/contacts/8748051/record/0-1/19244414350", 19244414350)</f>
        <v>19244414350</v>
      </c>
      <c r="B387" s="14" t="s">
        <v>4014</v>
      </c>
      <c r="C387" s="16">
        <v>45448.69935185185</v>
      </c>
      <c r="D387" s="14"/>
      <c r="E387" s="32">
        <v>45449.0</v>
      </c>
      <c r="F387" s="32">
        <v>45458.0</v>
      </c>
      <c r="G387" s="32">
        <v>45458.0</v>
      </c>
      <c r="H387" s="24"/>
      <c r="I387" s="24"/>
      <c r="J387" s="24"/>
      <c r="K387" s="18">
        <f>HYPERLINK("https://app.hubspot.com/contacts/8748051/record/0-2/19176621361", 19176621361)</f>
        <v>19176621361</v>
      </c>
      <c r="L387" s="14" t="s">
        <v>1646</v>
      </c>
      <c r="M387" s="18" t="s">
        <v>1647</v>
      </c>
      <c r="N387" s="23">
        <f>HYPERLINK("https://app.hubspot.com/contacts/8748051/record/0-3/19999649595", 19999649595)</f>
        <v>19999649595</v>
      </c>
      <c r="O387" s="14" t="s">
        <v>1645</v>
      </c>
      <c r="P387" s="14" t="s">
        <v>124</v>
      </c>
      <c r="Q387" s="14">
        <v>45360.0</v>
      </c>
      <c r="R387" s="14" t="b">
        <v>1</v>
      </c>
      <c r="S387" s="24" t="str">
        <f t="shared" ref="S387:U387" si="391">IF(E387&lt;&gt;"","Yes","")</f>
        <v>Yes</v>
      </c>
      <c r="T387" s="24" t="str">
        <f t="shared" si="391"/>
        <v>Yes</v>
      </c>
      <c r="U387" s="24" t="str">
        <f t="shared" si="391"/>
        <v>Yes</v>
      </c>
      <c r="V387" s="24" t="str">
        <f t="shared" si="3"/>
        <v/>
      </c>
      <c r="W387" s="14" t="str">
        <f t="shared" si="4"/>
        <v/>
      </c>
    </row>
    <row r="388" ht="14.25" customHeight="1">
      <c r="A388" s="18">
        <f>HYPERLINK("https://app.hubspot.com/contacts/8748051/record/0-1/27081165231", 27081165231)</f>
        <v>27081165231</v>
      </c>
      <c r="B388" s="14" t="s">
        <v>4015</v>
      </c>
      <c r="C388" s="16">
        <v>45447.360127314816</v>
      </c>
      <c r="D388" s="14"/>
      <c r="E388" s="32">
        <v>45447.0</v>
      </c>
      <c r="F388" s="32">
        <v>45449.0</v>
      </c>
      <c r="G388" s="32">
        <v>45449.0</v>
      </c>
      <c r="H388" s="24"/>
      <c r="I388" s="24"/>
      <c r="J388" s="24"/>
      <c r="K388" s="18">
        <f>HYPERLINK("https://app.hubspot.com/contacts/8748051/record/0-2/8310492554", 8310492554)</f>
        <v>8310492554</v>
      </c>
      <c r="L388" s="14" t="s">
        <v>1669</v>
      </c>
      <c r="M388" s="18" t="s">
        <v>1670</v>
      </c>
      <c r="N388" s="18">
        <f>HYPERLINK("https://app.hubspot.com/contacts/8748051/record/0-3/19883137361", 19883137361)</f>
        <v>19883137361</v>
      </c>
      <c r="O388" s="14" t="s">
        <v>1667</v>
      </c>
      <c r="P388" s="14" t="s">
        <v>146</v>
      </c>
      <c r="Q388" s="14">
        <v>11200.0</v>
      </c>
      <c r="R388" s="14" t="b">
        <v>1</v>
      </c>
      <c r="S388" s="24" t="str">
        <f t="shared" ref="S388:U388" si="392">IF(E388&lt;&gt;"","Yes","")</f>
        <v>Yes</v>
      </c>
      <c r="T388" s="24" t="str">
        <f t="shared" si="392"/>
        <v>Yes</v>
      </c>
      <c r="U388" s="24" t="str">
        <f t="shared" si="392"/>
        <v>Yes</v>
      </c>
      <c r="V388" s="24" t="str">
        <f t="shared" si="3"/>
        <v/>
      </c>
      <c r="W388" s="14" t="str">
        <f t="shared" si="4"/>
        <v>Yes</v>
      </c>
    </row>
    <row r="389" ht="14.25" customHeight="1">
      <c r="A389" s="18">
        <f>HYPERLINK("https://app.hubspot.com/contacts/8748051/record/0-1/26423330872", 26423330872)</f>
        <v>26423330872</v>
      </c>
      <c r="B389" s="14" t="s">
        <v>4016</v>
      </c>
      <c r="C389" s="16">
        <v>45445.015856481485</v>
      </c>
      <c r="D389" s="14" t="s">
        <v>4017</v>
      </c>
      <c r="E389" s="32"/>
      <c r="F389" s="32"/>
      <c r="G389" s="32"/>
      <c r="H389" s="24"/>
      <c r="I389" s="24"/>
      <c r="J389" s="24"/>
      <c r="K389" s="18">
        <f>HYPERLINK("https://app.hubspot.com/contacts/8748051/record/0-2/21191699085", 21191699085)</f>
        <v>21191699085</v>
      </c>
      <c r="L389" s="18" t="s">
        <v>4018</v>
      </c>
      <c r="M389" s="18" t="s">
        <v>4018</v>
      </c>
      <c r="N389" s="24"/>
      <c r="O389" s="14"/>
      <c r="P389" s="14"/>
      <c r="Q389" s="14"/>
      <c r="R389" s="14"/>
      <c r="S389" s="24" t="str">
        <f t="shared" ref="S389:U389" si="393">IF(E389&lt;&gt;"","Yes","")</f>
        <v/>
      </c>
      <c r="T389" s="24" t="str">
        <f t="shared" si="393"/>
        <v/>
      </c>
      <c r="U389" s="24" t="str">
        <f t="shared" si="393"/>
        <v/>
      </c>
      <c r="V389" s="24" t="str">
        <f t="shared" si="3"/>
        <v/>
      </c>
      <c r="W389" s="14" t="str">
        <f t="shared" si="4"/>
        <v/>
      </c>
    </row>
    <row r="390" ht="14.25" customHeight="1">
      <c r="A390" s="18">
        <f>HYPERLINK("https://app.hubspot.com/contacts/8748051/record/0-1/25043914799", 25043914799)</f>
        <v>25043914799</v>
      </c>
      <c r="B390" s="14" t="s">
        <v>4019</v>
      </c>
      <c r="C390" s="16">
        <v>45440.520625</v>
      </c>
      <c r="D390" s="14"/>
      <c r="E390" s="32">
        <v>45441.0</v>
      </c>
      <c r="F390" s="32">
        <v>45441.0</v>
      </c>
      <c r="G390" s="32">
        <v>45441.0</v>
      </c>
      <c r="H390" s="24"/>
      <c r="I390" s="14"/>
      <c r="J390" s="24"/>
      <c r="K390" s="18">
        <f>HYPERLINK("https://app.hubspot.com/contacts/8748051/record/0-2/19176288828", 19176288828)</f>
        <v>19176288828</v>
      </c>
      <c r="L390" s="14" t="s">
        <v>1685</v>
      </c>
      <c r="M390" s="18" t="s">
        <v>1686</v>
      </c>
      <c r="N390" s="18">
        <f>HYPERLINK("https://app.hubspot.com/contacts/8748051/record/0-3/19686425366", 19686425366)</f>
        <v>19686425366</v>
      </c>
      <c r="O390" s="14" t="s">
        <v>1683</v>
      </c>
      <c r="P390" s="14" t="s">
        <v>146</v>
      </c>
      <c r="Q390" s="14">
        <v>30000.0</v>
      </c>
      <c r="R390" s="14" t="b">
        <v>1</v>
      </c>
      <c r="S390" s="24" t="str">
        <f t="shared" ref="S390:U390" si="394">IF(E390&lt;&gt;"","Yes","")</f>
        <v>Yes</v>
      </c>
      <c r="T390" s="24" t="str">
        <f t="shared" si="394"/>
        <v>Yes</v>
      </c>
      <c r="U390" s="24" t="str">
        <f t="shared" si="394"/>
        <v>Yes</v>
      </c>
      <c r="V390" s="24" t="str">
        <f t="shared" si="3"/>
        <v/>
      </c>
      <c r="W390" s="14" t="str">
        <f t="shared" si="4"/>
        <v>Yes</v>
      </c>
    </row>
    <row r="391" ht="14.25" customHeight="1">
      <c r="A391" s="18">
        <f>HYPERLINK("https://app.hubspot.com/contacts/8748051/record/0-1/24062830673", 24062830673)</f>
        <v>24062830673</v>
      </c>
      <c r="B391" s="14" t="s">
        <v>4020</v>
      </c>
      <c r="C391" s="16">
        <v>45436.5672337963</v>
      </c>
      <c r="D391" s="14"/>
      <c r="E391" s="32">
        <v>45436.0</v>
      </c>
      <c r="F391" s="32"/>
      <c r="G391" s="32"/>
      <c r="H391" s="14"/>
      <c r="I391" s="14"/>
      <c r="J391" s="24"/>
      <c r="K391" s="18">
        <f>HYPERLINK("https://app.hubspot.com/contacts/8748051/record/0-2/20995939242", 20995939242)</f>
        <v>20995939242</v>
      </c>
      <c r="L391" s="14" t="s">
        <v>4021</v>
      </c>
      <c r="M391" s="14" t="s">
        <v>4022</v>
      </c>
      <c r="N391" s="14"/>
      <c r="O391" s="14"/>
      <c r="P391" s="14"/>
      <c r="Q391" s="14"/>
      <c r="R391" s="14"/>
      <c r="S391" s="24" t="str">
        <f t="shared" ref="S391:U391" si="395">IF(E391&lt;&gt;"","Yes","")</f>
        <v>Yes</v>
      </c>
      <c r="T391" s="24" t="str">
        <f t="shared" si="395"/>
        <v/>
      </c>
      <c r="U391" s="24" t="str">
        <f t="shared" si="395"/>
        <v/>
      </c>
      <c r="V391" s="24" t="str">
        <f t="shared" si="3"/>
        <v/>
      </c>
      <c r="W391" s="14" t="str">
        <f t="shared" si="4"/>
        <v/>
      </c>
    </row>
    <row r="392" ht="14.25" customHeight="1">
      <c r="A392" s="18">
        <f>HYPERLINK("https://app.hubspot.com/contacts/8748051/record/0-1/23368615032", 23368615032)</f>
        <v>23368615032</v>
      </c>
      <c r="B392" s="14" t="s">
        <v>4023</v>
      </c>
      <c r="C392" s="16">
        <v>45435.12315972222</v>
      </c>
      <c r="D392" s="14"/>
      <c r="E392" s="32">
        <v>45435.0</v>
      </c>
      <c r="F392" s="32">
        <v>45435.0</v>
      </c>
      <c r="G392" s="32">
        <v>45435.0</v>
      </c>
      <c r="H392" s="14"/>
      <c r="I392" s="14"/>
      <c r="J392" s="14"/>
      <c r="K392" s="18">
        <f>HYPERLINK("https://app.hubspot.com/contacts/8748051/record/0-2/19176558447", 19176558447)</f>
        <v>19176558447</v>
      </c>
      <c r="L392" s="14" t="s">
        <v>1703</v>
      </c>
      <c r="M392" s="18" t="s">
        <v>1704</v>
      </c>
      <c r="N392" s="23">
        <f>HYPERLINK("https://app.hubspot.com/contacts/8748051/record/0-3/19583853592", 19583853592)</f>
        <v>19583853592</v>
      </c>
      <c r="O392" s="14" t="s">
        <v>1702</v>
      </c>
      <c r="P392" s="14" t="s">
        <v>118</v>
      </c>
      <c r="Q392" s="14">
        <v>80160.0</v>
      </c>
      <c r="R392" s="14"/>
      <c r="S392" s="24" t="str">
        <f t="shared" ref="S392:U392" si="396">IF(E392&lt;&gt;"","Yes","")</f>
        <v>Yes</v>
      </c>
      <c r="T392" s="24" t="str">
        <f t="shared" si="396"/>
        <v>Yes</v>
      </c>
      <c r="U392" s="24" t="str">
        <f t="shared" si="396"/>
        <v>Yes</v>
      </c>
      <c r="V392" s="24" t="str">
        <f t="shared" si="3"/>
        <v/>
      </c>
      <c r="W392" s="14" t="str">
        <f t="shared" si="4"/>
        <v/>
      </c>
    </row>
    <row r="393" ht="14.25" customHeight="1">
      <c r="A393" s="18">
        <f>HYPERLINK("https://app.hubspot.com/contacts/8748051/record/0-1/3245301", 3245301)</f>
        <v>3245301</v>
      </c>
      <c r="B393" s="14" t="s">
        <v>4024</v>
      </c>
      <c r="C393" s="16">
        <v>45434.832083333335</v>
      </c>
      <c r="D393" s="14"/>
      <c r="E393" s="32">
        <v>45435.0</v>
      </c>
      <c r="F393" s="32">
        <v>45435.0</v>
      </c>
      <c r="G393" s="32"/>
      <c r="H393" s="14"/>
      <c r="I393" s="14"/>
      <c r="J393" s="14"/>
      <c r="K393" s="18">
        <f>HYPERLINK("https://app.hubspot.com/contacts/8748051/record/0-2/18506397190", 18506397190)</f>
        <v>18506397190</v>
      </c>
      <c r="L393" s="14" t="s">
        <v>4025</v>
      </c>
      <c r="M393" s="18" t="s">
        <v>4026</v>
      </c>
      <c r="N393" s="14"/>
      <c r="O393" s="14"/>
      <c r="P393" s="14"/>
      <c r="Q393" s="14"/>
      <c r="R393" s="14"/>
      <c r="S393" s="24" t="str">
        <f t="shared" ref="S393:U393" si="397">IF(E393&lt;&gt;"","Yes","")</f>
        <v>Yes</v>
      </c>
      <c r="T393" s="24" t="str">
        <f t="shared" si="397"/>
        <v>Yes</v>
      </c>
      <c r="U393" s="24" t="str">
        <f t="shared" si="397"/>
        <v/>
      </c>
      <c r="V393" s="24" t="str">
        <f t="shared" si="3"/>
        <v/>
      </c>
      <c r="W393" s="14" t="str">
        <f t="shared" si="4"/>
        <v/>
      </c>
    </row>
    <row r="394" ht="14.25" customHeight="1">
      <c r="A394" s="18">
        <f>HYPERLINK("https://app.hubspot.com/contacts/8748051/record/0-1/11132717067", 11132717067)</f>
        <v>11132717067</v>
      </c>
      <c r="B394" s="14" t="s">
        <v>4027</v>
      </c>
      <c r="C394" s="16">
        <v>45433.39199074074</v>
      </c>
      <c r="D394" s="14" t="s">
        <v>3979</v>
      </c>
      <c r="E394" s="32"/>
      <c r="F394" s="32"/>
      <c r="G394" s="32"/>
      <c r="H394" s="24"/>
      <c r="I394" s="14"/>
      <c r="J394" s="14"/>
      <c r="K394" s="18">
        <f>HYPERLINK("https://app.hubspot.com/contacts/8748051/record/0-2/20925619222", 20925619222)</f>
        <v>20925619222</v>
      </c>
      <c r="L394" s="18" t="s">
        <v>4028</v>
      </c>
      <c r="M394" s="18" t="s">
        <v>4028</v>
      </c>
      <c r="N394" s="14"/>
      <c r="O394" s="14"/>
      <c r="P394" s="14"/>
      <c r="Q394" s="14"/>
      <c r="R394" s="14"/>
      <c r="S394" s="24" t="str">
        <f t="shared" ref="S394:U394" si="398">IF(E394&lt;&gt;"","Yes","")</f>
        <v/>
      </c>
      <c r="T394" s="24" t="str">
        <f t="shared" si="398"/>
        <v/>
      </c>
      <c r="U394" s="24" t="str">
        <f t="shared" si="398"/>
        <v/>
      </c>
      <c r="V394" s="24" t="str">
        <f t="shared" si="3"/>
        <v/>
      </c>
      <c r="W394" s="14" t="str">
        <f t="shared" si="4"/>
        <v/>
      </c>
    </row>
    <row r="395" ht="14.25" customHeight="1">
      <c r="A395" s="18">
        <f>HYPERLINK("https://app.hubspot.com/contacts/8748051/record/0-1/11137416349", 11137416349)</f>
        <v>11137416349</v>
      </c>
      <c r="B395" s="14" t="s">
        <v>4029</v>
      </c>
      <c r="C395" s="16">
        <v>45433.391180555554</v>
      </c>
      <c r="D395" s="14" t="s">
        <v>4030</v>
      </c>
      <c r="E395" s="32"/>
      <c r="F395" s="32"/>
      <c r="G395" s="32"/>
      <c r="H395" s="14"/>
      <c r="I395" s="14"/>
      <c r="J395" s="14"/>
      <c r="K395" s="18">
        <f>HYPERLINK("https://app.hubspot.com/contacts/8748051/record/0-2/20925995561", 20925995561)</f>
        <v>20925995561</v>
      </c>
      <c r="L395" s="14" t="s">
        <v>746</v>
      </c>
      <c r="M395" s="18" t="s">
        <v>747</v>
      </c>
      <c r="N395" s="14"/>
      <c r="O395" s="14"/>
      <c r="P395" s="14"/>
      <c r="Q395" s="14"/>
      <c r="R395" s="14"/>
      <c r="S395" s="24" t="str">
        <f t="shared" ref="S395:U395" si="399">IF(E395&lt;&gt;"","Yes","")</f>
        <v/>
      </c>
      <c r="T395" s="24" t="str">
        <f t="shared" si="399"/>
        <v/>
      </c>
      <c r="U395" s="24" t="str">
        <f t="shared" si="399"/>
        <v/>
      </c>
      <c r="V395" s="24" t="str">
        <f t="shared" si="3"/>
        <v/>
      </c>
      <c r="W395" s="14" t="str">
        <f t="shared" si="4"/>
        <v/>
      </c>
    </row>
    <row r="396" ht="14.25" customHeight="1">
      <c r="A396" s="18">
        <f>HYPERLINK("https://app.hubspot.com/contacts/8748051/record/0-1/22921059368", 22921059368)</f>
        <v>22921059368</v>
      </c>
      <c r="B396" s="14" t="s">
        <v>4031</v>
      </c>
      <c r="C396" s="16">
        <v>45432.569375</v>
      </c>
      <c r="D396" s="14"/>
      <c r="E396" s="32">
        <v>45432.0</v>
      </c>
      <c r="F396" s="32">
        <v>45432.0</v>
      </c>
      <c r="G396" s="32">
        <v>45432.0</v>
      </c>
      <c r="H396" s="24"/>
      <c r="I396" s="24"/>
      <c r="J396" s="24"/>
      <c r="K396" s="18">
        <f>HYPERLINK("https://app.hubspot.com/contacts/8748051/record/0-2/7647906153", 7647906153)</f>
        <v>7647906153</v>
      </c>
      <c r="L396" s="14" t="s">
        <v>1731</v>
      </c>
      <c r="M396" s="18" t="s">
        <v>1732</v>
      </c>
      <c r="N396" s="23">
        <f>HYPERLINK("https://app.hubspot.com/contacts/8748051/record/0-3/19498556300", 19498556300)</f>
        <v>19498556300</v>
      </c>
      <c r="O396" s="14" t="s">
        <v>1729</v>
      </c>
      <c r="P396" s="14" t="s">
        <v>146</v>
      </c>
      <c r="Q396" s="14">
        <v>40000.0</v>
      </c>
      <c r="R396" s="14" t="b">
        <v>1</v>
      </c>
      <c r="S396" s="24" t="str">
        <f t="shared" ref="S396:U396" si="400">IF(E396&lt;&gt;"","Yes","")</f>
        <v>Yes</v>
      </c>
      <c r="T396" s="24" t="str">
        <f t="shared" si="400"/>
        <v>Yes</v>
      </c>
      <c r="U396" s="24" t="str">
        <f t="shared" si="400"/>
        <v>Yes</v>
      </c>
      <c r="V396" s="24" t="str">
        <f t="shared" si="3"/>
        <v/>
      </c>
      <c r="W396" s="14" t="str">
        <f t="shared" si="4"/>
        <v>Yes</v>
      </c>
    </row>
    <row r="397" ht="14.25" customHeight="1">
      <c r="A397" s="18">
        <f>HYPERLINK("https://app.hubspot.com/contacts/8748051/record/0-1/21262860955", 21262860955)</f>
        <v>21262860955</v>
      </c>
      <c r="B397" s="14" t="s">
        <v>4032</v>
      </c>
      <c r="C397" s="16">
        <v>45432.379155092596</v>
      </c>
      <c r="D397" s="14"/>
      <c r="E397" s="32">
        <v>45432.0</v>
      </c>
      <c r="F397" s="32">
        <v>45433.0</v>
      </c>
      <c r="G397" s="32"/>
      <c r="H397" s="24"/>
      <c r="I397" s="14"/>
      <c r="J397" s="14"/>
      <c r="K397" s="18">
        <f>HYPERLINK("https://app.hubspot.com/contacts/8748051/record/0-2/20906464622", 20906464622)</f>
        <v>20906464622</v>
      </c>
      <c r="L397" s="14" t="s">
        <v>4033</v>
      </c>
      <c r="M397" s="18" t="s">
        <v>4034</v>
      </c>
      <c r="N397" s="14"/>
      <c r="O397" s="14"/>
      <c r="P397" s="14"/>
      <c r="Q397" s="14"/>
      <c r="R397" s="14"/>
      <c r="S397" s="24" t="str">
        <f t="shared" ref="S397:U397" si="401">IF(E397&lt;&gt;"","Yes","")</f>
        <v>Yes</v>
      </c>
      <c r="T397" s="24" t="str">
        <f t="shared" si="401"/>
        <v>Yes</v>
      </c>
      <c r="U397" s="24" t="str">
        <f t="shared" si="401"/>
        <v/>
      </c>
      <c r="V397" s="24" t="str">
        <f t="shared" si="3"/>
        <v/>
      </c>
      <c r="W397" s="14" t="str">
        <f t="shared" si="4"/>
        <v/>
      </c>
    </row>
    <row r="398" ht="14.25" customHeight="1">
      <c r="A398" s="18">
        <f>HYPERLINK("https://app.hubspot.com/contacts/8748051/record/0-1/22741452554", 22741452554)</f>
        <v>22741452554</v>
      </c>
      <c r="B398" s="14" t="s">
        <v>4035</v>
      </c>
      <c r="C398" s="16">
        <v>45431.87716435185</v>
      </c>
      <c r="D398" s="14"/>
      <c r="E398" s="32">
        <v>45432.0</v>
      </c>
      <c r="F398" s="32">
        <v>45432.0</v>
      </c>
      <c r="G398" s="32">
        <v>45432.0</v>
      </c>
      <c r="H398" s="24"/>
      <c r="I398" s="14"/>
      <c r="J398" s="14"/>
      <c r="K398" s="18">
        <f>HYPERLINK("https://app.hubspot.com/contacts/8748051/record/0-2/20897315186", 20897315186)</f>
        <v>20897315186</v>
      </c>
      <c r="L398" s="14" t="s">
        <v>1734</v>
      </c>
      <c r="M398" s="18" t="s">
        <v>1735</v>
      </c>
      <c r="N398" s="18">
        <f>HYPERLINK("https://app.hubspot.com/contacts/8748051/record/0-3/19486725196", 19486725196)</f>
        <v>19486725196</v>
      </c>
      <c r="O398" s="14" t="s">
        <v>1733</v>
      </c>
      <c r="P398" s="14" t="s">
        <v>124</v>
      </c>
      <c r="Q398" s="14">
        <v>10000.0</v>
      </c>
      <c r="R398" s="14" t="b">
        <v>1</v>
      </c>
      <c r="S398" s="24" t="str">
        <f t="shared" ref="S398:U398" si="402">IF(E398&lt;&gt;"","Yes","")</f>
        <v>Yes</v>
      </c>
      <c r="T398" s="24" t="str">
        <f t="shared" si="402"/>
        <v>Yes</v>
      </c>
      <c r="U398" s="24" t="str">
        <f t="shared" si="402"/>
        <v>Yes</v>
      </c>
      <c r="V398" s="24" t="str">
        <f t="shared" si="3"/>
        <v/>
      </c>
      <c r="W398" s="14" t="str">
        <f t="shared" si="4"/>
        <v/>
      </c>
    </row>
    <row r="399" ht="14.25" customHeight="1">
      <c r="A399" s="18">
        <f>HYPERLINK("https://app.hubspot.com/contacts/8748051/record/0-1/22097600366", 22097600366)</f>
        <v>22097600366</v>
      </c>
      <c r="B399" s="14" t="s">
        <v>4036</v>
      </c>
      <c r="C399" s="16">
        <v>45428.925208333334</v>
      </c>
      <c r="D399" s="14"/>
      <c r="E399" s="32">
        <v>45429.0</v>
      </c>
      <c r="F399" s="32">
        <v>45429.0</v>
      </c>
      <c r="G399" s="32">
        <v>45429.0</v>
      </c>
      <c r="H399" s="24"/>
      <c r="I399" s="14"/>
      <c r="J399" s="14"/>
      <c r="K399" s="18">
        <f>HYPERLINK("https://app.hubspot.com/contacts/8748051/record/0-2/19176703400", 19176703400)</f>
        <v>19176703400</v>
      </c>
      <c r="L399" s="14" t="s">
        <v>1742</v>
      </c>
      <c r="M399" s="14" t="s">
        <v>1743</v>
      </c>
      <c r="N399" s="23">
        <f>HYPERLINK("https://app.hubspot.com/contacts/8748051/record/0-3/19440631842", 19440631842)</f>
        <v>19440631842</v>
      </c>
      <c r="O399" s="14" t="s">
        <v>1741</v>
      </c>
      <c r="P399" s="14" t="s">
        <v>118</v>
      </c>
      <c r="Q399" s="14">
        <v>2400.0</v>
      </c>
      <c r="R399" s="14"/>
      <c r="S399" s="24" t="str">
        <f t="shared" ref="S399:U399" si="403">IF(E399&lt;&gt;"","Yes","")</f>
        <v>Yes</v>
      </c>
      <c r="T399" s="24" t="str">
        <f t="shared" si="403"/>
        <v>Yes</v>
      </c>
      <c r="U399" s="24" t="str">
        <f t="shared" si="403"/>
        <v>Yes</v>
      </c>
      <c r="V399" s="24" t="str">
        <f t="shared" si="3"/>
        <v/>
      </c>
      <c r="W399" s="14" t="str">
        <f t="shared" si="4"/>
        <v/>
      </c>
    </row>
    <row r="400" ht="14.25" customHeight="1">
      <c r="A400" s="18">
        <f>HYPERLINK("https://app.hubspot.com/contacts/8748051/record/0-1/21877886505", 21877886505)</f>
        <v>21877886505</v>
      </c>
      <c r="B400" s="14" t="s">
        <v>4037</v>
      </c>
      <c r="C400" s="16">
        <v>45428.32599537037</v>
      </c>
      <c r="D400" s="14" t="s">
        <v>4038</v>
      </c>
      <c r="E400" s="32"/>
      <c r="F400" s="32"/>
      <c r="G400" s="32"/>
      <c r="H400" s="24"/>
      <c r="I400" s="14"/>
      <c r="J400" s="24"/>
      <c r="K400" s="18">
        <f>HYPERLINK("https://app.hubspot.com/contacts/8748051/record/0-2/20843032664", 20843032664)</f>
        <v>20843032664</v>
      </c>
      <c r="L400" s="14" t="s">
        <v>4039</v>
      </c>
      <c r="M400" s="18" t="s">
        <v>4040</v>
      </c>
      <c r="N400" s="14"/>
      <c r="O400" s="14"/>
      <c r="P400" s="14"/>
      <c r="Q400" s="14"/>
      <c r="R400" s="14"/>
      <c r="S400" s="24" t="str">
        <f t="shared" ref="S400:U400" si="404">IF(E400&lt;&gt;"","Yes","")</f>
        <v/>
      </c>
      <c r="T400" s="24" t="str">
        <f t="shared" si="404"/>
        <v/>
      </c>
      <c r="U400" s="24" t="str">
        <f t="shared" si="404"/>
        <v/>
      </c>
      <c r="V400" s="24" t="str">
        <f t="shared" si="3"/>
        <v/>
      </c>
      <c r="W400" s="14" t="str">
        <f t="shared" si="4"/>
        <v/>
      </c>
    </row>
    <row r="401" ht="14.25" customHeight="1">
      <c r="A401" s="18">
        <f>HYPERLINK("https://app.hubspot.com/contacts/8748051/record/0-1/21543229968", 21543229968)</f>
        <v>21543229968</v>
      </c>
      <c r="B401" s="14" t="s">
        <v>4041</v>
      </c>
      <c r="C401" s="16">
        <v>45428.121886574074</v>
      </c>
      <c r="D401" s="14"/>
      <c r="E401" s="32">
        <v>45428.0</v>
      </c>
      <c r="F401" s="32">
        <v>45429.0</v>
      </c>
      <c r="G401" s="32"/>
      <c r="H401" s="14"/>
      <c r="I401" s="14"/>
      <c r="J401" s="14"/>
      <c r="K401" s="18">
        <f>HYPERLINK("https://app.hubspot.com/contacts/8748051/record/0-2/20839040434", 20839040434)</f>
        <v>20839040434</v>
      </c>
      <c r="L401" s="14" t="s">
        <v>4042</v>
      </c>
      <c r="M401" s="14" t="s">
        <v>4043</v>
      </c>
      <c r="N401" s="14"/>
      <c r="O401" s="14"/>
      <c r="P401" s="14"/>
      <c r="Q401" s="14"/>
      <c r="R401" s="14"/>
      <c r="S401" s="24" t="str">
        <f t="shared" ref="S401:U401" si="405">IF(E401&lt;&gt;"","Yes","")</f>
        <v>Yes</v>
      </c>
      <c r="T401" s="24" t="str">
        <f t="shared" si="405"/>
        <v>Yes</v>
      </c>
      <c r="U401" s="24" t="str">
        <f t="shared" si="405"/>
        <v/>
      </c>
      <c r="V401" s="24" t="str">
        <f t="shared" si="3"/>
        <v/>
      </c>
      <c r="W401" s="14" t="str">
        <f t="shared" si="4"/>
        <v/>
      </c>
    </row>
    <row r="402" ht="14.25" customHeight="1">
      <c r="A402" s="18">
        <f>HYPERLINK("https://app.hubspot.com/contacts/8748051/record/0-1/21606184572", 21606184572)</f>
        <v>21606184572</v>
      </c>
      <c r="B402" s="14" t="s">
        <v>4044</v>
      </c>
      <c r="C402" s="16">
        <v>45427.51991898148</v>
      </c>
      <c r="D402" s="14"/>
      <c r="E402" s="32">
        <v>45427.0</v>
      </c>
      <c r="F402" s="32">
        <v>45428.0</v>
      </c>
      <c r="G402" s="32">
        <v>45428.0</v>
      </c>
      <c r="H402" s="14"/>
      <c r="I402" s="14"/>
      <c r="J402" s="14"/>
      <c r="K402" s="18">
        <f>HYPERLINK("https://app.hubspot.com/contacts/8748051/record/0-2/7945243193", 7945243193)</f>
        <v>7945243193</v>
      </c>
      <c r="L402" s="14" t="s">
        <v>4045</v>
      </c>
      <c r="M402" s="18" t="s">
        <v>4046</v>
      </c>
      <c r="N402" s="24"/>
      <c r="O402" s="14"/>
      <c r="P402" s="14"/>
      <c r="Q402" s="14"/>
      <c r="R402" s="24"/>
      <c r="S402" s="24" t="str">
        <f t="shared" ref="S402:U402" si="406">IF(E402&lt;&gt;"","Yes","")</f>
        <v>Yes</v>
      </c>
      <c r="T402" s="24" t="str">
        <f t="shared" si="406"/>
        <v>Yes</v>
      </c>
      <c r="U402" s="24" t="str">
        <f t="shared" si="406"/>
        <v>Yes</v>
      </c>
      <c r="V402" s="24" t="str">
        <f t="shared" si="3"/>
        <v/>
      </c>
      <c r="W402" s="14" t="str">
        <f t="shared" si="4"/>
        <v/>
      </c>
    </row>
    <row r="403" ht="14.25" customHeight="1">
      <c r="A403" s="18">
        <f>HYPERLINK("https://app.hubspot.com/contacts/8748051/record/0-1/20961301917", 20961301917)</f>
        <v>20961301917</v>
      </c>
      <c r="B403" s="14" t="s">
        <v>4047</v>
      </c>
      <c r="C403" s="16">
        <v>45425.68174768519</v>
      </c>
      <c r="D403" s="16"/>
      <c r="E403" s="32">
        <v>45426.0</v>
      </c>
      <c r="F403" s="32">
        <v>45427.0</v>
      </c>
      <c r="G403" s="32">
        <v>45427.0</v>
      </c>
      <c r="H403" s="14"/>
      <c r="I403" s="14"/>
      <c r="J403" s="14"/>
      <c r="K403" s="18">
        <f>HYPERLINK("https://app.hubspot.com/contacts/8748051/record/0-2/20789157299", 20789157299)</f>
        <v>20789157299</v>
      </c>
      <c r="L403" s="14" t="s">
        <v>1748</v>
      </c>
      <c r="M403" s="18" t="s">
        <v>1749</v>
      </c>
      <c r="N403" s="18">
        <f>HYPERLINK("https://app.hubspot.com/contacts/8748051/record/0-3/19384395654", 19384395654)</f>
        <v>19384395654</v>
      </c>
      <c r="O403" s="14" t="s">
        <v>1747</v>
      </c>
      <c r="P403" s="14" t="s">
        <v>118</v>
      </c>
      <c r="Q403" s="14">
        <v>139920.0</v>
      </c>
      <c r="R403" s="14"/>
      <c r="S403" s="24" t="str">
        <f t="shared" ref="S403:U403" si="407">IF(E403&lt;&gt;"","Yes","")</f>
        <v>Yes</v>
      </c>
      <c r="T403" s="24" t="str">
        <f t="shared" si="407"/>
        <v>Yes</v>
      </c>
      <c r="U403" s="24" t="str">
        <f t="shared" si="407"/>
        <v>Yes</v>
      </c>
      <c r="V403" s="24" t="str">
        <f t="shared" si="3"/>
        <v/>
      </c>
      <c r="W403" s="14" t="str">
        <f t="shared" si="4"/>
        <v/>
      </c>
    </row>
    <row r="404" ht="14.25" customHeight="1">
      <c r="A404" s="18">
        <f>HYPERLINK("https://app.hubspot.com/contacts/8748051/record/0-1/20591959969", 20591959969)</f>
        <v>20591959969</v>
      </c>
      <c r="B404" s="14" t="s">
        <v>4048</v>
      </c>
      <c r="C404" s="16">
        <v>45424.13452546296</v>
      </c>
      <c r="D404" s="14"/>
      <c r="E404" s="32">
        <v>45425.0</v>
      </c>
      <c r="F404" s="32">
        <v>45426.0</v>
      </c>
      <c r="G404" s="32"/>
      <c r="H404" s="14"/>
      <c r="I404" s="14"/>
      <c r="J404" s="14"/>
      <c r="K404" s="18">
        <f>HYPERLINK("https://app.hubspot.com/contacts/8748051/record/0-2/8983809943", 8983809943)</f>
        <v>8983809943</v>
      </c>
      <c r="L404" s="14" t="s">
        <v>4049</v>
      </c>
      <c r="M404" s="18" t="s">
        <v>4050</v>
      </c>
      <c r="N404" s="14"/>
      <c r="O404" s="14"/>
      <c r="P404" s="14"/>
      <c r="Q404" s="14"/>
      <c r="R404" s="14"/>
      <c r="S404" s="24" t="str">
        <f t="shared" ref="S404:U404" si="408">IF(E404&lt;&gt;"","Yes","")</f>
        <v>Yes</v>
      </c>
      <c r="T404" s="24" t="str">
        <f t="shared" si="408"/>
        <v>Yes</v>
      </c>
      <c r="U404" s="24" t="str">
        <f t="shared" si="408"/>
        <v/>
      </c>
      <c r="V404" s="24" t="str">
        <f t="shared" si="3"/>
        <v/>
      </c>
      <c r="W404" s="14" t="str">
        <f t="shared" si="4"/>
        <v/>
      </c>
    </row>
    <row r="405" ht="14.25" customHeight="1">
      <c r="A405" s="18">
        <f>HYPERLINK("https://app.hubspot.com/contacts/8748051/record/0-1/3008851", 3008851)</f>
        <v>3008851</v>
      </c>
      <c r="B405" s="14" t="s">
        <v>4051</v>
      </c>
      <c r="C405" s="16">
        <v>45422.28706018518</v>
      </c>
      <c r="D405" s="14"/>
      <c r="E405" s="32">
        <v>45422.0</v>
      </c>
      <c r="F405" s="32">
        <v>45425.0</v>
      </c>
      <c r="G405" s="32">
        <v>45425.0</v>
      </c>
      <c r="H405" s="14"/>
      <c r="I405" s="14"/>
      <c r="J405" s="24"/>
      <c r="K405" s="18">
        <f>HYPERLINK("https://app.hubspot.com/contacts/8748051/record/0-2/20739390129", 20739390129)</f>
        <v>20739390129</v>
      </c>
      <c r="L405" s="18" t="s">
        <v>4052</v>
      </c>
      <c r="M405" s="18" t="s">
        <v>4052</v>
      </c>
      <c r="N405" s="14"/>
      <c r="O405" s="14"/>
      <c r="P405" s="14"/>
      <c r="Q405" s="14"/>
      <c r="R405" s="14"/>
      <c r="S405" s="24" t="str">
        <f t="shared" ref="S405:U405" si="409">IF(E405&lt;&gt;"","Yes","")</f>
        <v>Yes</v>
      </c>
      <c r="T405" s="24" t="str">
        <f t="shared" si="409"/>
        <v>Yes</v>
      </c>
      <c r="U405" s="24" t="str">
        <f t="shared" si="409"/>
        <v>Yes</v>
      </c>
      <c r="V405" s="24" t="str">
        <f t="shared" si="3"/>
        <v/>
      </c>
      <c r="W405" s="14" t="str">
        <f t="shared" si="4"/>
        <v/>
      </c>
    </row>
    <row r="406" ht="14.25" customHeight="1">
      <c r="A406" s="18">
        <f>HYPERLINK("https://app.hubspot.com/contacts/8748051/record/0-1/1301", 1301)</f>
        <v>1301</v>
      </c>
      <c r="B406" s="14" t="s">
        <v>4053</v>
      </c>
      <c r="C406" s="16">
        <v>45420.66625</v>
      </c>
      <c r="D406" s="14"/>
      <c r="E406" s="32">
        <v>45421.0</v>
      </c>
      <c r="F406" s="32">
        <v>45435.0</v>
      </c>
      <c r="G406" s="32">
        <v>45435.0</v>
      </c>
      <c r="H406" s="14"/>
      <c r="I406" s="14"/>
      <c r="J406" s="14"/>
      <c r="K406" s="18">
        <f>HYPERLINK("https://app.hubspot.com/contacts/8748051/record/0-2/9597010068", 9597010068)</f>
        <v>9597010068</v>
      </c>
      <c r="L406" s="18" t="s">
        <v>1709</v>
      </c>
      <c r="M406" s="18" t="s">
        <v>1710</v>
      </c>
      <c r="N406" s="18">
        <f>HYPERLINK("https://app.hubspot.com/contacts/8748051/record/0-3/19555520154", 19555520154)</f>
        <v>19555520154</v>
      </c>
      <c r="O406" s="14" t="s">
        <v>1708</v>
      </c>
      <c r="P406" s="14" t="s">
        <v>124</v>
      </c>
      <c r="Q406" s="14">
        <v>20000.0</v>
      </c>
      <c r="R406" s="14" t="b">
        <v>1</v>
      </c>
      <c r="S406" s="24" t="str">
        <f t="shared" ref="S406:U406" si="410">IF(E406&lt;&gt;"","Yes","")</f>
        <v>Yes</v>
      </c>
      <c r="T406" s="24" t="str">
        <f t="shared" si="410"/>
        <v>Yes</v>
      </c>
      <c r="U406" s="24" t="str">
        <f t="shared" si="410"/>
        <v>Yes</v>
      </c>
      <c r="V406" s="24" t="str">
        <f t="shared" si="3"/>
        <v/>
      </c>
      <c r="W406" s="14" t="str">
        <f t="shared" si="4"/>
        <v/>
      </c>
    </row>
    <row r="407" ht="14.25" customHeight="1">
      <c r="A407" s="18">
        <f>HYPERLINK("https://app.hubspot.com/contacts/8748051/record/0-1/17245750847", 17245750847)</f>
        <v>17245750847</v>
      </c>
      <c r="B407" s="14" t="s">
        <v>4054</v>
      </c>
      <c r="C407" s="16">
        <v>45412.58675925926</v>
      </c>
      <c r="D407" s="14" t="s">
        <v>4038</v>
      </c>
      <c r="E407" s="32"/>
      <c r="F407" s="32"/>
      <c r="G407" s="32"/>
      <c r="H407" s="14"/>
      <c r="I407" s="14"/>
      <c r="J407" s="14"/>
      <c r="K407" s="18">
        <f>HYPERLINK("https://app.hubspot.com/contacts/8748051/record/0-2/20559911181", 20559911181)</f>
        <v>20559911181</v>
      </c>
      <c r="L407" s="18" t="s">
        <v>4055</v>
      </c>
      <c r="M407" s="18" t="s">
        <v>4055</v>
      </c>
      <c r="N407" s="24"/>
      <c r="O407" s="14"/>
      <c r="P407" s="14"/>
      <c r="Q407" s="14"/>
      <c r="R407" s="24"/>
      <c r="S407" s="24" t="str">
        <f t="shared" ref="S407:U407" si="411">IF(E407&lt;&gt;"","Yes","")</f>
        <v/>
      </c>
      <c r="T407" s="24" t="str">
        <f t="shared" si="411"/>
        <v/>
      </c>
      <c r="U407" s="24" t="str">
        <f t="shared" si="411"/>
        <v/>
      </c>
      <c r="V407" s="24" t="str">
        <f t="shared" si="3"/>
        <v/>
      </c>
      <c r="W407" s="14" t="str">
        <f t="shared" si="4"/>
        <v/>
      </c>
    </row>
    <row r="408" ht="14.25" customHeight="1">
      <c r="A408" s="18">
        <f>HYPERLINK("https://app.hubspot.com/contacts/8748051/record/0-1/2187757", 2187757)</f>
        <v>2187757</v>
      </c>
      <c r="B408" s="14" t="s">
        <v>4056</v>
      </c>
      <c r="C408" s="16">
        <v>45412.14165509259</v>
      </c>
      <c r="D408" s="14"/>
      <c r="E408" s="32">
        <v>45412.0</v>
      </c>
      <c r="F408" s="32">
        <v>45414.0</v>
      </c>
      <c r="G408" s="32">
        <v>45414.0</v>
      </c>
      <c r="H408" s="14"/>
      <c r="I408" s="14"/>
      <c r="J408" s="14"/>
      <c r="K408" s="18">
        <f>HYPERLINK("https://app.hubspot.com/contacts/8748051/record/0-2/8142764962", 8142764962)</f>
        <v>8142764962</v>
      </c>
      <c r="L408" s="14" t="s">
        <v>951</v>
      </c>
      <c r="M408" s="18" t="s">
        <v>952</v>
      </c>
      <c r="N408" s="18">
        <f>HYPERLINK("https://app.hubspot.com/contacts/8748051/record/0-3/19061162282", 19061162282)</f>
        <v>19061162282</v>
      </c>
      <c r="O408" s="14" t="s">
        <v>950</v>
      </c>
      <c r="P408" s="14" t="s">
        <v>118</v>
      </c>
      <c r="Q408" s="14">
        <v>129360.0</v>
      </c>
      <c r="R408" s="14"/>
      <c r="S408" s="24" t="str">
        <f t="shared" ref="S408:U408" si="412">IF(E408&lt;&gt;"","Yes","")</f>
        <v>Yes</v>
      </c>
      <c r="T408" s="24" t="str">
        <f t="shared" si="412"/>
        <v>Yes</v>
      </c>
      <c r="U408" s="24" t="str">
        <f t="shared" si="412"/>
        <v>Yes</v>
      </c>
      <c r="V408" s="24" t="str">
        <f t="shared" si="3"/>
        <v/>
      </c>
      <c r="W408" s="14" t="str">
        <f t="shared" si="4"/>
        <v/>
      </c>
    </row>
    <row r="409" ht="14.25" customHeight="1">
      <c r="A409" s="18">
        <f>HYPERLINK("https://app.hubspot.com/contacts/8748051/record/0-1/9429562947", 9429562947)</f>
        <v>9429562947</v>
      </c>
      <c r="B409" s="14" t="s">
        <v>4057</v>
      </c>
      <c r="C409" s="16">
        <v>45411.22074074074</v>
      </c>
      <c r="D409" s="14"/>
      <c r="E409" s="32">
        <v>45386.0</v>
      </c>
      <c r="F409" s="32">
        <v>45392.0</v>
      </c>
      <c r="G409" s="32"/>
      <c r="H409" s="14"/>
      <c r="I409" s="14"/>
      <c r="J409" s="14"/>
      <c r="K409" s="18">
        <f>HYPERLINK("https://app.hubspot.com/contacts/8748051/record/0-2/19176728645", 19176728645)</f>
        <v>19176728645</v>
      </c>
      <c r="L409" s="14" t="s">
        <v>4058</v>
      </c>
      <c r="M409" s="14" t="s">
        <v>4059</v>
      </c>
      <c r="N409" s="14"/>
      <c r="O409" s="14"/>
      <c r="P409" s="14"/>
      <c r="Q409" s="14"/>
      <c r="R409" s="14"/>
      <c r="S409" s="24" t="str">
        <f t="shared" ref="S409:U409" si="413">IF(E409&lt;&gt;"","Yes","")</f>
        <v>Yes</v>
      </c>
      <c r="T409" s="24" t="str">
        <f t="shared" si="413"/>
        <v>Yes</v>
      </c>
      <c r="U409" s="24" t="str">
        <f t="shared" si="413"/>
        <v/>
      </c>
      <c r="V409" s="24" t="str">
        <f t="shared" si="3"/>
        <v/>
      </c>
      <c r="W409" s="14" t="str">
        <f t="shared" si="4"/>
        <v/>
      </c>
    </row>
    <row r="410" ht="14.25" customHeight="1">
      <c r="A410" s="23">
        <f>HYPERLINK("https://app.hubspot.com/contacts/8748051/record/0-1/16029315605", 16029315605)</f>
        <v>16029315605</v>
      </c>
      <c r="B410" s="14" t="s">
        <v>4060</v>
      </c>
      <c r="C410" s="16">
        <v>45408.29287037037</v>
      </c>
      <c r="D410" s="14"/>
      <c r="E410" s="32">
        <v>45408.0</v>
      </c>
      <c r="F410" s="32">
        <v>45414.0</v>
      </c>
      <c r="G410" s="32">
        <v>45414.0</v>
      </c>
      <c r="H410" s="14"/>
      <c r="I410" s="14"/>
      <c r="J410" s="24"/>
      <c r="K410" s="23">
        <f>HYPERLINK("https://app.hubspot.com/contacts/8748051/record/0-2/7735473314", 7735473314)</f>
        <v>7735473314</v>
      </c>
      <c r="L410" s="14" t="s">
        <v>315</v>
      </c>
      <c r="M410" s="18" t="s">
        <v>316</v>
      </c>
      <c r="N410" s="23">
        <f>HYPERLINK("https://app.hubspot.com/contacts/8748051/record/0-3/19090051890", 19090051890)</f>
        <v>19090051890</v>
      </c>
      <c r="O410" s="14" t="s">
        <v>1802</v>
      </c>
      <c r="P410" s="14" t="s">
        <v>89</v>
      </c>
      <c r="Q410" s="14">
        <v>3120.0</v>
      </c>
      <c r="R410" s="14" t="b">
        <v>1</v>
      </c>
      <c r="S410" s="24" t="str">
        <f t="shared" ref="S410:U410" si="414">IF(E410&lt;&gt;"","Yes","")</f>
        <v>Yes</v>
      </c>
      <c r="T410" s="24" t="str">
        <f t="shared" si="414"/>
        <v>Yes</v>
      </c>
      <c r="U410" s="24" t="str">
        <f t="shared" si="414"/>
        <v>Yes</v>
      </c>
      <c r="V410" s="24" t="str">
        <f t="shared" si="3"/>
        <v>Yes</v>
      </c>
      <c r="W410" s="14" t="str">
        <f t="shared" si="4"/>
        <v/>
      </c>
    </row>
    <row r="411" ht="14.25" customHeight="1">
      <c r="A411" s="18">
        <f>HYPERLINK("https://app.hubspot.com/contacts/8748051/record/0-1/15682331757", 15682331757)</f>
        <v>15682331757</v>
      </c>
      <c r="B411" s="14" t="s">
        <v>4061</v>
      </c>
      <c r="C411" s="16">
        <v>45407.22844907407</v>
      </c>
      <c r="D411" s="14"/>
      <c r="E411" s="32">
        <v>45412.0</v>
      </c>
      <c r="F411" s="32">
        <v>45412.0</v>
      </c>
      <c r="G411" s="32">
        <v>45412.0</v>
      </c>
      <c r="H411" s="14"/>
      <c r="I411" s="14"/>
      <c r="J411" s="14"/>
      <c r="K411" s="18">
        <f>HYPERLINK("https://app.hubspot.com/contacts/8748051/record/0-2/18303139897", 18303139897)</f>
        <v>18303139897</v>
      </c>
      <c r="L411" s="14" t="s">
        <v>1738</v>
      </c>
      <c r="M411" s="18" t="s">
        <v>1739</v>
      </c>
      <c r="N411" s="18">
        <f>HYPERLINK("https://app.hubspot.com/contacts/8748051/record/0-3/19474969734", 19474969734)</f>
        <v>19474969734</v>
      </c>
      <c r="O411" s="14" t="s">
        <v>1736</v>
      </c>
      <c r="P411" s="14" t="s">
        <v>146</v>
      </c>
      <c r="Q411" s="14">
        <v>10000.0</v>
      </c>
      <c r="R411" s="14" t="b">
        <v>1</v>
      </c>
      <c r="S411" s="24" t="str">
        <f t="shared" ref="S411:U411" si="415">IF(E411&lt;&gt;"","Yes","")</f>
        <v>Yes</v>
      </c>
      <c r="T411" s="24" t="str">
        <f t="shared" si="415"/>
        <v>Yes</v>
      </c>
      <c r="U411" s="24" t="str">
        <f t="shared" si="415"/>
        <v>Yes</v>
      </c>
      <c r="V411" s="24" t="str">
        <f t="shared" si="3"/>
        <v/>
      </c>
      <c r="W411" s="14" t="str">
        <f t="shared" si="4"/>
        <v>Yes</v>
      </c>
    </row>
    <row r="412" ht="14.25" customHeight="1">
      <c r="A412" s="18">
        <f>HYPERLINK("https://app.hubspot.com/contacts/8748051/record/0-1/15314872358", 15314872358)</f>
        <v>15314872358</v>
      </c>
      <c r="B412" s="14" t="s">
        <v>4062</v>
      </c>
      <c r="C412" s="16">
        <v>45406.03057870371</v>
      </c>
      <c r="D412" s="14"/>
      <c r="E412" s="32">
        <v>45406.0</v>
      </c>
      <c r="F412" s="32">
        <v>45407.0</v>
      </c>
      <c r="G412" s="32">
        <v>45407.0</v>
      </c>
      <c r="H412" s="14"/>
      <c r="I412" s="14"/>
      <c r="J412" s="14"/>
      <c r="K412" s="18">
        <f>HYPERLINK("https://app.hubspot.com/contacts/8748051/record/0-2/8831495001", 8831495001)</f>
        <v>8831495001</v>
      </c>
      <c r="L412" s="14" t="s">
        <v>1829</v>
      </c>
      <c r="M412" s="18" t="s">
        <v>1830</v>
      </c>
      <c r="N412" s="18">
        <f>HYPERLINK("https://app.hubspot.com/contacts/8748051/record/0-3/18899800123", 18899800123)</f>
        <v>18899800123</v>
      </c>
      <c r="O412" s="14" t="s">
        <v>1827</v>
      </c>
      <c r="P412" s="14" t="s">
        <v>89</v>
      </c>
      <c r="Q412" s="14">
        <v>5400.0</v>
      </c>
      <c r="R412" s="14" t="b">
        <v>1</v>
      </c>
      <c r="S412" s="24" t="str">
        <f t="shared" ref="S412:U412" si="416">IF(E412&lt;&gt;"","Yes","")</f>
        <v>Yes</v>
      </c>
      <c r="T412" s="24" t="str">
        <f t="shared" si="416"/>
        <v>Yes</v>
      </c>
      <c r="U412" s="24" t="str">
        <f t="shared" si="416"/>
        <v>Yes</v>
      </c>
      <c r="V412" s="24" t="str">
        <f t="shared" si="3"/>
        <v>Yes</v>
      </c>
      <c r="W412" s="14" t="str">
        <f t="shared" si="4"/>
        <v/>
      </c>
    </row>
    <row r="413" ht="14.25" customHeight="1">
      <c r="A413" s="18">
        <f>HYPERLINK("https://app.hubspot.com/contacts/8748051/record/0-1/14952936257", 14952936257)</f>
        <v>14952936257</v>
      </c>
      <c r="B413" s="14" t="s">
        <v>4063</v>
      </c>
      <c r="C413" s="16">
        <v>45404.908530092594</v>
      </c>
      <c r="D413" s="14" t="s">
        <v>4038</v>
      </c>
      <c r="E413" s="32"/>
      <c r="F413" s="32"/>
      <c r="G413" s="32"/>
      <c r="H413" s="14"/>
      <c r="I413" s="14"/>
      <c r="J413" s="14"/>
      <c r="K413" s="18">
        <f>HYPERLINK("https://app.hubspot.com/contacts/8748051/record/0-2/20405045138", 20405045138)</f>
        <v>20405045138</v>
      </c>
      <c r="L413" s="14" t="s">
        <v>4064</v>
      </c>
      <c r="M413" s="18" t="s">
        <v>4065</v>
      </c>
      <c r="N413" s="14"/>
      <c r="O413" s="14"/>
      <c r="P413" s="14"/>
      <c r="Q413" s="14"/>
      <c r="R413" s="14"/>
      <c r="S413" s="24" t="str">
        <f t="shared" ref="S413:U413" si="417">IF(E413&lt;&gt;"","Yes","")</f>
        <v/>
      </c>
      <c r="T413" s="24" t="str">
        <f t="shared" si="417"/>
        <v/>
      </c>
      <c r="U413" s="24" t="str">
        <f t="shared" si="417"/>
        <v/>
      </c>
      <c r="V413" s="24" t="str">
        <f t="shared" si="3"/>
        <v/>
      </c>
      <c r="W413" s="14" t="str">
        <f t="shared" si="4"/>
        <v/>
      </c>
    </row>
    <row r="414" ht="14.25" customHeight="1">
      <c r="A414" s="18">
        <f>HYPERLINK("https://app.hubspot.com/contacts/8748051/record/0-1/14824857479", 14824857479)</f>
        <v>14824857479</v>
      </c>
      <c r="B414" s="14" t="s">
        <v>4066</v>
      </c>
      <c r="C414" s="16">
        <v>45404.51894675926</v>
      </c>
      <c r="D414" s="14" t="s">
        <v>4067</v>
      </c>
      <c r="E414" s="32"/>
      <c r="F414" s="32"/>
      <c r="G414" s="32"/>
      <c r="H414" s="14"/>
      <c r="I414" s="14"/>
      <c r="J414" s="14"/>
      <c r="K414" s="18">
        <f>HYPERLINK("https://app.hubspot.com/contacts/8748051/record/0-2/20399179796", 20399179796)</f>
        <v>20399179796</v>
      </c>
      <c r="L414" s="14" t="s">
        <v>4068</v>
      </c>
      <c r="M414" s="18" t="s">
        <v>4069</v>
      </c>
      <c r="N414" s="14"/>
      <c r="O414" s="14"/>
      <c r="P414" s="14"/>
      <c r="Q414" s="14"/>
      <c r="R414" s="14"/>
      <c r="S414" s="24" t="str">
        <f t="shared" ref="S414:U414" si="418">IF(E414&lt;&gt;"","Yes","")</f>
        <v/>
      </c>
      <c r="T414" s="24" t="str">
        <f t="shared" si="418"/>
        <v/>
      </c>
      <c r="U414" s="24" t="str">
        <f t="shared" si="418"/>
        <v/>
      </c>
      <c r="V414" s="24" t="str">
        <f t="shared" si="3"/>
        <v/>
      </c>
      <c r="W414" s="14" t="str">
        <f t="shared" si="4"/>
        <v/>
      </c>
    </row>
    <row r="415" ht="14.25" customHeight="1">
      <c r="A415" s="18">
        <f>HYPERLINK("https://app.hubspot.com/contacts/8748051/record/0-1/14484522244", 14484522244)</f>
        <v>14484522244</v>
      </c>
      <c r="B415" s="14" t="s">
        <v>4070</v>
      </c>
      <c r="C415" s="16">
        <v>45403.395902777775</v>
      </c>
      <c r="D415" s="14" t="s">
        <v>4071</v>
      </c>
      <c r="E415" s="32"/>
      <c r="F415" s="32"/>
      <c r="G415" s="32"/>
      <c r="H415" s="14"/>
      <c r="I415" s="14"/>
      <c r="J415" s="14"/>
      <c r="K415" s="18">
        <f>HYPERLINK("https://app.hubspot.com/contacts/8748051/record/0-2/20382480755", 20382480755)</f>
        <v>20382480755</v>
      </c>
      <c r="L415" s="14" t="s">
        <v>4072</v>
      </c>
      <c r="M415" s="18" t="s">
        <v>4073</v>
      </c>
      <c r="N415" s="14"/>
      <c r="O415" s="14"/>
      <c r="P415" s="14"/>
      <c r="Q415" s="14"/>
      <c r="R415" s="14"/>
      <c r="S415" s="24" t="str">
        <f t="shared" ref="S415:U415" si="419">IF(E415&lt;&gt;"","Yes","")</f>
        <v/>
      </c>
      <c r="T415" s="24" t="str">
        <f t="shared" si="419"/>
        <v/>
      </c>
      <c r="U415" s="24" t="str">
        <f t="shared" si="419"/>
        <v/>
      </c>
      <c r="V415" s="24" t="str">
        <f t="shared" si="3"/>
        <v/>
      </c>
      <c r="W415" s="14" t="str">
        <f t="shared" si="4"/>
        <v/>
      </c>
    </row>
    <row r="416" ht="14.25" customHeight="1">
      <c r="A416" s="18">
        <f>HYPERLINK("https://app.hubspot.com/contacts/8748051/record/0-1/14458777182", 14458777182)</f>
        <v>14458777182</v>
      </c>
      <c r="B416" s="14" t="s">
        <v>4074</v>
      </c>
      <c r="C416" s="16">
        <v>45403.298310185186</v>
      </c>
      <c r="D416" s="14" t="s">
        <v>4075</v>
      </c>
      <c r="E416" s="32"/>
      <c r="F416" s="32"/>
      <c r="G416" s="32"/>
      <c r="H416" s="14"/>
      <c r="I416" s="14"/>
      <c r="J416" s="14"/>
      <c r="K416" s="18">
        <f>HYPERLINK("https://app.hubspot.com/contacts/8748051/record/0-2/20381836324", 20381836324)</f>
        <v>20381836324</v>
      </c>
      <c r="L416" s="14" t="s">
        <v>4076</v>
      </c>
      <c r="M416" s="18" t="s">
        <v>4077</v>
      </c>
      <c r="N416" s="14"/>
      <c r="O416" s="14"/>
      <c r="P416" s="14"/>
      <c r="Q416" s="14"/>
      <c r="R416" s="14"/>
      <c r="S416" s="24" t="str">
        <f t="shared" ref="S416:U416" si="420">IF(E416&lt;&gt;"","Yes","")</f>
        <v/>
      </c>
      <c r="T416" s="24" t="str">
        <f t="shared" si="420"/>
        <v/>
      </c>
      <c r="U416" s="24" t="str">
        <f t="shared" si="420"/>
        <v/>
      </c>
      <c r="V416" s="24" t="str">
        <f t="shared" si="3"/>
        <v/>
      </c>
      <c r="W416" s="14" t="str">
        <f t="shared" si="4"/>
        <v/>
      </c>
    </row>
    <row r="417" ht="14.25" customHeight="1">
      <c r="A417" s="18">
        <f>HYPERLINK("https://app.hubspot.com/contacts/8748051/record/0-1/14317669144", 14317669144)</f>
        <v>14317669144</v>
      </c>
      <c r="B417" s="14" t="s">
        <v>4078</v>
      </c>
      <c r="C417" s="16">
        <v>45402.690625</v>
      </c>
      <c r="D417" s="14" t="s">
        <v>4038</v>
      </c>
      <c r="E417" s="32"/>
      <c r="F417" s="32"/>
      <c r="G417" s="32"/>
      <c r="H417" s="14"/>
      <c r="I417" s="14"/>
      <c r="J417" s="14"/>
      <c r="K417" s="18">
        <f>HYPERLINK("https://app.hubspot.com/contacts/8748051/record/0-2/20375546436", 20375546436)</f>
        <v>20375546436</v>
      </c>
      <c r="L417" s="14" t="s">
        <v>4079</v>
      </c>
      <c r="M417" s="14" t="s">
        <v>4080</v>
      </c>
      <c r="N417" s="24"/>
      <c r="O417" s="14"/>
      <c r="P417" s="14"/>
      <c r="Q417" s="14"/>
      <c r="R417" s="14"/>
      <c r="S417" s="24" t="str">
        <f t="shared" ref="S417:U417" si="421">IF(E417&lt;&gt;"","Yes","")</f>
        <v/>
      </c>
      <c r="T417" s="24" t="str">
        <f t="shared" si="421"/>
        <v/>
      </c>
      <c r="U417" s="24" t="str">
        <f t="shared" si="421"/>
        <v/>
      </c>
      <c r="V417" s="24" t="str">
        <f t="shared" si="3"/>
        <v/>
      </c>
      <c r="W417" s="14" t="str">
        <f t="shared" si="4"/>
        <v/>
      </c>
    </row>
    <row r="418" ht="14.25" customHeight="1">
      <c r="A418" s="18">
        <f>HYPERLINK("https://app.hubspot.com/contacts/8748051/record/0-1/28116189625", 28116189625)</f>
        <v>28116189625</v>
      </c>
      <c r="B418" s="14" t="s">
        <v>4081</v>
      </c>
      <c r="C418" s="16">
        <v>45400.61851851852</v>
      </c>
      <c r="D418" s="14"/>
      <c r="E418" s="32">
        <v>45401.0</v>
      </c>
      <c r="F418" s="32">
        <v>45411.0</v>
      </c>
      <c r="G418" s="32">
        <v>45411.0</v>
      </c>
      <c r="H418" s="14"/>
      <c r="I418" s="14"/>
      <c r="J418" s="14"/>
      <c r="K418" s="18">
        <f>HYPERLINK("https://app.hubspot.com/contacts/8748051/record/0-2/21307661078", 21307661078)</f>
        <v>21307661078</v>
      </c>
      <c r="L418" s="14" t="s">
        <v>4082</v>
      </c>
      <c r="M418" s="18" t="s">
        <v>4083</v>
      </c>
      <c r="N418" s="24"/>
      <c r="O418" s="14"/>
      <c r="P418" s="14"/>
      <c r="Q418" s="14"/>
      <c r="R418" s="14"/>
      <c r="S418" s="24" t="str">
        <f t="shared" ref="S418:U418" si="422">IF(E418&lt;&gt;"","Yes","")</f>
        <v>Yes</v>
      </c>
      <c r="T418" s="24" t="str">
        <f t="shared" si="422"/>
        <v>Yes</v>
      </c>
      <c r="U418" s="24" t="str">
        <f t="shared" si="422"/>
        <v>Yes</v>
      </c>
      <c r="V418" s="24" t="str">
        <f t="shared" si="3"/>
        <v/>
      </c>
      <c r="W418" s="14" t="str">
        <f t="shared" si="4"/>
        <v/>
      </c>
    </row>
    <row r="419" ht="14.25" customHeight="1">
      <c r="A419" s="18">
        <f>HYPERLINK("https://app.hubspot.com/contacts/8748051/record/0-1/13488657161", 13488657161)</f>
        <v>13488657161</v>
      </c>
      <c r="B419" s="14" t="s">
        <v>4084</v>
      </c>
      <c r="C419" s="16">
        <v>45399.984351851854</v>
      </c>
      <c r="D419" s="14"/>
      <c r="E419" s="32">
        <v>45400.0</v>
      </c>
      <c r="F419" s="32">
        <v>45408.0</v>
      </c>
      <c r="G419" s="32"/>
      <c r="H419" s="14"/>
      <c r="I419" s="14"/>
      <c r="J419" s="14"/>
      <c r="K419" s="18">
        <f>HYPERLINK("https://app.hubspot.com/contacts/8748051/record/0-2/20323929715", 20323929715)</f>
        <v>20323929715</v>
      </c>
      <c r="L419" s="14" t="s">
        <v>4085</v>
      </c>
      <c r="M419" s="18" t="s">
        <v>4086</v>
      </c>
      <c r="N419" s="14"/>
      <c r="O419" s="14"/>
      <c r="P419" s="14"/>
      <c r="Q419" s="14"/>
      <c r="R419" s="14"/>
      <c r="S419" s="24" t="str">
        <f t="shared" ref="S419:U419" si="423">IF(E419&lt;&gt;"","Yes","")</f>
        <v>Yes</v>
      </c>
      <c r="T419" s="24" t="str">
        <f t="shared" si="423"/>
        <v>Yes</v>
      </c>
      <c r="U419" s="24" t="str">
        <f t="shared" si="423"/>
        <v/>
      </c>
      <c r="V419" s="24" t="str">
        <f t="shared" si="3"/>
        <v/>
      </c>
      <c r="W419" s="14" t="str">
        <f t="shared" si="4"/>
        <v/>
      </c>
    </row>
    <row r="420" ht="14.25" customHeight="1">
      <c r="A420" s="18">
        <f>HYPERLINK("https://app.hubspot.com/contacts/8748051/record/0-1/13479780899", 13479780899)</f>
        <v>13479780899</v>
      </c>
      <c r="B420" s="14" t="s">
        <v>4087</v>
      </c>
      <c r="C420" s="16">
        <v>45399.92759259259</v>
      </c>
      <c r="D420" s="14" t="s">
        <v>3979</v>
      </c>
      <c r="E420" s="32"/>
      <c r="F420" s="32"/>
      <c r="G420" s="32"/>
      <c r="H420" s="14"/>
      <c r="I420" s="14"/>
      <c r="J420" s="14"/>
      <c r="K420" s="18">
        <f>HYPERLINK("https://app.hubspot.com/contacts/8748051/record/0-2/20323789971", 20323789971)</f>
        <v>20323789971</v>
      </c>
      <c r="L420" s="14" t="s">
        <v>4088</v>
      </c>
      <c r="M420" s="18" t="s">
        <v>4089</v>
      </c>
      <c r="N420" s="14"/>
      <c r="O420" s="14"/>
      <c r="P420" s="14"/>
      <c r="Q420" s="14"/>
      <c r="R420" s="14"/>
      <c r="S420" s="24" t="str">
        <f t="shared" ref="S420:U420" si="424">IF(E420&lt;&gt;"","Yes","")</f>
        <v/>
      </c>
      <c r="T420" s="24" t="str">
        <f t="shared" si="424"/>
        <v/>
      </c>
      <c r="U420" s="24" t="str">
        <f t="shared" si="424"/>
        <v/>
      </c>
      <c r="V420" s="24" t="str">
        <f t="shared" si="3"/>
        <v/>
      </c>
      <c r="W420" s="14" t="str">
        <f t="shared" si="4"/>
        <v/>
      </c>
    </row>
    <row r="421" ht="14.25" customHeight="1">
      <c r="A421" s="18">
        <f>HYPERLINK("https://app.hubspot.com/contacts/8748051/record/0-1/12709864499", 12709864499)</f>
        <v>12709864499</v>
      </c>
      <c r="B421" s="14" t="s">
        <v>4090</v>
      </c>
      <c r="C421" s="16">
        <v>45397.7046412037</v>
      </c>
      <c r="D421" s="14"/>
      <c r="E421" s="32">
        <v>45398.0</v>
      </c>
      <c r="F421" s="32">
        <v>45398.0</v>
      </c>
      <c r="G421" s="32">
        <v>45398.0</v>
      </c>
      <c r="H421" s="14"/>
      <c r="I421" s="14"/>
      <c r="J421" s="14"/>
      <c r="K421" s="18">
        <f>HYPERLINK("https://app.hubspot.com/contacts/8748051/record/0-2/8016919815", 8016919815)</f>
        <v>8016919815</v>
      </c>
      <c r="L421" s="14" t="s">
        <v>275</v>
      </c>
      <c r="M421" s="18" t="s">
        <v>276</v>
      </c>
      <c r="N421" s="18">
        <f>HYPERLINK("https://app.hubspot.com/contacts/8748051/record/0-3/18682261332", 18682261332)</f>
        <v>18682261332</v>
      </c>
      <c r="O421" s="14" t="s">
        <v>1881</v>
      </c>
      <c r="P421" s="14" t="s">
        <v>89</v>
      </c>
      <c r="Q421" s="14">
        <v>18000.0</v>
      </c>
      <c r="R421" s="14" t="b">
        <v>1</v>
      </c>
      <c r="S421" s="24" t="str">
        <f t="shared" ref="S421:U421" si="425">IF(E421&lt;&gt;"","Yes","")</f>
        <v>Yes</v>
      </c>
      <c r="T421" s="24" t="str">
        <f t="shared" si="425"/>
        <v>Yes</v>
      </c>
      <c r="U421" s="24" t="str">
        <f t="shared" si="425"/>
        <v>Yes</v>
      </c>
      <c r="V421" s="24" t="str">
        <f t="shared" si="3"/>
        <v>Yes</v>
      </c>
      <c r="W421" s="14" t="str">
        <f t="shared" si="4"/>
        <v/>
      </c>
    </row>
    <row r="422" ht="14.25" customHeight="1">
      <c r="A422" s="18">
        <f>HYPERLINK("https://app.hubspot.com/contacts/8748051/record/0-1/12258890517", 12258890517)</f>
        <v>12258890517</v>
      </c>
      <c r="B422" s="14" t="s">
        <v>4091</v>
      </c>
      <c r="C422" s="16">
        <v>45397.13079861111</v>
      </c>
      <c r="D422" s="14" t="s">
        <v>4067</v>
      </c>
      <c r="E422" s="32"/>
      <c r="F422" s="32"/>
      <c r="G422" s="32"/>
      <c r="H422" s="14"/>
      <c r="I422" s="14"/>
      <c r="J422" s="14"/>
      <c r="K422" s="18">
        <f>HYPERLINK("https://app.hubspot.com/contacts/8748051/record/0-2/19176740118", 19176740118)</f>
        <v>19176740118</v>
      </c>
      <c r="L422" s="14" t="s">
        <v>4092</v>
      </c>
      <c r="M422" s="18" t="s">
        <v>4093</v>
      </c>
      <c r="N422" s="14"/>
      <c r="O422" s="14"/>
      <c r="P422" s="14"/>
      <c r="Q422" s="14"/>
      <c r="R422" s="14"/>
      <c r="S422" s="24" t="str">
        <f t="shared" ref="S422:U422" si="426">IF(E422&lt;&gt;"","Yes","")</f>
        <v/>
      </c>
      <c r="T422" s="24" t="str">
        <f t="shared" si="426"/>
        <v/>
      </c>
      <c r="U422" s="24" t="str">
        <f t="shared" si="426"/>
        <v/>
      </c>
      <c r="V422" s="24" t="str">
        <f t="shared" si="3"/>
        <v/>
      </c>
      <c r="W422" s="14" t="str">
        <f t="shared" si="4"/>
        <v/>
      </c>
    </row>
    <row r="423" ht="14.25" customHeight="1">
      <c r="A423" s="18">
        <f>HYPERLINK("https://app.hubspot.com/contacts/8748051/record/0-1/11785426434", 11785426434)</f>
        <v>11785426434</v>
      </c>
      <c r="B423" s="14" t="s">
        <v>4094</v>
      </c>
      <c r="C423" s="16">
        <v>45394.345729166664</v>
      </c>
      <c r="D423" s="14" t="s">
        <v>4038</v>
      </c>
      <c r="E423" s="32"/>
      <c r="F423" s="32"/>
      <c r="G423" s="32"/>
      <c r="H423" s="14"/>
      <c r="I423" s="14"/>
      <c r="J423" s="14"/>
      <c r="K423" s="18">
        <f>HYPERLINK("https://app.hubspot.com/contacts/8748051/record/0-2/20225135750", 20225135750)</f>
        <v>20225135750</v>
      </c>
      <c r="L423" s="18" t="s">
        <v>4095</v>
      </c>
      <c r="M423" s="18" t="s">
        <v>4095</v>
      </c>
      <c r="N423" s="14"/>
      <c r="O423" s="14"/>
      <c r="P423" s="14"/>
      <c r="Q423" s="14"/>
      <c r="R423" s="14"/>
      <c r="S423" s="24" t="str">
        <f t="shared" ref="S423:U423" si="427">IF(E423&lt;&gt;"","Yes","")</f>
        <v/>
      </c>
      <c r="T423" s="24" t="str">
        <f t="shared" si="427"/>
        <v/>
      </c>
      <c r="U423" s="24" t="str">
        <f t="shared" si="427"/>
        <v/>
      </c>
      <c r="V423" s="24" t="str">
        <f t="shared" si="3"/>
        <v/>
      </c>
      <c r="W423" s="14" t="str">
        <f t="shared" si="4"/>
        <v/>
      </c>
    </row>
    <row r="424" ht="14.25" customHeight="1">
      <c r="A424" s="18">
        <f>HYPERLINK("https://app.hubspot.com/contacts/8748051/record/0-1/11536603143", 11536603143)</f>
        <v>11536603143</v>
      </c>
      <c r="B424" s="14" t="s">
        <v>4096</v>
      </c>
      <c r="C424" s="16">
        <v>45393.50074074074</v>
      </c>
      <c r="D424" s="14"/>
      <c r="E424" s="32">
        <v>45393.0</v>
      </c>
      <c r="F424" s="32">
        <v>45400.0</v>
      </c>
      <c r="G424" s="32"/>
      <c r="H424" s="14"/>
      <c r="I424" s="14"/>
      <c r="J424" s="14"/>
      <c r="K424" s="18">
        <f>HYPERLINK("https://app.hubspot.com/contacts/8748051/record/0-2/9238312225", 9238312225)</f>
        <v>9238312225</v>
      </c>
      <c r="L424" s="14" t="s">
        <v>4097</v>
      </c>
      <c r="M424" s="18" t="s">
        <v>4098</v>
      </c>
      <c r="N424" s="24"/>
      <c r="O424" s="14"/>
      <c r="P424" s="14"/>
      <c r="Q424" s="14"/>
      <c r="R424" s="14"/>
      <c r="S424" s="24" t="str">
        <f t="shared" ref="S424:U424" si="428">IF(E424&lt;&gt;"","Yes","")</f>
        <v>Yes</v>
      </c>
      <c r="T424" s="24" t="str">
        <f t="shared" si="428"/>
        <v>Yes</v>
      </c>
      <c r="U424" s="24" t="str">
        <f t="shared" si="428"/>
        <v/>
      </c>
      <c r="V424" s="24" t="str">
        <f t="shared" si="3"/>
        <v/>
      </c>
      <c r="W424" s="14" t="str">
        <f t="shared" si="4"/>
        <v/>
      </c>
    </row>
    <row r="425" ht="14.25" customHeight="1">
      <c r="A425" s="18">
        <f>HYPERLINK("https://app.hubspot.com/contacts/8748051/record/0-1/11513249184", 11513249184)</f>
        <v>11513249184</v>
      </c>
      <c r="B425" s="14" t="s">
        <v>4099</v>
      </c>
      <c r="C425" s="16">
        <v>45393.442662037036</v>
      </c>
      <c r="D425" s="14" t="s">
        <v>4100</v>
      </c>
      <c r="E425" s="32"/>
      <c r="F425" s="32"/>
      <c r="G425" s="32"/>
      <c r="H425" s="14"/>
      <c r="I425" s="14"/>
      <c r="J425" s="14"/>
      <c r="K425" s="18">
        <f>HYPERLINK("https://app.hubspot.com/contacts/8748051/record/0-2/20210066526", 20210066526)</f>
        <v>20210066526</v>
      </c>
      <c r="L425" s="14" t="s">
        <v>4101</v>
      </c>
      <c r="M425" s="18" t="s">
        <v>4102</v>
      </c>
      <c r="N425" s="24"/>
      <c r="O425" s="14"/>
      <c r="P425" s="14"/>
      <c r="Q425" s="14"/>
      <c r="R425" s="14"/>
      <c r="S425" s="24" t="str">
        <f t="shared" ref="S425:U425" si="429">IF(E425&lt;&gt;"","Yes","")</f>
        <v/>
      </c>
      <c r="T425" s="24" t="str">
        <f t="shared" si="429"/>
        <v/>
      </c>
      <c r="U425" s="24" t="str">
        <f t="shared" si="429"/>
        <v/>
      </c>
      <c r="V425" s="24" t="str">
        <f t="shared" si="3"/>
        <v/>
      </c>
      <c r="W425" s="14" t="str">
        <f t="shared" si="4"/>
        <v/>
      </c>
    </row>
    <row r="426" ht="14.25" customHeight="1">
      <c r="A426" s="18">
        <f>HYPERLINK("https://app.hubspot.com/contacts/8748051/record/0-1/11473339959", 11473339959)</f>
        <v>11473339959</v>
      </c>
      <c r="B426" s="14" t="s">
        <v>4103</v>
      </c>
      <c r="C426" s="16">
        <v>45393.3543287037</v>
      </c>
      <c r="D426" s="14" t="s">
        <v>4104</v>
      </c>
      <c r="E426" s="32"/>
      <c r="F426" s="32"/>
      <c r="G426" s="32"/>
      <c r="H426" s="14"/>
      <c r="I426" s="14"/>
      <c r="J426" s="14"/>
      <c r="K426" s="18">
        <f>HYPERLINK("https://app.hubspot.com/contacts/8748051/record/0-2/20207037847", 20207037847)</f>
        <v>20207037847</v>
      </c>
      <c r="L426" s="14" t="s">
        <v>4105</v>
      </c>
      <c r="M426" s="18" t="s">
        <v>4106</v>
      </c>
      <c r="N426" s="24"/>
      <c r="O426" s="14"/>
      <c r="P426" s="14"/>
      <c r="Q426" s="14"/>
      <c r="R426" s="14"/>
      <c r="S426" s="24" t="str">
        <f t="shared" ref="S426:U426" si="430">IF(E426&lt;&gt;"","Yes","")</f>
        <v/>
      </c>
      <c r="T426" s="24" t="str">
        <f t="shared" si="430"/>
        <v/>
      </c>
      <c r="U426" s="24" t="str">
        <f t="shared" si="430"/>
        <v/>
      </c>
      <c r="V426" s="24" t="str">
        <f t="shared" si="3"/>
        <v/>
      </c>
      <c r="W426" s="14" t="str">
        <f t="shared" si="4"/>
        <v/>
      </c>
    </row>
    <row r="427" ht="14.25" customHeight="1">
      <c r="A427" s="18">
        <f>HYPERLINK("https://app.hubspot.com/contacts/8748051/record/0-1/11471195768", 11471195768)</f>
        <v>11471195768</v>
      </c>
      <c r="B427" s="14" t="s">
        <v>4107</v>
      </c>
      <c r="C427" s="16">
        <v>45393.33766203704</v>
      </c>
      <c r="D427" s="14"/>
      <c r="E427" s="32">
        <v>45393.0</v>
      </c>
      <c r="F427" s="32">
        <v>45421.0</v>
      </c>
      <c r="G427" s="32"/>
      <c r="H427" s="14"/>
      <c r="I427" s="14"/>
      <c r="J427" s="14"/>
      <c r="K427" s="18">
        <f>HYPERLINK("https://app.hubspot.com/contacts/8748051/record/0-2/20208302190", 20208302190)</f>
        <v>20208302190</v>
      </c>
      <c r="L427" s="14" t="s">
        <v>4108</v>
      </c>
      <c r="M427" s="18" t="s">
        <v>4109</v>
      </c>
      <c r="N427" s="14"/>
      <c r="O427" s="14"/>
      <c r="P427" s="14"/>
      <c r="Q427" s="14"/>
      <c r="R427" s="14"/>
      <c r="S427" s="24" t="str">
        <f t="shared" ref="S427:U427" si="431">IF(E427&lt;&gt;"","Yes","")</f>
        <v>Yes</v>
      </c>
      <c r="T427" s="24" t="str">
        <f t="shared" si="431"/>
        <v>Yes</v>
      </c>
      <c r="U427" s="24" t="str">
        <f t="shared" si="431"/>
        <v/>
      </c>
      <c r="V427" s="24" t="str">
        <f t="shared" si="3"/>
        <v/>
      </c>
      <c r="W427" s="14" t="str">
        <f t="shared" si="4"/>
        <v/>
      </c>
    </row>
    <row r="428" ht="14.25" customHeight="1">
      <c r="A428" s="18">
        <f>HYPERLINK("https://app.hubspot.com/contacts/8748051/record/0-1/10792467461", 10792467461)</f>
        <v>10792467461</v>
      </c>
      <c r="B428" s="14" t="s">
        <v>4110</v>
      </c>
      <c r="C428" s="16">
        <v>45392.86497685185</v>
      </c>
      <c r="D428" s="14"/>
      <c r="E428" s="32">
        <v>45391.0</v>
      </c>
      <c r="F428" s="32">
        <v>45398.0</v>
      </c>
      <c r="G428" s="32">
        <v>45398.0</v>
      </c>
      <c r="H428" s="14"/>
      <c r="I428" s="14"/>
      <c r="J428" s="24"/>
      <c r="K428" s="18">
        <f>HYPERLINK("https://app.hubspot.com/contacts/8748051/record/0-2/18159786760", 18159786760)</f>
        <v>18159786760</v>
      </c>
      <c r="L428" s="14" t="s">
        <v>1896</v>
      </c>
      <c r="M428" s="18" t="s">
        <v>1897</v>
      </c>
      <c r="N428" s="23">
        <f>HYPERLINK("https://app.hubspot.com/contacts/8748051/record/0-3/18657596262", 18657596262)</f>
        <v>18657596262</v>
      </c>
      <c r="O428" s="14" t="s">
        <v>1895</v>
      </c>
      <c r="P428" s="14" t="s">
        <v>118</v>
      </c>
      <c r="Q428" s="14">
        <v>2880.0</v>
      </c>
      <c r="R428" s="14"/>
      <c r="S428" s="24" t="str">
        <f t="shared" ref="S428:U428" si="432">IF(E428&lt;&gt;"","Yes","")</f>
        <v>Yes</v>
      </c>
      <c r="T428" s="24" t="str">
        <f t="shared" si="432"/>
        <v>Yes</v>
      </c>
      <c r="U428" s="24" t="str">
        <f t="shared" si="432"/>
        <v>Yes</v>
      </c>
      <c r="V428" s="24" t="str">
        <f t="shared" si="3"/>
        <v/>
      </c>
      <c r="W428" s="14" t="str">
        <f t="shared" si="4"/>
        <v/>
      </c>
    </row>
    <row r="429" ht="14.25" customHeight="1">
      <c r="A429" s="18">
        <f>HYPERLINK("https://app.hubspot.com/contacts/8748051/record/0-1/10917613740", 10917613740)</f>
        <v>10917613740</v>
      </c>
      <c r="B429" s="14" t="s">
        <v>4111</v>
      </c>
      <c r="C429" s="16">
        <v>45392.63915509259</v>
      </c>
      <c r="D429" s="14" t="s">
        <v>4112</v>
      </c>
      <c r="E429" s="32"/>
      <c r="F429" s="32"/>
      <c r="G429" s="32"/>
      <c r="H429" s="14"/>
      <c r="I429" s="14"/>
      <c r="J429" s="14"/>
      <c r="K429" s="18">
        <f>HYPERLINK("https://app.hubspot.com/contacts/8748051/record/0-2/20196072612", 20196072612)</f>
        <v>20196072612</v>
      </c>
      <c r="L429" s="14" t="s">
        <v>4113</v>
      </c>
      <c r="M429" s="18" t="s">
        <v>4114</v>
      </c>
      <c r="N429" s="14"/>
      <c r="O429" s="14"/>
      <c r="P429" s="14"/>
      <c r="Q429" s="14"/>
      <c r="R429" s="14"/>
      <c r="S429" s="24" t="str">
        <f t="shared" ref="S429:U429" si="433">IF(E429&lt;&gt;"","Yes","")</f>
        <v/>
      </c>
      <c r="T429" s="24" t="str">
        <f t="shared" si="433"/>
        <v/>
      </c>
      <c r="U429" s="24" t="str">
        <f t="shared" si="433"/>
        <v/>
      </c>
      <c r="V429" s="24" t="str">
        <f t="shared" si="3"/>
        <v/>
      </c>
      <c r="W429" s="14" t="str">
        <f t="shared" si="4"/>
        <v/>
      </c>
    </row>
    <row r="430" ht="14.25" customHeight="1">
      <c r="A430" s="18">
        <f>HYPERLINK("https://app.hubspot.com/contacts/8748051/record/0-1/11139888909", 11139888909)</f>
        <v>11139888909</v>
      </c>
      <c r="B430" s="14" t="s">
        <v>4115</v>
      </c>
      <c r="C430" s="16">
        <v>45392.32152777778</v>
      </c>
      <c r="D430" s="14" t="s">
        <v>4116</v>
      </c>
      <c r="E430" s="32"/>
      <c r="F430" s="32"/>
      <c r="G430" s="32"/>
      <c r="H430" s="14"/>
      <c r="I430" s="14"/>
      <c r="J430" s="14"/>
      <c r="K430" s="18">
        <f>HYPERLINK("https://app.hubspot.com/contacts/8748051/record/0-2/20189864451", 20189864451)</f>
        <v>20189864451</v>
      </c>
      <c r="L430" s="14" t="s">
        <v>4117</v>
      </c>
      <c r="M430" s="18" t="s">
        <v>4118</v>
      </c>
      <c r="N430" s="24"/>
      <c r="O430" s="14"/>
      <c r="P430" s="14"/>
      <c r="Q430" s="14"/>
      <c r="R430" s="14"/>
      <c r="S430" s="24" t="str">
        <f t="shared" ref="S430:U430" si="434">IF(E430&lt;&gt;"","Yes","")</f>
        <v/>
      </c>
      <c r="T430" s="24" t="str">
        <f t="shared" si="434"/>
        <v/>
      </c>
      <c r="U430" s="24" t="str">
        <f t="shared" si="434"/>
        <v/>
      </c>
      <c r="V430" s="24" t="str">
        <f t="shared" si="3"/>
        <v/>
      </c>
      <c r="W430" s="14" t="str">
        <f t="shared" si="4"/>
        <v/>
      </c>
    </row>
    <row r="431" ht="14.25" customHeight="1">
      <c r="A431" s="18">
        <f>HYPERLINK("https://app.hubspot.com/contacts/8748051/record/0-1/11113868420", 11113868420)</f>
        <v>11113868420</v>
      </c>
      <c r="B431" s="14" t="s">
        <v>4119</v>
      </c>
      <c r="C431" s="16">
        <v>45392.24140046296</v>
      </c>
      <c r="D431" s="14" t="s">
        <v>4104</v>
      </c>
      <c r="E431" s="32"/>
      <c r="F431" s="32"/>
      <c r="G431" s="32"/>
      <c r="H431" s="14"/>
      <c r="I431" s="14"/>
      <c r="J431" s="14"/>
      <c r="K431" s="18">
        <f>HYPERLINK("https://app.hubspot.com/contacts/8748051/record/0-2/20188212997", 20188212997)</f>
        <v>20188212997</v>
      </c>
      <c r="L431" s="14" t="s">
        <v>4120</v>
      </c>
      <c r="M431" s="18" t="s">
        <v>4121</v>
      </c>
      <c r="N431" s="14"/>
      <c r="O431" s="14"/>
      <c r="P431" s="14"/>
      <c r="Q431" s="14"/>
      <c r="R431" s="14"/>
      <c r="S431" s="24" t="str">
        <f t="shared" ref="S431:U431" si="435">IF(E431&lt;&gt;"","Yes","")</f>
        <v/>
      </c>
      <c r="T431" s="24" t="str">
        <f t="shared" si="435"/>
        <v/>
      </c>
      <c r="U431" s="24" t="str">
        <f t="shared" si="435"/>
        <v/>
      </c>
      <c r="V431" s="24" t="str">
        <f t="shared" si="3"/>
        <v/>
      </c>
      <c r="W431" s="14" t="str">
        <f t="shared" si="4"/>
        <v/>
      </c>
    </row>
    <row r="432" ht="14.25" customHeight="1">
      <c r="A432" s="18">
        <f>HYPERLINK("https://app.hubspot.com/contacts/8748051/record/0-1/8256351870", 8256351870)</f>
        <v>8256351870</v>
      </c>
      <c r="B432" s="14" t="s">
        <v>4122</v>
      </c>
      <c r="C432" s="16">
        <v>45392.23289351852</v>
      </c>
      <c r="D432" s="14" t="s">
        <v>3979</v>
      </c>
      <c r="E432" s="32"/>
      <c r="F432" s="32"/>
      <c r="G432" s="32"/>
      <c r="H432" s="14"/>
      <c r="I432" s="14"/>
      <c r="J432" s="14"/>
      <c r="K432" s="18">
        <f>HYPERLINK("https://app.hubspot.com/contacts/8748051/record/0-2/20188284589", 20188284589)</f>
        <v>20188284589</v>
      </c>
      <c r="L432" s="14" t="s">
        <v>4123</v>
      </c>
      <c r="M432" s="14" t="s">
        <v>4124</v>
      </c>
      <c r="N432" s="14"/>
      <c r="O432" s="14"/>
      <c r="P432" s="14"/>
      <c r="Q432" s="14"/>
      <c r="R432" s="14"/>
      <c r="S432" s="24" t="str">
        <f t="shared" ref="S432:U432" si="436">IF(E432&lt;&gt;"","Yes","")</f>
        <v/>
      </c>
      <c r="T432" s="24" t="str">
        <f t="shared" si="436"/>
        <v/>
      </c>
      <c r="U432" s="24" t="str">
        <f t="shared" si="436"/>
        <v/>
      </c>
      <c r="V432" s="24" t="str">
        <f t="shared" si="3"/>
        <v/>
      </c>
      <c r="W432" s="14" t="str">
        <f t="shared" si="4"/>
        <v/>
      </c>
    </row>
    <row r="433" ht="14.25" customHeight="1">
      <c r="A433" s="18">
        <f>HYPERLINK("https://app.hubspot.com/contacts/8748051/record/0-1/11110096795", 11110096795)</f>
        <v>11110096795</v>
      </c>
      <c r="B433" s="14" t="s">
        <v>4125</v>
      </c>
      <c r="C433" s="16">
        <v>45392.214375</v>
      </c>
      <c r="D433" s="14" t="s">
        <v>4126</v>
      </c>
      <c r="E433" s="32"/>
      <c r="F433" s="32"/>
      <c r="G433" s="32"/>
      <c r="H433" s="14"/>
      <c r="I433" s="14"/>
      <c r="J433" s="14"/>
      <c r="K433" s="18">
        <f>HYPERLINK("https://app.hubspot.com/contacts/8748051/record/0-2/20188055722", 20188055722)</f>
        <v>20188055722</v>
      </c>
      <c r="L433" s="14" t="s">
        <v>4127</v>
      </c>
      <c r="M433" s="18" t="s">
        <v>4128</v>
      </c>
      <c r="N433" s="14"/>
      <c r="O433" s="14"/>
      <c r="P433" s="14"/>
      <c r="Q433" s="14"/>
      <c r="R433" s="14"/>
      <c r="S433" s="24" t="str">
        <f t="shared" ref="S433:U433" si="437">IF(E433&lt;&gt;"","Yes","")</f>
        <v/>
      </c>
      <c r="T433" s="24" t="str">
        <f t="shared" si="437"/>
        <v/>
      </c>
      <c r="U433" s="24" t="str">
        <f t="shared" si="437"/>
        <v/>
      </c>
      <c r="V433" s="24" t="str">
        <f t="shared" si="3"/>
        <v/>
      </c>
      <c r="W433" s="14" t="str">
        <f t="shared" si="4"/>
        <v/>
      </c>
    </row>
    <row r="434" ht="14.25" customHeight="1">
      <c r="A434" s="18">
        <f>HYPERLINK("https://app.hubspot.com/contacts/8748051/record/0-1/11075389347", 11075389347)</f>
        <v>11075389347</v>
      </c>
      <c r="B434" s="14" t="s">
        <v>4129</v>
      </c>
      <c r="C434" s="16">
        <v>45392.081041666665</v>
      </c>
      <c r="D434" s="14"/>
      <c r="E434" s="32">
        <v>45392.0</v>
      </c>
      <c r="F434" s="32">
        <v>45411.0</v>
      </c>
      <c r="G434" s="32">
        <v>45411.0</v>
      </c>
      <c r="H434" s="14"/>
      <c r="I434" s="14"/>
      <c r="J434" s="14"/>
      <c r="K434" s="18">
        <f>HYPERLINK("https://app.hubspot.com/contacts/8748051/record/0-2/20185415273", 20185415273)</f>
        <v>20185415273</v>
      </c>
      <c r="L434" s="14" t="s">
        <v>820</v>
      </c>
      <c r="M434" s="18" t="s">
        <v>821</v>
      </c>
      <c r="N434" s="24"/>
      <c r="O434" s="14"/>
      <c r="P434" s="14"/>
      <c r="Q434" s="14"/>
      <c r="R434" s="14"/>
      <c r="S434" s="24" t="str">
        <f t="shared" ref="S434:U434" si="438">IF(E434&lt;&gt;"","Yes","")</f>
        <v>Yes</v>
      </c>
      <c r="T434" s="24" t="str">
        <f t="shared" si="438"/>
        <v>Yes</v>
      </c>
      <c r="U434" s="24" t="str">
        <f t="shared" si="438"/>
        <v>Yes</v>
      </c>
      <c r="V434" s="24" t="str">
        <f t="shared" si="3"/>
        <v/>
      </c>
      <c r="W434" s="14" t="str">
        <f t="shared" si="4"/>
        <v/>
      </c>
    </row>
    <row r="435" ht="14.25" customHeight="1">
      <c r="A435" s="18">
        <f>HYPERLINK("https://app.hubspot.com/contacts/8748051/record/0-1/11073198763", 11073198763)</f>
        <v>11073198763</v>
      </c>
      <c r="B435" s="14" t="s">
        <v>4130</v>
      </c>
      <c r="C435" s="16">
        <v>45392.046875</v>
      </c>
      <c r="D435" s="14"/>
      <c r="E435" s="32">
        <v>45392.0</v>
      </c>
      <c r="F435" s="32">
        <v>45397.0</v>
      </c>
      <c r="G435" s="32">
        <v>45397.0</v>
      </c>
      <c r="H435" s="14"/>
      <c r="I435" s="14"/>
      <c r="J435" s="24"/>
      <c r="K435" s="18">
        <f>HYPERLINK("https://app.hubspot.com/contacts/8748051/record/0-2/20184975761", 20184975761)</f>
        <v>20184975761</v>
      </c>
      <c r="L435" s="14" t="s">
        <v>4131</v>
      </c>
      <c r="M435" s="18" t="s">
        <v>4132</v>
      </c>
      <c r="N435" s="24"/>
      <c r="O435" s="14"/>
      <c r="P435" s="14"/>
      <c r="Q435" s="14"/>
      <c r="R435" s="14"/>
      <c r="S435" s="24" t="str">
        <f t="shared" ref="S435:U435" si="439">IF(E435&lt;&gt;"","Yes","")</f>
        <v>Yes</v>
      </c>
      <c r="T435" s="24" t="str">
        <f t="shared" si="439"/>
        <v>Yes</v>
      </c>
      <c r="U435" s="24" t="str">
        <f t="shared" si="439"/>
        <v>Yes</v>
      </c>
      <c r="V435" s="24" t="str">
        <f t="shared" si="3"/>
        <v/>
      </c>
      <c r="W435" s="14" t="str">
        <f t="shared" si="4"/>
        <v/>
      </c>
    </row>
    <row r="436" ht="14.25" customHeight="1">
      <c r="A436" s="18">
        <f>HYPERLINK("https://app.hubspot.com/contacts/8748051/record/0-1/10918237797", 10918237797)</f>
        <v>10918237797</v>
      </c>
      <c r="B436" s="14" t="s">
        <v>4133</v>
      </c>
      <c r="C436" s="16">
        <v>45391.57096064815</v>
      </c>
      <c r="D436" s="14"/>
      <c r="E436" s="32">
        <v>45392.0</v>
      </c>
      <c r="F436" s="32">
        <v>45392.0</v>
      </c>
      <c r="G436" s="32">
        <v>45392.0</v>
      </c>
      <c r="H436" s="14"/>
      <c r="I436" s="14"/>
      <c r="J436" s="14"/>
      <c r="K436" s="18">
        <f>HYPERLINK("https://app.hubspot.com/contacts/8748051/record/0-2/13452522550", 13452522550)</f>
        <v>13452522550</v>
      </c>
      <c r="L436" s="14" t="s">
        <v>1819</v>
      </c>
      <c r="M436" s="18" t="s">
        <v>1820</v>
      </c>
      <c r="N436" s="18">
        <f>HYPERLINK("https://app.hubspot.com/contacts/8748051/record/0-3/18970382396", 18970382396)</f>
        <v>18970382396</v>
      </c>
      <c r="O436" s="14" t="s">
        <v>1818</v>
      </c>
      <c r="P436" s="14" t="s">
        <v>118</v>
      </c>
      <c r="Q436" s="14">
        <v>50000.0</v>
      </c>
      <c r="R436" s="14"/>
      <c r="S436" s="24" t="str">
        <f t="shared" ref="S436:U436" si="440">IF(E436&lt;&gt;"","Yes","")</f>
        <v>Yes</v>
      </c>
      <c r="T436" s="24" t="str">
        <f t="shared" si="440"/>
        <v>Yes</v>
      </c>
      <c r="U436" s="24" t="str">
        <f t="shared" si="440"/>
        <v>Yes</v>
      </c>
      <c r="V436" s="24" t="str">
        <f t="shared" si="3"/>
        <v/>
      </c>
      <c r="W436" s="14" t="str">
        <f t="shared" si="4"/>
        <v/>
      </c>
    </row>
    <row r="437" ht="14.25" customHeight="1">
      <c r="A437" s="18">
        <f>HYPERLINK("https://app.hubspot.com/contacts/8748051/record/0-1/10851843201", 10851843201)</f>
        <v>10851843201</v>
      </c>
      <c r="B437" s="14" t="s">
        <v>4134</v>
      </c>
      <c r="C437" s="16">
        <v>45391.48658564815</v>
      </c>
      <c r="D437" s="14" t="s">
        <v>4135</v>
      </c>
      <c r="E437" s="32"/>
      <c r="F437" s="32"/>
      <c r="G437" s="32"/>
      <c r="H437" s="14"/>
      <c r="I437" s="14"/>
      <c r="J437" s="14"/>
      <c r="K437" s="18">
        <f>HYPERLINK("https://app.hubspot.com/contacts/8748051/record/0-2/20174408206", 20174408206)</f>
        <v>20174408206</v>
      </c>
      <c r="L437" s="14" t="s">
        <v>4136</v>
      </c>
      <c r="M437" s="18" t="s">
        <v>4137</v>
      </c>
      <c r="N437" s="24"/>
      <c r="O437" s="14"/>
      <c r="P437" s="14"/>
      <c r="Q437" s="14"/>
      <c r="R437" s="14"/>
      <c r="S437" s="24" t="str">
        <f t="shared" ref="S437:U437" si="441">IF(E437&lt;&gt;"","Yes","")</f>
        <v/>
      </c>
      <c r="T437" s="24" t="str">
        <f t="shared" si="441"/>
        <v/>
      </c>
      <c r="U437" s="24" t="str">
        <f t="shared" si="441"/>
        <v/>
      </c>
      <c r="V437" s="24" t="str">
        <f t="shared" si="3"/>
        <v/>
      </c>
      <c r="W437" s="14" t="str">
        <f t="shared" si="4"/>
        <v/>
      </c>
    </row>
    <row r="438" ht="14.25" customHeight="1">
      <c r="A438" s="18">
        <f>HYPERLINK("https://app.hubspot.com/contacts/8748051/record/0-1/7069355102", 7069355102)</f>
        <v>7069355102</v>
      </c>
      <c r="B438" s="14" t="s">
        <v>4138</v>
      </c>
      <c r="C438" s="16">
        <v>45378.58934027778</v>
      </c>
      <c r="D438" s="14" t="s">
        <v>3979</v>
      </c>
      <c r="E438" s="32"/>
      <c r="F438" s="32"/>
      <c r="G438" s="32"/>
      <c r="H438" s="14"/>
      <c r="I438" s="14"/>
      <c r="J438" s="14"/>
      <c r="K438" s="18">
        <f>HYPERLINK("https://app.hubspot.com/contacts/8748051/record/0-2/19721546917", 19721546917)</f>
        <v>19721546917</v>
      </c>
      <c r="L438" s="18" t="s">
        <v>4139</v>
      </c>
      <c r="M438" s="18" t="s">
        <v>4139</v>
      </c>
      <c r="N438" s="24"/>
      <c r="O438" s="14"/>
      <c r="P438" s="14"/>
      <c r="Q438" s="14"/>
      <c r="R438" s="14"/>
      <c r="S438" s="24" t="str">
        <f t="shared" ref="S438:U438" si="442">IF(E438&lt;&gt;"","Yes","")</f>
        <v/>
      </c>
      <c r="T438" s="24" t="str">
        <f t="shared" si="442"/>
        <v/>
      </c>
      <c r="U438" s="24" t="str">
        <f t="shared" si="442"/>
        <v/>
      </c>
      <c r="V438" s="24" t="str">
        <f t="shared" si="3"/>
        <v/>
      </c>
      <c r="W438" s="14" t="str">
        <f t="shared" si="4"/>
        <v/>
      </c>
    </row>
    <row r="439" ht="14.25" customHeight="1">
      <c r="A439" s="18">
        <f>HYPERLINK("https://app.hubspot.com/contacts/8748051/record/0-1/6714244494", 6714244494)</f>
        <v>6714244494</v>
      </c>
      <c r="B439" s="14" t="s">
        <v>4140</v>
      </c>
      <c r="C439" s="16">
        <v>45377.51613425926</v>
      </c>
      <c r="D439" s="14" t="s">
        <v>4141</v>
      </c>
      <c r="E439" s="32"/>
      <c r="F439" s="32"/>
      <c r="G439" s="32"/>
      <c r="H439" s="14"/>
      <c r="I439" s="14"/>
      <c r="J439" s="14"/>
      <c r="K439" s="18">
        <f>HYPERLINK("https://app.hubspot.com/contacts/8748051/record/0-2/19176627101", 19176627101)</f>
        <v>19176627101</v>
      </c>
      <c r="L439" s="14" t="s">
        <v>4142</v>
      </c>
      <c r="M439" s="18" t="s">
        <v>4143</v>
      </c>
      <c r="N439" s="14"/>
      <c r="O439" s="14"/>
      <c r="P439" s="14"/>
      <c r="Q439" s="14"/>
      <c r="R439" s="14"/>
      <c r="S439" s="24" t="str">
        <f t="shared" ref="S439:U439" si="443">IF(E439&lt;&gt;"","Yes","")</f>
        <v/>
      </c>
      <c r="T439" s="24" t="str">
        <f t="shared" si="443"/>
        <v/>
      </c>
      <c r="U439" s="24" t="str">
        <f t="shared" si="443"/>
        <v/>
      </c>
      <c r="V439" s="24" t="str">
        <f t="shared" si="3"/>
        <v/>
      </c>
      <c r="W439" s="14" t="str">
        <f t="shared" si="4"/>
        <v/>
      </c>
    </row>
    <row r="440" ht="14.25" customHeight="1">
      <c r="A440" s="18">
        <f>HYPERLINK("https://app.hubspot.com/contacts/8748051/record/0-1/6693291024", 6693291024)</f>
        <v>6693291024</v>
      </c>
      <c r="B440" s="14" t="s">
        <v>4144</v>
      </c>
      <c r="C440" s="16">
        <v>45377.44380787037</v>
      </c>
      <c r="D440" s="14"/>
      <c r="E440" s="32">
        <v>45377.0</v>
      </c>
      <c r="F440" s="32">
        <v>45380.0</v>
      </c>
      <c r="G440" s="32"/>
      <c r="H440" s="14"/>
      <c r="I440" s="14"/>
      <c r="J440" s="14"/>
      <c r="K440" s="18">
        <f>HYPERLINK("https://app.hubspot.com/contacts/8748051/record/0-2/19176601195", 19176601195)</f>
        <v>19176601195</v>
      </c>
      <c r="L440" s="14" t="s">
        <v>4145</v>
      </c>
      <c r="M440" s="18" t="s">
        <v>4146</v>
      </c>
      <c r="N440" s="14"/>
      <c r="O440" s="14"/>
      <c r="P440" s="14"/>
      <c r="Q440" s="14"/>
      <c r="R440" s="14"/>
      <c r="S440" s="24" t="str">
        <f t="shared" ref="S440:U440" si="444">IF(E440&lt;&gt;"","Yes","")</f>
        <v>Yes</v>
      </c>
      <c r="T440" s="24" t="str">
        <f t="shared" si="444"/>
        <v>Yes</v>
      </c>
      <c r="U440" s="24" t="str">
        <f t="shared" si="444"/>
        <v/>
      </c>
      <c r="V440" s="24" t="str">
        <f t="shared" si="3"/>
        <v/>
      </c>
      <c r="W440" s="14" t="str">
        <f t="shared" si="4"/>
        <v/>
      </c>
    </row>
    <row r="441" ht="14.25" customHeight="1">
      <c r="A441" s="18">
        <f>HYPERLINK("https://app.hubspot.com/contacts/8748051/record/0-1/6646001772", 6646001772)</f>
        <v>6646001772</v>
      </c>
      <c r="B441" s="14" t="s">
        <v>4147</v>
      </c>
      <c r="C441" s="16">
        <v>45377.32126157408</v>
      </c>
      <c r="D441" s="14"/>
      <c r="E441" s="32">
        <v>45377.0</v>
      </c>
      <c r="F441" s="32">
        <v>45378.0</v>
      </c>
      <c r="G441" s="32"/>
      <c r="H441" s="14"/>
      <c r="I441" s="14"/>
      <c r="J441" s="24"/>
      <c r="K441" s="18">
        <f>HYPERLINK("https://app.hubspot.com/contacts/8748051/record/0-2/9773715270", 9773715270)</f>
        <v>9773715270</v>
      </c>
      <c r="L441" s="14" t="s">
        <v>4148</v>
      </c>
      <c r="M441" s="18" t="s">
        <v>4149</v>
      </c>
      <c r="N441" s="24"/>
      <c r="O441" s="14"/>
      <c r="P441" s="14"/>
      <c r="Q441" s="14"/>
      <c r="R441" s="14"/>
      <c r="S441" s="24" t="str">
        <f t="shared" ref="S441:U441" si="445">IF(E441&lt;&gt;"","Yes","")</f>
        <v>Yes</v>
      </c>
      <c r="T441" s="24" t="str">
        <f t="shared" si="445"/>
        <v>Yes</v>
      </c>
      <c r="U441" s="24" t="str">
        <f t="shared" si="445"/>
        <v/>
      </c>
      <c r="V441" s="24" t="str">
        <f t="shared" si="3"/>
        <v/>
      </c>
      <c r="W441" s="14" t="str">
        <f t="shared" si="4"/>
        <v/>
      </c>
    </row>
    <row r="442" ht="14.25" customHeight="1">
      <c r="A442" s="18">
        <f>HYPERLINK("https://app.hubspot.com/contacts/8748051/record/0-1/3565601", 3565601)</f>
        <v>3565601</v>
      </c>
      <c r="B442" s="14" t="s">
        <v>4150</v>
      </c>
      <c r="C442" s="16">
        <v>45373.32289351852</v>
      </c>
      <c r="D442" s="14" t="s">
        <v>4116</v>
      </c>
      <c r="E442" s="32"/>
      <c r="F442" s="32"/>
      <c r="G442" s="32"/>
      <c r="H442" s="14"/>
      <c r="I442" s="14"/>
      <c r="J442" s="14"/>
      <c r="K442" s="18">
        <f>HYPERLINK("https://app.hubspot.com/contacts/8748051/record/0-2/19646323314", 19646323314)</f>
        <v>19646323314</v>
      </c>
      <c r="L442" s="18" t="s">
        <v>4151</v>
      </c>
      <c r="M442" s="18" t="s">
        <v>4152</v>
      </c>
      <c r="N442" s="24"/>
      <c r="O442" s="14"/>
      <c r="P442" s="14"/>
      <c r="Q442" s="14"/>
      <c r="R442" s="14"/>
      <c r="S442" s="24" t="str">
        <f t="shared" ref="S442:U442" si="446">IF(E442&lt;&gt;"","Yes","")</f>
        <v/>
      </c>
      <c r="T442" s="24" t="str">
        <f t="shared" si="446"/>
        <v/>
      </c>
      <c r="U442" s="24" t="str">
        <f t="shared" si="446"/>
        <v/>
      </c>
      <c r="V442" s="24" t="str">
        <f t="shared" si="3"/>
        <v/>
      </c>
      <c r="W442" s="14" t="str">
        <f t="shared" si="4"/>
        <v/>
      </c>
    </row>
    <row r="443" ht="14.25" customHeight="1">
      <c r="A443" s="18">
        <f>HYPERLINK("https://app.hubspot.com/contacts/8748051/record/0-1/3565701", 3565701)</f>
        <v>3565701</v>
      </c>
      <c r="B443" s="14" t="s">
        <v>4153</v>
      </c>
      <c r="C443" s="16">
        <v>45373.256064814814</v>
      </c>
      <c r="D443" s="14"/>
      <c r="E443" s="32">
        <v>45373.0</v>
      </c>
      <c r="F443" s="32">
        <v>45377.0</v>
      </c>
      <c r="G443" s="32"/>
      <c r="H443" s="14"/>
      <c r="I443" s="14"/>
      <c r="J443" s="14"/>
      <c r="K443" s="18">
        <f>HYPERLINK("https://app.hubspot.com/contacts/8748051/record/0-2/19608720532", 19608720532)</f>
        <v>19608720532</v>
      </c>
      <c r="L443" s="18" t="s">
        <v>4154</v>
      </c>
      <c r="M443" s="18" t="s">
        <v>4154</v>
      </c>
      <c r="N443" s="14"/>
      <c r="O443" s="14"/>
      <c r="P443" s="14"/>
      <c r="Q443" s="14"/>
      <c r="R443" s="14"/>
      <c r="S443" s="24" t="str">
        <f t="shared" ref="S443:U443" si="447">IF(E443&lt;&gt;"","Yes","")</f>
        <v>Yes</v>
      </c>
      <c r="T443" s="24" t="str">
        <f t="shared" si="447"/>
        <v>Yes</v>
      </c>
      <c r="U443" s="24" t="str">
        <f t="shared" si="447"/>
        <v/>
      </c>
      <c r="V443" s="24" t="str">
        <f t="shared" si="3"/>
        <v/>
      </c>
      <c r="W443" s="14" t="str">
        <f t="shared" si="4"/>
        <v/>
      </c>
    </row>
    <row r="444" ht="14.25" customHeight="1">
      <c r="A444" s="18">
        <f>HYPERLINK("https://app.hubspot.com/contacts/8748051/record/0-1/3359251", 3359251)</f>
        <v>3359251</v>
      </c>
      <c r="B444" s="14" t="s">
        <v>4155</v>
      </c>
      <c r="C444" s="16">
        <v>45372.581099537034</v>
      </c>
      <c r="D444" s="14"/>
      <c r="E444" s="32">
        <v>45373.0</v>
      </c>
      <c r="F444" s="32">
        <v>45378.0</v>
      </c>
      <c r="G444" s="32">
        <v>45378.0</v>
      </c>
      <c r="H444" s="14"/>
      <c r="I444" s="14"/>
      <c r="J444" s="14"/>
      <c r="K444" s="18">
        <f>HYPERLINK("https://app.hubspot.com/contacts/8748051/record/0-2/8920311154", 8920311154)</f>
        <v>8920311154</v>
      </c>
      <c r="L444" s="14" t="s">
        <v>1999</v>
      </c>
      <c r="M444" s="18" t="s">
        <v>2000</v>
      </c>
      <c r="N444" s="18">
        <f>HYPERLINK("https://app.hubspot.com/contacts/8748051/record/0-3/18245525816", 18245525816)</f>
        <v>18245525816</v>
      </c>
      <c r="O444" s="14" t="s">
        <v>1997</v>
      </c>
      <c r="P444" s="14" t="s">
        <v>89</v>
      </c>
      <c r="Q444" s="14">
        <v>100000.0</v>
      </c>
      <c r="R444" s="14" t="b">
        <v>1</v>
      </c>
      <c r="S444" s="24" t="str">
        <f t="shared" ref="S444:U444" si="448">IF(E444&lt;&gt;"","Yes","")</f>
        <v>Yes</v>
      </c>
      <c r="T444" s="24" t="str">
        <f t="shared" si="448"/>
        <v>Yes</v>
      </c>
      <c r="U444" s="24" t="str">
        <f t="shared" si="448"/>
        <v>Yes</v>
      </c>
      <c r="V444" s="24" t="str">
        <f t="shared" si="3"/>
        <v>Yes</v>
      </c>
      <c r="W444" s="14" t="str">
        <f t="shared" si="4"/>
        <v/>
      </c>
    </row>
    <row r="445" ht="14.25" customHeight="1">
      <c r="A445" s="18">
        <f>HYPERLINK("https://app.hubspot.com/contacts/8748051/record/0-1/3392701", 3392701)</f>
        <v>3392701</v>
      </c>
      <c r="B445" s="14" t="s">
        <v>4156</v>
      </c>
      <c r="C445" s="16">
        <v>45371.531064814815</v>
      </c>
      <c r="D445" s="14"/>
      <c r="E445" s="32">
        <v>45371.0</v>
      </c>
      <c r="F445" s="32"/>
      <c r="G445" s="32"/>
      <c r="H445" s="14"/>
      <c r="I445" s="14"/>
      <c r="J445" s="14"/>
      <c r="K445" s="18">
        <f>HYPERLINK("https://app.hubspot.com/contacts/8748051/record/0-2/19616215719", 19616215719)</f>
        <v>19616215719</v>
      </c>
      <c r="L445" s="14" t="s">
        <v>4157</v>
      </c>
      <c r="M445" s="18" t="s">
        <v>4158</v>
      </c>
      <c r="N445" s="14"/>
      <c r="O445" s="14"/>
      <c r="P445" s="14"/>
      <c r="Q445" s="14"/>
      <c r="R445" s="14"/>
      <c r="S445" s="24" t="str">
        <f t="shared" ref="S445:U445" si="449">IF(E445&lt;&gt;"","Yes","")</f>
        <v>Yes</v>
      </c>
      <c r="T445" s="24" t="str">
        <f t="shared" si="449"/>
        <v/>
      </c>
      <c r="U445" s="24" t="str">
        <f t="shared" si="449"/>
        <v/>
      </c>
      <c r="V445" s="24" t="str">
        <f t="shared" si="3"/>
        <v/>
      </c>
      <c r="W445" s="14" t="str">
        <f t="shared" si="4"/>
        <v/>
      </c>
    </row>
    <row r="446" ht="14.25" customHeight="1">
      <c r="A446" s="18">
        <f>HYPERLINK("https://app.hubspot.com/contacts/8748051/record/0-1/3567451", 3567451)</f>
        <v>3567451</v>
      </c>
      <c r="B446" s="14" t="s">
        <v>4159</v>
      </c>
      <c r="C446" s="16">
        <v>45371.36237268519</v>
      </c>
      <c r="D446" s="14" t="s">
        <v>3979</v>
      </c>
      <c r="E446" s="32"/>
      <c r="F446" s="32"/>
      <c r="G446" s="32"/>
      <c r="H446" s="14"/>
      <c r="I446" s="14"/>
      <c r="J446" s="14"/>
      <c r="K446" s="18">
        <f>HYPERLINK("https://app.hubspot.com/contacts/8748051/record/0-2/19612053865", 19612053865)</f>
        <v>19612053865</v>
      </c>
      <c r="L446" s="18" t="s">
        <v>4160</v>
      </c>
      <c r="M446" s="18" t="s">
        <v>4160</v>
      </c>
      <c r="N446" s="24"/>
      <c r="O446" s="14"/>
      <c r="P446" s="14"/>
      <c r="Q446" s="14"/>
      <c r="R446" s="14"/>
      <c r="S446" s="24" t="str">
        <f t="shared" ref="S446:U446" si="450">IF(E446&lt;&gt;"","Yes","")</f>
        <v/>
      </c>
      <c r="T446" s="24" t="str">
        <f t="shared" si="450"/>
        <v/>
      </c>
      <c r="U446" s="24" t="str">
        <f t="shared" si="450"/>
        <v/>
      </c>
      <c r="V446" s="24" t="str">
        <f t="shared" si="3"/>
        <v/>
      </c>
      <c r="W446" s="14" t="str">
        <f t="shared" si="4"/>
        <v/>
      </c>
    </row>
    <row r="447" ht="14.25" customHeight="1">
      <c r="A447" s="18">
        <f>HYPERLINK("https://app.hubspot.com/contacts/8748051/record/0-1/800751", 800751)</f>
        <v>800751</v>
      </c>
      <c r="B447" s="14" t="s">
        <v>4161</v>
      </c>
      <c r="C447" s="16">
        <v>45369.44787037037</v>
      </c>
      <c r="D447" s="14"/>
      <c r="E447" s="32">
        <v>45369.0</v>
      </c>
      <c r="F447" s="32">
        <v>45372.0</v>
      </c>
      <c r="G447" s="32">
        <v>45372.0</v>
      </c>
      <c r="H447" s="14"/>
      <c r="I447" s="14"/>
      <c r="J447" s="14"/>
      <c r="K447" s="18">
        <f>HYPERLINK("https://app.hubspot.com/contacts/8748051/record/0-2/7736681624", 7736681624)</f>
        <v>7736681624</v>
      </c>
      <c r="L447" s="14" t="s">
        <v>1406</v>
      </c>
      <c r="M447" s="18" t="s">
        <v>1407</v>
      </c>
      <c r="N447" s="18">
        <f>HYPERLINK("https://app.hubspot.com/contacts/8748051/record/0-3/18137545526", 18137545526)</f>
        <v>18137545526</v>
      </c>
      <c r="O447" s="14" t="s">
        <v>1405</v>
      </c>
      <c r="P447" s="14" t="s">
        <v>124</v>
      </c>
      <c r="Q447" s="14">
        <v>70000.0</v>
      </c>
      <c r="R447" s="14" t="b">
        <v>1</v>
      </c>
      <c r="S447" s="24" t="str">
        <f t="shared" ref="S447:U447" si="451">IF(E447&lt;&gt;"","Yes","")</f>
        <v>Yes</v>
      </c>
      <c r="T447" s="24" t="str">
        <f t="shared" si="451"/>
        <v>Yes</v>
      </c>
      <c r="U447" s="24" t="str">
        <f t="shared" si="451"/>
        <v>Yes</v>
      </c>
      <c r="V447" s="24" t="str">
        <f t="shared" si="3"/>
        <v/>
      </c>
      <c r="W447" s="14" t="str">
        <f t="shared" si="4"/>
        <v/>
      </c>
    </row>
    <row r="448" ht="14.25" customHeight="1">
      <c r="A448" s="18">
        <f>HYPERLINK("https://app.hubspot.com/contacts/8748051/record/0-1/3553151", 3553151)</f>
        <v>3553151</v>
      </c>
      <c r="B448" s="14" t="s">
        <v>4162</v>
      </c>
      <c r="C448" s="16">
        <v>45369.24387731482</v>
      </c>
      <c r="D448" s="14"/>
      <c r="E448" s="32">
        <v>45369.0</v>
      </c>
      <c r="F448" s="32">
        <v>45385.0</v>
      </c>
      <c r="G448" s="32"/>
      <c r="H448" s="14"/>
      <c r="I448" s="14"/>
      <c r="J448" s="14"/>
      <c r="K448" s="18">
        <f>HYPERLINK("https://app.hubspot.com/contacts/8748051/record/0-2/19575748963", 19575748963)</f>
        <v>19575748963</v>
      </c>
      <c r="L448" s="14" t="s">
        <v>4163</v>
      </c>
      <c r="M448" s="18" t="s">
        <v>4164</v>
      </c>
      <c r="N448" s="14"/>
      <c r="O448" s="14"/>
      <c r="P448" s="14"/>
      <c r="Q448" s="14"/>
      <c r="R448" s="14"/>
      <c r="S448" s="24" t="str">
        <f t="shared" ref="S448:U448" si="452">IF(E448&lt;&gt;"","Yes","")</f>
        <v>Yes</v>
      </c>
      <c r="T448" s="24" t="str">
        <f t="shared" si="452"/>
        <v>Yes</v>
      </c>
      <c r="U448" s="24" t="str">
        <f t="shared" si="452"/>
        <v/>
      </c>
      <c r="V448" s="24" t="str">
        <f t="shared" si="3"/>
        <v/>
      </c>
      <c r="W448" s="14" t="str">
        <f t="shared" si="4"/>
        <v/>
      </c>
    </row>
    <row r="449" ht="14.25" customHeight="1">
      <c r="A449" s="18">
        <f>HYPERLINK("https://app.hubspot.com/contacts/8748051/record/0-1/3549551", 3549551)</f>
        <v>3549551</v>
      </c>
      <c r="B449" s="14" t="s">
        <v>4165</v>
      </c>
      <c r="C449" s="16">
        <v>45367.29587962963</v>
      </c>
      <c r="D449" s="14"/>
      <c r="E449" s="32">
        <v>45367.0</v>
      </c>
      <c r="F449" s="32">
        <v>45377.0</v>
      </c>
      <c r="G449" s="32">
        <v>45377.0</v>
      </c>
      <c r="H449" s="14"/>
      <c r="I449" s="14"/>
      <c r="J449" s="14"/>
      <c r="K449" s="18">
        <f>HYPERLINK("https://app.hubspot.com/contacts/8748051/record/0-2/19553942962", 19553942962)</f>
        <v>19553942962</v>
      </c>
      <c r="L449" s="14" t="s">
        <v>4166</v>
      </c>
      <c r="M449" s="18" t="s">
        <v>4167</v>
      </c>
      <c r="N449" s="14"/>
      <c r="O449" s="14"/>
      <c r="P449" s="14"/>
      <c r="Q449" s="14"/>
      <c r="R449" s="14"/>
      <c r="S449" s="24" t="str">
        <f t="shared" ref="S449:U449" si="453">IF(E449&lt;&gt;"","Yes","")</f>
        <v>Yes</v>
      </c>
      <c r="T449" s="24" t="str">
        <f t="shared" si="453"/>
        <v>Yes</v>
      </c>
      <c r="U449" s="24" t="str">
        <f t="shared" si="453"/>
        <v>Yes</v>
      </c>
      <c r="V449" s="24" t="str">
        <f t="shared" si="3"/>
        <v/>
      </c>
      <c r="W449" s="14" t="str">
        <f t="shared" si="4"/>
        <v/>
      </c>
    </row>
    <row r="450" ht="14.25" customHeight="1">
      <c r="A450" s="18">
        <f>HYPERLINK("https://app.hubspot.com/contacts/8748051/record/0-1/3502951", 3502951)</f>
        <v>3502951</v>
      </c>
      <c r="B450" s="14" t="s">
        <v>4168</v>
      </c>
      <c r="C450" s="16">
        <v>45361.25982638889</v>
      </c>
      <c r="D450" s="14"/>
      <c r="E450" s="32">
        <v>45361.0</v>
      </c>
      <c r="F450" s="32">
        <v>45366.0</v>
      </c>
      <c r="G450" s="32"/>
      <c r="H450" s="14"/>
      <c r="I450" s="14"/>
      <c r="J450" s="14"/>
      <c r="K450" s="18">
        <f>HYPERLINK("https://app.hubspot.com/contacts/8748051/record/0-2/19455357997", 19455357997)</f>
        <v>19455357997</v>
      </c>
      <c r="L450" s="14" t="s">
        <v>4169</v>
      </c>
      <c r="M450" s="18" t="s">
        <v>4170</v>
      </c>
      <c r="N450" s="14"/>
      <c r="O450" s="14"/>
      <c r="P450" s="14"/>
      <c r="Q450" s="14"/>
      <c r="R450" s="14"/>
      <c r="S450" s="24" t="str">
        <f t="shared" ref="S450:U450" si="454">IF(E450&lt;&gt;"","Yes","")</f>
        <v>Yes</v>
      </c>
      <c r="T450" s="24" t="str">
        <f t="shared" si="454"/>
        <v>Yes</v>
      </c>
      <c r="U450" s="24" t="str">
        <f t="shared" si="454"/>
        <v/>
      </c>
      <c r="V450" s="24" t="str">
        <f t="shared" si="3"/>
        <v/>
      </c>
      <c r="W450" s="14" t="str">
        <f t="shared" si="4"/>
        <v/>
      </c>
    </row>
    <row r="451" ht="14.25" customHeight="1">
      <c r="A451" s="18">
        <f>HYPERLINK("https://app.hubspot.com/contacts/8748051/record/0-1/789751", 789751)</f>
        <v>789751</v>
      </c>
      <c r="B451" s="14" t="s">
        <v>4171</v>
      </c>
      <c r="C451" s="16">
        <v>45359.132997685185</v>
      </c>
      <c r="D451" s="14"/>
      <c r="E451" s="32">
        <v>45359.0</v>
      </c>
      <c r="F451" s="32"/>
      <c r="G451" s="32"/>
      <c r="H451" s="14"/>
      <c r="I451" s="14"/>
      <c r="J451" s="14"/>
      <c r="K451" s="18">
        <f>HYPERLINK("https://app.hubspot.com/contacts/8748051/record/0-2/8142764962", 8142764962)</f>
        <v>8142764962</v>
      </c>
      <c r="L451" s="14" t="s">
        <v>951</v>
      </c>
      <c r="M451" s="18" t="s">
        <v>952</v>
      </c>
      <c r="N451" s="14"/>
      <c r="O451" s="14"/>
      <c r="P451" s="14"/>
      <c r="Q451" s="14"/>
      <c r="R451" s="14"/>
      <c r="S451" s="24" t="str">
        <f t="shared" ref="S451:U451" si="455">IF(E451&lt;&gt;"","Yes","")</f>
        <v>Yes</v>
      </c>
      <c r="T451" s="24" t="str">
        <f t="shared" si="455"/>
        <v/>
      </c>
      <c r="U451" s="24" t="str">
        <f t="shared" si="455"/>
        <v/>
      </c>
      <c r="V451" s="24" t="str">
        <f t="shared" si="3"/>
        <v/>
      </c>
      <c r="W451" s="14" t="str">
        <f t="shared" si="4"/>
        <v/>
      </c>
    </row>
    <row r="452" ht="14.25" customHeight="1">
      <c r="A452" s="18">
        <f>HYPERLINK("https://app.hubspot.com/contacts/8748051/record/0-1/3484451", 3484451)</f>
        <v>3484451</v>
      </c>
      <c r="B452" s="14" t="s">
        <v>4172</v>
      </c>
      <c r="C452" s="16">
        <v>45358.26195601852</v>
      </c>
      <c r="D452" s="14"/>
      <c r="E452" s="32">
        <v>45358.0</v>
      </c>
      <c r="F452" s="32">
        <v>45364.0</v>
      </c>
      <c r="G452" s="32">
        <v>45364.0</v>
      </c>
      <c r="H452" s="14"/>
      <c r="I452" s="14"/>
      <c r="J452" s="14"/>
      <c r="K452" s="18">
        <f>HYPERLINK("https://app.hubspot.com/contacts/8748051/record/0-2/9238305910", 9238305910)</f>
        <v>9238305910</v>
      </c>
      <c r="L452" s="14" t="s">
        <v>749</v>
      </c>
      <c r="M452" s="18" t="s">
        <v>750</v>
      </c>
      <c r="N452" s="23">
        <f>HYPERLINK("https://app.hubspot.com/contacts/8748051/record/0-3/18013065228", 18013065228)</f>
        <v>18013065228</v>
      </c>
      <c r="O452" s="14" t="s">
        <v>748</v>
      </c>
      <c r="P452" s="14" t="s">
        <v>124</v>
      </c>
      <c r="Q452" s="14">
        <v>18000.0</v>
      </c>
      <c r="R452" s="14" t="b">
        <v>1</v>
      </c>
      <c r="S452" s="24" t="str">
        <f t="shared" ref="S452:U452" si="456">IF(E452&lt;&gt;"","Yes","")</f>
        <v>Yes</v>
      </c>
      <c r="T452" s="24" t="str">
        <f t="shared" si="456"/>
        <v>Yes</v>
      </c>
      <c r="U452" s="24" t="str">
        <f t="shared" si="456"/>
        <v>Yes</v>
      </c>
      <c r="V452" s="24" t="str">
        <f t="shared" si="3"/>
        <v/>
      </c>
      <c r="W452" s="14" t="str">
        <f t="shared" si="4"/>
        <v/>
      </c>
    </row>
    <row r="453" ht="14.25" customHeight="1">
      <c r="A453" s="18">
        <f>HYPERLINK("https://app.hubspot.com/contacts/8748051/record/0-1/3481601", 3481601)</f>
        <v>3481601</v>
      </c>
      <c r="B453" s="14" t="s">
        <v>4173</v>
      </c>
      <c r="C453" s="16">
        <v>45357.62168981481</v>
      </c>
      <c r="D453" s="14"/>
      <c r="E453" s="32">
        <v>45358.0</v>
      </c>
      <c r="F453" s="32">
        <v>45363.0</v>
      </c>
      <c r="G453" s="32">
        <v>45363.0</v>
      </c>
      <c r="H453" s="14"/>
      <c r="I453" s="14"/>
      <c r="J453" s="14"/>
      <c r="K453" s="18">
        <f>HYPERLINK("https://app.hubspot.com/contacts/8748051/record/0-2/16375809954", 16375809954)</f>
        <v>16375809954</v>
      </c>
      <c r="L453" s="14" t="s">
        <v>2118</v>
      </c>
      <c r="M453" s="18" t="s">
        <v>2119</v>
      </c>
      <c r="N453" s="18">
        <f>HYPERLINK("https://app.hubspot.com/contacts/8748051/record/0-3/17979318788", 17979318788)</f>
        <v>17979318788</v>
      </c>
      <c r="O453" s="14" t="s">
        <v>2117</v>
      </c>
      <c r="P453" s="14" t="s">
        <v>118</v>
      </c>
      <c r="Q453" s="14">
        <v>7680.0</v>
      </c>
      <c r="R453" s="14"/>
      <c r="S453" s="24" t="str">
        <f t="shared" ref="S453:U453" si="457">IF(E453&lt;&gt;"","Yes","")</f>
        <v>Yes</v>
      </c>
      <c r="T453" s="24" t="str">
        <f t="shared" si="457"/>
        <v>Yes</v>
      </c>
      <c r="U453" s="24" t="str">
        <f t="shared" si="457"/>
        <v>Yes</v>
      </c>
      <c r="V453" s="24" t="str">
        <f t="shared" si="3"/>
        <v/>
      </c>
      <c r="W453" s="14" t="str">
        <f t="shared" si="4"/>
        <v/>
      </c>
    </row>
    <row r="454" ht="14.25" customHeight="1">
      <c r="A454" s="18">
        <f>HYPERLINK("https://app.hubspot.com/contacts/8748051/record/0-1/3468551", 3468551)</f>
        <v>3468551</v>
      </c>
      <c r="B454" s="14" t="s">
        <v>4174</v>
      </c>
      <c r="C454" s="16">
        <v>45356.51391203704</v>
      </c>
      <c r="D454" s="14"/>
      <c r="E454" s="32">
        <v>45357.0</v>
      </c>
      <c r="F454" s="32">
        <v>45519.0</v>
      </c>
      <c r="G454" s="32">
        <v>45519.0</v>
      </c>
      <c r="H454" s="14"/>
      <c r="I454" s="14"/>
      <c r="J454" s="14"/>
      <c r="K454" s="18">
        <f>HYPERLINK("https://app.hubspot.com/contacts/8748051/record/0-2/7686834774", 7686834774)</f>
        <v>7686834774</v>
      </c>
      <c r="L454" s="14" t="s">
        <v>1697</v>
      </c>
      <c r="M454" s="18" t="s">
        <v>1698</v>
      </c>
      <c r="N454" s="18">
        <f>HYPERLINK("https://app.hubspot.com/contacts/8748051/record/0-3/19648590164", 19648590164)</f>
        <v>19648590164</v>
      </c>
      <c r="O454" s="14" t="s">
        <v>1696</v>
      </c>
      <c r="P454" s="14" t="s">
        <v>118</v>
      </c>
      <c r="Q454" s="14">
        <v>23280.0</v>
      </c>
      <c r="R454" s="14"/>
      <c r="S454" s="24" t="str">
        <f t="shared" ref="S454:U454" si="458">IF(E454&lt;&gt;"","Yes","")</f>
        <v>Yes</v>
      </c>
      <c r="T454" s="24" t="str">
        <f t="shared" si="458"/>
        <v>Yes</v>
      </c>
      <c r="U454" s="24" t="str">
        <f t="shared" si="458"/>
        <v>Yes</v>
      </c>
      <c r="V454" s="24" t="str">
        <f t="shared" si="3"/>
        <v/>
      </c>
      <c r="W454" s="14" t="str">
        <f t="shared" si="4"/>
        <v/>
      </c>
    </row>
    <row r="455" ht="14.25" customHeight="1">
      <c r="A455" s="18">
        <f>HYPERLINK("https://app.hubspot.com/contacts/8748051/record/0-1/3222851", 3222851)</f>
        <v>3222851</v>
      </c>
      <c r="B455" s="14" t="s">
        <v>4175</v>
      </c>
      <c r="C455" s="16">
        <v>45356.13203703704</v>
      </c>
      <c r="D455" s="14"/>
      <c r="E455" s="32">
        <v>45278.0</v>
      </c>
      <c r="F455" s="32">
        <v>45357.0</v>
      </c>
      <c r="G455" s="32">
        <v>45357.0</v>
      </c>
      <c r="H455" s="14"/>
      <c r="I455" s="14"/>
      <c r="J455" s="14"/>
      <c r="K455" s="18">
        <f>HYPERLINK("https://app.hubspot.com/contacts/8748051/record/0-2/18450809606", 18450809606)</f>
        <v>18450809606</v>
      </c>
      <c r="L455" s="14" t="s">
        <v>1122</v>
      </c>
      <c r="M455" s="18" t="s">
        <v>1123</v>
      </c>
      <c r="N455" s="18">
        <f>HYPERLINK("https://app.hubspot.com/contacts/8748051/record/0-3/18089950094", 18089950094)</f>
        <v>18089950094</v>
      </c>
      <c r="O455" s="14" t="s">
        <v>2068</v>
      </c>
      <c r="P455" s="14" t="s">
        <v>118</v>
      </c>
      <c r="Q455" s="14">
        <v>5000.0</v>
      </c>
      <c r="R455" s="14"/>
      <c r="S455" s="24" t="str">
        <f t="shared" ref="S455:U455" si="459">IF(E455&lt;&gt;"","Yes","")</f>
        <v>Yes</v>
      </c>
      <c r="T455" s="24" t="str">
        <f t="shared" si="459"/>
        <v>Yes</v>
      </c>
      <c r="U455" s="24" t="str">
        <f t="shared" si="459"/>
        <v>Yes</v>
      </c>
      <c r="V455" s="24" t="str">
        <f t="shared" si="3"/>
        <v/>
      </c>
      <c r="W455" s="14" t="str">
        <f t="shared" si="4"/>
        <v/>
      </c>
    </row>
    <row r="456" ht="14.25" customHeight="1">
      <c r="A456" s="18">
        <f>HYPERLINK("https://app.hubspot.com/contacts/8748051/record/0-1/3465601", 3465601)</f>
        <v>3465601</v>
      </c>
      <c r="B456" s="14" t="s">
        <v>4176</v>
      </c>
      <c r="C456" s="16">
        <v>45355.89225694445</v>
      </c>
      <c r="D456" s="14" t="s">
        <v>4116</v>
      </c>
      <c r="E456" s="32"/>
      <c r="F456" s="32"/>
      <c r="G456" s="32"/>
      <c r="H456" s="14"/>
      <c r="I456" s="14"/>
      <c r="J456" s="14"/>
      <c r="K456" s="18">
        <f>HYPERLINK("https://app.hubspot.com/contacts/8748051/record/0-2/19375615357", 19375615357)</f>
        <v>19375615357</v>
      </c>
      <c r="L456" s="14" t="s">
        <v>4177</v>
      </c>
      <c r="M456" s="18" t="s">
        <v>4178</v>
      </c>
      <c r="N456" s="14"/>
      <c r="O456" s="14"/>
      <c r="P456" s="14"/>
      <c r="Q456" s="14"/>
      <c r="R456" s="14"/>
      <c r="S456" s="24" t="str">
        <f t="shared" ref="S456:U456" si="460">IF(E456&lt;&gt;"","Yes","")</f>
        <v/>
      </c>
      <c r="T456" s="24" t="str">
        <f t="shared" si="460"/>
        <v/>
      </c>
      <c r="U456" s="24" t="str">
        <f t="shared" si="460"/>
        <v/>
      </c>
      <c r="V456" s="24" t="str">
        <f t="shared" si="3"/>
        <v/>
      </c>
      <c r="W456" s="14" t="str">
        <f t="shared" si="4"/>
        <v/>
      </c>
    </row>
    <row r="457" ht="14.25" customHeight="1">
      <c r="A457" s="18">
        <f>HYPERLINK("https://app.hubspot.com/contacts/8748051/record/0-1/496253", 496253)</f>
        <v>496253</v>
      </c>
      <c r="B457" s="14" t="s">
        <v>4179</v>
      </c>
      <c r="C457" s="16">
        <v>45352.83969907407</v>
      </c>
      <c r="D457" s="14"/>
      <c r="E457" s="32">
        <v>45353.0</v>
      </c>
      <c r="F457" s="32">
        <v>45366.0</v>
      </c>
      <c r="G457" s="32">
        <v>45397.0</v>
      </c>
      <c r="H457" s="14"/>
      <c r="I457" s="14"/>
      <c r="J457" s="14"/>
      <c r="K457" s="18">
        <f>HYPERLINK("https://app.hubspot.com/contacts/8748051/record/0-2/7648032795", 7648032795)</f>
        <v>7648032795</v>
      </c>
      <c r="L457" s="14" t="s">
        <v>2063</v>
      </c>
      <c r="M457" s="18" t="s">
        <v>2064</v>
      </c>
      <c r="N457" s="18">
        <f>HYPERLINK("https://app.hubspot.com/contacts/8748051/record/0-3/18094274308", 18094274308)</f>
        <v>18094274308</v>
      </c>
      <c r="O457" s="14" t="s">
        <v>2062</v>
      </c>
      <c r="P457" s="14" t="s">
        <v>118</v>
      </c>
      <c r="Q457" s="14">
        <v>10080.0</v>
      </c>
      <c r="R457" s="14"/>
      <c r="S457" s="24" t="str">
        <f t="shared" ref="S457:U457" si="461">IF(E457&lt;&gt;"","Yes","")</f>
        <v>Yes</v>
      </c>
      <c r="T457" s="24" t="str">
        <f t="shared" si="461"/>
        <v>Yes</v>
      </c>
      <c r="U457" s="24" t="str">
        <f t="shared" si="461"/>
        <v>Yes</v>
      </c>
      <c r="V457" s="24" t="str">
        <f t="shared" si="3"/>
        <v/>
      </c>
      <c r="W457" s="14" t="str">
        <f t="shared" si="4"/>
        <v/>
      </c>
    </row>
    <row r="458" ht="14.25" customHeight="1">
      <c r="A458" s="18">
        <f>HYPERLINK("https://app.hubspot.com/contacts/8748051/record/0-1/3448451", 3448451)</f>
        <v>3448451</v>
      </c>
      <c r="B458" s="14" t="s">
        <v>4180</v>
      </c>
      <c r="C458" s="16">
        <v>45352.38853009259</v>
      </c>
      <c r="D458" s="14" t="s">
        <v>4181</v>
      </c>
      <c r="E458" s="32"/>
      <c r="F458" s="32"/>
      <c r="G458" s="32"/>
      <c r="H458" s="14"/>
      <c r="I458" s="14"/>
      <c r="J458" s="14"/>
      <c r="K458" s="18">
        <f>HYPERLINK("https://app.hubspot.com/contacts/8748051/record/0-2/19329299717", 19329299717)</f>
        <v>19329299717</v>
      </c>
      <c r="L458" s="14" t="s">
        <v>4182</v>
      </c>
      <c r="M458" s="18" t="s">
        <v>4183</v>
      </c>
      <c r="N458" s="14"/>
      <c r="O458" s="14"/>
      <c r="P458" s="14"/>
      <c r="Q458" s="14"/>
      <c r="R458" s="14"/>
      <c r="S458" s="24" t="str">
        <f t="shared" ref="S458:U458" si="462">IF(E458&lt;&gt;"","Yes","")</f>
        <v/>
      </c>
      <c r="T458" s="24" t="str">
        <f t="shared" si="462"/>
        <v/>
      </c>
      <c r="U458" s="24" t="str">
        <f t="shared" si="462"/>
        <v/>
      </c>
      <c r="V458" s="24" t="str">
        <f t="shared" si="3"/>
        <v/>
      </c>
      <c r="W458" s="14" t="str">
        <f t="shared" si="4"/>
        <v/>
      </c>
    </row>
    <row r="459" ht="14.25" customHeight="1">
      <c r="A459" s="18">
        <f>HYPERLINK("https://app.hubspot.com/contacts/8748051/record/0-1/3447551", 3447551)</f>
        <v>3447551</v>
      </c>
      <c r="B459" s="14" t="s">
        <v>4184</v>
      </c>
      <c r="C459" s="16">
        <v>45352.130844907406</v>
      </c>
      <c r="D459" s="14" t="s">
        <v>4116</v>
      </c>
      <c r="E459" s="32"/>
      <c r="F459" s="32"/>
      <c r="G459" s="32"/>
      <c r="H459" s="14"/>
      <c r="I459" s="14"/>
      <c r="J459" s="14"/>
      <c r="K459" s="18">
        <f>HYPERLINK("https://app.hubspot.com/contacts/8748051/record/0-2/9069618615", 9069618615)</f>
        <v>9069618615</v>
      </c>
      <c r="L459" s="14" t="s">
        <v>4185</v>
      </c>
      <c r="M459" s="18" t="s">
        <v>4186</v>
      </c>
      <c r="N459" s="14"/>
      <c r="O459" s="14"/>
      <c r="P459" s="14"/>
      <c r="Q459" s="14"/>
      <c r="R459" s="14"/>
      <c r="S459" s="24" t="str">
        <f t="shared" ref="S459:U459" si="463">IF(E459&lt;&gt;"","Yes","")</f>
        <v/>
      </c>
      <c r="T459" s="24" t="str">
        <f t="shared" si="463"/>
        <v/>
      </c>
      <c r="U459" s="24" t="str">
        <f t="shared" si="463"/>
        <v/>
      </c>
      <c r="V459" s="24" t="str">
        <f t="shared" si="3"/>
        <v/>
      </c>
      <c r="W459" s="14" t="str">
        <f t="shared" si="4"/>
        <v/>
      </c>
    </row>
    <row r="460" ht="14.25" customHeight="1">
      <c r="A460" s="18">
        <f>HYPERLINK("https://app.hubspot.com/contacts/8748051/record/0-1/3446051", 3446051)</f>
        <v>3446051</v>
      </c>
      <c r="B460" s="14" t="s">
        <v>4187</v>
      </c>
      <c r="C460" s="16">
        <v>45351.50376157407</v>
      </c>
      <c r="D460" s="14"/>
      <c r="E460" s="32">
        <v>45352.0</v>
      </c>
      <c r="F460" s="32">
        <v>45357.0</v>
      </c>
      <c r="G460" s="32"/>
      <c r="H460" s="14"/>
      <c r="I460" s="14"/>
      <c r="J460" s="14"/>
      <c r="K460" s="18">
        <f>HYPERLINK("https://app.hubspot.com/contacts/8748051/record/0-2/19303913095", 19303913095)</f>
        <v>19303913095</v>
      </c>
      <c r="L460" s="14" t="s">
        <v>4188</v>
      </c>
      <c r="M460" s="18" t="s">
        <v>4189</v>
      </c>
      <c r="N460" s="14"/>
      <c r="O460" s="14"/>
      <c r="P460" s="14"/>
      <c r="Q460" s="14"/>
      <c r="R460" s="14"/>
      <c r="S460" s="24" t="str">
        <f t="shared" ref="S460:U460" si="464">IF(E460&lt;&gt;"","Yes","")</f>
        <v>Yes</v>
      </c>
      <c r="T460" s="24" t="str">
        <f t="shared" si="464"/>
        <v>Yes</v>
      </c>
      <c r="U460" s="24" t="str">
        <f t="shared" si="464"/>
        <v/>
      </c>
      <c r="V460" s="24" t="str">
        <f t="shared" si="3"/>
        <v/>
      </c>
      <c r="W460" s="14" t="str">
        <f t="shared" si="4"/>
        <v/>
      </c>
    </row>
    <row r="461" ht="14.25" customHeight="1">
      <c r="A461" s="18">
        <f>HYPERLINK("https://app.hubspot.com/contacts/8748051/record/0-1/3426951", 3426951)</f>
        <v>3426951</v>
      </c>
      <c r="B461" s="14" t="s">
        <v>4190</v>
      </c>
      <c r="C461" s="16">
        <v>45348.91538194445</v>
      </c>
      <c r="D461" s="14" t="s">
        <v>3979</v>
      </c>
      <c r="E461" s="32"/>
      <c r="F461" s="32"/>
      <c r="G461" s="32"/>
      <c r="H461" s="14"/>
      <c r="I461" s="14"/>
      <c r="J461" s="14"/>
      <c r="K461" s="14"/>
      <c r="L461" s="14"/>
      <c r="M461" s="14"/>
      <c r="N461" s="14"/>
      <c r="O461" s="14"/>
      <c r="P461" s="14"/>
      <c r="Q461" s="14"/>
      <c r="R461" s="14"/>
      <c r="S461" s="24" t="str">
        <f t="shared" ref="S461:U461" si="465">IF(E461&lt;&gt;"","Yes","")</f>
        <v/>
      </c>
      <c r="T461" s="24" t="str">
        <f t="shared" si="465"/>
        <v/>
      </c>
      <c r="U461" s="24" t="str">
        <f t="shared" si="465"/>
        <v/>
      </c>
      <c r="V461" s="24" t="str">
        <f t="shared" si="3"/>
        <v/>
      </c>
      <c r="W461" s="14" t="str">
        <f t="shared" si="4"/>
        <v/>
      </c>
    </row>
    <row r="462" ht="14.25" customHeight="1">
      <c r="A462" s="18">
        <f>HYPERLINK("https://app.hubspot.com/contacts/8748051/record/0-1/2790551", 2790551)</f>
        <v>2790551</v>
      </c>
      <c r="B462" s="14" t="s">
        <v>4191</v>
      </c>
      <c r="C462" s="16">
        <v>45346.109375</v>
      </c>
      <c r="D462" s="14"/>
      <c r="E462" s="32">
        <v>45346.0</v>
      </c>
      <c r="F462" s="32">
        <v>45348.0</v>
      </c>
      <c r="G462" s="32">
        <v>45348.0</v>
      </c>
      <c r="H462" s="14"/>
      <c r="I462" s="14"/>
      <c r="J462" s="14"/>
      <c r="K462" s="18">
        <f>HYPERLINK("https://app.hubspot.com/contacts/8748051/record/0-2/17170516831", 17170516831)</f>
        <v>17170516831</v>
      </c>
      <c r="L462" s="14" t="s">
        <v>4192</v>
      </c>
      <c r="M462" s="18" t="s">
        <v>4193</v>
      </c>
      <c r="N462" s="14"/>
      <c r="O462" s="14"/>
      <c r="P462" s="14"/>
      <c r="Q462" s="14"/>
      <c r="R462" s="14"/>
      <c r="S462" s="24" t="str">
        <f t="shared" ref="S462:U462" si="466">IF(E462&lt;&gt;"","Yes","")</f>
        <v>Yes</v>
      </c>
      <c r="T462" s="24" t="str">
        <f t="shared" si="466"/>
        <v>Yes</v>
      </c>
      <c r="U462" s="24" t="str">
        <f t="shared" si="466"/>
        <v>Yes</v>
      </c>
      <c r="V462" s="24" t="str">
        <f t="shared" si="3"/>
        <v/>
      </c>
      <c r="W462" s="14" t="str">
        <f t="shared" si="4"/>
        <v/>
      </c>
    </row>
    <row r="463" ht="14.25" customHeight="1">
      <c r="A463" s="18">
        <f>HYPERLINK("https://app.hubspot.com/contacts/8748051/record/0-1/3409701", 3409701)</f>
        <v>3409701</v>
      </c>
      <c r="B463" s="14" t="s">
        <v>4194</v>
      </c>
      <c r="C463" s="16">
        <v>45343.59229166667</v>
      </c>
      <c r="D463" s="14"/>
      <c r="E463" s="32">
        <v>45344.0</v>
      </c>
      <c r="F463" s="32">
        <v>45351.0</v>
      </c>
      <c r="G463" s="32">
        <v>45351.0</v>
      </c>
      <c r="H463" s="14"/>
      <c r="I463" s="14"/>
      <c r="J463" s="14"/>
      <c r="K463" s="18">
        <f>HYPERLINK("https://app.hubspot.com/contacts/8748051/record/0-2/7232132629", 7232132629)</f>
        <v>7232132629</v>
      </c>
      <c r="L463" s="14" t="s">
        <v>2185</v>
      </c>
      <c r="M463" s="18" t="s">
        <v>2186</v>
      </c>
      <c r="N463" s="18">
        <f>HYPERLINK("https://app.hubspot.com/contacts/8748051/record/0-3/17656398737", 17656398737)</f>
        <v>17656398737</v>
      </c>
      <c r="O463" s="14" t="s">
        <v>2184</v>
      </c>
      <c r="P463" s="14" t="s">
        <v>124</v>
      </c>
      <c r="Q463" s="14">
        <v>12000.0</v>
      </c>
      <c r="R463" s="14" t="b">
        <v>1</v>
      </c>
      <c r="S463" s="24" t="str">
        <f t="shared" ref="S463:U463" si="467">IF(E463&lt;&gt;"","Yes","")</f>
        <v>Yes</v>
      </c>
      <c r="T463" s="24" t="str">
        <f t="shared" si="467"/>
        <v>Yes</v>
      </c>
      <c r="U463" s="24" t="str">
        <f t="shared" si="467"/>
        <v>Yes</v>
      </c>
      <c r="V463" s="24" t="str">
        <f t="shared" si="3"/>
        <v/>
      </c>
      <c r="W463" s="14" t="str">
        <f t="shared" si="4"/>
        <v/>
      </c>
    </row>
    <row r="464" ht="14.25" customHeight="1">
      <c r="A464" s="18">
        <f>HYPERLINK("https://app.hubspot.com/contacts/8748051/record/0-1/3396251", 3396251)</f>
        <v>3396251</v>
      </c>
      <c r="B464" s="14" t="s">
        <v>4195</v>
      </c>
      <c r="C464" s="16">
        <v>45343.231203703705</v>
      </c>
      <c r="D464" s="14"/>
      <c r="E464" s="32">
        <v>45338.0</v>
      </c>
      <c r="F464" s="32">
        <v>45338.0</v>
      </c>
      <c r="G464" s="32">
        <v>45338.0</v>
      </c>
      <c r="H464" s="14"/>
      <c r="I464" s="14"/>
      <c r="J464" s="14"/>
      <c r="K464" s="18">
        <f>HYPERLINK("https://app.hubspot.com/contacts/8748051/record/0-2/11995178296", 11995178296)</f>
        <v>11995178296</v>
      </c>
      <c r="L464" s="14" t="s">
        <v>2203</v>
      </c>
      <c r="M464" s="18" t="s">
        <v>2204</v>
      </c>
      <c r="N464" s="18">
        <f>HYPERLINK("https://app.hubspot.com/contacts/8748051/record/0-3/17615300110", 17615300110)</f>
        <v>17615300110</v>
      </c>
      <c r="O464" s="14" t="s">
        <v>2202</v>
      </c>
      <c r="P464" s="14" t="s">
        <v>118</v>
      </c>
      <c r="Q464" s="14">
        <v>12500.0</v>
      </c>
      <c r="R464" s="14"/>
      <c r="S464" s="24" t="str">
        <f t="shared" ref="S464:U464" si="468">IF(E464&lt;&gt;"","Yes","")</f>
        <v>Yes</v>
      </c>
      <c r="T464" s="24" t="str">
        <f t="shared" si="468"/>
        <v>Yes</v>
      </c>
      <c r="U464" s="24" t="str">
        <f t="shared" si="468"/>
        <v>Yes</v>
      </c>
      <c r="V464" s="24" t="str">
        <f t="shared" si="3"/>
        <v/>
      </c>
      <c r="W464" s="14" t="str">
        <f t="shared" si="4"/>
        <v/>
      </c>
    </row>
    <row r="465" ht="14.25" customHeight="1">
      <c r="A465" s="18">
        <f>HYPERLINK("https://app.hubspot.com/contacts/8748051/record/0-1/3408201", 3408201)</f>
        <v>3408201</v>
      </c>
      <c r="B465" s="14" t="s">
        <v>4196</v>
      </c>
      <c r="C465" s="16">
        <v>45343.22106481482</v>
      </c>
      <c r="D465" s="14"/>
      <c r="E465" s="32">
        <v>45343.0</v>
      </c>
      <c r="F465" s="32">
        <v>45344.0</v>
      </c>
      <c r="G465" s="32">
        <v>45344.0</v>
      </c>
      <c r="H465" s="14"/>
      <c r="I465" s="14"/>
      <c r="J465" s="14"/>
      <c r="K465" s="18">
        <f>HYPERLINK("https://app.hubspot.com/contacts/8748051/record/0-2/19173801343", 19173801343)</f>
        <v>19173801343</v>
      </c>
      <c r="L465" s="14" t="s">
        <v>4197</v>
      </c>
      <c r="M465" s="18" t="s">
        <v>4198</v>
      </c>
      <c r="N465" s="14"/>
      <c r="O465" s="14"/>
      <c r="P465" s="14"/>
      <c r="Q465" s="14"/>
      <c r="R465" s="14"/>
      <c r="S465" s="24" t="str">
        <f t="shared" ref="S465:U465" si="469">IF(E465&lt;&gt;"","Yes","")</f>
        <v>Yes</v>
      </c>
      <c r="T465" s="24" t="str">
        <f t="shared" si="469"/>
        <v>Yes</v>
      </c>
      <c r="U465" s="24" t="str">
        <f t="shared" si="469"/>
        <v>Yes</v>
      </c>
      <c r="V465" s="24" t="str">
        <f t="shared" si="3"/>
        <v/>
      </c>
      <c r="W465" s="14" t="str">
        <f t="shared" si="4"/>
        <v/>
      </c>
    </row>
    <row r="466" ht="14.25" customHeight="1">
      <c r="A466" s="18">
        <f>HYPERLINK("https://app.hubspot.com/contacts/8748051/record/0-1/3354501", 3354501)</f>
        <v>3354501</v>
      </c>
      <c r="B466" s="14" t="s">
        <v>4199</v>
      </c>
      <c r="C466" s="16">
        <v>45337.99322916667</v>
      </c>
      <c r="D466" s="14"/>
      <c r="E466" s="32">
        <v>45327.0</v>
      </c>
      <c r="F466" s="32">
        <v>45338.0</v>
      </c>
      <c r="G466" s="32">
        <v>45338.0</v>
      </c>
      <c r="H466" s="14"/>
      <c r="I466" s="14"/>
      <c r="J466" s="14"/>
      <c r="K466" s="18">
        <f>HYPERLINK("https://app.hubspot.com/contacts/8748051/record/0-2/18975734823", 18975734823)</f>
        <v>18975734823</v>
      </c>
      <c r="L466" s="14" t="s">
        <v>2206</v>
      </c>
      <c r="M466" s="18" t="s">
        <v>2207</v>
      </c>
      <c r="N466" s="18">
        <f>HYPERLINK("https://app.hubspot.com/contacts/8748051/record/0-3/17615274063", 17615274063)</f>
        <v>17615274063</v>
      </c>
      <c r="O466" s="14" t="s">
        <v>2205</v>
      </c>
      <c r="P466" s="14" t="s">
        <v>118</v>
      </c>
      <c r="Q466" s="14">
        <v>100000.0</v>
      </c>
      <c r="R466" s="14"/>
      <c r="S466" s="24" t="str">
        <f t="shared" ref="S466:U466" si="470">IF(E466&lt;&gt;"","Yes","")</f>
        <v>Yes</v>
      </c>
      <c r="T466" s="24" t="str">
        <f t="shared" si="470"/>
        <v>Yes</v>
      </c>
      <c r="U466" s="24" t="str">
        <f t="shared" si="470"/>
        <v>Yes</v>
      </c>
      <c r="V466" s="24" t="str">
        <f t="shared" si="3"/>
        <v/>
      </c>
      <c r="W466" s="14" t="str">
        <f t="shared" si="4"/>
        <v/>
      </c>
    </row>
    <row r="467" ht="14.25" customHeight="1">
      <c r="A467" s="18">
        <f>HYPERLINK("https://app.hubspot.com/contacts/8748051/record/0-1/3391801", 3391801)</f>
        <v>3391801</v>
      </c>
      <c r="B467" s="14" t="s">
        <v>4200</v>
      </c>
      <c r="C467" s="16">
        <v>45337.29122685185</v>
      </c>
      <c r="D467" s="14" t="s">
        <v>4201</v>
      </c>
      <c r="E467" s="32"/>
      <c r="F467" s="32"/>
      <c r="G467" s="32"/>
      <c r="H467" s="14"/>
      <c r="I467" s="14"/>
      <c r="J467" s="14"/>
      <c r="K467" s="18">
        <f>HYPERLINK("https://app.hubspot.com/contacts/8748051/record/0-2/19105033005", 19105033005)</f>
        <v>19105033005</v>
      </c>
      <c r="L467" s="18" t="s">
        <v>4202</v>
      </c>
      <c r="M467" s="18" t="s">
        <v>4202</v>
      </c>
      <c r="N467" s="14"/>
      <c r="O467" s="14"/>
      <c r="P467" s="14"/>
      <c r="Q467" s="14"/>
      <c r="R467" s="14"/>
      <c r="S467" s="24" t="str">
        <f t="shared" ref="S467:U467" si="471">IF(E467&lt;&gt;"","Yes","")</f>
        <v/>
      </c>
      <c r="T467" s="24" t="str">
        <f t="shared" si="471"/>
        <v/>
      </c>
      <c r="U467" s="24" t="str">
        <f t="shared" si="471"/>
        <v/>
      </c>
      <c r="V467" s="24" t="str">
        <f t="shared" si="3"/>
        <v/>
      </c>
      <c r="W467" s="14" t="str">
        <f t="shared" si="4"/>
        <v/>
      </c>
    </row>
    <row r="468" ht="14.25" customHeight="1">
      <c r="A468" s="18">
        <f>HYPERLINK("https://app.hubspot.com/contacts/8748051/record/0-1/3368401", 3368401)</f>
        <v>3368401</v>
      </c>
      <c r="B468" s="14" t="s">
        <v>4203</v>
      </c>
      <c r="C468" s="16">
        <v>45330.53824074074</v>
      </c>
      <c r="D468" s="14" t="s">
        <v>4181</v>
      </c>
      <c r="E468" s="32"/>
      <c r="F468" s="32"/>
      <c r="G468" s="32"/>
      <c r="H468" s="14"/>
      <c r="I468" s="14"/>
      <c r="J468" s="24"/>
      <c r="K468" s="18">
        <f>HYPERLINK("https://app.hubspot.com/contacts/8748051/record/0-2/19021975398", 19021975398)</f>
        <v>19021975398</v>
      </c>
      <c r="L468" s="14" t="s">
        <v>4204</v>
      </c>
      <c r="M468" s="14" t="s">
        <v>4205</v>
      </c>
      <c r="N468" s="14"/>
      <c r="O468" s="14"/>
      <c r="P468" s="14"/>
      <c r="Q468" s="14"/>
      <c r="R468" s="14"/>
      <c r="S468" s="24" t="str">
        <f t="shared" ref="S468:U468" si="472">IF(E468&lt;&gt;"","Yes","")</f>
        <v/>
      </c>
      <c r="T468" s="24" t="str">
        <f t="shared" si="472"/>
        <v/>
      </c>
      <c r="U468" s="24" t="str">
        <f t="shared" si="472"/>
        <v/>
      </c>
      <c r="V468" s="24" t="str">
        <f t="shared" si="3"/>
        <v/>
      </c>
      <c r="W468" s="14" t="str">
        <f t="shared" si="4"/>
        <v/>
      </c>
    </row>
    <row r="469" ht="14.25" customHeight="1">
      <c r="A469" s="18">
        <f>HYPERLINK("https://app.hubspot.com/contacts/8748051/record/0-1/2630701", 2630701)</f>
        <v>2630701</v>
      </c>
      <c r="B469" s="14" t="s">
        <v>4206</v>
      </c>
      <c r="C469" s="16">
        <v>45330.187569444446</v>
      </c>
      <c r="D469" s="14"/>
      <c r="E469" s="32">
        <v>45330.0</v>
      </c>
      <c r="F469" s="32"/>
      <c r="G469" s="32"/>
      <c r="H469" s="14"/>
      <c r="I469" s="14"/>
      <c r="J469" s="14"/>
      <c r="K469" s="18">
        <f>HYPERLINK("https://app.hubspot.com/contacts/8748051/record/0-2/9050036227", 9050036227)</f>
        <v>9050036227</v>
      </c>
      <c r="L469" s="14" t="s">
        <v>4207</v>
      </c>
      <c r="M469" s="18" t="s">
        <v>4208</v>
      </c>
      <c r="N469" s="14"/>
      <c r="O469" s="14"/>
      <c r="P469" s="14"/>
      <c r="Q469" s="14"/>
      <c r="R469" s="14"/>
      <c r="S469" s="24" t="str">
        <f t="shared" ref="S469:U469" si="473">IF(E469&lt;&gt;"","Yes","")</f>
        <v>Yes</v>
      </c>
      <c r="T469" s="24" t="str">
        <f t="shared" si="473"/>
        <v/>
      </c>
      <c r="U469" s="24" t="str">
        <f t="shared" si="473"/>
        <v/>
      </c>
      <c r="V469" s="24" t="str">
        <f t="shared" si="3"/>
        <v/>
      </c>
      <c r="W469" s="14" t="str">
        <f t="shared" si="4"/>
        <v/>
      </c>
    </row>
    <row r="470" ht="14.25" customHeight="1">
      <c r="A470" s="18">
        <f>HYPERLINK("https://app.hubspot.com/contacts/8748051/record/0-1/3307001", 3307001)</f>
        <v>3307001</v>
      </c>
      <c r="B470" s="14" t="s">
        <v>4209</v>
      </c>
      <c r="C470" s="16">
        <v>45330.16409722222</v>
      </c>
      <c r="D470" s="14" t="s">
        <v>4210</v>
      </c>
      <c r="E470" s="32"/>
      <c r="F470" s="32"/>
      <c r="G470" s="32"/>
      <c r="H470" s="14"/>
      <c r="I470" s="14"/>
      <c r="J470" s="24"/>
      <c r="K470" s="18">
        <f>HYPERLINK("https://app.hubspot.com/contacts/8748051/record/0-2/19018865320", 19018865320)</f>
        <v>19018865320</v>
      </c>
      <c r="L470" s="14" t="s">
        <v>4211</v>
      </c>
      <c r="M470" s="14" t="s">
        <v>4212</v>
      </c>
      <c r="N470" s="24"/>
      <c r="O470" s="14"/>
      <c r="P470" s="14"/>
      <c r="Q470" s="14"/>
      <c r="R470" s="14"/>
      <c r="S470" s="24" t="str">
        <f t="shared" ref="S470:U470" si="474">IF(E470&lt;&gt;"","Yes","")</f>
        <v/>
      </c>
      <c r="T470" s="24" t="str">
        <f t="shared" si="474"/>
        <v/>
      </c>
      <c r="U470" s="24" t="str">
        <f t="shared" si="474"/>
        <v/>
      </c>
      <c r="V470" s="24" t="str">
        <f t="shared" si="3"/>
        <v/>
      </c>
      <c r="W470" s="14" t="str">
        <f t="shared" si="4"/>
        <v/>
      </c>
    </row>
    <row r="471" ht="14.25" customHeight="1">
      <c r="A471" s="18">
        <f>HYPERLINK("https://app.hubspot.com/contacts/8748051/record/0-1/3366201", 3366201)</f>
        <v>3366201</v>
      </c>
      <c r="B471" s="14" t="s">
        <v>4213</v>
      </c>
      <c r="C471" s="16">
        <v>45330.12142361111</v>
      </c>
      <c r="D471" s="14" t="s">
        <v>4214</v>
      </c>
      <c r="E471" s="32"/>
      <c r="F471" s="32"/>
      <c r="G471" s="32"/>
      <c r="H471" s="14"/>
      <c r="I471" s="14"/>
      <c r="J471" s="14"/>
      <c r="K471" s="18">
        <f>HYPERLINK("https://app.hubspot.com/contacts/8748051/record/0-2/19018580900", 19018580900)</f>
        <v>19018580900</v>
      </c>
      <c r="L471" s="14" t="s">
        <v>4215</v>
      </c>
      <c r="M471" s="18" t="s">
        <v>4216</v>
      </c>
      <c r="N471" s="14"/>
      <c r="O471" s="14"/>
      <c r="P471" s="14"/>
      <c r="Q471" s="14"/>
      <c r="R471" s="14"/>
      <c r="S471" s="24" t="str">
        <f t="shared" ref="S471:U471" si="475">IF(E471&lt;&gt;"","Yes","")</f>
        <v/>
      </c>
      <c r="T471" s="24" t="str">
        <f t="shared" si="475"/>
        <v/>
      </c>
      <c r="U471" s="24" t="str">
        <f t="shared" si="475"/>
        <v/>
      </c>
      <c r="V471" s="24" t="str">
        <f t="shared" si="3"/>
        <v/>
      </c>
      <c r="W471" s="14" t="str">
        <f t="shared" si="4"/>
        <v/>
      </c>
    </row>
    <row r="472" ht="14.25" customHeight="1">
      <c r="A472" s="18">
        <f>HYPERLINK("https://app.hubspot.com/contacts/8748051/record/0-1/3365351", 3365351)</f>
        <v>3365351</v>
      </c>
      <c r="B472" s="14" t="s">
        <v>4217</v>
      </c>
      <c r="C472" s="16">
        <v>45329.78811342592</v>
      </c>
      <c r="D472" s="14" t="s">
        <v>3979</v>
      </c>
      <c r="E472" s="32"/>
      <c r="F472" s="32"/>
      <c r="G472" s="32"/>
      <c r="H472" s="14"/>
      <c r="I472" s="14"/>
      <c r="J472" s="14"/>
      <c r="K472" s="18">
        <f>HYPERLINK("https://app.hubspot.com/contacts/8748051/record/0-2/19015011506", 19015011506)</f>
        <v>19015011506</v>
      </c>
      <c r="L472" s="14" t="s">
        <v>4218</v>
      </c>
      <c r="M472" s="18" t="s">
        <v>4219</v>
      </c>
      <c r="N472" s="24"/>
      <c r="O472" s="14"/>
      <c r="P472" s="14"/>
      <c r="Q472" s="14"/>
      <c r="R472" s="14"/>
      <c r="S472" s="24" t="str">
        <f t="shared" ref="S472:U472" si="476">IF(E472&lt;&gt;"","Yes","")</f>
        <v/>
      </c>
      <c r="T472" s="24" t="str">
        <f t="shared" si="476"/>
        <v/>
      </c>
      <c r="U472" s="24" t="str">
        <f t="shared" si="476"/>
        <v/>
      </c>
      <c r="V472" s="24" t="str">
        <f t="shared" si="3"/>
        <v/>
      </c>
      <c r="W472" s="14" t="str">
        <f t="shared" si="4"/>
        <v/>
      </c>
    </row>
    <row r="473" ht="14.25" customHeight="1">
      <c r="A473" s="18">
        <f>HYPERLINK("https://app.hubspot.com/contacts/8748051/record/0-1/3365301", 3365301)</f>
        <v>3365301</v>
      </c>
      <c r="B473" s="14" t="s">
        <v>4220</v>
      </c>
      <c r="C473" s="16">
        <v>45329.74619212963</v>
      </c>
      <c r="D473" s="14" t="s">
        <v>3979</v>
      </c>
      <c r="E473" s="32"/>
      <c r="F473" s="32"/>
      <c r="G473" s="32"/>
      <c r="H473" s="14"/>
      <c r="I473" s="14"/>
      <c r="J473" s="14"/>
      <c r="K473" s="18">
        <f>HYPERLINK("https://app.hubspot.com/contacts/8748051/record/0-2/19014538035", 19014538035)</f>
        <v>19014538035</v>
      </c>
      <c r="L473" s="14" t="s">
        <v>4221</v>
      </c>
      <c r="M473" s="18" t="s">
        <v>4222</v>
      </c>
      <c r="N473" s="24"/>
      <c r="O473" s="14"/>
      <c r="P473" s="14"/>
      <c r="Q473" s="14"/>
      <c r="R473" s="14"/>
      <c r="S473" s="24" t="str">
        <f t="shared" ref="S473:U473" si="477">IF(E473&lt;&gt;"","Yes","")</f>
        <v/>
      </c>
      <c r="T473" s="24" t="str">
        <f t="shared" si="477"/>
        <v/>
      </c>
      <c r="U473" s="24" t="str">
        <f t="shared" si="477"/>
        <v/>
      </c>
      <c r="V473" s="24" t="str">
        <f t="shared" si="3"/>
        <v/>
      </c>
      <c r="W473" s="14" t="str">
        <f t="shared" si="4"/>
        <v/>
      </c>
    </row>
    <row r="474" ht="14.25" customHeight="1">
      <c r="A474" s="18">
        <f>HYPERLINK("https://app.hubspot.com/contacts/8748051/record/0-1/159553341781", 159553341781)</f>
        <v>159553341781</v>
      </c>
      <c r="B474" s="14" t="s">
        <v>4223</v>
      </c>
      <c r="C474" s="16">
        <v>45328.42717592593</v>
      </c>
      <c r="D474" s="14"/>
      <c r="E474" s="32">
        <v>45328.0</v>
      </c>
      <c r="F474" s="32"/>
      <c r="G474" s="32"/>
      <c r="H474" s="14"/>
      <c r="I474" s="14"/>
      <c r="J474" s="24"/>
      <c r="K474" s="18">
        <f>HYPERLINK("https://app.hubspot.com/contacts/8748051/record/0-2/18993981023", 18993981023)</f>
        <v>18993981023</v>
      </c>
      <c r="L474" s="14" t="s">
        <v>4224</v>
      </c>
      <c r="M474" s="18" t="s">
        <v>4225</v>
      </c>
      <c r="N474" s="14"/>
      <c r="O474" s="14"/>
      <c r="P474" s="14"/>
      <c r="Q474" s="14"/>
      <c r="R474" s="14"/>
      <c r="S474" s="24" t="str">
        <f t="shared" ref="S474:U474" si="478">IF(E474&lt;&gt;"","Yes","")</f>
        <v>Yes</v>
      </c>
      <c r="T474" s="24" t="str">
        <f t="shared" si="478"/>
        <v/>
      </c>
      <c r="U474" s="24" t="str">
        <f t="shared" si="478"/>
        <v/>
      </c>
      <c r="V474" s="24" t="str">
        <f t="shared" si="3"/>
        <v/>
      </c>
      <c r="W474" s="14" t="str">
        <f t="shared" si="4"/>
        <v/>
      </c>
    </row>
    <row r="475" ht="14.25" customHeight="1">
      <c r="A475" s="18">
        <f>HYPERLINK("https://app.hubspot.com/contacts/8748051/record/0-1/3352751", 3352751)</f>
        <v>3352751</v>
      </c>
      <c r="B475" s="14" t="s">
        <v>4226</v>
      </c>
      <c r="C475" s="16">
        <v>45325.68083333333</v>
      </c>
      <c r="D475" s="14" t="s">
        <v>4181</v>
      </c>
      <c r="E475" s="32"/>
      <c r="F475" s="32"/>
      <c r="G475" s="32"/>
      <c r="H475" s="14"/>
      <c r="I475" s="14"/>
      <c r="J475" s="14"/>
      <c r="K475" s="18">
        <f>HYPERLINK("https://app.hubspot.com/contacts/8748051/record/0-2/18966749773", 18966749773)</f>
        <v>18966749773</v>
      </c>
      <c r="L475" s="14" t="s">
        <v>4227</v>
      </c>
      <c r="M475" s="18" t="s">
        <v>4228</v>
      </c>
      <c r="N475" s="14"/>
      <c r="O475" s="14"/>
      <c r="P475" s="14"/>
      <c r="Q475" s="14"/>
      <c r="R475" s="14"/>
      <c r="S475" s="24" t="str">
        <f t="shared" ref="S475:U475" si="479">IF(E475&lt;&gt;"","Yes","")</f>
        <v/>
      </c>
      <c r="T475" s="24" t="str">
        <f t="shared" si="479"/>
        <v/>
      </c>
      <c r="U475" s="24" t="str">
        <f t="shared" si="479"/>
        <v/>
      </c>
      <c r="V475" s="24" t="str">
        <f t="shared" si="3"/>
        <v/>
      </c>
      <c r="W475" s="14" t="str">
        <f t="shared" si="4"/>
        <v/>
      </c>
    </row>
    <row r="476" ht="14.25" customHeight="1">
      <c r="A476" s="18">
        <f>HYPERLINK("https://app.hubspot.com/contacts/8748051/record/0-1/3351551", 3351551)</f>
        <v>3351551</v>
      </c>
      <c r="B476" s="14" t="s">
        <v>4229</v>
      </c>
      <c r="C476" s="16">
        <v>45324.79324074074</v>
      </c>
      <c r="D476" s="14"/>
      <c r="E476" s="32">
        <v>45325.0</v>
      </c>
      <c r="F476" s="32">
        <v>45329.0</v>
      </c>
      <c r="G476" s="32">
        <v>45329.0</v>
      </c>
      <c r="H476" s="14"/>
      <c r="I476" s="14"/>
      <c r="J476" s="14"/>
      <c r="K476" s="18">
        <f>HYPERLINK("https://app.hubspot.com/contacts/8748051/record/0-2/7648554051", 7648554051)</f>
        <v>7648554051</v>
      </c>
      <c r="L476" s="14" t="s">
        <v>2227</v>
      </c>
      <c r="M476" s="18" t="s">
        <v>2228</v>
      </c>
      <c r="N476" s="18">
        <f>HYPERLINK("https://app.hubspot.com/contacts/8748051/record/0-3/17419320206", 17419320206)</f>
        <v>17419320206</v>
      </c>
      <c r="O476" s="14" t="s">
        <v>2226</v>
      </c>
      <c r="P476" s="14" t="s">
        <v>124</v>
      </c>
      <c r="Q476" s="14">
        <v>46500.0</v>
      </c>
      <c r="R476" s="14" t="b">
        <v>1</v>
      </c>
      <c r="S476" s="24" t="str">
        <f t="shared" ref="S476:U476" si="480">IF(E476&lt;&gt;"","Yes","")</f>
        <v>Yes</v>
      </c>
      <c r="T476" s="24" t="str">
        <f t="shared" si="480"/>
        <v>Yes</v>
      </c>
      <c r="U476" s="24" t="str">
        <f t="shared" si="480"/>
        <v>Yes</v>
      </c>
      <c r="V476" s="24" t="str">
        <f t="shared" si="3"/>
        <v/>
      </c>
      <c r="W476" s="14" t="str">
        <f t="shared" si="4"/>
        <v/>
      </c>
    </row>
    <row r="477" ht="14.25" customHeight="1">
      <c r="A477" s="18">
        <f>HYPERLINK("https://app.hubspot.com/contacts/8748051/record/0-1/3341551", 3341551)</f>
        <v>3341551</v>
      </c>
      <c r="B477" s="14" t="s">
        <v>4230</v>
      </c>
      <c r="C477" s="16">
        <v>45322.304976851854</v>
      </c>
      <c r="D477" s="14"/>
      <c r="E477" s="32">
        <v>45324.0</v>
      </c>
      <c r="F477" s="32">
        <v>45324.0</v>
      </c>
      <c r="G477" s="32">
        <v>45324.0</v>
      </c>
      <c r="H477" s="14"/>
      <c r="I477" s="14"/>
      <c r="J477" s="14"/>
      <c r="K477" s="18">
        <f>HYPERLINK("https://app.hubspot.com/contacts/8748051/record/0-2/9397911942", 9397911942)</f>
        <v>9397911942</v>
      </c>
      <c r="L477" s="14" t="s">
        <v>2233</v>
      </c>
      <c r="M477" s="18" t="s">
        <v>2234</v>
      </c>
      <c r="N477" s="18">
        <f>HYPERLINK("https://app.hubspot.com/contacts/8748051/record/0-3/17365984275", 17365984275)</f>
        <v>17365984275</v>
      </c>
      <c r="O477" s="14" t="s">
        <v>2231</v>
      </c>
      <c r="P477" s="14" t="s">
        <v>89</v>
      </c>
      <c r="Q477" s="14">
        <v>6000.0</v>
      </c>
      <c r="R477" s="14" t="b">
        <v>1</v>
      </c>
      <c r="S477" s="24" t="str">
        <f t="shared" ref="S477:U477" si="481">IF(E477&lt;&gt;"","Yes","")</f>
        <v>Yes</v>
      </c>
      <c r="T477" s="24" t="str">
        <f t="shared" si="481"/>
        <v>Yes</v>
      </c>
      <c r="U477" s="24" t="str">
        <f t="shared" si="481"/>
        <v>Yes</v>
      </c>
      <c r="V477" s="24" t="str">
        <f t="shared" si="3"/>
        <v>Yes</v>
      </c>
      <c r="W477" s="14" t="str">
        <f t="shared" si="4"/>
        <v/>
      </c>
    </row>
    <row r="478" ht="14.25" customHeight="1">
      <c r="A478" s="18">
        <f>HYPERLINK("https://app.hubspot.com/contacts/8748051/record/0-1/3340901", 3340901)</f>
        <v>3340901</v>
      </c>
      <c r="B478" s="14" t="s">
        <v>4231</v>
      </c>
      <c r="C478" s="16">
        <v>45322.08704861111</v>
      </c>
      <c r="D478" s="14"/>
      <c r="E478" s="32">
        <v>45322.0</v>
      </c>
      <c r="F478" s="32">
        <v>45327.0</v>
      </c>
      <c r="G478" s="32"/>
      <c r="H478" s="14"/>
      <c r="I478" s="14"/>
      <c r="J478" s="14"/>
      <c r="K478" s="18">
        <f>HYPERLINK("https://app.hubspot.com/contacts/8748051/record/0-2/8455727640", 8455727640)</f>
        <v>8455727640</v>
      </c>
      <c r="L478" s="18" t="s">
        <v>4232</v>
      </c>
      <c r="M478" s="18" t="s">
        <v>4233</v>
      </c>
      <c r="N478" s="14"/>
      <c r="O478" s="14"/>
      <c r="P478" s="14"/>
      <c r="Q478" s="14"/>
      <c r="R478" s="14"/>
      <c r="S478" s="24" t="str">
        <f t="shared" ref="S478:U478" si="482">IF(E478&lt;&gt;"","Yes","")</f>
        <v>Yes</v>
      </c>
      <c r="T478" s="24" t="str">
        <f t="shared" si="482"/>
        <v>Yes</v>
      </c>
      <c r="U478" s="24" t="str">
        <f t="shared" si="482"/>
        <v/>
      </c>
      <c r="V478" s="24" t="str">
        <f t="shared" si="3"/>
        <v/>
      </c>
      <c r="W478" s="14" t="str">
        <f t="shared" si="4"/>
        <v/>
      </c>
    </row>
    <row r="479" ht="14.25" customHeight="1">
      <c r="A479" s="18">
        <f>HYPERLINK("https://app.hubspot.com/contacts/8748051/record/0-1/3334901", 3334901)</f>
        <v>3334901</v>
      </c>
      <c r="B479" s="14" t="s">
        <v>4234</v>
      </c>
      <c r="C479" s="16">
        <v>45320.61258101852</v>
      </c>
      <c r="D479" s="14"/>
      <c r="E479" s="32">
        <v>45321.0</v>
      </c>
      <c r="F479" s="32">
        <v>45337.0</v>
      </c>
      <c r="G479" s="32">
        <v>45337.0</v>
      </c>
      <c r="H479" s="14"/>
      <c r="I479" s="14"/>
      <c r="J479" s="14"/>
      <c r="K479" s="18">
        <f>HYPERLINK("https://app.hubspot.com/contacts/8748051/record/0-2/9686640476", 9686640476)</f>
        <v>9686640476</v>
      </c>
      <c r="L479" s="14" t="s">
        <v>2221</v>
      </c>
      <c r="M479" s="18" t="s">
        <v>2222</v>
      </c>
      <c r="N479" s="18">
        <f>HYPERLINK("https://app.hubspot.com/contacts/8748051/record/0-3/17547714187", 17547714187)</f>
        <v>17547714187</v>
      </c>
      <c r="O479" s="14" t="s">
        <v>2220</v>
      </c>
      <c r="P479" s="14" t="s">
        <v>118</v>
      </c>
      <c r="Q479" s="14">
        <v>9360.0</v>
      </c>
      <c r="R479" s="14"/>
      <c r="S479" s="24" t="str">
        <f t="shared" ref="S479:U479" si="483">IF(E479&lt;&gt;"","Yes","")</f>
        <v>Yes</v>
      </c>
      <c r="T479" s="24" t="str">
        <f t="shared" si="483"/>
        <v>Yes</v>
      </c>
      <c r="U479" s="24" t="str">
        <f t="shared" si="483"/>
        <v>Yes</v>
      </c>
      <c r="V479" s="24" t="str">
        <f t="shared" si="3"/>
        <v/>
      </c>
      <c r="W479" s="14" t="str">
        <f t="shared" si="4"/>
        <v/>
      </c>
    </row>
    <row r="480" ht="14.25" customHeight="1">
      <c r="A480" s="18">
        <f>HYPERLINK("https://app.hubspot.com/contacts/8748051/record/0-1/363901", 363901)</f>
        <v>363901</v>
      </c>
      <c r="B480" s="14" t="s">
        <v>4235</v>
      </c>
      <c r="C480" s="16">
        <v>45314.92099537037</v>
      </c>
      <c r="D480" s="14"/>
      <c r="E480" s="32">
        <v>45315.0</v>
      </c>
      <c r="F480" s="32">
        <v>45315.0</v>
      </c>
      <c r="G480" s="32">
        <v>45315.0</v>
      </c>
      <c r="H480" s="14"/>
      <c r="I480" s="14"/>
      <c r="J480" s="14"/>
      <c r="K480" s="18">
        <f>HYPERLINK("https://app.hubspot.com/contacts/8748051/record/0-2/8816517268", 8816517268)</f>
        <v>8816517268</v>
      </c>
      <c r="L480" s="14" t="s">
        <v>1243</v>
      </c>
      <c r="M480" s="18" t="s">
        <v>1244</v>
      </c>
      <c r="N480" s="18">
        <f>HYPERLINK("https://app.hubspot.com/contacts/8748051/record/0-3/17182254377", 17182254377)</f>
        <v>17182254377</v>
      </c>
      <c r="O480" s="14" t="s">
        <v>2293</v>
      </c>
      <c r="P480" s="14" t="s">
        <v>124</v>
      </c>
      <c r="Q480" s="14">
        <v>37000.0</v>
      </c>
      <c r="R480" s="14" t="b">
        <v>1</v>
      </c>
      <c r="S480" s="24" t="str">
        <f t="shared" ref="S480:U480" si="484">IF(E480&lt;&gt;"","Yes","")</f>
        <v>Yes</v>
      </c>
      <c r="T480" s="24" t="str">
        <f t="shared" si="484"/>
        <v>Yes</v>
      </c>
      <c r="U480" s="24" t="str">
        <f t="shared" si="484"/>
        <v>Yes</v>
      </c>
      <c r="V480" s="24" t="str">
        <f t="shared" si="3"/>
        <v/>
      </c>
      <c r="W480" s="14" t="str">
        <f t="shared" si="4"/>
        <v/>
      </c>
    </row>
    <row r="481" ht="14.25" customHeight="1">
      <c r="A481" s="18">
        <f>HYPERLINK("https://app.hubspot.com/contacts/8748051/record/0-1/3314401", 3314401)</f>
        <v>3314401</v>
      </c>
      <c r="B481" s="14" t="s">
        <v>4236</v>
      </c>
      <c r="C481" s="16">
        <v>45313.512337962966</v>
      </c>
      <c r="D481" s="14"/>
      <c r="E481" s="32">
        <v>45313.0</v>
      </c>
      <c r="F481" s="32">
        <v>45316.0</v>
      </c>
      <c r="G481" s="32"/>
      <c r="H481" s="14"/>
      <c r="I481" s="14"/>
      <c r="J481" s="14"/>
      <c r="K481" s="18">
        <f>HYPERLINK("https://app.hubspot.com/contacts/8748051/record/0-2/18803549203", 18803549203)</f>
        <v>18803549203</v>
      </c>
      <c r="L481" s="14" t="s">
        <v>4237</v>
      </c>
      <c r="M481" s="18" t="s">
        <v>4238</v>
      </c>
      <c r="N481" s="14"/>
      <c r="O481" s="14"/>
      <c r="P481" s="14"/>
      <c r="Q481" s="14"/>
      <c r="R481" s="14"/>
      <c r="S481" s="24" t="str">
        <f t="shared" ref="S481:U481" si="485">IF(E481&lt;&gt;"","Yes","")</f>
        <v>Yes</v>
      </c>
      <c r="T481" s="24" t="str">
        <f t="shared" si="485"/>
        <v>Yes</v>
      </c>
      <c r="U481" s="24" t="str">
        <f t="shared" si="485"/>
        <v/>
      </c>
      <c r="V481" s="24" t="str">
        <f t="shared" si="3"/>
        <v/>
      </c>
      <c r="W481" s="14" t="str">
        <f t="shared" si="4"/>
        <v/>
      </c>
    </row>
    <row r="482" ht="14.25" customHeight="1">
      <c r="A482" s="18">
        <f>HYPERLINK("https://app.hubspot.com/contacts/8748051/record/0-1/3311801", 3311801)</f>
        <v>3311801</v>
      </c>
      <c r="B482" s="14" t="s">
        <v>4239</v>
      </c>
      <c r="C482" s="16">
        <v>45312.71690972222</v>
      </c>
      <c r="D482" s="14" t="s">
        <v>3979</v>
      </c>
      <c r="E482" s="32"/>
      <c r="F482" s="32"/>
      <c r="G482" s="32"/>
      <c r="H482" s="14"/>
      <c r="I482" s="14"/>
      <c r="J482" s="14"/>
      <c r="K482" s="18">
        <f>HYPERLINK("https://app.hubspot.com/contacts/8748051/record/0-2/18796289826", 18796289826)</f>
        <v>18796289826</v>
      </c>
      <c r="L482" s="18" t="s">
        <v>4240</v>
      </c>
      <c r="M482" s="18" t="s">
        <v>4240</v>
      </c>
      <c r="N482" s="24"/>
      <c r="O482" s="14"/>
      <c r="P482" s="14"/>
      <c r="Q482" s="14"/>
      <c r="R482" s="14"/>
      <c r="S482" s="24" t="str">
        <f t="shared" ref="S482:U482" si="486">IF(E482&lt;&gt;"","Yes","")</f>
        <v/>
      </c>
      <c r="T482" s="24" t="str">
        <f t="shared" si="486"/>
        <v/>
      </c>
      <c r="U482" s="24" t="str">
        <f t="shared" si="486"/>
        <v/>
      </c>
      <c r="V482" s="24" t="str">
        <f t="shared" si="3"/>
        <v/>
      </c>
      <c r="W482" s="14" t="str">
        <f t="shared" si="4"/>
        <v/>
      </c>
    </row>
    <row r="483" ht="14.25" customHeight="1">
      <c r="A483" s="18">
        <f>HYPERLINK("https://app.hubspot.com/contacts/8748051/record/0-1/3304101", 3304101)</f>
        <v>3304101</v>
      </c>
      <c r="B483" s="14" t="s">
        <v>4241</v>
      </c>
      <c r="C483" s="16">
        <v>45309.39103009259</v>
      </c>
      <c r="D483" s="14"/>
      <c r="E483" s="32">
        <v>45309.0</v>
      </c>
      <c r="F483" s="32">
        <v>45314.0</v>
      </c>
      <c r="G483" s="32">
        <v>45314.0</v>
      </c>
      <c r="H483" s="14"/>
      <c r="I483" s="14"/>
      <c r="J483" s="24"/>
      <c r="K483" s="18">
        <f>HYPERLINK("https://app.hubspot.com/contacts/8748051/record/0-2/8448459081", 8448459081)</f>
        <v>8448459081</v>
      </c>
      <c r="L483" s="14" t="s">
        <v>369</v>
      </c>
      <c r="M483" s="18" t="s">
        <v>370</v>
      </c>
      <c r="N483" s="14"/>
      <c r="O483" s="14"/>
      <c r="P483" s="14"/>
      <c r="Q483" s="14"/>
      <c r="R483" s="14"/>
      <c r="S483" s="24" t="str">
        <f t="shared" ref="S483:U483" si="487">IF(E483&lt;&gt;"","Yes","")</f>
        <v>Yes</v>
      </c>
      <c r="T483" s="24" t="str">
        <f t="shared" si="487"/>
        <v>Yes</v>
      </c>
      <c r="U483" s="24" t="str">
        <f t="shared" si="487"/>
        <v>Yes</v>
      </c>
      <c r="V483" s="24" t="str">
        <f t="shared" si="3"/>
        <v/>
      </c>
      <c r="W483" s="14" t="str">
        <f t="shared" si="4"/>
        <v/>
      </c>
    </row>
    <row r="484" ht="14.25" customHeight="1">
      <c r="A484" s="18">
        <f>HYPERLINK("https://app.hubspot.com/contacts/8748051/record/0-1/3249751", 3249751)</f>
        <v>3249751</v>
      </c>
      <c r="B484" s="14" t="s">
        <v>4242</v>
      </c>
      <c r="C484" s="16">
        <v>45308.25116898148</v>
      </c>
      <c r="D484" s="14"/>
      <c r="E484" s="32">
        <v>45308.0</v>
      </c>
      <c r="F484" s="32">
        <v>45324.0</v>
      </c>
      <c r="G484" s="32">
        <v>45324.0</v>
      </c>
      <c r="H484" s="14"/>
      <c r="I484" s="14"/>
      <c r="J484" s="14"/>
      <c r="K484" s="18">
        <f>HYPERLINK("https://app.hubspot.com/contacts/8748051/record/0-2/8513131656", 8513131656)</f>
        <v>8513131656</v>
      </c>
      <c r="L484" s="14" t="s">
        <v>856</v>
      </c>
      <c r="M484" s="18" t="s">
        <v>857</v>
      </c>
      <c r="N484" s="18">
        <f>HYPERLINK("https://app.hubspot.com/contacts/8748051/record/0-3/12610512902", 12610512902)</f>
        <v>12610512902</v>
      </c>
      <c r="O484" s="14" t="s">
        <v>2660</v>
      </c>
      <c r="P484" s="14" t="s">
        <v>89</v>
      </c>
      <c r="Q484" s="14">
        <v>43200.0</v>
      </c>
      <c r="R484" s="14" t="b">
        <v>1</v>
      </c>
      <c r="S484" s="24" t="str">
        <f t="shared" ref="S484:U484" si="488">IF(E484&lt;&gt;"","Yes","")</f>
        <v>Yes</v>
      </c>
      <c r="T484" s="24" t="str">
        <f t="shared" si="488"/>
        <v>Yes</v>
      </c>
      <c r="U484" s="24" t="str">
        <f t="shared" si="488"/>
        <v>Yes</v>
      </c>
      <c r="V484" s="24" t="str">
        <f t="shared" si="3"/>
        <v>Yes</v>
      </c>
      <c r="W484" s="14" t="str">
        <f t="shared" si="4"/>
        <v/>
      </c>
    </row>
    <row r="485" ht="14.25" customHeight="1">
      <c r="A485" s="18">
        <f>HYPERLINK("https://app.hubspot.com/contacts/8748051/record/0-1/3293151", 3293151)</f>
        <v>3293151</v>
      </c>
      <c r="B485" s="14" t="s">
        <v>4243</v>
      </c>
      <c r="C485" s="16">
        <v>45306.17837962963</v>
      </c>
      <c r="D485" s="14"/>
      <c r="E485" s="32">
        <v>45306.0</v>
      </c>
      <c r="F485" s="32">
        <v>45307.0</v>
      </c>
      <c r="G485" s="32"/>
      <c r="H485" s="14"/>
      <c r="I485" s="14"/>
      <c r="J485" s="14"/>
      <c r="K485" s="18">
        <f>HYPERLINK("https://app.hubspot.com/contacts/8748051/record/0-2/15963437728", 15963437728)</f>
        <v>15963437728</v>
      </c>
      <c r="L485" s="14" t="s">
        <v>4244</v>
      </c>
      <c r="M485" s="18" t="s">
        <v>4245</v>
      </c>
      <c r="N485" s="24"/>
      <c r="O485" s="14"/>
      <c r="P485" s="14"/>
      <c r="Q485" s="14"/>
      <c r="R485" s="14"/>
      <c r="S485" s="24" t="str">
        <f t="shared" ref="S485:U485" si="489">IF(E485&lt;&gt;"","Yes","")</f>
        <v>Yes</v>
      </c>
      <c r="T485" s="24" t="str">
        <f t="shared" si="489"/>
        <v>Yes</v>
      </c>
      <c r="U485" s="24" t="str">
        <f t="shared" si="489"/>
        <v/>
      </c>
      <c r="V485" s="24" t="str">
        <f t="shared" si="3"/>
        <v/>
      </c>
      <c r="W485" s="14" t="str">
        <f t="shared" si="4"/>
        <v/>
      </c>
    </row>
    <row r="486" ht="14.25" customHeight="1">
      <c r="A486" s="18">
        <f>HYPERLINK("https://app.hubspot.com/contacts/8748051/record/0-1/735301", 735301)</f>
        <v>735301</v>
      </c>
      <c r="B486" s="14" t="s">
        <v>4246</v>
      </c>
      <c r="C486" s="16">
        <v>45304.95923611111</v>
      </c>
      <c r="D486" s="14"/>
      <c r="E486" s="32">
        <v>45305.0</v>
      </c>
      <c r="F486" s="32">
        <v>45308.0</v>
      </c>
      <c r="G486" s="32">
        <v>45308.0</v>
      </c>
      <c r="H486" s="14"/>
      <c r="I486" s="14"/>
      <c r="J486" s="14"/>
      <c r="K486" s="18">
        <f>HYPERLINK("https://app.hubspot.com/contacts/8748051/record/0-2/8950154645", 8950154645)</f>
        <v>8950154645</v>
      </c>
      <c r="L486" s="14" t="s">
        <v>189</v>
      </c>
      <c r="M486" s="18" t="s">
        <v>190</v>
      </c>
      <c r="N486" s="18">
        <f>HYPERLINK("https://app.hubspot.com/contacts/8748051/record/0-3/17097007914", 17097007914)</f>
        <v>17097007914</v>
      </c>
      <c r="O486" s="14" t="s">
        <v>2320</v>
      </c>
      <c r="P486" s="14" t="s">
        <v>89</v>
      </c>
      <c r="Q486" s="14">
        <v>27500.0</v>
      </c>
      <c r="R486" s="14" t="b">
        <v>1</v>
      </c>
      <c r="S486" s="24" t="str">
        <f t="shared" ref="S486:U486" si="490">IF(E486&lt;&gt;"","Yes","")</f>
        <v>Yes</v>
      </c>
      <c r="T486" s="24" t="str">
        <f t="shared" si="490"/>
        <v>Yes</v>
      </c>
      <c r="U486" s="24" t="str">
        <f t="shared" si="490"/>
        <v>Yes</v>
      </c>
      <c r="V486" s="24" t="str">
        <f t="shared" si="3"/>
        <v>Yes</v>
      </c>
      <c r="W486" s="14" t="str">
        <f t="shared" si="4"/>
        <v/>
      </c>
    </row>
    <row r="487" ht="14.25" customHeight="1">
      <c r="A487" s="18">
        <f>HYPERLINK("https://app.hubspot.com/contacts/8748051/record/0-1/3278301", 3278301)</f>
        <v>3278301</v>
      </c>
      <c r="B487" s="14" t="s">
        <v>4247</v>
      </c>
      <c r="C487" s="16">
        <v>45300.627488425926</v>
      </c>
      <c r="D487" s="14" t="s">
        <v>4248</v>
      </c>
      <c r="E487" s="32"/>
      <c r="F487" s="32"/>
      <c r="G487" s="32"/>
      <c r="H487" s="14"/>
      <c r="I487" s="14"/>
      <c r="J487" s="14"/>
      <c r="K487" s="18">
        <f>HYPERLINK("https://app.hubspot.com/contacts/8748051/record/0-2/18658938676", 18658938676)</f>
        <v>18658938676</v>
      </c>
      <c r="L487" s="14" t="s">
        <v>4249</v>
      </c>
      <c r="M487" s="18" t="s">
        <v>4250</v>
      </c>
      <c r="N487" s="14"/>
      <c r="O487" s="14"/>
      <c r="P487" s="14"/>
      <c r="Q487" s="14"/>
      <c r="R487" s="14"/>
      <c r="S487" s="24" t="str">
        <f t="shared" ref="S487:U487" si="491">IF(E487&lt;&gt;"","Yes","")</f>
        <v/>
      </c>
      <c r="T487" s="24" t="str">
        <f t="shared" si="491"/>
        <v/>
      </c>
      <c r="U487" s="24" t="str">
        <f t="shared" si="491"/>
        <v/>
      </c>
      <c r="V487" s="24" t="str">
        <f t="shared" si="3"/>
        <v/>
      </c>
      <c r="W487" s="14" t="str">
        <f t="shared" si="4"/>
        <v/>
      </c>
    </row>
    <row r="488" ht="14.25" customHeight="1">
      <c r="A488" s="18">
        <f>HYPERLINK("https://app.hubspot.com/contacts/8748051/record/0-1/3265201", 3265201)</f>
        <v>3265201</v>
      </c>
      <c r="B488" s="14" t="s">
        <v>4251</v>
      </c>
      <c r="C488" s="16">
        <v>45295.45674768519</v>
      </c>
      <c r="D488" s="14"/>
      <c r="E488" s="32">
        <v>45295.0</v>
      </c>
      <c r="F488" s="32">
        <v>45300.0</v>
      </c>
      <c r="G488" s="32"/>
      <c r="H488" s="14"/>
      <c r="I488" s="14"/>
      <c r="J488" s="14"/>
      <c r="K488" s="18">
        <f>HYPERLINK("https://app.hubspot.com/contacts/8748051/record/0-2/18616937078", 18616937078)</f>
        <v>18616937078</v>
      </c>
      <c r="L488" s="14" t="s">
        <v>4252</v>
      </c>
      <c r="M488" s="18" t="s">
        <v>4253</v>
      </c>
      <c r="N488" s="14"/>
      <c r="O488" s="14"/>
      <c r="P488" s="14"/>
      <c r="Q488" s="14"/>
      <c r="R488" s="14"/>
      <c r="S488" s="24" t="str">
        <f t="shared" ref="S488:U488" si="492">IF(E488&lt;&gt;"","Yes","")</f>
        <v>Yes</v>
      </c>
      <c r="T488" s="24" t="str">
        <f t="shared" si="492"/>
        <v>Yes</v>
      </c>
      <c r="U488" s="24" t="str">
        <f t="shared" si="492"/>
        <v/>
      </c>
      <c r="V488" s="24" t="str">
        <f t="shared" si="3"/>
        <v/>
      </c>
      <c r="W488" s="14" t="str">
        <f t="shared" si="4"/>
        <v/>
      </c>
    </row>
    <row r="489" ht="14.25" customHeight="1">
      <c r="A489" s="18">
        <f>HYPERLINK("https://app.hubspot.com/contacts/8748051/record/0-1/3262601", 3262601)</f>
        <v>3262601</v>
      </c>
      <c r="B489" s="14" t="s">
        <v>4254</v>
      </c>
      <c r="C489" s="16">
        <v>45294.20216435185</v>
      </c>
      <c r="D489" s="14" t="s">
        <v>4181</v>
      </c>
      <c r="E489" s="32"/>
      <c r="F489" s="32"/>
      <c r="G489" s="32"/>
      <c r="H489" s="14"/>
      <c r="I489" s="14"/>
      <c r="J489" s="14"/>
      <c r="K489" s="18">
        <f>HYPERLINK("https://app.hubspot.com/contacts/8748051/record/0-2/18598720558", 18598720558)</f>
        <v>18598720558</v>
      </c>
      <c r="L489" s="14" t="s">
        <v>287</v>
      </c>
      <c r="M489" s="14" t="s">
        <v>288</v>
      </c>
      <c r="N489" s="24"/>
      <c r="O489" s="14"/>
      <c r="P489" s="14"/>
      <c r="Q489" s="14"/>
      <c r="R489" s="14"/>
      <c r="S489" s="24" t="str">
        <f t="shared" ref="S489:U489" si="493">IF(E489&lt;&gt;"","Yes","")</f>
        <v/>
      </c>
      <c r="T489" s="24" t="str">
        <f t="shared" si="493"/>
        <v/>
      </c>
      <c r="U489" s="24" t="str">
        <f t="shared" si="493"/>
        <v/>
      </c>
      <c r="V489" s="24" t="str">
        <f t="shared" si="3"/>
        <v/>
      </c>
      <c r="W489" s="14" t="str">
        <f t="shared" si="4"/>
        <v/>
      </c>
    </row>
    <row r="490" ht="14.25" customHeight="1">
      <c r="A490" s="18">
        <f>HYPERLINK("https://app.hubspot.com/contacts/8748051/record/0-1/3257251", 3257251)</f>
        <v>3257251</v>
      </c>
      <c r="B490" s="14" t="s">
        <v>4255</v>
      </c>
      <c r="C490" s="16">
        <v>45290.041030092594</v>
      </c>
      <c r="D490" s="14" t="s">
        <v>4256</v>
      </c>
      <c r="E490" s="32"/>
      <c r="F490" s="32"/>
      <c r="G490" s="32"/>
      <c r="H490" s="14"/>
      <c r="I490" s="14"/>
      <c r="J490" s="14"/>
      <c r="K490" s="18">
        <f>HYPERLINK("https://app.hubspot.com/contacts/8748051/record/0-2/18569506182", 18569506182)</f>
        <v>18569506182</v>
      </c>
      <c r="L490" s="14" t="s">
        <v>4257</v>
      </c>
      <c r="M490" s="18" t="s">
        <v>4258</v>
      </c>
      <c r="N490" s="14"/>
      <c r="O490" s="14"/>
      <c r="P490" s="14"/>
      <c r="Q490" s="14"/>
      <c r="R490" s="14"/>
      <c r="S490" s="24" t="str">
        <f t="shared" ref="S490:U490" si="494">IF(E490&lt;&gt;"","Yes","")</f>
        <v/>
      </c>
      <c r="T490" s="24" t="str">
        <f t="shared" si="494"/>
        <v/>
      </c>
      <c r="U490" s="24" t="str">
        <f t="shared" si="494"/>
        <v/>
      </c>
      <c r="V490" s="24" t="str">
        <f t="shared" si="3"/>
        <v/>
      </c>
      <c r="W490" s="14" t="str">
        <f t="shared" si="4"/>
        <v/>
      </c>
    </row>
    <row r="491" ht="14.25" customHeight="1">
      <c r="A491" s="18">
        <f>HYPERLINK("https://app.hubspot.com/contacts/8748051/record/0-1/3248801", 3248801)</f>
        <v>3248801</v>
      </c>
      <c r="B491" s="14" t="s">
        <v>4259</v>
      </c>
      <c r="C491" s="16">
        <v>45286.825902777775</v>
      </c>
      <c r="D491" s="14" t="s">
        <v>4260</v>
      </c>
      <c r="E491" s="32"/>
      <c r="F491" s="32"/>
      <c r="G491" s="32"/>
      <c r="H491" s="14"/>
      <c r="I491" s="14"/>
      <c r="J491" s="14"/>
      <c r="K491" s="18">
        <f>HYPERLINK("https://app.hubspot.com/contacts/8748051/record/0-2/18527099427", 18527099427)</f>
        <v>18527099427</v>
      </c>
      <c r="L491" s="14" t="s">
        <v>4261</v>
      </c>
      <c r="M491" s="18" t="s">
        <v>4262</v>
      </c>
      <c r="N491" s="14"/>
      <c r="O491" s="14"/>
      <c r="P491" s="14"/>
      <c r="Q491" s="14"/>
      <c r="R491" s="14"/>
      <c r="S491" s="24" t="str">
        <f t="shared" ref="S491:U491" si="495">IF(E491&lt;&gt;"","Yes","")</f>
        <v/>
      </c>
      <c r="T491" s="24" t="str">
        <f t="shared" si="495"/>
        <v/>
      </c>
      <c r="U491" s="24" t="str">
        <f t="shared" si="495"/>
        <v/>
      </c>
      <c r="V491" s="24" t="str">
        <f t="shared" si="3"/>
        <v/>
      </c>
      <c r="W491" s="14" t="str">
        <f t="shared" si="4"/>
        <v/>
      </c>
    </row>
    <row r="492" ht="14.25" customHeight="1">
      <c r="A492" s="18">
        <f>HYPERLINK("https://app.hubspot.com/contacts/8748051/record/0-1/57303", 57303)</f>
        <v>57303</v>
      </c>
      <c r="B492" s="14" t="s">
        <v>4263</v>
      </c>
      <c r="C492" s="16">
        <v>45281.26903935185</v>
      </c>
      <c r="D492" s="14"/>
      <c r="E492" s="32">
        <v>45281.0</v>
      </c>
      <c r="F492" s="32"/>
      <c r="G492" s="32"/>
      <c r="H492" s="14"/>
      <c r="I492" s="14"/>
      <c r="J492" s="14"/>
      <c r="K492" s="18">
        <f>HYPERLINK("https://app.hubspot.com/contacts/8748051/record/0-2/7945145244", 7945145244)</f>
        <v>7945145244</v>
      </c>
      <c r="L492" s="14" t="s">
        <v>2375</v>
      </c>
      <c r="M492" s="18" t="s">
        <v>2376</v>
      </c>
      <c r="N492" s="18">
        <f>HYPERLINK("https://app.hubspot.com/contacts/8748051/record/0-3/16622118027", 16622118027)</f>
        <v>16622118027</v>
      </c>
      <c r="O492" s="14" t="s">
        <v>2374</v>
      </c>
      <c r="P492" s="14" t="s">
        <v>118</v>
      </c>
      <c r="Q492" s="14">
        <v>64000.0</v>
      </c>
      <c r="R492" s="14"/>
      <c r="S492" s="24" t="str">
        <f t="shared" ref="S492:U492" si="496">IF(E492&lt;&gt;"","Yes","")</f>
        <v>Yes</v>
      </c>
      <c r="T492" s="24" t="str">
        <f t="shared" si="496"/>
        <v/>
      </c>
      <c r="U492" s="24" t="str">
        <f t="shared" si="496"/>
        <v/>
      </c>
      <c r="V492" s="24" t="str">
        <f t="shared" si="3"/>
        <v/>
      </c>
      <c r="W492" s="14" t="str">
        <f t="shared" si="4"/>
        <v/>
      </c>
    </row>
    <row r="493" ht="14.25" customHeight="1">
      <c r="A493" s="18">
        <f>HYPERLINK("https://app.hubspot.com/contacts/8748051/record/0-1/3240951", 3240951)</f>
        <v>3240951</v>
      </c>
      <c r="B493" s="14" t="s">
        <v>4264</v>
      </c>
      <c r="C493" s="16">
        <v>45281.2006712963</v>
      </c>
      <c r="D493" s="14"/>
      <c r="E493" s="32">
        <v>45281.0</v>
      </c>
      <c r="F493" s="32"/>
      <c r="G493" s="32"/>
      <c r="H493" s="14"/>
      <c r="I493" s="14"/>
      <c r="J493" s="14"/>
      <c r="K493" s="18">
        <f>HYPERLINK("https://app.hubspot.com/contacts/8748051/record/0-2/8831495001", 8831495001)</f>
        <v>8831495001</v>
      </c>
      <c r="L493" s="14" t="s">
        <v>1829</v>
      </c>
      <c r="M493" s="18" t="s">
        <v>1830</v>
      </c>
      <c r="N493" s="14"/>
      <c r="O493" s="14"/>
      <c r="P493" s="14"/>
      <c r="Q493" s="14"/>
      <c r="R493" s="14"/>
      <c r="S493" s="24" t="str">
        <f t="shared" ref="S493:U493" si="497">IF(E493&lt;&gt;"","Yes","")</f>
        <v>Yes</v>
      </c>
      <c r="T493" s="24" t="str">
        <f t="shared" si="497"/>
        <v/>
      </c>
      <c r="U493" s="24" t="str">
        <f t="shared" si="497"/>
        <v/>
      </c>
      <c r="V493" s="24" t="str">
        <f t="shared" si="3"/>
        <v/>
      </c>
      <c r="W493" s="14" t="str">
        <f t="shared" si="4"/>
        <v/>
      </c>
    </row>
    <row r="494" ht="14.25" customHeight="1">
      <c r="A494" s="18">
        <f>HYPERLINK("https://app.hubspot.com/contacts/8748051/record/0-1/3231251", 3231251)</f>
        <v>3231251</v>
      </c>
      <c r="B494" s="14" t="s">
        <v>4265</v>
      </c>
      <c r="C494" s="16">
        <v>45279.66204861111</v>
      </c>
      <c r="D494" s="14" t="s">
        <v>4266</v>
      </c>
      <c r="E494" s="32"/>
      <c r="F494" s="32"/>
      <c r="G494" s="32"/>
      <c r="H494" s="14"/>
      <c r="I494" s="14"/>
      <c r="J494" s="14"/>
      <c r="K494" s="18">
        <f>HYPERLINK("https://app.hubspot.com/contacts/8748051/record/0-2/18467338161", 18467338161)</f>
        <v>18467338161</v>
      </c>
      <c r="L494" s="14" t="s">
        <v>4267</v>
      </c>
      <c r="M494" s="18" t="s">
        <v>4268</v>
      </c>
      <c r="N494" s="14"/>
      <c r="O494" s="14"/>
      <c r="P494" s="14"/>
      <c r="Q494" s="14"/>
      <c r="R494" s="14"/>
      <c r="S494" s="24" t="str">
        <f t="shared" ref="S494:U494" si="498">IF(E494&lt;&gt;"","Yes","")</f>
        <v/>
      </c>
      <c r="T494" s="24" t="str">
        <f t="shared" si="498"/>
        <v/>
      </c>
      <c r="U494" s="24" t="str">
        <f t="shared" si="498"/>
        <v/>
      </c>
      <c r="V494" s="24" t="str">
        <f t="shared" si="3"/>
        <v/>
      </c>
      <c r="W494" s="14" t="str">
        <f t="shared" si="4"/>
        <v/>
      </c>
    </row>
    <row r="495" ht="14.25" customHeight="1">
      <c r="A495" s="18">
        <f>HYPERLINK("https://app.hubspot.com/contacts/8748051/record/0-1/242501", 242501)</f>
        <v>242501</v>
      </c>
      <c r="B495" s="14" t="s">
        <v>4269</v>
      </c>
      <c r="C495" s="16">
        <v>45279.59789351852</v>
      </c>
      <c r="D495" s="14"/>
      <c r="E495" s="32">
        <v>45274.0</v>
      </c>
      <c r="F495" s="32">
        <v>45281.0</v>
      </c>
      <c r="G495" s="32">
        <v>45281.0</v>
      </c>
      <c r="H495" s="14"/>
      <c r="I495" s="14"/>
      <c r="J495" s="14"/>
      <c r="K495" s="18">
        <f>HYPERLINK("https://app.hubspot.com/contacts/8748051/record/0-2/8601297796", 8601297796)</f>
        <v>8601297796</v>
      </c>
      <c r="L495" s="14" t="s">
        <v>2253</v>
      </c>
      <c r="M495" s="18" t="s">
        <v>2254</v>
      </c>
      <c r="N495" s="18">
        <f>HYPERLINK("https://app.hubspot.com/contacts/8748051/record/0-3/17362837325", 17362837325)</f>
        <v>17362837325</v>
      </c>
      <c r="O495" s="14" t="s">
        <v>2252</v>
      </c>
      <c r="P495" s="14" t="s">
        <v>118</v>
      </c>
      <c r="Q495" s="14">
        <v>12240.0</v>
      </c>
      <c r="R495" s="14"/>
      <c r="S495" s="24" t="str">
        <f t="shared" ref="S495:U495" si="499">IF(E495&lt;&gt;"","Yes","")</f>
        <v>Yes</v>
      </c>
      <c r="T495" s="24" t="str">
        <f t="shared" si="499"/>
        <v>Yes</v>
      </c>
      <c r="U495" s="24" t="str">
        <f t="shared" si="499"/>
        <v>Yes</v>
      </c>
      <c r="V495" s="24" t="str">
        <f t="shared" si="3"/>
        <v/>
      </c>
      <c r="W495" s="14" t="str">
        <f t="shared" si="4"/>
        <v/>
      </c>
    </row>
    <row r="496" ht="14.25" customHeight="1">
      <c r="A496" s="18">
        <f>HYPERLINK("https://app.hubspot.com/contacts/8748051/record/0-1/3222551", 3222551)</f>
        <v>3222551</v>
      </c>
      <c r="B496" s="14" t="s">
        <v>4270</v>
      </c>
      <c r="C496" s="16">
        <v>45278.02321759259</v>
      </c>
      <c r="D496" s="14" t="s">
        <v>4181</v>
      </c>
      <c r="E496" s="32"/>
      <c r="F496" s="32"/>
      <c r="G496" s="32"/>
      <c r="H496" s="14"/>
      <c r="I496" s="14"/>
      <c r="J496" s="14"/>
      <c r="K496" s="18">
        <f>HYPERLINK("https://app.hubspot.com/contacts/8748051/record/0-2/18450057247", 18450057247)</f>
        <v>18450057247</v>
      </c>
      <c r="L496" s="14" t="s">
        <v>4271</v>
      </c>
      <c r="M496" s="18" t="s">
        <v>4272</v>
      </c>
      <c r="N496" s="14"/>
      <c r="O496" s="14"/>
      <c r="P496" s="14"/>
      <c r="Q496" s="14"/>
      <c r="R496" s="14"/>
      <c r="S496" s="24" t="str">
        <f t="shared" ref="S496:U496" si="500">IF(E496&lt;&gt;"","Yes","")</f>
        <v/>
      </c>
      <c r="T496" s="24" t="str">
        <f t="shared" si="500"/>
        <v/>
      </c>
      <c r="U496" s="24" t="str">
        <f t="shared" si="500"/>
        <v/>
      </c>
      <c r="V496" s="24" t="str">
        <f t="shared" si="3"/>
        <v/>
      </c>
      <c r="W496" s="14" t="str">
        <f t="shared" si="4"/>
        <v/>
      </c>
    </row>
    <row r="497" ht="14.25" customHeight="1">
      <c r="A497" s="18">
        <f>HYPERLINK("https://app.hubspot.com/contacts/8748051/record/0-1/3222451", 3222451)</f>
        <v>3222451</v>
      </c>
      <c r="B497" s="14" t="s">
        <v>4273</v>
      </c>
      <c r="C497" s="16">
        <v>45277.93240740741</v>
      </c>
      <c r="D497" s="14"/>
      <c r="E497" s="32">
        <v>45278.0</v>
      </c>
      <c r="F497" s="32"/>
      <c r="G497" s="32"/>
      <c r="H497" s="14"/>
      <c r="I497" s="14"/>
      <c r="J497" s="14"/>
      <c r="K497" s="18">
        <f>HYPERLINK("https://app.hubspot.com/contacts/8748051/record/0-2/8762562985", 8762562985)</f>
        <v>8762562985</v>
      </c>
      <c r="L497" s="14" t="s">
        <v>4274</v>
      </c>
      <c r="M497" s="18" t="s">
        <v>4275</v>
      </c>
      <c r="N497" s="14"/>
      <c r="O497" s="14"/>
      <c r="P497" s="14"/>
      <c r="Q497" s="14"/>
      <c r="R497" s="14"/>
      <c r="S497" s="24" t="str">
        <f t="shared" ref="S497:U497" si="501">IF(E497&lt;&gt;"","Yes","")</f>
        <v>Yes</v>
      </c>
      <c r="T497" s="24" t="str">
        <f t="shared" si="501"/>
        <v/>
      </c>
      <c r="U497" s="24" t="str">
        <f t="shared" si="501"/>
        <v/>
      </c>
      <c r="V497" s="24" t="str">
        <f t="shared" si="3"/>
        <v/>
      </c>
      <c r="W497" s="14" t="str">
        <f t="shared" si="4"/>
        <v/>
      </c>
    </row>
    <row r="498" ht="14.25" customHeight="1">
      <c r="A498" s="18">
        <f>HYPERLINK("https://app.hubspot.com/contacts/8748051/record/0-1/3222201", 3222201)</f>
        <v>3222201</v>
      </c>
      <c r="B498" s="14" t="s">
        <v>4276</v>
      </c>
      <c r="C498" s="16">
        <v>45277.669328703705</v>
      </c>
      <c r="D498" s="14" t="s">
        <v>3979</v>
      </c>
      <c r="E498" s="32"/>
      <c r="F498" s="32"/>
      <c r="G498" s="32"/>
      <c r="H498" s="14"/>
      <c r="I498" s="14"/>
      <c r="J498" s="14"/>
      <c r="K498" s="18">
        <f>HYPERLINK("https://app.hubspot.com/contacts/8748051/record/0-2/18447914373", 18447914373)</f>
        <v>18447914373</v>
      </c>
      <c r="L498" s="18" t="s">
        <v>4277</v>
      </c>
      <c r="M498" s="18" t="s">
        <v>4277</v>
      </c>
      <c r="N498" s="14"/>
      <c r="O498" s="14"/>
      <c r="P498" s="14"/>
      <c r="Q498" s="14"/>
      <c r="R498" s="14"/>
      <c r="S498" s="24" t="str">
        <f t="shared" ref="S498:U498" si="502">IF(E498&lt;&gt;"","Yes","")</f>
        <v/>
      </c>
      <c r="T498" s="24" t="str">
        <f t="shared" si="502"/>
        <v/>
      </c>
      <c r="U498" s="24" t="str">
        <f t="shared" si="502"/>
        <v/>
      </c>
      <c r="V498" s="24" t="str">
        <f t="shared" si="3"/>
        <v/>
      </c>
      <c r="W498" s="14" t="str">
        <f t="shared" si="4"/>
        <v/>
      </c>
    </row>
    <row r="499" ht="14.25" customHeight="1">
      <c r="A499" s="18">
        <f>HYPERLINK("https://app.hubspot.com/contacts/8748051/record/0-1/3207801", 3207801)</f>
        <v>3207801</v>
      </c>
      <c r="B499" s="14" t="s">
        <v>4278</v>
      </c>
      <c r="C499" s="16">
        <v>45273.395578703705</v>
      </c>
      <c r="D499" s="14"/>
      <c r="E499" s="32">
        <v>45273.0</v>
      </c>
      <c r="F499" s="32"/>
      <c r="G499" s="32">
        <v>45281.0</v>
      </c>
      <c r="H499" s="14"/>
      <c r="I499" s="14"/>
      <c r="J499" s="14"/>
      <c r="K499" s="18">
        <f>HYPERLINK("https://app.hubspot.com/contacts/8748051/record/0-2/18407989251", 18407989251)</f>
        <v>18407989251</v>
      </c>
      <c r="L499" s="14" t="s">
        <v>4279</v>
      </c>
      <c r="M499" s="18" t="s">
        <v>4280</v>
      </c>
      <c r="N499" s="24"/>
      <c r="O499" s="14"/>
      <c r="P499" s="14"/>
      <c r="Q499" s="14"/>
      <c r="R499" s="14"/>
      <c r="S499" s="24" t="str">
        <f t="shared" ref="S499:U499" si="503">IF(E499&lt;&gt;"","Yes","")</f>
        <v>Yes</v>
      </c>
      <c r="T499" s="24" t="str">
        <f t="shared" si="503"/>
        <v/>
      </c>
      <c r="U499" s="24" t="str">
        <f t="shared" si="503"/>
        <v>Yes</v>
      </c>
      <c r="V499" s="24" t="str">
        <f t="shared" si="3"/>
        <v/>
      </c>
      <c r="W499" s="14" t="str">
        <f t="shared" si="4"/>
        <v/>
      </c>
    </row>
    <row r="500" ht="14.25" customHeight="1">
      <c r="A500" s="18">
        <f>HYPERLINK("https://app.hubspot.com/contacts/8748051/record/0-1/2177401", 2177401)</f>
        <v>2177401</v>
      </c>
      <c r="B500" s="14" t="s">
        <v>4281</v>
      </c>
      <c r="C500" s="16">
        <v>45272.21634259259</v>
      </c>
      <c r="D500" s="14"/>
      <c r="E500" s="32">
        <v>45272.0</v>
      </c>
      <c r="F500" s="32"/>
      <c r="G500" s="32"/>
      <c r="H500" s="14"/>
      <c r="I500" s="14"/>
      <c r="J500" s="14"/>
      <c r="K500" s="18">
        <f>HYPERLINK("https://app.hubspot.com/contacts/8748051/record/0-2/9186911042", 9186911042)</f>
        <v>9186911042</v>
      </c>
      <c r="L500" s="18" t="s">
        <v>4282</v>
      </c>
      <c r="M500" s="18" t="s">
        <v>4283</v>
      </c>
      <c r="N500" s="24"/>
      <c r="O500" s="14"/>
      <c r="P500" s="14"/>
      <c r="Q500" s="14"/>
      <c r="R500" s="14"/>
      <c r="S500" s="24" t="str">
        <f t="shared" ref="S500:U500" si="504">IF(E500&lt;&gt;"","Yes","")</f>
        <v>Yes</v>
      </c>
      <c r="T500" s="24" t="str">
        <f t="shared" si="504"/>
        <v/>
      </c>
      <c r="U500" s="24" t="str">
        <f t="shared" si="504"/>
        <v/>
      </c>
      <c r="V500" s="24" t="str">
        <f t="shared" si="3"/>
        <v/>
      </c>
      <c r="W500" s="14" t="str">
        <f t="shared" si="4"/>
        <v/>
      </c>
    </row>
    <row r="501" ht="14.25" customHeight="1">
      <c r="A501" s="18">
        <f>HYPERLINK("https://app.hubspot.com/contacts/8748051/record/0-1/2700001", 2700001)</f>
        <v>2700001</v>
      </c>
      <c r="B501" s="14" t="s">
        <v>4284</v>
      </c>
      <c r="C501" s="16">
        <v>45271.25908564815</v>
      </c>
      <c r="D501" s="14" t="s">
        <v>4181</v>
      </c>
      <c r="E501" s="32"/>
      <c r="F501" s="32"/>
      <c r="G501" s="32"/>
      <c r="H501" s="14"/>
      <c r="I501" s="14"/>
      <c r="J501" s="14"/>
      <c r="K501" s="18">
        <f>HYPERLINK("https://app.hubspot.com/contacts/8748051/record/0-2/18381515052", 18381515052)</f>
        <v>18381515052</v>
      </c>
      <c r="L501" s="18" t="s">
        <v>4285</v>
      </c>
      <c r="M501" s="18" t="s">
        <v>4285</v>
      </c>
      <c r="N501" s="24"/>
      <c r="O501" s="14"/>
      <c r="P501" s="14"/>
      <c r="Q501" s="14"/>
      <c r="R501" s="14"/>
      <c r="S501" s="24" t="str">
        <f t="shared" ref="S501:U501" si="505">IF(E501&lt;&gt;"","Yes","")</f>
        <v/>
      </c>
      <c r="T501" s="24" t="str">
        <f t="shared" si="505"/>
        <v/>
      </c>
      <c r="U501" s="24" t="str">
        <f t="shared" si="505"/>
        <v/>
      </c>
      <c r="V501" s="24" t="str">
        <f t="shared" si="3"/>
        <v/>
      </c>
      <c r="W501" s="14" t="str">
        <f t="shared" si="4"/>
        <v/>
      </c>
    </row>
    <row r="502" ht="14.25" customHeight="1">
      <c r="A502" s="18">
        <f>HYPERLINK("https://app.hubspot.com/contacts/8748051/record/0-1/3193451", 3193451)</f>
        <v>3193451</v>
      </c>
      <c r="B502" s="14" t="s">
        <v>4286</v>
      </c>
      <c r="C502" s="16">
        <v>45271.02061342593</v>
      </c>
      <c r="D502" s="14"/>
      <c r="E502" s="32">
        <v>45271.0</v>
      </c>
      <c r="F502" s="32"/>
      <c r="G502" s="32">
        <v>45271.0</v>
      </c>
      <c r="H502" s="14"/>
      <c r="I502" s="14"/>
      <c r="J502" s="14"/>
      <c r="K502" s="18">
        <f>HYPERLINK("https://app.hubspot.com/contacts/8748051/record/0-2/9069677845", 9069677845)</f>
        <v>9069677845</v>
      </c>
      <c r="L502" s="14" t="s">
        <v>2428</v>
      </c>
      <c r="M502" s="18" t="s">
        <v>2429</v>
      </c>
      <c r="N502" s="18">
        <f>HYPERLINK("https://app.hubspot.com/contacts/8748051/record/0-3/16445568855", 16445568855)</f>
        <v>16445568855</v>
      </c>
      <c r="O502" s="14" t="s">
        <v>2427</v>
      </c>
      <c r="P502" s="14" t="s">
        <v>124</v>
      </c>
      <c r="Q502" s="14">
        <v>8800.0</v>
      </c>
      <c r="R502" s="14" t="b">
        <v>1</v>
      </c>
      <c r="S502" s="24" t="str">
        <f t="shared" ref="S502:U502" si="506">IF(E502&lt;&gt;"","Yes","")</f>
        <v>Yes</v>
      </c>
      <c r="T502" s="24" t="str">
        <f t="shared" si="506"/>
        <v/>
      </c>
      <c r="U502" s="24" t="str">
        <f t="shared" si="506"/>
        <v>Yes</v>
      </c>
      <c r="V502" s="24" t="str">
        <f t="shared" si="3"/>
        <v/>
      </c>
      <c r="W502" s="14" t="str">
        <f t="shared" si="4"/>
        <v/>
      </c>
    </row>
    <row r="503" ht="14.25" customHeight="1">
      <c r="A503" s="18">
        <f>HYPERLINK("https://app.hubspot.com/contacts/8748051/record/0-1/3187851", 3187851)</f>
        <v>3187851</v>
      </c>
      <c r="B503" s="14" t="s">
        <v>4287</v>
      </c>
      <c r="C503" s="16">
        <v>45268.318090277775</v>
      </c>
      <c r="D503" s="14"/>
      <c r="E503" s="32">
        <v>45269.0</v>
      </c>
      <c r="F503" s="32"/>
      <c r="G503" s="32">
        <v>45279.0</v>
      </c>
      <c r="H503" s="14"/>
      <c r="I503" s="14"/>
      <c r="J503" s="14"/>
      <c r="K503" s="18">
        <f>HYPERLINK("https://app.hubspot.com/contacts/8748051/record/0-2/18358885248", 18358885248)</f>
        <v>18358885248</v>
      </c>
      <c r="L503" s="14" t="s">
        <v>4288</v>
      </c>
      <c r="M503" s="18" t="s">
        <v>4289</v>
      </c>
      <c r="N503" s="24"/>
      <c r="O503" s="14"/>
      <c r="P503" s="14"/>
      <c r="Q503" s="14"/>
      <c r="R503" s="14"/>
      <c r="S503" s="24" t="str">
        <f t="shared" ref="S503:U503" si="507">IF(E503&lt;&gt;"","Yes","")</f>
        <v>Yes</v>
      </c>
      <c r="T503" s="24" t="str">
        <f t="shared" si="507"/>
        <v/>
      </c>
      <c r="U503" s="24" t="str">
        <f t="shared" si="507"/>
        <v>Yes</v>
      </c>
      <c r="V503" s="24" t="str">
        <f t="shared" si="3"/>
        <v/>
      </c>
      <c r="W503" s="14" t="str">
        <f t="shared" si="4"/>
        <v/>
      </c>
    </row>
    <row r="504" ht="14.25" customHeight="1">
      <c r="A504" s="18">
        <f>HYPERLINK("https://app.hubspot.com/contacts/8748051/record/0-1/3181051", 3181051)</f>
        <v>3181051</v>
      </c>
      <c r="B504" s="14" t="s">
        <v>4290</v>
      </c>
      <c r="C504" s="16">
        <v>45267.1609375</v>
      </c>
      <c r="D504" s="14" t="s">
        <v>3979</v>
      </c>
      <c r="E504" s="32"/>
      <c r="F504" s="32"/>
      <c r="G504" s="32"/>
      <c r="H504" s="14"/>
      <c r="I504" s="14"/>
      <c r="J504" s="14"/>
      <c r="K504" s="18">
        <f>HYPERLINK("https://app.hubspot.com/contacts/8748051/record/0-2/18341609227", 18341609227)</f>
        <v>18341609227</v>
      </c>
      <c r="L504" s="14" t="s">
        <v>4291</v>
      </c>
      <c r="M504" s="18" t="s">
        <v>4292</v>
      </c>
      <c r="N504" s="24"/>
      <c r="O504" s="14"/>
      <c r="P504" s="14"/>
      <c r="Q504" s="14"/>
      <c r="R504" s="14"/>
      <c r="S504" s="24" t="str">
        <f t="shared" ref="S504:U504" si="508">IF(E504&lt;&gt;"","Yes","")</f>
        <v/>
      </c>
      <c r="T504" s="24" t="str">
        <f t="shared" si="508"/>
        <v/>
      </c>
      <c r="U504" s="24" t="str">
        <f t="shared" si="508"/>
        <v/>
      </c>
      <c r="V504" s="24" t="str">
        <f t="shared" si="3"/>
        <v/>
      </c>
      <c r="W504" s="14" t="str">
        <f t="shared" si="4"/>
        <v/>
      </c>
    </row>
    <row r="505" ht="14.25" customHeight="1">
      <c r="A505" s="18">
        <f>HYPERLINK("https://app.hubspot.com/contacts/8748051/record/0-1/3168401", 3168401)</f>
        <v>3168401</v>
      </c>
      <c r="B505" s="14" t="s">
        <v>4293</v>
      </c>
      <c r="C505" s="16">
        <v>45265.25753472222</v>
      </c>
      <c r="D505" s="14" t="s">
        <v>4214</v>
      </c>
      <c r="E505" s="32"/>
      <c r="F505" s="32"/>
      <c r="G505" s="32"/>
      <c r="H505" s="14"/>
      <c r="I505" s="14"/>
      <c r="J505" s="24"/>
      <c r="K505" s="18">
        <f>HYPERLINK("https://app.hubspot.com/contacts/8748051/record/0-2/18320344608", 18320344608)</f>
        <v>18320344608</v>
      </c>
      <c r="L505" s="14" t="s">
        <v>4294</v>
      </c>
      <c r="M505" s="18" t="s">
        <v>4295</v>
      </c>
      <c r="N505" s="24"/>
      <c r="O505" s="14"/>
      <c r="P505" s="14"/>
      <c r="Q505" s="14"/>
      <c r="R505" s="24"/>
      <c r="S505" s="24" t="str">
        <f t="shared" ref="S505:U505" si="509">IF(E505&lt;&gt;"","Yes","")</f>
        <v/>
      </c>
      <c r="T505" s="24" t="str">
        <f t="shared" si="509"/>
        <v/>
      </c>
      <c r="U505" s="24" t="str">
        <f t="shared" si="509"/>
        <v/>
      </c>
      <c r="V505" s="24" t="str">
        <f t="shared" si="3"/>
        <v/>
      </c>
      <c r="W505" s="14" t="str">
        <f t="shared" si="4"/>
        <v/>
      </c>
    </row>
    <row r="506" ht="14.25" customHeight="1">
      <c r="A506" s="18">
        <f>HYPERLINK("https://app.hubspot.com/contacts/8748051/record/0-1/2793201", 2793201)</f>
        <v>2793201</v>
      </c>
      <c r="B506" s="14" t="s">
        <v>4296</v>
      </c>
      <c r="C506" s="16">
        <v>45265.09142361111</v>
      </c>
      <c r="D506" s="14"/>
      <c r="E506" s="32">
        <v>45265.0</v>
      </c>
      <c r="F506" s="32">
        <v>45278.0</v>
      </c>
      <c r="G506" s="32">
        <v>45278.0</v>
      </c>
      <c r="H506" s="14"/>
      <c r="I506" s="14"/>
      <c r="J506" s="14"/>
      <c r="K506" s="18">
        <f>HYPERLINK("https://app.hubspot.com/contacts/8748051/record/0-2/16065638154", 16065638154)</f>
        <v>16065638154</v>
      </c>
      <c r="L506" s="18" t="s">
        <v>4297</v>
      </c>
      <c r="M506" s="18" t="s">
        <v>4298</v>
      </c>
      <c r="N506" s="14"/>
      <c r="O506" s="14"/>
      <c r="P506" s="14"/>
      <c r="Q506" s="14"/>
      <c r="R506" s="14"/>
      <c r="S506" s="24" t="str">
        <f t="shared" ref="S506:U506" si="510">IF(E506&lt;&gt;"","Yes","")</f>
        <v>Yes</v>
      </c>
      <c r="T506" s="24" t="str">
        <f t="shared" si="510"/>
        <v>Yes</v>
      </c>
      <c r="U506" s="24" t="str">
        <f t="shared" si="510"/>
        <v>Yes</v>
      </c>
      <c r="V506" s="24" t="str">
        <f t="shared" si="3"/>
        <v/>
      </c>
      <c r="W506" s="14" t="str">
        <f t="shared" si="4"/>
        <v/>
      </c>
    </row>
    <row r="507" ht="14.25" customHeight="1">
      <c r="A507" s="18">
        <f>HYPERLINK("https://app.hubspot.com/contacts/8748051/record/0-1/3160701", 3160701)</f>
        <v>3160701</v>
      </c>
      <c r="B507" s="14" t="s">
        <v>4299</v>
      </c>
      <c r="C507" s="16">
        <v>45263.46361111111</v>
      </c>
      <c r="D507" s="14"/>
      <c r="E507" s="32">
        <v>45264.0</v>
      </c>
      <c r="F507" s="32"/>
      <c r="G507" s="32"/>
      <c r="H507" s="14"/>
      <c r="I507" s="14"/>
      <c r="J507" s="14"/>
      <c r="K507" s="18">
        <f>HYPERLINK("https://app.hubspot.com/contacts/8748051/record/0-2/18307112576", 18307112576)</f>
        <v>18307112576</v>
      </c>
      <c r="L507" s="14" t="s">
        <v>4300</v>
      </c>
      <c r="M507" s="18" t="s">
        <v>4301</v>
      </c>
      <c r="N507" s="14"/>
      <c r="O507" s="14"/>
      <c r="P507" s="14"/>
      <c r="Q507" s="14"/>
      <c r="R507" s="14"/>
      <c r="S507" s="24" t="str">
        <f t="shared" ref="S507:U507" si="511">IF(E507&lt;&gt;"","Yes","")</f>
        <v>Yes</v>
      </c>
      <c r="T507" s="24" t="str">
        <f t="shared" si="511"/>
        <v/>
      </c>
      <c r="U507" s="24" t="str">
        <f t="shared" si="511"/>
        <v/>
      </c>
      <c r="V507" s="24" t="str">
        <f t="shared" si="3"/>
        <v/>
      </c>
      <c r="W507" s="14" t="str">
        <f t="shared" si="4"/>
        <v/>
      </c>
    </row>
    <row r="508" ht="14.25" customHeight="1">
      <c r="A508" s="18">
        <f>HYPERLINK("https://app.hubspot.com/contacts/8748051/record/0-1/3156551", 3156551)</f>
        <v>3156551</v>
      </c>
      <c r="B508" s="14" t="s">
        <v>4302</v>
      </c>
      <c r="C508" s="16">
        <v>45261.43618055555</v>
      </c>
      <c r="D508" s="14" t="s">
        <v>3979</v>
      </c>
      <c r="E508" s="32"/>
      <c r="F508" s="32"/>
      <c r="G508" s="32"/>
      <c r="H508" s="14"/>
      <c r="I508" s="14"/>
      <c r="J508" s="14"/>
      <c r="K508" s="18">
        <f>HYPERLINK("https://app.hubspot.com/contacts/8748051/record/0-2/18292204461", 18292204461)</f>
        <v>18292204461</v>
      </c>
      <c r="L508" s="14" t="s">
        <v>4303</v>
      </c>
      <c r="M508" s="18" t="s">
        <v>4304</v>
      </c>
      <c r="N508" s="14"/>
      <c r="O508" s="14"/>
      <c r="P508" s="14"/>
      <c r="Q508" s="14"/>
      <c r="R508" s="14"/>
      <c r="S508" s="24" t="str">
        <f t="shared" ref="S508:U508" si="512">IF(E508&lt;&gt;"","Yes","")</f>
        <v/>
      </c>
      <c r="T508" s="24" t="str">
        <f t="shared" si="512"/>
        <v/>
      </c>
      <c r="U508" s="24" t="str">
        <f t="shared" si="512"/>
        <v/>
      </c>
      <c r="V508" s="24" t="str">
        <f t="shared" si="3"/>
        <v/>
      </c>
      <c r="W508" s="14" t="str">
        <f t="shared" si="4"/>
        <v/>
      </c>
    </row>
    <row r="509" ht="14.25" customHeight="1">
      <c r="A509" s="18">
        <f>HYPERLINK("https://app.hubspot.com/contacts/8748051/record/0-1/3146501", 3146501)</f>
        <v>3146501</v>
      </c>
      <c r="B509" s="14" t="s">
        <v>4305</v>
      </c>
      <c r="C509" s="16">
        <v>45258.603634259256</v>
      </c>
      <c r="D509" s="14" t="s">
        <v>4116</v>
      </c>
      <c r="E509" s="32"/>
      <c r="F509" s="32"/>
      <c r="G509" s="32"/>
      <c r="H509" s="14"/>
      <c r="I509" s="14"/>
      <c r="J509" s="14"/>
      <c r="K509" s="18">
        <f>HYPERLINK("https://app.hubspot.com/contacts/8748051/record/0-2/18252645742", 18252645742)</f>
        <v>18252645742</v>
      </c>
      <c r="L509" s="14" t="s">
        <v>4306</v>
      </c>
      <c r="M509" s="18" t="s">
        <v>4307</v>
      </c>
      <c r="N509" s="14"/>
      <c r="O509" s="14"/>
      <c r="P509" s="14"/>
      <c r="Q509" s="14"/>
      <c r="R509" s="14"/>
      <c r="S509" s="24" t="str">
        <f t="shared" ref="S509:U509" si="513">IF(E509&lt;&gt;"","Yes","")</f>
        <v/>
      </c>
      <c r="T509" s="24" t="str">
        <f t="shared" si="513"/>
        <v/>
      </c>
      <c r="U509" s="24" t="str">
        <f t="shared" si="513"/>
        <v/>
      </c>
      <c r="V509" s="24" t="str">
        <f t="shared" si="3"/>
        <v/>
      </c>
      <c r="W509" s="14" t="str">
        <f t="shared" si="4"/>
        <v/>
      </c>
    </row>
    <row r="510" ht="14.25" customHeight="1">
      <c r="A510" s="18">
        <f>HYPERLINK("https://app.hubspot.com/contacts/8748051/record/0-1/3140151", 3140151)</f>
        <v>3140151</v>
      </c>
      <c r="B510" s="14" t="s">
        <v>4308</v>
      </c>
      <c r="C510" s="16">
        <v>45257.28482638889</v>
      </c>
      <c r="D510" s="14"/>
      <c r="E510" s="32"/>
      <c r="F510" s="32"/>
      <c r="G510" s="32"/>
      <c r="H510" s="14"/>
      <c r="I510" s="14"/>
      <c r="J510" s="14"/>
      <c r="K510" s="18">
        <f>HYPERLINK("https://app.hubspot.com/contacts/8748051/record/0-2/18231099410", 18231099410)</f>
        <v>18231099410</v>
      </c>
      <c r="L510" s="14" t="s">
        <v>4309</v>
      </c>
      <c r="M510" s="18" t="s">
        <v>4310</v>
      </c>
      <c r="N510" s="14"/>
      <c r="O510" s="14"/>
      <c r="P510" s="14"/>
      <c r="Q510" s="14"/>
      <c r="R510" s="14"/>
      <c r="S510" s="24" t="str">
        <f t="shared" ref="S510:U510" si="514">IF(E510&lt;&gt;"","Yes","")</f>
        <v/>
      </c>
      <c r="T510" s="24" t="str">
        <f t="shared" si="514"/>
        <v/>
      </c>
      <c r="U510" s="24" t="str">
        <f t="shared" si="514"/>
        <v/>
      </c>
      <c r="V510" s="24" t="str">
        <f t="shared" si="3"/>
        <v/>
      </c>
      <c r="W510" s="14" t="str">
        <f t="shared" si="4"/>
        <v/>
      </c>
    </row>
    <row r="511" ht="14.25" customHeight="1">
      <c r="A511" s="18">
        <f>HYPERLINK("https://app.hubspot.com/contacts/8748051/record/0-1/3133451", 3133451)</f>
        <v>3133451</v>
      </c>
      <c r="B511" s="14" t="s">
        <v>4311</v>
      </c>
      <c r="C511" s="16">
        <v>45254.29493055555</v>
      </c>
      <c r="D511" s="16"/>
      <c r="E511" s="32"/>
      <c r="F511" s="32"/>
      <c r="G511" s="32"/>
      <c r="H511" s="14"/>
      <c r="I511" s="14"/>
      <c r="J511" s="14"/>
      <c r="K511" s="18">
        <f>HYPERLINK("https://app.hubspot.com/contacts/8748051/record/0-2/14925707821", 14925707821)</f>
        <v>14925707821</v>
      </c>
      <c r="L511" s="14" t="s">
        <v>4312</v>
      </c>
      <c r="M511" s="18" t="s">
        <v>4313</v>
      </c>
      <c r="N511" s="14"/>
      <c r="O511" s="14"/>
      <c r="P511" s="14"/>
      <c r="Q511" s="14"/>
      <c r="R511" s="14"/>
      <c r="S511" s="24" t="str">
        <f t="shared" ref="S511:U511" si="515">IF(E511&lt;&gt;"","Yes","")</f>
        <v/>
      </c>
      <c r="T511" s="24" t="str">
        <f t="shared" si="515"/>
        <v/>
      </c>
      <c r="U511" s="24" t="str">
        <f t="shared" si="515"/>
        <v/>
      </c>
      <c r="V511" s="24" t="str">
        <f t="shared" si="3"/>
        <v/>
      </c>
      <c r="W511" s="14" t="str">
        <f t="shared" si="4"/>
        <v/>
      </c>
    </row>
    <row r="512" ht="14.25" customHeight="1">
      <c r="A512" s="18">
        <f>HYPERLINK("https://app.hubspot.com/contacts/8748051/record/0-1/3131101", 3131101)</f>
        <v>3131101</v>
      </c>
      <c r="B512" s="14" t="s">
        <v>4314</v>
      </c>
      <c r="C512" s="16">
        <v>45252.295011574075</v>
      </c>
      <c r="D512" s="14"/>
      <c r="E512" s="32"/>
      <c r="F512" s="32"/>
      <c r="G512" s="32"/>
      <c r="H512" s="14"/>
      <c r="I512" s="14"/>
      <c r="J512" s="14"/>
      <c r="K512" s="18">
        <f>HYPERLINK("https://app.hubspot.com/contacts/8748051/record/0-2/18178806044", 18178806044)</f>
        <v>18178806044</v>
      </c>
      <c r="L512" s="14" t="s">
        <v>4315</v>
      </c>
      <c r="M512" s="18" t="s">
        <v>4316</v>
      </c>
      <c r="N512" s="14"/>
      <c r="O512" s="14"/>
      <c r="P512" s="14"/>
      <c r="Q512" s="14"/>
      <c r="R512" s="14"/>
      <c r="S512" s="24" t="str">
        <f t="shared" ref="S512:U512" si="516">IF(E512&lt;&gt;"","Yes","")</f>
        <v/>
      </c>
      <c r="T512" s="24" t="str">
        <f t="shared" si="516"/>
        <v/>
      </c>
      <c r="U512" s="24" t="str">
        <f t="shared" si="516"/>
        <v/>
      </c>
      <c r="V512" s="24" t="str">
        <f t="shared" si="3"/>
        <v/>
      </c>
      <c r="W512" s="14" t="str">
        <f t="shared" si="4"/>
        <v/>
      </c>
    </row>
    <row r="513" ht="14.25" customHeight="1">
      <c r="A513" s="18">
        <f>HYPERLINK("https://app.hubspot.com/contacts/8748051/record/0-1/3114551", 3114551)</f>
        <v>3114551</v>
      </c>
      <c r="B513" s="14" t="s">
        <v>4317</v>
      </c>
      <c r="C513" s="16">
        <v>45247.071597222224</v>
      </c>
      <c r="D513" s="16"/>
      <c r="E513" s="32"/>
      <c r="F513" s="32"/>
      <c r="G513" s="32"/>
      <c r="H513" s="14"/>
      <c r="I513" s="14"/>
      <c r="J513" s="14"/>
      <c r="K513" s="18">
        <f>HYPERLINK("https://app.hubspot.com/contacts/8748051/record/0-2/18118070084", 18118070084)</f>
        <v>18118070084</v>
      </c>
      <c r="L513" s="14" t="s">
        <v>4318</v>
      </c>
      <c r="M513" s="18" t="s">
        <v>4319</v>
      </c>
      <c r="N513" s="24"/>
      <c r="O513" s="14"/>
      <c r="P513" s="14"/>
      <c r="Q513" s="14"/>
      <c r="R513" s="14"/>
      <c r="S513" s="24" t="str">
        <f t="shared" ref="S513:U513" si="517">IF(E513&lt;&gt;"","Yes","")</f>
        <v/>
      </c>
      <c r="T513" s="24" t="str">
        <f t="shared" si="517"/>
        <v/>
      </c>
      <c r="U513" s="24" t="str">
        <f t="shared" si="517"/>
        <v/>
      </c>
      <c r="V513" s="24" t="str">
        <f t="shared" si="3"/>
        <v/>
      </c>
      <c r="W513" s="14" t="str">
        <f t="shared" si="4"/>
        <v/>
      </c>
    </row>
    <row r="514" ht="14.25" customHeight="1">
      <c r="A514" s="18">
        <f>HYPERLINK("https://app.hubspot.com/contacts/8748051/record/0-1/3040851", 3040851)</f>
        <v>3040851</v>
      </c>
      <c r="B514" s="14" t="s">
        <v>4320</v>
      </c>
      <c r="C514" s="16">
        <v>45246.754965277774</v>
      </c>
      <c r="D514" s="16"/>
      <c r="E514" s="32"/>
      <c r="F514" s="32"/>
      <c r="G514" s="32"/>
      <c r="H514" s="14"/>
      <c r="I514" s="14"/>
      <c r="J514" s="14"/>
      <c r="K514" s="18">
        <f>HYPERLINK("https://app.hubspot.com/contacts/8748051/record/0-2/18112298241", 18112298241)</f>
        <v>18112298241</v>
      </c>
      <c r="L514" s="14" t="s">
        <v>2448</v>
      </c>
      <c r="M514" s="18" t="s">
        <v>2449</v>
      </c>
      <c r="N514" s="18">
        <f>HYPERLINK("https://app.hubspot.com/contacts/8748051/record/0-3/16159987467", 16159987467)</f>
        <v>16159987467</v>
      </c>
      <c r="O514" s="14" t="s">
        <v>2446</v>
      </c>
      <c r="P514" s="14" t="s">
        <v>146</v>
      </c>
      <c r="Q514" s="14">
        <v>20000.0</v>
      </c>
      <c r="R514" s="14" t="b">
        <v>1</v>
      </c>
      <c r="S514" s="24" t="str">
        <f t="shared" ref="S514:U514" si="518">IF(E514&lt;&gt;"","Yes","")</f>
        <v/>
      </c>
      <c r="T514" s="24" t="str">
        <f t="shared" si="518"/>
        <v/>
      </c>
      <c r="U514" s="24" t="str">
        <f t="shared" si="518"/>
        <v/>
      </c>
      <c r="V514" s="24" t="str">
        <f t="shared" si="3"/>
        <v/>
      </c>
      <c r="W514" s="14" t="str">
        <f t="shared" si="4"/>
        <v>Yes</v>
      </c>
    </row>
    <row r="515" ht="14.25" customHeight="1">
      <c r="A515" s="18">
        <f>HYPERLINK("https://app.hubspot.com/contacts/8748051/record/0-1/3103101", 3103101)</f>
        <v>3103101</v>
      </c>
      <c r="B515" s="14" t="s">
        <v>4321</v>
      </c>
      <c r="C515" s="16">
        <v>45245.24636574074</v>
      </c>
      <c r="D515" s="16"/>
      <c r="E515" s="32"/>
      <c r="F515" s="32"/>
      <c r="G515" s="32"/>
      <c r="H515" s="14"/>
      <c r="I515" s="14"/>
      <c r="J515" s="14"/>
      <c r="K515" s="18">
        <f>HYPERLINK("https://app.hubspot.com/contacts/8748051/record/0-2/7673308023", 7673308023)</f>
        <v>7673308023</v>
      </c>
      <c r="L515" s="14" t="s">
        <v>4322</v>
      </c>
      <c r="M515" s="18" t="s">
        <v>4323</v>
      </c>
      <c r="N515" s="24"/>
      <c r="O515" s="14"/>
      <c r="P515" s="14"/>
      <c r="Q515" s="14"/>
      <c r="R515" s="14"/>
      <c r="S515" s="24" t="str">
        <f t="shared" ref="S515:U515" si="519">IF(E515&lt;&gt;"","Yes","")</f>
        <v/>
      </c>
      <c r="T515" s="24" t="str">
        <f t="shared" si="519"/>
        <v/>
      </c>
      <c r="U515" s="24" t="str">
        <f t="shared" si="519"/>
        <v/>
      </c>
      <c r="V515" s="24" t="str">
        <f t="shared" si="3"/>
        <v/>
      </c>
      <c r="W515" s="14" t="str">
        <f t="shared" si="4"/>
        <v/>
      </c>
    </row>
    <row r="516" ht="14.25" customHeight="1">
      <c r="A516" s="18">
        <f>HYPERLINK("https://app.hubspot.com/contacts/8748051/record/0-1/189380831536", 189380831536)</f>
        <v>189380831536</v>
      </c>
      <c r="B516" s="14" t="s">
        <v>4324</v>
      </c>
      <c r="C516" s="16">
        <v>45244.41135416667</v>
      </c>
      <c r="D516" s="14"/>
      <c r="E516" s="32"/>
      <c r="F516" s="32"/>
      <c r="G516" s="32"/>
      <c r="H516" s="14"/>
      <c r="I516" s="14"/>
      <c r="J516" s="14"/>
      <c r="K516" s="18">
        <f>HYPERLINK("https://app.hubspot.com/contacts/8748051/record/0-2/7771788382", 7771788382)</f>
        <v>7771788382</v>
      </c>
      <c r="L516" s="14" t="s">
        <v>2454</v>
      </c>
      <c r="M516" s="18" t="s">
        <v>2455</v>
      </c>
      <c r="N516" s="18">
        <f>HYPERLINK("https://app.hubspot.com/contacts/8748051/record/0-3/16135998297", 16135998297)</f>
        <v>16135998297</v>
      </c>
      <c r="O516" s="14" t="s">
        <v>2452</v>
      </c>
      <c r="P516" s="14" t="s">
        <v>89</v>
      </c>
      <c r="Q516" s="14">
        <v>60000.0</v>
      </c>
      <c r="R516" s="14" t="b">
        <v>1</v>
      </c>
      <c r="S516" s="24" t="str">
        <f t="shared" ref="S516:U516" si="520">IF(E516&lt;&gt;"","Yes","")</f>
        <v/>
      </c>
      <c r="T516" s="24" t="str">
        <f t="shared" si="520"/>
        <v/>
      </c>
      <c r="U516" s="24" t="str">
        <f t="shared" si="520"/>
        <v/>
      </c>
      <c r="V516" s="24" t="str">
        <f t="shared" si="3"/>
        <v>Yes</v>
      </c>
      <c r="W516" s="14" t="str">
        <f t="shared" si="4"/>
        <v/>
      </c>
    </row>
    <row r="517" ht="14.25" customHeight="1">
      <c r="A517" s="18">
        <f>HYPERLINK("https://app.hubspot.com/contacts/8748051/record/0-1/3091301", 3091301)</f>
        <v>3091301</v>
      </c>
      <c r="B517" s="14" t="s">
        <v>4325</v>
      </c>
      <c r="C517" s="16">
        <v>45240.21642361111</v>
      </c>
      <c r="D517" s="14"/>
      <c r="E517" s="32"/>
      <c r="F517" s="32"/>
      <c r="G517" s="32"/>
      <c r="H517" s="14"/>
      <c r="I517" s="14"/>
      <c r="J517" s="14"/>
      <c r="K517" s="18">
        <f>HYPERLINK("https://app.hubspot.com/contacts/8748051/record/0-2/18007506031", 18007506031)</f>
        <v>18007506031</v>
      </c>
      <c r="L517" s="14" t="s">
        <v>4326</v>
      </c>
      <c r="M517" s="18" t="s">
        <v>4327</v>
      </c>
      <c r="N517" s="14"/>
      <c r="O517" s="14"/>
      <c r="P517" s="14"/>
      <c r="Q517" s="14"/>
      <c r="R517" s="14"/>
      <c r="S517" s="24" t="str">
        <f t="shared" ref="S517:U517" si="521">IF(E517&lt;&gt;"","Yes","")</f>
        <v/>
      </c>
      <c r="T517" s="24" t="str">
        <f t="shared" si="521"/>
        <v/>
      </c>
      <c r="U517" s="24" t="str">
        <f t="shared" si="521"/>
        <v/>
      </c>
      <c r="V517" s="24" t="str">
        <f t="shared" si="3"/>
        <v/>
      </c>
      <c r="W517" s="14" t="str">
        <f t="shared" si="4"/>
        <v/>
      </c>
    </row>
    <row r="518" ht="14.25" customHeight="1">
      <c r="A518" s="18">
        <f>HYPERLINK("https://app.hubspot.com/contacts/8748051/record/0-1/3080351", 3080351)</f>
        <v>3080351</v>
      </c>
      <c r="B518" s="14" t="s">
        <v>4328</v>
      </c>
      <c r="C518" s="16">
        <v>45238.164143518516</v>
      </c>
      <c r="D518" s="14"/>
      <c r="E518" s="32"/>
      <c r="F518" s="32"/>
      <c r="G518" s="32"/>
      <c r="H518" s="14"/>
      <c r="I518" s="14"/>
      <c r="J518" s="14"/>
      <c r="K518" s="18">
        <f>HYPERLINK("https://app.hubspot.com/contacts/8748051/record/0-2/9069717254", 9069717254)</f>
        <v>9069717254</v>
      </c>
      <c r="L518" s="14" t="s">
        <v>998</v>
      </c>
      <c r="M518" s="18" t="s">
        <v>999</v>
      </c>
      <c r="N518" s="14"/>
      <c r="O518" s="14"/>
      <c r="P518" s="14"/>
      <c r="Q518" s="14"/>
      <c r="R518" s="14"/>
      <c r="S518" s="24" t="str">
        <f t="shared" ref="S518:U518" si="522">IF(E518&lt;&gt;"","Yes","")</f>
        <v/>
      </c>
      <c r="T518" s="24" t="str">
        <f t="shared" si="522"/>
        <v/>
      </c>
      <c r="U518" s="24" t="str">
        <f t="shared" si="522"/>
        <v/>
      </c>
      <c r="V518" s="24" t="str">
        <f t="shared" si="3"/>
        <v/>
      </c>
      <c r="W518" s="14" t="str">
        <f t="shared" si="4"/>
        <v/>
      </c>
    </row>
    <row r="519" ht="14.25" customHeight="1">
      <c r="A519" s="18">
        <f>HYPERLINK("https://app.hubspot.com/contacts/8748051/record/0-1/3079301", 3079301)</f>
        <v>3079301</v>
      </c>
      <c r="B519" s="14" t="s">
        <v>4329</v>
      </c>
      <c r="C519" s="16">
        <v>45237.655856481484</v>
      </c>
      <c r="D519" s="16"/>
      <c r="E519" s="32"/>
      <c r="F519" s="32"/>
      <c r="G519" s="32"/>
      <c r="H519" s="14"/>
      <c r="I519" s="14"/>
      <c r="J519" s="14"/>
      <c r="K519" s="18">
        <f>HYPERLINK("https://app.hubspot.com/contacts/8748051/record/0-2/17971689616", 17971689616)</f>
        <v>17971689616</v>
      </c>
      <c r="L519" s="14" t="s">
        <v>1157</v>
      </c>
      <c r="M519" s="18" t="s">
        <v>1158</v>
      </c>
      <c r="N519" s="18">
        <f>HYPERLINK("https://app.hubspot.com/contacts/8748051/record/0-3/16003065679", 16003065679)</f>
        <v>16003065679</v>
      </c>
      <c r="O519" s="14" t="s">
        <v>1157</v>
      </c>
      <c r="P519" s="14" t="s">
        <v>89</v>
      </c>
      <c r="Q519" s="14">
        <v>10800.0</v>
      </c>
      <c r="R519" s="14" t="b">
        <v>1</v>
      </c>
      <c r="S519" s="24" t="str">
        <f t="shared" ref="S519:U519" si="523">IF(E519&lt;&gt;"","Yes","")</f>
        <v/>
      </c>
      <c r="T519" s="24" t="str">
        <f t="shared" si="523"/>
        <v/>
      </c>
      <c r="U519" s="24" t="str">
        <f t="shared" si="523"/>
        <v/>
      </c>
      <c r="V519" s="24" t="str">
        <f t="shared" si="3"/>
        <v>Yes</v>
      </c>
      <c r="W519" s="14" t="str">
        <f t="shared" si="4"/>
        <v/>
      </c>
    </row>
    <row r="520" ht="14.25" customHeight="1">
      <c r="A520" s="18">
        <f>HYPERLINK("https://app.hubspot.com/contacts/8748051/record/0-1/3073101", 3073101)</f>
        <v>3073101</v>
      </c>
      <c r="B520" s="14" t="s">
        <v>4330</v>
      </c>
      <c r="C520" s="16">
        <v>45236.32278935185</v>
      </c>
      <c r="D520" s="16"/>
      <c r="E520" s="32"/>
      <c r="F520" s="32"/>
      <c r="G520" s="32"/>
      <c r="H520" s="14"/>
      <c r="I520" s="14"/>
      <c r="J520" s="14"/>
      <c r="K520" s="18">
        <f>HYPERLINK("https://app.hubspot.com/contacts/8748051/record/0-2/17953413303", 17953413303)</f>
        <v>17953413303</v>
      </c>
      <c r="L520" s="14" t="s">
        <v>4331</v>
      </c>
      <c r="M520" s="18" t="s">
        <v>4332</v>
      </c>
      <c r="N520" s="14"/>
      <c r="O520" s="14"/>
      <c r="P520" s="14"/>
      <c r="Q520" s="14"/>
      <c r="R520" s="14"/>
      <c r="S520" s="24" t="str">
        <f t="shared" ref="S520:U520" si="524">IF(E520&lt;&gt;"","Yes","")</f>
        <v/>
      </c>
      <c r="T520" s="24" t="str">
        <f t="shared" si="524"/>
        <v/>
      </c>
      <c r="U520" s="24" t="str">
        <f t="shared" si="524"/>
        <v/>
      </c>
      <c r="V520" s="24" t="str">
        <f t="shared" si="3"/>
        <v/>
      </c>
      <c r="W520" s="14" t="str">
        <f t="shared" si="4"/>
        <v/>
      </c>
    </row>
    <row r="521" ht="14.25" customHeight="1">
      <c r="A521" s="18">
        <f>HYPERLINK("https://app.hubspot.com/contacts/8748051/record/0-1/3044951", 3044951)</f>
        <v>3044951</v>
      </c>
      <c r="B521" s="14" t="s">
        <v>4333</v>
      </c>
      <c r="C521" s="16">
        <v>45230.34851851852</v>
      </c>
      <c r="D521" s="14"/>
      <c r="E521" s="32"/>
      <c r="F521" s="32"/>
      <c r="G521" s="32"/>
      <c r="H521" s="14"/>
      <c r="I521" s="14"/>
      <c r="J521" s="24"/>
      <c r="K521" s="18">
        <f>HYPERLINK("https://app.hubspot.com/contacts/8748051/record/0-2/17890946332", 17890946332)</f>
        <v>17890946332</v>
      </c>
      <c r="L521" s="14" t="s">
        <v>4334</v>
      </c>
      <c r="M521" s="18" t="s">
        <v>4335</v>
      </c>
      <c r="N521" s="24"/>
      <c r="O521" s="14"/>
      <c r="P521" s="14"/>
      <c r="Q521" s="14"/>
      <c r="R521" s="14"/>
      <c r="S521" s="24" t="str">
        <f t="shared" ref="S521:U521" si="525">IF(E521&lt;&gt;"","Yes","")</f>
        <v/>
      </c>
      <c r="T521" s="24" t="str">
        <f t="shared" si="525"/>
        <v/>
      </c>
      <c r="U521" s="24" t="str">
        <f t="shared" si="525"/>
        <v/>
      </c>
      <c r="V521" s="24" t="str">
        <f t="shared" si="3"/>
        <v/>
      </c>
      <c r="W521" s="14" t="str">
        <f t="shared" si="4"/>
        <v/>
      </c>
    </row>
    <row r="522" ht="14.25" customHeight="1">
      <c r="A522" s="18">
        <f>HYPERLINK("https://app.hubspot.com/contacts/8748051/record/0-1/3044351", 3044351)</f>
        <v>3044351</v>
      </c>
      <c r="B522" s="14" t="s">
        <v>4336</v>
      </c>
      <c r="C522" s="16">
        <v>45230.288981481484</v>
      </c>
      <c r="D522" s="16"/>
      <c r="E522" s="32"/>
      <c r="F522" s="32"/>
      <c r="G522" s="32"/>
      <c r="H522" s="14"/>
      <c r="I522" s="14"/>
      <c r="J522" s="14"/>
      <c r="K522" s="18">
        <f>HYPERLINK("https://app.hubspot.com/contacts/8748051/record/0-2/10322469467", 10322469467)</f>
        <v>10322469467</v>
      </c>
      <c r="L522" s="14" t="s">
        <v>2478</v>
      </c>
      <c r="M522" s="18" t="s">
        <v>2479</v>
      </c>
      <c r="N522" s="23">
        <f>HYPERLINK("https://app.hubspot.com/contacts/8748051/record/0-3/15905577653", 15905577653)</f>
        <v>15905577653</v>
      </c>
      <c r="O522" s="14" t="s">
        <v>2476</v>
      </c>
      <c r="P522" s="14" t="s">
        <v>146</v>
      </c>
      <c r="Q522" s="14">
        <v>0.0</v>
      </c>
      <c r="R522" s="14" t="b">
        <v>1</v>
      </c>
      <c r="S522" s="24" t="str">
        <f t="shared" ref="S522:U522" si="526">IF(E522&lt;&gt;"","Yes","")</f>
        <v/>
      </c>
      <c r="T522" s="24" t="str">
        <f t="shared" si="526"/>
        <v/>
      </c>
      <c r="U522" s="24" t="str">
        <f t="shared" si="526"/>
        <v/>
      </c>
      <c r="V522" s="24" t="str">
        <f t="shared" si="3"/>
        <v/>
      </c>
      <c r="W522" s="14" t="str">
        <f t="shared" si="4"/>
        <v>Yes</v>
      </c>
    </row>
    <row r="523" ht="14.25" customHeight="1">
      <c r="A523" s="18">
        <f>HYPERLINK("https://app.hubspot.com/contacts/8748051/record/0-1/2997901", 2997901)</f>
        <v>2997901</v>
      </c>
      <c r="B523" s="14" t="s">
        <v>4337</v>
      </c>
      <c r="C523" s="16">
        <v>45225.61898148148</v>
      </c>
      <c r="D523" s="14"/>
      <c r="E523" s="32"/>
      <c r="F523" s="32"/>
      <c r="G523" s="32"/>
      <c r="H523" s="14"/>
      <c r="I523" s="14"/>
      <c r="J523" s="14"/>
      <c r="K523" s="18">
        <f>HYPERLINK("https://app.hubspot.com/contacts/8748051/record/0-2/7131052804", 7131052804)</f>
        <v>7131052804</v>
      </c>
      <c r="L523" s="14" t="s">
        <v>2498</v>
      </c>
      <c r="M523" s="18" t="s">
        <v>2499</v>
      </c>
      <c r="N523" s="14"/>
      <c r="O523" s="14"/>
      <c r="P523" s="14"/>
      <c r="Q523" s="14"/>
      <c r="R523" s="14"/>
      <c r="S523" s="24" t="str">
        <f t="shared" ref="S523:U523" si="527">IF(E523&lt;&gt;"","Yes","")</f>
        <v/>
      </c>
      <c r="T523" s="24" t="str">
        <f t="shared" si="527"/>
        <v/>
      </c>
      <c r="U523" s="24" t="str">
        <f t="shared" si="527"/>
        <v/>
      </c>
      <c r="V523" s="24" t="str">
        <f t="shared" si="3"/>
        <v/>
      </c>
      <c r="W523" s="14" t="str">
        <f t="shared" si="4"/>
        <v/>
      </c>
    </row>
    <row r="524" ht="14.25" customHeight="1">
      <c r="A524" s="18">
        <f>HYPERLINK("https://app.hubspot.com/contacts/8748051/record/0-1/2994751", 2994751)</f>
        <v>2994751</v>
      </c>
      <c r="B524" s="14" t="s">
        <v>4338</v>
      </c>
      <c r="C524" s="16">
        <v>45224.53223379629</v>
      </c>
      <c r="D524" s="16"/>
      <c r="E524" s="32"/>
      <c r="F524" s="32"/>
      <c r="G524" s="32"/>
      <c r="H524" s="14"/>
      <c r="I524" s="14"/>
      <c r="J524" s="14"/>
      <c r="K524" s="18">
        <f>HYPERLINK("https://app.hubspot.com/contacts/8748051/record/0-2/17801803546", 17801803546)</f>
        <v>17801803546</v>
      </c>
      <c r="L524" s="14" t="s">
        <v>2485</v>
      </c>
      <c r="M524" s="18" t="s">
        <v>2486</v>
      </c>
      <c r="N524" s="23">
        <f>HYPERLINK("https://app.hubspot.com/contacts/8748051/record/0-3/15798206087", 15798206087)</f>
        <v>15798206087</v>
      </c>
      <c r="O524" s="14" t="s">
        <v>2484</v>
      </c>
      <c r="P524" s="14" t="s">
        <v>118</v>
      </c>
      <c r="Q524" s="14">
        <v>2000.0</v>
      </c>
      <c r="R524" s="14"/>
      <c r="S524" s="24" t="str">
        <f t="shared" ref="S524:U524" si="528">IF(E524&lt;&gt;"","Yes","")</f>
        <v/>
      </c>
      <c r="T524" s="24" t="str">
        <f t="shared" si="528"/>
        <v/>
      </c>
      <c r="U524" s="24" t="str">
        <f t="shared" si="528"/>
        <v/>
      </c>
      <c r="V524" s="24" t="str">
        <f t="shared" si="3"/>
        <v/>
      </c>
      <c r="W524" s="14" t="str">
        <f t="shared" si="4"/>
        <v/>
      </c>
    </row>
    <row r="525" ht="14.25" customHeight="1">
      <c r="A525" s="18">
        <f>HYPERLINK("https://app.hubspot.com/contacts/8748051/record/0-1/3011401", 3011401)</f>
        <v>3011401</v>
      </c>
      <c r="B525" s="14" t="s">
        <v>4339</v>
      </c>
      <c r="C525" s="16">
        <v>45222.56696759259</v>
      </c>
      <c r="D525" s="14"/>
      <c r="E525" s="32"/>
      <c r="F525" s="32"/>
      <c r="G525" s="32"/>
      <c r="H525" s="14"/>
      <c r="I525" s="14"/>
      <c r="J525" s="14"/>
      <c r="K525" s="18">
        <f>HYPERLINK("https://app.hubspot.com/contacts/8748051/record/0-2/8762404619", 8762404619)</f>
        <v>8762404619</v>
      </c>
      <c r="L525" s="14" t="s">
        <v>4340</v>
      </c>
      <c r="M525" s="18" t="s">
        <v>4341</v>
      </c>
      <c r="N525" s="14"/>
      <c r="O525" s="14"/>
      <c r="P525" s="14"/>
      <c r="Q525" s="14"/>
      <c r="R525" s="14"/>
      <c r="S525" s="24" t="str">
        <f t="shared" ref="S525:U525" si="529">IF(E525&lt;&gt;"","Yes","")</f>
        <v/>
      </c>
      <c r="T525" s="24" t="str">
        <f t="shared" si="529"/>
        <v/>
      </c>
      <c r="U525" s="24" t="str">
        <f t="shared" si="529"/>
        <v/>
      </c>
      <c r="V525" s="24" t="str">
        <f t="shared" si="3"/>
        <v/>
      </c>
      <c r="W525" s="14" t="str">
        <f t="shared" si="4"/>
        <v/>
      </c>
    </row>
    <row r="526" ht="14.25" customHeight="1">
      <c r="A526" s="18">
        <f>HYPERLINK("https://app.hubspot.com/contacts/8748051/record/0-1/3010801", 3010801)</f>
        <v>3010801</v>
      </c>
      <c r="B526" s="14" t="s">
        <v>4342</v>
      </c>
      <c r="C526" s="16">
        <v>45222.32690972222</v>
      </c>
      <c r="D526" s="16"/>
      <c r="E526" s="32"/>
      <c r="F526" s="32"/>
      <c r="G526" s="32"/>
      <c r="H526" s="14"/>
      <c r="I526" s="14"/>
      <c r="J526" s="14"/>
      <c r="K526" s="18">
        <f>HYPERLINK("https://app.hubspot.com/contacts/8748051/record/0-2/17769597851", 17769597851)</f>
        <v>17769597851</v>
      </c>
      <c r="L526" s="14" t="s">
        <v>2481</v>
      </c>
      <c r="M526" s="18" t="s">
        <v>2482</v>
      </c>
      <c r="N526" s="18">
        <f>HYPERLINK("https://app.hubspot.com/contacts/8748051/record/0-3/15845371518", 15845371518)</f>
        <v>15845371518</v>
      </c>
      <c r="O526" s="14" t="s">
        <v>2480</v>
      </c>
      <c r="P526" s="14" t="s">
        <v>118</v>
      </c>
      <c r="Q526" s="14">
        <v>15000.0</v>
      </c>
      <c r="R526" s="14" t="b">
        <v>1</v>
      </c>
      <c r="S526" s="24" t="str">
        <f t="shared" ref="S526:U526" si="530">IF(E526&lt;&gt;"","Yes","")</f>
        <v/>
      </c>
      <c r="T526" s="24" t="str">
        <f t="shared" si="530"/>
        <v/>
      </c>
      <c r="U526" s="24" t="str">
        <f t="shared" si="530"/>
        <v/>
      </c>
      <c r="V526" s="24" t="str">
        <f t="shared" si="3"/>
        <v/>
      </c>
      <c r="W526" s="14" t="str">
        <f t="shared" si="4"/>
        <v/>
      </c>
    </row>
    <row r="527" ht="14.25" customHeight="1">
      <c r="A527" s="18">
        <f>HYPERLINK("https://app.hubspot.com/contacts/8748051/record/0-1/2999001", 2999001)</f>
        <v>2999001</v>
      </c>
      <c r="B527" s="14" t="s">
        <v>4343</v>
      </c>
      <c r="C527" s="16">
        <v>45218.082916666666</v>
      </c>
      <c r="D527" s="16"/>
      <c r="E527" s="32"/>
      <c r="F527" s="32"/>
      <c r="G527" s="32"/>
      <c r="H527" s="14"/>
      <c r="I527" s="14"/>
      <c r="J527" s="14"/>
      <c r="K527" s="18">
        <f>HYPERLINK("https://app.hubspot.com/contacts/8748051/record/0-2/8386319462", 8386319462)</f>
        <v>8386319462</v>
      </c>
      <c r="L527" s="18" t="s">
        <v>3158</v>
      </c>
      <c r="M527" s="18" t="s">
        <v>3159</v>
      </c>
      <c r="N527" s="14"/>
      <c r="O527" s="14"/>
      <c r="P527" s="14"/>
      <c r="Q527" s="14"/>
      <c r="R527" s="14"/>
      <c r="S527" s="24" t="str">
        <f t="shared" ref="S527:U527" si="531">IF(E527&lt;&gt;"","Yes","")</f>
        <v/>
      </c>
      <c r="T527" s="24" t="str">
        <f t="shared" si="531"/>
        <v/>
      </c>
      <c r="U527" s="24" t="str">
        <f t="shared" si="531"/>
        <v/>
      </c>
      <c r="V527" s="24" t="str">
        <f t="shared" si="3"/>
        <v/>
      </c>
      <c r="W527" s="14" t="str">
        <f t="shared" si="4"/>
        <v/>
      </c>
    </row>
    <row r="528" ht="14.25" customHeight="1">
      <c r="A528" s="18">
        <f>HYPERLINK("https://app.hubspot.com/contacts/8748051/record/0-1/2978251", 2978251)</f>
        <v>2978251</v>
      </c>
      <c r="B528" s="14" t="s">
        <v>4344</v>
      </c>
      <c r="C528" s="16">
        <v>45212.77877314815</v>
      </c>
      <c r="D528" s="16"/>
      <c r="E528" s="32"/>
      <c r="F528" s="32"/>
      <c r="G528" s="32"/>
      <c r="H528" s="14"/>
      <c r="I528" s="14"/>
      <c r="J528" s="14"/>
      <c r="K528" s="18">
        <f>HYPERLINK("https://app.hubspot.com/contacts/8748051/record/0-2/9238334248", 9238334248)</f>
        <v>9238334248</v>
      </c>
      <c r="L528" s="14" t="s">
        <v>2490</v>
      </c>
      <c r="M528" s="18" t="s">
        <v>2492</v>
      </c>
      <c r="N528" s="18">
        <f>HYPERLINK("https://app.hubspot.com/contacts/8748051/record/0-3/15754439595", 15754439595)</f>
        <v>15754439595</v>
      </c>
      <c r="O528" s="14" t="s">
        <v>2490</v>
      </c>
      <c r="P528" s="14" t="s">
        <v>146</v>
      </c>
      <c r="Q528" s="14">
        <v>20000.0</v>
      </c>
      <c r="R528" s="14" t="b">
        <v>1</v>
      </c>
      <c r="S528" s="24" t="str">
        <f t="shared" ref="S528:U528" si="532">IF(E528&lt;&gt;"","Yes","")</f>
        <v/>
      </c>
      <c r="T528" s="24" t="str">
        <f t="shared" si="532"/>
        <v/>
      </c>
      <c r="U528" s="24" t="str">
        <f t="shared" si="532"/>
        <v/>
      </c>
      <c r="V528" s="24" t="str">
        <f t="shared" si="3"/>
        <v/>
      </c>
      <c r="W528" s="14" t="str">
        <f t="shared" si="4"/>
        <v>Yes</v>
      </c>
    </row>
    <row r="529" ht="14.25" customHeight="1">
      <c r="A529" s="18">
        <f>HYPERLINK("https://app.hubspot.com/contacts/8748051/record/0-1/2959551", 2959551)</f>
        <v>2959551</v>
      </c>
      <c r="B529" s="14" t="s">
        <v>4345</v>
      </c>
      <c r="C529" s="16">
        <v>45208.2980787037</v>
      </c>
      <c r="D529" s="16"/>
      <c r="E529" s="32"/>
      <c r="F529" s="32"/>
      <c r="G529" s="32"/>
      <c r="H529" s="14"/>
      <c r="I529" s="14"/>
      <c r="J529" s="14"/>
      <c r="K529" s="18">
        <f>HYPERLINK("https://app.hubspot.com/contacts/8748051/record/0-2/17613116199", 17613116199)</f>
        <v>17613116199</v>
      </c>
      <c r="L529" s="14" t="s">
        <v>4346</v>
      </c>
      <c r="M529" s="18" t="s">
        <v>4347</v>
      </c>
      <c r="N529" s="24"/>
      <c r="O529" s="14"/>
      <c r="P529" s="14"/>
      <c r="Q529" s="14"/>
      <c r="R529" s="14"/>
      <c r="S529" s="24" t="str">
        <f t="shared" ref="S529:U529" si="533">IF(E529&lt;&gt;"","Yes","")</f>
        <v/>
      </c>
      <c r="T529" s="24" t="str">
        <f t="shared" si="533"/>
        <v/>
      </c>
      <c r="U529" s="24" t="str">
        <f t="shared" si="533"/>
        <v/>
      </c>
      <c r="V529" s="24" t="str">
        <f t="shared" si="3"/>
        <v/>
      </c>
      <c r="W529" s="14" t="str">
        <f t="shared" si="4"/>
        <v/>
      </c>
    </row>
    <row r="530" ht="14.25" customHeight="1">
      <c r="A530" s="18">
        <f>HYPERLINK("https://app.hubspot.com/contacts/8748051/record/0-1/2538551", 2538551)</f>
        <v>2538551</v>
      </c>
      <c r="B530" s="14" t="s">
        <v>4348</v>
      </c>
      <c r="C530" s="16">
        <v>45208.27549768519</v>
      </c>
      <c r="D530" s="14"/>
      <c r="E530" s="32"/>
      <c r="F530" s="32"/>
      <c r="G530" s="32"/>
      <c r="H530" s="14"/>
      <c r="I530" s="14"/>
      <c r="J530" s="14"/>
      <c r="K530" s="18">
        <f>HYPERLINK("https://app.hubspot.com/contacts/8748051/record/0-2/8587394835", 8587394835)</f>
        <v>8587394835</v>
      </c>
      <c r="L530" s="14" t="s">
        <v>2901</v>
      </c>
      <c r="M530" s="18" t="s">
        <v>2902</v>
      </c>
      <c r="N530" s="14"/>
      <c r="O530" s="14"/>
      <c r="P530" s="14"/>
      <c r="Q530" s="14"/>
      <c r="R530" s="14"/>
      <c r="S530" s="24" t="str">
        <f t="shared" ref="S530:U530" si="534">IF(E530&lt;&gt;"","Yes","")</f>
        <v/>
      </c>
      <c r="T530" s="24" t="str">
        <f t="shared" si="534"/>
        <v/>
      </c>
      <c r="U530" s="24" t="str">
        <f t="shared" si="534"/>
        <v/>
      </c>
      <c r="V530" s="24" t="str">
        <f t="shared" si="3"/>
        <v/>
      </c>
      <c r="W530" s="14" t="str">
        <f t="shared" si="4"/>
        <v/>
      </c>
    </row>
    <row r="531" ht="14.25" customHeight="1">
      <c r="A531" s="18">
        <f>HYPERLINK("https://app.hubspot.com/contacts/8748051/record/0-1/2954651", 2954651)</f>
        <v>2954651</v>
      </c>
      <c r="B531" s="14" t="s">
        <v>4349</v>
      </c>
      <c r="C531" s="16">
        <v>45205.36917824074</v>
      </c>
      <c r="D531" s="14"/>
      <c r="E531" s="32"/>
      <c r="F531" s="32"/>
      <c r="G531" s="32"/>
      <c r="H531" s="14"/>
      <c r="I531" s="14"/>
      <c r="J531" s="14"/>
      <c r="K531" s="18">
        <f>HYPERLINK("https://app.hubspot.com/contacts/8748051/record/0-2/17594944899", 17594944899)</f>
        <v>17594944899</v>
      </c>
      <c r="L531" s="14" t="s">
        <v>4350</v>
      </c>
      <c r="M531" s="18" t="s">
        <v>4351</v>
      </c>
      <c r="N531" s="14"/>
      <c r="O531" s="14"/>
      <c r="P531" s="14"/>
      <c r="Q531" s="14"/>
      <c r="R531" s="14"/>
      <c r="S531" s="24" t="str">
        <f t="shared" ref="S531:U531" si="535">IF(E531&lt;&gt;"","Yes","")</f>
        <v/>
      </c>
      <c r="T531" s="24" t="str">
        <f t="shared" si="535"/>
        <v/>
      </c>
      <c r="U531" s="24" t="str">
        <f t="shared" si="535"/>
        <v/>
      </c>
      <c r="V531" s="24" t="str">
        <f t="shared" si="3"/>
        <v/>
      </c>
      <c r="W531" s="14" t="str">
        <f t="shared" si="4"/>
        <v/>
      </c>
    </row>
    <row r="532" ht="14.25" customHeight="1">
      <c r="A532" s="18">
        <f>HYPERLINK("https://app.hubspot.com/contacts/8748051/record/0-1/2952951", 2952951)</f>
        <v>2952951</v>
      </c>
      <c r="B532" s="14" t="s">
        <v>4352</v>
      </c>
      <c r="C532" s="16">
        <v>45204.668229166666</v>
      </c>
      <c r="D532" s="16"/>
      <c r="E532" s="32"/>
      <c r="F532" s="32"/>
      <c r="G532" s="32"/>
      <c r="H532" s="14"/>
      <c r="I532" s="14"/>
      <c r="J532" s="14"/>
      <c r="K532" s="18">
        <f>HYPERLINK("https://app.hubspot.com/contacts/8748051/record/0-2/6262678349", 6262678349)</f>
        <v>6262678349</v>
      </c>
      <c r="L532" s="18" t="s">
        <v>3182</v>
      </c>
      <c r="M532" s="18" t="s">
        <v>3184</v>
      </c>
      <c r="N532" s="14"/>
      <c r="O532" s="14"/>
      <c r="P532" s="14"/>
      <c r="Q532" s="14"/>
      <c r="R532" s="14"/>
      <c r="S532" s="24" t="str">
        <f t="shared" ref="S532:U532" si="536">IF(E532&lt;&gt;"","Yes","")</f>
        <v/>
      </c>
      <c r="T532" s="24" t="str">
        <f t="shared" si="536"/>
        <v/>
      </c>
      <c r="U532" s="24" t="str">
        <f t="shared" si="536"/>
        <v/>
      </c>
      <c r="V532" s="24" t="str">
        <f t="shared" si="3"/>
        <v/>
      </c>
      <c r="W532" s="14" t="str">
        <f t="shared" si="4"/>
        <v/>
      </c>
    </row>
    <row r="533" ht="14.25" customHeight="1">
      <c r="A533" s="18">
        <f>HYPERLINK("https://app.hubspot.com/contacts/8748051/record/0-1/2940751", 2940751)</f>
        <v>2940751</v>
      </c>
      <c r="B533" s="14" t="s">
        <v>4353</v>
      </c>
      <c r="C533" s="16">
        <v>45202.27297453704</v>
      </c>
      <c r="D533" s="14"/>
      <c r="E533" s="32"/>
      <c r="F533" s="32"/>
      <c r="G533" s="32"/>
      <c r="H533" s="14"/>
      <c r="I533" s="14"/>
      <c r="J533" s="14"/>
      <c r="K533" s="18">
        <f>HYPERLINK("https://app.hubspot.com/contacts/8748051/record/0-2/9821150312", 9821150312)</f>
        <v>9821150312</v>
      </c>
      <c r="L533" s="14" t="s">
        <v>4354</v>
      </c>
      <c r="M533" s="18" t="s">
        <v>4355</v>
      </c>
      <c r="N533" s="14"/>
      <c r="O533" s="14"/>
      <c r="P533" s="14"/>
      <c r="Q533" s="14"/>
      <c r="R533" s="14"/>
      <c r="S533" s="24" t="str">
        <f t="shared" ref="S533:U533" si="537">IF(E533&lt;&gt;"","Yes","")</f>
        <v/>
      </c>
      <c r="T533" s="24" t="str">
        <f t="shared" si="537"/>
        <v/>
      </c>
      <c r="U533" s="24" t="str">
        <f t="shared" si="537"/>
        <v/>
      </c>
      <c r="V533" s="24" t="str">
        <f t="shared" si="3"/>
        <v/>
      </c>
      <c r="W533" s="14" t="str">
        <f t="shared" si="4"/>
        <v/>
      </c>
    </row>
    <row r="534" ht="14.25" customHeight="1">
      <c r="A534" s="18">
        <f>HYPERLINK("https://app.hubspot.com/contacts/8748051/record/0-1/2915801", 2915801)</f>
        <v>2915801</v>
      </c>
      <c r="B534" s="14" t="s">
        <v>4356</v>
      </c>
      <c r="C534" s="16">
        <v>45195.339375</v>
      </c>
      <c r="D534" s="14"/>
      <c r="E534" s="32"/>
      <c r="F534" s="32"/>
      <c r="G534" s="32"/>
      <c r="H534" s="14"/>
      <c r="I534" s="14"/>
      <c r="J534" s="14"/>
      <c r="K534" s="18">
        <f>HYPERLINK("https://app.hubspot.com/contacts/8748051/record/0-2/8946917146", 8946917146)</f>
        <v>8946917146</v>
      </c>
      <c r="L534" s="14" t="s">
        <v>1588</v>
      </c>
      <c r="M534" s="18" t="s">
        <v>1589</v>
      </c>
      <c r="N534" s="24"/>
      <c r="O534" s="14"/>
      <c r="P534" s="14"/>
      <c r="Q534" s="14"/>
      <c r="R534" s="14"/>
      <c r="S534" s="24" t="str">
        <f t="shared" ref="S534:U534" si="538">IF(E534&lt;&gt;"","Yes","")</f>
        <v/>
      </c>
      <c r="T534" s="24" t="str">
        <f t="shared" si="538"/>
        <v/>
      </c>
      <c r="U534" s="24" t="str">
        <f t="shared" si="538"/>
        <v/>
      </c>
      <c r="V534" s="24" t="str">
        <f t="shared" si="3"/>
        <v/>
      </c>
      <c r="W534" s="14" t="str">
        <f t="shared" si="4"/>
        <v/>
      </c>
    </row>
    <row r="535" ht="14.25" customHeight="1">
      <c r="A535" s="18">
        <f>HYPERLINK("https://app.hubspot.com/contacts/8748051/record/0-1/2880551", 2880551)</f>
        <v>2880551</v>
      </c>
      <c r="B535" s="14" t="s">
        <v>4357</v>
      </c>
      <c r="C535" s="16">
        <v>45195.228159722225</v>
      </c>
      <c r="D535" s="16"/>
      <c r="E535" s="32"/>
      <c r="F535" s="32"/>
      <c r="G535" s="32"/>
      <c r="H535" s="14"/>
      <c r="I535" s="14"/>
      <c r="J535" s="14"/>
      <c r="K535" s="18">
        <f>HYPERLINK("https://app.hubspot.com/contacts/8748051/record/0-2/9069618615", 9069618615)</f>
        <v>9069618615</v>
      </c>
      <c r="L535" s="14" t="s">
        <v>4185</v>
      </c>
      <c r="M535" s="18" t="s">
        <v>4186</v>
      </c>
      <c r="N535" s="14"/>
      <c r="O535" s="14"/>
      <c r="P535" s="14"/>
      <c r="Q535" s="14"/>
      <c r="R535" s="14"/>
      <c r="S535" s="24" t="str">
        <f t="shared" ref="S535:U535" si="539">IF(E535&lt;&gt;"","Yes","")</f>
        <v/>
      </c>
      <c r="T535" s="24" t="str">
        <f t="shared" si="539"/>
        <v/>
      </c>
      <c r="U535" s="24" t="str">
        <f t="shared" si="539"/>
        <v/>
      </c>
      <c r="V535" s="24" t="str">
        <f t="shared" si="3"/>
        <v/>
      </c>
      <c r="W535" s="14" t="str">
        <f t="shared" si="4"/>
        <v/>
      </c>
    </row>
    <row r="536" ht="14.25" customHeight="1">
      <c r="A536" s="18">
        <f>HYPERLINK("https://app.hubspot.com/contacts/8748051/record/0-1/2892301", 2892301)</f>
        <v>2892301</v>
      </c>
      <c r="B536" s="14" t="s">
        <v>4358</v>
      </c>
      <c r="C536" s="16">
        <v>45189.64847222222</v>
      </c>
      <c r="D536" s="16"/>
      <c r="E536" s="32"/>
      <c r="F536" s="32"/>
      <c r="G536" s="32"/>
      <c r="H536" s="14"/>
      <c r="I536" s="14"/>
      <c r="J536" s="24"/>
      <c r="K536" s="18">
        <f>HYPERLINK("https://app.hubspot.com/contacts/8748051/record/0-2/17397231899", 17397231899)</f>
        <v>17397231899</v>
      </c>
      <c r="L536" s="14" t="s">
        <v>4359</v>
      </c>
      <c r="M536" s="18" t="s">
        <v>4360</v>
      </c>
      <c r="N536" s="14"/>
      <c r="O536" s="14"/>
      <c r="P536" s="14"/>
      <c r="Q536" s="14"/>
      <c r="R536" s="14"/>
      <c r="S536" s="24" t="str">
        <f t="shared" ref="S536:U536" si="540">IF(E536&lt;&gt;"","Yes","")</f>
        <v/>
      </c>
      <c r="T536" s="24" t="str">
        <f t="shared" si="540"/>
        <v/>
      </c>
      <c r="U536" s="24" t="str">
        <f t="shared" si="540"/>
        <v/>
      </c>
      <c r="V536" s="24" t="str">
        <f t="shared" si="3"/>
        <v/>
      </c>
      <c r="W536" s="14" t="str">
        <f t="shared" si="4"/>
        <v/>
      </c>
    </row>
    <row r="537" ht="14.25" customHeight="1">
      <c r="A537" s="18">
        <f>HYPERLINK("https://app.hubspot.com/contacts/8748051/record/0-1/2890451", 2890451)</f>
        <v>2890451</v>
      </c>
      <c r="B537" s="14" t="s">
        <v>4361</v>
      </c>
      <c r="C537" s="16">
        <v>45189.23819444444</v>
      </c>
      <c r="D537" s="16"/>
      <c r="E537" s="32"/>
      <c r="F537" s="32"/>
      <c r="G537" s="32"/>
      <c r="H537" s="14"/>
      <c r="I537" s="14"/>
      <c r="J537" s="14"/>
      <c r="K537" s="18">
        <f>HYPERLINK("https://app.hubspot.com/contacts/8748051/record/0-2/17391111028", 17391111028)</f>
        <v>17391111028</v>
      </c>
      <c r="L537" s="14" t="s">
        <v>4362</v>
      </c>
      <c r="M537" s="18" t="s">
        <v>4363</v>
      </c>
      <c r="N537" s="14"/>
      <c r="O537" s="14"/>
      <c r="P537" s="14"/>
      <c r="Q537" s="14"/>
      <c r="R537" s="14"/>
      <c r="S537" s="24" t="str">
        <f t="shared" ref="S537:U537" si="541">IF(E537&lt;&gt;"","Yes","")</f>
        <v/>
      </c>
      <c r="T537" s="24" t="str">
        <f t="shared" si="541"/>
        <v/>
      </c>
      <c r="U537" s="24" t="str">
        <f t="shared" si="541"/>
        <v/>
      </c>
      <c r="V537" s="24" t="str">
        <f t="shared" si="3"/>
        <v/>
      </c>
      <c r="W537" s="14" t="str">
        <f t="shared" si="4"/>
        <v/>
      </c>
    </row>
    <row r="538" ht="14.25" customHeight="1">
      <c r="A538" s="18">
        <f>HYPERLINK("https://app.hubspot.com/contacts/8748051/record/0-1/2843801", 2843801)</f>
        <v>2843801</v>
      </c>
      <c r="B538" s="14" t="s">
        <v>4364</v>
      </c>
      <c r="C538" s="16">
        <v>45177.47553240741</v>
      </c>
      <c r="D538" s="14"/>
      <c r="E538" s="32"/>
      <c r="F538" s="32"/>
      <c r="G538" s="32"/>
      <c r="H538" s="14"/>
      <c r="I538" s="14"/>
      <c r="J538" s="24"/>
      <c r="K538" s="18">
        <f>HYPERLINK("https://app.hubspot.com/contacts/8748051/record/0-2/17267716867", 17267716867)</f>
        <v>17267716867</v>
      </c>
      <c r="L538" s="14" t="s">
        <v>458</v>
      </c>
      <c r="M538" s="18" t="s">
        <v>459</v>
      </c>
      <c r="N538" s="24"/>
      <c r="O538" s="14"/>
      <c r="P538" s="14"/>
      <c r="Q538" s="14"/>
      <c r="R538" s="14"/>
      <c r="S538" s="24" t="str">
        <f t="shared" ref="S538:U538" si="542">IF(E538&lt;&gt;"","Yes","")</f>
        <v/>
      </c>
      <c r="T538" s="24" t="str">
        <f t="shared" si="542"/>
        <v/>
      </c>
      <c r="U538" s="24" t="str">
        <f t="shared" si="542"/>
        <v/>
      </c>
      <c r="V538" s="24" t="str">
        <f t="shared" si="3"/>
        <v/>
      </c>
      <c r="W538" s="14" t="str">
        <f t="shared" si="4"/>
        <v/>
      </c>
    </row>
    <row r="539" ht="14.25" customHeight="1">
      <c r="A539" s="18">
        <f>HYPERLINK("https://app.hubspot.com/contacts/8748051/record/0-1/799851", 799851)</f>
        <v>799851</v>
      </c>
      <c r="B539" s="14" t="s">
        <v>4365</v>
      </c>
      <c r="C539" s="16">
        <v>45175.497511574074</v>
      </c>
      <c r="D539" s="16"/>
      <c r="E539" s="32"/>
      <c r="F539" s="32"/>
      <c r="G539" s="32"/>
      <c r="H539" s="14"/>
      <c r="I539" s="14"/>
      <c r="J539" s="14"/>
      <c r="K539" s="18">
        <f>HYPERLINK("https://app.hubspot.com/contacts/8748051/record/0-2/7655826979", 7655826979)</f>
        <v>7655826979</v>
      </c>
      <c r="L539" s="14" t="s">
        <v>2555</v>
      </c>
      <c r="M539" s="18" t="s">
        <v>2556</v>
      </c>
      <c r="N539" s="18">
        <f>HYPERLINK("https://app.hubspot.com/contacts/8748051/record/0-3/15052276821", 15052276821)</f>
        <v>15052276821</v>
      </c>
      <c r="O539" s="14" t="s">
        <v>2554</v>
      </c>
      <c r="P539" s="14" t="s">
        <v>124</v>
      </c>
      <c r="Q539" s="14">
        <v>10000.0</v>
      </c>
      <c r="R539" s="14" t="b">
        <v>1</v>
      </c>
      <c r="S539" s="24" t="str">
        <f t="shared" ref="S539:U539" si="543">IF(E539&lt;&gt;"","Yes","")</f>
        <v/>
      </c>
      <c r="T539" s="24" t="str">
        <f t="shared" si="543"/>
        <v/>
      </c>
      <c r="U539" s="24" t="str">
        <f t="shared" si="543"/>
        <v/>
      </c>
      <c r="V539" s="24" t="str">
        <f t="shared" si="3"/>
        <v/>
      </c>
      <c r="W539" s="14" t="str">
        <f t="shared" si="4"/>
        <v/>
      </c>
    </row>
    <row r="540" ht="14.25" customHeight="1">
      <c r="A540" s="18">
        <f>HYPERLINK("https://app.hubspot.com/contacts/8748051/record/0-1/2821051", 2821051)</f>
        <v>2821051</v>
      </c>
      <c r="B540" s="14" t="s">
        <v>4366</v>
      </c>
      <c r="C540" s="16">
        <v>45174.221087962964</v>
      </c>
      <c r="D540" s="14"/>
      <c r="E540" s="32"/>
      <c r="F540" s="32"/>
      <c r="G540" s="32"/>
      <c r="H540" s="14"/>
      <c r="I540" s="14"/>
      <c r="J540" s="14"/>
      <c r="K540" s="18">
        <f>HYPERLINK("https://app.hubspot.com/contacts/8748051/record/0-2/6936374888", 6936374888)</f>
        <v>6936374888</v>
      </c>
      <c r="L540" s="14" t="s">
        <v>1846</v>
      </c>
      <c r="M540" s="18" t="s">
        <v>1847</v>
      </c>
      <c r="N540" s="14"/>
      <c r="O540" s="14"/>
      <c r="P540" s="14"/>
      <c r="Q540" s="14"/>
      <c r="R540" s="14"/>
      <c r="S540" s="24" t="str">
        <f t="shared" ref="S540:U540" si="544">IF(E540&lt;&gt;"","Yes","")</f>
        <v/>
      </c>
      <c r="T540" s="24" t="str">
        <f t="shared" si="544"/>
        <v/>
      </c>
      <c r="U540" s="24" t="str">
        <f t="shared" si="544"/>
        <v/>
      </c>
      <c r="V540" s="24" t="str">
        <f t="shared" si="3"/>
        <v/>
      </c>
      <c r="W540" s="14" t="str">
        <f t="shared" si="4"/>
        <v/>
      </c>
    </row>
    <row r="541" ht="14.25" customHeight="1">
      <c r="A541" s="18">
        <f>HYPERLINK("https://app.hubspot.com/contacts/8748051/record/0-1/2789951", 2789951)</f>
        <v>2789951</v>
      </c>
      <c r="B541" s="14" t="s">
        <v>4367</v>
      </c>
      <c r="C541" s="16">
        <v>45166.088784722226</v>
      </c>
      <c r="D541" s="14"/>
      <c r="E541" s="32"/>
      <c r="F541" s="32"/>
      <c r="G541" s="32"/>
      <c r="H541" s="14"/>
      <c r="I541" s="14"/>
      <c r="J541" s="14"/>
      <c r="K541" s="18">
        <f>HYPERLINK("https://app.hubspot.com/contacts/8748051/record/0-2/17130874433", 17130874433)</f>
        <v>17130874433</v>
      </c>
      <c r="L541" s="14" t="s">
        <v>4368</v>
      </c>
      <c r="M541" s="18" t="s">
        <v>4369</v>
      </c>
      <c r="N541" s="14"/>
      <c r="O541" s="14"/>
      <c r="P541" s="14"/>
      <c r="Q541" s="14"/>
      <c r="R541" s="14"/>
      <c r="S541" s="24" t="str">
        <f t="shared" ref="S541:U541" si="545">IF(E541&lt;&gt;"","Yes","")</f>
        <v/>
      </c>
      <c r="T541" s="24" t="str">
        <f t="shared" si="545"/>
        <v/>
      </c>
      <c r="U541" s="24" t="str">
        <f t="shared" si="545"/>
        <v/>
      </c>
      <c r="V541" s="24" t="str">
        <f t="shared" si="3"/>
        <v/>
      </c>
      <c r="W541" s="14" t="str">
        <f t="shared" si="4"/>
        <v/>
      </c>
    </row>
    <row r="542" ht="14.25" customHeight="1">
      <c r="A542" s="18">
        <f>HYPERLINK("https://app.hubspot.com/contacts/8748051/record/0-1/2780951", 2780951)</f>
        <v>2780951</v>
      </c>
      <c r="B542" s="14" t="s">
        <v>4370</v>
      </c>
      <c r="C542" s="16">
        <v>45162.34761574074</v>
      </c>
      <c r="D542" s="14"/>
      <c r="E542" s="32"/>
      <c r="F542" s="32"/>
      <c r="G542" s="32"/>
      <c r="H542" s="14"/>
      <c r="I542" s="14"/>
      <c r="J542" s="14"/>
      <c r="K542" s="18">
        <f>HYPERLINK("https://app.hubspot.com/contacts/8748051/record/0-2/17086489227", 17086489227)</f>
        <v>17086489227</v>
      </c>
      <c r="L542" s="14" t="s">
        <v>4371</v>
      </c>
      <c r="M542" s="18" t="s">
        <v>4372</v>
      </c>
      <c r="N542" s="14"/>
      <c r="O542" s="14"/>
      <c r="P542" s="14"/>
      <c r="Q542" s="14"/>
      <c r="R542" s="14"/>
      <c r="S542" s="24" t="str">
        <f t="shared" ref="S542:U542" si="546">IF(E542&lt;&gt;"","Yes","")</f>
        <v/>
      </c>
      <c r="T542" s="24" t="str">
        <f t="shared" si="546"/>
        <v/>
      </c>
      <c r="U542" s="24" t="str">
        <f t="shared" si="546"/>
        <v/>
      </c>
      <c r="V542" s="24" t="str">
        <f t="shared" si="3"/>
        <v/>
      </c>
      <c r="W542" s="14" t="str">
        <f t="shared" si="4"/>
        <v/>
      </c>
    </row>
    <row r="543" ht="14.25" customHeight="1">
      <c r="A543" s="18">
        <f>HYPERLINK("https://app.hubspot.com/contacts/8748051/record/0-1/2758351", 2758351)</f>
        <v>2758351</v>
      </c>
      <c r="B543" s="14" t="s">
        <v>4373</v>
      </c>
      <c r="C543" s="16">
        <v>45157.71828703704</v>
      </c>
      <c r="D543" s="14"/>
      <c r="E543" s="32"/>
      <c r="F543" s="32"/>
      <c r="G543" s="32"/>
      <c r="H543" s="14"/>
      <c r="I543" s="14"/>
      <c r="J543" s="14"/>
      <c r="K543" s="18">
        <f>HYPERLINK("https://app.hubspot.com/contacts/8748051/record/0-2/17026206243", 17026206243)</f>
        <v>17026206243</v>
      </c>
      <c r="L543" s="14" t="s">
        <v>2567</v>
      </c>
      <c r="M543" s="18" t="s">
        <v>2568</v>
      </c>
      <c r="N543" s="18">
        <f>HYPERLINK("https://app.hubspot.com/contacts/8748051/record/0-3/14761904493", 14761904493)</f>
        <v>14761904493</v>
      </c>
      <c r="O543" s="14" t="s">
        <v>2565</v>
      </c>
      <c r="P543" s="14" t="s">
        <v>146</v>
      </c>
      <c r="Q543" s="14">
        <v>50000.0</v>
      </c>
      <c r="R543" s="14"/>
      <c r="S543" s="24" t="str">
        <f t="shared" ref="S543:U543" si="547">IF(E543&lt;&gt;"","Yes","")</f>
        <v/>
      </c>
      <c r="T543" s="24" t="str">
        <f t="shared" si="547"/>
        <v/>
      </c>
      <c r="U543" s="24" t="str">
        <f t="shared" si="547"/>
        <v/>
      </c>
      <c r="V543" s="24" t="str">
        <f t="shared" si="3"/>
        <v/>
      </c>
      <c r="W543" s="14" t="str">
        <f t="shared" si="4"/>
        <v>Yes</v>
      </c>
    </row>
    <row r="544" ht="14.25" customHeight="1">
      <c r="A544" s="18">
        <f>HYPERLINK("https://app.hubspot.com/contacts/8748051/record/0-1/477013", 477013)</f>
        <v>477013</v>
      </c>
      <c r="B544" s="14" t="s">
        <v>4374</v>
      </c>
      <c r="C544" s="16">
        <v>45154.678460648145</v>
      </c>
      <c r="D544" s="14"/>
      <c r="E544" s="32"/>
      <c r="F544" s="32"/>
      <c r="G544" s="32"/>
      <c r="H544" s="14"/>
      <c r="I544" s="14"/>
      <c r="J544" s="14"/>
      <c r="K544" s="18">
        <f>HYPERLINK("https://app.hubspot.com/contacts/8748051/record/0-2/8923343709", 8923343709)</f>
        <v>8923343709</v>
      </c>
      <c r="L544" s="14" t="s">
        <v>4375</v>
      </c>
      <c r="M544" s="18" t="s">
        <v>4376</v>
      </c>
      <c r="N544" s="14"/>
      <c r="O544" s="14"/>
      <c r="P544" s="14"/>
      <c r="Q544" s="14"/>
      <c r="R544" s="14"/>
      <c r="S544" s="24" t="str">
        <f t="shared" ref="S544:U544" si="548">IF(E544&lt;&gt;"","Yes","")</f>
        <v/>
      </c>
      <c r="T544" s="24" t="str">
        <f t="shared" si="548"/>
        <v/>
      </c>
      <c r="U544" s="24" t="str">
        <f t="shared" si="548"/>
        <v/>
      </c>
      <c r="V544" s="24" t="str">
        <f t="shared" si="3"/>
        <v/>
      </c>
      <c r="W544" s="14" t="str">
        <f t="shared" si="4"/>
        <v/>
      </c>
    </row>
    <row r="545" ht="14.25" customHeight="1">
      <c r="A545" s="18">
        <f>HYPERLINK("https://app.hubspot.com/contacts/8748051/record/0-1/2742201", 2742201)</f>
        <v>2742201</v>
      </c>
      <c r="B545" s="14" t="s">
        <v>4377</v>
      </c>
      <c r="C545" s="16">
        <v>45154.326261574075</v>
      </c>
      <c r="D545" s="16"/>
      <c r="E545" s="32"/>
      <c r="F545" s="32"/>
      <c r="G545" s="32"/>
      <c r="H545" s="14"/>
      <c r="I545" s="14"/>
      <c r="J545" s="14"/>
      <c r="K545" s="18">
        <f>HYPERLINK("https://app.hubspot.com/contacts/8748051/record/0-2/16978525470", 16978525470)</f>
        <v>16978525470</v>
      </c>
      <c r="L545" s="14" t="s">
        <v>2570</v>
      </c>
      <c r="M545" s="18" t="s">
        <v>2571</v>
      </c>
      <c r="N545" s="18">
        <f>HYPERLINK("https://app.hubspot.com/contacts/8748051/record/0-3/14757689212", 14757689212)</f>
        <v>14757689212</v>
      </c>
      <c r="O545" s="14" t="s">
        <v>2569</v>
      </c>
      <c r="P545" s="14" t="s">
        <v>124</v>
      </c>
      <c r="Q545" s="14">
        <v>5000.0</v>
      </c>
      <c r="R545" s="14" t="b">
        <v>1</v>
      </c>
      <c r="S545" s="24" t="str">
        <f t="shared" ref="S545:U545" si="549">IF(E545&lt;&gt;"","Yes","")</f>
        <v/>
      </c>
      <c r="T545" s="24" t="str">
        <f t="shared" si="549"/>
        <v/>
      </c>
      <c r="U545" s="24" t="str">
        <f t="shared" si="549"/>
        <v/>
      </c>
      <c r="V545" s="24" t="str">
        <f t="shared" si="3"/>
        <v/>
      </c>
      <c r="W545" s="14" t="str">
        <f t="shared" si="4"/>
        <v/>
      </c>
    </row>
    <row r="546" ht="14.25" customHeight="1">
      <c r="A546" s="18">
        <f>HYPERLINK("https://app.hubspot.com/contacts/8748051/record/0-1/2742001", 2742001)</f>
        <v>2742001</v>
      </c>
      <c r="B546" s="14" t="s">
        <v>4378</v>
      </c>
      <c r="C546" s="16">
        <v>45154.28973379629</v>
      </c>
      <c r="D546" s="16"/>
      <c r="E546" s="32"/>
      <c r="F546" s="32"/>
      <c r="G546" s="32"/>
      <c r="H546" s="14"/>
      <c r="I546" s="14"/>
      <c r="J546" s="14"/>
      <c r="K546" s="18">
        <f>HYPERLINK("https://app.hubspot.com/contacts/8748051/record/0-2/16978975556", 16978975556)</f>
        <v>16978975556</v>
      </c>
      <c r="L546" s="14" t="s">
        <v>4379</v>
      </c>
      <c r="M546" s="18" t="s">
        <v>4380</v>
      </c>
      <c r="N546" s="14"/>
      <c r="O546" s="14"/>
      <c r="P546" s="14"/>
      <c r="Q546" s="14"/>
      <c r="R546" s="14"/>
      <c r="S546" s="24" t="str">
        <f t="shared" ref="S546:U546" si="550">IF(E546&lt;&gt;"","Yes","")</f>
        <v/>
      </c>
      <c r="T546" s="24" t="str">
        <f t="shared" si="550"/>
        <v/>
      </c>
      <c r="U546" s="24" t="str">
        <f t="shared" si="550"/>
        <v/>
      </c>
      <c r="V546" s="24" t="str">
        <f t="shared" si="3"/>
        <v/>
      </c>
      <c r="W546" s="14" t="str">
        <f t="shared" si="4"/>
        <v/>
      </c>
    </row>
    <row r="547" ht="14.25" customHeight="1">
      <c r="A547" s="18">
        <f>HYPERLINK("https://app.hubspot.com/contacts/8748051/record/0-1/2730501", 2730501)</f>
        <v>2730501</v>
      </c>
      <c r="B547" s="14" t="s">
        <v>4381</v>
      </c>
      <c r="C547" s="16">
        <v>45152.165671296294</v>
      </c>
      <c r="D547" s="16"/>
      <c r="E547" s="32"/>
      <c r="F547" s="32"/>
      <c r="G547" s="32"/>
      <c r="H547" s="14"/>
      <c r="I547" s="14"/>
      <c r="J547" s="14"/>
      <c r="K547" s="18">
        <f>HYPERLINK("https://app.hubspot.com/contacts/8748051/record/0-2/16943354018", 16943354018)</f>
        <v>16943354018</v>
      </c>
      <c r="L547" s="14" t="s">
        <v>4382</v>
      </c>
      <c r="M547" s="18" t="s">
        <v>4383</v>
      </c>
      <c r="N547" s="14"/>
      <c r="O547" s="14"/>
      <c r="P547" s="14"/>
      <c r="Q547" s="14"/>
      <c r="R547" s="14"/>
      <c r="S547" s="24" t="str">
        <f t="shared" ref="S547:U547" si="551">IF(E547&lt;&gt;"","Yes","")</f>
        <v/>
      </c>
      <c r="T547" s="24" t="str">
        <f t="shared" si="551"/>
        <v/>
      </c>
      <c r="U547" s="24" t="str">
        <f t="shared" si="551"/>
        <v/>
      </c>
      <c r="V547" s="24" t="str">
        <f t="shared" si="3"/>
        <v/>
      </c>
      <c r="W547" s="14" t="str">
        <f t="shared" si="4"/>
        <v/>
      </c>
    </row>
    <row r="548" ht="14.25" customHeight="1">
      <c r="A548" s="18">
        <f>HYPERLINK("https://app.hubspot.com/contacts/8748051/record/0-1/2728051", 2728051)</f>
        <v>2728051</v>
      </c>
      <c r="B548" s="14" t="s">
        <v>4384</v>
      </c>
      <c r="C548" s="16">
        <v>45149.43832175926</v>
      </c>
      <c r="D548" s="16"/>
      <c r="E548" s="32"/>
      <c r="F548" s="32"/>
      <c r="G548" s="32"/>
      <c r="H548" s="14"/>
      <c r="I548" s="14"/>
      <c r="J548" s="14"/>
      <c r="K548" s="18">
        <f>HYPERLINK("https://app.hubspot.com/contacts/8748051/record/0-2/16922027368", 16922027368)</f>
        <v>16922027368</v>
      </c>
      <c r="L548" s="14" t="s">
        <v>4385</v>
      </c>
      <c r="M548" s="18" t="s">
        <v>4386</v>
      </c>
      <c r="N548" s="14"/>
      <c r="O548" s="14"/>
      <c r="P548" s="14"/>
      <c r="Q548" s="14"/>
      <c r="R548" s="14"/>
      <c r="S548" s="24" t="str">
        <f t="shared" ref="S548:U548" si="552">IF(E548&lt;&gt;"","Yes","")</f>
        <v/>
      </c>
      <c r="T548" s="24" t="str">
        <f t="shared" si="552"/>
        <v/>
      </c>
      <c r="U548" s="24" t="str">
        <f t="shared" si="552"/>
        <v/>
      </c>
      <c r="V548" s="24" t="str">
        <f t="shared" si="3"/>
        <v/>
      </c>
      <c r="W548" s="14" t="str">
        <f t="shared" si="4"/>
        <v/>
      </c>
    </row>
    <row r="549" ht="14.25" customHeight="1">
      <c r="A549" s="18">
        <f>HYPERLINK("https://app.hubspot.com/contacts/8748051/record/0-1/2727251", 2727251)</f>
        <v>2727251</v>
      </c>
      <c r="B549" s="14" t="s">
        <v>4387</v>
      </c>
      <c r="C549" s="16">
        <v>45148.61597222222</v>
      </c>
      <c r="D549" s="14"/>
      <c r="E549" s="32"/>
      <c r="F549" s="32"/>
      <c r="G549" s="32"/>
      <c r="H549" s="14"/>
      <c r="I549" s="14"/>
      <c r="J549" s="14"/>
      <c r="K549" s="18">
        <f>HYPERLINK("https://app.hubspot.com/contacts/8748051/record/0-2/14811014933", 14811014933)</f>
        <v>14811014933</v>
      </c>
      <c r="L549" s="14" t="s">
        <v>4388</v>
      </c>
      <c r="M549" s="18" t="s">
        <v>4389</v>
      </c>
      <c r="N549" s="14"/>
      <c r="O549" s="14"/>
      <c r="P549" s="14"/>
      <c r="Q549" s="14"/>
      <c r="R549" s="14"/>
      <c r="S549" s="24" t="str">
        <f t="shared" ref="S549:U549" si="553">IF(E549&lt;&gt;"","Yes","")</f>
        <v/>
      </c>
      <c r="T549" s="24" t="str">
        <f t="shared" si="553"/>
        <v/>
      </c>
      <c r="U549" s="24" t="str">
        <f t="shared" si="553"/>
        <v/>
      </c>
      <c r="V549" s="24" t="str">
        <f t="shared" si="3"/>
        <v/>
      </c>
      <c r="W549" s="14" t="str">
        <f t="shared" si="4"/>
        <v/>
      </c>
    </row>
    <row r="550" ht="14.25" customHeight="1">
      <c r="A550" s="18">
        <f>HYPERLINK("https://app.hubspot.com/contacts/8748051/record/0-1/2708951", 2708951)</f>
        <v>2708951</v>
      </c>
      <c r="B550" s="14" t="s">
        <v>4390</v>
      </c>
      <c r="C550" s="16">
        <v>45146.13994212963</v>
      </c>
      <c r="D550" s="14"/>
      <c r="E550" s="32"/>
      <c r="F550" s="32"/>
      <c r="G550" s="32"/>
      <c r="H550" s="14"/>
      <c r="I550" s="14"/>
      <c r="J550" s="14"/>
      <c r="K550" s="18">
        <f>HYPERLINK("https://app.hubspot.com/contacts/8748051/record/0-2/8323876145", 8323876145)</f>
        <v>8323876145</v>
      </c>
      <c r="L550" s="14" t="s">
        <v>391</v>
      </c>
      <c r="M550" s="18" t="s">
        <v>392</v>
      </c>
      <c r="N550" s="14"/>
      <c r="O550" s="14"/>
      <c r="P550" s="14"/>
      <c r="Q550" s="14"/>
      <c r="R550" s="14"/>
      <c r="S550" s="24" t="str">
        <f t="shared" ref="S550:U550" si="554">IF(E550&lt;&gt;"","Yes","")</f>
        <v/>
      </c>
      <c r="T550" s="24" t="str">
        <f t="shared" si="554"/>
        <v/>
      </c>
      <c r="U550" s="24" t="str">
        <f t="shared" si="554"/>
        <v/>
      </c>
      <c r="V550" s="24" t="str">
        <f t="shared" si="3"/>
        <v/>
      </c>
      <c r="W550" s="14" t="str">
        <f t="shared" si="4"/>
        <v/>
      </c>
    </row>
    <row r="551" ht="14.25" customHeight="1">
      <c r="A551" s="18">
        <f>HYPERLINK("https://app.hubspot.com/contacts/8748051/record/0-1/2648501", 2648501)</f>
        <v>2648501</v>
      </c>
      <c r="B551" s="14" t="s">
        <v>4391</v>
      </c>
      <c r="C551" s="16">
        <v>45145.10150462963</v>
      </c>
      <c r="D551" s="16"/>
      <c r="E551" s="32"/>
      <c r="F551" s="32"/>
      <c r="G551" s="32"/>
      <c r="H551" s="14"/>
      <c r="I551" s="14"/>
      <c r="J551" s="14"/>
      <c r="K551" s="18">
        <f>HYPERLINK("https://app.hubspot.com/contacts/8748051/record/0-2/16865372300", 16865372300)</f>
        <v>16865372300</v>
      </c>
      <c r="L551" s="18" t="s">
        <v>4392</v>
      </c>
      <c r="M551" s="18" t="s">
        <v>4392</v>
      </c>
      <c r="N551" s="24"/>
      <c r="O551" s="14"/>
      <c r="P551" s="14"/>
      <c r="Q551" s="14"/>
      <c r="R551" s="14"/>
      <c r="S551" s="24" t="str">
        <f t="shared" ref="S551:U551" si="555">IF(E551&lt;&gt;"","Yes","")</f>
        <v/>
      </c>
      <c r="T551" s="24" t="str">
        <f t="shared" si="555"/>
        <v/>
      </c>
      <c r="U551" s="24" t="str">
        <f t="shared" si="555"/>
        <v/>
      </c>
      <c r="V551" s="24" t="str">
        <f t="shared" si="3"/>
        <v/>
      </c>
      <c r="W551" s="14" t="str">
        <f t="shared" si="4"/>
        <v/>
      </c>
    </row>
    <row r="552" ht="14.25" customHeight="1">
      <c r="A552" s="18">
        <f>HYPERLINK("https://app.hubspot.com/contacts/8748051/record/0-1/2314401", 2314401)</f>
        <v>2314401</v>
      </c>
      <c r="B552" s="14" t="s">
        <v>4393</v>
      </c>
      <c r="C552" s="16">
        <v>45139.155856481484</v>
      </c>
      <c r="D552" s="14"/>
      <c r="E552" s="32"/>
      <c r="F552" s="32"/>
      <c r="G552" s="32"/>
      <c r="H552" s="14"/>
      <c r="I552" s="14"/>
      <c r="J552" s="14"/>
      <c r="K552" s="18">
        <f>HYPERLINK("https://app.hubspot.com/contacts/8748051/record/0-2/15683066148", 15683066148)</f>
        <v>15683066148</v>
      </c>
      <c r="L552" s="14" t="s">
        <v>4394</v>
      </c>
      <c r="M552" s="18" t="s">
        <v>4395</v>
      </c>
      <c r="N552" s="24"/>
      <c r="O552" s="14"/>
      <c r="P552" s="14"/>
      <c r="Q552" s="14"/>
      <c r="R552" s="14"/>
      <c r="S552" s="24" t="str">
        <f t="shared" ref="S552:U552" si="556">IF(E552&lt;&gt;"","Yes","")</f>
        <v/>
      </c>
      <c r="T552" s="24" t="str">
        <f t="shared" si="556"/>
        <v/>
      </c>
      <c r="U552" s="24" t="str">
        <f t="shared" si="556"/>
        <v/>
      </c>
      <c r="V552" s="24" t="str">
        <f t="shared" si="3"/>
        <v/>
      </c>
      <c r="W552" s="14" t="str">
        <f t="shared" si="4"/>
        <v/>
      </c>
    </row>
    <row r="553" ht="14.25" customHeight="1">
      <c r="A553" s="18">
        <f>HYPERLINK("https://app.hubspot.com/contacts/8748051/record/0-1/2687951", 2687951)</f>
        <v>2687951</v>
      </c>
      <c r="B553" s="14" t="s">
        <v>4396</v>
      </c>
      <c r="C553" s="16">
        <v>45139.07633101852</v>
      </c>
      <c r="D553" s="16"/>
      <c r="E553" s="32"/>
      <c r="F553" s="32"/>
      <c r="G553" s="32"/>
      <c r="H553" s="14"/>
      <c r="I553" s="14"/>
      <c r="J553" s="14"/>
      <c r="K553" s="18">
        <f>HYPERLINK("https://app.hubspot.com/contacts/8748051/record/0-2/16786227297", 16786227297)</f>
        <v>16786227297</v>
      </c>
      <c r="L553" s="14" t="s">
        <v>4397</v>
      </c>
      <c r="M553" s="18" t="s">
        <v>4398</v>
      </c>
      <c r="N553" s="14"/>
      <c r="O553" s="14"/>
      <c r="P553" s="14"/>
      <c r="Q553" s="14"/>
      <c r="R553" s="14"/>
      <c r="S553" s="24" t="str">
        <f t="shared" ref="S553:U553" si="557">IF(E553&lt;&gt;"","Yes","")</f>
        <v/>
      </c>
      <c r="T553" s="24" t="str">
        <f t="shared" si="557"/>
        <v/>
      </c>
      <c r="U553" s="24" t="str">
        <f t="shared" si="557"/>
        <v/>
      </c>
      <c r="V553" s="24" t="str">
        <f t="shared" si="3"/>
        <v/>
      </c>
      <c r="W553" s="14" t="str">
        <f t="shared" si="4"/>
        <v/>
      </c>
    </row>
    <row r="554" ht="14.25" customHeight="1">
      <c r="A554" s="18">
        <f>HYPERLINK("https://app.hubspot.com/contacts/8748051/record/0-1/2687251", 2687251)</f>
        <v>2687251</v>
      </c>
      <c r="B554" s="14" t="s">
        <v>4399</v>
      </c>
      <c r="C554" s="16">
        <v>45138.93006944445</v>
      </c>
      <c r="D554" s="14"/>
      <c r="E554" s="32"/>
      <c r="F554" s="32"/>
      <c r="G554" s="32"/>
      <c r="H554" s="14"/>
      <c r="I554" s="14"/>
      <c r="J554" s="14"/>
      <c r="K554" s="18">
        <f>HYPERLINK("https://app.hubspot.com/contacts/8748051/record/0-2/16785676868", 16785676868)</f>
        <v>16785676868</v>
      </c>
      <c r="L554" s="14" t="s">
        <v>4400</v>
      </c>
      <c r="M554" s="18" t="s">
        <v>4401</v>
      </c>
      <c r="N554" s="14"/>
      <c r="O554" s="14"/>
      <c r="P554" s="14"/>
      <c r="Q554" s="14"/>
      <c r="R554" s="14"/>
      <c r="S554" s="24" t="str">
        <f t="shared" ref="S554:U554" si="558">IF(E554&lt;&gt;"","Yes","")</f>
        <v/>
      </c>
      <c r="T554" s="24" t="str">
        <f t="shared" si="558"/>
        <v/>
      </c>
      <c r="U554" s="24" t="str">
        <f t="shared" si="558"/>
        <v/>
      </c>
      <c r="V554" s="24" t="str">
        <f t="shared" si="3"/>
        <v/>
      </c>
      <c r="W554" s="14" t="str">
        <f t="shared" si="4"/>
        <v/>
      </c>
    </row>
    <row r="555" ht="14.25" customHeight="1">
      <c r="A555" s="18">
        <f>HYPERLINK("https://app.hubspot.com/contacts/8748051/record/0-1/2651601", 2651601)</f>
        <v>2651601</v>
      </c>
      <c r="B555" s="14" t="s">
        <v>4402</v>
      </c>
      <c r="C555" s="16">
        <v>45131.47800925926</v>
      </c>
      <c r="D555" s="16"/>
      <c r="E555" s="32"/>
      <c r="F555" s="32"/>
      <c r="G555" s="32"/>
      <c r="H555" s="14"/>
      <c r="I555" s="14"/>
      <c r="J555" s="14"/>
      <c r="K555" s="18">
        <f>HYPERLINK("https://app.hubspot.com/contacts/8748051/record/0-2/16686948146", 16686948146)</f>
        <v>16686948146</v>
      </c>
      <c r="L555" s="14" t="s">
        <v>4403</v>
      </c>
      <c r="M555" s="18" t="s">
        <v>4404</v>
      </c>
      <c r="N555" s="14"/>
      <c r="O555" s="14"/>
      <c r="P555" s="14"/>
      <c r="Q555" s="14"/>
      <c r="R555" s="14"/>
      <c r="S555" s="24" t="str">
        <f t="shared" ref="S555:U555" si="559">IF(E555&lt;&gt;"","Yes","")</f>
        <v/>
      </c>
      <c r="T555" s="24" t="str">
        <f t="shared" si="559"/>
        <v/>
      </c>
      <c r="U555" s="24" t="str">
        <f t="shared" si="559"/>
        <v/>
      </c>
      <c r="V555" s="24" t="str">
        <f t="shared" si="3"/>
        <v/>
      </c>
      <c r="W555" s="14" t="str">
        <f t="shared" si="4"/>
        <v/>
      </c>
    </row>
    <row r="556" ht="14.25" customHeight="1">
      <c r="A556" s="18">
        <f>HYPERLINK("https://app.hubspot.com/contacts/8748051/record/0-1/2649251", 2649251)</f>
        <v>2649251</v>
      </c>
      <c r="B556" s="14" t="s">
        <v>4405</v>
      </c>
      <c r="C556" s="16">
        <v>45131.19924768519</v>
      </c>
      <c r="D556" s="14"/>
      <c r="E556" s="32"/>
      <c r="F556" s="32"/>
      <c r="G556" s="32"/>
      <c r="H556" s="14"/>
      <c r="I556" s="14"/>
      <c r="J556" s="14"/>
      <c r="K556" s="18">
        <f>HYPERLINK("https://app.hubspot.com/contacts/8748051/record/0-2/16683077425", 16683077425)</f>
        <v>16683077425</v>
      </c>
      <c r="L556" s="14" t="s">
        <v>4406</v>
      </c>
      <c r="M556" s="18" t="s">
        <v>4407</v>
      </c>
      <c r="N556" s="14"/>
      <c r="O556" s="14"/>
      <c r="P556" s="14"/>
      <c r="Q556" s="14"/>
      <c r="R556" s="14"/>
      <c r="S556" s="24" t="str">
        <f t="shared" ref="S556:U556" si="560">IF(E556&lt;&gt;"","Yes","")</f>
        <v/>
      </c>
      <c r="T556" s="24" t="str">
        <f t="shared" si="560"/>
        <v/>
      </c>
      <c r="U556" s="24" t="str">
        <f t="shared" si="560"/>
        <v/>
      </c>
      <c r="V556" s="24" t="str">
        <f t="shared" si="3"/>
        <v/>
      </c>
      <c r="W556" s="14" t="str">
        <f t="shared" si="4"/>
        <v/>
      </c>
    </row>
    <row r="557" ht="14.25" customHeight="1">
      <c r="A557" s="18">
        <f>HYPERLINK("https://app.hubspot.com/contacts/8748051/record/0-1/2624751", 2624751)</f>
        <v>2624751</v>
      </c>
      <c r="B557" s="14" t="s">
        <v>4408</v>
      </c>
      <c r="C557" s="16">
        <v>45131.18445601852</v>
      </c>
      <c r="D557" s="16"/>
      <c r="E557" s="32"/>
      <c r="F557" s="32"/>
      <c r="G557" s="32"/>
      <c r="H557" s="14"/>
      <c r="I557" s="14"/>
      <c r="J557" s="14"/>
      <c r="K557" s="18">
        <f>HYPERLINK("https://app.hubspot.com/contacts/8748051/record/0-2/16586868625", 16586868625)</f>
        <v>16586868625</v>
      </c>
      <c r="L557" s="18" t="s">
        <v>4409</v>
      </c>
      <c r="M557" s="18" t="s">
        <v>4410</v>
      </c>
      <c r="N557" s="14"/>
      <c r="O557" s="14"/>
      <c r="P557" s="14"/>
      <c r="Q557" s="14"/>
      <c r="R557" s="14"/>
      <c r="S557" s="24" t="str">
        <f t="shared" ref="S557:U557" si="561">IF(E557&lt;&gt;"","Yes","")</f>
        <v/>
      </c>
      <c r="T557" s="24" t="str">
        <f t="shared" si="561"/>
        <v/>
      </c>
      <c r="U557" s="24" t="str">
        <f t="shared" si="561"/>
        <v/>
      </c>
      <c r="V557" s="24" t="str">
        <f t="shared" si="3"/>
        <v/>
      </c>
      <c r="W557" s="14" t="str">
        <f t="shared" si="4"/>
        <v/>
      </c>
    </row>
    <row r="558" ht="14.25" customHeight="1">
      <c r="A558" s="18">
        <f>HYPERLINK("https://app.hubspot.com/contacts/8748051/record/0-1/2570451", 2570451)</f>
        <v>2570451</v>
      </c>
      <c r="B558" s="14" t="s">
        <v>4411</v>
      </c>
      <c r="C558" s="16">
        <v>45128.145833333336</v>
      </c>
      <c r="D558" s="14"/>
      <c r="E558" s="32"/>
      <c r="F558" s="32"/>
      <c r="G558" s="32"/>
      <c r="H558" s="14"/>
      <c r="I558" s="14"/>
      <c r="J558" s="14"/>
      <c r="K558" s="18">
        <f>HYPERLINK("https://app.hubspot.com/contacts/8748051/record/0-2/14811014933", 14811014933)</f>
        <v>14811014933</v>
      </c>
      <c r="L558" s="14" t="s">
        <v>4388</v>
      </c>
      <c r="M558" s="18" t="s">
        <v>4389</v>
      </c>
      <c r="N558" s="14"/>
      <c r="O558" s="14"/>
      <c r="P558" s="14"/>
      <c r="Q558" s="14"/>
      <c r="R558" s="14"/>
      <c r="S558" s="24" t="str">
        <f t="shared" ref="S558:U558" si="562">IF(E558&lt;&gt;"","Yes","")</f>
        <v/>
      </c>
      <c r="T558" s="24" t="str">
        <f t="shared" si="562"/>
        <v/>
      </c>
      <c r="U558" s="24" t="str">
        <f t="shared" si="562"/>
        <v/>
      </c>
      <c r="V558" s="24" t="str">
        <f t="shared" si="3"/>
        <v/>
      </c>
      <c r="W558" s="14" t="str">
        <f t="shared" si="4"/>
        <v/>
      </c>
    </row>
    <row r="559" ht="14.25" customHeight="1">
      <c r="A559" s="18">
        <f>HYPERLINK("https://app.hubspot.com/contacts/8748051/record/0-1/15401", 15401)</f>
        <v>15401</v>
      </c>
      <c r="B559" s="14" t="s">
        <v>4412</v>
      </c>
      <c r="C559" s="16">
        <v>45124.40263888889</v>
      </c>
      <c r="D559" s="14"/>
      <c r="E559" s="32"/>
      <c r="F559" s="32"/>
      <c r="G559" s="32"/>
      <c r="H559" s="14"/>
      <c r="I559" s="14"/>
      <c r="J559" s="14"/>
      <c r="K559" s="18">
        <f>HYPERLINK("https://app.hubspot.com/contacts/8748051/record/0-2/7165296547", 7165296547)</f>
        <v>7165296547</v>
      </c>
      <c r="L559" s="14" t="s">
        <v>785</v>
      </c>
      <c r="M559" s="18" t="s">
        <v>786</v>
      </c>
      <c r="N559" s="14"/>
      <c r="O559" s="14"/>
      <c r="P559" s="14"/>
      <c r="Q559" s="14"/>
      <c r="R559" s="14"/>
      <c r="S559" s="24" t="str">
        <f t="shared" ref="S559:U559" si="563">IF(E559&lt;&gt;"","Yes","")</f>
        <v/>
      </c>
      <c r="T559" s="24" t="str">
        <f t="shared" si="563"/>
        <v/>
      </c>
      <c r="U559" s="24" t="str">
        <f t="shared" si="563"/>
        <v/>
      </c>
      <c r="V559" s="24" t="str">
        <f t="shared" si="3"/>
        <v/>
      </c>
      <c r="W559" s="14" t="str">
        <f t="shared" si="4"/>
        <v/>
      </c>
    </row>
    <row r="560" ht="14.25" customHeight="1">
      <c r="A560" s="18">
        <f>HYPERLINK("https://app.hubspot.com/contacts/8748051/record/0-1/2614951", 2614951)</f>
        <v>2614951</v>
      </c>
      <c r="B560" s="14" t="s">
        <v>4413</v>
      </c>
      <c r="C560" s="16">
        <v>45121.56574074074</v>
      </c>
      <c r="D560" s="16"/>
      <c r="E560" s="32"/>
      <c r="F560" s="32"/>
      <c r="G560" s="32"/>
      <c r="H560" s="14"/>
      <c r="I560" s="14"/>
      <c r="J560" s="14"/>
      <c r="K560" s="18">
        <f>HYPERLINK("https://app.hubspot.com/contacts/8748051/record/0-2/16492357676", 16492357676)</f>
        <v>16492357676</v>
      </c>
      <c r="L560" s="14" t="s">
        <v>4414</v>
      </c>
      <c r="M560" s="18" t="s">
        <v>4415</v>
      </c>
      <c r="N560" s="24"/>
      <c r="O560" s="14"/>
      <c r="P560" s="14"/>
      <c r="Q560" s="14"/>
      <c r="R560" s="14"/>
      <c r="S560" s="24" t="str">
        <f t="shared" ref="S560:U560" si="564">IF(E560&lt;&gt;"","Yes","")</f>
        <v/>
      </c>
      <c r="T560" s="24" t="str">
        <f t="shared" si="564"/>
        <v/>
      </c>
      <c r="U560" s="24" t="str">
        <f t="shared" si="564"/>
        <v/>
      </c>
      <c r="V560" s="24" t="str">
        <f t="shared" si="3"/>
        <v/>
      </c>
      <c r="W560" s="14" t="str">
        <f t="shared" si="4"/>
        <v/>
      </c>
    </row>
    <row r="561" ht="14.25" customHeight="1">
      <c r="A561" s="18">
        <f>HYPERLINK("https://app.hubspot.com/contacts/8748051/record/0-1/2602601", 2602601)</f>
        <v>2602601</v>
      </c>
      <c r="B561" s="14" t="s">
        <v>4416</v>
      </c>
      <c r="C561" s="16">
        <v>45119.02847222222</v>
      </c>
      <c r="D561" s="14"/>
      <c r="E561" s="32"/>
      <c r="F561" s="32"/>
      <c r="G561" s="32"/>
      <c r="H561" s="14"/>
      <c r="I561" s="14"/>
      <c r="J561" s="14"/>
      <c r="K561" s="18">
        <f>HYPERLINK("https://app.hubspot.com/contacts/8748051/record/0-2/16389446526", 16389446526)</f>
        <v>16389446526</v>
      </c>
      <c r="L561" s="14" t="s">
        <v>4417</v>
      </c>
      <c r="M561" s="18" t="s">
        <v>4418</v>
      </c>
      <c r="N561" s="14"/>
      <c r="O561" s="14"/>
      <c r="P561" s="14"/>
      <c r="Q561" s="14"/>
      <c r="R561" s="14"/>
      <c r="S561" s="24" t="str">
        <f t="shared" ref="S561:U561" si="565">IF(E561&lt;&gt;"","Yes","")</f>
        <v/>
      </c>
      <c r="T561" s="24" t="str">
        <f t="shared" si="565"/>
        <v/>
      </c>
      <c r="U561" s="24" t="str">
        <f t="shared" si="565"/>
        <v/>
      </c>
      <c r="V561" s="24" t="str">
        <f t="shared" si="3"/>
        <v/>
      </c>
      <c r="W561" s="14" t="str">
        <f t="shared" si="4"/>
        <v/>
      </c>
    </row>
    <row r="562" ht="14.25" customHeight="1">
      <c r="A562" s="18">
        <f>HYPERLINK("https://app.hubspot.com/contacts/8748051/record/0-1/2595351", 2595351)</f>
        <v>2595351</v>
      </c>
      <c r="B562" s="14" t="s">
        <v>4419</v>
      </c>
      <c r="C562" s="16">
        <v>45117.62505787037</v>
      </c>
      <c r="D562" s="16"/>
      <c r="E562" s="32"/>
      <c r="F562" s="32"/>
      <c r="G562" s="32"/>
      <c r="H562" s="14"/>
      <c r="I562" s="14"/>
      <c r="J562" s="24"/>
      <c r="K562" s="18">
        <f>HYPERLINK("https://app.hubspot.com/contacts/8748051/record/0-2/16371166244", 16371166244)</f>
        <v>16371166244</v>
      </c>
      <c r="L562" s="14" t="s">
        <v>4420</v>
      </c>
      <c r="M562" s="18" t="s">
        <v>4421</v>
      </c>
      <c r="N562" s="24"/>
      <c r="O562" s="14"/>
      <c r="P562" s="14"/>
      <c r="Q562" s="14"/>
      <c r="R562" s="14"/>
      <c r="S562" s="24" t="str">
        <f t="shared" ref="S562:U562" si="566">IF(E562&lt;&gt;"","Yes","")</f>
        <v/>
      </c>
      <c r="T562" s="24" t="str">
        <f t="shared" si="566"/>
        <v/>
      </c>
      <c r="U562" s="24" t="str">
        <f t="shared" si="566"/>
        <v/>
      </c>
      <c r="V562" s="24" t="str">
        <f t="shared" si="3"/>
        <v/>
      </c>
      <c r="W562" s="14" t="str">
        <f t="shared" si="4"/>
        <v/>
      </c>
    </row>
    <row r="563" ht="14.25" customHeight="1">
      <c r="A563" s="18">
        <f>HYPERLINK("https://app.hubspot.com/contacts/8748051/record/0-1/2586301", 2586301)</f>
        <v>2586301</v>
      </c>
      <c r="B563" s="14" t="s">
        <v>4422</v>
      </c>
      <c r="C563" s="16">
        <v>45114.3325462963</v>
      </c>
      <c r="D563" s="14"/>
      <c r="E563" s="32"/>
      <c r="F563" s="32"/>
      <c r="G563" s="32"/>
      <c r="H563" s="14"/>
      <c r="I563" s="14"/>
      <c r="J563" s="14"/>
      <c r="K563" s="18">
        <f>HYPERLINK("https://app.hubspot.com/contacts/8748051/record/0-2/16337449590", 16337449590)</f>
        <v>16337449590</v>
      </c>
      <c r="L563" s="18" t="s">
        <v>4423</v>
      </c>
      <c r="M563" s="18" t="s">
        <v>4423</v>
      </c>
      <c r="N563" s="14"/>
      <c r="O563" s="14"/>
      <c r="P563" s="14"/>
      <c r="Q563" s="14"/>
      <c r="R563" s="14"/>
      <c r="S563" s="24" t="str">
        <f t="shared" ref="S563:U563" si="567">IF(E563&lt;&gt;"","Yes","")</f>
        <v/>
      </c>
      <c r="T563" s="24" t="str">
        <f t="shared" si="567"/>
        <v/>
      </c>
      <c r="U563" s="24" t="str">
        <f t="shared" si="567"/>
        <v/>
      </c>
      <c r="V563" s="24" t="str">
        <f t="shared" si="3"/>
        <v/>
      </c>
      <c r="W563" s="14" t="str">
        <f t="shared" si="4"/>
        <v/>
      </c>
    </row>
    <row r="564" ht="14.25" customHeight="1">
      <c r="A564" s="18">
        <f>HYPERLINK("https://app.hubspot.com/contacts/8748051/record/0-1/2585901", 2585901)</f>
        <v>2585901</v>
      </c>
      <c r="B564" s="14" t="s">
        <v>4424</v>
      </c>
      <c r="C564" s="16">
        <v>45114.283229166664</v>
      </c>
      <c r="D564" s="16"/>
      <c r="E564" s="32"/>
      <c r="F564" s="32"/>
      <c r="G564" s="32"/>
      <c r="H564" s="14"/>
      <c r="I564" s="14"/>
      <c r="J564" s="14"/>
      <c r="K564" s="18">
        <f>HYPERLINK("https://app.hubspot.com/contacts/8748051/record/0-2/16337275304", 16337275304)</f>
        <v>16337275304</v>
      </c>
      <c r="L564" s="14" t="s">
        <v>4425</v>
      </c>
      <c r="M564" s="14" t="s">
        <v>4425</v>
      </c>
      <c r="N564" s="14"/>
      <c r="O564" s="14"/>
      <c r="P564" s="14"/>
      <c r="Q564" s="14"/>
      <c r="R564" s="14"/>
      <c r="S564" s="24" t="str">
        <f t="shared" ref="S564:U564" si="568">IF(E564&lt;&gt;"","Yes","")</f>
        <v/>
      </c>
      <c r="T564" s="24" t="str">
        <f t="shared" si="568"/>
        <v/>
      </c>
      <c r="U564" s="24" t="str">
        <f t="shared" si="568"/>
        <v/>
      </c>
      <c r="V564" s="24" t="str">
        <f t="shared" si="3"/>
        <v/>
      </c>
      <c r="W564" s="14" t="str">
        <f t="shared" si="4"/>
        <v/>
      </c>
    </row>
    <row r="565" ht="14.25" customHeight="1">
      <c r="A565" s="18">
        <f>HYPERLINK("https://app.hubspot.com/contacts/8748051/record/0-1/2560901", 2560901)</f>
        <v>2560901</v>
      </c>
      <c r="B565" s="14" t="s">
        <v>4426</v>
      </c>
      <c r="C565" s="16">
        <v>45107.666296296295</v>
      </c>
      <c r="D565" s="16"/>
      <c r="E565" s="32"/>
      <c r="F565" s="32"/>
      <c r="G565" s="32"/>
      <c r="H565" s="14"/>
      <c r="I565" s="14"/>
      <c r="J565" s="14"/>
      <c r="K565" s="18">
        <f>HYPERLINK("https://app.hubspot.com/contacts/8748051/record/0-2/16282213677", 16282213677)</f>
        <v>16282213677</v>
      </c>
      <c r="L565" s="14" t="s">
        <v>4427</v>
      </c>
      <c r="M565" s="18" t="s">
        <v>4428</v>
      </c>
      <c r="N565" s="14"/>
      <c r="O565" s="14"/>
      <c r="P565" s="14"/>
      <c r="Q565" s="14"/>
      <c r="R565" s="14"/>
      <c r="S565" s="24" t="str">
        <f t="shared" ref="S565:U565" si="569">IF(E565&lt;&gt;"","Yes","")</f>
        <v/>
      </c>
      <c r="T565" s="24" t="str">
        <f t="shared" si="569"/>
        <v/>
      </c>
      <c r="U565" s="24" t="str">
        <f t="shared" si="569"/>
        <v/>
      </c>
      <c r="V565" s="24" t="str">
        <f t="shared" si="3"/>
        <v/>
      </c>
      <c r="W565" s="14" t="str">
        <f t="shared" si="4"/>
        <v/>
      </c>
    </row>
    <row r="566" ht="14.25" customHeight="1">
      <c r="A566" s="18">
        <f>HYPERLINK("https://app.hubspot.com/contacts/8748051/record/0-1/2557801", 2557801)</f>
        <v>2557801</v>
      </c>
      <c r="B566" s="14" t="s">
        <v>4429</v>
      </c>
      <c r="C566" s="16">
        <v>45107.11609953704</v>
      </c>
      <c r="D566" s="14"/>
      <c r="E566" s="32"/>
      <c r="F566" s="32"/>
      <c r="G566" s="32"/>
      <c r="H566" s="14"/>
      <c r="I566" s="14"/>
      <c r="J566" s="14"/>
      <c r="K566" s="18">
        <f>HYPERLINK("https://app.hubspot.com/contacts/8748051/record/0-2/16276126062", 16276126062)</f>
        <v>16276126062</v>
      </c>
      <c r="L566" s="14" t="s">
        <v>4430</v>
      </c>
      <c r="M566" s="18" t="s">
        <v>4431</v>
      </c>
      <c r="N566" s="14"/>
      <c r="O566" s="14"/>
      <c r="P566" s="14"/>
      <c r="Q566" s="14"/>
      <c r="R566" s="14"/>
      <c r="S566" s="24" t="str">
        <f t="shared" ref="S566:U566" si="570">IF(E566&lt;&gt;"","Yes","")</f>
        <v/>
      </c>
      <c r="T566" s="24" t="str">
        <f t="shared" si="570"/>
        <v/>
      </c>
      <c r="U566" s="24" t="str">
        <f t="shared" si="570"/>
        <v/>
      </c>
      <c r="V566" s="24" t="str">
        <f t="shared" si="3"/>
        <v/>
      </c>
      <c r="W566" s="14" t="str">
        <f t="shared" si="4"/>
        <v/>
      </c>
    </row>
    <row r="567" ht="14.25" customHeight="1">
      <c r="A567" s="18">
        <f>HYPERLINK("https://app.hubspot.com/contacts/8748051/record/0-1/2552051", 2552051)</f>
        <v>2552051</v>
      </c>
      <c r="B567" s="14" t="s">
        <v>4432</v>
      </c>
      <c r="C567" s="16">
        <v>45106.06864583334</v>
      </c>
      <c r="D567" s="14"/>
      <c r="E567" s="32"/>
      <c r="F567" s="32"/>
      <c r="G567" s="32"/>
      <c r="H567" s="14"/>
      <c r="I567" s="14"/>
      <c r="J567" s="14"/>
      <c r="K567" s="18">
        <f>HYPERLINK("https://app.hubspot.com/contacts/8748051/record/0-2/16264917354", 16264917354)</f>
        <v>16264917354</v>
      </c>
      <c r="L567" s="14" t="s">
        <v>4433</v>
      </c>
      <c r="M567" s="18" t="s">
        <v>4434</v>
      </c>
      <c r="N567" s="14"/>
      <c r="O567" s="14"/>
      <c r="P567" s="14"/>
      <c r="Q567" s="14"/>
      <c r="R567" s="14"/>
      <c r="S567" s="24" t="str">
        <f t="shared" ref="S567:U567" si="571">IF(E567&lt;&gt;"","Yes","")</f>
        <v/>
      </c>
      <c r="T567" s="24" t="str">
        <f t="shared" si="571"/>
        <v/>
      </c>
      <c r="U567" s="24" t="str">
        <f t="shared" si="571"/>
        <v/>
      </c>
      <c r="V567" s="24" t="str">
        <f t="shared" si="3"/>
        <v/>
      </c>
      <c r="W567" s="14" t="str">
        <f t="shared" si="4"/>
        <v/>
      </c>
    </row>
    <row r="568" ht="14.25" customHeight="1">
      <c r="A568" s="18">
        <f>HYPERLINK("https://app.hubspot.com/contacts/8748051/record/0-1/2548401", 2548401)</f>
        <v>2548401</v>
      </c>
      <c r="B568" s="14" t="s">
        <v>4435</v>
      </c>
      <c r="C568" s="16">
        <v>45105.31047453704</v>
      </c>
      <c r="D568" s="14"/>
      <c r="E568" s="32"/>
      <c r="F568" s="32"/>
      <c r="G568" s="32"/>
      <c r="H568" s="14"/>
      <c r="I568" s="14"/>
      <c r="J568" s="14"/>
      <c r="K568" s="18">
        <f>HYPERLINK("https://app.hubspot.com/contacts/8748051/record/0-2/16256805254", 16256805254)</f>
        <v>16256805254</v>
      </c>
      <c r="L568" s="14" t="s">
        <v>4436</v>
      </c>
      <c r="M568" s="18" t="s">
        <v>4437</v>
      </c>
      <c r="N568" s="24"/>
      <c r="O568" s="14"/>
      <c r="P568" s="14"/>
      <c r="Q568" s="14"/>
      <c r="R568" s="14"/>
      <c r="S568" s="24" t="str">
        <f t="shared" ref="S568:U568" si="572">IF(E568&lt;&gt;"","Yes","")</f>
        <v/>
      </c>
      <c r="T568" s="24" t="str">
        <f t="shared" si="572"/>
        <v/>
      </c>
      <c r="U568" s="24" t="str">
        <f t="shared" si="572"/>
        <v/>
      </c>
      <c r="V568" s="24" t="str">
        <f t="shared" si="3"/>
        <v/>
      </c>
      <c r="W568" s="14" t="str">
        <f t="shared" si="4"/>
        <v/>
      </c>
    </row>
    <row r="569" ht="14.25" customHeight="1">
      <c r="A569" s="18">
        <f>HYPERLINK("https://app.hubspot.com/contacts/8748051/record/0-1/2543751", 2543751)</f>
        <v>2543751</v>
      </c>
      <c r="B569" s="14" t="s">
        <v>4438</v>
      </c>
      <c r="C569" s="16">
        <v>45104.26267361111</v>
      </c>
      <c r="D569" s="14"/>
      <c r="E569" s="32"/>
      <c r="F569" s="32"/>
      <c r="G569" s="32"/>
      <c r="H569" s="14"/>
      <c r="I569" s="14"/>
      <c r="J569" s="14"/>
      <c r="K569" s="18">
        <f>HYPERLINK("https://app.hubspot.com/contacts/8748051/record/0-2/16243259924", 16243259924)</f>
        <v>16243259924</v>
      </c>
      <c r="L569" s="18" t="s">
        <v>4439</v>
      </c>
      <c r="M569" s="18" t="s">
        <v>4439</v>
      </c>
      <c r="N569" s="14"/>
      <c r="O569" s="14"/>
      <c r="P569" s="14"/>
      <c r="Q569" s="14"/>
      <c r="R569" s="14"/>
      <c r="S569" s="24" t="str">
        <f t="shared" ref="S569:U569" si="573">IF(E569&lt;&gt;"","Yes","")</f>
        <v/>
      </c>
      <c r="T569" s="24" t="str">
        <f t="shared" si="573"/>
        <v/>
      </c>
      <c r="U569" s="24" t="str">
        <f t="shared" si="573"/>
        <v/>
      </c>
      <c r="V569" s="24" t="str">
        <f t="shared" si="3"/>
        <v/>
      </c>
      <c r="W569" s="14" t="str">
        <f t="shared" si="4"/>
        <v/>
      </c>
    </row>
    <row r="570" ht="14.25" customHeight="1">
      <c r="A570" s="18">
        <f>HYPERLINK("https://app.hubspot.com/contacts/8748051/record/0-1/2524201", 2524201)</f>
        <v>2524201</v>
      </c>
      <c r="B570" s="14" t="s">
        <v>4440</v>
      </c>
      <c r="C570" s="16">
        <v>45099.26913194444</v>
      </c>
      <c r="D570" s="16"/>
      <c r="E570" s="32"/>
      <c r="F570" s="32"/>
      <c r="G570" s="32"/>
      <c r="H570" s="14"/>
      <c r="I570" s="14"/>
      <c r="J570" s="14"/>
      <c r="K570" s="18">
        <f>HYPERLINK("https://app.hubspot.com/contacts/8748051/record/0-2/16191601528", 16191601528)</f>
        <v>16191601528</v>
      </c>
      <c r="L570" s="14" t="s">
        <v>4441</v>
      </c>
      <c r="M570" s="18" t="s">
        <v>4442</v>
      </c>
      <c r="N570" s="14"/>
      <c r="O570" s="14"/>
      <c r="P570" s="14"/>
      <c r="Q570" s="14"/>
      <c r="R570" s="14"/>
      <c r="S570" s="24" t="str">
        <f t="shared" ref="S570:U570" si="574">IF(E570&lt;&gt;"","Yes","")</f>
        <v/>
      </c>
      <c r="T570" s="24" t="str">
        <f t="shared" si="574"/>
        <v/>
      </c>
      <c r="U570" s="24" t="str">
        <f t="shared" si="574"/>
        <v/>
      </c>
      <c r="V570" s="24" t="str">
        <f t="shared" si="3"/>
        <v/>
      </c>
      <c r="W570" s="14" t="str">
        <f t="shared" si="4"/>
        <v/>
      </c>
    </row>
    <row r="571" ht="14.25" customHeight="1">
      <c r="A571" s="18">
        <f>HYPERLINK("https://app.hubspot.com/contacts/8748051/record/0-1/2501051", 2501051)</f>
        <v>2501051</v>
      </c>
      <c r="B571" s="14" t="s">
        <v>4443</v>
      </c>
      <c r="C571" s="16">
        <v>45093.44425925926</v>
      </c>
      <c r="D571" s="24"/>
      <c r="E571" s="32"/>
      <c r="F571" s="32"/>
      <c r="G571" s="32"/>
      <c r="H571" s="14"/>
      <c r="I571" s="14"/>
      <c r="J571" s="14"/>
      <c r="K571" s="18">
        <f>HYPERLINK("https://app.hubspot.com/contacts/8748051/record/0-2/10850606896", 10850606896)</f>
        <v>10850606896</v>
      </c>
      <c r="L571" s="14" t="s">
        <v>4444</v>
      </c>
      <c r="M571" s="18" t="s">
        <v>4445</v>
      </c>
      <c r="N571" s="24"/>
      <c r="O571" s="14"/>
      <c r="P571" s="14"/>
      <c r="Q571" s="14"/>
      <c r="R571" s="14"/>
      <c r="S571" s="24" t="str">
        <f t="shared" ref="S571:U571" si="575">IF(E571&lt;&gt;"","Yes","")</f>
        <v/>
      </c>
      <c r="T571" s="24" t="str">
        <f t="shared" si="575"/>
        <v/>
      </c>
      <c r="U571" s="24" t="str">
        <f t="shared" si="575"/>
        <v/>
      </c>
      <c r="V571" s="24" t="str">
        <f t="shared" si="3"/>
        <v/>
      </c>
      <c r="W571" s="14" t="str">
        <f t="shared" si="4"/>
        <v/>
      </c>
    </row>
    <row r="572" ht="14.25" customHeight="1">
      <c r="A572" s="18">
        <f>HYPERLINK("https://app.hubspot.com/contacts/8748051/record/0-1/2473201", 2473201)</f>
        <v>2473201</v>
      </c>
      <c r="B572" s="14" t="s">
        <v>4446</v>
      </c>
      <c r="C572" s="16">
        <v>45089.245162037034</v>
      </c>
      <c r="D572" s="14"/>
      <c r="E572" s="32"/>
      <c r="F572" s="32"/>
      <c r="G572" s="32"/>
      <c r="H572" s="14"/>
      <c r="I572" s="14"/>
      <c r="J572" s="14"/>
      <c r="K572" s="18">
        <f>HYPERLINK("https://app.hubspot.com/contacts/8748051/record/0-2/16035259397", 16035259397)</f>
        <v>16035259397</v>
      </c>
      <c r="L572" s="18" t="s">
        <v>4447</v>
      </c>
      <c r="M572" s="18" t="s">
        <v>4447</v>
      </c>
      <c r="N572" s="14"/>
      <c r="O572" s="14"/>
      <c r="P572" s="14"/>
      <c r="Q572" s="14"/>
      <c r="R572" s="14"/>
      <c r="S572" s="24" t="str">
        <f t="shared" ref="S572:U572" si="576">IF(E572&lt;&gt;"","Yes","")</f>
        <v/>
      </c>
      <c r="T572" s="24" t="str">
        <f t="shared" si="576"/>
        <v/>
      </c>
      <c r="U572" s="24" t="str">
        <f t="shared" si="576"/>
        <v/>
      </c>
      <c r="V572" s="24" t="str">
        <f t="shared" si="3"/>
        <v/>
      </c>
      <c r="W572" s="14" t="str">
        <f t="shared" si="4"/>
        <v/>
      </c>
    </row>
    <row r="573" ht="14.25" customHeight="1">
      <c r="A573" s="18">
        <f>HYPERLINK("https://app.hubspot.com/contacts/8748051/record/0-1/783051", 783051)</f>
        <v>783051</v>
      </c>
      <c r="B573" s="14" t="s">
        <v>4448</v>
      </c>
      <c r="C573" s="16">
        <v>45087.03283564815</v>
      </c>
      <c r="D573" s="14"/>
      <c r="E573" s="32"/>
      <c r="F573" s="32"/>
      <c r="G573" s="32"/>
      <c r="H573" s="14"/>
      <c r="I573" s="14"/>
      <c r="J573" s="14"/>
      <c r="K573" s="18">
        <f>HYPERLINK("https://app.hubspot.com/contacts/8748051/record/0-2/7781791666", 7781791666)</f>
        <v>7781791666</v>
      </c>
      <c r="L573" s="18" t="s">
        <v>2601</v>
      </c>
      <c r="M573" s="18" t="s">
        <v>2601</v>
      </c>
      <c r="N573" s="18">
        <f>HYPERLINK("https://app.hubspot.com/contacts/8748051/record/0-3/14063920218", 14063920218)</f>
        <v>14063920218</v>
      </c>
      <c r="O573" s="14" t="s">
        <v>2600</v>
      </c>
      <c r="P573" s="14" t="s">
        <v>118</v>
      </c>
      <c r="Q573" s="14">
        <v>100000.0</v>
      </c>
      <c r="R573" s="14"/>
      <c r="S573" s="24" t="str">
        <f t="shared" ref="S573:U573" si="577">IF(E573&lt;&gt;"","Yes","")</f>
        <v/>
      </c>
      <c r="T573" s="24" t="str">
        <f t="shared" si="577"/>
        <v/>
      </c>
      <c r="U573" s="24" t="str">
        <f t="shared" si="577"/>
        <v/>
      </c>
      <c r="V573" s="24" t="str">
        <f t="shared" si="3"/>
        <v/>
      </c>
      <c r="W573" s="14" t="str">
        <f t="shared" si="4"/>
        <v/>
      </c>
    </row>
    <row r="574" ht="14.25" customHeight="1">
      <c r="A574" s="18">
        <f>HYPERLINK("https://app.hubspot.com/contacts/8748051/record/0-1/10551", 10551)</f>
        <v>10551</v>
      </c>
      <c r="B574" s="14" t="s">
        <v>4449</v>
      </c>
      <c r="C574" s="16">
        <v>45085.55863425926</v>
      </c>
      <c r="D574" s="16"/>
      <c r="E574" s="32"/>
      <c r="F574" s="32"/>
      <c r="G574" s="32"/>
      <c r="H574" s="14"/>
      <c r="I574" s="14"/>
      <c r="J574" s="14"/>
      <c r="K574" s="18">
        <f>HYPERLINK("https://app.hubspot.com/contacts/8748051/record/0-2/6935065886", 6935065886)</f>
        <v>6935065886</v>
      </c>
      <c r="L574" s="14" t="s">
        <v>4450</v>
      </c>
      <c r="M574" s="18" t="s">
        <v>4451</v>
      </c>
      <c r="N574" s="24"/>
      <c r="O574" s="14"/>
      <c r="P574" s="14"/>
      <c r="Q574" s="14"/>
      <c r="R574" s="14"/>
      <c r="S574" s="24" t="str">
        <f t="shared" ref="S574:U574" si="578">IF(E574&lt;&gt;"","Yes","")</f>
        <v/>
      </c>
      <c r="T574" s="24" t="str">
        <f t="shared" si="578"/>
        <v/>
      </c>
      <c r="U574" s="24" t="str">
        <f t="shared" si="578"/>
        <v/>
      </c>
      <c r="V574" s="24" t="str">
        <f t="shared" si="3"/>
        <v/>
      </c>
      <c r="W574" s="14" t="str">
        <f t="shared" si="4"/>
        <v/>
      </c>
    </row>
    <row r="575" ht="14.25" customHeight="1">
      <c r="A575" s="18">
        <f>HYPERLINK("https://app.hubspot.com/contacts/8748051/record/0-1/2457301", 2457301)</f>
        <v>2457301</v>
      </c>
      <c r="B575" s="14" t="s">
        <v>4452</v>
      </c>
      <c r="C575" s="16">
        <v>45085.33934027778</v>
      </c>
      <c r="D575" s="16"/>
      <c r="E575" s="32"/>
      <c r="F575" s="32"/>
      <c r="G575" s="32"/>
      <c r="H575" s="14"/>
      <c r="I575" s="14"/>
      <c r="J575" s="14"/>
      <c r="K575" s="18">
        <f>HYPERLINK("https://app.hubspot.com/contacts/8748051/record/0-2/9132283033", 9132283033)</f>
        <v>9132283033</v>
      </c>
      <c r="L575" s="14" t="s">
        <v>223</v>
      </c>
      <c r="M575" s="18" t="s">
        <v>224</v>
      </c>
      <c r="N575" s="14"/>
      <c r="O575" s="14"/>
      <c r="P575" s="14"/>
      <c r="Q575" s="14"/>
      <c r="R575" s="14"/>
      <c r="S575" s="24" t="str">
        <f t="shared" ref="S575:U575" si="579">IF(E575&lt;&gt;"","Yes","")</f>
        <v/>
      </c>
      <c r="T575" s="24" t="str">
        <f t="shared" si="579"/>
        <v/>
      </c>
      <c r="U575" s="24" t="str">
        <f t="shared" si="579"/>
        <v/>
      </c>
      <c r="V575" s="24" t="str">
        <f t="shared" si="3"/>
        <v/>
      </c>
      <c r="W575" s="14" t="str">
        <f t="shared" si="4"/>
        <v/>
      </c>
    </row>
    <row r="576" ht="14.25" customHeight="1">
      <c r="A576" s="18">
        <f>HYPERLINK("https://app.hubspot.com/contacts/8748051/record/0-1/2439151", 2439151)</f>
        <v>2439151</v>
      </c>
      <c r="B576" s="14" t="s">
        <v>4453</v>
      </c>
      <c r="C576" s="16">
        <v>45082.03702546296</v>
      </c>
      <c r="D576" s="14"/>
      <c r="E576" s="32"/>
      <c r="F576" s="32"/>
      <c r="G576" s="32"/>
      <c r="H576" s="14"/>
      <c r="I576" s="14"/>
      <c r="J576" s="14"/>
      <c r="K576" s="18">
        <f>HYPERLINK("https://app.hubspot.com/contacts/8748051/record/0-2/15963437728", 15963437728)</f>
        <v>15963437728</v>
      </c>
      <c r="L576" s="14" t="s">
        <v>4244</v>
      </c>
      <c r="M576" s="18" t="s">
        <v>4245</v>
      </c>
      <c r="N576" s="24"/>
      <c r="O576" s="14"/>
      <c r="P576" s="14"/>
      <c r="Q576" s="14"/>
      <c r="R576" s="14"/>
      <c r="S576" s="24" t="str">
        <f t="shared" ref="S576:U576" si="580">IF(E576&lt;&gt;"","Yes","")</f>
        <v/>
      </c>
      <c r="T576" s="24" t="str">
        <f t="shared" si="580"/>
        <v/>
      </c>
      <c r="U576" s="24" t="str">
        <f t="shared" si="580"/>
        <v/>
      </c>
      <c r="V576" s="24" t="str">
        <f t="shared" si="3"/>
        <v/>
      </c>
      <c r="W576" s="14" t="str">
        <f t="shared" si="4"/>
        <v/>
      </c>
    </row>
    <row r="577" ht="14.25" customHeight="1">
      <c r="A577" s="18">
        <f>HYPERLINK("https://app.hubspot.com/contacts/8748051/record/0-1/22856769553", 22856769553)</f>
        <v>22856769553</v>
      </c>
      <c r="B577" s="14" t="s">
        <v>4454</v>
      </c>
      <c r="C577" s="16">
        <v>45079.22190972222</v>
      </c>
      <c r="D577" s="16"/>
      <c r="E577" s="32"/>
      <c r="F577" s="32"/>
      <c r="G577" s="32"/>
      <c r="H577" s="14"/>
      <c r="I577" s="14"/>
      <c r="J577" s="14"/>
      <c r="K577" s="18">
        <f>HYPERLINK("https://app.hubspot.com/contacts/8748051/record/0-2/19176672158", 19176672158)</f>
        <v>19176672158</v>
      </c>
      <c r="L577" s="14" t="s">
        <v>4455</v>
      </c>
      <c r="M577" s="18" t="s">
        <v>4456</v>
      </c>
      <c r="N577" s="14"/>
      <c r="O577" s="14"/>
      <c r="P577" s="14"/>
      <c r="Q577" s="14"/>
      <c r="R577" s="14"/>
      <c r="S577" s="24" t="str">
        <f t="shared" ref="S577:U577" si="581">IF(E577&lt;&gt;"","Yes","")</f>
        <v/>
      </c>
      <c r="T577" s="24" t="str">
        <f t="shared" si="581"/>
        <v/>
      </c>
      <c r="U577" s="24" t="str">
        <f t="shared" si="581"/>
        <v/>
      </c>
      <c r="V577" s="24" t="str">
        <f t="shared" si="3"/>
        <v/>
      </c>
      <c r="W577" s="14" t="str">
        <f t="shared" si="4"/>
        <v/>
      </c>
    </row>
    <row r="578" ht="14.25" customHeight="1">
      <c r="A578" s="18">
        <f>HYPERLINK("https://app.hubspot.com/contacts/8748051/record/0-1/2421451", 2421451)</f>
        <v>2421451</v>
      </c>
      <c r="B578" s="14" t="s">
        <v>4457</v>
      </c>
      <c r="C578" s="16">
        <v>45078.20993055555</v>
      </c>
      <c r="D578" s="16"/>
      <c r="E578" s="32"/>
      <c r="F578" s="32"/>
      <c r="G578" s="32"/>
      <c r="H578" s="14"/>
      <c r="I578" s="14"/>
      <c r="J578" s="14"/>
      <c r="K578" s="18">
        <f>HYPERLINK("https://app.hubspot.com/contacts/8748051/record/0-2/15925265559", 15925265559)</f>
        <v>15925265559</v>
      </c>
      <c r="L578" s="14" t="s">
        <v>4458</v>
      </c>
      <c r="M578" s="18" t="s">
        <v>4459</v>
      </c>
      <c r="N578" s="14"/>
      <c r="O578" s="14"/>
      <c r="P578" s="14"/>
      <c r="Q578" s="14"/>
      <c r="R578" s="14"/>
      <c r="S578" s="24" t="str">
        <f t="shared" ref="S578:U578" si="582">IF(E578&lt;&gt;"","Yes","")</f>
        <v/>
      </c>
      <c r="T578" s="24" t="str">
        <f t="shared" si="582"/>
        <v/>
      </c>
      <c r="U578" s="24" t="str">
        <f t="shared" si="582"/>
        <v/>
      </c>
      <c r="V578" s="24" t="str">
        <f t="shared" si="3"/>
        <v/>
      </c>
      <c r="W578" s="14" t="str">
        <f t="shared" si="4"/>
        <v/>
      </c>
    </row>
    <row r="579" ht="14.25" customHeight="1">
      <c r="A579" s="18">
        <f>HYPERLINK("https://app.hubspot.com/contacts/8748051/record/0-1/2408801", 2408801)</f>
        <v>2408801</v>
      </c>
      <c r="B579" s="14" t="s">
        <v>4460</v>
      </c>
      <c r="C579" s="16">
        <v>45076.16439814815</v>
      </c>
      <c r="D579" s="14"/>
      <c r="E579" s="32"/>
      <c r="F579" s="32"/>
      <c r="G579" s="32"/>
      <c r="H579" s="14"/>
      <c r="I579" s="14"/>
      <c r="J579" s="14"/>
      <c r="K579" s="18">
        <f>HYPERLINK("https://app.hubspot.com/contacts/8748051/record/0-2/15897253805", 15897253805)</f>
        <v>15897253805</v>
      </c>
      <c r="L579" s="14" t="s">
        <v>4461</v>
      </c>
      <c r="M579" s="18" t="s">
        <v>4462</v>
      </c>
      <c r="N579" s="14"/>
      <c r="O579" s="14"/>
      <c r="P579" s="14"/>
      <c r="Q579" s="14"/>
      <c r="R579" s="14"/>
      <c r="S579" s="24" t="str">
        <f t="shared" ref="S579:U579" si="583">IF(E579&lt;&gt;"","Yes","")</f>
        <v/>
      </c>
      <c r="T579" s="24" t="str">
        <f t="shared" si="583"/>
        <v/>
      </c>
      <c r="U579" s="24" t="str">
        <f t="shared" si="583"/>
        <v/>
      </c>
      <c r="V579" s="24" t="str">
        <f t="shared" si="3"/>
        <v/>
      </c>
      <c r="W579" s="14" t="str">
        <f t="shared" si="4"/>
        <v/>
      </c>
    </row>
    <row r="580" ht="14.25" customHeight="1">
      <c r="A580" s="18">
        <f>HYPERLINK("https://app.hubspot.com/contacts/8748051/record/0-1/2395701", 2395701)</f>
        <v>2395701</v>
      </c>
      <c r="B580" s="14" t="s">
        <v>4463</v>
      </c>
      <c r="C580" s="16">
        <v>45072.147824074076</v>
      </c>
      <c r="D580" s="14"/>
      <c r="E580" s="32"/>
      <c r="F580" s="32"/>
      <c r="G580" s="32"/>
      <c r="H580" s="14"/>
      <c r="I580" s="14"/>
      <c r="J580" s="14"/>
      <c r="K580" s="18">
        <f>HYPERLINK("https://app.hubspot.com/contacts/8748051/record/0-2/15864664719", 15864664719)</f>
        <v>15864664719</v>
      </c>
      <c r="L580" s="14" t="s">
        <v>4464</v>
      </c>
      <c r="M580" s="18" t="s">
        <v>4465</v>
      </c>
      <c r="N580" s="14"/>
      <c r="O580" s="14"/>
      <c r="P580" s="14"/>
      <c r="Q580" s="14"/>
      <c r="R580" s="14"/>
      <c r="S580" s="24" t="str">
        <f t="shared" ref="S580:U580" si="584">IF(E580&lt;&gt;"","Yes","")</f>
        <v/>
      </c>
      <c r="T580" s="24" t="str">
        <f t="shared" si="584"/>
        <v/>
      </c>
      <c r="U580" s="24" t="str">
        <f t="shared" si="584"/>
        <v/>
      </c>
      <c r="V580" s="24" t="str">
        <f t="shared" si="3"/>
        <v/>
      </c>
      <c r="W580" s="14" t="str">
        <f t="shared" si="4"/>
        <v/>
      </c>
    </row>
    <row r="581" ht="14.25" customHeight="1">
      <c r="A581" s="18">
        <f>HYPERLINK("https://app.hubspot.com/contacts/8748051/record/0-1/2379851", 2379851)</f>
        <v>2379851</v>
      </c>
      <c r="B581" s="14" t="s">
        <v>4466</v>
      </c>
      <c r="C581" s="16">
        <v>45069.18377314815</v>
      </c>
      <c r="D581" s="16"/>
      <c r="E581" s="32"/>
      <c r="F581" s="32"/>
      <c r="G581" s="32"/>
      <c r="H581" s="14"/>
      <c r="I581" s="14"/>
      <c r="J581" s="14"/>
      <c r="K581" s="18">
        <f>HYPERLINK("https://app.hubspot.com/contacts/8748051/record/0-2/15827910251", 15827910251)</f>
        <v>15827910251</v>
      </c>
      <c r="L581" s="14" t="s">
        <v>3900</v>
      </c>
      <c r="M581" s="18" t="s">
        <v>3901</v>
      </c>
      <c r="N581" s="14"/>
      <c r="O581" s="14"/>
      <c r="P581" s="14"/>
      <c r="Q581" s="14"/>
      <c r="R581" s="14"/>
      <c r="S581" s="24" t="str">
        <f t="shared" ref="S581:U581" si="585">IF(E581&lt;&gt;"","Yes","")</f>
        <v/>
      </c>
      <c r="T581" s="24" t="str">
        <f t="shared" si="585"/>
        <v/>
      </c>
      <c r="U581" s="24" t="str">
        <f t="shared" si="585"/>
        <v/>
      </c>
      <c r="V581" s="24" t="str">
        <f t="shared" si="3"/>
        <v/>
      </c>
      <c r="W581" s="14" t="str">
        <f t="shared" si="4"/>
        <v/>
      </c>
    </row>
    <row r="582" ht="14.25" customHeight="1">
      <c r="A582" s="18">
        <f>HYPERLINK("https://app.hubspot.com/contacts/8748051/record/0-1/2376701", 2376701)</f>
        <v>2376701</v>
      </c>
      <c r="B582" s="14" t="s">
        <v>4467</v>
      </c>
      <c r="C582" s="16">
        <v>45068.54675925926</v>
      </c>
      <c r="D582" s="24"/>
      <c r="E582" s="32"/>
      <c r="F582" s="32"/>
      <c r="G582" s="32"/>
      <c r="H582" s="14"/>
      <c r="I582" s="14"/>
      <c r="J582" s="14"/>
      <c r="K582" s="18">
        <f>HYPERLINK("https://app.hubspot.com/contacts/8748051/record/0-2/15822439738", 15822439738)</f>
        <v>15822439738</v>
      </c>
      <c r="L582" s="14" t="s">
        <v>4468</v>
      </c>
      <c r="M582" s="18" t="s">
        <v>4469</v>
      </c>
      <c r="N582" s="24"/>
      <c r="O582" s="14"/>
      <c r="P582" s="14"/>
      <c r="Q582" s="14"/>
      <c r="R582" s="14"/>
      <c r="S582" s="24" t="str">
        <f t="shared" ref="S582:U582" si="586">IF(E582&lt;&gt;"","Yes","")</f>
        <v/>
      </c>
      <c r="T582" s="24" t="str">
        <f t="shared" si="586"/>
        <v/>
      </c>
      <c r="U582" s="24" t="str">
        <f t="shared" si="586"/>
        <v/>
      </c>
      <c r="V582" s="24" t="str">
        <f t="shared" si="3"/>
        <v/>
      </c>
      <c r="W582" s="14" t="str">
        <f t="shared" si="4"/>
        <v/>
      </c>
    </row>
    <row r="583" ht="14.25" customHeight="1">
      <c r="A583" s="18">
        <f>HYPERLINK("https://app.hubspot.com/contacts/8748051/record/0-1/2372001", 2372001)</f>
        <v>2372001</v>
      </c>
      <c r="B583" s="14" t="s">
        <v>4470</v>
      </c>
      <c r="C583" s="16">
        <v>45067.28207175926</v>
      </c>
      <c r="D583" s="16"/>
      <c r="E583" s="32"/>
      <c r="F583" s="32"/>
      <c r="G583" s="32"/>
      <c r="H583" s="14"/>
      <c r="I583" s="14"/>
      <c r="J583" s="14"/>
      <c r="K583" s="18">
        <f>HYPERLINK("https://app.hubspot.com/contacts/8748051/record/0-2/15812855700", 15812855700)</f>
        <v>15812855700</v>
      </c>
      <c r="L583" s="14" t="s">
        <v>4471</v>
      </c>
      <c r="M583" s="18" t="s">
        <v>4472</v>
      </c>
      <c r="N583" s="14"/>
      <c r="O583" s="14"/>
      <c r="P583" s="14"/>
      <c r="Q583" s="14"/>
      <c r="R583" s="14"/>
      <c r="S583" s="24" t="str">
        <f t="shared" ref="S583:U583" si="587">IF(E583&lt;&gt;"","Yes","")</f>
        <v/>
      </c>
      <c r="T583" s="24" t="str">
        <f t="shared" si="587"/>
        <v/>
      </c>
      <c r="U583" s="24" t="str">
        <f t="shared" si="587"/>
        <v/>
      </c>
      <c r="V583" s="24" t="str">
        <f t="shared" si="3"/>
        <v/>
      </c>
      <c r="W583" s="14" t="str">
        <f t="shared" si="4"/>
        <v/>
      </c>
    </row>
    <row r="584" ht="14.25" customHeight="1">
      <c r="A584" s="18">
        <f>HYPERLINK("https://app.hubspot.com/contacts/8748051/record/0-1/2364751", 2364751)</f>
        <v>2364751</v>
      </c>
      <c r="B584" s="14" t="s">
        <v>4473</v>
      </c>
      <c r="C584" s="16">
        <v>45065.0002662037</v>
      </c>
      <c r="D584" s="16"/>
      <c r="E584" s="32"/>
      <c r="F584" s="32"/>
      <c r="G584" s="32"/>
      <c r="H584" s="14"/>
      <c r="I584" s="14"/>
      <c r="J584" s="14"/>
      <c r="K584" s="18">
        <f>HYPERLINK("https://app.hubspot.com/contacts/8748051/record/0-2/8724489606", 8724489606)</f>
        <v>8724489606</v>
      </c>
      <c r="L584" s="14" t="s">
        <v>2798</v>
      </c>
      <c r="M584" s="18" t="s">
        <v>2799</v>
      </c>
      <c r="N584" s="14"/>
      <c r="O584" s="14"/>
      <c r="P584" s="14"/>
      <c r="Q584" s="14"/>
      <c r="R584" s="14"/>
      <c r="S584" s="24" t="str">
        <f t="shared" ref="S584:U584" si="588">IF(E584&lt;&gt;"","Yes","")</f>
        <v/>
      </c>
      <c r="T584" s="24" t="str">
        <f t="shared" si="588"/>
        <v/>
      </c>
      <c r="U584" s="24" t="str">
        <f t="shared" si="588"/>
        <v/>
      </c>
      <c r="V584" s="24" t="str">
        <f t="shared" si="3"/>
        <v/>
      </c>
      <c r="W584" s="14" t="str">
        <f t="shared" si="4"/>
        <v/>
      </c>
    </row>
    <row r="585" ht="14.25" customHeight="1">
      <c r="A585" s="18">
        <f>HYPERLINK("https://app.hubspot.com/contacts/8748051/record/0-1/2351351", 2351351)</f>
        <v>2351351</v>
      </c>
      <c r="B585" s="14" t="s">
        <v>4474</v>
      </c>
      <c r="C585" s="16">
        <v>45062.573287037034</v>
      </c>
      <c r="D585" s="14"/>
      <c r="E585" s="32"/>
      <c r="F585" s="32"/>
      <c r="G585" s="32"/>
      <c r="H585" s="14"/>
      <c r="I585" s="14"/>
      <c r="J585" s="14"/>
      <c r="K585" s="18">
        <f>HYPERLINK("https://app.hubspot.com/contacts/8748051/record/0-2/15762482336", 15762482336)</f>
        <v>15762482336</v>
      </c>
      <c r="L585" s="14" t="s">
        <v>4475</v>
      </c>
      <c r="M585" s="18" t="s">
        <v>4476</v>
      </c>
      <c r="N585" s="14"/>
      <c r="O585" s="14"/>
      <c r="P585" s="14"/>
      <c r="Q585" s="14"/>
      <c r="R585" s="14"/>
      <c r="S585" s="24" t="str">
        <f t="shared" ref="S585:U585" si="589">IF(E585&lt;&gt;"","Yes","")</f>
        <v/>
      </c>
      <c r="T585" s="24" t="str">
        <f t="shared" si="589"/>
        <v/>
      </c>
      <c r="U585" s="24" t="str">
        <f t="shared" si="589"/>
        <v/>
      </c>
      <c r="V585" s="24" t="str">
        <f t="shared" si="3"/>
        <v/>
      </c>
      <c r="W585" s="14" t="str">
        <f t="shared" si="4"/>
        <v/>
      </c>
    </row>
    <row r="586" ht="14.25" customHeight="1">
      <c r="A586" s="18">
        <f>HYPERLINK("https://app.hubspot.com/contacts/8748051/record/0-1/2331051", 2331051)</f>
        <v>2331051</v>
      </c>
      <c r="B586" s="14" t="s">
        <v>4477</v>
      </c>
      <c r="C586" s="16">
        <v>45057.661840277775</v>
      </c>
      <c r="D586" s="16"/>
      <c r="E586" s="32"/>
      <c r="F586" s="32"/>
      <c r="G586" s="32"/>
      <c r="H586" s="14"/>
      <c r="I586" s="14"/>
      <c r="J586" s="14"/>
      <c r="K586" s="18">
        <f>HYPERLINK("https://app.hubspot.com/contacts/8748051/record/0-2/15718589877", 15718589877)</f>
        <v>15718589877</v>
      </c>
      <c r="L586" s="14" t="s">
        <v>4478</v>
      </c>
      <c r="M586" s="18" t="s">
        <v>4479</v>
      </c>
      <c r="N586" s="14"/>
      <c r="O586" s="14"/>
      <c r="P586" s="14"/>
      <c r="Q586" s="14"/>
      <c r="R586" s="14"/>
      <c r="S586" s="24" t="str">
        <f t="shared" ref="S586:U586" si="590">IF(E586&lt;&gt;"","Yes","")</f>
        <v/>
      </c>
      <c r="T586" s="24" t="str">
        <f t="shared" si="590"/>
        <v/>
      </c>
      <c r="U586" s="24" t="str">
        <f t="shared" si="590"/>
        <v/>
      </c>
      <c r="V586" s="24" t="str">
        <f t="shared" si="3"/>
        <v/>
      </c>
      <c r="W586" s="14" t="str">
        <f t="shared" si="4"/>
        <v/>
      </c>
    </row>
    <row r="587" ht="14.25" customHeight="1">
      <c r="A587" s="18">
        <f>HYPERLINK("https://app.hubspot.com/contacts/8748051/record/0-1/2320951", 2320951)</f>
        <v>2320951</v>
      </c>
      <c r="B587" s="14" t="s">
        <v>4480</v>
      </c>
      <c r="C587" s="16">
        <v>45055.58592592592</v>
      </c>
      <c r="D587" s="16"/>
      <c r="E587" s="32"/>
      <c r="F587" s="32"/>
      <c r="G587" s="32"/>
      <c r="H587" s="14"/>
      <c r="I587" s="14"/>
      <c r="J587" s="14"/>
      <c r="K587" s="18">
        <f>HYPERLINK("https://app.hubspot.com/contacts/8748051/record/0-2/15698981654", 15698981654)</f>
        <v>15698981654</v>
      </c>
      <c r="L587" s="14" t="s">
        <v>4481</v>
      </c>
      <c r="M587" s="18" t="s">
        <v>4482</v>
      </c>
      <c r="N587" s="14"/>
      <c r="O587" s="14"/>
      <c r="P587" s="14"/>
      <c r="Q587" s="14"/>
      <c r="R587" s="14"/>
      <c r="S587" s="24" t="str">
        <f t="shared" ref="S587:U587" si="591">IF(E587&lt;&gt;"","Yes","")</f>
        <v/>
      </c>
      <c r="T587" s="24" t="str">
        <f t="shared" si="591"/>
        <v/>
      </c>
      <c r="U587" s="24" t="str">
        <f t="shared" si="591"/>
        <v/>
      </c>
      <c r="V587" s="24" t="str">
        <f t="shared" si="3"/>
        <v/>
      </c>
      <c r="W587" s="14" t="str">
        <f t="shared" si="4"/>
        <v/>
      </c>
    </row>
    <row r="588" ht="14.25" customHeight="1">
      <c r="A588" s="18">
        <f>HYPERLINK("https://app.hubspot.com/contacts/8748051/record/0-1/2302951", 2302951)</f>
        <v>2302951</v>
      </c>
      <c r="B588" s="14" t="s">
        <v>4483</v>
      </c>
      <c r="C588" s="16">
        <v>45050.58451388889</v>
      </c>
      <c r="D588" s="16"/>
      <c r="E588" s="32"/>
      <c r="F588" s="32"/>
      <c r="G588" s="32"/>
      <c r="H588" s="14"/>
      <c r="I588" s="14"/>
      <c r="J588" s="14"/>
      <c r="K588" s="18">
        <f>HYPERLINK("https://app.hubspot.com/contacts/8748051/record/0-2/15656719692", 15656719692)</f>
        <v>15656719692</v>
      </c>
      <c r="L588" s="14" t="s">
        <v>4484</v>
      </c>
      <c r="M588" s="18" t="s">
        <v>4485</v>
      </c>
      <c r="N588" s="14"/>
      <c r="O588" s="14"/>
      <c r="P588" s="14"/>
      <c r="Q588" s="14"/>
      <c r="R588" s="14"/>
      <c r="S588" s="24" t="str">
        <f t="shared" ref="S588:U588" si="592">IF(E588&lt;&gt;"","Yes","")</f>
        <v/>
      </c>
      <c r="T588" s="24" t="str">
        <f t="shared" si="592"/>
        <v/>
      </c>
      <c r="U588" s="24" t="str">
        <f t="shared" si="592"/>
        <v/>
      </c>
      <c r="V588" s="24" t="str">
        <f t="shared" si="3"/>
        <v/>
      </c>
      <c r="W588" s="14" t="str">
        <f t="shared" si="4"/>
        <v/>
      </c>
    </row>
    <row r="589" ht="14.25" customHeight="1">
      <c r="A589" s="18">
        <f>HYPERLINK("https://app.hubspot.com/contacts/8748051/record/0-1/2300101", 2300101)</f>
        <v>2300101</v>
      </c>
      <c r="B589" s="14" t="s">
        <v>4486</v>
      </c>
      <c r="C589" s="16">
        <v>45049.99884259259</v>
      </c>
      <c r="D589" s="14"/>
      <c r="E589" s="32"/>
      <c r="F589" s="32"/>
      <c r="G589" s="32"/>
      <c r="H589" s="14"/>
      <c r="I589" s="14"/>
      <c r="J589" s="14"/>
      <c r="K589" s="18">
        <f>HYPERLINK("https://app.hubspot.com/contacts/8748051/record/0-2/15651392319", 15651392319)</f>
        <v>15651392319</v>
      </c>
      <c r="L589" s="14" t="s">
        <v>4487</v>
      </c>
      <c r="M589" s="18" t="s">
        <v>4488</v>
      </c>
      <c r="N589" s="14"/>
      <c r="O589" s="14"/>
      <c r="P589" s="14"/>
      <c r="Q589" s="14"/>
      <c r="R589" s="14"/>
      <c r="S589" s="24" t="str">
        <f t="shared" ref="S589:U589" si="593">IF(E589&lt;&gt;"","Yes","")</f>
        <v/>
      </c>
      <c r="T589" s="24" t="str">
        <f t="shared" si="593"/>
        <v/>
      </c>
      <c r="U589" s="24" t="str">
        <f t="shared" si="593"/>
        <v/>
      </c>
      <c r="V589" s="24" t="str">
        <f t="shared" si="3"/>
        <v/>
      </c>
      <c r="W589" s="14" t="str">
        <f t="shared" si="4"/>
        <v/>
      </c>
    </row>
    <row r="590" ht="14.25" customHeight="1">
      <c r="A590" s="18">
        <f>HYPERLINK("https://app.hubspot.com/contacts/8748051/record/0-1/2291951", 2291951)</f>
        <v>2291951</v>
      </c>
      <c r="B590" s="14" t="s">
        <v>4489</v>
      </c>
      <c r="C590" s="16">
        <v>45048.34172453704</v>
      </c>
      <c r="D590" s="14"/>
      <c r="E590" s="32"/>
      <c r="F590" s="32"/>
      <c r="G590" s="32"/>
      <c r="H590" s="14"/>
      <c r="I590" s="14"/>
      <c r="J590" s="14"/>
      <c r="K590" s="18">
        <f>HYPERLINK("https://app.hubspot.com/contacts/8748051/record/0-2/15634820232", 15634820232)</f>
        <v>15634820232</v>
      </c>
      <c r="L590" s="14" t="s">
        <v>4490</v>
      </c>
      <c r="M590" s="18" t="s">
        <v>4491</v>
      </c>
      <c r="N590" s="14"/>
      <c r="O590" s="14"/>
      <c r="P590" s="14"/>
      <c r="Q590" s="14"/>
      <c r="R590" s="14"/>
      <c r="S590" s="24" t="str">
        <f t="shared" ref="S590:U590" si="594">IF(E590&lt;&gt;"","Yes","")</f>
        <v/>
      </c>
      <c r="T590" s="24" t="str">
        <f t="shared" si="594"/>
        <v/>
      </c>
      <c r="U590" s="24" t="str">
        <f t="shared" si="594"/>
        <v/>
      </c>
      <c r="V590" s="24" t="str">
        <f t="shared" si="3"/>
        <v/>
      </c>
      <c r="W590" s="14" t="str">
        <f t="shared" si="4"/>
        <v/>
      </c>
    </row>
    <row r="591" ht="14.25" customHeight="1">
      <c r="A591" s="18">
        <f>HYPERLINK("https://app.hubspot.com/contacts/8748051/record/0-1/2274301", 2274301)</f>
        <v>2274301</v>
      </c>
      <c r="B591" s="14" t="s">
        <v>4492</v>
      </c>
      <c r="C591" s="16">
        <v>45044.34144675926</v>
      </c>
      <c r="D591" s="14"/>
      <c r="E591" s="32"/>
      <c r="F591" s="32"/>
      <c r="G591" s="32"/>
      <c r="H591" s="14"/>
      <c r="I591" s="14"/>
      <c r="J591" s="14"/>
      <c r="K591" s="18">
        <f>HYPERLINK("https://app.hubspot.com/contacts/8748051/record/0-2/7946436488", 7946436488)</f>
        <v>7946436488</v>
      </c>
      <c r="L591" s="14" t="s">
        <v>2624</v>
      </c>
      <c r="M591" s="18" t="s">
        <v>2625</v>
      </c>
      <c r="N591" s="18">
        <f>HYPERLINK("https://app.hubspot.com/contacts/8748051/record/0-3/13240413296", 13240413296)</f>
        <v>13240413296</v>
      </c>
      <c r="O591" s="14" t="s">
        <v>2622</v>
      </c>
      <c r="P591" s="14" t="s">
        <v>146</v>
      </c>
      <c r="Q591" s="14">
        <v>9000.0</v>
      </c>
      <c r="R591" s="14" t="b">
        <v>1</v>
      </c>
      <c r="S591" s="24" t="str">
        <f t="shared" ref="S591:U591" si="595">IF(E591&lt;&gt;"","Yes","")</f>
        <v/>
      </c>
      <c r="T591" s="24" t="str">
        <f t="shared" si="595"/>
        <v/>
      </c>
      <c r="U591" s="24" t="str">
        <f t="shared" si="595"/>
        <v/>
      </c>
      <c r="V591" s="24" t="str">
        <f t="shared" si="3"/>
        <v/>
      </c>
      <c r="W591" s="14" t="str">
        <f t="shared" si="4"/>
        <v>Yes</v>
      </c>
    </row>
    <row r="592" ht="14.25" customHeight="1">
      <c r="A592" s="18">
        <f>HYPERLINK("https://app.hubspot.com/contacts/8748051/record/0-1/2258801", 2258801)</f>
        <v>2258801</v>
      </c>
      <c r="B592" s="14" t="s">
        <v>4493</v>
      </c>
      <c r="C592" s="16">
        <v>45041.56040509259</v>
      </c>
      <c r="D592" s="16"/>
      <c r="E592" s="32"/>
      <c r="F592" s="32"/>
      <c r="G592" s="32"/>
      <c r="H592" s="14"/>
      <c r="I592" s="14"/>
      <c r="J592" s="14"/>
      <c r="K592" s="18">
        <f>HYPERLINK("https://app.hubspot.com/contacts/8748051/record/0-2/15570076325", 15570076325)</f>
        <v>15570076325</v>
      </c>
      <c r="L592" s="14" t="s">
        <v>4494</v>
      </c>
      <c r="M592" s="18" t="s">
        <v>4495</v>
      </c>
      <c r="N592" s="14"/>
      <c r="O592" s="14"/>
      <c r="P592" s="14"/>
      <c r="Q592" s="14"/>
      <c r="R592" s="14"/>
      <c r="S592" s="24" t="str">
        <f t="shared" ref="S592:U592" si="596">IF(E592&lt;&gt;"","Yes","")</f>
        <v/>
      </c>
      <c r="T592" s="24" t="str">
        <f t="shared" si="596"/>
        <v/>
      </c>
      <c r="U592" s="24" t="str">
        <f t="shared" si="596"/>
        <v/>
      </c>
      <c r="V592" s="24" t="str">
        <f t="shared" si="3"/>
        <v/>
      </c>
      <c r="W592" s="14" t="str">
        <f t="shared" si="4"/>
        <v/>
      </c>
    </row>
    <row r="593" ht="14.25" customHeight="1">
      <c r="A593" s="18">
        <f>HYPERLINK("https://app.hubspot.com/contacts/8748051/record/0-1/2256901", 2256901)</f>
        <v>2256901</v>
      </c>
      <c r="B593" s="14" t="s">
        <v>4496</v>
      </c>
      <c r="C593" s="16">
        <v>45041.289305555554</v>
      </c>
      <c r="D593" s="16"/>
      <c r="E593" s="32"/>
      <c r="F593" s="32"/>
      <c r="G593" s="32"/>
      <c r="H593" s="14"/>
      <c r="I593" s="14"/>
      <c r="J593" s="14"/>
      <c r="K593" s="18">
        <f>HYPERLINK("https://app.hubspot.com/contacts/8748051/record/0-2/9238339646", 9238339646)</f>
        <v>9238339646</v>
      </c>
      <c r="L593" s="14" t="s">
        <v>4497</v>
      </c>
      <c r="M593" s="18" t="s">
        <v>4498</v>
      </c>
      <c r="N593" s="14"/>
      <c r="O593" s="14"/>
      <c r="P593" s="14"/>
      <c r="Q593" s="14"/>
      <c r="R593" s="14"/>
      <c r="S593" s="24" t="str">
        <f t="shared" ref="S593:U593" si="597">IF(E593&lt;&gt;"","Yes","")</f>
        <v/>
      </c>
      <c r="T593" s="24" t="str">
        <f t="shared" si="597"/>
        <v/>
      </c>
      <c r="U593" s="24" t="str">
        <f t="shared" si="597"/>
        <v/>
      </c>
      <c r="V593" s="24" t="str">
        <f t="shared" si="3"/>
        <v/>
      </c>
      <c r="W593" s="14" t="str">
        <f t="shared" si="4"/>
        <v/>
      </c>
    </row>
    <row r="594" ht="14.25" customHeight="1">
      <c r="A594" s="18">
        <f>HYPERLINK("https://app.hubspot.com/contacts/8748051/record/0-1/2231301", 2231301)</f>
        <v>2231301</v>
      </c>
      <c r="B594" s="14" t="s">
        <v>4499</v>
      </c>
      <c r="C594" s="16">
        <v>45035.261412037034</v>
      </c>
      <c r="D594" s="16"/>
      <c r="E594" s="32"/>
      <c r="F594" s="32"/>
      <c r="G594" s="32"/>
      <c r="H594" s="14"/>
      <c r="I594" s="14"/>
      <c r="J594" s="14"/>
      <c r="K594" s="18">
        <f>HYPERLINK("https://app.hubspot.com/contacts/8748051/record/0-2/15504465730", 15504465730)</f>
        <v>15504465730</v>
      </c>
      <c r="L594" s="14" t="s">
        <v>4500</v>
      </c>
      <c r="M594" s="18" t="s">
        <v>4501</v>
      </c>
      <c r="N594" s="14"/>
      <c r="O594" s="14"/>
      <c r="P594" s="14"/>
      <c r="Q594" s="14"/>
      <c r="R594" s="14"/>
      <c r="S594" s="24" t="str">
        <f t="shared" ref="S594:U594" si="598">IF(E594&lt;&gt;"","Yes","")</f>
        <v/>
      </c>
      <c r="T594" s="24" t="str">
        <f t="shared" si="598"/>
        <v/>
      </c>
      <c r="U594" s="24" t="str">
        <f t="shared" si="598"/>
        <v/>
      </c>
      <c r="V594" s="24" t="str">
        <f t="shared" si="3"/>
        <v/>
      </c>
      <c r="W594" s="14" t="str">
        <f t="shared" si="4"/>
        <v/>
      </c>
    </row>
    <row r="595" ht="14.25" customHeight="1">
      <c r="A595" s="18">
        <f>HYPERLINK("https://app.hubspot.com/contacts/8748051/record/0-1/2191001", 2191001)</f>
        <v>2191001</v>
      </c>
      <c r="B595" s="14" t="s">
        <v>4502</v>
      </c>
      <c r="C595" s="16">
        <v>45029.14524305556</v>
      </c>
      <c r="D595" s="16"/>
      <c r="E595" s="32"/>
      <c r="F595" s="32"/>
      <c r="G595" s="32"/>
      <c r="H595" s="14"/>
      <c r="I595" s="14"/>
      <c r="J595" s="14"/>
      <c r="K595" s="18">
        <f>HYPERLINK("https://app.hubspot.com/contacts/8748051/record/0-2/9092869730", 9092869730)</f>
        <v>9092869730</v>
      </c>
      <c r="L595" s="14" t="s">
        <v>2634</v>
      </c>
      <c r="M595" s="18" t="s">
        <v>2635</v>
      </c>
      <c r="N595" s="18">
        <f>HYPERLINK("https://app.hubspot.com/contacts/8748051/record/0-3/13069403672", 13069403672)</f>
        <v>13069403672</v>
      </c>
      <c r="O595" s="14" t="s">
        <v>2633</v>
      </c>
      <c r="P595" s="14" t="s">
        <v>124</v>
      </c>
      <c r="Q595" s="14">
        <v>30000.0</v>
      </c>
      <c r="R595" s="14" t="b">
        <v>1</v>
      </c>
      <c r="S595" s="24" t="str">
        <f t="shared" ref="S595:U595" si="599">IF(E595&lt;&gt;"","Yes","")</f>
        <v/>
      </c>
      <c r="T595" s="24" t="str">
        <f t="shared" si="599"/>
        <v/>
      </c>
      <c r="U595" s="24" t="str">
        <f t="shared" si="599"/>
        <v/>
      </c>
      <c r="V595" s="24" t="str">
        <f t="shared" si="3"/>
        <v/>
      </c>
      <c r="W595" s="14" t="str">
        <f t="shared" si="4"/>
        <v/>
      </c>
    </row>
    <row r="596" ht="14.25" customHeight="1">
      <c r="A596" s="18">
        <f>HYPERLINK("https://app.hubspot.com/contacts/8748051/record/0-1/2182901", 2182901)</f>
        <v>2182901</v>
      </c>
      <c r="B596" s="14" t="s">
        <v>4503</v>
      </c>
      <c r="C596" s="16">
        <v>45027.15157407407</v>
      </c>
      <c r="D596" s="14"/>
      <c r="E596" s="32"/>
      <c r="F596" s="32"/>
      <c r="G596" s="32"/>
      <c r="H596" s="14"/>
      <c r="I596" s="14"/>
      <c r="J596" s="14"/>
      <c r="K596" s="18">
        <f>HYPERLINK("https://app.hubspot.com/contacts/8748051/record/0-2/15431202199", 15431202199)</f>
        <v>15431202199</v>
      </c>
      <c r="L596" s="14" t="s">
        <v>4504</v>
      </c>
      <c r="M596" s="14" t="s">
        <v>4505</v>
      </c>
      <c r="N596" s="14"/>
      <c r="O596" s="14"/>
      <c r="P596" s="14"/>
      <c r="Q596" s="14"/>
      <c r="R596" s="14"/>
      <c r="S596" s="24" t="str">
        <f t="shared" ref="S596:U596" si="600">IF(E596&lt;&gt;"","Yes","")</f>
        <v/>
      </c>
      <c r="T596" s="24" t="str">
        <f t="shared" si="600"/>
        <v/>
      </c>
      <c r="U596" s="24" t="str">
        <f t="shared" si="600"/>
        <v/>
      </c>
      <c r="V596" s="24" t="str">
        <f t="shared" si="3"/>
        <v/>
      </c>
      <c r="W596" s="14" t="str">
        <f t="shared" si="4"/>
        <v/>
      </c>
    </row>
    <row r="597" ht="14.25" customHeight="1">
      <c r="A597" s="18">
        <f>HYPERLINK("https://app.hubspot.com/contacts/8748051/record/0-1/2159801", 2159801)</f>
        <v>2159801</v>
      </c>
      <c r="B597" s="14" t="s">
        <v>4506</v>
      </c>
      <c r="C597" s="16">
        <v>45021.222962962966</v>
      </c>
      <c r="D597" s="16"/>
      <c r="E597" s="32"/>
      <c r="F597" s="32"/>
      <c r="G597" s="32"/>
      <c r="H597" s="14"/>
      <c r="I597" s="14"/>
      <c r="J597" s="14"/>
      <c r="K597" s="18">
        <f>HYPERLINK("https://app.hubspot.com/contacts/8748051/record/0-2/15389147567", 15389147567)</f>
        <v>15389147567</v>
      </c>
      <c r="L597" s="14" t="s">
        <v>4507</v>
      </c>
      <c r="M597" s="18" t="s">
        <v>4508</v>
      </c>
      <c r="N597" s="14"/>
      <c r="O597" s="14"/>
      <c r="P597" s="14"/>
      <c r="Q597" s="14"/>
      <c r="R597" s="14"/>
      <c r="S597" s="24" t="str">
        <f t="shared" ref="S597:U597" si="601">IF(E597&lt;&gt;"","Yes","")</f>
        <v/>
      </c>
      <c r="T597" s="24" t="str">
        <f t="shared" si="601"/>
        <v/>
      </c>
      <c r="U597" s="24" t="str">
        <f t="shared" si="601"/>
        <v/>
      </c>
      <c r="V597" s="24" t="str">
        <f t="shared" si="3"/>
        <v/>
      </c>
      <c r="W597" s="14" t="str">
        <f t="shared" si="4"/>
        <v/>
      </c>
    </row>
    <row r="598" ht="14.25" customHeight="1">
      <c r="A598" s="18">
        <f>HYPERLINK("https://app.hubspot.com/contacts/8748051/record/0-1/2154751", 2154751)</f>
        <v>2154751</v>
      </c>
      <c r="B598" s="14" t="s">
        <v>4509</v>
      </c>
      <c r="C598" s="16">
        <v>45020.34741898148</v>
      </c>
      <c r="D598" s="16"/>
      <c r="E598" s="32"/>
      <c r="F598" s="32"/>
      <c r="G598" s="32"/>
      <c r="H598" s="14"/>
      <c r="I598" s="14"/>
      <c r="J598" s="14"/>
      <c r="K598" s="18">
        <f>HYPERLINK("https://app.hubspot.com/contacts/8748051/record/0-2/9781558177", 9781558177)</f>
        <v>9781558177</v>
      </c>
      <c r="L598" s="14" t="s">
        <v>863</v>
      </c>
      <c r="M598" s="18" t="s">
        <v>864</v>
      </c>
      <c r="N598" s="18">
        <f>HYPERLINK("https://app.hubspot.com/contacts/8748051/record/0-3/12970621556", 12970621556)</f>
        <v>12970621556</v>
      </c>
      <c r="O598" s="14" t="s">
        <v>2636</v>
      </c>
      <c r="P598" s="14" t="s">
        <v>89</v>
      </c>
      <c r="Q598" s="14">
        <v>13500.0</v>
      </c>
      <c r="R598" s="14" t="b">
        <v>1</v>
      </c>
      <c r="S598" s="24" t="str">
        <f t="shared" ref="S598:U598" si="602">IF(E598&lt;&gt;"","Yes","")</f>
        <v/>
      </c>
      <c r="T598" s="24" t="str">
        <f t="shared" si="602"/>
        <v/>
      </c>
      <c r="U598" s="24" t="str">
        <f t="shared" si="602"/>
        <v/>
      </c>
      <c r="V598" s="24" t="str">
        <f t="shared" si="3"/>
        <v>Yes</v>
      </c>
      <c r="W598" s="14" t="str">
        <f t="shared" si="4"/>
        <v/>
      </c>
    </row>
    <row r="599" ht="14.25" customHeight="1">
      <c r="A599" s="18">
        <f>HYPERLINK("https://app.hubspot.com/contacts/8748051/record/0-1/2133201", 2133201)</f>
        <v>2133201</v>
      </c>
      <c r="B599" s="14" t="s">
        <v>4510</v>
      </c>
      <c r="C599" s="16">
        <v>45016.57609953704</v>
      </c>
      <c r="D599" s="14"/>
      <c r="E599" s="32"/>
      <c r="F599" s="32"/>
      <c r="G599" s="32"/>
      <c r="H599" s="14"/>
      <c r="I599" s="14"/>
      <c r="J599" s="14"/>
      <c r="K599" s="18">
        <f>HYPERLINK("https://app.hubspot.com/contacts/8748051/record/0-2/14810802530", 14810802530)</f>
        <v>14810802530</v>
      </c>
      <c r="L599" s="14" t="s">
        <v>4511</v>
      </c>
      <c r="M599" s="18" t="s">
        <v>4512</v>
      </c>
      <c r="N599" s="14"/>
      <c r="O599" s="14"/>
      <c r="P599" s="14"/>
      <c r="Q599" s="14"/>
      <c r="R599" s="14"/>
      <c r="S599" s="24" t="str">
        <f t="shared" ref="S599:U599" si="603">IF(E599&lt;&gt;"","Yes","")</f>
        <v/>
      </c>
      <c r="T599" s="24" t="str">
        <f t="shared" si="603"/>
        <v/>
      </c>
      <c r="U599" s="24" t="str">
        <f t="shared" si="603"/>
        <v/>
      </c>
      <c r="V599" s="24" t="str">
        <f t="shared" si="3"/>
        <v/>
      </c>
      <c r="W599" s="14" t="str">
        <f t="shared" si="4"/>
        <v/>
      </c>
    </row>
    <row r="600" ht="14.25" customHeight="1">
      <c r="A600" s="18">
        <f>HYPERLINK("https://app.hubspot.com/contacts/8748051/record/0-1/2137601", 2137601)</f>
        <v>2137601</v>
      </c>
      <c r="B600" s="14" t="s">
        <v>4513</v>
      </c>
      <c r="C600" s="16">
        <v>45015.804236111115</v>
      </c>
      <c r="D600" s="16"/>
      <c r="E600" s="32"/>
      <c r="F600" s="32"/>
      <c r="G600" s="32"/>
      <c r="H600" s="14"/>
      <c r="I600" s="14"/>
      <c r="J600" s="14"/>
      <c r="K600" s="18">
        <f>HYPERLINK("https://app.hubspot.com/contacts/8748051/record/0-2/15345840543", 15345840543)</f>
        <v>15345840543</v>
      </c>
      <c r="L600" s="14" t="s">
        <v>2617</v>
      </c>
      <c r="M600" s="18" t="s">
        <v>2618</v>
      </c>
      <c r="N600" s="18">
        <f>HYPERLINK("https://app.hubspot.com/contacts/8748051/record/0-3/13366231134", 13366231134)</f>
        <v>13366231134</v>
      </c>
      <c r="O600" s="14" t="s">
        <v>2615</v>
      </c>
      <c r="P600" s="14" t="s">
        <v>146</v>
      </c>
      <c r="Q600" s="14">
        <v>17280.0</v>
      </c>
      <c r="R600" s="14" t="b">
        <v>1</v>
      </c>
      <c r="S600" s="24" t="str">
        <f t="shared" ref="S600:U600" si="604">IF(E600&lt;&gt;"","Yes","")</f>
        <v/>
      </c>
      <c r="T600" s="24" t="str">
        <f t="shared" si="604"/>
        <v/>
      </c>
      <c r="U600" s="24" t="str">
        <f t="shared" si="604"/>
        <v/>
      </c>
      <c r="V600" s="24" t="str">
        <f t="shared" si="3"/>
        <v/>
      </c>
      <c r="W600" s="14" t="str">
        <f t="shared" si="4"/>
        <v>Yes</v>
      </c>
    </row>
    <row r="601" ht="14.25" customHeight="1">
      <c r="A601" s="18">
        <f>HYPERLINK("https://app.hubspot.com/contacts/8748051/record/0-1/2130251", 2130251)</f>
        <v>2130251</v>
      </c>
      <c r="B601" s="14" t="s">
        <v>4514</v>
      </c>
      <c r="C601" s="16">
        <v>45014.413090277776</v>
      </c>
      <c r="D601" s="16"/>
      <c r="E601" s="32"/>
      <c r="F601" s="32"/>
      <c r="G601" s="32"/>
      <c r="H601" s="14"/>
      <c r="I601" s="14"/>
      <c r="J601" s="14"/>
      <c r="K601" s="18">
        <f>HYPERLINK("https://app.hubspot.com/contacts/8748051/record/0-2/15329345412", 15329345412)</f>
        <v>15329345412</v>
      </c>
      <c r="L601" s="14" t="s">
        <v>4515</v>
      </c>
      <c r="M601" s="18" t="s">
        <v>4516</v>
      </c>
      <c r="N601" s="24"/>
      <c r="O601" s="14"/>
      <c r="P601" s="14"/>
      <c r="Q601" s="14"/>
      <c r="R601" s="14"/>
      <c r="S601" s="24" t="str">
        <f t="shared" ref="S601:U601" si="605">IF(E601&lt;&gt;"","Yes","")</f>
        <v/>
      </c>
      <c r="T601" s="24" t="str">
        <f t="shared" si="605"/>
        <v/>
      </c>
      <c r="U601" s="24" t="str">
        <f t="shared" si="605"/>
        <v/>
      </c>
      <c r="V601" s="24" t="str">
        <f t="shared" si="3"/>
        <v/>
      </c>
      <c r="W601" s="14" t="str">
        <f t="shared" si="4"/>
        <v/>
      </c>
    </row>
    <row r="602" ht="14.25" customHeight="1">
      <c r="A602" s="18">
        <f>HYPERLINK("https://app.hubspot.com/contacts/8748051/record/0-1/2127851", 2127851)</f>
        <v>2127851</v>
      </c>
      <c r="B602" s="14" t="s">
        <v>4517</v>
      </c>
      <c r="C602" s="16">
        <v>45014.0059837963</v>
      </c>
      <c r="D602" s="14"/>
      <c r="E602" s="32"/>
      <c r="F602" s="32"/>
      <c r="G602" s="32"/>
      <c r="H602" s="14"/>
      <c r="I602" s="14"/>
      <c r="J602" s="14"/>
      <c r="K602" s="18">
        <f>HYPERLINK("https://app.hubspot.com/contacts/8748051/record/0-2/15325187944", 15325187944)</f>
        <v>15325187944</v>
      </c>
      <c r="L602" s="14" t="s">
        <v>4518</v>
      </c>
      <c r="M602" s="18" t="s">
        <v>4519</v>
      </c>
      <c r="N602" s="14"/>
      <c r="O602" s="14"/>
      <c r="P602" s="14"/>
      <c r="Q602" s="14"/>
      <c r="R602" s="14"/>
      <c r="S602" s="24" t="str">
        <f t="shared" ref="S602:U602" si="606">IF(E602&lt;&gt;"","Yes","")</f>
        <v/>
      </c>
      <c r="T602" s="24" t="str">
        <f t="shared" si="606"/>
        <v/>
      </c>
      <c r="U602" s="24" t="str">
        <f t="shared" si="606"/>
        <v/>
      </c>
      <c r="V602" s="24" t="str">
        <f t="shared" si="3"/>
        <v/>
      </c>
      <c r="W602" s="14" t="str">
        <f t="shared" si="4"/>
        <v/>
      </c>
    </row>
    <row r="603" ht="14.25" customHeight="1">
      <c r="A603" s="18">
        <f>HYPERLINK("https://app.hubspot.com/contacts/8748051/record/0-1/2115501", 2115501)</f>
        <v>2115501</v>
      </c>
      <c r="B603" s="14" t="s">
        <v>4520</v>
      </c>
      <c r="C603" s="16">
        <v>45012.236030092594</v>
      </c>
      <c r="D603" s="16"/>
      <c r="E603" s="32"/>
      <c r="F603" s="32"/>
      <c r="G603" s="32"/>
      <c r="H603" s="14"/>
      <c r="I603" s="14"/>
      <c r="J603" s="14"/>
      <c r="K603" s="18">
        <f>HYPERLINK("https://app.hubspot.com/contacts/8748051/record/0-2/6936374888", 6936374888)</f>
        <v>6936374888</v>
      </c>
      <c r="L603" s="14" t="s">
        <v>1846</v>
      </c>
      <c r="M603" s="18" t="s">
        <v>1847</v>
      </c>
      <c r="N603" s="14"/>
      <c r="O603" s="14"/>
      <c r="P603" s="14"/>
      <c r="Q603" s="14"/>
      <c r="R603" s="14"/>
      <c r="S603" s="24" t="str">
        <f t="shared" ref="S603:U603" si="607">IF(E603&lt;&gt;"","Yes","")</f>
        <v/>
      </c>
      <c r="T603" s="24" t="str">
        <f t="shared" si="607"/>
        <v/>
      </c>
      <c r="U603" s="24" t="str">
        <f t="shared" si="607"/>
        <v/>
      </c>
      <c r="V603" s="24" t="str">
        <f t="shared" si="3"/>
        <v/>
      </c>
      <c r="W603" s="14" t="str">
        <f t="shared" si="4"/>
        <v/>
      </c>
    </row>
    <row r="604" ht="14.25" customHeight="1">
      <c r="A604" s="18">
        <f>HYPERLINK("https://app.hubspot.com/contacts/8748051/record/0-1/2097051", 2097051)</f>
        <v>2097051</v>
      </c>
      <c r="B604" s="14" t="s">
        <v>4521</v>
      </c>
      <c r="C604" s="16">
        <v>45008.38579861111</v>
      </c>
      <c r="D604" s="16"/>
      <c r="E604" s="32"/>
      <c r="F604" s="32"/>
      <c r="G604" s="32"/>
      <c r="H604" s="14"/>
      <c r="I604" s="14"/>
      <c r="J604" s="14"/>
      <c r="K604" s="18">
        <f>HYPERLINK("https://app.hubspot.com/contacts/8748051/record/0-2/8324054933", 8324054933)</f>
        <v>8324054933</v>
      </c>
      <c r="L604" s="14" t="s">
        <v>2904</v>
      </c>
      <c r="M604" s="18" t="s">
        <v>2905</v>
      </c>
      <c r="N604" s="14"/>
      <c r="O604" s="14"/>
      <c r="P604" s="14"/>
      <c r="Q604" s="14"/>
      <c r="R604" s="14"/>
      <c r="S604" s="24" t="str">
        <f t="shared" ref="S604:U604" si="608">IF(E604&lt;&gt;"","Yes","")</f>
        <v/>
      </c>
      <c r="T604" s="24" t="str">
        <f t="shared" si="608"/>
        <v/>
      </c>
      <c r="U604" s="24" t="str">
        <f t="shared" si="608"/>
        <v/>
      </c>
      <c r="V604" s="24" t="str">
        <f t="shared" si="3"/>
        <v/>
      </c>
      <c r="W604" s="14" t="str">
        <f t="shared" si="4"/>
        <v/>
      </c>
    </row>
    <row r="605" ht="14.25" customHeight="1">
      <c r="A605" s="18">
        <f>HYPERLINK("https://app.hubspot.com/contacts/8748051/record/0-1/2095701", 2095701)</f>
        <v>2095701</v>
      </c>
      <c r="B605" s="14" t="s">
        <v>4522</v>
      </c>
      <c r="C605" s="16">
        <v>45008.213784722226</v>
      </c>
      <c r="D605" s="16"/>
      <c r="E605" s="32"/>
      <c r="F605" s="32"/>
      <c r="G605" s="32"/>
      <c r="H605" s="14"/>
      <c r="I605" s="14"/>
      <c r="J605" s="14"/>
      <c r="K605" s="18">
        <f>HYPERLINK("https://app.hubspot.com/contacts/8748051/record/0-2/15267339647", 15267339647)</f>
        <v>15267339647</v>
      </c>
      <c r="L605" s="14" t="s">
        <v>4523</v>
      </c>
      <c r="M605" s="14" t="s">
        <v>4524</v>
      </c>
      <c r="N605" s="14"/>
      <c r="O605" s="14"/>
      <c r="P605" s="14"/>
      <c r="Q605" s="14"/>
      <c r="R605" s="14"/>
      <c r="S605" s="24" t="str">
        <f t="shared" ref="S605:U605" si="609">IF(E605&lt;&gt;"","Yes","")</f>
        <v/>
      </c>
      <c r="T605" s="24" t="str">
        <f t="shared" si="609"/>
        <v/>
      </c>
      <c r="U605" s="24" t="str">
        <f t="shared" si="609"/>
        <v/>
      </c>
      <c r="V605" s="24" t="str">
        <f t="shared" si="3"/>
        <v/>
      </c>
      <c r="W605" s="14" t="str">
        <f t="shared" si="4"/>
        <v/>
      </c>
    </row>
    <row r="606" ht="14.25" customHeight="1">
      <c r="A606" s="18">
        <f>HYPERLINK("https://app.hubspot.com/contacts/8748051/record/0-1/2086851", 2086851)</f>
        <v>2086851</v>
      </c>
      <c r="B606" s="14" t="s">
        <v>4525</v>
      </c>
      <c r="C606" s="16">
        <v>45006.71633101852</v>
      </c>
      <c r="D606" s="14"/>
      <c r="E606" s="32"/>
      <c r="F606" s="32"/>
      <c r="G606" s="32"/>
      <c r="H606" s="14"/>
      <c r="I606" s="14"/>
      <c r="J606" s="14"/>
      <c r="K606" s="18">
        <f>HYPERLINK("https://app.hubspot.com/contacts/8748051/record/0-2/15250877711", 15250877711)</f>
        <v>15250877711</v>
      </c>
      <c r="L606" s="14" t="s">
        <v>4526</v>
      </c>
      <c r="M606" s="18" t="s">
        <v>4527</v>
      </c>
      <c r="N606" s="14"/>
      <c r="O606" s="14"/>
      <c r="P606" s="14"/>
      <c r="Q606" s="14"/>
      <c r="R606" s="14"/>
      <c r="S606" s="24" t="str">
        <f t="shared" ref="S606:U606" si="610">IF(E606&lt;&gt;"","Yes","")</f>
        <v/>
      </c>
      <c r="T606" s="24" t="str">
        <f t="shared" si="610"/>
        <v/>
      </c>
      <c r="U606" s="24" t="str">
        <f t="shared" si="610"/>
        <v/>
      </c>
      <c r="V606" s="24" t="str">
        <f t="shared" si="3"/>
        <v/>
      </c>
      <c r="W606" s="14" t="str">
        <f t="shared" si="4"/>
        <v/>
      </c>
    </row>
    <row r="607" ht="14.25" customHeight="1">
      <c r="A607" s="18">
        <f>HYPERLINK("https://app.hubspot.com/contacts/8748051/record/0-1/2083351", 2083351)</f>
        <v>2083351</v>
      </c>
      <c r="B607" s="14" t="s">
        <v>4528</v>
      </c>
      <c r="C607" s="16">
        <v>45006.16111111111</v>
      </c>
      <c r="D607" s="16"/>
      <c r="E607" s="32"/>
      <c r="F607" s="32"/>
      <c r="G607" s="32"/>
      <c r="H607" s="14"/>
      <c r="I607" s="14"/>
      <c r="J607" s="14"/>
      <c r="K607" s="18">
        <f>HYPERLINK("https://app.hubspot.com/contacts/8748051/record/0-2/15242937177", 15242937177)</f>
        <v>15242937177</v>
      </c>
      <c r="L607" s="14" t="s">
        <v>4529</v>
      </c>
      <c r="M607" s="18" t="s">
        <v>4530</v>
      </c>
      <c r="N607" s="14"/>
      <c r="O607" s="14"/>
      <c r="P607" s="14"/>
      <c r="Q607" s="14"/>
      <c r="R607" s="14"/>
      <c r="S607" s="24" t="str">
        <f t="shared" ref="S607:U607" si="611">IF(E607&lt;&gt;"","Yes","")</f>
        <v/>
      </c>
      <c r="T607" s="24" t="str">
        <f t="shared" si="611"/>
        <v/>
      </c>
      <c r="U607" s="24" t="str">
        <f t="shared" si="611"/>
        <v/>
      </c>
      <c r="V607" s="24" t="str">
        <f t="shared" si="3"/>
        <v/>
      </c>
      <c r="W607" s="14" t="str">
        <f t="shared" si="4"/>
        <v/>
      </c>
    </row>
    <row r="608" ht="14.25" customHeight="1">
      <c r="A608" s="18">
        <f>HYPERLINK("https://app.hubspot.com/contacts/8748051/record/0-1/1199451", 1199451)</f>
        <v>1199451</v>
      </c>
      <c r="B608" s="14" t="s">
        <v>4531</v>
      </c>
      <c r="C608" s="16">
        <v>45001.29876157407</v>
      </c>
      <c r="D608" s="16"/>
      <c r="E608" s="32"/>
      <c r="F608" s="32"/>
      <c r="G608" s="32"/>
      <c r="H608" s="14"/>
      <c r="I608" s="14"/>
      <c r="J608" s="14"/>
      <c r="K608" s="18">
        <f>HYPERLINK("https://app.hubspot.com/contacts/8748051/record/0-2/8946917146", 8946917146)</f>
        <v>8946917146</v>
      </c>
      <c r="L608" s="14" t="s">
        <v>1588</v>
      </c>
      <c r="M608" s="18" t="s">
        <v>1589</v>
      </c>
      <c r="N608" s="18">
        <f>HYPERLINK("https://app.hubspot.com/contacts/8748051/record/0-3/20461954884", 20461954884)</f>
        <v>20461954884</v>
      </c>
      <c r="O608" s="14" t="s">
        <v>1586</v>
      </c>
      <c r="P608" s="14" t="s">
        <v>89</v>
      </c>
      <c r="Q608" s="14">
        <v>4050.0</v>
      </c>
      <c r="R608" s="14" t="b">
        <v>1</v>
      </c>
      <c r="S608" s="24" t="str">
        <f t="shared" ref="S608:U608" si="612">IF(E608&lt;&gt;"","Yes","")</f>
        <v/>
      </c>
      <c r="T608" s="24" t="str">
        <f t="shared" si="612"/>
        <v/>
      </c>
      <c r="U608" s="24" t="str">
        <f t="shared" si="612"/>
        <v/>
      </c>
      <c r="V608" s="24" t="str">
        <f t="shared" si="3"/>
        <v>Yes</v>
      </c>
      <c r="W608" s="14" t="str">
        <f t="shared" si="4"/>
        <v/>
      </c>
    </row>
    <row r="609" ht="14.25" customHeight="1">
      <c r="A609" s="18">
        <f>HYPERLINK("https://app.hubspot.com/contacts/8748051/record/0-1/2038401", 2038401)</f>
        <v>2038401</v>
      </c>
      <c r="B609" s="14" t="s">
        <v>4532</v>
      </c>
      <c r="C609" s="16">
        <v>44998.468773148146</v>
      </c>
      <c r="D609" s="16"/>
      <c r="E609" s="32"/>
      <c r="F609" s="32">
        <v>45681.0</v>
      </c>
      <c r="G609" s="32">
        <v>45681.0</v>
      </c>
      <c r="H609" s="14"/>
      <c r="I609" s="14"/>
      <c r="J609" s="14"/>
      <c r="K609" s="18">
        <f>HYPERLINK("https://app.hubspot.com/contacts/8748051/record/0-2/15119716451", 15119716451)</f>
        <v>15119716451</v>
      </c>
      <c r="L609" s="14" t="s">
        <v>203</v>
      </c>
      <c r="M609" s="18" t="s">
        <v>204</v>
      </c>
      <c r="N609" s="18">
        <f>HYPERLINK("https://app.hubspot.com/contacts/8748051/record/0-3/17100968511", 17100968511)</f>
        <v>17100968511</v>
      </c>
      <c r="O609" s="14" t="s">
        <v>2318</v>
      </c>
      <c r="P609" s="14" t="s">
        <v>89</v>
      </c>
      <c r="Q609" s="14">
        <v>29562.0</v>
      </c>
      <c r="R609" s="14" t="b">
        <v>1</v>
      </c>
      <c r="S609" s="24" t="str">
        <f t="shared" ref="S609:U609" si="613">IF(E609&lt;&gt;"","Yes","")</f>
        <v/>
      </c>
      <c r="T609" s="24" t="str">
        <f t="shared" si="613"/>
        <v>Yes</v>
      </c>
      <c r="U609" s="24" t="str">
        <f t="shared" si="613"/>
        <v>Yes</v>
      </c>
      <c r="V609" s="24" t="str">
        <f t="shared" si="3"/>
        <v>Yes</v>
      </c>
      <c r="W609" s="14" t="str">
        <f t="shared" si="4"/>
        <v/>
      </c>
    </row>
    <row r="610" ht="14.25" customHeight="1">
      <c r="A610" s="18">
        <f>HYPERLINK("https://app.hubspot.com/contacts/8748051/record/0-1/2028151", 2028151)</f>
        <v>2028151</v>
      </c>
      <c r="B610" s="14" t="s">
        <v>4533</v>
      </c>
      <c r="C610" s="16">
        <v>44995.39436342593</v>
      </c>
      <c r="D610" s="16"/>
      <c r="E610" s="32"/>
      <c r="F610" s="32"/>
      <c r="G610" s="32"/>
      <c r="H610" s="14"/>
      <c r="I610" s="14"/>
      <c r="J610" s="14"/>
      <c r="K610" s="18">
        <f>HYPERLINK("https://app.hubspot.com/contacts/8748051/record/0-2/15061272898", 15061272898)</f>
        <v>15061272898</v>
      </c>
      <c r="L610" s="14" t="s">
        <v>4534</v>
      </c>
      <c r="M610" s="14" t="s">
        <v>4535</v>
      </c>
      <c r="N610" s="24"/>
      <c r="O610" s="14"/>
      <c r="P610" s="14"/>
      <c r="Q610" s="14"/>
      <c r="R610" s="14"/>
      <c r="S610" s="24" t="str">
        <f t="shared" ref="S610:U610" si="614">IF(E610&lt;&gt;"","Yes","")</f>
        <v/>
      </c>
      <c r="T610" s="24" t="str">
        <f t="shared" si="614"/>
        <v/>
      </c>
      <c r="U610" s="24" t="str">
        <f t="shared" si="614"/>
        <v/>
      </c>
      <c r="V610" s="24" t="str">
        <f t="shared" si="3"/>
        <v/>
      </c>
      <c r="W610" s="14" t="str">
        <f t="shared" si="4"/>
        <v/>
      </c>
    </row>
    <row r="611" ht="14.25" customHeight="1">
      <c r="A611" s="18">
        <f>HYPERLINK("https://app.hubspot.com/contacts/8748051/record/0-1/2008551", 2008551)</f>
        <v>2008551</v>
      </c>
      <c r="B611" s="14" t="s">
        <v>4536</v>
      </c>
      <c r="C611" s="16">
        <v>44992.12899305556</v>
      </c>
      <c r="D611" s="14"/>
      <c r="E611" s="32"/>
      <c r="F611" s="32"/>
      <c r="G611" s="32"/>
      <c r="H611" s="14"/>
      <c r="I611" s="14"/>
      <c r="J611" s="14"/>
      <c r="K611" s="18">
        <f>HYPERLINK("https://app.hubspot.com/contacts/8748051/record/0-2/14981052460", 14981052460)</f>
        <v>14981052460</v>
      </c>
      <c r="L611" s="14" t="s">
        <v>2627</v>
      </c>
      <c r="M611" s="18" t="s">
        <v>2628</v>
      </c>
      <c r="N611" s="18">
        <f>HYPERLINK("https://app.hubspot.com/contacts/8748051/record/0-3/13169390936", 13169390936)</f>
        <v>13169390936</v>
      </c>
      <c r="O611" s="14" t="s">
        <v>2626</v>
      </c>
      <c r="P611" s="14" t="s">
        <v>124</v>
      </c>
      <c r="Q611" s="14">
        <v>9000.0</v>
      </c>
      <c r="R611" s="14"/>
      <c r="S611" s="24" t="str">
        <f t="shared" ref="S611:U611" si="615">IF(E611&lt;&gt;"","Yes","")</f>
        <v/>
      </c>
      <c r="T611" s="24" t="str">
        <f t="shared" si="615"/>
        <v/>
      </c>
      <c r="U611" s="24" t="str">
        <f t="shared" si="615"/>
        <v/>
      </c>
      <c r="V611" s="24" t="str">
        <f t="shared" si="3"/>
        <v/>
      </c>
      <c r="W611" s="14" t="str">
        <f t="shared" si="4"/>
        <v/>
      </c>
    </row>
    <row r="612" ht="14.25" customHeight="1">
      <c r="A612" s="18">
        <f>HYPERLINK("https://app.hubspot.com/contacts/8748051/record/0-1/2007801", 2007801)</f>
        <v>2007801</v>
      </c>
      <c r="B612" s="14" t="s">
        <v>4537</v>
      </c>
      <c r="C612" s="16">
        <v>44991.9809837963</v>
      </c>
      <c r="D612" s="14"/>
      <c r="E612" s="32"/>
      <c r="F612" s="32"/>
      <c r="G612" s="32"/>
      <c r="H612" s="14"/>
      <c r="I612" s="14"/>
      <c r="J612" s="14"/>
      <c r="K612" s="18">
        <f>HYPERLINK("https://app.hubspot.com/contacts/8748051/record/0-2/9549846031", 9549846031)</f>
        <v>9549846031</v>
      </c>
      <c r="L612" s="14" t="s">
        <v>4538</v>
      </c>
      <c r="M612" s="18" t="s">
        <v>4539</v>
      </c>
      <c r="N612" s="14"/>
      <c r="O612" s="14"/>
      <c r="P612" s="14"/>
      <c r="Q612" s="14"/>
      <c r="R612" s="14"/>
      <c r="S612" s="24" t="str">
        <f t="shared" ref="S612:U612" si="616">IF(E612&lt;&gt;"","Yes","")</f>
        <v/>
      </c>
      <c r="T612" s="24" t="str">
        <f t="shared" si="616"/>
        <v/>
      </c>
      <c r="U612" s="24" t="str">
        <f t="shared" si="616"/>
        <v/>
      </c>
      <c r="V612" s="24" t="str">
        <f t="shared" si="3"/>
        <v/>
      </c>
      <c r="W612" s="14" t="str">
        <f t="shared" si="4"/>
        <v/>
      </c>
    </row>
    <row r="613" ht="14.25" customHeight="1">
      <c r="A613" s="18">
        <f>HYPERLINK("https://app.hubspot.com/contacts/8748051/record/0-1/2004951", 2004951)</f>
        <v>2004951</v>
      </c>
      <c r="B613" s="14" t="s">
        <v>4540</v>
      </c>
      <c r="C613" s="16">
        <v>44991.67891203704</v>
      </c>
      <c r="D613" s="16"/>
      <c r="E613" s="32"/>
      <c r="F613" s="32"/>
      <c r="G613" s="32"/>
      <c r="H613" s="14"/>
      <c r="I613" s="14"/>
      <c r="J613" s="14"/>
      <c r="K613" s="18">
        <f>HYPERLINK("https://app.hubspot.com/contacts/8748051/record/0-2/10013265046", 10013265046)</f>
        <v>10013265046</v>
      </c>
      <c r="L613" s="14" t="s">
        <v>470</v>
      </c>
      <c r="M613" s="18" t="s">
        <v>471</v>
      </c>
      <c r="N613" s="24"/>
      <c r="O613" s="14"/>
      <c r="P613" s="14"/>
      <c r="Q613" s="14"/>
      <c r="R613" s="14"/>
      <c r="S613" s="24" t="str">
        <f t="shared" ref="S613:U613" si="617">IF(E613&lt;&gt;"","Yes","")</f>
        <v/>
      </c>
      <c r="T613" s="24" t="str">
        <f t="shared" si="617"/>
        <v/>
      </c>
      <c r="U613" s="24" t="str">
        <f t="shared" si="617"/>
        <v/>
      </c>
      <c r="V613" s="24" t="str">
        <f t="shared" si="3"/>
        <v/>
      </c>
      <c r="W613" s="14" t="str">
        <f t="shared" si="4"/>
        <v/>
      </c>
    </row>
    <row r="614" ht="14.25" customHeight="1">
      <c r="A614" s="18">
        <f>HYPERLINK("https://app.hubspot.com/contacts/8748051/record/0-1/2005451", 2005451)</f>
        <v>2005451</v>
      </c>
      <c r="B614" s="14" t="s">
        <v>4541</v>
      </c>
      <c r="C614" s="16">
        <v>44991.48991898148</v>
      </c>
      <c r="D614" s="16"/>
      <c r="E614" s="32"/>
      <c r="F614" s="32"/>
      <c r="G614" s="32"/>
      <c r="H614" s="14"/>
      <c r="I614" s="14"/>
      <c r="J614" s="14"/>
      <c r="K614" s="18">
        <f>HYPERLINK("https://app.hubspot.com/contacts/8748051/record/0-2/14967804548", 14967804548)</f>
        <v>14967804548</v>
      </c>
      <c r="L614" s="14" t="s">
        <v>4542</v>
      </c>
      <c r="M614" s="18" t="s">
        <v>4543</v>
      </c>
      <c r="N614" s="14"/>
      <c r="O614" s="14"/>
      <c r="P614" s="14"/>
      <c r="Q614" s="14"/>
      <c r="R614" s="14"/>
      <c r="S614" s="24" t="str">
        <f t="shared" ref="S614:U614" si="618">IF(E614&lt;&gt;"","Yes","")</f>
        <v/>
      </c>
      <c r="T614" s="24" t="str">
        <f t="shared" si="618"/>
        <v/>
      </c>
      <c r="U614" s="24" t="str">
        <f t="shared" si="618"/>
        <v/>
      </c>
      <c r="V614" s="24" t="str">
        <f t="shared" si="3"/>
        <v/>
      </c>
      <c r="W614" s="14" t="str">
        <f t="shared" si="4"/>
        <v/>
      </c>
    </row>
    <row r="615" ht="14.25" customHeight="1">
      <c r="A615" s="18">
        <f>HYPERLINK("https://app.hubspot.com/contacts/8748051/record/0-1/2003901", 2003901)</f>
        <v>2003901</v>
      </c>
      <c r="B615" s="14" t="s">
        <v>4544</v>
      </c>
      <c r="C615" s="16">
        <v>44991.320914351854</v>
      </c>
      <c r="D615" s="16"/>
      <c r="E615" s="32"/>
      <c r="F615" s="32"/>
      <c r="G615" s="32"/>
      <c r="H615" s="14"/>
      <c r="I615" s="14"/>
      <c r="J615" s="14"/>
      <c r="K615" s="18">
        <f>HYPERLINK("https://app.hubspot.com/contacts/8748051/record/0-2/14965222243", 14965222243)</f>
        <v>14965222243</v>
      </c>
      <c r="L615" s="18" t="s">
        <v>4545</v>
      </c>
      <c r="M615" s="18" t="s">
        <v>4545</v>
      </c>
      <c r="N615" s="14"/>
      <c r="O615" s="14"/>
      <c r="P615" s="14"/>
      <c r="Q615" s="14"/>
      <c r="R615" s="14"/>
      <c r="S615" s="24" t="str">
        <f t="shared" ref="S615:U615" si="619">IF(E615&lt;&gt;"","Yes","")</f>
        <v/>
      </c>
      <c r="T615" s="24" t="str">
        <f t="shared" si="619"/>
        <v/>
      </c>
      <c r="U615" s="24" t="str">
        <f t="shared" si="619"/>
        <v/>
      </c>
      <c r="V615" s="24" t="str">
        <f t="shared" si="3"/>
        <v/>
      </c>
      <c r="W615" s="14" t="str">
        <f t="shared" si="4"/>
        <v/>
      </c>
    </row>
    <row r="616" ht="14.25" customHeight="1">
      <c r="A616" s="18">
        <f>HYPERLINK("https://app.hubspot.com/contacts/8748051/record/0-1/1685051", 1685051)</f>
        <v>1685051</v>
      </c>
      <c r="B616" s="14" t="s">
        <v>4546</v>
      </c>
      <c r="C616" s="16">
        <v>44988.6875</v>
      </c>
      <c r="D616" s="14"/>
      <c r="E616" s="32"/>
      <c r="F616" s="32"/>
      <c r="G616" s="32"/>
      <c r="H616" s="14"/>
      <c r="I616" s="14"/>
      <c r="J616" s="14"/>
      <c r="K616" s="18">
        <f>HYPERLINK("https://app.hubspot.com/contacts/8748051/record/0-2/10627221527", 10627221527)</f>
        <v>10627221527</v>
      </c>
      <c r="L616" s="14" t="s">
        <v>2539</v>
      </c>
      <c r="M616" s="18" t="s">
        <v>2540</v>
      </c>
      <c r="N616" s="18">
        <f>HYPERLINK("https://app.hubspot.com/contacts/8748051/record/0-3/15054004557", 15054004557)</f>
        <v>15054004557</v>
      </c>
      <c r="O616" s="14" t="s">
        <v>2537</v>
      </c>
      <c r="P616" s="14" t="s">
        <v>89</v>
      </c>
      <c r="Q616" s="14">
        <v>6000.0</v>
      </c>
      <c r="R616" s="14" t="b">
        <v>1</v>
      </c>
      <c r="S616" s="24" t="str">
        <f t="shared" ref="S616:U616" si="620">IF(E616&lt;&gt;"","Yes","")</f>
        <v/>
      </c>
      <c r="T616" s="24" t="str">
        <f t="shared" si="620"/>
        <v/>
      </c>
      <c r="U616" s="24" t="str">
        <f t="shared" si="620"/>
        <v/>
      </c>
      <c r="V616" s="24" t="str">
        <f t="shared" si="3"/>
        <v>Yes</v>
      </c>
      <c r="W616" s="14" t="str">
        <f t="shared" si="4"/>
        <v/>
      </c>
    </row>
    <row r="617" ht="14.25" customHeight="1">
      <c r="A617" s="23">
        <f>HYPERLINK("https://app.hubspot.com/contacts/8748051/record/0-1/1996451", 1996451)</f>
        <v>1996451</v>
      </c>
      <c r="B617" s="14" t="s">
        <v>4547</v>
      </c>
      <c r="C617" s="16">
        <v>44988.656851851854</v>
      </c>
      <c r="D617" s="24"/>
      <c r="E617" s="32"/>
      <c r="F617" s="32"/>
      <c r="G617" s="32"/>
      <c r="H617" s="14"/>
      <c r="I617" s="14"/>
      <c r="J617" s="14"/>
      <c r="K617" s="23">
        <f>HYPERLINK("https://app.hubspot.com/contacts/8748051/record/0-2/14939852455", 14939852455)</f>
        <v>14939852455</v>
      </c>
      <c r="L617" s="14" t="s">
        <v>2664</v>
      </c>
      <c r="M617" s="18" t="s">
        <v>2665</v>
      </c>
      <c r="N617" s="23">
        <f>HYPERLINK("https://app.hubspot.com/contacts/8748051/record/0-3/12432786074", 12432786074)</f>
        <v>12432786074</v>
      </c>
      <c r="O617" s="14" t="s">
        <v>2662</v>
      </c>
      <c r="P617" s="14" t="s">
        <v>146</v>
      </c>
      <c r="Q617" s="14">
        <v>10000.0</v>
      </c>
      <c r="R617" s="14" t="b">
        <v>1</v>
      </c>
      <c r="S617" s="24" t="str">
        <f t="shared" ref="S617:U617" si="621">IF(E617&lt;&gt;"","Yes","")</f>
        <v/>
      </c>
      <c r="T617" s="24" t="str">
        <f t="shared" si="621"/>
        <v/>
      </c>
      <c r="U617" s="24" t="str">
        <f t="shared" si="621"/>
        <v/>
      </c>
      <c r="V617" s="24" t="str">
        <f t="shared" si="3"/>
        <v/>
      </c>
      <c r="W617" s="14" t="str">
        <f t="shared" si="4"/>
        <v>Yes</v>
      </c>
    </row>
    <row r="618" ht="14.25" customHeight="1">
      <c r="A618" s="18">
        <f>HYPERLINK("https://app.hubspot.com/contacts/8748051/record/0-1/1931251", 1931251)</f>
        <v>1931251</v>
      </c>
      <c r="B618" s="14" t="s">
        <v>4548</v>
      </c>
      <c r="C618" s="16">
        <v>44987.10638888889</v>
      </c>
      <c r="D618" s="16"/>
      <c r="E618" s="32"/>
      <c r="F618" s="32"/>
      <c r="G618" s="32"/>
      <c r="H618" s="14"/>
      <c r="I618" s="14"/>
      <c r="J618" s="14"/>
      <c r="K618" s="18">
        <f>HYPERLINK("https://app.hubspot.com/contacts/8748051/record/0-2/14924333730", 14924333730)</f>
        <v>14924333730</v>
      </c>
      <c r="L618" s="14" t="s">
        <v>4549</v>
      </c>
      <c r="M618" s="18" t="s">
        <v>4550</v>
      </c>
      <c r="N618" s="24"/>
      <c r="O618" s="14"/>
      <c r="P618" s="14"/>
      <c r="Q618" s="14"/>
      <c r="R618" s="14"/>
      <c r="S618" s="24" t="str">
        <f t="shared" ref="S618:U618" si="622">IF(E618&lt;&gt;"","Yes","")</f>
        <v/>
      </c>
      <c r="T618" s="24" t="str">
        <f t="shared" si="622"/>
        <v/>
      </c>
      <c r="U618" s="24" t="str">
        <f t="shared" si="622"/>
        <v/>
      </c>
      <c r="V618" s="24" t="str">
        <f t="shared" si="3"/>
        <v/>
      </c>
      <c r="W618" s="14" t="str">
        <f t="shared" si="4"/>
        <v/>
      </c>
    </row>
    <row r="619" ht="14.25" customHeight="1">
      <c r="A619" s="18">
        <f>HYPERLINK("https://app.hubspot.com/contacts/8748051/record/0-1/1943701", 1943701)</f>
        <v>1943701</v>
      </c>
      <c r="B619" s="14" t="s">
        <v>4551</v>
      </c>
      <c r="C619" s="16">
        <v>44982.39412037037</v>
      </c>
      <c r="D619" s="14"/>
      <c r="E619" s="32"/>
      <c r="F619" s="32"/>
      <c r="G619" s="32"/>
      <c r="H619" s="14"/>
      <c r="I619" s="14"/>
      <c r="J619" s="14"/>
      <c r="K619" s="18">
        <f>HYPERLINK("https://app.hubspot.com/contacts/8748051/record/0-2/14828900200", 14828900200)</f>
        <v>14828900200</v>
      </c>
      <c r="L619" s="14" t="s">
        <v>4552</v>
      </c>
      <c r="M619" s="18" t="s">
        <v>4553</v>
      </c>
      <c r="N619" s="14"/>
      <c r="O619" s="14"/>
      <c r="P619" s="14"/>
      <c r="Q619" s="14"/>
      <c r="R619" s="14"/>
      <c r="S619" s="24" t="str">
        <f t="shared" ref="S619:U619" si="623">IF(E619&lt;&gt;"","Yes","")</f>
        <v/>
      </c>
      <c r="T619" s="24" t="str">
        <f t="shared" si="623"/>
        <v/>
      </c>
      <c r="U619" s="24" t="str">
        <f t="shared" si="623"/>
        <v/>
      </c>
      <c r="V619" s="24" t="str">
        <f t="shared" si="3"/>
        <v/>
      </c>
      <c r="W619" s="14" t="str">
        <f t="shared" si="4"/>
        <v/>
      </c>
    </row>
    <row r="620" ht="14.25" customHeight="1">
      <c r="A620" s="18">
        <f>HYPERLINK("https://app.hubspot.com/contacts/8748051/record/0-1/1889001", 1889001)</f>
        <v>1889001</v>
      </c>
      <c r="B620" s="14" t="s">
        <v>4554</v>
      </c>
      <c r="C620" s="16">
        <v>44980.007627314815</v>
      </c>
      <c r="D620" s="16"/>
      <c r="E620" s="32"/>
      <c r="F620" s="32"/>
      <c r="G620" s="32"/>
      <c r="H620" s="14"/>
      <c r="I620" s="14"/>
      <c r="J620" s="14"/>
      <c r="K620" s="18">
        <f>HYPERLINK("https://app.hubspot.com/contacts/8748051/record/0-2/14781024100", 14781024100)</f>
        <v>14781024100</v>
      </c>
      <c r="L620" s="14" t="s">
        <v>2884</v>
      </c>
      <c r="M620" s="18" t="s">
        <v>4555</v>
      </c>
      <c r="N620" s="14"/>
      <c r="O620" s="14"/>
      <c r="P620" s="14"/>
      <c r="Q620" s="14"/>
      <c r="R620" s="14"/>
      <c r="S620" s="24" t="str">
        <f t="shared" ref="S620:U620" si="624">IF(E620&lt;&gt;"","Yes","")</f>
        <v/>
      </c>
      <c r="T620" s="24" t="str">
        <f t="shared" si="624"/>
        <v/>
      </c>
      <c r="U620" s="24" t="str">
        <f t="shared" si="624"/>
        <v/>
      </c>
      <c r="V620" s="24" t="str">
        <f t="shared" si="3"/>
        <v/>
      </c>
      <c r="W620" s="14" t="str">
        <f t="shared" si="4"/>
        <v/>
      </c>
    </row>
    <row r="621" ht="14.25" customHeight="1">
      <c r="A621" s="18">
        <f>HYPERLINK("https://app.hubspot.com/contacts/8748051/record/0-1/1905651", 1905651)</f>
        <v>1905651</v>
      </c>
      <c r="B621" s="14" t="s">
        <v>4556</v>
      </c>
      <c r="C621" s="16">
        <v>44974.5240625</v>
      </c>
      <c r="D621" s="14"/>
      <c r="E621" s="32"/>
      <c r="F621" s="32"/>
      <c r="G621" s="32"/>
      <c r="H621" s="14"/>
      <c r="I621" s="14"/>
      <c r="J621" s="14"/>
      <c r="K621" s="18">
        <f>HYPERLINK("https://app.hubspot.com/contacts/8748051/record/0-2/14132642436", 14132642436)</f>
        <v>14132642436</v>
      </c>
      <c r="L621" s="18" t="s">
        <v>2679</v>
      </c>
      <c r="M621" s="18" t="s">
        <v>2679</v>
      </c>
      <c r="N621" s="24"/>
      <c r="O621" s="14"/>
      <c r="P621" s="14"/>
      <c r="Q621" s="14"/>
      <c r="R621" s="14"/>
      <c r="S621" s="24" t="str">
        <f t="shared" ref="S621:U621" si="625">IF(E621&lt;&gt;"","Yes","")</f>
        <v/>
      </c>
      <c r="T621" s="24" t="str">
        <f t="shared" si="625"/>
        <v/>
      </c>
      <c r="U621" s="24" t="str">
        <f t="shared" si="625"/>
        <v/>
      </c>
      <c r="V621" s="24" t="str">
        <f t="shared" si="3"/>
        <v/>
      </c>
      <c r="W621" s="14" t="str">
        <f t="shared" si="4"/>
        <v/>
      </c>
    </row>
    <row r="622" ht="14.25" customHeight="1">
      <c r="A622" s="18">
        <f>HYPERLINK("https://app.hubspot.com/contacts/8748051/record/0-1/1684351", 1684351)</f>
        <v>1684351</v>
      </c>
      <c r="B622" s="14" t="s">
        <v>4557</v>
      </c>
      <c r="C622" s="16">
        <v>44971.15619212963</v>
      </c>
      <c r="D622" s="14"/>
      <c r="E622" s="32"/>
      <c r="F622" s="32"/>
      <c r="G622" s="32"/>
      <c r="H622" s="14"/>
      <c r="I622" s="14"/>
      <c r="J622" s="14"/>
      <c r="K622" s="18">
        <f>HYPERLINK("https://app.hubspot.com/contacts/8748051/record/0-2/7277523063", 7277523063)</f>
        <v>7277523063</v>
      </c>
      <c r="L622" s="14" t="s">
        <v>3911</v>
      </c>
      <c r="M622" s="18" t="s">
        <v>3912</v>
      </c>
      <c r="N622" s="14"/>
      <c r="O622" s="14"/>
      <c r="P622" s="14"/>
      <c r="Q622" s="14"/>
      <c r="R622" s="14"/>
      <c r="S622" s="24" t="str">
        <f t="shared" ref="S622:U622" si="626">IF(E622&lt;&gt;"","Yes","")</f>
        <v/>
      </c>
      <c r="T622" s="24" t="str">
        <f t="shared" si="626"/>
        <v/>
      </c>
      <c r="U622" s="24" t="str">
        <f t="shared" si="626"/>
        <v/>
      </c>
      <c r="V622" s="24" t="str">
        <f t="shared" si="3"/>
        <v/>
      </c>
      <c r="W622" s="14" t="str">
        <f t="shared" si="4"/>
        <v/>
      </c>
    </row>
    <row r="623" ht="14.25" customHeight="1">
      <c r="A623" s="23">
        <f>HYPERLINK("https://app.hubspot.com/contacts/8748051/record/0-1/1837551", 1837551)</f>
        <v>1837551</v>
      </c>
      <c r="B623" s="14" t="s">
        <v>4558</v>
      </c>
      <c r="C623" s="16">
        <v>44964.02164351852</v>
      </c>
      <c r="D623" s="14"/>
      <c r="E623" s="32"/>
      <c r="F623" s="32"/>
      <c r="G623" s="32"/>
      <c r="H623" s="14"/>
      <c r="I623" s="14"/>
      <c r="J623" s="24"/>
      <c r="K623" s="23">
        <f>HYPERLINK("https://app.hubspot.com/contacts/8748051/record/0-2/10747050414", 10747050414)</f>
        <v>10747050414</v>
      </c>
      <c r="L623" s="14" t="s">
        <v>4559</v>
      </c>
      <c r="M623" s="18" t="s">
        <v>4560</v>
      </c>
      <c r="N623" s="24"/>
      <c r="O623" s="14"/>
      <c r="P623" s="14"/>
      <c r="Q623" s="14"/>
      <c r="R623" s="14"/>
      <c r="S623" s="24" t="str">
        <f t="shared" ref="S623:U623" si="627">IF(E623&lt;&gt;"","Yes","")</f>
        <v/>
      </c>
      <c r="T623" s="24" t="str">
        <f t="shared" si="627"/>
        <v/>
      </c>
      <c r="U623" s="24" t="str">
        <f t="shared" si="627"/>
        <v/>
      </c>
      <c r="V623" s="24" t="str">
        <f t="shared" si="3"/>
        <v/>
      </c>
      <c r="W623" s="14" t="str">
        <f t="shared" si="4"/>
        <v/>
      </c>
    </row>
    <row r="624" ht="14.25" customHeight="1">
      <c r="A624" s="18">
        <f>HYPERLINK("https://app.hubspot.com/contacts/8748051/record/0-1/1830901", 1830901)</f>
        <v>1830901</v>
      </c>
      <c r="B624" s="14" t="s">
        <v>4561</v>
      </c>
      <c r="C624" s="16">
        <v>44963.23877314815</v>
      </c>
      <c r="D624" s="16"/>
      <c r="E624" s="32"/>
      <c r="F624" s="32"/>
      <c r="G624" s="32"/>
      <c r="H624" s="14"/>
      <c r="I624" s="14"/>
      <c r="J624" s="14"/>
      <c r="K624" s="18">
        <f>HYPERLINK("https://app.hubspot.com/contacts/8748051/record/0-2/11995817103", 11995817103)</f>
        <v>11995817103</v>
      </c>
      <c r="L624" s="14" t="s">
        <v>2682</v>
      </c>
      <c r="M624" s="14" t="s">
        <v>2683</v>
      </c>
      <c r="N624" s="18">
        <f>HYPERLINK("https://app.hubspot.com/contacts/8748051/record/0-3/13146718594", 13146718594)</f>
        <v>13146718594</v>
      </c>
      <c r="O624" s="14" t="s">
        <v>2680</v>
      </c>
      <c r="P624" s="14" t="s">
        <v>89</v>
      </c>
      <c r="Q624" s="14">
        <v>3528.0</v>
      </c>
      <c r="R624" s="14" t="b">
        <v>1</v>
      </c>
      <c r="S624" s="24" t="str">
        <f t="shared" ref="S624:U624" si="628">IF(E624&lt;&gt;"","Yes","")</f>
        <v/>
      </c>
      <c r="T624" s="24" t="str">
        <f t="shared" si="628"/>
        <v/>
      </c>
      <c r="U624" s="24" t="str">
        <f t="shared" si="628"/>
        <v/>
      </c>
      <c r="V624" s="24" t="str">
        <f t="shared" si="3"/>
        <v>Yes</v>
      </c>
      <c r="W624" s="14" t="str">
        <f t="shared" si="4"/>
        <v/>
      </c>
    </row>
    <row r="625" ht="14.25" customHeight="1">
      <c r="A625" s="18">
        <f>HYPERLINK("https://app.hubspot.com/contacts/8748051/record/0-1/1830851", 1830851)</f>
        <v>1830851</v>
      </c>
      <c r="B625" s="14" t="s">
        <v>4562</v>
      </c>
      <c r="C625" s="16">
        <v>44963.22642361111</v>
      </c>
      <c r="D625" s="16"/>
      <c r="E625" s="32"/>
      <c r="F625" s="32"/>
      <c r="G625" s="32"/>
      <c r="H625" s="14"/>
      <c r="I625" s="14"/>
      <c r="J625" s="14"/>
      <c r="K625" s="18">
        <f>HYPERLINK("https://app.hubspot.com/contacts/8748051/record/0-2/11995178296", 11995178296)</f>
        <v>11995178296</v>
      </c>
      <c r="L625" s="14" t="s">
        <v>2203</v>
      </c>
      <c r="M625" s="18" t="s">
        <v>2204</v>
      </c>
      <c r="N625" s="14"/>
      <c r="O625" s="14"/>
      <c r="P625" s="14"/>
      <c r="Q625" s="14"/>
      <c r="R625" s="14"/>
      <c r="S625" s="24" t="str">
        <f t="shared" ref="S625:U625" si="629">IF(E625&lt;&gt;"","Yes","")</f>
        <v/>
      </c>
      <c r="T625" s="24" t="str">
        <f t="shared" si="629"/>
        <v/>
      </c>
      <c r="U625" s="24" t="str">
        <f t="shared" si="629"/>
        <v/>
      </c>
      <c r="V625" s="24" t="str">
        <f t="shared" si="3"/>
        <v/>
      </c>
      <c r="W625" s="14" t="str">
        <f t="shared" si="4"/>
        <v/>
      </c>
    </row>
    <row r="626" ht="14.25" customHeight="1">
      <c r="A626" s="18">
        <f>HYPERLINK("https://app.hubspot.com/contacts/8748051/record/0-1/1811701", 1811701)</f>
        <v>1811701</v>
      </c>
      <c r="B626" s="14" t="s">
        <v>4563</v>
      </c>
      <c r="C626" s="16">
        <v>44960.075011574074</v>
      </c>
      <c r="D626" s="16"/>
      <c r="E626" s="32"/>
      <c r="F626" s="32"/>
      <c r="G626" s="32"/>
      <c r="H626" s="14"/>
      <c r="I626" s="14"/>
      <c r="J626" s="14"/>
      <c r="K626" s="18">
        <f>HYPERLINK("https://app.hubspot.com/contacts/8748051/record/0-2/11625422004", 11625422004)</f>
        <v>11625422004</v>
      </c>
      <c r="L626" s="14" t="s">
        <v>4564</v>
      </c>
      <c r="M626" s="18" t="s">
        <v>4565</v>
      </c>
      <c r="N626" s="24"/>
      <c r="O626" s="14"/>
      <c r="P626" s="14"/>
      <c r="Q626" s="14"/>
      <c r="R626" s="14"/>
      <c r="S626" s="24" t="str">
        <f t="shared" ref="S626:U626" si="630">IF(E626&lt;&gt;"","Yes","")</f>
        <v/>
      </c>
      <c r="T626" s="24" t="str">
        <f t="shared" si="630"/>
        <v/>
      </c>
      <c r="U626" s="24" t="str">
        <f t="shared" si="630"/>
        <v/>
      </c>
      <c r="V626" s="24" t="str">
        <f t="shared" si="3"/>
        <v/>
      </c>
      <c r="W626" s="14" t="str">
        <f t="shared" si="4"/>
        <v/>
      </c>
    </row>
    <row r="627" ht="14.25" customHeight="1">
      <c r="A627" s="18">
        <f>HYPERLINK("https://app.hubspot.com/contacts/8748051/record/0-1/1726751", 1726751)</f>
        <v>1726751</v>
      </c>
      <c r="B627" s="14" t="s">
        <v>4566</v>
      </c>
      <c r="C627" s="16">
        <v>44949.36515046296</v>
      </c>
      <c r="D627" s="16"/>
      <c r="E627" s="32"/>
      <c r="F627" s="32"/>
      <c r="G627" s="32"/>
      <c r="H627" s="14"/>
      <c r="I627" s="14"/>
      <c r="J627" s="14"/>
      <c r="K627" s="18">
        <f>HYPERLINK("https://app.hubspot.com/contacts/8748051/record/0-2/10908885333", 10908885333)</f>
        <v>10908885333</v>
      </c>
      <c r="L627" s="18" t="s">
        <v>4567</v>
      </c>
      <c r="M627" s="18" t="s">
        <v>4567</v>
      </c>
      <c r="N627" s="14"/>
      <c r="O627" s="14"/>
      <c r="P627" s="14"/>
      <c r="Q627" s="14"/>
      <c r="R627" s="14"/>
      <c r="S627" s="24" t="str">
        <f t="shared" ref="S627:U627" si="631">IF(E627&lt;&gt;"","Yes","")</f>
        <v/>
      </c>
      <c r="T627" s="24" t="str">
        <f t="shared" si="631"/>
        <v/>
      </c>
      <c r="U627" s="24" t="str">
        <f t="shared" si="631"/>
        <v/>
      </c>
      <c r="V627" s="24" t="str">
        <f t="shared" si="3"/>
        <v/>
      </c>
      <c r="W627" s="14" t="str">
        <f t="shared" si="4"/>
        <v/>
      </c>
    </row>
    <row r="628" ht="14.25" customHeight="1">
      <c r="A628" s="18">
        <f>HYPERLINK("https://app.hubspot.com/contacts/8748051/record/0-1/1751301", 1751301)</f>
        <v>1751301</v>
      </c>
      <c r="B628" s="14" t="s">
        <v>4568</v>
      </c>
      <c r="C628" s="16">
        <v>44949.17422453704</v>
      </c>
      <c r="D628" s="14"/>
      <c r="E628" s="32"/>
      <c r="F628" s="32"/>
      <c r="G628" s="24"/>
      <c r="H628" s="14"/>
      <c r="I628" s="14"/>
      <c r="J628" s="14"/>
      <c r="K628" s="18">
        <f>HYPERLINK("https://app.hubspot.com/contacts/8748051/record/0-2/10906520652", 10906520652)</f>
        <v>10906520652</v>
      </c>
      <c r="L628" s="14" t="s">
        <v>4569</v>
      </c>
      <c r="M628" s="18" t="s">
        <v>4570</v>
      </c>
      <c r="N628" s="24"/>
      <c r="O628" s="14"/>
      <c r="P628" s="14"/>
      <c r="Q628" s="14"/>
      <c r="R628" s="14"/>
      <c r="S628" s="24" t="str">
        <f t="shared" ref="S628:U628" si="632">IF(E628&lt;&gt;"","Yes","")</f>
        <v/>
      </c>
      <c r="T628" s="24" t="str">
        <f t="shared" si="632"/>
        <v/>
      </c>
      <c r="U628" s="24" t="str">
        <f t="shared" si="632"/>
        <v/>
      </c>
      <c r="V628" s="24" t="str">
        <f t="shared" si="3"/>
        <v/>
      </c>
      <c r="W628" s="14" t="str">
        <f t="shared" si="4"/>
        <v/>
      </c>
    </row>
    <row r="629" ht="14.25" customHeight="1">
      <c r="A629" s="18">
        <f>HYPERLINK("https://app.hubspot.com/contacts/8748051/record/0-1/389801", 389801)</f>
        <v>389801</v>
      </c>
      <c r="B629" s="14" t="s">
        <v>4571</v>
      </c>
      <c r="C629" s="16">
        <v>44944.471550925926</v>
      </c>
      <c r="D629" s="16"/>
      <c r="E629" s="32"/>
      <c r="F629" s="32"/>
      <c r="G629" s="32"/>
      <c r="H629" s="14"/>
      <c r="I629" s="14"/>
      <c r="J629" s="14"/>
      <c r="K629" s="18">
        <f>HYPERLINK("https://app.hubspot.com/contacts/8748051/record/0-2/7231779621", 7231779621)</f>
        <v>7231779621</v>
      </c>
      <c r="L629" s="14" t="s">
        <v>2868</v>
      </c>
      <c r="M629" s="18" t="s">
        <v>2869</v>
      </c>
      <c r="N629" s="24"/>
      <c r="O629" s="14"/>
      <c r="P629" s="14"/>
      <c r="Q629" s="14"/>
      <c r="R629" s="14"/>
      <c r="S629" s="24" t="str">
        <f t="shared" ref="S629:U629" si="633">IF(E629&lt;&gt;"","Yes","")</f>
        <v/>
      </c>
      <c r="T629" s="24" t="str">
        <f t="shared" si="633"/>
        <v/>
      </c>
      <c r="U629" s="24" t="str">
        <f t="shared" si="633"/>
        <v/>
      </c>
      <c r="V629" s="24" t="str">
        <f t="shared" si="3"/>
        <v/>
      </c>
      <c r="W629" s="14" t="str">
        <f t="shared" si="4"/>
        <v/>
      </c>
    </row>
    <row r="630" ht="14.25" customHeight="1">
      <c r="A630" s="18">
        <f>HYPERLINK("https://app.hubspot.com/contacts/8748051/record/0-1/1710101", 1710101)</f>
        <v>1710101</v>
      </c>
      <c r="B630" s="14" t="s">
        <v>4572</v>
      </c>
      <c r="C630" s="16">
        <v>44942.40837962963</v>
      </c>
      <c r="D630" s="14"/>
      <c r="E630" s="32"/>
      <c r="F630" s="32"/>
      <c r="G630" s="32"/>
      <c r="H630" s="14"/>
      <c r="I630" s="14"/>
      <c r="J630" s="24"/>
      <c r="K630" s="18">
        <f>HYPERLINK("https://app.hubspot.com/contacts/8748051/record/0-2/10800850841", 10800850841)</f>
        <v>10800850841</v>
      </c>
      <c r="L630" s="14" t="s">
        <v>4573</v>
      </c>
      <c r="M630" s="18" t="s">
        <v>4574</v>
      </c>
      <c r="N630" s="24"/>
      <c r="O630" s="14"/>
      <c r="P630" s="14"/>
      <c r="Q630" s="14"/>
      <c r="R630" s="14"/>
      <c r="S630" s="24" t="str">
        <f t="shared" ref="S630:U630" si="634">IF(E630&lt;&gt;"","Yes","")</f>
        <v/>
      </c>
      <c r="T630" s="24" t="str">
        <f t="shared" si="634"/>
        <v/>
      </c>
      <c r="U630" s="24" t="str">
        <f t="shared" si="634"/>
        <v/>
      </c>
      <c r="V630" s="24" t="str">
        <f t="shared" si="3"/>
        <v/>
      </c>
      <c r="W630" s="14" t="str">
        <f t="shared" si="4"/>
        <v/>
      </c>
    </row>
    <row r="631" ht="14.25" customHeight="1">
      <c r="A631" s="18">
        <f>HYPERLINK("https://app.hubspot.com/contacts/8748051/record/0-1/1703451", 1703451)</f>
        <v>1703451</v>
      </c>
      <c r="B631" s="14" t="s">
        <v>4575</v>
      </c>
      <c r="C631" s="16">
        <v>44939.92084490741</v>
      </c>
      <c r="D631" s="14"/>
      <c r="E631" s="32"/>
      <c r="F631" s="32"/>
      <c r="G631" s="24"/>
      <c r="H631" s="14"/>
      <c r="I631" s="14"/>
      <c r="J631" s="14"/>
      <c r="K631" s="18">
        <f>HYPERLINK("https://app.hubspot.com/contacts/8748051/record/0-2/10747050414", 10747050414)</f>
        <v>10747050414</v>
      </c>
      <c r="L631" s="14" t="s">
        <v>4559</v>
      </c>
      <c r="M631" s="18" t="s">
        <v>4560</v>
      </c>
      <c r="N631" s="24"/>
      <c r="O631" s="14"/>
      <c r="P631" s="14"/>
      <c r="Q631" s="14"/>
      <c r="R631" s="14"/>
      <c r="S631" s="24" t="str">
        <f t="shared" ref="S631:U631" si="635">IF(E631&lt;&gt;"","Yes","")</f>
        <v/>
      </c>
      <c r="T631" s="24" t="str">
        <f t="shared" si="635"/>
        <v/>
      </c>
      <c r="U631" s="24" t="str">
        <f t="shared" si="635"/>
        <v/>
      </c>
      <c r="V631" s="24" t="str">
        <f t="shared" si="3"/>
        <v/>
      </c>
      <c r="W631" s="14" t="str">
        <f t="shared" si="4"/>
        <v/>
      </c>
    </row>
    <row r="632" ht="14.25" customHeight="1">
      <c r="A632" s="18">
        <f>HYPERLINK("https://app.hubspot.com/contacts/8748051/record/0-1/1700201", 1700201)</f>
        <v>1700201</v>
      </c>
      <c r="B632" s="14" t="s">
        <v>4576</v>
      </c>
      <c r="C632" s="16">
        <v>44939.45630787037</v>
      </c>
      <c r="D632" s="16"/>
      <c r="E632" s="32"/>
      <c r="F632" s="32"/>
      <c r="G632" s="32"/>
      <c r="H632" s="14"/>
      <c r="I632" s="14"/>
      <c r="J632" s="14"/>
      <c r="K632" s="18">
        <f>HYPERLINK("https://app.hubspot.com/contacts/8748051/record/0-2/10734065414", 10734065414)</f>
        <v>10734065414</v>
      </c>
      <c r="L632" s="14" t="s">
        <v>4577</v>
      </c>
      <c r="M632" s="18" t="s">
        <v>4578</v>
      </c>
      <c r="N632" s="14"/>
      <c r="O632" s="14"/>
      <c r="P632" s="14"/>
      <c r="Q632" s="14"/>
      <c r="R632" s="14"/>
      <c r="S632" s="24" t="str">
        <f t="shared" ref="S632:U632" si="636">IF(E632&lt;&gt;"","Yes","")</f>
        <v/>
      </c>
      <c r="T632" s="24" t="str">
        <f t="shared" si="636"/>
        <v/>
      </c>
      <c r="U632" s="24" t="str">
        <f t="shared" si="636"/>
        <v/>
      </c>
      <c r="V632" s="24" t="str">
        <f t="shared" si="3"/>
        <v/>
      </c>
      <c r="W632" s="14" t="str">
        <f t="shared" si="4"/>
        <v/>
      </c>
    </row>
    <row r="633" ht="14.25" customHeight="1">
      <c r="A633" s="23">
        <f>HYPERLINK("https://app.hubspot.com/contacts/8748051/record/0-1/1666201", 1666201)</f>
        <v>1666201</v>
      </c>
      <c r="B633" s="14" t="s">
        <v>4579</v>
      </c>
      <c r="C633" s="16">
        <v>44932.132685185185</v>
      </c>
      <c r="D633" s="24"/>
      <c r="E633" s="32"/>
      <c r="F633" s="32"/>
      <c r="G633" s="32"/>
      <c r="H633" s="14"/>
      <c r="I633" s="14"/>
      <c r="J633" s="24"/>
      <c r="K633" s="23">
        <f>HYPERLINK("https://app.hubspot.com/contacts/8748051/record/0-2/8816890039", 8816890039)</f>
        <v>8816890039</v>
      </c>
      <c r="L633" s="14" t="s">
        <v>736</v>
      </c>
      <c r="M633" s="18" t="s">
        <v>737</v>
      </c>
      <c r="N633" s="24"/>
      <c r="O633" s="14"/>
      <c r="P633" s="14"/>
      <c r="Q633" s="14"/>
      <c r="R633" s="14"/>
      <c r="S633" s="24" t="str">
        <f t="shared" ref="S633:U633" si="637">IF(E633&lt;&gt;"","Yes","")</f>
        <v/>
      </c>
      <c r="T633" s="24" t="str">
        <f t="shared" si="637"/>
        <v/>
      </c>
      <c r="U633" s="24" t="str">
        <f t="shared" si="637"/>
        <v/>
      </c>
      <c r="V633" s="24" t="str">
        <f t="shared" si="3"/>
        <v/>
      </c>
      <c r="W633" s="14" t="str">
        <f t="shared" si="4"/>
        <v/>
      </c>
    </row>
    <row r="634" ht="14.25" customHeight="1">
      <c r="A634" s="18">
        <f>HYPERLINK("https://app.hubspot.com/contacts/8748051/record/0-1/1649501", 1649501)</f>
        <v>1649501</v>
      </c>
      <c r="B634" s="14" t="s">
        <v>4580</v>
      </c>
      <c r="C634" s="16">
        <v>44932.05054398148</v>
      </c>
      <c r="D634" s="16"/>
      <c r="E634" s="32"/>
      <c r="F634" s="32"/>
      <c r="G634" s="32"/>
      <c r="H634" s="14"/>
      <c r="I634" s="14"/>
      <c r="J634" s="14"/>
      <c r="K634" s="18">
        <f>HYPERLINK("https://app.hubspot.com/contacts/8748051/record/0-2/9748909636", 9748909636)</f>
        <v>9748909636</v>
      </c>
      <c r="L634" s="14" t="s">
        <v>4581</v>
      </c>
      <c r="M634" s="18" t="s">
        <v>4582</v>
      </c>
      <c r="N634" s="14"/>
      <c r="O634" s="14"/>
      <c r="P634" s="14"/>
      <c r="Q634" s="14"/>
      <c r="R634" s="14"/>
      <c r="S634" s="24" t="str">
        <f t="shared" ref="S634:U634" si="638">IF(E634&lt;&gt;"","Yes","")</f>
        <v/>
      </c>
      <c r="T634" s="24" t="str">
        <f t="shared" si="638"/>
        <v/>
      </c>
      <c r="U634" s="24" t="str">
        <f t="shared" si="638"/>
        <v/>
      </c>
      <c r="V634" s="24" t="str">
        <f t="shared" si="3"/>
        <v/>
      </c>
      <c r="W634" s="14" t="str">
        <f t="shared" si="4"/>
        <v/>
      </c>
    </row>
    <row r="635" ht="14.25" customHeight="1">
      <c r="A635" s="18">
        <f>HYPERLINK("https://app.hubspot.com/contacts/8748051/record/0-1/1663801", 1663801)</f>
        <v>1663801</v>
      </c>
      <c r="B635" s="14" t="s">
        <v>4583</v>
      </c>
      <c r="C635" s="16">
        <v>44931.612222222226</v>
      </c>
      <c r="D635" s="16"/>
      <c r="E635" s="32"/>
      <c r="F635" s="32"/>
      <c r="G635" s="32"/>
      <c r="H635" s="14"/>
      <c r="I635" s="14"/>
      <c r="J635" s="14"/>
      <c r="K635" s="18">
        <f>HYPERLINK("https://app.hubspot.com/contacts/8748051/record/0-2/10548528272", 10548528272)</f>
        <v>10548528272</v>
      </c>
      <c r="L635" s="14" t="s">
        <v>4584</v>
      </c>
      <c r="M635" s="18" t="s">
        <v>4585</v>
      </c>
      <c r="N635" s="24"/>
      <c r="O635" s="14"/>
      <c r="P635" s="14"/>
      <c r="Q635" s="14"/>
      <c r="R635" s="14"/>
      <c r="S635" s="24" t="str">
        <f t="shared" ref="S635:U635" si="639">IF(E635&lt;&gt;"","Yes","")</f>
        <v/>
      </c>
      <c r="T635" s="24" t="str">
        <f t="shared" si="639"/>
        <v/>
      </c>
      <c r="U635" s="24" t="str">
        <f t="shared" si="639"/>
        <v/>
      </c>
      <c r="V635" s="24" t="str">
        <f t="shared" si="3"/>
        <v/>
      </c>
      <c r="W635" s="14" t="str">
        <f t="shared" si="4"/>
        <v/>
      </c>
    </row>
    <row r="636" ht="14.25" customHeight="1">
      <c r="A636" s="18">
        <f>HYPERLINK("https://app.hubspot.com/contacts/8748051/record/0-1/1635651", 1635651)</f>
        <v>1635651</v>
      </c>
      <c r="B636" s="14" t="s">
        <v>4586</v>
      </c>
      <c r="C636" s="16">
        <v>44923.30349537037</v>
      </c>
      <c r="D636" s="16"/>
      <c r="E636" s="32"/>
      <c r="F636" s="32"/>
      <c r="G636" s="32"/>
      <c r="H636" s="14"/>
      <c r="I636" s="14"/>
      <c r="J636" s="14"/>
      <c r="K636" s="18">
        <f>HYPERLINK("https://app.hubspot.com/contacts/8748051/record/0-2/10476187005", 10476187005)</f>
        <v>10476187005</v>
      </c>
      <c r="L636" s="14" t="s">
        <v>4587</v>
      </c>
      <c r="M636" s="18" t="s">
        <v>4588</v>
      </c>
      <c r="N636" s="14"/>
      <c r="O636" s="14"/>
      <c r="P636" s="14"/>
      <c r="Q636" s="14"/>
      <c r="R636" s="14"/>
      <c r="S636" s="24" t="str">
        <f t="shared" ref="S636:U636" si="640">IF(E636&lt;&gt;"","Yes","")</f>
        <v/>
      </c>
      <c r="T636" s="24" t="str">
        <f t="shared" si="640"/>
        <v/>
      </c>
      <c r="U636" s="24" t="str">
        <f t="shared" si="640"/>
        <v/>
      </c>
      <c r="V636" s="24" t="str">
        <f t="shared" si="3"/>
        <v/>
      </c>
      <c r="W636" s="14" t="str">
        <f t="shared" si="4"/>
        <v/>
      </c>
    </row>
    <row r="637" ht="14.25" customHeight="1">
      <c r="A637" s="18">
        <f>HYPERLINK("https://app.hubspot.com/contacts/8748051/record/0-1/1627701", 1627701)</f>
        <v>1627701</v>
      </c>
      <c r="B637" s="14" t="s">
        <v>4589</v>
      </c>
      <c r="C637" s="16">
        <v>44920.52974537037</v>
      </c>
      <c r="D637" s="14"/>
      <c r="E637" s="32"/>
      <c r="F637" s="32"/>
      <c r="G637" s="32"/>
      <c r="H637" s="14"/>
      <c r="I637" s="14"/>
      <c r="J637" s="14"/>
      <c r="K637" s="18">
        <f>HYPERLINK("https://app.hubspot.com/contacts/8748051/record/0-2/10447002534", 10447002534)</f>
        <v>10447002534</v>
      </c>
      <c r="L637" s="14" t="s">
        <v>4590</v>
      </c>
      <c r="M637" s="18" t="s">
        <v>4591</v>
      </c>
      <c r="N637" s="14"/>
      <c r="O637" s="14"/>
      <c r="P637" s="14"/>
      <c r="Q637" s="14"/>
      <c r="R637" s="14"/>
      <c r="S637" s="24" t="str">
        <f t="shared" ref="S637:U637" si="641">IF(E637&lt;&gt;"","Yes","")</f>
        <v/>
      </c>
      <c r="T637" s="24" t="str">
        <f t="shared" si="641"/>
        <v/>
      </c>
      <c r="U637" s="24" t="str">
        <f t="shared" si="641"/>
        <v/>
      </c>
      <c r="V637" s="24" t="str">
        <f t="shared" si="3"/>
        <v/>
      </c>
      <c r="W637" s="14" t="str">
        <f t="shared" si="4"/>
        <v/>
      </c>
    </row>
    <row r="638" ht="14.25" customHeight="1">
      <c r="A638" s="18">
        <f>HYPERLINK("https://app.hubspot.com/contacts/8748051/record/0-1/539751", 539751)</f>
        <v>539751</v>
      </c>
      <c r="B638" s="14" t="s">
        <v>4592</v>
      </c>
      <c r="C638" s="16">
        <v>44915.333715277775</v>
      </c>
      <c r="D638" s="16"/>
      <c r="E638" s="32"/>
      <c r="F638" s="32"/>
      <c r="G638" s="32"/>
      <c r="H638" s="14"/>
      <c r="I638" s="14"/>
      <c r="J638" s="14"/>
      <c r="K638" s="18">
        <f>HYPERLINK("https://app.hubspot.com/contacts/8748051/record/0-2/8831495001", 8831495001)</f>
        <v>8831495001</v>
      </c>
      <c r="L638" s="14" t="s">
        <v>1829</v>
      </c>
      <c r="M638" s="18" t="s">
        <v>1830</v>
      </c>
      <c r="N638" s="14"/>
      <c r="O638" s="14"/>
      <c r="P638" s="14"/>
      <c r="Q638" s="14"/>
      <c r="R638" s="14"/>
      <c r="S638" s="24" t="str">
        <f t="shared" ref="S638:U638" si="642">IF(E638&lt;&gt;"","Yes","")</f>
        <v/>
      </c>
      <c r="T638" s="24" t="str">
        <f t="shared" si="642"/>
        <v/>
      </c>
      <c r="U638" s="24" t="str">
        <f t="shared" si="642"/>
        <v/>
      </c>
      <c r="V638" s="24" t="str">
        <f t="shared" si="3"/>
        <v/>
      </c>
      <c r="W638" s="14" t="str">
        <f t="shared" si="4"/>
        <v/>
      </c>
    </row>
    <row r="639" ht="14.25" customHeight="1">
      <c r="A639" s="18">
        <f>HYPERLINK("https://app.hubspot.com/contacts/8748051/record/0-1/1603951", 1603951)</f>
        <v>1603951</v>
      </c>
      <c r="B639" s="14" t="s">
        <v>4593</v>
      </c>
      <c r="C639" s="16">
        <v>44914.86615740741</v>
      </c>
      <c r="D639" s="16"/>
      <c r="E639" s="32"/>
      <c r="F639" s="32"/>
      <c r="G639" s="32"/>
      <c r="H639" s="14"/>
      <c r="I639" s="14"/>
      <c r="J639" s="14"/>
      <c r="K639" s="18">
        <f>HYPERLINK("https://app.hubspot.com/contacts/8748051/record/0-2/10395902350", 10395902350)</f>
        <v>10395902350</v>
      </c>
      <c r="L639" s="14" t="s">
        <v>4594</v>
      </c>
      <c r="M639" s="18" t="s">
        <v>4595</v>
      </c>
      <c r="N639" s="14"/>
      <c r="O639" s="14"/>
      <c r="P639" s="14"/>
      <c r="Q639" s="14"/>
      <c r="R639" s="14"/>
      <c r="S639" s="24" t="str">
        <f t="shared" ref="S639:U639" si="643">IF(E639&lt;&gt;"","Yes","")</f>
        <v/>
      </c>
      <c r="T639" s="24" t="str">
        <f t="shared" si="643"/>
        <v/>
      </c>
      <c r="U639" s="24" t="str">
        <f t="shared" si="643"/>
        <v/>
      </c>
      <c r="V639" s="24" t="str">
        <f t="shared" si="3"/>
        <v/>
      </c>
      <c r="W639" s="14" t="str">
        <f t="shared" si="4"/>
        <v/>
      </c>
    </row>
    <row r="640" ht="14.25" customHeight="1">
      <c r="A640" s="18">
        <f>HYPERLINK("https://app.hubspot.com/contacts/8748051/record/0-1/1589801", 1589801)</f>
        <v>1589801</v>
      </c>
      <c r="B640" s="14" t="s">
        <v>4596</v>
      </c>
      <c r="C640" s="16">
        <v>44910.16280092593</v>
      </c>
      <c r="D640" s="16"/>
      <c r="E640" s="32"/>
      <c r="F640" s="32"/>
      <c r="G640" s="32"/>
      <c r="H640" s="14"/>
      <c r="I640" s="14"/>
      <c r="J640" s="14"/>
      <c r="K640" s="18">
        <f>HYPERLINK("https://app.hubspot.com/contacts/8748051/record/0-2/10358610795", 10358610795)</f>
        <v>10358610795</v>
      </c>
      <c r="L640" s="14" t="s">
        <v>4597</v>
      </c>
      <c r="M640" s="18" t="s">
        <v>4598</v>
      </c>
      <c r="N640" s="14"/>
      <c r="O640" s="14"/>
      <c r="P640" s="14"/>
      <c r="Q640" s="14"/>
      <c r="R640" s="14"/>
      <c r="S640" s="24" t="str">
        <f t="shared" ref="S640:U640" si="644">IF(E640&lt;&gt;"","Yes","")</f>
        <v/>
      </c>
      <c r="T640" s="24" t="str">
        <f t="shared" si="644"/>
        <v/>
      </c>
      <c r="U640" s="24" t="str">
        <f t="shared" si="644"/>
        <v/>
      </c>
      <c r="V640" s="24" t="str">
        <f t="shared" si="3"/>
        <v/>
      </c>
      <c r="W640" s="14" t="str">
        <f t="shared" si="4"/>
        <v/>
      </c>
    </row>
    <row r="641" ht="14.25" customHeight="1">
      <c r="A641" s="18">
        <f>HYPERLINK("https://app.hubspot.com/contacts/8748051/record/0-1/1537201", 1537201)</f>
        <v>1537201</v>
      </c>
      <c r="B641" s="14" t="s">
        <v>4599</v>
      </c>
      <c r="C641" s="16">
        <v>44907.70371527778</v>
      </c>
      <c r="D641" s="16"/>
      <c r="E641" s="32"/>
      <c r="F641" s="32"/>
      <c r="G641" s="32"/>
      <c r="H641" s="14"/>
      <c r="I641" s="14"/>
      <c r="J641" s="14"/>
      <c r="K641" s="18">
        <f>HYPERLINK("https://app.hubspot.com/contacts/8748051/record/0-2/8929926200", 8929926200)</f>
        <v>8929926200</v>
      </c>
      <c r="L641" s="14" t="s">
        <v>2707</v>
      </c>
      <c r="M641" s="18" t="s">
        <v>2708</v>
      </c>
      <c r="N641" s="18">
        <f>HYPERLINK("https://app.hubspot.com/contacts/8748051/record/0-3/11493057653", 11493057653)</f>
        <v>11493057653</v>
      </c>
      <c r="O641" s="14" t="s">
        <v>2705</v>
      </c>
      <c r="P641" s="14" t="s">
        <v>146</v>
      </c>
      <c r="Q641" s="14">
        <v>40000.0</v>
      </c>
      <c r="R641" s="14" t="b">
        <v>1</v>
      </c>
      <c r="S641" s="24" t="str">
        <f t="shared" ref="S641:U641" si="645">IF(E641&lt;&gt;"","Yes","")</f>
        <v/>
      </c>
      <c r="T641" s="24" t="str">
        <f t="shared" si="645"/>
        <v/>
      </c>
      <c r="U641" s="24" t="str">
        <f t="shared" si="645"/>
        <v/>
      </c>
      <c r="V641" s="24" t="str">
        <f t="shared" si="3"/>
        <v/>
      </c>
      <c r="W641" s="14" t="str">
        <f t="shared" si="4"/>
        <v>Yes</v>
      </c>
    </row>
    <row r="642" ht="14.25" customHeight="1">
      <c r="A642" s="18">
        <f>HYPERLINK("https://app.hubspot.com/contacts/8748051/record/0-1/1571801", 1571801)</f>
        <v>1571801</v>
      </c>
      <c r="B642" s="14" t="s">
        <v>4600</v>
      </c>
      <c r="C642" s="16">
        <v>44907.211747685185</v>
      </c>
      <c r="D642" s="16"/>
      <c r="E642" s="32"/>
      <c r="F642" s="32"/>
      <c r="G642" s="32"/>
      <c r="H642" s="14"/>
      <c r="I642" s="14"/>
      <c r="J642" s="14"/>
      <c r="K642" s="18">
        <f>HYPERLINK("https://app.hubspot.com/contacts/8748051/record/0-2/10322469467", 10322469467)</f>
        <v>10322469467</v>
      </c>
      <c r="L642" s="14" t="s">
        <v>2478</v>
      </c>
      <c r="M642" s="18" t="s">
        <v>2479</v>
      </c>
      <c r="N642" s="18">
        <f>HYPERLINK("https://app.hubspot.com/contacts/8748051/record/0-3/15905577653", 15905577653)</f>
        <v>15905577653</v>
      </c>
      <c r="O642" s="14" t="s">
        <v>2476</v>
      </c>
      <c r="P642" s="14" t="s">
        <v>146</v>
      </c>
      <c r="Q642" s="14">
        <v>0.0</v>
      </c>
      <c r="R642" s="14" t="b">
        <v>1</v>
      </c>
      <c r="S642" s="24" t="str">
        <f t="shared" ref="S642:U642" si="646">IF(E642&lt;&gt;"","Yes","")</f>
        <v/>
      </c>
      <c r="T642" s="24" t="str">
        <f t="shared" si="646"/>
        <v/>
      </c>
      <c r="U642" s="24" t="str">
        <f t="shared" si="646"/>
        <v/>
      </c>
      <c r="V642" s="24" t="str">
        <f t="shared" si="3"/>
        <v/>
      </c>
      <c r="W642" s="14" t="str">
        <f t="shared" si="4"/>
        <v>Yes</v>
      </c>
    </row>
    <row r="643" ht="14.25" customHeight="1">
      <c r="A643" s="18">
        <f>HYPERLINK("https://app.hubspot.com/contacts/8748051/record/0-1/1554001", 1554001)</f>
        <v>1554001</v>
      </c>
      <c r="B643" s="14" t="s">
        <v>4601</v>
      </c>
      <c r="C643" s="16">
        <v>44903.281863425924</v>
      </c>
      <c r="D643" s="14"/>
      <c r="E643" s="32"/>
      <c r="F643" s="32"/>
      <c r="G643" s="32"/>
      <c r="H643" s="14"/>
      <c r="I643" s="14"/>
      <c r="J643" s="14"/>
      <c r="K643" s="18">
        <f>HYPERLINK("https://app.hubspot.com/contacts/8748051/record/0-2/10282209084", 10282209084)</f>
        <v>10282209084</v>
      </c>
      <c r="L643" s="14" t="s">
        <v>4602</v>
      </c>
      <c r="M643" s="18" t="s">
        <v>4603</v>
      </c>
      <c r="N643" s="14"/>
      <c r="O643" s="14"/>
      <c r="P643" s="14"/>
      <c r="Q643" s="14"/>
      <c r="R643" s="14"/>
      <c r="S643" s="24" t="str">
        <f t="shared" ref="S643:U643" si="647">IF(E643&lt;&gt;"","Yes","")</f>
        <v/>
      </c>
      <c r="T643" s="24" t="str">
        <f t="shared" si="647"/>
        <v/>
      </c>
      <c r="U643" s="24" t="str">
        <f t="shared" si="647"/>
        <v/>
      </c>
      <c r="V643" s="24" t="str">
        <f t="shared" si="3"/>
        <v/>
      </c>
      <c r="W643" s="14" t="str">
        <f t="shared" si="4"/>
        <v/>
      </c>
    </row>
    <row r="644" ht="14.25" customHeight="1">
      <c r="A644" s="18">
        <f>HYPERLINK("https://app.hubspot.com/contacts/8748051/record/0-1/1548151", 1548151)</f>
        <v>1548151</v>
      </c>
      <c r="B644" s="14" t="s">
        <v>4604</v>
      </c>
      <c r="C644" s="16">
        <v>44902.44331018518</v>
      </c>
      <c r="D644" s="16"/>
      <c r="E644" s="32"/>
      <c r="F644" s="32"/>
      <c r="G644" s="32"/>
      <c r="H644" s="14"/>
      <c r="I644" s="14"/>
      <c r="J644" s="14"/>
      <c r="K644" s="18">
        <f>HYPERLINK("https://app.hubspot.com/contacts/8748051/record/0-2/8816517268", 8816517268)</f>
        <v>8816517268</v>
      </c>
      <c r="L644" s="14" t="s">
        <v>1243</v>
      </c>
      <c r="M644" s="18" t="s">
        <v>1244</v>
      </c>
      <c r="N644" s="24"/>
      <c r="O644" s="14"/>
      <c r="P644" s="14"/>
      <c r="Q644" s="14"/>
      <c r="R644" s="14"/>
      <c r="S644" s="24" t="str">
        <f t="shared" ref="S644:U644" si="648">IF(E644&lt;&gt;"","Yes","")</f>
        <v/>
      </c>
      <c r="T644" s="24" t="str">
        <f t="shared" si="648"/>
        <v/>
      </c>
      <c r="U644" s="24" t="str">
        <f t="shared" si="648"/>
        <v/>
      </c>
      <c r="V644" s="24" t="str">
        <f t="shared" si="3"/>
        <v/>
      </c>
      <c r="W644" s="14" t="str">
        <f t="shared" si="4"/>
        <v/>
      </c>
    </row>
    <row r="645" ht="14.25" customHeight="1">
      <c r="A645" s="18">
        <f>HYPERLINK("https://app.hubspot.com/contacts/8748051/record/0-1/1545751", 1545751)</f>
        <v>1545751</v>
      </c>
      <c r="B645" s="14" t="s">
        <v>4605</v>
      </c>
      <c r="C645" s="16">
        <v>44902.14454861111</v>
      </c>
      <c r="D645" s="14"/>
      <c r="E645" s="32"/>
      <c r="F645" s="32"/>
      <c r="G645" s="32"/>
      <c r="H645" s="14"/>
      <c r="I645" s="14"/>
      <c r="J645" s="14"/>
      <c r="K645" s="18">
        <f>HYPERLINK("https://app.hubspot.com/contacts/8748051/record/0-2/8140219698", 8140219698)</f>
        <v>8140219698</v>
      </c>
      <c r="L645" s="14" t="s">
        <v>2967</v>
      </c>
      <c r="M645" s="18" t="s">
        <v>2969</v>
      </c>
      <c r="N645" s="14"/>
      <c r="O645" s="14"/>
      <c r="P645" s="14"/>
      <c r="Q645" s="14"/>
      <c r="R645" s="14"/>
      <c r="S645" s="24" t="str">
        <f t="shared" ref="S645:U645" si="649">IF(E645&lt;&gt;"","Yes","")</f>
        <v/>
      </c>
      <c r="T645" s="24" t="str">
        <f t="shared" si="649"/>
        <v/>
      </c>
      <c r="U645" s="24" t="str">
        <f t="shared" si="649"/>
        <v/>
      </c>
      <c r="V645" s="24" t="str">
        <f t="shared" si="3"/>
        <v/>
      </c>
      <c r="W645" s="14" t="str">
        <f t="shared" si="4"/>
        <v/>
      </c>
    </row>
    <row r="646" ht="14.25" customHeight="1">
      <c r="A646" s="18">
        <f>HYPERLINK("https://app.hubspot.com/contacts/8748051/record/0-1/1545151", 1545151)</f>
        <v>1545151</v>
      </c>
      <c r="B646" s="14" t="s">
        <v>4606</v>
      </c>
      <c r="C646" s="16">
        <v>44902.10587962963</v>
      </c>
      <c r="D646" s="14"/>
      <c r="E646" s="32"/>
      <c r="F646" s="32"/>
      <c r="G646" s="32"/>
      <c r="H646" s="14"/>
      <c r="I646" s="14"/>
      <c r="J646" s="14"/>
      <c r="K646" s="18">
        <f>HYPERLINK("https://app.hubspot.com/contacts/8748051/record/0-2/10266662914", 10266662914)</f>
        <v>10266662914</v>
      </c>
      <c r="L646" s="14" t="s">
        <v>2716</v>
      </c>
      <c r="M646" s="18" t="s">
        <v>2717</v>
      </c>
      <c r="N646" s="18">
        <f>HYPERLINK("https://app.hubspot.com/contacts/8748051/record/0-3/11277545078", 11277545078)</f>
        <v>11277545078</v>
      </c>
      <c r="O646" s="14" t="s">
        <v>2715</v>
      </c>
      <c r="P646" s="14" t="s">
        <v>124</v>
      </c>
      <c r="Q646" s="14">
        <v>9000.0</v>
      </c>
      <c r="R646" s="14" t="b">
        <v>1</v>
      </c>
      <c r="S646" s="24" t="str">
        <f t="shared" ref="S646:U646" si="650">IF(E646&lt;&gt;"","Yes","")</f>
        <v/>
      </c>
      <c r="T646" s="24" t="str">
        <f t="shared" si="650"/>
        <v/>
      </c>
      <c r="U646" s="24" t="str">
        <f t="shared" si="650"/>
        <v/>
      </c>
      <c r="V646" s="24" t="str">
        <f t="shared" si="3"/>
        <v/>
      </c>
      <c r="W646" s="14" t="str">
        <f t="shared" si="4"/>
        <v/>
      </c>
    </row>
    <row r="647" ht="14.25" customHeight="1">
      <c r="A647" s="18">
        <f>HYPERLINK("https://app.hubspot.com/contacts/8748051/record/0-1/1532301", 1532301)</f>
        <v>1532301</v>
      </c>
      <c r="B647" s="14" t="s">
        <v>4607</v>
      </c>
      <c r="C647" s="16">
        <v>44900.07910879629</v>
      </c>
      <c r="D647" s="14"/>
      <c r="E647" s="32"/>
      <c r="F647" s="32"/>
      <c r="G647" s="32"/>
      <c r="H647" s="14"/>
      <c r="I647" s="14"/>
      <c r="J647" s="14"/>
      <c r="K647" s="18">
        <f>HYPERLINK("https://app.hubspot.com/contacts/8748051/record/0-2/10242262171", 10242262171)</f>
        <v>10242262171</v>
      </c>
      <c r="L647" s="14" t="s">
        <v>2719</v>
      </c>
      <c r="M647" s="18" t="s">
        <v>2720</v>
      </c>
      <c r="N647" s="18">
        <f>HYPERLINK("https://app.hubspot.com/contacts/8748051/record/0-3/11277650784", 11277650784)</f>
        <v>11277650784</v>
      </c>
      <c r="O647" s="14" t="s">
        <v>2718</v>
      </c>
      <c r="P647" s="14" t="s">
        <v>124</v>
      </c>
      <c r="Q647" s="14">
        <v>15000.0</v>
      </c>
      <c r="R647" s="14" t="b">
        <v>1</v>
      </c>
      <c r="S647" s="24" t="str">
        <f t="shared" ref="S647:U647" si="651">IF(E647&lt;&gt;"","Yes","")</f>
        <v/>
      </c>
      <c r="T647" s="24" t="str">
        <f t="shared" si="651"/>
        <v/>
      </c>
      <c r="U647" s="24" t="str">
        <f t="shared" si="651"/>
        <v/>
      </c>
      <c r="V647" s="24" t="str">
        <f t="shared" si="3"/>
        <v/>
      </c>
      <c r="W647" s="14" t="str">
        <f t="shared" si="4"/>
        <v/>
      </c>
    </row>
    <row r="648" ht="14.25" customHeight="1">
      <c r="A648" s="18">
        <f>HYPERLINK("https://app.hubspot.com/contacts/8748051/record/0-1/1531751", 1531751)</f>
        <v>1531751</v>
      </c>
      <c r="B648" s="14" t="s">
        <v>4608</v>
      </c>
      <c r="C648" s="16">
        <v>44900.0522337963</v>
      </c>
      <c r="D648" s="16"/>
      <c r="E648" s="32"/>
      <c r="F648" s="32"/>
      <c r="G648" s="32"/>
      <c r="H648" s="14"/>
      <c r="I648" s="14"/>
      <c r="J648" s="14"/>
      <c r="K648" s="18">
        <f>HYPERLINK("https://app.hubspot.com/contacts/8748051/record/0-2/10242172335", 10242172335)</f>
        <v>10242172335</v>
      </c>
      <c r="L648" s="14" t="s">
        <v>4609</v>
      </c>
      <c r="M648" s="18" t="s">
        <v>4610</v>
      </c>
      <c r="N648" s="24"/>
      <c r="O648" s="14"/>
      <c r="P648" s="14"/>
      <c r="Q648" s="14"/>
      <c r="R648" s="14"/>
      <c r="S648" s="24" t="str">
        <f t="shared" ref="S648:U648" si="652">IF(E648&lt;&gt;"","Yes","")</f>
        <v/>
      </c>
      <c r="T648" s="24" t="str">
        <f t="shared" si="652"/>
        <v/>
      </c>
      <c r="U648" s="24" t="str">
        <f t="shared" si="652"/>
        <v/>
      </c>
      <c r="V648" s="24" t="str">
        <f t="shared" si="3"/>
        <v/>
      </c>
      <c r="W648" s="14" t="str">
        <f t="shared" si="4"/>
        <v/>
      </c>
    </row>
    <row r="649" ht="14.25" customHeight="1">
      <c r="A649" s="23">
        <f>HYPERLINK("https://app.hubspot.com/contacts/8748051/record/0-1/1517601", 1517601)</f>
        <v>1517601</v>
      </c>
      <c r="B649" s="14" t="s">
        <v>4611</v>
      </c>
      <c r="C649" s="16">
        <v>44897.39020833333</v>
      </c>
      <c r="D649" s="24"/>
      <c r="E649" s="32"/>
      <c r="F649" s="32"/>
      <c r="G649" s="32"/>
      <c r="H649" s="14"/>
      <c r="I649" s="14"/>
      <c r="J649" s="24"/>
      <c r="K649" s="23">
        <f>HYPERLINK("https://app.hubspot.com/contacts/8748051/record/0-2/9238333748", 9238333748)</f>
        <v>9238333748</v>
      </c>
      <c r="L649" s="14" t="s">
        <v>2712</v>
      </c>
      <c r="M649" s="18" t="s">
        <v>2713</v>
      </c>
      <c r="N649" s="23">
        <f>HYPERLINK("https://app.hubspot.com/contacts/8748051/record/0-3/11318663327", 11318663327)</f>
        <v>11318663327</v>
      </c>
      <c r="O649" s="14" t="s">
        <v>2711</v>
      </c>
      <c r="P649" s="14" t="s">
        <v>124</v>
      </c>
      <c r="Q649" s="14">
        <v>8000.0</v>
      </c>
      <c r="R649" s="14" t="b">
        <v>1</v>
      </c>
      <c r="S649" s="24" t="str">
        <f t="shared" ref="S649:U649" si="653">IF(E649&lt;&gt;"","Yes","")</f>
        <v/>
      </c>
      <c r="T649" s="24" t="str">
        <f t="shared" si="653"/>
        <v/>
      </c>
      <c r="U649" s="24" t="str">
        <f t="shared" si="653"/>
        <v/>
      </c>
      <c r="V649" s="24" t="str">
        <f t="shared" si="3"/>
        <v/>
      </c>
      <c r="W649" s="14" t="str">
        <f t="shared" si="4"/>
        <v/>
      </c>
    </row>
    <row r="650" ht="14.25" customHeight="1">
      <c r="A650" s="23">
        <f>HYPERLINK("https://app.hubspot.com/contacts/8748051/record/0-1/1471901", 1471901)</f>
        <v>1471901</v>
      </c>
      <c r="B650" s="14" t="s">
        <v>4612</v>
      </c>
      <c r="C650" s="16">
        <v>44895.28827546296</v>
      </c>
      <c r="D650" s="24"/>
      <c r="E650" s="32"/>
      <c r="F650" s="32"/>
      <c r="G650" s="32"/>
      <c r="H650" s="14"/>
      <c r="I650" s="14"/>
      <c r="J650" s="24"/>
      <c r="K650" s="23">
        <f>HYPERLINK("https://app.hubspot.com/contacts/8748051/record/0-2/10207984299", 10207984299)</f>
        <v>10207984299</v>
      </c>
      <c r="L650" s="14" t="s">
        <v>4613</v>
      </c>
      <c r="M650" s="18" t="s">
        <v>4614</v>
      </c>
      <c r="N650" s="24"/>
      <c r="O650" s="14"/>
      <c r="P650" s="14"/>
      <c r="Q650" s="14"/>
      <c r="R650" s="14"/>
      <c r="S650" s="24" t="str">
        <f t="shared" ref="S650:U650" si="654">IF(E650&lt;&gt;"","Yes","")</f>
        <v/>
      </c>
      <c r="T650" s="24" t="str">
        <f t="shared" si="654"/>
        <v/>
      </c>
      <c r="U650" s="24" t="str">
        <f t="shared" si="654"/>
        <v/>
      </c>
      <c r="V650" s="24" t="str">
        <f t="shared" si="3"/>
        <v/>
      </c>
      <c r="W650" s="14" t="str">
        <f t="shared" si="4"/>
        <v/>
      </c>
    </row>
    <row r="651" ht="14.25" customHeight="1">
      <c r="A651" s="23">
        <f>HYPERLINK("https://app.hubspot.com/contacts/8748051/record/0-1/1462751", 1462751)</f>
        <v>1462751</v>
      </c>
      <c r="B651" s="14" t="s">
        <v>4615</v>
      </c>
      <c r="C651" s="16">
        <v>44889.96021990741</v>
      </c>
      <c r="D651" s="24"/>
      <c r="E651" s="24"/>
      <c r="F651" s="24"/>
      <c r="G651" s="24"/>
      <c r="H651" s="24"/>
      <c r="I651" s="24"/>
      <c r="J651" s="24"/>
      <c r="K651" s="23">
        <f>HYPERLINK("https://app.hubspot.com/contacts/8748051/record/0-2/10177312081", 10177312081)</f>
        <v>10177312081</v>
      </c>
      <c r="L651" s="14" t="s">
        <v>4616</v>
      </c>
      <c r="M651" s="18" t="s">
        <v>4617</v>
      </c>
      <c r="N651" s="24"/>
      <c r="O651" s="14"/>
      <c r="P651" s="14"/>
      <c r="Q651" s="14"/>
      <c r="R651" s="14"/>
      <c r="S651" s="24" t="str">
        <f t="shared" ref="S651:U651" si="655">IF(E651&lt;&gt;"","Yes","")</f>
        <v/>
      </c>
      <c r="T651" s="24" t="str">
        <f t="shared" si="655"/>
        <v/>
      </c>
      <c r="U651" s="24" t="str">
        <f t="shared" si="655"/>
        <v/>
      </c>
      <c r="V651" s="24" t="str">
        <f t="shared" si="3"/>
        <v/>
      </c>
      <c r="W651" s="14" t="str">
        <f t="shared" si="4"/>
        <v/>
      </c>
    </row>
    <row r="652" ht="14.25" customHeight="1">
      <c r="A652" s="23">
        <f>HYPERLINK("https://app.hubspot.com/contacts/8748051/record/0-1/1457301", 1457301)</f>
        <v>1457301</v>
      </c>
      <c r="B652" s="14" t="s">
        <v>4618</v>
      </c>
      <c r="C652" s="16">
        <v>44889.28333333333</v>
      </c>
      <c r="D652" s="24"/>
      <c r="E652" s="24"/>
      <c r="F652" s="24"/>
      <c r="G652" s="24"/>
      <c r="H652" s="24"/>
      <c r="I652" s="24"/>
      <c r="J652" s="24"/>
      <c r="K652" s="23">
        <f>HYPERLINK("https://app.hubspot.com/contacts/8748051/record/0-2/8816890039", 8816890039)</f>
        <v>8816890039</v>
      </c>
      <c r="L652" s="14" t="s">
        <v>736</v>
      </c>
      <c r="M652" s="18" t="s">
        <v>737</v>
      </c>
      <c r="N652" s="24"/>
      <c r="O652" s="14"/>
      <c r="P652" s="14"/>
      <c r="Q652" s="14"/>
      <c r="R652" s="14"/>
      <c r="S652" s="24" t="str">
        <f t="shared" ref="S652:U652" si="656">IF(E652&lt;&gt;"","Yes","")</f>
        <v/>
      </c>
      <c r="T652" s="24" t="str">
        <f t="shared" si="656"/>
        <v/>
      </c>
      <c r="U652" s="24" t="str">
        <f t="shared" si="656"/>
        <v/>
      </c>
      <c r="V652" s="24" t="str">
        <f t="shared" si="3"/>
        <v/>
      </c>
      <c r="W652" s="14" t="str">
        <f t="shared" si="4"/>
        <v/>
      </c>
    </row>
    <row r="653" ht="14.25" customHeight="1">
      <c r="A653" s="23">
        <f>HYPERLINK("https://app.hubspot.com/contacts/8748051/record/0-1/1449451", 1449451)</f>
        <v>1449451</v>
      </c>
      <c r="B653" s="14" t="s">
        <v>4619</v>
      </c>
      <c r="C653" s="16">
        <v>44888.41873842593</v>
      </c>
      <c r="D653" s="24"/>
      <c r="E653" s="24"/>
      <c r="F653" s="24"/>
      <c r="G653" s="24"/>
      <c r="H653" s="24"/>
      <c r="I653" s="24"/>
      <c r="J653" s="24"/>
      <c r="K653" s="23">
        <f>HYPERLINK("https://app.hubspot.com/contacts/8748051/record/0-2/10228278794", 10228278794)</f>
        <v>10228278794</v>
      </c>
      <c r="L653" s="14" t="s">
        <v>1171</v>
      </c>
      <c r="M653" s="18" t="s">
        <v>1172</v>
      </c>
      <c r="N653" s="23">
        <f>HYPERLINK("https://app.hubspot.com/contacts/8748051/record/0-3/11318701656", 11318701656)</f>
        <v>11318701656</v>
      </c>
      <c r="O653" s="14" t="s">
        <v>2709</v>
      </c>
      <c r="P653" s="14" t="s">
        <v>89</v>
      </c>
      <c r="Q653" s="14">
        <v>62100.0</v>
      </c>
      <c r="R653" s="14" t="b">
        <v>1</v>
      </c>
      <c r="S653" s="24" t="str">
        <f t="shared" ref="S653:U653" si="657">IF(E653&lt;&gt;"","Yes","")</f>
        <v/>
      </c>
      <c r="T653" s="24" t="str">
        <f t="shared" si="657"/>
        <v/>
      </c>
      <c r="U653" s="24" t="str">
        <f t="shared" si="657"/>
        <v/>
      </c>
      <c r="V653" s="24" t="str">
        <f t="shared" si="3"/>
        <v>Yes</v>
      </c>
      <c r="W653" s="14" t="str">
        <f t="shared" si="4"/>
        <v/>
      </c>
    </row>
    <row r="654" ht="14.25" customHeight="1">
      <c r="A654" s="23">
        <f>HYPERLINK("https://app.hubspot.com/contacts/8748051/record/0-1/1441851", 1441851)</f>
        <v>1441851</v>
      </c>
      <c r="B654" s="14" t="s">
        <v>4620</v>
      </c>
      <c r="C654" s="16">
        <v>44886.36699074074</v>
      </c>
      <c r="D654" s="24"/>
      <c r="E654" s="24"/>
      <c r="F654" s="24"/>
      <c r="G654" s="24"/>
      <c r="H654" s="24"/>
      <c r="I654" s="24"/>
      <c r="J654" s="24"/>
      <c r="K654" s="23">
        <f>HYPERLINK("https://app.hubspot.com/contacts/8748051/record/0-2/10142149933", 10142149933)</f>
        <v>10142149933</v>
      </c>
      <c r="L654" s="14" t="s">
        <v>4621</v>
      </c>
      <c r="M654" s="18" t="s">
        <v>4622</v>
      </c>
      <c r="N654" s="24"/>
      <c r="O654" s="14"/>
      <c r="P654" s="14"/>
      <c r="Q654" s="14"/>
      <c r="R654" s="14"/>
      <c r="S654" s="24" t="str">
        <f t="shared" ref="S654:U654" si="658">IF(E654&lt;&gt;"","Yes","")</f>
        <v/>
      </c>
      <c r="T654" s="24" t="str">
        <f t="shared" si="658"/>
        <v/>
      </c>
      <c r="U654" s="24" t="str">
        <f t="shared" si="658"/>
        <v/>
      </c>
      <c r="V654" s="24" t="str">
        <f t="shared" si="3"/>
        <v/>
      </c>
      <c r="W654" s="14" t="str">
        <f t="shared" si="4"/>
        <v/>
      </c>
    </row>
    <row r="655" ht="14.25" customHeight="1">
      <c r="A655" s="23">
        <f>HYPERLINK("https://app.hubspot.com/contacts/8748051/record/0-1/1440401", 1440401)</f>
        <v>1440401</v>
      </c>
      <c r="B655" s="14" t="s">
        <v>4623</v>
      </c>
      <c r="C655" s="16">
        <v>44884.235625</v>
      </c>
      <c r="D655" s="24"/>
      <c r="E655" s="24"/>
      <c r="F655" s="24"/>
      <c r="G655" s="24"/>
      <c r="H655" s="24"/>
      <c r="I655" s="24"/>
      <c r="J655" s="24"/>
      <c r="K655" s="23">
        <f>HYPERLINK("https://app.hubspot.com/contacts/8748051/record/0-2/10131985065", 10131985065)</f>
        <v>10131985065</v>
      </c>
      <c r="L655" s="14" t="s">
        <v>2692</v>
      </c>
      <c r="M655" s="18" t="s">
        <v>2693</v>
      </c>
      <c r="N655" s="23">
        <f>HYPERLINK("https://app.hubspot.com/contacts/8748051/record/0-3/12037674622", 12037674622)</f>
        <v>12037674622</v>
      </c>
      <c r="O655" s="14" t="s">
        <v>2691</v>
      </c>
      <c r="P655" s="14" t="s">
        <v>124</v>
      </c>
      <c r="Q655" s="14">
        <v>25000.0</v>
      </c>
      <c r="R655" s="14" t="b">
        <v>1</v>
      </c>
      <c r="S655" s="24" t="str">
        <f t="shared" ref="S655:U655" si="659">IF(E655&lt;&gt;"","Yes","")</f>
        <v/>
      </c>
      <c r="T655" s="24" t="str">
        <f t="shared" si="659"/>
        <v/>
      </c>
      <c r="U655" s="24" t="str">
        <f t="shared" si="659"/>
        <v/>
      </c>
      <c r="V655" s="24" t="str">
        <f t="shared" si="3"/>
        <v/>
      </c>
      <c r="W655" s="14" t="str">
        <f t="shared" si="4"/>
        <v/>
      </c>
    </row>
    <row r="656" ht="14.25" customHeight="1">
      <c r="A656" s="23">
        <f>HYPERLINK("https://app.hubspot.com/contacts/8748051/record/0-1/1439851", 1439851)</f>
        <v>1439851</v>
      </c>
      <c r="B656" s="14" t="s">
        <v>4624</v>
      </c>
      <c r="C656" s="16">
        <v>44882.54011574074</v>
      </c>
      <c r="D656" s="24"/>
      <c r="E656" s="24"/>
      <c r="F656" s="24"/>
      <c r="G656" s="24"/>
      <c r="H656" s="24"/>
      <c r="I656" s="24"/>
      <c r="J656" s="24"/>
      <c r="K656" s="23">
        <f>HYPERLINK("https://app.hubspot.com/contacts/8748051/record/0-2/10113569547", 10113569547)</f>
        <v>10113569547</v>
      </c>
      <c r="L656" s="14" t="s">
        <v>4625</v>
      </c>
      <c r="M656" s="18" t="s">
        <v>4626</v>
      </c>
      <c r="N656" s="24"/>
      <c r="O656" s="14"/>
      <c r="P656" s="14"/>
      <c r="Q656" s="14"/>
      <c r="R656" s="14"/>
      <c r="S656" s="24" t="str">
        <f t="shared" ref="S656:U656" si="660">IF(E656&lt;&gt;"","Yes","")</f>
        <v/>
      </c>
      <c r="T656" s="24" t="str">
        <f t="shared" si="660"/>
        <v/>
      </c>
      <c r="U656" s="24" t="str">
        <f t="shared" si="660"/>
        <v/>
      </c>
      <c r="V656" s="24" t="str">
        <f t="shared" si="3"/>
        <v/>
      </c>
      <c r="W656" s="14" t="str">
        <f t="shared" si="4"/>
        <v/>
      </c>
    </row>
    <row r="657" ht="14.25" customHeight="1">
      <c r="A657" s="23">
        <f>HYPERLINK("https://app.hubspot.com/contacts/8748051/record/0-1/1435901", 1435901)</f>
        <v>1435901</v>
      </c>
      <c r="B657" s="14" t="s">
        <v>4627</v>
      </c>
      <c r="C657" s="16">
        <v>44881.52203703704</v>
      </c>
      <c r="D657" s="24"/>
      <c r="E657" s="24"/>
      <c r="F657" s="24"/>
      <c r="G657" s="24"/>
      <c r="H657" s="24"/>
      <c r="I657" s="24"/>
      <c r="J657" s="24"/>
      <c r="K657" s="23">
        <f>HYPERLINK("https://app.hubspot.com/contacts/8748051/record/0-2/10093804887", 10093804887)</f>
        <v>10093804887</v>
      </c>
      <c r="L657" s="14" t="s">
        <v>4628</v>
      </c>
      <c r="M657" s="18" t="s">
        <v>4629</v>
      </c>
      <c r="N657" s="24"/>
      <c r="O657" s="14"/>
      <c r="P657" s="14"/>
      <c r="Q657" s="14"/>
      <c r="R657" s="14"/>
      <c r="S657" s="24" t="str">
        <f t="shared" ref="S657:U657" si="661">IF(E657&lt;&gt;"","Yes","")</f>
        <v/>
      </c>
      <c r="T657" s="24" t="str">
        <f t="shared" si="661"/>
        <v/>
      </c>
      <c r="U657" s="24" t="str">
        <f t="shared" si="661"/>
        <v/>
      </c>
      <c r="V657" s="24" t="str">
        <f t="shared" si="3"/>
        <v/>
      </c>
      <c r="W657" s="14" t="str">
        <f t="shared" si="4"/>
        <v/>
      </c>
    </row>
    <row r="658" ht="14.25" customHeight="1">
      <c r="A658" s="23">
        <f>HYPERLINK("https://app.hubspot.com/contacts/8748051/record/0-1/1423901", 1423901)</f>
        <v>1423901</v>
      </c>
      <c r="B658" s="14" t="s">
        <v>4630</v>
      </c>
      <c r="C658" s="16">
        <v>44881.35239583333</v>
      </c>
      <c r="D658" s="24"/>
      <c r="E658" s="24"/>
      <c r="F658" s="24"/>
      <c r="G658" s="24"/>
      <c r="H658" s="24"/>
      <c r="I658" s="24"/>
      <c r="J658" s="24"/>
      <c r="K658" s="23">
        <f>HYPERLINK("https://app.hubspot.com/contacts/8748051/record/0-2/10092057970", 10092057970)</f>
        <v>10092057970</v>
      </c>
      <c r="L658" s="14" t="s">
        <v>4631</v>
      </c>
      <c r="M658" s="18" t="s">
        <v>4632</v>
      </c>
      <c r="N658" s="24"/>
      <c r="O658" s="24"/>
      <c r="P658" s="24"/>
      <c r="Q658" s="24"/>
      <c r="R658" s="24"/>
      <c r="S658" s="24" t="str">
        <f t="shared" ref="S658:U658" si="662">IF(E658&lt;&gt;"","Yes","")</f>
        <v/>
      </c>
      <c r="T658" s="24" t="str">
        <f t="shared" si="662"/>
        <v/>
      </c>
      <c r="U658" s="24" t="str">
        <f t="shared" si="662"/>
        <v/>
      </c>
      <c r="V658" s="24" t="str">
        <f t="shared" si="3"/>
        <v/>
      </c>
      <c r="W658" s="14" t="str">
        <f t="shared" si="4"/>
        <v/>
      </c>
    </row>
    <row r="659" ht="14.25" customHeight="1">
      <c r="A659" s="23">
        <f>HYPERLINK("https://app.hubspot.com/contacts/8748051/record/0-1/1434401", 1434401)</f>
        <v>1434401</v>
      </c>
      <c r="B659" s="14" t="s">
        <v>4633</v>
      </c>
      <c r="C659" s="16">
        <v>44879.600439814814</v>
      </c>
      <c r="D659" s="24"/>
      <c r="E659" s="24"/>
      <c r="F659" s="24"/>
      <c r="G659" s="24"/>
      <c r="H659" s="24"/>
      <c r="I659" s="24"/>
      <c r="J659" s="24"/>
      <c r="K659" s="23">
        <f>HYPERLINK("https://app.hubspot.com/contacts/8748051/record/0-2/8616793166", 8616793166)</f>
        <v>8616793166</v>
      </c>
      <c r="L659" s="14" t="s">
        <v>2590</v>
      </c>
      <c r="M659" s="18" t="s">
        <v>2591</v>
      </c>
      <c r="N659" s="24"/>
      <c r="O659" s="24"/>
      <c r="P659" s="24"/>
      <c r="Q659" s="24"/>
      <c r="R659" s="24"/>
      <c r="S659" s="24" t="str">
        <f t="shared" ref="S659:U659" si="663">IF(E659&lt;&gt;"","Yes","")</f>
        <v/>
      </c>
      <c r="T659" s="24" t="str">
        <f t="shared" si="663"/>
        <v/>
      </c>
      <c r="U659" s="24" t="str">
        <f t="shared" si="663"/>
        <v/>
      </c>
      <c r="V659" s="24" t="str">
        <f t="shared" si="3"/>
        <v/>
      </c>
      <c r="W659" s="14" t="str">
        <f t="shared" si="4"/>
        <v/>
      </c>
    </row>
    <row r="660" ht="14.25" customHeight="1">
      <c r="A660" s="23">
        <f>HYPERLINK("https://app.hubspot.com/contacts/8748051/record/0-1/1424201", 1424201)</f>
        <v>1424201</v>
      </c>
      <c r="B660" s="14" t="s">
        <v>4634</v>
      </c>
      <c r="C660" s="16">
        <v>44873.01583333333</v>
      </c>
      <c r="D660" s="24"/>
      <c r="E660" s="24"/>
      <c r="F660" s="24"/>
      <c r="G660" s="24"/>
      <c r="H660" s="24"/>
      <c r="I660" s="24"/>
      <c r="J660" s="24"/>
      <c r="K660" s="23">
        <f>HYPERLINK("https://app.hubspot.com/contacts/8748051/record/0-2/10024652425", 10024652425)</f>
        <v>10024652425</v>
      </c>
      <c r="L660" s="14" t="s">
        <v>4635</v>
      </c>
      <c r="M660" s="18" t="s">
        <v>4636</v>
      </c>
      <c r="N660" s="24"/>
      <c r="O660" s="24"/>
      <c r="P660" s="24"/>
      <c r="Q660" s="24"/>
      <c r="R660" s="24"/>
      <c r="S660" s="24" t="str">
        <f t="shared" ref="S660:U660" si="664">IF(E660&lt;&gt;"","Yes","")</f>
        <v/>
      </c>
      <c r="T660" s="24" t="str">
        <f t="shared" si="664"/>
        <v/>
      </c>
      <c r="U660" s="24" t="str">
        <f t="shared" si="664"/>
        <v/>
      </c>
      <c r="V660" s="24" t="str">
        <f t="shared" si="3"/>
        <v/>
      </c>
      <c r="W660" s="14" t="str">
        <f t="shared" si="4"/>
        <v/>
      </c>
    </row>
    <row r="661" ht="14.25" customHeight="1">
      <c r="A661" s="23">
        <f>HYPERLINK("https://app.hubspot.com/contacts/8748051/record/0-1/1418451", 1418451)</f>
        <v>1418451</v>
      </c>
      <c r="B661" s="14" t="s">
        <v>4637</v>
      </c>
      <c r="C661" s="16">
        <v>44868.493101851855</v>
      </c>
      <c r="D661" s="24"/>
      <c r="E661" s="24"/>
      <c r="F661" s="24"/>
      <c r="G661" s="24"/>
      <c r="H661" s="24"/>
      <c r="I661" s="24"/>
      <c r="J661" s="24"/>
      <c r="K661" s="23">
        <f>HYPERLINK("https://app.hubspot.com/contacts/8748051/record/0-2/9968034866", 9968034866)</f>
        <v>9968034866</v>
      </c>
      <c r="L661" s="14" t="s">
        <v>4638</v>
      </c>
      <c r="M661" s="14" t="s">
        <v>4638</v>
      </c>
      <c r="N661" s="24"/>
      <c r="O661" s="14"/>
      <c r="P661" s="14"/>
      <c r="Q661" s="14"/>
      <c r="R661" s="14"/>
      <c r="S661" s="24" t="str">
        <f t="shared" ref="S661:U661" si="665">IF(E661&lt;&gt;"","Yes","")</f>
        <v/>
      </c>
      <c r="T661" s="24" t="str">
        <f t="shared" si="665"/>
        <v/>
      </c>
      <c r="U661" s="24" t="str">
        <f t="shared" si="665"/>
        <v/>
      </c>
      <c r="V661" s="24" t="str">
        <f t="shared" si="3"/>
        <v/>
      </c>
      <c r="W661" s="14" t="str">
        <f t="shared" si="4"/>
        <v/>
      </c>
    </row>
    <row r="662" ht="14.25" customHeight="1">
      <c r="A662" s="23">
        <f>HYPERLINK("https://app.hubspot.com/contacts/8748051/record/0-1/626551", 626551)</f>
        <v>626551</v>
      </c>
      <c r="B662" s="14" t="s">
        <v>4639</v>
      </c>
      <c r="C662" s="16">
        <v>44865.985763888886</v>
      </c>
      <c r="D662" s="24"/>
      <c r="E662" s="24"/>
      <c r="F662" s="24"/>
      <c r="G662" s="24"/>
      <c r="H662" s="24"/>
      <c r="I662" s="24"/>
      <c r="J662" s="24"/>
      <c r="K662" s="23">
        <f>HYPERLINK("https://app.hubspot.com/contacts/8748051/record/0-2/9003956084", 9003956084)</f>
        <v>9003956084</v>
      </c>
      <c r="L662" s="14" t="s">
        <v>4640</v>
      </c>
      <c r="M662" s="18" t="s">
        <v>4641</v>
      </c>
      <c r="N662" s="24"/>
      <c r="O662" s="14"/>
      <c r="P662" s="14"/>
      <c r="Q662" s="14"/>
      <c r="R662" s="14"/>
      <c r="S662" s="24" t="str">
        <f t="shared" ref="S662:U662" si="666">IF(E662&lt;&gt;"","Yes","")</f>
        <v/>
      </c>
      <c r="T662" s="24" t="str">
        <f t="shared" si="666"/>
        <v/>
      </c>
      <c r="U662" s="24" t="str">
        <f t="shared" si="666"/>
        <v/>
      </c>
      <c r="V662" s="24" t="str">
        <f t="shared" si="3"/>
        <v/>
      </c>
      <c r="W662" s="14" t="str">
        <f t="shared" si="4"/>
        <v/>
      </c>
    </row>
    <row r="663" ht="14.25" customHeight="1">
      <c r="A663" s="23">
        <f>HYPERLINK("https://app.hubspot.com/contacts/8748051/record/0-1/1200351", 1200351)</f>
        <v>1200351</v>
      </c>
      <c r="B663" s="14" t="s">
        <v>4642</v>
      </c>
      <c r="C663" s="16">
        <v>44831.275243055556</v>
      </c>
      <c r="D663" s="24"/>
      <c r="E663" s="24"/>
      <c r="F663" s="24"/>
      <c r="G663" s="24"/>
      <c r="H663" s="24"/>
      <c r="I663" s="24"/>
      <c r="J663" s="24"/>
      <c r="K663" s="23">
        <f>HYPERLINK("https://app.hubspot.com/contacts/8748051/record/0-2/9673925377", 9673925377)</f>
        <v>9673925377</v>
      </c>
      <c r="L663" s="14" t="s">
        <v>2742</v>
      </c>
      <c r="M663" s="18" t="s">
        <v>2743</v>
      </c>
      <c r="N663" s="23">
        <f>HYPERLINK("https://app.hubspot.com/contacts/8748051/record/0-3/10750772853", 10750772853)</f>
        <v>10750772853</v>
      </c>
      <c r="O663" s="14" t="s">
        <v>2741</v>
      </c>
      <c r="P663" s="14" t="s">
        <v>124</v>
      </c>
      <c r="Q663" s="14">
        <v>25000.0</v>
      </c>
      <c r="R663" s="14" t="b">
        <v>1</v>
      </c>
      <c r="S663" s="24" t="str">
        <f t="shared" ref="S663:U663" si="667">IF(E663&lt;&gt;"","Yes","")</f>
        <v/>
      </c>
      <c r="T663" s="24" t="str">
        <f t="shared" si="667"/>
        <v/>
      </c>
      <c r="U663" s="24" t="str">
        <f t="shared" si="667"/>
        <v/>
      </c>
      <c r="V663" s="24" t="str">
        <f t="shared" si="3"/>
        <v/>
      </c>
      <c r="W663" s="14" t="str">
        <f t="shared" si="4"/>
        <v/>
      </c>
    </row>
    <row r="664" ht="14.25" customHeight="1">
      <c r="A664" s="23">
        <f>HYPERLINK("https://app.hubspot.com/contacts/8748051/record/0-1/726151", 726151)</f>
        <v>726151</v>
      </c>
      <c r="B664" s="14" t="s">
        <v>4643</v>
      </c>
      <c r="C664" s="16">
        <v>44754.54299768519</v>
      </c>
      <c r="D664" s="24"/>
      <c r="E664" s="24"/>
      <c r="F664" s="24"/>
      <c r="G664" s="24"/>
      <c r="H664" s="24"/>
      <c r="I664" s="24"/>
      <c r="J664" s="24"/>
      <c r="K664" s="23">
        <f>HYPERLINK("https://app.hubspot.com/contacts/8748051/record/0-2/9107031372", 9107031372)</f>
        <v>9107031372</v>
      </c>
      <c r="L664" s="14" t="s">
        <v>4644</v>
      </c>
      <c r="M664" s="18" t="s">
        <v>4645</v>
      </c>
      <c r="N664" s="24"/>
      <c r="O664" s="24"/>
      <c r="P664" s="24"/>
      <c r="Q664" s="24"/>
      <c r="R664" s="24"/>
      <c r="S664" s="24" t="str">
        <f t="shared" ref="S664:U664" si="668">IF(E664&lt;&gt;"","Yes","")</f>
        <v/>
      </c>
      <c r="T664" s="24" t="str">
        <f t="shared" si="668"/>
        <v/>
      </c>
      <c r="U664" s="24" t="str">
        <f t="shared" si="668"/>
        <v/>
      </c>
      <c r="V664" s="24" t="str">
        <f t="shared" si="3"/>
        <v/>
      </c>
      <c r="W664" s="14" t="str">
        <f t="shared" si="4"/>
        <v/>
      </c>
    </row>
    <row r="665" ht="14.25" customHeight="1">
      <c r="A665" s="24"/>
      <c r="B665" s="24"/>
      <c r="C665" s="24"/>
      <c r="D665" s="24"/>
      <c r="E665" s="24"/>
      <c r="F665" s="24"/>
      <c r="G665" s="24"/>
      <c r="H665" s="24"/>
      <c r="I665" s="24"/>
      <c r="J665" s="24"/>
      <c r="K665" s="24"/>
      <c r="L665" s="24"/>
      <c r="M665" s="24"/>
      <c r="N665" s="24"/>
      <c r="O665" s="24"/>
      <c r="P665" s="24"/>
      <c r="Q665" s="24"/>
      <c r="R665" s="24"/>
      <c r="S665" s="24"/>
      <c r="T665" s="24"/>
      <c r="U665" s="24"/>
      <c r="V665" s="24"/>
      <c r="W665" s="14"/>
    </row>
    <row r="666" ht="14.25" customHeight="1">
      <c r="A666" s="24"/>
      <c r="B666" s="24"/>
      <c r="C666" s="24"/>
      <c r="D666" s="24"/>
      <c r="E666" s="24"/>
      <c r="F666" s="24"/>
      <c r="G666" s="24"/>
      <c r="H666" s="24"/>
      <c r="I666" s="24"/>
      <c r="J666" s="24"/>
      <c r="K666" s="24"/>
      <c r="L666" s="24"/>
      <c r="M666" s="24"/>
      <c r="N666" s="24"/>
      <c r="O666" s="24"/>
      <c r="P666" s="24"/>
      <c r="Q666" s="24"/>
      <c r="R666" s="24"/>
      <c r="S666" s="24"/>
      <c r="T666" s="24"/>
      <c r="U666" s="24"/>
      <c r="V666" s="24"/>
      <c r="W666" s="14"/>
    </row>
    <row r="667" ht="14.25" customHeight="1">
      <c r="A667" s="24"/>
      <c r="B667" s="24"/>
      <c r="C667" s="24"/>
      <c r="D667" s="24"/>
      <c r="E667" s="24"/>
      <c r="F667" s="24"/>
      <c r="G667" s="24"/>
      <c r="H667" s="24"/>
      <c r="I667" s="24"/>
      <c r="J667" s="24"/>
      <c r="K667" s="24"/>
      <c r="L667" s="24"/>
      <c r="M667" s="24"/>
      <c r="N667" s="24"/>
      <c r="O667" s="24"/>
      <c r="P667" s="24"/>
      <c r="Q667" s="24"/>
      <c r="R667" s="24"/>
      <c r="S667" s="24"/>
      <c r="T667" s="24"/>
      <c r="U667" s="24"/>
      <c r="V667" s="24"/>
      <c r="W667" s="14"/>
    </row>
    <row r="668" ht="14.25" customHeight="1">
      <c r="A668" s="24"/>
      <c r="B668" s="24"/>
      <c r="C668" s="24"/>
      <c r="D668" s="24"/>
      <c r="E668" s="24"/>
      <c r="F668" s="24"/>
      <c r="G668" s="24"/>
      <c r="H668" s="24"/>
      <c r="I668" s="24"/>
      <c r="J668" s="24"/>
      <c r="K668" s="24"/>
      <c r="L668" s="24"/>
      <c r="M668" s="24"/>
      <c r="N668" s="24"/>
      <c r="O668" s="24"/>
      <c r="P668" s="24"/>
      <c r="Q668" s="24"/>
      <c r="R668" s="24"/>
      <c r="S668" s="24"/>
      <c r="T668" s="24"/>
      <c r="U668" s="24"/>
      <c r="V668" s="24"/>
      <c r="W668" s="14"/>
    </row>
    <row r="669" ht="14.25" customHeight="1">
      <c r="A669" s="24"/>
      <c r="B669" s="24"/>
      <c r="C669" s="24"/>
      <c r="D669" s="24"/>
      <c r="E669" s="24"/>
      <c r="F669" s="24"/>
      <c r="G669" s="24"/>
      <c r="H669" s="24"/>
      <c r="I669" s="24"/>
      <c r="J669" s="24"/>
      <c r="K669" s="24"/>
      <c r="L669" s="24"/>
      <c r="M669" s="24"/>
      <c r="N669" s="24"/>
      <c r="O669" s="24"/>
      <c r="P669" s="24"/>
      <c r="Q669" s="24"/>
      <c r="R669" s="24"/>
      <c r="S669" s="24"/>
      <c r="T669" s="24"/>
      <c r="U669" s="24"/>
      <c r="V669" s="24"/>
      <c r="W669" s="14"/>
    </row>
    <row r="670" ht="14.25" customHeight="1">
      <c r="A670" s="24"/>
      <c r="B670" s="24"/>
      <c r="C670" s="24"/>
      <c r="D670" s="24"/>
      <c r="E670" s="24"/>
      <c r="F670" s="24"/>
      <c r="G670" s="24"/>
      <c r="H670" s="24"/>
      <c r="I670" s="24"/>
      <c r="J670" s="24"/>
      <c r="K670" s="24"/>
      <c r="L670" s="24"/>
      <c r="M670" s="24"/>
      <c r="N670" s="24"/>
      <c r="O670" s="24"/>
      <c r="P670" s="24"/>
      <c r="Q670" s="24"/>
      <c r="R670" s="24"/>
      <c r="S670" s="24"/>
      <c r="T670" s="24"/>
      <c r="U670" s="24"/>
      <c r="V670" s="24"/>
      <c r="W670" s="14"/>
    </row>
    <row r="671" ht="14.25" customHeight="1">
      <c r="A671" s="24"/>
      <c r="B671" s="24"/>
      <c r="C671" s="24"/>
      <c r="D671" s="24"/>
      <c r="E671" s="24"/>
      <c r="F671" s="24"/>
      <c r="G671" s="24"/>
      <c r="H671" s="24"/>
      <c r="I671" s="24"/>
      <c r="J671" s="24"/>
      <c r="K671" s="24"/>
      <c r="L671" s="24"/>
      <c r="M671" s="24"/>
      <c r="N671" s="24"/>
      <c r="O671" s="24"/>
      <c r="P671" s="24"/>
      <c r="Q671" s="24"/>
      <c r="R671" s="24"/>
      <c r="S671" s="24"/>
      <c r="T671" s="24"/>
      <c r="U671" s="24"/>
      <c r="V671" s="24"/>
      <c r="W671" s="14"/>
    </row>
    <row r="672" ht="14.25" customHeight="1">
      <c r="A672" s="24"/>
      <c r="B672" s="24"/>
      <c r="C672" s="24"/>
      <c r="D672" s="24"/>
      <c r="E672" s="24"/>
      <c r="F672" s="24"/>
      <c r="G672" s="24"/>
      <c r="H672" s="24"/>
      <c r="I672" s="24"/>
      <c r="J672" s="24"/>
      <c r="K672" s="24"/>
      <c r="L672" s="24"/>
      <c r="M672" s="24"/>
      <c r="N672" s="24"/>
      <c r="O672" s="24"/>
      <c r="P672" s="24"/>
      <c r="Q672" s="24"/>
      <c r="R672" s="24"/>
      <c r="S672" s="24"/>
      <c r="T672" s="24"/>
      <c r="U672" s="24"/>
      <c r="V672" s="24"/>
      <c r="W672" s="14"/>
    </row>
    <row r="673" ht="14.25" customHeight="1">
      <c r="A673" s="24"/>
      <c r="B673" s="24"/>
      <c r="C673" s="24"/>
      <c r="D673" s="24"/>
      <c r="E673" s="24"/>
      <c r="F673" s="24"/>
      <c r="G673" s="24"/>
      <c r="H673" s="24"/>
      <c r="I673" s="24"/>
      <c r="J673" s="24"/>
      <c r="K673" s="24"/>
      <c r="L673" s="24"/>
      <c r="M673" s="24"/>
      <c r="N673" s="24"/>
      <c r="O673" s="24"/>
      <c r="P673" s="24"/>
      <c r="Q673" s="24"/>
      <c r="R673" s="24"/>
      <c r="S673" s="24"/>
      <c r="T673" s="24"/>
      <c r="U673" s="24"/>
      <c r="V673" s="24"/>
      <c r="W673" s="14"/>
    </row>
    <row r="674" ht="14.25" customHeight="1">
      <c r="A674" s="24"/>
      <c r="B674" s="24"/>
      <c r="C674" s="24"/>
      <c r="D674" s="24"/>
      <c r="E674" s="24"/>
      <c r="F674" s="24"/>
      <c r="G674" s="24"/>
      <c r="H674" s="24"/>
      <c r="I674" s="24"/>
      <c r="J674" s="24"/>
      <c r="K674" s="24"/>
      <c r="L674" s="24"/>
      <c r="M674" s="24"/>
      <c r="N674" s="24"/>
      <c r="O674" s="24"/>
      <c r="P674" s="24"/>
      <c r="Q674" s="24"/>
      <c r="R674" s="24"/>
      <c r="S674" s="24"/>
      <c r="T674" s="24"/>
      <c r="U674" s="24"/>
      <c r="V674" s="24"/>
      <c r="W674" s="14"/>
    </row>
    <row r="675" ht="14.25" customHeight="1">
      <c r="A675" s="24"/>
      <c r="B675" s="24"/>
      <c r="C675" s="24"/>
      <c r="D675" s="24"/>
      <c r="E675" s="24"/>
      <c r="F675" s="24"/>
      <c r="G675" s="24"/>
      <c r="H675" s="24"/>
      <c r="I675" s="24"/>
      <c r="J675" s="24"/>
      <c r="K675" s="24"/>
      <c r="L675" s="24"/>
      <c r="M675" s="24"/>
      <c r="N675" s="24"/>
      <c r="O675" s="24"/>
      <c r="P675" s="24"/>
      <c r="Q675" s="24"/>
      <c r="R675" s="24"/>
      <c r="S675" s="24"/>
      <c r="T675" s="24"/>
      <c r="U675" s="24"/>
      <c r="V675" s="24"/>
      <c r="W675" s="14"/>
    </row>
    <row r="676" ht="14.25" customHeight="1">
      <c r="A676" s="24"/>
      <c r="B676" s="24"/>
      <c r="C676" s="24"/>
      <c r="D676" s="24"/>
      <c r="E676" s="24"/>
      <c r="F676" s="24"/>
      <c r="G676" s="24"/>
      <c r="H676" s="24"/>
      <c r="I676" s="24"/>
      <c r="J676" s="24"/>
      <c r="K676" s="24"/>
      <c r="L676" s="24"/>
      <c r="M676" s="24"/>
      <c r="N676" s="24"/>
      <c r="O676" s="24"/>
      <c r="P676" s="24"/>
      <c r="Q676" s="24"/>
      <c r="R676" s="24"/>
      <c r="S676" s="24"/>
      <c r="T676" s="24"/>
      <c r="U676" s="24"/>
      <c r="V676" s="24"/>
      <c r="W676" s="14"/>
    </row>
    <row r="677" ht="14.25" customHeight="1">
      <c r="A677" s="24"/>
      <c r="B677" s="24"/>
      <c r="C677" s="24"/>
      <c r="D677" s="24"/>
      <c r="E677" s="24"/>
      <c r="F677" s="24"/>
      <c r="G677" s="24"/>
      <c r="H677" s="24"/>
      <c r="I677" s="24"/>
      <c r="J677" s="24"/>
      <c r="K677" s="24"/>
      <c r="L677" s="24"/>
      <c r="M677" s="24"/>
      <c r="N677" s="24"/>
      <c r="O677" s="24"/>
      <c r="P677" s="24"/>
      <c r="Q677" s="24"/>
      <c r="R677" s="24"/>
      <c r="S677" s="24"/>
      <c r="T677" s="24"/>
      <c r="U677" s="24"/>
      <c r="V677" s="24"/>
      <c r="W677" s="14"/>
    </row>
    <row r="678" ht="14.25" customHeight="1">
      <c r="A678" s="24"/>
      <c r="B678" s="24"/>
      <c r="C678" s="24"/>
      <c r="D678" s="24"/>
      <c r="E678" s="24"/>
      <c r="F678" s="24"/>
      <c r="G678" s="24"/>
      <c r="H678" s="24"/>
      <c r="I678" s="24"/>
      <c r="J678" s="24"/>
      <c r="K678" s="24"/>
      <c r="L678" s="24"/>
      <c r="M678" s="24"/>
      <c r="N678" s="24"/>
      <c r="O678" s="24"/>
      <c r="P678" s="24"/>
      <c r="Q678" s="24"/>
      <c r="R678" s="24"/>
      <c r="S678" s="24"/>
      <c r="T678" s="24"/>
      <c r="U678" s="24"/>
      <c r="V678" s="24"/>
      <c r="W678" s="14"/>
    </row>
    <row r="679" ht="14.25" customHeight="1">
      <c r="A679" s="24"/>
      <c r="B679" s="24"/>
      <c r="C679" s="24"/>
      <c r="D679" s="24"/>
      <c r="E679" s="24"/>
      <c r="F679" s="24"/>
      <c r="G679" s="24"/>
      <c r="H679" s="24"/>
      <c r="I679" s="24"/>
      <c r="J679" s="24"/>
      <c r="K679" s="24"/>
      <c r="L679" s="24"/>
      <c r="M679" s="24"/>
      <c r="N679" s="24"/>
      <c r="O679" s="24"/>
      <c r="P679" s="24"/>
      <c r="Q679" s="24"/>
      <c r="R679" s="24"/>
      <c r="S679" s="24"/>
      <c r="T679" s="24"/>
      <c r="U679" s="24"/>
      <c r="V679" s="24"/>
      <c r="W679" s="14"/>
    </row>
    <row r="680" ht="14.25" customHeight="1">
      <c r="A680" s="24"/>
      <c r="B680" s="24"/>
      <c r="C680" s="24"/>
      <c r="D680" s="24"/>
      <c r="E680" s="24"/>
      <c r="F680" s="24"/>
      <c r="G680" s="24"/>
      <c r="H680" s="24"/>
      <c r="I680" s="24"/>
      <c r="J680" s="24"/>
      <c r="K680" s="24"/>
      <c r="L680" s="24"/>
      <c r="M680" s="24"/>
      <c r="N680" s="24"/>
      <c r="O680" s="24"/>
      <c r="P680" s="24"/>
      <c r="Q680" s="24"/>
      <c r="R680" s="24"/>
      <c r="S680" s="24"/>
      <c r="T680" s="24"/>
      <c r="U680" s="24"/>
      <c r="V680" s="24"/>
      <c r="W680" s="14"/>
    </row>
    <row r="681" ht="14.25" customHeight="1">
      <c r="A681" s="24"/>
      <c r="B681" s="24"/>
      <c r="C681" s="24"/>
      <c r="D681" s="24"/>
      <c r="E681" s="24"/>
      <c r="F681" s="24"/>
      <c r="G681" s="24"/>
      <c r="H681" s="24"/>
      <c r="I681" s="24"/>
      <c r="J681" s="24"/>
      <c r="K681" s="24"/>
      <c r="L681" s="24"/>
      <c r="M681" s="24"/>
      <c r="N681" s="24"/>
      <c r="O681" s="24"/>
      <c r="P681" s="24"/>
      <c r="Q681" s="24"/>
      <c r="R681" s="24"/>
      <c r="S681" s="24"/>
      <c r="T681" s="24"/>
      <c r="U681" s="24"/>
      <c r="V681" s="24"/>
      <c r="W681" s="14"/>
    </row>
    <row r="682" ht="14.25" customHeight="1">
      <c r="A682" s="24"/>
      <c r="B682" s="24"/>
      <c r="C682" s="24"/>
      <c r="D682" s="24"/>
      <c r="E682" s="24"/>
      <c r="F682" s="24"/>
      <c r="G682" s="24"/>
      <c r="H682" s="24"/>
      <c r="I682" s="24"/>
      <c r="J682" s="24"/>
      <c r="K682" s="24"/>
      <c r="L682" s="24"/>
      <c r="M682" s="24"/>
      <c r="N682" s="24"/>
      <c r="O682" s="24"/>
      <c r="P682" s="24"/>
      <c r="Q682" s="24"/>
      <c r="R682" s="24"/>
      <c r="S682" s="24"/>
      <c r="T682" s="24"/>
      <c r="U682" s="24"/>
      <c r="V682" s="24"/>
      <c r="W682" s="14"/>
    </row>
    <row r="683" ht="14.25" customHeight="1">
      <c r="A683" s="24"/>
      <c r="B683" s="24"/>
      <c r="C683" s="24"/>
      <c r="D683" s="24"/>
      <c r="E683" s="24"/>
      <c r="F683" s="24"/>
      <c r="G683" s="24"/>
      <c r="H683" s="24"/>
      <c r="I683" s="24"/>
      <c r="J683" s="24"/>
      <c r="K683" s="24"/>
      <c r="L683" s="24"/>
      <c r="M683" s="24"/>
      <c r="N683" s="24"/>
      <c r="O683" s="24"/>
      <c r="P683" s="24"/>
      <c r="Q683" s="24"/>
      <c r="R683" s="24"/>
      <c r="S683" s="24"/>
      <c r="T683" s="24"/>
      <c r="U683" s="24"/>
      <c r="V683" s="24"/>
      <c r="W683" s="14"/>
    </row>
    <row r="684" ht="14.25" customHeight="1">
      <c r="A684" s="24"/>
      <c r="B684" s="24"/>
      <c r="C684" s="24"/>
      <c r="D684" s="24"/>
      <c r="E684" s="24"/>
      <c r="F684" s="24"/>
      <c r="G684" s="24"/>
      <c r="H684" s="24"/>
      <c r="I684" s="24"/>
      <c r="J684" s="24"/>
      <c r="K684" s="24"/>
      <c r="L684" s="24"/>
      <c r="M684" s="24"/>
      <c r="N684" s="24"/>
      <c r="O684" s="24"/>
      <c r="P684" s="24"/>
      <c r="Q684" s="24"/>
      <c r="R684" s="24"/>
      <c r="S684" s="24"/>
      <c r="T684" s="24"/>
      <c r="U684" s="24"/>
      <c r="V684" s="24"/>
      <c r="W684" s="14"/>
    </row>
    <row r="685" ht="14.25" customHeight="1">
      <c r="A685" s="24"/>
      <c r="B685" s="24"/>
      <c r="C685" s="24"/>
      <c r="D685" s="24"/>
      <c r="E685" s="24"/>
      <c r="F685" s="24"/>
      <c r="G685" s="24"/>
      <c r="H685" s="24"/>
      <c r="I685" s="24"/>
      <c r="J685" s="24"/>
      <c r="K685" s="24"/>
      <c r="L685" s="24"/>
      <c r="M685" s="24"/>
      <c r="N685" s="24"/>
      <c r="O685" s="24"/>
      <c r="P685" s="24"/>
      <c r="Q685" s="24"/>
      <c r="R685" s="24"/>
      <c r="S685" s="24"/>
      <c r="T685" s="24"/>
      <c r="U685" s="24"/>
      <c r="V685" s="24"/>
      <c r="W685" s="14"/>
    </row>
    <row r="686" ht="14.25" customHeight="1">
      <c r="A686" s="24"/>
      <c r="B686" s="24"/>
      <c r="C686" s="24"/>
      <c r="D686" s="24"/>
      <c r="E686" s="24"/>
      <c r="F686" s="24"/>
      <c r="G686" s="24"/>
      <c r="H686" s="24"/>
      <c r="I686" s="24"/>
      <c r="J686" s="24"/>
      <c r="K686" s="24"/>
      <c r="L686" s="24"/>
      <c r="M686" s="24"/>
      <c r="N686" s="24"/>
      <c r="O686" s="24"/>
      <c r="P686" s="24"/>
      <c r="Q686" s="24"/>
      <c r="R686" s="24"/>
      <c r="S686" s="24"/>
      <c r="T686" s="24"/>
      <c r="U686" s="24"/>
      <c r="V686" s="24"/>
      <c r="W686" s="14"/>
    </row>
    <row r="687" ht="14.25" customHeight="1">
      <c r="A687" s="24"/>
      <c r="B687" s="24"/>
      <c r="C687" s="24"/>
      <c r="D687" s="24"/>
      <c r="E687" s="24"/>
      <c r="F687" s="24"/>
      <c r="G687" s="24"/>
      <c r="H687" s="24"/>
      <c r="I687" s="24"/>
      <c r="J687" s="24"/>
      <c r="K687" s="24"/>
      <c r="L687" s="24"/>
      <c r="M687" s="24"/>
      <c r="N687" s="24"/>
      <c r="O687" s="24"/>
      <c r="P687" s="24"/>
      <c r="Q687" s="24"/>
      <c r="R687" s="24"/>
      <c r="S687" s="24"/>
      <c r="T687" s="24"/>
      <c r="U687" s="24"/>
      <c r="V687" s="24"/>
      <c r="W687" s="14"/>
    </row>
    <row r="688" ht="14.25" customHeight="1">
      <c r="A688" s="24"/>
      <c r="B688" s="24"/>
      <c r="C688" s="24"/>
      <c r="D688" s="24"/>
      <c r="E688" s="24"/>
      <c r="F688" s="24"/>
      <c r="G688" s="24"/>
      <c r="H688" s="24"/>
      <c r="I688" s="24"/>
      <c r="J688" s="24"/>
      <c r="K688" s="24"/>
      <c r="L688" s="24"/>
      <c r="M688" s="24"/>
      <c r="N688" s="24"/>
      <c r="O688" s="24"/>
      <c r="P688" s="24"/>
      <c r="Q688" s="24"/>
      <c r="R688" s="24"/>
      <c r="S688" s="24"/>
      <c r="T688" s="24"/>
      <c r="U688" s="24"/>
      <c r="V688" s="24"/>
      <c r="W688" s="14"/>
    </row>
    <row r="689" ht="14.25" customHeight="1">
      <c r="A689" s="24"/>
      <c r="B689" s="24"/>
      <c r="C689" s="24"/>
      <c r="D689" s="24"/>
      <c r="E689" s="24"/>
      <c r="F689" s="24"/>
      <c r="G689" s="24"/>
      <c r="H689" s="24"/>
      <c r="I689" s="24"/>
      <c r="J689" s="24"/>
      <c r="K689" s="24"/>
      <c r="L689" s="24"/>
      <c r="M689" s="24"/>
      <c r="N689" s="24"/>
      <c r="O689" s="24"/>
      <c r="P689" s="24"/>
      <c r="Q689" s="24"/>
      <c r="R689" s="24"/>
      <c r="S689" s="24"/>
      <c r="T689" s="24"/>
      <c r="U689" s="24"/>
      <c r="V689" s="24"/>
      <c r="W689" s="14"/>
    </row>
    <row r="690" ht="14.25" customHeight="1">
      <c r="A690" s="24"/>
      <c r="B690" s="24"/>
      <c r="C690" s="24"/>
      <c r="D690" s="24"/>
      <c r="E690" s="24"/>
      <c r="F690" s="24"/>
      <c r="G690" s="24"/>
      <c r="H690" s="24"/>
      <c r="I690" s="24"/>
      <c r="J690" s="24"/>
      <c r="K690" s="24"/>
      <c r="L690" s="24"/>
      <c r="M690" s="24"/>
      <c r="N690" s="24"/>
      <c r="O690" s="24"/>
      <c r="P690" s="24"/>
      <c r="Q690" s="24"/>
      <c r="R690" s="24"/>
      <c r="S690" s="24"/>
      <c r="T690" s="24"/>
      <c r="U690" s="24"/>
      <c r="V690" s="24"/>
      <c r="W690" s="14"/>
    </row>
    <row r="691" ht="14.25" customHeight="1">
      <c r="A691" s="24"/>
      <c r="B691" s="24"/>
      <c r="C691" s="24"/>
      <c r="D691" s="24"/>
      <c r="E691" s="24"/>
      <c r="F691" s="24"/>
      <c r="G691" s="24"/>
      <c r="H691" s="24"/>
      <c r="I691" s="24"/>
      <c r="J691" s="24"/>
      <c r="K691" s="24"/>
      <c r="L691" s="24"/>
      <c r="M691" s="24"/>
      <c r="N691" s="24"/>
      <c r="O691" s="24"/>
      <c r="P691" s="24"/>
      <c r="Q691" s="24"/>
      <c r="R691" s="24"/>
      <c r="S691" s="24"/>
      <c r="T691" s="24"/>
      <c r="U691" s="24"/>
      <c r="V691" s="24"/>
      <c r="W691" s="14"/>
    </row>
    <row r="692" ht="14.25" customHeight="1">
      <c r="A692" s="24"/>
      <c r="B692" s="24"/>
      <c r="C692" s="24"/>
      <c r="D692" s="24"/>
      <c r="E692" s="24"/>
      <c r="F692" s="24"/>
      <c r="G692" s="24"/>
      <c r="H692" s="24"/>
      <c r="I692" s="24"/>
      <c r="J692" s="24"/>
      <c r="K692" s="24"/>
      <c r="L692" s="24"/>
      <c r="M692" s="24"/>
      <c r="N692" s="24"/>
      <c r="O692" s="24"/>
      <c r="P692" s="24"/>
      <c r="Q692" s="24"/>
      <c r="R692" s="24"/>
      <c r="S692" s="24"/>
      <c r="T692" s="24"/>
      <c r="U692" s="24"/>
      <c r="V692" s="24"/>
      <c r="W692" s="14"/>
    </row>
    <row r="693" ht="14.25" customHeight="1">
      <c r="A693" s="24"/>
      <c r="B693" s="24"/>
      <c r="C693" s="24"/>
      <c r="D693" s="24"/>
      <c r="E693" s="24"/>
      <c r="F693" s="24"/>
      <c r="G693" s="24"/>
      <c r="H693" s="24"/>
      <c r="I693" s="24"/>
      <c r="J693" s="24"/>
      <c r="K693" s="24"/>
      <c r="L693" s="24"/>
      <c r="M693" s="24"/>
      <c r="N693" s="24"/>
      <c r="O693" s="24"/>
      <c r="P693" s="24"/>
      <c r="Q693" s="24"/>
      <c r="R693" s="24"/>
      <c r="S693" s="24"/>
      <c r="T693" s="24"/>
      <c r="U693" s="24"/>
      <c r="V693" s="24"/>
      <c r="W693" s="14"/>
    </row>
    <row r="694" ht="14.25" customHeight="1">
      <c r="A694" s="24"/>
      <c r="B694" s="24"/>
      <c r="C694" s="24"/>
      <c r="D694" s="24"/>
      <c r="E694" s="24"/>
      <c r="F694" s="24"/>
      <c r="G694" s="24"/>
      <c r="H694" s="24"/>
      <c r="I694" s="24"/>
      <c r="J694" s="24"/>
      <c r="K694" s="24"/>
      <c r="L694" s="24"/>
      <c r="M694" s="24"/>
      <c r="N694" s="24"/>
      <c r="O694" s="24"/>
      <c r="P694" s="24"/>
      <c r="Q694" s="24"/>
      <c r="R694" s="24"/>
      <c r="S694" s="24"/>
      <c r="T694" s="24"/>
      <c r="U694" s="24"/>
      <c r="V694" s="24"/>
      <c r="W694" s="14"/>
    </row>
    <row r="695" ht="14.25" customHeight="1">
      <c r="A695" s="24"/>
      <c r="B695" s="24"/>
      <c r="C695" s="24"/>
      <c r="D695" s="24"/>
      <c r="E695" s="24"/>
      <c r="F695" s="24"/>
      <c r="G695" s="24"/>
      <c r="H695" s="24"/>
      <c r="I695" s="24"/>
      <c r="J695" s="24"/>
      <c r="K695" s="24"/>
      <c r="L695" s="24"/>
      <c r="M695" s="24"/>
      <c r="N695" s="24"/>
      <c r="O695" s="24"/>
      <c r="P695" s="24"/>
      <c r="Q695" s="24"/>
      <c r="R695" s="24"/>
      <c r="S695" s="24"/>
      <c r="T695" s="24"/>
      <c r="U695" s="24"/>
      <c r="V695" s="24"/>
      <c r="W695" s="14"/>
    </row>
    <row r="696" ht="14.25" customHeight="1">
      <c r="A696" s="24"/>
      <c r="B696" s="24"/>
      <c r="C696" s="24"/>
      <c r="D696" s="24"/>
      <c r="E696" s="24"/>
      <c r="F696" s="24"/>
      <c r="G696" s="24"/>
      <c r="H696" s="24"/>
      <c r="I696" s="24"/>
      <c r="J696" s="24"/>
      <c r="K696" s="24"/>
      <c r="L696" s="24"/>
      <c r="M696" s="24"/>
      <c r="N696" s="24"/>
      <c r="O696" s="24"/>
      <c r="P696" s="24"/>
      <c r="Q696" s="24"/>
      <c r="R696" s="24"/>
      <c r="S696" s="24"/>
      <c r="T696" s="24"/>
      <c r="U696" s="24"/>
      <c r="V696" s="24"/>
      <c r="W696" s="14"/>
    </row>
    <row r="697" ht="14.25" customHeight="1">
      <c r="A697" s="24"/>
      <c r="B697" s="24"/>
      <c r="C697" s="24"/>
      <c r="D697" s="24"/>
      <c r="E697" s="24"/>
      <c r="F697" s="24"/>
      <c r="G697" s="24"/>
      <c r="H697" s="24"/>
      <c r="I697" s="24"/>
      <c r="J697" s="24"/>
      <c r="K697" s="24"/>
      <c r="L697" s="24"/>
      <c r="M697" s="24"/>
      <c r="N697" s="24"/>
      <c r="O697" s="24"/>
      <c r="P697" s="24"/>
      <c r="Q697" s="24"/>
      <c r="R697" s="24"/>
      <c r="S697" s="24"/>
      <c r="T697" s="24"/>
      <c r="U697" s="24"/>
      <c r="V697" s="24"/>
      <c r="W697" s="14"/>
    </row>
    <row r="698" ht="14.25" customHeight="1">
      <c r="A698" s="24"/>
      <c r="B698" s="24"/>
      <c r="C698" s="24"/>
      <c r="D698" s="24"/>
      <c r="E698" s="24"/>
      <c r="F698" s="24"/>
      <c r="G698" s="24"/>
      <c r="H698" s="24"/>
      <c r="I698" s="24"/>
      <c r="J698" s="24"/>
      <c r="K698" s="24"/>
      <c r="L698" s="24"/>
      <c r="M698" s="24"/>
      <c r="N698" s="24"/>
      <c r="O698" s="24"/>
      <c r="P698" s="24"/>
      <c r="Q698" s="24"/>
      <c r="R698" s="24"/>
      <c r="S698" s="24"/>
      <c r="T698" s="24"/>
      <c r="U698" s="24"/>
      <c r="V698" s="24"/>
      <c r="W698" s="14"/>
    </row>
    <row r="699" ht="14.25" customHeight="1">
      <c r="A699" s="24"/>
      <c r="B699" s="24"/>
      <c r="C699" s="24"/>
      <c r="D699" s="24"/>
      <c r="E699" s="24"/>
      <c r="F699" s="24"/>
      <c r="G699" s="24"/>
      <c r="H699" s="24"/>
      <c r="I699" s="24"/>
      <c r="J699" s="24"/>
      <c r="K699" s="24"/>
      <c r="L699" s="24"/>
      <c r="M699" s="24"/>
      <c r="N699" s="24"/>
      <c r="O699" s="24"/>
      <c r="P699" s="24"/>
      <c r="Q699" s="24"/>
      <c r="R699" s="24"/>
      <c r="S699" s="24"/>
      <c r="T699" s="24"/>
      <c r="U699" s="24"/>
      <c r="V699" s="24"/>
      <c r="W699" s="14"/>
    </row>
    <row r="700" ht="14.25" customHeight="1">
      <c r="A700" s="24"/>
      <c r="B700" s="24"/>
      <c r="C700" s="24"/>
      <c r="D700" s="24"/>
      <c r="E700" s="24"/>
      <c r="F700" s="24"/>
      <c r="G700" s="24"/>
      <c r="H700" s="24"/>
      <c r="I700" s="24"/>
      <c r="J700" s="24"/>
      <c r="K700" s="24"/>
      <c r="L700" s="24"/>
      <c r="M700" s="24"/>
      <c r="N700" s="24"/>
      <c r="O700" s="24"/>
      <c r="P700" s="24"/>
      <c r="Q700" s="24"/>
      <c r="R700" s="24"/>
      <c r="S700" s="24"/>
      <c r="T700" s="24"/>
      <c r="U700" s="24"/>
      <c r="V700" s="24"/>
      <c r="W700" s="14"/>
    </row>
    <row r="701" ht="14.25" customHeight="1">
      <c r="A701" s="24"/>
      <c r="B701" s="24"/>
      <c r="C701" s="24"/>
      <c r="D701" s="24"/>
      <c r="E701" s="24"/>
      <c r="F701" s="24"/>
      <c r="G701" s="24"/>
      <c r="H701" s="24"/>
      <c r="I701" s="24"/>
      <c r="J701" s="24"/>
      <c r="K701" s="24"/>
      <c r="L701" s="24"/>
      <c r="M701" s="24"/>
      <c r="N701" s="24"/>
      <c r="O701" s="24"/>
      <c r="P701" s="24"/>
      <c r="Q701" s="24"/>
      <c r="R701" s="24"/>
      <c r="S701" s="24"/>
      <c r="T701" s="24"/>
      <c r="U701" s="24"/>
      <c r="V701" s="24"/>
      <c r="W701" s="14"/>
    </row>
    <row r="702" ht="14.25" customHeight="1">
      <c r="A702" s="24"/>
      <c r="B702" s="24"/>
      <c r="C702" s="24"/>
      <c r="D702" s="24"/>
      <c r="E702" s="24"/>
      <c r="F702" s="24"/>
      <c r="G702" s="24"/>
      <c r="H702" s="24"/>
      <c r="I702" s="24"/>
      <c r="J702" s="24"/>
      <c r="K702" s="24"/>
      <c r="L702" s="24"/>
      <c r="M702" s="24"/>
      <c r="N702" s="24"/>
      <c r="O702" s="24"/>
      <c r="P702" s="24"/>
      <c r="Q702" s="24"/>
      <c r="R702" s="24"/>
      <c r="S702" s="24"/>
      <c r="T702" s="24"/>
      <c r="U702" s="24"/>
      <c r="V702" s="24"/>
      <c r="W702" s="14"/>
    </row>
    <row r="703" ht="14.25" customHeight="1">
      <c r="A703" s="24"/>
      <c r="B703" s="24"/>
      <c r="C703" s="24"/>
      <c r="D703" s="24"/>
      <c r="E703" s="24"/>
      <c r="F703" s="24"/>
      <c r="G703" s="24"/>
      <c r="H703" s="24"/>
      <c r="I703" s="24"/>
      <c r="J703" s="24"/>
      <c r="K703" s="24"/>
      <c r="L703" s="24"/>
      <c r="M703" s="24"/>
      <c r="N703" s="24"/>
      <c r="O703" s="24"/>
      <c r="P703" s="24"/>
      <c r="Q703" s="24"/>
      <c r="R703" s="24"/>
      <c r="S703" s="24"/>
      <c r="T703" s="24"/>
      <c r="U703" s="24"/>
      <c r="V703" s="24"/>
      <c r="W703" s="14"/>
    </row>
    <row r="704" ht="14.25" customHeight="1">
      <c r="A704" s="24"/>
      <c r="B704" s="24"/>
      <c r="C704" s="24"/>
      <c r="D704" s="24"/>
      <c r="E704" s="24"/>
      <c r="F704" s="24"/>
      <c r="G704" s="24"/>
      <c r="H704" s="24"/>
      <c r="I704" s="24"/>
      <c r="J704" s="24"/>
      <c r="K704" s="24"/>
      <c r="L704" s="24"/>
      <c r="M704" s="24"/>
      <c r="N704" s="24"/>
      <c r="O704" s="24"/>
      <c r="P704" s="24"/>
      <c r="Q704" s="24"/>
      <c r="R704" s="24"/>
      <c r="S704" s="24"/>
      <c r="T704" s="24"/>
      <c r="U704" s="24"/>
      <c r="V704" s="24"/>
      <c r="W704" s="14"/>
    </row>
    <row r="705" ht="14.25" customHeight="1">
      <c r="A705" s="24"/>
      <c r="B705" s="24"/>
      <c r="C705" s="24"/>
      <c r="D705" s="24"/>
      <c r="E705" s="24"/>
      <c r="F705" s="24"/>
      <c r="G705" s="24"/>
      <c r="H705" s="24"/>
      <c r="I705" s="24"/>
      <c r="J705" s="24"/>
      <c r="K705" s="24"/>
      <c r="L705" s="24"/>
      <c r="M705" s="24"/>
      <c r="N705" s="24"/>
      <c r="O705" s="24"/>
      <c r="P705" s="24"/>
      <c r="Q705" s="24"/>
      <c r="R705" s="24"/>
      <c r="S705" s="24"/>
      <c r="T705" s="24"/>
      <c r="U705" s="24"/>
      <c r="V705" s="24"/>
      <c r="W705" s="14"/>
    </row>
    <row r="706" ht="14.25" customHeight="1">
      <c r="A706" s="24"/>
      <c r="B706" s="24"/>
      <c r="C706" s="24"/>
      <c r="D706" s="24"/>
      <c r="E706" s="24"/>
      <c r="F706" s="24"/>
      <c r="G706" s="24"/>
      <c r="H706" s="24"/>
      <c r="I706" s="24"/>
      <c r="J706" s="24"/>
      <c r="K706" s="24"/>
      <c r="L706" s="24"/>
      <c r="M706" s="24"/>
      <c r="N706" s="24"/>
      <c r="O706" s="24"/>
      <c r="P706" s="24"/>
      <c r="Q706" s="24"/>
      <c r="R706" s="24"/>
      <c r="S706" s="24"/>
      <c r="T706" s="24"/>
      <c r="U706" s="24"/>
      <c r="V706" s="24"/>
      <c r="W706" s="14"/>
    </row>
    <row r="707" ht="14.25" customHeight="1">
      <c r="A707" s="24"/>
      <c r="B707" s="24"/>
      <c r="C707" s="24"/>
      <c r="D707" s="24"/>
      <c r="E707" s="24"/>
      <c r="F707" s="24"/>
      <c r="G707" s="24"/>
      <c r="H707" s="24"/>
      <c r="I707" s="24"/>
      <c r="J707" s="24"/>
      <c r="K707" s="24"/>
      <c r="L707" s="24"/>
      <c r="M707" s="24"/>
      <c r="N707" s="24"/>
      <c r="O707" s="24"/>
      <c r="P707" s="24"/>
      <c r="Q707" s="24"/>
      <c r="R707" s="24"/>
      <c r="S707" s="24"/>
      <c r="T707" s="24"/>
      <c r="U707" s="24"/>
      <c r="V707" s="24"/>
      <c r="W707" s="14"/>
    </row>
    <row r="708" ht="14.25" customHeight="1">
      <c r="A708" s="24"/>
      <c r="B708" s="24"/>
      <c r="C708" s="24"/>
      <c r="D708" s="24"/>
      <c r="E708" s="24"/>
      <c r="F708" s="24"/>
      <c r="G708" s="24"/>
      <c r="H708" s="24"/>
      <c r="I708" s="24"/>
      <c r="J708" s="24"/>
      <c r="K708" s="24"/>
      <c r="L708" s="24"/>
      <c r="M708" s="24"/>
      <c r="N708" s="24"/>
      <c r="O708" s="24"/>
      <c r="P708" s="24"/>
      <c r="Q708" s="24"/>
      <c r="R708" s="24"/>
      <c r="S708" s="24"/>
      <c r="T708" s="24"/>
      <c r="U708" s="24"/>
      <c r="V708" s="24"/>
      <c r="W708" s="14"/>
    </row>
    <row r="709" ht="14.25" customHeight="1">
      <c r="A709" s="24"/>
      <c r="B709" s="24"/>
      <c r="C709" s="24"/>
      <c r="D709" s="24"/>
      <c r="E709" s="24"/>
      <c r="F709" s="24"/>
      <c r="G709" s="24"/>
      <c r="H709" s="24"/>
      <c r="I709" s="24"/>
      <c r="J709" s="24"/>
      <c r="K709" s="24"/>
      <c r="L709" s="24"/>
      <c r="M709" s="24"/>
      <c r="N709" s="24"/>
      <c r="O709" s="24"/>
      <c r="P709" s="24"/>
      <c r="Q709" s="24"/>
      <c r="R709" s="24"/>
      <c r="S709" s="24"/>
      <c r="T709" s="24"/>
      <c r="U709" s="24"/>
      <c r="V709" s="24"/>
      <c r="W709" s="14"/>
    </row>
    <row r="710" ht="14.25" customHeight="1">
      <c r="A710" s="24"/>
      <c r="B710" s="24"/>
      <c r="C710" s="24"/>
      <c r="D710" s="24"/>
      <c r="E710" s="24"/>
      <c r="F710" s="24"/>
      <c r="G710" s="24"/>
      <c r="H710" s="24"/>
      <c r="I710" s="24"/>
      <c r="J710" s="24"/>
      <c r="K710" s="24"/>
      <c r="L710" s="24"/>
      <c r="M710" s="24"/>
      <c r="N710" s="24"/>
      <c r="O710" s="24"/>
      <c r="P710" s="24"/>
      <c r="Q710" s="24"/>
      <c r="R710" s="24"/>
      <c r="S710" s="24"/>
      <c r="T710" s="24"/>
      <c r="U710" s="24"/>
      <c r="V710" s="24"/>
      <c r="W710" s="14"/>
    </row>
    <row r="711" ht="14.25" customHeight="1">
      <c r="A711" s="24"/>
      <c r="B711" s="24"/>
      <c r="C711" s="24"/>
      <c r="D711" s="24"/>
      <c r="E711" s="24"/>
      <c r="F711" s="24"/>
      <c r="G711" s="24"/>
      <c r="H711" s="24"/>
      <c r="I711" s="24"/>
      <c r="J711" s="24"/>
      <c r="K711" s="24"/>
      <c r="L711" s="24"/>
      <c r="M711" s="24"/>
      <c r="N711" s="24"/>
      <c r="O711" s="24"/>
      <c r="P711" s="24"/>
      <c r="Q711" s="24"/>
      <c r="R711" s="24"/>
      <c r="S711" s="24"/>
      <c r="T711" s="24"/>
      <c r="U711" s="24"/>
      <c r="V711" s="24"/>
      <c r="W711" s="14"/>
    </row>
    <row r="712" ht="14.25" customHeight="1">
      <c r="A712" s="24"/>
      <c r="B712" s="24"/>
      <c r="C712" s="24"/>
      <c r="D712" s="24"/>
      <c r="E712" s="24"/>
      <c r="F712" s="24"/>
      <c r="G712" s="24"/>
      <c r="H712" s="24"/>
      <c r="I712" s="24"/>
      <c r="J712" s="24"/>
      <c r="K712" s="24"/>
      <c r="L712" s="24"/>
      <c r="M712" s="24"/>
      <c r="N712" s="24"/>
      <c r="O712" s="24"/>
      <c r="P712" s="24"/>
      <c r="Q712" s="24"/>
      <c r="R712" s="24"/>
      <c r="S712" s="24"/>
      <c r="T712" s="24"/>
      <c r="U712" s="24"/>
      <c r="V712" s="24"/>
      <c r="W712" s="14"/>
    </row>
    <row r="713" ht="14.25" customHeight="1">
      <c r="A713" s="24"/>
      <c r="B713" s="24"/>
      <c r="C713" s="24"/>
      <c r="D713" s="24"/>
      <c r="E713" s="24"/>
      <c r="F713" s="24"/>
      <c r="G713" s="24"/>
      <c r="H713" s="24"/>
      <c r="I713" s="24"/>
      <c r="J713" s="24"/>
      <c r="K713" s="24"/>
      <c r="L713" s="24"/>
      <c r="M713" s="24"/>
      <c r="N713" s="24"/>
      <c r="O713" s="24"/>
      <c r="P713" s="24"/>
      <c r="Q713" s="24"/>
      <c r="R713" s="24"/>
      <c r="S713" s="24"/>
      <c r="T713" s="24"/>
      <c r="U713" s="24"/>
      <c r="V713" s="24"/>
      <c r="W713" s="14"/>
    </row>
    <row r="714" ht="14.25" customHeight="1">
      <c r="A714" s="24"/>
      <c r="B714" s="24"/>
      <c r="C714" s="24"/>
      <c r="D714" s="24"/>
      <c r="E714" s="24"/>
      <c r="F714" s="24"/>
      <c r="G714" s="24"/>
      <c r="H714" s="24"/>
      <c r="I714" s="24"/>
      <c r="J714" s="24"/>
      <c r="K714" s="24"/>
      <c r="L714" s="24"/>
      <c r="M714" s="24"/>
      <c r="N714" s="24"/>
      <c r="O714" s="24"/>
      <c r="P714" s="24"/>
      <c r="Q714" s="24"/>
      <c r="R714" s="24"/>
      <c r="S714" s="24"/>
      <c r="T714" s="24"/>
      <c r="U714" s="24"/>
      <c r="V714" s="24"/>
      <c r="W714" s="14"/>
    </row>
    <row r="715" ht="14.25" customHeight="1">
      <c r="A715" s="24"/>
      <c r="B715" s="24"/>
      <c r="C715" s="24"/>
      <c r="D715" s="24"/>
      <c r="E715" s="24"/>
      <c r="F715" s="24"/>
      <c r="G715" s="24"/>
      <c r="H715" s="24"/>
      <c r="I715" s="24"/>
      <c r="J715" s="24"/>
      <c r="K715" s="24"/>
      <c r="L715" s="24"/>
      <c r="M715" s="24"/>
      <c r="N715" s="24"/>
      <c r="O715" s="24"/>
      <c r="P715" s="24"/>
      <c r="Q715" s="24"/>
      <c r="R715" s="24"/>
      <c r="S715" s="24"/>
      <c r="T715" s="24"/>
      <c r="U715" s="24"/>
      <c r="V715" s="24"/>
      <c r="W715" s="14"/>
    </row>
    <row r="716" ht="14.25" customHeight="1">
      <c r="A716" s="24"/>
      <c r="B716" s="24"/>
      <c r="C716" s="24"/>
      <c r="D716" s="24"/>
      <c r="E716" s="24"/>
      <c r="F716" s="24"/>
      <c r="G716" s="24"/>
      <c r="H716" s="24"/>
      <c r="I716" s="24"/>
      <c r="J716" s="24"/>
      <c r="K716" s="24"/>
      <c r="L716" s="24"/>
      <c r="M716" s="24"/>
      <c r="N716" s="24"/>
      <c r="O716" s="24"/>
      <c r="P716" s="24"/>
      <c r="Q716" s="24"/>
      <c r="R716" s="24"/>
      <c r="S716" s="24"/>
      <c r="T716" s="24"/>
      <c r="U716" s="24"/>
      <c r="V716" s="24"/>
      <c r="W716" s="14"/>
    </row>
    <row r="717" ht="14.25" customHeight="1">
      <c r="A717" s="24"/>
      <c r="B717" s="24"/>
      <c r="C717" s="24"/>
      <c r="D717" s="24"/>
      <c r="E717" s="24"/>
      <c r="F717" s="24"/>
      <c r="G717" s="24"/>
      <c r="H717" s="24"/>
      <c r="I717" s="24"/>
      <c r="J717" s="24"/>
      <c r="K717" s="24"/>
      <c r="L717" s="24"/>
      <c r="M717" s="24"/>
      <c r="N717" s="24"/>
      <c r="O717" s="24"/>
      <c r="P717" s="24"/>
      <c r="Q717" s="24"/>
      <c r="R717" s="24"/>
      <c r="S717" s="24"/>
      <c r="T717" s="24"/>
      <c r="U717" s="24"/>
      <c r="V717" s="24"/>
      <c r="W717" s="14"/>
    </row>
    <row r="718" ht="14.25" customHeight="1">
      <c r="A718" s="24"/>
      <c r="B718" s="24"/>
      <c r="C718" s="24"/>
      <c r="D718" s="24"/>
      <c r="E718" s="24"/>
      <c r="F718" s="24"/>
      <c r="G718" s="24"/>
      <c r="H718" s="24"/>
      <c r="I718" s="24"/>
      <c r="J718" s="24"/>
      <c r="K718" s="24"/>
      <c r="L718" s="24"/>
      <c r="M718" s="24"/>
      <c r="N718" s="24"/>
      <c r="O718" s="24"/>
      <c r="P718" s="24"/>
      <c r="Q718" s="24"/>
      <c r="R718" s="24"/>
      <c r="S718" s="24"/>
      <c r="T718" s="24"/>
      <c r="U718" s="24"/>
      <c r="V718" s="24"/>
      <c r="W718" s="14"/>
    </row>
    <row r="719" ht="14.25" customHeight="1">
      <c r="A719" s="24"/>
      <c r="B719" s="24"/>
      <c r="C719" s="24"/>
      <c r="D719" s="24"/>
      <c r="E719" s="24"/>
      <c r="F719" s="24"/>
      <c r="G719" s="24"/>
      <c r="H719" s="24"/>
      <c r="I719" s="24"/>
      <c r="J719" s="24"/>
      <c r="K719" s="24"/>
      <c r="L719" s="24"/>
      <c r="M719" s="24"/>
      <c r="N719" s="24"/>
      <c r="O719" s="24"/>
      <c r="P719" s="24"/>
      <c r="Q719" s="24"/>
      <c r="R719" s="24"/>
      <c r="S719" s="24"/>
      <c r="T719" s="24"/>
      <c r="U719" s="24"/>
      <c r="V719" s="24"/>
      <c r="W719" s="14"/>
    </row>
    <row r="720" ht="14.25" customHeight="1">
      <c r="A720" s="24"/>
      <c r="B720" s="24"/>
      <c r="C720" s="24"/>
      <c r="D720" s="24"/>
      <c r="E720" s="24"/>
      <c r="F720" s="24"/>
      <c r="G720" s="24"/>
      <c r="H720" s="24"/>
      <c r="I720" s="24"/>
      <c r="J720" s="24"/>
      <c r="K720" s="24"/>
      <c r="L720" s="24"/>
      <c r="M720" s="24"/>
      <c r="N720" s="24"/>
      <c r="O720" s="24"/>
      <c r="P720" s="24"/>
      <c r="Q720" s="24"/>
      <c r="R720" s="24"/>
      <c r="S720" s="24"/>
      <c r="T720" s="24"/>
      <c r="U720" s="24"/>
      <c r="V720" s="24"/>
      <c r="W720" s="14"/>
    </row>
    <row r="721" ht="14.25" customHeight="1">
      <c r="A721" s="24"/>
      <c r="B721" s="24"/>
      <c r="C721" s="24"/>
      <c r="D721" s="24"/>
      <c r="E721" s="24"/>
      <c r="F721" s="24"/>
      <c r="G721" s="24"/>
      <c r="H721" s="24"/>
      <c r="I721" s="24"/>
      <c r="J721" s="24"/>
      <c r="K721" s="24"/>
      <c r="L721" s="24"/>
      <c r="M721" s="24"/>
      <c r="N721" s="24"/>
      <c r="O721" s="24"/>
      <c r="P721" s="24"/>
      <c r="Q721" s="24"/>
      <c r="R721" s="24"/>
      <c r="S721" s="24"/>
      <c r="T721" s="24"/>
      <c r="U721" s="24"/>
      <c r="V721" s="24"/>
      <c r="W721" s="14"/>
    </row>
    <row r="722" ht="14.25" customHeight="1">
      <c r="A722" s="24"/>
      <c r="B722" s="24"/>
      <c r="C722" s="24"/>
      <c r="D722" s="24"/>
      <c r="E722" s="24"/>
      <c r="F722" s="24"/>
      <c r="G722" s="24"/>
      <c r="H722" s="24"/>
      <c r="I722" s="24"/>
      <c r="J722" s="24"/>
      <c r="K722" s="24"/>
      <c r="L722" s="24"/>
      <c r="M722" s="24"/>
      <c r="N722" s="24"/>
      <c r="O722" s="24"/>
      <c r="P722" s="24"/>
      <c r="Q722" s="24"/>
      <c r="R722" s="24"/>
      <c r="S722" s="24"/>
      <c r="T722" s="24"/>
      <c r="U722" s="24"/>
      <c r="V722" s="24"/>
      <c r="W722" s="14"/>
    </row>
    <row r="723" ht="14.25" customHeight="1">
      <c r="A723" s="24"/>
      <c r="B723" s="24"/>
      <c r="C723" s="24"/>
      <c r="D723" s="24"/>
      <c r="E723" s="24"/>
      <c r="F723" s="24"/>
      <c r="G723" s="24"/>
      <c r="H723" s="24"/>
      <c r="I723" s="24"/>
      <c r="J723" s="24"/>
      <c r="K723" s="24"/>
      <c r="L723" s="24"/>
      <c r="M723" s="24"/>
      <c r="N723" s="24"/>
      <c r="O723" s="24"/>
      <c r="P723" s="24"/>
      <c r="Q723" s="24"/>
      <c r="R723" s="24"/>
      <c r="S723" s="24"/>
      <c r="T723" s="24"/>
      <c r="U723" s="24"/>
      <c r="V723" s="24"/>
      <c r="W723" s="14"/>
    </row>
    <row r="724" ht="14.25" customHeight="1">
      <c r="A724" s="24"/>
      <c r="B724" s="24"/>
      <c r="C724" s="24"/>
      <c r="D724" s="24"/>
      <c r="E724" s="24"/>
      <c r="F724" s="24"/>
      <c r="G724" s="24"/>
      <c r="H724" s="24"/>
      <c r="I724" s="24"/>
      <c r="J724" s="24"/>
      <c r="K724" s="24"/>
      <c r="L724" s="24"/>
      <c r="M724" s="24"/>
      <c r="N724" s="24"/>
      <c r="O724" s="24"/>
      <c r="P724" s="24"/>
      <c r="Q724" s="24"/>
      <c r="R724" s="24"/>
      <c r="S724" s="24"/>
      <c r="T724" s="24"/>
      <c r="U724" s="24"/>
      <c r="V724" s="24"/>
      <c r="W724" s="14"/>
    </row>
    <row r="725" ht="14.25" customHeight="1">
      <c r="A725" s="24"/>
      <c r="B725" s="24"/>
      <c r="C725" s="24"/>
      <c r="D725" s="24"/>
      <c r="E725" s="24"/>
      <c r="F725" s="24"/>
      <c r="G725" s="24"/>
      <c r="H725" s="24"/>
      <c r="I725" s="24"/>
      <c r="J725" s="24"/>
      <c r="K725" s="24"/>
      <c r="L725" s="24"/>
      <c r="M725" s="24"/>
      <c r="N725" s="24"/>
      <c r="O725" s="24"/>
      <c r="P725" s="24"/>
      <c r="Q725" s="24"/>
      <c r="R725" s="24"/>
      <c r="S725" s="24"/>
      <c r="T725" s="24"/>
      <c r="U725" s="24"/>
      <c r="V725" s="24"/>
      <c r="W725" s="14"/>
    </row>
    <row r="726" ht="14.25" customHeight="1">
      <c r="A726" s="24"/>
      <c r="B726" s="24"/>
      <c r="C726" s="24"/>
      <c r="D726" s="24"/>
      <c r="E726" s="24"/>
      <c r="F726" s="24"/>
      <c r="G726" s="24"/>
      <c r="H726" s="24"/>
      <c r="I726" s="24"/>
      <c r="J726" s="24"/>
      <c r="K726" s="24"/>
      <c r="L726" s="24"/>
      <c r="M726" s="24"/>
      <c r="N726" s="24"/>
      <c r="O726" s="24"/>
      <c r="P726" s="24"/>
      <c r="Q726" s="24"/>
      <c r="R726" s="24"/>
      <c r="S726" s="24"/>
      <c r="T726" s="24"/>
      <c r="U726" s="24"/>
      <c r="V726" s="24"/>
      <c r="W726" s="14"/>
    </row>
    <row r="727" ht="14.25" customHeight="1">
      <c r="A727" s="24"/>
      <c r="B727" s="24"/>
      <c r="C727" s="24"/>
      <c r="D727" s="24"/>
      <c r="E727" s="24"/>
      <c r="F727" s="24"/>
      <c r="G727" s="24"/>
      <c r="H727" s="24"/>
      <c r="I727" s="24"/>
      <c r="J727" s="24"/>
      <c r="K727" s="24"/>
      <c r="L727" s="24"/>
      <c r="M727" s="24"/>
      <c r="N727" s="24"/>
      <c r="O727" s="24"/>
      <c r="P727" s="24"/>
      <c r="Q727" s="24"/>
      <c r="R727" s="24"/>
      <c r="S727" s="24"/>
      <c r="T727" s="24"/>
      <c r="U727" s="24"/>
      <c r="V727" s="24"/>
      <c r="W727" s="14"/>
    </row>
    <row r="728" ht="14.25" customHeight="1">
      <c r="A728" s="24"/>
      <c r="B728" s="24"/>
      <c r="C728" s="24"/>
      <c r="D728" s="24"/>
      <c r="E728" s="24"/>
      <c r="F728" s="24"/>
      <c r="G728" s="24"/>
      <c r="H728" s="24"/>
      <c r="I728" s="24"/>
      <c r="J728" s="24"/>
      <c r="K728" s="24"/>
      <c r="L728" s="24"/>
      <c r="M728" s="24"/>
      <c r="N728" s="24"/>
      <c r="O728" s="24"/>
      <c r="P728" s="24"/>
      <c r="Q728" s="24"/>
      <c r="R728" s="24"/>
      <c r="S728" s="24"/>
      <c r="T728" s="24"/>
      <c r="U728" s="24"/>
      <c r="V728" s="24"/>
      <c r="W728" s="14"/>
    </row>
    <row r="729" ht="14.25" customHeight="1">
      <c r="A729" s="24"/>
      <c r="B729" s="24"/>
      <c r="C729" s="24"/>
      <c r="D729" s="24"/>
      <c r="E729" s="24"/>
      <c r="F729" s="24"/>
      <c r="G729" s="24"/>
      <c r="H729" s="24"/>
      <c r="I729" s="24"/>
      <c r="J729" s="24"/>
      <c r="K729" s="24"/>
      <c r="L729" s="24"/>
      <c r="M729" s="24"/>
      <c r="N729" s="24"/>
      <c r="O729" s="24"/>
      <c r="P729" s="24"/>
      <c r="Q729" s="24"/>
      <c r="R729" s="24"/>
      <c r="S729" s="24"/>
      <c r="T729" s="24"/>
      <c r="U729" s="24"/>
      <c r="V729" s="24"/>
      <c r="W729" s="14"/>
    </row>
    <row r="730" ht="14.25" customHeight="1">
      <c r="A730" s="24"/>
      <c r="B730" s="24"/>
      <c r="C730" s="24"/>
      <c r="D730" s="24"/>
      <c r="E730" s="24"/>
      <c r="F730" s="24"/>
      <c r="G730" s="24"/>
      <c r="H730" s="24"/>
      <c r="I730" s="24"/>
      <c r="J730" s="24"/>
      <c r="K730" s="24"/>
      <c r="L730" s="24"/>
      <c r="M730" s="24"/>
      <c r="N730" s="24"/>
      <c r="O730" s="24"/>
      <c r="P730" s="24"/>
      <c r="Q730" s="24"/>
      <c r="R730" s="24"/>
      <c r="S730" s="24"/>
      <c r="T730" s="24"/>
      <c r="U730" s="24"/>
      <c r="V730" s="24"/>
      <c r="W730" s="14"/>
    </row>
    <row r="731" ht="14.25" customHeight="1">
      <c r="A731" s="24"/>
      <c r="B731" s="24"/>
      <c r="C731" s="24"/>
      <c r="D731" s="24"/>
      <c r="E731" s="24"/>
      <c r="F731" s="24"/>
      <c r="G731" s="24"/>
      <c r="H731" s="24"/>
      <c r="I731" s="24"/>
      <c r="J731" s="24"/>
      <c r="K731" s="24"/>
      <c r="L731" s="24"/>
      <c r="M731" s="24"/>
      <c r="N731" s="24"/>
      <c r="O731" s="24"/>
      <c r="P731" s="24"/>
      <c r="Q731" s="24"/>
      <c r="R731" s="24"/>
      <c r="S731" s="24"/>
      <c r="T731" s="24"/>
      <c r="U731" s="24"/>
      <c r="V731" s="24"/>
      <c r="W731" s="14"/>
    </row>
    <row r="732" ht="14.25" customHeight="1">
      <c r="A732" s="24"/>
      <c r="B732" s="24"/>
      <c r="C732" s="24"/>
      <c r="D732" s="24"/>
      <c r="E732" s="24"/>
      <c r="F732" s="24"/>
      <c r="G732" s="24"/>
      <c r="H732" s="24"/>
      <c r="I732" s="24"/>
      <c r="J732" s="24"/>
      <c r="K732" s="24"/>
      <c r="L732" s="24"/>
      <c r="M732" s="24"/>
      <c r="N732" s="24"/>
      <c r="O732" s="24"/>
      <c r="P732" s="24"/>
      <c r="Q732" s="24"/>
      <c r="R732" s="24"/>
      <c r="S732" s="24"/>
      <c r="T732" s="24"/>
      <c r="U732" s="24"/>
      <c r="V732" s="24"/>
      <c r="W732" s="14"/>
    </row>
    <row r="733" ht="14.25" customHeight="1">
      <c r="A733" s="24"/>
      <c r="B733" s="24"/>
      <c r="C733" s="24"/>
      <c r="D733" s="24"/>
      <c r="E733" s="24"/>
      <c r="F733" s="24"/>
      <c r="G733" s="24"/>
      <c r="H733" s="24"/>
      <c r="I733" s="24"/>
      <c r="J733" s="24"/>
      <c r="K733" s="24"/>
      <c r="L733" s="24"/>
      <c r="M733" s="24"/>
      <c r="N733" s="24"/>
      <c r="O733" s="24"/>
      <c r="P733" s="24"/>
      <c r="Q733" s="24"/>
      <c r="R733" s="24"/>
      <c r="S733" s="24"/>
      <c r="T733" s="24"/>
      <c r="U733" s="24"/>
      <c r="V733" s="24"/>
      <c r="W733" s="14"/>
    </row>
    <row r="734" ht="14.25" customHeight="1">
      <c r="A734" s="24"/>
      <c r="B734" s="24"/>
      <c r="C734" s="24"/>
      <c r="D734" s="24"/>
      <c r="E734" s="24"/>
      <c r="F734" s="24"/>
      <c r="G734" s="24"/>
      <c r="H734" s="24"/>
      <c r="I734" s="24"/>
      <c r="J734" s="24"/>
      <c r="K734" s="24"/>
      <c r="L734" s="24"/>
      <c r="M734" s="24"/>
      <c r="N734" s="24"/>
      <c r="O734" s="24"/>
      <c r="P734" s="24"/>
      <c r="Q734" s="24"/>
      <c r="R734" s="24"/>
      <c r="S734" s="24"/>
      <c r="T734" s="24"/>
      <c r="U734" s="24"/>
      <c r="V734" s="24"/>
      <c r="W734" s="14"/>
    </row>
    <row r="735" ht="14.25" customHeight="1">
      <c r="A735" s="24"/>
      <c r="B735" s="24"/>
      <c r="C735" s="24"/>
      <c r="D735" s="24"/>
      <c r="E735" s="24"/>
      <c r="F735" s="24"/>
      <c r="G735" s="24"/>
      <c r="H735" s="24"/>
      <c r="I735" s="24"/>
      <c r="J735" s="24"/>
      <c r="K735" s="24"/>
      <c r="L735" s="24"/>
      <c r="M735" s="24"/>
      <c r="N735" s="24"/>
      <c r="O735" s="24"/>
      <c r="P735" s="24"/>
      <c r="Q735" s="24"/>
      <c r="R735" s="24"/>
      <c r="S735" s="24"/>
      <c r="T735" s="24"/>
      <c r="U735" s="24"/>
      <c r="V735" s="24"/>
      <c r="W735" s="14"/>
    </row>
    <row r="736" ht="14.25" customHeight="1">
      <c r="A736" s="24"/>
      <c r="B736" s="24"/>
      <c r="C736" s="24"/>
      <c r="D736" s="24"/>
      <c r="E736" s="24"/>
      <c r="F736" s="24"/>
      <c r="G736" s="24"/>
      <c r="H736" s="24"/>
      <c r="I736" s="24"/>
      <c r="J736" s="24"/>
      <c r="K736" s="24"/>
      <c r="L736" s="24"/>
      <c r="M736" s="24"/>
      <c r="N736" s="24"/>
      <c r="O736" s="24"/>
      <c r="P736" s="24"/>
      <c r="Q736" s="24"/>
      <c r="R736" s="24"/>
      <c r="S736" s="24"/>
      <c r="T736" s="24"/>
      <c r="U736" s="24"/>
      <c r="V736" s="24"/>
      <c r="W736" s="14"/>
    </row>
    <row r="737" ht="14.25" customHeight="1">
      <c r="A737" s="24"/>
      <c r="B737" s="24"/>
      <c r="C737" s="24"/>
      <c r="D737" s="24"/>
      <c r="E737" s="24"/>
      <c r="F737" s="24"/>
      <c r="G737" s="24"/>
      <c r="H737" s="24"/>
      <c r="I737" s="24"/>
      <c r="J737" s="24"/>
      <c r="K737" s="24"/>
      <c r="L737" s="24"/>
      <c r="M737" s="24"/>
      <c r="N737" s="24"/>
      <c r="O737" s="24"/>
      <c r="P737" s="24"/>
      <c r="Q737" s="24"/>
      <c r="R737" s="24"/>
      <c r="S737" s="24"/>
      <c r="T737" s="24"/>
      <c r="U737" s="24"/>
      <c r="V737" s="24"/>
      <c r="W737" s="14"/>
    </row>
    <row r="738" ht="14.25" customHeight="1">
      <c r="A738" s="24"/>
      <c r="B738" s="24"/>
      <c r="C738" s="24"/>
      <c r="D738" s="24"/>
      <c r="E738" s="24"/>
      <c r="F738" s="24"/>
      <c r="G738" s="24"/>
      <c r="H738" s="24"/>
      <c r="I738" s="24"/>
      <c r="J738" s="24"/>
      <c r="K738" s="24"/>
      <c r="L738" s="24"/>
      <c r="M738" s="24"/>
      <c r="N738" s="24"/>
      <c r="O738" s="24"/>
      <c r="P738" s="24"/>
      <c r="Q738" s="24"/>
      <c r="R738" s="24"/>
      <c r="S738" s="24"/>
      <c r="T738" s="24"/>
      <c r="U738" s="24"/>
      <c r="V738" s="24"/>
      <c r="W738" s="14"/>
    </row>
    <row r="739" ht="14.25" customHeight="1">
      <c r="A739" s="24"/>
      <c r="B739" s="24"/>
      <c r="C739" s="24"/>
      <c r="D739" s="24"/>
      <c r="E739" s="24"/>
      <c r="F739" s="24"/>
      <c r="G739" s="24"/>
      <c r="H739" s="24"/>
      <c r="I739" s="24"/>
      <c r="J739" s="24"/>
      <c r="K739" s="24"/>
      <c r="L739" s="24"/>
      <c r="M739" s="24"/>
      <c r="N739" s="24"/>
      <c r="O739" s="24"/>
      <c r="P739" s="24"/>
      <c r="Q739" s="24"/>
      <c r="R739" s="24"/>
      <c r="S739" s="24"/>
      <c r="T739" s="24"/>
      <c r="U739" s="24"/>
      <c r="V739" s="24"/>
      <c r="W739" s="14"/>
    </row>
    <row r="740" ht="14.25" customHeight="1">
      <c r="A740" s="24"/>
      <c r="B740" s="24"/>
      <c r="C740" s="24"/>
      <c r="D740" s="24"/>
      <c r="E740" s="24"/>
      <c r="F740" s="24"/>
      <c r="G740" s="24"/>
      <c r="H740" s="24"/>
      <c r="I740" s="24"/>
      <c r="J740" s="24"/>
      <c r="K740" s="24"/>
      <c r="L740" s="24"/>
      <c r="M740" s="24"/>
      <c r="N740" s="24"/>
      <c r="O740" s="24"/>
      <c r="P740" s="24"/>
      <c r="Q740" s="24"/>
      <c r="R740" s="24"/>
      <c r="S740" s="24"/>
      <c r="T740" s="24"/>
      <c r="U740" s="24"/>
      <c r="V740" s="24"/>
      <c r="W740" s="14"/>
    </row>
    <row r="741" ht="14.25" customHeight="1">
      <c r="A741" s="24"/>
      <c r="B741" s="24"/>
      <c r="C741" s="24"/>
      <c r="D741" s="24"/>
      <c r="E741" s="24"/>
      <c r="F741" s="24"/>
      <c r="G741" s="24"/>
      <c r="H741" s="24"/>
      <c r="I741" s="24"/>
      <c r="J741" s="24"/>
      <c r="K741" s="24"/>
      <c r="L741" s="24"/>
      <c r="M741" s="24"/>
      <c r="N741" s="24"/>
      <c r="O741" s="24"/>
      <c r="P741" s="24"/>
      <c r="Q741" s="24"/>
      <c r="R741" s="24"/>
      <c r="S741" s="24"/>
      <c r="T741" s="24"/>
      <c r="U741" s="24"/>
      <c r="V741" s="24"/>
      <c r="W741" s="14"/>
    </row>
    <row r="742" ht="14.25" customHeight="1">
      <c r="A742" s="24"/>
      <c r="B742" s="24"/>
      <c r="C742" s="24"/>
      <c r="D742" s="24"/>
      <c r="E742" s="24"/>
      <c r="F742" s="24"/>
      <c r="G742" s="24"/>
      <c r="H742" s="24"/>
      <c r="I742" s="24"/>
      <c r="J742" s="24"/>
      <c r="K742" s="24"/>
      <c r="L742" s="24"/>
      <c r="M742" s="24"/>
      <c r="N742" s="24"/>
      <c r="O742" s="24"/>
      <c r="P742" s="24"/>
      <c r="Q742" s="24"/>
      <c r="R742" s="24"/>
      <c r="S742" s="24"/>
      <c r="T742" s="24"/>
      <c r="U742" s="24"/>
      <c r="V742" s="24"/>
      <c r="W742" s="14"/>
    </row>
    <row r="743" ht="14.25" customHeight="1">
      <c r="A743" s="24"/>
      <c r="B743" s="24"/>
      <c r="C743" s="24"/>
      <c r="D743" s="24"/>
      <c r="E743" s="24"/>
      <c r="F743" s="24"/>
      <c r="G743" s="24"/>
      <c r="H743" s="24"/>
      <c r="I743" s="24"/>
      <c r="J743" s="24"/>
      <c r="K743" s="24"/>
      <c r="L743" s="24"/>
      <c r="M743" s="24"/>
      <c r="N743" s="24"/>
      <c r="O743" s="24"/>
      <c r="P743" s="24"/>
      <c r="Q743" s="24"/>
      <c r="R743" s="24"/>
      <c r="S743" s="24"/>
      <c r="T743" s="24"/>
      <c r="U743" s="24"/>
      <c r="V743" s="24"/>
      <c r="W743" s="14"/>
    </row>
    <row r="744" ht="14.25" customHeight="1">
      <c r="A744" s="24"/>
      <c r="B744" s="24"/>
      <c r="C744" s="24"/>
      <c r="D744" s="24"/>
      <c r="E744" s="24"/>
      <c r="F744" s="24"/>
      <c r="G744" s="24"/>
      <c r="H744" s="24"/>
      <c r="I744" s="24"/>
      <c r="J744" s="24"/>
      <c r="K744" s="24"/>
      <c r="L744" s="24"/>
      <c r="M744" s="24"/>
      <c r="N744" s="24"/>
      <c r="O744" s="24"/>
      <c r="P744" s="24"/>
      <c r="Q744" s="24"/>
      <c r="R744" s="24"/>
      <c r="S744" s="24"/>
      <c r="T744" s="24"/>
      <c r="U744" s="24"/>
      <c r="V744" s="24"/>
      <c r="W744" s="14"/>
    </row>
    <row r="745" ht="14.25" customHeight="1">
      <c r="A745" s="24"/>
      <c r="B745" s="24"/>
      <c r="C745" s="24"/>
      <c r="D745" s="24"/>
      <c r="E745" s="24"/>
      <c r="F745" s="24"/>
      <c r="G745" s="24"/>
      <c r="H745" s="24"/>
      <c r="I745" s="24"/>
      <c r="J745" s="24"/>
      <c r="K745" s="24"/>
      <c r="L745" s="24"/>
      <c r="M745" s="24"/>
      <c r="N745" s="24"/>
      <c r="O745" s="24"/>
      <c r="P745" s="24"/>
      <c r="Q745" s="24"/>
      <c r="R745" s="24"/>
      <c r="S745" s="24"/>
      <c r="T745" s="24"/>
      <c r="U745" s="24"/>
      <c r="V745" s="24"/>
      <c r="W745" s="14"/>
    </row>
    <row r="746" ht="14.25" customHeight="1">
      <c r="A746" s="24"/>
      <c r="B746" s="24"/>
      <c r="C746" s="24"/>
      <c r="D746" s="24"/>
      <c r="E746" s="24"/>
      <c r="F746" s="24"/>
      <c r="G746" s="24"/>
      <c r="H746" s="24"/>
      <c r="I746" s="24"/>
      <c r="J746" s="24"/>
      <c r="K746" s="24"/>
      <c r="L746" s="24"/>
      <c r="M746" s="24"/>
      <c r="N746" s="24"/>
      <c r="O746" s="24"/>
      <c r="P746" s="24"/>
      <c r="Q746" s="24"/>
      <c r="R746" s="24"/>
      <c r="S746" s="24"/>
      <c r="T746" s="24"/>
      <c r="U746" s="24"/>
      <c r="V746" s="24"/>
      <c r="W746" s="14"/>
    </row>
    <row r="747" ht="14.25" customHeight="1">
      <c r="A747" s="24"/>
      <c r="B747" s="24"/>
      <c r="C747" s="24"/>
      <c r="D747" s="24"/>
      <c r="E747" s="24"/>
      <c r="F747" s="24"/>
      <c r="G747" s="24"/>
      <c r="H747" s="24"/>
      <c r="I747" s="24"/>
      <c r="J747" s="24"/>
      <c r="K747" s="24"/>
      <c r="L747" s="24"/>
      <c r="M747" s="24"/>
      <c r="N747" s="24"/>
      <c r="O747" s="24"/>
      <c r="P747" s="24"/>
      <c r="Q747" s="24"/>
      <c r="R747" s="24"/>
      <c r="S747" s="24"/>
      <c r="T747" s="24"/>
      <c r="U747" s="24"/>
      <c r="V747" s="24"/>
      <c r="W747" s="14"/>
    </row>
    <row r="748" ht="14.25" customHeight="1">
      <c r="A748" s="24"/>
      <c r="B748" s="24"/>
      <c r="C748" s="24"/>
      <c r="D748" s="24"/>
      <c r="E748" s="24"/>
      <c r="F748" s="24"/>
      <c r="G748" s="24"/>
      <c r="H748" s="24"/>
      <c r="I748" s="24"/>
      <c r="J748" s="24"/>
      <c r="K748" s="24"/>
      <c r="L748" s="24"/>
      <c r="M748" s="24"/>
      <c r="N748" s="24"/>
      <c r="O748" s="24"/>
      <c r="P748" s="24"/>
      <c r="Q748" s="24"/>
      <c r="R748" s="24"/>
      <c r="S748" s="24"/>
      <c r="T748" s="24"/>
      <c r="U748" s="24"/>
      <c r="V748" s="24"/>
      <c r="W748" s="14"/>
    </row>
    <row r="749" ht="14.25" customHeight="1">
      <c r="A749" s="24"/>
      <c r="B749" s="24"/>
      <c r="C749" s="24"/>
      <c r="D749" s="24"/>
      <c r="E749" s="24"/>
      <c r="F749" s="24"/>
      <c r="G749" s="24"/>
      <c r="H749" s="24"/>
      <c r="I749" s="24"/>
      <c r="J749" s="24"/>
      <c r="K749" s="24"/>
      <c r="L749" s="24"/>
      <c r="M749" s="24"/>
      <c r="N749" s="24"/>
      <c r="O749" s="24"/>
      <c r="P749" s="24"/>
      <c r="Q749" s="24"/>
      <c r="R749" s="24"/>
      <c r="S749" s="24"/>
      <c r="T749" s="24"/>
      <c r="U749" s="24"/>
      <c r="V749" s="24"/>
      <c r="W749" s="14"/>
    </row>
    <row r="750" ht="14.25" customHeight="1">
      <c r="A750" s="24"/>
      <c r="B750" s="24"/>
      <c r="C750" s="24"/>
      <c r="D750" s="24"/>
      <c r="E750" s="24"/>
      <c r="F750" s="24"/>
      <c r="G750" s="24"/>
      <c r="H750" s="24"/>
      <c r="I750" s="24"/>
      <c r="J750" s="24"/>
      <c r="K750" s="24"/>
      <c r="L750" s="24"/>
      <c r="M750" s="24"/>
      <c r="N750" s="24"/>
      <c r="O750" s="24"/>
      <c r="P750" s="24"/>
      <c r="Q750" s="24"/>
      <c r="R750" s="24"/>
      <c r="S750" s="24"/>
      <c r="T750" s="24"/>
      <c r="U750" s="24"/>
      <c r="V750" s="24"/>
      <c r="W750" s="14"/>
    </row>
    <row r="751" ht="14.25" customHeight="1">
      <c r="A751" s="24"/>
      <c r="B751" s="24"/>
      <c r="C751" s="24"/>
      <c r="D751" s="24"/>
      <c r="E751" s="24"/>
      <c r="F751" s="24"/>
      <c r="G751" s="24"/>
      <c r="H751" s="24"/>
      <c r="I751" s="24"/>
      <c r="J751" s="24"/>
      <c r="K751" s="24"/>
      <c r="L751" s="24"/>
      <c r="M751" s="24"/>
      <c r="N751" s="24"/>
      <c r="O751" s="24"/>
      <c r="P751" s="24"/>
      <c r="Q751" s="24"/>
      <c r="R751" s="24"/>
      <c r="S751" s="24"/>
      <c r="T751" s="24"/>
      <c r="U751" s="24"/>
      <c r="V751" s="24"/>
      <c r="W751" s="14"/>
    </row>
    <row r="752" ht="14.25" customHeight="1">
      <c r="A752" s="24"/>
      <c r="B752" s="24"/>
      <c r="C752" s="24"/>
      <c r="D752" s="24"/>
      <c r="E752" s="24"/>
      <c r="F752" s="24"/>
      <c r="G752" s="24"/>
      <c r="H752" s="24"/>
      <c r="I752" s="24"/>
      <c r="J752" s="24"/>
      <c r="K752" s="24"/>
      <c r="L752" s="24"/>
      <c r="M752" s="24"/>
      <c r="N752" s="24"/>
      <c r="O752" s="24"/>
      <c r="P752" s="24"/>
      <c r="Q752" s="24"/>
      <c r="R752" s="24"/>
      <c r="S752" s="24"/>
      <c r="T752" s="24"/>
      <c r="U752" s="24"/>
      <c r="V752" s="24"/>
      <c r="W752" s="14"/>
    </row>
    <row r="753" ht="14.25" customHeight="1">
      <c r="A753" s="24"/>
      <c r="B753" s="24"/>
      <c r="C753" s="24"/>
      <c r="D753" s="24"/>
      <c r="E753" s="24"/>
      <c r="F753" s="24"/>
      <c r="G753" s="24"/>
      <c r="H753" s="24"/>
      <c r="I753" s="24"/>
      <c r="J753" s="24"/>
      <c r="K753" s="24"/>
      <c r="L753" s="24"/>
      <c r="M753" s="24"/>
      <c r="N753" s="24"/>
      <c r="O753" s="24"/>
      <c r="P753" s="24"/>
      <c r="Q753" s="24"/>
      <c r="R753" s="24"/>
      <c r="S753" s="24"/>
      <c r="T753" s="24"/>
      <c r="U753" s="24"/>
      <c r="V753" s="24"/>
      <c r="W753" s="14"/>
    </row>
    <row r="754" ht="14.25" customHeight="1">
      <c r="A754" s="24"/>
      <c r="B754" s="24"/>
      <c r="C754" s="24"/>
      <c r="D754" s="24"/>
      <c r="E754" s="24"/>
      <c r="F754" s="24"/>
      <c r="G754" s="24"/>
      <c r="H754" s="24"/>
      <c r="I754" s="24"/>
      <c r="J754" s="24"/>
      <c r="K754" s="24"/>
      <c r="L754" s="24"/>
      <c r="M754" s="24"/>
      <c r="N754" s="24"/>
      <c r="O754" s="24"/>
      <c r="P754" s="24"/>
      <c r="Q754" s="24"/>
      <c r="R754" s="24"/>
      <c r="S754" s="24"/>
      <c r="T754" s="24"/>
      <c r="U754" s="24"/>
      <c r="V754" s="24"/>
      <c r="W754" s="14"/>
    </row>
    <row r="755" ht="14.25" customHeight="1">
      <c r="A755" s="24"/>
      <c r="B755" s="24"/>
      <c r="C755" s="24"/>
      <c r="D755" s="24"/>
      <c r="E755" s="24"/>
      <c r="F755" s="24"/>
      <c r="G755" s="24"/>
      <c r="H755" s="24"/>
      <c r="I755" s="24"/>
      <c r="J755" s="24"/>
      <c r="K755" s="24"/>
      <c r="L755" s="24"/>
      <c r="M755" s="24"/>
      <c r="N755" s="24"/>
      <c r="O755" s="24"/>
      <c r="P755" s="24"/>
      <c r="Q755" s="24"/>
      <c r="R755" s="24"/>
      <c r="S755" s="24"/>
      <c r="T755" s="24"/>
      <c r="U755" s="24"/>
      <c r="V755" s="24"/>
      <c r="W755" s="14"/>
    </row>
    <row r="756" ht="14.25" customHeight="1">
      <c r="A756" s="24"/>
      <c r="B756" s="24"/>
      <c r="C756" s="24"/>
      <c r="D756" s="24"/>
      <c r="E756" s="24"/>
      <c r="F756" s="24"/>
      <c r="G756" s="24"/>
      <c r="H756" s="24"/>
      <c r="I756" s="24"/>
      <c r="J756" s="24"/>
      <c r="K756" s="24"/>
      <c r="L756" s="24"/>
      <c r="M756" s="24"/>
      <c r="N756" s="24"/>
      <c r="O756" s="24"/>
      <c r="P756" s="24"/>
      <c r="Q756" s="24"/>
      <c r="R756" s="24"/>
      <c r="S756" s="24"/>
      <c r="T756" s="24"/>
      <c r="U756" s="24"/>
      <c r="V756" s="24"/>
      <c r="W756" s="14"/>
    </row>
    <row r="757" ht="14.25" customHeight="1">
      <c r="A757" s="24"/>
      <c r="B757" s="24"/>
      <c r="C757" s="24"/>
      <c r="D757" s="24"/>
      <c r="E757" s="24"/>
      <c r="F757" s="24"/>
      <c r="G757" s="24"/>
      <c r="H757" s="24"/>
      <c r="I757" s="24"/>
      <c r="J757" s="24"/>
      <c r="K757" s="24"/>
      <c r="L757" s="24"/>
      <c r="M757" s="24"/>
      <c r="N757" s="24"/>
      <c r="O757" s="24"/>
      <c r="P757" s="24"/>
      <c r="Q757" s="24"/>
      <c r="R757" s="24"/>
      <c r="S757" s="24"/>
      <c r="T757" s="24"/>
      <c r="U757" s="24"/>
      <c r="V757" s="24"/>
      <c r="W757" s="14"/>
    </row>
    <row r="758" ht="14.25" customHeight="1">
      <c r="A758" s="24"/>
      <c r="B758" s="24"/>
      <c r="C758" s="24"/>
      <c r="D758" s="24"/>
      <c r="E758" s="24"/>
      <c r="F758" s="24"/>
      <c r="G758" s="24"/>
      <c r="H758" s="24"/>
      <c r="I758" s="24"/>
      <c r="J758" s="24"/>
      <c r="K758" s="24"/>
      <c r="L758" s="24"/>
      <c r="M758" s="24"/>
      <c r="N758" s="24"/>
      <c r="O758" s="24"/>
      <c r="P758" s="24"/>
      <c r="Q758" s="24"/>
      <c r="R758" s="24"/>
      <c r="S758" s="24"/>
      <c r="T758" s="24"/>
      <c r="U758" s="24"/>
      <c r="V758" s="24"/>
      <c r="W758" s="14"/>
    </row>
    <row r="759" ht="14.25" customHeight="1">
      <c r="A759" s="24"/>
      <c r="B759" s="24"/>
      <c r="C759" s="24"/>
      <c r="D759" s="24"/>
      <c r="E759" s="24"/>
      <c r="F759" s="24"/>
      <c r="G759" s="24"/>
      <c r="H759" s="24"/>
      <c r="I759" s="24"/>
      <c r="J759" s="24"/>
      <c r="K759" s="24"/>
      <c r="L759" s="24"/>
      <c r="M759" s="24"/>
      <c r="N759" s="24"/>
      <c r="O759" s="24"/>
      <c r="P759" s="24"/>
      <c r="Q759" s="24"/>
      <c r="R759" s="24"/>
      <c r="S759" s="24"/>
      <c r="T759" s="24"/>
      <c r="U759" s="24"/>
      <c r="V759" s="24"/>
      <c r="W759" s="14"/>
    </row>
    <row r="760" ht="14.25" customHeight="1">
      <c r="A760" s="24"/>
      <c r="B760" s="24"/>
      <c r="C760" s="24"/>
      <c r="D760" s="24"/>
      <c r="E760" s="24"/>
      <c r="F760" s="24"/>
      <c r="G760" s="24"/>
      <c r="H760" s="24"/>
      <c r="I760" s="24"/>
      <c r="J760" s="24"/>
      <c r="K760" s="24"/>
      <c r="L760" s="24"/>
      <c r="M760" s="24"/>
      <c r="N760" s="24"/>
      <c r="O760" s="24"/>
      <c r="P760" s="24"/>
      <c r="Q760" s="24"/>
      <c r="R760" s="24"/>
      <c r="S760" s="24"/>
      <c r="T760" s="24"/>
      <c r="U760" s="24"/>
      <c r="V760" s="24"/>
      <c r="W760" s="14"/>
    </row>
    <row r="761" ht="14.25" customHeight="1">
      <c r="A761" s="24"/>
      <c r="B761" s="24"/>
      <c r="C761" s="24"/>
      <c r="D761" s="24"/>
      <c r="E761" s="24"/>
      <c r="F761" s="24"/>
      <c r="G761" s="24"/>
      <c r="H761" s="24"/>
      <c r="I761" s="24"/>
      <c r="J761" s="24"/>
      <c r="K761" s="24"/>
      <c r="L761" s="24"/>
      <c r="M761" s="24"/>
      <c r="N761" s="24"/>
      <c r="O761" s="24"/>
      <c r="P761" s="24"/>
      <c r="Q761" s="24"/>
      <c r="R761" s="24"/>
      <c r="S761" s="24"/>
      <c r="T761" s="24"/>
      <c r="U761" s="24"/>
      <c r="V761" s="24"/>
      <c r="W761" s="14"/>
    </row>
    <row r="762" ht="14.25" customHeight="1">
      <c r="A762" s="24"/>
      <c r="B762" s="24"/>
      <c r="C762" s="24"/>
      <c r="D762" s="24"/>
      <c r="E762" s="24"/>
      <c r="F762" s="24"/>
      <c r="G762" s="24"/>
      <c r="H762" s="24"/>
      <c r="I762" s="24"/>
      <c r="J762" s="24"/>
      <c r="K762" s="24"/>
      <c r="L762" s="24"/>
      <c r="M762" s="24"/>
      <c r="N762" s="24"/>
      <c r="O762" s="24"/>
      <c r="P762" s="24"/>
      <c r="Q762" s="24"/>
      <c r="R762" s="24"/>
      <c r="S762" s="24"/>
      <c r="T762" s="24"/>
      <c r="U762" s="24"/>
      <c r="V762" s="24"/>
      <c r="W762" s="14"/>
    </row>
    <row r="763" ht="14.25" customHeight="1">
      <c r="A763" s="24"/>
      <c r="B763" s="24"/>
      <c r="C763" s="24"/>
      <c r="D763" s="24"/>
      <c r="E763" s="24"/>
      <c r="F763" s="24"/>
      <c r="G763" s="24"/>
      <c r="H763" s="24"/>
      <c r="I763" s="24"/>
      <c r="J763" s="24"/>
      <c r="K763" s="24"/>
      <c r="L763" s="24"/>
      <c r="M763" s="24"/>
      <c r="N763" s="24"/>
      <c r="O763" s="24"/>
      <c r="P763" s="24"/>
      <c r="Q763" s="24"/>
      <c r="R763" s="24"/>
      <c r="S763" s="24"/>
      <c r="T763" s="24"/>
      <c r="U763" s="24"/>
      <c r="V763" s="24"/>
      <c r="W763" s="14"/>
    </row>
    <row r="764" ht="14.25" customHeight="1">
      <c r="A764" s="24"/>
      <c r="B764" s="24"/>
      <c r="C764" s="24"/>
      <c r="D764" s="24"/>
      <c r="E764" s="24"/>
      <c r="F764" s="24"/>
      <c r="G764" s="24"/>
      <c r="H764" s="24"/>
      <c r="I764" s="24"/>
      <c r="J764" s="24"/>
      <c r="K764" s="24"/>
      <c r="L764" s="24"/>
      <c r="M764" s="24"/>
      <c r="N764" s="24"/>
      <c r="O764" s="24"/>
      <c r="P764" s="24"/>
      <c r="Q764" s="24"/>
      <c r="R764" s="24"/>
      <c r="S764" s="24"/>
      <c r="T764" s="24"/>
      <c r="U764" s="24"/>
      <c r="V764" s="24"/>
      <c r="W764" s="14"/>
    </row>
    <row r="765" ht="14.25" customHeight="1">
      <c r="A765" s="24"/>
      <c r="B765" s="24"/>
      <c r="C765" s="24"/>
      <c r="D765" s="24"/>
      <c r="E765" s="24"/>
      <c r="F765" s="24"/>
      <c r="G765" s="24"/>
      <c r="H765" s="24"/>
      <c r="I765" s="24"/>
      <c r="J765" s="24"/>
      <c r="K765" s="24"/>
      <c r="L765" s="24"/>
      <c r="M765" s="24"/>
      <c r="N765" s="24"/>
      <c r="O765" s="24"/>
      <c r="P765" s="24"/>
      <c r="Q765" s="24"/>
      <c r="R765" s="24"/>
      <c r="S765" s="24"/>
      <c r="T765" s="24"/>
      <c r="U765" s="24"/>
      <c r="V765" s="24"/>
      <c r="W765" s="14"/>
    </row>
    <row r="766" ht="14.25" customHeight="1">
      <c r="A766" s="24"/>
      <c r="B766" s="24"/>
      <c r="C766" s="24"/>
      <c r="D766" s="24"/>
      <c r="E766" s="24"/>
      <c r="F766" s="24"/>
      <c r="G766" s="24"/>
      <c r="H766" s="24"/>
      <c r="I766" s="24"/>
      <c r="J766" s="24"/>
      <c r="K766" s="24"/>
      <c r="L766" s="24"/>
      <c r="M766" s="24"/>
      <c r="N766" s="24"/>
      <c r="O766" s="24"/>
      <c r="P766" s="24"/>
      <c r="Q766" s="24"/>
      <c r="R766" s="24"/>
      <c r="S766" s="24"/>
      <c r="T766" s="24"/>
      <c r="U766" s="24"/>
      <c r="V766" s="24"/>
      <c r="W766" s="14"/>
    </row>
    <row r="767" ht="14.25" customHeight="1">
      <c r="A767" s="24"/>
      <c r="B767" s="24"/>
      <c r="C767" s="24"/>
      <c r="D767" s="24"/>
      <c r="E767" s="24"/>
      <c r="F767" s="24"/>
      <c r="G767" s="24"/>
      <c r="H767" s="24"/>
      <c r="I767" s="24"/>
      <c r="J767" s="24"/>
      <c r="K767" s="24"/>
      <c r="L767" s="24"/>
      <c r="M767" s="24"/>
      <c r="N767" s="24"/>
      <c r="O767" s="24"/>
      <c r="P767" s="24"/>
      <c r="Q767" s="24"/>
      <c r="R767" s="24"/>
      <c r="S767" s="24"/>
      <c r="T767" s="24"/>
      <c r="U767" s="24"/>
      <c r="V767" s="24"/>
      <c r="W767" s="14"/>
    </row>
    <row r="768" ht="14.25" customHeight="1">
      <c r="A768" s="24"/>
      <c r="B768" s="24"/>
      <c r="C768" s="24"/>
      <c r="D768" s="24"/>
      <c r="E768" s="24"/>
      <c r="F768" s="24"/>
      <c r="G768" s="24"/>
      <c r="H768" s="24"/>
      <c r="I768" s="24"/>
      <c r="J768" s="24"/>
      <c r="K768" s="24"/>
      <c r="L768" s="24"/>
      <c r="M768" s="24"/>
      <c r="N768" s="24"/>
      <c r="O768" s="24"/>
      <c r="P768" s="24"/>
      <c r="Q768" s="24"/>
      <c r="R768" s="24"/>
      <c r="S768" s="24"/>
      <c r="T768" s="24"/>
      <c r="U768" s="24"/>
      <c r="V768" s="24"/>
      <c r="W768" s="14"/>
    </row>
    <row r="769" ht="14.25" customHeight="1">
      <c r="A769" s="24"/>
      <c r="B769" s="24"/>
      <c r="C769" s="24"/>
      <c r="D769" s="24"/>
      <c r="E769" s="24"/>
      <c r="F769" s="24"/>
      <c r="G769" s="24"/>
      <c r="H769" s="24"/>
      <c r="I769" s="24"/>
      <c r="J769" s="24"/>
      <c r="K769" s="24"/>
      <c r="L769" s="24"/>
      <c r="M769" s="24"/>
      <c r="N769" s="24"/>
      <c r="O769" s="24"/>
      <c r="P769" s="24"/>
      <c r="Q769" s="24"/>
      <c r="R769" s="24"/>
      <c r="S769" s="24"/>
      <c r="T769" s="24"/>
      <c r="U769" s="24"/>
      <c r="V769" s="24"/>
      <c r="W769" s="14"/>
    </row>
    <row r="770" ht="14.25" customHeight="1">
      <c r="A770" s="24"/>
      <c r="B770" s="24"/>
      <c r="C770" s="24"/>
      <c r="D770" s="24"/>
      <c r="E770" s="24"/>
      <c r="F770" s="24"/>
      <c r="G770" s="24"/>
      <c r="H770" s="24"/>
      <c r="I770" s="24"/>
      <c r="J770" s="24"/>
      <c r="K770" s="24"/>
      <c r="L770" s="24"/>
      <c r="M770" s="24"/>
      <c r="N770" s="24"/>
      <c r="O770" s="24"/>
      <c r="P770" s="24"/>
      <c r="Q770" s="24"/>
      <c r="R770" s="24"/>
      <c r="S770" s="24"/>
      <c r="T770" s="24"/>
      <c r="U770" s="24"/>
      <c r="V770" s="24"/>
      <c r="W770" s="14"/>
    </row>
    <row r="771" ht="14.25" customHeight="1">
      <c r="A771" s="24"/>
      <c r="B771" s="24"/>
      <c r="C771" s="24"/>
      <c r="D771" s="24"/>
      <c r="E771" s="24"/>
      <c r="F771" s="24"/>
      <c r="G771" s="24"/>
      <c r="H771" s="24"/>
      <c r="I771" s="24"/>
      <c r="J771" s="24"/>
      <c r="K771" s="24"/>
      <c r="L771" s="24"/>
      <c r="M771" s="24"/>
      <c r="N771" s="24"/>
      <c r="O771" s="24"/>
      <c r="P771" s="24"/>
      <c r="Q771" s="24"/>
      <c r="R771" s="24"/>
      <c r="S771" s="24"/>
      <c r="T771" s="24"/>
      <c r="U771" s="24"/>
      <c r="V771" s="24"/>
      <c r="W771" s="14"/>
    </row>
    <row r="772" ht="14.25" customHeight="1">
      <c r="A772" s="24"/>
      <c r="B772" s="24"/>
      <c r="C772" s="24"/>
      <c r="D772" s="24"/>
      <c r="E772" s="24"/>
      <c r="F772" s="24"/>
      <c r="G772" s="24"/>
      <c r="H772" s="24"/>
      <c r="I772" s="24"/>
      <c r="J772" s="24"/>
      <c r="K772" s="24"/>
      <c r="L772" s="24"/>
      <c r="M772" s="24"/>
      <c r="N772" s="24"/>
      <c r="O772" s="24"/>
      <c r="P772" s="24"/>
      <c r="Q772" s="24"/>
      <c r="R772" s="24"/>
      <c r="S772" s="24"/>
      <c r="T772" s="24"/>
      <c r="U772" s="24"/>
      <c r="V772" s="24"/>
      <c r="W772" s="14"/>
    </row>
    <row r="773" ht="14.25" customHeight="1">
      <c r="A773" s="24"/>
      <c r="B773" s="24"/>
      <c r="C773" s="24"/>
      <c r="D773" s="24"/>
      <c r="E773" s="24"/>
      <c r="F773" s="24"/>
      <c r="G773" s="24"/>
      <c r="H773" s="24"/>
      <c r="I773" s="24"/>
      <c r="J773" s="24"/>
      <c r="K773" s="24"/>
      <c r="L773" s="24"/>
      <c r="M773" s="24"/>
      <c r="N773" s="24"/>
      <c r="O773" s="24"/>
      <c r="P773" s="24"/>
      <c r="Q773" s="24"/>
      <c r="R773" s="24"/>
      <c r="S773" s="24"/>
      <c r="T773" s="24"/>
      <c r="U773" s="24"/>
      <c r="V773" s="24"/>
      <c r="W773" s="14"/>
    </row>
    <row r="774" ht="14.25" customHeight="1">
      <c r="A774" s="24"/>
      <c r="B774" s="24"/>
      <c r="C774" s="24"/>
      <c r="D774" s="24"/>
      <c r="E774" s="24"/>
      <c r="F774" s="24"/>
      <c r="G774" s="24"/>
      <c r="H774" s="24"/>
      <c r="I774" s="24"/>
      <c r="J774" s="24"/>
      <c r="K774" s="24"/>
      <c r="L774" s="24"/>
      <c r="M774" s="24"/>
      <c r="N774" s="24"/>
      <c r="O774" s="24"/>
      <c r="P774" s="24"/>
      <c r="Q774" s="24"/>
      <c r="R774" s="24"/>
      <c r="S774" s="24"/>
      <c r="T774" s="24"/>
      <c r="U774" s="24"/>
      <c r="V774" s="24"/>
      <c r="W774" s="14"/>
    </row>
    <row r="775" ht="14.25" customHeight="1">
      <c r="A775" s="24"/>
      <c r="B775" s="24"/>
      <c r="C775" s="24"/>
      <c r="D775" s="24"/>
      <c r="E775" s="24"/>
      <c r="F775" s="24"/>
      <c r="G775" s="24"/>
      <c r="H775" s="24"/>
      <c r="I775" s="24"/>
      <c r="J775" s="24"/>
      <c r="K775" s="24"/>
      <c r="L775" s="24"/>
      <c r="M775" s="24"/>
      <c r="N775" s="24"/>
      <c r="O775" s="24"/>
      <c r="P775" s="24"/>
      <c r="Q775" s="24"/>
      <c r="R775" s="24"/>
      <c r="S775" s="24"/>
      <c r="T775" s="24"/>
      <c r="U775" s="24"/>
      <c r="V775" s="24"/>
      <c r="W775" s="14"/>
    </row>
    <row r="776" ht="14.25" customHeight="1">
      <c r="A776" s="24"/>
      <c r="B776" s="24"/>
      <c r="C776" s="24"/>
      <c r="D776" s="24"/>
      <c r="E776" s="24"/>
      <c r="F776" s="24"/>
      <c r="G776" s="24"/>
      <c r="H776" s="24"/>
      <c r="I776" s="24"/>
      <c r="J776" s="24"/>
      <c r="K776" s="24"/>
      <c r="L776" s="24"/>
      <c r="M776" s="24"/>
      <c r="N776" s="24"/>
      <c r="O776" s="24"/>
      <c r="P776" s="24"/>
      <c r="Q776" s="24"/>
      <c r="R776" s="24"/>
      <c r="S776" s="24"/>
      <c r="T776" s="24"/>
      <c r="U776" s="24"/>
      <c r="V776" s="24"/>
      <c r="W776" s="14"/>
    </row>
    <row r="777" ht="14.25" customHeight="1">
      <c r="A777" s="24"/>
      <c r="B777" s="24"/>
      <c r="C777" s="24"/>
      <c r="D777" s="24"/>
      <c r="E777" s="24"/>
      <c r="F777" s="24"/>
      <c r="G777" s="24"/>
      <c r="H777" s="24"/>
      <c r="I777" s="24"/>
      <c r="J777" s="24"/>
      <c r="K777" s="24"/>
      <c r="L777" s="24"/>
      <c r="M777" s="24"/>
      <c r="N777" s="24"/>
      <c r="O777" s="24"/>
      <c r="P777" s="24"/>
      <c r="Q777" s="24"/>
      <c r="R777" s="24"/>
      <c r="S777" s="24"/>
      <c r="T777" s="24"/>
      <c r="U777" s="24"/>
      <c r="V777" s="24"/>
      <c r="W777" s="14"/>
    </row>
    <row r="778" ht="14.25" customHeight="1">
      <c r="A778" s="24"/>
      <c r="B778" s="24"/>
      <c r="C778" s="24"/>
      <c r="D778" s="24"/>
      <c r="E778" s="24"/>
      <c r="F778" s="24"/>
      <c r="G778" s="24"/>
      <c r="H778" s="24"/>
      <c r="I778" s="24"/>
      <c r="J778" s="24"/>
      <c r="K778" s="24"/>
      <c r="L778" s="24"/>
      <c r="M778" s="24"/>
      <c r="N778" s="24"/>
      <c r="O778" s="24"/>
      <c r="P778" s="24"/>
      <c r="Q778" s="24"/>
      <c r="R778" s="24"/>
      <c r="S778" s="24"/>
      <c r="T778" s="24"/>
      <c r="U778" s="24"/>
      <c r="V778" s="24"/>
      <c r="W778" s="14"/>
    </row>
    <row r="779" ht="14.25" customHeight="1">
      <c r="A779" s="24"/>
      <c r="B779" s="24"/>
      <c r="C779" s="24"/>
      <c r="D779" s="24"/>
      <c r="E779" s="24"/>
      <c r="F779" s="24"/>
      <c r="G779" s="24"/>
      <c r="H779" s="24"/>
      <c r="I779" s="24"/>
      <c r="J779" s="24"/>
      <c r="K779" s="24"/>
      <c r="L779" s="24"/>
      <c r="M779" s="24"/>
      <c r="N779" s="24"/>
      <c r="O779" s="24"/>
      <c r="P779" s="24"/>
      <c r="Q779" s="24"/>
      <c r="R779" s="24"/>
      <c r="S779" s="24"/>
      <c r="T779" s="24"/>
      <c r="U779" s="24"/>
      <c r="V779" s="24"/>
      <c r="W779" s="14"/>
    </row>
    <row r="780" ht="14.25" customHeight="1">
      <c r="A780" s="24"/>
      <c r="B780" s="24"/>
      <c r="C780" s="24"/>
      <c r="D780" s="24"/>
      <c r="E780" s="24"/>
      <c r="F780" s="24"/>
      <c r="G780" s="24"/>
      <c r="H780" s="24"/>
      <c r="I780" s="24"/>
      <c r="J780" s="24"/>
      <c r="K780" s="24"/>
      <c r="L780" s="24"/>
      <c r="M780" s="24"/>
      <c r="N780" s="24"/>
      <c r="O780" s="24"/>
      <c r="P780" s="24"/>
      <c r="Q780" s="24"/>
      <c r="R780" s="24"/>
      <c r="S780" s="24"/>
      <c r="T780" s="24"/>
      <c r="U780" s="24"/>
      <c r="V780" s="24"/>
      <c r="W780" s="14"/>
    </row>
    <row r="781" ht="14.25" customHeight="1">
      <c r="A781" s="24"/>
      <c r="B781" s="24"/>
      <c r="C781" s="24"/>
      <c r="D781" s="24"/>
      <c r="E781" s="24"/>
      <c r="F781" s="24"/>
      <c r="G781" s="24"/>
      <c r="H781" s="24"/>
      <c r="I781" s="24"/>
      <c r="J781" s="24"/>
      <c r="K781" s="24"/>
      <c r="L781" s="24"/>
      <c r="M781" s="24"/>
      <c r="N781" s="24"/>
      <c r="O781" s="24"/>
      <c r="P781" s="24"/>
      <c r="Q781" s="24"/>
      <c r="R781" s="24"/>
      <c r="S781" s="24"/>
      <c r="T781" s="24"/>
      <c r="U781" s="24"/>
      <c r="V781" s="24"/>
      <c r="W781" s="14"/>
    </row>
    <row r="782" ht="14.25" customHeight="1">
      <c r="A782" s="24"/>
      <c r="B782" s="24"/>
      <c r="C782" s="24"/>
      <c r="D782" s="24"/>
      <c r="E782" s="24"/>
      <c r="F782" s="24"/>
      <c r="G782" s="24"/>
      <c r="H782" s="24"/>
      <c r="I782" s="24"/>
      <c r="J782" s="24"/>
      <c r="K782" s="24"/>
      <c r="L782" s="24"/>
      <c r="M782" s="24"/>
      <c r="N782" s="24"/>
      <c r="O782" s="24"/>
      <c r="P782" s="24"/>
      <c r="Q782" s="24"/>
      <c r="R782" s="24"/>
      <c r="S782" s="24"/>
      <c r="T782" s="24"/>
      <c r="U782" s="24"/>
      <c r="V782" s="24"/>
      <c r="W782" s="14"/>
    </row>
    <row r="783" ht="14.25" customHeight="1">
      <c r="A783" s="24"/>
      <c r="B783" s="24"/>
      <c r="C783" s="24"/>
      <c r="D783" s="24"/>
      <c r="E783" s="24"/>
      <c r="F783" s="24"/>
      <c r="G783" s="24"/>
      <c r="H783" s="24"/>
      <c r="I783" s="24"/>
      <c r="J783" s="24"/>
      <c r="K783" s="24"/>
      <c r="L783" s="24"/>
      <c r="M783" s="24"/>
      <c r="N783" s="24"/>
      <c r="O783" s="24"/>
      <c r="P783" s="24"/>
      <c r="Q783" s="24"/>
      <c r="R783" s="24"/>
      <c r="S783" s="24"/>
      <c r="T783" s="24"/>
      <c r="U783" s="24"/>
      <c r="V783" s="24"/>
      <c r="W783" s="14"/>
    </row>
    <row r="784" ht="14.25" customHeight="1">
      <c r="A784" s="24"/>
      <c r="B784" s="24"/>
      <c r="C784" s="24"/>
      <c r="D784" s="24"/>
      <c r="E784" s="24"/>
      <c r="F784" s="24"/>
      <c r="G784" s="24"/>
      <c r="H784" s="24"/>
      <c r="I784" s="24"/>
      <c r="J784" s="24"/>
      <c r="K784" s="24"/>
      <c r="L784" s="24"/>
      <c r="M784" s="24"/>
      <c r="N784" s="24"/>
      <c r="O784" s="24"/>
      <c r="P784" s="24"/>
      <c r="Q784" s="24"/>
      <c r="R784" s="24"/>
      <c r="S784" s="24"/>
      <c r="T784" s="24"/>
      <c r="U784" s="24"/>
      <c r="V784" s="24"/>
      <c r="W784" s="14"/>
    </row>
    <row r="785" ht="14.25" customHeight="1">
      <c r="A785" s="24"/>
      <c r="B785" s="24"/>
      <c r="C785" s="24"/>
      <c r="D785" s="24"/>
      <c r="E785" s="24"/>
      <c r="F785" s="24"/>
      <c r="G785" s="24"/>
      <c r="H785" s="24"/>
      <c r="I785" s="24"/>
      <c r="J785" s="24"/>
      <c r="K785" s="24"/>
      <c r="L785" s="24"/>
      <c r="M785" s="24"/>
      <c r="N785" s="24"/>
      <c r="O785" s="24"/>
      <c r="P785" s="24"/>
      <c r="Q785" s="24"/>
      <c r="R785" s="24"/>
      <c r="S785" s="24"/>
      <c r="T785" s="24"/>
      <c r="U785" s="24"/>
      <c r="V785" s="24"/>
      <c r="W785" s="14"/>
    </row>
    <row r="786" ht="14.25" customHeight="1">
      <c r="A786" s="24"/>
      <c r="B786" s="24"/>
      <c r="C786" s="24"/>
      <c r="D786" s="24"/>
      <c r="E786" s="24"/>
      <c r="F786" s="24"/>
      <c r="G786" s="24"/>
      <c r="H786" s="24"/>
      <c r="I786" s="24"/>
      <c r="J786" s="24"/>
      <c r="K786" s="24"/>
      <c r="L786" s="24"/>
      <c r="M786" s="24"/>
      <c r="N786" s="24"/>
      <c r="O786" s="24"/>
      <c r="P786" s="24"/>
      <c r="Q786" s="24"/>
      <c r="R786" s="24"/>
      <c r="S786" s="24"/>
      <c r="T786" s="24"/>
      <c r="U786" s="24"/>
      <c r="V786" s="24"/>
      <c r="W786" s="14"/>
    </row>
    <row r="787" ht="14.25" customHeight="1">
      <c r="A787" s="24"/>
      <c r="B787" s="24"/>
      <c r="C787" s="24"/>
      <c r="D787" s="24"/>
      <c r="E787" s="24"/>
      <c r="F787" s="24"/>
      <c r="G787" s="24"/>
      <c r="H787" s="24"/>
      <c r="I787" s="24"/>
      <c r="J787" s="24"/>
      <c r="K787" s="24"/>
      <c r="L787" s="24"/>
      <c r="M787" s="24"/>
      <c r="N787" s="24"/>
      <c r="O787" s="24"/>
      <c r="P787" s="24"/>
      <c r="Q787" s="24"/>
      <c r="R787" s="24"/>
      <c r="S787" s="24"/>
      <c r="T787" s="24"/>
      <c r="U787" s="24"/>
      <c r="V787" s="24"/>
      <c r="W787" s="14"/>
    </row>
    <row r="788" ht="14.25" customHeight="1">
      <c r="A788" s="24"/>
      <c r="B788" s="24"/>
      <c r="C788" s="24"/>
      <c r="D788" s="24"/>
      <c r="E788" s="24"/>
      <c r="F788" s="24"/>
      <c r="G788" s="24"/>
      <c r="H788" s="24"/>
      <c r="I788" s="24"/>
      <c r="J788" s="24"/>
      <c r="K788" s="24"/>
      <c r="L788" s="24"/>
      <c r="M788" s="24"/>
      <c r="N788" s="24"/>
      <c r="O788" s="24"/>
      <c r="P788" s="24"/>
      <c r="Q788" s="24"/>
      <c r="R788" s="24"/>
      <c r="S788" s="24"/>
      <c r="T788" s="24"/>
      <c r="U788" s="24"/>
      <c r="V788" s="24"/>
      <c r="W788" s="14"/>
    </row>
    <row r="789" ht="14.25" customHeight="1">
      <c r="A789" s="24"/>
      <c r="B789" s="24"/>
      <c r="C789" s="24"/>
      <c r="D789" s="24"/>
      <c r="E789" s="24"/>
      <c r="F789" s="24"/>
      <c r="G789" s="24"/>
      <c r="H789" s="24"/>
      <c r="I789" s="24"/>
      <c r="J789" s="24"/>
      <c r="K789" s="24"/>
      <c r="L789" s="24"/>
      <c r="M789" s="24"/>
      <c r="N789" s="24"/>
      <c r="O789" s="24"/>
      <c r="P789" s="24"/>
      <c r="Q789" s="24"/>
      <c r="R789" s="24"/>
      <c r="S789" s="24"/>
      <c r="T789" s="24"/>
      <c r="U789" s="24"/>
      <c r="V789" s="24"/>
      <c r="W789" s="14"/>
    </row>
    <row r="790" ht="14.25" customHeight="1">
      <c r="A790" s="24"/>
      <c r="B790" s="24"/>
      <c r="C790" s="24"/>
      <c r="D790" s="24"/>
      <c r="E790" s="24"/>
      <c r="F790" s="24"/>
      <c r="G790" s="24"/>
      <c r="H790" s="24"/>
      <c r="I790" s="24"/>
      <c r="J790" s="24"/>
      <c r="K790" s="24"/>
      <c r="L790" s="24"/>
      <c r="M790" s="24"/>
      <c r="N790" s="24"/>
      <c r="O790" s="24"/>
      <c r="P790" s="24"/>
      <c r="Q790" s="24"/>
      <c r="R790" s="24"/>
      <c r="S790" s="24"/>
      <c r="T790" s="24"/>
      <c r="U790" s="24"/>
      <c r="V790" s="24"/>
      <c r="W790" s="14"/>
    </row>
    <row r="791" ht="14.25" customHeight="1">
      <c r="A791" s="24"/>
      <c r="B791" s="24"/>
      <c r="C791" s="24"/>
      <c r="D791" s="24"/>
      <c r="E791" s="24"/>
      <c r="F791" s="24"/>
      <c r="G791" s="24"/>
      <c r="H791" s="24"/>
      <c r="I791" s="24"/>
      <c r="J791" s="24"/>
      <c r="K791" s="24"/>
      <c r="L791" s="24"/>
      <c r="M791" s="24"/>
      <c r="N791" s="24"/>
      <c r="O791" s="24"/>
      <c r="P791" s="24"/>
      <c r="Q791" s="24"/>
      <c r="R791" s="24"/>
      <c r="S791" s="24"/>
      <c r="T791" s="24"/>
      <c r="U791" s="24"/>
      <c r="V791" s="24"/>
      <c r="W791" s="14"/>
    </row>
    <row r="792" ht="14.25" customHeight="1">
      <c r="A792" s="24"/>
      <c r="B792" s="24"/>
      <c r="C792" s="24"/>
      <c r="D792" s="24"/>
      <c r="E792" s="24"/>
      <c r="F792" s="24"/>
      <c r="G792" s="24"/>
      <c r="H792" s="24"/>
      <c r="I792" s="24"/>
      <c r="J792" s="24"/>
      <c r="K792" s="24"/>
      <c r="L792" s="24"/>
      <c r="M792" s="24"/>
      <c r="N792" s="24"/>
      <c r="O792" s="24"/>
      <c r="P792" s="24"/>
      <c r="Q792" s="24"/>
      <c r="R792" s="24"/>
      <c r="S792" s="24"/>
      <c r="T792" s="24"/>
      <c r="U792" s="24"/>
      <c r="V792" s="24"/>
      <c r="W792" s="14"/>
    </row>
    <row r="793" ht="14.25" customHeight="1">
      <c r="A793" s="24"/>
      <c r="B793" s="24"/>
      <c r="C793" s="24"/>
      <c r="D793" s="24"/>
      <c r="E793" s="24"/>
      <c r="F793" s="24"/>
      <c r="G793" s="24"/>
      <c r="H793" s="24"/>
      <c r="I793" s="24"/>
      <c r="J793" s="24"/>
      <c r="K793" s="24"/>
      <c r="L793" s="24"/>
      <c r="M793" s="24"/>
      <c r="N793" s="24"/>
      <c r="O793" s="24"/>
      <c r="P793" s="24"/>
      <c r="Q793" s="24"/>
      <c r="R793" s="24"/>
      <c r="S793" s="24"/>
      <c r="T793" s="24"/>
      <c r="U793" s="24"/>
      <c r="V793" s="24"/>
      <c r="W793" s="14"/>
    </row>
    <row r="794" ht="14.25" customHeight="1">
      <c r="A794" s="24"/>
      <c r="B794" s="24"/>
      <c r="C794" s="24"/>
      <c r="D794" s="24"/>
      <c r="E794" s="24"/>
      <c r="F794" s="24"/>
      <c r="G794" s="24"/>
      <c r="H794" s="24"/>
      <c r="I794" s="24"/>
      <c r="J794" s="24"/>
      <c r="K794" s="24"/>
      <c r="L794" s="24"/>
      <c r="M794" s="24"/>
      <c r="N794" s="24"/>
      <c r="O794" s="24"/>
      <c r="P794" s="24"/>
      <c r="Q794" s="24"/>
      <c r="R794" s="24"/>
      <c r="S794" s="24"/>
      <c r="T794" s="24"/>
      <c r="U794" s="24"/>
      <c r="V794" s="24"/>
      <c r="W794" s="14"/>
    </row>
    <row r="795" ht="14.25" customHeight="1">
      <c r="A795" s="24"/>
      <c r="B795" s="24"/>
      <c r="C795" s="24"/>
      <c r="D795" s="24"/>
      <c r="E795" s="24"/>
      <c r="F795" s="24"/>
      <c r="G795" s="24"/>
      <c r="H795" s="24"/>
      <c r="I795" s="24"/>
      <c r="J795" s="24"/>
      <c r="K795" s="24"/>
      <c r="L795" s="24"/>
      <c r="M795" s="24"/>
      <c r="N795" s="24"/>
      <c r="O795" s="24"/>
      <c r="P795" s="24"/>
      <c r="Q795" s="24"/>
      <c r="R795" s="24"/>
      <c r="S795" s="24"/>
      <c r="T795" s="24"/>
      <c r="U795" s="24"/>
      <c r="V795" s="24"/>
      <c r="W795" s="14"/>
    </row>
    <row r="796" ht="14.25" customHeight="1">
      <c r="A796" s="24"/>
      <c r="B796" s="24"/>
      <c r="C796" s="24"/>
      <c r="D796" s="24"/>
      <c r="E796" s="24"/>
      <c r="F796" s="24"/>
      <c r="G796" s="24"/>
      <c r="H796" s="24"/>
      <c r="I796" s="24"/>
      <c r="J796" s="24"/>
      <c r="K796" s="24"/>
      <c r="L796" s="24"/>
      <c r="M796" s="24"/>
      <c r="N796" s="24"/>
      <c r="O796" s="24"/>
      <c r="P796" s="24"/>
      <c r="Q796" s="24"/>
      <c r="R796" s="24"/>
      <c r="S796" s="24"/>
      <c r="T796" s="24"/>
      <c r="U796" s="24"/>
      <c r="V796" s="24"/>
      <c r="W796" s="14"/>
    </row>
    <row r="797" ht="14.25" customHeight="1">
      <c r="A797" s="24"/>
      <c r="B797" s="24"/>
      <c r="C797" s="24"/>
      <c r="D797" s="24"/>
      <c r="E797" s="24"/>
      <c r="F797" s="24"/>
      <c r="G797" s="24"/>
      <c r="H797" s="24"/>
      <c r="I797" s="24"/>
      <c r="J797" s="24"/>
      <c r="K797" s="24"/>
      <c r="L797" s="24"/>
      <c r="M797" s="24"/>
      <c r="N797" s="24"/>
      <c r="O797" s="24"/>
      <c r="P797" s="24"/>
      <c r="Q797" s="24"/>
      <c r="R797" s="24"/>
      <c r="S797" s="24"/>
      <c r="T797" s="24"/>
      <c r="U797" s="24"/>
      <c r="V797" s="24"/>
      <c r="W797" s="14"/>
    </row>
    <row r="798" ht="14.25" customHeight="1">
      <c r="A798" s="24"/>
      <c r="B798" s="24"/>
      <c r="C798" s="24"/>
      <c r="D798" s="24"/>
      <c r="E798" s="24"/>
      <c r="F798" s="24"/>
      <c r="G798" s="24"/>
      <c r="H798" s="24"/>
      <c r="I798" s="24"/>
      <c r="J798" s="24"/>
      <c r="K798" s="24"/>
      <c r="L798" s="24"/>
      <c r="M798" s="24"/>
      <c r="N798" s="24"/>
      <c r="O798" s="24"/>
      <c r="P798" s="24"/>
      <c r="Q798" s="24"/>
      <c r="R798" s="24"/>
      <c r="S798" s="24"/>
      <c r="T798" s="24"/>
      <c r="U798" s="24"/>
      <c r="V798" s="24"/>
      <c r="W798" s="14"/>
    </row>
    <row r="799" ht="14.25" customHeight="1">
      <c r="A799" s="24"/>
      <c r="B799" s="24"/>
      <c r="C799" s="24"/>
      <c r="D799" s="24"/>
      <c r="E799" s="24"/>
      <c r="F799" s="24"/>
      <c r="G799" s="24"/>
      <c r="H799" s="24"/>
      <c r="I799" s="24"/>
      <c r="J799" s="24"/>
      <c r="K799" s="24"/>
      <c r="L799" s="24"/>
      <c r="M799" s="24"/>
      <c r="N799" s="24"/>
      <c r="O799" s="24"/>
      <c r="P799" s="24"/>
      <c r="Q799" s="24"/>
      <c r="R799" s="24"/>
      <c r="S799" s="24"/>
      <c r="T799" s="24"/>
      <c r="U799" s="24"/>
      <c r="V799" s="24"/>
      <c r="W799" s="14"/>
    </row>
    <row r="800" ht="14.25" customHeight="1">
      <c r="A800" s="24"/>
      <c r="B800" s="24"/>
      <c r="C800" s="24"/>
      <c r="D800" s="24"/>
      <c r="E800" s="24"/>
      <c r="F800" s="24"/>
      <c r="G800" s="24"/>
      <c r="H800" s="24"/>
      <c r="I800" s="24"/>
      <c r="J800" s="24"/>
      <c r="K800" s="24"/>
      <c r="L800" s="24"/>
      <c r="M800" s="24"/>
      <c r="N800" s="24"/>
      <c r="O800" s="24"/>
      <c r="P800" s="24"/>
      <c r="Q800" s="24"/>
      <c r="R800" s="24"/>
      <c r="S800" s="24"/>
      <c r="T800" s="24"/>
      <c r="U800" s="24"/>
      <c r="V800" s="24"/>
      <c r="W800" s="14"/>
    </row>
    <row r="801" ht="14.25" customHeight="1">
      <c r="A801" s="24"/>
      <c r="B801" s="24"/>
      <c r="C801" s="24"/>
      <c r="D801" s="24"/>
      <c r="E801" s="24"/>
      <c r="F801" s="24"/>
      <c r="G801" s="24"/>
      <c r="H801" s="24"/>
      <c r="I801" s="24"/>
      <c r="J801" s="24"/>
      <c r="K801" s="24"/>
      <c r="L801" s="24"/>
      <c r="M801" s="24"/>
      <c r="N801" s="24"/>
      <c r="O801" s="24"/>
      <c r="P801" s="24"/>
      <c r="Q801" s="24"/>
      <c r="R801" s="24"/>
      <c r="S801" s="24"/>
      <c r="T801" s="24"/>
      <c r="U801" s="24"/>
      <c r="V801" s="24"/>
      <c r="W801" s="14"/>
    </row>
    <row r="802" ht="14.25" customHeight="1">
      <c r="A802" s="24"/>
      <c r="B802" s="24"/>
      <c r="C802" s="24"/>
      <c r="D802" s="24"/>
      <c r="E802" s="24"/>
      <c r="F802" s="24"/>
      <c r="G802" s="24"/>
      <c r="H802" s="24"/>
      <c r="I802" s="24"/>
      <c r="J802" s="24"/>
      <c r="K802" s="24"/>
      <c r="L802" s="24"/>
      <c r="M802" s="24"/>
      <c r="N802" s="24"/>
      <c r="O802" s="24"/>
      <c r="P802" s="24"/>
      <c r="Q802" s="24"/>
      <c r="R802" s="24"/>
      <c r="S802" s="24"/>
      <c r="T802" s="24"/>
      <c r="U802" s="24"/>
      <c r="V802" s="24"/>
      <c r="W802" s="14"/>
    </row>
    <row r="803" ht="14.25" customHeight="1">
      <c r="A803" s="24"/>
      <c r="B803" s="24"/>
      <c r="C803" s="24"/>
      <c r="D803" s="24"/>
      <c r="E803" s="24"/>
      <c r="F803" s="24"/>
      <c r="G803" s="24"/>
      <c r="H803" s="24"/>
      <c r="I803" s="24"/>
      <c r="J803" s="24"/>
      <c r="K803" s="24"/>
      <c r="L803" s="24"/>
      <c r="M803" s="24"/>
      <c r="N803" s="24"/>
      <c r="O803" s="24"/>
      <c r="P803" s="24"/>
      <c r="Q803" s="24"/>
      <c r="R803" s="24"/>
      <c r="S803" s="24"/>
      <c r="T803" s="24"/>
      <c r="U803" s="24"/>
      <c r="V803" s="24"/>
      <c r="W803" s="14"/>
    </row>
    <row r="804" ht="14.25" customHeight="1">
      <c r="A804" s="24"/>
      <c r="B804" s="24"/>
      <c r="C804" s="24"/>
      <c r="D804" s="24"/>
      <c r="E804" s="24"/>
      <c r="F804" s="24"/>
      <c r="G804" s="24"/>
      <c r="H804" s="24"/>
      <c r="I804" s="24"/>
      <c r="J804" s="24"/>
      <c r="K804" s="24"/>
      <c r="L804" s="24"/>
      <c r="M804" s="24"/>
      <c r="N804" s="24"/>
      <c r="O804" s="24"/>
      <c r="P804" s="24"/>
      <c r="Q804" s="24"/>
      <c r="R804" s="24"/>
      <c r="S804" s="24"/>
      <c r="T804" s="24"/>
      <c r="U804" s="24"/>
      <c r="V804" s="24"/>
      <c r="W804" s="14"/>
    </row>
    <row r="805" ht="14.25" customHeight="1">
      <c r="A805" s="24"/>
      <c r="B805" s="24"/>
      <c r="C805" s="24"/>
      <c r="D805" s="24"/>
      <c r="E805" s="24"/>
      <c r="F805" s="24"/>
      <c r="G805" s="24"/>
      <c r="H805" s="24"/>
      <c r="I805" s="24"/>
      <c r="J805" s="24"/>
      <c r="K805" s="24"/>
      <c r="L805" s="24"/>
      <c r="M805" s="24"/>
      <c r="N805" s="24"/>
      <c r="O805" s="24"/>
      <c r="P805" s="24"/>
      <c r="Q805" s="24"/>
      <c r="R805" s="24"/>
      <c r="S805" s="24"/>
      <c r="T805" s="24"/>
      <c r="U805" s="24"/>
      <c r="V805" s="24"/>
      <c r="W805" s="14"/>
    </row>
    <row r="806" ht="14.25" customHeight="1">
      <c r="A806" s="24"/>
      <c r="B806" s="24"/>
      <c r="C806" s="24"/>
      <c r="D806" s="24"/>
      <c r="E806" s="24"/>
      <c r="F806" s="24"/>
      <c r="G806" s="24"/>
      <c r="H806" s="24"/>
      <c r="I806" s="24"/>
      <c r="J806" s="24"/>
      <c r="K806" s="24"/>
      <c r="L806" s="24"/>
      <c r="M806" s="24"/>
      <c r="N806" s="24"/>
      <c r="O806" s="24"/>
      <c r="P806" s="24"/>
      <c r="Q806" s="24"/>
      <c r="R806" s="24"/>
      <c r="S806" s="24"/>
      <c r="T806" s="24"/>
      <c r="U806" s="24"/>
      <c r="V806" s="24"/>
      <c r="W806" s="14"/>
    </row>
    <row r="807" ht="14.25" customHeight="1">
      <c r="A807" s="24"/>
      <c r="B807" s="24"/>
      <c r="C807" s="24"/>
      <c r="D807" s="24"/>
      <c r="E807" s="24"/>
      <c r="F807" s="24"/>
      <c r="G807" s="24"/>
      <c r="H807" s="24"/>
      <c r="I807" s="24"/>
      <c r="J807" s="24"/>
      <c r="K807" s="24"/>
      <c r="L807" s="24"/>
      <c r="M807" s="24"/>
      <c r="N807" s="24"/>
      <c r="O807" s="24"/>
      <c r="P807" s="24"/>
      <c r="Q807" s="24"/>
      <c r="R807" s="24"/>
      <c r="S807" s="24"/>
      <c r="T807" s="24"/>
      <c r="U807" s="24"/>
      <c r="V807" s="24"/>
      <c r="W807" s="14"/>
    </row>
    <row r="808" ht="14.25" customHeight="1">
      <c r="A808" s="24"/>
      <c r="B808" s="24"/>
      <c r="C808" s="24"/>
      <c r="D808" s="24"/>
      <c r="E808" s="24"/>
      <c r="F808" s="24"/>
      <c r="G808" s="24"/>
      <c r="H808" s="24"/>
      <c r="I808" s="24"/>
      <c r="J808" s="24"/>
      <c r="K808" s="24"/>
      <c r="L808" s="24"/>
      <c r="M808" s="24"/>
      <c r="N808" s="24"/>
      <c r="O808" s="24"/>
      <c r="P808" s="24"/>
      <c r="Q808" s="24"/>
      <c r="R808" s="24"/>
      <c r="S808" s="24"/>
      <c r="T808" s="24"/>
      <c r="U808" s="24"/>
      <c r="V808" s="24"/>
      <c r="W808" s="14"/>
    </row>
    <row r="809" ht="14.25" customHeight="1">
      <c r="A809" s="24"/>
      <c r="B809" s="24"/>
      <c r="C809" s="24"/>
      <c r="D809" s="24"/>
      <c r="E809" s="24"/>
      <c r="F809" s="24"/>
      <c r="G809" s="24"/>
      <c r="H809" s="24"/>
      <c r="I809" s="24"/>
      <c r="J809" s="24"/>
      <c r="K809" s="24"/>
      <c r="L809" s="24"/>
      <c r="M809" s="24"/>
      <c r="N809" s="24"/>
      <c r="O809" s="24"/>
      <c r="P809" s="24"/>
      <c r="Q809" s="24"/>
      <c r="R809" s="24"/>
      <c r="S809" s="24"/>
      <c r="T809" s="24"/>
      <c r="U809" s="24"/>
      <c r="V809" s="24"/>
      <c r="W809" s="14"/>
    </row>
    <row r="810" ht="14.25" customHeight="1">
      <c r="A810" s="24"/>
      <c r="B810" s="24"/>
      <c r="C810" s="24"/>
      <c r="D810" s="24"/>
      <c r="E810" s="24"/>
      <c r="F810" s="24"/>
      <c r="G810" s="24"/>
      <c r="H810" s="24"/>
      <c r="I810" s="24"/>
      <c r="J810" s="24"/>
      <c r="K810" s="24"/>
      <c r="L810" s="24"/>
      <c r="M810" s="24"/>
      <c r="N810" s="24"/>
      <c r="O810" s="24"/>
      <c r="P810" s="24"/>
      <c r="Q810" s="24"/>
      <c r="R810" s="24"/>
      <c r="S810" s="24"/>
      <c r="T810" s="24"/>
      <c r="U810" s="24"/>
      <c r="V810" s="24"/>
      <c r="W810" s="14"/>
    </row>
    <row r="811" ht="14.25" customHeight="1">
      <c r="A811" s="24"/>
      <c r="B811" s="24"/>
      <c r="C811" s="24"/>
      <c r="D811" s="24"/>
      <c r="E811" s="24"/>
      <c r="F811" s="24"/>
      <c r="G811" s="24"/>
      <c r="H811" s="24"/>
      <c r="I811" s="24"/>
      <c r="J811" s="24"/>
      <c r="K811" s="24"/>
      <c r="L811" s="24"/>
      <c r="M811" s="24"/>
      <c r="N811" s="24"/>
      <c r="O811" s="24"/>
      <c r="P811" s="24"/>
      <c r="Q811" s="24"/>
      <c r="R811" s="24"/>
      <c r="S811" s="24"/>
      <c r="T811" s="24"/>
      <c r="U811" s="24"/>
      <c r="V811" s="24"/>
      <c r="W811" s="14"/>
    </row>
    <row r="812" ht="14.25" customHeight="1">
      <c r="A812" s="24"/>
      <c r="B812" s="24"/>
      <c r="C812" s="24"/>
      <c r="D812" s="24"/>
      <c r="E812" s="24"/>
      <c r="F812" s="24"/>
      <c r="G812" s="24"/>
      <c r="H812" s="24"/>
      <c r="I812" s="24"/>
      <c r="J812" s="24"/>
      <c r="K812" s="24"/>
      <c r="L812" s="24"/>
      <c r="M812" s="24"/>
      <c r="N812" s="24"/>
      <c r="O812" s="24"/>
      <c r="P812" s="24"/>
      <c r="Q812" s="24"/>
      <c r="R812" s="24"/>
      <c r="S812" s="24"/>
      <c r="T812" s="24"/>
      <c r="U812" s="24"/>
      <c r="V812" s="24"/>
      <c r="W812" s="14"/>
    </row>
    <row r="813" ht="14.25" customHeight="1">
      <c r="A813" s="24"/>
      <c r="B813" s="24"/>
      <c r="C813" s="24"/>
      <c r="D813" s="24"/>
      <c r="E813" s="24"/>
      <c r="F813" s="24"/>
      <c r="G813" s="24"/>
      <c r="H813" s="24"/>
      <c r="I813" s="24"/>
      <c r="J813" s="24"/>
      <c r="K813" s="24"/>
      <c r="L813" s="24"/>
      <c r="M813" s="24"/>
      <c r="N813" s="24"/>
      <c r="O813" s="24"/>
      <c r="P813" s="24"/>
      <c r="Q813" s="24"/>
      <c r="R813" s="24"/>
      <c r="S813" s="24"/>
      <c r="T813" s="24"/>
      <c r="U813" s="24"/>
      <c r="V813" s="24"/>
      <c r="W813" s="14"/>
    </row>
    <row r="814" ht="14.25" customHeight="1">
      <c r="A814" s="24"/>
      <c r="B814" s="24"/>
      <c r="C814" s="24"/>
      <c r="D814" s="24"/>
      <c r="E814" s="24"/>
      <c r="F814" s="24"/>
      <c r="G814" s="24"/>
      <c r="H814" s="24"/>
      <c r="I814" s="24"/>
      <c r="J814" s="24"/>
      <c r="K814" s="24"/>
      <c r="L814" s="24"/>
      <c r="M814" s="24"/>
      <c r="N814" s="24"/>
      <c r="O814" s="24"/>
      <c r="P814" s="24"/>
      <c r="Q814" s="24"/>
      <c r="R814" s="24"/>
      <c r="S814" s="24"/>
      <c r="T814" s="24"/>
      <c r="U814" s="24"/>
      <c r="V814" s="24"/>
      <c r="W814" s="14"/>
    </row>
    <row r="815" ht="14.25" customHeight="1">
      <c r="A815" s="24"/>
      <c r="B815" s="24"/>
      <c r="C815" s="24"/>
      <c r="D815" s="24"/>
      <c r="E815" s="24"/>
      <c r="F815" s="24"/>
      <c r="G815" s="24"/>
      <c r="H815" s="24"/>
      <c r="I815" s="24"/>
      <c r="J815" s="24"/>
      <c r="K815" s="24"/>
      <c r="L815" s="24"/>
      <c r="M815" s="24"/>
      <c r="N815" s="24"/>
      <c r="O815" s="24"/>
      <c r="P815" s="24"/>
      <c r="Q815" s="24"/>
      <c r="R815" s="24"/>
      <c r="S815" s="24"/>
      <c r="T815" s="24"/>
      <c r="U815" s="24"/>
      <c r="V815" s="24"/>
      <c r="W815" s="14"/>
    </row>
    <row r="816" ht="14.25" customHeight="1">
      <c r="A816" s="24"/>
      <c r="B816" s="24"/>
      <c r="C816" s="24"/>
      <c r="D816" s="24"/>
      <c r="E816" s="24"/>
      <c r="F816" s="24"/>
      <c r="G816" s="24"/>
      <c r="H816" s="24"/>
      <c r="I816" s="24"/>
      <c r="J816" s="24"/>
      <c r="K816" s="24"/>
      <c r="L816" s="24"/>
      <c r="M816" s="24"/>
      <c r="N816" s="24"/>
      <c r="O816" s="24"/>
      <c r="P816" s="24"/>
      <c r="Q816" s="24"/>
      <c r="R816" s="24"/>
      <c r="S816" s="24"/>
      <c r="T816" s="24"/>
      <c r="U816" s="24"/>
      <c r="V816" s="24"/>
      <c r="W816" s="14"/>
    </row>
    <row r="817" ht="14.25" customHeight="1">
      <c r="A817" s="24"/>
      <c r="B817" s="24"/>
      <c r="C817" s="24"/>
      <c r="D817" s="24"/>
      <c r="E817" s="24"/>
      <c r="F817" s="24"/>
      <c r="G817" s="24"/>
      <c r="H817" s="24"/>
      <c r="I817" s="24"/>
      <c r="J817" s="24"/>
      <c r="K817" s="24"/>
      <c r="L817" s="24"/>
      <c r="M817" s="24"/>
      <c r="N817" s="24"/>
      <c r="O817" s="24"/>
      <c r="P817" s="24"/>
      <c r="Q817" s="24"/>
      <c r="R817" s="24"/>
      <c r="S817" s="24"/>
      <c r="T817" s="24"/>
      <c r="U817" s="24"/>
      <c r="V817" s="24"/>
      <c r="W817" s="14"/>
    </row>
    <row r="818" ht="14.25" customHeight="1">
      <c r="A818" s="24"/>
      <c r="B818" s="24"/>
      <c r="C818" s="24"/>
      <c r="D818" s="24"/>
      <c r="E818" s="24"/>
      <c r="F818" s="24"/>
      <c r="G818" s="24"/>
      <c r="H818" s="24"/>
      <c r="I818" s="24"/>
      <c r="J818" s="24"/>
      <c r="K818" s="24"/>
      <c r="L818" s="24"/>
      <c r="M818" s="24"/>
      <c r="N818" s="24"/>
      <c r="O818" s="24"/>
      <c r="P818" s="24"/>
      <c r="Q818" s="24"/>
      <c r="R818" s="24"/>
      <c r="S818" s="24"/>
      <c r="T818" s="24"/>
      <c r="U818" s="24"/>
      <c r="V818" s="24"/>
      <c r="W818" s="14"/>
    </row>
    <row r="819" ht="14.25" customHeight="1">
      <c r="A819" s="24"/>
      <c r="B819" s="24"/>
      <c r="C819" s="24"/>
      <c r="D819" s="24"/>
      <c r="E819" s="24"/>
      <c r="F819" s="24"/>
      <c r="G819" s="24"/>
      <c r="H819" s="24"/>
      <c r="I819" s="24"/>
      <c r="J819" s="24"/>
      <c r="K819" s="24"/>
      <c r="L819" s="24"/>
      <c r="M819" s="24"/>
      <c r="N819" s="24"/>
      <c r="O819" s="24"/>
      <c r="P819" s="24"/>
      <c r="Q819" s="24"/>
      <c r="R819" s="24"/>
      <c r="S819" s="24"/>
      <c r="T819" s="24"/>
      <c r="U819" s="24"/>
      <c r="V819" s="24"/>
      <c r="W819" s="14"/>
    </row>
    <row r="820" ht="14.25" customHeight="1">
      <c r="A820" s="24"/>
      <c r="B820" s="24"/>
      <c r="C820" s="24"/>
      <c r="D820" s="24"/>
      <c r="E820" s="24"/>
      <c r="F820" s="24"/>
      <c r="G820" s="24"/>
      <c r="H820" s="24"/>
      <c r="I820" s="24"/>
      <c r="J820" s="24"/>
      <c r="K820" s="24"/>
      <c r="L820" s="24"/>
      <c r="M820" s="24"/>
      <c r="N820" s="24"/>
      <c r="O820" s="24"/>
      <c r="P820" s="24"/>
      <c r="Q820" s="24"/>
      <c r="R820" s="24"/>
      <c r="S820" s="24"/>
      <c r="T820" s="24"/>
      <c r="U820" s="24"/>
      <c r="V820" s="24"/>
      <c r="W820" s="14"/>
    </row>
    <row r="821" ht="14.25" customHeight="1">
      <c r="A821" s="24"/>
      <c r="B821" s="24"/>
      <c r="C821" s="24"/>
      <c r="D821" s="24"/>
      <c r="E821" s="24"/>
      <c r="F821" s="24"/>
      <c r="G821" s="24"/>
      <c r="H821" s="24"/>
      <c r="I821" s="24"/>
      <c r="J821" s="24"/>
      <c r="K821" s="24"/>
      <c r="L821" s="24"/>
      <c r="M821" s="24"/>
      <c r="N821" s="24"/>
      <c r="O821" s="24"/>
      <c r="P821" s="24"/>
      <c r="Q821" s="24"/>
      <c r="R821" s="24"/>
      <c r="S821" s="24"/>
      <c r="T821" s="24"/>
      <c r="U821" s="24"/>
      <c r="V821" s="24"/>
      <c r="W821" s="14"/>
    </row>
    <row r="822" ht="14.25" customHeight="1">
      <c r="A822" s="24"/>
      <c r="B822" s="24"/>
      <c r="C822" s="24"/>
      <c r="D822" s="24"/>
      <c r="E822" s="24"/>
      <c r="F822" s="24"/>
      <c r="G822" s="24"/>
      <c r="H822" s="24"/>
      <c r="I822" s="24"/>
      <c r="J822" s="24"/>
      <c r="K822" s="24"/>
      <c r="L822" s="24"/>
      <c r="M822" s="24"/>
      <c r="N822" s="24"/>
      <c r="O822" s="24"/>
      <c r="P822" s="24"/>
      <c r="Q822" s="24"/>
      <c r="R822" s="24"/>
      <c r="S822" s="24"/>
      <c r="T822" s="24"/>
      <c r="U822" s="24"/>
      <c r="V822" s="24"/>
      <c r="W822" s="14"/>
    </row>
    <row r="823" ht="14.25" customHeight="1">
      <c r="A823" s="24"/>
      <c r="B823" s="24"/>
      <c r="C823" s="24"/>
      <c r="D823" s="24"/>
      <c r="E823" s="24"/>
      <c r="F823" s="24"/>
      <c r="G823" s="24"/>
      <c r="H823" s="24"/>
      <c r="I823" s="24"/>
      <c r="J823" s="24"/>
      <c r="K823" s="24"/>
      <c r="L823" s="24"/>
      <c r="M823" s="24"/>
      <c r="N823" s="24"/>
      <c r="O823" s="24"/>
      <c r="P823" s="24"/>
      <c r="Q823" s="24"/>
      <c r="R823" s="24"/>
      <c r="S823" s="24"/>
      <c r="T823" s="24"/>
      <c r="U823" s="24"/>
      <c r="V823" s="24"/>
      <c r="W823" s="14"/>
    </row>
    <row r="824" ht="14.25" customHeight="1">
      <c r="A824" s="24"/>
      <c r="B824" s="24"/>
      <c r="C824" s="24"/>
      <c r="D824" s="24"/>
      <c r="E824" s="24"/>
      <c r="F824" s="24"/>
      <c r="G824" s="24"/>
      <c r="H824" s="24"/>
      <c r="I824" s="24"/>
      <c r="J824" s="24"/>
      <c r="K824" s="24"/>
      <c r="L824" s="24"/>
      <c r="M824" s="24"/>
      <c r="N824" s="24"/>
      <c r="O824" s="24"/>
      <c r="P824" s="24"/>
      <c r="Q824" s="24"/>
      <c r="R824" s="24"/>
      <c r="S824" s="24"/>
      <c r="T824" s="24"/>
      <c r="U824" s="24"/>
      <c r="V824" s="24"/>
      <c r="W824" s="14"/>
    </row>
    <row r="825" ht="14.25" customHeight="1">
      <c r="A825" s="24"/>
      <c r="B825" s="24"/>
      <c r="C825" s="24"/>
      <c r="D825" s="24"/>
      <c r="E825" s="24"/>
      <c r="F825" s="24"/>
      <c r="G825" s="24"/>
      <c r="H825" s="24"/>
      <c r="I825" s="24"/>
      <c r="J825" s="24"/>
      <c r="K825" s="24"/>
      <c r="L825" s="24"/>
      <c r="M825" s="24"/>
      <c r="N825" s="24"/>
      <c r="O825" s="24"/>
      <c r="P825" s="24"/>
      <c r="Q825" s="24"/>
      <c r="R825" s="24"/>
      <c r="S825" s="24"/>
      <c r="T825" s="24"/>
      <c r="U825" s="24"/>
      <c r="V825" s="24"/>
      <c r="W825" s="14"/>
    </row>
    <row r="826" ht="14.25" customHeight="1">
      <c r="A826" s="24"/>
      <c r="B826" s="24"/>
      <c r="C826" s="24"/>
      <c r="D826" s="24"/>
      <c r="E826" s="24"/>
      <c r="F826" s="24"/>
      <c r="G826" s="24"/>
      <c r="H826" s="24"/>
      <c r="I826" s="24"/>
      <c r="J826" s="24"/>
      <c r="K826" s="24"/>
      <c r="L826" s="24"/>
      <c r="M826" s="24"/>
      <c r="N826" s="24"/>
      <c r="O826" s="24"/>
      <c r="P826" s="24"/>
      <c r="Q826" s="24"/>
      <c r="R826" s="24"/>
      <c r="S826" s="24"/>
      <c r="T826" s="24"/>
      <c r="U826" s="24"/>
      <c r="V826" s="24"/>
      <c r="W826" s="14"/>
    </row>
    <row r="827" ht="14.25" customHeight="1">
      <c r="A827" s="24"/>
      <c r="B827" s="24"/>
      <c r="C827" s="24"/>
      <c r="D827" s="24"/>
      <c r="E827" s="24"/>
      <c r="F827" s="24"/>
      <c r="G827" s="24"/>
      <c r="H827" s="24"/>
      <c r="I827" s="24"/>
      <c r="J827" s="24"/>
      <c r="K827" s="24"/>
      <c r="L827" s="24"/>
      <c r="M827" s="24"/>
      <c r="N827" s="24"/>
      <c r="O827" s="24"/>
      <c r="P827" s="24"/>
      <c r="Q827" s="24"/>
      <c r="R827" s="24"/>
      <c r="S827" s="24"/>
      <c r="T827" s="24"/>
      <c r="U827" s="24"/>
      <c r="V827" s="24"/>
      <c r="W827" s="14"/>
    </row>
    <row r="828" ht="14.25" customHeight="1">
      <c r="A828" s="24"/>
      <c r="B828" s="24"/>
      <c r="C828" s="24"/>
      <c r="D828" s="24"/>
      <c r="E828" s="24"/>
      <c r="F828" s="24"/>
      <c r="G828" s="24"/>
      <c r="H828" s="24"/>
      <c r="I828" s="24"/>
      <c r="J828" s="24"/>
      <c r="K828" s="24"/>
      <c r="L828" s="24"/>
      <c r="M828" s="24"/>
      <c r="N828" s="24"/>
      <c r="O828" s="24"/>
      <c r="P828" s="24"/>
      <c r="Q828" s="24"/>
      <c r="R828" s="24"/>
      <c r="S828" s="24"/>
      <c r="T828" s="24"/>
      <c r="U828" s="24"/>
      <c r="V828" s="24"/>
      <c r="W828" s="14"/>
    </row>
    <row r="829" ht="14.25" customHeight="1">
      <c r="A829" s="24"/>
      <c r="B829" s="24"/>
      <c r="C829" s="24"/>
      <c r="D829" s="24"/>
      <c r="E829" s="24"/>
      <c r="F829" s="24"/>
      <c r="G829" s="24"/>
      <c r="H829" s="24"/>
      <c r="I829" s="24"/>
      <c r="J829" s="24"/>
      <c r="K829" s="24"/>
      <c r="L829" s="24"/>
      <c r="M829" s="24"/>
      <c r="N829" s="24"/>
      <c r="O829" s="24"/>
      <c r="P829" s="24"/>
      <c r="Q829" s="24"/>
      <c r="R829" s="24"/>
      <c r="S829" s="24"/>
      <c r="T829" s="24"/>
      <c r="U829" s="24"/>
      <c r="V829" s="24"/>
      <c r="W829" s="14"/>
    </row>
    <row r="830" ht="14.25" customHeight="1">
      <c r="A830" s="24"/>
      <c r="B830" s="24"/>
      <c r="C830" s="24"/>
      <c r="D830" s="24"/>
      <c r="E830" s="24"/>
      <c r="F830" s="24"/>
      <c r="G830" s="24"/>
      <c r="H830" s="24"/>
      <c r="I830" s="24"/>
      <c r="J830" s="24"/>
      <c r="K830" s="24"/>
      <c r="L830" s="24"/>
      <c r="M830" s="24"/>
      <c r="N830" s="24"/>
      <c r="O830" s="24"/>
      <c r="P830" s="24"/>
      <c r="Q830" s="24"/>
      <c r="R830" s="24"/>
      <c r="S830" s="24"/>
      <c r="T830" s="24"/>
      <c r="U830" s="24"/>
      <c r="V830" s="24"/>
      <c r="W830" s="14"/>
    </row>
    <row r="831" ht="14.25" customHeight="1">
      <c r="A831" s="24"/>
      <c r="B831" s="24"/>
      <c r="C831" s="24"/>
      <c r="D831" s="24"/>
      <c r="E831" s="24"/>
      <c r="F831" s="24"/>
      <c r="G831" s="24"/>
      <c r="H831" s="24"/>
      <c r="I831" s="24"/>
      <c r="J831" s="24"/>
      <c r="K831" s="24"/>
      <c r="L831" s="24"/>
      <c r="M831" s="24"/>
      <c r="N831" s="24"/>
      <c r="O831" s="24"/>
      <c r="P831" s="24"/>
      <c r="Q831" s="24"/>
      <c r="R831" s="24"/>
      <c r="S831" s="24"/>
      <c r="T831" s="24"/>
      <c r="U831" s="24"/>
      <c r="V831" s="24"/>
      <c r="W831" s="14"/>
    </row>
    <row r="832" ht="14.25" customHeight="1">
      <c r="A832" s="24"/>
      <c r="B832" s="24"/>
      <c r="C832" s="24"/>
      <c r="D832" s="24"/>
      <c r="E832" s="24"/>
      <c r="F832" s="24"/>
      <c r="G832" s="24"/>
      <c r="H832" s="24"/>
      <c r="I832" s="24"/>
      <c r="J832" s="24"/>
      <c r="K832" s="24"/>
      <c r="L832" s="24"/>
      <c r="M832" s="24"/>
      <c r="N832" s="24"/>
      <c r="O832" s="24"/>
      <c r="P832" s="24"/>
      <c r="Q832" s="24"/>
      <c r="R832" s="24"/>
      <c r="S832" s="24"/>
      <c r="T832" s="24"/>
      <c r="U832" s="24"/>
      <c r="V832" s="24"/>
      <c r="W832" s="14"/>
    </row>
    <row r="833" ht="14.25" customHeight="1">
      <c r="A833" s="24"/>
      <c r="B833" s="24"/>
      <c r="C833" s="24"/>
      <c r="D833" s="24"/>
      <c r="E833" s="24"/>
      <c r="F833" s="24"/>
      <c r="G833" s="24"/>
      <c r="H833" s="24"/>
      <c r="I833" s="24"/>
      <c r="J833" s="24"/>
      <c r="K833" s="24"/>
      <c r="L833" s="24"/>
      <c r="M833" s="24"/>
      <c r="N833" s="24"/>
      <c r="O833" s="24"/>
      <c r="P833" s="24"/>
      <c r="Q833" s="24"/>
      <c r="R833" s="24"/>
      <c r="S833" s="24"/>
      <c r="T833" s="24"/>
      <c r="U833" s="24"/>
      <c r="V833" s="24"/>
      <c r="W833" s="14"/>
    </row>
    <row r="834" ht="14.25" customHeight="1">
      <c r="A834" s="24"/>
      <c r="B834" s="24"/>
      <c r="C834" s="24"/>
      <c r="D834" s="24"/>
      <c r="E834" s="24"/>
      <c r="F834" s="24"/>
      <c r="G834" s="24"/>
      <c r="H834" s="24"/>
      <c r="I834" s="24"/>
      <c r="J834" s="24"/>
      <c r="K834" s="24"/>
      <c r="L834" s="24"/>
      <c r="M834" s="24"/>
      <c r="N834" s="24"/>
      <c r="O834" s="24"/>
      <c r="P834" s="24"/>
      <c r="Q834" s="24"/>
      <c r="R834" s="24"/>
      <c r="S834" s="24"/>
      <c r="T834" s="24"/>
      <c r="U834" s="24"/>
      <c r="V834" s="24"/>
      <c r="W834" s="14"/>
    </row>
    <row r="835" ht="14.25" customHeight="1">
      <c r="A835" s="24"/>
      <c r="B835" s="24"/>
      <c r="C835" s="24"/>
      <c r="D835" s="24"/>
      <c r="E835" s="24"/>
      <c r="F835" s="24"/>
      <c r="G835" s="24"/>
      <c r="H835" s="24"/>
      <c r="I835" s="24"/>
      <c r="J835" s="24"/>
      <c r="K835" s="24"/>
      <c r="L835" s="24"/>
      <c r="M835" s="24"/>
      <c r="N835" s="24"/>
      <c r="O835" s="24"/>
      <c r="P835" s="24"/>
      <c r="Q835" s="24"/>
      <c r="R835" s="24"/>
      <c r="S835" s="24"/>
      <c r="T835" s="24"/>
      <c r="U835" s="24"/>
      <c r="V835" s="24"/>
      <c r="W835" s="14"/>
    </row>
    <row r="836" ht="14.25" customHeight="1">
      <c r="A836" s="24"/>
      <c r="B836" s="24"/>
      <c r="C836" s="24"/>
      <c r="D836" s="24"/>
      <c r="E836" s="24"/>
      <c r="F836" s="24"/>
      <c r="G836" s="24"/>
      <c r="H836" s="24"/>
      <c r="I836" s="24"/>
      <c r="J836" s="24"/>
      <c r="K836" s="24"/>
      <c r="L836" s="24"/>
      <c r="M836" s="24"/>
      <c r="N836" s="24"/>
      <c r="O836" s="24"/>
      <c r="P836" s="24"/>
      <c r="Q836" s="24"/>
      <c r="R836" s="24"/>
      <c r="S836" s="24"/>
      <c r="T836" s="24"/>
      <c r="U836" s="24"/>
      <c r="V836" s="24"/>
      <c r="W836" s="14"/>
    </row>
    <row r="837" ht="14.25" customHeight="1">
      <c r="A837" s="24"/>
      <c r="B837" s="24"/>
      <c r="C837" s="24"/>
      <c r="D837" s="24"/>
      <c r="E837" s="24"/>
      <c r="F837" s="24"/>
      <c r="G837" s="24"/>
      <c r="H837" s="24"/>
      <c r="I837" s="24"/>
      <c r="J837" s="24"/>
      <c r="K837" s="24"/>
      <c r="L837" s="24"/>
      <c r="M837" s="24"/>
      <c r="N837" s="24"/>
      <c r="O837" s="24"/>
      <c r="P837" s="24"/>
      <c r="Q837" s="24"/>
      <c r="R837" s="24"/>
      <c r="S837" s="24"/>
      <c r="T837" s="24"/>
      <c r="U837" s="24"/>
      <c r="V837" s="24"/>
      <c r="W837" s="14"/>
    </row>
    <row r="838" ht="14.25" customHeight="1">
      <c r="A838" s="24"/>
      <c r="B838" s="24"/>
      <c r="C838" s="24"/>
      <c r="D838" s="24"/>
      <c r="E838" s="24"/>
      <c r="F838" s="24"/>
      <c r="G838" s="24"/>
      <c r="H838" s="24"/>
      <c r="I838" s="24"/>
      <c r="J838" s="24"/>
      <c r="K838" s="24"/>
      <c r="L838" s="24"/>
      <c r="M838" s="24"/>
      <c r="N838" s="24"/>
      <c r="O838" s="24"/>
      <c r="P838" s="24"/>
      <c r="Q838" s="24"/>
      <c r="R838" s="24"/>
      <c r="S838" s="24"/>
      <c r="T838" s="24"/>
      <c r="U838" s="24"/>
      <c r="V838" s="24"/>
      <c r="W838" s="14"/>
    </row>
    <row r="839" ht="14.25" customHeight="1">
      <c r="A839" s="24"/>
      <c r="B839" s="24"/>
      <c r="C839" s="24"/>
      <c r="D839" s="24"/>
      <c r="E839" s="24"/>
      <c r="F839" s="24"/>
      <c r="G839" s="24"/>
      <c r="H839" s="24"/>
      <c r="I839" s="24"/>
      <c r="J839" s="24"/>
      <c r="K839" s="24"/>
      <c r="L839" s="24"/>
      <c r="M839" s="24"/>
      <c r="N839" s="24"/>
      <c r="O839" s="24"/>
      <c r="P839" s="24"/>
      <c r="Q839" s="24"/>
      <c r="R839" s="24"/>
      <c r="S839" s="24"/>
      <c r="T839" s="24"/>
      <c r="U839" s="24"/>
      <c r="V839" s="24"/>
      <c r="W839" s="14"/>
    </row>
    <row r="840" ht="14.25" customHeight="1">
      <c r="A840" s="24"/>
      <c r="B840" s="24"/>
      <c r="C840" s="24"/>
      <c r="D840" s="24"/>
      <c r="E840" s="24"/>
      <c r="F840" s="24"/>
      <c r="G840" s="24"/>
      <c r="H840" s="24"/>
      <c r="I840" s="24"/>
      <c r="J840" s="24"/>
      <c r="K840" s="24"/>
      <c r="L840" s="24"/>
      <c r="M840" s="24"/>
      <c r="N840" s="24"/>
      <c r="O840" s="24"/>
      <c r="P840" s="24"/>
      <c r="Q840" s="24"/>
      <c r="R840" s="24"/>
      <c r="S840" s="24"/>
      <c r="T840" s="24"/>
      <c r="U840" s="24"/>
      <c r="V840" s="24"/>
      <c r="W840" s="14"/>
    </row>
    <row r="841" ht="14.25" customHeight="1">
      <c r="A841" s="24"/>
      <c r="B841" s="24"/>
      <c r="C841" s="24"/>
      <c r="D841" s="24"/>
      <c r="E841" s="24"/>
      <c r="F841" s="24"/>
      <c r="G841" s="24"/>
      <c r="H841" s="24"/>
      <c r="I841" s="24"/>
      <c r="J841" s="24"/>
      <c r="K841" s="24"/>
      <c r="L841" s="24"/>
      <c r="M841" s="24"/>
      <c r="N841" s="24"/>
      <c r="O841" s="24"/>
      <c r="P841" s="24"/>
      <c r="Q841" s="24"/>
      <c r="R841" s="24"/>
      <c r="S841" s="24"/>
      <c r="T841" s="24"/>
      <c r="U841" s="24"/>
      <c r="V841" s="24"/>
      <c r="W841" s="14"/>
    </row>
    <row r="842" ht="14.25" customHeight="1">
      <c r="A842" s="24"/>
      <c r="B842" s="24"/>
      <c r="C842" s="24"/>
      <c r="D842" s="24"/>
      <c r="E842" s="24"/>
      <c r="F842" s="24"/>
      <c r="G842" s="24"/>
      <c r="H842" s="24"/>
      <c r="I842" s="24"/>
      <c r="J842" s="24"/>
      <c r="K842" s="24"/>
      <c r="L842" s="24"/>
      <c r="M842" s="24"/>
      <c r="N842" s="24"/>
      <c r="O842" s="24"/>
      <c r="P842" s="24"/>
      <c r="Q842" s="24"/>
      <c r="R842" s="24"/>
      <c r="S842" s="24"/>
      <c r="T842" s="24"/>
      <c r="U842" s="24"/>
      <c r="V842" s="24"/>
      <c r="W842" s="14"/>
    </row>
    <row r="843" ht="14.25" customHeight="1">
      <c r="A843" s="24"/>
      <c r="B843" s="24"/>
      <c r="C843" s="24"/>
      <c r="D843" s="24"/>
      <c r="E843" s="24"/>
      <c r="F843" s="24"/>
      <c r="G843" s="24"/>
      <c r="H843" s="24"/>
      <c r="I843" s="24"/>
      <c r="J843" s="24"/>
      <c r="K843" s="24"/>
      <c r="L843" s="24"/>
      <c r="M843" s="24"/>
      <c r="N843" s="24"/>
      <c r="O843" s="24"/>
      <c r="P843" s="24"/>
      <c r="Q843" s="24"/>
      <c r="R843" s="24"/>
      <c r="S843" s="24"/>
      <c r="T843" s="24"/>
      <c r="U843" s="24"/>
      <c r="V843" s="24"/>
      <c r="W843" s="14"/>
    </row>
    <row r="844" ht="14.25" customHeight="1">
      <c r="A844" s="24"/>
      <c r="B844" s="24"/>
      <c r="C844" s="24"/>
      <c r="D844" s="24"/>
      <c r="E844" s="24"/>
      <c r="F844" s="24"/>
      <c r="G844" s="24"/>
      <c r="H844" s="24"/>
      <c r="I844" s="24"/>
      <c r="J844" s="24"/>
      <c r="K844" s="24"/>
      <c r="L844" s="24"/>
      <c r="M844" s="24"/>
      <c r="N844" s="24"/>
      <c r="O844" s="24"/>
      <c r="P844" s="24"/>
      <c r="Q844" s="24"/>
      <c r="R844" s="24"/>
      <c r="S844" s="24"/>
      <c r="T844" s="24"/>
      <c r="U844" s="24"/>
      <c r="V844" s="24"/>
      <c r="W844" s="14"/>
    </row>
    <row r="845" ht="14.25" customHeight="1">
      <c r="A845" s="24"/>
      <c r="B845" s="24"/>
      <c r="C845" s="24"/>
      <c r="D845" s="24"/>
      <c r="E845" s="24"/>
      <c r="F845" s="24"/>
      <c r="G845" s="24"/>
      <c r="H845" s="24"/>
      <c r="I845" s="24"/>
      <c r="J845" s="24"/>
      <c r="K845" s="24"/>
      <c r="L845" s="24"/>
      <c r="M845" s="24"/>
      <c r="N845" s="24"/>
      <c r="O845" s="24"/>
      <c r="P845" s="24"/>
      <c r="Q845" s="24"/>
      <c r="R845" s="24"/>
      <c r="S845" s="24"/>
      <c r="T845" s="24"/>
      <c r="U845" s="24"/>
      <c r="V845" s="24"/>
      <c r="W845" s="14"/>
    </row>
    <row r="846" ht="14.25" customHeight="1">
      <c r="A846" s="24"/>
      <c r="B846" s="24"/>
      <c r="C846" s="24"/>
      <c r="D846" s="24"/>
      <c r="E846" s="24"/>
      <c r="F846" s="24"/>
      <c r="G846" s="24"/>
      <c r="H846" s="24"/>
      <c r="I846" s="24"/>
      <c r="J846" s="24"/>
      <c r="K846" s="24"/>
      <c r="L846" s="24"/>
      <c r="M846" s="24"/>
      <c r="N846" s="24"/>
      <c r="O846" s="24"/>
      <c r="P846" s="24"/>
      <c r="Q846" s="24"/>
      <c r="R846" s="24"/>
      <c r="S846" s="24"/>
      <c r="T846" s="24"/>
      <c r="U846" s="24"/>
      <c r="V846" s="24"/>
      <c r="W846" s="14"/>
    </row>
    <row r="847" ht="14.25" customHeight="1">
      <c r="A847" s="24"/>
      <c r="B847" s="24"/>
      <c r="C847" s="24"/>
      <c r="D847" s="24"/>
      <c r="E847" s="24"/>
      <c r="F847" s="24"/>
      <c r="G847" s="24"/>
      <c r="H847" s="24"/>
      <c r="I847" s="24"/>
      <c r="J847" s="24"/>
      <c r="K847" s="24"/>
      <c r="L847" s="24"/>
      <c r="M847" s="24"/>
      <c r="N847" s="24"/>
      <c r="O847" s="24"/>
      <c r="P847" s="24"/>
      <c r="Q847" s="24"/>
      <c r="R847" s="24"/>
      <c r="S847" s="24"/>
      <c r="T847" s="24"/>
      <c r="U847" s="24"/>
      <c r="V847" s="24"/>
      <c r="W847" s="14"/>
    </row>
    <row r="848" ht="14.25" customHeight="1">
      <c r="A848" s="24"/>
      <c r="B848" s="24"/>
      <c r="C848" s="24"/>
      <c r="D848" s="24"/>
      <c r="E848" s="24"/>
      <c r="F848" s="24"/>
      <c r="G848" s="24"/>
      <c r="H848" s="24"/>
      <c r="I848" s="24"/>
      <c r="J848" s="24"/>
      <c r="K848" s="24"/>
      <c r="L848" s="24"/>
      <c r="M848" s="24"/>
      <c r="N848" s="24"/>
      <c r="O848" s="24"/>
      <c r="P848" s="24"/>
      <c r="Q848" s="24"/>
      <c r="R848" s="24"/>
      <c r="S848" s="24"/>
      <c r="T848" s="24"/>
      <c r="U848" s="24"/>
      <c r="V848" s="24"/>
      <c r="W848" s="14"/>
    </row>
    <row r="849" ht="14.25" customHeight="1">
      <c r="A849" s="24"/>
      <c r="B849" s="24"/>
      <c r="C849" s="24"/>
      <c r="D849" s="24"/>
      <c r="E849" s="24"/>
      <c r="F849" s="24"/>
      <c r="G849" s="24"/>
      <c r="H849" s="24"/>
      <c r="I849" s="24"/>
      <c r="J849" s="24"/>
      <c r="K849" s="24"/>
      <c r="L849" s="24"/>
      <c r="M849" s="24"/>
      <c r="N849" s="24"/>
      <c r="O849" s="24"/>
      <c r="P849" s="24"/>
      <c r="Q849" s="24"/>
      <c r="R849" s="24"/>
      <c r="S849" s="24"/>
      <c r="T849" s="24"/>
      <c r="U849" s="24"/>
      <c r="V849" s="24"/>
      <c r="W849" s="14"/>
    </row>
    <row r="850" ht="14.25" customHeight="1">
      <c r="A850" s="24"/>
      <c r="B850" s="24"/>
      <c r="C850" s="24"/>
      <c r="D850" s="24"/>
      <c r="E850" s="24"/>
      <c r="F850" s="24"/>
      <c r="G850" s="24"/>
      <c r="H850" s="24"/>
      <c r="I850" s="24"/>
      <c r="J850" s="24"/>
      <c r="K850" s="24"/>
      <c r="L850" s="24"/>
      <c r="M850" s="24"/>
      <c r="N850" s="24"/>
      <c r="O850" s="24"/>
      <c r="P850" s="24"/>
      <c r="Q850" s="24"/>
      <c r="R850" s="24"/>
      <c r="S850" s="24"/>
      <c r="T850" s="24"/>
      <c r="U850" s="24"/>
      <c r="V850" s="24"/>
      <c r="W850" s="14"/>
    </row>
    <row r="851" ht="14.25" customHeight="1">
      <c r="A851" s="24"/>
      <c r="B851" s="24"/>
      <c r="C851" s="24"/>
      <c r="D851" s="24"/>
      <c r="E851" s="24"/>
      <c r="F851" s="24"/>
      <c r="G851" s="24"/>
      <c r="H851" s="24"/>
      <c r="I851" s="24"/>
      <c r="J851" s="24"/>
      <c r="K851" s="24"/>
      <c r="L851" s="24"/>
      <c r="M851" s="24"/>
      <c r="N851" s="24"/>
      <c r="O851" s="24"/>
      <c r="P851" s="24"/>
      <c r="Q851" s="24"/>
      <c r="R851" s="24"/>
      <c r="S851" s="24"/>
      <c r="T851" s="24"/>
      <c r="U851" s="24"/>
      <c r="V851" s="24"/>
      <c r="W851" s="14"/>
    </row>
    <row r="852" ht="14.25" customHeight="1">
      <c r="A852" s="24"/>
      <c r="B852" s="24"/>
      <c r="C852" s="24"/>
      <c r="D852" s="24"/>
      <c r="E852" s="24"/>
      <c r="F852" s="24"/>
      <c r="G852" s="24"/>
      <c r="H852" s="24"/>
      <c r="I852" s="24"/>
      <c r="J852" s="24"/>
      <c r="K852" s="24"/>
      <c r="L852" s="24"/>
      <c r="M852" s="24"/>
      <c r="N852" s="24"/>
      <c r="O852" s="24"/>
      <c r="P852" s="24"/>
      <c r="Q852" s="24"/>
      <c r="R852" s="24"/>
      <c r="S852" s="24"/>
      <c r="T852" s="24"/>
      <c r="U852" s="24"/>
      <c r="V852" s="24"/>
      <c r="W852" s="14"/>
    </row>
    <row r="853" ht="14.25" customHeight="1">
      <c r="A853" s="24"/>
      <c r="B853" s="24"/>
      <c r="C853" s="24"/>
      <c r="D853" s="24"/>
      <c r="E853" s="24"/>
      <c r="F853" s="24"/>
      <c r="G853" s="24"/>
      <c r="H853" s="24"/>
      <c r="I853" s="24"/>
      <c r="J853" s="24"/>
      <c r="K853" s="24"/>
      <c r="L853" s="24"/>
      <c r="M853" s="24"/>
      <c r="N853" s="24"/>
      <c r="O853" s="24"/>
      <c r="P853" s="24"/>
      <c r="Q853" s="24"/>
      <c r="R853" s="24"/>
      <c r="S853" s="24"/>
      <c r="T853" s="24"/>
      <c r="U853" s="24"/>
      <c r="V853" s="24"/>
      <c r="W853" s="14"/>
    </row>
    <row r="854" ht="14.25" customHeight="1">
      <c r="A854" s="24"/>
      <c r="B854" s="24"/>
      <c r="C854" s="24"/>
      <c r="D854" s="24"/>
      <c r="E854" s="24"/>
      <c r="F854" s="24"/>
      <c r="G854" s="24"/>
      <c r="H854" s="24"/>
      <c r="I854" s="24"/>
      <c r="J854" s="24"/>
      <c r="K854" s="24"/>
      <c r="L854" s="24"/>
      <c r="M854" s="24"/>
      <c r="N854" s="24"/>
      <c r="O854" s="24"/>
      <c r="P854" s="24"/>
      <c r="Q854" s="24"/>
      <c r="R854" s="24"/>
      <c r="S854" s="24"/>
      <c r="T854" s="24"/>
      <c r="U854" s="24"/>
      <c r="V854" s="24"/>
      <c r="W854" s="14"/>
    </row>
    <row r="855" ht="14.25" customHeight="1">
      <c r="A855" s="24"/>
      <c r="B855" s="24"/>
      <c r="C855" s="24"/>
      <c r="D855" s="24"/>
      <c r="E855" s="24"/>
      <c r="F855" s="24"/>
      <c r="G855" s="24"/>
      <c r="H855" s="24"/>
      <c r="I855" s="24"/>
      <c r="J855" s="24"/>
      <c r="K855" s="24"/>
      <c r="L855" s="24"/>
      <c r="M855" s="24"/>
      <c r="N855" s="24"/>
      <c r="O855" s="24"/>
      <c r="P855" s="24"/>
      <c r="Q855" s="24"/>
      <c r="R855" s="24"/>
      <c r="S855" s="24"/>
      <c r="T855" s="24"/>
      <c r="U855" s="24"/>
      <c r="V855" s="24"/>
      <c r="W855" s="14"/>
    </row>
    <row r="856" ht="14.25" customHeight="1">
      <c r="A856" s="24"/>
      <c r="B856" s="24"/>
      <c r="C856" s="24"/>
      <c r="D856" s="24"/>
      <c r="E856" s="24"/>
      <c r="F856" s="24"/>
      <c r="G856" s="24"/>
      <c r="H856" s="24"/>
      <c r="I856" s="24"/>
      <c r="J856" s="24"/>
      <c r="K856" s="24"/>
      <c r="L856" s="24"/>
      <c r="M856" s="24"/>
      <c r="N856" s="24"/>
      <c r="O856" s="24"/>
      <c r="P856" s="24"/>
      <c r="Q856" s="24"/>
      <c r="R856" s="24"/>
      <c r="S856" s="24"/>
      <c r="T856" s="24"/>
      <c r="U856" s="24"/>
      <c r="V856" s="24"/>
      <c r="W856" s="14"/>
    </row>
    <row r="857" ht="14.25" customHeight="1">
      <c r="A857" s="24"/>
      <c r="B857" s="24"/>
      <c r="C857" s="24"/>
      <c r="D857" s="24"/>
      <c r="E857" s="24"/>
      <c r="F857" s="24"/>
      <c r="G857" s="24"/>
      <c r="H857" s="24"/>
      <c r="I857" s="24"/>
      <c r="J857" s="24"/>
      <c r="K857" s="24"/>
      <c r="L857" s="24"/>
      <c r="M857" s="24"/>
      <c r="N857" s="24"/>
      <c r="O857" s="24"/>
      <c r="P857" s="24"/>
      <c r="Q857" s="24"/>
      <c r="R857" s="24"/>
      <c r="S857" s="24"/>
      <c r="T857" s="24"/>
      <c r="U857" s="24"/>
      <c r="V857" s="24"/>
      <c r="W857" s="14"/>
    </row>
    <row r="858" ht="14.25" customHeight="1">
      <c r="A858" s="24"/>
      <c r="B858" s="24"/>
      <c r="C858" s="24"/>
      <c r="D858" s="24"/>
      <c r="E858" s="24"/>
      <c r="F858" s="24"/>
      <c r="G858" s="24"/>
      <c r="H858" s="24"/>
      <c r="I858" s="24"/>
      <c r="J858" s="24"/>
      <c r="K858" s="24"/>
      <c r="L858" s="24"/>
      <c r="M858" s="24"/>
      <c r="N858" s="24"/>
      <c r="O858" s="24"/>
      <c r="P858" s="24"/>
      <c r="Q858" s="24"/>
      <c r="R858" s="24"/>
      <c r="S858" s="24"/>
      <c r="T858" s="24"/>
      <c r="U858" s="24"/>
      <c r="V858" s="24"/>
      <c r="W858" s="14"/>
    </row>
    <row r="859" ht="14.25" customHeight="1">
      <c r="A859" s="24"/>
      <c r="B859" s="24"/>
      <c r="C859" s="24"/>
      <c r="D859" s="24"/>
      <c r="E859" s="24"/>
      <c r="F859" s="24"/>
      <c r="G859" s="24"/>
      <c r="H859" s="24"/>
      <c r="I859" s="24"/>
      <c r="J859" s="24"/>
      <c r="K859" s="24"/>
      <c r="L859" s="24"/>
      <c r="M859" s="24"/>
      <c r="N859" s="24"/>
      <c r="O859" s="24"/>
      <c r="P859" s="24"/>
      <c r="Q859" s="24"/>
      <c r="R859" s="24"/>
      <c r="S859" s="24"/>
      <c r="T859" s="24"/>
      <c r="U859" s="24"/>
      <c r="V859" s="24"/>
      <c r="W859" s="14"/>
    </row>
    <row r="860" ht="14.25" customHeight="1">
      <c r="A860" s="24"/>
      <c r="B860" s="24"/>
      <c r="C860" s="24"/>
      <c r="D860" s="24"/>
      <c r="E860" s="24"/>
      <c r="F860" s="24"/>
      <c r="G860" s="24"/>
      <c r="H860" s="24"/>
      <c r="I860" s="24"/>
      <c r="J860" s="24"/>
      <c r="K860" s="24"/>
      <c r="L860" s="24"/>
      <c r="M860" s="24"/>
      <c r="N860" s="24"/>
      <c r="O860" s="24"/>
      <c r="P860" s="24"/>
      <c r="Q860" s="24"/>
      <c r="R860" s="24"/>
      <c r="S860" s="24"/>
      <c r="T860" s="24"/>
      <c r="U860" s="24"/>
      <c r="V860" s="24"/>
      <c r="W860" s="14"/>
    </row>
    <row r="861" ht="14.25" customHeight="1">
      <c r="A861" s="24"/>
      <c r="B861" s="24"/>
      <c r="C861" s="24"/>
      <c r="D861" s="24"/>
      <c r="E861" s="24"/>
      <c r="F861" s="24"/>
      <c r="G861" s="24"/>
      <c r="H861" s="24"/>
      <c r="I861" s="24"/>
      <c r="J861" s="24"/>
      <c r="K861" s="24"/>
      <c r="L861" s="24"/>
      <c r="M861" s="24"/>
      <c r="N861" s="24"/>
      <c r="O861" s="24"/>
      <c r="P861" s="24"/>
      <c r="Q861" s="24"/>
      <c r="R861" s="24"/>
      <c r="S861" s="24"/>
      <c r="T861" s="24"/>
      <c r="U861" s="24"/>
      <c r="V861" s="24"/>
      <c r="W861" s="14"/>
    </row>
    <row r="862" ht="14.25" customHeight="1">
      <c r="A862" s="24"/>
      <c r="B862" s="24"/>
      <c r="C862" s="24"/>
      <c r="D862" s="24"/>
      <c r="E862" s="24"/>
      <c r="F862" s="24"/>
      <c r="G862" s="24"/>
      <c r="H862" s="24"/>
      <c r="I862" s="24"/>
      <c r="J862" s="24"/>
      <c r="K862" s="24"/>
      <c r="L862" s="24"/>
      <c r="M862" s="24"/>
      <c r="N862" s="24"/>
      <c r="O862" s="24"/>
      <c r="P862" s="24"/>
      <c r="Q862" s="24"/>
      <c r="R862" s="24"/>
      <c r="S862" s="24"/>
      <c r="T862" s="24"/>
      <c r="U862" s="24"/>
      <c r="V862" s="24"/>
      <c r="W862" s="14"/>
    </row>
    <row r="863" ht="14.25" customHeight="1">
      <c r="A863" s="24"/>
      <c r="B863" s="24"/>
      <c r="C863" s="24"/>
      <c r="D863" s="24"/>
      <c r="E863" s="24"/>
      <c r="F863" s="24"/>
      <c r="G863" s="24"/>
      <c r="H863" s="24"/>
      <c r="I863" s="24"/>
      <c r="J863" s="24"/>
      <c r="K863" s="24"/>
      <c r="L863" s="24"/>
      <c r="M863" s="24"/>
      <c r="N863" s="24"/>
      <c r="O863" s="24"/>
      <c r="P863" s="24"/>
      <c r="Q863" s="24"/>
      <c r="R863" s="24"/>
      <c r="S863" s="24"/>
      <c r="T863" s="24"/>
      <c r="U863" s="24"/>
      <c r="V863" s="24"/>
      <c r="W863" s="14"/>
    </row>
    <row r="864" ht="14.25" customHeight="1">
      <c r="A864" s="24"/>
      <c r="B864" s="24"/>
      <c r="C864" s="24"/>
      <c r="D864" s="24"/>
      <c r="E864" s="24"/>
      <c r="F864" s="24"/>
      <c r="G864" s="24"/>
      <c r="H864" s="24"/>
      <c r="I864" s="24"/>
      <c r="J864" s="24"/>
      <c r="K864" s="24"/>
      <c r="L864" s="24"/>
      <c r="M864" s="24"/>
      <c r="N864" s="24"/>
      <c r="O864" s="24"/>
      <c r="P864" s="24"/>
      <c r="Q864" s="24"/>
      <c r="R864" s="24"/>
      <c r="S864" s="24"/>
      <c r="T864" s="24"/>
      <c r="U864" s="24"/>
      <c r="V864" s="24"/>
      <c r="W864" s="14"/>
    </row>
    <row r="865" ht="14.25" customHeight="1">
      <c r="A865" s="24"/>
      <c r="B865" s="24"/>
      <c r="C865" s="24"/>
      <c r="D865" s="24"/>
      <c r="E865" s="24"/>
      <c r="F865" s="24"/>
      <c r="G865" s="24"/>
      <c r="H865" s="24"/>
      <c r="I865" s="24"/>
      <c r="J865" s="24"/>
      <c r="K865" s="24"/>
      <c r="L865" s="24"/>
      <c r="M865" s="24"/>
      <c r="N865" s="24"/>
      <c r="O865" s="24"/>
      <c r="P865" s="24"/>
      <c r="Q865" s="24"/>
      <c r="R865" s="24"/>
      <c r="S865" s="24"/>
      <c r="T865" s="24"/>
      <c r="U865" s="24"/>
      <c r="V865" s="24"/>
      <c r="W865" s="14"/>
    </row>
    <row r="866" ht="14.25" customHeight="1">
      <c r="A866" s="24"/>
      <c r="B866" s="24"/>
      <c r="C866" s="24"/>
      <c r="D866" s="24"/>
      <c r="E866" s="24"/>
      <c r="F866" s="24"/>
      <c r="G866" s="24"/>
      <c r="H866" s="24"/>
      <c r="I866" s="24"/>
      <c r="J866" s="24"/>
      <c r="K866" s="24"/>
      <c r="L866" s="24"/>
      <c r="M866" s="24"/>
      <c r="N866" s="24"/>
      <c r="O866" s="24"/>
      <c r="P866" s="24"/>
      <c r="Q866" s="24"/>
      <c r="R866" s="24"/>
      <c r="S866" s="24"/>
      <c r="T866" s="24"/>
      <c r="U866" s="24"/>
      <c r="V866" s="24"/>
      <c r="W866" s="14"/>
    </row>
    <row r="867" ht="14.25" customHeight="1">
      <c r="A867" s="24"/>
      <c r="B867" s="24"/>
      <c r="C867" s="24"/>
      <c r="D867" s="24"/>
      <c r="E867" s="24"/>
      <c r="F867" s="24"/>
      <c r="G867" s="24"/>
      <c r="H867" s="24"/>
      <c r="I867" s="24"/>
      <c r="J867" s="24"/>
      <c r="K867" s="24"/>
      <c r="L867" s="24"/>
      <c r="M867" s="24"/>
      <c r="N867" s="24"/>
      <c r="O867" s="24"/>
      <c r="P867" s="24"/>
      <c r="Q867" s="24"/>
      <c r="R867" s="24"/>
      <c r="S867" s="24"/>
      <c r="T867" s="24"/>
      <c r="U867" s="24"/>
      <c r="V867" s="24"/>
      <c r="W867" s="14"/>
    </row>
    <row r="868" ht="14.25" customHeight="1">
      <c r="A868" s="24"/>
      <c r="B868" s="24"/>
      <c r="C868" s="24"/>
      <c r="D868" s="24"/>
      <c r="E868" s="24"/>
      <c r="F868" s="24"/>
      <c r="G868" s="24"/>
      <c r="H868" s="24"/>
      <c r="I868" s="24"/>
      <c r="J868" s="24"/>
      <c r="K868" s="24"/>
      <c r="L868" s="24"/>
      <c r="M868" s="24"/>
      <c r="N868" s="24"/>
      <c r="O868" s="24"/>
      <c r="P868" s="24"/>
      <c r="Q868" s="24"/>
      <c r="R868" s="24"/>
      <c r="S868" s="24"/>
      <c r="T868" s="24"/>
      <c r="U868" s="24"/>
      <c r="V868" s="24"/>
      <c r="W868" s="14"/>
    </row>
    <row r="869" ht="14.25" customHeight="1">
      <c r="A869" s="24"/>
      <c r="B869" s="24"/>
      <c r="C869" s="24"/>
      <c r="D869" s="24"/>
      <c r="E869" s="24"/>
      <c r="F869" s="24"/>
      <c r="G869" s="24"/>
      <c r="H869" s="24"/>
      <c r="I869" s="24"/>
      <c r="J869" s="24"/>
      <c r="K869" s="24"/>
      <c r="L869" s="24"/>
      <c r="M869" s="24"/>
      <c r="N869" s="24"/>
      <c r="O869" s="24"/>
      <c r="P869" s="24"/>
      <c r="Q869" s="24"/>
      <c r="R869" s="24"/>
      <c r="S869" s="24"/>
      <c r="T869" s="24"/>
      <c r="U869" s="24"/>
      <c r="V869" s="24"/>
      <c r="W869" s="14"/>
    </row>
    <row r="870" ht="14.25" customHeight="1">
      <c r="A870" s="24"/>
      <c r="B870" s="24"/>
      <c r="C870" s="24"/>
      <c r="D870" s="24"/>
      <c r="E870" s="24"/>
      <c r="F870" s="24"/>
      <c r="G870" s="24"/>
      <c r="H870" s="24"/>
      <c r="I870" s="24"/>
      <c r="J870" s="24"/>
      <c r="K870" s="24"/>
      <c r="L870" s="24"/>
      <c r="M870" s="24"/>
      <c r="N870" s="24"/>
      <c r="O870" s="24"/>
      <c r="P870" s="24"/>
      <c r="Q870" s="24"/>
      <c r="R870" s="24"/>
      <c r="S870" s="24"/>
      <c r="T870" s="24"/>
      <c r="U870" s="24"/>
      <c r="V870" s="24"/>
      <c r="W870" s="14"/>
    </row>
    <row r="871" ht="14.25" customHeight="1">
      <c r="A871" s="24"/>
      <c r="B871" s="24"/>
      <c r="C871" s="24"/>
      <c r="D871" s="24"/>
      <c r="E871" s="24"/>
      <c r="F871" s="24"/>
      <c r="G871" s="24"/>
      <c r="H871" s="24"/>
      <c r="I871" s="24"/>
      <c r="J871" s="24"/>
      <c r="K871" s="24"/>
      <c r="L871" s="24"/>
      <c r="M871" s="24"/>
      <c r="N871" s="24"/>
      <c r="O871" s="24"/>
      <c r="P871" s="24"/>
      <c r="Q871" s="24"/>
      <c r="R871" s="24"/>
      <c r="S871" s="24"/>
      <c r="T871" s="24"/>
      <c r="U871" s="24"/>
      <c r="V871" s="24"/>
      <c r="W871" s="14"/>
    </row>
    <row r="872" ht="14.25" customHeight="1">
      <c r="A872" s="24"/>
      <c r="B872" s="24"/>
      <c r="C872" s="24"/>
      <c r="D872" s="24"/>
      <c r="E872" s="24"/>
      <c r="F872" s="24"/>
      <c r="G872" s="24"/>
      <c r="H872" s="24"/>
      <c r="I872" s="24"/>
      <c r="J872" s="24"/>
      <c r="K872" s="24"/>
      <c r="L872" s="24"/>
      <c r="M872" s="24"/>
      <c r="N872" s="24"/>
      <c r="O872" s="24"/>
      <c r="P872" s="24"/>
      <c r="Q872" s="24"/>
      <c r="R872" s="24"/>
      <c r="S872" s="24"/>
      <c r="T872" s="24"/>
      <c r="U872" s="24"/>
      <c r="V872" s="24"/>
      <c r="W872" s="14"/>
    </row>
    <row r="873" ht="14.25" customHeight="1">
      <c r="A873" s="24"/>
      <c r="B873" s="24"/>
      <c r="C873" s="24"/>
      <c r="D873" s="24"/>
      <c r="E873" s="24"/>
      <c r="F873" s="24"/>
      <c r="G873" s="24"/>
      <c r="H873" s="24"/>
      <c r="I873" s="24"/>
      <c r="J873" s="24"/>
      <c r="K873" s="24"/>
      <c r="L873" s="24"/>
      <c r="M873" s="24"/>
      <c r="N873" s="24"/>
      <c r="O873" s="24"/>
      <c r="P873" s="24"/>
      <c r="Q873" s="24"/>
      <c r="R873" s="24"/>
      <c r="S873" s="24"/>
      <c r="T873" s="24"/>
      <c r="U873" s="24"/>
      <c r="V873" s="24"/>
      <c r="W873" s="14"/>
    </row>
    <row r="874" ht="14.25" customHeight="1">
      <c r="A874" s="24"/>
      <c r="B874" s="24"/>
      <c r="C874" s="24"/>
      <c r="D874" s="24"/>
      <c r="E874" s="24"/>
      <c r="F874" s="24"/>
      <c r="G874" s="24"/>
      <c r="H874" s="24"/>
      <c r="I874" s="24"/>
      <c r="J874" s="24"/>
      <c r="K874" s="24"/>
      <c r="L874" s="24"/>
      <c r="M874" s="24"/>
      <c r="N874" s="24"/>
      <c r="O874" s="24"/>
      <c r="P874" s="24"/>
      <c r="Q874" s="24"/>
      <c r="R874" s="24"/>
      <c r="S874" s="24"/>
      <c r="T874" s="24"/>
      <c r="U874" s="24"/>
      <c r="V874" s="24"/>
      <c r="W874" s="14"/>
    </row>
    <row r="875" ht="14.25" customHeight="1">
      <c r="A875" s="24"/>
      <c r="B875" s="24"/>
      <c r="C875" s="24"/>
      <c r="D875" s="24"/>
      <c r="E875" s="24"/>
      <c r="F875" s="24"/>
      <c r="G875" s="24"/>
      <c r="H875" s="24"/>
      <c r="I875" s="24"/>
      <c r="J875" s="24"/>
      <c r="K875" s="24"/>
      <c r="L875" s="24"/>
      <c r="M875" s="24"/>
      <c r="N875" s="24"/>
      <c r="O875" s="24"/>
      <c r="P875" s="24"/>
      <c r="Q875" s="24"/>
      <c r="R875" s="24"/>
      <c r="S875" s="24"/>
      <c r="T875" s="24"/>
      <c r="U875" s="24"/>
      <c r="V875" s="24"/>
      <c r="W875" s="14"/>
    </row>
    <row r="876" ht="14.25" customHeight="1">
      <c r="A876" s="24"/>
      <c r="B876" s="24"/>
      <c r="C876" s="24"/>
      <c r="D876" s="24"/>
      <c r="E876" s="24"/>
      <c r="F876" s="24"/>
      <c r="G876" s="24"/>
      <c r="H876" s="24"/>
      <c r="I876" s="24"/>
      <c r="J876" s="24"/>
      <c r="K876" s="24"/>
      <c r="L876" s="24"/>
      <c r="M876" s="24"/>
      <c r="N876" s="24"/>
      <c r="O876" s="24"/>
      <c r="P876" s="24"/>
      <c r="Q876" s="24"/>
      <c r="R876" s="24"/>
      <c r="S876" s="24"/>
      <c r="T876" s="24"/>
      <c r="U876" s="24"/>
      <c r="V876" s="24"/>
      <c r="W876" s="14"/>
    </row>
    <row r="877" ht="14.25" customHeight="1">
      <c r="A877" s="24"/>
      <c r="B877" s="24"/>
      <c r="C877" s="24"/>
      <c r="D877" s="24"/>
      <c r="E877" s="24"/>
      <c r="F877" s="24"/>
      <c r="G877" s="24"/>
      <c r="H877" s="24"/>
      <c r="I877" s="24"/>
      <c r="J877" s="24"/>
      <c r="K877" s="24"/>
      <c r="L877" s="24"/>
      <c r="M877" s="24"/>
      <c r="N877" s="24"/>
      <c r="O877" s="24"/>
      <c r="P877" s="24"/>
      <c r="Q877" s="24"/>
      <c r="R877" s="24"/>
      <c r="S877" s="24"/>
      <c r="T877" s="24"/>
      <c r="U877" s="24"/>
      <c r="V877" s="24"/>
      <c r="W877" s="14"/>
    </row>
    <row r="878" ht="14.25" customHeight="1">
      <c r="A878" s="24"/>
      <c r="B878" s="24"/>
      <c r="C878" s="24"/>
      <c r="D878" s="24"/>
      <c r="E878" s="24"/>
      <c r="F878" s="24"/>
      <c r="G878" s="24"/>
      <c r="H878" s="24"/>
      <c r="I878" s="24"/>
      <c r="J878" s="24"/>
      <c r="K878" s="24"/>
      <c r="L878" s="24"/>
      <c r="M878" s="24"/>
      <c r="N878" s="24"/>
      <c r="O878" s="24"/>
      <c r="P878" s="24"/>
      <c r="Q878" s="24"/>
      <c r="R878" s="24"/>
      <c r="S878" s="24"/>
      <c r="T878" s="24"/>
      <c r="U878" s="24"/>
      <c r="V878" s="24"/>
      <c r="W878" s="14"/>
    </row>
    <row r="879" ht="14.25" customHeight="1">
      <c r="A879" s="24"/>
      <c r="B879" s="24"/>
      <c r="C879" s="24"/>
      <c r="D879" s="24"/>
      <c r="E879" s="24"/>
      <c r="F879" s="24"/>
      <c r="G879" s="24"/>
      <c r="H879" s="24"/>
      <c r="I879" s="24"/>
      <c r="J879" s="24"/>
      <c r="K879" s="24"/>
      <c r="L879" s="24"/>
      <c r="M879" s="24"/>
      <c r="N879" s="24"/>
      <c r="O879" s="24"/>
      <c r="P879" s="24"/>
      <c r="Q879" s="24"/>
      <c r="R879" s="24"/>
      <c r="S879" s="24"/>
      <c r="T879" s="24"/>
      <c r="U879" s="24"/>
      <c r="V879" s="24"/>
      <c r="W879" s="14"/>
    </row>
    <row r="880" ht="14.25" customHeight="1">
      <c r="A880" s="24"/>
      <c r="B880" s="24"/>
      <c r="C880" s="24"/>
      <c r="D880" s="24"/>
      <c r="E880" s="24"/>
      <c r="F880" s="24"/>
      <c r="G880" s="24"/>
      <c r="H880" s="24"/>
      <c r="I880" s="24"/>
      <c r="J880" s="24"/>
      <c r="K880" s="24"/>
      <c r="L880" s="24"/>
      <c r="M880" s="24"/>
      <c r="N880" s="24"/>
      <c r="O880" s="24"/>
      <c r="P880" s="24"/>
      <c r="Q880" s="24"/>
      <c r="R880" s="24"/>
      <c r="S880" s="24"/>
      <c r="T880" s="24"/>
      <c r="U880" s="24"/>
      <c r="V880" s="24"/>
      <c r="W880" s="14"/>
    </row>
    <row r="881" ht="14.25" customHeight="1">
      <c r="A881" s="24"/>
      <c r="B881" s="24"/>
      <c r="C881" s="24"/>
      <c r="D881" s="24"/>
      <c r="E881" s="24"/>
      <c r="F881" s="24"/>
      <c r="G881" s="24"/>
      <c r="H881" s="24"/>
      <c r="I881" s="24"/>
      <c r="J881" s="24"/>
      <c r="K881" s="24"/>
      <c r="L881" s="24"/>
      <c r="M881" s="24"/>
      <c r="N881" s="24"/>
      <c r="O881" s="24"/>
      <c r="P881" s="24"/>
      <c r="Q881" s="24"/>
      <c r="R881" s="24"/>
      <c r="S881" s="24"/>
      <c r="T881" s="24"/>
      <c r="U881" s="24"/>
      <c r="V881" s="24"/>
      <c r="W881" s="14"/>
    </row>
    <row r="882" ht="14.25" customHeight="1">
      <c r="A882" s="24"/>
      <c r="B882" s="24"/>
      <c r="C882" s="24"/>
      <c r="D882" s="24"/>
      <c r="E882" s="24"/>
      <c r="F882" s="24"/>
      <c r="G882" s="24"/>
      <c r="H882" s="24"/>
      <c r="I882" s="24"/>
      <c r="J882" s="24"/>
      <c r="K882" s="24"/>
      <c r="L882" s="24"/>
      <c r="M882" s="24"/>
      <c r="N882" s="24"/>
      <c r="O882" s="24"/>
      <c r="P882" s="24"/>
      <c r="Q882" s="24"/>
      <c r="R882" s="24"/>
      <c r="S882" s="24"/>
      <c r="T882" s="24"/>
      <c r="U882" s="24"/>
      <c r="V882" s="24"/>
      <c r="W882" s="14"/>
    </row>
    <row r="883" ht="14.25" customHeight="1">
      <c r="A883" s="24"/>
      <c r="B883" s="24"/>
      <c r="C883" s="24"/>
      <c r="D883" s="24"/>
      <c r="E883" s="24"/>
      <c r="F883" s="24"/>
      <c r="G883" s="24"/>
      <c r="H883" s="24"/>
      <c r="I883" s="24"/>
      <c r="J883" s="24"/>
      <c r="K883" s="24"/>
      <c r="L883" s="24"/>
      <c r="M883" s="24"/>
      <c r="N883" s="24"/>
      <c r="O883" s="24"/>
      <c r="P883" s="24"/>
      <c r="Q883" s="24"/>
      <c r="R883" s="24"/>
      <c r="S883" s="24"/>
      <c r="T883" s="24"/>
      <c r="U883" s="24"/>
      <c r="V883" s="24"/>
      <c r="W883" s="14"/>
    </row>
    <row r="884" ht="14.25" customHeight="1">
      <c r="A884" s="24"/>
      <c r="B884" s="24"/>
      <c r="C884" s="24"/>
      <c r="D884" s="24"/>
      <c r="E884" s="24"/>
      <c r="F884" s="24"/>
      <c r="G884" s="24"/>
      <c r="H884" s="24"/>
      <c r="I884" s="24"/>
      <c r="J884" s="24"/>
      <c r="K884" s="24"/>
      <c r="L884" s="24"/>
      <c r="M884" s="24"/>
      <c r="N884" s="24"/>
      <c r="O884" s="24"/>
      <c r="P884" s="24"/>
      <c r="Q884" s="24"/>
      <c r="R884" s="24"/>
      <c r="S884" s="24"/>
      <c r="T884" s="24"/>
      <c r="U884" s="24"/>
      <c r="V884" s="24"/>
      <c r="W884" s="14"/>
    </row>
    <row r="885" ht="14.25" customHeight="1">
      <c r="A885" s="24"/>
      <c r="B885" s="24"/>
      <c r="C885" s="24"/>
      <c r="D885" s="24"/>
      <c r="E885" s="24"/>
      <c r="F885" s="24"/>
      <c r="G885" s="24"/>
      <c r="H885" s="24"/>
      <c r="I885" s="24"/>
      <c r="J885" s="24"/>
      <c r="K885" s="24"/>
      <c r="L885" s="24"/>
      <c r="M885" s="24"/>
      <c r="N885" s="24"/>
      <c r="O885" s="24"/>
      <c r="P885" s="24"/>
      <c r="Q885" s="24"/>
      <c r="R885" s="24"/>
      <c r="S885" s="24"/>
      <c r="T885" s="24"/>
      <c r="U885" s="24"/>
      <c r="V885" s="24"/>
      <c r="W885" s="14"/>
    </row>
    <row r="886" ht="14.25" customHeight="1">
      <c r="A886" s="24"/>
      <c r="B886" s="24"/>
      <c r="C886" s="24"/>
      <c r="D886" s="24"/>
      <c r="E886" s="24"/>
      <c r="F886" s="24"/>
      <c r="G886" s="24"/>
      <c r="H886" s="24"/>
      <c r="I886" s="24"/>
      <c r="J886" s="24"/>
      <c r="K886" s="24"/>
      <c r="L886" s="24"/>
      <c r="M886" s="24"/>
      <c r="N886" s="24"/>
      <c r="O886" s="24"/>
      <c r="P886" s="24"/>
      <c r="Q886" s="24"/>
      <c r="R886" s="24"/>
      <c r="S886" s="24"/>
      <c r="T886" s="24"/>
      <c r="U886" s="24"/>
      <c r="V886" s="24"/>
      <c r="W886" s="14"/>
    </row>
    <row r="887" ht="14.25" customHeight="1">
      <c r="A887" s="24"/>
      <c r="B887" s="24"/>
      <c r="C887" s="24"/>
      <c r="D887" s="24"/>
      <c r="E887" s="24"/>
      <c r="F887" s="24"/>
      <c r="G887" s="24"/>
      <c r="H887" s="24"/>
      <c r="I887" s="24"/>
      <c r="J887" s="24"/>
      <c r="K887" s="24"/>
      <c r="L887" s="24"/>
      <c r="M887" s="24"/>
      <c r="N887" s="24"/>
      <c r="O887" s="24"/>
      <c r="P887" s="24"/>
      <c r="Q887" s="24"/>
      <c r="R887" s="24"/>
      <c r="S887" s="24"/>
      <c r="T887" s="24"/>
      <c r="U887" s="24"/>
      <c r="V887" s="24"/>
      <c r="W887" s="14"/>
    </row>
    <row r="888" ht="14.25" customHeight="1">
      <c r="A888" s="24"/>
      <c r="B888" s="24"/>
      <c r="C888" s="24"/>
      <c r="D888" s="24"/>
      <c r="E888" s="24"/>
      <c r="F888" s="24"/>
      <c r="G888" s="24"/>
      <c r="H888" s="24"/>
      <c r="I888" s="24"/>
      <c r="J888" s="24"/>
      <c r="K888" s="24"/>
      <c r="L888" s="24"/>
      <c r="M888" s="24"/>
      <c r="N888" s="24"/>
      <c r="O888" s="24"/>
      <c r="P888" s="24"/>
      <c r="Q888" s="24"/>
      <c r="R888" s="24"/>
      <c r="S888" s="24"/>
      <c r="T888" s="24"/>
      <c r="U888" s="24"/>
      <c r="V888" s="24"/>
      <c r="W888" s="14"/>
    </row>
    <row r="889" ht="14.25" customHeight="1">
      <c r="A889" s="24"/>
      <c r="B889" s="24"/>
      <c r="C889" s="24"/>
      <c r="D889" s="24"/>
      <c r="E889" s="24"/>
      <c r="F889" s="24"/>
      <c r="G889" s="24"/>
      <c r="H889" s="24"/>
      <c r="I889" s="24"/>
      <c r="J889" s="24"/>
      <c r="K889" s="24"/>
      <c r="L889" s="24"/>
      <c r="M889" s="24"/>
      <c r="N889" s="24"/>
      <c r="O889" s="24"/>
      <c r="P889" s="24"/>
      <c r="Q889" s="24"/>
      <c r="R889" s="24"/>
      <c r="S889" s="24"/>
      <c r="T889" s="24"/>
      <c r="U889" s="24"/>
      <c r="V889" s="24"/>
      <c r="W889" s="14"/>
    </row>
    <row r="890" ht="14.25" customHeight="1">
      <c r="A890" s="24"/>
      <c r="B890" s="24"/>
      <c r="C890" s="24"/>
      <c r="D890" s="24"/>
      <c r="E890" s="24"/>
      <c r="F890" s="24"/>
      <c r="G890" s="24"/>
      <c r="H890" s="24"/>
      <c r="I890" s="24"/>
      <c r="J890" s="24"/>
      <c r="K890" s="24"/>
      <c r="L890" s="24"/>
      <c r="M890" s="24"/>
      <c r="N890" s="24"/>
      <c r="O890" s="24"/>
      <c r="P890" s="24"/>
      <c r="Q890" s="24"/>
      <c r="R890" s="24"/>
      <c r="S890" s="24"/>
      <c r="T890" s="24"/>
      <c r="U890" s="24"/>
      <c r="V890" s="24"/>
      <c r="W890" s="14"/>
    </row>
    <row r="891" ht="14.25" customHeight="1">
      <c r="A891" s="24"/>
      <c r="B891" s="24"/>
      <c r="C891" s="24"/>
      <c r="D891" s="24"/>
      <c r="E891" s="24"/>
      <c r="F891" s="24"/>
      <c r="G891" s="24"/>
      <c r="H891" s="24"/>
      <c r="I891" s="24"/>
      <c r="J891" s="24"/>
      <c r="K891" s="24"/>
      <c r="L891" s="24"/>
      <c r="M891" s="24"/>
      <c r="N891" s="24"/>
      <c r="O891" s="24"/>
      <c r="P891" s="24"/>
      <c r="Q891" s="24"/>
      <c r="R891" s="24"/>
      <c r="S891" s="24"/>
      <c r="T891" s="24"/>
      <c r="U891" s="24"/>
      <c r="V891" s="24"/>
      <c r="W891" s="14"/>
    </row>
    <row r="892" ht="14.25" customHeight="1">
      <c r="A892" s="24"/>
      <c r="B892" s="24"/>
      <c r="C892" s="24"/>
      <c r="D892" s="24"/>
      <c r="E892" s="24"/>
      <c r="F892" s="24"/>
      <c r="G892" s="24"/>
      <c r="H892" s="24"/>
      <c r="I892" s="24"/>
      <c r="J892" s="24"/>
      <c r="K892" s="24"/>
      <c r="L892" s="24"/>
      <c r="M892" s="24"/>
      <c r="N892" s="24"/>
      <c r="O892" s="24"/>
      <c r="P892" s="24"/>
      <c r="Q892" s="24"/>
      <c r="R892" s="24"/>
      <c r="S892" s="24"/>
      <c r="T892" s="24"/>
      <c r="U892" s="24"/>
      <c r="V892" s="24"/>
      <c r="W892" s="14"/>
    </row>
    <row r="893" ht="14.25" customHeight="1">
      <c r="A893" s="24"/>
      <c r="B893" s="24"/>
      <c r="C893" s="24"/>
      <c r="D893" s="24"/>
      <c r="E893" s="24"/>
      <c r="F893" s="24"/>
      <c r="G893" s="24"/>
      <c r="H893" s="24"/>
      <c r="I893" s="24"/>
      <c r="J893" s="24"/>
      <c r="K893" s="24"/>
      <c r="L893" s="24"/>
      <c r="M893" s="24"/>
      <c r="N893" s="24"/>
      <c r="O893" s="24"/>
      <c r="P893" s="24"/>
      <c r="Q893" s="24"/>
      <c r="R893" s="24"/>
      <c r="S893" s="24"/>
      <c r="T893" s="24"/>
      <c r="U893" s="24"/>
      <c r="V893" s="24"/>
      <c r="W893" s="14"/>
    </row>
    <row r="894" ht="14.25" customHeight="1">
      <c r="A894" s="24"/>
      <c r="B894" s="24"/>
      <c r="C894" s="24"/>
      <c r="D894" s="24"/>
      <c r="E894" s="24"/>
      <c r="F894" s="24"/>
      <c r="G894" s="24"/>
      <c r="H894" s="24"/>
      <c r="I894" s="24"/>
      <c r="J894" s="24"/>
      <c r="K894" s="24"/>
      <c r="L894" s="24"/>
      <c r="M894" s="24"/>
      <c r="N894" s="24"/>
      <c r="O894" s="24"/>
      <c r="P894" s="24"/>
      <c r="Q894" s="24"/>
      <c r="R894" s="24"/>
      <c r="S894" s="24"/>
      <c r="T894" s="24"/>
      <c r="U894" s="24"/>
      <c r="V894" s="24"/>
      <c r="W894" s="14"/>
    </row>
    <row r="895" ht="14.25" customHeight="1">
      <c r="A895" s="24"/>
      <c r="B895" s="24"/>
      <c r="C895" s="24"/>
      <c r="D895" s="24"/>
      <c r="E895" s="24"/>
      <c r="F895" s="24"/>
      <c r="G895" s="24"/>
      <c r="H895" s="24"/>
      <c r="I895" s="24"/>
      <c r="J895" s="24"/>
      <c r="K895" s="24"/>
      <c r="L895" s="24"/>
      <c r="M895" s="24"/>
      <c r="N895" s="24"/>
      <c r="O895" s="24"/>
      <c r="P895" s="24"/>
      <c r="Q895" s="24"/>
      <c r="R895" s="24"/>
      <c r="S895" s="24"/>
      <c r="T895" s="24"/>
      <c r="U895" s="24"/>
      <c r="V895" s="24"/>
      <c r="W895" s="14"/>
    </row>
    <row r="896" ht="14.25" customHeight="1">
      <c r="A896" s="24"/>
      <c r="B896" s="24"/>
      <c r="C896" s="24"/>
      <c r="D896" s="24"/>
      <c r="E896" s="24"/>
      <c r="F896" s="24"/>
      <c r="G896" s="24"/>
      <c r="H896" s="24"/>
      <c r="I896" s="24"/>
      <c r="J896" s="24"/>
      <c r="K896" s="24"/>
      <c r="L896" s="24"/>
      <c r="M896" s="24"/>
      <c r="N896" s="24"/>
      <c r="O896" s="24"/>
      <c r="P896" s="24"/>
      <c r="Q896" s="24"/>
      <c r="R896" s="24"/>
      <c r="S896" s="24"/>
      <c r="T896" s="24"/>
      <c r="U896" s="24"/>
      <c r="V896" s="24"/>
      <c r="W896" s="14"/>
    </row>
    <row r="897" ht="14.25" customHeight="1">
      <c r="A897" s="24"/>
      <c r="B897" s="24"/>
      <c r="C897" s="24"/>
      <c r="D897" s="24"/>
      <c r="E897" s="24"/>
      <c r="F897" s="24"/>
      <c r="G897" s="24"/>
      <c r="H897" s="24"/>
      <c r="I897" s="24"/>
      <c r="J897" s="24"/>
      <c r="K897" s="24"/>
      <c r="L897" s="24"/>
      <c r="M897" s="24"/>
      <c r="N897" s="24"/>
      <c r="O897" s="24"/>
      <c r="P897" s="24"/>
      <c r="Q897" s="24"/>
      <c r="R897" s="24"/>
      <c r="S897" s="24"/>
      <c r="T897" s="24"/>
      <c r="U897" s="24"/>
      <c r="V897" s="24"/>
      <c r="W897" s="14"/>
    </row>
    <row r="898" ht="14.25" customHeight="1">
      <c r="A898" s="24"/>
      <c r="B898" s="24"/>
      <c r="C898" s="24"/>
      <c r="D898" s="24"/>
      <c r="E898" s="24"/>
      <c r="F898" s="24"/>
      <c r="G898" s="24"/>
      <c r="H898" s="24"/>
      <c r="I898" s="24"/>
      <c r="J898" s="24"/>
      <c r="K898" s="24"/>
      <c r="L898" s="24"/>
      <c r="M898" s="24"/>
      <c r="N898" s="24"/>
      <c r="O898" s="24"/>
      <c r="P898" s="24"/>
      <c r="Q898" s="24"/>
      <c r="R898" s="24"/>
      <c r="S898" s="24"/>
      <c r="T898" s="24"/>
      <c r="U898" s="24"/>
      <c r="V898" s="24"/>
      <c r="W898" s="14"/>
    </row>
    <row r="899" ht="14.25" customHeight="1">
      <c r="A899" s="24"/>
      <c r="B899" s="24"/>
      <c r="C899" s="24"/>
      <c r="D899" s="24"/>
      <c r="E899" s="24"/>
      <c r="F899" s="24"/>
      <c r="G899" s="24"/>
      <c r="H899" s="24"/>
      <c r="I899" s="24"/>
      <c r="J899" s="24"/>
      <c r="K899" s="24"/>
      <c r="L899" s="24"/>
      <c r="M899" s="24"/>
      <c r="N899" s="24"/>
      <c r="O899" s="24"/>
      <c r="P899" s="24"/>
      <c r="Q899" s="24"/>
      <c r="R899" s="24"/>
      <c r="S899" s="24"/>
      <c r="T899" s="24"/>
      <c r="U899" s="24"/>
      <c r="V899" s="24"/>
      <c r="W899" s="14"/>
    </row>
    <row r="900" ht="14.25" customHeight="1">
      <c r="A900" s="24"/>
      <c r="B900" s="24"/>
      <c r="C900" s="24"/>
      <c r="D900" s="24"/>
      <c r="E900" s="24"/>
      <c r="F900" s="24"/>
      <c r="G900" s="24"/>
      <c r="H900" s="24"/>
      <c r="I900" s="24"/>
      <c r="J900" s="24"/>
      <c r="K900" s="24"/>
      <c r="L900" s="24"/>
      <c r="M900" s="24"/>
      <c r="N900" s="24"/>
      <c r="O900" s="24"/>
      <c r="P900" s="24"/>
      <c r="Q900" s="24"/>
      <c r="R900" s="24"/>
      <c r="S900" s="24"/>
      <c r="T900" s="24"/>
      <c r="U900" s="24"/>
      <c r="V900" s="24"/>
      <c r="W900" s="14"/>
    </row>
    <row r="901" ht="14.25" customHeight="1">
      <c r="A901" s="24"/>
      <c r="B901" s="24"/>
      <c r="C901" s="24"/>
      <c r="D901" s="24"/>
      <c r="E901" s="24"/>
      <c r="F901" s="24"/>
      <c r="G901" s="24"/>
      <c r="H901" s="24"/>
      <c r="I901" s="24"/>
      <c r="J901" s="24"/>
      <c r="K901" s="24"/>
      <c r="L901" s="24"/>
      <c r="M901" s="24"/>
      <c r="N901" s="24"/>
      <c r="O901" s="24"/>
      <c r="P901" s="24"/>
      <c r="Q901" s="24"/>
      <c r="R901" s="24"/>
      <c r="S901" s="24"/>
      <c r="T901" s="24"/>
      <c r="U901" s="24"/>
      <c r="V901" s="24"/>
      <c r="W901" s="14"/>
    </row>
    <row r="902" ht="14.25" customHeight="1">
      <c r="A902" s="24"/>
      <c r="B902" s="24"/>
      <c r="C902" s="24"/>
      <c r="D902" s="24"/>
      <c r="E902" s="24"/>
      <c r="F902" s="24"/>
      <c r="G902" s="24"/>
      <c r="H902" s="24"/>
      <c r="I902" s="24"/>
      <c r="J902" s="24"/>
      <c r="K902" s="24"/>
      <c r="L902" s="24"/>
      <c r="M902" s="24"/>
      <c r="N902" s="24"/>
      <c r="O902" s="24"/>
      <c r="P902" s="24"/>
      <c r="Q902" s="24"/>
      <c r="R902" s="24"/>
      <c r="S902" s="24"/>
      <c r="T902" s="24"/>
      <c r="U902" s="24"/>
      <c r="V902" s="24"/>
      <c r="W902" s="14"/>
    </row>
    <row r="903" ht="14.25" customHeight="1">
      <c r="A903" s="24"/>
      <c r="B903" s="24"/>
      <c r="C903" s="24"/>
      <c r="D903" s="24"/>
      <c r="E903" s="24"/>
      <c r="F903" s="24"/>
      <c r="G903" s="24"/>
      <c r="H903" s="24"/>
      <c r="I903" s="24"/>
      <c r="J903" s="24"/>
      <c r="K903" s="24"/>
      <c r="L903" s="24"/>
      <c r="M903" s="24"/>
      <c r="N903" s="24"/>
      <c r="O903" s="24"/>
      <c r="P903" s="24"/>
      <c r="Q903" s="24"/>
      <c r="R903" s="24"/>
      <c r="S903" s="24"/>
      <c r="T903" s="24"/>
      <c r="U903" s="24"/>
      <c r="V903" s="24"/>
      <c r="W903" s="14"/>
    </row>
    <row r="904" ht="14.25" customHeight="1">
      <c r="A904" s="24"/>
      <c r="B904" s="24"/>
      <c r="C904" s="24"/>
      <c r="D904" s="24"/>
      <c r="E904" s="24"/>
      <c r="F904" s="24"/>
      <c r="G904" s="24"/>
      <c r="H904" s="24"/>
      <c r="I904" s="24"/>
      <c r="J904" s="24"/>
      <c r="K904" s="24"/>
      <c r="L904" s="24"/>
      <c r="M904" s="24"/>
      <c r="N904" s="24"/>
      <c r="O904" s="24"/>
      <c r="P904" s="24"/>
      <c r="Q904" s="24"/>
      <c r="R904" s="24"/>
      <c r="S904" s="24"/>
      <c r="T904" s="24"/>
      <c r="U904" s="24"/>
      <c r="V904" s="24"/>
      <c r="W904" s="14"/>
    </row>
    <row r="905" ht="14.25" customHeight="1">
      <c r="A905" s="24"/>
      <c r="B905" s="24"/>
      <c r="C905" s="24"/>
      <c r="D905" s="24"/>
      <c r="E905" s="24"/>
      <c r="F905" s="24"/>
      <c r="G905" s="24"/>
      <c r="H905" s="24"/>
      <c r="I905" s="24"/>
      <c r="J905" s="24"/>
      <c r="K905" s="24"/>
      <c r="L905" s="24"/>
      <c r="M905" s="24"/>
      <c r="N905" s="24"/>
      <c r="O905" s="24"/>
      <c r="P905" s="24"/>
      <c r="Q905" s="24"/>
      <c r="R905" s="24"/>
      <c r="S905" s="24"/>
      <c r="T905" s="24"/>
      <c r="U905" s="24"/>
      <c r="V905" s="24"/>
      <c r="W905" s="14"/>
    </row>
    <row r="906" ht="14.25" customHeight="1">
      <c r="A906" s="24"/>
      <c r="B906" s="24"/>
      <c r="C906" s="24"/>
      <c r="D906" s="24"/>
      <c r="E906" s="24"/>
      <c r="F906" s="24"/>
      <c r="G906" s="24"/>
      <c r="H906" s="24"/>
      <c r="I906" s="24"/>
      <c r="J906" s="24"/>
      <c r="K906" s="24"/>
      <c r="L906" s="24"/>
      <c r="M906" s="24"/>
      <c r="N906" s="24"/>
      <c r="O906" s="24"/>
      <c r="P906" s="24"/>
      <c r="Q906" s="24"/>
      <c r="R906" s="24"/>
      <c r="S906" s="24"/>
      <c r="T906" s="24"/>
      <c r="U906" s="24"/>
      <c r="V906" s="24"/>
      <c r="W906" s="14"/>
    </row>
    <row r="907" ht="14.25" customHeight="1">
      <c r="A907" s="24"/>
      <c r="B907" s="24"/>
      <c r="C907" s="24"/>
      <c r="D907" s="24"/>
      <c r="E907" s="24"/>
      <c r="F907" s="24"/>
      <c r="G907" s="24"/>
      <c r="H907" s="24"/>
      <c r="I907" s="24"/>
      <c r="J907" s="24"/>
      <c r="K907" s="24"/>
      <c r="L907" s="24"/>
      <c r="M907" s="24"/>
      <c r="N907" s="24"/>
      <c r="O907" s="24"/>
      <c r="P907" s="24"/>
      <c r="Q907" s="24"/>
      <c r="R907" s="24"/>
      <c r="S907" s="24"/>
      <c r="T907" s="24"/>
      <c r="U907" s="24"/>
      <c r="V907" s="24"/>
      <c r="W907" s="14"/>
    </row>
    <row r="908" ht="14.25" customHeight="1">
      <c r="A908" s="24"/>
      <c r="B908" s="24"/>
      <c r="C908" s="24"/>
      <c r="D908" s="24"/>
      <c r="E908" s="24"/>
      <c r="F908" s="24"/>
      <c r="G908" s="24"/>
      <c r="H908" s="24"/>
      <c r="I908" s="24"/>
      <c r="J908" s="24"/>
      <c r="K908" s="24"/>
      <c r="L908" s="24"/>
      <c r="M908" s="24"/>
      <c r="N908" s="24"/>
      <c r="O908" s="24"/>
      <c r="P908" s="24"/>
      <c r="Q908" s="24"/>
      <c r="R908" s="24"/>
      <c r="S908" s="24"/>
      <c r="T908" s="24"/>
      <c r="U908" s="24"/>
      <c r="V908" s="24"/>
      <c r="W908" s="14"/>
    </row>
    <row r="909" ht="14.25" customHeight="1">
      <c r="A909" s="24"/>
      <c r="B909" s="24"/>
      <c r="C909" s="24"/>
      <c r="D909" s="24"/>
      <c r="E909" s="24"/>
      <c r="F909" s="24"/>
      <c r="G909" s="24"/>
      <c r="H909" s="24"/>
      <c r="I909" s="24"/>
      <c r="J909" s="24"/>
      <c r="K909" s="24"/>
      <c r="L909" s="24"/>
      <c r="M909" s="24"/>
      <c r="N909" s="24"/>
      <c r="O909" s="24"/>
      <c r="P909" s="24"/>
      <c r="Q909" s="24"/>
      <c r="R909" s="24"/>
      <c r="S909" s="24"/>
      <c r="T909" s="24"/>
      <c r="U909" s="24"/>
      <c r="V909" s="24"/>
      <c r="W909" s="14"/>
    </row>
    <row r="910" ht="14.25" customHeight="1">
      <c r="A910" s="24"/>
      <c r="B910" s="24"/>
      <c r="C910" s="24"/>
      <c r="D910" s="24"/>
      <c r="E910" s="24"/>
      <c r="F910" s="24"/>
      <c r="G910" s="24"/>
      <c r="H910" s="24"/>
      <c r="I910" s="24"/>
      <c r="J910" s="24"/>
      <c r="K910" s="24"/>
      <c r="L910" s="24"/>
      <c r="M910" s="24"/>
      <c r="N910" s="24"/>
      <c r="O910" s="24"/>
      <c r="P910" s="24"/>
      <c r="Q910" s="24"/>
      <c r="R910" s="24"/>
      <c r="S910" s="24"/>
      <c r="T910" s="24"/>
      <c r="U910" s="24"/>
      <c r="V910" s="24"/>
      <c r="W910" s="14"/>
    </row>
    <row r="911" ht="14.25" customHeight="1">
      <c r="A911" s="24"/>
      <c r="B911" s="24"/>
      <c r="C911" s="24"/>
      <c r="D911" s="24"/>
      <c r="E911" s="24"/>
      <c r="F911" s="24"/>
      <c r="G911" s="24"/>
      <c r="H911" s="24"/>
      <c r="I911" s="24"/>
      <c r="J911" s="24"/>
      <c r="K911" s="24"/>
      <c r="L911" s="24"/>
      <c r="M911" s="24"/>
      <c r="N911" s="24"/>
      <c r="O911" s="24"/>
      <c r="P911" s="24"/>
      <c r="Q911" s="24"/>
      <c r="R911" s="24"/>
      <c r="S911" s="24"/>
      <c r="T911" s="24"/>
      <c r="U911" s="24"/>
      <c r="V911" s="24"/>
      <c r="W911" s="14"/>
    </row>
    <row r="912" ht="14.25" customHeight="1">
      <c r="A912" s="24"/>
      <c r="B912" s="24"/>
      <c r="C912" s="24"/>
      <c r="D912" s="24"/>
      <c r="E912" s="24"/>
      <c r="F912" s="24"/>
      <c r="G912" s="24"/>
      <c r="H912" s="24"/>
      <c r="I912" s="24"/>
      <c r="J912" s="24"/>
      <c r="K912" s="24"/>
      <c r="L912" s="24"/>
      <c r="M912" s="24"/>
      <c r="N912" s="24"/>
      <c r="O912" s="24"/>
      <c r="P912" s="24"/>
      <c r="Q912" s="24"/>
      <c r="R912" s="24"/>
      <c r="S912" s="24"/>
      <c r="T912" s="24"/>
      <c r="U912" s="24"/>
      <c r="V912" s="24"/>
      <c r="W912" s="14"/>
    </row>
    <row r="913" ht="14.25" customHeight="1">
      <c r="A913" s="24"/>
      <c r="B913" s="24"/>
      <c r="C913" s="24"/>
      <c r="D913" s="24"/>
      <c r="E913" s="24"/>
      <c r="F913" s="24"/>
      <c r="G913" s="24"/>
      <c r="H913" s="24"/>
      <c r="I913" s="24"/>
      <c r="J913" s="24"/>
      <c r="K913" s="24"/>
      <c r="L913" s="24"/>
      <c r="M913" s="24"/>
      <c r="N913" s="24"/>
      <c r="O913" s="24"/>
      <c r="P913" s="24"/>
      <c r="Q913" s="24"/>
      <c r="R913" s="24"/>
      <c r="S913" s="24"/>
      <c r="T913" s="24"/>
      <c r="U913" s="24"/>
      <c r="V913" s="24"/>
      <c r="W913" s="14"/>
    </row>
    <row r="914" ht="14.25" customHeight="1">
      <c r="A914" s="24"/>
      <c r="B914" s="24"/>
      <c r="C914" s="24"/>
      <c r="D914" s="24"/>
      <c r="E914" s="24"/>
      <c r="F914" s="24"/>
      <c r="G914" s="24"/>
      <c r="H914" s="24"/>
      <c r="I914" s="24"/>
      <c r="J914" s="24"/>
      <c r="K914" s="24"/>
      <c r="L914" s="24"/>
      <c r="M914" s="24"/>
      <c r="N914" s="24"/>
      <c r="O914" s="24"/>
      <c r="P914" s="24"/>
      <c r="Q914" s="24"/>
      <c r="R914" s="24"/>
      <c r="S914" s="24"/>
      <c r="T914" s="24"/>
      <c r="U914" s="24"/>
      <c r="V914" s="24"/>
      <c r="W914" s="14"/>
    </row>
    <row r="915" ht="14.25" customHeight="1">
      <c r="A915" s="24"/>
      <c r="B915" s="24"/>
      <c r="C915" s="24"/>
      <c r="D915" s="24"/>
      <c r="E915" s="24"/>
      <c r="F915" s="24"/>
      <c r="G915" s="24"/>
      <c r="H915" s="24"/>
      <c r="I915" s="24"/>
      <c r="J915" s="24"/>
      <c r="K915" s="24"/>
      <c r="L915" s="24"/>
      <c r="M915" s="24"/>
      <c r="N915" s="24"/>
      <c r="O915" s="24"/>
      <c r="P915" s="24"/>
      <c r="Q915" s="24"/>
      <c r="R915" s="24"/>
      <c r="S915" s="24"/>
      <c r="T915" s="24"/>
      <c r="U915" s="24"/>
      <c r="V915" s="24"/>
      <c r="W915" s="14"/>
    </row>
    <row r="916" ht="14.25" customHeight="1">
      <c r="A916" s="24"/>
      <c r="B916" s="24"/>
      <c r="C916" s="24"/>
      <c r="D916" s="24"/>
      <c r="E916" s="24"/>
      <c r="F916" s="24"/>
      <c r="G916" s="24"/>
      <c r="H916" s="24"/>
      <c r="I916" s="24"/>
      <c r="J916" s="24"/>
      <c r="K916" s="24"/>
      <c r="L916" s="24"/>
      <c r="M916" s="24"/>
      <c r="N916" s="24"/>
      <c r="O916" s="24"/>
      <c r="P916" s="24"/>
      <c r="Q916" s="24"/>
      <c r="R916" s="24"/>
      <c r="S916" s="24"/>
      <c r="T916" s="24"/>
      <c r="U916" s="24"/>
      <c r="V916" s="24"/>
      <c r="W916" s="14"/>
    </row>
    <row r="917" ht="14.25" customHeight="1">
      <c r="A917" s="24"/>
      <c r="B917" s="24"/>
      <c r="C917" s="24"/>
      <c r="D917" s="24"/>
      <c r="E917" s="24"/>
      <c r="F917" s="24"/>
      <c r="G917" s="24"/>
      <c r="H917" s="24"/>
      <c r="I917" s="24"/>
      <c r="J917" s="24"/>
      <c r="K917" s="24"/>
      <c r="L917" s="24"/>
      <c r="M917" s="24"/>
      <c r="N917" s="24"/>
      <c r="O917" s="24"/>
      <c r="P917" s="24"/>
      <c r="Q917" s="24"/>
      <c r="R917" s="24"/>
      <c r="S917" s="24"/>
      <c r="T917" s="24"/>
      <c r="U917" s="24"/>
      <c r="V917" s="24"/>
      <c r="W917" s="14"/>
    </row>
    <row r="918" ht="14.25" customHeight="1">
      <c r="A918" s="24"/>
      <c r="B918" s="24"/>
      <c r="C918" s="24"/>
      <c r="D918" s="24"/>
      <c r="E918" s="24"/>
      <c r="F918" s="24"/>
      <c r="G918" s="24"/>
      <c r="H918" s="24"/>
      <c r="I918" s="24"/>
      <c r="J918" s="24"/>
      <c r="K918" s="24"/>
      <c r="L918" s="24"/>
      <c r="M918" s="24"/>
      <c r="N918" s="24"/>
      <c r="O918" s="24"/>
      <c r="P918" s="24"/>
      <c r="Q918" s="24"/>
      <c r="R918" s="24"/>
      <c r="S918" s="24"/>
      <c r="T918" s="24"/>
      <c r="U918" s="24"/>
      <c r="V918" s="24"/>
      <c r="W918" s="14"/>
    </row>
    <row r="919" ht="14.25" customHeight="1">
      <c r="A919" s="24"/>
      <c r="B919" s="24"/>
      <c r="C919" s="24"/>
      <c r="D919" s="24"/>
      <c r="E919" s="24"/>
      <c r="F919" s="24"/>
      <c r="G919" s="24"/>
      <c r="H919" s="24"/>
      <c r="I919" s="24"/>
      <c r="J919" s="24"/>
      <c r="K919" s="24"/>
      <c r="L919" s="24"/>
      <c r="M919" s="24"/>
      <c r="N919" s="24"/>
      <c r="O919" s="24"/>
      <c r="P919" s="24"/>
      <c r="Q919" s="24"/>
      <c r="R919" s="24"/>
      <c r="S919" s="24"/>
      <c r="T919" s="24"/>
      <c r="U919" s="24"/>
      <c r="V919" s="24"/>
      <c r="W919" s="14"/>
    </row>
    <row r="920" ht="14.25" customHeight="1">
      <c r="A920" s="24"/>
      <c r="B920" s="24"/>
      <c r="C920" s="24"/>
      <c r="D920" s="24"/>
      <c r="E920" s="24"/>
      <c r="F920" s="24"/>
      <c r="G920" s="24"/>
      <c r="H920" s="24"/>
      <c r="I920" s="24"/>
      <c r="J920" s="24"/>
      <c r="K920" s="24"/>
      <c r="L920" s="24"/>
      <c r="M920" s="24"/>
      <c r="N920" s="24"/>
      <c r="O920" s="24"/>
      <c r="P920" s="24"/>
      <c r="Q920" s="24"/>
      <c r="R920" s="24"/>
      <c r="S920" s="24"/>
      <c r="T920" s="24"/>
      <c r="U920" s="24"/>
      <c r="V920" s="24"/>
      <c r="W920" s="14"/>
    </row>
    <row r="921" ht="14.25" customHeight="1">
      <c r="A921" s="24"/>
      <c r="B921" s="24"/>
      <c r="C921" s="24"/>
      <c r="D921" s="24"/>
      <c r="E921" s="24"/>
      <c r="F921" s="24"/>
      <c r="G921" s="24"/>
      <c r="H921" s="24"/>
      <c r="I921" s="24"/>
      <c r="J921" s="24"/>
      <c r="K921" s="24"/>
      <c r="L921" s="24"/>
      <c r="M921" s="24"/>
      <c r="N921" s="24"/>
      <c r="O921" s="24"/>
      <c r="P921" s="24"/>
      <c r="Q921" s="24"/>
      <c r="R921" s="24"/>
      <c r="S921" s="24"/>
      <c r="T921" s="24"/>
      <c r="U921" s="24"/>
      <c r="V921" s="24"/>
      <c r="W921" s="14"/>
    </row>
    <row r="922" ht="14.25" customHeight="1">
      <c r="A922" s="24"/>
      <c r="B922" s="24"/>
      <c r="C922" s="24"/>
      <c r="D922" s="24"/>
      <c r="E922" s="24"/>
      <c r="F922" s="24"/>
      <c r="G922" s="24"/>
      <c r="H922" s="24"/>
      <c r="I922" s="24"/>
      <c r="J922" s="24"/>
      <c r="K922" s="24"/>
      <c r="L922" s="24"/>
      <c r="M922" s="24"/>
      <c r="N922" s="24"/>
      <c r="O922" s="24"/>
      <c r="P922" s="24"/>
      <c r="Q922" s="24"/>
      <c r="R922" s="24"/>
      <c r="S922" s="24"/>
      <c r="T922" s="24"/>
      <c r="U922" s="24"/>
      <c r="V922" s="24"/>
      <c r="W922" s="14"/>
    </row>
    <row r="923" ht="14.25" customHeight="1">
      <c r="A923" s="24"/>
      <c r="B923" s="24"/>
      <c r="C923" s="24"/>
      <c r="D923" s="24"/>
      <c r="E923" s="24"/>
      <c r="F923" s="24"/>
      <c r="G923" s="24"/>
      <c r="H923" s="24"/>
      <c r="I923" s="24"/>
      <c r="J923" s="24"/>
      <c r="K923" s="24"/>
      <c r="L923" s="24"/>
      <c r="M923" s="24"/>
      <c r="N923" s="24"/>
      <c r="O923" s="24"/>
      <c r="P923" s="24"/>
      <c r="Q923" s="24"/>
      <c r="R923" s="24"/>
      <c r="S923" s="24"/>
      <c r="T923" s="24"/>
      <c r="U923" s="24"/>
      <c r="V923" s="24"/>
      <c r="W923" s="14"/>
    </row>
    <row r="924" ht="14.25" customHeight="1">
      <c r="A924" s="24"/>
      <c r="B924" s="24"/>
      <c r="C924" s="24"/>
      <c r="D924" s="24"/>
      <c r="E924" s="24"/>
      <c r="F924" s="24"/>
      <c r="G924" s="24"/>
      <c r="H924" s="24"/>
      <c r="I924" s="24"/>
      <c r="J924" s="24"/>
      <c r="K924" s="24"/>
      <c r="L924" s="24"/>
      <c r="M924" s="24"/>
      <c r="N924" s="24"/>
      <c r="O924" s="24"/>
      <c r="P924" s="24"/>
      <c r="Q924" s="24"/>
      <c r="R924" s="24"/>
      <c r="S924" s="24"/>
      <c r="T924" s="24"/>
      <c r="U924" s="24"/>
      <c r="V924" s="24"/>
      <c r="W924" s="14"/>
    </row>
    <row r="925" ht="14.25" customHeight="1">
      <c r="A925" s="24"/>
      <c r="B925" s="24"/>
      <c r="C925" s="24"/>
      <c r="D925" s="24"/>
      <c r="E925" s="24"/>
      <c r="F925" s="24"/>
      <c r="G925" s="24"/>
      <c r="H925" s="24"/>
      <c r="I925" s="24"/>
      <c r="J925" s="24"/>
      <c r="K925" s="24"/>
      <c r="L925" s="24"/>
      <c r="M925" s="24"/>
      <c r="N925" s="24"/>
      <c r="O925" s="24"/>
      <c r="P925" s="24"/>
      <c r="Q925" s="24"/>
      <c r="R925" s="24"/>
      <c r="S925" s="24"/>
      <c r="T925" s="24"/>
      <c r="U925" s="24"/>
      <c r="V925" s="24"/>
      <c r="W925" s="14"/>
    </row>
    <row r="926" ht="14.25" customHeight="1">
      <c r="A926" s="24"/>
      <c r="B926" s="24"/>
      <c r="C926" s="24"/>
      <c r="D926" s="24"/>
      <c r="E926" s="24"/>
      <c r="F926" s="24"/>
      <c r="G926" s="24"/>
      <c r="H926" s="24"/>
      <c r="I926" s="24"/>
      <c r="J926" s="24"/>
      <c r="K926" s="24"/>
      <c r="L926" s="24"/>
      <c r="M926" s="24"/>
      <c r="N926" s="24"/>
      <c r="O926" s="24"/>
      <c r="P926" s="24"/>
      <c r="Q926" s="24"/>
      <c r="R926" s="24"/>
      <c r="S926" s="24"/>
      <c r="T926" s="24"/>
      <c r="U926" s="24"/>
      <c r="V926" s="24"/>
      <c r="W926" s="14"/>
    </row>
    <row r="927" ht="14.25" customHeight="1">
      <c r="A927" s="24"/>
      <c r="B927" s="24"/>
      <c r="C927" s="24"/>
      <c r="D927" s="24"/>
      <c r="E927" s="24"/>
      <c r="F927" s="24"/>
      <c r="G927" s="24"/>
      <c r="H927" s="24"/>
      <c r="I927" s="24"/>
      <c r="J927" s="24"/>
      <c r="K927" s="24"/>
      <c r="L927" s="24"/>
      <c r="M927" s="24"/>
      <c r="N927" s="24"/>
      <c r="O927" s="24"/>
      <c r="P927" s="24"/>
      <c r="Q927" s="24"/>
      <c r="R927" s="24"/>
      <c r="S927" s="24"/>
      <c r="T927" s="24"/>
      <c r="U927" s="24"/>
      <c r="V927" s="24"/>
      <c r="W927" s="14"/>
    </row>
    <row r="928" ht="14.25" customHeight="1">
      <c r="A928" s="24"/>
      <c r="B928" s="24"/>
      <c r="C928" s="24"/>
      <c r="D928" s="24"/>
      <c r="E928" s="24"/>
      <c r="F928" s="24"/>
      <c r="G928" s="24"/>
      <c r="H928" s="24"/>
      <c r="I928" s="24"/>
      <c r="J928" s="24"/>
      <c r="K928" s="24"/>
      <c r="L928" s="24"/>
      <c r="M928" s="24"/>
      <c r="N928" s="24"/>
      <c r="O928" s="24"/>
      <c r="P928" s="24"/>
      <c r="Q928" s="24"/>
      <c r="R928" s="24"/>
      <c r="S928" s="24"/>
      <c r="T928" s="24"/>
      <c r="U928" s="24"/>
      <c r="V928" s="24"/>
      <c r="W928" s="14"/>
    </row>
    <row r="929" ht="14.25" customHeight="1">
      <c r="A929" s="24"/>
      <c r="B929" s="24"/>
      <c r="C929" s="24"/>
      <c r="D929" s="24"/>
      <c r="E929" s="24"/>
      <c r="F929" s="24"/>
      <c r="G929" s="24"/>
      <c r="H929" s="24"/>
      <c r="I929" s="24"/>
      <c r="J929" s="24"/>
      <c r="K929" s="24"/>
      <c r="L929" s="24"/>
      <c r="M929" s="24"/>
      <c r="N929" s="24"/>
      <c r="O929" s="24"/>
      <c r="P929" s="24"/>
      <c r="Q929" s="24"/>
      <c r="R929" s="24"/>
      <c r="S929" s="24"/>
      <c r="T929" s="24"/>
      <c r="U929" s="24"/>
      <c r="V929" s="24"/>
      <c r="W929" s="14"/>
    </row>
    <row r="930" ht="14.25" customHeight="1">
      <c r="A930" s="24"/>
      <c r="B930" s="24"/>
      <c r="C930" s="24"/>
      <c r="D930" s="24"/>
      <c r="E930" s="24"/>
      <c r="F930" s="24"/>
      <c r="G930" s="24"/>
      <c r="H930" s="24"/>
      <c r="I930" s="24"/>
      <c r="J930" s="24"/>
      <c r="K930" s="24"/>
      <c r="L930" s="24"/>
      <c r="M930" s="24"/>
      <c r="N930" s="24"/>
      <c r="O930" s="24"/>
      <c r="P930" s="24"/>
      <c r="Q930" s="24"/>
      <c r="R930" s="24"/>
      <c r="S930" s="24"/>
      <c r="T930" s="24"/>
      <c r="U930" s="24"/>
      <c r="V930" s="24"/>
      <c r="W930" s="14"/>
    </row>
    <row r="931" ht="14.25" customHeight="1">
      <c r="A931" s="24"/>
      <c r="B931" s="24"/>
      <c r="C931" s="24"/>
      <c r="D931" s="24"/>
      <c r="E931" s="24"/>
      <c r="F931" s="24"/>
      <c r="G931" s="24"/>
      <c r="H931" s="24"/>
      <c r="I931" s="24"/>
      <c r="J931" s="24"/>
      <c r="K931" s="24"/>
      <c r="L931" s="24"/>
      <c r="M931" s="24"/>
      <c r="N931" s="24"/>
      <c r="O931" s="24"/>
      <c r="P931" s="24"/>
      <c r="Q931" s="24"/>
      <c r="R931" s="24"/>
      <c r="S931" s="24"/>
      <c r="T931" s="24"/>
      <c r="U931" s="24"/>
      <c r="V931" s="24"/>
      <c r="W931" s="14"/>
    </row>
    <row r="932" ht="14.25" customHeight="1">
      <c r="A932" s="24"/>
      <c r="B932" s="24"/>
      <c r="C932" s="24"/>
      <c r="D932" s="24"/>
      <c r="E932" s="24"/>
      <c r="F932" s="24"/>
      <c r="G932" s="24"/>
      <c r="H932" s="24"/>
      <c r="I932" s="24"/>
      <c r="J932" s="24"/>
      <c r="K932" s="24"/>
      <c r="L932" s="24"/>
      <c r="M932" s="24"/>
      <c r="N932" s="24"/>
      <c r="O932" s="24"/>
      <c r="P932" s="24"/>
      <c r="Q932" s="24"/>
      <c r="R932" s="24"/>
      <c r="S932" s="24"/>
      <c r="T932" s="24"/>
      <c r="U932" s="24"/>
      <c r="V932" s="24"/>
      <c r="W932" s="14"/>
    </row>
    <row r="933" ht="14.25" customHeight="1">
      <c r="A933" s="24"/>
      <c r="B933" s="24"/>
      <c r="C933" s="24"/>
      <c r="D933" s="24"/>
      <c r="E933" s="24"/>
      <c r="F933" s="24"/>
      <c r="G933" s="24"/>
      <c r="H933" s="24"/>
      <c r="I933" s="24"/>
      <c r="J933" s="24"/>
      <c r="K933" s="24"/>
      <c r="L933" s="24"/>
      <c r="M933" s="24"/>
      <c r="N933" s="24"/>
      <c r="O933" s="24"/>
      <c r="P933" s="24"/>
      <c r="Q933" s="24"/>
      <c r="R933" s="24"/>
      <c r="S933" s="24"/>
      <c r="T933" s="24"/>
      <c r="U933" s="24"/>
      <c r="V933" s="24"/>
      <c r="W933" s="14"/>
    </row>
    <row r="934" ht="14.25" customHeight="1">
      <c r="A934" s="24"/>
      <c r="B934" s="24"/>
      <c r="C934" s="24"/>
      <c r="D934" s="24"/>
      <c r="E934" s="24"/>
      <c r="F934" s="24"/>
      <c r="G934" s="24"/>
      <c r="H934" s="24"/>
      <c r="I934" s="24"/>
      <c r="J934" s="24"/>
      <c r="K934" s="24"/>
      <c r="L934" s="24"/>
      <c r="M934" s="24"/>
      <c r="N934" s="24"/>
      <c r="O934" s="24"/>
      <c r="P934" s="24"/>
      <c r="Q934" s="24"/>
      <c r="R934" s="24"/>
      <c r="S934" s="24"/>
      <c r="T934" s="24"/>
      <c r="U934" s="24"/>
      <c r="V934" s="24"/>
      <c r="W934" s="14"/>
    </row>
    <row r="935" ht="14.25" customHeight="1">
      <c r="A935" s="24"/>
      <c r="B935" s="24"/>
      <c r="C935" s="24"/>
      <c r="D935" s="24"/>
      <c r="E935" s="24"/>
      <c r="F935" s="24"/>
      <c r="G935" s="24"/>
      <c r="H935" s="24"/>
      <c r="I935" s="24"/>
      <c r="J935" s="24"/>
      <c r="K935" s="24"/>
      <c r="L935" s="24"/>
      <c r="M935" s="24"/>
      <c r="N935" s="24"/>
      <c r="O935" s="24"/>
      <c r="P935" s="24"/>
      <c r="Q935" s="24"/>
      <c r="R935" s="24"/>
      <c r="S935" s="24"/>
      <c r="T935" s="24"/>
      <c r="U935" s="24"/>
      <c r="V935" s="24"/>
      <c r="W935" s="14"/>
    </row>
    <row r="936" ht="14.25" customHeight="1">
      <c r="A936" s="24"/>
      <c r="B936" s="24"/>
      <c r="C936" s="24"/>
      <c r="D936" s="24"/>
      <c r="E936" s="24"/>
      <c r="F936" s="24"/>
      <c r="G936" s="24"/>
      <c r="H936" s="24"/>
      <c r="I936" s="24"/>
      <c r="J936" s="24"/>
      <c r="K936" s="24"/>
      <c r="L936" s="24"/>
      <c r="M936" s="24"/>
      <c r="N936" s="24"/>
      <c r="O936" s="24"/>
      <c r="P936" s="24"/>
      <c r="Q936" s="24"/>
      <c r="R936" s="24"/>
      <c r="S936" s="24"/>
      <c r="T936" s="24"/>
      <c r="U936" s="24"/>
      <c r="V936" s="24"/>
      <c r="W936" s="14"/>
    </row>
    <row r="937" ht="14.25" customHeight="1">
      <c r="A937" s="24"/>
      <c r="B937" s="24"/>
      <c r="C937" s="24"/>
      <c r="D937" s="24"/>
      <c r="E937" s="24"/>
      <c r="F937" s="24"/>
      <c r="G937" s="24"/>
      <c r="H937" s="24"/>
      <c r="I937" s="24"/>
      <c r="J937" s="24"/>
      <c r="K937" s="24"/>
      <c r="L937" s="24"/>
      <c r="M937" s="24"/>
      <c r="N937" s="24"/>
      <c r="O937" s="24"/>
      <c r="P937" s="24"/>
      <c r="Q937" s="24"/>
      <c r="R937" s="24"/>
      <c r="S937" s="24"/>
      <c r="T937" s="24"/>
      <c r="U937" s="24"/>
      <c r="V937" s="24"/>
      <c r="W937" s="14"/>
    </row>
    <row r="938" ht="14.25" customHeight="1">
      <c r="A938" s="24"/>
      <c r="B938" s="24"/>
      <c r="C938" s="24"/>
      <c r="D938" s="24"/>
      <c r="E938" s="24"/>
      <c r="F938" s="24"/>
      <c r="G938" s="24"/>
      <c r="H938" s="24"/>
      <c r="I938" s="24"/>
      <c r="J938" s="24"/>
      <c r="K938" s="24"/>
      <c r="L938" s="24"/>
      <c r="M938" s="24"/>
      <c r="N938" s="24"/>
      <c r="O938" s="24"/>
      <c r="P938" s="24"/>
      <c r="Q938" s="24"/>
      <c r="R938" s="24"/>
      <c r="S938" s="24"/>
      <c r="T938" s="24"/>
      <c r="U938" s="24"/>
      <c r="V938" s="24"/>
      <c r="W938" s="14"/>
    </row>
    <row r="939" ht="14.25" customHeight="1">
      <c r="A939" s="24"/>
      <c r="B939" s="24"/>
      <c r="C939" s="24"/>
      <c r="D939" s="24"/>
      <c r="E939" s="24"/>
      <c r="F939" s="24"/>
      <c r="G939" s="24"/>
      <c r="H939" s="24"/>
      <c r="I939" s="24"/>
      <c r="J939" s="24"/>
      <c r="K939" s="24"/>
      <c r="L939" s="24"/>
      <c r="M939" s="24"/>
      <c r="N939" s="24"/>
      <c r="O939" s="24"/>
      <c r="P939" s="24"/>
      <c r="Q939" s="24"/>
      <c r="R939" s="24"/>
      <c r="S939" s="24"/>
      <c r="T939" s="24"/>
      <c r="U939" s="24"/>
      <c r="V939" s="24"/>
      <c r="W939" s="14"/>
    </row>
    <row r="940" ht="14.25" customHeight="1">
      <c r="A940" s="24"/>
      <c r="B940" s="24"/>
      <c r="C940" s="24"/>
      <c r="D940" s="24"/>
      <c r="E940" s="24"/>
      <c r="F940" s="24"/>
      <c r="G940" s="24"/>
      <c r="H940" s="24"/>
      <c r="I940" s="24"/>
      <c r="J940" s="24"/>
      <c r="K940" s="24"/>
      <c r="L940" s="24"/>
      <c r="M940" s="24"/>
      <c r="N940" s="24"/>
      <c r="O940" s="24"/>
      <c r="P940" s="24"/>
      <c r="Q940" s="24"/>
      <c r="R940" s="24"/>
      <c r="S940" s="24"/>
      <c r="T940" s="24"/>
      <c r="U940" s="24"/>
      <c r="V940" s="24"/>
      <c r="W940" s="14"/>
    </row>
    <row r="941" ht="14.25" customHeight="1">
      <c r="A941" s="24"/>
      <c r="B941" s="24"/>
      <c r="C941" s="24"/>
      <c r="D941" s="24"/>
      <c r="E941" s="24"/>
      <c r="F941" s="24"/>
      <c r="G941" s="24"/>
      <c r="H941" s="24"/>
      <c r="I941" s="24"/>
      <c r="J941" s="24"/>
      <c r="K941" s="24"/>
      <c r="L941" s="24"/>
      <c r="M941" s="24"/>
      <c r="N941" s="24"/>
      <c r="O941" s="24"/>
      <c r="P941" s="24"/>
      <c r="Q941" s="24"/>
      <c r="R941" s="24"/>
      <c r="S941" s="24"/>
      <c r="T941" s="24"/>
      <c r="U941" s="24"/>
      <c r="V941" s="24"/>
      <c r="W941" s="14"/>
    </row>
    <row r="942" ht="14.25" customHeight="1">
      <c r="A942" s="24"/>
      <c r="B942" s="24"/>
      <c r="C942" s="24"/>
      <c r="D942" s="24"/>
      <c r="E942" s="24"/>
      <c r="F942" s="24"/>
      <c r="G942" s="24"/>
      <c r="H942" s="24"/>
      <c r="I942" s="24"/>
      <c r="J942" s="24"/>
      <c r="K942" s="24"/>
      <c r="L942" s="24"/>
      <c r="M942" s="24"/>
      <c r="N942" s="24"/>
      <c r="O942" s="24"/>
      <c r="P942" s="24"/>
      <c r="Q942" s="24"/>
      <c r="R942" s="24"/>
      <c r="S942" s="24"/>
      <c r="T942" s="24"/>
      <c r="U942" s="24"/>
      <c r="V942" s="24"/>
      <c r="W942" s="14"/>
    </row>
    <row r="943" ht="14.25" customHeight="1">
      <c r="A943" s="24"/>
      <c r="B943" s="24"/>
      <c r="C943" s="24"/>
      <c r="D943" s="24"/>
      <c r="E943" s="24"/>
      <c r="F943" s="24"/>
      <c r="G943" s="24"/>
      <c r="H943" s="24"/>
      <c r="I943" s="24"/>
      <c r="J943" s="24"/>
      <c r="K943" s="24"/>
      <c r="L943" s="24"/>
      <c r="M943" s="24"/>
      <c r="N943" s="24"/>
      <c r="O943" s="24"/>
      <c r="P943" s="24"/>
      <c r="Q943" s="24"/>
      <c r="R943" s="24"/>
      <c r="S943" s="24"/>
      <c r="T943" s="24"/>
      <c r="U943" s="24"/>
      <c r="V943" s="24"/>
      <c r="W943" s="14"/>
    </row>
    <row r="944" ht="14.25" customHeight="1">
      <c r="A944" s="24"/>
      <c r="B944" s="24"/>
      <c r="C944" s="24"/>
      <c r="D944" s="24"/>
      <c r="E944" s="24"/>
      <c r="F944" s="24"/>
      <c r="G944" s="24"/>
      <c r="H944" s="24"/>
      <c r="I944" s="24"/>
      <c r="J944" s="24"/>
      <c r="K944" s="24"/>
      <c r="L944" s="24"/>
      <c r="M944" s="24"/>
      <c r="N944" s="24"/>
      <c r="O944" s="24"/>
      <c r="P944" s="24"/>
      <c r="Q944" s="24"/>
      <c r="R944" s="24"/>
      <c r="S944" s="24"/>
      <c r="T944" s="24"/>
      <c r="U944" s="24"/>
      <c r="V944" s="24"/>
      <c r="W944" s="14"/>
    </row>
    <row r="945" ht="14.25" customHeight="1">
      <c r="A945" s="24"/>
      <c r="B945" s="24"/>
      <c r="C945" s="24"/>
      <c r="D945" s="24"/>
      <c r="E945" s="24"/>
      <c r="F945" s="24"/>
      <c r="G945" s="24"/>
      <c r="H945" s="24"/>
      <c r="I945" s="24"/>
      <c r="J945" s="24"/>
      <c r="K945" s="24"/>
      <c r="L945" s="24"/>
      <c r="M945" s="24"/>
      <c r="N945" s="24"/>
      <c r="O945" s="24"/>
      <c r="P945" s="24"/>
      <c r="Q945" s="24"/>
      <c r="R945" s="24"/>
      <c r="S945" s="24"/>
      <c r="T945" s="24"/>
      <c r="U945" s="24"/>
      <c r="V945" s="24"/>
      <c r="W945" s="14"/>
    </row>
    <row r="946" ht="14.25" customHeight="1">
      <c r="A946" s="24"/>
      <c r="B946" s="24"/>
      <c r="C946" s="24"/>
      <c r="D946" s="24"/>
      <c r="E946" s="24"/>
      <c r="F946" s="24"/>
      <c r="G946" s="24"/>
      <c r="H946" s="24"/>
      <c r="I946" s="24"/>
      <c r="J946" s="24"/>
      <c r="K946" s="24"/>
      <c r="L946" s="24"/>
      <c r="M946" s="24"/>
      <c r="N946" s="24"/>
      <c r="O946" s="24"/>
      <c r="P946" s="24"/>
      <c r="Q946" s="24"/>
      <c r="R946" s="24"/>
      <c r="S946" s="24"/>
      <c r="T946" s="24"/>
      <c r="U946" s="24"/>
      <c r="V946" s="24"/>
      <c r="W946" s="14"/>
    </row>
    <row r="947" ht="14.25" customHeight="1">
      <c r="A947" s="24"/>
      <c r="B947" s="24"/>
      <c r="C947" s="24"/>
      <c r="D947" s="24"/>
      <c r="E947" s="24"/>
      <c r="F947" s="24"/>
      <c r="G947" s="24"/>
      <c r="H947" s="24"/>
      <c r="I947" s="24"/>
      <c r="J947" s="24"/>
      <c r="K947" s="24"/>
      <c r="L947" s="24"/>
      <c r="M947" s="24"/>
      <c r="N947" s="24"/>
      <c r="O947" s="24"/>
      <c r="P947" s="24"/>
      <c r="Q947" s="24"/>
      <c r="R947" s="24"/>
      <c r="S947" s="24"/>
      <c r="T947" s="24"/>
      <c r="U947" s="24"/>
      <c r="V947" s="24"/>
      <c r="W947" s="14"/>
    </row>
    <row r="948" ht="14.25" customHeight="1">
      <c r="A948" s="24"/>
      <c r="B948" s="24"/>
      <c r="C948" s="24"/>
      <c r="D948" s="24"/>
      <c r="E948" s="24"/>
      <c r="F948" s="24"/>
      <c r="G948" s="24"/>
      <c r="H948" s="24"/>
      <c r="I948" s="24"/>
      <c r="J948" s="24"/>
      <c r="K948" s="24"/>
      <c r="L948" s="24"/>
      <c r="M948" s="24"/>
      <c r="N948" s="24"/>
      <c r="O948" s="24"/>
      <c r="P948" s="24"/>
      <c r="Q948" s="24"/>
      <c r="R948" s="24"/>
      <c r="S948" s="24"/>
      <c r="T948" s="24"/>
      <c r="U948" s="24"/>
      <c r="V948" s="24"/>
      <c r="W948" s="14"/>
    </row>
    <row r="949" ht="14.25" customHeight="1">
      <c r="A949" s="24"/>
      <c r="B949" s="24"/>
      <c r="C949" s="24"/>
      <c r="D949" s="24"/>
      <c r="E949" s="24"/>
      <c r="F949" s="24"/>
      <c r="G949" s="24"/>
      <c r="H949" s="24"/>
      <c r="I949" s="24"/>
      <c r="J949" s="24"/>
      <c r="K949" s="24"/>
      <c r="L949" s="24"/>
      <c r="M949" s="24"/>
      <c r="N949" s="24"/>
      <c r="O949" s="24"/>
      <c r="P949" s="24"/>
      <c r="Q949" s="24"/>
      <c r="R949" s="24"/>
      <c r="S949" s="24"/>
      <c r="T949" s="24"/>
      <c r="U949" s="24"/>
      <c r="V949" s="24"/>
      <c r="W949" s="14"/>
    </row>
    <row r="950" ht="14.25" customHeight="1">
      <c r="A950" s="24"/>
      <c r="B950" s="24"/>
      <c r="C950" s="24"/>
      <c r="D950" s="24"/>
      <c r="E950" s="24"/>
      <c r="F950" s="24"/>
      <c r="G950" s="24"/>
      <c r="H950" s="24"/>
      <c r="I950" s="24"/>
      <c r="J950" s="24"/>
      <c r="K950" s="24"/>
      <c r="L950" s="24"/>
      <c r="M950" s="24"/>
      <c r="N950" s="24"/>
      <c r="O950" s="24"/>
      <c r="P950" s="24"/>
      <c r="Q950" s="24"/>
      <c r="R950" s="24"/>
      <c r="S950" s="24"/>
      <c r="T950" s="24"/>
      <c r="U950" s="24"/>
      <c r="V950" s="24"/>
      <c r="W950" s="14"/>
    </row>
    <row r="951" ht="14.25" customHeight="1">
      <c r="A951" s="24"/>
      <c r="B951" s="24"/>
      <c r="C951" s="24"/>
      <c r="D951" s="24"/>
      <c r="E951" s="24"/>
      <c r="F951" s="24"/>
      <c r="G951" s="24"/>
      <c r="H951" s="24"/>
      <c r="I951" s="24"/>
      <c r="J951" s="24"/>
      <c r="K951" s="24"/>
      <c r="L951" s="24"/>
      <c r="M951" s="24"/>
      <c r="N951" s="24"/>
      <c r="O951" s="24"/>
      <c r="P951" s="24"/>
      <c r="Q951" s="24"/>
      <c r="R951" s="24"/>
      <c r="S951" s="24"/>
      <c r="T951" s="24"/>
      <c r="U951" s="24"/>
      <c r="V951" s="24"/>
      <c r="W951" s="14"/>
    </row>
    <row r="952" ht="14.25" customHeight="1">
      <c r="A952" s="24"/>
      <c r="B952" s="24"/>
      <c r="C952" s="24"/>
      <c r="D952" s="24"/>
      <c r="E952" s="24"/>
      <c r="F952" s="24"/>
      <c r="G952" s="24"/>
      <c r="H952" s="24"/>
      <c r="I952" s="24"/>
      <c r="J952" s="24"/>
      <c r="K952" s="24"/>
      <c r="L952" s="24"/>
      <c r="M952" s="24"/>
      <c r="N952" s="24"/>
      <c r="O952" s="24"/>
      <c r="P952" s="24"/>
      <c r="Q952" s="24"/>
      <c r="R952" s="24"/>
      <c r="S952" s="24"/>
      <c r="T952" s="24"/>
      <c r="U952" s="24"/>
      <c r="V952" s="24"/>
      <c r="W952" s="14"/>
    </row>
    <row r="953" ht="14.25" customHeight="1">
      <c r="A953" s="24"/>
      <c r="B953" s="24"/>
      <c r="C953" s="24"/>
      <c r="D953" s="24"/>
      <c r="E953" s="24"/>
      <c r="F953" s="24"/>
      <c r="G953" s="24"/>
      <c r="H953" s="24"/>
      <c r="I953" s="24"/>
      <c r="J953" s="24"/>
      <c r="K953" s="24"/>
      <c r="L953" s="24"/>
      <c r="M953" s="24"/>
      <c r="N953" s="24"/>
      <c r="O953" s="24"/>
      <c r="P953" s="24"/>
      <c r="Q953" s="24"/>
      <c r="R953" s="24"/>
      <c r="S953" s="24"/>
      <c r="T953" s="24"/>
      <c r="U953" s="24"/>
      <c r="V953" s="24"/>
      <c r="W953" s="14"/>
    </row>
    <row r="954" ht="14.25" customHeight="1">
      <c r="A954" s="24"/>
      <c r="B954" s="24"/>
      <c r="C954" s="24"/>
      <c r="D954" s="24"/>
      <c r="E954" s="24"/>
      <c r="F954" s="24"/>
      <c r="G954" s="24"/>
      <c r="H954" s="24"/>
      <c r="I954" s="24"/>
      <c r="J954" s="24"/>
      <c r="K954" s="24"/>
      <c r="L954" s="24"/>
      <c r="M954" s="24"/>
      <c r="N954" s="24"/>
      <c r="O954" s="24"/>
      <c r="P954" s="24"/>
      <c r="Q954" s="24"/>
      <c r="R954" s="24"/>
      <c r="S954" s="24"/>
      <c r="T954" s="24"/>
      <c r="U954" s="24"/>
      <c r="V954" s="24"/>
      <c r="W954" s="14"/>
    </row>
    <row r="955" ht="14.25" customHeight="1">
      <c r="A955" s="24"/>
      <c r="B955" s="24"/>
      <c r="C955" s="24"/>
      <c r="D955" s="24"/>
      <c r="E955" s="24"/>
      <c r="F955" s="24"/>
      <c r="G955" s="24"/>
      <c r="H955" s="24"/>
      <c r="I955" s="24"/>
      <c r="J955" s="24"/>
      <c r="K955" s="24"/>
      <c r="L955" s="24"/>
      <c r="M955" s="24"/>
      <c r="N955" s="24"/>
      <c r="O955" s="24"/>
      <c r="P955" s="24"/>
      <c r="Q955" s="24"/>
      <c r="R955" s="24"/>
      <c r="S955" s="24"/>
      <c r="T955" s="24"/>
      <c r="U955" s="24"/>
      <c r="V955" s="24"/>
      <c r="W955" s="14"/>
    </row>
    <row r="956" ht="14.25" customHeight="1">
      <c r="A956" s="24"/>
      <c r="B956" s="24"/>
      <c r="C956" s="24"/>
      <c r="D956" s="24"/>
      <c r="E956" s="24"/>
      <c r="F956" s="24"/>
      <c r="G956" s="24"/>
      <c r="H956" s="24"/>
      <c r="I956" s="24"/>
      <c r="J956" s="24"/>
      <c r="K956" s="24"/>
      <c r="L956" s="24"/>
      <c r="M956" s="24"/>
      <c r="N956" s="24"/>
      <c r="O956" s="24"/>
      <c r="P956" s="24"/>
      <c r="Q956" s="24"/>
      <c r="R956" s="24"/>
      <c r="S956" s="24"/>
      <c r="T956" s="24"/>
      <c r="U956" s="24"/>
      <c r="V956" s="24"/>
      <c r="W956" s="14"/>
    </row>
    <row r="957" ht="14.25" customHeight="1">
      <c r="A957" s="24"/>
      <c r="B957" s="24"/>
      <c r="C957" s="24"/>
      <c r="D957" s="24"/>
      <c r="E957" s="24"/>
      <c r="F957" s="24"/>
      <c r="G957" s="24"/>
      <c r="H957" s="24"/>
      <c r="I957" s="24"/>
      <c r="J957" s="24"/>
      <c r="K957" s="24"/>
      <c r="L957" s="24"/>
      <c r="M957" s="24"/>
      <c r="N957" s="24"/>
      <c r="O957" s="24"/>
      <c r="P957" s="24"/>
      <c r="Q957" s="24"/>
      <c r="R957" s="24"/>
      <c r="S957" s="24"/>
      <c r="T957" s="24"/>
      <c r="U957" s="24"/>
      <c r="V957" s="24"/>
      <c r="W957" s="14"/>
    </row>
    <row r="958" ht="14.25" customHeight="1">
      <c r="A958" s="24"/>
      <c r="B958" s="24"/>
      <c r="C958" s="24"/>
      <c r="D958" s="24"/>
      <c r="E958" s="24"/>
      <c r="F958" s="24"/>
      <c r="G958" s="24"/>
      <c r="H958" s="24"/>
      <c r="I958" s="24"/>
      <c r="J958" s="24"/>
      <c r="K958" s="24"/>
      <c r="L958" s="24"/>
      <c r="M958" s="24"/>
      <c r="N958" s="24"/>
      <c r="O958" s="24"/>
      <c r="P958" s="24"/>
      <c r="Q958" s="24"/>
      <c r="R958" s="24"/>
      <c r="S958" s="24"/>
      <c r="T958" s="24"/>
      <c r="U958" s="24"/>
      <c r="V958" s="24"/>
      <c r="W958" s="14"/>
    </row>
    <row r="959" ht="14.25" customHeight="1">
      <c r="A959" s="24"/>
      <c r="B959" s="24"/>
      <c r="C959" s="24"/>
      <c r="D959" s="24"/>
      <c r="E959" s="24"/>
      <c r="F959" s="24"/>
      <c r="G959" s="24"/>
      <c r="H959" s="24"/>
      <c r="I959" s="24"/>
      <c r="J959" s="24"/>
      <c r="K959" s="24"/>
      <c r="L959" s="24"/>
      <c r="M959" s="24"/>
      <c r="N959" s="24"/>
      <c r="O959" s="24"/>
      <c r="P959" s="24"/>
      <c r="Q959" s="24"/>
      <c r="R959" s="24"/>
      <c r="S959" s="24"/>
      <c r="T959" s="24"/>
      <c r="U959" s="24"/>
      <c r="V959" s="24"/>
      <c r="W959" s="14"/>
    </row>
    <row r="960" ht="14.25" customHeight="1">
      <c r="A960" s="24"/>
      <c r="B960" s="24"/>
      <c r="C960" s="24"/>
      <c r="D960" s="24"/>
      <c r="E960" s="24"/>
      <c r="F960" s="24"/>
      <c r="G960" s="24"/>
      <c r="H960" s="24"/>
      <c r="I960" s="24"/>
      <c r="J960" s="24"/>
      <c r="K960" s="24"/>
      <c r="L960" s="24"/>
      <c r="M960" s="24"/>
      <c r="N960" s="24"/>
      <c r="O960" s="24"/>
      <c r="P960" s="24"/>
      <c r="Q960" s="24"/>
      <c r="R960" s="24"/>
      <c r="S960" s="24"/>
      <c r="T960" s="24"/>
      <c r="U960" s="24"/>
      <c r="V960" s="24"/>
      <c r="W960" s="14"/>
    </row>
    <row r="961" ht="14.25" customHeight="1">
      <c r="A961" s="24"/>
      <c r="B961" s="24"/>
      <c r="C961" s="24"/>
      <c r="D961" s="24"/>
      <c r="E961" s="24"/>
      <c r="F961" s="24"/>
      <c r="G961" s="24"/>
      <c r="H961" s="24"/>
      <c r="I961" s="24"/>
      <c r="J961" s="24"/>
      <c r="K961" s="24"/>
      <c r="L961" s="24"/>
      <c r="M961" s="24"/>
      <c r="N961" s="24"/>
      <c r="O961" s="24"/>
      <c r="P961" s="24"/>
      <c r="Q961" s="24"/>
      <c r="R961" s="24"/>
      <c r="S961" s="24"/>
      <c r="T961" s="24"/>
      <c r="U961" s="24"/>
      <c r="V961" s="24"/>
      <c r="W961" s="14"/>
    </row>
    <row r="962" ht="14.25" customHeight="1">
      <c r="A962" s="24"/>
      <c r="B962" s="24"/>
      <c r="C962" s="24"/>
      <c r="D962" s="24"/>
      <c r="E962" s="24"/>
      <c r="F962" s="24"/>
      <c r="G962" s="24"/>
      <c r="H962" s="24"/>
      <c r="I962" s="24"/>
      <c r="J962" s="24"/>
      <c r="K962" s="24"/>
      <c r="L962" s="24"/>
      <c r="M962" s="24"/>
      <c r="N962" s="24"/>
      <c r="O962" s="24"/>
      <c r="P962" s="24"/>
      <c r="Q962" s="24"/>
      <c r="R962" s="24"/>
      <c r="S962" s="24"/>
      <c r="T962" s="24"/>
      <c r="U962" s="24"/>
      <c r="V962" s="24"/>
      <c r="W962" s="14"/>
    </row>
    <row r="963" ht="14.25" customHeight="1">
      <c r="A963" s="24"/>
      <c r="B963" s="24"/>
      <c r="C963" s="24"/>
      <c r="D963" s="24"/>
      <c r="E963" s="24"/>
      <c r="F963" s="24"/>
      <c r="G963" s="24"/>
      <c r="H963" s="24"/>
      <c r="I963" s="24"/>
      <c r="J963" s="24"/>
      <c r="K963" s="24"/>
      <c r="L963" s="24"/>
      <c r="M963" s="24"/>
      <c r="N963" s="24"/>
      <c r="O963" s="24"/>
      <c r="P963" s="24"/>
      <c r="Q963" s="24"/>
      <c r="R963" s="24"/>
      <c r="S963" s="24"/>
      <c r="T963" s="24"/>
      <c r="U963" s="24"/>
      <c r="V963" s="24"/>
      <c r="W963" s="14"/>
    </row>
    <row r="964" ht="14.25" customHeight="1">
      <c r="A964" s="24"/>
      <c r="B964" s="24"/>
      <c r="C964" s="24"/>
      <c r="D964" s="24"/>
      <c r="E964" s="24"/>
      <c r="F964" s="24"/>
      <c r="G964" s="24"/>
      <c r="H964" s="24"/>
      <c r="I964" s="24"/>
      <c r="J964" s="24"/>
      <c r="K964" s="24"/>
      <c r="L964" s="24"/>
      <c r="M964" s="24"/>
      <c r="N964" s="24"/>
      <c r="O964" s="24"/>
      <c r="P964" s="24"/>
      <c r="Q964" s="24"/>
      <c r="R964" s="24"/>
      <c r="S964" s="24"/>
      <c r="T964" s="24"/>
      <c r="U964" s="24"/>
      <c r="V964" s="24"/>
      <c r="W964" s="14"/>
    </row>
    <row r="965" ht="14.25" customHeight="1">
      <c r="A965" s="24"/>
      <c r="B965" s="24"/>
      <c r="C965" s="24"/>
      <c r="D965" s="24"/>
      <c r="E965" s="24"/>
      <c r="F965" s="24"/>
      <c r="G965" s="24"/>
      <c r="H965" s="24"/>
      <c r="I965" s="24"/>
      <c r="J965" s="24"/>
      <c r="K965" s="24"/>
      <c r="L965" s="24"/>
      <c r="M965" s="24"/>
      <c r="N965" s="24"/>
      <c r="O965" s="24"/>
      <c r="P965" s="24"/>
      <c r="Q965" s="24"/>
      <c r="R965" s="24"/>
      <c r="S965" s="24"/>
      <c r="T965" s="24"/>
      <c r="U965" s="24"/>
      <c r="V965" s="24"/>
      <c r="W965" s="14"/>
    </row>
    <row r="966" ht="14.25" customHeight="1">
      <c r="A966" s="24"/>
      <c r="B966" s="24"/>
      <c r="C966" s="24"/>
      <c r="D966" s="24"/>
      <c r="E966" s="24"/>
      <c r="F966" s="24"/>
      <c r="G966" s="24"/>
      <c r="H966" s="24"/>
      <c r="I966" s="24"/>
      <c r="J966" s="24"/>
      <c r="K966" s="24"/>
      <c r="L966" s="24"/>
      <c r="M966" s="24"/>
      <c r="N966" s="24"/>
      <c r="O966" s="24"/>
      <c r="P966" s="24"/>
      <c r="Q966" s="24"/>
      <c r="R966" s="24"/>
      <c r="S966" s="24"/>
      <c r="T966" s="24"/>
      <c r="U966" s="24"/>
      <c r="V966" s="24"/>
      <c r="W966" s="14"/>
    </row>
    <row r="967" ht="14.25" customHeight="1">
      <c r="A967" s="24"/>
      <c r="B967" s="24"/>
      <c r="C967" s="24"/>
      <c r="D967" s="24"/>
      <c r="E967" s="24"/>
      <c r="F967" s="24"/>
      <c r="G967" s="24"/>
      <c r="H967" s="24"/>
      <c r="I967" s="24"/>
      <c r="J967" s="24"/>
      <c r="K967" s="24"/>
      <c r="L967" s="24"/>
      <c r="M967" s="24"/>
      <c r="N967" s="24"/>
      <c r="O967" s="24"/>
      <c r="P967" s="24"/>
      <c r="Q967" s="24"/>
      <c r="R967" s="24"/>
      <c r="S967" s="24"/>
      <c r="T967" s="24"/>
      <c r="U967" s="24"/>
      <c r="V967" s="24"/>
      <c r="W967" s="14"/>
    </row>
    <row r="968" ht="14.25" customHeight="1">
      <c r="A968" s="24"/>
      <c r="B968" s="24"/>
      <c r="C968" s="24"/>
      <c r="D968" s="24"/>
      <c r="E968" s="24"/>
      <c r="F968" s="24"/>
      <c r="G968" s="24"/>
      <c r="H968" s="24"/>
      <c r="I968" s="24"/>
      <c r="J968" s="24"/>
      <c r="K968" s="24"/>
      <c r="L968" s="24"/>
      <c r="M968" s="24"/>
      <c r="N968" s="24"/>
      <c r="O968" s="24"/>
      <c r="P968" s="24"/>
      <c r="Q968" s="24"/>
      <c r="R968" s="24"/>
      <c r="S968" s="24"/>
      <c r="T968" s="24"/>
      <c r="U968" s="24"/>
      <c r="V968" s="24"/>
      <c r="W968" s="14"/>
    </row>
    <row r="969" ht="14.25" customHeight="1">
      <c r="A969" s="24"/>
      <c r="B969" s="24"/>
      <c r="C969" s="24"/>
      <c r="D969" s="24"/>
      <c r="E969" s="24"/>
      <c r="F969" s="24"/>
      <c r="G969" s="24"/>
      <c r="H969" s="24"/>
      <c r="I969" s="24"/>
      <c r="J969" s="24"/>
      <c r="K969" s="24"/>
      <c r="L969" s="24"/>
      <c r="M969" s="24"/>
      <c r="N969" s="24"/>
      <c r="O969" s="24"/>
      <c r="P969" s="24"/>
      <c r="Q969" s="24"/>
      <c r="R969" s="24"/>
      <c r="S969" s="24"/>
      <c r="T969" s="24"/>
      <c r="U969" s="24"/>
      <c r="V969" s="24"/>
      <c r="W969" s="14"/>
    </row>
    <row r="970" ht="14.25" customHeight="1">
      <c r="A970" s="24"/>
      <c r="B970" s="24"/>
      <c r="C970" s="24"/>
      <c r="D970" s="24"/>
      <c r="E970" s="24"/>
      <c r="F970" s="24"/>
      <c r="G970" s="24"/>
      <c r="H970" s="24"/>
      <c r="I970" s="24"/>
      <c r="J970" s="24"/>
      <c r="K970" s="24"/>
      <c r="L970" s="24"/>
      <c r="M970" s="24"/>
      <c r="N970" s="24"/>
      <c r="O970" s="24"/>
      <c r="P970" s="24"/>
      <c r="Q970" s="24"/>
      <c r="R970" s="24"/>
      <c r="S970" s="24"/>
      <c r="T970" s="24"/>
      <c r="U970" s="24"/>
      <c r="V970" s="24"/>
      <c r="W970" s="14"/>
    </row>
    <row r="971" ht="14.25" customHeight="1">
      <c r="A971" s="24"/>
      <c r="B971" s="24"/>
      <c r="C971" s="24"/>
      <c r="D971" s="24"/>
      <c r="E971" s="24"/>
      <c r="F971" s="24"/>
      <c r="G971" s="24"/>
      <c r="H971" s="24"/>
      <c r="I971" s="24"/>
      <c r="J971" s="24"/>
      <c r="K971" s="24"/>
      <c r="L971" s="24"/>
      <c r="M971" s="24"/>
      <c r="N971" s="24"/>
      <c r="O971" s="24"/>
      <c r="P971" s="24"/>
      <c r="Q971" s="24"/>
      <c r="R971" s="24"/>
      <c r="S971" s="24"/>
      <c r="T971" s="24"/>
      <c r="U971" s="24"/>
      <c r="V971" s="24"/>
      <c r="W971" s="14"/>
    </row>
    <row r="972" ht="14.25" customHeight="1">
      <c r="A972" s="24"/>
      <c r="B972" s="24"/>
      <c r="C972" s="24"/>
      <c r="D972" s="24"/>
      <c r="E972" s="24"/>
      <c r="F972" s="24"/>
      <c r="G972" s="24"/>
      <c r="H972" s="24"/>
      <c r="I972" s="24"/>
      <c r="J972" s="24"/>
      <c r="K972" s="24"/>
      <c r="L972" s="24"/>
      <c r="M972" s="24"/>
      <c r="N972" s="24"/>
      <c r="O972" s="24"/>
      <c r="P972" s="24"/>
      <c r="Q972" s="24"/>
      <c r="R972" s="24"/>
      <c r="S972" s="24"/>
      <c r="T972" s="24"/>
      <c r="U972" s="24"/>
      <c r="V972" s="24"/>
      <c r="W972" s="14"/>
    </row>
    <row r="973" ht="14.25" customHeight="1">
      <c r="A973" s="24"/>
      <c r="B973" s="24"/>
      <c r="C973" s="24"/>
      <c r="D973" s="24"/>
      <c r="E973" s="24"/>
      <c r="F973" s="24"/>
      <c r="G973" s="24"/>
      <c r="H973" s="24"/>
      <c r="I973" s="24"/>
      <c r="J973" s="24"/>
      <c r="K973" s="24"/>
      <c r="L973" s="24"/>
      <c r="M973" s="24"/>
      <c r="N973" s="24"/>
      <c r="O973" s="24"/>
      <c r="P973" s="24"/>
      <c r="Q973" s="24"/>
      <c r="R973" s="24"/>
      <c r="S973" s="24"/>
      <c r="T973" s="24"/>
      <c r="U973" s="24"/>
      <c r="V973" s="24"/>
      <c r="W973" s="14"/>
    </row>
    <row r="974" ht="14.25" customHeight="1">
      <c r="A974" s="24"/>
      <c r="B974" s="24"/>
      <c r="C974" s="24"/>
      <c r="D974" s="24"/>
      <c r="E974" s="24"/>
      <c r="F974" s="24"/>
      <c r="G974" s="24"/>
      <c r="H974" s="24"/>
      <c r="I974" s="24"/>
      <c r="J974" s="24"/>
      <c r="K974" s="24"/>
      <c r="L974" s="24"/>
      <c r="M974" s="24"/>
      <c r="N974" s="24"/>
      <c r="O974" s="24"/>
      <c r="P974" s="24"/>
      <c r="Q974" s="24"/>
      <c r="R974" s="24"/>
      <c r="S974" s="24"/>
      <c r="T974" s="24"/>
      <c r="U974" s="24"/>
      <c r="V974" s="24"/>
      <c r="W974" s="14"/>
    </row>
    <row r="975" ht="14.25" customHeight="1">
      <c r="A975" s="24"/>
      <c r="B975" s="24"/>
      <c r="C975" s="24"/>
      <c r="D975" s="24"/>
      <c r="E975" s="24"/>
      <c r="F975" s="24"/>
      <c r="G975" s="24"/>
      <c r="H975" s="24"/>
      <c r="I975" s="24"/>
      <c r="J975" s="24"/>
      <c r="K975" s="24"/>
      <c r="L975" s="24"/>
      <c r="M975" s="24"/>
      <c r="N975" s="24"/>
      <c r="O975" s="24"/>
      <c r="P975" s="24"/>
      <c r="Q975" s="24"/>
      <c r="R975" s="24"/>
      <c r="S975" s="24"/>
      <c r="T975" s="24"/>
      <c r="U975" s="24"/>
      <c r="V975" s="24"/>
      <c r="W975" s="14"/>
    </row>
    <row r="976" ht="14.25" customHeight="1">
      <c r="A976" s="24"/>
      <c r="B976" s="24"/>
      <c r="C976" s="24"/>
      <c r="D976" s="24"/>
      <c r="E976" s="24"/>
      <c r="F976" s="24"/>
      <c r="G976" s="24"/>
      <c r="H976" s="24"/>
      <c r="I976" s="24"/>
      <c r="J976" s="24"/>
      <c r="K976" s="24"/>
      <c r="L976" s="24"/>
      <c r="M976" s="24"/>
      <c r="N976" s="24"/>
      <c r="O976" s="24"/>
      <c r="P976" s="24"/>
      <c r="Q976" s="24"/>
      <c r="R976" s="24"/>
      <c r="S976" s="24"/>
      <c r="T976" s="24"/>
      <c r="U976" s="24"/>
      <c r="V976" s="24"/>
      <c r="W976" s="14"/>
    </row>
    <row r="977" ht="14.25" customHeight="1">
      <c r="A977" s="24"/>
      <c r="B977" s="24"/>
      <c r="C977" s="24"/>
      <c r="D977" s="24"/>
      <c r="E977" s="24"/>
      <c r="F977" s="24"/>
      <c r="G977" s="24"/>
      <c r="H977" s="24"/>
      <c r="I977" s="24"/>
      <c r="J977" s="24"/>
      <c r="K977" s="24"/>
      <c r="L977" s="24"/>
      <c r="M977" s="24"/>
      <c r="N977" s="24"/>
      <c r="O977" s="24"/>
      <c r="P977" s="24"/>
      <c r="Q977" s="24"/>
      <c r="R977" s="24"/>
      <c r="S977" s="24"/>
      <c r="T977" s="24"/>
      <c r="U977" s="24"/>
      <c r="V977" s="24"/>
      <c r="W977" s="14"/>
    </row>
    <row r="978" ht="14.25" customHeight="1">
      <c r="A978" s="24"/>
      <c r="B978" s="24"/>
      <c r="C978" s="24"/>
      <c r="D978" s="24"/>
      <c r="E978" s="24"/>
      <c r="F978" s="24"/>
      <c r="G978" s="24"/>
      <c r="H978" s="24"/>
      <c r="I978" s="24"/>
      <c r="J978" s="24"/>
      <c r="K978" s="24"/>
      <c r="L978" s="24"/>
      <c r="M978" s="24"/>
      <c r="N978" s="24"/>
      <c r="O978" s="24"/>
      <c r="P978" s="24"/>
      <c r="Q978" s="24"/>
      <c r="R978" s="24"/>
      <c r="S978" s="24"/>
      <c r="T978" s="24"/>
      <c r="U978" s="24"/>
      <c r="V978" s="24"/>
      <c r="W978" s="14"/>
    </row>
    <row r="979" ht="14.25" customHeight="1">
      <c r="A979" s="24"/>
      <c r="B979" s="24"/>
      <c r="C979" s="24"/>
      <c r="D979" s="24"/>
      <c r="E979" s="24"/>
      <c r="F979" s="24"/>
      <c r="G979" s="24"/>
      <c r="H979" s="24"/>
      <c r="I979" s="24"/>
      <c r="J979" s="24"/>
      <c r="K979" s="24"/>
      <c r="L979" s="24"/>
      <c r="M979" s="24"/>
      <c r="N979" s="24"/>
      <c r="O979" s="24"/>
      <c r="P979" s="24"/>
      <c r="Q979" s="24"/>
      <c r="R979" s="24"/>
      <c r="S979" s="24"/>
      <c r="T979" s="24"/>
      <c r="U979" s="24"/>
      <c r="V979" s="24"/>
      <c r="W979" s="14"/>
    </row>
    <row r="980" ht="14.25" customHeight="1">
      <c r="A980" s="24"/>
      <c r="B980" s="24"/>
      <c r="C980" s="24"/>
      <c r="D980" s="24"/>
      <c r="E980" s="24"/>
      <c r="F980" s="24"/>
      <c r="G980" s="24"/>
      <c r="H980" s="24"/>
      <c r="I980" s="24"/>
      <c r="J980" s="24"/>
      <c r="K980" s="24"/>
      <c r="L980" s="24"/>
      <c r="M980" s="24"/>
      <c r="N980" s="24"/>
      <c r="O980" s="24"/>
      <c r="P980" s="24"/>
      <c r="Q980" s="24"/>
      <c r="R980" s="24"/>
      <c r="S980" s="24"/>
      <c r="T980" s="24"/>
      <c r="U980" s="24"/>
      <c r="V980" s="24"/>
      <c r="W980" s="14"/>
    </row>
    <row r="981" ht="14.25" customHeight="1">
      <c r="A981" s="24"/>
      <c r="B981" s="24"/>
      <c r="C981" s="24"/>
      <c r="D981" s="24"/>
      <c r="E981" s="24"/>
      <c r="F981" s="24"/>
      <c r="G981" s="24"/>
      <c r="H981" s="24"/>
      <c r="I981" s="24"/>
      <c r="J981" s="24"/>
      <c r="K981" s="24"/>
      <c r="L981" s="24"/>
      <c r="M981" s="24"/>
      <c r="N981" s="24"/>
      <c r="O981" s="24"/>
      <c r="P981" s="24"/>
      <c r="Q981" s="24"/>
      <c r="R981" s="24"/>
      <c r="S981" s="24"/>
      <c r="T981" s="24"/>
      <c r="U981" s="24"/>
      <c r="V981" s="24"/>
      <c r="W981" s="14"/>
    </row>
    <row r="982" ht="14.25" customHeight="1">
      <c r="A982" s="24"/>
      <c r="B982" s="24"/>
      <c r="C982" s="24"/>
      <c r="D982" s="24"/>
      <c r="E982" s="24"/>
      <c r="F982" s="24"/>
      <c r="G982" s="24"/>
      <c r="H982" s="24"/>
      <c r="I982" s="24"/>
      <c r="J982" s="24"/>
      <c r="K982" s="24"/>
      <c r="L982" s="24"/>
      <c r="M982" s="24"/>
      <c r="N982" s="24"/>
      <c r="O982" s="24"/>
      <c r="P982" s="24"/>
      <c r="Q982" s="24"/>
      <c r="R982" s="24"/>
      <c r="S982" s="24"/>
      <c r="T982" s="24"/>
      <c r="U982" s="24"/>
      <c r="V982" s="24"/>
      <c r="W982" s="14"/>
    </row>
    <row r="983" ht="14.25" customHeight="1">
      <c r="A983" s="24"/>
      <c r="B983" s="24"/>
      <c r="C983" s="24"/>
      <c r="D983" s="24"/>
      <c r="E983" s="24"/>
      <c r="F983" s="24"/>
      <c r="G983" s="24"/>
      <c r="H983" s="24"/>
      <c r="I983" s="24"/>
      <c r="J983" s="24"/>
      <c r="K983" s="24"/>
      <c r="L983" s="24"/>
      <c r="M983" s="24"/>
      <c r="N983" s="24"/>
      <c r="O983" s="24"/>
      <c r="P983" s="24"/>
      <c r="Q983" s="24"/>
      <c r="R983" s="24"/>
      <c r="S983" s="24"/>
      <c r="T983" s="24"/>
      <c r="U983" s="24"/>
      <c r="V983" s="24"/>
      <c r="W983" s="14"/>
    </row>
    <row r="984" ht="14.25" customHeight="1">
      <c r="A984" s="24"/>
      <c r="B984" s="24"/>
      <c r="C984" s="24"/>
      <c r="D984" s="24"/>
      <c r="E984" s="24"/>
      <c r="F984" s="24"/>
      <c r="G984" s="24"/>
      <c r="H984" s="24"/>
      <c r="I984" s="24"/>
      <c r="J984" s="24"/>
      <c r="K984" s="24"/>
      <c r="L984" s="24"/>
      <c r="M984" s="24"/>
      <c r="N984" s="24"/>
      <c r="O984" s="24"/>
      <c r="P984" s="24"/>
      <c r="Q984" s="24"/>
      <c r="R984" s="24"/>
      <c r="S984" s="24"/>
      <c r="T984" s="24"/>
      <c r="U984" s="24"/>
      <c r="V984" s="24"/>
      <c r="W984" s="14"/>
    </row>
    <row r="985" ht="14.25" customHeight="1">
      <c r="A985" s="24"/>
      <c r="B985" s="24"/>
      <c r="C985" s="24"/>
      <c r="D985" s="24"/>
      <c r="E985" s="24"/>
      <c r="F985" s="24"/>
      <c r="G985" s="24"/>
      <c r="H985" s="24"/>
      <c r="I985" s="24"/>
      <c r="J985" s="24"/>
      <c r="K985" s="24"/>
      <c r="L985" s="24"/>
      <c r="M985" s="24"/>
      <c r="N985" s="24"/>
      <c r="O985" s="24"/>
      <c r="P985" s="24"/>
      <c r="Q985" s="24"/>
      <c r="R985" s="24"/>
      <c r="S985" s="24"/>
      <c r="T985" s="24"/>
      <c r="U985" s="24"/>
      <c r="V985" s="24"/>
      <c r="W985" s="14"/>
    </row>
    <row r="986" ht="14.25" customHeight="1">
      <c r="A986" s="24"/>
      <c r="B986" s="24"/>
      <c r="C986" s="24"/>
      <c r="D986" s="24"/>
      <c r="E986" s="24"/>
      <c r="F986" s="24"/>
      <c r="G986" s="24"/>
      <c r="H986" s="24"/>
      <c r="I986" s="24"/>
      <c r="J986" s="24"/>
      <c r="K986" s="24"/>
      <c r="L986" s="24"/>
      <c r="M986" s="24"/>
      <c r="N986" s="24"/>
      <c r="O986" s="24"/>
      <c r="P986" s="24"/>
      <c r="Q986" s="24"/>
      <c r="R986" s="24"/>
      <c r="S986" s="24"/>
      <c r="T986" s="24"/>
      <c r="U986" s="24"/>
      <c r="V986" s="24"/>
      <c r="W986" s="14"/>
    </row>
    <row r="987" ht="14.25" customHeight="1">
      <c r="A987" s="24"/>
      <c r="B987" s="24"/>
      <c r="C987" s="24"/>
      <c r="D987" s="24"/>
      <c r="E987" s="24"/>
      <c r="F987" s="24"/>
      <c r="G987" s="24"/>
      <c r="H987" s="24"/>
      <c r="I987" s="24"/>
      <c r="J987" s="24"/>
      <c r="K987" s="24"/>
      <c r="L987" s="24"/>
      <c r="M987" s="24"/>
      <c r="N987" s="24"/>
      <c r="O987" s="24"/>
      <c r="P987" s="24"/>
      <c r="Q987" s="24"/>
      <c r="R987" s="24"/>
      <c r="S987" s="24"/>
      <c r="T987" s="24"/>
      <c r="U987" s="24"/>
      <c r="V987" s="24"/>
      <c r="W987" s="14"/>
    </row>
    <row r="988" ht="14.25" customHeight="1">
      <c r="A988" s="24"/>
      <c r="B988" s="24"/>
      <c r="C988" s="24"/>
      <c r="D988" s="24"/>
      <c r="E988" s="24"/>
      <c r="F988" s="24"/>
      <c r="G988" s="24"/>
      <c r="H988" s="24"/>
      <c r="I988" s="24"/>
      <c r="J988" s="24"/>
      <c r="K988" s="24"/>
      <c r="L988" s="24"/>
      <c r="M988" s="24"/>
      <c r="N988" s="24"/>
      <c r="O988" s="24"/>
      <c r="P988" s="24"/>
      <c r="Q988" s="24"/>
      <c r="R988" s="24"/>
      <c r="S988" s="24"/>
      <c r="T988" s="24"/>
      <c r="U988" s="24"/>
      <c r="V988" s="24"/>
      <c r="W988" s="14"/>
    </row>
    <row r="989" ht="14.25" customHeight="1">
      <c r="A989" s="24"/>
      <c r="B989" s="24"/>
      <c r="C989" s="24"/>
      <c r="D989" s="24"/>
      <c r="E989" s="24"/>
      <c r="F989" s="24"/>
      <c r="G989" s="24"/>
      <c r="H989" s="24"/>
      <c r="I989" s="24"/>
      <c r="J989" s="24"/>
      <c r="K989" s="24"/>
      <c r="L989" s="24"/>
      <c r="M989" s="24"/>
      <c r="N989" s="24"/>
      <c r="O989" s="24"/>
      <c r="P989" s="24"/>
      <c r="Q989" s="24"/>
      <c r="R989" s="24"/>
      <c r="S989" s="24"/>
      <c r="T989" s="24"/>
      <c r="U989" s="24"/>
      <c r="V989" s="24"/>
      <c r="W989" s="14"/>
    </row>
    <row r="990" ht="14.25" customHeight="1">
      <c r="A990" s="24"/>
      <c r="B990" s="24"/>
      <c r="C990" s="24"/>
      <c r="D990" s="24"/>
      <c r="E990" s="24"/>
      <c r="F990" s="24"/>
      <c r="G990" s="24"/>
      <c r="H990" s="24"/>
      <c r="I990" s="24"/>
      <c r="J990" s="24"/>
      <c r="K990" s="24"/>
      <c r="L990" s="24"/>
      <c r="M990" s="24"/>
      <c r="N990" s="24"/>
      <c r="O990" s="24"/>
      <c r="P990" s="24"/>
      <c r="Q990" s="24"/>
      <c r="R990" s="24"/>
      <c r="S990" s="24"/>
      <c r="T990" s="24"/>
      <c r="U990" s="24"/>
      <c r="V990" s="24"/>
      <c r="W990" s="14"/>
    </row>
    <row r="991" ht="14.25" customHeight="1">
      <c r="A991" s="24"/>
      <c r="B991" s="24"/>
      <c r="C991" s="24"/>
      <c r="D991" s="24"/>
      <c r="E991" s="24"/>
      <c r="F991" s="24"/>
      <c r="G991" s="24"/>
      <c r="H991" s="24"/>
      <c r="I991" s="24"/>
      <c r="J991" s="24"/>
      <c r="K991" s="24"/>
      <c r="L991" s="24"/>
      <c r="M991" s="24"/>
      <c r="N991" s="24"/>
      <c r="O991" s="24"/>
      <c r="P991" s="24"/>
      <c r="Q991" s="24"/>
      <c r="R991" s="24"/>
      <c r="S991" s="24"/>
      <c r="T991" s="24"/>
      <c r="U991" s="24"/>
      <c r="V991" s="24"/>
      <c r="W991" s="14"/>
    </row>
    <row r="992" ht="14.25" customHeight="1">
      <c r="A992" s="24"/>
      <c r="B992" s="24"/>
      <c r="C992" s="24"/>
      <c r="D992" s="24"/>
      <c r="E992" s="24"/>
      <c r="F992" s="24"/>
      <c r="G992" s="24"/>
      <c r="H992" s="24"/>
      <c r="I992" s="24"/>
      <c r="J992" s="24"/>
      <c r="K992" s="24"/>
      <c r="L992" s="24"/>
      <c r="M992" s="24"/>
      <c r="N992" s="24"/>
      <c r="O992" s="24"/>
      <c r="P992" s="24"/>
      <c r="Q992" s="24"/>
      <c r="R992" s="24"/>
      <c r="S992" s="24"/>
      <c r="T992" s="24"/>
      <c r="U992" s="24"/>
      <c r="V992" s="24"/>
      <c r="W992" s="14"/>
    </row>
    <row r="993" ht="14.25" customHeight="1">
      <c r="A993" s="24"/>
      <c r="B993" s="24"/>
      <c r="C993" s="24"/>
      <c r="D993" s="24"/>
      <c r="E993" s="24"/>
      <c r="F993" s="24"/>
      <c r="G993" s="24"/>
      <c r="H993" s="24"/>
      <c r="I993" s="24"/>
      <c r="J993" s="24"/>
      <c r="K993" s="24"/>
      <c r="L993" s="24"/>
      <c r="M993" s="24"/>
      <c r="N993" s="24"/>
      <c r="O993" s="24"/>
      <c r="P993" s="24"/>
      <c r="Q993" s="24"/>
      <c r="R993" s="24"/>
      <c r="S993" s="24"/>
      <c r="T993" s="24"/>
      <c r="U993" s="24"/>
      <c r="V993" s="24"/>
      <c r="W993" s="14"/>
    </row>
    <row r="994" ht="14.25" customHeight="1">
      <c r="A994" s="24"/>
      <c r="B994" s="24"/>
      <c r="C994" s="24"/>
      <c r="D994" s="24"/>
      <c r="E994" s="24"/>
      <c r="F994" s="24"/>
      <c r="G994" s="24"/>
      <c r="H994" s="24"/>
      <c r="I994" s="24"/>
      <c r="J994" s="24"/>
      <c r="K994" s="24"/>
      <c r="L994" s="24"/>
      <c r="M994" s="24"/>
      <c r="N994" s="24"/>
      <c r="O994" s="24"/>
      <c r="P994" s="24"/>
      <c r="Q994" s="24"/>
      <c r="R994" s="24"/>
      <c r="S994" s="24"/>
      <c r="T994" s="24"/>
      <c r="U994" s="24"/>
      <c r="V994" s="24"/>
      <c r="W994" s="14"/>
    </row>
    <row r="995" ht="14.25" customHeight="1">
      <c r="A995" s="24"/>
      <c r="B995" s="24"/>
      <c r="C995" s="24"/>
      <c r="D995" s="24"/>
      <c r="E995" s="24"/>
      <c r="F995" s="24"/>
      <c r="G995" s="24"/>
      <c r="H995" s="24"/>
      <c r="I995" s="24"/>
      <c r="J995" s="24"/>
      <c r="K995" s="24"/>
      <c r="L995" s="24"/>
      <c r="M995" s="24"/>
      <c r="N995" s="24"/>
      <c r="O995" s="24"/>
      <c r="P995" s="24"/>
      <c r="Q995" s="24"/>
      <c r="R995" s="24"/>
      <c r="S995" s="24"/>
      <c r="T995" s="24"/>
      <c r="U995" s="24"/>
      <c r="V995" s="24"/>
      <c r="W995" s="14"/>
    </row>
    <row r="996" ht="14.25" customHeight="1">
      <c r="A996" s="24"/>
      <c r="B996" s="24"/>
      <c r="C996" s="24"/>
      <c r="D996" s="24"/>
      <c r="E996" s="24"/>
      <c r="F996" s="24"/>
      <c r="G996" s="24"/>
      <c r="H996" s="24"/>
      <c r="I996" s="24"/>
      <c r="J996" s="24"/>
      <c r="K996" s="24"/>
      <c r="L996" s="24"/>
      <c r="M996" s="24"/>
      <c r="N996" s="24"/>
      <c r="O996" s="24"/>
      <c r="P996" s="24"/>
      <c r="Q996" s="24"/>
      <c r="R996" s="24"/>
      <c r="S996" s="24"/>
      <c r="T996" s="24"/>
      <c r="U996" s="24"/>
      <c r="V996" s="24"/>
      <c r="W996" s="14"/>
    </row>
    <row r="997" ht="14.25" customHeight="1">
      <c r="A997" s="24"/>
      <c r="B997" s="24"/>
      <c r="C997" s="24"/>
      <c r="D997" s="24"/>
      <c r="E997" s="24"/>
      <c r="F997" s="24"/>
      <c r="G997" s="24"/>
      <c r="H997" s="24"/>
      <c r="I997" s="24"/>
      <c r="J997" s="24"/>
      <c r="K997" s="24"/>
      <c r="L997" s="24"/>
      <c r="M997" s="24"/>
      <c r="N997" s="24"/>
      <c r="O997" s="24"/>
      <c r="P997" s="24"/>
      <c r="Q997" s="24"/>
      <c r="R997" s="24"/>
      <c r="S997" s="24"/>
      <c r="T997" s="24"/>
      <c r="U997" s="24"/>
      <c r="V997" s="24"/>
      <c r="W997" s="14"/>
    </row>
    <row r="998" ht="14.25" customHeight="1">
      <c r="A998" s="24"/>
      <c r="B998" s="24"/>
      <c r="C998" s="24"/>
      <c r="D998" s="24"/>
      <c r="E998" s="24"/>
      <c r="F998" s="24"/>
      <c r="G998" s="24"/>
      <c r="H998" s="24"/>
      <c r="I998" s="24"/>
      <c r="J998" s="24"/>
      <c r="K998" s="24"/>
      <c r="L998" s="24"/>
      <c r="M998" s="24"/>
      <c r="N998" s="24"/>
      <c r="O998" s="24"/>
      <c r="P998" s="24"/>
      <c r="Q998" s="24"/>
      <c r="R998" s="24"/>
      <c r="S998" s="24"/>
      <c r="T998" s="24"/>
      <c r="U998" s="24"/>
      <c r="V998" s="24"/>
      <c r="W998" s="14"/>
    </row>
    <row r="999" ht="14.25" customHeight="1">
      <c r="A999" s="24"/>
      <c r="B999" s="24"/>
      <c r="C999" s="24"/>
      <c r="D999" s="24"/>
      <c r="E999" s="24"/>
      <c r="F999" s="24"/>
      <c r="G999" s="24"/>
      <c r="H999" s="24"/>
      <c r="I999" s="24"/>
      <c r="J999" s="24"/>
      <c r="K999" s="24"/>
      <c r="L999" s="24"/>
      <c r="M999" s="24"/>
      <c r="N999" s="24"/>
      <c r="O999" s="24"/>
      <c r="P999" s="24"/>
      <c r="Q999" s="24"/>
      <c r="R999" s="24"/>
      <c r="S999" s="24"/>
      <c r="T999" s="24"/>
      <c r="U999" s="24"/>
      <c r="V999" s="24"/>
      <c r="W999" s="14"/>
    </row>
    <row r="1000" ht="14.25" customHeight="1">
      <c r="A1000" s="24"/>
      <c r="B1000" s="24"/>
      <c r="C1000" s="24"/>
      <c r="D1000" s="24"/>
      <c r="E1000" s="24"/>
      <c r="F1000" s="24"/>
      <c r="G1000" s="24"/>
      <c r="H1000" s="24"/>
      <c r="I1000" s="24"/>
      <c r="J1000" s="24"/>
      <c r="K1000" s="24"/>
      <c r="L1000" s="24"/>
      <c r="M1000" s="24"/>
      <c r="N1000" s="24"/>
      <c r="O1000" s="24"/>
      <c r="P1000" s="24"/>
      <c r="Q1000" s="24"/>
      <c r="R1000" s="24"/>
      <c r="S1000" s="24"/>
      <c r="T1000" s="24"/>
      <c r="U1000" s="24"/>
      <c r="V1000" s="24"/>
      <c r="W1000" s="14"/>
    </row>
  </sheetData>
  <conditionalFormatting sqref="K1:K1000">
    <cfRule type="expression" dxfId="0" priority="1">
      <formula>COUNTIF(K:K, K1)&gt;1</formula>
    </cfRule>
  </conditionalFormatting>
  <conditionalFormatting sqref="N1:N1000">
    <cfRule type="expression" dxfId="0" priority="2">
      <formula>COUNTIF(N:N, N1)&gt;1</formula>
    </cfRule>
  </conditionalFormatting>
  <conditionalFormatting sqref="A1:A1000">
    <cfRule type="expression" dxfId="0" priority="3">
      <formula>COUNTIF(A:A, A1)&gt;1</formula>
    </cfRule>
  </conditionalFormatting>
  <hyperlinks>
    <hyperlink r:id="rId2" ref="M3"/>
    <hyperlink r:id="rId3" ref="M4"/>
    <hyperlink r:id="rId4" ref="L5"/>
    <hyperlink r:id="rId5" ref="M5"/>
    <hyperlink r:id="rId6" ref="M6"/>
    <hyperlink r:id="rId7" ref="M7"/>
    <hyperlink r:id="rId8" ref="M8"/>
    <hyperlink r:id="rId9" ref="M9"/>
    <hyperlink r:id="rId10" ref="M10"/>
    <hyperlink r:id="rId11" ref="M11"/>
    <hyperlink r:id="rId12" ref="M12"/>
    <hyperlink r:id="rId13" ref="M13"/>
    <hyperlink r:id="rId14" ref="M14"/>
    <hyperlink r:id="rId15" ref="M15"/>
    <hyperlink r:id="rId16" ref="M16"/>
    <hyperlink r:id="rId17" ref="M17"/>
    <hyperlink r:id="rId18" ref="M18"/>
    <hyperlink r:id="rId19" ref="M19"/>
    <hyperlink r:id="rId20" ref="M20"/>
    <hyperlink r:id="rId21" ref="M21"/>
    <hyperlink r:id="rId22" ref="M22"/>
    <hyperlink r:id="rId23" ref="M23"/>
    <hyperlink r:id="rId24" ref="M24"/>
    <hyperlink r:id="rId25" ref="M25"/>
    <hyperlink r:id="rId26" ref="M26"/>
    <hyperlink r:id="rId27" ref="M27"/>
    <hyperlink r:id="rId28" ref="M28"/>
    <hyperlink r:id="rId29" ref="M29"/>
    <hyperlink r:id="rId30" ref="M30"/>
    <hyperlink r:id="rId31" ref="M31"/>
    <hyperlink r:id="rId32" ref="L32"/>
    <hyperlink r:id="rId33" ref="M32"/>
    <hyperlink r:id="rId34" ref="M33"/>
    <hyperlink r:id="rId35" ref="M34"/>
    <hyperlink r:id="rId36" ref="M35"/>
    <hyperlink r:id="rId37" ref="M36"/>
    <hyperlink r:id="rId38" ref="M37"/>
    <hyperlink r:id="rId39" ref="M38"/>
    <hyperlink r:id="rId40" ref="M39"/>
    <hyperlink r:id="rId41" ref="M40"/>
    <hyperlink r:id="rId42" ref="M41"/>
    <hyperlink r:id="rId43" ref="M42"/>
    <hyperlink r:id="rId44" ref="M43"/>
    <hyperlink r:id="rId45" ref="M44"/>
    <hyperlink r:id="rId46" ref="M45"/>
    <hyperlink r:id="rId47" ref="M46"/>
    <hyperlink r:id="rId48" ref="M49"/>
    <hyperlink r:id="rId49" ref="M50"/>
    <hyperlink r:id="rId50" ref="M51"/>
    <hyperlink r:id="rId51" ref="M52"/>
    <hyperlink r:id="rId52" ref="M53"/>
    <hyperlink r:id="rId53" ref="M54"/>
    <hyperlink r:id="rId54" ref="M55"/>
    <hyperlink r:id="rId55" ref="M56"/>
    <hyperlink r:id="rId56" ref="M57"/>
    <hyperlink r:id="rId57" ref="M58"/>
    <hyperlink r:id="rId58" ref="M59"/>
    <hyperlink r:id="rId59" ref="M60"/>
    <hyperlink r:id="rId60" ref="M61"/>
    <hyperlink r:id="rId61" ref="M62"/>
    <hyperlink r:id="rId62" ref="M63"/>
    <hyperlink r:id="rId63" ref="M64"/>
    <hyperlink r:id="rId64" ref="M65"/>
    <hyperlink r:id="rId65" ref="M66"/>
    <hyperlink r:id="rId66" ref="M67"/>
    <hyperlink r:id="rId67" ref="M68"/>
    <hyperlink r:id="rId68" ref="M69"/>
    <hyperlink r:id="rId69" ref="M70"/>
    <hyperlink r:id="rId70" ref="M71"/>
    <hyperlink r:id="rId71" ref="M72"/>
    <hyperlink r:id="rId72" ref="M73"/>
    <hyperlink r:id="rId73" ref="M74"/>
    <hyperlink r:id="rId74" ref="M75"/>
    <hyperlink r:id="rId75" ref="M76"/>
    <hyperlink r:id="rId76" ref="M77"/>
    <hyperlink r:id="rId77" ref="M78"/>
    <hyperlink r:id="rId78" ref="M79"/>
    <hyperlink r:id="rId79" ref="M80"/>
    <hyperlink r:id="rId80" ref="M81"/>
    <hyperlink r:id="rId81" ref="M82"/>
    <hyperlink r:id="rId82" ref="M83"/>
    <hyperlink r:id="rId83" ref="M84"/>
    <hyperlink r:id="rId84" ref="M85"/>
    <hyperlink r:id="rId85" ref="M86"/>
    <hyperlink r:id="rId86" ref="M87"/>
    <hyperlink r:id="rId87" ref="M89"/>
    <hyperlink r:id="rId88" ref="M90"/>
    <hyperlink r:id="rId89" ref="M91"/>
    <hyperlink r:id="rId90" ref="M92"/>
    <hyperlink r:id="rId91" ref="M93"/>
    <hyperlink r:id="rId92" ref="M94"/>
    <hyperlink r:id="rId93" ref="M95"/>
    <hyperlink r:id="rId94" ref="M96"/>
    <hyperlink r:id="rId95" ref="M97"/>
    <hyperlink r:id="rId96" ref="M98"/>
    <hyperlink r:id="rId97" ref="M100"/>
    <hyperlink r:id="rId98" ref="M101"/>
    <hyperlink r:id="rId99" ref="M102"/>
    <hyperlink r:id="rId100" ref="M103"/>
    <hyperlink r:id="rId101" ref="M104"/>
    <hyperlink r:id="rId102" ref="M105"/>
    <hyperlink r:id="rId103" ref="M106"/>
    <hyperlink r:id="rId104" ref="M107"/>
    <hyperlink r:id="rId105" ref="M108"/>
    <hyperlink r:id="rId106" ref="M109"/>
    <hyperlink r:id="rId107" ref="M110"/>
    <hyperlink r:id="rId108" ref="M111"/>
    <hyperlink r:id="rId109" ref="M112"/>
    <hyperlink r:id="rId110" ref="M113"/>
    <hyperlink r:id="rId111" ref="M114"/>
    <hyperlink r:id="rId112" ref="M115"/>
    <hyperlink r:id="rId113" ref="M116"/>
    <hyperlink r:id="rId114" ref="M117"/>
    <hyperlink r:id="rId115" ref="M118"/>
    <hyperlink r:id="rId116" ref="M119"/>
    <hyperlink r:id="rId117" ref="M120"/>
    <hyperlink r:id="rId118" ref="M121"/>
    <hyperlink r:id="rId119" ref="M122"/>
    <hyperlink r:id="rId120" ref="M123"/>
    <hyperlink r:id="rId121" ref="M124"/>
    <hyperlink r:id="rId122" ref="M125"/>
    <hyperlink r:id="rId123" ref="L126"/>
    <hyperlink r:id="rId124" ref="M126"/>
    <hyperlink r:id="rId125" ref="M127"/>
    <hyperlink r:id="rId126" ref="M128"/>
    <hyperlink r:id="rId127" ref="M130"/>
    <hyperlink r:id="rId128" ref="M131"/>
    <hyperlink r:id="rId129" ref="M132"/>
    <hyperlink r:id="rId130" ref="M133"/>
    <hyperlink r:id="rId131" ref="M134"/>
    <hyperlink r:id="rId132" ref="M135"/>
    <hyperlink r:id="rId133" ref="M136"/>
    <hyperlink r:id="rId134" ref="M137"/>
    <hyperlink r:id="rId135" ref="M138"/>
    <hyperlink r:id="rId136" ref="M139"/>
    <hyperlink r:id="rId137" ref="M140"/>
    <hyperlink r:id="rId138" ref="M141"/>
    <hyperlink r:id="rId139" ref="M142"/>
    <hyperlink r:id="rId140" ref="M143"/>
    <hyperlink r:id="rId141" ref="M144"/>
    <hyperlink r:id="rId142" ref="M145"/>
    <hyperlink r:id="rId143" ref="M146"/>
    <hyperlink r:id="rId144" ref="M147"/>
    <hyperlink r:id="rId145" ref="M148"/>
    <hyperlink r:id="rId146" ref="M149"/>
    <hyperlink r:id="rId147" ref="M150"/>
    <hyperlink r:id="rId148" ref="M151"/>
    <hyperlink r:id="rId149" ref="M152"/>
    <hyperlink r:id="rId150" ref="M153"/>
    <hyperlink r:id="rId151" ref="M154"/>
    <hyperlink r:id="rId152" ref="M155"/>
    <hyperlink r:id="rId153" ref="M156"/>
    <hyperlink r:id="rId154" ref="M157"/>
    <hyperlink r:id="rId155" ref="M158"/>
    <hyperlink r:id="rId156" ref="M159"/>
    <hyperlink r:id="rId157" ref="M160"/>
    <hyperlink r:id="rId158" ref="M161"/>
    <hyperlink r:id="rId159" ref="M162"/>
    <hyperlink r:id="rId160" ref="M163"/>
    <hyperlink r:id="rId161" ref="M164"/>
    <hyperlink r:id="rId162" ref="M165"/>
    <hyperlink r:id="rId163" ref="M166"/>
    <hyperlink r:id="rId164" ref="M167"/>
    <hyperlink r:id="rId165" ref="M168"/>
    <hyperlink r:id="rId166" ref="M169"/>
    <hyperlink r:id="rId167" ref="M170"/>
    <hyperlink r:id="rId168" ref="M171"/>
    <hyperlink r:id="rId169" ref="M172"/>
    <hyperlink r:id="rId170" ref="M173"/>
    <hyperlink r:id="rId171" ref="M174"/>
    <hyperlink r:id="rId172" ref="M175"/>
    <hyperlink r:id="rId173" ref="M176"/>
    <hyperlink r:id="rId174" ref="L177"/>
    <hyperlink r:id="rId175" ref="M177"/>
    <hyperlink r:id="rId176" ref="M178"/>
    <hyperlink r:id="rId177" ref="M179"/>
    <hyperlink r:id="rId178" ref="M180"/>
    <hyperlink r:id="rId179" ref="M181"/>
    <hyperlink r:id="rId180" ref="M182"/>
    <hyperlink r:id="rId181" ref="M183"/>
    <hyperlink r:id="rId182" ref="M184"/>
    <hyperlink r:id="rId183" ref="M185"/>
    <hyperlink r:id="rId184" ref="M187"/>
    <hyperlink r:id="rId185" ref="M188"/>
    <hyperlink r:id="rId186" ref="M189"/>
    <hyperlink r:id="rId187" ref="M190"/>
    <hyperlink r:id="rId188" ref="M191"/>
    <hyperlink r:id="rId189" ref="M192"/>
    <hyperlink r:id="rId190" ref="M193"/>
    <hyperlink r:id="rId191" ref="M194"/>
    <hyperlink r:id="rId192" ref="M195"/>
    <hyperlink r:id="rId193" ref="M196"/>
    <hyperlink r:id="rId194" ref="M197"/>
    <hyperlink r:id="rId195" ref="M198"/>
    <hyperlink r:id="rId196" ref="M199"/>
    <hyperlink r:id="rId197" ref="M200"/>
    <hyperlink r:id="rId198" ref="M201"/>
    <hyperlink r:id="rId199" ref="M202"/>
    <hyperlink r:id="rId200" ref="M203"/>
    <hyperlink r:id="rId201" ref="M204"/>
    <hyperlink r:id="rId202" ref="M205"/>
    <hyperlink r:id="rId203" ref="M206"/>
    <hyperlink r:id="rId204" ref="M207"/>
    <hyperlink r:id="rId205" ref="L208"/>
    <hyperlink r:id="rId206" ref="M208"/>
    <hyperlink r:id="rId207" ref="M209"/>
    <hyperlink r:id="rId208" ref="M210"/>
    <hyperlink r:id="rId209" ref="M211"/>
    <hyperlink r:id="rId210" ref="M212"/>
    <hyperlink r:id="rId211" ref="M213"/>
    <hyperlink r:id="rId212" ref="M214"/>
    <hyperlink r:id="rId213" ref="M215"/>
    <hyperlink r:id="rId214" ref="M216"/>
    <hyperlink r:id="rId215" ref="M217"/>
    <hyperlink r:id="rId216" ref="M218"/>
    <hyperlink r:id="rId217" ref="M219"/>
    <hyperlink r:id="rId218" ref="M220"/>
    <hyperlink r:id="rId219" ref="M221"/>
    <hyperlink r:id="rId220" ref="L222"/>
    <hyperlink r:id="rId221" ref="M222"/>
    <hyperlink r:id="rId222" ref="M223"/>
    <hyperlink r:id="rId223" ref="M224"/>
    <hyperlink r:id="rId224" ref="L225"/>
    <hyperlink r:id="rId225" ref="M225"/>
    <hyperlink r:id="rId226" ref="M226"/>
    <hyperlink r:id="rId227" ref="M227"/>
    <hyperlink r:id="rId228" ref="M228"/>
    <hyperlink r:id="rId229" ref="M229"/>
    <hyperlink r:id="rId230" ref="M230"/>
    <hyperlink r:id="rId231" ref="M231"/>
    <hyperlink r:id="rId232" ref="M232"/>
    <hyperlink r:id="rId233" ref="M233"/>
    <hyperlink r:id="rId234" ref="M234"/>
    <hyperlink r:id="rId235" ref="M235"/>
    <hyperlink r:id="rId236" ref="M236"/>
    <hyperlink r:id="rId237" ref="M237"/>
    <hyperlink r:id="rId238" ref="M238"/>
    <hyperlink r:id="rId239" ref="M239"/>
    <hyperlink r:id="rId240" ref="M240"/>
    <hyperlink r:id="rId241" ref="M241"/>
    <hyperlink r:id="rId242" ref="M242"/>
    <hyperlink r:id="rId243" ref="M243"/>
    <hyperlink r:id="rId244" ref="M244"/>
    <hyperlink r:id="rId245" ref="M245"/>
    <hyperlink r:id="rId246" ref="M247"/>
    <hyperlink r:id="rId247" ref="M248"/>
    <hyperlink r:id="rId248" ref="M249"/>
    <hyperlink r:id="rId249" ref="M252"/>
    <hyperlink r:id="rId250" ref="M253"/>
    <hyperlink r:id="rId251" ref="L254"/>
    <hyperlink r:id="rId252" ref="M254"/>
    <hyperlink r:id="rId253" ref="M255"/>
    <hyperlink r:id="rId254" ref="M256"/>
    <hyperlink r:id="rId255" ref="M257"/>
    <hyperlink r:id="rId256" ref="M258"/>
    <hyperlink r:id="rId257" ref="M259"/>
    <hyperlink r:id="rId258" ref="M260"/>
    <hyperlink r:id="rId259" ref="M261"/>
    <hyperlink r:id="rId260" ref="L262"/>
    <hyperlink r:id="rId261" ref="M262"/>
    <hyperlink r:id="rId262" ref="M263"/>
    <hyperlink r:id="rId263" ref="M264"/>
    <hyperlink r:id="rId264" ref="M265"/>
    <hyperlink r:id="rId265" ref="M266"/>
    <hyperlink r:id="rId266" ref="M267"/>
    <hyperlink r:id="rId267" ref="M268"/>
    <hyperlink r:id="rId268" ref="M269"/>
    <hyperlink r:id="rId269" ref="M270"/>
    <hyperlink r:id="rId270" ref="M271"/>
    <hyperlink r:id="rId271" ref="M272"/>
    <hyperlink r:id="rId272" ref="M273"/>
    <hyperlink r:id="rId273" ref="M274"/>
    <hyperlink r:id="rId274" ref="M275"/>
    <hyperlink r:id="rId275" ref="M276"/>
    <hyperlink r:id="rId276" ref="M277"/>
    <hyperlink r:id="rId277" ref="M278"/>
    <hyperlink r:id="rId278" ref="M279"/>
    <hyperlink r:id="rId279" ref="M280"/>
    <hyperlink r:id="rId280" ref="L281"/>
    <hyperlink r:id="rId281" ref="M281"/>
    <hyperlink r:id="rId282" ref="M282"/>
    <hyperlink r:id="rId283" ref="M283"/>
    <hyperlink r:id="rId284" ref="M284"/>
    <hyperlink r:id="rId285" ref="M285"/>
    <hyperlink r:id="rId286" ref="M286"/>
    <hyperlink r:id="rId287" ref="M287"/>
    <hyperlink r:id="rId288" ref="M288"/>
    <hyperlink r:id="rId289" ref="M289"/>
    <hyperlink r:id="rId290" ref="M290"/>
    <hyperlink r:id="rId291" ref="M291"/>
    <hyperlink r:id="rId292" ref="M292"/>
    <hyperlink r:id="rId293" ref="M293"/>
    <hyperlink r:id="rId294" ref="M294"/>
    <hyperlink r:id="rId295" ref="M295"/>
    <hyperlink r:id="rId296" ref="M296"/>
    <hyperlink r:id="rId297" ref="L297"/>
    <hyperlink r:id="rId298" ref="M297"/>
    <hyperlink r:id="rId299" ref="M298"/>
    <hyperlink r:id="rId300" ref="M299"/>
    <hyperlink r:id="rId301" ref="M300"/>
    <hyperlink r:id="rId302" ref="M301"/>
    <hyperlink r:id="rId303" ref="M302"/>
    <hyperlink r:id="rId304" ref="M303"/>
    <hyperlink r:id="rId305" ref="M304"/>
    <hyperlink r:id="rId306" ref="M305"/>
    <hyperlink r:id="rId307" ref="M306"/>
    <hyperlink r:id="rId308" ref="M307"/>
    <hyperlink r:id="rId309" ref="M308"/>
    <hyperlink r:id="rId310" ref="M309"/>
    <hyperlink r:id="rId311" ref="L310"/>
    <hyperlink r:id="rId312" ref="M310"/>
    <hyperlink r:id="rId313" ref="M311"/>
    <hyperlink r:id="rId314" ref="M312"/>
    <hyperlink r:id="rId315" ref="M313"/>
    <hyperlink r:id="rId316" ref="M314"/>
    <hyperlink r:id="rId317" ref="M315"/>
    <hyperlink r:id="rId318" ref="M316"/>
    <hyperlink r:id="rId319" ref="M319"/>
    <hyperlink r:id="rId320" ref="M320"/>
    <hyperlink r:id="rId321" ref="M321"/>
    <hyperlink r:id="rId322" ref="M322"/>
    <hyperlink r:id="rId323" ref="M323"/>
    <hyperlink r:id="rId324" ref="M324"/>
    <hyperlink r:id="rId325" ref="M325"/>
    <hyperlink r:id="rId326" ref="M326"/>
    <hyperlink r:id="rId327" ref="M327"/>
    <hyperlink r:id="rId328" ref="M328"/>
    <hyperlink r:id="rId329" ref="M329"/>
    <hyperlink r:id="rId330" ref="M330"/>
    <hyperlink r:id="rId331" ref="M331"/>
    <hyperlink r:id="rId332" ref="M332"/>
    <hyperlink r:id="rId333" ref="M333"/>
    <hyperlink r:id="rId334" ref="M334"/>
    <hyperlink r:id="rId335" ref="M335"/>
    <hyperlink r:id="rId336" ref="M336"/>
    <hyperlink r:id="rId337" ref="M337"/>
    <hyperlink r:id="rId338" ref="L338"/>
    <hyperlink r:id="rId339" ref="M338"/>
    <hyperlink r:id="rId340" ref="M339"/>
    <hyperlink r:id="rId341" ref="M341"/>
    <hyperlink r:id="rId342" ref="M342"/>
    <hyperlink r:id="rId343" ref="M343"/>
    <hyperlink r:id="rId344" ref="L344"/>
    <hyperlink r:id="rId345" ref="M344"/>
    <hyperlink r:id="rId346" ref="M345"/>
    <hyperlink r:id="rId347" ref="M346"/>
    <hyperlink r:id="rId348" ref="M347"/>
    <hyperlink r:id="rId349" ref="M348"/>
    <hyperlink r:id="rId350" ref="M350"/>
    <hyperlink r:id="rId351" ref="M351"/>
    <hyperlink r:id="rId352" ref="M352"/>
    <hyperlink r:id="rId353" ref="M353"/>
    <hyperlink r:id="rId354" ref="M354"/>
    <hyperlink r:id="rId355" ref="M355"/>
    <hyperlink r:id="rId356" ref="M356"/>
    <hyperlink r:id="rId357" ref="M357"/>
    <hyperlink r:id="rId358" ref="M358"/>
    <hyperlink r:id="rId359" ref="L359"/>
    <hyperlink r:id="rId360" ref="M359"/>
    <hyperlink r:id="rId361" ref="M360"/>
    <hyperlink r:id="rId362" ref="L361"/>
    <hyperlink r:id="rId363" ref="M361"/>
    <hyperlink r:id="rId364" ref="M362"/>
    <hyperlink r:id="rId365" ref="M363"/>
    <hyperlink r:id="rId366" ref="L364"/>
    <hyperlink r:id="rId367" ref="M364"/>
    <hyperlink r:id="rId368" ref="M365"/>
    <hyperlink r:id="rId369" ref="M366"/>
    <hyperlink r:id="rId370" ref="M367"/>
    <hyperlink r:id="rId371" ref="M368"/>
    <hyperlink r:id="rId372" ref="M369"/>
    <hyperlink r:id="rId373" ref="M370"/>
    <hyperlink r:id="rId374" ref="M371"/>
    <hyperlink r:id="rId375" ref="L372"/>
    <hyperlink r:id="rId376" ref="M372"/>
    <hyperlink r:id="rId377" ref="M373"/>
    <hyperlink r:id="rId378" ref="M374"/>
    <hyperlink r:id="rId379" ref="M375"/>
    <hyperlink r:id="rId380" ref="M376"/>
    <hyperlink r:id="rId381" ref="M377"/>
    <hyperlink r:id="rId382" ref="M378"/>
    <hyperlink r:id="rId383" ref="M380"/>
    <hyperlink r:id="rId384" ref="M381"/>
    <hyperlink r:id="rId385" ref="M382"/>
    <hyperlink r:id="rId386" ref="M383"/>
    <hyperlink r:id="rId387" ref="L384"/>
    <hyperlink r:id="rId388" ref="M384"/>
    <hyperlink r:id="rId389" ref="M385"/>
    <hyperlink r:id="rId390" ref="L386"/>
    <hyperlink r:id="rId391" ref="M386"/>
    <hyperlink r:id="rId392" ref="M387"/>
    <hyperlink r:id="rId393" ref="M388"/>
    <hyperlink r:id="rId394" ref="L389"/>
    <hyperlink r:id="rId395" ref="M389"/>
    <hyperlink r:id="rId396" ref="M390"/>
    <hyperlink r:id="rId397" ref="M392"/>
    <hyperlink r:id="rId398" ref="M393"/>
    <hyperlink r:id="rId399" ref="L394"/>
    <hyperlink r:id="rId400" ref="M394"/>
    <hyperlink r:id="rId401" ref="M395"/>
    <hyperlink r:id="rId402" ref="M396"/>
    <hyperlink r:id="rId403" ref="M397"/>
    <hyperlink r:id="rId404" ref="M398"/>
    <hyperlink r:id="rId405" ref="M400"/>
    <hyperlink r:id="rId406" ref="M402"/>
    <hyperlink r:id="rId407" ref="M403"/>
    <hyperlink r:id="rId408" ref="M404"/>
    <hyperlink r:id="rId409" ref="L405"/>
    <hyperlink r:id="rId410" ref="M405"/>
    <hyperlink r:id="rId411" ref="L406"/>
    <hyperlink r:id="rId412" ref="M406"/>
    <hyperlink r:id="rId413" ref="L407"/>
    <hyperlink r:id="rId414" ref="M407"/>
    <hyperlink r:id="rId415" ref="M408"/>
    <hyperlink r:id="rId416" ref="M410"/>
    <hyperlink r:id="rId417" ref="M411"/>
    <hyperlink r:id="rId418" ref="M412"/>
    <hyperlink r:id="rId419" ref="M413"/>
    <hyperlink r:id="rId420" ref="M414"/>
    <hyperlink r:id="rId421" ref="M415"/>
    <hyperlink r:id="rId422" ref="M416"/>
    <hyperlink r:id="rId423" ref="M418"/>
    <hyperlink r:id="rId424" ref="M419"/>
    <hyperlink r:id="rId425" ref="M420"/>
    <hyperlink r:id="rId426" ref="M421"/>
    <hyperlink r:id="rId427" ref="M422"/>
    <hyperlink r:id="rId428" ref="L423"/>
    <hyperlink r:id="rId429" ref="M423"/>
    <hyperlink r:id="rId430" ref="M424"/>
    <hyperlink r:id="rId431" ref="M425"/>
    <hyperlink r:id="rId432" ref="M426"/>
    <hyperlink r:id="rId433" ref="M427"/>
    <hyperlink r:id="rId434" ref="M428"/>
    <hyperlink r:id="rId435" ref="M429"/>
    <hyperlink r:id="rId436" ref="M430"/>
    <hyperlink r:id="rId437" ref="M431"/>
    <hyperlink r:id="rId438" ref="M433"/>
    <hyperlink r:id="rId439" ref="M434"/>
    <hyperlink r:id="rId440" ref="M435"/>
    <hyperlink r:id="rId441" ref="M436"/>
    <hyperlink r:id="rId442" ref="M437"/>
    <hyperlink r:id="rId443" ref="L438"/>
    <hyperlink r:id="rId444" ref="M438"/>
    <hyperlink r:id="rId445" ref="M439"/>
    <hyperlink r:id="rId446" ref="M440"/>
    <hyperlink r:id="rId447" ref="M441"/>
    <hyperlink r:id="rId448" ref="L442"/>
    <hyperlink r:id="rId449" ref="M442"/>
    <hyperlink r:id="rId450" ref="L443"/>
    <hyperlink r:id="rId451" ref="M443"/>
    <hyperlink r:id="rId452" ref="M444"/>
    <hyperlink r:id="rId453" ref="M445"/>
    <hyperlink r:id="rId454" ref="L446"/>
    <hyperlink r:id="rId455" ref="M446"/>
    <hyperlink r:id="rId456" ref="M447"/>
    <hyperlink r:id="rId457" ref="M448"/>
    <hyperlink r:id="rId458" ref="M449"/>
    <hyperlink r:id="rId459" ref="M450"/>
    <hyperlink r:id="rId460" ref="M451"/>
    <hyperlink r:id="rId461" ref="M452"/>
    <hyperlink r:id="rId462" ref="M453"/>
    <hyperlink r:id="rId463" ref="M454"/>
    <hyperlink r:id="rId464" ref="M455"/>
    <hyperlink r:id="rId465" ref="M456"/>
    <hyperlink r:id="rId466" ref="M457"/>
    <hyperlink r:id="rId467" ref="M458"/>
    <hyperlink r:id="rId468" ref="M459"/>
    <hyperlink r:id="rId469" ref="M460"/>
    <hyperlink r:id="rId470" ref="M462"/>
    <hyperlink r:id="rId471" ref="M463"/>
    <hyperlink r:id="rId472" ref="M464"/>
    <hyperlink r:id="rId473" ref="M465"/>
    <hyperlink r:id="rId474" ref="M466"/>
    <hyperlink r:id="rId475" ref="L467"/>
    <hyperlink r:id="rId476" ref="M467"/>
    <hyperlink r:id="rId477" ref="M469"/>
    <hyperlink r:id="rId478" ref="M471"/>
    <hyperlink r:id="rId479" ref="M472"/>
    <hyperlink r:id="rId480" ref="M473"/>
    <hyperlink r:id="rId481" ref="M474"/>
    <hyperlink r:id="rId482" ref="M475"/>
    <hyperlink r:id="rId483" ref="M476"/>
    <hyperlink r:id="rId484" ref="M477"/>
    <hyperlink r:id="rId485" ref="L478"/>
    <hyperlink r:id="rId486" ref="M478"/>
    <hyperlink r:id="rId487" ref="M479"/>
    <hyperlink r:id="rId488" ref="M480"/>
    <hyperlink r:id="rId489" ref="M481"/>
    <hyperlink r:id="rId490" ref="L482"/>
    <hyperlink r:id="rId491" ref="M482"/>
    <hyperlink r:id="rId492" ref="M483"/>
    <hyperlink r:id="rId493" ref="M484"/>
    <hyperlink r:id="rId494" ref="M485"/>
    <hyperlink r:id="rId495" ref="M486"/>
    <hyperlink r:id="rId496" ref="M487"/>
    <hyperlink r:id="rId497" ref="M488"/>
    <hyperlink r:id="rId498" ref="M490"/>
    <hyperlink r:id="rId499" ref="M491"/>
    <hyperlink r:id="rId500" ref="M492"/>
    <hyperlink r:id="rId501" ref="M493"/>
    <hyperlink r:id="rId502" ref="M494"/>
    <hyperlink r:id="rId503" ref="M495"/>
    <hyperlink r:id="rId504" ref="M496"/>
    <hyperlink r:id="rId505" ref="M497"/>
    <hyperlink r:id="rId506" ref="L498"/>
    <hyperlink r:id="rId507" ref="M498"/>
    <hyperlink r:id="rId508" ref="M499"/>
    <hyperlink r:id="rId509" ref="L500"/>
    <hyperlink r:id="rId510" ref="M500"/>
    <hyperlink r:id="rId511" ref="L501"/>
    <hyperlink r:id="rId512" ref="M501"/>
    <hyperlink r:id="rId513" ref="M502"/>
    <hyperlink r:id="rId514" ref="M503"/>
    <hyperlink r:id="rId515" ref="M504"/>
    <hyperlink r:id="rId516" ref="M505"/>
    <hyperlink r:id="rId517" ref="L506"/>
    <hyperlink r:id="rId518" ref="M506"/>
    <hyperlink r:id="rId519" ref="M507"/>
    <hyperlink r:id="rId520" ref="M508"/>
    <hyperlink r:id="rId521" ref="M509"/>
    <hyperlink r:id="rId522" ref="M510"/>
    <hyperlink r:id="rId523" ref="M511"/>
    <hyperlink r:id="rId524" ref="M512"/>
    <hyperlink r:id="rId525" ref="M513"/>
    <hyperlink r:id="rId526" ref="M514"/>
    <hyperlink r:id="rId527" ref="M515"/>
    <hyperlink r:id="rId528" ref="M516"/>
    <hyperlink r:id="rId529" ref="M517"/>
    <hyperlink r:id="rId530" ref="M518"/>
    <hyperlink r:id="rId531" ref="M519"/>
    <hyperlink r:id="rId532" ref="M520"/>
    <hyperlink r:id="rId533" ref="M521"/>
    <hyperlink r:id="rId534" ref="M522"/>
    <hyperlink r:id="rId535" ref="M523"/>
    <hyperlink r:id="rId536" ref="M524"/>
    <hyperlink r:id="rId537" ref="M525"/>
    <hyperlink r:id="rId538" ref="M526"/>
    <hyperlink r:id="rId539" ref="L527"/>
    <hyperlink r:id="rId540" ref="M527"/>
    <hyperlink r:id="rId541" ref="M528"/>
    <hyperlink r:id="rId542" ref="M529"/>
    <hyperlink r:id="rId543" ref="M530"/>
    <hyperlink r:id="rId544" ref="M531"/>
    <hyperlink r:id="rId545" ref="L532"/>
    <hyperlink r:id="rId546" ref="M532"/>
    <hyperlink r:id="rId547" ref="M533"/>
    <hyperlink r:id="rId548" ref="M534"/>
    <hyperlink r:id="rId549" ref="M535"/>
    <hyperlink r:id="rId550" ref="M536"/>
    <hyperlink r:id="rId551" ref="M537"/>
    <hyperlink r:id="rId552" ref="M538"/>
    <hyperlink r:id="rId553" ref="M539"/>
    <hyperlink r:id="rId554" ref="M540"/>
    <hyperlink r:id="rId555" ref="M541"/>
    <hyperlink r:id="rId556" ref="M542"/>
    <hyperlink r:id="rId557" ref="M543"/>
    <hyperlink r:id="rId558" ref="M544"/>
    <hyperlink r:id="rId559" ref="M545"/>
    <hyperlink r:id="rId560" ref="M546"/>
    <hyperlink r:id="rId561" ref="M547"/>
    <hyperlink r:id="rId562" ref="M548"/>
    <hyperlink r:id="rId563" ref="M549"/>
    <hyperlink r:id="rId564" ref="M550"/>
    <hyperlink r:id="rId565" ref="L551"/>
    <hyperlink r:id="rId566" ref="M551"/>
    <hyperlink r:id="rId567" ref="M552"/>
    <hyperlink r:id="rId568" ref="M553"/>
    <hyperlink r:id="rId569" ref="M554"/>
    <hyperlink r:id="rId570" ref="M555"/>
    <hyperlink r:id="rId571" ref="M556"/>
    <hyperlink r:id="rId572" ref="L557"/>
    <hyperlink r:id="rId573" ref="M557"/>
    <hyperlink r:id="rId574" ref="M558"/>
    <hyperlink r:id="rId575" ref="M559"/>
    <hyperlink r:id="rId576" ref="M560"/>
    <hyperlink r:id="rId577" ref="M561"/>
    <hyperlink r:id="rId578" ref="M562"/>
    <hyperlink r:id="rId579" ref="L563"/>
    <hyperlink r:id="rId580" ref="M563"/>
    <hyperlink r:id="rId581" ref="M565"/>
    <hyperlink r:id="rId582" ref="M566"/>
    <hyperlink r:id="rId583" ref="M567"/>
    <hyperlink r:id="rId584" ref="M568"/>
    <hyperlink r:id="rId585" ref="L569"/>
    <hyperlink r:id="rId586" ref="M569"/>
    <hyperlink r:id="rId587" ref="M570"/>
    <hyperlink r:id="rId588" ref="M571"/>
    <hyperlink r:id="rId589" ref="L572"/>
    <hyperlink r:id="rId590" ref="M572"/>
    <hyperlink r:id="rId591" ref="L573"/>
    <hyperlink r:id="rId592" ref="M573"/>
    <hyperlink r:id="rId593" ref="M574"/>
    <hyperlink r:id="rId594" ref="M575"/>
    <hyperlink r:id="rId595" ref="M576"/>
    <hyperlink r:id="rId596" ref="M577"/>
    <hyperlink r:id="rId597" ref="M578"/>
    <hyperlink r:id="rId598" ref="M579"/>
    <hyperlink r:id="rId599" ref="M580"/>
    <hyperlink r:id="rId600" ref="M581"/>
    <hyperlink r:id="rId601" ref="M582"/>
    <hyperlink r:id="rId602" ref="M583"/>
    <hyperlink r:id="rId603" ref="M584"/>
    <hyperlink r:id="rId604" ref="M585"/>
    <hyperlink r:id="rId605" ref="M586"/>
    <hyperlink r:id="rId606" ref="M587"/>
    <hyperlink r:id="rId607" ref="M588"/>
    <hyperlink r:id="rId608" ref="M589"/>
    <hyperlink r:id="rId609" ref="M590"/>
    <hyperlink r:id="rId610" ref="M591"/>
    <hyperlink r:id="rId611" ref="M592"/>
    <hyperlink r:id="rId612" ref="M593"/>
    <hyperlink r:id="rId613" ref="M594"/>
    <hyperlink r:id="rId614" ref="M595"/>
    <hyperlink r:id="rId615" ref="M597"/>
    <hyperlink r:id="rId616" ref="M598"/>
    <hyperlink r:id="rId617" ref="M599"/>
    <hyperlink r:id="rId618" ref="M600"/>
    <hyperlink r:id="rId619" ref="M601"/>
    <hyperlink r:id="rId620" ref="M602"/>
    <hyperlink r:id="rId621" ref="M603"/>
    <hyperlink r:id="rId622" ref="M604"/>
    <hyperlink r:id="rId623" ref="M606"/>
    <hyperlink r:id="rId624" ref="M607"/>
    <hyperlink r:id="rId625" ref="M608"/>
    <hyperlink r:id="rId626" ref="M609"/>
    <hyperlink r:id="rId627" ref="M611"/>
    <hyperlink r:id="rId628" ref="M612"/>
    <hyperlink r:id="rId629" ref="M613"/>
    <hyperlink r:id="rId630" ref="M614"/>
    <hyperlink r:id="rId631" ref="L615"/>
    <hyperlink r:id="rId632" ref="M615"/>
    <hyperlink r:id="rId633" ref="M616"/>
    <hyperlink r:id="rId634" ref="M617"/>
    <hyperlink r:id="rId635" ref="M618"/>
    <hyperlink r:id="rId636" ref="M619"/>
    <hyperlink r:id="rId637" ref="M620"/>
    <hyperlink r:id="rId638" ref="L621"/>
    <hyperlink r:id="rId639" ref="M621"/>
    <hyperlink r:id="rId640" ref="M622"/>
    <hyperlink r:id="rId641" ref="M623"/>
    <hyperlink r:id="rId642" ref="M625"/>
    <hyperlink r:id="rId643" ref="M626"/>
    <hyperlink r:id="rId644" ref="L627"/>
    <hyperlink r:id="rId645" ref="M627"/>
    <hyperlink r:id="rId646" ref="M628"/>
    <hyperlink r:id="rId647" ref="M629"/>
    <hyperlink r:id="rId648" ref="M630"/>
    <hyperlink r:id="rId649" ref="M631"/>
    <hyperlink r:id="rId650" ref="M632"/>
    <hyperlink r:id="rId651" ref="M633"/>
    <hyperlink r:id="rId652" ref="M634"/>
    <hyperlink r:id="rId653" ref="M635"/>
    <hyperlink r:id="rId654" ref="M636"/>
    <hyperlink r:id="rId655" ref="M637"/>
    <hyperlink r:id="rId656" ref="M638"/>
    <hyperlink r:id="rId657" ref="M639"/>
    <hyperlink r:id="rId658" ref="M640"/>
    <hyperlink r:id="rId659" ref="M641"/>
    <hyperlink r:id="rId660" ref="M642"/>
    <hyperlink r:id="rId661" ref="M643"/>
    <hyperlink r:id="rId662" ref="M644"/>
    <hyperlink r:id="rId663" ref="M645"/>
    <hyperlink r:id="rId664" ref="M646"/>
    <hyperlink r:id="rId665" ref="M647"/>
    <hyperlink r:id="rId666" ref="M648"/>
    <hyperlink r:id="rId667" ref="M649"/>
    <hyperlink r:id="rId668" ref="M650"/>
    <hyperlink r:id="rId669" ref="M651"/>
    <hyperlink r:id="rId670" ref="M652"/>
    <hyperlink r:id="rId671" ref="M653"/>
    <hyperlink r:id="rId672" ref="M654"/>
    <hyperlink r:id="rId673" ref="M655"/>
    <hyperlink r:id="rId674" ref="M656"/>
    <hyperlink r:id="rId675" ref="M657"/>
    <hyperlink r:id="rId676" ref="M658"/>
    <hyperlink r:id="rId677" ref="M659"/>
    <hyperlink r:id="rId678" ref="M660"/>
    <hyperlink r:id="rId679" ref="M662"/>
    <hyperlink r:id="rId680" ref="M663"/>
    <hyperlink r:id="rId681" ref="M664"/>
  </hyperlinks>
  <drawing r:id="rId682"/>
  <legacyDrawing r:id="rId68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0.63"/>
    <col customWidth="1" min="4" max="4" width="21.13"/>
    <col customWidth="1" min="5" max="9" width="10.63"/>
    <col customWidth="1" min="10" max="10" width="24.13"/>
    <col customWidth="1" min="11" max="23" width="10.63"/>
  </cols>
  <sheetData>
    <row r="1" ht="33.75" customHeight="1">
      <c r="A1" s="27" t="str">
        <f>CONCATENATE(
            "              ", "HubSpot Import", char(10),
            "              ", "",
            IFERROR(IFS(
                (now()-"2026/04/06 20:08") &lt;= 0,
                    "",
                AND((now()-"2026/04/06 20:08") * 1440 &gt;= 0, (now()-"2026/04/06 20:08") * 1440 &lt;= 5),
                    "Last updated just now",
                (now()-"2026/04/06 20:08") * 1440 &lt;= 60,
                    "Last updated "&amp;FLOOR((now()-"2026/04/06 20:08")*1440,1)&amp;" minutes ago",
                (now()-"2026/04/06 20:08") * 24 &lt;= 24,
                    "Last updated "&amp;FLOOR((now()-"2026/04/06 20:08")*24,1) &amp;
                        IF(FLOOR((now()-"2026/04/06 20:08")*24,1) &lt;= 1, " hour ago", " hours ago"),
                (now()-"2026/04/06 20:08") &lt;= 30,
                    "Last updated "&amp;FLOOR((now()-"2026/04/06 20:08"),1) &amp;
                        IF(FLOOR((now()-"2026/04/06 20:08"),1) &lt;= 1, " day ago", " days ago"),
                (now()-"2026/04/06 20:08") &gt; 30,
                    "Last updated " &amp;
                        FLOOR((now()-"2026/04/06 20:08")/7,1) &amp;
                        IF(FLOOR((now()-"2026/04/06 20:08"),1) &lt;= 1, " week ago", " weeks ago")
            ),"Last updated on 2026/04/06 20:08")
        )</f>
        <v>              HubSpot Import
              Last updated just now</v>
      </c>
      <c r="B1" s="27" t="s">
        <v>0</v>
      </c>
      <c r="C1" s="27" t="str">
        <f>IFERROR(IF(NOW(), _COEFF_ssop()),"")</f>
        <v/>
      </c>
      <c r="D1" s="27" t="s">
        <v>0</v>
      </c>
      <c r="E1" s="27" t="s">
        <v>0</v>
      </c>
      <c r="F1" s="27" t="s">
        <v>0</v>
      </c>
      <c r="G1" s="27" t="s">
        <v>0</v>
      </c>
      <c r="H1" s="27" t="s">
        <v>0</v>
      </c>
      <c r="I1" s="27" t="s">
        <v>0</v>
      </c>
      <c r="J1" s="27" t="s">
        <v>0</v>
      </c>
      <c r="K1" s="27" t="s">
        <v>0</v>
      </c>
      <c r="L1" s="27" t="s">
        <v>0</v>
      </c>
      <c r="M1" s="27" t="s">
        <v>0</v>
      </c>
      <c r="N1" s="27" t="s">
        <v>0</v>
      </c>
      <c r="O1" s="27" t="s">
        <v>0</v>
      </c>
      <c r="P1" s="27" t="s">
        <v>0</v>
      </c>
      <c r="Q1" s="27" t="s">
        <v>0</v>
      </c>
      <c r="R1" s="27" t="s">
        <v>0</v>
      </c>
      <c r="S1" s="28"/>
      <c r="T1" s="28"/>
      <c r="U1" s="28"/>
      <c r="V1" s="28"/>
      <c r="W1" s="29"/>
    </row>
    <row r="2" ht="22.5" customHeight="1">
      <c r="A2" s="30" t="s">
        <v>3214</v>
      </c>
      <c r="B2" s="30" t="s">
        <v>3215</v>
      </c>
      <c r="C2" s="30" t="s">
        <v>3216</v>
      </c>
      <c r="D2" s="30" t="s">
        <v>3217</v>
      </c>
      <c r="E2" s="30" t="s">
        <v>3218</v>
      </c>
      <c r="F2" s="30" t="s">
        <v>3219</v>
      </c>
      <c r="G2" s="30" t="s">
        <v>3220</v>
      </c>
      <c r="H2" s="30" t="s">
        <v>3221</v>
      </c>
      <c r="I2" s="30" t="s">
        <v>3222</v>
      </c>
      <c r="J2" s="30" t="s">
        <v>3223</v>
      </c>
      <c r="K2" s="30" t="s">
        <v>18</v>
      </c>
      <c r="L2" s="30" t="s">
        <v>19</v>
      </c>
      <c r="M2" s="30" t="s">
        <v>20</v>
      </c>
      <c r="N2" s="30" t="s">
        <v>1</v>
      </c>
      <c r="O2" s="30" t="s">
        <v>2</v>
      </c>
      <c r="P2" s="30" t="s">
        <v>5</v>
      </c>
      <c r="Q2" s="30" t="s">
        <v>4</v>
      </c>
      <c r="R2" s="30" t="s">
        <v>6</v>
      </c>
      <c r="S2" s="31" t="s">
        <v>3224</v>
      </c>
      <c r="T2" s="31" t="s">
        <v>3225</v>
      </c>
      <c r="U2" s="31" t="s">
        <v>3226</v>
      </c>
      <c r="V2" s="31" t="s">
        <v>3227</v>
      </c>
      <c r="W2" s="31" t="s">
        <v>3228</v>
      </c>
    </row>
    <row r="3">
      <c r="A3" s="18">
        <f>HYPERLINK("https://app.hubspot.com/contacts/8748051/record/0-1/580401", 580401)</f>
        <v>580401</v>
      </c>
      <c r="B3" s="14" t="s">
        <v>4646</v>
      </c>
      <c r="C3" s="16"/>
      <c r="D3" s="16"/>
      <c r="E3" s="32"/>
      <c r="F3" s="32"/>
      <c r="G3" s="32"/>
      <c r="H3" s="24"/>
      <c r="I3" s="14"/>
      <c r="J3" s="14"/>
      <c r="K3" s="14"/>
      <c r="L3" s="14"/>
      <c r="M3" s="14"/>
      <c r="N3" s="14"/>
      <c r="O3" s="14"/>
      <c r="P3" s="14"/>
      <c r="Q3" s="14"/>
      <c r="R3" s="14"/>
      <c r="S3" s="24" t="str">
        <f t="shared" ref="S3:U3" si="1">IF(E3&lt;&gt;"","Yes","")</f>
        <v/>
      </c>
      <c r="T3" s="24" t="str">
        <f t="shared" si="1"/>
        <v/>
      </c>
      <c r="U3" s="24" t="str">
        <f t="shared" si="1"/>
        <v/>
      </c>
      <c r="V3" s="24" t="str">
        <f t="shared" ref="V3:V673" si="3">IF(P3="S7a: Closed-Won / Start Onboarding","Yes","")</f>
        <v/>
      </c>
      <c r="W3" s="24" t="str">
        <f t="shared" ref="W3:W673" si="4">IF(P3="S7b: Closed-Lost","Yes","")</f>
        <v/>
      </c>
    </row>
    <row r="4">
      <c r="A4" s="18">
        <f>HYPERLINK("https://app.hubspot.com/contacts/8748051/record/0-1/1415406", 1415406)</f>
        <v>1415406</v>
      </c>
      <c r="B4" s="14" t="s">
        <v>4647</v>
      </c>
      <c r="C4" s="16"/>
      <c r="D4" s="16"/>
      <c r="E4" s="32">
        <v>45355.0</v>
      </c>
      <c r="F4" s="24"/>
      <c r="G4" s="24"/>
      <c r="H4" s="24"/>
      <c r="I4" s="24"/>
      <c r="J4" s="24"/>
      <c r="K4" s="18">
        <f>HYPERLINK("https://app.hubspot.com/contacts/8748051/record/0-2/9187049778", 9187049778)</f>
        <v>9187049778</v>
      </c>
      <c r="L4" s="14" t="s">
        <v>4648</v>
      </c>
      <c r="M4" s="18" t="s">
        <v>4649</v>
      </c>
      <c r="N4" s="14"/>
      <c r="O4" s="14"/>
      <c r="P4" s="14"/>
      <c r="Q4" s="14"/>
      <c r="R4" s="14"/>
      <c r="S4" s="24" t="str">
        <f t="shared" ref="S4:U4" si="2">IF(E4&lt;&gt;"","Yes","")</f>
        <v>Yes</v>
      </c>
      <c r="T4" s="24" t="str">
        <f t="shared" si="2"/>
        <v/>
      </c>
      <c r="U4" s="24" t="str">
        <f t="shared" si="2"/>
        <v/>
      </c>
      <c r="V4" s="24" t="str">
        <f t="shared" si="3"/>
        <v/>
      </c>
      <c r="W4" s="24" t="str">
        <f t="shared" si="4"/>
        <v/>
      </c>
    </row>
    <row r="5">
      <c r="A5" s="18">
        <f>HYPERLINK("https://app.hubspot.com/contacts/8748051/record/0-1/717202", 717202)</f>
        <v>717202</v>
      </c>
      <c r="B5" s="14" t="s">
        <v>4650</v>
      </c>
      <c r="C5" s="16"/>
      <c r="D5" s="16"/>
      <c r="E5" s="32"/>
      <c r="F5" s="24"/>
      <c r="G5" s="24"/>
      <c r="H5" s="24"/>
      <c r="I5" s="24"/>
      <c r="J5" s="24"/>
      <c r="K5" s="18">
        <f>HYPERLINK("https://app.hubspot.com/contacts/8748051/record/0-2/9093441792", 9093441792)</f>
        <v>9093441792</v>
      </c>
      <c r="L5" s="14" t="s">
        <v>4651</v>
      </c>
      <c r="M5" s="18" t="s">
        <v>4652</v>
      </c>
      <c r="N5" s="24"/>
      <c r="O5" s="24"/>
      <c r="P5" s="24"/>
      <c r="Q5" s="24"/>
      <c r="R5" s="24"/>
      <c r="S5" s="24" t="str">
        <f t="shared" ref="S5:U5" si="5">IF(E5&lt;&gt;"","Yes","")</f>
        <v/>
      </c>
      <c r="T5" s="24" t="str">
        <f t="shared" si="5"/>
        <v/>
      </c>
      <c r="U5" s="24" t="str">
        <f t="shared" si="5"/>
        <v/>
      </c>
      <c r="V5" s="24" t="str">
        <f t="shared" si="3"/>
        <v/>
      </c>
      <c r="W5" s="24" t="str">
        <f t="shared" si="4"/>
        <v/>
      </c>
    </row>
    <row r="6">
      <c r="A6" s="18">
        <f>HYPERLINK("https://app.hubspot.com/contacts/8748051/record/0-1/288051", 288051)</f>
        <v>288051</v>
      </c>
      <c r="B6" s="14" t="s">
        <v>4653</v>
      </c>
      <c r="C6" s="16"/>
      <c r="D6" s="16"/>
      <c r="E6" s="32"/>
      <c r="F6" s="32"/>
      <c r="G6" s="32"/>
      <c r="H6" s="24"/>
      <c r="I6" s="24"/>
      <c r="J6" s="24"/>
      <c r="K6" s="14"/>
      <c r="L6" s="14"/>
      <c r="M6" s="14"/>
      <c r="N6" s="14"/>
      <c r="O6" s="14"/>
      <c r="P6" s="14"/>
      <c r="Q6" s="14"/>
      <c r="R6" s="24"/>
      <c r="S6" s="24" t="str">
        <f t="shared" ref="S6:U6" si="6">IF(E6&lt;&gt;"","Yes","")</f>
        <v/>
      </c>
      <c r="T6" s="24" t="str">
        <f t="shared" si="6"/>
        <v/>
      </c>
      <c r="U6" s="24" t="str">
        <f t="shared" si="6"/>
        <v/>
      </c>
      <c r="V6" s="24" t="str">
        <f t="shared" si="3"/>
        <v/>
      </c>
      <c r="W6" s="24" t="str">
        <f t="shared" si="4"/>
        <v/>
      </c>
    </row>
    <row r="7">
      <c r="A7" s="18">
        <f>HYPERLINK("https://app.hubspot.com/contacts/8748051/record/0-1/1268101", 1268101)</f>
        <v>1268101</v>
      </c>
      <c r="B7" s="14" t="s">
        <v>4654</v>
      </c>
      <c r="C7" s="16"/>
      <c r="D7" s="16"/>
      <c r="E7" s="32">
        <v>45270.0</v>
      </c>
      <c r="F7" s="32"/>
      <c r="G7" s="32"/>
      <c r="H7" s="24"/>
      <c r="I7" s="24"/>
      <c r="J7" s="24"/>
      <c r="K7" s="18">
        <f>HYPERLINK("https://app.hubspot.com/contacts/8748051/record/0-2/8872939605", 8872939605)</f>
        <v>8872939605</v>
      </c>
      <c r="L7" s="14" t="s">
        <v>4655</v>
      </c>
      <c r="M7" s="18" t="s">
        <v>4656</v>
      </c>
      <c r="N7" s="14"/>
      <c r="O7" s="14"/>
      <c r="P7" s="14"/>
      <c r="Q7" s="14"/>
      <c r="R7" s="14"/>
      <c r="S7" s="24" t="str">
        <f t="shared" ref="S7:U7" si="7">IF(E7&lt;&gt;"","Yes","")</f>
        <v>Yes</v>
      </c>
      <c r="T7" s="24" t="str">
        <f t="shared" si="7"/>
        <v/>
      </c>
      <c r="U7" s="24" t="str">
        <f t="shared" si="7"/>
        <v/>
      </c>
      <c r="V7" s="24" t="str">
        <f t="shared" si="3"/>
        <v/>
      </c>
      <c r="W7" s="24" t="str">
        <f t="shared" si="4"/>
        <v/>
      </c>
    </row>
    <row r="8">
      <c r="A8" s="18">
        <f>HYPERLINK("https://app.hubspot.com/contacts/8748051/record/0-1/1193351", 1193351)</f>
        <v>1193351</v>
      </c>
      <c r="B8" s="14" t="s">
        <v>4657</v>
      </c>
      <c r="C8" s="16"/>
      <c r="D8" s="16"/>
      <c r="E8" s="32">
        <v>45315.0</v>
      </c>
      <c r="F8" s="32"/>
      <c r="G8" s="32"/>
      <c r="H8" s="24"/>
      <c r="I8" s="24"/>
      <c r="J8" s="24"/>
      <c r="K8" s="18">
        <f>HYPERLINK("https://app.hubspot.com/contacts/8748051/record/0-2/6816569490", 6816569490)</f>
        <v>6816569490</v>
      </c>
      <c r="L8" s="14" t="s">
        <v>4658</v>
      </c>
      <c r="M8" s="18" t="s">
        <v>4659</v>
      </c>
      <c r="N8" s="14"/>
      <c r="O8" s="14"/>
      <c r="P8" s="14"/>
      <c r="Q8" s="14"/>
      <c r="R8" s="14"/>
      <c r="S8" s="24" t="str">
        <f t="shared" ref="S8:U8" si="8">IF(E8&lt;&gt;"","Yes","")</f>
        <v>Yes</v>
      </c>
      <c r="T8" s="24" t="str">
        <f t="shared" si="8"/>
        <v/>
      </c>
      <c r="U8" s="24" t="str">
        <f t="shared" si="8"/>
        <v/>
      </c>
      <c r="V8" s="24" t="str">
        <f t="shared" si="3"/>
        <v/>
      </c>
      <c r="W8" s="24" t="str">
        <f t="shared" si="4"/>
        <v/>
      </c>
    </row>
    <row r="9">
      <c r="A9" s="18">
        <f>HYPERLINK("https://app.hubspot.com/contacts/8748051/record/0-1/242501", 242501)</f>
        <v>242501</v>
      </c>
      <c r="B9" s="14" t="s">
        <v>4269</v>
      </c>
      <c r="C9" s="16">
        <v>45279.59789351852</v>
      </c>
      <c r="D9" s="16"/>
      <c r="E9" s="32">
        <v>45274.0</v>
      </c>
      <c r="F9" s="32">
        <v>45281.0</v>
      </c>
      <c r="G9" s="32">
        <v>45281.0</v>
      </c>
      <c r="H9" s="24"/>
      <c r="I9" s="24"/>
      <c r="J9" s="24"/>
      <c r="K9" s="18">
        <f>HYPERLINK("https://app.hubspot.com/contacts/8748051/record/0-2/8601297796", 8601297796)</f>
        <v>8601297796</v>
      </c>
      <c r="L9" s="14" t="s">
        <v>2253</v>
      </c>
      <c r="M9" s="18" t="s">
        <v>2254</v>
      </c>
      <c r="N9" s="23">
        <f>HYPERLINK("https://app.hubspot.com/contacts/8748051/record/0-3/17362837325", 17362837325)</f>
        <v>17362837325</v>
      </c>
      <c r="O9" s="14" t="s">
        <v>2252</v>
      </c>
      <c r="P9" s="14" t="s">
        <v>118</v>
      </c>
      <c r="Q9" s="14">
        <v>12240.0</v>
      </c>
      <c r="R9" s="14"/>
      <c r="S9" s="24" t="str">
        <f t="shared" ref="S9:U9" si="9">IF(E9&lt;&gt;"","Yes","")</f>
        <v>Yes</v>
      </c>
      <c r="T9" s="24" t="str">
        <f t="shared" si="9"/>
        <v>Yes</v>
      </c>
      <c r="U9" s="24" t="str">
        <f t="shared" si="9"/>
        <v>Yes</v>
      </c>
      <c r="V9" s="24" t="str">
        <f t="shared" si="3"/>
        <v/>
      </c>
      <c r="W9" s="24" t="str">
        <f t="shared" si="4"/>
        <v/>
      </c>
    </row>
    <row r="10">
      <c r="A10" s="18">
        <f>HYPERLINK("https://app.hubspot.com/contacts/8748051/record/0-1/1386501", 1386501)</f>
        <v>1386501</v>
      </c>
      <c r="B10" s="14" t="s">
        <v>4660</v>
      </c>
      <c r="C10" s="16"/>
      <c r="D10" s="16"/>
      <c r="E10" s="32">
        <v>45405.0</v>
      </c>
      <c r="F10" s="32"/>
      <c r="G10" s="32"/>
      <c r="H10" s="24"/>
      <c r="I10" s="24"/>
      <c r="J10" s="24"/>
      <c r="K10" s="18">
        <f>HYPERLINK("https://app.hubspot.com/contacts/8748051/record/0-2/9186943101", 9186943101)</f>
        <v>9186943101</v>
      </c>
      <c r="L10" s="14" t="s">
        <v>4661</v>
      </c>
      <c r="M10" s="18" t="s">
        <v>4662</v>
      </c>
      <c r="N10" s="14"/>
      <c r="O10" s="14"/>
      <c r="P10" s="14"/>
      <c r="Q10" s="14"/>
      <c r="R10" s="24"/>
      <c r="S10" s="24" t="str">
        <f t="shared" ref="S10:U10" si="10">IF(E10&lt;&gt;"","Yes","")</f>
        <v>Yes</v>
      </c>
      <c r="T10" s="24" t="str">
        <f t="shared" si="10"/>
        <v/>
      </c>
      <c r="U10" s="24" t="str">
        <f t="shared" si="10"/>
        <v/>
      </c>
      <c r="V10" s="24" t="str">
        <f t="shared" si="3"/>
        <v/>
      </c>
      <c r="W10" s="24" t="str">
        <f t="shared" si="4"/>
        <v/>
      </c>
    </row>
    <row r="11">
      <c r="A11" s="18">
        <f>HYPERLINK("https://app.hubspot.com/contacts/8748051/record/0-1/495851", 495851)</f>
        <v>495851</v>
      </c>
      <c r="B11" s="14" t="s">
        <v>4663</v>
      </c>
      <c r="C11" s="16"/>
      <c r="D11" s="16"/>
      <c r="E11" s="32">
        <v>45470.0</v>
      </c>
      <c r="F11" s="32">
        <v>45482.0</v>
      </c>
      <c r="G11" s="32">
        <v>45482.0</v>
      </c>
      <c r="H11" s="24"/>
      <c r="I11" s="24"/>
      <c r="J11" s="24"/>
      <c r="K11" s="18">
        <f>HYPERLINK("https://app.hubspot.com/contacts/8748051/record/0-2/7831515192", 7831515192)</f>
        <v>7831515192</v>
      </c>
      <c r="L11" s="14" t="s">
        <v>1558</v>
      </c>
      <c r="M11" s="18" t="s">
        <v>1559</v>
      </c>
      <c r="N11" s="23">
        <f>HYPERLINK("https://app.hubspot.com/contacts/8748051/record/0-3/20614218499", 20614218499)</f>
        <v>20614218499</v>
      </c>
      <c r="O11" s="14" t="s">
        <v>1557</v>
      </c>
      <c r="P11" s="14" t="s">
        <v>118</v>
      </c>
      <c r="Q11" s="14">
        <v>7920.0</v>
      </c>
      <c r="R11" s="24"/>
      <c r="S11" s="24" t="str">
        <f t="shared" ref="S11:U11" si="11">IF(E11&lt;&gt;"","Yes","")</f>
        <v>Yes</v>
      </c>
      <c r="T11" s="24" t="str">
        <f t="shared" si="11"/>
        <v>Yes</v>
      </c>
      <c r="U11" s="24" t="str">
        <f t="shared" si="11"/>
        <v>Yes</v>
      </c>
      <c r="V11" s="24" t="str">
        <f t="shared" si="3"/>
        <v/>
      </c>
      <c r="W11" s="24" t="str">
        <f t="shared" si="4"/>
        <v/>
      </c>
    </row>
    <row r="12">
      <c r="A12" s="18">
        <f>HYPERLINK("https://app.hubspot.com/contacts/8748051/record/0-1/495758", 495758)</f>
        <v>495758</v>
      </c>
      <c r="B12" s="14" t="s">
        <v>4664</v>
      </c>
      <c r="C12" s="16"/>
      <c r="D12" s="16"/>
      <c r="E12" s="32">
        <v>45264.0</v>
      </c>
      <c r="F12" s="32"/>
      <c r="G12" s="32"/>
      <c r="H12" s="24"/>
      <c r="I12" s="24"/>
      <c r="J12" s="24"/>
      <c r="K12" s="18">
        <f>HYPERLINK("https://app.hubspot.com/contacts/8748051/record/0-2/8920376633", 8920376633)</f>
        <v>8920376633</v>
      </c>
      <c r="L12" s="14" t="s">
        <v>1800</v>
      </c>
      <c r="M12" s="18" t="s">
        <v>1801</v>
      </c>
      <c r="N12" s="14"/>
      <c r="O12" s="14"/>
      <c r="P12" s="14"/>
      <c r="Q12" s="14"/>
      <c r="R12" s="24"/>
      <c r="S12" s="24" t="str">
        <f t="shared" ref="S12:U12" si="12">IF(E12&lt;&gt;"","Yes","")</f>
        <v>Yes</v>
      </c>
      <c r="T12" s="24" t="str">
        <f t="shared" si="12"/>
        <v/>
      </c>
      <c r="U12" s="24" t="str">
        <f t="shared" si="12"/>
        <v/>
      </c>
      <c r="V12" s="24" t="str">
        <f t="shared" si="3"/>
        <v/>
      </c>
      <c r="W12" s="24" t="str">
        <f t="shared" si="4"/>
        <v/>
      </c>
    </row>
    <row r="13">
      <c r="A13" s="18">
        <f>HYPERLINK("https://app.hubspot.com/contacts/8748051/record/0-1/86801", 86801)</f>
        <v>86801</v>
      </c>
      <c r="B13" s="14" t="s">
        <v>4665</v>
      </c>
      <c r="C13" s="16"/>
      <c r="D13" s="16"/>
      <c r="E13" s="32">
        <v>45389.0</v>
      </c>
      <c r="F13" s="32"/>
      <c r="G13" s="32"/>
      <c r="H13" s="24"/>
      <c r="I13" s="24"/>
      <c r="J13" s="24"/>
      <c r="K13" s="18">
        <f>HYPERLINK("https://app.hubspot.com/contacts/8748051/record/0-2/18832146523", 18832146523)</f>
        <v>18832146523</v>
      </c>
      <c r="L13" s="14" t="s">
        <v>4666</v>
      </c>
      <c r="M13" s="18" t="s">
        <v>4667</v>
      </c>
      <c r="N13" s="14"/>
      <c r="O13" s="14"/>
      <c r="P13" s="14"/>
      <c r="Q13" s="14"/>
      <c r="R13" s="24"/>
      <c r="S13" s="24" t="str">
        <f t="shared" ref="S13:U13" si="13">IF(E13&lt;&gt;"","Yes","")</f>
        <v>Yes</v>
      </c>
      <c r="T13" s="24" t="str">
        <f t="shared" si="13"/>
        <v/>
      </c>
      <c r="U13" s="24" t="str">
        <f t="shared" si="13"/>
        <v/>
      </c>
      <c r="V13" s="24" t="str">
        <f t="shared" si="3"/>
        <v/>
      </c>
      <c r="W13" s="24" t="str">
        <f t="shared" si="4"/>
        <v/>
      </c>
    </row>
    <row r="14">
      <c r="A14" s="18">
        <f>HYPERLINK("https://app.hubspot.com/contacts/8748051/record/0-1/633801", 633801)</f>
        <v>633801</v>
      </c>
      <c r="B14" s="14" t="s">
        <v>4668</v>
      </c>
      <c r="C14" s="16"/>
      <c r="D14" s="16"/>
      <c r="E14" s="32">
        <v>45441.0</v>
      </c>
      <c r="F14" s="24"/>
      <c r="G14" s="32"/>
      <c r="H14" s="24"/>
      <c r="I14" s="24"/>
      <c r="J14" s="24"/>
      <c r="K14" s="18">
        <f>HYPERLINK("https://app.hubspot.com/contacts/8748051/record/0-2/7026172814", 7026172814)</f>
        <v>7026172814</v>
      </c>
      <c r="L14" s="14" t="s">
        <v>4669</v>
      </c>
      <c r="M14" s="18" t="s">
        <v>4670</v>
      </c>
      <c r="N14" s="24"/>
      <c r="O14" s="24"/>
      <c r="P14" s="24"/>
      <c r="Q14" s="24"/>
      <c r="R14" s="24"/>
      <c r="S14" s="24" t="str">
        <f t="shared" ref="S14:U14" si="14">IF(E14&lt;&gt;"","Yes","")</f>
        <v>Yes</v>
      </c>
      <c r="T14" s="24" t="str">
        <f t="shared" si="14"/>
        <v/>
      </c>
      <c r="U14" s="24" t="str">
        <f t="shared" si="14"/>
        <v/>
      </c>
      <c r="V14" s="24" t="str">
        <f t="shared" si="3"/>
        <v/>
      </c>
      <c r="W14" s="24" t="str">
        <f t="shared" si="4"/>
        <v/>
      </c>
    </row>
    <row r="15">
      <c r="A15" s="18">
        <f>HYPERLINK("https://app.hubspot.com/contacts/8748051/record/0-1/792451", 792451)</f>
        <v>792451</v>
      </c>
      <c r="B15" s="14" t="s">
        <v>4671</v>
      </c>
      <c r="C15" s="16"/>
      <c r="D15" s="16"/>
      <c r="E15" s="32">
        <v>45273.0</v>
      </c>
      <c r="F15" s="32"/>
      <c r="G15" s="32"/>
      <c r="H15" s="24"/>
      <c r="I15" s="24"/>
      <c r="J15" s="24"/>
      <c r="K15" s="18">
        <f>HYPERLINK("https://app.hubspot.com/contacts/8748051/record/0-2/8134712969", 8134712969)</f>
        <v>8134712969</v>
      </c>
      <c r="L15" s="14" t="s">
        <v>4672</v>
      </c>
      <c r="M15" s="18" t="s">
        <v>4673</v>
      </c>
      <c r="N15" s="14"/>
      <c r="O15" s="14"/>
      <c r="P15" s="14"/>
      <c r="Q15" s="14"/>
      <c r="R15" s="24"/>
      <c r="S15" s="24" t="str">
        <f t="shared" ref="S15:U15" si="15">IF(E15&lt;&gt;"","Yes","")</f>
        <v>Yes</v>
      </c>
      <c r="T15" s="24" t="str">
        <f t="shared" si="15"/>
        <v/>
      </c>
      <c r="U15" s="24" t="str">
        <f t="shared" si="15"/>
        <v/>
      </c>
      <c r="V15" s="24" t="str">
        <f t="shared" si="3"/>
        <v/>
      </c>
      <c r="W15" s="24" t="str">
        <f t="shared" si="4"/>
        <v/>
      </c>
    </row>
    <row r="16">
      <c r="A16" s="18">
        <f>HYPERLINK("https://app.hubspot.com/contacts/8748051/record/0-1/222201", 222201)</f>
        <v>222201</v>
      </c>
      <c r="B16" s="14" t="s">
        <v>4674</v>
      </c>
      <c r="C16" s="16"/>
      <c r="D16" s="16"/>
      <c r="E16" s="32">
        <v>45373.0</v>
      </c>
      <c r="F16" s="32">
        <v>45386.0</v>
      </c>
      <c r="G16" s="32">
        <v>45386.0</v>
      </c>
      <c r="H16" s="24"/>
      <c r="I16" s="24"/>
      <c r="J16" s="24"/>
      <c r="K16" s="18">
        <f>HYPERLINK("https://app.hubspot.com/contacts/8748051/record/0-2/8142338612", 8142338612)</f>
        <v>8142338612</v>
      </c>
      <c r="L16" s="14" t="s">
        <v>1938</v>
      </c>
      <c r="M16" s="18" t="s">
        <v>1939</v>
      </c>
      <c r="N16" s="23">
        <f>HYPERLINK("https://app.hubspot.com/contacts/8748051/record/0-3/18406481524", 18406481524)</f>
        <v>18406481524</v>
      </c>
      <c r="O16" s="14" t="s">
        <v>1937</v>
      </c>
      <c r="P16" s="14" t="s">
        <v>118</v>
      </c>
      <c r="Q16" s="14">
        <v>5280.0</v>
      </c>
      <c r="R16" s="14"/>
      <c r="S16" s="24" t="str">
        <f t="shared" ref="S16:U16" si="16">IF(E16&lt;&gt;"","Yes","")</f>
        <v>Yes</v>
      </c>
      <c r="T16" s="24" t="str">
        <f t="shared" si="16"/>
        <v>Yes</v>
      </c>
      <c r="U16" s="24" t="str">
        <f t="shared" si="16"/>
        <v>Yes</v>
      </c>
      <c r="V16" s="24" t="str">
        <f t="shared" si="3"/>
        <v/>
      </c>
      <c r="W16" s="24" t="str">
        <f t="shared" si="4"/>
        <v/>
      </c>
    </row>
    <row r="17">
      <c r="A17" s="18">
        <f>HYPERLINK("https://app.hubspot.com/contacts/8748051/record/0-1/1423501", 1423501)</f>
        <v>1423501</v>
      </c>
      <c r="B17" s="14" t="s">
        <v>4675</v>
      </c>
      <c r="C17" s="16"/>
      <c r="D17" s="16"/>
      <c r="E17" s="32">
        <v>45280.0</v>
      </c>
      <c r="F17" s="32"/>
      <c r="G17" s="32">
        <v>45317.0</v>
      </c>
      <c r="H17" s="14"/>
      <c r="I17" s="14"/>
      <c r="J17" s="14"/>
      <c r="K17" s="18">
        <f>HYPERLINK("https://app.hubspot.com/contacts/8748051/record/0-2/8922960534", 8922960534)</f>
        <v>8922960534</v>
      </c>
      <c r="L17" s="14" t="s">
        <v>4676</v>
      </c>
      <c r="M17" s="18" t="s">
        <v>4677</v>
      </c>
      <c r="N17" s="14"/>
      <c r="O17" s="14"/>
      <c r="P17" s="14"/>
      <c r="Q17" s="14"/>
      <c r="R17" s="14"/>
      <c r="S17" s="24" t="str">
        <f t="shared" ref="S17:U17" si="17">IF(E17&lt;&gt;"","Yes","")</f>
        <v>Yes</v>
      </c>
      <c r="T17" s="24" t="str">
        <f t="shared" si="17"/>
        <v/>
      </c>
      <c r="U17" s="24" t="str">
        <f t="shared" si="17"/>
        <v>Yes</v>
      </c>
      <c r="V17" s="24" t="str">
        <f t="shared" si="3"/>
        <v/>
      </c>
      <c r="W17" s="24" t="str">
        <f t="shared" si="4"/>
        <v/>
      </c>
    </row>
    <row r="18">
      <c r="A18" s="18">
        <f>HYPERLINK("https://app.hubspot.com/contacts/8748051/record/0-1/1637254", 1637254)</f>
        <v>1637254</v>
      </c>
      <c r="B18" s="14" t="s">
        <v>4678</v>
      </c>
      <c r="C18" s="16"/>
      <c r="D18" s="16"/>
      <c r="E18" s="32">
        <v>45265.0</v>
      </c>
      <c r="F18" s="32">
        <v>45419.0</v>
      </c>
      <c r="G18" s="32">
        <v>45267.0</v>
      </c>
      <c r="H18" s="24"/>
      <c r="I18" s="24"/>
      <c r="J18" s="24"/>
      <c r="K18" s="18">
        <f>HYPERLINK("https://app.hubspot.com/contacts/8748051/record/0-2/8597343587", 8597343587)</f>
        <v>8597343587</v>
      </c>
      <c r="L18" s="14" t="s">
        <v>2431</v>
      </c>
      <c r="M18" s="18" t="s">
        <v>2432</v>
      </c>
      <c r="N18" s="18">
        <f>HYPERLINK("https://app.hubspot.com/contacts/8748051/record/0-3/16403447730", 16403447730)</f>
        <v>16403447730</v>
      </c>
      <c r="O18" s="14" t="s">
        <v>2430</v>
      </c>
      <c r="P18" s="14" t="s">
        <v>118</v>
      </c>
      <c r="Q18" s="14">
        <v>100000.0</v>
      </c>
      <c r="R18" s="24"/>
      <c r="S18" s="24" t="str">
        <f t="shared" ref="S18:U18" si="18">IF(E18&lt;&gt;"","Yes","")</f>
        <v>Yes</v>
      </c>
      <c r="T18" s="24" t="str">
        <f t="shared" si="18"/>
        <v>Yes</v>
      </c>
      <c r="U18" s="24" t="str">
        <f t="shared" si="18"/>
        <v>Yes</v>
      </c>
      <c r="V18" s="24" t="str">
        <f t="shared" si="3"/>
        <v/>
      </c>
      <c r="W18" s="24" t="str">
        <f t="shared" si="4"/>
        <v/>
      </c>
    </row>
    <row r="19">
      <c r="A19" s="18">
        <f>HYPERLINK("https://app.hubspot.com/contacts/8748051/record/0-1/1082001", 1082001)</f>
        <v>1082001</v>
      </c>
      <c r="B19" s="14" t="s">
        <v>4679</v>
      </c>
      <c r="C19" s="16"/>
      <c r="D19" s="16"/>
      <c r="E19" s="32">
        <v>45372.0</v>
      </c>
      <c r="F19" s="32">
        <v>45379.0</v>
      </c>
      <c r="G19" s="32">
        <v>45379.0</v>
      </c>
      <c r="H19" s="24"/>
      <c r="I19" s="24"/>
      <c r="J19" s="24"/>
      <c r="K19" s="18">
        <f>HYPERLINK("https://app.hubspot.com/contacts/8748051/record/0-2/9284099377", 9284099377)</f>
        <v>9284099377</v>
      </c>
      <c r="L19" s="14" t="s">
        <v>955</v>
      </c>
      <c r="M19" s="18" t="s">
        <v>956</v>
      </c>
      <c r="N19" s="23">
        <f>HYPERLINK("https://app.hubspot.com/contacts/8748051/record/0-3/18259577383", 18259577383)</f>
        <v>18259577383</v>
      </c>
      <c r="O19" s="14" t="s">
        <v>953</v>
      </c>
      <c r="P19" s="14" t="s">
        <v>118</v>
      </c>
      <c r="Q19" s="14">
        <v>36480.0</v>
      </c>
      <c r="R19" s="24"/>
      <c r="S19" s="24" t="str">
        <f t="shared" ref="S19:U19" si="19">IF(E19&lt;&gt;"","Yes","")</f>
        <v>Yes</v>
      </c>
      <c r="T19" s="24" t="str">
        <f t="shared" si="19"/>
        <v>Yes</v>
      </c>
      <c r="U19" s="24" t="str">
        <f t="shared" si="19"/>
        <v>Yes</v>
      </c>
      <c r="V19" s="24" t="str">
        <f t="shared" si="3"/>
        <v/>
      </c>
      <c r="W19" s="24" t="str">
        <f t="shared" si="4"/>
        <v/>
      </c>
    </row>
    <row r="20">
      <c r="A20" s="18">
        <f>HYPERLINK("https://app.hubspot.com/contacts/8748051/record/0-1/501501", 501501)</f>
        <v>501501</v>
      </c>
      <c r="B20" s="14" t="s">
        <v>4680</v>
      </c>
      <c r="C20" s="16"/>
      <c r="D20" s="16"/>
      <c r="E20" s="32"/>
      <c r="F20" s="32"/>
      <c r="G20" s="32"/>
      <c r="H20" s="24"/>
      <c r="I20" s="24"/>
      <c r="J20" s="24"/>
      <c r="K20" s="14"/>
      <c r="L20" s="14"/>
      <c r="M20" s="14"/>
      <c r="N20" s="14"/>
      <c r="O20" s="14"/>
      <c r="P20" s="14"/>
      <c r="Q20" s="14"/>
      <c r="R20" s="24"/>
      <c r="S20" s="24" t="str">
        <f t="shared" ref="S20:U20" si="20">IF(E20&lt;&gt;"","Yes","")</f>
        <v/>
      </c>
      <c r="T20" s="24" t="str">
        <f t="shared" si="20"/>
        <v/>
      </c>
      <c r="U20" s="24" t="str">
        <f t="shared" si="20"/>
        <v/>
      </c>
      <c r="V20" s="24" t="str">
        <f t="shared" si="3"/>
        <v/>
      </c>
      <c r="W20" s="24" t="str">
        <f t="shared" si="4"/>
        <v/>
      </c>
    </row>
    <row r="21">
      <c r="A21" s="18">
        <f>HYPERLINK("https://app.hubspot.com/contacts/8748051/record/0-1/515451", 515451)</f>
        <v>515451</v>
      </c>
      <c r="B21" s="14" t="s">
        <v>4681</v>
      </c>
      <c r="C21" s="16"/>
      <c r="D21" s="16"/>
      <c r="E21" s="32"/>
      <c r="F21" s="32"/>
      <c r="G21" s="32"/>
      <c r="H21" s="24"/>
      <c r="I21" s="24"/>
      <c r="J21" s="24"/>
      <c r="K21" s="18">
        <f>HYPERLINK("https://app.hubspot.com/contacts/8748051/record/0-2/8942508078", 8942508078)</f>
        <v>8942508078</v>
      </c>
      <c r="L21" s="14" t="s">
        <v>4682</v>
      </c>
      <c r="M21" s="18" t="s">
        <v>4683</v>
      </c>
      <c r="N21" s="14"/>
      <c r="O21" s="14"/>
      <c r="P21" s="14"/>
      <c r="Q21" s="14"/>
      <c r="R21" s="14"/>
      <c r="S21" s="24" t="str">
        <f t="shared" ref="S21:U21" si="21">IF(E21&lt;&gt;"","Yes","")</f>
        <v/>
      </c>
      <c r="T21" s="24" t="str">
        <f t="shared" si="21"/>
        <v/>
      </c>
      <c r="U21" s="24" t="str">
        <f t="shared" si="21"/>
        <v/>
      </c>
      <c r="V21" s="24" t="str">
        <f t="shared" si="3"/>
        <v/>
      </c>
      <c r="W21" s="24" t="str">
        <f t="shared" si="4"/>
        <v/>
      </c>
    </row>
    <row r="22">
      <c r="A22" s="18">
        <f>HYPERLINK("https://app.hubspot.com/contacts/8748051/record/0-1/478802", 478802)</f>
        <v>478802</v>
      </c>
      <c r="B22" s="14" t="s">
        <v>4684</v>
      </c>
      <c r="C22" s="16"/>
      <c r="D22" s="16"/>
      <c r="E22" s="32">
        <v>45461.0</v>
      </c>
      <c r="F22" s="32"/>
      <c r="G22" s="32"/>
      <c r="H22" s="24"/>
      <c r="I22" s="24"/>
      <c r="J22" s="24"/>
      <c r="K22" s="18">
        <f>HYPERLINK("https://app.hubspot.com/contacts/8748051/record/0-2/7641285632", 7641285632)</f>
        <v>7641285632</v>
      </c>
      <c r="L22" s="14" t="s">
        <v>4685</v>
      </c>
      <c r="M22" s="18" t="s">
        <v>4686</v>
      </c>
      <c r="N22" s="24"/>
      <c r="O22" s="14"/>
      <c r="P22" s="14"/>
      <c r="Q22" s="14"/>
      <c r="R22" s="24"/>
      <c r="S22" s="24" t="str">
        <f t="shared" ref="S22:U22" si="22">IF(E22&lt;&gt;"","Yes","")</f>
        <v>Yes</v>
      </c>
      <c r="T22" s="24" t="str">
        <f t="shared" si="22"/>
        <v/>
      </c>
      <c r="U22" s="24" t="str">
        <f t="shared" si="22"/>
        <v/>
      </c>
      <c r="V22" s="24" t="str">
        <f t="shared" si="3"/>
        <v/>
      </c>
      <c r="W22" s="24" t="str">
        <f t="shared" si="4"/>
        <v/>
      </c>
    </row>
    <row r="23">
      <c r="A23" s="18">
        <f>HYPERLINK("https://app.hubspot.com/contacts/8748051/record/0-1/682201", 682201)</f>
        <v>682201</v>
      </c>
      <c r="B23" s="14" t="s">
        <v>4687</v>
      </c>
      <c r="C23" s="16"/>
      <c r="D23" s="16"/>
      <c r="E23" s="32">
        <v>45435.0</v>
      </c>
      <c r="F23" s="32"/>
      <c r="G23" s="32"/>
      <c r="H23" s="14"/>
      <c r="I23" s="14"/>
      <c r="J23" s="14"/>
      <c r="K23" s="18">
        <f>HYPERLINK("https://app.hubspot.com/contacts/8748051/record/0-2/8762562985", 8762562985)</f>
        <v>8762562985</v>
      </c>
      <c r="L23" s="14" t="s">
        <v>4274</v>
      </c>
      <c r="M23" s="18" t="s">
        <v>4275</v>
      </c>
      <c r="N23" s="14"/>
      <c r="O23" s="14"/>
      <c r="P23" s="14"/>
      <c r="Q23" s="14"/>
      <c r="R23" s="24"/>
      <c r="S23" s="24" t="str">
        <f t="shared" ref="S23:U23" si="23">IF(E23&lt;&gt;"","Yes","")</f>
        <v>Yes</v>
      </c>
      <c r="T23" s="24" t="str">
        <f t="shared" si="23"/>
        <v/>
      </c>
      <c r="U23" s="24" t="str">
        <f t="shared" si="23"/>
        <v/>
      </c>
      <c r="V23" s="24" t="str">
        <f t="shared" si="3"/>
        <v/>
      </c>
      <c r="W23" s="24" t="str">
        <f t="shared" si="4"/>
        <v/>
      </c>
    </row>
    <row r="24">
      <c r="A24" s="18">
        <f>HYPERLINK("https://app.hubspot.com/contacts/8748051/record/0-1/1478506", 1478506)</f>
        <v>1478506</v>
      </c>
      <c r="B24" s="14" t="s">
        <v>4688</v>
      </c>
      <c r="C24" s="16"/>
      <c r="D24" s="16"/>
      <c r="E24" s="32">
        <v>45728.0</v>
      </c>
      <c r="F24" s="32">
        <v>45730.0</v>
      </c>
      <c r="G24" s="32">
        <v>45730.0</v>
      </c>
      <c r="H24" s="24"/>
      <c r="I24" s="24"/>
      <c r="J24" s="24"/>
      <c r="K24" s="18">
        <f>HYPERLINK("https://app.hubspot.com/contacts/8748051/record/0-2/10198095893", 10198095893)</f>
        <v>10198095893</v>
      </c>
      <c r="L24" s="14" t="s">
        <v>1238</v>
      </c>
      <c r="M24" s="18" t="s">
        <v>1239</v>
      </c>
      <c r="N24" s="23">
        <f>HYPERLINK("https://app.hubspot.com/contacts/8748051/record/0-3/34575678733", 34575678733)</f>
        <v>34575678733</v>
      </c>
      <c r="O24" s="14" t="s">
        <v>1236</v>
      </c>
      <c r="P24" s="14" t="s">
        <v>89</v>
      </c>
      <c r="Q24" s="14">
        <v>50000.0</v>
      </c>
      <c r="R24" s="14" t="b">
        <v>1</v>
      </c>
      <c r="S24" s="24" t="str">
        <f t="shared" ref="S24:U24" si="24">IF(E24&lt;&gt;"","Yes","")</f>
        <v>Yes</v>
      </c>
      <c r="T24" s="24" t="str">
        <f t="shared" si="24"/>
        <v>Yes</v>
      </c>
      <c r="U24" s="24" t="str">
        <f t="shared" si="24"/>
        <v>Yes</v>
      </c>
      <c r="V24" s="24" t="str">
        <f t="shared" si="3"/>
        <v>Yes</v>
      </c>
      <c r="W24" s="24" t="str">
        <f t="shared" si="4"/>
        <v/>
      </c>
    </row>
    <row r="25">
      <c r="A25" s="18">
        <f>HYPERLINK("https://app.hubspot.com/contacts/8748051/record/0-1/1402201", 1402201)</f>
        <v>1402201</v>
      </c>
      <c r="B25" s="14" t="s">
        <v>4689</v>
      </c>
      <c r="C25" s="16"/>
      <c r="D25" s="16"/>
      <c r="E25" s="32">
        <v>45467.0</v>
      </c>
      <c r="F25" s="32"/>
      <c r="G25" s="32"/>
      <c r="H25" s="24"/>
      <c r="I25" s="24"/>
      <c r="J25" s="24"/>
      <c r="K25" s="18">
        <f>HYPERLINK("https://app.hubspot.com/contacts/8748051/record/0-2/9908922741", 9908922741)</f>
        <v>9908922741</v>
      </c>
      <c r="L25" s="14" t="s">
        <v>4690</v>
      </c>
      <c r="M25" s="18" t="s">
        <v>4691</v>
      </c>
      <c r="N25" s="14"/>
      <c r="O25" s="14"/>
      <c r="P25" s="14"/>
      <c r="Q25" s="14"/>
      <c r="R25" s="14"/>
      <c r="S25" s="24" t="str">
        <f t="shared" ref="S25:U25" si="25">IF(E25&lt;&gt;"","Yes","")</f>
        <v>Yes</v>
      </c>
      <c r="T25" s="24" t="str">
        <f t="shared" si="25"/>
        <v/>
      </c>
      <c r="U25" s="24" t="str">
        <f t="shared" si="25"/>
        <v/>
      </c>
      <c r="V25" s="24" t="str">
        <f t="shared" si="3"/>
        <v/>
      </c>
      <c r="W25" s="24" t="str">
        <f t="shared" si="4"/>
        <v/>
      </c>
    </row>
    <row r="26">
      <c r="A26" s="18">
        <f>HYPERLINK("https://app.hubspot.com/contacts/8748051/record/0-1/782801", 782801)</f>
        <v>782801</v>
      </c>
      <c r="B26" s="14" t="s">
        <v>4692</v>
      </c>
      <c r="C26" s="16"/>
      <c r="D26" s="16"/>
      <c r="E26" s="32">
        <v>45284.0</v>
      </c>
      <c r="F26" s="24"/>
      <c r="G26" s="24"/>
      <c r="H26" s="24"/>
      <c r="I26" s="24"/>
      <c r="J26" s="24"/>
      <c r="K26" s="18">
        <f>HYPERLINK("https://app.hubspot.com/contacts/8748051/record/0-2/9186921241", 9186921241)</f>
        <v>9186921241</v>
      </c>
      <c r="L26" s="14" t="s">
        <v>4693</v>
      </c>
      <c r="M26" s="18" t="s">
        <v>4694</v>
      </c>
      <c r="N26" s="24"/>
      <c r="O26" s="24"/>
      <c r="P26" s="24"/>
      <c r="Q26" s="24"/>
      <c r="R26" s="24"/>
      <c r="S26" s="24" t="str">
        <f t="shared" ref="S26:U26" si="26">IF(E26&lt;&gt;"","Yes","")</f>
        <v>Yes</v>
      </c>
      <c r="T26" s="24" t="str">
        <f t="shared" si="26"/>
        <v/>
      </c>
      <c r="U26" s="24" t="str">
        <f t="shared" si="26"/>
        <v/>
      </c>
      <c r="V26" s="24" t="str">
        <f t="shared" si="3"/>
        <v/>
      </c>
      <c r="W26" s="24" t="str">
        <f t="shared" si="4"/>
        <v/>
      </c>
    </row>
    <row r="27">
      <c r="A27" s="18">
        <f>HYPERLINK("https://app.hubspot.com/contacts/8748051/record/0-1/1124701", 1124701)</f>
        <v>1124701</v>
      </c>
      <c r="B27" s="14" t="s">
        <v>4695</v>
      </c>
      <c r="C27" s="16"/>
      <c r="D27" s="16"/>
      <c r="E27" s="32">
        <v>45386.0</v>
      </c>
      <c r="F27" s="32">
        <v>45412.0</v>
      </c>
      <c r="G27" s="32">
        <v>45412.0</v>
      </c>
      <c r="H27" s="14"/>
      <c r="I27" s="14"/>
      <c r="J27" s="24"/>
      <c r="K27" s="18">
        <f>HYPERLINK("https://app.hubspot.com/contacts/8748051/record/0-2/7242660753", 7242660753)</f>
        <v>7242660753</v>
      </c>
      <c r="L27" s="14" t="s">
        <v>1837</v>
      </c>
      <c r="M27" s="18" t="s">
        <v>1838</v>
      </c>
      <c r="N27" s="23">
        <f>HYPERLINK("https://app.hubspot.com/contacts/8748051/record/0-3/18877324962", 18877324962)</f>
        <v>18877324962</v>
      </c>
      <c r="O27" s="14" t="s">
        <v>1836</v>
      </c>
      <c r="P27" s="14" t="s">
        <v>118</v>
      </c>
      <c r="Q27" s="14">
        <v>18000.0</v>
      </c>
      <c r="R27" s="14" t="b">
        <v>1</v>
      </c>
      <c r="S27" s="24" t="str">
        <f t="shared" ref="S27:U27" si="27">IF(E27&lt;&gt;"","Yes","")</f>
        <v>Yes</v>
      </c>
      <c r="T27" s="24" t="str">
        <f t="shared" si="27"/>
        <v>Yes</v>
      </c>
      <c r="U27" s="24" t="str">
        <f t="shared" si="27"/>
        <v>Yes</v>
      </c>
      <c r="V27" s="24" t="str">
        <f t="shared" si="3"/>
        <v/>
      </c>
      <c r="W27" s="24" t="str">
        <f t="shared" si="4"/>
        <v/>
      </c>
    </row>
    <row r="28">
      <c r="A28" s="18">
        <f>HYPERLINK("https://app.hubspot.com/contacts/8748051/record/0-1/168951", 168951)</f>
        <v>168951</v>
      </c>
      <c r="B28" s="14" t="s">
        <v>4696</v>
      </c>
      <c r="C28" s="16"/>
      <c r="D28" s="16"/>
      <c r="E28" s="32"/>
      <c r="F28" s="32"/>
      <c r="G28" s="32"/>
      <c r="H28" s="14"/>
      <c r="I28" s="14"/>
      <c r="J28" s="14"/>
      <c r="K28" s="18">
        <f>HYPERLINK("https://app.hubspot.com/contacts/8748051/record/0-2/8512837194", 8512837194)</f>
        <v>8512837194</v>
      </c>
      <c r="L28" s="14" t="s">
        <v>2853</v>
      </c>
      <c r="M28" s="18" t="s">
        <v>2854</v>
      </c>
      <c r="N28" s="14"/>
      <c r="O28" s="14"/>
      <c r="P28" s="14"/>
      <c r="Q28" s="14"/>
      <c r="R28" s="14"/>
      <c r="S28" s="24" t="str">
        <f t="shared" ref="S28:U28" si="28">IF(E28&lt;&gt;"","Yes","")</f>
        <v/>
      </c>
      <c r="T28" s="24" t="str">
        <f t="shared" si="28"/>
        <v/>
      </c>
      <c r="U28" s="24" t="str">
        <f t="shared" si="28"/>
        <v/>
      </c>
      <c r="V28" s="24" t="str">
        <f t="shared" si="3"/>
        <v/>
      </c>
      <c r="W28" s="24" t="str">
        <f t="shared" si="4"/>
        <v/>
      </c>
    </row>
    <row r="29">
      <c r="A29" s="18">
        <f>HYPERLINK("https://app.hubspot.com/contacts/8748051/record/0-1/430101", 430101)</f>
        <v>430101</v>
      </c>
      <c r="B29" s="14" t="s">
        <v>4697</v>
      </c>
      <c r="C29" s="16"/>
      <c r="D29" s="16"/>
      <c r="E29" s="32"/>
      <c r="F29" s="32"/>
      <c r="G29" s="32"/>
      <c r="H29" s="24"/>
      <c r="I29" s="24"/>
      <c r="J29" s="24"/>
      <c r="K29" s="18">
        <f>HYPERLINK("https://app.hubspot.com/contacts/8748051/record/0-2/7655806045", 7655806045)</f>
        <v>7655806045</v>
      </c>
      <c r="L29" s="14" t="s">
        <v>2995</v>
      </c>
      <c r="M29" s="18" t="s">
        <v>2996</v>
      </c>
      <c r="N29" s="14"/>
      <c r="O29" s="14"/>
      <c r="P29" s="14"/>
      <c r="Q29" s="14"/>
      <c r="R29" s="14"/>
      <c r="S29" s="24" t="str">
        <f t="shared" ref="S29:U29" si="29">IF(E29&lt;&gt;"","Yes","")</f>
        <v/>
      </c>
      <c r="T29" s="24" t="str">
        <f t="shared" si="29"/>
        <v/>
      </c>
      <c r="U29" s="24" t="str">
        <f t="shared" si="29"/>
        <v/>
      </c>
      <c r="V29" s="24" t="str">
        <f t="shared" si="3"/>
        <v/>
      </c>
      <c r="W29" s="24" t="str">
        <f t="shared" si="4"/>
        <v/>
      </c>
    </row>
    <row r="30">
      <c r="A30" s="18">
        <f>HYPERLINK("https://app.hubspot.com/contacts/8748051/record/0-1/1125601", 1125601)</f>
        <v>1125601</v>
      </c>
      <c r="B30" s="14" t="s">
        <v>4698</v>
      </c>
      <c r="C30" s="16"/>
      <c r="D30" s="16"/>
      <c r="E30" s="32">
        <v>45464.0</v>
      </c>
      <c r="F30" s="32"/>
      <c r="G30" s="32"/>
      <c r="H30" s="14"/>
      <c r="I30" s="14"/>
      <c r="J30" s="14"/>
      <c r="K30" s="18">
        <f>HYPERLINK("https://app.hubspot.com/contacts/8748051/record/0-2/9228056178", 9228056178)</f>
        <v>9228056178</v>
      </c>
      <c r="L30" s="14" t="s">
        <v>4699</v>
      </c>
      <c r="M30" s="18" t="s">
        <v>4700</v>
      </c>
      <c r="N30" s="14"/>
      <c r="O30" s="14"/>
      <c r="P30" s="14"/>
      <c r="Q30" s="14"/>
      <c r="R30" s="14"/>
      <c r="S30" s="24" t="str">
        <f t="shared" ref="S30:U30" si="30">IF(E30&lt;&gt;"","Yes","")</f>
        <v>Yes</v>
      </c>
      <c r="T30" s="24" t="str">
        <f t="shared" si="30"/>
        <v/>
      </c>
      <c r="U30" s="24" t="str">
        <f t="shared" si="30"/>
        <v/>
      </c>
      <c r="V30" s="24" t="str">
        <f t="shared" si="3"/>
        <v/>
      </c>
      <c r="W30" s="24" t="str">
        <f t="shared" si="4"/>
        <v/>
      </c>
    </row>
    <row r="31">
      <c r="A31" s="18">
        <f>HYPERLINK("https://app.hubspot.com/contacts/8748051/record/0-1/460602", 460602)</f>
        <v>460602</v>
      </c>
      <c r="B31" s="14" t="s">
        <v>4701</v>
      </c>
      <c r="C31" s="16"/>
      <c r="D31" s="16"/>
      <c r="E31" s="32">
        <v>45467.0</v>
      </c>
      <c r="F31" s="32"/>
      <c r="G31" s="32"/>
      <c r="H31" s="14"/>
      <c r="I31" s="14"/>
      <c r="J31" s="24"/>
      <c r="K31" s="18">
        <f>HYPERLINK("https://app.hubspot.com/contacts/8748051/record/0-2/8918741432", 8918741432)</f>
        <v>8918741432</v>
      </c>
      <c r="L31" s="14" t="s">
        <v>4702</v>
      </c>
      <c r="M31" s="18" t="s">
        <v>4703</v>
      </c>
      <c r="N31" s="14"/>
      <c r="O31" s="14"/>
      <c r="P31" s="14"/>
      <c r="Q31" s="14"/>
      <c r="R31" s="14"/>
      <c r="S31" s="24" t="str">
        <f t="shared" ref="S31:U31" si="31">IF(E31&lt;&gt;"","Yes","")</f>
        <v>Yes</v>
      </c>
      <c r="T31" s="24" t="str">
        <f t="shared" si="31"/>
        <v/>
      </c>
      <c r="U31" s="24" t="str">
        <f t="shared" si="31"/>
        <v/>
      </c>
      <c r="V31" s="24" t="str">
        <f t="shared" si="3"/>
        <v/>
      </c>
      <c r="W31" s="24" t="str">
        <f t="shared" si="4"/>
        <v/>
      </c>
    </row>
    <row r="32">
      <c r="A32" s="18">
        <f>HYPERLINK("https://app.hubspot.com/contacts/8748051/record/0-1/688601", 688601)</f>
        <v>688601</v>
      </c>
      <c r="B32" s="14" t="s">
        <v>4704</v>
      </c>
      <c r="C32" s="16"/>
      <c r="D32" s="16"/>
      <c r="E32" s="32">
        <v>45378.0</v>
      </c>
      <c r="F32" s="32">
        <v>45386.0</v>
      </c>
      <c r="G32" s="32">
        <v>45386.0</v>
      </c>
      <c r="H32" s="24"/>
      <c r="I32" s="24"/>
      <c r="J32" s="24"/>
      <c r="K32" s="18">
        <f>HYPERLINK("https://app.hubspot.com/contacts/8748051/record/0-2/8141927813", 8141927813)</f>
        <v>8141927813</v>
      </c>
      <c r="L32" s="14" t="s">
        <v>1975</v>
      </c>
      <c r="M32" s="18" t="s">
        <v>1976</v>
      </c>
      <c r="N32" s="23">
        <f>HYPERLINK("https://app.hubspot.com/contacts/8748051/record/0-3/18309555983", 18309555983)</f>
        <v>18309555983</v>
      </c>
      <c r="O32" s="14" t="s">
        <v>1974</v>
      </c>
      <c r="P32" s="14" t="s">
        <v>118</v>
      </c>
      <c r="Q32" s="14">
        <v>20400.0</v>
      </c>
      <c r="R32" s="14"/>
      <c r="S32" s="24" t="str">
        <f t="shared" ref="S32:U32" si="32">IF(E32&lt;&gt;"","Yes","")</f>
        <v>Yes</v>
      </c>
      <c r="T32" s="24" t="str">
        <f t="shared" si="32"/>
        <v>Yes</v>
      </c>
      <c r="U32" s="24" t="str">
        <f t="shared" si="32"/>
        <v>Yes</v>
      </c>
      <c r="V32" s="24" t="str">
        <f t="shared" si="3"/>
        <v/>
      </c>
      <c r="W32" s="24" t="str">
        <f t="shared" si="4"/>
        <v/>
      </c>
    </row>
    <row r="33">
      <c r="A33" s="18">
        <f>HYPERLINK("https://app.hubspot.com/contacts/8748051/record/0-1/465151", 465151)</f>
        <v>465151</v>
      </c>
      <c r="B33" s="14" t="s">
        <v>4705</v>
      </c>
      <c r="C33" s="16"/>
      <c r="D33" s="16"/>
      <c r="E33" s="32">
        <v>45262.0</v>
      </c>
      <c r="F33" s="32"/>
      <c r="G33" s="32"/>
      <c r="H33" s="14"/>
      <c r="I33" s="14"/>
      <c r="J33" s="24"/>
      <c r="K33" s="18">
        <f>HYPERLINK("https://app.hubspot.com/contacts/8748051/record/0-2/7646111386", 7646111386)</f>
        <v>7646111386</v>
      </c>
      <c r="L33" s="14" t="s">
        <v>4706</v>
      </c>
      <c r="M33" s="18" t="s">
        <v>4707</v>
      </c>
      <c r="N33" s="14"/>
      <c r="O33" s="14"/>
      <c r="P33" s="14"/>
      <c r="Q33" s="14"/>
      <c r="R33" s="24"/>
      <c r="S33" s="24" t="str">
        <f t="shared" ref="S33:U33" si="33">IF(E33&lt;&gt;"","Yes","")</f>
        <v>Yes</v>
      </c>
      <c r="T33" s="24" t="str">
        <f t="shared" si="33"/>
        <v/>
      </c>
      <c r="U33" s="24" t="str">
        <f t="shared" si="33"/>
        <v/>
      </c>
      <c r="V33" s="24" t="str">
        <f t="shared" si="3"/>
        <v/>
      </c>
      <c r="W33" s="24" t="str">
        <f t="shared" si="4"/>
        <v/>
      </c>
    </row>
    <row r="34">
      <c r="A34" s="18">
        <f>HYPERLINK("https://app.hubspot.com/contacts/8748051/record/0-1/587451", 587451)</f>
        <v>587451</v>
      </c>
      <c r="B34" s="14" t="s">
        <v>4708</v>
      </c>
      <c r="C34" s="16"/>
      <c r="D34" s="16"/>
      <c r="E34" s="32"/>
      <c r="F34" s="32"/>
      <c r="G34" s="32"/>
      <c r="H34" s="24"/>
      <c r="I34" s="24"/>
      <c r="J34" s="24"/>
      <c r="K34" s="18">
        <f>HYPERLINK("https://app.hubspot.com/contacts/8748051/record/0-2/8975905460", 8975905460)</f>
        <v>8975905460</v>
      </c>
      <c r="L34" s="14" t="s">
        <v>2095</v>
      </c>
      <c r="M34" s="18" t="s">
        <v>2096</v>
      </c>
      <c r="N34" s="14"/>
      <c r="O34" s="14"/>
      <c r="P34" s="14"/>
      <c r="Q34" s="14"/>
      <c r="R34" s="14"/>
      <c r="S34" s="24" t="str">
        <f t="shared" ref="S34:U34" si="34">IF(E34&lt;&gt;"","Yes","")</f>
        <v/>
      </c>
      <c r="T34" s="24" t="str">
        <f t="shared" si="34"/>
        <v/>
      </c>
      <c r="U34" s="24" t="str">
        <f t="shared" si="34"/>
        <v/>
      </c>
      <c r="V34" s="24" t="str">
        <f t="shared" si="3"/>
        <v/>
      </c>
      <c r="W34" s="24" t="str">
        <f t="shared" si="4"/>
        <v/>
      </c>
    </row>
    <row r="35">
      <c r="A35" s="18">
        <f>HYPERLINK("https://app.hubspot.com/contacts/8748051/record/0-1/717501", 717501)</f>
        <v>717501</v>
      </c>
      <c r="B35" s="14" t="s">
        <v>4709</v>
      </c>
      <c r="C35" s="16"/>
      <c r="D35" s="16"/>
      <c r="E35" s="32">
        <v>45371.0</v>
      </c>
      <c r="F35" s="32">
        <v>45443.0</v>
      </c>
      <c r="G35" s="32">
        <v>45443.0</v>
      </c>
      <c r="H35" s="24"/>
      <c r="I35" s="24"/>
      <c r="J35" s="24"/>
      <c r="K35" s="18">
        <f t="shared" ref="K35:K36" si="36">HYPERLINK("https://app.hubspot.com/contacts/8748051/record/0-2/9093467233", 9093467233)</f>
        <v>9093467233</v>
      </c>
      <c r="L35" s="14" t="s">
        <v>1689</v>
      </c>
      <c r="M35" s="18" t="s">
        <v>1690</v>
      </c>
      <c r="N35" s="23">
        <f>HYPERLINK("https://app.hubspot.com/contacts/8748051/record/0-3/19648590439", 19648590439)</f>
        <v>19648590439</v>
      </c>
      <c r="O35" s="14" t="s">
        <v>1687</v>
      </c>
      <c r="P35" s="14" t="s">
        <v>89</v>
      </c>
      <c r="Q35" s="14">
        <v>32500.0</v>
      </c>
      <c r="R35" s="14" t="b">
        <v>1</v>
      </c>
      <c r="S35" s="24" t="str">
        <f t="shared" ref="S35:U35" si="35">IF(E35&lt;&gt;"","Yes","")</f>
        <v>Yes</v>
      </c>
      <c r="T35" s="24" t="str">
        <f t="shared" si="35"/>
        <v>Yes</v>
      </c>
      <c r="U35" s="24" t="str">
        <f t="shared" si="35"/>
        <v>Yes</v>
      </c>
      <c r="V35" s="24" t="str">
        <f t="shared" si="3"/>
        <v>Yes</v>
      </c>
      <c r="W35" s="24" t="str">
        <f t="shared" si="4"/>
        <v/>
      </c>
    </row>
    <row r="36">
      <c r="A36" s="18">
        <f>HYPERLINK("https://app.hubspot.com/contacts/8748051/record/0-1/717351", 717351)</f>
        <v>717351</v>
      </c>
      <c r="B36" s="14" t="s">
        <v>4710</v>
      </c>
      <c r="C36" s="16"/>
      <c r="D36" s="16"/>
      <c r="E36" s="32">
        <v>45439.0</v>
      </c>
      <c r="F36" s="32"/>
      <c r="G36" s="32"/>
      <c r="H36" s="24"/>
      <c r="I36" s="24"/>
      <c r="J36" s="24"/>
      <c r="K36" s="18">
        <f t="shared" si="36"/>
        <v>9093467233</v>
      </c>
      <c r="L36" s="14" t="s">
        <v>1689</v>
      </c>
      <c r="M36" s="18" t="s">
        <v>1690</v>
      </c>
      <c r="N36" s="24"/>
      <c r="O36" s="14"/>
      <c r="P36" s="14"/>
      <c r="Q36" s="14"/>
      <c r="R36" s="14"/>
      <c r="S36" s="24" t="str">
        <f t="shared" ref="S36:U36" si="37">IF(E36&lt;&gt;"","Yes","")</f>
        <v>Yes</v>
      </c>
      <c r="T36" s="24" t="str">
        <f t="shared" si="37"/>
        <v/>
      </c>
      <c r="U36" s="24" t="str">
        <f t="shared" si="37"/>
        <v/>
      </c>
      <c r="V36" s="24" t="str">
        <f t="shared" si="3"/>
        <v/>
      </c>
      <c r="W36" s="24" t="str">
        <f t="shared" si="4"/>
        <v/>
      </c>
    </row>
    <row r="37">
      <c r="A37" s="18">
        <f>HYPERLINK("https://app.hubspot.com/contacts/8748051/record/0-1/242955", 242955)</f>
        <v>242955</v>
      </c>
      <c r="B37" s="14" t="s">
        <v>4711</v>
      </c>
      <c r="C37" s="16"/>
      <c r="D37" s="16"/>
      <c r="E37" s="32">
        <v>45456.0</v>
      </c>
      <c r="F37" s="32">
        <v>45460.0</v>
      </c>
      <c r="G37" s="32">
        <v>45460.0</v>
      </c>
      <c r="H37" s="24"/>
      <c r="I37" s="24"/>
      <c r="J37" s="24"/>
      <c r="K37" s="18">
        <f>HYPERLINK("https://app.hubspot.com/contacts/8748051/record/0-2/6265997964", 6265997964)</f>
        <v>6265997964</v>
      </c>
      <c r="L37" s="14" t="s">
        <v>1623</v>
      </c>
      <c r="M37" s="18" t="s">
        <v>1624</v>
      </c>
      <c r="N37" s="18">
        <f>HYPERLINK("https://app.hubspot.com/contacts/8748051/record/0-3/20141360017", 20141360017)</f>
        <v>20141360017</v>
      </c>
      <c r="O37" s="14" t="s">
        <v>1622</v>
      </c>
      <c r="P37" s="14" t="s">
        <v>118</v>
      </c>
      <c r="Q37" s="14">
        <v>38160.0</v>
      </c>
      <c r="R37" s="14"/>
      <c r="S37" s="24" t="str">
        <f t="shared" ref="S37:U37" si="38">IF(E37&lt;&gt;"","Yes","")</f>
        <v>Yes</v>
      </c>
      <c r="T37" s="24" t="str">
        <f t="shared" si="38"/>
        <v>Yes</v>
      </c>
      <c r="U37" s="24" t="str">
        <f t="shared" si="38"/>
        <v>Yes</v>
      </c>
      <c r="V37" s="24" t="str">
        <f t="shared" si="3"/>
        <v/>
      </c>
      <c r="W37" s="24" t="str">
        <f t="shared" si="4"/>
        <v/>
      </c>
    </row>
    <row r="38">
      <c r="A38" s="18">
        <f>HYPERLINK("https://app.hubspot.com/contacts/8748051/record/0-1/622501", 622501)</f>
        <v>622501</v>
      </c>
      <c r="B38" s="14" t="s">
        <v>4712</v>
      </c>
      <c r="C38" s="16"/>
      <c r="D38" s="16"/>
      <c r="E38" s="32"/>
      <c r="F38" s="32"/>
      <c r="G38" s="32"/>
      <c r="H38" s="24"/>
      <c r="I38" s="24"/>
      <c r="J38" s="24"/>
      <c r="K38" s="14"/>
      <c r="L38" s="14"/>
      <c r="M38" s="14"/>
      <c r="N38" s="14"/>
      <c r="O38" s="14"/>
      <c r="P38" s="14"/>
      <c r="Q38" s="14"/>
      <c r="R38" s="14"/>
      <c r="S38" s="24" t="str">
        <f t="shared" ref="S38:U38" si="39">IF(E38&lt;&gt;"","Yes","")</f>
        <v/>
      </c>
      <c r="T38" s="24" t="str">
        <f t="shared" si="39"/>
        <v/>
      </c>
      <c r="U38" s="24" t="str">
        <f t="shared" si="39"/>
        <v/>
      </c>
      <c r="V38" s="24" t="str">
        <f t="shared" si="3"/>
        <v/>
      </c>
      <c r="W38" s="24" t="str">
        <f t="shared" si="4"/>
        <v/>
      </c>
    </row>
    <row r="39">
      <c r="A39" s="18">
        <f>HYPERLINK("https://app.hubspot.com/contacts/8748051/record/0-1/1251751", 1251751)</f>
        <v>1251751</v>
      </c>
      <c r="B39" s="14" t="s">
        <v>3736</v>
      </c>
      <c r="C39" s="16">
        <v>45797.86111111111</v>
      </c>
      <c r="D39" s="16"/>
      <c r="E39" s="32">
        <v>45798.0</v>
      </c>
      <c r="F39" s="32">
        <v>45799.0</v>
      </c>
      <c r="G39" s="32">
        <v>45799.0</v>
      </c>
      <c r="H39" s="14" t="s">
        <v>3737</v>
      </c>
      <c r="I39" s="14" t="s">
        <v>3470</v>
      </c>
      <c r="J39" s="24"/>
      <c r="K39" s="18">
        <f>HYPERLINK("https://app.hubspot.com/contacts/8748051/record/0-2/9083544964", 9083544964)</f>
        <v>9083544964</v>
      </c>
      <c r="L39" s="14" t="s">
        <v>1034</v>
      </c>
      <c r="M39" s="18" t="s">
        <v>1035</v>
      </c>
      <c r="N39" s="18">
        <f>HYPERLINK("https://app.hubspot.com/contacts/8748051/record/0-3/16575647146", 16575647146)</f>
        <v>16575647146</v>
      </c>
      <c r="O39" s="14" t="s">
        <v>2393</v>
      </c>
      <c r="P39" s="14" t="s">
        <v>118</v>
      </c>
      <c r="Q39" s="14">
        <v>83000.0</v>
      </c>
      <c r="R39" s="14"/>
      <c r="S39" s="24" t="str">
        <f t="shared" ref="S39:U39" si="40">IF(E39&lt;&gt;"","Yes","")</f>
        <v>Yes</v>
      </c>
      <c r="T39" s="24" t="str">
        <f t="shared" si="40"/>
        <v>Yes</v>
      </c>
      <c r="U39" s="24" t="str">
        <f t="shared" si="40"/>
        <v>Yes</v>
      </c>
      <c r="V39" s="24" t="str">
        <f t="shared" si="3"/>
        <v/>
      </c>
      <c r="W39" s="24" t="str">
        <f t="shared" si="4"/>
        <v/>
      </c>
    </row>
    <row r="40">
      <c r="A40" s="18">
        <f>HYPERLINK("https://app.hubspot.com/contacts/8748051/record/0-1/61201", 61201)</f>
        <v>61201</v>
      </c>
      <c r="B40" s="14" t="s">
        <v>4713</v>
      </c>
      <c r="C40" s="16"/>
      <c r="D40" s="16"/>
      <c r="E40" s="32">
        <v>45313.0</v>
      </c>
      <c r="F40" s="32">
        <v>45495.0</v>
      </c>
      <c r="G40" s="32">
        <v>45495.0</v>
      </c>
      <c r="H40" s="14"/>
      <c r="I40" s="14"/>
      <c r="J40" s="24"/>
      <c r="K40" s="18">
        <f>HYPERLINK("https://app.hubspot.com/contacts/8748051/record/0-2/7984212237", 7984212237)</f>
        <v>7984212237</v>
      </c>
      <c r="L40" s="14" t="s">
        <v>1546</v>
      </c>
      <c r="M40" s="18" t="s">
        <v>1547</v>
      </c>
      <c r="N40" s="18">
        <f>HYPERLINK("https://app.hubspot.com/contacts/8748051/record/0-3/20902616950", 20902616950)</f>
        <v>20902616950</v>
      </c>
      <c r="O40" s="14" t="s">
        <v>1545</v>
      </c>
      <c r="P40" s="14" t="s">
        <v>118</v>
      </c>
      <c r="Q40" s="14">
        <v>19200.0</v>
      </c>
      <c r="R40" s="14"/>
      <c r="S40" s="24" t="str">
        <f t="shared" ref="S40:U40" si="41">IF(E40&lt;&gt;"","Yes","")</f>
        <v>Yes</v>
      </c>
      <c r="T40" s="24" t="str">
        <f t="shared" si="41"/>
        <v>Yes</v>
      </c>
      <c r="U40" s="24" t="str">
        <f t="shared" si="41"/>
        <v>Yes</v>
      </c>
      <c r="V40" s="24" t="str">
        <f t="shared" si="3"/>
        <v/>
      </c>
      <c r="W40" s="24" t="str">
        <f t="shared" si="4"/>
        <v/>
      </c>
    </row>
    <row r="41">
      <c r="A41" s="18">
        <f>HYPERLINK("https://app.hubspot.com/contacts/8748051/record/0-1/1170901", 1170901)</f>
        <v>1170901</v>
      </c>
      <c r="B41" s="14" t="s">
        <v>4714</v>
      </c>
      <c r="C41" s="16"/>
      <c r="D41" s="16"/>
      <c r="E41" s="32">
        <v>45332.0</v>
      </c>
      <c r="F41" s="32"/>
      <c r="G41" s="32"/>
      <c r="H41" s="24"/>
      <c r="I41" s="24"/>
      <c r="J41" s="24"/>
      <c r="K41" s="18">
        <f>HYPERLINK("https://app.hubspot.com/contacts/8748051/record/0-2/8003084728", 8003084728)</f>
        <v>8003084728</v>
      </c>
      <c r="L41" s="14" t="s">
        <v>4715</v>
      </c>
      <c r="M41" s="18" t="s">
        <v>4716</v>
      </c>
      <c r="N41" s="14"/>
      <c r="O41" s="14"/>
      <c r="P41" s="14"/>
      <c r="Q41" s="14"/>
      <c r="R41" s="14"/>
      <c r="S41" s="24" t="str">
        <f t="shared" ref="S41:U41" si="42">IF(E41&lt;&gt;"","Yes","")</f>
        <v>Yes</v>
      </c>
      <c r="T41" s="24" t="str">
        <f t="shared" si="42"/>
        <v/>
      </c>
      <c r="U41" s="24" t="str">
        <f t="shared" si="42"/>
        <v/>
      </c>
      <c r="V41" s="24" t="str">
        <f t="shared" si="3"/>
        <v/>
      </c>
      <c r="W41" s="24" t="str">
        <f t="shared" si="4"/>
        <v/>
      </c>
    </row>
    <row r="42">
      <c r="A42" s="18">
        <f>HYPERLINK("https://app.hubspot.com/contacts/8748051/record/0-1/996751", 996751)</f>
        <v>996751</v>
      </c>
      <c r="B42" s="14" t="s">
        <v>4717</v>
      </c>
      <c r="C42" s="16"/>
      <c r="D42" s="16"/>
      <c r="E42" s="32">
        <v>45343.0</v>
      </c>
      <c r="F42" s="32"/>
      <c r="G42" s="32"/>
      <c r="H42" s="24"/>
      <c r="I42" s="24"/>
      <c r="J42" s="24"/>
      <c r="K42" s="18">
        <f>HYPERLINK("https://app.hubspot.com/contacts/8748051/record/0-2/7640275985", 7640275985)</f>
        <v>7640275985</v>
      </c>
      <c r="L42" s="14" t="s">
        <v>4718</v>
      </c>
      <c r="M42" s="18" t="s">
        <v>4719</v>
      </c>
      <c r="N42" s="14"/>
      <c r="O42" s="14"/>
      <c r="P42" s="14"/>
      <c r="Q42" s="14"/>
      <c r="R42" s="14"/>
      <c r="S42" s="24" t="str">
        <f t="shared" ref="S42:U42" si="43">IF(E42&lt;&gt;"","Yes","")</f>
        <v>Yes</v>
      </c>
      <c r="T42" s="24" t="str">
        <f t="shared" si="43"/>
        <v/>
      </c>
      <c r="U42" s="24" t="str">
        <f t="shared" si="43"/>
        <v/>
      </c>
      <c r="V42" s="24" t="str">
        <f t="shared" si="3"/>
        <v/>
      </c>
      <c r="W42" s="24" t="str">
        <f t="shared" si="4"/>
        <v/>
      </c>
    </row>
    <row r="43">
      <c r="A43" s="18">
        <f>HYPERLINK("https://app.hubspot.com/contacts/8748051/record/0-1/694451", 694451)</f>
        <v>694451</v>
      </c>
      <c r="B43" s="14" t="s">
        <v>4720</v>
      </c>
      <c r="C43" s="16"/>
      <c r="D43" s="16"/>
      <c r="E43" s="32">
        <v>45429.0</v>
      </c>
      <c r="F43" s="32">
        <v>45435.0</v>
      </c>
      <c r="G43" s="32">
        <v>45435.0</v>
      </c>
      <c r="H43" s="14"/>
      <c r="I43" s="14"/>
      <c r="J43" s="14"/>
      <c r="K43" s="18">
        <f>HYPERLINK("https://app.hubspot.com/contacts/8748051/record/0-2/51621298002", 51621298002)</f>
        <v>51621298002</v>
      </c>
      <c r="L43" s="14" t="s">
        <v>1718</v>
      </c>
      <c r="M43" s="18" t="s">
        <v>1719</v>
      </c>
      <c r="N43" s="18">
        <f>HYPERLINK("https://app.hubspot.com/contacts/8748051/record/0-3/19520379064", 19520379064)</f>
        <v>19520379064</v>
      </c>
      <c r="O43" s="14" t="s">
        <v>1717</v>
      </c>
      <c r="P43" s="14" t="s">
        <v>118</v>
      </c>
      <c r="Q43" s="14">
        <v>50400.0</v>
      </c>
      <c r="R43" s="14"/>
      <c r="S43" s="24" t="str">
        <f t="shared" ref="S43:U43" si="44">IF(E43&lt;&gt;"","Yes","")</f>
        <v>Yes</v>
      </c>
      <c r="T43" s="24" t="str">
        <f t="shared" si="44"/>
        <v>Yes</v>
      </c>
      <c r="U43" s="24" t="str">
        <f t="shared" si="44"/>
        <v>Yes</v>
      </c>
      <c r="V43" s="24" t="str">
        <f t="shared" si="3"/>
        <v/>
      </c>
      <c r="W43" s="24" t="str">
        <f t="shared" si="4"/>
        <v/>
      </c>
    </row>
    <row r="44">
      <c r="A44" s="18">
        <f>HYPERLINK("https://app.hubspot.com/contacts/8748051/record/0-1/337251", 337251)</f>
        <v>337251</v>
      </c>
      <c r="B44" s="14" t="s">
        <v>4721</v>
      </c>
      <c r="C44" s="16"/>
      <c r="D44" s="16"/>
      <c r="E44" s="32">
        <v>45425.0</v>
      </c>
      <c r="F44" s="32"/>
      <c r="G44" s="32"/>
      <c r="H44" s="24"/>
      <c r="I44" s="24"/>
      <c r="J44" s="24"/>
      <c r="K44" s="18">
        <f>HYPERLINK("https://app.hubspot.com/contacts/8748051/record/0-2/8142399632", 8142399632)</f>
        <v>8142399632</v>
      </c>
      <c r="L44" s="14" t="s">
        <v>4722</v>
      </c>
      <c r="M44" s="18" t="s">
        <v>4723</v>
      </c>
      <c r="N44" s="24"/>
      <c r="O44" s="14"/>
      <c r="P44" s="14"/>
      <c r="Q44" s="14"/>
      <c r="R44" s="14"/>
      <c r="S44" s="24" t="str">
        <f t="shared" ref="S44:U44" si="45">IF(E44&lt;&gt;"","Yes","")</f>
        <v>Yes</v>
      </c>
      <c r="T44" s="24" t="str">
        <f t="shared" si="45"/>
        <v/>
      </c>
      <c r="U44" s="24" t="str">
        <f t="shared" si="45"/>
        <v/>
      </c>
      <c r="V44" s="24" t="str">
        <f t="shared" si="3"/>
        <v/>
      </c>
      <c r="W44" s="24" t="str">
        <f t="shared" si="4"/>
        <v/>
      </c>
    </row>
    <row r="45">
      <c r="A45" s="18">
        <f>HYPERLINK("https://app.hubspot.com/contacts/8748051/record/0-1/223651", 223651)</f>
        <v>223651</v>
      </c>
      <c r="B45" s="14" t="s">
        <v>4724</v>
      </c>
      <c r="C45" s="16"/>
      <c r="D45" s="16"/>
      <c r="E45" s="32">
        <v>45442.0</v>
      </c>
      <c r="F45" s="32"/>
      <c r="G45" s="32"/>
      <c r="H45" s="24"/>
      <c r="I45" s="24"/>
      <c r="J45" s="24"/>
      <c r="K45" s="18">
        <f>HYPERLINK("https://app.hubspot.com/contacts/8748051/record/0-2/8601281700", 8601281700)</f>
        <v>8601281700</v>
      </c>
      <c r="L45" s="14" t="s">
        <v>4725</v>
      </c>
      <c r="M45" s="18" t="s">
        <v>4726</v>
      </c>
      <c r="N45" s="14"/>
      <c r="O45" s="14"/>
      <c r="P45" s="14"/>
      <c r="Q45" s="14"/>
      <c r="R45" s="24"/>
      <c r="S45" s="24" t="str">
        <f t="shared" ref="S45:U45" si="46">IF(E45&lt;&gt;"","Yes","")</f>
        <v>Yes</v>
      </c>
      <c r="T45" s="24" t="str">
        <f t="shared" si="46"/>
        <v/>
      </c>
      <c r="U45" s="24" t="str">
        <f t="shared" si="46"/>
        <v/>
      </c>
      <c r="V45" s="24" t="str">
        <f t="shared" si="3"/>
        <v/>
      </c>
      <c r="W45" s="24" t="str">
        <f t="shared" si="4"/>
        <v/>
      </c>
    </row>
    <row r="46">
      <c r="A46" s="18">
        <f>HYPERLINK("https://app.hubspot.com/contacts/8748051/record/0-1/695301", 695301)</f>
        <v>695301</v>
      </c>
      <c r="B46" s="14" t="s">
        <v>4727</v>
      </c>
      <c r="C46" s="16"/>
      <c r="D46" s="16"/>
      <c r="E46" s="32">
        <v>45467.0</v>
      </c>
      <c r="F46" s="32">
        <v>45471.0</v>
      </c>
      <c r="G46" s="32">
        <v>45471.0</v>
      </c>
      <c r="H46" s="24"/>
      <c r="I46" s="24"/>
      <c r="J46" s="24"/>
      <c r="K46" s="18">
        <f>HYPERLINK("https://app.hubspot.com/contacts/8748051/record/0-2/32009387295", 32009387295)</f>
        <v>32009387295</v>
      </c>
      <c r="L46" s="14" t="s">
        <v>1591</v>
      </c>
      <c r="M46" s="18" t="s">
        <v>1592</v>
      </c>
      <c r="N46" s="18">
        <f>HYPERLINK("https://app.hubspot.com/contacts/8748051/record/0-3/20356153766", 20356153766)</f>
        <v>20356153766</v>
      </c>
      <c r="O46" s="14" t="s">
        <v>1590</v>
      </c>
      <c r="P46" s="14" t="s">
        <v>118</v>
      </c>
      <c r="Q46" s="14">
        <v>56880.0</v>
      </c>
      <c r="R46" s="14"/>
      <c r="S46" s="24" t="str">
        <f t="shared" ref="S46:U46" si="47">IF(E46&lt;&gt;"","Yes","")</f>
        <v>Yes</v>
      </c>
      <c r="T46" s="24" t="str">
        <f t="shared" si="47"/>
        <v>Yes</v>
      </c>
      <c r="U46" s="24" t="str">
        <f t="shared" si="47"/>
        <v>Yes</v>
      </c>
      <c r="V46" s="24" t="str">
        <f t="shared" si="3"/>
        <v/>
      </c>
      <c r="W46" s="24" t="str">
        <f t="shared" si="4"/>
        <v/>
      </c>
    </row>
    <row r="47">
      <c r="A47" s="18">
        <f>HYPERLINK("https://app.hubspot.com/contacts/8748051/record/0-1/476703", 476703)</f>
        <v>476703</v>
      </c>
      <c r="B47" s="14" t="s">
        <v>4728</v>
      </c>
      <c r="C47" s="16"/>
      <c r="D47" s="16"/>
      <c r="E47" s="32">
        <v>45428.0</v>
      </c>
      <c r="F47" s="32"/>
      <c r="G47" s="32"/>
      <c r="H47" s="24"/>
      <c r="I47" s="24"/>
      <c r="J47" s="24"/>
      <c r="K47" s="18">
        <f>HYPERLINK("https://app.hubspot.com/contacts/8748051/record/0-2/7863684704", 7863684704)</f>
        <v>7863684704</v>
      </c>
      <c r="L47" s="14" t="s">
        <v>4729</v>
      </c>
      <c r="M47" s="18" t="s">
        <v>4730</v>
      </c>
      <c r="N47" s="14"/>
      <c r="O47" s="14"/>
      <c r="P47" s="14"/>
      <c r="Q47" s="14"/>
      <c r="R47" s="14"/>
      <c r="S47" s="24" t="str">
        <f t="shared" ref="S47:U47" si="48">IF(E47&lt;&gt;"","Yes","")</f>
        <v>Yes</v>
      </c>
      <c r="T47" s="24" t="str">
        <f t="shared" si="48"/>
        <v/>
      </c>
      <c r="U47" s="24" t="str">
        <f t="shared" si="48"/>
        <v/>
      </c>
      <c r="V47" s="24" t="str">
        <f t="shared" si="3"/>
        <v/>
      </c>
      <c r="W47" s="24" t="str">
        <f t="shared" si="4"/>
        <v/>
      </c>
    </row>
    <row r="48">
      <c r="A48" s="18">
        <f>HYPERLINK("https://app.hubspot.com/contacts/8748051/record/0-1/721051", 721051)</f>
        <v>721051</v>
      </c>
      <c r="B48" s="14" t="s">
        <v>4731</v>
      </c>
      <c r="C48" s="16"/>
      <c r="D48" s="16"/>
      <c r="E48" s="32">
        <v>45434.0</v>
      </c>
      <c r="F48" s="32"/>
      <c r="G48" s="32"/>
      <c r="H48" s="24"/>
      <c r="I48" s="24"/>
      <c r="J48" s="24"/>
      <c r="K48" s="18">
        <f>HYPERLINK("https://app.hubspot.com/contacts/8748051/record/0-2/9094689639", 9094689639)</f>
        <v>9094689639</v>
      </c>
      <c r="L48" s="14" t="s">
        <v>4732</v>
      </c>
      <c r="M48" s="18" t="s">
        <v>4733</v>
      </c>
      <c r="N48" s="24"/>
      <c r="O48" s="14"/>
      <c r="P48" s="14"/>
      <c r="Q48" s="14"/>
      <c r="R48" s="24"/>
      <c r="S48" s="24" t="str">
        <f t="shared" ref="S48:U48" si="49">IF(E48&lt;&gt;"","Yes","")</f>
        <v>Yes</v>
      </c>
      <c r="T48" s="24" t="str">
        <f t="shared" si="49"/>
        <v/>
      </c>
      <c r="U48" s="24" t="str">
        <f t="shared" si="49"/>
        <v/>
      </c>
      <c r="V48" s="24" t="str">
        <f t="shared" si="3"/>
        <v/>
      </c>
      <c r="W48" s="24" t="str">
        <f t="shared" si="4"/>
        <v/>
      </c>
    </row>
    <row r="49">
      <c r="A49" s="18">
        <f>HYPERLINK("https://app.hubspot.com/contacts/8748051/record/0-1/1091401", 1091401)</f>
        <v>1091401</v>
      </c>
      <c r="B49" s="14" t="s">
        <v>4734</v>
      </c>
      <c r="C49" s="16"/>
      <c r="D49" s="16"/>
      <c r="E49" s="32">
        <v>45343.0</v>
      </c>
      <c r="F49" s="32"/>
      <c r="G49" s="32"/>
      <c r="H49" s="24"/>
      <c r="I49" s="24"/>
      <c r="J49" s="24"/>
      <c r="K49" s="18">
        <f>HYPERLINK("https://app.hubspot.com/contacts/8748051/record/0-2/9559255442", 9559255442)</f>
        <v>9559255442</v>
      </c>
      <c r="L49" s="14" t="s">
        <v>2188</v>
      </c>
      <c r="M49" s="18" t="s">
        <v>2189</v>
      </c>
      <c r="N49" s="18">
        <f>HYPERLINK("https://app.hubspot.com/contacts/8748051/record/0-3/17654781232", 17654781232)</f>
        <v>17654781232</v>
      </c>
      <c r="O49" s="14" t="s">
        <v>2187</v>
      </c>
      <c r="P49" s="14" t="s">
        <v>118</v>
      </c>
      <c r="Q49" s="14">
        <v>14640.0</v>
      </c>
      <c r="R49" s="14"/>
      <c r="S49" s="24" t="str">
        <f t="shared" ref="S49:U49" si="50">IF(E49&lt;&gt;"","Yes","")</f>
        <v>Yes</v>
      </c>
      <c r="T49" s="24" t="str">
        <f t="shared" si="50"/>
        <v/>
      </c>
      <c r="U49" s="24" t="str">
        <f t="shared" si="50"/>
        <v/>
      </c>
      <c r="V49" s="24" t="str">
        <f t="shared" si="3"/>
        <v/>
      </c>
      <c r="W49" s="24" t="str">
        <f t="shared" si="4"/>
        <v/>
      </c>
    </row>
    <row r="50">
      <c r="A50" s="18">
        <f>HYPERLINK("https://app.hubspot.com/contacts/8748051/record/0-1/790002", 790002)</f>
        <v>790002</v>
      </c>
      <c r="B50" s="14" t="s">
        <v>4735</v>
      </c>
      <c r="C50" s="16"/>
      <c r="D50" s="16"/>
      <c r="E50" s="32">
        <v>45261.0</v>
      </c>
      <c r="F50" s="32"/>
      <c r="G50" s="32">
        <v>45272.0</v>
      </c>
      <c r="H50" s="24"/>
      <c r="I50" s="24"/>
      <c r="J50" s="24"/>
      <c r="K50" s="18">
        <f>HYPERLINK("https://app.hubspot.com/contacts/8748051/record/0-2/6262327611", 6262327611)</f>
        <v>6262327611</v>
      </c>
      <c r="L50" s="14" t="s">
        <v>2399</v>
      </c>
      <c r="M50" s="18" t="s">
        <v>2400</v>
      </c>
      <c r="N50" s="18">
        <f>HYPERLINK("https://app.hubspot.com/contacts/8748051/record/0-3/16572427950", 16572427950)</f>
        <v>16572427950</v>
      </c>
      <c r="O50" s="14" t="s">
        <v>2398</v>
      </c>
      <c r="P50" s="14" t="s">
        <v>124</v>
      </c>
      <c r="Q50" s="14">
        <v>35000.0</v>
      </c>
      <c r="R50" s="14" t="b">
        <v>1</v>
      </c>
      <c r="S50" s="24" t="str">
        <f t="shared" ref="S50:U50" si="51">IF(E50&lt;&gt;"","Yes","")</f>
        <v>Yes</v>
      </c>
      <c r="T50" s="24" t="str">
        <f t="shared" si="51"/>
        <v/>
      </c>
      <c r="U50" s="24" t="str">
        <f t="shared" si="51"/>
        <v>Yes</v>
      </c>
      <c r="V50" s="24" t="str">
        <f t="shared" si="3"/>
        <v/>
      </c>
      <c r="W50" s="24" t="str">
        <f t="shared" si="4"/>
        <v/>
      </c>
    </row>
    <row r="51">
      <c r="A51" s="18">
        <f>HYPERLINK("https://app.hubspot.com/contacts/8748051/record/0-1/718751", 718751)</f>
        <v>718751</v>
      </c>
      <c r="B51" s="14" t="s">
        <v>4736</v>
      </c>
      <c r="C51" s="16"/>
      <c r="D51" s="16"/>
      <c r="E51" s="32">
        <v>45461.0</v>
      </c>
      <c r="F51" s="32"/>
      <c r="G51" s="32"/>
      <c r="H51" s="24"/>
      <c r="I51" s="24"/>
      <c r="J51" s="24"/>
      <c r="K51" s="18">
        <f>HYPERLINK("https://app.hubspot.com/contacts/8748051/record/0-2/9093472933", 9093472933)</f>
        <v>9093472933</v>
      </c>
      <c r="L51" s="14" t="s">
        <v>4737</v>
      </c>
      <c r="M51" s="18" t="s">
        <v>4738</v>
      </c>
      <c r="N51" s="24"/>
      <c r="O51" s="14"/>
      <c r="P51" s="14"/>
      <c r="Q51" s="14"/>
      <c r="R51" s="14"/>
      <c r="S51" s="24" t="str">
        <f t="shared" ref="S51:U51" si="52">IF(E51&lt;&gt;"","Yes","")</f>
        <v>Yes</v>
      </c>
      <c r="T51" s="24" t="str">
        <f t="shared" si="52"/>
        <v/>
      </c>
      <c r="U51" s="24" t="str">
        <f t="shared" si="52"/>
        <v/>
      </c>
      <c r="V51" s="24" t="str">
        <f t="shared" si="3"/>
        <v/>
      </c>
      <c r="W51" s="24" t="str">
        <f t="shared" si="4"/>
        <v/>
      </c>
    </row>
    <row r="52">
      <c r="A52" s="18">
        <f>HYPERLINK("https://app.hubspot.com/contacts/8748051/record/0-1/602751", 602751)</f>
        <v>602751</v>
      </c>
      <c r="B52" s="14" t="s">
        <v>4739</v>
      </c>
      <c r="C52" s="16"/>
      <c r="D52" s="16"/>
      <c r="E52" s="32"/>
      <c r="F52" s="24"/>
      <c r="G52" s="32"/>
      <c r="H52" s="24"/>
      <c r="I52" s="24"/>
      <c r="J52" s="24"/>
      <c r="K52" s="14"/>
      <c r="L52" s="14"/>
      <c r="M52" s="14"/>
      <c r="N52" s="24"/>
      <c r="O52" s="14"/>
      <c r="P52" s="14"/>
      <c r="Q52" s="14"/>
      <c r="R52" s="14"/>
      <c r="S52" s="24" t="str">
        <f t="shared" ref="S52:U52" si="53">IF(E52&lt;&gt;"","Yes","")</f>
        <v/>
      </c>
      <c r="T52" s="24" t="str">
        <f t="shared" si="53"/>
        <v/>
      </c>
      <c r="U52" s="24" t="str">
        <f t="shared" si="53"/>
        <v/>
      </c>
      <c r="V52" s="24" t="str">
        <f t="shared" si="3"/>
        <v/>
      </c>
      <c r="W52" s="24" t="str">
        <f t="shared" si="4"/>
        <v/>
      </c>
    </row>
    <row r="53">
      <c r="A53" s="18">
        <f>HYPERLINK("https://app.hubspot.com/contacts/8748051/record/0-1/643601", 643601)</f>
        <v>643601</v>
      </c>
      <c r="B53" s="14" t="s">
        <v>4740</v>
      </c>
      <c r="C53" s="16"/>
      <c r="D53" s="16"/>
      <c r="E53" s="32"/>
      <c r="F53" s="32"/>
      <c r="G53" s="32"/>
      <c r="H53" s="14"/>
      <c r="I53" s="14"/>
      <c r="J53" s="14"/>
      <c r="K53" s="18">
        <f>HYPERLINK("https://app.hubspot.com/contacts/8748051/record/0-2/7687434062", 7687434062)</f>
        <v>7687434062</v>
      </c>
      <c r="L53" s="14" t="s">
        <v>2668</v>
      </c>
      <c r="M53" s="18" t="s">
        <v>2669</v>
      </c>
      <c r="N53" s="18">
        <f>HYPERLINK("https://app.hubspot.com/contacts/8748051/record/0-3/12423375895", 12423375895)</f>
        <v>12423375895</v>
      </c>
      <c r="O53" s="14" t="s">
        <v>2666</v>
      </c>
      <c r="P53" s="14" t="s">
        <v>146</v>
      </c>
      <c r="Q53" s="14">
        <v>30000.0</v>
      </c>
      <c r="R53" s="14"/>
      <c r="S53" s="24" t="str">
        <f t="shared" ref="S53:U53" si="54">IF(E53&lt;&gt;"","Yes","")</f>
        <v/>
      </c>
      <c r="T53" s="24" t="str">
        <f t="shared" si="54"/>
        <v/>
      </c>
      <c r="U53" s="24" t="str">
        <f t="shared" si="54"/>
        <v/>
      </c>
      <c r="V53" s="24" t="str">
        <f t="shared" si="3"/>
        <v/>
      </c>
      <c r="W53" s="24" t="str">
        <f t="shared" si="4"/>
        <v>Yes</v>
      </c>
    </row>
    <row r="54">
      <c r="A54" s="18">
        <f>HYPERLINK("https://app.hubspot.com/contacts/8748051/record/0-1/292701", 292701)</f>
        <v>292701</v>
      </c>
      <c r="B54" s="14" t="s">
        <v>4741</v>
      </c>
      <c r="C54" s="16"/>
      <c r="D54" s="16"/>
      <c r="E54" s="32"/>
      <c r="F54" s="24"/>
      <c r="G54" s="24"/>
      <c r="H54" s="24"/>
      <c r="I54" s="24"/>
      <c r="J54" s="24"/>
      <c r="K54" s="18">
        <f>HYPERLINK("https://app.hubspot.com/contacts/8748051/record/0-2/7581027087", 7581027087)</f>
        <v>7581027087</v>
      </c>
      <c r="L54" s="18" t="s">
        <v>3209</v>
      </c>
      <c r="M54" s="18" t="s">
        <v>3210</v>
      </c>
      <c r="N54" s="14"/>
      <c r="O54" s="14"/>
      <c r="P54" s="14"/>
      <c r="Q54" s="14"/>
      <c r="R54" s="14"/>
      <c r="S54" s="24" t="str">
        <f t="shared" ref="S54:U54" si="55">IF(E54&lt;&gt;"","Yes","")</f>
        <v/>
      </c>
      <c r="T54" s="24" t="str">
        <f t="shared" si="55"/>
        <v/>
      </c>
      <c r="U54" s="24" t="str">
        <f t="shared" si="55"/>
        <v/>
      </c>
      <c r="V54" s="24" t="str">
        <f t="shared" si="3"/>
        <v/>
      </c>
      <c r="W54" s="24" t="str">
        <f t="shared" si="4"/>
        <v/>
      </c>
    </row>
    <row r="55">
      <c r="A55" s="18">
        <f>HYPERLINK("https://app.hubspot.com/contacts/8748051/record/0-1/1701051", 1701051)</f>
        <v>1701051</v>
      </c>
      <c r="B55" s="14" t="s">
        <v>4742</v>
      </c>
      <c r="C55" s="16"/>
      <c r="D55" s="16"/>
      <c r="E55" s="32">
        <v>45281.0</v>
      </c>
      <c r="F55" s="24"/>
      <c r="G55" s="32"/>
      <c r="H55" s="24"/>
      <c r="I55" s="24"/>
      <c r="J55" s="24"/>
      <c r="K55" s="18">
        <f>HYPERLINK("https://app.hubspot.com/contacts/8748051/record/0-2/8016932775", 8016932775)</f>
        <v>8016932775</v>
      </c>
      <c r="L55" s="14" t="s">
        <v>4743</v>
      </c>
      <c r="M55" s="18" t="s">
        <v>4744</v>
      </c>
      <c r="N55" s="24"/>
      <c r="O55" s="14"/>
      <c r="P55" s="14"/>
      <c r="Q55" s="14"/>
      <c r="R55" s="24"/>
      <c r="S55" s="24" t="str">
        <f t="shared" ref="S55:U55" si="56">IF(E55&lt;&gt;"","Yes","")</f>
        <v>Yes</v>
      </c>
      <c r="T55" s="24" t="str">
        <f t="shared" si="56"/>
        <v/>
      </c>
      <c r="U55" s="24" t="str">
        <f t="shared" si="56"/>
        <v/>
      </c>
      <c r="V55" s="24" t="str">
        <f t="shared" si="3"/>
        <v/>
      </c>
      <c r="W55" s="24" t="str">
        <f t="shared" si="4"/>
        <v/>
      </c>
    </row>
    <row r="56">
      <c r="A56" s="18">
        <f>HYPERLINK("https://app.hubspot.com/contacts/8748051/record/0-1/1045001", 1045001)</f>
        <v>1045001</v>
      </c>
      <c r="B56" s="14" t="s">
        <v>4745</v>
      </c>
      <c r="C56" s="16"/>
      <c r="D56" s="16"/>
      <c r="E56" s="32">
        <v>45468.0</v>
      </c>
      <c r="F56" s="32"/>
      <c r="G56" s="32"/>
      <c r="H56" s="24"/>
      <c r="I56" s="24"/>
      <c r="J56" s="24"/>
      <c r="K56" s="18">
        <f>HYPERLINK("https://app.hubspot.com/contacts/8748051/record/0-2/8929779879", 8929779879)</f>
        <v>8929779879</v>
      </c>
      <c r="L56" s="14" t="s">
        <v>4746</v>
      </c>
      <c r="M56" s="18" t="s">
        <v>4747</v>
      </c>
      <c r="N56" s="14"/>
      <c r="O56" s="14"/>
      <c r="P56" s="14"/>
      <c r="Q56" s="14"/>
      <c r="R56" s="14"/>
      <c r="S56" s="24" t="str">
        <f t="shared" ref="S56:U56" si="57">IF(E56&lt;&gt;"","Yes","")</f>
        <v>Yes</v>
      </c>
      <c r="T56" s="24" t="str">
        <f t="shared" si="57"/>
        <v/>
      </c>
      <c r="U56" s="24" t="str">
        <f t="shared" si="57"/>
        <v/>
      </c>
      <c r="V56" s="24" t="str">
        <f t="shared" si="3"/>
        <v/>
      </c>
      <c r="W56" s="24" t="str">
        <f t="shared" si="4"/>
        <v/>
      </c>
    </row>
    <row r="57">
      <c r="A57" s="18">
        <f>HYPERLINK("https://app.hubspot.com/contacts/8748051/record/0-1/641401", 641401)</f>
        <v>641401</v>
      </c>
      <c r="B57" s="14" t="s">
        <v>4748</v>
      </c>
      <c r="C57" s="16"/>
      <c r="D57" s="16"/>
      <c r="E57" s="32"/>
      <c r="F57" s="24"/>
      <c r="G57" s="24"/>
      <c r="H57" s="24"/>
      <c r="I57" s="24"/>
      <c r="J57" s="24"/>
      <c r="K57" s="18">
        <f>HYPERLINK("https://app.hubspot.com/contacts/8748051/record/0-2/8762452389", 8762452389)</f>
        <v>8762452389</v>
      </c>
      <c r="L57" s="14" t="s">
        <v>4749</v>
      </c>
      <c r="M57" s="18" t="s">
        <v>4750</v>
      </c>
      <c r="N57" s="24"/>
      <c r="O57" s="24"/>
      <c r="P57" s="24"/>
      <c r="Q57" s="24"/>
      <c r="R57" s="24"/>
      <c r="S57" s="24" t="str">
        <f t="shared" ref="S57:U57" si="58">IF(E57&lt;&gt;"","Yes","")</f>
        <v/>
      </c>
      <c r="T57" s="24" t="str">
        <f t="shared" si="58"/>
        <v/>
      </c>
      <c r="U57" s="24" t="str">
        <f t="shared" si="58"/>
        <v/>
      </c>
      <c r="V57" s="24" t="str">
        <f t="shared" si="3"/>
        <v/>
      </c>
      <c r="W57" s="24" t="str">
        <f t="shared" si="4"/>
        <v/>
      </c>
    </row>
    <row r="58">
      <c r="A58" s="18">
        <f>HYPERLINK("https://app.hubspot.com/contacts/8748051/record/0-1/34401", 34401)</f>
        <v>34401</v>
      </c>
      <c r="B58" s="14" t="s">
        <v>4751</v>
      </c>
      <c r="C58" s="16"/>
      <c r="D58" s="16"/>
      <c r="E58" s="32">
        <v>45439.0</v>
      </c>
      <c r="F58" s="32"/>
      <c r="G58" s="32"/>
      <c r="H58" s="24"/>
      <c r="I58" s="24"/>
      <c r="J58" s="24"/>
      <c r="K58" s="18">
        <f>HYPERLINK("https://app.hubspot.com/contacts/8748051/record/0-2/7668671771", 7668671771)</f>
        <v>7668671771</v>
      </c>
      <c r="L58" s="14" t="s">
        <v>4752</v>
      </c>
      <c r="M58" s="18" t="s">
        <v>4753</v>
      </c>
      <c r="N58" s="24"/>
      <c r="O58" s="14"/>
      <c r="P58" s="14"/>
      <c r="Q58" s="14"/>
      <c r="R58" s="24"/>
      <c r="S58" s="24" t="str">
        <f t="shared" ref="S58:U58" si="59">IF(E58&lt;&gt;"","Yes","")</f>
        <v>Yes</v>
      </c>
      <c r="T58" s="24" t="str">
        <f t="shared" si="59"/>
        <v/>
      </c>
      <c r="U58" s="24" t="str">
        <f t="shared" si="59"/>
        <v/>
      </c>
      <c r="V58" s="24" t="str">
        <f t="shared" si="3"/>
        <v/>
      </c>
      <c r="W58" s="24" t="str">
        <f t="shared" si="4"/>
        <v/>
      </c>
    </row>
    <row r="59">
      <c r="A59" s="18">
        <f>HYPERLINK("https://app.hubspot.com/contacts/8748051/record/0-1/1409101", 1409101)</f>
        <v>1409101</v>
      </c>
      <c r="B59" s="14" t="s">
        <v>4754</v>
      </c>
      <c r="C59" s="16"/>
      <c r="D59" s="16"/>
      <c r="E59" s="32"/>
      <c r="F59" s="32"/>
      <c r="G59" s="32"/>
      <c r="H59" s="24"/>
      <c r="I59" s="14"/>
      <c r="J59" s="14"/>
      <c r="K59" s="18">
        <f>HYPERLINK("https://app.hubspot.com/contacts/8748051/record/0-2/8142458175", 8142458175)</f>
        <v>8142458175</v>
      </c>
      <c r="L59" s="14" t="s">
        <v>4755</v>
      </c>
      <c r="M59" s="18" t="s">
        <v>4756</v>
      </c>
      <c r="N59" s="14"/>
      <c r="O59" s="14"/>
      <c r="P59" s="14"/>
      <c r="Q59" s="14"/>
      <c r="R59" s="14"/>
      <c r="S59" s="24" t="str">
        <f t="shared" ref="S59:U59" si="60">IF(E59&lt;&gt;"","Yes","")</f>
        <v/>
      </c>
      <c r="T59" s="24" t="str">
        <f t="shared" si="60"/>
        <v/>
      </c>
      <c r="U59" s="24" t="str">
        <f t="shared" si="60"/>
        <v/>
      </c>
      <c r="V59" s="24" t="str">
        <f t="shared" si="3"/>
        <v/>
      </c>
      <c r="W59" s="24" t="str">
        <f t="shared" si="4"/>
        <v/>
      </c>
    </row>
    <row r="60">
      <c r="A60" s="18">
        <f>HYPERLINK("https://app.hubspot.com/contacts/8748051/record/0-1/571851", 571851)</f>
        <v>571851</v>
      </c>
      <c r="B60" s="14" t="s">
        <v>4757</v>
      </c>
      <c r="C60" s="16"/>
      <c r="D60" s="16"/>
      <c r="E60" s="32"/>
      <c r="F60" s="32"/>
      <c r="G60" s="32"/>
      <c r="H60" s="24"/>
      <c r="I60" s="24"/>
      <c r="J60" s="24"/>
      <c r="K60" s="18">
        <f>HYPERLINK("https://app.hubspot.com/contacts/8748051/record/0-2/8965318997", 8965318997)</f>
        <v>8965318997</v>
      </c>
      <c r="L60" s="14" t="s">
        <v>4758</v>
      </c>
      <c r="M60" s="18" t="s">
        <v>4759</v>
      </c>
      <c r="N60" s="24"/>
      <c r="O60" s="14"/>
      <c r="P60" s="14"/>
      <c r="Q60" s="14"/>
      <c r="R60" s="24"/>
      <c r="S60" s="24" t="str">
        <f t="shared" ref="S60:U60" si="61">IF(E60&lt;&gt;"","Yes","")</f>
        <v/>
      </c>
      <c r="T60" s="24" t="str">
        <f t="shared" si="61"/>
        <v/>
      </c>
      <c r="U60" s="24" t="str">
        <f t="shared" si="61"/>
        <v/>
      </c>
      <c r="V60" s="24" t="str">
        <f t="shared" si="3"/>
        <v/>
      </c>
      <c r="W60" s="24" t="str">
        <f t="shared" si="4"/>
        <v/>
      </c>
    </row>
    <row r="61">
      <c r="A61" s="18">
        <f>HYPERLINK("https://app.hubspot.com/contacts/8748051/record/0-1/603701", 603701)</f>
        <v>603701</v>
      </c>
      <c r="B61" s="14" t="s">
        <v>4760</v>
      </c>
      <c r="C61" s="16"/>
      <c r="D61" s="16"/>
      <c r="E61" s="32"/>
      <c r="F61" s="32"/>
      <c r="G61" s="32"/>
      <c r="H61" s="24"/>
      <c r="I61" s="24"/>
      <c r="J61" s="24"/>
      <c r="K61" s="14"/>
      <c r="L61" s="14"/>
      <c r="M61" s="14"/>
      <c r="N61" s="14"/>
      <c r="O61" s="14"/>
      <c r="P61" s="14"/>
      <c r="Q61" s="14"/>
      <c r="R61" s="24"/>
      <c r="S61" s="24" t="str">
        <f t="shared" ref="S61:U61" si="62">IF(E61&lt;&gt;"","Yes","")</f>
        <v/>
      </c>
      <c r="T61" s="24" t="str">
        <f t="shared" si="62"/>
        <v/>
      </c>
      <c r="U61" s="24" t="str">
        <f t="shared" si="62"/>
        <v/>
      </c>
      <c r="V61" s="24" t="str">
        <f t="shared" si="3"/>
        <v/>
      </c>
      <c r="W61" s="24" t="str">
        <f t="shared" si="4"/>
        <v/>
      </c>
    </row>
    <row r="62">
      <c r="A62" s="18">
        <f>HYPERLINK("https://app.hubspot.com/contacts/8748051/record/0-1/1420001", 1420001)</f>
        <v>1420001</v>
      </c>
      <c r="B62" s="14" t="s">
        <v>4761</v>
      </c>
      <c r="C62" s="16"/>
      <c r="D62" s="16"/>
      <c r="E62" s="32">
        <v>45303.0</v>
      </c>
      <c r="F62" s="24"/>
      <c r="G62" s="24"/>
      <c r="H62" s="24"/>
      <c r="I62" s="24"/>
      <c r="J62" s="24"/>
      <c r="K62" s="18">
        <f>HYPERLINK("https://app.hubspot.com/contacts/8748051/record/0-2/9572911722", 9572911722)</f>
        <v>9572911722</v>
      </c>
      <c r="L62" s="14" t="s">
        <v>4762</v>
      </c>
      <c r="M62" s="18" t="s">
        <v>4763</v>
      </c>
      <c r="N62" s="24"/>
      <c r="O62" s="24"/>
      <c r="P62" s="24"/>
      <c r="Q62" s="24"/>
      <c r="R62" s="24"/>
      <c r="S62" s="24" t="str">
        <f t="shared" ref="S62:U62" si="63">IF(E62&lt;&gt;"","Yes","")</f>
        <v>Yes</v>
      </c>
      <c r="T62" s="24" t="str">
        <f t="shared" si="63"/>
        <v/>
      </c>
      <c r="U62" s="24" t="str">
        <f t="shared" si="63"/>
        <v/>
      </c>
      <c r="V62" s="24" t="str">
        <f t="shared" si="3"/>
        <v/>
      </c>
      <c r="W62" s="24" t="str">
        <f t="shared" si="4"/>
        <v/>
      </c>
    </row>
    <row r="63">
      <c r="A63" s="18">
        <f>HYPERLINK("https://app.hubspot.com/contacts/8748051/record/0-1/566451", 566451)</f>
        <v>566451</v>
      </c>
      <c r="B63" s="14" t="s">
        <v>4764</v>
      </c>
      <c r="C63" s="16"/>
      <c r="D63" s="16"/>
      <c r="E63" s="32"/>
      <c r="F63" s="32"/>
      <c r="G63" s="32"/>
      <c r="H63" s="24"/>
      <c r="I63" s="24"/>
      <c r="J63" s="24"/>
      <c r="K63" s="18">
        <f>HYPERLINK("https://app.hubspot.com/contacts/8748051/record/0-2/8962261553", 8962261553)</f>
        <v>8962261553</v>
      </c>
      <c r="L63" s="14" t="s">
        <v>4765</v>
      </c>
      <c r="M63" s="18" t="s">
        <v>4766</v>
      </c>
      <c r="N63" s="24"/>
      <c r="O63" s="14"/>
      <c r="P63" s="14"/>
      <c r="Q63" s="14"/>
      <c r="R63" s="14"/>
      <c r="S63" s="24" t="str">
        <f t="shared" ref="S63:U63" si="64">IF(E63&lt;&gt;"","Yes","")</f>
        <v/>
      </c>
      <c r="T63" s="24" t="str">
        <f t="shared" si="64"/>
        <v/>
      </c>
      <c r="U63" s="24" t="str">
        <f t="shared" si="64"/>
        <v/>
      </c>
      <c r="V63" s="24" t="str">
        <f t="shared" si="3"/>
        <v/>
      </c>
      <c r="W63" s="24" t="str">
        <f t="shared" si="4"/>
        <v/>
      </c>
    </row>
    <row r="64">
      <c r="A64" s="18">
        <f>HYPERLINK("https://app.hubspot.com/contacts/8748051/record/0-1/35801", 35801)</f>
        <v>35801</v>
      </c>
      <c r="B64" s="14" t="s">
        <v>4767</v>
      </c>
      <c r="C64" s="16"/>
      <c r="D64" s="16"/>
      <c r="E64" s="32">
        <v>45265.0</v>
      </c>
      <c r="F64" s="32">
        <v>45266.0</v>
      </c>
      <c r="G64" s="32">
        <v>45266.0</v>
      </c>
      <c r="H64" s="14"/>
      <c r="I64" s="14"/>
      <c r="J64" s="14"/>
      <c r="K64" s="18">
        <f>HYPERLINK("https://app.hubspot.com/contacts/8748051/record/0-2/7673659823", 7673659823)</f>
        <v>7673659823</v>
      </c>
      <c r="L64" s="14" t="s">
        <v>2434</v>
      </c>
      <c r="M64" s="18" t="s">
        <v>2435</v>
      </c>
      <c r="N64" s="18">
        <f>HYPERLINK("https://app.hubspot.com/contacts/8748051/record/0-3/16388480607", 16388480607)</f>
        <v>16388480607</v>
      </c>
      <c r="O64" s="14" t="s">
        <v>2433</v>
      </c>
      <c r="P64" s="14" t="s">
        <v>118</v>
      </c>
      <c r="Q64" s="14">
        <v>71500.0</v>
      </c>
      <c r="R64" s="14"/>
      <c r="S64" s="24" t="str">
        <f t="shared" ref="S64:U64" si="65">IF(E64&lt;&gt;"","Yes","")</f>
        <v>Yes</v>
      </c>
      <c r="T64" s="24" t="str">
        <f t="shared" si="65"/>
        <v>Yes</v>
      </c>
      <c r="U64" s="24" t="str">
        <f t="shared" si="65"/>
        <v>Yes</v>
      </c>
      <c r="V64" s="24" t="str">
        <f t="shared" si="3"/>
        <v/>
      </c>
      <c r="W64" s="24" t="str">
        <f t="shared" si="4"/>
        <v/>
      </c>
    </row>
    <row r="65">
      <c r="A65" s="18">
        <f>HYPERLINK("https://app.hubspot.com/contacts/8748051/record/0-1/711851", 711851)</f>
        <v>711851</v>
      </c>
      <c r="B65" s="14" t="s">
        <v>4768</v>
      </c>
      <c r="C65" s="16"/>
      <c r="D65" s="16"/>
      <c r="E65" s="32">
        <v>45282.0</v>
      </c>
      <c r="F65" s="32"/>
      <c r="G65" s="32"/>
      <c r="H65" s="24"/>
      <c r="I65" s="24"/>
      <c r="J65" s="24"/>
      <c r="K65" s="18">
        <f>HYPERLINK("https://app.hubspot.com/contacts/8748051/record/0-2/9092230702", 9092230702)</f>
        <v>9092230702</v>
      </c>
      <c r="L65" s="14" t="s">
        <v>4769</v>
      </c>
      <c r="M65" s="18" t="s">
        <v>4770</v>
      </c>
      <c r="N65" s="24"/>
      <c r="O65" s="14"/>
      <c r="P65" s="14"/>
      <c r="Q65" s="14"/>
      <c r="R65" s="24"/>
      <c r="S65" s="24" t="str">
        <f t="shared" ref="S65:U65" si="66">IF(E65&lt;&gt;"","Yes","")</f>
        <v>Yes</v>
      </c>
      <c r="T65" s="24" t="str">
        <f t="shared" si="66"/>
        <v/>
      </c>
      <c r="U65" s="24" t="str">
        <f t="shared" si="66"/>
        <v/>
      </c>
      <c r="V65" s="24" t="str">
        <f t="shared" si="3"/>
        <v/>
      </c>
      <c r="W65" s="24" t="str">
        <f t="shared" si="4"/>
        <v/>
      </c>
    </row>
    <row r="66">
      <c r="A66" s="18">
        <f>HYPERLINK("https://app.hubspot.com/contacts/8748051/record/0-1/1254951", 1254951)</f>
        <v>1254951</v>
      </c>
      <c r="B66" s="14" t="s">
        <v>4771</v>
      </c>
      <c r="C66" s="16"/>
      <c r="D66" s="16"/>
      <c r="E66" s="32">
        <v>45265.0</v>
      </c>
      <c r="F66" s="32"/>
      <c r="G66" s="32"/>
      <c r="H66" s="24"/>
      <c r="I66" s="24"/>
      <c r="J66" s="24"/>
      <c r="K66" s="18">
        <f>HYPERLINK("https://app.hubspot.com/contacts/8748051/record/0-2/9284099377", 9284099377)</f>
        <v>9284099377</v>
      </c>
      <c r="L66" s="14" t="s">
        <v>955</v>
      </c>
      <c r="M66" s="18" t="s">
        <v>956</v>
      </c>
      <c r="N66" s="24"/>
      <c r="O66" s="14"/>
      <c r="P66" s="14"/>
      <c r="Q66" s="14"/>
      <c r="R66" s="14"/>
      <c r="S66" s="24" t="str">
        <f t="shared" ref="S66:U66" si="67">IF(E66&lt;&gt;"","Yes","")</f>
        <v>Yes</v>
      </c>
      <c r="T66" s="24" t="str">
        <f t="shared" si="67"/>
        <v/>
      </c>
      <c r="U66" s="24" t="str">
        <f t="shared" si="67"/>
        <v/>
      </c>
      <c r="V66" s="24" t="str">
        <f t="shared" si="3"/>
        <v/>
      </c>
      <c r="W66" s="24" t="str">
        <f t="shared" si="4"/>
        <v/>
      </c>
    </row>
    <row r="67">
      <c r="A67" s="18">
        <f>HYPERLINK("https://app.hubspot.com/contacts/8748051/record/0-1/1400654", 1400654)</f>
        <v>1400654</v>
      </c>
      <c r="B67" s="14" t="s">
        <v>4772</v>
      </c>
      <c r="C67" s="16"/>
      <c r="D67" s="16"/>
      <c r="E67" s="32"/>
      <c r="F67" s="32"/>
      <c r="G67" s="32"/>
      <c r="H67" s="14"/>
      <c r="I67" s="14"/>
      <c r="J67" s="14"/>
      <c r="K67" s="18">
        <f>HYPERLINK("https://app.hubspot.com/contacts/8748051/record/0-2/9427315969", 9427315969)</f>
        <v>9427315969</v>
      </c>
      <c r="L67" s="14" t="s">
        <v>1333</v>
      </c>
      <c r="M67" s="18" t="s">
        <v>1334</v>
      </c>
      <c r="N67" s="14"/>
      <c r="O67" s="14"/>
      <c r="P67" s="14"/>
      <c r="Q67" s="14"/>
      <c r="R67" s="14"/>
      <c r="S67" s="24" t="str">
        <f t="shared" ref="S67:U67" si="68">IF(E67&lt;&gt;"","Yes","")</f>
        <v/>
      </c>
      <c r="T67" s="24" t="str">
        <f t="shared" si="68"/>
        <v/>
      </c>
      <c r="U67" s="24" t="str">
        <f t="shared" si="68"/>
        <v/>
      </c>
      <c r="V67" s="24" t="str">
        <f t="shared" si="3"/>
        <v/>
      </c>
      <c r="W67" s="24" t="str">
        <f t="shared" si="4"/>
        <v/>
      </c>
    </row>
    <row r="68">
      <c r="A68" s="18">
        <f>HYPERLINK("https://app.hubspot.com/contacts/8748051/record/0-1/525451", 525451)</f>
        <v>525451</v>
      </c>
      <c r="B68" s="14" t="s">
        <v>4773</v>
      </c>
      <c r="C68" s="16"/>
      <c r="D68" s="16"/>
      <c r="E68" s="32"/>
      <c r="F68" s="32"/>
      <c r="G68" s="32"/>
      <c r="H68" s="24"/>
      <c r="I68" s="24"/>
      <c r="J68" s="24"/>
      <c r="K68" s="18">
        <f>HYPERLINK("https://app.hubspot.com/contacts/8748051/record/0-2/8762802616", 8762802616)</f>
        <v>8762802616</v>
      </c>
      <c r="L68" s="14" t="s">
        <v>2835</v>
      </c>
      <c r="M68" s="18" t="s">
        <v>2836</v>
      </c>
      <c r="N68" s="23">
        <f>HYPERLINK("https://app.hubspot.com/contacts/8748051/record/0-3/9465234347", 9465234347)</f>
        <v>9465234347</v>
      </c>
      <c r="O68" s="14" t="s">
        <v>2833</v>
      </c>
      <c r="P68" s="14" t="s">
        <v>146</v>
      </c>
      <c r="Q68" s="14">
        <v>18000.0</v>
      </c>
      <c r="R68" s="14" t="b">
        <v>1</v>
      </c>
      <c r="S68" s="24" t="str">
        <f t="shared" ref="S68:U68" si="69">IF(E68&lt;&gt;"","Yes","")</f>
        <v/>
      </c>
      <c r="T68" s="24" t="str">
        <f t="shared" si="69"/>
        <v/>
      </c>
      <c r="U68" s="24" t="str">
        <f t="shared" si="69"/>
        <v/>
      </c>
      <c r="V68" s="24" t="str">
        <f t="shared" si="3"/>
        <v/>
      </c>
      <c r="W68" s="24" t="str">
        <f t="shared" si="4"/>
        <v>Yes</v>
      </c>
    </row>
    <row r="69">
      <c r="A69" s="18">
        <f>HYPERLINK("https://app.hubspot.com/contacts/8748051/record/0-1/1332354", 1332354)</f>
        <v>1332354</v>
      </c>
      <c r="B69" s="14" t="s">
        <v>4774</v>
      </c>
      <c r="C69" s="16"/>
      <c r="D69" s="16"/>
      <c r="E69" s="32">
        <v>45446.0</v>
      </c>
      <c r="F69" s="32"/>
      <c r="G69" s="32"/>
      <c r="H69" s="24"/>
      <c r="I69" s="14"/>
      <c r="J69" s="14"/>
      <c r="K69" s="18">
        <f>HYPERLINK("https://app.hubspot.com/contacts/8748051/record/0-2/7686762401", 7686762401)</f>
        <v>7686762401</v>
      </c>
      <c r="L69" s="14" t="s">
        <v>907</v>
      </c>
      <c r="M69" s="18" t="s">
        <v>908</v>
      </c>
      <c r="N69" s="14"/>
      <c r="O69" s="14"/>
      <c r="P69" s="14"/>
      <c r="Q69" s="14"/>
      <c r="R69" s="14"/>
      <c r="S69" s="24" t="str">
        <f t="shared" ref="S69:U69" si="70">IF(E69&lt;&gt;"","Yes","")</f>
        <v>Yes</v>
      </c>
      <c r="T69" s="24" t="str">
        <f t="shared" si="70"/>
        <v/>
      </c>
      <c r="U69" s="24" t="str">
        <f t="shared" si="70"/>
        <v/>
      </c>
      <c r="V69" s="24" t="str">
        <f t="shared" si="3"/>
        <v/>
      </c>
      <c r="W69" s="24" t="str">
        <f t="shared" si="4"/>
        <v/>
      </c>
    </row>
    <row r="70">
      <c r="A70" s="18">
        <f>HYPERLINK("https://app.hubspot.com/contacts/8748051/record/0-1/499651", 499651)</f>
        <v>499651</v>
      </c>
      <c r="B70" s="14" t="s">
        <v>4775</v>
      </c>
      <c r="C70" s="16"/>
      <c r="D70" s="16"/>
      <c r="E70" s="32"/>
      <c r="F70" s="24"/>
      <c r="G70" s="32"/>
      <c r="H70" s="24"/>
      <c r="I70" s="24"/>
      <c r="J70" s="24"/>
      <c r="K70" s="14"/>
      <c r="L70" s="14"/>
      <c r="M70" s="14"/>
      <c r="N70" s="24"/>
      <c r="O70" s="14"/>
      <c r="P70" s="14"/>
      <c r="Q70" s="14"/>
      <c r="R70" s="14"/>
      <c r="S70" s="24" t="str">
        <f t="shared" ref="S70:U70" si="71">IF(E70&lt;&gt;"","Yes","")</f>
        <v/>
      </c>
      <c r="T70" s="24" t="str">
        <f t="shared" si="71"/>
        <v/>
      </c>
      <c r="U70" s="24" t="str">
        <f t="shared" si="71"/>
        <v/>
      </c>
      <c r="V70" s="24" t="str">
        <f t="shared" si="3"/>
        <v/>
      </c>
      <c r="W70" s="24" t="str">
        <f t="shared" si="4"/>
        <v/>
      </c>
    </row>
    <row r="71">
      <c r="A71" s="18">
        <f>HYPERLINK("https://app.hubspot.com/contacts/8748051/record/0-1/116201", 116201)</f>
        <v>116201</v>
      </c>
      <c r="B71" s="14" t="s">
        <v>4776</v>
      </c>
      <c r="C71" s="16"/>
      <c r="D71" s="16"/>
      <c r="E71" s="32">
        <v>45308.0</v>
      </c>
      <c r="F71" s="32">
        <v>45315.0</v>
      </c>
      <c r="G71" s="32">
        <v>45315.0</v>
      </c>
      <c r="H71" s="24"/>
      <c r="I71" s="24"/>
      <c r="J71" s="24"/>
      <c r="K71" s="18">
        <f>HYPERLINK("https://app.hubspot.com/contacts/8748051/record/0-2/7398575155", 7398575155)</f>
        <v>7398575155</v>
      </c>
      <c r="L71" s="14" t="s">
        <v>2326</v>
      </c>
      <c r="M71" s="18" t="s">
        <v>2327</v>
      </c>
      <c r="N71" s="23">
        <f>HYPERLINK("https://app.hubspot.com/contacts/8748051/record/0-3/17019442080", 17019442080)</f>
        <v>17019442080</v>
      </c>
      <c r="O71" s="14" t="s">
        <v>2325</v>
      </c>
      <c r="P71" s="14" t="s">
        <v>124</v>
      </c>
      <c r="Q71" s="14">
        <v>6500.0</v>
      </c>
      <c r="R71" s="14" t="b">
        <v>1</v>
      </c>
      <c r="S71" s="24" t="str">
        <f t="shared" ref="S71:U71" si="72">IF(E71&lt;&gt;"","Yes","")</f>
        <v>Yes</v>
      </c>
      <c r="T71" s="24" t="str">
        <f t="shared" si="72"/>
        <v>Yes</v>
      </c>
      <c r="U71" s="24" t="str">
        <f t="shared" si="72"/>
        <v>Yes</v>
      </c>
      <c r="V71" s="24" t="str">
        <f t="shared" si="3"/>
        <v/>
      </c>
      <c r="W71" s="24" t="str">
        <f t="shared" si="4"/>
        <v/>
      </c>
    </row>
    <row r="72">
      <c r="A72" s="18">
        <f>HYPERLINK("https://app.hubspot.com/contacts/8748051/record/0-1/381301", 381301)</f>
        <v>381301</v>
      </c>
      <c r="B72" s="14" t="s">
        <v>4777</v>
      </c>
      <c r="C72" s="16"/>
      <c r="D72" s="16"/>
      <c r="E72" s="32"/>
      <c r="F72" s="32"/>
      <c r="G72" s="32"/>
      <c r="H72" s="24"/>
      <c r="I72" s="24"/>
      <c r="J72" s="24"/>
      <c r="K72" s="18">
        <f>HYPERLINK("https://app.hubspot.com/contacts/8748051/record/0-2/35716472621", 35716472621)</f>
        <v>35716472621</v>
      </c>
      <c r="L72" s="14" t="s">
        <v>182</v>
      </c>
      <c r="M72" s="18" t="s">
        <v>183</v>
      </c>
      <c r="N72" s="14"/>
      <c r="O72" s="14"/>
      <c r="P72" s="14"/>
      <c r="Q72" s="14"/>
      <c r="R72" s="14"/>
      <c r="S72" s="24" t="str">
        <f t="shared" ref="S72:U72" si="73">IF(E72&lt;&gt;"","Yes","")</f>
        <v/>
      </c>
      <c r="T72" s="24" t="str">
        <f t="shared" si="73"/>
        <v/>
      </c>
      <c r="U72" s="24" t="str">
        <f t="shared" si="73"/>
        <v/>
      </c>
      <c r="V72" s="24" t="str">
        <f t="shared" si="3"/>
        <v/>
      </c>
      <c r="W72" s="24" t="str">
        <f t="shared" si="4"/>
        <v/>
      </c>
    </row>
    <row r="73">
      <c r="A73" s="18">
        <f>HYPERLINK("https://app.hubspot.com/contacts/8748051/record/0-1/507851", 507851)</f>
        <v>507851</v>
      </c>
      <c r="B73" s="14" t="s">
        <v>4778</v>
      </c>
      <c r="C73" s="16"/>
      <c r="D73" s="16"/>
      <c r="E73" s="32"/>
      <c r="F73" s="32"/>
      <c r="G73" s="32"/>
      <c r="H73" s="24"/>
      <c r="I73" s="24"/>
      <c r="J73" s="24"/>
      <c r="K73" s="18">
        <f>HYPERLINK("https://app.hubspot.com/contacts/8748051/record/0-2/8939268441", 8939268441)</f>
        <v>8939268441</v>
      </c>
      <c r="L73" s="14" t="s">
        <v>4779</v>
      </c>
      <c r="M73" s="18" t="s">
        <v>4780</v>
      </c>
      <c r="N73" s="14"/>
      <c r="O73" s="14"/>
      <c r="P73" s="14"/>
      <c r="Q73" s="14"/>
      <c r="R73" s="14"/>
      <c r="S73" s="24" t="str">
        <f t="shared" ref="S73:U73" si="74">IF(E73&lt;&gt;"","Yes","")</f>
        <v/>
      </c>
      <c r="T73" s="24" t="str">
        <f t="shared" si="74"/>
        <v/>
      </c>
      <c r="U73" s="24" t="str">
        <f t="shared" si="74"/>
        <v/>
      </c>
      <c r="V73" s="24" t="str">
        <f t="shared" si="3"/>
        <v/>
      </c>
      <c r="W73" s="24" t="str">
        <f t="shared" si="4"/>
        <v/>
      </c>
    </row>
    <row r="74">
      <c r="A74" s="18">
        <f>HYPERLINK("https://app.hubspot.com/contacts/8748051/record/0-1/568051", 568051)</f>
        <v>568051</v>
      </c>
      <c r="B74" s="14" t="s">
        <v>4781</v>
      </c>
      <c r="C74" s="16"/>
      <c r="D74" s="16"/>
      <c r="E74" s="32"/>
      <c r="F74" s="32"/>
      <c r="G74" s="32"/>
      <c r="H74" s="24"/>
      <c r="I74" s="24"/>
      <c r="J74" s="24"/>
      <c r="K74" s="14"/>
      <c r="L74" s="14"/>
      <c r="M74" s="14"/>
      <c r="N74" s="14"/>
      <c r="O74" s="14"/>
      <c r="P74" s="14"/>
      <c r="Q74" s="14"/>
      <c r="R74" s="14"/>
      <c r="S74" s="24" t="str">
        <f t="shared" ref="S74:U74" si="75">IF(E74&lt;&gt;"","Yes","")</f>
        <v/>
      </c>
      <c r="T74" s="24" t="str">
        <f t="shared" si="75"/>
        <v/>
      </c>
      <c r="U74" s="24" t="str">
        <f t="shared" si="75"/>
        <v/>
      </c>
      <c r="V74" s="24" t="str">
        <f t="shared" si="3"/>
        <v/>
      </c>
      <c r="W74" s="24" t="str">
        <f t="shared" si="4"/>
        <v/>
      </c>
    </row>
    <row r="75">
      <c r="A75" s="18">
        <f>HYPERLINK("https://app.hubspot.com/contacts/8748051/record/0-1/449251", 449251)</f>
        <v>449251</v>
      </c>
      <c r="B75" s="14" t="s">
        <v>4782</v>
      </c>
      <c r="C75" s="16"/>
      <c r="D75" s="16"/>
      <c r="E75" s="32">
        <v>45272.0</v>
      </c>
      <c r="F75" s="32"/>
      <c r="G75" s="32"/>
      <c r="H75" s="24"/>
      <c r="I75" s="24"/>
      <c r="J75" s="24"/>
      <c r="K75" s="18">
        <f>HYPERLINK("https://app.hubspot.com/contacts/8748051/record/0-2/8910135296", 8910135296)</f>
        <v>8910135296</v>
      </c>
      <c r="L75" s="14" t="s">
        <v>4783</v>
      </c>
      <c r="M75" s="18" t="s">
        <v>4784</v>
      </c>
      <c r="N75" s="14"/>
      <c r="O75" s="14"/>
      <c r="P75" s="14"/>
      <c r="Q75" s="14"/>
      <c r="R75" s="14"/>
      <c r="S75" s="24" t="str">
        <f t="shared" ref="S75:U75" si="76">IF(E75&lt;&gt;"","Yes","")</f>
        <v>Yes</v>
      </c>
      <c r="T75" s="24" t="str">
        <f t="shared" si="76"/>
        <v/>
      </c>
      <c r="U75" s="24" t="str">
        <f t="shared" si="76"/>
        <v/>
      </c>
      <c r="V75" s="24" t="str">
        <f t="shared" si="3"/>
        <v/>
      </c>
      <c r="W75" s="24" t="str">
        <f t="shared" si="4"/>
        <v/>
      </c>
    </row>
    <row r="76">
      <c r="A76" s="18">
        <f>HYPERLINK("https://app.hubspot.com/contacts/8748051/record/0-1/710751", 710751)</f>
        <v>710751</v>
      </c>
      <c r="B76" s="14" t="s">
        <v>4785</v>
      </c>
      <c r="C76" s="16"/>
      <c r="D76" s="16"/>
      <c r="E76" s="32"/>
      <c r="F76" s="32"/>
      <c r="G76" s="32"/>
      <c r="H76" s="24"/>
      <c r="I76" s="24"/>
      <c r="J76" s="24"/>
      <c r="K76" s="18">
        <f>HYPERLINK("https://app.hubspot.com/contacts/8748051/record/0-2/6816536393", 6816536393)</f>
        <v>6816536393</v>
      </c>
      <c r="L76" s="14" t="s">
        <v>4786</v>
      </c>
      <c r="M76" s="18" t="s">
        <v>4787</v>
      </c>
      <c r="N76" s="24"/>
      <c r="O76" s="14"/>
      <c r="P76" s="14"/>
      <c r="Q76" s="14"/>
      <c r="R76" s="24"/>
      <c r="S76" s="24" t="str">
        <f t="shared" ref="S76:U76" si="77">IF(E76&lt;&gt;"","Yes","")</f>
        <v/>
      </c>
      <c r="T76" s="24" t="str">
        <f t="shared" si="77"/>
        <v/>
      </c>
      <c r="U76" s="24" t="str">
        <f t="shared" si="77"/>
        <v/>
      </c>
      <c r="V76" s="24" t="str">
        <f t="shared" si="3"/>
        <v/>
      </c>
      <c r="W76" s="24" t="str">
        <f t="shared" si="4"/>
        <v/>
      </c>
    </row>
    <row r="77">
      <c r="A77" s="18">
        <f>HYPERLINK("https://app.hubspot.com/contacts/8748051/record/0-1/501301", 501301)</f>
        <v>501301</v>
      </c>
      <c r="B77" s="14" t="s">
        <v>4788</v>
      </c>
      <c r="C77" s="16"/>
      <c r="D77" s="16"/>
      <c r="E77" s="32">
        <v>45261.0</v>
      </c>
      <c r="F77" s="32"/>
      <c r="G77" s="32">
        <v>45261.0</v>
      </c>
      <c r="H77" s="24"/>
      <c r="I77" s="24"/>
      <c r="J77" s="24"/>
      <c r="K77" s="18">
        <f>HYPERLINK("https://app.hubspot.com/contacts/8748051/record/0-2/8933543510", 8933543510)</f>
        <v>8933543510</v>
      </c>
      <c r="L77" s="14" t="s">
        <v>2240</v>
      </c>
      <c r="M77" s="18" t="s">
        <v>2241</v>
      </c>
      <c r="N77" s="23">
        <f>HYPERLINK("https://app.hubspot.com/contacts/8748051/record/0-3/17365963063", 17365963063)</f>
        <v>17365963063</v>
      </c>
      <c r="O77" s="14" t="s">
        <v>2239</v>
      </c>
      <c r="P77" s="14" t="s">
        <v>118</v>
      </c>
      <c r="Q77" s="14">
        <v>6500.0</v>
      </c>
      <c r="R77" s="24"/>
      <c r="S77" s="24" t="str">
        <f t="shared" ref="S77:U77" si="78">IF(E77&lt;&gt;"","Yes","")</f>
        <v>Yes</v>
      </c>
      <c r="T77" s="24" t="str">
        <f t="shared" si="78"/>
        <v/>
      </c>
      <c r="U77" s="24" t="str">
        <f t="shared" si="78"/>
        <v>Yes</v>
      </c>
      <c r="V77" s="24" t="str">
        <f t="shared" si="3"/>
        <v/>
      </c>
      <c r="W77" s="24" t="str">
        <f t="shared" si="4"/>
        <v/>
      </c>
    </row>
    <row r="78">
      <c r="A78" s="18">
        <f>HYPERLINK("https://app.hubspot.com/contacts/8748051/record/0-1/547851", 547851)</f>
        <v>547851</v>
      </c>
      <c r="B78" s="14" t="s">
        <v>4789</v>
      </c>
      <c r="C78" s="16"/>
      <c r="D78" s="16"/>
      <c r="E78" s="32"/>
      <c r="F78" s="32"/>
      <c r="G78" s="32"/>
      <c r="H78" s="24"/>
      <c r="I78" s="24"/>
      <c r="J78" s="24"/>
      <c r="K78" s="14"/>
      <c r="L78" s="14"/>
      <c r="M78" s="14"/>
      <c r="N78" s="14"/>
      <c r="O78" s="14"/>
      <c r="P78" s="14"/>
      <c r="Q78" s="14"/>
      <c r="R78" s="14"/>
      <c r="S78" s="24" t="str">
        <f t="shared" ref="S78:U78" si="79">IF(E78&lt;&gt;"","Yes","")</f>
        <v/>
      </c>
      <c r="T78" s="24" t="str">
        <f t="shared" si="79"/>
        <v/>
      </c>
      <c r="U78" s="24" t="str">
        <f t="shared" si="79"/>
        <v/>
      </c>
      <c r="V78" s="24" t="str">
        <f t="shared" si="3"/>
        <v/>
      </c>
      <c r="W78" s="24" t="str">
        <f t="shared" si="4"/>
        <v/>
      </c>
    </row>
    <row r="79">
      <c r="A79" s="18">
        <f>HYPERLINK("https://app.hubspot.com/contacts/8748051/record/0-1/1701151", 1701151)</f>
        <v>1701151</v>
      </c>
      <c r="B79" s="14" t="s">
        <v>4790</v>
      </c>
      <c r="C79" s="16"/>
      <c r="D79" s="16"/>
      <c r="E79" s="32">
        <v>45267.0</v>
      </c>
      <c r="F79" s="32"/>
      <c r="G79" s="32"/>
      <c r="H79" s="24"/>
      <c r="I79" s="14"/>
      <c r="J79" s="14"/>
      <c r="K79" s="18">
        <f>HYPERLINK("https://app.hubspot.com/contacts/8748051/record/0-2/8717682719", 8717682719)</f>
        <v>8717682719</v>
      </c>
      <c r="L79" s="14" t="s">
        <v>4791</v>
      </c>
      <c r="M79" s="18" t="s">
        <v>4792</v>
      </c>
      <c r="N79" s="14"/>
      <c r="O79" s="14"/>
      <c r="P79" s="14"/>
      <c r="Q79" s="14"/>
      <c r="R79" s="24"/>
      <c r="S79" s="24" t="str">
        <f t="shared" ref="S79:U79" si="80">IF(E79&lt;&gt;"","Yes","")</f>
        <v>Yes</v>
      </c>
      <c r="T79" s="24" t="str">
        <f t="shared" si="80"/>
        <v/>
      </c>
      <c r="U79" s="24" t="str">
        <f t="shared" si="80"/>
        <v/>
      </c>
      <c r="V79" s="24" t="str">
        <f t="shared" si="3"/>
        <v/>
      </c>
      <c r="W79" s="24" t="str">
        <f t="shared" si="4"/>
        <v/>
      </c>
    </row>
    <row r="80">
      <c r="A80" s="18">
        <f>HYPERLINK("https://app.hubspot.com/contacts/8748051/record/0-1/1216302", 1216302)</f>
        <v>1216302</v>
      </c>
      <c r="B80" s="14" t="s">
        <v>4793</v>
      </c>
      <c r="C80" s="16"/>
      <c r="D80" s="16"/>
      <c r="E80" s="32">
        <v>45325.0</v>
      </c>
      <c r="F80" s="32"/>
      <c r="G80" s="32"/>
      <c r="H80" s="24"/>
      <c r="I80" s="24"/>
      <c r="J80" s="24"/>
      <c r="K80" s="18">
        <f>HYPERLINK("https://app.hubspot.com/contacts/8748051/record/0-2/9406191177", 9406191177)</f>
        <v>9406191177</v>
      </c>
      <c r="L80" s="14" t="s">
        <v>4794</v>
      </c>
      <c r="M80" s="18" t="s">
        <v>4795</v>
      </c>
      <c r="N80" s="14"/>
      <c r="O80" s="14"/>
      <c r="P80" s="14"/>
      <c r="Q80" s="14"/>
      <c r="R80" s="24"/>
      <c r="S80" s="24" t="str">
        <f t="shared" ref="S80:U80" si="81">IF(E80&lt;&gt;"","Yes","")</f>
        <v>Yes</v>
      </c>
      <c r="T80" s="24" t="str">
        <f t="shared" si="81"/>
        <v/>
      </c>
      <c r="U80" s="24" t="str">
        <f t="shared" si="81"/>
        <v/>
      </c>
      <c r="V80" s="24" t="str">
        <f t="shared" si="3"/>
        <v/>
      </c>
      <c r="W80" s="24" t="str">
        <f t="shared" si="4"/>
        <v/>
      </c>
    </row>
    <row r="81">
      <c r="A81" s="18">
        <f>HYPERLINK("https://app.hubspot.com/contacts/8748051/record/0-1/495319", 495319)</f>
        <v>495319</v>
      </c>
      <c r="B81" s="14" t="s">
        <v>4796</v>
      </c>
      <c r="C81" s="16"/>
      <c r="D81" s="16"/>
      <c r="E81" s="32">
        <v>45434.0</v>
      </c>
      <c r="F81" s="32">
        <v>45442.0</v>
      </c>
      <c r="G81" s="32">
        <v>45442.0</v>
      </c>
      <c r="H81" s="24"/>
      <c r="I81" s="24"/>
      <c r="J81" s="24"/>
      <c r="K81" s="18">
        <f>HYPERLINK("https://app.hubspot.com/contacts/8748051/record/0-2/8929794578", 8929794578)</f>
        <v>8929794578</v>
      </c>
      <c r="L81" s="14" t="s">
        <v>1700</v>
      </c>
      <c r="M81" s="18" t="s">
        <v>1701</v>
      </c>
      <c r="N81" s="18">
        <f>HYPERLINK("https://app.hubspot.com/contacts/8748051/record/0-3/19648469796", 19648469796)</f>
        <v>19648469796</v>
      </c>
      <c r="O81" s="14" t="s">
        <v>1699</v>
      </c>
      <c r="P81" s="14" t="s">
        <v>118</v>
      </c>
      <c r="Q81" s="14">
        <v>13680.0</v>
      </c>
      <c r="R81" s="14"/>
      <c r="S81" s="24" t="str">
        <f t="shared" ref="S81:U81" si="82">IF(E81&lt;&gt;"","Yes","")</f>
        <v>Yes</v>
      </c>
      <c r="T81" s="24" t="str">
        <f t="shared" si="82"/>
        <v>Yes</v>
      </c>
      <c r="U81" s="24" t="str">
        <f t="shared" si="82"/>
        <v>Yes</v>
      </c>
      <c r="V81" s="24" t="str">
        <f t="shared" si="3"/>
        <v/>
      </c>
      <c r="W81" s="24" t="str">
        <f t="shared" si="4"/>
        <v/>
      </c>
    </row>
    <row r="82">
      <c r="A82" s="18">
        <f>HYPERLINK("https://app.hubspot.com/contacts/8748051/record/0-1/1417103", 1417103)</f>
        <v>1417103</v>
      </c>
      <c r="B82" s="14" t="s">
        <v>4797</v>
      </c>
      <c r="C82" s="16"/>
      <c r="D82" s="16"/>
      <c r="E82" s="32">
        <v>45418.0</v>
      </c>
      <c r="F82" s="32">
        <v>45427.0</v>
      </c>
      <c r="G82" s="32">
        <v>45427.0</v>
      </c>
      <c r="H82" s="24"/>
      <c r="I82" s="24"/>
      <c r="J82" s="24"/>
      <c r="K82" s="18">
        <f>HYPERLINK("https://app.hubspot.com/contacts/8748051/record/0-2/19634895107", 19634895107)</f>
        <v>19634895107</v>
      </c>
      <c r="L82" s="14" t="s">
        <v>1752</v>
      </c>
      <c r="M82" s="18" t="s">
        <v>1753</v>
      </c>
      <c r="N82" s="23">
        <f>HYPERLINK("https://app.hubspot.com/contacts/8748051/record/0-3/19382542690", 19382542690)</f>
        <v>19382542690</v>
      </c>
      <c r="O82" s="14" t="s">
        <v>1750</v>
      </c>
      <c r="P82" s="14" t="s">
        <v>146</v>
      </c>
      <c r="Q82" s="14">
        <v>60000.0</v>
      </c>
      <c r="R82" s="14" t="b">
        <v>1</v>
      </c>
      <c r="S82" s="24" t="str">
        <f t="shared" ref="S82:U82" si="83">IF(E82&lt;&gt;"","Yes","")</f>
        <v>Yes</v>
      </c>
      <c r="T82" s="24" t="str">
        <f t="shared" si="83"/>
        <v>Yes</v>
      </c>
      <c r="U82" s="24" t="str">
        <f t="shared" si="83"/>
        <v>Yes</v>
      </c>
      <c r="V82" s="24" t="str">
        <f t="shared" si="3"/>
        <v/>
      </c>
      <c r="W82" s="24" t="str">
        <f t="shared" si="4"/>
        <v>Yes</v>
      </c>
    </row>
    <row r="83">
      <c r="A83" s="18">
        <f>HYPERLINK("https://app.hubspot.com/contacts/8748051/record/0-1/1314001", 1314001)</f>
        <v>1314001</v>
      </c>
      <c r="B83" s="14" t="s">
        <v>4798</v>
      </c>
      <c r="C83" s="16">
        <v>46071.3465162037</v>
      </c>
      <c r="D83" s="16"/>
      <c r="E83" s="32"/>
      <c r="F83" s="32"/>
      <c r="G83" s="32"/>
      <c r="H83" s="24"/>
      <c r="I83" s="24"/>
      <c r="J83" s="24"/>
      <c r="K83" s="18">
        <f>HYPERLINK("https://app.hubspot.com/contacts/8748051/record/0-2/48907416970", 48907416970)</f>
        <v>48907416970</v>
      </c>
      <c r="L83" s="14" t="s">
        <v>3593</v>
      </c>
      <c r="M83" s="18" t="s">
        <v>4799</v>
      </c>
      <c r="N83" s="24"/>
      <c r="O83" s="14"/>
      <c r="P83" s="14"/>
      <c r="Q83" s="14"/>
      <c r="R83" s="24"/>
      <c r="S83" s="24" t="str">
        <f t="shared" ref="S83:U83" si="84">IF(E83&lt;&gt;"","Yes","")</f>
        <v/>
      </c>
      <c r="T83" s="24" t="str">
        <f t="shared" si="84"/>
        <v/>
      </c>
      <c r="U83" s="24" t="str">
        <f t="shared" si="84"/>
        <v/>
      </c>
      <c r="V83" s="24" t="str">
        <f t="shared" si="3"/>
        <v/>
      </c>
      <c r="W83" s="24" t="str">
        <f t="shared" si="4"/>
        <v/>
      </c>
    </row>
    <row r="84">
      <c r="A84" s="18">
        <f>HYPERLINK("https://app.hubspot.com/contacts/8748051/record/0-1/1342951", 1342951)</f>
        <v>1342951</v>
      </c>
      <c r="B84" s="14" t="s">
        <v>4800</v>
      </c>
      <c r="C84" s="16"/>
      <c r="D84" s="16"/>
      <c r="E84" s="32">
        <v>45375.0</v>
      </c>
      <c r="F84" s="32"/>
      <c r="G84" s="32"/>
      <c r="H84" s="24"/>
      <c r="I84" s="24"/>
      <c r="J84" s="24"/>
      <c r="K84" s="18">
        <f>HYPERLINK("https://app.hubspot.com/contacts/8748051/record/0-2/9132261741", 9132261741)</f>
        <v>9132261741</v>
      </c>
      <c r="L84" s="14" t="s">
        <v>2019</v>
      </c>
      <c r="M84" s="18" t="s">
        <v>2020</v>
      </c>
      <c r="N84" s="18">
        <f>HYPERLINK("https://app.hubspot.com/contacts/8748051/record/0-3/18225666131", 18225666131)</f>
        <v>18225666131</v>
      </c>
      <c r="O84" s="14" t="s">
        <v>2018</v>
      </c>
      <c r="P84" s="14" t="s">
        <v>118</v>
      </c>
      <c r="Q84" s="14">
        <v>20640.0</v>
      </c>
      <c r="R84" s="14"/>
      <c r="S84" s="24" t="str">
        <f t="shared" ref="S84:U84" si="85">IF(E84&lt;&gt;"","Yes","")</f>
        <v>Yes</v>
      </c>
      <c r="T84" s="24" t="str">
        <f t="shared" si="85"/>
        <v/>
      </c>
      <c r="U84" s="24" t="str">
        <f t="shared" si="85"/>
        <v/>
      </c>
      <c r="V84" s="24" t="str">
        <f t="shared" si="3"/>
        <v/>
      </c>
      <c r="W84" s="24" t="str">
        <f t="shared" si="4"/>
        <v/>
      </c>
    </row>
    <row r="85">
      <c r="A85" s="18">
        <f>HYPERLINK("https://app.hubspot.com/contacts/8748051/record/0-1/274401", 274401)</f>
        <v>274401</v>
      </c>
      <c r="B85" s="14" t="s">
        <v>4801</v>
      </c>
      <c r="C85" s="16"/>
      <c r="D85" s="16"/>
      <c r="E85" s="32">
        <v>45366.0</v>
      </c>
      <c r="F85" s="32">
        <v>45385.0</v>
      </c>
      <c r="G85" s="32">
        <v>45385.0</v>
      </c>
      <c r="H85" s="24"/>
      <c r="I85" s="24"/>
      <c r="J85" s="24"/>
      <c r="K85" s="18">
        <f>HYPERLINK("https://app.hubspot.com/contacts/8748051/record/0-2/8161507100", 8161507100)</f>
        <v>8161507100</v>
      </c>
      <c r="L85" s="14" t="s">
        <v>1096</v>
      </c>
      <c r="M85" s="18" t="s">
        <v>1097</v>
      </c>
      <c r="N85" s="23">
        <f>HYPERLINK("https://app.hubspot.com/contacts/8748051/record/0-3/18295488692", 18295488692)</f>
        <v>18295488692</v>
      </c>
      <c r="O85" s="14" t="s">
        <v>1977</v>
      </c>
      <c r="P85" s="14" t="s">
        <v>146</v>
      </c>
      <c r="Q85" s="14">
        <v>26900.0</v>
      </c>
      <c r="R85" s="14" t="b">
        <v>1</v>
      </c>
      <c r="S85" s="24" t="str">
        <f t="shared" ref="S85:U85" si="86">IF(E85&lt;&gt;"","Yes","")</f>
        <v>Yes</v>
      </c>
      <c r="T85" s="24" t="str">
        <f t="shared" si="86"/>
        <v>Yes</v>
      </c>
      <c r="U85" s="24" t="str">
        <f t="shared" si="86"/>
        <v>Yes</v>
      </c>
      <c r="V85" s="24" t="str">
        <f t="shared" si="3"/>
        <v/>
      </c>
      <c r="W85" s="24" t="str">
        <f t="shared" si="4"/>
        <v>Yes</v>
      </c>
    </row>
    <row r="86">
      <c r="A86" s="18">
        <f>HYPERLINK("https://app.hubspot.com/contacts/8748051/record/0-1/1700552", 1700552)</f>
        <v>1700552</v>
      </c>
      <c r="B86" s="14" t="s">
        <v>3943</v>
      </c>
      <c r="C86" s="16">
        <v>45540.73900462963</v>
      </c>
      <c r="D86" s="16"/>
      <c r="E86" s="32">
        <v>45541.0</v>
      </c>
      <c r="F86" s="32">
        <v>45544.0</v>
      </c>
      <c r="G86" s="32">
        <v>45544.0</v>
      </c>
      <c r="H86" s="24"/>
      <c r="I86" s="24"/>
      <c r="J86" s="24"/>
      <c r="K86" s="18">
        <f>HYPERLINK("https://app.hubspot.com/contacts/8748051/record/0-2/8051981464", 8051981464)</f>
        <v>8051981464</v>
      </c>
      <c r="L86" s="14" t="s">
        <v>1502</v>
      </c>
      <c r="M86" s="18" t="s">
        <v>1503</v>
      </c>
      <c r="N86" s="23">
        <f>HYPERLINK("https://app.hubspot.com/contacts/8748051/record/0-3/16508412252", 16508412252)</f>
        <v>16508412252</v>
      </c>
      <c r="O86" s="14" t="s">
        <v>2414</v>
      </c>
      <c r="P86" s="14" t="s">
        <v>118</v>
      </c>
      <c r="Q86" s="14">
        <v>38000.0</v>
      </c>
      <c r="R86" s="14"/>
      <c r="S86" s="24" t="str">
        <f t="shared" ref="S86:U86" si="87">IF(E86&lt;&gt;"","Yes","")</f>
        <v>Yes</v>
      </c>
      <c r="T86" s="24" t="str">
        <f t="shared" si="87"/>
        <v>Yes</v>
      </c>
      <c r="U86" s="24" t="str">
        <f t="shared" si="87"/>
        <v>Yes</v>
      </c>
      <c r="V86" s="24" t="str">
        <f t="shared" si="3"/>
        <v/>
      </c>
      <c r="W86" s="24" t="str">
        <f t="shared" si="4"/>
        <v/>
      </c>
    </row>
    <row r="87">
      <c r="A87" s="18">
        <f>HYPERLINK("https://app.hubspot.com/contacts/8748051/record/0-1/57303", 57303)</f>
        <v>57303</v>
      </c>
      <c r="B87" s="14" t="s">
        <v>4263</v>
      </c>
      <c r="C87" s="16">
        <v>45281.26903935185</v>
      </c>
      <c r="D87" s="16"/>
      <c r="E87" s="32">
        <v>45281.0</v>
      </c>
      <c r="F87" s="32"/>
      <c r="G87" s="32"/>
      <c r="H87" s="24"/>
      <c r="I87" s="24"/>
      <c r="J87" s="24"/>
      <c r="K87" s="18">
        <f>HYPERLINK("https://app.hubspot.com/contacts/8748051/record/0-2/7945145244", 7945145244)</f>
        <v>7945145244</v>
      </c>
      <c r="L87" s="14" t="s">
        <v>2375</v>
      </c>
      <c r="M87" s="18" t="s">
        <v>2376</v>
      </c>
      <c r="N87" s="18">
        <f>HYPERLINK("https://app.hubspot.com/contacts/8748051/record/0-3/16622118027", 16622118027)</f>
        <v>16622118027</v>
      </c>
      <c r="O87" s="14" t="s">
        <v>2374</v>
      </c>
      <c r="P87" s="14" t="s">
        <v>118</v>
      </c>
      <c r="Q87" s="14">
        <v>64000.0</v>
      </c>
      <c r="R87" s="24"/>
      <c r="S87" s="24" t="str">
        <f t="shared" ref="S87:U87" si="88">IF(E87&lt;&gt;"","Yes","")</f>
        <v>Yes</v>
      </c>
      <c r="T87" s="24" t="str">
        <f t="shared" si="88"/>
        <v/>
      </c>
      <c r="U87" s="24" t="str">
        <f t="shared" si="88"/>
        <v/>
      </c>
      <c r="V87" s="24" t="str">
        <f t="shared" si="3"/>
        <v/>
      </c>
      <c r="W87" s="24" t="str">
        <f t="shared" si="4"/>
        <v/>
      </c>
    </row>
    <row r="88">
      <c r="A88" s="18">
        <f>HYPERLINK("https://app.hubspot.com/contacts/8748051/record/0-1/545601", 545601)</f>
        <v>545601</v>
      </c>
      <c r="B88" s="14" t="s">
        <v>4802</v>
      </c>
      <c r="C88" s="16"/>
      <c r="D88" s="16"/>
      <c r="E88" s="32"/>
      <c r="F88" s="32"/>
      <c r="G88" s="32"/>
      <c r="H88" s="24"/>
      <c r="I88" s="24"/>
      <c r="J88" s="24"/>
      <c r="K88" s="18">
        <f>HYPERLINK("https://app.hubspot.com/contacts/8748051/record/0-2/8950629394", 8950629394)</f>
        <v>8950629394</v>
      </c>
      <c r="L88" s="14" t="s">
        <v>4803</v>
      </c>
      <c r="M88" s="18" t="s">
        <v>4804</v>
      </c>
      <c r="N88" s="24"/>
      <c r="O88" s="14"/>
      <c r="P88" s="14"/>
      <c r="Q88" s="14"/>
      <c r="R88" s="14"/>
      <c r="S88" s="24" t="str">
        <f t="shared" ref="S88:U88" si="89">IF(E88&lt;&gt;"","Yes","")</f>
        <v/>
      </c>
      <c r="T88" s="24" t="str">
        <f t="shared" si="89"/>
        <v/>
      </c>
      <c r="U88" s="24" t="str">
        <f t="shared" si="89"/>
        <v/>
      </c>
      <c r="V88" s="24" t="str">
        <f t="shared" si="3"/>
        <v/>
      </c>
      <c r="W88" s="24" t="str">
        <f t="shared" si="4"/>
        <v/>
      </c>
    </row>
    <row r="89">
      <c r="A89" s="18">
        <f>HYPERLINK("https://app.hubspot.com/contacts/8748051/record/0-1/563001", 563001)</f>
        <v>563001</v>
      </c>
      <c r="B89" s="14" t="s">
        <v>4805</v>
      </c>
      <c r="C89" s="16"/>
      <c r="D89" s="16"/>
      <c r="E89" s="32"/>
      <c r="F89" s="32"/>
      <c r="G89" s="32"/>
      <c r="H89" s="24"/>
      <c r="I89" s="24"/>
      <c r="J89" s="24"/>
      <c r="K89" s="18">
        <f>HYPERLINK("https://app.hubspot.com/contacts/8748051/record/0-2/8960498587", 8960498587)</f>
        <v>8960498587</v>
      </c>
      <c r="L89" s="14" t="s">
        <v>4806</v>
      </c>
      <c r="M89" s="18" t="s">
        <v>4807</v>
      </c>
      <c r="N89" s="24"/>
      <c r="O89" s="14"/>
      <c r="P89" s="14"/>
      <c r="Q89" s="14"/>
      <c r="R89" s="14"/>
      <c r="S89" s="24" t="str">
        <f t="shared" ref="S89:U89" si="90">IF(E89&lt;&gt;"","Yes","")</f>
        <v/>
      </c>
      <c r="T89" s="24" t="str">
        <f t="shared" si="90"/>
        <v/>
      </c>
      <c r="U89" s="24" t="str">
        <f t="shared" si="90"/>
        <v/>
      </c>
      <c r="V89" s="24" t="str">
        <f t="shared" si="3"/>
        <v/>
      </c>
      <c r="W89" s="24" t="str">
        <f t="shared" si="4"/>
        <v/>
      </c>
    </row>
    <row r="90">
      <c r="A90" s="18">
        <f>HYPERLINK("https://app.hubspot.com/contacts/8748051/record/0-1/623501", 623501)</f>
        <v>623501</v>
      </c>
      <c r="B90" s="14" t="s">
        <v>4808</v>
      </c>
      <c r="C90" s="16"/>
      <c r="D90" s="16"/>
      <c r="E90" s="32"/>
      <c r="F90" s="24"/>
      <c r="G90" s="24"/>
      <c r="H90" s="24"/>
      <c r="I90" s="24"/>
      <c r="J90" s="24"/>
      <c r="K90" s="18">
        <f>HYPERLINK("https://app.hubspot.com/contacts/8748051/record/0-2/8999091348", 8999091348)</f>
        <v>8999091348</v>
      </c>
      <c r="L90" s="14" t="s">
        <v>4809</v>
      </c>
      <c r="M90" s="18" t="s">
        <v>4810</v>
      </c>
      <c r="N90" s="24"/>
      <c r="O90" s="24"/>
      <c r="P90" s="24"/>
      <c r="Q90" s="24"/>
      <c r="R90" s="24"/>
      <c r="S90" s="24" t="str">
        <f t="shared" ref="S90:U90" si="91">IF(E90&lt;&gt;"","Yes","")</f>
        <v/>
      </c>
      <c r="T90" s="24" t="str">
        <f t="shared" si="91"/>
        <v/>
      </c>
      <c r="U90" s="24" t="str">
        <f t="shared" si="91"/>
        <v/>
      </c>
      <c r="V90" s="24" t="str">
        <f t="shared" si="3"/>
        <v/>
      </c>
      <c r="W90" s="24" t="str">
        <f t="shared" si="4"/>
        <v/>
      </c>
    </row>
    <row r="91">
      <c r="A91" s="18">
        <f>HYPERLINK("https://app.hubspot.com/contacts/8748051/record/0-1/1199101", 1199101)</f>
        <v>1199101</v>
      </c>
      <c r="B91" s="14" t="s">
        <v>4811</v>
      </c>
      <c r="C91" s="16"/>
      <c r="D91" s="16"/>
      <c r="E91" s="32">
        <v>45446.0</v>
      </c>
      <c r="F91" s="32"/>
      <c r="G91" s="32"/>
      <c r="H91" s="14"/>
      <c r="I91" s="14"/>
      <c r="J91" s="14"/>
      <c r="K91" s="18">
        <f>HYPERLINK("https://app.hubspot.com/contacts/8748051/record/0-2/9238395416", 9238395416)</f>
        <v>9238395416</v>
      </c>
      <c r="L91" s="14" t="s">
        <v>4812</v>
      </c>
      <c r="M91" s="18" t="s">
        <v>4813</v>
      </c>
      <c r="N91" s="14"/>
      <c r="O91" s="14"/>
      <c r="P91" s="14"/>
      <c r="Q91" s="14"/>
      <c r="R91" s="14"/>
      <c r="S91" s="24" t="str">
        <f t="shared" ref="S91:U91" si="92">IF(E91&lt;&gt;"","Yes","")</f>
        <v>Yes</v>
      </c>
      <c r="T91" s="24" t="str">
        <f t="shared" si="92"/>
        <v/>
      </c>
      <c r="U91" s="24" t="str">
        <f t="shared" si="92"/>
        <v/>
      </c>
      <c r="V91" s="24" t="str">
        <f t="shared" si="3"/>
        <v/>
      </c>
      <c r="W91" s="24" t="str">
        <f t="shared" si="4"/>
        <v/>
      </c>
    </row>
    <row r="92">
      <c r="A92" s="18">
        <f>HYPERLINK("https://app.hubspot.com/contacts/8748051/record/0-1/789901", 789901)</f>
        <v>789901</v>
      </c>
      <c r="B92" s="14" t="s">
        <v>4814</v>
      </c>
      <c r="C92" s="16"/>
      <c r="D92" s="16"/>
      <c r="E92" s="32">
        <v>45261.0</v>
      </c>
      <c r="F92" s="32">
        <v>45309.0</v>
      </c>
      <c r="G92" s="32">
        <v>45309.0</v>
      </c>
      <c r="H92" s="24"/>
      <c r="I92" s="24"/>
      <c r="J92" s="24"/>
      <c r="K92" s="18">
        <f>HYPERLINK("https://app.hubspot.com/contacts/8748051/record/0-2/8941103485", 8941103485)</f>
        <v>8941103485</v>
      </c>
      <c r="L92" s="14" t="s">
        <v>2329</v>
      </c>
      <c r="M92" s="18" t="s">
        <v>2330</v>
      </c>
      <c r="N92" s="23">
        <f>HYPERLINK("https://app.hubspot.com/contacts/8748051/record/0-3/17021084424", 17021084424)</f>
        <v>17021084424</v>
      </c>
      <c r="O92" s="14" t="s">
        <v>2328</v>
      </c>
      <c r="P92" s="14" t="s">
        <v>124</v>
      </c>
      <c r="Q92" s="14">
        <v>8000.0</v>
      </c>
      <c r="R92" s="14" t="b">
        <v>1</v>
      </c>
      <c r="S92" s="24" t="str">
        <f t="shared" ref="S92:U92" si="93">IF(E92&lt;&gt;"","Yes","")</f>
        <v>Yes</v>
      </c>
      <c r="T92" s="24" t="str">
        <f t="shared" si="93"/>
        <v>Yes</v>
      </c>
      <c r="U92" s="24" t="str">
        <f t="shared" si="93"/>
        <v>Yes</v>
      </c>
      <c r="V92" s="24" t="str">
        <f t="shared" si="3"/>
        <v/>
      </c>
      <c r="W92" s="24" t="str">
        <f t="shared" si="4"/>
        <v/>
      </c>
    </row>
    <row r="93">
      <c r="A93" s="18">
        <f>HYPERLINK("https://app.hubspot.com/contacts/8748051/record/0-1/92751", 92751)</f>
        <v>92751</v>
      </c>
      <c r="B93" s="14" t="s">
        <v>4815</v>
      </c>
      <c r="C93" s="16"/>
      <c r="D93" s="16"/>
      <c r="E93" s="32">
        <v>45272.0</v>
      </c>
      <c r="F93" s="32">
        <v>45295.0</v>
      </c>
      <c r="G93" s="32">
        <v>45295.0</v>
      </c>
      <c r="H93" s="24"/>
      <c r="I93" s="24"/>
      <c r="J93" s="24"/>
      <c r="K93" s="18">
        <f>HYPERLINK("https://app.hubspot.com/contacts/8748051/record/0-2/8142158894", 8142158894)</f>
        <v>8142158894</v>
      </c>
      <c r="L93" s="14" t="s">
        <v>2372</v>
      </c>
      <c r="M93" s="18" t="s">
        <v>2373</v>
      </c>
      <c r="N93" s="23">
        <f>HYPERLINK("https://app.hubspot.com/contacts/8748051/record/0-3/16807714365", 16807714365)</f>
        <v>16807714365</v>
      </c>
      <c r="O93" s="14" t="s">
        <v>2371</v>
      </c>
      <c r="P93" s="14" t="s">
        <v>118</v>
      </c>
      <c r="Q93" s="14">
        <v>38500.0</v>
      </c>
      <c r="R93" s="14"/>
      <c r="S93" s="24" t="str">
        <f t="shared" ref="S93:U93" si="94">IF(E93&lt;&gt;"","Yes","")</f>
        <v>Yes</v>
      </c>
      <c r="T93" s="24" t="str">
        <f t="shared" si="94"/>
        <v>Yes</v>
      </c>
      <c r="U93" s="24" t="str">
        <f t="shared" si="94"/>
        <v>Yes</v>
      </c>
      <c r="V93" s="24" t="str">
        <f t="shared" si="3"/>
        <v/>
      </c>
      <c r="W93" s="24" t="str">
        <f t="shared" si="4"/>
        <v/>
      </c>
    </row>
    <row r="94">
      <c r="A94" s="18">
        <f>HYPERLINK("https://app.hubspot.com/contacts/8748051/record/0-1/1176951", 1176951)</f>
        <v>1176951</v>
      </c>
      <c r="B94" s="14" t="s">
        <v>4816</v>
      </c>
      <c r="C94" s="16"/>
      <c r="D94" s="16"/>
      <c r="E94" s="32"/>
      <c r="F94" s="24"/>
      <c r="G94" s="24"/>
      <c r="H94" s="24"/>
      <c r="I94" s="24"/>
      <c r="J94" s="24"/>
      <c r="K94" s="18">
        <f>HYPERLINK("https://app.hubspot.com/contacts/8748051/record/0-2/9597226850", 9597226850)</f>
        <v>9597226850</v>
      </c>
      <c r="L94" s="14" t="s">
        <v>4817</v>
      </c>
      <c r="M94" s="18" t="s">
        <v>4818</v>
      </c>
      <c r="N94" s="24"/>
      <c r="O94" s="24"/>
      <c r="P94" s="24"/>
      <c r="Q94" s="24"/>
      <c r="R94" s="24"/>
      <c r="S94" s="24" t="str">
        <f t="shared" ref="S94:U94" si="95">IF(E94&lt;&gt;"","Yes","")</f>
        <v/>
      </c>
      <c r="T94" s="24" t="str">
        <f t="shared" si="95"/>
        <v/>
      </c>
      <c r="U94" s="24" t="str">
        <f t="shared" si="95"/>
        <v/>
      </c>
      <c r="V94" s="24" t="str">
        <f t="shared" si="3"/>
        <v/>
      </c>
      <c r="W94" s="24" t="str">
        <f t="shared" si="4"/>
        <v/>
      </c>
    </row>
    <row r="95">
      <c r="A95" s="18">
        <f>HYPERLINK("https://app.hubspot.com/contacts/8748051/record/0-1/911902", 911902)</f>
        <v>911902</v>
      </c>
      <c r="B95" s="14" t="s">
        <v>4819</v>
      </c>
      <c r="C95" s="16"/>
      <c r="D95" s="16"/>
      <c r="E95" s="32"/>
      <c r="F95" s="24"/>
      <c r="G95" s="24"/>
      <c r="H95" s="24"/>
      <c r="I95" s="24"/>
      <c r="J95" s="24"/>
      <c r="K95" s="18">
        <f>HYPERLINK("https://app.hubspot.com/contacts/8748051/record/0-2/9238328396", 9238328396)</f>
        <v>9238328396</v>
      </c>
      <c r="L95" s="14" t="s">
        <v>2495</v>
      </c>
      <c r="M95" s="18" t="s">
        <v>2496</v>
      </c>
      <c r="N95" s="23">
        <f>HYPERLINK("https://app.hubspot.com/contacts/8748051/record/0-3/15723271730", 15723271730)</f>
        <v>15723271730</v>
      </c>
      <c r="O95" s="14" t="s">
        <v>2494</v>
      </c>
      <c r="P95" s="14" t="s">
        <v>118</v>
      </c>
      <c r="Q95" s="14">
        <v>100000.0</v>
      </c>
      <c r="R95" s="24"/>
      <c r="S95" s="24" t="str">
        <f t="shared" ref="S95:U95" si="96">IF(E95&lt;&gt;"","Yes","")</f>
        <v/>
      </c>
      <c r="T95" s="24" t="str">
        <f t="shared" si="96"/>
        <v/>
      </c>
      <c r="U95" s="24" t="str">
        <f t="shared" si="96"/>
        <v/>
      </c>
      <c r="V95" s="24" t="str">
        <f t="shared" si="3"/>
        <v/>
      </c>
      <c r="W95" s="24" t="str">
        <f t="shared" si="4"/>
        <v/>
      </c>
    </row>
    <row r="96">
      <c r="A96" s="18">
        <f>HYPERLINK("https://app.hubspot.com/contacts/8748051/record/0-1/28951", 28951)</f>
        <v>28951</v>
      </c>
      <c r="B96" s="14" t="s">
        <v>4820</v>
      </c>
      <c r="C96" s="16"/>
      <c r="D96" s="16"/>
      <c r="E96" s="32">
        <v>45303.0</v>
      </c>
      <c r="F96" s="32"/>
      <c r="G96" s="32"/>
      <c r="H96" s="24"/>
      <c r="I96" s="24"/>
      <c r="J96" s="24"/>
      <c r="K96" s="18">
        <f>HYPERLINK("https://app.hubspot.com/contacts/8748051/record/0-2/7648310570", 7648310570)</f>
        <v>7648310570</v>
      </c>
      <c r="L96" s="14" t="s">
        <v>4821</v>
      </c>
      <c r="M96" s="18" t="s">
        <v>4822</v>
      </c>
      <c r="N96" s="24"/>
      <c r="O96" s="14"/>
      <c r="P96" s="14"/>
      <c r="Q96" s="14"/>
      <c r="R96" s="14"/>
      <c r="S96" s="24" t="str">
        <f t="shared" ref="S96:U96" si="97">IF(E96&lt;&gt;"","Yes","")</f>
        <v>Yes</v>
      </c>
      <c r="T96" s="24" t="str">
        <f t="shared" si="97"/>
        <v/>
      </c>
      <c r="U96" s="24" t="str">
        <f t="shared" si="97"/>
        <v/>
      </c>
      <c r="V96" s="24" t="str">
        <f t="shared" si="3"/>
        <v/>
      </c>
      <c r="W96" s="24" t="str">
        <f t="shared" si="4"/>
        <v/>
      </c>
    </row>
    <row r="97">
      <c r="A97" s="18">
        <f>HYPERLINK("https://app.hubspot.com/contacts/8748051/record/0-1/1585251", 1585251)</f>
        <v>1585251</v>
      </c>
      <c r="B97" s="14" t="s">
        <v>4823</v>
      </c>
      <c r="C97" s="16"/>
      <c r="D97" s="16"/>
      <c r="E97" s="32">
        <v>45298.0</v>
      </c>
      <c r="F97" s="32">
        <v>45343.0</v>
      </c>
      <c r="G97" s="32">
        <v>45343.0</v>
      </c>
      <c r="H97" s="24"/>
      <c r="I97" s="24"/>
      <c r="J97" s="24"/>
      <c r="K97" s="18">
        <f>HYPERLINK("https://app.hubspot.com/contacts/8748051/record/0-2/7700289454", 7700289454)</f>
        <v>7700289454</v>
      </c>
      <c r="L97" s="14" t="s">
        <v>2191</v>
      </c>
      <c r="M97" s="18" t="s">
        <v>2192</v>
      </c>
      <c r="N97" s="18">
        <f>HYPERLINK("https://app.hubspot.com/contacts/8748051/record/0-3/17636004502", 17636004502)</f>
        <v>17636004502</v>
      </c>
      <c r="O97" s="14" t="s">
        <v>2190</v>
      </c>
      <c r="P97" s="14" t="s">
        <v>118</v>
      </c>
      <c r="Q97" s="14">
        <v>21600.0</v>
      </c>
      <c r="R97" s="14"/>
      <c r="S97" s="24" t="str">
        <f t="shared" ref="S97:U97" si="98">IF(E97&lt;&gt;"","Yes","")</f>
        <v>Yes</v>
      </c>
      <c r="T97" s="24" t="str">
        <f t="shared" si="98"/>
        <v>Yes</v>
      </c>
      <c r="U97" s="24" t="str">
        <f t="shared" si="98"/>
        <v>Yes</v>
      </c>
      <c r="V97" s="24" t="str">
        <f t="shared" si="3"/>
        <v/>
      </c>
      <c r="W97" s="24" t="str">
        <f t="shared" si="4"/>
        <v/>
      </c>
    </row>
    <row r="98">
      <c r="A98" s="18">
        <f>HYPERLINK("https://app.hubspot.com/contacts/8748051/record/0-1/1477455", 1477455)</f>
        <v>1477455</v>
      </c>
      <c r="B98" s="14" t="s">
        <v>4824</v>
      </c>
      <c r="C98" s="16"/>
      <c r="D98" s="16"/>
      <c r="E98" s="32">
        <v>45320.0</v>
      </c>
      <c r="F98" s="32"/>
      <c r="G98" s="32"/>
      <c r="H98" s="24"/>
      <c r="I98" s="24"/>
      <c r="J98" s="24"/>
      <c r="K98" s="18">
        <f>HYPERLINK("https://app.hubspot.com/contacts/8748051/record/0-2/7674369339", 7674369339)</f>
        <v>7674369339</v>
      </c>
      <c r="L98" s="14" t="s">
        <v>4825</v>
      </c>
      <c r="M98" s="18" t="s">
        <v>4826</v>
      </c>
      <c r="N98" s="14"/>
      <c r="O98" s="14"/>
      <c r="P98" s="14"/>
      <c r="Q98" s="14"/>
      <c r="R98" s="14"/>
      <c r="S98" s="24" t="str">
        <f t="shared" ref="S98:U98" si="99">IF(E98&lt;&gt;"","Yes","")</f>
        <v>Yes</v>
      </c>
      <c r="T98" s="24" t="str">
        <f t="shared" si="99"/>
        <v/>
      </c>
      <c r="U98" s="24" t="str">
        <f t="shared" si="99"/>
        <v/>
      </c>
      <c r="V98" s="24" t="str">
        <f t="shared" si="3"/>
        <v/>
      </c>
      <c r="W98" s="24" t="str">
        <f t="shared" si="4"/>
        <v/>
      </c>
    </row>
    <row r="99">
      <c r="A99" s="18">
        <f>HYPERLINK("https://app.hubspot.com/contacts/8748051/record/0-1/564351", 564351)</f>
        <v>564351</v>
      </c>
      <c r="B99" s="14" t="s">
        <v>4827</v>
      </c>
      <c r="C99" s="16"/>
      <c r="D99" s="16"/>
      <c r="E99" s="32"/>
      <c r="F99" s="32"/>
      <c r="G99" s="32"/>
      <c r="H99" s="24"/>
      <c r="I99" s="24"/>
      <c r="J99" s="24"/>
      <c r="K99" s="14"/>
      <c r="L99" s="14"/>
      <c r="M99" s="14"/>
      <c r="N99" s="24"/>
      <c r="O99" s="14"/>
      <c r="P99" s="14"/>
      <c r="Q99" s="14"/>
      <c r="R99" s="24"/>
      <c r="S99" s="24" t="str">
        <f t="shared" ref="S99:U99" si="100">IF(E99&lt;&gt;"","Yes","")</f>
        <v/>
      </c>
      <c r="T99" s="24" t="str">
        <f t="shared" si="100"/>
        <v/>
      </c>
      <c r="U99" s="24" t="str">
        <f t="shared" si="100"/>
        <v/>
      </c>
      <c r="V99" s="24" t="str">
        <f t="shared" si="3"/>
        <v/>
      </c>
      <c r="W99" s="24" t="str">
        <f t="shared" si="4"/>
        <v/>
      </c>
    </row>
    <row r="100">
      <c r="A100" s="18">
        <f>HYPERLINK("https://app.hubspot.com/contacts/8748051/record/0-1/92706", 92706)</f>
        <v>92706</v>
      </c>
      <c r="B100" s="14" t="s">
        <v>4828</v>
      </c>
      <c r="C100" s="16"/>
      <c r="D100" s="16"/>
      <c r="E100" s="32">
        <v>45383.0</v>
      </c>
      <c r="F100" s="32">
        <v>45386.0</v>
      </c>
      <c r="G100" s="32">
        <v>45386.0</v>
      </c>
      <c r="H100" s="24"/>
      <c r="I100" s="24"/>
      <c r="J100" s="24"/>
      <c r="K100" s="18">
        <f>HYPERLINK("https://app.hubspot.com/contacts/8748051/record/0-2/7648580645", 7648580645)</f>
        <v>7648580645</v>
      </c>
      <c r="L100" s="14" t="s">
        <v>1926</v>
      </c>
      <c r="M100" s="18" t="s">
        <v>1927</v>
      </c>
      <c r="N100" s="18">
        <f>HYPERLINK("https://app.hubspot.com/contacts/8748051/record/0-3/18428212873", 18428212873)</f>
        <v>18428212873</v>
      </c>
      <c r="O100" s="14" t="s">
        <v>1925</v>
      </c>
      <c r="P100" s="14" t="s">
        <v>118</v>
      </c>
      <c r="Q100" s="14">
        <v>23280.0</v>
      </c>
      <c r="R100" s="24"/>
      <c r="S100" s="24" t="str">
        <f t="shared" ref="S100:U100" si="101">IF(E100&lt;&gt;"","Yes","")</f>
        <v>Yes</v>
      </c>
      <c r="T100" s="24" t="str">
        <f t="shared" si="101"/>
        <v>Yes</v>
      </c>
      <c r="U100" s="24" t="str">
        <f t="shared" si="101"/>
        <v>Yes</v>
      </c>
      <c r="V100" s="24" t="str">
        <f t="shared" si="3"/>
        <v/>
      </c>
      <c r="W100" s="24" t="str">
        <f t="shared" si="4"/>
        <v/>
      </c>
    </row>
    <row r="101">
      <c r="A101" s="18">
        <f>HYPERLINK("https://app.hubspot.com/contacts/8748051/record/0-1/1309651", 1309651)</f>
        <v>1309651</v>
      </c>
      <c r="B101" s="14" t="s">
        <v>4829</v>
      </c>
      <c r="C101" s="16"/>
      <c r="D101" s="16"/>
      <c r="E101" s="32">
        <v>45455.0</v>
      </c>
      <c r="F101" s="32"/>
      <c r="G101" s="32"/>
      <c r="H101" s="24"/>
      <c r="I101" s="24"/>
      <c r="J101" s="24"/>
      <c r="K101" s="18">
        <f>HYPERLINK("https://app.hubspot.com/contacts/8748051/record/0-2/9186382509", 9186382509)</f>
        <v>9186382509</v>
      </c>
      <c r="L101" s="14" t="s">
        <v>4830</v>
      </c>
      <c r="M101" s="18" t="s">
        <v>4831</v>
      </c>
      <c r="N101" s="24"/>
      <c r="O101" s="14"/>
      <c r="P101" s="14"/>
      <c r="Q101" s="14"/>
      <c r="R101" s="24"/>
      <c r="S101" s="24" t="str">
        <f t="shared" ref="S101:U101" si="102">IF(E101&lt;&gt;"","Yes","")</f>
        <v>Yes</v>
      </c>
      <c r="T101" s="24" t="str">
        <f t="shared" si="102"/>
        <v/>
      </c>
      <c r="U101" s="24" t="str">
        <f t="shared" si="102"/>
        <v/>
      </c>
      <c r="V101" s="24" t="str">
        <f t="shared" si="3"/>
        <v/>
      </c>
      <c r="W101" s="24" t="str">
        <f t="shared" si="4"/>
        <v/>
      </c>
    </row>
    <row r="102">
      <c r="A102" s="18">
        <f>HYPERLINK("https://app.hubspot.com/contacts/8748051/record/0-1/414853", 414853)</f>
        <v>414853</v>
      </c>
      <c r="B102" s="14" t="s">
        <v>4832</v>
      </c>
      <c r="C102" s="16"/>
      <c r="D102" s="16"/>
      <c r="E102" s="32">
        <v>45267.0</v>
      </c>
      <c r="F102" s="32"/>
      <c r="G102" s="32">
        <v>45267.0</v>
      </c>
      <c r="H102" s="24"/>
      <c r="I102" s="24"/>
      <c r="J102" s="24"/>
      <c r="K102" s="18">
        <f>HYPERLINK("https://app.hubspot.com/contacts/8748051/record/0-2/8879983211", 8879983211)</f>
        <v>8879983211</v>
      </c>
      <c r="L102" s="14" t="s">
        <v>1969</v>
      </c>
      <c r="M102" s="18" t="s">
        <v>1970</v>
      </c>
      <c r="N102" s="23">
        <f>HYPERLINK("https://app.hubspot.com/contacts/8748051/record/0-3/16572445771", 16572445771)</f>
        <v>16572445771</v>
      </c>
      <c r="O102" s="14" t="s">
        <v>1968</v>
      </c>
      <c r="P102" s="14" t="s">
        <v>118</v>
      </c>
      <c r="Q102" s="14">
        <v>100000.0</v>
      </c>
      <c r="R102" s="14" t="b">
        <v>1</v>
      </c>
      <c r="S102" s="24" t="str">
        <f t="shared" ref="S102:U102" si="103">IF(E102&lt;&gt;"","Yes","")</f>
        <v>Yes</v>
      </c>
      <c r="T102" s="24" t="str">
        <f t="shared" si="103"/>
        <v/>
      </c>
      <c r="U102" s="24" t="str">
        <f t="shared" si="103"/>
        <v>Yes</v>
      </c>
      <c r="V102" s="24" t="str">
        <f t="shared" si="3"/>
        <v/>
      </c>
      <c r="W102" s="24" t="str">
        <f t="shared" si="4"/>
        <v/>
      </c>
    </row>
    <row r="103">
      <c r="A103" s="18">
        <f>HYPERLINK("https://app.hubspot.com/contacts/8748051/record/0-1/2398652", 2398652)</f>
        <v>2398652</v>
      </c>
      <c r="B103" s="14" t="s">
        <v>4833</v>
      </c>
      <c r="C103" s="16"/>
      <c r="D103" s="16"/>
      <c r="E103" s="32">
        <v>45293.0</v>
      </c>
      <c r="F103" s="32">
        <v>45308.0</v>
      </c>
      <c r="G103" s="32">
        <v>45308.0</v>
      </c>
      <c r="H103" s="24"/>
      <c r="I103" s="24"/>
      <c r="J103" s="24"/>
      <c r="K103" s="18">
        <f>HYPERLINK("https://app.hubspot.com/contacts/8748051/record/0-2/9132245851", 9132245851)</f>
        <v>9132245851</v>
      </c>
      <c r="L103" s="14" t="s">
        <v>2323</v>
      </c>
      <c r="M103" s="18" t="s">
        <v>2324</v>
      </c>
      <c r="N103" s="18">
        <f>HYPERLINK("https://app.hubspot.com/contacts/8748051/record/0-3/17095789349", 17095789349)</f>
        <v>17095789349</v>
      </c>
      <c r="O103" s="14" t="s">
        <v>2322</v>
      </c>
      <c r="P103" s="14" t="s">
        <v>118</v>
      </c>
      <c r="Q103" s="14">
        <v>20500.0</v>
      </c>
      <c r="R103" s="14" t="b">
        <v>1</v>
      </c>
      <c r="S103" s="24" t="str">
        <f t="shared" ref="S103:U103" si="104">IF(E103&lt;&gt;"","Yes","")</f>
        <v>Yes</v>
      </c>
      <c r="T103" s="24" t="str">
        <f t="shared" si="104"/>
        <v>Yes</v>
      </c>
      <c r="U103" s="24" t="str">
        <f t="shared" si="104"/>
        <v>Yes</v>
      </c>
      <c r="V103" s="24" t="str">
        <f t="shared" si="3"/>
        <v/>
      </c>
      <c r="W103" s="24" t="str">
        <f t="shared" si="4"/>
        <v/>
      </c>
    </row>
    <row r="104">
      <c r="A104" s="18">
        <f>HYPERLINK("https://app.hubspot.com/contacts/8748051/record/0-1/3153951", 3153951)</f>
        <v>3153951</v>
      </c>
      <c r="B104" s="14" t="s">
        <v>4834</v>
      </c>
      <c r="C104" s="16"/>
      <c r="D104" s="14" t="s">
        <v>4248</v>
      </c>
      <c r="E104" s="32"/>
      <c r="F104" s="32"/>
      <c r="G104" s="32"/>
      <c r="H104" s="14"/>
      <c r="I104" s="24"/>
      <c r="J104" s="24"/>
      <c r="K104" s="18">
        <f>HYPERLINK("https://app.hubspot.com/contacts/8748051/record/0-2/8714341039", 8714341039)</f>
        <v>8714341039</v>
      </c>
      <c r="L104" s="14" t="s">
        <v>539</v>
      </c>
      <c r="M104" s="18" t="s">
        <v>540</v>
      </c>
      <c r="N104" s="24"/>
      <c r="O104" s="14"/>
      <c r="P104" s="14"/>
      <c r="Q104" s="14"/>
      <c r="R104" s="14"/>
      <c r="S104" s="24" t="str">
        <f t="shared" ref="S104:U104" si="105">IF(E104&lt;&gt;"","Yes","")</f>
        <v/>
      </c>
      <c r="T104" s="24" t="str">
        <f t="shared" si="105"/>
        <v/>
      </c>
      <c r="U104" s="24" t="str">
        <f t="shared" si="105"/>
        <v/>
      </c>
      <c r="V104" s="24" t="str">
        <f t="shared" si="3"/>
        <v/>
      </c>
      <c r="W104" s="24" t="str">
        <f t="shared" si="4"/>
        <v/>
      </c>
    </row>
    <row r="105">
      <c r="A105" s="18">
        <f>HYPERLINK("https://app.hubspot.com/contacts/8748051/record/0-1/2847001", 2847001)</f>
        <v>2847001</v>
      </c>
      <c r="B105" s="14" t="s">
        <v>4835</v>
      </c>
      <c r="C105" s="16"/>
      <c r="D105" s="14"/>
      <c r="E105" s="32"/>
      <c r="F105" s="32"/>
      <c r="G105" s="32"/>
      <c r="H105" s="24"/>
      <c r="I105" s="24"/>
      <c r="J105" s="24"/>
      <c r="K105" s="18">
        <f>HYPERLINK("https://app.hubspot.com/contacts/8748051/record/0-2/14810874038", 14810874038)</f>
        <v>14810874038</v>
      </c>
      <c r="L105" s="14" t="s">
        <v>4836</v>
      </c>
      <c r="M105" s="18" t="s">
        <v>4837</v>
      </c>
      <c r="N105" s="14"/>
      <c r="O105" s="14"/>
      <c r="P105" s="14"/>
      <c r="Q105" s="14"/>
      <c r="R105" s="14"/>
      <c r="S105" s="24" t="str">
        <f t="shared" ref="S105:U105" si="106">IF(E105&lt;&gt;"","Yes","")</f>
        <v/>
      </c>
      <c r="T105" s="24" t="str">
        <f t="shared" si="106"/>
        <v/>
      </c>
      <c r="U105" s="24" t="str">
        <f t="shared" si="106"/>
        <v/>
      </c>
      <c r="V105" s="24" t="str">
        <f t="shared" si="3"/>
        <v/>
      </c>
      <c r="W105" s="24" t="str">
        <f t="shared" si="4"/>
        <v/>
      </c>
    </row>
    <row r="106">
      <c r="A106" s="18">
        <f>HYPERLINK("https://app.hubspot.com/contacts/8748051/record/0-1/2480852", 2480852)</f>
        <v>2480852</v>
      </c>
      <c r="B106" s="14" t="s">
        <v>4838</v>
      </c>
      <c r="C106" s="16"/>
      <c r="D106" s="14"/>
      <c r="E106" s="32">
        <v>45313.0</v>
      </c>
      <c r="F106" s="32"/>
      <c r="G106" s="32"/>
      <c r="H106" s="24"/>
      <c r="I106" s="24"/>
      <c r="J106" s="24"/>
      <c r="K106" s="18">
        <f>HYPERLINK("https://app.hubspot.com/contacts/8748051/record/0-2/7398478404", 7398478404)</f>
        <v>7398478404</v>
      </c>
      <c r="L106" s="14" t="s">
        <v>4839</v>
      </c>
      <c r="M106" s="18" t="s">
        <v>4840</v>
      </c>
      <c r="N106" s="24"/>
      <c r="O106" s="14"/>
      <c r="P106" s="14"/>
      <c r="Q106" s="14"/>
      <c r="R106" s="24"/>
      <c r="S106" s="24" t="str">
        <f t="shared" ref="S106:U106" si="107">IF(E106&lt;&gt;"","Yes","")</f>
        <v>Yes</v>
      </c>
      <c r="T106" s="24" t="str">
        <f t="shared" si="107"/>
        <v/>
      </c>
      <c r="U106" s="24" t="str">
        <f t="shared" si="107"/>
        <v/>
      </c>
      <c r="V106" s="24" t="str">
        <f t="shared" si="3"/>
        <v/>
      </c>
      <c r="W106" s="24" t="str">
        <f t="shared" si="4"/>
        <v/>
      </c>
    </row>
    <row r="107">
      <c r="A107" s="18">
        <f>HYPERLINK("https://app.hubspot.com/contacts/8748051/record/0-1/2656301", 2656301)</f>
        <v>2656301</v>
      </c>
      <c r="B107" s="14" t="s">
        <v>4841</v>
      </c>
      <c r="C107" s="16"/>
      <c r="D107" s="16"/>
      <c r="E107" s="32">
        <v>45336.0</v>
      </c>
      <c r="F107" s="32">
        <v>45344.0</v>
      </c>
      <c r="G107" s="32">
        <v>45344.0</v>
      </c>
      <c r="H107" s="24"/>
      <c r="I107" s="24"/>
      <c r="J107" s="24"/>
      <c r="K107" s="18">
        <f>HYPERLINK("https://app.hubspot.com/contacts/8748051/record/0-2/9132303215", 9132303215)</f>
        <v>9132303215</v>
      </c>
      <c r="L107" s="14" t="s">
        <v>2182</v>
      </c>
      <c r="M107" s="18" t="s">
        <v>2183</v>
      </c>
      <c r="N107" s="23">
        <f>HYPERLINK("https://app.hubspot.com/contacts/8748051/record/0-3/17675627871", 17675627871)</f>
        <v>17675627871</v>
      </c>
      <c r="O107" s="14" t="s">
        <v>2181</v>
      </c>
      <c r="P107" s="14" t="s">
        <v>118</v>
      </c>
      <c r="Q107" s="14">
        <v>46800.0</v>
      </c>
      <c r="R107" s="24"/>
      <c r="S107" s="24" t="str">
        <f t="shared" ref="S107:U107" si="108">IF(E107&lt;&gt;"","Yes","")</f>
        <v>Yes</v>
      </c>
      <c r="T107" s="24" t="str">
        <f t="shared" si="108"/>
        <v>Yes</v>
      </c>
      <c r="U107" s="24" t="str">
        <f t="shared" si="108"/>
        <v>Yes</v>
      </c>
      <c r="V107" s="24" t="str">
        <f t="shared" si="3"/>
        <v/>
      </c>
      <c r="W107" s="24" t="str">
        <f t="shared" si="4"/>
        <v/>
      </c>
    </row>
    <row r="108">
      <c r="A108" s="18">
        <f>HYPERLINK("https://app.hubspot.com/contacts/8748051/record/0-1/2727251", 2727251)</f>
        <v>2727251</v>
      </c>
      <c r="B108" s="14" t="s">
        <v>4387</v>
      </c>
      <c r="C108" s="16">
        <v>45148.61597222222</v>
      </c>
      <c r="D108" s="16"/>
      <c r="E108" s="32"/>
      <c r="F108" s="32"/>
      <c r="G108" s="32"/>
      <c r="H108" s="24"/>
      <c r="I108" s="24"/>
      <c r="J108" s="24"/>
      <c r="K108" s="18">
        <f>HYPERLINK("https://app.hubspot.com/contacts/8748051/record/0-2/14811014933", 14811014933)</f>
        <v>14811014933</v>
      </c>
      <c r="L108" s="14" t="s">
        <v>4388</v>
      </c>
      <c r="M108" s="18" t="s">
        <v>4389</v>
      </c>
      <c r="N108" s="24"/>
      <c r="O108" s="14"/>
      <c r="P108" s="14"/>
      <c r="Q108" s="14"/>
      <c r="R108" s="24"/>
      <c r="S108" s="24" t="str">
        <f t="shared" ref="S108:U108" si="109">IF(E108&lt;&gt;"","Yes","")</f>
        <v/>
      </c>
      <c r="T108" s="24" t="str">
        <f t="shared" si="109"/>
        <v/>
      </c>
      <c r="U108" s="24" t="str">
        <f t="shared" si="109"/>
        <v/>
      </c>
      <c r="V108" s="24" t="str">
        <f t="shared" si="3"/>
        <v/>
      </c>
      <c r="W108" s="24" t="str">
        <f t="shared" si="4"/>
        <v/>
      </c>
    </row>
    <row r="109">
      <c r="A109" s="18">
        <f>HYPERLINK("https://app.hubspot.com/contacts/8748051/record/0-1/2299501", 2299501)</f>
        <v>2299501</v>
      </c>
      <c r="B109" s="14" t="s">
        <v>4842</v>
      </c>
      <c r="C109" s="16"/>
      <c r="D109" s="16"/>
      <c r="E109" s="32">
        <v>45264.0</v>
      </c>
      <c r="F109" s="32"/>
      <c r="G109" s="32"/>
      <c r="H109" s="24"/>
      <c r="I109" s="24"/>
      <c r="J109" s="24"/>
      <c r="K109" s="18">
        <f>HYPERLINK("https://app.hubspot.com/contacts/8748051/record/0-2/8142087951", 8142087951)</f>
        <v>8142087951</v>
      </c>
      <c r="L109" s="14" t="s">
        <v>4843</v>
      </c>
      <c r="M109" s="18" t="s">
        <v>4844</v>
      </c>
      <c r="N109" s="14"/>
      <c r="O109" s="14"/>
      <c r="P109" s="14"/>
      <c r="Q109" s="14"/>
      <c r="R109" s="14"/>
      <c r="S109" s="24" t="str">
        <f t="shared" ref="S109:U109" si="110">IF(E109&lt;&gt;"","Yes","")</f>
        <v>Yes</v>
      </c>
      <c r="T109" s="24" t="str">
        <f t="shared" si="110"/>
        <v/>
      </c>
      <c r="U109" s="24" t="str">
        <f t="shared" si="110"/>
        <v/>
      </c>
      <c r="V109" s="24" t="str">
        <f t="shared" si="3"/>
        <v/>
      </c>
      <c r="W109" s="24" t="str">
        <f t="shared" si="4"/>
        <v/>
      </c>
    </row>
    <row r="110">
      <c r="A110" s="18">
        <f>HYPERLINK("https://app.hubspot.com/contacts/8748051/record/0-1/1979222", 1979222)</f>
        <v>1979222</v>
      </c>
      <c r="B110" s="14" t="s">
        <v>4845</v>
      </c>
      <c r="C110" s="16"/>
      <c r="D110" s="16"/>
      <c r="E110" s="32">
        <v>45306.0</v>
      </c>
      <c r="F110" s="32">
        <v>45316.0</v>
      </c>
      <c r="G110" s="32">
        <v>45321.0</v>
      </c>
      <c r="H110" s="14"/>
      <c r="I110" s="24"/>
      <c r="J110" s="24"/>
      <c r="K110" s="18">
        <f>HYPERLINK("https://app.hubspot.com/contacts/8748051/record/0-2/9051006220", 9051006220)</f>
        <v>9051006220</v>
      </c>
      <c r="L110" s="14" t="s">
        <v>2259</v>
      </c>
      <c r="M110" s="18" t="s">
        <v>2260</v>
      </c>
      <c r="N110" s="23">
        <f>HYPERLINK("https://app.hubspot.com/contacts/8748051/record/0-3/17290231458", 17290231458)</f>
        <v>17290231458</v>
      </c>
      <c r="O110" s="14" t="s">
        <v>2258</v>
      </c>
      <c r="P110" s="14" t="s">
        <v>118</v>
      </c>
      <c r="Q110" s="14">
        <v>100000.0</v>
      </c>
      <c r="R110" s="14"/>
      <c r="S110" s="24" t="str">
        <f t="shared" ref="S110:U110" si="111">IF(E110&lt;&gt;"","Yes","")</f>
        <v>Yes</v>
      </c>
      <c r="T110" s="24" t="str">
        <f t="shared" si="111"/>
        <v>Yes</v>
      </c>
      <c r="U110" s="24" t="str">
        <f t="shared" si="111"/>
        <v>Yes</v>
      </c>
      <c r="V110" s="24" t="str">
        <f t="shared" si="3"/>
        <v/>
      </c>
      <c r="W110" s="24" t="str">
        <f t="shared" si="4"/>
        <v/>
      </c>
    </row>
    <row r="111">
      <c r="A111" s="18">
        <f>HYPERLINK("https://app.hubspot.com/contacts/8748051/record/0-1/2554951", 2554951)</f>
        <v>2554951</v>
      </c>
      <c r="B111" s="14" t="s">
        <v>4846</v>
      </c>
      <c r="C111" s="16"/>
      <c r="D111" s="16"/>
      <c r="E111" s="32"/>
      <c r="F111" s="24"/>
      <c r="G111" s="32"/>
      <c r="H111" s="24"/>
      <c r="I111" s="24"/>
      <c r="J111" s="24"/>
      <c r="K111" s="18">
        <f>HYPERLINK("https://app.hubspot.com/contacts/8748051/record/0-2/14811038079", 14811038079)</f>
        <v>14811038079</v>
      </c>
      <c r="L111" s="14" t="s">
        <v>4847</v>
      </c>
      <c r="M111" s="18" t="s">
        <v>4848</v>
      </c>
      <c r="N111" s="14"/>
      <c r="O111" s="14"/>
      <c r="P111" s="14"/>
      <c r="Q111" s="14"/>
      <c r="R111" s="14"/>
      <c r="S111" s="24" t="str">
        <f t="shared" ref="S111:U111" si="112">IF(E111&lt;&gt;"","Yes","")</f>
        <v/>
      </c>
      <c r="T111" s="24" t="str">
        <f t="shared" si="112"/>
        <v/>
      </c>
      <c r="U111" s="24" t="str">
        <f t="shared" si="112"/>
        <v/>
      </c>
      <c r="V111" s="24" t="str">
        <f t="shared" si="3"/>
        <v/>
      </c>
      <c r="W111" s="24" t="str">
        <f t="shared" si="4"/>
        <v/>
      </c>
    </row>
    <row r="112">
      <c r="A112" s="18">
        <f>HYPERLINK("https://app.hubspot.com/contacts/8748051/record/0-1/3019851", 3019851)</f>
        <v>3019851</v>
      </c>
      <c r="B112" s="14" t="s">
        <v>4849</v>
      </c>
      <c r="C112" s="16"/>
      <c r="D112" s="16"/>
      <c r="E112" s="32"/>
      <c r="F112" s="24"/>
      <c r="G112" s="24"/>
      <c r="H112" s="24"/>
      <c r="I112" s="24"/>
      <c r="J112" s="24"/>
      <c r="K112" s="18">
        <f>HYPERLINK("https://app.hubspot.com/contacts/8748051/record/0-2/8920383258", 8920383258)</f>
        <v>8920383258</v>
      </c>
      <c r="L112" s="14" t="s">
        <v>1873</v>
      </c>
      <c r="M112" s="18" t="s">
        <v>1874</v>
      </c>
      <c r="N112" s="18">
        <f>HYPERLINK("https://app.hubspot.com/contacts/8748051/record/0-3/18710066546", 18710066546)</f>
        <v>18710066546</v>
      </c>
      <c r="O112" s="14" t="s">
        <v>1872</v>
      </c>
      <c r="P112" s="14" t="s">
        <v>124</v>
      </c>
      <c r="Q112" s="14">
        <v>10080.0</v>
      </c>
      <c r="R112" s="14" t="b">
        <v>1</v>
      </c>
      <c r="S112" s="24" t="str">
        <f t="shared" ref="S112:U112" si="113">IF(E112&lt;&gt;"","Yes","")</f>
        <v/>
      </c>
      <c r="T112" s="24" t="str">
        <f t="shared" si="113"/>
        <v/>
      </c>
      <c r="U112" s="24" t="str">
        <f t="shared" si="113"/>
        <v/>
      </c>
      <c r="V112" s="24" t="str">
        <f t="shared" si="3"/>
        <v/>
      </c>
      <c r="W112" s="24" t="str">
        <f t="shared" si="4"/>
        <v/>
      </c>
    </row>
    <row r="113">
      <c r="A113" s="18">
        <f>HYPERLINK("https://app.hubspot.com/contacts/8748051/record/0-1/2736801", 2736801)</f>
        <v>2736801</v>
      </c>
      <c r="B113" s="14" t="s">
        <v>4850</v>
      </c>
      <c r="C113" s="16"/>
      <c r="D113" s="16"/>
      <c r="E113" s="32"/>
      <c r="F113" s="32"/>
      <c r="G113" s="32"/>
      <c r="H113" s="24"/>
      <c r="I113" s="24"/>
      <c r="J113" s="24"/>
      <c r="K113" s="18">
        <f>HYPERLINK("https://app.hubspot.com/contacts/8748051/record/0-2/8142399857", 8142399857)</f>
        <v>8142399857</v>
      </c>
      <c r="L113" s="14" t="s">
        <v>2544</v>
      </c>
      <c r="M113" s="18" t="s">
        <v>2545</v>
      </c>
      <c r="N113" s="23">
        <f>HYPERLINK("https://app.hubspot.com/contacts/8748051/record/0-3/15052406331", 15052406331)</f>
        <v>15052406331</v>
      </c>
      <c r="O113" s="14" t="s">
        <v>2543</v>
      </c>
      <c r="P113" s="14" t="s">
        <v>124</v>
      </c>
      <c r="Q113" s="14">
        <v>60000.0</v>
      </c>
      <c r="R113" s="14" t="b">
        <v>1</v>
      </c>
      <c r="S113" s="24" t="str">
        <f t="shared" ref="S113:U113" si="114">IF(E113&lt;&gt;"","Yes","")</f>
        <v/>
      </c>
      <c r="T113" s="24" t="str">
        <f t="shared" si="114"/>
        <v/>
      </c>
      <c r="U113" s="24" t="str">
        <f t="shared" si="114"/>
        <v/>
      </c>
      <c r="V113" s="24" t="str">
        <f t="shared" si="3"/>
        <v/>
      </c>
      <c r="W113" s="24" t="str">
        <f t="shared" si="4"/>
        <v/>
      </c>
    </row>
    <row r="114">
      <c r="A114" s="18">
        <f>HYPERLINK("https://app.hubspot.com/contacts/8748051/record/0-1/2054701", 2054701)</f>
        <v>2054701</v>
      </c>
      <c r="B114" s="14" t="s">
        <v>4851</v>
      </c>
      <c r="C114" s="16"/>
      <c r="D114" s="14"/>
      <c r="E114" s="32"/>
      <c r="F114" s="24"/>
      <c r="G114" s="32"/>
      <c r="H114" s="24"/>
      <c r="I114" s="24"/>
      <c r="J114" s="24"/>
      <c r="K114" s="18">
        <f>HYPERLINK("https://app.hubspot.com/contacts/8748051/record/0-2/14811163663", 14811163663)</f>
        <v>14811163663</v>
      </c>
      <c r="L114" s="14" t="s">
        <v>4852</v>
      </c>
      <c r="M114" s="18" t="s">
        <v>4853</v>
      </c>
      <c r="N114" s="14"/>
      <c r="O114" s="14"/>
      <c r="P114" s="14"/>
      <c r="Q114" s="14"/>
      <c r="R114" s="14"/>
      <c r="S114" s="24" t="str">
        <f t="shared" ref="S114:U114" si="115">IF(E114&lt;&gt;"","Yes","")</f>
        <v/>
      </c>
      <c r="T114" s="24" t="str">
        <f t="shared" si="115"/>
        <v/>
      </c>
      <c r="U114" s="24" t="str">
        <f t="shared" si="115"/>
        <v/>
      </c>
      <c r="V114" s="24" t="str">
        <f t="shared" si="3"/>
        <v/>
      </c>
      <c r="W114" s="24" t="str">
        <f t="shared" si="4"/>
        <v/>
      </c>
    </row>
    <row r="115">
      <c r="A115" s="18">
        <f>HYPERLINK("https://app.hubspot.com/contacts/8748051/record/0-1/2960951", 2960951)</f>
        <v>2960951</v>
      </c>
      <c r="B115" s="14" t="s">
        <v>4854</v>
      </c>
      <c r="C115" s="16"/>
      <c r="D115" s="14"/>
      <c r="E115" s="32">
        <v>45383.0</v>
      </c>
      <c r="F115" s="32"/>
      <c r="G115" s="32"/>
      <c r="H115" s="24"/>
      <c r="I115" s="24"/>
      <c r="J115" s="24"/>
      <c r="K115" s="18">
        <f>HYPERLINK("https://app.hubspot.com/contacts/8748051/record/0-2/7946249117", 7946249117)</f>
        <v>7946249117</v>
      </c>
      <c r="L115" s="14" t="s">
        <v>4855</v>
      </c>
      <c r="M115" s="18" t="s">
        <v>4856</v>
      </c>
      <c r="N115" s="24"/>
      <c r="O115" s="14"/>
      <c r="P115" s="14"/>
      <c r="Q115" s="14"/>
      <c r="R115" s="14"/>
      <c r="S115" s="24" t="str">
        <f t="shared" ref="S115:U115" si="116">IF(E115&lt;&gt;"","Yes","")</f>
        <v>Yes</v>
      </c>
      <c r="T115" s="24" t="str">
        <f t="shared" si="116"/>
        <v/>
      </c>
      <c r="U115" s="24" t="str">
        <f t="shared" si="116"/>
        <v/>
      </c>
      <c r="V115" s="24" t="str">
        <f t="shared" si="3"/>
        <v/>
      </c>
      <c r="W115" s="24" t="str">
        <f t="shared" si="4"/>
        <v/>
      </c>
    </row>
    <row r="116">
      <c r="A116" s="18">
        <f>HYPERLINK("https://app.hubspot.com/contacts/8748051/record/0-1/2136701", 2136701)</f>
        <v>2136701</v>
      </c>
      <c r="B116" s="14" t="s">
        <v>4857</v>
      </c>
      <c r="C116" s="16"/>
      <c r="D116" s="16"/>
      <c r="E116" s="32"/>
      <c r="F116" s="32"/>
      <c r="G116" s="32"/>
      <c r="H116" s="24"/>
      <c r="I116" s="24"/>
      <c r="J116" s="24"/>
      <c r="K116" s="18">
        <f>HYPERLINK("https://app.hubspot.com/contacts/8748051/record/0-2/8002295300", 8002295300)</f>
        <v>8002295300</v>
      </c>
      <c r="L116" s="14" t="s">
        <v>4858</v>
      </c>
      <c r="M116" s="18" t="s">
        <v>4859</v>
      </c>
      <c r="N116" s="24"/>
      <c r="O116" s="14"/>
      <c r="P116" s="14"/>
      <c r="Q116" s="14"/>
      <c r="R116" s="24"/>
      <c r="S116" s="24" t="str">
        <f t="shared" ref="S116:U116" si="117">IF(E116&lt;&gt;"","Yes","")</f>
        <v/>
      </c>
      <c r="T116" s="24" t="str">
        <f t="shared" si="117"/>
        <v/>
      </c>
      <c r="U116" s="24" t="str">
        <f t="shared" si="117"/>
        <v/>
      </c>
      <c r="V116" s="24" t="str">
        <f t="shared" si="3"/>
        <v/>
      </c>
      <c r="W116" s="24" t="str">
        <f t="shared" si="4"/>
        <v/>
      </c>
    </row>
    <row r="117">
      <c r="A117" s="18">
        <f>HYPERLINK("https://app.hubspot.com/contacts/8748051/record/0-1/1884206", 1884206)</f>
        <v>1884206</v>
      </c>
      <c r="B117" s="14" t="s">
        <v>4860</v>
      </c>
      <c r="C117" s="16"/>
      <c r="D117" s="16"/>
      <c r="E117" s="32">
        <v>45308.0</v>
      </c>
      <c r="F117" s="32">
        <v>45316.0</v>
      </c>
      <c r="G117" s="32">
        <v>45316.0</v>
      </c>
      <c r="H117" s="24"/>
      <c r="I117" s="24"/>
      <c r="J117" s="24"/>
      <c r="K117" s="18">
        <f>HYPERLINK("https://app.hubspot.com/contacts/8748051/record/0-2/9238284427", 9238284427)</f>
        <v>9238284427</v>
      </c>
      <c r="L117" s="14" t="s">
        <v>2313</v>
      </c>
      <c r="M117" s="18" t="s">
        <v>2314</v>
      </c>
      <c r="N117" s="23">
        <f>HYPERLINK("https://app.hubspot.com/contacts/8748051/record/0-3/17142319916", 17142319916)</f>
        <v>17142319916</v>
      </c>
      <c r="O117" s="14" t="s">
        <v>2312</v>
      </c>
      <c r="P117" s="14" t="s">
        <v>118</v>
      </c>
      <c r="Q117" s="14">
        <v>89000.0</v>
      </c>
      <c r="R117" s="14"/>
      <c r="S117" s="24" t="str">
        <f t="shared" ref="S117:U117" si="118">IF(E117&lt;&gt;"","Yes","")</f>
        <v>Yes</v>
      </c>
      <c r="T117" s="24" t="str">
        <f t="shared" si="118"/>
        <v>Yes</v>
      </c>
      <c r="U117" s="24" t="str">
        <f t="shared" si="118"/>
        <v>Yes</v>
      </c>
      <c r="V117" s="24" t="str">
        <f t="shared" si="3"/>
        <v/>
      </c>
      <c r="W117" s="24" t="str">
        <f t="shared" si="4"/>
        <v/>
      </c>
    </row>
    <row r="118">
      <c r="A118" s="18">
        <f>HYPERLINK("https://app.hubspot.com/contacts/8748051/record/0-1/1995201", 1995201)</f>
        <v>1995201</v>
      </c>
      <c r="B118" s="14" t="s">
        <v>4861</v>
      </c>
      <c r="C118" s="16"/>
      <c r="D118" s="16"/>
      <c r="E118" s="32"/>
      <c r="F118" s="32"/>
      <c r="G118" s="32"/>
      <c r="H118" s="24"/>
      <c r="I118" s="24"/>
      <c r="J118" s="24"/>
      <c r="K118" s="18">
        <f>HYPERLINK("https://app.hubspot.com/contacts/8748051/record/0-2/7893823888", 7893823888)</f>
        <v>7893823888</v>
      </c>
      <c r="L118" s="14" t="s">
        <v>4862</v>
      </c>
      <c r="M118" s="18" t="s">
        <v>4863</v>
      </c>
      <c r="N118" s="24"/>
      <c r="O118" s="14"/>
      <c r="P118" s="14"/>
      <c r="Q118" s="14"/>
      <c r="R118" s="24"/>
      <c r="S118" s="24" t="str">
        <f t="shared" ref="S118:U118" si="119">IF(E118&lt;&gt;"","Yes","")</f>
        <v/>
      </c>
      <c r="T118" s="24" t="str">
        <f t="shared" si="119"/>
        <v/>
      </c>
      <c r="U118" s="24" t="str">
        <f t="shared" si="119"/>
        <v/>
      </c>
      <c r="V118" s="24" t="str">
        <f t="shared" si="3"/>
        <v/>
      </c>
      <c r="W118" s="24" t="str">
        <f t="shared" si="4"/>
        <v/>
      </c>
    </row>
    <row r="119">
      <c r="A119" s="18">
        <f>HYPERLINK("https://app.hubspot.com/contacts/8748051/record/0-1/3111651", 3111651)</f>
        <v>3111651</v>
      </c>
      <c r="B119" s="14" t="s">
        <v>4864</v>
      </c>
      <c r="C119" s="16"/>
      <c r="D119" s="16"/>
      <c r="E119" s="32">
        <v>45733.0</v>
      </c>
      <c r="F119" s="32"/>
      <c r="G119" s="32"/>
      <c r="H119" s="24"/>
      <c r="I119" s="24"/>
      <c r="J119" s="24"/>
      <c r="K119" s="18">
        <f>HYPERLINK("https://app.hubspot.com/contacts/8748051/record/0-2/7647877919", 7647877919)</f>
        <v>7647877919</v>
      </c>
      <c r="L119" s="14" t="s">
        <v>4865</v>
      </c>
      <c r="M119" s="18" t="s">
        <v>4866</v>
      </c>
      <c r="N119" s="14"/>
      <c r="O119" s="14"/>
      <c r="P119" s="14"/>
      <c r="Q119" s="14"/>
      <c r="R119" s="14"/>
      <c r="S119" s="24" t="str">
        <f t="shared" ref="S119:U119" si="120">IF(E119&lt;&gt;"","Yes","")</f>
        <v>Yes</v>
      </c>
      <c r="T119" s="24" t="str">
        <f t="shared" si="120"/>
        <v/>
      </c>
      <c r="U119" s="24" t="str">
        <f t="shared" si="120"/>
        <v/>
      </c>
      <c r="V119" s="24" t="str">
        <f t="shared" si="3"/>
        <v/>
      </c>
      <c r="W119" s="24" t="str">
        <f t="shared" si="4"/>
        <v/>
      </c>
    </row>
    <row r="120">
      <c r="A120" s="18">
        <f>HYPERLINK("https://app.hubspot.com/contacts/8748051/record/0-1/3141501", 3141501)</f>
        <v>3141501</v>
      </c>
      <c r="B120" s="14" t="s">
        <v>4867</v>
      </c>
      <c r="C120" s="16"/>
      <c r="D120" s="16"/>
      <c r="E120" s="32">
        <v>45265.0</v>
      </c>
      <c r="F120" s="32"/>
      <c r="G120" s="32"/>
      <c r="H120" s="24"/>
      <c r="I120" s="24"/>
      <c r="J120" s="24"/>
      <c r="K120" s="18">
        <f>HYPERLINK("https://app.hubspot.com/contacts/8748051/record/0-2/7975237289", 7975237289)</f>
        <v>7975237289</v>
      </c>
      <c r="L120" s="14" t="s">
        <v>1913</v>
      </c>
      <c r="M120" s="18" t="s">
        <v>1914</v>
      </c>
      <c r="N120" s="14"/>
      <c r="O120" s="14"/>
      <c r="P120" s="14"/>
      <c r="Q120" s="14"/>
      <c r="R120" s="14"/>
      <c r="S120" s="24" t="str">
        <f t="shared" ref="S120:U120" si="121">IF(E120&lt;&gt;"","Yes","")</f>
        <v>Yes</v>
      </c>
      <c r="T120" s="24" t="str">
        <f t="shared" si="121"/>
        <v/>
      </c>
      <c r="U120" s="24" t="str">
        <f t="shared" si="121"/>
        <v/>
      </c>
      <c r="V120" s="24" t="str">
        <f t="shared" si="3"/>
        <v/>
      </c>
      <c r="W120" s="24" t="str">
        <f t="shared" si="4"/>
        <v/>
      </c>
    </row>
    <row r="121">
      <c r="A121" s="18">
        <f>HYPERLINK("https://app.hubspot.com/contacts/8748051/record/0-1/1918851", 1918851)</f>
        <v>1918851</v>
      </c>
      <c r="B121" s="14" t="s">
        <v>4868</v>
      </c>
      <c r="C121" s="16"/>
      <c r="D121" s="16"/>
      <c r="E121" s="32"/>
      <c r="F121" s="32"/>
      <c r="G121" s="32"/>
      <c r="H121" s="24"/>
      <c r="I121" s="24"/>
      <c r="J121" s="24"/>
      <c r="K121" s="18">
        <f>HYPERLINK("https://app.hubspot.com/contacts/8748051/record/0-2/9132283033", 9132283033)</f>
        <v>9132283033</v>
      </c>
      <c r="L121" s="14" t="s">
        <v>223</v>
      </c>
      <c r="M121" s="18" t="s">
        <v>224</v>
      </c>
      <c r="N121" s="24"/>
      <c r="O121" s="14"/>
      <c r="P121" s="14"/>
      <c r="Q121" s="14"/>
      <c r="R121" s="24"/>
      <c r="S121" s="24" t="str">
        <f t="shared" ref="S121:U121" si="122">IF(E121&lt;&gt;"","Yes","")</f>
        <v/>
      </c>
      <c r="T121" s="24" t="str">
        <f t="shared" si="122"/>
        <v/>
      </c>
      <c r="U121" s="24" t="str">
        <f t="shared" si="122"/>
        <v/>
      </c>
      <c r="V121" s="24" t="str">
        <f t="shared" si="3"/>
        <v/>
      </c>
      <c r="W121" s="24" t="str">
        <f t="shared" si="4"/>
        <v/>
      </c>
    </row>
    <row r="122">
      <c r="A122" s="18">
        <f>HYPERLINK("https://app.hubspot.com/contacts/8748051/record/0-1/2169651", 2169651)</f>
        <v>2169651</v>
      </c>
      <c r="B122" s="14" t="s">
        <v>4869</v>
      </c>
      <c r="C122" s="16"/>
      <c r="D122" s="16"/>
      <c r="E122" s="32"/>
      <c r="F122" s="32"/>
      <c r="G122" s="32"/>
      <c r="H122" s="24"/>
      <c r="I122" s="24"/>
      <c r="J122" s="24"/>
      <c r="K122" s="18">
        <f>HYPERLINK("https://app.hubspot.com/contacts/8748051/record/0-2/10038688044", 10038688044)</f>
        <v>10038688044</v>
      </c>
      <c r="L122" s="14" t="s">
        <v>2032</v>
      </c>
      <c r="M122" s="18" t="s">
        <v>2033</v>
      </c>
      <c r="N122" s="24"/>
      <c r="O122" s="14"/>
      <c r="P122" s="14"/>
      <c r="Q122" s="14"/>
      <c r="R122" s="24"/>
      <c r="S122" s="24" t="str">
        <f t="shared" ref="S122:U122" si="123">IF(E122&lt;&gt;"","Yes","")</f>
        <v/>
      </c>
      <c r="T122" s="24" t="str">
        <f t="shared" si="123"/>
        <v/>
      </c>
      <c r="U122" s="24" t="str">
        <f t="shared" si="123"/>
        <v/>
      </c>
      <c r="V122" s="24" t="str">
        <f t="shared" si="3"/>
        <v/>
      </c>
      <c r="W122" s="24" t="str">
        <f t="shared" si="4"/>
        <v/>
      </c>
    </row>
    <row r="123">
      <c r="A123" s="18">
        <f>HYPERLINK("https://app.hubspot.com/contacts/8748051/record/0-1/2787301", 2787301)</f>
        <v>2787301</v>
      </c>
      <c r="B123" s="14" t="s">
        <v>4870</v>
      </c>
      <c r="C123" s="16"/>
      <c r="D123" s="16"/>
      <c r="E123" s="32"/>
      <c r="F123" s="32"/>
      <c r="G123" s="32"/>
      <c r="H123" s="24"/>
      <c r="I123" s="24"/>
      <c r="J123" s="24"/>
      <c r="K123" s="18">
        <f>HYPERLINK("https://app.hubspot.com/contacts/8748051/record/0-2/13452522550", 13452522550)</f>
        <v>13452522550</v>
      </c>
      <c r="L123" s="14" t="s">
        <v>1819</v>
      </c>
      <c r="M123" s="18" t="s">
        <v>1820</v>
      </c>
      <c r="N123" s="24"/>
      <c r="O123" s="14"/>
      <c r="P123" s="14"/>
      <c r="Q123" s="14"/>
      <c r="R123" s="14"/>
      <c r="S123" s="24" t="str">
        <f t="shared" ref="S123:U123" si="124">IF(E123&lt;&gt;"","Yes","")</f>
        <v/>
      </c>
      <c r="T123" s="24" t="str">
        <f t="shared" si="124"/>
        <v/>
      </c>
      <c r="U123" s="24" t="str">
        <f t="shared" si="124"/>
        <v/>
      </c>
      <c r="V123" s="24" t="str">
        <f t="shared" si="3"/>
        <v/>
      </c>
      <c r="W123" s="24" t="str">
        <f t="shared" si="4"/>
        <v/>
      </c>
    </row>
    <row r="124">
      <c r="A124" s="18">
        <f>HYPERLINK("https://app.hubspot.com/contacts/8748051/record/0-1/3159501", 3159501)</f>
        <v>3159501</v>
      </c>
      <c r="B124" s="14" t="s">
        <v>4871</v>
      </c>
      <c r="C124" s="16"/>
      <c r="D124" s="16"/>
      <c r="E124" s="32">
        <v>45432.0</v>
      </c>
      <c r="F124" s="32"/>
      <c r="G124" s="32"/>
      <c r="H124" s="24"/>
      <c r="I124" s="24"/>
      <c r="J124" s="24"/>
      <c r="K124" s="18">
        <f>HYPERLINK("https://app.hubspot.com/contacts/8748051/record/0-2/9238251109", 9238251109)</f>
        <v>9238251109</v>
      </c>
      <c r="L124" s="14" t="s">
        <v>782</v>
      </c>
      <c r="M124" s="18" t="s">
        <v>783</v>
      </c>
      <c r="N124" s="14"/>
      <c r="O124" s="14"/>
      <c r="P124" s="14"/>
      <c r="Q124" s="14"/>
      <c r="R124" s="24"/>
      <c r="S124" s="24" t="str">
        <f t="shared" ref="S124:U124" si="125">IF(E124&lt;&gt;"","Yes","")</f>
        <v>Yes</v>
      </c>
      <c r="T124" s="24" t="str">
        <f t="shared" si="125"/>
        <v/>
      </c>
      <c r="U124" s="24" t="str">
        <f t="shared" si="125"/>
        <v/>
      </c>
      <c r="V124" s="24" t="str">
        <f t="shared" si="3"/>
        <v/>
      </c>
      <c r="W124" s="24" t="str">
        <f t="shared" si="4"/>
        <v/>
      </c>
    </row>
    <row r="125">
      <c r="A125" s="18">
        <f>HYPERLINK("https://app.hubspot.com/contacts/8748051/record/0-1/3146051", 3146051)</f>
        <v>3146051</v>
      </c>
      <c r="B125" s="14" t="s">
        <v>4872</v>
      </c>
      <c r="C125" s="16"/>
      <c r="D125" s="16"/>
      <c r="E125" s="32"/>
      <c r="F125" s="32"/>
      <c r="G125" s="32"/>
      <c r="H125" s="24"/>
      <c r="I125" s="24"/>
      <c r="J125" s="24"/>
      <c r="K125" s="18">
        <f>HYPERLINK("https://app.hubspot.com/contacts/8748051/record/0-2/18252335002", 18252335002)</f>
        <v>18252335002</v>
      </c>
      <c r="L125" s="14" t="s">
        <v>2042</v>
      </c>
      <c r="M125" s="18" t="s">
        <v>2043</v>
      </c>
      <c r="N125" s="14"/>
      <c r="O125" s="14"/>
      <c r="P125" s="14"/>
      <c r="Q125" s="14"/>
      <c r="R125" s="14"/>
      <c r="S125" s="24" t="str">
        <f t="shared" ref="S125:U125" si="126">IF(E125&lt;&gt;"","Yes","")</f>
        <v/>
      </c>
      <c r="T125" s="24" t="str">
        <f t="shared" si="126"/>
        <v/>
      </c>
      <c r="U125" s="24" t="str">
        <f t="shared" si="126"/>
        <v/>
      </c>
      <c r="V125" s="24" t="str">
        <f t="shared" si="3"/>
        <v/>
      </c>
      <c r="W125" s="24" t="str">
        <f t="shared" si="4"/>
        <v/>
      </c>
    </row>
    <row r="126">
      <c r="A126" s="18">
        <f>HYPERLINK("https://app.hubspot.com/contacts/8748051/record/0-1/3185801", 3185801)</f>
        <v>3185801</v>
      </c>
      <c r="B126" s="14" t="s">
        <v>4873</v>
      </c>
      <c r="C126" s="16"/>
      <c r="D126" s="16"/>
      <c r="E126" s="32">
        <v>45268.0</v>
      </c>
      <c r="F126" s="32">
        <v>45303.0</v>
      </c>
      <c r="G126" s="32">
        <v>45303.0</v>
      </c>
      <c r="H126" s="24"/>
      <c r="I126" s="24"/>
      <c r="J126" s="24"/>
      <c r="K126" s="18">
        <f>HYPERLINK("https://app.hubspot.com/contacts/8748051/record/0-2/18354000145", 18354000145)</f>
        <v>18354000145</v>
      </c>
      <c r="L126" s="14" t="s">
        <v>706</v>
      </c>
      <c r="M126" s="18" t="s">
        <v>707</v>
      </c>
      <c r="N126" s="23">
        <f>HYPERLINK("https://app.hubspot.com/contacts/8748051/record/0-3/16909949611", 16909949611)</f>
        <v>16909949611</v>
      </c>
      <c r="O126" s="14" t="s">
        <v>2349</v>
      </c>
      <c r="P126" s="14" t="s">
        <v>118</v>
      </c>
      <c r="Q126" s="14">
        <v>93500.0</v>
      </c>
      <c r="R126" s="24"/>
      <c r="S126" s="24" t="str">
        <f t="shared" ref="S126:U126" si="127">IF(E126&lt;&gt;"","Yes","")</f>
        <v>Yes</v>
      </c>
      <c r="T126" s="24" t="str">
        <f t="shared" si="127"/>
        <v>Yes</v>
      </c>
      <c r="U126" s="24" t="str">
        <f t="shared" si="127"/>
        <v>Yes</v>
      </c>
      <c r="V126" s="24" t="str">
        <f t="shared" si="3"/>
        <v/>
      </c>
      <c r="W126" s="24" t="str">
        <f t="shared" si="4"/>
        <v/>
      </c>
    </row>
    <row r="127">
      <c r="A127" s="18">
        <f>HYPERLINK("https://app.hubspot.com/contacts/8748051/record/0-1/3195851", 3195851)</f>
        <v>3195851</v>
      </c>
      <c r="B127" s="14" t="s">
        <v>4874</v>
      </c>
      <c r="C127" s="16"/>
      <c r="D127" s="14"/>
      <c r="E127" s="32">
        <v>45271.0</v>
      </c>
      <c r="F127" s="32"/>
      <c r="G127" s="32"/>
      <c r="H127" s="24"/>
      <c r="I127" s="24"/>
      <c r="J127" s="24"/>
      <c r="K127" s="18">
        <f>HYPERLINK("https://app.hubspot.com/contacts/8748051/record/0-2/9238290100", 9238290100)</f>
        <v>9238290100</v>
      </c>
      <c r="L127" s="14" t="s">
        <v>4875</v>
      </c>
      <c r="M127" s="18" t="s">
        <v>4876</v>
      </c>
      <c r="N127" s="24"/>
      <c r="O127" s="14"/>
      <c r="P127" s="14"/>
      <c r="Q127" s="14"/>
      <c r="R127" s="14"/>
      <c r="S127" s="24" t="str">
        <f t="shared" ref="S127:U127" si="128">IF(E127&lt;&gt;"","Yes","")</f>
        <v>Yes</v>
      </c>
      <c r="T127" s="24" t="str">
        <f t="shared" si="128"/>
        <v/>
      </c>
      <c r="U127" s="24" t="str">
        <f t="shared" si="128"/>
        <v/>
      </c>
      <c r="V127" s="24" t="str">
        <f t="shared" si="3"/>
        <v/>
      </c>
      <c r="W127" s="24" t="str">
        <f t="shared" si="4"/>
        <v/>
      </c>
    </row>
    <row r="128">
      <c r="A128" s="18">
        <f>HYPERLINK("https://app.hubspot.com/contacts/8748051/record/0-1/2003401", 2003401)</f>
        <v>2003401</v>
      </c>
      <c r="B128" s="14" t="s">
        <v>4877</v>
      </c>
      <c r="C128" s="16"/>
      <c r="D128" s="16"/>
      <c r="E128" s="32"/>
      <c r="F128" s="32"/>
      <c r="G128" s="32"/>
      <c r="H128" s="24"/>
      <c r="I128" s="24"/>
      <c r="J128" s="24"/>
      <c r="K128" s="18">
        <f>HYPERLINK("https://app.hubspot.com/contacts/8748051/record/0-2/7668097955", 7668097955)</f>
        <v>7668097955</v>
      </c>
      <c r="L128" s="18" t="s">
        <v>2391</v>
      </c>
      <c r="M128" s="18" t="s">
        <v>2392</v>
      </c>
      <c r="N128" s="24"/>
      <c r="O128" s="14"/>
      <c r="P128" s="14"/>
      <c r="Q128" s="14"/>
      <c r="R128" s="24"/>
      <c r="S128" s="24" t="str">
        <f t="shared" ref="S128:U128" si="129">IF(E128&lt;&gt;"","Yes","")</f>
        <v/>
      </c>
      <c r="T128" s="24" t="str">
        <f t="shared" si="129"/>
        <v/>
      </c>
      <c r="U128" s="24" t="str">
        <f t="shared" si="129"/>
        <v/>
      </c>
      <c r="V128" s="24" t="str">
        <f t="shared" si="3"/>
        <v/>
      </c>
      <c r="W128" s="24" t="str">
        <f t="shared" si="4"/>
        <v/>
      </c>
    </row>
    <row r="129">
      <c r="A129" s="18">
        <f>HYPERLINK("https://app.hubspot.com/contacts/8748051/record/0-1/2053415", 2053415)</f>
        <v>2053415</v>
      </c>
      <c r="B129" s="14" t="s">
        <v>4878</v>
      </c>
      <c r="C129" s="16"/>
      <c r="D129" s="16"/>
      <c r="E129" s="32">
        <v>45286.0</v>
      </c>
      <c r="F129" s="32">
        <v>45352.0</v>
      </c>
      <c r="G129" s="32">
        <v>45352.0</v>
      </c>
      <c r="H129" s="24"/>
      <c r="I129" s="24"/>
      <c r="J129" s="24"/>
      <c r="K129" s="18">
        <f>HYPERLINK("https://app.hubspot.com/contacts/8748051/record/0-2/36350850883", 36350850883)</f>
        <v>36350850883</v>
      </c>
      <c r="L129" s="14" t="s">
        <v>2162</v>
      </c>
      <c r="M129" s="18" t="s">
        <v>2163</v>
      </c>
      <c r="N129" s="18">
        <f>HYPERLINK("https://app.hubspot.com/contacts/8748051/record/0-3/17776347709", 17776347709)</f>
        <v>17776347709</v>
      </c>
      <c r="O129" s="14" t="s">
        <v>2161</v>
      </c>
      <c r="P129" s="14" t="s">
        <v>118</v>
      </c>
      <c r="Q129" s="14">
        <v>32640.0</v>
      </c>
      <c r="R129" s="14"/>
      <c r="S129" s="24" t="str">
        <f t="shared" ref="S129:U129" si="130">IF(E129&lt;&gt;"","Yes","")</f>
        <v>Yes</v>
      </c>
      <c r="T129" s="24" t="str">
        <f t="shared" si="130"/>
        <v>Yes</v>
      </c>
      <c r="U129" s="24" t="str">
        <f t="shared" si="130"/>
        <v>Yes</v>
      </c>
      <c r="V129" s="24" t="str">
        <f t="shared" si="3"/>
        <v/>
      </c>
      <c r="W129" s="24" t="str">
        <f t="shared" si="4"/>
        <v/>
      </c>
    </row>
    <row r="130">
      <c r="A130" s="18">
        <f>HYPERLINK("https://app.hubspot.com/contacts/8748051/record/0-1/2930701", 2930701)</f>
        <v>2930701</v>
      </c>
      <c r="B130" s="14" t="s">
        <v>4879</v>
      </c>
      <c r="C130" s="16"/>
      <c r="D130" s="16"/>
      <c r="E130" s="32">
        <v>45369.0</v>
      </c>
      <c r="F130" s="32">
        <v>45371.0</v>
      </c>
      <c r="G130" s="32">
        <v>45371.0</v>
      </c>
      <c r="H130" s="24"/>
      <c r="I130" s="24"/>
      <c r="J130" s="24"/>
      <c r="K130" s="18">
        <f>HYPERLINK("https://app.hubspot.com/contacts/8748051/record/0-2/17518459778", 17518459778)</f>
        <v>17518459778</v>
      </c>
      <c r="L130" s="14" t="s">
        <v>2054</v>
      </c>
      <c r="M130" s="18" t="s">
        <v>2055</v>
      </c>
      <c r="N130" s="23">
        <f>HYPERLINK("https://app.hubspot.com/contacts/8748051/record/0-3/18110875398", 18110875398)</f>
        <v>18110875398</v>
      </c>
      <c r="O130" s="14" t="s">
        <v>2053</v>
      </c>
      <c r="P130" s="14" t="s">
        <v>118</v>
      </c>
      <c r="Q130" s="14">
        <v>4800.0</v>
      </c>
      <c r="R130" s="14"/>
      <c r="S130" s="24" t="str">
        <f t="shared" ref="S130:U130" si="131">IF(E130&lt;&gt;"","Yes","")</f>
        <v>Yes</v>
      </c>
      <c r="T130" s="24" t="str">
        <f t="shared" si="131"/>
        <v>Yes</v>
      </c>
      <c r="U130" s="24" t="str">
        <f t="shared" si="131"/>
        <v>Yes</v>
      </c>
      <c r="V130" s="24" t="str">
        <f t="shared" si="3"/>
        <v/>
      </c>
      <c r="W130" s="24" t="str">
        <f t="shared" si="4"/>
        <v/>
      </c>
    </row>
    <row r="131">
      <c r="A131" s="18">
        <f>HYPERLINK("https://app.hubspot.com/contacts/8748051/record/0-1/1885351", 1885351)</f>
        <v>1885351</v>
      </c>
      <c r="B131" s="14" t="s">
        <v>4880</v>
      </c>
      <c r="C131" s="16"/>
      <c r="D131" s="14"/>
      <c r="E131" s="32">
        <v>45265.0</v>
      </c>
      <c r="F131" s="32">
        <v>45308.0</v>
      </c>
      <c r="G131" s="32">
        <v>45308.0</v>
      </c>
      <c r="H131" s="24"/>
      <c r="I131" s="24"/>
      <c r="J131" s="24"/>
      <c r="K131" s="18">
        <f>HYPERLINK("https://app.hubspot.com/contacts/8748051/record/0-2/8125402385", 8125402385)</f>
        <v>8125402385</v>
      </c>
      <c r="L131" s="14" t="s">
        <v>2256</v>
      </c>
      <c r="M131" s="18" t="s">
        <v>2257</v>
      </c>
      <c r="N131" s="18">
        <f>HYPERLINK("https://app.hubspot.com/contacts/8748051/record/0-3/17362837135", 17362837135)</f>
        <v>17362837135</v>
      </c>
      <c r="O131" s="14" t="s">
        <v>2255</v>
      </c>
      <c r="P131" s="14" t="s">
        <v>118</v>
      </c>
      <c r="Q131" s="14">
        <v>10800.0</v>
      </c>
      <c r="R131" s="14"/>
      <c r="S131" s="24" t="str">
        <f t="shared" ref="S131:U131" si="132">IF(E131&lt;&gt;"","Yes","")</f>
        <v>Yes</v>
      </c>
      <c r="T131" s="24" t="str">
        <f t="shared" si="132"/>
        <v>Yes</v>
      </c>
      <c r="U131" s="24" t="str">
        <f t="shared" si="132"/>
        <v>Yes</v>
      </c>
      <c r="V131" s="24" t="str">
        <f t="shared" si="3"/>
        <v/>
      </c>
      <c r="W131" s="24" t="str">
        <f t="shared" si="4"/>
        <v/>
      </c>
    </row>
    <row r="132">
      <c r="A132" s="18">
        <f>HYPERLINK("https://app.hubspot.com/contacts/8748051/record/0-1/2730451", 2730451)</f>
        <v>2730451</v>
      </c>
      <c r="B132" s="14" t="s">
        <v>4881</v>
      </c>
      <c r="C132" s="16"/>
      <c r="D132" s="16"/>
      <c r="E132" s="32"/>
      <c r="F132" s="32"/>
      <c r="G132" s="32"/>
      <c r="H132" s="14"/>
      <c r="I132" s="24"/>
      <c r="J132" s="24"/>
      <c r="K132" s="18">
        <f>HYPERLINK("https://app.hubspot.com/contacts/8748051/record/0-2/16929849212", 16929849212)</f>
        <v>16929849212</v>
      </c>
      <c r="L132" s="14" t="s">
        <v>4882</v>
      </c>
      <c r="M132" s="18" t="s">
        <v>4883</v>
      </c>
      <c r="N132" s="24"/>
      <c r="O132" s="14"/>
      <c r="P132" s="14"/>
      <c r="Q132" s="14"/>
      <c r="R132" s="24"/>
      <c r="S132" s="24" t="str">
        <f t="shared" ref="S132:U132" si="133">IF(E132&lt;&gt;"","Yes","")</f>
        <v/>
      </c>
      <c r="T132" s="24" t="str">
        <f t="shared" si="133"/>
        <v/>
      </c>
      <c r="U132" s="24" t="str">
        <f t="shared" si="133"/>
        <v/>
      </c>
      <c r="V132" s="24" t="str">
        <f t="shared" si="3"/>
        <v/>
      </c>
      <c r="W132" s="24" t="str">
        <f t="shared" si="4"/>
        <v/>
      </c>
    </row>
    <row r="133">
      <c r="A133" s="18">
        <f>HYPERLINK("https://app.hubspot.com/contacts/8748051/record/0-1/1980454", 1980454)</f>
        <v>1980454</v>
      </c>
      <c r="B133" s="14" t="s">
        <v>4884</v>
      </c>
      <c r="C133" s="16"/>
      <c r="D133" s="16"/>
      <c r="E133" s="32"/>
      <c r="F133" s="32"/>
      <c r="G133" s="32"/>
      <c r="H133" s="14"/>
      <c r="I133" s="14"/>
      <c r="J133" s="14"/>
      <c r="K133" s="18">
        <f>HYPERLINK("https://app.hubspot.com/contacts/8748051/record/0-2/9227960759", 9227960759)</f>
        <v>9227960759</v>
      </c>
      <c r="L133" s="14" t="s">
        <v>4885</v>
      </c>
      <c r="M133" s="18" t="s">
        <v>4886</v>
      </c>
      <c r="N133" s="14"/>
      <c r="O133" s="14"/>
      <c r="P133" s="14"/>
      <c r="Q133" s="14"/>
      <c r="R133" s="14"/>
      <c r="S133" s="24" t="str">
        <f t="shared" ref="S133:U133" si="134">IF(E133&lt;&gt;"","Yes","")</f>
        <v/>
      </c>
      <c r="T133" s="24" t="str">
        <f t="shared" si="134"/>
        <v/>
      </c>
      <c r="U133" s="24" t="str">
        <f t="shared" si="134"/>
        <v/>
      </c>
      <c r="V133" s="24" t="str">
        <f t="shared" si="3"/>
        <v/>
      </c>
      <c r="W133" s="24" t="str">
        <f t="shared" si="4"/>
        <v/>
      </c>
    </row>
    <row r="134">
      <c r="A134" s="18">
        <f>HYPERLINK("https://app.hubspot.com/contacts/8748051/record/0-1/2053862", 2053862)</f>
        <v>2053862</v>
      </c>
      <c r="B134" s="14" t="s">
        <v>4887</v>
      </c>
      <c r="C134" s="16"/>
      <c r="D134" s="16"/>
      <c r="E134" s="32">
        <v>45261.0</v>
      </c>
      <c r="F134" s="32"/>
      <c r="G134" s="32"/>
      <c r="H134" s="24"/>
      <c r="I134" s="24"/>
      <c r="J134" s="24"/>
      <c r="K134" s="18">
        <f>HYPERLINK("https://app.hubspot.com/contacts/8748051/record/0-2/14873849272", 14873849272)</f>
        <v>14873849272</v>
      </c>
      <c r="L134" s="14" t="s">
        <v>4888</v>
      </c>
      <c r="M134" s="18" t="s">
        <v>4889</v>
      </c>
      <c r="N134" s="24"/>
      <c r="O134" s="14"/>
      <c r="P134" s="14"/>
      <c r="Q134" s="14"/>
      <c r="R134" s="24"/>
      <c r="S134" s="24" t="str">
        <f t="shared" ref="S134:U134" si="135">IF(E134&lt;&gt;"","Yes","")</f>
        <v>Yes</v>
      </c>
      <c r="T134" s="24" t="str">
        <f t="shared" si="135"/>
        <v/>
      </c>
      <c r="U134" s="24" t="str">
        <f t="shared" si="135"/>
        <v/>
      </c>
      <c r="V134" s="24" t="str">
        <f t="shared" si="3"/>
        <v/>
      </c>
      <c r="W134" s="24" t="str">
        <f t="shared" si="4"/>
        <v/>
      </c>
    </row>
    <row r="135">
      <c r="A135" s="18">
        <f>HYPERLINK("https://app.hubspot.com/contacts/8748051/record/0-1/1981151", 1981151)</f>
        <v>1981151</v>
      </c>
      <c r="B135" s="14" t="s">
        <v>4890</v>
      </c>
      <c r="C135" s="16"/>
      <c r="D135" s="16"/>
      <c r="E135" s="32">
        <v>45419.0</v>
      </c>
      <c r="F135" s="24"/>
      <c r="G135" s="32"/>
      <c r="H135" s="24"/>
      <c r="I135" s="24"/>
      <c r="J135" s="24"/>
      <c r="K135" s="18">
        <f>HYPERLINK("https://app.hubspot.com/contacts/8748051/record/0-2/7771849872", 7771849872)</f>
        <v>7771849872</v>
      </c>
      <c r="L135" s="14" t="s">
        <v>4891</v>
      </c>
      <c r="M135" s="18" t="s">
        <v>4892</v>
      </c>
      <c r="N135" s="14"/>
      <c r="O135" s="14"/>
      <c r="P135" s="14"/>
      <c r="Q135" s="14"/>
      <c r="R135" s="14"/>
      <c r="S135" s="24" t="str">
        <f t="shared" ref="S135:U135" si="136">IF(E135&lt;&gt;"","Yes","")</f>
        <v>Yes</v>
      </c>
      <c r="T135" s="24" t="str">
        <f t="shared" si="136"/>
        <v/>
      </c>
      <c r="U135" s="24" t="str">
        <f t="shared" si="136"/>
        <v/>
      </c>
      <c r="V135" s="24" t="str">
        <f t="shared" si="3"/>
        <v/>
      </c>
      <c r="W135" s="24" t="str">
        <f t="shared" si="4"/>
        <v/>
      </c>
    </row>
    <row r="136">
      <c r="A136" s="18">
        <f>HYPERLINK("https://app.hubspot.com/contacts/8748051/record/0-1/2305954", 2305954)</f>
        <v>2305954</v>
      </c>
      <c r="B136" s="14" t="s">
        <v>4893</v>
      </c>
      <c r="C136" s="16"/>
      <c r="D136" s="16"/>
      <c r="E136" s="32">
        <v>45456.0</v>
      </c>
      <c r="F136" s="32"/>
      <c r="G136" s="32"/>
      <c r="H136" s="24"/>
      <c r="I136" s="24"/>
      <c r="J136" s="24"/>
      <c r="K136" s="18">
        <f>HYPERLINK("https://app.hubspot.com/contacts/8748051/record/0-2/9227922873", 9227922873)</f>
        <v>9227922873</v>
      </c>
      <c r="L136" s="14" t="s">
        <v>4894</v>
      </c>
      <c r="M136" s="18" t="s">
        <v>4895</v>
      </c>
      <c r="N136" s="24"/>
      <c r="O136" s="14"/>
      <c r="P136" s="14"/>
      <c r="Q136" s="14"/>
      <c r="R136" s="24"/>
      <c r="S136" s="24" t="str">
        <f t="shared" ref="S136:U136" si="137">IF(E136&lt;&gt;"","Yes","")</f>
        <v>Yes</v>
      </c>
      <c r="T136" s="24" t="str">
        <f t="shared" si="137"/>
        <v/>
      </c>
      <c r="U136" s="24" t="str">
        <f t="shared" si="137"/>
        <v/>
      </c>
      <c r="V136" s="24" t="str">
        <f t="shared" si="3"/>
        <v/>
      </c>
      <c r="W136" s="24" t="str">
        <f t="shared" si="4"/>
        <v/>
      </c>
    </row>
    <row r="137">
      <c r="A137" s="18">
        <f>HYPERLINK("https://app.hubspot.com/contacts/8748051/record/0-1/2021901", 2021901)</f>
        <v>2021901</v>
      </c>
      <c r="B137" s="14" t="s">
        <v>4896</v>
      </c>
      <c r="C137" s="16"/>
      <c r="D137" s="16"/>
      <c r="E137" s="32"/>
      <c r="F137" s="32"/>
      <c r="G137" s="32"/>
      <c r="H137" s="24"/>
      <c r="I137" s="24"/>
      <c r="J137" s="24"/>
      <c r="K137" s="18">
        <f>HYPERLINK("https://app.hubspot.com/contacts/8748051/record/0-2/8142764962", 8142764962)</f>
        <v>8142764962</v>
      </c>
      <c r="L137" s="14" t="s">
        <v>951</v>
      </c>
      <c r="M137" s="18" t="s">
        <v>952</v>
      </c>
      <c r="N137" s="14"/>
      <c r="O137" s="14"/>
      <c r="P137" s="14"/>
      <c r="Q137" s="14"/>
      <c r="R137" s="14"/>
      <c r="S137" s="24" t="str">
        <f t="shared" ref="S137:U137" si="138">IF(E137&lt;&gt;"","Yes","")</f>
        <v/>
      </c>
      <c r="T137" s="24" t="str">
        <f t="shared" si="138"/>
        <v/>
      </c>
      <c r="U137" s="24" t="str">
        <f t="shared" si="138"/>
        <v/>
      </c>
      <c r="V137" s="24" t="str">
        <f t="shared" si="3"/>
        <v/>
      </c>
      <c r="W137" s="24" t="str">
        <f t="shared" si="4"/>
        <v/>
      </c>
    </row>
    <row r="138">
      <c r="A138" s="18">
        <f>HYPERLINK("https://app.hubspot.com/contacts/8748051/record/0-1/2194951", 2194951)</f>
        <v>2194951</v>
      </c>
      <c r="B138" s="14" t="s">
        <v>4897</v>
      </c>
      <c r="C138" s="16"/>
      <c r="D138" s="16"/>
      <c r="E138" s="32"/>
      <c r="F138" s="32"/>
      <c r="G138" s="32"/>
      <c r="H138" s="24"/>
      <c r="I138" s="24"/>
      <c r="J138" s="24"/>
      <c r="K138" s="18">
        <f>HYPERLINK("https://app.hubspot.com/contacts/8748051/record/0-2/9727024782", 9727024782)</f>
        <v>9727024782</v>
      </c>
      <c r="L138" s="14" t="s">
        <v>836</v>
      </c>
      <c r="M138" s="18" t="s">
        <v>837</v>
      </c>
      <c r="N138" s="24"/>
      <c r="O138" s="14"/>
      <c r="P138" s="14"/>
      <c r="Q138" s="14"/>
      <c r="R138" s="24"/>
      <c r="S138" s="24" t="str">
        <f t="shared" ref="S138:U138" si="139">IF(E138&lt;&gt;"","Yes","")</f>
        <v/>
      </c>
      <c r="T138" s="24" t="str">
        <f t="shared" si="139"/>
        <v/>
      </c>
      <c r="U138" s="24" t="str">
        <f t="shared" si="139"/>
        <v/>
      </c>
      <c r="V138" s="24" t="str">
        <f t="shared" si="3"/>
        <v/>
      </c>
      <c r="W138" s="24" t="str">
        <f t="shared" si="4"/>
        <v/>
      </c>
    </row>
    <row r="139">
      <c r="A139" s="18">
        <f>HYPERLINK("https://app.hubspot.com/contacts/8748051/record/0-1/1858819", 1858819)</f>
        <v>1858819</v>
      </c>
      <c r="B139" s="14" t="s">
        <v>4898</v>
      </c>
      <c r="C139" s="16"/>
      <c r="D139" s="16"/>
      <c r="E139" s="32"/>
      <c r="F139" s="32"/>
      <c r="G139" s="32"/>
      <c r="H139" s="24"/>
      <c r="I139" s="24"/>
      <c r="J139" s="24"/>
      <c r="K139" s="18">
        <f>HYPERLINK("https://app.hubspot.com/contacts/8748051/record/0-2/7945145244", 7945145244)</f>
        <v>7945145244</v>
      </c>
      <c r="L139" s="14" t="s">
        <v>2375</v>
      </c>
      <c r="M139" s="18" t="s">
        <v>2376</v>
      </c>
      <c r="N139" s="24"/>
      <c r="O139" s="14"/>
      <c r="P139" s="14"/>
      <c r="Q139" s="14"/>
      <c r="R139" s="24"/>
      <c r="S139" s="24" t="str">
        <f t="shared" ref="S139:U139" si="140">IF(E139&lt;&gt;"","Yes","")</f>
        <v/>
      </c>
      <c r="T139" s="24" t="str">
        <f t="shared" si="140"/>
        <v/>
      </c>
      <c r="U139" s="24" t="str">
        <f t="shared" si="140"/>
        <v/>
      </c>
      <c r="V139" s="24" t="str">
        <f t="shared" si="3"/>
        <v/>
      </c>
      <c r="W139" s="24" t="str">
        <f t="shared" si="4"/>
        <v/>
      </c>
    </row>
    <row r="140">
      <c r="A140" s="18">
        <f>HYPERLINK("https://app.hubspot.com/contacts/8748051/record/0-1/3188451", 3188451)</f>
        <v>3188451</v>
      </c>
      <c r="B140" s="14" t="s">
        <v>4899</v>
      </c>
      <c r="C140" s="16"/>
      <c r="D140" s="16"/>
      <c r="E140" s="32">
        <v>45268.0</v>
      </c>
      <c r="F140" s="32"/>
      <c r="G140" s="32"/>
      <c r="H140" s="24"/>
      <c r="I140" s="24"/>
      <c r="J140" s="24"/>
      <c r="K140" s="18">
        <f>HYPERLINK("https://app.hubspot.com/contacts/8748051/record/0-2/7882279602", 7882279602)</f>
        <v>7882279602</v>
      </c>
      <c r="L140" s="14" t="s">
        <v>2381</v>
      </c>
      <c r="M140" s="18" t="s">
        <v>2382</v>
      </c>
      <c r="N140" s="23">
        <f>HYPERLINK("https://app.hubspot.com/contacts/8748051/record/0-3/16591081601", 16591081601)</f>
        <v>16591081601</v>
      </c>
      <c r="O140" s="14" t="s">
        <v>2380</v>
      </c>
      <c r="P140" s="14" t="s">
        <v>118</v>
      </c>
      <c r="Q140" s="14">
        <v>100000.0</v>
      </c>
      <c r="R140" s="24"/>
      <c r="S140" s="24" t="str">
        <f t="shared" ref="S140:U140" si="141">IF(E140&lt;&gt;"","Yes","")</f>
        <v>Yes</v>
      </c>
      <c r="T140" s="24" t="str">
        <f t="shared" si="141"/>
        <v/>
      </c>
      <c r="U140" s="24" t="str">
        <f t="shared" si="141"/>
        <v/>
      </c>
      <c r="V140" s="24" t="str">
        <f t="shared" si="3"/>
        <v/>
      </c>
      <c r="W140" s="24" t="str">
        <f t="shared" si="4"/>
        <v/>
      </c>
    </row>
    <row r="141">
      <c r="A141" s="18">
        <f>HYPERLINK("https://app.hubspot.com/contacts/8748051/record/0-1/2852251", 2852251)</f>
        <v>2852251</v>
      </c>
      <c r="B141" s="14" t="s">
        <v>4900</v>
      </c>
      <c r="C141" s="16"/>
      <c r="D141" s="16"/>
      <c r="E141" s="32">
        <v>45271.0</v>
      </c>
      <c r="F141" s="32"/>
      <c r="G141" s="32">
        <v>45274.0</v>
      </c>
      <c r="H141" s="24"/>
      <c r="I141" s="24"/>
      <c r="J141" s="24"/>
      <c r="K141" s="18">
        <f>HYPERLINK("https://app.hubspot.com/contacts/8748051/record/0-2/7514685489", 7514685489)</f>
        <v>7514685489</v>
      </c>
      <c r="L141" s="14" t="s">
        <v>2412</v>
      </c>
      <c r="M141" s="18" t="s">
        <v>2413</v>
      </c>
      <c r="N141" s="23">
        <f>HYPERLINK("https://app.hubspot.com/contacts/8748051/record/0-3/16508520234", 16508520234)</f>
        <v>16508520234</v>
      </c>
      <c r="O141" s="14" t="s">
        <v>2411</v>
      </c>
      <c r="P141" s="14" t="s">
        <v>118</v>
      </c>
      <c r="Q141" s="14">
        <v>100000.0</v>
      </c>
      <c r="R141" s="24"/>
      <c r="S141" s="24" t="str">
        <f t="shared" ref="S141:U141" si="142">IF(E141&lt;&gt;"","Yes","")</f>
        <v>Yes</v>
      </c>
      <c r="T141" s="24" t="str">
        <f t="shared" si="142"/>
        <v/>
      </c>
      <c r="U141" s="24" t="str">
        <f t="shared" si="142"/>
        <v>Yes</v>
      </c>
      <c r="V141" s="24" t="str">
        <f t="shared" si="3"/>
        <v/>
      </c>
      <c r="W141" s="24" t="str">
        <f t="shared" si="4"/>
        <v/>
      </c>
    </row>
    <row r="142">
      <c r="A142" s="18">
        <f>HYPERLINK("https://app.hubspot.com/contacts/8748051/record/0-1/2399101", 2399101)</f>
        <v>2399101</v>
      </c>
      <c r="B142" s="14" t="s">
        <v>4901</v>
      </c>
      <c r="C142" s="16"/>
      <c r="D142" s="16"/>
      <c r="E142" s="32">
        <v>45750.0</v>
      </c>
      <c r="F142" s="32">
        <v>45765.0</v>
      </c>
      <c r="G142" s="32">
        <v>45765.0</v>
      </c>
      <c r="H142" s="24"/>
      <c r="I142" s="24"/>
      <c r="J142" s="24"/>
      <c r="K142" s="18">
        <f>HYPERLINK("https://app.hubspot.com/contacts/8748051/record/0-2/6262832245", 6262832245)</f>
        <v>6262832245</v>
      </c>
      <c r="L142" s="14" t="s">
        <v>1104</v>
      </c>
      <c r="M142" s="18" t="s">
        <v>1105</v>
      </c>
      <c r="N142" s="23">
        <f>HYPERLINK("https://app.hubspot.com/contacts/8748051/record/0-3/35893352554", 35893352554)</f>
        <v>35893352554</v>
      </c>
      <c r="O142" s="14" t="s">
        <v>1102</v>
      </c>
      <c r="P142" s="14" t="s">
        <v>118</v>
      </c>
      <c r="Q142" s="14">
        <v>43500.0</v>
      </c>
      <c r="R142" s="24"/>
      <c r="S142" s="24" t="str">
        <f t="shared" ref="S142:U142" si="143">IF(E142&lt;&gt;"","Yes","")</f>
        <v>Yes</v>
      </c>
      <c r="T142" s="24" t="str">
        <f t="shared" si="143"/>
        <v>Yes</v>
      </c>
      <c r="U142" s="24" t="str">
        <f t="shared" si="143"/>
        <v>Yes</v>
      </c>
      <c r="V142" s="24" t="str">
        <f t="shared" si="3"/>
        <v/>
      </c>
      <c r="W142" s="24" t="str">
        <f t="shared" si="4"/>
        <v/>
      </c>
    </row>
    <row r="143">
      <c r="A143" s="18">
        <f>HYPERLINK("https://app.hubspot.com/contacts/8748051/record/0-1/3172051", 3172051)</f>
        <v>3172051</v>
      </c>
      <c r="B143" s="14" t="s">
        <v>4902</v>
      </c>
      <c r="C143" s="16"/>
      <c r="D143" s="16"/>
      <c r="E143" s="32">
        <v>45266.0</v>
      </c>
      <c r="F143" s="32"/>
      <c r="G143" s="32"/>
      <c r="H143" s="14"/>
      <c r="I143" s="24"/>
      <c r="J143" s="24"/>
      <c r="K143" s="18">
        <f>HYPERLINK("https://app.hubspot.com/contacts/8748051/record/0-2/9238290100", 9238290100)</f>
        <v>9238290100</v>
      </c>
      <c r="L143" s="14" t="s">
        <v>4875</v>
      </c>
      <c r="M143" s="18" t="s">
        <v>4876</v>
      </c>
      <c r="N143" s="14"/>
      <c r="O143" s="14"/>
      <c r="P143" s="14"/>
      <c r="Q143" s="14"/>
      <c r="R143" s="24"/>
      <c r="S143" s="24" t="str">
        <f t="shared" ref="S143:U143" si="144">IF(E143&lt;&gt;"","Yes","")</f>
        <v>Yes</v>
      </c>
      <c r="T143" s="24" t="str">
        <f t="shared" si="144"/>
        <v/>
      </c>
      <c r="U143" s="24" t="str">
        <f t="shared" si="144"/>
        <v/>
      </c>
      <c r="V143" s="24" t="str">
        <f t="shared" si="3"/>
        <v/>
      </c>
      <c r="W143" s="24" t="str">
        <f t="shared" si="4"/>
        <v/>
      </c>
    </row>
    <row r="144">
      <c r="A144" s="18">
        <f>HYPERLINK("https://app.hubspot.com/contacts/8748051/record/0-1/2720001", 2720001)</f>
        <v>2720001</v>
      </c>
      <c r="B144" s="14" t="s">
        <v>4903</v>
      </c>
      <c r="C144" s="16"/>
      <c r="D144" s="16"/>
      <c r="E144" s="32">
        <v>45312.0</v>
      </c>
      <c r="F144" s="32"/>
      <c r="G144" s="32"/>
      <c r="H144" s="24"/>
      <c r="I144" s="24"/>
      <c r="J144" s="24"/>
      <c r="K144" s="18">
        <f>HYPERLINK("https://app.hubspot.com/contacts/8748051/record/0-2/16065681050", 16065681050)</f>
        <v>16065681050</v>
      </c>
      <c r="L144" s="14" t="s">
        <v>2168</v>
      </c>
      <c r="M144" s="18" t="s">
        <v>2169</v>
      </c>
      <c r="N144" s="23">
        <f>HYPERLINK("https://app.hubspot.com/contacts/8748051/record/0-3/17767974279", 17767974279)</f>
        <v>17767974279</v>
      </c>
      <c r="O144" s="14" t="s">
        <v>2167</v>
      </c>
      <c r="P144" s="14" t="s">
        <v>118</v>
      </c>
      <c r="Q144" s="14">
        <v>21600.0</v>
      </c>
      <c r="R144" s="24"/>
      <c r="S144" s="24" t="str">
        <f t="shared" ref="S144:U144" si="145">IF(E144&lt;&gt;"","Yes","")</f>
        <v>Yes</v>
      </c>
      <c r="T144" s="24" t="str">
        <f t="shared" si="145"/>
        <v/>
      </c>
      <c r="U144" s="24" t="str">
        <f t="shared" si="145"/>
        <v/>
      </c>
      <c r="V144" s="24" t="str">
        <f t="shared" si="3"/>
        <v/>
      </c>
      <c r="W144" s="24" t="str">
        <f t="shared" si="4"/>
        <v/>
      </c>
    </row>
    <row r="145">
      <c r="A145" s="18">
        <f>HYPERLINK("https://app.hubspot.com/contacts/8748051/record/0-1/2256251", 2256251)</f>
        <v>2256251</v>
      </c>
      <c r="B145" s="14" t="s">
        <v>4904</v>
      </c>
      <c r="C145" s="16"/>
      <c r="D145" s="16"/>
      <c r="E145" s="32"/>
      <c r="F145" s="24"/>
      <c r="G145" s="32"/>
      <c r="H145" s="14"/>
      <c r="I145" s="24"/>
      <c r="J145" s="24"/>
      <c r="K145" s="18">
        <f>HYPERLINK("https://app.hubspot.com/contacts/8748051/record/0-2/15565227565", 15565227565)</f>
        <v>15565227565</v>
      </c>
      <c r="L145" s="14" t="s">
        <v>4905</v>
      </c>
      <c r="M145" s="18" t="s">
        <v>4906</v>
      </c>
      <c r="N145" s="24"/>
      <c r="O145" s="14"/>
      <c r="P145" s="14"/>
      <c r="Q145" s="14"/>
      <c r="R145" s="24"/>
      <c r="S145" s="24" t="str">
        <f t="shared" ref="S145:U145" si="146">IF(E145&lt;&gt;"","Yes","")</f>
        <v/>
      </c>
      <c r="T145" s="24" t="str">
        <f t="shared" si="146"/>
        <v/>
      </c>
      <c r="U145" s="24" t="str">
        <f t="shared" si="146"/>
        <v/>
      </c>
      <c r="V145" s="24" t="str">
        <f t="shared" si="3"/>
        <v/>
      </c>
      <c r="W145" s="24" t="str">
        <f t="shared" si="4"/>
        <v/>
      </c>
    </row>
    <row r="146">
      <c r="A146" s="18">
        <f>HYPERLINK("https://app.hubspot.com/contacts/8748051/record/0-1/2099505", 2099505)</f>
        <v>2099505</v>
      </c>
      <c r="B146" s="14" t="s">
        <v>4907</v>
      </c>
      <c r="C146" s="16"/>
      <c r="D146" s="16"/>
      <c r="E146" s="32"/>
      <c r="F146" s="24"/>
      <c r="G146" s="32"/>
      <c r="H146" s="14"/>
      <c r="I146" s="24"/>
      <c r="J146" s="24"/>
      <c r="K146" s="18">
        <f>HYPERLINK("https://app.hubspot.com/contacts/8748051/record/0-2/14810080309", 14810080309)</f>
        <v>14810080309</v>
      </c>
      <c r="L146" s="14" t="s">
        <v>4908</v>
      </c>
      <c r="M146" s="18" t="s">
        <v>4909</v>
      </c>
      <c r="N146" s="24"/>
      <c r="O146" s="14"/>
      <c r="P146" s="14"/>
      <c r="Q146" s="14"/>
      <c r="R146" s="24"/>
      <c r="S146" s="24" t="str">
        <f t="shared" ref="S146:U146" si="147">IF(E146&lt;&gt;"","Yes","")</f>
        <v/>
      </c>
      <c r="T146" s="24" t="str">
        <f t="shared" si="147"/>
        <v/>
      </c>
      <c r="U146" s="24" t="str">
        <f t="shared" si="147"/>
        <v/>
      </c>
      <c r="V146" s="24" t="str">
        <f t="shared" si="3"/>
        <v/>
      </c>
      <c r="W146" s="24" t="str">
        <f t="shared" si="4"/>
        <v/>
      </c>
    </row>
    <row r="147">
      <c r="A147" s="18">
        <f>HYPERLINK("https://app.hubspot.com/contacts/8748051/record/0-1/2259601", 2259601)</f>
        <v>2259601</v>
      </c>
      <c r="B147" s="14" t="s">
        <v>4910</v>
      </c>
      <c r="C147" s="16"/>
      <c r="D147" s="14"/>
      <c r="E147" s="32"/>
      <c r="F147" s="32"/>
      <c r="G147" s="32"/>
      <c r="H147" s="24"/>
      <c r="I147" s="24"/>
      <c r="J147" s="24"/>
      <c r="K147" s="18">
        <f>HYPERLINK("https://app.hubspot.com/contacts/8748051/record/0-2/15571435393", 15571435393)</f>
        <v>15571435393</v>
      </c>
      <c r="L147" s="14" t="s">
        <v>4911</v>
      </c>
      <c r="M147" s="18" t="s">
        <v>4912</v>
      </c>
      <c r="N147" s="24"/>
      <c r="O147" s="14"/>
      <c r="P147" s="14"/>
      <c r="Q147" s="14"/>
      <c r="R147" s="24"/>
      <c r="S147" s="24" t="str">
        <f t="shared" ref="S147:U147" si="148">IF(E147&lt;&gt;"","Yes","")</f>
        <v/>
      </c>
      <c r="T147" s="24" t="str">
        <f t="shared" si="148"/>
        <v/>
      </c>
      <c r="U147" s="24" t="str">
        <f t="shared" si="148"/>
        <v/>
      </c>
      <c r="V147" s="24" t="str">
        <f t="shared" si="3"/>
        <v/>
      </c>
      <c r="W147" s="24" t="str">
        <f t="shared" si="4"/>
        <v/>
      </c>
    </row>
    <row r="148">
      <c r="A148" s="18">
        <f>HYPERLINK("https://app.hubspot.com/contacts/8748051/record/0-1/3172901", 3172901)</f>
        <v>3172901</v>
      </c>
      <c r="B148" s="14" t="s">
        <v>4913</v>
      </c>
      <c r="C148" s="16"/>
      <c r="D148" s="14"/>
      <c r="E148" s="32">
        <v>45266.0</v>
      </c>
      <c r="F148" s="32"/>
      <c r="G148" s="32">
        <v>45266.0</v>
      </c>
      <c r="H148" s="24"/>
      <c r="I148" s="24"/>
      <c r="J148" s="24"/>
      <c r="K148" s="18">
        <f>HYPERLINK("https://app.hubspot.com/contacts/8748051/record/0-2/7709596024", 7709596024)</f>
        <v>7709596024</v>
      </c>
      <c r="L148" s="14" t="s">
        <v>2200</v>
      </c>
      <c r="M148" s="18" t="s">
        <v>2201</v>
      </c>
      <c r="N148" s="23">
        <f>HYPERLINK("https://app.hubspot.com/contacts/8748051/record/0-3/17626185031", 17626185031)</f>
        <v>17626185031</v>
      </c>
      <c r="O148" s="14" t="s">
        <v>2199</v>
      </c>
      <c r="P148" s="14" t="s">
        <v>118</v>
      </c>
      <c r="Q148" s="14">
        <v>22560.0</v>
      </c>
      <c r="R148" s="24"/>
      <c r="S148" s="24" t="str">
        <f t="shared" ref="S148:U148" si="149">IF(E148&lt;&gt;"","Yes","")</f>
        <v>Yes</v>
      </c>
      <c r="T148" s="24" t="str">
        <f t="shared" si="149"/>
        <v/>
      </c>
      <c r="U148" s="24" t="str">
        <f t="shared" si="149"/>
        <v>Yes</v>
      </c>
      <c r="V148" s="24" t="str">
        <f t="shared" si="3"/>
        <v/>
      </c>
      <c r="W148" s="24" t="str">
        <f t="shared" si="4"/>
        <v/>
      </c>
    </row>
    <row r="149">
      <c r="A149" s="18">
        <f>HYPERLINK("https://app.hubspot.com/contacts/8748051/record/0-1/1980707", 1980707)</f>
        <v>1980707</v>
      </c>
      <c r="B149" s="14" t="s">
        <v>4914</v>
      </c>
      <c r="C149" s="16"/>
      <c r="D149" s="16"/>
      <c r="E149" s="32">
        <v>45271.0</v>
      </c>
      <c r="F149" s="32"/>
      <c r="G149" s="32"/>
      <c r="H149" s="24"/>
      <c r="I149" s="24"/>
      <c r="J149" s="24"/>
      <c r="K149" s="18">
        <f>HYPERLINK("https://app.hubspot.com/contacts/8748051/record/0-2/9051006220", 9051006220)</f>
        <v>9051006220</v>
      </c>
      <c r="L149" s="14" t="s">
        <v>2259</v>
      </c>
      <c r="M149" s="18" t="s">
        <v>2260</v>
      </c>
      <c r="N149" s="14"/>
      <c r="O149" s="14"/>
      <c r="P149" s="14"/>
      <c r="Q149" s="14"/>
      <c r="R149" s="24"/>
      <c r="S149" s="24" t="str">
        <f t="shared" ref="S149:U149" si="150">IF(E149&lt;&gt;"","Yes","")</f>
        <v>Yes</v>
      </c>
      <c r="T149" s="24" t="str">
        <f t="shared" si="150"/>
        <v/>
      </c>
      <c r="U149" s="24" t="str">
        <f t="shared" si="150"/>
        <v/>
      </c>
      <c r="V149" s="24" t="str">
        <f t="shared" si="3"/>
        <v/>
      </c>
      <c r="W149" s="24" t="str">
        <f t="shared" si="4"/>
        <v/>
      </c>
    </row>
    <row r="150">
      <c r="A150" s="18">
        <f>HYPERLINK("https://app.hubspot.com/contacts/8748051/record/0-1/3150451", 3150451)</f>
        <v>3150451</v>
      </c>
      <c r="B150" s="14" t="s">
        <v>4915</v>
      </c>
      <c r="C150" s="16"/>
      <c r="D150" s="14" t="s">
        <v>4116</v>
      </c>
      <c r="E150" s="32"/>
      <c r="F150" s="32"/>
      <c r="G150" s="32"/>
      <c r="H150" s="24"/>
      <c r="I150" s="24"/>
      <c r="J150" s="24"/>
      <c r="K150" s="18">
        <f>HYPERLINK("https://app.hubspot.com/contacts/8748051/record/0-2/15149180482", 15149180482)</f>
        <v>15149180482</v>
      </c>
      <c r="L150" s="14" t="s">
        <v>4916</v>
      </c>
      <c r="M150" s="18" t="s">
        <v>4917</v>
      </c>
      <c r="N150" s="14"/>
      <c r="O150" s="14"/>
      <c r="P150" s="14"/>
      <c r="Q150" s="14"/>
      <c r="R150" s="24"/>
      <c r="S150" s="24" t="str">
        <f t="shared" ref="S150:U150" si="151">IF(E150&lt;&gt;"","Yes","")</f>
        <v/>
      </c>
      <c r="T150" s="24" t="str">
        <f t="shared" si="151"/>
        <v/>
      </c>
      <c r="U150" s="24" t="str">
        <f t="shared" si="151"/>
        <v/>
      </c>
      <c r="V150" s="24" t="str">
        <f t="shared" si="3"/>
        <v/>
      </c>
      <c r="W150" s="24" t="str">
        <f t="shared" si="4"/>
        <v/>
      </c>
    </row>
    <row r="151">
      <c r="A151" s="18">
        <f>HYPERLINK("https://app.hubspot.com/contacts/8748051/record/0-1/3183751", 3183751)</f>
        <v>3183751</v>
      </c>
      <c r="B151" s="14" t="s">
        <v>4918</v>
      </c>
      <c r="C151" s="16"/>
      <c r="D151" s="16"/>
      <c r="E151" s="32">
        <v>45268.0</v>
      </c>
      <c r="F151" s="32"/>
      <c r="G151" s="32">
        <v>45271.0</v>
      </c>
      <c r="H151" s="24"/>
      <c r="I151" s="24"/>
      <c r="J151" s="24"/>
      <c r="K151" s="18">
        <f>HYPERLINK("https://app.hubspot.com/contacts/8748051/record/0-2/9238391417", 9238391417)</f>
        <v>9238391417</v>
      </c>
      <c r="L151" s="14" t="s">
        <v>4919</v>
      </c>
      <c r="M151" s="18" t="s">
        <v>4920</v>
      </c>
      <c r="N151" s="24"/>
      <c r="O151" s="14"/>
      <c r="P151" s="14"/>
      <c r="Q151" s="24"/>
      <c r="R151" s="24"/>
      <c r="S151" s="24" t="str">
        <f t="shared" ref="S151:U151" si="152">IF(E151&lt;&gt;"","Yes","")</f>
        <v>Yes</v>
      </c>
      <c r="T151" s="24" t="str">
        <f t="shared" si="152"/>
        <v/>
      </c>
      <c r="U151" s="24" t="str">
        <f t="shared" si="152"/>
        <v>Yes</v>
      </c>
      <c r="V151" s="24" t="str">
        <f t="shared" si="3"/>
        <v/>
      </c>
      <c r="W151" s="24" t="str">
        <f t="shared" si="4"/>
        <v/>
      </c>
    </row>
    <row r="152">
      <c r="A152" s="18">
        <f>HYPERLINK("https://app.hubspot.com/contacts/8748051/record/0-1/1977601", 1977601)</f>
        <v>1977601</v>
      </c>
      <c r="B152" s="14" t="s">
        <v>4921</v>
      </c>
      <c r="C152" s="16"/>
      <c r="D152" s="16"/>
      <c r="E152" s="32"/>
      <c r="F152" s="32"/>
      <c r="G152" s="32"/>
      <c r="H152" s="24"/>
      <c r="I152" s="24"/>
      <c r="J152" s="24"/>
      <c r="K152" s="18">
        <f>HYPERLINK("https://app.hubspot.com/contacts/8748051/record/0-2/14924613707", 14924613707)</f>
        <v>14924613707</v>
      </c>
      <c r="L152" s="14" t="s">
        <v>4922</v>
      </c>
      <c r="M152" s="18" t="s">
        <v>4923</v>
      </c>
      <c r="N152" s="24"/>
      <c r="O152" s="14"/>
      <c r="P152" s="14"/>
      <c r="Q152" s="14"/>
      <c r="R152" s="24"/>
      <c r="S152" s="24" t="str">
        <f t="shared" ref="S152:U152" si="153">IF(E152&lt;&gt;"","Yes","")</f>
        <v/>
      </c>
      <c r="T152" s="24" t="str">
        <f t="shared" si="153"/>
        <v/>
      </c>
      <c r="U152" s="24" t="str">
        <f t="shared" si="153"/>
        <v/>
      </c>
      <c r="V152" s="24" t="str">
        <f t="shared" si="3"/>
        <v/>
      </c>
      <c r="W152" s="24" t="str">
        <f t="shared" si="4"/>
        <v/>
      </c>
    </row>
    <row r="153">
      <c r="A153" s="18">
        <f>HYPERLINK("https://app.hubspot.com/contacts/8748051/record/0-1/3198951", 3198951)</f>
        <v>3198951</v>
      </c>
      <c r="B153" s="14" t="s">
        <v>4924</v>
      </c>
      <c r="C153" s="16"/>
      <c r="D153" s="16"/>
      <c r="E153" s="32">
        <v>45272.0</v>
      </c>
      <c r="F153" s="24"/>
      <c r="G153" s="32">
        <v>45281.0</v>
      </c>
      <c r="H153" s="24"/>
      <c r="I153" s="24"/>
      <c r="J153" s="24"/>
      <c r="K153" s="18">
        <f>HYPERLINK("https://app.hubspot.com/contacts/8748051/record/0-2/5850911620", 5850911620)</f>
        <v>5850911620</v>
      </c>
      <c r="L153" s="14" t="s">
        <v>3146</v>
      </c>
      <c r="M153" s="18" t="s">
        <v>3147</v>
      </c>
      <c r="N153" s="24"/>
      <c r="O153" s="14"/>
      <c r="P153" s="14"/>
      <c r="Q153" s="14"/>
      <c r="R153" s="24"/>
      <c r="S153" s="24" t="str">
        <f t="shared" ref="S153:U153" si="154">IF(E153&lt;&gt;"","Yes","")</f>
        <v>Yes</v>
      </c>
      <c r="T153" s="24" t="str">
        <f t="shared" si="154"/>
        <v/>
      </c>
      <c r="U153" s="24" t="str">
        <f t="shared" si="154"/>
        <v>Yes</v>
      </c>
      <c r="V153" s="24" t="str">
        <f t="shared" si="3"/>
        <v/>
      </c>
      <c r="W153" s="24" t="str">
        <f t="shared" si="4"/>
        <v/>
      </c>
    </row>
    <row r="154">
      <c r="A154" s="18">
        <f>HYPERLINK("https://app.hubspot.com/contacts/8748051/record/0-1/2286352", 2286352)</f>
        <v>2286352</v>
      </c>
      <c r="B154" s="14" t="s">
        <v>4925</v>
      </c>
      <c r="C154" s="16"/>
      <c r="D154" s="14"/>
      <c r="E154" s="32">
        <v>45268.0</v>
      </c>
      <c r="F154" s="32">
        <v>45278.0</v>
      </c>
      <c r="G154" s="32">
        <v>45278.0</v>
      </c>
      <c r="H154" s="24"/>
      <c r="I154" s="24"/>
      <c r="J154" s="24"/>
      <c r="K154" s="18">
        <f>HYPERLINK("https://app.hubspot.com/contacts/8748051/record/0-2/9238251130", 9238251130)</f>
        <v>9238251130</v>
      </c>
      <c r="L154" s="14" t="s">
        <v>2396</v>
      </c>
      <c r="M154" s="18" t="s">
        <v>2397</v>
      </c>
      <c r="N154" s="23">
        <f>HYPERLINK("https://app.hubspot.com/contacts/8748051/record/0-3/16575451293", 16575451293)</f>
        <v>16575451293</v>
      </c>
      <c r="O154" s="14" t="s">
        <v>2394</v>
      </c>
      <c r="P154" s="14" t="s">
        <v>146</v>
      </c>
      <c r="Q154" s="14"/>
      <c r="R154" s="24"/>
      <c r="S154" s="24" t="str">
        <f t="shared" ref="S154:U154" si="155">IF(E154&lt;&gt;"","Yes","")</f>
        <v>Yes</v>
      </c>
      <c r="T154" s="24" t="str">
        <f t="shared" si="155"/>
        <v>Yes</v>
      </c>
      <c r="U154" s="24" t="str">
        <f t="shared" si="155"/>
        <v>Yes</v>
      </c>
      <c r="V154" s="24" t="str">
        <f t="shared" si="3"/>
        <v/>
      </c>
      <c r="W154" s="24" t="str">
        <f t="shared" si="4"/>
        <v>Yes</v>
      </c>
    </row>
    <row r="155">
      <c r="A155" s="18">
        <f>HYPERLINK("https://app.hubspot.com/contacts/8748051/record/0-1/2153701", 2153701)</f>
        <v>2153701</v>
      </c>
      <c r="B155" s="14" t="s">
        <v>4926</v>
      </c>
      <c r="C155" s="16"/>
      <c r="D155" s="14"/>
      <c r="E155" s="32"/>
      <c r="F155" s="32"/>
      <c r="G155" s="32"/>
      <c r="H155" s="24"/>
      <c r="I155" s="24"/>
      <c r="J155" s="24"/>
      <c r="K155" s="18">
        <f>HYPERLINK("https://app.hubspot.com/contacts/8748051/record/0-2/7914190947", 7914190947)</f>
        <v>7914190947</v>
      </c>
      <c r="L155" s="14" t="s">
        <v>1163</v>
      </c>
      <c r="M155" s="18" t="s">
        <v>1164</v>
      </c>
      <c r="N155" s="14"/>
      <c r="O155" s="14"/>
      <c r="P155" s="14"/>
      <c r="Q155" s="14"/>
      <c r="R155" s="14"/>
      <c r="S155" s="24" t="str">
        <f t="shared" ref="S155:U155" si="156">IF(E155&lt;&gt;"","Yes","")</f>
        <v/>
      </c>
      <c r="T155" s="24" t="str">
        <f t="shared" si="156"/>
        <v/>
      </c>
      <c r="U155" s="24" t="str">
        <f t="shared" si="156"/>
        <v/>
      </c>
      <c r="V155" s="24" t="str">
        <f t="shared" si="3"/>
        <v/>
      </c>
      <c r="W155" s="24" t="str">
        <f t="shared" si="4"/>
        <v/>
      </c>
    </row>
    <row r="156">
      <c r="A156" s="18">
        <f>HYPERLINK("https://app.hubspot.com/contacts/8748051/record/0-1/1875351", 1875351)</f>
        <v>1875351</v>
      </c>
      <c r="B156" s="14" t="s">
        <v>4927</v>
      </c>
      <c r="C156" s="16"/>
      <c r="D156" s="16"/>
      <c r="E156" s="32"/>
      <c r="F156" s="32"/>
      <c r="G156" s="32"/>
      <c r="H156" s="24"/>
      <c r="I156" s="24"/>
      <c r="J156" s="24"/>
      <c r="K156" s="18">
        <f>HYPERLINK("https://app.hubspot.com/contacts/8748051/record/0-2/13057161382", 13057161382)</f>
        <v>13057161382</v>
      </c>
      <c r="L156" s="14" t="s">
        <v>4928</v>
      </c>
      <c r="M156" s="18" t="s">
        <v>4929</v>
      </c>
      <c r="N156" s="14"/>
      <c r="O156" s="14"/>
      <c r="P156" s="14"/>
      <c r="Q156" s="14"/>
      <c r="R156" s="24"/>
      <c r="S156" s="24" t="str">
        <f t="shared" ref="S156:U156" si="157">IF(E156&lt;&gt;"","Yes","")</f>
        <v/>
      </c>
      <c r="T156" s="24" t="str">
        <f t="shared" si="157"/>
        <v/>
      </c>
      <c r="U156" s="24" t="str">
        <f t="shared" si="157"/>
        <v/>
      </c>
      <c r="V156" s="24" t="str">
        <f t="shared" si="3"/>
        <v/>
      </c>
      <c r="W156" s="24" t="str">
        <f t="shared" si="4"/>
        <v/>
      </c>
    </row>
    <row r="157">
      <c r="A157" s="18">
        <f>HYPERLINK("https://app.hubspot.com/contacts/8748051/record/0-1/3183101", 3183101)</f>
        <v>3183101</v>
      </c>
      <c r="B157" s="14" t="s">
        <v>4930</v>
      </c>
      <c r="C157" s="16"/>
      <c r="D157" s="16"/>
      <c r="E157" s="32">
        <v>45268.0</v>
      </c>
      <c r="F157" s="32"/>
      <c r="G157" s="32">
        <v>45263.0</v>
      </c>
      <c r="H157" s="14"/>
      <c r="I157" s="14"/>
      <c r="J157" s="14"/>
      <c r="K157" s="18">
        <f>HYPERLINK("https://app.hubspot.com/contacts/8748051/record/0-2/7646095542", 7646095542)</f>
        <v>7646095542</v>
      </c>
      <c r="L157" s="18" t="s">
        <v>2332</v>
      </c>
      <c r="M157" s="18" t="s">
        <v>2332</v>
      </c>
      <c r="N157" s="18">
        <f>HYPERLINK("https://app.hubspot.com/contacts/8748051/record/0-3/16996544815", 16996544815)</f>
        <v>16996544815</v>
      </c>
      <c r="O157" s="14" t="s">
        <v>2331</v>
      </c>
      <c r="P157" s="14" t="s">
        <v>118</v>
      </c>
      <c r="Q157" s="14">
        <v>100000.0</v>
      </c>
      <c r="R157" s="14"/>
      <c r="S157" s="24" t="str">
        <f t="shared" ref="S157:U157" si="158">IF(E157&lt;&gt;"","Yes","")</f>
        <v>Yes</v>
      </c>
      <c r="T157" s="24" t="str">
        <f t="shared" si="158"/>
        <v/>
      </c>
      <c r="U157" s="24" t="str">
        <f t="shared" si="158"/>
        <v>Yes</v>
      </c>
      <c r="V157" s="24" t="str">
        <f t="shared" si="3"/>
        <v/>
      </c>
      <c r="W157" s="24" t="str">
        <f t="shared" si="4"/>
        <v/>
      </c>
    </row>
    <row r="158">
      <c r="A158" s="18">
        <f>HYPERLINK("https://app.hubspot.com/contacts/8748051/record/0-1/3158251", 3158251)</f>
        <v>3158251</v>
      </c>
      <c r="B158" s="14" t="s">
        <v>4931</v>
      </c>
      <c r="C158" s="16"/>
      <c r="D158" s="16"/>
      <c r="E158" s="32">
        <v>45262.0</v>
      </c>
      <c r="F158" s="32"/>
      <c r="G158" s="32"/>
      <c r="H158" s="24"/>
      <c r="I158" s="24"/>
      <c r="J158" s="24"/>
      <c r="K158" s="18">
        <f>HYPERLINK("https://app.hubspot.com/contacts/8748051/record/0-2/9238290100", 9238290100)</f>
        <v>9238290100</v>
      </c>
      <c r="L158" s="14" t="s">
        <v>4875</v>
      </c>
      <c r="M158" s="18" t="s">
        <v>4876</v>
      </c>
      <c r="N158" s="14"/>
      <c r="O158" s="14"/>
      <c r="P158" s="14"/>
      <c r="Q158" s="14"/>
      <c r="R158" s="24"/>
      <c r="S158" s="24" t="str">
        <f t="shared" ref="S158:U158" si="159">IF(E158&lt;&gt;"","Yes","")</f>
        <v>Yes</v>
      </c>
      <c r="T158" s="24" t="str">
        <f t="shared" si="159"/>
        <v/>
      </c>
      <c r="U158" s="24" t="str">
        <f t="shared" si="159"/>
        <v/>
      </c>
      <c r="V158" s="24" t="str">
        <f t="shared" si="3"/>
        <v/>
      </c>
      <c r="W158" s="24" t="str">
        <f t="shared" si="4"/>
        <v/>
      </c>
    </row>
    <row r="159">
      <c r="A159" s="18">
        <f>HYPERLINK("https://app.hubspot.com/contacts/8748051/record/0-1/2837953", 2837953)</f>
        <v>2837953</v>
      </c>
      <c r="B159" s="14" t="s">
        <v>4932</v>
      </c>
      <c r="C159" s="16"/>
      <c r="D159" s="16"/>
      <c r="E159" s="32">
        <v>45268.0</v>
      </c>
      <c r="F159" s="32">
        <v>45271.0</v>
      </c>
      <c r="G159" s="32">
        <v>45271.0</v>
      </c>
      <c r="H159" s="24"/>
      <c r="I159" s="24"/>
      <c r="J159" s="24"/>
      <c r="K159" s="18">
        <f>HYPERLINK("https://app.hubspot.com/contacts/8748051/record/0-2/17252662641", 17252662641)</f>
        <v>17252662641</v>
      </c>
      <c r="L159" s="14" t="s">
        <v>2425</v>
      </c>
      <c r="M159" s="18" t="s">
        <v>2426</v>
      </c>
      <c r="N159" s="18">
        <f>HYPERLINK("https://app.hubspot.com/contacts/8748051/record/0-3/16453295360", 16453295360)</f>
        <v>16453295360</v>
      </c>
      <c r="O159" s="14" t="s">
        <v>2424</v>
      </c>
      <c r="P159" s="14" t="s">
        <v>118</v>
      </c>
      <c r="Q159" s="14">
        <v>21500.0</v>
      </c>
      <c r="R159" s="24"/>
      <c r="S159" s="24" t="str">
        <f t="shared" ref="S159:U159" si="160">IF(E159&lt;&gt;"","Yes","")</f>
        <v>Yes</v>
      </c>
      <c r="T159" s="24" t="str">
        <f t="shared" si="160"/>
        <v>Yes</v>
      </c>
      <c r="U159" s="24" t="str">
        <f t="shared" si="160"/>
        <v>Yes</v>
      </c>
      <c r="V159" s="24" t="str">
        <f t="shared" si="3"/>
        <v/>
      </c>
      <c r="W159" s="24" t="str">
        <f t="shared" si="4"/>
        <v/>
      </c>
    </row>
    <row r="160">
      <c r="A160" s="18">
        <f>HYPERLINK("https://app.hubspot.com/contacts/8748051/record/0-1/1957777", 1957777)</f>
        <v>1957777</v>
      </c>
      <c r="B160" s="14" t="s">
        <v>4933</v>
      </c>
      <c r="C160" s="16"/>
      <c r="D160" s="14"/>
      <c r="E160" s="32">
        <v>45425.0</v>
      </c>
      <c r="F160" s="32"/>
      <c r="G160" s="32"/>
      <c r="H160" s="24"/>
      <c r="I160" s="24"/>
      <c r="J160" s="24"/>
      <c r="K160" s="18">
        <f>HYPERLINK("https://app.hubspot.com/contacts/8748051/record/0-2/9177887855", 9177887855)</f>
        <v>9177887855</v>
      </c>
      <c r="L160" s="14" t="s">
        <v>4934</v>
      </c>
      <c r="M160" s="18" t="s">
        <v>4935</v>
      </c>
      <c r="N160" s="24"/>
      <c r="O160" s="14"/>
      <c r="P160" s="14"/>
      <c r="Q160" s="14"/>
      <c r="R160" s="24"/>
      <c r="S160" s="24" t="str">
        <f t="shared" ref="S160:U160" si="161">IF(E160&lt;&gt;"","Yes","")</f>
        <v>Yes</v>
      </c>
      <c r="T160" s="24" t="str">
        <f t="shared" si="161"/>
        <v/>
      </c>
      <c r="U160" s="24" t="str">
        <f t="shared" si="161"/>
        <v/>
      </c>
      <c r="V160" s="24" t="str">
        <f t="shared" si="3"/>
        <v/>
      </c>
      <c r="W160" s="24" t="str">
        <f t="shared" si="4"/>
        <v/>
      </c>
    </row>
    <row r="161">
      <c r="A161" s="18">
        <f>HYPERLINK("https://app.hubspot.com/contacts/8748051/record/0-1/3154201", 3154201)</f>
        <v>3154201</v>
      </c>
      <c r="B161" s="14" t="s">
        <v>4936</v>
      </c>
      <c r="C161" s="16"/>
      <c r="D161" s="14"/>
      <c r="E161" s="32">
        <v>45261.0</v>
      </c>
      <c r="F161" s="32"/>
      <c r="G161" s="32"/>
      <c r="H161" s="24"/>
      <c r="I161" s="24"/>
      <c r="J161" s="24"/>
      <c r="K161" s="18">
        <f>HYPERLINK("https://app.hubspot.com/contacts/8748051/record/0-2/9186970749", 9186970749)</f>
        <v>9186970749</v>
      </c>
      <c r="L161" s="14" t="s">
        <v>587</v>
      </c>
      <c r="M161" s="18" t="s">
        <v>588</v>
      </c>
      <c r="N161" s="14"/>
      <c r="O161" s="14"/>
      <c r="P161" s="14"/>
      <c r="Q161" s="14"/>
      <c r="R161" s="24"/>
      <c r="S161" s="24" t="str">
        <f t="shared" ref="S161:U161" si="162">IF(E161&lt;&gt;"","Yes","")</f>
        <v>Yes</v>
      </c>
      <c r="T161" s="24" t="str">
        <f t="shared" si="162"/>
        <v/>
      </c>
      <c r="U161" s="24" t="str">
        <f t="shared" si="162"/>
        <v/>
      </c>
      <c r="V161" s="24" t="str">
        <f t="shared" si="3"/>
        <v/>
      </c>
      <c r="W161" s="24" t="str">
        <f t="shared" si="4"/>
        <v/>
      </c>
    </row>
    <row r="162">
      <c r="A162" s="18">
        <f>HYPERLINK("https://app.hubspot.com/contacts/8748051/record/0-1/2348301", 2348301)</f>
        <v>2348301</v>
      </c>
      <c r="B162" s="14" t="s">
        <v>4937</v>
      </c>
      <c r="C162" s="16"/>
      <c r="D162" s="14"/>
      <c r="E162" s="32">
        <v>45454.0</v>
      </c>
      <c r="F162" s="24"/>
      <c r="G162" s="24"/>
      <c r="H162" s="24"/>
      <c r="I162" s="24"/>
      <c r="J162" s="24"/>
      <c r="K162" s="18">
        <f>HYPERLINK("https://app.hubspot.com/contacts/8748051/record/0-2/16376127609", 16376127609)</f>
        <v>16376127609</v>
      </c>
      <c r="L162" s="14" t="s">
        <v>4938</v>
      </c>
      <c r="M162" s="18" t="s">
        <v>4939</v>
      </c>
      <c r="N162" s="24"/>
      <c r="O162" s="24"/>
      <c r="P162" s="24"/>
      <c r="Q162" s="24"/>
      <c r="R162" s="24"/>
      <c r="S162" s="24" t="str">
        <f t="shared" ref="S162:U162" si="163">IF(E162&lt;&gt;"","Yes","")</f>
        <v>Yes</v>
      </c>
      <c r="T162" s="24" t="str">
        <f t="shared" si="163"/>
        <v/>
      </c>
      <c r="U162" s="24" t="str">
        <f t="shared" si="163"/>
        <v/>
      </c>
      <c r="V162" s="24" t="str">
        <f t="shared" si="3"/>
        <v/>
      </c>
      <c r="W162" s="24" t="str">
        <f t="shared" si="4"/>
        <v/>
      </c>
    </row>
    <row r="163">
      <c r="A163" s="18">
        <f>HYPERLINK("https://app.hubspot.com/contacts/8748051/record/0-1/1878501", 1878501)</f>
        <v>1878501</v>
      </c>
      <c r="B163" s="14" t="s">
        <v>4940</v>
      </c>
      <c r="C163" s="16"/>
      <c r="D163" s="16"/>
      <c r="E163" s="32"/>
      <c r="F163" s="24"/>
      <c r="G163" s="32"/>
      <c r="H163" s="24"/>
      <c r="I163" s="24"/>
      <c r="J163" s="24"/>
      <c r="K163" s="18">
        <f>HYPERLINK("https://app.hubspot.com/contacts/8748051/record/0-2/13211247879", 13211247879)</f>
        <v>13211247879</v>
      </c>
      <c r="L163" s="14" t="s">
        <v>4941</v>
      </c>
      <c r="M163" s="18" t="s">
        <v>4942</v>
      </c>
      <c r="N163" s="24"/>
      <c r="O163" s="14"/>
      <c r="P163" s="14"/>
      <c r="Q163" s="14"/>
      <c r="R163" s="24"/>
      <c r="S163" s="24" t="str">
        <f t="shared" ref="S163:U163" si="164">IF(E163&lt;&gt;"","Yes","")</f>
        <v/>
      </c>
      <c r="T163" s="24" t="str">
        <f t="shared" si="164"/>
        <v/>
      </c>
      <c r="U163" s="24" t="str">
        <f t="shared" si="164"/>
        <v/>
      </c>
      <c r="V163" s="24" t="str">
        <f t="shared" si="3"/>
        <v/>
      </c>
      <c r="W163" s="24" t="str">
        <f t="shared" si="4"/>
        <v/>
      </c>
    </row>
    <row r="164">
      <c r="A164" s="18">
        <f>HYPERLINK("https://app.hubspot.com/contacts/8748051/record/0-1/2165451", 2165451)</f>
        <v>2165451</v>
      </c>
      <c r="B164" s="14" t="s">
        <v>4943</v>
      </c>
      <c r="C164" s="16"/>
      <c r="D164" s="16"/>
      <c r="E164" s="32"/>
      <c r="F164" s="24"/>
      <c r="G164" s="32"/>
      <c r="H164" s="24"/>
      <c r="I164" s="24"/>
      <c r="J164" s="24"/>
      <c r="K164" s="18">
        <f>HYPERLINK("https://app.hubspot.com/contacts/8748051/record/0-2/14810023050", 14810023050)</f>
        <v>14810023050</v>
      </c>
      <c r="L164" s="14" t="s">
        <v>4944</v>
      </c>
      <c r="M164" s="18" t="s">
        <v>4945</v>
      </c>
      <c r="N164" s="14"/>
      <c r="O164" s="14"/>
      <c r="P164" s="14"/>
      <c r="Q164" s="14"/>
      <c r="R164" s="24"/>
      <c r="S164" s="24" t="str">
        <f t="shared" ref="S164:U164" si="165">IF(E164&lt;&gt;"","Yes","")</f>
        <v/>
      </c>
      <c r="T164" s="24" t="str">
        <f t="shared" si="165"/>
        <v/>
      </c>
      <c r="U164" s="24" t="str">
        <f t="shared" si="165"/>
        <v/>
      </c>
      <c r="V164" s="24" t="str">
        <f t="shared" si="3"/>
        <v/>
      </c>
      <c r="W164" s="24" t="str">
        <f t="shared" si="4"/>
        <v/>
      </c>
    </row>
    <row r="165">
      <c r="A165" s="18">
        <f>HYPERLINK("https://app.hubspot.com/contacts/8748051/record/0-1/2233801", 2233801)</f>
        <v>2233801</v>
      </c>
      <c r="B165" s="14" t="s">
        <v>4946</v>
      </c>
      <c r="C165" s="16"/>
      <c r="D165" s="16"/>
      <c r="E165" s="32"/>
      <c r="F165" s="24"/>
      <c r="G165" s="24"/>
      <c r="H165" s="24"/>
      <c r="I165" s="24"/>
      <c r="J165" s="24"/>
      <c r="K165" s="18">
        <f>HYPERLINK("https://app.hubspot.com/contacts/8748051/record/0-2/9069717254", 9069717254)</f>
        <v>9069717254</v>
      </c>
      <c r="L165" s="14" t="s">
        <v>998</v>
      </c>
      <c r="M165" s="18" t="s">
        <v>999</v>
      </c>
      <c r="N165" s="14"/>
      <c r="O165" s="14"/>
      <c r="P165" s="14"/>
      <c r="Q165" s="14"/>
      <c r="R165" s="14"/>
      <c r="S165" s="24" t="str">
        <f t="shared" ref="S165:U165" si="166">IF(E165&lt;&gt;"","Yes","")</f>
        <v/>
      </c>
      <c r="T165" s="24" t="str">
        <f t="shared" si="166"/>
        <v/>
      </c>
      <c r="U165" s="24" t="str">
        <f t="shared" si="166"/>
        <v/>
      </c>
      <c r="V165" s="24" t="str">
        <f t="shared" si="3"/>
        <v/>
      </c>
      <c r="W165" s="24" t="str">
        <f t="shared" si="4"/>
        <v/>
      </c>
    </row>
    <row r="166">
      <c r="A166" s="18">
        <f>HYPERLINK("https://app.hubspot.com/contacts/8748051/record/0-1/2514951", 2514951)</f>
        <v>2514951</v>
      </c>
      <c r="B166" s="14" t="s">
        <v>4947</v>
      </c>
      <c r="C166" s="16"/>
      <c r="D166" s="16"/>
      <c r="E166" s="32"/>
      <c r="F166" s="32"/>
      <c r="G166" s="32"/>
      <c r="H166" s="24"/>
      <c r="I166" s="24"/>
      <c r="J166" s="24"/>
      <c r="K166" s="18">
        <f>HYPERLINK("https://app.hubspot.com/contacts/8748051/record/0-2/21057534580", 21057534580)</f>
        <v>21057534580</v>
      </c>
      <c r="L166" s="14" t="s">
        <v>2461</v>
      </c>
      <c r="M166" s="18" t="s">
        <v>2462</v>
      </c>
      <c r="N166" s="14"/>
      <c r="O166" s="14"/>
      <c r="P166" s="14"/>
      <c r="Q166" s="14"/>
      <c r="R166" s="14"/>
      <c r="S166" s="24" t="str">
        <f t="shared" ref="S166:U166" si="167">IF(E166&lt;&gt;"","Yes","")</f>
        <v/>
      </c>
      <c r="T166" s="24" t="str">
        <f t="shared" si="167"/>
        <v/>
      </c>
      <c r="U166" s="24" t="str">
        <f t="shared" si="167"/>
        <v/>
      </c>
      <c r="V166" s="24" t="str">
        <f t="shared" si="3"/>
        <v/>
      </c>
      <c r="W166" s="24" t="str">
        <f t="shared" si="4"/>
        <v/>
      </c>
    </row>
    <row r="167">
      <c r="A167" s="18">
        <f>HYPERLINK("https://app.hubspot.com/contacts/8748051/record/0-1/2715051", 2715051)</f>
        <v>2715051</v>
      </c>
      <c r="B167" s="14" t="s">
        <v>4948</v>
      </c>
      <c r="C167" s="16"/>
      <c r="D167" s="16"/>
      <c r="E167" s="32">
        <v>45308.0</v>
      </c>
      <c r="F167" s="32"/>
      <c r="G167" s="32"/>
      <c r="H167" s="24"/>
      <c r="I167" s="24"/>
      <c r="J167" s="24"/>
      <c r="K167" s="18">
        <f>HYPERLINK("https://app.hubspot.com/contacts/8748051/record/0-2/9238368183", 9238368183)</f>
        <v>9238368183</v>
      </c>
      <c r="L167" s="14" t="s">
        <v>4949</v>
      </c>
      <c r="M167" s="18" t="s">
        <v>4950</v>
      </c>
      <c r="N167" s="14"/>
      <c r="O167" s="14"/>
      <c r="P167" s="14"/>
      <c r="Q167" s="14"/>
      <c r="R167" s="24"/>
      <c r="S167" s="24" t="str">
        <f t="shared" ref="S167:U167" si="168">IF(E167&lt;&gt;"","Yes","")</f>
        <v>Yes</v>
      </c>
      <c r="T167" s="24" t="str">
        <f t="shared" si="168"/>
        <v/>
      </c>
      <c r="U167" s="24" t="str">
        <f t="shared" si="168"/>
        <v/>
      </c>
      <c r="V167" s="24" t="str">
        <f t="shared" si="3"/>
        <v/>
      </c>
      <c r="W167" s="24" t="str">
        <f t="shared" si="4"/>
        <v/>
      </c>
    </row>
    <row r="168">
      <c r="A168" s="18">
        <f>HYPERLINK("https://app.hubspot.com/contacts/8748051/record/0-1/1859458", 1859458)</f>
        <v>1859458</v>
      </c>
      <c r="B168" s="14" t="s">
        <v>4951</v>
      </c>
      <c r="C168" s="16"/>
      <c r="D168" s="16"/>
      <c r="E168" s="32">
        <v>45309.0</v>
      </c>
      <c r="F168" s="32"/>
      <c r="G168" s="32"/>
      <c r="H168" s="24"/>
      <c r="I168" s="24"/>
      <c r="J168" s="24"/>
      <c r="K168" s="18">
        <f>HYPERLINK("https://app.hubspot.com/contacts/8748051/record/0-2/10198128792", 10198128792)</f>
        <v>10198128792</v>
      </c>
      <c r="L168" s="14" t="s">
        <v>1300</v>
      </c>
      <c r="M168" s="18" t="s">
        <v>1301</v>
      </c>
      <c r="N168" s="24"/>
      <c r="O168" s="14"/>
      <c r="P168" s="14"/>
      <c r="Q168" s="14"/>
      <c r="R168" s="24"/>
      <c r="S168" s="24" t="str">
        <f t="shared" ref="S168:U168" si="169">IF(E168&lt;&gt;"","Yes","")</f>
        <v>Yes</v>
      </c>
      <c r="T168" s="24" t="str">
        <f t="shared" si="169"/>
        <v/>
      </c>
      <c r="U168" s="24" t="str">
        <f t="shared" si="169"/>
        <v/>
      </c>
      <c r="V168" s="24" t="str">
        <f t="shared" si="3"/>
        <v/>
      </c>
      <c r="W168" s="24" t="str">
        <f t="shared" si="4"/>
        <v/>
      </c>
    </row>
    <row r="169">
      <c r="A169" s="18">
        <f>HYPERLINK("https://app.hubspot.com/contacts/8748051/record/0-1/1981752", 1981752)</f>
        <v>1981752</v>
      </c>
      <c r="B169" s="14" t="s">
        <v>4952</v>
      </c>
      <c r="C169" s="16"/>
      <c r="D169" s="16"/>
      <c r="E169" s="32">
        <v>45455.0</v>
      </c>
      <c r="F169" s="32">
        <v>45460.0</v>
      </c>
      <c r="G169" s="32">
        <v>45460.0</v>
      </c>
      <c r="H169" s="24"/>
      <c r="I169" s="24"/>
      <c r="J169" s="24"/>
      <c r="K169" s="18">
        <f>HYPERLINK("https://app.hubspot.com/contacts/8748051/record/0-2/9227915892", 9227915892)</f>
        <v>9227915892</v>
      </c>
      <c r="L169" s="14" t="s">
        <v>1626</v>
      </c>
      <c r="M169" s="18" t="s">
        <v>1627</v>
      </c>
      <c r="N169" s="18">
        <f>HYPERLINK("https://app.hubspot.com/contacts/8748051/record/0-3/20139671819", 20139671819)</f>
        <v>20139671819</v>
      </c>
      <c r="O169" s="14" t="s">
        <v>1625</v>
      </c>
      <c r="P169" s="14" t="s">
        <v>118</v>
      </c>
      <c r="Q169" s="14">
        <v>91200.0</v>
      </c>
      <c r="R169" s="14"/>
      <c r="S169" s="24" t="str">
        <f t="shared" ref="S169:U169" si="170">IF(E169&lt;&gt;"","Yes","")</f>
        <v>Yes</v>
      </c>
      <c r="T169" s="24" t="str">
        <f t="shared" si="170"/>
        <v>Yes</v>
      </c>
      <c r="U169" s="24" t="str">
        <f t="shared" si="170"/>
        <v>Yes</v>
      </c>
      <c r="V169" s="24" t="str">
        <f t="shared" si="3"/>
        <v/>
      </c>
      <c r="W169" s="24" t="str">
        <f t="shared" si="4"/>
        <v/>
      </c>
    </row>
    <row r="170">
      <c r="A170" s="18">
        <f>HYPERLINK("https://app.hubspot.com/contacts/8748051/record/0-1/2023951", 2023951)</f>
        <v>2023951</v>
      </c>
      <c r="B170" s="14" t="s">
        <v>4953</v>
      </c>
      <c r="C170" s="16"/>
      <c r="D170" s="16"/>
      <c r="E170" s="32"/>
      <c r="F170" s="32"/>
      <c r="G170" s="32"/>
      <c r="H170" s="24"/>
      <c r="I170" s="24"/>
      <c r="J170" s="24"/>
      <c r="K170" s="18">
        <f>HYPERLINK("https://app.hubspot.com/contacts/8748051/record/0-2/8972871071", 8972871071)</f>
        <v>8972871071</v>
      </c>
      <c r="L170" s="14" t="s">
        <v>4954</v>
      </c>
      <c r="M170" s="18" t="s">
        <v>4955</v>
      </c>
      <c r="N170" s="14"/>
      <c r="O170" s="14"/>
      <c r="P170" s="14"/>
      <c r="Q170" s="14"/>
      <c r="R170" s="14"/>
      <c r="S170" s="24" t="str">
        <f t="shared" ref="S170:U170" si="171">IF(E170&lt;&gt;"","Yes","")</f>
        <v/>
      </c>
      <c r="T170" s="24" t="str">
        <f t="shared" si="171"/>
        <v/>
      </c>
      <c r="U170" s="24" t="str">
        <f t="shared" si="171"/>
        <v/>
      </c>
      <c r="V170" s="24" t="str">
        <f t="shared" si="3"/>
        <v/>
      </c>
      <c r="W170" s="24" t="str">
        <f t="shared" si="4"/>
        <v/>
      </c>
    </row>
    <row r="171">
      <c r="A171" s="18">
        <f>HYPERLINK("https://app.hubspot.com/contacts/8748051/record/0-1/3164001", 3164001)</f>
        <v>3164001</v>
      </c>
      <c r="B171" s="14" t="s">
        <v>4956</v>
      </c>
      <c r="C171" s="16"/>
      <c r="D171" s="16"/>
      <c r="E171" s="32">
        <v>45264.0</v>
      </c>
      <c r="F171" s="32"/>
      <c r="G171" s="32"/>
      <c r="H171" s="24"/>
      <c r="I171" s="24"/>
      <c r="J171" s="24"/>
      <c r="K171" s="18">
        <f>HYPERLINK("https://app.hubspot.com/contacts/8748051/record/0-2/6262695047", 6262695047)</f>
        <v>6262695047</v>
      </c>
      <c r="L171" s="14" t="s">
        <v>2173</v>
      </c>
      <c r="M171" s="18" t="s">
        <v>2174</v>
      </c>
      <c r="N171" s="18">
        <f>HYPERLINK("https://app.hubspot.com/contacts/8748051/record/0-3/17694632028", 17694632028)</f>
        <v>17694632028</v>
      </c>
      <c r="O171" s="14" t="s">
        <v>2172</v>
      </c>
      <c r="P171" s="14" t="s">
        <v>118</v>
      </c>
      <c r="Q171" s="14">
        <v>10320.0</v>
      </c>
      <c r="R171" s="14"/>
      <c r="S171" s="24" t="str">
        <f t="shared" ref="S171:U171" si="172">IF(E171&lt;&gt;"","Yes","")</f>
        <v>Yes</v>
      </c>
      <c r="T171" s="24" t="str">
        <f t="shared" si="172"/>
        <v/>
      </c>
      <c r="U171" s="24" t="str">
        <f t="shared" si="172"/>
        <v/>
      </c>
      <c r="V171" s="24" t="str">
        <f t="shared" si="3"/>
        <v/>
      </c>
      <c r="W171" s="24" t="str">
        <f t="shared" si="4"/>
        <v/>
      </c>
    </row>
    <row r="172">
      <c r="A172" s="18">
        <f>HYPERLINK("https://app.hubspot.com/contacts/8748051/record/0-1/1860303", 1860303)</f>
        <v>1860303</v>
      </c>
      <c r="B172" s="14" t="s">
        <v>4957</v>
      </c>
      <c r="C172" s="16"/>
      <c r="D172" s="16"/>
      <c r="E172" s="32">
        <v>45293.0</v>
      </c>
      <c r="F172" s="32">
        <v>45301.0</v>
      </c>
      <c r="G172" s="32">
        <v>45301.0</v>
      </c>
      <c r="H172" s="14"/>
      <c r="I172" s="24"/>
      <c r="J172" s="24"/>
      <c r="K172" s="18">
        <f>HYPERLINK("https://app.hubspot.com/contacts/8748051/record/0-2/9793677612", 9793677612)</f>
        <v>9793677612</v>
      </c>
      <c r="L172" s="14" t="s">
        <v>2357</v>
      </c>
      <c r="M172" s="18" t="s">
        <v>2358</v>
      </c>
      <c r="N172" s="23">
        <f>HYPERLINK("https://app.hubspot.com/contacts/8748051/record/0-3/16883612470", 16883612470)</f>
        <v>16883612470</v>
      </c>
      <c r="O172" s="14" t="s">
        <v>2356</v>
      </c>
      <c r="P172" s="14" t="s">
        <v>118</v>
      </c>
      <c r="Q172" s="14">
        <v>100000.0</v>
      </c>
      <c r="R172" s="24"/>
      <c r="S172" s="24" t="str">
        <f t="shared" ref="S172:U172" si="173">IF(E172&lt;&gt;"","Yes","")</f>
        <v>Yes</v>
      </c>
      <c r="T172" s="24" t="str">
        <f t="shared" si="173"/>
        <v>Yes</v>
      </c>
      <c r="U172" s="24" t="str">
        <f t="shared" si="173"/>
        <v>Yes</v>
      </c>
      <c r="V172" s="24" t="str">
        <f t="shared" si="3"/>
        <v/>
      </c>
      <c r="W172" s="24" t="str">
        <f t="shared" si="4"/>
        <v/>
      </c>
    </row>
    <row r="173">
      <c r="A173" s="18">
        <f>HYPERLINK("https://app.hubspot.com/contacts/8748051/record/0-1/2481001", 2481001)</f>
        <v>2481001</v>
      </c>
      <c r="B173" s="14" t="s">
        <v>4958</v>
      </c>
      <c r="C173" s="16"/>
      <c r="D173" s="16"/>
      <c r="E173" s="32">
        <v>45454.0</v>
      </c>
      <c r="F173" s="32"/>
      <c r="G173" s="32"/>
      <c r="H173" s="24"/>
      <c r="I173" s="24"/>
      <c r="J173" s="24"/>
      <c r="K173" s="18">
        <f>HYPERLINK("https://app.hubspot.com/contacts/8748051/record/0-2/31505549359", 31505549359)</f>
        <v>31505549359</v>
      </c>
      <c r="L173" s="14" t="s">
        <v>4959</v>
      </c>
      <c r="M173" s="18" t="s">
        <v>4960</v>
      </c>
      <c r="N173" s="24"/>
      <c r="O173" s="14"/>
      <c r="P173" s="14"/>
      <c r="Q173" s="14"/>
      <c r="R173" s="24"/>
      <c r="S173" s="24" t="str">
        <f t="shared" ref="S173:U173" si="174">IF(E173&lt;&gt;"","Yes","")</f>
        <v>Yes</v>
      </c>
      <c r="T173" s="24" t="str">
        <f t="shared" si="174"/>
        <v/>
      </c>
      <c r="U173" s="24" t="str">
        <f t="shared" si="174"/>
        <v/>
      </c>
      <c r="V173" s="24" t="str">
        <f t="shared" si="3"/>
        <v/>
      </c>
      <c r="W173" s="24" t="str">
        <f t="shared" si="4"/>
        <v/>
      </c>
    </row>
    <row r="174">
      <c r="A174" s="18">
        <f>HYPERLINK("https://app.hubspot.com/contacts/8748051/record/0-1/3199001", 3199001)</f>
        <v>3199001</v>
      </c>
      <c r="B174" s="14" t="s">
        <v>4961</v>
      </c>
      <c r="C174" s="16"/>
      <c r="D174" s="16"/>
      <c r="E174" s="32">
        <v>45272.0</v>
      </c>
      <c r="F174" s="32"/>
      <c r="G174" s="32"/>
      <c r="H174" s="14"/>
      <c r="I174" s="24"/>
      <c r="J174" s="24"/>
      <c r="K174" s="18">
        <f>HYPERLINK("https://app.hubspot.com/contacts/8748051/record/0-2/7836078706", 7836078706)</f>
        <v>7836078706</v>
      </c>
      <c r="L174" s="14" t="s">
        <v>4962</v>
      </c>
      <c r="M174" s="18" t="s">
        <v>4963</v>
      </c>
      <c r="N174" s="14"/>
      <c r="O174" s="14"/>
      <c r="P174" s="14"/>
      <c r="Q174" s="14"/>
      <c r="R174" s="14"/>
      <c r="S174" s="24" t="str">
        <f t="shared" ref="S174:U174" si="175">IF(E174&lt;&gt;"","Yes","")</f>
        <v>Yes</v>
      </c>
      <c r="T174" s="24" t="str">
        <f t="shared" si="175"/>
        <v/>
      </c>
      <c r="U174" s="24" t="str">
        <f t="shared" si="175"/>
        <v/>
      </c>
      <c r="V174" s="24" t="str">
        <f t="shared" si="3"/>
        <v/>
      </c>
      <c r="W174" s="24" t="str">
        <f t="shared" si="4"/>
        <v/>
      </c>
    </row>
    <row r="175">
      <c r="A175" s="18">
        <f>HYPERLINK("https://app.hubspot.com/contacts/8748051/record/0-1/3075501", 3075501)</f>
        <v>3075501</v>
      </c>
      <c r="B175" s="14" t="s">
        <v>4964</v>
      </c>
      <c r="C175" s="16"/>
      <c r="D175" s="16"/>
      <c r="E175" s="32">
        <v>45276.0</v>
      </c>
      <c r="F175" s="32">
        <v>45301.0</v>
      </c>
      <c r="G175" s="32">
        <v>45301.0</v>
      </c>
      <c r="H175" s="24"/>
      <c r="I175" s="24"/>
      <c r="J175" s="24"/>
      <c r="K175" s="18">
        <f>HYPERLINK("https://app.hubspot.com/contacts/8748051/record/0-2/18382656883", 18382656883)</f>
        <v>18382656883</v>
      </c>
      <c r="L175" s="14" t="s">
        <v>303</v>
      </c>
      <c r="M175" s="18" t="s">
        <v>304</v>
      </c>
      <c r="N175" s="18">
        <f>HYPERLINK("https://app.hubspot.com/contacts/8748051/record/0-3/16878472798", 16878472798)</f>
        <v>16878472798</v>
      </c>
      <c r="O175" s="14" t="s">
        <v>2359</v>
      </c>
      <c r="P175" s="14" t="s">
        <v>89</v>
      </c>
      <c r="Q175" s="14">
        <v>25000.0</v>
      </c>
      <c r="R175" s="14" t="b">
        <v>1</v>
      </c>
      <c r="S175" s="24" t="str">
        <f t="shared" ref="S175:U175" si="176">IF(E175&lt;&gt;"","Yes","")</f>
        <v>Yes</v>
      </c>
      <c r="T175" s="24" t="str">
        <f t="shared" si="176"/>
        <v>Yes</v>
      </c>
      <c r="U175" s="24" t="str">
        <f t="shared" si="176"/>
        <v>Yes</v>
      </c>
      <c r="V175" s="24" t="str">
        <f t="shared" si="3"/>
        <v>Yes</v>
      </c>
      <c r="W175" s="24" t="str">
        <f t="shared" si="4"/>
        <v/>
      </c>
    </row>
    <row r="176">
      <c r="A176" s="18">
        <f>HYPERLINK("https://app.hubspot.com/contacts/8748051/record/0-1/2190501", 2190501)</f>
        <v>2190501</v>
      </c>
      <c r="B176" s="14" t="s">
        <v>4965</v>
      </c>
      <c r="C176" s="16"/>
      <c r="D176" s="14"/>
      <c r="E176" s="32">
        <v>45265.0</v>
      </c>
      <c r="F176" s="32"/>
      <c r="G176" s="32">
        <v>45406.0</v>
      </c>
      <c r="H176" s="24"/>
      <c r="I176" s="24"/>
      <c r="J176" s="24"/>
      <c r="K176" s="18">
        <f>HYPERLINK("https://app.hubspot.com/contacts/8748051/record/0-2/9177958280", 9177958280)</f>
        <v>9177958280</v>
      </c>
      <c r="L176" s="14" t="s">
        <v>2243</v>
      </c>
      <c r="M176" s="18" t="s">
        <v>2244</v>
      </c>
      <c r="N176" s="23">
        <f>HYPERLINK("https://app.hubspot.com/contacts/8748051/record/0-3/17365830041", 17365830041)</f>
        <v>17365830041</v>
      </c>
      <c r="O176" s="14" t="s">
        <v>2242</v>
      </c>
      <c r="P176" s="14" t="s">
        <v>118</v>
      </c>
      <c r="Q176" s="14">
        <v>22500.0</v>
      </c>
      <c r="R176" s="24"/>
      <c r="S176" s="24" t="str">
        <f t="shared" ref="S176:U176" si="177">IF(E176&lt;&gt;"","Yes","")</f>
        <v>Yes</v>
      </c>
      <c r="T176" s="24" t="str">
        <f t="shared" si="177"/>
        <v/>
      </c>
      <c r="U176" s="24" t="str">
        <f t="shared" si="177"/>
        <v>Yes</v>
      </c>
      <c r="V176" s="24" t="str">
        <f t="shared" si="3"/>
        <v/>
      </c>
      <c r="W176" s="24" t="str">
        <f t="shared" si="4"/>
        <v/>
      </c>
    </row>
    <row r="177">
      <c r="A177" s="18">
        <f>HYPERLINK("https://app.hubspot.com/contacts/8748051/record/0-1/2321651", 2321651)</f>
        <v>2321651</v>
      </c>
      <c r="B177" s="14" t="s">
        <v>4966</v>
      </c>
      <c r="C177" s="16"/>
      <c r="D177" s="16"/>
      <c r="E177" s="32"/>
      <c r="F177" s="32"/>
      <c r="G177" s="32"/>
      <c r="H177" s="24"/>
      <c r="I177" s="24"/>
      <c r="J177" s="24"/>
      <c r="K177" s="18">
        <f>HYPERLINK("https://app.hubspot.com/contacts/8748051/record/0-2/7673284704", 7673284704)</f>
        <v>7673284704</v>
      </c>
      <c r="L177" s="14" t="s">
        <v>4967</v>
      </c>
      <c r="M177" s="18" t="s">
        <v>4968</v>
      </c>
      <c r="N177" s="24"/>
      <c r="O177" s="14"/>
      <c r="P177" s="14"/>
      <c r="Q177" s="14"/>
      <c r="R177" s="24"/>
      <c r="S177" s="24" t="str">
        <f t="shared" ref="S177:U177" si="178">IF(E177&lt;&gt;"","Yes","")</f>
        <v/>
      </c>
      <c r="T177" s="24" t="str">
        <f t="shared" si="178"/>
        <v/>
      </c>
      <c r="U177" s="24" t="str">
        <f t="shared" si="178"/>
        <v/>
      </c>
      <c r="V177" s="24" t="str">
        <f t="shared" si="3"/>
        <v/>
      </c>
      <c r="W177" s="24" t="str">
        <f t="shared" si="4"/>
        <v/>
      </c>
    </row>
    <row r="178">
      <c r="A178" s="18">
        <f>HYPERLINK("https://app.hubspot.com/contacts/8748051/record/0-1/1884456", 1884456)</f>
        <v>1884456</v>
      </c>
      <c r="B178" s="14" t="s">
        <v>4969</v>
      </c>
      <c r="C178" s="16"/>
      <c r="D178" s="14"/>
      <c r="E178" s="32">
        <v>45262.0</v>
      </c>
      <c r="F178" s="24"/>
      <c r="G178" s="24"/>
      <c r="H178" s="24"/>
      <c r="I178" s="24"/>
      <c r="J178" s="24"/>
      <c r="K178" s="18">
        <f>HYPERLINK("https://app.hubspot.com/contacts/8748051/record/0-2/9187049776", 9187049776)</f>
        <v>9187049776</v>
      </c>
      <c r="L178" s="14" t="s">
        <v>4970</v>
      </c>
      <c r="M178" s="18" t="s">
        <v>4971</v>
      </c>
      <c r="N178" s="14"/>
      <c r="O178" s="14"/>
      <c r="P178" s="14"/>
      <c r="Q178" s="14"/>
      <c r="R178" s="14"/>
      <c r="S178" s="24" t="str">
        <f t="shared" ref="S178:U178" si="179">IF(E178&lt;&gt;"","Yes","")</f>
        <v>Yes</v>
      </c>
      <c r="T178" s="24" t="str">
        <f t="shared" si="179"/>
        <v/>
      </c>
      <c r="U178" s="24" t="str">
        <f t="shared" si="179"/>
        <v/>
      </c>
      <c r="V178" s="24" t="str">
        <f t="shared" si="3"/>
        <v/>
      </c>
      <c r="W178" s="24" t="str">
        <f t="shared" si="4"/>
        <v/>
      </c>
    </row>
    <row r="179">
      <c r="A179" s="18">
        <f>HYPERLINK("https://app.hubspot.com/contacts/8748051/record/0-1/2479952", 2479952)</f>
        <v>2479952</v>
      </c>
      <c r="B179" s="14" t="s">
        <v>4972</v>
      </c>
      <c r="C179" s="16"/>
      <c r="D179" s="14"/>
      <c r="E179" s="32"/>
      <c r="F179" s="32"/>
      <c r="G179" s="32"/>
      <c r="H179" s="24"/>
      <c r="I179" s="24"/>
      <c r="J179" s="24"/>
      <c r="K179" s="18">
        <f>HYPERLINK("https://app.hubspot.com/contacts/8748051/record/0-2/21057534580", 21057534580)</f>
        <v>21057534580</v>
      </c>
      <c r="L179" s="14" t="s">
        <v>2461</v>
      </c>
      <c r="M179" s="18" t="s">
        <v>2462</v>
      </c>
      <c r="N179" s="23">
        <f>HYPERLINK("https://app.hubspot.com/contacts/8748051/record/0-3/16054662244", 16054662244)</f>
        <v>16054662244</v>
      </c>
      <c r="O179" s="14" t="s">
        <v>2460</v>
      </c>
      <c r="P179" s="14" t="s">
        <v>118</v>
      </c>
      <c r="Q179" s="14">
        <v>10000.0</v>
      </c>
      <c r="R179" s="24"/>
      <c r="S179" s="24" t="str">
        <f t="shared" ref="S179:U179" si="180">IF(E179&lt;&gt;"","Yes","")</f>
        <v/>
      </c>
      <c r="T179" s="24" t="str">
        <f t="shared" si="180"/>
        <v/>
      </c>
      <c r="U179" s="24" t="str">
        <f t="shared" si="180"/>
        <v/>
      </c>
      <c r="V179" s="24" t="str">
        <f t="shared" si="3"/>
        <v/>
      </c>
      <c r="W179" s="24" t="str">
        <f t="shared" si="4"/>
        <v/>
      </c>
    </row>
    <row r="180">
      <c r="A180" s="18">
        <f>HYPERLINK("https://app.hubspot.com/contacts/8748051/record/0-1/1859058", 1859058)</f>
        <v>1859058</v>
      </c>
      <c r="B180" s="14" t="s">
        <v>4973</v>
      </c>
      <c r="C180" s="16"/>
      <c r="D180" s="14"/>
      <c r="E180" s="32">
        <v>45272.0</v>
      </c>
      <c r="F180" s="32"/>
      <c r="G180" s="32"/>
      <c r="H180" s="24"/>
      <c r="I180" s="24"/>
      <c r="J180" s="24"/>
      <c r="K180" s="18">
        <f>HYPERLINK("https://app.hubspot.com/contacts/8748051/record/0-2/9793677612", 9793677612)</f>
        <v>9793677612</v>
      </c>
      <c r="L180" s="14" t="s">
        <v>2357</v>
      </c>
      <c r="M180" s="18" t="s">
        <v>2358</v>
      </c>
      <c r="N180" s="24"/>
      <c r="O180" s="14"/>
      <c r="P180" s="14"/>
      <c r="Q180" s="14"/>
      <c r="R180" s="24"/>
      <c r="S180" s="24" t="str">
        <f t="shared" ref="S180:U180" si="181">IF(E180&lt;&gt;"","Yes","")</f>
        <v>Yes</v>
      </c>
      <c r="T180" s="24" t="str">
        <f t="shared" si="181"/>
        <v/>
      </c>
      <c r="U180" s="24" t="str">
        <f t="shared" si="181"/>
        <v/>
      </c>
      <c r="V180" s="24" t="str">
        <f t="shared" si="3"/>
        <v/>
      </c>
      <c r="W180" s="24" t="str">
        <f t="shared" si="4"/>
        <v/>
      </c>
    </row>
    <row r="181">
      <c r="A181" s="18">
        <f>HYPERLINK("https://app.hubspot.com/contacts/8748051/record/0-1/2432001", 2432001)</f>
        <v>2432001</v>
      </c>
      <c r="B181" s="14" t="s">
        <v>4974</v>
      </c>
      <c r="C181" s="16"/>
      <c r="D181" s="16"/>
      <c r="E181" s="32">
        <v>45304.0</v>
      </c>
      <c r="F181" s="32">
        <v>45310.0</v>
      </c>
      <c r="G181" s="32">
        <v>45310.0</v>
      </c>
      <c r="H181" s="24"/>
      <c r="I181" s="24"/>
      <c r="J181" s="24"/>
      <c r="K181" s="18">
        <f>HYPERLINK("https://app.hubspot.com/contacts/8748051/record/0-2/7503655293", 7503655293)</f>
        <v>7503655293</v>
      </c>
      <c r="L181" s="14" t="s">
        <v>2250</v>
      </c>
      <c r="M181" s="18" t="s">
        <v>2251</v>
      </c>
      <c r="N181" s="23">
        <f>HYPERLINK("https://app.hubspot.com/contacts/8748051/record/0-3/17364382845", 17364382845)</f>
        <v>17364382845</v>
      </c>
      <c r="O181" s="14" t="s">
        <v>2249</v>
      </c>
      <c r="P181" s="14" t="s">
        <v>124</v>
      </c>
      <c r="Q181" s="14">
        <v>5040.0</v>
      </c>
      <c r="R181" s="14" t="b">
        <v>1</v>
      </c>
      <c r="S181" s="24" t="str">
        <f t="shared" ref="S181:U181" si="182">IF(E181&lt;&gt;"","Yes","")</f>
        <v>Yes</v>
      </c>
      <c r="T181" s="24" t="str">
        <f t="shared" si="182"/>
        <v>Yes</v>
      </c>
      <c r="U181" s="24" t="str">
        <f t="shared" si="182"/>
        <v>Yes</v>
      </c>
      <c r="V181" s="24" t="str">
        <f t="shared" si="3"/>
        <v/>
      </c>
      <c r="W181" s="24" t="str">
        <f t="shared" si="4"/>
        <v/>
      </c>
    </row>
    <row r="182">
      <c r="A182" s="18">
        <f>HYPERLINK("https://app.hubspot.com/contacts/8748051/record/0-1/1753451", 1753451)</f>
        <v>1753451</v>
      </c>
      <c r="B182" s="14" t="s">
        <v>4975</v>
      </c>
      <c r="C182" s="16"/>
      <c r="D182" s="14"/>
      <c r="E182" s="32">
        <v>45320.0</v>
      </c>
      <c r="F182" s="24"/>
      <c r="G182" s="32"/>
      <c r="H182" s="24"/>
      <c r="I182" s="24"/>
      <c r="J182" s="24"/>
      <c r="K182" s="18">
        <f>HYPERLINK("https://app.hubspot.com/contacts/8748051/record/0-2/7893829193", 7893829193)</f>
        <v>7893829193</v>
      </c>
      <c r="L182" s="14" t="s">
        <v>4976</v>
      </c>
      <c r="M182" s="18" t="s">
        <v>4977</v>
      </c>
      <c r="N182" s="14"/>
      <c r="O182" s="14"/>
      <c r="P182" s="14"/>
      <c r="Q182" s="14"/>
      <c r="R182" s="24"/>
      <c r="S182" s="24" t="str">
        <f t="shared" ref="S182:U182" si="183">IF(E182&lt;&gt;"","Yes","")</f>
        <v>Yes</v>
      </c>
      <c r="T182" s="24" t="str">
        <f t="shared" si="183"/>
        <v/>
      </c>
      <c r="U182" s="24" t="str">
        <f t="shared" si="183"/>
        <v/>
      </c>
      <c r="V182" s="24" t="str">
        <f t="shared" si="3"/>
        <v/>
      </c>
      <c r="W182" s="24" t="str">
        <f t="shared" si="4"/>
        <v/>
      </c>
    </row>
    <row r="183">
      <c r="A183" s="18">
        <f>HYPERLINK("https://app.hubspot.com/contacts/8748051/record/0-1/3154551", 3154551)</f>
        <v>3154551</v>
      </c>
      <c r="B183" s="14" t="s">
        <v>4978</v>
      </c>
      <c r="C183" s="16"/>
      <c r="D183" s="16"/>
      <c r="E183" s="32">
        <v>45261.0</v>
      </c>
      <c r="F183" s="32"/>
      <c r="G183" s="32"/>
      <c r="H183" s="24"/>
      <c r="I183" s="24"/>
      <c r="J183" s="24"/>
      <c r="K183" s="18">
        <f>HYPERLINK("https://app.hubspot.com/contacts/8748051/record/0-2/9238368636", 9238368636)</f>
        <v>9238368636</v>
      </c>
      <c r="L183" s="14" t="s">
        <v>4979</v>
      </c>
      <c r="M183" s="18" t="s">
        <v>4980</v>
      </c>
      <c r="N183" s="14"/>
      <c r="O183" s="14"/>
      <c r="P183" s="14"/>
      <c r="Q183" s="14"/>
      <c r="R183" s="24"/>
      <c r="S183" s="24" t="str">
        <f t="shared" ref="S183:U183" si="184">IF(E183&lt;&gt;"","Yes","")</f>
        <v>Yes</v>
      </c>
      <c r="T183" s="24" t="str">
        <f t="shared" si="184"/>
        <v/>
      </c>
      <c r="U183" s="24" t="str">
        <f t="shared" si="184"/>
        <v/>
      </c>
      <c r="V183" s="24" t="str">
        <f t="shared" si="3"/>
        <v/>
      </c>
      <c r="W183" s="24" t="str">
        <f t="shared" si="4"/>
        <v/>
      </c>
    </row>
    <row r="184">
      <c r="A184" s="18">
        <f>HYPERLINK("https://app.hubspot.com/contacts/8748051/record/0-1/2053110", 2053110)</f>
        <v>2053110</v>
      </c>
      <c r="B184" s="14" t="s">
        <v>4981</v>
      </c>
      <c r="C184" s="16"/>
      <c r="D184" s="16"/>
      <c r="E184" s="32">
        <v>45264.0</v>
      </c>
      <c r="F184" s="32">
        <v>45271.0</v>
      </c>
      <c r="G184" s="32">
        <v>45271.0</v>
      </c>
      <c r="H184" s="24"/>
      <c r="I184" s="24"/>
      <c r="J184" s="24"/>
      <c r="K184" s="18">
        <f>HYPERLINK("https://app.hubspot.com/contacts/8748051/record/0-2/14811203588", 14811203588)</f>
        <v>14811203588</v>
      </c>
      <c r="L184" s="14" t="s">
        <v>2422</v>
      </c>
      <c r="M184" s="18" t="s">
        <v>2423</v>
      </c>
      <c r="N184" s="18">
        <f>HYPERLINK("https://app.hubspot.com/contacts/8748051/record/0-3/16455042417", 16455042417)</f>
        <v>16455042417</v>
      </c>
      <c r="O184" s="14" t="s">
        <v>2421</v>
      </c>
      <c r="P184" s="14" t="s">
        <v>118</v>
      </c>
      <c r="Q184" s="14">
        <v>100000.0</v>
      </c>
      <c r="R184" s="14"/>
      <c r="S184" s="24" t="str">
        <f t="shared" ref="S184:U184" si="185">IF(E184&lt;&gt;"","Yes","")</f>
        <v>Yes</v>
      </c>
      <c r="T184" s="24" t="str">
        <f t="shared" si="185"/>
        <v>Yes</v>
      </c>
      <c r="U184" s="24" t="str">
        <f t="shared" si="185"/>
        <v>Yes</v>
      </c>
      <c r="V184" s="24" t="str">
        <f t="shared" si="3"/>
        <v/>
      </c>
      <c r="W184" s="24" t="str">
        <f t="shared" si="4"/>
        <v/>
      </c>
    </row>
    <row r="185">
      <c r="A185" s="18">
        <f>HYPERLINK("https://app.hubspot.com/contacts/8748051/record/0-1/3165351", 3165351)</f>
        <v>3165351</v>
      </c>
      <c r="B185" s="14" t="s">
        <v>4982</v>
      </c>
      <c r="C185" s="16"/>
      <c r="D185" s="16"/>
      <c r="E185" s="32">
        <v>45265.0</v>
      </c>
      <c r="F185" s="32">
        <v>45265.0</v>
      </c>
      <c r="G185" s="32">
        <v>45265.0</v>
      </c>
      <c r="H185" s="24"/>
      <c r="I185" s="24"/>
      <c r="J185" s="24"/>
      <c r="K185" s="18">
        <f>HYPERLINK("https://app.hubspot.com/contacts/8748051/record/0-2/7502884737", 7502884737)</f>
        <v>7502884737</v>
      </c>
      <c r="L185" s="14" t="s">
        <v>2437</v>
      </c>
      <c r="M185" s="18" t="s">
        <v>2438</v>
      </c>
      <c r="N185" s="23">
        <f>HYPERLINK("https://app.hubspot.com/contacts/8748051/record/0-3/16388213329", 16388213329)</f>
        <v>16388213329</v>
      </c>
      <c r="O185" s="14" t="s">
        <v>2436</v>
      </c>
      <c r="P185" s="14" t="s">
        <v>124</v>
      </c>
      <c r="Q185" s="14">
        <v>35000.0</v>
      </c>
      <c r="R185" s="14" t="b">
        <v>1</v>
      </c>
      <c r="S185" s="24" t="str">
        <f t="shared" ref="S185:U185" si="186">IF(E185&lt;&gt;"","Yes","")</f>
        <v>Yes</v>
      </c>
      <c r="T185" s="24" t="str">
        <f t="shared" si="186"/>
        <v>Yes</v>
      </c>
      <c r="U185" s="24" t="str">
        <f t="shared" si="186"/>
        <v>Yes</v>
      </c>
      <c r="V185" s="24" t="str">
        <f t="shared" si="3"/>
        <v/>
      </c>
      <c r="W185" s="24" t="str">
        <f t="shared" si="4"/>
        <v/>
      </c>
    </row>
    <row r="186">
      <c r="A186" s="18">
        <f>HYPERLINK("https://app.hubspot.com/contacts/8748051/record/0-1/2870051", 2870051)</f>
        <v>2870051</v>
      </c>
      <c r="B186" s="14" t="s">
        <v>4983</v>
      </c>
      <c r="C186" s="16"/>
      <c r="D186" s="14"/>
      <c r="E186" s="32">
        <v>45407.0</v>
      </c>
      <c r="F186" s="32"/>
      <c r="G186" s="32"/>
      <c r="H186" s="24"/>
      <c r="I186" s="24"/>
      <c r="J186" s="24"/>
      <c r="K186" s="18">
        <f>HYPERLINK("https://app.hubspot.com/contacts/8748051/record/0-2/9345053975", 9345053975)</f>
        <v>9345053975</v>
      </c>
      <c r="L186" s="14" t="s">
        <v>4984</v>
      </c>
      <c r="M186" s="18" t="s">
        <v>4985</v>
      </c>
      <c r="N186" s="14"/>
      <c r="O186" s="14"/>
      <c r="P186" s="14"/>
      <c r="Q186" s="14"/>
      <c r="R186" s="24"/>
      <c r="S186" s="24" t="str">
        <f t="shared" ref="S186:U186" si="187">IF(E186&lt;&gt;"","Yes","")</f>
        <v>Yes</v>
      </c>
      <c r="T186" s="24" t="str">
        <f t="shared" si="187"/>
        <v/>
      </c>
      <c r="U186" s="24" t="str">
        <f t="shared" si="187"/>
        <v/>
      </c>
      <c r="V186" s="24" t="str">
        <f t="shared" si="3"/>
        <v/>
      </c>
      <c r="W186" s="24" t="str">
        <f t="shared" si="4"/>
        <v/>
      </c>
    </row>
    <row r="187">
      <c r="A187" s="18">
        <f>HYPERLINK("https://app.hubspot.com/contacts/8748051/record/0-1/3189001", 3189001)</f>
        <v>3189001</v>
      </c>
      <c r="B187" s="14" t="s">
        <v>4986</v>
      </c>
      <c r="C187" s="16"/>
      <c r="D187" s="16"/>
      <c r="E187" s="32">
        <v>45269.0</v>
      </c>
      <c r="F187" s="32">
        <v>45272.0</v>
      </c>
      <c r="G187" s="32">
        <v>45272.0</v>
      </c>
      <c r="H187" s="24"/>
      <c r="I187" s="24"/>
      <c r="J187" s="24"/>
      <c r="K187" s="18">
        <f>HYPERLINK("https://app.hubspot.com/contacts/8748051/record/0-2/8370344576", 8370344576)</f>
        <v>8370344576</v>
      </c>
      <c r="L187" s="14" t="s">
        <v>2419</v>
      </c>
      <c r="M187" s="18" t="s">
        <v>2420</v>
      </c>
      <c r="N187" s="23">
        <f>HYPERLINK("https://app.hubspot.com/contacts/8748051/record/0-3/16479520279", 16479520279)</f>
        <v>16479520279</v>
      </c>
      <c r="O187" s="14" t="s">
        <v>2418</v>
      </c>
      <c r="P187" s="14" t="s">
        <v>118</v>
      </c>
      <c r="Q187" s="14">
        <v>16500.0</v>
      </c>
      <c r="R187" s="24"/>
      <c r="S187" s="24" t="str">
        <f t="shared" ref="S187:U187" si="188">IF(E187&lt;&gt;"","Yes","")</f>
        <v>Yes</v>
      </c>
      <c r="T187" s="24" t="str">
        <f t="shared" si="188"/>
        <v>Yes</v>
      </c>
      <c r="U187" s="24" t="str">
        <f t="shared" si="188"/>
        <v>Yes</v>
      </c>
      <c r="V187" s="24" t="str">
        <f t="shared" si="3"/>
        <v/>
      </c>
      <c r="W187" s="24" t="str">
        <f t="shared" si="4"/>
        <v/>
      </c>
    </row>
    <row r="188">
      <c r="A188" s="18">
        <f>HYPERLINK("https://app.hubspot.com/contacts/8748051/record/0-1/3154901", 3154901)</f>
        <v>3154901</v>
      </c>
      <c r="B188" s="14" t="s">
        <v>4987</v>
      </c>
      <c r="C188" s="16"/>
      <c r="D188" s="16"/>
      <c r="E188" s="32">
        <v>45261.0</v>
      </c>
      <c r="F188" s="32">
        <v>45279.0</v>
      </c>
      <c r="G188" s="32">
        <v>45279.0</v>
      </c>
      <c r="H188" s="24"/>
      <c r="I188" s="24"/>
      <c r="J188" s="24"/>
      <c r="K188" s="18">
        <f>HYPERLINK("https://app.hubspot.com/contacts/8748051/record/0-2/14809836036", 14809836036)</f>
        <v>14809836036</v>
      </c>
      <c r="L188" s="14" t="s">
        <v>2384</v>
      </c>
      <c r="M188" s="18" t="s">
        <v>2385</v>
      </c>
      <c r="N188" s="18">
        <f>HYPERLINK("https://app.hubspot.com/contacts/8748051/record/0-3/16583441408", 16583441408)</f>
        <v>16583441408</v>
      </c>
      <c r="O188" s="14" t="s">
        <v>2383</v>
      </c>
      <c r="P188" s="14" t="s">
        <v>118</v>
      </c>
      <c r="Q188" s="14">
        <v>100000.0</v>
      </c>
      <c r="R188" s="14"/>
      <c r="S188" s="24" t="str">
        <f t="shared" ref="S188:U188" si="189">IF(E188&lt;&gt;"","Yes","")</f>
        <v>Yes</v>
      </c>
      <c r="T188" s="24" t="str">
        <f t="shared" si="189"/>
        <v>Yes</v>
      </c>
      <c r="U188" s="24" t="str">
        <f t="shared" si="189"/>
        <v>Yes</v>
      </c>
      <c r="V188" s="24" t="str">
        <f t="shared" si="3"/>
        <v/>
      </c>
      <c r="W188" s="24" t="str">
        <f t="shared" si="4"/>
        <v/>
      </c>
    </row>
    <row r="189">
      <c r="A189" s="18">
        <f>HYPERLINK("https://app.hubspot.com/contacts/8748051/record/0-1/2636101", 2636101)</f>
        <v>2636101</v>
      </c>
      <c r="B189" s="14" t="s">
        <v>4988</v>
      </c>
      <c r="C189" s="16"/>
      <c r="D189" s="16"/>
      <c r="E189" s="32">
        <v>45271.0</v>
      </c>
      <c r="F189" s="32"/>
      <c r="G189" s="32">
        <v>45270.0</v>
      </c>
      <c r="H189" s="24"/>
      <c r="I189" s="24"/>
      <c r="J189" s="24"/>
      <c r="K189" s="18">
        <f>HYPERLINK("https://app.hubspot.com/contacts/8748051/record/0-2/14811314448", 14811314448)</f>
        <v>14811314448</v>
      </c>
      <c r="L189" s="14" t="s">
        <v>2236</v>
      </c>
      <c r="M189" s="18" t="s">
        <v>2237</v>
      </c>
      <c r="N189" s="23">
        <f>HYPERLINK("https://app.hubspot.com/contacts/8748051/record/0-3/17365980934", 17365980934)</f>
        <v>17365980934</v>
      </c>
      <c r="O189" s="14" t="s">
        <v>2235</v>
      </c>
      <c r="P189" s="14" t="s">
        <v>118</v>
      </c>
      <c r="Q189" s="14">
        <v>18000.0</v>
      </c>
      <c r="R189" s="14"/>
      <c r="S189" s="24" t="str">
        <f t="shared" ref="S189:U189" si="190">IF(E189&lt;&gt;"","Yes","")</f>
        <v>Yes</v>
      </c>
      <c r="T189" s="24" t="str">
        <f t="shared" si="190"/>
        <v/>
      </c>
      <c r="U189" s="24" t="str">
        <f t="shared" si="190"/>
        <v>Yes</v>
      </c>
      <c r="V189" s="24" t="str">
        <f t="shared" si="3"/>
        <v/>
      </c>
      <c r="W189" s="24" t="str">
        <f t="shared" si="4"/>
        <v/>
      </c>
    </row>
    <row r="190">
      <c r="A190" s="18">
        <f>HYPERLINK("https://app.hubspot.com/contacts/8748051/record/0-1/3146551", 3146551)</f>
        <v>3146551</v>
      </c>
      <c r="B190" s="14" t="s">
        <v>4989</v>
      </c>
      <c r="C190" s="16"/>
      <c r="D190" s="14"/>
      <c r="E190" s="32"/>
      <c r="F190" s="32"/>
      <c r="G190" s="32"/>
      <c r="H190" s="24"/>
      <c r="I190" s="24"/>
      <c r="J190" s="24"/>
      <c r="K190" s="18">
        <f>HYPERLINK("https://app.hubspot.com/contacts/8748051/record/0-2/6816487061", 6816487061)</f>
        <v>6816487061</v>
      </c>
      <c r="L190" s="14" t="s">
        <v>4990</v>
      </c>
      <c r="M190" s="18" t="s">
        <v>4991</v>
      </c>
      <c r="N190" s="24"/>
      <c r="O190" s="14"/>
      <c r="P190" s="14"/>
      <c r="Q190" s="14"/>
      <c r="R190" s="24"/>
      <c r="S190" s="24" t="str">
        <f t="shared" ref="S190:U190" si="191">IF(E190&lt;&gt;"","Yes","")</f>
        <v/>
      </c>
      <c r="T190" s="24" t="str">
        <f t="shared" si="191"/>
        <v/>
      </c>
      <c r="U190" s="24" t="str">
        <f t="shared" si="191"/>
        <v/>
      </c>
      <c r="V190" s="24" t="str">
        <f t="shared" si="3"/>
        <v/>
      </c>
      <c r="W190" s="24" t="str">
        <f t="shared" si="4"/>
        <v/>
      </c>
    </row>
    <row r="191">
      <c r="A191" s="18">
        <f>HYPERLINK("https://app.hubspot.com/contacts/8748051/record/0-1/2787451", 2787451)</f>
        <v>2787451</v>
      </c>
      <c r="B191" s="14" t="s">
        <v>4992</v>
      </c>
      <c r="C191" s="16"/>
      <c r="D191" s="16"/>
      <c r="E191" s="32"/>
      <c r="F191" s="32"/>
      <c r="G191" s="32"/>
      <c r="H191" s="24"/>
      <c r="I191" s="24"/>
      <c r="J191" s="24"/>
      <c r="K191" s="18">
        <f>HYPERLINK("https://app.hubspot.com/contacts/8748051/record/0-2/14810961931", 14810961931)</f>
        <v>14810961931</v>
      </c>
      <c r="L191" s="14" t="s">
        <v>2004</v>
      </c>
      <c r="M191" s="18" t="s">
        <v>2005</v>
      </c>
      <c r="N191" s="24"/>
      <c r="O191" s="14"/>
      <c r="P191" s="14"/>
      <c r="Q191" s="14"/>
      <c r="R191" s="14"/>
      <c r="S191" s="24" t="str">
        <f t="shared" ref="S191:U191" si="192">IF(E191&lt;&gt;"","Yes","")</f>
        <v/>
      </c>
      <c r="T191" s="24" t="str">
        <f t="shared" si="192"/>
        <v/>
      </c>
      <c r="U191" s="24" t="str">
        <f t="shared" si="192"/>
        <v/>
      </c>
      <c r="V191" s="24" t="str">
        <f t="shared" si="3"/>
        <v/>
      </c>
      <c r="W191" s="24" t="str">
        <f t="shared" si="4"/>
        <v/>
      </c>
    </row>
    <row r="192">
      <c r="A192" s="18">
        <f>HYPERLINK("https://app.hubspot.com/contacts/8748051/record/0-1/3146351", 3146351)</f>
        <v>3146351</v>
      </c>
      <c r="B192" s="14" t="s">
        <v>4993</v>
      </c>
      <c r="C192" s="16"/>
      <c r="D192" s="16"/>
      <c r="E192" s="32"/>
      <c r="F192" s="32"/>
      <c r="G192" s="32"/>
      <c r="H192" s="14"/>
      <c r="I192" s="24"/>
      <c r="J192" s="24"/>
      <c r="K192" s="18">
        <f>HYPERLINK("https://app.hubspot.com/contacts/8748051/record/0-2/6816601910", 6816601910)</f>
        <v>6816601910</v>
      </c>
      <c r="L192" s="14" t="s">
        <v>4994</v>
      </c>
      <c r="M192" s="18" t="s">
        <v>4995</v>
      </c>
      <c r="N192" s="24"/>
      <c r="O192" s="14"/>
      <c r="P192" s="14"/>
      <c r="Q192" s="14"/>
      <c r="R192" s="24"/>
      <c r="S192" s="24" t="str">
        <f t="shared" ref="S192:U192" si="193">IF(E192&lt;&gt;"","Yes","")</f>
        <v/>
      </c>
      <c r="T192" s="24" t="str">
        <f t="shared" si="193"/>
        <v/>
      </c>
      <c r="U192" s="24" t="str">
        <f t="shared" si="193"/>
        <v/>
      </c>
      <c r="V192" s="24" t="str">
        <f t="shared" si="3"/>
        <v/>
      </c>
      <c r="W192" s="24" t="str">
        <f t="shared" si="4"/>
        <v/>
      </c>
    </row>
    <row r="193">
      <c r="A193" s="18">
        <f>HYPERLINK("https://app.hubspot.com/contacts/8748051/record/0-1/1861653", 1861653)</f>
        <v>1861653</v>
      </c>
      <c r="B193" s="14" t="s">
        <v>4996</v>
      </c>
      <c r="C193" s="16"/>
      <c r="D193" s="16"/>
      <c r="E193" s="32">
        <v>45455.0</v>
      </c>
      <c r="F193" s="32"/>
      <c r="G193" s="32"/>
      <c r="H193" s="14"/>
      <c r="I193" s="24"/>
      <c r="J193" s="24"/>
      <c r="K193" s="23">
        <f>HYPERLINK("https://app.hubspot.com/contacts/8748051/record/0-2/7231774384", 7231774384)</f>
        <v>7231774384</v>
      </c>
      <c r="L193" s="14" t="s">
        <v>4997</v>
      </c>
      <c r="M193" s="18" t="s">
        <v>4998</v>
      </c>
      <c r="N193" s="24"/>
      <c r="O193" s="14"/>
      <c r="P193" s="14"/>
      <c r="Q193" s="14"/>
      <c r="R193" s="14"/>
      <c r="S193" s="24" t="str">
        <f t="shared" ref="S193:U193" si="194">IF(E193&lt;&gt;"","Yes","")</f>
        <v>Yes</v>
      </c>
      <c r="T193" s="24" t="str">
        <f t="shared" si="194"/>
        <v/>
      </c>
      <c r="U193" s="24" t="str">
        <f t="shared" si="194"/>
        <v/>
      </c>
      <c r="V193" s="24" t="str">
        <f t="shared" si="3"/>
        <v/>
      </c>
      <c r="W193" s="24" t="str">
        <f t="shared" si="4"/>
        <v/>
      </c>
    </row>
    <row r="194">
      <c r="A194" s="18">
        <f>HYPERLINK("https://app.hubspot.com/contacts/8748051/record/0-1/2208201", 2208201)</f>
        <v>2208201</v>
      </c>
      <c r="B194" s="14" t="s">
        <v>4999</v>
      </c>
      <c r="C194" s="16"/>
      <c r="D194" s="16"/>
      <c r="E194" s="32"/>
      <c r="F194" s="32"/>
      <c r="G194" s="32"/>
      <c r="H194" s="24"/>
      <c r="I194" s="24"/>
      <c r="J194" s="24"/>
      <c r="K194" s="18">
        <f>HYPERLINK("https://app.hubspot.com/contacts/8748051/record/0-2/9086573923", 9086573923)</f>
        <v>9086573923</v>
      </c>
      <c r="L194" s="14" t="s">
        <v>2057</v>
      </c>
      <c r="M194" s="18" t="s">
        <v>2058</v>
      </c>
      <c r="N194" s="14"/>
      <c r="O194" s="14"/>
      <c r="P194" s="14"/>
      <c r="Q194" s="14"/>
      <c r="R194" s="24"/>
      <c r="S194" s="24" t="str">
        <f t="shared" ref="S194:U194" si="195">IF(E194&lt;&gt;"","Yes","")</f>
        <v/>
      </c>
      <c r="T194" s="24" t="str">
        <f t="shared" si="195"/>
        <v/>
      </c>
      <c r="U194" s="24" t="str">
        <f t="shared" si="195"/>
        <v/>
      </c>
      <c r="V194" s="24" t="str">
        <f t="shared" si="3"/>
        <v/>
      </c>
      <c r="W194" s="24" t="str">
        <f t="shared" si="4"/>
        <v/>
      </c>
    </row>
    <row r="195">
      <c r="A195" s="18">
        <f>HYPERLINK("https://app.hubspot.com/contacts/8748051/record/0-1/3147301", 3147301)</f>
        <v>3147301</v>
      </c>
      <c r="B195" s="14" t="s">
        <v>5000</v>
      </c>
      <c r="C195" s="16"/>
      <c r="D195" s="16"/>
      <c r="E195" s="32"/>
      <c r="F195" s="32"/>
      <c r="G195" s="32"/>
      <c r="H195" s="24"/>
      <c r="I195" s="24"/>
      <c r="J195" s="24"/>
      <c r="K195" s="18">
        <f>HYPERLINK("https://app.hubspot.com/contacts/8748051/record/0-2/9094689639", 9094689639)</f>
        <v>9094689639</v>
      </c>
      <c r="L195" s="14" t="s">
        <v>4732</v>
      </c>
      <c r="M195" s="18" t="s">
        <v>4733</v>
      </c>
      <c r="N195" s="24"/>
      <c r="O195" s="14"/>
      <c r="P195" s="14"/>
      <c r="Q195" s="14"/>
      <c r="R195" s="24"/>
      <c r="S195" s="24" t="str">
        <f t="shared" ref="S195:U195" si="196">IF(E195&lt;&gt;"","Yes","")</f>
        <v/>
      </c>
      <c r="T195" s="24" t="str">
        <f t="shared" si="196"/>
        <v/>
      </c>
      <c r="U195" s="24" t="str">
        <f t="shared" si="196"/>
        <v/>
      </c>
      <c r="V195" s="24" t="str">
        <f t="shared" si="3"/>
        <v/>
      </c>
      <c r="W195" s="24" t="str">
        <f t="shared" si="4"/>
        <v/>
      </c>
    </row>
    <row r="196">
      <c r="A196" s="18">
        <f>HYPERLINK("https://app.hubspot.com/contacts/8748051/record/0-1/1983851", 1983851)</f>
        <v>1983851</v>
      </c>
      <c r="B196" s="14" t="s">
        <v>5001</v>
      </c>
      <c r="C196" s="16"/>
      <c r="D196" s="16"/>
      <c r="E196" s="32"/>
      <c r="F196" s="32"/>
      <c r="G196" s="32"/>
      <c r="H196" s="24"/>
      <c r="I196" s="24"/>
      <c r="J196" s="24"/>
      <c r="K196" s="18">
        <f>HYPERLINK("https://app.hubspot.com/contacts/8748051/record/0-2/8791697963", 8791697963)</f>
        <v>8791697963</v>
      </c>
      <c r="L196" s="14" t="s">
        <v>5002</v>
      </c>
      <c r="M196" s="18" t="s">
        <v>5003</v>
      </c>
      <c r="N196" s="14"/>
      <c r="O196" s="14"/>
      <c r="P196" s="14"/>
      <c r="Q196" s="14"/>
      <c r="R196" s="14"/>
      <c r="S196" s="24" t="str">
        <f t="shared" ref="S196:U196" si="197">IF(E196&lt;&gt;"","Yes","")</f>
        <v/>
      </c>
      <c r="T196" s="24" t="str">
        <f t="shared" si="197"/>
        <v/>
      </c>
      <c r="U196" s="24" t="str">
        <f t="shared" si="197"/>
        <v/>
      </c>
      <c r="V196" s="24" t="str">
        <f t="shared" si="3"/>
        <v/>
      </c>
      <c r="W196" s="24" t="str">
        <f t="shared" si="4"/>
        <v/>
      </c>
    </row>
    <row r="197">
      <c r="A197" s="18">
        <f>HYPERLINK("https://app.hubspot.com/contacts/8748051/record/0-1/3169201", 3169201)</f>
        <v>3169201</v>
      </c>
      <c r="B197" s="14" t="s">
        <v>5004</v>
      </c>
      <c r="C197" s="16"/>
      <c r="D197" s="16"/>
      <c r="E197" s="32">
        <v>45265.0</v>
      </c>
      <c r="F197" s="32">
        <v>45274.0</v>
      </c>
      <c r="G197" s="32">
        <v>45274.0</v>
      </c>
      <c r="H197" s="14"/>
      <c r="I197" s="24"/>
      <c r="J197" s="24"/>
      <c r="K197" s="18">
        <f>HYPERLINK("https://app.hubspot.com/contacts/8748051/record/0-2/15939922518", 15939922518)</f>
        <v>15939922518</v>
      </c>
      <c r="L197" s="14" t="s">
        <v>2409</v>
      </c>
      <c r="M197" s="18" t="s">
        <v>2410</v>
      </c>
      <c r="N197" s="18">
        <f>HYPERLINK("https://app.hubspot.com/contacts/8748051/record/0-3/16508415114", 16508415114)</f>
        <v>16508415114</v>
      </c>
      <c r="O197" s="14" t="s">
        <v>2408</v>
      </c>
      <c r="P197" s="14" t="s">
        <v>124</v>
      </c>
      <c r="Q197" s="14">
        <v>72500.0</v>
      </c>
      <c r="R197" s="14" t="b">
        <v>1</v>
      </c>
      <c r="S197" s="24" t="str">
        <f t="shared" ref="S197:U197" si="198">IF(E197&lt;&gt;"","Yes","")</f>
        <v>Yes</v>
      </c>
      <c r="T197" s="24" t="str">
        <f t="shared" si="198"/>
        <v>Yes</v>
      </c>
      <c r="U197" s="24" t="str">
        <f t="shared" si="198"/>
        <v>Yes</v>
      </c>
      <c r="V197" s="24" t="str">
        <f t="shared" si="3"/>
        <v/>
      </c>
      <c r="W197" s="24" t="str">
        <f t="shared" si="4"/>
        <v/>
      </c>
    </row>
    <row r="198">
      <c r="A198" s="18">
        <f>HYPERLINK("https://app.hubspot.com/contacts/8748051/record/0-1/2099105", 2099105)</f>
        <v>2099105</v>
      </c>
      <c r="B198" s="14" t="s">
        <v>5005</v>
      </c>
      <c r="C198" s="16"/>
      <c r="D198" s="16"/>
      <c r="E198" s="32"/>
      <c r="F198" s="32"/>
      <c r="G198" s="32"/>
      <c r="H198" s="24"/>
      <c r="I198" s="24"/>
      <c r="J198" s="24"/>
      <c r="K198" s="18">
        <f>HYPERLINK("https://app.hubspot.com/contacts/8748051/record/0-2/10910527375", 10910527375)</f>
        <v>10910527375</v>
      </c>
      <c r="L198" s="14" t="s">
        <v>5006</v>
      </c>
      <c r="M198" s="18" t="s">
        <v>5007</v>
      </c>
      <c r="N198" s="14"/>
      <c r="O198" s="14"/>
      <c r="P198" s="14"/>
      <c r="Q198" s="14"/>
      <c r="R198" s="14"/>
      <c r="S198" s="24" t="str">
        <f t="shared" ref="S198:U198" si="199">IF(E198&lt;&gt;"","Yes","")</f>
        <v/>
      </c>
      <c r="T198" s="24" t="str">
        <f t="shared" si="199"/>
        <v/>
      </c>
      <c r="U198" s="24" t="str">
        <f t="shared" si="199"/>
        <v/>
      </c>
      <c r="V198" s="24" t="str">
        <f t="shared" si="3"/>
        <v/>
      </c>
      <c r="W198" s="24" t="str">
        <f t="shared" si="4"/>
        <v/>
      </c>
    </row>
    <row r="199">
      <c r="A199" s="18">
        <f>HYPERLINK("https://app.hubspot.com/contacts/8748051/record/0-1/2814901", 2814901)</f>
        <v>2814901</v>
      </c>
      <c r="B199" s="14" t="s">
        <v>5008</v>
      </c>
      <c r="C199" s="16"/>
      <c r="D199" s="16"/>
      <c r="E199" s="32"/>
      <c r="F199" s="24"/>
      <c r="G199" s="24"/>
      <c r="H199" s="24"/>
      <c r="I199" s="24"/>
      <c r="J199" s="24"/>
      <c r="K199" s="18">
        <f>HYPERLINK("https://app.hubspot.com/contacts/8748051/record/0-2/10078571809", 10078571809)</f>
        <v>10078571809</v>
      </c>
      <c r="L199" s="18" t="s">
        <v>5009</v>
      </c>
      <c r="M199" s="18" t="s">
        <v>5010</v>
      </c>
      <c r="N199" s="24"/>
      <c r="O199" s="24"/>
      <c r="P199" s="24"/>
      <c r="Q199" s="24"/>
      <c r="R199" s="24"/>
      <c r="S199" s="24" t="str">
        <f t="shared" ref="S199:U199" si="200">IF(E199&lt;&gt;"","Yes","")</f>
        <v/>
      </c>
      <c r="T199" s="24" t="str">
        <f t="shared" si="200"/>
        <v/>
      </c>
      <c r="U199" s="24" t="str">
        <f t="shared" si="200"/>
        <v/>
      </c>
      <c r="V199" s="24" t="str">
        <f t="shared" si="3"/>
        <v/>
      </c>
      <c r="W199" s="24" t="str">
        <f t="shared" si="4"/>
        <v/>
      </c>
    </row>
    <row r="200">
      <c r="A200" s="18">
        <f>HYPERLINK("https://app.hubspot.com/contacts/8748051/record/0-1/2140901", 2140901)</f>
        <v>2140901</v>
      </c>
      <c r="B200" s="14" t="s">
        <v>5011</v>
      </c>
      <c r="C200" s="16"/>
      <c r="D200" s="16"/>
      <c r="E200" s="32"/>
      <c r="F200" s="32"/>
      <c r="G200" s="24"/>
      <c r="H200" s="24"/>
      <c r="I200" s="24"/>
      <c r="J200" s="24"/>
      <c r="K200" s="18">
        <f>HYPERLINK("https://app.hubspot.com/contacts/8748051/record/0-2/15350703502", 15350703502)</f>
        <v>15350703502</v>
      </c>
      <c r="L200" s="14" t="s">
        <v>5012</v>
      </c>
      <c r="M200" s="18" t="s">
        <v>5013</v>
      </c>
      <c r="N200" s="24"/>
      <c r="O200" s="24"/>
      <c r="P200" s="24"/>
      <c r="Q200" s="24"/>
      <c r="R200" s="24"/>
      <c r="S200" s="24" t="str">
        <f t="shared" ref="S200:U200" si="201">IF(E200&lt;&gt;"","Yes","")</f>
        <v/>
      </c>
      <c r="T200" s="24" t="str">
        <f t="shared" si="201"/>
        <v/>
      </c>
      <c r="U200" s="24" t="str">
        <f t="shared" si="201"/>
        <v/>
      </c>
      <c r="V200" s="24" t="str">
        <f t="shared" si="3"/>
        <v/>
      </c>
      <c r="W200" s="24" t="str">
        <f t="shared" si="4"/>
        <v/>
      </c>
    </row>
    <row r="201">
      <c r="A201" s="18">
        <f>HYPERLINK("https://app.hubspot.com/contacts/8748051/record/0-1/3159601", 3159601)</f>
        <v>3159601</v>
      </c>
      <c r="B201" s="14" t="s">
        <v>5014</v>
      </c>
      <c r="C201" s="16"/>
      <c r="D201" s="14" t="s">
        <v>5015</v>
      </c>
      <c r="E201" s="32"/>
      <c r="F201" s="24"/>
      <c r="G201" s="24"/>
      <c r="H201" s="24"/>
      <c r="I201" s="24"/>
      <c r="J201" s="24"/>
      <c r="K201" s="18">
        <f>HYPERLINK("https://app.hubspot.com/contacts/8748051/record/0-2/18302264238", 18302264238)</f>
        <v>18302264238</v>
      </c>
      <c r="L201" s="14" t="s">
        <v>5016</v>
      </c>
      <c r="M201" s="18" t="s">
        <v>5017</v>
      </c>
      <c r="N201" s="24"/>
      <c r="O201" s="24"/>
      <c r="P201" s="24"/>
      <c r="Q201" s="24"/>
      <c r="R201" s="24"/>
      <c r="S201" s="24" t="str">
        <f t="shared" ref="S201:U201" si="202">IF(E201&lt;&gt;"","Yes","")</f>
        <v/>
      </c>
      <c r="T201" s="24" t="str">
        <f t="shared" si="202"/>
        <v/>
      </c>
      <c r="U201" s="24" t="str">
        <f t="shared" si="202"/>
        <v/>
      </c>
      <c r="V201" s="24" t="str">
        <f t="shared" si="3"/>
        <v/>
      </c>
      <c r="W201" s="24" t="str">
        <f t="shared" si="4"/>
        <v/>
      </c>
    </row>
    <row r="202">
      <c r="A202" s="18">
        <f>HYPERLINK("https://app.hubspot.com/contacts/8748051/record/0-1/2285351", 2285351)</f>
        <v>2285351</v>
      </c>
      <c r="B202" s="14" t="s">
        <v>5018</v>
      </c>
      <c r="C202" s="16">
        <v>45980.18287037037</v>
      </c>
      <c r="D202" s="14"/>
      <c r="E202" s="32"/>
      <c r="F202" s="32"/>
      <c r="G202" s="32"/>
      <c r="H202" s="14" t="s">
        <v>5019</v>
      </c>
      <c r="I202" s="24"/>
      <c r="J202" s="24"/>
      <c r="K202" s="18">
        <f>HYPERLINK("https://app.hubspot.com/contacts/8748051/record/0-2/48907416970", 48907416970)</f>
        <v>48907416970</v>
      </c>
      <c r="L202" s="14" t="s">
        <v>3593</v>
      </c>
      <c r="M202" s="18" t="s">
        <v>4799</v>
      </c>
      <c r="N202" s="24"/>
      <c r="O202" s="14"/>
      <c r="P202" s="14"/>
      <c r="Q202" s="14"/>
      <c r="R202" s="14"/>
      <c r="S202" s="24" t="str">
        <f t="shared" ref="S202:U202" si="203">IF(E202&lt;&gt;"","Yes","")</f>
        <v/>
      </c>
      <c r="T202" s="24" t="str">
        <f t="shared" si="203"/>
        <v/>
      </c>
      <c r="U202" s="24" t="str">
        <f t="shared" si="203"/>
        <v/>
      </c>
      <c r="V202" s="24" t="str">
        <f t="shared" si="3"/>
        <v/>
      </c>
      <c r="W202" s="24" t="str">
        <f t="shared" si="4"/>
        <v/>
      </c>
    </row>
    <row r="203">
      <c r="A203" s="18">
        <f>HYPERLINK("https://app.hubspot.com/contacts/8748051/record/0-1/3214401", 3214401)</f>
        <v>3214401</v>
      </c>
      <c r="B203" s="14" t="s">
        <v>5020</v>
      </c>
      <c r="C203" s="16"/>
      <c r="D203" s="16"/>
      <c r="E203" s="32">
        <v>45461.0</v>
      </c>
      <c r="F203" s="32"/>
      <c r="G203" s="32"/>
      <c r="H203" s="24"/>
      <c r="I203" s="24"/>
      <c r="J203" s="24"/>
      <c r="K203" s="18">
        <f>HYPERLINK("https://app.hubspot.com/contacts/8748051/record/0-2/8923265838", 8923265838)</f>
        <v>8923265838</v>
      </c>
      <c r="L203" s="14" t="s">
        <v>5021</v>
      </c>
      <c r="M203" s="18" t="s">
        <v>5022</v>
      </c>
      <c r="N203" s="14"/>
      <c r="O203" s="14"/>
      <c r="P203" s="14"/>
      <c r="Q203" s="14"/>
      <c r="R203" s="14"/>
      <c r="S203" s="24" t="str">
        <f t="shared" ref="S203:U203" si="204">IF(E203&lt;&gt;"","Yes","")</f>
        <v>Yes</v>
      </c>
      <c r="T203" s="24" t="str">
        <f t="shared" si="204"/>
        <v/>
      </c>
      <c r="U203" s="24" t="str">
        <f t="shared" si="204"/>
        <v/>
      </c>
      <c r="V203" s="24" t="str">
        <f t="shared" si="3"/>
        <v/>
      </c>
      <c r="W203" s="24" t="str">
        <f t="shared" si="4"/>
        <v/>
      </c>
    </row>
    <row r="204">
      <c r="A204" s="18">
        <f>HYPERLINK("https://app.hubspot.com/contacts/8748051/record/0-1/3406501", 3406501)</f>
        <v>3406501</v>
      </c>
      <c r="B204" s="14" t="s">
        <v>5023</v>
      </c>
      <c r="C204" s="16"/>
      <c r="D204" s="14" t="s">
        <v>5024</v>
      </c>
      <c r="E204" s="32"/>
      <c r="F204" s="32"/>
      <c r="G204" s="32"/>
      <c r="H204" s="24"/>
      <c r="I204" s="24"/>
      <c r="J204" s="24"/>
      <c r="K204" s="18">
        <f>HYPERLINK("https://app.hubspot.com/contacts/8748051/record/0-2/7668097955", 7668097955)</f>
        <v>7668097955</v>
      </c>
      <c r="L204" s="18" t="s">
        <v>2391</v>
      </c>
      <c r="M204" s="18" t="s">
        <v>2392</v>
      </c>
      <c r="N204" s="24"/>
      <c r="O204" s="14"/>
      <c r="P204" s="14"/>
      <c r="Q204" s="14"/>
      <c r="R204" s="24"/>
      <c r="S204" s="24" t="str">
        <f t="shared" ref="S204:U204" si="205">IF(E204&lt;&gt;"","Yes","")</f>
        <v/>
      </c>
      <c r="T204" s="24" t="str">
        <f t="shared" si="205"/>
        <v/>
      </c>
      <c r="U204" s="24" t="str">
        <f t="shared" si="205"/>
        <v/>
      </c>
      <c r="V204" s="24" t="str">
        <f t="shared" si="3"/>
        <v/>
      </c>
      <c r="W204" s="24" t="str">
        <f t="shared" si="4"/>
        <v/>
      </c>
    </row>
    <row r="205">
      <c r="A205" s="18">
        <f>HYPERLINK("https://app.hubspot.com/contacts/8748051/record/0-1/3413201", 3413201)</f>
        <v>3413201</v>
      </c>
      <c r="B205" s="14" t="s">
        <v>5025</v>
      </c>
      <c r="C205" s="16"/>
      <c r="D205" s="14"/>
      <c r="E205" s="32">
        <v>45344.0</v>
      </c>
      <c r="F205" s="32">
        <v>45349.0</v>
      </c>
      <c r="G205" s="32">
        <v>45349.0</v>
      </c>
      <c r="H205" s="24"/>
      <c r="I205" s="24"/>
      <c r="J205" s="24"/>
      <c r="K205" s="18">
        <f>HYPERLINK("https://app.hubspot.com/contacts/8748051/record/0-2/19176716086", 19176716086)</f>
        <v>19176716086</v>
      </c>
      <c r="L205" s="14" t="s">
        <v>2176</v>
      </c>
      <c r="M205" s="18" t="s">
        <v>2177</v>
      </c>
      <c r="N205" s="23">
        <f>HYPERLINK("https://app.hubspot.com/contacts/8748051/record/0-3/17682026421", 17682026421)</f>
        <v>17682026421</v>
      </c>
      <c r="O205" s="14" t="s">
        <v>2175</v>
      </c>
      <c r="P205" s="14" t="s">
        <v>118</v>
      </c>
      <c r="Q205" s="14">
        <v>8500.0</v>
      </c>
      <c r="R205" s="24"/>
      <c r="S205" s="24" t="str">
        <f t="shared" ref="S205:U205" si="206">IF(E205&lt;&gt;"","Yes","")</f>
        <v>Yes</v>
      </c>
      <c r="T205" s="24" t="str">
        <f t="shared" si="206"/>
        <v>Yes</v>
      </c>
      <c r="U205" s="24" t="str">
        <f t="shared" si="206"/>
        <v>Yes</v>
      </c>
      <c r="V205" s="24" t="str">
        <f t="shared" si="3"/>
        <v/>
      </c>
      <c r="W205" s="24" t="str">
        <f t="shared" si="4"/>
        <v/>
      </c>
    </row>
    <row r="206">
      <c r="A206" s="18">
        <f>HYPERLINK("https://app.hubspot.com/contacts/8748051/record/0-1/3424601", 3424601)</f>
        <v>3424601</v>
      </c>
      <c r="B206" s="14" t="s">
        <v>5026</v>
      </c>
      <c r="C206" s="16"/>
      <c r="D206" s="14" t="s">
        <v>4248</v>
      </c>
      <c r="E206" s="32"/>
      <c r="F206" s="32"/>
      <c r="G206" s="32"/>
      <c r="H206" s="24"/>
      <c r="I206" s="24"/>
      <c r="J206" s="24"/>
      <c r="K206" s="18">
        <f>HYPERLINK("https://app.hubspot.com/contacts/8748051/record/0-2/19177041286", 19177041286)</f>
        <v>19177041286</v>
      </c>
      <c r="L206" s="14" t="s">
        <v>5027</v>
      </c>
      <c r="M206" s="18" t="s">
        <v>5028</v>
      </c>
      <c r="N206" s="14"/>
      <c r="O206" s="14"/>
      <c r="P206" s="14"/>
      <c r="Q206" s="14"/>
      <c r="R206" s="14"/>
      <c r="S206" s="24" t="str">
        <f t="shared" ref="S206:U206" si="207">IF(E206&lt;&gt;"","Yes","")</f>
        <v/>
      </c>
      <c r="T206" s="24" t="str">
        <f t="shared" si="207"/>
        <v/>
      </c>
      <c r="U206" s="24" t="str">
        <f t="shared" si="207"/>
        <v/>
      </c>
      <c r="V206" s="24" t="str">
        <f t="shared" si="3"/>
        <v/>
      </c>
      <c r="W206" s="24" t="str">
        <f t="shared" si="4"/>
        <v/>
      </c>
    </row>
    <row r="207">
      <c r="A207" s="18">
        <f>HYPERLINK("https://app.hubspot.com/contacts/8748051/record/0-1/3421701", 3421701)</f>
        <v>3421701</v>
      </c>
      <c r="B207" s="14" t="s">
        <v>5029</v>
      </c>
      <c r="C207" s="16"/>
      <c r="D207" s="16"/>
      <c r="E207" s="32">
        <v>45347.0</v>
      </c>
      <c r="F207" s="24"/>
      <c r="G207" s="32">
        <v>45364.0</v>
      </c>
      <c r="H207" s="24"/>
      <c r="I207" s="24"/>
      <c r="J207" s="24"/>
      <c r="K207" s="18">
        <f>HYPERLINK("https://app.hubspot.com/contacts/8748051/record/0-2/19176558462", 19176558462)</f>
        <v>19176558462</v>
      </c>
      <c r="L207" s="14" t="s">
        <v>2098</v>
      </c>
      <c r="M207" s="18" t="s">
        <v>2099</v>
      </c>
      <c r="N207" s="23">
        <f>HYPERLINK("https://app.hubspot.com/contacts/8748051/record/0-3/18014606995", 18014606995)</f>
        <v>18014606995</v>
      </c>
      <c r="O207" s="14" t="s">
        <v>2097</v>
      </c>
      <c r="P207" s="14" t="s">
        <v>118</v>
      </c>
      <c r="Q207" s="14">
        <v>1200.0</v>
      </c>
      <c r="R207" s="24"/>
      <c r="S207" s="24" t="str">
        <f t="shared" ref="S207:U207" si="208">IF(E207&lt;&gt;"","Yes","")</f>
        <v>Yes</v>
      </c>
      <c r="T207" s="24" t="str">
        <f t="shared" si="208"/>
        <v/>
      </c>
      <c r="U207" s="24" t="str">
        <f t="shared" si="208"/>
        <v>Yes</v>
      </c>
      <c r="V207" s="24" t="str">
        <f t="shared" si="3"/>
        <v/>
      </c>
      <c r="W207" s="24" t="str">
        <f t="shared" si="4"/>
        <v/>
      </c>
    </row>
    <row r="208">
      <c r="A208" s="18">
        <f>HYPERLINK("https://app.hubspot.com/contacts/8748051/record/0-1/3260951", 3260951)</f>
        <v>3260951</v>
      </c>
      <c r="B208" s="14" t="s">
        <v>5030</v>
      </c>
      <c r="C208" s="16"/>
      <c r="D208" s="16"/>
      <c r="E208" s="32">
        <v>45293.0</v>
      </c>
      <c r="F208" s="32"/>
      <c r="G208" s="32"/>
      <c r="H208" s="24"/>
      <c r="I208" s="24"/>
      <c r="J208" s="24"/>
      <c r="K208" s="18">
        <f>HYPERLINK("https://app.hubspot.com/contacts/8748051/record/0-2/18382825985", 18382825985)</f>
        <v>18382825985</v>
      </c>
      <c r="L208" s="14" t="s">
        <v>2369</v>
      </c>
      <c r="M208" s="18" t="s">
        <v>2370</v>
      </c>
      <c r="N208" s="18">
        <f>HYPERLINK("https://app.hubspot.com/contacts/8748051/record/0-3/16852846504", 16852846504)</f>
        <v>16852846504</v>
      </c>
      <c r="O208" s="14" t="s">
        <v>2368</v>
      </c>
      <c r="P208" s="14" t="s">
        <v>118</v>
      </c>
      <c r="Q208" s="14">
        <v>4000.0</v>
      </c>
      <c r="R208" s="14"/>
      <c r="S208" s="24" t="str">
        <f t="shared" ref="S208:U208" si="209">IF(E208&lt;&gt;"","Yes","")</f>
        <v>Yes</v>
      </c>
      <c r="T208" s="24" t="str">
        <f t="shared" si="209"/>
        <v/>
      </c>
      <c r="U208" s="24" t="str">
        <f t="shared" si="209"/>
        <v/>
      </c>
      <c r="V208" s="24" t="str">
        <f t="shared" si="3"/>
        <v/>
      </c>
      <c r="W208" s="24" t="str">
        <f t="shared" si="4"/>
        <v/>
      </c>
    </row>
    <row r="209">
      <c r="A209" s="18">
        <f>HYPERLINK("https://app.hubspot.com/contacts/8748051/record/0-1/3245201", 3245201)</f>
        <v>3245201</v>
      </c>
      <c r="B209" s="14" t="s">
        <v>5031</v>
      </c>
      <c r="C209" s="16"/>
      <c r="D209" s="16"/>
      <c r="E209" s="32">
        <v>45282.0</v>
      </c>
      <c r="F209" s="32">
        <v>45302.0</v>
      </c>
      <c r="G209" s="32">
        <v>45302.0</v>
      </c>
      <c r="H209" s="24"/>
      <c r="I209" s="24"/>
      <c r="J209" s="24"/>
      <c r="K209" s="18">
        <f>HYPERLINK("https://app.hubspot.com/contacts/8748051/record/0-2/16376165937", 16376165937)</f>
        <v>16376165937</v>
      </c>
      <c r="L209" s="14" t="s">
        <v>2352</v>
      </c>
      <c r="M209" s="18" t="s">
        <v>2353</v>
      </c>
      <c r="N209" s="23">
        <f>HYPERLINK("https://app.hubspot.com/contacts/8748051/record/0-3/16896494634", 16896494634)</f>
        <v>16896494634</v>
      </c>
      <c r="O209" s="14" t="s">
        <v>2350</v>
      </c>
      <c r="P209" s="14" t="s">
        <v>146</v>
      </c>
      <c r="Q209" s="14">
        <v>20000.0</v>
      </c>
      <c r="R209" s="14" t="b">
        <v>1</v>
      </c>
      <c r="S209" s="24" t="str">
        <f t="shared" ref="S209:U209" si="210">IF(E209&lt;&gt;"","Yes","")</f>
        <v>Yes</v>
      </c>
      <c r="T209" s="24" t="str">
        <f t="shared" si="210"/>
        <v>Yes</v>
      </c>
      <c r="U209" s="24" t="str">
        <f t="shared" si="210"/>
        <v>Yes</v>
      </c>
      <c r="V209" s="24" t="str">
        <f t="shared" si="3"/>
        <v/>
      </c>
      <c r="W209" s="24" t="str">
        <f t="shared" si="4"/>
        <v>Yes</v>
      </c>
    </row>
    <row r="210">
      <c r="A210" s="18">
        <f>HYPERLINK("https://app.hubspot.com/contacts/8748051/record/0-1/3442101", 3442101)</f>
        <v>3442101</v>
      </c>
      <c r="B210" s="14" t="s">
        <v>5032</v>
      </c>
      <c r="C210" s="16"/>
      <c r="D210" s="16"/>
      <c r="E210" s="32">
        <v>45351.0</v>
      </c>
      <c r="F210" s="32"/>
      <c r="G210" s="32"/>
      <c r="H210" s="24"/>
      <c r="I210" s="24"/>
      <c r="J210" s="24"/>
      <c r="K210" s="18">
        <f>HYPERLINK("https://app.hubspot.com/contacts/8748051/record/0-2/19176574829", 19176574829)</f>
        <v>19176574829</v>
      </c>
      <c r="L210" s="18" t="s">
        <v>5033</v>
      </c>
      <c r="M210" s="18" t="s">
        <v>5034</v>
      </c>
      <c r="N210" s="24"/>
      <c r="O210" s="14"/>
      <c r="P210" s="14"/>
      <c r="Q210" s="14"/>
      <c r="R210" s="14"/>
      <c r="S210" s="24" t="str">
        <f t="shared" ref="S210:U210" si="211">IF(E210&lt;&gt;"","Yes","")</f>
        <v>Yes</v>
      </c>
      <c r="T210" s="24" t="str">
        <f t="shared" si="211"/>
        <v/>
      </c>
      <c r="U210" s="24" t="str">
        <f t="shared" si="211"/>
        <v/>
      </c>
      <c r="V210" s="24" t="str">
        <f t="shared" si="3"/>
        <v/>
      </c>
      <c r="W210" s="24" t="str">
        <f t="shared" si="4"/>
        <v/>
      </c>
    </row>
    <row r="211">
      <c r="A211" s="18">
        <f>HYPERLINK("https://app.hubspot.com/contacts/8748051/record/0-1/3202251", 3202251)</f>
        <v>3202251</v>
      </c>
      <c r="B211" s="14" t="s">
        <v>5035</v>
      </c>
      <c r="C211" s="16"/>
      <c r="D211" s="16"/>
      <c r="E211" s="32">
        <v>45272.0</v>
      </c>
      <c r="F211" s="32"/>
      <c r="G211" s="32"/>
      <c r="H211" s="24"/>
      <c r="I211" s="24"/>
      <c r="J211" s="24"/>
      <c r="K211" s="18">
        <f>HYPERLINK("https://app.hubspot.com/contacts/8748051/record/0-2/9137340956", 9137340956)</f>
        <v>9137340956</v>
      </c>
      <c r="L211" s="14" t="s">
        <v>5036</v>
      </c>
      <c r="M211" s="18" t="s">
        <v>5037</v>
      </c>
      <c r="N211" s="24"/>
      <c r="O211" s="14"/>
      <c r="P211" s="14"/>
      <c r="Q211" s="14"/>
      <c r="R211" s="14"/>
      <c r="S211" s="24" t="str">
        <f t="shared" ref="S211:U211" si="212">IF(E211&lt;&gt;"","Yes","")</f>
        <v>Yes</v>
      </c>
      <c r="T211" s="24" t="str">
        <f t="shared" si="212"/>
        <v/>
      </c>
      <c r="U211" s="24" t="str">
        <f t="shared" si="212"/>
        <v/>
      </c>
      <c r="V211" s="24" t="str">
        <f t="shared" si="3"/>
        <v/>
      </c>
      <c r="W211" s="24" t="str">
        <f t="shared" si="4"/>
        <v/>
      </c>
    </row>
    <row r="212">
      <c r="A212" s="18">
        <f>HYPERLINK("https://app.hubspot.com/contacts/8748051/record/0-1/3246451", 3246451)</f>
        <v>3246451</v>
      </c>
      <c r="B212" s="14" t="s">
        <v>5038</v>
      </c>
      <c r="C212" s="16"/>
      <c r="D212" s="16"/>
      <c r="E212" s="32">
        <v>45284.0</v>
      </c>
      <c r="F212" s="24"/>
      <c r="G212" s="32">
        <v>45333.0</v>
      </c>
      <c r="H212" s="24"/>
      <c r="I212" s="24"/>
      <c r="J212" s="24"/>
      <c r="K212" s="18">
        <f>HYPERLINK("https://app.hubspot.com/contacts/8748051/record/0-2/33838053147", 33838053147)</f>
        <v>33838053147</v>
      </c>
      <c r="L212" s="14" t="s">
        <v>1681</v>
      </c>
      <c r="M212" s="18" t="s">
        <v>1682</v>
      </c>
      <c r="N212" s="18">
        <f>HYPERLINK("https://app.hubspot.com/contacts/8748051/record/0-3/19730622754", 19730622754)</f>
        <v>19730622754</v>
      </c>
      <c r="O212" s="14" t="s">
        <v>1680</v>
      </c>
      <c r="P212" s="14" t="s">
        <v>118</v>
      </c>
      <c r="Q212" s="14">
        <v>4560.0</v>
      </c>
      <c r="R212" s="14"/>
      <c r="S212" s="24" t="str">
        <f t="shared" ref="S212:U212" si="213">IF(E212&lt;&gt;"","Yes","")</f>
        <v>Yes</v>
      </c>
      <c r="T212" s="24" t="str">
        <f t="shared" si="213"/>
        <v/>
      </c>
      <c r="U212" s="24" t="str">
        <f t="shared" si="213"/>
        <v>Yes</v>
      </c>
      <c r="V212" s="24" t="str">
        <f t="shared" si="3"/>
        <v/>
      </c>
      <c r="W212" s="24" t="str">
        <f t="shared" si="4"/>
        <v/>
      </c>
    </row>
    <row r="213">
      <c r="A213" s="18">
        <f>HYPERLINK("https://app.hubspot.com/contacts/8748051/record/0-1/3340201", 3340201)</f>
        <v>3340201</v>
      </c>
      <c r="B213" s="14" t="s">
        <v>5039</v>
      </c>
      <c r="C213" s="16"/>
      <c r="D213" s="16"/>
      <c r="E213" s="32">
        <v>45322.0</v>
      </c>
      <c r="F213" s="32">
        <v>45327.0</v>
      </c>
      <c r="G213" s="32">
        <v>45327.0</v>
      </c>
      <c r="H213" s="24"/>
      <c r="I213" s="24"/>
      <c r="J213" s="24"/>
      <c r="K213" s="18">
        <f>HYPERLINK("https://app.hubspot.com/contacts/8748051/record/0-2/9091290424", 9091290424)</f>
        <v>9091290424</v>
      </c>
      <c r="L213" s="14" t="s">
        <v>2246</v>
      </c>
      <c r="M213" s="18" t="s">
        <v>2247</v>
      </c>
      <c r="N213" s="18">
        <f>HYPERLINK("https://app.hubspot.com/contacts/8748051/record/0-3/17364383095", 17364383095)</f>
        <v>17364383095</v>
      </c>
      <c r="O213" s="14" t="s">
        <v>2245</v>
      </c>
      <c r="P213" s="14" t="s">
        <v>118</v>
      </c>
      <c r="Q213" s="14">
        <v>202320.0</v>
      </c>
      <c r="R213" s="24"/>
      <c r="S213" s="24" t="str">
        <f t="shared" ref="S213:U213" si="214">IF(E213&lt;&gt;"","Yes","")</f>
        <v>Yes</v>
      </c>
      <c r="T213" s="24" t="str">
        <f t="shared" si="214"/>
        <v>Yes</v>
      </c>
      <c r="U213" s="24" t="str">
        <f t="shared" si="214"/>
        <v>Yes</v>
      </c>
      <c r="V213" s="24" t="str">
        <f t="shared" si="3"/>
        <v/>
      </c>
      <c r="W213" s="24" t="str">
        <f t="shared" si="4"/>
        <v/>
      </c>
    </row>
    <row r="214">
      <c r="A214" s="18">
        <f>HYPERLINK("https://app.hubspot.com/contacts/8748051/record/0-1/3217401", 3217401)</f>
        <v>3217401</v>
      </c>
      <c r="B214" s="14" t="s">
        <v>5040</v>
      </c>
      <c r="C214" s="16"/>
      <c r="D214" s="16"/>
      <c r="E214" s="32">
        <v>45275.0</v>
      </c>
      <c r="F214" s="32">
        <v>45279.0</v>
      </c>
      <c r="G214" s="32">
        <v>45279.0</v>
      </c>
      <c r="H214" s="24"/>
      <c r="I214" s="24"/>
      <c r="J214" s="24"/>
      <c r="K214" s="18">
        <f>HYPERLINK("https://app.hubspot.com/contacts/8748051/record/0-2/18432139818", 18432139818)</f>
        <v>18432139818</v>
      </c>
      <c r="L214" s="14" t="s">
        <v>2387</v>
      </c>
      <c r="M214" s="18" t="s">
        <v>2388</v>
      </c>
      <c r="N214" s="18">
        <f>HYPERLINK("https://app.hubspot.com/contacts/8748051/record/0-3/16580938278", 16580938278)</f>
        <v>16580938278</v>
      </c>
      <c r="O214" s="14" t="s">
        <v>2386</v>
      </c>
      <c r="P214" s="14" t="s">
        <v>118</v>
      </c>
      <c r="Q214" s="14">
        <v>2500.0</v>
      </c>
      <c r="R214" s="24"/>
      <c r="S214" s="24" t="str">
        <f t="shared" ref="S214:U214" si="215">IF(E214&lt;&gt;"","Yes","")</f>
        <v>Yes</v>
      </c>
      <c r="T214" s="24" t="str">
        <f t="shared" si="215"/>
        <v>Yes</v>
      </c>
      <c r="U214" s="24" t="str">
        <f t="shared" si="215"/>
        <v>Yes</v>
      </c>
      <c r="V214" s="24" t="str">
        <f t="shared" si="3"/>
        <v/>
      </c>
      <c r="W214" s="24" t="str">
        <f t="shared" si="4"/>
        <v/>
      </c>
    </row>
    <row r="215">
      <c r="A215" s="18">
        <f>HYPERLINK("https://app.hubspot.com/contacts/8748051/record/0-1/3286451", 3286451)</f>
        <v>3286451</v>
      </c>
      <c r="B215" s="14" t="s">
        <v>5041</v>
      </c>
      <c r="C215" s="16"/>
      <c r="D215" s="16"/>
      <c r="E215" s="32">
        <v>45303.0</v>
      </c>
      <c r="F215" s="32">
        <v>45309.0</v>
      </c>
      <c r="G215" s="32">
        <v>45309.0</v>
      </c>
      <c r="H215" s="24"/>
      <c r="I215" s="24"/>
      <c r="J215" s="24"/>
      <c r="K215" s="18">
        <f>HYPERLINK("https://app.hubspot.com/contacts/8748051/record/0-2/8929748773", 8929748773)</f>
        <v>8929748773</v>
      </c>
      <c r="L215" s="14" t="s">
        <v>2335</v>
      </c>
      <c r="M215" s="18" t="s">
        <v>2336</v>
      </c>
      <c r="N215" s="23">
        <f>HYPERLINK("https://app.hubspot.com/contacts/8748051/record/0-3/16975731980", 16975731980)</f>
        <v>16975731980</v>
      </c>
      <c r="O215" s="14" t="s">
        <v>2334</v>
      </c>
      <c r="P215" s="14" t="s">
        <v>124</v>
      </c>
      <c r="Q215" s="14">
        <v>36000.0</v>
      </c>
      <c r="R215" s="14" t="b">
        <v>1</v>
      </c>
      <c r="S215" s="24" t="str">
        <f t="shared" ref="S215:U215" si="216">IF(E215&lt;&gt;"","Yes","")</f>
        <v>Yes</v>
      </c>
      <c r="T215" s="24" t="str">
        <f t="shared" si="216"/>
        <v>Yes</v>
      </c>
      <c r="U215" s="24" t="str">
        <f t="shared" si="216"/>
        <v>Yes</v>
      </c>
      <c r="V215" s="24" t="str">
        <f t="shared" si="3"/>
        <v/>
      </c>
      <c r="W215" s="24" t="str">
        <f t="shared" si="4"/>
        <v/>
      </c>
    </row>
    <row r="216">
      <c r="A216" s="18">
        <f>HYPERLINK("https://app.hubspot.com/contacts/8748051/record/0-1/3222601", 3222601)</f>
        <v>3222601</v>
      </c>
      <c r="B216" s="14" t="s">
        <v>5042</v>
      </c>
      <c r="C216" s="16"/>
      <c r="D216" s="16"/>
      <c r="E216" s="32">
        <v>45278.0</v>
      </c>
      <c r="F216" s="32"/>
      <c r="G216" s="32"/>
      <c r="H216" s="24"/>
      <c r="I216" s="24"/>
      <c r="J216" s="24"/>
      <c r="K216" s="18">
        <f>HYPERLINK("https://app.hubspot.com/contacts/8748051/record/0-2/7514685489", 7514685489)</f>
        <v>7514685489</v>
      </c>
      <c r="L216" s="14" t="s">
        <v>2412</v>
      </c>
      <c r="M216" s="18" t="s">
        <v>2413</v>
      </c>
      <c r="N216" s="24"/>
      <c r="O216" s="14"/>
      <c r="P216" s="14"/>
      <c r="Q216" s="14"/>
      <c r="R216" s="14"/>
      <c r="S216" s="24" t="str">
        <f t="shared" ref="S216:U216" si="217">IF(E216&lt;&gt;"","Yes","")</f>
        <v>Yes</v>
      </c>
      <c r="T216" s="24" t="str">
        <f t="shared" si="217"/>
        <v/>
      </c>
      <c r="U216" s="24" t="str">
        <f t="shared" si="217"/>
        <v/>
      </c>
      <c r="V216" s="24" t="str">
        <f t="shared" si="3"/>
        <v/>
      </c>
      <c r="W216" s="24" t="str">
        <f t="shared" si="4"/>
        <v/>
      </c>
    </row>
    <row r="217">
      <c r="A217" s="18">
        <f>HYPERLINK("https://app.hubspot.com/contacts/8748051/record/0-1/3427601", 3427601)</f>
        <v>3427601</v>
      </c>
      <c r="B217" s="14" t="s">
        <v>5043</v>
      </c>
      <c r="C217" s="16"/>
      <c r="D217" s="16"/>
      <c r="E217" s="32">
        <v>45425.0</v>
      </c>
      <c r="F217" s="32"/>
      <c r="G217" s="32"/>
      <c r="H217" s="24"/>
      <c r="I217" s="24"/>
      <c r="J217" s="24"/>
      <c r="K217" s="18">
        <f>HYPERLINK("https://app.hubspot.com/contacts/8748051/record/0-2/9186963101", 9186963101)</f>
        <v>9186963101</v>
      </c>
      <c r="L217" s="14" t="s">
        <v>5044</v>
      </c>
      <c r="M217" s="18" t="s">
        <v>5045</v>
      </c>
      <c r="N217" s="14"/>
      <c r="O217" s="14"/>
      <c r="P217" s="14"/>
      <c r="Q217" s="14"/>
      <c r="R217" s="14"/>
      <c r="S217" s="24" t="str">
        <f t="shared" ref="S217:U217" si="218">IF(E217&lt;&gt;"","Yes","")</f>
        <v>Yes</v>
      </c>
      <c r="T217" s="24" t="str">
        <f t="shared" si="218"/>
        <v/>
      </c>
      <c r="U217" s="24" t="str">
        <f t="shared" si="218"/>
        <v/>
      </c>
      <c r="V217" s="24" t="str">
        <f t="shared" si="3"/>
        <v/>
      </c>
      <c r="W217" s="24" t="str">
        <f t="shared" si="4"/>
        <v/>
      </c>
    </row>
    <row r="218">
      <c r="A218" s="18">
        <f>HYPERLINK("https://app.hubspot.com/contacts/8748051/record/0-1/3242351", 3242351)</f>
        <v>3242351</v>
      </c>
      <c r="B218" s="14" t="s">
        <v>5046</v>
      </c>
      <c r="C218" s="16"/>
      <c r="D218" s="14" t="s">
        <v>5047</v>
      </c>
      <c r="E218" s="32"/>
      <c r="F218" s="32"/>
      <c r="G218" s="32"/>
      <c r="H218" s="24"/>
      <c r="I218" s="24"/>
      <c r="J218" s="24"/>
      <c r="K218" s="18">
        <f>HYPERLINK("https://app.hubspot.com/contacts/8748051/record/0-2/18491051686", 18491051686)</f>
        <v>18491051686</v>
      </c>
      <c r="L218" s="14" t="s">
        <v>5048</v>
      </c>
      <c r="M218" s="18" t="s">
        <v>5049</v>
      </c>
      <c r="N218" s="14"/>
      <c r="O218" s="14"/>
      <c r="P218" s="14"/>
      <c r="Q218" s="14"/>
      <c r="R218" s="14"/>
      <c r="S218" s="24" t="str">
        <f t="shared" ref="S218:U218" si="219">IF(E218&lt;&gt;"","Yes","")</f>
        <v/>
      </c>
      <c r="T218" s="24" t="str">
        <f t="shared" si="219"/>
        <v/>
      </c>
      <c r="U218" s="24" t="str">
        <f t="shared" si="219"/>
        <v/>
      </c>
      <c r="V218" s="24" t="str">
        <f t="shared" si="3"/>
        <v/>
      </c>
      <c r="W218" s="24" t="str">
        <f t="shared" si="4"/>
        <v/>
      </c>
    </row>
    <row r="219">
      <c r="A219" s="18">
        <f>HYPERLINK("https://app.hubspot.com/contacts/8748051/record/0-1/3394201", 3394201)</f>
        <v>3394201</v>
      </c>
      <c r="B219" s="14" t="s">
        <v>5050</v>
      </c>
      <c r="C219" s="16"/>
      <c r="D219" s="14"/>
      <c r="E219" s="32">
        <v>45338.0</v>
      </c>
      <c r="F219" s="32">
        <v>45348.0</v>
      </c>
      <c r="G219" s="32">
        <v>45348.0</v>
      </c>
      <c r="H219" s="24"/>
      <c r="I219" s="24"/>
      <c r="J219" s="24"/>
      <c r="K219" s="18">
        <f>HYPERLINK("https://app.hubspot.com/contacts/8748051/record/0-2/7924223543", 7924223543)</f>
        <v>7924223543</v>
      </c>
      <c r="L219" s="14" t="s">
        <v>2212</v>
      </c>
      <c r="M219" s="18" t="s">
        <v>2213</v>
      </c>
      <c r="N219" s="23">
        <f>HYPERLINK("https://app.hubspot.com/contacts/8748051/record/0-3/17584736025", 17584736025)</f>
        <v>17584736025</v>
      </c>
      <c r="O219" s="14" t="s">
        <v>2211</v>
      </c>
      <c r="P219" s="14" t="s">
        <v>124</v>
      </c>
      <c r="Q219" s="14">
        <v>30000.0</v>
      </c>
      <c r="R219" s="14" t="b">
        <v>1</v>
      </c>
      <c r="S219" s="24" t="str">
        <f t="shared" ref="S219:U219" si="220">IF(E219&lt;&gt;"","Yes","")</f>
        <v>Yes</v>
      </c>
      <c r="T219" s="24" t="str">
        <f t="shared" si="220"/>
        <v>Yes</v>
      </c>
      <c r="U219" s="24" t="str">
        <f t="shared" si="220"/>
        <v>Yes</v>
      </c>
      <c r="V219" s="24" t="str">
        <f t="shared" si="3"/>
        <v/>
      </c>
      <c r="W219" s="24" t="str">
        <f t="shared" si="4"/>
        <v/>
      </c>
    </row>
    <row r="220">
      <c r="A220" s="18">
        <f>HYPERLINK("https://app.hubspot.com/contacts/8748051/record/0-1/3351751", 3351751)</f>
        <v>3351751</v>
      </c>
      <c r="B220" s="14" t="s">
        <v>5051</v>
      </c>
      <c r="C220" s="16"/>
      <c r="D220" s="14"/>
      <c r="E220" s="32">
        <v>45325.0</v>
      </c>
      <c r="F220" s="32"/>
      <c r="G220" s="32"/>
      <c r="H220" s="24"/>
      <c r="I220" s="24"/>
      <c r="J220" s="24"/>
      <c r="K220" s="18">
        <f>HYPERLINK("https://app.hubspot.com/contacts/8748051/record/0-2/9238324060", 9238324060)</f>
        <v>9238324060</v>
      </c>
      <c r="L220" s="14" t="s">
        <v>5052</v>
      </c>
      <c r="M220" s="18" t="s">
        <v>5053</v>
      </c>
      <c r="N220" s="14"/>
      <c r="O220" s="14"/>
      <c r="P220" s="14"/>
      <c r="Q220" s="14"/>
      <c r="R220" s="14"/>
      <c r="S220" s="24" t="str">
        <f t="shared" ref="S220:U220" si="221">IF(E220&lt;&gt;"","Yes","")</f>
        <v>Yes</v>
      </c>
      <c r="T220" s="24" t="str">
        <f t="shared" si="221"/>
        <v/>
      </c>
      <c r="U220" s="24" t="str">
        <f t="shared" si="221"/>
        <v/>
      </c>
      <c r="V220" s="24" t="str">
        <f t="shared" si="3"/>
        <v/>
      </c>
      <c r="W220" s="24" t="str">
        <f t="shared" si="4"/>
        <v/>
      </c>
    </row>
    <row r="221">
      <c r="A221" s="18">
        <f>HYPERLINK("https://app.hubspot.com/contacts/8748051/record/0-1/3336301", 3336301)</f>
        <v>3336301</v>
      </c>
      <c r="B221" s="14" t="s">
        <v>5054</v>
      </c>
      <c r="C221" s="16"/>
      <c r="D221" s="14"/>
      <c r="E221" s="32">
        <v>45321.0</v>
      </c>
      <c r="F221" s="32"/>
      <c r="G221" s="32"/>
      <c r="H221" s="24"/>
      <c r="I221" s="24"/>
      <c r="J221" s="24"/>
      <c r="K221" s="18">
        <f>HYPERLINK("https://app.hubspot.com/contacts/8748051/record/0-2/7668572303", 7668572303)</f>
        <v>7668572303</v>
      </c>
      <c r="L221" s="14" t="s">
        <v>5055</v>
      </c>
      <c r="M221" s="18" t="s">
        <v>5056</v>
      </c>
      <c r="N221" s="14"/>
      <c r="O221" s="14"/>
      <c r="P221" s="14"/>
      <c r="Q221" s="14"/>
      <c r="R221" s="24"/>
      <c r="S221" s="24" t="str">
        <f t="shared" ref="S221:U221" si="222">IF(E221&lt;&gt;"","Yes","")</f>
        <v>Yes</v>
      </c>
      <c r="T221" s="24" t="str">
        <f t="shared" si="222"/>
        <v/>
      </c>
      <c r="U221" s="24" t="str">
        <f t="shared" si="222"/>
        <v/>
      </c>
      <c r="V221" s="24" t="str">
        <f t="shared" si="3"/>
        <v/>
      </c>
      <c r="W221" s="24" t="str">
        <f t="shared" si="4"/>
        <v/>
      </c>
    </row>
    <row r="222">
      <c r="A222" s="18">
        <f>HYPERLINK("https://app.hubspot.com/contacts/8748051/record/0-1/3203751", 3203751)</f>
        <v>3203751</v>
      </c>
      <c r="B222" s="14" t="s">
        <v>5057</v>
      </c>
      <c r="C222" s="16"/>
      <c r="D222" s="16"/>
      <c r="E222" s="32">
        <v>45273.0</v>
      </c>
      <c r="F222" s="32"/>
      <c r="G222" s="32">
        <v>45275.0</v>
      </c>
      <c r="H222" s="24"/>
      <c r="I222" s="24"/>
      <c r="J222" s="24"/>
      <c r="K222" s="18">
        <f>HYPERLINK("https://app.hubspot.com/contacts/8748051/record/0-2/15483714669", 15483714669)</f>
        <v>15483714669</v>
      </c>
      <c r="L222" s="14" t="s">
        <v>2402</v>
      </c>
      <c r="M222" s="18" t="s">
        <v>2403</v>
      </c>
      <c r="N222" s="23">
        <f>HYPERLINK("https://app.hubspot.com/contacts/8748051/record/0-3/16533455668", 16533455668)</f>
        <v>16533455668</v>
      </c>
      <c r="O222" s="14" t="s">
        <v>2401</v>
      </c>
      <c r="P222" s="14" t="s">
        <v>118</v>
      </c>
      <c r="Q222" s="14">
        <v>100000.0</v>
      </c>
      <c r="R222" s="24"/>
      <c r="S222" s="24" t="str">
        <f t="shared" ref="S222:U222" si="223">IF(E222&lt;&gt;"","Yes","")</f>
        <v>Yes</v>
      </c>
      <c r="T222" s="24" t="str">
        <f t="shared" si="223"/>
        <v/>
      </c>
      <c r="U222" s="24" t="str">
        <f t="shared" si="223"/>
        <v>Yes</v>
      </c>
      <c r="V222" s="24" t="str">
        <f t="shared" si="3"/>
        <v/>
      </c>
      <c r="W222" s="24" t="str">
        <f t="shared" si="4"/>
        <v/>
      </c>
    </row>
    <row r="223">
      <c r="A223" s="18">
        <f>HYPERLINK("https://app.hubspot.com/contacts/8748051/record/0-1/3423001", 3423001)</f>
        <v>3423001</v>
      </c>
      <c r="B223" s="14" t="s">
        <v>5058</v>
      </c>
      <c r="C223" s="16"/>
      <c r="D223" s="14"/>
      <c r="E223" s="32">
        <v>45348.0</v>
      </c>
      <c r="F223" s="32"/>
      <c r="G223" s="32"/>
      <c r="H223" s="24"/>
      <c r="I223" s="24"/>
      <c r="J223" s="24"/>
      <c r="K223" s="18">
        <f>HYPERLINK("https://app.hubspot.com/contacts/8748051/record/0-2/19176687487", 19176687487)</f>
        <v>19176687487</v>
      </c>
      <c r="L223" s="14" t="s">
        <v>5059</v>
      </c>
      <c r="M223" s="18" t="s">
        <v>5060</v>
      </c>
      <c r="N223" s="14"/>
      <c r="O223" s="14"/>
      <c r="P223" s="14"/>
      <c r="Q223" s="14"/>
      <c r="R223" s="24"/>
      <c r="S223" s="24" t="str">
        <f t="shared" ref="S223:U223" si="224">IF(E223&lt;&gt;"","Yes","")</f>
        <v>Yes</v>
      </c>
      <c r="T223" s="24" t="str">
        <f t="shared" si="224"/>
        <v/>
      </c>
      <c r="U223" s="24" t="str">
        <f t="shared" si="224"/>
        <v/>
      </c>
      <c r="V223" s="24" t="str">
        <f t="shared" si="3"/>
        <v/>
      </c>
      <c r="W223" s="24" t="str">
        <f t="shared" si="4"/>
        <v/>
      </c>
    </row>
    <row r="224">
      <c r="A224" s="18">
        <f>HYPERLINK("https://app.hubspot.com/contacts/8748051/record/0-1/3368551", 3368551)</f>
        <v>3368551</v>
      </c>
      <c r="B224" s="14" t="s">
        <v>5061</v>
      </c>
      <c r="C224" s="16"/>
      <c r="D224" s="14" t="s">
        <v>5062</v>
      </c>
      <c r="E224" s="32"/>
      <c r="F224" s="32"/>
      <c r="G224" s="32"/>
      <c r="H224" s="24"/>
      <c r="I224" s="24"/>
      <c r="J224" s="24"/>
      <c r="K224" s="18">
        <f>HYPERLINK("https://app.hubspot.com/contacts/8748051/record/0-2/9238257163", 9238257163)</f>
        <v>9238257163</v>
      </c>
      <c r="L224" s="14" t="s">
        <v>5063</v>
      </c>
      <c r="M224" s="18" t="s">
        <v>5064</v>
      </c>
      <c r="N224" s="14"/>
      <c r="O224" s="14"/>
      <c r="P224" s="14"/>
      <c r="Q224" s="14"/>
      <c r="R224" s="14"/>
      <c r="S224" s="24" t="str">
        <f t="shared" ref="S224:U224" si="225">IF(E224&lt;&gt;"","Yes","")</f>
        <v/>
      </c>
      <c r="T224" s="24" t="str">
        <f t="shared" si="225"/>
        <v/>
      </c>
      <c r="U224" s="24" t="str">
        <f t="shared" si="225"/>
        <v/>
      </c>
      <c r="V224" s="24" t="str">
        <f t="shared" si="3"/>
        <v/>
      </c>
      <c r="W224" s="24" t="str">
        <f t="shared" si="4"/>
        <v/>
      </c>
    </row>
    <row r="225">
      <c r="A225" s="18">
        <f>HYPERLINK("https://app.hubspot.com/contacts/8748051/record/0-1/3412301", 3412301)</f>
        <v>3412301</v>
      </c>
      <c r="B225" s="14" t="s">
        <v>5065</v>
      </c>
      <c r="C225" s="16"/>
      <c r="D225" s="14"/>
      <c r="E225" s="32">
        <v>45405.0</v>
      </c>
      <c r="F225" s="32">
        <v>45413.0</v>
      </c>
      <c r="G225" s="32">
        <v>45413.0</v>
      </c>
      <c r="H225" s="24"/>
      <c r="I225" s="24"/>
      <c r="J225" s="24"/>
      <c r="K225" s="18">
        <f>HYPERLINK("https://app.hubspot.com/contacts/8748051/record/0-2/16066097808", 16066097808)</f>
        <v>16066097808</v>
      </c>
      <c r="L225" s="14" t="s">
        <v>1822</v>
      </c>
      <c r="M225" s="14" t="s">
        <v>1823</v>
      </c>
      <c r="N225" s="18">
        <f>HYPERLINK("https://app.hubspot.com/contacts/8748051/record/0-3/18967322425", 18967322425)</f>
        <v>18967322425</v>
      </c>
      <c r="O225" s="14" t="s">
        <v>1821</v>
      </c>
      <c r="P225" s="14" t="s">
        <v>118</v>
      </c>
      <c r="Q225" s="14">
        <v>7920.0</v>
      </c>
      <c r="R225" s="24"/>
      <c r="S225" s="24" t="str">
        <f t="shared" ref="S225:U225" si="226">IF(E225&lt;&gt;"","Yes","")</f>
        <v>Yes</v>
      </c>
      <c r="T225" s="24" t="str">
        <f t="shared" si="226"/>
        <v>Yes</v>
      </c>
      <c r="U225" s="24" t="str">
        <f t="shared" si="226"/>
        <v>Yes</v>
      </c>
      <c r="V225" s="24" t="str">
        <f t="shared" si="3"/>
        <v/>
      </c>
      <c r="W225" s="24" t="str">
        <f t="shared" si="4"/>
        <v/>
      </c>
    </row>
    <row r="226">
      <c r="A226" s="18">
        <f>HYPERLINK("https://app.hubspot.com/contacts/8748051/record/0-1/3488851", 3488851)</f>
        <v>3488851</v>
      </c>
      <c r="B226" s="14" t="s">
        <v>5066</v>
      </c>
      <c r="C226" s="16"/>
      <c r="D226" s="14"/>
      <c r="E226" s="32">
        <v>45359.0</v>
      </c>
      <c r="F226" s="32">
        <v>45363.0</v>
      </c>
      <c r="G226" s="32">
        <v>45363.0</v>
      </c>
      <c r="H226" s="24"/>
      <c r="I226" s="24"/>
      <c r="J226" s="24"/>
      <c r="K226" s="18">
        <f>HYPERLINK("https://app.hubspot.com/contacts/8748051/record/0-2/9960253283", 9960253283)</f>
        <v>9960253283</v>
      </c>
      <c r="L226" s="14" t="s">
        <v>743</v>
      </c>
      <c r="M226" s="18" t="s">
        <v>744</v>
      </c>
      <c r="N226" s="18">
        <f>HYPERLINK("https://app.hubspot.com/contacts/8748051/record/0-3/17975800861", 17975800861)</f>
        <v>17975800861</v>
      </c>
      <c r="O226" s="14" t="s">
        <v>2123</v>
      </c>
      <c r="P226" s="14" t="s">
        <v>118</v>
      </c>
      <c r="Q226" s="14">
        <v>67200.0</v>
      </c>
      <c r="R226" s="14"/>
      <c r="S226" s="24" t="str">
        <f t="shared" ref="S226:U226" si="227">IF(E226&lt;&gt;"","Yes","")</f>
        <v>Yes</v>
      </c>
      <c r="T226" s="24" t="str">
        <f t="shared" si="227"/>
        <v>Yes</v>
      </c>
      <c r="U226" s="24" t="str">
        <f t="shared" si="227"/>
        <v>Yes</v>
      </c>
      <c r="V226" s="24" t="str">
        <f t="shared" si="3"/>
        <v/>
      </c>
      <c r="W226" s="24" t="str">
        <f t="shared" si="4"/>
        <v/>
      </c>
    </row>
    <row r="227">
      <c r="A227" s="18">
        <f>HYPERLINK("https://app.hubspot.com/contacts/8748051/record/0-1/3304251", 3304251)</f>
        <v>3304251</v>
      </c>
      <c r="B227" s="14" t="s">
        <v>5067</v>
      </c>
      <c r="C227" s="16"/>
      <c r="D227" s="14"/>
      <c r="E227" s="32">
        <v>45309.0</v>
      </c>
      <c r="F227" s="32"/>
      <c r="G227" s="32"/>
      <c r="H227" s="14"/>
      <c r="I227" s="14"/>
      <c r="J227" s="14"/>
      <c r="K227" s="18">
        <f>HYPERLINK("https://app.hubspot.com/contacts/8748051/record/0-2/9186947976", 9186947976)</f>
        <v>9186947976</v>
      </c>
      <c r="L227" s="14" t="s">
        <v>5068</v>
      </c>
      <c r="M227" s="18" t="s">
        <v>5069</v>
      </c>
      <c r="N227" s="14"/>
      <c r="O227" s="14"/>
      <c r="P227" s="14"/>
      <c r="Q227" s="14"/>
      <c r="R227" s="24"/>
      <c r="S227" s="24" t="str">
        <f t="shared" ref="S227:U227" si="228">IF(E227&lt;&gt;"","Yes","")</f>
        <v>Yes</v>
      </c>
      <c r="T227" s="24" t="str">
        <f t="shared" si="228"/>
        <v/>
      </c>
      <c r="U227" s="24" t="str">
        <f t="shared" si="228"/>
        <v/>
      </c>
      <c r="V227" s="24" t="str">
        <f t="shared" si="3"/>
        <v/>
      </c>
      <c r="W227" s="24" t="str">
        <f t="shared" si="4"/>
        <v/>
      </c>
    </row>
    <row r="228">
      <c r="A228" s="18">
        <f>HYPERLINK("https://app.hubspot.com/contacts/8748051/record/0-1/3472901", 3472901)</f>
        <v>3472901</v>
      </c>
      <c r="B228" s="14" t="s">
        <v>5070</v>
      </c>
      <c r="C228" s="16"/>
      <c r="D228" s="16"/>
      <c r="E228" s="32">
        <v>45383.0</v>
      </c>
      <c r="F228" s="32"/>
      <c r="G228" s="32"/>
      <c r="H228" s="24"/>
      <c r="I228" s="24"/>
      <c r="J228" s="24"/>
      <c r="K228" s="18">
        <f>HYPERLINK("https://app.hubspot.com/contacts/8748051/record/0-2/9793712736", 9793712736)</f>
        <v>9793712736</v>
      </c>
      <c r="L228" s="14" t="s">
        <v>5071</v>
      </c>
      <c r="M228" s="18" t="s">
        <v>5072</v>
      </c>
      <c r="N228" s="24"/>
      <c r="O228" s="14"/>
      <c r="P228" s="14"/>
      <c r="Q228" s="14"/>
      <c r="R228" s="24"/>
      <c r="S228" s="24" t="str">
        <f t="shared" ref="S228:U228" si="229">IF(E228&lt;&gt;"","Yes","")</f>
        <v>Yes</v>
      </c>
      <c r="T228" s="24" t="str">
        <f t="shared" si="229"/>
        <v/>
      </c>
      <c r="U228" s="24" t="str">
        <f t="shared" si="229"/>
        <v/>
      </c>
      <c r="V228" s="24" t="str">
        <f t="shared" si="3"/>
        <v/>
      </c>
      <c r="W228" s="24" t="str">
        <f t="shared" si="4"/>
        <v/>
      </c>
    </row>
    <row r="229">
      <c r="A229" s="18">
        <f>HYPERLINK("https://app.hubspot.com/contacts/8748051/record/0-1/3308751", 3308751)</f>
        <v>3308751</v>
      </c>
      <c r="B229" s="14" t="s">
        <v>5073</v>
      </c>
      <c r="C229" s="16"/>
      <c r="D229" s="14"/>
      <c r="E229" s="32">
        <v>45311.0</v>
      </c>
      <c r="F229" s="32">
        <v>45317.0</v>
      </c>
      <c r="G229" s="32">
        <v>45317.0</v>
      </c>
      <c r="H229" s="24"/>
      <c r="I229" s="24"/>
      <c r="J229" s="24"/>
      <c r="K229" s="18">
        <f>HYPERLINK("https://app.hubspot.com/contacts/8748051/record/0-2/6266140957", 6266140957)</f>
        <v>6266140957</v>
      </c>
      <c r="L229" s="14" t="s">
        <v>2281</v>
      </c>
      <c r="M229" s="18" t="s">
        <v>2282</v>
      </c>
      <c r="N229" s="18">
        <f>HYPERLINK("https://app.hubspot.com/contacts/8748051/record/0-3/17244404402", 17244404402)</f>
        <v>17244404402</v>
      </c>
      <c r="O229" s="14" t="s">
        <v>2280</v>
      </c>
      <c r="P229" s="14" t="s">
        <v>118</v>
      </c>
      <c r="Q229" s="14">
        <v>22000.0</v>
      </c>
      <c r="R229" s="14"/>
      <c r="S229" s="24" t="str">
        <f t="shared" ref="S229:U229" si="230">IF(E229&lt;&gt;"","Yes","")</f>
        <v>Yes</v>
      </c>
      <c r="T229" s="24" t="str">
        <f t="shared" si="230"/>
        <v>Yes</v>
      </c>
      <c r="U229" s="24" t="str">
        <f t="shared" si="230"/>
        <v>Yes</v>
      </c>
      <c r="V229" s="24" t="str">
        <f t="shared" si="3"/>
        <v/>
      </c>
      <c r="W229" s="24" t="str">
        <f t="shared" si="4"/>
        <v/>
      </c>
    </row>
    <row r="230">
      <c r="A230" s="18">
        <f>HYPERLINK("https://app.hubspot.com/contacts/8748051/record/0-1/3215001", 3215001)</f>
        <v>3215001</v>
      </c>
      <c r="B230" s="14" t="s">
        <v>5074</v>
      </c>
      <c r="C230" s="16"/>
      <c r="D230" s="14"/>
      <c r="E230" s="32">
        <v>45384.0</v>
      </c>
      <c r="F230" s="32"/>
      <c r="G230" s="32"/>
      <c r="H230" s="24"/>
      <c r="I230" s="24"/>
      <c r="J230" s="24"/>
      <c r="K230" s="18">
        <f>HYPERLINK("https://app.hubspot.com/contacts/8748051/record/0-2/9069658935", 9069658935)</f>
        <v>9069658935</v>
      </c>
      <c r="L230" s="14" t="s">
        <v>5075</v>
      </c>
      <c r="M230" s="18" t="s">
        <v>5076</v>
      </c>
      <c r="N230" s="24"/>
      <c r="O230" s="14"/>
      <c r="P230" s="14"/>
      <c r="Q230" s="14"/>
      <c r="R230" s="24"/>
      <c r="S230" s="24" t="str">
        <f t="shared" ref="S230:U230" si="231">IF(E230&lt;&gt;"","Yes","")</f>
        <v>Yes</v>
      </c>
      <c r="T230" s="24" t="str">
        <f t="shared" si="231"/>
        <v/>
      </c>
      <c r="U230" s="24" t="str">
        <f t="shared" si="231"/>
        <v/>
      </c>
      <c r="V230" s="24" t="str">
        <f t="shared" si="3"/>
        <v/>
      </c>
      <c r="W230" s="24" t="str">
        <f t="shared" si="4"/>
        <v/>
      </c>
    </row>
    <row r="231">
      <c r="A231" s="18">
        <f>HYPERLINK("https://app.hubspot.com/contacts/8748051/record/0-1/3234651", 3234651)</f>
        <v>3234651</v>
      </c>
      <c r="B231" s="14" t="s">
        <v>5077</v>
      </c>
      <c r="C231" s="16"/>
      <c r="D231" s="16"/>
      <c r="E231" s="32">
        <v>45280.0</v>
      </c>
      <c r="F231" s="32"/>
      <c r="G231" s="32"/>
      <c r="H231" s="24"/>
      <c r="I231" s="24"/>
      <c r="J231" s="24"/>
      <c r="K231" s="18">
        <f>HYPERLINK("https://app.hubspot.com/contacts/8748051/record/0-2/9238290024", 9238290024)</f>
        <v>9238290024</v>
      </c>
      <c r="L231" s="14" t="s">
        <v>5078</v>
      </c>
      <c r="M231" s="18" t="s">
        <v>5079</v>
      </c>
      <c r="N231" s="14"/>
      <c r="O231" s="14"/>
      <c r="P231" s="14"/>
      <c r="Q231" s="14"/>
      <c r="R231" s="24"/>
      <c r="S231" s="24" t="str">
        <f t="shared" ref="S231:U231" si="232">IF(E231&lt;&gt;"","Yes","")</f>
        <v>Yes</v>
      </c>
      <c r="T231" s="24" t="str">
        <f t="shared" si="232"/>
        <v/>
      </c>
      <c r="U231" s="24" t="str">
        <f t="shared" si="232"/>
        <v/>
      </c>
      <c r="V231" s="24" t="str">
        <f t="shared" si="3"/>
        <v/>
      </c>
      <c r="W231" s="24" t="str">
        <f t="shared" si="4"/>
        <v/>
      </c>
    </row>
    <row r="232">
      <c r="A232" s="18">
        <f>HYPERLINK("https://app.hubspot.com/contacts/8748051/record/0-1/3232451", 3232451)</f>
        <v>3232451</v>
      </c>
      <c r="B232" s="14" t="s">
        <v>5080</v>
      </c>
      <c r="C232" s="16"/>
      <c r="D232" s="16"/>
      <c r="E232" s="32">
        <v>45280.0</v>
      </c>
      <c r="F232" s="32">
        <v>45281.0</v>
      </c>
      <c r="G232" s="32">
        <v>45281.0</v>
      </c>
      <c r="H232" s="24"/>
      <c r="I232" s="24"/>
      <c r="J232" s="24"/>
      <c r="K232" s="18">
        <f>HYPERLINK("https://app.hubspot.com/contacts/8748051/record/0-2/18382682273", 18382682273)</f>
        <v>18382682273</v>
      </c>
      <c r="L232" s="14" t="s">
        <v>2378</v>
      </c>
      <c r="M232" s="18" t="s">
        <v>2379</v>
      </c>
      <c r="N232" s="18">
        <f>HYPERLINK("https://app.hubspot.com/contacts/8748051/record/0-3/16619969863", 16619969863)</f>
        <v>16619969863</v>
      </c>
      <c r="O232" s="14" t="s">
        <v>2377</v>
      </c>
      <c r="P232" s="14" t="s">
        <v>118</v>
      </c>
      <c r="Q232" s="14">
        <v>26160.0</v>
      </c>
      <c r="R232" s="24"/>
      <c r="S232" s="24" t="str">
        <f t="shared" ref="S232:U232" si="233">IF(E232&lt;&gt;"","Yes","")</f>
        <v>Yes</v>
      </c>
      <c r="T232" s="24" t="str">
        <f t="shared" si="233"/>
        <v>Yes</v>
      </c>
      <c r="U232" s="24" t="str">
        <f t="shared" si="233"/>
        <v>Yes</v>
      </c>
      <c r="V232" s="24" t="str">
        <f t="shared" si="3"/>
        <v/>
      </c>
      <c r="W232" s="24" t="str">
        <f t="shared" si="4"/>
        <v/>
      </c>
    </row>
    <row r="233">
      <c r="A233" s="18">
        <f>HYPERLINK("https://app.hubspot.com/contacts/8748051/record/0-1/3385601", 3385601)</f>
        <v>3385601</v>
      </c>
      <c r="B233" s="14" t="s">
        <v>5081</v>
      </c>
      <c r="C233" s="16"/>
      <c r="D233" s="16"/>
      <c r="E233" s="32">
        <v>45336.0</v>
      </c>
      <c r="F233" s="32">
        <v>45342.0</v>
      </c>
      <c r="G233" s="32">
        <v>45342.0</v>
      </c>
      <c r="H233" s="24"/>
      <c r="I233" s="24"/>
      <c r="J233" s="24"/>
      <c r="K233" s="18">
        <f>HYPERLINK("https://app.hubspot.com/contacts/8748051/record/0-2/18382637153", 18382637153)</f>
        <v>18382637153</v>
      </c>
      <c r="L233" s="14" t="s">
        <v>2209</v>
      </c>
      <c r="M233" s="18" t="s">
        <v>2210</v>
      </c>
      <c r="N233" s="18">
        <f>HYPERLINK("https://app.hubspot.com/contacts/8748051/record/0-3/17584737536", 17584737536)</f>
        <v>17584737536</v>
      </c>
      <c r="O233" s="14" t="s">
        <v>2208</v>
      </c>
      <c r="P233" s="14" t="s">
        <v>124</v>
      </c>
      <c r="Q233" s="14">
        <v>186720.0</v>
      </c>
      <c r="R233" s="14" t="b">
        <v>1</v>
      </c>
      <c r="S233" s="24" t="str">
        <f t="shared" ref="S233:U233" si="234">IF(E233&lt;&gt;"","Yes","")</f>
        <v>Yes</v>
      </c>
      <c r="T233" s="24" t="str">
        <f t="shared" si="234"/>
        <v>Yes</v>
      </c>
      <c r="U233" s="24" t="str">
        <f t="shared" si="234"/>
        <v>Yes</v>
      </c>
      <c r="V233" s="24" t="str">
        <f t="shared" si="3"/>
        <v/>
      </c>
      <c r="W233" s="24" t="str">
        <f t="shared" si="4"/>
        <v/>
      </c>
    </row>
    <row r="234">
      <c r="A234" s="18">
        <f>HYPERLINK("https://app.hubspot.com/contacts/8748051/record/0-1/3351701", 3351701)</f>
        <v>3351701</v>
      </c>
      <c r="B234" s="14" t="s">
        <v>5082</v>
      </c>
      <c r="C234" s="16"/>
      <c r="D234" s="16"/>
      <c r="E234" s="32">
        <v>45327.0</v>
      </c>
      <c r="F234" s="32">
        <v>45356.0</v>
      </c>
      <c r="G234" s="32">
        <v>45356.0</v>
      </c>
      <c r="H234" s="24"/>
      <c r="I234" s="24"/>
      <c r="J234" s="24"/>
      <c r="K234" s="18">
        <f>HYPERLINK("https://app.hubspot.com/contacts/8748051/record/0-2/9238328473", 9238328473)</f>
        <v>9238328473</v>
      </c>
      <c r="L234" s="14" t="s">
        <v>2146</v>
      </c>
      <c r="M234" s="18" t="s">
        <v>2147</v>
      </c>
      <c r="N234" s="23">
        <f>HYPERLINK("https://app.hubspot.com/contacts/8748051/record/0-3/17870771010", 17870771010)</f>
        <v>17870771010</v>
      </c>
      <c r="O234" s="14" t="s">
        <v>2145</v>
      </c>
      <c r="P234" s="14" t="s">
        <v>118</v>
      </c>
      <c r="Q234" s="14">
        <v>35760.0</v>
      </c>
      <c r="R234" s="14"/>
      <c r="S234" s="24" t="str">
        <f t="shared" ref="S234:U234" si="235">IF(E234&lt;&gt;"","Yes","")</f>
        <v>Yes</v>
      </c>
      <c r="T234" s="24" t="str">
        <f t="shared" si="235"/>
        <v>Yes</v>
      </c>
      <c r="U234" s="24" t="str">
        <f t="shared" si="235"/>
        <v>Yes</v>
      </c>
      <c r="V234" s="24" t="str">
        <f t="shared" si="3"/>
        <v/>
      </c>
      <c r="W234" s="24" t="str">
        <f t="shared" si="4"/>
        <v/>
      </c>
    </row>
    <row r="235">
      <c r="A235" s="18">
        <f>HYPERLINK("https://app.hubspot.com/contacts/8748051/record/0-1/3202101", 3202101)</f>
        <v>3202101</v>
      </c>
      <c r="B235" s="14" t="s">
        <v>5083</v>
      </c>
      <c r="C235" s="16"/>
      <c r="D235" s="16"/>
      <c r="E235" s="32">
        <v>45272.0</v>
      </c>
      <c r="F235" s="32"/>
      <c r="G235" s="32">
        <v>45273.0</v>
      </c>
      <c r="H235" s="14"/>
      <c r="I235" s="14"/>
      <c r="J235" s="14"/>
      <c r="K235" s="18">
        <f>HYPERLINK("https://app.hubspot.com/contacts/8748051/record/0-2/9228058420", 9228058420)</f>
        <v>9228058420</v>
      </c>
      <c r="L235" s="14" t="s">
        <v>2416</v>
      </c>
      <c r="M235" s="18" t="s">
        <v>2417</v>
      </c>
      <c r="N235" s="18">
        <f>HYPERLINK("https://app.hubspot.com/contacts/8748051/record/0-3/16497061404", 16497061404)</f>
        <v>16497061404</v>
      </c>
      <c r="O235" s="14" t="s">
        <v>2415</v>
      </c>
      <c r="P235" s="14" t="s">
        <v>118</v>
      </c>
      <c r="Q235" s="14">
        <v>37500.0</v>
      </c>
      <c r="R235" s="24"/>
      <c r="S235" s="24" t="str">
        <f t="shared" ref="S235:U235" si="236">IF(E235&lt;&gt;"","Yes","")</f>
        <v>Yes</v>
      </c>
      <c r="T235" s="24" t="str">
        <f t="shared" si="236"/>
        <v/>
      </c>
      <c r="U235" s="24" t="str">
        <f t="shared" si="236"/>
        <v>Yes</v>
      </c>
      <c r="V235" s="24" t="str">
        <f t="shared" si="3"/>
        <v/>
      </c>
      <c r="W235" s="24" t="str">
        <f t="shared" si="4"/>
        <v/>
      </c>
    </row>
    <row r="236">
      <c r="A236" s="18">
        <f>HYPERLINK("https://app.hubspot.com/contacts/8748051/record/0-1/3322651", 3322651)</f>
        <v>3322651</v>
      </c>
      <c r="B236" s="14" t="s">
        <v>5084</v>
      </c>
      <c r="C236" s="16"/>
      <c r="D236" s="16"/>
      <c r="E236" s="32">
        <v>45316.0</v>
      </c>
      <c r="F236" s="32">
        <v>45329.0</v>
      </c>
      <c r="G236" s="32">
        <v>45329.0</v>
      </c>
      <c r="H236" s="24"/>
      <c r="I236" s="24"/>
      <c r="J236" s="24"/>
      <c r="K236" s="18">
        <f>HYPERLINK("https://app.hubspot.com/contacts/8748051/record/0-2/9092137602", 9092137602)</f>
        <v>9092137602</v>
      </c>
      <c r="L236" s="14" t="s">
        <v>2262</v>
      </c>
      <c r="M236" s="18" t="s">
        <v>2263</v>
      </c>
      <c r="N236" s="18">
        <f>HYPERLINK("https://app.hubspot.com/contacts/8748051/record/0-3/17272675843", 17272675843)</f>
        <v>17272675843</v>
      </c>
      <c r="O236" s="14" t="s">
        <v>2261</v>
      </c>
      <c r="P236" s="14" t="s">
        <v>118</v>
      </c>
      <c r="Q236" s="14">
        <v>59000.0</v>
      </c>
      <c r="R236" s="14"/>
      <c r="S236" s="24" t="str">
        <f t="shared" ref="S236:U236" si="237">IF(E236&lt;&gt;"","Yes","")</f>
        <v>Yes</v>
      </c>
      <c r="T236" s="24" t="str">
        <f t="shared" si="237"/>
        <v>Yes</v>
      </c>
      <c r="U236" s="24" t="str">
        <f t="shared" si="237"/>
        <v>Yes</v>
      </c>
      <c r="V236" s="24" t="str">
        <f t="shared" si="3"/>
        <v/>
      </c>
      <c r="W236" s="24" t="str">
        <f t="shared" si="4"/>
        <v/>
      </c>
    </row>
    <row r="237">
      <c r="A237" s="18">
        <f>HYPERLINK("https://app.hubspot.com/contacts/8748051/record/0-1/3246601", 3246601)</f>
        <v>3246601</v>
      </c>
      <c r="B237" s="14" t="s">
        <v>5085</v>
      </c>
      <c r="C237" s="16"/>
      <c r="D237" s="16"/>
      <c r="E237" s="32">
        <v>45284.0</v>
      </c>
      <c r="F237" s="32">
        <v>45316.0</v>
      </c>
      <c r="G237" s="32">
        <v>45318.0</v>
      </c>
      <c r="H237" s="24"/>
      <c r="I237" s="24"/>
      <c r="J237" s="24"/>
      <c r="K237" s="18">
        <f>HYPERLINK("https://app.hubspot.com/contacts/8748051/record/0-2/9237584657", 9237584657)</f>
        <v>9237584657</v>
      </c>
      <c r="L237" s="14" t="s">
        <v>2287</v>
      </c>
      <c r="M237" s="18" t="s">
        <v>2288</v>
      </c>
      <c r="N237" s="18">
        <f>HYPERLINK("https://app.hubspot.com/contacts/8748051/record/0-3/17183749773", 17183749773)</f>
        <v>17183749773</v>
      </c>
      <c r="O237" s="14" t="s">
        <v>2286</v>
      </c>
      <c r="P237" s="14" t="s">
        <v>118</v>
      </c>
      <c r="Q237" s="14">
        <v>47500.0</v>
      </c>
      <c r="R237" s="14"/>
      <c r="S237" s="24" t="str">
        <f t="shared" ref="S237:U237" si="238">IF(E237&lt;&gt;"","Yes","")</f>
        <v>Yes</v>
      </c>
      <c r="T237" s="24" t="str">
        <f t="shared" si="238"/>
        <v>Yes</v>
      </c>
      <c r="U237" s="24" t="str">
        <f t="shared" si="238"/>
        <v>Yes</v>
      </c>
      <c r="V237" s="24" t="str">
        <f t="shared" si="3"/>
        <v/>
      </c>
      <c r="W237" s="24" t="str">
        <f t="shared" si="4"/>
        <v/>
      </c>
    </row>
    <row r="238">
      <c r="A238" s="18">
        <f>HYPERLINK("https://app.hubspot.com/contacts/8748051/record/0-1/3353651", 3353651)</f>
        <v>3353651</v>
      </c>
      <c r="B238" s="14" t="s">
        <v>5086</v>
      </c>
      <c r="C238" s="16"/>
      <c r="D238" s="16"/>
      <c r="E238" s="32">
        <v>45327.0</v>
      </c>
      <c r="F238" s="32"/>
      <c r="G238" s="32"/>
      <c r="H238" s="24"/>
      <c r="I238" s="24"/>
      <c r="J238" s="24"/>
      <c r="K238" s="18">
        <f>HYPERLINK("https://app.hubspot.com/contacts/8748051/record/0-2/7893280358", 7893280358)</f>
        <v>7893280358</v>
      </c>
      <c r="L238" s="14" t="s">
        <v>5087</v>
      </c>
      <c r="M238" s="18" t="s">
        <v>5088</v>
      </c>
      <c r="N238" s="24"/>
      <c r="O238" s="14"/>
      <c r="P238" s="14"/>
      <c r="Q238" s="14"/>
      <c r="R238" s="14"/>
      <c r="S238" s="24" t="str">
        <f t="shared" ref="S238:U238" si="239">IF(E238&lt;&gt;"","Yes","")</f>
        <v>Yes</v>
      </c>
      <c r="T238" s="24" t="str">
        <f t="shared" si="239"/>
        <v/>
      </c>
      <c r="U238" s="24" t="str">
        <f t="shared" si="239"/>
        <v/>
      </c>
      <c r="V238" s="24" t="str">
        <f t="shared" si="3"/>
        <v/>
      </c>
      <c r="W238" s="24" t="str">
        <f t="shared" si="4"/>
        <v/>
      </c>
    </row>
    <row r="239">
      <c r="A239" s="18">
        <f>HYPERLINK("https://app.hubspot.com/contacts/8748051/record/0-1/3199301", 3199301)</f>
        <v>3199301</v>
      </c>
      <c r="B239" s="14" t="s">
        <v>5089</v>
      </c>
      <c r="C239" s="16"/>
      <c r="D239" s="16"/>
      <c r="E239" s="32">
        <v>45272.0</v>
      </c>
      <c r="F239" s="32">
        <v>45300.0</v>
      </c>
      <c r="G239" s="32">
        <v>45300.0</v>
      </c>
      <c r="H239" s="24"/>
      <c r="I239" s="24"/>
      <c r="J239" s="24"/>
      <c r="K239" s="18">
        <f>HYPERLINK("https://app.hubspot.com/contacts/8748051/record/0-2/6816443217", 6816443217)</f>
        <v>6816443217</v>
      </c>
      <c r="L239" s="14" t="s">
        <v>2362</v>
      </c>
      <c r="M239" s="18" t="s">
        <v>2363</v>
      </c>
      <c r="N239" s="18">
        <f>HYPERLINK("https://app.hubspot.com/contacts/8748051/record/0-3/16853343638", 16853343638)</f>
        <v>16853343638</v>
      </c>
      <c r="O239" s="14" t="s">
        <v>2361</v>
      </c>
      <c r="P239" s="14" t="s">
        <v>118</v>
      </c>
      <c r="Q239" s="14">
        <v>11500.0</v>
      </c>
      <c r="R239" s="14"/>
      <c r="S239" s="24" t="str">
        <f t="shared" ref="S239:U239" si="240">IF(E239&lt;&gt;"","Yes","")</f>
        <v>Yes</v>
      </c>
      <c r="T239" s="24" t="str">
        <f t="shared" si="240"/>
        <v>Yes</v>
      </c>
      <c r="U239" s="24" t="str">
        <f t="shared" si="240"/>
        <v>Yes</v>
      </c>
      <c r="V239" s="24" t="str">
        <f t="shared" si="3"/>
        <v/>
      </c>
      <c r="W239" s="24" t="str">
        <f t="shared" si="4"/>
        <v/>
      </c>
    </row>
    <row r="240">
      <c r="A240" s="18">
        <f>HYPERLINK("https://app.hubspot.com/contacts/8748051/record/0-1/3296951", 3296951)</f>
        <v>3296951</v>
      </c>
      <c r="B240" s="14" t="s">
        <v>5090</v>
      </c>
      <c r="C240" s="16"/>
      <c r="D240" s="16"/>
      <c r="E240" s="32">
        <v>45307.0</v>
      </c>
      <c r="F240" s="32">
        <v>45324.0</v>
      </c>
      <c r="G240" s="32">
        <v>45324.0</v>
      </c>
      <c r="H240" s="24"/>
      <c r="I240" s="24"/>
      <c r="J240" s="24"/>
      <c r="K240" s="18">
        <f>HYPERLINK("https://app.hubspot.com/contacts/8748051/record/0-2/7514043522", 7514043522)</f>
        <v>7514043522</v>
      </c>
      <c r="L240" s="14" t="s">
        <v>2275</v>
      </c>
      <c r="M240" s="18" t="s">
        <v>2276</v>
      </c>
      <c r="N240" s="23">
        <f>HYPERLINK("https://app.hubspot.com/contacts/8748051/record/0-3/17273007436", 17273007436)</f>
        <v>17273007436</v>
      </c>
      <c r="O240" s="14" t="s">
        <v>2274</v>
      </c>
      <c r="P240" s="14" t="s">
        <v>124</v>
      </c>
      <c r="Q240" s="14">
        <v>20500.0</v>
      </c>
      <c r="R240" s="14" t="b">
        <v>1</v>
      </c>
      <c r="S240" s="24" t="str">
        <f t="shared" ref="S240:U240" si="241">IF(E240&lt;&gt;"","Yes","")</f>
        <v>Yes</v>
      </c>
      <c r="T240" s="24" t="str">
        <f t="shared" si="241"/>
        <v>Yes</v>
      </c>
      <c r="U240" s="24" t="str">
        <f t="shared" si="241"/>
        <v>Yes</v>
      </c>
      <c r="V240" s="24" t="str">
        <f t="shared" si="3"/>
        <v/>
      </c>
      <c r="W240" s="24" t="str">
        <f t="shared" si="4"/>
        <v/>
      </c>
    </row>
    <row r="241">
      <c r="A241" s="18">
        <f>HYPERLINK("https://app.hubspot.com/contacts/8748051/record/0-1/3475451", 3475451)</f>
        <v>3475451</v>
      </c>
      <c r="B241" s="14" t="s">
        <v>5091</v>
      </c>
      <c r="C241" s="16"/>
      <c r="D241" s="16"/>
      <c r="E241" s="32">
        <v>45435.0</v>
      </c>
      <c r="F241" s="32"/>
      <c r="G241" s="32"/>
      <c r="H241" s="24"/>
      <c r="I241" s="24"/>
      <c r="J241" s="24"/>
      <c r="K241" s="18">
        <f>HYPERLINK("https://app.hubspot.com/contacts/8748051/record/0-2/9085753405", 9085753405)</f>
        <v>9085753405</v>
      </c>
      <c r="L241" s="14" t="s">
        <v>5092</v>
      </c>
      <c r="M241" s="18" t="s">
        <v>5093</v>
      </c>
      <c r="N241" s="24"/>
      <c r="O241" s="14"/>
      <c r="P241" s="14"/>
      <c r="Q241" s="14"/>
      <c r="R241" s="14"/>
      <c r="S241" s="24" t="str">
        <f t="shared" ref="S241:U241" si="242">IF(E241&lt;&gt;"","Yes","")</f>
        <v>Yes</v>
      </c>
      <c r="T241" s="24" t="str">
        <f t="shared" si="242"/>
        <v/>
      </c>
      <c r="U241" s="24" t="str">
        <f t="shared" si="242"/>
        <v/>
      </c>
      <c r="V241" s="24" t="str">
        <f t="shared" si="3"/>
        <v/>
      </c>
      <c r="W241" s="24" t="str">
        <f t="shared" si="4"/>
        <v/>
      </c>
    </row>
    <row r="242">
      <c r="A242" s="18">
        <f>HYPERLINK("https://app.hubspot.com/contacts/8748051/record/0-1/3322451", 3322451)</f>
        <v>3322451</v>
      </c>
      <c r="B242" s="14" t="s">
        <v>5094</v>
      </c>
      <c r="C242" s="16"/>
      <c r="D242" s="14" t="s">
        <v>5062</v>
      </c>
      <c r="E242" s="32"/>
      <c r="F242" s="32"/>
      <c r="G242" s="32"/>
      <c r="H242" s="24"/>
      <c r="I242" s="24"/>
      <c r="J242" s="24"/>
      <c r="K242" s="18">
        <f>HYPERLINK("https://app.hubspot.com/contacts/8748051/record/0-2/18829219950", 18829219950)</f>
        <v>18829219950</v>
      </c>
      <c r="L242" s="14" t="s">
        <v>5095</v>
      </c>
      <c r="M242" s="18" t="s">
        <v>5096</v>
      </c>
      <c r="N242" s="14"/>
      <c r="O242" s="14"/>
      <c r="P242" s="14"/>
      <c r="Q242" s="14"/>
      <c r="R242" s="14"/>
      <c r="S242" s="24" t="str">
        <f t="shared" ref="S242:U242" si="243">IF(E242&lt;&gt;"","Yes","")</f>
        <v/>
      </c>
      <c r="T242" s="24" t="str">
        <f t="shared" si="243"/>
        <v/>
      </c>
      <c r="U242" s="24" t="str">
        <f t="shared" si="243"/>
        <v/>
      </c>
      <c r="V242" s="24" t="str">
        <f t="shared" si="3"/>
        <v/>
      </c>
      <c r="W242" s="24" t="str">
        <f t="shared" si="4"/>
        <v/>
      </c>
    </row>
    <row r="243">
      <c r="A243" s="18">
        <f>HYPERLINK("https://app.hubspot.com/contacts/8748051/record/0-1/3476001", 3476001)</f>
        <v>3476001</v>
      </c>
      <c r="B243" s="14" t="s">
        <v>5097</v>
      </c>
      <c r="C243" s="16"/>
      <c r="D243" s="14"/>
      <c r="E243" s="32">
        <v>45370.0</v>
      </c>
      <c r="F243" s="32"/>
      <c r="G243" s="32"/>
      <c r="H243" s="24"/>
      <c r="I243" s="24"/>
      <c r="J243" s="24"/>
      <c r="K243" s="18">
        <f>HYPERLINK("https://app.hubspot.com/contacts/8748051/record/0-2/9174479713", 9174479713)</f>
        <v>9174479713</v>
      </c>
      <c r="L243" s="14" t="s">
        <v>5098</v>
      </c>
      <c r="M243" s="18" t="s">
        <v>5099</v>
      </c>
      <c r="N243" s="24"/>
      <c r="O243" s="14"/>
      <c r="P243" s="14"/>
      <c r="Q243" s="14"/>
      <c r="R243" s="14"/>
      <c r="S243" s="24" t="str">
        <f t="shared" ref="S243:U243" si="244">IF(E243&lt;&gt;"","Yes","")</f>
        <v>Yes</v>
      </c>
      <c r="T243" s="24" t="str">
        <f t="shared" si="244"/>
        <v/>
      </c>
      <c r="U243" s="24" t="str">
        <f t="shared" si="244"/>
        <v/>
      </c>
      <c r="V243" s="24" t="str">
        <f t="shared" si="3"/>
        <v/>
      </c>
      <c r="W243" s="24" t="str">
        <f t="shared" si="4"/>
        <v/>
      </c>
    </row>
    <row r="244">
      <c r="A244" s="18">
        <f>HYPERLINK("https://app.hubspot.com/contacts/8748051/record/0-1/3251301", 3251301)</f>
        <v>3251301</v>
      </c>
      <c r="B244" s="14" t="s">
        <v>5100</v>
      </c>
      <c r="C244" s="16"/>
      <c r="D244" s="16"/>
      <c r="E244" s="32">
        <v>45439.0</v>
      </c>
      <c r="F244" s="32"/>
      <c r="G244" s="32"/>
      <c r="H244" s="24"/>
      <c r="I244" s="24"/>
      <c r="J244" s="24"/>
      <c r="K244" s="18">
        <f>HYPERLINK("https://app.hubspot.com/contacts/8748051/record/0-2/18536338232", 18536338232)</f>
        <v>18536338232</v>
      </c>
      <c r="L244" s="14" t="s">
        <v>5101</v>
      </c>
      <c r="M244" s="18" t="s">
        <v>5102</v>
      </c>
      <c r="N244" s="14"/>
      <c r="O244" s="14"/>
      <c r="P244" s="14"/>
      <c r="Q244" s="14"/>
      <c r="R244" s="14"/>
      <c r="S244" s="24" t="str">
        <f t="shared" ref="S244:U244" si="245">IF(E244&lt;&gt;"","Yes","")</f>
        <v>Yes</v>
      </c>
      <c r="T244" s="24" t="str">
        <f t="shared" si="245"/>
        <v/>
      </c>
      <c r="U244" s="24" t="str">
        <f t="shared" si="245"/>
        <v/>
      </c>
      <c r="V244" s="24" t="str">
        <f t="shared" si="3"/>
        <v/>
      </c>
      <c r="W244" s="24" t="str">
        <f t="shared" si="4"/>
        <v/>
      </c>
    </row>
    <row r="245">
      <c r="A245" s="18">
        <f>HYPERLINK("https://app.hubspot.com/contacts/8748051/record/0-1/3323901", 3323901)</f>
        <v>3323901</v>
      </c>
      <c r="B245" s="14" t="s">
        <v>5103</v>
      </c>
      <c r="C245" s="16"/>
      <c r="D245" s="14"/>
      <c r="E245" s="32">
        <v>45316.0</v>
      </c>
      <c r="F245" s="32">
        <v>45324.0</v>
      </c>
      <c r="G245" s="32">
        <v>45324.0</v>
      </c>
      <c r="H245" s="24"/>
      <c r="I245" s="14"/>
      <c r="J245" s="14"/>
      <c r="K245" s="18">
        <f>HYPERLINK("https://app.hubspot.com/contacts/8748051/record/0-2/18832405921", 18832405921)</f>
        <v>18832405921</v>
      </c>
      <c r="L245" s="14" t="s">
        <v>2265</v>
      </c>
      <c r="M245" s="18" t="s">
        <v>2266</v>
      </c>
      <c r="N245" s="18">
        <f>HYPERLINK("https://app.hubspot.com/contacts/8748051/record/0-3/17272675512", 17272675512)</f>
        <v>17272675512</v>
      </c>
      <c r="O245" s="14" t="s">
        <v>2264</v>
      </c>
      <c r="P245" s="14" t="s">
        <v>118</v>
      </c>
      <c r="Q245" s="14">
        <v>3500.0</v>
      </c>
      <c r="R245" s="14"/>
      <c r="S245" s="24" t="str">
        <f t="shared" ref="S245:U245" si="246">IF(E245&lt;&gt;"","Yes","")</f>
        <v>Yes</v>
      </c>
      <c r="T245" s="24" t="str">
        <f t="shared" si="246"/>
        <v>Yes</v>
      </c>
      <c r="U245" s="24" t="str">
        <f t="shared" si="246"/>
        <v>Yes</v>
      </c>
      <c r="V245" s="24" t="str">
        <f t="shared" si="3"/>
        <v/>
      </c>
      <c r="W245" s="24" t="str">
        <f t="shared" si="4"/>
        <v/>
      </c>
    </row>
    <row r="246">
      <c r="A246" s="18">
        <f>HYPERLINK("https://app.hubspot.com/contacts/8748051/record/0-1/3315501", 3315501)</f>
        <v>3315501</v>
      </c>
      <c r="B246" s="14" t="s">
        <v>5104</v>
      </c>
      <c r="C246" s="16"/>
      <c r="D246" s="16"/>
      <c r="E246" s="32">
        <v>45314.0</v>
      </c>
      <c r="F246" s="32">
        <v>45435.0</v>
      </c>
      <c r="G246" s="32">
        <v>45316.0</v>
      </c>
      <c r="H246" s="24"/>
      <c r="I246" s="24"/>
      <c r="J246" s="24"/>
      <c r="K246" s="18">
        <f>HYPERLINK("https://app.hubspot.com/contacts/8748051/record/0-2/18808860831", 18808860831)</f>
        <v>18808860831</v>
      </c>
      <c r="L246" s="14" t="s">
        <v>2284</v>
      </c>
      <c r="M246" s="18" t="s">
        <v>2285</v>
      </c>
      <c r="N246" s="23">
        <f>HYPERLINK("https://app.hubspot.com/contacts/8748051/record/0-3/17181931842", 17181931842)</f>
        <v>17181931842</v>
      </c>
      <c r="O246" s="14" t="s">
        <v>2283</v>
      </c>
      <c r="P246" s="14" t="s">
        <v>118</v>
      </c>
      <c r="Q246" s="14">
        <v>3000.0</v>
      </c>
      <c r="R246" s="24"/>
      <c r="S246" s="24" t="str">
        <f t="shared" ref="S246:U246" si="247">IF(E246&lt;&gt;"","Yes","")</f>
        <v>Yes</v>
      </c>
      <c r="T246" s="24" t="str">
        <f t="shared" si="247"/>
        <v>Yes</v>
      </c>
      <c r="U246" s="24" t="str">
        <f t="shared" si="247"/>
        <v>Yes</v>
      </c>
      <c r="V246" s="24" t="str">
        <f t="shared" si="3"/>
        <v/>
      </c>
      <c r="W246" s="24" t="str">
        <f t="shared" si="4"/>
        <v/>
      </c>
    </row>
    <row r="247">
      <c r="A247" s="18">
        <f>HYPERLINK("https://app.hubspot.com/contacts/8748051/record/0-1/3331551", 3331551)</f>
        <v>3331551</v>
      </c>
      <c r="B247" s="14" t="s">
        <v>5105</v>
      </c>
      <c r="C247" s="16"/>
      <c r="D247" s="16"/>
      <c r="E247" s="32">
        <v>45320.0</v>
      </c>
      <c r="F247" s="32">
        <v>45324.0</v>
      </c>
      <c r="G247" s="32">
        <v>45324.0</v>
      </c>
      <c r="H247" s="24"/>
      <c r="I247" s="24"/>
      <c r="J247" s="24"/>
      <c r="K247" s="18">
        <f>HYPERLINK("https://app.hubspot.com/contacts/8748051/record/0-2/7716034905", 7716034905)</f>
        <v>7716034905</v>
      </c>
      <c r="L247" s="14" t="s">
        <v>1327</v>
      </c>
      <c r="M247" s="18" t="s">
        <v>1328</v>
      </c>
      <c r="N247" s="23">
        <f>HYPERLINK("https://app.hubspot.com/contacts/8748051/record/0-3/17273008313", 17273008313)</f>
        <v>17273008313</v>
      </c>
      <c r="O247" s="14" t="s">
        <v>2267</v>
      </c>
      <c r="P247" s="14" t="s">
        <v>89</v>
      </c>
      <c r="Q247" s="14">
        <v>72520.0</v>
      </c>
      <c r="R247" s="14" t="b">
        <v>1</v>
      </c>
      <c r="S247" s="24" t="str">
        <f t="shared" ref="S247:U247" si="248">IF(E247&lt;&gt;"","Yes","")</f>
        <v>Yes</v>
      </c>
      <c r="T247" s="24" t="str">
        <f t="shared" si="248"/>
        <v>Yes</v>
      </c>
      <c r="U247" s="24" t="str">
        <f t="shared" si="248"/>
        <v>Yes</v>
      </c>
      <c r="V247" s="24" t="str">
        <f t="shared" si="3"/>
        <v>Yes</v>
      </c>
      <c r="W247" s="24" t="str">
        <f t="shared" si="4"/>
        <v/>
      </c>
    </row>
    <row r="248">
      <c r="A248" s="18">
        <f>HYPERLINK("https://app.hubspot.com/contacts/8748051/record/0-1/3491851", 3491851)</f>
        <v>3491851</v>
      </c>
      <c r="B248" s="14" t="s">
        <v>5106</v>
      </c>
      <c r="C248" s="16"/>
      <c r="D248" s="16"/>
      <c r="E248" s="32">
        <v>45331.0</v>
      </c>
      <c r="F248" s="32"/>
      <c r="G248" s="32"/>
      <c r="H248" s="24"/>
      <c r="I248" s="24"/>
      <c r="J248" s="24"/>
      <c r="K248" s="18">
        <f>HYPERLINK("https://app.hubspot.com/contacts/8748051/record/0-2/18382697347", 18382697347)</f>
        <v>18382697347</v>
      </c>
      <c r="L248" s="14" t="s">
        <v>5107</v>
      </c>
      <c r="M248" s="18" t="s">
        <v>5108</v>
      </c>
      <c r="N248" s="24"/>
      <c r="O248" s="14"/>
      <c r="P248" s="14"/>
      <c r="Q248" s="14"/>
      <c r="R248" s="14"/>
      <c r="S248" s="24" t="str">
        <f t="shared" ref="S248:U248" si="249">IF(E248&lt;&gt;"","Yes","")</f>
        <v>Yes</v>
      </c>
      <c r="T248" s="24" t="str">
        <f t="shared" si="249"/>
        <v/>
      </c>
      <c r="U248" s="24" t="str">
        <f t="shared" si="249"/>
        <v/>
      </c>
      <c r="V248" s="24" t="str">
        <f t="shared" si="3"/>
        <v/>
      </c>
      <c r="W248" s="24" t="str">
        <f t="shared" si="4"/>
        <v/>
      </c>
    </row>
    <row r="249">
      <c r="A249" s="18">
        <f>HYPERLINK("https://app.hubspot.com/contacts/8748051/record/0-1/3317651", 3317651)</f>
        <v>3317651</v>
      </c>
      <c r="B249" s="14" t="s">
        <v>5109</v>
      </c>
      <c r="C249" s="16"/>
      <c r="D249" s="16"/>
      <c r="E249" s="32">
        <v>45315.0</v>
      </c>
      <c r="F249" s="32"/>
      <c r="G249" s="32"/>
      <c r="H249" s="24"/>
      <c r="I249" s="24"/>
      <c r="J249" s="24"/>
      <c r="K249" s="18">
        <f>HYPERLINK("https://app.hubspot.com/contacts/8748051/record/0-2/16051583760", 16051583760)</f>
        <v>16051583760</v>
      </c>
      <c r="L249" s="14" t="s">
        <v>5110</v>
      </c>
      <c r="M249" s="18" t="s">
        <v>5111</v>
      </c>
      <c r="N249" s="14"/>
      <c r="O249" s="14"/>
      <c r="P249" s="14"/>
      <c r="Q249" s="14"/>
      <c r="R249" s="14"/>
      <c r="S249" s="24" t="str">
        <f t="shared" ref="S249:U249" si="250">IF(E249&lt;&gt;"","Yes","")</f>
        <v>Yes</v>
      </c>
      <c r="T249" s="24" t="str">
        <f t="shared" si="250"/>
        <v/>
      </c>
      <c r="U249" s="24" t="str">
        <f t="shared" si="250"/>
        <v/>
      </c>
      <c r="V249" s="24" t="str">
        <f t="shared" si="3"/>
        <v/>
      </c>
      <c r="W249" s="24" t="str">
        <f t="shared" si="4"/>
        <v/>
      </c>
    </row>
    <row r="250">
      <c r="A250" s="18">
        <f>HYPERLINK("https://app.hubspot.com/contacts/8748051/record/0-1/3398801", 3398801)</f>
        <v>3398801</v>
      </c>
      <c r="B250" s="14" t="s">
        <v>5112</v>
      </c>
      <c r="C250" s="16"/>
      <c r="D250" s="16"/>
      <c r="E250" s="32">
        <v>45341.0</v>
      </c>
      <c r="F250" s="32"/>
      <c r="G250" s="32"/>
      <c r="H250" s="24"/>
      <c r="I250" s="24"/>
      <c r="J250" s="24"/>
      <c r="K250" s="18">
        <f>HYPERLINK("https://app.hubspot.com/contacts/8748051/record/0-2/18832320071", 18832320071)</f>
        <v>18832320071</v>
      </c>
      <c r="L250" s="14" t="s">
        <v>5113</v>
      </c>
      <c r="M250" s="18" t="s">
        <v>5114</v>
      </c>
      <c r="N250" s="14"/>
      <c r="O250" s="14"/>
      <c r="P250" s="14"/>
      <c r="Q250" s="14"/>
      <c r="R250" s="14"/>
      <c r="S250" s="24" t="str">
        <f t="shared" ref="S250:U250" si="251">IF(E250&lt;&gt;"","Yes","")</f>
        <v>Yes</v>
      </c>
      <c r="T250" s="24" t="str">
        <f t="shared" si="251"/>
        <v/>
      </c>
      <c r="U250" s="24" t="str">
        <f t="shared" si="251"/>
        <v/>
      </c>
      <c r="V250" s="24" t="str">
        <f t="shared" si="3"/>
        <v/>
      </c>
      <c r="W250" s="24" t="str">
        <f t="shared" si="4"/>
        <v/>
      </c>
    </row>
    <row r="251">
      <c r="A251" s="18">
        <f>HYPERLINK("https://app.hubspot.com/contacts/8748051/record/0-1/3290101", 3290101)</f>
        <v>3290101</v>
      </c>
      <c r="B251" s="14" t="s">
        <v>5115</v>
      </c>
      <c r="C251" s="16"/>
      <c r="D251" s="16"/>
      <c r="E251" s="32">
        <v>45304.0</v>
      </c>
      <c r="F251" s="32"/>
      <c r="G251" s="32"/>
      <c r="H251" s="24"/>
      <c r="I251" s="24"/>
      <c r="J251" s="24"/>
      <c r="K251" s="18">
        <f>HYPERLINK("https://app.hubspot.com/contacts/8748051/record/0-2/9238413945", 9238413945)</f>
        <v>9238413945</v>
      </c>
      <c r="L251" s="14" t="s">
        <v>2310</v>
      </c>
      <c r="M251" s="18" t="s">
        <v>2311</v>
      </c>
      <c r="N251" s="18">
        <f>HYPERLINK("https://app.hubspot.com/contacts/8748051/record/0-3/17156438330", 17156438330)</f>
        <v>17156438330</v>
      </c>
      <c r="O251" s="14" t="s">
        <v>2309</v>
      </c>
      <c r="P251" s="14" t="s">
        <v>118</v>
      </c>
      <c r="Q251" s="14">
        <v>6500.0</v>
      </c>
      <c r="R251" s="24"/>
      <c r="S251" s="24" t="str">
        <f t="shared" ref="S251:U251" si="252">IF(E251&lt;&gt;"","Yes","")</f>
        <v>Yes</v>
      </c>
      <c r="T251" s="24" t="str">
        <f t="shared" si="252"/>
        <v/>
      </c>
      <c r="U251" s="24" t="str">
        <f t="shared" si="252"/>
        <v/>
      </c>
      <c r="V251" s="24" t="str">
        <f t="shared" si="3"/>
        <v/>
      </c>
      <c r="W251" s="24" t="str">
        <f t="shared" si="4"/>
        <v/>
      </c>
    </row>
    <row r="252">
      <c r="A252" s="18">
        <f>HYPERLINK("https://app.hubspot.com/contacts/8748051/record/0-1/3423551", 3423551)</f>
        <v>3423551</v>
      </c>
      <c r="B252" s="14" t="s">
        <v>5116</v>
      </c>
      <c r="C252" s="16"/>
      <c r="D252" s="16"/>
      <c r="E252" s="32">
        <v>45348.0</v>
      </c>
      <c r="F252" s="32"/>
      <c r="G252" s="32"/>
      <c r="H252" s="24"/>
      <c r="I252" s="24"/>
      <c r="J252" s="24"/>
      <c r="K252" s="18">
        <f>HYPERLINK("https://app.hubspot.com/contacts/8748051/record/0-2/8950349389", 8950349389)</f>
        <v>8950349389</v>
      </c>
      <c r="L252" s="14" t="s">
        <v>2083</v>
      </c>
      <c r="M252" s="18" t="s">
        <v>2084</v>
      </c>
      <c r="N252" s="23">
        <f>HYPERLINK("https://app.hubspot.com/contacts/8748051/record/0-3/18033529128", 18033529128)</f>
        <v>18033529128</v>
      </c>
      <c r="O252" s="14" t="s">
        <v>2082</v>
      </c>
      <c r="P252" s="14" t="s">
        <v>118</v>
      </c>
      <c r="Q252" s="14">
        <v>12960.0</v>
      </c>
      <c r="R252" s="24"/>
      <c r="S252" s="24" t="str">
        <f t="shared" ref="S252:U252" si="253">IF(E252&lt;&gt;"","Yes","")</f>
        <v>Yes</v>
      </c>
      <c r="T252" s="24" t="str">
        <f t="shared" si="253"/>
        <v/>
      </c>
      <c r="U252" s="24" t="str">
        <f t="shared" si="253"/>
        <v/>
      </c>
      <c r="V252" s="24" t="str">
        <f t="shared" si="3"/>
        <v/>
      </c>
      <c r="W252" s="24" t="str">
        <f t="shared" si="4"/>
        <v/>
      </c>
    </row>
    <row r="253">
      <c r="A253" s="18">
        <f>HYPERLINK("https://app.hubspot.com/contacts/8748051/record/0-1/3230351", 3230351)</f>
        <v>3230351</v>
      </c>
      <c r="B253" s="14" t="s">
        <v>5117</v>
      </c>
      <c r="C253" s="16"/>
      <c r="D253" s="16"/>
      <c r="E253" s="32">
        <v>45279.0</v>
      </c>
      <c r="F253" s="32"/>
      <c r="G253" s="32"/>
      <c r="H253" s="24"/>
      <c r="I253" s="24"/>
      <c r="J253" s="24"/>
      <c r="K253" s="18">
        <f>HYPERLINK("https://app.hubspot.com/contacts/8748051/record/0-2/9238284558", 9238284558)</f>
        <v>9238284558</v>
      </c>
      <c r="L253" s="14" t="s">
        <v>5118</v>
      </c>
      <c r="M253" s="18" t="s">
        <v>5119</v>
      </c>
      <c r="N253" s="14"/>
      <c r="O253" s="14"/>
      <c r="P253" s="14"/>
      <c r="Q253" s="14"/>
      <c r="R253" s="24"/>
      <c r="S253" s="24" t="str">
        <f t="shared" ref="S253:U253" si="254">IF(E253&lt;&gt;"","Yes","")</f>
        <v>Yes</v>
      </c>
      <c r="T253" s="24" t="str">
        <f t="shared" si="254"/>
        <v/>
      </c>
      <c r="U253" s="24" t="str">
        <f t="shared" si="254"/>
        <v/>
      </c>
      <c r="V253" s="24" t="str">
        <f t="shared" si="3"/>
        <v/>
      </c>
      <c r="W253" s="24" t="str">
        <f t="shared" si="4"/>
        <v/>
      </c>
    </row>
    <row r="254">
      <c r="A254" s="18">
        <f>HYPERLINK("https://app.hubspot.com/contacts/8748051/record/0-1/3465701", 3465701)</f>
        <v>3465701</v>
      </c>
      <c r="B254" s="14" t="s">
        <v>5120</v>
      </c>
      <c r="C254" s="16"/>
      <c r="D254" s="16"/>
      <c r="E254" s="32">
        <v>45356.0</v>
      </c>
      <c r="F254" s="32"/>
      <c r="G254" s="32"/>
      <c r="H254" s="24"/>
      <c r="I254" s="24"/>
      <c r="J254" s="24"/>
      <c r="K254" s="18">
        <f>HYPERLINK("https://app.hubspot.com/contacts/8748051/record/0-2/19176706315", 19176706315)</f>
        <v>19176706315</v>
      </c>
      <c r="L254" s="14" t="s">
        <v>5121</v>
      </c>
      <c r="M254" s="18" t="s">
        <v>5122</v>
      </c>
      <c r="N254" s="14"/>
      <c r="O254" s="14"/>
      <c r="P254" s="14"/>
      <c r="Q254" s="14"/>
      <c r="R254" s="14"/>
      <c r="S254" s="24" t="str">
        <f t="shared" ref="S254:U254" si="255">IF(E254&lt;&gt;"","Yes","")</f>
        <v>Yes</v>
      </c>
      <c r="T254" s="24" t="str">
        <f t="shared" si="255"/>
        <v/>
      </c>
      <c r="U254" s="24" t="str">
        <f t="shared" si="255"/>
        <v/>
      </c>
      <c r="V254" s="24" t="str">
        <f t="shared" si="3"/>
        <v/>
      </c>
      <c r="W254" s="24" t="str">
        <f t="shared" si="4"/>
        <v/>
      </c>
    </row>
    <row r="255">
      <c r="A255" s="18">
        <f>HYPERLINK("https://app.hubspot.com/contacts/8748051/record/0-1/3291701", 3291701)</f>
        <v>3291701</v>
      </c>
      <c r="B255" s="14" t="s">
        <v>5123</v>
      </c>
      <c r="C255" s="16"/>
      <c r="D255" s="16"/>
      <c r="E255" s="32">
        <v>45305.0</v>
      </c>
      <c r="F255" s="32"/>
      <c r="G255" s="32"/>
      <c r="H255" s="24"/>
      <c r="I255" s="24"/>
      <c r="J255" s="24"/>
      <c r="K255" s="18">
        <f>HYPERLINK("https://app.hubspot.com/contacts/8748051/record/0-2/18382767736", 18382767736)</f>
        <v>18382767736</v>
      </c>
      <c r="L255" s="14" t="s">
        <v>5124</v>
      </c>
      <c r="M255" s="18" t="s">
        <v>5125</v>
      </c>
      <c r="N255" s="14"/>
      <c r="O255" s="14"/>
      <c r="P255" s="14"/>
      <c r="Q255" s="14"/>
      <c r="R255" s="24"/>
      <c r="S255" s="24" t="str">
        <f t="shared" ref="S255:U255" si="256">IF(E255&lt;&gt;"","Yes","")</f>
        <v>Yes</v>
      </c>
      <c r="T255" s="24" t="str">
        <f t="shared" si="256"/>
        <v/>
      </c>
      <c r="U255" s="24" t="str">
        <f t="shared" si="256"/>
        <v/>
      </c>
      <c r="V255" s="24" t="str">
        <f t="shared" si="3"/>
        <v/>
      </c>
      <c r="W255" s="24" t="str">
        <f t="shared" si="4"/>
        <v/>
      </c>
    </row>
    <row r="256">
      <c r="A256" s="18">
        <f>HYPERLINK("https://app.hubspot.com/contacts/8748051/record/0-1/3482301", 3482301)</f>
        <v>3482301</v>
      </c>
      <c r="B256" s="14" t="s">
        <v>5126</v>
      </c>
      <c r="C256" s="16"/>
      <c r="D256" s="16"/>
      <c r="E256" s="32">
        <v>45400.0</v>
      </c>
      <c r="F256" s="32">
        <v>45401.0</v>
      </c>
      <c r="G256" s="32">
        <v>45401.0</v>
      </c>
      <c r="H256" s="24"/>
      <c r="I256" s="24"/>
      <c r="J256" s="24"/>
      <c r="K256" s="18">
        <f>HYPERLINK("https://app.hubspot.com/contacts/8748051/record/0-2/18832134671", 18832134671)</f>
        <v>18832134671</v>
      </c>
      <c r="L256" s="14" t="s">
        <v>1852</v>
      </c>
      <c r="M256" s="18" t="s">
        <v>1853</v>
      </c>
      <c r="N256" s="18">
        <f>HYPERLINK("https://app.hubspot.com/contacts/8748051/record/0-3/18729240990", 18729240990)</f>
        <v>18729240990</v>
      </c>
      <c r="O256" s="14" t="s">
        <v>1851</v>
      </c>
      <c r="P256" s="14" t="s">
        <v>118</v>
      </c>
      <c r="Q256" s="14">
        <v>4560.0</v>
      </c>
      <c r="R256" s="14"/>
      <c r="S256" s="24" t="str">
        <f t="shared" ref="S256:U256" si="257">IF(E256&lt;&gt;"","Yes","")</f>
        <v>Yes</v>
      </c>
      <c r="T256" s="24" t="str">
        <f t="shared" si="257"/>
        <v>Yes</v>
      </c>
      <c r="U256" s="24" t="str">
        <f t="shared" si="257"/>
        <v>Yes</v>
      </c>
      <c r="V256" s="24" t="str">
        <f t="shared" si="3"/>
        <v/>
      </c>
      <c r="W256" s="24" t="str">
        <f t="shared" si="4"/>
        <v/>
      </c>
    </row>
    <row r="257">
      <c r="A257" s="18">
        <f>HYPERLINK("https://app.hubspot.com/contacts/8748051/record/0-1/3413601", 3413601)</f>
        <v>3413601</v>
      </c>
      <c r="B257" s="14" t="s">
        <v>5127</v>
      </c>
      <c r="C257" s="16"/>
      <c r="D257" s="16"/>
      <c r="E257" s="32">
        <v>45344.0</v>
      </c>
      <c r="F257" s="32">
        <v>45357.0</v>
      </c>
      <c r="G257" s="32">
        <v>45357.0</v>
      </c>
      <c r="H257" s="24"/>
      <c r="I257" s="24"/>
      <c r="J257" s="24"/>
      <c r="K257" s="18">
        <f>HYPERLINK("https://app.hubspot.com/contacts/8748051/record/0-2/6816683335", 6816683335)</f>
        <v>6816683335</v>
      </c>
      <c r="L257" s="14" t="s">
        <v>2159</v>
      </c>
      <c r="M257" s="18" t="s">
        <v>2160</v>
      </c>
      <c r="N257" s="23">
        <f>HYPERLINK("https://app.hubspot.com/contacts/8748051/record/0-3/17776248898", 17776248898)</f>
        <v>17776248898</v>
      </c>
      <c r="O257" s="14" t="s">
        <v>2158</v>
      </c>
      <c r="P257" s="14" t="s">
        <v>118</v>
      </c>
      <c r="Q257" s="14">
        <v>8160.0</v>
      </c>
      <c r="R257" s="24"/>
      <c r="S257" s="24" t="str">
        <f t="shared" ref="S257:U257" si="258">IF(E257&lt;&gt;"","Yes","")</f>
        <v>Yes</v>
      </c>
      <c r="T257" s="24" t="str">
        <f t="shared" si="258"/>
        <v>Yes</v>
      </c>
      <c r="U257" s="24" t="str">
        <f t="shared" si="258"/>
        <v>Yes</v>
      </c>
      <c r="V257" s="24" t="str">
        <f t="shared" si="3"/>
        <v/>
      </c>
      <c r="W257" s="24" t="str">
        <f t="shared" si="4"/>
        <v/>
      </c>
    </row>
    <row r="258">
      <c r="A258" s="18">
        <f>HYPERLINK("https://app.hubspot.com/contacts/8748051/record/0-1/3468451", 3468451)</f>
        <v>3468451</v>
      </c>
      <c r="B258" s="14" t="s">
        <v>5128</v>
      </c>
      <c r="C258" s="16"/>
      <c r="D258" s="16"/>
      <c r="E258" s="32">
        <v>45359.0</v>
      </c>
      <c r="F258" s="32"/>
      <c r="G258" s="32"/>
      <c r="H258" s="24"/>
      <c r="I258" s="24"/>
      <c r="J258" s="24"/>
      <c r="K258" s="18">
        <f>HYPERLINK("https://app.hubspot.com/contacts/8748051/record/0-2/9238363021", 9238363021)</f>
        <v>9238363021</v>
      </c>
      <c r="L258" s="14" t="s">
        <v>5129</v>
      </c>
      <c r="M258" s="18" t="s">
        <v>5130</v>
      </c>
      <c r="N258" s="14"/>
      <c r="O258" s="14"/>
      <c r="P258" s="14"/>
      <c r="Q258" s="14"/>
      <c r="R258" s="14"/>
      <c r="S258" s="24" t="str">
        <f t="shared" ref="S258:U258" si="259">IF(E258&lt;&gt;"","Yes","")</f>
        <v>Yes</v>
      </c>
      <c r="T258" s="24" t="str">
        <f t="shared" si="259"/>
        <v/>
      </c>
      <c r="U258" s="24" t="str">
        <f t="shared" si="259"/>
        <v/>
      </c>
      <c r="V258" s="24" t="str">
        <f t="shared" si="3"/>
        <v/>
      </c>
      <c r="W258" s="24" t="str">
        <f t="shared" si="4"/>
        <v/>
      </c>
    </row>
    <row r="259">
      <c r="A259" s="18">
        <f>HYPERLINK("https://app.hubspot.com/contacts/8748051/record/0-1/3304501", 3304501)</f>
        <v>3304501</v>
      </c>
      <c r="B259" s="14" t="s">
        <v>5131</v>
      </c>
      <c r="C259" s="16"/>
      <c r="D259" s="16"/>
      <c r="E259" s="32">
        <v>45309.0</v>
      </c>
      <c r="F259" s="32">
        <v>45317.0</v>
      </c>
      <c r="G259" s="32">
        <v>45317.0</v>
      </c>
      <c r="H259" s="24"/>
      <c r="I259" s="24"/>
      <c r="J259" s="24"/>
      <c r="K259" s="18">
        <f>HYPERLINK("https://app.hubspot.com/contacts/8748051/record/0-2/7893829192", 7893829192)</f>
        <v>7893829192</v>
      </c>
      <c r="L259" s="14" t="s">
        <v>2307</v>
      </c>
      <c r="M259" s="18" t="s">
        <v>2308</v>
      </c>
      <c r="N259" s="18">
        <f>HYPERLINK("https://app.hubspot.com/contacts/8748051/record/0-3/17157154989", 17157154989)</f>
        <v>17157154989</v>
      </c>
      <c r="O259" s="14" t="s">
        <v>2306</v>
      </c>
      <c r="P259" s="14" t="s">
        <v>124</v>
      </c>
      <c r="Q259" s="14">
        <v>18480.0</v>
      </c>
      <c r="R259" s="14" t="b">
        <v>1</v>
      </c>
      <c r="S259" s="24" t="str">
        <f t="shared" ref="S259:U259" si="260">IF(E259&lt;&gt;"","Yes","")</f>
        <v>Yes</v>
      </c>
      <c r="T259" s="24" t="str">
        <f t="shared" si="260"/>
        <v>Yes</v>
      </c>
      <c r="U259" s="24" t="str">
        <f t="shared" si="260"/>
        <v>Yes</v>
      </c>
      <c r="V259" s="24" t="str">
        <f t="shared" si="3"/>
        <v/>
      </c>
      <c r="W259" s="24" t="str">
        <f t="shared" si="4"/>
        <v/>
      </c>
    </row>
    <row r="260">
      <c r="A260" s="18">
        <f>HYPERLINK("https://app.hubspot.com/contacts/8748051/record/0-1/3350101", 3350101)</f>
        <v>3350101</v>
      </c>
      <c r="B260" s="14" t="s">
        <v>5132</v>
      </c>
      <c r="C260" s="16"/>
      <c r="D260" s="16"/>
      <c r="E260" s="32">
        <v>45325.0</v>
      </c>
      <c r="F260" s="32"/>
      <c r="G260" s="32"/>
      <c r="H260" s="24"/>
      <c r="I260" s="24"/>
      <c r="J260" s="24"/>
      <c r="K260" s="18">
        <f>HYPERLINK("https://app.hubspot.com/contacts/8748051/record/0-2/18382839621", 18382839621)</f>
        <v>18382839621</v>
      </c>
      <c r="L260" s="14" t="s">
        <v>1790</v>
      </c>
      <c r="M260" s="18" t="s">
        <v>1791</v>
      </c>
      <c r="N260" s="24"/>
      <c r="O260" s="14"/>
      <c r="P260" s="14"/>
      <c r="Q260" s="14"/>
      <c r="R260" s="24"/>
      <c r="S260" s="24" t="str">
        <f t="shared" ref="S260:U260" si="261">IF(E260&lt;&gt;"","Yes","")</f>
        <v>Yes</v>
      </c>
      <c r="T260" s="24" t="str">
        <f t="shared" si="261"/>
        <v/>
      </c>
      <c r="U260" s="24" t="str">
        <f t="shared" si="261"/>
        <v/>
      </c>
      <c r="V260" s="24" t="str">
        <f t="shared" si="3"/>
        <v/>
      </c>
      <c r="W260" s="24" t="str">
        <f t="shared" si="4"/>
        <v/>
      </c>
    </row>
    <row r="261">
      <c r="A261" s="18">
        <f>HYPERLINK("https://app.hubspot.com/contacts/8748051/record/0-1/3331751", 3331751)</f>
        <v>3331751</v>
      </c>
      <c r="B261" s="14" t="s">
        <v>5133</v>
      </c>
      <c r="C261" s="16"/>
      <c r="D261" s="16"/>
      <c r="E261" s="32">
        <v>45319.0</v>
      </c>
      <c r="F261" s="32">
        <v>45342.0</v>
      </c>
      <c r="G261" s="32">
        <v>45342.0</v>
      </c>
      <c r="H261" s="24"/>
      <c r="I261" s="24"/>
      <c r="J261" s="24"/>
      <c r="K261" s="18">
        <f>HYPERLINK("https://app.hubspot.com/contacts/8748051/record/0-2/18832368258", 18832368258)</f>
        <v>18832368258</v>
      </c>
      <c r="L261" s="14" t="s">
        <v>2224</v>
      </c>
      <c r="M261" s="18" t="s">
        <v>2225</v>
      </c>
      <c r="N261" s="23">
        <f>HYPERLINK("https://app.hubspot.com/contacts/8748051/record/0-3/17525735054", 17525735054)</f>
        <v>17525735054</v>
      </c>
      <c r="O261" s="14" t="s">
        <v>2223</v>
      </c>
      <c r="P261" s="14" t="s">
        <v>118</v>
      </c>
      <c r="Q261" s="14">
        <v>164160.0</v>
      </c>
      <c r="R261" s="14"/>
      <c r="S261" s="24" t="str">
        <f t="shared" ref="S261:U261" si="262">IF(E261&lt;&gt;"","Yes","")</f>
        <v>Yes</v>
      </c>
      <c r="T261" s="24" t="str">
        <f t="shared" si="262"/>
        <v>Yes</v>
      </c>
      <c r="U261" s="24" t="str">
        <f t="shared" si="262"/>
        <v>Yes</v>
      </c>
      <c r="V261" s="24" t="str">
        <f t="shared" si="3"/>
        <v/>
      </c>
      <c r="W261" s="24" t="str">
        <f t="shared" si="4"/>
        <v/>
      </c>
    </row>
    <row r="262">
      <c r="A262" s="18">
        <f>HYPERLINK("https://app.hubspot.com/contacts/8748051/record/0-1/3396001", 3396001)</f>
        <v>3396001</v>
      </c>
      <c r="B262" s="14" t="s">
        <v>5134</v>
      </c>
      <c r="C262" s="16"/>
      <c r="D262" s="16"/>
      <c r="E262" s="32">
        <v>45427.0</v>
      </c>
      <c r="F262" s="32"/>
      <c r="G262" s="32"/>
      <c r="H262" s="24"/>
      <c r="I262" s="24"/>
      <c r="J262" s="24"/>
      <c r="K262" s="18">
        <f>HYPERLINK("https://app.hubspot.com/contacts/8748051/record/0-2/9132303216", 9132303216)</f>
        <v>9132303216</v>
      </c>
      <c r="L262" s="14" t="s">
        <v>5135</v>
      </c>
      <c r="M262" s="18" t="s">
        <v>5136</v>
      </c>
      <c r="N262" s="24"/>
      <c r="O262" s="14"/>
      <c r="P262" s="14"/>
      <c r="Q262" s="14"/>
      <c r="R262" s="24"/>
      <c r="S262" s="24" t="str">
        <f t="shared" ref="S262:U262" si="263">IF(E262&lt;&gt;"","Yes","")</f>
        <v>Yes</v>
      </c>
      <c r="T262" s="24" t="str">
        <f t="shared" si="263"/>
        <v/>
      </c>
      <c r="U262" s="24" t="str">
        <f t="shared" si="263"/>
        <v/>
      </c>
      <c r="V262" s="24" t="str">
        <f t="shared" si="3"/>
        <v/>
      </c>
      <c r="W262" s="24" t="str">
        <f t="shared" si="4"/>
        <v/>
      </c>
    </row>
    <row r="263">
      <c r="A263" s="18">
        <f>HYPERLINK("https://app.hubspot.com/contacts/8748051/record/0-1/3414651", 3414651)</f>
        <v>3414651</v>
      </c>
      <c r="B263" s="14" t="s">
        <v>5137</v>
      </c>
      <c r="C263" s="16"/>
      <c r="D263" s="14" t="s">
        <v>5138</v>
      </c>
      <c r="E263" s="32"/>
      <c r="F263" s="32"/>
      <c r="G263" s="32"/>
      <c r="H263" s="24"/>
      <c r="I263" s="24"/>
      <c r="J263" s="24"/>
      <c r="K263" s="18">
        <f>HYPERLINK("https://app.hubspot.com/contacts/8748051/record/0-2/19176740118", 19176740118)</f>
        <v>19176740118</v>
      </c>
      <c r="L263" s="14" t="s">
        <v>4092</v>
      </c>
      <c r="M263" s="18" t="s">
        <v>4093</v>
      </c>
      <c r="N263" s="14"/>
      <c r="O263" s="14"/>
      <c r="P263" s="14"/>
      <c r="Q263" s="14"/>
      <c r="R263" s="14"/>
      <c r="S263" s="24" t="str">
        <f t="shared" ref="S263:U263" si="264">IF(E263&lt;&gt;"","Yes","")</f>
        <v/>
      </c>
      <c r="T263" s="24" t="str">
        <f t="shared" si="264"/>
        <v/>
      </c>
      <c r="U263" s="24" t="str">
        <f t="shared" si="264"/>
        <v/>
      </c>
      <c r="V263" s="24" t="str">
        <f t="shared" si="3"/>
        <v/>
      </c>
      <c r="W263" s="24" t="str">
        <f t="shared" si="4"/>
        <v/>
      </c>
    </row>
    <row r="264">
      <c r="A264" s="18">
        <f>HYPERLINK("https://app.hubspot.com/contacts/8748051/record/0-1/3335101", 3335101)</f>
        <v>3335101</v>
      </c>
      <c r="B264" s="14" t="s">
        <v>5139</v>
      </c>
      <c r="C264" s="16"/>
      <c r="D264" s="16"/>
      <c r="E264" s="32">
        <v>45321.0</v>
      </c>
      <c r="F264" s="32">
        <v>45329.0</v>
      </c>
      <c r="G264" s="32">
        <v>45338.0</v>
      </c>
      <c r="H264" s="24"/>
      <c r="I264" s="24"/>
      <c r="J264" s="24"/>
      <c r="K264" s="18">
        <f>HYPERLINK("https://app.hubspot.com/contacts/8748051/record/0-2/15869619115", 15869619115)</f>
        <v>15869619115</v>
      </c>
      <c r="L264" s="14" t="s">
        <v>2218</v>
      </c>
      <c r="M264" s="18" t="s">
        <v>2219</v>
      </c>
      <c r="N264" s="18">
        <f>HYPERLINK("https://app.hubspot.com/contacts/8748051/record/0-3/17548561436", 17548561436)</f>
        <v>17548561436</v>
      </c>
      <c r="O264" s="14" t="s">
        <v>2217</v>
      </c>
      <c r="P264" s="14" t="s">
        <v>124</v>
      </c>
      <c r="Q264" s="14">
        <v>10000.0</v>
      </c>
      <c r="R264" s="14" t="b">
        <v>1</v>
      </c>
      <c r="S264" s="24" t="str">
        <f t="shared" ref="S264:U264" si="265">IF(E264&lt;&gt;"","Yes","")</f>
        <v>Yes</v>
      </c>
      <c r="T264" s="24" t="str">
        <f t="shared" si="265"/>
        <v>Yes</v>
      </c>
      <c r="U264" s="24" t="str">
        <f t="shared" si="265"/>
        <v>Yes</v>
      </c>
      <c r="V264" s="24" t="str">
        <f t="shared" si="3"/>
        <v/>
      </c>
      <c r="W264" s="24" t="str">
        <f t="shared" si="4"/>
        <v/>
      </c>
    </row>
    <row r="265">
      <c r="A265" s="18">
        <f>HYPERLINK("https://app.hubspot.com/contacts/8748051/record/0-1/3399151", 3399151)</f>
        <v>3399151</v>
      </c>
      <c r="B265" s="14" t="s">
        <v>5140</v>
      </c>
      <c r="C265" s="16"/>
      <c r="D265" s="14"/>
      <c r="E265" s="32">
        <v>45341.0</v>
      </c>
      <c r="F265" s="24"/>
      <c r="G265" s="32">
        <v>45349.0</v>
      </c>
      <c r="H265" s="24"/>
      <c r="I265" s="24"/>
      <c r="J265" s="24"/>
      <c r="K265" s="18">
        <f>HYPERLINK("https://app.hubspot.com/contacts/8748051/record/0-2/7420318749", 7420318749)</f>
        <v>7420318749</v>
      </c>
      <c r="L265" s="14" t="s">
        <v>1944</v>
      </c>
      <c r="M265" s="18" t="s">
        <v>1945</v>
      </c>
      <c r="N265" s="23">
        <f>HYPERLINK("https://app.hubspot.com/contacts/8748051/record/0-3/18403770891", 18403770891)</f>
        <v>18403770891</v>
      </c>
      <c r="O265" s="14" t="s">
        <v>1943</v>
      </c>
      <c r="P265" s="14" t="s">
        <v>124</v>
      </c>
      <c r="Q265" s="14">
        <v>75000.0</v>
      </c>
      <c r="R265" s="14" t="b">
        <v>1</v>
      </c>
      <c r="S265" s="24" t="str">
        <f t="shared" ref="S265:U265" si="266">IF(E265&lt;&gt;"","Yes","")</f>
        <v>Yes</v>
      </c>
      <c r="T265" s="24" t="str">
        <f t="shared" si="266"/>
        <v/>
      </c>
      <c r="U265" s="24" t="str">
        <f t="shared" si="266"/>
        <v>Yes</v>
      </c>
      <c r="V265" s="24" t="str">
        <f t="shared" si="3"/>
        <v/>
      </c>
      <c r="W265" s="24" t="str">
        <f t="shared" si="4"/>
        <v/>
      </c>
    </row>
    <row r="266">
      <c r="A266" s="18">
        <f>HYPERLINK("https://app.hubspot.com/contacts/8748051/record/0-1/3282501", 3282501)</f>
        <v>3282501</v>
      </c>
      <c r="B266" s="14" t="s">
        <v>5141</v>
      </c>
      <c r="C266" s="16"/>
      <c r="D266" s="16"/>
      <c r="E266" s="32">
        <v>45302.0</v>
      </c>
      <c r="F266" s="32"/>
      <c r="G266" s="32">
        <v>45315.0</v>
      </c>
      <c r="H266" s="24"/>
      <c r="I266" s="24"/>
      <c r="J266" s="24"/>
      <c r="K266" s="18">
        <f>HYPERLINK("https://app.hubspot.com/contacts/8748051/record/0-2/8921968153", 8921968153)</f>
        <v>8921968153</v>
      </c>
      <c r="L266" s="14" t="s">
        <v>2341</v>
      </c>
      <c r="M266" s="18" t="s">
        <v>2342</v>
      </c>
      <c r="N266" s="18">
        <f>HYPERLINK("https://app.hubspot.com/contacts/8748051/record/0-3/16974075299", 16974075299)</f>
        <v>16974075299</v>
      </c>
      <c r="O266" s="14" t="s">
        <v>2340</v>
      </c>
      <c r="P266" s="14" t="s">
        <v>118</v>
      </c>
      <c r="Q266" s="14">
        <v>100000.0</v>
      </c>
      <c r="R266" s="14"/>
      <c r="S266" s="24" t="str">
        <f t="shared" ref="S266:U266" si="267">IF(E266&lt;&gt;"","Yes","")</f>
        <v>Yes</v>
      </c>
      <c r="T266" s="24" t="str">
        <f t="shared" si="267"/>
        <v/>
      </c>
      <c r="U266" s="24" t="str">
        <f t="shared" si="267"/>
        <v>Yes</v>
      </c>
      <c r="V266" s="24" t="str">
        <f t="shared" si="3"/>
        <v/>
      </c>
      <c r="W266" s="24" t="str">
        <f t="shared" si="4"/>
        <v/>
      </c>
    </row>
    <row r="267">
      <c r="A267" s="18">
        <f>HYPERLINK("https://app.hubspot.com/contacts/8748051/record/0-1/3335601", 3335601)</f>
        <v>3335601</v>
      </c>
      <c r="B267" s="14" t="s">
        <v>5142</v>
      </c>
      <c r="C267" s="16"/>
      <c r="D267" s="16"/>
      <c r="E267" s="32">
        <v>45321.0</v>
      </c>
      <c r="F267" s="32">
        <v>45328.0</v>
      </c>
      <c r="G267" s="32">
        <v>45328.0</v>
      </c>
      <c r="H267" s="24"/>
      <c r="I267" s="24"/>
      <c r="J267" s="24"/>
      <c r="K267" s="18">
        <f>HYPERLINK("https://app.hubspot.com/contacts/8748051/record/0-2/9238240308", 9238240308)</f>
        <v>9238240308</v>
      </c>
      <c r="L267" s="14" t="s">
        <v>1495</v>
      </c>
      <c r="M267" s="18" t="s">
        <v>1496</v>
      </c>
      <c r="N267" s="23">
        <f>HYPERLINK("https://app.hubspot.com/contacts/8748051/record/0-3/17364383056", 17364383056)</f>
        <v>17364383056</v>
      </c>
      <c r="O267" s="14" t="s">
        <v>2248</v>
      </c>
      <c r="P267" s="14" t="s">
        <v>118</v>
      </c>
      <c r="Q267" s="14">
        <v>11040.0</v>
      </c>
      <c r="R267" s="24"/>
      <c r="S267" s="24" t="str">
        <f t="shared" ref="S267:U267" si="268">IF(E267&lt;&gt;"","Yes","")</f>
        <v>Yes</v>
      </c>
      <c r="T267" s="24" t="str">
        <f t="shared" si="268"/>
        <v>Yes</v>
      </c>
      <c r="U267" s="24" t="str">
        <f t="shared" si="268"/>
        <v>Yes</v>
      </c>
      <c r="V267" s="24" t="str">
        <f t="shared" si="3"/>
        <v/>
      </c>
      <c r="W267" s="24" t="str">
        <f t="shared" si="4"/>
        <v/>
      </c>
    </row>
    <row r="268">
      <c r="A268" s="18">
        <f>HYPERLINK("https://app.hubspot.com/contacts/8748051/record/0-1/3468201", 3468201)</f>
        <v>3468201</v>
      </c>
      <c r="B268" s="14" t="s">
        <v>5143</v>
      </c>
      <c r="C268" s="16"/>
      <c r="D268" s="16"/>
      <c r="E268" s="32">
        <v>45356.0</v>
      </c>
      <c r="F268" s="32"/>
      <c r="G268" s="32"/>
      <c r="H268" s="24"/>
      <c r="I268" s="24"/>
      <c r="J268" s="24"/>
      <c r="K268" s="18">
        <f>HYPERLINK("https://app.hubspot.com/contacts/8748051/record/0-2/19176303192", 19176303192)</f>
        <v>19176303192</v>
      </c>
      <c r="L268" s="14" t="s">
        <v>5144</v>
      </c>
      <c r="M268" s="18" t="s">
        <v>5145</v>
      </c>
      <c r="N268" s="14"/>
      <c r="O268" s="14"/>
      <c r="P268" s="14"/>
      <c r="Q268" s="14"/>
      <c r="R268" s="14"/>
      <c r="S268" s="24" t="str">
        <f t="shared" ref="S268:U268" si="269">IF(E268&lt;&gt;"","Yes","")</f>
        <v>Yes</v>
      </c>
      <c r="T268" s="24" t="str">
        <f t="shared" si="269"/>
        <v/>
      </c>
      <c r="U268" s="24" t="str">
        <f t="shared" si="269"/>
        <v/>
      </c>
      <c r="V268" s="24" t="str">
        <f t="shared" si="3"/>
        <v/>
      </c>
      <c r="W268" s="24" t="str">
        <f t="shared" si="4"/>
        <v/>
      </c>
    </row>
    <row r="269">
      <c r="A269" s="18">
        <f>HYPERLINK("https://app.hubspot.com/contacts/8748051/record/0-1/3405051", 3405051)</f>
        <v>3405051</v>
      </c>
      <c r="B269" s="14" t="s">
        <v>5146</v>
      </c>
      <c r="C269" s="16"/>
      <c r="D269" s="16"/>
      <c r="E269" s="32">
        <v>45344.0</v>
      </c>
      <c r="F269" s="32"/>
      <c r="G269" s="32"/>
      <c r="H269" s="24"/>
      <c r="I269" s="24"/>
      <c r="J269" s="24"/>
      <c r="K269" s="18">
        <f>HYPERLINK("https://app.hubspot.com/contacts/8748051/record/0-2/15711428171", 15711428171)</f>
        <v>15711428171</v>
      </c>
      <c r="L269" s="14" t="s">
        <v>5147</v>
      </c>
      <c r="M269" s="18" t="s">
        <v>5148</v>
      </c>
      <c r="N269" s="14"/>
      <c r="O269" s="14"/>
      <c r="P269" s="14"/>
      <c r="Q269" s="14"/>
      <c r="R269" s="14"/>
      <c r="S269" s="24" t="str">
        <f t="shared" ref="S269:U269" si="270">IF(E269&lt;&gt;"","Yes","")</f>
        <v>Yes</v>
      </c>
      <c r="T269" s="24" t="str">
        <f t="shared" si="270"/>
        <v/>
      </c>
      <c r="U269" s="24" t="str">
        <f t="shared" si="270"/>
        <v/>
      </c>
      <c r="V269" s="24" t="str">
        <f t="shared" si="3"/>
        <v/>
      </c>
      <c r="W269" s="24" t="str">
        <f t="shared" si="4"/>
        <v/>
      </c>
    </row>
    <row r="270">
      <c r="A270" s="18">
        <f>HYPERLINK("https://app.hubspot.com/contacts/8748051/record/0-1/3293351", 3293351)</f>
        <v>3293351</v>
      </c>
      <c r="B270" s="14" t="s">
        <v>5149</v>
      </c>
      <c r="C270" s="16"/>
      <c r="D270" s="16"/>
      <c r="E270" s="32">
        <v>45306.0</v>
      </c>
      <c r="F270" s="32"/>
      <c r="G270" s="32"/>
      <c r="H270" s="24"/>
      <c r="I270" s="24"/>
      <c r="J270" s="24"/>
      <c r="K270" s="18">
        <f>HYPERLINK("https://app.hubspot.com/contacts/8748051/record/0-2/6530174271", 6530174271)</f>
        <v>6530174271</v>
      </c>
      <c r="L270" s="14" t="s">
        <v>2150</v>
      </c>
      <c r="M270" s="18" t="s">
        <v>2151</v>
      </c>
      <c r="N270" s="14"/>
      <c r="O270" s="14"/>
      <c r="P270" s="14"/>
      <c r="Q270" s="14"/>
      <c r="R270" s="14"/>
      <c r="S270" s="24" t="str">
        <f t="shared" ref="S270:U270" si="271">IF(E270&lt;&gt;"","Yes","")</f>
        <v>Yes</v>
      </c>
      <c r="T270" s="24" t="str">
        <f t="shared" si="271"/>
        <v/>
      </c>
      <c r="U270" s="24" t="str">
        <f t="shared" si="271"/>
        <v/>
      </c>
      <c r="V270" s="24" t="str">
        <f t="shared" si="3"/>
        <v/>
      </c>
      <c r="W270" s="24" t="str">
        <f t="shared" si="4"/>
        <v/>
      </c>
    </row>
    <row r="271">
      <c r="A271" s="18">
        <f>HYPERLINK("https://app.hubspot.com/contacts/8748051/record/0-1/3400001", 3400001)</f>
        <v>3400001</v>
      </c>
      <c r="B271" s="14" t="s">
        <v>5150</v>
      </c>
      <c r="C271" s="16"/>
      <c r="D271" s="14"/>
      <c r="E271" s="32">
        <v>45341.0</v>
      </c>
      <c r="F271" s="32">
        <v>45357.0</v>
      </c>
      <c r="G271" s="32">
        <v>45357.0</v>
      </c>
      <c r="H271" s="24"/>
      <c r="I271" s="24"/>
      <c r="J271" s="24"/>
      <c r="K271" s="18">
        <f>HYPERLINK("https://app.hubspot.com/contacts/8748051/record/0-2/7232076364", 7232076364)</f>
        <v>7232076364</v>
      </c>
      <c r="L271" s="14" t="s">
        <v>2133</v>
      </c>
      <c r="M271" s="18" t="s">
        <v>2134</v>
      </c>
      <c r="N271" s="23">
        <f>HYPERLINK("https://app.hubspot.com/contacts/8748051/record/0-3/17886607384", 17886607384)</f>
        <v>17886607384</v>
      </c>
      <c r="O271" s="14" t="s">
        <v>2132</v>
      </c>
      <c r="P271" s="14" t="s">
        <v>118</v>
      </c>
      <c r="Q271" s="14">
        <v>219600.0</v>
      </c>
      <c r="R271" s="24"/>
      <c r="S271" s="24" t="str">
        <f t="shared" ref="S271:U271" si="272">IF(E271&lt;&gt;"","Yes","")</f>
        <v>Yes</v>
      </c>
      <c r="T271" s="24" t="str">
        <f t="shared" si="272"/>
        <v>Yes</v>
      </c>
      <c r="U271" s="24" t="str">
        <f t="shared" si="272"/>
        <v>Yes</v>
      </c>
      <c r="V271" s="24" t="str">
        <f t="shared" si="3"/>
        <v/>
      </c>
      <c r="W271" s="24" t="str">
        <f t="shared" si="4"/>
        <v/>
      </c>
    </row>
    <row r="272">
      <c r="A272" s="18">
        <f>HYPERLINK("https://app.hubspot.com/contacts/8748051/record/0-1/3423751", 3423751)</f>
        <v>3423751</v>
      </c>
      <c r="B272" s="14" t="s">
        <v>5151</v>
      </c>
      <c r="C272" s="16"/>
      <c r="D272" s="16"/>
      <c r="E272" s="32">
        <v>45413.0</v>
      </c>
      <c r="F272" s="32"/>
      <c r="G272" s="32"/>
      <c r="H272" s="24"/>
      <c r="I272" s="24"/>
      <c r="J272" s="24"/>
      <c r="K272" s="18">
        <f>HYPERLINK("https://app.hubspot.com/contacts/8748051/record/0-2/19176516388", 19176516388)</f>
        <v>19176516388</v>
      </c>
      <c r="L272" s="14" t="s">
        <v>5152</v>
      </c>
      <c r="M272" s="18" t="s">
        <v>5153</v>
      </c>
      <c r="N272" s="14"/>
      <c r="O272" s="14"/>
      <c r="P272" s="14"/>
      <c r="Q272" s="14"/>
      <c r="R272" s="14"/>
      <c r="S272" s="24" t="str">
        <f t="shared" ref="S272:U272" si="273">IF(E272&lt;&gt;"","Yes","")</f>
        <v>Yes</v>
      </c>
      <c r="T272" s="24" t="str">
        <f t="shared" si="273"/>
        <v/>
      </c>
      <c r="U272" s="24" t="str">
        <f t="shared" si="273"/>
        <v/>
      </c>
      <c r="V272" s="24" t="str">
        <f t="shared" si="3"/>
        <v/>
      </c>
      <c r="W272" s="24" t="str">
        <f t="shared" si="4"/>
        <v/>
      </c>
    </row>
    <row r="273">
      <c r="A273" s="18">
        <f>HYPERLINK("https://app.hubspot.com/contacts/8748051/record/0-1/3309101", 3309101)</f>
        <v>3309101</v>
      </c>
      <c r="B273" s="14" t="s">
        <v>5154</v>
      </c>
      <c r="C273" s="16"/>
      <c r="D273" s="16"/>
      <c r="E273" s="32">
        <v>45311.0</v>
      </c>
      <c r="F273" s="32">
        <v>45329.0</v>
      </c>
      <c r="G273" s="32">
        <v>45329.0</v>
      </c>
      <c r="H273" s="24"/>
      <c r="I273" s="24"/>
      <c r="J273" s="24"/>
      <c r="K273" s="18">
        <f>HYPERLINK("https://app.hubspot.com/contacts/8748051/record/0-2/9137262742", 9137262742)</f>
        <v>9137262742</v>
      </c>
      <c r="L273" s="14" t="s">
        <v>2269</v>
      </c>
      <c r="M273" s="18" t="s">
        <v>2270</v>
      </c>
      <c r="N273" s="18">
        <f>HYPERLINK("https://app.hubspot.com/contacts/8748051/record/0-3/17273008143", 17273008143)</f>
        <v>17273008143</v>
      </c>
      <c r="O273" s="14" t="s">
        <v>2269</v>
      </c>
      <c r="P273" s="14" t="s">
        <v>118</v>
      </c>
      <c r="Q273" s="14">
        <v>100000.0</v>
      </c>
      <c r="R273" s="14"/>
      <c r="S273" s="24" t="str">
        <f t="shared" ref="S273:U273" si="274">IF(E273&lt;&gt;"","Yes","")</f>
        <v>Yes</v>
      </c>
      <c r="T273" s="24" t="str">
        <f t="shared" si="274"/>
        <v>Yes</v>
      </c>
      <c r="U273" s="24" t="str">
        <f t="shared" si="274"/>
        <v>Yes</v>
      </c>
      <c r="V273" s="24" t="str">
        <f t="shared" si="3"/>
        <v/>
      </c>
      <c r="W273" s="24" t="str">
        <f t="shared" si="4"/>
        <v/>
      </c>
    </row>
    <row r="274">
      <c r="A274" s="18">
        <f>HYPERLINK("https://app.hubspot.com/contacts/8748051/record/0-1/3207651", 3207651)</f>
        <v>3207651</v>
      </c>
      <c r="B274" s="14" t="s">
        <v>5155</v>
      </c>
      <c r="C274" s="16"/>
      <c r="D274" s="16"/>
      <c r="E274" s="32">
        <v>45273.0</v>
      </c>
      <c r="F274" s="32"/>
      <c r="G274" s="32">
        <v>45273.0</v>
      </c>
      <c r="H274" s="24"/>
      <c r="I274" s="24"/>
      <c r="J274" s="24"/>
      <c r="K274" s="18">
        <f>HYPERLINK("https://app.hubspot.com/contacts/8748051/record/0-2/9238357425", 9238357425)</f>
        <v>9238357425</v>
      </c>
      <c r="L274" s="14" t="s">
        <v>2301</v>
      </c>
      <c r="M274" s="18" t="s">
        <v>2302</v>
      </c>
      <c r="N274" s="18">
        <f>HYPERLINK("https://app.hubspot.com/contacts/8748051/record/0-3/17181518890", 17181518890)</f>
        <v>17181518890</v>
      </c>
      <c r="O274" s="14" t="s">
        <v>2300</v>
      </c>
      <c r="P274" s="14" t="s">
        <v>118</v>
      </c>
      <c r="Q274" s="14">
        <v>100000.0</v>
      </c>
      <c r="R274" s="14"/>
      <c r="S274" s="24" t="str">
        <f t="shared" ref="S274:U274" si="275">IF(E274&lt;&gt;"","Yes","")</f>
        <v>Yes</v>
      </c>
      <c r="T274" s="24" t="str">
        <f t="shared" si="275"/>
        <v/>
      </c>
      <c r="U274" s="24" t="str">
        <f t="shared" si="275"/>
        <v>Yes</v>
      </c>
      <c r="V274" s="24" t="str">
        <f t="shared" si="3"/>
        <v/>
      </c>
      <c r="W274" s="24" t="str">
        <f t="shared" si="4"/>
        <v/>
      </c>
    </row>
    <row r="275">
      <c r="A275" s="18">
        <f>HYPERLINK("https://app.hubspot.com/contacts/8748051/record/0-1/3231051", 3231051)</f>
        <v>3231051</v>
      </c>
      <c r="B275" s="14" t="s">
        <v>5156</v>
      </c>
      <c r="C275" s="16"/>
      <c r="D275" s="16"/>
      <c r="E275" s="32">
        <v>45272.0</v>
      </c>
      <c r="F275" s="32"/>
      <c r="G275" s="32">
        <v>45275.0</v>
      </c>
      <c r="H275" s="24"/>
      <c r="I275" s="24"/>
      <c r="J275" s="24"/>
      <c r="K275" s="18">
        <f>HYPERLINK("https://app.hubspot.com/contacts/8748051/record/0-2/7945114506", 7945114506)</f>
        <v>7945114506</v>
      </c>
      <c r="L275" s="14" t="s">
        <v>2405</v>
      </c>
      <c r="M275" s="18" t="s">
        <v>2406</v>
      </c>
      <c r="N275" s="18">
        <f>HYPERLINK("https://app.hubspot.com/contacts/8748051/record/0-3/16527633000", 16527633000)</f>
        <v>16527633000</v>
      </c>
      <c r="O275" s="14" t="s">
        <v>2404</v>
      </c>
      <c r="P275" s="14" t="s">
        <v>118</v>
      </c>
      <c r="Q275" s="14">
        <v>9600.0</v>
      </c>
      <c r="R275" s="14"/>
      <c r="S275" s="24" t="str">
        <f t="shared" ref="S275:U275" si="276">IF(E275&lt;&gt;"","Yes","")</f>
        <v>Yes</v>
      </c>
      <c r="T275" s="24" t="str">
        <f t="shared" si="276"/>
        <v/>
      </c>
      <c r="U275" s="24" t="str">
        <f t="shared" si="276"/>
        <v>Yes</v>
      </c>
      <c r="V275" s="24" t="str">
        <f t="shared" si="3"/>
        <v/>
      </c>
      <c r="W275" s="24" t="str">
        <f t="shared" si="4"/>
        <v/>
      </c>
    </row>
    <row r="276">
      <c r="A276" s="18">
        <f>HYPERLINK("https://app.hubspot.com/contacts/8748051/record/0-1/3284601", 3284601)</f>
        <v>3284601</v>
      </c>
      <c r="B276" s="14" t="s">
        <v>5157</v>
      </c>
      <c r="C276" s="16"/>
      <c r="D276" s="16"/>
      <c r="E276" s="32">
        <v>45302.0</v>
      </c>
      <c r="F276" s="32"/>
      <c r="G276" s="32">
        <v>45316.0</v>
      </c>
      <c r="H276" s="24"/>
      <c r="I276" s="24"/>
      <c r="J276" s="24"/>
      <c r="K276" s="18">
        <f>HYPERLINK("https://app.hubspot.com/contacts/8748051/record/0-2/9186970750", 9186970750)</f>
        <v>9186970750</v>
      </c>
      <c r="L276" s="14" t="s">
        <v>2316</v>
      </c>
      <c r="M276" s="18" t="s">
        <v>2317</v>
      </c>
      <c r="N276" s="23">
        <f>HYPERLINK("https://app.hubspot.com/contacts/8748051/record/0-3/17142722654", 17142722654)</f>
        <v>17142722654</v>
      </c>
      <c r="O276" s="14" t="s">
        <v>2315</v>
      </c>
      <c r="P276" s="14" t="s">
        <v>124</v>
      </c>
      <c r="Q276" s="14">
        <v>10560.0</v>
      </c>
      <c r="R276" s="14" t="b">
        <v>1</v>
      </c>
      <c r="S276" s="24" t="str">
        <f t="shared" ref="S276:U276" si="277">IF(E276&lt;&gt;"","Yes","")</f>
        <v>Yes</v>
      </c>
      <c r="T276" s="24" t="str">
        <f t="shared" si="277"/>
        <v/>
      </c>
      <c r="U276" s="24" t="str">
        <f t="shared" si="277"/>
        <v>Yes</v>
      </c>
      <c r="V276" s="24" t="str">
        <f t="shared" si="3"/>
        <v/>
      </c>
      <c r="W276" s="24" t="str">
        <f t="shared" si="4"/>
        <v/>
      </c>
    </row>
    <row r="277">
      <c r="A277" s="18">
        <f>HYPERLINK("https://app.hubspot.com/contacts/8748051/record/0-1/3372101", 3372101)</f>
        <v>3372101</v>
      </c>
      <c r="B277" s="14" t="s">
        <v>5158</v>
      </c>
      <c r="C277" s="16"/>
      <c r="D277" s="16"/>
      <c r="E277" s="32">
        <v>45334.0</v>
      </c>
      <c r="F277" s="32">
        <v>45345.0</v>
      </c>
      <c r="G277" s="32">
        <v>45345.0</v>
      </c>
      <c r="H277" s="24"/>
      <c r="I277" s="24"/>
      <c r="J277" s="24"/>
      <c r="K277" s="18">
        <f>HYPERLINK("https://app.hubspot.com/contacts/8748051/record/0-2/9238368537", 9238368537)</f>
        <v>9238368537</v>
      </c>
      <c r="L277" s="14" t="s">
        <v>2194</v>
      </c>
      <c r="M277" s="18" t="s">
        <v>2195</v>
      </c>
      <c r="N277" s="23">
        <f>HYPERLINK("https://app.hubspot.com/contacts/8748051/record/0-3/17635669026", 17635669026)</f>
        <v>17635669026</v>
      </c>
      <c r="O277" s="14" t="s">
        <v>2193</v>
      </c>
      <c r="P277" s="14" t="s">
        <v>118</v>
      </c>
      <c r="Q277" s="14">
        <v>7200.0</v>
      </c>
      <c r="R277" s="14"/>
      <c r="S277" s="24" t="str">
        <f t="shared" ref="S277:U277" si="278">IF(E277&lt;&gt;"","Yes","")</f>
        <v>Yes</v>
      </c>
      <c r="T277" s="24" t="str">
        <f t="shared" si="278"/>
        <v>Yes</v>
      </c>
      <c r="U277" s="24" t="str">
        <f t="shared" si="278"/>
        <v>Yes</v>
      </c>
      <c r="V277" s="24" t="str">
        <f t="shared" si="3"/>
        <v/>
      </c>
      <c r="W277" s="24" t="str">
        <f t="shared" si="4"/>
        <v/>
      </c>
    </row>
    <row r="278">
      <c r="A278" s="18">
        <f>HYPERLINK("https://app.hubspot.com/contacts/8748051/record/0-1/3260901", 3260901)</f>
        <v>3260901</v>
      </c>
      <c r="B278" s="14" t="s">
        <v>5159</v>
      </c>
      <c r="C278" s="16"/>
      <c r="D278" s="16"/>
      <c r="E278" s="32">
        <v>45293.0</v>
      </c>
      <c r="F278" s="32">
        <v>45302.0</v>
      </c>
      <c r="G278" s="32">
        <v>45302.0</v>
      </c>
      <c r="H278" s="24"/>
      <c r="I278" s="24"/>
      <c r="J278" s="24"/>
      <c r="K278" s="18">
        <f>HYPERLINK("https://app.hubspot.com/contacts/8748051/record/0-2/8003803471", 8003803471)</f>
        <v>8003803471</v>
      </c>
      <c r="L278" s="14" t="s">
        <v>2365</v>
      </c>
      <c r="M278" s="18" t="s">
        <v>2366</v>
      </c>
      <c r="N278" s="18">
        <f>HYPERLINK("https://app.hubspot.com/contacts/8748051/record/0-3/16853102238", 16853102238)</f>
        <v>16853102238</v>
      </c>
      <c r="O278" s="14" t="s">
        <v>2364</v>
      </c>
      <c r="P278" s="14" t="s">
        <v>118</v>
      </c>
      <c r="Q278" s="14">
        <v>10500.0</v>
      </c>
      <c r="R278" s="24"/>
      <c r="S278" s="24" t="str">
        <f t="shared" ref="S278:U278" si="279">IF(E278&lt;&gt;"","Yes","")</f>
        <v>Yes</v>
      </c>
      <c r="T278" s="24" t="str">
        <f t="shared" si="279"/>
        <v>Yes</v>
      </c>
      <c r="U278" s="24" t="str">
        <f t="shared" si="279"/>
        <v>Yes</v>
      </c>
      <c r="V278" s="24" t="str">
        <f t="shared" si="3"/>
        <v/>
      </c>
      <c r="W278" s="24" t="str">
        <f t="shared" si="4"/>
        <v/>
      </c>
    </row>
    <row r="279">
      <c r="A279" s="18">
        <f>HYPERLINK("https://app.hubspot.com/contacts/8748051/record/0-1/3282701", 3282701)</f>
        <v>3282701</v>
      </c>
      <c r="B279" s="14" t="s">
        <v>5160</v>
      </c>
      <c r="C279" s="16"/>
      <c r="D279" s="16"/>
      <c r="E279" s="32">
        <v>45302.0</v>
      </c>
      <c r="F279" s="32"/>
      <c r="G279" s="32"/>
      <c r="H279" s="24"/>
      <c r="I279" s="24"/>
      <c r="J279" s="24"/>
      <c r="K279" s="18">
        <f>HYPERLINK("https://app.hubspot.com/contacts/8748051/record/0-2/18382656883", 18382656883)</f>
        <v>18382656883</v>
      </c>
      <c r="L279" s="14" t="s">
        <v>303</v>
      </c>
      <c r="M279" s="18" t="s">
        <v>304</v>
      </c>
      <c r="N279" s="24"/>
      <c r="O279" s="14"/>
      <c r="P279" s="14"/>
      <c r="Q279" s="14"/>
      <c r="R279" s="24"/>
      <c r="S279" s="24" t="str">
        <f t="shared" ref="S279:U279" si="280">IF(E279&lt;&gt;"","Yes","")</f>
        <v>Yes</v>
      </c>
      <c r="T279" s="24" t="str">
        <f t="shared" si="280"/>
        <v/>
      </c>
      <c r="U279" s="24" t="str">
        <f t="shared" si="280"/>
        <v/>
      </c>
      <c r="V279" s="24" t="str">
        <f t="shared" si="3"/>
        <v/>
      </c>
      <c r="W279" s="24" t="str">
        <f t="shared" si="4"/>
        <v/>
      </c>
    </row>
    <row r="280">
      <c r="A280" s="18">
        <f>HYPERLINK("https://app.hubspot.com/contacts/8748051/record/0-1/3463201", 3463201)</f>
        <v>3463201</v>
      </c>
      <c r="B280" s="14" t="s">
        <v>5161</v>
      </c>
      <c r="C280" s="16"/>
      <c r="D280" s="16"/>
      <c r="E280" s="32">
        <v>45356.0</v>
      </c>
      <c r="F280" s="32">
        <v>45373.0</v>
      </c>
      <c r="G280" s="32">
        <v>45373.0</v>
      </c>
      <c r="H280" s="24"/>
      <c r="I280" s="24"/>
      <c r="J280" s="24"/>
      <c r="K280" s="18">
        <f>HYPERLINK("https://app.hubspot.com/contacts/8748051/record/0-2/19176598385", 19176598385)</f>
        <v>19176598385</v>
      </c>
      <c r="L280" s="14" t="s">
        <v>2036</v>
      </c>
      <c r="M280" s="18" t="s">
        <v>2037</v>
      </c>
      <c r="N280" s="18">
        <f>HYPERLINK("https://app.hubspot.com/contacts/8748051/record/0-3/18161130936", 18161130936)</f>
        <v>18161130936</v>
      </c>
      <c r="O280" s="14" t="s">
        <v>2034</v>
      </c>
      <c r="P280" s="14" t="s">
        <v>118</v>
      </c>
      <c r="Q280" s="14">
        <v>6500.0</v>
      </c>
      <c r="R280" s="14"/>
      <c r="S280" s="24" t="str">
        <f t="shared" ref="S280:U280" si="281">IF(E280&lt;&gt;"","Yes","")</f>
        <v>Yes</v>
      </c>
      <c r="T280" s="24" t="str">
        <f t="shared" si="281"/>
        <v>Yes</v>
      </c>
      <c r="U280" s="24" t="str">
        <f t="shared" si="281"/>
        <v>Yes</v>
      </c>
      <c r="V280" s="24" t="str">
        <f t="shared" si="3"/>
        <v/>
      </c>
      <c r="W280" s="24" t="str">
        <f t="shared" si="4"/>
        <v/>
      </c>
    </row>
    <row r="281">
      <c r="A281" s="18">
        <f>HYPERLINK("https://app.hubspot.com/contacts/8748051/record/0-1/3438951", 3438951)</f>
        <v>3438951</v>
      </c>
      <c r="B281" s="14" t="s">
        <v>5162</v>
      </c>
      <c r="C281" s="16"/>
      <c r="D281" s="14" t="s">
        <v>5163</v>
      </c>
      <c r="E281" s="32"/>
      <c r="F281" s="32"/>
      <c r="G281" s="32"/>
      <c r="H281" s="24"/>
      <c r="I281" s="24"/>
      <c r="J281" s="24"/>
      <c r="K281" s="18">
        <f>HYPERLINK("https://app.hubspot.com/contacts/8748051/record/0-2/19176652467", 19176652467)</f>
        <v>19176652467</v>
      </c>
      <c r="L281" s="14" t="s">
        <v>5164</v>
      </c>
      <c r="M281" s="18" t="s">
        <v>5165</v>
      </c>
      <c r="N281" s="14"/>
      <c r="O281" s="14"/>
      <c r="P281" s="14"/>
      <c r="Q281" s="14"/>
      <c r="R281" s="24"/>
      <c r="S281" s="24" t="str">
        <f t="shared" ref="S281:U281" si="282">IF(E281&lt;&gt;"","Yes","")</f>
        <v/>
      </c>
      <c r="T281" s="24" t="str">
        <f t="shared" si="282"/>
        <v/>
      </c>
      <c r="U281" s="24" t="str">
        <f t="shared" si="282"/>
        <v/>
      </c>
      <c r="V281" s="24" t="str">
        <f t="shared" si="3"/>
        <v/>
      </c>
      <c r="W281" s="24" t="str">
        <f t="shared" si="4"/>
        <v/>
      </c>
    </row>
    <row r="282">
      <c r="A282" s="18">
        <f>HYPERLINK("https://app.hubspot.com/contacts/8748051/record/0-1/3437901", 3437901)</f>
        <v>3437901</v>
      </c>
      <c r="B282" s="14" t="s">
        <v>5166</v>
      </c>
      <c r="C282" s="16"/>
      <c r="D282" s="14"/>
      <c r="E282" s="32">
        <v>45350.0</v>
      </c>
      <c r="F282" s="32"/>
      <c r="G282" s="32"/>
      <c r="H282" s="24"/>
      <c r="I282" s="24"/>
      <c r="J282" s="24"/>
      <c r="K282" s="18">
        <f>HYPERLINK("https://app.hubspot.com/contacts/8748051/record/0-2/19176516376", 19176516376)</f>
        <v>19176516376</v>
      </c>
      <c r="L282" s="14" t="s">
        <v>5167</v>
      </c>
      <c r="M282" s="18" t="s">
        <v>5168</v>
      </c>
      <c r="N282" s="14"/>
      <c r="O282" s="14"/>
      <c r="P282" s="14"/>
      <c r="Q282" s="14"/>
      <c r="R282" s="14"/>
      <c r="S282" s="24" t="str">
        <f t="shared" ref="S282:U282" si="283">IF(E282&lt;&gt;"","Yes","")</f>
        <v>Yes</v>
      </c>
      <c r="T282" s="24" t="str">
        <f t="shared" si="283"/>
        <v/>
      </c>
      <c r="U282" s="24" t="str">
        <f t="shared" si="283"/>
        <v/>
      </c>
      <c r="V282" s="24" t="str">
        <f t="shared" si="3"/>
        <v/>
      </c>
      <c r="W282" s="24" t="str">
        <f t="shared" si="4"/>
        <v/>
      </c>
    </row>
    <row r="283">
      <c r="A283" s="18">
        <f>HYPERLINK("https://app.hubspot.com/contacts/8748051/record/0-1/3382201", 3382201)</f>
        <v>3382201</v>
      </c>
      <c r="B283" s="14" t="s">
        <v>5169</v>
      </c>
      <c r="C283" s="16"/>
      <c r="D283" s="14"/>
      <c r="E283" s="32">
        <v>45344.0</v>
      </c>
      <c r="F283" s="32">
        <v>45351.0</v>
      </c>
      <c r="G283" s="32">
        <v>45351.0</v>
      </c>
      <c r="H283" s="24"/>
      <c r="I283" s="24"/>
      <c r="J283" s="24"/>
      <c r="K283" s="18">
        <f>HYPERLINK("https://app.hubspot.com/contacts/8748051/record/0-2/6262832278", 6262832278)</f>
        <v>6262832278</v>
      </c>
      <c r="L283" s="14" t="s">
        <v>2179</v>
      </c>
      <c r="M283" s="18" t="s">
        <v>2180</v>
      </c>
      <c r="N283" s="23">
        <f>HYPERLINK("https://app.hubspot.com/contacts/8748051/record/0-3/17677785517", 17677785517)</f>
        <v>17677785517</v>
      </c>
      <c r="O283" s="14" t="s">
        <v>2178</v>
      </c>
      <c r="P283" s="14" t="s">
        <v>124</v>
      </c>
      <c r="Q283" s="14">
        <v>26400.0</v>
      </c>
      <c r="R283" s="14" t="b">
        <v>1</v>
      </c>
      <c r="S283" s="24" t="str">
        <f t="shared" ref="S283:U283" si="284">IF(E283&lt;&gt;"","Yes","")</f>
        <v>Yes</v>
      </c>
      <c r="T283" s="24" t="str">
        <f t="shared" si="284"/>
        <v>Yes</v>
      </c>
      <c r="U283" s="24" t="str">
        <f t="shared" si="284"/>
        <v>Yes</v>
      </c>
      <c r="V283" s="24" t="str">
        <f t="shared" si="3"/>
        <v/>
      </c>
      <c r="W283" s="24" t="str">
        <f t="shared" si="4"/>
        <v/>
      </c>
    </row>
    <row r="284">
      <c r="A284" s="18">
        <f>HYPERLINK("https://app.hubspot.com/contacts/8748051/record/0-1/3346401", 3346401)</f>
        <v>3346401</v>
      </c>
      <c r="B284" s="14" t="s">
        <v>5170</v>
      </c>
      <c r="C284" s="16"/>
      <c r="D284" s="16"/>
      <c r="E284" s="32">
        <v>45324.0</v>
      </c>
      <c r="F284" s="32"/>
      <c r="G284" s="32"/>
      <c r="H284" s="24"/>
      <c r="I284" s="24"/>
      <c r="J284" s="24"/>
      <c r="K284" s="18">
        <f>HYPERLINK("https://app.hubspot.com/contacts/8748051/record/0-2/5851691619", 5851691619)</f>
        <v>5851691619</v>
      </c>
      <c r="L284" s="14" t="s">
        <v>5171</v>
      </c>
      <c r="M284" s="18" t="s">
        <v>5172</v>
      </c>
      <c r="N284" s="24"/>
      <c r="O284" s="14"/>
      <c r="P284" s="14"/>
      <c r="Q284" s="14"/>
      <c r="R284" s="24"/>
      <c r="S284" s="24" t="str">
        <f t="shared" ref="S284:U284" si="285">IF(E284&lt;&gt;"","Yes","")</f>
        <v>Yes</v>
      </c>
      <c r="T284" s="24" t="str">
        <f t="shared" si="285"/>
        <v/>
      </c>
      <c r="U284" s="24" t="str">
        <f t="shared" si="285"/>
        <v/>
      </c>
      <c r="V284" s="24" t="str">
        <f t="shared" si="3"/>
        <v/>
      </c>
      <c r="W284" s="24" t="str">
        <f t="shared" si="4"/>
        <v/>
      </c>
    </row>
    <row r="285">
      <c r="A285" s="18">
        <f>HYPERLINK("https://app.hubspot.com/contacts/8748051/record/0-1/3417751", 3417751)</f>
        <v>3417751</v>
      </c>
      <c r="B285" s="14" t="s">
        <v>5173</v>
      </c>
      <c r="C285" s="16"/>
      <c r="D285" s="14"/>
      <c r="E285" s="32">
        <v>45345.0</v>
      </c>
      <c r="F285" s="32"/>
      <c r="G285" s="32">
        <v>45350.0</v>
      </c>
      <c r="H285" s="24"/>
      <c r="I285" s="24"/>
      <c r="J285" s="24"/>
      <c r="K285" s="18">
        <f>HYPERLINK("https://app.hubspot.com/contacts/8748051/record/0-2/16376183859", 16376183859)</f>
        <v>16376183859</v>
      </c>
      <c r="L285" s="14" t="s">
        <v>2165</v>
      </c>
      <c r="M285" s="18" t="s">
        <v>2166</v>
      </c>
      <c r="N285" s="23">
        <f>HYPERLINK("https://app.hubspot.com/contacts/8748051/record/0-3/17767974585", 17767974585)</f>
        <v>17767974585</v>
      </c>
      <c r="O285" s="14" t="s">
        <v>2164</v>
      </c>
      <c r="P285" s="14" t="s">
        <v>118</v>
      </c>
      <c r="Q285" s="14">
        <v>2880.0</v>
      </c>
      <c r="R285" s="24"/>
      <c r="S285" s="24" t="str">
        <f t="shared" ref="S285:U285" si="286">IF(E285&lt;&gt;"","Yes","")</f>
        <v>Yes</v>
      </c>
      <c r="T285" s="24" t="str">
        <f t="shared" si="286"/>
        <v/>
      </c>
      <c r="U285" s="24" t="str">
        <f t="shared" si="286"/>
        <v>Yes</v>
      </c>
      <c r="V285" s="24" t="str">
        <f t="shared" si="3"/>
        <v/>
      </c>
      <c r="W285" s="24" t="str">
        <f t="shared" si="4"/>
        <v/>
      </c>
    </row>
    <row r="286">
      <c r="A286" s="18">
        <f>HYPERLINK("https://app.hubspot.com/contacts/8748051/record/0-1/3291451", 3291451)</f>
        <v>3291451</v>
      </c>
      <c r="B286" s="14" t="s">
        <v>5174</v>
      </c>
      <c r="C286" s="16"/>
      <c r="D286" s="14" t="s">
        <v>5175</v>
      </c>
      <c r="E286" s="32"/>
      <c r="F286" s="32"/>
      <c r="G286" s="32"/>
      <c r="H286" s="24"/>
      <c r="I286" s="24"/>
      <c r="J286" s="24"/>
      <c r="K286" s="18">
        <f>HYPERLINK("https://app.hubspot.com/contacts/8748051/record/0-2/18708786053", 18708786053)</f>
        <v>18708786053</v>
      </c>
      <c r="L286" s="14" t="s">
        <v>5176</v>
      </c>
      <c r="M286" s="18" t="s">
        <v>5177</v>
      </c>
      <c r="N286" s="14"/>
      <c r="O286" s="14"/>
      <c r="P286" s="14"/>
      <c r="Q286" s="14"/>
      <c r="R286" s="24"/>
      <c r="S286" s="24" t="str">
        <f t="shared" ref="S286:U286" si="287">IF(E286&lt;&gt;"","Yes","")</f>
        <v/>
      </c>
      <c r="T286" s="24" t="str">
        <f t="shared" si="287"/>
        <v/>
      </c>
      <c r="U286" s="24" t="str">
        <f t="shared" si="287"/>
        <v/>
      </c>
      <c r="V286" s="24" t="str">
        <f t="shared" si="3"/>
        <v/>
      </c>
      <c r="W286" s="24" t="str">
        <f t="shared" si="4"/>
        <v/>
      </c>
    </row>
    <row r="287">
      <c r="A287" s="18">
        <f>HYPERLINK("https://app.hubspot.com/contacts/8748051/record/0-1/3311151", 3311151)</f>
        <v>3311151</v>
      </c>
      <c r="B287" s="14" t="s">
        <v>5178</v>
      </c>
      <c r="C287" s="16"/>
      <c r="D287" s="14"/>
      <c r="E287" s="32">
        <v>45312.0</v>
      </c>
      <c r="F287" s="32"/>
      <c r="G287" s="32"/>
      <c r="H287" s="24"/>
      <c r="I287" s="24"/>
      <c r="J287" s="24"/>
      <c r="K287" s="18">
        <f>HYPERLINK("https://app.hubspot.com/contacts/8748051/record/0-2/9238345234", 9238345234)</f>
        <v>9238345234</v>
      </c>
      <c r="L287" s="14" t="s">
        <v>5179</v>
      </c>
      <c r="M287" s="18" t="s">
        <v>5180</v>
      </c>
      <c r="N287" s="14"/>
      <c r="O287" s="14"/>
      <c r="P287" s="14"/>
      <c r="Q287" s="14"/>
      <c r="R287" s="24"/>
      <c r="S287" s="24" t="str">
        <f t="shared" ref="S287:U287" si="288">IF(E287&lt;&gt;"","Yes","")</f>
        <v>Yes</v>
      </c>
      <c r="T287" s="24" t="str">
        <f t="shared" si="288"/>
        <v/>
      </c>
      <c r="U287" s="24" t="str">
        <f t="shared" si="288"/>
        <v/>
      </c>
      <c r="V287" s="24" t="str">
        <f t="shared" si="3"/>
        <v/>
      </c>
      <c r="W287" s="24" t="str">
        <f t="shared" si="4"/>
        <v/>
      </c>
    </row>
    <row r="288">
      <c r="A288" s="18">
        <f>HYPERLINK("https://app.hubspot.com/contacts/8748051/record/0-1/3300951", 3300951)</f>
        <v>3300951</v>
      </c>
      <c r="B288" s="14" t="s">
        <v>5181</v>
      </c>
      <c r="C288" s="16"/>
      <c r="D288" s="14"/>
      <c r="E288" s="32">
        <v>45309.0</v>
      </c>
      <c r="F288" s="32"/>
      <c r="G288" s="32"/>
      <c r="H288" s="24"/>
      <c r="I288" s="24"/>
      <c r="J288" s="24"/>
      <c r="K288" s="18">
        <f>HYPERLINK("https://app.hubspot.com/contacts/8748051/record/0-2/18753844801", 18753844801)</f>
        <v>18753844801</v>
      </c>
      <c r="L288" s="18" t="s">
        <v>5182</v>
      </c>
      <c r="M288" s="18" t="s">
        <v>5182</v>
      </c>
      <c r="N288" s="14"/>
      <c r="O288" s="14"/>
      <c r="P288" s="14"/>
      <c r="Q288" s="14"/>
      <c r="R288" s="14"/>
      <c r="S288" s="24" t="str">
        <f t="shared" ref="S288:U288" si="289">IF(E288&lt;&gt;"","Yes","")</f>
        <v>Yes</v>
      </c>
      <c r="T288" s="24" t="str">
        <f t="shared" si="289"/>
        <v/>
      </c>
      <c r="U288" s="24" t="str">
        <f t="shared" si="289"/>
        <v/>
      </c>
      <c r="V288" s="24" t="str">
        <f t="shared" si="3"/>
        <v/>
      </c>
      <c r="W288" s="24" t="str">
        <f t="shared" si="4"/>
        <v/>
      </c>
    </row>
    <row r="289">
      <c r="A289" s="18">
        <f>HYPERLINK("https://app.hubspot.com/contacts/8748051/record/0-1/3306301", 3306301)</f>
        <v>3306301</v>
      </c>
      <c r="B289" s="14" t="s">
        <v>5183</v>
      </c>
      <c r="C289" s="16"/>
      <c r="D289" s="14" t="s">
        <v>5184</v>
      </c>
      <c r="E289" s="32"/>
      <c r="F289" s="32"/>
      <c r="G289" s="32"/>
      <c r="H289" s="14"/>
      <c r="I289" s="14"/>
      <c r="J289" s="14"/>
      <c r="K289" s="18">
        <f>HYPERLINK("https://app.hubspot.com/contacts/8748051/record/0-2/18766526801", 18766526801)</f>
        <v>18766526801</v>
      </c>
      <c r="L289" s="14" t="s">
        <v>5185</v>
      </c>
      <c r="M289" s="18" t="s">
        <v>5186</v>
      </c>
      <c r="N289" s="14"/>
      <c r="O289" s="14"/>
      <c r="P289" s="14"/>
      <c r="Q289" s="14"/>
      <c r="R289" s="14"/>
      <c r="S289" s="24" t="str">
        <f t="shared" ref="S289:U289" si="290">IF(E289&lt;&gt;"","Yes","")</f>
        <v/>
      </c>
      <c r="T289" s="24" t="str">
        <f t="shared" si="290"/>
        <v/>
      </c>
      <c r="U289" s="24" t="str">
        <f t="shared" si="290"/>
        <v/>
      </c>
      <c r="V289" s="24" t="str">
        <f t="shared" si="3"/>
        <v/>
      </c>
      <c r="W289" s="24" t="str">
        <f t="shared" si="4"/>
        <v/>
      </c>
    </row>
    <row r="290">
      <c r="A290" s="18">
        <f>HYPERLINK("https://app.hubspot.com/contacts/8748051/record/0-1/3329751", 3329751)</f>
        <v>3329751</v>
      </c>
      <c r="B290" s="14" t="s">
        <v>5187</v>
      </c>
      <c r="C290" s="16"/>
      <c r="D290" s="16"/>
      <c r="E290" s="32">
        <v>45318.0</v>
      </c>
      <c r="F290" s="32"/>
      <c r="G290" s="32"/>
      <c r="H290" s="24"/>
      <c r="I290" s="24"/>
      <c r="J290" s="24"/>
      <c r="K290" s="18">
        <f>HYPERLINK("https://app.hubspot.com/contacts/8748051/record/0-2/7945243193", 7945243193)</f>
        <v>7945243193</v>
      </c>
      <c r="L290" s="14" t="s">
        <v>4045</v>
      </c>
      <c r="M290" s="18" t="s">
        <v>4046</v>
      </c>
      <c r="N290" s="14"/>
      <c r="O290" s="14"/>
      <c r="P290" s="14"/>
      <c r="Q290" s="14"/>
      <c r="R290" s="24"/>
      <c r="S290" s="24" t="str">
        <f t="shared" ref="S290:U290" si="291">IF(E290&lt;&gt;"","Yes","")</f>
        <v>Yes</v>
      </c>
      <c r="T290" s="24" t="str">
        <f t="shared" si="291"/>
        <v/>
      </c>
      <c r="U290" s="24" t="str">
        <f t="shared" si="291"/>
        <v/>
      </c>
      <c r="V290" s="24" t="str">
        <f t="shared" si="3"/>
        <v/>
      </c>
      <c r="W290" s="24" t="str">
        <f t="shared" si="4"/>
        <v/>
      </c>
    </row>
    <row r="291">
      <c r="A291" s="18">
        <f>HYPERLINK("https://app.hubspot.com/contacts/8748051/record/0-1/3309701", 3309701)</f>
        <v>3309701</v>
      </c>
      <c r="B291" s="14" t="s">
        <v>5188</v>
      </c>
      <c r="C291" s="16"/>
      <c r="D291" s="16"/>
      <c r="E291" s="32">
        <v>45311.0</v>
      </c>
      <c r="F291" s="32">
        <v>45324.0</v>
      </c>
      <c r="G291" s="32">
        <v>45324.0</v>
      </c>
      <c r="H291" s="24"/>
      <c r="I291" s="24"/>
      <c r="J291" s="24"/>
      <c r="K291" s="18">
        <f>HYPERLINK("https://app.hubspot.com/contacts/8748051/record/0-2/7721411430", 7721411430)</f>
        <v>7721411430</v>
      </c>
      <c r="L291" s="14" t="s">
        <v>2272</v>
      </c>
      <c r="M291" s="18" t="s">
        <v>2273</v>
      </c>
      <c r="N291" s="18">
        <f>HYPERLINK("https://app.hubspot.com/contacts/8748051/record/0-3/17272674726", 17272674726)</f>
        <v>17272674726</v>
      </c>
      <c r="O291" s="14" t="s">
        <v>2271</v>
      </c>
      <c r="P291" s="14" t="s">
        <v>118</v>
      </c>
      <c r="Q291" s="14">
        <v>20500.0</v>
      </c>
      <c r="R291" s="14"/>
      <c r="S291" s="24" t="str">
        <f t="shared" ref="S291:U291" si="292">IF(E291&lt;&gt;"","Yes","")</f>
        <v>Yes</v>
      </c>
      <c r="T291" s="24" t="str">
        <f t="shared" si="292"/>
        <v>Yes</v>
      </c>
      <c r="U291" s="24" t="str">
        <f t="shared" si="292"/>
        <v>Yes</v>
      </c>
      <c r="V291" s="24" t="str">
        <f t="shared" si="3"/>
        <v/>
      </c>
      <c r="W291" s="24" t="str">
        <f t="shared" si="4"/>
        <v/>
      </c>
    </row>
    <row r="292">
      <c r="A292" s="18">
        <f>HYPERLINK("https://app.hubspot.com/contacts/8748051/record/0-1/3370201", 3370201)</f>
        <v>3370201</v>
      </c>
      <c r="B292" s="14" t="s">
        <v>5189</v>
      </c>
      <c r="C292" s="16"/>
      <c r="D292" s="14"/>
      <c r="E292" s="32">
        <v>45331.0</v>
      </c>
      <c r="F292" s="32"/>
      <c r="G292" s="32"/>
      <c r="H292" s="24"/>
      <c r="I292" s="24"/>
      <c r="J292" s="24"/>
      <c r="K292" s="18">
        <f>HYPERLINK("https://app.hubspot.com/contacts/8748051/record/0-2/15268028833", 15268028833)</f>
        <v>15268028833</v>
      </c>
      <c r="L292" s="14" t="s">
        <v>5190</v>
      </c>
      <c r="M292" s="18" t="s">
        <v>5191</v>
      </c>
      <c r="N292" s="14"/>
      <c r="O292" s="14"/>
      <c r="P292" s="14"/>
      <c r="Q292" s="14"/>
      <c r="R292" s="14"/>
      <c r="S292" s="24" t="str">
        <f t="shared" ref="S292:U292" si="293">IF(E292&lt;&gt;"","Yes","")</f>
        <v>Yes</v>
      </c>
      <c r="T292" s="24" t="str">
        <f t="shared" si="293"/>
        <v/>
      </c>
      <c r="U292" s="24" t="str">
        <f t="shared" si="293"/>
        <v/>
      </c>
      <c r="V292" s="24" t="str">
        <f t="shared" si="3"/>
        <v/>
      </c>
      <c r="W292" s="24" t="str">
        <f t="shared" si="4"/>
        <v/>
      </c>
    </row>
    <row r="293">
      <c r="A293" s="18">
        <f>HYPERLINK("https://app.hubspot.com/contacts/8748051/record/0-1/3469401", 3469401)</f>
        <v>3469401</v>
      </c>
      <c r="B293" s="14" t="s">
        <v>5192</v>
      </c>
      <c r="C293" s="16"/>
      <c r="D293" s="14"/>
      <c r="E293" s="32">
        <v>45357.0</v>
      </c>
      <c r="F293" s="32"/>
      <c r="G293" s="32"/>
      <c r="H293" s="24"/>
      <c r="I293" s="24"/>
      <c r="J293" s="24"/>
      <c r="K293" s="18">
        <f>HYPERLINK("https://app.hubspot.com/contacts/8748051/record/0-2/19176524566", 19176524566)</f>
        <v>19176524566</v>
      </c>
      <c r="L293" s="18" t="s">
        <v>5193</v>
      </c>
      <c r="M293" s="18" t="s">
        <v>5194</v>
      </c>
      <c r="N293" s="14"/>
      <c r="O293" s="14"/>
      <c r="P293" s="14"/>
      <c r="Q293" s="14"/>
      <c r="R293" s="24"/>
      <c r="S293" s="24" t="str">
        <f t="shared" ref="S293:U293" si="294">IF(E293&lt;&gt;"","Yes","")</f>
        <v>Yes</v>
      </c>
      <c r="T293" s="24" t="str">
        <f t="shared" si="294"/>
        <v/>
      </c>
      <c r="U293" s="24" t="str">
        <f t="shared" si="294"/>
        <v/>
      </c>
      <c r="V293" s="24" t="str">
        <f t="shared" si="3"/>
        <v/>
      </c>
      <c r="W293" s="24" t="str">
        <f t="shared" si="4"/>
        <v/>
      </c>
    </row>
    <row r="294">
      <c r="A294" s="18">
        <f>HYPERLINK("https://app.hubspot.com/contacts/8748051/record/0-1/3311451", 3311451)</f>
        <v>3311451</v>
      </c>
      <c r="B294" s="14" t="s">
        <v>5195</v>
      </c>
      <c r="C294" s="16"/>
      <c r="D294" s="16"/>
      <c r="E294" s="32">
        <v>45313.0</v>
      </c>
      <c r="F294" s="32">
        <v>45435.0</v>
      </c>
      <c r="G294" s="32">
        <v>45316.0</v>
      </c>
      <c r="H294" s="24"/>
      <c r="I294" s="24"/>
      <c r="J294" s="24"/>
      <c r="K294" s="18">
        <f>HYPERLINK("https://app.hubspot.com/contacts/8748051/record/0-2/8310486294", 8310486294)</f>
        <v>8310486294</v>
      </c>
      <c r="L294" s="14" t="s">
        <v>2290</v>
      </c>
      <c r="M294" s="18" t="s">
        <v>2291</v>
      </c>
      <c r="N294" s="23">
        <f>HYPERLINK("https://app.hubspot.com/contacts/8748051/record/0-3/17181670915", 17181670915)</f>
        <v>17181670915</v>
      </c>
      <c r="O294" s="14" t="s">
        <v>2289</v>
      </c>
      <c r="P294" s="14" t="s">
        <v>118</v>
      </c>
      <c r="Q294" s="14">
        <v>29000.0</v>
      </c>
      <c r="R294" s="14"/>
      <c r="S294" s="24" t="str">
        <f t="shared" ref="S294:U294" si="295">IF(E294&lt;&gt;"","Yes","")</f>
        <v>Yes</v>
      </c>
      <c r="T294" s="24" t="str">
        <f t="shared" si="295"/>
        <v>Yes</v>
      </c>
      <c r="U294" s="24" t="str">
        <f t="shared" si="295"/>
        <v>Yes</v>
      </c>
      <c r="V294" s="24" t="str">
        <f t="shared" si="3"/>
        <v/>
      </c>
      <c r="W294" s="24" t="str">
        <f t="shared" si="4"/>
        <v/>
      </c>
    </row>
    <row r="295">
      <c r="A295" s="18">
        <f>HYPERLINK("https://app.hubspot.com/contacts/8748051/record/0-1/3263951", 3263951)</f>
        <v>3263951</v>
      </c>
      <c r="B295" s="14" t="s">
        <v>5196</v>
      </c>
      <c r="C295" s="16"/>
      <c r="D295" s="14"/>
      <c r="E295" s="32">
        <v>45294.0</v>
      </c>
      <c r="F295" s="32"/>
      <c r="G295" s="32"/>
      <c r="H295" s="24"/>
      <c r="I295" s="24"/>
      <c r="J295" s="24"/>
      <c r="K295" s="18">
        <f>HYPERLINK("https://app.hubspot.com/contacts/8748051/record/0-2/8125402385", 8125402385)</f>
        <v>8125402385</v>
      </c>
      <c r="L295" s="14" t="s">
        <v>2256</v>
      </c>
      <c r="M295" s="18" t="s">
        <v>2257</v>
      </c>
      <c r="N295" s="14"/>
      <c r="O295" s="14"/>
      <c r="P295" s="14"/>
      <c r="Q295" s="14"/>
      <c r="R295" s="14"/>
      <c r="S295" s="24" t="str">
        <f t="shared" ref="S295:U295" si="296">IF(E295&lt;&gt;"","Yes","")</f>
        <v>Yes</v>
      </c>
      <c r="T295" s="24" t="str">
        <f t="shared" si="296"/>
        <v/>
      </c>
      <c r="U295" s="24" t="str">
        <f t="shared" si="296"/>
        <v/>
      </c>
      <c r="V295" s="24" t="str">
        <f t="shared" si="3"/>
        <v/>
      </c>
      <c r="W295" s="24" t="str">
        <f t="shared" si="4"/>
        <v/>
      </c>
    </row>
    <row r="296">
      <c r="A296" s="18">
        <f>HYPERLINK("https://app.hubspot.com/contacts/8748051/record/0-1/3285901", 3285901)</f>
        <v>3285901</v>
      </c>
      <c r="B296" s="14" t="s">
        <v>5197</v>
      </c>
      <c r="C296" s="16"/>
      <c r="D296" s="16"/>
      <c r="E296" s="32">
        <v>45303.0</v>
      </c>
      <c r="F296" s="32">
        <v>45308.0</v>
      </c>
      <c r="G296" s="32">
        <v>45308.0</v>
      </c>
      <c r="H296" s="24"/>
      <c r="I296" s="24"/>
      <c r="J296" s="24"/>
      <c r="K296" s="18">
        <f>HYPERLINK("https://app.hubspot.com/contacts/8748051/record/0-2/7752315399", 7752315399)</f>
        <v>7752315399</v>
      </c>
      <c r="L296" s="14" t="s">
        <v>2338</v>
      </c>
      <c r="M296" s="18" t="s">
        <v>2339</v>
      </c>
      <c r="N296" s="23">
        <f>HYPERLINK("https://app.hubspot.com/contacts/8748051/record/0-3/16974250360", 16974250360)</f>
        <v>16974250360</v>
      </c>
      <c r="O296" s="14" t="s">
        <v>2337</v>
      </c>
      <c r="P296" s="14" t="s">
        <v>118</v>
      </c>
      <c r="Q296" s="14">
        <v>91500.0</v>
      </c>
      <c r="R296" s="24"/>
      <c r="S296" s="24" t="str">
        <f t="shared" ref="S296:U296" si="297">IF(E296&lt;&gt;"","Yes","")</f>
        <v>Yes</v>
      </c>
      <c r="T296" s="24" t="str">
        <f t="shared" si="297"/>
        <v>Yes</v>
      </c>
      <c r="U296" s="24" t="str">
        <f t="shared" si="297"/>
        <v>Yes</v>
      </c>
      <c r="V296" s="24" t="str">
        <f t="shared" si="3"/>
        <v/>
      </c>
      <c r="W296" s="24" t="str">
        <f t="shared" si="4"/>
        <v/>
      </c>
    </row>
    <row r="297">
      <c r="A297" s="18">
        <f>HYPERLINK("https://app.hubspot.com/contacts/8748051/record/0-1/3393851", 3393851)</f>
        <v>3393851</v>
      </c>
      <c r="B297" s="14" t="s">
        <v>5198</v>
      </c>
      <c r="C297" s="16"/>
      <c r="D297" s="16"/>
      <c r="E297" s="32">
        <v>45376.0</v>
      </c>
      <c r="F297" s="32"/>
      <c r="G297" s="32"/>
      <c r="H297" s="24"/>
      <c r="I297" s="24"/>
      <c r="J297" s="24"/>
      <c r="K297" s="18">
        <f>HYPERLINK("https://app.hubspot.com/contacts/8748051/record/0-2/7822059172", 7822059172)</f>
        <v>7822059172</v>
      </c>
      <c r="L297" s="14" t="s">
        <v>2927</v>
      </c>
      <c r="M297" s="18" t="s">
        <v>2928</v>
      </c>
      <c r="N297" s="14"/>
      <c r="O297" s="14"/>
      <c r="P297" s="14"/>
      <c r="Q297" s="14"/>
      <c r="R297" s="24"/>
      <c r="S297" s="24" t="str">
        <f t="shared" ref="S297:U297" si="298">IF(E297&lt;&gt;"","Yes","")</f>
        <v>Yes</v>
      </c>
      <c r="T297" s="24" t="str">
        <f t="shared" si="298"/>
        <v/>
      </c>
      <c r="U297" s="24" t="str">
        <f t="shared" si="298"/>
        <v/>
      </c>
      <c r="V297" s="24" t="str">
        <f t="shared" si="3"/>
        <v/>
      </c>
      <c r="W297" s="24" t="str">
        <f t="shared" si="4"/>
        <v/>
      </c>
    </row>
    <row r="298">
      <c r="A298" s="18">
        <f>HYPERLINK("https://app.hubspot.com/contacts/8748051/record/0-1/3422451", 3422451)</f>
        <v>3422451</v>
      </c>
      <c r="B298" s="14" t="s">
        <v>5199</v>
      </c>
      <c r="C298" s="16"/>
      <c r="D298" s="14" t="s">
        <v>4248</v>
      </c>
      <c r="E298" s="32"/>
      <c r="F298" s="32"/>
      <c r="G298" s="32"/>
      <c r="H298" s="24"/>
      <c r="I298" s="24"/>
      <c r="J298" s="24"/>
      <c r="K298" s="18">
        <f>HYPERLINK("https://app.hubspot.com/contacts/8748051/record/0-2/8142694742", 8142694742)</f>
        <v>8142694742</v>
      </c>
      <c r="L298" s="14" t="s">
        <v>5200</v>
      </c>
      <c r="M298" s="18" t="s">
        <v>5201</v>
      </c>
      <c r="N298" s="24"/>
      <c r="O298" s="14"/>
      <c r="P298" s="14"/>
      <c r="Q298" s="14"/>
      <c r="R298" s="24"/>
      <c r="S298" s="24" t="str">
        <f t="shared" ref="S298:U298" si="299">IF(E298&lt;&gt;"","Yes","")</f>
        <v/>
      </c>
      <c r="T298" s="24" t="str">
        <f t="shared" si="299"/>
        <v/>
      </c>
      <c r="U298" s="24" t="str">
        <f t="shared" si="299"/>
        <v/>
      </c>
      <c r="V298" s="24" t="str">
        <f t="shared" si="3"/>
        <v/>
      </c>
      <c r="W298" s="24" t="str">
        <f t="shared" si="4"/>
        <v/>
      </c>
    </row>
    <row r="299">
      <c r="A299" s="18">
        <f>HYPERLINK("https://app.hubspot.com/contacts/8748051/record/0-1/3202801", 3202801)</f>
        <v>3202801</v>
      </c>
      <c r="B299" s="14" t="s">
        <v>5202</v>
      </c>
      <c r="C299" s="16"/>
      <c r="D299" s="14"/>
      <c r="E299" s="32">
        <v>45272.0</v>
      </c>
      <c r="F299" s="32"/>
      <c r="G299" s="32"/>
      <c r="H299" s="24"/>
      <c r="I299" s="24"/>
      <c r="J299" s="24"/>
      <c r="K299" s="18">
        <f>HYPERLINK("https://app.hubspot.com/contacts/8748051/record/0-2/9238358155", 9238358155)</f>
        <v>9238358155</v>
      </c>
      <c r="L299" s="14" t="s">
        <v>5203</v>
      </c>
      <c r="M299" s="18" t="s">
        <v>5204</v>
      </c>
      <c r="N299" s="24"/>
      <c r="O299" s="14"/>
      <c r="P299" s="14"/>
      <c r="Q299" s="14"/>
      <c r="R299" s="24"/>
      <c r="S299" s="24" t="str">
        <f t="shared" ref="S299:U299" si="300">IF(E299&lt;&gt;"","Yes","")</f>
        <v>Yes</v>
      </c>
      <c r="T299" s="24" t="str">
        <f t="shared" si="300"/>
        <v/>
      </c>
      <c r="U299" s="24" t="str">
        <f t="shared" si="300"/>
        <v/>
      </c>
      <c r="V299" s="24" t="str">
        <f t="shared" si="3"/>
        <v/>
      </c>
      <c r="W299" s="24" t="str">
        <f t="shared" si="4"/>
        <v/>
      </c>
    </row>
    <row r="300">
      <c r="A300" s="18">
        <f>HYPERLINK("https://app.hubspot.com/contacts/8748051/record/0-1/3389701", 3389701)</f>
        <v>3389701</v>
      </c>
      <c r="B300" s="14" t="s">
        <v>5205</v>
      </c>
      <c r="C300" s="16"/>
      <c r="D300" s="14"/>
      <c r="E300" s="32">
        <v>45337.0</v>
      </c>
      <c r="F300" s="24"/>
      <c r="G300" s="24"/>
      <c r="H300" s="24"/>
      <c r="I300" s="24"/>
      <c r="J300" s="24"/>
      <c r="K300" s="18">
        <f>HYPERLINK("https://app.hubspot.com/contacts/8748051/record/0-2/6816459149", 6816459149)</f>
        <v>6816459149</v>
      </c>
      <c r="L300" s="14" t="s">
        <v>5206</v>
      </c>
      <c r="M300" s="18" t="s">
        <v>5207</v>
      </c>
      <c r="N300" s="24"/>
      <c r="O300" s="24"/>
      <c r="P300" s="24"/>
      <c r="Q300" s="24"/>
      <c r="R300" s="24"/>
      <c r="S300" s="24" t="str">
        <f t="shared" ref="S300:U300" si="301">IF(E300&lt;&gt;"","Yes","")</f>
        <v>Yes</v>
      </c>
      <c r="T300" s="24" t="str">
        <f t="shared" si="301"/>
        <v/>
      </c>
      <c r="U300" s="24" t="str">
        <f t="shared" si="301"/>
        <v/>
      </c>
      <c r="V300" s="24" t="str">
        <f t="shared" si="3"/>
        <v/>
      </c>
      <c r="W300" s="24" t="str">
        <f t="shared" si="4"/>
        <v/>
      </c>
    </row>
    <row r="301">
      <c r="A301" s="18">
        <f>HYPERLINK("https://app.hubspot.com/contacts/8748051/record/0-1/3340251", 3340251)</f>
        <v>3340251</v>
      </c>
      <c r="B301" s="14" t="s">
        <v>5208</v>
      </c>
      <c r="C301" s="16"/>
      <c r="D301" s="16"/>
      <c r="E301" s="32">
        <v>45322.0</v>
      </c>
      <c r="F301" s="32"/>
      <c r="G301" s="32"/>
      <c r="H301" s="24"/>
      <c r="I301" s="24"/>
      <c r="J301" s="24"/>
      <c r="K301" s="18">
        <f>HYPERLINK("https://app.hubspot.com/contacts/8748051/record/0-2/8717671792", 8717671792)</f>
        <v>8717671792</v>
      </c>
      <c r="L301" s="14" t="s">
        <v>5209</v>
      </c>
      <c r="M301" s="18" t="s">
        <v>5210</v>
      </c>
      <c r="N301" s="14"/>
      <c r="O301" s="14"/>
      <c r="P301" s="14"/>
      <c r="Q301" s="14"/>
      <c r="R301" s="24"/>
      <c r="S301" s="24" t="str">
        <f t="shared" ref="S301:U301" si="302">IF(E301&lt;&gt;"","Yes","")</f>
        <v>Yes</v>
      </c>
      <c r="T301" s="24" t="str">
        <f t="shared" si="302"/>
        <v/>
      </c>
      <c r="U301" s="24" t="str">
        <f t="shared" si="302"/>
        <v/>
      </c>
      <c r="V301" s="24" t="str">
        <f t="shared" si="3"/>
        <v/>
      </c>
      <c r="W301" s="24" t="str">
        <f t="shared" si="4"/>
        <v/>
      </c>
    </row>
    <row r="302">
      <c r="A302" s="18">
        <f>HYPERLINK("https://app.hubspot.com/contacts/8748051/record/0-1/3335401", 3335401)</f>
        <v>3335401</v>
      </c>
      <c r="B302" s="14" t="s">
        <v>3942</v>
      </c>
      <c r="C302" s="16">
        <v>45546.61298611111</v>
      </c>
      <c r="D302" s="16"/>
      <c r="E302" s="32">
        <v>45321.0</v>
      </c>
      <c r="F302" s="32">
        <v>45328.0</v>
      </c>
      <c r="G302" s="32">
        <v>45328.0</v>
      </c>
      <c r="H302" s="24"/>
      <c r="I302" s="24"/>
      <c r="J302" s="24"/>
      <c r="K302" s="18">
        <f>HYPERLINK("https://app.hubspot.com/contacts/8748051/record/0-2/9238240308", 9238240308)</f>
        <v>9238240308</v>
      </c>
      <c r="L302" s="14" t="s">
        <v>1495</v>
      </c>
      <c r="M302" s="18" t="s">
        <v>1496</v>
      </c>
      <c r="N302" s="18">
        <f>HYPERLINK("https://app.hubspot.com/contacts/8748051/record/0-3/17364383056", 17364383056)</f>
        <v>17364383056</v>
      </c>
      <c r="O302" s="14" t="s">
        <v>2248</v>
      </c>
      <c r="P302" s="14" t="s">
        <v>118</v>
      </c>
      <c r="Q302" s="14">
        <v>11040.0</v>
      </c>
      <c r="R302" s="24"/>
      <c r="S302" s="24" t="str">
        <f t="shared" ref="S302:U302" si="303">IF(E302&lt;&gt;"","Yes","")</f>
        <v>Yes</v>
      </c>
      <c r="T302" s="24" t="str">
        <f t="shared" si="303"/>
        <v>Yes</v>
      </c>
      <c r="U302" s="24" t="str">
        <f t="shared" si="303"/>
        <v>Yes</v>
      </c>
      <c r="V302" s="24" t="str">
        <f t="shared" si="3"/>
        <v/>
      </c>
      <c r="W302" s="24" t="str">
        <f t="shared" si="4"/>
        <v/>
      </c>
    </row>
    <row r="303">
      <c r="A303" s="18">
        <f>HYPERLINK("https://app.hubspot.com/contacts/8748051/record/0-1/5748956717", 5748956717)</f>
        <v>5748956717</v>
      </c>
      <c r="B303" s="14" t="s">
        <v>5211</v>
      </c>
      <c r="C303" s="16"/>
      <c r="D303" s="16"/>
      <c r="E303" s="32">
        <v>45374.0</v>
      </c>
      <c r="F303" s="32"/>
      <c r="G303" s="32"/>
      <c r="H303" s="24"/>
      <c r="I303" s="24"/>
      <c r="J303" s="24"/>
      <c r="K303" s="18">
        <f>HYPERLINK("https://app.hubspot.com/contacts/8748051/record/0-2/36370816294", 36370816294)</f>
        <v>36370816294</v>
      </c>
      <c r="L303" s="14" t="s">
        <v>5212</v>
      </c>
      <c r="M303" s="18" t="s">
        <v>5213</v>
      </c>
      <c r="N303" s="14"/>
      <c r="O303" s="14"/>
      <c r="P303" s="14"/>
      <c r="Q303" s="14"/>
      <c r="R303" s="14"/>
      <c r="S303" s="24" t="str">
        <f t="shared" ref="S303:U303" si="304">IF(E303&lt;&gt;"","Yes","")</f>
        <v>Yes</v>
      </c>
      <c r="T303" s="24" t="str">
        <f t="shared" si="304"/>
        <v/>
      </c>
      <c r="U303" s="24" t="str">
        <f t="shared" si="304"/>
        <v/>
      </c>
      <c r="V303" s="24" t="str">
        <f t="shared" si="3"/>
        <v/>
      </c>
      <c r="W303" s="24" t="str">
        <f t="shared" si="4"/>
        <v/>
      </c>
    </row>
    <row r="304">
      <c r="A304" s="18">
        <f>HYPERLINK("https://app.hubspot.com/contacts/8748051/record/0-1/7422850433", 7422850433)</f>
        <v>7422850433</v>
      </c>
      <c r="B304" s="14" t="s">
        <v>5214</v>
      </c>
      <c r="C304" s="16"/>
      <c r="D304" s="16"/>
      <c r="E304" s="32">
        <v>45380.0</v>
      </c>
      <c r="F304" s="32">
        <v>45418.0</v>
      </c>
      <c r="G304" s="32">
        <v>45429.0</v>
      </c>
      <c r="H304" s="24"/>
      <c r="I304" s="24"/>
      <c r="J304" s="24"/>
      <c r="K304" s="18">
        <f>HYPERLINK("https://app.hubspot.com/contacts/8748051/record/0-2/16065697119", 16065697119)</f>
        <v>16065697119</v>
      </c>
      <c r="L304" s="14" t="s">
        <v>1794</v>
      </c>
      <c r="M304" s="18" t="s">
        <v>1795</v>
      </c>
      <c r="N304" s="18">
        <f>HYPERLINK("https://app.hubspot.com/contacts/8748051/record/0-3/19148605769", 19148605769)</f>
        <v>19148605769</v>
      </c>
      <c r="O304" s="14" t="s">
        <v>1793</v>
      </c>
      <c r="P304" s="14" t="s">
        <v>118</v>
      </c>
      <c r="Q304" s="14">
        <v>9840.0</v>
      </c>
      <c r="R304" s="14"/>
      <c r="S304" s="24" t="str">
        <f t="shared" ref="S304:U304" si="305">IF(E304&lt;&gt;"","Yes","")</f>
        <v>Yes</v>
      </c>
      <c r="T304" s="24" t="str">
        <f t="shared" si="305"/>
        <v>Yes</v>
      </c>
      <c r="U304" s="24" t="str">
        <f t="shared" si="305"/>
        <v>Yes</v>
      </c>
      <c r="V304" s="24" t="str">
        <f t="shared" si="3"/>
        <v/>
      </c>
      <c r="W304" s="24" t="str">
        <f t="shared" si="4"/>
        <v/>
      </c>
    </row>
    <row r="305">
      <c r="A305" s="18">
        <f>HYPERLINK("https://app.hubspot.com/contacts/8748051/record/0-1/6455105694", 6455105694)</f>
        <v>6455105694</v>
      </c>
      <c r="B305" s="14" t="s">
        <v>5215</v>
      </c>
      <c r="C305" s="16"/>
      <c r="D305" s="16"/>
      <c r="E305" s="32">
        <v>45377.0</v>
      </c>
      <c r="F305" s="32"/>
      <c r="G305" s="32"/>
      <c r="H305" s="24"/>
      <c r="I305" s="24"/>
      <c r="J305" s="24"/>
      <c r="K305" s="18">
        <f>HYPERLINK("https://app.hubspot.com/contacts/8748051/record/0-2/32765662230", 32765662230)</f>
        <v>32765662230</v>
      </c>
      <c r="L305" s="14" t="s">
        <v>5216</v>
      </c>
      <c r="M305" s="18" t="s">
        <v>5217</v>
      </c>
      <c r="N305" s="14"/>
      <c r="O305" s="14"/>
      <c r="P305" s="14"/>
      <c r="Q305" s="14"/>
      <c r="R305" s="14"/>
      <c r="S305" s="24" t="str">
        <f t="shared" ref="S305:U305" si="306">IF(E305&lt;&gt;"","Yes","")</f>
        <v>Yes</v>
      </c>
      <c r="T305" s="24" t="str">
        <f t="shared" si="306"/>
        <v/>
      </c>
      <c r="U305" s="24" t="str">
        <f t="shared" si="306"/>
        <v/>
      </c>
      <c r="V305" s="24" t="str">
        <f t="shared" si="3"/>
        <v/>
      </c>
      <c r="W305" s="24" t="str">
        <f t="shared" si="4"/>
        <v/>
      </c>
    </row>
    <row r="306">
      <c r="A306" s="18">
        <f>HYPERLINK("https://app.hubspot.com/contacts/8748051/record/0-1/3511251", 3511251)</f>
        <v>3511251</v>
      </c>
      <c r="B306" s="14" t="s">
        <v>5218</v>
      </c>
      <c r="C306" s="16"/>
      <c r="D306" s="14"/>
      <c r="E306" s="32">
        <v>45363.0</v>
      </c>
      <c r="F306" s="32">
        <v>45372.0</v>
      </c>
      <c r="G306" s="32">
        <v>45372.0</v>
      </c>
      <c r="H306" s="24"/>
      <c r="I306" s="24"/>
      <c r="J306" s="24"/>
      <c r="K306" s="18">
        <f>HYPERLINK("https://app.hubspot.com/contacts/8748051/record/0-2/8714365305", 8714365305)</f>
        <v>8714365305</v>
      </c>
      <c r="L306" s="14" t="s">
        <v>2073</v>
      </c>
      <c r="M306" s="18" t="s">
        <v>2074</v>
      </c>
      <c r="N306" s="23">
        <f>HYPERLINK("https://app.hubspot.com/contacts/8748051/record/0-3/18054714713", 18054714713)</f>
        <v>18054714713</v>
      </c>
      <c r="O306" s="14" t="s">
        <v>2072</v>
      </c>
      <c r="P306" s="14" t="s">
        <v>118</v>
      </c>
      <c r="Q306" s="14">
        <v>6960.0</v>
      </c>
      <c r="R306" s="24"/>
      <c r="S306" s="24" t="str">
        <f t="shared" ref="S306:U306" si="307">IF(E306&lt;&gt;"","Yes","")</f>
        <v>Yes</v>
      </c>
      <c r="T306" s="24" t="str">
        <f t="shared" si="307"/>
        <v>Yes</v>
      </c>
      <c r="U306" s="24" t="str">
        <f t="shared" si="307"/>
        <v>Yes</v>
      </c>
      <c r="V306" s="24" t="str">
        <f t="shared" si="3"/>
        <v/>
      </c>
      <c r="W306" s="24" t="str">
        <f t="shared" si="4"/>
        <v/>
      </c>
    </row>
    <row r="307">
      <c r="A307" s="18">
        <f>HYPERLINK("https://app.hubspot.com/contacts/8748051/record/0-1/6588704950", 6588704950)</f>
        <v>6588704950</v>
      </c>
      <c r="B307" s="14" t="s">
        <v>5219</v>
      </c>
      <c r="C307" s="16"/>
      <c r="D307" s="14" t="s">
        <v>5220</v>
      </c>
      <c r="E307" s="32"/>
      <c r="F307" s="32"/>
      <c r="G307" s="32"/>
      <c r="H307" s="24"/>
      <c r="I307" s="14"/>
      <c r="J307" s="14"/>
      <c r="K307" s="18">
        <f>HYPERLINK("https://app.hubspot.com/contacts/8748051/record/0-2/15783183189", 15783183189)</f>
        <v>15783183189</v>
      </c>
      <c r="L307" s="14" t="s">
        <v>5221</v>
      </c>
      <c r="M307" s="18" t="s">
        <v>5222</v>
      </c>
      <c r="N307" s="14"/>
      <c r="O307" s="14"/>
      <c r="P307" s="14"/>
      <c r="Q307" s="14"/>
      <c r="R307" s="14"/>
      <c r="S307" s="24" t="str">
        <f t="shared" ref="S307:U307" si="308">IF(E307&lt;&gt;"","Yes","")</f>
        <v/>
      </c>
      <c r="T307" s="24" t="str">
        <f t="shared" si="308"/>
        <v/>
      </c>
      <c r="U307" s="24" t="str">
        <f t="shared" si="308"/>
        <v/>
      </c>
      <c r="V307" s="24" t="str">
        <f t="shared" si="3"/>
        <v/>
      </c>
      <c r="W307" s="24" t="str">
        <f t="shared" si="4"/>
        <v/>
      </c>
    </row>
    <row r="308">
      <c r="A308" s="18">
        <f>HYPERLINK("https://app.hubspot.com/contacts/8748051/record/0-1/5429624135", 5429624135)</f>
        <v>5429624135</v>
      </c>
      <c r="B308" s="14" t="s">
        <v>5223</v>
      </c>
      <c r="C308" s="16"/>
      <c r="D308" s="14"/>
      <c r="E308" s="32">
        <v>45373.0</v>
      </c>
      <c r="F308" s="24"/>
      <c r="G308" s="24"/>
      <c r="H308" s="24"/>
      <c r="I308" s="24"/>
      <c r="J308" s="24"/>
      <c r="K308" s="18">
        <f>HYPERLINK("https://app.hubspot.com/contacts/8748051/record/0-2/12428448844", 12428448844)</f>
        <v>12428448844</v>
      </c>
      <c r="L308" s="14" t="s">
        <v>5224</v>
      </c>
      <c r="M308" s="18" t="s">
        <v>5225</v>
      </c>
      <c r="N308" s="24"/>
      <c r="O308" s="24"/>
      <c r="P308" s="24"/>
      <c r="Q308" s="24"/>
      <c r="R308" s="24"/>
      <c r="S308" s="24" t="str">
        <f t="shared" ref="S308:U308" si="309">IF(E308&lt;&gt;"","Yes","")</f>
        <v>Yes</v>
      </c>
      <c r="T308" s="24" t="str">
        <f t="shared" si="309"/>
        <v/>
      </c>
      <c r="U308" s="24" t="str">
        <f t="shared" si="309"/>
        <v/>
      </c>
      <c r="V308" s="24" t="str">
        <f t="shared" si="3"/>
        <v/>
      </c>
      <c r="W308" s="24" t="str">
        <f t="shared" si="4"/>
        <v/>
      </c>
    </row>
    <row r="309">
      <c r="A309" s="18">
        <f>HYPERLINK("https://app.hubspot.com/contacts/8748051/record/0-1/5828739137", 5828739137)</f>
        <v>5828739137</v>
      </c>
      <c r="B309" s="14" t="s">
        <v>5226</v>
      </c>
      <c r="C309" s="16"/>
      <c r="D309" s="14"/>
      <c r="E309" s="32">
        <v>45374.0</v>
      </c>
      <c r="F309" s="32"/>
      <c r="G309" s="32"/>
      <c r="H309" s="24"/>
      <c r="I309" s="14"/>
      <c r="J309" s="14"/>
      <c r="K309" s="18">
        <f>HYPERLINK("https://app.hubspot.com/contacts/8748051/record/0-2/18832324162", 18832324162)</f>
        <v>18832324162</v>
      </c>
      <c r="L309" s="14" t="s">
        <v>5227</v>
      </c>
      <c r="M309" s="18" t="s">
        <v>5228</v>
      </c>
      <c r="N309" s="14"/>
      <c r="O309" s="14"/>
      <c r="P309" s="14"/>
      <c r="Q309" s="14"/>
      <c r="R309" s="14"/>
      <c r="S309" s="24" t="str">
        <f t="shared" ref="S309:U309" si="310">IF(E309&lt;&gt;"","Yes","")</f>
        <v>Yes</v>
      </c>
      <c r="T309" s="24" t="str">
        <f t="shared" si="310"/>
        <v/>
      </c>
      <c r="U309" s="24" t="str">
        <f t="shared" si="310"/>
        <v/>
      </c>
      <c r="V309" s="24" t="str">
        <f t="shared" si="3"/>
        <v/>
      </c>
      <c r="W309" s="24" t="str">
        <f t="shared" si="4"/>
        <v/>
      </c>
    </row>
    <row r="310">
      <c r="A310" s="18">
        <f>HYPERLINK("https://app.hubspot.com/contacts/8748051/record/0-1/3559601", 3559601)</f>
        <v>3559601</v>
      </c>
      <c r="B310" s="14" t="s">
        <v>5229</v>
      </c>
      <c r="C310" s="16"/>
      <c r="D310" s="16"/>
      <c r="E310" s="32">
        <v>45370.0</v>
      </c>
      <c r="F310" s="32">
        <v>45378.0</v>
      </c>
      <c r="G310" s="32">
        <v>45378.0</v>
      </c>
      <c r="H310" s="24"/>
      <c r="I310" s="24"/>
      <c r="J310" s="24"/>
      <c r="K310" s="18">
        <f>HYPERLINK("https://app.hubspot.com/contacts/8748051/record/0-2/15241894827", 15241894827)</f>
        <v>15241894827</v>
      </c>
      <c r="L310" s="14" t="s">
        <v>1992</v>
      </c>
      <c r="M310" s="18" t="s">
        <v>1993</v>
      </c>
      <c r="N310" s="23">
        <f>HYPERLINK("https://app.hubspot.com/contacts/8748051/record/0-3/18259285081", 18259285081)</f>
        <v>18259285081</v>
      </c>
      <c r="O310" s="14" t="s">
        <v>1991</v>
      </c>
      <c r="P310" s="14" t="s">
        <v>118</v>
      </c>
      <c r="Q310" s="14">
        <v>9360.0</v>
      </c>
      <c r="R310" s="24"/>
      <c r="S310" s="24" t="str">
        <f t="shared" ref="S310:U310" si="311">IF(E310&lt;&gt;"","Yes","")</f>
        <v>Yes</v>
      </c>
      <c r="T310" s="24" t="str">
        <f t="shared" si="311"/>
        <v>Yes</v>
      </c>
      <c r="U310" s="24" t="str">
        <f t="shared" si="311"/>
        <v>Yes</v>
      </c>
      <c r="V310" s="24" t="str">
        <f t="shared" si="3"/>
        <v/>
      </c>
      <c r="W310" s="24" t="str">
        <f t="shared" si="4"/>
        <v/>
      </c>
    </row>
    <row r="311">
      <c r="A311" s="18">
        <f>HYPERLINK("https://app.hubspot.com/contacts/8748051/record/0-1/7415436446", 7415436446)</f>
        <v>7415436446</v>
      </c>
      <c r="B311" s="14" t="s">
        <v>5230</v>
      </c>
      <c r="C311" s="16"/>
      <c r="D311" s="16"/>
      <c r="E311" s="32">
        <v>45380.0</v>
      </c>
      <c r="F311" s="32"/>
      <c r="G311" s="32"/>
      <c r="H311" s="24"/>
      <c r="I311" s="14"/>
      <c r="J311" s="14"/>
      <c r="K311" s="18">
        <f>HYPERLINK("https://app.hubspot.com/contacts/8748051/record/0-2/4752572591", 4752572591)</f>
        <v>4752572591</v>
      </c>
      <c r="L311" s="14" t="s">
        <v>796</v>
      </c>
      <c r="M311" s="18" t="s">
        <v>797</v>
      </c>
      <c r="N311" s="14"/>
      <c r="O311" s="14"/>
      <c r="P311" s="14"/>
      <c r="Q311" s="14"/>
      <c r="R311" s="24"/>
      <c r="S311" s="24" t="str">
        <f t="shared" ref="S311:U311" si="312">IF(E311&lt;&gt;"","Yes","")</f>
        <v>Yes</v>
      </c>
      <c r="T311" s="24" t="str">
        <f t="shared" si="312"/>
        <v/>
      </c>
      <c r="U311" s="24" t="str">
        <f t="shared" si="312"/>
        <v/>
      </c>
      <c r="V311" s="24" t="str">
        <f t="shared" si="3"/>
        <v/>
      </c>
      <c r="W311" s="24" t="str">
        <f t="shared" si="4"/>
        <v/>
      </c>
    </row>
    <row r="312">
      <c r="A312" s="18">
        <f>HYPERLINK("https://app.hubspot.com/contacts/8748051/record/0-1/3535901", 3535901)</f>
        <v>3535901</v>
      </c>
      <c r="B312" s="14" t="s">
        <v>5231</v>
      </c>
      <c r="C312" s="16"/>
      <c r="D312" s="16"/>
      <c r="E312" s="32">
        <v>45366.0</v>
      </c>
      <c r="F312" s="32"/>
      <c r="G312" s="32"/>
      <c r="H312" s="24"/>
      <c r="I312" s="24"/>
      <c r="J312" s="24"/>
      <c r="K312" s="18">
        <f>HYPERLINK("https://app.hubspot.com/contacts/8748051/record/0-2/9238257234", 9238257234)</f>
        <v>9238257234</v>
      </c>
      <c r="L312" s="14" t="s">
        <v>5232</v>
      </c>
      <c r="M312" s="18" t="s">
        <v>5233</v>
      </c>
      <c r="N312" s="24"/>
      <c r="O312" s="14"/>
      <c r="P312" s="14"/>
      <c r="Q312" s="14"/>
      <c r="R312" s="14"/>
      <c r="S312" s="24" t="str">
        <f t="shared" ref="S312:U312" si="313">IF(E312&lt;&gt;"","Yes","")</f>
        <v>Yes</v>
      </c>
      <c r="T312" s="24" t="str">
        <f t="shared" si="313"/>
        <v/>
      </c>
      <c r="U312" s="24" t="str">
        <f t="shared" si="313"/>
        <v/>
      </c>
      <c r="V312" s="24" t="str">
        <f t="shared" si="3"/>
        <v/>
      </c>
      <c r="W312" s="24" t="str">
        <f t="shared" si="4"/>
        <v/>
      </c>
    </row>
    <row r="313">
      <c r="A313" s="18">
        <f>HYPERLINK("https://app.hubspot.com/contacts/8748051/record/0-1/5505709741", 5505709741)</f>
        <v>5505709741</v>
      </c>
      <c r="B313" s="14" t="s">
        <v>5234</v>
      </c>
      <c r="C313" s="16"/>
      <c r="D313" s="16"/>
      <c r="E313" s="32">
        <v>45373.0</v>
      </c>
      <c r="F313" s="32">
        <v>45386.0</v>
      </c>
      <c r="G313" s="32">
        <v>45386.0</v>
      </c>
      <c r="H313" s="24"/>
      <c r="I313" s="24"/>
      <c r="J313" s="24"/>
      <c r="K313" s="18">
        <f>HYPERLINK("https://app.hubspot.com/contacts/8748051/record/0-2/7776398214", 7776398214)</f>
        <v>7776398214</v>
      </c>
      <c r="L313" s="14" t="s">
        <v>1929</v>
      </c>
      <c r="M313" s="14" t="s">
        <v>1930</v>
      </c>
      <c r="N313" s="23">
        <f>HYPERLINK("https://app.hubspot.com/contacts/8748051/record/0-3/18415884122", 18415884122)</f>
        <v>18415884122</v>
      </c>
      <c r="O313" s="14" t="s">
        <v>1928</v>
      </c>
      <c r="P313" s="14" t="s">
        <v>118</v>
      </c>
      <c r="Q313" s="14">
        <v>1200.0</v>
      </c>
      <c r="R313" s="14"/>
      <c r="S313" s="24" t="str">
        <f t="shared" ref="S313:U313" si="314">IF(E313&lt;&gt;"","Yes","")</f>
        <v>Yes</v>
      </c>
      <c r="T313" s="24" t="str">
        <f t="shared" si="314"/>
        <v>Yes</v>
      </c>
      <c r="U313" s="24" t="str">
        <f t="shared" si="314"/>
        <v>Yes</v>
      </c>
      <c r="V313" s="24" t="str">
        <f t="shared" si="3"/>
        <v/>
      </c>
      <c r="W313" s="24" t="str">
        <f t="shared" si="4"/>
        <v/>
      </c>
    </row>
    <row r="314">
      <c r="A314" s="18">
        <f>HYPERLINK("https://app.hubspot.com/contacts/8748051/record/0-1/5490132045", 5490132045)</f>
        <v>5490132045</v>
      </c>
      <c r="B314" s="14" t="s">
        <v>5235</v>
      </c>
      <c r="C314" s="16"/>
      <c r="D314" s="16"/>
      <c r="E314" s="32">
        <v>45373.0</v>
      </c>
      <c r="F314" s="32"/>
      <c r="G314" s="32"/>
      <c r="H314" s="24"/>
      <c r="I314" s="14"/>
      <c r="J314" s="14"/>
      <c r="K314" s="18">
        <f>HYPERLINK("https://app.hubspot.com/contacts/8748051/record/0-2/9686640475", 9686640475)</f>
        <v>9686640475</v>
      </c>
      <c r="L314" s="14" t="s">
        <v>5236</v>
      </c>
      <c r="M314" s="18" t="s">
        <v>5237</v>
      </c>
      <c r="N314" s="14"/>
      <c r="O314" s="14"/>
      <c r="P314" s="14"/>
      <c r="Q314" s="14"/>
      <c r="R314" s="24"/>
      <c r="S314" s="24" t="str">
        <f t="shared" ref="S314:U314" si="315">IF(E314&lt;&gt;"","Yes","")</f>
        <v>Yes</v>
      </c>
      <c r="T314" s="24" t="str">
        <f t="shared" si="315"/>
        <v/>
      </c>
      <c r="U314" s="24" t="str">
        <f t="shared" si="315"/>
        <v/>
      </c>
      <c r="V314" s="24" t="str">
        <f t="shared" si="3"/>
        <v/>
      </c>
      <c r="W314" s="24" t="str">
        <f t="shared" si="4"/>
        <v/>
      </c>
    </row>
    <row r="315">
      <c r="A315" s="18">
        <f>HYPERLINK("https://app.hubspot.com/contacts/8748051/record/0-1/3548951", 3548951)</f>
        <v>3548951</v>
      </c>
      <c r="B315" s="14" t="s">
        <v>5238</v>
      </c>
      <c r="C315" s="16"/>
      <c r="D315" s="14"/>
      <c r="E315" s="32">
        <v>45367.0</v>
      </c>
      <c r="F315" s="32"/>
      <c r="G315" s="32"/>
      <c r="H315" s="24"/>
      <c r="I315" s="24"/>
      <c r="J315" s="24"/>
      <c r="K315" s="18">
        <f>HYPERLINK("https://app.hubspot.com/contacts/8748051/record/0-2/10217365405", 10217365405)</f>
        <v>10217365405</v>
      </c>
      <c r="L315" s="14" t="s">
        <v>5239</v>
      </c>
      <c r="M315" s="18" t="s">
        <v>5240</v>
      </c>
      <c r="N315" s="14"/>
      <c r="O315" s="14"/>
      <c r="P315" s="14"/>
      <c r="Q315" s="14"/>
      <c r="R315" s="24"/>
      <c r="S315" s="24" t="str">
        <f t="shared" ref="S315:U315" si="316">IF(E315&lt;&gt;"","Yes","")</f>
        <v>Yes</v>
      </c>
      <c r="T315" s="24" t="str">
        <f t="shared" si="316"/>
        <v/>
      </c>
      <c r="U315" s="24" t="str">
        <f t="shared" si="316"/>
        <v/>
      </c>
      <c r="V315" s="24" t="str">
        <f t="shared" si="3"/>
        <v/>
      </c>
      <c r="W315" s="24" t="str">
        <f t="shared" si="4"/>
        <v/>
      </c>
    </row>
    <row r="316">
      <c r="A316" s="18">
        <f>HYPERLINK("https://app.hubspot.com/contacts/8748051/record/0-1/8582344511", 8582344511)</f>
        <v>8582344511</v>
      </c>
      <c r="B316" s="14" t="s">
        <v>5241</v>
      </c>
      <c r="C316" s="16"/>
      <c r="D316" s="14" t="s">
        <v>5242</v>
      </c>
      <c r="E316" s="32"/>
      <c r="F316" s="32"/>
      <c r="G316" s="32"/>
      <c r="H316" s="24"/>
      <c r="I316" s="24"/>
      <c r="J316" s="24"/>
      <c r="K316" s="18">
        <f>HYPERLINK("https://app.hubspot.com/contacts/8748051/record/0-2/19177046543", 19177046543)</f>
        <v>19177046543</v>
      </c>
      <c r="L316" s="14" t="s">
        <v>5243</v>
      </c>
      <c r="M316" s="18" t="s">
        <v>5244</v>
      </c>
      <c r="N316" s="24"/>
      <c r="O316" s="14"/>
      <c r="P316" s="14"/>
      <c r="Q316" s="14"/>
      <c r="R316" s="24"/>
      <c r="S316" s="24" t="str">
        <f t="shared" ref="S316:U316" si="317">IF(E316&lt;&gt;"","Yes","")</f>
        <v/>
      </c>
      <c r="T316" s="24" t="str">
        <f t="shared" si="317"/>
        <v/>
      </c>
      <c r="U316" s="24" t="str">
        <f t="shared" si="317"/>
        <v/>
      </c>
      <c r="V316" s="24" t="str">
        <f t="shared" si="3"/>
        <v/>
      </c>
      <c r="W316" s="24" t="str">
        <f t="shared" si="4"/>
        <v/>
      </c>
    </row>
    <row r="317">
      <c r="A317" s="18">
        <f>HYPERLINK("https://app.hubspot.com/contacts/8748051/record/0-1/5147803046", 5147803046)</f>
        <v>5147803046</v>
      </c>
      <c r="B317" s="14" t="s">
        <v>5245</v>
      </c>
      <c r="C317" s="16"/>
      <c r="D317" s="16"/>
      <c r="E317" s="32">
        <v>45371.0</v>
      </c>
      <c r="F317" s="32"/>
      <c r="G317" s="24"/>
      <c r="H317" s="24"/>
      <c r="I317" s="14"/>
      <c r="J317" s="14"/>
      <c r="K317" s="18">
        <f>HYPERLINK("https://app.hubspot.com/contacts/8748051/record/0-2/9049435440", 9049435440)</f>
        <v>9049435440</v>
      </c>
      <c r="L317" s="14" t="s">
        <v>5246</v>
      </c>
      <c r="M317" s="18" t="s">
        <v>5247</v>
      </c>
      <c r="N317" s="14"/>
      <c r="O317" s="14"/>
      <c r="P317" s="14"/>
      <c r="Q317" s="14"/>
      <c r="R317" s="24"/>
      <c r="S317" s="24" t="str">
        <f t="shared" ref="S317:U317" si="318">IF(E317&lt;&gt;"","Yes","")</f>
        <v>Yes</v>
      </c>
      <c r="T317" s="24" t="str">
        <f t="shared" si="318"/>
        <v/>
      </c>
      <c r="U317" s="24" t="str">
        <f t="shared" si="318"/>
        <v/>
      </c>
      <c r="V317" s="24" t="str">
        <f t="shared" si="3"/>
        <v/>
      </c>
      <c r="W317" s="24" t="str">
        <f t="shared" si="4"/>
        <v/>
      </c>
    </row>
    <row r="318">
      <c r="A318" s="18">
        <f>HYPERLINK("https://app.hubspot.com/contacts/8748051/record/0-1/3540501", 3540501)</f>
        <v>3540501</v>
      </c>
      <c r="B318" s="14" t="s">
        <v>5248</v>
      </c>
      <c r="C318" s="16"/>
      <c r="D318" s="14" t="s">
        <v>4248</v>
      </c>
      <c r="E318" s="32"/>
      <c r="F318" s="32"/>
      <c r="G318" s="32"/>
      <c r="H318" s="24"/>
      <c r="I318" s="24"/>
      <c r="J318" s="24"/>
      <c r="K318" s="18">
        <f>HYPERLINK("https://app.hubspot.com/contacts/8748051/record/0-2/18382828890", 18382828890)</f>
        <v>18382828890</v>
      </c>
      <c r="L318" s="14" t="s">
        <v>5249</v>
      </c>
      <c r="M318" s="18" t="s">
        <v>5250</v>
      </c>
      <c r="N318" s="14"/>
      <c r="O318" s="14"/>
      <c r="P318" s="14"/>
      <c r="Q318" s="14"/>
      <c r="R318" s="24"/>
      <c r="S318" s="24" t="str">
        <f t="shared" ref="S318:U318" si="319">IF(E318&lt;&gt;"","Yes","")</f>
        <v/>
      </c>
      <c r="T318" s="24" t="str">
        <f t="shared" si="319"/>
        <v/>
      </c>
      <c r="U318" s="24" t="str">
        <f t="shared" si="319"/>
        <v/>
      </c>
      <c r="V318" s="24" t="str">
        <f t="shared" si="3"/>
        <v/>
      </c>
      <c r="W318" s="24" t="str">
        <f t="shared" si="4"/>
        <v/>
      </c>
    </row>
    <row r="319">
      <c r="A319" s="18">
        <f>HYPERLINK("https://app.hubspot.com/contacts/8748051/record/0-1/8307826058", 8307826058)</f>
        <v>8307826058</v>
      </c>
      <c r="B319" s="14" t="s">
        <v>5251</v>
      </c>
      <c r="C319" s="16"/>
      <c r="D319" s="14"/>
      <c r="E319" s="32">
        <v>45383.0</v>
      </c>
      <c r="F319" s="32">
        <v>45404.0</v>
      </c>
      <c r="G319" s="32">
        <v>45404.0</v>
      </c>
      <c r="H319" s="24"/>
      <c r="I319" s="24"/>
      <c r="J319" s="24"/>
      <c r="K319" s="18">
        <f>HYPERLINK("https://app.hubspot.com/contacts/8748051/record/0-2/7673856018", 7673856018)</f>
        <v>7673856018</v>
      </c>
      <c r="L319" s="14" t="s">
        <v>1843</v>
      </c>
      <c r="M319" s="18" t="s">
        <v>1844</v>
      </c>
      <c r="N319" s="18">
        <f>HYPERLINK("https://app.hubspot.com/contacts/8748051/record/0-3/18820879654", 18820879654)</f>
        <v>18820879654</v>
      </c>
      <c r="O319" s="14" t="s">
        <v>1842</v>
      </c>
      <c r="P319" s="14" t="s">
        <v>124</v>
      </c>
      <c r="Q319" s="14">
        <v>21600.0</v>
      </c>
      <c r="R319" s="14" t="b">
        <v>1</v>
      </c>
      <c r="S319" s="24" t="str">
        <f t="shared" ref="S319:U319" si="320">IF(E319&lt;&gt;"","Yes","")</f>
        <v>Yes</v>
      </c>
      <c r="T319" s="24" t="str">
        <f t="shared" si="320"/>
        <v>Yes</v>
      </c>
      <c r="U319" s="24" t="str">
        <f t="shared" si="320"/>
        <v>Yes</v>
      </c>
      <c r="V319" s="24" t="str">
        <f t="shared" si="3"/>
        <v/>
      </c>
      <c r="W319" s="24" t="str">
        <f t="shared" si="4"/>
        <v/>
      </c>
    </row>
    <row r="320">
      <c r="A320" s="18">
        <f>HYPERLINK("https://app.hubspot.com/contacts/8748051/record/0-1/3562501", 3562501)</f>
        <v>3562501</v>
      </c>
      <c r="B320" s="14" t="s">
        <v>5252</v>
      </c>
      <c r="C320" s="16"/>
      <c r="D320" s="16"/>
      <c r="E320" s="32">
        <v>45371.0</v>
      </c>
      <c r="F320" s="32"/>
      <c r="G320" s="32"/>
      <c r="H320" s="24"/>
      <c r="I320" s="24"/>
      <c r="J320" s="24"/>
      <c r="K320" s="18">
        <f>HYPERLINK("https://app.hubspot.com/contacts/8748051/record/0-2/9238311543", 9238311543)</f>
        <v>9238311543</v>
      </c>
      <c r="L320" s="14" t="s">
        <v>5253</v>
      </c>
      <c r="M320" s="18" t="s">
        <v>5254</v>
      </c>
      <c r="N320" s="14"/>
      <c r="O320" s="14"/>
      <c r="P320" s="14"/>
      <c r="Q320" s="14"/>
      <c r="R320" s="14"/>
      <c r="S320" s="24" t="str">
        <f t="shared" ref="S320:U320" si="321">IF(E320&lt;&gt;"","Yes","")</f>
        <v>Yes</v>
      </c>
      <c r="T320" s="24" t="str">
        <f t="shared" si="321"/>
        <v/>
      </c>
      <c r="U320" s="24" t="str">
        <f t="shared" si="321"/>
        <v/>
      </c>
      <c r="V320" s="24" t="str">
        <f t="shared" si="3"/>
        <v/>
      </c>
      <c r="W320" s="24" t="str">
        <f t="shared" si="4"/>
        <v/>
      </c>
    </row>
    <row r="321">
      <c r="A321" s="18">
        <f>HYPERLINK("https://app.hubspot.com/contacts/8748051/record/0-1/6815700540", 6815700540)</f>
        <v>6815700540</v>
      </c>
      <c r="B321" s="14" t="s">
        <v>5255</v>
      </c>
      <c r="C321" s="16"/>
      <c r="D321" s="16"/>
      <c r="E321" s="32">
        <v>45378.0</v>
      </c>
      <c r="F321" s="32"/>
      <c r="G321" s="32"/>
      <c r="H321" s="24"/>
      <c r="I321" s="24"/>
      <c r="J321" s="24"/>
      <c r="K321" s="18">
        <f>HYPERLINK("https://app.hubspot.com/contacts/8748051/record/0-2/19176609085", 19176609085)</f>
        <v>19176609085</v>
      </c>
      <c r="L321" s="14" t="s">
        <v>5256</v>
      </c>
      <c r="M321" s="18" t="s">
        <v>5257</v>
      </c>
      <c r="N321" s="14"/>
      <c r="O321" s="14"/>
      <c r="P321" s="14"/>
      <c r="Q321" s="14"/>
      <c r="R321" s="14"/>
      <c r="S321" s="24" t="str">
        <f t="shared" ref="S321:U321" si="322">IF(E321&lt;&gt;"","Yes","")</f>
        <v>Yes</v>
      </c>
      <c r="T321" s="24" t="str">
        <f t="shared" si="322"/>
        <v/>
      </c>
      <c r="U321" s="24" t="str">
        <f t="shared" si="322"/>
        <v/>
      </c>
      <c r="V321" s="24" t="str">
        <f t="shared" si="3"/>
        <v/>
      </c>
      <c r="W321" s="24" t="str">
        <f t="shared" si="4"/>
        <v/>
      </c>
    </row>
    <row r="322">
      <c r="A322" s="18">
        <f>HYPERLINK("https://app.hubspot.com/contacts/8748051/record/0-1/7205965142", 7205965142)</f>
        <v>7205965142</v>
      </c>
      <c r="B322" s="14" t="s">
        <v>5258</v>
      </c>
      <c r="C322" s="16"/>
      <c r="D322" s="14"/>
      <c r="E322" s="32">
        <v>45379.0</v>
      </c>
      <c r="F322" s="32"/>
      <c r="G322" s="32"/>
      <c r="H322" s="24"/>
      <c r="I322" s="14"/>
      <c r="J322" s="14"/>
      <c r="K322" s="18">
        <f>HYPERLINK("https://app.hubspot.com/contacts/8748051/record/0-2/6816671022", 6816671022)</f>
        <v>6816671022</v>
      </c>
      <c r="L322" s="18" t="s">
        <v>1661</v>
      </c>
      <c r="M322" s="18" t="s">
        <v>1662</v>
      </c>
      <c r="N322" s="14"/>
      <c r="O322" s="14"/>
      <c r="P322" s="14"/>
      <c r="Q322" s="14"/>
      <c r="R322" s="14"/>
      <c r="S322" s="24" t="str">
        <f t="shared" ref="S322:U322" si="323">IF(E322&lt;&gt;"","Yes","")</f>
        <v>Yes</v>
      </c>
      <c r="T322" s="24" t="str">
        <f t="shared" si="323"/>
        <v/>
      </c>
      <c r="U322" s="24" t="str">
        <f t="shared" si="323"/>
        <v/>
      </c>
      <c r="V322" s="24" t="str">
        <f t="shared" si="3"/>
        <v/>
      </c>
      <c r="W322" s="24" t="str">
        <f t="shared" si="4"/>
        <v/>
      </c>
    </row>
    <row r="323">
      <c r="A323" s="18">
        <f>HYPERLINK("https://app.hubspot.com/contacts/8748051/record/0-1/3561001", 3561001)</f>
        <v>3561001</v>
      </c>
      <c r="B323" s="14" t="s">
        <v>5259</v>
      </c>
      <c r="C323" s="16"/>
      <c r="D323" s="14"/>
      <c r="E323" s="32">
        <v>45371.0</v>
      </c>
      <c r="F323" s="32"/>
      <c r="G323" s="24"/>
      <c r="H323" s="24"/>
      <c r="I323" s="24"/>
      <c r="J323" s="24"/>
      <c r="K323" s="18">
        <f>HYPERLINK("https://app.hubspot.com/contacts/8748051/record/0-2/18382842907", 18382842907)</f>
        <v>18382842907</v>
      </c>
      <c r="L323" s="14" t="s">
        <v>5260</v>
      </c>
      <c r="M323" s="18" t="s">
        <v>5261</v>
      </c>
      <c r="N323" s="24"/>
      <c r="O323" s="24"/>
      <c r="P323" s="24"/>
      <c r="Q323" s="24"/>
      <c r="R323" s="24"/>
      <c r="S323" s="24" t="str">
        <f t="shared" ref="S323:U323" si="324">IF(E323&lt;&gt;"","Yes","")</f>
        <v>Yes</v>
      </c>
      <c r="T323" s="24" t="str">
        <f t="shared" si="324"/>
        <v/>
      </c>
      <c r="U323" s="24" t="str">
        <f t="shared" si="324"/>
        <v/>
      </c>
      <c r="V323" s="24" t="str">
        <f t="shared" si="3"/>
        <v/>
      </c>
      <c r="W323" s="24" t="str">
        <f t="shared" si="4"/>
        <v/>
      </c>
    </row>
    <row r="324">
      <c r="A324" s="18">
        <f>HYPERLINK("https://app.hubspot.com/contacts/8748051/record/0-1/3535101", 3535101)</f>
        <v>3535101</v>
      </c>
      <c r="B324" s="14" t="s">
        <v>5262</v>
      </c>
      <c r="C324" s="16"/>
      <c r="D324" s="14"/>
      <c r="E324" s="32">
        <v>45384.0</v>
      </c>
      <c r="F324" s="32"/>
      <c r="G324" s="32"/>
      <c r="H324" s="24"/>
      <c r="I324" s="24"/>
      <c r="J324" s="24"/>
      <c r="K324" s="18">
        <f>HYPERLINK("https://app.hubspot.com/contacts/8748051/record/0-2/7946436488", 7946436488)</f>
        <v>7946436488</v>
      </c>
      <c r="L324" s="14" t="s">
        <v>2624</v>
      </c>
      <c r="M324" s="18" t="s">
        <v>2625</v>
      </c>
      <c r="N324" s="14"/>
      <c r="O324" s="14"/>
      <c r="P324" s="14"/>
      <c r="Q324" s="14"/>
      <c r="R324" s="14"/>
      <c r="S324" s="24" t="str">
        <f t="shared" ref="S324:U324" si="325">IF(E324&lt;&gt;"","Yes","")</f>
        <v>Yes</v>
      </c>
      <c r="T324" s="24" t="str">
        <f t="shared" si="325"/>
        <v/>
      </c>
      <c r="U324" s="24" t="str">
        <f t="shared" si="325"/>
        <v/>
      </c>
      <c r="V324" s="24" t="str">
        <f t="shared" si="3"/>
        <v/>
      </c>
      <c r="W324" s="24" t="str">
        <f t="shared" si="4"/>
        <v/>
      </c>
    </row>
    <row r="325">
      <c r="A325" s="18">
        <f>HYPERLINK("https://app.hubspot.com/contacts/8748051/record/0-1/3551401", 3551401)</f>
        <v>3551401</v>
      </c>
      <c r="B325" s="14" t="s">
        <v>5263</v>
      </c>
      <c r="C325" s="16"/>
      <c r="D325" s="14"/>
      <c r="E325" s="32">
        <v>45369.0</v>
      </c>
      <c r="F325" s="24"/>
      <c r="G325" s="24"/>
      <c r="H325" s="24"/>
      <c r="I325" s="24"/>
      <c r="J325" s="24"/>
      <c r="K325" s="18">
        <f>HYPERLINK("https://app.hubspot.com/contacts/8748051/record/0-2/19176255823", 19176255823)</f>
        <v>19176255823</v>
      </c>
      <c r="L325" s="14" t="s">
        <v>5264</v>
      </c>
      <c r="M325" s="18" t="s">
        <v>5265</v>
      </c>
      <c r="N325" s="24"/>
      <c r="O325" s="24"/>
      <c r="P325" s="24"/>
      <c r="Q325" s="24"/>
      <c r="R325" s="24"/>
      <c r="S325" s="24" t="str">
        <f t="shared" ref="S325:U325" si="326">IF(E325&lt;&gt;"","Yes","")</f>
        <v>Yes</v>
      </c>
      <c r="T325" s="24" t="str">
        <f t="shared" si="326"/>
        <v/>
      </c>
      <c r="U325" s="24" t="str">
        <f t="shared" si="326"/>
        <v/>
      </c>
      <c r="V325" s="24" t="str">
        <f t="shared" si="3"/>
        <v/>
      </c>
      <c r="W325" s="24" t="str">
        <f t="shared" si="4"/>
        <v/>
      </c>
    </row>
    <row r="326">
      <c r="A326" s="18">
        <f>HYPERLINK("https://app.hubspot.com/contacts/8748051/record/0-1/7287030842", 7287030842)</f>
        <v>7287030842</v>
      </c>
      <c r="B326" s="14" t="s">
        <v>5266</v>
      </c>
      <c r="C326" s="16"/>
      <c r="D326" s="16"/>
      <c r="E326" s="32">
        <v>45379.0</v>
      </c>
      <c r="F326" s="32"/>
      <c r="G326" s="32"/>
      <c r="H326" s="24"/>
      <c r="I326" s="24"/>
      <c r="J326" s="24"/>
      <c r="K326" s="18">
        <f>HYPERLINK("https://app.hubspot.com/contacts/8748051/record/0-2/8471061257", 8471061257)</f>
        <v>8471061257</v>
      </c>
      <c r="L326" s="14" t="s">
        <v>5267</v>
      </c>
      <c r="M326" s="18" t="s">
        <v>5268</v>
      </c>
      <c r="N326" s="14"/>
      <c r="O326" s="14"/>
      <c r="P326" s="14"/>
      <c r="Q326" s="14"/>
      <c r="R326" s="14"/>
      <c r="S326" s="24" t="str">
        <f t="shared" ref="S326:U326" si="327">IF(E326&lt;&gt;"","Yes","")</f>
        <v>Yes</v>
      </c>
      <c r="T326" s="24" t="str">
        <f t="shared" si="327"/>
        <v/>
      </c>
      <c r="U326" s="24" t="str">
        <f t="shared" si="327"/>
        <v/>
      </c>
      <c r="V326" s="24" t="str">
        <f t="shared" si="3"/>
        <v/>
      </c>
      <c r="W326" s="24" t="str">
        <f t="shared" si="4"/>
        <v/>
      </c>
    </row>
    <row r="327">
      <c r="A327" s="18">
        <f>HYPERLINK("https://app.hubspot.com/contacts/8748051/record/0-1/3550451", 3550451)</f>
        <v>3550451</v>
      </c>
      <c r="B327" s="14" t="s">
        <v>5269</v>
      </c>
      <c r="C327" s="16"/>
      <c r="D327" s="14"/>
      <c r="E327" s="32">
        <v>45369.0</v>
      </c>
      <c r="F327" s="24"/>
      <c r="G327" s="24"/>
      <c r="H327" s="24"/>
      <c r="I327" s="24"/>
      <c r="J327" s="24"/>
      <c r="K327" s="18">
        <f>HYPERLINK("https://app.hubspot.com/contacts/8748051/record/0-2/19176627074", 19176627074)</f>
        <v>19176627074</v>
      </c>
      <c r="L327" s="14" t="s">
        <v>5270</v>
      </c>
      <c r="M327" s="18" t="s">
        <v>5271</v>
      </c>
      <c r="N327" s="24"/>
      <c r="O327" s="24"/>
      <c r="P327" s="24"/>
      <c r="Q327" s="24"/>
      <c r="R327" s="24"/>
      <c r="S327" s="24" t="str">
        <f t="shared" ref="S327:U327" si="328">IF(E327&lt;&gt;"","Yes","")</f>
        <v>Yes</v>
      </c>
      <c r="T327" s="24" t="str">
        <f t="shared" si="328"/>
        <v/>
      </c>
      <c r="U327" s="24" t="str">
        <f t="shared" si="328"/>
        <v/>
      </c>
      <c r="V327" s="24" t="str">
        <f t="shared" si="3"/>
        <v/>
      </c>
      <c r="W327" s="24" t="str">
        <f t="shared" si="4"/>
        <v/>
      </c>
    </row>
    <row r="328">
      <c r="A328" s="18">
        <f>HYPERLINK("https://app.hubspot.com/contacts/8748051/record/0-1/7883916588", 7883916588)</f>
        <v>7883916588</v>
      </c>
      <c r="B328" s="14" t="s">
        <v>5272</v>
      </c>
      <c r="C328" s="16"/>
      <c r="D328" s="14" t="s">
        <v>5273</v>
      </c>
      <c r="E328" s="32"/>
      <c r="F328" s="32"/>
      <c r="G328" s="32"/>
      <c r="H328" s="24"/>
      <c r="I328" s="24"/>
      <c r="J328" s="24"/>
      <c r="K328" s="18">
        <f>HYPERLINK("https://app.hubspot.com/contacts/8748051/record/0-2/15759773545", 15759773545)</f>
        <v>15759773545</v>
      </c>
      <c r="L328" s="14" t="s">
        <v>1417</v>
      </c>
      <c r="M328" s="18" t="s">
        <v>1418</v>
      </c>
      <c r="N328" s="24"/>
      <c r="O328" s="14"/>
      <c r="P328" s="14"/>
      <c r="Q328" s="14"/>
      <c r="R328" s="24"/>
      <c r="S328" s="24" t="str">
        <f t="shared" ref="S328:U328" si="329">IF(E328&lt;&gt;"","Yes","")</f>
        <v/>
      </c>
      <c r="T328" s="24" t="str">
        <f t="shared" si="329"/>
        <v/>
      </c>
      <c r="U328" s="24" t="str">
        <f t="shared" si="329"/>
        <v/>
      </c>
      <c r="V328" s="24" t="str">
        <f t="shared" si="3"/>
        <v/>
      </c>
      <c r="W328" s="24" t="str">
        <f t="shared" si="4"/>
        <v/>
      </c>
    </row>
    <row r="329">
      <c r="A329" s="18">
        <f>HYPERLINK("https://app.hubspot.com/contacts/8748051/record/0-1/3561851", 3561851)</f>
        <v>3561851</v>
      </c>
      <c r="B329" s="14" t="s">
        <v>5274</v>
      </c>
      <c r="C329" s="16"/>
      <c r="D329" s="14"/>
      <c r="E329" s="32">
        <v>45371.0</v>
      </c>
      <c r="F329" s="32"/>
      <c r="G329" s="32"/>
      <c r="H329" s="24"/>
      <c r="I329" s="14"/>
      <c r="J329" s="14"/>
      <c r="K329" s="18">
        <f>HYPERLINK("https://app.hubspot.com/contacts/8748051/record/0-2/9238324060", 9238324060)</f>
        <v>9238324060</v>
      </c>
      <c r="L329" s="14" t="s">
        <v>5052</v>
      </c>
      <c r="M329" s="18" t="s">
        <v>5053</v>
      </c>
      <c r="N329" s="14"/>
      <c r="O329" s="14"/>
      <c r="P329" s="14"/>
      <c r="Q329" s="14"/>
      <c r="R329" s="24"/>
      <c r="S329" s="24" t="str">
        <f t="shared" ref="S329:U329" si="330">IF(E329&lt;&gt;"","Yes","")</f>
        <v>Yes</v>
      </c>
      <c r="T329" s="24" t="str">
        <f t="shared" si="330"/>
        <v/>
      </c>
      <c r="U329" s="24" t="str">
        <f t="shared" si="330"/>
        <v/>
      </c>
      <c r="V329" s="24" t="str">
        <f t="shared" si="3"/>
        <v/>
      </c>
      <c r="W329" s="24" t="str">
        <f t="shared" si="4"/>
        <v/>
      </c>
    </row>
    <row r="330">
      <c r="A330" s="18">
        <f>HYPERLINK("https://app.hubspot.com/contacts/8748051/record/0-1/6594396576", 6594396576)</f>
        <v>6594396576</v>
      </c>
      <c r="B330" s="14" t="s">
        <v>5275</v>
      </c>
      <c r="C330" s="16"/>
      <c r="D330" s="14" t="s">
        <v>5276</v>
      </c>
      <c r="E330" s="32"/>
      <c r="F330" s="32"/>
      <c r="G330" s="32"/>
      <c r="H330" s="24"/>
      <c r="I330" s="24"/>
      <c r="J330" s="24"/>
      <c r="K330" s="18">
        <f>HYPERLINK("https://app.hubspot.com/contacts/8748051/record/0-2/19176627114", 19176627114)</f>
        <v>19176627114</v>
      </c>
      <c r="L330" s="14" t="s">
        <v>5277</v>
      </c>
      <c r="M330" s="18" t="s">
        <v>5278</v>
      </c>
      <c r="N330" s="24"/>
      <c r="O330" s="14"/>
      <c r="P330" s="14"/>
      <c r="Q330" s="14"/>
      <c r="R330" s="24"/>
      <c r="S330" s="24" t="str">
        <f t="shared" ref="S330:U330" si="331">IF(E330&lt;&gt;"","Yes","")</f>
        <v/>
      </c>
      <c r="T330" s="24" t="str">
        <f t="shared" si="331"/>
        <v/>
      </c>
      <c r="U330" s="24" t="str">
        <f t="shared" si="331"/>
        <v/>
      </c>
      <c r="V330" s="24" t="str">
        <f t="shared" si="3"/>
        <v/>
      </c>
      <c r="W330" s="24" t="str">
        <f t="shared" si="4"/>
        <v/>
      </c>
    </row>
    <row r="331">
      <c r="A331" s="18">
        <f>HYPERLINK("https://app.hubspot.com/contacts/8748051/record/0-1/7083375969", 7083375969)</f>
        <v>7083375969</v>
      </c>
      <c r="B331" s="14" t="s">
        <v>5279</v>
      </c>
      <c r="C331" s="16"/>
      <c r="D331" s="16"/>
      <c r="E331" s="32">
        <v>45380.0</v>
      </c>
      <c r="F331" s="32"/>
      <c r="G331" s="32"/>
      <c r="H331" s="24"/>
      <c r="I331" s="24"/>
      <c r="J331" s="24"/>
      <c r="K331" s="18">
        <f>HYPERLINK("https://app.hubspot.com/contacts/8748051/record/0-2/9174474865", 9174474865)</f>
        <v>9174474865</v>
      </c>
      <c r="L331" s="14" t="s">
        <v>5280</v>
      </c>
      <c r="M331" s="18" t="s">
        <v>5281</v>
      </c>
      <c r="N331" s="14"/>
      <c r="O331" s="14"/>
      <c r="P331" s="14"/>
      <c r="Q331" s="14"/>
      <c r="R331" s="24"/>
      <c r="S331" s="24" t="str">
        <f t="shared" ref="S331:U331" si="332">IF(E331&lt;&gt;"","Yes","")</f>
        <v>Yes</v>
      </c>
      <c r="T331" s="24" t="str">
        <f t="shared" si="332"/>
        <v/>
      </c>
      <c r="U331" s="24" t="str">
        <f t="shared" si="332"/>
        <v/>
      </c>
      <c r="V331" s="24" t="str">
        <f t="shared" si="3"/>
        <v/>
      </c>
      <c r="W331" s="24" t="str">
        <f t="shared" si="4"/>
        <v/>
      </c>
    </row>
    <row r="332">
      <c r="A332" s="18">
        <f>HYPERLINK("https://app.hubspot.com/contacts/8748051/record/0-1/6870531633", 6870531633)</f>
        <v>6870531633</v>
      </c>
      <c r="B332" s="14" t="s">
        <v>5282</v>
      </c>
      <c r="C332" s="16"/>
      <c r="D332" s="14"/>
      <c r="E332" s="32">
        <v>45378.0</v>
      </c>
      <c r="F332" s="32"/>
      <c r="G332" s="32"/>
      <c r="H332" s="24"/>
      <c r="I332" s="24"/>
      <c r="J332" s="24"/>
      <c r="K332" s="18">
        <f>HYPERLINK("https://app.hubspot.com/contacts/8748051/record/0-2/7915837730", 7915837730)</f>
        <v>7915837730</v>
      </c>
      <c r="L332" s="14" t="s">
        <v>5283</v>
      </c>
      <c r="M332" s="18" t="s">
        <v>5284</v>
      </c>
      <c r="N332" s="14"/>
      <c r="O332" s="14"/>
      <c r="P332" s="14"/>
      <c r="Q332" s="14"/>
      <c r="R332" s="14"/>
      <c r="S332" s="24" t="str">
        <f t="shared" ref="S332:U332" si="333">IF(E332&lt;&gt;"","Yes","")</f>
        <v>Yes</v>
      </c>
      <c r="T332" s="24" t="str">
        <f t="shared" si="333"/>
        <v/>
      </c>
      <c r="U332" s="24" t="str">
        <f t="shared" si="333"/>
        <v/>
      </c>
      <c r="V332" s="24" t="str">
        <f t="shared" si="3"/>
        <v/>
      </c>
      <c r="W332" s="24" t="str">
        <f t="shared" si="4"/>
        <v/>
      </c>
    </row>
    <row r="333">
      <c r="A333" s="18">
        <f>HYPERLINK("https://app.hubspot.com/contacts/8748051/record/0-1/7979739254", 7979739254)</f>
        <v>7979739254</v>
      </c>
      <c r="B333" s="14" t="s">
        <v>5285</v>
      </c>
      <c r="C333" s="16"/>
      <c r="D333" s="14" t="s">
        <v>4248</v>
      </c>
      <c r="E333" s="32"/>
      <c r="F333" s="32"/>
      <c r="G333" s="32"/>
      <c r="H333" s="24"/>
      <c r="I333" s="24"/>
      <c r="J333" s="24"/>
      <c r="K333" s="18">
        <f>HYPERLINK("https://app.hubspot.com/contacts/8748051/record/0-2/7940862560", 7940862560)</f>
        <v>7940862560</v>
      </c>
      <c r="L333" s="14" t="s">
        <v>5286</v>
      </c>
      <c r="M333" s="18" t="s">
        <v>5287</v>
      </c>
      <c r="N333" s="14"/>
      <c r="O333" s="14"/>
      <c r="P333" s="14"/>
      <c r="Q333" s="14"/>
      <c r="R333" s="14"/>
      <c r="S333" s="24" t="str">
        <f t="shared" ref="S333:U333" si="334">IF(E333&lt;&gt;"","Yes","")</f>
        <v/>
      </c>
      <c r="T333" s="24" t="str">
        <f t="shared" si="334"/>
        <v/>
      </c>
      <c r="U333" s="24" t="str">
        <f t="shared" si="334"/>
        <v/>
      </c>
      <c r="V333" s="24" t="str">
        <f t="shared" si="3"/>
        <v/>
      </c>
      <c r="W333" s="24" t="str">
        <f t="shared" si="4"/>
        <v/>
      </c>
    </row>
    <row r="334">
      <c r="A334" s="18">
        <f>HYPERLINK("https://app.hubspot.com/contacts/8748051/record/0-1/3559701", 3559701)</f>
        <v>3559701</v>
      </c>
      <c r="B334" s="14" t="s">
        <v>5288</v>
      </c>
      <c r="C334" s="16"/>
      <c r="D334" s="14"/>
      <c r="E334" s="32">
        <v>45370.0</v>
      </c>
      <c r="F334" s="32">
        <v>45372.0</v>
      </c>
      <c r="G334" s="32">
        <v>45372.0</v>
      </c>
      <c r="H334" s="24"/>
      <c r="I334" s="14"/>
      <c r="J334" s="14"/>
      <c r="K334" s="18">
        <f>HYPERLINK("https://app.hubspot.com/contacts/8748051/record/0-2/19176635234", 19176635234)</f>
        <v>19176635234</v>
      </c>
      <c r="L334" s="14" t="s">
        <v>2045</v>
      </c>
      <c r="M334" s="18" t="s">
        <v>2046</v>
      </c>
      <c r="N334" s="18">
        <f>HYPERLINK("https://app.hubspot.com/contacts/8748051/record/0-3/18137545558", 18137545558)</f>
        <v>18137545558</v>
      </c>
      <c r="O334" s="14" t="s">
        <v>2044</v>
      </c>
      <c r="P334" s="14" t="s">
        <v>118</v>
      </c>
      <c r="Q334" s="14">
        <v>6480.0</v>
      </c>
      <c r="R334" s="24"/>
      <c r="S334" s="24" t="str">
        <f t="shared" ref="S334:U334" si="335">IF(E334&lt;&gt;"","Yes","")</f>
        <v>Yes</v>
      </c>
      <c r="T334" s="24" t="str">
        <f t="shared" si="335"/>
        <v>Yes</v>
      </c>
      <c r="U334" s="24" t="str">
        <f t="shared" si="335"/>
        <v>Yes</v>
      </c>
      <c r="V334" s="24" t="str">
        <f t="shared" si="3"/>
        <v/>
      </c>
      <c r="W334" s="24" t="str">
        <f t="shared" si="4"/>
        <v/>
      </c>
    </row>
    <row r="335">
      <c r="A335" s="18">
        <f>HYPERLINK("https://app.hubspot.com/contacts/8748051/record/0-1/3557551", 3557551)</f>
        <v>3557551</v>
      </c>
      <c r="B335" s="14" t="s">
        <v>5289</v>
      </c>
      <c r="C335" s="16"/>
      <c r="D335" s="14"/>
      <c r="E335" s="32">
        <v>45401.0</v>
      </c>
      <c r="F335" s="32"/>
      <c r="G335" s="32"/>
      <c r="H335" s="24"/>
      <c r="I335" s="24"/>
      <c r="J335" s="24"/>
      <c r="K335" s="18">
        <f>HYPERLINK("https://app.hubspot.com/contacts/8748051/record/0-2/7945210918", 7945210918)</f>
        <v>7945210918</v>
      </c>
      <c r="L335" s="14" t="s">
        <v>5290</v>
      </c>
      <c r="M335" s="18" t="s">
        <v>5291</v>
      </c>
      <c r="N335" s="14"/>
      <c r="O335" s="14"/>
      <c r="P335" s="14"/>
      <c r="Q335" s="14"/>
      <c r="R335" s="24"/>
      <c r="S335" s="24" t="str">
        <f t="shared" ref="S335:U335" si="336">IF(E335&lt;&gt;"","Yes","")</f>
        <v>Yes</v>
      </c>
      <c r="T335" s="24" t="str">
        <f t="shared" si="336"/>
        <v/>
      </c>
      <c r="U335" s="24" t="str">
        <f t="shared" si="336"/>
        <v/>
      </c>
      <c r="V335" s="24" t="str">
        <f t="shared" si="3"/>
        <v/>
      </c>
      <c r="W335" s="24" t="str">
        <f t="shared" si="4"/>
        <v/>
      </c>
    </row>
    <row r="336">
      <c r="A336" s="18">
        <f>HYPERLINK("https://app.hubspot.com/contacts/8748051/record/0-1/8060031554", 8060031554)</f>
        <v>8060031554</v>
      </c>
      <c r="B336" s="14" t="s">
        <v>5292</v>
      </c>
      <c r="C336" s="16"/>
      <c r="D336" s="14"/>
      <c r="E336" s="32">
        <v>45383.0</v>
      </c>
      <c r="F336" s="32"/>
      <c r="G336" s="32"/>
      <c r="H336" s="24"/>
      <c r="I336" s="14"/>
      <c r="J336" s="14"/>
      <c r="K336" s="18">
        <f>HYPERLINK("https://app.hubspot.com/contacts/8748051/record/0-2/4752572591", 4752572591)</f>
        <v>4752572591</v>
      </c>
      <c r="L336" s="14" t="s">
        <v>796</v>
      </c>
      <c r="M336" s="18" t="s">
        <v>797</v>
      </c>
      <c r="N336" s="14"/>
      <c r="O336" s="14"/>
      <c r="P336" s="14"/>
      <c r="Q336" s="14"/>
      <c r="R336" s="24"/>
      <c r="S336" s="24" t="str">
        <f t="shared" ref="S336:U336" si="337">IF(E336&lt;&gt;"","Yes","")</f>
        <v>Yes</v>
      </c>
      <c r="T336" s="24" t="str">
        <f t="shared" si="337"/>
        <v/>
      </c>
      <c r="U336" s="24" t="str">
        <f t="shared" si="337"/>
        <v/>
      </c>
      <c r="V336" s="24" t="str">
        <f t="shared" si="3"/>
        <v/>
      </c>
      <c r="W336" s="24" t="str">
        <f t="shared" si="4"/>
        <v/>
      </c>
    </row>
    <row r="337">
      <c r="A337" s="18">
        <f>HYPERLINK("https://app.hubspot.com/contacts/8748051/record/0-1/8225653530", 8225653530)</f>
        <v>8225653530</v>
      </c>
      <c r="B337" s="14" t="s">
        <v>5293</v>
      </c>
      <c r="C337" s="16"/>
      <c r="D337" s="14"/>
      <c r="E337" s="32">
        <v>45383.0</v>
      </c>
      <c r="F337" s="32">
        <v>45387.0</v>
      </c>
      <c r="G337" s="32">
        <v>45387.0</v>
      </c>
      <c r="H337" s="24"/>
      <c r="I337" s="24"/>
      <c r="J337" s="24"/>
      <c r="K337" s="18">
        <f>HYPERLINK("https://app.hubspot.com/contacts/8748051/record/0-2/9596997709", 9596997709)</f>
        <v>9596997709</v>
      </c>
      <c r="L337" s="14" t="s">
        <v>1935</v>
      </c>
      <c r="M337" s="18" t="s">
        <v>1936</v>
      </c>
      <c r="N337" s="18">
        <f>HYPERLINK("https://app.hubspot.com/contacts/8748051/record/0-3/18406472510", 18406472510)</f>
        <v>18406472510</v>
      </c>
      <c r="O337" s="14" t="s">
        <v>1934</v>
      </c>
      <c r="P337" s="14" t="s">
        <v>118</v>
      </c>
      <c r="Q337" s="14">
        <v>12720.0</v>
      </c>
      <c r="R337" s="24"/>
      <c r="S337" s="24" t="str">
        <f t="shared" ref="S337:U337" si="338">IF(E337&lt;&gt;"","Yes","")</f>
        <v>Yes</v>
      </c>
      <c r="T337" s="24" t="str">
        <f t="shared" si="338"/>
        <v>Yes</v>
      </c>
      <c r="U337" s="24" t="str">
        <f t="shared" si="338"/>
        <v>Yes</v>
      </c>
      <c r="V337" s="24" t="str">
        <f t="shared" si="3"/>
        <v/>
      </c>
      <c r="W337" s="24" t="str">
        <f t="shared" si="4"/>
        <v/>
      </c>
    </row>
    <row r="338">
      <c r="A338" s="18">
        <f>HYPERLINK("https://app.hubspot.com/contacts/8748051/record/0-1/3551701", 3551701)</f>
        <v>3551701</v>
      </c>
      <c r="B338" s="14" t="s">
        <v>5294</v>
      </c>
      <c r="C338" s="16"/>
      <c r="D338" s="16"/>
      <c r="E338" s="32">
        <v>45369.0</v>
      </c>
      <c r="F338" s="32"/>
      <c r="G338" s="32"/>
      <c r="H338" s="24"/>
      <c r="I338" s="14"/>
      <c r="J338" s="14"/>
      <c r="K338" s="18">
        <f>HYPERLINK("https://app.hubspot.com/contacts/8748051/record/0-2/7398439079", 7398439079)</f>
        <v>7398439079</v>
      </c>
      <c r="L338" s="14" t="s">
        <v>5295</v>
      </c>
      <c r="M338" s="18" t="s">
        <v>5296</v>
      </c>
      <c r="N338" s="14"/>
      <c r="O338" s="14"/>
      <c r="P338" s="14"/>
      <c r="Q338" s="14"/>
      <c r="R338" s="14"/>
      <c r="S338" s="24" t="str">
        <f t="shared" ref="S338:U338" si="339">IF(E338&lt;&gt;"","Yes","")</f>
        <v>Yes</v>
      </c>
      <c r="T338" s="24" t="str">
        <f t="shared" si="339"/>
        <v/>
      </c>
      <c r="U338" s="24" t="str">
        <f t="shared" si="339"/>
        <v/>
      </c>
      <c r="V338" s="24" t="str">
        <f t="shared" si="3"/>
        <v/>
      </c>
      <c r="W338" s="24" t="str">
        <f t="shared" si="4"/>
        <v/>
      </c>
    </row>
    <row r="339">
      <c r="A339" s="18">
        <f>HYPERLINK("https://app.hubspot.com/contacts/8748051/record/0-1/6978769964", 6978769964)</f>
        <v>6978769964</v>
      </c>
      <c r="B339" s="14" t="s">
        <v>5297</v>
      </c>
      <c r="C339" s="16"/>
      <c r="D339" s="16"/>
      <c r="E339" s="32">
        <v>45378.0</v>
      </c>
      <c r="F339" s="32">
        <v>45383.0</v>
      </c>
      <c r="G339" s="32">
        <v>45383.0</v>
      </c>
      <c r="H339" s="24"/>
      <c r="I339" s="24"/>
      <c r="J339" s="24"/>
      <c r="K339" s="18">
        <f>HYPERLINK("https://app.hubspot.com/contacts/8748051/record/0-2/17551055214", 17551055214)</f>
        <v>17551055214</v>
      </c>
      <c r="L339" s="14" t="s">
        <v>1983</v>
      </c>
      <c r="M339" s="18" t="s">
        <v>1984</v>
      </c>
      <c r="N339" s="18">
        <f>HYPERLINK("https://app.hubspot.com/contacts/8748051/record/0-3/18265988383", 18265988383)</f>
        <v>18265988383</v>
      </c>
      <c r="O339" s="14" t="s">
        <v>1982</v>
      </c>
      <c r="P339" s="14" t="s">
        <v>118</v>
      </c>
      <c r="Q339" s="14">
        <v>7440.0</v>
      </c>
      <c r="R339" s="14"/>
      <c r="S339" s="24" t="str">
        <f t="shared" ref="S339:U339" si="340">IF(E339&lt;&gt;"","Yes","")</f>
        <v>Yes</v>
      </c>
      <c r="T339" s="24" t="str">
        <f t="shared" si="340"/>
        <v>Yes</v>
      </c>
      <c r="U339" s="24" t="str">
        <f t="shared" si="340"/>
        <v>Yes</v>
      </c>
      <c r="V339" s="24" t="str">
        <f t="shared" si="3"/>
        <v/>
      </c>
      <c r="W339" s="24" t="str">
        <f t="shared" si="4"/>
        <v/>
      </c>
    </row>
    <row r="340">
      <c r="A340" s="18">
        <f>HYPERLINK("https://app.hubspot.com/contacts/8748051/record/0-1/6694273418", 6694273418)</f>
        <v>6694273418</v>
      </c>
      <c r="B340" s="14" t="s">
        <v>5298</v>
      </c>
      <c r="C340" s="16"/>
      <c r="D340" s="14" t="s">
        <v>5299</v>
      </c>
      <c r="E340" s="32"/>
      <c r="F340" s="32"/>
      <c r="G340" s="32"/>
      <c r="H340" s="24"/>
      <c r="I340" s="14"/>
      <c r="J340" s="14"/>
      <c r="K340" s="18">
        <f>HYPERLINK("https://app.hubspot.com/contacts/8748051/record/0-2/19697351557", 19697351557)</f>
        <v>19697351557</v>
      </c>
      <c r="L340" s="14" t="s">
        <v>5300</v>
      </c>
      <c r="M340" s="18" t="s">
        <v>5301</v>
      </c>
      <c r="N340" s="14"/>
      <c r="O340" s="14"/>
      <c r="P340" s="14"/>
      <c r="Q340" s="14"/>
      <c r="R340" s="14"/>
      <c r="S340" s="24" t="str">
        <f t="shared" ref="S340:U340" si="341">IF(E340&lt;&gt;"","Yes","")</f>
        <v/>
      </c>
      <c r="T340" s="24" t="str">
        <f t="shared" si="341"/>
        <v/>
      </c>
      <c r="U340" s="24" t="str">
        <f t="shared" si="341"/>
        <v/>
      </c>
      <c r="V340" s="24" t="str">
        <f t="shared" si="3"/>
        <v/>
      </c>
      <c r="W340" s="24" t="str">
        <f t="shared" si="4"/>
        <v/>
      </c>
    </row>
    <row r="341">
      <c r="A341" s="18">
        <f>HYPERLINK("https://app.hubspot.com/contacts/8748051/record/0-1/3562251", 3562251)</f>
        <v>3562251</v>
      </c>
      <c r="B341" s="14" t="s">
        <v>5302</v>
      </c>
      <c r="C341" s="16"/>
      <c r="D341" s="14"/>
      <c r="E341" s="32">
        <v>45371.0</v>
      </c>
      <c r="F341" s="32"/>
      <c r="G341" s="32"/>
      <c r="H341" s="24"/>
      <c r="I341" s="24"/>
      <c r="J341" s="24"/>
      <c r="K341" s="18">
        <f>HYPERLINK("https://app.hubspot.com/contacts/8748051/record/0-2/7666466217", 7666466217)</f>
        <v>7666466217</v>
      </c>
      <c r="L341" s="14" t="s">
        <v>2039</v>
      </c>
      <c r="M341" s="18" t="s">
        <v>2040</v>
      </c>
      <c r="N341" s="24"/>
      <c r="O341" s="14"/>
      <c r="P341" s="14"/>
      <c r="Q341" s="14"/>
      <c r="R341" s="24"/>
      <c r="S341" s="24" t="str">
        <f t="shared" ref="S341:U341" si="342">IF(E341&lt;&gt;"","Yes","")</f>
        <v>Yes</v>
      </c>
      <c r="T341" s="24" t="str">
        <f t="shared" si="342"/>
        <v/>
      </c>
      <c r="U341" s="24" t="str">
        <f t="shared" si="342"/>
        <v/>
      </c>
      <c r="V341" s="24" t="str">
        <f t="shared" si="3"/>
        <v/>
      </c>
      <c r="W341" s="24" t="str">
        <f t="shared" si="4"/>
        <v/>
      </c>
    </row>
    <row r="342">
      <c r="A342" s="18">
        <f>HYPERLINK("https://app.hubspot.com/contacts/8748051/record/0-1/6018896688", 6018896688)</f>
        <v>6018896688</v>
      </c>
      <c r="B342" s="14" t="s">
        <v>5303</v>
      </c>
      <c r="C342" s="24"/>
      <c r="D342" s="14"/>
      <c r="E342" s="32">
        <v>45377.0</v>
      </c>
      <c r="F342" s="32"/>
      <c r="G342" s="32"/>
      <c r="H342" s="14"/>
      <c r="I342" s="24"/>
      <c r="J342" s="24"/>
      <c r="K342" s="18">
        <f>HYPERLINK("https://app.hubspot.com/contacts/8748051/record/0-2/19176675612", 19176675612)</f>
        <v>19176675612</v>
      </c>
      <c r="L342" s="14" t="s">
        <v>5304</v>
      </c>
      <c r="M342" s="18" t="s">
        <v>5305</v>
      </c>
      <c r="N342" s="14"/>
      <c r="O342" s="14"/>
      <c r="P342" s="14"/>
      <c r="Q342" s="14"/>
      <c r="R342" s="24"/>
      <c r="S342" s="24" t="str">
        <f t="shared" ref="S342:U342" si="343">IF(E342&lt;&gt;"","Yes","")</f>
        <v>Yes</v>
      </c>
      <c r="T342" s="24" t="str">
        <f t="shared" si="343"/>
        <v/>
      </c>
      <c r="U342" s="24" t="str">
        <f t="shared" si="343"/>
        <v/>
      </c>
      <c r="V342" s="24" t="str">
        <f t="shared" si="3"/>
        <v/>
      </c>
      <c r="W342" s="24" t="str">
        <f t="shared" si="4"/>
        <v/>
      </c>
    </row>
    <row r="343">
      <c r="A343" s="18">
        <f>HYPERLINK("https://app.hubspot.com/contacts/8748051/record/0-1/3522851", 3522851)</f>
        <v>3522851</v>
      </c>
      <c r="B343" s="14" t="s">
        <v>5306</v>
      </c>
      <c r="C343" s="16"/>
      <c r="D343" s="14"/>
      <c r="E343" s="32">
        <v>45365.0</v>
      </c>
      <c r="F343" s="32"/>
      <c r="G343" s="32"/>
      <c r="H343" s="24"/>
      <c r="I343" s="24"/>
      <c r="J343" s="24"/>
      <c r="K343" s="18">
        <f>HYPERLINK("https://app.hubspot.com/contacts/8748051/record/0-2/16066089358", 16066089358)</f>
        <v>16066089358</v>
      </c>
      <c r="L343" s="14" t="s">
        <v>5307</v>
      </c>
      <c r="M343" s="18" t="s">
        <v>5308</v>
      </c>
      <c r="N343" s="24"/>
      <c r="O343" s="14"/>
      <c r="P343" s="14"/>
      <c r="Q343" s="14"/>
      <c r="R343" s="24"/>
      <c r="S343" s="24" t="str">
        <f t="shared" ref="S343:U343" si="344">IF(E343&lt;&gt;"","Yes","")</f>
        <v>Yes</v>
      </c>
      <c r="T343" s="24" t="str">
        <f t="shared" si="344"/>
        <v/>
      </c>
      <c r="U343" s="24" t="str">
        <f t="shared" si="344"/>
        <v/>
      </c>
      <c r="V343" s="24" t="str">
        <f t="shared" si="3"/>
        <v/>
      </c>
      <c r="W343" s="24" t="str">
        <f t="shared" si="4"/>
        <v/>
      </c>
    </row>
    <row r="344">
      <c r="A344" s="18">
        <f>HYPERLINK("https://app.hubspot.com/contacts/8748051/record/0-1/5700221713", 5700221713)</f>
        <v>5700221713</v>
      </c>
      <c r="B344" s="14" t="s">
        <v>5309</v>
      </c>
      <c r="C344" s="16"/>
      <c r="D344" s="16"/>
      <c r="E344" s="32">
        <v>45374.0</v>
      </c>
      <c r="F344" s="32"/>
      <c r="G344" s="32"/>
      <c r="H344" s="24"/>
      <c r="I344" s="24"/>
      <c r="J344" s="24"/>
      <c r="K344" s="18">
        <f>HYPERLINK("https://app.hubspot.com/contacts/8748051/record/0-2/15711428171", 15711428171)</f>
        <v>15711428171</v>
      </c>
      <c r="L344" s="14" t="s">
        <v>5147</v>
      </c>
      <c r="M344" s="18" t="s">
        <v>5148</v>
      </c>
      <c r="N344" s="14"/>
      <c r="O344" s="14"/>
      <c r="P344" s="14"/>
      <c r="Q344" s="14"/>
      <c r="R344" s="24"/>
      <c r="S344" s="24" t="str">
        <f t="shared" ref="S344:U344" si="345">IF(E344&lt;&gt;"","Yes","")</f>
        <v>Yes</v>
      </c>
      <c r="T344" s="24" t="str">
        <f t="shared" si="345"/>
        <v/>
      </c>
      <c r="U344" s="24" t="str">
        <f t="shared" si="345"/>
        <v/>
      </c>
      <c r="V344" s="24" t="str">
        <f t="shared" si="3"/>
        <v/>
      </c>
      <c r="W344" s="24" t="str">
        <f t="shared" si="4"/>
        <v/>
      </c>
    </row>
    <row r="345">
      <c r="A345" s="18">
        <f>HYPERLINK("https://app.hubspot.com/contacts/8748051/record/0-1/5581436726", 5581436726)</f>
        <v>5581436726</v>
      </c>
      <c r="B345" s="14" t="s">
        <v>5310</v>
      </c>
      <c r="C345" s="16"/>
      <c r="D345" s="14"/>
      <c r="E345" s="32">
        <v>45374.0</v>
      </c>
      <c r="F345" s="32">
        <v>45385.0</v>
      </c>
      <c r="G345" s="32"/>
      <c r="H345" s="24"/>
      <c r="I345" s="24"/>
      <c r="J345" s="24"/>
      <c r="K345" s="18">
        <f>HYPERLINK("https://app.hubspot.com/contacts/8748051/record/0-2/18382764727", 18382764727)</f>
        <v>18382764727</v>
      </c>
      <c r="L345" s="14" t="s">
        <v>1966</v>
      </c>
      <c r="M345" s="18" t="s">
        <v>1967</v>
      </c>
      <c r="N345" s="18">
        <f>HYPERLINK("https://app.hubspot.com/contacts/8748051/record/0-3/18363319042", 18363319042)</f>
        <v>18363319042</v>
      </c>
      <c r="O345" s="14" t="s">
        <v>1965</v>
      </c>
      <c r="P345" s="14" t="s">
        <v>118</v>
      </c>
      <c r="Q345" s="14">
        <v>240.0</v>
      </c>
      <c r="R345" s="14"/>
      <c r="S345" s="24" t="str">
        <f t="shared" ref="S345:U345" si="346">IF(E345&lt;&gt;"","Yes","")</f>
        <v>Yes</v>
      </c>
      <c r="T345" s="24" t="str">
        <f t="shared" si="346"/>
        <v>Yes</v>
      </c>
      <c r="U345" s="24" t="str">
        <f t="shared" si="346"/>
        <v/>
      </c>
      <c r="V345" s="24" t="str">
        <f t="shared" si="3"/>
        <v/>
      </c>
      <c r="W345" s="24" t="str">
        <f t="shared" si="4"/>
        <v/>
      </c>
    </row>
    <row r="346">
      <c r="A346" s="18">
        <f>HYPERLINK("https://app.hubspot.com/contacts/8748051/record/0-1/3560851", 3560851)</f>
        <v>3560851</v>
      </c>
      <c r="B346" s="14" t="s">
        <v>5311</v>
      </c>
      <c r="C346" s="16"/>
      <c r="D346" s="14"/>
      <c r="E346" s="32">
        <v>45371.0</v>
      </c>
      <c r="F346" s="32"/>
      <c r="G346" s="32"/>
      <c r="H346" s="14"/>
      <c r="I346" s="14"/>
      <c r="J346" s="14"/>
      <c r="K346" s="18">
        <f>HYPERLINK("https://app.hubspot.com/contacts/8748051/record/0-2/7514781740", 7514781740)</f>
        <v>7514781740</v>
      </c>
      <c r="L346" s="14" t="s">
        <v>5312</v>
      </c>
      <c r="M346" s="18" t="s">
        <v>5313</v>
      </c>
      <c r="N346" s="14"/>
      <c r="O346" s="14"/>
      <c r="P346" s="14"/>
      <c r="Q346" s="14"/>
      <c r="R346" s="24"/>
      <c r="S346" s="24" t="str">
        <f t="shared" ref="S346:U346" si="347">IF(E346&lt;&gt;"","Yes","")</f>
        <v>Yes</v>
      </c>
      <c r="T346" s="24" t="str">
        <f t="shared" si="347"/>
        <v/>
      </c>
      <c r="U346" s="24" t="str">
        <f t="shared" si="347"/>
        <v/>
      </c>
      <c r="V346" s="24" t="str">
        <f t="shared" si="3"/>
        <v/>
      </c>
      <c r="W346" s="24" t="str">
        <f t="shared" si="4"/>
        <v/>
      </c>
    </row>
    <row r="347">
      <c r="A347" s="18">
        <f>HYPERLINK("https://app.hubspot.com/contacts/8748051/record/0-1/3548701", 3548701)</f>
        <v>3548701</v>
      </c>
      <c r="B347" s="14" t="s">
        <v>5314</v>
      </c>
      <c r="C347" s="16"/>
      <c r="D347" s="14"/>
      <c r="E347" s="32">
        <v>45367.0</v>
      </c>
      <c r="F347" s="32"/>
      <c r="G347" s="32"/>
      <c r="H347" s="24"/>
      <c r="I347" s="24"/>
      <c r="J347" s="24"/>
      <c r="K347" s="18">
        <f>HYPERLINK("https://app.hubspot.com/contacts/8748051/record/0-2/9035799096", 9035799096)</f>
        <v>9035799096</v>
      </c>
      <c r="L347" s="14" t="s">
        <v>5315</v>
      </c>
      <c r="M347" s="18" t="s">
        <v>5316</v>
      </c>
      <c r="N347" s="24"/>
      <c r="O347" s="14"/>
      <c r="P347" s="14"/>
      <c r="Q347" s="14"/>
      <c r="R347" s="24"/>
      <c r="S347" s="24" t="str">
        <f t="shared" ref="S347:U347" si="348">IF(E347&lt;&gt;"","Yes","")</f>
        <v>Yes</v>
      </c>
      <c r="T347" s="24" t="str">
        <f t="shared" si="348"/>
        <v/>
      </c>
      <c r="U347" s="24" t="str">
        <f t="shared" si="348"/>
        <v/>
      </c>
      <c r="V347" s="24" t="str">
        <f t="shared" si="3"/>
        <v/>
      </c>
      <c r="W347" s="24" t="str">
        <f t="shared" si="4"/>
        <v/>
      </c>
    </row>
    <row r="348">
      <c r="A348" s="18">
        <f>HYPERLINK("https://app.hubspot.com/contacts/8748051/record/0-1/7372668315", 7372668315)</f>
        <v>7372668315</v>
      </c>
      <c r="B348" s="14" t="s">
        <v>5317</v>
      </c>
      <c r="C348" s="16"/>
      <c r="D348" s="14"/>
      <c r="E348" s="32">
        <v>45380.0</v>
      </c>
      <c r="F348" s="32"/>
      <c r="G348" s="24"/>
      <c r="H348" s="24"/>
      <c r="I348" s="24"/>
      <c r="J348" s="24"/>
      <c r="K348" s="18">
        <f>HYPERLINK("https://app.hubspot.com/contacts/8748051/record/0-2/7781759399", 7781759399)</f>
        <v>7781759399</v>
      </c>
      <c r="L348" s="14" t="s">
        <v>5318</v>
      </c>
      <c r="M348" s="18" t="s">
        <v>5319</v>
      </c>
      <c r="N348" s="24"/>
      <c r="O348" s="14"/>
      <c r="P348" s="14"/>
      <c r="Q348" s="14"/>
      <c r="R348" s="24"/>
      <c r="S348" s="24" t="str">
        <f t="shared" ref="S348:U348" si="349">IF(E348&lt;&gt;"","Yes","")</f>
        <v>Yes</v>
      </c>
      <c r="T348" s="24" t="str">
        <f t="shared" si="349"/>
        <v/>
      </c>
      <c r="U348" s="24" t="str">
        <f t="shared" si="349"/>
        <v/>
      </c>
      <c r="V348" s="24" t="str">
        <f t="shared" si="3"/>
        <v/>
      </c>
      <c r="W348" s="24" t="str">
        <f t="shared" si="4"/>
        <v/>
      </c>
    </row>
    <row r="349">
      <c r="A349" s="18">
        <f>HYPERLINK("https://app.hubspot.com/contacts/8748051/record/0-1/3561401", 3561401)</f>
        <v>3561401</v>
      </c>
      <c r="B349" s="14" t="s">
        <v>5320</v>
      </c>
      <c r="C349" s="16"/>
      <c r="D349" s="14" t="s">
        <v>5062</v>
      </c>
      <c r="E349" s="32"/>
      <c r="F349" s="32"/>
      <c r="G349" s="32"/>
      <c r="H349" s="24"/>
      <c r="I349" s="24"/>
      <c r="J349" s="24"/>
      <c r="K349" s="18">
        <f>HYPERLINK("https://app.hubspot.com/contacts/8748051/record/0-2/8838956927", 8838956927)</f>
        <v>8838956927</v>
      </c>
      <c r="L349" s="14" t="s">
        <v>5321</v>
      </c>
      <c r="M349" s="18" t="s">
        <v>5322</v>
      </c>
      <c r="N349" s="14"/>
      <c r="O349" s="14"/>
      <c r="P349" s="14"/>
      <c r="Q349" s="14"/>
      <c r="R349" s="14"/>
      <c r="S349" s="24" t="str">
        <f t="shared" ref="S349:U349" si="350">IF(E349&lt;&gt;"","Yes","")</f>
        <v/>
      </c>
      <c r="T349" s="24" t="str">
        <f t="shared" si="350"/>
        <v/>
      </c>
      <c r="U349" s="24" t="str">
        <f t="shared" si="350"/>
        <v/>
      </c>
      <c r="V349" s="24" t="str">
        <f t="shared" si="3"/>
        <v/>
      </c>
      <c r="W349" s="24" t="str">
        <f t="shared" si="4"/>
        <v/>
      </c>
    </row>
    <row r="350">
      <c r="A350" s="18">
        <f>HYPERLINK("https://app.hubspot.com/contacts/8748051/record/0-1/5838020637", 5838020637)</f>
        <v>5838020637</v>
      </c>
      <c r="B350" s="14" t="s">
        <v>5323</v>
      </c>
      <c r="C350" s="16"/>
      <c r="D350" s="14"/>
      <c r="E350" s="32">
        <v>45374.0</v>
      </c>
      <c r="F350" s="32"/>
      <c r="G350" s="24"/>
      <c r="H350" s="14"/>
      <c r="I350" s="14"/>
      <c r="J350" s="14"/>
      <c r="K350" s="18">
        <f>HYPERLINK("https://app.hubspot.com/contacts/8748051/record/0-2/14810961931", 14810961931)</f>
        <v>14810961931</v>
      </c>
      <c r="L350" s="14" t="s">
        <v>2004</v>
      </c>
      <c r="M350" s="18" t="s">
        <v>2005</v>
      </c>
      <c r="N350" s="18">
        <f>HYPERLINK("https://app.hubspot.com/contacts/8748051/record/0-3/18241838613", 18241838613)</f>
        <v>18241838613</v>
      </c>
      <c r="O350" s="14" t="s">
        <v>2003</v>
      </c>
      <c r="P350" s="14" t="s">
        <v>118</v>
      </c>
      <c r="Q350" s="14">
        <v>44400.0</v>
      </c>
      <c r="R350" s="24"/>
      <c r="S350" s="24" t="str">
        <f t="shared" ref="S350:U350" si="351">IF(E350&lt;&gt;"","Yes","")</f>
        <v>Yes</v>
      </c>
      <c r="T350" s="24" t="str">
        <f t="shared" si="351"/>
        <v/>
      </c>
      <c r="U350" s="24" t="str">
        <f t="shared" si="351"/>
        <v/>
      </c>
      <c r="V350" s="24" t="str">
        <f t="shared" si="3"/>
        <v/>
      </c>
      <c r="W350" s="24" t="str">
        <f t="shared" si="4"/>
        <v/>
      </c>
    </row>
    <row r="351">
      <c r="A351" s="18">
        <f>HYPERLINK("https://app.hubspot.com/contacts/8748051/record/0-1/3552651", 3552651)</f>
        <v>3552651</v>
      </c>
      <c r="B351" s="14" t="s">
        <v>5324</v>
      </c>
      <c r="C351" s="16"/>
      <c r="D351" s="14"/>
      <c r="E351" s="32">
        <v>45369.0</v>
      </c>
      <c r="F351" s="32"/>
      <c r="G351" s="24"/>
      <c r="H351" s="24"/>
      <c r="I351" s="24"/>
      <c r="J351" s="24"/>
      <c r="K351" s="18">
        <f>HYPERLINK("https://app.hubspot.com/contacts/8748051/record/0-2/7946436488", 7946436488)</f>
        <v>7946436488</v>
      </c>
      <c r="L351" s="14" t="s">
        <v>2624</v>
      </c>
      <c r="M351" s="18" t="s">
        <v>2625</v>
      </c>
      <c r="N351" s="24"/>
      <c r="O351" s="14"/>
      <c r="P351" s="14"/>
      <c r="Q351" s="14"/>
      <c r="R351" s="24"/>
      <c r="S351" s="24" t="str">
        <f t="shared" ref="S351:U351" si="352">IF(E351&lt;&gt;"","Yes","")</f>
        <v>Yes</v>
      </c>
      <c r="T351" s="24" t="str">
        <f t="shared" si="352"/>
        <v/>
      </c>
      <c r="U351" s="24" t="str">
        <f t="shared" si="352"/>
        <v/>
      </c>
      <c r="V351" s="24" t="str">
        <f t="shared" si="3"/>
        <v/>
      </c>
      <c r="W351" s="24" t="str">
        <f t="shared" si="4"/>
        <v/>
      </c>
    </row>
    <row r="352">
      <c r="A352" s="18">
        <f>HYPERLINK("https://app.hubspot.com/contacts/8748051/record/0-1/6911334799", 6911334799)</f>
        <v>6911334799</v>
      </c>
      <c r="B352" s="14" t="s">
        <v>5325</v>
      </c>
      <c r="C352" s="16"/>
      <c r="D352" s="14" t="s">
        <v>5326</v>
      </c>
      <c r="E352" s="32"/>
      <c r="F352" s="32"/>
      <c r="G352" s="24"/>
      <c r="H352" s="24"/>
      <c r="I352" s="24"/>
      <c r="J352" s="24"/>
      <c r="K352" s="18">
        <f>HYPERLINK("https://app.hubspot.com/contacts/8748051/record/0-2/19711536976", 19711536976)</f>
        <v>19711536976</v>
      </c>
      <c r="L352" s="14" t="s">
        <v>5327</v>
      </c>
      <c r="M352" s="18" t="s">
        <v>5328</v>
      </c>
      <c r="N352" s="14"/>
      <c r="O352" s="14"/>
      <c r="P352" s="14"/>
      <c r="Q352" s="14"/>
      <c r="R352" s="24"/>
      <c r="S352" s="24" t="str">
        <f t="shared" ref="S352:U352" si="353">IF(E352&lt;&gt;"","Yes","")</f>
        <v/>
      </c>
      <c r="T352" s="24" t="str">
        <f t="shared" si="353"/>
        <v/>
      </c>
      <c r="U352" s="24" t="str">
        <f t="shared" si="353"/>
        <v/>
      </c>
      <c r="V352" s="24" t="str">
        <f t="shared" si="3"/>
        <v/>
      </c>
      <c r="W352" s="24" t="str">
        <f t="shared" si="4"/>
        <v/>
      </c>
    </row>
    <row r="353">
      <c r="A353" s="18">
        <f>HYPERLINK("https://app.hubspot.com/contacts/8748051/record/0-1/6855947393", 6855947393)</f>
        <v>6855947393</v>
      </c>
      <c r="B353" s="14" t="s">
        <v>5329</v>
      </c>
      <c r="C353" s="16"/>
      <c r="D353" s="14"/>
      <c r="E353" s="32">
        <v>45378.0</v>
      </c>
      <c r="F353" s="32"/>
      <c r="G353" s="24"/>
      <c r="H353" s="24"/>
      <c r="I353" s="24"/>
      <c r="J353" s="24"/>
      <c r="K353" s="18">
        <f>HYPERLINK("https://app.hubspot.com/contacts/8748051/record/0-2/19176609070", 19176609070)</f>
        <v>19176609070</v>
      </c>
      <c r="L353" s="14" t="s">
        <v>5330</v>
      </c>
      <c r="M353" s="18" t="s">
        <v>5331</v>
      </c>
      <c r="N353" s="24"/>
      <c r="O353" s="14"/>
      <c r="P353" s="14"/>
      <c r="Q353" s="14"/>
      <c r="R353" s="24"/>
      <c r="S353" s="24" t="str">
        <f t="shared" ref="S353:U353" si="354">IF(E353&lt;&gt;"","Yes","")</f>
        <v>Yes</v>
      </c>
      <c r="T353" s="24" t="str">
        <f t="shared" si="354"/>
        <v/>
      </c>
      <c r="U353" s="24" t="str">
        <f t="shared" si="354"/>
        <v/>
      </c>
      <c r="V353" s="24" t="str">
        <f t="shared" si="3"/>
        <v/>
      </c>
      <c r="W353" s="24" t="str">
        <f t="shared" si="4"/>
        <v/>
      </c>
    </row>
    <row r="354">
      <c r="A354" s="18">
        <f>HYPERLINK("https://app.hubspot.com/contacts/8748051/record/0-1/3492801", 3492801)</f>
        <v>3492801</v>
      </c>
      <c r="B354" s="14" t="s">
        <v>5332</v>
      </c>
      <c r="C354" s="16"/>
      <c r="D354" s="14"/>
      <c r="E354" s="32">
        <v>45359.0</v>
      </c>
      <c r="F354" s="32">
        <v>45370.0</v>
      </c>
      <c r="G354" s="32">
        <v>45370.0</v>
      </c>
      <c r="H354" s="24"/>
      <c r="I354" s="24"/>
      <c r="J354" s="24"/>
      <c r="K354" s="18">
        <f>HYPERLINK("https://app.hubspot.com/contacts/8748051/record/0-2/19176228613", 19176228613)</f>
        <v>19176228613</v>
      </c>
      <c r="L354" s="14" t="s">
        <v>2104</v>
      </c>
      <c r="M354" s="18" t="s">
        <v>2105</v>
      </c>
      <c r="N354" s="18">
        <f>HYPERLINK("https://app.hubspot.com/contacts/8748051/record/0-3/18013264969", 18013264969)</f>
        <v>18013264969</v>
      </c>
      <c r="O354" s="14" t="s">
        <v>2103</v>
      </c>
      <c r="P354" s="14" t="s">
        <v>118</v>
      </c>
      <c r="Q354" s="14">
        <v>3840.0</v>
      </c>
      <c r="R354" s="24"/>
      <c r="S354" s="24" t="str">
        <f t="shared" ref="S354:U354" si="355">IF(E354&lt;&gt;"","Yes","")</f>
        <v>Yes</v>
      </c>
      <c r="T354" s="24" t="str">
        <f t="shared" si="355"/>
        <v>Yes</v>
      </c>
      <c r="U354" s="24" t="str">
        <f t="shared" si="355"/>
        <v>Yes</v>
      </c>
      <c r="V354" s="24" t="str">
        <f t="shared" si="3"/>
        <v/>
      </c>
      <c r="W354" s="24" t="str">
        <f t="shared" si="4"/>
        <v/>
      </c>
    </row>
    <row r="355">
      <c r="A355" s="18">
        <f>HYPERLINK("https://app.hubspot.com/contacts/8748051/record/0-1/3549951", 3549951)</f>
        <v>3549951</v>
      </c>
      <c r="B355" s="14" t="s">
        <v>5333</v>
      </c>
      <c r="C355" s="16"/>
      <c r="D355" s="14"/>
      <c r="E355" s="32">
        <v>45367.0</v>
      </c>
      <c r="F355" s="32"/>
      <c r="G355" s="24"/>
      <c r="H355" s="24"/>
      <c r="I355" s="24"/>
      <c r="J355" s="24"/>
      <c r="K355" s="18">
        <f>HYPERLINK("https://app.hubspot.com/contacts/8748051/record/0-2/9238276430", 9238276430)</f>
        <v>9238276430</v>
      </c>
      <c r="L355" s="14" t="s">
        <v>1637</v>
      </c>
      <c r="M355" s="18" t="s">
        <v>1638</v>
      </c>
      <c r="N355" s="14"/>
      <c r="O355" s="14"/>
      <c r="P355" s="14"/>
      <c r="Q355" s="14"/>
      <c r="R355" s="24"/>
      <c r="S355" s="24" t="str">
        <f t="shared" ref="S355:U355" si="356">IF(E355&lt;&gt;"","Yes","")</f>
        <v>Yes</v>
      </c>
      <c r="T355" s="24" t="str">
        <f t="shared" si="356"/>
        <v/>
      </c>
      <c r="U355" s="24" t="str">
        <f t="shared" si="356"/>
        <v/>
      </c>
      <c r="V355" s="24" t="str">
        <f t="shared" si="3"/>
        <v/>
      </c>
      <c r="W355" s="24" t="str">
        <f t="shared" si="4"/>
        <v/>
      </c>
    </row>
    <row r="356">
      <c r="A356" s="18">
        <f>HYPERLINK("https://app.hubspot.com/contacts/8748051/record/0-1/3532501", 3532501)</f>
        <v>3532501</v>
      </c>
      <c r="B356" s="14" t="s">
        <v>5334</v>
      </c>
      <c r="C356" s="16"/>
      <c r="D356" s="14"/>
      <c r="E356" s="32">
        <v>45366.0</v>
      </c>
      <c r="F356" s="32">
        <v>45371.0</v>
      </c>
      <c r="G356" s="32">
        <v>45371.0</v>
      </c>
      <c r="H356" s="24"/>
      <c r="I356" s="24"/>
      <c r="J356" s="24"/>
      <c r="K356" s="18">
        <f>HYPERLINK("https://app.hubspot.com/contacts/8748051/record/0-2/10013686893", 10013686893)</f>
        <v>10013686893</v>
      </c>
      <c r="L356" s="14" t="s">
        <v>2051</v>
      </c>
      <c r="M356" s="18" t="s">
        <v>2052</v>
      </c>
      <c r="N356" s="23">
        <f>HYPERLINK("https://app.hubspot.com/contacts/8748051/record/0-3/18123525024", 18123525024)</f>
        <v>18123525024</v>
      </c>
      <c r="O356" s="14" t="s">
        <v>2050</v>
      </c>
      <c r="P356" s="14" t="s">
        <v>118</v>
      </c>
      <c r="Q356" s="14">
        <v>9120.0</v>
      </c>
      <c r="R356" s="24"/>
      <c r="S356" s="24" t="str">
        <f t="shared" ref="S356:U356" si="357">IF(E356&lt;&gt;"","Yes","")</f>
        <v>Yes</v>
      </c>
      <c r="T356" s="24" t="str">
        <f t="shared" si="357"/>
        <v>Yes</v>
      </c>
      <c r="U356" s="24" t="str">
        <f t="shared" si="357"/>
        <v>Yes</v>
      </c>
      <c r="V356" s="24" t="str">
        <f t="shared" si="3"/>
        <v/>
      </c>
      <c r="W356" s="24" t="str">
        <f t="shared" si="4"/>
        <v/>
      </c>
    </row>
    <row r="357">
      <c r="A357" s="18">
        <f>HYPERLINK("https://app.hubspot.com/contacts/8748051/record/0-1/3503251", 3503251)</f>
        <v>3503251</v>
      </c>
      <c r="B357" s="14" t="s">
        <v>5335</v>
      </c>
      <c r="C357" s="16"/>
      <c r="D357" s="14"/>
      <c r="E357" s="32">
        <v>45362.0</v>
      </c>
      <c r="F357" s="32">
        <v>45365.0</v>
      </c>
      <c r="G357" s="32">
        <v>45365.0</v>
      </c>
      <c r="H357" s="14"/>
      <c r="I357" s="14"/>
      <c r="J357" s="14"/>
      <c r="K357" s="18">
        <f>HYPERLINK("https://app.hubspot.com/contacts/8748051/record/0-2/19176594784", 19176594784)</f>
        <v>19176594784</v>
      </c>
      <c r="L357" s="14" t="s">
        <v>2089</v>
      </c>
      <c r="M357" s="18" t="s">
        <v>2090</v>
      </c>
      <c r="N357" s="18">
        <f>HYPERLINK("https://app.hubspot.com/contacts/8748051/record/0-3/18023307441", 18023307441)</f>
        <v>18023307441</v>
      </c>
      <c r="O357" s="14" t="s">
        <v>2088</v>
      </c>
      <c r="P357" s="14" t="s">
        <v>118</v>
      </c>
      <c r="Q357" s="14">
        <v>10320.0</v>
      </c>
      <c r="R357" s="14"/>
      <c r="S357" s="24" t="str">
        <f t="shared" ref="S357:U357" si="358">IF(E357&lt;&gt;"","Yes","")</f>
        <v>Yes</v>
      </c>
      <c r="T357" s="24" t="str">
        <f t="shared" si="358"/>
        <v>Yes</v>
      </c>
      <c r="U357" s="24" t="str">
        <f t="shared" si="358"/>
        <v>Yes</v>
      </c>
      <c r="V357" s="24" t="str">
        <f t="shared" si="3"/>
        <v/>
      </c>
      <c r="W357" s="24" t="str">
        <f t="shared" si="4"/>
        <v/>
      </c>
    </row>
    <row r="358">
      <c r="A358" s="18">
        <f>HYPERLINK("https://app.hubspot.com/contacts/8748051/record/0-1/5349055049", 5349055049)</f>
        <v>5349055049</v>
      </c>
      <c r="B358" s="14" t="s">
        <v>5336</v>
      </c>
      <c r="C358" s="16"/>
      <c r="D358" s="16"/>
      <c r="E358" s="32">
        <v>45373.0</v>
      </c>
      <c r="F358" s="32"/>
      <c r="G358" s="32"/>
      <c r="H358" s="14"/>
      <c r="I358" s="14"/>
      <c r="J358" s="24"/>
      <c r="K358" s="18">
        <f>HYPERLINK("https://app.hubspot.com/contacts/8748051/record/0-2/8125373298", 8125373298)</f>
        <v>8125373298</v>
      </c>
      <c r="L358" s="14" t="s">
        <v>5337</v>
      </c>
      <c r="M358" s="18" t="s">
        <v>5338</v>
      </c>
      <c r="N358" s="14"/>
      <c r="O358" s="14"/>
      <c r="P358" s="14"/>
      <c r="Q358" s="14"/>
      <c r="R358" s="14"/>
      <c r="S358" s="24" t="str">
        <f t="shared" ref="S358:U358" si="359">IF(E358&lt;&gt;"","Yes","")</f>
        <v>Yes</v>
      </c>
      <c r="T358" s="24" t="str">
        <f t="shared" si="359"/>
        <v/>
      </c>
      <c r="U358" s="24" t="str">
        <f t="shared" si="359"/>
        <v/>
      </c>
      <c r="V358" s="24" t="str">
        <f t="shared" si="3"/>
        <v/>
      </c>
      <c r="W358" s="24" t="str">
        <f t="shared" si="4"/>
        <v/>
      </c>
    </row>
    <row r="359">
      <c r="A359" s="18">
        <f>HYPERLINK("https://app.hubspot.com/contacts/8748051/record/0-1/8515114088", 8515114088)</f>
        <v>8515114088</v>
      </c>
      <c r="B359" s="14" t="s">
        <v>5339</v>
      </c>
      <c r="C359" s="16"/>
      <c r="D359" s="14" t="s">
        <v>5276</v>
      </c>
      <c r="E359" s="32"/>
      <c r="F359" s="32"/>
      <c r="G359" s="32"/>
      <c r="H359" s="14"/>
      <c r="I359" s="14"/>
      <c r="J359" s="24"/>
      <c r="K359" s="18">
        <f>HYPERLINK("https://app.hubspot.com/contacts/8748051/record/0-2/9238328722", 9238328722)</f>
        <v>9238328722</v>
      </c>
      <c r="L359" s="18" t="s">
        <v>5340</v>
      </c>
      <c r="M359" s="18" t="s">
        <v>5340</v>
      </c>
      <c r="N359" s="24"/>
      <c r="O359" s="14"/>
      <c r="P359" s="14"/>
      <c r="Q359" s="14"/>
      <c r="R359" s="24"/>
      <c r="S359" s="24" t="str">
        <f t="shared" ref="S359:U359" si="360">IF(E359&lt;&gt;"","Yes","")</f>
        <v/>
      </c>
      <c r="T359" s="24" t="str">
        <f t="shared" si="360"/>
        <v/>
      </c>
      <c r="U359" s="24" t="str">
        <f t="shared" si="360"/>
        <v/>
      </c>
      <c r="V359" s="24" t="str">
        <f t="shared" si="3"/>
        <v/>
      </c>
      <c r="W359" s="24" t="str">
        <f t="shared" si="4"/>
        <v/>
      </c>
    </row>
    <row r="360">
      <c r="A360" s="18">
        <f>HYPERLINK("https://app.hubspot.com/contacts/8748051/record/0-1/3564851", 3564851)</f>
        <v>3564851</v>
      </c>
      <c r="B360" s="14" t="s">
        <v>5341</v>
      </c>
      <c r="C360" s="16"/>
      <c r="D360" s="16"/>
      <c r="E360" s="32">
        <v>45371.0</v>
      </c>
      <c r="F360" s="32"/>
      <c r="G360" s="32"/>
      <c r="H360" s="14"/>
      <c r="I360" s="14"/>
      <c r="J360" s="24"/>
      <c r="K360" s="18">
        <f>HYPERLINK("https://app.hubspot.com/contacts/8748051/record/0-2/8920340524", 8920340524)</f>
        <v>8920340524</v>
      </c>
      <c r="L360" s="14" t="s">
        <v>5342</v>
      </c>
      <c r="M360" s="18" t="s">
        <v>5343</v>
      </c>
      <c r="N360" s="24"/>
      <c r="O360" s="14"/>
      <c r="P360" s="14"/>
      <c r="Q360" s="14"/>
      <c r="R360" s="24"/>
      <c r="S360" s="24" t="str">
        <f t="shared" ref="S360:U360" si="361">IF(E360&lt;&gt;"","Yes","")</f>
        <v>Yes</v>
      </c>
      <c r="T360" s="24" t="str">
        <f t="shared" si="361"/>
        <v/>
      </c>
      <c r="U360" s="24" t="str">
        <f t="shared" si="361"/>
        <v/>
      </c>
      <c r="V360" s="24" t="str">
        <f t="shared" si="3"/>
        <v/>
      </c>
      <c r="W360" s="24" t="str">
        <f t="shared" si="4"/>
        <v/>
      </c>
    </row>
    <row r="361">
      <c r="A361" s="18">
        <f>HYPERLINK("https://app.hubspot.com/contacts/8748051/record/0-1/7665664424", 7665664424)</f>
        <v>7665664424</v>
      </c>
      <c r="B361" s="14" t="s">
        <v>5344</v>
      </c>
      <c r="C361" s="16"/>
      <c r="D361" s="14"/>
      <c r="E361" s="32">
        <v>45383.0</v>
      </c>
      <c r="F361" s="32">
        <v>45399.0</v>
      </c>
      <c r="G361" s="32">
        <v>45399.0</v>
      </c>
      <c r="H361" s="14"/>
      <c r="I361" s="14"/>
      <c r="J361" s="14"/>
      <c r="K361" s="18">
        <f>HYPERLINK("https://app.hubspot.com/contacts/8748051/record/0-2/7648304657", 7648304657)</f>
        <v>7648304657</v>
      </c>
      <c r="L361" s="14" t="s">
        <v>1879</v>
      </c>
      <c r="M361" s="18" t="s">
        <v>1880</v>
      </c>
      <c r="N361" s="18">
        <f>HYPERLINK("https://app.hubspot.com/contacts/8748051/record/0-3/18706084360", 18706084360)</f>
        <v>18706084360</v>
      </c>
      <c r="O361" s="14" t="s">
        <v>1878</v>
      </c>
      <c r="P361" s="14" t="s">
        <v>118</v>
      </c>
      <c r="Q361" s="14">
        <v>3600.0</v>
      </c>
      <c r="R361" s="14"/>
      <c r="S361" s="24" t="str">
        <f t="shared" ref="S361:U361" si="362">IF(E361&lt;&gt;"","Yes","")</f>
        <v>Yes</v>
      </c>
      <c r="T361" s="24" t="str">
        <f t="shared" si="362"/>
        <v>Yes</v>
      </c>
      <c r="U361" s="24" t="str">
        <f t="shared" si="362"/>
        <v>Yes</v>
      </c>
      <c r="V361" s="24" t="str">
        <f t="shared" si="3"/>
        <v/>
      </c>
      <c r="W361" s="24" t="str">
        <f t="shared" si="4"/>
        <v/>
      </c>
    </row>
    <row r="362">
      <c r="A362" s="18">
        <f>HYPERLINK("https://app.hubspot.com/contacts/8748051/record/0-1/5711884145", 5711884145)</f>
        <v>5711884145</v>
      </c>
      <c r="B362" s="14" t="s">
        <v>5345</v>
      </c>
      <c r="C362" s="16"/>
      <c r="D362" s="16"/>
      <c r="E362" s="32">
        <v>45374.0</v>
      </c>
      <c r="F362" s="32"/>
      <c r="G362" s="32"/>
      <c r="H362" s="24"/>
      <c r="I362" s="24"/>
      <c r="J362" s="24"/>
      <c r="K362" s="18">
        <f>HYPERLINK("https://app.hubspot.com/contacts/8748051/record/0-2/9238324005", 9238324005)</f>
        <v>9238324005</v>
      </c>
      <c r="L362" s="14" t="s">
        <v>5346</v>
      </c>
      <c r="M362" s="18" t="s">
        <v>5347</v>
      </c>
      <c r="N362" s="24"/>
      <c r="O362" s="14"/>
      <c r="P362" s="14"/>
      <c r="Q362" s="14"/>
      <c r="R362" s="24"/>
      <c r="S362" s="24" t="str">
        <f t="shared" ref="S362:U362" si="363">IF(E362&lt;&gt;"","Yes","")</f>
        <v>Yes</v>
      </c>
      <c r="T362" s="24" t="str">
        <f t="shared" si="363"/>
        <v/>
      </c>
      <c r="U362" s="24" t="str">
        <f t="shared" si="363"/>
        <v/>
      </c>
      <c r="V362" s="24" t="str">
        <f t="shared" si="3"/>
        <v/>
      </c>
      <c r="W362" s="24" t="str">
        <f t="shared" si="4"/>
        <v/>
      </c>
    </row>
    <row r="363">
      <c r="A363" s="18">
        <f>HYPERLINK("https://app.hubspot.com/contacts/8748051/record/0-1/3550701", 3550701)</f>
        <v>3550701</v>
      </c>
      <c r="B363" s="14" t="s">
        <v>5348</v>
      </c>
      <c r="C363" s="16"/>
      <c r="D363" s="14" t="s">
        <v>5062</v>
      </c>
      <c r="E363" s="32"/>
      <c r="F363" s="32"/>
      <c r="G363" s="32"/>
      <c r="H363" s="24"/>
      <c r="I363" s="14"/>
      <c r="J363" s="14"/>
      <c r="K363" s="18">
        <f>HYPERLINK("https://app.hubspot.com/contacts/8748051/record/0-2/9238290100", 9238290100)</f>
        <v>9238290100</v>
      </c>
      <c r="L363" s="14" t="s">
        <v>4875</v>
      </c>
      <c r="M363" s="18" t="s">
        <v>4876</v>
      </c>
      <c r="N363" s="24"/>
      <c r="O363" s="14"/>
      <c r="P363" s="14"/>
      <c r="Q363" s="14"/>
      <c r="R363" s="24"/>
      <c r="S363" s="24" t="str">
        <f t="shared" ref="S363:U363" si="364">IF(E363&lt;&gt;"","Yes","")</f>
        <v/>
      </c>
      <c r="T363" s="24" t="str">
        <f t="shared" si="364"/>
        <v/>
      </c>
      <c r="U363" s="24" t="str">
        <f t="shared" si="364"/>
        <v/>
      </c>
      <c r="V363" s="24" t="str">
        <f t="shared" si="3"/>
        <v/>
      </c>
      <c r="W363" s="24" t="str">
        <f t="shared" si="4"/>
        <v/>
      </c>
    </row>
    <row r="364">
      <c r="A364" s="18">
        <f>HYPERLINK("https://app.hubspot.com/contacts/8748051/record/0-1/3506301", 3506301)</f>
        <v>3506301</v>
      </c>
      <c r="B364" s="14" t="s">
        <v>5349</v>
      </c>
      <c r="C364" s="16"/>
      <c r="D364" s="14"/>
      <c r="E364" s="32">
        <v>45362.0</v>
      </c>
      <c r="F364" s="32">
        <v>45371.0</v>
      </c>
      <c r="G364" s="32">
        <v>45371.0</v>
      </c>
      <c r="H364" s="24"/>
      <c r="I364" s="14"/>
      <c r="J364" s="14"/>
      <c r="K364" s="18">
        <f>HYPERLINK("https://app.hubspot.com/contacts/8748051/record/0-2/8920275369", 8920275369)</f>
        <v>8920275369</v>
      </c>
      <c r="L364" s="14" t="s">
        <v>2066</v>
      </c>
      <c r="M364" s="18" t="s">
        <v>2067</v>
      </c>
      <c r="N364" s="18">
        <f>HYPERLINK("https://app.hubspot.com/contacts/8748051/record/0-3/18094342834", 18094342834)</f>
        <v>18094342834</v>
      </c>
      <c r="O364" s="14" t="s">
        <v>2065</v>
      </c>
      <c r="P364" s="14" t="s">
        <v>118</v>
      </c>
      <c r="Q364" s="14">
        <v>10800.0</v>
      </c>
      <c r="R364" s="14"/>
      <c r="S364" s="24" t="str">
        <f t="shared" ref="S364:U364" si="365">IF(E364&lt;&gt;"","Yes","")</f>
        <v>Yes</v>
      </c>
      <c r="T364" s="24" t="str">
        <f t="shared" si="365"/>
        <v>Yes</v>
      </c>
      <c r="U364" s="24" t="str">
        <f t="shared" si="365"/>
        <v>Yes</v>
      </c>
      <c r="V364" s="24" t="str">
        <f t="shared" si="3"/>
        <v/>
      </c>
      <c r="W364" s="24" t="str">
        <f t="shared" si="4"/>
        <v/>
      </c>
    </row>
    <row r="365">
      <c r="A365" s="18">
        <f>HYPERLINK("https://app.hubspot.com/contacts/8748051/record/0-1/3541351", 3541351)</f>
        <v>3541351</v>
      </c>
      <c r="B365" s="14" t="s">
        <v>5350</v>
      </c>
      <c r="C365" s="16"/>
      <c r="D365" s="14"/>
      <c r="E365" s="32">
        <v>45367.0</v>
      </c>
      <c r="F365" s="32">
        <v>45377.0</v>
      </c>
      <c r="G365" s="32">
        <v>45377.0</v>
      </c>
      <c r="H365" s="24"/>
      <c r="I365" s="24"/>
      <c r="J365" s="24"/>
      <c r="K365" s="18">
        <f>HYPERLINK("https://app.hubspot.com/contacts/8748051/record/0-2/19176733003", 19176733003)</f>
        <v>19176733003</v>
      </c>
      <c r="L365" s="14" t="s">
        <v>2013</v>
      </c>
      <c r="M365" s="18" t="s">
        <v>2014</v>
      </c>
      <c r="N365" s="18">
        <f>HYPERLINK("https://app.hubspot.com/contacts/8748051/record/0-3/18228130450", 18228130450)</f>
        <v>18228130450</v>
      </c>
      <c r="O365" s="14" t="s">
        <v>2012</v>
      </c>
      <c r="P365" s="14" t="s">
        <v>118</v>
      </c>
      <c r="Q365" s="14">
        <v>4560.0</v>
      </c>
      <c r="R365" s="24"/>
      <c r="S365" s="24" t="str">
        <f t="shared" ref="S365:U365" si="366">IF(E365&lt;&gt;"","Yes","")</f>
        <v>Yes</v>
      </c>
      <c r="T365" s="24" t="str">
        <f t="shared" si="366"/>
        <v>Yes</v>
      </c>
      <c r="U365" s="24" t="str">
        <f t="shared" si="366"/>
        <v>Yes</v>
      </c>
      <c r="V365" s="24" t="str">
        <f t="shared" si="3"/>
        <v/>
      </c>
      <c r="W365" s="24" t="str">
        <f t="shared" si="4"/>
        <v/>
      </c>
    </row>
    <row r="366">
      <c r="A366" s="18">
        <f>HYPERLINK("https://app.hubspot.com/contacts/8748051/record/0-1/3511101", 3511101)</f>
        <v>3511101</v>
      </c>
      <c r="B366" s="14" t="s">
        <v>5351</v>
      </c>
      <c r="C366" s="16"/>
      <c r="D366" s="14"/>
      <c r="E366" s="32">
        <v>45363.0</v>
      </c>
      <c r="F366" s="32"/>
      <c r="G366" s="32"/>
      <c r="H366" s="24"/>
      <c r="I366" s="24"/>
      <c r="J366" s="24"/>
      <c r="K366" s="18">
        <f>HYPERLINK("https://app.hubspot.com/contacts/8748051/record/0-2/18832152703", 18832152703)</f>
        <v>18832152703</v>
      </c>
      <c r="L366" s="14" t="s">
        <v>5352</v>
      </c>
      <c r="M366" s="18" t="s">
        <v>5353</v>
      </c>
      <c r="N366" s="14"/>
      <c r="O366" s="14"/>
      <c r="P366" s="14"/>
      <c r="Q366" s="14"/>
      <c r="R366" s="24"/>
      <c r="S366" s="24" t="str">
        <f t="shared" ref="S366:U366" si="367">IF(E366&lt;&gt;"","Yes","")</f>
        <v>Yes</v>
      </c>
      <c r="T366" s="24" t="str">
        <f t="shared" si="367"/>
        <v/>
      </c>
      <c r="U366" s="24" t="str">
        <f t="shared" si="367"/>
        <v/>
      </c>
      <c r="V366" s="24" t="str">
        <f t="shared" si="3"/>
        <v/>
      </c>
      <c r="W366" s="24" t="str">
        <f t="shared" si="4"/>
        <v/>
      </c>
    </row>
    <row r="367">
      <c r="A367" s="18">
        <f>HYPERLINK("https://app.hubspot.com/contacts/8748051/record/0-1/3561301", 3561301)</f>
        <v>3561301</v>
      </c>
      <c r="B367" s="14" t="s">
        <v>5354</v>
      </c>
      <c r="C367" s="16"/>
      <c r="D367" s="14"/>
      <c r="E367" s="32">
        <v>45370.0</v>
      </c>
      <c r="F367" s="32">
        <v>45373.0</v>
      </c>
      <c r="G367" s="32">
        <v>45373.0</v>
      </c>
      <c r="H367" s="24"/>
      <c r="I367" s="14"/>
      <c r="J367" s="14"/>
      <c r="K367" s="18">
        <f>HYPERLINK("https://app.hubspot.com/contacts/8748051/record/0-2/18252335002", 18252335002)</f>
        <v>18252335002</v>
      </c>
      <c r="L367" s="14" t="s">
        <v>2042</v>
      </c>
      <c r="M367" s="18" t="s">
        <v>2043</v>
      </c>
      <c r="N367" s="18">
        <f>HYPERLINK("https://app.hubspot.com/contacts/8748051/record/0-3/18151200631", 18151200631)</f>
        <v>18151200631</v>
      </c>
      <c r="O367" s="14" t="s">
        <v>2041</v>
      </c>
      <c r="P367" s="14" t="s">
        <v>118</v>
      </c>
      <c r="Q367" s="14">
        <v>420480.0</v>
      </c>
      <c r="R367" s="24"/>
      <c r="S367" s="24" t="str">
        <f t="shared" ref="S367:U367" si="368">IF(E367&lt;&gt;"","Yes","")</f>
        <v>Yes</v>
      </c>
      <c r="T367" s="24" t="str">
        <f t="shared" si="368"/>
        <v>Yes</v>
      </c>
      <c r="U367" s="24" t="str">
        <f t="shared" si="368"/>
        <v>Yes</v>
      </c>
      <c r="V367" s="24" t="str">
        <f t="shared" si="3"/>
        <v/>
      </c>
      <c r="W367" s="24" t="str">
        <f t="shared" si="4"/>
        <v/>
      </c>
    </row>
    <row r="368">
      <c r="A368" s="18">
        <f>HYPERLINK("https://app.hubspot.com/contacts/8748051/record/0-1/5554610018", 5554610018)</f>
        <v>5554610018</v>
      </c>
      <c r="B368" s="14" t="s">
        <v>5355</v>
      </c>
      <c r="C368" s="16"/>
      <c r="D368" s="14"/>
      <c r="E368" s="32">
        <v>45373.0</v>
      </c>
      <c r="F368" s="32">
        <v>45378.0</v>
      </c>
      <c r="G368" s="32">
        <v>45388.0</v>
      </c>
      <c r="H368" s="24"/>
      <c r="I368" s="24"/>
      <c r="J368" s="24"/>
      <c r="K368" s="18">
        <f>HYPERLINK("https://app.hubspot.com/contacts/8748051/record/0-2/8929923999", 8929923999)</f>
        <v>8929923999</v>
      </c>
      <c r="L368" s="14" t="s">
        <v>1932</v>
      </c>
      <c r="M368" s="18" t="s">
        <v>1933</v>
      </c>
      <c r="N368" s="18">
        <f>HYPERLINK("https://app.hubspot.com/contacts/8748051/record/0-3/18406594379", 18406594379)</f>
        <v>18406594379</v>
      </c>
      <c r="O368" s="14" t="s">
        <v>1931</v>
      </c>
      <c r="P368" s="14" t="s">
        <v>118</v>
      </c>
      <c r="Q368" s="14">
        <v>10800.0</v>
      </c>
      <c r="R368" s="24"/>
      <c r="S368" s="24" t="str">
        <f t="shared" ref="S368:U368" si="369">IF(E368&lt;&gt;"","Yes","")</f>
        <v>Yes</v>
      </c>
      <c r="T368" s="24" t="str">
        <f t="shared" si="369"/>
        <v>Yes</v>
      </c>
      <c r="U368" s="24" t="str">
        <f t="shared" si="369"/>
        <v>Yes</v>
      </c>
      <c r="V368" s="24" t="str">
        <f t="shared" si="3"/>
        <v/>
      </c>
      <c r="W368" s="24" t="str">
        <f t="shared" si="4"/>
        <v/>
      </c>
    </row>
    <row r="369">
      <c r="A369" s="18">
        <f>HYPERLINK("https://app.hubspot.com/contacts/8748051/record/0-1/5421032732", 5421032732)</f>
        <v>5421032732</v>
      </c>
      <c r="B369" s="14" t="s">
        <v>5356</v>
      </c>
      <c r="C369" s="16"/>
      <c r="D369" s="14" t="s">
        <v>5357</v>
      </c>
      <c r="E369" s="32"/>
      <c r="F369" s="32"/>
      <c r="G369" s="32"/>
      <c r="H369" s="24"/>
      <c r="I369" s="24"/>
      <c r="J369" s="24"/>
      <c r="K369" s="18">
        <f>HYPERLINK("https://app.hubspot.com/contacts/8748051/record/0-2/9238395438", 9238395438)</f>
        <v>9238395438</v>
      </c>
      <c r="L369" s="14" t="s">
        <v>5358</v>
      </c>
      <c r="M369" s="18" t="s">
        <v>5359</v>
      </c>
      <c r="N369" s="24"/>
      <c r="O369" s="14"/>
      <c r="P369" s="14"/>
      <c r="Q369" s="14"/>
      <c r="R369" s="24"/>
      <c r="S369" s="24" t="str">
        <f t="shared" ref="S369:U369" si="370">IF(E369&lt;&gt;"","Yes","")</f>
        <v/>
      </c>
      <c r="T369" s="24" t="str">
        <f t="shared" si="370"/>
        <v/>
      </c>
      <c r="U369" s="24" t="str">
        <f t="shared" si="370"/>
        <v/>
      </c>
      <c r="V369" s="24" t="str">
        <f t="shared" si="3"/>
        <v/>
      </c>
      <c r="W369" s="24" t="str">
        <f t="shared" si="4"/>
        <v/>
      </c>
    </row>
    <row r="370">
      <c r="A370" s="18">
        <f>HYPERLINK("https://app.hubspot.com/contacts/8748051/record/0-1/6630865693", 6630865693)</f>
        <v>6630865693</v>
      </c>
      <c r="B370" s="14" t="s">
        <v>5360</v>
      </c>
      <c r="C370" s="16"/>
      <c r="D370" s="14"/>
      <c r="E370" s="32">
        <v>45425.0</v>
      </c>
      <c r="F370" s="32"/>
      <c r="G370" s="32"/>
      <c r="H370" s="24"/>
      <c r="I370" s="14"/>
      <c r="J370" s="14"/>
      <c r="K370" s="18">
        <f>HYPERLINK("https://app.hubspot.com/contacts/8748051/record/0-2/19176224837", 19176224837)</f>
        <v>19176224837</v>
      </c>
      <c r="L370" s="14" t="s">
        <v>1745</v>
      </c>
      <c r="M370" s="18" t="s">
        <v>1746</v>
      </c>
      <c r="N370" s="18">
        <f>HYPERLINK("https://app.hubspot.com/contacts/8748051/record/0-3/19433554088", 19433554088)</f>
        <v>19433554088</v>
      </c>
      <c r="O370" s="14" t="s">
        <v>1744</v>
      </c>
      <c r="P370" s="14" t="s">
        <v>118</v>
      </c>
      <c r="Q370" s="14">
        <v>3120.0</v>
      </c>
      <c r="R370" s="14"/>
      <c r="S370" s="24" t="str">
        <f t="shared" ref="S370:U370" si="371">IF(E370&lt;&gt;"","Yes","")</f>
        <v>Yes</v>
      </c>
      <c r="T370" s="24" t="str">
        <f t="shared" si="371"/>
        <v/>
      </c>
      <c r="U370" s="24" t="str">
        <f t="shared" si="371"/>
        <v/>
      </c>
      <c r="V370" s="24" t="str">
        <f t="shared" si="3"/>
        <v/>
      </c>
      <c r="W370" s="24" t="str">
        <f t="shared" si="4"/>
        <v/>
      </c>
    </row>
    <row r="371">
      <c r="A371" s="18">
        <f>HYPERLINK("https://app.hubspot.com/contacts/8748051/record/0-1/3534351", 3534351)</f>
        <v>3534351</v>
      </c>
      <c r="B371" s="14" t="s">
        <v>5361</v>
      </c>
      <c r="C371" s="16"/>
      <c r="D371" s="14"/>
      <c r="E371" s="32">
        <v>45369.0</v>
      </c>
      <c r="F371" s="32"/>
      <c r="G371" s="32"/>
      <c r="H371" s="24"/>
      <c r="I371" s="24"/>
      <c r="J371" s="24"/>
      <c r="K371" s="18">
        <f>HYPERLINK("https://app.hubspot.com/contacts/8748051/record/0-2/8955697984", 8955697984)</f>
        <v>8955697984</v>
      </c>
      <c r="L371" s="14" t="s">
        <v>639</v>
      </c>
      <c r="M371" s="18" t="s">
        <v>640</v>
      </c>
      <c r="N371" s="14"/>
      <c r="O371" s="14"/>
      <c r="P371" s="14"/>
      <c r="Q371" s="14"/>
      <c r="R371" s="24"/>
      <c r="S371" s="24" t="str">
        <f t="shared" ref="S371:U371" si="372">IF(E371&lt;&gt;"","Yes","")</f>
        <v>Yes</v>
      </c>
      <c r="T371" s="24" t="str">
        <f t="shared" si="372"/>
        <v/>
      </c>
      <c r="U371" s="24" t="str">
        <f t="shared" si="372"/>
        <v/>
      </c>
      <c r="V371" s="24" t="str">
        <f t="shared" si="3"/>
        <v/>
      </c>
      <c r="W371" s="24" t="str">
        <f t="shared" si="4"/>
        <v/>
      </c>
    </row>
    <row r="372">
      <c r="A372" s="18">
        <f>HYPERLINK("https://app.hubspot.com/contacts/8748051/record/0-1/7448762795", 7448762795)</f>
        <v>7448762795</v>
      </c>
      <c r="B372" s="14" t="s">
        <v>5362</v>
      </c>
      <c r="C372" s="16"/>
      <c r="D372" s="14"/>
      <c r="E372" s="32">
        <v>45380.0</v>
      </c>
      <c r="F372" s="32">
        <v>45433.0</v>
      </c>
      <c r="G372" s="32">
        <v>45433.0</v>
      </c>
      <c r="H372" s="24"/>
      <c r="I372" s="24"/>
      <c r="J372" s="24"/>
      <c r="K372" s="18">
        <f>HYPERLINK("https://app.hubspot.com/contacts/8748051/record/0-2/19176318013", 19176318013)</f>
        <v>19176318013</v>
      </c>
      <c r="L372" s="14" t="s">
        <v>1724</v>
      </c>
      <c r="M372" s="18" t="s">
        <v>1725</v>
      </c>
      <c r="N372" s="18">
        <f>HYPERLINK("https://app.hubspot.com/contacts/8748051/record/0-3/19516319289", 19516319289)</f>
        <v>19516319289</v>
      </c>
      <c r="O372" s="14" t="s">
        <v>1723</v>
      </c>
      <c r="P372" s="14" t="s">
        <v>118</v>
      </c>
      <c r="Q372" s="14">
        <v>2880.0</v>
      </c>
      <c r="R372" s="14"/>
      <c r="S372" s="24" t="str">
        <f t="shared" ref="S372:U372" si="373">IF(E372&lt;&gt;"","Yes","")</f>
        <v>Yes</v>
      </c>
      <c r="T372" s="24" t="str">
        <f t="shared" si="373"/>
        <v>Yes</v>
      </c>
      <c r="U372" s="24" t="str">
        <f t="shared" si="373"/>
        <v>Yes</v>
      </c>
      <c r="V372" s="24" t="str">
        <f t="shared" si="3"/>
        <v/>
      </c>
      <c r="W372" s="24" t="str">
        <f t="shared" si="4"/>
        <v/>
      </c>
    </row>
    <row r="373">
      <c r="A373" s="18">
        <f>HYPERLINK("https://app.hubspot.com/contacts/8748051/record/0-1/5860366422", 5860366422)</f>
        <v>5860366422</v>
      </c>
      <c r="B373" s="14" t="s">
        <v>5363</v>
      </c>
      <c r="C373" s="16"/>
      <c r="D373" s="14"/>
      <c r="E373" s="32">
        <v>45376.0</v>
      </c>
      <c r="F373" s="24"/>
      <c r="G373" s="24"/>
      <c r="H373" s="24"/>
      <c r="I373" s="14"/>
      <c r="J373" s="14"/>
      <c r="K373" s="18">
        <f>HYPERLINK("https://app.hubspot.com/contacts/8748051/record/0-2/16065657194", 16065657194)</f>
        <v>16065657194</v>
      </c>
      <c r="L373" s="14" t="s">
        <v>5364</v>
      </c>
      <c r="M373" s="18" t="s">
        <v>5365</v>
      </c>
      <c r="N373" s="24"/>
      <c r="O373" s="14"/>
      <c r="P373" s="14"/>
      <c r="Q373" s="14"/>
      <c r="R373" s="24"/>
      <c r="S373" s="24" t="str">
        <f t="shared" ref="S373:U373" si="374">IF(E373&lt;&gt;"","Yes","")</f>
        <v>Yes</v>
      </c>
      <c r="T373" s="24" t="str">
        <f t="shared" si="374"/>
        <v/>
      </c>
      <c r="U373" s="24" t="str">
        <f t="shared" si="374"/>
        <v/>
      </c>
      <c r="V373" s="24" t="str">
        <f t="shared" si="3"/>
        <v/>
      </c>
      <c r="W373" s="24" t="str">
        <f t="shared" si="4"/>
        <v/>
      </c>
    </row>
    <row r="374">
      <c r="A374" s="18">
        <f>HYPERLINK("https://app.hubspot.com/contacts/8748051/record/0-1/3519001", 3519001)</f>
        <v>3519001</v>
      </c>
      <c r="B374" s="14" t="s">
        <v>5366</v>
      </c>
      <c r="C374" s="16"/>
      <c r="D374" s="14" t="s">
        <v>4248</v>
      </c>
      <c r="E374" s="32"/>
      <c r="F374" s="32"/>
      <c r="G374" s="32"/>
      <c r="H374" s="24"/>
      <c r="I374" s="14"/>
      <c r="J374" s="14"/>
      <c r="K374" s="18">
        <f>HYPERLINK("https://app.hubspot.com/contacts/8748051/record/0-2/8341442344", 8341442344)</f>
        <v>8341442344</v>
      </c>
      <c r="L374" s="14" t="s">
        <v>5367</v>
      </c>
      <c r="M374" s="18" t="s">
        <v>5368</v>
      </c>
      <c r="N374" s="14"/>
      <c r="O374" s="14"/>
      <c r="P374" s="14"/>
      <c r="Q374" s="14"/>
      <c r="R374" s="14"/>
      <c r="S374" s="24" t="str">
        <f t="shared" ref="S374:U374" si="375">IF(E374&lt;&gt;"","Yes","")</f>
        <v/>
      </c>
      <c r="T374" s="24" t="str">
        <f t="shared" si="375"/>
        <v/>
      </c>
      <c r="U374" s="24" t="str">
        <f t="shared" si="375"/>
        <v/>
      </c>
      <c r="V374" s="24" t="str">
        <f t="shared" si="3"/>
        <v/>
      </c>
      <c r="W374" s="24" t="str">
        <f t="shared" si="4"/>
        <v/>
      </c>
    </row>
    <row r="375">
      <c r="A375" s="18">
        <f>HYPERLINK("https://app.hubspot.com/contacts/8748051/record/0-1/8566238567", 8566238567)</f>
        <v>8566238567</v>
      </c>
      <c r="B375" s="14" t="s">
        <v>5369</v>
      </c>
      <c r="C375" s="16"/>
      <c r="D375" s="14"/>
      <c r="E375" s="32">
        <v>45384.0</v>
      </c>
      <c r="F375" s="32">
        <v>45398.0</v>
      </c>
      <c r="G375" s="32">
        <v>45398.0</v>
      </c>
      <c r="H375" s="24"/>
      <c r="I375" s="14"/>
      <c r="J375" s="14"/>
      <c r="K375" s="18">
        <f>HYPERLINK("https://app.hubspot.com/contacts/8748051/record/0-2/8142837591", 8142837591)</f>
        <v>8142837591</v>
      </c>
      <c r="L375" s="14" t="s">
        <v>1907</v>
      </c>
      <c r="M375" s="18" t="s">
        <v>1908</v>
      </c>
      <c r="N375" s="18">
        <f>HYPERLINK("https://app.hubspot.com/contacts/8748051/record/0-3/18607290001", 18607290001)</f>
        <v>18607290001</v>
      </c>
      <c r="O375" s="14" t="s">
        <v>1905</v>
      </c>
      <c r="P375" s="14" t="s">
        <v>146</v>
      </c>
      <c r="Q375" s="14">
        <v>30000.0</v>
      </c>
      <c r="R375" s="14" t="b">
        <v>1</v>
      </c>
      <c r="S375" s="24" t="str">
        <f t="shared" ref="S375:U375" si="376">IF(E375&lt;&gt;"","Yes","")</f>
        <v>Yes</v>
      </c>
      <c r="T375" s="24" t="str">
        <f t="shared" si="376"/>
        <v>Yes</v>
      </c>
      <c r="U375" s="24" t="str">
        <f t="shared" si="376"/>
        <v>Yes</v>
      </c>
      <c r="V375" s="24" t="str">
        <f t="shared" si="3"/>
        <v/>
      </c>
      <c r="W375" s="24" t="str">
        <f t="shared" si="4"/>
        <v>Yes</v>
      </c>
    </row>
    <row r="376">
      <c r="A376" s="18">
        <f>HYPERLINK("https://app.hubspot.com/contacts/8748051/record/0-1/5256839741", 5256839741)</f>
        <v>5256839741</v>
      </c>
      <c r="B376" s="14" t="s">
        <v>5370</v>
      </c>
      <c r="C376" s="16"/>
      <c r="D376" s="14"/>
      <c r="E376" s="32">
        <v>45372.0</v>
      </c>
      <c r="F376" s="32"/>
      <c r="G376" s="32"/>
      <c r="H376" s="24"/>
      <c r="I376" s="14"/>
      <c r="J376" s="14"/>
      <c r="K376" s="18">
        <f>HYPERLINK("https://app.hubspot.com/contacts/8748051/record/0-2/19176667752", 19176667752)</f>
        <v>19176667752</v>
      </c>
      <c r="L376" s="14" t="s">
        <v>5371</v>
      </c>
      <c r="M376" s="18" t="s">
        <v>5372</v>
      </c>
      <c r="N376" s="14"/>
      <c r="O376" s="14"/>
      <c r="P376" s="14"/>
      <c r="Q376" s="14"/>
      <c r="R376" s="14"/>
      <c r="S376" s="24" t="str">
        <f t="shared" ref="S376:U376" si="377">IF(E376&lt;&gt;"","Yes","")</f>
        <v>Yes</v>
      </c>
      <c r="T376" s="24" t="str">
        <f t="shared" si="377"/>
        <v/>
      </c>
      <c r="U376" s="24" t="str">
        <f t="shared" si="377"/>
        <v/>
      </c>
      <c r="V376" s="24" t="str">
        <f t="shared" si="3"/>
        <v/>
      </c>
      <c r="W376" s="24" t="str">
        <f t="shared" si="4"/>
        <v/>
      </c>
    </row>
    <row r="377">
      <c r="A377" s="18">
        <f>HYPERLINK("https://app.hubspot.com/contacts/8748051/record/0-1/3530901", 3530901)</f>
        <v>3530901</v>
      </c>
      <c r="B377" s="14" t="s">
        <v>5373</v>
      </c>
      <c r="C377" s="16"/>
      <c r="D377" s="14"/>
      <c r="E377" s="32">
        <v>45390.0</v>
      </c>
      <c r="F377" s="32"/>
      <c r="G377" s="32"/>
      <c r="H377" s="24"/>
      <c r="I377" s="14"/>
      <c r="J377" s="14"/>
      <c r="K377" s="18">
        <f>HYPERLINK("https://app.hubspot.com/contacts/8748051/record/0-2/9237584550", 9237584550)</f>
        <v>9237584550</v>
      </c>
      <c r="L377" s="14" t="s">
        <v>5374</v>
      </c>
      <c r="M377" s="18" t="s">
        <v>5375</v>
      </c>
      <c r="N377" s="14"/>
      <c r="O377" s="14"/>
      <c r="P377" s="14"/>
      <c r="Q377" s="14"/>
      <c r="R377" s="14"/>
      <c r="S377" s="24" t="str">
        <f t="shared" ref="S377:U377" si="378">IF(E377&lt;&gt;"","Yes","")</f>
        <v>Yes</v>
      </c>
      <c r="T377" s="24" t="str">
        <f t="shared" si="378"/>
        <v/>
      </c>
      <c r="U377" s="24" t="str">
        <f t="shared" si="378"/>
        <v/>
      </c>
      <c r="V377" s="24" t="str">
        <f t="shared" si="3"/>
        <v/>
      </c>
      <c r="W377" s="24" t="str">
        <f t="shared" si="4"/>
        <v/>
      </c>
    </row>
    <row r="378">
      <c r="A378" s="18">
        <f>HYPERLINK("https://app.hubspot.com/contacts/8748051/record/0-1/3564701", 3564701)</f>
        <v>3564701</v>
      </c>
      <c r="B378" s="14" t="s">
        <v>5376</v>
      </c>
      <c r="C378" s="16"/>
      <c r="D378" s="14"/>
      <c r="E378" s="32">
        <v>45371.0</v>
      </c>
      <c r="F378" s="32">
        <v>45380.0</v>
      </c>
      <c r="G378" s="32">
        <v>45380.0</v>
      </c>
      <c r="H378" s="24"/>
      <c r="I378" s="24"/>
      <c r="J378" s="24"/>
      <c r="K378" s="18">
        <f>HYPERLINK("https://app.hubspot.com/contacts/8748051/record/0-2/7945145246", 7945145246)</f>
        <v>7945145246</v>
      </c>
      <c r="L378" s="14" t="s">
        <v>1986</v>
      </c>
      <c r="M378" s="18" t="s">
        <v>1987</v>
      </c>
      <c r="N378" s="23">
        <f>HYPERLINK("https://app.hubspot.com/contacts/8748051/record/0-3/18265173382", 18265173382)</f>
        <v>18265173382</v>
      </c>
      <c r="O378" s="14" t="s">
        <v>1985</v>
      </c>
      <c r="P378" s="14" t="s">
        <v>118</v>
      </c>
      <c r="Q378" s="14">
        <v>25000.0</v>
      </c>
      <c r="R378" s="14"/>
      <c r="S378" s="24" t="str">
        <f t="shared" ref="S378:U378" si="379">IF(E378&lt;&gt;"","Yes","")</f>
        <v>Yes</v>
      </c>
      <c r="T378" s="24" t="str">
        <f t="shared" si="379"/>
        <v>Yes</v>
      </c>
      <c r="U378" s="24" t="str">
        <f t="shared" si="379"/>
        <v>Yes</v>
      </c>
      <c r="V378" s="24" t="str">
        <f t="shared" si="3"/>
        <v/>
      </c>
      <c r="W378" s="24" t="str">
        <f t="shared" si="4"/>
        <v/>
      </c>
    </row>
    <row r="379">
      <c r="A379" s="18">
        <f>HYPERLINK("https://app.hubspot.com/contacts/8748051/record/0-1/7111144368", 7111144368)</f>
        <v>7111144368</v>
      </c>
      <c r="B379" s="14" t="s">
        <v>5377</v>
      </c>
      <c r="C379" s="16"/>
      <c r="D379" s="14" t="s">
        <v>5378</v>
      </c>
      <c r="E379" s="32"/>
      <c r="F379" s="32"/>
      <c r="G379" s="32"/>
      <c r="H379" s="14"/>
      <c r="I379" s="14"/>
      <c r="J379" s="14"/>
      <c r="K379" s="18">
        <f>HYPERLINK("https://app.hubspot.com/contacts/8748051/record/0-2/19176574764", 19176574764)</f>
        <v>19176574764</v>
      </c>
      <c r="L379" s="14" t="s">
        <v>5379</v>
      </c>
      <c r="M379" s="18" t="s">
        <v>5380</v>
      </c>
      <c r="N379" s="14"/>
      <c r="O379" s="14"/>
      <c r="P379" s="14"/>
      <c r="Q379" s="14"/>
      <c r="R379" s="14"/>
      <c r="S379" s="24" t="str">
        <f t="shared" ref="S379:U379" si="380">IF(E379&lt;&gt;"","Yes","")</f>
        <v/>
      </c>
      <c r="T379" s="24" t="str">
        <f t="shared" si="380"/>
        <v/>
      </c>
      <c r="U379" s="24" t="str">
        <f t="shared" si="380"/>
        <v/>
      </c>
      <c r="V379" s="24" t="str">
        <f t="shared" si="3"/>
        <v/>
      </c>
      <c r="W379" s="24" t="str">
        <f t="shared" si="4"/>
        <v/>
      </c>
    </row>
    <row r="380">
      <c r="A380" s="18">
        <f>HYPERLINK("https://app.hubspot.com/contacts/8748051/record/0-1/3562601", 3562601)</f>
        <v>3562601</v>
      </c>
      <c r="B380" s="14" t="s">
        <v>5381</v>
      </c>
      <c r="C380" s="16"/>
      <c r="D380" s="14"/>
      <c r="E380" s="32">
        <v>45371.0</v>
      </c>
      <c r="F380" s="32"/>
      <c r="G380" s="32"/>
      <c r="H380" s="24"/>
      <c r="I380" s="24"/>
      <c r="J380" s="24"/>
      <c r="K380" s="18">
        <f>HYPERLINK("https://app.hubspot.com/contacts/8748051/record/0-2/18832255345", 18832255345)</f>
        <v>18832255345</v>
      </c>
      <c r="L380" s="14" t="s">
        <v>5382</v>
      </c>
      <c r="M380" s="18" t="s">
        <v>5383</v>
      </c>
      <c r="N380" s="24"/>
      <c r="O380" s="14"/>
      <c r="P380" s="14"/>
      <c r="Q380" s="14"/>
      <c r="R380" s="14"/>
      <c r="S380" s="24" t="str">
        <f t="shared" ref="S380:U380" si="381">IF(E380&lt;&gt;"","Yes","")</f>
        <v>Yes</v>
      </c>
      <c r="T380" s="24" t="str">
        <f t="shared" si="381"/>
        <v/>
      </c>
      <c r="U380" s="24" t="str">
        <f t="shared" si="381"/>
        <v/>
      </c>
      <c r="V380" s="24" t="str">
        <f t="shared" si="3"/>
        <v/>
      </c>
      <c r="W380" s="24" t="str">
        <f t="shared" si="4"/>
        <v/>
      </c>
    </row>
    <row r="381">
      <c r="A381" s="18">
        <f>HYPERLINK("https://app.hubspot.com/contacts/8748051/record/0-1/3503701", 3503701)</f>
        <v>3503701</v>
      </c>
      <c r="B381" s="14" t="s">
        <v>5384</v>
      </c>
      <c r="C381" s="16"/>
      <c r="D381" s="14"/>
      <c r="E381" s="32">
        <v>45362.0</v>
      </c>
      <c r="F381" s="32"/>
      <c r="G381" s="32"/>
      <c r="H381" s="24"/>
      <c r="I381" s="14"/>
      <c r="J381" s="14"/>
      <c r="K381" s="18">
        <f>HYPERLINK("https://app.hubspot.com/contacts/8748051/record/0-2/19176716148", 19176716148)</f>
        <v>19176716148</v>
      </c>
      <c r="L381" s="14" t="s">
        <v>5385</v>
      </c>
      <c r="M381" s="18" t="s">
        <v>5386</v>
      </c>
      <c r="N381" s="14"/>
      <c r="O381" s="14"/>
      <c r="P381" s="14"/>
      <c r="Q381" s="14"/>
      <c r="R381" s="24"/>
      <c r="S381" s="24" t="str">
        <f t="shared" ref="S381:U381" si="382">IF(E381&lt;&gt;"","Yes","")</f>
        <v>Yes</v>
      </c>
      <c r="T381" s="24" t="str">
        <f t="shared" si="382"/>
        <v/>
      </c>
      <c r="U381" s="24" t="str">
        <f t="shared" si="382"/>
        <v/>
      </c>
      <c r="V381" s="24" t="str">
        <f t="shared" si="3"/>
        <v/>
      </c>
      <c r="W381" s="24" t="str">
        <f t="shared" si="4"/>
        <v/>
      </c>
    </row>
    <row r="382">
      <c r="A382" s="18">
        <f>HYPERLINK("https://app.hubspot.com/contacts/8748051/record/0-1/5148182595", 5148182595)</f>
        <v>5148182595</v>
      </c>
      <c r="B382" s="14" t="s">
        <v>5387</v>
      </c>
      <c r="C382" s="16"/>
      <c r="D382" s="16"/>
      <c r="E382" s="32">
        <v>45372.0</v>
      </c>
      <c r="F382" s="32">
        <v>45379.0</v>
      </c>
      <c r="G382" s="32">
        <v>45379.0</v>
      </c>
      <c r="H382" s="24"/>
      <c r="I382" s="24"/>
      <c r="J382" s="24"/>
      <c r="K382" s="18">
        <f>HYPERLINK("https://app.hubspot.com/contacts/8748051/record/0-2/9793685141", 9793685141)</f>
        <v>9793685141</v>
      </c>
      <c r="L382" s="14" t="s">
        <v>2026</v>
      </c>
      <c r="M382" s="18" t="s">
        <v>2027</v>
      </c>
      <c r="N382" s="23">
        <f>HYPERLINK("https://app.hubspot.com/contacts/8748051/record/0-3/18219071497", 18219071497)</f>
        <v>18219071497</v>
      </c>
      <c r="O382" s="14" t="s">
        <v>2025</v>
      </c>
      <c r="P382" s="14" t="s">
        <v>124</v>
      </c>
      <c r="Q382" s="14">
        <v>30000.0</v>
      </c>
      <c r="R382" s="14" t="b">
        <v>1</v>
      </c>
      <c r="S382" s="24" t="str">
        <f t="shared" ref="S382:U382" si="383">IF(E382&lt;&gt;"","Yes","")</f>
        <v>Yes</v>
      </c>
      <c r="T382" s="24" t="str">
        <f t="shared" si="383"/>
        <v>Yes</v>
      </c>
      <c r="U382" s="24" t="str">
        <f t="shared" si="383"/>
        <v>Yes</v>
      </c>
      <c r="V382" s="24" t="str">
        <f t="shared" si="3"/>
        <v/>
      </c>
      <c r="W382" s="24" t="str">
        <f t="shared" si="4"/>
        <v/>
      </c>
    </row>
    <row r="383">
      <c r="A383" s="18">
        <f>HYPERLINK("https://app.hubspot.com/contacts/8748051/record/0-1/3552451", 3552451)</f>
        <v>3552451</v>
      </c>
      <c r="B383" s="14" t="s">
        <v>5388</v>
      </c>
      <c r="C383" s="16"/>
      <c r="D383" s="14"/>
      <c r="E383" s="32">
        <v>45369.0</v>
      </c>
      <c r="F383" s="32"/>
      <c r="G383" s="32"/>
      <c r="H383" s="24"/>
      <c r="I383" s="24"/>
      <c r="J383" s="24"/>
      <c r="K383" s="18">
        <f>HYPERLINK("https://app.hubspot.com/contacts/8748051/record/0-2/8005912479", 8005912479)</f>
        <v>8005912479</v>
      </c>
      <c r="L383" s="14" t="s">
        <v>5389</v>
      </c>
      <c r="M383" s="18" t="s">
        <v>5390</v>
      </c>
      <c r="N383" s="14"/>
      <c r="O383" s="14"/>
      <c r="P383" s="14"/>
      <c r="Q383" s="14"/>
      <c r="R383" s="24"/>
      <c r="S383" s="24" t="str">
        <f t="shared" ref="S383:U383" si="384">IF(E383&lt;&gt;"","Yes","")</f>
        <v>Yes</v>
      </c>
      <c r="T383" s="24" t="str">
        <f t="shared" si="384"/>
        <v/>
      </c>
      <c r="U383" s="24" t="str">
        <f t="shared" si="384"/>
        <v/>
      </c>
      <c r="V383" s="24" t="str">
        <f t="shared" si="3"/>
        <v/>
      </c>
      <c r="W383" s="24" t="str">
        <f t="shared" si="4"/>
        <v/>
      </c>
    </row>
    <row r="384">
      <c r="A384" s="18">
        <f>HYPERLINK("https://app.hubspot.com/contacts/8748051/record/0-1/7577050912", 7577050912)</f>
        <v>7577050912</v>
      </c>
      <c r="B384" s="14" t="s">
        <v>5391</v>
      </c>
      <c r="C384" s="16"/>
      <c r="D384" s="14"/>
      <c r="E384" s="32">
        <v>45380.0</v>
      </c>
      <c r="F384" s="32"/>
      <c r="G384" s="32"/>
      <c r="H384" s="24"/>
      <c r="I384" s="14"/>
      <c r="J384" s="14"/>
      <c r="K384" s="18">
        <f>HYPERLINK("https://app.hubspot.com/contacts/8748051/record/0-2/19176609124", 19176609124)</f>
        <v>19176609124</v>
      </c>
      <c r="L384" s="14" t="s">
        <v>5392</v>
      </c>
      <c r="M384" s="18" t="s">
        <v>5393</v>
      </c>
      <c r="N384" s="24"/>
      <c r="O384" s="14"/>
      <c r="P384" s="14"/>
      <c r="Q384" s="14"/>
      <c r="R384" s="14"/>
      <c r="S384" s="24" t="str">
        <f t="shared" ref="S384:U384" si="385">IF(E384&lt;&gt;"","Yes","")</f>
        <v>Yes</v>
      </c>
      <c r="T384" s="24" t="str">
        <f t="shared" si="385"/>
        <v/>
      </c>
      <c r="U384" s="24" t="str">
        <f t="shared" si="385"/>
        <v/>
      </c>
      <c r="V384" s="24" t="str">
        <f t="shared" si="3"/>
        <v/>
      </c>
      <c r="W384" s="24" t="str">
        <f t="shared" si="4"/>
        <v/>
      </c>
    </row>
    <row r="385">
      <c r="A385" s="18">
        <f>HYPERLINK("https://app.hubspot.com/contacts/8748051/record/0-1/6506660223", 6506660223)</f>
        <v>6506660223</v>
      </c>
      <c r="B385" s="14" t="s">
        <v>5394</v>
      </c>
      <c r="C385" s="16"/>
      <c r="D385" s="14"/>
      <c r="E385" s="32">
        <v>45377.0</v>
      </c>
      <c r="F385" s="32">
        <v>45384.0</v>
      </c>
      <c r="G385" s="32">
        <v>45384.0</v>
      </c>
      <c r="H385" s="24"/>
      <c r="I385" s="24"/>
      <c r="J385" s="24"/>
      <c r="K385" s="18">
        <f>HYPERLINK("https://app.hubspot.com/contacts/8748051/record/0-2/19176617366", 19176617366)</f>
        <v>19176617366</v>
      </c>
      <c r="L385" s="14" t="s">
        <v>1951</v>
      </c>
      <c r="M385" s="18" t="s">
        <v>1952</v>
      </c>
      <c r="N385" s="23">
        <f>HYPERLINK("https://app.hubspot.com/contacts/8748051/record/0-3/18377682338", 18377682338)</f>
        <v>18377682338</v>
      </c>
      <c r="O385" s="14" t="s">
        <v>1950</v>
      </c>
      <c r="P385" s="14" t="s">
        <v>118</v>
      </c>
      <c r="Q385" s="14">
        <v>4560.0</v>
      </c>
      <c r="R385" s="24"/>
      <c r="S385" s="24" t="str">
        <f t="shared" ref="S385:U385" si="386">IF(E385&lt;&gt;"","Yes","")</f>
        <v>Yes</v>
      </c>
      <c r="T385" s="24" t="str">
        <f t="shared" si="386"/>
        <v>Yes</v>
      </c>
      <c r="U385" s="24" t="str">
        <f t="shared" si="386"/>
        <v>Yes</v>
      </c>
      <c r="V385" s="24" t="str">
        <f t="shared" si="3"/>
        <v/>
      </c>
      <c r="W385" s="24" t="str">
        <f t="shared" si="4"/>
        <v/>
      </c>
    </row>
    <row r="386">
      <c r="A386" s="18">
        <f>HYPERLINK("https://app.hubspot.com/contacts/8748051/record/0-1/5136626218", 5136626218)</f>
        <v>5136626218</v>
      </c>
      <c r="B386" s="14" t="s">
        <v>5395</v>
      </c>
      <c r="C386" s="16"/>
      <c r="D386" s="14" t="s">
        <v>5276</v>
      </c>
      <c r="E386" s="32"/>
      <c r="F386" s="32"/>
      <c r="G386" s="32"/>
      <c r="H386" s="24"/>
      <c r="I386" s="24"/>
      <c r="J386" s="24"/>
      <c r="K386" s="18">
        <f>HYPERLINK("https://app.hubspot.com/contacts/8748051/record/0-2/10358610795", 10358610795)</f>
        <v>10358610795</v>
      </c>
      <c r="L386" s="14" t="s">
        <v>4597</v>
      </c>
      <c r="M386" s="18" t="s">
        <v>4598</v>
      </c>
      <c r="N386" s="14"/>
      <c r="O386" s="14"/>
      <c r="P386" s="14"/>
      <c r="Q386" s="14"/>
      <c r="R386" s="14"/>
      <c r="S386" s="24" t="str">
        <f t="shared" ref="S386:U386" si="387">IF(E386&lt;&gt;"","Yes","")</f>
        <v/>
      </c>
      <c r="T386" s="24" t="str">
        <f t="shared" si="387"/>
        <v/>
      </c>
      <c r="U386" s="24" t="str">
        <f t="shared" si="387"/>
        <v/>
      </c>
      <c r="V386" s="24" t="str">
        <f t="shared" si="3"/>
        <v/>
      </c>
      <c r="W386" s="24" t="str">
        <f t="shared" si="4"/>
        <v/>
      </c>
    </row>
    <row r="387">
      <c r="A387" s="18">
        <f>HYPERLINK("https://app.hubspot.com/contacts/8748051/record/0-1/7711769413", 7711769413)</f>
        <v>7711769413</v>
      </c>
      <c r="B387" s="14" t="s">
        <v>5396</v>
      </c>
      <c r="C387" s="16"/>
      <c r="D387" s="14"/>
      <c r="E387" s="32">
        <v>45381.0</v>
      </c>
      <c r="F387" s="32">
        <v>45413.0</v>
      </c>
      <c r="G387" s="32">
        <v>45413.0</v>
      </c>
      <c r="H387" s="24"/>
      <c r="I387" s="24"/>
      <c r="J387" s="24"/>
      <c r="K387" s="18">
        <f>HYPERLINK("https://app.hubspot.com/contacts/8748051/record/0-2/19176639378", 19176639378)</f>
        <v>19176639378</v>
      </c>
      <c r="L387" s="14" t="s">
        <v>1840</v>
      </c>
      <c r="M387" s="18" t="s">
        <v>1841</v>
      </c>
      <c r="N387" s="23">
        <f>HYPERLINK("https://app.hubspot.com/contacts/8748051/record/0-3/18874796404", 18874796404)</f>
        <v>18874796404</v>
      </c>
      <c r="O387" s="14" t="s">
        <v>1839</v>
      </c>
      <c r="P387" s="14" t="s">
        <v>118</v>
      </c>
      <c r="Q387" s="14">
        <v>5280.0</v>
      </c>
      <c r="R387" s="14"/>
      <c r="S387" s="24" t="str">
        <f t="shared" ref="S387:U387" si="388">IF(E387&lt;&gt;"","Yes","")</f>
        <v>Yes</v>
      </c>
      <c r="T387" s="24" t="str">
        <f t="shared" si="388"/>
        <v>Yes</v>
      </c>
      <c r="U387" s="24" t="str">
        <f t="shared" si="388"/>
        <v>Yes</v>
      </c>
      <c r="V387" s="24" t="str">
        <f t="shared" si="3"/>
        <v/>
      </c>
      <c r="W387" s="24" t="str">
        <f t="shared" si="4"/>
        <v/>
      </c>
    </row>
    <row r="388">
      <c r="A388" s="18">
        <f>HYPERLINK("https://app.hubspot.com/contacts/8748051/record/0-1/6224040317", 6224040317)</f>
        <v>6224040317</v>
      </c>
      <c r="B388" s="14" t="s">
        <v>5397</v>
      </c>
      <c r="C388" s="16"/>
      <c r="D388" s="14"/>
      <c r="E388" s="32">
        <v>45376.0</v>
      </c>
      <c r="F388" s="32"/>
      <c r="G388" s="32"/>
      <c r="H388" s="24"/>
      <c r="I388" s="24"/>
      <c r="J388" s="24"/>
      <c r="K388" s="18">
        <f>HYPERLINK("https://app.hubspot.com/contacts/8748051/record/0-2/7514178488", 7514178488)</f>
        <v>7514178488</v>
      </c>
      <c r="L388" s="14" t="s">
        <v>1884</v>
      </c>
      <c r="M388" s="18" t="s">
        <v>1885</v>
      </c>
      <c r="N388" s="14"/>
      <c r="O388" s="14"/>
      <c r="P388" s="14"/>
      <c r="Q388" s="14"/>
      <c r="R388" s="14"/>
      <c r="S388" s="24" t="str">
        <f t="shared" ref="S388:U388" si="389">IF(E388&lt;&gt;"","Yes","")</f>
        <v>Yes</v>
      </c>
      <c r="T388" s="24" t="str">
        <f t="shared" si="389"/>
        <v/>
      </c>
      <c r="U388" s="24" t="str">
        <f t="shared" si="389"/>
        <v/>
      </c>
      <c r="V388" s="24" t="str">
        <f t="shared" si="3"/>
        <v/>
      </c>
      <c r="W388" s="24" t="str">
        <f t="shared" si="4"/>
        <v/>
      </c>
    </row>
    <row r="389">
      <c r="A389" s="18">
        <f>HYPERLINK("https://app.hubspot.com/contacts/8748051/record/0-1/5692308845", 5692308845)</f>
        <v>5692308845</v>
      </c>
      <c r="B389" s="14" t="s">
        <v>5398</v>
      </c>
      <c r="C389" s="16"/>
      <c r="D389" s="16"/>
      <c r="E389" s="32">
        <v>45374.0</v>
      </c>
      <c r="F389" s="32"/>
      <c r="G389" s="32"/>
      <c r="H389" s="24"/>
      <c r="I389" s="24"/>
      <c r="J389" s="24"/>
      <c r="K389" s="18">
        <f>HYPERLINK("https://app.hubspot.com/contacts/8748051/record/0-2/19176605468", 19176605468)</f>
        <v>19176605468</v>
      </c>
      <c r="L389" s="18" t="s">
        <v>5399</v>
      </c>
      <c r="M389" s="18" t="s">
        <v>5400</v>
      </c>
      <c r="N389" s="14"/>
      <c r="O389" s="14"/>
      <c r="P389" s="14"/>
      <c r="Q389" s="14"/>
      <c r="R389" s="14"/>
      <c r="S389" s="24" t="str">
        <f t="shared" ref="S389:U389" si="390">IF(E389&lt;&gt;"","Yes","")</f>
        <v>Yes</v>
      </c>
      <c r="T389" s="24" t="str">
        <f t="shared" si="390"/>
        <v/>
      </c>
      <c r="U389" s="24" t="str">
        <f t="shared" si="390"/>
        <v/>
      </c>
      <c r="V389" s="24" t="str">
        <f t="shared" si="3"/>
        <v/>
      </c>
      <c r="W389" s="24" t="str">
        <f t="shared" si="4"/>
        <v/>
      </c>
    </row>
    <row r="390">
      <c r="A390" s="18">
        <f>HYPERLINK("https://app.hubspot.com/contacts/8748051/record/0-1/5775886604", 5775886604)</f>
        <v>5775886604</v>
      </c>
      <c r="B390" s="14" t="s">
        <v>5401</v>
      </c>
      <c r="C390" s="16"/>
      <c r="D390" s="16"/>
      <c r="E390" s="32">
        <v>45374.0</v>
      </c>
      <c r="F390" s="32"/>
      <c r="G390" s="32"/>
      <c r="H390" s="24"/>
      <c r="I390" s="24"/>
      <c r="J390" s="24"/>
      <c r="K390" s="18">
        <f>HYPERLINK("https://app.hubspot.com/contacts/8748051/record/0-2/7624079167", 7624079167)</f>
        <v>7624079167</v>
      </c>
      <c r="L390" s="14" t="s">
        <v>5402</v>
      </c>
      <c r="M390" s="18" t="s">
        <v>5403</v>
      </c>
      <c r="N390" s="14"/>
      <c r="O390" s="14"/>
      <c r="P390" s="14"/>
      <c r="Q390" s="14"/>
      <c r="R390" s="14"/>
      <c r="S390" s="24" t="str">
        <f t="shared" ref="S390:U390" si="391">IF(E390&lt;&gt;"","Yes","")</f>
        <v>Yes</v>
      </c>
      <c r="T390" s="24" t="str">
        <f t="shared" si="391"/>
        <v/>
      </c>
      <c r="U390" s="24" t="str">
        <f t="shared" si="391"/>
        <v/>
      </c>
      <c r="V390" s="24" t="str">
        <f t="shared" si="3"/>
        <v/>
      </c>
      <c r="W390" s="24" t="str">
        <f t="shared" si="4"/>
        <v/>
      </c>
    </row>
    <row r="391">
      <c r="A391" s="18">
        <f>HYPERLINK("https://app.hubspot.com/contacts/8748051/record/0-1/7652551449", 7652551449)</f>
        <v>7652551449</v>
      </c>
      <c r="B391" s="14" t="s">
        <v>5404</v>
      </c>
      <c r="C391" s="16"/>
      <c r="D391" s="14" t="s">
        <v>4116</v>
      </c>
      <c r="E391" s="32"/>
      <c r="F391" s="32"/>
      <c r="G391" s="32"/>
      <c r="H391" s="14"/>
      <c r="I391" s="14"/>
      <c r="J391" s="14"/>
      <c r="K391" s="18">
        <f>HYPERLINK("https://app.hubspot.com/contacts/8748051/record/0-2/36370815533", 36370815533)</f>
        <v>36370815533</v>
      </c>
      <c r="L391" s="14" t="s">
        <v>5405</v>
      </c>
      <c r="M391" s="18" t="s">
        <v>5406</v>
      </c>
      <c r="N391" s="14"/>
      <c r="O391" s="14"/>
      <c r="P391" s="14"/>
      <c r="Q391" s="14"/>
      <c r="R391" s="24"/>
      <c r="S391" s="24" t="str">
        <f t="shared" ref="S391:U391" si="392">IF(E391&lt;&gt;"","Yes","")</f>
        <v/>
      </c>
      <c r="T391" s="24" t="str">
        <f t="shared" si="392"/>
        <v/>
      </c>
      <c r="U391" s="24" t="str">
        <f t="shared" si="392"/>
        <v/>
      </c>
      <c r="V391" s="24" t="str">
        <f t="shared" si="3"/>
        <v/>
      </c>
      <c r="W391" s="24" t="str">
        <f t="shared" si="4"/>
        <v/>
      </c>
    </row>
    <row r="392">
      <c r="A392" s="18">
        <f>HYPERLINK("https://app.hubspot.com/contacts/8748051/record/0-1/7618987800", 7618987800)</f>
        <v>7618987800</v>
      </c>
      <c r="B392" s="14" t="s">
        <v>5407</v>
      </c>
      <c r="C392" s="16"/>
      <c r="D392" s="14"/>
      <c r="E392" s="32">
        <v>45380.0</v>
      </c>
      <c r="F392" s="32">
        <v>45402.0</v>
      </c>
      <c r="G392" s="32">
        <v>45402.0</v>
      </c>
      <c r="H392" s="24"/>
      <c r="I392" s="14"/>
      <c r="J392" s="14"/>
      <c r="K392" s="18">
        <f>HYPERLINK("https://app.hubspot.com/contacts/8748051/record/0-2/9238284430", 9238284430)</f>
        <v>9238284430</v>
      </c>
      <c r="L392" s="14" t="s">
        <v>1861</v>
      </c>
      <c r="M392" s="18" t="s">
        <v>1862</v>
      </c>
      <c r="N392" s="23">
        <f>HYPERLINK("https://app.hubspot.com/contacts/8748051/record/0-3/18721169187", 18721169187)</f>
        <v>18721169187</v>
      </c>
      <c r="O392" s="14" t="s">
        <v>1860</v>
      </c>
      <c r="P392" s="14" t="s">
        <v>124</v>
      </c>
      <c r="Q392" s="14">
        <v>10000.0</v>
      </c>
      <c r="R392" s="14" t="b">
        <v>1</v>
      </c>
      <c r="S392" s="24" t="str">
        <f t="shared" ref="S392:U392" si="393">IF(E392&lt;&gt;"","Yes","")</f>
        <v>Yes</v>
      </c>
      <c r="T392" s="24" t="str">
        <f t="shared" si="393"/>
        <v>Yes</v>
      </c>
      <c r="U392" s="24" t="str">
        <f t="shared" si="393"/>
        <v>Yes</v>
      </c>
      <c r="V392" s="24" t="str">
        <f t="shared" si="3"/>
        <v/>
      </c>
      <c r="W392" s="24" t="str">
        <f t="shared" si="4"/>
        <v/>
      </c>
    </row>
    <row r="393">
      <c r="A393" s="18">
        <f>HYPERLINK("https://app.hubspot.com/contacts/8748051/record/0-1/6306859063", 6306859063)</f>
        <v>6306859063</v>
      </c>
      <c r="B393" s="14" t="s">
        <v>5408</v>
      </c>
      <c r="C393" s="16"/>
      <c r="D393" s="14" t="s">
        <v>5276</v>
      </c>
      <c r="E393" s="32"/>
      <c r="F393" s="32"/>
      <c r="G393" s="32"/>
      <c r="H393" s="14"/>
      <c r="I393" s="14"/>
      <c r="J393" s="14"/>
      <c r="K393" s="18">
        <f>HYPERLINK("https://app.hubspot.com/contacts/8748051/record/0-2/12428448844", 12428448844)</f>
        <v>12428448844</v>
      </c>
      <c r="L393" s="14" t="s">
        <v>5224</v>
      </c>
      <c r="M393" s="18" t="s">
        <v>5225</v>
      </c>
      <c r="N393" s="14"/>
      <c r="O393" s="14"/>
      <c r="P393" s="14"/>
      <c r="Q393" s="14"/>
      <c r="R393" s="14"/>
      <c r="S393" s="24" t="str">
        <f t="shared" ref="S393:U393" si="394">IF(E393&lt;&gt;"","Yes","")</f>
        <v/>
      </c>
      <c r="T393" s="24" t="str">
        <f t="shared" si="394"/>
        <v/>
      </c>
      <c r="U393" s="24" t="str">
        <f t="shared" si="394"/>
        <v/>
      </c>
      <c r="V393" s="24" t="str">
        <f t="shared" si="3"/>
        <v/>
      </c>
      <c r="W393" s="24" t="str">
        <f t="shared" si="4"/>
        <v/>
      </c>
    </row>
    <row r="394">
      <c r="A394" s="18">
        <f>HYPERLINK("https://app.hubspot.com/contacts/8748051/record/0-1/5883609010", 5883609010)</f>
        <v>5883609010</v>
      </c>
      <c r="B394" s="14" t="s">
        <v>5409</v>
      </c>
      <c r="C394" s="16"/>
      <c r="D394" s="14"/>
      <c r="E394" s="32">
        <v>45377.0</v>
      </c>
      <c r="F394" s="32">
        <v>45398.0</v>
      </c>
      <c r="G394" s="32">
        <v>45398.0</v>
      </c>
      <c r="H394" s="24"/>
      <c r="I394" s="14"/>
      <c r="J394" s="14"/>
      <c r="K394" s="18">
        <f>HYPERLINK("https://app.hubspot.com/contacts/8748051/record/0-2/8724376947", 8724376947)</f>
        <v>8724376947</v>
      </c>
      <c r="L394" s="14" t="s">
        <v>1890</v>
      </c>
      <c r="M394" s="18" t="s">
        <v>1891</v>
      </c>
      <c r="N394" s="18">
        <f>HYPERLINK("https://app.hubspot.com/contacts/8748051/record/0-3/18673492017", 18673492017)</f>
        <v>18673492017</v>
      </c>
      <c r="O394" s="14" t="s">
        <v>1889</v>
      </c>
      <c r="P394" s="14" t="s">
        <v>118</v>
      </c>
      <c r="Q394" s="14">
        <v>7440.0</v>
      </c>
      <c r="R394" s="14"/>
      <c r="S394" s="24" t="str">
        <f t="shared" ref="S394:U394" si="395">IF(E394&lt;&gt;"","Yes","")</f>
        <v>Yes</v>
      </c>
      <c r="T394" s="24" t="str">
        <f t="shared" si="395"/>
        <v>Yes</v>
      </c>
      <c r="U394" s="24" t="str">
        <f t="shared" si="395"/>
        <v>Yes</v>
      </c>
      <c r="V394" s="24" t="str">
        <f t="shared" si="3"/>
        <v/>
      </c>
      <c r="W394" s="24" t="str">
        <f t="shared" si="4"/>
        <v/>
      </c>
    </row>
    <row r="395">
      <c r="A395" s="18">
        <f>HYPERLINK("https://app.hubspot.com/contacts/8748051/record/0-1/8308054905", 8308054905)</f>
        <v>8308054905</v>
      </c>
      <c r="B395" s="14" t="s">
        <v>5410</v>
      </c>
      <c r="C395" s="16"/>
      <c r="D395" s="14"/>
      <c r="E395" s="32">
        <v>45383.0</v>
      </c>
      <c r="F395" s="32"/>
      <c r="G395" s="24"/>
      <c r="H395" s="24"/>
      <c r="I395" s="14"/>
      <c r="J395" s="14"/>
      <c r="K395" s="18">
        <f>HYPERLINK("https://app.hubspot.com/contacts/8748051/record/0-2/19176591136", 19176591136)</f>
        <v>19176591136</v>
      </c>
      <c r="L395" s="14" t="s">
        <v>5411</v>
      </c>
      <c r="M395" s="18" t="s">
        <v>5412</v>
      </c>
      <c r="N395" s="14"/>
      <c r="O395" s="14"/>
      <c r="P395" s="14"/>
      <c r="Q395" s="14"/>
      <c r="R395" s="24"/>
      <c r="S395" s="24" t="str">
        <f t="shared" ref="S395:U395" si="396">IF(E395&lt;&gt;"","Yes","")</f>
        <v>Yes</v>
      </c>
      <c r="T395" s="24" t="str">
        <f t="shared" si="396"/>
        <v/>
      </c>
      <c r="U395" s="24" t="str">
        <f t="shared" si="396"/>
        <v/>
      </c>
      <c r="V395" s="24" t="str">
        <f t="shared" si="3"/>
        <v/>
      </c>
      <c r="W395" s="24" t="str">
        <f t="shared" si="4"/>
        <v/>
      </c>
    </row>
    <row r="396">
      <c r="A396" s="18">
        <f>HYPERLINK("https://app.hubspot.com/contacts/8748051/record/0-1/3561801", 3561801)</f>
        <v>3561801</v>
      </c>
      <c r="B396" s="14" t="s">
        <v>5413</v>
      </c>
      <c r="C396" s="16"/>
      <c r="D396" s="16"/>
      <c r="E396" s="32">
        <v>45371.0</v>
      </c>
      <c r="F396" s="24"/>
      <c r="G396" s="24"/>
      <c r="H396" s="24"/>
      <c r="I396" s="24"/>
      <c r="J396" s="24"/>
      <c r="K396" s="18">
        <f>HYPERLINK("https://app.hubspot.com/contacts/8748051/record/0-2/15267389766", 15267389766)</f>
        <v>15267389766</v>
      </c>
      <c r="L396" s="14" t="s">
        <v>5414</v>
      </c>
      <c r="M396" s="18" t="s">
        <v>5415</v>
      </c>
      <c r="N396" s="24"/>
      <c r="O396" s="24"/>
      <c r="P396" s="24"/>
      <c r="Q396" s="24"/>
      <c r="R396" s="24"/>
      <c r="S396" s="24" t="str">
        <f t="shared" ref="S396:U396" si="397">IF(E396&lt;&gt;"","Yes","")</f>
        <v>Yes</v>
      </c>
      <c r="T396" s="24" t="str">
        <f t="shared" si="397"/>
        <v/>
      </c>
      <c r="U396" s="24" t="str">
        <f t="shared" si="397"/>
        <v/>
      </c>
      <c r="V396" s="24" t="str">
        <f t="shared" si="3"/>
        <v/>
      </c>
      <c r="W396" s="24" t="str">
        <f t="shared" si="4"/>
        <v/>
      </c>
    </row>
    <row r="397">
      <c r="A397" s="18">
        <f>HYPERLINK("https://app.hubspot.com/contacts/8748051/record/0-1/7557050536", 7557050536)</f>
        <v>7557050536</v>
      </c>
      <c r="B397" s="14" t="s">
        <v>5416</v>
      </c>
      <c r="C397" s="16"/>
      <c r="D397" s="16"/>
      <c r="E397" s="32">
        <v>45380.0</v>
      </c>
      <c r="F397" s="32"/>
      <c r="G397" s="32"/>
      <c r="H397" s="24"/>
      <c r="I397" s="14"/>
      <c r="J397" s="14"/>
      <c r="K397" s="18">
        <f>HYPERLINK("https://app.hubspot.com/contacts/8748051/record/0-2/18832142721", 18832142721)</f>
        <v>18832142721</v>
      </c>
      <c r="L397" s="14" t="s">
        <v>5417</v>
      </c>
      <c r="M397" s="18" t="s">
        <v>5418</v>
      </c>
      <c r="N397" s="14"/>
      <c r="O397" s="14"/>
      <c r="P397" s="14"/>
      <c r="Q397" s="14"/>
      <c r="R397" s="14"/>
      <c r="S397" s="24" t="str">
        <f t="shared" ref="S397:U397" si="398">IF(E397&lt;&gt;"","Yes","")</f>
        <v>Yes</v>
      </c>
      <c r="T397" s="24" t="str">
        <f t="shared" si="398"/>
        <v/>
      </c>
      <c r="U397" s="24" t="str">
        <f t="shared" si="398"/>
        <v/>
      </c>
      <c r="V397" s="24" t="str">
        <f t="shared" si="3"/>
        <v/>
      </c>
      <c r="W397" s="24" t="str">
        <f t="shared" si="4"/>
        <v/>
      </c>
    </row>
    <row r="398">
      <c r="A398" s="18">
        <f>HYPERLINK("https://app.hubspot.com/contacts/8748051/record/0-1/7342785361", 7342785361)</f>
        <v>7342785361</v>
      </c>
      <c r="B398" s="14" t="s">
        <v>5419</v>
      </c>
      <c r="C398" s="16"/>
      <c r="D398" s="14"/>
      <c r="E398" s="32">
        <v>45379.0</v>
      </c>
      <c r="F398" s="32"/>
      <c r="G398" s="32"/>
      <c r="H398" s="24"/>
      <c r="I398" s="14"/>
      <c r="J398" s="14"/>
      <c r="K398" s="18">
        <f>HYPERLINK("https://app.hubspot.com/contacts/8748051/record/0-2/9157137811", 9157137811)</f>
        <v>9157137811</v>
      </c>
      <c r="L398" s="14" t="s">
        <v>5420</v>
      </c>
      <c r="M398" s="18" t="s">
        <v>5421</v>
      </c>
      <c r="N398" s="14"/>
      <c r="O398" s="14"/>
      <c r="P398" s="14"/>
      <c r="Q398" s="14"/>
      <c r="R398" s="24"/>
      <c r="S398" s="24" t="str">
        <f t="shared" ref="S398:U398" si="399">IF(E398&lt;&gt;"","Yes","")</f>
        <v>Yes</v>
      </c>
      <c r="T398" s="24" t="str">
        <f t="shared" si="399"/>
        <v/>
      </c>
      <c r="U398" s="24" t="str">
        <f t="shared" si="399"/>
        <v/>
      </c>
      <c r="V398" s="24" t="str">
        <f t="shared" si="3"/>
        <v/>
      </c>
      <c r="W398" s="24" t="str">
        <f t="shared" si="4"/>
        <v/>
      </c>
    </row>
    <row r="399">
      <c r="A399" s="18">
        <f>HYPERLINK("https://app.hubspot.com/contacts/8748051/record/0-1/3548801", 3548801)</f>
        <v>3548801</v>
      </c>
      <c r="B399" s="14" t="s">
        <v>5422</v>
      </c>
      <c r="C399" s="16"/>
      <c r="D399" s="16"/>
      <c r="E399" s="32">
        <v>45367.0</v>
      </c>
      <c r="F399" s="32"/>
      <c r="G399" s="32"/>
      <c r="H399" s="14"/>
      <c r="I399" s="14"/>
      <c r="J399" s="24"/>
      <c r="K399" s="18">
        <f>HYPERLINK("https://app.hubspot.com/contacts/8748051/record/0-2/9238250630", 9238250630)</f>
        <v>9238250630</v>
      </c>
      <c r="L399" s="18" t="s">
        <v>5423</v>
      </c>
      <c r="M399" s="18" t="s">
        <v>5423</v>
      </c>
      <c r="N399" s="24"/>
      <c r="O399" s="14"/>
      <c r="P399" s="14"/>
      <c r="Q399" s="14"/>
      <c r="R399" s="24"/>
      <c r="S399" s="24" t="str">
        <f t="shared" ref="S399:U399" si="400">IF(E399&lt;&gt;"","Yes","")</f>
        <v>Yes</v>
      </c>
      <c r="T399" s="24" t="str">
        <f t="shared" si="400"/>
        <v/>
      </c>
      <c r="U399" s="24" t="str">
        <f t="shared" si="400"/>
        <v/>
      </c>
      <c r="V399" s="24" t="str">
        <f t="shared" si="3"/>
        <v/>
      </c>
      <c r="W399" s="24" t="str">
        <f t="shared" si="4"/>
        <v/>
      </c>
    </row>
    <row r="400">
      <c r="A400" s="18">
        <f>HYPERLINK("https://app.hubspot.com/contacts/8748051/record/0-1/8033231159", 8033231159)</f>
        <v>8033231159</v>
      </c>
      <c r="B400" s="14" t="s">
        <v>5424</v>
      </c>
      <c r="C400" s="16"/>
      <c r="D400" s="16"/>
      <c r="E400" s="32">
        <v>45383.0</v>
      </c>
      <c r="F400" s="32"/>
      <c r="G400" s="32"/>
      <c r="H400" s="14"/>
      <c r="I400" s="14"/>
      <c r="J400" s="24"/>
      <c r="K400" s="18">
        <f>HYPERLINK("https://app.hubspot.com/contacts/8748051/record/0-2/19176292664", 19176292664)</f>
        <v>19176292664</v>
      </c>
      <c r="L400" s="14" t="s">
        <v>5425</v>
      </c>
      <c r="M400" s="18" t="s">
        <v>5426</v>
      </c>
      <c r="N400" s="14"/>
      <c r="O400" s="14"/>
      <c r="P400" s="14"/>
      <c r="Q400" s="14"/>
      <c r="R400" s="14"/>
      <c r="S400" s="24" t="str">
        <f t="shared" ref="S400:U400" si="401">IF(E400&lt;&gt;"","Yes","")</f>
        <v>Yes</v>
      </c>
      <c r="T400" s="24" t="str">
        <f t="shared" si="401"/>
        <v/>
      </c>
      <c r="U400" s="24" t="str">
        <f t="shared" si="401"/>
        <v/>
      </c>
      <c r="V400" s="24" t="str">
        <f t="shared" si="3"/>
        <v/>
      </c>
      <c r="W400" s="24" t="str">
        <f t="shared" si="4"/>
        <v/>
      </c>
    </row>
    <row r="401">
      <c r="A401" s="18">
        <f>HYPERLINK("https://app.hubspot.com/contacts/8748051/record/0-1/7422263359", 7422263359)</f>
        <v>7422263359</v>
      </c>
      <c r="B401" s="14" t="s">
        <v>3630</v>
      </c>
      <c r="C401" s="16">
        <v>45868.0724537037</v>
      </c>
      <c r="D401" s="16"/>
      <c r="E401" s="32">
        <v>45868.0</v>
      </c>
      <c r="F401" s="32">
        <v>45874.0</v>
      </c>
      <c r="G401" s="32">
        <v>45874.0</v>
      </c>
      <c r="H401" s="14" t="s">
        <v>3631</v>
      </c>
      <c r="I401" s="14" t="s">
        <v>3237</v>
      </c>
      <c r="J401" s="24"/>
      <c r="K401" s="18">
        <f>HYPERLINK("https://app.hubspot.com/contacts/8748051/record/0-2/19176224894", 19176224894)</f>
        <v>19176224894</v>
      </c>
      <c r="L401" s="14" t="s">
        <v>867</v>
      </c>
      <c r="M401" s="18" t="s">
        <v>868</v>
      </c>
      <c r="N401" s="18">
        <f>HYPERLINK("https://app.hubspot.com/contacts/8748051/record/0-3/41120785998", 41120785998)</f>
        <v>41120785998</v>
      </c>
      <c r="O401" s="14" t="s">
        <v>866</v>
      </c>
      <c r="P401" s="14" t="s">
        <v>118</v>
      </c>
      <c r="Q401" s="14">
        <v>10000.0</v>
      </c>
      <c r="R401" s="14"/>
      <c r="S401" s="24" t="str">
        <f t="shared" ref="S401:U401" si="402">IF(E401&lt;&gt;"","Yes","")</f>
        <v>Yes</v>
      </c>
      <c r="T401" s="24" t="str">
        <f t="shared" si="402"/>
        <v>Yes</v>
      </c>
      <c r="U401" s="24" t="str">
        <f t="shared" si="402"/>
        <v>Yes</v>
      </c>
      <c r="V401" s="24" t="str">
        <f t="shared" si="3"/>
        <v/>
      </c>
      <c r="W401" s="24" t="str">
        <f t="shared" si="4"/>
        <v/>
      </c>
    </row>
    <row r="402">
      <c r="A402" s="18">
        <f>HYPERLINK("https://app.hubspot.com/contacts/8748051/record/0-1/6101387335", 6101387335)</f>
        <v>6101387335</v>
      </c>
      <c r="B402" s="14" t="s">
        <v>5427</v>
      </c>
      <c r="C402" s="16"/>
      <c r="D402" s="14"/>
      <c r="E402" s="32">
        <v>45376.0</v>
      </c>
      <c r="F402" s="32"/>
      <c r="G402" s="32"/>
      <c r="H402" s="24"/>
      <c r="I402" s="24"/>
      <c r="J402" s="24"/>
      <c r="K402" s="18">
        <f>HYPERLINK("https://app.hubspot.com/contacts/8748051/record/0-2/19176336044", 19176336044)</f>
        <v>19176336044</v>
      </c>
      <c r="L402" s="14" t="s">
        <v>5428</v>
      </c>
      <c r="M402" s="18" t="s">
        <v>5429</v>
      </c>
      <c r="N402" s="14"/>
      <c r="O402" s="14"/>
      <c r="P402" s="14"/>
      <c r="Q402" s="14"/>
      <c r="R402" s="24"/>
      <c r="S402" s="24" t="str">
        <f t="shared" ref="S402:U402" si="403">IF(E402&lt;&gt;"","Yes","")</f>
        <v>Yes</v>
      </c>
      <c r="T402" s="24" t="str">
        <f t="shared" si="403"/>
        <v/>
      </c>
      <c r="U402" s="24" t="str">
        <f t="shared" si="403"/>
        <v/>
      </c>
      <c r="V402" s="24" t="str">
        <f t="shared" si="3"/>
        <v/>
      </c>
      <c r="W402" s="24" t="str">
        <f t="shared" si="4"/>
        <v/>
      </c>
    </row>
    <row r="403">
      <c r="A403" s="18">
        <f>HYPERLINK("https://app.hubspot.com/contacts/8748051/record/0-1/13055082062", 13055082062)</f>
        <v>13055082062</v>
      </c>
      <c r="B403" s="14" t="s">
        <v>5430</v>
      </c>
      <c r="C403" s="16"/>
      <c r="D403" s="14"/>
      <c r="E403" s="32">
        <v>45399.0</v>
      </c>
      <c r="F403" s="32"/>
      <c r="G403" s="32"/>
      <c r="H403" s="14"/>
      <c r="I403" s="14"/>
      <c r="J403" s="14"/>
      <c r="K403" s="18">
        <f>HYPERLINK("https://app.hubspot.com/contacts/8748051/record/0-2/18382738048", 18382738048)</f>
        <v>18382738048</v>
      </c>
      <c r="L403" s="14" t="s">
        <v>1270</v>
      </c>
      <c r="M403" s="18" t="s">
        <v>1271</v>
      </c>
      <c r="N403" s="14"/>
      <c r="O403" s="14"/>
      <c r="P403" s="14"/>
      <c r="Q403" s="14"/>
      <c r="R403" s="14"/>
      <c r="S403" s="24" t="str">
        <f t="shared" ref="S403:U403" si="404">IF(E403&lt;&gt;"","Yes","")</f>
        <v>Yes</v>
      </c>
      <c r="T403" s="24" t="str">
        <f t="shared" si="404"/>
        <v/>
      </c>
      <c r="U403" s="24" t="str">
        <f t="shared" si="404"/>
        <v/>
      </c>
      <c r="V403" s="24" t="str">
        <f t="shared" si="3"/>
        <v/>
      </c>
      <c r="W403" s="24" t="str">
        <f t="shared" si="4"/>
        <v/>
      </c>
    </row>
    <row r="404">
      <c r="A404" s="18">
        <f>HYPERLINK("https://app.hubspot.com/contacts/8748051/record/0-1/12438623774", 12438623774)</f>
        <v>12438623774</v>
      </c>
      <c r="B404" s="14" t="s">
        <v>5431</v>
      </c>
      <c r="C404" s="16"/>
      <c r="D404" s="14"/>
      <c r="E404" s="32">
        <v>45397.0</v>
      </c>
      <c r="F404" s="32"/>
      <c r="G404" s="32"/>
      <c r="H404" s="14"/>
      <c r="I404" s="14"/>
      <c r="J404" s="14"/>
      <c r="K404" s="18">
        <f>HYPERLINK("https://app.hubspot.com/contacts/8748051/record/0-2/8929669460", 8929669460)</f>
        <v>8929669460</v>
      </c>
      <c r="L404" s="14" t="s">
        <v>5432</v>
      </c>
      <c r="M404" s="18" t="s">
        <v>5433</v>
      </c>
      <c r="N404" s="14"/>
      <c r="O404" s="14"/>
      <c r="P404" s="14"/>
      <c r="Q404" s="14"/>
      <c r="R404" s="14"/>
      <c r="S404" s="24" t="str">
        <f t="shared" ref="S404:U404" si="405">IF(E404&lt;&gt;"","Yes","")</f>
        <v>Yes</v>
      </c>
      <c r="T404" s="24" t="str">
        <f t="shared" si="405"/>
        <v/>
      </c>
      <c r="U404" s="24" t="str">
        <f t="shared" si="405"/>
        <v/>
      </c>
      <c r="V404" s="24" t="str">
        <f t="shared" si="3"/>
        <v/>
      </c>
      <c r="W404" s="24" t="str">
        <f t="shared" si="4"/>
        <v/>
      </c>
    </row>
    <row r="405">
      <c r="A405" s="18">
        <f>HYPERLINK("https://app.hubspot.com/contacts/8748051/record/0-1/18001811271", 18001811271)</f>
        <v>18001811271</v>
      </c>
      <c r="B405" s="14" t="s">
        <v>5434</v>
      </c>
      <c r="C405" s="16"/>
      <c r="D405" s="14"/>
      <c r="E405" s="32">
        <v>45415.0</v>
      </c>
      <c r="F405" s="32"/>
      <c r="G405" s="32"/>
      <c r="H405" s="14"/>
      <c r="I405" s="14"/>
      <c r="J405" s="14"/>
      <c r="K405" s="18">
        <f>HYPERLINK("https://app.hubspot.com/contacts/8748051/record/0-2/19176656812", 19176656812)</f>
        <v>19176656812</v>
      </c>
      <c r="L405" s="14" t="s">
        <v>5435</v>
      </c>
      <c r="M405" s="18" t="s">
        <v>5436</v>
      </c>
      <c r="N405" s="14"/>
      <c r="O405" s="14"/>
      <c r="P405" s="14"/>
      <c r="Q405" s="14"/>
      <c r="R405" s="24"/>
      <c r="S405" s="24" t="str">
        <f t="shared" ref="S405:U405" si="406">IF(E405&lt;&gt;"","Yes","")</f>
        <v>Yes</v>
      </c>
      <c r="T405" s="24" t="str">
        <f t="shared" si="406"/>
        <v/>
      </c>
      <c r="U405" s="24" t="str">
        <f t="shared" si="406"/>
        <v/>
      </c>
      <c r="V405" s="24" t="str">
        <f t="shared" si="3"/>
        <v/>
      </c>
      <c r="W405" s="24" t="str">
        <f t="shared" si="4"/>
        <v/>
      </c>
    </row>
    <row r="406">
      <c r="A406" s="18">
        <f>HYPERLINK("https://app.hubspot.com/contacts/8748051/record/0-1/19099865379", 19099865379)</f>
        <v>19099865379</v>
      </c>
      <c r="B406" s="14" t="s">
        <v>5437</v>
      </c>
      <c r="C406" s="16"/>
      <c r="D406" s="16"/>
      <c r="E406" s="32">
        <v>45419.0</v>
      </c>
      <c r="F406" s="32"/>
      <c r="G406" s="32"/>
      <c r="H406" s="14"/>
      <c r="I406" s="14"/>
      <c r="J406" s="14"/>
      <c r="K406" s="18">
        <f>HYPERLINK("https://app.hubspot.com/contacts/8748051/record/0-2/19176272200", 19176272200)</f>
        <v>19176272200</v>
      </c>
      <c r="L406" s="14" t="s">
        <v>5438</v>
      </c>
      <c r="M406" s="18" t="s">
        <v>5439</v>
      </c>
      <c r="N406" s="14"/>
      <c r="O406" s="14"/>
      <c r="P406" s="14"/>
      <c r="Q406" s="14"/>
      <c r="R406" s="14"/>
      <c r="S406" s="24" t="str">
        <f t="shared" ref="S406:U406" si="407">IF(E406&lt;&gt;"","Yes","")</f>
        <v>Yes</v>
      </c>
      <c r="T406" s="24" t="str">
        <f t="shared" si="407"/>
        <v/>
      </c>
      <c r="U406" s="24" t="str">
        <f t="shared" si="407"/>
        <v/>
      </c>
      <c r="V406" s="24" t="str">
        <f t="shared" si="3"/>
        <v/>
      </c>
      <c r="W406" s="24" t="str">
        <f t="shared" si="4"/>
        <v/>
      </c>
    </row>
    <row r="407">
      <c r="A407" s="18">
        <f>HYPERLINK("https://app.hubspot.com/contacts/8748051/record/0-1/8817164662", 8817164662)</f>
        <v>8817164662</v>
      </c>
      <c r="B407" s="14" t="s">
        <v>5440</v>
      </c>
      <c r="C407" s="16"/>
      <c r="D407" s="14"/>
      <c r="E407" s="32">
        <v>45385.0</v>
      </c>
      <c r="F407" s="32">
        <v>45404.0</v>
      </c>
      <c r="G407" s="32">
        <v>45404.0</v>
      </c>
      <c r="H407" s="14"/>
      <c r="I407" s="14"/>
      <c r="J407" s="14"/>
      <c r="K407" s="18">
        <f>HYPERLINK("https://app.hubspot.com/contacts/8748051/record/0-2/6936374888", 6936374888)</f>
        <v>6936374888</v>
      </c>
      <c r="L407" s="14" t="s">
        <v>1846</v>
      </c>
      <c r="M407" s="18" t="s">
        <v>1847</v>
      </c>
      <c r="N407" s="18">
        <f>HYPERLINK("https://app.hubspot.com/contacts/8748051/record/0-3/18815495849", 18815495849)</f>
        <v>18815495849</v>
      </c>
      <c r="O407" s="14" t="s">
        <v>1845</v>
      </c>
      <c r="P407" s="14" t="s">
        <v>118</v>
      </c>
      <c r="Q407" s="14">
        <v>5760.0</v>
      </c>
      <c r="R407" s="24"/>
      <c r="S407" s="24" t="str">
        <f t="shared" ref="S407:U407" si="408">IF(E407&lt;&gt;"","Yes","")</f>
        <v>Yes</v>
      </c>
      <c r="T407" s="24" t="str">
        <f t="shared" si="408"/>
        <v>Yes</v>
      </c>
      <c r="U407" s="24" t="str">
        <f t="shared" si="408"/>
        <v>Yes</v>
      </c>
      <c r="V407" s="24" t="str">
        <f t="shared" si="3"/>
        <v/>
      </c>
      <c r="W407" s="24" t="str">
        <f t="shared" si="4"/>
        <v/>
      </c>
    </row>
    <row r="408">
      <c r="A408" s="18">
        <f>HYPERLINK("https://app.hubspot.com/contacts/8748051/record/0-1/19404909237", 19404909237)</f>
        <v>19404909237</v>
      </c>
      <c r="B408" s="14" t="s">
        <v>5441</v>
      </c>
      <c r="C408" s="16"/>
      <c r="D408" s="16"/>
      <c r="E408" s="32">
        <v>45420.0</v>
      </c>
      <c r="F408" s="32">
        <v>45453.0</v>
      </c>
      <c r="G408" s="32"/>
      <c r="H408" s="14"/>
      <c r="I408" s="14"/>
      <c r="J408" s="14"/>
      <c r="K408" s="18">
        <f>HYPERLINK("https://app.hubspot.com/contacts/8748051/record/0-2/9976415114", 9976415114)</f>
        <v>9976415114</v>
      </c>
      <c r="L408" s="14" t="s">
        <v>1658</v>
      </c>
      <c r="M408" s="18" t="s">
        <v>1659</v>
      </c>
      <c r="N408" s="18">
        <f>HYPERLINK("https://app.hubspot.com/contacts/8748051/record/0-3/19983475725", 19983475725)</f>
        <v>19983475725</v>
      </c>
      <c r="O408" s="14" t="s">
        <v>1657</v>
      </c>
      <c r="P408" s="14" t="s">
        <v>118</v>
      </c>
      <c r="Q408" s="14">
        <v>11520.0</v>
      </c>
      <c r="R408" s="24"/>
      <c r="S408" s="24" t="str">
        <f t="shared" ref="S408:U408" si="409">IF(E408&lt;&gt;"","Yes","")</f>
        <v>Yes</v>
      </c>
      <c r="T408" s="24" t="str">
        <f t="shared" si="409"/>
        <v>Yes</v>
      </c>
      <c r="U408" s="24" t="str">
        <f t="shared" si="409"/>
        <v/>
      </c>
      <c r="V408" s="24" t="str">
        <f t="shared" si="3"/>
        <v/>
      </c>
      <c r="W408" s="24" t="str">
        <f t="shared" si="4"/>
        <v/>
      </c>
    </row>
    <row r="409">
      <c r="A409" s="18">
        <f>HYPERLINK("https://app.hubspot.com/contacts/8748051/record/0-1/13713180266", 13713180266)</f>
        <v>13713180266</v>
      </c>
      <c r="B409" s="14" t="s">
        <v>5442</v>
      </c>
      <c r="C409" s="16"/>
      <c r="D409" s="14" t="s">
        <v>4067</v>
      </c>
      <c r="E409" s="32"/>
      <c r="F409" s="32"/>
      <c r="G409" s="32"/>
      <c r="H409" s="14"/>
      <c r="I409" s="14"/>
      <c r="J409" s="14"/>
      <c r="K409" s="18">
        <f>HYPERLINK("https://app.hubspot.com/contacts/8748051/record/0-2/8620806723", 8620806723)</f>
        <v>8620806723</v>
      </c>
      <c r="L409" s="14" t="s">
        <v>5443</v>
      </c>
      <c r="M409" s="18" t="s">
        <v>5444</v>
      </c>
      <c r="N409" s="14"/>
      <c r="O409" s="14"/>
      <c r="P409" s="14"/>
      <c r="Q409" s="14"/>
      <c r="R409" s="14"/>
      <c r="S409" s="24" t="str">
        <f t="shared" ref="S409:U409" si="410">IF(E409&lt;&gt;"","Yes","")</f>
        <v/>
      </c>
      <c r="T409" s="24" t="str">
        <f t="shared" si="410"/>
        <v/>
      </c>
      <c r="U409" s="24" t="str">
        <f t="shared" si="410"/>
        <v/>
      </c>
      <c r="V409" s="24" t="str">
        <f t="shared" si="3"/>
        <v/>
      </c>
      <c r="W409" s="24" t="str">
        <f t="shared" si="4"/>
        <v/>
      </c>
    </row>
    <row r="410">
      <c r="A410" s="18">
        <f>HYPERLINK("https://app.hubspot.com/contacts/8748051/record/0-1/15919932242", 15919932242)</f>
        <v>15919932242</v>
      </c>
      <c r="B410" s="14" t="s">
        <v>5445</v>
      </c>
      <c r="C410" s="16"/>
      <c r="D410" s="14"/>
      <c r="E410" s="32">
        <v>45408.0</v>
      </c>
      <c r="F410" s="32"/>
      <c r="G410" s="32"/>
      <c r="H410" s="14"/>
      <c r="I410" s="14"/>
      <c r="J410" s="14"/>
      <c r="K410" s="18">
        <f>HYPERLINK("https://app.hubspot.com/contacts/8748051/record/0-2/7679164327", 7679164327)</f>
        <v>7679164327</v>
      </c>
      <c r="L410" s="14" t="s">
        <v>5446</v>
      </c>
      <c r="M410" s="18" t="s">
        <v>5447</v>
      </c>
      <c r="N410" s="14"/>
      <c r="O410" s="14"/>
      <c r="P410" s="14"/>
      <c r="Q410" s="14"/>
      <c r="R410" s="14"/>
      <c r="S410" s="24" t="str">
        <f t="shared" ref="S410:U410" si="411">IF(E410&lt;&gt;"","Yes","")</f>
        <v>Yes</v>
      </c>
      <c r="T410" s="24" t="str">
        <f t="shared" si="411"/>
        <v/>
      </c>
      <c r="U410" s="24" t="str">
        <f t="shared" si="411"/>
        <v/>
      </c>
      <c r="V410" s="24" t="str">
        <f t="shared" si="3"/>
        <v/>
      </c>
      <c r="W410" s="24" t="str">
        <f t="shared" si="4"/>
        <v/>
      </c>
    </row>
    <row r="411">
      <c r="A411" s="18">
        <f>HYPERLINK("https://app.hubspot.com/contacts/8748051/record/0-1/12343109469", 12343109469)</f>
        <v>12343109469</v>
      </c>
      <c r="B411" s="14" t="s">
        <v>5448</v>
      </c>
      <c r="C411" s="16"/>
      <c r="D411" s="14"/>
      <c r="E411" s="32">
        <v>45397.0</v>
      </c>
      <c r="F411" s="32">
        <v>45406.0</v>
      </c>
      <c r="G411" s="32">
        <v>45406.0</v>
      </c>
      <c r="H411" s="14"/>
      <c r="I411" s="14"/>
      <c r="J411" s="14"/>
      <c r="K411" s="18">
        <f>HYPERLINK("https://app.hubspot.com/contacts/8748051/record/0-2/7398503445", 7398503445)</f>
        <v>7398503445</v>
      </c>
      <c r="L411" s="14" t="s">
        <v>1864</v>
      </c>
      <c r="M411" s="18" t="s">
        <v>1865</v>
      </c>
      <c r="N411" s="18">
        <f>HYPERLINK("https://app.hubspot.com/contacts/8748051/record/0-3/18712204348", 18712204348)</f>
        <v>18712204348</v>
      </c>
      <c r="O411" s="14" t="s">
        <v>1863</v>
      </c>
      <c r="P411" s="14" t="s">
        <v>118</v>
      </c>
      <c r="Q411" s="14">
        <v>5760.0</v>
      </c>
      <c r="R411" s="14"/>
      <c r="S411" s="24" t="str">
        <f t="shared" ref="S411:U411" si="412">IF(E411&lt;&gt;"","Yes","")</f>
        <v>Yes</v>
      </c>
      <c r="T411" s="24" t="str">
        <f t="shared" si="412"/>
        <v>Yes</v>
      </c>
      <c r="U411" s="24" t="str">
        <f t="shared" si="412"/>
        <v>Yes</v>
      </c>
      <c r="V411" s="24" t="str">
        <f t="shared" si="3"/>
        <v/>
      </c>
      <c r="W411" s="24" t="str">
        <f t="shared" si="4"/>
        <v/>
      </c>
    </row>
    <row r="412">
      <c r="A412" s="18">
        <f>HYPERLINK("https://app.hubspot.com/contacts/8748051/record/0-1/13396505449", 13396505449)</f>
        <v>13396505449</v>
      </c>
      <c r="B412" s="14" t="s">
        <v>5449</v>
      </c>
      <c r="C412" s="16"/>
      <c r="D412" s="14"/>
      <c r="E412" s="32">
        <v>45372.0</v>
      </c>
      <c r="F412" s="32"/>
      <c r="G412" s="32"/>
      <c r="H412" s="14"/>
      <c r="I412" s="14"/>
      <c r="J412" s="14"/>
      <c r="K412" s="18">
        <f>HYPERLINK("https://app.hubspot.com/contacts/8748051/record/0-2/16065693044", 16065693044)</f>
        <v>16065693044</v>
      </c>
      <c r="L412" s="14" t="s">
        <v>5450</v>
      </c>
      <c r="M412" s="18" t="s">
        <v>5451</v>
      </c>
      <c r="N412" s="14"/>
      <c r="O412" s="14"/>
      <c r="P412" s="14"/>
      <c r="Q412" s="14"/>
      <c r="R412" s="14"/>
      <c r="S412" s="24" t="str">
        <f t="shared" ref="S412:U412" si="413">IF(E412&lt;&gt;"","Yes","")</f>
        <v>Yes</v>
      </c>
      <c r="T412" s="24" t="str">
        <f t="shared" si="413"/>
        <v/>
      </c>
      <c r="U412" s="24" t="str">
        <f t="shared" si="413"/>
        <v/>
      </c>
      <c r="V412" s="24" t="str">
        <f t="shared" si="3"/>
        <v/>
      </c>
      <c r="W412" s="24" t="str">
        <f t="shared" si="4"/>
        <v/>
      </c>
    </row>
    <row r="413">
      <c r="A413" s="18">
        <f>HYPERLINK("https://app.hubspot.com/contacts/8748051/record/0-1/13643595620", 13643595620)</f>
        <v>13643595620</v>
      </c>
      <c r="B413" s="14" t="s">
        <v>5452</v>
      </c>
      <c r="C413" s="16"/>
      <c r="D413" s="16"/>
      <c r="E413" s="32">
        <v>45400.0</v>
      </c>
      <c r="F413" s="32"/>
      <c r="G413" s="32"/>
      <c r="H413" s="14"/>
      <c r="I413" s="24"/>
      <c r="J413" s="24"/>
      <c r="K413" s="18">
        <f>HYPERLINK("https://app.hubspot.com/contacts/8748051/record/0-2/6262674355", 6262674355)</f>
        <v>6262674355</v>
      </c>
      <c r="L413" s="14" t="s">
        <v>5453</v>
      </c>
      <c r="M413" s="18" t="s">
        <v>5454</v>
      </c>
      <c r="N413" s="24"/>
      <c r="O413" s="14"/>
      <c r="P413" s="14"/>
      <c r="Q413" s="14"/>
      <c r="R413" s="24"/>
      <c r="S413" s="24" t="str">
        <f t="shared" ref="S413:U413" si="414">IF(E413&lt;&gt;"","Yes","")</f>
        <v>Yes</v>
      </c>
      <c r="T413" s="24" t="str">
        <f t="shared" si="414"/>
        <v/>
      </c>
      <c r="U413" s="24" t="str">
        <f t="shared" si="414"/>
        <v/>
      </c>
      <c r="V413" s="24" t="str">
        <f t="shared" si="3"/>
        <v/>
      </c>
      <c r="W413" s="24" t="str">
        <f t="shared" si="4"/>
        <v/>
      </c>
    </row>
    <row r="414">
      <c r="A414" s="18">
        <f>HYPERLINK("https://app.hubspot.com/contacts/8748051/record/0-1/13492521522", 13492521522)</f>
        <v>13492521522</v>
      </c>
      <c r="B414" s="14" t="s">
        <v>5455</v>
      </c>
      <c r="C414" s="16"/>
      <c r="D414" s="16"/>
      <c r="E414" s="32">
        <v>45400.0</v>
      </c>
      <c r="F414" s="32"/>
      <c r="G414" s="32"/>
      <c r="H414" s="14"/>
      <c r="I414" s="14"/>
      <c r="J414" s="14"/>
      <c r="K414" s="18">
        <f>HYPERLINK("https://app.hubspot.com/contacts/8748051/record/0-2/14809683107", 14809683107)</f>
        <v>14809683107</v>
      </c>
      <c r="L414" s="14" t="s">
        <v>5456</v>
      </c>
      <c r="M414" s="18" t="s">
        <v>5457</v>
      </c>
      <c r="N414" s="14"/>
      <c r="O414" s="14"/>
      <c r="P414" s="14"/>
      <c r="Q414" s="14"/>
      <c r="R414" s="14"/>
      <c r="S414" s="24" t="str">
        <f t="shared" ref="S414:U414" si="415">IF(E414&lt;&gt;"","Yes","")</f>
        <v>Yes</v>
      </c>
      <c r="T414" s="24" t="str">
        <f t="shared" si="415"/>
        <v/>
      </c>
      <c r="U414" s="24" t="str">
        <f t="shared" si="415"/>
        <v/>
      </c>
      <c r="V414" s="24" t="str">
        <f t="shared" si="3"/>
        <v/>
      </c>
      <c r="W414" s="24" t="str">
        <f t="shared" si="4"/>
        <v/>
      </c>
    </row>
    <row r="415">
      <c r="A415" s="18">
        <f>HYPERLINK("https://app.hubspot.com/contacts/8748051/record/0-1/11140338061", 11140338061)</f>
        <v>11140338061</v>
      </c>
      <c r="B415" s="14" t="s">
        <v>5458</v>
      </c>
      <c r="C415" s="16"/>
      <c r="D415" s="14" t="s">
        <v>5459</v>
      </c>
      <c r="E415" s="32"/>
      <c r="F415" s="32"/>
      <c r="G415" s="32"/>
      <c r="H415" s="14"/>
      <c r="I415" s="14"/>
      <c r="J415" s="14"/>
      <c r="K415" s="18">
        <f>HYPERLINK("https://app.hubspot.com/contacts/8748051/record/0-2/9238290100", 9238290100)</f>
        <v>9238290100</v>
      </c>
      <c r="L415" s="14" t="s">
        <v>4875</v>
      </c>
      <c r="M415" s="18" t="s">
        <v>4876</v>
      </c>
      <c r="N415" s="14"/>
      <c r="O415" s="14"/>
      <c r="P415" s="14"/>
      <c r="Q415" s="14"/>
      <c r="R415" s="14"/>
      <c r="S415" s="24" t="str">
        <f t="shared" ref="S415:U415" si="416">IF(E415&lt;&gt;"","Yes","")</f>
        <v/>
      </c>
      <c r="T415" s="24" t="str">
        <f t="shared" si="416"/>
        <v/>
      </c>
      <c r="U415" s="24" t="str">
        <f t="shared" si="416"/>
        <v/>
      </c>
      <c r="V415" s="24" t="str">
        <f t="shared" si="3"/>
        <v/>
      </c>
      <c r="W415" s="24" t="str">
        <f t="shared" si="4"/>
        <v/>
      </c>
    </row>
    <row r="416">
      <c r="A416" s="18">
        <f>HYPERLINK("https://app.hubspot.com/contacts/8748051/record/0-1/18171028535", 18171028535)</f>
        <v>18171028535</v>
      </c>
      <c r="B416" s="14" t="s">
        <v>5460</v>
      </c>
      <c r="C416" s="16"/>
      <c r="D416" s="16"/>
      <c r="E416" s="32">
        <v>45415.0</v>
      </c>
      <c r="F416" s="24"/>
      <c r="G416" s="24"/>
      <c r="H416" s="14"/>
      <c r="I416" s="24"/>
      <c r="J416" s="24"/>
      <c r="K416" s="18">
        <f>HYPERLINK("https://app.hubspot.com/contacts/8748051/record/0-2/9593483523", 9593483523)</f>
        <v>9593483523</v>
      </c>
      <c r="L416" s="14" t="s">
        <v>5461</v>
      </c>
      <c r="M416" s="18" t="s">
        <v>5462</v>
      </c>
      <c r="N416" s="24"/>
      <c r="O416" s="24"/>
      <c r="P416" s="24"/>
      <c r="Q416" s="24"/>
      <c r="R416" s="24"/>
      <c r="S416" s="24" t="str">
        <f t="shared" ref="S416:U416" si="417">IF(E416&lt;&gt;"","Yes","")</f>
        <v>Yes</v>
      </c>
      <c r="T416" s="24" t="str">
        <f t="shared" si="417"/>
        <v/>
      </c>
      <c r="U416" s="24" t="str">
        <f t="shared" si="417"/>
        <v/>
      </c>
      <c r="V416" s="24" t="str">
        <f t="shared" si="3"/>
        <v/>
      </c>
      <c r="W416" s="24" t="str">
        <f t="shared" si="4"/>
        <v/>
      </c>
    </row>
    <row r="417">
      <c r="A417" s="18">
        <f>HYPERLINK("https://app.hubspot.com/contacts/8748051/record/0-1/8598208539", 8598208539)</f>
        <v>8598208539</v>
      </c>
      <c r="B417" s="14" t="s">
        <v>5463</v>
      </c>
      <c r="C417" s="16"/>
      <c r="D417" s="16"/>
      <c r="E417" s="32">
        <v>45385.0</v>
      </c>
      <c r="F417" s="32"/>
      <c r="G417" s="32"/>
      <c r="H417" s="14"/>
      <c r="I417" s="24"/>
      <c r="J417" s="24"/>
      <c r="K417" s="18">
        <f>HYPERLINK("https://app.hubspot.com/contacts/8748051/record/0-2/9238352047", 9238352047)</f>
        <v>9238352047</v>
      </c>
      <c r="L417" s="14" t="s">
        <v>5464</v>
      </c>
      <c r="M417" s="18" t="s">
        <v>5465</v>
      </c>
      <c r="N417" s="14"/>
      <c r="O417" s="14"/>
      <c r="P417" s="14"/>
      <c r="Q417" s="14"/>
      <c r="R417" s="24"/>
      <c r="S417" s="24" t="str">
        <f t="shared" ref="S417:U417" si="418">IF(E417&lt;&gt;"","Yes","")</f>
        <v>Yes</v>
      </c>
      <c r="T417" s="24" t="str">
        <f t="shared" si="418"/>
        <v/>
      </c>
      <c r="U417" s="24" t="str">
        <f t="shared" si="418"/>
        <v/>
      </c>
      <c r="V417" s="24" t="str">
        <f t="shared" si="3"/>
        <v/>
      </c>
      <c r="W417" s="24" t="str">
        <f t="shared" si="4"/>
        <v/>
      </c>
    </row>
    <row r="418">
      <c r="A418" s="18">
        <f>HYPERLINK("https://app.hubspot.com/contacts/8748051/record/0-1/15861024015", 15861024015)</f>
        <v>15861024015</v>
      </c>
      <c r="B418" s="14" t="s">
        <v>5466</v>
      </c>
      <c r="C418" s="16"/>
      <c r="D418" s="14"/>
      <c r="E418" s="32">
        <v>45446.0</v>
      </c>
      <c r="F418" s="32"/>
      <c r="G418" s="32"/>
      <c r="H418" s="14"/>
      <c r="I418" s="14"/>
      <c r="J418" s="14"/>
      <c r="K418" s="18">
        <f>HYPERLINK("https://app.hubspot.com/contacts/8748051/record/0-2/8929886647", 8929886647)</f>
        <v>8929886647</v>
      </c>
      <c r="L418" s="18" t="s">
        <v>5467</v>
      </c>
      <c r="M418" s="18" t="s">
        <v>5468</v>
      </c>
      <c r="N418" s="14"/>
      <c r="O418" s="14"/>
      <c r="P418" s="14"/>
      <c r="Q418" s="14"/>
      <c r="R418" s="14"/>
      <c r="S418" s="24" t="str">
        <f t="shared" ref="S418:U418" si="419">IF(E418&lt;&gt;"","Yes","")</f>
        <v>Yes</v>
      </c>
      <c r="T418" s="24" t="str">
        <f t="shared" si="419"/>
        <v/>
      </c>
      <c r="U418" s="24" t="str">
        <f t="shared" si="419"/>
        <v/>
      </c>
      <c r="V418" s="24" t="str">
        <f t="shared" si="3"/>
        <v/>
      </c>
      <c r="W418" s="24" t="str">
        <f t="shared" si="4"/>
        <v/>
      </c>
    </row>
    <row r="419">
      <c r="A419" s="18">
        <f>HYPERLINK("https://app.hubspot.com/contacts/8748051/record/0-1/13024403841", 13024403841)</f>
        <v>13024403841</v>
      </c>
      <c r="B419" s="14" t="s">
        <v>5469</v>
      </c>
      <c r="C419" s="16"/>
      <c r="D419" s="16"/>
      <c r="E419" s="32">
        <v>45399.0</v>
      </c>
      <c r="F419" s="32">
        <v>45418.0</v>
      </c>
      <c r="G419" s="32">
        <v>45418.0</v>
      </c>
      <c r="H419" s="14"/>
      <c r="I419" s="24"/>
      <c r="J419" s="24"/>
      <c r="K419" s="18">
        <f>HYPERLINK("https://app.hubspot.com/contacts/8748051/record/0-2/18382839621", 18382839621)</f>
        <v>18382839621</v>
      </c>
      <c r="L419" s="14" t="s">
        <v>1790</v>
      </c>
      <c r="M419" s="18" t="s">
        <v>1791</v>
      </c>
      <c r="N419" s="18">
        <f>HYPERLINK("https://app.hubspot.com/contacts/8748051/record/0-3/19156902974", 19156902974)</f>
        <v>19156902974</v>
      </c>
      <c r="O419" s="14" t="s">
        <v>1789</v>
      </c>
      <c r="P419" s="14" t="s">
        <v>118</v>
      </c>
      <c r="Q419" s="14">
        <v>45600.0</v>
      </c>
      <c r="R419" s="14"/>
      <c r="S419" s="24" t="str">
        <f t="shared" ref="S419:U419" si="420">IF(E419&lt;&gt;"","Yes","")</f>
        <v>Yes</v>
      </c>
      <c r="T419" s="24" t="str">
        <f t="shared" si="420"/>
        <v>Yes</v>
      </c>
      <c r="U419" s="24" t="str">
        <f t="shared" si="420"/>
        <v>Yes</v>
      </c>
      <c r="V419" s="24" t="str">
        <f t="shared" si="3"/>
        <v/>
      </c>
      <c r="W419" s="24" t="str">
        <f t="shared" si="4"/>
        <v/>
      </c>
    </row>
    <row r="420">
      <c r="A420" s="18">
        <f>HYPERLINK("https://app.hubspot.com/contacts/8748051/record/0-1/17383260272", 17383260272)</f>
        <v>17383260272</v>
      </c>
      <c r="B420" s="14" t="s">
        <v>5470</v>
      </c>
      <c r="C420" s="16"/>
      <c r="D420" s="16"/>
      <c r="E420" s="32">
        <v>45413.0</v>
      </c>
      <c r="F420" s="32"/>
      <c r="G420" s="32"/>
      <c r="H420" s="14"/>
      <c r="I420" s="24"/>
      <c r="J420" s="24"/>
      <c r="K420" s="18">
        <f>HYPERLINK("https://app.hubspot.com/contacts/8748051/record/0-2/6266342978", 6266342978)</f>
        <v>6266342978</v>
      </c>
      <c r="L420" s="14" t="s">
        <v>5471</v>
      </c>
      <c r="M420" s="18" t="s">
        <v>5472</v>
      </c>
      <c r="N420" s="24"/>
      <c r="O420" s="14"/>
      <c r="P420" s="14"/>
      <c r="Q420" s="14"/>
      <c r="R420" s="24"/>
      <c r="S420" s="24" t="str">
        <f t="shared" ref="S420:U420" si="421">IF(E420&lt;&gt;"","Yes","")</f>
        <v>Yes</v>
      </c>
      <c r="T420" s="24" t="str">
        <f t="shared" si="421"/>
        <v/>
      </c>
      <c r="U420" s="24" t="str">
        <f t="shared" si="421"/>
        <v/>
      </c>
      <c r="V420" s="24" t="str">
        <f t="shared" si="3"/>
        <v/>
      </c>
      <c r="W420" s="24" t="str">
        <f t="shared" si="4"/>
        <v/>
      </c>
    </row>
    <row r="421">
      <c r="A421" s="18">
        <f>HYPERLINK("https://app.hubspot.com/contacts/8748051/record/0-1/10789443254", 10789443254)</f>
        <v>10789443254</v>
      </c>
      <c r="B421" s="14" t="s">
        <v>5473</v>
      </c>
      <c r="C421" s="16"/>
      <c r="D421" s="16"/>
      <c r="E421" s="32">
        <v>45391.0</v>
      </c>
      <c r="F421" s="32"/>
      <c r="G421" s="32"/>
      <c r="H421" s="14"/>
      <c r="I421" s="24"/>
      <c r="J421" s="24"/>
      <c r="K421" s="18">
        <f>HYPERLINK("https://app.hubspot.com/contacts/8748051/record/0-2/8995666011", 8995666011)</f>
        <v>8995666011</v>
      </c>
      <c r="L421" s="14" t="s">
        <v>3931</v>
      </c>
      <c r="M421" s="18" t="s">
        <v>3932</v>
      </c>
      <c r="N421" s="14"/>
      <c r="O421" s="14"/>
      <c r="P421" s="14"/>
      <c r="Q421" s="14"/>
      <c r="R421" s="24"/>
      <c r="S421" s="24" t="str">
        <f t="shared" ref="S421:U421" si="422">IF(E421&lt;&gt;"","Yes","")</f>
        <v>Yes</v>
      </c>
      <c r="T421" s="24" t="str">
        <f t="shared" si="422"/>
        <v/>
      </c>
      <c r="U421" s="24" t="str">
        <f t="shared" si="422"/>
        <v/>
      </c>
      <c r="V421" s="24" t="str">
        <f t="shared" si="3"/>
        <v/>
      </c>
      <c r="W421" s="24" t="str">
        <f t="shared" si="4"/>
        <v/>
      </c>
    </row>
    <row r="422">
      <c r="A422" s="18">
        <f>HYPERLINK("https://app.hubspot.com/contacts/8748051/record/0-1/16295694128", 16295694128)</f>
        <v>16295694128</v>
      </c>
      <c r="B422" s="14" t="s">
        <v>5474</v>
      </c>
      <c r="C422" s="16"/>
      <c r="D422" s="14" t="s">
        <v>4248</v>
      </c>
      <c r="E422" s="32"/>
      <c r="F422" s="32"/>
      <c r="G422" s="32"/>
      <c r="H422" s="14"/>
      <c r="I422" s="14"/>
      <c r="J422" s="14"/>
      <c r="K422" s="18">
        <f>HYPERLINK("https://app.hubspot.com/contacts/8748051/record/0-2/5851235881", 5851235881)</f>
        <v>5851235881</v>
      </c>
      <c r="L422" s="14" t="s">
        <v>2988</v>
      </c>
      <c r="M422" s="18" t="s">
        <v>2989</v>
      </c>
      <c r="N422" s="14"/>
      <c r="O422" s="14"/>
      <c r="P422" s="14"/>
      <c r="Q422" s="14"/>
      <c r="R422" s="14"/>
      <c r="S422" s="24" t="str">
        <f t="shared" ref="S422:U422" si="423">IF(E422&lt;&gt;"","Yes","")</f>
        <v/>
      </c>
      <c r="T422" s="24" t="str">
        <f t="shared" si="423"/>
        <v/>
      </c>
      <c r="U422" s="24" t="str">
        <f t="shared" si="423"/>
        <v/>
      </c>
      <c r="V422" s="24" t="str">
        <f t="shared" si="3"/>
        <v/>
      </c>
      <c r="W422" s="24" t="str">
        <f t="shared" si="4"/>
        <v/>
      </c>
    </row>
    <row r="423">
      <c r="A423" s="18">
        <f>HYPERLINK("https://app.hubspot.com/contacts/8748051/record/0-1/12768875698", 12768875698)</f>
        <v>12768875698</v>
      </c>
      <c r="B423" s="14" t="s">
        <v>5475</v>
      </c>
      <c r="C423" s="16"/>
      <c r="D423" s="14"/>
      <c r="E423" s="32">
        <v>45398.0</v>
      </c>
      <c r="F423" s="32">
        <v>45413.0</v>
      </c>
      <c r="G423" s="32">
        <v>45413.0</v>
      </c>
      <c r="H423" s="14"/>
      <c r="I423" s="24"/>
      <c r="J423" s="24"/>
      <c r="K423" s="18">
        <f>HYPERLINK("https://app.hubspot.com/contacts/8748051/record/0-2/9406234408", 9406234408)</f>
        <v>9406234408</v>
      </c>
      <c r="L423" s="14" t="s">
        <v>1813</v>
      </c>
      <c r="M423" s="18" t="s">
        <v>1814</v>
      </c>
      <c r="N423" s="23">
        <f>HYPERLINK("https://app.hubspot.com/contacts/8748051/record/0-3/18984527650", 18984527650)</f>
        <v>18984527650</v>
      </c>
      <c r="O423" s="14" t="s">
        <v>1812</v>
      </c>
      <c r="P423" s="14" t="s">
        <v>118</v>
      </c>
      <c r="Q423" s="14">
        <v>70080.0</v>
      </c>
      <c r="R423" s="24"/>
      <c r="S423" s="24" t="str">
        <f t="shared" ref="S423:U423" si="424">IF(E423&lt;&gt;"","Yes","")</f>
        <v>Yes</v>
      </c>
      <c r="T423" s="24" t="str">
        <f t="shared" si="424"/>
        <v>Yes</v>
      </c>
      <c r="U423" s="24" t="str">
        <f t="shared" si="424"/>
        <v>Yes</v>
      </c>
      <c r="V423" s="24" t="str">
        <f t="shared" si="3"/>
        <v/>
      </c>
      <c r="W423" s="24" t="str">
        <f t="shared" si="4"/>
        <v/>
      </c>
    </row>
    <row r="424">
      <c r="A424" s="18">
        <f>HYPERLINK("https://app.hubspot.com/contacts/8748051/record/0-1/18214853518", 18214853518)</f>
        <v>18214853518</v>
      </c>
      <c r="B424" s="14" t="s">
        <v>5476</v>
      </c>
      <c r="C424" s="16"/>
      <c r="D424" s="14"/>
      <c r="E424" s="32">
        <v>45418.0</v>
      </c>
      <c r="F424" s="32">
        <v>45420.0</v>
      </c>
      <c r="G424" s="32">
        <v>45420.0</v>
      </c>
      <c r="H424" s="14"/>
      <c r="I424" s="14"/>
      <c r="J424" s="14"/>
      <c r="K424" s="18">
        <f>HYPERLINK("https://app.hubspot.com/contacts/8748051/record/0-2/9137273695", 9137273695)</f>
        <v>9137273695</v>
      </c>
      <c r="L424" s="14" t="s">
        <v>1781</v>
      </c>
      <c r="M424" s="18" t="s">
        <v>1782</v>
      </c>
      <c r="N424" s="18">
        <f>HYPERLINK("https://app.hubspot.com/contacts/8748051/record/0-3/19199427910", 19199427910)</f>
        <v>19199427910</v>
      </c>
      <c r="O424" s="14" t="s">
        <v>1780</v>
      </c>
      <c r="P424" s="14" t="s">
        <v>118</v>
      </c>
      <c r="Q424" s="14">
        <v>82080.0</v>
      </c>
      <c r="R424" s="24"/>
      <c r="S424" s="24" t="str">
        <f t="shared" ref="S424:U424" si="425">IF(E424&lt;&gt;"","Yes","")</f>
        <v>Yes</v>
      </c>
      <c r="T424" s="24" t="str">
        <f t="shared" si="425"/>
        <v>Yes</v>
      </c>
      <c r="U424" s="24" t="str">
        <f t="shared" si="425"/>
        <v>Yes</v>
      </c>
      <c r="V424" s="24" t="str">
        <f t="shared" si="3"/>
        <v/>
      </c>
      <c r="W424" s="24" t="str">
        <f t="shared" si="4"/>
        <v/>
      </c>
    </row>
    <row r="425">
      <c r="A425" s="18">
        <f>HYPERLINK("https://app.hubspot.com/contacts/8748051/record/0-1/18825042491", 18825042491)</f>
        <v>18825042491</v>
      </c>
      <c r="B425" s="14" t="s">
        <v>5477</v>
      </c>
      <c r="C425" s="16"/>
      <c r="D425" s="14"/>
      <c r="E425" s="32">
        <v>45418.0</v>
      </c>
      <c r="F425" s="32">
        <v>45420.0</v>
      </c>
      <c r="G425" s="32">
        <v>45420.0</v>
      </c>
      <c r="H425" s="14"/>
      <c r="I425" s="14"/>
      <c r="J425" s="14"/>
      <c r="K425" s="18">
        <f>HYPERLINK("https://app.hubspot.com/contacts/8748051/record/0-2/16375814968", 16375814968)</f>
        <v>16375814968</v>
      </c>
      <c r="L425" s="14" t="s">
        <v>1787</v>
      </c>
      <c r="M425" s="18" t="s">
        <v>1788</v>
      </c>
      <c r="N425" s="18">
        <f>HYPERLINK("https://app.hubspot.com/contacts/8748051/record/0-3/19189400089", 19189400089)</f>
        <v>19189400089</v>
      </c>
      <c r="O425" s="14" t="s">
        <v>1786</v>
      </c>
      <c r="P425" s="14" t="s">
        <v>118</v>
      </c>
      <c r="Q425" s="14">
        <v>8640.0</v>
      </c>
      <c r="R425" s="14"/>
      <c r="S425" s="24" t="str">
        <f t="shared" ref="S425:U425" si="426">IF(E425&lt;&gt;"","Yes","")</f>
        <v>Yes</v>
      </c>
      <c r="T425" s="24" t="str">
        <f t="shared" si="426"/>
        <v>Yes</v>
      </c>
      <c r="U425" s="24" t="str">
        <f t="shared" si="426"/>
        <v>Yes</v>
      </c>
      <c r="V425" s="24" t="str">
        <f t="shared" si="3"/>
        <v/>
      </c>
      <c r="W425" s="24" t="str">
        <f t="shared" si="4"/>
        <v/>
      </c>
    </row>
    <row r="426">
      <c r="A426" s="18">
        <f>HYPERLINK("https://app.hubspot.com/contacts/8748051/record/0-1/12161564063", 12161564063)</f>
        <v>12161564063</v>
      </c>
      <c r="B426" s="14" t="s">
        <v>5478</v>
      </c>
      <c r="C426" s="16"/>
      <c r="D426" s="14"/>
      <c r="E426" s="32">
        <v>45398.0</v>
      </c>
      <c r="F426" s="32"/>
      <c r="G426" s="32"/>
      <c r="H426" s="14"/>
      <c r="I426" s="24"/>
      <c r="J426" s="24"/>
      <c r="K426" s="18">
        <f>HYPERLINK("https://app.hubspot.com/contacts/8748051/record/0-2/17252725788", 17252725788)</f>
        <v>17252725788</v>
      </c>
      <c r="L426" s="14" t="s">
        <v>5479</v>
      </c>
      <c r="M426" s="18" t="s">
        <v>5480</v>
      </c>
      <c r="N426" s="14"/>
      <c r="O426" s="14"/>
      <c r="P426" s="14"/>
      <c r="Q426" s="14"/>
      <c r="R426" s="24"/>
      <c r="S426" s="24" t="str">
        <f t="shared" ref="S426:U426" si="427">IF(E426&lt;&gt;"","Yes","")</f>
        <v>Yes</v>
      </c>
      <c r="T426" s="24" t="str">
        <f t="shared" si="427"/>
        <v/>
      </c>
      <c r="U426" s="24" t="str">
        <f t="shared" si="427"/>
        <v/>
      </c>
      <c r="V426" s="24" t="str">
        <f t="shared" si="3"/>
        <v/>
      </c>
      <c r="W426" s="24" t="str">
        <f t="shared" si="4"/>
        <v/>
      </c>
    </row>
    <row r="427">
      <c r="A427" s="18">
        <f>HYPERLINK("https://app.hubspot.com/contacts/8748051/record/0-1/15189526077", 15189526077)</f>
        <v>15189526077</v>
      </c>
      <c r="B427" s="14" t="s">
        <v>5481</v>
      </c>
      <c r="C427" s="16"/>
      <c r="D427" s="14"/>
      <c r="E427" s="32">
        <v>45406.0</v>
      </c>
      <c r="F427" s="32"/>
      <c r="G427" s="32"/>
      <c r="H427" s="14"/>
      <c r="I427" s="14"/>
      <c r="J427" s="14"/>
      <c r="K427" s="18">
        <f>HYPERLINK("https://app.hubspot.com/contacts/8748051/record/0-2/15268028833", 15268028833)</f>
        <v>15268028833</v>
      </c>
      <c r="L427" s="14" t="s">
        <v>5190</v>
      </c>
      <c r="M427" s="18" t="s">
        <v>5191</v>
      </c>
      <c r="N427" s="14"/>
      <c r="O427" s="14"/>
      <c r="P427" s="14"/>
      <c r="Q427" s="14"/>
      <c r="R427" s="14"/>
      <c r="S427" s="24" t="str">
        <f t="shared" ref="S427:U427" si="428">IF(E427&lt;&gt;"","Yes","")</f>
        <v>Yes</v>
      </c>
      <c r="T427" s="24" t="str">
        <f t="shared" si="428"/>
        <v/>
      </c>
      <c r="U427" s="24" t="str">
        <f t="shared" si="428"/>
        <v/>
      </c>
      <c r="V427" s="24" t="str">
        <f t="shared" si="3"/>
        <v/>
      </c>
      <c r="W427" s="24" t="str">
        <f t="shared" si="4"/>
        <v/>
      </c>
    </row>
    <row r="428">
      <c r="A428" s="18">
        <f>HYPERLINK("https://app.hubspot.com/contacts/8748051/record/0-1/12964278969", 12964278969)</f>
        <v>12964278969</v>
      </c>
      <c r="B428" s="14" t="s">
        <v>5482</v>
      </c>
      <c r="C428" s="16"/>
      <c r="D428" s="14"/>
      <c r="E428" s="32">
        <v>45398.0</v>
      </c>
      <c r="F428" s="32"/>
      <c r="G428" s="32"/>
      <c r="H428" s="14"/>
      <c r="I428" s="14"/>
      <c r="J428" s="14"/>
      <c r="K428" s="18">
        <f>HYPERLINK("https://app.hubspot.com/contacts/8748051/record/0-2/8724553351", 8724553351)</f>
        <v>8724553351</v>
      </c>
      <c r="L428" s="14" t="s">
        <v>5483</v>
      </c>
      <c r="M428" s="18" t="s">
        <v>5484</v>
      </c>
      <c r="N428" s="14"/>
      <c r="O428" s="14"/>
      <c r="P428" s="14"/>
      <c r="Q428" s="14"/>
      <c r="R428" s="14"/>
      <c r="S428" s="24" t="str">
        <f t="shared" ref="S428:U428" si="429">IF(E428&lt;&gt;"","Yes","")</f>
        <v>Yes</v>
      </c>
      <c r="T428" s="24" t="str">
        <f t="shared" si="429"/>
        <v/>
      </c>
      <c r="U428" s="24" t="str">
        <f t="shared" si="429"/>
        <v/>
      </c>
      <c r="V428" s="24" t="str">
        <f t="shared" si="3"/>
        <v/>
      </c>
      <c r="W428" s="24" t="str">
        <f t="shared" si="4"/>
        <v/>
      </c>
    </row>
    <row r="429">
      <c r="A429" s="18">
        <f>HYPERLINK("https://app.hubspot.com/contacts/8748051/record/0-1/9900769444", 9900769444)</f>
        <v>9900769444</v>
      </c>
      <c r="B429" s="14" t="s">
        <v>5485</v>
      </c>
      <c r="C429" s="24"/>
      <c r="D429" s="14" t="s">
        <v>5486</v>
      </c>
      <c r="E429" s="32"/>
      <c r="F429" s="24"/>
      <c r="G429" s="24"/>
      <c r="H429" s="14"/>
      <c r="I429" s="24"/>
      <c r="J429" s="24"/>
      <c r="K429" s="18">
        <f>HYPERLINK("https://app.hubspot.com/contacts/8748051/record/0-2/20122049160", 20122049160)</f>
        <v>20122049160</v>
      </c>
      <c r="L429" s="18" t="s">
        <v>5487</v>
      </c>
      <c r="M429" s="18" t="s">
        <v>5487</v>
      </c>
      <c r="N429" s="24"/>
      <c r="O429" s="24"/>
      <c r="P429" s="24"/>
      <c r="Q429" s="24"/>
      <c r="R429" s="24"/>
      <c r="S429" s="24" t="str">
        <f t="shared" ref="S429:U429" si="430">IF(E429&lt;&gt;"","Yes","")</f>
        <v/>
      </c>
      <c r="T429" s="24" t="str">
        <f t="shared" si="430"/>
        <v/>
      </c>
      <c r="U429" s="24" t="str">
        <f t="shared" si="430"/>
        <v/>
      </c>
      <c r="V429" s="24" t="str">
        <f t="shared" si="3"/>
        <v/>
      </c>
      <c r="W429" s="24" t="str">
        <f t="shared" si="4"/>
        <v/>
      </c>
    </row>
    <row r="430">
      <c r="A430" s="18">
        <f>HYPERLINK("https://app.hubspot.com/contacts/8748051/record/0-1/9831174477", 9831174477)</f>
        <v>9831174477</v>
      </c>
      <c r="B430" s="14" t="s">
        <v>5488</v>
      </c>
      <c r="C430" s="16"/>
      <c r="D430" s="14"/>
      <c r="E430" s="32">
        <v>45388.0</v>
      </c>
      <c r="F430" s="32">
        <v>45405.0</v>
      </c>
      <c r="G430" s="32">
        <v>45405.0</v>
      </c>
      <c r="H430" s="14"/>
      <c r="I430" s="14"/>
      <c r="J430" s="14"/>
      <c r="K430" s="18">
        <f>HYPERLINK("https://app.hubspot.com/contacts/8748051/record/0-2/7716029499", 7716029499)</f>
        <v>7716029499</v>
      </c>
      <c r="L430" s="14" t="s">
        <v>1810</v>
      </c>
      <c r="M430" s="18" t="s">
        <v>1811</v>
      </c>
      <c r="N430" s="18">
        <f>HYPERLINK("https://app.hubspot.com/contacts/8748051/record/0-3/19063660091", 19063660091)</f>
        <v>19063660091</v>
      </c>
      <c r="O430" s="14" t="s">
        <v>1809</v>
      </c>
      <c r="P430" s="14" t="s">
        <v>118</v>
      </c>
      <c r="Q430" s="14">
        <v>4080.0</v>
      </c>
      <c r="R430" s="14"/>
      <c r="S430" s="24" t="str">
        <f t="shared" ref="S430:U430" si="431">IF(E430&lt;&gt;"","Yes","")</f>
        <v>Yes</v>
      </c>
      <c r="T430" s="24" t="str">
        <f t="shared" si="431"/>
        <v>Yes</v>
      </c>
      <c r="U430" s="24" t="str">
        <f t="shared" si="431"/>
        <v>Yes</v>
      </c>
      <c r="V430" s="24" t="str">
        <f t="shared" si="3"/>
        <v/>
      </c>
      <c r="W430" s="24" t="str">
        <f t="shared" si="4"/>
        <v/>
      </c>
    </row>
    <row r="431">
      <c r="A431" s="18">
        <f>HYPERLINK("https://app.hubspot.com/contacts/8748051/record/0-1/8706262090", 8706262090)</f>
        <v>8706262090</v>
      </c>
      <c r="B431" s="14" t="s">
        <v>5489</v>
      </c>
      <c r="C431" s="16"/>
      <c r="D431" s="14" t="s">
        <v>5490</v>
      </c>
      <c r="E431" s="32"/>
      <c r="F431" s="32"/>
      <c r="G431" s="32"/>
      <c r="H431" s="14"/>
      <c r="I431" s="14"/>
      <c r="J431" s="14"/>
      <c r="K431" s="18">
        <f>HYPERLINK("https://app.hubspot.com/contacts/8748051/record/0-2/19827419532", 19827419532)</f>
        <v>19827419532</v>
      </c>
      <c r="L431" s="14" t="s">
        <v>5491</v>
      </c>
      <c r="M431" s="14" t="s">
        <v>5492</v>
      </c>
      <c r="N431" s="14"/>
      <c r="O431" s="14"/>
      <c r="P431" s="14"/>
      <c r="Q431" s="14"/>
      <c r="R431" s="24"/>
      <c r="S431" s="24" t="str">
        <f t="shared" ref="S431:U431" si="432">IF(E431&lt;&gt;"","Yes","")</f>
        <v/>
      </c>
      <c r="T431" s="24" t="str">
        <f t="shared" si="432"/>
        <v/>
      </c>
      <c r="U431" s="24" t="str">
        <f t="shared" si="432"/>
        <v/>
      </c>
      <c r="V431" s="24" t="str">
        <f t="shared" si="3"/>
        <v/>
      </c>
      <c r="W431" s="24" t="str">
        <f t="shared" si="4"/>
        <v/>
      </c>
    </row>
    <row r="432">
      <c r="A432" s="18">
        <f>HYPERLINK("https://app.hubspot.com/contacts/8748051/record/0-1/17589408777", 17589408777)</f>
        <v>17589408777</v>
      </c>
      <c r="B432" s="14" t="s">
        <v>5493</v>
      </c>
      <c r="C432" s="16"/>
      <c r="D432" s="14" t="s">
        <v>4067</v>
      </c>
      <c r="E432" s="32"/>
      <c r="F432" s="32"/>
      <c r="G432" s="32"/>
      <c r="H432" s="14"/>
      <c r="I432" s="14"/>
      <c r="J432" s="14"/>
      <c r="K432" s="18">
        <f>HYPERLINK("https://app.hubspot.com/contacts/8748051/record/0-2/19176578334", 19176578334)</f>
        <v>19176578334</v>
      </c>
      <c r="L432" s="14" t="s">
        <v>5494</v>
      </c>
      <c r="M432" s="18" t="s">
        <v>5495</v>
      </c>
      <c r="N432" s="14"/>
      <c r="O432" s="14"/>
      <c r="P432" s="14"/>
      <c r="Q432" s="14"/>
      <c r="R432" s="14"/>
      <c r="S432" s="24" t="str">
        <f t="shared" ref="S432:U432" si="433">IF(E432&lt;&gt;"","Yes","")</f>
        <v/>
      </c>
      <c r="T432" s="24" t="str">
        <f t="shared" si="433"/>
        <v/>
      </c>
      <c r="U432" s="24" t="str">
        <f t="shared" si="433"/>
        <v/>
      </c>
      <c r="V432" s="24" t="str">
        <f t="shared" si="3"/>
        <v/>
      </c>
      <c r="W432" s="24" t="str">
        <f t="shared" si="4"/>
        <v/>
      </c>
    </row>
    <row r="433">
      <c r="A433" s="18">
        <f>HYPERLINK("https://app.hubspot.com/contacts/8748051/record/0-1/10440428947", 10440428947)</f>
        <v>10440428947</v>
      </c>
      <c r="B433" s="14" t="s">
        <v>5496</v>
      </c>
      <c r="C433" s="16"/>
      <c r="D433" s="14"/>
      <c r="E433" s="32">
        <v>45390.0</v>
      </c>
      <c r="F433" s="32"/>
      <c r="G433" s="32"/>
      <c r="H433" s="14"/>
      <c r="I433" s="14"/>
      <c r="J433" s="14"/>
      <c r="K433" s="18">
        <f>HYPERLINK("https://app.hubspot.com/contacts/8748051/record/0-2/19176558466", 19176558466)</f>
        <v>19176558466</v>
      </c>
      <c r="L433" s="14" t="s">
        <v>5497</v>
      </c>
      <c r="M433" s="18" t="s">
        <v>5498</v>
      </c>
      <c r="N433" s="14"/>
      <c r="O433" s="14"/>
      <c r="P433" s="14"/>
      <c r="Q433" s="14"/>
      <c r="R433" s="24"/>
      <c r="S433" s="24" t="str">
        <f t="shared" ref="S433:U433" si="434">IF(E433&lt;&gt;"","Yes","")</f>
        <v>Yes</v>
      </c>
      <c r="T433" s="24" t="str">
        <f t="shared" si="434"/>
        <v/>
      </c>
      <c r="U433" s="24" t="str">
        <f t="shared" si="434"/>
        <v/>
      </c>
      <c r="V433" s="24" t="str">
        <f t="shared" si="3"/>
        <v/>
      </c>
      <c r="W433" s="24" t="str">
        <f t="shared" si="4"/>
        <v/>
      </c>
    </row>
    <row r="434">
      <c r="A434" s="18">
        <f>HYPERLINK("https://app.hubspot.com/contacts/8748051/record/0-1/12943870233", 12943870233)</f>
        <v>12943870233</v>
      </c>
      <c r="B434" s="14" t="s">
        <v>5499</v>
      </c>
      <c r="C434" s="16"/>
      <c r="D434" s="14"/>
      <c r="E434" s="32">
        <v>45398.0</v>
      </c>
      <c r="F434" s="32"/>
      <c r="G434" s="32"/>
      <c r="H434" s="14"/>
      <c r="I434" s="14"/>
      <c r="J434" s="14"/>
      <c r="K434" s="18">
        <f>HYPERLINK("https://app.hubspot.com/contacts/8748051/record/0-2/19176528640", 19176528640)</f>
        <v>19176528640</v>
      </c>
      <c r="L434" s="14" t="s">
        <v>5500</v>
      </c>
      <c r="M434" s="18" t="s">
        <v>5501</v>
      </c>
      <c r="N434" s="14"/>
      <c r="O434" s="14"/>
      <c r="P434" s="14"/>
      <c r="Q434" s="14"/>
      <c r="R434" s="24"/>
      <c r="S434" s="24" t="str">
        <f t="shared" ref="S434:U434" si="435">IF(E434&lt;&gt;"","Yes","")</f>
        <v>Yes</v>
      </c>
      <c r="T434" s="24" t="str">
        <f t="shared" si="435"/>
        <v/>
      </c>
      <c r="U434" s="24" t="str">
        <f t="shared" si="435"/>
        <v/>
      </c>
      <c r="V434" s="24" t="str">
        <f t="shared" si="3"/>
        <v/>
      </c>
      <c r="W434" s="24" t="str">
        <f t="shared" si="4"/>
        <v/>
      </c>
    </row>
    <row r="435">
      <c r="A435" s="18">
        <f>HYPERLINK("https://app.hubspot.com/contacts/8748051/record/0-1/9674738772", 9674738772)</f>
        <v>9674738772</v>
      </c>
      <c r="B435" s="14" t="s">
        <v>5502</v>
      </c>
      <c r="C435" s="16"/>
      <c r="D435" s="14"/>
      <c r="E435" s="32">
        <v>45387.0</v>
      </c>
      <c r="F435" s="32"/>
      <c r="G435" s="32"/>
      <c r="H435" s="14"/>
      <c r="I435" s="14"/>
      <c r="J435" s="14"/>
      <c r="K435" s="18">
        <f>HYPERLINK("https://app.hubspot.com/contacts/8748051/record/0-2/19176694688", 19176694688)</f>
        <v>19176694688</v>
      </c>
      <c r="L435" s="14" t="s">
        <v>5503</v>
      </c>
      <c r="M435" s="18" t="s">
        <v>5504</v>
      </c>
      <c r="N435" s="14"/>
      <c r="O435" s="14"/>
      <c r="P435" s="14"/>
      <c r="Q435" s="14"/>
      <c r="R435" s="14"/>
      <c r="S435" s="24" t="str">
        <f t="shared" ref="S435:U435" si="436">IF(E435&lt;&gt;"","Yes","")</f>
        <v>Yes</v>
      </c>
      <c r="T435" s="24" t="str">
        <f t="shared" si="436"/>
        <v/>
      </c>
      <c r="U435" s="24" t="str">
        <f t="shared" si="436"/>
        <v/>
      </c>
      <c r="V435" s="24" t="str">
        <f t="shared" si="3"/>
        <v/>
      </c>
      <c r="W435" s="24" t="str">
        <f t="shared" si="4"/>
        <v/>
      </c>
    </row>
    <row r="436">
      <c r="A436" s="18">
        <f>HYPERLINK("https://app.hubspot.com/contacts/8748051/record/0-1/16857895091", 16857895091)</f>
        <v>16857895091</v>
      </c>
      <c r="B436" s="14" t="s">
        <v>5505</v>
      </c>
      <c r="C436" s="16"/>
      <c r="D436" s="14"/>
      <c r="E436" s="32">
        <v>45411.0</v>
      </c>
      <c r="F436" s="32">
        <v>45418.0</v>
      </c>
      <c r="G436" s="32">
        <v>45418.0</v>
      </c>
      <c r="H436" s="14"/>
      <c r="I436" s="14"/>
      <c r="J436" s="14"/>
      <c r="K436" s="18">
        <f>HYPERLINK("https://app.hubspot.com/contacts/8748051/record/0-2/8920376633", 8920376633)</f>
        <v>8920376633</v>
      </c>
      <c r="L436" s="14" t="s">
        <v>1800</v>
      </c>
      <c r="M436" s="18" t="s">
        <v>1801</v>
      </c>
      <c r="N436" s="18">
        <f>HYPERLINK("https://app.hubspot.com/contacts/8748051/record/0-3/19093862754", 19093862754)</f>
        <v>19093862754</v>
      </c>
      <c r="O436" s="14" t="s">
        <v>1799</v>
      </c>
      <c r="P436" s="14" t="s">
        <v>124</v>
      </c>
      <c r="Q436" s="14">
        <v>6000.0</v>
      </c>
      <c r="R436" s="14" t="b">
        <v>1</v>
      </c>
      <c r="S436" s="24" t="str">
        <f t="shared" ref="S436:U436" si="437">IF(E436&lt;&gt;"","Yes","")</f>
        <v>Yes</v>
      </c>
      <c r="T436" s="24" t="str">
        <f t="shared" si="437"/>
        <v>Yes</v>
      </c>
      <c r="U436" s="24" t="str">
        <f t="shared" si="437"/>
        <v>Yes</v>
      </c>
      <c r="V436" s="24" t="str">
        <f t="shared" si="3"/>
        <v/>
      </c>
      <c r="W436" s="24" t="str">
        <f t="shared" si="4"/>
        <v/>
      </c>
    </row>
    <row r="437">
      <c r="A437" s="18">
        <f>HYPERLINK("https://app.hubspot.com/contacts/8748051/record/0-1/10951225608", 10951225608)</f>
        <v>10951225608</v>
      </c>
      <c r="B437" s="14" t="s">
        <v>5506</v>
      </c>
      <c r="C437" s="16"/>
      <c r="D437" s="14"/>
      <c r="E437" s="32">
        <v>45392.0</v>
      </c>
      <c r="F437" s="32"/>
      <c r="G437" s="32"/>
      <c r="H437" s="14"/>
      <c r="I437" s="14"/>
      <c r="J437" s="14"/>
      <c r="K437" s="18">
        <f>HYPERLINK("https://app.hubspot.com/contacts/8748051/record/0-2/19176511902", 19176511902)</f>
        <v>19176511902</v>
      </c>
      <c r="L437" s="14" t="s">
        <v>5507</v>
      </c>
      <c r="M437" s="18" t="s">
        <v>5508</v>
      </c>
      <c r="N437" s="14"/>
      <c r="O437" s="14"/>
      <c r="P437" s="14"/>
      <c r="Q437" s="14"/>
      <c r="R437" s="14"/>
      <c r="S437" s="24" t="str">
        <f t="shared" ref="S437:U437" si="438">IF(E437&lt;&gt;"","Yes","")</f>
        <v>Yes</v>
      </c>
      <c r="T437" s="24" t="str">
        <f t="shared" si="438"/>
        <v/>
      </c>
      <c r="U437" s="24" t="str">
        <f t="shared" si="438"/>
        <v/>
      </c>
      <c r="V437" s="24" t="str">
        <f t="shared" si="3"/>
        <v/>
      </c>
      <c r="W437" s="24" t="str">
        <f t="shared" si="4"/>
        <v/>
      </c>
    </row>
    <row r="438">
      <c r="A438" s="18">
        <f>HYPERLINK("https://app.hubspot.com/contacts/8748051/record/0-1/8647950440", 8647950440)</f>
        <v>8647950440</v>
      </c>
      <c r="B438" s="14" t="s">
        <v>5509</v>
      </c>
      <c r="C438" s="16"/>
      <c r="D438" s="14"/>
      <c r="E438" s="32">
        <v>45384.0</v>
      </c>
      <c r="F438" s="32">
        <v>45400.0</v>
      </c>
      <c r="G438" s="32">
        <v>45400.0</v>
      </c>
      <c r="H438" s="14"/>
      <c r="I438" s="14"/>
      <c r="J438" s="14"/>
      <c r="K438" s="18">
        <f>HYPERLINK("https://app.hubspot.com/contacts/8748051/record/0-2/8929939120", 8929939120)</f>
        <v>8929939120</v>
      </c>
      <c r="L438" s="14" t="s">
        <v>1855</v>
      </c>
      <c r="M438" s="18" t="s">
        <v>1856</v>
      </c>
      <c r="N438" s="18">
        <f>HYPERLINK("https://app.hubspot.com/contacts/8748051/record/0-3/18729245276", 18729245276)</f>
        <v>18729245276</v>
      </c>
      <c r="O438" s="14" t="s">
        <v>1854</v>
      </c>
      <c r="P438" s="14" t="s">
        <v>118</v>
      </c>
      <c r="Q438" s="14">
        <v>14640.0</v>
      </c>
      <c r="R438" s="14"/>
      <c r="S438" s="24" t="str">
        <f t="shared" ref="S438:U438" si="439">IF(E438&lt;&gt;"","Yes","")</f>
        <v>Yes</v>
      </c>
      <c r="T438" s="24" t="str">
        <f t="shared" si="439"/>
        <v>Yes</v>
      </c>
      <c r="U438" s="24" t="str">
        <f t="shared" si="439"/>
        <v>Yes</v>
      </c>
      <c r="V438" s="24" t="str">
        <f t="shared" si="3"/>
        <v/>
      </c>
      <c r="W438" s="24" t="str">
        <f t="shared" si="4"/>
        <v/>
      </c>
    </row>
    <row r="439">
      <c r="A439" s="18">
        <f>HYPERLINK("https://app.hubspot.com/contacts/8748051/record/0-1/12442018212", 12442018212)</f>
        <v>12442018212</v>
      </c>
      <c r="B439" s="14" t="s">
        <v>5510</v>
      </c>
      <c r="C439" s="16"/>
      <c r="D439" s="16"/>
      <c r="E439" s="32">
        <v>45397.0</v>
      </c>
      <c r="F439" s="32"/>
      <c r="G439" s="32"/>
      <c r="H439" s="14"/>
      <c r="I439" s="14"/>
      <c r="J439" s="14"/>
      <c r="K439" s="18">
        <f>HYPERLINK("https://app.hubspot.com/contacts/8748051/record/0-2/14810002292", 14810002292)</f>
        <v>14810002292</v>
      </c>
      <c r="L439" s="14" t="s">
        <v>5511</v>
      </c>
      <c r="M439" s="18" t="s">
        <v>5512</v>
      </c>
      <c r="N439" s="14"/>
      <c r="O439" s="14"/>
      <c r="P439" s="14"/>
      <c r="Q439" s="14"/>
      <c r="R439" s="14"/>
      <c r="S439" s="24" t="str">
        <f t="shared" ref="S439:U439" si="440">IF(E439&lt;&gt;"","Yes","")</f>
        <v>Yes</v>
      </c>
      <c r="T439" s="24" t="str">
        <f t="shared" si="440"/>
        <v/>
      </c>
      <c r="U439" s="24" t="str">
        <f t="shared" si="440"/>
        <v/>
      </c>
      <c r="V439" s="24" t="str">
        <f t="shared" si="3"/>
        <v/>
      </c>
      <c r="W439" s="24" t="str">
        <f t="shared" si="4"/>
        <v/>
      </c>
    </row>
    <row r="440">
      <c r="A440" s="18">
        <f>HYPERLINK("https://app.hubspot.com/contacts/8748051/record/0-1/8593362359", 8593362359)</f>
        <v>8593362359</v>
      </c>
      <c r="B440" s="14" t="s">
        <v>5513</v>
      </c>
      <c r="C440" s="16"/>
      <c r="D440" s="14"/>
      <c r="E440" s="32">
        <v>45384.0</v>
      </c>
      <c r="F440" s="32"/>
      <c r="G440" s="32"/>
      <c r="H440" s="14"/>
      <c r="I440" s="14"/>
      <c r="J440" s="14"/>
      <c r="K440" s="18">
        <f>HYPERLINK("https://app.hubspot.com/contacts/8748051/record/0-2/8724553351", 8724553351)</f>
        <v>8724553351</v>
      </c>
      <c r="L440" s="14" t="s">
        <v>5483</v>
      </c>
      <c r="M440" s="18" t="s">
        <v>5484</v>
      </c>
      <c r="N440" s="14"/>
      <c r="O440" s="14"/>
      <c r="P440" s="14"/>
      <c r="Q440" s="14"/>
      <c r="R440" s="24"/>
      <c r="S440" s="24" t="str">
        <f t="shared" ref="S440:U440" si="441">IF(E440&lt;&gt;"","Yes","")</f>
        <v>Yes</v>
      </c>
      <c r="T440" s="24" t="str">
        <f t="shared" si="441"/>
        <v/>
      </c>
      <c r="U440" s="24" t="str">
        <f t="shared" si="441"/>
        <v/>
      </c>
      <c r="V440" s="24" t="str">
        <f t="shared" si="3"/>
        <v/>
      </c>
      <c r="W440" s="24" t="str">
        <f t="shared" si="4"/>
        <v/>
      </c>
    </row>
    <row r="441">
      <c r="A441" s="18">
        <f>HYPERLINK("https://app.hubspot.com/contacts/8748051/record/0-1/19491257190", 19491257190)</f>
        <v>19491257190</v>
      </c>
      <c r="B441" s="14" t="s">
        <v>5514</v>
      </c>
      <c r="C441" s="16"/>
      <c r="D441" s="14" t="s">
        <v>5515</v>
      </c>
      <c r="E441" s="32"/>
      <c r="F441" s="32"/>
      <c r="G441" s="32"/>
      <c r="H441" s="14"/>
      <c r="I441" s="24"/>
      <c r="J441" s="24"/>
      <c r="K441" s="18">
        <f>HYPERLINK("https://app.hubspot.com/contacts/8748051/record/0-2/20692317227", 20692317227)</f>
        <v>20692317227</v>
      </c>
      <c r="L441" s="14" t="s">
        <v>5516</v>
      </c>
      <c r="M441" s="18" t="s">
        <v>5517</v>
      </c>
      <c r="N441" s="24"/>
      <c r="O441" s="14"/>
      <c r="P441" s="14"/>
      <c r="Q441" s="14"/>
      <c r="R441" s="14"/>
      <c r="S441" s="24" t="str">
        <f t="shared" ref="S441:U441" si="442">IF(E441&lt;&gt;"","Yes","")</f>
        <v/>
      </c>
      <c r="T441" s="24" t="str">
        <f t="shared" si="442"/>
        <v/>
      </c>
      <c r="U441" s="24" t="str">
        <f t="shared" si="442"/>
        <v/>
      </c>
      <c r="V441" s="24" t="str">
        <f t="shared" si="3"/>
        <v/>
      </c>
      <c r="W441" s="24" t="str">
        <f t="shared" si="4"/>
        <v/>
      </c>
    </row>
    <row r="442">
      <c r="A442" s="18">
        <f>HYPERLINK("https://app.hubspot.com/contacts/8748051/record/0-1/11072410158", 11072410158)</f>
        <v>11072410158</v>
      </c>
      <c r="B442" s="14" t="s">
        <v>5518</v>
      </c>
      <c r="C442" s="16"/>
      <c r="D442" s="14"/>
      <c r="E442" s="32">
        <v>45392.0</v>
      </c>
      <c r="F442" s="32"/>
      <c r="G442" s="32"/>
      <c r="H442" s="14"/>
      <c r="I442" s="14"/>
      <c r="J442" s="14"/>
      <c r="K442" s="18">
        <f>HYPERLINK("https://app.hubspot.com/contacts/8748051/record/0-2/9228054316", 9228054316)</f>
        <v>9228054316</v>
      </c>
      <c r="L442" s="14" t="s">
        <v>5519</v>
      </c>
      <c r="M442" s="18" t="s">
        <v>5520</v>
      </c>
      <c r="N442" s="14"/>
      <c r="O442" s="14"/>
      <c r="P442" s="14"/>
      <c r="Q442" s="14"/>
      <c r="R442" s="24"/>
      <c r="S442" s="24" t="str">
        <f t="shared" ref="S442:U442" si="443">IF(E442&lt;&gt;"","Yes","")</f>
        <v>Yes</v>
      </c>
      <c r="T442" s="24" t="str">
        <f t="shared" si="443"/>
        <v/>
      </c>
      <c r="U442" s="24" t="str">
        <f t="shared" si="443"/>
        <v/>
      </c>
      <c r="V442" s="24" t="str">
        <f t="shared" si="3"/>
        <v/>
      </c>
      <c r="W442" s="24" t="str">
        <f t="shared" si="4"/>
        <v/>
      </c>
    </row>
    <row r="443">
      <c r="A443" s="18">
        <f>HYPERLINK("https://app.hubspot.com/contacts/8748051/record/0-1/16323207243", 16323207243)</f>
        <v>16323207243</v>
      </c>
      <c r="B443" s="14" t="s">
        <v>5521</v>
      </c>
      <c r="C443" s="16"/>
      <c r="D443" s="14" t="s">
        <v>4248</v>
      </c>
      <c r="E443" s="32"/>
      <c r="F443" s="32"/>
      <c r="G443" s="32"/>
      <c r="H443" s="14"/>
      <c r="I443" s="14"/>
      <c r="J443" s="14"/>
      <c r="K443" s="18">
        <f>HYPERLINK("https://app.hubspot.com/contacts/8748051/record/0-2/9238395419", 9238395419)</f>
        <v>9238395419</v>
      </c>
      <c r="L443" s="14" t="s">
        <v>5522</v>
      </c>
      <c r="M443" s="18" t="s">
        <v>5523</v>
      </c>
      <c r="N443" s="14"/>
      <c r="O443" s="14"/>
      <c r="P443" s="14"/>
      <c r="Q443" s="14"/>
      <c r="R443" s="24"/>
      <c r="S443" s="24" t="str">
        <f t="shared" ref="S443:U443" si="444">IF(E443&lt;&gt;"","Yes","")</f>
        <v/>
      </c>
      <c r="T443" s="24" t="str">
        <f t="shared" si="444"/>
        <v/>
      </c>
      <c r="U443" s="24" t="str">
        <f t="shared" si="444"/>
        <v/>
      </c>
      <c r="V443" s="24" t="str">
        <f t="shared" si="3"/>
        <v/>
      </c>
      <c r="W443" s="24" t="str">
        <f t="shared" si="4"/>
        <v/>
      </c>
    </row>
    <row r="444">
      <c r="A444" s="18">
        <f>HYPERLINK("https://app.hubspot.com/contacts/8748051/record/0-1/11005489731", 11005489731)</f>
        <v>11005489731</v>
      </c>
      <c r="B444" s="14" t="s">
        <v>5524</v>
      </c>
      <c r="C444" s="16"/>
      <c r="D444" s="14" t="s">
        <v>4116</v>
      </c>
      <c r="E444" s="32"/>
      <c r="F444" s="32"/>
      <c r="G444" s="32"/>
      <c r="H444" s="14"/>
      <c r="I444" s="14"/>
      <c r="J444" s="14"/>
      <c r="K444" s="18">
        <f>HYPERLINK("https://app.hubspot.com/contacts/8748051/record/0-2/9093472933", 9093472933)</f>
        <v>9093472933</v>
      </c>
      <c r="L444" s="14" t="s">
        <v>4737</v>
      </c>
      <c r="M444" s="18" t="s">
        <v>4738</v>
      </c>
      <c r="N444" s="14"/>
      <c r="O444" s="14"/>
      <c r="P444" s="14"/>
      <c r="Q444" s="14"/>
      <c r="R444" s="14"/>
      <c r="S444" s="24" t="str">
        <f t="shared" ref="S444:U444" si="445">IF(E444&lt;&gt;"","Yes","")</f>
        <v/>
      </c>
      <c r="T444" s="24" t="str">
        <f t="shared" si="445"/>
        <v/>
      </c>
      <c r="U444" s="24" t="str">
        <f t="shared" si="445"/>
        <v/>
      </c>
      <c r="V444" s="24" t="str">
        <f t="shared" si="3"/>
        <v/>
      </c>
      <c r="W444" s="24" t="str">
        <f t="shared" si="4"/>
        <v/>
      </c>
    </row>
    <row r="445">
      <c r="A445" s="18">
        <f>HYPERLINK("https://app.hubspot.com/contacts/8748051/record/0-1/15226171316", 15226171316)</f>
        <v>15226171316</v>
      </c>
      <c r="B445" s="14" t="s">
        <v>5525</v>
      </c>
      <c r="C445" s="16"/>
      <c r="D445" s="14" t="s">
        <v>4248</v>
      </c>
      <c r="E445" s="32"/>
      <c r="F445" s="32"/>
      <c r="G445" s="32"/>
      <c r="H445" s="14"/>
      <c r="I445" s="14"/>
      <c r="J445" s="14"/>
      <c r="K445" s="18">
        <f>HYPERLINK("https://app.hubspot.com/contacts/8748051/record/0-2/18002986035", 18002986035)</f>
        <v>18002986035</v>
      </c>
      <c r="L445" s="14" t="s">
        <v>5526</v>
      </c>
      <c r="M445" s="18" t="s">
        <v>5527</v>
      </c>
      <c r="N445" s="14"/>
      <c r="O445" s="14"/>
      <c r="P445" s="14"/>
      <c r="Q445" s="14"/>
      <c r="R445" s="24"/>
      <c r="S445" s="24" t="str">
        <f t="shared" ref="S445:U445" si="446">IF(E445&lt;&gt;"","Yes","")</f>
        <v/>
      </c>
      <c r="T445" s="24" t="str">
        <f t="shared" si="446"/>
        <v/>
      </c>
      <c r="U445" s="24" t="str">
        <f t="shared" si="446"/>
        <v/>
      </c>
      <c r="V445" s="24" t="str">
        <f t="shared" si="3"/>
        <v/>
      </c>
      <c r="W445" s="24" t="str">
        <f t="shared" si="4"/>
        <v/>
      </c>
    </row>
    <row r="446">
      <c r="A446" s="18">
        <f>HYPERLINK("https://app.hubspot.com/contacts/8748051/record/0-1/13612592417", 13612592417)</f>
        <v>13612592417</v>
      </c>
      <c r="B446" s="14" t="s">
        <v>5528</v>
      </c>
      <c r="C446" s="16"/>
      <c r="D446" s="14" t="s">
        <v>4248</v>
      </c>
      <c r="E446" s="32"/>
      <c r="F446" s="32"/>
      <c r="G446" s="32"/>
      <c r="H446" s="14"/>
      <c r="I446" s="14"/>
      <c r="J446" s="14"/>
      <c r="K446" s="18">
        <f>HYPERLINK("https://app.hubspot.com/contacts/8748051/record/0-2/8929794578", 8929794578)</f>
        <v>8929794578</v>
      </c>
      <c r="L446" s="14" t="s">
        <v>1700</v>
      </c>
      <c r="M446" s="18" t="s">
        <v>1701</v>
      </c>
      <c r="N446" s="14"/>
      <c r="O446" s="14"/>
      <c r="P446" s="14"/>
      <c r="Q446" s="14"/>
      <c r="R446" s="14"/>
      <c r="S446" s="24" t="str">
        <f t="shared" ref="S446:U446" si="447">IF(E446&lt;&gt;"","Yes","")</f>
        <v/>
      </c>
      <c r="T446" s="24" t="str">
        <f t="shared" si="447"/>
        <v/>
      </c>
      <c r="U446" s="24" t="str">
        <f t="shared" si="447"/>
        <v/>
      </c>
      <c r="V446" s="24" t="str">
        <f t="shared" si="3"/>
        <v/>
      </c>
      <c r="W446" s="24" t="str">
        <f t="shared" si="4"/>
        <v/>
      </c>
    </row>
    <row r="447">
      <c r="A447" s="18">
        <f>HYPERLINK("https://app.hubspot.com/contacts/8748051/record/0-1/13760376628", 13760376628)</f>
        <v>13760376628</v>
      </c>
      <c r="B447" s="14" t="s">
        <v>5529</v>
      </c>
      <c r="C447" s="16"/>
      <c r="D447" s="14" t="s">
        <v>5530</v>
      </c>
      <c r="E447" s="32"/>
      <c r="F447" s="32"/>
      <c r="G447" s="24"/>
      <c r="H447" s="14"/>
      <c r="I447" s="14"/>
      <c r="J447" s="14"/>
      <c r="K447" s="18">
        <f>HYPERLINK("https://app.hubspot.com/contacts/8748051/record/0-2/15759931657", 15759931657)</f>
        <v>15759931657</v>
      </c>
      <c r="L447" s="14" t="s">
        <v>5531</v>
      </c>
      <c r="M447" s="18" t="s">
        <v>5532</v>
      </c>
      <c r="N447" s="14"/>
      <c r="O447" s="14"/>
      <c r="P447" s="14"/>
      <c r="Q447" s="14"/>
      <c r="R447" s="24"/>
      <c r="S447" s="24" t="str">
        <f t="shared" ref="S447:U447" si="448">IF(E447&lt;&gt;"","Yes","")</f>
        <v/>
      </c>
      <c r="T447" s="24" t="str">
        <f t="shared" si="448"/>
        <v/>
      </c>
      <c r="U447" s="24" t="str">
        <f t="shared" si="448"/>
        <v/>
      </c>
      <c r="V447" s="24" t="str">
        <f t="shared" si="3"/>
        <v/>
      </c>
      <c r="W447" s="24" t="str">
        <f t="shared" si="4"/>
        <v/>
      </c>
    </row>
    <row r="448">
      <c r="A448" s="18">
        <f>HYPERLINK("https://app.hubspot.com/contacts/8748051/record/0-1/11209939022", 11209939022)</f>
        <v>11209939022</v>
      </c>
      <c r="B448" s="14" t="s">
        <v>5533</v>
      </c>
      <c r="C448" s="16"/>
      <c r="D448" s="14"/>
      <c r="E448" s="32">
        <v>45393.0</v>
      </c>
      <c r="F448" s="32"/>
      <c r="G448" s="32"/>
      <c r="H448" s="24"/>
      <c r="I448" s="14"/>
      <c r="J448" s="14"/>
      <c r="K448" s="18">
        <f>HYPERLINK("https://app.hubspot.com/contacts/8748051/record/0-2/6262832245", 6262832245)</f>
        <v>6262832245</v>
      </c>
      <c r="L448" s="14" t="s">
        <v>1104</v>
      </c>
      <c r="M448" s="18" t="s">
        <v>1105</v>
      </c>
      <c r="N448" s="14"/>
      <c r="O448" s="14"/>
      <c r="P448" s="14"/>
      <c r="Q448" s="14"/>
      <c r="R448" s="14"/>
      <c r="S448" s="24" t="str">
        <f t="shared" ref="S448:U448" si="449">IF(E448&lt;&gt;"","Yes","")</f>
        <v>Yes</v>
      </c>
      <c r="T448" s="24" t="str">
        <f t="shared" si="449"/>
        <v/>
      </c>
      <c r="U448" s="24" t="str">
        <f t="shared" si="449"/>
        <v/>
      </c>
      <c r="V448" s="24" t="str">
        <f t="shared" si="3"/>
        <v/>
      </c>
      <c r="W448" s="24" t="str">
        <f t="shared" si="4"/>
        <v/>
      </c>
    </row>
    <row r="449">
      <c r="A449" s="18">
        <f>HYPERLINK("https://app.hubspot.com/contacts/8748051/record/0-1/14796511391", 14796511391)</f>
        <v>14796511391</v>
      </c>
      <c r="B449" s="14" t="s">
        <v>5534</v>
      </c>
      <c r="C449" s="16"/>
      <c r="D449" s="14"/>
      <c r="E449" s="32">
        <v>45414.0</v>
      </c>
      <c r="F449" s="32">
        <v>45420.0</v>
      </c>
      <c r="G449" s="32">
        <v>45421.0</v>
      </c>
      <c r="H449" s="14"/>
      <c r="I449" s="24"/>
      <c r="J449" s="24"/>
      <c r="K449" s="18">
        <f>HYPERLINK("https://app.hubspot.com/contacts/8748051/record/0-2/6816508469", 6816508469)</f>
        <v>6816508469</v>
      </c>
      <c r="L449" s="14" t="s">
        <v>1807</v>
      </c>
      <c r="M449" s="18" t="s">
        <v>1808</v>
      </c>
      <c r="N449" s="18">
        <f>HYPERLINK("https://app.hubspot.com/contacts/8748051/record/0-3/19075241630", 19075241630)</f>
        <v>19075241630</v>
      </c>
      <c r="O449" s="14" t="s">
        <v>1804</v>
      </c>
      <c r="P449" s="14" t="s">
        <v>89</v>
      </c>
      <c r="Q449" s="14">
        <v>12500.0</v>
      </c>
      <c r="R449" s="14" t="b">
        <v>1</v>
      </c>
      <c r="S449" s="24" t="str">
        <f t="shared" ref="S449:U449" si="450">IF(E449&lt;&gt;"","Yes","")</f>
        <v>Yes</v>
      </c>
      <c r="T449" s="24" t="str">
        <f t="shared" si="450"/>
        <v>Yes</v>
      </c>
      <c r="U449" s="24" t="str">
        <f t="shared" si="450"/>
        <v>Yes</v>
      </c>
      <c r="V449" s="24" t="str">
        <f t="shared" si="3"/>
        <v>Yes</v>
      </c>
      <c r="W449" s="24" t="str">
        <f t="shared" si="4"/>
        <v/>
      </c>
    </row>
    <row r="450">
      <c r="A450" s="18">
        <f>HYPERLINK("https://app.hubspot.com/contacts/8748051/record/0-1/9992457824", 9992457824)</f>
        <v>9992457824</v>
      </c>
      <c r="B450" s="14" t="s">
        <v>5535</v>
      </c>
      <c r="C450" s="16"/>
      <c r="D450" s="14"/>
      <c r="E450" s="32">
        <v>45388.0</v>
      </c>
      <c r="F450" s="32">
        <v>45425.0</v>
      </c>
      <c r="G450" s="32">
        <v>45427.0</v>
      </c>
      <c r="H450" s="14"/>
      <c r="I450" s="14"/>
      <c r="J450" s="14"/>
      <c r="K450" s="18">
        <f>HYPERLINK("https://app.hubspot.com/contacts/8748051/record/0-2/7691152294", 7691152294)</f>
        <v>7691152294</v>
      </c>
      <c r="L450" s="14" t="s">
        <v>1771</v>
      </c>
      <c r="M450" s="18" t="s">
        <v>1772</v>
      </c>
      <c r="N450" s="18">
        <f>HYPERLINK("https://app.hubspot.com/contacts/8748051/record/0-3/19322825011", 19322825011)</f>
        <v>19322825011</v>
      </c>
      <c r="O450" s="14" t="s">
        <v>1770</v>
      </c>
      <c r="P450" s="14" t="s">
        <v>118</v>
      </c>
      <c r="Q450" s="14">
        <v>90720.0</v>
      </c>
      <c r="R450" s="14"/>
      <c r="S450" s="24" t="str">
        <f t="shared" ref="S450:U450" si="451">IF(E450&lt;&gt;"","Yes","")</f>
        <v>Yes</v>
      </c>
      <c r="T450" s="24" t="str">
        <f t="shared" si="451"/>
        <v>Yes</v>
      </c>
      <c r="U450" s="24" t="str">
        <f t="shared" si="451"/>
        <v>Yes</v>
      </c>
      <c r="V450" s="24" t="str">
        <f t="shared" si="3"/>
        <v/>
      </c>
      <c r="W450" s="24" t="str">
        <f t="shared" si="4"/>
        <v/>
      </c>
    </row>
    <row r="451">
      <c r="A451" s="18">
        <f>HYPERLINK("https://app.hubspot.com/contacts/8748051/record/0-1/9406905175", 9406905175)</f>
        <v>9406905175</v>
      </c>
      <c r="B451" s="14" t="s">
        <v>5536</v>
      </c>
      <c r="C451" s="16"/>
      <c r="D451" s="14"/>
      <c r="E451" s="32">
        <v>45386.0</v>
      </c>
      <c r="F451" s="32">
        <v>45387.0</v>
      </c>
      <c r="G451" s="32">
        <v>45397.0</v>
      </c>
      <c r="H451" s="14"/>
      <c r="I451" s="14"/>
      <c r="J451" s="14"/>
      <c r="K451" s="18">
        <f>HYPERLINK("https://app.hubspot.com/contacts/8748051/record/0-2/18159846809", 18159846809)</f>
        <v>18159846809</v>
      </c>
      <c r="L451" s="14" t="s">
        <v>1910</v>
      </c>
      <c r="M451" s="18" t="s">
        <v>1911</v>
      </c>
      <c r="N451" s="18">
        <f>HYPERLINK("https://app.hubspot.com/contacts/8748051/record/0-3/18607099669", 18607099669)</f>
        <v>18607099669</v>
      </c>
      <c r="O451" s="14" t="s">
        <v>1909</v>
      </c>
      <c r="P451" s="14" t="s">
        <v>118</v>
      </c>
      <c r="Q451" s="14">
        <v>3600.0</v>
      </c>
      <c r="R451" s="24"/>
      <c r="S451" s="24" t="str">
        <f t="shared" ref="S451:U451" si="452">IF(E451&lt;&gt;"","Yes","")</f>
        <v>Yes</v>
      </c>
      <c r="T451" s="24" t="str">
        <f t="shared" si="452"/>
        <v>Yes</v>
      </c>
      <c r="U451" s="24" t="str">
        <f t="shared" si="452"/>
        <v>Yes</v>
      </c>
      <c r="V451" s="24" t="str">
        <f t="shared" si="3"/>
        <v/>
      </c>
      <c r="W451" s="24" t="str">
        <f t="shared" si="4"/>
        <v/>
      </c>
    </row>
    <row r="452">
      <c r="A452" s="18">
        <f>HYPERLINK("https://app.hubspot.com/contacts/8748051/record/0-1/11639068417", 11639068417)</f>
        <v>11639068417</v>
      </c>
      <c r="B452" s="14" t="s">
        <v>5537</v>
      </c>
      <c r="C452" s="16"/>
      <c r="D452" s="14"/>
      <c r="E452" s="32">
        <v>45394.0</v>
      </c>
      <c r="F452" s="32">
        <v>45401.0</v>
      </c>
      <c r="G452" s="32">
        <v>45401.0</v>
      </c>
      <c r="H452" s="14"/>
      <c r="I452" s="14"/>
      <c r="J452" s="14"/>
      <c r="K452" s="18">
        <f>HYPERLINK("https://app.hubspot.com/contacts/8748051/record/0-2/7514178488", 7514178488)</f>
        <v>7514178488</v>
      </c>
      <c r="L452" s="14" t="s">
        <v>1884</v>
      </c>
      <c r="M452" s="18" t="s">
        <v>1885</v>
      </c>
      <c r="N452" s="18">
        <f>HYPERLINK("https://app.hubspot.com/contacts/8748051/record/0-3/18680534870", 18680534870)</f>
        <v>18680534870</v>
      </c>
      <c r="O452" s="14" t="s">
        <v>1883</v>
      </c>
      <c r="P452" s="14" t="s">
        <v>118</v>
      </c>
      <c r="Q452" s="14">
        <v>15840.0</v>
      </c>
      <c r="R452" s="14"/>
      <c r="S452" s="24" t="str">
        <f t="shared" ref="S452:U452" si="453">IF(E452&lt;&gt;"","Yes","")</f>
        <v>Yes</v>
      </c>
      <c r="T452" s="24" t="str">
        <f t="shared" si="453"/>
        <v>Yes</v>
      </c>
      <c r="U452" s="24" t="str">
        <f t="shared" si="453"/>
        <v>Yes</v>
      </c>
      <c r="V452" s="24" t="str">
        <f t="shared" si="3"/>
        <v/>
      </c>
      <c r="W452" s="24" t="str">
        <f t="shared" si="4"/>
        <v/>
      </c>
    </row>
    <row r="453">
      <c r="A453" s="18">
        <f>HYPERLINK("https://app.hubspot.com/contacts/8748051/record/0-1/12504470592", 12504470592)</f>
        <v>12504470592</v>
      </c>
      <c r="B453" s="14" t="s">
        <v>5538</v>
      </c>
      <c r="C453" s="16"/>
      <c r="D453" s="14" t="s">
        <v>4067</v>
      </c>
      <c r="E453" s="32"/>
      <c r="F453" s="32"/>
      <c r="G453" s="32"/>
      <c r="H453" s="14"/>
      <c r="I453" s="14"/>
      <c r="J453" s="14"/>
      <c r="K453" s="18">
        <f>HYPERLINK("https://app.hubspot.com/contacts/8748051/record/0-2/9132283034", 9132283034)</f>
        <v>9132283034</v>
      </c>
      <c r="L453" s="14" t="s">
        <v>5539</v>
      </c>
      <c r="M453" s="18" t="s">
        <v>5540</v>
      </c>
      <c r="N453" s="14"/>
      <c r="O453" s="14"/>
      <c r="P453" s="14"/>
      <c r="Q453" s="14"/>
      <c r="R453" s="14"/>
      <c r="S453" s="24" t="str">
        <f t="shared" ref="S453:U453" si="454">IF(E453&lt;&gt;"","Yes","")</f>
        <v/>
      </c>
      <c r="T453" s="24" t="str">
        <f t="shared" si="454"/>
        <v/>
      </c>
      <c r="U453" s="24" t="str">
        <f t="shared" si="454"/>
        <v/>
      </c>
      <c r="V453" s="24" t="str">
        <f t="shared" si="3"/>
        <v/>
      </c>
      <c r="W453" s="24" t="str">
        <f t="shared" si="4"/>
        <v/>
      </c>
    </row>
    <row r="454">
      <c r="A454" s="18">
        <f>HYPERLINK("https://app.hubspot.com/contacts/8748051/record/0-1/12192598600", 12192598600)</f>
        <v>12192598600</v>
      </c>
      <c r="B454" s="14" t="s">
        <v>5541</v>
      </c>
      <c r="C454" s="16"/>
      <c r="D454" s="16"/>
      <c r="E454" s="32">
        <v>45397.0</v>
      </c>
      <c r="F454" s="32"/>
      <c r="G454" s="32"/>
      <c r="H454" s="14"/>
      <c r="I454" s="14"/>
      <c r="J454" s="14"/>
      <c r="K454" s="18">
        <f>HYPERLINK("https://app.hubspot.com/contacts/8748051/record/0-2/16375856234", 16375856234)</f>
        <v>16375856234</v>
      </c>
      <c r="L454" s="14" t="s">
        <v>5542</v>
      </c>
      <c r="M454" s="18" t="s">
        <v>5543</v>
      </c>
      <c r="N454" s="14"/>
      <c r="O454" s="14"/>
      <c r="P454" s="14"/>
      <c r="Q454" s="14"/>
      <c r="R454" s="14"/>
      <c r="S454" s="24" t="str">
        <f t="shared" ref="S454:U454" si="455">IF(E454&lt;&gt;"","Yes","")</f>
        <v>Yes</v>
      </c>
      <c r="T454" s="24" t="str">
        <f t="shared" si="455"/>
        <v/>
      </c>
      <c r="U454" s="24" t="str">
        <f t="shared" si="455"/>
        <v/>
      </c>
      <c r="V454" s="24" t="str">
        <f t="shared" si="3"/>
        <v/>
      </c>
      <c r="W454" s="24" t="str">
        <f t="shared" si="4"/>
        <v/>
      </c>
    </row>
    <row r="455">
      <c r="A455" s="18">
        <f>HYPERLINK("https://app.hubspot.com/contacts/8748051/record/0-1/18262744106", 18262744106)</f>
        <v>18262744106</v>
      </c>
      <c r="B455" s="14" t="s">
        <v>5544</v>
      </c>
      <c r="C455" s="16"/>
      <c r="D455" s="14"/>
      <c r="E455" s="32">
        <v>45418.0</v>
      </c>
      <c r="F455" s="32"/>
      <c r="G455" s="32"/>
      <c r="H455" s="14"/>
      <c r="I455" s="14"/>
      <c r="J455" s="14"/>
      <c r="K455" s="18">
        <f>HYPERLINK("https://app.hubspot.com/contacts/8748051/record/0-2/18832324162", 18832324162)</f>
        <v>18832324162</v>
      </c>
      <c r="L455" s="14" t="s">
        <v>5227</v>
      </c>
      <c r="M455" s="18" t="s">
        <v>5228</v>
      </c>
      <c r="N455" s="14"/>
      <c r="O455" s="14"/>
      <c r="P455" s="14"/>
      <c r="Q455" s="14"/>
      <c r="R455" s="24"/>
      <c r="S455" s="24" t="str">
        <f t="shared" ref="S455:U455" si="456">IF(E455&lt;&gt;"","Yes","")</f>
        <v>Yes</v>
      </c>
      <c r="T455" s="24" t="str">
        <f t="shared" si="456"/>
        <v/>
      </c>
      <c r="U455" s="24" t="str">
        <f t="shared" si="456"/>
        <v/>
      </c>
      <c r="V455" s="24" t="str">
        <f t="shared" si="3"/>
        <v/>
      </c>
      <c r="W455" s="24" t="str">
        <f t="shared" si="4"/>
        <v/>
      </c>
    </row>
    <row r="456">
      <c r="A456" s="18">
        <f>HYPERLINK("https://app.hubspot.com/contacts/8748051/record/0-1/19580118899", 19580118899)</f>
        <v>19580118899</v>
      </c>
      <c r="B456" s="14" t="s">
        <v>5545</v>
      </c>
      <c r="C456" s="16"/>
      <c r="D456" s="14"/>
      <c r="E456" s="32">
        <v>45420.0</v>
      </c>
      <c r="F456" s="32"/>
      <c r="G456" s="32"/>
      <c r="H456" s="14"/>
      <c r="I456" s="14"/>
      <c r="J456" s="14"/>
      <c r="K456" s="18">
        <f>HYPERLINK("https://app.hubspot.com/contacts/8748051/record/0-2/18003071072", 18003071072)</f>
        <v>18003071072</v>
      </c>
      <c r="L456" s="18" t="s">
        <v>5546</v>
      </c>
      <c r="M456" s="18" t="s">
        <v>5547</v>
      </c>
      <c r="N456" s="14"/>
      <c r="O456" s="14"/>
      <c r="P456" s="14"/>
      <c r="Q456" s="14"/>
      <c r="R456" s="24"/>
      <c r="S456" s="24" t="str">
        <f t="shared" ref="S456:U456" si="457">IF(E456&lt;&gt;"","Yes","")</f>
        <v>Yes</v>
      </c>
      <c r="T456" s="24" t="str">
        <f t="shared" si="457"/>
        <v/>
      </c>
      <c r="U456" s="24" t="str">
        <f t="shared" si="457"/>
        <v/>
      </c>
      <c r="V456" s="24" t="str">
        <f t="shared" si="3"/>
        <v/>
      </c>
      <c r="W456" s="24" t="str">
        <f t="shared" si="4"/>
        <v/>
      </c>
    </row>
    <row r="457">
      <c r="A457" s="18">
        <f>HYPERLINK("https://app.hubspot.com/contacts/8748051/record/0-1/12976880469", 12976880469)</f>
        <v>12976880469</v>
      </c>
      <c r="B457" s="14" t="s">
        <v>5548</v>
      </c>
      <c r="C457" s="16"/>
      <c r="D457" s="16"/>
      <c r="E457" s="32">
        <v>45398.0</v>
      </c>
      <c r="F457" s="32"/>
      <c r="G457" s="32"/>
      <c r="H457" s="14"/>
      <c r="I457" s="24"/>
      <c r="J457" s="24"/>
      <c r="K457" s="18">
        <f>HYPERLINK("https://app.hubspot.com/contacts/8748051/record/0-2/16376157061", 16376157061)</f>
        <v>16376157061</v>
      </c>
      <c r="L457" s="14" t="s">
        <v>5549</v>
      </c>
      <c r="M457" s="18" t="s">
        <v>5550</v>
      </c>
      <c r="N457" s="24"/>
      <c r="O457" s="14"/>
      <c r="P457" s="14"/>
      <c r="Q457" s="14"/>
      <c r="R457" s="14"/>
      <c r="S457" s="24" t="str">
        <f t="shared" ref="S457:U457" si="458">IF(E457&lt;&gt;"","Yes","")</f>
        <v>Yes</v>
      </c>
      <c r="T457" s="24" t="str">
        <f t="shared" si="458"/>
        <v/>
      </c>
      <c r="U457" s="24" t="str">
        <f t="shared" si="458"/>
        <v/>
      </c>
      <c r="V457" s="24" t="str">
        <f t="shared" si="3"/>
        <v/>
      </c>
      <c r="W457" s="24" t="str">
        <f t="shared" si="4"/>
        <v/>
      </c>
    </row>
    <row r="458">
      <c r="A458" s="18">
        <f>HYPERLINK("https://app.hubspot.com/contacts/8748051/record/0-1/10091169829", 10091169829)</f>
        <v>10091169829</v>
      </c>
      <c r="B458" s="14" t="s">
        <v>5551</v>
      </c>
      <c r="C458" s="16"/>
      <c r="D458" s="14"/>
      <c r="E458" s="32">
        <v>45389.0</v>
      </c>
      <c r="F458" s="32">
        <v>45742.0</v>
      </c>
      <c r="G458" s="32">
        <v>45742.0</v>
      </c>
      <c r="H458" s="14"/>
      <c r="I458" s="14"/>
      <c r="J458" s="14"/>
      <c r="K458" s="18">
        <f>HYPERLINK("https://app.hubspot.com/contacts/8748051/record/0-2/8923210761", 8923210761)</f>
        <v>8923210761</v>
      </c>
      <c r="L458" s="14" t="s">
        <v>1187</v>
      </c>
      <c r="M458" s="18" t="s">
        <v>1188</v>
      </c>
      <c r="N458" s="18">
        <f>HYPERLINK("https://app.hubspot.com/contacts/8748051/record/0-3/35043841054", 35043841054)</f>
        <v>35043841054</v>
      </c>
      <c r="O458" s="14" t="s">
        <v>1185</v>
      </c>
      <c r="P458" s="14" t="s">
        <v>124</v>
      </c>
      <c r="Q458" s="14">
        <v>28000.0</v>
      </c>
      <c r="R458" s="14" t="b">
        <v>1</v>
      </c>
      <c r="S458" s="24" t="str">
        <f t="shared" ref="S458:U458" si="459">IF(E458&lt;&gt;"","Yes","")</f>
        <v>Yes</v>
      </c>
      <c r="T458" s="24" t="str">
        <f t="shared" si="459"/>
        <v>Yes</v>
      </c>
      <c r="U458" s="24" t="str">
        <f t="shared" si="459"/>
        <v>Yes</v>
      </c>
      <c r="V458" s="24" t="str">
        <f t="shared" si="3"/>
        <v/>
      </c>
      <c r="W458" s="24" t="str">
        <f t="shared" si="4"/>
        <v/>
      </c>
    </row>
    <row r="459">
      <c r="A459" s="18">
        <f>HYPERLINK("https://app.hubspot.com/contacts/8748051/record/0-1/19379355425", 19379355425)</f>
        <v>19379355425</v>
      </c>
      <c r="B459" s="14" t="s">
        <v>5552</v>
      </c>
      <c r="C459" s="16"/>
      <c r="D459" s="14" t="s">
        <v>4067</v>
      </c>
      <c r="E459" s="32"/>
      <c r="F459" s="32"/>
      <c r="G459" s="32"/>
      <c r="H459" s="14"/>
      <c r="I459" s="14"/>
      <c r="J459" s="14"/>
      <c r="K459" s="18">
        <f>HYPERLINK("https://app.hubspot.com/contacts/8748051/record/0-2/20685293405", 20685293405)</f>
        <v>20685293405</v>
      </c>
      <c r="L459" s="18" t="s">
        <v>5553</v>
      </c>
      <c r="M459" s="18" t="s">
        <v>5553</v>
      </c>
      <c r="N459" s="14"/>
      <c r="O459" s="14"/>
      <c r="P459" s="14"/>
      <c r="Q459" s="14"/>
      <c r="R459" s="14"/>
      <c r="S459" s="24" t="str">
        <f t="shared" ref="S459:U459" si="460">IF(E459&lt;&gt;"","Yes","")</f>
        <v/>
      </c>
      <c r="T459" s="24" t="str">
        <f t="shared" si="460"/>
        <v/>
      </c>
      <c r="U459" s="24" t="str">
        <f t="shared" si="460"/>
        <v/>
      </c>
      <c r="V459" s="24" t="str">
        <f t="shared" si="3"/>
        <v/>
      </c>
      <c r="W459" s="24" t="str">
        <f t="shared" si="4"/>
        <v/>
      </c>
    </row>
    <row r="460">
      <c r="A460" s="18">
        <f>HYPERLINK("https://app.hubspot.com/contacts/8748051/record/0-1/13427569006", 13427569006)</f>
        <v>13427569006</v>
      </c>
      <c r="B460" s="14" t="s">
        <v>5554</v>
      </c>
      <c r="C460" s="16"/>
      <c r="D460" s="14" t="s">
        <v>4067</v>
      </c>
      <c r="E460" s="32"/>
      <c r="F460" s="32"/>
      <c r="G460" s="32"/>
      <c r="H460" s="14"/>
      <c r="I460" s="14"/>
      <c r="J460" s="14"/>
      <c r="K460" s="18">
        <f>HYPERLINK("https://app.hubspot.com/contacts/8748051/record/0-2/9324099237", 9324099237)</f>
        <v>9324099237</v>
      </c>
      <c r="L460" s="14" t="s">
        <v>5555</v>
      </c>
      <c r="M460" s="18" t="s">
        <v>5556</v>
      </c>
      <c r="N460" s="14"/>
      <c r="O460" s="14"/>
      <c r="P460" s="14"/>
      <c r="Q460" s="14"/>
      <c r="R460" s="14"/>
      <c r="S460" s="24" t="str">
        <f t="shared" ref="S460:U460" si="461">IF(E460&lt;&gt;"","Yes","")</f>
        <v/>
      </c>
      <c r="T460" s="24" t="str">
        <f t="shared" si="461"/>
        <v/>
      </c>
      <c r="U460" s="24" t="str">
        <f t="shared" si="461"/>
        <v/>
      </c>
      <c r="V460" s="24" t="str">
        <f t="shared" si="3"/>
        <v/>
      </c>
      <c r="W460" s="24" t="str">
        <f t="shared" si="4"/>
        <v/>
      </c>
    </row>
    <row r="461">
      <c r="A461" s="18">
        <f>HYPERLINK("https://app.hubspot.com/contacts/8748051/record/0-1/10049906105", 10049906105)</f>
        <v>10049906105</v>
      </c>
      <c r="B461" s="14" t="s">
        <v>5557</v>
      </c>
      <c r="C461" s="16"/>
      <c r="D461" s="14" t="s">
        <v>4248</v>
      </c>
      <c r="E461" s="32"/>
      <c r="F461" s="32"/>
      <c r="G461" s="32"/>
      <c r="H461" s="14"/>
      <c r="I461" s="14"/>
      <c r="J461" s="14"/>
      <c r="K461" s="18">
        <f>HYPERLINK("https://app.hubspot.com/contacts/8748051/record/0-2/19176635514", 19176635514)</f>
        <v>19176635514</v>
      </c>
      <c r="L461" s="14" t="s">
        <v>5558</v>
      </c>
      <c r="M461" s="18" t="s">
        <v>5559</v>
      </c>
      <c r="N461" s="14"/>
      <c r="O461" s="14"/>
      <c r="P461" s="14"/>
      <c r="Q461" s="14"/>
      <c r="R461" s="14"/>
      <c r="S461" s="24" t="str">
        <f t="shared" ref="S461:U461" si="462">IF(E461&lt;&gt;"","Yes","")</f>
        <v/>
      </c>
      <c r="T461" s="24" t="str">
        <f t="shared" si="462"/>
        <v/>
      </c>
      <c r="U461" s="24" t="str">
        <f t="shared" si="462"/>
        <v/>
      </c>
      <c r="V461" s="24" t="str">
        <f t="shared" si="3"/>
        <v/>
      </c>
      <c r="W461" s="24" t="str">
        <f t="shared" si="4"/>
        <v/>
      </c>
    </row>
    <row r="462">
      <c r="A462" s="18">
        <f>HYPERLINK("https://app.hubspot.com/contacts/8748051/record/0-1/19367785238", 19367785238)</f>
        <v>19367785238</v>
      </c>
      <c r="B462" s="14" t="s">
        <v>5560</v>
      </c>
      <c r="C462" s="16"/>
      <c r="D462" s="14"/>
      <c r="E462" s="32">
        <v>45420.0</v>
      </c>
      <c r="F462" s="32"/>
      <c r="G462" s="32">
        <v>45426.0</v>
      </c>
      <c r="H462" s="14"/>
      <c r="I462" s="14"/>
      <c r="J462" s="14"/>
      <c r="K462" s="18">
        <f>HYPERLINK("https://app.hubspot.com/contacts/8748051/record/0-2/14810315681", 14810315681)</f>
        <v>14810315681</v>
      </c>
      <c r="L462" s="14" t="s">
        <v>1761</v>
      </c>
      <c r="M462" s="18" t="s">
        <v>1762</v>
      </c>
      <c r="N462" s="18">
        <f>HYPERLINK("https://app.hubspot.com/contacts/8748051/record/0-3/19346662583", 19346662583)</f>
        <v>19346662583</v>
      </c>
      <c r="O462" s="14" t="s">
        <v>1760</v>
      </c>
      <c r="P462" s="14" t="s">
        <v>118</v>
      </c>
      <c r="Q462" s="14">
        <v>15360.0</v>
      </c>
      <c r="R462" s="14"/>
      <c r="S462" s="24" t="str">
        <f t="shared" ref="S462:U462" si="463">IF(E462&lt;&gt;"","Yes","")</f>
        <v>Yes</v>
      </c>
      <c r="T462" s="24" t="str">
        <f t="shared" si="463"/>
        <v/>
      </c>
      <c r="U462" s="24" t="str">
        <f t="shared" si="463"/>
        <v>Yes</v>
      </c>
      <c r="V462" s="24" t="str">
        <f t="shared" si="3"/>
        <v/>
      </c>
      <c r="W462" s="24" t="str">
        <f t="shared" si="4"/>
        <v/>
      </c>
    </row>
    <row r="463">
      <c r="A463" s="18">
        <f>HYPERLINK("https://app.hubspot.com/contacts/8748051/record/0-1/10173658484", 10173658484)</f>
        <v>10173658484</v>
      </c>
      <c r="B463" s="14" t="s">
        <v>5561</v>
      </c>
      <c r="C463" s="16"/>
      <c r="D463" s="14"/>
      <c r="E463" s="32">
        <v>45390.0</v>
      </c>
      <c r="F463" s="24"/>
      <c r="G463" s="24"/>
      <c r="H463" s="14"/>
      <c r="I463" s="24"/>
      <c r="J463" s="24"/>
      <c r="K463" s="18">
        <f>HYPERLINK("https://app.hubspot.com/contacts/8748051/record/0-2/9132283034", 9132283034)</f>
        <v>9132283034</v>
      </c>
      <c r="L463" s="14" t="s">
        <v>5539</v>
      </c>
      <c r="M463" s="18" t="s">
        <v>5540</v>
      </c>
      <c r="N463" s="24"/>
      <c r="O463" s="24"/>
      <c r="P463" s="24"/>
      <c r="Q463" s="24"/>
      <c r="R463" s="24"/>
      <c r="S463" s="24" t="str">
        <f t="shared" ref="S463:U463" si="464">IF(E463&lt;&gt;"","Yes","")</f>
        <v>Yes</v>
      </c>
      <c r="T463" s="24" t="str">
        <f t="shared" si="464"/>
        <v/>
      </c>
      <c r="U463" s="24" t="str">
        <f t="shared" si="464"/>
        <v/>
      </c>
      <c r="V463" s="24" t="str">
        <f t="shared" si="3"/>
        <v/>
      </c>
      <c r="W463" s="24" t="str">
        <f t="shared" si="4"/>
        <v/>
      </c>
    </row>
    <row r="464">
      <c r="A464" s="18">
        <f>HYPERLINK("https://app.hubspot.com/contacts/8748051/record/0-1/14116803123", 14116803123)</f>
        <v>14116803123</v>
      </c>
      <c r="B464" s="14" t="s">
        <v>5562</v>
      </c>
      <c r="C464" s="16"/>
      <c r="D464" s="14"/>
      <c r="E464" s="32">
        <v>45404.0</v>
      </c>
      <c r="F464" s="32"/>
      <c r="G464" s="32"/>
      <c r="H464" s="14"/>
      <c r="I464" s="14"/>
      <c r="J464" s="14"/>
      <c r="K464" s="18">
        <f>HYPERLINK("https://app.hubspot.com/contacts/8748051/record/0-2/9069623823", 9069623823)</f>
        <v>9069623823</v>
      </c>
      <c r="L464" s="14" t="s">
        <v>5563</v>
      </c>
      <c r="M464" s="18" t="s">
        <v>5564</v>
      </c>
      <c r="N464" s="14"/>
      <c r="O464" s="14"/>
      <c r="P464" s="14"/>
      <c r="Q464" s="14"/>
      <c r="R464" s="14"/>
      <c r="S464" s="24" t="str">
        <f t="shared" ref="S464:U464" si="465">IF(E464&lt;&gt;"","Yes","")</f>
        <v>Yes</v>
      </c>
      <c r="T464" s="24" t="str">
        <f t="shared" si="465"/>
        <v/>
      </c>
      <c r="U464" s="24" t="str">
        <f t="shared" si="465"/>
        <v/>
      </c>
      <c r="V464" s="24" t="str">
        <f t="shared" si="3"/>
        <v/>
      </c>
      <c r="W464" s="24" t="str">
        <f t="shared" si="4"/>
        <v/>
      </c>
    </row>
    <row r="465">
      <c r="A465" s="18">
        <f>HYPERLINK("https://app.hubspot.com/contacts/8748051/record/0-1/8989734528", 8989734528)</f>
        <v>8989734528</v>
      </c>
      <c r="B465" s="14" t="s">
        <v>5565</v>
      </c>
      <c r="C465" s="16"/>
      <c r="D465" s="14"/>
      <c r="E465" s="32">
        <v>45386.0</v>
      </c>
      <c r="F465" s="32"/>
      <c r="G465" s="32"/>
      <c r="H465" s="14"/>
      <c r="I465" s="14"/>
      <c r="J465" s="14"/>
      <c r="K465" s="18">
        <f>HYPERLINK("https://app.hubspot.com/contacts/8748051/record/0-2/8323925882", 8323925882)</f>
        <v>8323925882</v>
      </c>
      <c r="L465" s="14" t="s">
        <v>5566</v>
      </c>
      <c r="M465" s="18" t="s">
        <v>5567</v>
      </c>
      <c r="N465" s="14"/>
      <c r="O465" s="14"/>
      <c r="P465" s="14"/>
      <c r="Q465" s="14"/>
      <c r="R465" s="14"/>
      <c r="S465" s="24" t="str">
        <f t="shared" ref="S465:U465" si="466">IF(E465&lt;&gt;"","Yes","")</f>
        <v>Yes</v>
      </c>
      <c r="T465" s="24" t="str">
        <f t="shared" si="466"/>
        <v/>
      </c>
      <c r="U465" s="24" t="str">
        <f t="shared" si="466"/>
        <v/>
      </c>
      <c r="V465" s="24" t="str">
        <f t="shared" si="3"/>
        <v/>
      </c>
      <c r="W465" s="24" t="str">
        <f t="shared" si="4"/>
        <v/>
      </c>
    </row>
    <row r="466">
      <c r="A466" s="18">
        <f>HYPERLINK("https://app.hubspot.com/contacts/8748051/record/0-1/14409118111", 14409118111)</f>
        <v>14409118111</v>
      </c>
      <c r="B466" s="14" t="s">
        <v>5568</v>
      </c>
      <c r="C466" s="16"/>
      <c r="D466" s="14"/>
      <c r="E466" s="32">
        <v>45404.0</v>
      </c>
      <c r="F466" s="32"/>
      <c r="G466" s="32"/>
      <c r="H466" s="14"/>
      <c r="I466" s="24"/>
      <c r="J466" s="24"/>
      <c r="K466" s="18">
        <f>HYPERLINK("https://app.hubspot.com/contacts/8748051/record/0-2/7771501346", 7771501346)</f>
        <v>7771501346</v>
      </c>
      <c r="L466" s="14" t="s">
        <v>5569</v>
      </c>
      <c r="M466" s="18" t="s">
        <v>5570</v>
      </c>
      <c r="N466" s="24"/>
      <c r="O466" s="14"/>
      <c r="P466" s="14"/>
      <c r="Q466" s="14"/>
      <c r="R466" s="24"/>
      <c r="S466" s="24" t="str">
        <f t="shared" ref="S466:U466" si="467">IF(E466&lt;&gt;"","Yes","")</f>
        <v>Yes</v>
      </c>
      <c r="T466" s="24" t="str">
        <f t="shared" si="467"/>
        <v/>
      </c>
      <c r="U466" s="24" t="str">
        <f t="shared" si="467"/>
        <v/>
      </c>
      <c r="V466" s="24" t="str">
        <f t="shared" si="3"/>
        <v/>
      </c>
      <c r="W466" s="24" t="str">
        <f t="shared" si="4"/>
        <v/>
      </c>
    </row>
    <row r="467">
      <c r="A467" s="18">
        <f>HYPERLINK("https://app.hubspot.com/contacts/8748051/record/0-1/11546725537", 11546725537)</f>
        <v>11546725537</v>
      </c>
      <c r="B467" s="14" t="s">
        <v>5571</v>
      </c>
      <c r="C467" s="16"/>
      <c r="D467" s="14"/>
      <c r="E467" s="32">
        <v>45393.0</v>
      </c>
      <c r="F467" s="32"/>
      <c r="G467" s="32"/>
      <c r="H467" s="14"/>
      <c r="I467" s="14"/>
      <c r="J467" s="14"/>
      <c r="K467" s="18">
        <f>HYPERLINK("https://app.hubspot.com/contacts/8748051/record/0-2/19177041273", 19177041273)</f>
        <v>19177041273</v>
      </c>
      <c r="L467" s="14" t="s">
        <v>5572</v>
      </c>
      <c r="M467" s="18" t="s">
        <v>5573</v>
      </c>
      <c r="N467" s="14"/>
      <c r="O467" s="14"/>
      <c r="P467" s="14"/>
      <c r="Q467" s="14"/>
      <c r="R467" s="14"/>
      <c r="S467" s="24" t="str">
        <f t="shared" ref="S467:U467" si="468">IF(E467&lt;&gt;"","Yes","")</f>
        <v>Yes</v>
      </c>
      <c r="T467" s="24" t="str">
        <f t="shared" si="468"/>
        <v/>
      </c>
      <c r="U467" s="24" t="str">
        <f t="shared" si="468"/>
        <v/>
      </c>
      <c r="V467" s="24" t="str">
        <f t="shared" si="3"/>
        <v/>
      </c>
      <c r="W467" s="24" t="str">
        <f t="shared" si="4"/>
        <v/>
      </c>
    </row>
    <row r="468">
      <c r="A468" s="18">
        <f>HYPERLINK("https://app.hubspot.com/contacts/8748051/record/0-1/12623840691", 12623840691)</f>
        <v>12623840691</v>
      </c>
      <c r="B468" s="14" t="s">
        <v>5574</v>
      </c>
      <c r="C468" s="16"/>
      <c r="D468" s="14"/>
      <c r="E468" s="32">
        <v>45398.0</v>
      </c>
      <c r="F468" s="32">
        <v>45400.0</v>
      </c>
      <c r="G468" s="32">
        <v>45400.0</v>
      </c>
      <c r="H468" s="14"/>
      <c r="I468" s="14"/>
      <c r="J468" s="14"/>
      <c r="K468" s="18">
        <f>HYPERLINK("https://app.hubspot.com/contacts/8748051/record/0-2/10198110024", 10198110024)</f>
        <v>10198110024</v>
      </c>
      <c r="L468" s="14" t="s">
        <v>765</v>
      </c>
      <c r="M468" s="18" t="s">
        <v>766</v>
      </c>
      <c r="N468" s="18">
        <f>HYPERLINK("https://app.hubspot.com/contacts/8748051/record/0-3/18712203395", 18712203395)</f>
        <v>18712203395</v>
      </c>
      <c r="O468" s="14" t="s">
        <v>764</v>
      </c>
      <c r="P468" s="14" t="s">
        <v>118</v>
      </c>
      <c r="Q468" s="14">
        <v>10560.0</v>
      </c>
      <c r="R468" s="14"/>
      <c r="S468" s="24" t="str">
        <f t="shared" ref="S468:U468" si="469">IF(E468&lt;&gt;"","Yes","")</f>
        <v>Yes</v>
      </c>
      <c r="T468" s="24" t="str">
        <f t="shared" si="469"/>
        <v>Yes</v>
      </c>
      <c r="U468" s="24" t="str">
        <f t="shared" si="469"/>
        <v>Yes</v>
      </c>
      <c r="V468" s="24" t="str">
        <f t="shared" si="3"/>
        <v/>
      </c>
      <c r="W468" s="24" t="str">
        <f t="shared" si="4"/>
        <v/>
      </c>
    </row>
    <row r="469">
      <c r="A469" s="18">
        <f>HYPERLINK("https://app.hubspot.com/contacts/8748051/record/0-1/12184522760", 12184522760)</f>
        <v>12184522760</v>
      </c>
      <c r="B469" s="14" t="s">
        <v>5575</v>
      </c>
      <c r="C469" s="16"/>
      <c r="D469" s="16"/>
      <c r="E469" s="32">
        <v>45397.0</v>
      </c>
      <c r="F469" s="32">
        <v>45407.0</v>
      </c>
      <c r="G469" s="32">
        <v>45407.0</v>
      </c>
      <c r="H469" s="14"/>
      <c r="I469" s="14"/>
      <c r="J469" s="14"/>
      <c r="K469" s="18">
        <f>HYPERLINK("https://app.hubspot.com/contacts/8748051/record/0-2/32765657906", 32765657906)</f>
        <v>32765657906</v>
      </c>
      <c r="L469" s="14" t="s">
        <v>1893</v>
      </c>
      <c r="M469" s="18" t="s">
        <v>1894</v>
      </c>
      <c r="N469" s="18">
        <f>HYPERLINK("https://app.hubspot.com/contacts/8748051/record/0-3/18658723757", 18658723757)</f>
        <v>18658723757</v>
      </c>
      <c r="O469" s="14" t="s">
        <v>1892</v>
      </c>
      <c r="P469" s="14" t="s">
        <v>118</v>
      </c>
      <c r="Q469" s="14">
        <v>11760.0</v>
      </c>
      <c r="R469" s="24"/>
      <c r="S469" s="24" t="str">
        <f t="shared" ref="S469:U469" si="470">IF(E469&lt;&gt;"","Yes","")</f>
        <v>Yes</v>
      </c>
      <c r="T469" s="24" t="str">
        <f t="shared" si="470"/>
        <v>Yes</v>
      </c>
      <c r="U469" s="24" t="str">
        <f t="shared" si="470"/>
        <v>Yes</v>
      </c>
      <c r="V469" s="24" t="str">
        <f t="shared" si="3"/>
        <v/>
      </c>
      <c r="W469" s="24" t="str">
        <f t="shared" si="4"/>
        <v/>
      </c>
    </row>
    <row r="470">
      <c r="A470" s="18">
        <f>HYPERLINK("https://app.hubspot.com/contacts/8748051/record/0-1/13546183312", 13546183312)</f>
        <v>13546183312</v>
      </c>
      <c r="B470" s="14" t="s">
        <v>5576</v>
      </c>
      <c r="C470" s="16"/>
      <c r="D470" s="16"/>
      <c r="E470" s="32">
        <v>45439.0</v>
      </c>
      <c r="F470" s="32"/>
      <c r="G470" s="32"/>
      <c r="H470" s="14"/>
      <c r="I470" s="14"/>
      <c r="J470" s="14"/>
      <c r="K470" s="18">
        <f>HYPERLINK("https://app.hubspot.com/contacts/8748051/record/0-2/7060901189", 7060901189)</f>
        <v>7060901189</v>
      </c>
      <c r="L470" s="14" t="s">
        <v>5577</v>
      </c>
      <c r="M470" s="18" t="s">
        <v>5578</v>
      </c>
      <c r="N470" s="14"/>
      <c r="O470" s="14"/>
      <c r="P470" s="14"/>
      <c r="Q470" s="14"/>
      <c r="R470" s="24"/>
      <c r="S470" s="24" t="str">
        <f t="shared" ref="S470:U470" si="471">IF(E470&lt;&gt;"","Yes","")</f>
        <v>Yes</v>
      </c>
      <c r="T470" s="24" t="str">
        <f t="shared" si="471"/>
        <v/>
      </c>
      <c r="U470" s="24" t="str">
        <f t="shared" si="471"/>
        <v/>
      </c>
      <c r="V470" s="24" t="str">
        <f t="shared" si="3"/>
        <v/>
      </c>
      <c r="W470" s="24" t="str">
        <f t="shared" si="4"/>
        <v/>
      </c>
    </row>
    <row r="471">
      <c r="A471" s="18">
        <f>HYPERLINK("https://app.hubspot.com/contacts/8748051/record/0-1/15943632662", 15943632662)</f>
        <v>15943632662</v>
      </c>
      <c r="B471" s="14" t="s">
        <v>5579</v>
      </c>
      <c r="C471" s="16"/>
      <c r="D471" s="14" t="s">
        <v>5580</v>
      </c>
      <c r="E471" s="32"/>
      <c r="F471" s="32"/>
      <c r="G471" s="32"/>
      <c r="H471" s="14"/>
      <c r="I471" s="14"/>
      <c r="J471" s="14"/>
      <c r="K471" s="18">
        <f>HYPERLINK("https://app.hubspot.com/contacts/8748051/record/0-2/20470570779", 20470570779)</f>
        <v>20470570779</v>
      </c>
      <c r="L471" s="14" t="s">
        <v>5581</v>
      </c>
      <c r="M471" s="18" t="s">
        <v>5582</v>
      </c>
      <c r="N471" s="14"/>
      <c r="O471" s="14"/>
      <c r="P471" s="14"/>
      <c r="Q471" s="14"/>
      <c r="R471" s="24"/>
      <c r="S471" s="24" t="str">
        <f t="shared" ref="S471:U471" si="472">IF(E471&lt;&gt;"","Yes","")</f>
        <v/>
      </c>
      <c r="T471" s="24" t="str">
        <f t="shared" si="472"/>
        <v/>
      </c>
      <c r="U471" s="24" t="str">
        <f t="shared" si="472"/>
        <v/>
      </c>
      <c r="V471" s="24" t="str">
        <f t="shared" si="3"/>
        <v/>
      </c>
      <c r="W471" s="24" t="str">
        <f t="shared" si="4"/>
        <v/>
      </c>
    </row>
    <row r="472">
      <c r="A472" s="18">
        <f>HYPERLINK("https://app.hubspot.com/contacts/8748051/record/0-1/18306543873", 18306543873)</f>
        <v>18306543873</v>
      </c>
      <c r="B472" s="14" t="s">
        <v>5583</v>
      </c>
      <c r="C472" s="16"/>
      <c r="D472" s="16"/>
      <c r="E472" s="32">
        <v>45418.0</v>
      </c>
      <c r="F472" s="32">
        <v>45449.0</v>
      </c>
      <c r="G472" s="32"/>
      <c r="H472" s="14"/>
      <c r="I472" s="24"/>
      <c r="J472" s="24"/>
      <c r="K472" s="18">
        <f>HYPERLINK("https://app.hubspot.com/contacts/8748051/record/0-2/14811280198", 14811280198)</f>
        <v>14811280198</v>
      </c>
      <c r="L472" s="14" t="s">
        <v>1665</v>
      </c>
      <c r="M472" s="18" t="s">
        <v>1666</v>
      </c>
      <c r="N472" s="24"/>
      <c r="O472" s="14"/>
      <c r="P472" s="14"/>
      <c r="Q472" s="14"/>
      <c r="R472" s="24"/>
      <c r="S472" s="24" t="str">
        <f t="shared" ref="S472:U472" si="473">IF(E472&lt;&gt;"","Yes","")</f>
        <v>Yes</v>
      </c>
      <c r="T472" s="24" t="str">
        <f t="shared" si="473"/>
        <v>Yes</v>
      </c>
      <c r="U472" s="24" t="str">
        <f t="shared" si="473"/>
        <v/>
      </c>
      <c r="V472" s="24" t="str">
        <f t="shared" si="3"/>
        <v/>
      </c>
      <c r="W472" s="24" t="str">
        <f t="shared" si="4"/>
        <v/>
      </c>
    </row>
    <row r="473">
      <c r="A473" s="18">
        <f>HYPERLINK("https://app.hubspot.com/contacts/8748051/record/0-1/8695126017", 8695126017)</f>
        <v>8695126017</v>
      </c>
      <c r="B473" s="14" t="s">
        <v>5584</v>
      </c>
      <c r="C473" s="16"/>
      <c r="D473" s="14"/>
      <c r="E473" s="32">
        <v>45386.0</v>
      </c>
      <c r="F473" s="32"/>
      <c r="G473" s="32"/>
      <c r="H473" s="14"/>
      <c r="I473" s="14"/>
      <c r="J473" s="14"/>
      <c r="K473" s="18">
        <f>HYPERLINK("https://app.hubspot.com/contacts/8748051/record/0-2/7842665761", 7842665761)</f>
        <v>7842665761</v>
      </c>
      <c r="L473" s="14" t="s">
        <v>5585</v>
      </c>
      <c r="M473" s="18" t="s">
        <v>5586</v>
      </c>
      <c r="N473" s="14"/>
      <c r="O473" s="14"/>
      <c r="P473" s="14"/>
      <c r="Q473" s="14"/>
      <c r="R473" s="14"/>
      <c r="S473" s="24" t="str">
        <f t="shared" ref="S473:U473" si="474">IF(E473&lt;&gt;"","Yes","")</f>
        <v>Yes</v>
      </c>
      <c r="T473" s="24" t="str">
        <f t="shared" si="474"/>
        <v/>
      </c>
      <c r="U473" s="24" t="str">
        <f t="shared" si="474"/>
        <v/>
      </c>
      <c r="V473" s="24" t="str">
        <f t="shared" si="3"/>
        <v/>
      </c>
      <c r="W473" s="24" t="str">
        <f t="shared" si="4"/>
        <v/>
      </c>
    </row>
    <row r="474">
      <c r="A474" s="18">
        <f>HYPERLINK("https://app.hubspot.com/contacts/8748051/record/0-1/19051843333", 19051843333)</f>
        <v>19051843333</v>
      </c>
      <c r="B474" s="14" t="s">
        <v>5587</v>
      </c>
      <c r="C474" s="16"/>
      <c r="D474" s="14"/>
      <c r="E474" s="32">
        <v>45419.0</v>
      </c>
      <c r="F474" s="32"/>
      <c r="G474" s="32"/>
      <c r="H474" s="14"/>
      <c r="I474" s="14"/>
      <c r="J474" s="14"/>
      <c r="K474" s="18">
        <f>HYPERLINK("https://app.hubspot.com/contacts/8748051/record/0-2/15167998099", 15167998099)</f>
        <v>15167998099</v>
      </c>
      <c r="L474" s="14" t="s">
        <v>5588</v>
      </c>
      <c r="M474" s="18" t="s">
        <v>5589</v>
      </c>
      <c r="N474" s="14"/>
      <c r="O474" s="14"/>
      <c r="P474" s="14"/>
      <c r="Q474" s="14"/>
      <c r="R474" s="14"/>
      <c r="S474" s="24" t="str">
        <f t="shared" ref="S474:U474" si="475">IF(E474&lt;&gt;"","Yes","")</f>
        <v>Yes</v>
      </c>
      <c r="T474" s="24" t="str">
        <f t="shared" si="475"/>
        <v/>
      </c>
      <c r="U474" s="24" t="str">
        <f t="shared" si="475"/>
        <v/>
      </c>
      <c r="V474" s="24" t="str">
        <f t="shared" si="3"/>
        <v/>
      </c>
      <c r="W474" s="24" t="str">
        <f t="shared" si="4"/>
        <v/>
      </c>
    </row>
    <row r="475">
      <c r="A475" s="18">
        <f>HYPERLINK("https://app.hubspot.com/contacts/8748051/record/0-1/10647253344", 10647253344)</f>
        <v>10647253344</v>
      </c>
      <c r="B475" s="14" t="s">
        <v>5590</v>
      </c>
      <c r="C475" s="16"/>
      <c r="D475" s="14"/>
      <c r="E475" s="32">
        <v>45391.0</v>
      </c>
      <c r="F475" s="32">
        <v>45425.0</v>
      </c>
      <c r="G475" s="32">
        <v>45425.0</v>
      </c>
      <c r="H475" s="14"/>
      <c r="I475" s="14"/>
      <c r="J475" s="14"/>
      <c r="K475" s="18">
        <f>HYPERLINK("https://app.hubspot.com/contacts/8748051/record/0-2/6816717199", 6816717199)</f>
        <v>6816717199</v>
      </c>
      <c r="L475" s="14" t="s">
        <v>1768</v>
      </c>
      <c r="M475" s="18" t="s">
        <v>1769</v>
      </c>
      <c r="N475" s="18">
        <f>HYPERLINK("https://app.hubspot.com/contacts/8748051/record/0-3/19326413229", 19326413229)</f>
        <v>19326413229</v>
      </c>
      <c r="O475" s="14" t="s">
        <v>1766</v>
      </c>
      <c r="P475" s="14" t="s">
        <v>124</v>
      </c>
      <c r="Q475" s="14">
        <v>6000.0</v>
      </c>
      <c r="R475" s="14" t="b">
        <v>1</v>
      </c>
      <c r="S475" s="24" t="str">
        <f t="shared" ref="S475:U475" si="476">IF(E475&lt;&gt;"","Yes","")</f>
        <v>Yes</v>
      </c>
      <c r="T475" s="24" t="str">
        <f t="shared" si="476"/>
        <v>Yes</v>
      </c>
      <c r="U475" s="24" t="str">
        <f t="shared" si="476"/>
        <v>Yes</v>
      </c>
      <c r="V475" s="24" t="str">
        <f t="shared" si="3"/>
        <v/>
      </c>
      <c r="W475" s="24" t="str">
        <f t="shared" si="4"/>
        <v/>
      </c>
    </row>
    <row r="476">
      <c r="A476" s="18">
        <f>HYPERLINK("https://app.hubspot.com/contacts/8748051/record/0-1/11140797807", 11140797807)</f>
        <v>11140797807</v>
      </c>
      <c r="B476" s="14" t="s">
        <v>5591</v>
      </c>
      <c r="C476" s="16"/>
      <c r="D476" s="14" t="s">
        <v>5592</v>
      </c>
      <c r="E476" s="32"/>
      <c r="F476" s="32"/>
      <c r="G476" s="32"/>
      <c r="H476" s="14"/>
      <c r="I476" s="14"/>
      <c r="J476" s="14"/>
      <c r="K476" s="18">
        <f>HYPERLINK("https://app.hubspot.com/contacts/8748051/record/0-2/15783183189", 15783183189)</f>
        <v>15783183189</v>
      </c>
      <c r="L476" s="14" t="s">
        <v>5221</v>
      </c>
      <c r="M476" s="18" t="s">
        <v>5222</v>
      </c>
      <c r="N476" s="14"/>
      <c r="O476" s="14"/>
      <c r="P476" s="14"/>
      <c r="Q476" s="14"/>
      <c r="R476" s="14"/>
      <c r="S476" s="24" t="str">
        <f t="shared" ref="S476:U476" si="477">IF(E476&lt;&gt;"","Yes","")</f>
        <v/>
      </c>
      <c r="T476" s="24" t="str">
        <f t="shared" si="477"/>
        <v/>
      </c>
      <c r="U476" s="24" t="str">
        <f t="shared" si="477"/>
        <v/>
      </c>
      <c r="V476" s="24" t="str">
        <f t="shared" si="3"/>
        <v/>
      </c>
      <c r="W476" s="24" t="str">
        <f t="shared" si="4"/>
        <v/>
      </c>
    </row>
    <row r="477">
      <c r="A477" s="18">
        <f>HYPERLINK("https://app.hubspot.com/contacts/8748051/record/0-1/15560644631", 15560644631)</f>
        <v>15560644631</v>
      </c>
      <c r="B477" s="14" t="s">
        <v>5593</v>
      </c>
      <c r="C477" s="16"/>
      <c r="D477" s="14"/>
      <c r="E477" s="32">
        <v>45407.0</v>
      </c>
      <c r="F477" s="32"/>
      <c r="G477" s="32"/>
      <c r="H477" s="14"/>
      <c r="I477" s="24"/>
      <c r="J477" s="24"/>
      <c r="K477" s="18">
        <f>HYPERLINK("https://app.hubspot.com/contacts/8748051/record/0-2/10038658312", 10038658312)</f>
        <v>10038658312</v>
      </c>
      <c r="L477" s="14" t="s">
        <v>5594</v>
      </c>
      <c r="M477" s="18" t="s">
        <v>5595</v>
      </c>
      <c r="N477" s="24"/>
      <c r="O477" s="14"/>
      <c r="P477" s="14"/>
      <c r="Q477" s="14"/>
      <c r="R477" s="14"/>
      <c r="S477" s="24" t="str">
        <f t="shared" ref="S477:U477" si="478">IF(E477&lt;&gt;"","Yes","")</f>
        <v>Yes</v>
      </c>
      <c r="T477" s="24" t="str">
        <f t="shared" si="478"/>
        <v/>
      </c>
      <c r="U477" s="24" t="str">
        <f t="shared" si="478"/>
        <v/>
      </c>
      <c r="V477" s="24" t="str">
        <f t="shared" si="3"/>
        <v/>
      </c>
      <c r="W477" s="24" t="str">
        <f t="shared" si="4"/>
        <v/>
      </c>
    </row>
    <row r="478">
      <c r="A478" s="18">
        <f>HYPERLINK("https://app.hubspot.com/contacts/8748051/record/0-1/18672869284", 18672869284)</f>
        <v>18672869284</v>
      </c>
      <c r="B478" s="14" t="s">
        <v>5596</v>
      </c>
      <c r="C478" s="16"/>
      <c r="D478" s="14"/>
      <c r="E478" s="32">
        <v>45418.0</v>
      </c>
      <c r="F478" s="32">
        <v>45420.0</v>
      </c>
      <c r="G478" s="32">
        <v>45420.0</v>
      </c>
      <c r="H478" s="14"/>
      <c r="I478" s="24"/>
      <c r="J478" s="24"/>
      <c r="K478" s="18">
        <f>HYPERLINK("https://app.hubspot.com/contacts/8748051/record/0-2/7941851257", 7941851257)</f>
        <v>7941851257</v>
      </c>
      <c r="L478" s="14" t="s">
        <v>1784</v>
      </c>
      <c r="M478" s="18" t="s">
        <v>1785</v>
      </c>
      <c r="N478" s="23">
        <f>HYPERLINK("https://app.hubspot.com/contacts/8748051/record/0-3/19195638288", 19195638288)</f>
        <v>19195638288</v>
      </c>
      <c r="O478" s="14" t="s">
        <v>1783</v>
      </c>
      <c r="P478" s="14" t="s">
        <v>124</v>
      </c>
      <c r="Q478" s="14">
        <v>29200.0</v>
      </c>
      <c r="R478" s="14" t="b">
        <v>1</v>
      </c>
      <c r="S478" s="24" t="str">
        <f t="shared" ref="S478:U478" si="479">IF(E478&lt;&gt;"","Yes","")</f>
        <v>Yes</v>
      </c>
      <c r="T478" s="24" t="str">
        <f t="shared" si="479"/>
        <v>Yes</v>
      </c>
      <c r="U478" s="24" t="str">
        <f t="shared" si="479"/>
        <v>Yes</v>
      </c>
      <c r="V478" s="24" t="str">
        <f t="shared" si="3"/>
        <v/>
      </c>
      <c r="W478" s="24" t="str">
        <f t="shared" si="4"/>
        <v/>
      </c>
    </row>
    <row r="479">
      <c r="A479" s="18">
        <f>HYPERLINK("https://app.hubspot.com/contacts/8748051/record/0-1/9784468043", 9784468043)</f>
        <v>9784468043</v>
      </c>
      <c r="B479" s="14" t="s">
        <v>5597</v>
      </c>
      <c r="C479" s="16"/>
      <c r="D479" s="14"/>
      <c r="E479" s="32">
        <v>45387.0</v>
      </c>
      <c r="F479" s="32">
        <v>45398.0</v>
      </c>
      <c r="G479" s="32">
        <v>45398.0</v>
      </c>
      <c r="H479" s="14"/>
      <c r="I479" s="14"/>
      <c r="J479" s="14"/>
      <c r="K479" s="18">
        <f>HYPERLINK("https://app.hubspot.com/contacts/8748051/record/0-2/19176609119", 19176609119)</f>
        <v>19176609119</v>
      </c>
      <c r="L479" s="14" t="s">
        <v>1273</v>
      </c>
      <c r="M479" s="18" t="s">
        <v>1274</v>
      </c>
      <c r="N479" s="18">
        <f>HYPERLINK("https://app.hubspot.com/contacts/8748051/record/0-3/18657370719", 18657370719)</f>
        <v>18657370719</v>
      </c>
      <c r="O479" s="14" t="s">
        <v>1898</v>
      </c>
      <c r="P479" s="14" t="s">
        <v>118</v>
      </c>
      <c r="Q479" s="14">
        <v>2160.0</v>
      </c>
      <c r="R479" s="14"/>
      <c r="S479" s="24" t="str">
        <f t="shared" ref="S479:U479" si="480">IF(E479&lt;&gt;"","Yes","")</f>
        <v>Yes</v>
      </c>
      <c r="T479" s="24" t="str">
        <f t="shared" si="480"/>
        <v>Yes</v>
      </c>
      <c r="U479" s="24" t="str">
        <f t="shared" si="480"/>
        <v>Yes</v>
      </c>
      <c r="V479" s="24" t="str">
        <f t="shared" si="3"/>
        <v/>
      </c>
      <c r="W479" s="24" t="str">
        <f t="shared" si="4"/>
        <v/>
      </c>
    </row>
    <row r="480">
      <c r="A480" s="18">
        <f>HYPERLINK("https://app.hubspot.com/contacts/8748051/record/0-1/8683143312", 8683143312)</f>
        <v>8683143312</v>
      </c>
      <c r="B480" s="14" t="s">
        <v>5598</v>
      </c>
      <c r="C480" s="16"/>
      <c r="D480" s="14"/>
      <c r="E480" s="32">
        <v>45385.0</v>
      </c>
      <c r="F480" s="32"/>
      <c r="G480" s="32"/>
      <c r="H480" s="14"/>
      <c r="I480" s="14"/>
      <c r="J480" s="14"/>
      <c r="K480" s="18">
        <f>HYPERLINK("https://app.hubspot.com/contacts/8748051/record/0-2/19176228654", 19176228654)</f>
        <v>19176228654</v>
      </c>
      <c r="L480" s="14" t="s">
        <v>5599</v>
      </c>
      <c r="M480" s="18" t="s">
        <v>5600</v>
      </c>
      <c r="N480" s="14"/>
      <c r="O480" s="14"/>
      <c r="P480" s="14"/>
      <c r="Q480" s="14"/>
      <c r="R480" s="24"/>
      <c r="S480" s="24" t="str">
        <f t="shared" ref="S480:U480" si="481">IF(E480&lt;&gt;"","Yes","")</f>
        <v>Yes</v>
      </c>
      <c r="T480" s="24" t="str">
        <f t="shared" si="481"/>
        <v/>
      </c>
      <c r="U480" s="24" t="str">
        <f t="shared" si="481"/>
        <v/>
      </c>
      <c r="V480" s="24" t="str">
        <f t="shared" si="3"/>
        <v/>
      </c>
      <c r="W480" s="24" t="str">
        <f t="shared" si="4"/>
        <v/>
      </c>
    </row>
    <row r="481">
      <c r="A481" s="18">
        <f>HYPERLINK("https://app.hubspot.com/contacts/8748051/record/0-1/10205718389", 10205718389)</f>
        <v>10205718389</v>
      </c>
      <c r="B481" s="14" t="s">
        <v>5601</v>
      </c>
      <c r="C481" s="16"/>
      <c r="D481" s="14"/>
      <c r="E481" s="32">
        <v>45390.0</v>
      </c>
      <c r="F481" s="32">
        <v>45400.0</v>
      </c>
      <c r="G481" s="32">
        <v>45400.0</v>
      </c>
      <c r="H481" s="14"/>
      <c r="I481" s="14"/>
      <c r="J481" s="14"/>
      <c r="K481" s="18">
        <f>HYPERLINK("https://app.hubspot.com/contacts/8748051/record/0-2/7940842543", 7940842543)</f>
        <v>7940842543</v>
      </c>
      <c r="L481" s="14" t="s">
        <v>1876</v>
      </c>
      <c r="M481" s="18" t="s">
        <v>1877</v>
      </c>
      <c r="N481" s="18">
        <f>HYPERLINK("https://app.hubspot.com/contacts/8748051/record/0-3/18706132882", 18706132882)</f>
        <v>18706132882</v>
      </c>
      <c r="O481" s="14" t="s">
        <v>1875</v>
      </c>
      <c r="P481" s="14" t="s">
        <v>118</v>
      </c>
      <c r="Q481" s="14">
        <v>6480.0</v>
      </c>
      <c r="R481" s="14"/>
      <c r="S481" s="24" t="str">
        <f t="shared" ref="S481:U481" si="482">IF(E481&lt;&gt;"","Yes","")</f>
        <v>Yes</v>
      </c>
      <c r="T481" s="24" t="str">
        <f t="shared" si="482"/>
        <v>Yes</v>
      </c>
      <c r="U481" s="24" t="str">
        <f t="shared" si="482"/>
        <v>Yes</v>
      </c>
      <c r="V481" s="24" t="str">
        <f t="shared" si="3"/>
        <v/>
      </c>
      <c r="W481" s="24" t="str">
        <f t="shared" si="4"/>
        <v/>
      </c>
    </row>
    <row r="482">
      <c r="A482" s="18">
        <f>HYPERLINK("https://app.hubspot.com/contacts/8748051/record/0-1/18275762339", 18275762339)</f>
        <v>18275762339</v>
      </c>
      <c r="B482" s="14" t="s">
        <v>5602</v>
      </c>
      <c r="C482" s="16"/>
      <c r="D482" s="14"/>
      <c r="E482" s="32">
        <v>45416.0</v>
      </c>
      <c r="F482" s="32"/>
      <c r="G482" s="32"/>
      <c r="H482" s="14"/>
      <c r="I482" s="14"/>
      <c r="J482" s="14"/>
      <c r="K482" s="18">
        <f>HYPERLINK("https://app.hubspot.com/contacts/8748051/record/0-2/9597137504", 9597137504)</f>
        <v>9597137504</v>
      </c>
      <c r="L482" s="14" t="s">
        <v>5603</v>
      </c>
      <c r="M482" s="18" t="s">
        <v>5604</v>
      </c>
      <c r="N482" s="14"/>
      <c r="O482" s="14"/>
      <c r="P482" s="14"/>
      <c r="Q482" s="14"/>
      <c r="R482" s="14"/>
      <c r="S482" s="24" t="str">
        <f t="shared" ref="S482:U482" si="483">IF(E482&lt;&gt;"","Yes","")</f>
        <v>Yes</v>
      </c>
      <c r="T482" s="24" t="str">
        <f t="shared" si="483"/>
        <v/>
      </c>
      <c r="U482" s="24" t="str">
        <f t="shared" si="483"/>
        <v/>
      </c>
      <c r="V482" s="24" t="str">
        <f t="shared" si="3"/>
        <v/>
      </c>
      <c r="W482" s="24" t="str">
        <f t="shared" si="4"/>
        <v/>
      </c>
    </row>
    <row r="483">
      <c r="A483" s="18">
        <f>HYPERLINK("https://app.hubspot.com/contacts/8748051/record/0-1/11887432371", 11887432371)</f>
        <v>11887432371</v>
      </c>
      <c r="B483" s="14" t="s">
        <v>5605</v>
      </c>
      <c r="C483" s="16"/>
      <c r="D483" s="14" t="s">
        <v>4248</v>
      </c>
      <c r="E483" s="32"/>
      <c r="F483" s="32"/>
      <c r="G483" s="32"/>
      <c r="H483" s="14"/>
      <c r="I483" s="14"/>
      <c r="J483" s="14"/>
      <c r="K483" s="18">
        <f>HYPERLINK("https://app.hubspot.com/contacts/8748051/record/0-2/8324013689", 8324013689)</f>
        <v>8324013689</v>
      </c>
      <c r="L483" s="14" t="s">
        <v>1609</v>
      </c>
      <c r="M483" s="18" t="s">
        <v>1610</v>
      </c>
      <c r="N483" s="14"/>
      <c r="O483" s="14"/>
      <c r="P483" s="14"/>
      <c r="Q483" s="14"/>
      <c r="R483" s="14"/>
      <c r="S483" s="24" t="str">
        <f t="shared" ref="S483:U483" si="484">IF(E483&lt;&gt;"","Yes","")</f>
        <v/>
      </c>
      <c r="T483" s="24" t="str">
        <f t="shared" si="484"/>
        <v/>
      </c>
      <c r="U483" s="24" t="str">
        <f t="shared" si="484"/>
        <v/>
      </c>
      <c r="V483" s="24" t="str">
        <f t="shared" si="3"/>
        <v/>
      </c>
      <c r="W483" s="24" t="str">
        <f t="shared" si="4"/>
        <v/>
      </c>
    </row>
    <row r="484">
      <c r="A484" s="18">
        <f>HYPERLINK("https://app.hubspot.com/contacts/8748051/record/0-1/17059993640", 17059993640)</f>
        <v>17059993640</v>
      </c>
      <c r="B484" s="14" t="s">
        <v>5606</v>
      </c>
      <c r="C484" s="16"/>
      <c r="D484" s="14"/>
      <c r="E484" s="32">
        <v>45412.0</v>
      </c>
      <c r="F484" s="32"/>
      <c r="G484" s="32"/>
      <c r="H484" s="14"/>
      <c r="I484" s="14"/>
      <c r="J484" s="14"/>
      <c r="K484" s="18">
        <f>HYPERLINK("https://app.hubspot.com/contacts/8748051/record/0-2/8340645644", 8340645644)</f>
        <v>8340645644</v>
      </c>
      <c r="L484" s="14" t="s">
        <v>5607</v>
      </c>
      <c r="M484" s="18" t="s">
        <v>5608</v>
      </c>
      <c r="N484" s="14"/>
      <c r="O484" s="14"/>
      <c r="P484" s="14"/>
      <c r="Q484" s="14"/>
      <c r="R484" s="14"/>
      <c r="S484" s="24" t="str">
        <f t="shared" ref="S484:U484" si="485">IF(E484&lt;&gt;"","Yes","")</f>
        <v>Yes</v>
      </c>
      <c r="T484" s="24" t="str">
        <f t="shared" si="485"/>
        <v/>
      </c>
      <c r="U484" s="24" t="str">
        <f t="shared" si="485"/>
        <v/>
      </c>
      <c r="V484" s="24" t="str">
        <f t="shared" si="3"/>
        <v/>
      </c>
      <c r="W484" s="24" t="str">
        <f t="shared" si="4"/>
        <v/>
      </c>
    </row>
    <row r="485">
      <c r="A485" s="18">
        <f>HYPERLINK("https://app.hubspot.com/contacts/8748051/record/0-1/14079700998", 14079700998)</f>
        <v>14079700998</v>
      </c>
      <c r="B485" s="14" t="s">
        <v>5609</v>
      </c>
      <c r="C485" s="16"/>
      <c r="D485" s="14" t="s">
        <v>4067</v>
      </c>
      <c r="E485" s="32"/>
      <c r="F485" s="32"/>
      <c r="G485" s="32"/>
      <c r="H485" s="14"/>
      <c r="I485" s="14"/>
      <c r="J485" s="14"/>
      <c r="K485" s="18">
        <f>HYPERLINK("https://app.hubspot.com/contacts/8748051/record/0-2/19176272211", 19176272211)</f>
        <v>19176272211</v>
      </c>
      <c r="L485" s="14" t="s">
        <v>5610</v>
      </c>
      <c r="M485" s="18" t="s">
        <v>5611</v>
      </c>
      <c r="N485" s="14"/>
      <c r="O485" s="14"/>
      <c r="P485" s="14"/>
      <c r="Q485" s="14"/>
      <c r="R485" s="14"/>
      <c r="S485" s="24" t="str">
        <f t="shared" ref="S485:U485" si="486">IF(E485&lt;&gt;"","Yes","")</f>
        <v/>
      </c>
      <c r="T485" s="24" t="str">
        <f t="shared" si="486"/>
        <v/>
      </c>
      <c r="U485" s="24" t="str">
        <f t="shared" si="486"/>
        <v/>
      </c>
      <c r="V485" s="24" t="str">
        <f t="shared" si="3"/>
        <v/>
      </c>
      <c r="W485" s="24" t="str">
        <f t="shared" si="4"/>
        <v/>
      </c>
    </row>
    <row r="486">
      <c r="A486" s="18">
        <f>HYPERLINK("https://app.hubspot.com/contacts/8748051/record/0-1/13976344697", 13976344697)</f>
        <v>13976344697</v>
      </c>
      <c r="B486" s="14" t="s">
        <v>5612</v>
      </c>
      <c r="C486" s="16"/>
      <c r="D486" s="16"/>
      <c r="E486" s="32">
        <v>45404.0</v>
      </c>
      <c r="F486" s="32"/>
      <c r="G486" s="32"/>
      <c r="H486" s="14"/>
      <c r="I486" s="14"/>
      <c r="J486" s="14"/>
      <c r="K486" s="18">
        <f>HYPERLINK("https://app.hubspot.com/contacts/8748051/record/0-2/7648311192", 7648311192)</f>
        <v>7648311192</v>
      </c>
      <c r="L486" s="14" t="s">
        <v>5613</v>
      </c>
      <c r="M486" s="18" t="s">
        <v>5614</v>
      </c>
      <c r="N486" s="14"/>
      <c r="O486" s="14"/>
      <c r="P486" s="14"/>
      <c r="Q486" s="14"/>
      <c r="R486" s="24"/>
      <c r="S486" s="24" t="str">
        <f t="shared" ref="S486:U486" si="487">IF(E486&lt;&gt;"","Yes","")</f>
        <v>Yes</v>
      </c>
      <c r="T486" s="24" t="str">
        <f t="shared" si="487"/>
        <v/>
      </c>
      <c r="U486" s="24" t="str">
        <f t="shared" si="487"/>
        <v/>
      </c>
      <c r="V486" s="24" t="str">
        <f t="shared" si="3"/>
        <v/>
      </c>
      <c r="W486" s="24" t="str">
        <f t="shared" si="4"/>
        <v/>
      </c>
    </row>
    <row r="487">
      <c r="A487" s="18">
        <f>HYPERLINK("https://app.hubspot.com/contacts/8748051/record/0-1/9748080386", 9748080386)</f>
        <v>9748080386</v>
      </c>
      <c r="B487" s="14" t="s">
        <v>5615</v>
      </c>
      <c r="C487" s="16"/>
      <c r="D487" s="16"/>
      <c r="E487" s="32">
        <v>45387.0</v>
      </c>
      <c r="F487" s="32"/>
      <c r="G487" s="32"/>
      <c r="H487" s="14"/>
      <c r="I487" s="14"/>
      <c r="J487" s="14"/>
      <c r="K487" s="18">
        <f>HYPERLINK("https://app.hubspot.com/contacts/8748051/record/0-2/19176562617", 19176562617)</f>
        <v>19176562617</v>
      </c>
      <c r="L487" s="14" t="s">
        <v>5616</v>
      </c>
      <c r="M487" s="18" t="s">
        <v>5617</v>
      </c>
      <c r="N487" s="14"/>
      <c r="O487" s="14"/>
      <c r="P487" s="14"/>
      <c r="Q487" s="14"/>
      <c r="R487" s="14"/>
      <c r="S487" s="24" t="str">
        <f t="shared" ref="S487:U487" si="488">IF(E487&lt;&gt;"","Yes","")</f>
        <v>Yes</v>
      </c>
      <c r="T487" s="24" t="str">
        <f t="shared" si="488"/>
        <v/>
      </c>
      <c r="U487" s="24" t="str">
        <f t="shared" si="488"/>
        <v/>
      </c>
      <c r="V487" s="24" t="str">
        <f t="shared" si="3"/>
        <v/>
      </c>
      <c r="W487" s="24" t="str">
        <f t="shared" si="4"/>
        <v/>
      </c>
    </row>
    <row r="488">
      <c r="A488" s="18">
        <f>HYPERLINK("https://app.hubspot.com/contacts/8748051/record/0-1/8633061267", 8633061267)</f>
        <v>8633061267</v>
      </c>
      <c r="B488" s="14" t="s">
        <v>5618</v>
      </c>
      <c r="C488" s="16"/>
      <c r="D488" s="14"/>
      <c r="E488" s="32">
        <v>45384.0</v>
      </c>
      <c r="F488" s="32"/>
      <c r="G488" s="32"/>
      <c r="H488" s="14"/>
      <c r="I488" s="14"/>
      <c r="J488" s="14"/>
      <c r="K488" s="18">
        <f>HYPERLINK("https://app.hubspot.com/contacts/8748051/record/0-2/18832402064", 18832402064)</f>
        <v>18832402064</v>
      </c>
      <c r="L488" s="14" t="s">
        <v>5619</v>
      </c>
      <c r="M488" s="18" t="s">
        <v>5620</v>
      </c>
      <c r="N488" s="14"/>
      <c r="O488" s="14"/>
      <c r="P488" s="14"/>
      <c r="Q488" s="14"/>
      <c r="R488" s="14"/>
      <c r="S488" s="24" t="str">
        <f t="shared" ref="S488:U488" si="489">IF(E488&lt;&gt;"","Yes","")</f>
        <v>Yes</v>
      </c>
      <c r="T488" s="24" t="str">
        <f t="shared" si="489"/>
        <v/>
      </c>
      <c r="U488" s="24" t="str">
        <f t="shared" si="489"/>
        <v/>
      </c>
      <c r="V488" s="24" t="str">
        <f t="shared" si="3"/>
        <v/>
      </c>
      <c r="W488" s="24" t="str">
        <f t="shared" si="4"/>
        <v/>
      </c>
    </row>
    <row r="489">
      <c r="A489" s="18">
        <f>HYPERLINK("https://app.hubspot.com/contacts/8748051/record/0-1/19325041809", 19325041809)</f>
        <v>19325041809</v>
      </c>
      <c r="B489" s="14" t="s">
        <v>5621</v>
      </c>
      <c r="C489" s="16"/>
      <c r="D489" s="14" t="s">
        <v>4067</v>
      </c>
      <c r="E489" s="32"/>
      <c r="F489" s="32"/>
      <c r="G489" s="32"/>
      <c r="H489" s="14"/>
      <c r="I489" s="14"/>
      <c r="J489" s="14"/>
      <c r="K489" s="18">
        <f>HYPERLINK("https://app.hubspot.com/contacts/8748051/record/0-2/19176644670", 19176644670)</f>
        <v>19176644670</v>
      </c>
      <c r="L489" s="14" t="s">
        <v>5622</v>
      </c>
      <c r="M489" s="18" t="s">
        <v>5623</v>
      </c>
      <c r="N489" s="14"/>
      <c r="O489" s="14"/>
      <c r="P489" s="14"/>
      <c r="Q489" s="14"/>
      <c r="R489" s="14"/>
      <c r="S489" s="24" t="str">
        <f t="shared" ref="S489:U489" si="490">IF(E489&lt;&gt;"","Yes","")</f>
        <v/>
      </c>
      <c r="T489" s="24" t="str">
        <f t="shared" si="490"/>
        <v/>
      </c>
      <c r="U489" s="24" t="str">
        <f t="shared" si="490"/>
        <v/>
      </c>
      <c r="V489" s="24" t="str">
        <f t="shared" si="3"/>
        <v/>
      </c>
      <c r="W489" s="24" t="str">
        <f t="shared" si="4"/>
        <v/>
      </c>
    </row>
    <row r="490">
      <c r="A490" s="18">
        <f>HYPERLINK("https://app.hubspot.com/contacts/8748051/record/0-1/13525180005", 13525180005)</f>
        <v>13525180005</v>
      </c>
      <c r="B490" s="14" t="s">
        <v>5624</v>
      </c>
      <c r="C490" s="16"/>
      <c r="D490" s="14"/>
      <c r="E490" s="32">
        <v>45400.0</v>
      </c>
      <c r="F490" s="32"/>
      <c r="G490" s="32"/>
      <c r="H490" s="14"/>
      <c r="I490" s="14"/>
      <c r="J490" s="14"/>
      <c r="K490" s="18">
        <f>HYPERLINK("https://app.hubspot.com/contacts/8748051/record/0-2/15759773545", 15759773545)</f>
        <v>15759773545</v>
      </c>
      <c r="L490" s="14" t="s">
        <v>1417</v>
      </c>
      <c r="M490" s="18" t="s">
        <v>1418</v>
      </c>
      <c r="N490" s="14"/>
      <c r="O490" s="14"/>
      <c r="P490" s="14"/>
      <c r="Q490" s="14"/>
      <c r="R490" s="24"/>
      <c r="S490" s="24" t="str">
        <f t="shared" ref="S490:U490" si="491">IF(E490&lt;&gt;"","Yes","")</f>
        <v>Yes</v>
      </c>
      <c r="T490" s="24" t="str">
        <f t="shared" si="491"/>
        <v/>
      </c>
      <c r="U490" s="24" t="str">
        <f t="shared" si="491"/>
        <v/>
      </c>
      <c r="V490" s="24" t="str">
        <f t="shared" si="3"/>
        <v/>
      </c>
      <c r="W490" s="24" t="str">
        <f t="shared" si="4"/>
        <v/>
      </c>
    </row>
    <row r="491">
      <c r="A491" s="18">
        <f>HYPERLINK("https://app.hubspot.com/contacts/8748051/record/0-1/13821243936", 13821243936)</f>
        <v>13821243936</v>
      </c>
      <c r="B491" s="14" t="s">
        <v>5625</v>
      </c>
      <c r="C491" s="16"/>
      <c r="D491" s="14"/>
      <c r="E491" s="32">
        <v>45401.0</v>
      </c>
      <c r="F491" s="32"/>
      <c r="G491" s="32"/>
      <c r="H491" s="14"/>
      <c r="I491" s="14"/>
      <c r="J491" s="14"/>
      <c r="K491" s="18">
        <f>HYPERLINK("https://app.hubspot.com/contacts/8748051/record/0-2/8339833362", 8339833362)</f>
        <v>8339833362</v>
      </c>
      <c r="L491" s="14" t="s">
        <v>5626</v>
      </c>
      <c r="M491" s="18" t="s">
        <v>5627</v>
      </c>
      <c r="N491" s="14"/>
      <c r="O491" s="14"/>
      <c r="P491" s="14"/>
      <c r="Q491" s="14"/>
      <c r="R491" s="14"/>
      <c r="S491" s="24" t="str">
        <f t="shared" ref="S491:U491" si="492">IF(E491&lt;&gt;"","Yes","")</f>
        <v>Yes</v>
      </c>
      <c r="T491" s="24" t="str">
        <f t="shared" si="492"/>
        <v/>
      </c>
      <c r="U491" s="24" t="str">
        <f t="shared" si="492"/>
        <v/>
      </c>
      <c r="V491" s="24" t="str">
        <f t="shared" si="3"/>
        <v/>
      </c>
      <c r="W491" s="24" t="str">
        <f t="shared" si="4"/>
        <v/>
      </c>
    </row>
    <row r="492">
      <c r="A492" s="18">
        <f>HYPERLINK("https://app.hubspot.com/contacts/8748051/record/0-1/11752433825", 11752433825)</f>
        <v>11752433825</v>
      </c>
      <c r="B492" s="14" t="s">
        <v>5628</v>
      </c>
      <c r="C492" s="16"/>
      <c r="D492" s="14" t="s">
        <v>4067</v>
      </c>
      <c r="E492" s="32"/>
      <c r="F492" s="32"/>
      <c r="G492" s="32"/>
      <c r="H492" s="14"/>
      <c r="I492" s="14"/>
      <c r="J492" s="14"/>
      <c r="K492" s="18">
        <f>HYPERLINK("https://app.hubspot.com/contacts/8748051/record/0-2/20223073192", 20223073192)</f>
        <v>20223073192</v>
      </c>
      <c r="L492" s="14" t="s">
        <v>5629</v>
      </c>
      <c r="M492" s="18" t="s">
        <v>5630</v>
      </c>
      <c r="N492" s="14"/>
      <c r="O492" s="14"/>
      <c r="P492" s="14"/>
      <c r="Q492" s="14"/>
      <c r="R492" s="14"/>
      <c r="S492" s="24" t="str">
        <f t="shared" ref="S492:U492" si="493">IF(E492&lt;&gt;"","Yes","")</f>
        <v/>
      </c>
      <c r="T492" s="24" t="str">
        <f t="shared" si="493"/>
        <v/>
      </c>
      <c r="U492" s="24" t="str">
        <f t="shared" si="493"/>
        <v/>
      </c>
      <c r="V492" s="24" t="str">
        <f t="shared" si="3"/>
        <v/>
      </c>
      <c r="W492" s="24" t="str">
        <f t="shared" si="4"/>
        <v/>
      </c>
    </row>
    <row r="493">
      <c r="A493" s="18">
        <f>HYPERLINK("https://app.hubspot.com/contacts/8748051/record/0-1/12370220095", 12370220095)</f>
        <v>12370220095</v>
      </c>
      <c r="B493" s="14" t="s">
        <v>5631</v>
      </c>
      <c r="C493" s="16"/>
      <c r="D493" s="14"/>
      <c r="E493" s="32">
        <v>45400.0</v>
      </c>
      <c r="F493" s="32">
        <v>45441.0</v>
      </c>
      <c r="G493" s="32">
        <v>45411.0</v>
      </c>
      <c r="H493" s="14"/>
      <c r="I493" s="14"/>
      <c r="J493" s="14"/>
      <c r="K493" s="18">
        <f>HYPERLINK("https://app.hubspot.com/contacts/8748051/record/0-2/16065522216", 16065522216)</f>
        <v>16065522216</v>
      </c>
      <c r="L493" s="14" t="s">
        <v>1825</v>
      </c>
      <c r="M493" s="18" t="s">
        <v>1826</v>
      </c>
      <c r="N493" s="18">
        <f>HYPERLINK("https://app.hubspot.com/contacts/8748051/record/0-3/18967221561", 18967221561)</f>
        <v>18967221561</v>
      </c>
      <c r="O493" s="14" t="s">
        <v>1824</v>
      </c>
      <c r="P493" s="14" t="s">
        <v>118</v>
      </c>
      <c r="Q493" s="14">
        <v>8880.0</v>
      </c>
      <c r="R493" s="24"/>
      <c r="S493" s="24" t="str">
        <f t="shared" ref="S493:U493" si="494">IF(E493&lt;&gt;"","Yes","")</f>
        <v>Yes</v>
      </c>
      <c r="T493" s="24" t="str">
        <f t="shared" si="494"/>
        <v>Yes</v>
      </c>
      <c r="U493" s="24" t="str">
        <f t="shared" si="494"/>
        <v>Yes</v>
      </c>
      <c r="V493" s="24" t="str">
        <f t="shared" si="3"/>
        <v/>
      </c>
      <c r="W493" s="24" t="str">
        <f t="shared" si="4"/>
        <v/>
      </c>
    </row>
    <row r="494">
      <c r="A494" s="18">
        <f>HYPERLINK("https://app.hubspot.com/contacts/8748051/record/0-1/9668939318", 9668939318)</f>
        <v>9668939318</v>
      </c>
      <c r="B494" s="14" t="s">
        <v>5632</v>
      </c>
      <c r="C494" s="16"/>
      <c r="D494" s="14"/>
      <c r="E494" s="32">
        <v>45387.0</v>
      </c>
      <c r="F494" s="32"/>
      <c r="G494" s="32"/>
      <c r="H494" s="14"/>
      <c r="I494" s="14"/>
      <c r="J494" s="14"/>
      <c r="K494" s="18">
        <f>HYPERLINK("https://app.hubspot.com/contacts/8748051/record/0-2/18832255345", 18832255345)</f>
        <v>18832255345</v>
      </c>
      <c r="L494" s="14" t="s">
        <v>5382</v>
      </c>
      <c r="M494" s="18" t="s">
        <v>5383</v>
      </c>
      <c r="N494" s="14"/>
      <c r="O494" s="14"/>
      <c r="P494" s="14"/>
      <c r="Q494" s="14"/>
      <c r="R494" s="24"/>
      <c r="S494" s="24" t="str">
        <f t="shared" ref="S494:U494" si="495">IF(E494&lt;&gt;"","Yes","")</f>
        <v>Yes</v>
      </c>
      <c r="T494" s="24" t="str">
        <f t="shared" si="495"/>
        <v/>
      </c>
      <c r="U494" s="24" t="str">
        <f t="shared" si="495"/>
        <v/>
      </c>
      <c r="V494" s="24" t="str">
        <f t="shared" si="3"/>
        <v/>
      </c>
      <c r="W494" s="24" t="str">
        <f t="shared" si="4"/>
        <v/>
      </c>
    </row>
    <row r="495">
      <c r="A495" s="18">
        <f>HYPERLINK("https://app.hubspot.com/contacts/8748051/record/0-1/14848874618", 14848874618)</f>
        <v>14848874618</v>
      </c>
      <c r="B495" s="14" t="s">
        <v>5633</v>
      </c>
      <c r="C495" s="16"/>
      <c r="D495" s="16"/>
      <c r="E495" s="32">
        <v>45405.0</v>
      </c>
      <c r="F495" s="32"/>
      <c r="G495" s="32"/>
      <c r="H495" s="14"/>
      <c r="I495" s="14"/>
      <c r="J495" s="14"/>
      <c r="K495" s="18">
        <f>HYPERLINK("https://app.hubspot.com/contacts/8748051/record/0-2/8496544609", 8496544609)</f>
        <v>8496544609</v>
      </c>
      <c r="L495" s="14" t="s">
        <v>5634</v>
      </c>
      <c r="M495" s="18" t="s">
        <v>5635</v>
      </c>
      <c r="N495" s="14"/>
      <c r="O495" s="14"/>
      <c r="P495" s="14"/>
      <c r="Q495" s="14"/>
      <c r="R495" s="14"/>
      <c r="S495" s="24" t="str">
        <f t="shared" ref="S495:U495" si="496">IF(E495&lt;&gt;"","Yes","")</f>
        <v>Yes</v>
      </c>
      <c r="T495" s="24" t="str">
        <f t="shared" si="496"/>
        <v/>
      </c>
      <c r="U495" s="24" t="str">
        <f t="shared" si="496"/>
        <v/>
      </c>
      <c r="V495" s="24" t="str">
        <f t="shared" si="3"/>
        <v/>
      </c>
      <c r="W495" s="24" t="str">
        <f t="shared" si="4"/>
        <v/>
      </c>
    </row>
    <row r="496">
      <c r="A496" s="18">
        <f>HYPERLINK("https://app.hubspot.com/contacts/8748051/record/0-1/12981497491", 12981497491)</f>
        <v>12981497491</v>
      </c>
      <c r="B496" s="14" t="s">
        <v>5636</v>
      </c>
      <c r="C496" s="16"/>
      <c r="D496" s="14"/>
      <c r="E496" s="32">
        <v>45398.0</v>
      </c>
      <c r="F496" s="32"/>
      <c r="G496" s="32"/>
      <c r="H496" s="14"/>
      <c r="I496" s="24"/>
      <c r="J496" s="24"/>
      <c r="K496" s="18">
        <f>HYPERLINK("https://app.hubspot.com/contacts/8748051/record/0-2/14810826675", 14810826675)</f>
        <v>14810826675</v>
      </c>
      <c r="L496" s="14" t="s">
        <v>1797</v>
      </c>
      <c r="M496" s="18" t="s">
        <v>1798</v>
      </c>
      <c r="N496" s="24"/>
      <c r="O496" s="14"/>
      <c r="P496" s="14"/>
      <c r="Q496" s="14"/>
      <c r="R496" s="24"/>
      <c r="S496" s="24" t="str">
        <f t="shared" ref="S496:U496" si="497">IF(E496&lt;&gt;"","Yes","")</f>
        <v>Yes</v>
      </c>
      <c r="T496" s="24" t="str">
        <f t="shared" si="497"/>
        <v/>
      </c>
      <c r="U496" s="24" t="str">
        <f t="shared" si="497"/>
        <v/>
      </c>
      <c r="V496" s="24" t="str">
        <f t="shared" si="3"/>
        <v/>
      </c>
      <c r="W496" s="24" t="str">
        <f t="shared" si="4"/>
        <v/>
      </c>
    </row>
    <row r="497">
      <c r="A497" s="18">
        <f>HYPERLINK("https://app.hubspot.com/contacts/8748051/record/0-1/18176553229", 18176553229)</f>
        <v>18176553229</v>
      </c>
      <c r="B497" s="14" t="s">
        <v>5637</v>
      </c>
      <c r="C497" s="16"/>
      <c r="D497" s="14"/>
      <c r="E497" s="32">
        <v>45415.0</v>
      </c>
      <c r="F497" s="32"/>
      <c r="G497" s="32"/>
      <c r="H497" s="14"/>
      <c r="I497" s="14"/>
      <c r="J497" s="14"/>
      <c r="K497" s="18">
        <f>HYPERLINK("https://app.hubspot.com/contacts/8748051/record/0-2/10198068809", 10198068809)</f>
        <v>10198068809</v>
      </c>
      <c r="L497" s="14" t="s">
        <v>5638</v>
      </c>
      <c r="M497" s="18" t="s">
        <v>5639</v>
      </c>
      <c r="N497" s="14"/>
      <c r="O497" s="14"/>
      <c r="P497" s="14"/>
      <c r="Q497" s="14"/>
      <c r="R497" s="14"/>
      <c r="S497" s="24" t="str">
        <f t="shared" ref="S497:U497" si="498">IF(E497&lt;&gt;"","Yes","")</f>
        <v>Yes</v>
      </c>
      <c r="T497" s="24" t="str">
        <f t="shared" si="498"/>
        <v/>
      </c>
      <c r="U497" s="24" t="str">
        <f t="shared" si="498"/>
        <v/>
      </c>
      <c r="V497" s="24" t="str">
        <f t="shared" si="3"/>
        <v/>
      </c>
      <c r="W497" s="24" t="str">
        <f t="shared" si="4"/>
        <v/>
      </c>
    </row>
    <row r="498">
      <c r="A498" s="18">
        <f>HYPERLINK("https://app.hubspot.com/contacts/8748051/record/0-1/14357224861", 14357224861)</f>
        <v>14357224861</v>
      </c>
      <c r="B498" s="14" t="s">
        <v>5640</v>
      </c>
      <c r="C498" s="16"/>
      <c r="D498" s="14"/>
      <c r="E498" s="32">
        <v>45404.0</v>
      </c>
      <c r="F498" s="32"/>
      <c r="G498" s="32"/>
      <c r="H498" s="14"/>
      <c r="I498" s="24"/>
      <c r="J498" s="24"/>
      <c r="K498" s="18">
        <f>HYPERLINK("https://app.hubspot.com/contacts/8748051/record/0-2/8782290584", 8782290584)</f>
        <v>8782290584</v>
      </c>
      <c r="L498" s="14" t="s">
        <v>5641</v>
      </c>
      <c r="M498" s="18" t="s">
        <v>5642</v>
      </c>
      <c r="N498" s="14"/>
      <c r="O498" s="14"/>
      <c r="P498" s="14"/>
      <c r="Q498" s="14"/>
      <c r="R498" s="14"/>
      <c r="S498" s="24" t="str">
        <f t="shared" ref="S498:U498" si="499">IF(E498&lt;&gt;"","Yes","")</f>
        <v>Yes</v>
      </c>
      <c r="T498" s="24" t="str">
        <f t="shared" si="499"/>
        <v/>
      </c>
      <c r="U498" s="24" t="str">
        <f t="shared" si="499"/>
        <v/>
      </c>
      <c r="V498" s="24" t="str">
        <f t="shared" si="3"/>
        <v/>
      </c>
      <c r="W498" s="24" t="str">
        <f t="shared" si="4"/>
        <v/>
      </c>
    </row>
    <row r="499">
      <c r="A499" s="18">
        <f>HYPERLINK("https://app.hubspot.com/contacts/8748051/record/0-1/10552642374", 10552642374)</f>
        <v>10552642374</v>
      </c>
      <c r="B499" s="14" t="s">
        <v>5643</v>
      </c>
      <c r="C499" s="16"/>
      <c r="D499" s="14" t="s">
        <v>5644</v>
      </c>
      <c r="E499" s="32"/>
      <c r="F499" s="32"/>
      <c r="G499" s="24"/>
      <c r="H499" s="14"/>
      <c r="I499" s="14"/>
      <c r="J499" s="14"/>
      <c r="K499" s="18">
        <f>HYPERLINK("https://app.hubspot.com/contacts/8748051/record/0-2/32765662230", 32765662230)</f>
        <v>32765662230</v>
      </c>
      <c r="L499" s="14" t="s">
        <v>5216</v>
      </c>
      <c r="M499" s="18" t="s">
        <v>5217</v>
      </c>
      <c r="N499" s="14"/>
      <c r="O499" s="14"/>
      <c r="P499" s="14"/>
      <c r="Q499" s="14"/>
      <c r="R499" s="24"/>
      <c r="S499" s="24" t="str">
        <f t="shared" ref="S499:U499" si="500">IF(E499&lt;&gt;"","Yes","")</f>
        <v/>
      </c>
      <c r="T499" s="24" t="str">
        <f t="shared" si="500"/>
        <v/>
      </c>
      <c r="U499" s="24" t="str">
        <f t="shared" si="500"/>
        <v/>
      </c>
      <c r="V499" s="24" t="str">
        <f t="shared" si="3"/>
        <v/>
      </c>
      <c r="W499" s="24" t="str">
        <f t="shared" si="4"/>
        <v/>
      </c>
    </row>
    <row r="500">
      <c r="A500" s="18">
        <f>HYPERLINK("https://app.hubspot.com/contacts/8748051/record/0-1/15108692750", 15108692750)</f>
        <v>15108692750</v>
      </c>
      <c r="B500" s="14" t="s">
        <v>5645</v>
      </c>
      <c r="C500" s="16"/>
      <c r="D500" s="14"/>
      <c r="E500" s="32">
        <v>45405.0</v>
      </c>
      <c r="F500" s="32"/>
      <c r="G500" s="32"/>
      <c r="H500" s="14"/>
      <c r="I500" s="24"/>
      <c r="J500" s="24"/>
      <c r="K500" s="18">
        <f>HYPERLINK("https://app.hubspot.com/contacts/8748051/record/0-2/15759798816", 15759798816)</f>
        <v>15759798816</v>
      </c>
      <c r="L500" s="14" t="s">
        <v>5646</v>
      </c>
      <c r="M500" s="18" t="s">
        <v>5647</v>
      </c>
      <c r="N500" s="14"/>
      <c r="O500" s="14"/>
      <c r="P500" s="14"/>
      <c r="Q500" s="14"/>
      <c r="R500" s="24"/>
      <c r="S500" s="24" t="str">
        <f t="shared" ref="S500:U500" si="501">IF(E500&lt;&gt;"","Yes","")</f>
        <v>Yes</v>
      </c>
      <c r="T500" s="24" t="str">
        <f t="shared" si="501"/>
        <v/>
      </c>
      <c r="U500" s="24" t="str">
        <f t="shared" si="501"/>
        <v/>
      </c>
      <c r="V500" s="24" t="str">
        <f t="shared" si="3"/>
        <v/>
      </c>
      <c r="W500" s="24" t="str">
        <f t="shared" si="4"/>
        <v/>
      </c>
    </row>
    <row r="501">
      <c r="A501" s="18">
        <f>HYPERLINK("https://app.hubspot.com/contacts/8748051/record/0-1/11544319059", 11544319059)</f>
        <v>11544319059</v>
      </c>
      <c r="B501" s="14" t="s">
        <v>5648</v>
      </c>
      <c r="C501" s="16"/>
      <c r="D501" s="16"/>
      <c r="E501" s="32">
        <v>45393.0</v>
      </c>
      <c r="F501" s="32">
        <v>45401.0</v>
      </c>
      <c r="G501" s="32">
        <v>45401.0</v>
      </c>
      <c r="H501" s="14"/>
      <c r="I501" s="14"/>
      <c r="J501" s="14"/>
      <c r="K501" s="18">
        <f>HYPERLINK("https://app.hubspot.com/contacts/8748051/record/0-2/9238284404", 9238284404)</f>
        <v>9238284404</v>
      </c>
      <c r="L501" s="14" t="s">
        <v>1870</v>
      </c>
      <c r="M501" s="18" t="s">
        <v>1871</v>
      </c>
      <c r="N501" s="18">
        <f>HYPERLINK("https://app.hubspot.com/contacts/8748051/record/0-3/18712203603", 18712203603)</f>
        <v>18712203603</v>
      </c>
      <c r="O501" s="14" t="s">
        <v>1869</v>
      </c>
      <c r="P501" s="14" t="s">
        <v>118</v>
      </c>
      <c r="Q501" s="14">
        <v>62880.0</v>
      </c>
      <c r="R501" s="24"/>
      <c r="S501" s="24" t="str">
        <f t="shared" ref="S501:U501" si="502">IF(E501&lt;&gt;"","Yes","")</f>
        <v>Yes</v>
      </c>
      <c r="T501" s="24" t="str">
        <f t="shared" si="502"/>
        <v>Yes</v>
      </c>
      <c r="U501" s="24" t="str">
        <f t="shared" si="502"/>
        <v>Yes</v>
      </c>
      <c r="V501" s="24" t="str">
        <f t="shared" si="3"/>
        <v/>
      </c>
      <c r="W501" s="24" t="str">
        <f t="shared" si="4"/>
        <v/>
      </c>
    </row>
    <row r="502">
      <c r="A502" s="18">
        <f>HYPERLINK("https://app.hubspot.com/contacts/8748051/record/0-1/9969561491", 9969561491)</f>
        <v>9969561491</v>
      </c>
      <c r="B502" s="14" t="s">
        <v>5649</v>
      </c>
      <c r="C502" s="16"/>
      <c r="D502" s="14" t="s">
        <v>5062</v>
      </c>
      <c r="E502" s="32"/>
      <c r="F502" s="32"/>
      <c r="G502" s="24"/>
      <c r="H502" s="14"/>
      <c r="I502" s="14"/>
      <c r="J502" s="14"/>
      <c r="K502" s="18">
        <f>HYPERLINK("https://app.hubspot.com/contacts/8748051/record/0-2/9005692301", 9005692301)</f>
        <v>9005692301</v>
      </c>
      <c r="L502" s="14" t="s">
        <v>5650</v>
      </c>
      <c r="M502" s="18" t="s">
        <v>5651</v>
      </c>
      <c r="N502" s="14"/>
      <c r="O502" s="14"/>
      <c r="P502" s="14"/>
      <c r="Q502" s="14"/>
      <c r="R502" s="24"/>
      <c r="S502" s="24" t="str">
        <f t="shared" ref="S502:U502" si="503">IF(E502&lt;&gt;"","Yes","")</f>
        <v/>
      </c>
      <c r="T502" s="24" t="str">
        <f t="shared" si="503"/>
        <v/>
      </c>
      <c r="U502" s="24" t="str">
        <f t="shared" si="503"/>
        <v/>
      </c>
      <c r="V502" s="24" t="str">
        <f t="shared" si="3"/>
        <v/>
      </c>
      <c r="W502" s="24" t="str">
        <f t="shared" si="4"/>
        <v/>
      </c>
    </row>
    <row r="503">
      <c r="A503" s="18">
        <f>HYPERLINK("https://app.hubspot.com/contacts/8748051/record/0-1/28022894614", 28022894614)</f>
        <v>28022894614</v>
      </c>
      <c r="B503" s="14" t="s">
        <v>5652</v>
      </c>
      <c r="C503" s="16"/>
      <c r="D503" s="16"/>
      <c r="E503" s="32">
        <v>45450.0</v>
      </c>
      <c r="F503" s="32"/>
      <c r="G503" s="32"/>
      <c r="H503" s="14"/>
      <c r="I503" s="14"/>
      <c r="J503" s="14"/>
      <c r="K503" s="18">
        <f>HYPERLINK("https://app.hubspot.com/contacts/8748051/record/0-2/7420318749", 7420318749)</f>
        <v>7420318749</v>
      </c>
      <c r="L503" s="14" t="s">
        <v>1944</v>
      </c>
      <c r="M503" s="18" t="s">
        <v>1945</v>
      </c>
      <c r="N503" s="18">
        <f>HYPERLINK("https://app.hubspot.com/contacts/8748051/record/0-3/18403770891", 18403770891)</f>
        <v>18403770891</v>
      </c>
      <c r="O503" s="14" t="s">
        <v>1943</v>
      </c>
      <c r="P503" s="14" t="s">
        <v>124</v>
      </c>
      <c r="Q503" s="14">
        <v>75000.0</v>
      </c>
      <c r="R503" s="14" t="b">
        <v>1</v>
      </c>
      <c r="S503" s="24" t="str">
        <f t="shared" ref="S503:U503" si="504">IF(E503&lt;&gt;"","Yes","")</f>
        <v>Yes</v>
      </c>
      <c r="T503" s="24" t="str">
        <f t="shared" si="504"/>
        <v/>
      </c>
      <c r="U503" s="24" t="str">
        <f t="shared" si="504"/>
        <v/>
      </c>
      <c r="V503" s="24" t="str">
        <f t="shared" si="3"/>
        <v/>
      </c>
      <c r="W503" s="24" t="str">
        <f t="shared" si="4"/>
        <v/>
      </c>
    </row>
    <row r="504">
      <c r="A504" s="18">
        <f>HYPERLINK("https://app.hubspot.com/contacts/8748051/record/0-1/24653418140", 24653418140)</f>
        <v>24653418140</v>
      </c>
      <c r="B504" s="14" t="s">
        <v>5653</v>
      </c>
      <c r="C504" s="16"/>
      <c r="D504" s="16"/>
      <c r="E504" s="32">
        <v>45439.0</v>
      </c>
      <c r="F504" s="32"/>
      <c r="G504" s="32"/>
      <c r="H504" s="14"/>
      <c r="I504" s="14"/>
      <c r="J504" s="14"/>
      <c r="K504" s="18">
        <f>HYPERLINK("https://app.hubspot.com/contacts/8748051/record/0-2/19176296072", 19176296072)</f>
        <v>19176296072</v>
      </c>
      <c r="L504" s="14" t="s">
        <v>5654</v>
      </c>
      <c r="M504" s="18" t="s">
        <v>5655</v>
      </c>
      <c r="N504" s="14"/>
      <c r="O504" s="14"/>
      <c r="P504" s="14"/>
      <c r="Q504" s="14"/>
      <c r="R504" s="14"/>
      <c r="S504" s="24" t="str">
        <f t="shared" ref="S504:U504" si="505">IF(E504&lt;&gt;"","Yes","")</f>
        <v>Yes</v>
      </c>
      <c r="T504" s="24" t="str">
        <f t="shared" si="505"/>
        <v/>
      </c>
      <c r="U504" s="24" t="str">
        <f t="shared" si="505"/>
        <v/>
      </c>
      <c r="V504" s="24" t="str">
        <f t="shared" si="3"/>
        <v/>
      </c>
      <c r="W504" s="24" t="str">
        <f t="shared" si="4"/>
        <v/>
      </c>
    </row>
    <row r="505">
      <c r="A505" s="18">
        <f>HYPERLINK("https://app.hubspot.com/contacts/8748051/record/0-1/22941511501", 22941511501)</f>
        <v>22941511501</v>
      </c>
      <c r="B505" s="14" t="s">
        <v>5656</v>
      </c>
      <c r="C505" s="16"/>
      <c r="D505" s="16"/>
      <c r="E505" s="32">
        <v>45433.0</v>
      </c>
      <c r="F505" s="32">
        <v>45441.0</v>
      </c>
      <c r="G505" s="32">
        <v>45435.0</v>
      </c>
      <c r="H505" s="14"/>
      <c r="I505" s="14"/>
      <c r="J505" s="14"/>
      <c r="K505" s="18">
        <f>HYPERLINK("https://app.hubspot.com/contacts/8748051/record/0-2/8990615352", 8990615352)</f>
        <v>8990615352</v>
      </c>
      <c r="L505" s="14" t="s">
        <v>1706</v>
      </c>
      <c r="M505" s="18" t="s">
        <v>1707</v>
      </c>
      <c r="N505" s="18">
        <f>HYPERLINK("https://app.hubspot.com/contacts/8748051/record/0-3/19563841131", 19563841131)</f>
        <v>19563841131</v>
      </c>
      <c r="O505" s="14" t="s">
        <v>1705</v>
      </c>
      <c r="P505" s="14" t="s">
        <v>118</v>
      </c>
      <c r="Q505" s="14">
        <v>3120.0</v>
      </c>
      <c r="R505" s="24"/>
      <c r="S505" s="24" t="str">
        <f t="shared" ref="S505:U505" si="506">IF(E505&lt;&gt;"","Yes","")</f>
        <v>Yes</v>
      </c>
      <c r="T505" s="24" t="str">
        <f t="shared" si="506"/>
        <v>Yes</v>
      </c>
      <c r="U505" s="24" t="str">
        <f t="shared" si="506"/>
        <v>Yes</v>
      </c>
      <c r="V505" s="24" t="str">
        <f t="shared" si="3"/>
        <v/>
      </c>
      <c r="W505" s="24" t="str">
        <f t="shared" si="4"/>
        <v/>
      </c>
    </row>
    <row r="506">
      <c r="A506" s="18">
        <f>HYPERLINK("https://app.hubspot.com/contacts/8748051/record/0-1/27024652650", 27024652650)</f>
        <v>27024652650</v>
      </c>
      <c r="B506" s="14" t="s">
        <v>5657</v>
      </c>
      <c r="C506" s="16"/>
      <c r="D506" s="16"/>
      <c r="E506" s="32">
        <v>45447.0</v>
      </c>
      <c r="F506" s="32"/>
      <c r="G506" s="32"/>
      <c r="H506" s="14"/>
      <c r="I506" s="14"/>
      <c r="J506" s="14"/>
      <c r="K506" s="18">
        <f>HYPERLINK("https://app.hubspot.com/contacts/8748051/record/0-2/9238357896", 9238357896)</f>
        <v>9238357896</v>
      </c>
      <c r="L506" s="14" t="s">
        <v>5658</v>
      </c>
      <c r="M506" s="18" t="s">
        <v>5659</v>
      </c>
      <c r="N506" s="14"/>
      <c r="O506" s="14"/>
      <c r="P506" s="14"/>
      <c r="Q506" s="14"/>
      <c r="R506" s="14"/>
      <c r="S506" s="24" t="str">
        <f t="shared" ref="S506:U506" si="507">IF(E506&lt;&gt;"","Yes","")</f>
        <v>Yes</v>
      </c>
      <c r="T506" s="24" t="str">
        <f t="shared" si="507"/>
        <v/>
      </c>
      <c r="U506" s="24" t="str">
        <f t="shared" si="507"/>
        <v/>
      </c>
      <c r="V506" s="24" t="str">
        <f t="shared" si="3"/>
        <v/>
      </c>
      <c r="W506" s="24" t="str">
        <f t="shared" si="4"/>
        <v/>
      </c>
    </row>
    <row r="507">
      <c r="A507" s="18">
        <f>HYPERLINK("https://app.hubspot.com/contacts/8748051/record/0-1/22906436786", 22906436786)</f>
        <v>22906436786</v>
      </c>
      <c r="B507" s="14" t="s">
        <v>5660</v>
      </c>
      <c r="C507" s="16"/>
      <c r="D507" s="16"/>
      <c r="E507" s="32">
        <v>45432.0</v>
      </c>
      <c r="F507" s="32"/>
      <c r="G507" s="32"/>
      <c r="H507" s="14"/>
      <c r="I507" s="14"/>
      <c r="J507" s="14"/>
      <c r="K507" s="18">
        <f>HYPERLINK("https://app.hubspot.com/contacts/8748051/record/0-2/14811412559", 14811412559)</f>
        <v>14811412559</v>
      </c>
      <c r="L507" s="14" t="s">
        <v>5661</v>
      </c>
      <c r="M507" s="18" t="s">
        <v>5662</v>
      </c>
      <c r="N507" s="14"/>
      <c r="O507" s="14"/>
      <c r="P507" s="14"/>
      <c r="Q507" s="14"/>
      <c r="R507" s="24"/>
      <c r="S507" s="24" t="str">
        <f t="shared" ref="S507:U507" si="508">IF(E507&lt;&gt;"","Yes","")</f>
        <v>Yes</v>
      </c>
      <c r="T507" s="24" t="str">
        <f t="shared" si="508"/>
        <v/>
      </c>
      <c r="U507" s="24" t="str">
        <f t="shared" si="508"/>
        <v/>
      </c>
      <c r="V507" s="24" t="str">
        <f t="shared" si="3"/>
        <v/>
      </c>
      <c r="W507" s="24" t="str">
        <f t="shared" si="4"/>
        <v/>
      </c>
    </row>
    <row r="508">
      <c r="A508" s="18">
        <f>HYPERLINK("https://app.hubspot.com/contacts/8748051/record/0-1/24916536232", 24916536232)</f>
        <v>24916536232</v>
      </c>
      <c r="B508" s="14" t="s">
        <v>5663</v>
      </c>
      <c r="C508" s="16"/>
      <c r="D508" s="16"/>
      <c r="E508" s="32">
        <v>45440.0</v>
      </c>
      <c r="F508" s="32"/>
      <c r="G508" s="32"/>
      <c r="H508" s="14"/>
      <c r="I508" s="14"/>
      <c r="J508" s="14"/>
      <c r="K508" s="18">
        <f>HYPERLINK("https://app.hubspot.com/contacts/8748051/record/0-2/7165296547", 7165296547)</f>
        <v>7165296547</v>
      </c>
      <c r="L508" s="14" t="s">
        <v>785</v>
      </c>
      <c r="M508" s="18" t="s">
        <v>786</v>
      </c>
      <c r="N508" s="14"/>
      <c r="O508" s="14"/>
      <c r="P508" s="14"/>
      <c r="Q508" s="14"/>
      <c r="R508" s="14"/>
      <c r="S508" s="24" t="str">
        <f t="shared" ref="S508:U508" si="509">IF(E508&lt;&gt;"","Yes","")</f>
        <v>Yes</v>
      </c>
      <c r="T508" s="24" t="str">
        <f t="shared" si="509"/>
        <v/>
      </c>
      <c r="U508" s="24" t="str">
        <f t="shared" si="509"/>
        <v/>
      </c>
      <c r="V508" s="24" t="str">
        <f t="shared" si="3"/>
        <v/>
      </c>
      <c r="W508" s="24" t="str">
        <f t="shared" si="4"/>
        <v/>
      </c>
    </row>
    <row r="509">
      <c r="A509" s="18">
        <f>HYPERLINK("https://app.hubspot.com/contacts/8748051/record/0-1/22810820018", 22810820018)</f>
        <v>22810820018</v>
      </c>
      <c r="B509" s="14" t="s">
        <v>5664</v>
      </c>
      <c r="C509" s="16"/>
      <c r="D509" s="16"/>
      <c r="E509" s="32">
        <v>45432.0</v>
      </c>
      <c r="F509" s="32"/>
      <c r="G509" s="32"/>
      <c r="H509" s="14"/>
      <c r="I509" s="14"/>
      <c r="J509" s="14"/>
      <c r="K509" s="18">
        <f>HYPERLINK("https://app.hubspot.com/contacts/8748051/record/0-2/19177041309", 19177041309)</f>
        <v>19177041309</v>
      </c>
      <c r="L509" s="14" t="s">
        <v>1221</v>
      </c>
      <c r="M509" s="18" t="s">
        <v>1222</v>
      </c>
      <c r="N509" s="14"/>
      <c r="O509" s="14"/>
      <c r="P509" s="14"/>
      <c r="Q509" s="14"/>
      <c r="R509" s="24"/>
      <c r="S509" s="24" t="str">
        <f t="shared" ref="S509:U509" si="510">IF(E509&lt;&gt;"","Yes","")</f>
        <v>Yes</v>
      </c>
      <c r="T509" s="24" t="str">
        <f t="shared" si="510"/>
        <v/>
      </c>
      <c r="U509" s="24" t="str">
        <f t="shared" si="510"/>
        <v/>
      </c>
      <c r="V509" s="24" t="str">
        <f t="shared" si="3"/>
        <v/>
      </c>
      <c r="W509" s="24" t="str">
        <f t="shared" si="4"/>
        <v/>
      </c>
    </row>
    <row r="510">
      <c r="A510" s="18">
        <f>HYPERLINK("https://app.hubspot.com/contacts/8748051/record/0-1/27011443583", 27011443583)</f>
        <v>27011443583</v>
      </c>
      <c r="B510" s="14" t="s">
        <v>5665</v>
      </c>
      <c r="C510" s="16"/>
      <c r="D510" s="14"/>
      <c r="E510" s="32">
        <v>45447.0</v>
      </c>
      <c r="F510" s="32"/>
      <c r="G510" s="32"/>
      <c r="H510" s="14"/>
      <c r="I510" s="14"/>
      <c r="J510" s="14"/>
      <c r="K510" s="18">
        <f>HYPERLINK("https://app.hubspot.com/contacts/8748051/record/0-2/7752315397", 7752315397)</f>
        <v>7752315397</v>
      </c>
      <c r="L510" s="14" t="s">
        <v>5666</v>
      </c>
      <c r="M510" s="18" t="s">
        <v>5667</v>
      </c>
      <c r="N510" s="14"/>
      <c r="O510" s="14"/>
      <c r="P510" s="14"/>
      <c r="Q510" s="14"/>
      <c r="R510" s="14"/>
      <c r="S510" s="24" t="str">
        <f t="shared" ref="S510:U510" si="511">IF(E510&lt;&gt;"","Yes","")</f>
        <v>Yes</v>
      </c>
      <c r="T510" s="24" t="str">
        <f t="shared" si="511"/>
        <v/>
      </c>
      <c r="U510" s="24" t="str">
        <f t="shared" si="511"/>
        <v/>
      </c>
      <c r="V510" s="24" t="str">
        <f t="shared" si="3"/>
        <v/>
      </c>
      <c r="W510" s="24" t="str">
        <f t="shared" si="4"/>
        <v/>
      </c>
    </row>
    <row r="511">
      <c r="A511" s="18">
        <f>HYPERLINK("https://app.hubspot.com/contacts/8748051/record/0-1/23824136013", 23824136013)</f>
        <v>23824136013</v>
      </c>
      <c r="B511" s="14" t="s">
        <v>5668</v>
      </c>
      <c r="C511" s="16"/>
      <c r="D511" s="16"/>
      <c r="E511" s="32">
        <v>45436.0</v>
      </c>
      <c r="F511" s="32"/>
      <c r="G511" s="32"/>
      <c r="H511" s="14"/>
      <c r="I511" s="14"/>
      <c r="J511" s="14"/>
      <c r="K511" s="18">
        <f>HYPERLINK("https://app.hubspot.com/contacts/8748051/record/0-2/8923291277", 8923291277)</f>
        <v>8923291277</v>
      </c>
      <c r="L511" s="14" t="s">
        <v>5669</v>
      </c>
      <c r="M511" s="18" t="s">
        <v>5670</v>
      </c>
      <c r="N511" s="14"/>
      <c r="O511" s="14"/>
      <c r="P511" s="14"/>
      <c r="Q511" s="14"/>
      <c r="R511" s="14"/>
      <c r="S511" s="24" t="str">
        <f t="shared" ref="S511:U511" si="512">IF(E511&lt;&gt;"","Yes","")</f>
        <v>Yes</v>
      </c>
      <c r="T511" s="24" t="str">
        <f t="shared" si="512"/>
        <v/>
      </c>
      <c r="U511" s="24" t="str">
        <f t="shared" si="512"/>
        <v/>
      </c>
      <c r="V511" s="24" t="str">
        <f t="shared" si="3"/>
        <v/>
      </c>
      <c r="W511" s="24" t="str">
        <f t="shared" si="4"/>
        <v/>
      </c>
    </row>
    <row r="512">
      <c r="A512" s="18">
        <f>HYPERLINK("https://app.hubspot.com/contacts/8748051/record/0-1/23555202354", 23555202354)</f>
        <v>23555202354</v>
      </c>
      <c r="B512" s="14" t="s">
        <v>5671</v>
      </c>
      <c r="C512" s="16"/>
      <c r="D512" s="14"/>
      <c r="E512" s="32">
        <v>45435.0</v>
      </c>
      <c r="F512" s="32">
        <v>45455.0</v>
      </c>
      <c r="G512" s="32">
        <v>45455.0</v>
      </c>
      <c r="H512" s="14"/>
      <c r="I512" s="14"/>
      <c r="J512" s="14"/>
      <c r="K512" s="18">
        <f>HYPERLINK("https://app.hubspot.com/contacts/8748051/record/0-2/9186989080", 9186989080)</f>
        <v>9186989080</v>
      </c>
      <c r="L512" s="14" t="s">
        <v>1643</v>
      </c>
      <c r="M512" s="18" t="s">
        <v>1644</v>
      </c>
      <c r="N512" s="18">
        <f>HYPERLINK("https://app.hubspot.com/contacts/8748051/record/0-3/20028993888", 20028993888)</f>
        <v>20028993888</v>
      </c>
      <c r="O512" s="14" t="s">
        <v>1642</v>
      </c>
      <c r="P512" s="14" t="s">
        <v>124</v>
      </c>
      <c r="Q512" s="14">
        <v>20000.0</v>
      </c>
      <c r="R512" s="14" t="b">
        <v>1</v>
      </c>
      <c r="S512" s="24" t="str">
        <f t="shared" ref="S512:U512" si="513">IF(E512&lt;&gt;"","Yes","")</f>
        <v>Yes</v>
      </c>
      <c r="T512" s="24" t="str">
        <f t="shared" si="513"/>
        <v>Yes</v>
      </c>
      <c r="U512" s="24" t="str">
        <f t="shared" si="513"/>
        <v>Yes</v>
      </c>
      <c r="V512" s="24" t="str">
        <f t="shared" si="3"/>
        <v/>
      </c>
      <c r="W512" s="24" t="str">
        <f t="shared" si="4"/>
        <v/>
      </c>
    </row>
    <row r="513">
      <c r="A513" s="18">
        <f>HYPERLINK("https://app.hubspot.com/contacts/8748051/record/0-1/28721028644", 28721028644)</f>
        <v>28721028644</v>
      </c>
      <c r="B513" s="14" t="s">
        <v>5672</v>
      </c>
      <c r="C513" s="16"/>
      <c r="D513" s="14"/>
      <c r="E513" s="32">
        <v>45453.0</v>
      </c>
      <c r="F513" s="32"/>
      <c r="G513" s="24"/>
      <c r="H513" s="14"/>
      <c r="I513" s="24"/>
      <c r="J513" s="24"/>
      <c r="K513" s="18">
        <f>HYPERLINK("https://app.hubspot.com/contacts/8748051/record/0-2/7945070469", 7945070469)</f>
        <v>7945070469</v>
      </c>
      <c r="L513" s="14" t="s">
        <v>5673</v>
      </c>
      <c r="M513" s="18" t="s">
        <v>5674</v>
      </c>
      <c r="N513" s="24"/>
      <c r="O513" s="14"/>
      <c r="P513" s="14"/>
      <c r="Q513" s="14"/>
      <c r="R513" s="24"/>
      <c r="S513" s="24" t="str">
        <f t="shared" ref="S513:U513" si="514">IF(E513&lt;&gt;"","Yes","")</f>
        <v>Yes</v>
      </c>
      <c r="T513" s="24" t="str">
        <f t="shared" si="514"/>
        <v/>
      </c>
      <c r="U513" s="24" t="str">
        <f t="shared" si="514"/>
        <v/>
      </c>
      <c r="V513" s="24" t="str">
        <f t="shared" si="3"/>
        <v/>
      </c>
      <c r="W513" s="24" t="str">
        <f t="shared" si="4"/>
        <v/>
      </c>
    </row>
    <row r="514">
      <c r="A514" s="18">
        <f>HYPERLINK("https://app.hubspot.com/contacts/8748051/record/0-1/20418516646", 20418516646)</f>
        <v>20418516646</v>
      </c>
      <c r="B514" s="14" t="s">
        <v>5675</v>
      </c>
      <c r="C514" s="16"/>
      <c r="D514" s="14" t="s">
        <v>5357</v>
      </c>
      <c r="E514" s="32"/>
      <c r="F514" s="32"/>
      <c r="G514" s="24"/>
      <c r="H514" s="14"/>
      <c r="I514" s="14"/>
      <c r="J514" s="14"/>
      <c r="K514" s="18">
        <f>HYPERLINK("https://app.hubspot.com/contacts/8748051/record/0-2/7688870415", 7688870415)</f>
        <v>7688870415</v>
      </c>
      <c r="L514" s="14" t="s">
        <v>5676</v>
      </c>
      <c r="M514" s="18" t="s">
        <v>5677</v>
      </c>
      <c r="N514" s="24"/>
      <c r="O514" s="14"/>
      <c r="P514" s="14"/>
      <c r="Q514" s="14"/>
      <c r="R514" s="24"/>
      <c r="S514" s="24" t="str">
        <f t="shared" ref="S514:U514" si="515">IF(E514&lt;&gt;"","Yes","")</f>
        <v/>
      </c>
      <c r="T514" s="24" t="str">
        <f t="shared" si="515"/>
        <v/>
      </c>
      <c r="U514" s="24" t="str">
        <f t="shared" si="515"/>
        <v/>
      </c>
      <c r="V514" s="24" t="str">
        <f t="shared" si="3"/>
        <v/>
      </c>
      <c r="W514" s="24" t="str">
        <f t="shared" si="4"/>
        <v/>
      </c>
    </row>
    <row r="515">
      <c r="A515" s="18">
        <f>HYPERLINK("https://app.hubspot.com/contacts/8748051/record/0-1/26518110057", 26518110057)</f>
        <v>26518110057</v>
      </c>
      <c r="B515" s="14" t="s">
        <v>5678</v>
      </c>
      <c r="C515" s="16"/>
      <c r="D515" s="16"/>
      <c r="E515" s="32">
        <v>45446.0</v>
      </c>
      <c r="F515" s="32"/>
      <c r="G515" s="32"/>
      <c r="H515" s="14"/>
      <c r="I515" s="14"/>
      <c r="J515" s="14"/>
      <c r="K515" s="18">
        <f>HYPERLINK("https://app.hubspot.com/contacts/8748051/record/0-2/18382839619", 18382839619)</f>
        <v>18382839619</v>
      </c>
      <c r="L515" s="14" t="s">
        <v>5679</v>
      </c>
      <c r="M515" s="18" t="s">
        <v>5680</v>
      </c>
      <c r="N515" s="14"/>
      <c r="O515" s="14"/>
      <c r="P515" s="14"/>
      <c r="Q515" s="14"/>
      <c r="R515" s="14"/>
      <c r="S515" s="24" t="str">
        <f t="shared" ref="S515:U515" si="516">IF(E515&lt;&gt;"","Yes","")</f>
        <v>Yes</v>
      </c>
      <c r="T515" s="24" t="str">
        <f t="shared" si="516"/>
        <v/>
      </c>
      <c r="U515" s="24" t="str">
        <f t="shared" si="516"/>
        <v/>
      </c>
      <c r="V515" s="24" t="str">
        <f t="shared" si="3"/>
        <v/>
      </c>
      <c r="W515" s="24" t="str">
        <f t="shared" si="4"/>
        <v/>
      </c>
    </row>
    <row r="516">
      <c r="A516" s="18">
        <f>HYPERLINK("https://app.hubspot.com/contacts/8748051/record/0-1/21548832071", 21548832071)</f>
        <v>21548832071</v>
      </c>
      <c r="B516" s="14" t="s">
        <v>5681</v>
      </c>
      <c r="C516" s="16"/>
      <c r="D516" s="16"/>
      <c r="E516" s="32">
        <v>45367.0</v>
      </c>
      <c r="F516" s="32">
        <v>45428.0</v>
      </c>
      <c r="G516" s="32"/>
      <c r="H516" s="14"/>
      <c r="I516" s="14"/>
      <c r="J516" s="14"/>
      <c r="K516" s="18">
        <f>HYPERLINK("https://app.hubspot.com/contacts/8748051/record/0-2/10038650925", 10038650925)</f>
        <v>10038650925</v>
      </c>
      <c r="L516" s="14" t="s">
        <v>1755</v>
      </c>
      <c r="M516" s="18" t="s">
        <v>1756</v>
      </c>
      <c r="N516" s="18">
        <f>HYPERLINK("https://app.hubspot.com/contacts/8748051/record/0-3/19382287200", 19382287200)</f>
        <v>19382287200</v>
      </c>
      <c r="O516" s="14" t="s">
        <v>1754</v>
      </c>
      <c r="P516" s="14" t="s">
        <v>118</v>
      </c>
      <c r="Q516" s="14">
        <v>16080.0</v>
      </c>
      <c r="R516" s="14"/>
      <c r="S516" s="24" t="str">
        <f t="shared" ref="S516:U516" si="517">IF(E516&lt;&gt;"","Yes","")</f>
        <v>Yes</v>
      </c>
      <c r="T516" s="24" t="str">
        <f t="shared" si="517"/>
        <v>Yes</v>
      </c>
      <c r="U516" s="24" t="str">
        <f t="shared" si="517"/>
        <v/>
      </c>
      <c r="V516" s="24" t="str">
        <f t="shared" si="3"/>
        <v/>
      </c>
      <c r="W516" s="24" t="str">
        <f t="shared" si="4"/>
        <v/>
      </c>
    </row>
    <row r="517">
      <c r="A517" s="18">
        <f>HYPERLINK("https://app.hubspot.com/contacts/8748051/record/0-1/22984584002", 22984584002)</f>
        <v>22984584002</v>
      </c>
      <c r="B517" s="14" t="s">
        <v>5682</v>
      </c>
      <c r="C517" s="24"/>
      <c r="D517" s="24"/>
      <c r="E517" s="32">
        <v>45433.0</v>
      </c>
      <c r="F517" s="32">
        <v>45453.0</v>
      </c>
      <c r="G517" s="32"/>
      <c r="H517" s="14"/>
      <c r="I517" s="24"/>
      <c r="J517" s="24"/>
      <c r="K517" s="18">
        <f>HYPERLINK("https://app.hubspot.com/contacts/8748051/record/0-2/7941783360", 7941783360)</f>
        <v>7941783360</v>
      </c>
      <c r="L517" s="14" t="s">
        <v>1655</v>
      </c>
      <c r="M517" s="18" t="s">
        <v>1656</v>
      </c>
      <c r="N517" s="23">
        <f>HYPERLINK("https://app.hubspot.com/contacts/8748051/record/0-3/19989811457", 19989811457)</f>
        <v>19989811457</v>
      </c>
      <c r="O517" s="14" t="s">
        <v>1654</v>
      </c>
      <c r="P517" s="14" t="s">
        <v>118</v>
      </c>
      <c r="Q517" s="14">
        <v>31200.0</v>
      </c>
      <c r="R517" s="24"/>
      <c r="S517" s="24" t="str">
        <f t="shared" ref="S517:U517" si="518">IF(E517&lt;&gt;"","Yes","")</f>
        <v>Yes</v>
      </c>
      <c r="T517" s="24" t="str">
        <f t="shared" si="518"/>
        <v>Yes</v>
      </c>
      <c r="U517" s="24" t="str">
        <f t="shared" si="518"/>
        <v/>
      </c>
      <c r="V517" s="24" t="str">
        <f t="shared" si="3"/>
        <v/>
      </c>
      <c r="W517" s="24" t="str">
        <f t="shared" si="4"/>
        <v/>
      </c>
    </row>
    <row r="518">
      <c r="A518" s="18">
        <f>HYPERLINK("https://app.hubspot.com/contacts/8748051/record/0-1/25727803543", 25727803543)</f>
        <v>25727803543</v>
      </c>
      <c r="B518" s="14" t="s">
        <v>5683</v>
      </c>
      <c r="C518" s="16"/>
      <c r="D518" s="16"/>
      <c r="E518" s="32">
        <v>45442.0</v>
      </c>
      <c r="F518" s="32"/>
      <c r="G518" s="32"/>
      <c r="H518" s="14"/>
      <c r="I518" s="14"/>
      <c r="J518" s="14"/>
      <c r="K518" s="18">
        <f>HYPERLINK("https://app.hubspot.com/contacts/8748051/record/0-2/9137340956", 9137340956)</f>
        <v>9137340956</v>
      </c>
      <c r="L518" s="14" t="s">
        <v>5036</v>
      </c>
      <c r="M518" s="18" t="s">
        <v>5037</v>
      </c>
      <c r="N518" s="14"/>
      <c r="O518" s="14"/>
      <c r="P518" s="14"/>
      <c r="Q518" s="14"/>
      <c r="R518" s="24"/>
      <c r="S518" s="24" t="str">
        <f t="shared" ref="S518:U518" si="519">IF(E518&lt;&gt;"","Yes","")</f>
        <v>Yes</v>
      </c>
      <c r="T518" s="24" t="str">
        <f t="shared" si="519"/>
        <v/>
      </c>
      <c r="U518" s="24" t="str">
        <f t="shared" si="519"/>
        <v/>
      </c>
      <c r="V518" s="24" t="str">
        <f t="shared" si="3"/>
        <v/>
      </c>
      <c r="W518" s="24" t="str">
        <f t="shared" si="4"/>
        <v/>
      </c>
    </row>
    <row r="519">
      <c r="A519" s="18">
        <f>HYPERLINK("https://app.hubspot.com/contacts/8748051/record/0-1/22889990562", 22889990562)</f>
        <v>22889990562</v>
      </c>
      <c r="B519" s="14" t="s">
        <v>5684</v>
      </c>
      <c r="C519" s="16"/>
      <c r="D519" s="16"/>
      <c r="E519" s="32">
        <v>45432.0</v>
      </c>
      <c r="F519" s="32">
        <v>45435.0</v>
      </c>
      <c r="G519" s="32">
        <v>45435.0</v>
      </c>
      <c r="H519" s="14"/>
      <c r="I519" s="14"/>
      <c r="J519" s="14"/>
      <c r="K519" s="18">
        <f>HYPERLINK("https://app.hubspot.com/contacts/8748051/record/0-2/8096886339", 8096886339)</f>
        <v>8096886339</v>
      </c>
      <c r="L519" s="18" t="s">
        <v>1712</v>
      </c>
      <c r="M519" s="18" t="s">
        <v>1713</v>
      </c>
      <c r="N519" s="18">
        <f>HYPERLINK("https://app.hubspot.com/contacts/8748051/record/0-3/19553200478", 19553200478)</f>
        <v>19553200478</v>
      </c>
      <c r="O519" s="14" t="s">
        <v>1711</v>
      </c>
      <c r="P519" s="14" t="s">
        <v>118</v>
      </c>
      <c r="Q519" s="14">
        <v>44640.0</v>
      </c>
      <c r="R519" s="14"/>
      <c r="S519" s="24" t="str">
        <f t="shared" ref="S519:U519" si="520">IF(E519&lt;&gt;"","Yes","")</f>
        <v>Yes</v>
      </c>
      <c r="T519" s="24" t="str">
        <f t="shared" si="520"/>
        <v>Yes</v>
      </c>
      <c r="U519" s="24" t="str">
        <f t="shared" si="520"/>
        <v>Yes</v>
      </c>
      <c r="V519" s="24" t="str">
        <f t="shared" si="3"/>
        <v/>
      </c>
      <c r="W519" s="24" t="str">
        <f t="shared" si="4"/>
        <v/>
      </c>
    </row>
    <row r="520">
      <c r="A520" s="18">
        <f>HYPERLINK("https://app.hubspot.com/contacts/8748051/record/0-1/23806332193", 23806332193)</f>
        <v>23806332193</v>
      </c>
      <c r="B520" s="14" t="s">
        <v>5685</v>
      </c>
      <c r="C520" s="16"/>
      <c r="D520" s="16"/>
      <c r="E520" s="32">
        <v>45436.0</v>
      </c>
      <c r="F520" s="32">
        <v>45464.0</v>
      </c>
      <c r="G520" s="32">
        <v>45464.0</v>
      </c>
      <c r="H520" s="14"/>
      <c r="I520" s="14"/>
      <c r="J520" s="14"/>
      <c r="K520" s="18">
        <f>HYPERLINK("https://app.hubspot.com/contacts/8748051/record/0-2/8964769280", 8964769280)</f>
        <v>8964769280</v>
      </c>
      <c r="L520" s="14" t="s">
        <v>1649</v>
      </c>
      <c r="M520" s="18" t="s">
        <v>1650</v>
      </c>
      <c r="N520" s="23">
        <f>HYPERLINK("https://app.hubspot.com/contacts/8748051/record/0-3/19992876367", 19992876367)</f>
        <v>19992876367</v>
      </c>
      <c r="O520" s="14" t="s">
        <v>1648</v>
      </c>
      <c r="P520" s="14" t="s">
        <v>118</v>
      </c>
      <c r="Q520" s="14">
        <v>5280.0</v>
      </c>
      <c r="R520" s="14"/>
      <c r="S520" s="24" t="str">
        <f t="shared" ref="S520:U520" si="521">IF(E520&lt;&gt;"","Yes","")</f>
        <v>Yes</v>
      </c>
      <c r="T520" s="24" t="str">
        <f t="shared" si="521"/>
        <v>Yes</v>
      </c>
      <c r="U520" s="24" t="str">
        <f t="shared" si="521"/>
        <v>Yes</v>
      </c>
      <c r="V520" s="24" t="str">
        <f t="shared" si="3"/>
        <v/>
      </c>
      <c r="W520" s="24" t="str">
        <f t="shared" si="4"/>
        <v/>
      </c>
    </row>
    <row r="521">
      <c r="A521" s="18">
        <f>HYPERLINK("https://app.hubspot.com/contacts/8748051/record/0-1/21173489417", 21173489417)</f>
        <v>21173489417</v>
      </c>
      <c r="B521" s="14" t="s">
        <v>5686</v>
      </c>
      <c r="C521" s="16"/>
      <c r="D521" s="16"/>
      <c r="E521" s="32">
        <v>45426.0</v>
      </c>
      <c r="F521" s="32"/>
      <c r="G521" s="32"/>
      <c r="H521" s="14"/>
      <c r="I521" s="14"/>
      <c r="J521" s="14"/>
      <c r="K521" s="18">
        <f>HYPERLINK("https://app.hubspot.com/contacts/8748051/record/0-2/14811155295", 14811155295)</f>
        <v>14811155295</v>
      </c>
      <c r="L521" s="14" t="s">
        <v>5687</v>
      </c>
      <c r="M521" s="18" t="s">
        <v>5688</v>
      </c>
      <c r="N521" s="14"/>
      <c r="O521" s="14"/>
      <c r="P521" s="14"/>
      <c r="Q521" s="14"/>
      <c r="R521" s="14"/>
      <c r="S521" s="24" t="str">
        <f t="shared" ref="S521:U521" si="522">IF(E521&lt;&gt;"","Yes","")</f>
        <v>Yes</v>
      </c>
      <c r="T521" s="24" t="str">
        <f t="shared" si="522"/>
        <v/>
      </c>
      <c r="U521" s="24" t="str">
        <f t="shared" si="522"/>
        <v/>
      </c>
      <c r="V521" s="24" t="str">
        <f t="shared" si="3"/>
        <v/>
      </c>
      <c r="W521" s="24" t="str">
        <f t="shared" si="4"/>
        <v/>
      </c>
    </row>
    <row r="522">
      <c r="A522" s="18">
        <f>HYPERLINK("https://app.hubspot.com/contacts/8748051/record/0-1/21111822915", 21111822915)</f>
        <v>21111822915</v>
      </c>
      <c r="B522" s="14" t="s">
        <v>5689</v>
      </c>
      <c r="C522" s="16"/>
      <c r="D522" s="16"/>
      <c r="E522" s="32">
        <v>45426.0</v>
      </c>
      <c r="F522" s="32"/>
      <c r="G522" s="32"/>
      <c r="H522" s="14"/>
      <c r="I522" s="14"/>
      <c r="J522" s="14"/>
      <c r="K522" s="18">
        <f>HYPERLINK("https://app.hubspot.com/contacts/8748051/record/0-2/9227907907", 9227907907)</f>
        <v>9227907907</v>
      </c>
      <c r="L522" s="14" t="s">
        <v>5690</v>
      </c>
      <c r="M522" s="18" t="s">
        <v>5691</v>
      </c>
      <c r="N522" s="14"/>
      <c r="O522" s="14"/>
      <c r="P522" s="14"/>
      <c r="Q522" s="14"/>
      <c r="R522" s="14"/>
      <c r="S522" s="24" t="str">
        <f t="shared" ref="S522:U522" si="523">IF(E522&lt;&gt;"","Yes","")</f>
        <v>Yes</v>
      </c>
      <c r="T522" s="24" t="str">
        <f t="shared" si="523"/>
        <v/>
      </c>
      <c r="U522" s="24" t="str">
        <f t="shared" si="523"/>
        <v/>
      </c>
      <c r="V522" s="24" t="str">
        <f t="shared" si="3"/>
        <v/>
      </c>
      <c r="W522" s="24" t="str">
        <f t="shared" si="4"/>
        <v/>
      </c>
    </row>
    <row r="523">
      <c r="A523" s="18">
        <f>HYPERLINK("https://app.hubspot.com/contacts/8748051/record/0-1/24926982738", 24926982738)</f>
        <v>24926982738</v>
      </c>
      <c r="B523" s="14" t="s">
        <v>5692</v>
      </c>
      <c r="C523" s="16"/>
      <c r="D523" s="16"/>
      <c r="E523" s="32">
        <v>45440.0</v>
      </c>
      <c r="F523" s="32"/>
      <c r="G523" s="32"/>
      <c r="H523" s="14"/>
      <c r="I523" s="14"/>
      <c r="J523" s="14"/>
      <c r="K523" s="18">
        <f>HYPERLINK("https://app.hubspot.com/contacts/8748051/record/0-2/6266336884", 6266336884)</f>
        <v>6266336884</v>
      </c>
      <c r="L523" s="14" t="s">
        <v>1359</v>
      </c>
      <c r="M523" s="18" t="s">
        <v>1360</v>
      </c>
      <c r="N523" s="14"/>
      <c r="O523" s="14"/>
      <c r="P523" s="14"/>
      <c r="Q523" s="14"/>
      <c r="R523" s="14"/>
      <c r="S523" s="24" t="str">
        <f t="shared" ref="S523:U523" si="524">IF(E523&lt;&gt;"","Yes","")</f>
        <v>Yes</v>
      </c>
      <c r="T523" s="24" t="str">
        <f t="shared" si="524"/>
        <v/>
      </c>
      <c r="U523" s="24" t="str">
        <f t="shared" si="524"/>
        <v/>
      </c>
      <c r="V523" s="24" t="str">
        <f t="shared" si="3"/>
        <v/>
      </c>
      <c r="W523" s="24" t="str">
        <f t="shared" si="4"/>
        <v/>
      </c>
    </row>
    <row r="524">
      <c r="A524" s="18">
        <f>HYPERLINK("https://app.hubspot.com/contacts/8748051/record/0-1/24181640544", 24181640544)</f>
        <v>24181640544</v>
      </c>
      <c r="B524" s="14" t="s">
        <v>5693</v>
      </c>
      <c r="C524" s="16"/>
      <c r="D524" s="16"/>
      <c r="E524" s="32">
        <v>45439.0</v>
      </c>
      <c r="F524" s="32"/>
      <c r="G524" s="32"/>
      <c r="H524" s="14"/>
      <c r="I524" s="14"/>
      <c r="J524" s="14"/>
      <c r="K524" s="18">
        <f>HYPERLINK("https://app.hubspot.com/contacts/8748051/record/0-2/19177269679", 19177269679)</f>
        <v>19177269679</v>
      </c>
      <c r="L524" s="14" t="s">
        <v>112</v>
      </c>
      <c r="M524" s="18" t="s">
        <v>5694</v>
      </c>
      <c r="N524" s="14"/>
      <c r="O524" s="14"/>
      <c r="P524" s="14"/>
      <c r="Q524" s="14"/>
      <c r="R524" s="24"/>
      <c r="S524" s="24" t="str">
        <f t="shared" ref="S524:U524" si="525">IF(E524&lt;&gt;"","Yes","")</f>
        <v>Yes</v>
      </c>
      <c r="T524" s="24" t="str">
        <f t="shared" si="525"/>
        <v/>
      </c>
      <c r="U524" s="24" t="str">
        <f t="shared" si="525"/>
        <v/>
      </c>
      <c r="V524" s="24" t="str">
        <f t="shared" si="3"/>
        <v/>
      </c>
      <c r="W524" s="24" t="str">
        <f t="shared" si="4"/>
        <v/>
      </c>
    </row>
    <row r="525">
      <c r="A525" s="18">
        <f>HYPERLINK("https://app.hubspot.com/contacts/8748051/record/0-1/27783764042", 27783764042)</f>
        <v>27783764042</v>
      </c>
      <c r="B525" s="14" t="s">
        <v>5695</v>
      </c>
      <c r="C525" s="24"/>
      <c r="D525" s="24"/>
      <c r="E525" s="32">
        <v>45449.0</v>
      </c>
      <c r="F525" s="24"/>
      <c r="G525" s="24"/>
      <c r="H525" s="14"/>
      <c r="I525" s="24"/>
      <c r="J525" s="24"/>
      <c r="K525" s="18">
        <f>HYPERLINK("https://app.hubspot.com/contacts/8748051/record/0-2/8816890039", 8816890039)</f>
        <v>8816890039</v>
      </c>
      <c r="L525" s="14" t="s">
        <v>736</v>
      </c>
      <c r="M525" s="18" t="s">
        <v>737</v>
      </c>
      <c r="N525" s="24"/>
      <c r="O525" s="24"/>
      <c r="P525" s="24"/>
      <c r="Q525" s="24"/>
      <c r="R525" s="24"/>
      <c r="S525" s="24" t="str">
        <f t="shared" ref="S525:U525" si="526">IF(E525&lt;&gt;"","Yes","")</f>
        <v>Yes</v>
      </c>
      <c r="T525" s="24" t="str">
        <f t="shared" si="526"/>
        <v/>
      </c>
      <c r="U525" s="24" t="str">
        <f t="shared" si="526"/>
        <v/>
      </c>
      <c r="V525" s="24" t="str">
        <f t="shared" si="3"/>
        <v/>
      </c>
      <c r="W525" s="24" t="str">
        <f t="shared" si="4"/>
        <v/>
      </c>
    </row>
    <row r="526">
      <c r="A526" s="18">
        <f>HYPERLINK("https://app.hubspot.com/contacts/8748051/record/0-1/21594627227", 21594627227)</f>
        <v>21594627227</v>
      </c>
      <c r="B526" s="14" t="s">
        <v>5696</v>
      </c>
      <c r="C526" s="16"/>
      <c r="D526" s="16"/>
      <c r="E526" s="32">
        <v>45428.0</v>
      </c>
      <c r="F526" s="32"/>
      <c r="G526" s="32"/>
      <c r="H526" s="24"/>
      <c r="I526" s="14"/>
      <c r="J526" s="14"/>
      <c r="K526" s="18">
        <f>HYPERLINK("https://app.hubspot.com/contacts/8748051/record/0-2/19176661001", 19176661001)</f>
        <v>19176661001</v>
      </c>
      <c r="L526" s="14" t="s">
        <v>5697</v>
      </c>
      <c r="M526" s="18" t="s">
        <v>5698</v>
      </c>
      <c r="N526" s="14"/>
      <c r="O526" s="14"/>
      <c r="P526" s="14"/>
      <c r="Q526" s="14"/>
      <c r="R526" s="24"/>
      <c r="S526" s="24" t="str">
        <f t="shared" ref="S526:U526" si="527">IF(E526&lt;&gt;"","Yes","")</f>
        <v>Yes</v>
      </c>
      <c r="T526" s="24" t="str">
        <f t="shared" si="527"/>
        <v/>
      </c>
      <c r="U526" s="24" t="str">
        <f t="shared" si="527"/>
        <v/>
      </c>
      <c r="V526" s="24" t="str">
        <f t="shared" si="3"/>
        <v/>
      </c>
      <c r="W526" s="24" t="str">
        <f t="shared" si="4"/>
        <v/>
      </c>
    </row>
    <row r="527">
      <c r="A527" s="18">
        <f>HYPERLINK("https://app.hubspot.com/contacts/8748051/record/0-1/24638044208", 24638044208)</f>
        <v>24638044208</v>
      </c>
      <c r="B527" s="14" t="s">
        <v>5699</v>
      </c>
      <c r="C527" s="16"/>
      <c r="D527" s="16"/>
      <c r="E527" s="32">
        <v>45439.0</v>
      </c>
      <c r="F527" s="32"/>
      <c r="G527" s="32"/>
      <c r="H527" s="14"/>
      <c r="I527" s="14"/>
      <c r="J527" s="14"/>
      <c r="K527" s="18">
        <f>HYPERLINK("https://app.hubspot.com/contacts/8748051/record/0-2/8920332114", 8920332114)</f>
        <v>8920332114</v>
      </c>
      <c r="L527" s="14" t="s">
        <v>5700</v>
      </c>
      <c r="M527" s="18" t="s">
        <v>5701</v>
      </c>
      <c r="N527" s="14"/>
      <c r="O527" s="14"/>
      <c r="P527" s="14"/>
      <c r="Q527" s="14"/>
      <c r="R527" s="24"/>
      <c r="S527" s="24" t="str">
        <f t="shared" ref="S527:U527" si="528">IF(E527&lt;&gt;"","Yes","")</f>
        <v>Yes</v>
      </c>
      <c r="T527" s="24" t="str">
        <f t="shared" si="528"/>
        <v/>
      </c>
      <c r="U527" s="24" t="str">
        <f t="shared" si="528"/>
        <v/>
      </c>
      <c r="V527" s="24" t="str">
        <f t="shared" si="3"/>
        <v/>
      </c>
      <c r="W527" s="24" t="str">
        <f t="shared" si="4"/>
        <v/>
      </c>
    </row>
    <row r="528">
      <c r="A528" s="18">
        <f>HYPERLINK("https://app.hubspot.com/contacts/8748051/record/0-1/22915018542", 22915018542)</f>
        <v>22915018542</v>
      </c>
      <c r="B528" s="14" t="s">
        <v>5702</v>
      </c>
      <c r="C528" s="16"/>
      <c r="D528" s="16"/>
      <c r="E528" s="32">
        <v>45432.0</v>
      </c>
      <c r="F528" s="32"/>
      <c r="G528" s="32"/>
      <c r="H528" s="14"/>
      <c r="I528" s="14"/>
      <c r="J528" s="14"/>
      <c r="K528" s="18">
        <f>HYPERLINK("https://app.hubspot.com/contacts/8748051/record/0-2/7502183952", 7502183952)</f>
        <v>7502183952</v>
      </c>
      <c r="L528" s="14" t="s">
        <v>5703</v>
      </c>
      <c r="M528" s="18" t="s">
        <v>5704</v>
      </c>
      <c r="N528" s="14"/>
      <c r="O528" s="14"/>
      <c r="P528" s="14"/>
      <c r="Q528" s="14"/>
      <c r="R528" s="14"/>
      <c r="S528" s="24" t="str">
        <f t="shared" ref="S528:U528" si="529">IF(E528&lt;&gt;"","Yes","")</f>
        <v>Yes</v>
      </c>
      <c r="T528" s="24" t="str">
        <f t="shared" si="529"/>
        <v/>
      </c>
      <c r="U528" s="24" t="str">
        <f t="shared" si="529"/>
        <v/>
      </c>
      <c r="V528" s="24" t="str">
        <f t="shared" si="3"/>
        <v/>
      </c>
      <c r="W528" s="24" t="str">
        <f t="shared" si="4"/>
        <v/>
      </c>
    </row>
    <row r="529">
      <c r="A529" s="18">
        <f>HYPERLINK("https://app.hubspot.com/contacts/8748051/record/0-1/26608375710", 26608375710)</f>
        <v>26608375710</v>
      </c>
      <c r="B529" s="14" t="s">
        <v>5705</v>
      </c>
      <c r="C529" s="24"/>
      <c r="D529" s="24"/>
      <c r="E529" s="32">
        <v>45446.0</v>
      </c>
      <c r="F529" s="32">
        <v>45461.0</v>
      </c>
      <c r="G529" s="32">
        <v>45461.0</v>
      </c>
      <c r="H529" s="14"/>
      <c r="I529" s="24"/>
      <c r="J529" s="24"/>
      <c r="K529" s="18">
        <f>HYPERLINK("https://app.hubspot.com/contacts/8748051/record/0-2/19176317867", 19176317867)</f>
        <v>19176317867</v>
      </c>
      <c r="L529" s="14" t="s">
        <v>1616</v>
      </c>
      <c r="M529" s="18" t="s">
        <v>1617</v>
      </c>
      <c r="N529" s="23">
        <f>HYPERLINK("https://app.hubspot.com/contacts/8748051/record/0-3/20170334263", 20170334263)</f>
        <v>20170334263</v>
      </c>
      <c r="O529" s="14" t="s">
        <v>1615</v>
      </c>
      <c r="P529" s="14" t="s">
        <v>118</v>
      </c>
      <c r="Q529" s="14">
        <v>4320.0</v>
      </c>
      <c r="R529" s="24"/>
      <c r="S529" s="24" t="str">
        <f t="shared" ref="S529:U529" si="530">IF(E529&lt;&gt;"","Yes","")</f>
        <v>Yes</v>
      </c>
      <c r="T529" s="24" t="str">
        <f t="shared" si="530"/>
        <v>Yes</v>
      </c>
      <c r="U529" s="24" t="str">
        <f t="shared" si="530"/>
        <v>Yes</v>
      </c>
      <c r="V529" s="24" t="str">
        <f t="shared" si="3"/>
        <v/>
      </c>
      <c r="W529" s="24" t="str">
        <f t="shared" si="4"/>
        <v/>
      </c>
    </row>
    <row r="530">
      <c r="A530" s="18">
        <f>HYPERLINK("https://app.hubspot.com/contacts/8748051/record/0-1/21068272915", 21068272915)</f>
        <v>21068272915</v>
      </c>
      <c r="B530" s="14" t="s">
        <v>5706</v>
      </c>
      <c r="C530" s="16"/>
      <c r="D530" s="16"/>
      <c r="E530" s="32">
        <v>45436.0</v>
      </c>
      <c r="F530" s="32"/>
      <c r="G530" s="32"/>
      <c r="H530" s="14"/>
      <c r="I530" s="14"/>
      <c r="J530" s="14"/>
      <c r="K530" s="18">
        <f>HYPERLINK("https://app.hubspot.com/contacts/8748051/record/0-2/19176672158", 19176672158)</f>
        <v>19176672158</v>
      </c>
      <c r="L530" s="14" t="s">
        <v>4455</v>
      </c>
      <c r="M530" s="18" t="s">
        <v>4456</v>
      </c>
      <c r="N530" s="14"/>
      <c r="O530" s="14"/>
      <c r="P530" s="14"/>
      <c r="Q530" s="14"/>
      <c r="R530" s="24"/>
      <c r="S530" s="24" t="str">
        <f t="shared" ref="S530:U530" si="531">IF(E530&lt;&gt;"","Yes","")</f>
        <v>Yes</v>
      </c>
      <c r="T530" s="24" t="str">
        <f t="shared" si="531"/>
        <v/>
      </c>
      <c r="U530" s="24" t="str">
        <f t="shared" si="531"/>
        <v/>
      </c>
      <c r="V530" s="24" t="str">
        <f t="shared" si="3"/>
        <v/>
      </c>
      <c r="W530" s="24" t="str">
        <f t="shared" si="4"/>
        <v/>
      </c>
    </row>
    <row r="531">
      <c r="A531" s="18">
        <f>HYPERLINK("https://app.hubspot.com/contacts/8748051/record/0-1/21908913980", 21908913980)</f>
        <v>21908913980</v>
      </c>
      <c r="B531" s="14" t="s">
        <v>5707</v>
      </c>
      <c r="C531" s="16"/>
      <c r="D531" s="16"/>
      <c r="E531" s="32">
        <v>45428.0</v>
      </c>
      <c r="F531" s="32"/>
      <c r="G531" s="32"/>
      <c r="H531" s="14"/>
      <c r="I531" s="14"/>
      <c r="J531" s="14"/>
      <c r="K531" s="18">
        <f>HYPERLINK("https://app.hubspot.com/contacts/8748051/record/0-2/18382803000", 18382803000)</f>
        <v>18382803000</v>
      </c>
      <c r="L531" s="14" t="s">
        <v>5708</v>
      </c>
      <c r="M531" s="18" t="s">
        <v>5709</v>
      </c>
      <c r="N531" s="14"/>
      <c r="O531" s="14"/>
      <c r="P531" s="14"/>
      <c r="Q531" s="14"/>
      <c r="R531" s="14"/>
      <c r="S531" s="24" t="str">
        <f t="shared" ref="S531:U531" si="532">IF(E531&lt;&gt;"","Yes","")</f>
        <v>Yes</v>
      </c>
      <c r="T531" s="24" t="str">
        <f t="shared" si="532"/>
        <v/>
      </c>
      <c r="U531" s="24" t="str">
        <f t="shared" si="532"/>
        <v/>
      </c>
      <c r="V531" s="24" t="str">
        <f t="shared" si="3"/>
        <v/>
      </c>
      <c r="W531" s="24" t="str">
        <f t="shared" si="4"/>
        <v/>
      </c>
    </row>
    <row r="532">
      <c r="A532" s="18">
        <f>HYPERLINK("https://app.hubspot.com/contacts/8748051/record/0-1/27425270648", 27425270648)</f>
        <v>27425270648</v>
      </c>
      <c r="B532" s="14" t="s">
        <v>5710</v>
      </c>
      <c r="C532" s="16"/>
      <c r="D532" s="16"/>
      <c r="E532" s="32">
        <v>45449.0</v>
      </c>
      <c r="F532" s="32"/>
      <c r="G532" s="24"/>
      <c r="H532" s="14"/>
      <c r="I532" s="14"/>
      <c r="J532" s="14"/>
      <c r="K532" s="18">
        <f>HYPERLINK("https://app.hubspot.com/contacts/8748051/record/0-2/6262678349", 6262678349)</f>
        <v>6262678349</v>
      </c>
      <c r="L532" s="18" t="s">
        <v>3182</v>
      </c>
      <c r="M532" s="18" t="s">
        <v>3184</v>
      </c>
      <c r="N532" s="14"/>
      <c r="O532" s="14"/>
      <c r="P532" s="14"/>
      <c r="Q532" s="14"/>
      <c r="R532" s="24"/>
      <c r="S532" s="24" t="str">
        <f t="shared" ref="S532:U532" si="533">IF(E532&lt;&gt;"","Yes","")</f>
        <v>Yes</v>
      </c>
      <c r="T532" s="24" t="str">
        <f t="shared" si="533"/>
        <v/>
      </c>
      <c r="U532" s="24" t="str">
        <f t="shared" si="533"/>
        <v/>
      </c>
      <c r="V532" s="24" t="str">
        <f t="shared" si="3"/>
        <v/>
      </c>
      <c r="W532" s="24" t="str">
        <f t="shared" si="4"/>
        <v/>
      </c>
    </row>
    <row r="533">
      <c r="A533" s="18">
        <f>HYPERLINK("https://app.hubspot.com/contacts/8748051/record/0-1/25608213861", 25608213861)</f>
        <v>25608213861</v>
      </c>
      <c r="B533" s="14" t="s">
        <v>5711</v>
      </c>
      <c r="C533" s="16"/>
      <c r="D533" s="14"/>
      <c r="E533" s="32">
        <v>45442.0</v>
      </c>
      <c r="F533" s="32"/>
      <c r="G533" s="32"/>
      <c r="H533" s="14"/>
      <c r="I533" s="14"/>
      <c r="J533" s="14"/>
      <c r="K533" s="18">
        <f>HYPERLINK("https://app.hubspot.com/contacts/8748051/record/0-2/9793712736", 9793712736)</f>
        <v>9793712736</v>
      </c>
      <c r="L533" s="14" t="s">
        <v>5071</v>
      </c>
      <c r="M533" s="18" t="s">
        <v>5072</v>
      </c>
      <c r="N533" s="14"/>
      <c r="O533" s="14"/>
      <c r="P533" s="14"/>
      <c r="Q533" s="14"/>
      <c r="R533" s="14"/>
      <c r="S533" s="24" t="str">
        <f t="shared" ref="S533:U533" si="534">IF(E533&lt;&gt;"","Yes","")</f>
        <v>Yes</v>
      </c>
      <c r="T533" s="24" t="str">
        <f t="shared" si="534"/>
        <v/>
      </c>
      <c r="U533" s="24" t="str">
        <f t="shared" si="534"/>
        <v/>
      </c>
      <c r="V533" s="24" t="str">
        <f t="shared" si="3"/>
        <v/>
      </c>
      <c r="W533" s="24" t="str">
        <f t="shared" si="4"/>
        <v/>
      </c>
    </row>
    <row r="534">
      <c r="A534" s="18">
        <f>HYPERLINK("https://app.hubspot.com/contacts/8748051/record/0-1/28073478942", 28073478942)</f>
        <v>28073478942</v>
      </c>
      <c r="B534" s="14" t="s">
        <v>5712</v>
      </c>
      <c r="C534" s="16"/>
      <c r="D534" s="14"/>
      <c r="E534" s="32">
        <v>45450.0</v>
      </c>
      <c r="F534" s="32"/>
      <c r="G534" s="32"/>
      <c r="H534" s="14"/>
      <c r="I534" s="14"/>
      <c r="J534" s="14"/>
      <c r="K534" s="18">
        <f>HYPERLINK("https://app.hubspot.com/contacts/8748051/record/0-2/6262832239", 6262832239)</f>
        <v>6262832239</v>
      </c>
      <c r="L534" s="14" t="s">
        <v>5713</v>
      </c>
      <c r="M534" s="18" t="s">
        <v>5714</v>
      </c>
      <c r="N534" s="14"/>
      <c r="O534" s="14"/>
      <c r="P534" s="14"/>
      <c r="Q534" s="14"/>
      <c r="R534" s="14"/>
      <c r="S534" s="24" t="str">
        <f t="shared" ref="S534:U534" si="535">IF(E534&lt;&gt;"","Yes","")</f>
        <v>Yes</v>
      </c>
      <c r="T534" s="24" t="str">
        <f t="shared" si="535"/>
        <v/>
      </c>
      <c r="U534" s="24" t="str">
        <f t="shared" si="535"/>
        <v/>
      </c>
      <c r="V534" s="24" t="str">
        <f t="shared" si="3"/>
        <v/>
      </c>
      <c r="W534" s="24" t="str">
        <f t="shared" si="4"/>
        <v/>
      </c>
    </row>
    <row r="535">
      <c r="A535" s="18">
        <f>HYPERLINK("https://app.hubspot.com/contacts/8748051/record/0-1/19717721128", 19717721128)</f>
        <v>19717721128</v>
      </c>
      <c r="B535" s="14" t="s">
        <v>5715</v>
      </c>
      <c r="C535" s="16"/>
      <c r="D535" s="14"/>
      <c r="E535" s="32">
        <v>45421.0</v>
      </c>
      <c r="F535" s="32"/>
      <c r="G535" s="32"/>
      <c r="H535" s="14"/>
      <c r="I535" s="14"/>
      <c r="J535" s="14"/>
      <c r="K535" s="18">
        <f>HYPERLINK("https://app.hubspot.com/contacts/8748051/record/0-2/8138451552", 8138451552)</f>
        <v>8138451552</v>
      </c>
      <c r="L535" s="14" t="s">
        <v>5716</v>
      </c>
      <c r="M535" s="18" t="s">
        <v>5717</v>
      </c>
      <c r="N535" s="14"/>
      <c r="O535" s="14"/>
      <c r="P535" s="14"/>
      <c r="Q535" s="14"/>
      <c r="R535" s="24"/>
      <c r="S535" s="24" t="str">
        <f t="shared" ref="S535:U535" si="536">IF(E535&lt;&gt;"","Yes","")</f>
        <v>Yes</v>
      </c>
      <c r="T535" s="24" t="str">
        <f t="shared" si="536"/>
        <v/>
      </c>
      <c r="U535" s="24" t="str">
        <f t="shared" si="536"/>
        <v/>
      </c>
      <c r="V535" s="24" t="str">
        <f t="shared" si="3"/>
        <v/>
      </c>
      <c r="W535" s="24" t="str">
        <f t="shared" si="4"/>
        <v/>
      </c>
    </row>
    <row r="536">
      <c r="A536" s="18">
        <f>HYPERLINK("https://app.hubspot.com/contacts/8748051/record/0-1/28428611088", 28428611088)</f>
        <v>28428611088</v>
      </c>
      <c r="B536" s="14" t="s">
        <v>5718</v>
      </c>
      <c r="C536" s="16"/>
      <c r="D536" s="16"/>
      <c r="E536" s="32">
        <v>45453.0</v>
      </c>
      <c r="F536" s="32">
        <v>45482.0</v>
      </c>
      <c r="G536" s="32">
        <v>45482.0</v>
      </c>
      <c r="H536" s="14"/>
      <c r="I536" s="14"/>
      <c r="J536" s="14"/>
      <c r="K536" s="18">
        <f>HYPERLINK("https://app.hubspot.com/contacts/8748051/record/0-2/8142475653", 8142475653)</f>
        <v>8142475653</v>
      </c>
      <c r="L536" s="14" t="s">
        <v>1584</v>
      </c>
      <c r="M536" s="18" t="s">
        <v>1585</v>
      </c>
      <c r="N536" s="18">
        <f>HYPERLINK("https://app.hubspot.com/contacts/8748051/record/0-3/20464248171", 20464248171)</f>
        <v>20464248171</v>
      </c>
      <c r="O536" s="14" t="s">
        <v>1583</v>
      </c>
      <c r="P536" s="14" t="s">
        <v>118</v>
      </c>
      <c r="Q536" s="14">
        <v>24720.0</v>
      </c>
      <c r="R536" s="14"/>
      <c r="S536" s="24" t="str">
        <f t="shared" ref="S536:U536" si="537">IF(E536&lt;&gt;"","Yes","")</f>
        <v>Yes</v>
      </c>
      <c r="T536" s="24" t="str">
        <f t="shared" si="537"/>
        <v>Yes</v>
      </c>
      <c r="U536" s="24" t="str">
        <f t="shared" si="537"/>
        <v>Yes</v>
      </c>
      <c r="V536" s="24" t="str">
        <f t="shared" si="3"/>
        <v/>
      </c>
      <c r="W536" s="24" t="str">
        <f t="shared" si="4"/>
        <v/>
      </c>
    </row>
    <row r="537">
      <c r="A537" s="18">
        <f>HYPERLINK("https://app.hubspot.com/contacts/8748051/record/0-1/19867802924", 19867802924)</f>
        <v>19867802924</v>
      </c>
      <c r="B537" s="14" t="s">
        <v>5719</v>
      </c>
      <c r="C537" s="16"/>
      <c r="D537" s="16"/>
      <c r="E537" s="32">
        <v>45421.0</v>
      </c>
      <c r="F537" s="32"/>
      <c r="G537" s="32"/>
      <c r="H537" s="14"/>
      <c r="I537" s="14"/>
      <c r="J537" s="14"/>
      <c r="K537" s="18">
        <f>HYPERLINK("https://app.hubspot.com/contacts/8748051/record/0-2/9190289789", 9190289789)</f>
        <v>9190289789</v>
      </c>
      <c r="L537" s="14" t="s">
        <v>5720</v>
      </c>
      <c r="M537" s="18" t="s">
        <v>5721</v>
      </c>
      <c r="N537" s="14"/>
      <c r="O537" s="14"/>
      <c r="P537" s="14"/>
      <c r="Q537" s="14"/>
      <c r="R537" s="24"/>
      <c r="S537" s="24" t="str">
        <f t="shared" ref="S537:U537" si="538">IF(E537&lt;&gt;"","Yes","")</f>
        <v>Yes</v>
      </c>
      <c r="T537" s="24" t="str">
        <f t="shared" si="538"/>
        <v/>
      </c>
      <c r="U537" s="24" t="str">
        <f t="shared" si="538"/>
        <v/>
      </c>
      <c r="V537" s="24" t="str">
        <f t="shared" si="3"/>
        <v/>
      </c>
      <c r="W537" s="24" t="str">
        <f t="shared" si="4"/>
        <v/>
      </c>
    </row>
    <row r="538">
      <c r="A538" s="18">
        <f>HYPERLINK("https://app.hubspot.com/contacts/8748051/record/0-1/27767007412", 27767007412)</f>
        <v>27767007412</v>
      </c>
      <c r="B538" s="14" t="s">
        <v>5722</v>
      </c>
      <c r="C538" s="16"/>
      <c r="D538" s="16"/>
      <c r="E538" s="32">
        <v>45449.0</v>
      </c>
      <c r="F538" s="32"/>
      <c r="G538" s="32"/>
      <c r="H538" s="14"/>
      <c r="I538" s="14"/>
      <c r="J538" s="14"/>
      <c r="K538" s="18">
        <f>HYPERLINK("https://app.hubspot.com/contacts/8748051/record/0-2/7823720021", 7823720021)</f>
        <v>7823720021</v>
      </c>
      <c r="L538" s="14" t="s">
        <v>5723</v>
      </c>
      <c r="M538" s="18" t="s">
        <v>5724</v>
      </c>
      <c r="N538" s="14"/>
      <c r="O538" s="14"/>
      <c r="P538" s="14"/>
      <c r="Q538" s="14"/>
      <c r="R538" s="14"/>
      <c r="S538" s="24" t="str">
        <f t="shared" ref="S538:U538" si="539">IF(E538&lt;&gt;"","Yes","")</f>
        <v>Yes</v>
      </c>
      <c r="T538" s="24" t="str">
        <f t="shared" si="539"/>
        <v/>
      </c>
      <c r="U538" s="24" t="str">
        <f t="shared" si="539"/>
        <v/>
      </c>
      <c r="V538" s="24" t="str">
        <f t="shared" si="3"/>
        <v/>
      </c>
      <c r="W538" s="24" t="str">
        <f t="shared" si="4"/>
        <v/>
      </c>
    </row>
    <row r="539">
      <c r="A539" s="18">
        <f>HYPERLINK("https://app.hubspot.com/contacts/8748051/record/0-1/26642273872", 26642273872)</f>
        <v>26642273872</v>
      </c>
      <c r="B539" s="14" t="s">
        <v>5725</v>
      </c>
      <c r="C539" s="16"/>
      <c r="D539" s="16"/>
      <c r="E539" s="32">
        <v>45446.0</v>
      </c>
      <c r="F539" s="32"/>
      <c r="G539" s="32"/>
      <c r="H539" s="14"/>
      <c r="I539" s="14"/>
      <c r="J539" s="14"/>
      <c r="K539" s="18">
        <f>HYPERLINK("https://app.hubspot.com/contacts/8748051/record/0-2/19176688552", 19176688552)</f>
        <v>19176688552</v>
      </c>
      <c r="L539" s="14" t="s">
        <v>5726</v>
      </c>
      <c r="M539" s="18" t="s">
        <v>5727</v>
      </c>
      <c r="N539" s="14"/>
      <c r="O539" s="14"/>
      <c r="P539" s="14"/>
      <c r="Q539" s="14"/>
      <c r="R539" s="24"/>
      <c r="S539" s="24" t="str">
        <f t="shared" ref="S539:U539" si="540">IF(E539&lt;&gt;"","Yes","")</f>
        <v>Yes</v>
      </c>
      <c r="T539" s="24" t="str">
        <f t="shared" si="540"/>
        <v/>
      </c>
      <c r="U539" s="24" t="str">
        <f t="shared" si="540"/>
        <v/>
      </c>
      <c r="V539" s="24" t="str">
        <f t="shared" si="3"/>
        <v/>
      </c>
      <c r="W539" s="24" t="str">
        <f t="shared" si="4"/>
        <v/>
      </c>
    </row>
    <row r="540">
      <c r="A540" s="18">
        <f>HYPERLINK("https://app.hubspot.com/contacts/8748051/record/0-1/27509346233", 27509346233)</f>
        <v>27509346233</v>
      </c>
      <c r="B540" s="14" t="s">
        <v>5728</v>
      </c>
      <c r="C540" s="16"/>
      <c r="D540" s="16"/>
      <c r="E540" s="32">
        <v>45449.0</v>
      </c>
      <c r="F540" s="32"/>
      <c r="G540" s="32"/>
      <c r="H540" s="14"/>
      <c r="I540" s="14"/>
      <c r="J540" s="14"/>
      <c r="K540" s="18">
        <f>HYPERLINK("https://app.hubspot.com/contacts/8748051/record/0-2/19176524584", 19176524584)</f>
        <v>19176524584</v>
      </c>
      <c r="L540" s="14" t="s">
        <v>5729</v>
      </c>
      <c r="M540" s="18" t="s">
        <v>5730</v>
      </c>
      <c r="N540" s="14"/>
      <c r="O540" s="14"/>
      <c r="P540" s="14"/>
      <c r="Q540" s="14"/>
      <c r="R540" s="24"/>
      <c r="S540" s="24" t="str">
        <f t="shared" ref="S540:U540" si="541">IF(E540&lt;&gt;"","Yes","")</f>
        <v>Yes</v>
      </c>
      <c r="T540" s="24" t="str">
        <f t="shared" si="541"/>
        <v/>
      </c>
      <c r="U540" s="24" t="str">
        <f t="shared" si="541"/>
        <v/>
      </c>
      <c r="V540" s="24" t="str">
        <f t="shared" si="3"/>
        <v/>
      </c>
      <c r="W540" s="24" t="str">
        <f t="shared" si="4"/>
        <v/>
      </c>
    </row>
    <row r="541">
      <c r="A541" s="18">
        <f>HYPERLINK("https://app.hubspot.com/contacts/8748051/record/0-1/26863583852", 26863583852)</f>
        <v>26863583852</v>
      </c>
      <c r="B541" s="14" t="s">
        <v>5731</v>
      </c>
      <c r="C541" s="16"/>
      <c r="D541" s="16"/>
      <c r="E541" s="32">
        <v>45447.0</v>
      </c>
      <c r="F541" s="32"/>
      <c r="G541" s="32"/>
      <c r="H541" s="14"/>
      <c r="I541" s="14"/>
      <c r="J541" s="14"/>
      <c r="K541" s="18">
        <f>HYPERLINK("https://app.hubspot.com/contacts/8748051/record/0-2/8964769280", 8964769280)</f>
        <v>8964769280</v>
      </c>
      <c r="L541" s="14" t="s">
        <v>1649</v>
      </c>
      <c r="M541" s="18" t="s">
        <v>1650</v>
      </c>
      <c r="N541" s="14"/>
      <c r="O541" s="14"/>
      <c r="P541" s="14"/>
      <c r="Q541" s="14"/>
      <c r="R541" s="14"/>
      <c r="S541" s="24" t="str">
        <f t="shared" ref="S541:U541" si="542">IF(E541&lt;&gt;"","Yes","")</f>
        <v>Yes</v>
      </c>
      <c r="T541" s="24" t="str">
        <f t="shared" si="542"/>
        <v/>
      </c>
      <c r="U541" s="24" t="str">
        <f t="shared" si="542"/>
        <v/>
      </c>
      <c r="V541" s="24" t="str">
        <f t="shared" si="3"/>
        <v/>
      </c>
      <c r="W541" s="24" t="str">
        <f t="shared" si="4"/>
        <v/>
      </c>
    </row>
    <row r="542">
      <c r="A542" s="18">
        <f>HYPERLINK("https://app.hubspot.com/contacts/8748051/record/0-1/25251568516", 25251568516)</f>
        <v>25251568516</v>
      </c>
      <c r="B542" s="14" t="s">
        <v>5732</v>
      </c>
      <c r="C542" s="16"/>
      <c r="D542" s="16"/>
      <c r="E542" s="32">
        <v>45441.0</v>
      </c>
      <c r="F542" s="32"/>
      <c r="G542" s="32"/>
      <c r="H542" s="14"/>
      <c r="I542" s="14"/>
      <c r="J542" s="14"/>
      <c r="K542" s="18">
        <f>HYPERLINK("https://app.hubspot.com/contacts/8748051/record/0-2/4761627925", 4761627925)</f>
        <v>4761627925</v>
      </c>
      <c r="L542" s="14" t="s">
        <v>3211</v>
      </c>
      <c r="M542" s="18" t="s">
        <v>3213</v>
      </c>
      <c r="N542" s="14"/>
      <c r="O542" s="14"/>
      <c r="P542" s="14"/>
      <c r="Q542" s="14"/>
      <c r="R542" s="24"/>
      <c r="S542" s="24" t="str">
        <f t="shared" ref="S542:U542" si="543">IF(E542&lt;&gt;"","Yes","")</f>
        <v>Yes</v>
      </c>
      <c r="T542" s="24" t="str">
        <f t="shared" si="543"/>
        <v/>
      </c>
      <c r="U542" s="24" t="str">
        <f t="shared" si="543"/>
        <v/>
      </c>
      <c r="V542" s="24" t="str">
        <f t="shared" si="3"/>
        <v/>
      </c>
      <c r="W542" s="24" t="str">
        <f t="shared" si="4"/>
        <v/>
      </c>
    </row>
    <row r="543">
      <c r="A543" s="18">
        <f>HYPERLINK("https://app.hubspot.com/contacts/8748051/record/0-1/25607404652", 25607404652)</f>
        <v>25607404652</v>
      </c>
      <c r="B543" s="14" t="s">
        <v>5733</v>
      </c>
      <c r="C543" s="16"/>
      <c r="D543" s="16"/>
      <c r="E543" s="32">
        <v>45442.0</v>
      </c>
      <c r="F543" s="32"/>
      <c r="G543" s="32"/>
      <c r="H543" s="14"/>
      <c r="I543" s="14"/>
      <c r="J543" s="14"/>
      <c r="K543" s="18">
        <f>HYPERLINK("https://app.hubspot.com/contacts/8748051/record/0-2/8142329509", 8142329509)</f>
        <v>8142329509</v>
      </c>
      <c r="L543" s="14" t="s">
        <v>5734</v>
      </c>
      <c r="M543" s="18" t="s">
        <v>5735</v>
      </c>
      <c r="N543" s="14"/>
      <c r="O543" s="14"/>
      <c r="P543" s="14"/>
      <c r="Q543" s="14"/>
      <c r="R543" s="14"/>
      <c r="S543" s="24" t="str">
        <f t="shared" ref="S543:U543" si="544">IF(E543&lt;&gt;"","Yes","")</f>
        <v>Yes</v>
      </c>
      <c r="T543" s="24" t="str">
        <f t="shared" si="544"/>
        <v/>
      </c>
      <c r="U543" s="24" t="str">
        <f t="shared" si="544"/>
        <v/>
      </c>
      <c r="V543" s="24" t="str">
        <f t="shared" si="3"/>
        <v/>
      </c>
      <c r="W543" s="24" t="str">
        <f t="shared" si="4"/>
        <v/>
      </c>
    </row>
    <row r="544">
      <c r="A544" s="18">
        <f>HYPERLINK("https://app.hubspot.com/contacts/8748051/record/0-1/26233310858", 26233310858)</f>
        <v>26233310858</v>
      </c>
      <c r="B544" s="14" t="s">
        <v>5736</v>
      </c>
      <c r="C544" s="16"/>
      <c r="D544" s="16"/>
      <c r="E544" s="32">
        <v>45446.0</v>
      </c>
      <c r="F544" s="32"/>
      <c r="G544" s="32"/>
      <c r="H544" s="14"/>
      <c r="I544" s="14"/>
      <c r="J544" s="14"/>
      <c r="K544" s="18">
        <f>HYPERLINK("https://app.hubspot.com/contacts/8748051/record/0-2/18382886215", 18382886215)</f>
        <v>18382886215</v>
      </c>
      <c r="L544" s="14" t="s">
        <v>397</v>
      </c>
      <c r="M544" s="18" t="s">
        <v>398</v>
      </c>
      <c r="N544" s="14"/>
      <c r="O544" s="14"/>
      <c r="P544" s="14"/>
      <c r="Q544" s="14"/>
      <c r="R544" s="14"/>
      <c r="S544" s="24" t="str">
        <f t="shared" ref="S544:U544" si="545">IF(E544&lt;&gt;"","Yes","")</f>
        <v>Yes</v>
      </c>
      <c r="T544" s="24" t="str">
        <f t="shared" si="545"/>
        <v/>
      </c>
      <c r="U544" s="24" t="str">
        <f t="shared" si="545"/>
        <v/>
      </c>
      <c r="V544" s="24" t="str">
        <f t="shared" si="3"/>
        <v/>
      </c>
      <c r="W544" s="24" t="str">
        <f t="shared" si="4"/>
        <v/>
      </c>
    </row>
    <row r="545">
      <c r="A545" s="18">
        <f>HYPERLINK("https://app.hubspot.com/contacts/8748051/record/0-1/21881066623", 21881066623)</f>
        <v>21881066623</v>
      </c>
      <c r="B545" s="14" t="s">
        <v>5737</v>
      </c>
      <c r="C545" s="16"/>
      <c r="D545" s="16"/>
      <c r="E545" s="32">
        <v>45435.0</v>
      </c>
      <c r="F545" s="32"/>
      <c r="G545" s="32"/>
      <c r="H545" s="14"/>
      <c r="I545" s="14"/>
      <c r="J545" s="14"/>
      <c r="K545" s="18">
        <f>HYPERLINK("https://app.hubspot.com/contacts/8748051/record/0-2/7894656355", 7894656355)</f>
        <v>7894656355</v>
      </c>
      <c r="L545" s="14" t="s">
        <v>1486</v>
      </c>
      <c r="M545" s="18" t="s">
        <v>1487</v>
      </c>
      <c r="N545" s="18">
        <f>HYPERLINK("https://app.hubspot.com/contacts/8748051/record/0-3/22568893263", 22568893263)</f>
        <v>22568893263</v>
      </c>
      <c r="O545" s="14" t="s">
        <v>1485</v>
      </c>
      <c r="P545" s="14" t="s">
        <v>118</v>
      </c>
      <c r="Q545" s="14">
        <v>16000.0</v>
      </c>
      <c r="R545" s="14"/>
      <c r="S545" s="24" t="str">
        <f t="shared" ref="S545:U545" si="546">IF(E545&lt;&gt;"","Yes","")</f>
        <v>Yes</v>
      </c>
      <c r="T545" s="24" t="str">
        <f t="shared" si="546"/>
        <v/>
      </c>
      <c r="U545" s="24" t="str">
        <f t="shared" si="546"/>
        <v/>
      </c>
      <c r="V545" s="24" t="str">
        <f t="shared" si="3"/>
        <v/>
      </c>
      <c r="W545" s="24" t="str">
        <f t="shared" si="4"/>
        <v/>
      </c>
    </row>
    <row r="546">
      <c r="A546" s="18">
        <f>HYPERLINK("https://app.hubspot.com/contacts/8748051/record/0-1/20277021538", 20277021538)</f>
        <v>20277021538</v>
      </c>
      <c r="B546" s="14" t="s">
        <v>5738</v>
      </c>
      <c r="C546" s="16"/>
      <c r="D546" s="16"/>
      <c r="E546" s="32">
        <v>45425.0</v>
      </c>
      <c r="F546" s="32"/>
      <c r="G546" s="32"/>
      <c r="H546" s="14"/>
      <c r="I546" s="14"/>
      <c r="J546" s="14"/>
      <c r="K546" s="18">
        <f>HYPERLINK("https://app.hubspot.com/contacts/8748051/record/0-2/9092487493", 9092487493)</f>
        <v>9092487493</v>
      </c>
      <c r="L546" s="14" t="s">
        <v>5739</v>
      </c>
      <c r="M546" s="18" t="s">
        <v>5740</v>
      </c>
      <c r="N546" s="14"/>
      <c r="O546" s="14"/>
      <c r="P546" s="14"/>
      <c r="Q546" s="14"/>
      <c r="R546" s="24"/>
      <c r="S546" s="24" t="str">
        <f t="shared" ref="S546:U546" si="547">IF(E546&lt;&gt;"","Yes","")</f>
        <v>Yes</v>
      </c>
      <c r="T546" s="24" t="str">
        <f t="shared" si="547"/>
        <v/>
      </c>
      <c r="U546" s="24" t="str">
        <f t="shared" si="547"/>
        <v/>
      </c>
      <c r="V546" s="24" t="str">
        <f t="shared" si="3"/>
        <v/>
      </c>
      <c r="W546" s="24" t="str">
        <f t="shared" si="4"/>
        <v/>
      </c>
    </row>
    <row r="547">
      <c r="A547" s="18">
        <f>HYPERLINK("https://app.hubspot.com/contacts/8748051/record/0-1/23588258315", 23588258315)</f>
        <v>23588258315</v>
      </c>
      <c r="B547" s="14" t="s">
        <v>5741</v>
      </c>
      <c r="C547" s="16"/>
      <c r="D547" s="16"/>
      <c r="E547" s="32">
        <v>45435.0</v>
      </c>
      <c r="F547" s="32">
        <v>45442.0</v>
      </c>
      <c r="G547" s="32">
        <v>45442.0</v>
      </c>
      <c r="H547" s="24"/>
      <c r="I547" s="24"/>
      <c r="J547" s="24"/>
      <c r="K547" s="18">
        <f>HYPERLINK("https://app.hubspot.com/contacts/8748051/record/0-2/14809894517", 14809894517)</f>
        <v>14809894517</v>
      </c>
      <c r="L547" s="14" t="s">
        <v>1694</v>
      </c>
      <c r="M547" s="18" t="s">
        <v>1695</v>
      </c>
      <c r="N547" s="18">
        <f>HYPERLINK("https://app.hubspot.com/contacts/8748051/record/0-3/19648590372", 19648590372)</f>
        <v>19648590372</v>
      </c>
      <c r="O547" s="14" t="s">
        <v>1693</v>
      </c>
      <c r="P547" s="14" t="s">
        <v>118</v>
      </c>
      <c r="Q547" s="14">
        <v>40800.0</v>
      </c>
      <c r="R547" s="14"/>
      <c r="S547" s="24" t="str">
        <f t="shared" ref="S547:U547" si="548">IF(E547&lt;&gt;"","Yes","")</f>
        <v>Yes</v>
      </c>
      <c r="T547" s="24" t="str">
        <f t="shared" si="548"/>
        <v>Yes</v>
      </c>
      <c r="U547" s="24" t="str">
        <f t="shared" si="548"/>
        <v>Yes</v>
      </c>
      <c r="V547" s="24" t="str">
        <f t="shared" si="3"/>
        <v/>
      </c>
      <c r="W547" s="24" t="str">
        <f t="shared" si="4"/>
        <v/>
      </c>
    </row>
    <row r="548">
      <c r="A548" s="18">
        <f>HYPERLINK("https://app.hubspot.com/contacts/8748051/record/0-1/25773382920", 25773382920)</f>
        <v>25773382920</v>
      </c>
      <c r="B548" s="14" t="s">
        <v>5742</v>
      </c>
      <c r="C548" s="16"/>
      <c r="D548" s="16"/>
      <c r="E548" s="32">
        <v>45442.0</v>
      </c>
      <c r="F548" s="32"/>
      <c r="G548" s="32"/>
      <c r="H548" s="14"/>
      <c r="I548" s="14"/>
      <c r="J548" s="14"/>
      <c r="K548" s="18">
        <f>HYPERLINK("https://app.hubspot.com/contacts/8748051/record/0-2/9238257176", 9238257176)</f>
        <v>9238257176</v>
      </c>
      <c r="L548" s="14" t="s">
        <v>5743</v>
      </c>
      <c r="M548" s="18" t="s">
        <v>5744</v>
      </c>
      <c r="N548" s="14"/>
      <c r="O548" s="14"/>
      <c r="P548" s="14"/>
      <c r="Q548" s="14"/>
      <c r="R548" s="14"/>
      <c r="S548" s="24" t="str">
        <f t="shared" ref="S548:U548" si="549">IF(E548&lt;&gt;"","Yes","")</f>
        <v>Yes</v>
      </c>
      <c r="T548" s="24" t="str">
        <f t="shared" si="549"/>
        <v/>
      </c>
      <c r="U548" s="24" t="str">
        <f t="shared" si="549"/>
        <v/>
      </c>
      <c r="V548" s="24" t="str">
        <f t="shared" si="3"/>
        <v/>
      </c>
      <c r="W548" s="24" t="str">
        <f t="shared" si="4"/>
        <v/>
      </c>
    </row>
    <row r="549">
      <c r="A549" s="18">
        <f>HYPERLINK("https://app.hubspot.com/contacts/8748051/record/0-1/22986180431", 22986180431)</f>
        <v>22986180431</v>
      </c>
      <c r="B549" s="14" t="s">
        <v>5745</v>
      </c>
      <c r="C549" s="16"/>
      <c r="D549" s="16"/>
      <c r="E549" s="32">
        <v>45433.0</v>
      </c>
      <c r="F549" s="32">
        <v>45434.0</v>
      </c>
      <c r="G549" s="32">
        <v>45434.0</v>
      </c>
      <c r="H549" s="14"/>
      <c r="I549" s="24"/>
      <c r="J549" s="24"/>
      <c r="K549" s="18">
        <f>HYPERLINK("https://app.hubspot.com/contacts/8748051/record/0-2/19176594795", 19176594795)</f>
        <v>19176594795</v>
      </c>
      <c r="L549" s="14" t="s">
        <v>1715</v>
      </c>
      <c r="M549" s="18" t="s">
        <v>1716</v>
      </c>
      <c r="N549" s="23">
        <f>HYPERLINK("https://app.hubspot.com/contacts/8748051/record/0-3/19541444764", 19541444764)</f>
        <v>19541444764</v>
      </c>
      <c r="O549" s="14" t="s">
        <v>1714</v>
      </c>
      <c r="P549" s="14" t="s">
        <v>118</v>
      </c>
      <c r="Q549" s="14">
        <v>18480.0</v>
      </c>
      <c r="R549" s="24"/>
      <c r="S549" s="24" t="str">
        <f t="shared" ref="S549:U549" si="550">IF(E549&lt;&gt;"","Yes","")</f>
        <v>Yes</v>
      </c>
      <c r="T549" s="24" t="str">
        <f t="shared" si="550"/>
        <v>Yes</v>
      </c>
      <c r="U549" s="24" t="str">
        <f t="shared" si="550"/>
        <v>Yes</v>
      </c>
      <c r="V549" s="24" t="str">
        <f t="shared" si="3"/>
        <v/>
      </c>
      <c r="W549" s="24" t="str">
        <f t="shared" si="4"/>
        <v/>
      </c>
    </row>
    <row r="550">
      <c r="A550" s="18">
        <f>HYPERLINK("https://app.hubspot.com/contacts/8748051/record/0-1/27377708970", 27377708970)</f>
        <v>27377708970</v>
      </c>
      <c r="B550" s="14" t="s">
        <v>5746</v>
      </c>
      <c r="C550" s="16"/>
      <c r="D550" s="16"/>
      <c r="E550" s="32">
        <v>45449.0</v>
      </c>
      <c r="F550" s="32"/>
      <c r="G550" s="32"/>
      <c r="H550" s="14"/>
      <c r="I550" s="14"/>
      <c r="J550" s="14"/>
      <c r="K550" s="18">
        <f>HYPERLINK("https://app.hubspot.com/contacts/8748051/record/0-2/8142843932", 8142843932)</f>
        <v>8142843932</v>
      </c>
      <c r="L550" s="14" t="s">
        <v>547</v>
      </c>
      <c r="M550" s="18" t="s">
        <v>548</v>
      </c>
      <c r="N550" s="14"/>
      <c r="O550" s="14"/>
      <c r="P550" s="14"/>
      <c r="Q550" s="14"/>
      <c r="R550" s="14"/>
      <c r="S550" s="24" t="str">
        <f t="shared" ref="S550:U550" si="551">IF(E550&lt;&gt;"","Yes","")</f>
        <v>Yes</v>
      </c>
      <c r="T550" s="24" t="str">
        <f t="shared" si="551"/>
        <v/>
      </c>
      <c r="U550" s="24" t="str">
        <f t="shared" si="551"/>
        <v/>
      </c>
      <c r="V550" s="24" t="str">
        <f t="shared" si="3"/>
        <v/>
      </c>
      <c r="W550" s="24" t="str">
        <f t="shared" si="4"/>
        <v/>
      </c>
    </row>
    <row r="551">
      <c r="A551" s="18">
        <f>HYPERLINK("https://app.hubspot.com/contacts/8748051/record/0-1/28597511481", 28597511481)</f>
        <v>28597511481</v>
      </c>
      <c r="B551" s="14" t="s">
        <v>5747</v>
      </c>
      <c r="C551" s="16"/>
      <c r="D551" s="16"/>
      <c r="E551" s="32">
        <v>45453.0</v>
      </c>
      <c r="F551" s="32"/>
      <c r="G551" s="32"/>
      <c r="H551" s="14"/>
      <c r="I551" s="14"/>
      <c r="J551" s="14"/>
      <c r="K551" s="18">
        <f>HYPERLINK("https://app.hubspot.com/contacts/8748051/record/0-2/9132315719", 9132315719)</f>
        <v>9132315719</v>
      </c>
      <c r="L551" s="14" t="s">
        <v>5748</v>
      </c>
      <c r="M551" s="18" t="s">
        <v>5749</v>
      </c>
      <c r="N551" s="14"/>
      <c r="O551" s="14"/>
      <c r="P551" s="14"/>
      <c r="Q551" s="14"/>
      <c r="R551" s="14"/>
      <c r="S551" s="24" t="str">
        <f t="shared" ref="S551:U551" si="552">IF(E551&lt;&gt;"","Yes","")</f>
        <v>Yes</v>
      </c>
      <c r="T551" s="24" t="str">
        <f t="shared" si="552"/>
        <v/>
      </c>
      <c r="U551" s="24" t="str">
        <f t="shared" si="552"/>
        <v/>
      </c>
      <c r="V551" s="24" t="str">
        <f t="shared" si="3"/>
        <v/>
      </c>
      <c r="W551" s="24" t="str">
        <f t="shared" si="4"/>
        <v/>
      </c>
    </row>
    <row r="552">
      <c r="A552" s="18">
        <f>HYPERLINK("https://app.hubspot.com/contacts/8748051/record/0-1/26750710854", 26750710854)</f>
        <v>26750710854</v>
      </c>
      <c r="B552" s="14" t="s">
        <v>5750</v>
      </c>
      <c r="C552" s="16"/>
      <c r="D552" s="16"/>
      <c r="E552" s="32">
        <v>45446.0</v>
      </c>
      <c r="F552" s="32"/>
      <c r="G552" s="32"/>
      <c r="H552" s="14"/>
      <c r="I552" s="14"/>
      <c r="J552" s="14"/>
      <c r="K552" s="18">
        <f>HYPERLINK("https://app.hubspot.com/contacts/8748051/record/0-2/7914190947", 7914190947)</f>
        <v>7914190947</v>
      </c>
      <c r="L552" s="14" t="s">
        <v>1163</v>
      </c>
      <c r="M552" s="18" t="s">
        <v>1164</v>
      </c>
      <c r="N552" s="14"/>
      <c r="O552" s="14"/>
      <c r="P552" s="14"/>
      <c r="Q552" s="14"/>
      <c r="R552" s="14"/>
      <c r="S552" s="24" t="str">
        <f t="shared" ref="S552:U552" si="553">IF(E552&lt;&gt;"","Yes","")</f>
        <v>Yes</v>
      </c>
      <c r="T552" s="24" t="str">
        <f t="shared" si="553"/>
        <v/>
      </c>
      <c r="U552" s="24" t="str">
        <f t="shared" si="553"/>
        <v/>
      </c>
      <c r="V552" s="24" t="str">
        <f t="shared" si="3"/>
        <v/>
      </c>
      <c r="W552" s="24" t="str">
        <f t="shared" si="4"/>
        <v/>
      </c>
    </row>
    <row r="553">
      <c r="A553" s="18">
        <f>HYPERLINK("https://app.hubspot.com/contacts/8748051/record/0-1/24006408569", 24006408569)</f>
        <v>24006408569</v>
      </c>
      <c r="B553" s="14" t="s">
        <v>5751</v>
      </c>
      <c r="C553" s="16"/>
      <c r="D553" s="14"/>
      <c r="E553" s="32">
        <v>45436.0</v>
      </c>
      <c r="F553" s="32"/>
      <c r="G553" s="32"/>
      <c r="H553" s="14"/>
      <c r="I553" s="14"/>
      <c r="J553" s="14"/>
      <c r="K553" s="18">
        <f>HYPERLINK("https://app.hubspot.com/contacts/8748051/record/0-2/8471082080", 8471082080)</f>
        <v>8471082080</v>
      </c>
      <c r="L553" s="14" t="s">
        <v>5752</v>
      </c>
      <c r="M553" s="18" t="s">
        <v>5753</v>
      </c>
      <c r="N553" s="14"/>
      <c r="O553" s="14"/>
      <c r="P553" s="14"/>
      <c r="Q553" s="14"/>
      <c r="R553" s="14"/>
      <c r="S553" s="24" t="str">
        <f t="shared" ref="S553:U553" si="554">IF(E553&lt;&gt;"","Yes","")</f>
        <v>Yes</v>
      </c>
      <c r="T553" s="24" t="str">
        <f t="shared" si="554"/>
        <v/>
      </c>
      <c r="U553" s="24" t="str">
        <f t="shared" si="554"/>
        <v/>
      </c>
      <c r="V553" s="24" t="str">
        <f t="shared" si="3"/>
        <v/>
      </c>
      <c r="W553" s="24" t="str">
        <f t="shared" si="4"/>
        <v/>
      </c>
    </row>
    <row r="554">
      <c r="A554" s="18">
        <f>HYPERLINK("https://app.hubspot.com/contacts/8748051/record/0-1/27020401292", 27020401292)</f>
        <v>27020401292</v>
      </c>
      <c r="B554" s="14" t="s">
        <v>5754</v>
      </c>
      <c r="C554" s="16"/>
      <c r="D554" s="14"/>
      <c r="E554" s="32">
        <v>45447.0</v>
      </c>
      <c r="F554" s="32"/>
      <c r="G554" s="32"/>
      <c r="H554" s="24"/>
      <c r="I554" s="24"/>
      <c r="J554" s="24"/>
      <c r="K554" s="18">
        <f>HYPERLINK("https://app.hubspot.com/contacts/8748051/record/0-2/6816534935", 6816534935)</f>
        <v>6816534935</v>
      </c>
      <c r="L554" s="14" t="s">
        <v>5755</v>
      </c>
      <c r="M554" s="18" t="s">
        <v>5756</v>
      </c>
      <c r="N554" s="14"/>
      <c r="O554" s="14"/>
      <c r="P554" s="14"/>
      <c r="Q554" s="14"/>
      <c r="R554" s="14"/>
      <c r="S554" s="24" t="str">
        <f t="shared" ref="S554:U554" si="555">IF(E554&lt;&gt;"","Yes","")</f>
        <v>Yes</v>
      </c>
      <c r="T554" s="24" t="str">
        <f t="shared" si="555"/>
        <v/>
      </c>
      <c r="U554" s="24" t="str">
        <f t="shared" si="555"/>
        <v/>
      </c>
      <c r="V554" s="24" t="str">
        <f t="shared" si="3"/>
        <v/>
      </c>
      <c r="W554" s="24" t="str">
        <f t="shared" si="4"/>
        <v/>
      </c>
    </row>
    <row r="555">
      <c r="A555" s="18">
        <f>HYPERLINK("https://app.hubspot.com/contacts/8748051/record/0-1/19820394042", 19820394042)</f>
        <v>19820394042</v>
      </c>
      <c r="B555" s="14" t="s">
        <v>5757</v>
      </c>
      <c r="C555" s="16"/>
      <c r="D555" s="16"/>
      <c r="E555" s="32">
        <v>45421.0</v>
      </c>
      <c r="F555" s="32"/>
      <c r="G555" s="32"/>
      <c r="H555" s="14"/>
      <c r="I555" s="14"/>
      <c r="J555" s="14"/>
      <c r="K555" s="18">
        <f>HYPERLINK("https://app.hubspot.com/contacts/8748051/record/0-2/14809740134", 14809740134)</f>
        <v>14809740134</v>
      </c>
      <c r="L555" s="14" t="s">
        <v>5758</v>
      </c>
      <c r="M555" s="18" t="s">
        <v>5759</v>
      </c>
      <c r="N555" s="14"/>
      <c r="O555" s="14"/>
      <c r="P555" s="14"/>
      <c r="Q555" s="14"/>
      <c r="R555" s="14"/>
      <c r="S555" s="24" t="str">
        <f t="shared" ref="S555:U555" si="556">IF(E555&lt;&gt;"","Yes","")</f>
        <v>Yes</v>
      </c>
      <c r="T555" s="24" t="str">
        <f t="shared" si="556"/>
        <v/>
      </c>
      <c r="U555" s="24" t="str">
        <f t="shared" si="556"/>
        <v/>
      </c>
      <c r="V555" s="24" t="str">
        <f t="shared" si="3"/>
        <v/>
      </c>
      <c r="W555" s="24" t="str">
        <f t="shared" si="4"/>
        <v/>
      </c>
    </row>
    <row r="556">
      <c r="A556" s="18">
        <f>HYPERLINK("https://app.hubspot.com/contacts/8748051/record/0-1/24868635230", 24868635230)</f>
        <v>24868635230</v>
      </c>
      <c r="B556" s="14" t="s">
        <v>5760</v>
      </c>
      <c r="C556" s="16"/>
      <c r="D556" s="16"/>
      <c r="E556" s="32">
        <v>45440.0</v>
      </c>
      <c r="F556" s="32"/>
      <c r="G556" s="32"/>
      <c r="H556" s="14"/>
      <c r="I556" s="14"/>
      <c r="J556" s="14"/>
      <c r="K556" s="18">
        <f>HYPERLINK("https://app.hubspot.com/contacts/8748051/record/0-2/9238301248", 9238301248)</f>
        <v>9238301248</v>
      </c>
      <c r="L556" s="14" t="s">
        <v>598</v>
      </c>
      <c r="M556" s="18" t="s">
        <v>599</v>
      </c>
      <c r="N556" s="14"/>
      <c r="O556" s="14"/>
      <c r="P556" s="14"/>
      <c r="Q556" s="14"/>
      <c r="R556" s="14"/>
      <c r="S556" s="24" t="str">
        <f t="shared" ref="S556:U556" si="557">IF(E556&lt;&gt;"","Yes","")</f>
        <v>Yes</v>
      </c>
      <c r="T556" s="24" t="str">
        <f t="shared" si="557"/>
        <v/>
      </c>
      <c r="U556" s="24" t="str">
        <f t="shared" si="557"/>
        <v/>
      </c>
      <c r="V556" s="24" t="str">
        <f t="shared" si="3"/>
        <v/>
      </c>
      <c r="W556" s="24" t="str">
        <f t="shared" si="4"/>
        <v/>
      </c>
    </row>
    <row r="557">
      <c r="A557" s="18">
        <f>HYPERLINK("https://app.hubspot.com/contacts/8748051/record/0-1/23583354490", 23583354490)</f>
        <v>23583354490</v>
      </c>
      <c r="B557" s="14" t="s">
        <v>5761</v>
      </c>
      <c r="C557" s="16"/>
      <c r="D557" s="16"/>
      <c r="E557" s="32">
        <v>45435.0</v>
      </c>
      <c r="F557" s="32"/>
      <c r="G557" s="32"/>
      <c r="H557" s="24"/>
      <c r="I557" s="24"/>
      <c r="J557" s="24"/>
      <c r="K557" s="18">
        <f>HYPERLINK("https://app.hubspot.com/contacts/8748051/record/0-2/9132302950", 9132302950)</f>
        <v>9132302950</v>
      </c>
      <c r="L557" s="14" t="s">
        <v>5762</v>
      </c>
      <c r="M557" s="18" t="s">
        <v>5763</v>
      </c>
      <c r="N557" s="24"/>
      <c r="O557" s="14"/>
      <c r="P557" s="14"/>
      <c r="Q557" s="14"/>
      <c r="R557" s="14"/>
      <c r="S557" s="24" t="str">
        <f t="shared" ref="S557:U557" si="558">IF(E557&lt;&gt;"","Yes","")</f>
        <v>Yes</v>
      </c>
      <c r="T557" s="24" t="str">
        <f t="shared" si="558"/>
        <v/>
      </c>
      <c r="U557" s="24" t="str">
        <f t="shared" si="558"/>
        <v/>
      </c>
      <c r="V557" s="24" t="str">
        <f t="shared" si="3"/>
        <v/>
      </c>
      <c r="W557" s="24" t="str">
        <f t="shared" si="4"/>
        <v/>
      </c>
    </row>
    <row r="558">
      <c r="A558" s="18">
        <f>HYPERLINK("https://app.hubspot.com/contacts/8748051/record/0-1/27988345483", 27988345483)</f>
        <v>27988345483</v>
      </c>
      <c r="B558" s="14" t="s">
        <v>5764</v>
      </c>
      <c r="C558" s="16"/>
      <c r="D558" s="16"/>
      <c r="E558" s="32">
        <v>45450.0</v>
      </c>
      <c r="F558" s="32"/>
      <c r="G558" s="32"/>
      <c r="H558" s="14"/>
      <c r="I558" s="14"/>
      <c r="J558" s="14"/>
      <c r="K558" s="18">
        <f>HYPERLINK("https://app.hubspot.com/contacts/8748051/record/0-2/16376195482", 16376195482)</f>
        <v>16376195482</v>
      </c>
      <c r="L558" s="14" t="s">
        <v>1129</v>
      </c>
      <c r="M558" s="18" t="s">
        <v>1130</v>
      </c>
      <c r="N558" s="14"/>
      <c r="O558" s="14"/>
      <c r="P558" s="14"/>
      <c r="Q558" s="14"/>
      <c r="R558" s="24"/>
      <c r="S558" s="24" t="str">
        <f t="shared" ref="S558:U558" si="559">IF(E558&lt;&gt;"","Yes","")</f>
        <v>Yes</v>
      </c>
      <c r="T558" s="24" t="str">
        <f t="shared" si="559"/>
        <v/>
      </c>
      <c r="U558" s="24" t="str">
        <f t="shared" si="559"/>
        <v/>
      </c>
      <c r="V558" s="24" t="str">
        <f t="shared" si="3"/>
        <v/>
      </c>
      <c r="W558" s="24" t="str">
        <f t="shared" si="4"/>
        <v/>
      </c>
    </row>
    <row r="559">
      <c r="A559" s="18">
        <f>HYPERLINK("https://app.hubspot.com/contacts/8748051/record/0-1/23668021778", 23668021778)</f>
        <v>23668021778</v>
      </c>
      <c r="B559" s="14" t="s">
        <v>5765</v>
      </c>
      <c r="C559" s="16"/>
      <c r="D559" s="14"/>
      <c r="E559" s="32">
        <v>45435.0</v>
      </c>
      <c r="F559" s="32"/>
      <c r="G559" s="32"/>
      <c r="H559" s="14"/>
      <c r="I559" s="24"/>
      <c r="J559" s="24"/>
      <c r="K559" s="18">
        <f>HYPERLINK("https://app.hubspot.com/contacts/8748051/record/0-2/6266336884", 6266336884)</f>
        <v>6266336884</v>
      </c>
      <c r="L559" s="14" t="s">
        <v>1359</v>
      </c>
      <c r="M559" s="18" t="s">
        <v>1360</v>
      </c>
      <c r="N559" s="24"/>
      <c r="O559" s="14"/>
      <c r="P559" s="14"/>
      <c r="Q559" s="14"/>
      <c r="R559" s="24"/>
      <c r="S559" s="24" t="str">
        <f t="shared" ref="S559:U559" si="560">IF(E559&lt;&gt;"","Yes","")</f>
        <v>Yes</v>
      </c>
      <c r="T559" s="24" t="str">
        <f t="shared" si="560"/>
        <v/>
      </c>
      <c r="U559" s="24" t="str">
        <f t="shared" si="560"/>
        <v/>
      </c>
      <c r="V559" s="24" t="str">
        <f t="shared" si="3"/>
        <v/>
      </c>
      <c r="W559" s="24" t="str">
        <f t="shared" si="4"/>
        <v/>
      </c>
    </row>
    <row r="560">
      <c r="A560" s="18">
        <f>HYPERLINK("https://app.hubspot.com/contacts/8748051/record/0-1/23861673581", 23861673581)</f>
        <v>23861673581</v>
      </c>
      <c r="B560" s="14" t="s">
        <v>5766</v>
      </c>
      <c r="C560" s="16"/>
      <c r="D560" s="16"/>
      <c r="E560" s="32">
        <v>45436.0</v>
      </c>
      <c r="F560" s="32"/>
      <c r="G560" s="32"/>
      <c r="H560" s="14"/>
      <c r="I560" s="14"/>
      <c r="J560" s="14"/>
      <c r="K560" s="18">
        <f>HYPERLINK("https://app.hubspot.com/contacts/8748051/record/0-2/13452691560", 13452691560)</f>
        <v>13452691560</v>
      </c>
      <c r="L560" s="14" t="s">
        <v>5767</v>
      </c>
      <c r="M560" s="18" t="s">
        <v>5768</v>
      </c>
      <c r="N560" s="14"/>
      <c r="O560" s="14"/>
      <c r="P560" s="14"/>
      <c r="Q560" s="14"/>
      <c r="R560" s="24"/>
      <c r="S560" s="24" t="str">
        <f t="shared" ref="S560:U560" si="561">IF(E560&lt;&gt;"","Yes","")</f>
        <v>Yes</v>
      </c>
      <c r="T560" s="24" t="str">
        <f t="shared" si="561"/>
        <v/>
      </c>
      <c r="U560" s="24" t="str">
        <f t="shared" si="561"/>
        <v/>
      </c>
      <c r="V560" s="24" t="str">
        <f t="shared" si="3"/>
        <v/>
      </c>
      <c r="W560" s="24" t="str">
        <f t="shared" si="4"/>
        <v/>
      </c>
    </row>
    <row r="561">
      <c r="A561" s="18">
        <f>HYPERLINK("https://app.hubspot.com/contacts/8748051/record/0-1/20930621521", 20930621521)</f>
        <v>20930621521</v>
      </c>
      <c r="B561" s="14" t="s">
        <v>5769</v>
      </c>
      <c r="C561" s="16"/>
      <c r="D561" s="14"/>
      <c r="E561" s="32">
        <v>45426.0</v>
      </c>
      <c r="F561" s="32"/>
      <c r="G561" s="32"/>
      <c r="H561" s="14"/>
      <c r="I561" s="14"/>
      <c r="J561" s="14"/>
      <c r="K561" s="18">
        <f>HYPERLINK("https://app.hubspot.com/contacts/8748051/record/0-2/18382788232", 18382788232)</f>
        <v>18382788232</v>
      </c>
      <c r="L561" s="14" t="s">
        <v>5770</v>
      </c>
      <c r="M561" s="18" t="s">
        <v>5771</v>
      </c>
      <c r="N561" s="14"/>
      <c r="O561" s="14"/>
      <c r="P561" s="14"/>
      <c r="Q561" s="14"/>
      <c r="R561" s="14"/>
      <c r="S561" s="24" t="str">
        <f t="shared" ref="S561:U561" si="562">IF(E561&lt;&gt;"","Yes","")</f>
        <v>Yes</v>
      </c>
      <c r="T561" s="24" t="str">
        <f t="shared" si="562"/>
        <v/>
      </c>
      <c r="U561" s="24" t="str">
        <f t="shared" si="562"/>
        <v/>
      </c>
      <c r="V561" s="24" t="str">
        <f t="shared" si="3"/>
        <v/>
      </c>
      <c r="W561" s="24" t="str">
        <f t="shared" si="4"/>
        <v/>
      </c>
    </row>
    <row r="562">
      <c r="A562" s="18">
        <f>HYPERLINK("https://app.hubspot.com/contacts/8748051/record/0-1/24065924400", 24065924400)</f>
        <v>24065924400</v>
      </c>
      <c r="B562" s="14" t="s">
        <v>5772</v>
      </c>
      <c r="C562" s="16"/>
      <c r="D562" s="16"/>
      <c r="E562" s="32">
        <v>45436.0</v>
      </c>
      <c r="F562" s="32">
        <v>45464.0</v>
      </c>
      <c r="G562" s="32">
        <v>45464.0</v>
      </c>
      <c r="H562" s="14"/>
      <c r="I562" s="14"/>
      <c r="J562" s="14"/>
      <c r="K562" s="18">
        <f>HYPERLINK("https://app.hubspot.com/contacts/8748051/record/0-2/19176594824", 19176594824)</f>
        <v>19176594824</v>
      </c>
      <c r="L562" s="14" t="s">
        <v>1603</v>
      </c>
      <c r="M562" s="18" t="s">
        <v>1604</v>
      </c>
      <c r="N562" s="18">
        <f>HYPERLINK("https://app.hubspot.com/contacts/8748051/record/0-3/20243443612", 20243443612)</f>
        <v>20243443612</v>
      </c>
      <c r="O562" s="14" t="s">
        <v>1602</v>
      </c>
      <c r="P562" s="14" t="s">
        <v>118</v>
      </c>
      <c r="Q562" s="14">
        <v>7920.0</v>
      </c>
      <c r="R562" s="14"/>
      <c r="S562" s="24" t="str">
        <f t="shared" ref="S562:U562" si="563">IF(E562&lt;&gt;"","Yes","")</f>
        <v>Yes</v>
      </c>
      <c r="T562" s="24" t="str">
        <f t="shared" si="563"/>
        <v>Yes</v>
      </c>
      <c r="U562" s="24" t="str">
        <f t="shared" si="563"/>
        <v>Yes</v>
      </c>
      <c r="V562" s="24" t="str">
        <f t="shared" si="3"/>
        <v/>
      </c>
      <c r="W562" s="24" t="str">
        <f t="shared" si="4"/>
        <v/>
      </c>
    </row>
    <row r="563">
      <c r="A563" s="18">
        <f>HYPERLINK("https://app.hubspot.com/contacts/8748051/record/0-1/23376761631", 23376761631)</f>
        <v>23376761631</v>
      </c>
      <c r="B563" s="14" t="s">
        <v>5773</v>
      </c>
      <c r="C563" s="16"/>
      <c r="D563" s="14"/>
      <c r="E563" s="32">
        <v>45441.0</v>
      </c>
      <c r="F563" s="32">
        <v>45464.0</v>
      </c>
      <c r="G563" s="32"/>
      <c r="H563" s="14"/>
      <c r="I563" s="14"/>
      <c r="J563" s="14"/>
      <c r="K563" s="18">
        <f>HYPERLINK("https://app.hubspot.com/contacts/8748051/record/0-2/19176672165", 19176672165)</f>
        <v>19176672165</v>
      </c>
      <c r="L563" s="14" t="s">
        <v>1606</v>
      </c>
      <c r="M563" s="18" t="s">
        <v>1607</v>
      </c>
      <c r="N563" s="18">
        <f>HYPERLINK("https://app.hubspot.com/contacts/8748051/record/0-3/20234149999", 20234149999)</f>
        <v>20234149999</v>
      </c>
      <c r="O563" s="14" t="s">
        <v>1605</v>
      </c>
      <c r="P563" s="14" t="s">
        <v>118</v>
      </c>
      <c r="Q563" s="14">
        <v>6720.0</v>
      </c>
      <c r="R563" s="14"/>
      <c r="S563" s="24" t="str">
        <f t="shared" ref="S563:U563" si="564">IF(E563&lt;&gt;"","Yes","")</f>
        <v>Yes</v>
      </c>
      <c r="T563" s="24" t="str">
        <f t="shared" si="564"/>
        <v>Yes</v>
      </c>
      <c r="U563" s="24" t="str">
        <f t="shared" si="564"/>
        <v/>
      </c>
      <c r="V563" s="24" t="str">
        <f t="shared" si="3"/>
        <v/>
      </c>
      <c r="W563" s="24" t="str">
        <f t="shared" si="4"/>
        <v/>
      </c>
    </row>
    <row r="564">
      <c r="A564" s="18">
        <f>HYPERLINK("https://app.hubspot.com/contacts/8748051/record/0-1/27599725639", 27599725639)</f>
        <v>27599725639</v>
      </c>
      <c r="B564" s="14" t="s">
        <v>5774</v>
      </c>
      <c r="C564" s="16"/>
      <c r="D564" s="16"/>
      <c r="E564" s="32">
        <v>45449.0</v>
      </c>
      <c r="F564" s="32"/>
      <c r="G564" s="32"/>
      <c r="H564" s="14"/>
      <c r="I564" s="14"/>
      <c r="J564" s="14"/>
      <c r="K564" s="18">
        <f>HYPERLINK("https://app.hubspot.com/contacts/8748051/record/0-2/30038830225", 30038830225)</f>
        <v>30038830225</v>
      </c>
      <c r="L564" s="14" t="s">
        <v>5775</v>
      </c>
      <c r="M564" s="18" t="s">
        <v>5776</v>
      </c>
      <c r="N564" s="14"/>
      <c r="O564" s="14"/>
      <c r="P564" s="14"/>
      <c r="Q564" s="14"/>
      <c r="R564" s="14"/>
      <c r="S564" s="24" t="str">
        <f t="shared" ref="S564:U564" si="565">IF(E564&lt;&gt;"","Yes","")</f>
        <v>Yes</v>
      </c>
      <c r="T564" s="24" t="str">
        <f t="shared" si="565"/>
        <v/>
      </c>
      <c r="U564" s="24" t="str">
        <f t="shared" si="565"/>
        <v/>
      </c>
      <c r="V564" s="24" t="str">
        <f t="shared" si="3"/>
        <v/>
      </c>
      <c r="W564" s="24" t="str">
        <f t="shared" si="4"/>
        <v/>
      </c>
    </row>
    <row r="565">
      <c r="A565" s="18">
        <f>HYPERLINK("https://app.hubspot.com/contacts/8748051/record/0-1/26479504988", 26479504988)</f>
        <v>26479504988</v>
      </c>
      <c r="B565" s="14" t="s">
        <v>5777</v>
      </c>
      <c r="C565" s="16"/>
      <c r="D565" s="14"/>
      <c r="E565" s="32">
        <v>45446.0</v>
      </c>
      <c r="F565" s="32"/>
      <c r="G565" s="32"/>
      <c r="H565" s="14"/>
      <c r="I565" s="14"/>
      <c r="J565" s="14"/>
      <c r="K565" s="18">
        <f>HYPERLINK("https://app.hubspot.com/contacts/8748051/record/0-2/8929822097", 8929822097)</f>
        <v>8929822097</v>
      </c>
      <c r="L565" s="14" t="s">
        <v>5778</v>
      </c>
      <c r="M565" s="18" t="s">
        <v>5779</v>
      </c>
      <c r="N565" s="14"/>
      <c r="O565" s="14"/>
      <c r="P565" s="14"/>
      <c r="Q565" s="14"/>
      <c r="R565" s="14"/>
      <c r="S565" s="24" t="str">
        <f t="shared" ref="S565:U565" si="566">IF(E565&lt;&gt;"","Yes","")</f>
        <v>Yes</v>
      </c>
      <c r="T565" s="24" t="str">
        <f t="shared" si="566"/>
        <v/>
      </c>
      <c r="U565" s="24" t="str">
        <f t="shared" si="566"/>
        <v/>
      </c>
      <c r="V565" s="24" t="str">
        <f t="shared" si="3"/>
        <v/>
      </c>
      <c r="W565" s="24" t="str">
        <f t="shared" si="4"/>
        <v/>
      </c>
    </row>
    <row r="566">
      <c r="A566" s="18">
        <f>HYPERLINK("https://app.hubspot.com/contacts/8748051/record/0-1/26383764306", 26383764306)</f>
        <v>26383764306</v>
      </c>
      <c r="B566" s="14" t="s">
        <v>5780</v>
      </c>
      <c r="C566" s="16"/>
      <c r="D566" s="16"/>
      <c r="E566" s="32">
        <v>45446.0</v>
      </c>
      <c r="F566" s="32"/>
      <c r="G566" s="32"/>
      <c r="H566" s="14"/>
      <c r="I566" s="14"/>
      <c r="J566" s="14"/>
      <c r="K566" s="18">
        <f>HYPERLINK("https://app.hubspot.com/contacts/8748051/record/0-2/19176621365", 19176621365)</f>
        <v>19176621365</v>
      </c>
      <c r="L566" s="14" t="s">
        <v>5781</v>
      </c>
      <c r="M566" s="18" t="s">
        <v>5782</v>
      </c>
      <c r="N566" s="14"/>
      <c r="O566" s="14"/>
      <c r="P566" s="14"/>
      <c r="Q566" s="14"/>
      <c r="R566" s="14"/>
      <c r="S566" s="24" t="str">
        <f t="shared" ref="S566:U566" si="567">IF(E566&lt;&gt;"","Yes","")</f>
        <v>Yes</v>
      </c>
      <c r="T566" s="24" t="str">
        <f t="shared" si="567"/>
        <v/>
      </c>
      <c r="U566" s="24" t="str">
        <f t="shared" si="567"/>
        <v/>
      </c>
      <c r="V566" s="24" t="str">
        <f t="shared" si="3"/>
        <v/>
      </c>
      <c r="W566" s="24" t="str">
        <f t="shared" si="4"/>
        <v/>
      </c>
    </row>
    <row r="567">
      <c r="A567" s="18">
        <f>HYPERLINK("https://app.hubspot.com/contacts/8748051/record/0-1/22097600366", 22097600366)</f>
        <v>22097600366</v>
      </c>
      <c r="B567" s="14" t="s">
        <v>4036</v>
      </c>
      <c r="C567" s="16">
        <v>45428.925208333334</v>
      </c>
      <c r="D567" s="24"/>
      <c r="E567" s="32">
        <v>45429.0</v>
      </c>
      <c r="F567" s="32">
        <v>45429.0</v>
      </c>
      <c r="G567" s="32">
        <v>45429.0</v>
      </c>
      <c r="H567" s="14"/>
      <c r="I567" s="24"/>
      <c r="J567" s="24"/>
      <c r="K567" s="18">
        <f>HYPERLINK("https://app.hubspot.com/contacts/8748051/record/0-2/19176703400", 19176703400)</f>
        <v>19176703400</v>
      </c>
      <c r="L567" s="14" t="s">
        <v>1742</v>
      </c>
      <c r="M567" s="14" t="s">
        <v>1743</v>
      </c>
      <c r="N567" s="23">
        <f>HYPERLINK("https://app.hubspot.com/contacts/8748051/record/0-3/19440631842", 19440631842)</f>
        <v>19440631842</v>
      </c>
      <c r="O567" s="14" t="s">
        <v>1741</v>
      </c>
      <c r="P567" s="14" t="s">
        <v>118</v>
      </c>
      <c r="Q567" s="14">
        <v>2400.0</v>
      </c>
      <c r="R567" s="24"/>
      <c r="S567" s="24" t="str">
        <f t="shared" ref="S567:U567" si="568">IF(E567&lt;&gt;"","Yes","")</f>
        <v>Yes</v>
      </c>
      <c r="T567" s="24" t="str">
        <f t="shared" si="568"/>
        <v>Yes</v>
      </c>
      <c r="U567" s="24" t="str">
        <f t="shared" si="568"/>
        <v>Yes</v>
      </c>
      <c r="V567" s="24" t="str">
        <f t="shared" si="3"/>
        <v/>
      </c>
      <c r="W567" s="24" t="str">
        <f t="shared" si="4"/>
        <v/>
      </c>
    </row>
    <row r="568">
      <c r="A568" s="18">
        <f>HYPERLINK("https://app.hubspot.com/contacts/8748051/record/0-1/22666084729", 22666084729)</f>
        <v>22666084729</v>
      </c>
      <c r="B568" s="14" t="s">
        <v>5783</v>
      </c>
      <c r="C568" s="16"/>
      <c r="D568" s="16"/>
      <c r="E568" s="32">
        <v>45432.0</v>
      </c>
      <c r="F568" s="32">
        <v>45453.0</v>
      </c>
      <c r="G568" s="32">
        <v>45453.0</v>
      </c>
      <c r="H568" s="14"/>
      <c r="I568" s="14"/>
      <c r="J568" s="14"/>
      <c r="K568" s="18">
        <f>HYPERLINK("https://app.hubspot.com/contacts/8748051/record/0-2/7655953081", 7655953081)</f>
        <v>7655953081</v>
      </c>
      <c r="L568" s="14" t="s">
        <v>594</v>
      </c>
      <c r="M568" s="18" t="s">
        <v>595</v>
      </c>
      <c r="N568" s="18">
        <f>HYPERLINK("https://app.hubspot.com/contacts/8748051/record/0-3/19983616576", 19983616576)</f>
        <v>19983616576</v>
      </c>
      <c r="O568" s="14" t="s">
        <v>592</v>
      </c>
      <c r="P568" s="14" t="s">
        <v>118</v>
      </c>
      <c r="Q568" s="14">
        <v>44400.0</v>
      </c>
      <c r="R568" s="14"/>
      <c r="S568" s="24" t="str">
        <f t="shared" ref="S568:U568" si="569">IF(E568&lt;&gt;"","Yes","")</f>
        <v>Yes</v>
      </c>
      <c r="T568" s="24" t="str">
        <f t="shared" si="569"/>
        <v>Yes</v>
      </c>
      <c r="U568" s="24" t="str">
        <f t="shared" si="569"/>
        <v>Yes</v>
      </c>
      <c r="V568" s="24" t="str">
        <f t="shared" si="3"/>
        <v/>
      </c>
      <c r="W568" s="24" t="str">
        <f t="shared" si="4"/>
        <v/>
      </c>
    </row>
    <row r="569">
      <c r="A569" s="18">
        <f>HYPERLINK("https://app.hubspot.com/contacts/8748051/record/0-1/23786697616", 23786697616)</f>
        <v>23786697616</v>
      </c>
      <c r="B569" s="14" t="s">
        <v>5784</v>
      </c>
      <c r="C569" s="16"/>
      <c r="D569" s="16"/>
      <c r="E569" s="32">
        <v>45435.0</v>
      </c>
      <c r="F569" s="32"/>
      <c r="G569" s="32"/>
      <c r="H569" s="14"/>
      <c r="I569" s="14"/>
      <c r="J569" s="14"/>
      <c r="K569" s="18">
        <f>HYPERLINK("https://app.hubspot.com/contacts/8748051/record/0-2/18832324162", 18832324162)</f>
        <v>18832324162</v>
      </c>
      <c r="L569" s="14" t="s">
        <v>5227</v>
      </c>
      <c r="M569" s="18" t="s">
        <v>5228</v>
      </c>
      <c r="N569" s="14"/>
      <c r="O569" s="14"/>
      <c r="P569" s="14"/>
      <c r="Q569" s="14"/>
      <c r="R569" s="14"/>
      <c r="S569" s="24" t="str">
        <f t="shared" ref="S569:U569" si="570">IF(E569&lt;&gt;"","Yes","")</f>
        <v>Yes</v>
      </c>
      <c r="T569" s="24" t="str">
        <f t="shared" si="570"/>
        <v/>
      </c>
      <c r="U569" s="24" t="str">
        <f t="shared" si="570"/>
        <v/>
      </c>
      <c r="V569" s="24" t="str">
        <f t="shared" si="3"/>
        <v/>
      </c>
      <c r="W569" s="24" t="str">
        <f t="shared" si="4"/>
        <v/>
      </c>
    </row>
    <row r="570">
      <c r="A570" s="18">
        <f>HYPERLINK("https://app.hubspot.com/contacts/8748051/record/0-1/26668269089", 26668269089)</f>
        <v>26668269089</v>
      </c>
      <c r="B570" s="14" t="s">
        <v>5785</v>
      </c>
      <c r="C570" s="16"/>
      <c r="D570" s="16"/>
      <c r="E570" s="32">
        <v>45446.0</v>
      </c>
      <c r="F570" s="32"/>
      <c r="G570" s="32"/>
      <c r="H570" s="14"/>
      <c r="I570" s="14"/>
      <c r="J570" s="14"/>
      <c r="K570" s="18">
        <f>HYPERLINK("https://app.hubspot.com/contacts/8748051/record/0-2/7914190947", 7914190947)</f>
        <v>7914190947</v>
      </c>
      <c r="L570" s="14" t="s">
        <v>1163</v>
      </c>
      <c r="M570" s="18" t="s">
        <v>1164</v>
      </c>
      <c r="N570" s="24"/>
      <c r="O570" s="14"/>
      <c r="P570" s="14"/>
      <c r="Q570" s="14"/>
      <c r="R570" s="24"/>
      <c r="S570" s="24" t="str">
        <f t="shared" ref="S570:U570" si="571">IF(E570&lt;&gt;"","Yes","")</f>
        <v>Yes</v>
      </c>
      <c r="T570" s="24" t="str">
        <f t="shared" si="571"/>
        <v/>
      </c>
      <c r="U570" s="24" t="str">
        <f t="shared" si="571"/>
        <v/>
      </c>
      <c r="V570" s="24" t="str">
        <f t="shared" si="3"/>
        <v/>
      </c>
      <c r="W570" s="24" t="str">
        <f t="shared" si="4"/>
        <v/>
      </c>
    </row>
    <row r="571">
      <c r="A571" s="18">
        <f>HYPERLINK("https://app.hubspot.com/contacts/8748051/record/0-1/25617354402", 25617354402)</f>
        <v>25617354402</v>
      </c>
      <c r="B571" s="14" t="s">
        <v>5786</v>
      </c>
      <c r="C571" s="16"/>
      <c r="D571" s="16"/>
      <c r="E571" s="32">
        <v>45442.0</v>
      </c>
      <c r="F571" s="32"/>
      <c r="G571" s="32"/>
      <c r="H571" s="14"/>
      <c r="I571" s="14"/>
      <c r="J571" s="14"/>
      <c r="K571" s="18">
        <f>HYPERLINK("https://app.hubspot.com/contacts/8748051/record/0-2/14810080313", 14810080313)</f>
        <v>14810080313</v>
      </c>
      <c r="L571" s="14" t="s">
        <v>5787</v>
      </c>
      <c r="M571" s="18" t="s">
        <v>5788</v>
      </c>
      <c r="N571" s="14"/>
      <c r="O571" s="14"/>
      <c r="P571" s="14"/>
      <c r="Q571" s="14"/>
      <c r="R571" s="14"/>
      <c r="S571" s="24" t="str">
        <f t="shared" ref="S571:U571" si="572">IF(E571&lt;&gt;"","Yes","")</f>
        <v>Yes</v>
      </c>
      <c r="T571" s="24" t="str">
        <f t="shared" si="572"/>
        <v/>
      </c>
      <c r="U571" s="24" t="str">
        <f t="shared" si="572"/>
        <v/>
      </c>
      <c r="V571" s="24" t="str">
        <f t="shared" si="3"/>
        <v/>
      </c>
      <c r="W571" s="24" t="str">
        <f t="shared" si="4"/>
        <v/>
      </c>
    </row>
    <row r="572">
      <c r="A572" s="18">
        <f>HYPERLINK("https://app.hubspot.com/contacts/8748051/record/0-1/24970378791", 24970378791)</f>
        <v>24970378791</v>
      </c>
      <c r="B572" s="14" t="s">
        <v>5789</v>
      </c>
      <c r="C572" s="16"/>
      <c r="D572" s="16"/>
      <c r="E572" s="32">
        <v>45440.0</v>
      </c>
      <c r="F572" s="32"/>
      <c r="G572" s="32"/>
      <c r="H572" s="14"/>
      <c r="I572" s="14"/>
      <c r="J572" s="14"/>
      <c r="K572" s="18">
        <f>HYPERLINK("https://app.hubspot.com/contacts/8748051/record/0-2/15268028833", 15268028833)</f>
        <v>15268028833</v>
      </c>
      <c r="L572" s="14" t="s">
        <v>5190</v>
      </c>
      <c r="M572" s="18" t="s">
        <v>5191</v>
      </c>
      <c r="N572" s="14"/>
      <c r="O572" s="14"/>
      <c r="P572" s="14"/>
      <c r="Q572" s="14"/>
      <c r="R572" s="14"/>
      <c r="S572" s="24" t="str">
        <f t="shared" ref="S572:U572" si="573">IF(E572&lt;&gt;"","Yes","")</f>
        <v>Yes</v>
      </c>
      <c r="T572" s="24" t="str">
        <f t="shared" si="573"/>
        <v/>
      </c>
      <c r="U572" s="24" t="str">
        <f t="shared" si="573"/>
        <v/>
      </c>
      <c r="V572" s="24" t="str">
        <f t="shared" si="3"/>
        <v/>
      </c>
      <c r="W572" s="24" t="str">
        <f t="shared" si="4"/>
        <v/>
      </c>
    </row>
    <row r="573">
      <c r="A573" s="18">
        <f>HYPERLINK("https://app.hubspot.com/contacts/8748051/record/0-1/21288629760", 21288629760)</f>
        <v>21288629760</v>
      </c>
      <c r="B573" s="14" t="s">
        <v>5790</v>
      </c>
      <c r="C573" s="16"/>
      <c r="D573" s="16"/>
      <c r="E573" s="32">
        <v>45427.0</v>
      </c>
      <c r="F573" s="32"/>
      <c r="G573" s="32"/>
      <c r="H573" s="14"/>
      <c r="I573" s="14"/>
      <c r="J573" s="14"/>
      <c r="K573" s="18">
        <f>HYPERLINK("https://app.hubspot.com/contacts/8748051/record/0-2/9174364218", 9174364218)</f>
        <v>9174364218</v>
      </c>
      <c r="L573" s="14" t="s">
        <v>5791</v>
      </c>
      <c r="M573" s="18" t="s">
        <v>5792</v>
      </c>
      <c r="N573" s="14"/>
      <c r="O573" s="14"/>
      <c r="P573" s="14"/>
      <c r="Q573" s="14"/>
      <c r="R573" s="14"/>
      <c r="S573" s="24" t="str">
        <f t="shared" ref="S573:U573" si="574">IF(E573&lt;&gt;"","Yes","")</f>
        <v>Yes</v>
      </c>
      <c r="T573" s="24" t="str">
        <f t="shared" si="574"/>
        <v/>
      </c>
      <c r="U573" s="24" t="str">
        <f t="shared" si="574"/>
        <v/>
      </c>
      <c r="V573" s="24" t="str">
        <f t="shared" si="3"/>
        <v/>
      </c>
      <c r="W573" s="24" t="str">
        <f t="shared" si="4"/>
        <v/>
      </c>
    </row>
    <row r="574">
      <c r="A574" s="18">
        <f>HYPERLINK("https://app.hubspot.com/contacts/8748051/record/0-1/26783908259", 26783908259)</f>
        <v>26783908259</v>
      </c>
      <c r="B574" s="14" t="s">
        <v>5793</v>
      </c>
      <c r="C574" s="16"/>
      <c r="D574" s="16"/>
      <c r="E574" s="32">
        <v>45446.0</v>
      </c>
      <c r="F574" s="32">
        <v>45455.0</v>
      </c>
      <c r="G574" s="32">
        <v>45455.0</v>
      </c>
      <c r="H574" s="14"/>
      <c r="I574" s="14"/>
      <c r="J574" s="14"/>
      <c r="K574" s="18">
        <f>HYPERLINK("https://app.hubspot.com/contacts/8748051/record/0-2/9238276430", 9238276430)</f>
        <v>9238276430</v>
      </c>
      <c r="L574" s="14" t="s">
        <v>1637</v>
      </c>
      <c r="M574" s="18" t="s">
        <v>1638</v>
      </c>
      <c r="N574" s="18">
        <f>HYPERLINK("https://app.hubspot.com/contacts/8748051/record/0-3/20029394566", 20029394566)</f>
        <v>20029394566</v>
      </c>
      <c r="O574" s="14" t="s">
        <v>1636</v>
      </c>
      <c r="P574" s="14" t="s">
        <v>118</v>
      </c>
      <c r="Q574" s="14">
        <v>164400.0</v>
      </c>
      <c r="R574" s="14"/>
      <c r="S574" s="24" t="str">
        <f t="shared" ref="S574:U574" si="575">IF(E574&lt;&gt;"","Yes","")</f>
        <v>Yes</v>
      </c>
      <c r="T574" s="24" t="str">
        <f t="shared" si="575"/>
        <v>Yes</v>
      </c>
      <c r="U574" s="24" t="str">
        <f t="shared" si="575"/>
        <v>Yes</v>
      </c>
      <c r="V574" s="24" t="str">
        <f t="shared" si="3"/>
        <v/>
      </c>
      <c r="W574" s="24" t="str">
        <f t="shared" si="4"/>
        <v/>
      </c>
    </row>
    <row r="575">
      <c r="A575" s="18">
        <f>HYPERLINK("https://app.hubspot.com/contacts/8748051/record/0-1/20159883916", 20159883916)</f>
        <v>20159883916</v>
      </c>
      <c r="B575" s="14" t="s">
        <v>5794</v>
      </c>
      <c r="C575" s="16"/>
      <c r="D575" s="14"/>
      <c r="E575" s="32">
        <v>45422.0</v>
      </c>
      <c r="F575" s="32"/>
      <c r="G575" s="32"/>
      <c r="H575" s="14"/>
      <c r="I575" s="14"/>
      <c r="J575" s="14"/>
      <c r="K575" s="18">
        <f>HYPERLINK("https://app.hubspot.com/contacts/8748051/record/0-2/8816890039", 8816890039)</f>
        <v>8816890039</v>
      </c>
      <c r="L575" s="14" t="s">
        <v>736</v>
      </c>
      <c r="M575" s="18" t="s">
        <v>737</v>
      </c>
      <c r="N575" s="14"/>
      <c r="O575" s="14"/>
      <c r="P575" s="14"/>
      <c r="Q575" s="14"/>
      <c r="R575" s="14"/>
      <c r="S575" s="24" t="str">
        <f t="shared" ref="S575:U575" si="576">IF(E575&lt;&gt;"","Yes","")</f>
        <v>Yes</v>
      </c>
      <c r="T575" s="24" t="str">
        <f t="shared" si="576"/>
        <v/>
      </c>
      <c r="U575" s="24" t="str">
        <f t="shared" si="576"/>
        <v/>
      </c>
      <c r="V575" s="24" t="str">
        <f t="shared" si="3"/>
        <v/>
      </c>
      <c r="W575" s="24" t="str">
        <f t="shared" si="4"/>
        <v/>
      </c>
    </row>
    <row r="576">
      <c r="A576" s="18">
        <f>HYPERLINK("https://app.hubspot.com/contacts/8748051/record/0-1/25875918442", 25875918442)</f>
        <v>25875918442</v>
      </c>
      <c r="B576" s="14" t="s">
        <v>5795</v>
      </c>
      <c r="C576" s="16"/>
      <c r="D576" s="14"/>
      <c r="E576" s="32">
        <v>45443.0</v>
      </c>
      <c r="F576" s="32">
        <v>45457.0</v>
      </c>
      <c r="G576" s="32">
        <v>45457.0</v>
      </c>
      <c r="H576" s="14"/>
      <c r="I576" s="14"/>
      <c r="J576" s="14"/>
      <c r="K576" s="18">
        <f>HYPERLINK("https://app.hubspot.com/contacts/8748051/record/0-2/7902488946", 7902488946)</f>
        <v>7902488946</v>
      </c>
      <c r="L576" s="14" t="s">
        <v>1629</v>
      </c>
      <c r="M576" s="18" t="s">
        <v>1630</v>
      </c>
      <c r="N576" s="18">
        <f>HYPERLINK("https://app.hubspot.com/contacts/8748051/record/0-3/20079649321", 20079649321)</f>
        <v>20079649321</v>
      </c>
      <c r="O576" s="14" t="s">
        <v>1628</v>
      </c>
      <c r="P576" s="14" t="s">
        <v>118</v>
      </c>
      <c r="Q576" s="14">
        <v>7440.0</v>
      </c>
      <c r="R576" s="24"/>
      <c r="S576" s="24" t="str">
        <f t="shared" ref="S576:U576" si="577">IF(E576&lt;&gt;"","Yes","")</f>
        <v>Yes</v>
      </c>
      <c r="T576" s="24" t="str">
        <f t="shared" si="577"/>
        <v>Yes</v>
      </c>
      <c r="U576" s="24" t="str">
        <f t="shared" si="577"/>
        <v>Yes</v>
      </c>
      <c r="V576" s="24" t="str">
        <f t="shared" si="3"/>
        <v/>
      </c>
      <c r="W576" s="24" t="str">
        <f t="shared" si="4"/>
        <v/>
      </c>
    </row>
    <row r="577">
      <c r="A577" s="18">
        <f>HYPERLINK("https://app.hubspot.com/contacts/8748051/record/0-1/27450694982", 27450694982)</f>
        <v>27450694982</v>
      </c>
      <c r="B577" s="14" t="s">
        <v>5796</v>
      </c>
      <c r="C577" s="16"/>
      <c r="D577" s="16"/>
      <c r="E577" s="32">
        <v>45449.0</v>
      </c>
      <c r="F577" s="32">
        <v>45455.0</v>
      </c>
      <c r="G577" s="32">
        <v>45455.0</v>
      </c>
      <c r="H577" s="14"/>
      <c r="I577" s="14"/>
      <c r="J577" s="14"/>
      <c r="K577" s="18">
        <f>HYPERLINK("https://app.hubspot.com/contacts/8748051/record/0-2/8791664444", 8791664444)</f>
        <v>8791664444</v>
      </c>
      <c r="L577" s="14" t="s">
        <v>1640</v>
      </c>
      <c r="M577" s="18" t="s">
        <v>1641</v>
      </c>
      <c r="N577" s="18">
        <f>HYPERLINK("https://app.hubspot.com/contacts/8748051/record/0-3/20029087321", 20029087321)</f>
        <v>20029087321</v>
      </c>
      <c r="O577" s="14" t="s">
        <v>1639</v>
      </c>
      <c r="P577" s="14" t="s">
        <v>118</v>
      </c>
      <c r="Q577" s="14">
        <v>57120.0</v>
      </c>
      <c r="R577" s="24"/>
      <c r="S577" s="24" t="str">
        <f t="shared" ref="S577:U577" si="578">IF(E577&lt;&gt;"","Yes","")</f>
        <v>Yes</v>
      </c>
      <c r="T577" s="24" t="str">
        <f t="shared" si="578"/>
        <v>Yes</v>
      </c>
      <c r="U577" s="24" t="str">
        <f t="shared" si="578"/>
        <v>Yes</v>
      </c>
      <c r="V577" s="24" t="str">
        <f t="shared" si="3"/>
        <v/>
      </c>
      <c r="W577" s="24" t="str">
        <f t="shared" si="4"/>
        <v/>
      </c>
    </row>
    <row r="578">
      <c r="A578" s="18">
        <f>HYPERLINK("https://app.hubspot.com/contacts/8748051/record/0-1/22592376863", 22592376863)</f>
        <v>22592376863</v>
      </c>
      <c r="B578" s="14" t="s">
        <v>5797</v>
      </c>
      <c r="C578" s="16"/>
      <c r="D578" s="16"/>
      <c r="E578" s="32">
        <v>45431.0</v>
      </c>
      <c r="F578" s="32"/>
      <c r="G578" s="32"/>
      <c r="H578" s="14"/>
      <c r="I578" s="14"/>
      <c r="J578" s="14"/>
      <c r="K578" s="18">
        <f>HYPERLINK("https://app.hubspot.com/contacts/8748051/record/0-2/9186892643", 9186892643)</f>
        <v>9186892643</v>
      </c>
      <c r="L578" s="14" t="s">
        <v>5798</v>
      </c>
      <c r="M578" s="18" t="s">
        <v>5799</v>
      </c>
      <c r="N578" s="14"/>
      <c r="O578" s="14"/>
      <c r="P578" s="14"/>
      <c r="Q578" s="14"/>
      <c r="R578" s="24"/>
      <c r="S578" s="24" t="str">
        <f t="shared" ref="S578:U578" si="579">IF(E578&lt;&gt;"","Yes","")</f>
        <v>Yes</v>
      </c>
      <c r="T578" s="24" t="str">
        <f t="shared" si="579"/>
        <v/>
      </c>
      <c r="U578" s="24" t="str">
        <f t="shared" si="579"/>
        <v/>
      </c>
      <c r="V578" s="24" t="str">
        <f t="shared" si="3"/>
        <v/>
      </c>
      <c r="W578" s="24" t="str">
        <f t="shared" si="4"/>
        <v/>
      </c>
    </row>
    <row r="579">
      <c r="A579" s="18">
        <f>HYPERLINK("https://app.hubspot.com/contacts/8748051/record/0-1/23846979225", 23846979225)</f>
        <v>23846979225</v>
      </c>
      <c r="B579" s="14" t="s">
        <v>5800</v>
      </c>
      <c r="C579" s="16"/>
      <c r="D579" s="16"/>
      <c r="E579" s="32">
        <v>45436.0</v>
      </c>
      <c r="F579" s="32"/>
      <c r="G579" s="32"/>
      <c r="H579" s="14"/>
      <c r="I579" s="14"/>
      <c r="J579" s="14"/>
      <c r="K579" s="18">
        <f>HYPERLINK("https://app.hubspot.com/contacts/8748051/record/0-2/8303521622", 8303521622)</f>
        <v>8303521622</v>
      </c>
      <c r="L579" s="14" t="s">
        <v>5801</v>
      </c>
      <c r="M579" s="18" t="s">
        <v>5802</v>
      </c>
      <c r="N579" s="24"/>
      <c r="O579" s="14"/>
      <c r="P579" s="14"/>
      <c r="Q579" s="14"/>
      <c r="R579" s="24"/>
      <c r="S579" s="24" t="str">
        <f t="shared" ref="S579:U579" si="580">IF(E579&lt;&gt;"","Yes","")</f>
        <v>Yes</v>
      </c>
      <c r="T579" s="24" t="str">
        <f t="shared" si="580"/>
        <v/>
      </c>
      <c r="U579" s="24" t="str">
        <f t="shared" si="580"/>
        <v/>
      </c>
      <c r="V579" s="24" t="str">
        <f t="shared" si="3"/>
        <v/>
      </c>
      <c r="W579" s="24" t="str">
        <f t="shared" si="4"/>
        <v/>
      </c>
    </row>
    <row r="580">
      <c r="A580" s="18">
        <f>HYPERLINK("https://app.hubspot.com/contacts/8748051/record/0-1/26861685941", 26861685941)</f>
        <v>26861685941</v>
      </c>
      <c r="B580" s="14" t="s">
        <v>5803</v>
      </c>
      <c r="C580" s="16"/>
      <c r="D580" s="16"/>
      <c r="E580" s="32">
        <v>45447.0</v>
      </c>
      <c r="F580" s="32">
        <v>45448.0</v>
      </c>
      <c r="G580" s="32">
        <v>45448.0</v>
      </c>
      <c r="H580" s="14"/>
      <c r="I580" s="14"/>
      <c r="J580" s="14"/>
      <c r="K580" s="18">
        <f>HYPERLINK("https://app.hubspot.com/contacts/8748051/record/0-2/8724318599", 8724318599)</f>
        <v>8724318599</v>
      </c>
      <c r="L580" s="14" t="s">
        <v>1672</v>
      </c>
      <c r="M580" s="18" t="s">
        <v>1673</v>
      </c>
      <c r="N580" s="18">
        <f>HYPERLINK("https://app.hubspot.com/contacts/8748051/record/0-3/19882762662", 19882762662)</f>
        <v>19882762662</v>
      </c>
      <c r="O580" s="14" t="s">
        <v>1671</v>
      </c>
      <c r="P580" s="14" t="s">
        <v>118</v>
      </c>
      <c r="Q580" s="14">
        <v>17040.0</v>
      </c>
      <c r="R580" s="14"/>
      <c r="S580" s="24" t="str">
        <f t="shared" ref="S580:U580" si="581">IF(E580&lt;&gt;"","Yes","")</f>
        <v>Yes</v>
      </c>
      <c r="T580" s="24" t="str">
        <f t="shared" si="581"/>
        <v>Yes</v>
      </c>
      <c r="U580" s="24" t="str">
        <f t="shared" si="581"/>
        <v>Yes</v>
      </c>
      <c r="V580" s="24" t="str">
        <f t="shared" si="3"/>
        <v/>
      </c>
      <c r="W580" s="24" t="str">
        <f t="shared" si="4"/>
        <v/>
      </c>
    </row>
    <row r="581">
      <c r="A581" s="18">
        <f>HYPERLINK("https://app.hubspot.com/contacts/8748051/record/0-1/25164788226", 25164788226)</f>
        <v>25164788226</v>
      </c>
      <c r="B581" s="14" t="s">
        <v>5804</v>
      </c>
      <c r="C581" s="16"/>
      <c r="D581" s="16"/>
      <c r="E581" s="32">
        <v>45441.0</v>
      </c>
      <c r="F581" s="32">
        <v>45448.0</v>
      </c>
      <c r="G581" s="32">
        <v>45448.0</v>
      </c>
      <c r="H581" s="14"/>
      <c r="I581" s="14"/>
      <c r="J581" s="14"/>
      <c r="K581" s="18">
        <f>HYPERLINK("https://app.hubspot.com/contacts/8748051/record/0-2/18382767734", 18382767734)</f>
        <v>18382767734</v>
      </c>
      <c r="L581" s="14" t="s">
        <v>880</v>
      </c>
      <c r="M581" s="18" t="s">
        <v>881</v>
      </c>
      <c r="N581" s="18">
        <f>HYPERLINK("https://app.hubspot.com/contacts/8748051/record/0-3/19879026275", 19879026275)</f>
        <v>19879026275</v>
      </c>
      <c r="O581" s="14" t="s">
        <v>878</v>
      </c>
      <c r="P581" s="14" t="s">
        <v>118</v>
      </c>
      <c r="Q581" s="14">
        <v>11760.0</v>
      </c>
      <c r="R581" s="14"/>
      <c r="S581" s="24" t="str">
        <f t="shared" ref="S581:U581" si="582">IF(E581&lt;&gt;"","Yes","")</f>
        <v>Yes</v>
      </c>
      <c r="T581" s="24" t="str">
        <f t="shared" si="582"/>
        <v>Yes</v>
      </c>
      <c r="U581" s="24" t="str">
        <f t="shared" si="582"/>
        <v>Yes</v>
      </c>
      <c r="V581" s="24" t="str">
        <f t="shared" si="3"/>
        <v/>
      </c>
      <c r="W581" s="24" t="str">
        <f t="shared" si="4"/>
        <v/>
      </c>
    </row>
    <row r="582">
      <c r="A582" s="18">
        <f>HYPERLINK("https://app.hubspot.com/contacts/8748051/record/0-1/26615902265", 26615902265)</f>
        <v>26615902265</v>
      </c>
      <c r="B582" s="14" t="s">
        <v>5805</v>
      </c>
      <c r="C582" s="16"/>
      <c r="D582" s="16"/>
      <c r="E582" s="32">
        <v>45446.0</v>
      </c>
      <c r="F582" s="32"/>
      <c r="G582" s="32"/>
      <c r="H582" s="14"/>
      <c r="I582" s="14"/>
      <c r="J582" s="14"/>
      <c r="K582" s="18">
        <f>HYPERLINK("https://app.hubspot.com/contacts/8748051/record/0-2/7687434062", 7687434062)</f>
        <v>7687434062</v>
      </c>
      <c r="L582" s="14" t="s">
        <v>2668</v>
      </c>
      <c r="M582" s="18" t="s">
        <v>2669</v>
      </c>
      <c r="N582" s="14"/>
      <c r="O582" s="14"/>
      <c r="P582" s="14"/>
      <c r="Q582" s="14"/>
      <c r="R582" s="24"/>
      <c r="S582" s="24" t="str">
        <f t="shared" ref="S582:U582" si="583">IF(E582&lt;&gt;"","Yes","")</f>
        <v>Yes</v>
      </c>
      <c r="T582" s="24" t="str">
        <f t="shared" si="583"/>
        <v/>
      </c>
      <c r="U582" s="24" t="str">
        <f t="shared" si="583"/>
        <v/>
      </c>
      <c r="V582" s="24" t="str">
        <f t="shared" si="3"/>
        <v/>
      </c>
      <c r="W582" s="24" t="str">
        <f t="shared" si="4"/>
        <v/>
      </c>
    </row>
    <row r="583">
      <c r="A583" s="18">
        <f>HYPERLINK("https://app.hubspot.com/contacts/8748051/record/0-1/27849576083", 27849576083)</f>
        <v>27849576083</v>
      </c>
      <c r="B583" s="14" t="s">
        <v>5806</v>
      </c>
      <c r="C583" s="16"/>
      <c r="D583" s="16"/>
      <c r="E583" s="32">
        <v>45450.0</v>
      </c>
      <c r="F583" s="32"/>
      <c r="G583" s="32"/>
      <c r="H583" s="14"/>
      <c r="I583" s="14"/>
      <c r="J583" s="14"/>
      <c r="K583" s="18">
        <f>HYPERLINK("https://app.hubspot.com/contacts/8748051/record/0-2/14810023055", 14810023055)</f>
        <v>14810023055</v>
      </c>
      <c r="L583" s="14" t="s">
        <v>5807</v>
      </c>
      <c r="M583" s="18" t="s">
        <v>5808</v>
      </c>
      <c r="N583" s="14"/>
      <c r="O583" s="14"/>
      <c r="P583" s="14"/>
      <c r="Q583" s="14"/>
      <c r="R583" s="14"/>
      <c r="S583" s="24" t="str">
        <f t="shared" ref="S583:U583" si="584">IF(E583&lt;&gt;"","Yes","")</f>
        <v>Yes</v>
      </c>
      <c r="T583" s="24" t="str">
        <f t="shared" si="584"/>
        <v/>
      </c>
      <c r="U583" s="24" t="str">
        <f t="shared" si="584"/>
        <v/>
      </c>
      <c r="V583" s="24" t="str">
        <f t="shared" si="3"/>
        <v/>
      </c>
      <c r="W583" s="24" t="str">
        <f t="shared" si="4"/>
        <v/>
      </c>
    </row>
    <row r="584">
      <c r="A584" s="18">
        <f>HYPERLINK("https://app.hubspot.com/contacts/8748051/record/0-1/22494081699", 22494081699)</f>
        <v>22494081699</v>
      </c>
      <c r="B584" s="14" t="s">
        <v>5809</v>
      </c>
      <c r="C584" s="16"/>
      <c r="D584" s="16"/>
      <c r="E584" s="32">
        <v>45432.0</v>
      </c>
      <c r="F584" s="32">
        <v>45447.0</v>
      </c>
      <c r="G584" s="32">
        <v>45447.0</v>
      </c>
      <c r="H584" s="14"/>
      <c r="I584" s="24"/>
      <c r="J584" s="24"/>
      <c r="K584" s="18">
        <f>HYPERLINK("https://app.hubspot.com/contacts/8748051/record/0-2/7862967926", 7862967926)</f>
        <v>7862967926</v>
      </c>
      <c r="L584" s="14" t="s">
        <v>1678</v>
      </c>
      <c r="M584" s="18" t="s">
        <v>1679</v>
      </c>
      <c r="N584" s="18">
        <f>HYPERLINK("https://app.hubspot.com/contacts/8748051/record/0-3/19832205078", 19832205078)</f>
        <v>19832205078</v>
      </c>
      <c r="O584" s="14" t="s">
        <v>1677</v>
      </c>
      <c r="P584" s="14" t="s">
        <v>124</v>
      </c>
      <c r="Q584" s="14">
        <v>29520.0</v>
      </c>
      <c r="R584" s="14" t="b">
        <v>1</v>
      </c>
      <c r="S584" s="24" t="str">
        <f t="shared" ref="S584:U584" si="585">IF(E584&lt;&gt;"","Yes","")</f>
        <v>Yes</v>
      </c>
      <c r="T584" s="24" t="str">
        <f t="shared" si="585"/>
        <v>Yes</v>
      </c>
      <c r="U584" s="24" t="str">
        <f t="shared" si="585"/>
        <v>Yes</v>
      </c>
      <c r="V584" s="24" t="str">
        <f t="shared" si="3"/>
        <v/>
      </c>
      <c r="W584" s="24" t="str">
        <f t="shared" si="4"/>
        <v/>
      </c>
    </row>
    <row r="585">
      <c r="A585" s="18">
        <f>HYPERLINK("https://app.hubspot.com/contacts/8748051/record/0-1/24684320818", 24684320818)</f>
        <v>24684320818</v>
      </c>
      <c r="B585" s="14" t="s">
        <v>5810</v>
      </c>
      <c r="C585" s="16"/>
      <c r="D585" s="16"/>
      <c r="E585" s="32">
        <v>45439.0</v>
      </c>
      <c r="F585" s="32"/>
      <c r="G585" s="32"/>
      <c r="H585" s="14"/>
      <c r="I585" s="14"/>
      <c r="J585" s="14"/>
      <c r="K585" s="18">
        <f>HYPERLINK("https://app.hubspot.com/contacts/8748051/record/0-2/7686762401", 7686762401)</f>
        <v>7686762401</v>
      </c>
      <c r="L585" s="14" t="s">
        <v>907</v>
      </c>
      <c r="M585" s="18" t="s">
        <v>908</v>
      </c>
      <c r="N585" s="14"/>
      <c r="O585" s="14"/>
      <c r="P585" s="14"/>
      <c r="Q585" s="14"/>
      <c r="R585" s="14"/>
      <c r="S585" s="24" t="str">
        <f t="shared" ref="S585:U585" si="586">IF(E585&lt;&gt;"","Yes","")</f>
        <v>Yes</v>
      </c>
      <c r="T585" s="24" t="str">
        <f t="shared" si="586"/>
        <v/>
      </c>
      <c r="U585" s="24" t="str">
        <f t="shared" si="586"/>
        <v/>
      </c>
      <c r="V585" s="24" t="str">
        <f t="shared" si="3"/>
        <v/>
      </c>
      <c r="W585" s="24" t="str">
        <f t="shared" si="4"/>
        <v/>
      </c>
    </row>
    <row r="586">
      <c r="A586" s="18">
        <f>HYPERLINK("https://app.hubspot.com/contacts/8748051/record/0-1/25878032054", 25878032054)</f>
        <v>25878032054</v>
      </c>
      <c r="B586" s="14" t="s">
        <v>5811</v>
      </c>
      <c r="C586" s="16"/>
      <c r="D586" s="16"/>
      <c r="E586" s="32">
        <v>45443.0</v>
      </c>
      <c r="F586" s="32"/>
      <c r="G586" s="32"/>
      <c r="H586" s="14"/>
      <c r="I586" s="14"/>
      <c r="J586" s="14"/>
      <c r="K586" s="18">
        <f>HYPERLINK("https://app.hubspot.com/contacts/8748051/record/0-2/7641549140", 7641549140)</f>
        <v>7641549140</v>
      </c>
      <c r="L586" s="14" t="s">
        <v>5812</v>
      </c>
      <c r="M586" s="18" t="s">
        <v>5813</v>
      </c>
      <c r="N586" s="14"/>
      <c r="O586" s="14"/>
      <c r="P586" s="14"/>
      <c r="Q586" s="14"/>
      <c r="R586" s="14"/>
      <c r="S586" s="24" t="str">
        <f t="shared" ref="S586:U586" si="587">IF(E586&lt;&gt;"","Yes","")</f>
        <v>Yes</v>
      </c>
      <c r="T586" s="24" t="str">
        <f t="shared" si="587"/>
        <v/>
      </c>
      <c r="U586" s="24" t="str">
        <f t="shared" si="587"/>
        <v/>
      </c>
      <c r="V586" s="24" t="str">
        <f t="shared" si="3"/>
        <v/>
      </c>
      <c r="W586" s="24" t="str">
        <f t="shared" si="4"/>
        <v/>
      </c>
    </row>
    <row r="587">
      <c r="A587" s="18">
        <f>HYPERLINK("https://app.hubspot.com/contacts/8748051/record/0-1/26765935734", 26765935734)</f>
        <v>26765935734</v>
      </c>
      <c r="B587" s="14" t="s">
        <v>5814</v>
      </c>
      <c r="C587" s="16"/>
      <c r="D587" s="16"/>
      <c r="E587" s="32">
        <v>45446.0</v>
      </c>
      <c r="F587" s="24"/>
      <c r="G587" s="24"/>
      <c r="H587" s="14"/>
      <c r="I587" s="24"/>
      <c r="J587" s="24"/>
      <c r="K587" s="18">
        <f>HYPERLINK("https://app.hubspot.com/contacts/8748051/record/0-2/7946436488", 7946436488)</f>
        <v>7946436488</v>
      </c>
      <c r="L587" s="14" t="s">
        <v>2624</v>
      </c>
      <c r="M587" s="18" t="s">
        <v>2625</v>
      </c>
      <c r="N587" s="24"/>
      <c r="O587" s="24"/>
      <c r="P587" s="24"/>
      <c r="Q587" s="24"/>
      <c r="R587" s="24"/>
      <c r="S587" s="24" t="str">
        <f t="shared" ref="S587:U587" si="588">IF(E587&lt;&gt;"","Yes","")</f>
        <v>Yes</v>
      </c>
      <c r="T587" s="24" t="str">
        <f t="shared" si="588"/>
        <v/>
      </c>
      <c r="U587" s="24" t="str">
        <f t="shared" si="588"/>
        <v/>
      </c>
      <c r="V587" s="24" t="str">
        <f t="shared" si="3"/>
        <v/>
      </c>
      <c r="W587" s="24" t="str">
        <f t="shared" si="4"/>
        <v/>
      </c>
    </row>
    <row r="588">
      <c r="A588" s="18">
        <f>HYPERLINK("https://app.hubspot.com/contacts/8748051/record/0-1/25957524570", 25957524570)</f>
        <v>25957524570</v>
      </c>
      <c r="B588" s="14" t="s">
        <v>5815</v>
      </c>
      <c r="C588" s="16"/>
      <c r="D588" s="16"/>
      <c r="E588" s="32">
        <v>45443.0</v>
      </c>
      <c r="F588" s="32"/>
      <c r="G588" s="24"/>
      <c r="H588" s="14"/>
      <c r="I588" s="14"/>
      <c r="J588" s="14"/>
      <c r="K588" s="18">
        <f>HYPERLINK("https://app.hubspot.com/contacts/8748051/record/0-2/9546913342", 9546913342)</f>
        <v>9546913342</v>
      </c>
      <c r="L588" s="14" t="s">
        <v>5816</v>
      </c>
      <c r="M588" s="18" t="s">
        <v>5817</v>
      </c>
      <c r="N588" s="14"/>
      <c r="O588" s="14"/>
      <c r="P588" s="14"/>
      <c r="Q588" s="14"/>
      <c r="R588" s="24"/>
      <c r="S588" s="24" t="str">
        <f t="shared" ref="S588:U588" si="589">IF(E588&lt;&gt;"","Yes","")</f>
        <v>Yes</v>
      </c>
      <c r="T588" s="24" t="str">
        <f t="shared" si="589"/>
        <v/>
      </c>
      <c r="U588" s="24" t="str">
        <f t="shared" si="589"/>
        <v/>
      </c>
      <c r="V588" s="24" t="str">
        <f t="shared" si="3"/>
        <v/>
      </c>
      <c r="W588" s="24" t="str">
        <f t="shared" si="4"/>
        <v/>
      </c>
    </row>
    <row r="589">
      <c r="A589" s="18">
        <f>HYPERLINK("https://app.hubspot.com/contacts/8748051/record/0-1/21833756545", 21833756545)</f>
        <v>21833756545</v>
      </c>
      <c r="B589" s="14" t="s">
        <v>5818</v>
      </c>
      <c r="C589" s="16"/>
      <c r="D589" s="16"/>
      <c r="E589" s="32">
        <v>45428.0</v>
      </c>
      <c r="F589" s="32"/>
      <c r="G589" s="32"/>
      <c r="H589" s="14"/>
      <c r="I589" s="14"/>
      <c r="J589" s="14"/>
      <c r="K589" s="18">
        <f>HYPERLINK("https://app.hubspot.com/contacts/8748051/record/0-2/9186382509", 9186382509)</f>
        <v>9186382509</v>
      </c>
      <c r="L589" s="14" t="s">
        <v>4830</v>
      </c>
      <c r="M589" s="18" t="s">
        <v>4831</v>
      </c>
      <c r="N589" s="14"/>
      <c r="O589" s="14"/>
      <c r="P589" s="14"/>
      <c r="Q589" s="14"/>
      <c r="R589" s="24"/>
      <c r="S589" s="24" t="str">
        <f t="shared" ref="S589:U589" si="590">IF(E589&lt;&gt;"","Yes","")</f>
        <v>Yes</v>
      </c>
      <c r="T589" s="24" t="str">
        <f t="shared" si="590"/>
        <v/>
      </c>
      <c r="U589" s="24" t="str">
        <f t="shared" si="590"/>
        <v/>
      </c>
      <c r="V589" s="24" t="str">
        <f t="shared" si="3"/>
        <v/>
      </c>
      <c r="W589" s="24" t="str">
        <f t="shared" si="4"/>
        <v/>
      </c>
    </row>
    <row r="590">
      <c r="A590" s="18">
        <f>HYPERLINK("https://app.hubspot.com/contacts/8748051/record/0-1/26618353573", 26618353573)</f>
        <v>26618353573</v>
      </c>
      <c r="B590" s="14" t="s">
        <v>5819</v>
      </c>
      <c r="C590" s="16"/>
      <c r="D590" s="16"/>
      <c r="E590" s="32">
        <v>45446.0</v>
      </c>
      <c r="F590" s="32"/>
      <c r="G590" s="32"/>
      <c r="H590" s="14"/>
      <c r="I590" s="14"/>
      <c r="J590" s="14"/>
      <c r="K590" s="18">
        <f>HYPERLINK("https://app.hubspot.com/contacts/8748051/record/0-2/8341442344", 8341442344)</f>
        <v>8341442344</v>
      </c>
      <c r="L590" s="14" t="s">
        <v>5367</v>
      </c>
      <c r="M590" s="18" t="s">
        <v>5368</v>
      </c>
      <c r="N590" s="14"/>
      <c r="O590" s="14"/>
      <c r="P590" s="14"/>
      <c r="Q590" s="14"/>
      <c r="R590" s="14"/>
      <c r="S590" s="24" t="str">
        <f t="shared" ref="S590:U590" si="591">IF(E590&lt;&gt;"","Yes","")</f>
        <v>Yes</v>
      </c>
      <c r="T590" s="24" t="str">
        <f t="shared" si="591"/>
        <v/>
      </c>
      <c r="U590" s="24" t="str">
        <f t="shared" si="591"/>
        <v/>
      </c>
      <c r="V590" s="24" t="str">
        <f t="shared" si="3"/>
        <v/>
      </c>
      <c r="W590" s="24" t="str">
        <f t="shared" si="4"/>
        <v/>
      </c>
    </row>
    <row r="591">
      <c r="A591" s="18">
        <f>HYPERLINK("https://app.hubspot.com/contacts/8748051/record/0-1/25058579040", 25058579040)</f>
        <v>25058579040</v>
      </c>
      <c r="B591" s="14" t="s">
        <v>5820</v>
      </c>
      <c r="C591" s="16"/>
      <c r="D591" s="16"/>
      <c r="E591" s="32">
        <v>45441.0</v>
      </c>
      <c r="F591" s="32"/>
      <c r="G591" s="24"/>
      <c r="H591" s="14"/>
      <c r="I591" s="14"/>
      <c r="J591" s="14"/>
      <c r="K591" s="18">
        <f>HYPERLINK("https://app.hubspot.com/contacts/8748051/record/0-2/9132273552", 9132273552)</f>
        <v>9132273552</v>
      </c>
      <c r="L591" s="14" t="s">
        <v>5821</v>
      </c>
      <c r="M591" s="18" t="s">
        <v>5822</v>
      </c>
      <c r="N591" s="14"/>
      <c r="O591" s="14"/>
      <c r="P591" s="14"/>
      <c r="Q591" s="14"/>
      <c r="R591" s="24"/>
      <c r="S591" s="24" t="str">
        <f t="shared" ref="S591:U591" si="592">IF(E591&lt;&gt;"","Yes","")</f>
        <v>Yes</v>
      </c>
      <c r="T591" s="24" t="str">
        <f t="shared" si="592"/>
        <v/>
      </c>
      <c r="U591" s="24" t="str">
        <f t="shared" si="592"/>
        <v/>
      </c>
      <c r="V591" s="24" t="str">
        <f t="shared" si="3"/>
        <v/>
      </c>
      <c r="W591" s="24" t="str">
        <f t="shared" si="4"/>
        <v/>
      </c>
    </row>
    <row r="592">
      <c r="A592" s="18">
        <f>HYPERLINK("https://app.hubspot.com/contacts/8748051/record/0-1/22782048653", 22782048653)</f>
        <v>22782048653</v>
      </c>
      <c r="B592" s="14" t="s">
        <v>5823</v>
      </c>
      <c r="C592" s="16"/>
      <c r="D592" s="16"/>
      <c r="E592" s="32">
        <v>45432.0</v>
      </c>
      <c r="F592" s="32"/>
      <c r="G592" s="24"/>
      <c r="H592" s="14"/>
      <c r="I592" s="24"/>
      <c r="J592" s="24"/>
      <c r="K592" s="18">
        <f>HYPERLINK("https://app.hubspot.com/contacts/8748051/record/0-2/9361006752", 9361006752)</f>
        <v>9361006752</v>
      </c>
      <c r="L592" s="14" t="s">
        <v>5824</v>
      </c>
      <c r="M592" s="18" t="s">
        <v>5825</v>
      </c>
      <c r="N592" s="24"/>
      <c r="O592" s="14"/>
      <c r="P592" s="14"/>
      <c r="Q592" s="14"/>
      <c r="R592" s="24"/>
      <c r="S592" s="24" t="str">
        <f t="shared" ref="S592:U592" si="593">IF(E592&lt;&gt;"","Yes","")</f>
        <v>Yes</v>
      </c>
      <c r="T592" s="24" t="str">
        <f t="shared" si="593"/>
        <v/>
      </c>
      <c r="U592" s="24" t="str">
        <f t="shared" si="593"/>
        <v/>
      </c>
      <c r="V592" s="24" t="str">
        <f t="shared" si="3"/>
        <v/>
      </c>
      <c r="W592" s="24" t="str">
        <f t="shared" si="4"/>
        <v/>
      </c>
    </row>
    <row r="593">
      <c r="A593" s="18">
        <f>HYPERLINK("https://app.hubspot.com/contacts/8748051/record/0-1/24253066156", 24253066156)</f>
        <v>24253066156</v>
      </c>
      <c r="B593" s="14" t="s">
        <v>5826</v>
      </c>
      <c r="C593" s="16"/>
      <c r="D593" s="16"/>
      <c r="E593" s="32">
        <v>45439.0</v>
      </c>
      <c r="F593" s="24"/>
      <c r="G593" s="24"/>
      <c r="H593" s="14"/>
      <c r="I593" s="14"/>
      <c r="J593" s="14"/>
      <c r="K593" s="18">
        <f>HYPERLINK("https://app.hubspot.com/contacts/8748051/record/0-2/21007717817", 21007717817)</f>
        <v>21007717817</v>
      </c>
      <c r="L593" s="14" t="s">
        <v>5827</v>
      </c>
      <c r="M593" s="18" t="s">
        <v>5828</v>
      </c>
      <c r="N593" s="24"/>
      <c r="O593" s="14"/>
      <c r="P593" s="14"/>
      <c r="Q593" s="14"/>
      <c r="R593" s="24"/>
      <c r="S593" s="24" t="str">
        <f t="shared" ref="S593:U593" si="594">IF(E593&lt;&gt;"","Yes","")</f>
        <v>Yes</v>
      </c>
      <c r="T593" s="24" t="str">
        <f t="shared" si="594"/>
        <v/>
      </c>
      <c r="U593" s="24" t="str">
        <f t="shared" si="594"/>
        <v/>
      </c>
      <c r="V593" s="24" t="str">
        <f t="shared" si="3"/>
        <v/>
      </c>
      <c r="W593" s="24" t="str">
        <f t="shared" si="4"/>
        <v/>
      </c>
    </row>
    <row r="594">
      <c r="A594" s="18">
        <f>HYPERLINK("https://app.hubspot.com/contacts/8748051/record/0-1/22466264214", 22466264214)</f>
        <v>22466264214</v>
      </c>
      <c r="B594" s="14" t="s">
        <v>5829</v>
      </c>
      <c r="C594" s="16"/>
      <c r="D594" s="16"/>
      <c r="E594" s="32">
        <v>45430.0</v>
      </c>
      <c r="F594" s="32"/>
      <c r="G594" s="32"/>
      <c r="H594" s="14"/>
      <c r="I594" s="14"/>
      <c r="J594" s="14"/>
      <c r="K594" s="18">
        <f>HYPERLINK("https://app.hubspot.com/contacts/8748051/record/0-2/19176694815", 19176694815)</f>
        <v>19176694815</v>
      </c>
      <c r="L594" s="14" t="s">
        <v>5830</v>
      </c>
      <c r="M594" s="18" t="s">
        <v>5831</v>
      </c>
      <c r="N594" s="14"/>
      <c r="O594" s="14"/>
      <c r="P594" s="14"/>
      <c r="Q594" s="14"/>
      <c r="R594" s="14"/>
      <c r="S594" s="24" t="str">
        <f t="shared" ref="S594:U594" si="595">IF(E594&lt;&gt;"","Yes","")</f>
        <v>Yes</v>
      </c>
      <c r="T594" s="24" t="str">
        <f t="shared" si="595"/>
        <v/>
      </c>
      <c r="U594" s="24" t="str">
        <f t="shared" si="595"/>
        <v/>
      </c>
      <c r="V594" s="24" t="str">
        <f t="shared" si="3"/>
        <v/>
      </c>
      <c r="W594" s="24" t="str">
        <f t="shared" si="4"/>
        <v/>
      </c>
    </row>
    <row r="595">
      <c r="A595" s="18">
        <f>HYPERLINK("https://app.hubspot.com/contacts/8748051/record/0-1/21982700096", 21982700096)</f>
        <v>21982700096</v>
      </c>
      <c r="B595" s="14" t="s">
        <v>5832</v>
      </c>
      <c r="C595" s="16"/>
      <c r="D595" s="16"/>
      <c r="E595" s="32">
        <v>45429.0</v>
      </c>
      <c r="F595" s="32">
        <v>45435.0</v>
      </c>
      <c r="G595" s="32"/>
      <c r="H595" s="14"/>
      <c r="I595" s="14"/>
      <c r="J595" s="14"/>
      <c r="K595" s="18">
        <f>HYPERLINK("https://app.hubspot.com/contacts/8748051/record/0-2/7648495778", 7648495778)</f>
        <v>7648495778</v>
      </c>
      <c r="L595" s="14" t="s">
        <v>1721</v>
      </c>
      <c r="M595" s="18" t="s">
        <v>1722</v>
      </c>
      <c r="N595" s="18">
        <f>HYPERLINK("https://app.hubspot.com/contacts/8748051/record/0-3/19518082666", 19518082666)</f>
        <v>19518082666</v>
      </c>
      <c r="O595" s="14" t="s">
        <v>1720</v>
      </c>
      <c r="P595" s="14" t="s">
        <v>118</v>
      </c>
      <c r="Q595" s="14">
        <v>7200.0</v>
      </c>
      <c r="R595" s="24"/>
      <c r="S595" s="24" t="str">
        <f t="shared" ref="S595:U595" si="596">IF(E595&lt;&gt;"","Yes","")</f>
        <v>Yes</v>
      </c>
      <c r="T595" s="24" t="str">
        <f t="shared" si="596"/>
        <v>Yes</v>
      </c>
      <c r="U595" s="24" t="str">
        <f t="shared" si="596"/>
        <v/>
      </c>
      <c r="V595" s="24" t="str">
        <f t="shared" si="3"/>
        <v/>
      </c>
      <c r="W595" s="24" t="str">
        <f t="shared" si="4"/>
        <v/>
      </c>
    </row>
    <row r="596">
      <c r="A596" s="18">
        <f>HYPERLINK("https://app.hubspot.com/contacts/8748051/record/0-1/22345554706", 22345554706)</f>
        <v>22345554706</v>
      </c>
      <c r="B596" s="14" t="s">
        <v>5833</v>
      </c>
      <c r="C596" s="16"/>
      <c r="D596" s="16"/>
      <c r="E596" s="32">
        <v>45430.0</v>
      </c>
      <c r="F596" s="32">
        <v>45448.0</v>
      </c>
      <c r="G596" s="32"/>
      <c r="H596" s="14"/>
      <c r="I596" s="14"/>
      <c r="J596" s="14"/>
      <c r="K596" s="18">
        <f>HYPERLINK("https://app.hubspot.com/contacts/8748051/record/0-2/8983202742", 8983202742)</f>
        <v>8983202742</v>
      </c>
      <c r="L596" s="14" t="s">
        <v>1675</v>
      </c>
      <c r="M596" s="18" t="s">
        <v>1676</v>
      </c>
      <c r="N596" s="18">
        <f>HYPERLINK("https://app.hubspot.com/contacts/8748051/record/0-3/19877857027", 19877857027)</f>
        <v>19877857027</v>
      </c>
      <c r="O596" s="14" t="s">
        <v>1674</v>
      </c>
      <c r="P596" s="14" t="s">
        <v>118</v>
      </c>
      <c r="Q596" s="14">
        <v>19920.0</v>
      </c>
      <c r="R596" s="14"/>
      <c r="S596" s="24" t="str">
        <f t="shared" ref="S596:U596" si="597">IF(E596&lt;&gt;"","Yes","")</f>
        <v>Yes</v>
      </c>
      <c r="T596" s="24" t="str">
        <f t="shared" si="597"/>
        <v>Yes</v>
      </c>
      <c r="U596" s="24" t="str">
        <f t="shared" si="597"/>
        <v/>
      </c>
      <c r="V596" s="24" t="str">
        <f t="shared" si="3"/>
        <v/>
      </c>
      <c r="W596" s="24" t="str">
        <f t="shared" si="4"/>
        <v/>
      </c>
    </row>
    <row r="597">
      <c r="A597" s="18">
        <f>HYPERLINK("https://app.hubspot.com/contacts/8748051/record/0-1/27476377989", 27476377989)</f>
        <v>27476377989</v>
      </c>
      <c r="B597" s="14" t="s">
        <v>5834</v>
      </c>
      <c r="C597" s="16"/>
      <c r="D597" s="14"/>
      <c r="E597" s="32">
        <v>45449.0</v>
      </c>
      <c r="F597" s="32"/>
      <c r="G597" s="24"/>
      <c r="H597" s="14"/>
      <c r="I597" s="14"/>
      <c r="J597" s="14"/>
      <c r="K597" s="18">
        <f>HYPERLINK("https://app.hubspot.com/contacts/8748051/record/0-2/8991006513", 8991006513)</f>
        <v>8991006513</v>
      </c>
      <c r="L597" s="14" t="s">
        <v>5835</v>
      </c>
      <c r="M597" s="18" t="s">
        <v>5836</v>
      </c>
      <c r="N597" s="14"/>
      <c r="O597" s="14"/>
      <c r="P597" s="14"/>
      <c r="Q597" s="14"/>
      <c r="R597" s="24"/>
      <c r="S597" s="24" t="str">
        <f t="shared" ref="S597:U597" si="598">IF(E597&lt;&gt;"","Yes","")</f>
        <v>Yes</v>
      </c>
      <c r="T597" s="24" t="str">
        <f t="shared" si="598"/>
        <v/>
      </c>
      <c r="U597" s="24" t="str">
        <f t="shared" si="598"/>
        <v/>
      </c>
      <c r="V597" s="24" t="str">
        <f t="shared" si="3"/>
        <v/>
      </c>
      <c r="W597" s="24" t="str">
        <f t="shared" si="4"/>
        <v/>
      </c>
    </row>
    <row r="598">
      <c r="A598" s="18">
        <f>HYPERLINK("https://app.hubspot.com/contacts/8748051/record/0-1/20288033628", 20288033628)</f>
        <v>20288033628</v>
      </c>
      <c r="B598" s="14" t="s">
        <v>5837</v>
      </c>
      <c r="C598" s="16"/>
      <c r="D598" s="14" t="s">
        <v>5357</v>
      </c>
      <c r="E598" s="32"/>
      <c r="F598" s="32"/>
      <c r="G598" s="32"/>
      <c r="H598" s="14"/>
      <c r="I598" s="14"/>
      <c r="J598" s="14"/>
      <c r="K598" s="18">
        <f>HYPERLINK("https://app.hubspot.com/contacts/8748051/record/0-2/8096962313", 8096962313)</f>
        <v>8096962313</v>
      </c>
      <c r="L598" s="14" t="s">
        <v>5838</v>
      </c>
      <c r="M598" s="18" t="s">
        <v>5839</v>
      </c>
      <c r="N598" s="14"/>
      <c r="O598" s="14"/>
      <c r="P598" s="14"/>
      <c r="Q598" s="14"/>
      <c r="R598" s="14"/>
      <c r="S598" s="24" t="str">
        <f t="shared" ref="S598:U598" si="599">IF(E598&lt;&gt;"","Yes","")</f>
        <v/>
      </c>
      <c r="T598" s="24" t="str">
        <f t="shared" si="599"/>
        <v/>
      </c>
      <c r="U598" s="24" t="str">
        <f t="shared" si="599"/>
        <v/>
      </c>
      <c r="V598" s="24" t="str">
        <f t="shared" si="3"/>
        <v/>
      </c>
      <c r="W598" s="24" t="str">
        <f t="shared" si="4"/>
        <v/>
      </c>
    </row>
    <row r="599">
      <c r="A599" s="18">
        <f>HYPERLINK("https://app.hubspot.com/contacts/8748051/record/0-1/28682057303", 28682057303)</f>
        <v>28682057303</v>
      </c>
      <c r="B599" s="14" t="s">
        <v>5840</v>
      </c>
      <c r="C599" s="16"/>
      <c r="D599" s="14" t="s">
        <v>5841</v>
      </c>
      <c r="E599" s="32"/>
      <c r="F599" s="32"/>
      <c r="G599" s="32"/>
      <c r="H599" s="14"/>
      <c r="I599" s="14"/>
      <c r="J599" s="14"/>
      <c r="K599" s="18">
        <f>HYPERLINK("https://app.hubspot.com/contacts/8748051/record/0-2/9238407440", 9238407440)</f>
        <v>9238407440</v>
      </c>
      <c r="L599" s="14" t="s">
        <v>5842</v>
      </c>
      <c r="M599" s="18" t="s">
        <v>5843</v>
      </c>
      <c r="N599" s="14"/>
      <c r="O599" s="14"/>
      <c r="P599" s="14"/>
      <c r="Q599" s="14"/>
      <c r="R599" s="14"/>
      <c r="S599" s="24" t="str">
        <f t="shared" ref="S599:U599" si="600">IF(E599&lt;&gt;"","Yes","")</f>
        <v/>
      </c>
      <c r="T599" s="24" t="str">
        <f t="shared" si="600"/>
        <v/>
      </c>
      <c r="U599" s="24" t="str">
        <f t="shared" si="600"/>
        <v/>
      </c>
      <c r="V599" s="24" t="str">
        <f t="shared" si="3"/>
        <v/>
      </c>
      <c r="W599" s="24" t="str">
        <f t="shared" si="4"/>
        <v/>
      </c>
    </row>
    <row r="600">
      <c r="A600" s="18">
        <f>HYPERLINK("https://app.hubspot.com/contacts/8748051/record/0-1/19885666731", 19885666731)</f>
        <v>19885666731</v>
      </c>
      <c r="B600" s="14" t="s">
        <v>5844</v>
      </c>
      <c r="C600" s="16"/>
      <c r="D600" s="14" t="s">
        <v>4067</v>
      </c>
      <c r="E600" s="32"/>
      <c r="F600" s="24"/>
      <c r="G600" s="24"/>
      <c r="H600" s="14"/>
      <c r="I600" s="24"/>
      <c r="J600" s="24"/>
      <c r="K600" s="18">
        <f>HYPERLINK("https://app.hubspot.com/contacts/8748051/record/0-2/8724516529", 8724516529)</f>
        <v>8724516529</v>
      </c>
      <c r="L600" s="14" t="s">
        <v>1577</v>
      </c>
      <c r="M600" s="18" t="s">
        <v>1578</v>
      </c>
      <c r="N600" s="24"/>
      <c r="O600" s="24"/>
      <c r="P600" s="24"/>
      <c r="Q600" s="24"/>
      <c r="R600" s="24"/>
      <c r="S600" s="24" t="str">
        <f t="shared" ref="S600:U600" si="601">IF(E600&lt;&gt;"","Yes","")</f>
        <v/>
      </c>
      <c r="T600" s="24" t="str">
        <f t="shared" si="601"/>
        <v/>
      </c>
      <c r="U600" s="24" t="str">
        <f t="shared" si="601"/>
        <v/>
      </c>
      <c r="V600" s="24" t="str">
        <f t="shared" si="3"/>
        <v/>
      </c>
      <c r="W600" s="24" t="str">
        <f t="shared" si="4"/>
        <v/>
      </c>
    </row>
    <row r="601">
      <c r="A601" s="18">
        <f>HYPERLINK("https://app.hubspot.com/contacts/8748051/record/0-1/25126312876", 25126312876)</f>
        <v>25126312876</v>
      </c>
      <c r="B601" s="14" t="s">
        <v>5845</v>
      </c>
      <c r="C601" s="16"/>
      <c r="D601" s="16"/>
      <c r="E601" s="32">
        <v>45441.0</v>
      </c>
      <c r="F601" s="24"/>
      <c r="G601" s="24"/>
      <c r="H601" s="14"/>
      <c r="I601" s="14"/>
      <c r="J601" s="14"/>
      <c r="K601" s="18">
        <f>HYPERLINK("https://app.hubspot.com/contacts/8748051/record/0-2/9001616498", 9001616498)</f>
        <v>9001616498</v>
      </c>
      <c r="L601" s="14" t="s">
        <v>5846</v>
      </c>
      <c r="M601" s="18" t="s">
        <v>5847</v>
      </c>
      <c r="N601" s="24"/>
      <c r="O601" s="24"/>
      <c r="P601" s="24"/>
      <c r="Q601" s="24"/>
      <c r="R601" s="24"/>
      <c r="S601" s="24" t="str">
        <f t="shared" ref="S601:U601" si="602">IF(E601&lt;&gt;"","Yes","")</f>
        <v>Yes</v>
      </c>
      <c r="T601" s="24" t="str">
        <f t="shared" si="602"/>
        <v/>
      </c>
      <c r="U601" s="24" t="str">
        <f t="shared" si="602"/>
        <v/>
      </c>
      <c r="V601" s="24" t="str">
        <f t="shared" si="3"/>
        <v/>
      </c>
      <c r="W601" s="24" t="str">
        <f t="shared" si="4"/>
        <v/>
      </c>
    </row>
    <row r="602">
      <c r="A602" s="18">
        <f>HYPERLINK("https://app.hubspot.com/contacts/8748051/record/0-1/27854058928", 27854058928)</f>
        <v>27854058928</v>
      </c>
      <c r="B602" s="14" t="s">
        <v>5848</v>
      </c>
      <c r="C602" s="16"/>
      <c r="D602" s="16"/>
      <c r="E602" s="32">
        <v>45450.0</v>
      </c>
      <c r="F602" s="32"/>
      <c r="G602" s="32"/>
      <c r="H602" s="14"/>
      <c r="I602" s="14"/>
      <c r="J602" s="14"/>
      <c r="K602" s="18">
        <f>HYPERLINK("https://app.hubspot.com/contacts/8748051/record/0-2/7934439315", 7934439315)</f>
        <v>7934439315</v>
      </c>
      <c r="L602" s="14" t="s">
        <v>5849</v>
      </c>
      <c r="M602" s="18" t="s">
        <v>5850</v>
      </c>
      <c r="N602" s="14"/>
      <c r="O602" s="14"/>
      <c r="P602" s="14"/>
      <c r="Q602" s="14"/>
      <c r="R602" s="14"/>
      <c r="S602" s="24" t="str">
        <f t="shared" ref="S602:U602" si="603">IF(E602&lt;&gt;"","Yes","")</f>
        <v>Yes</v>
      </c>
      <c r="T602" s="24" t="str">
        <f t="shared" si="603"/>
        <v/>
      </c>
      <c r="U602" s="24" t="str">
        <f t="shared" si="603"/>
        <v/>
      </c>
      <c r="V602" s="24" t="str">
        <f t="shared" si="3"/>
        <v/>
      </c>
      <c r="W602" s="24" t="str">
        <f t="shared" si="4"/>
        <v/>
      </c>
    </row>
    <row r="603">
      <c r="A603" s="18">
        <f>HYPERLINK("https://app.hubspot.com/contacts/8748051/record/0-1/158279635727", 158279635727)</f>
        <v>158279635727</v>
      </c>
      <c r="B603" s="14" t="s">
        <v>5851</v>
      </c>
      <c r="C603" s="16"/>
      <c r="D603" s="16"/>
      <c r="E603" s="32">
        <v>45467.0</v>
      </c>
      <c r="F603" s="24"/>
      <c r="G603" s="24"/>
      <c r="H603" s="14"/>
      <c r="I603" s="24"/>
      <c r="J603" s="24"/>
      <c r="K603" s="18">
        <f>HYPERLINK("https://app.hubspot.com/contacts/8748051/record/0-2/18003071072", 18003071072)</f>
        <v>18003071072</v>
      </c>
      <c r="L603" s="18" t="s">
        <v>5546</v>
      </c>
      <c r="M603" s="18" t="s">
        <v>5547</v>
      </c>
      <c r="N603" s="24"/>
      <c r="O603" s="24"/>
      <c r="P603" s="24"/>
      <c r="Q603" s="24"/>
      <c r="R603" s="24"/>
      <c r="S603" s="24" t="str">
        <f t="shared" ref="S603:U603" si="604">IF(E603&lt;&gt;"","Yes","")</f>
        <v>Yes</v>
      </c>
      <c r="T603" s="24" t="str">
        <f t="shared" si="604"/>
        <v/>
      </c>
      <c r="U603" s="24" t="str">
        <f t="shared" si="604"/>
        <v/>
      </c>
      <c r="V603" s="24" t="str">
        <f t="shared" si="3"/>
        <v/>
      </c>
      <c r="W603" s="24" t="str">
        <f t="shared" si="4"/>
        <v/>
      </c>
    </row>
    <row r="604">
      <c r="A604" s="18">
        <f>HYPERLINK("https://app.hubspot.com/contacts/8748051/record/0-1/33729258088", 33729258088)</f>
        <v>33729258088</v>
      </c>
      <c r="B604" s="14" t="s">
        <v>5852</v>
      </c>
      <c r="C604" s="16"/>
      <c r="D604" s="16"/>
      <c r="E604" s="32">
        <v>45470.0</v>
      </c>
      <c r="F604" s="32"/>
      <c r="G604" s="32"/>
      <c r="H604" s="14"/>
      <c r="I604" s="14"/>
      <c r="J604" s="14"/>
      <c r="K604" s="18">
        <f>HYPERLINK("https://app.hubspot.com/contacts/8748051/record/0-2/19176511904", 19176511904)</f>
        <v>19176511904</v>
      </c>
      <c r="L604" s="14" t="s">
        <v>5853</v>
      </c>
      <c r="M604" s="18" t="s">
        <v>5854</v>
      </c>
      <c r="N604" s="24"/>
      <c r="O604" s="14"/>
      <c r="P604" s="14"/>
      <c r="Q604" s="14"/>
      <c r="R604" s="14"/>
      <c r="S604" s="24" t="str">
        <f t="shared" ref="S604:U604" si="605">IF(E604&lt;&gt;"","Yes","")</f>
        <v>Yes</v>
      </c>
      <c r="T604" s="24" t="str">
        <f t="shared" si="605"/>
        <v/>
      </c>
      <c r="U604" s="24" t="str">
        <f t="shared" si="605"/>
        <v/>
      </c>
      <c r="V604" s="24" t="str">
        <f t="shared" si="3"/>
        <v/>
      </c>
      <c r="W604" s="24" t="str">
        <f t="shared" si="4"/>
        <v/>
      </c>
    </row>
    <row r="605">
      <c r="A605" s="18">
        <f>HYPERLINK("https://app.hubspot.com/contacts/8748051/record/0-1/36364192804", 36364192804)</f>
        <v>36364192804</v>
      </c>
      <c r="B605" s="14" t="s">
        <v>5855</v>
      </c>
      <c r="C605" s="16"/>
      <c r="D605" s="16"/>
      <c r="E605" s="32">
        <v>45478.0</v>
      </c>
      <c r="F605" s="32"/>
      <c r="G605" s="32"/>
      <c r="H605" s="14"/>
      <c r="I605" s="14"/>
      <c r="J605" s="14"/>
      <c r="K605" s="18">
        <f>HYPERLINK("https://app.hubspot.com/contacts/8748051/record/0-2/15869602939", 15869602939)</f>
        <v>15869602939</v>
      </c>
      <c r="L605" s="14" t="s">
        <v>1350</v>
      </c>
      <c r="M605" s="18" t="s">
        <v>1351</v>
      </c>
      <c r="N605" s="14"/>
      <c r="O605" s="14"/>
      <c r="P605" s="14"/>
      <c r="Q605" s="14"/>
      <c r="R605" s="14"/>
      <c r="S605" s="24" t="str">
        <f t="shared" ref="S605:U605" si="606">IF(E605&lt;&gt;"","Yes","")</f>
        <v>Yes</v>
      </c>
      <c r="T605" s="24" t="str">
        <f t="shared" si="606"/>
        <v/>
      </c>
      <c r="U605" s="24" t="str">
        <f t="shared" si="606"/>
        <v/>
      </c>
      <c r="V605" s="24" t="str">
        <f t="shared" si="3"/>
        <v/>
      </c>
      <c r="W605" s="24" t="str">
        <f t="shared" si="4"/>
        <v/>
      </c>
    </row>
    <row r="606">
      <c r="A606" s="18">
        <f>HYPERLINK("https://app.hubspot.com/contacts/8748051/record/0-1/34420630095", 34420630095)</f>
        <v>34420630095</v>
      </c>
      <c r="B606" s="14" t="s">
        <v>5856</v>
      </c>
      <c r="C606" s="16"/>
      <c r="D606" s="16"/>
      <c r="E606" s="32">
        <v>45474.0</v>
      </c>
      <c r="F606" s="24"/>
      <c r="G606" s="24"/>
      <c r="H606" s="14"/>
      <c r="I606" s="14"/>
      <c r="J606" s="14"/>
      <c r="K606" s="18">
        <f>HYPERLINK("https://app.hubspot.com/contacts/8748051/record/0-2/19176255769", 19176255769)</f>
        <v>19176255769</v>
      </c>
      <c r="L606" s="14" t="s">
        <v>5857</v>
      </c>
      <c r="M606" s="18" t="s">
        <v>5858</v>
      </c>
      <c r="N606" s="24"/>
      <c r="O606" s="24"/>
      <c r="P606" s="24"/>
      <c r="Q606" s="24"/>
      <c r="R606" s="24"/>
      <c r="S606" s="24" t="str">
        <f t="shared" ref="S606:U606" si="607">IF(E606&lt;&gt;"","Yes","")</f>
        <v>Yes</v>
      </c>
      <c r="T606" s="24" t="str">
        <f t="shared" si="607"/>
        <v/>
      </c>
      <c r="U606" s="24" t="str">
        <f t="shared" si="607"/>
        <v/>
      </c>
      <c r="V606" s="24" t="str">
        <f t="shared" si="3"/>
        <v/>
      </c>
      <c r="W606" s="24" t="str">
        <f t="shared" si="4"/>
        <v/>
      </c>
    </row>
    <row r="607">
      <c r="A607" s="18">
        <f>HYPERLINK("https://app.hubspot.com/contacts/8748051/record/0-1/29655966640", 29655966640)</f>
        <v>29655966640</v>
      </c>
      <c r="B607" s="14" t="s">
        <v>5859</v>
      </c>
      <c r="C607" s="16"/>
      <c r="D607" s="16"/>
      <c r="E607" s="32">
        <v>45456.0</v>
      </c>
      <c r="F607" s="32"/>
      <c r="G607" s="32"/>
      <c r="H607" s="14"/>
      <c r="I607" s="14"/>
      <c r="J607" s="14"/>
      <c r="K607" s="18">
        <f>HYPERLINK("https://app.hubspot.com/contacts/8748051/record/0-2/9190012766", 9190012766)</f>
        <v>9190012766</v>
      </c>
      <c r="L607" s="14" t="s">
        <v>5860</v>
      </c>
      <c r="M607" s="18" t="s">
        <v>5861</v>
      </c>
      <c r="N607" s="14"/>
      <c r="O607" s="14"/>
      <c r="P607" s="14"/>
      <c r="Q607" s="14"/>
      <c r="R607" s="14"/>
      <c r="S607" s="24" t="str">
        <f t="shared" ref="S607:U607" si="608">IF(E607&lt;&gt;"","Yes","")</f>
        <v>Yes</v>
      </c>
      <c r="T607" s="24" t="str">
        <f t="shared" si="608"/>
        <v/>
      </c>
      <c r="U607" s="24" t="str">
        <f t="shared" si="608"/>
        <v/>
      </c>
      <c r="V607" s="24" t="str">
        <f t="shared" si="3"/>
        <v/>
      </c>
      <c r="W607" s="24" t="str">
        <f t="shared" si="4"/>
        <v/>
      </c>
    </row>
    <row r="608">
      <c r="A608" s="18">
        <f>HYPERLINK("https://app.hubspot.com/contacts/8748051/record/0-1/170458798913", 170458798913)</f>
        <v>170458798913</v>
      </c>
      <c r="B608" s="14" t="s">
        <v>5862</v>
      </c>
      <c r="C608" s="16"/>
      <c r="D608" s="16"/>
      <c r="E608" s="32">
        <v>45961.0</v>
      </c>
      <c r="F608" s="32"/>
      <c r="G608" s="32"/>
      <c r="H608" s="14"/>
      <c r="I608" s="14"/>
      <c r="J608" s="14"/>
      <c r="K608" s="18">
        <f>HYPERLINK("https://app.hubspot.com/contacts/8748051/record/0-2/38263558413", 38263558413)</f>
        <v>38263558413</v>
      </c>
      <c r="L608" s="14" t="s">
        <v>560</v>
      </c>
      <c r="M608" s="18" t="s">
        <v>561</v>
      </c>
      <c r="N608" s="18">
        <f>HYPERLINK("https://app.hubspot.com/contacts/8748051/record/0-3/48124338192", 48124338192)</f>
        <v>48124338192</v>
      </c>
      <c r="O608" s="14" t="s">
        <v>557</v>
      </c>
      <c r="P608" s="14" t="s">
        <v>124</v>
      </c>
      <c r="Q608" s="14">
        <v>10000.0</v>
      </c>
      <c r="R608" s="14" t="b">
        <v>1</v>
      </c>
      <c r="S608" s="24" t="str">
        <f t="shared" ref="S608:U608" si="609">IF(E608&lt;&gt;"","Yes","")</f>
        <v>Yes</v>
      </c>
      <c r="T608" s="24" t="str">
        <f t="shared" si="609"/>
        <v/>
      </c>
      <c r="U608" s="24" t="str">
        <f t="shared" si="609"/>
        <v/>
      </c>
      <c r="V608" s="24" t="str">
        <f t="shared" si="3"/>
        <v/>
      </c>
      <c r="W608" s="24" t="str">
        <f t="shared" si="4"/>
        <v/>
      </c>
    </row>
    <row r="609">
      <c r="A609" s="18">
        <f>HYPERLINK("https://app.hubspot.com/contacts/8748051/record/0-1/32065115395", 32065115395)</f>
        <v>32065115395</v>
      </c>
      <c r="B609" s="14" t="s">
        <v>5863</v>
      </c>
      <c r="C609" s="16"/>
      <c r="D609" s="16"/>
      <c r="E609" s="32">
        <v>45464.0</v>
      </c>
      <c r="F609" s="32"/>
      <c r="G609" s="32"/>
      <c r="H609" s="14"/>
      <c r="I609" s="14"/>
      <c r="J609" s="14"/>
      <c r="K609" s="18">
        <f>HYPERLINK("https://app.hubspot.com/contacts/8748051/record/0-2/9093416795", 9093416795)</f>
        <v>9093416795</v>
      </c>
      <c r="L609" s="14" t="s">
        <v>5864</v>
      </c>
      <c r="M609" s="18" t="s">
        <v>5865</v>
      </c>
      <c r="N609" s="14"/>
      <c r="O609" s="14"/>
      <c r="P609" s="14"/>
      <c r="Q609" s="14"/>
      <c r="R609" s="24"/>
      <c r="S609" s="24" t="str">
        <f t="shared" ref="S609:U609" si="610">IF(E609&lt;&gt;"","Yes","")</f>
        <v>Yes</v>
      </c>
      <c r="T609" s="24" t="str">
        <f t="shared" si="610"/>
        <v/>
      </c>
      <c r="U609" s="24" t="str">
        <f t="shared" si="610"/>
        <v/>
      </c>
      <c r="V609" s="24" t="str">
        <f t="shared" si="3"/>
        <v/>
      </c>
      <c r="W609" s="24" t="str">
        <f t="shared" si="4"/>
        <v/>
      </c>
    </row>
    <row r="610">
      <c r="A610" s="18">
        <f>HYPERLINK("https://app.hubspot.com/contacts/8748051/record/0-1/29350608554", 29350608554)</f>
        <v>29350608554</v>
      </c>
      <c r="B610" s="14" t="s">
        <v>5866</v>
      </c>
      <c r="C610" s="16"/>
      <c r="D610" s="16"/>
      <c r="E610" s="32">
        <v>45455.0</v>
      </c>
      <c r="F610" s="32">
        <v>45461.0</v>
      </c>
      <c r="G610" s="32">
        <v>45461.0</v>
      </c>
      <c r="H610" s="14"/>
      <c r="I610" s="14"/>
      <c r="J610" s="14"/>
      <c r="K610" s="18">
        <f>HYPERLINK("https://app.hubspot.com/contacts/8748051/record/0-2/8332581743", 8332581743)</f>
        <v>8332581743</v>
      </c>
      <c r="L610" s="14" t="s">
        <v>1613</v>
      </c>
      <c r="M610" s="18" t="s">
        <v>1614</v>
      </c>
      <c r="N610" s="18">
        <f>HYPERLINK("https://app.hubspot.com/contacts/8748051/record/0-3/20170334466", 20170334466)</f>
        <v>20170334466</v>
      </c>
      <c r="O610" s="14" t="s">
        <v>1612</v>
      </c>
      <c r="P610" s="14" t="s">
        <v>118</v>
      </c>
      <c r="Q610" s="14">
        <v>52800.0</v>
      </c>
      <c r="R610" s="24"/>
      <c r="S610" s="24" t="str">
        <f t="shared" ref="S610:U610" si="611">IF(E610&lt;&gt;"","Yes","")</f>
        <v>Yes</v>
      </c>
      <c r="T610" s="24" t="str">
        <f t="shared" si="611"/>
        <v>Yes</v>
      </c>
      <c r="U610" s="24" t="str">
        <f t="shared" si="611"/>
        <v>Yes</v>
      </c>
      <c r="V610" s="24" t="str">
        <f t="shared" si="3"/>
        <v/>
      </c>
      <c r="W610" s="24" t="str">
        <f t="shared" si="4"/>
        <v/>
      </c>
    </row>
    <row r="611">
      <c r="A611" s="18">
        <f>HYPERLINK("https://app.hubspot.com/contacts/8748051/record/0-1/28823243945", 28823243945)</f>
        <v>28823243945</v>
      </c>
      <c r="B611" s="14" t="s">
        <v>5867</v>
      </c>
      <c r="C611" s="16"/>
      <c r="D611" s="16"/>
      <c r="E611" s="32">
        <v>45453.0</v>
      </c>
      <c r="F611" s="32"/>
      <c r="G611" s="32"/>
      <c r="H611" s="14"/>
      <c r="I611" s="14"/>
      <c r="J611" s="14"/>
      <c r="K611" s="18">
        <f>HYPERLINK("https://app.hubspot.com/contacts/8748051/record/0-2/8132179321", 8132179321)</f>
        <v>8132179321</v>
      </c>
      <c r="L611" s="14" t="s">
        <v>5868</v>
      </c>
      <c r="M611" s="18" t="s">
        <v>5869</v>
      </c>
      <c r="N611" s="14"/>
      <c r="O611" s="14"/>
      <c r="P611" s="14"/>
      <c r="Q611" s="14"/>
      <c r="R611" s="14"/>
      <c r="S611" s="24" t="str">
        <f t="shared" ref="S611:U611" si="612">IF(E611&lt;&gt;"","Yes","")</f>
        <v>Yes</v>
      </c>
      <c r="T611" s="24" t="str">
        <f t="shared" si="612"/>
        <v/>
      </c>
      <c r="U611" s="24" t="str">
        <f t="shared" si="612"/>
        <v/>
      </c>
      <c r="V611" s="24" t="str">
        <f t="shared" si="3"/>
        <v/>
      </c>
      <c r="W611" s="24" t="str">
        <f t="shared" si="4"/>
        <v/>
      </c>
    </row>
    <row r="612">
      <c r="A612" s="18">
        <f>HYPERLINK("https://app.hubspot.com/contacts/8748051/record/0-1/29694723909", 29694723909)</f>
        <v>29694723909</v>
      </c>
      <c r="B612" s="14" t="s">
        <v>5870</v>
      </c>
      <c r="C612" s="16"/>
      <c r="D612" s="16"/>
      <c r="E612" s="32">
        <v>45456.0</v>
      </c>
      <c r="F612" s="32"/>
      <c r="G612" s="32"/>
      <c r="H612" s="14"/>
      <c r="I612" s="14"/>
      <c r="J612" s="14"/>
      <c r="K612" s="18">
        <f>HYPERLINK("https://app.hubspot.com/contacts/8748051/record/0-2/7893539200", 7893539200)</f>
        <v>7893539200</v>
      </c>
      <c r="L612" s="18" t="s">
        <v>5871</v>
      </c>
      <c r="M612" s="18" t="s">
        <v>5872</v>
      </c>
      <c r="N612" s="14"/>
      <c r="O612" s="14"/>
      <c r="P612" s="14"/>
      <c r="Q612" s="14"/>
      <c r="R612" s="24"/>
      <c r="S612" s="24" t="str">
        <f t="shared" ref="S612:U612" si="613">IF(E612&lt;&gt;"","Yes","")</f>
        <v>Yes</v>
      </c>
      <c r="T612" s="24" t="str">
        <f t="shared" si="613"/>
        <v/>
      </c>
      <c r="U612" s="24" t="str">
        <f t="shared" si="613"/>
        <v/>
      </c>
      <c r="V612" s="24" t="str">
        <f t="shared" si="3"/>
        <v/>
      </c>
      <c r="W612" s="24" t="str">
        <f t="shared" si="4"/>
        <v/>
      </c>
    </row>
    <row r="613">
      <c r="A613" s="18">
        <f>HYPERLINK("https://app.hubspot.com/contacts/8748051/record/0-1/28967819376", 28967819376)</f>
        <v>28967819376</v>
      </c>
      <c r="B613" s="14" t="s">
        <v>5873</v>
      </c>
      <c r="C613" s="16"/>
      <c r="D613" s="16"/>
      <c r="E613" s="32">
        <v>45454.0</v>
      </c>
      <c r="F613" s="32"/>
      <c r="G613" s="32"/>
      <c r="H613" s="14"/>
      <c r="I613" s="14"/>
      <c r="J613" s="14"/>
      <c r="K613" s="18">
        <f>HYPERLINK("https://app.hubspot.com/contacts/8748051/record/0-2/8518275630", 8518275630)</f>
        <v>8518275630</v>
      </c>
      <c r="L613" s="14" t="s">
        <v>5874</v>
      </c>
      <c r="M613" s="18" t="s">
        <v>5875</v>
      </c>
      <c r="N613" s="14"/>
      <c r="O613" s="14"/>
      <c r="P613" s="14"/>
      <c r="Q613" s="14"/>
      <c r="R613" s="14"/>
      <c r="S613" s="24" t="str">
        <f t="shared" ref="S613:U613" si="614">IF(E613&lt;&gt;"","Yes","")</f>
        <v>Yes</v>
      </c>
      <c r="T613" s="24" t="str">
        <f t="shared" si="614"/>
        <v/>
      </c>
      <c r="U613" s="24" t="str">
        <f t="shared" si="614"/>
        <v/>
      </c>
      <c r="V613" s="24" t="str">
        <f t="shared" si="3"/>
        <v/>
      </c>
      <c r="W613" s="24" t="str">
        <f t="shared" si="4"/>
        <v/>
      </c>
    </row>
    <row r="614">
      <c r="A614" s="18">
        <f>HYPERLINK("https://app.hubspot.com/contacts/8748051/record/0-1/30660874555", 30660874555)</f>
        <v>30660874555</v>
      </c>
      <c r="B614" s="14" t="s">
        <v>5876</v>
      </c>
      <c r="C614" s="16"/>
      <c r="D614" s="14"/>
      <c r="E614" s="32">
        <v>45461.0</v>
      </c>
      <c r="F614" s="32">
        <v>45474.0</v>
      </c>
      <c r="G614" s="32">
        <v>45474.0</v>
      </c>
      <c r="H614" s="14"/>
      <c r="I614" s="14"/>
      <c r="J614" s="14"/>
      <c r="K614" s="18">
        <f>HYPERLINK("https://app.hubspot.com/contacts/8748051/record/0-2/19176644614", 19176644614)</f>
        <v>19176644614</v>
      </c>
      <c r="L614" s="14" t="s">
        <v>1594</v>
      </c>
      <c r="M614" s="18" t="s">
        <v>1595</v>
      </c>
      <c r="N614" s="18">
        <f>HYPERLINK("https://app.hubspot.com/contacts/8748051/record/0-3/20356153684", 20356153684)</f>
        <v>20356153684</v>
      </c>
      <c r="O614" s="14" t="s">
        <v>1593</v>
      </c>
      <c r="P614" s="14" t="s">
        <v>124</v>
      </c>
      <c r="Q614" s="14">
        <v>3120.0</v>
      </c>
      <c r="R614" s="14" t="b">
        <v>1</v>
      </c>
      <c r="S614" s="24" t="str">
        <f t="shared" ref="S614:U614" si="615">IF(E614&lt;&gt;"","Yes","")</f>
        <v>Yes</v>
      </c>
      <c r="T614" s="24" t="str">
        <f t="shared" si="615"/>
        <v>Yes</v>
      </c>
      <c r="U614" s="24" t="str">
        <f t="shared" si="615"/>
        <v>Yes</v>
      </c>
      <c r="V614" s="24" t="str">
        <f t="shared" si="3"/>
        <v/>
      </c>
      <c r="W614" s="24" t="str">
        <f t="shared" si="4"/>
        <v/>
      </c>
    </row>
    <row r="615">
      <c r="A615" s="18">
        <f>HYPERLINK("https://app.hubspot.com/contacts/8748051/record/0-1/30801627715", 30801627715)</f>
        <v>30801627715</v>
      </c>
      <c r="B615" s="14" t="s">
        <v>5877</v>
      </c>
      <c r="C615" s="16"/>
      <c r="D615" s="16"/>
      <c r="E615" s="32">
        <v>45460.0</v>
      </c>
      <c r="F615" s="32">
        <v>45474.0</v>
      </c>
      <c r="G615" s="32">
        <v>45474.0</v>
      </c>
      <c r="H615" s="14"/>
      <c r="I615" s="14"/>
      <c r="J615" s="14"/>
      <c r="K615" s="18">
        <f>HYPERLINK("https://app.hubspot.com/contacts/8748051/record/0-2/9177829664", 9177829664)</f>
        <v>9177829664</v>
      </c>
      <c r="L615" s="14" t="s">
        <v>1581</v>
      </c>
      <c r="M615" s="18" t="s">
        <v>1582</v>
      </c>
      <c r="N615" s="23">
        <f>HYPERLINK("https://app.hubspot.com/contacts/8748051/record/0-3/20464474693", 20464474693)</f>
        <v>20464474693</v>
      </c>
      <c r="O615" s="14" t="s">
        <v>1580</v>
      </c>
      <c r="P615" s="14" t="s">
        <v>118</v>
      </c>
      <c r="Q615" s="14">
        <v>11040.0</v>
      </c>
      <c r="R615" s="14"/>
      <c r="S615" s="24" t="str">
        <f t="shared" ref="S615:U615" si="616">IF(E615&lt;&gt;"","Yes","")</f>
        <v>Yes</v>
      </c>
      <c r="T615" s="24" t="str">
        <f t="shared" si="616"/>
        <v>Yes</v>
      </c>
      <c r="U615" s="24" t="str">
        <f t="shared" si="616"/>
        <v>Yes</v>
      </c>
      <c r="V615" s="24" t="str">
        <f t="shared" si="3"/>
        <v/>
      </c>
      <c r="W615" s="24" t="str">
        <f t="shared" si="4"/>
        <v/>
      </c>
    </row>
    <row r="616">
      <c r="A616" s="18">
        <f>HYPERLINK("https://app.hubspot.com/contacts/8748051/record/0-1/101697475239", 101697475239)</f>
        <v>101697475239</v>
      </c>
      <c r="B616" s="14" t="s">
        <v>5878</v>
      </c>
      <c r="C616" s="16"/>
      <c r="D616" s="16"/>
      <c r="E616" s="32">
        <v>45756.0</v>
      </c>
      <c r="F616" s="32"/>
      <c r="G616" s="32"/>
      <c r="H616" s="14"/>
      <c r="I616" s="14"/>
      <c r="J616" s="14"/>
      <c r="K616" s="18">
        <f>HYPERLINK("https://app.hubspot.com/contacts/8748051/record/0-2/7934296464", 7934296464)</f>
        <v>7934296464</v>
      </c>
      <c r="L616" s="14" t="s">
        <v>5879</v>
      </c>
      <c r="M616" s="18" t="s">
        <v>5880</v>
      </c>
      <c r="N616" s="14"/>
      <c r="O616" s="14"/>
      <c r="P616" s="14"/>
      <c r="Q616" s="14"/>
      <c r="R616" s="14"/>
      <c r="S616" s="24" t="str">
        <f t="shared" ref="S616:U616" si="617">IF(E616&lt;&gt;"","Yes","")</f>
        <v>Yes</v>
      </c>
      <c r="T616" s="24" t="str">
        <f t="shared" si="617"/>
        <v/>
      </c>
      <c r="U616" s="24" t="str">
        <f t="shared" si="617"/>
        <v/>
      </c>
      <c r="V616" s="24" t="str">
        <f t="shared" si="3"/>
        <v/>
      </c>
      <c r="W616" s="24" t="str">
        <f t="shared" si="4"/>
        <v/>
      </c>
    </row>
    <row r="617">
      <c r="A617" s="18">
        <f>HYPERLINK("https://app.hubspot.com/contacts/8748051/record/0-1/32625568834", 32625568834)</f>
        <v>32625568834</v>
      </c>
      <c r="B617" s="14" t="s">
        <v>5881</v>
      </c>
      <c r="C617" s="16"/>
      <c r="D617" s="16"/>
      <c r="E617" s="32">
        <v>45467.0</v>
      </c>
      <c r="F617" s="32"/>
      <c r="G617" s="32"/>
      <c r="H617" s="14"/>
      <c r="I617" s="14"/>
      <c r="J617" s="14"/>
      <c r="K617" s="18">
        <f>HYPERLINK("https://app.hubspot.com/contacts/8748051/record/0-2/7794413596", 7794413596)</f>
        <v>7794413596</v>
      </c>
      <c r="L617" s="14" t="s">
        <v>5882</v>
      </c>
      <c r="M617" s="18" t="s">
        <v>5883</v>
      </c>
      <c r="N617" s="14"/>
      <c r="O617" s="14"/>
      <c r="P617" s="14"/>
      <c r="Q617" s="14"/>
      <c r="R617" s="14"/>
      <c r="S617" s="24" t="str">
        <f t="shared" ref="S617:U617" si="618">IF(E617&lt;&gt;"","Yes","")</f>
        <v>Yes</v>
      </c>
      <c r="T617" s="24" t="str">
        <f t="shared" si="618"/>
        <v/>
      </c>
      <c r="U617" s="24" t="str">
        <f t="shared" si="618"/>
        <v/>
      </c>
      <c r="V617" s="24" t="str">
        <f t="shared" si="3"/>
        <v/>
      </c>
      <c r="W617" s="24" t="str">
        <f t="shared" si="4"/>
        <v/>
      </c>
    </row>
    <row r="618">
      <c r="A618" s="18">
        <f>HYPERLINK("https://app.hubspot.com/contacts/8748051/record/0-1/29279659104", 29279659104)</f>
        <v>29279659104</v>
      </c>
      <c r="B618" s="14" t="s">
        <v>5884</v>
      </c>
      <c r="C618" s="16"/>
      <c r="D618" s="16"/>
      <c r="E618" s="32">
        <v>45455.0</v>
      </c>
      <c r="F618" s="32">
        <v>45468.0</v>
      </c>
      <c r="G618" s="32">
        <v>45468.0</v>
      </c>
      <c r="H618" s="14"/>
      <c r="I618" s="14"/>
      <c r="J618" s="14"/>
      <c r="K618" s="18">
        <f>HYPERLINK("https://app.hubspot.com/contacts/8748051/record/0-2/10368059213", 10368059213)</f>
        <v>10368059213</v>
      </c>
      <c r="L618" s="14" t="s">
        <v>1600</v>
      </c>
      <c r="M618" s="18" t="s">
        <v>1601</v>
      </c>
      <c r="N618" s="23">
        <f>HYPERLINK("https://app.hubspot.com/contacts/8748051/record/0-3/20322511797", 20322511797)</f>
        <v>20322511797</v>
      </c>
      <c r="O618" s="14" t="s">
        <v>1599</v>
      </c>
      <c r="P618" s="14" t="s">
        <v>118</v>
      </c>
      <c r="Q618" s="14">
        <v>3600.0</v>
      </c>
      <c r="R618" s="24"/>
      <c r="S618" s="24" t="str">
        <f t="shared" ref="S618:U618" si="619">IF(E618&lt;&gt;"","Yes","")</f>
        <v>Yes</v>
      </c>
      <c r="T618" s="24" t="str">
        <f t="shared" si="619"/>
        <v>Yes</v>
      </c>
      <c r="U618" s="24" t="str">
        <f t="shared" si="619"/>
        <v>Yes</v>
      </c>
      <c r="V618" s="24" t="str">
        <f t="shared" si="3"/>
        <v/>
      </c>
      <c r="W618" s="24" t="str">
        <f t="shared" si="4"/>
        <v/>
      </c>
    </row>
    <row r="619">
      <c r="A619" s="18">
        <f>HYPERLINK("https://app.hubspot.com/contacts/8748051/record/0-1/30826806369", 30826806369)</f>
        <v>30826806369</v>
      </c>
      <c r="B619" s="14" t="s">
        <v>5885</v>
      </c>
      <c r="C619" s="16"/>
      <c r="D619" s="16"/>
      <c r="E619" s="32">
        <v>45461.0</v>
      </c>
      <c r="F619" s="32"/>
      <c r="G619" s="32"/>
      <c r="H619" s="14"/>
      <c r="I619" s="14"/>
      <c r="J619" s="14"/>
      <c r="K619" s="18">
        <f>HYPERLINK("https://app.hubspot.com/contacts/8748051/record/0-2/30623359770", 30623359770)</f>
        <v>30623359770</v>
      </c>
      <c r="L619" s="14" t="s">
        <v>135</v>
      </c>
      <c r="M619" s="18" t="s">
        <v>136</v>
      </c>
      <c r="N619" s="14"/>
      <c r="O619" s="14"/>
      <c r="P619" s="14"/>
      <c r="Q619" s="14"/>
      <c r="R619" s="14"/>
      <c r="S619" s="24" t="str">
        <f t="shared" ref="S619:U619" si="620">IF(E619&lt;&gt;"","Yes","")</f>
        <v>Yes</v>
      </c>
      <c r="T619" s="24" t="str">
        <f t="shared" si="620"/>
        <v/>
      </c>
      <c r="U619" s="24" t="str">
        <f t="shared" si="620"/>
        <v/>
      </c>
      <c r="V619" s="24" t="str">
        <f t="shared" si="3"/>
        <v/>
      </c>
      <c r="W619" s="24" t="str">
        <f t="shared" si="4"/>
        <v/>
      </c>
    </row>
    <row r="620">
      <c r="A620" s="18">
        <f>HYPERLINK("https://app.hubspot.com/contacts/8748051/record/0-1/28965588098", 28965588098)</f>
        <v>28965588098</v>
      </c>
      <c r="B620" s="14" t="s">
        <v>5886</v>
      </c>
      <c r="C620" s="16"/>
      <c r="D620" s="14"/>
      <c r="E620" s="32">
        <v>45454.0</v>
      </c>
      <c r="F620" s="32"/>
      <c r="G620" s="32"/>
      <c r="H620" s="14"/>
      <c r="I620" s="14"/>
      <c r="J620" s="14"/>
      <c r="K620" s="18">
        <f>HYPERLINK("https://app.hubspot.com/contacts/8748051/record/0-2/37172738454", 37172738454)</f>
        <v>37172738454</v>
      </c>
      <c r="L620" s="14" t="s">
        <v>61</v>
      </c>
      <c r="M620" s="18" t="s">
        <v>62</v>
      </c>
      <c r="N620" s="14"/>
      <c r="O620" s="14"/>
      <c r="P620" s="14"/>
      <c r="Q620" s="14"/>
      <c r="R620" s="14"/>
      <c r="S620" s="24" t="str">
        <f t="shared" ref="S620:U620" si="621">IF(E620&lt;&gt;"","Yes","")</f>
        <v>Yes</v>
      </c>
      <c r="T620" s="24" t="str">
        <f t="shared" si="621"/>
        <v/>
      </c>
      <c r="U620" s="24" t="str">
        <f t="shared" si="621"/>
        <v/>
      </c>
      <c r="V620" s="24" t="str">
        <f t="shared" si="3"/>
        <v/>
      </c>
      <c r="W620" s="24" t="str">
        <f t="shared" si="4"/>
        <v/>
      </c>
    </row>
    <row r="621">
      <c r="A621" s="18">
        <f>HYPERLINK("https://app.hubspot.com/contacts/8748051/record/0-1/46315812197", 46315812197)</f>
        <v>46315812197</v>
      </c>
      <c r="B621" s="14" t="s">
        <v>5887</v>
      </c>
      <c r="C621" s="16"/>
      <c r="D621" s="14"/>
      <c r="E621" s="32"/>
      <c r="F621" s="32"/>
      <c r="G621" s="32"/>
      <c r="H621" s="14"/>
      <c r="I621" s="14"/>
      <c r="J621" s="14"/>
      <c r="K621" s="18">
        <f>HYPERLINK("https://app.hubspot.com/contacts/8748051/record/0-2/48907416970", 48907416970)</f>
        <v>48907416970</v>
      </c>
      <c r="L621" s="14" t="s">
        <v>3593</v>
      </c>
      <c r="M621" s="18" t="s">
        <v>4799</v>
      </c>
      <c r="N621" s="14"/>
      <c r="O621" s="14"/>
      <c r="P621" s="14"/>
      <c r="Q621" s="14"/>
      <c r="R621" s="14"/>
      <c r="S621" s="24" t="str">
        <f t="shared" ref="S621:U621" si="622">IF(E621&lt;&gt;"","Yes","")</f>
        <v/>
      </c>
      <c r="T621" s="24" t="str">
        <f t="shared" si="622"/>
        <v/>
      </c>
      <c r="U621" s="24" t="str">
        <f t="shared" si="622"/>
        <v/>
      </c>
      <c r="V621" s="24" t="str">
        <f t="shared" si="3"/>
        <v/>
      </c>
      <c r="W621" s="24" t="str">
        <f t="shared" si="4"/>
        <v/>
      </c>
    </row>
    <row r="622">
      <c r="A622" s="18">
        <f>HYPERLINK("https://app.hubspot.com/contacts/8748051/record/0-1/33469295400", 33469295400)</f>
        <v>33469295400</v>
      </c>
      <c r="B622" s="14" t="s">
        <v>5888</v>
      </c>
      <c r="C622" s="16"/>
      <c r="D622" s="14"/>
      <c r="E622" s="32">
        <v>45469.0</v>
      </c>
      <c r="F622" s="32">
        <v>45482.0</v>
      </c>
      <c r="G622" s="32">
        <v>45482.0</v>
      </c>
      <c r="H622" s="14"/>
      <c r="I622" s="14"/>
      <c r="J622" s="14"/>
      <c r="K622" s="18">
        <f>HYPERLINK("https://app.hubspot.com/contacts/8748051/record/0-2/19176688712", 19176688712)</f>
        <v>19176688712</v>
      </c>
      <c r="L622" s="14" t="s">
        <v>1571</v>
      </c>
      <c r="M622" s="18" t="s">
        <v>1572</v>
      </c>
      <c r="N622" s="18">
        <f>HYPERLINK("https://app.hubspot.com/contacts/8748051/record/0-3/20484752740", 20484752740)</f>
        <v>20484752740</v>
      </c>
      <c r="O622" s="14" t="s">
        <v>1570</v>
      </c>
      <c r="P622" s="14" t="s">
        <v>118</v>
      </c>
      <c r="Q622" s="14">
        <v>25200.0</v>
      </c>
      <c r="R622" s="14" t="b">
        <v>1</v>
      </c>
      <c r="S622" s="24" t="str">
        <f t="shared" ref="S622:U622" si="623">IF(E622&lt;&gt;"","Yes","")</f>
        <v>Yes</v>
      </c>
      <c r="T622" s="24" t="str">
        <f t="shared" si="623"/>
        <v>Yes</v>
      </c>
      <c r="U622" s="24" t="str">
        <f t="shared" si="623"/>
        <v>Yes</v>
      </c>
      <c r="V622" s="24" t="str">
        <f t="shared" si="3"/>
        <v/>
      </c>
      <c r="W622" s="24" t="str">
        <f t="shared" si="4"/>
        <v/>
      </c>
    </row>
    <row r="623">
      <c r="A623" s="18">
        <f>HYPERLINK("https://app.hubspot.com/contacts/8748051/record/0-1/31381717366", 31381717366)</f>
        <v>31381717366</v>
      </c>
      <c r="B623" s="14" t="s">
        <v>5889</v>
      </c>
      <c r="C623" s="16"/>
      <c r="D623" s="14" t="s">
        <v>5890</v>
      </c>
      <c r="E623" s="32"/>
      <c r="F623" s="32"/>
      <c r="G623" s="32"/>
      <c r="H623" s="24"/>
      <c r="I623" s="24"/>
      <c r="J623" s="24"/>
      <c r="K623" s="18">
        <f>HYPERLINK("https://app.hubspot.com/contacts/8748051/record/0-2/14811102050", 14811102050)</f>
        <v>14811102050</v>
      </c>
      <c r="L623" s="14" t="s">
        <v>5891</v>
      </c>
      <c r="M623" s="18" t="s">
        <v>5892</v>
      </c>
      <c r="N623" s="14"/>
      <c r="O623" s="14"/>
      <c r="P623" s="14"/>
      <c r="Q623" s="14"/>
      <c r="R623" s="14"/>
      <c r="S623" s="24" t="str">
        <f t="shared" ref="S623:U623" si="624">IF(E623&lt;&gt;"","Yes","")</f>
        <v/>
      </c>
      <c r="T623" s="24" t="str">
        <f t="shared" si="624"/>
        <v/>
      </c>
      <c r="U623" s="24" t="str">
        <f t="shared" si="624"/>
        <v/>
      </c>
      <c r="V623" s="24" t="str">
        <f t="shared" si="3"/>
        <v/>
      </c>
      <c r="W623" s="24" t="str">
        <f t="shared" si="4"/>
        <v/>
      </c>
    </row>
    <row r="624">
      <c r="A624" s="18">
        <f>HYPERLINK("https://app.hubspot.com/contacts/8748051/record/0-1/31774743873", 31774743873)</f>
        <v>31774743873</v>
      </c>
      <c r="B624" s="14" t="s">
        <v>5893</v>
      </c>
      <c r="C624" s="16"/>
      <c r="D624" s="14"/>
      <c r="E624" s="32">
        <v>45463.0</v>
      </c>
      <c r="F624" s="32"/>
      <c r="G624" s="24"/>
      <c r="H624" s="14"/>
      <c r="I624" s="14"/>
      <c r="J624" s="14"/>
      <c r="K624" s="18">
        <f>HYPERLINK("https://app.hubspot.com/contacts/8748051/record/0-2/19176356735", 19176356735)</f>
        <v>19176356735</v>
      </c>
      <c r="L624" s="14" t="s">
        <v>5894</v>
      </c>
      <c r="M624" s="18" t="s">
        <v>5895</v>
      </c>
      <c r="N624" s="14"/>
      <c r="O624" s="14"/>
      <c r="P624" s="14"/>
      <c r="Q624" s="14"/>
      <c r="R624" s="24"/>
      <c r="S624" s="24" t="str">
        <f t="shared" ref="S624:U624" si="625">IF(E624&lt;&gt;"","Yes","")</f>
        <v>Yes</v>
      </c>
      <c r="T624" s="24" t="str">
        <f t="shared" si="625"/>
        <v/>
      </c>
      <c r="U624" s="24" t="str">
        <f t="shared" si="625"/>
        <v/>
      </c>
      <c r="V624" s="24" t="str">
        <f t="shared" si="3"/>
        <v/>
      </c>
      <c r="W624" s="24" t="str">
        <f t="shared" si="4"/>
        <v/>
      </c>
    </row>
    <row r="625">
      <c r="A625" s="18">
        <f>HYPERLINK("https://app.hubspot.com/contacts/8748051/record/0-1/100685794109", 100685794109)</f>
        <v>100685794109</v>
      </c>
      <c r="B625" s="14" t="s">
        <v>5896</v>
      </c>
      <c r="C625" s="16"/>
      <c r="D625" s="14" t="s">
        <v>3304</v>
      </c>
      <c r="E625" s="32"/>
      <c r="F625" s="32"/>
      <c r="G625" s="32"/>
      <c r="H625" s="14"/>
      <c r="I625" s="14"/>
      <c r="J625" s="14"/>
      <c r="K625" s="18">
        <f>HYPERLINK("https://app.hubspot.com/contacts/8748051/record/0-2/8142278828", 8142278828)</f>
        <v>8142278828</v>
      </c>
      <c r="L625" s="14" t="s">
        <v>5897</v>
      </c>
      <c r="M625" s="18" t="s">
        <v>5898</v>
      </c>
      <c r="N625" s="14"/>
      <c r="O625" s="14"/>
      <c r="P625" s="14"/>
      <c r="Q625" s="14"/>
      <c r="R625" s="14"/>
      <c r="S625" s="24" t="str">
        <f t="shared" ref="S625:U625" si="626">IF(E625&lt;&gt;"","Yes","")</f>
        <v/>
      </c>
      <c r="T625" s="24" t="str">
        <f t="shared" si="626"/>
        <v/>
      </c>
      <c r="U625" s="24" t="str">
        <f t="shared" si="626"/>
        <v/>
      </c>
      <c r="V625" s="24" t="str">
        <f t="shared" si="3"/>
        <v/>
      </c>
      <c r="W625" s="24" t="str">
        <f t="shared" si="4"/>
        <v/>
      </c>
    </row>
    <row r="626">
      <c r="A626" s="18">
        <f>HYPERLINK("https://app.hubspot.com/contacts/8748051/record/0-1/33153307403", 33153307403)</f>
        <v>33153307403</v>
      </c>
      <c r="B626" s="14" t="s">
        <v>5899</v>
      </c>
      <c r="C626" s="16"/>
      <c r="D626" s="16"/>
      <c r="E626" s="32">
        <v>45468.0</v>
      </c>
      <c r="F626" s="32"/>
      <c r="G626" s="32"/>
      <c r="H626" s="14"/>
      <c r="I626" s="14"/>
      <c r="J626" s="14"/>
      <c r="K626" s="18">
        <f>HYPERLINK("https://app.hubspot.com/contacts/8748051/record/0-2/9174497443", 9174497443)</f>
        <v>9174497443</v>
      </c>
      <c r="L626" s="14" t="s">
        <v>5900</v>
      </c>
      <c r="M626" s="18" t="s">
        <v>5901</v>
      </c>
      <c r="N626" s="14"/>
      <c r="O626" s="14"/>
      <c r="P626" s="14"/>
      <c r="Q626" s="14"/>
      <c r="R626" s="14"/>
      <c r="S626" s="24" t="str">
        <f t="shared" ref="S626:U626" si="627">IF(E626&lt;&gt;"","Yes","")</f>
        <v>Yes</v>
      </c>
      <c r="T626" s="24" t="str">
        <f t="shared" si="627"/>
        <v/>
      </c>
      <c r="U626" s="24" t="str">
        <f t="shared" si="627"/>
        <v/>
      </c>
      <c r="V626" s="24" t="str">
        <f t="shared" si="3"/>
        <v/>
      </c>
      <c r="W626" s="24" t="str">
        <f t="shared" si="4"/>
        <v/>
      </c>
    </row>
    <row r="627">
      <c r="A627" s="18">
        <f>HYPERLINK("https://app.hubspot.com/contacts/8748051/record/0-1/29588504371", 29588504371)</f>
        <v>29588504371</v>
      </c>
      <c r="B627" s="14" t="s">
        <v>5902</v>
      </c>
      <c r="C627" s="16"/>
      <c r="D627" s="16"/>
      <c r="E627" s="32"/>
      <c r="F627" s="32"/>
      <c r="G627" s="32"/>
      <c r="H627" s="24"/>
      <c r="I627" s="24"/>
      <c r="J627" s="24"/>
      <c r="K627" s="18">
        <f>HYPERLINK("https://app.hubspot.com/contacts/8748051/record/0-2/8324013689", 8324013689)</f>
        <v>8324013689</v>
      </c>
      <c r="L627" s="14" t="s">
        <v>1609</v>
      </c>
      <c r="M627" s="18" t="s">
        <v>1610</v>
      </c>
      <c r="N627" s="14"/>
      <c r="O627" s="14"/>
      <c r="P627" s="14"/>
      <c r="Q627" s="14"/>
      <c r="R627" s="24"/>
      <c r="S627" s="24" t="str">
        <f t="shared" ref="S627:U627" si="628">IF(E627&lt;&gt;"","Yes","")</f>
        <v/>
      </c>
      <c r="T627" s="24" t="str">
        <f t="shared" si="628"/>
        <v/>
      </c>
      <c r="U627" s="24" t="str">
        <f t="shared" si="628"/>
        <v/>
      </c>
      <c r="V627" s="24" t="str">
        <f t="shared" si="3"/>
        <v/>
      </c>
      <c r="W627" s="24" t="str">
        <f t="shared" si="4"/>
        <v/>
      </c>
    </row>
    <row r="628">
      <c r="A628" s="18">
        <f>HYPERLINK("https://app.hubspot.com/contacts/8748051/record/0-1/32195058031", 32195058031)</f>
        <v>32195058031</v>
      </c>
      <c r="B628" s="14" t="s">
        <v>5903</v>
      </c>
      <c r="C628" s="16"/>
      <c r="D628" s="16"/>
      <c r="E628" s="32">
        <v>45467.0</v>
      </c>
      <c r="F628" s="32">
        <v>45469.0</v>
      </c>
      <c r="G628" s="32">
        <v>45469.0</v>
      </c>
      <c r="H628" s="14"/>
      <c r="I628" s="14"/>
      <c r="J628" s="14"/>
      <c r="K628" s="18">
        <f>HYPERLINK("https://app.hubspot.com/contacts/8748051/record/0-2/8142162853", 8142162853)</f>
        <v>8142162853</v>
      </c>
      <c r="L628" s="14" t="s">
        <v>1597</v>
      </c>
      <c r="M628" s="18" t="s">
        <v>1598</v>
      </c>
      <c r="N628" s="18">
        <f>HYPERLINK("https://app.hubspot.com/contacts/8748051/record/0-3/20351614614", 20351614614)</f>
        <v>20351614614</v>
      </c>
      <c r="O628" s="14" t="s">
        <v>1596</v>
      </c>
      <c r="P628" s="14" t="s">
        <v>118</v>
      </c>
      <c r="Q628" s="14">
        <v>7920.0</v>
      </c>
      <c r="R628" s="24"/>
      <c r="S628" s="24" t="str">
        <f t="shared" ref="S628:U628" si="629">IF(E628&lt;&gt;"","Yes","")</f>
        <v>Yes</v>
      </c>
      <c r="T628" s="24" t="str">
        <f t="shared" si="629"/>
        <v>Yes</v>
      </c>
      <c r="U628" s="24" t="str">
        <f t="shared" si="629"/>
        <v>Yes</v>
      </c>
      <c r="V628" s="24" t="str">
        <f t="shared" si="3"/>
        <v/>
      </c>
      <c r="W628" s="24" t="str">
        <f t="shared" si="4"/>
        <v/>
      </c>
    </row>
    <row r="629">
      <c r="A629" s="18">
        <f>HYPERLINK("https://app.hubspot.com/contacts/8748051/record/0-1/111321287528", 111321287528)</f>
        <v>111321287528</v>
      </c>
      <c r="B629" s="14" t="s">
        <v>3789</v>
      </c>
      <c r="C629" s="16">
        <v>45750.62777777778</v>
      </c>
      <c r="D629" s="16"/>
      <c r="E629" s="32">
        <v>45751.0</v>
      </c>
      <c r="F629" s="32">
        <v>45764.0</v>
      </c>
      <c r="G629" s="32">
        <v>45764.0</v>
      </c>
      <c r="H629" s="14" t="s">
        <v>3790</v>
      </c>
      <c r="I629" s="14" t="s">
        <v>3791</v>
      </c>
      <c r="J629" s="14"/>
      <c r="K629" s="18">
        <f>HYPERLINK("https://app.hubspot.com/contacts/8748051/record/0-2/7691930755", 7691930755)</f>
        <v>7691930755</v>
      </c>
      <c r="L629" s="14" t="s">
        <v>1136</v>
      </c>
      <c r="M629" s="18" t="s">
        <v>1137</v>
      </c>
      <c r="N629" s="23">
        <f>HYPERLINK("https://app.hubspot.com/contacts/8748051/record/0-3/35443306906", 35443306906)</f>
        <v>35443306906</v>
      </c>
      <c r="O629" s="14" t="s">
        <v>1134</v>
      </c>
      <c r="P629" s="14" t="s">
        <v>89</v>
      </c>
      <c r="Q629" s="14">
        <v>75000.0</v>
      </c>
      <c r="R629" s="14" t="b">
        <v>1</v>
      </c>
      <c r="S629" s="24" t="str">
        <f t="shared" ref="S629:U629" si="630">IF(E629&lt;&gt;"","Yes","")</f>
        <v>Yes</v>
      </c>
      <c r="T629" s="24" t="str">
        <f t="shared" si="630"/>
        <v>Yes</v>
      </c>
      <c r="U629" s="24" t="str">
        <f t="shared" si="630"/>
        <v>Yes</v>
      </c>
      <c r="V629" s="24" t="str">
        <f t="shared" si="3"/>
        <v>Yes</v>
      </c>
      <c r="W629" s="24" t="str">
        <f t="shared" si="4"/>
        <v/>
      </c>
    </row>
    <row r="630">
      <c r="A630" s="18">
        <f>HYPERLINK("https://app.hubspot.com/contacts/8748051/record/0-1/29008140661", 29008140661)</f>
        <v>29008140661</v>
      </c>
      <c r="B630" s="14" t="s">
        <v>5904</v>
      </c>
      <c r="C630" s="16"/>
      <c r="D630" s="16"/>
      <c r="E630" s="32">
        <v>45454.0</v>
      </c>
      <c r="F630" s="32"/>
      <c r="G630" s="32"/>
      <c r="H630" s="14"/>
      <c r="I630" s="14"/>
      <c r="J630" s="14"/>
      <c r="K630" s="18">
        <f>HYPERLINK("https://app.hubspot.com/contacts/8748051/record/0-2/19176504421", 19176504421)</f>
        <v>19176504421</v>
      </c>
      <c r="L630" s="14" t="s">
        <v>5905</v>
      </c>
      <c r="M630" s="18" t="s">
        <v>5906</v>
      </c>
      <c r="N630" s="14"/>
      <c r="O630" s="14"/>
      <c r="P630" s="14"/>
      <c r="Q630" s="14"/>
      <c r="R630" s="14"/>
      <c r="S630" s="24" t="str">
        <f t="shared" ref="S630:U630" si="631">IF(E630&lt;&gt;"","Yes","")</f>
        <v>Yes</v>
      </c>
      <c r="T630" s="24" t="str">
        <f t="shared" si="631"/>
        <v/>
      </c>
      <c r="U630" s="24" t="str">
        <f t="shared" si="631"/>
        <v/>
      </c>
      <c r="V630" s="24" t="str">
        <f t="shared" si="3"/>
        <v/>
      </c>
      <c r="W630" s="24" t="str">
        <f t="shared" si="4"/>
        <v/>
      </c>
    </row>
    <row r="631">
      <c r="A631" s="18">
        <f>HYPERLINK("https://app.hubspot.com/contacts/8748051/record/0-1/28762622775", 28762622775)</f>
        <v>28762622775</v>
      </c>
      <c r="B631" s="14" t="s">
        <v>5907</v>
      </c>
      <c r="C631" s="16"/>
      <c r="D631" s="16"/>
      <c r="E631" s="32">
        <v>45453.0</v>
      </c>
      <c r="F631" s="24"/>
      <c r="G631" s="24"/>
      <c r="H631" s="14"/>
      <c r="I631" s="24"/>
      <c r="J631" s="24"/>
      <c r="K631" s="18">
        <f>HYPERLINK("https://app.hubspot.com/contacts/8748051/record/0-2/19176524566", 19176524566)</f>
        <v>19176524566</v>
      </c>
      <c r="L631" s="18" t="s">
        <v>5193</v>
      </c>
      <c r="M631" s="18" t="s">
        <v>5194</v>
      </c>
      <c r="N631" s="24"/>
      <c r="O631" s="14"/>
      <c r="P631" s="14"/>
      <c r="Q631" s="14"/>
      <c r="R631" s="14"/>
      <c r="S631" s="24" t="str">
        <f t="shared" ref="S631:U631" si="632">IF(E631&lt;&gt;"","Yes","")</f>
        <v>Yes</v>
      </c>
      <c r="T631" s="24" t="str">
        <f t="shared" si="632"/>
        <v/>
      </c>
      <c r="U631" s="24" t="str">
        <f t="shared" si="632"/>
        <v/>
      </c>
      <c r="V631" s="24" t="str">
        <f t="shared" si="3"/>
        <v/>
      </c>
      <c r="W631" s="24" t="str">
        <f t="shared" si="4"/>
        <v/>
      </c>
    </row>
    <row r="632">
      <c r="A632" s="18">
        <f>HYPERLINK("https://app.hubspot.com/contacts/8748051/record/0-1/32845109644", 32845109644)</f>
        <v>32845109644</v>
      </c>
      <c r="B632" s="14" t="s">
        <v>5908</v>
      </c>
      <c r="C632" s="16"/>
      <c r="D632" s="16"/>
      <c r="E632" s="32">
        <v>45467.0</v>
      </c>
      <c r="F632" s="32"/>
      <c r="G632" s="32"/>
      <c r="H632" s="14"/>
      <c r="I632" s="14"/>
      <c r="J632" s="14"/>
      <c r="K632" s="18">
        <f>HYPERLINK("https://app.hubspot.com/contacts/8748051/record/0-2/8923002126", 8923002126)</f>
        <v>8923002126</v>
      </c>
      <c r="L632" s="14" t="s">
        <v>5909</v>
      </c>
      <c r="M632" s="18" t="s">
        <v>5910</v>
      </c>
      <c r="N632" s="14"/>
      <c r="O632" s="14"/>
      <c r="P632" s="14"/>
      <c r="Q632" s="14"/>
      <c r="R632" s="14"/>
      <c r="S632" s="24" t="str">
        <f t="shared" ref="S632:U632" si="633">IF(E632&lt;&gt;"","Yes","")</f>
        <v>Yes</v>
      </c>
      <c r="T632" s="24" t="str">
        <f t="shared" si="633"/>
        <v/>
      </c>
      <c r="U632" s="24" t="str">
        <f t="shared" si="633"/>
        <v/>
      </c>
      <c r="V632" s="24" t="str">
        <f t="shared" si="3"/>
        <v/>
      </c>
      <c r="W632" s="24" t="str">
        <f t="shared" si="4"/>
        <v/>
      </c>
    </row>
    <row r="633">
      <c r="A633" s="18">
        <f>HYPERLINK("https://app.hubspot.com/contacts/8748051/record/0-1/33558819872", 33558819872)</f>
        <v>33558819872</v>
      </c>
      <c r="B633" s="14" t="s">
        <v>5911</v>
      </c>
      <c r="C633" s="16"/>
      <c r="D633" s="16"/>
      <c r="E633" s="32">
        <v>45470.0</v>
      </c>
      <c r="F633" s="32"/>
      <c r="G633" s="32"/>
      <c r="H633" s="14"/>
      <c r="I633" s="14"/>
      <c r="J633" s="14"/>
      <c r="K633" s="18">
        <f>HYPERLINK("https://app.hubspot.com/contacts/8748051/record/0-2/8923284027", 8923284027)</f>
        <v>8923284027</v>
      </c>
      <c r="L633" s="14" t="s">
        <v>5912</v>
      </c>
      <c r="M633" s="18" t="s">
        <v>5913</v>
      </c>
      <c r="N633" s="14"/>
      <c r="O633" s="14"/>
      <c r="P633" s="14"/>
      <c r="Q633" s="14"/>
      <c r="R633" s="14"/>
      <c r="S633" s="24" t="str">
        <f t="shared" ref="S633:U633" si="634">IF(E633&lt;&gt;"","Yes","")</f>
        <v>Yes</v>
      </c>
      <c r="T633" s="24" t="str">
        <f t="shared" si="634"/>
        <v/>
      </c>
      <c r="U633" s="24" t="str">
        <f t="shared" si="634"/>
        <v/>
      </c>
      <c r="V633" s="24" t="str">
        <f t="shared" si="3"/>
        <v/>
      </c>
      <c r="W633" s="24" t="str">
        <f t="shared" si="4"/>
        <v/>
      </c>
    </row>
    <row r="634">
      <c r="A634" s="18">
        <f>HYPERLINK("https://app.hubspot.com/contacts/8748051/record/0-1/32462158849", 32462158849)</f>
        <v>32462158849</v>
      </c>
      <c r="B634" s="14" t="s">
        <v>5914</v>
      </c>
      <c r="C634" s="16"/>
      <c r="D634" s="16"/>
      <c r="E634" s="32">
        <v>45466.0</v>
      </c>
      <c r="F634" s="32">
        <v>45481.0</v>
      </c>
      <c r="G634" s="32">
        <v>45481.0</v>
      </c>
      <c r="H634" s="14"/>
      <c r="I634" s="14"/>
      <c r="J634" s="14"/>
      <c r="K634" s="18">
        <f>HYPERLINK("https://app.hubspot.com/contacts/8748051/record/0-2/19176601204", 19176601204)</f>
        <v>19176601204</v>
      </c>
      <c r="L634" s="14" t="s">
        <v>1568</v>
      </c>
      <c r="M634" s="18" t="s">
        <v>1569</v>
      </c>
      <c r="N634" s="18">
        <f>HYPERLINK("https://app.hubspot.com/contacts/8748051/record/0-3/20487492353", 20487492353)</f>
        <v>20487492353</v>
      </c>
      <c r="O634" s="14" t="s">
        <v>1566</v>
      </c>
      <c r="P634" s="14" t="s">
        <v>124</v>
      </c>
      <c r="Q634" s="14">
        <v>30480.0</v>
      </c>
      <c r="R634" s="14" t="b">
        <v>1</v>
      </c>
      <c r="S634" s="24" t="str">
        <f t="shared" ref="S634:U634" si="635">IF(E634&lt;&gt;"","Yes","")</f>
        <v>Yes</v>
      </c>
      <c r="T634" s="24" t="str">
        <f t="shared" si="635"/>
        <v>Yes</v>
      </c>
      <c r="U634" s="24" t="str">
        <f t="shared" si="635"/>
        <v>Yes</v>
      </c>
      <c r="V634" s="24" t="str">
        <f t="shared" si="3"/>
        <v/>
      </c>
      <c r="W634" s="24" t="str">
        <f t="shared" si="4"/>
        <v/>
      </c>
    </row>
    <row r="635">
      <c r="A635" s="18">
        <f>HYPERLINK("https://app.hubspot.com/contacts/8748051/record/0-1/33388653591", 33388653591)</f>
        <v>33388653591</v>
      </c>
      <c r="B635" s="14" t="s">
        <v>5915</v>
      </c>
      <c r="C635" s="16"/>
      <c r="D635" s="16"/>
      <c r="E635" s="32">
        <v>45469.0</v>
      </c>
      <c r="F635" s="32"/>
      <c r="G635" s="32"/>
      <c r="H635" s="14"/>
      <c r="I635" s="14"/>
      <c r="J635" s="14"/>
      <c r="K635" s="18">
        <f>HYPERLINK("https://app.hubspot.com/contacts/8748051/record/0-2/19177046544", 19177046544)</f>
        <v>19177046544</v>
      </c>
      <c r="L635" s="14" t="s">
        <v>5916</v>
      </c>
      <c r="M635" s="18" t="s">
        <v>5917</v>
      </c>
      <c r="N635" s="14"/>
      <c r="O635" s="14"/>
      <c r="P635" s="14"/>
      <c r="Q635" s="14"/>
      <c r="R635" s="14"/>
      <c r="S635" s="24" t="str">
        <f t="shared" ref="S635:U635" si="636">IF(E635&lt;&gt;"","Yes","")</f>
        <v>Yes</v>
      </c>
      <c r="T635" s="24" t="str">
        <f t="shared" si="636"/>
        <v/>
      </c>
      <c r="U635" s="24" t="str">
        <f t="shared" si="636"/>
        <v/>
      </c>
      <c r="V635" s="24" t="str">
        <f t="shared" si="3"/>
        <v/>
      </c>
      <c r="W635" s="24" t="str">
        <f t="shared" si="4"/>
        <v/>
      </c>
    </row>
    <row r="636">
      <c r="A636" s="18">
        <f>HYPERLINK("https://app.hubspot.com/contacts/8748051/record/0-1/28927300747", 28927300747)</f>
        <v>28927300747</v>
      </c>
      <c r="B636" s="14" t="s">
        <v>5918</v>
      </c>
      <c r="C636" s="16"/>
      <c r="D636" s="16"/>
      <c r="E636" s="32">
        <v>45454.0</v>
      </c>
      <c r="F636" s="32"/>
      <c r="G636" s="24"/>
      <c r="H636" s="14"/>
      <c r="I636" s="14"/>
      <c r="J636" s="14"/>
      <c r="K636" s="18">
        <f>HYPERLINK("https://app.hubspot.com/contacts/8748051/record/0-2/9793589840", 9793589840)</f>
        <v>9793589840</v>
      </c>
      <c r="L636" s="14" t="s">
        <v>5919</v>
      </c>
      <c r="M636" s="18" t="s">
        <v>5920</v>
      </c>
      <c r="N636" s="24"/>
      <c r="O636" s="24"/>
      <c r="P636" s="24"/>
      <c r="Q636" s="24"/>
      <c r="R636" s="24"/>
      <c r="S636" s="24" t="str">
        <f t="shared" ref="S636:U636" si="637">IF(E636&lt;&gt;"","Yes","")</f>
        <v>Yes</v>
      </c>
      <c r="T636" s="24" t="str">
        <f t="shared" si="637"/>
        <v/>
      </c>
      <c r="U636" s="24" t="str">
        <f t="shared" si="637"/>
        <v/>
      </c>
      <c r="V636" s="24" t="str">
        <f t="shared" si="3"/>
        <v/>
      </c>
      <c r="W636" s="24" t="str">
        <f t="shared" si="4"/>
        <v/>
      </c>
    </row>
    <row r="637">
      <c r="A637" s="18">
        <f>HYPERLINK("https://app.hubspot.com/contacts/8748051/record/0-1/29418176580", 29418176580)</f>
        <v>29418176580</v>
      </c>
      <c r="B637" s="14" t="s">
        <v>5921</v>
      </c>
      <c r="C637" s="16"/>
      <c r="D637" s="16"/>
      <c r="E637" s="32">
        <v>45400.0</v>
      </c>
      <c r="F637" s="32"/>
      <c r="G637" s="32"/>
      <c r="H637" s="14"/>
      <c r="I637" s="14"/>
      <c r="J637" s="14"/>
      <c r="K637" s="18">
        <f>HYPERLINK("https://app.hubspot.com/contacts/8748051/record/0-2/8918741432", 8918741432)</f>
        <v>8918741432</v>
      </c>
      <c r="L637" s="14" t="s">
        <v>4702</v>
      </c>
      <c r="M637" s="18" t="s">
        <v>4703</v>
      </c>
      <c r="N637" s="14"/>
      <c r="O637" s="14"/>
      <c r="P637" s="14"/>
      <c r="Q637" s="14"/>
      <c r="R637" s="14"/>
      <c r="S637" s="24" t="str">
        <f t="shared" ref="S637:U637" si="638">IF(E637&lt;&gt;"","Yes","")</f>
        <v>Yes</v>
      </c>
      <c r="T637" s="24" t="str">
        <f t="shared" si="638"/>
        <v/>
      </c>
      <c r="U637" s="24" t="str">
        <f t="shared" si="638"/>
        <v/>
      </c>
      <c r="V637" s="24" t="str">
        <f t="shared" si="3"/>
        <v/>
      </c>
      <c r="W637" s="24" t="str">
        <f t="shared" si="4"/>
        <v/>
      </c>
    </row>
    <row r="638">
      <c r="A638" s="18">
        <f>HYPERLINK("https://app.hubspot.com/contacts/8748051/record/0-1/30383131721", 30383131721)</f>
        <v>30383131721</v>
      </c>
      <c r="B638" s="14" t="s">
        <v>5922</v>
      </c>
      <c r="C638" s="16"/>
      <c r="D638" s="16"/>
      <c r="E638" s="32">
        <v>45461.0</v>
      </c>
      <c r="F638" s="32">
        <v>45463.0</v>
      </c>
      <c r="G638" s="32"/>
      <c r="H638" s="14"/>
      <c r="I638" s="14"/>
      <c r="J638" s="14"/>
      <c r="K638" s="18">
        <f>HYPERLINK("https://app.hubspot.com/contacts/8748051/record/0-2/16376165935", 16376165935)</f>
        <v>16376165935</v>
      </c>
      <c r="L638" s="14" t="s">
        <v>5923</v>
      </c>
      <c r="M638" s="18" t="s">
        <v>5924</v>
      </c>
      <c r="N638" s="24"/>
      <c r="O638" s="14"/>
      <c r="P638" s="14"/>
      <c r="Q638" s="14"/>
      <c r="R638" s="14"/>
      <c r="S638" s="24" t="str">
        <f t="shared" ref="S638:U638" si="639">IF(E638&lt;&gt;"","Yes","")</f>
        <v>Yes</v>
      </c>
      <c r="T638" s="24" t="str">
        <f t="shared" si="639"/>
        <v>Yes</v>
      </c>
      <c r="U638" s="24" t="str">
        <f t="shared" si="639"/>
        <v/>
      </c>
      <c r="V638" s="24" t="str">
        <f t="shared" si="3"/>
        <v/>
      </c>
      <c r="W638" s="24" t="str">
        <f t="shared" si="4"/>
        <v/>
      </c>
    </row>
    <row r="639">
      <c r="A639" s="18">
        <f>HYPERLINK("https://app.hubspot.com/contacts/8748051/record/0-1/32541113387", 32541113387)</f>
        <v>32541113387</v>
      </c>
      <c r="B639" s="14" t="s">
        <v>5925</v>
      </c>
      <c r="C639" s="16"/>
      <c r="D639" s="16"/>
      <c r="E639" s="32">
        <v>45466.0</v>
      </c>
      <c r="F639" s="32"/>
      <c r="G639" s="32"/>
      <c r="H639" s="14"/>
      <c r="I639" s="14"/>
      <c r="J639" s="14"/>
      <c r="K639" s="18">
        <f>HYPERLINK("https://app.hubspot.com/contacts/8748051/record/0-2/8142329509", 8142329509)</f>
        <v>8142329509</v>
      </c>
      <c r="L639" s="14" t="s">
        <v>5734</v>
      </c>
      <c r="M639" s="18" t="s">
        <v>5735</v>
      </c>
      <c r="N639" s="14"/>
      <c r="O639" s="14"/>
      <c r="P639" s="14"/>
      <c r="Q639" s="14"/>
      <c r="R639" s="14"/>
      <c r="S639" s="24" t="str">
        <f t="shared" ref="S639:U639" si="640">IF(E639&lt;&gt;"","Yes","")</f>
        <v>Yes</v>
      </c>
      <c r="T639" s="24" t="str">
        <f t="shared" si="640"/>
        <v/>
      </c>
      <c r="U639" s="24" t="str">
        <f t="shared" si="640"/>
        <v/>
      </c>
      <c r="V639" s="24" t="str">
        <f t="shared" si="3"/>
        <v/>
      </c>
      <c r="W639" s="24" t="str">
        <f t="shared" si="4"/>
        <v/>
      </c>
    </row>
    <row r="640">
      <c r="A640" s="18">
        <f>HYPERLINK("https://app.hubspot.com/contacts/8748051/record/0-1/28859568519", 28859568519)</f>
        <v>28859568519</v>
      </c>
      <c r="B640" s="14" t="s">
        <v>5926</v>
      </c>
      <c r="C640" s="16"/>
      <c r="D640" s="16"/>
      <c r="E640" s="32">
        <v>45453.0</v>
      </c>
      <c r="F640" s="32"/>
      <c r="G640" s="32"/>
      <c r="H640" s="14"/>
      <c r="I640" s="14"/>
      <c r="J640" s="14"/>
      <c r="K640" s="18">
        <f>HYPERLINK("https://app.hubspot.com/contacts/8748051/record/0-2/18002235649", 18002235649)</f>
        <v>18002235649</v>
      </c>
      <c r="L640" s="14" t="s">
        <v>5927</v>
      </c>
      <c r="M640" s="18" t="s">
        <v>5928</v>
      </c>
      <c r="N640" s="14"/>
      <c r="O640" s="14"/>
      <c r="P640" s="14"/>
      <c r="Q640" s="14"/>
      <c r="R640" s="14"/>
      <c r="S640" s="24" t="str">
        <f t="shared" ref="S640:U640" si="641">IF(E640&lt;&gt;"","Yes","")</f>
        <v>Yes</v>
      </c>
      <c r="T640" s="24" t="str">
        <f t="shared" si="641"/>
        <v/>
      </c>
      <c r="U640" s="24" t="str">
        <f t="shared" si="641"/>
        <v/>
      </c>
      <c r="V640" s="24" t="str">
        <f t="shared" si="3"/>
        <v/>
      </c>
      <c r="W640" s="24" t="str">
        <f t="shared" si="4"/>
        <v/>
      </c>
    </row>
    <row r="641">
      <c r="A641" s="18">
        <f>HYPERLINK("https://app.hubspot.com/contacts/8748051/record/0-1/30244516704", 30244516704)</f>
        <v>30244516704</v>
      </c>
      <c r="B641" s="14" t="s">
        <v>5929</v>
      </c>
      <c r="C641" s="16"/>
      <c r="D641" s="16"/>
      <c r="E641" s="32">
        <v>45461.0</v>
      </c>
      <c r="F641" s="32"/>
      <c r="G641" s="24"/>
      <c r="H641" s="14"/>
      <c r="I641" s="14"/>
      <c r="J641" s="14"/>
      <c r="K641" s="18">
        <f>HYPERLINK("https://app.hubspot.com/contacts/8748051/record/0-2/9068651959", 9068651959)</f>
        <v>9068651959</v>
      </c>
      <c r="L641" s="14" t="s">
        <v>5930</v>
      </c>
      <c r="M641" s="18" t="s">
        <v>5931</v>
      </c>
      <c r="N641" s="14"/>
      <c r="O641" s="14"/>
      <c r="P641" s="14"/>
      <c r="Q641" s="14"/>
      <c r="R641" s="24"/>
      <c r="S641" s="24" t="str">
        <f t="shared" ref="S641:U641" si="642">IF(E641&lt;&gt;"","Yes","")</f>
        <v>Yes</v>
      </c>
      <c r="T641" s="24" t="str">
        <f t="shared" si="642"/>
        <v/>
      </c>
      <c r="U641" s="24" t="str">
        <f t="shared" si="642"/>
        <v/>
      </c>
      <c r="V641" s="24" t="str">
        <f t="shared" si="3"/>
        <v/>
      </c>
      <c r="W641" s="24" t="str">
        <f t="shared" si="4"/>
        <v/>
      </c>
    </row>
    <row r="642">
      <c r="A642" s="18">
        <f>HYPERLINK("https://app.hubspot.com/contacts/8748051/record/0-1/34115346030", 34115346030)</f>
        <v>34115346030</v>
      </c>
      <c r="B642" s="14" t="s">
        <v>5932</v>
      </c>
      <c r="C642" s="16"/>
      <c r="D642" s="16"/>
      <c r="E642" s="32">
        <v>45471.0</v>
      </c>
      <c r="F642" s="32">
        <v>45482.0</v>
      </c>
      <c r="G642" s="32">
        <v>45482.0</v>
      </c>
      <c r="H642" s="14"/>
      <c r="I642" s="14"/>
      <c r="J642" s="14"/>
      <c r="K642" s="18">
        <f>HYPERLINK("https://app.hubspot.com/contacts/8748051/record/0-2/19176601210", 19176601210)</f>
        <v>19176601210</v>
      </c>
      <c r="L642" s="14" t="s">
        <v>1561</v>
      </c>
      <c r="M642" s="18" t="s">
        <v>1562</v>
      </c>
      <c r="N642" s="18">
        <f>HYPERLINK("https://app.hubspot.com/contacts/8748051/record/0-3/20608745328", 20608745328)</f>
        <v>20608745328</v>
      </c>
      <c r="O642" s="14" t="s">
        <v>1560</v>
      </c>
      <c r="P642" s="14" t="s">
        <v>118</v>
      </c>
      <c r="Q642" s="14">
        <v>23760.0</v>
      </c>
      <c r="R642" s="14"/>
      <c r="S642" s="24" t="str">
        <f t="shared" ref="S642:U642" si="643">IF(E642&lt;&gt;"","Yes","")</f>
        <v>Yes</v>
      </c>
      <c r="T642" s="24" t="str">
        <f t="shared" si="643"/>
        <v>Yes</v>
      </c>
      <c r="U642" s="24" t="str">
        <f t="shared" si="643"/>
        <v>Yes</v>
      </c>
      <c r="V642" s="24" t="str">
        <f t="shared" si="3"/>
        <v/>
      </c>
      <c r="W642" s="24" t="str">
        <f t="shared" si="4"/>
        <v/>
      </c>
    </row>
    <row r="643">
      <c r="A643" s="18">
        <f>HYPERLINK("https://app.hubspot.com/contacts/8748051/record/0-1/33165976992", 33165976992)</f>
        <v>33165976992</v>
      </c>
      <c r="B643" s="14" t="s">
        <v>5933</v>
      </c>
      <c r="C643" s="16"/>
      <c r="D643" s="16"/>
      <c r="E643" s="32">
        <v>45468.0</v>
      </c>
      <c r="F643" s="32"/>
      <c r="G643" s="32"/>
      <c r="H643" s="14"/>
      <c r="I643" s="14"/>
      <c r="J643" s="14"/>
      <c r="K643" s="18">
        <f>HYPERLINK("https://app.hubspot.com/contacts/8748051/record/0-2/9238339652", 9238339652)</f>
        <v>9238339652</v>
      </c>
      <c r="L643" s="14" t="s">
        <v>1517</v>
      </c>
      <c r="M643" s="18" t="s">
        <v>1518</v>
      </c>
      <c r="N643" s="14"/>
      <c r="O643" s="14"/>
      <c r="P643" s="14"/>
      <c r="Q643" s="14"/>
      <c r="R643" s="14"/>
      <c r="S643" s="24" t="str">
        <f t="shared" ref="S643:U643" si="644">IF(E643&lt;&gt;"","Yes","")</f>
        <v>Yes</v>
      </c>
      <c r="T643" s="24" t="str">
        <f t="shared" si="644"/>
        <v/>
      </c>
      <c r="U643" s="24" t="str">
        <f t="shared" si="644"/>
        <v/>
      </c>
      <c r="V643" s="24" t="str">
        <f t="shared" si="3"/>
        <v/>
      </c>
      <c r="W643" s="24" t="str">
        <f t="shared" si="4"/>
        <v/>
      </c>
    </row>
    <row r="644">
      <c r="A644" s="18">
        <f>HYPERLINK("https://app.hubspot.com/contacts/8748051/record/0-1/29826562579", 29826562579)</f>
        <v>29826562579</v>
      </c>
      <c r="B644" s="14" t="s">
        <v>5934</v>
      </c>
      <c r="C644" s="16"/>
      <c r="D644" s="16"/>
      <c r="E644" s="32">
        <v>45456.0</v>
      </c>
      <c r="F644" s="32"/>
      <c r="G644" s="32"/>
      <c r="H644" s="14"/>
      <c r="I644" s="14"/>
      <c r="J644" s="14"/>
      <c r="K644" s="18">
        <f>HYPERLINK("https://app.hubspot.com/contacts/8748051/record/0-2/9238257332", 9238257332)</f>
        <v>9238257332</v>
      </c>
      <c r="L644" s="14" t="s">
        <v>5935</v>
      </c>
      <c r="M644" s="18" t="s">
        <v>5936</v>
      </c>
      <c r="N644" s="14"/>
      <c r="O644" s="14"/>
      <c r="P644" s="14"/>
      <c r="Q644" s="14"/>
      <c r="R644" s="14"/>
      <c r="S644" s="24" t="str">
        <f t="shared" ref="S644:U644" si="645">IF(E644&lt;&gt;"","Yes","")</f>
        <v>Yes</v>
      </c>
      <c r="T644" s="24" t="str">
        <f t="shared" si="645"/>
        <v/>
      </c>
      <c r="U644" s="24" t="str">
        <f t="shared" si="645"/>
        <v/>
      </c>
      <c r="V644" s="24" t="str">
        <f t="shared" si="3"/>
        <v/>
      </c>
      <c r="W644" s="24" t="str">
        <f t="shared" si="4"/>
        <v/>
      </c>
    </row>
    <row r="645">
      <c r="A645" s="18">
        <f>HYPERLINK("https://app.hubspot.com/contacts/8748051/record/0-1/32826034034", 32826034034)</f>
        <v>32826034034</v>
      </c>
      <c r="B645" s="14" t="s">
        <v>5937</v>
      </c>
      <c r="C645" s="16"/>
      <c r="D645" s="24"/>
      <c r="E645" s="32">
        <v>45467.0</v>
      </c>
      <c r="F645" s="32"/>
      <c r="G645" s="32"/>
      <c r="H645" s="14"/>
      <c r="I645" s="14"/>
      <c r="J645" s="24"/>
      <c r="K645" s="18">
        <f>HYPERLINK("https://app.hubspot.com/contacts/8748051/record/0-2/19176617491", 19176617491)</f>
        <v>19176617491</v>
      </c>
      <c r="L645" s="14" t="s">
        <v>5938</v>
      </c>
      <c r="M645" s="18" t="s">
        <v>5939</v>
      </c>
      <c r="N645" s="24"/>
      <c r="O645" s="14"/>
      <c r="P645" s="14"/>
      <c r="Q645" s="14"/>
      <c r="R645" s="14"/>
      <c r="S645" s="24" t="str">
        <f t="shared" ref="S645:U645" si="646">IF(E645&lt;&gt;"","Yes","")</f>
        <v>Yes</v>
      </c>
      <c r="T645" s="24" t="str">
        <f t="shared" si="646"/>
        <v/>
      </c>
      <c r="U645" s="24" t="str">
        <f t="shared" si="646"/>
        <v/>
      </c>
      <c r="V645" s="24" t="str">
        <f t="shared" si="3"/>
        <v/>
      </c>
      <c r="W645" s="24" t="str">
        <f t="shared" si="4"/>
        <v/>
      </c>
    </row>
    <row r="646">
      <c r="A646" s="18">
        <f>HYPERLINK("https://app.hubspot.com/contacts/8748051/record/0-1/33573615279", 33573615279)</f>
        <v>33573615279</v>
      </c>
      <c r="B646" s="14" t="s">
        <v>5940</v>
      </c>
      <c r="C646" s="24"/>
      <c r="D646" s="24"/>
      <c r="E646" s="32">
        <v>45470.0</v>
      </c>
      <c r="F646" s="24"/>
      <c r="G646" s="24"/>
      <c r="H646" s="24"/>
      <c r="I646" s="24"/>
      <c r="J646" s="24"/>
      <c r="K646" s="18">
        <f>HYPERLINK("https://app.hubspot.com/contacts/8748051/record/0-2/8142372258", 8142372258)</f>
        <v>8142372258</v>
      </c>
      <c r="L646" s="18" t="s">
        <v>5941</v>
      </c>
      <c r="M646" s="18" t="s">
        <v>5942</v>
      </c>
      <c r="N646" s="24"/>
      <c r="O646" s="24"/>
      <c r="P646" s="24"/>
      <c r="Q646" s="24"/>
      <c r="R646" s="24"/>
      <c r="S646" s="24" t="str">
        <f t="shared" ref="S646:U646" si="647">IF(E646&lt;&gt;"","Yes","")</f>
        <v>Yes</v>
      </c>
      <c r="T646" s="24" t="str">
        <f t="shared" si="647"/>
        <v/>
      </c>
      <c r="U646" s="24" t="str">
        <f t="shared" si="647"/>
        <v/>
      </c>
      <c r="V646" s="24" t="str">
        <f t="shared" si="3"/>
        <v/>
      </c>
      <c r="W646" s="24" t="str">
        <f t="shared" si="4"/>
        <v/>
      </c>
    </row>
    <row r="647">
      <c r="A647" s="18">
        <f>HYPERLINK("https://app.hubspot.com/contacts/8748051/record/0-1/29825554983", 29825554983)</f>
        <v>29825554983</v>
      </c>
      <c r="B647" s="14" t="s">
        <v>5943</v>
      </c>
      <c r="C647" s="24"/>
      <c r="D647" s="14"/>
      <c r="E647" s="32">
        <v>45456.0</v>
      </c>
      <c r="F647" s="24"/>
      <c r="G647" s="24"/>
      <c r="H647" s="24"/>
      <c r="I647" s="24"/>
      <c r="J647" s="24"/>
      <c r="K647" s="18">
        <f>HYPERLINK("https://app.hubspot.com/contacts/8748051/record/0-2/8922992697", 8922992697)</f>
        <v>8922992697</v>
      </c>
      <c r="L647" s="14" t="s">
        <v>5944</v>
      </c>
      <c r="M647" s="18" t="s">
        <v>5945</v>
      </c>
      <c r="N647" s="24"/>
      <c r="O647" s="24"/>
      <c r="P647" s="24"/>
      <c r="Q647" s="24"/>
      <c r="R647" s="24"/>
      <c r="S647" s="24" t="str">
        <f t="shared" ref="S647:U647" si="648">IF(E647&lt;&gt;"","Yes","")</f>
        <v>Yes</v>
      </c>
      <c r="T647" s="24" t="str">
        <f t="shared" si="648"/>
        <v/>
      </c>
      <c r="U647" s="24" t="str">
        <f t="shared" si="648"/>
        <v/>
      </c>
      <c r="V647" s="24" t="str">
        <f t="shared" si="3"/>
        <v/>
      </c>
      <c r="W647" s="24" t="str">
        <f t="shared" si="4"/>
        <v/>
      </c>
    </row>
    <row r="648">
      <c r="A648" s="18">
        <f>HYPERLINK("https://app.hubspot.com/contacts/8748051/record/0-1/31594438179", 31594438179)</f>
        <v>31594438179</v>
      </c>
      <c r="B648" s="14" t="s">
        <v>5946</v>
      </c>
      <c r="C648" s="24"/>
      <c r="D648" s="24"/>
      <c r="E648" s="32">
        <v>45463.0</v>
      </c>
      <c r="F648" s="24"/>
      <c r="G648" s="24"/>
      <c r="H648" s="24"/>
      <c r="I648" s="24"/>
      <c r="J648" s="24"/>
      <c r="K648" s="18">
        <f>HYPERLINK("https://app.hubspot.com/contacts/8748051/record/0-2/19176228668", 19176228668)</f>
        <v>19176228668</v>
      </c>
      <c r="L648" s="14" t="s">
        <v>5947</v>
      </c>
      <c r="M648" s="18" t="s">
        <v>5948</v>
      </c>
      <c r="N648" s="24"/>
      <c r="O648" s="24"/>
      <c r="P648" s="24"/>
      <c r="Q648" s="24"/>
      <c r="R648" s="24"/>
      <c r="S648" s="24" t="str">
        <f t="shared" ref="S648:U648" si="649">IF(E648&lt;&gt;"","Yes","")</f>
        <v>Yes</v>
      </c>
      <c r="T648" s="24" t="str">
        <f t="shared" si="649"/>
        <v/>
      </c>
      <c r="U648" s="24" t="str">
        <f t="shared" si="649"/>
        <v/>
      </c>
      <c r="V648" s="24" t="str">
        <f t="shared" si="3"/>
        <v/>
      </c>
      <c r="W648" s="24" t="str">
        <f t="shared" si="4"/>
        <v/>
      </c>
    </row>
    <row r="649">
      <c r="A649" s="18">
        <f>HYPERLINK("https://app.hubspot.com/contacts/8748051/record/0-1/205664453923", 205664453923)</f>
        <v>205664453923</v>
      </c>
      <c r="B649" s="14" t="s">
        <v>5949</v>
      </c>
      <c r="C649" s="24"/>
      <c r="D649" s="24"/>
      <c r="E649" s="32">
        <v>46080.0</v>
      </c>
      <c r="F649" s="24"/>
      <c r="G649" s="24"/>
      <c r="H649" s="24"/>
      <c r="I649" s="24"/>
      <c r="J649" s="24"/>
      <c r="K649" s="18">
        <f>HYPERLINK("https://app.hubspot.com/contacts/8748051/record/0-2/14811203588", 14811203588)</f>
        <v>14811203588</v>
      </c>
      <c r="L649" s="14" t="s">
        <v>2422</v>
      </c>
      <c r="M649" s="18" t="s">
        <v>2423</v>
      </c>
      <c r="N649" s="24"/>
      <c r="O649" s="24"/>
      <c r="P649" s="24"/>
      <c r="Q649" s="24"/>
      <c r="R649" s="24"/>
      <c r="S649" s="24" t="str">
        <f t="shared" ref="S649:U649" si="650">IF(E649&lt;&gt;"","Yes","")</f>
        <v>Yes</v>
      </c>
      <c r="T649" s="24" t="str">
        <f t="shared" si="650"/>
        <v/>
      </c>
      <c r="U649" s="24" t="str">
        <f t="shared" si="650"/>
        <v/>
      </c>
      <c r="V649" s="24" t="str">
        <f t="shared" si="3"/>
        <v/>
      </c>
      <c r="W649" s="24" t="str">
        <f t="shared" si="4"/>
        <v/>
      </c>
    </row>
    <row r="650">
      <c r="A650" s="18">
        <f>HYPERLINK("https://app.hubspot.com/contacts/8748051/record/0-1/37936595637", 37936595637)</f>
        <v>37936595637</v>
      </c>
      <c r="B650" s="14" t="s">
        <v>5950</v>
      </c>
      <c r="C650" s="24"/>
      <c r="D650" s="24"/>
      <c r="E650" s="32">
        <v>45484.0</v>
      </c>
      <c r="F650" s="24"/>
      <c r="G650" s="24"/>
      <c r="H650" s="24"/>
      <c r="I650" s="24"/>
      <c r="J650" s="24"/>
      <c r="K650" s="18">
        <f>HYPERLINK("https://app.hubspot.com/contacts/8748051/record/0-2/9960126561", 9960126561)</f>
        <v>9960126561</v>
      </c>
      <c r="L650" s="14" t="s">
        <v>5951</v>
      </c>
      <c r="M650" s="18" t="s">
        <v>5952</v>
      </c>
      <c r="N650" s="24"/>
      <c r="O650" s="24"/>
      <c r="P650" s="24"/>
      <c r="Q650" s="24"/>
      <c r="R650" s="24"/>
      <c r="S650" s="24" t="str">
        <f t="shared" ref="S650:U650" si="651">IF(E650&lt;&gt;"","Yes","")</f>
        <v>Yes</v>
      </c>
      <c r="T650" s="24" t="str">
        <f t="shared" si="651"/>
        <v/>
      </c>
      <c r="U650" s="24" t="str">
        <f t="shared" si="651"/>
        <v/>
      </c>
      <c r="V650" s="24" t="str">
        <f t="shared" si="3"/>
        <v/>
      </c>
      <c r="W650" s="24" t="str">
        <f t="shared" si="4"/>
        <v/>
      </c>
    </row>
    <row r="651">
      <c r="A651" s="18">
        <f>HYPERLINK("https://app.hubspot.com/contacts/8748051/record/0-1/29133942598", 29133942598)</f>
        <v>29133942598</v>
      </c>
      <c r="B651" s="14" t="s">
        <v>5953</v>
      </c>
      <c r="C651" s="24"/>
      <c r="D651" s="24"/>
      <c r="E651" s="32">
        <v>45454.0</v>
      </c>
      <c r="F651" s="24"/>
      <c r="G651" s="24"/>
      <c r="H651" s="24"/>
      <c r="I651" s="24"/>
      <c r="J651" s="24"/>
      <c r="K651" s="18">
        <f>HYPERLINK("https://app.hubspot.com/contacts/8748051/record/0-2/7984214590", 7984214590)</f>
        <v>7984214590</v>
      </c>
      <c r="L651" s="14" t="s">
        <v>5954</v>
      </c>
      <c r="M651" s="18" t="s">
        <v>5955</v>
      </c>
      <c r="N651" s="24"/>
      <c r="O651" s="24"/>
      <c r="P651" s="24"/>
      <c r="Q651" s="24"/>
      <c r="R651" s="24"/>
      <c r="S651" s="24" t="str">
        <f t="shared" ref="S651:U651" si="652">IF(E651&lt;&gt;"","Yes","")</f>
        <v>Yes</v>
      </c>
      <c r="T651" s="24" t="str">
        <f t="shared" si="652"/>
        <v/>
      </c>
      <c r="U651" s="24" t="str">
        <f t="shared" si="652"/>
        <v/>
      </c>
      <c r="V651" s="24" t="str">
        <f t="shared" si="3"/>
        <v/>
      </c>
      <c r="W651" s="24" t="str">
        <f t="shared" si="4"/>
        <v/>
      </c>
    </row>
    <row r="652">
      <c r="A652" s="18">
        <f>HYPERLINK("https://app.hubspot.com/contacts/8748051/record/0-1/28915605309", 28915605309)</f>
        <v>28915605309</v>
      </c>
      <c r="B652" s="14" t="s">
        <v>5956</v>
      </c>
      <c r="C652" s="24"/>
      <c r="D652" s="14"/>
      <c r="E652" s="32">
        <v>45454.0</v>
      </c>
      <c r="F652" s="24"/>
      <c r="G652" s="24"/>
      <c r="H652" s="24"/>
      <c r="I652" s="24"/>
      <c r="J652" s="24"/>
      <c r="K652" s="18">
        <f>HYPERLINK("https://app.hubspot.com/contacts/8748051/record/0-2/19176350242", 19176350242)</f>
        <v>19176350242</v>
      </c>
      <c r="L652" s="14" t="s">
        <v>5957</v>
      </c>
      <c r="M652" s="18" t="s">
        <v>5958</v>
      </c>
      <c r="N652" s="24"/>
      <c r="O652" s="24"/>
      <c r="P652" s="24"/>
      <c r="Q652" s="24"/>
      <c r="R652" s="24"/>
      <c r="S652" s="24" t="str">
        <f t="shared" ref="S652:U652" si="653">IF(E652&lt;&gt;"","Yes","")</f>
        <v>Yes</v>
      </c>
      <c r="T652" s="24" t="str">
        <f t="shared" si="653"/>
        <v/>
      </c>
      <c r="U652" s="24" t="str">
        <f t="shared" si="653"/>
        <v/>
      </c>
      <c r="V652" s="24" t="str">
        <f t="shared" si="3"/>
        <v/>
      </c>
      <c r="W652" s="24" t="str">
        <f t="shared" si="4"/>
        <v/>
      </c>
    </row>
    <row r="653">
      <c r="A653" s="18">
        <f>HYPERLINK("https://app.hubspot.com/contacts/8748051/record/0-1/33788463881", 33788463881)</f>
        <v>33788463881</v>
      </c>
      <c r="B653" s="14" t="s">
        <v>5959</v>
      </c>
      <c r="C653" s="16"/>
      <c r="D653" s="14"/>
      <c r="E653" s="32">
        <v>45470.0</v>
      </c>
      <c r="F653" s="32"/>
      <c r="G653" s="32"/>
      <c r="H653" s="14"/>
      <c r="I653" s="14"/>
      <c r="J653" s="24"/>
      <c r="K653" s="18">
        <f>HYPERLINK("https://app.hubspot.com/contacts/8748051/record/0-2/6266342978", 6266342978)</f>
        <v>6266342978</v>
      </c>
      <c r="L653" s="14" t="s">
        <v>5471</v>
      </c>
      <c r="M653" s="18" t="s">
        <v>5472</v>
      </c>
      <c r="N653" s="24"/>
      <c r="O653" s="14"/>
      <c r="P653" s="14"/>
      <c r="Q653" s="14"/>
      <c r="R653" s="14"/>
      <c r="S653" s="24" t="str">
        <f t="shared" ref="S653:U653" si="654">IF(E653&lt;&gt;"","Yes","")</f>
        <v>Yes</v>
      </c>
      <c r="T653" s="24" t="str">
        <f t="shared" si="654"/>
        <v/>
      </c>
      <c r="U653" s="24" t="str">
        <f t="shared" si="654"/>
        <v/>
      </c>
      <c r="V653" s="24" t="str">
        <f t="shared" si="3"/>
        <v/>
      </c>
      <c r="W653" s="24" t="str">
        <f t="shared" si="4"/>
        <v/>
      </c>
    </row>
    <row r="654">
      <c r="A654" s="18">
        <f>HYPERLINK("https://app.hubspot.com/contacts/8748051/record/0-1/148437058953", 148437058953)</f>
        <v>148437058953</v>
      </c>
      <c r="B654" s="14" t="s">
        <v>5960</v>
      </c>
      <c r="C654" s="24"/>
      <c r="D654" s="14"/>
      <c r="E654" s="32"/>
      <c r="F654" s="32"/>
      <c r="G654" s="32"/>
      <c r="H654" s="24"/>
      <c r="I654" s="24"/>
      <c r="J654" s="24"/>
      <c r="K654" s="18">
        <f>HYPERLINK("https://app.hubspot.com/contacts/8748051/record/0-2/48907416970", 48907416970)</f>
        <v>48907416970</v>
      </c>
      <c r="L654" s="14" t="s">
        <v>3593</v>
      </c>
      <c r="M654" s="18" t="s">
        <v>4799</v>
      </c>
      <c r="N654" s="24"/>
      <c r="O654" s="14"/>
      <c r="P654" s="14"/>
      <c r="Q654" s="14"/>
      <c r="R654" s="14"/>
      <c r="S654" s="24" t="str">
        <f t="shared" ref="S654:U654" si="655">IF(E654&lt;&gt;"","Yes","")</f>
        <v/>
      </c>
      <c r="T654" s="24" t="str">
        <f t="shared" si="655"/>
        <v/>
      </c>
      <c r="U654" s="24" t="str">
        <f t="shared" si="655"/>
        <v/>
      </c>
      <c r="V654" s="24" t="str">
        <f t="shared" si="3"/>
        <v/>
      </c>
      <c r="W654" s="24" t="str">
        <f t="shared" si="4"/>
        <v/>
      </c>
    </row>
    <row r="655">
      <c r="A655" s="18">
        <f>HYPERLINK("https://app.hubspot.com/contacts/8748051/record/0-1/31855558521", 31855558521)</f>
        <v>31855558521</v>
      </c>
      <c r="B655" s="14" t="s">
        <v>5961</v>
      </c>
      <c r="C655" s="24"/>
      <c r="D655" s="24"/>
      <c r="E655" s="32">
        <v>45464.0</v>
      </c>
      <c r="F655" s="32"/>
      <c r="G655" s="32"/>
      <c r="H655" s="24"/>
      <c r="I655" s="24"/>
      <c r="J655" s="24"/>
      <c r="K655" s="18">
        <f>HYPERLINK("https://app.hubspot.com/contacts/8748051/record/0-2/8922942767", 8922942767)</f>
        <v>8922942767</v>
      </c>
      <c r="L655" s="14" t="s">
        <v>5962</v>
      </c>
      <c r="M655" s="18" t="s">
        <v>5963</v>
      </c>
      <c r="N655" s="14"/>
      <c r="O655" s="14"/>
      <c r="P655" s="14"/>
      <c r="Q655" s="14"/>
      <c r="R655" s="14"/>
      <c r="S655" s="24" t="str">
        <f t="shared" ref="S655:U655" si="656">IF(E655&lt;&gt;"","Yes","")</f>
        <v>Yes</v>
      </c>
      <c r="T655" s="24" t="str">
        <f t="shared" si="656"/>
        <v/>
      </c>
      <c r="U655" s="24" t="str">
        <f t="shared" si="656"/>
        <v/>
      </c>
      <c r="V655" s="24" t="str">
        <f t="shared" si="3"/>
        <v/>
      </c>
      <c r="W655" s="24" t="str">
        <f t="shared" si="4"/>
        <v/>
      </c>
    </row>
    <row r="656">
      <c r="A656" s="18">
        <f>HYPERLINK("https://app.hubspot.com/contacts/8748051/record/0-1/32358414918", 32358414918)</f>
        <v>32358414918</v>
      </c>
      <c r="B656" s="14" t="s">
        <v>5964</v>
      </c>
      <c r="C656" s="24"/>
      <c r="D656" s="24"/>
      <c r="E656" s="32">
        <v>45467.0</v>
      </c>
      <c r="F656" s="24"/>
      <c r="G656" s="24"/>
      <c r="H656" s="24"/>
      <c r="I656" s="24"/>
      <c r="J656" s="24"/>
      <c r="K656" s="18">
        <f>HYPERLINK("https://app.hubspot.com/contacts/8748051/record/0-2/9173832217", 9173832217)</f>
        <v>9173832217</v>
      </c>
      <c r="L656" s="14" t="s">
        <v>1620</v>
      </c>
      <c r="M656" s="18" t="s">
        <v>1621</v>
      </c>
      <c r="N656" s="23">
        <f>HYPERLINK("https://app.hubspot.com/contacts/8748051/record/0-3/20143381103", 20143381103)</f>
        <v>20143381103</v>
      </c>
      <c r="O656" s="14" t="s">
        <v>1618</v>
      </c>
      <c r="P656" s="14" t="s">
        <v>146</v>
      </c>
      <c r="Q656" s="14">
        <v>30000.0</v>
      </c>
      <c r="R656" s="14" t="b">
        <v>1</v>
      </c>
      <c r="S656" s="24" t="str">
        <f t="shared" ref="S656:U656" si="657">IF(E656&lt;&gt;"","Yes","")</f>
        <v>Yes</v>
      </c>
      <c r="T656" s="24" t="str">
        <f t="shared" si="657"/>
        <v/>
      </c>
      <c r="U656" s="24" t="str">
        <f t="shared" si="657"/>
        <v/>
      </c>
      <c r="V656" s="24" t="str">
        <f t="shared" si="3"/>
        <v/>
      </c>
      <c r="W656" s="24" t="str">
        <f t="shared" si="4"/>
        <v>Yes</v>
      </c>
    </row>
    <row r="657">
      <c r="A657" s="18">
        <f>HYPERLINK("https://app.hubspot.com/contacts/8748051/record/0-1/28771212153", 28771212153)</f>
        <v>28771212153</v>
      </c>
      <c r="B657" s="14" t="s">
        <v>5965</v>
      </c>
      <c r="C657" s="24"/>
      <c r="D657" s="24"/>
      <c r="E657" s="32">
        <v>45453.0</v>
      </c>
      <c r="F657" s="24"/>
      <c r="G657" s="24"/>
      <c r="H657" s="24"/>
      <c r="I657" s="24"/>
      <c r="J657" s="24"/>
      <c r="K657" s="18">
        <f>HYPERLINK("https://app.hubspot.com/contacts/8748051/record/0-2/19176558594", 19176558594)</f>
        <v>19176558594</v>
      </c>
      <c r="L657" s="14" t="s">
        <v>5966</v>
      </c>
      <c r="M657" s="18" t="s">
        <v>5967</v>
      </c>
      <c r="N657" s="24"/>
      <c r="O657" s="14"/>
      <c r="P657" s="14"/>
      <c r="Q657" s="14"/>
      <c r="R657" s="14"/>
      <c r="S657" s="24" t="str">
        <f t="shared" ref="S657:U657" si="658">IF(E657&lt;&gt;"","Yes","")</f>
        <v>Yes</v>
      </c>
      <c r="T657" s="24" t="str">
        <f t="shared" si="658"/>
        <v/>
      </c>
      <c r="U657" s="24" t="str">
        <f t="shared" si="658"/>
        <v/>
      </c>
      <c r="V657" s="24" t="str">
        <f t="shared" si="3"/>
        <v/>
      </c>
      <c r="W657" s="24" t="str">
        <f t="shared" si="4"/>
        <v/>
      </c>
    </row>
    <row r="658">
      <c r="A658" s="18">
        <f>HYPERLINK("https://app.hubspot.com/contacts/8748051/record/0-1/29800910171", 29800910171)</f>
        <v>29800910171</v>
      </c>
      <c r="B658" s="14" t="s">
        <v>5968</v>
      </c>
      <c r="C658" s="24"/>
      <c r="D658" s="24"/>
      <c r="E658" s="32">
        <v>45456.0</v>
      </c>
      <c r="F658" s="32"/>
      <c r="G658" s="32"/>
      <c r="H658" s="24"/>
      <c r="I658" s="24"/>
      <c r="J658" s="24"/>
      <c r="K658" s="18">
        <f>HYPERLINK("https://app.hubspot.com/contacts/8748051/record/0-2/19176652450", 19176652450)</f>
        <v>19176652450</v>
      </c>
      <c r="L658" s="14" t="s">
        <v>5969</v>
      </c>
      <c r="M658" s="18" t="s">
        <v>5970</v>
      </c>
      <c r="N658" s="24"/>
      <c r="O658" s="14"/>
      <c r="P658" s="14"/>
      <c r="Q658" s="14"/>
      <c r="R658" s="14"/>
      <c r="S658" s="24" t="str">
        <f t="shared" ref="S658:U658" si="659">IF(E658&lt;&gt;"","Yes","")</f>
        <v>Yes</v>
      </c>
      <c r="T658" s="24" t="str">
        <f t="shared" si="659"/>
        <v/>
      </c>
      <c r="U658" s="24" t="str">
        <f t="shared" si="659"/>
        <v/>
      </c>
      <c r="V658" s="24" t="str">
        <f t="shared" si="3"/>
        <v/>
      </c>
      <c r="W658" s="24" t="str">
        <f t="shared" si="4"/>
        <v/>
      </c>
    </row>
    <row r="659">
      <c r="A659" s="18">
        <f>HYPERLINK("https://app.hubspot.com/contacts/8748051/record/0-1/30864938164", 30864938164)</f>
        <v>30864938164</v>
      </c>
      <c r="B659" s="14" t="s">
        <v>5971</v>
      </c>
      <c r="C659" s="24"/>
      <c r="D659" s="24"/>
      <c r="E659" s="32">
        <v>45461.0</v>
      </c>
      <c r="F659" s="32"/>
      <c r="G659" s="32"/>
      <c r="H659" s="24"/>
      <c r="I659" s="24"/>
      <c r="J659" s="24"/>
      <c r="K659" s="18">
        <f>HYPERLINK("https://app.hubspot.com/contacts/8748051/record/0-2/16065608240", 16065608240)</f>
        <v>16065608240</v>
      </c>
      <c r="L659" s="14" t="s">
        <v>1425</v>
      </c>
      <c r="M659" s="18" t="s">
        <v>1426</v>
      </c>
      <c r="N659" s="24"/>
      <c r="O659" s="14"/>
      <c r="P659" s="14"/>
      <c r="Q659" s="14"/>
      <c r="R659" s="14"/>
      <c r="S659" s="24" t="str">
        <f t="shared" ref="S659:U659" si="660">IF(E659&lt;&gt;"","Yes","")</f>
        <v>Yes</v>
      </c>
      <c r="T659" s="24" t="str">
        <f t="shared" si="660"/>
        <v/>
      </c>
      <c r="U659" s="24" t="str">
        <f t="shared" si="660"/>
        <v/>
      </c>
      <c r="V659" s="24" t="str">
        <f t="shared" si="3"/>
        <v/>
      </c>
      <c r="W659" s="24" t="str">
        <f t="shared" si="4"/>
        <v/>
      </c>
    </row>
    <row r="660">
      <c r="A660" s="18">
        <f>HYPERLINK("https://app.hubspot.com/contacts/8748051/record/0-1/28884438946", 28884438946)</f>
        <v>28884438946</v>
      </c>
      <c r="B660" s="14" t="s">
        <v>5972</v>
      </c>
      <c r="C660" s="24"/>
      <c r="D660" s="24"/>
      <c r="E660" s="32">
        <v>45453.0</v>
      </c>
      <c r="F660" s="32">
        <v>45460.0</v>
      </c>
      <c r="G660" s="32">
        <v>45460.0</v>
      </c>
      <c r="H660" s="24"/>
      <c r="I660" s="24"/>
      <c r="J660" s="24"/>
      <c r="K660" s="18">
        <f>HYPERLINK("https://app.hubspot.com/contacts/8748051/record/0-2/9173832217", 9173832217)</f>
        <v>9173832217</v>
      </c>
      <c r="L660" s="14" t="s">
        <v>1620</v>
      </c>
      <c r="M660" s="18" t="s">
        <v>1621</v>
      </c>
      <c r="N660" s="23">
        <f>HYPERLINK("https://app.hubspot.com/contacts/8748051/record/0-3/20143381103", 20143381103)</f>
        <v>20143381103</v>
      </c>
      <c r="O660" s="14" t="s">
        <v>1618</v>
      </c>
      <c r="P660" s="14" t="s">
        <v>146</v>
      </c>
      <c r="Q660" s="14">
        <v>30000.0</v>
      </c>
      <c r="R660" s="14" t="b">
        <v>1</v>
      </c>
      <c r="S660" s="24" t="str">
        <f t="shared" ref="S660:U660" si="661">IF(E660&lt;&gt;"","Yes","")</f>
        <v>Yes</v>
      </c>
      <c r="T660" s="24" t="str">
        <f t="shared" si="661"/>
        <v>Yes</v>
      </c>
      <c r="U660" s="24" t="str">
        <f t="shared" si="661"/>
        <v>Yes</v>
      </c>
      <c r="V660" s="24" t="str">
        <f t="shared" si="3"/>
        <v/>
      </c>
      <c r="W660" s="24" t="str">
        <f t="shared" si="4"/>
        <v>Yes</v>
      </c>
    </row>
    <row r="661">
      <c r="A661" s="18">
        <f>HYPERLINK("https://app.hubspot.com/contacts/8748051/record/0-1/30518646898", 30518646898)</f>
        <v>30518646898</v>
      </c>
      <c r="B661" s="14" t="s">
        <v>5973</v>
      </c>
      <c r="C661" s="24"/>
      <c r="D661" s="24"/>
      <c r="E661" s="32">
        <v>45461.0</v>
      </c>
      <c r="F661" s="32"/>
      <c r="G661" s="32"/>
      <c r="H661" s="24"/>
      <c r="I661" s="24"/>
      <c r="J661" s="24"/>
      <c r="K661" s="18">
        <f>HYPERLINK("https://app.hubspot.com/contacts/8748051/record/0-2/19176630099", 19176630099)</f>
        <v>19176630099</v>
      </c>
      <c r="L661" s="14" t="s">
        <v>5974</v>
      </c>
      <c r="M661" s="18" t="s">
        <v>5975</v>
      </c>
      <c r="N661" s="14"/>
      <c r="O661" s="14"/>
      <c r="P661" s="14"/>
      <c r="Q661" s="14"/>
      <c r="R661" s="14"/>
      <c r="S661" s="24" t="str">
        <f t="shared" ref="S661:U661" si="662">IF(E661&lt;&gt;"","Yes","")</f>
        <v>Yes</v>
      </c>
      <c r="T661" s="24" t="str">
        <f t="shared" si="662"/>
        <v/>
      </c>
      <c r="U661" s="24" t="str">
        <f t="shared" si="662"/>
        <v/>
      </c>
      <c r="V661" s="24" t="str">
        <f t="shared" si="3"/>
        <v/>
      </c>
      <c r="W661" s="24" t="str">
        <f t="shared" si="4"/>
        <v/>
      </c>
    </row>
    <row r="662">
      <c r="A662" s="18">
        <f>HYPERLINK("https://app.hubspot.com/contacts/8748051/record/0-1/103948760706", 103948760706)</f>
        <v>103948760706</v>
      </c>
      <c r="B662" s="14" t="s">
        <v>5976</v>
      </c>
      <c r="C662" s="16"/>
      <c r="D662" s="24"/>
      <c r="E662" s="32">
        <v>45721.0</v>
      </c>
      <c r="F662" s="32"/>
      <c r="G662" s="32"/>
      <c r="H662" s="14"/>
      <c r="I662" s="14"/>
      <c r="J662" s="24"/>
      <c r="K662" s="18">
        <f>HYPERLINK("https://app.hubspot.com/contacts/8748051/record/0-2/17746939465", 17746939465)</f>
        <v>17746939465</v>
      </c>
      <c r="L662" s="18" t="s">
        <v>5977</v>
      </c>
      <c r="M662" s="18" t="s">
        <v>5978</v>
      </c>
      <c r="N662" s="24"/>
      <c r="O662" s="14"/>
      <c r="P662" s="14"/>
      <c r="Q662" s="14"/>
      <c r="R662" s="14"/>
      <c r="S662" s="24" t="str">
        <f t="shared" ref="S662:U662" si="663">IF(E662&lt;&gt;"","Yes","")</f>
        <v>Yes</v>
      </c>
      <c r="T662" s="24" t="str">
        <f t="shared" si="663"/>
        <v/>
      </c>
      <c r="U662" s="24" t="str">
        <f t="shared" si="663"/>
        <v/>
      </c>
      <c r="V662" s="24" t="str">
        <f t="shared" si="3"/>
        <v/>
      </c>
      <c r="W662" s="24" t="str">
        <f t="shared" si="4"/>
        <v/>
      </c>
    </row>
    <row r="663">
      <c r="A663" s="18">
        <f>HYPERLINK("https://app.hubspot.com/contacts/8748051/record/0-1/29304023817", 29304023817)</f>
        <v>29304023817</v>
      </c>
      <c r="B663" s="14" t="s">
        <v>5979</v>
      </c>
      <c r="C663" s="24"/>
      <c r="D663" s="24"/>
      <c r="E663" s="32">
        <v>45455.0</v>
      </c>
      <c r="F663" s="32"/>
      <c r="G663" s="32"/>
      <c r="H663" s="24"/>
      <c r="I663" s="24"/>
      <c r="J663" s="24"/>
      <c r="K663" s="18">
        <f>HYPERLINK("https://app.hubspot.com/contacts/8748051/record/0-2/9186952984", 9186952984)</f>
        <v>9186952984</v>
      </c>
      <c r="L663" s="14" t="s">
        <v>5980</v>
      </c>
      <c r="M663" s="18" t="s">
        <v>5981</v>
      </c>
      <c r="N663" s="14"/>
      <c r="O663" s="14"/>
      <c r="P663" s="14"/>
      <c r="Q663" s="14"/>
      <c r="R663" s="24"/>
      <c r="S663" s="24" t="str">
        <f t="shared" ref="S663:U663" si="664">IF(E663&lt;&gt;"","Yes","")</f>
        <v>Yes</v>
      </c>
      <c r="T663" s="24" t="str">
        <f t="shared" si="664"/>
        <v/>
      </c>
      <c r="U663" s="24" t="str">
        <f t="shared" si="664"/>
        <v/>
      </c>
      <c r="V663" s="24" t="str">
        <f t="shared" si="3"/>
        <v/>
      </c>
      <c r="W663" s="24" t="str">
        <f t="shared" si="4"/>
        <v/>
      </c>
    </row>
    <row r="664">
      <c r="A664" s="18">
        <f>HYPERLINK("https://app.hubspot.com/contacts/8748051/record/0-1/207741056822", 207741056822)</f>
        <v>207741056822</v>
      </c>
      <c r="B664" s="14" t="s">
        <v>5982</v>
      </c>
      <c r="C664" s="24"/>
      <c r="D664" s="24"/>
      <c r="E664" s="32">
        <v>46089.0</v>
      </c>
      <c r="F664" s="24"/>
      <c r="G664" s="24"/>
      <c r="H664" s="24"/>
      <c r="I664" s="24"/>
      <c r="J664" s="24"/>
      <c r="K664" s="18">
        <f>HYPERLINK("https://app.hubspot.com/contacts/8748051/record/0-2/16065681050", 16065681050)</f>
        <v>16065681050</v>
      </c>
      <c r="L664" s="14" t="s">
        <v>2168</v>
      </c>
      <c r="M664" s="18" t="s">
        <v>2169</v>
      </c>
      <c r="N664" s="24"/>
      <c r="O664" s="24"/>
      <c r="P664" s="24"/>
      <c r="Q664" s="24"/>
      <c r="R664" s="24"/>
      <c r="S664" s="24" t="str">
        <f t="shared" ref="S664:U664" si="665">IF(E664&lt;&gt;"","Yes","")</f>
        <v>Yes</v>
      </c>
      <c r="T664" s="24" t="str">
        <f t="shared" si="665"/>
        <v/>
      </c>
      <c r="U664" s="24" t="str">
        <f t="shared" si="665"/>
        <v/>
      </c>
      <c r="V664" s="24" t="str">
        <f t="shared" si="3"/>
        <v/>
      </c>
      <c r="W664" s="24" t="str">
        <f t="shared" si="4"/>
        <v/>
      </c>
    </row>
    <row r="665">
      <c r="A665" s="18">
        <f>HYPERLINK("https://app.hubspot.com/contacts/8748051/record/0-1/33896300871", 33896300871)</f>
        <v>33896300871</v>
      </c>
      <c r="B665" s="14" t="s">
        <v>5983</v>
      </c>
      <c r="C665" s="24"/>
      <c r="D665" s="24"/>
      <c r="E665" s="32">
        <v>45470.0</v>
      </c>
      <c r="F665" s="24"/>
      <c r="G665" s="24"/>
      <c r="H665" s="24"/>
      <c r="I665" s="24"/>
      <c r="J665" s="24"/>
      <c r="K665" s="18">
        <f>HYPERLINK("https://app.hubspot.com/contacts/8748051/record/0-2/10630273556", 10630273556)</f>
        <v>10630273556</v>
      </c>
      <c r="L665" s="14" t="s">
        <v>5984</v>
      </c>
      <c r="M665" s="18" t="s">
        <v>5985</v>
      </c>
      <c r="N665" s="24"/>
      <c r="O665" s="24"/>
      <c r="P665" s="24"/>
      <c r="Q665" s="24"/>
      <c r="R665" s="24"/>
      <c r="S665" s="24" t="str">
        <f t="shared" ref="S665:U665" si="666">IF(E665&lt;&gt;"","Yes","")</f>
        <v>Yes</v>
      </c>
      <c r="T665" s="24" t="str">
        <f t="shared" si="666"/>
        <v/>
      </c>
      <c r="U665" s="24" t="str">
        <f t="shared" si="666"/>
        <v/>
      </c>
      <c r="V665" s="24" t="str">
        <f t="shared" si="3"/>
        <v/>
      </c>
      <c r="W665" s="24" t="str">
        <f t="shared" si="4"/>
        <v/>
      </c>
    </row>
    <row r="666">
      <c r="A666" s="18">
        <f>HYPERLINK("https://app.hubspot.com/contacts/8748051/record/0-1/31682524583", 31682524583)</f>
        <v>31682524583</v>
      </c>
      <c r="B666" s="14" t="s">
        <v>5986</v>
      </c>
      <c r="C666" s="16"/>
      <c r="D666" s="24"/>
      <c r="E666" s="32">
        <v>45463.0</v>
      </c>
      <c r="F666" s="32"/>
      <c r="G666" s="32"/>
      <c r="H666" s="14"/>
      <c r="I666" s="14"/>
      <c r="J666" s="24"/>
      <c r="K666" s="18">
        <f>HYPERLINK("https://app.hubspot.com/contacts/8748051/record/0-2/19176688641", 19176688641)</f>
        <v>19176688641</v>
      </c>
      <c r="L666" s="14" t="s">
        <v>5987</v>
      </c>
      <c r="M666" s="18" t="s">
        <v>5988</v>
      </c>
      <c r="N666" s="24"/>
      <c r="O666" s="14"/>
      <c r="P666" s="14"/>
      <c r="Q666" s="14"/>
      <c r="R666" s="14"/>
      <c r="S666" s="24" t="str">
        <f t="shared" ref="S666:U666" si="667">IF(E666&lt;&gt;"","Yes","")</f>
        <v>Yes</v>
      </c>
      <c r="T666" s="24" t="str">
        <f t="shared" si="667"/>
        <v/>
      </c>
      <c r="U666" s="24" t="str">
        <f t="shared" si="667"/>
        <v/>
      </c>
      <c r="V666" s="24" t="str">
        <f t="shared" si="3"/>
        <v/>
      </c>
      <c r="W666" s="24" t="str">
        <f t="shared" si="4"/>
        <v/>
      </c>
    </row>
    <row r="667">
      <c r="A667" s="18">
        <f>HYPERLINK("https://app.hubspot.com/contacts/8748051/record/0-1/29663064095", 29663064095)</f>
        <v>29663064095</v>
      </c>
      <c r="B667" s="14" t="s">
        <v>5989</v>
      </c>
      <c r="C667" s="24"/>
      <c r="D667" s="24"/>
      <c r="E667" s="32">
        <v>45456.0</v>
      </c>
      <c r="F667" s="24"/>
      <c r="G667" s="24"/>
      <c r="H667" s="24"/>
      <c r="I667" s="24"/>
      <c r="J667" s="24"/>
      <c r="K667" s="18">
        <f>HYPERLINK("https://app.hubspot.com/contacts/8748051/record/0-2/7026172814", 7026172814)</f>
        <v>7026172814</v>
      </c>
      <c r="L667" s="14" t="s">
        <v>4669</v>
      </c>
      <c r="M667" s="18" t="s">
        <v>4670</v>
      </c>
      <c r="N667" s="24"/>
      <c r="O667" s="24"/>
      <c r="P667" s="24"/>
      <c r="Q667" s="24"/>
      <c r="R667" s="24"/>
      <c r="S667" s="24" t="str">
        <f t="shared" ref="S667:U667" si="668">IF(E667&lt;&gt;"","Yes","")</f>
        <v>Yes</v>
      </c>
      <c r="T667" s="24" t="str">
        <f t="shared" si="668"/>
        <v/>
      </c>
      <c r="U667" s="24" t="str">
        <f t="shared" si="668"/>
        <v/>
      </c>
      <c r="V667" s="24" t="str">
        <f t="shared" si="3"/>
        <v/>
      </c>
      <c r="W667" s="24" t="str">
        <f t="shared" si="4"/>
        <v/>
      </c>
    </row>
    <row r="668">
      <c r="A668" s="18">
        <f>HYPERLINK("https://app.hubspot.com/contacts/8748051/record/0-1/29785187092", 29785187092)</f>
        <v>29785187092</v>
      </c>
      <c r="B668" s="14" t="s">
        <v>5990</v>
      </c>
      <c r="C668" s="16"/>
      <c r="D668" s="16"/>
      <c r="E668" s="32">
        <v>45456.0</v>
      </c>
      <c r="F668" s="32"/>
      <c r="G668" s="32"/>
      <c r="H668" s="14"/>
      <c r="I668" s="14"/>
      <c r="J668" s="14"/>
      <c r="K668" s="18">
        <f>HYPERLINK("https://app.hubspot.com/contacts/8748051/record/0-2/17721813937", 17721813937)</f>
        <v>17721813937</v>
      </c>
      <c r="L668" s="14" t="s">
        <v>5991</v>
      </c>
      <c r="M668" s="18" t="s">
        <v>5992</v>
      </c>
      <c r="N668" s="14"/>
      <c r="O668" s="14"/>
      <c r="P668" s="14"/>
      <c r="Q668" s="14"/>
      <c r="R668" s="14"/>
      <c r="S668" s="24" t="str">
        <f t="shared" ref="S668:U668" si="669">IF(E668&lt;&gt;"","Yes","")</f>
        <v>Yes</v>
      </c>
      <c r="T668" s="24" t="str">
        <f t="shared" si="669"/>
        <v/>
      </c>
      <c r="U668" s="24" t="str">
        <f t="shared" si="669"/>
        <v/>
      </c>
      <c r="V668" s="24" t="str">
        <f t="shared" si="3"/>
        <v/>
      </c>
      <c r="W668" s="24" t="str">
        <f t="shared" si="4"/>
        <v/>
      </c>
    </row>
    <row r="669">
      <c r="A669" s="18">
        <f>HYPERLINK("https://app.hubspot.com/contacts/8748051/record/0-1/28777164655", 28777164655)</f>
        <v>28777164655</v>
      </c>
      <c r="B669" s="14" t="s">
        <v>5993</v>
      </c>
      <c r="C669" s="24"/>
      <c r="D669" s="24"/>
      <c r="E669" s="32">
        <v>45453.0</v>
      </c>
      <c r="F669" s="24"/>
      <c r="G669" s="24"/>
      <c r="H669" s="24"/>
      <c r="I669" s="24"/>
      <c r="J669" s="24"/>
      <c r="K669" s="18">
        <f>HYPERLINK("https://app.hubspot.com/contacts/8748051/record/0-2/6266336884", 6266336884)</f>
        <v>6266336884</v>
      </c>
      <c r="L669" s="14" t="s">
        <v>1359</v>
      </c>
      <c r="M669" s="18" t="s">
        <v>1360</v>
      </c>
      <c r="N669" s="14"/>
      <c r="O669" s="14"/>
      <c r="P669" s="14"/>
      <c r="Q669" s="14"/>
      <c r="R669" s="14"/>
      <c r="S669" s="24" t="str">
        <f t="shared" ref="S669:U669" si="670">IF(E669&lt;&gt;"","Yes","")</f>
        <v>Yes</v>
      </c>
      <c r="T669" s="24" t="str">
        <f t="shared" si="670"/>
        <v/>
      </c>
      <c r="U669" s="24" t="str">
        <f t="shared" si="670"/>
        <v/>
      </c>
      <c r="V669" s="24" t="str">
        <f t="shared" si="3"/>
        <v/>
      </c>
      <c r="W669" s="24" t="str">
        <f t="shared" si="4"/>
        <v/>
      </c>
    </row>
    <row r="670">
      <c r="A670" s="23">
        <f>HYPERLINK("https://app.hubspot.com/contacts/8748051/record/0-1/210251750523", 210251750523)</f>
        <v>210251750523</v>
      </c>
      <c r="B670" s="14" t="s">
        <v>5994</v>
      </c>
      <c r="C670" s="24"/>
      <c r="D670" s="24"/>
      <c r="E670" s="32"/>
      <c r="F670" s="24"/>
      <c r="G670" s="24"/>
      <c r="H670" s="24"/>
      <c r="I670" s="24"/>
      <c r="J670" s="24"/>
      <c r="K670" s="23">
        <f>HYPERLINK("https://app.hubspot.com/contacts/8748051/record/0-2/53558126192", 53558126192)</f>
        <v>53558126192</v>
      </c>
      <c r="L670" s="14" t="s">
        <v>5995</v>
      </c>
      <c r="M670" s="18" t="s">
        <v>5996</v>
      </c>
      <c r="N670" s="24"/>
      <c r="O670" s="24"/>
      <c r="P670" s="24"/>
      <c r="Q670" s="24"/>
      <c r="R670" s="24"/>
      <c r="S670" s="24" t="str">
        <f t="shared" ref="S670:U670" si="671">IF(E670&lt;&gt;"","Yes","")</f>
        <v/>
      </c>
      <c r="T670" s="24" t="str">
        <f t="shared" si="671"/>
        <v/>
      </c>
      <c r="U670" s="24" t="str">
        <f t="shared" si="671"/>
        <v/>
      </c>
      <c r="V670" s="24" t="str">
        <f t="shared" si="3"/>
        <v/>
      </c>
      <c r="W670" s="24" t="str">
        <f t="shared" si="4"/>
        <v/>
      </c>
    </row>
    <row r="671">
      <c r="A671" s="23">
        <f>HYPERLINK("https://app.hubspot.com/contacts/8748051/record/0-1/33127434671", 33127434671)</f>
        <v>33127434671</v>
      </c>
      <c r="B671" s="14" t="s">
        <v>5997</v>
      </c>
      <c r="C671" s="24"/>
      <c r="D671" s="24"/>
      <c r="E671" s="32">
        <v>45468.0</v>
      </c>
      <c r="F671" s="32"/>
      <c r="G671" s="32"/>
      <c r="H671" s="24"/>
      <c r="I671" s="24"/>
      <c r="J671" s="24"/>
      <c r="K671" s="23">
        <f>HYPERLINK("https://app.hubspot.com/contacts/8748051/record/0-2/7700389762", 7700389762)</f>
        <v>7700389762</v>
      </c>
      <c r="L671" s="14" t="s">
        <v>1476</v>
      </c>
      <c r="M671" s="18" t="s">
        <v>1477</v>
      </c>
      <c r="N671" s="24"/>
      <c r="O671" s="14"/>
      <c r="P671" s="14"/>
      <c r="Q671" s="14"/>
      <c r="R671" s="14"/>
      <c r="S671" s="24" t="str">
        <f t="shared" ref="S671:U671" si="672">IF(E671&lt;&gt;"","Yes","")</f>
        <v>Yes</v>
      </c>
      <c r="T671" s="24" t="str">
        <f t="shared" si="672"/>
        <v/>
      </c>
      <c r="U671" s="24" t="str">
        <f t="shared" si="672"/>
        <v/>
      </c>
      <c r="V671" s="24" t="str">
        <f t="shared" si="3"/>
        <v/>
      </c>
      <c r="W671" s="24" t="str">
        <f t="shared" si="4"/>
        <v/>
      </c>
    </row>
    <row r="672">
      <c r="A672" s="23">
        <f>HYPERLINK("https://app.hubspot.com/contacts/8748051/record/0-1/32590247497", 32590247497)</f>
        <v>32590247497</v>
      </c>
      <c r="B672" s="14" t="s">
        <v>5998</v>
      </c>
      <c r="C672" s="24"/>
      <c r="D672" s="24"/>
      <c r="E672" s="32">
        <v>45467.0</v>
      </c>
      <c r="F672" s="32">
        <v>45475.0</v>
      </c>
      <c r="G672" s="32">
        <v>45475.0</v>
      </c>
      <c r="H672" s="24"/>
      <c r="I672" s="24"/>
      <c r="J672" s="24"/>
      <c r="K672" s="23">
        <f>HYPERLINK("https://app.hubspot.com/contacts/8748051/record/0-2/8724516529", 8724516529)</f>
        <v>8724516529</v>
      </c>
      <c r="L672" s="14" t="s">
        <v>1577</v>
      </c>
      <c r="M672" s="18" t="s">
        <v>1578</v>
      </c>
      <c r="N672" s="23">
        <f>HYPERLINK("https://app.hubspot.com/contacts/8748051/record/0-3/20470019342", 20470019342)</f>
        <v>20470019342</v>
      </c>
      <c r="O672" s="14" t="s">
        <v>1576</v>
      </c>
      <c r="P672" s="14" t="s">
        <v>124</v>
      </c>
      <c r="Q672" s="14">
        <v>54480.0</v>
      </c>
      <c r="R672" s="14" t="b">
        <v>1</v>
      </c>
      <c r="S672" s="24" t="str">
        <f t="shared" ref="S672:U672" si="673">IF(E672&lt;&gt;"","Yes","")</f>
        <v>Yes</v>
      </c>
      <c r="T672" s="24" t="str">
        <f t="shared" si="673"/>
        <v>Yes</v>
      </c>
      <c r="U672" s="24" t="str">
        <f t="shared" si="673"/>
        <v>Yes</v>
      </c>
      <c r="V672" s="24" t="str">
        <f t="shared" si="3"/>
        <v/>
      </c>
      <c r="W672" s="24" t="str">
        <f t="shared" si="4"/>
        <v/>
      </c>
    </row>
    <row r="673">
      <c r="A673" s="23">
        <f>HYPERLINK("https://app.hubspot.com/contacts/8748051/record/0-1/35143232557", 35143232557)</f>
        <v>35143232557</v>
      </c>
      <c r="B673" s="14" t="s">
        <v>5999</v>
      </c>
      <c r="C673" s="24"/>
      <c r="D673" s="24"/>
      <c r="E673" s="32">
        <v>45475.0</v>
      </c>
      <c r="F673" s="24"/>
      <c r="G673" s="24"/>
      <c r="H673" s="24"/>
      <c r="I673" s="24"/>
      <c r="J673" s="24"/>
      <c r="K673" s="23">
        <f>HYPERLINK("https://app.hubspot.com/contacts/8748051/record/0-2/19176292664", 19176292664)</f>
        <v>19176292664</v>
      </c>
      <c r="L673" s="14" t="s">
        <v>5425</v>
      </c>
      <c r="M673" s="18" t="s">
        <v>5426</v>
      </c>
      <c r="N673" s="24"/>
      <c r="O673" s="24"/>
      <c r="P673" s="24"/>
      <c r="Q673" s="24"/>
      <c r="R673" s="24"/>
      <c r="S673" s="24" t="str">
        <f t="shared" ref="S673:U673" si="674">IF(E673&lt;&gt;"","Yes","")</f>
        <v>Yes</v>
      </c>
      <c r="T673" s="24" t="str">
        <f t="shared" si="674"/>
        <v/>
      </c>
      <c r="U673" s="24" t="str">
        <f t="shared" si="674"/>
        <v/>
      </c>
      <c r="V673" s="24" t="str">
        <f t="shared" si="3"/>
        <v/>
      </c>
      <c r="W673" s="24" t="str">
        <f t="shared" si="4"/>
        <v/>
      </c>
    </row>
    <row r="674">
      <c r="A674" s="24"/>
      <c r="B674" s="24"/>
      <c r="C674" s="24"/>
      <c r="D674" s="24"/>
      <c r="E674" s="24"/>
      <c r="F674" s="24"/>
      <c r="G674" s="24"/>
      <c r="H674" s="24"/>
      <c r="I674" s="24"/>
      <c r="J674" s="24"/>
      <c r="K674" s="24"/>
      <c r="L674" s="24"/>
      <c r="M674" s="24"/>
      <c r="N674" s="24"/>
      <c r="O674" s="24"/>
      <c r="P674" s="24"/>
      <c r="Q674" s="24"/>
      <c r="R674" s="24"/>
      <c r="S674" s="24"/>
      <c r="T674" s="24"/>
      <c r="U674" s="24"/>
      <c r="V674" s="24"/>
      <c r="W674" s="24"/>
    </row>
    <row r="675">
      <c r="A675" s="24"/>
      <c r="B675" s="24"/>
      <c r="C675" s="24"/>
      <c r="D675" s="24"/>
      <c r="E675" s="24"/>
      <c r="F675" s="24"/>
      <c r="G675" s="24"/>
      <c r="H675" s="24"/>
      <c r="I675" s="24"/>
      <c r="J675" s="24"/>
      <c r="K675" s="24"/>
      <c r="L675" s="24"/>
      <c r="M675" s="24"/>
      <c r="N675" s="24"/>
      <c r="O675" s="24"/>
      <c r="P675" s="24"/>
      <c r="Q675" s="24"/>
      <c r="R675" s="24"/>
      <c r="S675" s="24"/>
      <c r="T675" s="24"/>
      <c r="U675" s="24"/>
      <c r="V675" s="24"/>
      <c r="W675" s="24"/>
    </row>
    <row r="676">
      <c r="A676" s="24"/>
      <c r="B676" s="24"/>
      <c r="C676" s="24"/>
      <c r="D676" s="24"/>
      <c r="E676" s="24"/>
      <c r="F676" s="24"/>
      <c r="G676" s="24"/>
      <c r="H676" s="24"/>
      <c r="I676" s="24"/>
      <c r="J676" s="24"/>
      <c r="K676" s="24"/>
      <c r="L676" s="24"/>
      <c r="M676" s="24"/>
      <c r="N676" s="24"/>
      <c r="O676" s="24"/>
      <c r="P676" s="24"/>
      <c r="Q676" s="24"/>
      <c r="R676" s="24"/>
      <c r="S676" s="24"/>
      <c r="T676" s="24"/>
      <c r="U676" s="24"/>
      <c r="V676" s="24"/>
      <c r="W676" s="24"/>
    </row>
    <row r="677">
      <c r="A677" s="24"/>
      <c r="B677" s="24"/>
      <c r="C677" s="24"/>
      <c r="D677" s="24"/>
      <c r="E677" s="24"/>
      <c r="F677" s="24"/>
      <c r="G677" s="24"/>
      <c r="H677" s="24"/>
      <c r="I677" s="24"/>
      <c r="J677" s="24"/>
      <c r="K677" s="24"/>
      <c r="L677" s="24"/>
      <c r="M677" s="24"/>
      <c r="N677" s="24"/>
      <c r="O677" s="24"/>
      <c r="P677" s="24"/>
      <c r="Q677" s="24"/>
      <c r="R677" s="24"/>
      <c r="S677" s="24"/>
      <c r="T677" s="24"/>
      <c r="U677" s="24"/>
      <c r="V677" s="24"/>
      <c r="W677" s="24"/>
    </row>
    <row r="678">
      <c r="A678" s="24"/>
      <c r="B678" s="24"/>
      <c r="C678" s="24"/>
      <c r="D678" s="24"/>
      <c r="E678" s="24"/>
      <c r="F678" s="24"/>
      <c r="G678" s="24"/>
      <c r="H678" s="24"/>
      <c r="I678" s="24"/>
      <c r="J678" s="24"/>
      <c r="K678" s="24"/>
      <c r="L678" s="24"/>
      <c r="M678" s="24"/>
      <c r="N678" s="24"/>
      <c r="O678" s="24"/>
      <c r="P678" s="24"/>
      <c r="Q678" s="24"/>
      <c r="R678" s="24"/>
      <c r="S678" s="24"/>
      <c r="T678" s="24"/>
      <c r="U678" s="24"/>
      <c r="V678" s="24"/>
      <c r="W678" s="24"/>
    </row>
    <row r="679">
      <c r="A679" s="24"/>
      <c r="B679" s="24"/>
      <c r="C679" s="24"/>
      <c r="D679" s="24"/>
      <c r="E679" s="24"/>
      <c r="F679" s="24"/>
      <c r="G679" s="24"/>
      <c r="H679" s="24"/>
      <c r="I679" s="24"/>
      <c r="J679" s="24"/>
      <c r="K679" s="24"/>
      <c r="L679" s="24"/>
      <c r="M679" s="24"/>
      <c r="N679" s="24"/>
      <c r="O679" s="24"/>
      <c r="P679" s="24"/>
      <c r="Q679" s="24"/>
      <c r="R679" s="24"/>
      <c r="S679" s="24"/>
      <c r="T679" s="24"/>
      <c r="U679" s="24"/>
      <c r="V679" s="24"/>
      <c r="W679" s="24"/>
    </row>
    <row r="680">
      <c r="A680" s="24"/>
      <c r="B680" s="24"/>
      <c r="C680" s="24"/>
      <c r="D680" s="24"/>
      <c r="E680" s="24"/>
      <c r="F680" s="24"/>
      <c r="G680" s="24"/>
      <c r="H680" s="24"/>
      <c r="I680" s="24"/>
      <c r="J680" s="24"/>
      <c r="K680" s="24"/>
      <c r="L680" s="24"/>
      <c r="M680" s="24"/>
      <c r="N680" s="24"/>
      <c r="O680" s="24"/>
      <c r="P680" s="24"/>
      <c r="Q680" s="24"/>
      <c r="R680" s="24"/>
      <c r="S680" s="24"/>
      <c r="T680" s="24"/>
      <c r="U680" s="24"/>
      <c r="V680" s="24"/>
      <c r="W680" s="24"/>
    </row>
    <row r="681">
      <c r="A681" s="24"/>
      <c r="B681" s="24"/>
      <c r="C681" s="24"/>
      <c r="D681" s="24"/>
      <c r="E681" s="24"/>
      <c r="F681" s="24"/>
      <c r="G681" s="24"/>
      <c r="H681" s="24"/>
      <c r="I681" s="24"/>
      <c r="J681" s="24"/>
      <c r="K681" s="24"/>
      <c r="L681" s="24"/>
      <c r="M681" s="24"/>
      <c r="N681" s="24"/>
      <c r="O681" s="24"/>
      <c r="P681" s="24"/>
      <c r="Q681" s="24"/>
      <c r="R681" s="24"/>
      <c r="S681" s="24"/>
      <c r="T681" s="24"/>
      <c r="U681" s="24"/>
      <c r="V681" s="24"/>
      <c r="W681" s="24"/>
    </row>
    <row r="682">
      <c r="A682" s="24"/>
      <c r="B682" s="24"/>
      <c r="C682" s="24"/>
      <c r="D682" s="24"/>
      <c r="E682" s="24"/>
      <c r="F682" s="24"/>
      <c r="G682" s="24"/>
      <c r="H682" s="24"/>
      <c r="I682" s="24"/>
      <c r="J682" s="24"/>
      <c r="K682" s="24"/>
      <c r="L682" s="24"/>
      <c r="M682" s="24"/>
      <c r="N682" s="24"/>
      <c r="O682" s="24"/>
      <c r="P682" s="24"/>
      <c r="Q682" s="24"/>
      <c r="R682" s="24"/>
      <c r="S682" s="24"/>
      <c r="T682" s="24"/>
      <c r="U682" s="24"/>
      <c r="V682" s="24"/>
      <c r="W682" s="24"/>
    </row>
    <row r="683">
      <c r="A683" s="24"/>
      <c r="B683" s="24"/>
      <c r="C683" s="24"/>
      <c r="D683" s="24"/>
      <c r="E683" s="24"/>
      <c r="F683" s="24"/>
      <c r="G683" s="24"/>
      <c r="H683" s="24"/>
      <c r="I683" s="24"/>
      <c r="J683" s="24"/>
      <c r="K683" s="24"/>
      <c r="L683" s="24"/>
      <c r="M683" s="24"/>
      <c r="N683" s="24"/>
      <c r="O683" s="24"/>
      <c r="P683" s="24"/>
      <c r="Q683" s="24"/>
      <c r="R683" s="24"/>
      <c r="S683" s="24"/>
      <c r="T683" s="24"/>
      <c r="U683" s="24"/>
      <c r="V683" s="24"/>
      <c r="W683" s="24"/>
    </row>
    <row r="684">
      <c r="A684" s="24"/>
      <c r="B684" s="24"/>
      <c r="C684" s="24"/>
      <c r="D684" s="24"/>
      <c r="E684" s="24"/>
      <c r="F684" s="24"/>
      <c r="G684" s="24"/>
      <c r="H684" s="24"/>
      <c r="I684" s="24"/>
      <c r="J684" s="24"/>
      <c r="K684" s="24"/>
      <c r="L684" s="24"/>
      <c r="M684" s="24"/>
      <c r="N684" s="24"/>
      <c r="O684" s="24"/>
      <c r="P684" s="24"/>
      <c r="Q684" s="24"/>
      <c r="R684" s="24"/>
      <c r="S684" s="24"/>
      <c r="T684" s="24"/>
      <c r="U684" s="24"/>
      <c r="V684" s="24"/>
      <c r="W684" s="24"/>
    </row>
    <row r="685">
      <c r="A685" s="24"/>
      <c r="B685" s="24"/>
      <c r="C685" s="24"/>
      <c r="D685" s="24"/>
      <c r="E685" s="24"/>
      <c r="F685" s="24"/>
      <c r="G685" s="24"/>
      <c r="H685" s="24"/>
      <c r="I685" s="24"/>
      <c r="J685" s="24"/>
      <c r="K685" s="24"/>
      <c r="L685" s="24"/>
      <c r="M685" s="24"/>
      <c r="N685" s="24"/>
      <c r="O685" s="24"/>
      <c r="P685" s="24"/>
      <c r="Q685" s="24"/>
      <c r="R685" s="24"/>
      <c r="S685" s="24"/>
      <c r="T685" s="24"/>
      <c r="U685" s="24"/>
      <c r="V685" s="24"/>
      <c r="W685" s="24"/>
    </row>
    <row r="686">
      <c r="A686" s="24"/>
      <c r="B686" s="24"/>
      <c r="C686" s="24"/>
      <c r="D686" s="24"/>
      <c r="E686" s="24"/>
      <c r="F686" s="24"/>
      <c r="G686" s="24"/>
      <c r="H686" s="24"/>
      <c r="I686" s="24"/>
      <c r="J686" s="24"/>
      <c r="K686" s="24"/>
      <c r="L686" s="24"/>
      <c r="M686" s="24"/>
      <c r="N686" s="24"/>
      <c r="O686" s="24"/>
      <c r="P686" s="24"/>
      <c r="Q686" s="24"/>
      <c r="R686" s="24"/>
      <c r="S686" s="24"/>
      <c r="T686" s="24"/>
      <c r="U686" s="24"/>
      <c r="V686" s="24"/>
      <c r="W686" s="24"/>
    </row>
    <row r="687">
      <c r="A687" s="24"/>
      <c r="B687" s="24"/>
      <c r="C687" s="24"/>
      <c r="D687" s="24"/>
      <c r="E687" s="24"/>
      <c r="F687" s="24"/>
      <c r="G687" s="24"/>
      <c r="H687" s="24"/>
      <c r="I687" s="24"/>
      <c r="J687" s="24"/>
      <c r="K687" s="24"/>
      <c r="L687" s="24"/>
      <c r="M687" s="24"/>
      <c r="N687" s="24"/>
      <c r="O687" s="24"/>
      <c r="P687" s="24"/>
      <c r="Q687" s="24"/>
      <c r="R687" s="24"/>
      <c r="S687" s="24"/>
      <c r="T687" s="24"/>
      <c r="U687" s="24"/>
      <c r="V687" s="24"/>
      <c r="W687" s="24"/>
    </row>
    <row r="688">
      <c r="A688" s="24"/>
      <c r="B688" s="24"/>
      <c r="C688" s="24"/>
      <c r="D688" s="24"/>
      <c r="E688" s="24"/>
      <c r="F688" s="24"/>
      <c r="G688" s="24"/>
      <c r="H688" s="24"/>
      <c r="I688" s="24"/>
      <c r="J688" s="24"/>
      <c r="K688" s="24"/>
      <c r="L688" s="24"/>
      <c r="M688" s="24"/>
      <c r="N688" s="24"/>
      <c r="O688" s="24"/>
      <c r="P688" s="24"/>
      <c r="Q688" s="24"/>
      <c r="R688" s="24"/>
      <c r="S688" s="24"/>
      <c r="T688" s="24"/>
      <c r="U688" s="24"/>
      <c r="V688" s="24"/>
      <c r="W688" s="24"/>
    </row>
    <row r="689">
      <c r="A689" s="24"/>
      <c r="B689" s="24"/>
      <c r="C689" s="24"/>
      <c r="D689" s="24"/>
      <c r="E689" s="24"/>
      <c r="F689" s="24"/>
      <c r="G689" s="24"/>
      <c r="H689" s="24"/>
      <c r="I689" s="24"/>
      <c r="J689" s="24"/>
      <c r="K689" s="24"/>
      <c r="L689" s="24"/>
      <c r="M689" s="24"/>
      <c r="N689" s="24"/>
      <c r="O689" s="24"/>
      <c r="P689" s="24"/>
      <c r="Q689" s="24"/>
      <c r="R689" s="24"/>
      <c r="S689" s="24"/>
      <c r="T689" s="24"/>
      <c r="U689" s="24"/>
      <c r="V689" s="24"/>
      <c r="W689" s="24"/>
    </row>
    <row r="690">
      <c r="A690" s="24"/>
      <c r="B690" s="24"/>
      <c r="C690" s="24"/>
      <c r="D690" s="24"/>
      <c r="E690" s="24"/>
      <c r="F690" s="24"/>
      <c r="G690" s="24"/>
      <c r="H690" s="24"/>
      <c r="I690" s="24"/>
      <c r="J690" s="24"/>
      <c r="K690" s="24"/>
      <c r="L690" s="24"/>
      <c r="M690" s="24"/>
      <c r="N690" s="24"/>
      <c r="O690" s="24"/>
      <c r="P690" s="24"/>
      <c r="Q690" s="24"/>
      <c r="R690" s="24"/>
      <c r="S690" s="24"/>
      <c r="T690" s="24"/>
      <c r="U690" s="24"/>
      <c r="V690" s="24"/>
      <c r="W690" s="24"/>
    </row>
    <row r="691">
      <c r="A691" s="24"/>
      <c r="B691" s="24"/>
      <c r="C691" s="24"/>
      <c r="D691" s="24"/>
      <c r="E691" s="24"/>
      <c r="F691" s="24"/>
      <c r="G691" s="24"/>
      <c r="H691" s="24"/>
      <c r="I691" s="24"/>
      <c r="J691" s="24"/>
      <c r="K691" s="24"/>
      <c r="L691" s="24"/>
      <c r="M691" s="24"/>
      <c r="N691" s="24"/>
      <c r="O691" s="24"/>
      <c r="P691" s="24"/>
      <c r="Q691" s="24"/>
      <c r="R691" s="24"/>
      <c r="S691" s="24"/>
      <c r="T691" s="24"/>
      <c r="U691" s="24"/>
      <c r="V691" s="24"/>
      <c r="W691" s="24"/>
    </row>
    <row r="692">
      <c r="A692" s="24"/>
      <c r="B692" s="24"/>
      <c r="C692" s="24"/>
      <c r="D692" s="24"/>
      <c r="E692" s="24"/>
      <c r="F692" s="24"/>
      <c r="G692" s="24"/>
      <c r="H692" s="24"/>
      <c r="I692" s="24"/>
      <c r="J692" s="24"/>
      <c r="K692" s="24"/>
      <c r="L692" s="24"/>
      <c r="M692" s="24"/>
      <c r="N692" s="24"/>
      <c r="O692" s="24"/>
      <c r="P692" s="24"/>
      <c r="Q692" s="24"/>
      <c r="R692" s="24"/>
      <c r="S692" s="24"/>
      <c r="T692" s="24"/>
      <c r="U692" s="24"/>
      <c r="V692" s="24"/>
      <c r="W692" s="24"/>
    </row>
    <row r="693">
      <c r="A693" s="24"/>
      <c r="B693" s="24"/>
      <c r="C693" s="24"/>
      <c r="D693" s="24"/>
      <c r="E693" s="24"/>
      <c r="F693" s="24"/>
      <c r="G693" s="24"/>
      <c r="H693" s="24"/>
      <c r="I693" s="24"/>
      <c r="J693" s="24"/>
      <c r="K693" s="24"/>
      <c r="L693" s="24"/>
      <c r="M693" s="24"/>
      <c r="N693" s="24"/>
      <c r="O693" s="24"/>
      <c r="P693" s="24"/>
      <c r="Q693" s="24"/>
      <c r="R693" s="24"/>
      <c r="S693" s="24"/>
      <c r="T693" s="24"/>
      <c r="U693" s="24"/>
      <c r="V693" s="24"/>
      <c r="W693" s="24"/>
    </row>
    <row r="694">
      <c r="A694" s="24"/>
      <c r="B694" s="24"/>
      <c r="C694" s="24"/>
      <c r="D694" s="24"/>
      <c r="E694" s="24"/>
      <c r="F694" s="24"/>
      <c r="G694" s="24"/>
      <c r="H694" s="24"/>
      <c r="I694" s="24"/>
      <c r="J694" s="24"/>
      <c r="K694" s="24"/>
      <c r="L694" s="24"/>
      <c r="M694" s="24"/>
      <c r="N694" s="24"/>
      <c r="O694" s="24"/>
      <c r="P694" s="24"/>
      <c r="Q694" s="24"/>
      <c r="R694" s="24"/>
      <c r="S694" s="24"/>
      <c r="T694" s="24"/>
      <c r="U694" s="24"/>
      <c r="V694" s="24"/>
      <c r="W694" s="24"/>
    </row>
    <row r="695">
      <c r="A695" s="24"/>
      <c r="B695" s="24"/>
      <c r="C695" s="24"/>
      <c r="D695" s="24"/>
      <c r="E695" s="24"/>
      <c r="F695" s="24"/>
      <c r="G695" s="24"/>
      <c r="H695" s="24"/>
      <c r="I695" s="24"/>
      <c r="J695" s="24"/>
      <c r="K695" s="24"/>
      <c r="L695" s="24"/>
      <c r="M695" s="24"/>
      <c r="N695" s="24"/>
      <c r="O695" s="24"/>
      <c r="P695" s="24"/>
      <c r="Q695" s="24"/>
      <c r="R695" s="24"/>
      <c r="S695" s="24"/>
      <c r="T695" s="24"/>
      <c r="U695" s="24"/>
      <c r="V695" s="24"/>
      <c r="W695" s="24"/>
    </row>
    <row r="696">
      <c r="A696" s="24"/>
      <c r="B696" s="24"/>
      <c r="C696" s="24"/>
      <c r="D696" s="24"/>
      <c r="E696" s="24"/>
      <c r="F696" s="24"/>
      <c r="G696" s="24"/>
      <c r="H696" s="24"/>
      <c r="I696" s="24"/>
      <c r="J696" s="24"/>
      <c r="K696" s="24"/>
      <c r="L696" s="24"/>
      <c r="M696" s="24"/>
      <c r="N696" s="24"/>
      <c r="O696" s="24"/>
      <c r="P696" s="24"/>
      <c r="Q696" s="24"/>
      <c r="R696" s="24"/>
      <c r="S696" s="24"/>
      <c r="T696" s="24"/>
      <c r="U696" s="24"/>
      <c r="V696" s="24"/>
      <c r="W696" s="24"/>
    </row>
    <row r="697">
      <c r="A697" s="24"/>
      <c r="B697" s="24"/>
      <c r="C697" s="24"/>
      <c r="D697" s="24"/>
      <c r="E697" s="24"/>
      <c r="F697" s="24"/>
      <c r="G697" s="24"/>
      <c r="H697" s="24"/>
      <c r="I697" s="24"/>
      <c r="J697" s="24"/>
      <c r="K697" s="24"/>
      <c r="L697" s="24"/>
      <c r="M697" s="24"/>
      <c r="N697" s="24"/>
      <c r="O697" s="24"/>
      <c r="P697" s="24"/>
      <c r="Q697" s="24"/>
      <c r="R697" s="24"/>
      <c r="S697" s="24"/>
      <c r="T697" s="24"/>
      <c r="U697" s="24"/>
      <c r="V697" s="24"/>
      <c r="W697" s="24"/>
    </row>
    <row r="698">
      <c r="A698" s="24"/>
      <c r="B698" s="24"/>
      <c r="C698" s="24"/>
      <c r="D698" s="24"/>
      <c r="E698" s="24"/>
      <c r="F698" s="24"/>
      <c r="G698" s="24"/>
      <c r="H698" s="24"/>
      <c r="I698" s="24"/>
      <c r="J698" s="24"/>
      <c r="K698" s="24"/>
      <c r="L698" s="24"/>
      <c r="M698" s="24"/>
      <c r="N698" s="24"/>
      <c r="O698" s="24"/>
      <c r="P698" s="24"/>
      <c r="Q698" s="24"/>
      <c r="R698" s="24"/>
      <c r="S698" s="24"/>
      <c r="T698" s="24"/>
      <c r="U698" s="24"/>
      <c r="V698" s="24"/>
      <c r="W698" s="24"/>
    </row>
    <row r="699">
      <c r="A699" s="24"/>
      <c r="B699" s="24"/>
      <c r="C699" s="24"/>
      <c r="D699" s="24"/>
      <c r="E699" s="24"/>
      <c r="F699" s="24"/>
      <c r="G699" s="24"/>
      <c r="H699" s="24"/>
      <c r="I699" s="24"/>
      <c r="J699" s="24"/>
      <c r="K699" s="24"/>
      <c r="L699" s="24"/>
      <c r="M699" s="24"/>
      <c r="N699" s="24"/>
      <c r="O699" s="24"/>
      <c r="P699" s="24"/>
      <c r="Q699" s="24"/>
      <c r="R699" s="24"/>
      <c r="S699" s="24"/>
      <c r="T699" s="24"/>
      <c r="U699" s="24"/>
      <c r="V699" s="24"/>
      <c r="W699" s="24"/>
    </row>
    <row r="700">
      <c r="A700" s="24"/>
      <c r="B700" s="24"/>
      <c r="C700" s="24"/>
      <c r="D700" s="24"/>
      <c r="E700" s="24"/>
      <c r="F700" s="24"/>
      <c r="G700" s="24"/>
      <c r="H700" s="24"/>
      <c r="I700" s="24"/>
      <c r="J700" s="24"/>
      <c r="K700" s="24"/>
      <c r="L700" s="24"/>
      <c r="M700" s="24"/>
      <c r="N700" s="24"/>
      <c r="O700" s="24"/>
      <c r="P700" s="24"/>
      <c r="Q700" s="24"/>
      <c r="R700" s="24"/>
      <c r="S700" s="24"/>
      <c r="T700" s="24"/>
      <c r="U700" s="24"/>
      <c r="V700" s="24"/>
      <c r="W700" s="24"/>
    </row>
    <row r="701">
      <c r="A701" s="24"/>
      <c r="B701" s="24"/>
      <c r="C701" s="24"/>
      <c r="D701" s="24"/>
      <c r="E701" s="24"/>
      <c r="F701" s="24"/>
      <c r="G701" s="24"/>
      <c r="H701" s="24"/>
      <c r="I701" s="24"/>
      <c r="J701" s="24"/>
      <c r="K701" s="24"/>
      <c r="L701" s="24"/>
      <c r="M701" s="24"/>
      <c r="N701" s="24"/>
      <c r="O701" s="24"/>
      <c r="P701" s="24"/>
      <c r="Q701" s="24"/>
      <c r="R701" s="24"/>
      <c r="S701" s="24"/>
      <c r="T701" s="24"/>
      <c r="U701" s="24"/>
      <c r="V701" s="24"/>
      <c r="W701" s="24"/>
    </row>
    <row r="702">
      <c r="A702" s="24"/>
      <c r="B702" s="24"/>
      <c r="C702" s="24"/>
      <c r="D702" s="24"/>
      <c r="E702" s="24"/>
      <c r="F702" s="24"/>
      <c r="G702" s="24"/>
      <c r="H702" s="24"/>
      <c r="I702" s="24"/>
      <c r="J702" s="24"/>
      <c r="K702" s="24"/>
      <c r="L702" s="24"/>
      <c r="M702" s="24"/>
      <c r="N702" s="24"/>
      <c r="O702" s="24"/>
      <c r="P702" s="24"/>
      <c r="Q702" s="24"/>
      <c r="R702" s="24"/>
      <c r="S702" s="24"/>
      <c r="T702" s="24"/>
      <c r="U702" s="24"/>
      <c r="V702" s="24"/>
      <c r="W702" s="24"/>
    </row>
    <row r="703">
      <c r="A703" s="24"/>
      <c r="B703" s="24"/>
      <c r="C703" s="24"/>
      <c r="D703" s="24"/>
      <c r="E703" s="24"/>
      <c r="F703" s="24"/>
      <c r="G703" s="24"/>
      <c r="H703" s="24"/>
      <c r="I703" s="24"/>
      <c r="J703" s="24"/>
      <c r="K703" s="24"/>
      <c r="L703" s="24"/>
      <c r="M703" s="24"/>
      <c r="N703" s="24"/>
      <c r="O703" s="24"/>
      <c r="P703" s="24"/>
      <c r="Q703" s="24"/>
      <c r="R703" s="24"/>
      <c r="S703" s="24"/>
      <c r="T703" s="24"/>
      <c r="U703" s="24"/>
      <c r="V703" s="24"/>
      <c r="W703" s="24"/>
    </row>
    <row r="704">
      <c r="A704" s="24"/>
      <c r="B704" s="24"/>
      <c r="C704" s="24"/>
      <c r="D704" s="24"/>
      <c r="E704" s="24"/>
      <c r="F704" s="24"/>
      <c r="G704" s="24"/>
      <c r="H704" s="24"/>
      <c r="I704" s="24"/>
      <c r="J704" s="24"/>
      <c r="K704" s="24"/>
      <c r="L704" s="24"/>
      <c r="M704" s="24"/>
      <c r="N704" s="24"/>
      <c r="O704" s="24"/>
      <c r="P704" s="24"/>
      <c r="Q704" s="24"/>
      <c r="R704" s="24"/>
      <c r="S704" s="24"/>
      <c r="T704" s="24"/>
      <c r="U704" s="24"/>
      <c r="V704" s="24"/>
      <c r="W704" s="24"/>
    </row>
    <row r="705">
      <c r="A705" s="24"/>
      <c r="B705" s="24"/>
      <c r="C705" s="24"/>
      <c r="D705" s="24"/>
      <c r="E705" s="24"/>
      <c r="F705" s="24"/>
      <c r="G705" s="24"/>
      <c r="H705" s="24"/>
      <c r="I705" s="24"/>
      <c r="J705" s="24"/>
      <c r="K705" s="24"/>
      <c r="L705" s="24"/>
      <c r="M705" s="24"/>
      <c r="N705" s="24"/>
      <c r="O705" s="24"/>
      <c r="P705" s="24"/>
      <c r="Q705" s="24"/>
      <c r="R705" s="24"/>
      <c r="S705" s="24"/>
      <c r="T705" s="24"/>
      <c r="U705" s="24"/>
      <c r="V705" s="24"/>
      <c r="W705" s="24"/>
    </row>
    <row r="706">
      <c r="A706" s="24"/>
      <c r="B706" s="24"/>
      <c r="C706" s="24"/>
      <c r="D706" s="24"/>
      <c r="E706" s="24"/>
      <c r="F706" s="24"/>
      <c r="G706" s="24"/>
      <c r="H706" s="24"/>
      <c r="I706" s="24"/>
      <c r="J706" s="24"/>
      <c r="K706" s="24"/>
      <c r="L706" s="24"/>
      <c r="M706" s="24"/>
      <c r="N706" s="24"/>
      <c r="O706" s="24"/>
      <c r="P706" s="24"/>
      <c r="Q706" s="24"/>
      <c r="R706" s="24"/>
      <c r="S706" s="24"/>
      <c r="T706" s="24"/>
      <c r="U706" s="24"/>
      <c r="V706" s="24"/>
      <c r="W706" s="24"/>
    </row>
    <row r="707">
      <c r="A707" s="24"/>
      <c r="B707" s="24"/>
      <c r="C707" s="24"/>
      <c r="D707" s="24"/>
      <c r="E707" s="24"/>
      <c r="F707" s="24"/>
      <c r="G707" s="24"/>
      <c r="H707" s="24"/>
      <c r="I707" s="24"/>
      <c r="J707" s="24"/>
      <c r="K707" s="24"/>
      <c r="L707" s="24"/>
      <c r="M707" s="24"/>
      <c r="N707" s="24"/>
      <c r="O707" s="24"/>
      <c r="P707" s="24"/>
      <c r="Q707" s="24"/>
      <c r="R707" s="24"/>
      <c r="S707" s="24"/>
      <c r="T707" s="24"/>
      <c r="U707" s="24"/>
      <c r="V707" s="24"/>
      <c r="W707" s="24"/>
    </row>
    <row r="708">
      <c r="A708" s="24"/>
      <c r="B708" s="24"/>
      <c r="C708" s="24"/>
      <c r="D708" s="24"/>
      <c r="E708" s="24"/>
      <c r="F708" s="24"/>
      <c r="G708" s="24"/>
      <c r="H708" s="24"/>
      <c r="I708" s="24"/>
      <c r="J708" s="24"/>
      <c r="K708" s="24"/>
      <c r="L708" s="24"/>
      <c r="M708" s="24"/>
      <c r="N708" s="24"/>
      <c r="O708" s="24"/>
      <c r="P708" s="24"/>
      <c r="Q708" s="24"/>
      <c r="R708" s="24"/>
      <c r="S708" s="24"/>
      <c r="T708" s="24"/>
      <c r="U708" s="24"/>
      <c r="V708" s="24"/>
      <c r="W708" s="24"/>
    </row>
    <row r="709">
      <c r="A709" s="24"/>
      <c r="B709" s="24"/>
      <c r="C709" s="24"/>
      <c r="D709" s="24"/>
      <c r="E709" s="24"/>
      <c r="F709" s="24"/>
      <c r="G709" s="24"/>
      <c r="H709" s="24"/>
      <c r="I709" s="24"/>
      <c r="J709" s="24"/>
      <c r="K709" s="24"/>
      <c r="L709" s="24"/>
      <c r="M709" s="24"/>
      <c r="N709" s="24"/>
      <c r="O709" s="24"/>
      <c r="P709" s="24"/>
      <c r="Q709" s="24"/>
      <c r="R709" s="24"/>
      <c r="S709" s="24"/>
      <c r="T709" s="24"/>
      <c r="U709" s="24"/>
      <c r="V709" s="24"/>
      <c r="W709" s="24"/>
    </row>
    <row r="710">
      <c r="A710" s="24"/>
      <c r="B710" s="24"/>
      <c r="C710" s="24"/>
      <c r="D710" s="24"/>
      <c r="E710" s="24"/>
      <c r="F710" s="24"/>
      <c r="G710" s="24"/>
      <c r="H710" s="24"/>
      <c r="I710" s="24"/>
      <c r="J710" s="24"/>
      <c r="K710" s="24"/>
      <c r="L710" s="24"/>
      <c r="M710" s="24"/>
      <c r="N710" s="24"/>
      <c r="O710" s="24"/>
      <c r="P710" s="24"/>
      <c r="Q710" s="24"/>
      <c r="R710" s="24"/>
      <c r="S710" s="24"/>
      <c r="T710" s="24"/>
      <c r="U710" s="24"/>
      <c r="V710" s="24"/>
      <c r="W710" s="24"/>
    </row>
    <row r="711">
      <c r="A711" s="24"/>
      <c r="B711" s="24"/>
      <c r="C711" s="24"/>
      <c r="D711" s="24"/>
      <c r="E711" s="24"/>
      <c r="F711" s="24"/>
      <c r="G711" s="24"/>
      <c r="H711" s="24"/>
      <c r="I711" s="24"/>
      <c r="J711" s="24"/>
      <c r="K711" s="24"/>
      <c r="L711" s="24"/>
      <c r="M711" s="24"/>
      <c r="N711" s="24"/>
      <c r="O711" s="24"/>
      <c r="P711" s="24"/>
      <c r="Q711" s="24"/>
      <c r="R711" s="24"/>
      <c r="S711" s="24"/>
      <c r="T711" s="24"/>
      <c r="U711" s="24"/>
      <c r="V711" s="24"/>
      <c r="W711" s="24"/>
    </row>
    <row r="712">
      <c r="A712" s="24"/>
      <c r="B712" s="24"/>
      <c r="C712" s="24"/>
      <c r="D712" s="24"/>
      <c r="E712" s="24"/>
      <c r="F712" s="24"/>
      <c r="G712" s="24"/>
      <c r="H712" s="24"/>
      <c r="I712" s="24"/>
      <c r="J712" s="24"/>
      <c r="K712" s="24"/>
      <c r="L712" s="24"/>
      <c r="M712" s="24"/>
      <c r="N712" s="24"/>
      <c r="O712" s="24"/>
      <c r="P712" s="24"/>
      <c r="Q712" s="24"/>
      <c r="R712" s="24"/>
      <c r="S712" s="24"/>
      <c r="T712" s="24"/>
      <c r="U712" s="24"/>
      <c r="V712" s="24"/>
      <c r="W712" s="24"/>
    </row>
    <row r="713">
      <c r="A713" s="24"/>
      <c r="B713" s="24"/>
      <c r="C713" s="24"/>
      <c r="D713" s="24"/>
      <c r="E713" s="24"/>
      <c r="F713" s="24"/>
      <c r="G713" s="24"/>
      <c r="H713" s="24"/>
      <c r="I713" s="24"/>
      <c r="J713" s="24"/>
      <c r="K713" s="24"/>
      <c r="L713" s="24"/>
      <c r="M713" s="24"/>
      <c r="N713" s="24"/>
      <c r="O713" s="24"/>
      <c r="P713" s="24"/>
      <c r="Q713" s="24"/>
      <c r="R713" s="24"/>
      <c r="S713" s="24"/>
      <c r="T713" s="24"/>
      <c r="U713" s="24"/>
      <c r="V713" s="24"/>
      <c r="W713" s="24"/>
    </row>
    <row r="714">
      <c r="A714" s="24"/>
      <c r="B714" s="24"/>
      <c r="C714" s="24"/>
      <c r="D714" s="24"/>
      <c r="E714" s="24"/>
      <c r="F714" s="24"/>
      <c r="G714" s="24"/>
      <c r="H714" s="24"/>
      <c r="I714" s="24"/>
      <c r="J714" s="24"/>
      <c r="K714" s="24"/>
      <c r="L714" s="24"/>
      <c r="M714" s="24"/>
      <c r="N714" s="24"/>
      <c r="O714" s="24"/>
      <c r="P714" s="24"/>
      <c r="Q714" s="24"/>
      <c r="R714" s="24"/>
      <c r="S714" s="24"/>
      <c r="T714" s="24"/>
      <c r="U714" s="24"/>
      <c r="V714" s="24"/>
      <c r="W714" s="24"/>
    </row>
    <row r="715">
      <c r="A715" s="24"/>
      <c r="B715" s="24"/>
      <c r="C715" s="24"/>
      <c r="D715" s="24"/>
      <c r="E715" s="24"/>
      <c r="F715" s="24"/>
      <c r="G715" s="24"/>
      <c r="H715" s="24"/>
      <c r="I715" s="24"/>
      <c r="J715" s="24"/>
      <c r="K715" s="24"/>
      <c r="L715" s="24"/>
      <c r="M715" s="24"/>
      <c r="N715" s="24"/>
      <c r="O715" s="24"/>
      <c r="P715" s="24"/>
      <c r="Q715" s="24"/>
      <c r="R715" s="24"/>
      <c r="S715" s="24"/>
      <c r="T715" s="24"/>
      <c r="U715" s="24"/>
      <c r="V715" s="24"/>
      <c r="W715" s="24"/>
    </row>
    <row r="716">
      <c r="A716" s="24"/>
      <c r="B716" s="24"/>
      <c r="C716" s="24"/>
      <c r="D716" s="24"/>
      <c r="E716" s="24"/>
      <c r="F716" s="24"/>
      <c r="G716" s="24"/>
      <c r="H716" s="24"/>
      <c r="I716" s="24"/>
      <c r="J716" s="24"/>
      <c r="K716" s="24"/>
      <c r="L716" s="24"/>
      <c r="M716" s="24"/>
      <c r="N716" s="24"/>
      <c r="O716" s="24"/>
      <c r="P716" s="24"/>
      <c r="Q716" s="24"/>
      <c r="R716" s="24"/>
      <c r="S716" s="24"/>
      <c r="T716" s="24"/>
      <c r="U716" s="24"/>
      <c r="V716" s="24"/>
      <c r="W716" s="24"/>
    </row>
    <row r="717">
      <c r="A717" s="24"/>
      <c r="B717" s="24"/>
      <c r="C717" s="24"/>
      <c r="D717" s="24"/>
      <c r="E717" s="24"/>
      <c r="F717" s="24"/>
      <c r="G717" s="24"/>
      <c r="H717" s="24"/>
      <c r="I717" s="24"/>
      <c r="J717" s="24"/>
      <c r="K717" s="24"/>
      <c r="L717" s="24"/>
      <c r="M717" s="24"/>
      <c r="N717" s="24"/>
      <c r="O717" s="24"/>
      <c r="P717" s="24"/>
      <c r="Q717" s="24"/>
      <c r="R717" s="24"/>
      <c r="S717" s="24"/>
      <c r="T717" s="24"/>
      <c r="U717" s="24"/>
      <c r="V717" s="24"/>
      <c r="W717" s="24"/>
    </row>
    <row r="718">
      <c r="A718" s="24"/>
      <c r="B718" s="24"/>
      <c r="C718" s="24"/>
      <c r="D718" s="24"/>
      <c r="E718" s="24"/>
      <c r="F718" s="24"/>
      <c r="G718" s="24"/>
      <c r="H718" s="24"/>
      <c r="I718" s="24"/>
      <c r="J718" s="24"/>
      <c r="K718" s="24"/>
      <c r="L718" s="24"/>
      <c r="M718" s="24"/>
      <c r="N718" s="24"/>
      <c r="O718" s="24"/>
      <c r="P718" s="24"/>
      <c r="Q718" s="24"/>
      <c r="R718" s="24"/>
      <c r="S718" s="24"/>
      <c r="T718" s="24"/>
      <c r="U718" s="24"/>
      <c r="V718" s="24"/>
      <c r="W718" s="24"/>
    </row>
    <row r="719">
      <c r="A719" s="24"/>
      <c r="B719" s="24"/>
      <c r="C719" s="24"/>
      <c r="D719" s="24"/>
      <c r="E719" s="24"/>
      <c r="F719" s="24"/>
      <c r="G719" s="24"/>
      <c r="H719" s="24"/>
      <c r="I719" s="24"/>
      <c r="J719" s="24"/>
      <c r="K719" s="24"/>
      <c r="L719" s="24"/>
      <c r="M719" s="24"/>
      <c r="N719" s="24"/>
      <c r="O719" s="24"/>
      <c r="P719" s="24"/>
      <c r="Q719" s="24"/>
      <c r="R719" s="24"/>
      <c r="S719" s="24"/>
      <c r="T719" s="24"/>
      <c r="U719" s="24"/>
      <c r="V719" s="24"/>
      <c r="W719" s="24"/>
    </row>
    <row r="720">
      <c r="A720" s="24"/>
      <c r="B720" s="24"/>
      <c r="C720" s="24"/>
      <c r="D720" s="24"/>
      <c r="E720" s="24"/>
      <c r="F720" s="24"/>
      <c r="G720" s="24"/>
      <c r="H720" s="24"/>
      <c r="I720" s="24"/>
      <c r="J720" s="24"/>
      <c r="K720" s="24"/>
      <c r="L720" s="24"/>
      <c r="M720" s="24"/>
      <c r="N720" s="24"/>
      <c r="O720" s="24"/>
      <c r="P720" s="24"/>
      <c r="Q720" s="24"/>
      <c r="R720" s="24"/>
      <c r="S720" s="24"/>
      <c r="T720" s="24"/>
      <c r="U720" s="24"/>
      <c r="V720" s="24"/>
      <c r="W720" s="24"/>
    </row>
    <row r="721">
      <c r="A721" s="24"/>
      <c r="B721" s="24"/>
      <c r="C721" s="24"/>
      <c r="D721" s="24"/>
      <c r="E721" s="24"/>
      <c r="F721" s="24"/>
      <c r="G721" s="24"/>
      <c r="H721" s="24"/>
      <c r="I721" s="24"/>
      <c r="J721" s="24"/>
      <c r="K721" s="24"/>
      <c r="L721" s="24"/>
      <c r="M721" s="24"/>
      <c r="N721" s="24"/>
      <c r="O721" s="24"/>
      <c r="P721" s="24"/>
      <c r="Q721" s="24"/>
      <c r="R721" s="24"/>
      <c r="S721" s="24"/>
      <c r="T721" s="24"/>
      <c r="U721" s="24"/>
      <c r="V721" s="24"/>
      <c r="W721" s="24"/>
    </row>
    <row r="722">
      <c r="A722" s="24"/>
      <c r="B722" s="24"/>
      <c r="C722" s="24"/>
      <c r="D722" s="24"/>
      <c r="E722" s="24"/>
      <c r="F722" s="24"/>
      <c r="G722" s="24"/>
      <c r="H722" s="24"/>
      <c r="I722" s="24"/>
      <c r="J722" s="24"/>
      <c r="K722" s="24"/>
      <c r="L722" s="24"/>
      <c r="M722" s="24"/>
      <c r="N722" s="24"/>
      <c r="O722" s="24"/>
      <c r="P722" s="24"/>
      <c r="Q722" s="24"/>
      <c r="R722" s="24"/>
      <c r="S722" s="24"/>
      <c r="T722" s="24"/>
      <c r="U722" s="24"/>
      <c r="V722" s="24"/>
      <c r="W722" s="24"/>
    </row>
    <row r="723">
      <c r="A723" s="24"/>
      <c r="B723" s="24"/>
      <c r="C723" s="24"/>
      <c r="D723" s="24"/>
      <c r="E723" s="24"/>
      <c r="F723" s="24"/>
      <c r="G723" s="24"/>
      <c r="H723" s="24"/>
      <c r="I723" s="24"/>
      <c r="J723" s="24"/>
      <c r="K723" s="24"/>
      <c r="L723" s="24"/>
      <c r="M723" s="24"/>
      <c r="N723" s="24"/>
      <c r="O723" s="24"/>
      <c r="P723" s="24"/>
      <c r="Q723" s="24"/>
      <c r="R723" s="24"/>
      <c r="S723" s="24"/>
      <c r="T723" s="24"/>
      <c r="U723" s="24"/>
      <c r="V723" s="24"/>
      <c r="W723" s="24"/>
    </row>
    <row r="724">
      <c r="A724" s="24"/>
      <c r="B724" s="24"/>
      <c r="C724" s="24"/>
      <c r="D724" s="24"/>
      <c r="E724" s="24"/>
      <c r="F724" s="24"/>
      <c r="G724" s="24"/>
      <c r="H724" s="24"/>
      <c r="I724" s="24"/>
      <c r="J724" s="24"/>
      <c r="K724" s="24"/>
      <c r="L724" s="24"/>
      <c r="M724" s="24"/>
      <c r="N724" s="24"/>
      <c r="O724" s="24"/>
      <c r="P724" s="24"/>
      <c r="Q724" s="24"/>
      <c r="R724" s="24"/>
      <c r="S724" s="24"/>
      <c r="T724" s="24"/>
      <c r="U724" s="24"/>
      <c r="V724" s="24"/>
      <c r="W724" s="24"/>
    </row>
    <row r="725">
      <c r="A725" s="24"/>
      <c r="B725" s="24"/>
      <c r="C725" s="24"/>
      <c r="D725" s="24"/>
      <c r="E725" s="24"/>
      <c r="F725" s="24"/>
      <c r="G725" s="24"/>
      <c r="H725" s="24"/>
      <c r="I725" s="24"/>
      <c r="J725" s="24"/>
      <c r="K725" s="24"/>
      <c r="L725" s="24"/>
      <c r="M725" s="24"/>
      <c r="N725" s="24"/>
      <c r="O725" s="24"/>
      <c r="P725" s="24"/>
      <c r="Q725" s="24"/>
      <c r="R725" s="24"/>
      <c r="S725" s="24"/>
      <c r="T725" s="24"/>
      <c r="U725" s="24"/>
      <c r="V725" s="24"/>
      <c r="W725" s="24"/>
    </row>
    <row r="726">
      <c r="A726" s="24"/>
      <c r="B726" s="24"/>
      <c r="C726" s="24"/>
      <c r="D726" s="24"/>
      <c r="E726" s="24"/>
      <c r="F726" s="24"/>
      <c r="G726" s="24"/>
      <c r="H726" s="24"/>
      <c r="I726" s="24"/>
      <c r="J726" s="24"/>
      <c r="K726" s="24"/>
      <c r="L726" s="24"/>
      <c r="M726" s="24"/>
      <c r="N726" s="24"/>
      <c r="O726" s="24"/>
      <c r="P726" s="24"/>
      <c r="Q726" s="24"/>
      <c r="R726" s="24"/>
      <c r="S726" s="24"/>
      <c r="T726" s="24"/>
      <c r="U726" s="24"/>
      <c r="V726" s="24"/>
      <c r="W726" s="24"/>
    </row>
    <row r="727">
      <c r="A727" s="24"/>
      <c r="B727" s="24"/>
      <c r="C727" s="24"/>
      <c r="D727" s="24"/>
      <c r="E727" s="24"/>
      <c r="F727" s="24"/>
      <c r="G727" s="24"/>
      <c r="H727" s="24"/>
      <c r="I727" s="24"/>
      <c r="J727" s="24"/>
      <c r="K727" s="24"/>
      <c r="L727" s="24"/>
      <c r="M727" s="24"/>
      <c r="N727" s="24"/>
      <c r="O727" s="24"/>
      <c r="P727" s="24"/>
      <c r="Q727" s="24"/>
      <c r="R727" s="24"/>
      <c r="S727" s="24"/>
      <c r="T727" s="24"/>
      <c r="U727" s="24"/>
      <c r="V727" s="24"/>
      <c r="W727" s="24"/>
    </row>
    <row r="728">
      <c r="A728" s="24"/>
      <c r="B728" s="24"/>
      <c r="C728" s="24"/>
      <c r="D728" s="24"/>
      <c r="E728" s="24"/>
      <c r="F728" s="24"/>
      <c r="G728" s="24"/>
      <c r="H728" s="24"/>
      <c r="I728" s="24"/>
      <c r="J728" s="24"/>
      <c r="K728" s="24"/>
      <c r="L728" s="24"/>
      <c r="M728" s="24"/>
      <c r="N728" s="24"/>
      <c r="O728" s="24"/>
      <c r="P728" s="24"/>
      <c r="Q728" s="24"/>
      <c r="R728" s="24"/>
      <c r="S728" s="24"/>
      <c r="T728" s="24"/>
      <c r="U728" s="24"/>
      <c r="V728" s="24"/>
      <c r="W728" s="24"/>
    </row>
    <row r="729">
      <c r="A729" s="24"/>
      <c r="B729" s="24"/>
      <c r="C729" s="24"/>
      <c r="D729" s="24"/>
      <c r="E729" s="24"/>
      <c r="F729" s="24"/>
      <c r="G729" s="24"/>
      <c r="H729" s="24"/>
      <c r="I729" s="24"/>
      <c r="J729" s="24"/>
      <c r="K729" s="24"/>
      <c r="L729" s="24"/>
      <c r="M729" s="24"/>
      <c r="N729" s="24"/>
      <c r="O729" s="24"/>
      <c r="P729" s="24"/>
      <c r="Q729" s="24"/>
      <c r="R729" s="24"/>
      <c r="S729" s="24"/>
      <c r="T729" s="24"/>
      <c r="U729" s="24"/>
      <c r="V729" s="24"/>
      <c r="W729" s="24"/>
    </row>
    <row r="730">
      <c r="A730" s="24"/>
      <c r="B730" s="24"/>
      <c r="C730" s="24"/>
      <c r="D730" s="24"/>
      <c r="E730" s="24"/>
      <c r="F730" s="24"/>
      <c r="G730" s="24"/>
      <c r="H730" s="24"/>
      <c r="I730" s="24"/>
      <c r="J730" s="24"/>
      <c r="K730" s="24"/>
      <c r="L730" s="24"/>
      <c r="M730" s="24"/>
      <c r="N730" s="24"/>
      <c r="O730" s="24"/>
      <c r="P730" s="24"/>
      <c r="Q730" s="24"/>
      <c r="R730" s="24"/>
      <c r="S730" s="24"/>
      <c r="T730" s="24"/>
      <c r="U730" s="24"/>
      <c r="V730" s="24"/>
      <c r="W730" s="24"/>
    </row>
    <row r="731">
      <c r="A731" s="24"/>
      <c r="B731" s="24"/>
      <c r="C731" s="24"/>
      <c r="D731" s="24"/>
      <c r="E731" s="24"/>
      <c r="F731" s="24"/>
      <c r="G731" s="24"/>
      <c r="H731" s="24"/>
      <c r="I731" s="24"/>
      <c r="J731" s="24"/>
      <c r="K731" s="24"/>
      <c r="L731" s="24"/>
      <c r="M731" s="24"/>
      <c r="N731" s="24"/>
      <c r="O731" s="24"/>
      <c r="P731" s="24"/>
      <c r="Q731" s="24"/>
      <c r="R731" s="24"/>
      <c r="S731" s="24"/>
      <c r="T731" s="24"/>
      <c r="U731" s="24"/>
      <c r="V731" s="24"/>
      <c r="W731" s="24"/>
    </row>
    <row r="732">
      <c r="A732" s="24"/>
      <c r="B732" s="24"/>
      <c r="C732" s="24"/>
      <c r="D732" s="24"/>
      <c r="E732" s="24"/>
      <c r="F732" s="24"/>
      <c r="G732" s="24"/>
      <c r="H732" s="24"/>
      <c r="I732" s="24"/>
      <c r="J732" s="24"/>
      <c r="K732" s="24"/>
      <c r="L732" s="24"/>
      <c r="M732" s="24"/>
      <c r="N732" s="24"/>
      <c r="O732" s="24"/>
      <c r="P732" s="24"/>
      <c r="Q732" s="24"/>
      <c r="R732" s="24"/>
      <c r="S732" s="24"/>
      <c r="T732" s="24"/>
      <c r="U732" s="24"/>
      <c r="V732" s="24"/>
      <c r="W732" s="24"/>
    </row>
    <row r="733">
      <c r="A733" s="24"/>
      <c r="B733" s="24"/>
      <c r="C733" s="24"/>
      <c r="D733" s="24"/>
      <c r="E733" s="24"/>
      <c r="F733" s="24"/>
      <c r="G733" s="24"/>
      <c r="H733" s="24"/>
      <c r="I733" s="24"/>
      <c r="J733" s="24"/>
      <c r="K733" s="24"/>
      <c r="L733" s="24"/>
      <c r="M733" s="24"/>
      <c r="N733" s="24"/>
      <c r="O733" s="24"/>
      <c r="P733" s="24"/>
      <c r="Q733" s="24"/>
      <c r="R733" s="24"/>
      <c r="S733" s="24"/>
      <c r="T733" s="24"/>
      <c r="U733" s="24"/>
      <c r="V733" s="24"/>
      <c r="W733" s="24"/>
    </row>
    <row r="734">
      <c r="A734" s="24"/>
      <c r="B734" s="24"/>
      <c r="C734" s="24"/>
      <c r="D734" s="24"/>
      <c r="E734" s="24"/>
      <c r="F734" s="24"/>
      <c r="G734" s="24"/>
      <c r="H734" s="24"/>
      <c r="I734" s="24"/>
      <c r="J734" s="24"/>
      <c r="K734" s="24"/>
      <c r="L734" s="24"/>
      <c r="M734" s="24"/>
      <c r="N734" s="24"/>
      <c r="O734" s="24"/>
      <c r="P734" s="24"/>
      <c r="Q734" s="24"/>
      <c r="R734" s="24"/>
      <c r="S734" s="24"/>
      <c r="T734" s="24"/>
      <c r="U734" s="24"/>
      <c r="V734" s="24"/>
      <c r="W734" s="24"/>
    </row>
    <row r="735">
      <c r="A735" s="24"/>
      <c r="B735" s="24"/>
      <c r="C735" s="24"/>
      <c r="D735" s="24"/>
      <c r="E735" s="24"/>
      <c r="F735" s="24"/>
      <c r="G735" s="24"/>
      <c r="H735" s="24"/>
      <c r="I735" s="24"/>
      <c r="J735" s="24"/>
      <c r="K735" s="24"/>
      <c r="L735" s="24"/>
      <c r="M735" s="24"/>
      <c r="N735" s="24"/>
      <c r="O735" s="24"/>
      <c r="P735" s="24"/>
      <c r="Q735" s="24"/>
      <c r="R735" s="24"/>
      <c r="S735" s="24"/>
      <c r="T735" s="24"/>
      <c r="U735" s="24"/>
      <c r="V735" s="24"/>
      <c r="W735" s="24"/>
    </row>
    <row r="736">
      <c r="A736" s="24"/>
      <c r="B736" s="24"/>
      <c r="C736" s="24"/>
      <c r="D736" s="24"/>
      <c r="E736" s="24"/>
      <c r="F736" s="24"/>
      <c r="G736" s="24"/>
      <c r="H736" s="24"/>
      <c r="I736" s="24"/>
      <c r="J736" s="24"/>
      <c r="K736" s="24"/>
      <c r="L736" s="24"/>
      <c r="M736" s="24"/>
      <c r="N736" s="24"/>
      <c r="O736" s="24"/>
      <c r="P736" s="24"/>
      <c r="Q736" s="24"/>
      <c r="R736" s="24"/>
      <c r="S736" s="24"/>
      <c r="T736" s="24"/>
      <c r="U736" s="24"/>
      <c r="V736" s="24"/>
      <c r="W736" s="24"/>
    </row>
    <row r="737">
      <c r="A737" s="24"/>
      <c r="B737" s="24"/>
      <c r="C737" s="24"/>
      <c r="D737" s="24"/>
      <c r="E737" s="24"/>
      <c r="F737" s="24"/>
      <c r="G737" s="24"/>
      <c r="H737" s="24"/>
      <c r="I737" s="24"/>
      <c r="J737" s="24"/>
      <c r="K737" s="24"/>
      <c r="L737" s="24"/>
      <c r="M737" s="24"/>
      <c r="N737" s="24"/>
      <c r="O737" s="24"/>
      <c r="P737" s="24"/>
      <c r="Q737" s="24"/>
      <c r="R737" s="24"/>
      <c r="S737" s="24"/>
      <c r="T737" s="24"/>
      <c r="U737" s="24"/>
      <c r="V737" s="24"/>
      <c r="W737" s="24"/>
    </row>
    <row r="738">
      <c r="A738" s="24"/>
      <c r="B738" s="24"/>
      <c r="C738" s="24"/>
      <c r="D738" s="24"/>
      <c r="E738" s="24"/>
      <c r="F738" s="24"/>
      <c r="G738" s="24"/>
      <c r="H738" s="24"/>
      <c r="I738" s="24"/>
      <c r="J738" s="24"/>
      <c r="K738" s="24"/>
      <c r="L738" s="24"/>
      <c r="M738" s="24"/>
      <c r="N738" s="24"/>
      <c r="O738" s="24"/>
      <c r="P738" s="24"/>
      <c r="Q738" s="24"/>
      <c r="R738" s="24"/>
      <c r="S738" s="24"/>
      <c r="T738" s="24"/>
      <c r="U738" s="24"/>
      <c r="V738" s="24"/>
      <c r="W738" s="24"/>
    </row>
    <row r="739">
      <c r="A739" s="24"/>
      <c r="B739" s="24"/>
      <c r="C739" s="24"/>
      <c r="D739" s="24"/>
      <c r="E739" s="24"/>
      <c r="F739" s="24"/>
      <c r="G739" s="24"/>
      <c r="H739" s="24"/>
      <c r="I739" s="24"/>
      <c r="J739" s="24"/>
      <c r="K739" s="24"/>
      <c r="L739" s="24"/>
      <c r="M739" s="24"/>
      <c r="N739" s="24"/>
      <c r="O739" s="24"/>
      <c r="P739" s="24"/>
      <c r="Q739" s="24"/>
      <c r="R739" s="24"/>
      <c r="S739" s="24"/>
      <c r="T739" s="24"/>
      <c r="U739" s="24"/>
      <c r="V739" s="24"/>
      <c r="W739" s="24"/>
    </row>
    <row r="740">
      <c r="A740" s="24"/>
      <c r="B740" s="24"/>
      <c r="C740" s="24"/>
      <c r="D740" s="24"/>
      <c r="E740" s="24"/>
      <c r="F740" s="24"/>
      <c r="G740" s="24"/>
      <c r="H740" s="24"/>
      <c r="I740" s="24"/>
      <c r="J740" s="24"/>
      <c r="K740" s="24"/>
      <c r="L740" s="24"/>
      <c r="M740" s="24"/>
      <c r="N740" s="24"/>
      <c r="O740" s="24"/>
      <c r="P740" s="24"/>
      <c r="Q740" s="24"/>
      <c r="R740" s="24"/>
      <c r="S740" s="24"/>
      <c r="T740" s="24"/>
      <c r="U740" s="24"/>
      <c r="V740" s="24"/>
      <c r="W740" s="24"/>
    </row>
    <row r="741">
      <c r="A741" s="24"/>
      <c r="B741" s="24"/>
      <c r="C741" s="24"/>
      <c r="D741" s="24"/>
      <c r="E741" s="24"/>
      <c r="F741" s="24"/>
      <c r="G741" s="24"/>
      <c r="H741" s="24"/>
      <c r="I741" s="24"/>
      <c r="J741" s="24"/>
      <c r="K741" s="24"/>
      <c r="L741" s="24"/>
      <c r="M741" s="24"/>
      <c r="N741" s="24"/>
      <c r="O741" s="24"/>
      <c r="P741" s="24"/>
      <c r="Q741" s="24"/>
      <c r="R741" s="24"/>
      <c r="S741" s="24"/>
      <c r="T741" s="24"/>
      <c r="U741" s="24"/>
      <c r="V741" s="24"/>
      <c r="W741" s="24"/>
    </row>
    <row r="742">
      <c r="A742" s="24"/>
      <c r="B742" s="24"/>
      <c r="C742" s="24"/>
      <c r="D742" s="24"/>
      <c r="E742" s="24"/>
      <c r="F742" s="24"/>
      <c r="G742" s="24"/>
      <c r="H742" s="24"/>
      <c r="I742" s="24"/>
      <c r="J742" s="24"/>
      <c r="K742" s="24"/>
      <c r="L742" s="24"/>
      <c r="M742" s="24"/>
      <c r="N742" s="24"/>
      <c r="O742" s="24"/>
      <c r="P742" s="24"/>
      <c r="Q742" s="24"/>
      <c r="R742" s="24"/>
      <c r="S742" s="24"/>
      <c r="T742" s="24"/>
      <c r="U742" s="24"/>
      <c r="V742" s="24"/>
      <c r="W742" s="24"/>
    </row>
    <row r="743">
      <c r="A743" s="24"/>
      <c r="B743" s="24"/>
      <c r="C743" s="24"/>
      <c r="D743" s="24"/>
      <c r="E743" s="24"/>
      <c r="F743" s="24"/>
      <c r="G743" s="24"/>
      <c r="H743" s="24"/>
      <c r="I743" s="24"/>
      <c r="J743" s="24"/>
      <c r="K743" s="24"/>
      <c r="L743" s="24"/>
      <c r="M743" s="24"/>
      <c r="N743" s="24"/>
      <c r="O743" s="24"/>
      <c r="P743" s="24"/>
      <c r="Q743" s="24"/>
      <c r="R743" s="24"/>
      <c r="S743" s="24"/>
      <c r="T743" s="24"/>
      <c r="U743" s="24"/>
      <c r="V743" s="24"/>
      <c r="W743" s="24"/>
    </row>
    <row r="744">
      <c r="A744" s="24"/>
      <c r="B744" s="24"/>
      <c r="C744" s="24"/>
      <c r="D744" s="24"/>
      <c r="E744" s="24"/>
      <c r="F744" s="24"/>
      <c r="G744" s="24"/>
      <c r="H744" s="24"/>
      <c r="I744" s="24"/>
      <c r="J744" s="24"/>
      <c r="K744" s="24"/>
      <c r="L744" s="24"/>
      <c r="M744" s="24"/>
      <c r="N744" s="24"/>
      <c r="O744" s="24"/>
      <c r="P744" s="24"/>
      <c r="Q744" s="24"/>
      <c r="R744" s="24"/>
      <c r="S744" s="24"/>
      <c r="T744" s="24"/>
      <c r="U744" s="24"/>
      <c r="V744" s="24"/>
      <c r="W744" s="24"/>
    </row>
    <row r="745">
      <c r="A745" s="24"/>
      <c r="B745" s="24"/>
      <c r="C745" s="24"/>
      <c r="D745" s="24"/>
      <c r="E745" s="24"/>
      <c r="F745" s="24"/>
      <c r="G745" s="24"/>
      <c r="H745" s="24"/>
      <c r="I745" s="24"/>
      <c r="J745" s="24"/>
      <c r="K745" s="24"/>
      <c r="L745" s="24"/>
      <c r="M745" s="24"/>
      <c r="N745" s="24"/>
      <c r="O745" s="24"/>
      <c r="P745" s="24"/>
      <c r="Q745" s="24"/>
      <c r="R745" s="24"/>
      <c r="S745" s="24"/>
      <c r="T745" s="24"/>
      <c r="U745" s="24"/>
      <c r="V745" s="24"/>
      <c r="W745" s="24"/>
    </row>
    <row r="746">
      <c r="A746" s="24"/>
      <c r="B746" s="24"/>
      <c r="C746" s="24"/>
      <c r="D746" s="24"/>
      <c r="E746" s="24"/>
      <c r="F746" s="24"/>
      <c r="G746" s="24"/>
      <c r="H746" s="24"/>
      <c r="I746" s="24"/>
      <c r="J746" s="24"/>
      <c r="K746" s="24"/>
      <c r="L746" s="24"/>
      <c r="M746" s="24"/>
      <c r="N746" s="24"/>
      <c r="O746" s="24"/>
      <c r="P746" s="24"/>
      <c r="Q746" s="24"/>
      <c r="R746" s="24"/>
      <c r="S746" s="24"/>
      <c r="T746" s="24"/>
      <c r="U746" s="24"/>
      <c r="V746" s="24"/>
      <c r="W746" s="24"/>
    </row>
    <row r="747">
      <c r="A747" s="24"/>
      <c r="B747" s="24"/>
      <c r="C747" s="24"/>
      <c r="D747" s="24"/>
      <c r="E747" s="24"/>
      <c r="F747" s="24"/>
      <c r="G747" s="24"/>
      <c r="H747" s="24"/>
      <c r="I747" s="24"/>
      <c r="J747" s="24"/>
      <c r="K747" s="24"/>
      <c r="L747" s="24"/>
      <c r="M747" s="24"/>
      <c r="N747" s="24"/>
      <c r="O747" s="24"/>
      <c r="P747" s="24"/>
      <c r="Q747" s="24"/>
      <c r="R747" s="24"/>
      <c r="S747" s="24"/>
      <c r="T747" s="24"/>
      <c r="U747" s="24"/>
      <c r="V747" s="24"/>
      <c r="W747" s="24"/>
    </row>
    <row r="748">
      <c r="A748" s="24"/>
      <c r="B748" s="24"/>
      <c r="C748" s="24"/>
      <c r="D748" s="24"/>
      <c r="E748" s="24"/>
      <c r="F748" s="24"/>
      <c r="G748" s="24"/>
      <c r="H748" s="24"/>
      <c r="I748" s="24"/>
      <c r="J748" s="24"/>
      <c r="K748" s="24"/>
      <c r="L748" s="24"/>
      <c r="M748" s="24"/>
      <c r="N748" s="24"/>
      <c r="O748" s="24"/>
      <c r="P748" s="24"/>
      <c r="Q748" s="24"/>
      <c r="R748" s="24"/>
      <c r="S748" s="24"/>
      <c r="T748" s="24"/>
      <c r="U748" s="24"/>
      <c r="V748" s="24"/>
      <c r="W748" s="24"/>
    </row>
    <row r="749">
      <c r="A749" s="24"/>
      <c r="B749" s="24"/>
      <c r="C749" s="24"/>
      <c r="D749" s="24"/>
      <c r="E749" s="24"/>
      <c r="F749" s="24"/>
      <c r="G749" s="24"/>
      <c r="H749" s="24"/>
      <c r="I749" s="24"/>
      <c r="J749" s="24"/>
      <c r="K749" s="24"/>
      <c r="L749" s="24"/>
      <c r="M749" s="24"/>
      <c r="N749" s="24"/>
      <c r="O749" s="24"/>
      <c r="P749" s="24"/>
      <c r="Q749" s="24"/>
      <c r="R749" s="24"/>
      <c r="S749" s="24"/>
      <c r="T749" s="24"/>
      <c r="U749" s="24"/>
      <c r="V749" s="24"/>
      <c r="W749" s="24"/>
    </row>
    <row r="750">
      <c r="A750" s="24"/>
      <c r="B750" s="24"/>
      <c r="C750" s="24"/>
      <c r="D750" s="24"/>
      <c r="E750" s="24"/>
      <c r="F750" s="24"/>
      <c r="G750" s="24"/>
      <c r="H750" s="24"/>
      <c r="I750" s="24"/>
      <c r="J750" s="24"/>
      <c r="K750" s="24"/>
      <c r="L750" s="24"/>
      <c r="M750" s="24"/>
      <c r="N750" s="24"/>
      <c r="O750" s="24"/>
      <c r="P750" s="24"/>
      <c r="Q750" s="24"/>
      <c r="R750" s="24"/>
      <c r="S750" s="24"/>
      <c r="T750" s="24"/>
      <c r="U750" s="24"/>
      <c r="V750" s="24"/>
      <c r="W750" s="24"/>
    </row>
    <row r="751">
      <c r="A751" s="24"/>
      <c r="B751" s="24"/>
      <c r="C751" s="24"/>
      <c r="D751" s="24"/>
      <c r="E751" s="24"/>
      <c r="F751" s="24"/>
      <c r="G751" s="24"/>
      <c r="H751" s="24"/>
      <c r="I751" s="24"/>
      <c r="J751" s="24"/>
      <c r="K751" s="24"/>
      <c r="L751" s="24"/>
      <c r="M751" s="24"/>
      <c r="N751" s="24"/>
      <c r="O751" s="24"/>
      <c r="P751" s="24"/>
      <c r="Q751" s="24"/>
      <c r="R751" s="24"/>
      <c r="S751" s="24"/>
      <c r="T751" s="24"/>
      <c r="U751" s="24"/>
      <c r="V751" s="24"/>
      <c r="W751" s="24"/>
    </row>
    <row r="752">
      <c r="A752" s="24"/>
      <c r="B752" s="24"/>
      <c r="C752" s="24"/>
      <c r="D752" s="24"/>
      <c r="E752" s="24"/>
      <c r="F752" s="24"/>
      <c r="G752" s="24"/>
      <c r="H752" s="24"/>
      <c r="I752" s="24"/>
      <c r="J752" s="24"/>
      <c r="K752" s="24"/>
      <c r="L752" s="24"/>
      <c r="M752" s="24"/>
      <c r="N752" s="24"/>
      <c r="O752" s="24"/>
      <c r="P752" s="24"/>
      <c r="Q752" s="24"/>
      <c r="R752" s="24"/>
      <c r="S752" s="24"/>
      <c r="T752" s="24"/>
      <c r="U752" s="24"/>
      <c r="V752" s="24"/>
      <c r="W752" s="24"/>
    </row>
    <row r="753">
      <c r="A753" s="24"/>
      <c r="B753" s="24"/>
      <c r="C753" s="24"/>
      <c r="D753" s="24"/>
      <c r="E753" s="24"/>
      <c r="F753" s="24"/>
      <c r="G753" s="24"/>
      <c r="H753" s="24"/>
      <c r="I753" s="24"/>
      <c r="J753" s="24"/>
      <c r="K753" s="24"/>
      <c r="L753" s="24"/>
      <c r="M753" s="24"/>
      <c r="N753" s="24"/>
      <c r="O753" s="24"/>
      <c r="P753" s="24"/>
      <c r="Q753" s="24"/>
      <c r="R753" s="24"/>
      <c r="S753" s="24"/>
      <c r="T753" s="24"/>
      <c r="U753" s="24"/>
      <c r="V753" s="24"/>
      <c r="W753" s="24"/>
    </row>
    <row r="754">
      <c r="A754" s="24"/>
      <c r="B754" s="24"/>
      <c r="C754" s="24"/>
      <c r="D754" s="24"/>
      <c r="E754" s="24"/>
      <c r="F754" s="24"/>
      <c r="G754" s="24"/>
      <c r="H754" s="24"/>
      <c r="I754" s="24"/>
      <c r="J754" s="24"/>
      <c r="K754" s="24"/>
      <c r="L754" s="24"/>
      <c r="M754" s="24"/>
      <c r="N754" s="24"/>
      <c r="O754" s="24"/>
      <c r="P754" s="24"/>
      <c r="Q754" s="24"/>
      <c r="R754" s="24"/>
      <c r="S754" s="24"/>
      <c r="T754" s="24"/>
      <c r="U754" s="24"/>
      <c r="V754" s="24"/>
      <c r="W754" s="24"/>
    </row>
    <row r="755">
      <c r="A755" s="24"/>
      <c r="B755" s="24"/>
      <c r="C755" s="24"/>
      <c r="D755" s="24"/>
      <c r="E755" s="24"/>
      <c r="F755" s="24"/>
      <c r="G755" s="24"/>
      <c r="H755" s="24"/>
      <c r="I755" s="24"/>
      <c r="J755" s="24"/>
      <c r="K755" s="24"/>
      <c r="L755" s="24"/>
      <c r="M755" s="24"/>
      <c r="N755" s="24"/>
      <c r="O755" s="24"/>
      <c r="P755" s="24"/>
      <c r="Q755" s="24"/>
      <c r="R755" s="24"/>
      <c r="S755" s="24"/>
      <c r="T755" s="24"/>
      <c r="U755" s="24"/>
      <c r="V755" s="24"/>
      <c r="W755" s="24"/>
    </row>
    <row r="756">
      <c r="A756" s="24"/>
      <c r="B756" s="24"/>
      <c r="C756" s="24"/>
      <c r="D756" s="24"/>
      <c r="E756" s="24"/>
      <c r="F756" s="24"/>
      <c r="G756" s="24"/>
      <c r="H756" s="24"/>
      <c r="I756" s="24"/>
      <c r="J756" s="24"/>
      <c r="K756" s="24"/>
      <c r="L756" s="24"/>
      <c r="M756" s="24"/>
      <c r="N756" s="24"/>
      <c r="O756" s="24"/>
      <c r="P756" s="24"/>
      <c r="Q756" s="24"/>
      <c r="R756" s="24"/>
      <c r="S756" s="24"/>
      <c r="T756" s="24"/>
      <c r="U756" s="24"/>
      <c r="V756" s="24"/>
      <c r="W756" s="24"/>
    </row>
    <row r="757">
      <c r="A757" s="24"/>
      <c r="B757" s="24"/>
      <c r="C757" s="24"/>
      <c r="D757" s="24"/>
      <c r="E757" s="24"/>
      <c r="F757" s="24"/>
      <c r="G757" s="24"/>
      <c r="H757" s="24"/>
      <c r="I757" s="24"/>
      <c r="J757" s="24"/>
      <c r="K757" s="24"/>
      <c r="L757" s="24"/>
      <c r="M757" s="24"/>
      <c r="N757" s="24"/>
      <c r="O757" s="24"/>
      <c r="P757" s="24"/>
      <c r="Q757" s="24"/>
      <c r="R757" s="24"/>
      <c r="S757" s="24"/>
      <c r="T757" s="24"/>
      <c r="U757" s="24"/>
      <c r="V757" s="24"/>
      <c r="W757" s="24"/>
    </row>
    <row r="758">
      <c r="A758" s="24"/>
      <c r="B758" s="24"/>
      <c r="C758" s="24"/>
      <c r="D758" s="24"/>
      <c r="E758" s="24"/>
      <c r="F758" s="24"/>
      <c r="G758" s="24"/>
      <c r="H758" s="24"/>
      <c r="I758" s="24"/>
      <c r="J758" s="24"/>
      <c r="K758" s="24"/>
      <c r="L758" s="24"/>
      <c r="M758" s="24"/>
      <c r="N758" s="24"/>
      <c r="O758" s="24"/>
      <c r="P758" s="24"/>
      <c r="Q758" s="24"/>
      <c r="R758" s="24"/>
      <c r="S758" s="24"/>
      <c r="T758" s="24"/>
      <c r="U758" s="24"/>
      <c r="V758" s="24"/>
      <c r="W758" s="24"/>
    </row>
    <row r="759">
      <c r="A759" s="24"/>
      <c r="B759" s="24"/>
      <c r="C759" s="24"/>
      <c r="D759" s="24"/>
      <c r="E759" s="24"/>
      <c r="F759" s="24"/>
      <c r="G759" s="24"/>
      <c r="H759" s="24"/>
      <c r="I759" s="24"/>
      <c r="J759" s="24"/>
      <c r="K759" s="24"/>
      <c r="L759" s="24"/>
      <c r="M759" s="24"/>
      <c r="N759" s="24"/>
      <c r="O759" s="24"/>
      <c r="P759" s="24"/>
      <c r="Q759" s="24"/>
      <c r="R759" s="24"/>
      <c r="S759" s="24"/>
      <c r="T759" s="24"/>
      <c r="U759" s="24"/>
      <c r="V759" s="24"/>
      <c r="W759" s="24"/>
    </row>
    <row r="760">
      <c r="A760" s="24"/>
      <c r="B760" s="24"/>
      <c r="C760" s="24"/>
      <c r="D760" s="24"/>
      <c r="E760" s="24"/>
      <c r="F760" s="24"/>
      <c r="G760" s="24"/>
      <c r="H760" s="24"/>
      <c r="I760" s="24"/>
      <c r="J760" s="24"/>
      <c r="K760" s="24"/>
      <c r="L760" s="24"/>
      <c r="M760" s="24"/>
      <c r="N760" s="24"/>
      <c r="O760" s="24"/>
      <c r="P760" s="24"/>
      <c r="Q760" s="24"/>
      <c r="R760" s="24"/>
      <c r="S760" s="24"/>
      <c r="T760" s="24"/>
      <c r="U760" s="24"/>
      <c r="V760" s="24"/>
      <c r="W760" s="24"/>
    </row>
    <row r="761">
      <c r="A761" s="24"/>
      <c r="B761" s="24"/>
      <c r="C761" s="24"/>
      <c r="D761" s="24"/>
      <c r="E761" s="24"/>
      <c r="F761" s="24"/>
      <c r="G761" s="24"/>
      <c r="H761" s="24"/>
      <c r="I761" s="24"/>
      <c r="J761" s="24"/>
      <c r="K761" s="24"/>
      <c r="L761" s="24"/>
      <c r="M761" s="24"/>
      <c r="N761" s="24"/>
      <c r="O761" s="24"/>
      <c r="P761" s="24"/>
      <c r="Q761" s="24"/>
      <c r="R761" s="24"/>
      <c r="S761" s="24"/>
      <c r="T761" s="24"/>
      <c r="U761" s="24"/>
      <c r="V761" s="24"/>
      <c r="W761" s="24"/>
    </row>
    <row r="762">
      <c r="A762" s="24"/>
      <c r="B762" s="24"/>
      <c r="C762" s="24"/>
      <c r="D762" s="24"/>
      <c r="E762" s="24"/>
      <c r="F762" s="24"/>
      <c r="G762" s="24"/>
      <c r="H762" s="24"/>
      <c r="I762" s="24"/>
      <c r="J762" s="24"/>
      <c r="K762" s="24"/>
      <c r="L762" s="24"/>
      <c r="M762" s="24"/>
      <c r="N762" s="24"/>
      <c r="O762" s="24"/>
      <c r="P762" s="24"/>
      <c r="Q762" s="24"/>
      <c r="R762" s="24"/>
      <c r="S762" s="24"/>
      <c r="T762" s="24"/>
      <c r="U762" s="24"/>
      <c r="V762" s="24"/>
      <c r="W762" s="24"/>
    </row>
    <row r="763">
      <c r="A763" s="24"/>
      <c r="B763" s="24"/>
      <c r="C763" s="24"/>
      <c r="D763" s="24"/>
      <c r="E763" s="24"/>
      <c r="F763" s="24"/>
      <c r="G763" s="24"/>
      <c r="H763" s="24"/>
      <c r="I763" s="24"/>
      <c r="J763" s="24"/>
      <c r="K763" s="24"/>
      <c r="L763" s="24"/>
      <c r="M763" s="24"/>
      <c r="N763" s="24"/>
      <c r="O763" s="24"/>
      <c r="P763" s="24"/>
      <c r="Q763" s="24"/>
      <c r="R763" s="24"/>
      <c r="S763" s="24"/>
      <c r="T763" s="24"/>
      <c r="U763" s="24"/>
      <c r="V763" s="24"/>
      <c r="W763" s="24"/>
    </row>
    <row r="764">
      <c r="A764" s="24"/>
      <c r="B764" s="24"/>
      <c r="C764" s="24"/>
      <c r="D764" s="24"/>
      <c r="E764" s="24"/>
      <c r="F764" s="24"/>
      <c r="G764" s="24"/>
      <c r="H764" s="24"/>
      <c r="I764" s="24"/>
      <c r="J764" s="24"/>
      <c r="K764" s="24"/>
      <c r="L764" s="24"/>
      <c r="M764" s="24"/>
      <c r="N764" s="24"/>
      <c r="O764" s="24"/>
      <c r="P764" s="24"/>
      <c r="Q764" s="24"/>
      <c r="R764" s="24"/>
      <c r="S764" s="24"/>
      <c r="T764" s="24"/>
      <c r="U764" s="24"/>
      <c r="V764" s="24"/>
      <c r="W764" s="24"/>
    </row>
    <row r="765">
      <c r="A765" s="24"/>
      <c r="B765" s="24"/>
      <c r="C765" s="24"/>
      <c r="D765" s="24"/>
      <c r="E765" s="24"/>
      <c r="F765" s="24"/>
      <c r="G765" s="24"/>
      <c r="H765" s="24"/>
      <c r="I765" s="24"/>
      <c r="J765" s="24"/>
      <c r="K765" s="24"/>
      <c r="L765" s="24"/>
      <c r="M765" s="24"/>
      <c r="N765" s="24"/>
      <c r="O765" s="24"/>
      <c r="P765" s="24"/>
      <c r="Q765" s="24"/>
      <c r="R765" s="24"/>
      <c r="S765" s="24"/>
      <c r="T765" s="24"/>
      <c r="U765" s="24"/>
      <c r="V765" s="24"/>
      <c r="W765" s="24"/>
    </row>
    <row r="766">
      <c r="A766" s="24"/>
      <c r="B766" s="24"/>
      <c r="C766" s="24"/>
      <c r="D766" s="24"/>
      <c r="E766" s="24"/>
      <c r="F766" s="24"/>
      <c r="G766" s="24"/>
      <c r="H766" s="24"/>
      <c r="I766" s="24"/>
      <c r="J766" s="24"/>
      <c r="K766" s="24"/>
      <c r="L766" s="24"/>
      <c r="M766" s="24"/>
      <c r="N766" s="24"/>
      <c r="O766" s="24"/>
      <c r="P766" s="24"/>
      <c r="Q766" s="24"/>
      <c r="R766" s="24"/>
      <c r="S766" s="24"/>
      <c r="T766" s="24"/>
      <c r="U766" s="24"/>
      <c r="V766" s="24"/>
      <c r="W766" s="24"/>
    </row>
    <row r="767">
      <c r="A767" s="24"/>
      <c r="B767" s="24"/>
      <c r="C767" s="24"/>
      <c r="D767" s="24"/>
      <c r="E767" s="24"/>
      <c r="F767" s="24"/>
      <c r="G767" s="24"/>
      <c r="H767" s="24"/>
      <c r="I767" s="24"/>
      <c r="J767" s="24"/>
      <c r="K767" s="24"/>
      <c r="L767" s="24"/>
      <c r="M767" s="24"/>
      <c r="N767" s="24"/>
      <c r="O767" s="24"/>
      <c r="P767" s="24"/>
      <c r="Q767" s="24"/>
      <c r="R767" s="24"/>
      <c r="S767" s="24"/>
      <c r="T767" s="24"/>
      <c r="U767" s="24"/>
      <c r="V767" s="24"/>
      <c r="W767" s="24"/>
    </row>
    <row r="768">
      <c r="A768" s="24"/>
      <c r="B768" s="24"/>
      <c r="C768" s="24"/>
      <c r="D768" s="24"/>
      <c r="E768" s="24"/>
      <c r="F768" s="24"/>
      <c r="G768" s="24"/>
      <c r="H768" s="24"/>
      <c r="I768" s="24"/>
      <c r="J768" s="24"/>
      <c r="K768" s="24"/>
      <c r="L768" s="24"/>
      <c r="M768" s="24"/>
      <c r="N768" s="24"/>
      <c r="O768" s="24"/>
      <c r="P768" s="24"/>
      <c r="Q768" s="24"/>
      <c r="R768" s="24"/>
      <c r="S768" s="24"/>
      <c r="T768" s="24"/>
      <c r="U768" s="24"/>
      <c r="V768" s="24"/>
      <c r="W768" s="24"/>
    </row>
    <row r="769">
      <c r="A769" s="24"/>
      <c r="B769" s="24"/>
      <c r="C769" s="24"/>
      <c r="D769" s="24"/>
      <c r="E769" s="24"/>
      <c r="F769" s="24"/>
      <c r="G769" s="24"/>
      <c r="H769" s="24"/>
      <c r="I769" s="24"/>
      <c r="J769" s="24"/>
      <c r="K769" s="24"/>
      <c r="L769" s="24"/>
      <c r="M769" s="24"/>
      <c r="N769" s="24"/>
      <c r="O769" s="24"/>
      <c r="P769" s="24"/>
      <c r="Q769" s="24"/>
      <c r="R769" s="24"/>
      <c r="S769" s="24"/>
      <c r="T769" s="24"/>
      <c r="U769" s="24"/>
      <c r="V769" s="24"/>
      <c r="W769" s="24"/>
    </row>
    <row r="770">
      <c r="A770" s="24"/>
      <c r="B770" s="24"/>
      <c r="C770" s="24"/>
      <c r="D770" s="24"/>
      <c r="E770" s="24"/>
      <c r="F770" s="24"/>
      <c r="G770" s="24"/>
      <c r="H770" s="24"/>
      <c r="I770" s="24"/>
      <c r="J770" s="24"/>
      <c r="K770" s="24"/>
      <c r="L770" s="24"/>
      <c r="M770" s="24"/>
      <c r="N770" s="24"/>
      <c r="O770" s="24"/>
      <c r="P770" s="24"/>
      <c r="Q770" s="24"/>
      <c r="R770" s="24"/>
      <c r="S770" s="24"/>
      <c r="T770" s="24"/>
      <c r="U770" s="24"/>
      <c r="V770" s="24"/>
      <c r="W770" s="24"/>
    </row>
    <row r="771">
      <c r="A771" s="24"/>
      <c r="B771" s="24"/>
      <c r="C771" s="24"/>
      <c r="D771" s="24"/>
      <c r="E771" s="24"/>
      <c r="F771" s="24"/>
      <c r="G771" s="24"/>
      <c r="H771" s="24"/>
      <c r="I771" s="24"/>
      <c r="J771" s="24"/>
      <c r="K771" s="24"/>
      <c r="L771" s="24"/>
      <c r="M771" s="24"/>
      <c r="N771" s="24"/>
      <c r="O771" s="24"/>
      <c r="P771" s="24"/>
      <c r="Q771" s="24"/>
      <c r="R771" s="24"/>
      <c r="S771" s="24"/>
      <c r="T771" s="24"/>
      <c r="U771" s="24"/>
      <c r="V771" s="24"/>
      <c r="W771" s="24"/>
    </row>
    <row r="772">
      <c r="A772" s="24"/>
      <c r="B772" s="24"/>
      <c r="C772" s="24"/>
      <c r="D772" s="24"/>
      <c r="E772" s="24"/>
      <c r="F772" s="24"/>
      <c r="G772" s="24"/>
      <c r="H772" s="24"/>
      <c r="I772" s="24"/>
      <c r="J772" s="24"/>
      <c r="K772" s="24"/>
      <c r="L772" s="24"/>
      <c r="M772" s="24"/>
      <c r="N772" s="24"/>
      <c r="O772" s="24"/>
      <c r="P772" s="24"/>
      <c r="Q772" s="24"/>
      <c r="R772" s="24"/>
      <c r="S772" s="24"/>
      <c r="T772" s="24"/>
      <c r="U772" s="24"/>
      <c r="V772" s="24"/>
      <c r="W772" s="24"/>
    </row>
    <row r="773">
      <c r="A773" s="24"/>
      <c r="B773" s="24"/>
      <c r="C773" s="24"/>
      <c r="D773" s="24"/>
      <c r="E773" s="24"/>
      <c r="F773" s="24"/>
      <c r="G773" s="24"/>
      <c r="H773" s="24"/>
      <c r="I773" s="24"/>
      <c r="J773" s="24"/>
      <c r="K773" s="24"/>
      <c r="L773" s="24"/>
      <c r="M773" s="24"/>
      <c r="N773" s="24"/>
      <c r="O773" s="24"/>
      <c r="P773" s="24"/>
      <c r="Q773" s="24"/>
      <c r="R773" s="24"/>
      <c r="S773" s="24"/>
      <c r="T773" s="24"/>
      <c r="U773" s="24"/>
      <c r="V773" s="24"/>
      <c r="W773" s="24"/>
    </row>
    <row r="774">
      <c r="A774" s="24"/>
      <c r="B774" s="24"/>
      <c r="C774" s="24"/>
      <c r="D774" s="24"/>
      <c r="E774" s="24"/>
      <c r="F774" s="24"/>
      <c r="G774" s="24"/>
      <c r="H774" s="24"/>
      <c r="I774" s="24"/>
      <c r="J774" s="24"/>
      <c r="K774" s="24"/>
      <c r="L774" s="24"/>
      <c r="M774" s="24"/>
      <c r="N774" s="24"/>
      <c r="O774" s="24"/>
      <c r="P774" s="24"/>
      <c r="Q774" s="24"/>
      <c r="R774" s="24"/>
      <c r="S774" s="24"/>
      <c r="T774" s="24"/>
      <c r="U774" s="24"/>
      <c r="V774" s="24"/>
      <c r="W774" s="24"/>
    </row>
    <row r="775">
      <c r="A775" s="24"/>
      <c r="B775" s="24"/>
      <c r="C775" s="24"/>
      <c r="D775" s="24"/>
      <c r="E775" s="24"/>
      <c r="F775" s="24"/>
      <c r="G775" s="24"/>
      <c r="H775" s="24"/>
      <c r="I775" s="24"/>
      <c r="J775" s="24"/>
      <c r="K775" s="24"/>
      <c r="L775" s="24"/>
      <c r="M775" s="24"/>
      <c r="N775" s="24"/>
      <c r="O775" s="24"/>
      <c r="P775" s="24"/>
      <c r="Q775" s="24"/>
      <c r="R775" s="24"/>
      <c r="S775" s="24"/>
      <c r="T775" s="24"/>
      <c r="U775" s="24"/>
      <c r="V775" s="24"/>
      <c r="W775" s="24"/>
    </row>
    <row r="776">
      <c r="A776" s="24"/>
      <c r="B776" s="24"/>
      <c r="C776" s="24"/>
      <c r="D776" s="24"/>
      <c r="E776" s="24"/>
      <c r="F776" s="24"/>
      <c r="G776" s="24"/>
      <c r="H776" s="24"/>
      <c r="I776" s="24"/>
      <c r="J776" s="24"/>
      <c r="K776" s="24"/>
      <c r="L776" s="24"/>
      <c r="M776" s="24"/>
      <c r="N776" s="24"/>
      <c r="O776" s="24"/>
      <c r="P776" s="24"/>
      <c r="Q776" s="24"/>
      <c r="R776" s="24"/>
      <c r="S776" s="24"/>
      <c r="T776" s="24"/>
      <c r="U776" s="24"/>
      <c r="V776" s="24"/>
      <c r="W776" s="24"/>
    </row>
    <row r="777">
      <c r="A777" s="24"/>
      <c r="B777" s="24"/>
      <c r="C777" s="24"/>
      <c r="D777" s="24"/>
      <c r="E777" s="24"/>
      <c r="F777" s="24"/>
      <c r="G777" s="24"/>
      <c r="H777" s="24"/>
      <c r="I777" s="24"/>
      <c r="J777" s="24"/>
      <c r="K777" s="24"/>
      <c r="L777" s="24"/>
      <c r="M777" s="24"/>
      <c r="N777" s="24"/>
      <c r="O777" s="24"/>
      <c r="P777" s="24"/>
      <c r="Q777" s="24"/>
      <c r="R777" s="24"/>
      <c r="S777" s="24"/>
      <c r="T777" s="24"/>
      <c r="U777" s="24"/>
      <c r="V777" s="24"/>
      <c r="W777" s="24"/>
    </row>
    <row r="778">
      <c r="A778" s="24"/>
      <c r="B778" s="24"/>
      <c r="C778" s="24"/>
      <c r="D778" s="24"/>
      <c r="E778" s="24"/>
      <c r="F778" s="24"/>
      <c r="G778" s="24"/>
      <c r="H778" s="24"/>
      <c r="I778" s="24"/>
      <c r="J778" s="24"/>
      <c r="K778" s="24"/>
      <c r="L778" s="24"/>
      <c r="M778" s="24"/>
      <c r="N778" s="24"/>
      <c r="O778" s="24"/>
      <c r="P778" s="24"/>
      <c r="Q778" s="24"/>
      <c r="R778" s="24"/>
      <c r="S778" s="24"/>
      <c r="T778" s="24"/>
      <c r="U778" s="24"/>
      <c r="V778" s="24"/>
      <c r="W778" s="24"/>
    </row>
    <row r="779">
      <c r="A779" s="24"/>
      <c r="B779" s="24"/>
      <c r="C779" s="24"/>
      <c r="D779" s="24"/>
      <c r="E779" s="24"/>
      <c r="F779" s="24"/>
      <c r="G779" s="24"/>
      <c r="H779" s="24"/>
      <c r="I779" s="24"/>
      <c r="J779" s="24"/>
      <c r="K779" s="24"/>
      <c r="L779" s="24"/>
      <c r="M779" s="24"/>
      <c r="N779" s="24"/>
      <c r="O779" s="24"/>
      <c r="P779" s="24"/>
      <c r="Q779" s="24"/>
      <c r="R779" s="24"/>
      <c r="S779" s="24"/>
      <c r="T779" s="24"/>
      <c r="U779" s="24"/>
      <c r="V779" s="24"/>
      <c r="W779" s="24"/>
    </row>
    <row r="780">
      <c r="A780" s="24"/>
      <c r="B780" s="24"/>
      <c r="C780" s="24"/>
      <c r="D780" s="24"/>
      <c r="E780" s="24"/>
      <c r="F780" s="24"/>
      <c r="G780" s="24"/>
      <c r="H780" s="24"/>
      <c r="I780" s="24"/>
      <c r="J780" s="24"/>
      <c r="K780" s="24"/>
      <c r="L780" s="24"/>
      <c r="M780" s="24"/>
      <c r="N780" s="24"/>
      <c r="O780" s="24"/>
      <c r="P780" s="24"/>
      <c r="Q780" s="24"/>
      <c r="R780" s="24"/>
      <c r="S780" s="24"/>
      <c r="T780" s="24"/>
      <c r="U780" s="24"/>
      <c r="V780" s="24"/>
      <c r="W780" s="24"/>
    </row>
    <row r="781">
      <c r="A781" s="24"/>
      <c r="B781" s="24"/>
      <c r="C781" s="24"/>
      <c r="D781" s="24"/>
      <c r="E781" s="24"/>
      <c r="F781" s="24"/>
      <c r="G781" s="24"/>
      <c r="H781" s="24"/>
      <c r="I781" s="24"/>
      <c r="J781" s="24"/>
      <c r="K781" s="24"/>
      <c r="L781" s="24"/>
      <c r="M781" s="24"/>
      <c r="N781" s="24"/>
      <c r="O781" s="24"/>
      <c r="P781" s="24"/>
      <c r="Q781" s="24"/>
      <c r="R781" s="24"/>
      <c r="S781" s="24"/>
      <c r="T781" s="24"/>
      <c r="U781" s="24"/>
      <c r="V781" s="24"/>
      <c r="W781" s="24"/>
    </row>
    <row r="782">
      <c r="A782" s="24"/>
      <c r="B782" s="24"/>
      <c r="C782" s="24"/>
      <c r="D782" s="24"/>
      <c r="E782" s="24"/>
      <c r="F782" s="24"/>
      <c r="G782" s="24"/>
      <c r="H782" s="24"/>
      <c r="I782" s="24"/>
      <c r="J782" s="24"/>
      <c r="K782" s="24"/>
      <c r="L782" s="24"/>
      <c r="M782" s="24"/>
      <c r="N782" s="24"/>
      <c r="O782" s="24"/>
      <c r="P782" s="24"/>
      <c r="Q782" s="24"/>
      <c r="R782" s="24"/>
      <c r="S782" s="24"/>
      <c r="T782" s="24"/>
      <c r="U782" s="24"/>
      <c r="V782" s="24"/>
      <c r="W782" s="24"/>
    </row>
    <row r="783">
      <c r="A783" s="24"/>
      <c r="B783" s="24"/>
      <c r="C783" s="24"/>
      <c r="D783" s="24"/>
      <c r="E783" s="24"/>
      <c r="F783" s="24"/>
      <c r="G783" s="24"/>
      <c r="H783" s="24"/>
      <c r="I783" s="24"/>
      <c r="J783" s="24"/>
      <c r="K783" s="24"/>
      <c r="L783" s="24"/>
      <c r="M783" s="24"/>
      <c r="N783" s="24"/>
      <c r="O783" s="24"/>
      <c r="P783" s="24"/>
      <c r="Q783" s="24"/>
      <c r="R783" s="24"/>
      <c r="S783" s="24"/>
      <c r="T783" s="24"/>
      <c r="U783" s="24"/>
      <c r="V783" s="24"/>
      <c r="W783" s="24"/>
    </row>
    <row r="784">
      <c r="A784" s="24"/>
      <c r="B784" s="24"/>
      <c r="C784" s="24"/>
      <c r="D784" s="24"/>
      <c r="E784" s="24"/>
      <c r="F784" s="24"/>
      <c r="G784" s="24"/>
      <c r="H784" s="24"/>
      <c r="I784" s="24"/>
      <c r="J784" s="24"/>
      <c r="K784" s="24"/>
      <c r="L784" s="24"/>
      <c r="M784" s="24"/>
      <c r="N784" s="24"/>
      <c r="O784" s="24"/>
      <c r="P784" s="24"/>
      <c r="Q784" s="24"/>
      <c r="R784" s="24"/>
      <c r="S784" s="24"/>
      <c r="T784" s="24"/>
      <c r="U784" s="24"/>
      <c r="V784" s="24"/>
      <c r="W784" s="24"/>
    </row>
    <row r="785">
      <c r="A785" s="24"/>
      <c r="B785" s="24"/>
      <c r="C785" s="24"/>
      <c r="D785" s="24"/>
      <c r="E785" s="24"/>
      <c r="F785" s="24"/>
      <c r="G785" s="24"/>
      <c r="H785" s="24"/>
      <c r="I785" s="24"/>
      <c r="J785" s="24"/>
      <c r="K785" s="24"/>
      <c r="L785" s="24"/>
      <c r="M785" s="24"/>
      <c r="N785" s="24"/>
      <c r="O785" s="24"/>
      <c r="P785" s="24"/>
      <c r="Q785" s="24"/>
      <c r="R785" s="24"/>
      <c r="S785" s="24"/>
      <c r="T785" s="24"/>
      <c r="U785" s="24"/>
      <c r="V785" s="24"/>
      <c r="W785" s="24"/>
    </row>
    <row r="786">
      <c r="A786" s="24"/>
      <c r="B786" s="24"/>
      <c r="C786" s="24"/>
      <c r="D786" s="24"/>
      <c r="E786" s="24"/>
      <c r="F786" s="24"/>
      <c r="G786" s="24"/>
      <c r="H786" s="24"/>
      <c r="I786" s="24"/>
      <c r="J786" s="24"/>
      <c r="K786" s="24"/>
      <c r="L786" s="24"/>
      <c r="M786" s="24"/>
      <c r="N786" s="24"/>
      <c r="O786" s="24"/>
      <c r="P786" s="24"/>
      <c r="Q786" s="24"/>
      <c r="R786" s="24"/>
      <c r="S786" s="24"/>
      <c r="T786" s="24"/>
      <c r="U786" s="24"/>
      <c r="V786" s="24"/>
      <c r="W786" s="24"/>
    </row>
    <row r="787">
      <c r="A787" s="24"/>
      <c r="B787" s="24"/>
      <c r="C787" s="24"/>
      <c r="D787" s="24"/>
      <c r="E787" s="24"/>
      <c r="F787" s="24"/>
      <c r="G787" s="24"/>
      <c r="H787" s="24"/>
      <c r="I787" s="24"/>
      <c r="J787" s="24"/>
      <c r="K787" s="24"/>
      <c r="L787" s="24"/>
      <c r="M787" s="24"/>
      <c r="N787" s="24"/>
      <c r="O787" s="24"/>
      <c r="P787" s="24"/>
      <c r="Q787" s="24"/>
      <c r="R787" s="24"/>
      <c r="S787" s="24"/>
      <c r="T787" s="24"/>
      <c r="U787" s="24"/>
      <c r="V787" s="24"/>
      <c r="W787" s="24"/>
    </row>
    <row r="788">
      <c r="A788" s="24"/>
      <c r="B788" s="24"/>
      <c r="C788" s="24"/>
      <c r="D788" s="24"/>
      <c r="E788" s="24"/>
      <c r="F788" s="24"/>
      <c r="G788" s="24"/>
      <c r="H788" s="24"/>
      <c r="I788" s="24"/>
      <c r="J788" s="24"/>
      <c r="K788" s="24"/>
      <c r="L788" s="24"/>
      <c r="M788" s="24"/>
      <c r="N788" s="24"/>
      <c r="O788" s="24"/>
      <c r="P788" s="24"/>
      <c r="Q788" s="24"/>
      <c r="R788" s="24"/>
      <c r="S788" s="24"/>
      <c r="T788" s="24"/>
      <c r="U788" s="24"/>
      <c r="V788" s="24"/>
      <c r="W788" s="24"/>
    </row>
    <row r="789">
      <c r="A789" s="24"/>
      <c r="B789" s="24"/>
      <c r="C789" s="24"/>
      <c r="D789" s="24"/>
      <c r="E789" s="24"/>
      <c r="F789" s="24"/>
      <c r="G789" s="24"/>
      <c r="H789" s="24"/>
      <c r="I789" s="24"/>
      <c r="J789" s="24"/>
      <c r="K789" s="24"/>
      <c r="L789" s="24"/>
      <c r="M789" s="24"/>
      <c r="N789" s="24"/>
      <c r="O789" s="24"/>
      <c r="P789" s="24"/>
      <c r="Q789" s="24"/>
      <c r="R789" s="24"/>
      <c r="S789" s="24"/>
      <c r="T789" s="24"/>
      <c r="U789" s="24"/>
      <c r="V789" s="24"/>
      <c r="W789" s="24"/>
    </row>
    <row r="790">
      <c r="A790" s="24"/>
      <c r="B790" s="24"/>
      <c r="C790" s="24"/>
      <c r="D790" s="24"/>
      <c r="E790" s="24"/>
      <c r="F790" s="24"/>
      <c r="G790" s="24"/>
      <c r="H790" s="24"/>
      <c r="I790" s="24"/>
      <c r="J790" s="24"/>
      <c r="K790" s="24"/>
      <c r="L790" s="24"/>
      <c r="M790" s="24"/>
      <c r="N790" s="24"/>
      <c r="O790" s="24"/>
      <c r="P790" s="24"/>
      <c r="Q790" s="24"/>
      <c r="R790" s="24"/>
      <c r="S790" s="24"/>
      <c r="T790" s="24"/>
      <c r="U790" s="24"/>
      <c r="V790" s="24"/>
      <c r="W790" s="24"/>
    </row>
    <row r="791">
      <c r="A791" s="24"/>
      <c r="B791" s="24"/>
      <c r="C791" s="24"/>
      <c r="D791" s="24"/>
      <c r="E791" s="24"/>
      <c r="F791" s="24"/>
      <c r="G791" s="24"/>
      <c r="H791" s="24"/>
      <c r="I791" s="24"/>
      <c r="J791" s="24"/>
      <c r="K791" s="24"/>
      <c r="L791" s="24"/>
      <c r="M791" s="24"/>
      <c r="N791" s="24"/>
      <c r="O791" s="24"/>
      <c r="P791" s="24"/>
      <c r="Q791" s="24"/>
      <c r="R791" s="24"/>
      <c r="S791" s="24"/>
      <c r="T791" s="24"/>
      <c r="U791" s="24"/>
      <c r="V791" s="24"/>
      <c r="W791" s="24"/>
    </row>
    <row r="792">
      <c r="A792" s="24"/>
      <c r="B792" s="24"/>
      <c r="C792" s="24"/>
      <c r="D792" s="24"/>
      <c r="E792" s="24"/>
      <c r="F792" s="24"/>
      <c r="G792" s="24"/>
      <c r="H792" s="24"/>
      <c r="I792" s="24"/>
      <c r="J792" s="24"/>
      <c r="K792" s="24"/>
      <c r="L792" s="24"/>
      <c r="M792" s="24"/>
      <c r="N792" s="24"/>
      <c r="O792" s="24"/>
      <c r="P792" s="24"/>
      <c r="Q792" s="24"/>
      <c r="R792" s="24"/>
      <c r="S792" s="24"/>
      <c r="T792" s="24"/>
      <c r="U792" s="24"/>
      <c r="V792" s="24"/>
      <c r="W792" s="24"/>
    </row>
    <row r="793">
      <c r="A793" s="24"/>
      <c r="B793" s="24"/>
      <c r="C793" s="24"/>
      <c r="D793" s="24"/>
      <c r="E793" s="24"/>
      <c r="F793" s="24"/>
      <c r="G793" s="24"/>
      <c r="H793" s="24"/>
      <c r="I793" s="24"/>
      <c r="J793" s="24"/>
      <c r="K793" s="24"/>
      <c r="L793" s="24"/>
      <c r="M793" s="24"/>
      <c r="N793" s="24"/>
      <c r="O793" s="24"/>
      <c r="P793" s="24"/>
      <c r="Q793" s="24"/>
      <c r="R793" s="24"/>
      <c r="S793" s="24"/>
      <c r="T793" s="24"/>
      <c r="U793" s="24"/>
      <c r="V793" s="24"/>
      <c r="W793" s="24"/>
    </row>
    <row r="794">
      <c r="A794" s="24"/>
      <c r="B794" s="24"/>
      <c r="C794" s="24"/>
      <c r="D794" s="24"/>
      <c r="E794" s="24"/>
      <c r="F794" s="24"/>
      <c r="G794" s="24"/>
      <c r="H794" s="24"/>
      <c r="I794" s="24"/>
      <c r="J794" s="24"/>
      <c r="K794" s="24"/>
      <c r="L794" s="24"/>
      <c r="M794" s="24"/>
      <c r="N794" s="24"/>
      <c r="O794" s="24"/>
      <c r="P794" s="24"/>
      <c r="Q794" s="24"/>
      <c r="R794" s="24"/>
      <c r="S794" s="24"/>
      <c r="T794" s="24"/>
      <c r="U794" s="24"/>
      <c r="V794" s="24"/>
      <c r="W794" s="24"/>
    </row>
    <row r="795">
      <c r="A795" s="24"/>
      <c r="B795" s="24"/>
      <c r="C795" s="24"/>
      <c r="D795" s="24"/>
      <c r="E795" s="24"/>
      <c r="F795" s="24"/>
      <c r="G795" s="24"/>
      <c r="H795" s="24"/>
      <c r="I795" s="24"/>
      <c r="J795" s="24"/>
      <c r="K795" s="24"/>
      <c r="L795" s="24"/>
      <c r="M795" s="24"/>
      <c r="N795" s="24"/>
      <c r="O795" s="24"/>
      <c r="P795" s="24"/>
      <c r="Q795" s="24"/>
      <c r="R795" s="24"/>
      <c r="S795" s="24"/>
      <c r="T795" s="24"/>
      <c r="U795" s="24"/>
      <c r="V795" s="24"/>
      <c r="W795" s="24"/>
    </row>
    <row r="796">
      <c r="A796" s="24"/>
      <c r="B796" s="24"/>
      <c r="C796" s="24"/>
      <c r="D796" s="24"/>
      <c r="E796" s="24"/>
      <c r="F796" s="24"/>
      <c r="G796" s="24"/>
      <c r="H796" s="24"/>
      <c r="I796" s="24"/>
      <c r="J796" s="24"/>
      <c r="K796" s="24"/>
      <c r="L796" s="24"/>
      <c r="M796" s="24"/>
      <c r="N796" s="24"/>
      <c r="O796" s="24"/>
      <c r="P796" s="24"/>
      <c r="Q796" s="24"/>
      <c r="R796" s="24"/>
      <c r="S796" s="24"/>
      <c r="T796" s="24"/>
      <c r="U796" s="24"/>
      <c r="V796" s="24"/>
      <c r="W796" s="24"/>
    </row>
    <row r="797">
      <c r="A797" s="24"/>
      <c r="B797" s="24"/>
      <c r="C797" s="24"/>
      <c r="D797" s="24"/>
      <c r="E797" s="24"/>
      <c r="F797" s="24"/>
      <c r="G797" s="24"/>
      <c r="H797" s="24"/>
      <c r="I797" s="24"/>
      <c r="J797" s="24"/>
      <c r="K797" s="24"/>
      <c r="L797" s="24"/>
      <c r="M797" s="24"/>
      <c r="N797" s="24"/>
      <c r="O797" s="24"/>
      <c r="P797" s="24"/>
      <c r="Q797" s="24"/>
      <c r="R797" s="24"/>
      <c r="S797" s="24"/>
      <c r="T797" s="24"/>
      <c r="U797" s="24"/>
      <c r="V797" s="24"/>
      <c r="W797" s="24"/>
    </row>
    <row r="798">
      <c r="A798" s="24"/>
      <c r="B798" s="24"/>
      <c r="C798" s="24"/>
      <c r="D798" s="24"/>
      <c r="E798" s="24"/>
      <c r="F798" s="24"/>
      <c r="G798" s="24"/>
      <c r="H798" s="24"/>
      <c r="I798" s="24"/>
      <c r="J798" s="24"/>
      <c r="K798" s="24"/>
      <c r="L798" s="24"/>
      <c r="M798" s="24"/>
      <c r="N798" s="24"/>
      <c r="O798" s="24"/>
      <c r="P798" s="24"/>
      <c r="Q798" s="24"/>
      <c r="R798" s="24"/>
      <c r="S798" s="24"/>
      <c r="T798" s="24"/>
      <c r="U798" s="24"/>
      <c r="V798" s="24"/>
      <c r="W798" s="24"/>
    </row>
    <row r="799">
      <c r="A799" s="24"/>
      <c r="B799" s="24"/>
      <c r="C799" s="24"/>
      <c r="D799" s="24"/>
      <c r="E799" s="24"/>
      <c r="F799" s="24"/>
      <c r="G799" s="24"/>
      <c r="H799" s="24"/>
      <c r="I799" s="24"/>
      <c r="J799" s="24"/>
      <c r="K799" s="24"/>
      <c r="L799" s="24"/>
      <c r="M799" s="24"/>
      <c r="N799" s="24"/>
      <c r="O799" s="24"/>
      <c r="P799" s="24"/>
      <c r="Q799" s="24"/>
      <c r="R799" s="24"/>
      <c r="S799" s="24"/>
      <c r="T799" s="24"/>
      <c r="U799" s="24"/>
      <c r="V799" s="24"/>
      <c r="W799" s="24"/>
    </row>
    <row r="800">
      <c r="A800" s="24"/>
      <c r="B800" s="24"/>
      <c r="C800" s="24"/>
      <c r="D800" s="24"/>
      <c r="E800" s="24"/>
      <c r="F800" s="24"/>
      <c r="G800" s="24"/>
      <c r="H800" s="24"/>
      <c r="I800" s="24"/>
      <c r="J800" s="24"/>
      <c r="K800" s="24"/>
      <c r="L800" s="24"/>
      <c r="M800" s="24"/>
      <c r="N800" s="24"/>
      <c r="O800" s="24"/>
      <c r="P800" s="24"/>
      <c r="Q800" s="24"/>
      <c r="R800" s="24"/>
      <c r="S800" s="24"/>
      <c r="T800" s="24"/>
      <c r="U800" s="24"/>
      <c r="V800" s="24"/>
      <c r="W800" s="24"/>
    </row>
    <row r="801">
      <c r="A801" s="24"/>
      <c r="B801" s="24"/>
      <c r="C801" s="24"/>
      <c r="D801" s="24"/>
      <c r="E801" s="24"/>
      <c r="F801" s="24"/>
      <c r="G801" s="24"/>
      <c r="H801" s="24"/>
      <c r="I801" s="24"/>
      <c r="J801" s="24"/>
      <c r="K801" s="24"/>
      <c r="L801" s="24"/>
      <c r="M801" s="24"/>
      <c r="N801" s="24"/>
      <c r="O801" s="24"/>
      <c r="P801" s="24"/>
      <c r="Q801" s="24"/>
      <c r="R801" s="24"/>
      <c r="S801" s="24"/>
      <c r="T801" s="24"/>
      <c r="U801" s="24"/>
      <c r="V801" s="24"/>
      <c r="W801" s="24"/>
    </row>
    <row r="802">
      <c r="A802" s="24"/>
      <c r="B802" s="24"/>
      <c r="C802" s="24"/>
      <c r="D802" s="24"/>
      <c r="E802" s="24"/>
      <c r="F802" s="24"/>
      <c r="G802" s="24"/>
      <c r="H802" s="24"/>
      <c r="I802" s="24"/>
      <c r="J802" s="24"/>
      <c r="K802" s="24"/>
      <c r="L802" s="24"/>
      <c r="M802" s="24"/>
      <c r="N802" s="24"/>
      <c r="O802" s="24"/>
      <c r="P802" s="24"/>
      <c r="Q802" s="24"/>
      <c r="R802" s="24"/>
      <c r="S802" s="24"/>
      <c r="T802" s="24"/>
      <c r="U802" s="24"/>
      <c r="V802" s="24"/>
      <c r="W802" s="24"/>
    </row>
    <row r="803">
      <c r="A803" s="24"/>
      <c r="B803" s="24"/>
      <c r="C803" s="24"/>
      <c r="D803" s="24"/>
      <c r="E803" s="24"/>
      <c r="F803" s="24"/>
      <c r="G803" s="24"/>
      <c r="H803" s="24"/>
      <c r="I803" s="24"/>
      <c r="J803" s="24"/>
      <c r="K803" s="24"/>
      <c r="L803" s="24"/>
      <c r="M803" s="24"/>
      <c r="N803" s="24"/>
      <c r="O803" s="24"/>
      <c r="P803" s="24"/>
      <c r="Q803" s="24"/>
      <c r="R803" s="24"/>
      <c r="S803" s="24"/>
      <c r="T803" s="24"/>
      <c r="U803" s="24"/>
      <c r="V803" s="24"/>
      <c r="W803" s="24"/>
    </row>
    <row r="804">
      <c r="A804" s="24"/>
      <c r="B804" s="24"/>
      <c r="C804" s="24"/>
      <c r="D804" s="24"/>
      <c r="E804" s="24"/>
      <c r="F804" s="24"/>
      <c r="G804" s="24"/>
      <c r="H804" s="24"/>
      <c r="I804" s="24"/>
      <c r="J804" s="24"/>
      <c r="K804" s="24"/>
      <c r="L804" s="24"/>
      <c r="M804" s="24"/>
      <c r="N804" s="24"/>
      <c r="O804" s="24"/>
      <c r="P804" s="24"/>
      <c r="Q804" s="24"/>
      <c r="R804" s="24"/>
      <c r="S804" s="24"/>
      <c r="T804" s="24"/>
      <c r="U804" s="24"/>
      <c r="V804" s="24"/>
      <c r="W804" s="24"/>
    </row>
    <row r="805">
      <c r="A805" s="24"/>
      <c r="B805" s="24"/>
      <c r="C805" s="24"/>
      <c r="D805" s="24"/>
      <c r="E805" s="24"/>
      <c r="F805" s="24"/>
      <c r="G805" s="24"/>
      <c r="H805" s="24"/>
      <c r="I805" s="24"/>
      <c r="J805" s="24"/>
      <c r="K805" s="24"/>
      <c r="L805" s="24"/>
      <c r="M805" s="24"/>
      <c r="N805" s="24"/>
      <c r="O805" s="24"/>
      <c r="P805" s="24"/>
      <c r="Q805" s="24"/>
      <c r="R805" s="24"/>
      <c r="S805" s="24"/>
      <c r="T805" s="24"/>
      <c r="U805" s="24"/>
      <c r="V805" s="24"/>
      <c r="W805" s="24"/>
    </row>
    <row r="806">
      <c r="A806" s="24"/>
      <c r="B806" s="24"/>
      <c r="C806" s="24"/>
      <c r="D806" s="24"/>
      <c r="E806" s="24"/>
      <c r="F806" s="24"/>
      <c r="G806" s="24"/>
      <c r="H806" s="24"/>
      <c r="I806" s="24"/>
      <c r="J806" s="24"/>
      <c r="K806" s="24"/>
      <c r="L806" s="24"/>
      <c r="M806" s="24"/>
      <c r="N806" s="24"/>
      <c r="O806" s="24"/>
      <c r="P806" s="24"/>
      <c r="Q806" s="24"/>
      <c r="R806" s="24"/>
      <c r="S806" s="24"/>
      <c r="T806" s="24"/>
      <c r="U806" s="24"/>
      <c r="V806" s="24"/>
      <c r="W806" s="24"/>
    </row>
    <row r="807">
      <c r="A807" s="24"/>
      <c r="B807" s="24"/>
      <c r="C807" s="24"/>
      <c r="D807" s="24"/>
      <c r="E807" s="24"/>
      <c r="F807" s="24"/>
      <c r="G807" s="24"/>
      <c r="H807" s="24"/>
      <c r="I807" s="24"/>
      <c r="J807" s="24"/>
      <c r="K807" s="24"/>
      <c r="L807" s="24"/>
      <c r="M807" s="24"/>
      <c r="N807" s="24"/>
      <c r="O807" s="24"/>
      <c r="P807" s="24"/>
      <c r="Q807" s="24"/>
      <c r="R807" s="24"/>
      <c r="S807" s="24"/>
      <c r="T807" s="24"/>
      <c r="U807" s="24"/>
      <c r="V807" s="24"/>
      <c r="W807" s="24"/>
    </row>
    <row r="808">
      <c r="A808" s="24"/>
      <c r="B808" s="24"/>
      <c r="C808" s="24"/>
      <c r="D808" s="24"/>
      <c r="E808" s="24"/>
      <c r="F808" s="24"/>
      <c r="G808" s="24"/>
      <c r="H808" s="24"/>
      <c r="I808" s="24"/>
      <c r="J808" s="24"/>
      <c r="K808" s="24"/>
      <c r="L808" s="24"/>
      <c r="M808" s="24"/>
      <c r="N808" s="24"/>
      <c r="O808" s="24"/>
      <c r="P808" s="24"/>
      <c r="Q808" s="24"/>
      <c r="R808" s="24"/>
      <c r="S808" s="24"/>
      <c r="T808" s="24"/>
      <c r="U808" s="24"/>
      <c r="V808" s="24"/>
      <c r="W808" s="24"/>
    </row>
    <row r="809">
      <c r="A809" s="24"/>
      <c r="B809" s="24"/>
      <c r="C809" s="24"/>
      <c r="D809" s="24"/>
      <c r="E809" s="24"/>
      <c r="F809" s="24"/>
      <c r="G809" s="24"/>
      <c r="H809" s="24"/>
      <c r="I809" s="24"/>
      <c r="J809" s="24"/>
      <c r="K809" s="24"/>
      <c r="L809" s="24"/>
      <c r="M809" s="24"/>
      <c r="N809" s="24"/>
      <c r="O809" s="24"/>
      <c r="P809" s="24"/>
      <c r="Q809" s="24"/>
      <c r="R809" s="24"/>
      <c r="S809" s="24"/>
      <c r="T809" s="24"/>
      <c r="U809" s="24"/>
      <c r="V809" s="24"/>
      <c r="W809" s="24"/>
    </row>
    <row r="810">
      <c r="A810" s="24"/>
      <c r="B810" s="24"/>
      <c r="C810" s="24"/>
      <c r="D810" s="24"/>
      <c r="E810" s="24"/>
      <c r="F810" s="24"/>
      <c r="G810" s="24"/>
      <c r="H810" s="24"/>
      <c r="I810" s="24"/>
      <c r="J810" s="24"/>
      <c r="K810" s="24"/>
      <c r="L810" s="24"/>
      <c r="M810" s="24"/>
      <c r="N810" s="24"/>
      <c r="O810" s="24"/>
      <c r="P810" s="24"/>
      <c r="Q810" s="24"/>
      <c r="R810" s="24"/>
      <c r="S810" s="24"/>
      <c r="T810" s="24"/>
      <c r="U810" s="24"/>
      <c r="V810" s="24"/>
      <c r="W810" s="24"/>
    </row>
    <row r="811">
      <c r="A811" s="24"/>
      <c r="B811" s="24"/>
      <c r="C811" s="24"/>
      <c r="D811" s="24"/>
      <c r="E811" s="24"/>
      <c r="F811" s="24"/>
      <c r="G811" s="24"/>
      <c r="H811" s="24"/>
      <c r="I811" s="24"/>
      <c r="J811" s="24"/>
      <c r="K811" s="24"/>
      <c r="L811" s="24"/>
      <c r="M811" s="24"/>
      <c r="N811" s="24"/>
      <c r="O811" s="24"/>
      <c r="P811" s="24"/>
      <c r="Q811" s="24"/>
      <c r="R811" s="24"/>
      <c r="S811" s="24"/>
      <c r="T811" s="24"/>
      <c r="U811" s="24"/>
      <c r="V811" s="24"/>
      <c r="W811" s="24"/>
    </row>
    <row r="812">
      <c r="A812" s="24"/>
      <c r="B812" s="24"/>
      <c r="C812" s="24"/>
      <c r="D812" s="24"/>
      <c r="E812" s="24"/>
      <c r="F812" s="24"/>
      <c r="G812" s="24"/>
      <c r="H812" s="24"/>
      <c r="I812" s="24"/>
      <c r="J812" s="24"/>
      <c r="K812" s="24"/>
      <c r="L812" s="24"/>
      <c r="M812" s="24"/>
      <c r="N812" s="24"/>
      <c r="O812" s="24"/>
      <c r="P812" s="24"/>
      <c r="Q812" s="24"/>
      <c r="R812" s="24"/>
      <c r="S812" s="24"/>
      <c r="T812" s="24"/>
      <c r="U812" s="24"/>
      <c r="V812" s="24"/>
      <c r="W812" s="24"/>
    </row>
    <row r="813">
      <c r="A813" s="24"/>
      <c r="B813" s="24"/>
      <c r="C813" s="24"/>
      <c r="D813" s="24"/>
      <c r="E813" s="24"/>
      <c r="F813" s="24"/>
      <c r="G813" s="24"/>
      <c r="H813" s="24"/>
      <c r="I813" s="24"/>
      <c r="J813" s="24"/>
      <c r="K813" s="24"/>
      <c r="L813" s="24"/>
      <c r="M813" s="24"/>
      <c r="N813" s="24"/>
      <c r="O813" s="24"/>
      <c r="P813" s="24"/>
      <c r="Q813" s="24"/>
      <c r="R813" s="24"/>
      <c r="S813" s="24"/>
      <c r="T813" s="24"/>
      <c r="U813" s="24"/>
      <c r="V813" s="24"/>
      <c r="W813" s="24"/>
    </row>
    <row r="814">
      <c r="A814" s="24"/>
      <c r="B814" s="24"/>
      <c r="C814" s="24"/>
      <c r="D814" s="24"/>
      <c r="E814" s="24"/>
      <c r="F814" s="24"/>
      <c r="G814" s="24"/>
      <c r="H814" s="24"/>
      <c r="I814" s="24"/>
      <c r="J814" s="24"/>
      <c r="K814" s="24"/>
      <c r="L814" s="24"/>
      <c r="M814" s="24"/>
      <c r="N814" s="24"/>
      <c r="O814" s="24"/>
      <c r="P814" s="24"/>
      <c r="Q814" s="24"/>
      <c r="R814" s="24"/>
      <c r="S814" s="24"/>
      <c r="T814" s="24"/>
      <c r="U814" s="24"/>
      <c r="V814" s="24"/>
      <c r="W814" s="24"/>
    </row>
    <row r="815">
      <c r="A815" s="24"/>
      <c r="B815" s="24"/>
      <c r="C815" s="24"/>
      <c r="D815" s="24"/>
      <c r="E815" s="24"/>
      <c r="F815" s="24"/>
      <c r="G815" s="24"/>
      <c r="H815" s="24"/>
      <c r="I815" s="24"/>
      <c r="J815" s="24"/>
      <c r="K815" s="24"/>
      <c r="L815" s="24"/>
      <c r="M815" s="24"/>
      <c r="N815" s="24"/>
      <c r="O815" s="24"/>
      <c r="P815" s="24"/>
      <c r="Q815" s="24"/>
      <c r="R815" s="24"/>
      <c r="S815" s="24"/>
      <c r="T815" s="24"/>
      <c r="U815" s="24"/>
      <c r="V815" s="24"/>
      <c r="W815" s="24"/>
    </row>
    <row r="816">
      <c r="A816" s="24"/>
      <c r="B816" s="24"/>
      <c r="C816" s="24"/>
      <c r="D816" s="24"/>
      <c r="E816" s="24"/>
      <c r="F816" s="24"/>
      <c r="G816" s="24"/>
      <c r="H816" s="24"/>
      <c r="I816" s="24"/>
      <c r="J816" s="24"/>
      <c r="K816" s="24"/>
      <c r="L816" s="24"/>
      <c r="M816" s="24"/>
      <c r="N816" s="24"/>
      <c r="O816" s="24"/>
      <c r="P816" s="24"/>
      <c r="Q816" s="24"/>
      <c r="R816" s="24"/>
      <c r="S816" s="24"/>
      <c r="T816" s="24"/>
      <c r="U816" s="24"/>
      <c r="V816" s="24"/>
      <c r="W816" s="24"/>
    </row>
    <row r="817">
      <c r="A817" s="24"/>
      <c r="B817" s="24"/>
      <c r="C817" s="24"/>
      <c r="D817" s="24"/>
      <c r="E817" s="24"/>
      <c r="F817" s="24"/>
      <c r="G817" s="24"/>
      <c r="H817" s="24"/>
      <c r="I817" s="24"/>
      <c r="J817" s="24"/>
      <c r="K817" s="24"/>
      <c r="L817" s="24"/>
      <c r="M817" s="24"/>
      <c r="N817" s="24"/>
      <c r="O817" s="24"/>
      <c r="P817" s="24"/>
      <c r="Q817" s="24"/>
      <c r="R817" s="24"/>
      <c r="S817" s="24"/>
      <c r="T817" s="24"/>
      <c r="U817" s="24"/>
      <c r="V817" s="24"/>
      <c r="W817" s="24"/>
    </row>
    <row r="818">
      <c r="A818" s="24"/>
      <c r="B818" s="24"/>
      <c r="C818" s="24"/>
      <c r="D818" s="24"/>
      <c r="E818" s="24"/>
      <c r="F818" s="24"/>
      <c r="G818" s="24"/>
      <c r="H818" s="24"/>
      <c r="I818" s="24"/>
      <c r="J818" s="24"/>
      <c r="K818" s="24"/>
      <c r="L818" s="24"/>
      <c r="M818" s="24"/>
      <c r="N818" s="24"/>
      <c r="O818" s="24"/>
      <c r="P818" s="24"/>
      <c r="Q818" s="24"/>
      <c r="R818" s="24"/>
      <c r="S818" s="24"/>
      <c r="T818" s="24"/>
      <c r="U818" s="24"/>
      <c r="V818" s="24"/>
      <c r="W818" s="24"/>
    </row>
    <row r="819">
      <c r="A819" s="24"/>
      <c r="B819" s="24"/>
      <c r="C819" s="24"/>
      <c r="D819" s="24"/>
      <c r="E819" s="24"/>
      <c r="F819" s="24"/>
      <c r="G819" s="24"/>
      <c r="H819" s="24"/>
      <c r="I819" s="24"/>
      <c r="J819" s="24"/>
      <c r="K819" s="24"/>
      <c r="L819" s="24"/>
      <c r="M819" s="24"/>
      <c r="N819" s="24"/>
      <c r="O819" s="24"/>
      <c r="P819" s="24"/>
      <c r="Q819" s="24"/>
      <c r="R819" s="24"/>
      <c r="S819" s="24"/>
      <c r="T819" s="24"/>
      <c r="U819" s="24"/>
      <c r="V819" s="24"/>
      <c r="W819" s="24"/>
    </row>
    <row r="820">
      <c r="A820" s="24"/>
      <c r="B820" s="24"/>
      <c r="C820" s="24"/>
      <c r="D820" s="24"/>
      <c r="E820" s="24"/>
      <c r="F820" s="24"/>
      <c r="G820" s="24"/>
      <c r="H820" s="24"/>
      <c r="I820" s="24"/>
      <c r="J820" s="24"/>
      <c r="K820" s="24"/>
      <c r="L820" s="24"/>
      <c r="M820" s="24"/>
      <c r="N820" s="24"/>
      <c r="O820" s="24"/>
      <c r="P820" s="24"/>
      <c r="Q820" s="24"/>
      <c r="R820" s="24"/>
      <c r="S820" s="24"/>
      <c r="T820" s="24"/>
      <c r="U820" s="24"/>
      <c r="V820" s="24"/>
      <c r="W820" s="24"/>
    </row>
    <row r="821">
      <c r="A821" s="24"/>
      <c r="B821" s="24"/>
      <c r="C821" s="24"/>
      <c r="D821" s="24"/>
      <c r="E821" s="24"/>
      <c r="F821" s="24"/>
      <c r="G821" s="24"/>
      <c r="H821" s="24"/>
      <c r="I821" s="24"/>
      <c r="J821" s="24"/>
      <c r="K821" s="24"/>
      <c r="L821" s="24"/>
      <c r="M821" s="24"/>
      <c r="N821" s="24"/>
      <c r="O821" s="24"/>
      <c r="P821" s="24"/>
      <c r="Q821" s="24"/>
      <c r="R821" s="24"/>
      <c r="S821" s="24"/>
      <c r="T821" s="24"/>
      <c r="U821" s="24"/>
      <c r="V821" s="24"/>
      <c r="W821" s="24"/>
    </row>
    <row r="822">
      <c r="A822" s="24"/>
      <c r="B822" s="24"/>
      <c r="C822" s="24"/>
      <c r="D822" s="24"/>
      <c r="E822" s="24"/>
      <c r="F822" s="24"/>
      <c r="G822" s="24"/>
      <c r="H822" s="24"/>
      <c r="I822" s="24"/>
      <c r="J822" s="24"/>
      <c r="K822" s="24"/>
      <c r="L822" s="24"/>
      <c r="M822" s="24"/>
      <c r="N822" s="24"/>
      <c r="O822" s="24"/>
      <c r="P822" s="24"/>
      <c r="Q822" s="24"/>
      <c r="R822" s="24"/>
      <c r="S822" s="24"/>
      <c r="T822" s="24"/>
      <c r="U822" s="24"/>
      <c r="V822" s="24"/>
      <c r="W822" s="24"/>
    </row>
    <row r="823">
      <c r="A823" s="24"/>
      <c r="B823" s="24"/>
      <c r="C823" s="24"/>
      <c r="D823" s="24"/>
      <c r="E823" s="24"/>
      <c r="F823" s="24"/>
      <c r="G823" s="24"/>
      <c r="H823" s="24"/>
      <c r="I823" s="24"/>
      <c r="J823" s="24"/>
      <c r="K823" s="24"/>
      <c r="L823" s="24"/>
      <c r="M823" s="24"/>
      <c r="N823" s="24"/>
      <c r="O823" s="24"/>
      <c r="P823" s="24"/>
      <c r="Q823" s="24"/>
      <c r="R823" s="24"/>
      <c r="S823" s="24"/>
      <c r="T823" s="24"/>
      <c r="U823" s="24"/>
      <c r="V823" s="24"/>
      <c r="W823" s="24"/>
    </row>
    <row r="824">
      <c r="A824" s="24"/>
      <c r="B824" s="24"/>
      <c r="C824" s="24"/>
      <c r="D824" s="24"/>
      <c r="E824" s="24"/>
      <c r="F824" s="24"/>
      <c r="G824" s="24"/>
      <c r="H824" s="24"/>
      <c r="I824" s="24"/>
      <c r="J824" s="24"/>
      <c r="K824" s="24"/>
      <c r="L824" s="24"/>
      <c r="M824" s="24"/>
      <c r="N824" s="24"/>
      <c r="O824" s="24"/>
      <c r="P824" s="24"/>
      <c r="Q824" s="24"/>
      <c r="R824" s="24"/>
      <c r="S824" s="24"/>
      <c r="T824" s="24"/>
      <c r="U824" s="24"/>
      <c r="V824" s="24"/>
      <c r="W824" s="24"/>
    </row>
    <row r="825">
      <c r="A825" s="24"/>
      <c r="B825" s="24"/>
      <c r="C825" s="24"/>
      <c r="D825" s="24"/>
      <c r="E825" s="24"/>
      <c r="F825" s="24"/>
      <c r="G825" s="24"/>
      <c r="H825" s="24"/>
      <c r="I825" s="24"/>
      <c r="J825" s="24"/>
      <c r="K825" s="24"/>
      <c r="L825" s="24"/>
      <c r="M825" s="24"/>
      <c r="N825" s="24"/>
      <c r="O825" s="24"/>
      <c r="P825" s="24"/>
      <c r="Q825" s="24"/>
      <c r="R825" s="24"/>
      <c r="S825" s="24"/>
      <c r="T825" s="24"/>
      <c r="U825" s="24"/>
      <c r="V825" s="24"/>
      <c r="W825" s="24"/>
    </row>
    <row r="826">
      <c r="A826" s="24"/>
      <c r="B826" s="24"/>
      <c r="C826" s="24"/>
      <c r="D826" s="24"/>
      <c r="E826" s="24"/>
      <c r="F826" s="24"/>
      <c r="G826" s="24"/>
      <c r="H826" s="24"/>
      <c r="I826" s="24"/>
      <c r="J826" s="24"/>
      <c r="K826" s="24"/>
      <c r="L826" s="24"/>
      <c r="M826" s="24"/>
      <c r="N826" s="24"/>
      <c r="O826" s="24"/>
      <c r="P826" s="24"/>
      <c r="Q826" s="24"/>
      <c r="R826" s="24"/>
      <c r="S826" s="24"/>
      <c r="T826" s="24"/>
      <c r="U826" s="24"/>
      <c r="V826" s="24"/>
      <c r="W826" s="24"/>
    </row>
    <row r="827">
      <c r="A827" s="24"/>
      <c r="B827" s="24"/>
      <c r="C827" s="24"/>
      <c r="D827" s="24"/>
      <c r="E827" s="24"/>
      <c r="F827" s="24"/>
      <c r="G827" s="24"/>
      <c r="H827" s="24"/>
      <c r="I827" s="24"/>
      <c r="J827" s="24"/>
      <c r="K827" s="24"/>
      <c r="L827" s="24"/>
      <c r="M827" s="24"/>
      <c r="N827" s="24"/>
      <c r="O827" s="24"/>
      <c r="P827" s="24"/>
      <c r="Q827" s="24"/>
      <c r="R827" s="24"/>
      <c r="S827" s="24"/>
      <c r="T827" s="24"/>
      <c r="U827" s="24"/>
      <c r="V827" s="24"/>
      <c r="W827" s="24"/>
    </row>
    <row r="828">
      <c r="A828" s="24"/>
      <c r="B828" s="24"/>
      <c r="C828" s="24"/>
      <c r="D828" s="24"/>
      <c r="E828" s="24"/>
      <c r="F828" s="24"/>
      <c r="G828" s="24"/>
      <c r="H828" s="24"/>
      <c r="I828" s="24"/>
      <c r="J828" s="24"/>
      <c r="K828" s="24"/>
      <c r="L828" s="24"/>
      <c r="M828" s="24"/>
      <c r="N828" s="24"/>
      <c r="O828" s="24"/>
      <c r="P828" s="24"/>
      <c r="Q828" s="24"/>
      <c r="R828" s="24"/>
      <c r="S828" s="24"/>
      <c r="T828" s="24"/>
      <c r="U828" s="24"/>
      <c r="V828" s="24"/>
      <c r="W828" s="24"/>
    </row>
    <row r="829">
      <c r="A829" s="24"/>
      <c r="B829" s="24"/>
      <c r="C829" s="24"/>
      <c r="D829" s="24"/>
      <c r="E829" s="24"/>
      <c r="F829" s="24"/>
      <c r="G829" s="24"/>
      <c r="H829" s="24"/>
      <c r="I829" s="24"/>
      <c r="J829" s="24"/>
      <c r="K829" s="24"/>
      <c r="L829" s="24"/>
      <c r="M829" s="24"/>
      <c r="N829" s="24"/>
      <c r="O829" s="24"/>
      <c r="P829" s="24"/>
      <c r="Q829" s="24"/>
      <c r="R829" s="24"/>
      <c r="S829" s="24"/>
      <c r="T829" s="24"/>
      <c r="U829" s="24"/>
      <c r="V829" s="24"/>
      <c r="W829" s="24"/>
    </row>
    <row r="830">
      <c r="A830" s="24"/>
      <c r="B830" s="24"/>
      <c r="C830" s="24"/>
      <c r="D830" s="24"/>
      <c r="E830" s="24"/>
      <c r="F830" s="24"/>
      <c r="G830" s="24"/>
      <c r="H830" s="24"/>
      <c r="I830" s="24"/>
      <c r="J830" s="24"/>
      <c r="K830" s="24"/>
      <c r="L830" s="24"/>
      <c r="M830" s="24"/>
      <c r="N830" s="24"/>
      <c r="O830" s="24"/>
      <c r="P830" s="24"/>
      <c r="Q830" s="24"/>
      <c r="R830" s="24"/>
      <c r="S830" s="24"/>
      <c r="T830" s="24"/>
      <c r="U830" s="24"/>
      <c r="V830" s="24"/>
      <c r="W830" s="24"/>
    </row>
    <row r="831">
      <c r="A831" s="24"/>
      <c r="B831" s="24"/>
      <c r="C831" s="24"/>
      <c r="D831" s="24"/>
      <c r="E831" s="24"/>
      <c r="F831" s="24"/>
      <c r="G831" s="24"/>
      <c r="H831" s="24"/>
      <c r="I831" s="24"/>
      <c r="J831" s="24"/>
      <c r="K831" s="24"/>
      <c r="L831" s="24"/>
      <c r="M831" s="24"/>
      <c r="N831" s="24"/>
      <c r="O831" s="24"/>
      <c r="P831" s="24"/>
      <c r="Q831" s="24"/>
      <c r="R831" s="24"/>
      <c r="S831" s="24"/>
      <c r="T831" s="24"/>
      <c r="U831" s="24"/>
      <c r="V831" s="24"/>
      <c r="W831" s="24"/>
    </row>
    <row r="832">
      <c r="A832" s="24"/>
      <c r="B832" s="24"/>
      <c r="C832" s="24"/>
      <c r="D832" s="24"/>
      <c r="E832" s="24"/>
      <c r="F832" s="24"/>
      <c r="G832" s="24"/>
      <c r="H832" s="24"/>
      <c r="I832" s="24"/>
      <c r="J832" s="24"/>
      <c r="K832" s="24"/>
      <c r="L832" s="24"/>
      <c r="M832" s="24"/>
      <c r="N832" s="24"/>
      <c r="O832" s="24"/>
      <c r="P832" s="24"/>
      <c r="Q832" s="24"/>
      <c r="R832" s="24"/>
      <c r="S832" s="24"/>
      <c r="T832" s="24"/>
      <c r="U832" s="24"/>
      <c r="V832" s="24"/>
      <c r="W832" s="24"/>
    </row>
    <row r="833">
      <c r="A833" s="24"/>
      <c r="B833" s="24"/>
      <c r="C833" s="24"/>
      <c r="D833" s="24"/>
      <c r="E833" s="24"/>
      <c r="F833" s="24"/>
      <c r="G833" s="24"/>
      <c r="H833" s="24"/>
      <c r="I833" s="24"/>
      <c r="J833" s="24"/>
      <c r="K833" s="24"/>
      <c r="L833" s="24"/>
      <c r="M833" s="24"/>
      <c r="N833" s="24"/>
      <c r="O833" s="24"/>
      <c r="P833" s="24"/>
      <c r="Q833" s="24"/>
      <c r="R833" s="24"/>
      <c r="S833" s="24"/>
      <c r="T833" s="24"/>
      <c r="U833" s="24"/>
      <c r="V833" s="24"/>
      <c r="W833" s="24"/>
    </row>
    <row r="834">
      <c r="A834" s="24"/>
      <c r="B834" s="24"/>
      <c r="C834" s="24"/>
      <c r="D834" s="24"/>
      <c r="E834" s="24"/>
      <c r="F834" s="24"/>
      <c r="G834" s="24"/>
      <c r="H834" s="24"/>
      <c r="I834" s="24"/>
      <c r="J834" s="24"/>
      <c r="K834" s="24"/>
      <c r="L834" s="24"/>
      <c r="M834" s="24"/>
      <c r="N834" s="24"/>
      <c r="O834" s="24"/>
      <c r="P834" s="24"/>
      <c r="Q834" s="24"/>
      <c r="R834" s="24"/>
      <c r="S834" s="24"/>
      <c r="T834" s="24"/>
      <c r="U834" s="24"/>
      <c r="V834" s="24"/>
      <c r="W834" s="24"/>
    </row>
    <row r="835">
      <c r="A835" s="24"/>
      <c r="B835" s="24"/>
      <c r="C835" s="24"/>
      <c r="D835" s="24"/>
      <c r="E835" s="24"/>
      <c r="F835" s="24"/>
      <c r="G835" s="24"/>
      <c r="H835" s="24"/>
      <c r="I835" s="24"/>
      <c r="J835" s="24"/>
      <c r="K835" s="24"/>
      <c r="L835" s="24"/>
      <c r="M835" s="24"/>
      <c r="N835" s="24"/>
      <c r="O835" s="24"/>
      <c r="P835" s="24"/>
      <c r="Q835" s="24"/>
      <c r="R835" s="24"/>
      <c r="S835" s="24"/>
      <c r="T835" s="24"/>
      <c r="U835" s="24"/>
      <c r="V835" s="24"/>
      <c r="W835" s="24"/>
    </row>
    <row r="836">
      <c r="A836" s="24"/>
      <c r="B836" s="24"/>
      <c r="C836" s="24"/>
      <c r="D836" s="24"/>
      <c r="E836" s="24"/>
      <c r="F836" s="24"/>
      <c r="G836" s="24"/>
      <c r="H836" s="24"/>
      <c r="I836" s="24"/>
      <c r="J836" s="24"/>
      <c r="K836" s="24"/>
      <c r="L836" s="24"/>
      <c r="M836" s="24"/>
      <c r="N836" s="24"/>
      <c r="O836" s="24"/>
      <c r="P836" s="24"/>
      <c r="Q836" s="24"/>
      <c r="R836" s="24"/>
      <c r="S836" s="24"/>
      <c r="T836" s="24"/>
      <c r="U836" s="24"/>
      <c r="V836" s="24"/>
      <c r="W836" s="24"/>
    </row>
    <row r="837">
      <c r="A837" s="24"/>
      <c r="B837" s="24"/>
      <c r="C837" s="24"/>
      <c r="D837" s="24"/>
      <c r="E837" s="24"/>
      <c r="F837" s="24"/>
      <c r="G837" s="24"/>
      <c r="H837" s="24"/>
      <c r="I837" s="24"/>
      <c r="J837" s="24"/>
      <c r="K837" s="24"/>
      <c r="L837" s="24"/>
      <c r="M837" s="24"/>
      <c r="N837" s="24"/>
      <c r="O837" s="24"/>
      <c r="P837" s="24"/>
      <c r="Q837" s="24"/>
      <c r="R837" s="24"/>
      <c r="S837" s="24"/>
      <c r="T837" s="24"/>
      <c r="U837" s="24"/>
      <c r="V837" s="24"/>
      <c r="W837" s="24"/>
    </row>
    <row r="838">
      <c r="A838" s="24"/>
      <c r="B838" s="24"/>
      <c r="C838" s="24"/>
      <c r="D838" s="24"/>
      <c r="E838" s="24"/>
      <c r="F838" s="24"/>
      <c r="G838" s="24"/>
      <c r="H838" s="24"/>
      <c r="I838" s="24"/>
      <c r="J838" s="24"/>
      <c r="K838" s="24"/>
      <c r="L838" s="24"/>
      <c r="M838" s="24"/>
      <c r="N838" s="24"/>
      <c r="O838" s="24"/>
      <c r="P838" s="24"/>
      <c r="Q838" s="24"/>
      <c r="R838" s="24"/>
      <c r="S838" s="24"/>
      <c r="T838" s="24"/>
      <c r="U838" s="24"/>
      <c r="V838" s="24"/>
      <c r="W838" s="24"/>
    </row>
    <row r="839">
      <c r="A839" s="24"/>
      <c r="B839" s="24"/>
      <c r="C839" s="24"/>
      <c r="D839" s="24"/>
      <c r="E839" s="24"/>
      <c r="F839" s="24"/>
      <c r="G839" s="24"/>
      <c r="H839" s="24"/>
      <c r="I839" s="24"/>
      <c r="J839" s="24"/>
      <c r="K839" s="24"/>
      <c r="L839" s="24"/>
      <c r="M839" s="24"/>
      <c r="N839" s="24"/>
      <c r="O839" s="24"/>
      <c r="P839" s="24"/>
      <c r="Q839" s="24"/>
      <c r="R839" s="24"/>
      <c r="S839" s="24"/>
      <c r="T839" s="24"/>
      <c r="U839" s="24"/>
      <c r="V839" s="24"/>
      <c r="W839" s="24"/>
    </row>
    <row r="840">
      <c r="A840" s="24"/>
      <c r="B840" s="24"/>
      <c r="C840" s="24"/>
      <c r="D840" s="24"/>
      <c r="E840" s="24"/>
      <c r="F840" s="24"/>
      <c r="G840" s="24"/>
      <c r="H840" s="24"/>
      <c r="I840" s="24"/>
      <c r="J840" s="24"/>
      <c r="K840" s="24"/>
      <c r="L840" s="24"/>
      <c r="M840" s="24"/>
      <c r="N840" s="24"/>
      <c r="O840" s="24"/>
      <c r="P840" s="24"/>
      <c r="Q840" s="24"/>
      <c r="R840" s="24"/>
      <c r="S840" s="24"/>
      <c r="T840" s="24"/>
      <c r="U840" s="24"/>
      <c r="V840" s="24"/>
      <c r="W840" s="24"/>
    </row>
    <row r="841">
      <c r="A841" s="24"/>
      <c r="B841" s="24"/>
      <c r="C841" s="24"/>
      <c r="D841" s="24"/>
      <c r="E841" s="24"/>
      <c r="F841" s="24"/>
      <c r="G841" s="24"/>
      <c r="H841" s="24"/>
      <c r="I841" s="24"/>
      <c r="J841" s="24"/>
      <c r="K841" s="24"/>
      <c r="L841" s="24"/>
      <c r="M841" s="24"/>
      <c r="N841" s="24"/>
      <c r="O841" s="24"/>
      <c r="P841" s="24"/>
      <c r="Q841" s="24"/>
      <c r="R841" s="24"/>
      <c r="S841" s="24"/>
      <c r="T841" s="24"/>
      <c r="U841" s="24"/>
      <c r="V841" s="24"/>
      <c r="W841" s="24"/>
    </row>
    <row r="842">
      <c r="A842" s="24"/>
      <c r="B842" s="24"/>
      <c r="C842" s="24"/>
      <c r="D842" s="24"/>
      <c r="E842" s="24"/>
      <c r="F842" s="24"/>
      <c r="G842" s="24"/>
      <c r="H842" s="24"/>
      <c r="I842" s="24"/>
      <c r="J842" s="24"/>
      <c r="K842" s="24"/>
      <c r="L842" s="24"/>
      <c r="M842" s="24"/>
      <c r="N842" s="24"/>
      <c r="O842" s="24"/>
      <c r="P842" s="24"/>
      <c r="Q842" s="24"/>
      <c r="R842" s="24"/>
      <c r="S842" s="24"/>
      <c r="T842" s="24"/>
      <c r="U842" s="24"/>
      <c r="V842" s="24"/>
      <c r="W842" s="24"/>
    </row>
    <row r="843">
      <c r="A843" s="24"/>
      <c r="B843" s="24"/>
      <c r="C843" s="24"/>
      <c r="D843" s="24"/>
      <c r="E843" s="24"/>
      <c r="F843" s="24"/>
      <c r="G843" s="24"/>
      <c r="H843" s="24"/>
      <c r="I843" s="24"/>
      <c r="J843" s="24"/>
      <c r="K843" s="24"/>
      <c r="L843" s="24"/>
      <c r="M843" s="24"/>
      <c r="N843" s="24"/>
      <c r="O843" s="24"/>
      <c r="P843" s="24"/>
      <c r="Q843" s="24"/>
      <c r="R843" s="24"/>
      <c r="S843" s="24"/>
      <c r="T843" s="24"/>
      <c r="U843" s="24"/>
      <c r="V843" s="24"/>
      <c r="W843" s="24"/>
    </row>
    <row r="844">
      <c r="A844" s="24"/>
      <c r="B844" s="24"/>
      <c r="C844" s="24"/>
      <c r="D844" s="24"/>
      <c r="E844" s="24"/>
      <c r="F844" s="24"/>
      <c r="G844" s="24"/>
      <c r="H844" s="24"/>
      <c r="I844" s="24"/>
      <c r="J844" s="24"/>
      <c r="K844" s="24"/>
      <c r="L844" s="24"/>
      <c r="M844" s="24"/>
      <c r="N844" s="24"/>
      <c r="O844" s="24"/>
      <c r="P844" s="24"/>
      <c r="Q844" s="24"/>
      <c r="R844" s="24"/>
      <c r="S844" s="24"/>
      <c r="T844" s="24"/>
      <c r="U844" s="24"/>
      <c r="V844" s="24"/>
      <c r="W844" s="24"/>
    </row>
    <row r="845">
      <c r="A845" s="24"/>
      <c r="B845" s="24"/>
      <c r="C845" s="24"/>
      <c r="D845" s="24"/>
      <c r="E845" s="24"/>
      <c r="F845" s="24"/>
      <c r="G845" s="24"/>
      <c r="H845" s="24"/>
      <c r="I845" s="24"/>
      <c r="J845" s="24"/>
      <c r="K845" s="24"/>
      <c r="L845" s="24"/>
      <c r="M845" s="24"/>
      <c r="N845" s="24"/>
      <c r="O845" s="24"/>
      <c r="P845" s="24"/>
      <c r="Q845" s="24"/>
      <c r="R845" s="24"/>
      <c r="S845" s="24"/>
      <c r="T845" s="24"/>
      <c r="U845" s="24"/>
      <c r="V845" s="24"/>
      <c r="W845" s="24"/>
    </row>
    <row r="846">
      <c r="A846" s="24"/>
      <c r="B846" s="24"/>
      <c r="C846" s="24"/>
      <c r="D846" s="24"/>
      <c r="E846" s="24"/>
      <c r="F846" s="24"/>
      <c r="G846" s="24"/>
      <c r="H846" s="24"/>
      <c r="I846" s="24"/>
      <c r="J846" s="24"/>
      <c r="K846" s="24"/>
      <c r="L846" s="24"/>
      <c r="M846" s="24"/>
      <c r="N846" s="24"/>
      <c r="O846" s="24"/>
      <c r="P846" s="24"/>
      <c r="Q846" s="24"/>
      <c r="R846" s="24"/>
      <c r="S846" s="24"/>
      <c r="T846" s="24"/>
      <c r="U846" s="24"/>
      <c r="V846" s="24"/>
      <c r="W846" s="24"/>
    </row>
    <row r="847">
      <c r="A847" s="24"/>
      <c r="B847" s="24"/>
      <c r="C847" s="24"/>
      <c r="D847" s="24"/>
      <c r="E847" s="24"/>
      <c r="F847" s="24"/>
      <c r="G847" s="24"/>
      <c r="H847" s="24"/>
      <c r="I847" s="24"/>
      <c r="J847" s="24"/>
      <c r="K847" s="24"/>
      <c r="L847" s="24"/>
      <c r="M847" s="24"/>
      <c r="N847" s="24"/>
      <c r="O847" s="24"/>
      <c r="P847" s="24"/>
      <c r="Q847" s="24"/>
      <c r="R847" s="24"/>
      <c r="S847" s="24"/>
      <c r="T847" s="24"/>
      <c r="U847" s="24"/>
      <c r="V847" s="24"/>
      <c r="W847" s="24"/>
    </row>
    <row r="848">
      <c r="A848" s="24"/>
      <c r="B848" s="24"/>
      <c r="C848" s="24"/>
      <c r="D848" s="24"/>
      <c r="E848" s="24"/>
      <c r="F848" s="24"/>
      <c r="G848" s="24"/>
      <c r="H848" s="24"/>
      <c r="I848" s="24"/>
      <c r="J848" s="24"/>
      <c r="K848" s="24"/>
      <c r="L848" s="24"/>
      <c r="M848" s="24"/>
      <c r="N848" s="24"/>
      <c r="O848" s="24"/>
      <c r="P848" s="24"/>
      <c r="Q848" s="24"/>
      <c r="R848" s="24"/>
      <c r="S848" s="24"/>
      <c r="T848" s="24"/>
      <c r="U848" s="24"/>
      <c r="V848" s="24"/>
      <c r="W848" s="24"/>
    </row>
    <row r="849">
      <c r="A849" s="24"/>
      <c r="B849" s="24"/>
      <c r="C849" s="24"/>
      <c r="D849" s="24"/>
      <c r="E849" s="24"/>
      <c r="F849" s="24"/>
      <c r="G849" s="24"/>
      <c r="H849" s="24"/>
      <c r="I849" s="24"/>
      <c r="J849" s="24"/>
      <c r="K849" s="24"/>
      <c r="L849" s="24"/>
      <c r="M849" s="24"/>
      <c r="N849" s="24"/>
      <c r="O849" s="24"/>
      <c r="P849" s="24"/>
      <c r="Q849" s="24"/>
      <c r="R849" s="24"/>
      <c r="S849" s="24"/>
      <c r="T849" s="24"/>
      <c r="U849" s="24"/>
      <c r="V849" s="24"/>
      <c r="W849" s="24"/>
    </row>
    <row r="850">
      <c r="A850" s="24"/>
      <c r="B850" s="24"/>
      <c r="C850" s="24"/>
      <c r="D850" s="24"/>
      <c r="E850" s="24"/>
      <c r="F850" s="24"/>
      <c r="G850" s="24"/>
      <c r="H850" s="24"/>
      <c r="I850" s="24"/>
      <c r="J850" s="24"/>
      <c r="K850" s="24"/>
      <c r="L850" s="24"/>
      <c r="M850" s="24"/>
      <c r="N850" s="24"/>
      <c r="O850" s="24"/>
      <c r="P850" s="24"/>
      <c r="Q850" s="24"/>
      <c r="R850" s="24"/>
      <c r="S850" s="24"/>
      <c r="T850" s="24"/>
      <c r="U850" s="24"/>
      <c r="V850" s="24"/>
      <c r="W850" s="24"/>
    </row>
    <row r="851">
      <c r="A851" s="24"/>
      <c r="B851" s="24"/>
      <c r="C851" s="24"/>
      <c r="D851" s="24"/>
      <c r="E851" s="24"/>
      <c r="F851" s="24"/>
      <c r="G851" s="24"/>
      <c r="H851" s="24"/>
      <c r="I851" s="24"/>
      <c r="J851" s="24"/>
      <c r="K851" s="24"/>
      <c r="L851" s="24"/>
      <c r="M851" s="24"/>
      <c r="N851" s="24"/>
      <c r="O851" s="24"/>
      <c r="P851" s="24"/>
      <c r="Q851" s="24"/>
      <c r="R851" s="24"/>
      <c r="S851" s="24"/>
      <c r="T851" s="24"/>
      <c r="U851" s="24"/>
      <c r="V851" s="24"/>
      <c r="W851" s="24"/>
    </row>
    <row r="852">
      <c r="A852" s="24"/>
      <c r="B852" s="24"/>
      <c r="C852" s="24"/>
      <c r="D852" s="24"/>
      <c r="E852" s="24"/>
      <c r="F852" s="24"/>
      <c r="G852" s="24"/>
      <c r="H852" s="24"/>
      <c r="I852" s="24"/>
      <c r="J852" s="24"/>
      <c r="K852" s="24"/>
      <c r="L852" s="24"/>
      <c r="M852" s="24"/>
      <c r="N852" s="24"/>
      <c r="O852" s="24"/>
      <c r="P852" s="24"/>
      <c r="Q852" s="24"/>
      <c r="R852" s="24"/>
      <c r="S852" s="24"/>
      <c r="T852" s="24"/>
      <c r="U852" s="24"/>
      <c r="V852" s="24"/>
      <c r="W852" s="24"/>
    </row>
    <row r="853">
      <c r="A853" s="24"/>
      <c r="B853" s="24"/>
      <c r="C853" s="24"/>
      <c r="D853" s="24"/>
      <c r="E853" s="24"/>
      <c r="F853" s="24"/>
      <c r="G853" s="24"/>
      <c r="H853" s="24"/>
      <c r="I853" s="24"/>
      <c r="J853" s="24"/>
      <c r="K853" s="24"/>
      <c r="L853" s="24"/>
      <c r="M853" s="24"/>
      <c r="N853" s="24"/>
      <c r="O853" s="24"/>
      <c r="P853" s="24"/>
      <c r="Q853" s="24"/>
      <c r="R853" s="24"/>
      <c r="S853" s="24"/>
      <c r="T853" s="24"/>
      <c r="U853" s="24"/>
      <c r="V853" s="24"/>
      <c r="W853" s="24"/>
    </row>
    <row r="854">
      <c r="A854" s="24"/>
      <c r="B854" s="24"/>
      <c r="C854" s="24"/>
      <c r="D854" s="24"/>
      <c r="E854" s="24"/>
      <c r="F854" s="24"/>
      <c r="G854" s="24"/>
      <c r="H854" s="24"/>
      <c r="I854" s="24"/>
      <c r="J854" s="24"/>
      <c r="K854" s="24"/>
      <c r="L854" s="24"/>
      <c r="M854" s="24"/>
      <c r="N854" s="24"/>
      <c r="O854" s="24"/>
      <c r="P854" s="24"/>
      <c r="Q854" s="24"/>
      <c r="R854" s="24"/>
      <c r="S854" s="24"/>
      <c r="T854" s="24"/>
      <c r="U854" s="24"/>
      <c r="V854" s="24"/>
      <c r="W854" s="24"/>
    </row>
    <row r="855">
      <c r="A855" s="24"/>
      <c r="B855" s="24"/>
      <c r="C855" s="24"/>
      <c r="D855" s="24"/>
      <c r="E855" s="24"/>
      <c r="F855" s="24"/>
      <c r="G855" s="24"/>
      <c r="H855" s="24"/>
      <c r="I855" s="24"/>
      <c r="J855" s="24"/>
      <c r="K855" s="24"/>
      <c r="L855" s="24"/>
      <c r="M855" s="24"/>
      <c r="N855" s="24"/>
      <c r="O855" s="24"/>
      <c r="P855" s="24"/>
      <c r="Q855" s="24"/>
      <c r="R855" s="24"/>
      <c r="S855" s="24"/>
      <c r="T855" s="24"/>
      <c r="U855" s="24"/>
      <c r="V855" s="24"/>
      <c r="W855" s="24"/>
    </row>
    <row r="856">
      <c r="A856" s="24"/>
      <c r="B856" s="24"/>
      <c r="C856" s="24"/>
      <c r="D856" s="24"/>
      <c r="E856" s="24"/>
      <c r="F856" s="24"/>
      <c r="G856" s="24"/>
      <c r="H856" s="24"/>
      <c r="I856" s="24"/>
      <c r="J856" s="24"/>
      <c r="K856" s="24"/>
      <c r="L856" s="24"/>
      <c r="M856" s="24"/>
      <c r="N856" s="24"/>
      <c r="O856" s="24"/>
      <c r="P856" s="24"/>
      <c r="Q856" s="24"/>
      <c r="R856" s="24"/>
      <c r="S856" s="24"/>
      <c r="T856" s="24"/>
      <c r="U856" s="24"/>
      <c r="V856" s="24"/>
      <c r="W856" s="24"/>
    </row>
    <row r="857">
      <c r="A857" s="24"/>
      <c r="B857" s="24"/>
      <c r="C857" s="24"/>
      <c r="D857" s="24"/>
      <c r="E857" s="24"/>
      <c r="F857" s="24"/>
      <c r="G857" s="24"/>
      <c r="H857" s="24"/>
      <c r="I857" s="24"/>
      <c r="J857" s="24"/>
      <c r="K857" s="24"/>
      <c r="L857" s="24"/>
      <c r="M857" s="24"/>
      <c r="N857" s="24"/>
      <c r="O857" s="24"/>
      <c r="P857" s="24"/>
      <c r="Q857" s="24"/>
      <c r="R857" s="24"/>
      <c r="S857" s="24"/>
      <c r="T857" s="24"/>
      <c r="U857" s="24"/>
      <c r="V857" s="24"/>
      <c r="W857" s="24"/>
    </row>
    <row r="858">
      <c r="A858" s="24"/>
      <c r="B858" s="24"/>
      <c r="C858" s="24"/>
      <c r="D858" s="24"/>
      <c r="E858" s="24"/>
      <c r="F858" s="24"/>
      <c r="G858" s="24"/>
      <c r="H858" s="24"/>
      <c r="I858" s="24"/>
      <c r="J858" s="24"/>
      <c r="K858" s="24"/>
      <c r="L858" s="24"/>
      <c r="M858" s="24"/>
      <c r="N858" s="24"/>
      <c r="O858" s="24"/>
      <c r="P858" s="24"/>
      <c r="Q858" s="24"/>
      <c r="R858" s="24"/>
      <c r="S858" s="24"/>
      <c r="T858" s="24"/>
      <c r="U858" s="24"/>
      <c r="V858" s="24"/>
      <c r="W858" s="24"/>
    </row>
    <row r="859">
      <c r="A859" s="24"/>
      <c r="B859" s="24"/>
      <c r="C859" s="24"/>
      <c r="D859" s="24"/>
      <c r="E859" s="24"/>
      <c r="F859" s="24"/>
      <c r="G859" s="24"/>
      <c r="H859" s="24"/>
      <c r="I859" s="24"/>
      <c r="J859" s="24"/>
      <c r="K859" s="24"/>
      <c r="L859" s="24"/>
      <c r="M859" s="24"/>
      <c r="N859" s="24"/>
      <c r="O859" s="24"/>
      <c r="P859" s="24"/>
      <c r="Q859" s="24"/>
      <c r="R859" s="24"/>
      <c r="S859" s="24"/>
      <c r="T859" s="24"/>
      <c r="U859" s="24"/>
      <c r="V859" s="24"/>
      <c r="W859" s="24"/>
    </row>
    <row r="860">
      <c r="A860" s="24"/>
      <c r="B860" s="24"/>
      <c r="C860" s="24"/>
      <c r="D860" s="24"/>
      <c r="E860" s="24"/>
      <c r="F860" s="24"/>
      <c r="G860" s="24"/>
      <c r="H860" s="24"/>
      <c r="I860" s="24"/>
      <c r="J860" s="24"/>
      <c r="K860" s="24"/>
      <c r="L860" s="24"/>
      <c r="M860" s="24"/>
      <c r="N860" s="24"/>
      <c r="O860" s="24"/>
      <c r="P860" s="24"/>
      <c r="Q860" s="24"/>
      <c r="R860" s="24"/>
      <c r="S860" s="24"/>
      <c r="T860" s="24"/>
      <c r="U860" s="24"/>
      <c r="V860" s="24"/>
      <c r="W860" s="24"/>
    </row>
    <row r="861">
      <c r="A861" s="24"/>
      <c r="B861" s="24"/>
      <c r="C861" s="24"/>
      <c r="D861" s="24"/>
      <c r="E861" s="24"/>
      <c r="F861" s="24"/>
      <c r="G861" s="24"/>
      <c r="H861" s="24"/>
      <c r="I861" s="24"/>
      <c r="J861" s="24"/>
      <c r="K861" s="24"/>
      <c r="L861" s="24"/>
      <c r="M861" s="24"/>
      <c r="N861" s="24"/>
      <c r="O861" s="24"/>
      <c r="P861" s="24"/>
      <c r="Q861" s="24"/>
      <c r="R861" s="24"/>
      <c r="S861" s="24"/>
      <c r="T861" s="24"/>
      <c r="U861" s="24"/>
      <c r="V861" s="24"/>
      <c r="W861" s="24"/>
    </row>
    <row r="862">
      <c r="A862" s="24"/>
      <c r="B862" s="24"/>
      <c r="C862" s="24"/>
      <c r="D862" s="24"/>
      <c r="E862" s="24"/>
      <c r="F862" s="24"/>
      <c r="G862" s="24"/>
      <c r="H862" s="24"/>
      <c r="I862" s="24"/>
      <c r="J862" s="24"/>
      <c r="K862" s="24"/>
      <c r="L862" s="24"/>
      <c r="M862" s="24"/>
      <c r="N862" s="24"/>
      <c r="O862" s="24"/>
      <c r="P862" s="24"/>
      <c r="Q862" s="24"/>
      <c r="R862" s="24"/>
      <c r="S862" s="24"/>
      <c r="T862" s="24"/>
      <c r="U862" s="24"/>
      <c r="V862" s="24"/>
      <c r="W862" s="24"/>
    </row>
    <row r="863">
      <c r="A863" s="24"/>
      <c r="B863" s="24"/>
      <c r="C863" s="24"/>
      <c r="D863" s="24"/>
      <c r="E863" s="24"/>
      <c r="F863" s="24"/>
      <c r="G863" s="24"/>
      <c r="H863" s="24"/>
      <c r="I863" s="24"/>
      <c r="J863" s="24"/>
      <c r="K863" s="24"/>
      <c r="L863" s="24"/>
      <c r="M863" s="24"/>
      <c r="N863" s="24"/>
      <c r="O863" s="24"/>
      <c r="P863" s="24"/>
      <c r="Q863" s="24"/>
      <c r="R863" s="24"/>
      <c r="S863" s="24"/>
      <c r="T863" s="24"/>
      <c r="U863" s="24"/>
      <c r="V863" s="24"/>
      <c r="W863" s="24"/>
    </row>
    <row r="864">
      <c r="A864" s="24"/>
      <c r="B864" s="24"/>
      <c r="C864" s="24"/>
      <c r="D864" s="24"/>
      <c r="E864" s="24"/>
      <c r="F864" s="24"/>
      <c r="G864" s="24"/>
      <c r="H864" s="24"/>
      <c r="I864" s="24"/>
      <c r="J864" s="24"/>
      <c r="K864" s="24"/>
      <c r="L864" s="24"/>
      <c r="M864" s="24"/>
      <c r="N864" s="24"/>
      <c r="O864" s="24"/>
      <c r="P864" s="24"/>
      <c r="Q864" s="24"/>
      <c r="R864" s="24"/>
      <c r="S864" s="24"/>
      <c r="T864" s="24"/>
      <c r="U864" s="24"/>
      <c r="V864" s="24"/>
      <c r="W864" s="24"/>
    </row>
    <row r="865">
      <c r="A865" s="24"/>
      <c r="B865" s="24"/>
      <c r="C865" s="24"/>
      <c r="D865" s="24"/>
      <c r="E865" s="24"/>
      <c r="F865" s="24"/>
      <c r="G865" s="24"/>
      <c r="H865" s="24"/>
      <c r="I865" s="24"/>
      <c r="J865" s="24"/>
      <c r="K865" s="24"/>
      <c r="L865" s="24"/>
      <c r="M865" s="24"/>
      <c r="N865" s="24"/>
      <c r="O865" s="24"/>
      <c r="P865" s="24"/>
      <c r="Q865" s="24"/>
      <c r="R865" s="24"/>
      <c r="S865" s="24"/>
      <c r="T865" s="24"/>
      <c r="U865" s="24"/>
      <c r="V865" s="24"/>
      <c r="W865" s="24"/>
    </row>
    <row r="866">
      <c r="A866" s="24"/>
      <c r="B866" s="24"/>
      <c r="C866" s="24"/>
      <c r="D866" s="24"/>
      <c r="E866" s="24"/>
      <c r="F866" s="24"/>
      <c r="G866" s="24"/>
      <c r="H866" s="24"/>
      <c r="I866" s="24"/>
      <c r="J866" s="24"/>
      <c r="K866" s="24"/>
      <c r="L866" s="24"/>
      <c r="M866" s="24"/>
      <c r="N866" s="24"/>
      <c r="O866" s="24"/>
      <c r="P866" s="24"/>
      <c r="Q866" s="24"/>
      <c r="R866" s="24"/>
      <c r="S866" s="24"/>
      <c r="T866" s="24"/>
      <c r="U866" s="24"/>
      <c r="V866" s="24"/>
      <c r="W866" s="24"/>
    </row>
    <row r="867">
      <c r="A867" s="24"/>
      <c r="B867" s="24"/>
      <c r="C867" s="24"/>
      <c r="D867" s="24"/>
      <c r="E867" s="24"/>
      <c r="F867" s="24"/>
      <c r="G867" s="24"/>
      <c r="H867" s="24"/>
      <c r="I867" s="24"/>
      <c r="J867" s="24"/>
      <c r="K867" s="24"/>
      <c r="L867" s="24"/>
      <c r="M867" s="24"/>
      <c r="N867" s="24"/>
      <c r="O867" s="24"/>
      <c r="P867" s="24"/>
      <c r="Q867" s="24"/>
      <c r="R867" s="24"/>
      <c r="S867" s="24"/>
      <c r="T867" s="24"/>
      <c r="U867" s="24"/>
      <c r="V867" s="24"/>
      <c r="W867" s="24"/>
    </row>
    <row r="868">
      <c r="A868" s="24"/>
      <c r="B868" s="24"/>
      <c r="C868" s="24"/>
      <c r="D868" s="24"/>
      <c r="E868" s="24"/>
      <c r="F868" s="24"/>
      <c r="G868" s="24"/>
      <c r="H868" s="24"/>
      <c r="I868" s="24"/>
      <c r="J868" s="24"/>
      <c r="K868" s="24"/>
      <c r="L868" s="24"/>
      <c r="M868" s="24"/>
      <c r="N868" s="24"/>
      <c r="O868" s="24"/>
      <c r="P868" s="24"/>
      <c r="Q868" s="24"/>
      <c r="R868" s="24"/>
      <c r="S868" s="24"/>
      <c r="T868" s="24"/>
      <c r="U868" s="24"/>
      <c r="V868" s="24"/>
      <c r="W868" s="24"/>
    </row>
    <row r="869">
      <c r="A869" s="24"/>
      <c r="B869" s="24"/>
      <c r="C869" s="24"/>
      <c r="D869" s="24"/>
      <c r="E869" s="24"/>
      <c r="F869" s="24"/>
      <c r="G869" s="24"/>
      <c r="H869" s="24"/>
      <c r="I869" s="24"/>
      <c r="J869" s="24"/>
      <c r="K869" s="24"/>
      <c r="L869" s="24"/>
      <c r="M869" s="24"/>
      <c r="N869" s="24"/>
      <c r="O869" s="24"/>
      <c r="P869" s="24"/>
      <c r="Q869" s="24"/>
      <c r="R869" s="24"/>
      <c r="S869" s="24"/>
      <c r="T869" s="24"/>
      <c r="U869" s="24"/>
      <c r="V869" s="24"/>
      <c r="W869" s="24"/>
    </row>
    <row r="870">
      <c r="A870" s="24"/>
      <c r="B870" s="24"/>
      <c r="C870" s="24"/>
      <c r="D870" s="24"/>
      <c r="E870" s="24"/>
      <c r="F870" s="24"/>
      <c r="G870" s="24"/>
      <c r="H870" s="24"/>
      <c r="I870" s="24"/>
      <c r="J870" s="24"/>
      <c r="K870" s="24"/>
      <c r="L870" s="24"/>
      <c r="M870" s="24"/>
      <c r="N870" s="24"/>
      <c r="O870" s="24"/>
      <c r="P870" s="24"/>
      <c r="Q870" s="24"/>
      <c r="R870" s="24"/>
      <c r="S870" s="24"/>
      <c r="T870" s="24"/>
      <c r="U870" s="24"/>
      <c r="V870" s="24"/>
      <c r="W870" s="24"/>
    </row>
    <row r="871">
      <c r="A871" s="24"/>
      <c r="B871" s="24"/>
      <c r="C871" s="24"/>
      <c r="D871" s="24"/>
      <c r="E871" s="24"/>
      <c r="F871" s="24"/>
      <c r="G871" s="24"/>
      <c r="H871" s="24"/>
      <c r="I871" s="24"/>
      <c r="J871" s="24"/>
      <c r="K871" s="24"/>
      <c r="L871" s="24"/>
      <c r="M871" s="24"/>
      <c r="N871" s="24"/>
      <c r="O871" s="24"/>
      <c r="P871" s="24"/>
      <c r="Q871" s="24"/>
      <c r="R871" s="24"/>
      <c r="S871" s="24"/>
      <c r="T871" s="24"/>
      <c r="U871" s="24"/>
      <c r="V871" s="24"/>
      <c r="W871" s="24"/>
    </row>
    <row r="872">
      <c r="A872" s="24"/>
      <c r="B872" s="24"/>
      <c r="C872" s="24"/>
      <c r="D872" s="24"/>
      <c r="E872" s="24"/>
      <c r="F872" s="24"/>
      <c r="G872" s="24"/>
      <c r="H872" s="24"/>
      <c r="I872" s="24"/>
      <c r="J872" s="24"/>
      <c r="K872" s="24"/>
      <c r="L872" s="24"/>
      <c r="M872" s="24"/>
      <c r="N872" s="24"/>
      <c r="O872" s="24"/>
      <c r="P872" s="24"/>
      <c r="Q872" s="24"/>
      <c r="R872" s="24"/>
      <c r="S872" s="24"/>
      <c r="T872" s="24"/>
      <c r="U872" s="24"/>
      <c r="V872" s="24"/>
      <c r="W872" s="24"/>
    </row>
    <row r="873">
      <c r="A873" s="24"/>
      <c r="B873" s="24"/>
      <c r="C873" s="24"/>
      <c r="D873" s="24"/>
      <c r="E873" s="24"/>
      <c r="F873" s="24"/>
      <c r="G873" s="24"/>
      <c r="H873" s="24"/>
      <c r="I873" s="24"/>
      <c r="J873" s="24"/>
      <c r="K873" s="24"/>
      <c r="L873" s="24"/>
      <c r="M873" s="24"/>
      <c r="N873" s="24"/>
      <c r="O873" s="24"/>
      <c r="P873" s="24"/>
      <c r="Q873" s="24"/>
      <c r="R873" s="24"/>
      <c r="S873" s="24"/>
      <c r="T873" s="24"/>
      <c r="U873" s="24"/>
      <c r="V873" s="24"/>
      <c r="W873" s="24"/>
    </row>
    <row r="874">
      <c r="A874" s="24"/>
      <c r="B874" s="24"/>
      <c r="C874" s="24"/>
      <c r="D874" s="24"/>
      <c r="E874" s="24"/>
      <c r="F874" s="24"/>
      <c r="G874" s="24"/>
      <c r="H874" s="24"/>
      <c r="I874" s="24"/>
      <c r="J874" s="24"/>
      <c r="K874" s="24"/>
      <c r="L874" s="24"/>
      <c r="M874" s="24"/>
      <c r="N874" s="24"/>
      <c r="O874" s="24"/>
      <c r="P874" s="24"/>
      <c r="Q874" s="24"/>
      <c r="R874" s="24"/>
      <c r="S874" s="24"/>
      <c r="T874" s="24"/>
      <c r="U874" s="24"/>
      <c r="V874" s="24"/>
      <c r="W874" s="24"/>
    </row>
    <row r="875">
      <c r="A875" s="24"/>
      <c r="B875" s="24"/>
      <c r="C875" s="24"/>
      <c r="D875" s="24"/>
      <c r="E875" s="24"/>
      <c r="F875" s="24"/>
      <c r="G875" s="24"/>
      <c r="H875" s="24"/>
      <c r="I875" s="24"/>
      <c r="J875" s="24"/>
      <c r="K875" s="24"/>
      <c r="L875" s="24"/>
      <c r="M875" s="24"/>
      <c r="N875" s="24"/>
      <c r="O875" s="24"/>
      <c r="P875" s="24"/>
      <c r="Q875" s="24"/>
      <c r="R875" s="24"/>
      <c r="S875" s="24"/>
      <c r="T875" s="24"/>
      <c r="U875" s="24"/>
      <c r="V875" s="24"/>
      <c r="W875" s="24"/>
    </row>
    <row r="876">
      <c r="A876" s="24"/>
      <c r="B876" s="24"/>
      <c r="C876" s="24"/>
      <c r="D876" s="24"/>
      <c r="E876" s="24"/>
      <c r="F876" s="24"/>
      <c r="G876" s="24"/>
      <c r="H876" s="24"/>
      <c r="I876" s="24"/>
      <c r="J876" s="24"/>
      <c r="K876" s="24"/>
      <c r="L876" s="24"/>
      <c r="M876" s="24"/>
      <c r="N876" s="24"/>
      <c r="O876" s="24"/>
      <c r="P876" s="24"/>
      <c r="Q876" s="24"/>
      <c r="R876" s="24"/>
      <c r="S876" s="24"/>
      <c r="T876" s="24"/>
      <c r="U876" s="24"/>
      <c r="V876" s="24"/>
      <c r="W876" s="24"/>
    </row>
    <row r="877">
      <c r="A877" s="24"/>
      <c r="B877" s="24"/>
      <c r="C877" s="24"/>
      <c r="D877" s="24"/>
      <c r="E877" s="24"/>
      <c r="F877" s="24"/>
      <c r="G877" s="24"/>
      <c r="H877" s="24"/>
      <c r="I877" s="24"/>
      <c r="J877" s="24"/>
      <c r="K877" s="24"/>
      <c r="L877" s="24"/>
      <c r="M877" s="24"/>
      <c r="N877" s="24"/>
      <c r="O877" s="24"/>
      <c r="P877" s="24"/>
      <c r="Q877" s="24"/>
      <c r="R877" s="24"/>
      <c r="S877" s="24"/>
      <c r="T877" s="24"/>
      <c r="U877" s="24"/>
      <c r="V877" s="24"/>
      <c r="W877" s="24"/>
    </row>
    <row r="878">
      <c r="A878" s="24"/>
      <c r="B878" s="24"/>
      <c r="C878" s="24"/>
      <c r="D878" s="24"/>
      <c r="E878" s="24"/>
      <c r="F878" s="24"/>
      <c r="G878" s="24"/>
      <c r="H878" s="24"/>
      <c r="I878" s="24"/>
      <c r="J878" s="24"/>
      <c r="K878" s="24"/>
      <c r="L878" s="24"/>
      <c r="M878" s="24"/>
      <c r="N878" s="24"/>
      <c r="O878" s="24"/>
      <c r="P878" s="24"/>
      <c r="Q878" s="24"/>
      <c r="R878" s="24"/>
      <c r="S878" s="24"/>
      <c r="T878" s="24"/>
      <c r="U878" s="24"/>
      <c r="V878" s="24"/>
      <c r="W878" s="24"/>
    </row>
    <row r="879">
      <c r="A879" s="24"/>
      <c r="B879" s="24"/>
      <c r="C879" s="24"/>
      <c r="D879" s="24"/>
      <c r="E879" s="24"/>
      <c r="F879" s="24"/>
      <c r="G879" s="24"/>
      <c r="H879" s="24"/>
      <c r="I879" s="24"/>
      <c r="J879" s="24"/>
      <c r="K879" s="24"/>
      <c r="L879" s="24"/>
      <c r="M879" s="24"/>
      <c r="N879" s="24"/>
      <c r="O879" s="24"/>
      <c r="P879" s="24"/>
      <c r="Q879" s="24"/>
      <c r="R879" s="24"/>
      <c r="S879" s="24"/>
      <c r="T879" s="24"/>
      <c r="U879" s="24"/>
      <c r="V879" s="24"/>
      <c r="W879" s="24"/>
    </row>
    <row r="880">
      <c r="A880" s="24"/>
      <c r="B880" s="24"/>
      <c r="C880" s="24"/>
      <c r="D880" s="24"/>
      <c r="E880" s="24"/>
      <c r="F880" s="24"/>
      <c r="G880" s="24"/>
      <c r="H880" s="24"/>
      <c r="I880" s="24"/>
      <c r="J880" s="24"/>
      <c r="K880" s="24"/>
      <c r="L880" s="24"/>
      <c r="M880" s="24"/>
      <c r="N880" s="24"/>
      <c r="O880" s="24"/>
      <c r="P880" s="24"/>
      <c r="Q880" s="24"/>
      <c r="R880" s="24"/>
      <c r="S880" s="24"/>
      <c r="T880" s="24"/>
      <c r="U880" s="24"/>
      <c r="V880" s="24"/>
      <c r="W880" s="24"/>
    </row>
    <row r="881">
      <c r="A881" s="24"/>
      <c r="B881" s="24"/>
      <c r="C881" s="24"/>
      <c r="D881" s="24"/>
      <c r="E881" s="24"/>
      <c r="F881" s="24"/>
      <c r="G881" s="24"/>
      <c r="H881" s="24"/>
      <c r="I881" s="24"/>
      <c r="J881" s="24"/>
      <c r="K881" s="24"/>
      <c r="L881" s="24"/>
      <c r="M881" s="24"/>
      <c r="N881" s="24"/>
      <c r="O881" s="24"/>
      <c r="P881" s="24"/>
      <c r="Q881" s="24"/>
      <c r="R881" s="24"/>
      <c r="S881" s="24"/>
      <c r="T881" s="24"/>
      <c r="U881" s="24"/>
      <c r="V881" s="24"/>
      <c r="W881" s="24"/>
    </row>
    <row r="882">
      <c r="A882" s="24"/>
      <c r="B882" s="24"/>
      <c r="C882" s="24"/>
      <c r="D882" s="24"/>
      <c r="E882" s="24"/>
      <c r="F882" s="24"/>
      <c r="G882" s="24"/>
      <c r="H882" s="24"/>
      <c r="I882" s="24"/>
      <c r="J882" s="24"/>
      <c r="K882" s="24"/>
      <c r="L882" s="24"/>
      <c r="M882" s="24"/>
      <c r="N882" s="24"/>
      <c r="O882" s="24"/>
      <c r="P882" s="24"/>
      <c r="Q882" s="24"/>
      <c r="R882" s="24"/>
      <c r="S882" s="24"/>
      <c r="T882" s="24"/>
      <c r="U882" s="24"/>
      <c r="V882" s="24"/>
      <c r="W882" s="24"/>
    </row>
    <row r="883">
      <c r="A883" s="24"/>
      <c r="B883" s="24"/>
      <c r="C883" s="24"/>
      <c r="D883" s="24"/>
      <c r="E883" s="24"/>
      <c r="F883" s="24"/>
      <c r="G883" s="24"/>
      <c r="H883" s="24"/>
      <c r="I883" s="24"/>
      <c r="J883" s="24"/>
      <c r="K883" s="24"/>
      <c r="L883" s="24"/>
      <c r="M883" s="24"/>
      <c r="N883" s="24"/>
      <c r="O883" s="24"/>
      <c r="P883" s="24"/>
      <c r="Q883" s="24"/>
      <c r="R883" s="24"/>
      <c r="S883" s="24"/>
      <c r="T883" s="24"/>
      <c r="U883" s="24"/>
      <c r="V883" s="24"/>
      <c r="W883" s="24"/>
    </row>
    <row r="884">
      <c r="A884" s="24"/>
      <c r="B884" s="24"/>
      <c r="C884" s="24"/>
      <c r="D884" s="24"/>
      <c r="E884" s="24"/>
      <c r="F884" s="24"/>
      <c r="G884" s="24"/>
      <c r="H884" s="24"/>
      <c r="I884" s="24"/>
      <c r="J884" s="24"/>
      <c r="K884" s="24"/>
      <c r="L884" s="24"/>
      <c r="M884" s="24"/>
      <c r="N884" s="24"/>
      <c r="O884" s="24"/>
      <c r="P884" s="24"/>
      <c r="Q884" s="24"/>
      <c r="R884" s="24"/>
      <c r="S884" s="24"/>
      <c r="T884" s="24"/>
      <c r="U884" s="24"/>
      <c r="V884" s="24"/>
      <c r="W884" s="24"/>
    </row>
    <row r="885">
      <c r="A885" s="24"/>
      <c r="B885" s="24"/>
      <c r="C885" s="24"/>
      <c r="D885" s="24"/>
      <c r="E885" s="24"/>
      <c r="F885" s="24"/>
      <c r="G885" s="24"/>
      <c r="H885" s="24"/>
      <c r="I885" s="24"/>
      <c r="J885" s="24"/>
      <c r="K885" s="24"/>
      <c r="L885" s="24"/>
      <c r="M885" s="24"/>
      <c r="N885" s="24"/>
      <c r="O885" s="24"/>
      <c r="P885" s="24"/>
      <c r="Q885" s="24"/>
      <c r="R885" s="24"/>
      <c r="S885" s="24"/>
      <c r="T885" s="24"/>
      <c r="U885" s="24"/>
      <c r="V885" s="24"/>
      <c r="W885" s="24"/>
    </row>
    <row r="886">
      <c r="A886" s="24"/>
      <c r="B886" s="24"/>
      <c r="C886" s="24"/>
      <c r="D886" s="24"/>
      <c r="E886" s="24"/>
      <c r="F886" s="24"/>
      <c r="G886" s="24"/>
      <c r="H886" s="24"/>
      <c r="I886" s="24"/>
      <c r="J886" s="24"/>
      <c r="K886" s="24"/>
      <c r="L886" s="24"/>
      <c r="M886" s="24"/>
      <c r="N886" s="24"/>
      <c r="O886" s="24"/>
      <c r="P886" s="24"/>
      <c r="Q886" s="24"/>
      <c r="R886" s="24"/>
      <c r="S886" s="24"/>
      <c r="T886" s="24"/>
      <c r="U886" s="24"/>
      <c r="V886" s="24"/>
      <c r="W886" s="24"/>
    </row>
    <row r="887">
      <c r="A887" s="24"/>
      <c r="B887" s="24"/>
      <c r="C887" s="24"/>
      <c r="D887" s="24"/>
      <c r="E887" s="24"/>
      <c r="F887" s="24"/>
      <c r="G887" s="24"/>
      <c r="H887" s="24"/>
      <c r="I887" s="24"/>
      <c r="J887" s="24"/>
      <c r="K887" s="24"/>
      <c r="L887" s="24"/>
      <c r="M887" s="24"/>
      <c r="N887" s="24"/>
      <c r="O887" s="24"/>
      <c r="P887" s="24"/>
      <c r="Q887" s="24"/>
      <c r="R887" s="24"/>
      <c r="S887" s="24"/>
      <c r="T887" s="24"/>
      <c r="U887" s="24"/>
      <c r="V887" s="24"/>
      <c r="W887" s="24"/>
    </row>
    <row r="888">
      <c r="A888" s="24"/>
      <c r="B888" s="24"/>
      <c r="C888" s="24"/>
      <c r="D888" s="24"/>
      <c r="E888" s="24"/>
      <c r="F888" s="24"/>
      <c r="G888" s="24"/>
      <c r="H888" s="24"/>
      <c r="I888" s="24"/>
      <c r="J888" s="24"/>
      <c r="K888" s="24"/>
      <c r="L888" s="24"/>
      <c r="M888" s="24"/>
      <c r="N888" s="24"/>
      <c r="O888" s="24"/>
      <c r="P888" s="24"/>
      <c r="Q888" s="24"/>
      <c r="R888" s="24"/>
      <c r="S888" s="24"/>
      <c r="T888" s="24"/>
      <c r="U888" s="24"/>
      <c r="V888" s="24"/>
      <c r="W888" s="24"/>
    </row>
    <row r="889">
      <c r="A889" s="24"/>
      <c r="B889" s="24"/>
      <c r="C889" s="24"/>
      <c r="D889" s="24"/>
      <c r="E889" s="24"/>
      <c r="F889" s="24"/>
      <c r="G889" s="24"/>
      <c r="H889" s="24"/>
      <c r="I889" s="24"/>
      <c r="J889" s="24"/>
      <c r="K889" s="24"/>
      <c r="L889" s="24"/>
      <c r="M889" s="24"/>
      <c r="N889" s="24"/>
      <c r="O889" s="24"/>
      <c r="P889" s="24"/>
      <c r="Q889" s="24"/>
      <c r="R889" s="24"/>
      <c r="S889" s="24"/>
      <c r="T889" s="24"/>
      <c r="U889" s="24"/>
      <c r="V889" s="24"/>
      <c r="W889" s="24"/>
    </row>
    <row r="890">
      <c r="A890" s="24"/>
      <c r="B890" s="24"/>
      <c r="C890" s="24"/>
      <c r="D890" s="24"/>
      <c r="E890" s="24"/>
      <c r="F890" s="24"/>
      <c r="G890" s="24"/>
      <c r="H890" s="24"/>
      <c r="I890" s="24"/>
      <c r="J890" s="24"/>
      <c r="K890" s="24"/>
      <c r="L890" s="24"/>
      <c r="M890" s="24"/>
      <c r="N890" s="24"/>
      <c r="O890" s="24"/>
      <c r="P890" s="24"/>
      <c r="Q890" s="24"/>
      <c r="R890" s="24"/>
      <c r="S890" s="24"/>
      <c r="T890" s="24"/>
      <c r="U890" s="24"/>
      <c r="V890" s="24"/>
      <c r="W890" s="24"/>
    </row>
    <row r="891">
      <c r="A891" s="24"/>
      <c r="B891" s="24"/>
      <c r="C891" s="24"/>
      <c r="D891" s="24"/>
      <c r="E891" s="24"/>
      <c r="F891" s="24"/>
      <c r="G891" s="24"/>
      <c r="H891" s="24"/>
      <c r="I891" s="24"/>
      <c r="J891" s="24"/>
      <c r="K891" s="24"/>
      <c r="L891" s="24"/>
      <c r="M891" s="24"/>
      <c r="N891" s="24"/>
      <c r="O891" s="24"/>
      <c r="P891" s="24"/>
      <c r="Q891" s="24"/>
      <c r="R891" s="24"/>
      <c r="S891" s="24"/>
      <c r="T891" s="24"/>
      <c r="U891" s="24"/>
      <c r="V891" s="24"/>
      <c r="W891" s="24"/>
    </row>
    <row r="892">
      <c r="A892" s="24"/>
      <c r="B892" s="24"/>
      <c r="C892" s="24"/>
      <c r="D892" s="24"/>
      <c r="E892" s="24"/>
      <c r="F892" s="24"/>
      <c r="G892" s="24"/>
      <c r="H892" s="24"/>
      <c r="I892" s="24"/>
      <c r="J892" s="24"/>
      <c r="K892" s="24"/>
      <c r="L892" s="24"/>
      <c r="M892" s="24"/>
      <c r="N892" s="24"/>
      <c r="O892" s="24"/>
      <c r="P892" s="24"/>
      <c r="Q892" s="24"/>
      <c r="R892" s="24"/>
      <c r="S892" s="24"/>
      <c r="T892" s="24"/>
      <c r="U892" s="24"/>
      <c r="V892" s="24"/>
      <c r="W892" s="24"/>
    </row>
    <row r="893">
      <c r="A893" s="24"/>
      <c r="B893" s="24"/>
      <c r="C893" s="24"/>
      <c r="D893" s="24"/>
      <c r="E893" s="24"/>
      <c r="F893" s="24"/>
      <c r="G893" s="24"/>
      <c r="H893" s="24"/>
      <c r="I893" s="24"/>
      <c r="J893" s="24"/>
      <c r="K893" s="24"/>
      <c r="L893" s="24"/>
      <c r="M893" s="24"/>
      <c r="N893" s="24"/>
      <c r="O893" s="24"/>
      <c r="P893" s="24"/>
      <c r="Q893" s="24"/>
      <c r="R893" s="24"/>
      <c r="S893" s="24"/>
      <c r="T893" s="24"/>
      <c r="U893" s="24"/>
      <c r="V893" s="24"/>
      <c r="W893" s="24"/>
    </row>
    <row r="894">
      <c r="A894" s="24"/>
      <c r="B894" s="24"/>
      <c r="C894" s="24"/>
      <c r="D894" s="24"/>
      <c r="E894" s="24"/>
      <c r="F894" s="24"/>
      <c r="G894" s="24"/>
      <c r="H894" s="24"/>
      <c r="I894" s="24"/>
      <c r="J894" s="24"/>
      <c r="K894" s="24"/>
      <c r="L894" s="24"/>
      <c r="M894" s="24"/>
      <c r="N894" s="24"/>
      <c r="O894" s="24"/>
      <c r="P894" s="24"/>
      <c r="Q894" s="24"/>
      <c r="R894" s="24"/>
      <c r="S894" s="24"/>
      <c r="T894" s="24"/>
      <c r="U894" s="24"/>
      <c r="V894" s="24"/>
      <c r="W894" s="24"/>
    </row>
    <row r="895">
      <c r="A895" s="24"/>
      <c r="B895" s="24"/>
      <c r="C895" s="24"/>
      <c r="D895" s="24"/>
      <c r="E895" s="24"/>
      <c r="F895" s="24"/>
      <c r="G895" s="24"/>
      <c r="H895" s="24"/>
      <c r="I895" s="24"/>
      <c r="J895" s="24"/>
      <c r="K895" s="24"/>
      <c r="L895" s="24"/>
      <c r="M895" s="24"/>
      <c r="N895" s="24"/>
      <c r="O895" s="24"/>
      <c r="P895" s="24"/>
      <c r="Q895" s="24"/>
      <c r="R895" s="24"/>
      <c r="S895" s="24"/>
      <c r="T895" s="24"/>
      <c r="U895" s="24"/>
      <c r="V895" s="24"/>
      <c r="W895" s="24"/>
    </row>
    <row r="896">
      <c r="A896" s="24"/>
      <c r="B896" s="24"/>
      <c r="C896" s="24"/>
      <c r="D896" s="24"/>
      <c r="E896" s="24"/>
      <c r="F896" s="24"/>
      <c r="G896" s="24"/>
      <c r="H896" s="24"/>
      <c r="I896" s="24"/>
      <c r="J896" s="24"/>
      <c r="K896" s="24"/>
      <c r="L896" s="24"/>
      <c r="M896" s="24"/>
      <c r="N896" s="24"/>
      <c r="O896" s="24"/>
      <c r="P896" s="24"/>
      <c r="Q896" s="24"/>
      <c r="R896" s="24"/>
      <c r="S896" s="24"/>
      <c r="T896" s="24"/>
      <c r="U896" s="24"/>
      <c r="V896" s="24"/>
      <c r="W896" s="24"/>
    </row>
    <row r="897">
      <c r="A897" s="24"/>
      <c r="B897" s="24"/>
      <c r="C897" s="24"/>
      <c r="D897" s="24"/>
      <c r="E897" s="24"/>
      <c r="F897" s="24"/>
      <c r="G897" s="24"/>
      <c r="H897" s="24"/>
      <c r="I897" s="24"/>
      <c r="J897" s="24"/>
      <c r="K897" s="24"/>
      <c r="L897" s="24"/>
      <c r="M897" s="24"/>
      <c r="N897" s="24"/>
      <c r="O897" s="24"/>
      <c r="P897" s="24"/>
      <c r="Q897" s="24"/>
      <c r="R897" s="24"/>
      <c r="S897" s="24"/>
      <c r="T897" s="24"/>
      <c r="U897" s="24"/>
      <c r="V897" s="24"/>
      <c r="W897" s="24"/>
    </row>
    <row r="898">
      <c r="A898" s="24"/>
      <c r="B898" s="24"/>
      <c r="C898" s="24"/>
      <c r="D898" s="24"/>
      <c r="E898" s="24"/>
      <c r="F898" s="24"/>
      <c r="G898" s="24"/>
      <c r="H898" s="24"/>
      <c r="I898" s="24"/>
      <c r="J898" s="24"/>
      <c r="K898" s="24"/>
      <c r="L898" s="24"/>
      <c r="M898" s="24"/>
      <c r="N898" s="24"/>
      <c r="O898" s="24"/>
      <c r="P898" s="24"/>
      <c r="Q898" s="24"/>
      <c r="R898" s="24"/>
      <c r="S898" s="24"/>
      <c r="T898" s="24"/>
      <c r="U898" s="24"/>
      <c r="V898" s="24"/>
      <c r="W898" s="24"/>
    </row>
    <row r="899">
      <c r="A899" s="24"/>
      <c r="B899" s="24"/>
      <c r="C899" s="24"/>
      <c r="D899" s="24"/>
      <c r="E899" s="24"/>
      <c r="F899" s="24"/>
      <c r="G899" s="24"/>
      <c r="H899" s="24"/>
      <c r="I899" s="24"/>
      <c r="J899" s="24"/>
      <c r="K899" s="24"/>
      <c r="L899" s="24"/>
      <c r="M899" s="24"/>
      <c r="N899" s="24"/>
      <c r="O899" s="24"/>
      <c r="P899" s="24"/>
      <c r="Q899" s="24"/>
      <c r="R899" s="24"/>
      <c r="S899" s="24"/>
      <c r="T899" s="24"/>
      <c r="U899" s="24"/>
      <c r="V899" s="24"/>
      <c r="W899" s="24"/>
    </row>
    <row r="900">
      <c r="A900" s="24"/>
      <c r="B900" s="24"/>
      <c r="C900" s="24"/>
      <c r="D900" s="24"/>
      <c r="E900" s="24"/>
      <c r="F900" s="24"/>
      <c r="G900" s="24"/>
      <c r="H900" s="24"/>
      <c r="I900" s="24"/>
      <c r="J900" s="24"/>
      <c r="K900" s="24"/>
      <c r="L900" s="24"/>
      <c r="M900" s="24"/>
      <c r="N900" s="24"/>
      <c r="O900" s="24"/>
      <c r="P900" s="24"/>
      <c r="Q900" s="24"/>
      <c r="R900" s="24"/>
      <c r="S900" s="24"/>
      <c r="T900" s="24"/>
      <c r="U900" s="24"/>
      <c r="V900" s="24"/>
      <c r="W900" s="24"/>
    </row>
    <row r="901">
      <c r="A901" s="24"/>
      <c r="B901" s="24"/>
      <c r="C901" s="24"/>
      <c r="D901" s="24"/>
      <c r="E901" s="24"/>
      <c r="F901" s="24"/>
      <c r="G901" s="24"/>
      <c r="H901" s="24"/>
      <c r="I901" s="24"/>
      <c r="J901" s="24"/>
      <c r="K901" s="24"/>
      <c r="L901" s="24"/>
      <c r="M901" s="24"/>
      <c r="N901" s="24"/>
      <c r="O901" s="24"/>
      <c r="P901" s="24"/>
      <c r="Q901" s="24"/>
      <c r="R901" s="24"/>
      <c r="S901" s="24"/>
      <c r="T901" s="24"/>
      <c r="U901" s="24"/>
      <c r="V901" s="24"/>
      <c r="W901" s="24"/>
    </row>
    <row r="902">
      <c r="A902" s="24"/>
      <c r="B902" s="24"/>
      <c r="C902" s="24"/>
      <c r="D902" s="24"/>
      <c r="E902" s="24"/>
      <c r="F902" s="24"/>
      <c r="G902" s="24"/>
      <c r="H902" s="24"/>
      <c r="I902" s="24"/>
      <c r="J902" s="24"/>
      <c r="K902" s="24"/>
      <c r="L902" s="24"/>
      <c r="M902" s="24"/>
      <c r="N902" s="24"/>
      <c r="O902" s="24"/>
      <c r="P902" s="24"/>
      <c r="Q902" s="24"/>
      <c r="R902" s="24"/>
      <c r="S902" s="24"/>
      <c r="T902" s="24"/>
      <c r="U902" s="24"/>
      <c r="V902" s="24"/>
      <c r="W902" s="24"/>
    </row>
    <row r="903">
      <c r="A903" s="24"/>
      <c r="B903" s="24"/>
      <c r="C903" s="24"/>
      <c r="D903" s="24"/>
      <c r="E903" s="24"/>
      <c r="F903" s="24"/>
      <c r="G903" s="24"/>
      <c r="H903" s="24"/>
      <c r="I903" s="24"/>
      <c r="J903" s="24"/>
      <c r="K903" s="24"/>
      <c r="L903" s="24"/>
      <c r="M903" s="24"/>
      <c r="N903" s="24"/>
      <c r="O903" s="24"/>
      <c r="P903" s="24"/>
      <c r="Q903" s="24"/>
      <c r="R903" s="24"/>
      <c r="S903" s="24"/>
      <c r="T903" s="24"/>
      <c r="U903" s="24"/>
      <c r="V903" s="24"/>
      <c r="W903" s="24"/>
    </row>
    <row r="904">
      <c r="A904" s="24"/>
      <c r="B904" s="24"/>
      <c r="C904" s="24"/>
      <c r="D904" s="24"/>
      <c r="E904" s="24"/>
      <c r="F904" s="24"/>
      <c r="G904" s="24"/>
      <c r="H904" s="24"/>
      <c r="I904" s="24"/>
      <c r="J904" s="24"/>
      <c r="K904" s="24"/>
      <c r="L904" s="24"/>
      <c r="M904" s="24"/>
      <c r="N904" s="24"/>
      <c r="O904" s="24"/>
      <c r="P904" s="24"/>
      <c r="Q904" s="24"/>
      <c r="R904" s="24"/>
      <c r="S904" s="24"/>
      <c r="T904" s="24"/>
      <c r="U904" s="24"/>
      <c r="V904" s="24"/>
      <c r="W904" s="24"/>
    </row>
    <row r="905">
      <c r="A905" s="24"/>
      <c r="B905" s="24"/>
      <c r="C905" s="24"/>
      <c r="D905" s="24"/>
      <c r="E905" s="24"/>
      <c r="F905" s="24"/>
      <c r="G905" s="24"/>
      <c r="H905" s="24"/>
      <c r="I905" s="24"/>
      <c r="J905" s="24"/>
      <c r="K905" s="24"/>
      <c r="L905" s="24"/>
      <c r="M905" s="24"/>
      <c r="N905" s="24"/>
      <c r="O905" s="24"/>
      <c r="P905" s="24"/>
      <c r="Q905" s="24"/>
      <c r="R905" s="24"/>
      <c r="S905" s="24"/>
      <c r="T905" s="24"/>
      <c r="U905" s="24"/>
      <c r="V905" s="24"/>
      <c r="W905" s="24"/>
    </row>
    <row r="906">
      <c r="A906" s="24"/>
      <c r="B906" s="24"/>
      <c r="C906" s="24"/>
      <c r="D906" s="24"/>
      <c r="E906" s="24"/>
      <c r="F906" s="24"/>
      <c r="G906" s="24"/>
      <c r="H906" s="24"/>
      <c r="I906" s="24"/>
      <c r="J906" s="24"/>
      <c r="K906" s="24"/>
      <c r="L906" s="24"/>
      <c r="M906" s="24"/>
      <c r="N906" s="24"/>
      <c r="O906" s="24"/>
      <c r="P906" s="24"/>
      <c r="Q906" s="24"/>
      <c r="R906" s="24"/>
      <c r="S906" s="24"/>
      <c r="T906" s="24"/>
      <c r="U906" s="24"/>
      <c r="V906" s="24"/>
      <c r="W906" s="24"/>
    </row>
    <row r="907">
      <c r="A907" s="24"/>
      <c r="B907" s="24"/>
      <c r="C907" s="24"/>
      <c r="D907" s="24"/>
      <c r="E907" s="24"/>
      <c r="F907" s="24"/>
      <c r="G907" s="24"/>
      <c r="H907" s="24"/>
      <c r="I907" s="24"/>
      <c r="J907" s="24"/>
      <c r="K907" s="24"/>
      <c r="L907" s="24"/>
      <c r="M907" s="24"/>
      <c r="N907" s="24"/>
      <c r="O907" s="24"/>
      <c r="P907" s="24"/>
      <c r="Q907" s="24"/>
      <c r="R907" s="24"/>
      <c r="S907" s="24"/>
      <c r="T907" s="24"/>
      <c r="U907" s="24"/>
      <c r="V907" s="24"/>
      <c r="W907" s="24"/>
    </row>
    <row r="908">
      <c r="A908" s="24"/>
      <c r="B908" s="24"/>
      <c r="C908" s="24"/>
      <c r="D908" s="24"/>
      <c r="E908" s="24"/>
      <c r="F908" s="24"/>
      <c r="G908" s="24"/>
      <c r="H908" s="24"/>
      <c r="I908" s="24"/>
      <c r="J908" s="24"/>
      <c r="K908" s="24"/>
      <c r="L908" s="24"/>
      <c r="M908" s="24"/>
      <c r="N908" s="24"/>
      <c r="O908" s="24"/>
      <c r="P908" s="24"/>
      <c r="Q908" s="24"/>
      <c r="R908" s="24"/>
      <c r="S908" s="24"/>
      <c r="T908" s="24"/>
      <c r="U908" s="24"/>
      <c r="V908" s="24"/>
      <c r="W908" s="24"/>
    </row>
    <row r="909">
      <c r="A909" s="24"/>
      <c r="B909" s="24"/>
      <c r="C909" s="24"/>
      <c r="D909" s="24"/>
      <c r="E909" s="24"/>
      <c r="F909" s="24"/>
      <c r="G909" s="24"/>
      <c r="H909" s="24"/>
      <c r="I909" s="24"/>
      <c r="J909" s="24"/>
      <c r="K909" s="24"/>
      <c r="L909" s="24"/>
      <c r="M909" s="24"/>
      <c r="N909" s="24"/>
      <c r="O909" s="24"/>
      <c r="P909" s="24"/>
      <c r="Q909" s="24"/>
      <c r="R909" s="24"/>
      <c r="S909" s="24"/>
      <c r="T909" s="24"/>
      <c r="U909" s="24"/>
      <c r="V909" s="24"/>
      <c r="W909" s="24"/>
    </row>
    <row r="910">
      <c r="A910" s="24"/>
      <c r="B910" s="24"/>
      <c r="C910" s="24"/>
      <c r="D910" s="24"/>
      <c r="E910" s="24"/>
      <c r="F910" s="24"/>
      <c r="G910" s="24"/>
      <c r="H910" s="24"/>
      <c r="I910" s="24"/>
      <c r="J910" s="24"/>
      <c r="K910" s="24"/>
      <c r="L910" s="24"/>
      <c r="M910" s="24"/>
      <c r="N910" s="24"/>
      <c r="O910" s="24"/>
      <c r="P910" s="24"/>
      <c r="Q910" s="24"/>
      <c r="R910" s="24"/>
      <c r="S910" s="24"/>
      <c r="T910" s="24"/>
      <c r="U910" s="24"/>
      <c r="V910" s="24"/>
      <c r="W910" s="24"/>
    </row>
    <row r="911">
      <c r="A911" s="24"/>
      <c r="B911" s="24"/>
      <c r="C911" s="24"/>
      <c r="D911" s="24"/>
      <c r="E911" s="24"/>
      <c r="F911" s="24"/>
      <c r="G911" s="24"/>
      <c r="H911" s="24"/>
      <c r="I911" s="24"/>
      <c r="J911" s="24"/>
      <c r="K911" s="24"/>
      <c r="L911" s="24"/>
      <c r="M911" s="24"/>
      <c r="N911" s="24"/>
      <c r="O911" s="24"/>
      <c r="P911" s="24"/>
      <c r="Q911" s="24"/>
      <c r="R911" s="24"/>
      <c r="S911" s="24"/>
      <c r="T911" s="24"/>
      <c r="U911" s="24"/>
      <c r="V911" s="24"/>
      <c r="W911" s="24"/>
    </row>
    <row r="912">
      <c r="A912" s="24"/>
      <c r="B912" s="24"/>
      <c r="C912" s="24"/>
      <c r="D912" s="24"/>
      <c r="E912" s="24"/>
      <c r="F912" s="24"/>
      <c r="G912" s="24"/>
      <c r="H912" s="24"/>
      <c r="I912" s="24"/>
      <c r="J912" s="24"/>
      <c r="K912" s="24"/>
      <c r="L912" s="24"/>
      <c r="M912" s="24"/>
      <c r="N912" s="24"/>
      <c r="O912" s="24"/>
      <c r="P912" s="24"/>
      <c r="Q912" s="24"/>
      <c r="R912" s="24"/>
      <c r="S912" s="24"/>
      <c r="T912" s="24"/>
      <c r="U912" s="24"/>
      <c r="V912" s="24"/>
      <c r="W912" s="24"/>
    </row>
    <row r="913">
      <c r="A913" s="24"/>
      <c r="B913" s="24"/>
      <c r="C913" s="24"/>
      <c r="D913" s="24"/>
      <c r="E913" s="24"/>
      <c r="F913" s="24"/>
      <c r="G913" s="24"/>
      <c r="H913" s="24"/>
      <c r="I913" s="24"/>
      <c r="J913" s="24"/>
      <c r="K913" s="24"/>
      <c r="L913" s="24"/>
      <c r="M913" s="24"/>
      <c r="N913" s="24"/>
      <c r="O913" s="24"/>
      <c r="P913" s="24"/>
      <c r="Q913" s="24"/>
      <c r="R913" s="24"/>
      <c r="S913" s="24"/>
      <c r="T913" s="24"/>
      <c r="U913" s="24"/>
      <c r="V913" s="24"/>
      <c r="W913" s="24"/>
    </row>
    <row r="914">
      <c r="A914" s="24"/>
      <c r="B914" s="24"/>
      <c r="C914" s="24"/>
      <c r="D914" s="24"/>
      <c r="E914" s="24"/>
      <c r="F914" s="24"/>
      <c r="G914" s="24"/>
      <c r="H914" s="24"/>
      <c r="I914" s="24"/>
      <c r="J914" s="24"/>
      <c r="K914" s="24"/>
      <c r="L914" s="24"/>
      <c r="M914" s="24"/>
      <c r="N914" s="24"/>
      <c r="O914" s="24"/>
      <c r="P914" s="24"/>
      <c r="Q914" s="24"/>
      <c r="R914" s="24"/>
      <c r="S914" s="24"/>
      <c r="T914" s="24"/>
      <c r="U914" s="24"/>
      <c r="V914" s="24"/>
      <c r="W914" s="24"/>
    </row>
    <row r="915">
      <c r="A915" s="24"/>
      <c r="B915" s="24"/>
      <c r="C915" s="24"/>
      <c r="D915" s="24"/>
      <c r="E915" s="24"/>
      <c r="F915" s="24"/>
      <c r="G915" s="24"/>
      <c r="H915" s="24"/>
      <c r="I915" s="24"/>
      <c r="J915" s="24"/>
      <c r="K915" s="24"/>
      <c r="L915" s="24"/>
      <c r="M915" s="24"/>
      <c r="N915" s="24"/>
      <c r="O915" s="24"/>
      <c r="P915" s="24"/>
      <c r="Q915" s="24"/>
      <c r="R915" s="24"/>
      <c r="S915" s="24"/>
      <c r="T915" s="24"/>
      <c r="U915" s="24"/>
      <c r="V915" s="24"/>
      <c r="W915" s="24"/>
    </row>
    <row r="916">
      <c r="A916" s="24"/>
      <c r="B916" s="24"/>
      <c r="C916" s="24"/>
      <c r="D916" s="24"/>
      <c r="E916" s="24"/>
      <c r="F916" s="24"/>
      <c r="G916" s="24"/>
      <c r="H916" s="24"/>
      <c r="I916" s="24"/>
      <c r="J916" s="24"/>
      <c r="K916" s="24"/>
      <c r="L916" s="24"/>
      <c r="M916" s="24"/>
      <c r="N916" s="24"/>
      <c r="O916" s="24"/>
      <c r="P916" s="24"/>
      <c r="Q916" s="24"/>
      <c r="R916" s="24"/>
      <c r="S916" s="24"/>
      <c r="T916" s="24"/>
      <c r="U916" s="24"/>
      <c r="V916" s="24"/>
      <c r="W916" s="24"/>
    </row>
    <row r="917">
      <c r="A917" s="24"/>
      <c r="B917" s="24"/>
      <c r="C917" s="24"/>
      <c r="D917" s="24"/>
      <c r="E917" s="24"/>
      <c r="F917" s="24"/>
      <c r="G917" s="24"/>
      <c r="H917" s="24"/>
      <c r="I917" s="24"/>
      <c r="J917" s="24"/>
      <c r="K917" s="24"/>
      <c r="L917" s="24"/>
      <c r="M917" s="24"/>
      <c r="N917" s="24"/>
      <c r="O917" s="24"/>
      <c r="P917" s="24"/>
      <c r="Q917" s="24"/>
      <c r="R917" s="24"/>
      <c r="S917" s="24"/>
      <c r="T917" s="24"/>
      <c r="U917" s="24"/>
      <c r="V917" s="24"/>
      <c r="W917" s="24"/>
    </row>
    <row r="918">
      <c r="A918" s="24"/>
      <c r="B918" s="24"/>
      <c r="C918" s="24"/>
      <c r="D918" s="24"/>
      <c r="E918" s="24"/>
      <c r="F918" s="24"/>
      <c r="G918" s="24"/>
      <c r="H918" s="24"/>
      <c r="I918" s="24"/>
      <c r="J918" s="24"/>
      <c r="K918" s="24"/>
      <c r="L918" s="24"/>
      <c r="M918" s="24"/>
      <c r="N918" s="24"/>
      <c r="O918" s="24"/>
      <c r="P918" s="24"/>
      <c r="Q918" s="24"/>
      <c r="R918" s="24"/>
      <c r="S918" s="24"/>
      <c r="T918" s="24"/>
      <c r="U918" s="24"/>
      <c r="V918" s="24"/>
      <c r="W918" s="24"/>
    </row>
    <row r="919">
      <c r="A919" s="24"/>
      <c r="B919" s="24"/>
      <c r="C919" s="24"/>
      <c r="D919" s="24"/>
      <c r="E919" s="24"/>
      <c r="F919" s="24"/>
      <c r="G919" s="24"/>
      <c r="H919" s="24"/>
      <c r="I919" s="24"/>
      <c r="J919" s="24"/>
      <c r="K919" s="24"/>
      <c r="L919" s="24"/>
      <c r="M919" s="24"/>
      <c r="N919" s="24"/>
      <c r="O919" s="24"/>
      <c r="P919" s="24"/>
      <c r="Q919" s="24"/>
      <c r="R919" s="24"/>
      <c r="S919" s="24"/>
      <c r="T919" s="24"/>
      <c r="U919" s="24"/>
      <c r="V919" s="24"/>
      <c r="W919" s="24"/>
    </row>
    <row r="920">
      <c r="A920" s="24"/>
      <c r="B920" s="24"/>
      <c r="C920" s="24"/>
      <c r="D920" s="24"/>
      <c r="E920" s="24"/>
      <c r="F920" s="24"/>
      <c r="G920" s="24"/>
      <c r="H920" s="24"/>
      <c r="I920" s="24"/>
      <c r="J920" s="24"/>
      <c r="K920" s="24"/>
      <c r="L920" s="24"/>
      <c r="M920" s="24"/>
      <c r="N920" s="24"/>
      <c r="O920" s="24"/>
      <c r="P920" s="24"/>
      <c r="Q920" s="24"/>
      <c r="R920" s="24"/>
      <c r="S920" s="24"/>
      <c r="T920" s="24"/>
      <c r="U920" s="24"/>
      <c r="V920" s="24"/>
      <c r="W920" s="24"/>
    </row>
    <row r="921">
      <c r="A921" s="24"/>
      <c r="B921" s="24"/>
      <c r="C921" s="24"/>
      <c r="D921" s="24"/>
      <c r="E921" s="24"/>
      <c r="F921" s="24"/>
      <c r="G921" s="24"/>
      <c r="H921" s="24"/>
      <c r="I921" s="24"/>
      <c r="J921" s="24"/>
      <c r="K921" s="24"/>
      <c r="L921" s="24"/>
      <c r="M921" s="24"/>
      <c r="N921" s="24"/>
      <c r="O921" s="24"/>
      <c r="P921" s="24"/>
      <c r="Q921" s="24"/>
      <c r="R921" s="24"/>
      <c r="S921" s="24"/>
      <c r="T921" s="24"/>
      <c r="U921" s="24"/>
      <c r="V921" s="24"/>
      <c r="W921" s="24"/>
    </row>
    <row r="922">
      <c r="A922" s="24"/>
      <c r="B922" s="24"/>
      <c r="C922" s="24"/>
      <c r="D922" s="24"/>
      <c r="E922" s="24"/>
      <c r="F922" s="24"/>
      <c r="G922" s="24"/>
      <c r="H922" s="24"/>
      <c r="I922" s="24"/>
      <c r="J922" s="24"/>
      <c r="K922" s="24"/>
      <c r="L922" s="24"/>
      <c r="M922" s="24"/>
      <c r="N922" s="24"/>
      <c r="O922" s="24"/>
      <c r="P922" s="24"/>
      <c r="Q922" s="24"/>
      <c r="R922" s="24"/>
      <c r="S922" s="24"/>
      <c r="T922" s="24"/>
      <c r="U922" s="24"/>
      <c r="V922" s="24"/>
      <c r="W922" s="24"/>
    </row>
    <row r="923">
      <c r="A923" s="24"/>
      <c r="B923" s="24"/>
      <c r="C923" s="24"/>
      <c r="D923" s="24"/>
      <c r="E923" s="24"/>
      <c r="F923" s="24"/>
      <c r="G923" s="24"/>
      <c r="H923" s="24"/>
      <c r="I923" s="24"/>
      <c r="J923" s="24"/>
      <c r="K923" s="24"/>
      <c r="L923" s="24"/>
      <c r="M923" s="24"/>
      <c r="N923" s="24"/>
      <c r="O923" s="24"/>
      <c r="P923" s="24"/>
      <c r="Q923" s="24"/>
      <c r="R923" s="24"/>
      <c r="S923" s="24"/>
      <c r="T923" s="24"/>
      <c r="U923" s="24"/>
      <c r="V923" s="24"/>
      <c r="W923" s="24"/>
    </row>
    <row r="924">
      <c r="A924" s="24"/>
      <c r="B924" s="24"/>
      <c r="C924" s="24"/>
      <c r="D924" s="24"/>
      <c r="E924" s="24"/>
      <c r="F924" s="24"/>
      <c r="G924" s="24"/>
      <c r="H924" s="24"/>
      <c r="I924" s="24"/>
      <c r="J924" s="24"/>
      <c r="K924" s="24"/>
      <c r="L924" s="24"/>
      <c r="M924" s="24"/>
      <c r="N924" s="24"/>
      <c r="O924" s="24"/>
      <c r="P924" s="24"/>
      <c r="Q924" s="24"/>
      <c r="R924" s="24"/>
      <c r="S924" s="24"/>
      <c r="T924" s="24"/>
      <c r="U924" s="24"/>
      <c r="V924" s="24"/>
      <c r="W924" s="24"/>
    </row>
    <row r="925">
      <c r="A925" s="24"/>
      <c r="B925" s="24"/>
      <c r="C925" s="24"/>
      <c r="D925" s="24"/>
      <c r="E925" s="24"/>
      <c r="F925" s="24"/>
      <c r="G925" s="24"/>
      <c r="H925" s="24"/>
      <c r="I925" s="24"/>
      <c r="J925" s="24"/>
      <c r="K925" s="24"/>
      <c r="L925" s="24"/>
      <c r="M925" s="24"/>
      <c r="N925" s="24"/>
      <c r="O925" s="24"/>
      <c r="P925" s="24"/>
      <c r="Q925" s="24"/>
      <c r="R925" s="24"/>
      <c r="S925" s="24"/>
      <c r="T925" s="24"/>
      <c r="U925" s="24"/>
      <c r="V925" s="24"/>
      <c r="W925" s="24"/>
    </row>
    <row r="926">
      <c r="A926" s="24"/>
      <c r="B926" s="24"/>
      <c r="C926" s="24"/>
      <c r="D926" s="24"/>
      <c r="E926" s="24"/>
      <c r="F926" s="24"/>
      <c r="G926" s="24"/>
      <c r="H926" s="24"/>
      <c r="I926" s="24"/>
      <c r="J926" s="24"/>
      <c r="K926" s="24"/>
      <c r="L926" s="24"/>
      <c r="M926" s="24"/>
      <c r="N926" s="24"/>
      <c r="O926" s="24"/>
      <c r="P926" s="24"/>
      <c r="Q926" s="24"/>
      <c r="R926" s="24"/>
      <c r="S926" s="24"/>
      <c r="T926" s="24"/>
      <c r="U926" s="24"/>
      <c r="V926" s="24"/>
      <c r="W926" s="24"/>
    </row>
    <row r="927">
      <c r="A927" s="24"/>
      <c r="B927" s="24"/>
      <c r="C927" s="24"/>
      <c r="D927" s="24"/>
      <c r="E927" s="24"/>
      <c r="F927" s="24"/>
      <c r="G927" s="24"/>
      <c r="H927" s="24"/>
      <c r="I927" s="24"/>
      <c r="J927" s="24"/>
      <c r="K927" s="24"/>
      <c r="L927" s="24"/>
      <c r="M927" s="24"/>
      <c r="N927" s="24"/>
      <c r="O927" s="24"/>
      <c r="P927" s="24"/>
      <c r="Q927" s="24"/>
      <c r="R927" s="24"/>
      <c r="S927" s="24"/>
      <c r="T927" s="24"/>
      <c r="U927" s="24"/>
      <c r="V927" s="24"/>
      <c r="W927" s="24"/>
    </row>
    <row r="928">
      <c r="A928" s="24"/>
      <c r="B928" s="24"/>
      <c r="C928" s="24"/>
      <c r="D928" s="24"/>
      <c r="E928" s="24"/>
      <c r="F928" s="24"/>
      <c r="G928" s="24"/>
      <c r="H928" s="24"/>
      <c r="I928" s="24"/>
      <c r="J928" s="24"/>
      <c r="K928" s="24"/>
      <c r="L928" s="24"/>
      <c r="M928" s="24"/>
      <c r="N928" s="24"/>
      <c r="O928" s="24"/>
      <c r="P928" s="24"/>
      <c r="Q928" s="24"/>
      <c r="R928" s="24"/>
      <c r="S928" s="24"/>
      <c r="T928" s="24"/>
      <c r="U928" s="24"/>
      <c r="V928" s="24"/>
      <c r="W928" s="24"/>
    </row>
    <row r="929">
      <c r="A929" s="24"/>
      <c r="B929" s="24"/>
      <c r="C929" s="24"/>
      <c r="D929" s="24"/>
      <c r="E929" s="24"/>
      <c r="F929" s="24"/>
      <c r="G929" s="24"/>
      <c r="H929" s="24"/>
      <c r="I929" s="24"/>
      <c r="J929" s="24"/>
      <c r="K929" s="24"/>
      <c r="L929" s="24"/>
      <c r="M929" s="24"/>
      <c r="N929" s="24"/>
      <c r="O929" s="24"/>
      <c r="P929" s="24"/>
      <c r="Q929" s="24"/>
      <c r="R929" s="24"/>
      <c r="S929" s="24"/>
      <c r="T929" s="24"/>
      <c r="U929" s="24"/>
      <c r="V929" s="24"/>
      <c r="W929" s="24"/>
    </row>
    <row r="930">
      <c r="A930" s="24"/>
      <c r="B930" s="24"/>
      <c r="C930" s="24"/>
      <c r="D930" s="24"/>
      <c r="E930" s="24"/>
      <c r="F930" s="24"/>
      <c r="G930" s="24"/>
      <c r="H930" s="24"/>
      <c r="I930" s="24"/>
      <c r="J930" s="24"/>
      <c r="K930" s="24"/>
      <c r="L930" s="24"/>
      <c r="M930" s="24"/>
      <c r="N930" s="24"/>
      <c r="O930" s="24"/>
      <c r="P930" s="24"/>
      <c r="Q930" s="24"/>
      <c r="R930" s="24"/>
      <c r="S930" s="24"/>
      <c r="T930" s="24"/>
      <c r="U930" s="24"/>
      <c r="V930" s="24"/>
      <c r="W930" s="24"/>
    </row>
    <row r="931">
      <c r="A931" s="24"/>
      <c r="B931" s="24"/>
      <c r="C931" s="24"/>
      <c r="D931" s="24"/>
      <c r="E931" s="24"/>
      <c r="F931" s="24"/>
      <c r="G931" s="24"/>
      <c r="H931" s="24"/>
      <c r="I931" s="24"/>
      <c r="J931" s="24"/>
      <c r="K931" s="24"/>
      <c r="L931" s="24"/>
      <c r="M931" s="24"/>
      <c r="N931" s="24"/>
      <c r="O931" s="24"/>
      <c r="P931" s="24"/>
      <c r="Q931" s="24"/>
      <c r="R931" s="24"/>
      <c r="S931" s="24"/>
      <c r="T931" s="24"/>
      <c r="U931" s="24"/>
      <c r="V931" s="24"/>
      <c r="W931" s="24"/>
    </row>
    <row r="932">
      <c r="A932" s="24"/>
      <c r="B932" s="24"/>
      <c r="C932" s="24"/>
      <c r="D932" s="24"/>
      <c r="E932" s="24"/>
      <c r="F932" s="24"/>
      <c r="G932" s="24"/>
      <c r="H932" s="24"/>
      <c r="I932" s="24"/>
      <c r="J932" s="24"/>
      <c r="K932" s="24"/>
      <c r="L932" s="24"/>
      <c r="M932" s="24"/>
      <c r="N932" s="24"/>
      <c r="O932" s="24"/>
      <c r="P932" s="24"/>
      <c r="Q932" s="24"/>
      <c r="R932" s="24"/>
      <c r="S932" s="24"/>
      <c r="T932" s="24"/>
      <c r="U932" s="24"/>
      <c r="V932" s="24"/>
      <c r="W932" s="24"/>
    </row>
    <row r="933">
      <c r="A933" s="24"/>
      <c r="B933" s="24"/>
      <c r="C933" s="24"/>
      <c r="D933" s="24"/>
      <c r="E933" s="24"/>
      <c r="F933" s="24"/>
      <c r="G933" s="24"/>
      <c r="H933" s="24"/>
      <c r="I933" s="24"/>
      <c r="J933" s="24"/>
      <c r="K933" s="24"/>
      <c r="L933" s="24"/>
      <c r="M933" s="24"/>
      <c r="N933" s="24"/>
      <c r="O933" s="24"/>
      <c r="P933" s="24"/>
      <c r="Q933" s="24"/>
      <c r="R933" s="24"/>
      <c r="S933" s="24"/>
      <c r="T933" s="24"/>
      <c r="U933" s="24"/>
      <c r="V933" s="24"/>
      <c r="W933" s="24"/>
    </row>
    <row r="934">
      <c r="A934" s="24"/>
      <c r="B934" s="24"/>
      <c r="C934" s="24"/>
      <c r="D934" s="24"/>
      <c r="E934" s="24"/>
      <c r="F934" s="24"/>
      <c r="G934" s="24"/>
      <c r="H934" s="24"/>
      <c r="I934" s="24"/>
      <c r="J934" s="24"/>
      <c r="K934" s="24"/>
      <c r="L934" s="24"/>
      <c r="M934" s="24"/>
      <c r="N934" s="24"/>
      <c r="O934" s="24"/>
      <c r="P934" s="24"/>
      <c r="Q934" s="24"/>
      <c r="R934" s="24"/>
      <c r="S934" s="24"/>
      <c r="T934" s="24"/>
      <c r="U934" s="24"/>
      <c r="V934" s="24"/>
      <c r="W934" s="24"/>
    </row>
    <row r="935">
      <c r="A935" s="24"/>
      <c r="B935" s="24"/>
      <c r="C935" s="24"/>
      <c r="D935" s="24"/>
      <c r="E935" s="24"/>
      <c r="F935" s="24"/>
      <c r="G935" s="24"/>
      <c r="H935" s="24"/>
      <c r="I935" s="24"/>
      <c r="J935" s="24"/>
      <c r="K935" s="24"/>
      <c r="L935" s="24"/>
      <c r="M935" s="24"/>
      <c r="N935" s="24"/>
      <c r="O935" s="24"/>
      <c r="P935" s="24"/>
      <c r="Q935" s="24"/>
      <c r="R935" s="24"/>
      <c r="S935" s="24"/>
      <c r="T935" s="24"/>
      <c r="U935" s="24"/>
      <c r="V935" s="24"/>
      <c r="W935" s="24"/>
    </row>
    <row r="936">
      <c r="A936" s="24"/>
      <c r="B936" s="24"/>
      <c r="C936" s="24"/>
      <c r="D936" s="24"/>
      <c r="E936" s="24"/>
      <c r="F936" s="24"/>
      <c r="G936" s="24"/>
      <c r="H936" s="24"/>
      <c r="I936" s="24"/>
      <c r="J936" s="24"/>
      <c r="K936" s="24"/>
      <c r="L936" s="24"/>
      <c r="M936" s="24"/>
      <c r="N936" s="24"/>
      <c r="O936" s="24"/>
      <c r="P936" s="24"/>
      <c r="Q936" s="24"/>
      <c r="R936" s="24"/>
      <c r="S936" s="24"/>
      <c r="T936" s="24"/>
      <c r="U936" s="24"/>
      <c r="V936" s="24"/>
      <c r="W936" s="24"/>
    </row>
    <row r="937">
      <c r="A937" s="24"/>
      <c r="B937" s="24"/>
      <c r="C937" s="24"/>
      <c r="D937" s="24"/>
      <c r="E937" s="24"/>
      <c r="F937" s="24"/>
      <c r="G937" s="24"/>
      <c r="H937" s="24"/>
      <c r="I937" s="24"/>
      <c r="J937" s="24"/>
      <c r="K937" s="24"/>
      <c r="L937" s="24"/>
      <c r="M937" s="24"/>
      <c r="N937" s="24"/>
      <c r="O937" s="24"/>
      <c r="P937" s="24"/>
      <c r="Q937" s="24"/>
      <c r="R937" s="24"/>
      <c r="S937" s="24"/>
      <c r="T937" s="24"/>
      <c r="U937" s="24"/>
      <c r="V937" s="24"/>
      <c r="W937" s="24"/>
    </row>
    <row r="938">
      <c r="A938" s="24"/>
      <c r="B938" s="24"/>
      <c r="C938" s="24"/>
      <c r="D938" s="24"/>
      <c r="E938" s="24"/>
      <c r="F938" s="24"/>
      <c r="G938" s="24"/>
      <c r="H938" s="24"/>
      <c r="I938" s="24"/>
      <c r="J938" s="24"/>
      <c r="K938" s="24"/>
      <c r="L938" s="24"/>
      <c r="M938" s="24"/>
      <c r="N938" s="24"/>
      <c r="O938" s="24"/>
      <c r="P938" s="24"/>
      <c r="Q938" s="24"/>
      <c r="R938" s="24"/>
      <c r="S938" s="24"/>
      <c r="T938" s="24"/>
      <c r="U938" s="24"/>
      <c r="V938" s="24"/>
      <c r="W938" s="24"/>
    </row>
    <row r="939">
      <c r="A939" s="24"/>
      <c r="B939" s="24"/>
      <c r="C939" s="24"/>
      <c r="D939" s="24"/>
      <c r="E939" s="24"/>
      <c r="F939" s="24"/>
      <c r="G939" s="24"/>
      <c r="H939" s="24"/>
      <c r="I939" s="24"/>
      <c r="J939" s="24"/>
      <c r="K939" s="24"/>
      <c r="L939" s="24"/>
      <c r="M939" s="24"/>
      <c r="N939" s="24"/>
      <c r="O939" s="24"/>
      <c r="P939" s="24"/>
      <c r="Q939" s="24"/>
      <c r="R939" s="24"/>
      <c r="S939" s="24"/>
      <c r="T939" s="24"/>
      <c r="U939" s="24"/>
      <c r="V939" s="24"/>
      <c r="W939" s="24"/>
    </row>
    <row r="940">
      <c r="A940" s="24"/>
      <c r="B940" s="24"/>
      <c r="C940" s="24"/>
      <c r="D940" s="24"/>
      <c r="E940" s="24"/>
      <c r="F940" s="24"/>
      <c r="G940" s="24"/>
      <c r="H940" s="24"/>
      <c r="I940" s="24"/>
      <c r="J940" s="24"/>
      <c r="K940" s="24"/>
      <c r="L940" s="24"/>
      <c r="M940" s="24"/>
      <c r="N940" s="24"/>
      <c r="O940" s="24"/>
      <c r="P940" s="24"/>
      <c r="Q940" s="24"/>
      <c r="R940" s="24"/>
      <c r="S940" s="24"/>
      <c r="T940" s="24"/>
      <c r="U940" s="24"/>
      <c r="V940" s="24"/>
      <c r="W940" s="24"/>
    </row>
    <row r="941">
      <c r="A941" s="24"/>
      <c r="B941" s="24"/>
      <c r="C941" s="24"/>
      <c r="D941" s="24"/>
      <c r="E941" s="24"/>
      <c r="F941" s="24"/>
      <c r="G941" s="24"/>
      <c r="H941" s="24"/>
      <c r="I941" s="24"/>
      <c r="J941" s="24"/>
      <c r="K941" s="24"/>
      <c r="L941" s="24"/>
      <c r="M941" s="24"/>
      <c r="N941" s="24"/>
      <c r="O941" s="24"/>
      <c r="P941" s="24"/>
      <c r="Q941" s="24"/>
      <c r="R941" s="24"/>
      <c r="S941" s="24"/>
      <c r="T941" s="24"/>
      <c r="U941" s="24"/>
      <c r="V941" s="24"/>
      <c r="W941" s="24"/>
    </row>
    <row r="942">
      <c r="A942" s="24"/>
      <c r="B942" s="24"/>
      <c r="C942" s="24"/>
      <c r="D942" s="24"/>
      <c r="E942" s="24"/>
      <c r="F942" s="24"/>
      <c r="G942" s="24"/>
      <c r="H942" s="24"/>
      <c r="I942" s="24"/>
      <c r="J942" s="24"/>
      <c r="K942" s="24"/>
      <c r="L942" s="24"/>
      <c r="M942" s="24"/>
      <c r="N942" s="24"/>
      <c r="O942" s="24"/>
      <c r="P942" s="24"/>
      <c r="Q942" s="24"/>
      <c r="R942" s="24"/>
      <c r="S942" s="24"/>
      <c r="T942" s="24"/>
      <c r="U942" s="24"/>
      <c r="V942" s="24"/>
      <c r="W942" s="24"/>
    </row>
    <row r="943">
      <c r="A943" s="24"/>
      <c r="B943" s="24"/>
      <c r="C943" s="24"/>
      <c r="D943" s="24"/>
      <c r="E943" s="24"/>
      <c r="F943" s="24"/>
      <c r="G943" s="24"/>
      <c r="H943" s="24"/>
      <c r="I943" s="24"/>
      <c r="J943" s="24"/>
      <c r="K943" s="24"/>
      <c r="L943" s="24"/>
      <c r="M943" s="24"/>
      <c r="N943" s="24"/>
      <c r="O943" s="24"/>
      <c r="P943" s="24"/>
      <c r="Q943" s="24"/>
      <c r="R943" s="24"/>
      <c r="S943" s="24"/>
      <c r="T943" s="24"/>
      <c r="U943" s="24"/>
      <c r="V943" s="24"/>
      <c r="W943" s="24"/>
    </row>
    <row r="944">
      <c r="A944" s="24"/>
      <c r="B944" s="24"/>
      <c r="C944" s="24"/>
      <c r="D944" s="24"/>
      <c r="E944" s="24"/>
      <c r="F944" s="24"/>
      <c r="G944" s="24"/>
      <c r="H944" s="24"/>
      <c r="I944" s="24"/>
      <c r="J944" s="24"/>
      <c r="K944" s="24"/>
      <c r="L944" s="24"/>
      <c r="M944" s="24"/>
      <c r="N944" s="24"/>
      <c r="O944" s="24"/>
      <c r="P944" s="24"/>
      <c r="Q944" s="24"/>
      <c r="R944" s="24"/>
      <c r="S944" s="24"/>
      <c r="T944" s="24"/>
      <c r="U944" s="24"/>
      <c r="V944" s="24"/>
      <c r="W944" s="24"/>
    </row>
    <row r="945">
      <c r="A945" s="24"/>
      <c r="B945" s="24"/>
      <c r="C945" s="24"/>
      <c r="D945" s="24"/>
      <c r="E945" s="24"/>
      <c r="F945" s="24"/>
      <c r="G945" s="24"/>
      <c r="H945" s="24"/>
      <c r="I945" s="24"/>
      <c r="J945" s="24"/>
      <c r="K945" s="24"/>
      <c r="L945" s="24"/>
      <c r="M945" s="24"/>
      <c r="N945" s="24"/>
      <c r="O945" s="24"/>
      <c r="P945" s="24"/>
      <c r="Q945" s="24"/>
      <c r="R945" s="24"/>
      <c r="S945" s="24"/>
      <c r="T945" s="24"/>
      <c r="U945" s="24"/>
      <c r="V945" s="24"/>
      <c r="W945" s="24"/>
    </row>
    <row r="946">
      <c r="A946" s="24"/>
      <c r="B946" s="24"/>
      <c r="C946" s="24"/>
      <c r="D946" s="24"/>
      <c r="E946" s="24"/>
      <c r="F946" s="24"/>
      <c r="G946" s="24"/>
      <c r="H946" s="24"/>
      <c r="I946" s="24"/>
      <c r="J946" s="24"/>
      <c r="K946" s="24"/>
      <c r="L946" s="24"/>
      <c r="M946" s="24"/>
      <c r="N946" s="24"/>
      <c r="O946" s="24"/>
      <c r="P946" s="24"/>
      <c r="Q946" s="24"/>
      <c r="R946" s="24"/>
      <c r="S946" s="24"/>
      <c r="T946" s="24"/>
      <c r="U946" s="24"/>
      <c r="V946" s="24"/>
      <c r="W946" s="24"/>
    </row>
    <row r="947">
      <c r="A947" s="24"/>
      <c r="B947" s="24"/>
      <c r="C947" s="24"/>
      <c r="D947" s="24"/>
      <c r="E947" s="24"/>
      <c r="F947" s="24"/>
      <c r="G947" s="24"/>
      <c r="H947" s="24"/>
      <c r="I947" s="24"/>
      <c r="J947" s="24"/>
      <c r="K947" s="24"/>
      <c r="L947" s="24"/>
      <c r="M947" s="24"/>
      <c r="N947" s="24"/>
      <c r="O947" s="24"/>
      <c r="P947" s="24"/>
      <c r="Q947" s="24"/>
      <c r="R947" s="24"/>
      <c r="S947" s="24"/>
      <c r="T947" s="24"/>
      <c r="U947" s="24"/>
      <c r="V947" s="24"/>
      <c r="W947" s="24"/>
    </row>
    <row r="948">
      <c r="A948" s="24"/>
      <c r="B948" s="24"/>
      <c r="C948" s="24"/>
      <c r="D948" s="24"/>
      <c r="E948" s="24"/>
      <c r="F948" s="24"/>
      <c r="G948" s="24"/>
      <c r="H948" s="24"/>
      <c r="I948" s="24"/>
      <c r="J948" s="24"/>
      <c r="K948" s="24"/>
      <c r="L948" s="24"/>
      <c r="M948" s="24"/>
      <c r="N948" s="24"/>
      <c r="O948" s="24"/>
      <c r="P948" s="24"/>
      <c r="Q948" s="24"/>
      <c r="R948" s="24"/>
      <c r="S948" s="24"/>
      <c r="T948" s="24"/>
      <c r="U948" s="24"/>
      <c r="V948" s="24"/>
      <c r="W948" s="24"/>
    </row>
    <row r="949">
      <c r="A949" s="24"/>
      <c r="B949" s="24"/>
      <c r="C949" s="24"/>
      <c r="D949" s="24"/>
      <c r="E949" s="24"/>
      <c r="F949" s="24"/>
      <c r="G949" s="24"/>
      <c r="H949" s="24"/>
      <c r="I949" s="24"/>
      <c r="J949" s="24"/>
      <c r="K949" s="24"/>
      <c r="L949" s="24"/>
      <c r="M949" s="24"/>
      <c r="N949" s="24"/>
      <c r="O949" s="24"/>
      <c r="P949" s="24"/>
      <c r="Q949" s="24"/>
      <c r="R949" s="24"/>
      <c r="S949" s="24"/>
      <c r="T949" s="24"/>
      <c r="U949" s="24"/>
      <c r="V949" s="24"/>
      <c r="W949" s="24"/>
    </row>
    <row r="950">
      <c r="A950" s="24"/>
      <c r="B950" s="24"/>
      <c r="C950" s="24"/>
      <c r="D950" s="24"/>
      <c r="E950" s="24"/>
      <c r="F950" s="24"/>
      <c r="G950" s="24"/>
      <c r="H950" s="24"/>
      <c r="I950" s="24"/>
      <c r="J950" s="24"/>
      <c r="K950" s="24"/>
      <c r="L950" s="24"/>
      <c r="M950" s="24"/>
      <c r="N950" s="24"/>
      <c r="O950" s="24"/>
      <c r="P950" s="24"/>
      <c r="Q950" s="24"/>
      <c r="R950" s="24"/>
      <c r="S950" s="24"/>
      <c r="T950" s="24"/>
      <c r="U950" s="24"/>
      <c r="V950" s="24"/>
      <c r="W950" s="24"/>
    </row>
    <row r="951">
      <c r="A951" s="24"/>
      <c r="B951" s="24"/>
      <c r="C951" s="24"/>
      <c r="D951" s="24"/>
      <c r="E951" s="24"/>
      <c r="F951" s="24"/>
      <c r="G951" s="24"/>
      <c r="H951" s="24"/>
      <c r="I951" s="24"/>
      <c r="J951" s="24"/>
      <c r="K951" s="24"/>
      <c r="L951" s="24"/>
      <c r="M951" s="24"/>
      <c r="N951" s="24"/>
      <c r="O951" s="24"/>
      <c r="P951" s="24"/>
      <c r="Q951" s="24"/>
      <c r="R951" s="24"/>
      <c r="S951" s="24"/>
      <c r="T951" s="24"/>
      <c r="U951" s="24"/>
      <c r="V951" s="24"/>
      <c r="W951" s="24"/>
    </row>
    <row r="952">
      <c r="A952" s="24"/>
      <c r="B952" s="24"/>
      <c r="C952" s="24"/>
      <c r="D952" s="24"/>
      <c r="E952" s="24"/>
      <c r="F952" s="24"/>
      <c r="G952" s="24"/>
      <c r="H952" s="24"/>
      <c r="I952" s="24"/>
      <c r="J952" s="24"/>
      <c r="K952" s="24"/>
      <c r="L952" s="24"/>
      <c r="M952" s="24"/>
      <c r="N952" s="24"/>
      <c r="O952" s="24"/>
      <c r="P952" s="24"/>
      <c r="Q952" s="24"/>
      <c r="R952" s="24"/>
      <c r="S952" s="24"/>
      <c r="T952" s="24"/>
      <c r="U952" s="24"/>
      <c r="V952" s="24"/>
      <c r="W952" s="24"/>
    </row>
    <row r="953">
      <c r="A953" s="24"/>
      <c r="B953" s="24"/>
      <c r="C953" s="24"/>
      <c r="D953" s="24"/>
      <c r="E953" s="24"/>
      <c r="F953" s="24"/>
      <c r="G953" s="24"/>
      <c r="H953" s="24"/>
      <c r="I953" s="24"/>
      <c r="J953" s="24"/>
      <c r="K953" s="24"/>
      <c r="L953" s="24"/>
      <c r="M953" s="24"/>
      <c r="N953" s="24"/>
      <c r="O953" s="24"/>
      <c r="P953" s="24"/>
      <c r="Q953" s="24"/>
      <c r="R953" s="24"/>
      <c r="S953" s="24"/>
      <c r="T953" s="24"/>
      <c r="U953" s="24"/>
      <c r="V953" s="24"/>
      <c r="W953" s="24"/>
    </row>
    <row r="954">
      <c r="A954" s="24"/>
      <c r="B954" s="24"/>
      <c r="C954" s="24"/>
      <c r="D954" s="24"/>
      <c r="E954" s="24"/>
      <c r="F954" s="24"/>
      <c r="G954" s="24"/>
      <c r="H954" s="24"/>
      <c r="I954" s="24"/>
      <c r="J954" s="24"/>
      <c r="K954" s="24"/>
      <c r="L954" s="24"/>
      <c r="M954" s="24"/>
      <c r="N954" s="24"/>
      <c r="O954" s="24"/>
      <c r="P954" s="24"/>
      <c r="Q954" s="24"/>
      <c r="R954" s="24"/>
      <c r="S954" s="24"/>
      <c r="T954" s="24"/>
      <c r="U954" s="24"/>
      <c r="V954" s="24"/>
      <c r="W954" s="24"/>
    </row>
    <row r="955">
      <c r="A955" s="24"/>
      <c r="B955" s="24"/>
      <c r="C955" s="24"/>
      <c r="D955" s="24"/>
      <c r="E955" s="24"/>
      <c r="F955" s="24"/>
      <c r="G955" s="24"/>
      <c r="H955" s="24"/>
      <c r="I955" s="24"/>
      <c r="J955" s="24"/>
      <c r="K955" s="24"/>
      <c r="L955" s="24"/>
      <c r="M955" s="24"/>
      <c r="N955" s="24"/>
      <c r="O955" s="24"/>
      <c r="P955" s="24"/>
      <c r="Q955" s="24"/>
      <c r="R955" s="24"/>
      <c r="S955" s="24"/>
      <c r="T955" s="24"/>
      <c r="U955" s="24"/>
      <c r="V955" s="24"/>
      <c r="W955" s="24"/>
    </row>
    <row r="956">
      <c r="A956" s="24"/>
      <c r="B956" s="24"/>
      <c r="C956" s="24"/>
      <c r="D956" s="24"/>
      <c r="E956" s="24"/>
      <c r="F956" s="24"/>
      <c r="G956" s="24"/>
      <c r="H956" s="24"/>
      <c r="I956" s="24"/>
      <c r="J956" s="24"/>
      <c r="K956" s="24"/>
      <c r="L956" s="24"/>
      <c r="M956" s="24"/>
      <c r="N956" s="24"/>
      <c r="O956" s="24"/>
      <c r="P956" s="24"/>
      <c r="Q956" s="24"/>
      <c r="R956" s="24"/>
      <c r="S956" s="24"/>
      <c r="T956" s="24"/>
      <c r="U956" s="24"/>
      <c r="V956" s="24"/>
      <c r="W956" s="24"/>
    </row>
    <row r="957">
      <c r="A957" s="24"/>
      <c r="B957" s="24"/>
      <c r="C957" s="24"/>
      <c r="D957" s="24"/>
      <c r="E957" s="24"/>
      <c r="F957" s="24"/>
      <c r="G957" s="24"/>
      <c r="H957" s="24"/>
      <c r="I957" s="24"/>
      <c r="J957" s="24"/>
      <c r="K957" s="24"/>
      <c r="L957" s="24"/>
      <c r="M957" s="24"/>
      <c r="N957" s="24"/>
      <c r="O957" s="24"/>
      <c r="P957" s="24"/>
      <c r="Q957" s="24"/>
      <c r="R957" s="24"/>
      <c r="S957" s="24"/>
      <c r="T957" s="24"/>
      <c r="U957" s="24"/>
      <c r="V957" s="24"/>
      <c r="W957" s="24"/>
    </row>
    <row r="958">
      <c r="A958" s="24"/>
      <c r="B958" s="24"/>
      <c r="C958" s="24"/>
      <c r="D958" s="24"/>
      <c r="E958" s="24"/>
      <c r="F958" s="24"/>
      <c r="G958" s="24"/>
      <c r="H958" s="24"/>
      <c r="I958" s="24"/>
      <c r="J958" s="24"/>
      <c r="K958" s="24"/>
      <c r="L958" s="24"/>
      <c r="M958" s="24"/>
      <c r="N958" s="24"/>
      <c r="O958" s="24"/>
      <c r="P958" s="24"/>
      <c r="Q958" s="24"/>
      <c r="R958" s="24"/>
      <c r="S958" s="24"/>
      <c r="T958" s="24"/>
      <c r="U958" s="24"/>
      <c r="V958" s="24"/>
      <c r="W958" s="24"/>
    </row>
    <row r="959">
      <c r="A959" s="24"/>
      <c r="B959" s="24"/>
      <c r="C959" s="24"/>
      <c r="D959" s="24"/>
      <c r="E959" s="24"/>
      <c r="F959" s="24"/>
      <c r="G959" s="24"/>
      <c r="H959" s="24"/>
      <c r="I959" s="24"/>
      <c r="J959" s="24"/>
      <c r="K959" s="24"/>
      <c r="L959" s="24"/>
      <c r="M959" s="24"/>
      <c r="N959" s="24"/>
      <c r="O959" s="24"/>
      <c r="P959" s="24"/>
      <c r="Q959" s="24"/>
      <c r="R959" s="24"/>
      <c r="S959" s="24"/>
      <c r="T959" s="24"/>
      <c r="U959" s="24"/>
      <c r="V959" s="24"/>
      <c r="W959" s="24"/>
    </row>
    <row r="960">
      <c r="A960" s="24"/>
      <c r="B960" s="24"/>
      <c r="C960" s="24"/>
      <c r="D960" s="24"/>
      <c r="E960" s="24"/>
      <c r="F960" s="24"/>
      <c r="G960" s="24"/>
      <c r="H960" s="24"/>
      <c r="I960" s="24"/>
      <c r="J960" s="24"/>
      <c r="K960" s="24"/>
      <c r="L960" s="24"/>
      <c r="M960" s="24"/>
      <c r="N960" s="24"/>
      <c r="O960" s="24"/>
      <c r="P960" s="24"/>
      <c r="Q960" s="24"/>
      <c r="R960" s="24"/>
      <c r="S960" s="24"/>
      <c r="T960" s="24"/>
      <c r="U960" s="24"/>
      <c r="V960" s="24"/>
      <c r="W960" s="24"/>
    </row>
    <row r="961">
      <c r="A961" s="24"/>
      <c r="B961" s="24"/>
      <c r="C961" s="24"/>
      <c r="D961" s="24"/>
      <c r="E961" s="24"/>
      <c r="F961" s="24"/>
      <c r="G961" s="24"/>
      <c r="H961" s="24"/>
      <c r="I961" s="24"/>
      <c r="J961" s="24"/>
      <c r="K961" s="24"/>
      <c r="L961" s="24"/>
      <c r="M961" s="24"/>
      <c r="N961" s="24"/>
      <c r="O961" s="24"/>
      <c r="P961" s="24"/>
      <c r="Q961" s="24"/>
      <c r="R961" s="24"/>
      <c r="S961" s="24"/>
      <c r="T961" s="24"/>
      <c r="U961" s="24"/>
      <c r="V961" s="24"/>
      <c r="W961" s="24"/>
    </row>
    <row r="962">
      <c r="A962" s="24"/>
      <c r="B962" s="24"/>
      <c r="C962" s="24"/>
      <c r="D962" s="24"/>
      <c r="E962" s="24"/>
      <c r="F962" s="24"/>
      <c r="G962" s="24"/>
      <c r="H962" s="24"/>
      <c r="I962" s="24"/>
      <c r="J962" s="24"/>
      <c r="K962" s="24"/>
      <c r="L962" s="24"/>
      <c r="M962" s="24"/>
      <c r="N962" s="24"/>
      <c r="O962" s="24"/>
      <c r="P962" s="24"/>
      <c r="Q962" s="24"/>
      <c r="R962" s="24"/>
      <c r="S962" s="24"/>
      <c r="T962" s="24"/>
      <c r="U962" s="24"/>
      <c r="V962" s="24"/>
      <c r="W962" s="24"/>
    </row>
    <row r="963">
      <c r="A963" s="24"/>
      <c r="B963" s="24"/>
      <c r="C963" s="24"/>
      <c r="D963" s="24"/>
      <c r="E963" s="24"/>
      <c r="F963" s="24"/>
      <c r="G963" s="24"/>
      <c r="H963" s="24"/>
      <c r="I963" s="24"/>
      <c r="J963" s="24"/>
      <c r="K963" s="24"/>
      <c r="L963" s="24"/>
      <c r="M963" s="24"/>
      <c r="N963" s="24"/>
      <c r="O963" s="24"/>
      <c r="P963" s="24"/>
      <c r="Q963" s="24"/>
      <c r="R963" s="24"/>
      <c r="S963" s="24"/>
      <c r="T963" s="24"/>
      <c r="U963" s="24"/>
      <c r="V963" s="24"/>
      <c r="W963" s="24"/>
    </row>
    <row r="964">
      <c r="A964" s="24"/>
      <c r="B964" s="24"/>
      <c r="C964" s="24"/>
      <c r="D964" s="24"/>
      <c r="E964" s="24"/>
      <c r="F964" s="24"/>
      <c r="G964" s="24"/>
      <c r="H964" s="24"/>
      <c r="I964" s="24"/>
      <c r="J964" s="24"/>
      <c r="K964" s="24"/>
      <c r="L964" s="24"/>
      <c r="M964" s="24"/>
      <c r="N964" s="24"/>
      <c r="O964" s="24"/>
      <c r="P964" s="24"/>
      <c r="Q964" s="24"/>
      <c r="R964" s="24"/>
      <c r="S964" s="24"/>
      <c r="T964" s="24"/>
      <c r="U964" s="24"/>
      <c r="V964" s="24"/>
      <c r="W964" s="24"/>
    </row>
    <row r="965">
      <c r="A965" s="24"/>
      <c r="B965" s="24"/>
      <c r="C965" s="24"/>
      <c r="D965" s="24"/>
      <c r="E965" s="24"/>
      <c r="F965" s="24"/>
      <c r="G965" s="24"/>
      <c r="H965" s="24"/>
      <c r="I965" s="24"/>
      <c r="J965" s="24"/>
      <c r="K965" s="24"/>
      <c r="L965" s="24"/>
      <c r="M965" s="24"/>
      <c r="N965" s="24"/>
      <c r="O965" s="24"/>
      <c r="P965" s="24"/>
      <c r="Q965" s="24"/>
      <c r="R965" s="24"/>
      <c r="S965" s="24"/>
      <c r="T965" s="24"/>
      <c r="U965" s="24"/>
      <c r="V965" s="24"/>
      <c r="W965" s="24"/>
    </row>
    <row r="966">
      <c r="A966" s="24"/>
      <c r="B966" s="24"/>
      <c r="C966" s="24"/>
      <c r="D966" s="24"/>
      <c r="E966" s="24"/>
      <c r="F966" s="24"/>
      <c r="G966" s="24"/>
      <c r="H966" s="24"/>
      <c r="I966" s="24"/>
      <c r="J966" s="24"/>
      <c r="K966" s="24"/>
      <c r="L966" s="24"/>
      <c r="M966" s="24"/>
      <c r="N966" s="24"/>
      <c r="O966" s="24"/>
      <c r="P966" s="24"/>
      <c r="Q966" s="24"/>
      <c r="R966" s="24"/>
      <c r="S966" s="24"/>
      <c r="T966" s="24"/>
      <c r="U966" s="24"/>
      <c r="V966" s="24"/>
      <c r="W966" s="24"/>
    </row>
    <row r="967">
      <c r="A967" s="24"/>
      <c r="B967" s="24"/>
      <c r="C967" s="24"/>
      <c r="D967" s="24"/>
      <c r="E967" s="24"/>
      <c r="F967" s="24"/>
      <c r="G967" s="24"/>
      <c r="H967" s="24"/>
      <c r="I967" s="24"/>
      <c r="J967" s="24"/>
      <c r="K967" s="24"/>
      <c r="L967" s="24"/>
      <c r="M967" s="24"/>
      <c r="N967" s="24"/>
      <c r="O967" s="24"/>
      <c r="P967" s="24"/>
      <c r="Q967" s="24"/>
      <c r="R967" s="24"/>
      <c r="S967" s="24"/>
      <c r="T967" s="24"/>
      <c r="U967" s="24"/>
      <c r="V967" s="24"/>
      <c r="W967" s="24"/>
    </row>
    <row r="968">
      <c r="A968" s="24"/>
      <c r="B968" s="24"/>
      <c r="C968" s="24"/>
      <c r="D968" s="24"/>
      <c r="E968" s="24"/>
      <c r="F968" s="24"/>
      <c r="G968" s="24"/>
      <c r="H968" s="24"/>
      <c r="I968" s="24"/>
      <c r="J968" s="24"/>
      <c r="K968" s="24"/>
      <c r="L968" s="24"/>
      <c r="M968" s="24"/>
      <c r="N968" s="24"/>
      <c r="O968" s="24"/>
      <c r="P968" s="24"/>
      <c r="Q968" s="24"/>
      <c r="R968" s="24"/>
      <c r="S968" s="24"/>
      <c r="T968" s="24"/>
      <c r="U968" s="24"/>
      <c r="V968" s="24"/>
      <c r="W968" s="24"/>
    </row>
    <row r="969">
      <c r="A969" s="24"/>
      <c r="B969" s="24"/>
      <c r="C969" s="24"/>
      <c r="D969" s="24"/>
      <c r="E969" s="24"/>
      <c r="F969" s="24"/>
      <c r="G969" s="24"/>
      <c r="H969" s="24"/>
      <c r="I969" s="24"/>
      <c r="J969" s="24"/>
      <c r="K969" s="24"/>
      <c r="L969" s="24"/>
      <c r="M969" s="24"/>
      <c r="N969" s="24"/>
      <c r="O969" s="24"/>
      <c r="P969" s="24"/>
      <c r="Q969" s="24"/>
      <c r="R969" s="24"/>
      <c r="S969" s="24"/>
      <c r="T969" s="24"/>
      <c r="U969" s="24"/>
      <c r="V969" s="24"/>
      <c r="W969" s="24"/>
    </row>
    <row r="970">
      <c r="A970" s="24"/>
      <c r="B970" s="24"/>
      <c r="C970" s="24"/>
      <c r="D970" s="24"/>
      <c r="E970" s="24"/>
      <c r="F970" s="24"/>
      <c r="G970" s="24"/>
      <c r="H970" s="24"/>
      <c r="I970" s="24"/>
      <c r="J970" s="24"/>
      <c r="K970" s="24"/>
      <c r="L970" s="24"/>
      <c r="M970" s="24"/>
      <c r="N970" s="24"/>
      <c r="O970" s="24"/>
      <c r="P970" s="24"/>
      <c r="Q970" s="24"/>
      <c r="R970" s="24"/>
      <c r="S970" s="24"/>
      <c r="T970" s="24"/>
      <c r="U970" s="24"/>
      <c r="V970" s="24"/>
      <c r="W970" s="24"/>
    </row>
    <row r="971">
      <c r="A971" s="24"/>
      <c r="B971" s="24"/>
      <c r="C971" s="24"/>
      <c r="D971" s="24"/>
      <c r="E971" s="24"/>
      <c r="F971" s="24"/>
      <c r="G971" s="24"/>
      <c r="H971" s="24"/>
      <c r="I971" s="24"/>
      <c r="J971" s="24"/>
      <c r="K971" s="24"/>
      <c r="L971" s="24"/>
      <c r="M971" s="24"/>
      <c r="N971" s="24"/>
      <c r="O971" s="24"/>
      <c r="P971" s="24"/>
      <c r="Q971" s="24"/>
      <c r="R971" s="24"/>
      <c r="S971" s="24"/>
      <c r="T971" s="24"/>
      <c r="U971" s="24"/>
      <c r="V971" s="24"/>
      <c r="W971" s="24"/>
    </row>
    <row r="972">
      <c r="A972" s="24"/>
      <c r="B972" s="24"/>
      <c r="C972" s="24"/>
      <c r="D972" s="24"/>
      <c r="E972" s="24"/>
      <c r="F972" s="24"/>
      <c r="G972" s="24"/>
      <c r="H972" s="24"/>
      <c r="I972" s="24"/>
      <c r="J972" s="24"/>
      <c r="K972" s="24"/>
      <c r="L972" s="24"/>
      <c r="M972" s="24"/>
      <c r="N972" s="24"/>
      <c r="O972" s="24"/>
      <c r="P972" s="24"/>
      <c r="Q972" s="24"/>
      <c r="R972" s="24"/>
      <c r="S972" s="24"/>
      <c r="T972" s="24"/>
      <c r="U972" s="24"/>
      <c r="V972" s="24"/>
      <c r="W972" s="24"/>
    </row>
    <row r="973">
      <c r="A973" s="24"/>
      <c r="B973" s="24"/>
      <c r="C973" s="24"/>
      <c r="D973" s="24"/>
      <c r="E973" s="24"/>
      <c r="F973" s="24"/>
      <c r="G973" s="24"/>
      <c r="H973" s="24"/>
      <c r="I973" s="24"/>
      <c r="J973" s="24"/>
      <c r="K973" s="24"/>
      <c r="L973" s="24"/>
      <c r="M973" s="24"/>
      <c r="N973" s="24"/>
      <c r="O973" s="24"/>
      <c r="P973" s="24"/>
      <c r="Q973" s="24"/>
      <c r="R973" s="24"/>
      <c r="S973" s="24"/>
      <c r="T973" s="24"/>
      <c r="U973" s="24"/>
      <c r="V973" s="24"/>
      <c r="W973" s="24"/>
    </row>
    <row r="974">
      <c r="A974" s="24"/>
      <c r="B974" s="24"/>
      <c r="C974" s="24"/>
      <c r="D974" s="24"/>
      <c r="E974" s="24"/>
      <c r="F974" s="24"/>
      <c r="G974" s="24"/>
      <c r="H974" s="24"/>
      <c r="I974" s="24"/>
      <c r="J974" s="24"/>
      <c r="K974" s="24"/>
      <c r="L974" s="24"/>
      <c r="M974" s="24"/>
      <c r="N974" s="24"/>
      <c r="O974" s="24"/>
      <c r="P974" s="24"/>
      <c r="Q974" s="24"/>
      <c r="R974" s="24"/>
      <c r="S974" s="24"/>
      <c r="T974" s="24"/>
      <c r="U974" s="24"/>
      <c r="V974" s="24"/>
      <c r="W974" s="24"/>
    </row>
    <row r="975">
      <c r="A975" s="24"/>
      <c r="B975" s="24"/>
      <c r="C975" s="24"/>
      <c r="D975" s="24"/>
      <c r="E975" s="24"/>
      <c r="F975" s="24"/>
      <c r="G975" s="24"/>
      <c r="H975" s="24"/>
      <c r="I975" s="24"/>
      <c r="J975" s="24"/>
      <c r="K975" s="24"/>
      <c r="L975" s="24"/>
      <c r="M975" s="24"/>
      <c r="N975" s="24"/>
      <c r="O975" s="24"/>
      <c r="P975" s="24"/>
      <c r="Q975" s="24"/>
      <c r="R975" s="24"/>
      <c r="S975" s="24"/>
      <c r="T975" s="24"/>
      <c r="U975" s="24"/>
      <c r="V975" s="24"/>
      <c r="W975" s="24"/>
    </row>
    <row r="976">
      <c r="A976" s="24"/>
      <c r="B976" s="24"/>
      <c r="C976" s="24"/>
      <c r="D976" s="24"/>
      <c r="E976" s="24"/>
      <c r="F976" s="24"/>
      <c r="G976" s="24"/>
      <c r="H976" s="24"/>
      <c r="I976" s="24"/>
      <c r="J976" s="24"/>
      <c r="K976" s="24"/>
      <c r="L976" s="24"/>
      <c r="M976" s="24"/>
      <c r="N976" s="24"/>
      <c r="O976" s="24"/>
      <c r="P976" s="24"/>
      <c r="Q976" s="24"/>
      <c r="R976" s="24"/>
      <c r="S976" s="24"/>
      <c r="T976" s="24"/>
      <c r="U976" s="24"/>
      <c r="V976" s="24"/>
      <c r="W976" s="24"/>
    </row>
    <row r="977">
      <c r="A977" s="24"/>
      <c r="B977" s="24"/>
      <c r="C977" s="24"/>
      <c r="D977" s="24"/>
      <c r="E977" s="24"/>
      <c r="F977" s="24"/>
      <c r="G977" s="24"/>
      <c r="H977" s="24"/>
      <c r="I977" s="24"/>
      <c r="J977" s="24"/>
      <c r="K977" s="24"/>
      <c r="L977" s="24"/>
      <c r="M977" s="24"/>
      <c r="N977" s="24"/>
      <c r="O977" s="24"/>
      <c r="P977" s="24"/>
      <c r="Q977" s="24"/>
      <c r="R977" s="24"/>
      <c r="S977" s="24"/>
      <c r="T977" s="24"/>
      <c r="U977" s="24"/>
      <c r="V977" s="24"/>
      <c r="W977" s="24"/>
    </row>
    <row r="978">
      <c r="A978" s="24"/>
      <c r="B978" s="24"/>
      <c r="C978" s="24"/>
      <c r="D978" s="24"/>
      <c r="E978" s="24"/>
      <c r="F978" s="24"/>
      <c r="G978" s="24"/>
      <c r="H978" s="24"/>
      <c r="I978" s="24"/>
      <c r="J978" s="24"/>
      <c r="K978" s="24"/>
      <c r="L978" s="24"/>
      <c r="M978" s="24"/>
      <c r="N978" s="24"/>
      <c r="O978" s="24"/>
      <c r="P978" s="24"/>
      <c r="Q978" s="24"/>
      <c r="R978" s="24"/>
      <c r="S978" s="24"/>
      <c r="T978" s="24"/>
      <c r="U978" s="24"/>
      <c r="V978" s="24"/>
      <c r="W978" s="24"/>
    </row>
    <row r="979">
      <c r="A979" s="24"/>
      <c r="B979" s="24"/>
      <c r="C979" s="24"/>
      <c r="D979" s="24"/>
      <c r="E979" s="24"/>
      <c r="F979" s="24"/>
      <c r="G979" s="24"/>
      <c r="H979" s="24"/>
      <c r="I979" s="24"/>
      <c r="J979" s="24"/>
      <c r="K979" s="24"/>
      <c r="L979" s="24"/>
      <c r="M979" s="24"/>
      <c r="N979" s="24"/>
      <c r="O979" s="24"/>
      <c r="P979" s="24"/>
      <c r="Q979" s="24"/>
      <c r="R979" s="24"/>
      <c r="S979" s="24"/>
      <c r="T979" s="24"/>
      <c r="U979" s="24"/>
      <c r="V979" s="24"/>
      <c r="W979" s="24"/>
    </row>
    <row r="980">
      <c r="A980" s="24"/>
      <c r="B980" s="24"/>
      <c r="C980" s="24"/>
      <c r="D980" s="24"/>
      <c r="E980" s="24"/>
      <c r="F980" s="24"/>
      <c r="G980" s="24"/>
      <c r="H980" s="24"/>
      <c r="I980" s="24"/>
      <c r="J980" s="24"/>
      <c r="K980" s="24"/>
      <c r="L980" s="24"/>
      <c r="M980" s="24"/>
      <c r="N980" s="24"/>
      <c r="O980" s="24"/>
      <c r="P980" s="24"/>
      <c r="Q980" s="24"/>
      <c r="R980" s="24"/>
      <c r="S980" s="24"/>
      <c r="T980" s="24"/>
      <c r="U980" s="24"/>
      <c r="V980" s="24"/>
      <c r="W980" s="24"/>
    </row>
    <row r="981">
      <c r="A981" s="24"/>
      <c r="B981" s="24"/>
      <c r="C981" s="24"/>
      <c r="D981" s="24"/>
      <c r="E981" s="24"/>
      <c r="F981" s="24"/>
      <c r="G981" s="24"/>
      <c r="H981" s="24"/>
      <c r="I981" s="24"/>
      <c r="J981" s="24"/>
      <c r="K981" s="24"/>
      <c r="L981" s="24"/>
      <c r="M981" s="24"/>
      <c r="N981" s="24"/>
      <c r="O981" s="24"/>
      <c r="P981" s="24"/>
      <c r="Q981" s="24"/>
      <c r="R981" s="24"/>
      <c r="S981" s="24"/>
      <c r="T981" s="24"/>
      <c r="U981" s="24"/>
      <c r="V981" s="24"/>
      <c r="W981" s="24"/>
    </row>
    <row r="982">
      <c r="A982" s="24"/>
      <c r="B982" s="24"/>
      <c r="C982" s="24"/>
      <c r="D982" s="24"/>
      <c r="E982" s="24"/>
      <c r="F982" s="24"/>
      <c r="G982" s="24"/>
      <c r="H982" s="24"/>
      <c r="I982" s="24"/>
      <c r="J982" s="24"/>
      <c r="K982" s="24"/>
      <c r="L982" s="24"/>
      <c r="M982" s="24"/>
      <c r="N982" s="24"/>
      <c r="O982" s="24"/>
      <c r="P982" s="24"/>
      <c r="Q982" s="24"/>
      <c r="R982" s="24"/>
      <c r="S982" s="24"/>
      <c r="T982" s="24"/>
      <c r="U982" s="24"/>
      <c r="V982" s="24"/>
      <c r="W982" s="24"/>
    </row>
    <row r="983">
      <c r="A983" s="24"/>
      <c r="B983" s="24"/>
      <c r="C983" s="24"/>
      <c r="D983" s="24"/>
      <c r="E983" s="24"/>
      <c r="F983" s="24"/>
      <c r="G983" s="24"/>
      <c r="H983" s="24"/>
      <c r="I983" s="24"/>
      <c r="J983" s="24"/>
      <c r="K983" s="24"/>
      <c r="L983" s="24"/>
      <c r="M983" s="24"/>
      <c r="N983" s="24"/>
      <c r="O983" s="24"/>
      <c r="P983" s="24"/>
      <c r="Q983" s="24"/>
      <c r="R983" s="24"/>
      <c r="S983" s="24"/>
      <c r="T983" s="24"/>
      <c r="U983" s="24"/>
      <c r="V983" s="24"/>
      <c r="W983" s="24"/>
    </row>
    <row r="984">
      <c r="A984" s="24"/>
      <c r="B984" s="24"/>
      <c r="C984" s="24"/>
      <c r="D984" s="24"/>
      <c r="E984" s="24"/>
      <c r="F984" s="24"/>
      <c r="G984" s="24"/>
      <c r="H984" s="24"/>
      <c r="I984" s="24"/>
      <c r="J984" s="24"/>
      <c r="K984" s="24"/>
      <c r="L984" s="24"/>
      <c r="M984" s="24"/>
      <c r="N984" s="24"/>
      <c r="O984" s="24"/>
      <c r="P984" s="24"/>
      <c r="Q984" s="24"/>
      <c r="R984" s="24"/>
      <c r="S984" s="24"/>
      <c r="T984" s="24"/>
      <c r="U984" s="24"/>
      <c r="V984" s="24"/>
      <c r="W984" s="24"/>
    </row>
    <row r="985">
      <c r="A985" s="24"/>
      <c r="B985" s="24"/>
      <c r="C985" s="24"/>
      <c r="D985" s="24"/>
      <c r="E985" s="24"/>
      <c r="F985" s="24"/>
      <c r="G985" s="24"/>
      <c r="H985" s="24"/>
      <c r="I985" s="24"/>
      <c r="J985" s="24"/>
      <c r="K985" s="24"/>
      <c r="L985" s="24"/>
      <c r="M985" s="24"/>
      <c r="N985" s="24"/>
      <c r="O985" s="24"/>
      <c r="P985" s="24"/>
      <c r="Q985" s="24"/>
      <c r="R985" s="24"/>
      <c r="S985" s="24"/>
      <c r="T985" s="24"/>
      <c r="U985" s="24"/>
      <c r="V985" s="24"/>
      <c r="W985" s="24"/>
    </row>
    <row r="986">
      <c r="A986" s="24"/>
      <c r="B986" s="24"/>
      <c r="C986" s="24"/>
      <c r="D986" s="24"/>
      <c r="E986" s="24"/>
      <c r="F986" s="24"/>
      <c r="G986" s="24"/>
      <c r="H986" s="24"/>
      <c r="I986" s="24"/>
      <c r="J986" s="24"/>
      <c r="K986" s="24"/>
      <c r="L986" s="24"/>
      <c r="M986" s="24"/>
      <c r="N986" s="24"/>
      <c r="O986" s="24"/>
      <c r="P986" s="24"/>
      <c r="Q986" s="24"/>
      <c r="R986" s="24"/>
      <c r="S986" s="24"/>
      <c r="T986" s="24"/>
      <c r="U986" s="24"/>
      <c r="V986" s="24"/>
      <c r="W986" s="24"/>
    </row>
    <row r="987">
      <c r="A987" s="24"/>
      <c r="B987" s="24"/>
      <c r="C987" s="24"/>
      <c r="D987" s="24"/>
      <c r="E987" s="24"/>
      <c r="F987" s="24"/>
      <c r="G987" s="24"/>
      <c r="H987" s="24"/>
      <c r="I987" s="24"/>
      <c r="J987" s="24"/>
      <c r="K987" s="24"/>
      <c r="L987" s="24"/>
      <c r="M987" s="24"/>
      <c r="N987" s="24"/>
      <c r="O987" s="24"/>
      <c r="P987" s="24"/>
      <c r="Q987" s="24"/>
      <c r="R987" s="24"/>
      <c r="S987" s="24"/>
      <c r="T987" s="24"/>
      <c r="U987" s="24"/>
      <c r="V987" s="24"/>
      <c r="W987" s="24"/>
    </row>
    <row r="988">
      <c r="A988" s="24"/>
      <c r="B988" s="24"/>
      <c r="C988" s="24"/>
      <c r="D988" s="24"/>
      <c r="E988" s="24"/>
      <c r="F988" s="24"/>
      <c r="G988" s="24"/>
      <c r="H988" s="24"/>
      <c r="I988" s="24"/>
      <c r="J988" s="24"/>
      <c r="K988" s="24"/>
      <c r="L988" s="24"/>
      <c r="M988" s="24"/>
      <c r="N988" s="24"/>
      <c r="O988" s="24"/>
      <c r="P988" s="24"/>
      <c r="Q988" s="24"/>
      <c r="R988" s="24"/>
      <c r="S988" s="24"/>
      <c r="T988" s="24"/>
      <c r="U988" s="24"/>
      <c r="V988" s="24"/>
      <c r="W988" s="24"/>
    </row>
    <row r="989">
      <c r="A989" s="24"/>
      <c r="B989" s="24"/>
      <c r="C989" s="24"/>
      <c r="D989" s="24"/>
      <c r="E989" s="24"/>
      <c r="F989" s="24"/>
      <c r="G989" s="24"/>
      <c r="H989" s="24"/>
      <c r="I989" s="24"/>
      <c r="J989" s="24"/>
      <c r="K989" s="24"/>
      <c r="L989" s="24"/>
      <c r="M989" s="24"/>
      <c r="N989" s="24"/>
      <c r="O989" s="24"/>
      <c r="P989" s="24"/>
      <c r="Q989" s="24"/>
      <c r="R989" s="24"/>
      <c r="S989" s="24"/>
      <c r="T989" s="24"/>
      <c r="U989" s="24"/>
      <c r="V989" s="24"/>
      <c r="W989" s="24"/>
    </row>
    <row r="990">
      <c r="A990" s="24"/>
      <c r="B990" s="24"/>
      <c r="C990" s="24"/>
      <c r="D990" s="24"/>
      <c r="E990" s="24"/>
      <c r="F990" s="24"/>
      <c r="G990" s="24"/>
      <c r="H990" s="24"/>
      <c r="I990" s="24"/>
      <c r="J990" s="24"/>
      <c r="K990" s="24"/>
      <c r="L990" s="24"/>
      <c r="M990" s="24"/>
      <c r="N990" s="24"/>
      <c r="O990" s="24"/>
      <c r="P990" s="24"/>
      <c r="Q990" s="24"/>
      <c r="R990" s="24"/>
      <c r="S990" s="24"/>
      <c r="T990" s="24"/>
      <c r="U990" s="24"/>
      <c r="V990" s="24"/>
      <c r="W990" s="24"/>
    </row>
    <row r="991">
      <c r="A991" s="24"/>
      <c r="B991" s="24"/>
      <c r="C991" s="24"/>
      <c r="D991" s="24"/>
      <c r="E991" s="24"/>
      <c r="F991" s="24"/>
      <c r="G991" s="24"/>
      <c r="H991" s="24"/>
      <c r="I991" s="24"/>
      <c r="J991" s="24"/>
      <c r="K991" s="24"/>
      <c r="L991" s="24"/>
      <c r="M991" s="24"/>
      <c r="N991" s="24"/>
      <c r="O991" s="24"/>
      <c r="P991" s="24"/>
      <c r="Q991" s="24"/>
      <c r="R991" s="24"/>
      <c r="S991" s="24"/>
      <c r="T991" s="24"/>
      <c r="U991" s="24"/>
      <c r="V991" s="24"/>
      <c r="W991" s="24"/>
    </row>
    <row r="992">
      <c r="A992" s="24"/>
      <c r="B992" s="24"/>
      <c r="C992" s="24"/>
      <c r="D992" s="24"/>
      <c r="E992" s="24"/>
      <c r="F992" s="24"/>
      <c r="G992" s="24"/>
      <c r="H992" s="24"/>
      <c r="I992" s="24"/>
      <c r="J992" s="24"/>
      <c r="K992" s="24"/>
      <c r="L992" s="24"/>
      <c r="M992" s="24"/>
      <c r="N992" s="24"/>
      <c r="O992" s="24"/>
      <c r="P992" s="24"/>
      <c r="Q992" s="24"/>
      <c r="R992" s="24"/>
      <c r="S992" s="24"/>
      <c r="T992" s="24"/>
      <c r="U992" s="24"/>
      <c r="V992" s="24"/>
      <c r="W992" s="24"/>
    </row>
    <row r="993">
      <c r="A993" s="24"/>
      <c r="B993" s="24"/>
      <c r="C993" s="24"/>
      <c r="D993" s="24"/>
      <c r="E993" s="24"/>
      <c r="F993" s="24"/>
      <c r="G993" s="24"/>
      <c r="H993" s="24"/>
      <c r="I993" s="24"/>
      <c r="J993" s="24"/>
      <c r="K993" s="24"/>
      <c r="L993" s="24"/>
      <c r="M993" s="24"/>
      <c r="N993" s="24"/>
      <c r="O993" s="24"/>
      <c r="P993" s="24"/>
      <c r="Q993" s="24"/>
      <c r="R993" s="24"/>
      <c r="S993" s="24"/>
      <c r="T993" s="24"/>
      <c r="U993" s="24"/>
      <c r="V993" s="24"/>
      <c r="W993" s="24"/>
    </row>
    <row r="994">
      <c r="A994" s="24"/>
      <c r="B994" s="24"/>
      <c r="C994" s="24"/>
      <c r="D994" s="24"/>
      <c r="E994" s="24"/>
      <c r="F994" s="24"/>
      <c r="G994" s="24"/>
      <c r="H994" s="24"/>
      <c r="I994" s="24"/>
      <c r="J994" s="24"/>
      <c r="K994" s="24"/>
      <c r="L994" s="24"/>
      <c r="M994" s="24"/>
      <c r="N994" s="24"/>
      <c r="O994" s="24"/>
      <c r="P994" s="24"/>
      <c r="Q994" s="24"/>
      <c r="R994" s="24"/>
      <c r="S994" s="24"/>
      <c r="T994" s="24"/>
      <c r="U994" s="24"/>
      <c r="V994" s="24"/>
      <c r="W994" s="24"/>
    </row>
    <row r="995">
      <c r="A995" s="24"/>
      <c r="B995" s="24"/>
      <c r="C995" s="24"/>
      <c r="D995" s="24"/>
      <c r="E995" s="24"/>
      <c r="F995" s="24"/>
      <c r="G995" s="24"/>
      <c r="H995" s="24"/>
      <c r="I995" s="24"/>
      <c r="J995" s="24"/>
      <c r="K995" s="24"/>
      <c r="L995" s="24"/>
      <c r="M995" s="24"/>
      <c r="N995" s="24"/>
      <c r="O995" s="24"/>
      <c r="P995" s="24"/>
      <c r="Q995" s="24"/>
      <c r="R995" s="24"/>
      <c r="S995" s="24"/>
      <c r="T995" s="24"/>
      <c r="U995" s="24"/>
      <c r="V995" s="24"/>
      <c r="W995" s="24"/>
    </row>
    <row r="996">
      <c r="A996" s="24"/>
      <c r="B996" s="24"/>
      <c r="C996" s="24"/>
      <c r="D996" s="24"/>
      <c r="E996" s="24"/>
      <c r="F996" s="24"/>
      <c r="G996" s="24"/>
      <c r="H996" s="24"/>
      <c r="I996" s="24"/>
      <c r="J996" s="24"/>
      <c r="K996" s="24"/>
      <c r="L996" s="24"/>
      <c r="M996" s="24"/>
      <c r="N996" s="24"/>
      <c r="O996" s="24"/>
      <c r="P996" s="24"/>
      <c r="Q996" s="24"/>
      <c r="R996" s="24"/>
      <c r="S996" s="24"/>
      <c r="T996" s="24"/>
      <c r="U996" s="24"/>
      <c r="V996" s="24"/>
      <c r="W996" s="24"/>
    </row>
    <row r="997">
      <c r="A997" s="24"/>
      <c r="B997" s="24"/>
      <c r="C997" s="24"/>
      <c r="D997" s="24"/>
      <c r="E997" s="24"/>
      <c r="F997" s="24"/>
      <c r="G997" s="24"/>
      <c r="H997" s="24"/>
      <c r="I997" s="24"/>
      <c r="J997" s="24"/>
      <c r="K997" s="24"/>
      <c r="L997" s="24"/>
      <c r="M997" s="24"/>
      <c r="N997" s="24"/>
      <c r="O997" s="24"/>
      <c r="P997" s="24"/>
      <c r="Q997" s="24"/>
      <c r="R997" s="24"/>
      <c r="S997" s="24"/>
      <c r="T997" s="24"/>
      <c r="U997" s="24"/>
      <c r="V997" s="24"/>
      <c r="W997" s="24"/>
    </row>
    <row r="998">
      <c r="A998" s="24"/>
      <c r="B998" s="24"/>
      <c r="C998" s="24"/>
      <c r="D998" s="24"/>
      <c r="E998" s="24"/>
      <c r="F998" s="24"/>
      <c r="G998" s="24"/>
      <c r="H998" s="24"/>
      <c r="I998" s="24"/>
      <c r="J998" s="24"/>
      <c r="K998" s="24"/>
      <c r="L998" s="24"/>
      <c r="M998" s="24"/>
      <c r="N998" s="24"/>
      <c r="O998" s="24"/>
      <c r="P998" s="24"/>
      <c r="Q998" s="24"/>
      <c r="R998" s="24"/>
      <c r="S998" s="24"/>
      <c r="T998" s="24"/>
      <c r="U998" s="24"/>
      <c r="V998" s="24"/>
      <c r="W998" s="24"/>
    </row>
    <row r="999">
      <c r="A999" s="24"/>
      <c r="B999" s="24"/>
      <c r="C999" s="24"/>
      <c r="D999" s="24"/>
      <c r="E999" s="24"/>
      <c r="F999" s="24"/>
      <c r="G999" s="24"/>
      <c r="H999" s="24"/>
      <c r="I999" s="24"/>
      <c r="J999" s="24"/>
      <c r="K999" s="24"/>
      <c r="L999" s="24"/>
      <c r="M999" s="24"/>
      <c r="N999" s="24"/>
      <c r="O999" s="24"/>
      <c r="P999" s="24"/>
      <c r="Q999" s="24"/>
      <c r="R999" s="24"/>
      <c r="S999" s="24"/>
      <c r="T999" s="24"/>
      <c r="U999" s="24"/>
      <c r="V999" s="24"/>
      <c r="W999" s="24"/>
    </row>
    <row r="1000">
      <c r="A1000" s="24"/>
      <c r="B1000" s="24"/>
      <c r="C1000" s="24"/>
      <c r="D1000" s="24"/>
      <c r="E1000" s="24"/>
      <c r="F1000" s="24"/>
      <c r="G1000" s="24"/>
      <c r="H1000" s="24"/>
      <c r="I1000" s="24"/>
      <c r="J1000" s="24"/>
      <c r="K1000" s="24"/>
      <c r="L1000" s="24"/>
      <c r="M1000" s="24"/>
      <c r="N1000" s="24"/>
      <c r="O1000" s="24"/>
      <c r="P1000" s="24"/>
      <c r="Q1000" s="24"/>
      <c r="R1000" s="24"/>
      <c r="S1000" s="24"/>
      <c r="T1000" s="24"/>
      <c r="U1000" s="24"/>
      <c r="V1000" s="24"/>
      <c r="W1000" s="24"/>
    </row>
  </sheetData>
  <hyperlinks>
    <hyperlink r:id="rId2" ref="M4"/>
    <hyperlink r:id="rId3" ref="M5"/>
    <hyperlink r:id="rId4" ref="M7"/>
    <hyperlink r:id="rId5" ref="M8"/>
    <hyperlink r:id="rId6" ref="M9"/>
    <hyperlink r:id="rId7" ref="M10"/>
    <hyperlink r:id="rId8" ref="M11"/>
    <hyperlink r:id="rId9" ref="M12"/>
    <hyperlink r:id="rId10" ref="M13"/>
    <hyperlink r:id="rId11" ref="M14"/>
    <hyperlink r:id="rId12" ref="M15"/>
    <hyperlink r:id="rId13" ref="M16"/>
    <hyperlink r:id="rId14" ref="M17"/>
    <hyperlink r:id="rId15" ref="M18"/>
    <hyperlink r:id="rId16" ref="M19"/>
    <hyperlink r:id="rId17" ref="M21"/>
    <hyperlink r:id="rId18" ref="M22"/>
    <hyperlink r:id="rId19" ref="M23"/>
    <hyperlink r:id="rId20" ref="M24"/>
    <hyperlink r:id="rId21" ref="M25"/>
    <hyperlink r:id="rId22" ref="M26"/>
    <hyperlink r:id="rId23" ref="M27"/>
    <hyperlink r:id="rId24" ref="M28"/>
    <hyperlink r:id="rId25" ref="M29"/>
    <hyperlink r:id="rId26" ref="M30"/>
    <hyperlink r:id="rId27" ref="M31"/>
    <hyperlink r:id="rId28" ref="M32"/>
    <hyperlink r:id="rId29" ref="M33"/>
    <hyperlink r:id="rId30" ref="M34"/>
    <hyperlink r:id="rId31" ref="M35"/>
    <hyperlink r:id="rId32" ref="M36"/>
    <hyperlink r:id="rId33" ref="M37"/>
    <hyperlink r:id="rId34" ref="M39"/>
    <hyperlink r:id="rId35" ref="M40"/>
    <hyperlink r:id="rId36" ref="M41"/>
    <hyperlink r:id="rId37" ref="M42"/>
    <hyperlink r:id="rId38" ref="M43"/>
    <hyperlink r:id="rId39" ref="M44"/>
    <hyperlink r:id="rId40" ref="M45"/>
    <hyperlink r:id="rId41" ref="M46"/>
    <hyperlink r:id="rId42" ref="M47"/>
    <hyperlink r:id="rId43" ref="M48"/>
    <hyperlink r:id="rId44" ref="M49"/>
    <hyperlink r:id="rId45" ref="M50"/>
    <hyperlink r:id="rId46" ref="M51"/>
    <hyperlink r:id="rId47" ref="M53"/>
    <hyperlink r:id="rId48" ref="L54"/>
    <hyperlink r:id="rId49" ref="M54"/>
    <hyperlink r:id="rId50" ref="M55"/>
    <hyperlink r:id="rId51" ref="M56"/>
    <hyperlink r:id="rId52" ref="M57"/>
    <hyperlink r:id="rId53" ref="M58"/>
    <hyperlink r:id="rId54" ref="M59"/>
    <hyperlink r:id="rId55" ref="M60"/>
    <hyperlink r:id="rId56" ref="M62"/>
    <hyperlink r:id="rId57" ref="M63"/>
    <hyperlink r:id="rId58" ref="M64"/>
    <hyperlink r:id="rId59" ref="M65"/>
    <hyperlink r:id="rId60" ref="M66"/>
    <hyperlink r:id="rId61" ref="M67"/>
    <hyperlink r:id="rId62" ref="M68"/>
    <hyperlink r:id="rId63" ref="M69"/>
    <hyperlink r:id="rId64" ref="M71"/>
    <hyperlink r:id="rId65" ref="M72"/>
    <hyperlink r:id="rId66" ref="M73"/>
    <hyperlink r:id="rId67" ref="M75"/>
    <hyperlink r:id="rId68" ref="M76"/>
    <hyperlink r:id="rId69" ref="M77"/>
    <hyperlink r:id="rId70" ref="M79"/>
    <hyperlink r:id="rId71" ref="M80"/>
    <hyperlink r:id="rId72" ref="M81"/>
    <hyperlink r:id="rId73" ref="M82"/>
    <hyperlink r:id="rId74" ref="M83"/>
    <hyperlink r:id="rId75" ref="M84"/>
    <hyperlink r:id="rId76" ref="M85"/>
    <hyperlink r:id="rId77" ref="M86"/>
    <hyperlink r:id="rId78" ref="M87"/>
    <hyperlink r:id="rId79" ref="M88"/>
    <hyperlink r:id="rId80" ref="M89"/>
    <hyperlink r:id="rId81" ref="M90"/>
    <hyperlink r:id="rId82" ref="M91"/>
    <hyperlink r:id="rId83" ref="M92"/>
    <hyperlink r:id="rId84" ref="M93"/>
    <hyperlink r:id="rId85" ref="M94"/>
    <hyperlink r:id="rId86" ref="M95"/>
    <hyperlink r:id="rId87" ref="M96"/>
    <hyperlink r:id="rId88" ref="M97"/>
    <hyperlink r:id="rId89" ref="M98"/>
    <hyperlink r:id="rId90" ref="M100"/>
    <hyperlink r:id="rId91" ref="M101"/>
    <hyperlink r:id="rId92" ref="M102"/>
    <hyperlink r:id="rId93" ref="M103"/>
    <hyperlink r:id="rId94" ref="M104"/>
    <hyperlink r:id="rId95" ref="M105"/>
    <hyperlink r:id="rId96" ref="M106"/>
    <hyperlink r:id="rId97" ref="M107"/>
    <hyperlink r:id="rId98" ref="M108"/>
    <hyperlink r:id="rId99" ref="M109"/>
    <hyperlink r:id="rId100" ref="M110"/>
    <hyperlink r:id="rId101" ref="M111"/>
    <hyperlink r:id="rId102" ref="M112"/>
    <hyperlink r:id="rId103" ref="M113"/>
    <hyperlink r:id="rId104" ref="M114"/>
    <hyperlink r:id="rId105" ref="M115"/>
    <hyperlink r:id="rId106" ref="M116"/>
    <hyperlink r:id="rId107" ref="M117"/>
    <hyperlink r:id="rId108" ref="M118"/>
    <hyperlink r:id="rId109" ref="M119"/>
    <hyperlink r:id="rId110" ref="M120"/>
    <hyperlink r:id="rId111" ref="M121"/>
    <hyperlink r:id="rId112" ref="M122"/>
    <hyperlink r:id="rId113" ref="M123"/>
    <hyperlink r:id="rId114" ref="M124"/>
    <hyperlink r:id="rId115" ref="M125"/>
    <hyperlink r:id="rId116" ref="M126"/>
    <hyperlink r:id="rId117" ref="M127"/>
    <hyperlink r:id="rId118" ref="L128"/>
    <hyperlink r:id="rId119" ref="M128"/>
    <hyperlink r:id="rId120" ref="M129"/>
    <hyperlink r:id="rId121" ref="M130"/>
    <hyperlink r:id="rId122" ref="M131"/>
    <hyperlink r:id="rId123" ref="M132"/>
    <hyperlink r:id="rId124" ref="M133"/>
    <hyperlink r:id="rId125" ref="M134"/>
    <hyperlink r:id="rId126" ref="M135"/>
    <hyperlink r:id="rId127" ref="M136"/>
    <hyperlink r:id="rId128" ref="M137"/>
    <hyperlink r:id="rId129" ref="M138"/>
    <hyperlink r:id="rId130" ref="M139"/>
    <hyperlink r:id="rId131" ref="M140"/>
    <hyperlink r:id="rId132" ref="M141"/>
    <hyperlink r:id="rId133" ref="M142"/>
    <hyperlink r:id="rId134" ref="M143"/>
    <hyperlink r:id="rId135" ref="M144"/>
    <hyperlink r:id="rId136" ref="M145"/>
    <hyperlink r:id="rId137" ref="M146"/>
    <hyperlink r:id="rId138" ref="M147"/>
    <hyperlink r:id="rId139" ref="M148"/>
    <hyperlink r:id="rId140" ref="M149"/>
    <hyperlink r:id="rId141" ref="M150"/>
    <hyperlink r:id="rId142" ref="M151"/>
    <hyperlink r:id="rId143" ref="M152"/>
    <hyperlink r:id="rId144" ref="M153"/>
    <hyperlink r:id="rId145" ref="M154"/>
    <hyperlink r:id="rId146" ref="M155"/>
    <hyperlink r:id="rId147" ref="M156"/>
    <hyperlink r:id="rId148" ref="L157"/>
    <hyperlink r:id="rId149" ref="M157"/>
    <hyperlink r:id="rId150" ref="M158"/>
    <hyperlink r:id="rId151" ref="M159"/>
    <hyperlink r:id="rId152" ref="M160"/>
    <hyperlink r:id="rId153" ref="M161"/>
    <hyperlink r:id="rId154" ref="M162"/>
    <hyperlink r:id="rId155" ref="M163"/>
    <hyperlink r:id="rId156" ref="M164"/>
    <hyperlink r:id="rId157" ref="M165"/>
    <hyperlink r:id="rId158" ref="M166"/>
    <hyperlink r:id="rId159" ref="M167"/>
    <hyperlink r:id="rId160" ref="M168"/>
    <hyperlink r:id="rId161" ref="M169"/>
    <hyperlink r:id="rId162" ref="M170"/>
    <hyperlink r:id="rId163" ref="M171"/>
    <hyperlink r:id="rId164" ref="M172"/>
    <hyperlink r:id="rId165" ref="M173"/>
    <hyperlink r:id="rId166" ref="M174"/>
    <hyperlink r:id="rId167" ref="M175"/>
    <hyperlink r:id="rId168" ref="M176"/>
    <hyperlink r:id="rId169" ref="M177"/>
    <hyperlink r:id="rId170" ref="M178"/>
    <hyperlink r:id="rId171" ref="M179"/>
    <hyperlink r:id="rId172" ref="M180"/>
    <hyperlink r:id="rId173" ref="M181"/>
    <hyperlink r:id="rId174" ref="M182"/>
    <hyperlink r:id="rId175" ref="M183"/>
    <hyperlink r:id="rId176" ref="M184"/>
    <hyperlink r:id="rId177" ref="M185"/>
    <hyperlink r:id="rId178" ref="M186"/>
    <hyperlink r:id="rId179" ref="M187"/>
    <hyperlink r:id="rId180" ref="M188"/>
    <hyperlink r:id="rId181" ref="M189"/>
    <hyperlink r:id="rId182" ref="M190"/>
    <hyperlink r:id="rId183" ref="M191"/>
    <hyperlink r:id="rId184" ref="M192"/>
    <hyperlink r:id="rId185" ref="M193"/>
    <hyperlink r:id="rId186" ref="M194"/>
    <hyperlink r:id="rId187" ref="M195"/>
    <hyperlink r:id="rId188" ref="M196"/>
    <hyperlink r:id="rId189" ref="M197"/>
    <hyperlink r:id="rId190" ref="M198"/>
    <hyperlink r:id="rId191" ref="L199"/>
    <hyperlink r:id="rId192" ref="M199"/>
    <hyperlink r:id="rId193" ref="M200"/>
    <hyperlink r:id="rId194" ref="M201"/>
    <hyperlink r:id="rId195" ref="M202"/>
    <hyperlink r:id="rId196" ref="M203"/>
    <hyperlink r:id="rId197" ref="L204"/>
    <hyperlink r:id="rId198" ref="M204"/>
    <hyperlink r:id="rId199" ref="M205"/>
    <hyperlink r:id="rId200" ref="M206"/>
    <hyperlink r:id="rId201" ref="M207"/>
    <hyperlink r:id="rId202" ref="M208"/>
    <hyperlink r:id="rId203" ref="M209"/>
    <hyperlink r:id="rId204" ref="L210"/>
    <hyperlink r:id="rId205" ref="M210"/>
    <hyperlink r:id="rId206" ref="M211"/>
    <hyperlink r:id="rId207" ref="M212"/>
    <hyperlink r:id="rId208" ref="M213"/>
    <hyperlink r:id="rId209" ref="M214"/>
    <hyperlink r:id="rId210" ref="M215"/>
    <hyperlink r:id="rId211" ref="M216"/>
    <hyperlink r:id="rId212" ref="M217"/>
    <hyperlink r:id="rId213" ref="M218"/>
    <hyperlink r:id="rId214" ref="M219"/>
    <hyperlink r:id="rId215" ref="M220"/>
    <hyperlink r:id="rId216" ref="M221"/>
    <hyperlink r:id="rId217" ref="M222"/>
    <hyperlink r:id="rId218" ref="M223"/>
    <hyperlink r:id="rId219" ref="M224"/>
    <hyperlink r:id="rId220" ref="M226"/>
    <hyperlink r:id="rId221" ref="M227"/>
    <hyperlink r:id="rId222" ref="M228"/>
    <hyperlink r:id="rId223" ref="M229"/>
    <hyperlink r:id="rId224" ref="M230"/>
    <hyperlink r:id="rId225" ref="M231"/>
    <hyperlink r:id="rId226" ref="M232"/>
    <hyperlink r:id="rId227" ref="M233"/>
    <hyperlink r:id="rId228" ref="M234"/>
    <hyperlink r:id="rId229" ref="M235"/>
    <hyperlink r:id="rId230" ref="M236"/>
    <hyperlink r:id="rId231" ref="M237"/>
    <hyperlink r:id="rId232" ref="M238"/>
    <hyperlink r:id="rId233" ref="M239"/>
    <hyperlink r:id="rId234" ref="M240"/>
    <hyperlink r:id="rId235" ref="M241"/>
    <hyperlink r:id="rId236" ref="M242"/>
    <hyperlink r:id="rId237" ref="M243"/>
    <hyperlink r:id="rId238" ref="M244"/>
    <hyperlink r:id="rId239" ref="M245"/>
    <hyperlink r:id="rId240" ref="M246"/>
    <hyperlink r:id="rId241" ref="M247"/>
    <hyperlink r:id="rId242" ref="M248"/>
    <hyperlink r:id="rId243" ref="M249"/>
    <hyperlink r:id="rId244" ref="M250"/>
    <hyperlink r:id="rId245" ref="M251"/>
    <hyperlink r:id="rId246" ref="M252"/>
    <hyperlink r:id="rId247" ref="M253"/>
    <hyperlink r:id="rId248" ref="M254"/>
    <hyperlink r:id="rId249" ref="M255"/>
    <hyperlink r:id="rId250" ref="M256"/>
    <hyperlink r:id="rId251" ref="M257"/>
    <hyperlink r:id="rId252" ref="M258"/>
    <hyperlink r:id="rId253" ref="M259"/>
    <hyperlink r:id="rId254" ref="M260"/>
    <hyperlink r:id="rId255" ref="M261"/>
    <hyperlink r:id="rId256" ref="M262"/>
    <hyperlink r:id="rId257" ref="M263"/>
    <hyperlink r:id="rId258" ref="M264"/>
    <hyperlink r:id="rId259" ref="M265"/>
    <hyperlink r:id="rId260" ref="M266"/>
    <hyperlink r:id="rId261" ref="M267"/>
    <hyperlink r:id="rId262" ref="M268"/>
    <hyperlink r:id="rId263" ref="M269"/>
    <hyperlink r:id="rId264" ref="M270"/>
    <hyperlink r:id="rId265" ref="M271"/>
    <hyperlink r:id="rId266" ref="M272"/>
    <hyperlink r:id="rId267" ref="M273"/>
    <hyperlink r:id="rId268" ref="M274"/>
    <hyperlink r:id="rId269" ref="M275"/>
    <hyperlink r:id="rId270" ref="M276"/>
    <hyperlink r:id="rId271" ref="M277"/>
    <hyperlink r:id="rId272" ref="M278"/>
    <hyperlink r:id="rId273" ref="M279"/>
    <hyperlink r:id="rId274" ref="M280"/>
    <hyperlink r:id="rId275" ref="M281"/>
    <hyperlink r:id="rId276" ref="M282"/>
    <hyperlink r:id="rId277" ref="M283"/>
    <hyperlink r:id="rId278" ref="M284"/>
    <hyperlink r:id="rId279" ref="M285"/>
    <hyperlink r:id="rId280" ref="M286"/>
    <hyperlink r:id="rId281" ref="M287"/>
    <hyperlink r:id="rId282" ref="L288"/>
    <hyperlink r:id="rId283" ref="M288"/>
    <hyperlink r:id="rId284" ref="M289"/>
    <hyperlink r:id="rId285" ref="M290"/>
    <hyperlink r:id="rId286" ref="M291"/>
    <hyperlink r:id="rId287" ref="M292"/>
    <hyperlink r:id="rId288" ref="L293"/>
    <hyperlink r:id="rId289" ref="M293"/>
    <hyperlink r:id="rId290" ref="M294"/>
    <hyperlink r:id="rId291" ref="M295"/>
    <hyperlink r:id="rId292" ref="M296"/>
    <hyperlink r:id="rId293" ref="M297"/>
    <hyperlink r:id="rId294" ref="M298"/>
    <hyperlink r:id="rId295" ref="M299"/>
    <hyperlink r:id="rId296" ref="M300"/>
    <hyperlink r:id="rId297" ref="M301"/>
    <hyperlink r:id="rId298" ref="M302"/>
    <hyperlink r:id="rId299" ref="M303"/>
    <hyperlink r:id="rId300" ref="M304"/>
    <hyperlink r:id="rId301" ref="M305"/>
    <hyperlink r:id="rId302" ref="M306"/>
    <hyperlink r:id="rId303" ref="M307"/>
    <hyperlink r:id="rId304" ref="M308"/>
    <hyperlink r:id="rId305" ref="M309"/>
    <hyperlink r:id="rId306" ref="M310"/>
    <hyperlink r:id="rId307" ref="M311"/>
    <hyperlink r:id="rId308" ref="M312"/>
    <hyperlink r:id="rId309" ref="M314"/>
    <hyperlink r:id="rId310" ref="M315"/>
    <hyperlink r:id="rId311" ref="M316"/>
    <hyperlink r:id="rId312" ref="M317"/>
    <hyperlink r:id="rId313" ref="M318"/>
    <hyperlink r:id="rId314" ref="M319"/>
    <hyperlink r:id="rId315" ref="M320"/>
    <hyperlink r:id="rId316" ref="M321"/>
    <hyperlink r:id="rId317" ref="L322"/>
    <hyperlink r:id="rId318" ref="M322"/>
    <hyperlink r:id="rId319" ref="M323"/>
    <hyperlink r:id="rId320" ref="M324"/>
    <hyperlink r:id="rId321" ref="M325"/>
    <hyperlink r:id="rId322" ref="M326"/>
    <hyperlink r:id="rId323" ref="M327"/>
    <hyperlink r:id="rId324" ref="M328"/>
    <hyperlink r:id="rId325" ref="M329"/>
    <hyperlink r:id="rId326" ref="M330"/>
    <hyperlink r:id="rId327" ref="M331"/>
    <hyperlink r:id="rId328" ref="M332"/>
    <hyperlink r:id="rId329" ref="M333"/>
    <hyperlink r:id="rId330" ref="M334"/>
    <hyperlink r:id="rId331" ref="M335"/>
    <hyperlink r:id="rId332" ref="M336"/>
    <hyperlink r:id="rId333" ref="M337"/>
    <hyperlink r:id="rId334" ref="M338"/>
    <hyperlink r:id="rId335" ref="M339"/>
    <hyperlink r:id="rId336" ref="M340"/>
    <hyperlink r:id="rId337" ref="M341"/>
    <hyperlink r:id="rId338" ref="M342"/>
    <hyperlink r:id="rId339" ref="M343"/>
    <hyperlink r:id="rId340" ref="M344"/>
    <hyperlink r:id="rId341" ref="M345"/>
    <hyperlink r:id="rId342" ref="M346"/>
    <hyperlink r:id="rId343" ref="M347"/>
    <hyperlink r:id="rId344" ref="M348"/>
    <hyperlink r:id="rId345" ref="M349"/>
    <hyperlink r:id="rId346" ref="M350"/>
    <hyperlink r:id="rId347" ref="M351"/>
    <hyperlink r:id="rId348" ref="M352"/>
    <hyperlink r:id="rId349" ref="M353"/>
    <hyperlink r:id="rId350" ref="M354"/>
    <hyperlink r:id="rId351" ref="M355"/>
    <hyperlink r:id="rId352" ref="M356"/>
    <hyperlink r:id="rId353" ref="M357"/>
    <hyperlink r:id="rId354" ref="M358"/>
    <hyperlink r:id="rId355" ref="L359"/>
    <hyperlink r:id="rId356" ref="M359"/>
    <hyperlink r:id="rId357" ref="M360"/>
    <hyperlink r:id="rId358" ref="M361"/>
    <hyperlink r:id="rId359" ref="M362"/>
    <hyperlink r:id="rId360" ref="M363"/>
    <hyperlink r:id="rId361" ref="M364"/>
    <hyperlink r:id="rId362" ref="M365"/>
    <hyperlink r:id="rId363" ref="M366"/>
    <hyperlink r:id="rId364" ref="M367"/>
    <hyperlink r:id="rId365" ref="M368"/>
    <hyperlink r:id="rId366" ref="M369"/>
    <hyperlink r:id="rId367" ref="M370"/>
    <hyperlink r:id="rId368" ref="M371"/>
    <hyperlink r:id="rId369" ref="M372"/>
    <hyperlink r:id="rId370" ref="M373"/>
    <hyperlink r:id="rId371" ref="M374"/>
    <hyperlink r:id="rId372" ref="M375"/>
    <hyperlink r:id="rId373" ref="M376"/>
    <hyperlink r:id="rId374" ref="M377"/>
    <hyperlink r:id="rId375" ref="M378"/>
    <hyperlink r:id="rId376" ref="M379"/>
    <hyperlink r:id="rId377" ref="M380"/>
    <hyperlink r:id="rId378" ref="M381"/>
    <hyperlink r:id="rId379" ref="M382"/>
    <hyperlink r:id="rId380" ref="M383"/>
    <hyperlink r:id="rId381" ref="M384"/>
    <hyperlink r:id="rId382" ref="M385"/>
    <hyperlink r:id="rId383" ref="M386"/>
    <hyperlink r:id="rId384" ref="M387"/>
    <hyperlink r:id="rId385" ref="M388"/>
    <hyperlink r:id="rId386" ref="L389"/>
    <hyperlink r:id="rId387" ref="M389"/>
    <hyperlink r:id="rId388" ref="M390"/>
    <hyperlink r:id="rId389" ref="M391"/>
    <hyperlink r:id="rId390" ref="M392"/>
    <hyperlink r:id="rId391" ref="M393"/>
    <hyperlink r:id="rId392" ref="M394"/>
    <hyperlink r:id="rId393" ref="M395"/>
    <hyperlink r:id="rId394" ref="M396"/>
    <hyperlink r:id="rId395" ref="M397"/>
    <hyperlink r:id="rId396" ref="M398"/>
    <hyperlink r:id="rId397" ref="L399"/>
    <hyperlink r:id="rId398" ref="M399"/>
    <hyperlink r:id="rId399" ref="M400"/>
    <hyperlink r:id="rId400" ref="M401"/>
    <hyperlink r:id="rId401" ref="M402"/>
    <hyperlink r:id="rId402" ref="M403"/>
    <hyperlink r:id="rId403" ref="M404"/>
    <hyperlink r:id="rId404" ref="M405"/>
    <hyperlink r:id="rId405" ref="M406"/>
    <hyperlink r:id="rId406" ref="M407"/>
    <hyperlink r:id="rId407" ref="M408"/>
    <hyperlink r:id="rId408" ref="M409"/>
    <hyperlink r:id="rId409" ref="M410"/>
    <hyperlink r:id="rId410" ref="M411"/>
    <hyperlink r:id="rId411" ref="M412"/>
    <hyperlink r:id="rId412" ref="M413"/>
    <hyperlink r:id="rId413" ref="M414"/>
    <hyperlink r:id="rId414" ref="M415"/>
    <hyperlink r:id="rId415" ref="M416"/>
    <hyperlink r:id="rId416" ref="M417"/>
    <hyperlink r:id="rId417" ref="L418"/>
    <hyperlink r:id="rId418" ref="M418"/>
    <hyperlink r:id="rId419" ref="M419"/>
    <hyperlink r:id="rId420" ref="M420"/>
    <hyperlink r:id="rId421" ref="M421"/>
    <hyperlink r:id="rId422" ref="M422"/>
    <hyperlink r:id="rId423" ref="M423"/>
    <hyperlink r:id="rId424" ref="M424"/>
    <hyperlink r:id="rId425" ref="M425"/>
    <hyperlink r:id="rId426" ref="M426"/>
    <hyperlink r:id="rId427" ref="M427"/>
    <hyperlink r:id="rId428" ref="M428"/>
    <hyperlink r:id="rId429" ref="L429"/>
    <hyperlink r:id="rId430" ref="M429"/>
    <hyperlink r:id="rId431" ref="M430"/>
    <hyperlink r:id="rId432" ref="M432"/>
    <hyperlink r:id="rId433" ref="M433"/>
    <hyperlink r:id="rId434" ref="M434"/>
    <hyperlink r:id="rId435" ref="M435"/>
    <hyperlink r:id="rId436" ref="M436"/>
    <hyperlink r:id="rId437" ref="M437"/>
    <hyperlink r:id="rId438" ref="M438"/>
    <hyperlink r:id="rId439" ref="M439"/>
    <hyperlink r:id="rId440" ref="M440"/>
    <hyperlink r:id="rId441" ref="M441"/>
    <hyperlink r:id="rId442" ref="M442"/>
    <hyperlink r:id="rId443" ref="M443"/>
    <hyperlink r:id="rId444" ref="M444"/>
    <hyperlink r:id="rId445" ref="M445"/>
    <hyperlink r:id="rId446" ref="M446"/>
    <hyperlink r:id="rId447" ref="M447"/>
    <hyperlink r:id="rId448" ref="M448"/>
    <hyperlink r:id="rId449" ref="M449"/>
    <hyperlink r:id="rId450" ref="M450"/>
    <hyperlink r:id="rId451" ref="M451"/>
    <hyperlink r:id="rId452" ref="M452"/>
    <hyperlink r:id="rId453" ref="M453"/>
    <hyperlink r:id="rId454" ref="M454"/>
    <hyperlink r:id="rId455" ref="M455"/>
    <hyperlink r:id="rId456" ref="L456"/>
    <hyperlink r:id="rId457" ref="M456"/>
    <hyperlink r:id="rId458" ref="M457"/>
    <hyperlink r:id="rId459" ref="M458"/>
    <hyperlink r:id="rId460" ref="L459"/>
    <hyperlink r:id="rId461" ref="M459"/>
    <hyperlink r:id="rId462" ref="M460"/>
    <hyperlink r:id="rId463" ref="M461"/>
    <hyperlink r:id="rId464" ref="M462"/>
    <hyperlink r:id="rId465" ref="M463"/>
    <hyperlink r:id="rId466" ref="M464"/>
    <hyperlink r:id="rId467" ref="M465"/>
    <hyperlink r:id="rId468" ref="M466"/>
    <hyperlink r:id="rId469" ref="M467"/>
    <hyperlink r:id="rId470" ref="M468"/>
    <hyperlink r:id="rId471" ref="M469"/>
    <hyperlink r:id="rId472" ref="M470"/>
    <hyperlink r:id="rId473" ref="M471"/>
    <hyperlink r:id="rId474" ref="M472"/>
    <hyperlink r:id="rId475" ref="M473"/>
    <hyperlink r:id="rId476" ref="M474"/>
    <hyperlink r:id="rId477" ref="M475"/>
    <hyperlink r:id="rId478" ref="M476"/>
    <hyperlink r:id="rId479" ref="M477"/>
    <hyperlink r:id="rId480" ref="M478"/>
    <hyperlink r:id="rId481" ref="M479"/>
    <hyperlink r:id="rId482" ref="M480"/>
    <hyperlink r:id="rId483" ref="M481"/>
    <hyperlink r:id="rId484" ref="M482"/>
    <hyperlink r:id="rId485" ref="M483"/>
    <hyperlink r:id="rId486" ref="M484"/>
    <hyperlink r:id="rId487" ref="M485"/>
    <hyperlink r:id="rId488" ref="M486"/>
    <hyperlink r:id="rId489" ref="M487"/>
    <hyperlink r:id="rId490" ref="M488"/>
    <hyperlink r:id="rId491" ref="M489"/>
    <hyperlink r:id="rId492" ref="M490"/>
    <hyperlink r:id="rId493" ref="M491"/>
    <hyperlink r:id="rId494" ref="M492"/>
    <hyperlink r:id="rId495" ref="M493"/>
    <hyperlink r:id="rId496" ref="M494"/>
    <hyperlink r:id="rId497" ref="M495"/>
    <hyperlink r:id="rId498" ref="M496"/>
    <hyperlink r:id="rId499" ref="M497"/>
    <hyperlink r:id="rId500" ref="M498"/>
    <hyperlink r:id="rId501" ref="M499"/>
    <hyperlink r:id="rId502" ref="M500"/>
    <hyperlink r:id="rId503" ref="M501"/>
    <hyperlink r:id="rId504" ref="M502"/>
    <hyperlink r:id="rId505" ref="M503"/>
    <hyperlink r:id="rId506" ref="M504"/>
    <hyperlink r:id="rId507" ref="M505"/>
    <hyperlink r:id="rId508" ref="M506"/>
    <hyperlink r:id="rId509" ref="M507"/>
    <hyperlink r:id="rId510" ref="M508"/>
    <hyperlink r:id="rId511" ref="M509"/>
    <hyperlink r:id="rId512" ref="M510"/>
    <hyperlink r:id="rId513" ref="M511"/>
    <hyperlink r:id="rId514" ref="M512"/>
    <hyperlink r:id="rId515" ref="M513"/>
    <hyperlink r:id="rId516" ref="M514"/>
    <hyperlink r:id="rId517" ref="M515"/>
    <hyperlink r:id="rId518" ref="M516"/>
    <hyperlink r:id="rId519" ref="M517"/>
    <hyperlink r:id="rId520" ref="M518"/>
    <hyperlink r:id="rId521" ref="L519"/>
    <hyperlink r:id="rId522" ref="M519"/>
    <hyperlink r:id="rId523" ref="M520"/>
    <hyperlink r:id="rId524" ref="M521"/>
    <hyperlink r:id="rId525" ref="M522"/>
    <hyperlink r:id="rId526" ref="M523"/>
    <hyperlink r:id="rId527" ref="M524"/>
    <hyperlink r:id="rId528" ref="M525"/>
    <hyperlink r:id="rId529" ref="M526"/>
    <hyperlink r:id="rId530" ref="M527"/>
    <hyperlink r:id="rId531" ref="M528"/>
    <hyperlink r:id="rId532" ref="M529"/>
    <hyperlink r:id="rId533" ref="M530"/>
    <hyperlink r:id="rId534" ref="M531"/>
    <hyperlink r:id="rId535" ref="L532"/>
    <hyperlink r:id="rId536" ref="M532"/>
    <hyperlink r:id="rId537" ref="M533"/>
    <hyperlink r:id="rId538" ref="M534"/>
    <hyperlink r:id="rId539" ref="M535"/>
    <hyperlink r:id="rId540" ref="M536"/>
    <hyperlink r:id="rId541" ref="M537"/>
    <hyperlink r:id="rId542" ref="M538"/>
    <hyperlink r:id="rId543" ref="M539"/>
    <hyperlink r:id="rId544" ref="M540"/>
    <hyperlink r:id="rId545" ref="M541"/>
    <hyperlink r:id="rId546" ref="M542"/>
    <hyperlink r:id="rId547" ref="M543"/>
    <hyperlink r:id="rId548" ref="M544"/>
    <hyperlink r:id="rId549" ref="M545"/>
    <hyperlink r:id="rId550" ref="M546"/>
    <hyperlink r:id="rId551" ref="M547"/>
    <hyperlink r:id="rId552" ref="M548"/>
    <hyperlink r:id="rId553" ref="M549"/>
    <hyperlink r:id="rId554" ref="M550"/>
    <hyperlink r:id="rId555" ref="M551"/>
    <hyperlink r:id="rId556" ref="M552"/>
    <hyperlink r:id="rId557" ref="M553"/>
    <hyperlink r:id="rId558" ref="M554"/>
    <hyperlink r:id="rId559" ref="M555"/>
    <hyperlink r:id="rId560" ref="M556"/>
    <hyperlink r:id="rId561" ref="M557"/>
    <hyperlink r:id="rId562" ref="M558"/>
    <hyperlink r:id="rId563" ref="M559"/>
    <hyperlink r:id="rId564" ref="M560"/>
    <hyperlink r:id="rId565" ref="M561"/>
    <hyperlink r:id="rId566" ref="M562"/>
    <hyperlink r:id="rId567" ref="M563"/>
    <hyperlink r:id="rId568" ref="M564"/>
    <hyperlink r:id="rId569" ref="M565"/>
    <hyperlink r:id="rId570" ref="M566"/>
    <hyperlink r:id="rId571" ref="M568"/>
    <hyperlink r:id="rId572" ref="M569"/>
    <hyperlink r:id="rId573" ref="M570"/>
    <hyperlink r:id="rId574" ref="M571"/>
    <hyperlink r:id="rId575" ref="M572"/>
    <hyperlink r:id="rId576" ref="M573"/>
    <hyperlink r:id="rId577" ref="M574"/>
    <hyperlink r:id="rId578" ref="M575"/>
    <hyperlink r:id="rId579" ref="M576"/>
    <hyperlink r:id="rId580" ref="M577"/>
    <hyperlink r:id="rId581" ref="M578"/>
    <hyperlink r:id="rId582" ref="M579"/>
    <hyperlink r:id="rId583" ref="M580"/>
    <hyperlink r:id="rId584" ref="M581"/>
    <hyperlink r:id="rId585" ref="M582"/>
    <hyperlink r:id="rId586" ref="M583"/>
    <hyperlink r:id="rId587" ref="M584"/>
    <hyperlink r:id="rId588" ref="M585"/>
    <hyperlink r:id="rId589" ref="M586"/>
    <hyperlink r:id="rId590" ref="M587"/>
    <hyperlink r:id="rId591" ref="M588"/>
    <hyperlink r:id="rId592" ref="M589"/>
    <hyperlink r:id="rId593" ref="M590"/>
    <hyperlink r:id="rId594" ref="M591"/>
    <hyperlink r:id="rId595" ref="M592"/>
    <hyperlink r:id="rId596" ref="M593"/>
    <hyperlink r:id="rId597" ref="M594"/>
    <hyperlink r:id="rId598" ref="M595"/>
    <hyperlink r:id="rId599" ref="M596"/>
    <hyperlink r:id="rId600" ref="M597"/>
    <hyperlink r:id="rId601" ref="M598"/>
    <hyperlink r:id="rId602" ref="M599"/>
    <hyperlink r:id="rId603" ref="M600"/>
    <hyperlink r:id="rId604" ref="M601"/>
    <hyperlink r:id="rId605" ref="M602"/>
    <hyperlink r:id="rId606" ref="L603"/>
    <hyperlink r:id="rId607" ref="M603"/>
    <hyperlink r:id="rId608" ref="M604"/>
    <hyperlink r:id="rId609" ref="M605"/>
    <hyperlink r:id="rId610" ref="M606"/>
    <hyperlink r:id="rId611" ref="M607"/>
    <hyperlink r:id="rId612" ref="M608"/>
    <hyperlink r:id="rId613" ref="M609"/>
    <hyperlink r:id="rId614" ref="M610"/>
    <hyperlink r:id="rId615" ref="M611"/>
    <hyperlink r:id="rId616" ref="L612"/>
    <hyperlink r:id="rId617" ref="M612"/>
    <hyperlink r:id="rId618" ref="M613"/>
    <hyperlink r:id="rId619" ref="M614"/>
    <hyperlink r:id="rId620" ref="M615"/>
    <hyperlink r:id="rId621" ref="M616"/>
    <hyperlink r:id="rId622" ref="M617"/>
    <hyperlink r:id="rId623" ref="M618"/>
    <hyperlink r:id="rId624" ref="M619"/>
    <hyperlink r:id="rId625" ref="M620"/>
    <hyperlink r:id="rId626" ref="M621"/>
    <hyperlink r:id="rId627" ref="M622"/>
    <hyperlink r:id="rId628" ref="M623"/>
    <hyperlink r:id="rId629" ref="M624"/>
    <hyperlink r:id="rId630" ref="M625"/>
    <hyperlink r:id="rId631" ref="M626"/>
    <hyperlink r:id="rId632" ref="M627"/>
    <hyperlink r:id="rId633" ref="M628"/>
    <hyperlink r:id="rId634" ref="M629"/>
    <hyperlink r:id="rId635" ref="M630"/>
    <hyperlink r:id="rId636" ref="L631"/>
    <hyperlink r:id="rId637" ref="M631"/>
    <hyperlink r:id="rId638" ref="M632"/>
    <hyperlink r:id="rId639" ref="M633"/>
    <hyperlink r:id="rId640" ref="M634"/>
    <hyperlink r:id="rId641" ref="M635"/>
    <hyperlink r:id="rId642" ref="M636"/>
    <hyperlink r:id="rId643" ref="M637"/>
    <hyperlink r:id="rId644" ref="M638"/>
    <hyperlink r:id="rId645" ref="M639"/>
    <hyperlink r:id="rId646" ref="M640"/>
    <hyperlink r:id="rId647" ref="M641"/>
    <hyperlink r:id="rId648" ref="M642"/>
    <hyperlink r:id="rId649" ref="M643"/>
    <hyperlink r:id="rId650" ref="M644"/>
    <hyperlink r:id="rId651" ref="M645"/>
    <hyperlink r:id="rId652" ref="L646"/>
    <hyperlink r:id="rId653" ref="M646"/>
    <hyperlink r:id="rId654" ref="M647"/>
    <hyperlink r:id="rId655" ref="M648"/>
    <hyperlink r:id="rId656" ref="M649"/>
    <hyperlink r:id="rId657" ref="M650"/>
    <hyperlink r:id="rId658" ref="M651"/>
    <hyperlink r:id="rId659" ref="M652"/>
    <hyperlink r:id="rId660" ref="M653"/>
    <hyperlink r:id="rId661" ref="M654"/>
    <hyperlink r:id="rId662" ref="M655"/>
    <hyperlink r:id="rId663" ref="M656"/>
    <hyperlink r:id="rId664" ref="M657"/>
    <hyperlink r:id="rId665" ref="M658"/>
    <hyperlink r:id="rId666" ref="M659"/>
    <hyperlink r:id="rId667" ref="M660"/>
    <hyperlink r:id="rId668" ref="M661"/>
    <hyperlink r:id="rId669" ref="L662"/>
    <hyperlink r:id="rId670" ref="M662"/>
    <hyperlink r:id="rId671" ref="M663"/>
    <hyperlink r:id="rId672" ref="M664"/>
    <hyperlink r:id="rId673" ref="M665"/>
    <hyperlink r:id="rId674" ref="M666"/>
    <hyperlink r:id="rId675" ref="M667"/>
    <hyperlink r:id="rId676" ref="M668"/>
    <hyperlink r:id="rId677" ref="M669"/>
    <hyperlink r:id="rId678" ref="M670"/>
    <hyperlink r:id="rId679" ref="M671"/>
    <hyperlink r:id="rId680" ref="M672"/>
    <hyperlink r:id="rId681" ref="M673"/>
  </hyperlinks>
  <drawing r:id="rId682"/>
  <legacyDrawing r:id="rId68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sheetViews>
  <sheetFormatPr customHeight="1" defaultColWidth="12.63" defaultRowHeight="15.75"/>
  <cols>
    <col customWidth="1" min="1" max="12" width="14.38"/>
  </cols>
  <sheetData>
    <row r="1" ht="33.75" customHeight="1">
      <c r="A1" s="33" t="str">
        <f>CONCATENATE(
            "              ", "LinkedIn Ads Import", char(10),
            "              ", "",
            IFERROR(IFS(
                (now()-"2026/04/01 12:09") &lt;= 0,
                    "",
                AND((now()-"2026/04/01 12:09") * 1440 &gt;= 0, (now()-"2026/04/01 12:09") * 1440 &lt;= 5),
                    "Last updated just now",
                (now()-"2026/04/01 12:09") * 1440 &lt;= 60,
                    "Last updated "&amp;FLOOR((now()-"2026/04/01 12:09")*1440,1)&amp;" minutes ago",
                (now()-"2026/04/01 12:09") * 24 &lt;= 24,
                    "Last updated "&amp;FLOOR((now()-"2026/04/01 12:09")*24,1) &amp;
                        IF(FLOOR((now()-"2026/04/01 12:09")*24,1) &lt;= 1, " hour ago", " hours ago"),
                (now()-"2026/04/01 12:09") &lt;= 30,
                    "Last updated "&amp;FLOOR((now()-"2026/04/01 12:09"),1) &amp;
                        IF(FLOOR((now()-"2026/04/01 12:09"),1) &lt;= 1, " day ago", " days ago"),
                (now()-"2026/04/01 12:09") &gt; 30,
                    "Last updated " &amp;
                        FLOOR((now()-"2026/04/01 12:09")/7,1) &amp;
                        IF(FLOOR((now()-"2026/04/01 12:09"),1) &lt;= 1, " week ago", " weeks ago")
            ),"Last updated on 2026/04/01 12:09")
        )</f>
        <v>              LinkedIn Ads Import
              Last updated 5 days ago</v>
      </c>
      <c r="B1" s="33" t="s">
        <v>0</v>
      </c>
      <c r="C1" s="33" t="str">
        <f>IFERROR(IF(NOW(), _COEFF_ssop()),"")</f>
        <v/>
      </c>
      <c r="D1" s="33" t="s">
        <v>0</v>
      </c>
      <c r="E1" s="33" t="s">
        <v>0</v>
      </c>
      <c r="F1" s="33" t="s">
        <v>0</v>
      </c>
      <c r="G1" s="33" t="s">
        <v>0</v>
      </c>
      <c r="H1" s="33" t="s">
        <v>0</v>
      </c>
      <c r="I1" s="33" t="s">
        <v>0</v>
      </c>
      <c r="J1" s="33" t="s">
        <v>0</v>
      </c>
      <c r="K1" s="33" t="s">
        <v>0</v>
      </c>
      <c r="L1" s="33" t="s">
        <v>0</v>
      </c>
    </row>
    <row r="2" ht="22.5" customHeight="1">
      <c r="A2" s="30" t="s">
        <v>6000</v>
      </c>
      <c r="B2" s="30" t="s">
        <v>6001</v>
      </c>
      <c r="C2" s="30" t="s">
        <v>6002</v>
      </c>
      <c r="D2" s="30" t="s">
        <v>6003</v>
      </c>
      <c r="E2" s="30" t="s">
        <v>6004</v>
      </c>
      <c r="F2" s="30" t="s">
        <v>6005</v>
      </c>
      <c r="G2" s="30" t="s">
        <v>6006</v>
      </c>
      <c r="H2" s="30" t="s">
        <v>6007</v>
      </c>
      <c r="I2" s="30" t="s">
        <v>11</v>
      </c>
      <c r="J2" s="30" t="s">
        <v>6008</v>
      </c>
      <c r="K2" s="30" t="s">
        <v>6009</v>
      </c>
      <c r="L2" s="30" t="s">
        <v>6010</v>
      </c>
    </row>
    <row r="3">
      <c r="A3" s="14">
        <v>2170.0</v>
      </c>
      <c r="B3" s="14">
        <v>4.0</v>
      </c>
      <c r="C3" s="34">
        <v>30.0</v>
      </c>
      <c r="D3" s="35">
        <v>44604.0</v>
      </c>
      <c r="E3" s="24"/>
      <c r="F3" s="14">
        <v>7.5</v>
      </c>
      <c r="G3" s="14">
        <v>13.82</v>
      </c>
      <c r="H3" s="14">
        <v>0.18</v>
      </c>
      <c r="I3" s="14" t="s">
        <v>6011</v>
      </c>
      <c r="J3" s="14">
        <v>0.0</v>
      </c>
      <c r="K3" s="14" t="s">
        <v>6012</v>
      </c>
      <c r="L3" s="14">
        <v>0.0</v>
      </c>
    </row>
    <row r="4">
      <c r="A4" s="14">
        <v>629.0</v>
      </c>
      <c r="B4" s="14">
        <v>0.0</v>
      </c>
      <c r="C4" s="34">
        <v>9.09</v>
      </c>
      <c r="D4" s="35">
        <v>44605.0</v>
      </c>
      <c r="E4" s="24"/>
      <c r="F4" s="14" t="s">
        <v>6012</v>
      </c>
      <c r="G4" s="14">
        <v>14.45</v>
      </c>
      <c r="H4" s="14">
        <v>0.0</v>
      </c>
      <c r="I4" s="14" t="s">
        <v>6011</v>
      </c>
      <c r="J4" s="14" t="s">
        <v>6012</v>
      </c>
      <c r="K4" s="14" t="s">
        <v>6012</v>
      </c>
      <c r="L4" s="14">
        <v>0.0</v>
      </c>
    </row>
    <row r="5">
      <c r="A5" s="14">
        <v>1391.0</v>
      </c>
      <c r="B5" s="14">
        <v>0.0</v>
      </c>
      <c r="C5" s="34">
        <v>20.01</v>
      </c>
      <c r="D5" s="35">
        <v>44606.0</v>
      </c>
      <c r="E5" s="24"/>
      <c r="F5" s="14" t="s">
        <v>6012</v>
      </c>
      <c r="G5" s="14">
        <v>14.39</v>
      </c>
      <c r="H5" s="14">
        <v>0.0</v>
      </c>
      <c r="I5" s="14" t="s">
        <v>6011</v>
      </c>
      <c r="J5" s="14" t="s">
        <v>6012</v>
      </c>
      <c r="K5" s="14" t="s">
        <v>6012</v>
      </c>
      <c r="L5" s="14">
        <v>0.0</v>
      </c>
    </row>
    <row r="6">
      <c r="A6" s="14">
        <v>1601.0</v>
      </c>
      <c r="B6" s="14">
        <v>0.0</v>
      </c>
      <c r="C6" s="34">
        <v>23.02</v>
      </c>
      <c r="D6" s="35">
        <v>44607.0</v>
      </c>
      <c r="E6" s="24"/>
      <c r="F6" s="14" t="s">
        <v>6012</v>
      </c>
      <c r="G6" s="14">
        <v>14.38</v>
      </c>
      <c r="H6" s="14">
        <v>0.0</v>
      </c>
      <c r="I6" s="14" t="s">
        <v>6011</v>
      </c>
      <c r="J6" s="14" t="s">
        <v>6012</v>
      </c>
      <c r="K6" s="14" t="s">
        <v>6012</v>
      </c>
      <c r="L6" s="14">
        <v>0.0</v>
      </c>
    </row>
    <row r="7">
      <c r="A7" s="14">
        <v>2592.0</v>
      </c>
      <c r="B7" s="14">
        <v>0.0</v>
      </c>
      <c r="C7" s="34">
        <v>35.64</v>
      </c>
      <c r="D7" s="35">
        <v>44608.0</v>
      </c>
      <c r="E7" s="24"/>
      <c r="F7" s="14" t="s">
        <v>6012</v>
      </c>
      <c r="G7" s="14">
        <v>13.75</v>
      </c>
      <c r="H7" s="14">
        <v>0.0</v>
      </c>
      <c r="I7" s="14" t="s">
        <v>6013</v>
      </c>
      <c r="J7" s="14" t="s">
        <v>6012</v>
      </c>
      <c r="K7" s="14" t="s">
        <v>6012</v>
      </c>
      <c r="L7" s="14">
        <v>0.0</v>
      </c>
    </row>
    <row r="8">
      <c r="A8" s="14">
        <v>1957.0</v>
      </c>
      <c r="B8" s="14">
        <v>1.0</v>
      </c>
      <c r="C8" s="34">
        <v>23.67</v>
      </c>
      <c r="D8" s="35">
        <v>44608.0</v>
      </c>
      <c r="E8" s="24"/>
      <c r="F8" s="14">
        <v>23.67</v>
      </c>
      <c r="G8" s="14">
        <v>12.1</v>
      </c>
      <c r="H8" s="14">
        <v>0.05</v>
      </c>
      <c r="I8" s="14" t="s">
        <v>6011</v>
      </c>
      <c r="J8" s="14">
        <v>100.0</v>
      </c>
      <c r="K8" s="14">
        <v>23.67</v>
      </c>
      <c r="L8" s="14">
        <v>0.0</v>
      </c>
    </row>
    <row r="9">
      <c r="A9" s="14">
        <v>872.0</v>
      </c>
      <c r="B9" s="14">
        <v>0.0</v>
      </c>
      <c r="C9" s="34">
        <v>12.16</v>
      </c>
      <c r="D9" s="35">
        <v>44608.0</v>
      </c>
      <c r="E9" s="24"/>
      <c r="F9" s="14" t="s">
        <v>6012</v>
      </c>
      <c r="G9" s="14">
        <v>13.94</v>
      </c>
      <c r="H9" s="14">
        <v>0.0</v>
      </c>
      <c r="I9" s="14" t="s">
        <v>6014</v>
      </c>
      <c r="J9" s="14" t="s">
        <v>6012</v>
      </c>
      <c r="K9" s="14" t="s">
        <v>6012</v>
      </c>
      <c r="L9" s="14">
        <v>0.0</v>
      </c>
    </row>
    <row r="10">
      <c r="A10" s="14">
        <v>505.0</v>
      </c>
      <c r="B10" s="14">
        <v>1.0</v>
      </c>
      <c r="C10" s="34">
        <v>7.04</v>
      </c>
      <c r="D10" s="35">
        <v>44609.0</v>
      </c>
      <c r="E10" s="24"/>
      <c r="F10" s="14">
        <v>7.04</v>
      </c>
      <c r="G10" s="14">
        <v>13.94</v>
      </c>
      <c r="H10" s="14">
        <v>0.2</v>
      </c>
      <c r="I10" s="14" t="s">
        <v>6014</v>
      </c>
      <c r="J10" s="14">
        <v>100.0</v>
      </c>
      <c r="K10" s="14">
        <v>7.04</v>
      </c>
      <c r="L10" s="14">
        <v>0.0</v>
      </c>
    </row>
    <row r="11">
      <c r="A11" s="14">
        <v>402.0</v>
      </c>
      <c r="B11" s="14">
        <v>0.0</v>
      </c>
      <c r="C11" s="34">
        <v>5.95</v>
      </c>
      <c r="D11" s="35">
        <v>44609.0</v>
      </c>
      <c r="E11" s="24"/>
      <c r="F11" s="14" t="s">
        <v>6012</v>
      </c>
      <c r="G11" s="14">
        <v>14.8</v>
      </c>
      <c r="H11" s="14">
        <v>0.0</v>
      </c>
      <c r="I11" s="14" t="s">
        <v>6015</v>
      </c>
      <c r="J11" s="14" t="s">
        <v>6012</v>
      </c>
      <c r="K11" s="14" t="s">
        <v>6012</v>
      </c>
      <c r="L11" s="14">
        <v>0.0</v>
      </c>
    </row>
    <row r="12">
      <c r="A12" s="14">
        <v>1553.0</v>
      </c>
      <c r="B12" s="14">
        <v>2.0</v>
      </c>
      <c r="C12" s="34">
        <v>19.64</v>
      </c>
      <c r="D12" s="35">
        <v>44609.0</v>
      </c>
      <c r="E12" s="24"/>
      <c r="F12" s="14">
        <v>9.82</v>
      </c>
      <c r="G12" s="14">
        <v>12.65</v>
      </c>
      <c r="H12" s="14">
        <v>0.13</v>
      </c>
      <c r="I12" s="14" t="s">
        <v>6016</v>
      </c>
      <c r="J12" s="14">
        <v>50.0</v>
      </c>
      <c r="K12" s="14">
        <v>19.64</v>
      </c>
      <c r="L12" s="14">
        <v>0.0</v>
      </c>
    </row>
    <row r="13">
      <c r="A13" s="14">
        <v>1644.0</v>
      </c>
      <c r="B13" s="14">
        <v>2.0</v>
      </c>
      <c r="C13" s="34">
        <v>19.34</v>
      </c>
      <c r="D13" s="35">
        <v>44609.0</v>
      </c>
      <c r="E13" s="24"/>
      <c r="F13" s="14">
        <v>9.67</v>
      </c>
      <c r="G13" s="14">
        <v>11.76</v>
      </c>
      <c r="H13" s="14">
        <v>0.12</v>
      </c>
      <c r="I13" s="14" t="s">
        <v>6011</v>
      </c>
      <c r="J13" s="14">
        <v>100.0</v>
      </c>
      <c r="K13" s="14">
        <v>9.67</v>
      </c>
      <c r="L13" s="14">
        <v>0.0</v>
      </c>
    </row>
    <row r="14">
      <c r="A14" s="14">
        <v>1293.0</v>
      </c>
      <c r="B14" s="14">
        <v>0.0</v>
      </c>
      <c r="C14" s="34">
        <v>17.78</v>
      </c>
      <c r="D14" s="35">
        <v>44609.0</v>
      </c>
      <c r="E14" s="24"/>
      <c r="F14" s="14" t="s">
        <v>6012</v>
      </c>
      <c r="G14" s="14">
        <v>13.75</v>
      </c>
      <c r="H14" s="14">
        <v>0.0</v>
      </c>
      <c r="I14" s="14" t="s">
        <v>6013</v>
      </c>
      <c r="J14" s="14" t="s">
        <v>6012</v>
      </c>
      <c r="K14" s="14" t="s">
        <v>6012</v>
      </c>
      <c r="L14" s="14">
        <v>0.0</v>
      </c>
    </row>
    <row r="15">
      <c r="A15" s="14">
        <v>2200.0</v>
      </c>
      <c r="B15" s="14">
        <v>1.0</v>
      </c>
      <c r="C15" s="34">
        <v>30.36</v>
      </c>
      <c r="D15" s="35">
        <v>44609.0</v>
      </c>
      <c r="E15" s="24"/>
      <c r="F15" s="14">
        <v>30.36</v>
      </c>
      <c r="G15" s="14">
        <v>13.8</v>
      </c>
      <c r="H15" s="14">
        <v>0.05</v>
      </c>
      <c r="I15" s="14" t="s">
        <v>6017</v>
      </c>
      <c r="J15" s="14">
        <v>100.0</v>
      </c>
      <c r="K15" s="14">
        <v>30.36</v>
      </c>
      <c r="L15" s="14">
        <v>0.0</v>
      </c>
    </row>
    <row r="16">
      <c r="A16" s="14">
        <v>1731.0</v>
      </c>
      <c r="B16" s="14">
        <v>0.0</v>
      </c>
      <c r="C16" s="34">
        <v>20.42</v>
      </c>
      <c r="D16" s="35">
        <v>44610.0</v>
      </c>
      <c r="E16" s="24"/>
      <c r="F16" s="14" t="s">
        <v>6012</v>
      </c>
      <c r="G16" s="14">
        <v>11.8</v>
      </c>
      <c r="H16" s="14">
        <v>0.0</v>
      </c>
      <c r="I16" s="14" t="s">
        <v>6011</v>
      </c>
      <c r="J16" s="14" t="s">
        <v>6012</v>
      </c>
      <c r="K16" s="14">
        <v>10.21</v>
      </c>
      <c r="L16" s="14">
        <v>0.0</v>
      </c>
    </row>
    <row r="17">
      <c r="A17" s="14">
        <v>1697.0</v>
      </c>
      <c r="B17" s="14">
        <v>1.0</v>
      </c>
      <c r="C17" s="34">
        <v>21.46</v>
      </c>
      <c r="D17" s="35">
        <v>44610.0</v>
      </c>
      <c r="E17" s="24"/>
      <c r="F17" s="14">
        <v>21.46</v>
      </c>
      <c r="G17" s="14">
        <v>12.65</v>
      </c>
      <c r="H17" s="14">
        <v>0.06</v>
      </c>
      <c r="I17" s="14" t="s">
        <v>6016</v>
      </c>
      <c r="J17" s="14">
        <v>100.0</v>
      </c>
      <c r="K17" s="14">
        <v>21.46</v>
      </c>
      <c r="L17" s="14">
        <v>0.0</v>
      </c>
    </row>
    <row r="18">
      <c r="A18" s="14">
        <v>207.0</v>
      </c>
      <c r="B18" s="14">
        <v>0.0</v>
      </c>
      <c r="C18" s="34">
        <v>0.0</v>
      </c>
      <c r="D18" s="35">
        <v>44610.0</v>
      </c>
      <c r="E18" s="24"/>
      <c r="F18" s="14" t="s">
        <v>6012</v>
      </c>
      <c r="G18" s="14">
        <v>0.0</v>
      </c>
      <c r="H18" s="14">
        <v>0.0</v>
      </c>
      <c r="I18" s="14" t="s">
        <v>6018</v>
      </c>
      <c r="J18" s="14" t="s">
        <v>6012</v>
      </c>
      <c r="K18" s="14" t="s">
        <v>6012</v>
      </c>
      <c r="L18" s="14">
        <v>0.0</v>
      </c>
    </row>
    <row r="19">
      <c r="A19" s="14">
        <v>474.0</v>
      </c>
      <c r="B19" s="14">
        <v>0.0</v>
      </c>
      <c r="C19" s="34">
        <v>7.01</v>
      </c>
      <c r="D19" s="35">
        <v>44610.0</v>
      </c>
      <c r="E19" s="24"/>
      <c r="F19" s="14" t="s">
        <v>6012</v>
      </c>
      <c r="G19" s="14">
        <v>14.79</v>
      </c>
      <c r="H19" s="14">
        <v>0.0</v>
      </c>
      <c r="I19" s="14" t="s">
        <v>6015</v>
      </c>
      <c r="J19" s="14" t="s">
        <v>6012</v>
      </c>
      <c r="K19" s="14" t="s">
        <v>6012</v>
      </c>
      <c r="L19" s="14">
        <v>0.0</v>
      </c>
    </row>
    <row r="20">
      <c r="A20" s="14">
        <v>3171.0</v>
      </c>
      <c r="B20" s="14">
        <v>0.0</v>
      </c>
      <c r="C20" s="34">
        <v>43.68</v>
      </c>
      <c r="D20" s="35">
        <v>44610.0</v>
      </c>
      <c r="E20" s="24"/>
      <c r="F20" s="14" t="s">
        <v>6012</v>
      </c>
      <c r="G20" s="14">
        <v>13.77</v>
      </c>
      <c r="H20" s="14">
        <v>0.0</v>
      </c>
      <c r="I20" s="14" t="s">
        <v>6017</v>
      </c>
      <c r="J20" s="14" t="s">
        <v>6012</v>
      </c>
      <c r="K20" s="14" t="s">
        <v>6012</v>
      </c>
      <c r="L20" s="14">
        <v>0.0</v>
      </c>
    </row>
    <row r="21">
      <c r="A21" s="14">
        <v>672.0</v>
      </c>
      <c r="B21" s="14">
        <v>0.0</v>
      </c>
      <c r="C21" s="34">
        <v>7.53</v>
      </c>
      <c r="D21" s="35">
        <v>44610.0</v>
      </c>
      <c r="E21" s="24"/>
      <c r="F21" s="14" t="s">
        <v>6012</v>
      </c>
      <c r="G21" s="14">
        <v>11.21</v>
      </c>
      <c r="H21" s="14">
        <v>0.0</v>
      </c>
      <c r="I21" s="14" t="s">
        <v>6014</v>
      </c>
      <c r="J21" s="14" t="s">
        <v>6012</v>
      </c>
      <c r="K21" s="14" t="s">
        <v>6012</v>
      </c>
      <c r="L21" s="14">
        <v>0.0</v>
      </c>
    </row>
    <row r="22">
      <c r="A22" s="14">
        <v>1494.0</v>
      </c>
      <c r="B22" s="14">
        <v>1.0</v>
      </c>
      <c r="C22" s="34">
        <v>18.62</v>
      </c>
      <c r="D22" s="35">
        <v>44611.0</v>
      </c>
      <c r="E22" s="24"/>
      <c r="F22" s="14">
        <v>18.62</v>
      </c>
      <c r="G22" s="14">
        <v>12.46</v>
      </c>
      <c r="H22" s="14">
        <v>0.07</v>
      </c>
      <c r="I22" s="14" t="s">
        <v>6011</v>
      </c>
      <c r="J22" s="14">
        <v>0.0</v>
      </c>
      <c r="K22" s="14" t="s">
        <v>6012</v>
      </c>
      <c r="L22" s="14">
        <v>0.0</v>
      </c>
    </row>
    <row r="23">
      <c r="A23" s="14">
        <v>24.0</v>
      </c>
      <c r="B23" s="14">
        <v>0.0</v>
      </c>
      <c r="C23" s="34">
        <v>0.0</v>
      </c>
      <c r="D23" s="35">
        <v>44611.0</v>
      </c>
      <c r="E23" s="24"/>
      <c r="F23" s="14" t="s">
        <v>6012</v>
      </c>
      <c r="G23" s="14">
        <v>0.0</v>
      </c>
      <c r="H23" s="14">
        <v>0.0</v>
      </c>
      <c r="I23" s="14" t="s">
        <v>6018</v>
      </c>
      <c r="J23" s="14" t="s">
        <v>6012</v>
      </c>
      <c r="K23" s="14" t="s">
        <v>6012</v>
      </c>
      <c r="L23" s="14">
        <v>0.0</v>
      </c>
    </row>
    <row r="24">
      <c r="A24" s="14">
        <v>1137.0</v>
      </c>
      <c r="B24" s="14">
        <v>0.0</v>
      </c>
      <c r="C24" s="34">
        <v>15.68</v>
      </c>
      <c r="D24" s="35">
        <v>44611.0</v>
      </c>
      <c r="E24" s="24"/>
      <c r="F24" s="14" t="s">
        <v>6012</v>
      </c>
      <c r="G24" s="14">
        <v>13.79</v>
      </c>
      <c r="H24" s="14">
        <v>0.0</v>
      </c>
      <c r="I24" s="14" t="s">
        <v>6017</v>
      </c>
      <c r="J24" s="14" t="s">
        <v>6012</v>
      </c>
      <c r="K24" s="14" t="s">
        <v>6012</v>
      </c>
      <c r="L24" s="14">
        <v>0.0</v>
      </c>
    </row>
    <row r="25">
      <c r="A25" s="14">
        <v>159.0</v>
      </c>
      <c r="B25" s="14">
        <v>0.0</v>
      </c>
      <c r="C25" s="34">
        <v>1.9</v>
      </c>
      <c r="D25" s="35">
        <v>44611.0</v>
      </c>
      <c r="E25" s="24"/>
      <c r="F25" s="14" t="s">
        <v>6012</v>
      </c>
      <c r="G25" s="14">
        <v>11.95</v>
      </c>
      <c r="H25" s="14">
        <v>0.0</v>
      </c>
      <c r="I25" s="14" t="s">
        <v>6014</v>
      </c>
      <c r="J25" s="14" t="s">
        <v>6012</v>
      </c>
      <c r="K25" s="14" t="s">
        <v>6012</v>
      </c>
      <c r="L25" s="14">
        <v>0.0</v>
      </c>
    </row>
    <row r="26">
      <c r="A26" s="14">
        <v>81.0</v>
      </c>
      <c r="B26" s="14">
        <v>0.0</v>
      </c>
      <c r="C26" s="34">
        <v>1.19</v>
      </c>
      <c r="D26" s="35">
        <v>44611.0</v>
      </c>
      <c r="E26" s="24"/>
      <c r="F26" s="14" t="s">
        <v>6012</v>
      </c>
      <c r="G26" s="14">
        <v>14.69</v>
      </c>
      <c r="H26" s="14">
        <v>0.0</v>
      </c>
      <c r="I26" s="14" t="s">
        <v>6015</v>
      </c>
      <c r="J26" s="14" t="s">
        <v>6012</v>
      </c>
      <c r="K26" s="14" t="s">
        <v>6012</v>
      </c>
      <c r="L26" s="14">
        <v>0.0</v>
      </c>
    </row>
    <row r="27">
      <c r="A27" s="14">
        <v>85.0</v>
      </c>
      <c r="B27" s="14">
        <v>0.0</v>
      </c>
      <c r="C27" s="34">
        <v>1.08</v>
      </c>
      <c r="D27" s="35">
        <v>44611.0</v>
      </c>
      <c r="E27" s="24"/>
      <c r="F27" s="14" t="s">
        <v>6012</v>
      </c>
      <c r="G27" s="14">
        <v>12.71</v>
      </c>
      <c r="H27" s="14">
        <v>0.0</v>
      </c>
      <c r="I27" s="14" t="s">
        <v>6016</v>
      </c>
      <c r="J27" s="14" t="s">
        <v>6012</v>
      </c>
      <c r="K27" s="14" t="s">
        <v>6012</v>
      </c>
      <c r="L27" s="14">
        <v>0.0</v>
      </c>
    </row>
    <row r="28">
      <c r="A28" s="14">
        <v>149.0</v>
      </c>
      <c r="B28" s="14">
        <v>0.0</v>
      </c>
      <c r="C28" s="34">
        <v>1.76</v>
      </c>
      <c r="D28" s="35">
        <v>44612.0</v>
      </c>
      <c r="E28" s="24"/>
      <c r="F28" s="14" t="s">
        <v>6012</v>
      </c>
      <c r="G28" s="14">
        <v>11.81</v>
      </c>
      <c r="H28" s="14">
        <v>0.0</v>
      </c>
      <c r="I28" s="14" t="s">
        <v>6014</v>
      </c>
      <c r="J28" s="14" t="s">
        <v>6012</v>
      </c>
      <c r="K28" s="14" t="s">
        <v>6012</v>
      </c>
      <c r="L28" s="14">
        <v>0.0</v>
      </c>
    </row>
    <row r="29">
      <c r="A29" s="14">
        <v>1170.0</v>
      </c>
      <c r="B29" s="14">
        <v>0.0</v>
      </c>
      <c r="C29" s="34">
        <v>14.92</v>
      </c>
      <c r="D29" s="35">
        <v>44612.0</v>
      </c>
      <c r="E29" s="24"/>
      <c r="F29" s="14" t="s">
        <v>6012</v>
      </c>
      <c r="G29" s="14">
        <v>12.75</v>
      </c>
      <c r="H29" s="14">
        <v>0.0</v>
      </c>
      <c r="I29" s="14" t="s">
        <v>6011</v>
      </c>
      <c r="J29" s="14" t="s">
        <v>6012</v>
      </c>
      <c r="K29" s="14" t="s">
        <v>6012</v>
      </c>
      <c r="L29" s="14">
        <v>0.0</v>
      </c>
    </row>
    <row r="30">
      <c r="A30" s="14">
        <v>125.0</v>
      </c>
      <c r="B30" s="14">
        <v>0.0</v>
      </c>
      <c r="C30" s="34">
        <v>1.58</v>
      </c>
      <c r="D30" s="35">
        <v>44612.0</v>
      </c>
      <c r="E30" s="24"/>
      <c r="F30" s="14" t="s">
        <v>6012</v>
      </c>
      <c r="G30" s="14">
        <v>12.64</v>
      </c>
      <c r="H30" s="14">
        <v>0.0</v>
      </c>
      <c r="I30" s="14" t="s">
        <v>6016</v>
      </c>
      <c r="J30" s="14" t="s">
        <v>6012</v>
      </c>
      <c r="K30" s="14">
        <v>1.58</v>
      </c>
      <c r="L30" s="14">
        <v>0.0</v>
      </c>
    </row>
    <row r="31">
      <c r="A31" s="14">
        <v>79.0</v>
      </c>
      <c r="B31" s="14">
        <v>0.0</v>
      </c>
      <c r="C31" s="34">
        <v>1.17</v>
      </c>
      <c r="D31" s="35">
        <v>44612.0</v>
      </c>
      <c r="E31" s="24"/>
      <c r="F31" s="14" t="s">
        <v>6012</v>
      </c>
      <c r="G31" s="14">
        <v>14.81</v>
      </c>
      <c r="H31" s="14">
        <v>0.0</v>
      </c>
      <c r="I31" s="14" t="s">
        <v>6015</v>
      </c>
      <c r="J31" s="14" t="s">
        <v>6012</v>
      </c>
      <c r="K31" s="14" t="s">
        <v>6012</v>
      </c>
      <c r="L31" s="14">
        <v>0.0</v>
      </c>
    </row>
    <row r="32">
      <c r="A32" s="14">
        <v>963.0</v>
      </c>
      <c r="B32" s="14">
        <v>1.0</v>
      </c>
      <c r="C32" s="34">
        <v>13.29</v>
      </c>
      <c r="D32" s="35">
        <v>44612.0</v>
      </c>
      <c r="E32" s="24"/>
      <c r="F32" s="14">
        <v>13.29</v>
      </c>
      <c r="G32" s="14">
        <v>13.8</v>
      </c>
      <c r="H32" s="14">
        <v>0.1</v>
      </c>
      <c r="I32" s="14" t="s">
        <v>6017</v>
      </c>
      <c r="J32" s="14">
        <v>100.0</v>
      </c>
      <c r="K32" s="14">
        <v>13.29</v>
      </c>
      <c r="L32" s="14">
        <v>0.0</v>
      </c>
    </row>
    <row r="33">
      <c r="A33" s="14">
        <v>19.0</v>
      </c>
      <c r="B33" s="14">
        <v>0.0</v>
      </c>
      <c r="C33" s="34">
        <v>0.0</v>
      </c>
      <c r="D33" s="35">
        <v>44612.0</v>
      </c>
      <c r="E33" s="24"/>
      <c r="F33" s="14" t="s">
        <v>6012</v>
      </c>
      <c r="G33" s="14">
        <v>0.0</v>
      </c>
      <c r="H33" s="14">
        <v>0.0</v>
      </c>
      <c r="I33" s="14" t="s">
        <v>6018</v>
      </c>
      <c r="J33" s="14" t="s">
        <v>6012</v>
      </c>
      <c r="K33" s="14" t="s">
        <v>6012</v>
      </c>
      <c r="L33" s="14">
        <v>0.0</v>
      </c>
    </row>
    <row r="34">
      <c r="A34" s="14">
        <v>2255.0</v>
      </c>
      <c r="B34" s="14">
        <v>1.0</v>
      </c>
      <c r="C34" s="34">
        <v>28.53</v>
      </c>
      <c r="D34" s="35">
        <v>44613.0</v>
      </c>
      <c r="E34" s="24"/>
      <c r="F34" s="14">
        <v>28.53</v>
      </c>
      <c r="G34" s="14">
        <v>12.65</v>
      </c>
      <c r="H34" s="14">
        <v>0.04</v>
      </c>
      <c r="I34" s="14" t="s">
        <v>6016</v>
      </c>
      <c r="J34" s="14">
        <v>100.0</v>
      </c>
      <c r="K34" s="14">
        <v>28.53</v>
      </c>
      <c r="L34" s="14">
        <v>0.0</v>
      </c>
    </row>
    <row r="35">
      <c r="A35" s="14">
        <v>383.0</v>
      </c>
      <c r="B35" s="14">
        <v>0.0</v>
      </c>
      <c r="C35" s="34">
        <v>0.0</v>
      </c>
      <c r="D35" s="35">
        <v>44613.0</v>
      </c>
      <c r="E35" s="24"/>
      <c r="F35" s="14" t="s">
        <v>6012</v>
      </c>
      <c r="G35" s="14">
        <v>0.0</v>
      </c>
      <c r="H35" s="14">
        <v>0.0</v>
      </c>
      <c r="I35" s="14" t="s">
        <v>6018</v>
      </c>
      <c r="J35" s="14" t="s">
        <v>6012</v>
      </c>
      <c r="K35" s="14">
        <v>0.0</v>
      </c>
      <c r="L35" s="14">
        <v>0.0</v>
      </c>
    </row>
    <row r="36">
      <c r="A36" s="14">
        <v>3532.0</v>
      </c>
      <c r="B36" s="14">
        <v>0.0</v>
      </c>
      <c r="C36" s="34">
        <v>48.74</v>
      </c>
      <c r="D36" s="35">
        <v>44613.0</v>
      </c>
      <c r="E36" s="24"/>
      <c r="F36" s="14" t="s">
        <v>6012</v>
      </c>
      <c r="G36" s="14">
        <v>13.8</v>
      </c>
      <c r="H36" s="14">
        <v>0.0</v>
      </c>
      <c r="I36" s="14" t="s">
        <v>6017</v>
      </c>
      <c r="J36" s="14" t="s">
        <v>6012</v>
      </c>
      <c r="K36" s="14">
        <v>48.74</v>
      </c>
      <c r="L36" s="14">
        <v>0.0</v>
      </c>
    </row>
    <row r="37">
      <c r="A37" s="14">
        <v>969.0</v>
      </c>
      <c r="B37" s="14">
        <v>0.0</v>
      </c>
      <c r="C37" s="34">
        <v>10.92</v>
      </c>
      <c r="D37" s="35">
        <v>44613.0</v>
      </c>
      <c r="E37" s="24"/>
      <c r="F37" s="14" t="s">
        <v>6012</v>
      </c>
      <c r="G37" s="14">
        <v>11.27</v>
      </c>
      <c r="H37" s="14">
        <v>0.0</v>
      </c>
      <c r="I37" s="14" t="s">
        <v>6014</v>
      </c>
      <c r="J37" s="14" t="s">
        <v>6012</v>
      </c>
      <c r="K37" s="14" t="s">
        <v>6012</v>
      </c>
      <c r="L37" s="14">
        <v>0.0</v>
      </c>
    </row>
    <row r="38">
      <c r="A38" s="14">
        <v>630.0</v>
      </c>
      <c r="B38" s="14">
        <v>0.0</v>
      </c>
      <c r="C38" s="34">
        <v>9.32</v>
      </c>
      <c r="D38" s="35">
        <v>44613.0</v>
      </c>
      <c r="E38" s="24"/>
      <c r="F38" s="14" t="s">
        <v>6012</v>
      </c>
      <c r="G38" s="14">
        <v>14.79</v>
      </c>
      <c r="H38" s="14">
        <v>0.0</v>
      </c>
      <c r="I38" s="14" t="s">
        <v>6015</v>
      </c>
      <c r="J38" s="14" t="s">
        <v>6012</v>
      </c>
      <c r="K38" s="14">
        <v>9.32</v>
      </c>
      <c r="L38" s="14">
        <v>0.0</v>
      </c>
    </row>
    <row r="39">
      <c r="A39" s="14">
        <v>1651.0</v>
      </c>
      <c r="B39" s="14">
        <v>1.0</v>
      </c>
      <c r="C39" s="34">
        <v>19.45</v>
      </c>
      <c r="D39" s="35">
        <v>44613.0</v>
      </c>
      <c r="E39" s="24"/>
      <c r="F39" s="14">
        <v>19.45</v>
      </c>
      <c r="G39" s="14">
        <v>11.78</v>
      </c>
      <c r="H39" s="14">
        <v>0.06</v>
      </c>
      <c r="I39" s="14" t="s">
        <v>6011</v>
      </c>
      <c r="J39" s="14">
        <v>100.0</v>
      </c>
      <c r="K39" s="14">
        <v>19.45</v>
      </c>
      <c r="L39" s="14">
        <v>0.0</v>
      </c>
    </row>
    <row r="40">
      <c r="A40" s="14">
        <v>4915.0</v>
      </c>
      <c r="B40" s="14">
        <v>1.0</v>
      </c>
      <c r="C40" s="34">
        <v>62.17</v>
      </c>
      <c r="D40" s="35">
        <v>44614.0</v>
      </c>
      <c r="E40" s="24"/>
      <c r="F40" s="14">
        <v>62.17</v>
      </c>
      <c r="G40" s="14">
        <v>12.65</v>
      </c>
      <c r="H40" s="14">
        <v>0.02</v>
      </c>
      <c r="I40" s="14" t="s">
        <v>6016</v>
      </c>
      <c r="J40" s="14">
        <v>100.0</v>
      </c>
      <c r="K40" s="14">
        <v>62.17</v>
      </c>
      <c r="L40" s="14">
        <v>0.0</v>
      </c>
    </row>
    <row r="41">
      <c r="A41" s="14">
        <v>4248.0</v>
      </c>
      <c r="B41" s="14">
        <v>0.0</v>
      </c>
      <c r="C41" s="34">
        <v>58.62</v>
      </c>
      <c r="D41" s="35">
        <v>44614.0</v>
      </c>
      <c r="E41" s="24"/>
      <c r="F41" s="14" t="s">
        <v>6012</v>
      </c>
      <c r="G41" s="14">
        <v>13.8</v>
      </c>
      <c r="H41" s="14">
        <v>0.0</v>
      </c>
      <c r="I41" s="14" t="s">
        <v>6017</v>
      </c>
      <c r="J41" s="14" t="s">
        <v>6012</v>
      </c>
      <c r="K41" s="14">
        <v>29.31</v>
      </c>
      <c r="L41" s="14">
        <v>0.0</v>
      </c>
    </row>
    <row r="42">
      <c r="A42" s="14">
        <v>1380.0</v>
      </c>
      <c r="B42" s="14">
        <v>0.0</v>
      </c>
      <c r="C42" s="34">
        <v>20.42</v>
      </c>
      <c r="D42" s="35">
        <v>44614.0</v>
      </c>
      <c r="E42" s="24"/>
      <c r="F42" s="14" t="s">
        <v>6012</v>
      </c>
      <c r="G42" s="14">
        <v>14.8</v>
      </c>
      <c r="H42" s="14">
        <v>0.0</v>
      </c>
      <c r="I42" s="14" t="s">
        <v>6015</v>
      </c>
      <c r="J42" s="14" t="s">
        <v>6012</v>
      </c>
      <c r="K42" s="14">
        <v>20.42</v>
      </c>
      <c r="L42" s="14">
        <v>0.0</v>
      </c>
    </row>
    <row r="43">
      <c r="A43" s="14">
        <v>948.0</v>
      </c>
      <c r="B43" s="14">
        <v>0.0</v>
      </c>
      <c r="C43" s="34">
        <v>0.0</v>
      </c>
      <c r="D43" s="35">
        <v>44614.0</v>
      </c>
      <c r="E43" s="24"/>
      <c r="F43" s="14" t="s">
        <v>6012</v>
      </c>
      <c r="G43" s="14">
        <v>0.0</v>
      </c>
      <c r="H43" s="14">
        <v>0.0</v>
      </c>
      <c r="I43" s="14" t="s">
        <v>6018</v>
      </c>
      <c r="J43" s="14" t="s">
        <v>6012</v>
      </c>
      <c r="K43" s="14">
        <v>0.0</v>
      </c>
      <c r="L43" s="14">
        <v>0.0</v>
      </c>
    </row>
    <row r="44">
      <c r="A44" s="14">
        <v>1218.0</v>
      </c>
      <c r="B44" s="14">
        <v>1.0</v>
      </c>
      <c r="C44" s="34">
        <v>13.56</v>
      </c>
      <c r="D44" s="35">
        <v>44614.0</v>
      </c>
      <c r="E44" s="24"/>
      <c r="F44" s="14">
        <v>13.56</v>
      </c>
      <c r="G44" s="14">
        <v>11.13</v>
      </c>
      <c r="H44" s="14">
        <v>0.08</v>
      </c>
      <c r="I44" s="14" t="s">
        <v>6014</v>
      </c>
      <c r="J44" s="14">
        <v>200.0</v>
      </c>
      <c r="K44" s="14">
        <v>6.78</v>
      </c>
      <c r="L44" s="14">
        <v>0.0</v>
      </c>
    </row>
    <row r="45">
      <c r="A45" s="14">
        <v>1974.0</v>
      </c>
      <c r="B45" s="14">
        <v>2.0</v>
      </c>
      <c r="C45" s="34">
        <v>23.32</v>
      </c>
      <c r="D45" s="35">
        <v>44614.0</v>
      </c>
      <c r="E45" s="24"/>
      <c r="F45" s="14">
        <v>11.66</v>
      </c>
      <c r="G45" s="14">
        <v>11.81</v>
      </c>
      <c r="H45" s="14">
        <v>0.1</v>
      </c>
      <c r="I45" s="14" t="s">
        <v>6011</v>
      </c>
      <c r="J45" s="14">
        <v>150.0</v>
      </c>
      <c r="K45" s="14">
        <v>7.77</v>
      </c>
      <c r="L45" s="14">
        <v>0.0</v>
      </c>
    </row>
    <row r="46">
      <c r="A46" s="14">
        <v>1174.0</v>
      </c>
      <c r="B46" s="14">
        <v>0.0</v>
      </c>
      <c r="C46" s="34">
        <v>13.04</v>
      </c>
      <c r="D46" s="35">
        <v>44615.0</v>
      </c>
      <c r="E46" s="24"/>
      <c r="F46" s="14" t="s">
        <v>6012</v>
      </c>
      <c r="G46" s="14">
        <v>11.11</v>
      </c>
      <c r="H46" s="14">
        <v>0.0</v>
      </c>
      <c r="I46" s="14" t="s">
        <v>6014</v>
      </c>
      <c r="J46" s="14" t="s">
        <v>6012</v>
      </c>
      <c r="K46" s="14">
        <v>4.35</v>
      </c>
      <c r="L46" s="14">
        <v>0.0</v>
      </c>
    </row>
    <row r="47">
      <c r="A47" s="14">
        <v>1995.0</v>
      </c>
      <c r="B47" s="14">
        <v>0.0</v>
      </c>
      <c r="C47" s="34">
        <v>23.49</v>
      </c>
      <c r="D47" s="35">
        <v>44615.0</v>
      </c>
      <c r="E47" s="24"/>
      <c r="F47" s="14" t="s">
        <v>6012</v>
      </c>
      <c r="G47" s="14">
        <v>11.77</v>
      </c>
      <c r="H47" s="14">
        <v>0.0</v>
      </c>
      <c r="I47" s="14" t="s">
        <v>6011</v>
      </c>
      <c r="J47" s="14" t="s">
        <v>6012</v>
      </c>
      <c r="K47" s="14">
        <v>7.83</v>
      </c>
      <c r="L47" s="14">
        <v>0.0</v>
      </c>
    </row>
    <row r="48">
      <c r="A48" s="14">
        <v>1456.0</v>
      </c>
      <c r="B48" s="14">
        <v>0.0</v>
      </c>
      <c r="C48" s="34">
        <v>21.55</v>
      </c>
      <c r="D48" s="35">
        <v>44615.0</v>
      </c>
      <c r="E48" s="24"/>
      <c r="F48" s="14" t="s">
        <v>6012</v>
      </c>
      <c r="G48" s="14">
        <v>14.8</v>
      </c>
      <c r="H48" s="14">
        <v>0.0</v>
      </c>
      <c r="I48" s="14" t="s">
        <v>6015</v>
      </c>
      <c r="J48" s="14" t="s">
        <v>6012</v>
      </c>
      <c r="K48" s="14" t="s">
        <v>6012</v>
      </c>
      <c r="L48" s="14">
        <v>0.0</v>
      </c>
    </row>
    <row r="49">
      <c r="A49" s="14">
        <v>4246.0</v>
      </c>
      <c r="B49" s="14">
        <v>3.0</v>
      </c>
      <c r="C49" s="34">
        <v>58.59</v>
      </c>
      <c r="D49" s="35">
        <v>44615.0</v>
      </c>
      <c r="E49" s="24"/>
      <c r="F49" s="14">
        <v>19.53</v>
      </c>
      <c r="G49" s="14">
        <v>13.8</v>
      </c>
      <c r="H49" s="14">
        <v>0.07</v>
      </c>
      <c r="I49" s="14" t="s">
        <v>6017</v>
      </c>
      <c r="J49" s="14">
        <v>166.67</v>
      </c>
      <c r="K49" s="14">
        <v>11.72</v>
      </c>
      <c r="L49" s="14">
        <v>0.0</v>
      </c>
    </row>
    <row r="50">
      <c r="A50" s="14">
        <v>4951.0</v>
      </c>
      <c r="B50" s="14">
        <v>4.0</v>
      </c>
      <c r="C50" s="34">
        <v>62.63</v>
      </c>
      <c r="D50" s="35">
        <v>44615.0</v>
      </c>
      <c r="E50" s="24"/>
      <c r="F50" s="14">
        <v>15.66</v>
      </c>
      <c r="G50" s="14">
        <v>12.65</v>
      </c>
      <c r="H50" s="14">
        <v>0.08</v>
      </c>
      <c r="I50" s="14" t="s">
        <v>6016</v>
      </c>
      <c r="J50" s="14">
        <v>100.0</v>
      </c>
      <c r="K50" s="14">
        <v>15.66</v>
      </c>
      <c r="L50" s="14">
        <v>0.0</v>
      </c>
    </row>
    <row r="51">
      <c r="A51" s="14">
        <v>1093.0</v>
      </c>
      <c r="B51" s="14">
        <v>1.0</v>
      </c>
      <c r="C51" s="34">
        <v>6.35</v>
      </c>
      <c r="D51" s="35">
        <v>44615.0</v>
      </c>
      <c r="E51" s="24"/>
      <c r="F51" s="14">
        <v>6.35</v>
      </c>
      <c r="G51" s="14">
        <v>5.81</v>
      </c>
      <c r="H51" s="14">
        <v>0.09</v>
      </c>
      <c r="I51" s="14" t="s">
        <v>6018</v>
      </c>
      <c r="J51" s="14">
        <v>200.0</v>
      </c>
      <c r="K51" s="14">
        <v>3.18</v>
      </c>
      <c r="L51" s="14">
        <v>0.0</v>
      </c>
    </row>
    <row r="52">
      <c r="A52" s="14">
        <v>4393.0</v>
      </c>
      <c r="B52" s="14">
        <v>0.0</v>
      </c>
      <c r="C52" s="34">
        <v>60.62</v>
      </c>
      <c r="D52" s="35">
        <v>44616.0</v>
      </c>
      <c r="E52" s="24"/>
      <c r="F52" s="14" t="s">
        <v>6012</v>
      </c>
      <c r="G52" s="14">
        <v>13.8</v>
      </c>
      <c r="H52" s="14">
        <v>0.0</v>
      </c>
      <c r="I52" s="14" t="s">
        <v>6017</v>
      </c>
      <c r="J52" s="14" t="s">
        <v>6012</v>
      </c>
      <c r="K52" s="14">
        <v>30.31</v>
      </c>
      <c r="L52" s="14">
        <v>0.0</v>
      </c>
    </row>
    <row r="53">
      <c r="A53" s="14">
        <v>1192.0</v>
      </c>
      <c r="B53" s="14">
        <v>2.0</v>
      </c>
      <c r="C53" s="34">
        <v>13.08</v>
      </c>
      <c r="D53" s="35">
        <v>44616.0</v>
      </c>
      <c r="E53" s="24"/>
      <c r="F53" s="14">
        <v>6.54</v>
      </c>
      <c r="G53" s="14">
        <v>10.97</v>
      </c>
      <c r="H53" s="14">
        <v>0.17</v>
      </c>
      <c r="I53" s="14" t="s">
        <v>6018</v>
      </c>
      <c r="J53" s="14">
        <v>150.0</v>
      </c>
      <c r="K53" s="14">
        <v>4.36</v>
      </c>
      <c r="L53" s="14">
        <v>0.0</v>
      </c>
    </row>
    <row r="54">
      <c r="A54" s="14">
        <v>4492.0</v>
      </c>
      <c r="B54" s="14">
        <v>0.0</v>
      </c>
      <c r="C54" s="34">
        <v>56.82</v>
      </c>
      <c r="D54" s="35">
        <v>44616.0</v>
      </c>
      <c r="E54" s="24"/>
      <c r="F54" s="14" t="s">
        <v>6012</v>
      </c>
      <c r="G54" s="14">
        <v>12.65</v>
      </c>
      <c r="H54" s="14">
        <v>0.0</v>
      </c>
      <c r="I54" s="14" t="s">
        <v>6016</v>
      </c>
      <c r="J54" s="14" t="s">
        <v>6012</v>
      </c>
      <c r="K54" s="14" t="s">
        <v>6012</v>
      </c>
      <c r="L54" s="14">
        <v>0.0</v>
      </c>
    </row>
    <row r="55">
      <c r="A55" s="14">
        <v>2114.0</v>
      </c>
      <c r="B55" s="14">
        <v>0.0</v>
      </c>
      <c r="C55" s="34">
        <v>24.85</v>
      </c>
      <c r="D55" s="35">
        <v>44616.0</v>
      </c>
      <c r="E55" s="24"/>
      <c r="F55" s="14" t="s">
        <v>6012</v>
      </c>
      <c r="G55" s="14">
        <v>11.75</v>
      </c>
      <c r="H55" s="14">
        <v>0.0</v>
      </c>
      <c r="I55" s="14" t="s">
        <v>6011</v>
      </c>
      <c r="J55" s="14" t="s">
        <v>6012</v>
      </c>
      <c r="K55" s="14">
        <v>12.42</v>
      </c>
      <c r="L55" s="14">
        <v>0.0</v>
      </c>
    </row>
    <row r="56">
      <c r="A56" s="14">
        <v>1160.0</v>
      </c>
      <c r="B56" s="14">
        <v>1.0</v>
      </c>
      <c r="C56" s="34">
        <v>12.86</v>
      </c>
      <c r="D56" s="35">
        <v>44616.0</v>
      </c>
      <c r="E56" s="24"/>
      <c r="F56" s="14">
        <v>12.86</v>
      </c>
      <c r="G56" s="14">
        <v>11.09</v>
      </c>
      <c r="H56" s="14">
        <v>0.09</v>
      </c>
      <c r="I56" s="14" t="s">
        <v>6014</v>
      </c>
      <c r="J56" s="14">
        <v>100.0</v>
      </c>
      <c r="K56" s="14">
        <v>12.86</v>
      </c>
      <c r="L56" s="14">
        <v>0.0</v>
      </c>
    </row>
    <row r="57">
      <c r="A57" s="14">
        <v>1347.0</v>
      </c>
      <c r="B57" s="14">
        <v>0.0</v>
      </c>
      <c r="C57" s="34">
        <v>19.94</v>
      </c>
      <c r="D57" s="35">
        <v>44616.0</v>
      </c>
      <c r="E57" s="24"/>
      <c r="F57" s="14" t="s">
        <v>6012</v>
      </c>
      <c r="G57" s="14">
        <v>14.8</v>
      </c>
      <c r="H57" s="14">
        <v>0.0</v>
      </c>
      <c r="I57" s="14" t="s">
        <v>6015</v>
      </c>
      <c r="J57" s="14" t="s">
        <v>6012</v>
      </c>
      <c r="K57" s="14">
        <v>9.97</v>
      </c>
      <c r="L57" s="14">
        <v>0.0</v>
      </c>
    </row>
    <row r="58">
      <c r="A58" s="14">
        <v>1065.0</v>
      </c>
      <c r="B58" s="14">
        <v>0.0</v>
      </c>
      <c r="C58" s="34">
        <v>11.82</v>
      </c>
      <c r="D58" s="35">
        <v>44617.0</v>
      </c>
      <c r="E58" s="24"/>
      <c r="F58" s="14" t="s">
        <v>6012</v>
      </c>
      <c r="G58" s="14">
        <v>11.1</v>
      </c>
      <c r="H58" s="14">
        <v>0.0</v>
      </c>
      <c r="I58" s="14" t="s">
        <v>6014</v>
      </c>
      <c r="J58" s="14" t="s">
        <v>6012</v>
      </c>
      <c r="K58" s="14" t="s">
        <v>6012</v>
      </c>
      <c r="L58" s="14">
        <v>0.0</v>
      </c>
    </row>
    <row r="59">
      <c r="A59" s="14">
        <v>1236.0</v>
      </c>
      <c r="B59" s="14">
        <v>0.0</v>
      </c>
      <c r="C59" s="34">
        <v>18.29</v>
      </c>
      <c r="D59" s="35">
        <v>44617.0</v>
      </c>
      <c r="E59" s="24"/>
      <c r="F59" s="14" t="s">
        <v>6012</v>
      </c>
      <c r="G59" s="14">
        <v>14.8</v>
      </c>
      <c r="H59" s="14">
        <v>0.0</v>
      </c>
      <c r="I59" s="14" t="s">
        <v>6015</v>
      </c>
      <c r="J59" s="14" t="s">
        <v>6012</v>
      </c>
      <c r="K59" s="14">
        <v>18.29</v>
      </c>
      <c r="L59" s="14">
        <v>0.0</v>
      </c>
    </row>
    <row r="60">
      <c r="A60" s="14">
        <v>1240.0</v>
      </c>
      <c r="B60" s="14">
        <v>2.0</v>
      </c>
      <c r="C60" s="34">
        <v>13.11</v>
      </c>
      <c r="D60" s="35">
        <v>44617.0</v>
      </c>
      <c r="E60" s="24"/>
      <c r="F60" s="14">
        <v>6.56</v>
      </c>
      <c r="G60" s="14">
        <v>10.57</v>
      </c>
      <c r="H60" s="14">
        <v>0.16</v>
      </c>
      <c r="I60" s="14" t="s">
        <v>6018</v>
      </c>
      <c r="J60" s="14">
        <v>100.0</v>
      </c>
      <c r="K60" s="14">
        <v>6.56</v>
      </c>
      <c r="L60" s="14">
        <v>0.0</v>
      </c>
    </row>
    <row r="61">
      <c r="A61" s="14">
        <v>4340.0</v>
      </c>
      <c r="B61" s="14">
        <v>2.0</v>
      </c>
      <c r="C61" s="34">
        <v>59.89</v>
      </c>
      <c r="D61" s="35">
        <v>44617.0</v>
      </c>
      <c r="E61" s="24"/>
      <c r="F61" s="14">
        <v>29.94</v>
      </c>
      <c r="G61" s="14">
        <v>13.8</v>
      </c>
      <c r="H61" s="14">
        <v>0.05</v>
      </c>
      <c r="I61" s="14" t="s">
        <v>6017</v>
      </c>
      <c r="J61" s="14">
        <v>200.0</v>
      </c>
      <c r="K61" s="14">
        <v>14.97</v>
      </c>
      <c r="L61" s="14">
        <v>0.0</v>
      </c>
    </row>
    <row r="62">
      <c r="A62" s="14">
        <v>2062.0</v>
      </c>
      <c r="B62" s="14">
        <v>0.0</v>
      </c>
      <c r="C62" s="34">
        <v>24.25</v>
      </c>
      <c r="D62" s="35">
        <v>44617.0</v>
      </c>
      <c r="E62" s="24"/>
      <c r="F62" s="14" t="s">
        <v>6012</v>
      </c>
      <c r="G62" s="14">
        <v>11.76</v>
      </c>
      <c r="H62" s="14">
        <v>0.0</v>
      </c>
      <c r="I62" s="14" t="s">
        <v>6011</v>
      </c>
      <c r="J62" s="14" t="s">
        <v>6012</v>
      </c>
      <c r="K62" s="14">
        <v>8.08</v>
      </c>
      <c r="L62" s="14">
        <v>0.0</v>
      </c>
    </row>
    <row r="63">
      <c r="A63" s="14">
        <v>4063.0</v>
      </c>
      <c r="B63" s="14">
        <v>5.0</v>
      </c>
      <c r="C63" s="34">
        <v>51.39</v>
      </c>
      <c r="D63" s="35">
        <v>44617.0</v>
      </c>
      <c r="E63" s="24"/>
      <c r="F63" s="14">
        <v>10.28</v>
      </c>
      <c r="G63" s="14">
        <v>12.65</v>
      </c>
      <c r="H63" s="14">
        <v>0.12</v>
      </c>
      <c r="I63" s="14" t="s">
        <v>6016</v>
      </c>
      <c r="J63" s="14">
        <v>80.0</v>
      </c>
      <c r="K63" s="14">
        <v>12.85</v>
      </c>
      <c r="L63" s="14">
        <v>0.0</v>
      </c>
    </row>
    <row r="64">
      <c r="A64" s="14">
        <v>4.0</v>
      </c>
      <c r="B64" s="14">
        <v>0.0</v>
      </c>
      <c r="C64" s="34">
        <v>0.05</v>
      </c>
      <c r="D64" s="35">
        <v>44618.0</v>
      </c>
      <c r="E64" s="24"/>
      <c r="F64" s="14" t="s">
        <v>6012</v>
      </c>
      <c r="G64" s="14">
        <v>12.5</v>
      </c>
      <c r="H64" s="14">
        <v>0.0</v>
      </c>
      <c r="I64" s="14" t="s">
        <v>6014</v>
      </c>
      <c r="J64" s="14" t="s">
        <v>6012</v>
      </c>
      <c r="K64" s="14" t="s">
        <v>6012</v>
      </c>
      <c r="L64" s="14">
        <v>0.0</v>
      </c>
    </row>
    <row r="65">
      <c r="A65" s="14">
        <v>1525.0</v>
      </c>
      <c r="B65" s="14">
        <v>2.0</v>
      </c>
      <c r="C65" s="34">
        <v>21.05</v>
      </c>
      <c r="D65" s="35">
        <v>44618.0</v>
      </c>
      <c r="E65" s="24"/>
      <c r="F65" s="14">
        <v>10.52</v>
      </c>
      <c r="G65" s="14">
        <v>13.8</v>
      </c>
      <c r="H65" s="14">
        <v>0.13</v>
      </c>
      <c r="I65" s="14" t="s">
        <v>6017</v>
      </c>
      <c r="J65" s="14">
        <v>50.0</v>
      </c>
      <c r="K65" s="14">
        <v>21.05</v>
      </c>
      <c r="L65" s="14">
        <v>0.0</v>
      </c>
    </row>
    <row r="66">
      <c r="A66" s="14">
        <v>123.0</v>
      </c>
      <c r="B66" s="14">
        <v>0.0</v>
      </c>
      <c r="C66" s="34">
        <v>1.56</v>
      </c>
      <c r="D66" s="35">
        <v>44618.0</v>
      </c>
      <c r="E66" s="24"/>
      <c r="F66" s="14" t="s">
        <v>6012</v>
      </c>
      <c r="G66" s="14">
        <v>12.68</v>
      </c>
      <c r="H66" s="14">
        <v>0.0</v>
      </c>
      <c r="I66" s="14" t="s">
        <v>6016</v>
      </c>
      <c r="J66" s="14" t="s">
        <v>6012</v>
      </c>
      <c r="K66" s="14" t="s">
        <v>6012</v>
      </c>
      <c r="L66" s="14">
        <v>0.0</v>
      </c>
    </row>
    <row r="67">
      <c r="A67" s="14">
        <v>88.0</v>
      </c>
      <c r="B67" s="14">
        <v>0.0</v>
      </c>
      <c r="C67" s="34">
        <v>1.3</v>
      </c>
      <c r="D67" s="35">
        <v>44618.0</v>
      </c>
      <c r="E67" s="24"/>
      <c r="F67" s="14" t="s">
        <v>6012</v>
      </c>
      <c r="G67" s="14">
        <v>14.77</v>
      </c>
      <c r="H67" s="14">
        <v>0.0</v>
      </c>
      <c r="I67" s="14" t="s">
        <v>6015</v>
      </c>
      <c r="J67" s="14" t="s">
        <v>6012</v>
      </c>
      <c r="K67" s="14" t="s">
        <v>6012</v>
      </c>
      <c r="L67" s="14">
        <v>0.0</v>
      </c>
    </row>
    <row r="68">
      <c r="A68" s="14">
        <v>1070.0</v>
      </c>
      <c r="B68" s="14">
        <v>1.0</v>
      </c>
      <c r="C68" s="34">
        <v>13.28</v>
      </c>
      <c r="D68" s="35">
        <v>44618.0</v>
      </c>
      <c r="E68" s="24"/>
      <c r="F68" s="14">
        <v>13.28</v>
      </c>
      <c r="G68" s="14">
        <v>12.41</v>
      </c>
      <c r="H68" s="14">
        <v>0.09</v>
      </c>
      <c r="I68" s="14" t="s">
        <v>6011</v>
      </c>
      <c r="J68" s="14">
        <v>0.0</v>
      </c>
      <c r="K68" s="14" t="s">
        <v>6012</v>
      </c>
      <c r="L68" s="14">
        <v>0.0</v>
      </c>
    </row>
    <row r="69">
      <c r="A69" s="14">
        <v>212.0</v>
      </c>
      <c r="B69" s="14">
        <v>0.0</v>
      </c>
      <c r="C69" s="34">
        <v>2.68</v>
      </c>
      <c r="D69" s="35">
        <v>44619.0</v>
      </c>
      <c r="E69" s="24"/>
      <c r="F69" s="14" t="s">
        <v>6012</v>
      </c>
      <c r="G69" s="14">
        <v>12.64</v>
      </c>
      <c r="H69" s="14">
        <v>0.0</v>
      </c>
      <c r="I69" s="14" t="s">
        <v>6016</v>
      </c>
      <c r="J69" s="14" t="s">
        <v>6012</v>
      </c>
      <c r="K69" s="14">
        <v>2.68</v>
      </c>
      <c r="L69" s="14">
        <v>0.0</v>
      </c>
    </row>
    <row r="70">
      <c r="A70" s="14">
        <v>1471.0</v>
      </c>
      <c r="B70" s="14">
        <v>2.0</v>
      </c>
      <c r="C70" s="34">
        <v>20.29</v>
      </c>
      <c r="D70" s="35">
        <v>44619.0</v>
      </c>
      <c r="E70" s="24"/>
      <c r="F70" s="14">
        <v>10.14</v>
      </c>
      <c r="G70" s="14">
        <v>13.79</v>
      </c>
      <c r="H70" s="14">
        <v>0.14</v>
      </c>
      <c r="I70" s="14" t="s">
        <v>6017</v>
      </c>
      <c r="J70" s="14">
        <v>150.0</v>
      </c>
      <c r="K70" s="14">
        <v>6.76</v>
      </c>
      <c r="L70" s="14">
        <v>0.0</v>
      </c>
    </row>
    <row r="71">
      <c r="A71" s="14">
        <v>893.0</v>
      </c>
      <c r="B71" s="14">
        <v>1.0</v>
      </c>
      <c r="C71" s="34">
        <v>11.36</v>
      </c>
      <c r="D71" s="35">
        <v>44619.0</v>
      </c>
      <c r="E71" s="24"/>
      <c r="F71" s="14">
        <v>11.36</v>
      </c>
      <c r="G71" s="14">
        <v>12.72</v>
      </c>
      <c r="H71" s="14">
        <v>0.11</v>
      </c>
      <c r="I71" s="14" t="s">
        <v>6011</v>
      </c>
      <c r="J71" s="14">
        <v>300.0</v>
      </c>
      <c r="K71" s="14">
        <v>3.79</v>
      </c>
      <c r="L71" s="14">
        <v>0.0</v>
      </c>
    </row>
    <row r="72">
      <c r="A72" s="14">
        <v>92.0</v>
      </c>
      <c r="B72" s="14">
        <v>0.0</v>
      </c>
      <c r="C72" s="34">
        <v>1.36</v>
      </c>
      <c r="D72" s="35">
        <v>44619.0</v>
      </c>
      <c r="E72" s="24"/>
      <c r="F72" s="14" t="s">
        <v>6012</v>
      </c>
      <c r="G72" s="14">
        <v>14.78</v>
      </c>
      <c r="H72" s="14">
        <v>0.0</v>
      </c>
      <c r="I72" s="14" t="s">
        <v>6015</v>
      </c>
      <c r="J72" s="14" t="s">
        <v>6012</v>
      </c>
      <c r="K72" s="14" t="s">
        <v>6012</v>
      </c>
      <c r="L72" s="14">
        <v>0.0</v>
      </c>
    </row>
    <row r="73">
      <c r="A73" s="14">
        <v>3718.0</v>
      </c>
      <c r="B73" s="14">
        <v>1.0</v>
      </c>
      <c r="C73" s="34">
        <v>47.03</v>
      </c>
      <c r="D73" s="35">
        <v>44620.0</v>
      </c>
      <c r="E73" s="24"/>
      <c r="F73" s="14">
        <v>47.03</v>
      </c>
      <c r="G73" s="14">
        <v>12.65</v>
      </c>
      <c r="H73" s="14">
        <v>0.03</v>
      </c>
      <c r="I73" s="14" t="s">
        <v>6016</v>
      </c>
      <c r="J73" s="14">
        <v>100.0</v>
      </c>
      <c r="K73" s="14">
        <v>47.03</v>
      </c>
      <c r="L73" s="14">
        <v>0.0</v>
      </c>
    </row>
    <row r="74">
      <c r="A74" s="14">
        <v>3463.0</v>
      </c>
      <c r="B74" s="14">
        <v>1.0</v>
      </c>
      <c r="C74" s="34">
        <v>47.79</v>
      </c>
      <c r="D74" s="35">
        <v>44620.0</v>
      </c>
      <c r="E74" s="24"/>
      <c r="F74" s="14">
        <v>47.79</v>
      </c>
      <c r="G74" s="14">
        <v>13.8</v>
      </c>
      <c r="H74" s="14">
        <v>0.03</v>
      </c>
      <c r="I74" s="14" t="s">
        <v>6017</v>
      </c>
      <c r="J74" s="14">
        <v>300.0</v>
      </c>
      <c r="K74" s="14">
        <v>15.93</v>
      </c>
      <c r="L74" s="14">
        <v>0.0</v>
      </c>
    </row>
    <row r="75">
      <c r="A75" s="14">
        <v>0.0</v>
      </c>
      <c r="B75" s="14">
        <v>0.0</v>
      </c>
      <c r="C75" s="34"/>
      <c r="D75" s="35">
        <v>44620.0</v>
      </c>
      <c r="E75" s="24"/>
      <c r="F75" s="14" t="s">
        <v>6012</v>
      </c>
      <c r="G75" s="14" t="s">
        <v>6012</v>
      </c>
      <c r="H75" s="14" t="s">
        <v>6012</v>
      </c>
      <c r="I75" s="14" t="s">
        <v>6014</v>
      </c>
      <c r="J75" s="14" t="s">
        <v>6012</v>
      </c>
      <c r="K75" s="14" t="s">
        <v>6012</v>
      </c>
      <c r="L75" s="14"/>
    </row>
    <row r="76">
      <c r="A76" s="14">
        <v>1615.0</v>
      </c>
      <c r="B76" s="14">
        <v>0.0</v>
      </c>
      <c r="C76" s="34">
        <v>19.17</v>
      </c>
      <c r="D76" s="35">
        <v>44620.0</v>
      </c>
      <c r="E76" s="24"/>
      <c r="F76" s="14" t="s">
        <v>6012</v>
      </c>
      <c r="G76" s="14">
        <v>11.87</v>
      </c>
      <c r="H76" s="14">
        <v>0.0</v>
      </c>
      <c r="I76" s="14" t="s">
        <v>6011</v>
      </c>
      <c r="J76" s="14" t="s">
        <v>6012</v>
      </c>
      <c r="K76" s="14">
        <v>19.17</v>
      </c>
      <c r="L76" s="14">
        <v>0.0</v>
      </c>
    </row>
    <row r="77">
      <c r="A77" s="14">
        <v>1559.0</v>
      </c>
      <c r="B77" s="14">
        <v>0.0</v>
      </c>
      <c r="C77" s="34">
        <v>23.07</v>
      </c>
      <c r="D77" s="35">
        <v>44620.0</v>
      </c>
      <c r="E77" s="24"/>
      <c r="F77" s="14" t="s">
        <v>6012</v>
      </c>
      <c r="G77" s="14">
        <v>14.8</v>
      </c>
      <c r="H77" s="14">
        <v>0.0</v>
      </c>
      <c r="I77" s="14" t="s">
        <v>6015</v>
      </c>
      <c r="J77" s="14" t="s">
        <v>6012</v>
      </c>
      <c r="K77" s="14" t="s">
        <v>6012</v>
      </c>
      <c r="L77" s="14">
        <v>0.0</v>
      </c>
    </row>
    <row r="78">
      <c r="A78" s="14">
        <v>3913.0</v>
      </c>
      <c r="B78" s="14">
        <v>3.0</v>
      </c>
      <c r="C78" s="34">
        <v>54.0</v>
      </c>
      <c r="D78" s="35">
        <v>44621.0</v>
      </c>
      <c r="E78" s="24"/>
      <c r="F78" s="14">
        <v>18.0</v>
      </c>
      <c r="G78" s="14">
        <v>13.8</v>
      </c>
      <c r="H78" s="14">
        <v>0.08</v>
      </c>
      <c r="I78" s="14" t="s">
        <v>6017</v>
      </c>
      <c r="J78" s="14">
        <v>33.33</v>
      </c>
      <c r="K78" s="14">
        <v>54.0</v>
      </c>
      <c r="L78" s="14">
        <v>0.0</v>
      </c>
    </row>
    <row r="79">
      <c r="A79" s="14">
        <v>4002.0</v>
      </c>
      <c r="B79" s="14">
        <v>4.0</v>
      </c>
      <c r="C79" s="34">
        <v>58.49</v>
      </c>
      <c r="D79" s="35">
        <v>44621.0</v>
      </c>
      <c r="E79" s="24"/>
      <c r="F79" s="14">
        <v>14.62</v>
      </c>
      <c r="G79" s="14">
        <v>14.62</v>
      </c>
      <c r="H79" s="14">
        <v>0.1</v>
      </c>
      <c r="I79" s="14" t="s">
        <v>6015</v>
      </c>
      <c r="J79" s="14">
        <v>75.0</v>
      </c>
      <c r="K79" s="14">
        <v>19.5</v>
      </c>
      <c r="L79" s="14">
        <v>0.0</v>
      </c>
    </row>
    <row r="80">
      <c r="A80" s="14">
        <v>4254.0</v>
      </c>
      <c r="B80" s="14">
        <v>0.0</v>
      </c>
      <c r="C80" s="34">
        <v>54.12</v>
      </c>
      <c r="D80" s="35">
        <v>44621.0</v>
      </c>
      <c r="E80" s="24"/>
      <c r="F80" s="14" t="s">
        <v>6012</v>
      </c>
      <c r="G80" s="14">
        <v>12.72</v>
      </c>
      <c r="H80" s="14">
        <v>0.0</v>
      </c>
      <c r="I80" s="14" t="s">
        <v>6016</v>
      </c>
      <c r="J80" s="14" t="s">
        <v>6012</v>
      </c>
      <c r="K80" s="14" t="s">
        <v>6012</v>
      </c>
      <c r="L80" s="14">
        <v>0.0</v>
      </c>
    </row>
    <row r="81">
      <c r="A81" s="14">
        <v>1838.0</v>
      </c>
      <c r="B81" s="14">
        <v>0.0</v>
      </c>
      <c r="C81" s="34">
        <v>21.6</v>
      </c>
      <c r="D81" s="35">
        <v>44621.0</v>
      </c>
      <c r="E81" s="24"/>
      <c r="F81" s="14" t="s">
        <v>6012</v>
      </c>
      <c r="G81" s="14">
        <v>11.75</v>
      </c>
      <c r="H81" s="14">
        <v>0.0</v>
      </c>
      <c r="I81" s="14" t="s">
        <v>6011</v>
      </c>
      <c r="J81" s="14" t="s">
        <v>6012</v>
      </c>
      <c r="K81" s="14" t="s">
        <v>6012</v>
      </c>
      <c r="L81" s="14">
        <v>0.0</v>
      </c>
    </row>
    <row r="82">
      <c r="A82" s="14">
        <v>4650.0</v>
      </c>
      <c r="B82" s="14">
        <v>3.0</v>
      </c>
      <c r="C82" s="34">
        <v>59.29</v>
      </c>
      <c r="D82" s="35">
        <v>44622.0</v>
      </c>
      <c r="E82" s="24"/>
      <c r="F82" s="14">
        <v>19.76</v>
      </c>
      <c r="G82" s="14">
        <v>12.75</v>
      </c>
      <c r="H82" s="14">
        <v>0.06</v>
      </c>
      <c r="I82" s="14" t="s">
        <v>6016</v>
      </c>
      <c r="J82" s="14">
        <v>66.67</v>
      </c>
      <c r="K82" s="14">
        <v>29.64</v>
      </c>
      <c r="L82" s="14">
        <v>0.0</v>
      </c>
    </row>
    <row r="83">
      <c r="A83" s="14">
        <v>4216.0</v>
      </c>
      <c r="B83" s="14">
        <v>1.0</v>
      </c>
      <c r="C83" s="34">
        <v>58.18</v>
      </c>
      <c r="D83" s="35">
        <v>44622.0</v>
      </c>
      <c r="E83" s="24"/>
      <c r="F83" s="14">
        <v>58.18</v>
      </c>
      <c r="G83" s="14">
        <v>13.8</v>
      </c>
      <c r="H83" s="14">
        <v>0.02</v>
      </c>
      <c r="I83" s="14" t="s">
        <v>6017</v>
      </c>
      <c r="J83" s="14">
        <v>200.0</v>
      </c>
      <c r="K83" s="14">
        <v>29.09</v>
      </c>
      <c r="L83" s="14">
        <v>0.0</v>
      </c>
    </row>
    <row r="84">
      <c r="A84" s="14">
        <v>2001.0</v>
      </c>
      <c r="B84" s="14">
        <v>0.0</v>
      </c>
      <c r="C84" s="34">
        <v>23.44</v>
      </c>
      <c r="D84" s="35">
        <v>44622.0</v>
      </c>
      <c r="E84" s="24"/>
      <c r="F84" s="14" t="s">
        <v>6012</v>
      </c>
      <c r="G84" s="14">
        <v>11.71</v>
      </c>
      <c r="H84" s="14">
        <v>0.0</v>
      </c>
      <c r="I84" s="14" t="s">
        <v>6011</v>
      </c>
      <c r="J84" s="14" t="s">
        <v>6012</v>
      </c>
      <c r="K84" s="14" t="s">
        <v>6012</v>
      </c>
      <c r="L84" s="14">
        <v>0.0</v>
      </c>
    </row>
    <row r="85">
      <c r="A85" s="14">
        <v>4322.0</v>
      </c>
      <c r="B85" s="14">
        <v>1.0</v>
      </c>
      <c r="C85" s="34">
        <v>63.1</v>
      </c>
      <c r="D85" s="35">
        <v>44622.0</v>
      </c>
      <c r="E85" s="24"/>
      <c r="F85" s="14">
        <v>63.1</v>
      </c>
      <c r="G85" s="14">
        <v>14.6</v>
      </c>
      <c r="H85" s="14">
        <v>0.02</v>
      </c>
      <c r="I85" s="14" t="s">
        <v>6015</v>
      </c>
      <c r="J85" s="14">
        <v>100.0</v>
      </c>
      <c r="K85" s="14">
        <v>63.1</v>
      </c>
      <c r="L85" s="14">
        <v>0.0</v>
      </c>
    </row>
    <row r="86">
      <c r="A86" s="14">
        <v>4472.0</v>
      </c>
      <c r="B86" s="14">
        <v>2.0</v>
      </c>
      <c r="C86" s="34">
        <v>65.29</v>
      </c>
      <c r="D86" s="35">
        <v>44623.0</v>
      </c>
      <c r="E86" s="24"/>
      <c r="F86" s="14">
        <v>32.65</v>
      </c>
      <c r="G86" s="14">
        <v>14.6</v>
      </c>
      <c r="H86" s="14">
        <v>0.04</v>
      </c>
      <c r="I86" s="14" t="s">
        <v>6015</v>
      </c>
      <c r="J86" s="14">
        <v>150.0</v>
      </c>
      <c r="K86" s="14">
        <v>21.76</v>
      </c>
      <c r="L86" s="14">
        <v>0.0</v>
      </c>
    </row>
    <row r="87">
      <c r="A87" s="14">
        <v>2093.0</v>
      </c>
      <c r="B87" s="14">
        <v>1.0</v>
      </c>
      <c r="C87" s="34">
        <v>24.5</v>
      </c>
      <c r="D87" s="35">
        <v>44623.0</v>
      </c>
      <c r="E87" s="24"/>
      <c r="F87" s="14">
        <v>24.5</v>
      </c>
      <c r="G87" s="14">
        <v>11.71</v>
      </c>
      <c r="H87" s="14">
        <v>0.05</v>
      </c>
      <c r="I87" s="14" t="s">
        <v>6011</v>
      </c>
      <c r="J87" s="14">
        <v>200.0</v>
      </c>
      <c r="K87" s="14">
        <v>12.25</v>
      </c>
      <c r="L87" s="14">
        <v>0.0</v>
      </c>
    </row>
    <row r="88">
      <c r="A88" s="14">
        <v>4413.0</v>
      </c>
      <c r="B88" s="14">
        <v>1.0</v>
      </c>
      <c r="C88" s="34">
        <v>60.9</v>
      </c>
      <c r="D88" s="35">
        <v>44623.0</v>
      </c>
      <c r="E88" s="24"/>
      <c r="F88" s="14">
        <v>60.9</v>
      </c>
      <c r="G88" s="14">
        <v>13.8</v>
      </c>
      <c r="H88" s="14">
        <v>0.02</v>
      </c>
      <c r="I88" s="14" t="s">
        <v>6017</v>
      </c>
      <c r="J88" s="14">
        <v>200.0</v>
      </c>
      <c r="K88" s="14">
        <v>30.45</v>
      </c>
      <c r="L88" s="14">
        <v>0.0</v>
      </c>
    </row>
    <row r="89">
      <c r="A89" s="14">
        <v>4731.0</v>
      </c>
      <c r="B89" s="14">
        <v>5.0</v>
      </c>
      <c r="C89" s="34">
        <v>60.32</v>
      </c>
      <c r="D89" s="35">
        <v>44623.0</v>
      </c>
      <c r="E89" s="24"/>
      <c r="F89" s="14">
        <v>12.06</v>
      </c>
      <c r="G89" s="14">
        <v>12.75</v>
      </c>
      <c r="H89" s="14">
        <v>0.11</v>
      </c>
      <c r="I89" s="14" t="s">
        <v>6016</v>
      </c>
      <c r="J89" s="14">
        <v>40.0</v>
      </c>
      <c r="K89" s="14">
        <v>30.16</v>
      </c>
      <c r="L89" s="14">
        <v>0.0</v>
      </c>
    </row>
    <row r="90">
      <c r="A90" s="14">
        <v>4608.0</v>
      </c>
      <c r="B90" s="14">
        <v>2.0</v>
      </c>
      <c r="C90" s="34">
        <v>67.28</v>
      </c>
      <c r="D90" s="35">
        <v>44624.0</v>
      </c>
      <c r="E90" s="24"/>
      <c r="F90" s="14">
        <v>33.64</v>
      </c>
      <c r="G90" s="14">
        <v>14.6</v>
      </c>
      <c r="H90" s="14">
        <v>0.04</v>
      </c>
      <c r="I90" s="14" t="s">
        <v>6015</v>
      </c>
      <c r="J90" s="14">
        <v>200.0</v>
      </c>
      <c r="K90" s="14">
        <v>16.82</v>
      </c>
      <c r="L90" s="14">
        <v>0.0</v>
      </c>
    </row>
    <row r="91">
      <c r="A91" s="14">
        <v>2104.0</v>
      </c>
      <c r="B91" s="14">
        <v>1.0</v>
      </c>
      <c r="C91" s="34">
        <v>24.68</v>
      </c>
      <c r="D91" s="35">
        <v>44624.0</v>
      </c>
      <c r="E91" s="24"/>
      <c r="F91" s="14">
        <v>24.68</v>
      </c>
      <c r="G91" s="14">
        <v>11.73</v>
      </c>
      <c r="H91" s="14">
        <v>0.05</v>
      </c>
      <c r="I91" s="14" t="s">
        <v>6011</v>
      </c>
      <c r="J91" s="14">
        <v>100.0</v>
      </c>
      <c r="K91" s="14">
        <v>24.68</v>
      </c>
      <c r="L91" s="14">
        <v>0.0</v>
      </c>
    </row>
    <row r="92">
      <c r="A92" s="14">
        <v>4872.0</v>
      </c>
      <c r="B92" s="14">
        <v>2.0</v>
      </c>
      <c r="C92" s="34">
        <v>62.12</v>
      </c>
      <c r="D92" s="35">
        <v>44624.0</v>
      </c>
      <c r="E92" s="24"/>
      <c r="F92" s="14">
        <v>31.06</v>
      </c>
      <c r="G92" s="14">
        <v>12.75</v>
      </c>
      <c r="H92" s="14">
        <v>0.04</v>
      </c>
      <c r="I92" s="14" t="s">
        <v>6016</v>
      </c>
      <c r="J92" s="14">
        <v>100.0</v>
      </c>
      <c r="K92" s="14">
        <v>31.06</v>
      </c>
      <c r="L92" s="14">
        <v>0.0</v>
      </c>
    </row>
    <row r="93">
      <c r="A93" s="14">
        <v>4495.0</v>
      </c>
      <c r="B93" s="14">
        <v>2.0</v>
      </c>
      <c r="C93" s="34">
        <v>62.03</v>
      </c>
      <c r="D93" s="35">
        <v>44624.0</v>
      </c>
      <c r="E93" s="24"/>
      <c r="F93" s="14">
        <v>31.02</v>
      </c>
      <c r="G93" s="14">
        <v>13.8</v>
      </c>
      <c r="H93" s="14">
        <v>0.04</v>
      </c>
      <c r="I93" s="14" t="s">
        <v>6017</v>
      </c>
      <c r="J93" s="14">
        <v>150.0</v>
      </c>
      <c r="K93" s="14">
        <v>20.68</v>
      </c>
      <c r="L93" s="14">
        <v>0.0</v>
      </c>
    </row>
    <row r="94">
      <c r="A94" s="14">
        <v>2631.0</v>
      </c>
      <c r="B94" s="14">
        <v>4.0</v>
      </c>
      <c r="C94" s="34">
        <v>36.31</v>
      </c>
      <c r="D94" s="35">
        <v>44625.0</v>
      </c>
      <c r="E94" s="24"/>
      <c r="F94" s="14">
        <v>9.08</v>
      </c>
      <c r="G94" s="14">
        <v>13.8</v>
      </c>
      <c r="H94" s="14">
        <v>0.15</v>
      </c>
      <c r="I94" s="14" t="s">
        <v>6017</v>
      </c>
      <c r="J94" s="14">
        <v>25.0</v>
      </c>
      <c r="K94" s="14">
        <v>36.31</v>
      </c>
      <c r="L94" s="14">
        <v>0.0</v>
      </c>
    </row>
    <row r="95">
      <c r="A95" s="14">
        <v>2849.0</v>
      </c>
      <c r="B95" s="14">
        <v>4.0</v>
      </c>
      <c r="C95" s="34">
        <v>36.32</v>
      </c>
      <c r="D95" s="35">
        <v>44625.0</v>
      </c>
      <c r="E95" s="24"/>
      <c r="F95" s="14">
        <v>9.08</v>
      </c>
      <c r="G95" s="14">
        <v>12.75</v>
      </c>
      <c r="H95" s="14">
        <v>0.14</v>
      </c>
      <c r="I95" s="14" t="s">
        <v>6016</v>
      </c>
      <c r="J95" s="14">
        <v>75.0</v>
      </c>
      <c r="K95" s="14">
        <v>12.11</v>
      </c>
      <c r="L95" s="14">
        <v>0.0</v>
      </c>
    </row>
    <row r="96">
      <c r="A96" s="14">
        <v>1167.0</v>
      </c>
      <c r="B96" s="14">
        <v>0.0</v>
      </c>
      <c r="C96" s="34">
        <v>14.38</v>
      </c>
      <c r="D96" s="35">
        <v>44625.0</v>
      </c>
      <c r="E96" s="24"/>
      <c r="F96" s="14" t="s">
        <v>6012</v>
      </c>
      <c r="G96" s="14">
        <v>12.32</v>
      </c>
      <c r="H96" s="14">
        <v>0.0</v>
      </c>
      <c r="I96" s="14" t="s">
        <v>6011</v>
      </c>
      <c r="J96" s="14" t="s">
        <v>6012</v>
      </c>
      <c r="K96" s="14" t="s">
        <v>6012</v>
      </c>
      <c r="L96" s="14">
        <v>0.0</v>
      </c>
    </row>
    <row r="97">
      <c r="A97" s="14">
        <v>1415.0</v>
      </c>
      <c r="B97" s="14">
        <v>3.0</v>
      </c>
      <c r="C97" s="34">
        <v>20.67</v>
      </c>
      <c r="D97" s="35">
        <v>44625.0</v>
      </c>
      <c r="E97" s="24"/>
      <c r="F97" s="14">
        <v>6.89</v>
      </c>
      <c r="G97" s="14">
        <v>14.61</v>
      </c>
      <c r="H97" s="14">
        <v>0.21</v>
      </c>
      <c r="I97" s="14" t="s">
        <v>6015</v>
      </c>
      <c r="J97" s="14">
        <v>33.33</v>
      </c>
      <c r="K97" s="14">
        <v>20.67</v>
      </c>
      <c r="L97" s="14">
        <v>0.0</v>
      </c>
    </row>
    <row r="98">
      <c r="A98" s="14">
        <v>2232.0</v>
      </c>
      <c r="B98" s="14">
        <v>3.0</v>
      </c>
      <c r="C98" s="34">
        <v>30.79</v>
      </c>
      <c r="D98" s="35">
        <v>44626.0</v>
      </c>
      <c r="E98" s="24"/>
      <c r="F98" s="14">
        <v>10.26</v>
      </c>
      <c r="G98" s="14">
        <v>13.79</v>
      </c>
      <c r="H98" s="14">
        <v>0.13</v>
      </c>
      <c r="I98" s="14" t="s">
        <v>6017</v>
      </c>
      <c r="J98" s="14">
        <v>33.33</v>
      </c>
      <c r="K98" s="14">
        <v>30.79</v>
      </c>
      <c r="L98" s="14">
        <v>0.0</v>
      </c>
    </row>
    <row r="99">
      <c r="A99" s="14">
        <v>2416.0</v>
      </c>
      <c r="B99" s="14">
        <v>1.0</v>
      </c>
      <c r="C99" s="34">
        <v>30.8</v>
      </c>
      <c r="D99" s="35">
        <v>44626.0</v>
      </c>
      <c r="E99" s="24"/>
      <c r="F99" s="14">
        <v>30.8</v>
      </c>
      <c r="G99" s="14">
        <v>12.75</v>
      </c>
      <c r="H99" s="14">
        <v>0.04</v>
      </c>
      <c r="I99" s="14" t="s">
        <v>6016</v>
      </c>
      <c r="J99" s="14">
        <v>0.0</v>
      </c>
      <c r="K99" s="14" t="s">
        <v>6012</v>
      </c>
      <c r="L99" s="14">
        <v>0.0</v>
      </c>
    </row>
    <row r="100">
      <c r="A100" s="14">
        <v>1113.0</v>
      </c>
      <c r="B100" s="14">
        <v>1.0</v>
      </c>
      <c r="C100" s="34">
        <v>16.25</v>
      </c>
      <c r="D100" s="35">
        <v>44626.0</v>
      </c>
      <c r="E100" s="24"/>
      <c r="F100" s="14">
        <v>16.25</v>
      </c>
      <c r="G100" s="14">
        <v>14.6</v>
      </c>
      <c r="H100" s="14">
        <v>0.09</v>
      </c>
      <c r="I100" s="14" t="s">
        <v>6015</v>
      </c>
      <c r="J100" s="14">
        <v>100.0</v>
      </c>
      <c r="K100" s="14">
        <v>16.25</v>
      </c>
      <c r="L100" s="14">
        <v>0.0</v>
      </c>
    </row>
    <row r="101">
      <c r="A101" s="14">
        <v>970.0</v>
      </c>
      <c r="B101" s="14">
        <v>0.0</v>
      </c>
      <c r="C101" s="34">
        <v>12.23</v>
      </c>
      <c r="D101" s="35">
        <v>44626.0</v>
      </c>
      <c r="E101" s="24"/>
      <c r="F101" s="14" t="s">
        <v>6012</v>
      </c>
      <c r="G101" s="14">
        <v>12.61</v>
      </c>
      <c r="H101" s="14">
        <v>0.0</v>
      </c>
      <c r="I101" s="14" t="s">
        <v>6011</v>
      </c>
      <c r="J101" s="14" t="s">
        <v>6012</v>
      </c>
      <c r="K101" s="14" t="s">
        <v>6012</v>
      </c>
      <c r="L101" s="14">
        <v>0.0</v>
      </c>
    </row>
    <row r="102">
      <c r="A102" s="14">
        <v>1594.0</v>
      </c>
      <c r="B102" s="14">
        <v>1.0</v>
      </c>
      <c r="C102" s="34">
        <v>18.83</v>
      </c>
      <c r="D102" s="35">
        <v>44627.0</v>
      </c>
      <c r="E102" s="24"/>
      <c r="F102" s="14">
        <v>18.83</v>
      </c>
      <c r="G102" s="14">
        <v>11.81</v>
      </c>
      <c r="H102" s="14">
        <v>0.06</v>
      </c>
      <c r="I102" s="14" t="s">
        <v>6011</v>
      </c>
      <c r="J102" s="14">
        <v>100.0</v>
      </c>
      <c r="K102" s="14">
        <v>18.83</v>
      </c>
      <c r="L102" s="14">
        <v>0.0</v>
      </c>
    </row>
    <row r="103">
      <c r="A103" s="14">
        <v>3416.0</v>
      </c>
      <c r="B103" s="14">
        <v>3.0</v>
      </c>
      <c r="C103" s="34">
        <v>47.14</v>
      </c>
      <c r="D103" s="35">
        <v>44627.0</v>
      </c>
      <c r="E103" s="24"/>
      <c r="F103" s="14">
        <v>15.71</v>
      </c>
      <c r="G103" s="14">
        <v>13.8</v>
      </c>
      <c r="H103" s="14">
        <v>0.09</v>
      </c>
      <c r="I103" s="14" t="s">
        <v>6017</v>
      </c>
      <c r="J103" s="14">
        <v>200.0</v>
      </c>
      <c r="K103" s="14">
        <v>7.86</v>
      </c>
      <c r="L103" s="14">
        <v>0.0</v>
      </c>
    </row>
    <row r="104">
      <c r="A104" s="14">
        <v>3681.0</v>
      </c>
      <c r="B104" s="14">
        <v>0.0</v>
      </c>
      <c r="C104" s="34">
        <v>46.93</v>
      </c>
      <c r="D104" s="35">
        <v>44627.0</v>
      </c>
      <c r="E104" s="24"/>
      <c r="F104" s="14" t="s">
        <v>6012</v>
      </c>
      <c r="G104" s="14">
        <v>12.75</v>
      </c>
      <c r="H104" s="14">
        <v>0.0</v>
      </c>
      <c r="I104" s="14" t="s">
        <v>6016</v>
      </c>
      <c r="J104" s="14" t="s">
        <v>6012</v>
      </c>
      <c r="K104" s="14">
        <v>46.93</v>
      </c>
      <c r="L104" s="14">
        <v>0.0</v>
      </c>
    </row>
    <row r="105">
      <c r="A105" s="14">
        <v>3213.0</v>
      </c>
      <c r="B105" s="14">
        <v>0.0</v>
      </c>
      <c r="C105" s="34">
        <v>46.91</v>
      </c>
      <c r="D105" s="35">
        <v>44627.0</v>
      </c>
      <c r="E105" s="24"/>
      <c r="F105" s="14" t="s">
        <v>6012</v>
      </c>
      <c r="G105" s="14">
        <v>14.6</v>
      </c>
      <c r="H105" s="14">
        <v>0.0</v>
      </c>
      <c r="I105" s="14" t="s">
        <v>6015</v>
      </c>
      <c r="J105" s="14" t="s">
        <v>6012</v>
      </c>
      <c r="K105" s="14" t="s">
        <v>6012</v>
      </c>
      <c r="L105" s="14">
        <v>0.0</v>
      </c>
    </row>
    <row r="106">
      <c r="A106" s="14">
        <v>4260.0</v>
      </c>
      <c r="B106" s="14">
        <v>3.0</v>
      </c>
      <c r="C106" s="34">
        <v>54.31</v>
      </c>
      <c r="D106" s="35">
        <v>44628.0</v>
      </c>
      <c r="E106" s="24"/>
      <c r="F106" s="14">
        <v>18.1</v>
      </c>
      <c r="G106" s="14">
        <v>12.75</v>
      </c>
      <c r="H106" s="14">
        <v>0.07</v>
      </c>
      <c r="I106" s="14" t="s">
        <v>6016</v>
      </c>
      <c r="J106" s="14">
        <v>66.67</v>
      </c>
      <c r="K106" s="14">
        <v>27.16</v>
      </c>
      <c r="L106" s="14">
        <v>0.0</v>
      </c>
    </row>
    <row r="107">
      <c r="A107" s="14">
        <v>1846.0</v>
      </c>
      <c r="B107" s="14">
        <v>1.0</v>
      </c>
      <c r="C107" s="34">
        <v>21.73</v>
      </c>
      <c r="D107" s="35">
        <v>44628.0</v>
      </c>
      <c r="E107" s="24"/>
      <c r="F107" s="14">
        <v>21.73</v>
      </c>
      <c r="G107" s="14">
        <v>11.77</v>
      </c>
      <c r="H107" s="14">
        <v>0.05</v>
      </c>
      <c r="I107" s="14" t="s">
        <v>6011</v>
      </c>
      <c r="J107" s="14">
        <v>100.0</v>
      </c>
      <c r="K107" s="14">
        <v>21.73</v>
      </c>
      <c r="L107" s="14">
        <v>0.0</v>
      </c>
    </row>
    <row r="108">
      <c r="A108" s="14">
        <v>3931.0</v>
      </c>
      <c r="B108" s="14">
        <v>4.0</v>
      </c>
      <c r="C108" s="34">
        <v>54.25</v>
      </c>
      <c r="D108" s="35">
        <v>44628.0</v>
      </c>
      <c r="E108" s="24"/>
      <c r="F108" s="14">
        <v>13.56</v>
      </c>
      <c r="G108" s="14">
        <v>13.8</v>
      </c>
      <c r="H108" s="14">
        <v>0.1</v>
      </c>
      <c r="I108" s="14" t="s">
        <v>6017</v>
      </c>
      <c r="J108" s="14">
        <v>50.0</v>
      </c>
      <c r="K108" s="14">
        <v>27.12</v>
      </c>
      <c r="L108" s="14">
        <v>0.0</v>
      </c>
    </row>
    <row r="109">
      <c r="A109" s="14">
        <v>3724.0</v>
      </c>
      <c r="B109" s="14">
        <v>3.0</v>
      </c>
      <c r="C109" s="34">
        <v>54.37</v>
      </c>
      <c r="D109" s="35">
        <v>44628.0</v>
      </c>
      <c r="E109" s="24"/>
      <c r="F109" s="14">
        <v>18.12</v>
      </c>
      <c r="G109" s="14">
        <v>14.6</v>
      </c>
      <c r="H109" s="14">
        <v>0.08</v>
      </c>
      <c r="I109" s="14" t="s">
        <v>6015</v>
      </c>
      <c r="J109" s="14">
        <v>66.67</v>
      </c>
      <c r="K109" s="14">
        <v>27.18</v>
      </c>
      <c r="L109" s="14">
        <v>0.0</v>
      </c>
    </row>
    <row r="110">
      <c r="A110" s="14">
        <v>1934.0</v>
      </c>
      <c r="B110" s="14">
        <v>0.0</v>
      </c>
      <c r="C110" s="34">
        <v>22.72</v>
      </c>
      <c r="D110" s="35">
        <v>44629.0</v>
      </c>
      <c r="E110" s="24"/>
      <c r="F110" s="14" t="s">
        <v>6012</v>
      </c>
      <c r="G110" s="14">
        <v>11.75</v>
      </c>
      <c r="H110" s="14">
        <v>0.0</v>
      </c>
      <c r="I110" s="14" t="s">
        <v>6011</v>
      </c>
      <c r="J110" s="14" t="s">
        <v>6012</v>
      </c>
      <c r="K110" s="14" t="s">
        <v>6012</v>
      </c>
      <c r="L110" s="14">
        <v>0.0</v>
      </c>
    </row>
    <row r="111">
      <c r="A111" s="14">
        <v>3893.0</v>
      </c>
      <c r="B111" s="14">
        <v>1.0</v>
      </c>
      <c r="C111" s="34">
        <v>56.84</v>
      </c>
      <c r="D111" s="35">
        <v>44629.0</v>
      </c>
      <c r="E111" s="24"/>
      <c r="F111" s="14">
        <v>56.84</v>
      </c>
      <c r="G111" s="14">
        <v>14.6</v>
      </c>
      <c r="H111" s="14">
        <v>0.03</v>
      </c>
      <c r="I111" s="14" t="s">
        <v>6015</v>
      </c>
      <c r="J111" s="14">
        <v>200.0</v>
      </c>
      <c r="K111" s="14">
        <v>28.42</v>
      </c>
      <c r="L111" s="14">
        <v>0.0</v>
      </c>
    </row>
    <row r="112">
      <c r="A112" s="14">
        <v>4123.0</v>
      </c>
      <c r="B112" s="14">
        <v>4.0</v>
      </c>
      <c r="C112" s="34">
        <v>56.9</v>
      </c>
      <c r="D112" s="35">
        <v>44629.0</v>
      </c>
      <c r="E112" s="24"/>
      <c r="F112" s="14">
        <v>14.22</v>
      </c>
      <c r="G112" s="14">
        <v>13.8</v>
      </c>
      <c r="H112" s="14">
        <v>0.1</v>
      </c>
      <c r="I112" s="14" t="s">
        <v>6017</v>
      </c>
      <c r="J112" s="14">
        <v>100.0</v>
      </c>
      <c r="K112" s="14">
        <v>14.22</v>
      </c>
      <c r="L112" s="14">
        <v>0.0</v>
      </c>
    </row>
    <row r="113">
      <c r="A113" s="14">
        <v>4459.0</v>
      </c>
      <c r="B113" s="14">
        <v>5.0</v>
      </c>
      <c r="C113" s="34">
        <v>56.85</v>
      </c>
      <c r="D113" s="35">
        <v>44629.0</v>
      </c>
      <c r="E113" s="24"/>
      <c r="F113" s="14">
        <v>11.37</v>
      </c>
      <c r="G113" s="14">
        <v>12.75</v>
      </c>
      <c r="H113" s="14">
        <v>0.11</v>
      </c>
      <c r="I113" s="14" t="s">
        <v>6016</v>
      </c>
      <c r="J113" s="14">
        <v>100.0</v>
      </c>
      <c r="K113" s="14">
        <v>11.37</v>
      </c>
      <c r="L113" s="14">
        <v>0.0</v>
      </c>
    </row>
    <row r="114">
      <c r="A114" s="14">
        <v>4720.0</v>
      </c>
      <c r="B114" s="14">
        <v>1.0</v>
      </c>
      <c r="C114" s="34">
        <v>60.18</v>
      </c>
      <c r="D114" s="35">
        <v>44630.0</v>
      </c>
      <c r="E114" s="24"/>
      <c r="F114" s="14">
        <v>60.18</v>
      </c>
      <c r="G114" s="14">
        <v>12.75</v>
      </c>
      <c r="H114" s="14">
        <v>0.02</v>
      </c>
      <c r="I114" s="14" t="s">
        <v>6016</v>
      </c>
      <c r="J114" s="14">
        <v>100.0</v>
      </c>
      <c r="K114" s="14">
        <v>60.18</v>
      </c>
      <c r="L114" s="14">
        <v>0.0</v>
      </c>
    </row>
    <row r="115">
      <c r="A115" s="14">
        <v>4360.0</v>
      </c>
      <c r="B115" s="14">
        <v>0.0</v>
      </c>
      <c r="C115" s="34">
        <v>60.17</v>
      </c>
      <c r="D115" s="35">
        <v>44630.0</v>
      </c>
      <c r="E115" s="24"/>
      <c r="F115" s="14" t="s">
        <v>6012</v>
      </c>
      <c r="G115" s="14">
        <v>13.8</v>
      </c>
      <c r="H115" s="14">
        <v>0.0</v>
      </c>
      <c r="I115" s="14" t="s">
        <v>6017</v>
      </c>
      <c r="J115" s="14" t="s">
        <v>6012</v>
      </c>
      <c r="K115" s="14" t="s">
        <v>6012</v>
      </c>
      <c r="L115" s="14">
        <v>0.0</v>
      </c>
    </row>
    <row r="116">
      <c r="A116" s="14">
        <v>2122.0</v>
      </c>
      <c r="B116" s="14">
        <v>0.0</v>
      </c>
      <c r="C116" s="34">
        <v>25.07</v>
      </c>
      <c r="D116" s="35">
        <v>44630.0</v>
      </c>
      <c r="E116" s="24"/>
      <c r="F116" s="14" t="s">
        <v>6012</v>
      </c>
      <c r="G116" s="14">
        <v>11.81</v>
      </c>
      <c r="H116" s="14">
        <v>0.0</v>
      </c>
      <c r="I116" s="14" t="s">
        <v>6011</v>
      </c>
      <c r="J116" s="14" t="s">
        <v>6012</v>
      </c>
      <c r="K116" s="14" t="s">
        <v>6012</v>
      </c>
      <c r="L116" s="14">
        <v>0.0</v>
      </c>
    </row>
    <row r="117">
      <c r="A117" s="14">
        <v>4115.0</v>
      </c>
      <c r="B117" s="14">
        <v>0.0</v>
      </c>
      <c r="C117" s="34">
        <v>60.08</v>
      </c>
      <c r="D117" s="35">
        <v>44630.0</v>
      </c>
      <c r="E117" s="24"/>
      <c r="F117" s="14" t="s">
        <v>6012</v>
      </c>
      <c r="G117" s="14">
        <v>14.6</v>
      </c>
      <c r="H117" s="14">
        <v>0.0</v>
      </c>
      <c r="I117" s="14" t="s">
        <v>6015</v>
      </c>
      <c r="J117" s="14" t="s">
        <v>6012</v>
      </c>
      <c r="K117" s="14">
        <v>60.08</v>
      </c>
      <c r="L117" s="14">
        <v>0.0</v>
      </c>
    </row>
    <row r="118">
      <c r="A118" s="14">
        <v>4620.0</v>
      </c>
      <c r="B118" s="14">
        <v>3.0</v>
      </c>
      <c r="C118" s="34">
        <v>63.76</v>
      </c>
      <c r="D118" s="35">
        <v>44631.0</v>
      </c>
      <c r="E118" s="24"/>
      <c r="F118" s="14">
        <v>21.25</v>
      </c>
      <c r="G118" s="14">
        <v>13.8</v>
      </c>
      <c r="H118" s="14">
        <v>0.06</v>
      </c>
      <c r="I118" s="14" t="s">
        <v>6017</v>
      </c>
      <c r="J118" s="14">
        <v>66.67</v>
      </c>
      <c r="K118" s="14">
        <v>31.88</v>
      </c>
      <c r="L118" s="14">
        <v>0.0</v>
      </c>
    </row>
    <row r="119">
      <c r="A119" s="14">
        <v>455.0</v>
      </c>
      <c r="B119" s="14">
        <v>0.0</v>
      </c>
      <c r="C119" s="34">
        <v>1.46</v>
      </c>
      <c r="D119" s="35">
        <v>44631.0</v>
      </c>
      <c r="E119" s="24"/>
      <c r="F119" s="14" t="s">
        <v>6012</v>
      </c>
      <c r="G119" s="14">
        <v>3.21</v>
      </c>
      <c r="H119" s="14">
        <v>0.0</v>
      </c>
      <c r="I119" s="14" t="s">
        <v>6019</v>
      </c>
      <c r="J119" s="14" t="s">
        <v>6012</v>
      </c>
      <c r="K119" s="14" t="s">
        <v>6012</v>
      </c>
      <c r="L119" s="14">
        <v>0.0</v>
      </c>
    </row>
    <row r="120">
      <c r="A120" s="14">
        <v>4997.0</v>
      </c>
      <c r="B120" s="14">
        <v>3.0</v>
      </c>
      <c r="C120" s="34">
        <v>63.71</v>
      </c>
      <c r="D120" s="35">
        <v>44631.0</v>
      </c>
      <c r="E120" s="24"/>
      <c r="F120" s="14">
        <v>21.24</v>
      </c>
      <c r="G120" s="14">
        <v>12.75</v>
      </c>
      <c r="H120" s="14">
        <v>0.06</v>
      </c>
      <c r="I120" s="14" t="s">
        <v>6016</v>
      </c>
      <c r="J120" s="14">
        <v>100.0</v>
      </c>
      <c r="K120" s="14">
        <v>21.24</v>
      </c>
      <c r="L120" s="14">
        <v>0.0</v>
      </c>
    </row>
    <row r="121">
      <c r="A121" s="14">
        <v>6945.0</v>
      </c>
      <c r="B121" s="14">
        <v>7.0</v>
      </c>
      <c r="C121" s="34">
        <v>21.18</v>
      </c>
      <c r="D121" s="35">
        <v>44631.0</v>
      </c>
      <c r="E121" s="24"/>
      <c r="F121" s="14">
        <v>3.03</v>
      </c>
      <c r="G121" s="14">
        <v>3.05</v>
      </c>
      <c r="H121" s="14">
        <v>0.1</v>
      </c>
      <c r="I121" s="14" t="s">
        <v>6020</v>
      </c>
      <c r="J121" s="14">
        <v>85.71</v>
      </c>
      <c r="K121" s="14">
        <v>3.53</v>
      </c>
      <c r="L121" s="14">
        <v>0.0</v>
      </c>
    </row>
    <row r="122">
      <c r="A122" s="14">
        <v>3673.0</v>
      </c>
      <c r="B122" s="14">
        <v>2.0</v>
      </c>
      <c r="C122" s="34">
        <v>53.63</v>
      </c>
      <c r="D122" s="35">
        <v>44631.0</v>
      </c>
      <c r="E122" s="24"/>
      <c r="F122" s="14">
        <v>26.82</v>
      </c>
      <c r="G122" s="14">
        <v>14.6</v>
      </c>
      <c r="H122" s="14">
        <v>0.05</v>
      </c>
      <c r="I122" s="14" t="s">
        <v>6015</v>
      </c>
      <c r="J122" s="14">
        <v>0.0</v>
      </c>
      <c r="K122" s="14" t="s">
        <v>6012</v>
      </c>
      <c r="L122" s="14">
        <v>0.0</v>
      </c>
    </row>
    <row r="123">
      <c r="A123" s="14">
        <v>7601.0</v>
      </c>
      <c r="B123" s="14">
        <v>15.0</v>
      </c>
      <c r="C123" s="34">
        <v>21.28</v>
      </c>
      <c r="D123" s="35">
        <v>44631.0</v>
      </c>
      <c r="E123" s="24"/>
      <c r="F123" s="14">
        <v>1.42</v>
      </c>
      <c r="G123" s="14">
        <v>2.8</v>
      </c>
      <c r="H123" s="14">
        <v>0.2</v>
      </c>
      <c r="I123" s="14" t="s">
        <v>6021</v>
      </c>
      <c r="J123" s="14">
        <v>40.0</v>
      </c>
      <c r="K123" s="14">
        <v>3.55</v>
      </c>
      <c r="L123" s="14">
        <v>0.0</v>
      </c>
    </row>
    <row r="124">
      <c r="A124" s="14">
        <v>2139.0</v>
      </c>
      <c r="B124" s="14">
        <v>1.0</v>
      </c>
      <c r="C124" s="34">
        <v>25.02</v>
      </c>
      <c r="D124" s="35">
        <v>44631.0</v>
      </c>
      <c r="E124" s="24"/>
      <c r="F124" s="14">
        <v>25.02</v>
      </c>
      <c r="G124" s="14">
        <v>11.7</v>
      </c>
      <c r="H124" s="14">
        <v>0.05</v>
      </c>
      <c r="I124" s="14" t="s">
        <v>6011</v>
      </c>
      <c r="J124" s="14">
        <v>200.0</v>
      </c>
      <c r="K124" s="14">
        <v>12.51</v>
      </c>
      <c r="L124" s="14">
        <v>0.0</v>
      </c>
    </row>
    <row r="125">
      <c r="A125" s="14">
        <v>4315.0</v>
      </c>
      <c r="B125" s="14">
        <v>3.0</v>
      </c>
      <c r="C125" s="34">
        <v>13.16</v>
      </c>
      <c r="D125" s="35">
        <v>44632.0</v>
      </c>
      <c r="E125" s="24"/>
      <c r="F125" s="14">
        <v>4.39</v>
      </c>
      <c r="G125" s="14">
        <v>3.05</v>
      </c>
      <c r="H125" s="14">
        <v>0.07</v>
      </c>
      <c r="I125" s="14" t="s">
        <v>6020</v>
      </c>
      <c r="J125" s="14">
        <v>66.67</v>
      </c>
      <c r="K125" s="14">
        <v>6.58</v>
      </c>
      <c r="L125" s="14">
        <v>0.0</v>
      </c>
    </row>
    <row r="126">
      <c r="A126" s="14">
        <v>133.0</v>
      </c>
      <c r="B126" s="14">
        <v>0.0</v>
      </c>
      <c r="C126" s="34">
        <v>0.43</v>
      </c>
      <c r="D126" s="35">
        <v>44632.0</v>
      </c>
      <c r="E126" s="24"/>
      <c r="F126" s="14" t="s">
        <v>6012</v>
      </c>
      <c r="G126" s="14">
        <v>3.23</v>
      </c>
      <c r="H126" s="14">
        <v>0.0</v>
      </c>
      <c r="I126" s="14" t="s">
        <v>6019</v>
      </c>
      <c r="J126" s="14" t="s">
        <v>6012</v>
      </c>
      <c r="K126" s="14" t="s">
        <v>6012</v>
      </c>
      <c r="L126" s="14">
        <v>0.0</v>
      </c>
    </row>
    <row r="127">
      <c r="A127" s="14">
        <v>2931.0</v>
      </c>
      <c r="B127" s="14">
        <v>3.0</v>
      </c>
      <c r="C127" s="34">
        <v>37.37</v>
      </c>
      <c r="D127" s="35">
        <v>44632.0</v>
      </c>
      <c r="E127" s="24"/>
      <c r="F127" s="14">
        <v>12.46</v>
      </c>
      <c r="G127" s="14">
        <v>12.75</v>
      </c>
      <c r="H127" s="14">
        <v>0.1</v>
      </c>
      <c r="I127" s="14" t="s">
        <v>6016</v>
      </c>
      <c r="J127" s="14">
        <v>66.67</v>
      </c>
      <c r="K127" s="14">
        <v>18.68</v>
      </c>
      <c r="L127" s="14">
        <v>0.0</v>
      </c>
    </row>
    <row r="128">
      <c r="A128" s="14">
        <v>2697.0</v>
      </c>
      <c r="B128" s="14">
        <v>2.0</v>
      </c>
      <c r="C128" s="34">
        <v>37.22</v>
      </c>
      <c r="D128" s="35">
        <v>44632.0</v>
      </c>
      <c r="E128" s="24"/>
      <c r="F128" s="14">
        <v>18.61</v>
      </c>
      <c r="G128" s="14">
        <v>13.8</v>
      </c>
      <c r="H128" s="14">
        <v>0.07</v>
      </c>
      <c r="I128" s="14" t="s">
        <v>6017</v>
      </c>
      <c r="J128" s="14">
        <v>100.0</v>
      </c>
      <c r="K128" s="14">
        <v>18.61</v>
      </c>
      <c r="L128" s="14">
        <v>0.0</v>
      </c>
    </row>
    <row r="129">
      <c r="A129" s="14">
        <v>1177.0</v>
      </c>
      <c r="B129" s="14">
        <v>1.0</v>
      </c>
      <c r="C129" s="34">
        <v>14.63</v>
      </c>
      <c r="D129" s="35">
        <v>44632.0</v>
      </c>
      <c r="E129" s="24"/>
      <c r="F129" s="14">
        <v>14.63</v>
      </c>
      <c r="G129" s="14">
        <v>12.43</v>
      </c>
      <c r="H129" s="14">
        <v>0.08</v>
      </c>
      <c r="I129" s="14" t="s">
        <v>6011</v>
      </c>
      <c r="J129" s="14">
        <v>0.0</v>
      </c>
      <c r="K129" s="14" t="s">
        <v>6012</v>
      </c>
      <c r="L129" s="14">
        <v>0.0</v>
      </c>
    </row>
    <row r="130">
      <c r="A130" s="14">
        <v>4580.0</v>
      </c>
      <c r="B130" s="14">
        <v>8.0</v>
      </c>
      <c r="C130" s="34">
        <v>12.82</v>
      </c>
      <c r="D130" s="35">
        <v>44632.0</v>
      </c>
      <c r="E130" s="24"/>
      <c r="F130" s="14">
        <v>1.6</v>
      </c>
      <c r="G130" s="14">
        <v>2.8</v>
      </c>
      <c r="H130" s="14">
        <v>0.17</v>
      </c>
      <c r="I130" s="14" t="s">
        <v>6021</v>
      </c>
      <c r="J130" s="14">
        <v>37.5</v>
      </c>
      <c r="K130" s="14">
        <v>4.27</v>
      </c>
      <c r="L130" s="14">
        <v>0.0</v>
      </c>
    </row>
    <row r="131">
      <c r="A131" s="14">
        <v>1699.0</v>
      </c>
      <c r="B131" s="14">
        <v>3.0</v>
      </c>
      <c r="C131" s="34">
        <v>24.8</v>
      </c>
      <c r="D131" s="35">
        <v>44632.0</v>
      </c>
      <c r="E131" s="24"/>
      <c r="F131" s="14">
        <v>8.27</v>
      </c>
      <c r="G131" s="14">
        <v>14.6</v>
      </c>
      <c r="H131" s="14">
        <v>0.18</v>
      </c>
      <c r="I131" s="14" t="s">
        <v>6015</v>
      </c>
      <c r="J131" s="14">
        <v>66.67</v>
      </c>
      <c r="K131" s="14">
        <v>12.4</v>
      </c>
      <c r="L131" s="14">
        <v>0.0</v>
      </c>
    </row>
    <row r="132">
      <c r="A132" s="14">
        <v>3002.0</v>
      </c>
      <c r="B132" s="14">
        <v>4.0</v>
      </c>
      <c r="C132" s="34">
        <v>9.16</v>
      </c>
      <c r="D132" s="35">
        <v>44633.0</v>
      </c>
      <c r="E132" s="24"/>
      <c r="F132" s="14">
        <v>2.29</v>
      </c>
      <c r="G132" s="14">
        <v>3.05</v>
      </c>
      <c r="H132" s="14">
        <v>0.13</v>
      </c>
      <c r="I132" s="14" t="s">
        <v>6020</v>
      </c>
      <c r="J132" s="14">
        <v>75.0</v>
      </c>
      <c r="K132" s="14">
        <v>3.05</v>
      </c>
      <c r="L132" s="14">
        <v>0.0</v>
      </c>
    </row>
    <row r="133">
      <c r="A133" s="14">
        <v>950.0</v>
      </c>
      <c r="B133" s="14">
        <v>0.0</v>
      </c>
      <c r="C133" s="34">
        <v>12.0</v>
      </c>
      <c r="D133" s="35">
        <v>44633.0</v>
      </c>
      <c r="E133" s="24"/>
      <c r="F133" s="14" t="s">
        <v>6012</v>
      </c>
      <c r="G133" s="14">
        <v>12.63</v>
      </c>
      <c r="H133" s="14">
        <v>0.0</v>
      </c>
      <c r="I133" s="14" t="s">
        <v>6011</v>
      </c>
      <c r="J133" s="14" t="s">
        <v>6012</v>
      </c>
      <c r="K133" s="14" t="s">
        <v>6012</v>
      </c>
      <c r="L133" s="14">
        <v>0.0</v>
      </c>
    </row>
    <row r="134">
      <c r="A134" s="14">
        <v>2218.0</v>
      </c>
      <c r="B134" s="14">
        <v>5.0</v>
      </c>
      <c r="C134" s="34">
        <v>30.56</v>
      </c>
      <c r="D134" s="35">
        <v>44633.0</v>
      </c>
      <c r="E134" s="24"/>
      <c r="F134" s="14">
        <v>6.11</v>
      </c>
      <c r="G134" s="14">
        <v>13.78</v>
      </c>
      <c r="H134" s="14">
        <v>0.23</v>
      </c>
      <c r="I134" s="14" t="s">
        <v>6017</v>
      </c>
      <c r="J134" s="14">
        <v>60.0</v>
      </c>
      <c r="K134" s="14">
        <v>10.19</v>
      </c>
      <c r="L134" s="14">
        <v>0.0</v>
      </c>
    </row>
    <row r="135">
      <c r="A135" s="14">
        <v>1058.0</v>
      </c>
      <c r="B135" s="14">
        <v>0.0</v>
      </c>
      <c r="C135" s="34">
        <v>15.45</v>
      </c>
      <c r="D135" s="35">
        <v>44633.0</v>
      </c>
      <c r="E135" s="24"/>
      <c r="F135" s="14" t="s">
        <v>6012</v>
      </c>
      <c r="G135" s="14">
        <v>14.6</v>
      </c>
      <c r="H135" s="14">
        <v>0.0</v>
      </c>
      <c r="I135" s="14" t="s">
        <v>6015</v>
      </c>
      <c r="J135" s="14" t="s">
        <v>6012</v>
      </c>
      <c r="K135" s="14" t="s">
        <v>6012</v>
      </c>
      <c r="L135" s="14">
        <v>0.0</v>
      </c>
    </row>
    <row r="136">
      <c r="A136" s="14">
        <v>97.0</v>
      </c>
      <c r="B136" s="14">
        <v>0.0</v>
      </c>
      <c r="C136" s="34">
        <v>0.31</v>
      </c>
      <c r="D136" s="35">
        <v>44633.0</v>
      </c>
      <c r="E136" s="24"/>
      <c r="F136" s="14" t="s">
        <v>6012</v>
      </c>
      <c r="G136" s="14">
        <v>3.2</v>
      </c>
      <c r="H136" s="14">
        <v>0.0</v>
      </c>
      <c r="I136" s="14" t="s">
        <v>6019</v>
      </c>
      <c r="J136" s="14" t="s">
        <v>6012</v>
      </c>
      <c r="K136" s="14" t="s">
        <v>6012</v>
      </c>
      <c r="L136" s="14">
        <v>0.0</v>
      </c>
    </row>
    <row r="137">
      <c r="A137" s="14">
        <v>2404.0</v>
      </c>
      <c r="B137" s="14">
        <v>2.0</v>
      </c>
      <c r="C137" s="34">
        <v>30.65</v>
      </c>
      <c r="D137" s="35">
        <v>44633.0</v>
      </c>
      <c r="E137" s="24"/>
      <c r="F137" s="14">
        <v>15.32</v>
      </c>
      <c r="G137" s="14">
        <v>12.75</v>
      </c>
      <c r="H137" s="14">
        <v>0.08</v>
      </c>
      <c r="I137" s="14" t="s">
        <v>6016</v>
      </c>
      <c r="J137" s="14">
        <v>50.0</v>
      </c>
      <c r="K137" s="14">
        <v>30.65</v>
      </c>
      <c r="L137" s="14">
        <v>0.0</v>
      </c>
    </row>
    <row r="138">
      <c r="A138" s="14">
        <v>2139.0</v>
      </c>
      <c r="B138" s="14">
        <v>0.0</v>
      </c>
      <c r="C138" s="34">
        <v>5.99</v>
      </c>
      <c r="D138" s="35">
        <v>44633.0</v>
      </c>
      <c r="E138" s="24"/>
      <c r="F138" s="14" t="s">
        <v>6012</v>
      </c>
      <c r="G138" s="14">
        <v>2.8</v>
      </c>
      <c r="H138" s="14">
        <v>0.0</v>
      </c>
      <c r="I138" s="14" t="s">
        <v>6021</v>
      </c>
      <c r="J138" s="14" t="s">
        <v>6012</v>
      </c>
      <c r="K138" s="14" t="s">
        <v>6012</v>
      </c>
      <c r="L138" s="14">
        <v>0.0</v>
      </c>
    </row>
    <row r="139">
      <c r="A139" s="14">
        <v>930.0</v>
      </c>
      <c r="B139" s="14">
        <v>2.0</v>
      </c>
      <c r="C139" s="34">
        <v>2.98</v>
      </c>
      <c r="D139" s="35">
        <v>44634.0</v>
      </c>
      <c r="E139" s="24"/>
      <c r="F139" s="14">
        <v>1.49</v>
      </c>
      <c r="G139" s="14">
        <v>3.2</v>
      </c>
      <c r="H139" s="14">
        <v>0.22</v>
      </c>
      <c r="I139" s="14" t="s">
        <v>6019</v>
      </c>
      <c r="J139" s="14">
        <v>0.0</v>
      </c>
      <c r="K139" s="14" t="s">
        <v>6012</v>
      </c>
      <c r="L139" s="14">
        <v>0.0</v>
      </c>
    </row>
    <row r="140">
      <c r="A140" s="14">
        <v>1734.0</v>
      </c>
      <c r="B140" s="14">
        <v>0.0</v>
      </c>
      <c r="C140" s="34">
        <v>20.36</v>
      </c>
      <c r="D140" s="35">
        <v>44634.0</v>
      </c>
      <c r="E140" s="24"/>
      <c r="F140" s="14" t="s">
        <v>6012</v>
      </c>
      <c r="G140" s="14">
        <v>11.74</v>
      </c>
      <c r="H140" s="14">
        <v>0.0</v>
      </c>
      <c r="I140" s="14" t="s">
        <v>6011</v>
      </c>
      <c r="J140" s="14" t="s">
        <v>6012</v>
      </c>
      <c r="K140" s="14" t="s">
        <v>6012</v>
      </c>
      <c r="L140" s="14">
        <v>0.0</v>
      </c>
    </row>
    <row r="141">
      <c r="A141" s="14">
        <v>4651.0</v>
      </c>
      <c r="B141" s="14">
        <v>5.0</v>
      </c>
      <c r="C141" s="34">
        <v>14.19</v>
      </c>
      <c r="D141" s="35">
        <v>44634.0</v>
      </c>
      <c r="E141" s="24"/>
      <c r="F141" s="14">
        <v>2.84</v>
      </c>
      <c r="G141" s="14">
        <v>3.05</v>
      </c>
      <c r="H141" s="14">
        <v>0.11</v>
      </c>
      <c r="I141" s="14" t="s">
        <v>6020</v>
      </c>
      <c r="J141" s="14">
        <v>80.0</v>
      </c>
      <c r="K141" s="14">
        <v>3.55</v>
      </c>
      <c r="L141" s="14">
        <v>0.0</v>
      </c>
    </row>
    <row r="142">
      <c r="A142" s="14">
        <v>3992.0</v>
      </c>
      <c r="B142" s="14">
        <v>2.0</v>
      </c>
      <c r="C142" s="34">
        <v>50.9</v>
      </c>
      <c r="D142" s="35">
        <v>44634.0</v>
      </c>
      <c r="E142" s="24"/>
      <c r="F142" s="14">
        <v>25.45</v>
      </c>
      <c r="G142" s="14">
        <v>12.75</v>
      </c>
      <c r="H142" s="14">
        <v>0.05</v>
      </c>
      <c r="I142" s="14" t="s">
        <v>6016</v>
      </c>
      <c r="J142" s="14">
        <v>50.0</v>
      </c>
      <c r="K142" s="14">
        <v>50.9</v>
      </c>
      <c r="L142" s="14">
        <v>0.0</v>
      </c>
    </row>
    <row r="143">
      <c r="A143" s="14">
        <v>5068.0</v>
      </c>
      <c r="B143" s="14">
        <v>8.0</v>
      </c>
      <c r="C143" s="34">
        <v>14.19</v>
      </c>
      <c r="D143" s="35">
        <v>44634.0</v>
      </c>
      <c r="E143" s="24"/>
      <c r="F143" s="14">
        <v>1.77</v>
      </c>
      <c r="G143" s="14">
        <v>2.8</v>
      </c>
      <c r="H143" s="14">
        <v>0.16</v>
      </c>
      <c r="I143" s="14" t="s">
        <v>6021</v>
      </c>
      <c r="J143" s="14">
        <v>37.5</v>
      </c>
      <c r="K143" s="14">
        <v>4.73</v>
      </c>
      <c r="L143" s="14">
        <v>0.0</v>
      </c>
    </row>
    <row r="144">
      <c r="A144" s="14">
        <v>3691.0</v>
      </c>
      <c r="B144" s="14">
        <v>1.0</v>
      </c>
      <c r="C144" s="34">
        <v>50.94</v>
      </c>
      <c r="D144" s="35">
        <v>44634.0</v>
      </c>
      <c r="E144" s="24"/>
      <c r="F144" s="14">
        <v>50.94</v>
      </c>
      <c r="G144" s="14">
        <v>13.8</v>
      </c>
      <c r="H144" s="14">
        <v>0.03</v>
      </c>
      <c r="I144" s="14" t="s">
        <v>6017</v>
      </c>
      <c r="J144" s="14">
        <v>0.0</v>
      </c>
      <c r="K144" s="14" t="s">
        <v>6012</v>
      </c>
      <c r="L144" s="14">
        <v>0.0</v>
      </c>
    </row>
    <row r="145">
      <c r="A145" s="14">
        <v>3491.0</v>
      </c>
      <c r="B145" s="14">
        <v>0.0</v>
      </c>
      <c r="C145" s="34">
        <v>50.97</v>
      </c>
      <c r="D145" s="35">
        <v>44634.0</v>
      </c>
      <c r="E145" s="24"/>
      <c r="F145" s="14" t="s">
        <v>6012</v>
      </c>
      <c r="G145" s="14">
        <v>14.6</v>
      </c>
      <c r="H145" s="14">
        <v>0.0</v>
      </c>
      <c r="I145" s="14" t="s">
        <v>6015</v>
      </c>
      <c r="J145" s="14" t="s">
        <v>6012</v>
      </c>
      <c r="K145" s="14">
        <v>50.97</v>
      </c>
      <c r="L145" s="14">
        <v>0.0</v>
      </c>
    </row>
    <row r="146">
      <c r="A146" s="14">
        <v>5017.0</v>
      </c>
      <c r="B146" s="14">
        <v>6.0</v>
      </c>
      <c r="C146" s="34">
        <v>14.05</v>
      </c>
      <c r="D146" s="35">
        <v>44635.0</v>
      </c>
      <c r="E146" s="24"/>
      <c r="F146" s="14">
        <v>2.34</v>
      </c>
      <c r="G146" s="14">
        <v>2.8</v>
      </c>
      <c r="H146" s="14">
        <v>0.12</v>
      </c>
      <c r="I146" s="14" t="s">
        <v>6021</v>
      </c>
      <c r="J146" s="14">
        <v>50.0</v>
      </c>
      <c r="K146" s="14">
        <v>4.68</v>
      </c>
      <c r="L146" s="14">
        <v>0.0</v>
      </c>
    </row>
    <row r="147">
      <c r="A147" s="14">
        <v>4677.0</v>
      </c>
      <c r="B147" s="14">
        <v>4.0</v>
      </c>
      <c r="C147" s="34">
        <v>14.26</v>
      </c>
      <c r="D147" s="35">
        <v>44635.0</v>
      </c>
      <c r="E147" s="24"/>
      <c r="F147" s="14">
        <v>3.56</v>
      </c>
      <c r="G147" s="14">
        <v>3.05</v>
      </c>
      <c r="H147" s="14">
        <v>0.09</v>
      </c>
      <c r="I147" s="14" t="s">
        <v>6020</v>
      </c>
      <c r="J147" s="14">
        <v>150.0</v>
      </c>
      <c r="K147" s="14">
        <v>2.38</v>
      </c>
      <c r="L147" s="14">
        <v>0.0</v>
      </c>
    </row>
    <row r="148">
      <c r="A148" s="14">
        <v>3843.0</v>
      </c>
      <c r="B148" s="14">
        <v>1.0</v>
      </c>
      <c r="C148" s="34">
        <v>49.0</v>
      </c>
      <c r="D148" s="35">
        <v>44635.0</v>
      </c>
      <c r="E148" s="24"/>
      <c r="F148" s="14">
        <v>49.0</v>
      </c>
      <c r="G148" s="14">
        <v>12.75</v>
      </c>
      <c r="H148" s="14">
        <v>0.03</v>
      </c>
      <c r="I148" s="14" t="s">
        <v>6016</v>
      </c>
      <c r="J148" s="14">
        <v>0.0</v>
      </c>
      <c r="K148" s="14" t="s">
        <v>6012</v>
      </c>
      <c r="L148" s="14">
        <v>0.0</v>
      </c>
    </row>
    <row r="149">
      <c r="A149" s="14">
        <v>1884.0</v>
      </c>
      <c r="B149" s="14">
        <v>2.0</v>
      </c>
      <c r="C149" s="34">
        <v>22.19</v>
      </c>
      <c r="D149" s="35">
        <v>44635.0</v>
      </c>
      <c r="E149" s="24"/>
      <c r="F149" s="14">
        <v>11.1</v>
      </c>
      <c r="G149" s="14">
        <v>11.78</v>
      </c>
      <c r="H149" s="14">
        <v>0.11</v>
      </c>
      <c r="I149" s="14" t="s">
        <v>6011</v>
      </c>
      <c r="J149" s="14">
        <v>50.0</v>
      </c>
      <c r="K149" s="14">
        <v>22.19</v>
      </c>
      <c r="L149" s="14">
        <v>0.0</v>
      </c>
    </row>
    <row r="150">
      <c r="A150" s="14">
        <v>2829.0</v>
      </c>
      <c r="B150" s="14">
        <v>4.0</v>
      </c>
      <c r="C150" s="34">
        <v>41.31</v>
      </c>
      <c r="D150" s="35">
        <v>44635.0</v>
      </c>
      <c r="E150" s="24"/>
      <c r="F150" s="14">
        <v>10.33</v>
      </c>
      <c r="G150" s="14">
        <v>14.6</v>
      </c>
      <c r="H150" s="14">
        <v>0.14</v>
      </c>
      <c r="I150" s="14" t="s">
        <v>6015</v>
      </c>
      <c r="J150" s="14">
        <v>100.0</v>
      </c>
      <c r="K150" s="14">
        <v>10.33</v>
      </c>
      <c r="L150" s="14">
        <v>0.0</v>
      </c>
    </row>
    <row r="151">
      <c r="A151" s="14">
        <v>809.0</v>
      </c>
      <c r="B151" s="14">
        <v>0.0</v>
      </c>
      <c r="C151" s="34">
        <v>2.59</v>
      </c>
      <c r="D151" s="35">
        <v>44635.0</v>
      </c>
      <c r="E151" s="24"/>
      <c r="F151" s="14" t="s">
        <v>6012</v>
      </c>
      <c r="G151" s="14">
        <v>3.2</v>
      </c>
      <c r="H151" s="14">
        <v>0.0</v>
      </c>
      <c r="I151" s="14" t="s">
        <v>6019</v>
      </c>
      <c r="J151" s="14" t="s">
        <v>6012</v>
      </c>
      <c r="K151" s="14" t="s">
        <v>6012</v>
      </c>
      <c r="L151" s="14">
        <v>0.0</v>
      </c>
    </row>
    <row r="152">
      <c r="A152" s="14">
        <v>4016.0</v>
      </c>
      <c r="B152" s="14">
        <v>0.0</v>
      </c>
      <c r="C152" s="34">
        <v>55.42</v>
      </c>
      <c r="D152" s="35">
        <v>44635.0</v>
      </c>
      <c r="E152" s="24"/>
      <c r="F152" s="14" t="s">
        <v>6012</v>
      </c>
      <c r="G152" s="14">
        <v>13.8</v>
      </c>
      <c r="H152" s="14">
        <v>0.0</v>
      </c>
      <c r="I152" s="14" t="s">
        <v>6017</v>
      </c>
      <c r="J152" s="14" t="s">
        <v>6012</v>
      </c>
      <c r="K152" s="14" t="s">
        <v>6012</v>
      </c>
      <c r="L152" s="14">
        <v>0.0</v>
      </c>
    </row>
    <row r="153">
      <c r="A153" s="14">
        <v>4138.0</v>
      </c>
      <c r="B153" s="14">
        <v>0.0</v>
      </c>
      <c r="C153" s="34">
        <v>59.88</v>
      </c>
      <c r="D153" s="35">
        <v>44636.0</v>
      </c>
      <c r="E153" s="24"/>
      <c r="F153" s="14" t="s">
        <v>6012</v>
      </c>
      <c r="G153" s="14">
        <v>14.47</v>
      </c>
      <c r="H153" s="14">
        <v>0.0</v>
      </c>
      <c r="I153" s="14" t="s">
        <v>6015</v>
      </c>
      <c r="J153" s="14" t="s">
        <v>6012</v>
      </c>
      <c r="K153" s="14">
        <v>59.88</v>
      </c>
      <c r="L153" s="14">
        <v>0.0</v>
      </c>
    </row>
    <row r="154">
      <c r="A154" s="14">
        <v>4637.0</v>
      </c>
      <c r="B154" s="14">
        <v>0.0</v>
      </c>
      <c r="C154" s="34">
        <v>13.0</v>
      </c>
      <c r="D154" s="35">
        <v>44636.0</v>
      </c>
      <c r="E154" s="24"/>
      <c r="F154" s="14" t="s">
        <v>6012</v>
      </c>
      <c r="G154" s="14">
        <v>2.8</v>
      </c>
      <c r="H154" s="14">
        <v>0.0</v>
      </c>
      <c r="I154" s="14" t="s">
        <v>6021</v>
      </c>
      <c r="J154" s="14" t="s">
        <v>6012</v>
      </c>
      <c r="K154" s="14" t="s">
        <v>6012</v>
      </c>
      <c r="L154" s="14">
        <v>0.0</v>
      </c>
    </row>
    <row r="155">
      <c r="A155" s="14">
        <v>558.0</v>
      </c>
      <c r="B155" s="14">
        <v>0.0</v>
      </c>
      <c r="C155" s="34">
        <v>1.79</v>
      </c>
      <c r="D155" s="35">
        <v>44636.0</v>
      </c>
      <c r="E155" s="24"/>
      <c r="F155" s="14" t="s">
        <v>6012</v>
      </c>
      <c r="G155" s="14">
        <v>3.21</v>
      </c>
      <c r="H155" s="14">
        <v>0.0</v>
      </c>
      <c r="I155" s="14" t="s">
        <v>6019</v>
      </c>
      <c r="J155" s="14" t="s">
        <v>6012</v>
      </c>
      <c r="K155" s="14">
        <v>0.6</v>
      </c>
      <c r="L155" s="14">
        <v>0.0</v>
      </c>
    </row>
    <row r="156">
      <c r="A156" s="14">
        <v>5520.0</v>
      </c>
      <c r="B156" s="14">
        <v>3.0</v>
      </c>
      <c r="C156" s="34">
        <v>16.84</v>
      </c>
      <c r="D156" s="35">
        <v>44636.0</v>
      </c>
      <c r="E156" s="24"/>
      <c r="F156" s="14">
        <v>5.61</v>
      </c>
      <c r="G156" s="14">
        <v>3.05</v>
      </c>
      <c r="H156" s="14">
        <v>0.05</v>
      </c>
      <c r="I156" s="14" t="s">
        <v>6020</v>
      </c>
      <c r="J156" s="14">
        <v>100.0</v>
      </c>
      <c r="K156" s="14">
        <v>5.61</v>
      </c>
      <c r="L156" s="14">
        <v>0.0</v>
      </c>
    </row>
    <row r="157">
      <c r="A157" s="14">
        <v>178.0</v>
      </c>
      <c r="B157" s="14">
        <v>0.0</v>
      </c>
      <c r="C157" s="34">
        <v>2.19</v>
      </c>
      <c r="D157" s="35">
        <v>44636.0</v>
      </c>
      <c r="E157" s="24"/>
      <c r="F157" s="14" t="s">
        <v>6012</v>
      </c>
      <c r="G157" s="14">
        <v>12.3</v>
      </c>
      <c r="H157" s="14">
        <v>0.0</v>
      </c>
      <c r="I157" s="14" t="s">
        <v>6011</v>
      </c>
      <c r="J157" s="14" t="s">
        <v>6012</v>
      </c>
      <c r="K157" s="14" t="s">
        <v>6012</v>
      </c>
      <c r="L157" s="14">
        <v>0.0</v>
      </c>
    </row>
    <row r="158">
      <c r="A158" s="14">
        <v>4558.0</v>
      </c>
      <c r="B158" s="14">
        <v>1.0</v>
      </c>
      <c r="C158" s="34">
        <v>58.11</v>
      </c>
      <c r="D158" s="35">
        <v>44636.0</v>
      </c>
      <c r="E158" s="24"/>
      <c r="F158" s="14">
        <v>58.11</v>
      </c>
      <c r="G158" s="14">
        <v>12.75</v>
      </c>
      <c r="H158" s="14">
        <v>0.02</v>
      </c>
      <c r="I158" s="14" t="s">
        <v>6016</v>
      </c>
      <c r="J158" s="14">
        <v>0.0</v>
      </c>
      <c r="K158" s="14" t="s">
        <v>6012</v>
      </c>
      <c r="L158" s="14">
        <v>0.0</v>
      </c>
    </row>
    <row r="159">
      <c r="A159" s="14">
        <v>4102.0</v>
      </c>
      <c r="B159" s="14">
        <v>0.0</v>
      </c>
      <c r="C159" s="34">
        <v>56.61</v>
      </c>
      <c r="D159" s="35">
        <v>44636.0</v>
      </c>
      <c r="E159" s="24"/>
      <c r="F159" s="14" t="s">
        <v>6012</v>
      </c>
      <c r="G159" s="14">
        <v>13.8</v>
      </c>
      <c r="H159" s="14">
        <v>0.0</v>
      </c>
      <c r="I159" s="14" t="s">
        <v>6017</v>
      </c>
      <c r="J159" s="14" t="s">
        <v>6012</v>
      </c>
      <c r="K159" s="14">
        <v>18.87</v>
      </c>
      <c r="L159" s="14">
        <v>0.0</v>
      </c>
    </row>
    <row r="160">
      <c r="A160" s="14">
        <v>4822.0</v>
      </c>
      <c r="B160" s="14">
        <v>2.0</v>
      </c>
      <c r="C160" s="34">
        <v>61.48</v>
      </c>
      <c r="D160" s="35">
        <v>44637.0</v>
      </c>
      <c r="E160" s="24"/>
      <c r="F160" s="14">
        <v>30.74</v>
      </c>
      <c r="G160" s="14">
        <v>12.75</v>
      </c>
      <c r="H160" s="14">
        <v>0.04</v>
      </c>
      <c r="I160" s="14" t="s">
        <v>6016</v>
      </c>
      <c r="J160" s="14">
        <v>50.0</v>
      </c>
      <c r="K160" s="14">
        <v>61.48</v>
      </c>
      <c r="L160" s="14">
        <v>0.0</v>
      </c>
    </row>
    <row r="161">
      <c r="A161" s="14">
        <v>4386.0</v>
      </c>
      <c r="B161" s="14">
        <v>1.0</v>
      </c>
      <c r="C161" s="34">
        <v>63.38</v>
      </c>
      <c r="D161" s="35">
        <v>44637.0</v>
      </c>
      <c r="E161" s="24"/>
      <c r="F161" s="14">
        <v>63.38</v>
      </c>
      <c r="G161" s="14">
        <v>14.45</v>
      </c>
      <c r="H161" s="14">
        <v>0.02</v>
      </c>
      <c r="I161" s="14" t="s">
        <v>6015</v>
      </c>
      <c r="J161" s="14">
        <v>300.0</v>
      </c>
      <c r="K161" s="14">
        <v>21.13</v>
      </c>
      <c r="L161" s="14">
        <v>0.0</v>
      </c>
    </row>
    <row r="162">
      <c r="A162" s="14">
        <v>814.0</v>
      </c>
      <c r="B162" s="14">
        <v>0.0</v>
      </c>
      <c r="C162" s="34">
        <v>2.32</v>
      </c>
      <c r="D162" s="35">
        <v>44637.0</v>
      </c>
      <c r="E162" s="24"/>
      <c r="F162" s="14" t="s">
        <v>6012</v>
      </c>
      <c r="G162" s="14">
        <v>2.85</v>
      </c>
      <c r="H162" s="14">
        <v>0.0</v>
      </c>
      <c r="I162" s="14" t="s">
        <v>6021</v>
      </c>
      <c r="J162" s="14" t="s">
        <v>6012</v>
      </c>
      <c r="K162" s="14" t="s">
        <v>6012</v>
      </c>
      <c r="L162" s="14">
        <v>0.0</v>
      </c>
    </row>
    <row r="163">
      <c r="A163" s="14">
        <v>5897.0</v>
      </c>
      <c r="B163" s="14">
        <v>4.0</v>
      </c>
      <c r="C163" s="34">
        <v>17.99</v>
      </c>
      <c r="D163" s="35">
        <v>44637.0</v>
      </c>
      <c r="E163" s="24"/>
      <c r="F163" s="14">
        <v>4.5</v>
      </c>
      <c r="G163" s="14">
        <v>3.05</v>
      </c>
      <c r="H163" s="14">
        <v>0.07</v>
      </c>
      <c r="I163" s="14" t="s">
        <v>6020</v>
      </c>
      <c r="J163" s="14">
        <v>75.0</v>
      </c>
      <c r="K163" s="14">
        <v>6.0</v>
      </c>
      <c r="L163" s="14">
        <v>0.0</v>
      </c>
    </row>
    <row r="164">
      <c r="A164" s="14">
        <v>144.0</v>
      </c>
      <c r="B164" s="14">
        <v>0.0</v>
      </c>
      <c r="C164" s="34">
        <v>0.47</v>
      </c>
      <c r="D164" s="35">
        <v>44637.0</v>
      </c>
      <c r="E164" s="24"/>
      <c r="F164" s="14" t="s">
        <v>6012</v>
      </c>
      <c r="G164" s="14">
        <v>3.26</v>
      </c>
      <c r="H164" s="14">
        <v>0.0</v>
      </c>
      <c r="I164" s="14" t="s">
        <v>6019</v>
      </c>
      <c r="J164" s="14" t="s">
        <v>6012</v>
      </c>
      <c r="K164" s="14">
        <v>0.47</v>
      </c>
      <c r="L164" s="14">
        <v>0.0</v>
      </c>
    </row>
    <row r="165">
      <c r="A165" s="14">
        <v>4343.0</v>
      </c>
      <c r="B165" s="14">
        <v>1.0</v>
      </c>
      <c r="C165" s="34">
        <v>59.93</v>
      </c>
      <c r="D165" s="35">
        <v>44637.0</v>
      </c>
      <c r="E165" s="24"/>
      <c r="F165" s="14">
        <v>59.93</v>
      </c>
      <c r="G165" s="14">
        <v>13.8</v>
      </c>
      <c r="H165" s="14">
        <v>0.02</v>
      </c>
      <c r="I165" s="14" t="s">
        <v>6017</v>
      </c>
      <c r="J165" s="14">
        <v>100.0</v>
      </c>
      <c r="K165" s="14">
        <v>59.93</v>
      </c>
      <c r="L165" s="14">
        <v>0.0</v>
      </c>
    </row>
    <row r="166">
      <c r="A166" s="14">
        <v>3397.0</v>
      </c>
      <c r="B166" s="14">
        <v>2.0</v>
      </c>
      <c r="C166" s="34">
        <v>49.1</v>
      </c>
      <c r="D166" s="35">
        <v>44638.0</v>
      </c>
      <c r="E166" s="24"/>
      <c r="F166" s="14">
        <v>24.55</v>
      </c>
      <c r="G166" s="14">
        <v>14.45</v>
      </c>
      <c r="H166" s="14">
        <v>0.06</v>
      </c>
      <c r="I166" s="14" t="s">
        <v>6015</v>
      </c>
      <c r="J166" s="14">
        <v>100.0</v>
      </c>
      <c r="K166" s="14">
        <v>24.55</v>
      </c>
      <c r="L166" s="14">
        <v>0.0</v>
      </c>
    </row>
    <row r="167">
      <c r="A167" s="14">
        <v>245.0</v>
      </c>
      <c r="B167" s="14">
        <v>0.0</v>
      </c>
      <c r="C167" s="34">
        <v>0.7</v>
      </c>
      <c r="D167" s="35">
        <v>44638.0</v>
      </c>
      <c r="E167" s="24"/>
      <c r="F167" s="14" t="s">
        <v>6012</v>
      </c>
      <c r="G167" s="14">
        <v>2.86</v>
      </c>
      <c r="H167" s="14">
        <v>0.0</v>
      </c>
      <c r="I167" s="14" t="s">
        <v>6021</v>
      </c>
      <c r="J167" s="14" t="s">
        <v>6012</v>
      </c>
      <c r="K167" s="14" t="s">
        <v>6012</v>
      </c>
      <c r="L167" s="14">
        <v>0.0</v>
      </c>
    </row>
    <row r="168">
      <c r="A168" s="14">
        <v>4644.0</v>
      </c>
      <c r="B168" s="14">
        <v>3.0</v>
      </c>
      <c r="C168" s="34">
        <v>59.21</v>
      </c>
      <c r="D168" s="35">
        <v>44638.0</v>
      </c>
      <c r="E168" s="24"/>
      <c r="F168" s="14">
        <v>19.74</v>
      </c>
      <c r="G168" s="14">
        <v>12.75</v>
      </c>
      <c r="H168" s="14">
        <v>0.06</v>
      </c>
      <c r="I168" s="14" t="s">
        <v>6016</v>
      </c>
      <c r="J168" s="14">
        <v>66.67</v>
      </c>
      <c r="K168" s="14">
        <v>29.6</v>
      </c>
      <c r="L168" s="14">
        <v>0.0</v>
      </c>
    </row>
    <row r="169">
      <c r="A169" s="14">
        <v>35.0</v>
      </c>
      <c r="B169" s="14">
        <v>0.0</v>
      </c>
      <c r="C169" s="34">
        <v>0.11</v>
      </c>
      <c r="D169" s="35">
        <v>44638.0</v>
      </c>
      <c r="E169" s="24"/>
      <c r="F169" s="14" t="s">
        <v>6012</v>
      </c>
      <c r="G169" s="14">
        <v>3.14</v>
      </c>
      <c r="H169" s="14">
        <v>0.0</v>
      </c>
      <c r="I169" s="14" t="s">
        <v>6019</v>
      </c>
      <c r="J169" s="14" t="s">
        <v>6012</v>
      </c>
      <c r="K169" s="14" t="s">
        <v>6012</v>
      </c>
      <c r="L169" s="14">
        <v>0.0</v>
      </c>
    </row>
    <row r="170">
      <c r="A170" s="14">
        <v>0.0</v>
      </c>
      <c r="B170" s="14">
        <v>0.0</v>
      </c>
      <c r="C170" s="34"/>
      <c r="D170" s="35">
        <v>44638.0</v>
      </c>
      <c r="E170" s="24"/>
      <c r="F170" s="14" t="s">
        <v>6012</v>
      </c>
      <c r="G170" s="14" t="s">
        <v>6012</v>
      </c>
      <c r="H170" s="14" t="s">
        <v>6012</v>
      </c>
      <c r="I170" s="14" t="s">
        <v>6011</v>
      </c>
      <c r="J170" s="14" t="s">
        <v>6012</v>
      </c>
      <c r="K170" s="14" t="s">
        <v>6012</v>
      </c>
      <c r="L170" s="14"/>
    </row>
    <row r="171">
      <c r="A171" s="14">
        <v>4179.0</v>
      </c>
      <c r="B171" s="14">
        <v>1.0</v>
      </c>
      <c r="C171" s="34">
        <v>57.67</v>
      </c>
      <c r="D171" s="35">
        <v>44638.0</v>
      </c>
      <c r="E171" s="24"/>
      <c r="F171" s="14">
        <v>57.67</v>
      </c>
      <c r="G171" s="14">
        <v>13.8</v>
      </c>
      <c r="H171" s="14">
        <v>0.02</v>
      </c>
      <c r="I171" s="14" t="s">
        <v>6017</v>
      </c>
      <c r="J171" s="14">
        <v>200.0</v>
      </c>
      <c r="K171" s="14">
        <v>28.84</v>
      </c>
      <c r="L171" s="14">
        <v>0.0</v>
      </c>
    </row>
    <row r="172">
      <c r="A172" s="14">
        <v>5489.0</v>
      </c>
      <c r="B172" s="14">
        <v>3.0</v>
      </c>
      <c r="C172" s="34">
        <v>16.74</v>
      </c>
      <c r="D172" s="35">
        <v>44638.0</v>
      </c>
      <c r="E172" s="24"/>
      <c r="F172" s="14">
        <v>5.58</v>
      </c>
      <c r="G172" s="14">
        <v>3.05</v>
      </c>
      <c r="H172" s="14">
        <v>0.05</v>
      </c>
      <c r="I172" s="14" t="s">
        <v>6020</v>
      </c>
      <c r="J172" s="14">
        <v>66.67</v>
      </c>
      <c r="K172" s="14">
        <v>8.37</v>
      </c>
      <c r="L172" s="14">
        <v>0.0</v>
      </c>
    </row>
    <row r="173">
      <c r="A173" s="14">
        <v>2673.0</v>
      </c>
      <c r="B173" s="14">
        <v>2.0</v>
      </c>
      <c r="C173" s="34">
        <v>36.89</v>
      </c>
      <c r="D173" s="35">
        <v>44639.0</v>
      </c>
      <c r="E173" s="24"/>
      <c r="F173" s="14">
        <v>18.44</v>
      </c>
      <c r="G173" s="14">
        <v>13.8</v>
      </c>
      <c r="H173" s="14">
        <v>0.07</v>
      </c>
      <c r="I173" s="14" t="s">
        <v>6017</v>
      </c>
      <c r="J173" s="14">
        <v>50.0</v>
      </c>
      <c r="K173" s="14">
        <v>36.89</v>
      </c>
      <c r="L173" s="14">
        <v>0.0</v>
      </c>
    </row>
    <row r="174">
      <c r="A174" s="14">
        <v>13.0</v>
      </c>
      <c r="B174" s="14">
        <v>0.0</v>
      </c>
      <c r="C174" s="34">
        <v>0.04</v>
      </c>
      <c r="D174" s="35">
        <v>44639.0</v>
      </c>
      <c r="E174" s="24"/>
      <c r="F174" s="14" t="s">
        <v>6012</v>
      </c>
      <c r="G174" s="14">
        <v>3.08</v>
      </c>
      <c r="H174" s="14">
        <v>0.0</v>
      </c>
      <c r="I174" s="14" t="s">
        <v>6019</v>
      </c>
      <c r="J174" s="14" t="s">
        <v>6012</v>
      </c>
      <c r="K174" s="14" t="s">
        <v>6012</v>
      </c>
      <c r="L174" s="14">
        <v>0.0</v>
      </c>
    </row>
    <row r="175">
      <c r="A175" s="14">
        <v>172.0</v>
      </c>
      <c r="B175" s="14">
        <v>0.0</v>
      </c>
      <c r="C175" s="34">
        <v>0.49</v>
      </c>
      <c r="D175" s="35">
        <v>44639.0</v>
      </c>
      <c r="E175" s="24"/>
      <c r="F175" s="14" t="s">
        <v>6012</v>
      </c>
      <c r="G175" s="14">
        <v>2.85</v>
      </c>
      <c r="H175" s="14">
        <v>0.0</v>
      </c>
      <c r="I175" s="14" t="s">
        <v>6021</v>
      </c>
      <c r="J175" s="14" t="s">
        <v>6012</v>
      </c>
      <c r="K175" s="14" t="s">
        <v>6012</v>
      </c>
      <c r="L175" s="14">
        <v>0.0</v>
      </c>
    </row>
    <row r="176">
      <c r="A176" s="14">
        <v>3169.0</v>
      </c>
      <c r="B176" s="14">
        <v>5.0</v>
      </c>
      <c r="C176" s="34">
        <v>9.67</v>
      </c>
      <c r="D176" s="35">
        <v>44639.0</v>
      </c>
      <c r="E176" s="24"/>
      <c r="F176" s="14">
        <v>1.93</v>
      </c>
      <c r="G176" s="14">
        <v>3.05</v>
      </c>
      <c r="H176" s="14">
        <v>0.16</v>
      </c>
      <c r="I176" s="14" t="s">
        <v>6020</v>
      </c>
      <c r="J176" s="14">
        <v>60.0</v>
      </c>
      <c r="K176" s="14">
        <v>3.22</v>
      </c>
      <c r="L176" s="14">
        <v>0.0</v>
      </c>
    </row>
    <row r="177">
      <c r="A177" s="14">
        <v>2973.0</v>
      </c>
      <c r="B177" s="14">
        <v>1.0</v>
      </c>
      <c r="C177" s="34">
        <v>37.91</v>
      </c>
      <c r="D177" s="35">
        <v>44639.0</v>
      </c>
      <c r="E177" s="24"/>
      <c r="F177" s="14">
        <v>37.91</v>
      </c>
      <c r="G177" s="14">
        <v>12.75</v>
      </c>
      <c r="H177" s="14">
        <v>0.03</v>
      </c>
      <c r="I177" s="14" t="s">
        <v>6016</v>
      </c>
      <c r="J177" s="14">
        <v>0.0</v>
      </c>
      <c r="K177" s="14" t="s">
        <v>6012</v>
      </c>
      <c r="L177" s="14">
        <v>0.0</v>
      </c>
    </row>
    <row r="178">
      <c r="A178" s="14">
        <v>305.0</v>
      </c>
      <c r="B178" s="14">
        <v>0.0</v>
      </c>
      <c r="C178" s="34">
        <v>4.42</v>
      </c>
      <c r="D178" s="35">
        <v>44639.0</v>
      </c>
      <c r="E178" s="24"/>
      <c r="F178" s="14" t="s">
        <v>6012</v>
      </c>
      <c r="G178" s="14">
        <v>14.49</v>
      </c>
      <c r="H178" s="14">
        <v>0.0</v>
      </c>
      <c r="I178" s="14" t="s">
        <v>6015</v>
      </c>
      <c r="J178" s="14" t="s">
        <v>6012</v>
      </c>
      <c r="K178" s="14" t="s">
        <v>6012</v>
      </c>
      <c r="L178" s="14">
        <v>0.0</v>
      </c>
    </row>
    <row r="179">
      <c r="A179" s="14">
        <v>2619.0</v>
      </c>
      <c r="B179" s="14">
        <v>5.0</v>
      </c>
      <c r="C179" s="34">
        <v>33.39</v>
      </c>
      <c r="D179" s="35">
        <v>44640.0</v>
      </c>
      <c r="E179" s="24"/>
      <c r="F179" s="14">
        <v>6.68</v>
      </c>
      <c r="G179" s="14">
        <v>12.75</v>
      </c>
      <c r="H179" s="14">
        <v>0.19</v>
      </c>
      <c r="I179" s="14" t="s">
        <v>6016</v>
      </c>
      <c r="J179" s="14">
        <v>80.0</v>
      </c>
      <c r="K179" s="14">
        <v>8.35</v>
      </c>
      <c r="L179" s="14">
        <v>0.0</v>
      </c>
    </row>
    <row r="180">
      <c r="A180" s="14">
        <v>17.0</v>
      </c>
      <c r="B180" s="14">
        <v>0.0</v>
      </c>
      <c r="C180" s="34">
        <v>0.06</v>
      </c>
      <c r="D180" s="35">
        <v>44640.0</v>
      </c>
      <c r="E180" s="24"/>
      <c r="F180" s="14" t="s">
        <v>6012</v>
      </c>
      <c r="G180" s="14">
        <v>3.53</v>
      </c>
      <c r="H180" s="14">
        <v>0.0</v>
      </c>
      <c r="I180" s="14" t="s">
        <v>6019</v>
      </c>
      <c r="J180" s="14" t="s">
        <v>6012</v>
      </c>
      <c r="K180" s="14" t="s">
        <v>6012</v>
      </c>
      <c r="L180" s="14">
        <v>0.0</v>
      </c>
    </row>
    <row r="181">
      <c r="A181" s="14">
        <v>2323.0</v>
      </c>
      <c r="B181" s="14">
        <v>2.0</v>
      </c>
      <c r="C181" s="34">
        <v>7.09</v>
      </c>
      <c r="D181" s="35">
        <v>44640.0</v>
      </c>
      <c r="E181" s="24"/>
      <c r="F181" s="14">
        <v>3.54</v>
      </c>
      <c r="G181" s="14">
        <v>3.05</v>
      </c>
      <c r="H181" s="14">
        <v>0.09</v>
      </c>
      <c r="I181" s="14" t="s">
        <v>6020</v>
      </c>
      <c r="J181" s="14">
        <v>50.0</v>
      </c>
      <c r="K181" s="14">
        <v>7.09</v>
      </c>
      <c r="L181" s="14">
        <v>0.0</v>
      </c>
    </row>
    <row r="182">
      <c r="A182" s="14">
        <v>322.0</v>
      </c>
      <c r="B182" s="14">
        <v>0.0</v>
      </c>
      <c r="C182" s="34">
        <v>4.67</v>
      </c>
      <c r="D182" s="35">
        <v>44640.0</v>
      </c>
      <c r="E182" s="24"/>
      <c r="F182" s="14" t="s">
        <v>6012</v>
      </c>
      <c r="G182" s="14">
        <v>14.5</v>
      </c>
      <c r="H182" s="14">
        <v>0.0</v>
      </c>
      <c r="I182" s="14" t="s">
        <v>6015</v>
      </c>
      <c r="J182" s="14" t="s">
        <v>6012</v>
      </c>
      <c r="K182" s="14" t="s">
        <v>6012</v>
      </c>
      <c r="L182" s="14">
        <v>0.0</v>
      </c>
    </row>
    <row r="183">
      <c r="A183" s="14">
        <v>2362.0</v>
      </c>
      <c r="B183" s="14">
        <v>4.0</v>
      </c>
      <c r="C183" s="34">
        <v>32.54</v>
      </c>
      <c r="D183" s="35">
        <v>44640.0</v>
      </c>
      <c r="E183" s="24"/>
      <c r="F183" s="14">
        <v>8.14</v>
      </c>
      <c r="G183" s="14">
        <v>13.78</v>
      </c>
      <c r="H183" s="14">
        <v>0.17</v>
      </c>
      <c r="I183" s="14" t="s">
        <v>6017</v>
      </c>
      <c r="J183" s="14">
        <v>75.0</v>
      </c>
      <c r="K183" s="14">
        <v>10.85</v>
      </c>
      <c r="L183" s="14">
        <v>0.0</v>
      </c>
    </row>
    <row r="184">
      <c r="A184" s="14">
        <v>90.0</v>
      </c>
      <c r="B184" s="14">
        <v>0.0</v>
      </c>
      <c r="C184" s="34">
        <v>0.26</v>
      </c>
      <c r="D184" s="35">
        <v>44640.0</v>
      </c>
      <c r="E184" s="24"/>
      <c r="F184" s="14" t="s">
        <v>6012</v>
      </c>
      <c r="G184" s="14">
        <v>2.89</v>
      </c>
      <c r="H184" s="14">
        <v>0.0</v>
      </c>
      <c r="I184" s="14" t="s">
        <v>6021</v>
      </c>
      <c r="J184" s="14" t="s">
        <v>6012</v>
      </c>
      <c r="K184" s="14" t="s">
        <v>6012</v>
      </c>
      <c r="L184" s="14">
        <v>0.0</v>
      </c>
    </row>
    <row r="185">
      <c r="A185" s="14">
        <v>1158.0</v>
      </c>
      <c r="B185" s="14">
        <v>2.0</v>
      </c>
      <c r="C185" s="34">
        <v>3.3</v>
      </c>
      <c r="D185" s="35">
        <v>44641.0</v>
      </c>
      <c r="E185" s="24"/>
      <c r="F185" s="14">
        <v>1.65</v>
      </c>
      <c r="G185" s="14">
        <v>2.85</v>
      </c>
      <c r="H185" s="14">
        <v>0.17</v>
      </c>
      <c r="I185" s="14" t="s">
        <v>6021</v>
      </c>
      <c r="J185" s="14">
        <v>100.0</v>
      </c>
      <c r="K185" s="14">
        <v>1.65</v>
      </c>
      <c r="L185" s="14">
        <v>0.0</v>
      </c>
    </row>
    <row r="186">
      <c r="A186" s="14">
        <v>3625.0</v>
      </c>
      <c r="B186" s="14">
        <v>1.0</v>
      </c>
      <c r="C186" s="34">
        <v>52.39</v>
      </c>
      <c r="D186" s="35">
        <v>44641.0</v>
      </c>
      <c r="E186" s="24"/>
      <c r="F186" s="14">
        <v>52.39</v>
      </c>
      <c r="G186" s="14">
        <v>14.45</v>
      </c>
      <c r="H186" s="14">
        <v>0.03</v>
      </c>
      <c r="I186" s="14" t="s">
        <v>6015</v>
      </c>
      <c r="J186" s="14">
        <v>300.0</v>
      </c>
      <c r="K186" s="14">
        <v>17.46</v>
      </c>
      <c r="L186" s="14">
        <v>0.0</v>
      </c>
    </row>
    <row r="187">
      <c r="A187" s="14">
        <v>0.0</v>
      </c>
      <c r="B187" s="14">
        <v>0.0</v>
      </c>
      <c r="C187" s="34"/>
      <c r="D187" s="35">
        <v>44641.0</v>
      </c>
      <c r="E187" s="24"/>
      <c r="F187" s="14" t="s">
        <v>6012</v>
      </c>
      <c r="G187" s="14" t="s">
        <v>6012</v>
      </c>
      <c r="H187" s="14" t="s">
        <v>6012</v>
      </c>
      <c r="I187" s="14" t="s">
        <v>6011</v>
      </c>
      <c r="J187" s="14" t="s">
        <v>6012</v>
      </c>
      <c r="K187" s="14" t="s">
        <v>6012</v>
      </c>
      <c r="L187" s="14"/>
    </row>
    <row r="188">
      <c r="A188" s="14">
        <v>3811.0</v>
      </c>
      <c r="B188" s="14">
        <v>1.0</v>
      </c>
      <c r="C188" s="34">
        <v>52.59</v>
      </c>
      <c r="D188" s="35">
        <v>44641.0</v>
      </c>
      <c r="E188" s="24"/>
      <c r="F188" s="14">
        <v>52.59</v>
      </c>
      <c r="G188" s="14">
        <v>13.8</v>
      </c>
      <c r="H188" s="14">
        <v>0.03</v>
      </c>
      <c r="I188" s="14" t="s">
        <v>6017</v>
      </c>
      <c r="J188" s="14">
        <v>300.0</v>
      </c>
      <c r="K188" s="14">
        <v>17.53</v>
      </c>
      <c r="L188" s="14">
        <v>0.0</v>
      </c>
    </row>
    <row r="189">
      <c r="A189" s="14">
        <v>4776.0</v>
      </c>
      <c r="B189" s="14">
        <v>5.0</v>
      </c>
      <c r="C189" s="34">
        <v>14.57</v>
      </c>
      <c r="D189" s="35">
        <v>44641.0</v>
      </c>
      <c r="E189" s="24"/>
      <c r="F189" s="14">
        <v>2.91</v>
      </c>
      <c r="G189" s="14">
        <v>3.05</v>
      </c>
      <c r="H189" s="14">
        <v>0.1</v>
      </c>
      <c r="I189" s="14" t="s">
        <v>6020</v>
      </c>
      <c r="J189" s="14">
        <v>80.0</v>
      </c>
      <c r="K189" s="14">
        <v>3.64</v>
      </c>
      <c r="L189" s="14">
        <v>0.0</v>
      </c>
    </row>
    <row r="190">
      <c r="A190" s="14">
        <v>207.0</v>
      </c>
      <c r="B190" s="14">
        <v>0.0</v>
      </c>
      <c r="C190" s="34">
        <v>0.67</v>
      </c>
      <c r="D190" s="35">
        <v>44641.0</v>
      </c>
      <c r="E190" s="24"/>
      <c r="F190" s="14" t="s">
        <v>6012</v>
      </c>
      <c r="G190" s="14">
        <v>3.24</v>
      </c>
      <c r="H190" s="14">
        <v>0.0</v>
      </c>
      <c r="I190" s="14" t="s">
        <v>6019</v>
      </c>
      <c r="J190" s="14" t="s">
        <v>6012</v>
      </c>
      <c r="K190" s="14" t="s">
        <v>6012</v>
      </c>
      <c r="L190" s="14">
        <v>0.0</v>
      </c>
    </row>
    <row r="191">
      <c r="A191" s="14">
        <v>4126.0</v>
      </c>
      <c r="B191" s="14">
        <v>2.0</v>
      </c>
      <c r="C191" s="34">
        <v>52.61</v>
      </c>
      <c r="D191" s="35">
        <v>44641.0</v>
      </c>
      <c r="E191" s="24"/>
      <c r="F191" s="14">
        <v>26.3</v>
      </c>
      <c r="G191" s="14">
        <v>12.75</v>
      </c>
      <c r="H191" s="14">
        <v>0.05</v>
      </c>
      <c r="I191" s="14" t="s">
        <v>6016</v>
      </c>
      <c r="J191" s="14">
        <v>150.0</v>
      </c>
      <c r="K191" s="14">
        <v>17.54</v>
      </c>
      <c r="L191" s="14">
        <v>0.0</v>
      </c>
    </row>
    <row r="192">
      <c r="A192" s="14">
        <v>4094.0</v>
      </c>
      <c r="B192" s="14">
        <v>1.0</v>
      </c>
      <c r="C192" s="34">
        <v>56.5</v>
      </c>
      <c r="D192" s="35">
        <v>44642.0</v>
      </c>
      <c r="E192" s="24"/>
      <c r="F192" s="14">
        <v>56.5</v>
      </c>
      <c r="G192" s="14">
        <v>13.8</v>
      </c>
      <c r="H192" s="14">
        <v>0.02</v>
      </c>
      <c r="I192" s="14" t="s">
        <v>6017</v>
      </c>
      <c r="J192" s="14">
        <v>200.0</v>
      </c>
      <c r="K192" s="14">
        <v>28.25</v>
      </c>
      <c r="L192" s="14">
        <v>0.0</v>
      </c>
    </row>
    <row r="193">
      <c r="A193" s="14">
        <v>3901.0</v>
      </c>
      <c r="B193" s="14">
        <v>2.0</v>
      </c>
      <c r="C193" s="34">
        <v>56.38</v>
      </c>
      <c r="D193" s="35">
        <v>44642.0</v>
      </c>
      <c r="E193" s="24"/>
      <c r="F193" s="14">
        <v>28.19</v>
      </c>
      <c r="G193" s="14">
        <v>14.45</v>
      </c>
      <c r="H193" s="14">
        <v>0.05</v>
      </c>
      <c r="I193" s="14" t="s">
        <v>6015</v>
      </c>
      <c r="J193" s="14">
        <v>100.0</v>
      </c>
      <c r="K193" s="14">
        <v>28.19</v>
      </c>
      <c r="L193" s="14">
        <v>0.0</v>
      </c>
    </row>
    <row r="194">
      <c r="A194" s="14">
        <v>173.0</v>
      </c>
      <c r="B194" s="14">
        <v>0.0</v>
      </c>
      <c r="C194" s="34">
        <v>0.56</v>
      </c>
      <c r="D194" s="35">
        <v>44642.0</v>
      </c>
      <c r="E194" s="24"/>
      <c r="F194" s="14" t="s">
        <v>6012</v>
      </c>
      <c r="G194" s="14">
        <v>3.24</v>
      </c>
      <c r="H194" s="14">
        <v>0.0</v>
      </c>
      <c r="I194" s="14" t="s">
        <v>6019</v>
      </c>
      <c r="J194" s="14" t="s">
        <v>6012</v>
      </c>
      <c r="K194" s="14" t="s">
        <v>6012</v>
      </c>
      <c r="L194" s="14">
        <v>0.0</v>
      </c>
    </row>
    <row r="195">
      <c r="A195" s="14">
        <v>1092.0</v>
      </c>
      <c r="B195" s="14">
        <v>0.0</v>
      </c>
      <c r="C195" s="34">
        <v>3.11</v>
      </c>
      <c r="D195" s="35">
        <v>44642.0</v>
      </c>
      <c r="E195" s="24"/>
      <c r="F195" s="14" t="s">
        <v>6012</v>
      </c>
      <c r="G195" s="14">
        <v>2.85</v>
      </c>
      <c r="H195" s="14">
        <v>0.0</v>
      </c>
      <c r="I195" s="14" t="s">
        <v>6021</v>
      </c>
      <c r="J195" s="14" t="s">
        <v>6012</v>
      </c>
      <c r="K195" s="14" t="s">
        <v>6012</v>
      </c>
      <c r="L195" s="14">
        <v>0.0</v>
      </c>
    </row>
    <row r="196">
      <c r="A196" s="14">
        <v>5219.0</v>
      </c>
      <c r="B196" s="14">
        <v>6.0</v>
      </c>
      <c r="C196" s="34">
        <v>15.92</v>
      </c>
      <c r="D196" s="35">
        <v>44642.0</v>
      </c>
      <c r="E196" s="24"/>
      <c r="F196" s="14">
        <v>2.65</v>
      </c>
      <c r="G196" s="14">
        <v>3.05</v>
      </c>
      <c r="H196" s="14">
        <v>0.11</v>
      </c>
      <c r="I196" s="14" t="s">
        <v>6020</v>
      </c>
      <c r="J196" s="14">
        <v>33.33</v>
      </c>
      <c r="K196" s="14">
        <v>7.96</v>
      </c>
      <c r="L196" s="14">
        <v>0.0</v>
      </c>
    </row>
    <row r="197">
      <c r="A197" s="14">
        <v>4422.0</v>
      </c>
      <c r="B197" s="14">
        <v>2.0</v>
      </c>
      <c r="C197" s="34">
        <v>56.38</v>
      </c>
      <c r="D197" s="35">
        <v>44642.0</v>
      </c>
      <c r="E197" s="24"/>
      <c r="F197" s="14">
        <v>28.19</v>
      </c>
      <c r="G197" s="14">
        <v>12.75</v>
      </c>
      <c r="H197" s="14">
        <v>0.05</v>
      </c>
      <c r="I197" s="14" t="s">
        <v>6016</v>
      </c>
      <c r="J197" s="14">
        <v>100.0</v>
      </c>
      <c r="K197" s="14">
        <v>28.19</v>
      </c>
      <c r="L197" s="14">
        <v>0.0</v>
      </c>
    </row>
    <row r="198">
      <c r="A198" s="14">
        <v>4288.0</v>
      </c>
      <c r="B198" s="14">
        <v>1.0</v>
      </c>
      <c r="C198" s="34">
        <v>59.17</v>
      </c>
      <c r="D198" s="35">
        <v>44643.0</v>
      </c>
      <c r="E198" s="24"/>
      <c r="F198" s="14">
        <v>59.17</v>
      </c>
      <c r="G198" s="14">
        <v>13.8</v>
      </c>
      <c r="H198" s="14">
        <v>0.02</v>
      </c>
      <c r="I198" s="14" t="s">
        <v>6017</v>
      </c>
      <c r="J198" s="14">
        <v>200.0</v>
      </c>
      <c r="K198" s="14">
        <v>29.58</v>
      </c>
      <c r="L198" s="14">
        <v>0.0</v>
      </c>
    </row>
    <row r="199">
      <c r="A199" s="14">
        <v>1035.0</v>
      </c>
      <c r="B199" s="14">
        <v>0.0</v>
      </c>
      <c r="C199" s="34">
        <v>2.95</v>
      </c>
      <c r="D199" s="35">
        <v>44643.0</v>
      </c>
      <c r="E199" s="24"/>
      <c r="F199" s="14" t="s">
        <v>6012</v>
      </c>
      <c r="G199" s="14">
        <v>2.85</v>
      </c>
      <c r="H199" s="14">
        <v>0.0</v>
      </c>
      <c r="I199" s="14" t="s">
        <v>6021</v>
      </c>
      <c r="J199" s="14" t="s">
        <v>6012</v>
      </c>
      <c r="K199" s="14" t="s">
        <v>6012</v>
      </c>
      <c r="L199" s="14">
        <v>0.0</v>
      </c>
    </row>
    <row r="200">
      <c r="A200" s="14">
        <v>5519.0</v>
      </c>
      <c r="B200" s="14">
        <v>7.0</v>
      </c>
      <c r="C200" s="34">
        <v>16.83</v>
      </c>
      <c r="D200" s="35">
        <v>44643.0</v>
      </c>
      <c r="E200" s="24"/>
      <c r="F200" s="14">
        <v>2.4</v>
      </c>
      <c r="G200" s="14">
        <v>3.05</v>
      </c>
      <c r="H200" s="14">
        <v>0.13</v>
      </c>
      <c r="I200" s="14" t="s">
        <v>6020</v>
      </c>
      <c r="J200" s="14">
        <v>28.57</v>
      </c>
      <c r="K200" s="14">
        <v>8.41</v>
      </c>
      <c r="L200" s="14">
        <v>0.0</v>
      </c>
    </row>
    <row r="201">
      <c r="A201" s="14">
        <v>184.0</v>
      </c>
      <c r="B201" s="14">
        <v>0.0</v>
      </c>
      <c r="C201" s="34">
        <v>0.6</v>
      </c>
      <c r="D201" s="35">
        <v>44643.0</v>
      </c>
      <c r="E201" s="24"/>
      <c r="F201" s="14" t="s">
        <v>6012</v>
      </c>
      <c r="G201" s="14">
        <v>3.26</v>
      </c>
      <c r="H201" s="14">
        <v>0.0</v>
      </c>
      <c r="I201" s="14" t="s">
        <v>6019</v>
      </c>
      <c r="J201" s="14" t="s">
        <v>6012</v>
      </c>
      <c r="K201" s="14" t="s">
        <v>6012</v>
      </c>
      <c r="L201" s="14">
        <v>0.0</v>
      </c>
    </row>
    <row r="202">
      <c r="A202" s="14">
        <v>4023.0</v>
      </c>
      <c r="B202" s="14">
        <v>6.0</v>
      </c>
      <c r="C202" s="34">
        <v>58.14</v>
      </c>
      <c r="D202" s="35">
        <v>44643.0</v>
      </c>
      <c r="E202" s="24"/>
      <c r="F202" s="14">
        <v>9.69</v>
      </c>
      <c r="G202" s="14">
        <v>14.45</v>
      </c>
      <c r="H202" s="14">
        <v>0.15</v>
      </c>
      <c r="I202" s="14" t="s">
        <v>6015</v>
      </c>
      <c r="J202" s="14">
        <v>100.0</v>
      </c>
      <c r="K202" s="14">
        <v>9.69</v>
      </c>
      <c r="L202" s="14">
        <v>0.0</v>
      </c>
    </row>
    <row r="203">
      <c r="A203" s="14">
        <v>4556.0</v>
      </c>
      <c r="B203" s="14">
        <v>3.0</v>
      </c>
      <c r="C203" s="34">
        <v>58.09</v>
      </c>
      <c r="D203" s="35">
        <v>44643.0</v>
      </c>
      <c r="E203" s="24"/>
      <c r="F203" s="14">
        <v>19.36</v>
      </c>
      <c r="G203" s="14">
        <v>12.75</v>
      </c>
      <c r="H203" s="14">
        <v>0.07</v>
      </c>
      <c r="I203" s="14" t="s">
        <v>6016</v>
      </c>
      <c r="J203" s="14">
        <v>166.67</v>
      </c>
      <c r="K203" s="14">
        <v>11.62</v>
      </c>
      <c r="L203" s="14">
        <v>0.0</v>
      </c>
    </row>
    <row r="204">
      <c r="A204" s="14">
        <v>5916.0</v>
      </c>
      <c r="B204" s="14">
        <v>3.0</v>
      </c>
      <c r="C204" s="34">
        <v>18.04</v>
      </c>
      <c r="D204" s="35">
        <v>44644.0</v>
      </c>
      <c r="E204" s="24"/>
      <c r="F204" s="14">
        <v>6.01</v>
      </c>
      <c r="G204" s="14">
        <v>3.05</v>
      </c>
      <c r="H204" s="14">
        <v>0.05</v>
      </c>
      <c r="I204" s="14" t="s">
        <v>6020</v>
      </c>
      <c r="J204" s="14">
        <v>33.33</v>
      </c>
      <c r="K204" s="14">
        <v>18.04</v>
      </c>
      <c r="L204" s="14">
        <v>0.0</v>
      </c>
    </row>
    <row r="205">
      <c r="A205" s="14">
        <v>124.0</v>
      </c>
      <c r="B205" s="14">
        <v>0.0</v>
      </c>
      <c r="C205" s="34">
        <v>0.4</v>
      </c>
      <c r="D205" s="35">
        <v>44644.0</v>
      </c>
      <c r="E205" s="24"/>
      <c r="F205" s="14" t="s">
        <v>6012</v>
      </c>
      <c r="G205" s="14">
        <v>3.23</v>
      </c>
      <c r="H205" s="14">
        <v>0.0</v>
      </c>
      <c r="I205" s="14" t="s">
        <v>6019</v>
      </c>
      <c r="J205" s="14" t="s">
        <v>6012</v>
      </c>
      <c r="K205" s="14" t="s">
        <v>6012</v>
      </c>
      <c r="L205" s="14">
        <v>0.0</v>
      </c>
    </row>
    <row r="206">
      <c r="A206" s="14">
        <v>4745.0</v>
      </c>
      <c r="B206" s="14">
        <v>1.0</v>
      </c>
      <c r="C206" s="34">
        <v>60.5</v>
      </c>
      <c r="D206" s="35">
        <v>44644.0</v>
      </c>
      <c r="E206" s="24"/>
      <c r="F206" s="14">
        <v>60.5</v>
      </c>
      <c r="G206" s="14">
        <v>12.75</v>
      </c>
      <c r="H206" s="14">
        <v>0.02</v>
      </c>
      <c r="I206" s="14" t="s">
        <v>6016</v>
      </c>
      <c r="J206" s="14">
        <v>100.0</v>
      </c>
      <c r="K206" s="14">
        <v>60.5</v>
      </c>
      <c r="L206" s="14">
        <v>0.0</v>
      </c>
    </row>
    <row r="207">
      <c r="A207" s="14">
        <v>1047.0</v>
      </c>
      <c r="B207" s="14">
        <v>0.0</v>
      </c>
      <c r="C207" s="34">
        <v>2.98</v>
      </c>
      <c r="D207" s="35">
        <v>44644.0</v>
      </c>
      <c r="E207" s="24"/>
      <c r="F207" s="14" t="s">
        <v>6012</v>
      </c>
      <c r="G207" s="14">
        <v>2.85</v>
      </c>
      <c r="H207" s="14">
        <v>0.0</v>
      </c>
      <c r="I207" s="14" t="s">
        <v>6021</v>
      </c>
      <c r="J207" s="14" t="s">
        <v>6012</v>
      </c>
      <c r="K207" s="14" t="s">
        <v>6012</v>
      </c>
      <c r="L207" s="14">
        <v>0.0</v>
      </c>
    </row>
    <row r="208">
      <c r="A208" s="14">
        <v>4358.0</v>
      </c>
      <c r="B208" s="14">
        <v>2.0</v>
      </c>
      <c r="C208" s="34">
        <v>60.14</v>
      </c>
      <c r="D208" s="35">
        <v>44644.0</v>
      </c>
      <c r="E208" s="24"/>
      <c r="F208" s="14">
        <v>30.07</v>
      </c>
      <c r="G208" s="14">
        <v>13.8</v>
      </c>
      <c r="H208" s="14">
        <v>0.05</v>
      </c>
      <c r="I208" s="14" t="s">
        <v>6017</v>
      </c>
      <c r="J208" s="14">
        <v>200.0</v>
      </c>
      <c r="K208" s="14">
        <v>15.04</v>
      </c>
      <c r="L208" s="14">
        <v>0.0</v>
      </c>
    </row>
    <row r="209">
      <c r="A209" s="14">
        <v>4192.0</v>
      </c>
      <c r="B209" s="14">
        <v>4.0</v>
      </c>
      <c r="C209" s="34">
        <v>60.58</v>
      </c>
      <c r="D209" s="35">
        <v>44644.0</v>
      </c>
      <c r="E209" s="24"/>
      <c r="F209" s="14">
        <v>15.14</v>
      </c>
      <c r="G209" s="14">
        <v>14.45</v>
      </c>
      <c r="H209" s="14">
        <v>0.1</v>
      </c>
      <c r="I209" s="14" t="s">
        <v>6015</v>
      </c>
      <c r="J209" s="14">
        <v>100.0</v>
      </c>
      <c r="K209" s="14">
        <v>15.14</v>
      </c>
      <c r="L209" s="14">
        <v>0.0</v>
      </c>
    </row>
    <row r="210">
      <c r="A210" s="14">
        <v>4602.0</v>
      </c>
      <c r="B210" s="14">
        <v>5.0</v>
      </c>
      <c r="C210" s="34">
        <v>63.51</v>
      </c>
      <c r="D210" s="35">
        <v>44645.0</v>
      </c>
      <c r="E210" s="24"/>
      <c r="F210" s="14">
        <v>12.7</v>
      </c>
      <c r="G210" s="14">
        <v>13.8</v>
      </c>
      <c r="H210" s="14">
        <v>0.11</v>
      </c>
      <c r="I210" s="14" t="s">
        <v>6017</v>
      </c>
      <c r="J210" s="14">
        <v>60.0</v>
      </c>
      <c r="K210" s="14">
        <v>21.17</v>
      </c>
      <c r="L210" s="14">
        <v>0.0</v>
      </c>
    </row>
    <row r="211">
      <c r="A211" s="14">
        <v>6073.0</v>
      </c>
      <c r="B211" s="14">
        <v>5.0</v>
      </c>
      <c r="C211" s="34">
        <v>18.52</v>
      </c>
      <c r="D211" s="35">
        <v>44645.0</v>
      </c>
      <c r="E211" s="24"/>
      <c r="F211" s="14">
        <v>3.7</v>
      </c>
      <c r="G211" s="14">
        <v>3.05</v>
      </c>
      <c r="H211" s="14">
        <v>0.08</v>
      </c>
      <c r="I211" s="14" t="s">
        <v>6020</v>
      </c>
      <c r="J211" s="14">
        <v>60.0</v>
      </c>
      <c r="K211" s="14">
        <v>6.17</v>
      </c>
      <c r="L211" s="14">
        <v>0.0</v>
      </c>
    </row>
    <row r="212">
      <c r="A212" s="14">
        <v>114.0</v>
      </c>
      <c r="B212" s="14">
        <v>0.0</v>
      </c>
      <c r="C212" s="34">
        <v>0.37</v>
      </c>
      <c r="D212" s="35">
        <v>44645.0</v>
      </c>
      <c r="E212" s="24"/>
      <c r="F212" s="14" t="s">
        <v>6012</v>
      </c>
      <c r="G212" s="14">
        <v>3.25</v>
      </c>
      <c r="H212" s="14">
        <v>0.0</v>
      </c>
      <c r="I212" s="14" t="s">
        <v>6019</v>
      </c>
      <c r="J212" s="14" t="s">
        <v>6012</v>
      </c>
      <c r="K212" s="14" t="s">
        <v>6012</v>
      </c>
      <c r="L212" s="14">
        <v>0.0</v>
      </c>
    </row>
    <row r="213">
      <c r="A213" s="14">
        <v>854.0</v>
      </c>
      <c r="B213" s="14">
        <v>0.0</v>
      </c>
      <c r="C213" s="34">
        <v>2.43</v>
      </c>
      <c r="D213" s="35">
        <v>44645.0</v>
      </c>
      <c r="E213" s="24"/>
      <c r="F213" s="14" t="s">
        <v>6012</v>
      </c>
      <c r="G213" s="14">
        <v>2.85</v>
      </c>
      <c r="H213" s="14">
        <v>0.0</v>
      </c>
      <c r="I213" s="14" t="s">
        <v>6021</v>
      </c>
      <c r="J213" s="14" t="s">
        <v>6012</v>
      </c>
      <c r="K213" s="14" t="s">
        <v>6012</v>
      </c>
      <c r="L213" s="14">
        <v>0.0</v>
      </c>
    </row>
    <row r="214">
      <c r="A214" s="14">
        <v>3807.0</v>
      </c>
      <c r="B214" s="14">
        <v>1.0</v>
      </c>
      <c r="C214" s="34">
        <v>55.03</v>
      </c>
      <c r="D214" s="35">
        <v>44645.0</v>
      </c>
      <c r="E214" s="24"/>
      <c r="F214" s="14">
        <v>55.03</v>
      </c>
      <c r="G214" s="14">
        <v>14.45</v>
      </c>
      <c r="H214" s="14">
        <v>0.03</v>
      </c>
      <c r="I214" s="14" t="s">
        <v>6015</v>
      </c>
      <c r="J214" s="14">
        <v>100.0</v>
      </c>
      <c r="K214" s="14">
        <v>55.03</v>
      </c>
      <c r="L214" s="14">
        <v>0.0</v>
      </c>
    </row>
    <row r="215">
      <c r="A215" s="14">
        <v>5016.0</v>
      </c>
      <c r="B215" s="14">
        <v>2.0</v>
      </c>
      <c r="C215" s="34">
        <v>63.95</v>
      </c>
      <c r="D215" s="35">
        <v>44645.0</v>
      </c>
      <c r="E215" s="24"/>
      <c r="F215" s="14">
        <v>31.98</v>
      </c>
      <c r="G215" s="14">
        <v>12.75</v>
      </c>
      <c r="H215" s="14">
        <v>0.04</v>
      </c>
      <c r="I215" s="14" t="s">
        <v>6016</v>
      </c>
      <c r="J215" s="14">
        <v>0.0</v>
      </c>
      <c r="K215" s="14" t="s">
        <v>6012</v>
      </c>
      <c r="L215" s="14">
        <v>0.0</v>
      </c>
    </row>
    <row r="216">
      <c r="A216" s="14">
        <v>13.0</v>
      </c>
      <c r="B216" s="14">
        <v>0.0</v>
      </c>
      <c r="C216" s="34">
        <v>0.04</v>
      </c>
      <c r="D216" s="35">
        <v>44646.0</v>
      </c>
      <c r="E216" s="24"/>
      <c r="F216" s="14" t="s">
        <v>6012</v>
      </c>
      <c r="G216" s="14">
        <v>3.08</v>
      </c>
      <c r="H216" s="14">
        <v>0.0</v>
      </c>
      <c r="I216" s="14" t="s">
        <v>6019</v>
      </c>
      <c r="J216" s="14" t="s">
        <v>6012</v>
      </c>
      <c r="K216" s="14" t="s">
        <v>6012</v>
      </c>
      <c r="L216" s="14">
        <v>0.0</v>
      </c>
    </row>
    <row r="217">
      <c r="A217" s="14">
        <v>247.0</v>
      </c>
      <c r="B217" s="14">
        <v>0.0</v>
      </c>
      <c r="C217" s="34">
        <v>0.7</v>
      </c>
      <c r="D217" s="35">
        <v>44646.0</v>
      </c>
      <c r="E217" s="24"/>
      <c r="F217" s="14" t="s">
        <v>6012</v>
      </c>
      <c r="G217" s="14">
        <v>2.83</v>
      </c>
      <c r="H217" s="14">
        <v>0.0</v>
      </c>
      <c r="I217" s="14" t="s">
        <v>6021</v>
      </c>
      <c r="J217" s="14" t="s">
        <v>6012</v>
      </c>
      <c r="K217" s="14" t="s">
        <v>6012</v>
      </c>
      <c r="L217" s="14">
        <v>0.0</v>
      </c>
    </row>
    <row r="218">
      <c r="A218" s="14">
        <v>3532.0</v>
      </c>
      <c r="B218" s="14">
        <v>4.0</v>
      </c>
      <c r="C218" s="34">
        <v>10.77</v>
      </c>
      <c r="D218" s="35">
        <v>44646.0</v>
      </c>
      <c r="E218" s="24"/>
      <c r="F218" s="14">
        <v>2.69</v>
      </c>
      <c r="G218" s="14">
        <v>3.05</v>
      </c>
      <c r="H218" s="14">
        <v>0.11</v>
      </c>
      <c r="I218" s="14" t="s">
        <v>6020</v>
      </c>
      <c r="J218" s="14">
        <v>25.0</v>
      </c>
      <c r="K218" s="14">
        <v>10.77</v>
      </c>
      <c r="L218" s="14">
        <v>0.0</v>
      </c>
    </row>
    <row r="219">
      <c r="A219" s="14">
        <v>2516.0</v>
      </c>
      <c r="B219" s="14">
        <v>1.0</v>
      </c>
      <c r="C219" s="34">
        <v>32.08</v>
      </c>
      <c r="D219" s="35">
        <v>44646.0</v>
      </c>
      <c r="E219" s="24"/>
      <c r="F219" s="14">
        <v>32.08</v>
      </c>
      <c r="G219" s="14">
        <v>12.75</v>
      </c>
      <c r="H219" s="14">
        <v>0.04</v>
      </c>
      <c r="I219" s="14" t="s">
        <v>6016</v>
      </c>
      <c r="J219" s="14">
        <v>100.0</v>
      </c>
      <c r="K219" s="14">
        <v>32.08</v>
      </c>
      <c r="L219" s="14">
        <v>0.0</v>
      </c>
    </row>
    <row r="220">
      <c r="A220" s="14">
        <v>252.0</v>
      </c>
      <c r="B220" s="14">
        <v>0.0</v>
      </c>
      <c r="C220" s="34">
        <v>3.65</v>
      </c>
      <c r="D220" s="35">
        <v>44646.0</v>
      </c>
      <c r="E220" s="24"/>
      <c r="F220" s="14" t="s">
        <v>6012</v>
      </c>
      <c r="G220" s="14">
        <v>14.48</v>
      </c>
      <c r="H220" s="14">
        <v>0.0</v>
      </c>
      <c r="I220" s="14" t="s">
        <v>6015</v>
      </c>
      <c r="J220" s="14" t="s">
        <v>6012</v>
      </c>
      <c r="K220" s="14" t="s">
        <v>6012</v>
      </c>
      <c r="L220" s="14">
        <v>0.0</v>
      </c>
    </row>
    <row r="221">
      <c r="A221" s="14">
        <v>2308.0</v>
      </c>
      <c r="B221" s="14">
        <v>1.0</v>
      </c>
      <c r="C221" s="34">
        <v>31.85</v>
      </c>
      <c r="D221" s="35">
        <v>44646.0</v>
      </c>
      <c r="E221" s="24"/>
      <c r="F221" s="14">
        <v>31.85</v>
      </c>
      <c r="G221" s="14">
        <v>13.8</v>
      </c>
      <c r="H221" s="14">
        <v>0.04</v>
      </c>
      <c r="I221" s="14" t="s">
        <v>6017</v>
      </c>
      <c r="J221" s="14">
        <v>0.0</v>
      </c>
      <c r="K221" s="14" t="s">
        <v>6012</v>
      </c>
      <c r="L221" s="14">
        <v>0.0</v>
      </c>
    </row>
    <row r="222">
      <c r="A222" s="14">
        <v>2398.0</v>
      </c>
      <c r="B222" s="14">
        <v>4.0</v>
      </c>
      <c r="C222" s="34">
        <v>7.31</v>
      </c>
      <c r="D222" s="35">
        <v>44647.0</v>
      </c>
      <c r="E222" s="24"/>
      <c r="F222" s="14">
        <v>1.83</v>
      </c>
      <c r="G222" s="14">
        <v>3.05</v>
      </c>
      <c r="H222" s="14">
        <v>0.17</v>
      </c>
      <c r="I222" s="14" t="s">
        <v>6020</v>
      </c>
      <c r="J222" s="14">
        <v>25.0</v>
      </c>
      <c r="K222" s="14">
        <v>7.31</v>
      </c>
      <c r="L222" s="14">
        <v>0.0</v>
      </c>
    </row>
    <row r="223">
      <c r="A223" s="14">
        <v>13.0</v>
      </c>
      <c r="B223" s="14">
        <v>0.0</v>
      </c>
      <c r="C223" s="34">
        <v>0.04</v>
      </c>
      <c r="D223" s="35">
        <v>44647.0</v>
      </c>
      <c r="E223" s="24"/>
      <c r="F223" s="14" t="s">
        <v>6012</v>
      </c>
      <c r="G223" s="14">
        <v>3.08</v>
      </c>
      <c r="H223" s="14">
        <v>0.0</v>
      </c>
      <c r="I223" s="14" t="s">
        <v>6019</v>
      </c>
      <c r="J223" s="14" t="s">
        <v>6012</v>
      </c>
      <c r="K223" s="14" t="s">
        <v>6012</v>
      </c>
      <c r="L223" s="14">
        <v>0.0</v>
      </c>
    </row>
    <row r="224">
      <c r="A224" s="14">
        <v>1902.0</v>
      </c>
      <c r="B224" s="14">
        <v>2.0</v>
      </c>
      <c r="C224" s="34">
        <v>26.24</v>
      </c>
      <c r="D224" s="35">
        <v>44647.0</v>
      </c>
      <c r="E224" s="24"/>
      <c r="F224" s="14">
        <v>13.12</v>
      </c>
      <c r="G224" s="14">
        <v>13.8</v>
      </c>
      <c r="H224" s="14">
        <v>0.11</v>
      </c>
      <c r="I224" s="14" t="s">
        <v>6017</v>
      </c>
      <c r="J224" s="14">
        <v>50.0</v>
      </c>
      <c r="K224" s="14">
        <v>26.24</v>
      </c>
      <c r="L224" s="14">
        <v>0.0</v>
      </c>
    </row>
    <row r="225">
      <c r="A225" s="14">
        <v>69.0</v>
      </c>
      <c r="B225" s="14">
        <v>0.0</v>
      </c>
      <c r="C225" s="34">
        <v>0.2</v>
      </c>
      <c r="D225" s="35">
        <v>44647.0</v>
      </c>
      <c r="E225" s="24"/>
      <c r="F225" s="14" t="s">
        <v>6012</v>
      </c>
      <c r="G225" s="14">
        <v>2.9</v>
      </c>
      <c r="H225" s="14">
        <v>0.0</v>
      </c>
      <c r="I225" s="14" t="s">
        <v>6021</v>
      </c>
      <c r="J225" s="14" t="s">
        <v>6012</v>
      </c>
      <c r="K225" s="14" t="s">
        <v>6012</v>
      </c>
      <c r="L225" s="14">
        <v>0.0</v>
      </c>
    </row>
    <row r="226">
      <c r="A226" s="14">
        <v>349.0</v>
      </c>
      <c r="B226" s="14">
        <v>0.0</v>
      </c>
      <c r="C226" s="34">
        <v>5.05</v>
      </c>
      <c r="D226" s="35">
        <v>44647.0</v>
      </c>
      <c r="E226" s="24"/>
      <c r="F226" s="14" t="s">
        <v>6012</v>
      </c>
      <c r="G226" s="14">
        <v>14.47</v>
      </c>
      <c r="H226" s="14">
        <v>0.0</v>
      </c>
      <c r="I226" s="14" t="s">
        <v>6015</v>
      </c>
      <c r="J226" s="14" t="s">
        <v>6012</v>
      </c>
      <c r="K226" s="14">
        <v>5.05</v>
      </c>
      <c r="L226" s="14">
        <v>0.0</v>
      </c>
    </row>
    <row r="227">
      <c r="A227" s="14">
        <v>2073.0</v>
      </c>
      <c r="B227" s="14">
        <v>2.0</v>
      </c>
      <c r="C227" s="34">
        <v>26.39</v>
      </c>
      <c r="D227" s="35">
        <v>44647.0</v>
      </c>
      <c r="E227" s="24"/>
      <c r="F227" s="14">
        <v>13.2</v>
      </c>
      <c r="G227" s="14">
        <v>12.73</v>
      </c>
      <c r="H227" s="14">
        <v>0.1</v>
      </c>
      <c r="I227" s="14" t="s">
        <v>6016</v>
      </c>
      <c r="J227" s="14">
        <v>150.0</v>
      </c>
      <c r="K227" s="14">
        <v>8.8</v>
      </c>
      <c r="L227" s="14">
        <v>0.0</v>
      </c>
    </row>
    <row r="228">
      <c r="A228" s="14">
        <v>4857.0</v>
      </c>
      <c r="B228" s="14">
        <v>6.0</v>
      </c>
      <c r="C228" s="34">
        <v>14.81</v>
      </c>
      <c r="D228" s="35">
        <v>44648.0</v>
      </c>
      <c r="E228" s="24"/>
      <c r="F228" s="14">
        <v>2.47</v>
      </c>
      <c r="G228" s="14">
        <v>3.05</v>
      </c>
      <c r="H228" s="14">
        <v>0.12</v>
      </c>
      <c r="I228" s="14" t="s">
        <v>6020</v>
      </c>
      <c r="J228" s="14">
        <v>83.33</v>
      </c>
      <c r="K228" s="14">
        <v>2.96</v>
      </c>
      <c r="L228" s="14">
        <v>0.0</v>
      </c>
    </row>
    <row r="229">
      <c r="A229" s="14">
        <v>3801.0</v>
      </c>
      <c r="B229" s="14">
        <v>2.0</v>
      </c>
      <c r="C229" s="34">
        <v>52.45</v>
      </c>
      <c r="D229" s="35">
        <v>44648.0</v>
      </c>
      <c r="E229" s="24"/>
      <c r="F229" s="14">
        <v>26.22</v>
      </c>
      <c r="G229" s="14">
        <v>13.8</v>
      </c>
      <c r="H229" s="14">
        <v>0.05</v>
      </c>
      <c r="I229" s="14" t="s">
        <v>6017</v>
      </c>
      <c r="J229" s="14">
        <v>50.0</v>
      </c>
      <c r="K229" s="14">
        <v>52.45</v>
      </c>
      <c r="L229" s="14">
        <v>0.0</v>
      </c>
    </row>
    <row r="230">
      <c r="A230" s="14">
        <v>147.0</v>
      </c>
      <c r="B230" s="14">
        <v>1.0</v>
      </c>
      <c r="C230" s="34">
        <v>0.48</v>
      </c>
      <c r="D230" s="35">
        <v>44648.0</v>
      </c>
      <c r="E230" s="24"/>
      <c r="F230" s="14">
        <v>0.48</v>
      </c>
      <c r="G230" s="14">
        <v>3.27</v>
      </c>
      <c r="H230" s="14">
        <v>0.68</v>
      </c>
      <c r="I230" s="14" t="s">
        <v>6019</v>
      </c>
      <c r="J230" s="14">
        <v>0.0</v>
      </c>
      <c r="K230" s="14" t="s">
        <v>6012</v>
      </c>
      <c r="L230" s="14">
        <v>0.0</v>
      </c>
    </row>
    <row r="231">
      <c r="A231" s="14">
        <v>3628.0</v>
      </c>
      <c r="B231" s="14">
        <v>3.0</v>
      </c>
      <c r="C231" s="34">
        <v>52.43</v>
      </c>
      <c r="D231" s="35">
        <v>44648.0</v>
      </c>
      <c r="E231" s="24"/>
      <c r="F231" s="14">
        <v>17.48</v>
      </c>
      <c r="G231" s="14">
        <v>14.45</v>
      </c>
      <c r="H231" s="14">
        <v>0.08</v>
      </c>
      <c r="I231" s="14" t="s">
        <v>6015</v>
      </c>
      <c r="J231" s="14">
        <v>100.0</v>
      </c>
      <c r="K231" s="14">
        <v>17.48</v>
      </c>
      <c r="L231" s="14">
        <v>0.0</v>
      </c>
    </row>
    <row r="232">
      <c r="A232" s="14">
        <v>4110.0</v>
      </c>
      <c r="B232" s="14">
        <v>1.0</v>
      </c>
      <c r="C232" s="34">
        <v>52.4</v>
      </c>
      <c r="D232" s="35">
        <v>44648.0</v>
      </c>
      <c r="E232" s="24"/>
      <c r="F232" s="14">
        <v>52.4</v>
      </c>
      <c r="G232" s="14">
        <v>12.75</v>
      </c>
      <c r="H232" s="14">
        <v>0.02</v>
      </c>
      <c r="I232" s="14" t="s">
        <v>6016</v>
      </c>
      <c r="J232" s="14">
        <v>100.0</v>
      </c>
      <c r="K232" s="14">
        <v>52.4</v>
      </c>
      <c r="L232" s="14">
        <v>0.0</v>
      </c>
    </row>
    <row r="233">
      <c r="A233" s="14">
        <v>1126.0</v>
      </c>
      <c r="B233" s="14">
        <v>2.0</v>
      </c>
      <c r="C233" s="34">
        <v>3.21</v>
      </c>
      <c r="D233" s="35">
        <v>44648.0</v>
      </c>
      <c r="E233" s="24"/>
      <c r="F233" s="14">
        <v>1.6</v>
      </c>
      <c r="G233" s="14">
        <v>2.85</v>
      </c>
      <c r="H233" s="14">
        <v>0.18</v>
      </c>
      <c r="I233" s="14" t="s">
        <v>6021</v>
      </c>
      <c r="J233" s="14">
        <v>0.0</v>
      </c>
      <c r="K233" s="14" t="s">
        <v>6012</v>
      </c>
      <c r="L233" s="14">
        <v>0.0</v>
      </c>
    </row>
    <row r="234">
      <c r="A234" s="14">
        <v>5028.0</v>
      </c>
      <c r="B234" s="14">
        <v>6.0</v>
      </c>
      <c r="C234" s="34">
        <v>15.34</v>
      </c>
      <c r="D234" s="35">
        <v>44649.0</v>
      </c>
      <c r="E234" s="24"/>
      <c r="F234" s="14">
        <v>2.56</v>
      </c>
      <c r="G234" s="14">
        <v>3.05</v>
      </c>
      <c r="H234" s="14">
        <v>0.12</v>
      </c>
      <c r="I234" s="14" t="s">
        <v>6020</v>
      </c>
      <c r="J234" s="14">
        <v>50.0</v>
      </c>
      <c r="K234" s="14">
        <v>5.11</v>
      </c>
      <c r="L234" s="14">
        <v>0.0</v>
      </c>
    </row>
    <row r="235">
      <c r="A235" s="14">
        <v>135.0</v>
      </c>
      <c r="B235" s="14">
        <v>0.0</v>
      </c>
      <c r="C235" s="34">
        <v>0.44</v>
      </c>
      <c r="D235" s="35">
        <v>44649.0</v>
      </c>
      <c r="E235" s="24"/>
      <c r="F235" s="14" t="s">
        <v>6012</v>
      </c>
      <c r="G235" s="14">
        <v>3.26</v>
      </c>
      <c r="H235" s="14">
        <v>0.0</v>
      </c>
      <c r="I235" s="14" t="s">
        <v>6019</v>
      </c>
      <c r="J235" s="14" t="s">
        <v>6012</v>
      </c>
      <c r="K235" s="14" t="s">
        <v>6012</v>
      </c>
      <c r="L235" s="14">
        <v>0.0</v>
      </c>
    </row>
    <row r="236">
      <c r="A236" s="14">
        <v>3960.0</v>
      </c>
      <c r="B236" s="14">
        <v>1.0</v>
      </c>
      <c r="C236" s="34">
        <v>57.23</v>
      </c>
      <c r="D236" s="35">
        <v>44649.0</v>
      </c>
      <c r="E236" s="24"/>
      <c r="F236" s="14">
        <v>57.23</v>
      </c>
      <c r="G236" s="14">
        <v>14.45</v>
      </c>
      <c r="H236" s="14">
        <v>0.03</v>
      </c>
      <c r="I236" s="14" t="s">
        <v>6015</v>
      </c>
      <c r="J236" s="14">
        <v>0.0</v>
      </c>
      <c r="K236" s="14" t="s">
        <v>6012</v>
      </c>
      <c r="L236" s="14">
        <v>0.0</v>
      </c>
    </row>
    <row r="237">
      <c r="A237" s="14">
        <v>4490.0</v>
      </c>
      <c r="B237" s="14">
        <v>1.0</v>
      </c>
      <c r="C237" s="34">
        <v>57.25</v>
      </c>
      <c r="D237" s="35">
        <v>44649.0</v>
      </c>
      <c r="E237" s="24"/>
      <c r="F237" s="14">
        <v>57.25</v>
      </c>
      <c r="G237" s="14">
        <v>12.75</v>
      </c>
      <c r="H237" s="14">
        <v>0.02</v>
      </c>
      <c r="I237" s="14" t="s">
        <v>6016</v>
      </c>
      <c r="J237" s="14">
        <v>0.0</v>
      </c>
      <c r="K237" s="14" t="s">
        <v>6012</v>
      </c>
      <c r="L237" s="14">
        <v>0.0</v>
      </c>
    </row>
    <row r="238">
      <c r="A238" s="14">
        <v>4153.0</v>
      </c>
      <c r="B238" s="14">
        <v>2.0</v>
      </c>
      <c r="C238" s="34">
        <v>57.31</v>
      </c>
      <c r="D238" s="35">
        <v>44649.0</v>
      </c>
      <c r="E238" s="24"/>
      <c r="F238" s="14">
        <v>28.66</v>
      </c>
      <c r="G238" s="14">
        <v>13.8</v>
      </c>
      <c r="H238" s="14">
        <v>0.05</v>
      </c>
      <c r="I238" s="14" t="s">
        <v>6017</v>
      </c>
      <c r="J238" s="14">
        <v>50.0</v>
      </c>
      <c r="K238" s="14">
        <v>57.31</v>
      </c>
      <c r="L238" s="14">
        <v>0.0</v>
      </c>
    </row>
    <row r="239">
      <c r="A239" s="14">
        <v>1165.0</v>
      </c>
      <c r="B239" s="14">
        <v>3.0</v>
      </c>
      <c r="C239" s="34">
        <v>3.32</v>
      </c>
      <c r="D239" s="35">
        <v>44649.0</v>
      </c>
      <c r="E239" s="24"/>
      <c r="F239" s="14">
        <v>1.11</v>
      </c>
      <c r="G239" s="14">
        <v>2.85</v>
      </c>
      <c r="H239" s="14">
        <v>0.26</v>
      </c>
      <c r="I239" s="14" t="s">
        <v>6021</v>
      </c>
      <c r="J239" s="14">
        <v>33.33</v>
      </c>
      <c r="K239" s="14">
        <v>3.32</v>
      </c>
      <c r="L239" s="14">
        <v>0.0</v>
      </c>
    </row>
    <row r="240">
      <c r="A240" s="14">
        <v>4293.0</v>
      </c>
      <c r="B240" s="14">
        <v>2.0</v>
      </c>
      <c r="C240" s="34">
        <v>59.24</v>
      </c>
      <c r="D240" s="35">
        <v>44650.0</v>
      </c>
      <c r="E240" s="24"/>
      <c r="F240" s="14">
        <v>29.62</v>
      </c>
      <c r="G240" s="14">
        <v>13.8</v>
      </c>
      <c r="H240" s="14">
        <v>0.05</v>
      </c>
      <c r="I240" s="14" t="s">
        <v>6017</v>
      </c>
      <c r="J240" s="14">
        <v>0.0</v>
      </c>
      <c r="K240" s="14" t="s">
        <v>6012</v>
      </c>
      <c r="L240" s="14">
        <v>0.0</v>
      </c>
    </row>
    <row r="241">
      <c r="A241" s="14">
        <v>4643.0</v>
      </c>
      <c r="B241" s="14">
        <v>0.0</v>
      </c>
      <c r="C241" s="34">
        <v>59.2</v>
      </c>
      <c r="D241" s="35">
        <v>44650.0</v>
      </c>
      <c r="E241" s="24"/>
      <c r="F241" s="14" t="s">
        <v>6012</v>
      </c>
      <c r="G241" s="14">
        <v>12.75</v>
      </c>
      <c r="H241" s="14">
        <v>0.0</v>
      </c>
      <c r="I241" s="14" t="s">
        <v>6016</v>
      </c>
      <c r="J241" s="14" t="s">
        <v>6012</v>
      </c>
      <c r="K241" s="14" t="s">
        <v>6012</v>
      </c>
      <c r="L241" s="14">
        <v>0.0</v>
      </c>
    </row>
    <row r="242">
      <c r="A242" s="14">
        <v>5412.0</v>
      </c>
      <c r="B242" s="14">
        <v>2.0</v>
      </c>
      <c r="C242" s="34">
        <v>16.51</v>
      </c>
      <c r="D242" s="35">
        <v>44650.0</v>
      </c>
      <c r="E242" s="24"/>
      <c r="F242" s="14">
        <v>8.26</v>
      </c>
      <c r="G242" s="14">
        <v>3.05</v>
      </c>
      <c r="H242" s="14">
        <v>0.04</v>
      </c>
      <c r="I242" s="14" t="s">
        <v>6020</v>
      </c>
      <c r="J242" s="14">
        <v>100.0</v>
      </c>
      <c r="K242" s="14">
        <v>8.26</v>
      </c>
      <c r="L242" s="14">
        <v>0.0</v>
      </c>
    </row>
    <row r="243">
      <c r="A243" s="14">
        <v>158.0</v>
      </c>
      <c r="B243" s="14">
        <v>0.0</v>
      </c>
      <c r="C243" s="34">
        <v>0.51</v>
      </c>
      <c r="D243" s="35">
        <v>44650.0</v>
      </c>
      <c r="E243" s="24"/>
      <c r="F243" s="14" t="s">
        <v>6012</v>
      </c>
      <c r="G243" s="14">
        <v>3.23</v>
      </c>
      <c r="H243" s="14">
        <v>0.0</v>
      </c>
      <c r="I243" s="14" t="s">
        <v>6019</v>
      </c>
      <c r="J243" s="14" t="s">
        <v>6012</v>
      </c>
      <c r="K243" s="14" t="s">
        <v>6012</v>
      </c>
      <c r="L243" s="14">
        <v>0.0</v>
      </c>
    </row>
    <row r="244">
      <c r="A244" s="14">
        <v>1115.0</v>
      </c>
      <c r="B244" s="14">
        <v>0.0</v>
      </c>
      <c r="C244" s="34">
        <v>3.18</v>
      </c>
      <c r="D244" s="35">
        <v>44650.0</v>
      </c>
      <c r="E244" s="24"/>
      <c r="F244" s="14" t="s">
        <v>6012</v>
      </c>
      <c r="G244" s="14">
        <v>2.85</v>
      </c>
      <c r="H244" s="14">
        <v>0.0</v>
      </c>
      <c r="I244" s="14" t="s">
        <v>6021</v>
      </c>
      <c r="J244" s="14" t="s">
        <v>6012</v>
      </c>
      <c r="K244" s="14" t="s">
        <v>6012</v>
      </c>
      <c r="L244" s="14">
        <v>0.0</v>
      </c>
    </row>
    <row r="245">
      <c r="A245" s="14">
        <v>4091.0</v>
      </c>
      <c r="B245" s="14">
        <v>1.0</v>
      </c>
      <c r="C245" s="34">
        <v>59.12</v>
      </c>
      <c r="D245" s="35">
        <v>44650.0</v>
      </c>
      <c r="E245" s="24"/>
      <c r="F245" s="14">
        <v>59.12</v>
      </c>
      <c r="G245" s="14">
        <v>14.45</v>
      </c>
      <c r="H245" s="14">
        <v>0.02</v>
      </c>
      <c r="I245" s="14" t="s">
        <v>6015</v>
      </c>
      <c r="J245" s="14">
        <v>100.0</v>
      </c>
      <c r="K245" s="14">
        <v>59.12</v>
      </c>
      <c r="L245" s="14">
        <v>0.0</v>
      </c>
    </row>
    <row r="246">
      <c r="A246" s="14">
        <v>4851.0</v>
      </c>
      <c r="B246" s="14">
        <v>2.0</v>
      </c>
      <c r="C246" s="34">
        <v>61.85</v>
      </c>
      <c r="D246" s="35">
        <v>44651.0</v>
      </c>
      <c r="E246" s="24"/>
      <c r="F246" s="14">
        <v>30.92</v>
      </c>
      <c r="G246" s="14">
        <v>12.75</v>
      </c>
      <c r="H246" s="14">
        <v>0.04</v>
      </c>
      <c r="I246" s="14" t="s">
        <v>6016</v>
      </c>
      <c r="J246" s="14">
        <v>100.0</v>
      </c>
      <c r="K246" s="14">
        <v>30.92</v>
      </c>
      <c r="L246" s="14">
        <v>0.0</v>
      </c>
    </row>
    <row r="247">
      <c r="A247" s="14">
        <v>4479.0</v>
      </c>
      <c r="B247" s="14">
        <v>3.0</v>
      </c>
      <c r="C247" s="34">
        <v>61.81</v>
      </c>
      <c r="D247" s="35">
        <v>44651.0</v>
      </c>
      <c r="E247" s="24"/>
      <c r="F247" s="14">
        <v>20.6</v>
      </c>
      <c r="G247" s="14">
        <v>13.8</v>
      </c>
      <c r="H247" s="14">
        <v>0.07</v>
      </c>
      <c r="I247" s="14" t="s">
        <v>6017</v>
      </c>
      <c r="J247" s="14">
        <v>200.0</v>
      </c>
      <c r="K247" s="14">
        <v>10.3</v>
      </c>
      <c r="L247" s="14">
        <v>0.0</v>
      </c>
    </row>
    <row r="248">
      <c r="A248" s="14">
        <v>1106.0</v>
      </c>
      <c r="B248" s="14">
        <v>1.0</v>
      </c>
      <c r="C248" s="34">
        <v>3.15</v>
      </c>
      <c r="D248" s="35">
        <v>44651.0</v>
      </c>
      <c r="E248" s="24"/>
      <c r="F248" s="14">
        <v>3.15</v>
      </c>
      <c r="G248" s="14">
        <v>2.85</v>
      </c>
      <c r="H248" s="14">
        <v>0.09</v>
      </c>
      <c r="I248" s="14" t="s">
        <v>6021</v>
      </c>
      <c r="J248" s="14">
        <v>200.0</v>
      </c>
      <c r="K248" s="14">
        <v>1.58</v>
      </c>
      <c r="L248" s="14">
        <v>0.0</v>
      </c>
    </row>
    <row r="249">
      <c r="A249" s="14">
        <v>4282.0</v>
      </c>
      <c r="B249" s="14">
        <v>3.0</v>
      </c>
      <c r="C249" s="34">
        <v>61.88</v>
      </c>
      <c r="D249" s="35">
        <v>44651.0</v>
      </c>
      <c r="E249" s="24"/>
      <c r="F249" s="14">
        <v>20.63</v>
      </c>
      <c r="G249" s="14">
        <v>14.45</v>
      </c>
      <c r="H249" s="14">
        <v>0.07</v>
      </c>
      <c r="I249" s="14" t="s">
        <v>6015</v>
      </c>
      <c r="J249" s="14">
        <v>133.33</v>
      </c>
      <c r="K249" s="14">
        <v>15.47</v>
      </c>
      <c r="L249" s="14">
        <v>0.0</v>
      </c>
    </row>
    <row r="250">
      <c r="A250" s="14">
        <v>36.0</v>
      </c>
      <c r="B250" s="14">
        <v>4.0</v>
      </c>
      <c r="C250" s="34">
        <v>0.54</v>
      </c>
      <c r="D250" s="35">
        <v>44651.0</v>
      </c>
      <c r="E250" s="24"/>
      <c r="F250" s="14">
        <v>0.14</v>
      </c>
      <c r="G250" s="14">
        <v>15.0</v>
      </c>
      <c r="H250" s="14">
        <v>11.11</v>
      </c>
      <c r="I250" s="14" t="s">
        <v>6022</v>
      </c>
      <c r="J250" s="14">
        <v>175.0</v>
      </c>
      <c r="K250" s="14">
        <v>0.08</v>
      </c>
      <c r="L250" s="14">
        <v>0.0</v>
      </c>
    </row>
    <row r="251">
      <c r="A251" s="14">
        <v>153.0</v>
      </c>
      <c r="B251" s="14">
        <v>0.0</v>
      </c>
      <c r="C251" s="34">
        <v>0.5</v>
      </c>
      <c r="D251" s="35">
        <v>44651.0</v>
      </c>
      <c r="E251" s="24"/>
      <c r="F251" s="14" t="s">
        <v>6012</v>
      </c>
      <c r="G251" s="14">
        <v>3.27</v>
      </c>
      <c r="H251" s="14">
        <v>0.0</v>
      </c>
      <c r="I251" s="14" t="s">
        <v>6019</v>
      </c>
      <c r="J251" s="14" t="s">
        <v>6012</v>
      </c>
      <c r="K251" s="14" t="s">
        <v>6012</v>
      </c>
      <c r="L251" s="14">
        <v>0.0</v>
      </c>
    </row>
    <row r="252">
      <c r="A252" s="14">
        <v>5.0</v>
      </c>
      <c r="B252" s="14">
        <v>2.0</v>
      </c>
      <c r="C252" s="34">
        <v>0.08</v>
      </c>
      <c r="D252" s="35">
        <v>44651.0</v>
      </c>
      <c r="E252" s="24"/>
      <c r="F252" s="14">
        <v>0.04</v>
      </c>
      <c r="G252" s="14">
        <v>16.0</v>
      </c>
      <c r="H252" s="14">
        <v>40.0</v>
      </c>
      <c r="I252" s="14" t="s">
        <v>6023</v>
      </c>
      <c r="J252" s="14">
        <v>100.0</v>
      </c>
      <c r="K252" s="14">
        <v>0.04</v>
      </c>
      <c r="L252" s="14">
        <v>0.0</v>
      </c>
    </row>
    <row r="253">
      <c r="A253" s="14">
        <v>5642.0</v>
      </c>
      <c r="B253" s="14">
        <v>12.0</v>
      </c>
      <c r="C253" s="34">
        <v>17.21</v>
      </c>
      <c r="D253" s="35">
        <v>44651.0</v>
      </c>
      <c r="E253" s="24"/>
      <c r="F253" s="14">
        <v>1.43</v>
      </c>
      <c r="G253" s="14">
        <v>3.05</v>
      </c>
      <c r="H253" s="14">
        <v>0.21</v>
      </c>
      <c r="I253" s="14" t="s">
        <v>6020</v>
      </c>
      <c r="J253" s="14">
        <v>50.0</v>
      </c>
      <c r="K253" s="14">
        <v>2.87</v>
      </c>
      <c r="L253" s="14">
        <v>0.0</v>
      </c>
    </row>
    <row r="254">
      <c r="A254" s="14">
        <v>159.0</v>
      </c>
      <c r="B254" s="14">
        <v>0.0</v>
      </c>
      <c r="C254" s="34">
        <v>0.52</v>
      </c>
      <c r="D254" s="35">
        <v>44652.0</v>
      </c>
      <c r="E254" s="24"/>
      <c r="F254" s="14" t="s">
        <v>6012</v>
      </c>
      <c r="G254" s="14">
        <v>3.27</v>
      </c>
      <c r="H254" s="14">
        <v>0.0</v>
      </c>
      <c r="I254" s="14" t="s">
        <v>6019</v>
      </c>
      <c r="J254" s="14" t="s">
        <v>6012</v>
      </c>
      <c r="K254" s="14" t="s">
        <v>6012</v>
      </c>
      <c r="L254" s="14">
        <v>0.0</v>
      </c>
    </row>
    <row r="255">
      <c r="A255" s="14">
        <v>4142.0</v>
      </c>
      <c r="B255" s="14">
        <v>52.0</v>
      </c>
      <c r="C255" s="34">
        <v>26.25</v>
      </c>
      <c r="D255" s="35">
        <v>44652.0</v>
      </c>
      <c r="E255" s="24"/>
      <c r="F255" s="14">
        <v>0.5</v>
      </c>
      <c r="G255" s="14">
        <v>6.34</v>
      </c>
      <c r="H255" s="14">
        <v>1.26</v>
      </c>
      <c r="I255" s="14" t="s">
        <v>6022</v>
      </c>
      <c r="J255" s="14">
        <v>101.92</v>
      </c>
      <c r="K255" s="14">
        <v>0.5</v>
      </c>
      <c r="L255" s="14">
        <v>0.0</v>
      </c>
    </row>
    <row r="256">
      <c r="A256" s="14">
        <v>859.0</v>
      </c>
      <c r="B256" s="14">
        <v>0.0</v>
      </c>
      <c r="C256" s="34">
        <v>2.45</v>
      </c>
      <c r="D256" s="35">
        <v>44652.0</v>
      </c>
      <c r="E256" s="24"/>
      <c r="F256" s="14" t="s">
        <v>6012</v>
      </c>
      <c r="G256" s="14">
        <v>2.85</v>
      </c>
      <c r="H256" s="14">
        <v>0.0</v>
      </c>
      <c r="I256" s="14" t="s">
        <v>6021</v>
      </c>
      <c r="J256" s="14" t="s">
        <v>6012</v>
      </c>
      <c r="K256" s="14" t="s">
        <v>6012</v>
      </c>
      <c r="L256" s="14">
        <v>0.0</v>
      </c>
    </row>
    <row r="257">
      <c r="A257" s="14">
        <v>4638.0</v>
      </c>
      <c r="B257" s="14">
        <v>1.0</v>
      </c>
      <c r="C257" s="34">
        <v>64.0</v>
      </c>
      <c r="D257" s="35">
        <v>44652.0</v>
      </c>
      <c r="E257" s="24"/>
      <c r="F257" s="14">
        <v>64.0</v>
      </c>
      <c r="G257" s="14">
        <v>13.8</v>
      </c>
      <c r="H257" s="14">
        <v>0.02</v>
      </c>
      <c r="I257" s="14" t="s">
        <v>6017</v>
      </c>
      <c r="J257" s="14">
        <v>100.0</v>
      </c>
      <c r="K257" s="14">
        <v>64.0</v>
      </c>
      <c r="L257" s="14">
        <v>0.0</v>
      </c>
    </row>
    <row r="258">
      <c r="A258" s="14">
        <v>3881.0</v>
      </c>
      <c r="B258" s="14">
        <v>1.0</v>
      </c>
      <c r="C258" s="34">
        <v>56.09</v>
      </c>
      <c r="D258" s="35">
        <v>44652.0</v>
      </c>
      <c r="E258" s="24"/>
      <c r="F258" s="14">
        <v>56.09</v>
      </c>
      <c r="G258" s="14">
        <v>14.45</v>
      </c>
      <c r="H258" s="14">
        <v>0.03</v>
      </c>
      <c r="I258" s="14" t="s">
        <v>6015</v>
      </c>
      <c r="J258" s="14">
        <v>300.0</v>
      </c>
      <c r="K258" s="14">
        <v>18.7</v>
      </c>
      <c r="L258" s="14">
        <v>0.0</v>
      </c>
    </row>
    <row r="259">
      <c r="A259" s="14">
        <v>6118.0</v>
      </c>
      <c r="B259" s="14">
        <v>6.0</v>
      </c>
      <c r="C259" s="34">
        <v>18.66</v>
      </c>
      <c r="D259" s="35">
        <v>44652.0</v>
      </c>
      <c r="E259" s="24"/>
      <c r="F259" s="14">
        <v>3.11</v>
      </c>
      <c r="G259" s="14">
        <v>3.05</v>
      </c>
      <c r="H259" s="14">
        <v>0.1</v>
      </c>
      <c r="I259" s="14" t="s">
        <v>6020</v>
      </c>
      <c r="J259" s="14">
        <v>33.33</v>
      </c>
      <c r="K259" s="14">
        <v>9.33</v>
      </c>
      <c r="L259" s="14">
        <v>0.0</v>
      </c>
    </row>
    <row r="260">
      <c r="A260" s="14">
        <v>5023.0</v>
      </c>
      <c r="B260" s="14">
        <v>1.0</v>
      </c>
      <c r="C260" s="34">
        <v>64.04</v>
      </c>
      <c r="D260" s="35">
        <v>44652.0</v>
      </c>
      <c r="E260" s="24"/>
      <c r="F260" s="14">
        <v>64.04</v>
      </c>
      <c r="G260" s="14">
        <v>12.75</v>
      </c>
      <c r="H260" s="14">
        <v>0.02</v>
      </c>
      <c r="I260" s="14" t="s">
        <v>6016</v>
      </c>
      <c r="J260" s="14">
        <v>100.0</v>
      </c>
      <c r="K260" s="14">
        <v>64.04</v>
      </c>
      <c r="L260" s="14">
        <v>0.0</v>
      </c>
    </row>
    <row r="261">
      <c r="A261" s="14">
        <v>225.0</v>
      </c>
      <c r="B261" s="14">
        <v>0.0</v>
      </c>
      <c r="C261" s="34">
        <v>0.64</v>
      </c>
      <c r="D261" s="35">
        <v>44653.0</v>
      </c>
      <c r="E261" s="24"/>
      <c r="F261" s="14" t="s">
        <v>6012</v>
      </c>
      <c r="G261" s="14">
        <v>2.84</v>
      </c>
      <c r="H261" s="14">
        <v>0.0</v>
      </c>
      <c r="I261" s="14" t="s">
        <v>6021</v>
      </c>
      <c r="J261" s="14" t="s">
        <v>6012</v>
      </c>
      <c r="K261" s="14" t="s">
        <v>6012</v>
      </c>
      <c r="L261" s="14">
        <v>0.0</v>
      </c>
    </row>
    <row r="262">
      <c r="A262" s="14">
        <v>2385.0</v>
      </c>
      <c r="B262" s="14">
        <v>3.0</v>
      </c>
      <c r="C262" s="34">
        <v>30.41</v>
      </c>
      <c r="D262" s="35">
        <v>44653.0</v>
      </c>
      <c r="E262" s="24"/>
      <c r="F262" s="14">
        <v>10.14</v>
      </c>
      <c r="G262" s="14">
        <v>12.75</v>
      </c>
      <c r="H262" s="14">
        <v>0.13</v>
      </c>
      <c r="I262" s="14" t="s">
        <v>6016</v>
      </c>
      <c r="J262" s="14">
        <v>100.0</v>
      </c>
      <c r="K262" s="14">
        <v>10.14</v>
      </c>
      <c r="L262" s="14">
        <v>0.0</v>
      </c>
    </row>
    <row r="263">
      <c r="A263" s="14">
        <v>3776.0</v>
      </c>
      <c r="B263" s="14">
        <v>8.0</v>
      </c>
      <c r="C263" s="34">
        <v>11.52</v>
      </c>
      <c r="D263" s="35">
        <v>44653.0</v>
      </c>
      <c r="E263" s="24"/>
      <c r="F263" s="14">
        <v>1.44</v>
      </c>
      <c r="G263" s="14">
        <v>3.05</v>
      </c>
      <c r="H263" s="14">
        <v>0.21</v>
      </c>
      <c r="I263" s="14" t="s">
        <v>6020</v>
      </c>
      <c r="J263" s="14">
        <v>50.0</v>
      </c>
      <c r="K263" s="14">
        <v>2.88</v>
      </c>
      <c r="L263" s="14">
        <v>0.0</v>
      </c>
    </row>
    <row r="264">
      <c r="A264" s="14">
        <v>2203.0</v>
      </c>
      <c r="B264" s="14">
        <v>0.0</v>
      </c>
      <c r="C264" s="34">
        <v>30.4</v>
      </c>
      <c r="D264" s="35">
        <v>44653.0</v>
      </c>
      <c r="E264" s="24"/>
      <c r="F264" s="14" t="s">
        <v>6012</v>
      </c>
      <c r="G264" s="14">
        <v>13.8</v>
      </c>
      <c r="H264" s="14">
        <v>0.0</v>
      </c>
      <c r="I264" s="14" t="s">
        <v>6017</v>
      </c>
      <c r="J264" s="14" t="s">
        <v>6012</v>
      </c>
      <c r="K264" s="14">
        <v>15.2</v>
      </c>
      <c r="L264" s="14">
        <v>0.0</v>
      </c>
    </row>
    <row r="265">
      <c r="A265" s="14">
        <v>3027.0</v>
      </c>
      <c r="B265" s="14">
        <v>10.0</v>
      </c>
      <c r="C265" s="34">
        <v>23.11</v>
      </c>
      <c r="D265" s="35">
        <v>44653.0</v>
      </c>
      <c r="E265" s="24"/>
      <c r="F265" s="14">
        <v>2.31</v>
      </c>
      <c r="G265" s="14">
        <v>7.63</v>
      </c>
      <c r="H265" s="14">
        <v>0.33</v>
      </c>
      <c r="I265" s="14" t="s">
        <v>6022</v>
      </c>
      <c r="J265" s="14">
        <v>100.0</v>
      </c>
      <c r="K265" s="14">
        <v>2.31</v>
      </c>
      <c r="L265" s="14">
        <v>0.0</v>
      </c>
    </row>
    <row r="266">
      <c r="A266" s="14">
        <v>281.0</v>
      </c>
      <c r="B266" s="14">
        <v>0.0</v>
      </c>
      <c r="C266" s="34">
        <v>4.07</v>
      </c>
      <c r="D266" s="35">
        <v>44653.0</v>
      </c>
      <c r="E266" s="24"/>
      <c r="F266" s="14" t="s">
        <v>6012</v>
      </c>
      <c r="G266" s="14">
        <v>14.48</v>
      </c>
      <c r="H266" s="14">
        <v>0.0</v>
      </c>
      <c r="I266" s="14" t="s">
        <v>6015</v>
      </c>
      <c r="J266" s="14" t="s">
        <v>6012</v>
      </c>
      <c r="K266" s="14" t="s">
        <v>6012</v>
      </c>
      <c r="L266" s="14">
        <v>0.0</v>
      </c>
    </row>
    <row r="267">
      <c r="A267" s="14">
        <v>32.0</v>
      </c>
      <c r="B267" s="14">
        <v>0.0</v>
      </c>
      <c r="C267" s="34">
        <v>0.1</v>
      </c>
      <c r="D267" s="35">
        <v>44653.0</v>
      </c>
      <c r="E267" s="24"/>
      <c r="F267" s="14" t="s">
        <v>6012</v>
      </c>
      <c r="G267" s="14">
        <v>3.12</v>
      </c>
      <c r="H267" s="14">
        <v>0.0</v>
      </c>
      <c r="I267" s="14" t="s">
        <v>6019</v>
      </c>
      <c r="J267" s="14" t="s">
        <v>6012</v>
      </c>
      <c r="K267" s="14" t="s">
        <v>6012</v>
      </c>
      <c r="L267" s="14">
        <v>0.0</v>
      </c>
    </row>
    <row r="268">
      <c r="A268" s="14">
        <v>1798.0</v>
      </c>
      <c r="B268" s="14">
        <v>0.0</v>
      </c>
      <c r="C268" s="34">
        <v>24.79</v>
      </c>
      <c r="D268" s="35">
        <v>44654.0</v>
      </c>
      <c r="E268" s="24"/>
      <c r="F268" s="14" t="s">
        <v>6012</v>
      </c>
      <c r="G268" s="14">
        <v>13.79</v>
      </c>
      <c r="H268" s="14">
        <v>0.0</v>
      </c>
      <c r="I268" s="14" t="s">
        <v>6017</v>
      </c>
      <c r="J268" s="14" t="s">
        <v>6012</v>
      </c>
      <c r="K268" s="14" t="s">
        <v>6012</v>
      </c>
      <c r="L268" s="14">
        <v>0.0</v>
      </c>
    </row>
    <row r="269">
      <c r="A269" s="14">
        <v>28.0</v>
      </c>
      <c r="B269" s="14">
        <v>0.0</v>
      </c>
      <c r="C269" s="34">
        <v>0.09</v>
      </c>
      <c r="D269" s="35">
        <v>44654.0</v>
      </c>
      <c r="E269" s="24"/>
      <c r="F269" s="14" t="s">
        <v>6012</v>
      </c>
      <c r="G269" s="14">
        <v>3.21</v>
      </c>
      <c r="H269" s="14">
        <v>0.0</v>
      </c>
      <c r="I269" s="14" t="s">
        <v>6019</v>
      </c>
      <c r="J269" s="14" t="s">
        <v>6012</v>
      </c>
      <c r="K269" s="14" t="s">
        <v>6012</v>
      </c>
      <c r="L269" s="14">
        <v>0.0</v>
      </c>
    </row>
    <row r="270">
      <c r="A270" s="14">
        <v>2803.0</v>
      </c>
      <c r="B270" s="14">
        <v>9.0</v>
      </c>
      <c r="C270" s="34">
        <v>20.1</v>
      </c>
      <c r="D270" s="35">
        <v>44654.0</v>
      </c>
      <c r="E270" s="24"/>
      <c r="F270" s="14">
        <v>2.23</v>
      </c>
      <c r="G270" s="14">
        <v>7.17</v>
      </c>
      <c r="H270" s="14">
        <v>0.32</v>
      </c>
      <c r="I270" s="14" t="s">
        <v>6022</v>
      </c>
      <c r="J270" s="14">
        <v>88.89</v>
      </c>
      <c r="K270" s="14">
        <v>2.51</v>
      </c>
      <c r="L270" s="14">
        <v>0.0</v>
      </c>
    </row>
    <row r="271">
      <c r="A271" s="14">
        <v>368.0</v>
      </c>
      <c r="B271" s="14">
        <v>0.0</v>
      </c>
      <c r="C271" s="34">
        <v>5.33</v>
      </c>
      <c r="D271" s="35">
        <v>44654.0</v>
      </c>
      <c r="E271" s="24"/>
      <c r="F271" s="14" t="s">
        <v>6012</v>
      </c>
      <c r="G271" s="14">
        <v>14.48</v>
      </c>
      <c r="H271" s="14">
        <v>0.0</v>
      </c>
      <c r="I271" s="14" t="s">
        <v>6015</v>
      </c>
      <c r="J271" s="14" t="s">
        <v>6012</v>
      </c>
      <c r="K271" s="14" t="s">
        <v>6012</v>
      </c>
      <c r="L271" s="14">
        <v>0.0</v>
      </c>
    </row>
    <row r="272">
      <c r="A272" s="14">
        <v>1953.0</v>
      </c>
      <c r="B272" s="14">
        <v>0.0</v>
      </c>
      <c r="C272" s="34">
        <v>24.85</v>
      </c>
      <c r="D272" s="35">
        <v>44654.0</v>
      </c>
      <c r="E272" s="24"/>
      <c r="F272" s="14" t="s">
        <v>6012</v>
      </c>
      <c r="G272" s="14">
        <v>12.72</v>
      </c>
      <c r="H272" s="14">
        <v>0.0</v>
      </c>
      <c r="I272" s="14" t="s">
        <v>6016</v>
      </c>
      <c r="J272" s="14" t="s">
        <v>6012</v>
      </c>
      <c r="K272" s="14" t="s">
        <v>6012</v>
      </c>
      <c r="L272" s="14">
        <v>0.0</v>
      </c>
    </row>
    <row r="273">
      <c r="A273" s="14">
        <v>91.0</v>
      </c>
      <c r="B273" s="14">
        <v>0.0</v>
      </c>
      <c r="C273" s="34">
        <v>0.26</v>
      </c>
      <c r="D273" s="35">
        <v>44654.0</v>
      </c>
      <c r="E273" s="24"/>
      <c r="F273" s="14" t="s">
        <v>6012</v>
      </c>
      <c r="G273" s="14">
        <v>2.86</v>
      </c>
      <c r="H273" s="14">
        <v>0.0</v>
      </c>
      <c r="I273" s="14" t="s">
        <v>6021</v>
      </c>
      <c r="J273" s="14" t="s">
        <v>6012</v>
      </c>
      <c r="K273" s="14" t="s">
        <v>6012</v>
      </c>
      <c r="L273" s="14">
        <v>0.0</v>
      </c>
    </row>
    <row r="274">
      <c r="A274" s="14">
        <v>3031.0</v>
      </c>
      <c r="B274" s="14">
        <v>5.0</v>
      </c>
      <c r="C274" s="34">
        <v>9.24</v>
      </c>
      <c r="D274" s="35">
        <v>44654.0</v>
      </c>
      <c r="E274" s="24"/>
      <c r="F274" s="14">
        <v>1.85</v>
      </c>
      <c r="G274" s="14">
        <v>3.05</v>
      </c>
      <c r="H274" s="14">
        <v>0.16</v>
      </c>
      <c r="I274" s="14" t="s">
        <v>6020</v>
      </c>
      <c r="J274" s="14">
        <v>80.0</v>
      </c>
      <c r="K274" s="14">
        <v>2.31</v>
      </c>
      <c r="L274" s="14">
        <v>0.0</v>
      </c>
    </row>
    <row r="275">
      <c r="A275" s="14">
        <v>3620.0</v>
      </c>
      <c r="B275" s="14">
        <v>2.0</v>
      </c>
      <c r="C275" s="34">
        <v>52.32</v>
      </c>
      <c r="D275" s="35">
        <v>44655.0</v>
      </c>
      <c r="E275" s="24"/>
      <c r="F275" s="14">
        <v>26.16</v>
      </c>
      <c r="G275" s="14">
        <v>14.45</v>
      </c>
      <c r="H275" s="14">
        <v>0.06</v>
      </c>
      <c r="I275" s="14" t="s">
        <v>6015</v>
      </c>
      <c r="J275" s="14">
        <v>50.0</v>
      </c>
      <c r="K275" s="14">
        <v>52.32</v>
      </c>
      <c r="L275" s="14">
        <v>0.0</v>
      </c>
    </row>
    <row r="276">
      <c r="A276" s="14">
        <v>247.0</v>
      </c>
      <c r="B276" s="14">
        <v>0.0</v>
      </c>
      <c r="C276" s="34">
        <v>0.8</v>
      </c>
      <c r="D276" s="35">
        <v>44655.0</v>
      </c>
      <c r="E276" s="24"/>
      <c r="F276" s="14" t="s">
        <v>6012</v>
      </c>
      <c r="G276" s="14">
        <v>3.24</v>
      </c>
      <c r="H276" s="14">
        <v>0.0</v>
      </c>
      <c r="I276" s="14" t="s">
        <v>6019</v>
      </c>
      <c r="J276" s="14" t="s">
        <v>6012</v>
      </c>
      <c r="K276" s="14" t="s">
        <v>6012</v>
      </c>
      <c r="L276" s="14">
        <v>0.0</v>
      </c>
    </row>
    <row r="277">
      <c r="A277" s="14">
        <v>4105.0</v>
      </c>
      <c r="B277" s="14">
        <v>2.0</v>
      </c>
      <c r="C277" s="34">
        <v>52.34</v>
      </c>
      <c r="D277" s="35">
        <v>44655.0</v>
      </c>
      <c r="E277" s="24"/>
      <c r="F277" s="14">
        <v>26.17</v>
      </c>
      <c r="G277" s="14">
        <v>12.75</v>
      </c>
      <c r="H277" s="14">
        <v>0.05</v>
      </c>
      <c r="I277" s="14" t="s">
        <v>6016</v>
      </c>
      <c r="J277" s="14">
        <v>250.0</v>
      </c>
      <c r="K277" s="14">
        <v>10.47</v>
      </c>
      <c r="L277" s="14">
        <v>0.0</v>
      </c>
    </row>
    <row r="278">
      <c r="A278" s="14">
        <v>1233.0</v>
      </c>
      <c r="B278" s="14">
        <v>4.0</v>
      </c>
      <c r="C278" s="34">
        <v>3.51</v>
      </c>
      <c r="D278" s="35">
        <v>44655.0</v>
      </c>
      <c r="E278" s="24"/>
      <c r="F278" s="14">
        <v>0.88</v>
      </c>
      <c r="G278" s="14">
        <v>2.85</v>
      </c>
      <c r="H278" s="14">
        <v>0.32</v>
      </c>
      <c r="I278" s="14" t="s">
        <v>6021</v>
      </c>
      <c r="J278" s="14">
        <v>50.0</v>
      </c>
      <c r="K278" s="14">
        <v>1.76</v>
      </c>
      <c r="L278" s="14">
        <v>0.0</v>
      </c>
    </row>
    <row r="279">
      <c r="A279" s="14">
        <v>3803.0</v>
      </c>
      <c r="B279" s="14">
        <v>4.0</v>
      </c>
      <c r="C279" s="34">
        <v>52.48</v>
      </c>
      <c r="D279" s="35">
        <v>44655.0</v>
      </c>
      <c r="E279" s="24"/>
      <c r="F279" s="14">
        <v>13.12</v>
      </c>
      <c r="G279" s="14">
        <v>13.8</v>
      </c>
      <c r="H279" s="14">
        <v>0.11</v>
      </c>
      <c r="I279" s="14" t="s">
        <v>6017</v>
      </c>
      <c r="J279" s="14">
        <v>75.0</v>
      </c>
      <c r="K279" s="14">
        <v>17.49</v>
      </c>
      <c r="L279" s="14">
        <v>0.0</v>
      </c>
    </row>
    <row r="280">
      <c r="A280" s="14">
        <v>4857.0</v>
      </c>
      <c r="B280" s="14">
        <v>5.0</v>
      </c>
      <c r="C280" s="34">
        <v>14.81</v>
      </c>
      <c r="D280" s="35">
        <v>44655.0</v>
      </c>
      <c r="E280" s="24"/>
      <c r="F280" s="14">
        <v>2.96</v>
      </c>
      <c r="G280" s="14">
        <v>3.05</v>
      </c>
      <c r="H280" s="14">
        <v>0.1</v>
      </c>
      <c r="I280" s="14" t="s">
        <v>6020</v>
      </c>
      <c r="J280" s="14">
        <v>60.0</v>
      </c>
      <c r="K280" s="14">
        <v>4.94</v>
      </c>
      <c r="L280" s="14">
        <v>0.0</v>
      </c>
    </row>
    <row r="281">
      <c r="A281" s="14">
        <v>3305.0</v>
      </c>
      <c r="B281" s="14">
        <v>2.0</v>
      </c>
      <c r="C281" s="34">
        <v>19.21</v>
      </c>
      <c r="D281" s="35">
        <v>44655.0</v>
      </c>
      <c r="E281" s="24"/>
      <c r="F281" s="14">
        <v>9.6</v>
      </c>
      <c r="G281" s="14">
        <v>5.81</v>
      </c>
      <c r="H281" s="14">
        <v>0.06</v>
      </c>
      <c r="I281" s="14" t="s">
        <v>6022</v>
      </c>
      <c r="J281" s="14">
        <v>100.0</v>
      </c>
      <c r="K281" s="14">
        <v>9.6</v>
      </c>
      <c r="L281" s="14">
        <v>0.0</v>
      </c>
    </row>
    <row r="282">
      <c r="A282" s="14">
        <v>161.0</v>
      </c>
      <c r="B282" s="14">
        <v>0.0</v>
      </c>
      <c r="C282" s="34">
        <v>0.52</v>
      </c>
      <c r="D282" s="35">
        <v>44656.0</v>
      </c>
      <c r="E282" s="24"/>
      <c r="F282" s="14" t="s">
        <v>6012</v>
      </c>
      <c r="G282" s="14">
        <v>3.23</v>
      </c>
      <c r="H282" s="14">
        <v>0.0</v>
      </c>
      <c r="I282" s="14" t="s">
        <v>6019</v>
      </c>
      <c r="J282" s="14" t="s">
        <v>6012</v>
      </c>
      <c r="K282" s="14" t="s">
        <v>6012</v>
      </c>
      <c r="L282" s="14">
        <v>0.0</v>
      </c>
    </row>
    <row r="283">
      <c r="A283" s="14">
        <v>1101.0</v>
      </c>
      <c r="B283" s="14">
        <v>5.0</v>
      </c>
      <c r="C283" s="34">
        <v>3.14</v>
      </c>
      <c r="D283" s="35">
        <v>44656.0</v>
      </c>
      <c r="E283" s="24"/>
      <c r="F283" s="14">
        <v>0.63</v>
      </c>
      <c r="G283" s="14">
        <v>2.85</v>
      </c>
      <c r="H283" s="14">
        <v>0.45</v>
      </c>
      <c r="I283" s="14" t="s">
        <v>6021</v>
      </c>
      <c r="J283" s="14">
        <v>20.0</v>
      </c>
      <c r="K283" s="14">
        <v>3.14</v>
      </c>
      <c r="L283" s="14">
        <v>0.0</v>
      </c>
    </row>
    <row r="284">
      <c r="A284" s="14">
        <v>3600.0</v>
      </c>
      <c r="B284" s="14">
        <v>4.0</v>
      </c>
      <c r="C284" s="34">
        <v>21.68</v>
      </c>
      <c r="D284" s="35">
        <v>44656.0</v>
      </c>
      <c r="E284" s="24"/>
      <c r="F284" s="14">
        <v>5.42</v>
      </c>
      <c r="G284" s="14">
        <v>6.02</v>
      </c>
      <c r="H284" s="14">
        <v>0.11</v>
      </c>
      <c r="I284" s="14" t="s">
        <v>6022</v>
      </c>
      <c r="J284" s="14">
        <v>100.0</v>
      </c>
      <c r="K284" s="14">
        <v>5.42</v>
      </c>
      <c r="L284" s="14">
        <v>0.0</v>
      </c>
    </row>
    <row r="285">
      <c r="A285" s="14">
        <v>4591.0</v>
      </c>
      <c r="B285" s="14">
        <v>3.0</v>
      </c>
      <c r="C285" s="34">
        <v>58.54</v>
      </c>
      <c r="D285" s="35">
        <v>44656.0</v>
      </c>
      <c r="E285" s="24"/>
      <c r="F285" s="14">
        <v>19.51</v>
      </c>
      <c r="G285" s="14">
        <v>12.75</v>
      </c>
      <c r="H285" s="14">
        <v>0.07</v>
      </c>
      <c r="I285" s="14" t="s">
        <v>6016</v>
      </c>
      <c r="J285" s="14">
        <v>66.67</v>
      </c>
      <c r="K285" s="14">
        <v>29.27</v>
      </c>
      <c r="L285" s="14">
        <v>0.0</v>
      </c>
    </row>
    <row r="286">
      <c r="A286" s="14">
        <v>4248.0</v>
      </c>
      <c r="B286" s="14">
        <v>2.0</v>
      </c>
      <c r="C286" s="34">
        <v>58.62</v>
      </c>
      <c r="D286" s="35">
        <v>44656.0</v>
      </c>
      <c r="E286" s="24"/>
      <c r="F286" s="14">
        <v>29.31</v>
      </c>
      <c r="G286" s="14">
        <v>13.8</v>
      </c>
      <c r="H286" s="14">
        <v>0.05</v>
      </c>
      <c r="I286" s="14" t="s">
        <v>6017</v>
      </c>
      <c r="J286" s="14">
        <v>100.0</v>
      </c>
      <c r="K286" s="14">
        <v>29.31</v>
      </c>
      <c r="L286" s="14">
        <v>0.0</v>
      </c>
    </row>
    <row r="287">
      <c r="A287" s="14">
        <v>4045.0</v>
      </c>
      <c r="B287" s="14">
        <v>4.0</v>
      </c>
      <c r="C287" s="34">
        <v>58.46</v>
      </c>
      <c r="D287" s="35">
        <v>44656.0</v>
      </c>
      <c r="E287" s="24"/>
      <c r="F287" s="14">
        <v>14.62</v>
      </c>
      <c r="G287" s="14">
        <v>14.45</v>
      </c>
      <c r="H287" s="14">
        <v>0.1</v>
      </c>
      <c r="I287" s="14" t="s">
        <v>6015</v>
      </c>
      <c r="J287" s="14">
        <v>50.0</v>
      </c>
      <c r="K287" s="14">
        <v>29.23</v>
      </c>
      <c r="L287" s="14">
        <v>0.0</v>
      </c>
    </row>
    <row r="288">
      <c r="A288" s="14">
        <v>5039.0</v>
      </c>
      <c r="B288" s="14">
        <v>5.0</v>
      </c>
      <c r="C288" s="34">
        <v>15.37</v>
      </c>
      <c r="D288" s="35">
        <v>44656.0</v>
      </c>
      <c r="E288" s="24"/>
      <c r="F288" s="14">
        <v>3.07</v>
      </c>
      <c r="G288" s="14">
        <v>3.05</v>
      </c>
      <c r="H288" s="14">
        <v>0.1</v>
      </c>
      <c r="I288" s="14" t="s">
        <v>6020</v>
      </c>
      <c r="J288" s="14">
        <v>100.0</v>
      </c>
      <c r="K288" s="14">
        <v>3.07</v>
      </c>
      <c r="L288" s="14">
        <v>0.0</v>
      </c>
    </row>
    <row r="289">
      <c r="A289" s="14">
        <v>134.0</v>
      </c>
      <c r="B289" s="14">
        <v>0.0</v>
      </c>
      <c r="C289" s="34">
        <v>0.44</v>
      </c>
      <c r="D289" s="35">
        <v>44657.0</v>
      </c>
      <c r="E289" s="24"/>
      <c r="F289" s="14" t="s">
        <v>6012</v>
      </c>
      <c r="G289" s="14">
        <v>3.28</v>
      </c>
      <c r="H289" s="14">
        <v>0.0</v>
      </c>
      <c r="I289" s="14" t="s">
        <v>6019</v>
      </c>
      <c r="J289" s="14" t="s">
        <v>6012</v>
      </c>
      <c r="K289" s="14">
        <v>0.44</v>
      </c>
      <c r="L289" s="14">
        <v>0.0</v>
      </c>
    </row>
    <row r="290">
      <c r="A290" s="14">
        <v>2529.0</v>
      </c>
      <c r="B290" s="14">
        <v>2.0</v>
      </c>
      <c r="C290" s="34">
        <v>34.9</v>
      </c>
      <c r="D290" s="35">
        <v>44657.0</v>
      </c>
      <c r="E290" s="24"/>
      <c r="F290" s="14">
        <v>17.45</v>
      </c>
      <c r="G290" s="14">
        <v>13.8</v>
      </c>
      <c r="H290" s="14">
        <v>0.08</v>
      </c>
      <c r="I290" s="14" t="s">
        <v>6017</v>
      </c>
      <c r="J290" s="14">
        <v>200.0</v>
      </c>
      <c r="K290" s="14">
        <v>8.72</v>
      </c>
      <c r="L290" s="14">
        <v>0.0</v>
      </c>
    </row>
    <row r="291">
      <c r="A291" s="14">
        <v>4856.0</v>
      </c>
      <c r="B291" s="14">
        <v>6.0</v>
      </c>
      <c r="C291" s="34">
        <v>14.81</v>
      </c>
      <c r="D291" s="35">
        <v>44657.0</v>
      </c>
      <c r="E291" s="24"/>
      <c r="F291" s="14">
        <v>2.47</v>
      </c>
      <c r="G291" s="14">
        <v>3.05</v>
      </c>
      <c r="H291" s="14">
        <v>0.12</v>
      </c>
      <c r="I291" s="14" t="s">
        <v>6020</v>
      </c>
      <c r="J291" s="14">
        <v>66.67</v>
      </c>
      <c r="K291" s="14">
        <v>3.7</v>
      </c>
      <c r="L291" s="14">
        <v>0.0</v>
      </c>
    </row>
    <row r="292">
      <c r="A292" s="14">
        <v>3681.0</v>
      </c>
      <c r="B292" s="14">
        <v>4.0</v>
      </c>
      <c r="C292" s="34">
        <v>26.44</v>
      </c>
      <c r="D292" s="35">
        <v>44657.0</v>
      </c>
      <c r="E292" s="24"/>
      <c r="F292" s="14">
        <v>6.61</v>
      </c>
      <c r="G292" s="14">
        <v>7.18</v>
      </c>
      <c r="H292" s="14">
        <v>0.11</v>
      </c>
      <c r="I292" s="14" t="s">
        <v>6022</v>
      </c>
      <c r="J292" s="14">
        <v>125.0</v>
      </c>
      <c r="K292" s="14">
        <v>5.29</v>
      </c>
      <c r="L292" s="14">
        <v>0.0</v>
      </c>
    </row>
    <row r="293">
      <c r="A293" s="14">
        <v>2101.0</v>
      </c>
      <c r="B293" s="14">
        <v>1.0</v>
      </c>
      <c r="C293" s="34">
        <v>26.79</v>
      </c>
      <c r="D293" s="35">
        <v>44657.0</v>
      </c>
      <c r="E293" s="24"/>
      <c r="F293" s="14">
        <v>26.79</v>
      </c>
      <c r="G293" s="14">
        <v>12.75</v>
      </c>
      <c r="H293" s="14">
        <v>0.05</v>
      </c>
      <c r="I293" s="14" t="s">
        <v>6016</v>
      </c>
      <c r="J293" s="14">
        <v>100.0</v>
      </c>
      <c r="K293" s="14">
        <v>26.79</v>
      </c>
      <c r="L293" s="14">
        <v>0.0</v>
      </c>
    </row>
    <row r="294">
      <c r="A294" s="14">
        <v>981.0</v>
      </c>
      <c r="B294" s="14">
        <v>0.0</v>
      </c>
      <c r="C294" s="34">
        <v>14.18</v>
      </c>
      <c r="D294" s="35">
        <v>44657.0</v>
      </c>
      <c r="E294" s="24"/>
      <c r="F294" s="14" t="s">
        <v>6012</v>
      </c>
      <c r="G294" s="14">
        <v>14.45</v>
      </c>
      <c r="H294" s="14">
        <v>0.0</v>
      </c>
      <c r="I294" s="14" t="s">
        <v>6015</v>
      </c>
      <c r="J294" s="14" t="s">
        <v>6012</v>
      </c>
      <c r="K294" s="14" t="s">
        <v>6012</v>
      </c>
      <c r="L294" s="14">
        <v>0.0</v>
      </c>
    </row>
    <row r="295">
      <c r="A295" s="14">
        <v>933.0</v>
      </c>
      <c r="B295" s="14">
        <v>0.0</v>
      </c>
      <c r="C295" s="34">
        <v>2.66</v>
      </c>
      <c r="D295" s="35">
        <v>44657.0</v>
      </c>
      <c r="E295" s="24"/>
      <c r="F295" s="14" t="s">
        <v>6012</v>
      </c>
      <c r="G295" s="14">
        <v>2.85</v>
      </c>
      <c r="H295" s="14">
        <v>0.0</v>
      </c>
      <c r="I295" s="14" t="s">
        <v>6021</v>
      </c>
      <c r="J295" s="14" t="s">
        <v>6012</v>
      </c>
      <c r="K295" s="14" t="s">
        <v>6012</v>
      </c>
      <c r="L295" s="14">
        <v>0.0</v>
      </c>
    </row>
    <row r="296">
      <c r="A296" s="14">
        <v>0.0</v>
      </c>
      <c r="B296" s="14">
        <v>0.0</v>
      </c>
      <c r="C296" s="34"/>
      <c r="D296" s="35">
        <v>44658.0</v>
      </c>
      <c r="E296" s="24"/>
      <c r="F296" s="14" t="s">
        <v>6012</v>
      </c>
      <c r="G296" s="14" t="s">
        <v>6012</v>
      </c>
      <c r="H296" s="14" t="s">
        <v>6012</v>
      </c>
      <c r="I296" s="14" t="s">
        <v>6017</v>
      </c>
      <c r="J296" s="14" t="s">
        <v>6012</v>
      </c>
      <c r="K296" s="14" t="s">
        <v>6012</v>
      </c>
      <c r="L296" s="14"/>
    </row>
    <row r="297">
      <c r="A297" s="14">
        <v>4034.0</v>
      </c>
      <c r="B297" s="14">
        <v>8.0</v>
      </c>
      <c r="C297" s="34">
        <v>29.78</v>
      </c>
      <c r="D297" s="35">
        <v>44658.0</v>
      </c>
      <c r="E297" s="24"/>
      <c r="F297" s="14">
        <v>3.72</v>
      </c>
      <c r="G297" s="14">
        <v>7.38</v>
      </c>
      <c r="H297" s="14">
        <v>0.2</v>
      </c>
      <c r="I297" s="14" t="s">
        <v>6022</v>
      </c>
      <c r="J297" s="14">
        <v>75.0</v>
      </c>
      <c r="K297" s="14">
        <v>4.96</v>
      </c>
      <c r="L297" s="14">
        <v>0.0</v>
      </c>
    </row>
    <row r="298">
      <c r="A298" s="14">
        <v>0.0</v>
      </c>
      <c r="B298" s="14">
        <v>0.0</v>
      </c>
      <c r="C298" s="34"/>
      <c r="D298" s="35">
        <v>44658.0</v>
      </c>
      <c r="E298" s="24"/>
      <c r="F298" s="14" t="s">
        <v>6012</v>
      </c>
      <c r="G298" s="14" t="s">
        <v>6012</v>
      </c>
      <c r="H298" s="14" t="s">
        <v>6012</v>
      </c>
      <c r="I298" s="14" t="s">
        <v>6020</v>
      </c>
      <c r="J298" s="14" t="s">
        <v>6012</v>
      </c>
      <c r="K298" s="14" t="s">
        <v>6012</v>
      </c>
      <c r="L298" s="14"/>
    </row>
    <row r="299">
      <c r="A299" s="14">
        <v>0.0</v>
      </c>
      <c r="B299" s="14">
        <v>0.0</v>
      </c>
      <c r="C299" s="34"/>
      <c r="D299" s="35">
        <v>44658.0</v>
      </c>
      <c r="E299" s="24"/>
      <c r="F299" s="14" t="s">
        <v>6012</v>
      </c>
      <c r="G299" s="14" t="s">
        <v>6012</v>
      </c>
      <c r="H299" s="14" t="s">
        <v>6012</v>
      </c>
      <c r="I299" s="14" t="s">
        <v>6016</v>
      </c>
      <c r="J299" s="14" t="s">
        <v>6012</v>
      </c>
      <c r="K299" s="14" t="s">
        <v>6012</v>
      </c>
      <c r="L299" s="14"/>
    </row>
    <row r="300">
      <c r="A300" s="14">
        <v>1356.0</v>
      </c>
      <c r="B300" s="14">
        <v>49.0</v>
      </c>
      <c r="C300" s="34">
        <v>37.32</v>
      </c>
      <c r="D300" s="35">
        <v>44658.0</v>
      </c>
      <c r="E300" s="24"/>
      <c r="F300" s="14">
        <v>0.76</v>
      </c>
      <c r="G300" s="14">
        <v>27.52</v>
      </c>
      <c r="H300" s="14">
        <v>3.61</v>
      </c>
      <c r="I300" s="14" t="s">
        <v>6024</v>
      </c>
      <c r="J300" s="14">
        <v>140.82</v>
      </c>
      <c r="K300" s="14">
        <v>0.54</v>
      </c>
      <c r="L300" s="14">
        <v>0.0</v>
      </c>
    </row>
    <row r="301">
      <c r="A301" s="14">
        <v>0.0</v>
      </c>
      <c r="B301" s="14">
        <v>0.0</v>
      </c>
      <c r="C301" s="34"/>
      <c r="D301" s="35">
        <v>44659.0</v>
      </c>
      <c r="E301" s="24"/>
      <c r="F301" s="14" t="s">
        <v>6012</v>
      </c>
      <c r="G301" s="14" t="s">
        <v>6012</v>
      </c>
      <c r="H301" s="14" t="s">
        <v>6012</v>
      </c>
      <c r="I301" s="14" t="s">
        <v>6020</v>
      </c>
      <c r="J301" s="14" t="s">
        <v>6012</v>
      </c>
      <c r="K301" s="14" t="s">
        <v>6012</v>
      </c>
      <c r="L301" s="14"/>
    </row>
    <row r="302">
      <c r="A302" s="14">
        <v>4228.0</v>
      </c>
      <c r="B302" s="14">
        <v>14.0</v>
      </c>
      <c r="C302" s="34">
        <v>26.8</v>
      </c>
      <c r="D302" s="35">
        <v>44659.0</v>
      </c>
      <c r="E302" s="24"/>
      <c r="F302" s="14">
        <v>1.91</v>
      </c>
      <c r="G302" s="14">
        <v>6.34</v>
      </c>
      <c r="H302" s="14">
        <v>0.33</v>
      </c>
      <c r="I302" s="14" t="s">
        <v>6022</v>
      </c>
      <c r="J302" s="14">
        <v>28.57</v>
      </c>
      <c r="K302" s="14">
        <v>6.7</v>
      </c>
      <c r="L302" s="14">
        <v>0.0</v>
      </c>
    </row>
    <row r="303">
      <c r="A303" s="14">
        <v>302.0</v>
      </c>
      <c r="B303" s="14">
        <v>12.0</v>
      </c>
      <c r="C303" s="34">
        <v>22.5</v>
      </c>
      <c r="D303" s="35">
        <v>44659.0</v>
      </c>
      <c r="E303" s="24"/>
      <c r="F303" s="14">
        <v>1.88</v>
      </c>
      <c r="G303" s="14">
        <v>74.5</v>
      </c>
      <c r="H303" s="14">
        <v>3.97</v>
      </c>
      <c r="I303" s="14" t="s">
        <v>6025</v>
      </c>
      <c r="J303" s="14">
        <v>91.67</v>
      </c>
      <c r="K303" s="14">
        <v>2.05</v>
      </c>
      <c r="L303" s="14">
        <v>0.0</v>
      </c>
    </row>
    <row r="304">
      <c r="A304" s="14">
        <v>0.0</v>
      </c>
      <c r="B304" s="14">
        <v>0.0</v>
      </c>
      <c r="C304" s="34"/>
      <c r="D304" s="35">
        <v>44659.0</v>
      </c>
      <c r="E304" s="24"/>
      <c r="F304" s="14" t="s">
        <v>6012</v>
      </c>
      <c r="G304" s="14" t="s">
        <v>6012</v>
      </c>
      <c r="H304" s="14" t="s">
        <v>6012</v>
      </c>
      <c r="I304" s="14" t="s">
        <v>6016</v>
      </c>
      <c r="J304" s="14" t="s">
        <v>6012</v>
      </c>
      <c r="K304" s="14" t="s">
        <v>6012</v>
      </c>
      <c r="L304" s="14"/>
    </row>
    <row r="305">
      <c r="A305" s="14">
        <v>0.0</v>
      </c>
      <c r="B305" s="14">
        <v>0.0</v>
      </c>
      <c r="C305" s="34"/>
      <c r="D305" s="35">
        <v>44659.0</v>
      </c>
      <c r="E305" s="24"/>
      <c r="F305" s="14" t="s">
        <v>6012</v>
      </c>
      <c r="G305" s="14" t="s">
        <v>6012</v>
      </c>
      <c r="H305" s="14" t="s">
        <v>6012</v>
      </c>
      <c r="I305" s="14" t="s">
        <v>6021</v>
      </c>
      <c r="J305" s="14" t="s">
        <v>6012</v>
      </c>
      <c r="K305" s="14" t="s">
        <v>6012</v>
      </c>
      <c r="L305" s="14"/>
    </row>
    <row r="306">
      <c r="A306" s="14">
        <v>439.0</v>
      </c>
      <c r="B306" s="14">
        <v>5.0</v>
      </c>
      <c r="C306" s="34">
        <v>19.36</v>
      </c>
      <c r="D306" s="35">
        <v>44659.0</v>
      </c>
      <c r="E306" s="24"/>
      <c r="F306" s="14">
        <v>3.87</v>
      </c>
      <c r="G306" s="14">
        <v>44.1</v>
      </c>
      <c r="H306" s="14">
        <v>1.14</v>
      </c>
      <c r="I306" s="14" t="s">
        <v>6024</v>
      </c>
      <c r="J306" s="14">
        <v>80.0</v>
      </c>
      <c r="K306" s="14">
        <v>4.84</v>
      </c>
      <c r="L306" s="14">
        <v>0.0</v>
      </c>
    </row>
    <row r="307">
      <c r="A307" s="14">
        <v>0.0</v>
      </c>
      <c r="B307" s="14">
        <v>0.0</v>
      </c>
      <c r="C307" s="34"/>
      <c r="D307" s="35">
        <v>44660.0</v>
      </c>
      <c r="E307" s="24"/>
      <c r="F307" s="14" t="s">
        <v>6012</v>
      </c>
      <c r="G307" s="14" t="s">
        <v>6012</v>
      </c>
      <c r="H307" s="14" t="s">
        <v>6012</v>
      </c>
      <c r="I307" s="14" t="s">
        <v>6016</v>
      </c>
      <c r="J307" s="14" t="s">
        <v>6012</v>
      </c>
      <c r="K307" s="14" t="s">
        <v>6012</v>
      </c>
      <c r="L307" s="14"/>
    </row>
    <row r="308">
      <c r="A308" s="14">
        <v>973.0</v>
      </c>
      <c r="B308" s="14">
        <v>21.0</v>
      </c>
      <c r="C308" s="34">
        <v>19.81</v>
      </c>
      <c r="D308" s="35">
        <v>44660.0</v>
      </c>
      <c r="E308" s="24"/>
      <c r="F308" s="14">
        <v>0.94</v>
      </c>
      <c r="G308" s="14">
        <v>20.36</v>
      </c>
      <c r="H308" s="14">
        <v>2.16</v>
      </c>
      <c r="I308" s="14" t="s">
        <v>6025</v>
      </c>
      <c r="J308" s="14">
        <v>71.43</v>
      </c>
      <c r="K308" s="14">
        <v>1.32</v>
      </c>
      <c r="L308" s="14">
        <v>0.0</v>
      </c>
    </row>
    <row r="309">
      <c r="A309" s="14">
        <v>0.0</v>
      </c>
      <c r="B309" s="14">
        <v>0.0</v>
      </c>
      <c r="C309" s="34"/>
      <c r="D309" s="35">
        <v>44660.0</v>
      </c>
      <c r="E309" s="24"/>
      <c r="F309" s="14" t="s">
        <v>6012</v>
      </c>
      <c r="G309" s="14" t="s">
        <v>6012</v>
      </c>
      <c r="H309" s="14" t="s">
        <v>6012</v>
      </c>
      <c r="I309" s="14" t="s">
        <v>6015</v>
      </c>
      <c r="J309" s="14" t="s">
        <v>6012</v>
      </c>
      <c r="K309" s="14" t="s">
        <v>6012</v>
      </c>
      <c r="L309" s="14"/>
    </row>
    <row r="310">
      <c r="A310" s="14">
        <v>2181.0</v>
      </c>
      <c r="B310" s="14">
        <v>9.0</v>
      </c>
      <c r="C310" s="34">
        <v>13.75</v>
      </c>
      <c r="D310" s="35">
        <v>44660.0</v>
      </c>
      <c r="E310" s="24"/>
      <c r="F310" s="14">
        <v>1.53</v>
      </c>
      <c r="G310" s="14">
        <v>6.3</v>
      </c>
      <c r="H310" s="14">
        <v>0.41</v>
      </c>
      <c r="I310" s="14" t="s">
        <v>6022</v>
      </c>
      <c r="J310" s="14">
        <v>133.33</v>
      </c>
      <c r="K310" s="14">
        <v>1.15</v>
      </c>
      <c r="L310" s="14">
        <v>0.0</v>
      </c>
    </row>
    <row r="311">
      <c r="A311" s="14">
        <v>290.0</v>
      </c>
      <c r="B311" s="14">
        <v>5.0</v>
      </c>
      <c r="C311" s="34">
        <v>30.5</v>
      </c>
      <c r="D311" s="35">
        <v>44660.0</v>
      </c>
      <c r="E311" s="24"/>
      <c r="F311" s="14">
        <v>6.1</v>
      </c>
      <c r="G311" s="14">
        <v>105.17</v>
      </c>
      <c r="H311" s="14">
        <v>1.72</v>
      </c>
      <c r="I311" s="14" t="s">
        <v>6024</v>
      </c>
      <c r="J311" s="14">
        <v>120.0</v>
      </c>
      <c r="K311" s="14">
        <v>5.08</v>
      </c>
      <c r="L311" s="14">
        <v>0.0</v>
      </c>
    </row>
    <row r="312">
      <c r="A312" s="14">
        <v>0.0</v>
      </c>
      <c r="B312" s="14">
        <v>0.0</v>
      </c>
      <c r="C312" s="34"/>
      <c r="D312" s="35">
        <v>44660.0</v>
      </c>
      <c r="E312" s="24"/>
      <c r="F312" s="14" t="s">
        <v>6012</v>
      </c>
      <c r="G312" s="14" t="s">
        <v>6012</v>
      </c>
      <c r="H312" s="14" t="s">
        <v>6012</v>
      </c>
      <c r="I312" s="14" t="s">
        <v>6017</v>
      </c>
      <c r="J312" s="14" t="s">
        <v>6012</v>
      </c>
      <c r="K312" s="14" t="s">
        <v>6012</v>
      </c>
      <c r="L312" s="14"/>
    </row>
    <row r="313">
      <c r="A313" s="14">
        <v>0.0</v>
      </c>
      <c r="B313" s="14">
        <v>0.0</v>
      </c>
      <c r="C313" s="34"/>
      <c r="D313" s="35">
        <v>44660.0</v>
      </c>
      <c r="E313" s="24"/>
      <c r="F313" s="14" t="s">
        <v>6012</v>
      </c>
      <c r="G313" s="14" t="s">
        <v>6012</v>
      </c>
      <c r="H313" s="14" t="s">
        <v>6012</v>
      </c>
      <c r="I313" s="14" t="s">
        <v>6021</v>
      </c>
      <c r="J313" s="14" t="s">
        <v>6012</v>
      </c>
      <c r="K313" s="14" t="s">
        <v>6012</v>
      </c>
      <c r="L313" s="14"/>
    </row>
    <row r="314">
      <c r="A314" s="14">
        <v>398.0</v>
      </c>
      <c r="B314" s="14">
        <v>6.0</v>
      </c>
      <c r="C314" s="34">
        <v>30.73</v>
      </c>
      <c r="D314" s="35">
        <v>44661.0</v>
      </c>
      <c r="E314" s="24"/>
      <c r="F314" s="14">
        <v>5.12</v>
      </c>
      <c r="G314" s="14">
        <v>77.21</v>
      </c>
      <c r="H314" s="14">
        <v>1.51</v>
      </c>
      <c r="I314" s="14" t="s">
        <v>6024</v>
      </c>
      <c r="J314" s="14">
        <v>133.33</v>
      </c>
      <c r="K314" s="14">
        <v>3.84</v>
      </c>
      <c r="L314" s="14">
        <v>0.0</v>
      </c>
    </row>
    <row r="315">
      <c r="A315" s="14">
        <v>1151.0</v>
      </c>
      <c r="B315" s="14">
        <v>13.0</v>
      </c>
      <c r="C315" s="34">
        <v>17.69</v>
      </c>
      <c r="D315" s="35">
        <v>44661.0</v>
      </c>
      <c r="E315" s="24"/>
      <c r="F315" s="14">
        <v>1.36</v>
      </c>
      <c r="G315" s="14">
        <v>15.37</v>
      </c>
      <c r="H315" s="14">
        <v>1.13</v>
      </c>
      <c r="I315" s="14" t="s">
        <v>6025</v>
      </c>
      <c r="J315" s="14">
        <v>38.46</v>
      </c>
      <c r="K315" s="14">
        <v>3.54</v>
      </c>
      <c r="L315" s="14">
        <v>0.0</v>
      </c>
    </row>
    <row r="316">
      <c r="A316" s="14">
        <v>1918.0</v>
      </c>
      <c r="B316" s="14">
        <v>1.0</v>
      </c>
      <c r="C316" s="34">
        <v>12.12</v>
      </c>
      <c r="D316" s="35">
        <v>44661.0</v>
      </c>
      <c r="E316" s="24"/>
      <c r="F316" s="14">
        <v>12.12</v>
      </c>
      <c r="G316" s="14">
        <v>6.32</v>
      </c>
      <c r="H316" s="14">
        <v>0.05</v>
      </c>
      <c r="I316" s="14" t="s">
        <v>6022</v>
      </c>
      <c r="J316" s="14">
        <v>0.0</v>
      </c>
      <c r="K316" s="14" t="s">
        <v>6012</v>
      </c>
      <c r="L316" s="14">
        <v>0.0</v>
      </c>
    </row>
    <row r="317">
      <c r="A317" s="14">
        <v>3624.0</v>
      </c>
      <c r="B317" s="14">
        <v>6.0</v>
      </c>
      <c r="C317" s="34">
        <v>23.86</v>
      </c>
      <c r="D317" s="35">
        <v>44662.0</v>
      </c>
      <c r="E317" s="24"/>
      <c r="F317" s="14">
        <v>3.98</v>
      </c>
      <c r="G317" s="14">
        <v>6.58</v>
      </c>
      <c r="H317" s="14">
        <v>0.17</v>
      </c>
      <c r="I317" s="14" t="s">
        <v>6022</v>
      </c>
      <c r="J317" s="14">
        <v>66.67</v>
      </c>
      <c r="K317" s="14">
        <v>5.96</v>
      </c>
      <c r="L317" s="14">
        <v>0.0</v>
      </c>
    </row>
    <row r="318">
      <c r="A318" s="14">
        <v>0.0</v>
      </c>
      <c r="B318" s="14">
        <v>0.0</v>
      </c>
      <c r="C318" s="34"/>
      <c r="D318" s="35">
        <v>44662.0</v>
      </c>
      <c r="E318" s="24"/>
      <c r="F318" s="14" t="s">
        <v>6012</v>
      </c>
      <c r="G318" s="14" t="s">
        <v>6012</v>
      </c>
      <c r="H318" s="14" t="s">
        <v>6012</v>
      </c>
      <c r="I318" s="14" t="s">
        <v>6020</v>
      </c>
      <c r="J318" s="14" t="s">
        <v>6012</v>
      </c>
      <c r="K318" s="14" t="s">
        <v>6012</v>
      </c>
      <c r="L318" s="14"/>
    </row>
    <row r="319">
      <c r="A319" s="14">
        <v>1077.0</v>
      </c>
      <c r="B319" s="14">
        <v>16.0</v>
      </c>
      <c r="C319" s="34">
        <v>27.41</v>
      </c>
      <c r="D319" s="35">
        <v>44662.0</v>
      </c>
      <c r="E319" s="24"/>
      <c r="F319" s="14">
        <v>1.71</v>
      </c>
      <c r="G319" s="14">
        <v>25.45</v>
      </c>
      <c r="H319" s="14">
        <v>1.49</v>
      </c>
      <c r="I319" s="14" t="s">
        <v>6025</v>
      </c>
      <c r="J319" s="14">
        <v>100.0</v>
      </c>
      <c r="K319" s="14">
        <v>1.71</v>
      </c>
      <c r="L319" s="14">
        <v>0.0</v>
      </c>
    </row>
    <row r="320">
      <c r="A320" s="14">
        <v>1390.0</v>
      </c>
      <c r="B320" s="14">
        <v>10.0</v>
      </c>
      <c r="C320" s="34">
        <v>34.4</v>
      </c>
      <c r="D320" s="35">
        <v>44662.0</v>
      </c>
      <c r="E320" s="24"/>
      <c r="F320" s="14">
        <v>3.44</v>
      </c>
      <c r="G320" s="14">
        <v>24.75</v>
      </c>
      <c r="H320" s="14">
        <v>0.72</v>
      </c>
      <c r="I320" s="14" t="s">
        <v>6024</v>
      </c>
      <c r="J320" s="14">
        <v>70.0</v>
      </c>
      <c r="K320" s="14">
        <v>4.91</v>
      </c>
      <c r="L320" s="14">
        <v>0.0</v>
      </c>
    </row>
    <row r="321">
      <c r="A321" s="14">
        <v>0.0</v>
      </c>
      <c r="B321" s="14">
        <v>0.0</v>
      </c>
      <c r="C321" s="34"/>
      <c r="D321" s="35">
        <v>44662.0</v>
      </c>
      <c r="E321" s="24"/>
      <c r="F321" s="14" t="s">
        <v>6012</v>
      </c>
      <c r="G321" s="14" t="s">
        <v>6012</v>
      </c>
      <c r="H321" s="14" t="s">
        <v>6012</v>
      </c>
      <c r="I321" s="14" t="s">
        <v>6019</v>
      </c>
      <c r="J321" s="14" t="s">
        <v>6012</v>
      </c>
      <c r="K321" s="14" t="s">
        <v>6012</v>
      </c>
      <c r="L321" s="14"/>
    </row>
    <row r="322">
      <c r="A322" s="14">
        <v>0.0</v>
      </c>
      <c r="B322" s="14">
        <v>0.0</v>
      </c>
      <c r="C322" s="34"/>
      <c r="D322" s="35">
        <v>44662.0</v>
      </c>
      <c r="E322" s="24"/>
      <c r="F322" s="14" t="s">
        <v>6012</v>
      </c>
      <c r="G322" s="14" t="s">
        <v>6012</v>
      </c>
      <c r="H322" s="14" t="s">
        <v>6012</v>
      </c>
      <c r="I322" s="14" t="s">
        <v>6021</v>
      </c>
      <c r="J322" s="14" t="s">
        <v>6012</v>
      </c>
      <c r="K322" s="14" t="s">
        <v>6012</v>
      </c>
      <c r="L322" s="14"/>
    </row>
    <row r="323">
      <c r="A323" s="14">
        <v>0.0</v>
      </c>
      <c r="B323" s="14">
        <v>0.0</v>
      </c>
      <c r="C323" s="34"/>
      <c r="D323" s="35">
        <v>44662.0</v>
      </c>
      <c r="E323" s="24"/>
      <c r="F323" s="14" t="s">
        <v>6012</v>
      </c>
      <c r="G323" s="14" t="s">
        <v>6012</v>
      </c>
      <c r="H323" s="14" t="s">
        <v>6012</v>
      </c>
      <c r="I323" s="14" t="s">
        <v>6015</v>
      </c>
      <c r="J323" s="14" t="s">
        <v>6012</v>
      </c>
      <c r="K323" s="14" t="s">
        <v>6012</v>
      </c>
      <c r="L323" s="14"/>
    </row>
    <row r="324">
      <c r="A324" s="14">
        <v>1782.0</v>
      </c>
      <c r="B324" s="14">
        <v>84.0</v>
      </c>
      <c r="C324" s="34">
        <v>38.54</v>
      </c>
      <c r="D324" s="35">
        <v>44663.0</v>
      </c>
      <c r="E324" s="24"/>
      <c r="F324" s="14">
        <v>0.46</v>
      </c>
      <c r="G324" s="14">
        <v>21.63</v>
      </c>
      <c r="H324" s="14">
        <v>4.71</v>
      </c>
      <c r="I324" s="14" t="s">
        <v>6024</v>
      </c>
      <c r="J324" s="14">
        <v>110.71</v>
      </c>
      <c r="K324" s="14">
        <v>0.41</v>
      </c>
      <c r="L324" s="14">
        <v>0.0</v>
      </c>
    </row>
    <row r="325">
      <c r="A325" s="14">
        <v>0.0</v>
      </c>
      <c r="B325" s="14">
        <v>0.0</v>
      </c>
      <c r="C325" s="34"/>
      <c r="D325" s="35">
        <v>44663.0</v>
      </c>
      <c r="E325" s="24"/>
      <c r="F325" s="14" t="s">
        <v>6012</v>
      </c>
      <c r="G325" s="14" t="s">
        <v>6012</v>
      </c>
      <c r="H325" s="14" t="s">
        <v>6012</v>
      </c>
      <c r="I325" s="14" t="s">
        <v>6021</v>
      </c>
      <c r="J325" s="14" t="s">
        <v>6012</v>
      </c>
      <c r="K325" s="14" t="s">
        <v>6012</v>
      </c>
      <c r="L325" s="14"/>
    </row>
    <row r="326">
      <c r="A326" s="14">
        <v>2949.0</v>
      </c>
      <c r="B326" s="14">
        <v>69.0</v>
      </c>
      <c r="C326" s="34">
        <v>24.6</v>
      </c>
      <c r="D326" s="35">
        <v>44663.0</v>
      </c>
      <c r="E326" s="24"/>
      <c r="F326" s="14">
        <v>0.36</v>
      </c>
      <c r="G326" s="14">
        <v>8.34</v>
      </c>
      <c r="H326" s="14">
        <v>2.34</v>
      </c>
      <c r="I326" s="14" t="s">
        <v>6022</v>
      </c>
      <c r="J326" s="14">
        <v>149.28</v>
      </c>
      <c r="K326" s="14">
        <v>0.24</v>
      </c>
      <c r="L326" s="14">
        <v>0.0</v>
      </c>
    </row>
    <row r="327">
      <c r="A327" s="14">
        <v>0.0</v>
      </c>
      <c r="B327" s="14">
        <v>0.0</v>
      </c>
      <c r="C327" s="34"/>
      <c r="D327" s="35">
        <v>44663.0</v>
      </c>
      <c r="E327" s="24"/>
      <c r="F327" s="14" t="s">
        <v>6012</v>
      </c>
      <c r="G327" s="14" t="s">
        <v>6012</v>
      </c>
      <c r="H327" s="14" t="s">
        <v>6012</v>
      </c>
      <c r="I327" s="14" t="s">
        <v>6019</v>
      </c>
      <c r="J327" s="14" t="s">
        <v>6012</v>
      </c>
      <c r="K327" s="14" t="s">
        <v>6012</v>
      </c>
      <c r="L327" s="14"/>
    </row>
    <row r="328">
      <c r="A328" s="14">
        <v>0.0</v>
      </c>
      <c r="B328" s="14">
        <v>0.0</v>
      </c>
      <c r="C328" s="34"/>
      <c r="D328" s="35">
        <v>44663.0</v>
      </c>
      <c r="E328" s="24"/>
      <c r="F328" s="14" t="s">
        <v>6012</v>
      </c>
      <c r="G328" s="14" t="s">
        <v>6012</v>
      </c>
      <c r="H328" s="14" t="s">
        <v>6012</v>
      </c>
      <c r="I328" s="14" t="s">
        <v>6017</v>
      </c>
      <c r="J328" s="14" t="s">
        <v>6012</v>
      </c>
      <c r="K328" s="14" t="s">
        <v>6012</v>
      </c>
      <c r="L328" s="14"/>
    </row>
    <row r="329">
      <c r="A329" s="14">
        <v>1047.0</v>
      </c>
      <c r="B329" s="14">
        <v>24.0</v>
      </c>
      <c r="C329" s="34">
        <v>23.12</v>
      </c>
      <c r="D329" s="35">
        <v>44663.0</v>
      </c>
      <c r="E329" s="24"/>
      <c r="F329" s="14">
        <v>0.96</v>
      </c>
      <c r="G329" s="14">
        <v>22.08</v>
      </c>
      <c r="H329" s="14">
        <v>2.29</v>
      </c>
      <c r="I329" s="14" t="s">
        <v>6026</v>
      </c>
      <c r="J329" s="14">
        <v>70.83</v>
      </c>
      <c r="K329" s="14">
        <v>1.36</v>
      </c>
      <c r="L329" s="14">
        <v>0.0</v>
      </c>
    </row>
    <row r="330">
      <c r="A330" s="14">
        <v>0.0</v>
      </c>
      <c r="B330" s="14">
        <v>0.0</v>
      </c>
      <c r="C330" s="34"/>
      <c r="D330" s="35">
        <v>44663.0</v>
      </c>
      <c r="E330" s="24"/>
      <c r="F330" s="14" t="s">
        <v>6012</v>
      </c>
      <c r="G330" s="14" t="s">
        <v>6012</v>
      </c>
      <c r="H330" s="14" t="s">
        <v>6012</v>
      </c>
      <c r="I330" s="14" t="s">
        <v>6015</v>
      </c>
      <c r="J330" s="14" t="s">
        <v>6012</v>
      </c>
      <c r="K330" s="14" t="s">
        <v>6012</v>
      </c>
      <c r="L330" s="14"/>
    </row>
    <row r="331">
      <c r="A331" s="14">
        <v>0.0</v>
      </c>
      <c r="B331" s="14">
        <v>0.0</v>
      </c>
      <c r="C331" s="34"/>
      <c r="D331" s="35">
        <v>44663.0</v>
      </c>
      <c r="E331" s="24"/>
      <c r="F331" s="14" t="s">
        <v>6012</v>
      </c>
      <c r="G331" s="14" t="s">
        <v>6012</v>
      </c>
      <c r="H331" s="14" t="s">
        <v>6012</v>
      </c>
      <c r="I331" s="14" t="s">
        <v>6016</v>
      </c>
      <c r="J331" s="14" t="s">
        <v>6012</v>
      </c>
      <c r="K331" s="14" t="s">
        <v>6012</v>
      </c>
      <c r="L331" s="14"/>
    </row>
    <row r="332">
      <c r="A332" s="14">
        <v>213.0</v>
      </c>
      <c r="B332" s="14">
        <v>8.0</v>
      </c>
      <c r="C332" s="34">
        <v>7.19</v>
      </c>
      <c r="D332" s="35">
        <v>44663.0</v>
      </c>
      <c r="E332" s="24"/>
      <c r="F332" s="14">
        <v>0.9</v>
      </c>
      <c r="G332" s="14">
        <v>33.76</v>
      </c>
      <c r="H332" s="14">
        <v>3.76</v>
      </c>
      <c r="I332" s="14" t="s">
        <v>6025</v>
      </c>
      <c r="J332" s="14">
        <v>312.5</v>
      </c>
      <c r="K332" s="14">
        <v>0.29</v>
      </c>
      <c r="L332" s="14">
        <v>0.0</v>
      </c>
    </row>
    <row r="333">
      <c r="A333" s="14">
        <v>0.0</v>
      </c>
      <c r="B333" s="14">
        <v>0.0</v>
      </c>
      <c r="C333" s="34"/>
      <c r="D333" s="35">
        <v>44663.0</v>
      </c>
      <c r="E333" s="24"/>
      <c r="F333" s="14" t="s">
        <v>6012</v>
      </c>
      <c r="G333" s="14" t="s">
        <v>6012</v>
      </c>
      <c r="H333" s="14" t="s">
        <v>6012</v>
      </c>
      <c r="I333" s="14" t="s">
        <v>6020</v>
      </c>
      <c r="J333" s="14" t="s">
        <v>6012</v>
      </c>
      <c r="K333" s="14" t="s">
        <v>6012</v>
      </c>
      <c r="L333" s="14"/>
    </row>
    <row r="334">
      <c r="A334" s="14">
        <v>0.0</v>
      </c>
      <c r="B334" s="14">
        <v>0.0</v>
      </c>
      <c r="C334" s="34"/>
      <c r="D334" s="35">
        <v>44664.0</v>
      </c>
      <c r="E334" s="24"/>
      <c r="F334" s="14" t="s">
        <v>6012</v>
      </c>
      <c r="G334" s="14" t="s">
        <v>6012</v>
      </c>
      <c r="H334" s="14" t="s">
        <v>6012</v>
      </c>
      <c r="I334" s="14" t="s">
        <v>6025</v>
      </c>
      <c r="J334" s="14" t="s">
        <v>6012</v>
      </c>
      <c r="K334" s="14" t="s">
        <v>6012</v>
      </c>
      <c r="L334" s="14"/>
    </row>
    <row r="335">
      <c r="A335" s="14">
        <v>1261.0</v>
      </c>
      <c r="B335" s="14">
        <v>35.0</v>
      </c>
      <c r="C335" s="34">
        <v>37.07</v>
      </c>
      <c r="D335" s="35">
        <v>44664.0</v>
      </c>
      <c r="E335" s="24"/>
      <c r="F335" s="14">
        <v>1.06</v>
      </c>
      <c r="G335" s="14">
        <v>29.4</v>
      </c>
      <c r="H335" s="14">
        <v>2.78</v>
      </c>
      <c r="I335" s="14" t="s">
        <v>6024</v>
      </c>
      <c r="J335" s="14">
        <v>97.14</v>
      </c>
      <c r="K335" s="14">
        <v>1.09</v>
      </c>
      <c r="L335" s="14">
        <v>0.0</v>
      </c>
    </row>
    <row r="336">
      <c r="A336" s="14">
        <v>3467.0</v>
      </c>
      <c r="B336" s="14">
        <v>32.0</v>
      </c>
      <c r="C336" s="34">
        <v>26.19</v>
      </c>
      <c r="D336" s="35">
        <v>44664.0</v>
      </c>
      <c r="E336" s="24"/>
      <c r="F336" s="14">
        <v>0.82</v>
      </c>
      <c r="G336" s="14">
        <v>7.55</v>
      </c>
      <c r="H336" s="14">
        <v>0.92</v>
      </c>
      <c r="I336" s="14" t="s">
        <v>6022</v>
      </c>
      <c r="J336" s="14">
        <v>112.5</v>
      </c>
      <c r="K336" s="14">
        <v>0.73</v>
      </c>
      <c r="L336" s="14">
        <v>0.0</v>
      </c>
    </row>
    <row r="337">
      <c r="A337" s="14">
        <v>771.0</v>
      </c>
      <c r="B337" s="14">
        <v>19.0</v>
      </c>
      <c r="C337" s="34">
        <v>26.95</v>
      </c>
      <c r="D337" s="35">
        <v>44664.0</v>
      </c>
      <c r="E337" s="24"/>
      <c r="F337" s="14">
        <v>1.42</v>
      </c>
      <c r="G337" s="14">
        <v>34.95</v>
      </c>
      <c r="H337" s="14">
        <v>2.46</v>
      </c>
      <c r="I337" s="14" t="s">
        <v>6026</v>
      </c>
      <c r="J337" s="14">
        <v>68.42</v>
      </c>
      <c r="K337" s="14">
        <v>2.07</v>
      </c>
      <c r="L337" s="14">
        <v>0.0</v>
      </c>
    </row>
    <row r="338">
      <c r="A338" s="14">
        <v>0.0</v>
      </c>
      <c r="B338" s="14">
        <v>0.0</v>
      </c>
      <c r="C338" s="34"/>
      <c r="D338" s="35">
        <v>44664.0</v>
      </c>
      <c r="E338" s="24"/>
      <c r="F338" s="14" t="s">
        <v>6012</v>
      </c>
      <c r="G338" s="14" t="s">
        <v>6012</v>
      </c>
      <c r="H338" s="14" t="s">
        <v>6012</v>
      </c>
      <c r="I338" s="14" t="s">
        <v>6016</v>
      </c>
      <c r="J338" s="14" t="s">
        <v>6012</v>
      </c>
      <c r="K338" s="14" t="s">
        <v>6012</v>
      </c>
      <c r="L338" s="14"/>
    </row>
    <row r="339">
      <c r="A339" s="14">
        <v>333.0</v>
      </c>
      <c r="B339" s="14">
        <v>9.0</v>
      </c>
      <c r="C339" s="34">
        <v>30.63</v>
      </c>
      <c r="D339" s="35">
        <v>44665.0</v>
      </c>
      <c r="E339" s="24"/>
      <c r="F339" s="14">
        <v>3.4</v>
      </c>
      <c r="G339" s="14">
        <v>91.98</v>
      </c>
      <c r="H339" s="14">
        <v>2.7</v>
      </c>
      <c r="I339" s="14" t="s">
        <v>6024</v>
      </c>
      <c r="J339" s="14">
        <v>188.89</v>
      </c>
      <c r="K339" s="14">
        <v>1.8</v>
      </c>
      <c r="L339" s="14">
        <v>0.0</v>
      </c>
    </row>
    <row r="340">
      <c r="A340" s="14">
        <v>0.0</v>
      </c>
      <c r="B340" s="14">
        <v>0.0</v>
      </c>
      <c r="C340" s="34"/>
      <c r="D340" s="35">
        <v>44665.0</v>
      </c>
      <c r="E340" s="24"/>
      <c r="F340" s="14" t="s">
        <v>6012</v>
      </c>
      <c r="G340" s="14" t="s">
        <v>6012</v>
      </c>
      <c r="H340" s="14" t="s">
        <v>6012</v>
      </c>
      <c r="I340" s="14" t="s">
        <v>6025</v>
      </c>
      <c r="J340" s="14" t="s">
        <v>6012</v>
      </c>
      <c r="K340" s="14" t="s">
        <v>6012</v>
      </c>
      <c r="L340" s="14"/>
    </row>
    <row r="341">
      <c r="A341" s="14">
        <v>3548.0</v>
      </c>
      <c r="B341" s="14">
        <v>19.0</v>
      </c>
      <c r="C341" s="34">
        <v>24.93</v>
      </c>
      <c r="D341" s="35">
        <v>44665.0</v>
      </c>
      <c r="E341" s="24"/>
      <c r="F341" s="14">
        <v>1.31</v>
      </c>
      <c r="G341" s="14">
        <v>7.03</v>
      </c>
      <c r="H341" s="14">
        <v>0.54</v>
      </c>
      <c r="I341" s="14" t="s">
        <v>6022</v>
      </c>
      <c r="J341" s="14">
        <v>115.79</v>
      </c>
      <c r="K341" s="14">
        <v>1.13</v>
      </c>
      <c r="L341" s="14">
        <v>0.0</v>
      </c>
    </row>
    <row r="342">
      <c r="A342" s="14">
        <v>1374.0</v>
      </c>
      <c r="B342" s="14">
        <v>23.0</v>
      </c>
      <c r="C342" s="34">
        <v>26.39</v>
      </c>
      <c r="D342" s="35">
        <v>44665.0</v>
      </c>
      <c r="E342" s="24"/>
      <c r="F342" s="14">
        <v>1.15</v>
      </c>
      <c r="G342" s="14">
        <v>19.21</v>
      </c>
      <c r="H342" s="14">
        <v>1.67</v>
      </c>
      <c r="I342" s="14" t="s">
        <v>6026</v>
      </c>
      <c r="J342" s="14">
        <v>60.87</v>
      </c>
      <c r="K342" s="14">
        <v>1.88</v>
      </c>
      <c r="L342" s="14">
        <v>0.0</v>
      </c>
    </row>
    <row r="343">
      <c r="A343" s="14">
        <v>2794.0</v>
      </c>
      <c r="B343" s="14">
        <v>14.0</v>
      </c>
      <c r="C343" s="34">
        <v>21.53</v>
      </c>
      <c r="D343" s="35">
        <v>44666.0</v>
      </c>
      <c r="E343" s="24"/>
      <c r="F343" s="14">
        <v>1.54</v>
      </c>
      <c r="G343" s="14">
        <v>7.71</v>
      </c>
      <c r="H343" s="14">
        <v>0.5</v>
      </c>
      <c r="I343" s="14" t="s">
        <v>6022</v>
      </c>
      <c r="J343" s="14">
        <v>85.71</v>
      </c>
      <c r="K343" s="14">
        <v>1.79</v>
      </c>
      <c r="L343" s="14">
        <v>0.0</v>
      </c>
    </row>
    <row r="344">
      <c r="A344" s="14">
        <v>0.0</v>
      </c>
      <c r="B344" s="14">
        <v>0.0</v>
      </c>
      <c r="C344" s="34"/>
      <c r="D344" s="35">
        <v>44666.0</v>
      </c>
      <c r="E344" s="24"/>
      <c r="F344" s="14" t="s">
        <v>6012</v>
      </c>
      <c r="G344" s="14" t="s">
        <v>6012</v>
      </c>
      <c r="H344" s="14" t="s">
        <v>6012</v>
      </c>
      <c r="I344" s="14" t="s">
        <v>6025</v>
      </c>
      <c r="J344" s="14" t="s">
        <v>6012</v>
      </c>
      <c r="K344" s="14" t="s">
        <v>6012</v>
      </c>
      <c r="L344" s="14"/>
    </row>
    <row r="345">
      <c r="A345" s="14">
        <v>607.0</v>
      </c>
      <c r="B345" s="14">
        <v>18.0</v>
      </c>
      <c r="C345" s="34">
        <v>21.59</v>
      </c>
      <c r="D345" s="35">
        <v>44666.0</v>
      </c>
      <c r="E345" s="24"/>
      <c r="F345" s="14">
        <v>1.2</v>
      </c>
      <c r="G345" s="14">
        <v>35.57</v>
      </c>
      <c r="H345" s="14">
        <v>2.97</v>
      </c>
      <c r="I345" s="14" t="s">
        <v>6026</v>
      </c>
      <c r="J345" s="14">
        <v>116.67</v>
      </c>
      <c r="K345" s="14">
        <v>1.03</v>
      </c>
      <c r="L345" s="14">
        <v>0.0</v>
      </c>
    </row>
    <row r="346">
      <c r="A346" s="14">
        <v>506.0</v>
      </c>
      <c r="B346" s="14">
        <v>21.0</v>
      </c>
      <c r="C346" s="34">
        <v>30.06</v>
      </c>
      <c r="D346" s="35">
        <v>44666.0</v>
      </c>
      <c r="E346" s="24"/>
      <c r="F346" s="14">
        <v>1.43</v>
      </c>
      <c r="G346" s="14">
        <v>59.41</v>
      </c>
      <c r="H346" s="14">
        <v>4.15</v>
      </c>
      <c r="I346" s="14" t="s">
        <v>6024</v>
      </c>
      <c r="J346" s="14">
        <v>138.1</v>
      </c>
      <c r="K346" s="14">
        <v>1.04</v>
      </c>
      <c r="L346" s="14">
        <v>0.0</v>
      </c>
    </row>
    <row r="347">
      <c r="A347" s="14">
        <v>1395.0</v>
      </c>
      <c r="B347" s="14">
        <v>8.0</v>
      </c>
      <c r="C347" s="34">
        <v>9.41</v>
      </c>
      <c r="D347" s="35">
        <v>44667.0</v>
      </c>
      <c r="E347" s="24"/>
      <c r="F347" s="14">
        <v>1.18</v>
      </c>
      <c r="G347" s="14">
        <v>6.75</v>
      </c>
      <c r="H347" s="14">
        <v>0.57</v>
      </c>
      <c r="I347" s="14" t="s">
        <v>6022</v>
      </c>
      <c r="J347" s="14">
        <v>87.5</v>
      </c>
      <c r="K347" s="14">
        <v>1.34</v>
      </c>
      <c r="L347" s="14">
        <v>0.0</v>
      </c>
    </row>
    <row r="348">
      <c r="A348" s="14">
        <v>322.0</v>
      </c>
      <c r="B348" s="14">
        <v>8.0</v>
      </c>
      <c r="C348" s="34">
        <v>10.91</v>
      </c>
      <c r="D348" s="35">
        <v>44667.0</v>
      </c>
      <c r="E348" s="24"/>
      <c r="F348" s="14">
        <v>1.36</v>
      </c>
      <c r="G348" s="14">
        <v>33.88</v>
      </c>
      <c r="H348" s="14">
        <v>2.48</v>
      </c>
      <c r="I348" s="14" t="s">
        <v>6026</v>
      </c>
      <c r="J348" s="14">
        <v>12.5</v>
      </c>
      <c r="K348" s="14">
        <v>10.91</v>
      </c>
      <c r="L348" s="14">
        <v>0.0</v>
      </c>
    </row>
    <row r="349">
      <c r="A349" s="14">
        <v>573.0</v>
      </c>
      <c r="B349" s="14">
        <v>13.0</v>
      </c>
      <c r="C349" s="34">
        <v>17.21</v>
      </c>
      <c r="D349" s="35">
        <v>44667.0</v>
      </c>
      <c r="E349" s="24"/>
      <c r="F349" s="14">
        <v>1.32</v>
      </c>
      <c r="G349" s="14">
        <v>30.03</v>
      </c>
      <c r="H349" s="14">
        <v>2.27</v>
      </c>
      <c r="I349" s="14" t="s">
        <v>6024</v>
      </c>
      <c r="J349" s="14">
        <v>115.38</v>
      </c>
      <c r="K349" s="14">
        <v>1.15</v>
      </c>
      <c r="L349" s="14">
        <v>0.0</v>
      </c>
    </row>
    <row r="350">
      <c r="A350" s="14">
        <v>0.0</v>
      </c>
      <c r="B350" s="14">
        <v>0.0</v>
      </c>
      <c r="C350" s="34"/>
      <c r="D350" s="35">
        <v>44668.0</v>
      </c>
      <c r="E350" s="24"/>
      <c r="F350" s="14" t="s">
        <v>6012</v>
      </c>
      <c r="G350" s="14" t="s">
        <v>6012</v>
      </c>
      <c r="H350" s="14" t="s">
        <v>6012</v>
      </c>
      <c r="I350" s="14" t="s">
        <v>6025</v>
      </c>
      <c r="J350" s="14" t="s">
        <v>6012</v>
      </c>
      <c r="K350" s="14" t="s">
        <v>6012</v>
      </c>
      <c r="L350" s="14"/>
    </row>
    <row r="351">
      <c r="A351" s="14">
        <v>1409.0</v>
      </c>
      <c r="B351" s="14">
        <v>7.0</v>
      </c>
      <c r="C351" s="34">
        <v>9.48</v>
      </c>
      <c r="D351" s="35">
        <v>44668.0</v>
      </c>
      <c r="E351" s="24"/>
      <c r="F351" s="14">
        <v>1.35</v>
      </c>
      <c r="G351" s="14">
        <v>6.73</v>
      </c>
      <c r="H351" s="14">
        <v>0.5</v>
      </c>
      <c r="I351" s="14" t="s">
        <v>6022</v>
      </c>
      <c r="J351" s="14">
        <v>114.29</v>
      </c>
      <c r="K351" s="14">
        <v>1.18</v>
      </c>
      <c r="L351" s="14">
        <v>0.0</v>
      </c>
    </row>
    <row r="352">
      <c r="A352" s="14">
        <v>315.0</v>
      </c>
      <c r="B352" s="14">
        <v>8.0</v>
      </c>
      <c r="C352" s="34">
        <v>11.04</v>
      </c>
      <c r="D352" s="35">
        <v>44668.0</v>
      </c>
      <c r="E352" s="24"/>
      <c r="F352" s="14">
        <v>1.38</v>
      </c>
      <c r="G352" s="14">
        <v>35.05</v>
      </c>
      <c r="H352" s="14">
        <v>2.54</v>
      </c>
      <c r="I352" s="14" t="s">
        <v>6026</v>
      </c>
      <c r="J352" s="14">
        <v>62.5</v>
      </c>
      <c r="K352" s="14">
        <v>2.21</v>
      </c>
      <c r="L352" s="14">
        <v>0.0</v>
      </c>
    </row>
    <row r="353">
      <c r="A353" s="14">
        <v>1257.0</v>
      </c>
      <c r="B353" s="14">
        <v>19.0</v>
      </c>
      <c r="C353" s="34">
        <v>19.94</v>
      </c>
      <c r="D353" s="35">
        <v>44668.0</v>
      </c>
      <c r="E353" s="24"/>
      <c r="F353" s="14">
        <v>1.05</v>
      </c>
      <c r="G353" s="14">
        <v>15.86</v>
      </c>
      <c r="H353" s="14">
        <v>1.51</v>
      </c>
      <c r="I353" s="14" t="s">
        <v>6024</v>
      </c>
      <c r="J353" s="14">
        <v>115.79</v>
      </c>
      <c r="K353" s="14">
        <v>0.91</v>
      </c>
      <c r="L353" s="14">
        <v>0.0</v>
      </c>
    </row>
    <row r="354">
      <c r="A354" s="14">
        <v>3098.0</v>
      </c>
      <c r="B354" s="14">
        <v>14.0</v>
      </c>
      <c r="C354" s="34">
        <v>22.4</v>
      </c>
      <c r="D354" s="35">
        <v>44669.0</v>
      </c>
      <c r="E354" s="24"/>
      <c r="F354" s="14">
        <v>1.6</v>
      </c>
      <c r="G354" s="14">
        <v>7.23</v>
      </c>
      <c r="H354" s="14">
        <v>0.45</v>
      </c>
      <c r="I354" s="14" t="s">
        <v>6022</v>
      </c>
      <c r="J354" s="14">
        <v>114.29</v>
      </c>
      <c r="K354" s="14">
        <v>1.4</v>
      </c>
      <c r="L354" s="14">
        <v>0.0</v>
      </c>
    </row>
    <row r="355">
      <c r="A355" s="14">
        <v>376.0</v>
      </c>
      <c r="B355" s="14">
        <v>13.0</v>
      </c>
      <c r="C355" s="34">
        <v>29.83</v>
      </c>
      <c r="D355" s="35">
        <v>44669.0</v>
      </c>
      <c r="E355" s="24"/>
      <c r="F355" s="14">
        <v>2.29</v>
      </c>
      <c r="G355" s="14">
        <v>79.34</v>
      </c>
      <c r="H355" s="14">
        <v>3.46</v>
      </c>
      <c r="I355" s="14" t="s">
        <v>6024</v>
      </c>
      <c r="J355" s="14">
        <v>100.0</v>
      </c>
      <c r="K355" s="14">
        <v>2.29</v>
      </c>
      <c r="L355" s="14">
        <v>0.0</v>
      </c>
    </row>
    <row r="356">
      <c r="A356" s="14">
        <v>480.0</v>
      </c>
      <c r="B356" s="14">
        <v>9.0</v>
      </c>
      <c r="C356" s="34">
        <v>23.92</v>
      </c>
      <c r="D356" s="35">
        <v>44669.0</v>
      </c>
      <c r="E356" s="24"/>
      <c r="F356" s="14">
        <v>2.66</v>
      </c>
      <c r="G356" s="14">
        <v>49.83</v>
      </c>
      <c r="H356" s="14">
        <v>1.88</v>
      </c>
      <c r="I356" s="14" t="s">
        <v>6026</v>
      </c>
      <c r="J356" s="14">
        <v>33.33</v>
      </c>
      <c r="K356" s="14">
        <v>7.97</v>
      </c>
      <c r="L356" s="14">
        <v>0.0</v>
      </c>
    </row>
    <row r="357">
      <c r="A357" s="14">
        <v>953.0</v>
      </c>
      <c r="B357" s="14">
        <v>13.0</v>
      </c>
      <c r="C357" s="34">
        <v>22.73</v>
      </c>
      <c r="D357" s="35">
        <v>44670.0</v>
      </c>
      <c r="E357" s="24"/>
      <c r="F357" s="14">
        <v>1.75</v>
      </c>
      <c r="G357" s="14">
        <v>23.85</v>
      </c>
      <c r="H357" s="14">
        <v>1.36</v>
      </c>
      <c r="I357" s="14" t="s">
        <v>6026</v>
      </c>
      <c r="J357" s="14">
        <v>30.77</v>
      </c>
      <c r="K357" s="14">
        <v>5.68</v>
      </c>
      <c r="L357" s="14">
        <v>0.0</v>
      </c>
    </row>
    <row r="358">
      <c r="A358" s="14">
        <v>1205.0</v>
      </c>
      <c r="B358" s="14">
        <v>15.0</v>
      </c>
      <c r="C358" s="34">
        <v>37.48</v>
      </c>
      <c r="D358" s="35">
        <v>44670.0</v>
      </c>
      <c r="E358" s="24"/>
      <c r="F358" s="14">
        <v>2.5</v>
      </c>
      <c r="G358" s="14">
        <v>31.1</v>
      </c>
      <c r="H358" s="14">
        <v>1.24</v>
      </c>
      <c r="I358" s="14" t="s">
        <v>6024</v>
      </c>
      <c r="J358" s="14">
        <v>100.0</v>
      </c>
      <c r="K358" s="14">
        <v>2.5</v>
      </c>
      <c r="L358" s="14">
        <v>0.0</v>
      </c>
    </row>
    <row r="359">
      <c r="A359" s="14">
        <v>0.0</v>
      </c>
      <c r="B359" s="14">
        <v>0.0</v>
      </c>
      <c r="C359" s="34"/>
      <c r="D359" s="35">
        <v>44670.0</v>
      </c>
      <c r="E359" s="24"/>
      <c r="F359" s="14" t="s">
        <v>6012</v>
      </c>
      <c r="G359" s="14" t="s">
        <v>6012</v>
      </c>
      <c r="H359" s="14" t="s">
        <v>6012</v>
      </c>
      <c r="I359" s="14" t="s">
        <v>6025</v>
      </c>
      <c r="J359" s="14" t="s">
        <v>6012</v>
      </c>
      <c r="K359" s="14" t="s">
        <v>6012</v>
      </c>
      <c r="L359" s="14"/>
    </row>
    <row r="360">
      <c r="A360" s="14">
        <v>2977.0</v>
      </c>
      <c r="B360" s="14">
        <v>5.0</v>
      </c>
      <c r="C360" s="34">
        <v>24.11</v>
      </c>
      <c r="D360" s="35">
        <v>44670.0</v>
      </c>
      <c r="E360" s="24"/>
      <c r="F360" s="14">
        <v>4.82</v>
      </c>
      <c r="G360" s="14">
        <v>8.1</v>
      </c>
      <c r="H360" s="14">
        <v>0.17</v>
      </c>
      <c r="I360" s="14" t="s">
        <v>6022</v>
      </c>
      <c r="J360" s="14">
        <v>80.0</v>
      </c>
      <c r="K360" s="14">
        <v>6.03</v>
      </c>
      <c r="L360" s="14">
        <v>0.0</v>
      </c>
    </row>
    <row r="361">
      <c r="A361" s="14">
        <v>3154.0</v>
      </c>
      <c r="B361" s="14">
        <v>18.0</v>
      </c>
      <c r="C361" s="34">
        <v>24.58</v>
      </c>
      <c r="D361" s="35">
        <v>44671.0</v>
      </c>
      <c r="E361" s="24"/>
      <c r="F361" s="14">
        <v>1.37</v>
      </c>
      <c r="G361" s="14">
        <v>7.79</v>
      </c>
      <c r="H361" s="14">
        <v>0.57</v>
      </c>
      <c r="I361" s="14" t="s">
        <v>6022</v>
      </c>
      <c r="J361" s="14">
        <v>133.33</v>
      </c>
      <c r="K361" s="14">
        <v>1.02</v>
      </c>
      <c r="L361" s="14">
        <v>0.0</v>
      </c>
    </row>
    <row r="362">
      <c r="A362" s="14">
        <v>821.0</v>
      </c>
      <c r="B362" s="14">
        <v>11.0</v>
      </c>
      <c r="C362" s="34">
        <v>24.4</v>
      </c>
      <c r="D362" s="35">
        <v>44671.0</v>
      </c>
      <c r="E362" s="24"/>
      <c r="F362" s="14">
        <v>2.22</v>
      </c>
      <c r="G362" s="14">
        <v>29.72</v>
      </c>
      <c r="H362" s="14">
        <v>1.34</v>
      </c>
      <c r="I362" s="14" t="s">
        <v>6026</v>
      </c>
      <c r="J362" s="14">
        <v>109.09</v>
      </c>
      <c r="K362" s="14">
        <v>2.03</v>
      </c>
      <c r="L362" s="14">
        <v>0.0</v>
      </c>
    </row>
    <row r="363">
      <c r="A363" s="14">
        <v>402.0</v>
      </c>
      <c r="B363" s="14">
        <v>16.0</v>
      </c>
      <c r="C363" s="34">
        <v>29.69</v>
      </c>
      <c r="D363" s="35">
        <v>44671.0</v>
      </c>
      <c r="E363" s="24"/>
      <c r="F363" s="14">
        <v>1.86</v>
      </c>
      <c r="G363" s="14">
        <v>73.86</v>
      </c>
      <c r="H363" s="14">
        <v>3.98</v>
      </c>
      <c r="I363" s="14" t="s">
        <v>6024</v>
      </c>
      <c r="J363" s="14">
        <v>87.5</v>
      </c>
      <c r="K363" s="14">
        <v>2.12</v>
      </c>
      <c r="L363" s="14">
        <v>0.0</v>
      </c>
    </row>
    <row r="364">
      <c r="A364" s="14">
        <v>1098.0</v>
      </c>
      <c r="B364" s="14">
        <v>10.0</v>
      </c>
      <c r="C364" s="34">
        <v>23.46</v>
      </c>
      <c r="D364" s="35">
        <v>44672.0</v>
      </c>
      <c r="E364" s="24"/>
      <c r="F364" s="14">
        <v>2.35</v>
      </c>
      <c r="G364" s="14">
        <v>21.37</v>
      </c>
      <c r="H364" s="14">
        <v>0.91</v>
      </c>
      <c r="I364" s="14" t="s">
        <v>6026</v>
      </c>
      <c r="J364" s="14">
        <v>60.0</v>
      </c>
      <c r="K364" s="14">
        <v>3.91</v>
      </c>
      <c r="L364" s="14">
        <v>0.0</v>
      </c>
    </row>
    <row r="365">
      <c r="A365" s="14">
        <v>707.0</v>
      </c>
      <c r="B365" s="14">
        <v>15.0</v>
      </c>
      <c r="C365" s="34">
        <v>40.51</v>
      </c>
      <c r="D365" s="35">
        <v>44672.0</v>
      </c>
      <c r="E365" s="24"/>
      <c r="F365" s="14">
        <v>2.7</v>
      </c>
      <c r="G365" s="14">
        <v>57.3</v>
      </c>
      <c r="H365" s="14">
        <v>2.12</v>
      </c>
      <c r="I365" s="14" t="s">
        <v>6024</v>
      </c>
      <c r="J365" s="14">
        <v>173.33</v>
      </c>
      <c r="K365" s="14">
        <v>1.56</v>
      </c>
      <c r="L365" s="14">
        <v>0.0</v>
      </c>
    </row>
    <row r="366">
      <c r="A366" s="14">
        <v>3148.0</v>
      </c>
      <c r="B366" s="14">
        <v>7.0</v>
      </c>
      <c r="C366" s="34">
        <v>28.69</v>
      </c>
      <c r="D366" s="35">
        <v>44672.0</v>
      </c>
      <c r="E366" s="24"/>
      <c r="F366" s="14">
        <v>4.1</v>
      </c>
      <c r="G366" s="14">
        <v>9.11</v>
      </c>
      <c r="H366" s="14">
        <v>0.22</v>
      </c>
      <c r="I366" s="14" t="s">
        <v>6022</v>
      </c>
      <c r="J366" s="14">
        <v>71.43</v>
      </c>
      <c r="K366" s="14">
        <v>5.74</v>
      </c>
      <c r="L366" s="14">
        <v>0.0</v>
      </c>
    </row>
    <row r="367">
      <c r="A367" s="14">
        <v>1824.0</v>
      </c>
      <c r="B367" s="14">
        <v>29.0</v>
      </c>
      <c r="C367" s="34">
        <v>34.54</v>
      </c>
      <c r="D367" s="35">
        <v>44673.0</v>
      </c>
      <c r="E367" s="24"/>
      <c r="F367" s="14">
        <v>1.19</v>
      </c>
      <c r="G367" s="14">
        <v>18.94</v>
      </c>
      <c r="H367" s="14">
        <v>1.59</v>
      </c>
      <c r="I367" s="14" t="s">
        <v>6024</v>
      </c>
      <c r="J367" s="14">
        <v>65.52</v>
      </c>
      <c r="K367" s="14">
        <v>1.82</v>
      </c>
      <c r="L367" s="14">
        <v>0.0</v>
      </c>
    </row>
    <row r="368">
      <c r="A368" s="14">
        <v>705.0</v>
      </c>
      <c r="B368" s="14">
        <v>9.0</v>
      </c>
      <c r="C368" s="34">
        <v>21.78</v>
      </c>
      <c r="D368" s="35">
        <v>44673.0</v>
      </c>
      <c r="E368" s="24"/>
      <c r="F368" s="14">
        <v>2.42</v>
      </c>
      <c r="G368" s="14">
        <v>30.89</v>
      </c>
      <c r="H368" s="14">
        <v>1.28</v>
      </c>
      <c r="I368" s="14" t="s">
        <v>6026</v>
      </c>
      <c r="J368" s="14">
        <v>66.67</v>
      </c>
      <c r="K368" s="14">
        <v>3.63</v>
      </c>
      <c r="L368" s="14">
        <v>0.0</v>
      </c>
    </row>
    <row r="369">
      <c r="A369" s="14">
        <v>2776.0</v>
      </c>
      <c r="B369" s="14">
        <v>6.0</v>
      </c>
      <c r="C369" s="34">
        <v>20.54</v>
      </c>
      <c r="D369" s="35">
        <v>44673.0</v>
      </c>
      <c r="E369" s="24"/>
      <c r="F369" s="14">
        <v>3.42</v>
      </c>
      <c r="G369" s="14">
        <v>7.4</v>
      </c>
      <c r="H369" s="14">
        <v>0.22</v>
      </c>
      <c r="I369" s="14" t="s">
        <v>6022</v>
      </c>
      <c r="J369" s="14">
        <v>83.33</v>
      </c>
      <c r="K369" s="14">
        <v>4.11</v>
      </c>
      <c r="L369" s="14">
        <v>0.0</v>
      </c>
    </row>
    <row r="370">
      <c r="A370" s="14">
        <v>957.0</v>
      </c>
      <c r="B370" s="14">
        <v>21.0</v>
      </c>
      <c r="C370" s="34">
        <v>18.22</v>
      </c>
      <c r="D370" s="35">
        <v>44674.0</v>
      </c>
      <c r="E370" s="24"/>
      <c r="F370" s="14">
        <v>0.87</v>
      </c>
      <c r="G370" s="14">
        <v>19.04</v>
      </c>
      <c r="H370" s="14">
        <v>2.19</v>
      </c>
      <c r="I370" s="14" t="s">
        <v>6024</v>
      </c>
      <c r="J370" s="14">
        <v>80.95</v>
      </c>
      <c r="K370" s="14">
        <v>1.07</v>
      </c>
      <c r="L370" s="14">
        <v>0.0</v>
      </c>
    </row>
    <row r="371">
      <c r="A371" s="14">
        <v>373.0</v>
      </c>
      <c r="B371" s="14">
        <v>4.0</v>
      </c>
      <c r="C371" s="34">
        <v>12.46</v>
      </c>
      <c r="D371" s="35">
        <v>44674.0</v>
      </c>
      <c r="E371" s="24"/>
      <c r="F371" s="14">
        <v>3.12</v>
      </c>
      <c r="G371" s="14">
        <v>33.4</v>
      </c>
      <c r="H371" s="14">
        <v>1.07</v>
      </c>
      <c r="I371" s="14" t="s">
        <v>6026</v>
      </c>
      <c r="J371" s="14">
        <v>25.0</v>
      </c>
      <c r="K371" s="14">
        <v>12.46</v>
      </c>
      <c r="L371" s="14">
        <v>0.0</v>
      </c>
    </row>
    <row r="372">
      <c r="A372" s="14">
        <v>1434.0</v>
      </c>
      <c r="B372" s="14">
        <v>12.0</v>
      </c>
      <c r="C372" s="34">
        <v>10.31</v>
      </c>
      <c r="D372" s="35">
        <v>44674.0</v>
      </c>
      <c r="E372" s="24"/>
      <c r="F372" s="14">
        <v>0.86</v>
      </c>
      <c r="G372" s="14">
        <v>7.19</v>
      </c>
      <c r="H372" s="14">
        <v>0.84</v>
      </c>
      <c r="I372" s="14" t="s">
        <v>6022</v>
      </c>
      <c r="J372" s="14">
        <v>25.0</v>
      </c>
      <c r="K372" s="14">
        <v>3.44</v>
      </c>
      <c r="L372" s="14">
        <v>0.0</v>
      </c>
    </row>
    <row r="373">
      <c r="A373" s="14">
        <v>298.0</v>
      </c>
      <c r="B373" s="14">
        <v>3.0</v>
      </c>
      <c r="C373" s="34">
        <v>11.25</v>
      </c>
      <c r="D373" s="35">
        <v>44675.0</v>
      </c>
      <c r="E373" s="24"/>
      <c r="F373" s="14">
        <v>3.75</v>
      </c>
      <c r="G373" s="14">
        <v>37.75</v>
      </c>
      <c r="H373" s="14">
        <v>1.01</v>
      </c>
      <c r="I373" s="14" t="s">
        <v>6026</v>
      </c>
      <c r="J373" s="14">
        <v>33.33</v>
      </c>
      <c r="K373" s="14">
        <v>11.25</v>
      </c>
      <c r="L373" s="14">
        <v>0.0</v>
      </c>
    </row>
    <row r="374">
      <c r="A374" s="14">
        <v>1335.0</v>
      </c>
      <c r="B374" s="14">
        <v>6.0</v>
      </c>
      <c r="C374" s="34">
        <v>9.37</v>
      </c>
      <c r="D374" s="35">
        <v>44675.0</v>
      </c>
      <c r="E374" s="24"/>
      <c r="F374" s="14">
        <v>1.56</v>
      </c>
      <c r="G374" s="14">
        <v>7.02</v>
      </c>
      <c r="H374" s="14">
        <v>0.45</v>
      </c>
      <c r="I374" s="14" t="s">
        <v>6022</v>
      </c>
      <c r="J374" s="14">
        <v>100.0</v>
      </c>
      <c r="K374" s="14">
        <v>1.56</v>
      </c>
      <c r="L374" s="14">
        <v>0.0</v>
      </c>
    </row>
    <row r="375">
      <c r="A375" s="14">
        <v>959.0</v>
      </c>
      <c r="B375" s="14">
        <v>14.0</v>
      </c>
      <c r="C375" s="34">
        <v>18.32</v>
      </c>
      <c r="D375" s="35">
        <v>44675.0</v>
      </c>
      <c r="E375" s="24"/>
      <c r="F375" s="14">
        <v>1.31</v>
      </c>
      <c r="G375" s="14">
        <v>19.1</v>
      </c>
      <c r="H375" s="14">
        <v>1.46</v>
      </c>
      <c r="I375" s="14" t="s">
        <v>6024</v>
      </c>
      <c r="J375" s="14">
        <v>85.71</v>
      </c>
      <c r="K375" s="14">
        <v>1.53</v>
      </c>
      <c r="L375" s="14">
        <v>0.0</v>
      </c>
    </row>
    <row r="376">
      <c r="A376" s="14">
        <v>3365.0</v>
      </c>
      <c r="B376" s="14">
        <v>11.0</v>
      </c>
      <c r="C376" s="34">
        <v>24.83</v>
      </c>
      <c r="D376" s="35">
        <v>44676.0</v>
      </c>
      <c r="E376" s="24"/>
      <c r="F376" s="14">
        <v>2.26</v>
      </c>
      <c r="G376" s="14">
        <v>7.38</v>
      </c>
      <c r="H376" s="14">
        <v>0.33</v>
      </c>
      <c r="I376" s="14" t="s">
        <v>6022</v>
      </c>
      <c r="J376" s="14">
        <v>100.0</v>
      </c>
      <c r="K376" s="14">
        <v>2.26</v>
      </c>
      <c r="L376" s="14">
        <v>0.0</v>
      </c>
    </row>
    <row r="377">
      <c r="A377" s="14">
        <v>1498.0</v>
      </c>
      <c r="B377" s="14">
        <v>23.0</v>
      </c>
      <c r="C377" s="34">
        <v>37.95</v>
      </c>
      <c r="D377" s="35">
        <v>44676.0</v>
      </c>
      <c r="E377" s="24"/>
      <c r="F377" s="14">
        <v>1.65</v>
      </c>
      <c r="G377" s="14">
        <v>25.33</v>
      </c>
      <c r="H377" s="14">
        <v>1.54</v>
      </c>
      <c r="I377" s="14" t="s">
        <v>6024</v>
      </c>
      <c r="J377" s="14">
        <v>73.91</v>
      </c>
      <c r="K377" s="14">
        <v>2.23</v>
      </c>
      <c r="L377" s="14">
        <v>0.0</v>
      </c>
    </row>
    <row r="378">
      <c r="A378" s="14">
        <v>644.0</v>
      </c>
      <c r="B378" s="14">
        <v>10.0</v>
      </c>
      <c r="C378" s="34">
        <v>26.24</v>
      </c>
      <c r="D378" s="35">
        <v>44676.0</v>
      </c>
      <c r="E378" s="24"/>
      <c r="F378" s="14">
        <v>2.62</v>
      </c>
      <c r="G378" s="14">
        <v>40.75</v>
      </c>
      <c r="H378" s="14">
        <v>1.55</v>
      </c>
      <c r="I378" s="14" t="s">
        <v>6026</v>
      </c>
      <c r="J378" s="14">
        <v>40.0</v>
      </c>
      <c r="K378" s="14">
        <v>6.56</v>
      </c>
      <c r="L378" s="14">
        <v>0.0</v>
      </c>
    </row>
    <row r="379">
      <c r="A379" s="14">
        <v>702.0</v>
      </c>
      <c r="B379" s="14">
        <v>6.0</v>
      </c>
      <c r="C379" s="34">
        <v>24.97</v>
      </c>
      <c r="D379" s="35">
        <v>44677.0</v>
      </c>
      <c r="E379" s="24"/>
      <c r="F379" s="14">
        <v>4.16</v>
      </c>
      <c r="G379" s="14">
        <v>35.57</v>
      </c>
      <c r="H379" s="14">
        <v>0.85</v>
      </c>
      <c r="I379" s="14" t="s">
        <v>6026</v>
      </c>
      <c r="J379" s="14">
        <v>50.0</v>
      </c>
      <c r="K379" s="14">
        <v>8.32</v>
      </c>
      <c r="L379" s="14">
        <v>0.0</v>
      </c>
    </row>
    <row r="380">
      <c r="A380" s="14">
        <v>2921.0</v>
      </c>
      <c r="B380" s="14">
        <v>12.0</v>
      </c>
      <c r="C380" s="34">
        <v>26.11</v>
      </c>
      <c r="D380" s="35">
        <v>44677.0</v>
      </c>
      <c r="E380" s="24"/>
      <c r="F380" s="14">
        <v>2.18</v>
      </c>
      <c r="G380" s="14">
        <v>8.94</v>
      </c>
      <c r="H380" s="14">
        <v>0.41</v>
      </c>
      <c r="I380" s="14" t="s">
        <v>6022</v>
      </c>
      <c r="J380" s="14">
        <v>25.0</v>
      </c>
      <c r="K380" s="14">
        <v>8.7</v>
      </c>
      <c r="L380" s="14">
        <v>0.0</v>
      </c>
    </row>
    <row r="381">
      <c r="A381" s="14">
        <v>2222.0</v>
      </c>
      <c r="B381" s="14">
        <v>23.0</v>
      </c>
      <c r="C381" s="34">
        <v>38.28</v>
      </c>
      <c r="D381" s="35">
        <v>44677.0</v>
      </c>
      <c r="E381" s="24"/>
      <c r="F381" s="14">
        <v>1.66</v>
      </c>
      <c r="G381" s="14">
        <v>17.23</v>
      </c>
      <c r="H381" s="14">
        <v>1.04</v>
      </c>
      <c r="I381" s="14" t="s">
        <v>6024</v>
      </c>
      <c r="J381" s="14">
        <v>60.87</v>
      </c>
      <c r="K381" s="14">
        <v>2.73</v>
      </c>
      <c r="L381" s="14">
        <v>0.0</v>
      </c>
    </row>
    <row r="382">
      <c r="A382" s="14">
        <v>874.0</v>
      </c>
      <c r="B382" s="14">
        <v>8.0</v>
      </c>
      <c r="C382" s="34">
        <v>25.26</v>
      </c>
      <c r="D382" s="35">
        <v>44678.0</v>
      </c>
      <c r="E382" s="24"/>
      <c r="F382" s="14">
        <v>3.16</v>
      </c>
      <c r="G382" s="14">
        <v>28.9</v>
      </c>
      <c r="H382" s="14">
        <v>0.92</v>
      </c>
      <c r="I382" s="14" t="s">
        <v>6026</v>
      </c>
      <c r="J382" s="14">
        <v>50.0</v>
      </c>
      <c r="K382" s="14">
        <v>6.32</v>
      </c>
      <c r="L382" s="14">
        <v>0.0</v>
      </c>
    </row>
    <row r="383">
      <c r="A383" s="14">
        <v>2411.0</v>
      </c>
      <c r="B383" s="14">
        <v>36.0</v>
      </c>
      <c r="C383" s="34">
        <v>36.3</v>
      </c>
      <c r="D383" s="35">
        <v>44678.0</v>
      </c>
      <c r="E383" s="24"/>
      <c r="F383" s="14">
        <v>1.01</v>
      </c>
      <c r="G383" s="14">
        <v>15.06</v>
      </c>
      <c r="H383" s="14">
        <v>1.49</v>
      </c>
      <c r="I383" s="14" t="s">
        <v>6024</v>
      </c>
      <c r="J383" s="14">
        <v>86.11</v>
      </c>
      <c r="K383" s="14">
        <v>1.17</v>
      </c>
      <c r="L383" s="14">
        <v>0.0</v>
      </c>
    </row>
    <row r="384">
      <c r="A384" s="14">
        <v>3206.0</v>
      </c>
      <c r="B384" s="14">
        <v>6.0</v>
      </c>
      <c r="C384" s="34">
        <v>25.53</v>
      </c>
      <c r="D384" s="35">
        <v>44678.0</v>
      </c>
      <c r="E384" s="24"/>
      <c r="F384" s="14">
        <v>4.26</v>
      </c>
      <c r="G384" s="14">
        <v>7.96</v>
      </c>
      <c r="H384" s="14">
        <v>0.19</v>
      </c>
      <c r="I384" s="14" t="s">
        <v>6022</v>
      </c>
      <c r="J384" s="14">
        <v>233.33</v>
      </c>
      <c r="K384" s="14">
        <v>1.82</v>
      </c>
      <c r="L384" s="14">
        <v>0.0</v>
      </c>
    </row>
    <row r="385">
      <c r="A385" s="14">
        <v>3112.0</v>
      </c>
      <c r="B385" s="14">
        <v>14.0</v>
      </c>
      <c r="C385" s="34">
        <v>24.9</v>
      </c>
      <c r="D385" s="35">
        <v>44679.0</v>
      </c>
      <c r="E385" s="24"/>
      <c r="F385" s="14">
        <v>1.78</v>
      </c>
      <c r="G385" s="14">
        <v>8.0</v>
      </c>
      <c r="H385" s="14">
        <v>0.45</v>
      </c>
      <c r="I385" s="14" t="s">
        <v>6022</v>
      </c>
      <c r="J385" s="14">
        <v>171.43</v>
      </c>
      <c r="K385" s="14">
        <v>1.04</v>
      </c>
      <c r="L385" s="14">
        <v>0.0</v>
      </c>
    </row>
    <row r="386">
      <c r="A386" s="14">
        <v>935.0</v>
      </c>
      <c r="B386" s="14">
        <v>7.0</v>
      </c>
      <c r="C386" s="34">
        <v>23.4</v>
      </c>
      <c r="D386" s="35">
        <v>44679.0</v>
      </c>
      <c r="E386" s="24"/>
      <c r="F386" s="14">
        <v>3.34</v>
      </c>
      <c r="G386" s="14">
        <v>25.03</v>
      </c>
      <c r="H386" s="14">
        <v>0.75</v>
      </c>
      <c r="I386" s="14" t="s">
        <v>6026</v>
      </c>
      <c r="J386" s="14">
        <v>57.14</v>
      </c>
      <c r="K386" s="14">
        <v>5.85</v>
      </c>
      <c r="L386" s="14">
        <v>0.0</v>
      </c>
    </row>
    <row r="387">
      <c r="A387" s="14">
        <v>2422.0</v>
      </c>
      <c r="B387" s="14">
        <v>23.0</v>
      </c>
      <c r="C387" s="34">
        <v>35.89</v>
      </c>
      <c r="D387" s="35">
        <v>44679.0</v>
      </c>
      <c r="E387" s="24"/>
      <c r="F387" s="14">
        <v>1.56</v>
      </c>
      <c r="G387" s="14">
        <v>14.82</v>
      </c>
      <c r="H387" s="14">
        <v>0.95</v>
      </c>
      <c r="I387" s="14" t="s">
        <v>6024</v>
      </c>
      <c r="J387" s="14">
        <v>78.26</v>
      </c>
      <c r="K387" s="14">
        <v>1.99</v>
      </c>
      <c r="L387" s="14">
        <v>0.0</v>
      </c>
    </row>
    <row r="388">
      <c r="A388" s="14">
        <v>705.0</v>
      </c>
      <c r="B388" s="14">
        <v>9.0</v>
      </c>
      <c r="C388" s="34">
        <v>20.52</v>
      </c>
      <c r="D388" s="35">
        <v>44680.0</v>
      </c>
      <c r="E388" s="24"/>
      <c r="F388" s="14">
        <v>2.28</v>
      </c>
      <c r="G388" s="14">
        <v>29.11</v>
      </c>
      <c r="H388" s="14">
        <v>1.28</v>
      </c>
      <c r="I388" s="14" t="s">
        <v>6026</v>
      </c>
      <c r="J388" s="14">
        <v>44.44</v>
      </c>
      <c r="K388" s="14">
        <v>5.13</v>
      </c>
      <c r="L388" s="14">
        <v>0.0</v>
      </c>
    </row>
    <row r="389">
      <c r="A389" s="14">
        <v>0.0</v>
      </c>
      <c r="B389" s="14">
        <v>0.0</v>
      </c>
      <c r="C389" s="34"/>
      <c r="D389" s="35">
        <v>44680.0</v>
      </c>
      <c r="E389" s="24"/>
      <c r="F389" s="14" t="s">
        <v>6012</v>
      </c>
      <c r="G389" s="14" t="s">
        <v>6012</v>
      </c>
      <c r="H389" s="14" t="s">
        <v>6012</v>
      </c>
      <c r="I389" s="14" t="s">
        <v>6025</v>
      </c>
      <c r="J389" s="14" t="s">
        <v>6012</v>
      </c>
      <c r="K389" s="14" t="s">
        <v>6012</v>
      </c>
      <c r="L389" s="14"/>
    </row>
    <row r="390">
      <c r="A390" s="14">
        <v>2796.0</v>
      </c>
      <c r="B390" s="14">
        <v>7.0</v>
      </c>
      <c r="C390" s="34">
        <v>21.07</v>
      </c>
      <c r="D390" s="35">
        <v>44680.0</v>
      </c>
      <c r="E390" s="24"/>
      <c r="F390" s="14">
        <v>3.01</v>
      </c>
      <c r="G390" s="14">
        <v>7.54</v>
      </c>
      <c r="H390" s="14">
        <v>0.25</v>
      </c>
      <c r="I390" s="14" t="s">
        <v>6022</v>
      </c>
      <c r="J390" s="14">
        <v>71.43</v>
      </c>
      <c r="K390" s="14">
        <v>4.21</v>
      </c>
      <c r="L390" s="14">
        <v>0.0</v>
      </c>
    </row>
    <row r="391">
      <c r="A391" s="14">
        <v>1784.0</v>
      </c>
      <c r="B391" s="14">
        <v>20.0</v>
      </c>
      <c r="C391" s="34">
        <v>26.31</v>
      </c>
      <c r="D391" s="35">
        <v>44680.0</v>
      </c>
      <c r="E391" s="24"/>
      <c r="F391" s="14">
        <v>1.32</v>
      </c>
      <c r="G391" s="14">
        <v>14.75</v>
      </c>
      <c r="H391" s="14">
        <v>1.12</v>
      </c>
      <c r="I391" s="14" t="s">
        <v>6024</v>
      </c>
      <c r="J391" s="14">
        <v>100.0</v>
      </c>
      <c r="K391" s="14">
        <v>1.32</v>
      </c>
      <c r="L391" s="14">
        <v>0.0</v>
      </c>
    </row>
    <row r="392">
      <c r="A392" s="14">
        <v>523.0</v>
      </c>
      <c r="B392" s="14">
        <v>14.0</v>
      </c>
      <c r="C392" s="34">
        <v>17.12</v>
      </c>
      <c r="D392" s="35">
        <v>44681.0</v>
      </c>
      <c r="E392" s="24"/>
      <c r="F392" s="14">
        <v>1.22</v>
      </c>
      <c r="G392" s="14">
        <v>32.73</v>
      </c>
      <c r="H392" s="14">
        <v>2.68</v>
      </c>
      <c r="I392" s="14" t="s">
        <v>6024</v>
      </c>
      <c r="J392" s="14">
        <v>121.43</v>
      </c>
      <c r="K392" s="14">
        <v>1.01</v>
      </c>
      <c r="L392" s="14">
        <v>0.0</v>
      </c>
    </row>
    <row r="393">
      <c r="A393" s="14">
        <v>416.0</v>
      </c>
      <c r="B393" s="14">
        <v>5.0</v>
      </c>
      <c r="C393" s="34">
        <v>10.78</v>
      </c>
      <c r="D393" s="35">
        <v>44681.0</v>
      </c>
      <c r="E393" s="24"/>
      <c r="F393" s="14">
        <v>2.16</v>
      </c>
      <c r="G393" s="14">
        <v>25.91</v>
      </c>
      <c r="H393" s="14">
        <v>1.2</v>
      </c>
      <c r="I393" s="14" t="s">
        <v>6026</v>
      </c>
      <c r="J393" s="14">
        <v>100.0</v>
      </c>
      <c r="K393" s="14">
        <v>2.16</v>
      </c>
      <c r="L393" s="14">
        <v>0.0</v>
      </c>
    </row>
    <row r="394">
      <c r="A394" s="14">
        <v>0.0</v>
      </c>
      <c r="B394" s="14">
        <v>0.0</v>
      </c>
      <c r="C394" s="34"/>
      <c r="D394" s="35">
        <v>44681.0</v>
      </c>
      <c r="E394" s="24"/>
      <c r="F394" s="14" t="s">
        <v>6012</v>
      </c>
      <c r="G394" s="14" t="s">
        <v>6012</v>
      </c>
      <c r="H394" s="14" t="s">
        <v>6012</v>
      </c>
      <c r="I394" s="14" t="s">
        <v>6025</v>
      </c>
      <c r="J394" s="14" t="s">
        <v>6012</v>
      </c>
      <c r="K394" s="14" t="s">
        <v>6012</v>
      </c>
      <c r="L394" s="14"/>
    </row>
    <row r="395">
      <c r="A395" s="14">
        <v>1473.0</v>
      </c>
      <c r="B395" s="14">
        <v>9.0</v>
      </c>
      <c r="C395" s="34">
        <v>9.57</v>
      </c>
      <c r="D395" s="35">
        <v>44681.0</v>
      </c>
      <c r="E395" s="24"/>
      <c r="F395" s="14">
        <v>1.06</v>
      </c>
      <c r="G395" s="14">
        <v>6.5</v>
      </c>
      <c r="H395" s="14">
        <v>0.61</v>
      </c>
      <c r="I395" s="14" t="s">
        <v>6022</v>
      </c>
      <c r="J395" s="14">
        <v>33.33</v>
      </c>
      <c r="K395" s="14">
        <v>3.19</v>
      </c>
      <c r="L395" s="14">
        <v>0.0</v>
      </c>
    </row>
    <row r="396">
      <c r="A396" s="14">
        <v>1476.0</v>
      </c>
      <c r="B396" s="14">
        <v>1.0</v>
      </c>
      <c r="C396" s="34">
        <v>7.99</v>
      </c>
      <c r="D396" s="35">
        <v>44682.0</v>
      </c>
      <c r="E396" s="24"/>
      <c r="F396" s="14">
        <v>7.99</v>
      </c>
      <c r="G396" s="14">
        <v>5.41</v>
      </c>
      <c r="H396" s="14">
        <v>0.07</v>
      </c>
      <c r="I396" s="14" t="s">
        <v>6022</v>
      </c>
      <c r="J396" s="14">
        <v>200.0</v>
      </c>
      <c r="K396" s="14">
        <v>4.0</v>
      </c>
      <c r="L396" s="14">
        <v>0.0</v>
      </c>
    </row>
    <row r="397">
      <c r="A397" s="14">
        <v>1220.0</v>
      </c>
      <c r="B397" s="14">
        <v>18.0</v>
      </c>
      <c r="C397" s="34">
        <v>16.41</v>
      </c>
      <c r="D397" s="35">
        <v>44682.0</v>
      </c>
      <c r="E397" s="24"/>
      <c r="F397" s="14">
        <v>0.91</v>
      </c>
      <c r="G397" s="14">
        <v>13.45</v>
      </c>
      <c r="H397" s="14">
        <v>1.48</v>
      </c>
      <c r="I397" s="14" t="s">
        <v>6024</v>
      </c>
      <c r="J397" s="14">
        <v>100.0</v>
      </c>
      <c r="K397" s="14">
        <v>0.91</v>
      </c>
      <c r="L397" s="14">
        <v>0.0</v>
      </c>
    </row>
    <row r="398">
      <c r="A398" s="14">
        <v>400.0</v>
      </c>
      <c r="B398" s="14">
        <v>9.0</v>
      </c>
      <c r="C398" s="34">
        <v>8.83</v>
      </c>
      <c r="D398" s="35">
        <v>44682.0</v>
      </c>
      <c r="E398" s="24"/>
      <c r="F398" s="14">
        <v>0.98</v>
      </c>
      <c r="G398" s="14">
        <v>22.08</v>
      </c>
      <c r="H398" s="14">
        <v>2.25</v>
      </c>
      <c r="I398" s="14" t="s">
        <v>6026</v>
      </c>
      <c r="J398" s="14">
        <v>55.56</v>
      </c>
      <c r="K398" s="14">
        <v>1.77</v>
      </c>
      <c r="L398" s="14">
        <v>0.0</v>
      </c>
    </row>
    <row r="399">
      <c r="A399" s="14">
        <v>3773.0</v>
      </c>
      <c r="B399" s="14">
        <v>21.0</v>
      </c>
      <c r="C399" s="34">
        <v>22.56</v>
      </c>
      <c r="D399" s="35">
        <v>44683.0</v>
      </c>
      <c r="E399" s="24"/>
      <c r="F399" s="14">
        <v>1.07</v>
      </c>
      <c r="G399" s="14">
        <v>5.98</v>
      </c>
      <c r="H399" s="14">
        <v>0.56</v>
      </c>
      <c r="I399" s="14" t="s">
        <v>6022</v>
      </c>
      <c r="J399" s="14">
        <v>61.9</v>
      </c>
      <c r="K399" s="14">
        <v>1.74</v>
      </c>
      <c r="L399" s="14">
        <v>0.0</v>
      </c>
    </row>
    <row r="400">
      <c r="A400" s="14">
        <v>600.0</v>
      </c>
      <c r="B400" s="14">
        <v>13.0</v>
      </c>
      <c r="C400" s="34">
        <v>31.64</v>
      </c>
      <c r="D400" s="35">
        <v>44683.0</v>
      </c>
      <c r="E400" s="24"/>
      <c r="F400" s="14">
        <v>2.43</v>
      </c>
      <c r="G400" s="14">
        <v>52.73</v>
      </c>
      <c r="H400" s="14">
        <v>2.17</v>
      </c>
      <c r="I400" s="14" t="s">
        <v>6024</v>
      </c>
      <c r="J400" s="14">
        <v>115.38</v>
      </c>
      <c r="K400" s="14">
        <v>2.11</v>
      </c>
      <c r="L400" s="14">
        <v>0.0</v>
      </c>
    </row>
    <row r="401">
      <c r="A401" s="14">
        <v>621.0</v>
      </c>
      <c r="B401" s="14">
        <v>12.0</v>
      </c>
      <c r="C401" s="34">
        <v>23.59</v>
      </c>
      <c r="D401" s="36">
        <v>44683.0</v>
      </c>
      <c r="E401" s="24"/>
      <c r="F401" s="14">
        <v>1.97</v>
      </c>
      <c r="G401" s="14">
        <v>37.99</v>
      </c>
      <c r="H401" s="14">
        <v>1.93</v>
      </c>
      <c r="I401" s="14" t="s">
        <v>6026</v>
      </c>
      <c r="J401" s="14">
        <v>41.67</v>
      </c>
      <c r="K401" s="14">
        <v>4.72</v>
      </c>
      <c r="L401" s="14">
        <v>0.0</v>
      </c>
    </row>
    <row r="402">
      <c r="A402" s="14">
        <v>2447.0</v>
      </c>
      <c r="B402" s="14">
        <v>27.0</v>
      </c>
      <c r="C402" s="34">
        <v>38.61</v>
      </c>
      <c r="D402" s="36">
        <v>44684.0</v>
      </c>
      <c r="E402" s="24"/>
      <c r="F402" s="14">
        <v>1.43</v>
      </c>
      <c r="G402" s="14">
        <v>15.78</v>
      </c>
      <c r="H402" s="14">
        <v>1.1</v>
      </c>
      <c r="I402" s="14" t="s">
        <v>6024</v>
      </c>
      <c r="J402" s="14">
        <v>118.52</v>
      </c>
      <c r="K402" s="14">
        <v>1.21</v>
      </c>
      <c r="L402" s="14">
        <v>0.0</v>
      </c>
    </row>
    <row r="403">
      <c r="A403" s="14">
        <v>3539.0</v>
      </c>
      <c r="B403" s="14">
        <v>12.0</v>
      </c>
      <c r="C403" s="34">
        <v>24.99</v>
      </c>
      <c r="D403" s="36">
        <v>44684.0</v>
      </c>
      <c r="E403" s="24"/>
      <c r="F403" s="14">
        <v>2.08</v>
      </c>
      <c r="G403" s="14">
        <v>7.06</v>
      </c>
      <c r="H403" s="14">
        <v>0.34</v>
      </c>
      <c r="I403" s="14" t="s">
        <v>6022</v>
      </c>
      <c r="J403" s="14">
        <v>100.0</v>
      </c>
      <c r="K403" s="14">
        <v>2.08</v>
      </c>
      <c r="L403" s="14">
        <v>0.0</v>
      </c>
    </row>
    <row r="404">
      <c r="A404" s="14">
        <v>704.0</v>
      </c>
      <c r="B404" s="14">
        <v>6.0</v>
      </c>
      <c r="C404" s="34">
        <v>25.36</v>
      </c>
      <c r="D404" s="36">
        <v>44684.0</v>
      </c>
      <c r="E404" s="24"/>
      <c r="F404" s="14">
        <v>4.23</v>
      </c>
      <c r="G404" s="14">
        <v>36.02</v>
      </c>
      <c r="H404" s="14">
        <v>0.85</v>
      </c>
      <c r="I404" s="14" t="s">
        <v>6026</v>
      </c>
      <c r="J404" s="14">
        <v>50.0</v>
      </c>
      <c r="K404" s="14">
        <v>8.45</v>
      </c>
      <c r="L404" s="14">
        <v>0.0</v>
      </c>
    </row>
    <row r="405">
      <c r="A405" s="14">
        <v>1886.0</v>
      </c>
      <c r="B405" s="14">
        <v>20.0</v>
      </c>
      <c r="C405" s="34">
        <v>35.44</v>
      </c>
      <c r="D405" s="36">
        <v>44685.0</v>
      </c>
      <c r="E405" s="24"/>
      <c r="F405" s="14">
        <v>1.77</v>
      </c>
      <c r="G405" s="14">
        <v>18.79</v>
      </c>
      <c r="H405" s="14">
        <v>1.06</v>
      </c>
      <c r="I405" s="14" t="s">
        <v>6024</v>
      </c>
      <c r="J405" s="14">
        <v>140.0</v>
      </c>
      <c r="K405" s="14">
        <v>1.27</v>
      </c>
      <c r="L405" s="14">
        <v>0.0</v>
      </c>
    </row>
    <row r="406">
      <c r="A406" s="14">
        <v>816.0</v>
      </c>
      <c r="B406" s="14">
        <v>12.0</v>
      </c>
      <c r="C406" s="34">
        <v>23.69</v>
      </c>
      <c r="D406" s="36">
        <v>44685.0</v>
      </c>
      <c r="E406" s="24"/>
      <c r="F406" s="14">
        <v>1.97</v>
      </c>
      <c r="G406" s="14">
        <v>29.03</v>
      </c>
      <c r="H406" s="14">
        <v>1.47</v>
      </c>
      <c r="I406" s="14" t="s">
        <v>6026</v>
      </c>
      <c r="J406" s="14">
        <v>66.67</v>
      </c>
      <c r="K406" s="14">
        <v>2.96</v>
      </c>
      <c r="L406" s="14">
        <v>0.0</v>
      </c>
    </row>
    <row r="407">
      <c r="A407" s="14">
        <v>3293.0</v>
      </c>
      <c r="B407" s="14">
        <v>10.0</v>
      </c>
      <c r="C407" s="34">
        <v>24.56</v>
      </c>
      <c r="D407" s="36">
        <v>44685.0</v>
      </c>
      <c r="E407" s="24"/>
      <c r="F407" s="14">
        <v>2.46</v>
      </c>
      <c r="G407" s="14">
        <v>7.46</v>
      </c>
      <c r="H407" s="14">
        <v>0.3</v>
      </c>
      <c r="I407" s="14" t="s">
        <v>6022</v>
      </c>
      <c r="J407" s="14">
        <v>60.0</v>
      </c>
      <c r="K407" s="14">
        <v>4.09</v>
      </c>
      <c r="L407" s="14">
        <v>0.0</v>
      </c>
    </row>
    <row r="408">
      <c r="A408" s="14">
        <v>1000.0</v>
      </c>
      <c r="B408" s="14">
        <v>8.0</v>
      </c>
      <c r="C408" s="34">
        <v>22.96</v>
      </c>
      <c r="D408" s="36">
        <v>44686.0</v>
      </c>
      <c r="E408" s="24"/>
      <c r="F408" s="14">
        <v>2.87</v>
      </c>
      <c r="G408" s="14">
        <v>22.96</v>
      </c>
      <c r="H408" s="14">
        <v>0.8</v>
      </c>
      <c r="I408" s="14" t="s">
        <v>6026</v>
      </c>
      <c r="J408" s="14">
        <v>125.0</v>
      </c>
      <c r="K408" s="14">
        <v>2.3</v>
      </c>
      <c r="L408" s="14">
        <v>0.0</v>
      </c>
    </row>
    <row r="409">
      <c r="A409" s="14">
        <v>2432.0</v>
      </c>
      <c r="B409" s="14">
        <v>20.0</v>
      </c>
      <c r="C409" s="34">
        <v>37.74</v>
      </c>
      <c r="D409" s="36">
        <v>44686.0</v>
      </c>
      <c r="E409" s="24"/>
      <c r="F409" s="14">
        <v>1.89</v>
      </c>
      <c r="G409" s="14">
        <v>15.52</v>
      </c>
      <c r="H409" s="14">
        <v>0.82</v>
      </c>
      <c r="I409" s="14" t="s">
        <v>6024</v>
      </c>
      <c r="J409" s="14">
        <v>90.0</v>
      </c>
      <c r="K409" s="14">
        <v>2.1</v>
      </c>
      <c r="L409" s="14">
        <v>0.0</v>
      </c>
    </row>
    <row r="410">
      <c r="A410" s="14">
        <v>3041.0</v>
      </c>
      <c r="B410" s="14">
        <v>14.0</v>
      </c>
      <c r="C410" s="34">
        <v>24.29</v>
      </c>
      <c r="D410" s="36">
        <v>44686.0</v>
      </c>
      <c r="E410" s="24"/>
      <c r="F410" s="14">
        <v>1.74</v>
      </c>
      <c r="G410" s="14">
        <v>7.99</v>
      </c>
      <c r="H410" s="14">
        <v>0.46</v>
      </c>
      <c r="I410" s="14" t="s">
        <v>6022</v>
      </c>
      <c r="J410" s="14">
        <v>78.57</v>
      </c>
      <c r="K410" s="14">
        <v>2.21</v>
      </c>
      <c r="L410" s="14">
        <v>0.0</v>
      </c>
    </row>
    <row r="411">
      <c r="A411" s="14">
        <v>2750.0</v>
      </c>
      <c r="B411" s="14">
        <v>20.0</v>
      </c>
      <c r="C411" s="34">
        <v>34.86</v>
      </c>
      <c r="D411" s="36">
        <v>44687.0</v>
      </c>
      <c r="E411" s="24"/>
      <c r="F411" s="14">
        <v>1.74</v>
      </c>
      <c r="G411" s="14">
        <v>12.68</v>
      </c>
      <c r="H411" s="14">
        <v>0.73</v>
      </c>
      <c r="I411" s="14" t="s">
        <v>6024</v>
      </c>
      <c r="J411" s="14">
        <v>70.0</v>
      </c>
      <c r="K411" s="14">
        <v>2.49</v>
      </c>
      <c r="L411" s="14">
        <v>0.0</v>
      </c>
    </row>
    <row r="412">
      <c r="A412" s="14">
        <v>3106.0</v>
      </c>
      <c r="B412" s="14">
        <v>26.0</v>
      </c>
      <c r="C412" s="34">
        <v>22.63</v>
      </c>
      <c r="D412" s="36">
        <v>44687.0</v>
      </c>
      <c r="E412" s="24"/>
      <c r="F412" s="14">
        <v>0.87</v>
      </c>
      <c r="G412" s="14">
        <v>7.29</v>
      </c>
      <c r="H412" s="14">
        <v>0.84</v>
      </c>
      <c r="I412" s="14" t="s">
        <v>6022</v>
      </c>
      <c r="J412" s="14">
        <v>88.46</v>
      </c>
      <c r="K412" s="14">
        <v>0.98</v>
      </c>
      <c r="L412" s="14">
        <v>0.0</v>
      </c>
    </row>
    <row r="413">
      <c r="A413" s="14">
        <v>777.0</v>
      </c>
      <c r="B413" s="14">
        <v>7.0</v>
      </c>
      <c r="C413" s="34">
        <v>21.47</v>
      </c>
      <c r="D413" s="36">
        <v>44687.0</v>
      </c>
      <c r="E413" s="24"/>
      <c r="F413" s="14">
        <v>3.07</v>
      </c>
      <c r="G413" s="14">
        <v>27.63</v>
      </c>
      <c r="H413" s="14">
        <v>0.9</v>
      </c>
      <c r="I413" s="14" t="s">
        <v>6026</v>
      </c>
      <c r="J413" s="14">
        <v>85.71</v>
      </c>
      <c r="K413" s="14">
        <v>3.58</v>
      </c>
      <c r="L413" s="14">
        <v>0.0</v>
      </c>
    </row>
    <row r="414">
      <c r="A414" s="14">
        <v>1317.0</v>
      </c>
      <c r="B414" s="14">
        <v>24.0</v>
      </c>
      <c r="C414" s="34">
        <v>16.27</v>
      </c>
      <c r="D414" s="36">
        <v>44688.0</v>
      </c>
      <c r="E414" s="24"/>
      <c r="F414" s="14">
        <v>0.68</v>
      </c>
      <c r="G414" s="14">
        <v>12.35</v>
      </c>
      <c r="H414" s="14">
        <v>1.82</v>
      </c>
      <c r="I414" s="14" t="s">
        <v>6024</v>
      </c>
      <c r="J414" s="14">
        <v>95.83</v>
      </c>
      <c r="K414" s="14">
        <v>0.71</v>
      </c>
      <c r="L414" s="14">
        <v>0.0</v>
      </c>
    </row>
    <row r="415">
      <c r="A415" s="14">
        <v>471.0</v>
      </c>
      <c r="B415" s="14">
        <v>6.0</v>
      </c>
      <c r="C415" s="34">
        <v>12.01</v>
      </c>
      <c r="D415" s="36">
        <v>44688.0</v>
      </c>
      <c r="E415" s="24"/>
      <c r="F415" s="14">
        <v>2.0</v>
      </c>
      <c r="G415" s="14">
        <v>25.5</v>
      </c>
      <c r="H415" s="14">
        <v>1.27</v>
      </c>
      <c r="I415" s="14" t="s">
        <v>6026</v>
      </c>
      <c r="J415" s="14">
        <v>83.33</v>
      </c>
      <c r="K415" s="14">
        <v>2.4</v>
      </c>
      <c r="L415" s="14">
        <v>0.0</v>
      </c>
    </row>
    <row r="416">
      <c r="A416" s="14">
        <v>1632.0</v>
      </c>
      <c r="B416" s="14">
        <v>10.0</v>
      </c>
      <c r="C416" s="34">
        <v>11.19</v>
      </c>
      <c r="D416" s="36">
        <v>44688.0</v>
      </c>
      <c r="E416" s="24"/>
      <c r="F416" s="14">
        <v>1.12</v>
      </c>
      <c r="G416" s="14">
        <v>6.86</v>
      </c>
      <c r="H416" s="14">
        <v>0.61</v>
      </c>
      <c r="I416" s="14" t="s">
        <v>6022</v>
      </c>
      <c r="J416" s="14">
        <v>130.0</v>
      </c>
      <c r="K416" s="14">
        <v>0.86</v>
      </c>
      <c r="L416" s="14">
        <v>0.0</v>
      </c>
    </row>
    <row r="417">
      <c r="A417" s="14">
        <v>419.0</v>
      </c>
      <c r="B417" s="14">
        <v>4.0</v>
      </c>
      <c r="C417" s="34">
        <v>10.92</v>
      </c>
      <c r="D417" s="36">
        <v>44689.0</v>
      </c>
      <c r="E417" s="24"/>
      <c r="F417" s="14">
        <v>2.73</v>
      </c>
      <c r="G417" s="14">
        <v>26.06</v>
      </c>
      <c r="H417" s="14">
        <v>0.95</v>
      </c>
      <c r="I417" s="14" t="s">
        <v>6026</v>
      </c>
      <c r="J417" s="14">
        <v>50.0</v>
      </c>
      <c r="K417" s="14">
        <v>5.46</v>
      </c>
      <c r="L417" s="14">
        <v>0.0</v>
      </c>
    </row>
    <row r="418">
      <c r="A418" s="14">
        <v>0.0</v>
      </c>
      <c r="B418" s="14">
        <v>0.0</v>
      </c>
      <c r="C418" s="34"/>
      <c r="D418" s="36">
        <v>44689.0</v>
      </c>
      <c r="E418" s="24"/>
      <c r="F418" s="14" t="s">
        <v>6012</v>
      </c>
      <c r="G418" s="14" t="s">
        <v>6012</v>
      </c>
      <c r="H418" s="14" t="s">
        <v>6012</v>
      </c>
      <c r="I418" s="14" t="s">
        <v>6025</v>
      </c>
      <c r="J418" s="14" t="s">
        <v>6012</v>
      </c>
      <c r="K418" s="14" t="s">
        <v>6012</v>
      </c>
      <c r="L418" s="14"/>
    </row>
    <row r="419">
      <c r="A419" s="14">
        <v>1411.0</v>
      </c>
      <c r="B419" s="14">
        <v>12.0</v>
      </c>
      <c r="C419" s="34">
        <v>9.78</v>
      </c>
      <c r="D419" s="36">
        <v>44689.0</v>
      </c>
      <c r="E419" s="24"/>
      <c r="F419" s="14">
        <v>0.82</v>
      </c>
      <c r="G419" s="14">
        <v>6.93</v>
      </c>
      <c r="H419" s="14">
        <v>0.85</v>
      </c>
      <c r="I419" s="14" t="s">
        <v>6022</v>
      </c>
      <c r="J419" s="14">
        <v>75.0</v>
      </c>
      <c r="K419" s="14">
        <v>1.09</v>
      </c>
      <c r="L419" s="14">
        <v>0.0</v>
      </c>
    </row>
    <row r="420">
      <c r="A420" s="14">
        <v>1137.0</v>
      </c>
      <c r="B420" s="14">
        <v>20.0</v>
      </c>
      <c r="C420" s="34">
        <v>15.44</v>
      </c>
      <c r="D420" s="36">
        <v>44689.0</v>
      </c>
      <c r="E420" s="24"/>
      <c r="F420" s="14">
        <v>0.77</v>
      </c>
      <c r="G420" s="14">
        <v>13.58</v>
      </c>
      <c r="H420" s="14">
        <v>1.76</v>
      </c>
      <c r="I420" s="14" t="s">
        <v>6024</v>
      </c>
      <c r="J420" s="14">
        <v>130.0</v>
      </c>
      <c r="K420" s="14">
        <v>0.59</v>
      </c>
      <c r="L420" s="14">
        <v>0.0</v>
      </c>
    </row>
    <row r="421">
      <c r="A421" s="14">
        <v>3444.0</v>
      </c>
      <c r="B421" s="14">
        <v>15.0</v>
      </c>
      <c r="C421" s="34">
        <v>23.93</v>
      </c>
      <c r="D421" s="36">
        <v>44690.0</v>
      </c>
      <c r="E421" s="24"/>
      <c r="F421" s="14">
        <v>1.6</v>
      </c>
      <c r="G421" s="14">
        <v>6.95</v>
      </c>
      <c r="H421" s="14">
        <v>0.44</v>
      </c>
      <c r="I421" s="14" t="s">
        <v>6022</v>
      </c>
      <c r="J421" s="14">
        <v>80.0</v>
      </c>
      <c r="K421" s="14">
        <v>1.99</v>
      </c>
      <c r="L421" s="14">
        <v>0.0</v>
      </c>
    </row>
    <row r="422">
      <c r="A422" s="14">
        <v>3149.0</v>
      </c>
      <c r="B422" s="14">
        <v>39.0</v>
      </c>
      <c r="C422" s="34">
        <v>37.2</v>
      </c>
      <c r="D422" s="36">
        <v>44690.0</v>
      </c>
      <c r="E422" s="24"/>
      <c r="F422" s="14">
        <v>0.95</v>
      </c>
      <c r="G422" s="14">
        <v>11.81</v>
      </c>
      <c r="H422" s="14">
        <v>1.24</v>
      </c>
      <c r="I422" s="14" t="s">
        <v>6024</v>
      </c>
      <c r="J422" s="14">
        <v>100.0</v>
      </c>
      <c r="K422" s="14">
        <v>0.95</v>
      </c>
      <c r="L422" s="14">
        <v>0.0</v>
      </c>
    </row>
    <row r="423">
      <c r="A423" s="14">
        <v>737.0</v>
      </c>
      <c r="B423" s="14">
        <v>9.0</v>
      </c>
      <c r="C423" s="34">
        <v>25.05</v>
      </c>
      <c r="D423" s="36">
        <v>44690.0</v>
      </c>
      <c r="E423" s="24"/>
      <c r="F423" s="14">
        <v>2.78</v>
      </c>
      <c r="G423" s="14">
        <v>33.99</v>
      </c>
      <c r="H423" s="14">
        <v>1.22</v>
      </c>
      <c r="I423" s="14" t="s">
        <v>6026</v>
      </c>
      <c r="J423" s="14">
        <v>77.78</v>
      </c>
      <c r="K423" s="14">
        <v>3.58</v>
      </c>
      <c r="L423" s="14">
        <v>0.0</v>
      </c>
    </row>
    <row r="424">
      <c r="A424" s="14">
        <v>3473.0</v>
      </c>
      <c r="B424" s="14">
        <v>35.0</v>
      </c>
      <c r="C424" s="34">
        <v>36.08</v>
      </c>
      <c r="D424" s="36">
        <v>44691.0</v>
      </c>
      <c r="E424" s="24"/>
      <c r="F424" s="14">
        <v>1.03</v>
      </c>
      <c r="G424" s="14">
        <v>10.39</v>
      </c>
      <c r="H424" s="14">
        <v>1.01</v>
      </c>
      <c r="I424" s="14" t="s">
        <v>6024</v>
      </c>
      <c r="J424" s="14">
        <v>74.29</v>
      </c>
      <c r="K424" s="14">
        <v>1.39</v>
      </c>
      <c r="L424" s="14">
        <v>0.0</v>
      </c>
    </row>
    <row r="425">
      <c r="A425" s="14">
        <v>741.0</v>
      </c>
      <c r="B425" s="14">
        <v>11.0</v>
      </c>
      <c r="C425" s="34">
        <v>22.92</v>
      </c>
      <c r="D425" s="36">
        <v>44691.0</v>
      </c>
      <c r="E425" s="24"/>
      <c r="F425" s="14">
        <v>2.08</v>
      </c>
      <c r="G425" s="14">
        <v>30.93</v>
      </c>
      <c r="H425" s="14">
        <v>1.48</v>
      </c>
      <c r="I425" s="14" t="s">
        <v>6026</v>
      </c>
      <c r="J425" s="14">
        <v>72.73</v>
      </c>
      <c r="K425" s="14">
        <v>2.86</v>
      </c>
      <c r="L425" s="14">
        <v>0.0</v>
      </c>
    </row>
    <row r="426">
      <c r="A426" s="14">
        <v>3494.0</v>
      </c>
      <c r="B426" s="14">
        <v>10.0</v>
      </c>
      <c r="C426" s="34">
        <v>25.49</v>
      </c>
      <c r="D426" s="36">
        <v>44691.0</v>
      </c>
      <c r="E426" s="24"/>
      <c r="F426" s="14">
        <v>2.55</v>
      </c>
      <c r="G426" s="14">
        <v>7.3</v>
      </c>
      <c r="H426" s="14">
        <v>0.29</v>
      </c>
      <c r="I426" s="14" t="s">
        <v>6022</v>
      </c>
      <c r="J426" s="14">
        <v>100.0</v>
      </c>
      <c r="K426" s="14">
        <v>2.55</v>
      </c>
      <c r="L426" s="14">
        <v>0.0</v>
      </c>
    </row>
    <row r="427">
      <c r="A427" s="14">
        <v>866.0</v>
      </c>
      <c r="B427" s="14">
        <v>4.0</v>
      </c>
      <c r="C427" s="34">
        <v>25.12</v>
      </c>
      <c r="D427" s="36">
        <v>44692.0</v>
      </c>
      <c r="E427" s="24"/>
      <c r="F427" s="14">
        <v>6.28</v>
      </c>
      <c r="G427" s="14">
        <v>29.01</v>
      </c>
      <c r="H427" s="14">
        <v>0.46</v>
      </c>
      <c r="I427" s="14" t="s">
        <v>6026</v>
      </c>
      <c r="J427" s="14">
        <v>50.0</v>
      </c>
      <c r="K427" s="14">
        <v>12.56</v>
      </c>
      <c r="L427" s="14">
        <v>0.0</v>
      </c>
    </row>
    <row r="428">
      <c r="A428" s="14">
        <v>3097.0</v>
      </c>
      <c r="B428" s="14">
        <v>14.0</v>
      </c>
      <c r="C428" s="34">
        <v>24.75</v>
      </c>
      <c r="D428" s="36">
        <v>44692.0</v>
      </c>
      <c r="E428" s="24"/>
      <c r="F428" s="14">
        <v>1.77</v>
      </c>
      <c r="G428" s="14">
        <v>7.99</v>
      </c>
      <c r="H428" s="14">
        <v>0.45</v>
      </c>
      <c r="I428" s="14" t="s">
        <v>6022</v>
      </c>
      <c r="J428" s="14">
        <v>64.29</v>
      </c>
      <c r="K428" s="14">
        <v>2.75</v>
      </c>
      <c r="L428" s="14">
        <v>0.0</v>
      </c>
    </row>
    <row r="429">
      <c r="A429" s="14">
        <v>3827.0</v>
      </c>
      <c r="B429" s="14">
        <v>33.0</v>
      </c>
      <c r="C429" s="34">
        <v>37.58</v>
      </c>
      <c r="D429" s="36">
        <v>44692.0</v>
      </c>
      <c r="E429" s="24"/>
      <c r="F429" s="14">
        <v>1.14</v>
      </c>
      <c r="G429" s="14">
        <v>9.82</v>
      </c>
      <c r="H429" s="14">
        <v>0.86</v>
      </c>
      <c r="I429" s="14" t="s">
        <v>6024</v>
      </c>
      <c r="J429" s="14">
        <v>54.55</v>
      </c>
      <c r="K429" s="14">
        <v>2.09</v>
      </c>
      <c r="L429" s="14">
        <v>0.0</v>
      </c>
    </row>
    <row r="430">
      <c r="A430" s="14">
        <v>884.0</v>
      </c>
      <c r="B430" s="14">
        <v>11.0</v>
      </c>
      <c r="C430" s="34">
        <v>23.02</v>
      </c>
      <c r="D430" s="36">
        <v>44693.0</v>
      </c>
      <c r="E430" s="24"/>
      <c r="F430" s="14">
        <v>2.09</v>
      </c>
      <c r="G430" s="14">
        <v>26.04</v>
      </c>
      <c r="H430" s="14">
        <v>1.24</v>
      </c>
      <c r="I430" s="14" t="s">
        <v>6026</v>
      </c>
      <c r="J430" s="14">
        <v>54.55</v>
      </c>
      <c r="K430" s="14">
        <v>3.84</v>
      </c>
      <c r="L430" s="14">
        <v>0.0</v>
      </c>
    </row>
    <row r="431">
      <c r="A431" s="14">
        <v>2897.0</v>
      </c>
      <c r="B431" s="14">
        <v>26.0</v>
      </c>
      <c r="C431" s="34">
        <v>34.79</v>
      </c>
      <c r="D431" s="36">
        <v>44693.0</v>
      </c>
      <c r="E431" s="24"/>
      <c r="F431" s="14">
        <v>1.34</v>
      </c>
      <c r="G431" s="14">
        <v>12.01</v>
      </c>
      <c r="H431" s="14">
        <v>0.9</v>
      </c>
      <c r="I431" s="14" t="s">
        <v>6024</v>
      </c>
      <c r="J431" s="14">
        <v>57.69</v>
      </c>
      <c r="K431" s="14">
        <v>2.32</v>
      </c>
      <c r="L431" s="14">
        <v>0.0</v>
      </c>
    </row>
    <row r="432">
      <c r="A432" s="14">
        <v>3032.0</v>
      </c>
      <c r="B432" s="14">
        <v>9.0</v>
      </c>
      <c r="C432" s="34">
        <v>24.43</v>
      </c>
      <c r="D432" s="36">
        <v>44693.0</v>
      </c>
      <c r="E432" s="24"/>
      <c r="F432" s="14">
        <v>2.71</v>
      </c>
      <c r="G432" s="14">
        <v>8.06</v>
      </c>
      <c r="H432" s="14">
        <v>0.3</v>
      </c>
      <c r="I432" s="14" t="s">
        <v>6022</v>
      </c>
      <c r="J432" s="14">
        <v>55.56</v>
      </c>
      <c r="K432" s="14">
        <v>4.89</v>
      </c>
      <c r="L432" s="14">
        <v>0.0</v>
      </c>
    </row>
    <row r="433">
      <c r="A433" s="14">
        <v>2920.0</v>
      </c>
      <c r="B433" s="14">
        <v>35.0</v>
      </c>
      <c r="C433" s="34">
        <v>30.85</v>
      </c>
      <c r="D433" s="36">
        <v>44694.0</v>
      </c>
      <c r="E433" s="24"/>
      <c r="F433" s="14">
        <v>0.88</v>
      </c>
      <c r="G433" s="14">
        <v>10.57</v>
      </c>
      <c r="H433" s="14">
        <v>1.2</v>
      </c>
      <c r="I433" s="14" t="s">
        <v>6024</v>
      </c>
      <c r="J433" s="14">
        <v>57.14</v>
      </c>
      <c r="K433" s="14">
        <v>1.54</v>
      </c>
      <c r="L433" s="14">
        <v>0.0</v>
      </c>
    </row>
    <row r="434">
      <c r="A434" s="14">
        <v>2810.0</v>
      </c>
      <c r="B434" s="14">
        <v>15.0</v>
      </c>
      <c r="C434" s="34">
        <v>21.98</v>
      </c>
      <c r="D434" s="36">
        <v>44694.0</v>
      </c>
      <c r="E434" s="24"/>
      <c r="F434" s="14">
        <v>1.47</v>
      </c>
      <c r="G434" s="14">
        <v>7.82</v>
      </c>
      <c r="H434" s="14">
        <v>0.53</v>
      </c>
      <c r="I434" s="14" t="s">
        <v>6022</v>
      </c>
      <c r="J434" s="14">
        <v>53.33</v>
      </c>
      <c r="K434" s="14">
        <v>2.75</v>
      </c>
      <c r="L434" s="14">
        <v>0.0</v>
      </c>
    </row>
    <row r="435">
      <c r="A435" s="14">
        <v>746.0</v>
      </c>
      <c r="B435" s="14">
        <v>3.0</v>
      </c>
      <c r="C435" s="34">
        <v>21.15</v>
      </c>
      <c r="D435" s="36">
        <v>44694.0</v>
      </c>
      <c r="E435" s="24"/>
      <c r="F435" s="14">
        <v>7.05</v>
      </c>
      <c r="G435" s="14">
        <v>28.35</v>
      </c>
      <c r="H435" s="14">
        <v>0.4</v>
      </c>
      <c r="I435" s="14" t="s">
        <v>6026</v>
      </c>
      <c r="J435" s="14">
        <v>66.67</v>
      </c>
      <c r="K435" s="14">
        <v>10.58</v>
      </c>
      <c r="L435" s="14">
        <v>0.0</v>
      </c>
    </row>
    <row r="436">
      <c r="A436" s="14">
        <v>497.0</v>
      </c>
      <c r="B436" s="14">
        <v>4.0</v>
      </c>
      <c r="C436" s="34">
        <v>11.76</v>
      </c>
      <c r="D436" s="36">
        <v>44695.0</v>
      </c>
      <c r="E436" s="24"/>
      <c r="F436" s="14">
        <v>2.94</v>
      </c>
      <c r="G436" s="14">
        <v>23.66</v>
      </c>
      <c r="H436" s="14">
        <v>0.8</v>
      </c>
      <c r="I436" s="14" t="s">
        <v>6026</v>
      </c>
      <c r="J436" s="14">
        <v>125.0</v>
      </c>
      <c r="K436" s="14">
        <v>2.35</v>
      </c>
      <c r="L436" s="14">
        <v>0.0</v>
      </c>
    </row>
    <row r="437">
      <c r="A437" s="14">
        <v>1423.0</v>
      </c>
      <c r="B437" s="14">
        <v>13.0</v>
      </c>
      <c r="C437" s="34">
        <v>10.3</v>
      </c>
      <c r="D437" s="36">
        <v>44695.0</v>
      </c>
      <c r="E437" s="24"/>
      <c r="F437" s="14">
        <v>0.79</v>
      </c>
      <c r="G437" s="14">
        <v>7.24</v>
      </c>
      <c r="H437" s="14">
        <v>0.91</v>
      </c>
      <c r="I437" s="14" t="s">
        <v>6022</v>
      </c>
      <c r="J437" s="14">
        <v>130.77</v>
      </c>
      <c r="K437" s="14">
        <v>0.61</v>
      </c>
      <c r="L437" s="14">
        <v>0.0</v>
      </c>
    </row>
    <row r="438">
      <c r="A438" s="14">
        <v>1528.0</v>
      </c>
      <c r="B438" s="14">
        <v>18.0</v>
      </c>
      <c r="C438" s="34">
        <v>18.4</v>
      </c>
      <c r="D438" s="36">
        <v>44695.0</v>
      </c>
      <c r="E438" s="24"/>
      <c r="F438" s="14">
        <v>1.02</v>
      </c>
      <c r="G438" s="14">
        <v>12.04</v>
      </c>
      <c r="H438" s="14">
        <v>1.18</v>
      </c>
      <c r="I438" s="14" t="s">
        <v>6024</v>
      </c>
      <c r="J438" s="14">
        <v>55.56</v>
      </c>
      <c r="K438" s="14">
        <v>1.84</v>
      </c>
      <c r="L438" s="14">
        <v>0.0</v>
      </c>
    </row>
    <row r="439">
      <c r="A439" s="14">
        <v>1379.0</v>
      </c>
      <c r="B439" s="14">
        <v>8.0</v>
      </c>
      <c r="C439" s="34">
        <v>9.12</v>
      </c>
      <c r="D439" s="36">
        <v>44696.0</v>
      </c>
      <c r="E439" s="24"/>
      <c r="F439" s="14">
        <v>1.14</v>
      </c>
      <c r="G439" s="14">
        <v>6.61</v>
      </c>
      <c r="H439" s="14">
        <v>0.58</v>
      </c>
      <c r="I439" s="14" t="s">
        <v>6022</v>
      </c>
      <c r="J439" s="14">
        <v>62.5</v>
      </c>
      <c r="K439" s="14">
        <v>1.82</v>
      </c>
      <c r="L439" s="14">
        <v>0.0</v>
      </c>
    </row>
    <row r="440">
      <c r="A440" s="14">
        <v>1491.0</v>
      </c>
      <c r="B440" s="14">
        <v>21.0</v>
      </c>
      <c r="C440" s="34">
        <v>15.1</v>
      </c>
      <c r="D440" s="36">
        <v>44696.0</v>
      </c>
      <c r="E440" s="24"/>
      <c r="F440" s="14">
        <v>0.72</v>
      </c>
      <c r="G440" s="14">
        <v>10.13</v>
      </c>
      <c r="H440" s="14">
        <v>1.41</v>
      </c>
      <c r="I440" s="14" t="s">
        <v>6024</v>
      </c>
      <c r="J440" s="14">
        <v>119.05</v>
      </c>
      <c r="K440" s="14">
        <v>0.6</v>
      </c>
      <c r="L440" s="14">
        <v>0.0</v>
      </c>
    </row>
    <row r="441">
      <c r="A441" s="14">
        <v>418.0</v>
      </c>
      <c r="B441" s="14">
        <v>6.0</v>
      </c>
      <c r="C441" s="34">
        <v>10.98</v>
      </c>
      <c r="D441" s="36">
        <v>44696.0</v>
      </c>
      <c r="E441" s="24"/>
      <c r="F441" s="14">
        <v>1.83</v>
      </c>
      <c r="G441" s="14">
        <v>26.27</v>
      </c>
      <c r="H441" s="14">
        <v>1.44</v>
      </c>
      <c r="I441" s="14" t="s">
        <v>6026</v>
      </c>
      <c r="J441" s="14">
        <v>66.67</v>
      </c>
      <c r="K441" s="14">
        <v>2.74</v>
      </c>
      <c r="L441" s="14">
        <v>0.0</v>
      </c>
    </row>
    <row r="442">
      <c r="A442" s="14">
        <v>3387.0</v>
      </c>
      <c r="B442" s="14">
        <v>30.0</v>
      </c>
      <c r="C442" s="34">
        <v>38.34</v>
      </c>
      <c r="D442" s="36">
        <v>44697.0</v>
      </c>
      <c r="E442" s="24"/>
      <c r="F442" s="14">
        <v>1.28</v>
      </c>
      <c r="G442" s="14">
        <v>11.32</v>
      </c>
      <c r="H442" s="14">
        <v>0.89</v>
      </c>
      <c r="I442" s="14" t="s">
        <v>6024</v>
      </c>
      <c r="J442" s="14">
        <v>76.67</v>
      </c>
      <c r="K442" s="14">
        <v>1.67</v>
      </c>
      <c r="L442" s="14">
        <v>0.0</v>
      </c>
    </row>
    <row r="443">
      <c r="A443" s="14">
        <v>755.0</v>
      </c>
      <c r="B443" s="14">
        <v>13.0</v>
      </c>
      <c r="C443" s="34">
        <v>25.8</v>
      </c>
      <c r="D443" s="36">
        <v>44697.0</v>
      </c>
      <c r="E443" s="24"/>
      <c r="F443" s="14">
        <v>1.98</v>
      </c>
      <c r="G443" s="14">
        <v>34.17</v>
      </c>
      <c r="H443" s="14">
        <v>1.72</v>
      </c>
      <c r="I443" s="14" t="s">
        <v>6026</v>
      </c>
      <c r="J443" s="14">
        <v>46.15</v>
      </c>
      <c r="K443" s="14">
        <v>4.3</v>
      </c>
      <c r="L443" s="14">
        <v>0.0</v>
      </c>
    </row>
    <row r="444">
      <c r="A444" s="14">
        <v>3365.0</v>
      </c>
      <c r="B444" s="14">
        <v>8.0</v>
      </c>
      <c r="C444" s="34">
        <v>24.61</v>
      </c>
      <c r="D444" s="36">
        <v>44697.0</v>
      </c>
      <c r="E444" s="24"/>
      <c r="F444" s="14">
        <v>3.08</v>
      </c>
      <c r="G444" s="14">
        <v>7.31</v>
      </c>
      <c r="H444" s="14">
        <v>0.24</v>
      </c>
      <c r="I444" s="14" t="s">
        <v>6022</v>
      </c>
      <c r="J444" s="14">
        <v>137.5</v>
      </c>
      <c r="K444" s="14">
        <v>2.24</v>
      </c>
      <c r="L444" s="14">
        <v>0.0</v>
      </c>
    </row>
    <row r="445">
      <c r="A445" s="14">
        <v>3481.0</v>
      </c>
      <c r="B445" s="14">
        <v>22.0</v>
      </c>
      <c r="C445" s="34">
        <v>38.23</v>
      </c>
      <c r="D445" s="36">
        <v>44698.0</v>
      </c>
      <c r="E445" s="24"/>
      <c r="F445" s="14">
        <v>1.74</v>
      </c>
      <c r="G445" s="14">
        <v>10.98</v>
      </c>
      <c r="H445" s="14">
        <v>0.63</v>
      </c>
      <c r="I445" s="14" t="s">
        <v>6024</v>
      </c>
      <c r="J445" s="14">
        <v>77.27</v>
      </c>
      <c r="K445" s="14">
        <v>2.25</v>
      </c>
      <c r="L445" s="14">
        <v>0.0</v>
      </c>
    </row>
    <row r="446">
      <c r="A446" s="14">
        <v>3243.0</v>
      </c>
      <c r="B446" s="14">
        <v>12.0</v>
      </c>
      <c r="C446" s="34">
        <v>25.89</v>
      </c>
      <c r="D446" s="36">
        <v>44698.0</v>
      </c>
      <c r="E446" s="24"/>
      <c r="F446" s="14">
        <v>2.16</v>
      </c>
      <c r="G446" s="14">
        <v>7.98</v>
      </c>
      <c r="H446" s="14">
        <v>0.37</v>
      </c>
      <c r="I446" s="14" t="s">
        <v>6022</v>
      </c>
      <c r="J446" s="14">
        <v>83.33</v>
      </c>
      <c r="K446" s="14">
        <v>2.59</v>
      </c>
      <c r="L446" s="14">
        <v>0.0</v>
      </c>
    </row>
    <row r="447">
      <c r="A447" s="14">
        <v>743.0</v>
      </c>
      <c r="B447" s="14">
        <v>4.0</v>
      </c>
      <c r="C447" s="34">
        <v>23.21</v>
      </c>
      <c r="D447" s="36">
        <v>44698.0</v>
      </c>
      <c r="E447" s="24"/>
      <c r="F447" s="14">
        <v>5.8</v>
      </c>
      <c r="G447" s="14">
        <v>31.24</v>
      </c>
      <c r="H447" s="14">
        <v>0.54</v>
      </c>
      <c r="I447" s="14" t="s">
        <v>6026</v>
      </c>
      <c r="J447" s="14">
        <v>0.0</v>
      </c>
      <c r="K447" s="14" t="s">
        <v>6012</v>
      </c>
      <c r="L447" s="14">
        <v>0.0</v>
      </c>
    </row>
    <row r="448">
      <c r="A448" s="14">
        <v>3504.0</v>
      </c>
      <c r="B448" s="14">
        <v>48.0</v>
      </c>
      <c r="C448" s="34">
        <v>38.48</v>
      </c>
      <c r="D448" s="36">
        <v>44699.0</v>
      </c>
      <c r="E448" s="24"/>
      <c r="F448" s="14">
        <v>0.8</v>
      </c>
      <c r="G448" s="14">
        <v>10.98</v>
      </c>
      <c r="H448" s="14">
        <v>1.37</v>
      </c>
      <c r="I448" s="14" t="s">
        <v>6024</v>
      </c>
      <c r="J448" s="14">
        <v>75.0</v>
      </c>
      <c r="K448" s="14">
        <v>1.07</v>
      </c>
      <c r="L448" s="14">
        <v>0.0</v>
      </c>
    </row>
    <row r="449">
      <c r="A449" s="14">
        <v>812.0</v>
      </c>
      <c r="B449" s="14">
        <v>14.0</v>
      </c>
      <c r="C449" s="34">
        <v>24.31</v>
      </c>
      <c r="D449" s="36">
        <v>44699.0</v>
      </c>
      <c r="E449" s="24"/>
      <c r="F449" s="14">
        <v>1.74</v>
      </c>
      <c r="G449" s="14">
        <v>29.94</v>
      </c>
      <c r="H449" s="14">
        <v>1.72</v>
      </c>
      <c r="I449" s="14" t="s">
        <v>6026</v>
      </c>
      <c r="J449" s="14">
        <v>50.0</v>
      </c>
      <c r="K449" s="14">
        <v>3.47</v>
      </c>
      <c r="L449" s="14">
        <v>0.0</v>
      </c>
    </row>
    <row r="450">
      <c r="A450" s="14">
        <v>3117.0</v>
      </c>
      <c r="B450" s="14">
        <v>12.0</v>
      </c>
      <c r="C450" s="34">
        <v>24.71</v>
      </c>
      <c r="D450" s="36">
        <v>44699.0</v>
      </c>
      <c r="E450" s="24"/>
      <c r="F450" s="14">
        <v>2.06</v>
      </c>
      <c r="G450" s="14">
        <v>7.93</v>
      </c>
      <c r="H450" s="14">
        <v>0.38</v>
      </c>
      <c r="I450" s="14" t="s">
        <v>6022</v>
      </c>
      <c r="J450" s="14">
        <v>75.0</v>
      </c>
      <c r="K450" s="14">
        <v>2.75</v>
      </c>
      <c r="L450" s="14">
        <v>0.0</v>
      </c>
    </row>
    <row r="451">
      <c r="A451" s="14">
        <v>3179.0</v>
      </c>
      <c r="B451" s="14">
        <v>35.0</v>
      </c>
      <c r="C451" s="34">
        <v>34.15</v>
      </c>
      <c r="D451" s="36">
        <v>44700.0</v>
      </c>
      <c r="E451" s="24"/>
      <c r="F451" s="14">
        <v>0.98</v>
      </c>
      <c r="G451" s="14">
        <v>10.74</v>
      </c>
      <c r="H451" s="14">
        <v>1.1</v>
      </c>
      <c r="I451" s="14" t="s">
        <v>6024</v>
      </c>
      <c r="J451" s="14">
        <v>45.71</v>
      </c>
      <c r="K451" s="14">
        <v>2.13</v>
      </c>
      <c r="L451" s="14">
        <v>0.0</v>
      </c>
    </row>
    <row r="452">
      <c r="A452" s="14">
        <v>2946.0</v>
      </c>
      <c r="B452" s="14">
        <v>6.0</v>
      </c>
      <c r="C452" s="34">
        <v>24.09</v>
      </c>
      <c r="D452" s="36">
        <v>44700.0</v>
      </c>
      <c r="E452" s="24"/>
      <c r="F452" s="14">
        <v>4.01</v>
      </c>
      <c r="G452" s="14">
        <v>8.18</v>
      </c>
      <c r="H452" s="14">
        <v>0.2</v>
      </c>
      <c r="I452" s="14" t="s">
        <v>6022</v>
      </c>
      <c r="J452" s="14">
        <v>166.67</v>
      </c>
      <c r="K452" s="14">
        <v>2.41</v>
      </c>
      <c r="L452" s="14">
        <v>0.0</v>
      </c>
    </row>
    <row r="453">
      <c r="A453" s="14">
        <v>851.0</v>
      </c>
      <c r="B453" s="14">
        <v>16.0</v>
      </c>
      <c r="C453" s="34">
        <v>23.15</v>
      </c>
      <c r="D453" s="36">
        <v>44700.0</v>
      </c>
      <c r="E453" s="24"/>
      <c r="F453" s="14">
        <v>1.45</v>
      </c>
      <c r="G453" s="14">
        <v>27.2</v>
      </c>
      <c r="H453" s="14">
        <v>1.88</v>
      </c>
      <c r="I453" s="14" t="s">
        <v>6026</v>
      </c>
      <c r="J453" s="14">
        <v>62.5</v>
      </c>
      <c r="K453" s="14">
        <v>2.32</v>
      </c>
      <c r="L453" s="14">
        <v>0.0</v>
      </c>
    </row>
    <row r="454">
      <c r="A454" s="14">
        <v>2928.0</v>
      </c>
      <c r="B454" s="14">
        <v>32.0</v>
      </c>
      <c r="C454" s="34">
        <v>32.21</v>
      </c>
      <c r="D454" s="36">
        <v>44701.0</v>
      </c>
      <c r="E454" s="24"/>
      <c r="F454" s="14">
        <v>1.01</v>
      </c>
      <c r="G454" s="14">
        <v>11.0</v>
      </c>
      <c r="H454" s="14">
        <v>1.09</v>
      </c>
      <c r="I454" s="14" t="s">
        <v>6024</v>
      </c>
      <c r="J454" s="14">
        <v>56.25</v>
      </c>
      <c r="K454" s="14">
        <v>1.79</v>
      </c>
      <c r="L454" s="14">
        <v>0.0</v>
      </c>
    </row>
    <row r="455">
      <c r="A455" s="14">
        <v>2583.0</v>
      </c>
      <c r="B455" s="14">
        <v>16.0</v>
      </c>
      <c r="C455" s="34">
        <v>21.53</v>
      </c>
      <c r="D455" s="36">
        <v>44701.0</v>
      </c>
      <c r="E455" s="24"/>
      <c r="F455" s="14">
        <v>1.35</v>
      </c>
      <c r="G455" s="14">
        <v>8.34</v>
      </c>
      <c r="H455" s="14">
        <v>0.62</v>
      </c>
      <c r="I455" s="14" t="s">
        <v>6022</v>
      </c>
      <c r="J455" s="14">
        <v>87.5</v>
      </c>
      <c r="K455" s="14">
        <v>1.54</v>
      </c>
      <c r="L455" s="14">
        <v>0.0</v>
      </c>
    </row>
    <row r="456">
      <c r="A456" s="14">
        <v>794.0</v>
      </c>
      <c r="B456" s="14">
        <v>17.0</v>
      </c>
      <c r="C456" s="34">
        <v>21.2</v>
      </c>
      <c r="D456" s="36">
        <v>44701.0</v>
      </c>
      <c r="E456" s="24"/>
      <c r="F456" s="14">
        <v>1.25</v>
      </c>
      <c r="G456" s="14">
        <v>26.7</v>
      </c>
      <c r="H456" s="14">
        <v>2.14</v>
      </c>
      <c r="I456" s="14" t="s">
        <v>6026</v>
      </c>
      <c r="J456" s="14">
        <v>76.47</v>
      </c>
      <c r="K456" s="14">
        <v>1.63</v>
      </c>
      <c r="L456" s="14">
        <v>0.0</v>
      </c>
    </row>
    <row r="457">
      <c r="A457" s="14">
        <v>457.0</v>
      </c>
      <c r="B457" s="14">
        <v>12.0</v>
      </c>
      <c r="C457" s="34">
        <v>11.51</v>
      </c>
      <c r="D457" s="36">
        <v>44702.0</v>
      </c>
      <c r="E457" s="24"/>
      <c r="F457" s="14">
        <v>0.96</v>
      </c>
      <c r="G457" s="14">
        <v>25.19</v>
      </c>
      <c r="H457" s="14">
        <v>2.63</v>
      </c>
      <c r="I457" s="14" t="s">
        <v>6026</v>
      </c>
      <c r="J457" s="14">
        <v>66.67</v>
      </c>
      <c r="K457" s="14">
        <v>1.44</v>
      </c>
      <c r="L457" s="14">
        <v>0.0</v>
      </c>
    </row>
    <row r="458">
      <c r="A458" s="14">
        <v>1497.0</v>
      </c>
      <c r="B458" s="14">
        <v>18.0</v>
      </c>
      <c r="C458" s="34">
        <v>14.78</v>
      </c>
      <c r="D458" s="36">
        <v>44702.0</v>
      </c>
      <c r="E458" s="24"/>
      <c r="F458" s="14">
        <v>0.82</v>
      </c>
      <c r="G458" s="14">
        <v>9.87</v>
      </c>
      <c r="H458" s="14">
        <v>1.2</v>
      </c>
      <c r="I458" s="14" t="s">
        <v>6024</v>
      </c>
      <c r="J458" s="14">
        <v>88.89</v>
      </c>
      <c r="K458" s="14">
        <v>0.92</v>
      </c>
      <c r="L458" s="14">
        <v>0.0</v>
      </c>
    </row>
    <row r="459">
      <c r="A459" s="14">
        <v>1339.0</v>
      </c>
      <c r="B459" s="14">
        <v>10.0</v>
      </c>
      <c r="C459" s="34">
        <v>10.16</v>
      </c>
      <c r="D459" s="36">
        <v>44702.0</v>
      </c>
      <c r="E459" s="24"/>
      <c r="F459" s="14">
        <v>1.02</v>
      </c>
      <c r="G459" s="14">
        <v>7.59</v>
      </c>
      <c r="H459" s="14">
        <v>0.75</v>
      </c>
      <c r="I459" s="14" t="s">
        <v>6022</v>
      </c>
      <c r="J459" s="14">
        <v>90.0</v>
      </c>
      <c r="K459" s="14">
        <v>1.13</v>
      </c>
      <c r="L459" s="14">
        <v>0.0</v>
      </c>
    </row>
    <row r="460">
      <c r="A460" s="14">
        <v>398.0</v>
      </c>
      <c r="B460" s="14">
        <v>15.0</v>
      </c>
      <c r="C460" s="34">
        <v>10.82</v>
      </c>
      <c r="D460" s="36">
        <v>44703.0</v>
      </c>
      <c r="E460" s="24"/>
      <c r="F460" s="14">
        <v>0.72</v>
      </c>
      <c r="G460" s="14">
        <v>27.19</v>
      </c>
      <c r="H460" s="14">
        <v>3.77</v>
      </c>
      <c r="I460" s="14" t="s">
        <v>6026</v>
      </c>
      <c r="J460" s="14">
        <v>13.33</v>
      </c>
      <c r="K460" s="14">
        <v>5.41</v>
      </c>
      <c r="L460" s="14">
        <v>0.0</v>
      </c>
    </row>
    <row r="461">
      <c r="A461" s="14">
        <v>1179.0</v>
      </c>
      <c r="B461" s="14">
        <v>12.0</v>
      </c>
      <c r="C461" s="34">
        <v>8.3</v>
      </c>
      <c r="D461" s="36">
        <v>44703.0</v>
      </c>
      <c r="E461" s="24"/>
      <c r="F461" s="14">
        <v>0.69</v>
      </c>
      <c r="G461" s="14">
        <v>7.04</v>
      </c>
      <c r="H461" s="14">
        <v>1.02</v>
      </c>
      <c r="I461" s="14" t="s">
        <v>6022</v>
      </c>
      <c r="J461" s="14">
        <v>91.67</v>
      </c>
      <c r="K461" s="14">
        <v>0.75</v>
      </c>
      <c r="L461" s="14">
        <v>0.0</v>
      </c>
    </row>
    <row r="462">
      <c r="A462" s="14">
        <v>1167.0</v>
      </c>
      <c r="B462" s="14">
        <v>12.0</v>
      </c>
      <c r="C462" s="34">
        <v>13.81</v>
      </c>
      <c r="D462" s="36">
        <v>44703.0</v>
      </c>
      <c r="E462" s="24"/>
      <c r="F462" s="14">
        <v>1.15</v>
      </c>
      <c r="G462" s="14">
        <v>11.83</v>
      </c>
      <c r="H462" s="14">
        <v>1.03</v>
      </c>
      <c r="I462" s="14" t="s">
        <v>6024</v>
      </c>
      <c r="J462" s="14">
        <v>58.33</v>
      </c>
      <c r="K462" s="14">
        <v>1.97</v>
      </c>
      <c r="L462" s="14">
        <v>0.0</v>
      </c>
    </row>
    <row r="463">
      <c r="A463" s="14">
        <v>3518.0</v>
      </c>
      <c r="B463" s="14">
        <v>36.0</v>
      </c>
      <c r="C463" s="34">
        <v>37.51</v>
      </c>
      <c r="D463" s="36">
        <v>44704.0</v>
      </c>
      <c r="E463" s="24"/>
      <c r="F463" s="14">
        <v>1.04</v>
      </c>
      <c r="G463" s="14">
        <v>10.66</v>
      </c>
      <c r="H463" s="14">
        <v>1.02</v>
      </c>
      <c r="I463" s="14" t="s">
        <v>6024</v>
      </c>
      <c r="J463" s="14">
        <v>108.33</v>
      </c>
      <c r="K463" s="14">
        <v>0.96</v>
      </c>
      <c r="L463" s="14">
        <v>0.0</v>
      </c>
    </row>
    <row r="464">
      <c r="A464" s="14">
        <v>2692.0</v>
      </c>
      <c r="B464" s="14">
        <v>13.0</v>
      </c>
      <c r="C464" s="34">
        <v>24.18</v>
      </c>
      <c r="D464" s="36">
        <v>44704.0</v>
      </c>
      <c r="E464" s="24"/>
      <c r="F464" s="14">
        <v>1.86</v>
      </c>
      <c r="G464" s="14">
        <v>8.98</v>
      </c>
      <c r="H464" s="14">
        <v>0.48</v>
      </c>
      <c r="I464" s="14" t="s">
        <v>6022</v>
      </c>
      <c r="J464" s="14">
        <v>107.69</v>
      </c>
      <c r="K464" s="14">
        <v>1.73</v>
      </c>
      <c r="L464" s="14">
        <v>0.0</v>
      </c>
    </row>
    <row r="465">
      <c r="A465" s="14">
        <v>757.0</v>
      </c>
      <c r="B465" s="14">
        <v>29.0</v>
      </c>
      <c r="C465" s="34">
        <v>24.44</v>
      </c>
      <c r="D465" s="36">
        <v>44704.0</v>
      </c>
      <c r="E465" s="24"/>
      <c r="F465" s="14">
        <v>0.84</v>
      </c>
      <c r="G465" s="14">
        <v>32.29</v>
      </c>
      <c r="H465" s="14">
        <v>3.83</v>
      </c>
      <c r="I465" s="14" t="s">
        <v>6026</v>
      </c>
      <c r="J465" s="14">
        <v>27.59</v>
      </c>
      <c r="K465" s="14">
        <v>3.06</v>
      </c>
      <c r="L465" s="14">
        <v>0.0</v>
      </c>
    </row>
    <row r="466">
      <c r="A466" s="14">
        <v>3112.0</v>
      </c>
      <c r="B466" s="14">
        <v>6.0</v>
      </c>
      <c r="C466" s="34">
        <v>25.75</v>
      </c>
      <c r="D466" s="36">
        <v>44705.0</v>
      </c>
      <c r="E466" s="24"/>
      <c r="F466" s="14">
        <v>4.29</v>
      </c>
      <c r="G466" s="14">
        <v>8.27</v>
      </c>
      <c r="H466" s="14">
        <v>0.19</v>
      </c>
      <c r="I466" s="14" t="s">
        <v>6022</v>
      </c>
      <c r="J466" s="14">
        <v>100.0</v>
      </c>
      <c r="K466" s="14">
        <v>4.29</v>
      </c>
      <c r="L466" s="14">
        <v>0.0</v>
      </c>
    </row>
    <row r="467">
      <c r="A467" s="14">
        <v>1796.0</v>
      </c>
      <c r="B467" s="14">
        <v>69.0</v>
      </c>
      <c r="C467" s="34">
        <v>60.88</v>
      </c>
      <c r="D467" s="36">
        <v>44705.0</v>
      </c>
      <c r="E467" s="24"/>
      <c r="F467" s="14">
        <v>0.88</v>
      </c>
      <c r="G467" s="14">
        <v>33.9</v>
      </c>
      <c r="H467" s="14">
        <v>3.84</v>
      </c>
      <c r="I467" s="14" t="s">
        <v>6027</v>
      </c>
      <c r="J467" s="14">
        <v>105.8</v>
      </c>
      <c r="K467" s="14">
        <v>0.83</v>
      </c>
      <c r="L467" s="14">
        <v>0.0</v>
      </c>
    </row>
    <row r="468">
      <c r="A468" s="14">
        <v>3042.0</v>
      </c>
      <c r="B468" s="14">
        <v>25.0</v>
      </c>
      <c r="C468" s="34">
        <v>34.39</v>
      </c>
      <c r="D468" s="36">
        <v>44705.0</v>
      </c>
      <c r="E468" s="24"/>
      <c r="F468" s="14">
        <v>1.38</v>
      </c>
      <c r="G468" s="14">
        <v>11.31</v>
      </c>
      <c r="H468" s="14">
        <v>0.82</v>
      </c>
      <c r="I468" s="14" t="s">
        <v>6024</v>
      </c>
      <c r="J468" s="14">
        <v>88.0</v>
      </c>
      <c r="K468" s="14">
        <v>1.56</v>
      </c>
      <c r="L468" s="14">
        <v>0.0</v>
      </c>
    </row>
    <row r="469">
      <c r="A469" s="14">
        <v>791.0</v>
      </c>
      <c r="B469" s="14">
        <v>19.0</v>
      </c>
      <c r="C469" s="34">
        <v>23.2</v>
      </c>
      <c r="D469" s="36">
        <v>44705.0</v>
      </c>
      <c r="E469" s="24"/>
      <c r="F469" s="14">
        <v>1.22</v>
      </c>
      <c r="G469" s="14">
        <v>29.33</v>
      </c>
      <c r="H469" s="14">
        <v>2.4</v>
      </c>
      <c r="I469" s="14" t="s">
        <v>6026</v>
      </c>
      <c r="J469" s="14">
        <v>52.63</v>
      </c>
      <c r="K469" s="14">
        <v>2.32</v>
      </c>
      <c r="L469" s="14">
        <v>0.0</v>
      </c>
    </row>
    <row r="470">
      <c r="A470" s="14">
        <v>1073.0</v>
      </c>
      <c r="B470" s="14">
        <v>42.0</v>
      </c>
      <c r="C470" s="34">
        <v>28.28</v>
      </c>
      <c r="D470" s="36">
        <v>44705.0</v>
      </c>
      <c r="E470" s="24"/>
      <c r="F470" s="14">
        <v>0.67</v>
      </c>
      <c r="G470" s="14">
        <v>26.36</v>
      </c>
      <c r="H470" s="14">
        <v>3.91</v>
      </c>
      <c r="I470" s="14" t="s">
        <v>6028</v>
      </c>
      <c r="J470" s="14">
        <v>38.1</v>
      </c>
      <c r="K470" s="14">
        <v>1.77</v>
      </c>
      <c r="L470" s="14">
        <v>0.0</v>
      </c>
    </row>
    <row r="471">
      <c r="A471" s="14">
        <v>1368.0</v>
      </c>
      <c r="B471" s="14">
        <v>27.0</v>
      </c>
      <c r="C471" s="34">
        <v>67.15</v>
      </c>
      <c r="D471" s="36">
        <v>44706.0</v>
      </c>
      <c r="E471" s="24"/>
      <c r="F471" s="14">
        <v>2.49</v>
      </c>
      <c r="G471" s="14">
        <v>49.09</v>
      </c>
      <c r="H471" s="14">
        <v>1.97</v>
      </c>
      <c r="I471" s="14" t="s">
        <v>6027</v>
      </c>
      <c r="J471" s="14">
        <v>111.11</v>
      </c>
      <c r="K471" s="14">
        <v>2.24</v>
      </c>
      <c r="L471" s="14">
        <v>0.0</v>
      </c>
    </row>
    <row r="472">
      <c r="A472" s="14">
        <v>2400.0</v>
      </c>
      <c r="B472" s="14">
        <v>16.0</v>
      </c>
      <c r="C472" s="34">
        <v>19.42</v>
      </c>
      <c r="D472" s="36">
        <v>44706.0</v>
      </c>
      <c r="E472" s="24"/>
      <c r="F472" s="14">
        <v>1.21</v>
      </c>
      <c r="G472" s="14">
        <v>8.09</v>
      </c>
      <c r="H472" s="14">
        <v>0.67</v>
      </c>
      <c r="I472" s="14" t="s">
        <v>6022</v>
      </c>
      <c r="J472" s="14">
        <v>93.75</v>
      </c>
      <c r="K472" s="14">
        <v>1.29</v>
      </c>
      <c r="L472" s="14">
        <v>0.0</v>
      </c>
    </row>
    <row r="473">
      <c r="A473" s="14">
        <v>763.0</v>
      </c>
      <c r="B473" s="14">
        <v>17.0</v>
      </c>
      <c r="C473" s="34">
        <v>20.88</v>
      </c>
      <c r="D473" s="36">
        <v>44706.0</v>
      </c>
      <c r="E473" s="24"/>
      <c r="F473" s="14">
        <v>1.23</v>
      </c>
      <c r="G473" s="14">
        <v>27.37</v>
      </c>
      <c r="H473" s="14">
        <v>2.23</v>
      </c>
      <c r="I473" s="14" t="s">
        <v>6026</v>
      </c>
      <c r="J473" s="14">
        <v>11.76</v>
      </c>
      <c r="K473" s="14">
        <v>10.44</v>
      </c>
      <c r="L473" s="14">
        <v>0.0</v>
      </c>
    </row>
    <row r="474">
      <c r="A474" s="14">
        <v>2948.0</v>
      </c>
      <c r="B474" s="14">
        <v>19.0</v>
      </c>
      <c r="C474" s="34">
        <v>37.32</v>
      </c>
      <c r="D474" s="36">
        <v>44706.0</v>
      </c>
      <c r="E474" s="24"/>
      <c r="F474" s="14">
        <v>1.96</v>
      </c>
      <c r="G474" s="14">
        <v>12.66</v>
      </c>
      <c r="H474" s="14">
        <v>0.64</v>
      </c>
      <c r="I474" s="14" t="s">
        <v>6024</v>
      </c>
      <c r="J474" s="14">
        <v>105.26</v>
      </c>
      <c r="K474" s="14">
        <v>1.87</v>
      </c>
      <c r="L474" s="14">
        <v>0.0</v>
      </c>
    </row>
    <row r="475">
      <c r="A475" s="14">
        <v>982.0</v>
      </c>
      <c r="B475" s="14">
        <v>28.0</v>
      </c>
      <c r="C475" s="34">
        <v>34.69</v>
      </c>
      <c r="D475" s="36">
        <v>44706.0</v>
      </c>
      <c r="E475" s="24"/>
      <c r="F475" s="14">
        <v>1.24</v>
      </c>
      <c r="G475" s="14">
        <v>35.33</v>
      </c>
      <c r="H475" s="14">
        <v>2.85</v>
      </c>
      <c r="I475" s="14" t="s">
        <v>6028</v>
      </c>
      <c r="J475" s="14">
        <v>50.0</v>
      </c>
      <c r="K475" s="14">
        <v>2.48</v>
      </c>
      <c r="L475" s="14">
        <v>0.0</v>
      </c>
    </row>
    <row r="476">
      <c r="A476" s="14">
        <v>767.0</v>
      </c>
      <c r="B476" s="14">
        <v>14.0</v>
      </c>
      <c r="C476" s="34">
        <v>20.18</v>
      </c>
      <c r="D476" s="36">
        <v>44707.0</v>
      </c>
      <c r="E476" s="24"/>
      <c r="F476" s="14">
        <v>1.44</v>
      </c>
      <c r="G476" s="14">
        <v>26.31</v>
      </c>
      <c r="H476" s="14">
        <v>1.83</v>
      </c>
      <c r="I476" s="14" t="s">
        <v>6026</v>
      </c>
      <c r="J476" s="14">
        <v>35.71</v>
      </c>
      <c r="K476" s="14">
        <v>4.04</v>
      </c>
      <c r="L476" s="14">
        <v>0.0</v>
      </c>
    </row>
    <row r="477">
      <c r="A477" s="14">
        <v>1039.0</v>
      </c>
      <c r="B477" s="14">
        <v>6.0</v>
      </c>
      <c r="C477" s="34">
        <v>59.95</v>
      </c>
      <c r="D477" s="36">
        <v>44707.0</v>
      </c>
      <c r="E477" s="24"/>
      <c r="F477" s="14">
        <v>9.99</v>
      </c>
      <c r="G477" s="14">
        <v>57.7</v>
      </c>
      <c r="H477" s="14">
        <v>0.58</v>
      </c>
      <c r="I477" s="14" t="s">
        <v>6029</v>
      </c>
      <c r="J477" s="14">
        <v>150.0</v>
      </c>
      <c r="K477" s="14">
        <v>6.66</v>
      </c>
      <c r="L477" s="14">
        <v>0.0</v>
      </c>
    </row>
    <row r="478">
      <c r="A478" s="14">
        <v>611.0</v>
      </c>
      <c r="B478" s="14">
        <v>12.0</v>
      </c>
      <c r="C478" s="34">
        <v>26.82</v>
      </c>
      <c r="D478" s="36">
        <v>44707.0</v>
      </c>
      <c r="E478" s="24"/>
      <c r="F478" s="14">
        <v>2.24</v>
      </c>
      <c r="G478" s="14">
        <v>43.9</v>
      </c>
      <c r="H478" s="14">
        <v>1.96</v>
      </c>
      <c r="I478" s="14" t="s">
        <v>6030</v>
      </c>
      <c r="J478" s="14">
        <v>8.33</v>
      </c>
      <c r="K478" s="14">
        <v>26.82</v>
      </c>
      <c r="L478" s="14">
        <v>0.0</v>
      </c>
    </row>
    <row r="479">
      <c r="A479" s="14">
        <v>943.0</v>
      </c>
      <c r="B479" s="14">
        <v>21.0</v>
      </c>
      <c r="C479" s="34">
        <v>60.02</v>
      </c>
      <c r="D479" s="36">
        <v>44707.0</v>
      </c>
      <c r="E479" s="24"/>
      <c r="F479" s="14">
        <v>2.86</v>
      </c>
      <c r="G479" s="14">
        <v>63.65</v>
      </c>
      <c r="H479" s="14">
        <v>2.23</v>
      </c>
      <c r="I479" s="14" t="s">
        <v>6027</v>
      </c>
      <c r="J479" s="14">
        <v>114.29</v>
      </c>
      <c r="K479" s="14">
        <v>2.5</v>
      </c>
      <c r="L479" s="14">
        <v>0.0</v>
      </c>
    </row>
    <row r="480">
      <c r="A480" s="14">
        <v>3178.0</v>
      </c>
      <c r="B480" s="14">
        <v>34.0</v>
      </c>
      <c r="C480" s="34">
        <v>37.22</v>
      </c>
      <c r="D480" s="36">
        <v>44707.0</v>
      </c>
      <c r="E480" s="24"/>
      <c r="F480" s="14">
        <v>1.09</v>
      </c>
      <c r="G480" s="14">
        <v>11.71</v>
      </c>
      <c r="H480" s="14">
        <v>1.07</v>
      </c>
      <c r="I480" s="14" t="s">
        <v>6024</v>
      </c>
      <c r="J480" s="14">
        <v>73.53</v>
      </c>
      <c r="K480" s="14">
        <v>1.49</v>
      </c>
      <c r="L480" s="14">
        <v>0.0</v>
      </c>
    </row>
    <row r="481">
      <c r="A481" s="14">
        <v>2694.0</v>
      </c>
      <c r="B481" s="14">
        <v>10.0</v>
      </c>
      <c r="C481" s="34">
        <v>22.54</v>
      </c>
      <c r="D481" s="36">
        <v>44707.0</v>
      </c>
      <c r="E481" s="24"/>
      <c r="F481" s="14">
        <v>2.25</v>
      </c>
      <c r="G481" s="14">
        <v>8.37</v>
      </c>
      <c r="H481" s="14">
        <v>0.37</v>
      </c>
      <c r="I481" s="14" t="s">
        <v>6022</v>
      </c>
      <c r="J481" s="14">
        <v>100.0</v>
      </c>
      <c r="K481" s="14">
        <v>2.25</v>
      </c>
      <c r="L481" s="14">
        <v>0.0</v>
      </c>
    </row>
    <row r="482">
      <c r="A482" s="14">
        <v>1256.0</v>
      </c>
      <c r="B482" s="14">
        <v>20.0</v>
      </c>
      <c r="C482" s="34">
        <v>33.99</v>
      </c>
      <c r="D482" s="36">
        <v>44707.0</v>
      </c>
      <c r="E482" s="24"/>
      <c r="F482" s="14">
        <v>1.7</v>
      </c>
      <c r="G482" s="14">
        <v>27.06</v>
      </c>
      <c r="H482" s="14">
        <v>1.59</v>
      </c>
      <c r="I482" s="14" t="s">
        <v>6028</v>
      </c>
      <c r="J482" s="14">
        <v>40.0</v>
      </c>
      <c r="K482" s="14">
        <v>4.25</v>
      </c>
      <c r="L482" s="14">
        <v>0.0</v>
      </c>
    </row>
    <row r="483">
      <c r="A483" s="14">
        <v>699.0</v>
      </c>
      <c r="B483" s="14">
        <v>23.0</v>
      </c>
      <c r="C483" s="34">
        <v>32.44</v>
      </c>
      <c r="D483" s="36">
        <v>44708.0</v>
      </c>
      <c r="E483" s="24"/>
      <c r="F483" s="14">
        <v>1.41</v>
      </c>
      <c r="G483" s="14">
        <v>46.41</v>
      </c>
      <c r="H483" s="14">
        <v>3.29</v>
      </c>
      <c r="I483" s="14" t="s">
        <v>6028</v>
      </c>
      <c r="J483" s="14">
        <v>69.57</v>
      </c>
      <c r="K483" s="14">
        <v>2.03</v>
      </c>
      <c r="L483" s="14">
        <v>0.0</v>
      </c>
    </row>
    <row r="484">
      <c r="A484" s="14">
        <v>479.0</v>
      </c>
      <c r="B484" s="14">
        <v>3.0</v>
      </c>
      <c r="C484" s="34">
        <v>26.8</v>
      </c>
      <c r="D484" s="36">
        <v>44708.0</v>
      </c>
      <c r="E484" s="24"/>
      <c r="F484" s="14">
        <v>8.93</v>
      </c>
      <c r="G484" s="14">
        <v>55.95</v>
      </c>
      <c r="H484" s="14">
        <v>0.63</v>
      </c>
      <c r="I484" s="14" t="s">
        <v>6030</v>
      </c>
      <c r="J484" s="14">
        <v>333.33</v>
      </c>
      <c r="K484" s="14">
        <v>2.68</v>
      </c>
      <c r="L484" s="14">
        <v>0.0</v>
      </c>
    </row>
    <row r="485">
      <c r="A485" s="14">
        <v>655.0</v>
      </c>
      <c r="B485" s="14">
        <v>5.0</v>
      </c>
      <c r="C485" s="34">
        <v>56.95</v>
      </c>
      <c r="D485" s="36">
        <v>44708.0</v>
      </c>
      <c r="E485" s="24"/>
      <c r="F485" s="14">
        <v>11.39</v>
      </c>
      <c r="G485" s="14">
        <v>86.95</v>
      </c>
      <c r="H485" s="14">
        <v>0.76</v>
      </c>
      <c r="I485" s="14" t="s">
        <v>6027</v>
      </c>
      <c r="J485" s="14">
        <v>140.0</v>
      </c>
      <c r="K485" s="14">
        <v>8.14</v>
      </c>
      <c r="L485" s="14">
        <v>0.0</v>
      </c>
    </row>
    <row r="486">
      <c r="A486" s="14">
        <v>2742.0</v>
      </c>
      <c r="B486" s="14">
        <v>16.0</v>
      </c>
      <c r="C486" s="34">
        <v>31.18</v>
      </c>
      <c r="D486" s="36">
        <v>44708.0</v>
      </c>
      <c r="E486" s="24"/>
      <c r="F486" s="14">
        <v>1.95</v>
      </c>
      <c r="G486" s="14">
        <v>11.37</v>
      </c>
      <c r="H486" s="14">
        <v>0.58</v>
      </c>
      <c r="I486" s="14" t="s">
        <v>6024</v>
      </c>
      <c r="J486" s="14">
        <v>81.25</v>
      </c>
      <c r="K486" s="14">
        <v>2.4</v>
      </c>
      <c r="L486" s="14">
        <v>0.0</v>
      </c>
    </row>
    <row r="487">
      <c r="A487" s="14">
        <v>2382.0</v>
      </c>
      <c r="B487" s="14">
        <v>8.0</v>
      </c>
      <c r="C487" s="34">
        <v>21.11</v>
      </c>
      <c r="D487" s="36">
        <v>44708.0</v>
      </c>
      <c r="E487" s="24"/>
      <c r="F487" s="14">
        <v>2.64</v>
      </c>
      <c r="G487" s="14">
        <v>8.86</v>
      </c>
      <c r="H487" s="14">
        <v>0.34</v>
      </c>
      <c r="I487" s="14" t="s">
        <v>6022</v>
      </c>
      <c r="J487" s="14">
        <v>75.0</v>
      </c>
      <c r="K487" s="14">
        <v>3.52</v>
      </c>
      <c r="L487" s="14">
        <v>0.0</v>
      </c>
    </row>
    <row r="488">
      <c r="A488" s="14">
        <v>1075.0</v>
      </c>
      <c r="B488" s="14">
        <v>2.0</v>
      </c>
      <c r="C488" s="34">
        <v>63.08</v>
      </c>
      <c r="D488" s="36">
        <v>44708.0</v>
      </c>
      <c r="E488" s="24"/>
      <c r="F488" s="14">
        <v>31.54</v>
      </c>
      <c r="G488" s="14">
        <v>58.68</v>
      </c>
      <c r="H488" s="14">
        <v>0.19</v>
      </c>
      <c r="I488" s="14" t="s">
        <v>6029</v>
      </c>
      <c r="J488" s="14">
        <v>100.0</v>
      </c>
      <c r="K488" s="14">
        <v>31.54</v>
      </c>
      <c r="L488" s="14">
        <v>0.0</v>
      </c>
    </row>
    <row r="489">
      <c r="A489" s="14">
        <v>741.0</v>
      </c>
      <c r="B489" s="14">
        <v>9.0</v>
      </c>
      <c r="C489" s="34">
        <v>20.61</v>
      </c>
      <c r="D489" s="36">
        <v>44708.0</v>
      </c>
      <c r="E489" s="24"/>
      <c r="F489" s="14">
        <v>2.29</v>
      </c>
      <c r="G489" s="14">
        <v>27.81</v>
      </c>
      <c r="H489" s="14">
        <v>1.21</v>
      </c>
      <c r="I489" s="14" t="s">
        <v>6026</v>
      </c>
      <c r="J489" s="14">
        <v>55.56</v>
      </c>
      <c r="K489" s="14">
        <v>4.12</v>
      </c>
      <c r="L489" s="14">
        <v>0.0</v>
      </c>
    </row>
    <row r="490">
      <c r="A490" s="14">
        <v>1387.0</v>
      </c>
      <c r="B490" s="14">
        <v>6.0</v>
      </c>
      <c r="C490" s="34">
        <v>14.06</v>
      </c>
      <c r="D490" s="36">
        <v>44709.0</v>
      </c>
      <c r="E490" s="24"/>
      <c r="F490" s="14">
        <v>2.34</v>
      </c>
      <c r="G490" s="14">
        <v>10.14</v>
      </c>
      <c r="H490" s="14">
        <v>0.43</v>
      </c>
      <c r="I490" s="14" t="s">
        <v>6022</v>
      </c>
      <c r="J490" s="14">
        <v>216.67</v>
      </c>
      <c r="K490" s="14">
        <v>1.08</v>
      </c>
      <c r="L490" s="14">
        <v>0.0</v>
      </c>
    </row>
    <row r="491">
      <c r="A491" s="14">
        <v>3465.0</v>
      </c>
      <c r="B491" s="14">
        <v>94.0</v>
      </c>
      <c r="C491" s="34">
        <v>35.8</v>
      </c>
      <c r="D491" s="36">
        <v>44709.0</v>
      </c>
      <c r="E491" s="24"/>
      <c r="F491" s="14">
        <v>0.38</v>
      </c>
      <c r="G491" s="14">
        <v>10.33</v>
      </c>
      <c r="H491" s="14">
        <v>2.71</v>
      </c>
      <c r="I491" s="14" t="s">
        <v>6031</v>
      </c>
      <c r="J491" s="14">
        <v>122.34</v>
      </c>
      <c r="K491" s="14">
        <v>0.31</v>
      </c>
      <c r="L491" s="14">
        <v>0.0</v>
      </c>
    </row>
    <row r="492">
      <c r="A492" s="14">
        <v>628.0</v>
      </c>
      <c r="B492" s="14">
        <v>7.0</v>
      </c>
      <c r="C492" s="34">
        <v>24.88</v>
      </c>
      <c r="D492" s="36">
        <v>44709.0</v>
      </c>
      <c r="E492" s="24"/>
      <c r="F492" s="14">
        <v>3.55</v>
      </c>
      <c r="G492" s="14">
        <v>39.62</v>
      </c>
      <c r="H492" s="14">
        <v>1.11</v>
      </c>
      <c r="I492" s="14" t="s">
        <v>6030</v>
      </c>
      <c r="J492" s="14">
        <v>71.43</v>
      </c>
      <c r="K492" s="14">
        <v>4.98</v>
      </c>
      <c r="L492" s="14">
        <v>0.0</v>
      </c>
    </row>
    <row r="493">
      <c r="A493" s="14">
        <v>1010.0</v>
      </c>
      <c r="B493" s="14">
        <v>3.0</v>
      </c>
      <c r="C493" s="34">
        <v>51.04</v>
      </c>
      <c r="D493" s="36">
        <v>44709.0</v>
      </c>
      <c r="E493" s="24"/>
      <c r="F493" s="14">
        <v>17.01</v>
      </c>
      <c r="G493" s="14">
        <v>50.53</v>
      </c>
      <c r="H493" s="14">
        <v>0.3</v>
      </c>
      <c r="I493" s="14" t="s">
        <v>6029</v>
      </c>
      <c r="J493" s="14">
        <v>33.33</v>
      </c>
      <c r="K493" s="14">
        <v>51.04</v>
      </c>
      <c r="L493" s="14">
        <v>0.0</v>
      </c>
    </row>
    <row r="494">
      <c r="A494" s="14">
        <v>463.0</v>
      </c>
      <c r="B494" s="14">
        <v>15.0</v>
      </c>
      <c r="C494" s="34">
        <v>15.97</v>
      </c>
      <c r="D494" s="36">
        <v>44709.0</v>
      </c>
      <c r="E494" s="24"/>
      <c r="F494" s="14">
        <v>1.06</v>
      </c>
      <c r="G494" s="14">
        <v>34.49</v>
      </c>
      <c r="H494" s="14">
        <v>3.24</v>
      </c>
      <c r="I494" s="14" t="s">
        <v>6026</v>
      </c>
      <c r="J494" s="14">
        <v>40.0</v>
      </c>
      <c r="K494" s="14">
        <v>2.66</v>
      </c>
      <c r="L494" s="14">
        <v>0.0</v>
      </c>
    </row>
    <row r="495">
      <c r="A495" s="14">
        <v>968.0</v>
      </c>
      <c r="B495" s="14">
        <v>24.0</v>
      </c>
      <c r="C495" s="34">
        <v>39.63</v>
      </c>
      <c r="D495" s="36">
        <v>44709.0</v>
      </c>
      <c r="E495" s="24"/>
      <c r="F495" s="14">
        <v>1.65</v>
      </c>
      <c r="G495" s="14">
        <v>40.94</v>
      </c>
      <c r="H495" s="14">
        <v>2.48</v>
      </c>
      <c r="I495" s="14" t="s">
        <v>6032</v>
      </c>
      <c r="J495" s="14">
        <v>58.33</v>
      </c>
      <c r="K495" s="14">
        <v>2.83</v>
      </c>
      <c r="L495" s="14">
        <v>0.0</v>
      </c>
    </row>
    <row r="496">
      <c r="A496" s="14">
        <v>463.0</v>
      </c>
      <c r="B496" s="14">
        <v>7.0</v>
      </c>
      <c r="C496" s="34">
        <v>15.95</v>
      </c>
      <c r="D496" s="36">
        <v>44709.0</v>
      </c>
      <c r="E496" s="24"/>
      <c r="F496" s="14">
        <v>2.28</v>
      </c>
      <c r="G496" s="14">
        <v>34.45</v>
      </c>
      <c r="H496" s="14">
        <v>1.51</v>
      </c>
      <c r="I496" s="14" t="s">
        <v>6033</v>
      </c>
      <c r="J496" s="14">
        <v>14.29</v>
      </c>
      <c r="K496" s="14">
        <v>15.95</v>
      </c>
      <c r="L496" s="14">
        <v>0.0</v>
      </c>
    </row>
    <row r="497">
      <c r="A497" s="14">
        <v>361.0</v>
      </c>
      <c r="B497" s="14">
        <v>13.0</v>
      </c>
      <c r="C497" s="34">
        <v>18.16</v>
      </c>
      <c r="D497" s="36">
        <v>44709.0</v>
      </c>
      <c r="E497" s="24"/>
      <c r="F497" s="14">
        <v>1.4</v>
      </c>
      <c r="G497" s="14">
        <v>50.3</v>
      </c>
      <c r="H497" s="14">
        <v>3.6</v>
      </c>
      <c r="I497" s="14" t="s">
        <v>6028</v>
      </c>
      <c r="J497" s="14">
        <v>53.85</v>
      </c>
      <c r="K497" s="14">
        <v>2.59</v>
      </c>
      <c r="L497" s="14">
        <v>0.0</v>
      </c>
    </row>
    <row r="498">
      <c r="A498" s="14">
        <v>981.0</v>
      </c>
      <c r="B498" s="14">
        <v>2.0</v>
      </c>
      <c r="C498" s="34">
        <v>51.65</v>
      </c>
      <c r="D498" s="36">
        <v>44709.0</v>
      </c>
      <c r="E498" s="24"/>
      <c r="F498" s="14">
        <v>25.82</v>
      </c>
      <c r="G498" s="14">
        <v>52.65</v>
      </c>
      <c r="H498" s="14">
        <v>0.2</v>
      </c>
      <c r="I498" s="14" t="s">
        <v>6034</v>
      </c>
      <c r="J498" s="14">
        <v>100.0</v>
      </c>
      <c r="K498" s="14">
        <v>25.82</v>
      </c>
      <c r="L498" s="14">
        <v>0.0</v>
      </c>
    </row>
    <row r="499">
      <c r="A499" s="14">
        <v>1311.0</v>
      </c>
      <c r="B499" s="14">
        <v>21.0</v>
      </c>
      <c r="C499" s="34">
        <v>16.29</v>
      </c>
      <c r="D499" s="36">
        <v>44709.0</v>
      </c>
      <c r="E499" s="24"/>
      <c r="F499" s="14">
        <v>0.78</v>
      </c>
      <c r="G499" s="14">
        <v>12.43</v>
      </c>
      <c r="H499" s="14">
        <v>1.6</v>
      </c>
      <c r="I499" s="14" t="s">
        <v>6024</v>
      </c>
      <c r="J499" s="14">
        <v>57.14</v>
      </c>
      <c r="K499" s="14">
        <v>1.36</v>
      </c>
      <c r="L499" s="14">
        <v>0.0</v>
      </c>
    </row>
    <row r="500">
      <c r="A500" s="14">
        <v>666.0</v>
      </c>
      <c r="B500" s="14">
        <v>9.0</v>
      </c>
      <c r="C500" s="34">
        <v>51.68</v>
      </c>
      <c r="D500" s="36">
        <v>44709.0</v>
      </c>
      <c r="E500" s="24"/>
      <c r="F500" s="14">
        <v>5.74</v>
      </c>
      <c r="G500" s="14">
        <v>77.6</v>
      </c>
      <c r="H500" s="14">
        <v>1.35</v>
      </c>
      <c r="I500" s="14" t="s">
        <v>6027</v>
      </c>
      <c r="J500" s="14">
        <v>22.22</v>
      </c>
      <c r="K500" s="14">
        <v>25.84</v>
      </c>
      <c r="L500" s="14">
        <v>0.0</v>
      </c>
    </row>
    <row r="501">
      <c r="A501" s="14">
        <v>649.0</v>
      </c>
      <c r="B501" s="14">
        <v>3.0</v>
      </c>
      <c r="C501" s="34">
        <v>37.17</v>
      </c>
      <c r="D501" s="36">
        <v>44710.0</v>
      </c>
      <c r="E501" s="24"/>
      <c r="F501" s="14">
        <v>12.39</v>
      </c>
      <c r="G501" s="14">
        <v>57.27</v>
      </c>
      <c r="H501" s="14">
        <v>0.46</v>
      </c>
      <c r="I501" s="14" t="s">
        <v>6029</v>
      </c>
      <c r="J501" s="14">
        <v>0.0</v>
      </c>
      <c r="K501" s="14" t="s">
        <v>6012</v>
      </c>
      <c r="L501" s="14">
        <v>0.0</v>
      </c>
    </row>
    <row r="502">
      <c r="A502" s="14">
        <v>449.0</v>
      </c>
      <c r="B502" s="14">
        <v>16.0</v>
      </c>
      <c r="C502" s="34">
        <v>14.72</v>
      </c>
      <c r="D502" s="36">
        <v>44710.0</v>
      </c>
      <c r="E502" s="24"/>
      <c r="F502" s="14">
        <v>0.92</v>
      </c>
      <c r="G502" s="14">
        <v>32.78</v>
      </c>
      <c r="H502" s="14">
        <v>3.56</v>
      </c>
      <c r="I502" s="14" t="s">
        <v>6026</v>
      </c>
      <c r="J502" s="14">
        <v>50.0</v>
      </c>
      <c r="K502" s="14">
        <v>1.84</v>
      </c>
      <c r="L502" s="14">
        <v>0.0</v>
      </c>
    </row>
    <row r="503">
      <c r="A503" s="14">
        <v>662.0</v>
      </c>
      <c r="B503" s="14">
        <v>14.0</v>
      </c>
      <c r="C503" s="34">
        <v>35.67</v>
      </c>
      <c r="D503" s="36">
        <v>44710.0</v>
      </c>
      <c r="E503" s="24"/>
      <c r="F503" s="14">
        <v>2.55</v>
      </c>
      <c r="G503" s="14">
        <v>53.88</v>
      </c>
      <c r="H503" s="14">
        <v>2.11</v>
      </c>
      <c r="I503" s="14" t="s">
        <v>6032</v>
      </c>
      <c r="J503" s="14">
        <v>78.57</v>
      </c>
      <c r="K503" s="14">
        <v>3.24</v>
      </c>
      <c r="L503" s="14">
        <v>0.0</v>
      </c>
    </row>
    <row r="504">
      <c r="A504" s="14">
        <v>1222.0</v>
      </c>
      <c r="B504" s="14">
        <v>23.0</v>
      </c>
      <c r="C504" s="34">
        <v>16.09</v>
      </c>
      <c r="D504" s="36">
        <v>44710.0</v>
      </c>
      <c r="E504" s="24"/>
      <c r="F504" s="14">
        <v>0.7</v>
      </c>
      <c r="G504" s="14">
        <v>13.17</v>
      </c>
      <c r="H504" s="14">
        <v>1.88</v>
      </c>
      <c r="I504" s="14" t="s">
        <v>6024</v>
      </c>
      <c r="J504" s="14">
        <v>73.91</v>
      </c>
      <c r="K504" s="14">
        <v>0.95</v>
      </c>
      <c r="L504" s="14">
        <v>0.0</v>
      </c>
    </row>
    <row r="505">
      <c r="A505" s="14">
        <v>2378.0</v>
      </c>
      <c r="B505" s="14">
        <v>17.0</v>
      </c>
      <c r="C505" s="34">
        <v>34.52</v>
      </c>
      <c r="D505" s="36">
        <v>44710.0</v>
      </c>
      <c r="E505" s="24"/>
      <c r="F505" s="14">
        <v>2.03</v>
      </c>
      <c r="G505" s="14">
        <v>14.52</v>
      </c>
      <c r="H505" s="14">
        <v>0.71</v>
      </c>
      <c r="I505" s="14" t="s">
        <v>6031</v>
      </c>
      <c r="J505" s="14">
        <v>94.12</v>
      </c>
      <c r="K505" s="14">
        <v>2.16</v>
      </c>
      <c r="L505" s="14">
        <v>0.0</v>
      </c>
    </row>
    <row r="506">
      <c r="A506" s="14">
        <v>1300.0</v>
      </c>
      <c r="B506" s="14">
        <v>10.0</v>
      </c>
      <c r="C506" s="34">
        <v>12.94</v>
      </c>
      <c r="D506" s="36">
        <v>44710.0</v>
      </c>
      <c r="E506" s="24"/>
      <c r="F506" s="14">
        <v>1.29</v>
      </c>
      <c r="G506" s="14">
        <v>9.95</v>
      </c>
      <c r="H506" s="14">
        <v>0.77</v>
      </c>
      <c r="I506" s="14" t="s">
        <v>6022</v>
      </c>
      <c r="J506" s="14">
        <v>70.0</v>
      </c>
      <c r="K506" s="14">
        <v>1.85</v>
      </c>
      <c r="L506" s="14">
        <v>0.0</v>
      </c>
    </row>
    <row r="507">
      <c r="A507" s="14">
        <v>315.0</v>
      </c>
      <c r="B507" s="14">
        <v>10.0</v>
      </c>
      <c r="C507" s="34">
        <v>16.52</v>
      </c>
      <c r="D507" s="36">
        <v>44710.0</v>
      </c>
      <c r="E507" s="24"/>
      <c r="F507" s="14">
        <v>1.65</v>
      </c>
      <c r="G507" s="14">
        <v>52.44</v>
      </c>
      <c r="H507" s="14">
        <v>3.17</v>
      </c>
      <c r="I507" s="14" t="s">
        <v>6028</v>
      </c>
      <c r="J507" s="14">
        <v>10.0</v>
      </c>
      <c r="K507" s="14">
        <v>16.52</v>
      </c>
      <c r="L507" s="14">
        <v>0.0</v>
      </c>
    </row>
    <row r="508">
      <c r="A508" s="14">
        <v>474.0</v>
      </c>
      <c r="B508" s="14">
        <v>8.0</v>
      </c>
      <c r="C508" s="34">
        <v>45.76</v>
      </c>
      <c r="D508" s="36">
        <v>44710.0</v>
      </c>
      <c r="E508" s="24"/>
      <c r="F508" s="14">
        <v>5.72</v>
      </c>
      <c r="G508" s="14">
        <v>96.54</v>
      </c>
      <c r="H508" s="14">
        <v>1.69</v>
      </c>
      <c r="I508" s="14" t="s">
        <v>6027</v>
      </c>
      <c r="J508" s="14">
        <v>37.5</v>
      </c>
      <c r="K508" s="14">
        <v>15.25</v>
      </c>
      <c r="L508" s="14">
        <v>0.0</v>
      </c>
    </row>
    <row r="509">
      <c r="A509" s="14">
        <v>465.0</v>
      </c>
      <c r="B509" s="14">
        <v>12.0</v>
      </c>
      <c r="C509" s="34">
        <v>21.4</v>
      </c>
      <c r="D509" s="36">
        <v>44710.0</v>
      </c>
      <c r="E509" s="24"/>
      <c r="F509" s="14">
        <v>1.78</v>
      </c>
      <c r="G509" s="14">
        <v>46.02</v>
      </c>
      <c r="H509" s="14">
        <v>2.58</v>
      </c>
      <c r="I509" s="14" t="s">
        <v>6030</v>
      </c>
      <c r="J509" s="14">
        <v>8.33</v>
      </c>
      <c r="K509" s="14">
        <v>21.4</v>
      </c>
      <c r="L509" s="14">
        <v>0.0</v>
      </c>
    </row>
    <row r="510">
      <c r="A510" s="14">
        <v>461.0</v>
      </c>
      <c r="B510" s="14">
        <v>3.0</v>
      </c>
      <c r="C510" s="34">
        <v>15.56</v>
      </c>
      <c r="D510" s="36">
        <v>44710.0</v>
      </c>
      <c r="E510" s="24"/>
      <c r="F510" s="14">
        <v>5.19</v>
      </c>
      <c r="G510" s="14">
        <v>33.75</v>
      </c>
      <c r="H510" s="14">
        <v>0.65</v>
      </c>
      <c r="I510" s="14" t="s">
        <v>6033</v>
      </c>
      <c r="J510" s="14">
        <v>200.0</v>
      </c>
      <c r="K510" s="14">
        <v>2.59</v>
      </c>
      <c r="L510" s="14">
        <v>0.0</v>
      </c>
    </row>
    <row r="511">
      <c r="A511" s="14">
        <v>788.0</v>
      </c>
      <c r="B511" s="14">
        <v>1.0</v>
      </c>
      <c r="C511" s="34">
        <v>48.35</v>
      </c>
      <c r="D511" s="36">
        <v>44710.0</v>
      </c>
      <c r="E511" s="24"/>
      <c r="F511" s="14">
        <v>48.35</v>
      </c>
      <c r="G511" s="14">
        <v>61.36</v>
      </c>
      <c r="H511" s="14">
        <v>0.13</v>
      </c>
      <c r="I511" s="14" t="s">
        <v>6034</v>
      </c>
      <c r="J511" s="14">
        <v>200.0</v>
      </c>
      <c r="K511" s="14">
        <v>24.18</v>
      </c>
      <c r="L511" s="14">
        <v>0.0</v>
      </c>
    </row>
    <row r="512">
      <c r="A512" s="14">
        <v>2714.0</v>
      </c>
      <c r="B512" s="14">
        <v>19.0</v>
      </c>
      <c r="C512" s="34">
        <v>35.76</v>
      </c>
      <c r="D512" s="36">
        <v>44711.0</v>
      </c>
      <c r="E512" s="24"/>
      <c r="F512" s="14">
        <v>1.88</v>
      </c>
      <c r="G512" s="14">
        <v>13.18</v>
      </c>
      <c r="H512" s="14">
        <v>0.7</v>
      </c>
      <c r="I512" s="14" t="s">
        <v>6024</v>
      </c>
      <c r="J512" s="14">
        <v>100.0</v>
      </c>
      <c r="K512" s="14">
        <v>1.88</v>
      </c>
      <c r="L512" s="14">
        <v>0.0</v>
      </c>
    </row>
    <row r="513">
      <c r="A513" s="14">
        <v>683.0</v>
      </c>
      <c r="B513" s="14">
        <v>11.0</v>
      </c>
      <c r="C513" s="34">
        <v>21.26</v>
      </c>
      <c r="D513" s="36">
        <v>44711.0</v>
      </c>
      <c r="E513" s="24"/>
      <c r="F513" s="14">
        <v>1.93</v>
      </c>
      <c r="G513" s="14">
        <v>31.13</v>
      </c>
      <c r="H513" s="14">
        <v>1.61</v>
      </c>
      <c r="I513" s="14" t="s">
        <v>6026</v>
      </c>
      <c r="J513" s="14">
        <v>27.27</v>
      </c>
      <c r="K513" s="14">
        <v>7.09</v>
      </c>
      <c r="L513" s="14">
        <v>0.0</v>
      </c>
    </row>
    <row r="514">
      <c r="A514" s="14">
        <v>867.0</v>
      </c>
      <c r="B514" s="14">
        <v>1.0</v>
      </c>
      <c r="C514" s="34">
        <v>66.32</v>
      </c>
      <c r="D514" s="36">
        <v>44711.0</v>
      </c>
      <c r="E514" s="24"/>
      <c r="F514" s="14">
        <v>66.32</v>
      </c>
      <c r="G514" s="14">
        <v>76.49</v>
      </c>
      <c r="H514" s="14">
        <v>0.12</v>
      </c>
      <c r="I514" s="14" t="s">
        <v>6029</v>
      </c>
      <c r="J514" s="14">
        <v>200.0</v>
      </c>
      <c r="K514" s="14">
        <v>33.16</v>
      </c>
      <c r="L514" s="14">
        <v>0.0</v>
      </c>
    </row>
    <row r="515">
      <c r="A515" s="14">
        <v>2150.0</v>
      </c>
      <c r="B515" s="14">
        <v>10.0</v>
      </c>
      <c r="C515" s="34">
        <v>48.23</v>
      </c>
      <c r="D515" s="36">
        <v>44711.0</v>
      </c>
      <c r="E515" s="24"/>
      <c r="F515" s="14">
        <v>4.82</v>
      </c>
      <c r="G515" s="14">
        <v>22.43</v>
      </c>
      <c r="H515" s="14">
        <v>0.47</v>
      </c>
      <c r="I515" s="14" t="s">
        <v>6031</v>
      </c>
      <c r="J515" s="14">
        <v>100.0</v>
      </c>
      <c r="K515" s="14">
        <v>4.82</v>
      </c>
      <c r="L515" s="14">
        <v>0.0</v>
      </c>
    </row>
    <row r="516">
      <c r="A516" s="14">
        <v>391.0</v>
      </c>
      <c r="B516" s="14">
        <v>9.0</v>
      </c>
      <c r="C516" s="34">
        <v>46.24</v>
      </c>
      <c r="D516" s="36">
        <v>44711.0</v>
      </c>
      <c r="E516" s="24"/>
      <c r="F516" s="14">
        <v>5.14</v>
      </c>
      <c r="G516" s="14">
        <v>118.26</v>
      </c>
      <c r="H516" s="14">
        <v>2.3</v>
      </c>
      <c r="I516" s="14" t="s">
        <v>6027</v>
      </c>
      <c r="J516" s="14">
        <v>77.78</v>
      </c>
      <c r="K516" s="14">
        <v>6.61</v>
      </c>
      <c r="L516" s="14">
        <v>0.0</v>
      </c>
    </row>
    <row r="517">
      <c r="A517" s="14">
        <v>1603.0</v>
      </c>
      <c r="B517" s="14">
        <v>27.0</v>
      </c>
      <c r="C517" s="34">
        <v>54.81</v>
      </c>
      <c r="D517" s="36">
        <v>44711.0</v>
      </c>
      <c r="E517" s="24"/>
      <c r="F517" s="14">
        <v>2.03</v>
      </c>
      <c r="G517" s="14">
        <v>34.19</v>
      </c>
      <c r="H517" s="14">
        <v>1.68</v>
      </c>
      <c r="I517" s="14" t="s">
        <v>6032</v>
      </c>
      <c r="J517" s="14">
        <v>70.37</v>
      </c>
      <c r="K517" s="14">
        <v>2.88</v>
      </c>
      <c r="L517" s="14">
        <v>0.0</v>
      </c>
    </row>
    <row r="518">
      <c r="A518" s="14">
        <v>758.0</v>
      </c>
      <c r="B518" s="14">
        <v>8.0</v>
      </c>
      <c r="C518" s="34">
        <v>22.42</v>
      </c>
      <c r="D518" s="36">
        <v>44711.0</v>
      </c>
      <c r="E518" s="24"/>
      <c r="F518" s="14">
        <v>2.8</v>
      </c>
      <c r="G518" s="14">
        <v>29.58</v>
      </c>
      <c r="H518" s="14">
        <v>1.06</v>
      </c>
      <c r="I518" s="14" t="s">
        <v>6033</v>
      </c>
      <c r="J518" s="14">
        <v>125.0</v>
      </c>
      <c r="K518" s="14">
        <v>2.24</v>
      </c>
      <c r="L518" s="14">
        <v>0.0</v>
      </c>
    </row>
    <row r="519">
      <c r="A519" s="14">
        <v>659.0</v>
      </c>
      <c r="B519" s="14">
        <v>4.0</v>
      </c>
      <c r="C519" s="34">
        <v>30.22</v>
      </c>
      <c r="D519" s="36">
        <v>44711.0</v>
      </c>
      <c r="E519" s="24"/>
      <c r="F519" s="14">
        <v>7.56</v>
      </c>
      <c r="G519" s="14">
        <v>45.86</v>
      </c>
      <c r="H519" s="14">
        <v>0.61</v>
      </c>
      <c r="I519" s="14" t="s">
        <v>6030</v>
      </c>
      <c r="J519" s="14">
        <v>125.0</v>
      </c>
      <c r="K519" s="14">
        <v>6.04</v>
      </c>
      <c r="L519" s="14">
        <v>0.0</v>
      </c>
    </row>
    <row r="520">
      <c r="A520" s="14">
        <v>1487.0</v>
      </c>
      <c r="B520" s="14">
        <v>18.0</v>
      </c>
      <c r="C520" s="34">
        <v>19.34</v>
      </c>
      <c r="D520" s="36">
        <v>44711.0</v>
      </c>
      <c r="E520" s="24"/>
      <c r="F520" s="14">
        <v>1.07</v>
      </c>
      <c r="G520" s="14">
        <v>13.01</v>
      </c>
      <c r="H520" s="14">
        <v>1.21</v>
      </c>
      <c r="I520" s="14" t="s">
        <v>6022</v>
      </c>
      <c r="J520" s="14">
        <v>105.56</v>
      </c>
      <c r="K520" s="14">
        <v>1.02</v>
      </c>
      <c r="L520" s="14">
        <v>0.0</v>
      </c>
    </row>
    <row r="521">
      <c r="A521" s="14">
        <v>645.0</v>
      </c>
      <c r="B521" s="14">
        <v>14.0</v>
      </c>
      <c r="C521" s="34">
        <v>31.02</v>
      </c>
      <c r="D521" s="36">
        <v>44711.0</v>
      </c>
      <c r="E521" s="24"/>
      <c r="F521" s="14">
        <v>2.22</v>
      </c>
      <c r="G521" s="14">
        <v>48.09</v>
      </c>
      <c r="H521" s="14">
        <v>2.17</v>
      </c>
      <c r="I521" s="14" t="s">
        <v>6028</v>
      </c>
      <c r="J521" s="14">
        <v>50.0</v>
      </c>
      <c r="K521" s="14">
        <v>4.43</v>
      </c>
      <c r="L521" s="14">
        <v>0.0</v>
      </c>
    </row>
    <row r="522">
      <c r="A522" s="14">
        <v>826.0</v>
      </c>
      <c r="B522" s="14">
        <v>4.0</v>
      </c>
      <c r="C522" s="34">
        <v>54.62</v>
      </c>
      <c r="D522" s="36">
        <v>44711.0</v>
      </c>
      <c r="E522" s="24"/>
      <c r="F522" s="14">
        <v>13.66</v>
      </c>
      <c r="G522" s="14">
        <v>66.13</v>
      </c>
      <c r="H522" s="14">
        <v>0.48</v>
      </c>
      <c r="I522" s="14" t="s">
        <v>6034</v>
      </c>
      <c r="J522" s="14">
        <v>75.0</v>
      </c>
      <c r="K522" s="14">
        <v>18.21</v>
      </c>
      <c r="L522" s="14">
        <v>0.0</v>
      </c>
    </row>
    <row r="523">
      <c r="A523" s="14">
        <v>997.0</v>
      </c>
      <c r="B523" s="14">
        <v>8.0</v>
      </c>
      <c r="C523" s="34">
        <v>67.42</v>
      </c>
      <c r="D523" s="36">
        <v>44712.0</v>
      </c>
      <c r="E523" s="24"/>
      <c r="F523" s="14">
        <v>8.43</v>
      </c>
      <c r="G523" s="14">
        <v>67.62</v>
      </c>
      <c r="H523" s="14">
        <v>0.8</v>
      </c>
      <c r="I523" s="14" t="s">
        <v>6027</v>
      </c>
      <c r="J523" s="14">
        <v>50.0</v>
      </c>
      <c r="K523" s="14">
        <v>16.86</v>
      </c>
      <c r="L523" s="14">
        <v>0.0</v>
      </c>
    </row>
    <row r="524">
      <c r="A524" s="14">
        <v>1138.0</v>
      </c>
      <c r="B524" s="14">
        <v>4.0</v>
      </c>
      <c r="C524" s="34">
        <v>58.72</v>
      </c>
      <c r="D524" s="36">
        <v>44712.0</v>
      </c>
      <c r="E524" s="24"/>
      <c r="F524" s="14">
        <v>14.68</v>
      </c>
      <c r="G524" s="14">
        <v>51.6</v>
      </c>
      <c r="H524" s="14">
        <v>0.35</v>
      </c>
      <c r="I524" s="14" t="s">
        <v>6034</v>
      </c>
      <c r="J524" s="14">
        <v>25.0</v>
      </c>
      <c r="K524" s="14">
        <v>58.72</v>
      </c>
      <c r="L524" s="14">
        <v>0.0</v>
      </c>
    </row>
    <row r="525">
      <c r="A525" s="14">
        <v>2615.0</v>
      </c>
      <c r="B525" s="14">
        <v>12.0</v>
      </c>
      <c r="C525" s="34">
        <v>20.78</v>
      </c>
      <c r="D525" s="36">
        <v>44712.0</v>
      </c>
      <c r="E525" s="24"/>
      <c r="F525" s="14">
        <v>1.73</v>
      </c>
      <c r="G525" s="14">
        <v>7.95</v>
      </c>
      <c r="H525" s="14">
        <v>0.46</v>
      </c>
      <c r="I525" s="14" t="s">
        <v>6022</v>
      </c>
      <c r="J525" s="14">
        <v>100.0</v>
      </c>
      <c r="K525" s="14">
        <v>1.73</v>
      </c>
      <c r="L525" s="14">
        <v>0.0</v>
      </c>
    </row>
    <row r="526">
      <c r="A526" s="14">
        <v>863.0</v>
      </c>
      <c r="B526" s="14">
        <v>1.0</v>
      </c>
      <c r="C526" s="34">
        <v>63.41</v>
      </c>
      <c r="D526" s="36">
        <v>44712.0</v>
      </c>
      <c r="E526" s="24"/>
      <c r="F526" s="14">
        <v>63.41</v>
      </c>
      <c r="G526" s="14">
        <v>73.48</v>
      </c>
      <c r="H526" s="14">
        <v>0.12</v>
      </c>
      <c r="I526" s="14" t="s">
        <v>6029</v>
      </c>
      <c r="J526" s="14">
        <v>100.0</v>
      </c>
      <c r="K526" s="14">
        <v>63.41</v>
      </c>
      <c r="L526" s="14">
        <v>0.0</v>
      </c>
    </row>
    <row r="527">
      <c r="A527" s="14">
        <v>721.0</v>
      </c>
      <c r="B527" s="14">
        <v>7.0</v>
      </c>
      <c r="C527" s="34">
        <v>20.51</v>
      </c>
      <c r="D527" s="36">
        <v>44712.0</v>
      </c>
      <c r="E527" s="24"/>
      <c r="F527" s="14">
        <v>2.93</v>
      </c>
      <c r="G527" s="14">
        <v>28.45</v>
      </c>
      <c r="H527" s="14">
        <v>0.97</v>
      </c>
      <c r="I527" s="14" t="s">
        <v>6033</v>
      </c>
      <c r="J527" s="14">
        <v>85.71</v>
      </c>
      <c r="K527" s="14">
        <v>3.42</v>
      </c>
      <c r="L527" s="14">
        <v>0.0</v>
      </c>
    </row>
    <row r="528">
      <c r="A528" s="14">
        <v>941.0</v>
      </c>
      <c r="B528" s="14">
        <v>17.0</v>
      </c>
      <c r="C528" s="34">
        <v>31.47</v>
      </c>
      <c r="D528" s="36">
        <v>44712.0</v>
      </c>
      <c r="E528" s="24"/>
      <c r="F528" s="14">
        <v>1.85</v>
      </c>
      <c r="G528" s="14">
        <v>33.44</v>
      </c>
      <c r="H528" s="14">
        <v>1.81</v>
      </c>
      <c r="I528" s="14" t="s">
        <v>6028</v>
      </c>
      <c r="J528" s="14">
        <v>58.82</v>
      </c>
      <c r="K528" s="14">
        <v>3.15</v>
      </c>
      <c r="L528" s="14">
        <v>0.0</v>
      </c>
    </row>
    <row r="529">
      <c r="A529" s="14">
        <v>2188.0</v>
      </c>
      <c r="B529" s="14">
        <v>11.0</v>
      </c>
      <c r="C529" s="34">
        <v>47.54</v>
      </c>
      <c r="D529" s="36">
        <v>44712.0</v>
      </c>
      <c r="E529" s="24"/>
      <c r="F529" s="14">
        <v>4.32</v>
      </c>
      <c r="G529" s="14">
        <v>21.73</v>
      </c>
      <c r="H529" s="14">
        <v>0.5</v>
      </c>
      <c r="I529" s="14" t="s">
        <v>6031</v>
      </c>
      <c r="J529" s="14">
        <v>109.09</v>
      </c>
      <c r="K529" s="14">
        <v>3.96</v>
      </c>
      <c r="L529" s="14">
        <v>0.0</v>
      </c>
    </row>
    <row r="530">
      <c r="A530" s="14">
        <v>1220.0</v>
      </c>
      <c r="B530" s="14">
        <v>20.0</v>
      </c>
      <c r="C530" s="34">
        <v>48.89</v>
      </c>
      <c r="D530" s="36">
        <v>44712.0</v>
      </c>
      <c r="E530" s="24"/>
      <c r="F530" s="14">
        <v>2.44</v>
      </c>
      <c r="G530" s="14">
        <v>40.07</v>
      </c>
      <c r="H530" s="14">
        <v>1.64</v>
      </c>
      <c r="I530" s="14" t="s">
        <v>6032</v>
      </c>
      <c r="J530" s="14">
        <v>65.0</v>
      </c>
      <c r="K530" s="14">
        <v>3.76</v>
      </c>
      <c r="L530" s="14">
        <v>0.0</v>
      </c>
    </row>
    <row r="531">
      <c r="A531" s="14">
        <v>654.0</v>
      </c>
      <c r="B531" s="14">
        <v>6.0</v>
      </c>
      <c r="C531" s="34">
        <v>29.64</v>
      </c>
      <c r="D531" s="36">
        <v>44712.0</v>
      </c>
      <c r="E531" s="24"/>
      <c r="F531" s="14">
        <v>4.94</v>
      </c>
      <c r="G531" s="14">
        <v>45.32</v>
      </c>
      <c r="H531" s="14">
        <v>0.92</v>
      </c>
      <c r="I531" s="14" t="s">
        <v>6030</v>
      </c>
      <c r="J531" s="14">
        <v>100.0</v>
      </c>
      <c r="K531" s="14">
        <v>4.94</v>
      </c>
      <c r="L531" s="14">
        <v>0.0</v>
      </c>
    </row>
    <row r="532">
      <c r="A532" s="14">
        <v>578.0</v>
      </c>
      <c r="B532" s="14">
        <v>7.0</v>
      </c>
      <c r="C532" s="34">
        <v>19.97</v>
      </c>
      <c r="D532" s="36">
        <v>44712.0</v>
      </c>
      <c r="E532" s="24"/>
      <c r="F532" s="14">
        <v>2.85</v>
      </c>
      <c r="G532" s="14">
        <v>34.55</v>
      </c>
      <c r="H532" s="14">
        <v>1.21</v>
      </c>
      <c r="I532" s="14" t="s">
        <v>6026</v>
      </c>
      <c r="J532" s="14">
        <v>42.86</v>
      </c>
      <c r="K532" s="14">
        <v>6.66</v>
      </c>
      <c r="L532" s="14">
        <v>0.0</v>
      </c>
    </row>
    <row r="533">
      <c r="A533" s="14">
        <v>2891.0</v>
      </c>
      <c r="B533" s="14">
        <v>35.0</v>
      </c>
      <c r="C533" s="34">
        <v>36.85</v>
      </c>
      <c r="D533" s="36">
        <v>44712.0</v>
      </c>
      <c r="E533" s="24"/>
      <c r="F533" s="14">
        <v>1.05</v>
      </c>
      <c r="G533" s="14">
        <v>12.75</v>
      </c>
      <c r="H533" s="14">
        <v>1.21</v>
      </c>
      <c r="I533" s="14" t="s">
        <v>6024</v>
      </c>
      <c r="J533" s="14">
        <v>88.57</v>
      </c>
      <c r="K533" s="14">
        <v>1.19</v>
      </c>
      <c r="L533" s="14">
        <v>0.0</v>
      </c>
    </row>
    <row r="534">
      <c r="A534" s="14">
        <v>743.0</v>
      </c>
      <c r="B534" s="14">
        <v>13.0</v>
      </c>
      <c r="C534" s="34">
        <v>22.63</v>
      </c>
      <c r="D534" s="36">
        <v>44713.0</v>
      </c>
      <c r="E534" s="24"/>
      <c r="F534" s="14">
        <v>1.74</v>
      </c>
      <c r="G534" s="14">
        <v>30.46</v>
      </c>
      <c r="H534" s="14">
        <v>1.75</v>
      </c>
      <c r="I534" s="14" t="s">
        <v>6026</v>
      </c>
      <c r="J534" s="14">
        <v>69.23</v>
      </c>
      <c r="K534" s="14">
        <v>2.51</v>
      </c>
      <c r="L534" s="14">
        <v>0.0</v>
      </c>
    </row>
    <row r="535">
      <c r="A535" s="14">
        <v>1417.0</v>
      </c>
      <c r="B535" s="14">
        <v>2.0</v>
      </c>
      <c r="C535" s="34">
        <v>90.27</v>
      </c>
      <c r="D535" s="36">
        <v>44713.0</v>
      </c>
      <c r="E535" s="24"/>
      <c r="F535" s="14">
        <v>45.14</v>
      </c>
      <c r="G535" s="14">
        <v>63.71</v>
      </c>
      <c r="H535" s="14">
        <v>0.14</v>
      </c>
      <c r="I535" s="14" t="s">
        <v>6029</v>
      </c>
      <c r="J535" s="14">
        <v>700.0</v>
      </c>
      <c r="K535" s="14">
        <v>6.45</v>
      </c>
      <c r="L535" s="14">
        <v>0.0</v>
      </c>
    </row>
    <row r="536">
      <c r="A536" s="14">
        <v>1602.0</v>
      </c>
      <c r="B536" s="14">
        <v>30.0</v>
      </c>
      <c r="C536" s="34">
        <v>95.67</v>
      </c>
      <c r="D536" s="36">
        <v>44713.0</v>
      </c>
      <c r="E536" s="24"/>
      <c r="F536" s="14">
        <v>3.19</v>
      </c>
      <c r="G536" s="14">
        <v>59.72</v>
      </c>
      <c r="H536" s="14">
        <v>1.87</v>
      </c>
      <c r="I536" s="14" t="s">
        <v>6027</v>
      </c>
      <c r="J536" s="14">
        <v>90.0</v>
      </c>
      <c r="K536" s="14">
        <v>3.54</v>
      </c>
      <c r="L536" s="14">
        <v>0.0</v>
      </c>
    </row>
    <row r="537">
      <c r="A537" s="14">
        <v>874.0</v>
      </c>
      <c r="B537" s="14">
        <v>18.0</v>
      </c>
      <c r="C537" s="34">
        <v>48.51</v>
      </c>
      <c r="D537" s="36">
        <v>44713.0</v>
      </c>
      <c r="E537" s="24"/>
      <c r="F537" s="14">
        <v>2.7</v>
      </c>
      <c r="G537" s="14">
        <v>55.5</v>
      </c>
      <c r="H537" s="14">
        <v>2.06</v>
      </c>
      <c r="I537" s="14" t="s">
        <v>6032</v>
      </c>
      <c r="J537" s="14">
        <v>44.44</v>
      </c>
      <c r="K537" s="14">
        <v>6.06</v>
      </c>
      <c r="L537" s="14">
        <v>0.0</v>
      </c>
    </row>
    <row r="538">
      <c r="A538" s="14">
        <v>3408.0</v>
      </c>
      <c r="B538" s="14">
        <v>12.0</v>
      </c>
      <c r="C538" s="34">
        <v>27.89</v>
      </c>
      <c r="D538" s="36">
        <v>44713.0</v>
      </c>
      <c r="E538" s="24"/>
      <c r="F538" s="14">
        <v>2.32</v>
      </c>
      <c r="G538" s="14">
        <v>8.18</v>
      </c>
      <c r="H538" s="14">
        <v>0.35</v>
      </c>
      <c r="I538" s="14" t="s">
        <v>6022</v>
      </c>
      <c r="J538" s="14">
        <v>91.67</v>
      </c>
      <c r="K538" s="14">
        <v>2.54</v>
      </c>
      <c r="L538" s="14">
        <v>0.0</v>
      </c>
    </row>
    <row r="539">
      <c r="A539" s="14">
        <v>948.0</v>
      </c>
      <c r="B539" s="14">
        <v>21.0</v>
      </c>
      <c r="C539" s="34">
        <v>34.18</v>
      </c>
      <c r="D539" s="36">
        <v>44713.0</v>
      </c>
      <c r="E539" s="24"/>
      <c r="F539" s="14">
        <v>1.63</v>
      </c>
      <c r="G539" s="14">
        <v>36.05</v>
      </c>
      <c r="H539" s="14">
        <v>2.22</v>
      </c>
      <c r="I539" s="14" t="s">
        <v>6028</v>
      </c>
      <c r="J539" s="14">
        <v>28.57</v>
      </c>
      <c r="K539" s="14">
        <v>5.7</v>
      </c>
      <c r="L539" s="14">
        <v>0.0</v>
      </c>
    </row>
    <row r="540">
      <c r="A540" s="14">
        <v>606.0</v>
      </c>
      <c r="B540" s="14">
        <v>5.0</v>
      </c>
      <c r="C540" s="34">
        <v>33.19</v>
      </c>
      <c r="D540" s="36">
        <v>44713.0</v>
      </c>
      <c r="E540" s="24"/>
      <c r="F540" s="14">
        <v>6.64</v>
      </c>
      <c r="G540" s="14">
        <v>54.77</v>
      </c>
      <c r="H540" s="14">
        <v>0.83</v>
      </c>
      <c r="I540" s="14" t="s">
        <v>6030</v>
      </c>
      <c r="J540" s="14">
        <v>120.0</v>
      </c>
      <c r="K540" s="14">
        <v>5.53</v>
      </c>
      <c r="L540" s="14">
        <v>0.0</v>
      </c>
    </row>
    <row r="541">
      <c r="A541" s="14">
        <v>1895.0</v>
      </c>
      <c r="B541" s="14">
        <v>5.0</v>
      </c>
      <c r="C541" s="34">
        <v>65.78</v>
      </c>
      <c r="D541" s="36">
        <v>44713.0</v>
      </c>
      <c r="E541" s="24"/>
      <c r="F541" s="14">
        <v>13.16</v>
      </c>
      <c r="G541" s="14">
        <v>34.71</v>
      </c>
      <c r="H541" s="14">
        <v>0.26</v>
      </c>
      <c r="I541" s="14" t="s">
        <v>6031</v>
      </c>
      <c r="J541" s="14">
        <v>80.0</v>
      </c>
      <c r="K541" s="14">
        <v>16.44</v>
      </c>
      <c r="L541" s="14">
        <v>0.0</v>
      </c>
    </row>
    <row r="542">
      <c r="A542" s="14">
        <v>3276.0</v>
      </c>
      <c r="B542" s="14">
        <v>22.0</v>
      </c>
      <c r="C542" s="34">
        <v>36.74</v>
      </c>
      <c r="D542" s="36">
        <v>44713.0</v>
      </c>
      <c r="E542" s="24"/>
      <c r="F542" s="14">
        <v>1.67</v>
      </c>
      <c r="G542" s="14">
        <v>11.21</v>
      </c>
      <c r="H542" s="14">
        <v>0.67</v>
      </c>
      <c r="I542" s="14" t="s">
        <v>6024</v>
      </c>
      <c r="J542" s="14">
        <v>100.0</v>
      </c>
      <c r="K542" s="14">
        <v>1.67</v>
      </c>
      <c r="L542" s="14">
        <v>0.0</v>
      </c>
    </row>
    <row r="543">
      <c r="A543" s="14">
        <v>811.0</v>
      </c>
      <c r="B543" s="14">
        <v>5.0</v>
      </c>
      <c r="C543" s="34">
        <v>22.91</v>
      </c>
      <c r="D543" s="36">
        <v>44713.0</v>
      </c>
      <c r="E543" s="24"/>
      <c r="F543" s="14">
        <v>4.58</v>
      </c>
      <c r="G543" s="14">
        <v>28.25</v>
      </c>
      <c r="H543" s="14">
        <v>0.62</v>
      </c>
      <c r="I543" s="14" t="s">
        <v>6033</v>
      </c>
      <c r="J543" s="14">
        <v>80.0</v>
      </c>
      <c r="K543" s="14">
        <v>5.73</v>
      </c>
      <c r="L543" s="14">
        <v>0.0</v>
      </c>
    </row>
    <row r="544">
      <c r="A544" s="14">
        <v>1225.0</v>
      </c>
      <c r="B544" s="14">
        <v>5.0</v>
      </c>
      <c r="C544" s="34">
        <v>64.22</v>
      </c>
      <c r="D544" s="36">
        <v>44713.0</v>
      </c>
      <c r="E544" s="24"/>
      <c r="F544" s="14">
        <v>12.84</v>
      </c>
      <c r="G544" s="14">
        <v>52.42</v>
      </c>
      <c r="H544" s="14">
        <v>0.41</v>
      </c>
      <c r="I544" s="14" t="s">
        <v>6034</v>
      </c>
      <c r="J544" s="14">
        <v>0.0</v>
      </c>
      <c r="K544" s="14" t="s">
        <v>6012</v>
      </c>
      <c r="L544" s="14">
        <v>0.0</v>
      </c>
    </row>
    <row r="545">
      <c r="A545" s="14">
        <v>760.0</v>
      </c>
      <c r="B545" s="14">
        <v>10.0</v>
      </c>
      <c r="C545" s="34">
        <v>30.42</v>
      </c>
      <c r="D545" s="36">
        <v>44714.0</v>
      </c>
      <c r="E545" s="24"/>
      <c r="F545" s="14">
        <v>3.04</v>
      </c>
      <c r="G545" s="14">
        <v>40.03</v>
      </c>
      <c r="H545" s="14">
        <v>1.32</v>
      </c>
      <c r="I545" s="14" t="s">
        <v>6028</v>
      </c>
      <c r="J545" s="14">
        <v>120.0</v>
      </c>
      <c r="K545" s="14">
        <v>2.54</v>
      </c>
      <c r="L545" s="14">
        <v>0.0</v>
      </c>
    </row>
    <row r="546">
      <c r="A546" s="14">
        <v>579.0</v>
      </c>
      <c r="B546" s="14">
        <v>7.0</v>
      </c>
      <c r="C546" s="34">
        <v>22.74</v>
      </c>
      <c r="D546" s="36">
        <v>44714.0</v>
      </c>
      <c r="E546" s="24"/>
      <c r="F546" s="14">
        <v>3.25</v>
      </c>
      <c r="G546" s="14">
        <v>39.27</v>
      </c>
      <c r="H546" s="14">
        <v>1.21</v>
      </c>
      <c r="I546" s="14" t="s">
        <v>6033</v>
      </c>
      <c r="J546" s="14">
        <v>128.57</v>
      </c>
      <c r="K546" s="14">
        <v>2.53</v>
      </c>
      <c r="L546" s="14">
        <v>0.0</v>
      </c>
    </row>
    <row r="547">
      <c r="A547" s="14">
        <v>819.0</v>
      </c>
      <c r="B547" s="14">
        <v>12.0</v>
      </c>
      <c r="C547" s="34">
        <v>28.21</v>
      </c>
      <c r="D547" s="36">
        <v>44714.0</v>
      </c>
      <c r="E547" s="24"/>
      <c r="F547" s="14">
        <v>2.35</v>
      </c>
      <c r="G547" s="14">
        <v>34.44</v>
      </c>
      <c r="H547" s="14">
        <v>1.47</v>
      </c>
      <c r="I547" s="14" t="s">
        <v>6026</v>
      </c>
      <c r="J547" s="14">
        <v>116.67</v>
      </c>
      <c r="K547" s="14">
        <v>2.02</v>
      </c>
      <c r="L547" s="14">
        <v>0.0</v>
      </c>
    </row>
    <row r="548">
      <c r="A548" s="14">
        <v>3353.0</v>
      </c>
      <c r="B548" s="14">
        <v>31.0</v>
      </c>
      <c r="C548" s="34">
        <v>37.31</v>
      </c>
      <c r="D548" s="36">
        <v>44714.0</v>
      </c>
      <c r="E548" s="24"/>
      <c r="F548" s="14">
        <v>1.2</v>
      </c>
      <c r="G548" s="14">
        <v>11.13</v>
      </c>
      <c r="H548" s="14">
        <v>0.92</v>
      </c>
      <c r="I548" s="14" t="s">
        <v>6024</v>
      </c>
      <c r="J548" s="14">
        <v>90.32</v>
      </c>
      <c r="K548" s="14">
        <v>1.33</v>
      </c>
      <c r="L548" s="14">
        <v>0.0</v>
      </c>
    </row>
    <row r="549">
      <c r="A549" s="14">
        <v>1101.0</v>
      </c>
      <c r="B549" s="14">
        <v>0.0</v>
      </c>
      <c r="C549" s="34">
        <v>85.78</v>
      </c>
      <c r="D549" s="36">
        <v>44714.0</v>
      </c>
      <c r="E549" s="24"/>
      <c r="F549" s="14" t="s">
        <v>6012</v>
      </c>
      <c r="G549" s="14">
        <v>77.91</v>
      </c>
      <c r="H549" s="14">
        <v>0.0</v>
      </c>
      <c r="I549" s="14" t="s">
        <v>6029</v>
      </c>
      <c r="J549" s="14" t="s">
        <v>6012</v>
      </c>
      <c r="K549" s="14">
        <v>5.36</v>
      </c>
      <c r="L549" s="14">
        <v>0.0</v>
      </c>
    </row>
    <row r="550">
      <c r="A550" s="14">
        <v>1019.0</v>
      </c>
      <c r="B550" s="14">
        <v>18.0</v>
      </c>
      <c r="C550" s="34">
        <v>84.44</v>
      </c>
      <c r="D550" s="36">
        <v>44714.0</v>
      </c>
      <c r="E550" s="24"/>
      <c r="F550" s="14">
        <v>4.69</v>
      </c>
      <c r="G550" s="14">
        <v>82.87</v>
      </c>
      <c r="H550" s="14">
        <v>1.77</v>
      </c>
      <c r="I550" s="14" t="s">
        <v>6027</v>
      </c>
      <c r="J550" s="14">
        <v>105.56</v>
      </c>
      <c r="K550" s="14">
        <v>4.44</v>
      </c>
      <c r="L550" s="14">
        <v>0.0</v>
      </c>
    </row>
    <row r="551">
      <c r="A551" s="14">
        <v>3550.0</v>
      </c>
      <c r="B551" s="14">
        <v>27.0</v>
      </c>
      <c r="C551" s="34">
        <v>27.45</v>
      </c>
      <c r="D551" s="36">
        <v>44714.0</v>
      </c>
      <c r="E551" s="24"/>
      <c r="F551" s="14">
        <v>1.02</v>
      </c>
      <c r="G551" s="14">
        <v>7.73</v>
      </c>
      <c r="H551" s="14">
        <v>0.76</v>
      </c>
      <c r="I551" s="14" t="s">
        <v>6022</v>
      </c>
      <c r="J551" s="14">
        <v>85.19</v>
      </c>
      <c r="K551" s="14">
        <v>1.19</v>
      </c>
      <c r="L551" s="14">
        <v>0.0</v>
      </c>
    </row>
    <row r="552">
      <c r="A552" s="14">
        <v>1760.0</v>
      </c>
      <c r="B552" s="14">
        <v>3.0</v>
      </c>
      <c r="C552" s="34">
        <v>47.92</v>
      </c>
      <c r="D552" s="36">
        <v>44714.0</v>
      </c>
      <c r="E552" s="24"/>
      <c r="F552" s="14">
        <v>15.97</v>
      </c>
      <c r="G552" s="14">
        <v>27.23</v>
      </c>
      <c r="H552" s="14">
        <v>0.17</v>
      </c>
      <c r="I552" s="14" t="s">
        <v>6035</v>
      </c>
      <c r="J552" s="14">
        <v>33.33</v>
      </c>
      <c r="K552" s="14">
        <v>47.92</v>
      </c>
      <c r="L552" s="14">
        <v>0.0</v>
      </c>
    </row>
    <row r="553">
      <c r="A553" s="14">
        <v>53.0</v>
      </c>
      <c r="B553" s="14">
        <v>0.0</v>
      </c>
      <c r="C553" s="34">
        <v>7.1</v>
      </c>
      <c r="D553" s="36">
        <v>44714.0</v>
      </c>
      <c r="E553" s="24"/>
      <c r="F553" s="14" t="s">
        <v>6012</v>
      </c>
      <c r="G553" s="14">
        <v>133.96</v>
      </c>
      <c r="H553" s="14">
        <v>0.0</v>
      </c>
      <c r="I553" s="14" t="s">
        <v>6036</v>
      </c>
      <c r="J553" s="14" t="s">
        <v>6012</v>
      </c>
      <c r="K553" s="14" t="s">
        <v>6012</v>
      </c>
      <c r="L553" s="14">
        <v>0.0</v>
      </c>
    </row>
    <row r="554">
      <c r="A554" s="14">
        <v>1471.0</v>
      </c>
      <c r="B554" s="14">
        <v>9.0</v>
      </c>
      <c r="C554" s="34">
        <v>61.55</v>
      </c>
      <c r="D554" s="36">
        <v>44714.0</v>
      </c>
      <c r="E554" s="24"/>
      <c r="F554" s="14">
        <v>6.84</v>
      </c>
      <c r="G554" s="14">
        <v>41.84</v>
      </c>
      <c r="H554" s="14">
        <v>0.61</v>
      </c>
      <c r="I554" s="14" t="s">
        <v>6031</v>
      </c>
      <c r="J554" s="14">
        <v>155.56</v>
      </c>
      <c r="K554" s="14">
        <v>4.4</v>
      </c>
      <c r="L554" s="14">
        <v>0.0</v>
      </c>
    </row>
    <row r="555">
      <c r="A555" s="14">
        <v>552.0</v>
      </c>
      <c r="B555" s="14">
        <v>14.0</v>
      </c>
      <c r="C555" s="34">
        <v>24.39</v>
      </c>
      <c r="D555" s="36">
        <v>44714.0</v>
      </c>
      <c r="E555" s="24"/>
      <c r="F555" s="14">
        <v>1.74</v>
      </c>
      <c r="G555" s="14">
        <v>44.18</v>
      </c>
      <c r="H555" s="14">
        <v>2.54</v>
      </c>
      <c r="I555" s="14" t="s">
        <v>6037</v>
      </c>
      <c r="J555" s="14">
        <v>7.14</v>
      </c>
      <c r="K555" s="14">
        <v>24.39</v>
      </c>
      <c r="L555" s="14">
        <v>0.0</v>
      </c>
    </row>
    <row r="556">
      <c r="A556" s="14">
        <v>532.0</v>
      </c>
      <c r="B556" s="14">
        <v>2.0</v>
      </c>
      <c r="C556" s="34">
        <v>30.41</v>
      </c>
      <c r="D556" s="36">
        <v>44714.0</v>
      </c>
      <c r="E556" s="24"/>
      <c r="F556" s="14">
        <v>15.2</v>
      </c>
      <c r="G556" s="14">
        <v>57.16</v>
      </c>
      <c r="H556" s="14">
        <v>0.38</v>
      </c>
      <c r="I556" s="14" t="s">
        <v>6030</v>
      </c>
      <c r="J556" s="14">
        <v>450.0</v>
      </c>
      <c r="K556" s="14">
        <v>3.38</v>
      </c>
      <c r="L556" s="14">
        <v>0.0</v>
      </c>
    </row>
    <row r="557">
      <c r="A557" s="14">
        <v>852.0</v>
      </c>
      <c r="B557" s="14">
        <v>4.0</v>
      </c>
      <c r="C557" s="34">
        <v>35.74</v>
      </c>
      <c r="D557" s="36">
        <v>44714.0</v>
      </c>
      <c r="E557" s="24"/>
      <c r="F557" s="14">
        <v>8.94</v>
      </c>
      <c r="G557" s="14">
        <v>41.95</v>
      </c>
      <c r="H557" s="14">
        <v>0.47</v>
      </c>
      <c r="I557" s="14" t="s">
        <v>6038</v>
      </c>
      <c r="J557" s="14">
        <v>125.0</v>
      </c>
      <c r="K557" s="14">
        <v>7.15</v>
      </c>
      <c r="L557" s="14">
        <v>0.0</v>
      </c>
    </row>
    <row r="558">
      <c r="A558" s="14">
        <v>972.0</v>
      </c>
      <c r="B558" s="14">
        <v>5.0</v>
      </c>
      <c r="C558" s="34">
        <v>56.4</v>
      </c>
      <c r="D558" s="36">
        <v>44714.0</v>
      </c>
      <c r="E558" s="24"/>
      <c r="F558" s="14">
        <v>11.28</v>
      </c>
      <c r="G558" s="14">
        <v>58.02</v>
      </c>
      <c r="H558" s="14">
        <v>0.51</v>
      </c>
      <c r="I558" s="14" t="s">
        <v>6034</v>
      </c>
      <c r="J558" s="14">
        <v>100.0</v>
      </c>
      <c r="K558" s="14">
        <v>11.28</v>
      </c>
      <c r="L558" s="14">
        <v>0.0</v>
      </c>
    </row>
    <row r="559">
      <c r="A559" s="14">
        <v>612.0</v>
      </c>
      <c r="B559" s="14">
        <v>7.0</v>
      </c>
      <c r="C559" s="34">
        <v>38.89</v>
      </c>
      <c r="D559" s="36">
        <v>44714.0</v>
      </c>
      <c r="E559" s="24"/>
      <c r="F559" s="14">
        <v>5.56</v>
      </c>
      <c r="G559" s="14">
        <v>63.55</v>
      </c>
      <c r="H559" s="14">
        <v>1.14</v>
      </c>
      <c r="I559" s="14" t="s">
        <v>6032</v>
      </c>
      <c r="J559" s="14">
        <v>214.29</v>
      </c>
      <c r="K559" s="14">
        <v>2.59</v>
      </c>
      <c r="L559" s="14">
        <v>0.0</v>
      </c>
    </row>
    <row r="560">
      <c r="A560" s="14">
        <v>278.0</v>
      </c>
      <c r="B560" s="14">
        <v>5.0</v>
      </c>
      <c r="C560" s="34">
        <v>13.67</v>
      </c>
      <c r="D560" s="36">
        <v>44714.0</v>
      </c>
      <c r="E560" s="24"/>
      <c r="F560" s="14">
        <v>2.73</v>
      </c>
      <c r="G560" s="14">
        <v>49.17</v>
      </c>
      <c r="H560" s="14">
        <v>1.8</v>
      </c>
      <c r="I560" s="14" t="s">
        <v>6039</v>
      </c>
      <c r="J560" s="14">
        <v>20.0</v>
      </c>
      <c r="K560" s="14">
        <v>13.67</v>
      </c>
      <c r="L560" s="14">
        <v>0.0</v>
      </c>
    </row>
    <row r="561">
      <c r="A561" s="14">
        <v>3102.0</v>
      </c>
      <c r="B561" s="14">
        <v>35.0</v>
      </c>
      <c r="C561" s="34">
        <v>31.92</v>
      </c>
      <c r="D561" s="36">
        <v>44715.0</v>
      </c>
      <c r="E561" s="24"/>
      <c r="F561" s="14">
        <v>0.91</v>
      </c>
      <c r="G561" s="14">
        <v>10.29</v>
      </c>
      <c r="H561" s="14">
        <v>1.13</v>
      </c>
      <c r="I561" s="14" t="s">
        <v>6024</v>
      </c>
      <c r="J561" s="14">
        <v>80.0</v>
      </c>
      <c r="K561" s="14">
        <v>1.14</v>
      </c>
      <c r="L561" s="14">
        <v>0.0</v>
      </c>
    </row>
    <row r="562">
      <c r="A562" s="14">
        <v>1505.0</v>
      </c>
      <c r="B562" s="14">
        <v>3.0</v>
      </c>
      <c r="C562" s="34">
        <v>43.17</v>
      </c>
      <c r="D562" s="36">
        <v>44715.0</v>
      </c>
      <c r="E562" s="24"/>
      <c r="F562" s="14">
        <v>14.39</v>
      </c>
      <c r="G562" s="14">
        <v>28.68</v>
      </c>
      <c r="H562" s="14">
        <v>0.2</v>
      </c>
      <c r="I562" s="14" t="s">
        <v>6035</v>
      </c>
      <c r="J562" s="14">
        <v>33.33</v>
      </c>
      <c r="K562" s="14">
        <v>43.17</v>
      </c>
      <c r="L562" s="14">
        <v>0.0</v>
      </c>
    </row>
    <row r="563">
      <c r="A563" s="14">
        <v>406.0</v>
      </c>
      <c r="B563" s="14">
        <v>3.0</v>
      </c>
      <c r="C563" s="34">
        <v>27.38</v>
      </c>
      <c r="D563" s="36">
        <v>44715.0</v>
      </c>
      <c r="E563" s="24"/>
      <c r="F563" s="14">
        <v>9.13</v>
      </c>
      <c r="G563" s="14">
        <v>67.44</v>
      </c>
      <c r="H563" s="14">
        <v>0.74</v>
      </c>
      <c r="I563" s="14" t="s">
        <v>6036</v>
      </c>
      <c r="J563" s="14">
        <v>33.33</v>
      </c>
      <c r="K563" s="14">
        <v>27.38</v>
      </c>
      <c r="L563" s="14">
        <v>0.0</v>
      </c>
    </row>
    <row r="564">
      <c r="A564" s="14">
        <v>1253.0</v>
      </c>
      <c r="B564" s="14">
        <v>7.0</v>
      </c>
      <c r="C564" s="34">
        <v>56.46</v>
      </c>
      <c r="D564" s="36">
        <v>44715.0</v>
      </c>
      <c r="E564" s="24"/>
      <c r="F564" s="14">
        <v>8.07</v>
      </c>
      <c r="G564" s="14">
        <v>45.06</v>
      </c>
      <c r="H564" s="14">
        <v>0.56</v>
      </c>
      <c r="I564" s="14" t="s">
        <v>6031</v>
      </c>
      <c r="J564" s="14">
        <v>114.29</v>
      </c>
      <c r="K564" s="14">
        <v>7.06</v>
      </c>
      <c r="L564" s="14">
        <v>0.0</v>
      </c>
    </row>
    <row r="565">
      <c r="A565" s="14">
        <v>734.0</v>
      </c>
      <c r="B565" s="14">
        <v>7.0</v>
      </c>
      <c r="C565" s="34">
        <v>24.03</v>
      </c>
      <c r="D565" s="36">
        <v>44715.0</v>
      </c>
      <c r="E565" s="24"/>
      <c r="F565" s="14">
        <v>3.43</v>
      </c>
      <c r="G565" s="14">
        <v>32.74</v>
      </c>
      <c r="H565" s="14">
        <v>0.95</v>
      </c>
      <c r="I565" s="14" t="s">
        <v>6026</v>
      </c>
      <c r="J565" s="14">
        <v>28.57</v>
      </c>
      <c r="K565" s="14">
        <v>12.02</v>
      </c>
      <c r="L565" s="14">
        <v>0.0</v>
      </c>
    </row>
    <row r="566">
      <c r="A566" s="14">
        <v>1096.0</v>
      </c>
      <c r="B566" s="14">
        <v>3.0</v>
      </c>
      <c r="C566" s="34">
        <v>43.58</v>
      </c>
      <c r="D566" s="36">
        <v>44715.0</v>
      </c>
      <c r="E566" s="24"/>
      <c r="F566" s="14">
        <v>14.53</v>
      </c>
      <c r="G566" s="14">
        <v>39.76</v>
      </c>
      <c r="H566" s="14">
        <v>0.27</v>
      </c>
      <c r="I566" s="14" t="s">
        <v>6038</v>
      </c>
      <c r="J566" s="14">
        <v>200.0</v>
      </c>
      <c r="K566" s="14">
        <v>7.26</v>
      </c>
      <c r="L566" s="14">
        <v>0.0</v>
      </c>
    </row>
    <row r="567">
      <c r="A567" s="14">
        <v>419.0</v>
      </c>
      <c r="B567" s="14">
        <v>7.0</v>
      </c>
      <c r="C567" s="34">
        <v>30.24</v>
      </c>
      <c r="D567" s="36">
        <v>44715.0</v>
      </c>
      <c r="E567" s="24"/>
      <c r="F567" s="14">
        <v>4.32</v>
      </c>
      <c r="G567" s="14">
        <v>72.17</v>
      </c>
      <c r="H567" s="14">
        <v>1.67</v>
      </c>
      <c r="I567" s="14" t="s">
        <v>6030</v>
      </c>
      <c r="J567" s="14">
        <v>157.14</v>
      </c>
      <c r="K567" s="14">
        <v>2.75</v>
      </c>
      <c r="L567" s="14">
        <v>0.0</v>
      </c>
    </row>
    <row r="568">
      <c r="A568" s="14">
        <v>445.0</v>
      </c>
      <c r="B568" s="14">
        <v>2.0</v>
      </c>
      <c r="C568" s="34">
        <v>21.16</v>
      </c>
      <c r="D568" s="36">
        <v>44715.0</v>
      </c>
      <c r="E568" s="24"/>
      <c r="F568" s="14">
        <v>10.58</v>
      </c>
      <c r="G568" s="14">
        <v>47.55</v>
      </c>
      <c r="H568" s="14">
        <v>0.45</v>
      </c>
      <c r="I568" s="14" t="s">
        <v>6033</v>
      </c>
      <c r="J568" s="14">
        <v>350.0</v>
      </c>
      <c r="K568" s="14">
        <v>3.02</v>
      </c>
      <c r="L568" s="14">
        <v>0.0</v>
      </c>
    </row>
    <row r="569">
      <c r="A569" s="14">
        <v>1147.0</v>
      </c>
      <c r="B569" s="14">
        <v>0.0</v>
      </c>
      <c r="C569" s="34">
        <v>77.88</v>
      </c>
      <c r="D569" s="36">
        <v>44715.0</v>
      </c>
      <c r="E569" s="24"/>
      <c r="F569" s="14" t="s">
        <v>6012</v>
      </c>
      <c r="G569" s="14">
        <v>67.9</v>
      </c>
      <c r="H569" s="14">
        <v>0.0</v>
      </c>
      <c r="I569" s="14" t="s">
        <v>6029</v>
      </c>
      <c r="J569" s="14" t="s">
        <v>6012</v>
      </c>
      <c r="K569" s="14">
        <v>19.47</v>
      </c>
      <c r="L569" s="14">
        <v>0.0</v>
      </c>
    </row>
    <row r="570">
      <c r="A570" s="14">
        <v>580.0</v>
      </c>
      <c r="B570" s="14">
        <v>16.0</v>
      </c>
      <c r="C570" s="34">
        <v>40.15</v>
      </c>
      <c r="D570" s="36">
        <v>44715.0</v>
      </c>
      <c r="E570" s="24"/>
      <c r="F570" s="14">
        <v>2.51</v>
      </c>
      <c r="G570" s="14">
        <v>69.22</v>
      </c>
      <c r="H570" s="14">
        <v>2.76</v>
      </c>
      <c r="I570" s="14" t="s">
        <v>6039</v>
      </c>
      <c r="J570" s="14">
        <v>56.25</v>
      </c>
      <c r="K570" s="14">
        <v>4.46</v>
      </c>
      <c r="L570" s="14">
        <v>0.0</v>
      </c>
    </row>
    <row r="571">
      <c r="A571" s="14">
        <v>768.0</v>
      </c>
      <c r="B571" s="14">
        <v>7.0</v>
      </c>
      <c r="C571" s="34">
        <v>51.43</v>
      </c>
      <c r="D571" s="36">
        <v>44715.0</v>
      </c>
      <c r="E571" s="24"/>
      <c r="F571" s="14">
        <v>7.35</v>
      </c>
      <c r="G571" s="14">
        <v>66.97</v>
      </c>
      <c r="H571" s="14">
        <v>0.91</v>
      </c>
      <c r="I571" s="14" t="s">
        <v>6034</v>
      </c>
      <c r="J571" s="14">
        <v>85.71</v>
      </c>
      <c r="K571" s="14">
        <v>8.57</v>
      </c>
      <c r="L571" s="14">
        <v>0.0</v>
      </c>
    </row>
    <row r="572">
      <c r="A572" s="14">
        <v>533.0</v>
      </c>
      <c r="B572" s="14">
        <v>11.0</v>
      </c>
      <c r="C572" s="34">
        <v>28.0</v>
      </c>
      <c r="D572" s="36">
        <v>44715.0</v>
      </c>
      <c r="E572" s="24"/>
      <c r="F572" s="14">
        <v>2.55</v>
      </c>
      <c r="G572" s="14">
        <v>52.53</v>
      </c>
      <c r="H572" s="14">
        <v>2.06</v>
      </c>
      <c r="I572" s="14" t="s">
        <v>6028</v>
      </c>
      <c r="J572" s="14">
        <v>81.82</v>
      </c>
      <c r="K572" s="14">
        <v>3.11</v>
      </c>
      <c r="L572" s="14">
        <v>0.0</v>
      </c>
    </row>
    <row r="573">
      <c r="A573" s="14">
        <v>465.0</v>
      </c>
      <c r="B573" s="14">
        <v>8.0</v>
      </c>
      <c r="C573" s="34">
        <v>38.52</v>
      </c>
      <c r="D573" s="36">
        <v>44715.0</v>
      </c>
      <c r="E573" s="24"/>
      <c r="F573" s="14">
        <v>4.82</v>
      </c>
      <c r="G573" s="14">
        <v>82.84</v>
      </c>
      <c r="H573" s="14">
        <v>1.72</v>
      </c>
      <c r="I573" s="14" t="s">
        <v>6032</v>
      </c>
      <c r="J573" s="14">
        <v>75.0</v>
      </c>
      <c r="K573" s="14">
        <v>6.42</v>
      </c>
      <c r="L573" s="14">
        <v>0.0</v>
      </c>
    </row>
    <row r="574">
      <c r="A574" s="14">
        <v>2900.0</v>
      </c>
      <c r="B574" s="14">
        <v>13.0</v>
      </c>
      <c r="C574" s="34">
        <v>23.54</v>
      </c>
      <c r="D574" s="36">
        <v>44715.0</v>
      </c>
      <c r="E574" s="24"/>
      <c r="F574" s="14">
        <v>1.81</v>
      </c>
      <c r="G574" s="14">
        <v>8.12</v>
      </c>
      <c r="H574" s="14">
        <v>0.45</v>
      </c>
      <c r="I574" s="14" t="s">
        <v>6022</v>
      </c>
      <c r="J574" s="14">
        <v>107.69</v>
      </c>
      <c r="K574" s="14">
        <v>1.68</v>
      </c>
      <c r="L574" s="14">
        <v>0.0</v>
      </c>
    </row>
    <row r="575">
      <c r="A575" s="14">
        <v>774.0</v>
      </c>
      <c r="B575" s="14">
        <v>16.0</v>
      </c>
      <c r="C575" s="34">
        <v>30.23</v>
      </c>
      <c r="D575" s="36">
        <v>44715.0</v>
      </c>
      <c r="E575" s="24"/>
      <c r="F575" s="14">
        <v>1.89</v>
      </c>
      <c r="G575" s="14">
        <v>39.06</v>
      </c>
      <c r="H575" s="14">
        <v>2.07</v>
      </c>
      <c r="I575" s="14" t="s">
        <v>6037</v>
      </c>
      <c r="J575" s="14">
        <v>50.0</v>
      </c>
      <c r="K575" s="14">
        <v>3.78</v>
      </c>
      <c r="L575" s="14">
        <v>0.0</v>
      </c>
    </row>
    <row r="576">
      <c r="A576" s="14">
        <v>862.0</v>
      </c>
      <c r="B576" s="14">
        <v>9.0</v>
      </c>
      <c r="C576" s="34">
        <v>79.81</v>
      </c>
      <c r="D576" s="36">
        <v>44715.0</v>
      </c>
      <c r="E576" s="24"/>
      <c r="F576" s="14">
        <v>8.87</v>
      </c>
      <c r="G576" s="14">
        <v>92.59</v>
      </c>
      <c r="H576" s="14">
        <v>1.04</v>
      </c>
      <c r="I576" s="14" t="s">
        <v>6027</v>
      </c>
      <c r="J576" s="14">
        <v>88.89</v>
      </c>
      <c r="K576" s="14">
        <v>9.98</v>
      </c>
      <c r="L576" s="14">
        <v>0.0</v>
      </c>
    </row>
    <row r="577">
      <c r="A577" s="14">
        <v>1838.0</v>
      </c>
      <c r="B577" s="14">
        <v>9.0</v>
      </c>
      <c r="C577" s="34">
        <v>37.52</v>
      </c>
      <c r="D577" s="36">
        <v>44716.0</v>
      </c>
      <c r="E577" s="24"/>
      <c r="F577" s="14">
        <v>4.17</v>
      </c>
      <c r="G577" s="14">
        <v>20.41</v>
      </c>
      <c r="H577" s="14">
        <v>0.49</v>
      </c>
      <c r="I577" s="14" t="s">
        <v>6031</v>
      </c>
      <c r="J577" s="14">
        <v>55.56</v>
      </c>
      <c r="K577" s="14">
        <v>7.5</v>
      </c>
      <c r="L577" s="14">
        <v>0.0</v>
      </c>
    </row>
    <row r="578">
      <c r="A578" s="14">
        <v>776.0</v>
      </c>
      <c r="B578" s="14">
        <v>1.0</v>
      </c>
      <c r="C578" s="34">
        <v>52.01</v>
      </c>
      <c r="D578" s="36">
        <v>44716.0</v>
      </c>
      <c r="E578" s="24"/>
      <c r="F578" s="14">
        <v>52.01</v>
      </c>
      <c r="G578" s="14">
        <v>67.02</v>
      </c>
      <c r="H578" s="14">
        <v>0.13</v>
      </c>
      <c r="I578" s="14" t="s">
        <v>6029</v>
      </c>
      <c r="J578" s="14">
        <v>200.0</v>
      </c>
      <c r="K578" s="14">
        <v>26.0</v>
      </c>
      <c r="L578" s="14">
        <v>0.0</v>
      </c>
    </row>
    <row r="579">
      <c r="A579" s="14">
        <v>411.0</v>
      </c>
      <c r="B579" s="14">
        <v>4.0</v>
      </c>
      <c r="C579" s="34">
        <v>12.49</v>
      </c>
      <c r="D579" s="36">
        <v>44716.0</v>
      </c>
      <c r="E579" s="24"/>
      <c r="F579" s="14">
        <v>3.12</v>
      </c>
      <c r="G579" s="14">
        <v>30.39</v>
      </c>
      <c r="H579" s="14">
        <v>0.97</v>
      </c>
      <c r="I579" s="14" t="s">
        <v>6026</v>
      </c>
      <c r="J579" s="14">
        <v>50.0</v>
      </c>
      <c r="K579" s="14">
        <v>6.24</v>
      </c>
      <c r="L579" s="14">
        <v>0.0</v>
      </c>
    </row>
    <row r="580">
      <c r="A580" s="14">
        <v>436.0</v>
      </c>
      <c r="B580" s="14">
        <v>2.0</v>
      </c>
      <c r="C580" s="34">
        <v>34.39</v>
      </c>
      <c r="D580" s="36">
        <v>44716.0</v>
      </c>
      <c r="E580" s="24"/>
      <c r="F580" s="14">
        <v>17.2</v>
      </c>
      <c r="G580" s="14">
        <v>78.88</v>
      </c>
      <c r="H580" s="14">
        <v>0.46</v>
      </c>
      <c r="I580" s="14" t="s">
        <v>6034</v>
      </c>
      <c r="J580" s="14">
        <v>0.0</v>
      </c>
      <c r="K580" s="14" t="s">
        <v>6012</v>
      </c>
      <c r="L580" s="14">
        <v>0.0</v>
      </c>
    </row>
    <row r="581">
      <c r="A581" s="14">
        <v>742.0</v>
      </c>
      <c r="B581" s="14">
        <v>6.0</v>
      </c>
      <c r="C581" s="34">
        <v>39.16</v>
      </c>
      <c r="D581" s="36">
        <v>44716.0</v>
      </c>
      <c r="E581" s="24"/>
      <c r="F581" s="14">
        <v>6.53</v>
      </c>
      <c r="G581" s="14">
        <v>52.78</v>
      </c>
      <c r="H581" s="14">
        <v>0.81</v>
      </c>
      <c r="I581" s="14" t="s">
        <v>6032</v>
      </c>
      <c r="J581" s="14">
        <v>66.67</v>
      </c>
      <c r="K581" s="14">
        <v>9.79</v>
      </c>
      <c r="L581" s="14">
        <v>0.0</v>
      </c>
    </row>
    <row r="582">
      <c r="A582" s="14">
        <v>629.0</v>
      </c>
      <c r="B582" s="14">
        <v>12.0</v>
      </c>
      <c r="C582" s="34">
        <v>24.52</v>
      </c>
      <c r="D582" s="36">
        <v>44716.0</v>
      </c>
      <c r="E582" s="24"/>
      <c r="F582" s="14">
        <v>2.04</v>
      </c>
      <c r="G582" s="14">
        <v>38.98</v>
      </c>
      <c r="H582" s="14">
        <v>1.91</v>
      </c>
      <c r="I582" s="14" t="s">
        <v>6037</v>
      </c>
      <c r="J582" s="14">
        <v>25.0</v>
      </c>
      <c r="K582" s="14">
        <v>8.17</v>
      </c>
      <c r="L582" s="14">
        <v>0.0</v>
      </c>
    </row>
    <row r="583">
      <c r="A583" s="14">
        <v>329.0</v>
      </c>
      <c r="B583" s="14">
        <v>4.0</v>
      </c>
      <c r="C583" s="34">
        <v>20.45</v>
      </c>
      <c r="D583" s="36">
        <v>44716.0</v>
      </c>
      <c r="E583" s="24"/>
      <c r="F583" s="14">
        <v>5.11</v>
      </c>
      <c r="G583" s="14">
        <v>62.16</v>
      </c>
      <c r="H583" s="14">
        <v>1.22</v>
      </c>
      <c r="I583" s="14" t="s">
        <v>6028</v>
      </c>
      <c r="J583" s="14">
        <v>25.0</v>
      </c>
      <c r="K583" s="14">
        <v>20.45</v>
      </c>
      <c r="L583" s="14">
        <v>0.0</v>
      </c>
    </row>
    <row r="584">
      <c r="A584" s="14">
        <v>634.0</v>
      </c>
      <c r="B584" s="14">
        <v>10.0</v>
      </c>
      <c r="C584" s="34">
        <v>21.66</v>
      </c>
      <c r="D584" s="36">
        <v>44716.0</v>
      </c>
      <c r="E584" s="24"/>
      <c r="F584" s="14">
        <v>2.17</v>
      </c>
      <c r="G584" s="14">
        <v>34.16</v>
      </c>
      <c r="H584" s="14">
        <v>1.58</v>
      </c>
      <c r="I584" s="14" t="s">
        <v>6036</v>
      </c>
      <c r="J584" s="14">
        <v>70.0</v>
      </c>
      <c r="K584" s="14">
        <v>3.09</v>
      </c>
      <c r="L584" s="14">
        <v>0.0</v>
      </c>
    </row>
    <row r="585">
      <c r="A585" s="14">
        <v>363.0</v>
      </c>
      <c r="B585" s="14">
        <v>9.0</v>
      </c>
      <c r="C585" s="34">
        <v>16.66</v>
      </c>
      <c r="D585" s="36">
        <v>44716.0</v>
      </c>
      <c r="E585" s="24"/>
      <c r="F585" s="14">
        <v>1.85</v>
      </c>
      <c r="G585" s="14">
        <v>45.9</v>
      </c>
      <c r="H585" s="14">
        <v>2.48</v>
      </c>
      <c r="I585" s="14" t="s">
        <v>6033</v>
      </c>
      <c r="J585" s="14">
        <v>33.33</v>
      </c>
      <c r="K585" s="14">
        <v>5.55</v>
      </c>
      <c r="L585" s="14">
        <v>0.0</v>
      </c>
    </row>
    <row r="586">
      <c r="A586" s="14">
        <v>523.0</v>
      </c>
      <c r="B586" s="14">
        <v>6.0</v>
      </c>
      <c r="C586" s="34">
        <v>32.84</v>
      </c>
      <c r="D586" s="36">
        <v>44716.0</v>
      </c>
      <c r="E586" s="24"/>
      <c r="F586" s="14">
        <v>5.47</v>
      </c>
      <c r="G586" s="14">
        <v>62.79</v>
      </c>
      <c r="H586" s="14">
        <v>1.15</v>
      </c>
      <c r="I586" s="14" t="s">
        <v>6039</v>
      </c>
      <c r="J586" s="14">
        <v>16.67</v>
      </c>
      <c r="K586" s="14">
        <v>32.84</v>
      </c>
      <c r="L586" s="14">
        <v>0.0</v>
      </c>
    </row>
    <row r="587">
      <c r="A587" s="14">
        <v>556.0</v>
      </c>
      <c r="B587" s="14">
        <v>4.0</v>
      </c>
      <c r="C587" s="34">
        <v>53.49</v>
      </c>
      <c r="D587" s="36">
        <v>44716.0</v>
      </c>
      <c r="E587" s="24"/>
      <c r="F587" s="14">
        <v>13.37</v>
      </c>
      <c r="G587" s="14">
        <v>96.21</v>
      </c>
      <c r="H587" s="14">
        <v>0.72</v>
      </c>
      <c r="I587" s="14" t="s">
        <v>6027</v>
      </c>
      <c r="J587" s="14">
        <v>75.0</v>
      </c>
      <c r="K587" s="14">
        <v>17.83</v>
      </c>
      <c r="L587" s="14">
        <v>0.0</v>
      </c>
    </row>
    <row r="588">
      <c r="A588" s="14">
        <v>1875.0</v>
      </c>
      <c r="B588" s="14">
        <v>23.0</v>
      </c>
      <c r="C588" s="34">
        <v>16.81</v>
      </c>
      <c r="D588" s="36">
        <v>44716.0</v>
      </c>
      <c r="E588" s="24"/>
      <c r="F588" s="14">
        <v>0.73</v>
      </c>
      <c r="G588" s="14">
        <v>8.97</v>
      </c>
      <c r="H588" s="14">
        <v>1.23</v>
      </c>
      <c r="I588" s="14" t="s">
        <v>6024</v>
      </c>
      <c r="J588" s="14">
        <v>56.52</v>
      </c>
      <c r="K588" s="14">
        <v>1.29</v>
      </c>
      <c r="L588" s="14">
        <v>0.0</v>
      </c>
    </row>
    <row r="589">
      <c r="A589" s="14">
        <v>327.0</v>
      </c>
      <c r="B589" s="14">
        <v>0.0</v>
      </c>
      <c r="C589" s="34">
        <v>24.61</v>
      </c>
      <c r="D589" s="36">
        <v>44716.0</v>
      </c>
      <c r="E589" s="24"/>
      <c r="F589" s="14" t="s">
        <v>6012</v>
      </c>
      <c r="G589" s="14">
        <v>75.26</v>
      </c>
      <c r="H589" s="14">
        <v>0.0</v>
      </c>
      <c r="I589" s="14" t="s">
        <v>6030</v>
      </c>
      <c r="J589" s="14" t="s">
        <v>6012</v>
      </c>
      <c r="K589" s="14">
        <v>24.61</v>
      </c>
      <c r="L589" s="14">
        <v>0.0</v>
      </c>
    </row>
    <row r="590">
      <c r="A590" s="14">
        <v>579.0</v>
      </c>
      <c r="B590" s="14">
        <v>0.0</v>
      </c>
      <c r="C590" s="34">
        <v>29.12</v>
      </c>
      <c r="D590" s="36">
        <v>44716.0</v>
      </c>
      <c r="E590" s="24"/>
      <c r="F590" s="14" t="s">
        <v>6012</v>
      </c>
      <c r="G590" s="14">
        <v>50.29</v>
      </c>
      <c r="H590" s="14">
        <v>0.0</v>
      </c>
      <c r="I590" s="14" t="s">
        <v>6038</v>
      </c>
      <c r="J590" s="14" t="s">
        <v>6012</v>
      </c>
      <c r="K590" s="14">
        <v>29.12</v>
      </c>
      <c r="L590" s="14">
        <v>0.0</v>
      </c>
    </row>
    <row r="591">
      <c r="A591" s="14">
        <v>911.0</v>
      </c>
      <c r="B591" s="14">
        <v>4.0</v>
      </c>
      <c r="C591" s="34">
        <v>29.08</v>
      </c>
      <c r="D591" s="36">
        <v>44716.0</v>
      </c>
      <c r="E591" s="24"/>
      <c r="F591" s="14">
        <v>7.27</v>
      </c>
      <c r="G591" s="14">
        <v>31.92</v>
      </c>
      <c r="H591" s="14">
        <v>0.44</v>
      </c>
      <c r="I591" s="14" t="s">
        <v>6035</v>
      </c>
      <c r="J591" s="14">
        <v>100.0</v>
      </c>
      <c r="K591" s="14">
        <v>7.27</v>
      </c>
      <c r="L591" s="14">
        <v>0.0</v>
      </c>
    </row>
    <row r="592">
      <c r="A592" s="14">
        <v>1409.0</v>
      </c>
      <c r="B592" s="14">
        <v>3.0</v>
      </c>
      <c r="C592" s="34">
        <v>11.19</v>
      </c>
      <c r="D592" s="36">
        <v>44716.0</v>
      </c>
      <c r="E592" s="24"/>
      <c r="F592" s="14">
        <v>3.73</v>
      </c>
      <c r="G592" s="14">
        <v>7.94</v>
      </c>
      <c r="H592" s="14">
        <v>0.21</v>
      </c>
      <c r="I592" s="14" t="s">
        <v>6022</v>
      </c>
      <c r="J592" s="14">
        <v>33.33</v>
      </c>
      <c r="K592" s="14">
        <v>11.19</v>
      </c>
      <c r="L592" s="14">
        <v>0.0</v>
      </c>
    </row>
    <row r="593">
      <c r="A593" s="14">
        <v>242.0</v>
      </c>
      <c r="B593" s="14">
        <v>1.0</v>
      </c>
      <c r="C593" s="34">
        <v>13.1</v>
      </c>
      <c r="D593" s="36">
        <v>44717.0</v>
      </c>
      <c r="E593" s="24"/>
      <c r="F593" s="14">
        <v>13.1</v>
      </c>
      <c r="G593" s="14">
        <v>54.13</v>
      </c>
      <c r="H593" s="14">
        <v>0.41</v>
      </c>
      <c r="I593" s="14" t="s">
        <v>6033</v>
      </c>
      <c r="J593" s="14">
        <v>500.0</v>
      </c>
      <c r="K593" s="14">
        <v>2.62</v>
      </c>
      <c r="L593" s="14">
        <v>0.0</v>
      </c>
    </row>
    <row r="594">
      <c r="A594" s="14">
        <v>510.0</v>
      </c>
      <c r="B594" s="14">
        <v>1.0</v>
      </c>
      <c r="C594" s="34">
        <v>38.22</v>
      </c>
      <c r="D594" s="36">
        <v>44717.0</v>
      </c>
      <c r="E594" s="24"/>
      <c r="F594" s="14">
        <v>38.22</v>
      </c>
      <c r="G594" s="14">
        <v>74.94</v>
      </c>
      <c r="H594" s="14">
        <v>0.2</v>
      </c>
      <c r="I594" s="14" t="s">
        <v>6029</v>
      </c>
      <c r="J594" s="14">
        <v>200.0</v>
      </c>
      <c r="K594" s="14">
        <v>19.11</v>
      </c>
      <c r="L594" s="14">
        <v>0.0</v>
      </c>
    </row>
    <row r="595">
      <c r="A595" s="14">
        <v>410.0</v>
      </c>
      <c r="B595" s="14">
        <v>11.0</v>
      </c>
      <c r="C595" s="34">
        <v>11.38</v>
      </c>
      <c r="D595" s="36">
        <v>44717.0</v>
      </c>
      <c r="E595" s="24"/>
      <c r="F595" s="14">
        <v>1.03</v>
      </c>
      <c r="G595" s="14">
        <v>27.76</v>
      </c>
      <c r="H595" s="14">
        <v>2.68</v>
      </c>
      <c r="I595" s="14" t="s">
        <v>6026</v>
      </c>
      <c r="J595" s="14">
        <v>54.55</v>
      </c>
      <c r="K595" s="14">
        <v>1.9</v>
      </c>
      <c r="L595" s="14">
        <v>0.0</v>
      </c>
    </row>
    <row r="596">
      <c r="A596" s="14">
        <v>287.0</v>
      </c>
      <c r="B596" s="14">
        <v>2.0</v>
      </c>
      <c r="C596" s="34">
        <v>18.48</v>
      </c>
      <c r="D596" s="36">
        <v>44717.0</v>
      </c>
      <c r="E596" s="24"/>
      <c r="F596" s="14">
        <v>9.24</v>
      </c>
      <c r="G596" s="14">
        <v>64.39</v>
      </c>
      <c r="H596" s="14">
        <v>0.7</v>
      </c>
      <c r="I596" s="14" t="s">
        <v>6030</v>
      </c>
      <c r="J596" s="14">
        <v>150.0</v>
      </c>
      <c r="K596" s="14">
        <v>6.16</v>
      </c>
      <c r="L596" s="14">
        <v>0.0</v>
      </c>
    </row>
    <row r="597">
      <c r="A597" s="14">
        <v>539.0</v>
      </c>
      <c r="B597" s="14">
        <v>5.0</v>
      </c>
      <c r="C597" s="34">
        <v>30.22</v>
      </c>
      <c r="D597" s="36">
        <v>44717.0</v>
      </c>
      <c r="E597" s="24"/>
      <c r="F597" s="14">
        <v>6.04</v>
      </c>
      <c r="G597" s="14">
        <v>56.07</v>
      </c>
      <c r="H597" s="14">
        <v>0.93</v>
      </c>
      <c r="I597" s="14" t="s">
        <v>6034</v>
      </c>
      <c r="J597" s="14">
        <v>120.0</v>
      </c>
      <c r="K597" s="14">
        <v>5.04</v>
      </c>
      <c r="L597" s="14">
        <v>0.0</v>
      </c>
    </row>
    <row r="598">
      <c r="A598" s="14">
        <v>426.0</v>
      </c>
      <c r="B598" s="14">
        <v>0.0</v>
      </c>
      <c r="C598" s="34">
        <v>26.22</v>
      </c>
      <c r="D598" s="36">
        <v>44717.0</v>
      </c>
      <c r="E598" s="24"/>
      <c r="F598" s="14" t="s">
        <v>6012</v>
      </c>
      <c r="G598" s="14">
        <v>61.55</v>
      </c>
      <c r="H598" s="14">
        <v>0.0</v>
      </c>
      <c r="I598" s="14" t="s">
        <v>6038</v>
      </c>
      <c r="J598" s="14" t="s">
        <v>6012</v>
      </c>
      <c r="K598" s="14">
        <v>26.22</v>
      </c>
      <c r="L598" s="14">
        <v>0.0</v>
      </c>
    </row>
    <row r="599">
      <c r="A599" s="14">
        <v>298.0</v>
      </c>
      <c r="B599" s="14">
        <v>6.0</v>
      </c>
      <c r="C599" s="34">
        <v>18.48</v>
      </c>
      <c r="D599" s="36">
        <v>44717.0</v>
      </c>
      <c r="E599" s="24"/>
      <c r="F599" s="14">
        <v>3.08</v>
      </c>
      <c r="G599" s="14">
        <v>62.01</v>
      </c>
      <c r="H599" s="14">
        <v>2.01</v>
      </c>
      <c r="I599" s="14" t="s">
        <v>6028</v>
      </c>
      <c r="J599" s="14">
        <v>83.33</v>
      </c>
      <c r="K599" s="14">
        <v>3.7</v>
      </c>
      <c r="L599" s="14">
        <v>0.0</v>
      </c>
    </row>
    <row r="600">
      <c r="A600" s="14">
        <v>435.0</v>
      </c>
      <c r="B600" s="14">
        <v>8.0</v>
      </c>
      <c r="C600" s="34">
        <v>16.64</v>
      </c>
      <c r="D600" s="36">
        <v>44717.0</v>
      </c>
      <c r="E600" s="24"/>
      <c r="F600" s="14">
        <v>2.08</v>
      </c>
      <c r="G600" s="14">
        <v>38.25</v>
      </c>
      <c r="H600" s="14">
        <v>1.84</v>
      </c>
      <c r="I600" s="14" t="s">
        <v>6037</v>
      </c>
      <c r="J600" s="14">
        <v>62.5</v>
      </c>
      <c r="K600" s="14">
        <v>3.33</v>
      </c>
      <c r="L600" s="14">
        <v>0.0</v>
      </c>
    </row>
    <row r="601">
      <c r="A601" s="14">
        <v>408.0</v>
      </c>
      <c r="B601" s="14">
        <v>3.0</v>
      </c>
      <c r="C601" s="34">
        <v>36.87</v>
      </c>
      <c r="D601" s="36">
        <v>44717.0</v>
      </c>
      <c r="E601" s="24"/>
      <c r="F601" s="14">
        <v>12.29</v>
      </c>
      <c r="G601" s="14">
        <v>90.37</v>
      </c>
      <c r="H601" s="14">
        <v>0.74</v>
      </c>
      <c r="I601" s="14" t="s">
        <v>6027</v>
      </c>
      <c r="J601" s="14">
        <v>100.0</v>
      </c>
      <c r="K601" s="14">
        <v>12.29</v>
      </c>
      <c r="L601" s="14">
        <v>0.0</v>
      </c>
    </row>
    <row r="602">
      <c r="A602" s="14">
        <v>622.0</v>
      </c>
      <c r="B602" s="14">
        <v>12.0</v>
      </c>
      <c r="C602" s="34">
        <v>27.33</v>
      </c>
      <c r="D602" s="36">
        <v>44717.0</v>
      </c>
      <c r="E602" s="24"/>
      <c r="F602" s="14">
        <v>2.28</v>
      </c>
      <c r="G602" s="14">
        <v>43.94</v>
      </c>
      <c r="H602" s="14">
        <v>1.93</v>
      </c>
      <c r="I602" s="14" t="s">
        <v>6032</v>
      </c>
      <c r="J602" s="14">
        <v>66.67</v>
      </c>
      <c r="K602" s="14">
        <v>3.42</v>
      </c>
      <c r="L602" s="14">
        <v>0.0</v>
      </c>
    </row>
    <row r="603">
      <c r="A603" s="14">
        <v>1523.0</v>
      </c>
      <c r="B603" s="14">
        <v>20.0</v>
      </c>
      <c r="C603" s="34">
        <v>14.61</v>
      </c>
      <c r="D603" s="36">
        <v>44717.0</v>
      </c>
      <c r="E603" s="24"/>
      <c r="F603" s="14">
        <v>0.73</v>
      </c>
      <c r="G603" s="14">
        <v>9.59</v>
      </c>
      <c r="H603" s="14">
        <v>1.31</v>
      </c>
      <c r="I603" s="14" t="s">
        <v>6024</v>
      </c>
      <c r="J603" s="14">
        <v>80.0</v>
      </c>
      <c r="K603" s="14">
        <v>0.91</v>
      </c>
      <c r="L603" s="14">
        <v>0.0</v>
      </c>
    </row>
    <row r="604">
      <c r="A604" s="14">
        <v>1324.0</v>
      </c>
      <c r="B604" s="14">
        <v>4.0</v>
      </c>
      <c r="C604" s="34">
        <v>9.81</v>
      </c>
      <c r="D604" s="36">
        <v>44717.0</v>
      </c>
      <c r="E604" s="24"/>
      <c r="F604" s="14">
        <v>2.45</v>
      </c>
      <c r="G604" s="14">
        <v>7.41</v>
      </c>
      <c r="H604" s="14">
        <v>0.3</v>
      </c>
      <c r="I604" s="14" t="s">
        <v>6022</v>
      </c>
      <c r="J604" s="14">
        <v>150.0</v>
      </c>
      <c r="K604" s="14">
        <v>1.64</v>
      </c>
      <c r="L604" s="14">
        <v>0.0</v>
      </c>
    </row>
    <row r="605">
      <c r="A605" s="14">
        <v>537.0</v>
      </c>
      <c r="B605" s="14">
        <v>0.0</v>
      </c>
      <c r="C605" s="34">
        <v>25.6</v>
      </c>
      <c r="D605" s="36">
        <v>44717.0</v>
      </c>
      <c r="E605" s="24"/>
      <c r="F605" s="14" t="s">
        <v>6012</v>
      </c>
      <c r="G605" s="14">
        <v>47.67</v>
      </c>
      <c r="H605" s="14">
        <v>0.0</v>
      </c>
      <c r="I605" s="14" t="s">
        <v>6035</v>
      </c>
      <c r="J605" s="14" t="s">
        <v>6012</v>
      </c>
      <c r="K605" s="14">
        <v>3.66</v>
      </c>
      <c r="L605" s="14">
        <v>0.0</v>
      </c>
    </row>
    <row r="606">
      <c r="A606" s="14">
        <v>337.0</v>
      </c>
      <c r="B606" s="14">
        <v>9.0</v>
      </c>
      <c r="C606" s="34">
        <v>22.38</v>
      </c>
      <c r="D606" s="36">
        <v>44717.0</v>
      </c>
      <c r="E606" s="24"/>
      <c r="F606" s="14">
        <v>2.49</v>
      </c>
      <c r="G606" s="14">
        <v>66.41</v>
      </c>
      <c r="H606" s="14">
        <v>2.67</v>
      </c>
      <c r="I606" s="14" t="s">
        <v>6039</v>
      </c>
      <c r="J606" s="14">
        <v>22.22</v>
      </c>
      <c r="K606" s="14">
        <v>11.19</v>
      </c>
      <c r="L606" s="14">
        <v>0.0</v>
      </c>
    </row>
    <row r="607">
      <c r="A607" s="14">
        <v>1267.0</v>
      </c>
      <c r="B607" s="14">
        <v>14.0</v>
      </c>
      <c r="C607" s="34">
        <v>30.6</v>
      </c>
      <c r="D607" s="36">
        <v>44717.0</v>
      </c>
      <c r="E607" s="24"/>
      <c r="F607" s="14">
        <v>2.19</v>
      </c>
      <c r="G607" s="14">
        <v>24.15</v>
      </c>
      <c r="H607" s="14">
        <v>1.1</v>
      </c>
      <c r="I607" s="14" t="s">
        <v>6031</v>
      </c>
      <c r="J607" s="14">
        <v>85.71</v>
      </c>
      <c r="K607" s="14">
        <v>2.55</v>
      </c>
      <c r="L607" s="14">
        <v>0.0</v>
      </c>
    </row>
    <row r="608">
      <c r="A608" s="14">
        <v>610.0</v>
      </c>
      <c r="B608" s="14">
        <v>4.0</v>
      </c>
      <c r="C608" s="34">
        <v>21.65</v>
      </c>
      <c r="D608" s="36">
        <v>44717.0</v>
      </c>
      <c r="E608" s="24"/>
      <c r="F608" s="14">
        <v>5.41</v>
      </c>
      <c r="G608" s="14">
        <v>35.49</v>
      </c>
      <c r="H608" s="14">
        <v>0.66</v>
      </c>
      <c r="I608" s="14" t="s">
        <v>6036</v>
      </c>
      <c r="J608" s="14">
        <v>150.0</v>
      </c>
      <c r="K608" s="14">
        <v>3.61</v>
      </c>
      <c r="L608" s="14">
        <v>0.0</v>
      </c>
    </row>
    <row r="609">
      <c r="A609" s="14">
        <v>704.0</v>
      </c>
      <c r="B609" s="14">
        <v>3.0</v>
      </c>
      <c r="C609" s="34">
        <v>52.07</v>
      </c>
      <c r="D609" s="36">
        <v>44718.0</v>
      </c>
      <c r="E609" s="24"/>
      <c r="F609" s="14">
        <v>17.36</v>
      </c>
      <c r="G609" s="14">
        <v>73.96</v>
      </c>
      <c r="H609" s="14">
        <v>0.43</v>
      </c>
      <c r="I609" s="14" t="s">
        <v>6034</v>
      </c>
      <c r="J609" s="14">
        <v>100.0</v>
      </c>
      <c r="K609" s="14">
        <v>17.36</v>
      </c>
      <c r="L609" s="14">
        <v>0.0</v>
      </c>
    </row>
    <row r="610">
      <c r="A610" s="14">
        <v>1311.0</v>
      </c>
      <c r="B610" s="14">
        <v>18.0</v>
      </c>
      <c r="C610" s="34">
        <v>66.03</v>
      </c>
      <c r="D610" s="36">
        <v>44718.0</v>
      </c>
      <c r="E610" s="24"/>
      <c r="F610" s="14">
        <v>3.67</v>
      </c>
      <c r="G610" s="14">
        <v>50.37</v>
      </c>
      <c r="H610" s="14">
        <v>1.37</v>
      </c>
      <c r="I610" s="14" t="s">
        <v>6032</v>
      </c>
      <c r="J610" s="14">
        <v>50.0</v>
      </c>
      <c r="K610" s="14">
        <v>7.34</v>
      </c>
      <c r="L610" s="14">
        <v>0.0</v>
      </c>
    </row>
    <row r="611">
      <c r="A611" s="14">
        <v>1107.0</v>
      </c>
      <c r="B611" s="14">
        <v>0.0</v>
      </c>
      <c r="C611" s="34">
        <v>40.43</v>
      </c>
      <c r="D611" s="36">
        <v>44718.0</v>
      </c>
      <c r="E611" s="24"/>
      <c r="F611" s="14" t="s">
        <v>6012</v>
      </c>
      <c r="G611" s="14">
        <v>36.52</v>
      </c>
      <c r="H611" s="14">
        <v>0.0</v>
      </c>
      <c r="I611" s="14" t="s">
        <v>6038</v>
      </c>
      <c r="J611" s="14" t="s">
        <v>6012</v>
      </c>
      <c r="K611" s="14">
        <v>40.43</v>
      </c>
      <c r="L611" s="14">
        <v>0.0</v>
      </c>
    </row>
    <row r="612">
      <c r="A612" s="14">
        <v>3086.0</v>
      </c>
      <c r="B612" s="14">
        <v>15.0</v>
      </c>
      <c r="C612" s="34">
        <v>53.84</v>
      </c>
      <c r="D612" s="36">
        <v>44718.0</v>
      </c>
      <c r="E612" s="24"/>
      <c r="F612" s="14">
        <v>3.59</v>
      </c>
      <c r="G612" s="14">
        <v>17.45</v>
      </c>
      <c r="H612" s="14">
        <v>0.49</v>
      </c>
      <c r="I612" s="14" t="s">
        <v>6031</v>
      </c>
      <c r="J612" s="14">
        <v>73.33</v>
      </c>
      <c r="K612" s="14">
        <v>4.89</v>
      </c>
      <c r="L612" s="14">
        <v>0.0</v>
      </c>
    </row>
    <row r="613">
      <c r="A613" s="14">
        <v>904.0</v>
      </c>
      <c r="B613" s="14">
        <v>16.0</v>
      </c>
      <c r="C613" s="34">
        <v>36.22</v>
      </c>
      <c r="D613" s="36">
        <v>44718.0</v>
      </c>
      <c r="E613" s="24"/>
      <c r="F613" s="14">
        <v>2.26</v>
      </c>
      <c r="G613" s="14">
        <v>40.07</v>
      </c>
      <c r="H613" s="14">
        <v>1.77</v>
      </c>
      <c r="I613" s="14" t="s">
        <v>6037</v>
      </c>
      <c r="J613" s="14">
        <v>31.25</v>
      </c>
      <c r="K613" s="14">
        <v>7.24</v>
      </c>
      <c r="L613" s="14">
        <v>0.0</v>
      </c>
    </row>
    <row r="614">
      <c r="A614" s="14">
        <v>1027.0</v>
      </c>
      <c r="B614" s="14">
        <v>13.0</v>
      </c>
      <c r="C614" s="34">
        <v>74.56</v>
      </c>
      <c r="D614" s="36">
        <v>44718.0</v>
      </c>
      <c r="E614" s="24"/>
      <c r="F614" s="14">
        <v>5.74</v>
      </c>
      <c r="G614" s="14">
        <v>72.6</v>
      </c>
      <c r="H614" s="14">
        <v>1.27</v>
      </c>
      <c r="I614" s="14" t="s">
        <v>6027</v>
      </c>
      <c r="J614" s="14">
        <v>30.77</v>
      </c>
      <c r="K614" s="14">
        <v>18.64</v>
      </c>
      <c r="L614" s="14">
        <v>0.0</v>
      </c>
    </row>
    <row r="615">
      <c r="A615" s="14">
        <v>588.0</v>
      </c>
      <c r="B615" s="14">
        <v>6.0</v>
      </c>
      <c r="C615" s="34">
        <v>25.55</v>
      </c>
      <c r="D615" s="36">
        <v>44718.0</v>
      </c>
      <c r="E615" s="24"/>
      <c r="F615" s="14">
        <v>4.26</v>
      </c>
      <c r="G615" s="14">
        <v>43.45</v>
      </c>
      <c r="H615" s="14">
        <v>1.02</v>
      </c>
      <c r="I615" s="14" t="s">
        <v>6033</v>
      </c>
      <c r="J615" s="14">
        <v>100.0</v>
      </c>
      <c r="K615" s="14">
        <v>4.26</v>
      </c>
      <c r="L615" s="14">
        <v>0.0</v>
      </c>
    </row>
    <row r="616">
      <c r="A616" s="14">
        <v>2687.0</v>
      </c>
      <c r="B616" s="14">
        <v>10.0</v>
      </c>
      <c r="C616" s="34">
        <v>20.94</v>
      </c>
      <c r="D616" s="36">
        <v>44718.0</v>
      </c>
      <c r="E616" s="24"/>
      <c r="F616" s="14">
        <v>2.09</v>
      </c>
      <c r="G616" s="14">
        <v>7.79</v>
      </c>
      <c r="H616" s="14">
        <v>0.37</v>
      </c>
      <c r="I616" s="14" t="s">
        <v>6022</v>
      </c>
      <c r="J616" s="14">
        <v>110.0</v>
      </c>
      <c r="K616" s="14">
        <v>1.9</v>
      </c>
      <c r="L616" s="14">
        <v>0.0</v>
      </c>
    </row>
    <row r="617">
      <c r="A617" s="14">
        <v>552.0</v>
      </c>
      <c r="B617" s="14">
        <v>9.0</v>
      </c>
      <c r="C617" s="34">
        <v>35.95</v>
      </c>
      <c r="D617" s="36">
        <v>44718.0</v>
      </c>
      <c r="E617" s="24"/>
      <c r="F617" s="14">
        <v>3.99</v>
      </c>
      <c r="G617" s="14">
        <v>65.13</v>
      </c>
      <c r="H617" s="14">
        <v>1.63</v>
      </c>
      <c r="I617" s="14" t="s">
        <v>6028</v>
      </c>
      <c r="J617" s="14">
        <v>44.44</v>
      </c>
      <c r="K617" s="14">
        <v>8.99</v>
      </c>
      <c r="L617" s="14">
        <v>0.0</v>
      </c>
    </row>
    <row r="618">
      <c r="A618" s="14">
        <v>1582.0</v>
      </c>
      <c r="B618" s="14">
        <v>2.0</v>
      </c>
      <c r="C618" s="34">
        <v>72.71</v>
      </c>
      <c r="D618" s="36">
        <v>44718.0</v>
      </c>
      <c r="E618" s="24"/>
      <c r="F618" s="14">
        <v>36.35</v>
      </c>
      <c r="G618" s="14">
        <v>45.96</v>
      </c>
      <c r="H618" s="14">
        <v>0.13</v>
      </c>
      <c r="I618" s="14" t="s">
        <v>6029</v>
      </c>
      <c r="J618" s="14">
        <v>200.0</v>
      </c>
      <c r="K618" s="14">
        <v>18.18</v>
      </c>
      <c r="L618" s="14">
        <v>0.0</v>
      </c>
    </row>
    <row r="619">
      <c r="A619" s="14">
        <v>635.0</v>
      </c>
      <c r="B619" s="14">
        <v>4.0</v>
      </c>
      <c r="C619" s="34">
        <v>43.26</v>
      </c>
      <c r="D619" s="36">
        <v>44718.0</v>
      </c>
      <c r="E619" s="24"/>
      <c r="F619" s="14">
        <v>10.82</v>
      </c>
      <c r="G619" s="14">
        <v>68.13</v>
      </c>
      <c r="H619" s="14">
        <v>0.63</v>
      </c>
      <c r="I619" s="14" t="s">
        <v>6039</v>
      </c>
      <c r="J619" s="14">
        <v>100.0</v>
      </c>
      <c r="K619" s="14">
        <v>10.82</v>
      </c>
      <c r="L619" s="14">
        <v>0.0</v>
      </c>
    </row>
    <row r="620">
      <c r="A620" s="14">
        <v>1395.0</v>
      </c>
      <c r="B620" s="14">
        <v>1.0</v>
      </c>
      <c r="C620" s="34">
        <v>41.07</v>
      </c>
      <c r="D620" s="36">
        <v>44718.0</v>
      </c>
      <c r="E620" s="24"/>
      <c r="F620" s="14">
        <v>41.07</v>
      </c>
      <c r="G620" s="14">
        <v>29.44</v>
      </c>
      <c r="H620" s="14">
        <v>0.07</v>
      </c>
      <c r="I620" s="14" t="s">
        <v>6035</v>
      </c>
      <c r="J620" s="14">
        <v>600.0</v>
      </c>
      <c r="K620" s="14">
        <v>6.84</v>
      </c>
      <c r="L620" s="14">
        <v>0.0</v>
      </c>
    </row>
    <row r="621">
      <c r="A621" s="14">
        <v>673.0</v>
      </c>
      <c r="B621" s="14">
        <v>6.0</v>
      </c>
      <c r="C621" s="34">
        <v>23.52</v>
      </c>
      <c r="D621" s="36">
        <v>44718.0</v>
      </c>
      <c r="E621" s="24"/>
      <c r="F621" s="14">
        <v>3.92</v>
      </c>
      <c r="G621" s="14">
        <v>34.95</v>
      </c>
      <c r="H621" s="14">
        <v>0.89</v>
      </c>
      <c r="I621" s="14" t="s">
        <v>6026</v>
      </c>
      <c r="J621" s="14">
        <v>66.67</v>
      </c>
      <c r="K621" s="14">
        <v>5.88</v>
      </c>
      <c r="L621" s="14">
        <v>0.0</v>
      </c>
    </row>
    <row r="622">
      <c r="A622" s="14">
        <v>2945.0</v>
      </c>
      <c r="B622" s="14">
        <v>37.0</v>
      </c>
      <c r="C622" s="34">
        <v>32.4</v>
      </c>
      <c r="D622" s="36">
        <v>44718.0</v>
      </c>
      <c r="E622" s="24"/>
      <c r="F622" s="14">
        <v>0.88</v>
      </c>
      <c r="G622" s="14">
        <v>11.0</v>
      </c>
      <c r="H622" s="14">
        <v>1.26</v>
      </c>
      <c r="I622" s="14" t="s">
        <v>6024</v>
      </c>
      <c r="J622" s="14">
        <v>78.38</v>
      </c>
      <c r="K622" s="14">
        <v>1.12</v>
      </c>
      <c r="L622" s="14">
        <v>0.0</v>
      </c>
    </row>
    <row r="623">
      <c r="A623" s="14">
        <v>697.0</v>
      </c>
      <c r="B623" s="14">
        <v>4.0</v>
      </c>
      <c r="C623" s="34">
        <v>19.75</v>
      </c>
      <c r="D623" s="36">
        <v>44718.0</v>
      </c>
      <c r="E623" s="24"/>
      <c r="F623" s="14">
        <v>4.94</v>
      </c>
      <c r="G623" s="14">
        <v>28.34</v>
      </c>
      <c r="H623" s="14">
        <v>0.57</v>
      </c>
      <c r="I623" s="14" t="s">
        <v>6036</v>
      </c>
      <c r="J623" s="14">
        <v>250.0</v>
      </c>
      <c r="K623" s="14">
        <v>1.98</v>
      </c>
      <c r="L623" s="14">
        <v>0.0</v>
      </c>
    </row>
    <row r="624">
      <c r="A624" s="14">
        <v>516.0</v>
      </c>
      <c r="B624" s="14">
        <v>1.0</v>
      </c>
      <c r="C624" s="34">
        <v>36.57</v>
      </c>
      <c r="D624" s="36">
        <v>44718.0</v>
      </c>
      <c r="E624" s="24"/>
      <c r="F624" s="14">
        <v>36.57</v>
      </c>
      <c r="G624" s="14">
        <v>70.87</v>
      </c>
      <c r="H624" s="14">
        <v>0.19</v>
      </c>
      <c r="I624" s="14" t="s">
        <v>6030</v>
      </c>
      <c r="J624" s="14">
        <v>400.0</v>
      </c>
      <c r="K624" s="14">
        <v>9.14</v>
      </c>
      <c r="L624" s="14">
        <v>0.0</v>
      </c>
    </row>
    <row r="625">
      <c r="A625" s="14">
        <v>3443.0</v>
      </c>
      <c r="B625" s="14">
        <v>24.0</v>
      </c>
      <c r="C625" s="34">
        <v>38.62</v>
      </c>
      <c r="D625" s="36">
        <v>44719.0</v>
      </c>
      <c r="E625" s="24"/>
      <c r="F625" s="14">
        <v>1.61</v>
      </c>
      <c r="G625" s="14">
        <v>11.22</v>
      </c>
      <c r="H625" s="14">
        <v>0.7</v>
      </c>
      <c r="I625" s="14" t="s">
        <v>6024</v>
      </c>
      <c r="J625" s="14">
        <v>54.17</v>
      </c>
      <c r="K625" s="14">
        <v>2.97</v>
      </c>
      <c r="L625" s="14">
        <v>0.0</v>
      </c>
    </row>
    <row r="626">
      <c r="A626" s="14">
        <v>660.0</v>
      </c>
      <c r="B626" s="14">
        <v>3.0</v>
      </c>
      <c r="C626" s="34">
        <v>23.3</v>
      </c>
      <c r="D626" s="36">
        <v>44719.0</v>
      </c>
      <c r="E626" s="24"/>
      <c r="F626" s="14">
        <v>7.77</v>
      </c>
      <c r="G626" s="14">
        <v>35.3</v>
      </c>
      <c r="H626" s="14">
        <v>0.45</v>
      </c>
      <c r="I626" s="14" t="s">
        <v>6036</v>
      </c>
      <c r="J626" s="14">
        <v>133.33</v>
      </c>
      <c r="K626" s="14">
        <v>5.82</v>
      </c>
      <c r="L626" s="14">
        <v>0.0</v>
      </c>
    </row>
    <row r="627">
      <c r="A627" s="14">
        <v>1019.0</v>
      </c>
      <c r="B627" s="14">
        <v>2.0</v>
      </c>
      <c r="C627" s="34">
        <v>49.12</v>
      </c>
      <c r="D627" s="36">
        <v>44719.0</v>
      </c>
      <c r="E627" s="24"/>
      <c r="F627" s="14">
        <v>24.56</v>
      </c>
      <c r="G627" s="14">
        <v>48.2</v>
      </c>
      <c r="H627" s="14">
        <v>0.2</v>
      </c>
      <c r="I627" s="14" t="s">
        <v>6035</v>
      </c>
      <c r="J627" s="14">
        <v>200.0</v>
      </c>
      <c r="K627" s="14">
        <v>12.28</v>
      </c>
      <c r="L627" s="14">
        <v>0.0</v>
      </c>
    </row>
    <row r="628">
      <c r="A628" s="14">
        <v>1241.0</v>
      </c>
      <c r="B628" s="14">
        <v>17.0</v>
      </c>
      <c r="C628" s="34">
        <v>89.99</v>
      </c>
      <c r="D628" s="36">
        <v>44719.0</v>
      </c>
      <c r="E628" s="24"/>
      <c r="F628" s="14">
        <v>5.29</v>
      </c>
      <c r="G628" s="14">
        <v>72.51</v>
      </c>
      <c r="H628" s="14">
        <v>1.37</v>
      </c>
      <c r="I628" s="14" t="s">
        <v>6027</v>
      </c>
      <c r="J628" s="14">
        <v>47.06</v>
      </c>
      <c r="K628" s="14">
        <v>11.25</v>
      </c>
      <c r="L628" s="14">
        <v>0.0</v>
      </c>
    </row>
    <row r="629">
      <c r="A629" s="14">
        <v>1562.0</v>
      </c>
      <c r="B629" s="14">
        <v>1.0</v>
      </c>
      <c r="C629" s="34">
        <v>86.03</v>
      </c>
      <c r="D629" s="36">
        <v>44719.0</v>
      </c>
      <c r="E629" s="24"/>
      <c r="F629" s="14">
        <v>86.03</v>
      </c>
      <c r="G629" s="14">
        <v>55.08</v>
      </c>
      <c r="H629" s="14">
        <v>0.06</v>
      </c>
      <c r="I629" s="14" t="s">
        <v>6029</v>
      </c>
      <c r="J629" s="14">
        <v>400.0</v>
      </c>
      <c r="K629" s="14">
        <v>21.51</v>
      </c>
      <c r="L629" s="14">
        <v>0.0</v>
      </c>
    </row>
    <row r="630">
      <c r="A630" s="14">
        <v>1249.0</v>
      </c>
      <c r="B630" s="14">
        <v>13.0</v>
      </c>
      <c r="C630" s="34">
        <v>64.11</v>
      </c>
      <c r="D630" s="36">
        <v>44719.0</v>
      </c>
      <c r="E630" s="24"/>
      <c r="F630" s="14">
        <v>4.93</v>
      </c>
      <c r="G630" s="14">
        <v>51.33</v>
      </c>
      <c r="H630" s="14">
        <v>1.04</v>
      </c>
      <c r="I630" s="14" t="s">
        <v>6032</v>
      </c>
      <c r="J630" s="14">
        <v>92.31</v>
      </c>
      <c r="K630" s="14">
        <v>5.34</v>
      </c>
      <c r="L630" s="14">
        <v>0.0</v>
      </c>
    </row>
    <row r="631">
      <c r="A631" s="14">
        <v>2110.0</v>
      </c>
      <c r="B631" s="14">
        <v>10.0</v>
      </c>
      <c r="C631" s="34">
        <v>25.38</v>
      </c>
      <c r="D631" s="36">
        <v>44719.0</v>
      </c>
      <c r="E631" s="24"/>
      <c r="F631" s="14">
        <v>2.54</v>
      </c>
      <c r="G631" s="14">
        <v>12.03</v>
      </c>
      <c r="H631" s="14">
        <v>0.47</v>
      </c>
      <c r="I631" s="14" t="s">
        <v>6022</v>
      </c>
      <c r="J631" s="14">
        <v>200.0</v>
      </c>
      <c r="K631" s="14">
        <v>1.27</v>
      </c>
      <c r="L631" s="14">
        <v>0.0</v>
      </c>
    </row>
    <row r="632">
      <c r="A632" s="14">
        <v>706.0</v>
      </c>
      <c r="B632" s="14">
        <v>4.0</v>
      </c>
      <c r="C632" s="34">
        <v>25.37</v>
      </c>
      <c r="D632" s="36">
        <v>44719.0</v>
      </c>
      <c r="E632" s="24"/>
      <c r="F632" s="14">
        <v>6.34</v>
      </c>
      <c r="G632" s="14">
        <v>35.93</v>
      </c>
      <c r="H632" s="14">
        <v>0.57</v>
      </c>
      <c r="I632" s="14" t="s">
        <v>6033</v>
      </c>
      <c r="J632" s="14">
        <v>175.0</v>
      </c>
      <c r="K632" s="14">
        <v>3.62</v>
      </c>
      <c r="L632" s="14">
        <v>0.0</v>
      </c>
    </row>
    <row r="633">
      <c r="A633" s="14">
        <v>972.0</v>
      </c>
      <c r="B633" s="14">
        <v>2.0</v>
      </c>
      <c r="C633" s="34">
        <v>48.9</v>
      </c>
      <c r="D633" s="36">
        <v>44719.0</v>
      </c>
      <c r="E633" s="24"/>
      <c r="F633" s="14">
        <v>24.45</v>
      </c>
      <c r="G633" s="14">
        <v>50.31</v>
      </c>
      <c r="H633" s="14">
        <v>0.21</v>
      </c>
      <c r="I633" s="14" t="s">
        <v>6038</v>
      </c>
      <c r="J633" s="14">
        <v>250.0</v>
      </c>
      <c r="K633" s="14">
        <v>9.78</v>
      </c>
      <c r="L633" s="14">
        <v>0.0</v>
      </c>
    </row>
    <row r="634">
      <c r="A634" s="14">
        <v>659.0</v>
      </c>
      <c r="B634" s="14">
        <v>4.0</v>
      </c>
      <c r="C634" s="34">
        <v>37.99</v>
      </c>
      <c r="D634" s="36">
        <v>44719.0</v>
      </c>
      <c r="E634" s="24"/>
      <c r="F634" s="14">
        <v>9.5</v>
      </c>
      <c r="G634" s="14">
        <v>57.65</v>
      </c>
      <c r="H634" s="14">
        <v>0.61</v>
      </c>
      <c r="I634" s="14" t="s">
        <v>6030</v>
      </c>
      <c r="J634" s="14">
        <v>125.0</v>
      </c>
      <c r="K634" s="14">
        <v>7.6</v>
      </c>
      <c r="L634" s="14">
        <v>0.0</v>
      </c>
    </row>
    <row r="635">
      <c r="A635" s="14">
        <v>690.0</v>
      </c>
      <c r="B635" s="14">
        <v>7.0</v>
      </c>
      <c r="C635" s="34">
        <v>36.52</v>
      </c>
      <c r="D635" s="36">
        <v>44719.0</v>
      </c>
      <c r="E635" s="24"/>
      <c r="F635" s="14">
        <v>5.22</v>
      </c>
      <c r="G635" s="14">
        <v>52.93</v>
      </c>
      <c r="H635" s="14">
        <v>1.01</v>
      </c>
      <c r="I635" s="14" t="s">
        <v>6037</v>
      </c>
      <c r="J635" s="14">
        <v>85.71</v>
      </c>
      <c r="K635" s="14">
        <v>6.09</v>
      </c>
      <c r="L635" s="14">
        <v>0.0</v>
      </c>
    </row>
    <row r="636">
      <c r="A636" s="14">
        <v>2428.0</v>
      </c>
      <c r="B636" s="14">
        <v>10.0</v>
      </c>
      <c r="C636" s="34">
        <v>64.31</v>
      </c>
      <c r="D636" s="36">
        <v>44719.0</v>
      </c>
      <c r="E636" s="24"/>
      <c r="F636" s="14">
        <v>6.43</v>
      </c>
      <c r="G636" s="14">
        <v>26.49</v>
      </c>
      <c r="H636" s="14">
        <v>0.41</v>
      </c>
      <c r="I636" s="14" t="s">
        <v>6031</v>
      </c>
      <c r="J636" s="14">
        <v>100.0</v>
      </c>
      <c r="K636" s="14">
        <v>6.43</v>
      </c>
      <c r="L636" s="14">
        <v>0.0</v>
      </c>
    </row>
    <row r="637">
      <c r="A637" s="14">
        <v>1398.0</v>
      </c>
      <c r="B637" s="14">
        <v>4.0</v>
      </c>
      <c r="C637" s="34">
        <v>62.52</v>
      </c>
      <c r="D637" s="36">
        <v>44719.0</v>
      </c>
      <c r="E637" s="24"/>
      <c r="F637" s="14">
        <v>15.63</v>
      </c>
      <c r="G637" s="14">
        <v>44.72</v>
      </c>
      <c r="H637" s="14">
        <v>0.29</v>
      </c>
      <c r="I637" s="14" t="s">
        <v>6034</v>
      </c>
      <c r="J637" s="14">
        <v>25.0</v>
      </c>
      <c r="K637" s="14">
        <v>62.52</v>
      </c>
      <c r="L637" s="14">
        <v>0.0</v>
      </c>
    </row>
    <row r="638">
      <c r="A638" s="14">
        <v>663.0</v>
      </c>
      <c r="B638" s="14">
        <v>14.0</v>
      </c>
      <c r="C638" s="34">
        <v>25.19</v>
      </c>
      <c r="D638" s="36">
        <v>44719.0</v>
      </c>
      <c r="E638" s="24"/>
      <c r="F638" s="14">
        <v>1.8</v>
      </c>
      <c r="G638" s="14">
        <v>37.99</v>
      </c>
      <c r="H638" s="14">
        <v>2.11</v>
      </c>
      <c r="I638" s="14" t="s">
        <v>6026</v>
      </c>
      <c r="J638" s="14">
        <v>57.14</v>
      </c>
      <c r="K638" s="14">
        <v>3.15</v>
      </c>
      <c r="L638" s="14">
        <v>0.0</v>
      </c>
    </row>
    <row r="639">
      <c r="A639" s="14">
        <v>877.0</v>
      </c>
      <c r="B639" s="14">
        <v>11.0</v>
      </c>
      <c r="C639" s="34">
        <v>38.14</v>
      </c>
      <c r="D639" s="36">
        <v>44719.0</v>
      </c>
      <c r="E639" s="24"/>
      <c r="F639" s="14">
        <v>3.47</v>
      </c>
      <c r="G639" s="14">
        <v>43.49</v>
      </c>
      <c r="H639" s="14">
        <v>1.25</v>
      </c>
      <c r="I639" s="14" t="s">
        <v>6028</v>
      </c>
      <c r="J639" s="14">
        <v>63.64</v>
      </c>
      <c r="K639" s="14">
        <v>5.45</v>
      </c>
      <c r="L639" s="14">
        <v>0.0</v>
      </c>
    </row>
    <row r="640">
      <c r="A640" s="14">
        <v>488.0</v>
      </c>
      <c r="B640" s="14">
        <v>8.0</v>
      </c>
      <c r="C640" s="34">
        <v>37.71</v>
      </c>
      <c r="D640" s="36">
        <v>44719.0</v>
      </c>
      <c r="E640" s="24"/>
      <c r="F640" s="14">
        <v>4.71</v>
      </c>
      <c r="G640" s="14">
        <v>77.27</v>
      </c>
      <c r="H640" s="14">
        <v>1.64</v>
      </c>
      <c r="I640" s="14" t="s">
        <v>6039</v>
      </c>
      <c r="J640" s="14">
        <v>75.0</v>
      </c>
      <c r="K640" s="14">
        <v>6.28</v>
      </c>
      <c r="L640" s="14">
        <v>0.0</v>
      </c>
    </row>
    <row r="641">
      <c r="A641" s="14">
        <v>687.0</v>
      </c>
      <c r="B641" s="14">
        <v>9.0</v>
      </c>
      <c r="C641" s="34">
        <v>23.77</v>
      </c>
      <c r="D641" s="36">
        <v>44720.0</v>
      </c>
      <c r="E641" s="24"/>
      <c r="F641" s="14">
        <v>2.64</v>
      </c>
      <c r="G641" s="14">
        <v>34.6</v>
      </c>
      <c r="H641" s="14">
        <v>1.31</v>
      </c>
      <c r="I641" s="14" t="s">
        <v>6026</v>
      </c>
      <c r="J641" s="14">
        <v>33.33</v>
      </c>
      <c r="K641" s="14">
        <v>7.92</v>
      </c>
      <c r="L641" s="14">
        <v>0.0</v>
      </c>
    </row>
    <row r="642">
      <c r="A642" s="14">
        <v>1273.0</v>
      </c>
      <c r="B642" s="14">
        <v>1.0</v>
      </c>
      <c r="C642" s="34">
        <v>92.37</v>
      </c>
      <c r="D642" s="36">
        <v>44720.0</v>
      </c>
      <c r="E642" s="24"/>
      <c r="F642" s="14">
        <v>92.37</v>
      </c>
      <c r="G642" s="14">
        <v>72.56</v>
      </c>
      <c r="H642" s="14">
        <v>0.08</v>
      </c>
      <c r="I642" s="14" t="s">
        <v>6029</v>
      </c>
      <c r="J642" s="14">
        <v>100.0</v>
      </c>
      <c r="K642" s="14">
        <v>92.37</v>
      </c>
      <c r="L642" s="14">
        <v>0.0</v>
      </c>
    </row>
    <row r="643">
      <c r="A643" s="14">
        <v>718.0</v>
      </c>
      <c r="B643" s="14">
        <v>5.0</v>
      </c>
      <c r="C643" s="34">
        <v>26.24</v>
      </c>
      <c r="D643" s="36">
        <v>44720.0</v>
      </c>
      <c r="E643" s="24"/>
      <c r="F643" s="14">
        <v>5.25</v>
      </c>
      <c r="G643" s="14">
        <v>36.55</v>
      </c>
      <c r="H643" s="14">
        <v>0.7</v>
      </c>
      <c r="I643" s="14" t="s">
        <v>6033</v>
      </c>
      <c r="J643" s="14">
        <v>60.0</v>
      </c>
      <c r="K643" s="14">
        <v>8.75</v>
      </c>
      <c r="L643" s="14">
        <v>0.0</v>
      </c>
    </row>
    <row r="644">
      <c r="A644" s="14">
        <v>1064.0</v>
      </c>
      <c r="B644" s="14">
        <v>14.0</v>
      </c>
      <c r="C644" s="34">
        <v>54.84</v>
      </c>
      <c r="D644" s="36">
        <v>44720.0</v>
      </c>
      <c r="E644" s="24"/>
      <c r="F644" s="14">
        <v>3.92</v>
      </c>
      <c r="G644" s="14">
        <v>51.54</v>
      </c>
      <c r="H644" s="14">
        <v>1.32</v>
      </c>
      <c r="I644" s="14" t="s">
        <v>6032</v>
      </c>
      <c r="J644" s="14">
        <v>35.71</v>
      </c>
      <c r="K644" s="14">
        <v>10.97</v>
      </c>
      <c r="L644" s="14">
        <v>0.0</v>
      </c>
    </row>
    <row r="645">
      <c r="A645" s="14">
        <v>2607.0</v>
      </c>
      <c r="B645" s="14">
        <v>12.0</v>
      </c>
      <c r="C645" s="34">
        <v>25.88</v>
      </c>
      <c r="D645" s="36">
        <v>44720.0</v>
      </c>
      <c r="E645" s="24"/>
      <c r="F645" s="14">
        <v>2.16</v>
      </c>
      <c r="G645" s="14">
        <v>9.93</v>
      </c>
      <c r="H645" s="14">
        <v>0.46</v>
      </c>
      <c r="I645" s="14" t="s">
        <v>6022</v>
      </c>
      <c r="J645" s="14">
        <v>91.67</v>
      </c>
      <c r="K645" s="14">
        <v>2.35</v>
      </c>
      <c r="L645" s="14">
        <v>0.0</v>
      </c>
    </row>
    <row r="646">
      <c r="A646" s="14">
        <v>1362.0</v>
      </c>
      <c r="B646" s="14">
        <v>5.0</v>
      </c>
      <c r="C646" s="34">
        <v>57.34</v>
      </c>
      <c r="D646" s="36">
        <v>44720.0</v>
      </c>
      <c r="E646" s="24"/>
      <c r="F646" s="14">
        <v>11.47</v>
      </c>
      <c r="G646" s="14">
        <v>42.1</v>
      </c>
      <c r="H646" s="14">
        <v>0.37</v>
      </c>
      <c r="I646" s="14" t="s">
        <v>6034</v>
      </c>
      <c r="J646" s="14">
        <v>100.0</v>
      </c>
      <c r="K646" s="14">
        <v>11.47</v>
      </c>
      <c r="L646" s="14">
        <v>0.0</v>
      </c>
    </row>
    <row r="647">
      <c r="A647" s="14">
        <v>1307.0</v>
      </c>
      <c r="B647" s="14">
        <v>3.0</v>
      </c>
      <c r="C647" s="34">
        <v>65.73</v>
      </c>
      <c r="D647" s="36">
        <v>44720.0</v>
      </c>
      <c r="E647" s="24"/>
      <c r="F647" s="14">
        <v>21.91</v>
      </c>
      <c r="G647" s="14">
        <v>50.29</v>
      </c>
      <c r="H647" s="14">
        <v>0.23</v>
      </c>
      <c r="I647" s="14" t="s">
        <v>6031</v>
      </c>
      <c r="J647" s="14">
        <v>200.0</v>
      </c>
      <c r="K647" s="14">
        <v>10.96</v>
      </c>
      <c r="L647" s="14">
        <v>0.0</v>
      </c>
    </row>
    <row r="648">
      <c r="A648" s="14">
        <v>365.0</v>
      </c>
      <c r="B648" s="14">
        <v>6.0</v>
      </c>
      <c r="C648" s="34">
        <v>31.12</v>
      </c>
      <c r="D648" s="36">
        <v>44720.0</v>
      </c>
      <c r="E648" s="24"/>
      <c r="F648" s="14">
        <v>5.19</v>
      </c>
      <c r="G648" s="14">
        <v>85.26</v>
      </c>
      <c r="H648" s="14">
        <v>1.64</v>
      </c>
      <c r="I648" s="14" t="s">
        <v>6039</v>
      </c>
      <c r="J648" s="14">
        <v>33.33</v>
      </c>
      <c r="K648" s="14">
        <v>15.56</v>
      </c>
      <c r="L648" s="14">
        <v>0.0</v>
      </c>
    </row>
    <row r="649">
      <c r="A649" s="14">
        <v>676.0</v>
      </c>
      <c r="B649" s="14">
        <v>5.0</v>
      </c>
      <c r="C649" s="34">
        <v>52.48</v>
      </c>
      <c r="D649" s="36">
        <v>44720.0</v>
      </c>
      <c r="E649" s="24"/>
      <c r="F649" s="14">
        <v>10.5</v>
      </c>
      <c r="G649" s="14">
        <v>77.63</v>
      </c>
      <c r="H649" s="14">
        <v>0.74</v>
      </c>
      <c r="I649" s="14" t="s">
        <v>6035</v>
      </c>
      <c r="J649" s="14">
        <v>100.0</v>
      </c>
      <c r="K649" s="14">
        <v>10.5</v>
      </c>
      <c r="L649" s="14">
        <v>0.0</v>
      </c>
    </row>
    <row r="650">
      <c r="A650" s="14">
        <v>566.0</v>
      </c>
      <c r="B650" s="14">
        <v>2.0</v>
      </c>
      <c r="C650" s="34">
        <v>39.7</v>
      </c>
      <c r="D650" s="36">
        <v>44720.0</v>
      </c>
      <c r="E650" s="24"/>
      <c r="F650" s="14">
        <v>19.85</v>
      </c>
      <c r="G650" s="14">
        <v>70.14</v>
      </c>
      <c r="H650" s="14">
        <v>0.35</v>
      </c>
      <c r="I650" s="14" t="s">
        <v>6030</v>
      </c>
      <c r="J650" s="14">
        <v>200.0</v>
      </c>
      <c r="K650" s="14">
        <v>9.93</v>
      </c>
      <c r="L650" s="14">
        <v>0.0</v>
      </c>
    </row>
    <row r="651">
      <c r="A651" s="14">
        <v>3524.0</v>
      </c>
      <c r="B651" s="14">
        <v>30.0</v>
      </c>
      <c r="C651" s="34">
        <v>38.22</v>
      </c>
      <c r="D651" s="36">
        <v>44720.0</v>
      </c>
      <c r="E651" s="24"/>
      <c r="F651" s="14">
        <v>1.27</v>
      </c>
      <c r="G651" s="14">
        <v>10.85</v>
      </c>
      <c r="H651" s="14">
        <v>0.85</v>
      </c>
      <c r="I651" s="14" t="s">
        <v>6024</v>
      </c>
      <c r="J651" s="14">
        <v>80.0</v>
      </c>
      <c r="K651" s="14">
        <v>1.59</v>
      </c>
      <c r="L651" s="14">
        <v>0.0</v>
      </c>
    </row>
    <row r="652">
      <c r="A652" s="14">
        <v>1257.0</v>
      </c>
      <c r="B652" s="14">
        <v>7.0</v>
      </c>
      <c r="C652" s="34">
        <v>95.34</v>
      </c>
      <c r="D652" s="36">
        <v>44720.0</v>
      </c>
      <c r="E652" s="24"/>
      <c r="F652" s="14">
        <v>13.62</v>
      </c>
      <c r="G652" s="14">
        <v>75.85</v>
      </c>
      <c r="H652" s="14">
        <v>0.56</v>
      </c>
      <c r="I652" s="14" t="s">
        <v>6027</v>
      </c>
      <c r="J652" s="14">
        <v>42.86</v>
      </c>
      <c r="K652" s="14">
        <v>31.78</v>
      </c>
      <c r="L652" s="14">
        <v>0.0</v>
      </c>
    </row>
    <row r="653">
      <c r="A653" s="14">
        <v>483.0</v>
      </c>
      <c r="B653" s="14">
        <v>4.0</v>
      </c>
      <c r="C653" s="34">
        <v>24.39</v>
      </c>
      <c r="D653" s="36">
        <v>44720.0</v>
      </c>
      <c r="E653" s="24"/>
      <c r="F653" s="14">
        <v>6.1</v>
      </c>
      <c r="G653" s="14">
        <v>50.5</v>
      </c>
      <c r="H653" s="14">
        <v>0.83</v>
      </c>
      <c r="I653" s="14" t="s">
        <v>6036</v>
      </c>
      <c r="J653" s="14">
        <v>150.0</v>
      </c>
      <c r="K653" s="14">
        <v>4.07</v>
      </c>
      <c r="L653" s="14">
        <v>0.0</v>
      </c>
    </row>
    <row r="654">
      <c r="A654" s="14">
        <v>717.0</v>
      </c>
      <c r="B654" s="14">
        <v>2.0</v>
      </c>
      <c r="C654" s="34">
        <v>52.08</v>
      </c>
      <c r="D654" s="36">
        <v>44720.0</v>
      </c>
      <c r="E654" s="24"/>
      <c r="F654" s="14">
        <v>26.04</v>
      </c>
      <c r="G654" s="14">
        <v>72.64</v>
      </c>
      <c r="H654" s="14">
        <v>0.28</v>
      </c>
      <c r="I654" s="14" t="s">
        <v>6038</v>
      </c>
      <c r="J654" s="14">
        <v>50.0</v>
      </c>
      <c r="K654" s="14">
        <v>52.08</v>
      </c>
      <c r="L654" s="14">
        <v>0.0</v>
      </c>
    </row>
    <row r="655">
      <c r="A655" s="14">
        <v>583.0</v>
      </c>
      <c r="B655" s="14">
        <v>8.0</v>
      </c>
      <c r="C655" s="34">
        <v>28.76</v>
      </c>
      <c r="D655" s="36">
        <v>44720.0</v>
      </c>
      <c r="E655" s="24"/>
      <c r="F655" s="14">
        <v>3.6</v>
      </c>
      <c r="G655" s="14">
        <v>49.33</v>
      </c>
      <c r="H655" s="14">
        <v>1.37</v>
      </c>
      <c r="I655" s="14" t="s">
        <v>6037</v>
      </c>
      <c r="J655" s="14">
        <v>62.5</v>
      </c>
      <c r="K655" s="14">
        <v>5.75</v>
      </c>
      <c r="L655" s="14">
        <v>0.0</v>
      </c>
    </row>
    <row r="656">
      <c r="A656" s="14">
        <v>920.0</v>
      </c>
      <c r="B656" s="14">
        <v>15.0</v>
      </c>
      <c r="C656" s="34">
        <v>32.75</v>
      </c>
      <c r="D656" s="36">
        <v>44720.0</v>
      </c>
      <c r="E656" s="24"/>
      <c r="F656" s="14">
        <v>2.18</v>
      </c>
      <c r="G656" s="14">
        <v>35.6</v>
      </c>
      <c r="H656" s="14">
        <v>1.63</v>
      </c>
      <c r="I656" s="14" t="s">
        <v>6028</v>
      </c>
      <c r="J656" s="14">
        <v>40.0</v>
      </c>
      <c r="K656" s="14">
        <v>5.46</v>
      </c>
      <c r="L656" s="14">
        <v>0.0</v>
      </c>
    </row>
    <row r="657">
      <c r="A657" s="14">
        <v>1020.0</v>
      </c>
      <c r="B657" s="14">
        <v>2.0</v>
      </c>
      <c r="C657" s="34">
        <v>40.33</v>
      </c>
      <c r="D657" s="36">
        <v>44721.0</v>
      </c>
      <c r="E657" s="24"/>
      <c r="F657" s="14">
        <v>20.16</v>
      </c>
      <c r="G657" s="14">
        <v>39.54</v>
      </c>
      <c r="H657" s="14">
        <v>0.2</v>
      </c>
      <c r="I657" s="14" t="s">
        <v>6030</v>
      </c>
      <c r="J657" s="14">
        <v>100.0</v>
      </c>
      <c r="K657" s="14">
        <v>20.16</v>
      </c>
      <c r="L657" s="14">
        <v>0.0</v>
      </c>
    </row>
    <row r="658">
      <c r="A658" s="14">
        <v>2641.0</v>
      </c>
      <c r="B658" s="14">
        <v>7.0</v>
      </c>
      <c r="C658" s="34">
        <v>25.48</v>
      </c>
      <c r="D658" s="36">
        <v>44721.0</v>
      </c>
      <c r="E658" s="24"/>
      <c r="F658" s="14">
        <v>3.64</v>
      </c>
      <c r="G658" s="14">
        <v>9.65</v>
      </c>
      <c r="H658" s="14">
        <v>0.27</v>
      </c>
      <c r="I658" s="14" t="s">
        <v>6022</v>
      </c>
      <c r="J658" s="14">
        <v>185.71</v>
      </c>
      <c r="K658" s="14">
        <v>1.96</v>
      </c>
      <c r="L658" s="14">
        <v>0.0</v>
      </c>
    </row>
    <row r="659">
      <c r="A659" s="14">
        <v>1119.0</v>
      </c>
      <c r="B659" s="14">
        <v>1.0</v>
      </c>
      <c r="C659" s="34">
        <v>52.64</v>
      </c>
      <c r="D659" s="36">
        <v>44721.0</v>
      </c>
      <c r="E659" s="24"/>
      <c r="F659" s="14">
        <v>52.64</v>
      </c>
      <c r="G659" s="14">
        <v>47.04</v>
      </c>
      <c r="H659" s="14">
        <v>0.09</v>
      </c>
      <c r="I659" s="14" t="s">
        <v>6035</v>
      </c>
      <c r="J659" s="14">
        <v>100.0</v>
      </c>
      <c r="K659" s="14">
        <v>52.64</v>
      </c>
      <c r="L659" s="14">
        <v>0.0</v>
      </c>
    </row>
    <row r="660">
      <c r="A660" s="14">
        <v>2279.0</v>
      </c>
      <c r="B660" s="14">
        <v>24.0</v>
      </c>
      <c r="C660" s="34">
        <v>23.27</v>
      </c>
      <c r="D660" s="36">
        <v>44721.0</v>
      </c>
      <c r="E660" s="24"/>
      <c r="F660" s="14">
        <v>0.97</v>
      </c>
      <c r="G660" s="14">
        <v>10.21</v>
      </c>
      <c r="H660" s="14">
        <v>1.05</v>
      </c>
      <c r="I660" s="14" t="s">
        <v>6024</v>
      </c>
      <c r="J660" s="14">
        <v>79.17</v>
      </c>
      <c r="K660" s="14">
        <v>1.22</v>
      </c>
      <c r="L660" s="14">
        <v>0.0</v>
      </c>
    </row>
    <row r="661">
      <c r="A661" s="14">
        <v>1178.0</v>
      </c>
      <c r="B661" s="14">
        <v>13.0</v>
      </c>
      <c r="C661" s="34">
        <v>95.65</v>
      </c>
      <c r="D661" s="36">
        <v>44721.0</v>
      </c>
      <c r="E661" s="24"/>
      <c r="F661" s="14">
        <v>7.36</v>
      </c>
      <c r="G661" s="14">
        <v>81.2</v>
      </c>
      <c r="H661" s="14">
        <v>1.1</v>
      </c>
      <c r="I661" s="14" t="s">
        <v>6027</v>
      </c>
      <c r="J661" s="14">
        <v>61.54</v>
      </c>
      <c r="K661" s="14">
        <v>11.96</v>
      </c>
      <c r="L661" s="14">
        <v>0.0</v>
      </c>
    </row>
    <row r="662">
      <c r="A662" s="14">
        <v>734.0</v>
      </c>
      <c r="B662" s="14">
        <v>12.0</v>
      </c>
      <c r="C662" s="34">
        <v>23.94</v>
      </c>
      <c r="D662" s="36">
        <v>44721.0</v>
      </c>
      <c r="E662" s="24"/>
      <c r="F662" s="14">
        <v>2.0</v>
      </c>
      <c r="G662" s="14">
        <v>32.62</v>
      </c>
      <c r="H662" s="14">
        <v>1.63</v>
      </c>
      <c r="I662" s="14" t="s">
        <v>6026</v>
      </c>
      <c r="J662" s="14">
        <v>66.67</v>
      </c>
      <c r="K662" s="14">
        <v>2.99</v>
      </c>
      <c r="L662" s="14">
        <v>0.0</v>
      </c>
    </row>
    <row r="663">
      <c r="A663" s="14">
        <v>856.0</v>
      </c>
      <c r="B663" s="14">
        <v>2.0</v>
      </c>
      <c r="C663" s="34">
        <v>51.15</v>
      </c>
      <c r="D663" s="36">
        <v>44721.0</v>
      </c>
      <c r="E663" s="24"/>
      <c r="F663" s="14">
        <v>25.58</v>
      </c>
      <c r="G663" s="14">
        <v>59.75</v>
      </c>
      <c r="H663" s="14">
        <v>0.23</v>
      </c>
      <c r="I663" s="14" t="s">
        <v>6038</v>
      </c>
      <c r="J663" s="14">
        <v>400.0</v>
      </c>
      <c r="K663" s="14">
        <v>6.39</v>
      </c>
      <c r="L663" s="14">
        <v>0.0</v>
      </c>
    </row>
    <row r="664">
      <c r="A664" s="14">
        <v>417.0</v>
      </c>
      <c r="B664" s="14">
        <v>7.0</v>
      </c>
      <c r="C664" s="34">
        <v>36.79</v>
      </c>
      <c r="D664" s="36">
        <v>44721.0</v>
      </c>
      <c r="E664" s="24"/>
      <c r="F664" s="14">
        <v>5.26</v>
      </c>
      <c r="G664" s="14">
        <v>88.23</v>
      </c>
      <c r="H664" s="14">
        <v>1.68</v>
      </c>
      <c r="I664" s="14" t="s">
        <v>6039</v>
      </c>
      <c r="J664" s="14">
        <v>85.71</v>
      </c>
      <c r="K664" s="14">
        <v>6.13</v>
      </c>
      <c r="L664" s="14">
        <v>0.0</v>
      </c>
    </row>
    <row r="665">
      <c r="A665" s="14">
        <v>1519.0</v>
      </c>
      <c r="B665" s="14">
        <v>3.0</v>
      </c>
      <c r="C665" s="34">
        <v>66.1</v>
      </c>
      <c r="D665" s="36">
        <v>44721.0</v>
      </c>
      <c r="E665" s="24"/>
      <c r="F665" s="14">
        <v>22.03</v>
      </c>
      <c r="G665" s="14">
        <v>43.52</v>
      </c>
      <c r="H665" s="14">
        <v>0.2</v>
      </c>
      <c r="I665" s="14" t="s">
        <v>6031</v>
      </c>
      <c r="J665" s="14">
        <v>166.67</v>
      </c>
      <c r="K665" s="14">
        <v>13.22</v>
      </c>
      <c r="L665" s="14">
        <v>0.0</v>
      </c>
    </row>
    <row r="666">
      <c r="A666" s="14">
        <v>305.0</v>
      </c>
      <c r="B666" s="14">
        <v>2.0</v>
      </c>
      <c r="C666" s="34">
        <v>14.86</v>
      </c>
      <c r="D666" s="36">
        <v>44721.0</v>
      </c>
      <c r="E666" s="24"/>
      <c r="F666" s="14">
        <v>7.43</v>
      </c>
      <c r="G666" s="14">
        <v>48.72</v>
      </c>
      <c r="H666" s="14">
        <v>0.66</v>
      </c>
      <c r="I666" s="14" t="s">
        <v>6036</v>
      </c>
      <c r="J666" s="14">
        <v>450.0</v>
      </c>
      <c r="K666" s="14">
        <v>1.65</v>
      </c>
      <c r="L666" s="14">
        <v>0.0</v>
      </c>
    </row>
    <row r="667">
      <c r="A667" s="14">
        <v>772.0</v>
      </c>
      <c r="B667" s="14">
        <v>6.0</v>
      </c>
      <c r="C667" s="34">
        <v>18.39</v>
      </c>
      <c r="D667" s="36">
        <v>44721.0</v>
      </c>
      <c r="E667" s="24"/>
      <c r="F667" s="14">
        <v>3.06</v>
      </c>
      <c r="G667" s="14">
        <v>23.82</v>
      </c>
      <c r="H667" s="14">
        <v>0.78</v>
      </c>
      <c r="I667" s="14" t="s">
        <v>6028</v>
      </c>
      <c r="J667" s="14">
        <v>83.33</v>
      </c>
      <c r="K667" s="14">
        <v>3.68</v>
      </c>
      <c r="L667" s="14">
        <v>0.0</v>
      </c>
    </row>
    <row r="668">
      <c r="A668" s="14">
        <v>969.0</v>
      </c>
      <c r="B668" s="14">
        <v>14.0</v>
      </c>
      <c r="C668" s="34">
        <v>36.44</v>
      </c>
      <c r="D668" s="36">
        <v>44721.0</v>
      </c>
      <c r="E668" s="24"/>
      <c r="F668" s="14">
        <v>2.6</v>
      </c>
      <c r="G668" s="14">
        <v>37.61</v>
      </c>
      <c r="H668" s="14">
        <v>1.44</v>
      </c>
      <c r="I668" s="14" t="s">
        <v>6032</v>
      </c>
      <c r="J668" s="14">
        <v>21.43</v>
      </c>
      <c r="K668" s="14">
        <v>12.15</v>
      </c>
      <c r="L668" s="14">
        <v>0.0</v>
      </c>
    </row>
    <row r="669">
      <c r="A669" s="14">
        <v>1142.0</v>
      </c>
      <c r="B669" s="14">
        <v>5.0</v>
      </c>
      <c r="C669" s="34">
        <v>26.77</v>
      </c>
      <c r="D669" s="36">
        <v>44721.0</v>
      </c>
      <c r="E669" s="24"/>
      <c r="F669" s="14">
        <v>5.35</v>
      </c>
      <c r="G669" s="14">
        <v>23.44</v>
      </c>
      <c r="H669" s="14">
        <v>0.44</v>
      </c>
      <c r="I669" s="14" t="s">
        <v>6033</v>
      </c>
      <c r="J669" s="14">
        <v>20.0</v>
      </c>
      <c r="K669" s="14">
        <v>26.77</v>
      </c>
      <c r="L669" s="14">
        <v>0.0</v>
      </c>
    </row>
    <row r="670">
      <c r="A670" s="14">
        <v>1681.0</v>
      </c>
      <c r="B670" s="14">
        <v>2.0</v>
      </c>
      <c r="C670" s="34">
        <v>91.51</v>
      </c>
      <c r="D670" s="36">
        <v>44721.0</v>
      </c>
      <c r="E670" s="24"/>
      <c r="F670" s="14">
        <v>45.76</v>
      </c>
      <c r="G670" s="14">
        <v>54.44</v>
      </c>
      <c r="H670" s="14">
        <v>0.12</v>
      </c>
      <c r="I670" s="14" t="s">
        <v>6029</v>
      </c>
      <c r="J670" s="14">
        <v>350.0</v>
      </c>
      <c r="K670" s="14">
        <v>13.07</v>
      </c>
      <c r="L670" s="14">
        <v>0.0</v>
      </c>
    </row>
    <row r="671">
      <c r="A671" s="14">
        <v>534.0</v>
      </c>
      <c r="B671" s="14">
        <v>7.0</v>
      </c>
      <c r="C671" s="34">
        <v>20.04</v>
      </c>
      <c r="D671" s="36">
        <v>44721.0</v>
      </c>
      <c r="E671" s="24"/>
      <c r="F671" s="14">
        <v>2.86</v>
      </c>
      <c r="G671" s="14">
        <v>37.53</v>
      </c>
      <c r="H671" s="14">
        <v>1.31</v>
      </c>
      <c r="I671" s="14" t="s">
        <v>6037</v>
      </c>
      <c r="J671" s="14">
        <v>28.57</v>
      </c>
      <c r="K671" s="14">
        <v>10.02</v>
      </c>
      <c r="L671" s="14">
        <v>0.0</v>
      </c>
    </row>
    <row r="672">
      <c r="A672" s="14">
        <v>1156.0</v>
      </c>
      <c r="B672" s="14">
        <v>2.0</v>
      </c>
      <c r="C672" s="34">
        <v>57.44</v>
      </c>
      <c r="D672" s="36">
        <v>44721.0</v>
      </c>
      <c r="E672" s="24"/>
      <c r="F672" s="14">
        <v>28.72</v>
      </c>
      <c r="G672" s="14">
        <v>49.69</v>
      </c>
      <c r="H672" s="14">
        <v>0.17</v>
      </c>
      <c r="I672" s="14" t="s">
        <v>6034</v>
      </c>
      <c r="J672" s="14">
        <v>100.0</v>
      </c>
      <c r="K672" s="14">
        <v>28.72</v>
      </c>
      <c r="L672" s="14">
        <v>0.0</v>
      </c>
    </row>
    <row r="673">
      <c r="A673" s="14">
        <v>576.0</v>
      </c>
      <c r="B673" s="14">
        <v>2.0</v>
      </c>
      <c r="C673" s="34">
        <v>35.5</v>
      </c>
      <c r="D673" s="36">
        <v>44722.0</v>
      </c>
      <c r="E673" s="24"/>
      <c r="F673" s="14">
        <v>17.75</v>
      </c>
      <c r="G673" s="14">
        <v>61.63</v>
      </c>
      <c r="H673" s="14">
        <v>0.35</v>
      </c>
      <c r="I673" s="14" t="s">
        <v>6030</v>
      </c>
      <c r="J673" s="14">
        <v>150.0</v>
      </c>
      <c r="K673" s="14">
        <v>11.83</v>
      </c>
      <c r="L673" s="14">
        <v>0.0</v>
      </c>
    </row>
    <row r="674">
      <c r="A674" s="14">
        <v>404.0</v>
      </c>
      <c r="B674" s="14">
        <v>8.0</v>
      </c>
      <c r="C674" s="34">
        <v>6.14</v>
      </c>
      <c r="D674" s="36">
        <v>44722.0</v>
      </c>
      <c r="E674" s="24"/>
      <c r="F674" s="14">
        <v>0.77</v>
      </c>
      <c r="G674" s="14">
        <v>15.2</v>
      </c>
      <c r="H674" s="14">
        <v>1.98</v>
      </c>
      <c r="I674" s="14" t="s">
        <v>6028</v>
      </c>
      <c r="J674" s="14">
        <v>62.5</v>
      </c>
      <c r="K674" s="14">
        <v>1.23</v>
      </c>
      <c r="L674" s="14">
        <v>0.0</v>
      </c>
    </row>
    <row r="675">
      <c r="A675" s="14">
        <v>61.0</v>
      </c>
      <c r="B675" s="14">
        <v>0.0</v>
      </c>
      <c r="C675" s="34">
        <v>6.58</v>
      </c>
      <c r="D675" s="36">
        <v>44722.0</v>
      </c>
      <c r="E675" s="24"/>
      <c r="F675" s="14" t="s">
        <v>6012</v>
      </c>
      <c r="G675" s="14">
        <v>107.87</v>
      </c>
      <c r="H675" s="14">
        <v>0.0</v>
      </c>
      <c r="I675" s="14" t="s">
        <v>6036</v>
      </c>
      <c r="J675" s="14" t="s">
        <v>6012</v>
      </c>
      <c r="K675" s="14">
        <v>2.19</v>
      </c>
      <c r="L675" s="14">
        <v>0.0</v>
      </c>
    </row>
    <row r="676">
      <c r="A676" s="14">
        <v>787.0</v>
      </c>
      <c r="B676" s="14">
        <v>17.0</v>
      </c>
      <c r="C676" s="34">
        <v>16.76</v>
      </c>
      <c r="D676" s="36">
        <v>44722.0</v>
      </c>
      <c r="E676" s="24"/>
      <c r="F676" s="14">
        <v>0.99</v>
      </c>
      <c r="G676" s="14">
        <v>21.3</v>
      </c>
      <c r="H676" s="14">
        <v>2.16</v>
      </c>
      <c r="I676" s="14" t="s">
        <v>6032</v>
      </c>
      <c r="J676" s="14">
        <v>52.94</v>
      </c>
      <c r="K676" s="14">
        <v>1.86</v>
      </c>
      <c r="L676" s="14">
        <v>0.0</v>
      </c>
    </row>
    <row r="677">
      <c r="A677" s="14">
        <v>633.0</v>
      </c>
      <c r="B677" s="14">
        <v>7.0</v>
      </c>
      <c r="C677" s="34">
        <v>26.25</v>
      </c>
      <c r="D677" s="36">
        <v>44722.0</v>
      </c>
      <c r="E677" s="24"/>
      <c r="F677" s="14">
        <v>3.75</v>
      </c>
      <c r="G677" s="14">
        <v>41.47</v>
      </c>
      <c r="H677" s="14">
        <v>1.11</v>
      </c>
      <c r="I677" s="14" t="s">
        <v>6033</v>
      </c>
      <c r="J677" s="14">
        <v>128.57</v>
      </c>
      <c r="K677" s="14">
        <v>2.92</v>
      </c>
      <c r="L677" s="14">
        <v>0.0</v>
      </c>
    </row>
    <row r="678">
      <c r="A678" s="14">
        <v>1507.0</v>
      </c>
      <c r="B678" s="14">
        <v>0.0</v>
      </c>
      <c r="C678" s="34">
        <v>80.06</v>
      </c>
      <c r="D678" s="36">
        <v>44722.0</v>
      </c>
      <c r="E678" s="24"/>
      <c r="F678" s="14" t="s">
        <v>6012</v>
      </c>
      <c r="G678" s="14">
        <v>53.13</v>
      </c>
      <c r="H678" s="14">
        <v>0.0</v>
      </c>
      <c r="I678" s="14" t="s">
        <v>6029</v>
      </c>
      <c r="J678" s="14" t="s">
        <v>6012</v>
      </c>
      <c r="K678" s="14">
        <v>26.69</v>
      </c>
      <c r="L678" s="14">
        <v>0.0</v>
      </c>
    </row>
    <row r="679">
      <c r="A679" s="14">
        <v>2483.0</v>
      </c>
      <c r="B679" s="14">
        <v>11.0</v>
      </c>
      <c r="C679" s="34">
        <v>22.44</v>
      </c>
      <c r="D679" s="36">
        <v>44722.0</v>
      </c>
      <c r="E679" s="24"/>
      <c r="F679" s="14">
        <v>2.04</v>
      </c>
      <c r="G679" s="14">
        <v>9.04</v>
      </c>
      <c r="H679" s="14">
        <v>0.44</v>
      </c>
      <c r="I679" s="14" t="s">
        <v>6022</v>
      </c>
      <c r="J679" s="14">
        <v>281.82</v>
      </c>
      <c r="K679" s="14">
        <v>0.72</v>
      </c>
      <c r="L679" s="14">
        <v>0.0</v>
      </c>
    </row>
    <row r="680">
      <c r="A680" s="14">
        <v>388.0</v>
      </c>
      <c r="B680" s="14">
        <v>6.0</v>
      </c>
      <c r="C680" s="34">
        <v>28.71</v>
      </c>
      <c r="D680" s="36">
        <v>44722.0</v>
      </c>
      <c r="E680" s="24"/>
      <c r="F680" s="14">
        <v>4.78</v>
      </c>
      <c r="G680" s="14">
        <v>73.99</v>
      </c>
      <c r="H680" s="14">
        <v>1.55</v>
      </c>
      <c r="I680" s="14" t="s">
        <v>6039</v>
      </c>
      <c r="J680" s="14">
        <v>16.67</v>
      </c>
      <c r="K680" s="14">
        <v>28.71</v>
      </c>
      <c r="L680" s="14">
        <v>0.0</v>
      </c>
    </row>
    <row r="681">
      <c r="A681" s="14">
        <v>909.0</v>
      </c>
      <c r="B681" s="14">
        <v>2.0</v>
      </c>
      <c r="C681" s="34">
        <v>44.91</v>
      </c>
      <c r="D681" s="36">
        <v>44722.0</v>
      </c>
      <c r="E681" s="24"/>
      <c r="F681" s="14">
        <v>22.46</v>
      </c>
      <c r="G681" s="14">
        <v>49.41</v>
      </c>
      <c r="H681" s="14">
        <v>0.22</v>
      </c>
      <c r="I681" s="14" t="s">
        <v>6038</v>
      </c>
      <c r="J681" s="14">
        <v>150.0</v>
      </c>
      <c r="K681" s="14">
        <v>14.97</v>
      </c>
      <c r="L681" s="14">
        <v>0.0</v>
      </c>
    </row>
    <row r="682">
      <c r="A682" s="14">
        <v>419.0</v>
      </c>
      <c r="B682" s="14">
        <v>4.0</v>
      </c>
      <c r="C682" s="34">
        <v>9.6</v>
      </c>
      <c r="D682" s="36">
        <v>44722.0</v>
      </c>
      <c r="E682" s="24"/>
      <c r="F682" s="14">
        <v>2.4</v>
      </c>
      <c r="G682" s="14">
        <v>22.91</v>
      </c>
      <c r="H682" s="14">
        <v>0.95</v>
      </c>
      <c r="I682" s="14" t="s">
        <v>6037</v>
      </c>
      <c r="J682" s="14">
        <v>50.0</v>
      </c>
      <c r="K682" s="14">
        <v>4.8</v>
      </c>
      <c r="L682" s="14">
        <v>0.0</v>
      </c>
    </row>
    <row r="683">
      <c r="A683" s="14">
        <v>743.0</v>
      </c>
      <c r="B683" s="14">
        <v>15.0</v>
      </c>
      <c r="C683" s="34">
        <v>8.88</v>
      </c>
      <c r="D683" s="36">
        <v>44722.0</v>
      </c>
      <c r="E683" s="24"/>
      <c r="F683" s="14">
        <v>0.59</v>
      </c>
      <c r="G683" s="14">
        <v>11.95</v>
      </c>
      <c r="H683" s="14">
        <v>2.02</v>
      </c>
      <c r="I683" s="14" t="s">
        <v>6024</v>
      </c>
      <c r="J683" s="14">
        <v>86.67</v>
      </c>
      <c r="K683" s="14">
        <v>0.68</v>
      </c>
      <c r="L683" s="14">
        <v>0.0</v>
      </c>
    </row>
    <row r="684">
      <c r="A684" s="14">
        <v>720.0</v>
      </c>
      <c r="B684" s="14">
        <v>8.0</v>
      </c>
      <c r="C684" s="34">
        <v>22.28</v>
      </c>
      <c r="D684" s="36">
        <v>44722.0</v>
      </c>
      <c r="E684" s="24"/>
      <c r="F684" s="14">
        <v>2.78</v>
      </c>
      <c r="G684" s="14">
        <v>30.94</v>
      </c>
      <c r="H684" s="14">
        <v>1.11</v>
      </c>
      <c r="I684" s="14" t="s">
        <v>6026</v>
      </c>
      <c r="J684" s="14">
        <v>25.0</v>
      </c>
      <c r="K684" s="14">
        <v>11.14</v>
      </c>
      <c r="L684" s="14">
        <v>0.0</v>
      </c>
    </row>
    <row r="685">
      <c r="A685" s="14">
        <v>956.0</v>
      </c>
      <c r="B685" s="14">
        <v>12.0</v>
      </c>
      <c r="C685" s="34">
        <v>82.58</v>
      </c>
      <c r="D685" s="36">
        <v>44722.0</v>
      </c>
      <c r="E685" s="24"/>
      <c r="F685" s="14">
        <v>6.88</v>
      </c>
      <c r="G685" s="14">
        <v>86.38</v>
      </c>
      <c r="H685" s="14">
        <v>1.26</v>
      </c>
      <c r="I685" s="14" t="s">
        <v>6027</v>
      </c>
      <c r="J685" s="14">
        <v>33.33</v>
      </c>
      <c r="K685" s="14">
        <v>20.64</v>
      </c>
      <c r="L685" s="14">
        <v>0.0</v>
      </c>
    </row>
    <row r="686">
      <c r="A686" s="14">
        <v>1134.0</v>
      </c>
      <c r="B686" s="14">
        <v>3.0</v>
      </c>
      <c r="C686" s="34">
        <v>58.44</v>
      </c>
      <c r="D686" s="36">
        <v>44722.0</v>
      </c>
      <c r="E686" s="24"/>
      <c r="F686" s="14">
        <v>19.48</v>
      </c>
      <c r="G686" s="14">
        <v>51.53</v>
      </c>
      <c r="H686" s="14">
        <v>0.26</v>
      </c>
      <c r="I686" s="14" t="s">
        <v>6031</v>
      </c>
      <c r="J686" s="14">
        <v>100.0</v>
      </c>
      <c r="K686" s="14">
        <v>19.48</v>
      </c>
      <c r="L686" s="14">
        <v>0.0</v>
      </c>
    </row>
    <row r="687">
      <c r="A687" s="14">
        <v>736.0</v>
      </c>
      <c r="B687" s="14">
        <v>0.0</v>
      </c>
      <c r="C687" s="34">
        <v>45.25</v>
      </c>
      <c r="D687" s="36">
        <v>44722.0</v>
      </c>
      <c r="E687" s="24"/>
      <c r="F687" s="14" t="s">
        <v>6012</v>
      </c>
      <c r="G687" s="14">
        <v>61.48</v>
      </c>
      <c r="H687" s="14">
        <v>0.0</v>
      </c>
      <c r="I687" s="14" t="s">
        <v>6035</v>
      </c>
      <c r="J687" s="14" t="s">
        <v>6012</v>
      </c>
      <c r="K687" s="14">
        <v>45.25</v>
      </c>
      <c r="L687" s="14">
        <v>0.0</v>
      </c>
    </row>
    <row r="688">
      <c r="A688" s="14">
        <v>900.0</v>
      </c>
      <c r="B688" s="14">
        <v>3.0</v>
      </c>
      <c r="C688" s="34">
        <v>62.32</v>
      </c>
      <c r="D688" s="36">
        <v>44722.0</v>
      </c>
      <c r="E688" s="24"/>
      <c r="F688" s="14">
        <v>20.77</v>
      </c>
      <c r="G688" s="14">
        <v>69.24</v>
      </c>
      <c r="H688" s="14">
        <v>0.33</v>
      </c>
      <c r="I688" s="14" t="s">
        <v>6034</v>
      </c>
      <c r="J688" s="14">
        <v>33.33</v>
      </c>
      <c r="K688" s="14">
        <v>62.32</v>
      </c>
      <c r="L688" s="14">
        <v>0.0</v>
      </c>
    </row>
    <row r="689">
      <c r="A689" s="14">
        <v>1272.0</v>
      </c>
      <c r="B689" s="14">
        <v>7.0</v>
      </c>
      <c r="C689" s="34">
        <v>10.51</v>
      </c>
      <c r="D689" s="36">
        <v>44723.0</v>
      </c>
      <c r="E689" s="24"/>
      <c r="F689" s="14">
        <v>1.5</v>
      </c>
      <c r="G689" s="14">
        <v>8.26</v>
      </c>
      <c r="H689" s="14">
        <v>0.55</v>
      </c>
      <c r="I689" s="14" t="s">
        <v>6022</v>
      </c>
      <c r="J689" s="14">
        <v>171.43</v>
      </c>
      <c r="K689" s="14">
        <v>0.88</v>
      </c>
      <c r="L689" s="14">
        <v>0.0</v>
      </c>
    </row>
    <row r="690">
      <c r="A690" s="14">
        <v>2084.0</v>
      </c>
      <c r="B690" s="14">
        <v>24.0</v>
      </c>
      <c r="C690" s="34">
        <v>34.28</v>
      </c>
      <c r="D690" s="36">
        <v>44723.0</v>
      </c>
      <c r="E690" s="24"/>
      <c r="F690" s="14">
        <v>1.43</v>
      </c>
      <c r="G690" s="14">
        <v>16.45</v>
      </c>
      <c r="H690" s="14">
        <v>1.15</v>
      </c>
      <c r="I690" s="14" t="s">
        <v>6024</v>
      </c>
      <c r="J690" s="14">
        <v>108.33</v>
      </c>
      <c r="K690" s="14">
        <v>1.32</v>
      </c>
      <c r="L690" s="14">
        <v>0.0</v>
      </c>
    </row>
    <row r="691">
      <c r="A691" s="14">
        <v>1065.0</v>
      </c>
      <c r="B691" s="14">
        <v>12.0</v>
      </c>
      <c r="C691" s="34">
        <v>45.0</v>
      </c>
      <c r="D691" s="36">
        <v>44723.0</v>
      </c>
      <c r="E691" s="24"/>
      <c r="F691" s="14">
        <v>3.75</v>
      </c>
      <c r="G691" s="14">
        <v>42.25</v>
      </c>
      <c r="H691" s="14">
        <v>1.13</v>
      </c>
      <c r="I691" s="14" t="s">
        <v>6037</v>
      </c>
      <c r="J691" s="14">
        <v>50.0</v>
      </c>
      <c r="K691" s="14">
        <v>7.5</v>
      </c>
      <c r="L691" s="14">
        <v>0.0</v>
      </c>
    </row>
    <row r="692">
      <c r="A692" s="14">
        <v>834.0</v>
      </c>
      <c r="B692" s="14">
        <v>8.0</v>
      </c>
      <c r="C692" s="34">
        <v>39.41</v>
      </c>
      <c r="D692" s="36">
        <v>44723.0</v>
      </c>
      <c r="E692" s="24"/>
      <c r="F692" s="14">
        <v>4.93</v>
      </c>
      <c r="G692" s="14">
        <v>47.25</v>
      </c>
      <c r="H692" s="14">
        <v>0.96</v>
      </c>
      <c r="I692" s="14" t="s">
        <v>6036</v>
      </c>
      <c r="J692" s="14">
        <v>187.5</v>
      </c>
      <c r="K692" s="14">
        <v>2.63</v>
      </c>
      <c r="L692" s="14">
        <v>0.0</v>
      </c>
    </row>
    <row r="693">
      <c r="A693" s="14">
        <v>406.0</v>
      </c>
      <c r="B693" s="14">
        <v>0.0</v>
      </c>
      <c r="C693" s="34">
        <v>21.09</v>
      </c>
      <c r="D693" s="36">
        <v>44723.0</v>
      </c>
      <c r="E693" s="24"/>
      <c r="F693" s="14" t="s">
        <v>6012</v>
      </c>
      <c r="G693" s="14">
        <v>51.95</v>
      </c>
      <c r="H693" s="14">
        <v>0.0</v>
      </c>
      <c r="I693" s="14" t="s">
        <v>6038</v>
      </c>
      <c r="J693" s="14" t="s">
        <v>6012</v>
      </c>
      <c r="K693" s="14">
        <v>21.09</v>
      </c>
      <c r="L693" s="14">
        <v>0.0</v>
      </c>
    </row>
    <row r="694">
      <c r="A694" s="14">
        <v>486.0</v>
      </c>
      <c r="B694" s="14">
        <v>4.0</v>
      </c>
      <c r="C694" s="34">
        <v>39.53</v>
      </c>
      <c r="D694" s="36">
        <v>44723.0</v>
      </c>
      <c r="E694" s="24"/>
      <c r="F694" s="14">
        <v>9.88</v>
      </c>
      <c r="G694" s="14">
        <v>81.34</v>
      </c>
      <c r="H694" s="14">
        <v>0.82</v>
      </c>
      <c r="I694" s="14" t="s">
        <v>6027</v>
      </c>
      <c r="J694" s="14">
        <v>25.0</v>
      </c>
      <c r="K694" s="14">
        <v>39.53</v>
      </c>
      <c r="L694" s="14">
        <v>0.0</v>
      </c>
    </row>
    <row r="695">
      <c r="A695" s="14">
        <v>1411.0</v>
      </c>
      <c r="B695" s="14">
        <v>8.0</v>
      </c>
      <c r="C695" s="34">
        <v>42.07</v>
      </c>
      <c r="D695" s="36">
        <v>44723.0</v>
      </c>
      <c r="E695" s="24"/>
      <c r="F695" s="14">
        <v>5.26</v>
      </c>
      <c r="G695" s="14">
        <v>29.82</v>
      </c>
      <c r="H695" s="14">
        <v>0.57</v>
      </c>
      <c r="I695" s="14" t="s">
        <v>6031</v>
      </c>
      <c r="J695" s="14">
        <v>225.0</v>
      </c>
      <c r="K695" s="14">
        <v>2.34</v>
      </c>
      <c r="L695" s="14">
        <v>0.0</v>
      </c>
    </row>
    <row r="696">
      <c r="A696" s="14">
        <v>866.0</v>
      </c>
      <c r="B696" s="14">
        <v>2.0</v>
      </c>
      <c r="C696" s="34">
        <v>34.05</v>
      </c>
      <c r="D696" s="36">
        <v>44723.0</v>
      </c>
      <c r="E696" s="24"/>
      <c r="F696" s="14">
        <v>17.02</v>
      </c>
      <c r="G696" s="14">
        <v>39.32</v>
      </c>
      <c r="H696" s="14">
        <v>0.23</v>
      </c>
      <c r="I696" s="14" t="s">
        <v>6035</v>
      </c>
      <c r="J696" s="14">
        <v>450.0</v>
      </c>
      <c r="K696" s="14">
        <v>3.78</v>
      </c>
      <c r="L696" s="14">
        <v>0.0</v>
      </c>
    </row>
    <row r="697">
      <c r="A697" s="14">
        <v>629.0</v>
      </c>
      <c r="B697" s="14">
        <v>10.0</v>
      </c>
      <c r="C697" s="34">
        <v>19.21</v>
      </c>
      <c r="D697" s="36">
        <v>44723.0</v>
      </c>
      <c r="E697" s="24"/>
      <c r="F697" s="14">
        <v>1.92</v>
      </c>
      <c r="G697" s="14">
        <v>30.54</v>
      </c>
      <c r="H697" s="14">
        <v>1.59</v>
      </c>
      <c r="I697" s="14" t="s">
        <v>6028</v>
      </c>
      <c r="J697" s="14">
        <v>90.0</v>
      </c>
      <c r="K697" s="14">
        <v>2.13</v>
      </c>
      <c r="L697" s="14">
        <v>0.0</v>
      </c>
    </row>
    <row r="698">
      <c r="A698" s="14">
        <v>406.0</v>
      </c>
      <c r="B698" s="14">
        <v>3.0</v>
      </c>
      <c r="C698" s="34">
        <v>30.46</v>
      </c>
      <c r="D698" s="36">
        <v>44723.0</v>
      </c>
      <c r="E698" s="24"/>
      <c r="F698" s="14">
        <v>10.15</v>
      </c>
      <c r="G698" s="14">
        <v>75.02</v>
      </c>
      <c r="H698" s="14">
        <v>0.74</v>
      </c>
      <c r="I698" s="14" t="s">
        <v>6034</v>
      </c>
      <c r="J698" s="14">
        <v>233.33</v>
      </c>
      <c r="K698" s="14">
        <v>4.35</v>
      </c>
      <c r="L698" s="14">
        <v>0.0</v>
      </c>
    </row>
    <row r="699">
      <c r="A699" s="14">
        <v>926.0</v>
      </c>
      <c r="B699" s="14">
        <v>4.0</v>
      </c>
      <c r="C699" s="34">
        <v>17.9</v>
      </c>
      <c r="D699" s="36">
        <v>44723.0</v>
      </c>
      <c r="E699" s="24"/>
      <c r="F699" s="14">
        <v>4.47</v>
      </c>
      <c r="G699" s="14">
        <v>19.33</v>
      </c>
      <c r="H699" s="14">
        <v>0.43</v>
      </c>
      <c r="I699" s="14" t="s">
        <v>6033</v>
      </c>
      <c r="J699" s="14">
        <v>125.0</v>
      </c>
      <c r="K699" s="14">
        <v>3.58</v>
      </c>
      <c r="L699" s="14">
        <v>0.0</v>
      </c>
    </row>
    <row r="700">
      <c r="A700" s="14">
        <v>833.0</v>
      </c>
      <c r="B700" s="14">
        <v>2.0</v>
      </c>
      <c r="C700" s="34">
        <v>38.19</v>
      </c>
      <c r="D700" s="36">
        <v>44723.0</v>
      </c>
      <c r="E700" s="24"/>
      <c r="F700" s="14">
        <v>19.1</v>
      </c>
      <c r="G700" s="14">
        <v>45.85</v>
      </c>
      <c r="H700" s="14">
        <v>0.24</v>
      </c>
      <c r="I700" s="14" t="s">
        <v>6029</v>
      </c>
      <c r="J700" s="14">
        <v>50.0</v>
      </c>
      <c r="K700" s="14">
        <v>38.19</v>
      </c>
      <c r="L700" s="14">
        <v>0.0</v>
      </c>
    </row>
    <row r="701">
      <c r="A701" s="14">
        <v>1807.0</v>
      </c>
      <c r="B701" s="14">
        <v>41.0</v>
      </c>
      <c r="C701" s="34">
        <v>75.0</v>
      </c>
      <c r="D701" s="36">
        <v>44723.0</v>
      </c>
      <c r="E701" s="24"/>
      <c r="F701" s="14">
        <v>1.83</v>
      </c>
      <c r="G701" s="14">
        <v>41.51</v>
      </c>
      <c r="H701" s="14">
        <v>2.27</v>
      </c>
      <c r="I701" s="14" t="s">
        <v>6032</v>
      </c>
      <c r="J701" s="14">
        <v>29.27</v>
      </c>
      <c r="K701" s="14">
        <v>6.25</v>
      </c>
      <c r="L701" s="14">
        <v>0.0</v>
      </c>
    </row>
    <row r="702">
      <c r="A702" s="14">
        <v>867.0</v>
      </c>
      <c r="B702" s="14">
        <v>2.0</v>
      </c>
      <c r="C702" s="34">
        <v>29.02</v>
      </c>
      <c r="D702" s="36">
        <v>44723.0</v>
      </c>
      <c r="E702" s="24"/>
      <c r="F702" s="14">
        <v>14.51</v>
      </c>
      <c r="G702" s="14">
        <v>33.47</v>
      </c>
      <c r="H702" s="14">
        <v>0.23</v>
      </c>
      <c r="I702" s="14" t="s">
        <v>6030</v>
      </c>
      <c r="J702" s="14">
        <v>450.0</v>
      </c>
      <c r="K702" s="14">
        <v>3.22</v>
      </c>
      <c r="L702" s="14">
        <v>0.0</v>
      </c>
    </row>
    <row r="703">
      <c r="A703" s="14">
        <v>548.0</v>
      </c>
      <c r="B703" s="14">
        <v>4.0</v>
      </c>
      <c r="C703" s="34">
        <v>11.2</v>
      </c>
      <c r="D703" s="36">
        <v>44723.0</v>
      </c>
      <c r="E703" s="24"/>
      <c r="F703" s="14">
        <v>2.8</v>
      </c>
      <c r="G703" s="14">
        <v>20.44</v>
      </c>
      <c r="H703" s="14">
        <v>0.73</v>
      </c>
      <c r="I703" s="14" t="s">
        <v>6026</v>
      </c>
      <c r="J703" s="14">
        <v>50.0</v>
      </c>
      <c r="K703" s="14">
        <v>5.6</v>
      </c>
      <c r="L703" s="14">
        <v>0.0</v>
      </c>
    </row>
    <row r="704">
      <c r="A704" s="14">
        <v>709.0</v>
      </c>
      <c r="B704" s="14">
        <v>13.0</v>
      </c>
      <c r="C704" s="34">
        <v>54.45</v>
      </c>
      <c r="D704" s="36">
        <v>44723.0</v>
      </c>
      <c r="E704" s="24"/>
      <c r="F704" s="14">
        <v>4.19</v>
      </c>
      <c r="G704" s="14">
        <v>76.8</v>
      </c>
      <c r="H704" s="14">
        <v>1.83</v>
      </c>
      <c r="I704" s="14" t="s">
        <v>6039</v>
      </c>
      <c r="J704" s="14">
        <v>38.46</v>
      </c>
      <c r="K704" s="14">
        <v>10.89</v>
      </c>
      <c r="L704" s="14">
        <v>0.0</v>
      </c>
    </row>
    <row r="705">
      <c r="A705" s="14">
        <v>1298.0</v>
      </c>
      <c r="B705" s="14">
        <v>15.0</v>
      </c>
      <c r="C705" s="34">
        <v>50.99</v>
      </c>
      <c r="D705" s="36">
        <v>44723.0</v>
      </c>
      <c r="E705" s="24"/>
      <c r="F705" s="14">
        <v>3.4</v>
      </c>
      <c r="G705" s="14">
        <v>39.28</v>
      </c>
      <c r="H705" s="14">
        <v>1.16</v>
      </c>
      <c r="I705" s="14" t="s">
        <v>6040</v>
      </c>
      <c r="J705" s="14">
        <v>6.67</v>
      </c>
      <c r="K705" s="14">
        <v>50.99</v>
      </c>
      <c r="L705" s="14">
        <v>0.0</v>
      </c>
    </row>
    <row r="706">
      <c r="A706" s="14">
        <v>1212.0</v>
      </c>
      <c r="B706" s="14">
        <v>14.0</v>
      </c>
      <c r="C706" s="34">
        <v>50.95</v>
      </c>
      <c r="D706" s="36">
        <v>44723.0</v>
      </c>
      <c r="E706" s="24"/>
      <c r="F706" s="14">
        <v>3.64</v>
      </c>
      <c r="G706" s="14">
        <v>42.04</v>
      </c>
      <c r="H706" s="14">
        <v>1.16</v>
      </c>
      <c r="I706" s="14" t="s">
        <v>6041</v>
      </c>
      <c r="J706" s="14">
        <v>0.0</v>
      </c>
      <c r="K706" s="14" t="s">
        <v>6012</v>
      </c>
      <c r="L706" s="14">
        <v>0.0</v>
      </c>
    </row>
    <row r="707">
      <c r="A707" s="14">
        <v>331.0</v>
      </c>
      <c r="B707" s="14">
        <v>7.0</v>
      </c>
      <c r="C707" s="34">
        <v>27.85</v>
      </c>
      <c r="D707" s="36">
        <v>44724.0</v>
      </c>
      <c r="E707" s="24"/>
      <c r="F707" s="14">
        <v>3.98</v>
      </c>
      <c r="G707" s="14">
        <v>84.14</v>
      </c>
      <c r="H707" s="14">
        <v>2.11</v>
      </c>
      <c r="I707" s="14" t="s">
        <v>6034</v>
      </c>
      <c r="J707" s="14">
        <v>42.86</v>
      </c>
      <c r="K707" s="14">
        <v>9.28</v>
      </c>
      <c r="L707" s="14">
        <v>0.0</v>
      </c>
    </row>
    <row r="708">
      <c r="A708" s="14">
        <v>525.0</v>
      </c>
      <c r="B708" s="14">
        <v>10.0</v>
      </c>
      <c r="C708" s="34">
        <v>36.22</v>
      </c>
      <c r="D708" s="36">
        <v>44724.0</v>
      </c>
      <c r="E708" s="24"/>
      <c r="F708" s="14">
        <v>3.62</v>
      </c>
      <c r="G708" s="14">
        <v>68.99</v>
      </c>
      <c r="H708" s="14">
        <v>1.9</v>
      </c>
      <c r="I708" s="14" t="s">
        <v>6027</v>
      </c>
      <c r="J708" s="14">
        <v>60.0</v>
      </c>
      <c r="K708" s="14">
        <v>6.04</v>
      </c>
      <c r="L708" s="14">
        <v>0.0</v>
      </c>
    </row>
    <row r="709">
      <c r="A709" s="14">
        <v>1026.0</v>
      </c>
      <c r="B709" s="14">
        <v>8.0</v>
      </c>
      <c r="C709" s="34">
        <v>40.52</v>
      </c>
      <c r="D709" s="36">
        <v>44724.0</v>
      </c>
      <c r="E709" s="24"/>
      <c r="F709" s="14">
        <v>5.07</v>
      </c>
      <c r="G709" s="14">
        <v>39.49</v>
      </c>
      <c r="H709" s="14">
        <v>0.78</v>
      </c>
      <c r="I709" s="14" t="s">
        <v>6036</v>
      </c>
      <c r="J709" s="14">
        <v>50.0</v>
      </c>
      <c r="K709" s="14">
        <v>10.13</v>
      </c>
      <c r="L709" s="14">
        <v>0.0</v>
      </c>
    </row>
    <row r="710">
      <c r="A710" s="14">
        <v>2812.0</v>
      </c>
      <c r="B710" s="14">
        <v>14.0</v>
      </c>
      <c r="C710" s="34">
        <v>34.33</v>
      </c>
      <c r="D710" s="36">
        <v>44724.0</v>
      </c>
      <c r="E710" s="24"/>
      <c r="F710" s="14">
        <v>2.45</v>
      </c>
      <c r="G710" s="14">
        <v>12.21</v>
      </c>
      <c r="H710" s="14">
        <v>0.5</v>
      </c>
      <c r="I710" s="14" t="s">
        <v>6024</v>
      </c>
      <c r="J710" s="14">
        <v>100.0</v>
      </c>
      <c r="K710" s="14">
        <v>2.45</v>
      </c>
      <c r="L710" s="14">
        <v>0.0</v>
      </c>
    </row>
    <row r="711">
      <c r="A711" s="14">
        <v>934.0</v>
      </c>
      <c r="B711" s="14">
        <v>3.0</v>
      </c>
      <c r="C711" s="34">
        <v>17.42</v>
      </c>
      <c r="D711" s="36">
        <v>44724.0</v>
      </c>
      <c r="E711" s="24"/>
      <c r="F711" s="14">
        <v>5.81</v>
      </c>
      <c r="G711" s="14">
        <v>18.65</v>
      </c>
      <c r="H711" s="14">
        <v>0.32</v>
      </c>
      <c r="I711" s="14" t="s">
        <v>6033</v>
      </c>
      <c r="J711" s="14">
        <v>300.0</v>
      </c>
      <c r="K711" s="14">
        <v>1.94</v>
      </c>
      <c r="L711" s="14">
        <v>0.0</v>
      </c>
    </row>
    <row r="712">
      <c r="A712" s="14">
        <v>1254.0</v>
      </c>
      <c r="B712" s="14">
        <v>3.0</v>
      </c>
      <c r="C712" s="34">
        <v>9.37</v>
      </c>
      <c r="D712" s="36">
        <v>44724.0</v>
      </c>
      <c r="E712" s="24"/>
      <c r="F712" s="14">
        <v>3.12</v>
      </c>
      <c r="G712" s="14">
        <v>7.47</v>
      </c>
      <c r="H712" s="14">
        <v>0.24</v>
      </c>
      <c r="I712" s="14" t="s">
        <v>6022</v>
      </c>
      <c r="J712" s="14">
        <v>233.33</v>
      </c>
      <c r="K712" s="14">
        <v>1.34</v>
      </c>
      <c r="L712" s="14">
        <v>0.0</v>
      </c>
    </row>
    <row r="713">
      <c r="A713" s="14">
        <v>1293.0</v>
      </c>
      <c r="B713" s="14">
        <v>11.0</v>
      </c>
      <c r="C713" s="34">
        <v>49.05</v>
      </c>
      <c r="D713" s="36">
        <v>44724.0</v>
      </c>
      <c r="E713" s="24"/>
      <c r="F713" s="14">
        <v>4.46</v>
      </c>
      <c r="G713" s="14">
        <v>37.94</v>
      </c>
      <c r="H713" s="14">
        <v>0.85</v>
      </c>
      <c r="I713" s="14" t="s">
        <v>6041</v>
      </c>
      <c r="J713" s="14">
        <v>18.18</v>
      </c>
      <c r="K713" s="14">
        <v>24.52</v>
      </c>
      <c r="L713" s="14">
        <v>0.0</v>
      </c>
    </row>
    <row r="714">
      <c r="A714" s="14">
        <v>1721.0</v>
      </c>
      <c r="B714" s="14">
        <v>6.0</v>
      </c>
      <c r="C714" s="34">
        <v>38.38</v>
      </c>
      <c r="D714" s="36">
        <v>44724.0</v>
      </c>
      <c r="E714" s="24"/>
      <c r="F714" s="14">
        <v>6.4</v>
      </c>
      <c r="G714" s="14">
        <v>22.3</v>
      </c>
      <c r="H714" s="14">
        <v>0.35</v>
      </c>
      <c r="I714" s="14" t="s">
        <v>6031</v>
      </c>
      <c r="J714" s="14">
        <v>183.33</v>
      </c>
      <c r="K714" s="14">
        <v>3.49</v>
      </c>
      <c r="L714" s="14">
        <v>0.0</v>
      </c>
    </row>
    <row r="715">
      <c r="A715" s="14">
        <v>708.0</v>
      </c>
      <c r="B715" s="14">
        <v>12.0</v>
      </c>
      <c r="C715" s="34">
        <v>18.96</v>
      </c>
      <c r="D715" s="36">
        <v>44724.0</v>
      </c>
      <c r="E715" s="24"/>
      <c r="F715" s="14">
        <v>1.58</v>
      </c>
      <c r="G715" s="14">
        <v>26.78</v>
      </c>
      <c r="H715" s="14">
        <v>1.69</v>
      </c>
      <c r="I715" s="14" t="s">
        <v>6028</v>
      </c>
      <c r="J715" s="14">
        <v>50.0</v>
      </c>
      <c r="K715" s="14">
        <v>3.16</v>
      </c>
      <c r="L715" s="14">
        <v>0.0</v>
      </c>
    </row>
    <row r="716">
      <c r="A716" s="14">
        <v>437.0</v>
      </c>
      <c r="B716" s="14">
        <v>6.0</v>
      </c>
      <c r="C716" s="34">
        <v>10.1</v>
      </c>
      <c r="D716" s="36">
        <v>44724.0</v>
      </c>
      <c r="E716" s="24"/>
      <c r="F716" s="14">
        <v>1.68</v>
      </c>
      <c r="G716" s="14">
        <v>23.11</v>
      </c>
      <c r="H716" s="14">
        <v>1.37</v>
      </c>
      <c r="I716" s="14" t="s">
        <v>6026</v>
      </c>
      <c r="J716" s="14">
        <v>16.67</v>
      </c>
      <c r="K716" s="14">
        <v>10.1</v>
      </c>
      <c r="L716" s="14">
        <v>0.0</v>
      </c>
    </row>
    <row r="717">
      <c r="A717" s="14">
        <v>1034.0</v>
      </c>
      <c r="B717" s="14">
        <v>5.0</v>
      </c>
      <c r="C717" s="34">
        <v>31.04</v>
      </c>
      <c r="D717" s="36">
        <v>44724.0</v>
      </c>
      <c r="E717" s="24"/>
      <c r="F717" s="14">
        <v>6.21</v>
      </c>
      <c r="G717" s="14">
        <v>30.02</v>
      </c>
      <c r="H717" s="14">
        <v>0.48</v>
      </c>
      <c r="I717" s="14" t="s">
        <v>6035</v>
      </c>
      <c r="J717" s="14">
        <v>140.0</v>
      </c>
      <c r="K717" s="14">
        <v>4.43</v>
      </c>
      <c r="L717" s="14">
        <v>0.0</v>
      </c>
    </row>
    <row r="718">
      <c r="A718" s="14">
        <v>1306.0</v>
      </c>
      <c r="B718" s="14">
        <v>20.0</v>
      </c>
      <c r="C718" s="34">
        <v>45.0</v>
      </c>
      <c r="D718" s="36">
        <v>44724.0</v>
      </c>
      <c r="E718" s="24"/>
      <c r="F718" s="14">
        <v>2.25</v>
      </c>
      <c r="G718" s="14">
        <v>34.46</v>
      </c>
      <c r="H718" s="14">
        <v>1.53</v>
      </c>
      <c r="I718" s="14" t="s">
        <v>6037</v>
      </c>
      <c r="J718" s="14">
        <v>35.0</v>
      </c>
      <c r="K718" s="14">
        <v>6.43</v>
      </c>
      <c r="L718" s="14">
        <v>0.0</v>
      </c>
    </row>
    <row r="719">
      <c r="A719" s="14">
        <v>1712.0</v>
      </c>
      <c r="B719" s="14">
        <v>21.0</v>
      </c>
      <c r="C719" s="34">
        <v>49.01</v>
      </c>
      <c r="D719" s="36">
        <v>44724.0</v>
      </c>
      <c r="E719" s="24"/>
      <c r="F719" s="14">
        <v>2.33</v>
      </c>
      <c r="G719" s="14">
        <v>28.63</v>
      </c>
      <c r="H719" s="14">
        <v>1.23</v>
      </c>
      <c r="I719" s="14" t="s">
        <v>6040</v>
      </c>
      <c r="J719" s="14">
        <v>14.29</v>
      </c>
      <c r="K719" s="14">
        <v>16.34</v>
      </c>
      <c r="L719" s="14">
        <v>0.0</v>
      </c>
    </row>
    <row r="720">
      <c r="A720" s="14">
        <v>863.0</v>
      </c>
      <c r="B720" s="14">
        <v>1.0</v>
      </c>
      <c r="C720" s="34">
        <v>35.01</v>
      </c>
      <c r="D720" s="36">
        <v>44724.0</v>
      </c>
      <c r="E720" s="24"/>
      <c r="F720" s="14">
        <v>35.01</v>
      </c>
      <c r="G720" s="14">
        <v>40.57</v>
      </c>
      <c r="H720" s="14">
        <v>0.12</v>
      </c>
      <c r="I720" s="14" t="s">
        <v>6029</v>
      </c>
      <c r="J720" s="14">
        <v>500.0</v>
      </c>
      <c r="K720" s="14">
        <v>7.0</v>
      </c>
      <c r="L720" s="14">
        <v>0.0</v>
      </c>
    </row>
    <row r="721">
      <c r="A721" s="14">
        <v>2183.0</v>
      </c>
      <c r="B721" s="14">
        <v>23.0</v>
      </c>
      <c r="C721" s="34">
        <v>75.0</v>
      </c>
      <c r="D721" s="36">
        <v>44724.0</v>
      </c>
      <c r="E721" s="24"/>
      <c r="F721" s="14">
        <v>3.26</v>
      </c>
      <c r="G721" s="14">
        <v>34.36</v>
      </c>
      <c r="H721" s="14">
        <v>1.05</v>
      </c>
      <c r="I721" s="14" t="s">
        <v>6032</v>
      </c>
      <c r="J721" s="14">
        <v>52.17</v>
      </c>
      <c r="K721" s="14">
        <v>6.25</v>
      </c>
      <c r="L721" s="14">
        <v>0.0</v>
      </c>
    </row>
    <row r="722">
      <c r="A722" s="14">
        <v>1031.0</v>
      </c>
      <c r="B722" s="14">
        <v>21.0</v>
      </c>
      <c r="C722" s="34">
        <v>60.0</v>
      </c>
      <c r="D722" s="36">
        <v>44724.0</v>
      </c>
      <c r="E722" s="24"/>
      <c r="F722" s="14">
        <v>2.86</v>
      </c>
      <c r="G722" s="14">
        <v>58.2</v>
      </c>
      <c r="H722" s="14">
        <v>2.04</v>
      </c>
      <c r="I722" s="14" t="s">
        <v>6039</v>
      </c>
      <c r="J722" s="14">
        <v>23.81</v>
      </c>
      <c r="K722" s="14">
        <v>12.0</v>
      </c>
      <c r="L722" s="14">
        <v>0.0</v>
      </c>
    </row>
    <row r="723">
      <c r="A723" s="14">
        <v>365.0</v>
      </c>
      <c r="B723" s="14">
        <v>0.0</v>
      </c>
      <c r="C723" s="34">
        <v>19.26</v>
      </c>
      <c r="D723" s="36">
        <v>44724.0</v>
      </c>
      <c r="E723" s="24"/>
      <c r="F723" s="14" t="s">
        <v>6012</v>
      </c>
      <c r="G723" s="14">
        <v>52.77</v>
      </c>
      <c r="H723" s="14">
        <v>0.0</v>
      </c>
      <c r="I723" s="14" t="s">
        <v>6038</v>
      </c>
      <c r="J723" s="14" t="s">
        <v>6012</v>
      </c>
      <c r="K723" s="14">
        <v>19.26</v>
      </c>
      <c r="L723" s="14">
        <v>0.0</v>
      </c>
    </row>
    <row r="724">
      <c r="A724" s="14">
        <v>852.0</v>
      </c>
      <c r="B724" s="14">
        <v>3.0</v>
      </c>
      <c r="C724" s="34">
        <v>29.28</v>
      </c>
      <c r="D724" s="36">
        <v>44724.0</v>
      </c>
      <c r="E724" s="24"/>
      <c r="F724" s="14">
        <v>9.76</v>
      </c>
      <c r="G724" s="14">
        <v>34.37</v>
      </c>
      <c r="H724" s="14">
        <v>0.35</v>
      </c>
      <c r="I724" s="14" t="s">
        <v>6030</v>
      </c>
      <c r="J724" s="14">
        <v>166.67</v>
      </c>
      <c r="K724" s="14">
        <v>5.86</v>
      </c>
      <c r="L724" s="14">
        <v>0.0</v>
      </c>
    </row>
    <row r="725">
      <c r="A725" s="14">
        <v>1065.0</v>
      </c>
      <c r="B725" s="14">
        <v>6.0</v>
      </c>
      <c r="C725" s="34">
        <v>41.14</v>
      </c>
      <c r="D725" s="36">
        <v>44725.0</v>
      </c>
      <c r="E725" s="24"/>
      <c r="F725" s="14">
        <v>6.86</v>
      </c>
      <c r="G725" s="14">
        <v>38.63</v>
      </c>
      <c r="H725" s="14">
        <v>0.56</v>
      </c>
      <c r="I725" s="14" t="s">
        <v>6041</v>
      </c>
      <c r="J725" s="14">
        <v>16.67</v>
      </c>
      <c r="K725" s="14">
        <v>41.14</v>
      </c>
      <c r="L725" s="14">
        <v>0.0</v>
      </c>
    </row>
    <row r="726">
      <c r="A726" s="14">
        <v>924.0</v>
      </c>
      <c r="B726" s="14">
        <v>1.0</v>
      </c>
      <c r="C726" s="34">
        <v>31.89</v>
      </c>
      <c r="D726" s="36">
        <v>44725.0</v>
      </c>
      <c r="E726" s="24"/>
      <c r="F726" s="14">
        <v>31.89</v>
      </c>
      <c r="G726" s="14">
        <v>34.51</v>
      </c>
      <c r="H726" s="14">
        <v>0.11</v>
      </c>
      <c r="I726" s="14" t="s">
        <v>6030</v>
      </c>
      <c r="J726" s="14">
        <v>700.0</v>
      </c>
      <c r="K726" s="14">
        <v>4.56</v>
      </c>
      <c r="L726" s="14">
        <v>0.0</v>
      </c>
    </row>
    <row r="727">
      <c r="A727" s="14">
        <v>1179.0</v>
      </c>
      <c r="B727" s="14">
        <v>1.0</v>
      </c>
      <c r="C727" s="34">
        <v>34.45</v>
      </c>
      <c r="D727" s="36">
        <v>44725.0</v>
      </c>
      <c r="E727" s="24"/>
      <c r="F727" s="14">
        <v>34.45</v>
      </c>
      <c r="G727" s="14">
        <v>29.22</v>
      </c>
      <c r="H727" s="14">
        <v>0.08</v>
      </c>
      <c r="I727" s="14" t="s">
        <v>6035</v>
      </c>
      <c r="J727" s="14">
        <v>1300.0</v>
      </c>
      <c r="K727" s="14">
        <v>2.65</v>
      </c>
      <c r="L727" s="14">
        <v>0.0</v>
      </c>
    </row>
    <row r="728">
      <c r="A728" s="14">
        <v>1218.0</v>
      </c>
      <c r="B728" s="14">
        <v>22.0</v>
      </c>
      <c r="C728" s="34">
        <v>31.35</v>
      </c>
      <c r="D728" s="36">
        <v>44725.0</v>
      </c>
      <c r="E728" s="24"/>
      <c r="F728" s="14">
        <v>1.42</v>
      </c>
      <c r="G728" s="14">
        <v>25.74</v>
      </c>
      <c r="H728" s="14">
        <v>1.81</v>
      </c>
      <c r="I728" s="14" t="s">
        <v>6037</v>
      </c>
      <c r="J728" s="14">
        <v>18.18</v>
      </c>
      <c r="K728" s="14">
        <v>7.84</v>
      </c>
      <c r="L728" s="14">
        <v>0.0</v>
      </c>
    </row>
    <row r="729">
      <c r="A729" s="14">
        <v>565.0</v>
      </c>
      <c r="B729" s="14">
        <v>9.0</v>
      </c>
      <c r="C729" s="34">
        <v>16.55</v>
      </c>
      <c r="D729" s="36">
        <v>44725.0</v>
      </c>
      <c r="E729" s="24"/>
      <c r="F729" s="14">
        <v>1.84</v>
      </c>
      <c r="G729" s="14">
        <v>29.29</v>
      </c>
      <c r="H729" s="14">
        <v>1.59</v>
      </c>
      <c r="I729" s="14" t="s">
        <v>6036</v>
      </c>
      <c r="J729" s="14">
        <v>66.67</v>
      </c>
      <c r="K729" s="14">
        <v>2.76</v>
      </c>
      <c r="L729" s="14">
        <v>0.0</v>
      </c>
    </row>
    <row r="730">
      <c r="A730" s="14">
        <v>992.0</v>
      </c>
      <c r="B730" s="14">
        <v>21.0</v>
      </c>
      <c r="C730" s="34">
        <v>46.74</v>
      </c>
      <c r="D730" s="36">
        <v>44725.0</v>
      </c>
      <c r="E730" s="24"/>
      <c r="F730" s="14">
        <v>2.23</v>
      </c>
      <c r="G730" s="14">
        <v>47.12</v>
      </c>
      <c r="H730" s="14">
        <v>2.12</v>
      </c>
      <c r="I730" s="14" t="s">
        <v>6040</v>
      </c>
      <c r="J730" s="14">
        <v>23.81</v>
      </c>
      <c r="K730" s="14">
        <v>9.35</v>
      </c>
      <c r="L730" s="14">
        <v>0.0</v>
      </c>
    </row>
    <row r="731">
      <c r="A731" s="14">
        <v>554.0</v>
      </c>
      <c r="B731" s="14">
        <v>2.0</v>
      </c>
      <c r="C731" s="34">
        <v>52.21</v>
      </c>
      <c r="D731" s="36">
        <v>44725.0</v>
      </c>
      <c r="E731" s="24"/>
      <c r="F731" s="14">
        <v>26.1</v>
      </c>
      <c r="G731" s="14">
        <v>94.24</v>
      </c>
      <c r="H731" s="14">
        <v>0.36</v>
      </c>
      <c r="I731" s="14" t="s">
        <v>6034</v>
      </c>
      <c r="J731" s="14">
        <v>250.0</v>
      </c>
      <c r="K731" s="14">
        <v>10.44</v>
      </c>
      <c r="L731" s="14">
        <v>0.0</v>
      </c>
    </row>
    <row r="732">
      <c r="A732" s="14">
        <v>1204.0</v>
      </c>
      <c r="B732" s="14">
        <v>3.0</v>
      </c>
      <c r="C732" s="34">
        <v>20.65</v>
      </c>
      <c r="D732" s="36">
        <v>44725.0</v>
      </c>
      <c r="E732" s="24"/>
      <c r="F732" s="14">
        <v>6.88</v>
      </c>
      <c r="G732" s="14">
        <v>17.15</v>
      </c>
      <c r="H732" s="14">
        <v>0.25</v>
      </c>
      <c r="I732" s="14" t="s">
        <v>6033</v>
      </c>
      <c r="J732" s="14">
        <v>133.33</v>
      </c>
      <c r="K732" s="14">
        <v>5.16</v>
      </c>
      <c r="L732" s="14">
        <v>0.0</v>
      </c>
    </row>
    <row r="733">
      <c r="A733" s="14">
        <v>2341.0</v>
      </c>
      <c r="B733" s="14">
        <v>39.0</v>
      </c>
      <c r="C733" s="34">
        <v>24.17</v>
      </c>
      <c r="D733" s="36">
        <v>44725.0</v>
      </c>
      <c r="E733" s="24"/>
      <c r="F733" s="14">
        <v>0.62</v>
      </c>
      <c r="G733" s="14">
        <v>10.32</v>
      </c>
      <c r="H733" s="14">
        <v>1.67</v>
      </c>
      <c r="I733" s="14" t="s">
        <v>6024</v>
      </c>
      <c r="J733" s="14">
        <v>35.9</v>
      </c>
      <c r="K733" s="14">
        <v>1.73</v>
      </c>
      <c r="L733" s="14">
        <v>0.0</v>
      </c>
    </row>
    <row r="734">
      <c r="A734" s="14">
        <v>693.0</v>
      </c>
      <c r="B734" s="14">
        <v>12.0</v>
      </c>
      <c r="C734" s="34">
        <v>55.18</v>
      </c>
      <c r="D734" s="36">
        <v>44725.0</v>
      </c>
      <c r="E734" s="24"/>
      <c r="F734" s="14">
        <v>4.6</v>
      </c>
      <c r="G734" s="14">
        <v>79.62</v>
      </c>
      <c r="H734" s="14">
        <v>1.73</v>
      </c>
      <c r="I734" s="14" t="s">
        <v>6027</v>
      </c>
      <c r="J734" s="14">
        <v>75.0</v>
      </c>
      <c r="K734" s="14">
        <v>6.13</v>
      </c>
      <c r="L734" s="14">
        <v>0.0</v>
      </c>
    </row>
    <row r="735">
      <c r="A735" s="14">
        <v>1309.0</v>
      </c>
      <c r="B735" s="14">
        <v>1.0</v>
      </c>
      <c r="C735" s="34">
        <v>57.93</v>
      </c>
      <c r="D735" s="36">
        <v>44725.0</v>
      </c>
      <c r="E735" s="24"/>
      <c r="F735" s="14">
        <v>57.93</v>
      </c>
      <c r="G735" s="14">
        <v>44.26</v>
      </c>
      <c r="H735" s="14">
        <v>0.08</v>
      </c>
      <c r="I735" s="14" t="s">
        <v>6029</v>
      </c>
      <c r="J735" s="14">
        <v>400.0</v>
      </c>
      <c r="K735" s="14">
        <v>14.48</v>
      </c>
      <c r="L735" s="14">
        <v>0.0</v>
      </c>
    </row>
    <row r="736">
      <c r="A736" s="14">
        <v>2028.0</v>
      </c>
      <c r="B736" s="14">
        <v>15.0</v>
      </c>
      <c r="C736" s="34">
        <v>51.41</v>
      </c>
      <c r="D736" s="36">
        <v>44725.0</v>
      </c>
      <c r="E736" s="24"/>
      <c r="F736" s="14">
        <v>3.43</v>
      </c>
      <c r="G736" s="14">
        <v>25.35</v>
      </c>
      <c r="H736" s="14">
        <v>0.74</v>
      </c>
      <c r="I736" s="14" t="s">
        <v>6032</v>
      </c>
      <c r="J736" s="14">
        <v>40.0</v>
      </c>
      <c r="K736" s="14">
        <v>8.57</v>
      </c>
      <c r="L736" s="14">
        <v>0.0</v>
      </c>
    </row>
    <row r="737">
      <c r="A737" s="14">
        <v>1037.0</v>
      </c>
      <c r="B737" s="14">
        <v>15.0</v>
      </c>
      <c r="C737" s="34">
        <v>21.68</v>
      </c>
      <c r="D737" s="36">
        <v>44725.0</v>
      </c>
      <c r="E737" s="24"/>
      <c r="F737" s="14">
        <v>1.45</v>
      </c>
      <c r="G737" s="14">
        <v>20.91</v>
      </c>
      <c r="H737" s="14">
        <v>1.45</v>
      </c>
      <c r="I737" s="14" t="s">
        <v>6026</v>
      </c>
      <c r="J737" s="14">
        <v>60.0</v>
      </c>
      <c r="K737" s="14">
        <v>2.41</v>
      </c>
      <c r="L737" s="14">
        <v>0.0</v>
      </c>
    </row>
    <row r="738">
      <c r="A738" s="14">
        <v>782.0</v>
      </c>
      <c r="B738" s="14">
        <v>7.0</v>
      </c>
      <c r="C738" s="34">
        <v>42.02</v>
      </c>
      <c r="D738" s="36">
        <v>44725.0</v>
      </c>
      <c r="E738" s="24"/>
      <c r="F738" s="14">
        <v>6.0</v>
      </c>
      <c r="G738" s="14">
        <v>53.73</v>
      </c>
      <c r="H738" s="14">
        <v>0.9</v>
      </c>
      <c r="I738" s="14" t="s">
        <v>6039</v>
      </c>
      <c r="J738" s="14">
        <v>85.71</v>
      </c>
      <c r="K738" s="14">
        <v>7.0</v>
      </c>
      <c r="L738" s="14">
        <v>0.0</v>
      </c>
    </row>
    <row r="739">
      <c r="A739" s="14">
        <v>2669.0</v>
      </c>
      <c r="B739" s="14">
        <v>12.0</v>
      </c>
      <c r="C739" s="34">
        <v>18.3</v>
      </c>
      <c r="D739" s="36">
        <v>44725.0</v>
      </c>
      <c r="E739" s="24"/>
      <c r="F739" s="14">
        <v>1.52</v>
      </c>
      <c r="G739" s="14">
        <v>6.86</v>
      </c>
      <c r="H739" s="14">
        <v>0.45</v>
      </c>
      <c r="I739" s="14" t="s">
        <v>6022</v>
      </c>
      <c r="J739" s="14">
        <v>100.0</v>
      </c>
      <c r="K739" s="14">
        <v>1.52</v>
      </c>
      <c r="L739" s="14">
        <v>0.0</v>
      </c>
    </row>
    <row r="740">
      <c r="A740" s="14">
        <v>647.0</v>
      </c>
      <c r="B740" s="14">
        <v>1.0</v>
      </c>
      <c r="C740" s="34">
        <v>33.51</v>
      </c>
      <c r="D740" s="36">
        <v>44725.0</v>
      </c>
      <c r="E740" s="24"/>
      <c r="F740" s="14">
        <v>33.51</v>
      </c>
      <c r="G740" s="14">
        <v>51.79</v>
      </c>
      <c r="H740" s="14">
        <v>0.15</v>
      </c>
      <c r="I740" s="14" t="s">
        <v>6038</v>
      </c>
      <c r="J740" s="14">
        <v>300.0</v>
      </c>
      <c r="K740" s="14">
        <v>11.17</v>
      </c>
      <c r="L740" s="14">
        <v>0.0</v>
      </c>
    </row>
    <row r="741">
      <c r="A741" s="14">
        <v>2259.0</v>
      </c>
      <c r="B741" s="14">
        <v>11.0</v>
      </c>
      <c r="C741" s="34">
        <v>42.62</v>
      </c>
      <c r="D741" s="36">
        <v>44725.0</v>
      </c>
      <c r="E741" s="24"/>
      <c r="F741" s="14">
        <v>3.87</v>
      </c>
      <c r="G741" s="14">
        <v>18.87</v>
      </c>
      <c r="H741" s="14">
        <v>0.49</v>
      </c>
      <c r="I741" s="14" t="s">
        <v>6031</v>
      </c>
      <c r="J741" s="14">
        <v>172.73</v>
      </c>
      <c r="K741" s="14">
        <v>2.24</v>
      </c>
      <c r="L741" s="14">
        <v>0.0</v>
      </c>
    </row>
    <row r="742">
      <c r="A742" s="14">
        <v>1079.0</v>
      </c>
      <c r="B742" s="14">
        <v>19.0</v>
      </c>
      <c r="C742" s="34">
        <v>37.35</v>
      </c>
      <c r="D742" s="36">
        <v>44725.0</v>
      </c>
      <c r="E742" s="24"/>
      <c r="F742" s="14">
        <v>1.97</v>
      </c>
      <c r="G742" s="14">
        <v>34.62</v>
      </c>
      <c r="H742" s="14">
        <v>1.76</v>
      </c>
      <c r="I742" s="14" t="s">
        <v>6028</v>
      </c>
      <c r="J742" s="14">
        <v>42.11</v>
      </c>
      <c r="K742" s="14">
        <v>4.67</v>
      </c>
      <c r="L742" s="14">
        <v>0.0</v>
      </c>
    </row>
    <row r="743">
      <c r="A743" s="14">
        <v>33.0</v>
      </c>
      <c r="B743" s="14">
        <v>0.0</v>
      </c>
      <c r="C743" s="34">
        <v>1.93</v>
      </c>
      <c r="D743" s="36">
        <v>44726.0</v>
      </c>
      <c r="E743" s="24"/>
      <c r="F743" s="14" t="s">
        <v>6012</v>
      </c>
      <c r="G743" s="14">
        <v>58.48</v>
      </c>
      <c r="H743" s="14">
        <v>0.0</v>
      </c>
      <c r="I743" s="14" t="s">
        <v>6042</v>
      </c>
      <c r="J743" s="14" t="s">
        <v>6012</v>
      </c>
      <c r="K743" s="14" t="s">
        <v>6012</v>
      </c>
      <c r="L743" s="14">
        <v>0.0</v>
      </c>
    </row>
    <row r="744">
      <c r="A744" s="14">
        <v>504.0</v>
      </c>
      <c r="B744" s="14">
        <v>13.0</v>
      </c>
      <c r="C744" s="34">
        <v>11.54</v>
      </c>
      <c r="D744" s="36">
        <v>44726.0</v>
      </c>
      <c r="E744" s="24"/>
      <c r="F744" s="14">
        <v>0.89</v>
      </c>
      <c r="G744" s="14">
        <v>22.9</v>
      </c>
      <c r="H744" s="14">
        <v>2.58</v>
      </c>
      <c r="I744" s="14" t="s">
        <v>6028</v>
      </c>
      <c r="J744" s="14">
        <v>84.62</v>
      </c>
      <c r="K744" s="14">
        <v>1.05</v>
      </c>
      <c r="L744" s="14">
        <v>0.0</v>
      </c>
    </row>
    <row r="745">
      <c r="A745" s="14">
        <v>1336.0</v>
      </c>
      <c r="B745" s="14">
        <v>10.0</v>
      </c>
      <c r="C745" s="34">
        <v>48.16</v>
      </c>
      <c r="D745" s="36">
        <v>44726.0</v>
      </c>
      <c r="E745" s="24"/>
      <c r="F745" s="14">
        <v>4.82</v>
      </c>
      <c r="G745" s="14">
        <v>36.05</v>
      </c>
      <c r="H745" s="14">
        <v>0.75</v>
      </c>
      <c r="I745" s="14" t="s">
        <v>6031</v>
      </c>
      <c r="J745" s="14">
        <v>140.0</v>
      </c>
      <c r="K745" s="14">
        <v>3.44</v>
      </c>
      <c r="L745" s="14">
        <v>0.0</v>
      </c>
    </row>
    <row r="746">
      <c r="A746" s="14">
        <v>197.0</v>
      </c>
      <c r="B746" s="14">
        <v>3.0</v>
      </c>
      <c r="C746" s="34">
        <v>8.98</v>
      </c>
      <c r="D746" s="36">
        <v>44726.0</v>
      </c>
      <c r="E746" s="24"/>
      <c r="F746" s="14">
        <v>2.99</v>
      </c>
      <c r="G746" s="14">
        <v>45.58</v>
      </c>
      <c r="H746" s="14">
        <v>1.52</v>
      </c>
      <c r="I746" s="14" t="s">
        <v>6039</v>
      </c>
      <c r="J746" s="14">
        <v>300.0</v>
      </c>
      <c r="K746" s="14">
        <v>1.0</v>
      </c>
      <c r="L746" s="14">
        <v>0.0</v>
      </c>
    </row>
    <row r="747">
      <c r="A747" s="14">
        <v>723.0</v>
      </c>
      <c r="B747" s="14">
        <v>4.0</v>
      </c>
      <c r="C747" s="34">
        <v>15.71</v>
      </c>
      <c r="D747" s="36">
        <v>44726.0</v>
      </c>
      <c r="E747" s="24"/>
      <c r="F747" s="14">
        <v>3.93</v>
      </c>
      <c r="G747" s="14">
        <v>21.73</v>
      </c>
      <c r="H747" s="14">
        <v>0.55</v>
      </c>
      <c r="I747" s="14" t="s">
        <v>6032</v>
      </c>
      <c r="J747" s="14">
        <v>25.0</v>
      </c>
      <c r="K747" s="14">
        <v>15.71</v>
      </c>
      <c r="L747" s="14">
        <v>0.0</v>
      </c>
    </row>
    <row r="748">
      <c r="A748" s="14">
        <v>1064.0</v>
      </c>
      <c r="B748" s="14">
        <v>13.0</v>
      </c>
      <c r="C748" s="34">
        <v>16.84</v>
      </c>
      <c r="D748" s="36">
        <v>44726.0</v>
      </c>
      <c r="E748" s="24"/>
      <c r="F748" s="14">
        <v>1.3</v>
      </c>
      <c r="G748" s="14">
        <v>15.83</v>
      </c>
      <c r="H748" s="14">
        <v>1.22</v>
      </c>
      <c r="I748" s="14" t="s">
        <v>6026</v>
      </c>
      <c r="J748" s="14">
        <v>76.92</v>
      </c>
      <c r="K748" s="14">
        <v>1.68</v>
      </c>
      <c r="L748" s="14">
        <v>0.0</v>
      </c>
    </row>
    <row r="749">
      <c r="A749" s="14">
        <v>290.0</v>
      </c>
      <c r="B749" s="14">
        <v>7.0</v>
      </c>
      <c r="C749" s="34">
        <v>26.72</v>
      </c>
      <c r="D749" s="36">
        <v>44726.0</v>
      </c>
      <c r="E749" s="24"/>
      <c r="F749" s="14">
        <v>3.82</v>
      </c>
      <c r="G749" s="14">
        <v>92.14</v>
      </c>
      <c r="H749" s="14">
        <v>2.41</v>
      </c>
      <c r="I749" s="14" t="s">
        <v>6038</v>
      </c>
      <c r="J749" s="14">
        <v>142.86</v>
      </c>
      <c r="K749" s="14">
        <v>2.67</v>
      </c>
      <c r="L749" s="14">
        <v>0.0</v>
      </c>
    </row>
    <row r="750">
      <c r="A750" s="14">
        <v>343.0</v>
      </c>
      <c r="B750" s="14">
        <v>4.0</v>
      </c>
      <c r="C750" s="34">
        <v>12.51</v>
      </c>
      <c r="D750" s="36">
        <v>44726.0</v>
      </c>
      <c r="E750" s="24"/>
      <c r="F750" s="14">
        <v>3.13</v>
      </c>
      <c r="G750" s="14">
        <v>36.47</v>
      </c>
      <c r="H750" s="14">
        <v>1.17</v>
      </c>
      <c r="I750" s="14" t="s">
        <v>6037</v>
      </c>
      <c r="J750" s="14">
        <v>25.0</v>
      </c>
      <c r="K750" s="14">
        <v>12.51</v>
      </c>
      <c r="L750" s="14">
        <v>0.0</v>
      </c>
    </row>
    <row r="751">
      <c r="A751" s="14">
        <v>383.0</v>
      </c>
      <c r="B751" s="14">
        <v>3.0</v>
      </c>
      <c r="C751" s="34">
        <v>6.24</v>
      </c>
      <c r="D751" s="36">
        <v>44726.0</v>
      </c>
      <c r="E751" s="24"/>
      <c r="F751" s="14">
        <v>2.08</v>
      </c>
      <c r="G751" s="14">
        <v>16.29</v>
      </c>
      <c r="H751" s="14">
        <v>0.78</v>
      </c>
      <c r="I751" s="14" t="s">
        <v>6033</v>
      </c>
      <c r="J751" s="14">
        <v>33.33</v>
      </c>
      <c r="K751" s="14">
        <v>6.24</v>
      </c>
      <c r="L751" s="14">
        <v>0.0</v>
      </c>
    </row>
    <row r="752">
      <c r="A752" s="14">
        <v>548.0</v>
      </c>
      <c r="B752" s="14">
        <v>5.0</v>
      </c>
      <c r="C752" s="34">
        <v>24.35</v>
      </c>
      <c r="D752" s="36">
        <v>44726.0</v>
      </c>
      <c r="E752" s="24"/>
      <c r="F752" s="14">
        <v>4.87</v>
      </c>
      <c r="G752" s="14">
        <v>44.43</v>
      </c>
      <c r="H752" s="14">
        <v>0.91</v>
      </c>
      <c r="I752" s="14" t="s">
        <v>6040</v>
      </c>
      <c r="J752" s="14">
        <v>20.0</v>
      </c>
      <c r="K752" s="14">
        <v>24.35</v>
      </c>
      <c r="L752" s="14">
        <v>0.0</v>
      </c>
    </row>
    <row r="753">
      <c r="A753" s="14">
        <v>506.0</v>
      </c>
      <c r="B753" s="14">
        <v>4.0</v>
      </c>
      <c r="C753" s="34">
        <v>18.33</v>
      </c>
      <c r="D753" s="36">
        <v>44726.0</v>
      </c>
      <c r="E753" s="24"/>
      <c r="F753" s="14">
        <v>4.58</v>
      </c>
      <c r="G753" s="14">
        <v>36.23</v>
      </c>
      <c r="H753" s="14">
        <v>0.79</v>
      </c>
      <c r="I753" s="14" t="s">
        <v>6041</v>
      </c>
      <c r="J753" s="14">
        <v>0.0</v>
      </c>
      <c r="K753" s="14" t="s">
        <v>6012</v>
      </c>
      <c r="L753" s="14">
        <v>0.0</v>
      </c>
    </row>
    <row r="754">
      <c r="A754" s="14">
        <v>266.0</v>
      </c>
      <c r="B754" s="14">
        <v>0.0</v>
      </c>
      <c r="C754" s="34">
        <v>4.85</v>
      </c>
      <c r="D754" s="36">
        <v>44726.0</v>
      </c>
      <c r="E754" s="24"/>
      <c r="F754" s="14" t="s">
        <v>6012</v>
      </c>
      <c r="G754" s="14">
        <v>18.23</v>
      </c>
      <c r="H754" s="14">
        <v>0.0</v>
      </c>
      <c r="I754" s="14" t="s">
        <v>6030</v>
      </c>
      <c r="J754" s="14" t="s">
        <v>6012</v>
      </c>
      <c r="K754" s="14">
        <v>0.54</v>
      </c>
      <c r="L754" s="14">
        <v>0.0</v>
      </c>
    </row>
    <row r="755">
      <c r="A755" s="14">
        <v>1135.0</v>
      </c>
      <c r="B755" s="14">
        <v>7.0</v>
      </c>
      <c r="C755" s="34">
        <v>58.45</v>
      </c>
      <c r="D755" s="36">
        <v>44726.0</v>
      </c>
      <c r="E755" s="24"/>
      <c r="F755" s="14">
        <v>8.35</v>
      </c>
      <c r="G755" s="14">
        <v>51.5</v>
      </c>
      <c r="H755" s="14">
        <v>0.62</v>
      </c>
      <c r="I755" s="14" t="s">
        <v>6034</v>
      </c>
      <c r="J755" s="14">
        <v>100.0</v>
      </c>
      <c r="K755" s="14">
        <v>8.35</v>
      </c>
      <c r="L755" s="14">
        <v>0.0</v>
      </c>
    </row>
    <row r="756">
      <c r="A756" s="14">
        <v>678.0</v>
      </c>
      <c r="B756" s="14">
        <v>18.0</v>
      </c>
      <c r="C756" s="34">
        <v>51.51</v>
      </c>
      <c r="D756" s="36">
        <v>44726.0</v>
      </c>
      <c r="E756" s="24"/>
      <c r="F756" s="14">
        <v>2.86</v>
      </c>
      <c r="G756" s="14">
        <v>75.97</v>
      </c>
      <c r="H756" s="14">
        <v>2.65</v>
      </c>
      <c r="I756" s="14" t="s">
        <v>6027</v>
      </c>
      <c r="J756" s="14">
        <v>72.22</v>
      </c>
      <c r="K756" s="14">
        <v>3.96</v>
      </c>
      <c r="L756" s="14">
        <v>0.0</v>
      </c>
    </row>
    <row r="757">
      <c r="A757" s="14">
        <v>514.0</v>
      </c>
      <c r="B757" s="14">
        <v>7.0</v>
      </c>
      <c r="C757" s="34">
        <v>6.01</v>
      </c>
      <c r="D757" s="36">
        <v>44726.0</v>
      </c>
      <c r="E757" s="24"/>
      <c r="F757" s="14">
        <v>0.86</v>
      </c>
      <c r="G757" s="14">
        <v>11.69</v>
      </c>
      <c r="H757" s="14">
        <v>1.36</v>
      </c>
      <c r="I757" s="14" t="s">
        <v>6024</v>
      </c>
      <c r="J757" s="14">
        <v>114.29</v>
      </c>
      <c r="K757" s="14">
        <v>0.75</v>
      </c>
      <c r="L757" s="14">
        <v>0.0</v>
      </c>
    </row>
    <row r="758">
      <c r="A758" s="14">
        <v>580.0</v>
      </c>
      <c r="B758" s="14">
        <v>2.0</v>
      </c>
      <c r="C758" s="34">
        <v>30.41</v>
      </c>
      <c r="D758" s="36">
        <v>44726.0</v>
      </c>
      <c r="E758" s="24"/>
      <c r="F758" s="14">
        <v>15.2</v>
      </c>
      <c r="G758" s="14">
        <v>52.43</v>
      </c>
      <c r="H758" s="14">
        <v>0.34</v>
      </c>
      <c r="I758" s="14" t="s">
        <v>6035</v>
      </c>
      <c r="J758" s="14">
        <v>400.0</v>
      </c>
      <c r="K758" s="14">
        <v>3.8</v>
      </c>
      <c r="L758" s="14">
        <v>0.0</v>
      </c>
    </row>
    <row r="759">
      <c r="A759" s="14">
        <v>816.0</v>
      </c>
      <c r="B759" s="14">
        <v>0.0</v>
      </c>
      <c r="C759" s="34">
        <v>51.56</v>
      </c>
      <c r="D759" s="36">
        <v>44726.0</v>
      </c>
      <c r="E759" s="24"/>
      <c r="F759" s="14" t="s">
        <v>6012</v>
      </c>
      <c r="G759" s="14">
        <v>63.19</v>
      </c>
      <c r="H759" s="14">
        <v>0.0</v>
      </c>
      <c r="I759" s="14" t="s">
        <v>6029</v>
      </c>
      <c r="J759" s="14" t="s">
        <v>6012</v>
      </c>
      <c r="K759" s="14">
        <v>5.73</v>
      </c>
      <c r="L759" s="14">
        <v>0.0</v>
      </c>
    </row>
    <row r="760">
      <c r="A760" s="14">
        <v>310.0</v>
      </c>
      <c r="B760" s="14">
        <v>3.0</v>
      </c>
      <c r="C760" s="34">
        <v>11.64</v>
      </c>
      <c r="D760" s="36">
        <v>44726.0</v>
      </c>
      <c r="E760" s="24"/>
      <c r="F760" s="14">
        <v>3.88</v>
      </c>
      <c r="G760" s="14">
        <v>37.55</v>
      </c>
      <c r="H760" s="14">
        <v>0.97</v>
      </c>
      <c r="I760" s="14" t="s">
        <v>6036</v>
      </c>
      <c r="J760" s="14">
        <v>33.33</v>
      </c>
      <c r="K760" s="14">
        <v>11.64</v>
      </c>
      <c r="L760" s="14">
        <v>0.0</v>
      </c>
    </row>
    <row r="761">
      <c r="A761" s="14">
        <v>2238.0</v>
      </c>
      <c r="B761" s="14">
        <v>11.0</v>
      </c>
      <c r="C761" s="34">
        <v>21.26</v>
      </c>
      <c r="D761" s="36">
        <v>44726.0</v>
      </c>
      <c r="E761" s="24"/>
      <c r="F761" s="14">
        <v>1.93</v>
      </c>
      <c r="G761" s="14">
        <v>9.5</v>
      </c>
      <c r="H761" s="14">
        <v>0.49</v>
      </c>
      <c r="I761" s="14" t="s">
        <v>6022</v>
      </c>
      <c r="J761" s="14">
        <v>154.55</v>
      </c>
      <c r="K761" s="14">
        <v>1.25</v>
      </c>
      <c r="L761" s="14">
        <v>0.0</v>
      </c>
    </row>
    <row r="762">
      <c r="A762" s="14">
        <v>1051.0</v>
      </c>
      <c r="B762" s="14">
        <v>5.0</v>
      </c>
      <c r="C762" s="34">
        <v>84.3</v>
      </c>
      <c r="D762" s="36">
        <v>44727.0</v>
      </c>
      <c r="E762" s="24"/>
      <c r="F762" s="14">
        <v>16.86</v>
      </c>
      <c r="G762" s="14">
        <v>80.21</v>
      </c>
      <c r="H762" s="14">
        <v>0.48</v>
      </c>
      <c r="I762" s="14" t="s">
        <v>6029</v>
      </c>
      <c r="J762" s="14">
        <v>120.0</v>
      </c>
      <c r="K762" s="14">
        <v>14.05</v>
      </c>
      <c r="L762" s="14">
        <v>0.0</v>
      </c>
    </row>
    <row r="763">
      <c r="A763" s="14">
        <v>399.0</v>
      </c>
      <c r="B763" s="14">
        <v>8.0</v>
      </c>
      <c r="C763" s="34">
        <v>35.25</v>
      </c>
      <c r="D763" s="36">
        <v>44727.0</v>
      </c>
      <c r="E763" s="24"/>
      <c r="F763" s="14">
        <v>4.41</v>
      </c>
      <c r="G763" s="14">
        <v>88.35</v>
      </c>
      <c r="H763" s="14">
        <v>2.01</v>
      </c>
      <c r="I763" s="14" t="s">
        <v>6039</v>
      </c>
      <c r="J763" s="14">
        <v>100.0</v>
      </c>
      <c r="K763" s="14">
        <v>4.41</v>
      </c>
      <c r="L763" s="14">
        <v>0.0</v>
      </c>
    </row>
    <row r="764">
      <c r="A764" s="14">
        <v>3669.0</v>
      </c>
      <c r="B764" s="14">
        <v>206.0</v>
      </c>
      <c r="C764" s="34">
        <v>100.65</v>
      </c>
      <c r="D764" s="36">
        <v>44727.0</v>
      </c>
      <c r="E764" s="24"/>
      <c r="F764" s="14">
        <v>0.49</v>
      </c>
      <c r="G764" s="14">
        <v>27.43</v>
      </c>
      <c r="H764" s="14">
        <v>5.61</v>
      </c>
      <c r="I764" s="14" t="s">
        <v>6043</v>
      </c>
      <c r="J764" s="14">
        <v>101.46</v>
      </c>
      <c r="K764" s="14">
        <v>0.48</v>
      </c>
      <c r="L764" s="14">
        <v>0.0</v>
      </c>
    </row>
    <row r="765">
      <c r="A765" s="14">
        <v>772.0</v>
      </c>
      <c r="B765" s="14">
        <v>8.0</v>
      </c>
      <c r="C765" s="34">
        <v>37.81</v>
      </c>
      <c r="D765" s="36">
        <v>44727.0</v>
      </c>
      <c r="E765" s="24"/>
      <c r="F765" s="14">
        <v>4.73</v>
      </c>
      <c r="G765" s="14">
        <v>48.98</v>
      </c>
      <c r="H765" s="14">
        <v>1.04</v>
      </c>
      <c r="I765" s="14" t="s">
        <v>6030</v>
      </c>
      <c r="J765" s="14">
        <v>112.5</v>
      </c>
      <c r="K765" s="14">
        <v>4.2</v>
      </c>
      <c r="L765" s="14">
        <v>0.0</v>
      </c>
    </row>
    <row r="766">
      <c r="A766" s="14">
        <v>2277.0</v>
      </c>
      <c r="B766" s="14">
        <v>11.0</v>
      </c>
      <c r="C766" s="34">
        <v>24.18</v>
      </c>
      <c r="D766" s="36">
        <v>44727.0</v>
      </c>
      <c r="E766" s="24"/>
      <c r="F766" s="14">
        <v>2.2</v>
      </c>
      <c r="G766" s="14">
        <v>10.62</v>
      </c>
      <c r="H766" s="14">
        <v>0.48</v>
      </c>
      <c r="I766" s="14" t="s">
        <v>6022</v>
      </c>
      <c r="J766" s="14">
        <v>190.91</v>
      </c>
      <c r="K766" s="14">
        <v>1.15</v>
      </c>
      <c r="L766" s="14">
        <v>0.0</v>
      </c>
    </row>
    <row r="767">
      <c r="A767" s="14">
        <v>613.0</v>
      </c>
      <c r="B767" s="14">
        <v>6.0</v>
      </c>
      <c r="C767" s="34">
        <v>59.67</v>
      </c>
      <c r="D767" s="36">
        <v>44727.0</v>
      </c>
      <c r="E767" s="24"/>
      <c r="F767" s="14">
        <v>9.94</v>
      </c>
      <c r="G767" s="14">
        <v>97.34</v>
      </c>
      <c r="H767" s="14">
        <v>0.98</v>
      </c>
      <c r="I767" s="14" t="s">
        <v>6042</v>
      </c>
      <c r="J767" s="14">
        <v>83.33</v>
      </c>
      <c r="K767" s="14">
        <v>11.93</v>
      </c>
      <c r="L767" s="14">
        <v>0.0</v>
      </c>
    </row>
    <row r="768">
      <c r="A768" s="14">
        <v>874.0</v>
      </c>
      <c r="B768" s="14">
        <v>7.0</v>
      </c>
      <c r="C768" s="34">
        <v>79.9</v>
      </c>
      <c r="D768" s="36">
        <v>44727.0</v>
      </c>
      <c r="E768" s="24"/>
      <c r="F768" s="14">
        <v>11.41</v>
      </c>
      <c r="G768" s="14">
        <v>91.42</v>
      </c>
      <c r="H768" s="14">
        <v>0.8</v>
      </c>
      <c r="I768" s="14" t="s">
        <v>6027</v>
      </c>
      <c r="J768" s="14">
        <v>71.43</v>
      </c>
      <c r="K768" s="14">
        <v>15.98</v>
      </c>
      <c r="L768" s="14">
        <v>0.0</v>
      </c>
    </row>
    <row r="769">
      <c r="A769" s="14">
        <v>844.0</v>
      </c>
      <c r="B769" s="14">
        <v>6.0</v>
      </c>
      <c r="C769" s="34">
        <v>40.71</v>
      </c>
      <c r="D769" s="36">
        <v>44727.0</v>
      </c>
      <c r="E769" s="24"/>
      <c r="F769" s="14">
        <v>6.78</v>
      </c>
      <c r="G769" s="14">
        <v>48.23</v>
      </c>
      <c r="H769" s="14">
        <v>0.71</v>
      </c>
      <c r="I769" s="14" t="s">
        <v>6037</v>
      </c>
      <c r="J769" s="14">
        <v>150.0</v>
      </c>
      <c r="K769" s="14">
        <v>4.52</v>
      </c>
      <c r="L769" s="14">
        <v>0.0</v>
      </c>
    </row>
    <row r="770">
      <c r="A770" s="14">
        <v>474.0</v>
      </c>
      <c r="B770" s="14">
        <v>4.0</v>
      </c>
      <c r="C770" s="34">
        <v>59.13</v>
      </c>
      <c r="D770" s="36">
        <v>44727.0</v>
      </c>
      <c r="E770" s="24"/>
      <c r="F770" s="14">
        <v>14.78</v>
      </c>
      <c r="G770" s="14">
        <v>124.75</v>
      </c>
      <c r="H770" s="14">
        <v>0.84</v>
      </c>
      <c r="I770" s="14" t="s">
        <v>6034</v>
      </c>
      <c r="J770" s="14">
        <v>150.0</v>
      </c>
      <c r="K770" s="14">
        <v>9.86</v>
      </c>
      <c r="L770" s="14">
        <v>0.0</v>
      </c>
    </row>
    <row r="771">
      <c r="A771" s="14">
        <v>1086.0</v>
      </c>
      <c r="B771" s="14">
        <v>10.0</v>
      </c>
      <c r="C771" s="34">
        <v>68.85</v>
      </c>
      <c r="D771" s="36">
        <v>44727.0</v>
      </c>
      <c r="E771" s="24"/>
      <c r="F771" s="14">
        <v>6.88</v>
      </c>
      <c r="G771" s="14">
        <v>63.4</v>
      </c>
      <c r="H771" s="14">
        <v>0.92</v>
      </c>
      <c r="I771" s="14" t="s">
        <v>6040</v>
      </c>
      <c r="J771" s="14">
        <v>0.0</v>
      </c>
      <c r="K771" s="14" t="s">
        <v>6012</v>
      </c>
      <c r="L771" s="14">
        <v>0.0</v>
      </c>
    </row>
    <row r="772">
      <c r="A772" s="14">
        <v>1307.0</v>
      </c>
      <c r="B772" s="14">
        <v>15.0</v>
      </c>
      <c r="C772" s="34">
        <v>24.96</v>
      </c>
      <c r="D772" s="36">
        <v>44727.0</v>
      </c>
      <c r="E772" s="24"/>
      <c r="F772" s="14">
        <v>1.66</v>
      </c>
      <c r="G772" s="14">
        <v>19.1</v>
      </c>
      <c r="H772" s="14">
        <v>1.15</v>
      </c>
      <c r="I772" s="14" t="s">
        <v>6026</v>
      </c>
      <c r="J772" s="14">
        <v>66.67</v>
      </c>
      <c r="K772" s="14">
        <v>2.5</v>
      </c>
      <c r="L772" s="14">
        <v>0.0</v>
      </c>
    </row>
    <row r="773">
      <c r="A773" s="14">
        <v>1620.0</v>
      </c>
      <c r="B773" s="14">
        <v>4.0</v>
      </c>
      <c r="C773" s="34">
        <v>60.37</v>
      </c>
      <c r="D773" s="36">
        <v>44727.0</v>
      </c>
      <c r="E773" s="24"/>
      <c r="F773" s="14">
        <v>15.09</v>
      </c>
      <c r="G773" s="14">
        <v>37.27</v>
      </c>
      <c r="H773" s="14">
        <v>0.25</v>
      </c>
      <c r="I773" s="14" t="s">
        <v>6031</v>
      </c>
      <c r="J773" s="14">
        <v>425.0</v>
      </c>
      <c r="K773" s="14">
        <v>3.55</v>
      </c>
      <c r="L773" s="14">
        <v>0.0</v>
      </c>
    </row>
    <row r="774">
      <c r="A774" s="14">
        <v>1083.0</v>
      </c>
      <c r="B774" s="14">
        <v>16.0</v>
      </c>
      <c r="C774" s="34">
        <v>36.58</v>
      </c>
      <c r="D774" s="36">
        <v>44727.0</v>
      </c>
      <c r="E774" s="24"/>
      <c r="F774" s="14">
        <v>2.29</v>
      </c>
      <c r="G774" s="14">
        <v>33.78</v>
      </c>
      <c r="H774" s="14">
        <v>1.48</v>
      </c>
      <c r="I774" s="14" t="s">
        <v>6028</v>
      </c>
      <c r="J774" s="14">
        <v>81.25</v>
      </c>
      <c r="K774" s="14">
        <v>2.81</v>
      </c>
      <c r="L774" s="14">
        <v>0.0</v>
      </c>
    </row>
    <row r="775">
      <c r="A775" s="14">
        <v>468.0</v>
      </c>
      <c r="B775" s="14">
        <v>1.0</v>
      </c>
      <c r="C775" s="34">
        <v>45.62</v>
      </c>
      <c r="D775" s="36">
        <v>44727.0</v>
      </c>
      <c r="E775" s="24"/>
      <c r="F775" s="14">
        <v>45.62</v>
      </c>
      <c r="G775" s="14">
        <v>97.48</v>
      </c>
      <c r="H775" s="14">
        <v>0.21</v>
      </c>
      <c r="I775" s="14" t="s">
        <v>6038</v>
      </c>
      <c r="J775" s="14">
        <v>400.0</v>
      </c>
      <c r="K775" s="14">
        <v>11.4</v>
      </c>
      <c r="L775" s="14">
        <v>0.0</v>
      </c>
    </row>
    <row r="776">
      <c r="A776" s="14">
        <v>741.0</v>
      </c>
      <c r="B776" s="14">
        <v>5.0</v>
      </c>
      <c r="C776" s="34">
        <v>37.54</v>
      </c>
      <c r="D776" s="36">
        <v>44727.0</v>
      </c>
      <c r="E776" s="24"/>
      <c r="F776" s="14">
        <v>7.51</v>
      </c>
      <c r="G776" s="14">
        <v>50.66</v>
      </c>
      <c r="H776" s="14">
        <v>0.67</v>
      </c>
      <c r="I776" s="14" t="s">
        <v>6036</v>
      </c>
      <c r="J776" s="14">
        <v>880.0</v>
      </c>
      <c r="K776" s="14">
        <v>0.85</v>
      </c>
      <c r="L776" s="14">
        <v>0.0</v>
      </c>
    </row>
    <row r="777">
      <c r="A777" s="14">
        <v>0.0</v>
      </c>
      <c r="B777" s="14">
        <v>0.0</v>
      </c>
      <c r="C777" s="34"/>
      <c r="D777" s="36">
        <v>44727.0</v>
      </c>
      <c r="E777" s="24"/>
      <c r="F777" s="14" t="s">
        <v>6012</v>
      </c>
      <c r="G777" s="14" t="s">
        <v>6012</v>
      </c>
      <c r="H777" s="14" t="s">
        <v>6012</v>
      </c>
      <c r="I777" s="14" t="s">
        <v>6024</v>
      </c>
      <c r="J777" s="14" t="s">
        <v>6012</v>
      </c>
      <c r="K777" s="14" t="s">
        <v>6012</v>
      </c>
      <c r="L777" s="14"/>
    </row>
    <row r="778">
      <c r="A778" s="14">
        <v>1597.0</v>
      </c>
      <c r="B778" s="14">
        <v>22.0</v>
      </c>
      <c r="C778" s="34">
        <v>66.73</v>
      </c>
      <c r="D778" s="36">
        <v>44727.0</v>
      </c>
      <c r="E778" s="24"/>
      <c r="F778" s="14">
        <v>3.03</v>
      </c>
      <c r="G778" s="14">
        <v>41.78</v>
      </c>
      <c r="H778" s="14">
        <v>1.38</v>
      </c>
      <c r="I778" s="14" t="s">
        <v>6032</v>
      </c>
      <c r="J778" s="14">
        <v>63.64</v>
      </c>
      <c r="K778" s="14">
        <v>4.77</v>
      </c>
      <c r="L778" s="14">
        <v>0.0</v>
      </c>
    </row>
    <row r="779">
      <c r="A779" s="14">
        <v>808.0</v>
      </c>
      <c r="B779" s="14">
        <v>5.0</v>
      </c>
      <c r="C779" s="34">
        <v>48.53</v>
      </c>
      <c r="D779" s="36">
        <v>44727.0</v>
      </c>
      <c r="E779" s="24"/>
      <c r="F779" s="14">
        <v>9.71</v>
      </c>
      <c r="G779" s="14">
        <v>60.06</v>
      </c>
      <c r="H779" s="14">
        <v>0.62</v>
      </c>
      <c r="I779" s="14" t="s">
        <v>6035</v>
      </c>
      <c r="J779" s="14">
        <v>160.0</v>
      </c>
      <c r="K779" s="14">
        <v>6.07</v>
      </c>
      <c r="L779" s="14">
        <v>0.0</v>
      </c>
    </row>
    <row r="780">
      <c r="A780" s="14">
        <v>1071.0</v>
      </c>
      <c r="B780" s="14">
        <v>4.0</v>
      </c>
      <c r="C780" s="34">
        <v>65.99</v>
      </c>
      <c r="D780" s="36">
        <v>44727.0</v>
      </c>
      <c r="E780" s="24"/>
      <c r="F780" s="14">
        <v>16.5</v>
      </c>
      <c r="G780" s="14">
        <v>61.62</v>
      </c>
      <c r="H780" s="14">
        <v>0.37</v>
      </c>
      <c r="I780" s="14" t="s">
        <v>6041</v>
      </c>
      <c r="J780" s="14">
        <v>25.0</v>
      </c>
      <c r="K780" s="14">
        <v>65.99</v>
      </c>
      <c r="L780" s="14">
        <v>0.0</v>
      </c>
    </row>
    <row r="781">
      <c r="A781" s="14">
        <v>706.0</v>
      </c>
      <c r="B781" s="14">
        <v>6.0</v>
      </c>
      <c r="C781" s="34">
        <v>26.15</v>
      </c>
      <c r="D781" s="36">
        <v>44727.0</v>
      </c>
      <c r="E781" s="24"/>
      <c r="F781" s="14">
        <v>4.36</v>
      </c>
      <c r="G781" s="14">
        <v>37.04</v>
      </c>
      <c r="H781" s="14">
        <v>0.85</v>
      </c>
      <c r="I781" s="14" t="s">
        <v>6033</v>
      </c>
      <c r="J781" s="14">
        <v>150.0</v>
      </c>
      <c r="K781" s="14">
        <v>2.91</v>
      </c>
      <c r="L781" s="14">
        <v>0.0</v>
      </c>
    </row>
    <row r="782">
      <c r="A782" s="14">
        <v>1270.0</v>
      </c>
      <c r="B782" s="14">
        <v>4.0</v>
      </c>
      <c r="C782" s="34">
        <v>42.76</v>
      </c>
      <c r="D782" s="36">
        <v>44728.0</v>
      </c>
      <c r="E782" s="24"/>
      <c r="F782" s="14">
        <v>10.69</v>
      </c>
      <c r="G782" s="14">
        <v>33.67</v>
      </c>
      <c r="H782" s="14">
        <v>0.31</v>
      </c>
      <c r="I782" s="14" t="s">
        <v>6030</v>
      </c>
      <c r="J782" s="14">
        <v>150.0</v>
      </c>
      <c r="K782" s="14">
        <v>7.13</v>
      </c>
      <c r="L782" s="14">
        <v>0.0</v>
      </c>
    </row>
    <row r="783">
      <c r="A783" s="14">
        <v>606.0</v>
      </c>
      <c r="B783" s="14">
        <v>3.0</v>
      </c>
      <c r="C783" s="34">
        <v>42.52</v>
      </c>
      <c r="D783" s="36">
        <v>44728.0</v>
      </c>
      <c r="E783" s="24"/>
      <c r="F783" s="14">
        <v>14.17</v>
      </c>
      <c r="G783" s="14">
        <v>70.17</v>
      </c>
      <c r="H783" s="14">
        <v>0.5</v>
      </c>
      <c r="I783" s="14" t="s">
        <v>6038</v>
      </c>
      <c r="J783" s="14">
        <v>266.67</v>
      </c>
      <c r="K783" s="14">
        <v>5.32</v>
      </c>
      <c r="L783" s="14">
        <v>0.0</v>
      </c>
    </row>
    <row r="784">
      <c r="A784" s="14">
        <v>998.0</v>
      </c>
      <c r="B784" s="14">
        <v>1.0</v>
      </c>
      <c r="C784" s="34">
        <v>28.12</v>
      </c>
      <c r="D784" s="36">
        <v>44728.0</v>
      </c>
      <c r="E784" s="24"/>
      <c r="F784" s="14">
        <v>28.12</v>
      </c>
      <c r="G784" s="14">
        <v>28.18</v>
      </c>
      <c r="H784" s="14">
        <v>0.1</v>
      </c>
      <c r="I784" s="14" t="s">
        <v>6033</v>
      </c>
      <c r="J784" s="14">
        <v>600.0</v>
      </c>
      <c r="K784" s="14">
        <v>4.69</v>
      </c>
      <c r="L784" s="14">
        <v>0.0</v>
      </c>
    </row>
    <row r="785">
      <c r="A785" s="14">
        <v>1241.0</v>
      </c>
      <c r="B785" s="14">
        <v>0.0</v>
      </c>
      <c r="C785" s="34">
        <v>78.37</v>
      </c>
      <c r="D785" s="36">
        <v>44728.0</v>
      </c>
      <c r="E785" s="24"/>
      <c r="F785" s="14" t="s">
        <v>6012</v>
      </c>
      <c r="G785" s="14">
        <v>63.15</v>
      </c>
      <c r="H785" s="14">
        <v>0.0</v>
      </c>
      <c r="I785" s="14" t="s">
        <v>6029</v>
      </c>
      <c r="J785" s="14" t="s">
        <v>6012</v>
      </c>
      <c r="K785" s="14">
        <v>11.2</v>
      </c>
      <c r="L785" s="14">
        <v>0.0</v>
      </c>
    </row>
    <row r="786">
      <c r="A786" s="14">
        <v>1216.0</v>
      </c>
      <c r="B786" s="14">
        <v>11.0</v>
      </c>
      <c r="C786" s="34">
        <v>35.24</v>
      </c>
      <c r="D786" s="36">
        <v>44728.0</v>
      </c>
      <c r="E786" s="24"/>
      <c r="F786" s="14">
        <v>3.2</v>
      </c>
      <c r="G786" s="14">
        <v>28.98</v>
      </c>
      <c r="H786" s="14">
        <v>0.9</v>
      </c>
      <c r="I786" s="14" t="s">
        <v>6036</v>
      </c>
      <c r="J786" s="14">
        <v>163.64</v>
      </c>
      <c r="K786" s="14">
        <v>1.96</v>
      </c>
      <c r="L786" s="14">
        <v>0.0</v>
      </c>
    </row>
    <row r="787">
      <c r="A787" s="14">
        <v>1895.0</v>
      </c>
      <c r="B787" s="14">
        <v>3.0</v>
      </c>
      <c r="C787" s="34">
        <v>57.44</v>
      </c>
      <c r="D787" s="36">
        <v>44728.0</v>
      </c>
      <c r="E787" s="24"/>
      <c r="F787" s="14">
        <v>19.15</v>
      </c>
      <c r="G787" s="14">
        <v>30.31</v>
      </c>
      <c r="H787" s="14">
        <v>0.16</v>
      </c>
      <c r="I787" s="14" t="s">
        <v>6031</v>
      </c>
      <c r="J787" s="14">
        <v>233.33</v>
      </c>
      <c r="K787" s="14">
        <v>8.21</v>
      </c>
      <c r="L787" s="14">
        <v>0.0</v>
      </c>
    </row>
    <row r="788">
      <c r="A788" s="14">
        <v>27.0</v>
      </c>
      <c r="B788" s="14">
        <v>7.0</v>
      </c>
      <c r="C788" s="34">
        <v>0.28</v>
      </c>
      <c r="D788" s="36">
        <v>44728.0</v>
      </c>
      <c r="E788" s="24"/>
      <c r="F788" s="14">
        <v>0.04</v>
      </c>
      <c r="G788" s="14">
        <v>10.37</v>
      </c>
      <c r="H788" s="14">
        <v>25.93</v>
      </c>
      <c r="I788" s="14" t="s">
        <v>6044</v>
      </c>
      <c r="J788" s="14">
        <v>71.43</v>
      </c>
      <c r="K788" s="14">
        <v>0.06</v>
      </c>
      <c r="L788" s="14">
        <v>0.0</v>
      </c>
    </row>
    <row r="789">
      <c r="A789" s="14">
        <v>552.0</v>
      </c>
      <c r="B789" s="14">
        <v>5.0</v>
      </c>
      <c r="C789" s="34">
        <v>52.31</v>
      </c>
      <c r="D789" s="36">
        <v>44728.0</v>
      </c>
      <c r="E789" s="24"/>
      <c r="F789" s="14">
        <v>10.46</v>
      </c>
      <c r="G789" s="14">
        <v>94.76</v>
      </c>
      <c r="H789" s="14">
        <v>0.91</v>
      </c>
      <c r="I789" s="14" t="s">
        <v>6042</v>
      </c>
      <c r="J789" s="14">
        <v>160.0</v>
      </c>
      <c r="K789" s="14">
        <v>6.54</v>
      </c>
      <c r="L789" s="14">
        <v>0.0</v>
      </c>
    </row>
    <row r="790">
      <c r="A790" s="14">
        <v>971.0</v>
      </c>
      <c r="B790" s="14">
        <v>14.0</v>
      </c>
      <c r="C790" s="34">
        <v>79.2</v>
      </c>
      <c r="D790" s="36">
        <v>44728.0</v>
      </c>
      <c r="E790" s="24"/>
      <c r="F790" s="14">
        <v>5.66</v>
      </c>
      <c r="G790" s="14">
        <v>81.57</v>
      </c>
      <c r="H790" s="14">
        <v>1.44</v>
      </c>
      <c r="I790" s="14" t="s">
        <v>6027</v>
      </c>
      <c r="J790" s="14">
        <v>64.29</v>
      </c>
      <c r="K790" s="14">
        <v>8.8</v>
      </c>
      <c r="L790" s="14">
        <v>0.0</v>
      </c>
    </row>
    <row r="791">
      <c r="A791" s="14">
        <v>1090.0</v>
      </c>
      <c r="B791" s="14">
        <v>1.0</v>
      </c>
      <c r="C791" s="34">
        <v>48.7</v>
      </c>
      <c r="D791" s="36">
        <v>44728.0</v>
      </c>
      <c r="E791" s="24"/>
      <c r="F791" s="14">
        <v>48.7</v>
      </c>
      <c r="G791" s="14">
        <v>44.68</v>
      </c>
      <c r="H791" s="14">
        <v>0.09</v>
      </c>
      <c r="I791" s="14" t="s">
        <v>6035</v>
      </c>
      <c r="J791" s="14">
        <v>600.0</v>
      </c>
      <c r="K791" s="14">
        <v>8.12</v>
      </c>
      <c r="L791" s="14">
        <v>0.0</v>
      </c>
    </row>
    <row r="792">
      <c r="A792" s="14">
        <v>909.0</v>
      </c>
      <c r="B792" s="14">
        <v>3.0</v>
      </c>
      <c r="C792" s="34">
        <v>53.48</v>
      </c>
      <c r="D792" s="36">
        <v>44728.0</v>
      </c>
      <c r="E792" s="24"/>
      <c r="F792" s="14">
        <v>17.83</v>
      </c>
      <c r="G792" s="14">
        <v>58.83</v>
      </c>
      <c r="H792" s="14">
        <v>0.33</v>
      </c>
      <c r="I792" s="14" t="s">
        <v>6034</v>
      </c>
      <c r="J792" s="14">
        <v>33.33</v>
      </c>
      <c r="K792" s="14">
        <v>53.48</v>
      </c>
      <c r="L792" s="14">
        <v>0.0</v>
      </c>
    </row>
    <row r="793">
      <c r="A793" s="14">
        <v>5054.0</v>
      </c>
      <c r="B793" s="14">
        <v>89.0</v>
      </c>
      <c r="C793" s="34">
        <v>101.29</v>
      </c>
      <c r="D793" s="36">
        <v>44728.0</v>
      </c>
      <c r="E793" s="24"/>
      <c r="F793" s="14">
        <v>1.14</v>
      </c>
      <c r="G793" s="14">
        <v>20.04</v>
      </c>
      <c r="H793" s="14">
        <v>1.76</v>
      </c>
      <c r="I793" s="14" t="s">
        <v>6043</v>
      </c>
      <c r="J793" s="14">
        <v>94.38</v>
      </c>
      <c r="K793" s="14">
        <v>1.21</v>
      </c>
      <c r="L793" s="14">
        <v>0.0</v>
      </c>
    </row>
    <row r="794">
      <c r="A794" s="14">
        <v>912.0</v>
      </c>
      <c r="B794" s="14">
        <v>17.0</v>
      </c>
      <c r="C794" s="34">
        <v>54.06</v>
      </c>
      <c r="D794" s="36">
        <v>44728.0</v>
      </c>
      <c r="E794" s="24"/>
      <c r="F794" s="14">
        <v>3.18</v>
      </c>
      <c r="G794" s="14">
        <v>59.28</v>
      </c>
      <c r="H794" s="14">
        <v>1.86</v>
      </c>
      <c r="I794" s="14" t="s">
        <v>6039</v>
      </c>
      <c r="J794" s="14">
        <v>35.29</v>
      </c>
      <c r="K794" s="14">
        <v>9.01</v>
      </c>
      <c r="L794" s="14">
        <v>0.0</v>
      </c>
    </row>
    <row r="795">
      <c r="A795" s="14">
        <v>1212.0</v>
      </c>
      <c r="B795" s="14">
        <v>16.0</v>
      </c>
      <c r="C795" s="34">
        <v>42.83</v>
      </c>
      <c r="D795" s="36">
        <v>44728.0</v>
      </c>
      <c r="E795" s="24"/>
      <c r="F795" s="14">
        <v>2.68</v>
      </c>
      <c r="G795" s="14">
        <v>35.34</v>
      </c>
      <c r="H795" s="14">
        <v>1.32</v>
      </c>
      <c r="I795" s="14" t="s">
        <v>6028</v>
      </c>
      <c r="J795" s="14">
        <v>62.5</v>
      </c>
      <c r="K795" s="14">
        <v>4.28</v>
      </c>
      <c r="L795" s="14">
        <v>0.0</v>
      </c>
    </row>
    <row r="796">
      <c r="A796" s="14">
        <v>1244.0</v>
      </c>
      <c r="B796" s="14">
        <v>20.0</v>
      </c>
      <c r="C796" s="34">
        <v>23.79</v>
      </c>
      <c r="D796" s="36">
        <v>44728.0</v>
      </c>
      <c r="E796" s="24"/>
      <c r="F796" s="14">
        <v>1.19</v>
      </c>
      <c r="G796" s="14">
        <v>19.12</v>
      </c>
      <c r="H796" s="14">
        <v>1.61</v>
      </c>
      <c r="I796" s="14" t="s">
        <v>6026</v>
      </c>
      <c r="J796" s="14">
        <v>65.0</v>
      </c>
      <c r="K796" s="14">
        <v>1.83</v>
      </c>
      <c r="L796" s="14">
        <v>0.0</v>
      </c>
    </row>
    <row r="797">
      <c r="A797" s="14">
        <v>889.0</v>
      </c>
      <c r="B797" s="14">
        <v>13.0</v>
      </c>
      <c r="C797" s="34">
        <v>40.94</v>
      </c>
      <c r="D797" s="36">
        <v>44728.0</v>
      </c>
      <c r="E797" s="24"/>
      <c r="F797" s="14">
        <v>3.15</v>
      </c>
      <c r="G797" s="14">
        <v>46.05</v>
      </c>
      <c r="H797" s="14">
        <v>1.46</v>
      </c>
      <c r="I797" s="14" t="s">
        <v>6037</v>
      </c>
      <c r="J797" s="14">
        <v>23.08</v>
      </c>
      <c r="K797" s="14">
        <v>13.65</v>
      </c>
      <c r="L797" s="14">
        <v>0.0</v>
      </c>
    </row>
    <row r="798">
      <c r="A798" s="14">
        <v>1948.0</v>
      </c>
      <c r="B798" s="14">
        <v>7.0</v>
      </c>
      <c r="C798" s="34">
        <v>24.43</v>
      </c>
      <c r="D798" s="36">
        <v>44728.0</v>
      </c>
      <c r="E798" s="24"/>
      <c r="F798" s="14">
        <v>3.49</v>
      </c>
      <c r="G798" s="14">
        <v>12.54</v>
      </c>
      <c r="H798" s="14">
        <v>0.36</v>
      </c>
      <c r="I798" s="14" t="s">
        <v>6022</v>
      </c>
      <c r="J798" s="14">
        <v>242.86</v>
      </c>
      <c r="K798" s="14">
        <v>1.44</v>
      </c>
      <c r="L798" s="14">
        <v>0.0</v>
      </c>
    </row>
    <row r="799">
      <c r="A799" s="14">
        <v>1548.0</v>
      </c>
      <c r="B799" s="14">
        <v>14.0</v>
      </c>
      <c r="C799" s="34">
        <v>62.8</v>
      </c>
      <c r="D799" s="36">
        <v>44728.0</v>
      </c>
      <c r="E799" s="24"/>
      <c r="F799" s="14">
        <v>4.49</v>
      </c>
      <c r="G799" s="14">
        <v>40.57</v>
      </c>
      <c r="H799" s="14">
        <v>0.9</v>
      </c>
      <c r="I799" s="14" t="s">
        <v>6041</v>
      </c>
      <c r="J799" s="14">
        <v>7.14</v>
      </c>
      <c r="K799" s="14">
        <v>62.8</v>
      </c>
      <c r="L799" s="14">
        <v>0.0</v>
      </c>
    </row>
    <row r="800">
      <c r="A800" s="14">
        <v>1877.0</v>
      </c>
      <c r="B800" s="14">
        <v>14.0</v>
      </c>
      <c r="C800" s="34">
        <v>70.1</v>
      </c>
      <c r="D800" s="36">
        <v>44728.0</v>
      </c>
      <c r="E800" s="24"/>
      <c r="F800" s="14">
        <v>5.01</v>
      </c>
      <c r="G800" s="14">
        <v>37.35</v>
      </c>
      <c r="H800" s="14">
        <v>0.75</v>
      </c>
      <c r="I800" s="14" t="s">
        <v>6032</v>
      </c>
      <c r="J800" s="14">
        <v>42.86</v>
      </c>
      <c r="K800" s="14">
        <v>11.68</v>
      </c>
      <c r="L800" s="14">
        <v>0.0</v>
      </c>
    </row>
    <row r="801">
      <c r="A801" s="14">
        <v>0.0</v>
      </c>
      <c r="B801" s="14">
        <v>0.0</v>
      </c>
      <c r="C801" s="34"/>
      <c r="D801" s="36">
        <v>44728.0</v>
      </c>
      <c r="E801" s="24"/>
      <c r="F801" s="14" t="s">
        <v>6012</v>
      </c>
      <c r="G801" s="14" t="s">
        <v>6012</v>
      </c>
      <c r="H801" s="14" t="s">
        <v>6012</v>
      </c>
      <c r="I801" s="14" t="s">
        <v>6024</v>
      </c>
      <c r="J801" s="14" t="s">
        <v>6012</v>
      </c>
      <c r="K801" s="14" t="s">
        <v>6012</v>
      </c>
      <c r="L801" s="14"/>
    </row>
    <row r="802">
      <c r="A802" s="14">
        <v>1583.0</v>
      </c>
      <c r="B802" s="14">
        <v>7.0</v>
      </c>
      <c r="C802" s="34">
        <v>62.58</v>
      </c>
      <c r="D802" s="36">
        <v>44728.0</v>
      </c>
      <c r="E802" s="24"/>
      <c r="F802" s="14">
        <v>8.94</v>
      </c>
      <c r="G802" s="14">
        <v>39.53</v>
      </c>
      <c r="H802" s="14">
        <v>0.44</v>
      </c>
      <c r="I802" s="14" t="s">
        <v>6040</v>
      </c>
      <c r="J802" s="14">
        <v>28.57</v>
      </c>
      <c r="K802" s="14">
        <v>31.29</v>
      </c>
      <c r="L802" s="14">
        <v>0.0</v>
      </c>
    </row>
    <row r="803">
      <c r="A803" s="14">
        <v>392.0</v>
      </c>
      <c r="B803" s="14">
        <v>3.0</v>
      </c>
      <c r="C803" s="34">
        <v>41.41</v>
      </c>
      <c r="D803" s="36">
        <v>44729.0</v>
      </c>
      <c r="E803" s="24"/>
      <c r="F803" s="14">
        <v>13.8</v>
      </c>
      <c r="G803" s="14">
        <v>105.64</v>
      </c>
      <c r="H803" s="14">
        <v>0.77</v>
      </c>
      <c r="I803" s="14" t="s">
        <v>6042</v>
      </c>
      <c r="J803" s="14">
        <v>366.67</v>
      </c>
      <c r="K803" s="14">
        <v>3.76</v>
      </c>
      <c r="L803" s="14">
        <v>0.0</v>
      </c>
    </row>
    <row r="804">
      <c r="A804" s="14">
        <v>1119.0</v>
      </c>
      <c r="B804" s="14">
        <v>10.0</v>
      </c>
      <c r="C804" s="34">
        <v>33.11</v>
      </c>
      <c r="D804" s="36">
        <v>44729.0</v>
      </c>
      <c r="E804" s="24"/>
      <c r="F804" s="14">
        <v>3.31</v>
      </c>
      <c r="G804" s="14">
        <v>29.59</v>
      </c>
      <c r="H804" s="14">
        <v>0.89</v>
      </c>
      <c r="I804" s="14" t="s">
        <v>6036</v>
      </c>
      <c r="J804" s="14">
        <v>250.0</v>
      </c>
      <c r="K804" s="14">
        <v>1.32</v>
      </c>
      <c r="L804" s="14">
        <v>0.0</v>
      </c>
    </row>
    <row r="805">
      <c r="A805" s="14">
        <v>29.0</v>
      </c>
      <c r="B805" s="14">
        <v>3.0</v>
      </c>
      <c r="C805" s="34">
        <v>0.57</v>
      </c>
      <c r="D805" s="36">
        <v>44729.0</v>
      </c>
      <c r="E805" s="24"/>
      <c r="F805" s="14">
        <v>0.19</v>
      </c>
      <c r="G805" s="14">
        <v>19.66</v>
      </c>
      <c r="H805" s="14">
        <v>10.34</v>
      </c>
      <c r="I805" s="14" t="s">
        <v>6045</v>
      </c>
      <c r="J805" s="14">
        <v>0.0</v>
      </c>
      <c r="K805" s="14" t="s">
        <v>6012</v>
      </c>
      <c r="L805" s="14">
        <v>0.0</v>
      </c>
    </row>
    <row r="806">
      <c r="A806" s="14">
        <v>1004.0</v>
      </c>
      <c r="B806" s="14">
        <v>7.0</v>
      </c>
      <c r="C806" s="34">
        <v>25.51</v>
      </c>
      <c r="D806" s="36">
        <v>44729.0</v>
      </c>
      <c r="E806" s="24"/>
      <c r="F806" s="14">
        <v>3.64</v>
      </c>
      <c r="G806" s="14">
        <v>25.41</v>
      </c>
      <c r="H806" s="14">
        <v>0.7</v>
      </c>
      <c r="I806" s="14" t="s">
        <v>6026</v>
      </c>
      <c r="J806" s="14">
        <v>28.57</v>
      </c>
      <c r="K806" s="14">
        <v>12.76</v>
      </c>
      <c r="L806" s="14">
        <v>0.0</v>
      </c>
    </row>
    <row r="807">
      <c r="A807" s="14">
        <v>1234.0</v>
      </c>
      <c r="B807" s="14">
        <v>8.0</v>
      </c>
      <c r="C807" s="34">
        <v>46.65</v>
      </c>
      <c r="D807" s="36">
        <v>44729.0</v>
      </c>
      <c r="E807" s="24"/>
      <c r="F807" s="14">
        <v>5.83</v>
      </c>
      <c r="G807" s="14">
        <v>37.8</v>
      </c>
      <c r="H807" s="14">
        <v>0.65</v>
      </c>
      <c r="I807" s="14" t="s">
        <v>6035</v>
      </c>
      <c r="J807" s="14">
        <v>100.0</v>
      </c>
      <c r="K807" s="14">
        <v>5.83</v>
      </c>
      <c r="L807" s="14">
        <v>0.0</v>
      </c>
    </row>
    <row r="808">
      <c r="A808" s="14">
        <v>449.0</v>
      </c>
      <c r="B808" s="14">
        <v>2.0</v>
      </c>
      <c r="C808" s="34">
        <v>27.11</v>
      </c>
      <c r="D808" s="36">
        <v>44729.0</v>
      </c>
      <c r="E808" s="24"/>
      <c r="F808" s="14">
        <v>13.56</v>
      </c>
      <c r="G808" s="14">
        <v>60.38</v>
      </c>
      <c r="H808" s="14">
        <v>0.45</v>
      </c>
      <c r="I808" s="14" t="s">
        <v>6041</v>
      </c>
      <c r="J808" s="14">
        <v>0.0</v>
      </c>
      <c r="K808" s="14" t="s">
        <v>6012</v>
      </c>
      <c r="L808" s="14">
        <v>0.0</v>
      </c>
    </row>
    <row r="809">
      <c r="A809" s="14">
        <v>1455.0</v>
      </c>
      <c r="B809" s="14">
        <v>9.0</v>
      </c>
      <c r="C809" s="34">
        <v>59.69</v>
      </c>
      <c r="D809" s="36">
        <v>44729.0</v>
      </c>
      <c r="E809" s="24"/>
      <c r="F809" s="14">
        <v>6.63</v>
      </c>
      <c r="G809" s="14">
        <v>41.02</v>
      </c>
      <c r="H809" s="14">
        <v>0.62</v>
      </c>
      <c r="I809" s="14" t="s">
        <v>6031</v>
      </c>
      <c r="J809" s="14">
        <v>111.11</v>
      </c>
      <c r="K809" s="14">
        <v>5.97</v>
      </c>
      <c r="L809" s="14">
        <v>0.0</v>
      </c>
    </row>
    <row r="810">
      <c r="A810" s="14">
        <v>4692.0</v>
      </c>
      <c r="B810" s="14">
        <v>74.0</v>
      </c>
      <c r="C810" s="34">
        <v>113.87</v>
      </c>
      <c r="D810" s="36">
        <v>44729.0</v>
      </c>
      <c r="E810" s="24"/>
      <c r="F810" s="14">
        <v>1.54</v>
      </c>
      <c r="G810" s="14">
        <v>24.27</v>
      </c>
      <c r="H810" s="14">
        <v>1.58</v>
      </c>
      <c r="I810" s="14" t="s">
        <v>6043</v>
      </c>
      <c r="J810" s="14">
        <v>108.11</v>
      </c>
      <c r="K810" s="14">
        <v>1.42</v>
      </c>
      <c r="L810" s="14">
        <v>0.0</v>
      </c>
    </row>
    <row r="811">
      <c r="A811" s="14">
        <v>620.0</v>
      </c>
      <c r="B811" s="14">
        <v>2.0</v>
      </c>
      <c r="C811" s="34">
        <v>38.78</v>
      </c>
      <c r="D811" s="36">
        <v>44729.0</v>
      </c>
      <c r="E811" s="24"/>
      <c r="F811" s="14">
        <v>19.39</v>
      </c>
      <c r="G811" s="14">
        <v>62.55</v>
      </c>
      <c r="H811" s="14">
        <v>0.32</v>
      </c>
      <c r="I811" s="14" t="s">
        <v>6038</v>
      </c>
      <c r="J811" s="14">
        <v>150.0</v>
      </c>
      <c r="K811" s="14">
        <v>12.93</v>
      </c>
      <c r="L811" s="14">
        <v>0.0</v>
      </c>
    </row>
    <row r="812">
      <c r="A812" s="14">
        <v>999.0</v>
      </c>
      <c r="B812" s="14">
        <v>4.0</v>
      </c>
      <c r="C812" s="34">
        <v>42.82</v>
      </c>
      <c r="D812" s="36">
        <v>44729.0</v>
      </c>
      <c r="E812" s="24"/>
      <c r="F812" s="14">
        <v>10.7</v>
      </c>
      <c r="G812" s="14">
        <v>42.86</v>
      </c>
      <c r="H812" s="14">
        <v>0.4</v>
      </c>
      <c r="I812" s="14" t="s">
        <v>6030</v>
      </c>
      <c r="J812" s="14">
        <v>150.0</v>
      </c>
      <c r="K812" s="14">
        <v>7.14</v>
      </c>
      <c r="L812" s="14">
        <v>0.0</v>
      </c>
    </row>
    <row r="813">
      <c r="A813" s="14">
        <v>168.0</v>
      </c>
      <c r="B813" s="14">
        <v>2.0</v>
      </c>
      <c r="C813" s="34">
        <v>27.62</v>
      </c>
      <c r="D813" s="36">
        <v>44729.0</v>
      </c>
      <c r="E813" s="24"/>
      <c r="F813" s="14">
        <v>13.81</v>
      </c>
      <c r="G813" s="14">
        <v>164.4</v>
      </c>
      <c r="H813" s="14">
        <v>1.19</v>
      </c>
      <c r="I813" s="14" t="s">
        <v>6022</v>
      </c>
      <c r="J813" s="14">
        <v>150.0</v>
      </c>
      <c r="K813" s="14">
        <v>9.21</v>
      </c>
      <c r="L813" s="14">
        <v>0.0</v>
      </c>
    </row>
    <row r="814">
      <c r="A814" s="14">
        <v>826.0</v>
      </c>
      <c r="B814" s="14">
        <v>2.0</v>
      </c>
      <c r="C814" s="34">
        <v>27.82</v>
      </c>
      <c r="D814" s="36">
        <v>44729.0</v>
      </c>
      <c r="E814" s="24"/>
      <c r="F814" s="14">
        <v>13.91</v>
      </c>
      <c r="G814" s="14">
        <v>33.68</v>
      </c>
      <c r="H814" s="14">
        <v>0.24</v>
      </c>
      <c r="I814" s="14" t="s">
        <v>6033</v>
      </c>
      <c r="J814" s="14">
        <v>300.0</v>
      </c>
      <c r="K814" s="14">
        <v>4.64</v>
      </c>
      <c r="L814" s="14">
        <v>0.0</v>
      </c>
    </row>
    <row r="815">
      <c r="A815" s="14">
        <v>1173.0</v>
      </c>
      <c r="B815" s="14">
        <v>1.0</v>
      </c>
      <c r="C815" s="34">
        <v>70.37</v>
      </c>
      <c r="D815" s="36">
        <v>44729.0</v>
      </c>
      <c r="E815" s="24"/>
      <c r="F815" s="14">
        <v>70.37</v>
      </c>
      <c r="G815" s="14">
        <v>59.99</v>
      </c>
      <c r="H815" s="14">
        <v>0.09</v>
      </c>
      <c r="I815" s="14" t="s">
        <v>6029</v>
      </c>
      <c r="J815" s="14">
        <v>900.0</v>
      </c>
      <c r="K815" s="14">
        <v>7.82</v>
      </c>
      <c r="L815" s="14">
        <v>0.0</v>
      </c>
    </row>
    <row r="816">
      <c r="A816" s="14">
        <v>461.0</v>
      </c>
      <c r="B816" s="14">
        <v>6.0</v>
      </c>
      <c r="C816" s="34">
        <v>19.22</v>
      </c>
      <c r="D816" s="36">
        <v>44729.0</v>
      </c>
      <c r="E816" s="24"/>
      <c r="F816" s="14">
        <v>3.2</v>
      </c>
      <c r="G816" s="14">
        <v>41.69</v>
      </c>
      <c r="H816" s="14">
        <v>1.3</v>
      </c>
      <c r="I816" s="14" t="s">
        <v>6040</v>
      </c>
      <c r="J816" s="14">
        <v>0.0</v>
      </c>
      <c r="K816" s="14" t="s">
        <v>6012</v>
      </c>
      <c r="L816" s="14">
        <v>0.0</v>
      </c>
    </row>
    <row r="817">
      <c r="A817" s="14">
        <v>1357.0</v>
      </c>
      <c r="B817" s="14">
        <v>6.0</v>
      </c>
      <c r="C817" s="34">
        <v>46.79</v>
      </c>
      <c r="D817" s="36">
        <v>44729.0</v>
      </c>
      <c r="E817" s="24"/>
      <c r="F817" s="14">
        <v>7.8</v>
      </c>
      <c r="G817" s="14">
        <v>34.48</v>
      </c>
      <c r="H817" s="14">
        <v>0.44</v>
      </c>
      <c r="I817" s="14" t="s">
        <v>6046</v>
      </c>
      <c r="J817" s="14">
        <v>33.33</v>
      </c>
      <c r="K817" s="14">
        <v>23.4</v>
      </c>
      <c r="L817" s="14">
        <v>3.0</v>
      </c>
    </row>
    <row r="818">
      <c r="A818" s="14">
        <v>815.0</v>
      </c>
      <c r="B818" s="14">
        <v>50.0</v>
      </c>
      <c r="C818" s="34">
        <v>48.44</v>
      </c>
      <c r="D818" s="36">
        <v>44729.0</v>
      </c>
      <c r="E818" s="24"/>
      <c r="F818" s="14">
        <v>0.97</v>
      </c>
      <c r="G818" s="14">
        <v>59.44</v>
      </c>
      <c r="H818" s="14">
        <v>6.13</v>
      </c>
      <c r="I818" s="14" t="s">
        <v>6044</v>
      </c>
      <c r="J818" s="14">
        <v>72.0</v>
      </c>
      <c r="K818" s="14">
        <v>1.35</v>
      </c>
      <c r="L818" s="14">
        <v>0.0</v>
      </c>
    </row>
    <row r="819">
      <c r="A819" s="14">
        <v>0.0</v>
      </c>
      <c r="B819" s="14">
        <v>0.0</v>
      </c>
      <c r="C819" s="34"/>
      <c r="D819" s="36">
        <v>44729.0</v>
      </c>
      <c r="E819" s="24"/>
      <c r="F819" s="14" t="s">
        <v>6012</v>
      </c>
      <c r="G819" s="14" t="s">
        <v>6012</v>
      </c>
      <c r="H819" s="14" t="s">
        <v>6012</v>
      </c>
      <c r="I819" s="14" t="s">
        <v>6024</v>
      </c>
      <c r="J819" s="14" t="s">
        <v>6012</v>
      </c>
      <c r="K819" s="14" t="s">
        <v>6012</v>
      </c>
      <c r="L819" s="14"/>
    </row>
    <row r="820">
      <c r="A820" s="14">
        <v>881.0</v>
      </c>
      <c r="B820" s="14">
        <v>9.0</v>
      </c>
      <c r="C820" s="34">
        <v>39.75</v>
      </c>
      <c r="D820" s="36">
        <v>44729.0</v>
      </c>
      <c r="E820" s="24"/>
      <c r="F820" s="14">
        <v>4.42</v>
      </c>
      <c r="G820" s="14">
        <v>45.12</v>
      </c>
      <c r="H820" s="14">
        <v>1.02</v>
      </c>
      <c r="I820" s="14" t="s">
        <v>6037</v>
      </c>
      <c r="J820" s="14">
        <v>111.11</v>
      </c>
      <c r="K820" s="14">
        <v>3.98</v>
      </c>
      <c r="L820" s="14">
        <v>0.0</v>
      </c>
    </row>
    <row r="821">
      <c r="A821" s="14">
        <v>703.0</v>
      </c>
      <c r="B821" s="14">
        <v>10.0</v>
      </c>
      <c r="C821" s="34">
        <v>51.82</v>
      </c>
      <c r="D821" s="36">
        <v>44729.0</v>
      </c>
      <c r="E821" s="24"/>
      <c r="F821" s="14">
        <v>5.18</v>
      </c>
      <c r="G821" s="14">
        <v>73.71</v>
      </c>
      <c r="H821" s="14">
        <v>1.42</v>
      </c>
      <c r="I821" s="14" t="s">
        <v>6039</v>
      </c>
      <c r="J821" s="14">
        <v>80.0</v>
      </c>
      <c r="K821" s="14">
        <v>6.48</v>
      </c>
      <c r="L821" s="14">
        <v>0.0</v>
      </c>
    </row>
    <row r="822">
      <c r="A822" s="14">
        <v>897.0</v>
      </c>
      <c r="B822" s="14">
        <v>17.0</v>
      </c>
      <c r="C822" s="34">
        <v>73.67</v>
      </c>
      <c r="D822" s="36">
        <v>44729.0</v>
      </c>
      <c r="E822" s="24"/>
      <c r="F822" s="14">
        <v>4.33</v>
      </c>
      <c r="G822" s="14">
        <v>82.13</v>
      </c>
      <c r="H822" s="14">
        <v>1.9</v>
      </c>
      <c r="I822" s="14" t="s">
        <v>6027</v>
      </c>
      <c r="J822" s="14">
        <v>52.94</v>
      </c>
      <c r="K822" s="14">
        <v>8.19</v>
      </c>
      <c r="L822" s="14">
        <v>0.0</v>
      </c>
    </row>
    <row r="823">
      <c r="A823" s="14">
        <v>860.0</v>
      </c>
      <c r="B823" s="14">
        <v>22.0</v>
      </c>
      <c r="C823" s="34">
        <v>42.78</v>
      </c>
      <c r="D823" s="36">
        <v>44729.0</v>
      </c>
      <c r="E823" s="24"/>
      <c r="F823" s="14">
        <v>1.94</v>
      </c>
      <c r="G823" s="14">
        <v>49.74</v>
      </c>
      <c r="H823" s="14">
        <v>2.56</v>
      </c>
      <c r="I823" s="14" t="s">
        <v>6028</v>
      </c>
      <c r="J823" s="14">
        <v>59.09</v>
      </c>
      <c r="K823" s="14">
        <v>3.29</v>
      </c>
      <c r="L823" s="14">
        <v>0.0</v>
      </c>
    </row>
    <row r="824">
      <c r="A824" s="14">
        <v>884.0</v>
      </c>
      <c r="B824" s="14">
        <v>3.0</v>
      </c>
      <c r="C824" s="34">
        <v>54.29</v>
      </c>
      <c r="D824" s="36">
        <v>44729.0</v>
      </c>
      <c r="E824" s="24"/>
      <c r="F824" s="14">
        <v>18.1</v>
      </c>
      <c r="G824" s="14">
        <v>61.41</v>
      </c>
      <c r="H824" s="14">
        <v>0.34</v>
      </c>
      <c r="I824" s="14" t="s">
        <v>6034</v>
      </c>
      <c r="J824" s="14">
        <v>100.0</v>
      </c>
      <c r="K824" s="14">
        <v>18.1</v>
      </c>
      <c r="L824" s="14">
        <v>0.0</v>
      </c>
    </row>
    <row r="825">
      <c r="A825" s="14">
        <v>1740.0</v>
      </c>
      <c r="B825" s="14">
        <v>22.0</v>
      </c>
      <c r="C825" s="34">
        <v>69.4</v>
      </c>
      <c r="D825" s="36">
        <v>44729.0</v>
      </c>
      <c r="E825" s="24"/>
      <c r="F825" s="14">
        <v>3.15</v>
      </c>
      <c r="G825" s="14">
        <v>39.89</v>
      </c>
      <c r="H825" s="14">
        <v>1.26</v>
      </c>
      <c r="I825" s="14" t="s">
        <v>6032</v>
      </c>
      <c r="J825" s="14">
        <v>54.55</v>
      </c>
      <c r="K825" s="14">
        <v>5.78</v>
      </c>
      <c r="L825" s="14">
        <v>0.0</v>
      </c>
    </row>
    <row r="826">
      <c r="A826" s="14">
        <v>1281.0</v>
      </c>
      <c r="B826" s="14">
        <v>18.0</v>
      </c>
      <c r="C826" s="34">
        <v>38.77</v>
      </c>
      <c r="D826" s="36">
        <v>44730.0</v>
      </c>
      <c r="E826" s="24"/>
      <c r="F826" s="14">
        <v>2.15</v>
      </c>
      <c r="G826" s="14">
        <v>30.27</v>
      </c>
      <c r="H826" s="14">
        <v>1.41</v>
      </c>
      <c r="I826" s="14" t="s">
        <v>6032</v>
      </c>
      <c r="J826" s="14">
        <v>77.78</v>
      </c>
      <c r="K826" s="14">
        <v>2.77</v>
      </c>
      <c r="L826" s="14">
        <v>0.0</v>
      </c>
    </row>
    <row r="827">
      <c r="A827" s="14">
        <v>578.0</v>
      </c>
      <c r="B827" s="14">
        <v>7.0</v>
      </c>
      <c r="C827" s="34">
        <v>15.69</v>
      </c>
      <c r="D827" s="36">
        <v>44730.0</v>
      </c>
      <c r="E827" s="24"/>
      <c r="F827" s="14">
        <v>2.24</v>
      </c>
      <c r="G827" s="14">
        <v>27.15</v>
      </c>
      <c r="H827" s="14">
        <v>1.21</v>
      </c>
      <c r="I827" s="14" t="s">
        <v>6033</v>
      </c>
      <c r="J827" s="14">
        <v>71.43</v>
      </c>
      <c r="K827" s="14">
        <v>3.14</v>
      </c>
      <c r="L827" s="14">
        <v>0.0</v>
      </c>
    </row>
    <row r="828">
      <c r="A828" s="14">
        <v>597.0</v>
      </c>
      <c r="B828" s="14">
        <v>0.0</v>
      </c>
      <c r="C828" s="34">
        <v>37.12</v>
      </c>
      <c r="D828" s="36">
        <v>44730.0</v>
      </c>
      <c r="E828" s="24"/>
      <c r="F828" s="14" t="s">
        <v>6012</v>
      </c>
      <c r="G828" s="14">
        <v>62.18</v>
      </c>
      <c r="H828" s="14">
        <v>0.0</v>
      </c>
      <c r="I828" s="14" t="s">
        <v>6046</v>
      </c>
      <c r="J828" s="14" t="s">
        <v>6012</v>
      </c>
      <c r="K828" s="14">
        <v>6.19</v>
      </c>
      <c r="L828" s="14">
        <v>0.0</v>
      </c>
    </row>
    <row r="829">
      <c r="A829" s="14">
        <v>994.0</v>
      </c>
      <c r="B829" s="14">
        <v>15.0</v>
      </c>
      <c r="C829" s="34">
        <v>12.8</v>
      </c>
      <c r="D829" s="36">
        <v>44730.0</v>
      </c>
      <c r="E829" s="24"/>
      <c r="F829" s="14">
        <v>0.85</v>
      </c>
      <c r="G829" s="14">
        <v>12.88</v>
      </c>
      <c r="H829" s="14">
        <v>1.51</v>
      </c>
      <c r="I829" s="14" t="s">
        <v>6026</v>
      </c>
      <c r="J829" s="14">
        <v>53.33</v>
      </c>
      <c r="K829" s="14">
        <v>1.6</v>
      </c>
      <c r="L829" s="14">
        <v>0.0</v>
      </c>
    </row>
    <row r="830">
      <c r="A830" s="14">
        <v>467.0</v>
      </c>
      <c r="B830" s="14">
        <v>3.0</v>
      </c>
      <c r="C830" s="34">
        <v>60.98</v>
      </c>
      <c r="D830" s="36">
        <v>44730.0</v>
      </c>
      <c r="E830" s="24"/>
      <c r="F830" s="14">
        <v>20.33</v>
      </c>
      <c r="G830" s="14">
        <v>130.58</v>
      </c>
      <c r="H830" s="14">
        <v>0.64</v>
      </c>
      <c r="I830" s="14" t="s">
        <v>6042</v>
      </c>
      <c r="J830" s="14">
        <v>466.67</v>
      </c>
      <c r="K830" s="14">
        <v>4.36</v>
      </c>
      <c r="L830" s="14">
        <v>0.0</v>
      </c>
    </row>
    <row r="831">
      <c r="A831" s="14">
        <v>697.0</v>
      </c>
      <c r="B831" s="14">
        <v>10.0</v>
      </c>
      <c r="C831" s="34">
        <v>51.13</v>
      </c>
      <c r="D831" s="36">
        <v>44730.0</v>
      </c>
      <c r="E831" s="24"/>
      <c r="F831" s="14">
        <v>5.11</v>
      </c>
      <c r="G831" s="14">
        <v>73.36</v>
      </c>
      <c r="H831" s="14">
        <v>1.43</v>
      </c>
      <c r="I831" s="14" t="s">
        <v>6027</v>
      </c>
      <c r="J831" s="14">
        <v>70.0</v>
      </c>
      <c r="K831" s="14">
        <v>7.3</v>
      </c>
      <c r="L831" s="14">
        <v>0.0</v>
      </c>
    </row>
    <row r="832">
      <c r="A832" s="14">
        <v>1008.0</v>
      </c>
      <c r="B832" s="14">
        <v>6.0</v>
      </c>
      <c r="C832" s="34">
        <v>36.74</v>
      </c>
      <c r="D832" s="36">
        <v>44730.0</v>
      </c>
      <c r="E832" s="24"/>
      <c r="F832" s="14">
        <v>6.12</v>
      </c>
      <c r="G832" s="14">
        <v>36.45</v>
      </c>
      <c r="H832" s="14">
        <v>0.6</v>
      </c>
      <c r="I832" s="14" t="s">
        <v>6036</v>
      </c>
      <c r="J832" s="14">
        <v>283.33</v>
      </c>
      <c r="K832" s="14">
        <v>2.16</v>
      </c>
      <c r="L832" s="14">
        <v>0.0</v>
      </c>
    </row>
    <row r="833">
      <c r="A833" s="14">
        <v>428.0</v>
      </c>
      <c r="B833" s="14">
        <v>2.0</v>
      </c>
      <c r="C833" s="34">
        <v>22.74</v>
      </c>
      <c r="D833" s="36">
        <v>44730.0</v>
      </c>
      <c r="E833" s="24"/>
      <c r="F833" s="14">
        <v>11.37</v>
      </c>
      <c r="G833" s="14">
        <v>53.13</v>
      </c>
      <c r="H833" s="14">
        <v>0.47</v>
      </c>
      <c r="I833" s="14" t="s">
        <v>6038</v>
      </c>
      <c r="J833" s="14">
        <v>300.0</v>
      </c>
      <c r="K833" s="14">
        <v>3.79</v>
      </c>
      <c r="L833" s="14">
        <v>0.0</v>
      </c>
    </row>
    <row r="834">
      <c r="A834" s="14">
        <v>1591.0</v>
      </c>
      <c r="B834" s="14">
        <v>5.0</v>
      </c>
      <c r="C834" s="34">
        <v>12.77</v>
      </c>
      <c r="D834" s="36">
        <v>44730.0</v>
      </c>
      <c r="E834" s="24"/>
      <c r="F834" s="14">
        <v>2.55</v>
      </c>
      <c r="G834" s="14">
        <v>8.03</v>
      </c>
      <c r="H834" s="14">
        <v>0.31</v>
      </c>
      <c r="I834" s="14" t="s">
        <v>6022</v>
      </c>
      <c r="J834" s="14">
        <v>260.0</v>
      </c>
      <c r="K834" s="14">
        <v>0.98</v>
      </c>
      <c r="L834" s="14">
        <v>0.0</v>
      </c>
    </row>
    <row r="835">
      <c r="A835" s="14">
        <v>492.0</v>
      </c>
      <c r="B835" s="14">
        <v>7.0</v>
      </c>
      <c r="C835" s="34">
        <v>61.97</v>
      </c>
      <c r="D835" s="36">
        <v>44730.0</v>
      </c>
      <c r="E835" s="24"/>
      <c r="F835" s="14">
        <v>8.85</v>
      </c>
      <c r="G835" s="14">
        <v>125.96</v>
      </c>
      <c r="H835" s="14">
        <v>1.42</v>
      </c>
      <c r="I835" s="14" t="s">
        <v>6041</v>
      </c>
      <c r="J835" s="14">
        <v>28.57</v>
      </c>
      <c r="K835" s="14">
        <v>30.98</v>
      </c>
      <c r="L835" s="14">
        <v>0.0</v>
      </c>
    </row>
    <row r="836">
      <c r="A836" s="14">
        <v>2311.0</v>
      </c>
      <c r="B836" s="14">
        <v>62.0</v>
      </c>
      <c r="C836" s="34">
        <v>38.03</v>
      </c>
      <c r="D836" s="36">
        <v>44730.0</v>
      </c>
      <c r="E836" s="24"/>
      <c r="F836" s="14">
        <v>0.61</v>
      </c>
      <c r="G836" s="14">
        <v>16.46</v>
      </c>
      <c r="H836" s="14">
        <v>2.68</v>
      </c>
      <c r="I836" s="14" t="s">
        <v>6045</v>
      </c>
      <c r="J836" s="14">
        <v>1.61</v>
      </c>
      <c r="K836" s="14">
        <v>38.03</v>
      </c>
      <c r="L836" s="14">
        <v>0.0</v>
      </c>
    </row>
    <row r="837">
      <c r="A837" s="14">
        <v>723.0</v>
      </c>
      <c r="B837" s="14">
        <v>20.0</v>
      </c>
      <c r="C837" s="34">
        <v>23.05</v>
      </c>
      <c r="D837" s="36">
        <v>44730.0</v>
      </c>
      <c r="E837" s="24"/>
      <c r="F837" s="14">
        <v>1.15</v>
      </c>
      <c r="G837" s="14">
        <v>31.88</v>
      </c>
      <c r="H837" s="14">
        <v>2.77</v>
      </c>
      <c r="I837" s="14" t="s">
        <v>6028</v>
      </c>
      <c r="J837" s="14">
        <v>80.0</v>
      </c>
      <c r="K837" s="14">
        <v>1.44</v>
      </c>
      <c r="L837" s="14">
        <v>0.0</v>
      </c>
    </row>
    <row r="838">
      <c r="A838" s="14">
        <v>228.0</v>
      </c>
      <c r="B838" s="14">
        <v>1.0</v>
      </c>
      <c r="C838" s="34">
        <v>37.86</v>
      </c>
      <c r="D838" s="36">
        <v>44730.0</v>
      </c>
      <c r="E838" s="24"/>
      <c r="F838" s="14">
        <v>37.86</v>
      </c>
      <c r="G838" s="14">
        <v>166.05</v>
      </c>
      <c r="H838" s="14">
        <v>0.44</v>
      </c>
      <c r="I838" s="14" t="s">
        <v>6034</v>
      </c>
      <c r="J838" s="14">
        <v>400.0</v>
      </c>
      <c r="K838" s="14">
        <v>9.46</v>
      </c>
      <c r="L838" s="14">
        <v>0.0</v>
      </c>
    </row>
    <row r="839">
      <c r="A839" s="14">
        <v>4593.0</v>
      </c>
      <c r="B839" s="14">
        <v>54.0</v>
      </c>
      <c r="C839" s="34">
        <v>85.12</v>
      </c>
      <c r="D839" s="36">
        <v>44730.0</v>
      </c>
      <c r="E839" s="24"/>
      <c r="F839" s="14">
        <v>1.58</v>
      </c>
      <c r="G839" s="14">
        <v>18.53</v>
      </c>
      <c r="H839" s="14">
        <v>1.18</v>
      </c>
      <c r="I839" s="14" t="s">
        <v>6043</v>
      </c>
      <c r="J839" s="14">
        <v>144.44</v>
      </c>
      <c r="K839" s="14">
        <v>1.09</v>
      </c>
      <c r="L839" s="14">
        <v>0.0</v>
      </c>
    </row>
    <row r="840">
      <c r="A840" s="14">
        <v>847.0</v>
      </c>
      <c r="B840" s="14">
        <v>12.0</v>
      </c>
      <c r="C840" s="34">
        <v>22.58</v>
      </c>
      <c r="D840" s="36">
        <v>44730.0</v>
      </c>
      <c r="E840" s="24"/>
      <c r="F840" s="14">
        <v>1.88</v>
      </c>
      <c r="G840" s="14">
        <v>26.66</v>
      </c>
      <c r="H840" s="14">
        <v>1.42</v>
      </c>
      <c r="I840" s="14" t="s">
        <v>6037</v>
      </c>
      <c r="J840" s="14">
        <v>66.67</v>
      </c>
      <c r="K840" s="14">
        <v>2.82</v>
      </c>
      <c r="L840" s="14">
        <v>0.0</v>
      </c>
    </row>
    <row r="841">
      <c r="A841" s="14">
        <v>622.0</v>
      </c>
      <c r="B841" s="14">
        <v>7.0</v>
      </c>
      <c r="C841" s="34">
        <v>45.22</v>
      </c>
      <c r="D841" s="36">
        <v>44730.0</v>
      </c>
      <c r="E841" s="24"/>
      <c r="F841" s="14">
        <v>6.46</v>
      </c>
      <c r="G841" s="14">
        <v>72.7</v>
      </c>
      <c r="H841" s="14">
        <v>1.13</v>
      </c>
      <c r="I841" s="14" t="s">
        <v>6039</v>
      </c>
      <c r="J841" s="14">
        <v>85.71</v>
      </c>
      <c r="K841" s="14">
        <v>7.54</v>
      </c>
      <c r="L841" s="14">
        <v>0.0</v>
      </c>
    </row>
    <row r="842">
      <c r="A842" s="14">
        <v>706.0</v>
      </c>
      <c r="B842" s="14">
        <v>4.0</v>
      </c>
      <c r="C842" s="34">
        <v>24.88</v>
      </c>
      <c r="D842" s="36">
        <v>44730.0</v>
      </c>
      <c r="E842" s="24"/>
      <c r="F842" s="14">
        <v>6.22</v>
      </c>
      <c r="G842" s="14">
        <v>35.24</v>
      </c>
      <c r="H842" s="14">
        <v>0.57</v>
      </c>
      <c r="I842" s="14" t="s">
        <v>6030</v>
      </c>
      <c r="J842" s="14">
        <v>175.0</v>
      </c>
      <c r="K842" s="14">
        <v>3.55</v>
      </c>
      <c r="L842" s="14">
        <v>0.0</v>
      </c>
    </row>
    <row r="843">
      <c r="A843" s="14">
        <v>928.0</v>
      </c>
      <c r="B843" s="14">
        <v>6.0</v>
      </c>
      <c r="C843" s="34">
        <v>65.74</v>
      </c>
      <c r="D843" s="36">
        <v>44730.0</v>
      </c>
      <c r="E843" s="24"/>
      <c r="F843" s="14">
        <v>10.96</v>
      </c>
      <c r="G843" s="14">
        <v>70.84</v>
      </c>
      <c r="H843" s="14">
        <v>0.65</v>
      </c>
      <c r="I843" s="14" t="s">
        <v>6040</v>
      </c>
      <c r="J843" s="14">
        <v>33.33</v>
      </c>
      <c r="K843" s="14">
        <v>32.87</v>
      </c>
      <c r="L843" s="14">
        <v>0.0</v>
      </c>
    </row>
    <row r="844">
      <c r="A844" s="14">
        <v>1022.0</v>
      </c>
      <c r="B844" s="14">
        <v>4.0</v>
      </c>
      <c r="C844" s="34">
        <v>36.83</v>
      </c>
      <c r="D844" s="36">
        <v>44730.0</v>
      </c>
      <c r="E844" s="24"/>
      <c r="F844" s="14">
        <v>9.21</v>
      </c>
      <c r="G844" s="14">
        <v>36.04</v>
      </c>
      <c r="H844" s="14">
        <v>0.39</v>
      </c>
      <c r="I844" s="14" t="s">
        <v>6035</v>
      </c>
      <c r="J844" s="14">
        <v>300.0</v>
      </c>
      <c r="K844" s="14">
        <v>3.07</v>
      </c>
      <c r="L844" s="14">
        <v>0.0</v>
      </c>
    </row>
    <row r="845">
      <c r="A845" s="14">
        <v>894.0</v>
      </c>
      <c r="B845" s="14">
        <v>1.0</v>
      </c>
      <c r="C845" s="34">
        <v>43.99</v>
      </c>
      <c r="D845" s="36">
        <v>44730.0</v>
      </c>
      <c r="E845" s="24"/>
      <c r="F845" s="14">
        <v>43.99</v>
      </c>
      <c r="G845" s="14">
        <v>49.21</v>
      </c>
      <c r="H845" s="14">
        <v>0.11</v>
      </c>
      <c r="I845" s="14" t="s">
        <v>6029</v>
      </c>
      <c r="J845" s="14">
        <v>500.0</v>
      </c>
      <c r="K845" s="14">
        <v>8.8</v>
      </c>
      <c r="L845" s="14">
        <v>0.0</v>
      </c>
    </row>
    <row r="846">
      <c r="A846" s="14">
        <v>0.0</v>
      </c>
      <c r="B846" s="14">
        <v>0.0</v>
      </c>
      <c r="C846" s="34"/>
      <c r="D846" s="36">
        <v>44730.0</v>
      </c>
      <c r="E846" s="24"/>
      <c r="F846" s="14" t="s">
        <v>6012</v>
      </c>
      <c r="G846" s="14" t="s">
        <v>6012</v>
      </c>
      <c r="H846" s="14" t="s">
        <v>6012</v>
      </c>
      <c r="I846" s="14" t="s">
        <v>6024</v>
      </c>
      <c r="J846" s="14" t="s">
        <v>6012</v>
      </c>
      <c r="K846" s="14" t="s">
        <v>6012</v>
      </c>
      <c r="L846" s="14"/>
    </row>
    <row r="847">
      <c r="A847" s="14">
        <v>1197.0</v>
      </c>
      <c r="B847" s="14">
        <v>8.0</v>
      </c>
      <c r="C847" s="34">
        <v>42.3</v>
      </c>
      <c r="D847" s="36">
        <v>44730.0</v>
      </c>
      <c r="E847" s="24"/>
      <c r="F847" s="14">
        <v>5.29</v>
      </c>
      <c r="G847" s="14">
        <v>35.34</v>
      </c>
      <c r="H847" s="14">
        <v>0.67</v>
      </c>
      <c r="I847" s="14" t="s">
        <v>6031</v>
      </c>
      <c r="J847" s="14">
        <v>175.0</v>
      </c>
      <c r="K847" s="14">
        <v>3.02</v>
      </c>
      <c r="L847" s="14">
        <v>0.0</v>
      </c>
    </row>
    <row r="848">
      <c r="A848" s="14">
        <v>1287.0</v>
      </c>
      <c r="B848" s="14">
        <v>46.0</v>
      </c>
      <c r="C848" s="34">
        <v>70.36</v>
      </c>
      <c r="D848" s="36">
        <v>44730.0</v>
      </c>
      <c r="E848" s="24"/>
      <c r="F848" s="14">
        <v>1.53</v>
      </c>
      <c r="G848" s="14">
        <v>54.67</v>
      </c>
      <c r="H848" s="14">
        <v>3.57</v>
      </c>
      <c r="I848" s="14" t="s">
        <v>6044</v>
      </c>
      <c r="J848" s="14">
        <v>117.39</v>
      </c>
      <c r="K848" s="14">
        <v>1.3</v>
      </c>
      <c r="L848" s="14">
        <v>0.0</v>
      </c>
    </row>
    <row r="849">
      <c r="A849" s="14">
        <v>880.0</v>
      </c>
      <c r="B849" s="14">
        <v>0.0</v>
      </c>
      <c r="C849" s="34">
        <v>40.62</v>
      </c>
      <c r="D849" s="36">
        <v>44731.0</v>
      </c>
      <c r="E849" s="24"/>
      <c r="F849" s="14" t="s">
        <v>6012</v>
      </c>
      <c r="G849" s="14">
        <v>46.16</v>
      </c>
      <c r="H849" s="14">
        <v>0.0</v>
      </c>
      <c r="I849" s="14" t="s">
        <v>6029</v>
      </c>
      <c r="J849" s="14" t="s">
        <v>6012</v>
      </c>
      <c r="K849" s="14">
        <v>20.31</v>
      </c>
      <c r="L849" s="14">
        <v>0.0</v>
      </c>
    </row>
    <row r="850">
      <c r="A850" s="14">
        <v>580.0</v>
      </c>
      <c r="B850" s="14">
        <v>7.0</v>
      </c>
      <c r="C850" s="34">
        <v>46.48</v>
      </c>
      <c r="D850" s="36">
        <v>44731.0</v>
      </c>
      <c r="E850" s="24"/>
      <c r="F850" s="14">
        <v>6.64</v>
      </c>
      <c r="G850" s="14">
        <v>80.14</v>
      </c>
      <c r="H850" s="14">
        <v>1.21</v>
      </c>
      <c r="I850" s="14" t="s">
        <v>6027</v>
      </c>
      <c r="J850" s="14">
        <v>57.14</v>
      </c>
      <c r="K850" s="14">
        <v>11.62</v>
      </c>
      <c r="L850" s="14">
        <v>0.0</v>
      </c>
    </row>
    <row r="851">
      <c r="A851" s="14">
        <v>349.0</v>
      </c>
      <c r="B851" s="14">
        <v>2.0</v>
      </c>
      <c r="C851" s="34">
        <v>72.66</v>
      </c>
      <c r="D851" s="36">
        <v>44731.0</v>
      </c>
      <c r="E851" s="24"/>
      <c r="F851" s="14">
        <v>36.33</v>
      </c>
      <c r="G851" s="14">
        <v>208.19</v>
      </c>
      <c r="H851" s="14">
        <v>0.57</v>
      </c>
      <c r="I851" s="14" t="s">
        <v>6041</v>
      </c>
      <c r="J851" s="14">
        <v>50.0</v>
      </c>
      <c r="K851" s="14">
        <v>72.66</v>
      </c>
      <c r="L851" s="14">
        <v>0.0</v>
      </c>
    </row>
    <row r="852">
      <c r="A852" s="14">
        <v>1078.0</v>
      </c>
      <c r="B852" s="14">
        <v>15.0</v>
      </c>
      <c r="C852" s="34">
        <v>14.42</v>
      </c>
      <c r="D852" s="36">
        <v>44731.0</v>
      </c>
      <c r="E852" s="24"/>
      <c r="F852" s="14">
        <v>0.96</v>
      </c>
      <c r="G852" s="14">
        <v>13.38</v>
      </c>
      <c r="H852" s="14">
        <v>1.39</v>
      </c>
      <c r="I852" s="14" t="s">
        <v>6026</v>
      </c>
      <c r="J852" s="14">
        <v>66.67</v>
      </c>
      <c r="K852" s="14">
        <v>1.44</v>
      </c>
      <c r="L852" s="14">
        <v>0.0</v>
      </c>
    </row>
    <row r="853">
      <c r="A853" s="14">
        <v>771.0</v>
      </c>
      <c r="B853" s="14">
        <v>9.0</v>
      </c>
      <c r="C853" s="34">
        <v>22.16</v>
      </c>
      <c r="D853" s="36">
        <v>44731.0</v>
      </c>
      <c r="E853" s="24"/>
      <c r="F853" s="14">
        <v>2.46</v>
      </c>
      <c r="G853" s="14">
        <v>28.74</v>
      </c>
      <c r="H853" s="14">
        <v>1.17</v>
      </c>
      <c r="I853" s="14" t="s">
        <v>6037</v>
      </c>
      <c r="J853" s="14">
        <v>77.78</v>
      </c>
      <c r="K853" s="14">
        <v>3.17</v>
      </c>
      <c r="L853" s="14">
        <v>0.0</v>
      </c>
    </row>
    <row r="854">
      <c r="A854" s="14">
        <v>340.0</v>
      </c>
      <c r="B854" s="14">
        <v>3.0</v>
      </c>
      <c r="C854" s="34">
        <v>34.58</v>
      </c>
      <c r="D854" s="36">
        <v>44731.0</v>
      </c>
      <c r="E854" s="24"/>
      <c r="F854" s="14">
        <v>11.53</v>
      </c>
      <c r="G854" s="14">
        <v>101.71</v>
      </c>
      <c r="H854" s="14">
        <v>0.88</v>
      </c>
      <c r="I854" s="14" t="s">
        <v>6034</v>
      </c>
      <c r="J854" s="14">
        <v>200.0</v>
      </c>
      <c r="K854" s="14">
        <v>5.76</v>
      </c>
      <c r="L854" s="14">
        <v>0.0</v>
      </c>
    </row>
    <row r="855">
      <c r="A855" s="14">
        <v>670.0</v>
      </c>
      <c r="B855" s="14">
        <v>12.0</v>
      </c>
      <c r="C855" s="34">
        <v>22.89</v>
      </c>
      <c r="D855" s="36">
        <v>44731.0</v>
      </c>
      <c r="E855" s="24"/>
      <c r="F855" s="14">
        <v>1.91</v>
      </c>
      <c r="G855" s="14">
        <v>34.16</v>
      </c>
      <c r="H855" s="14">
        <v>1.79</v>
      </c>
      <c r="I855" s="14" t="s">
        <v>6028</v>
      </c>
      <c r="J855" s="14">
        <v>100.0</v>
      </c>
      <c r="K855" s="14">
        <v>1.91</v>
      </c>
      <c r="L855" s="14">
        <v>0.0</v>
      </c>
    </row>
    <row r="856">
      <c r="A856" s="14">
        <v>655.0</v>
      </c>
      <c r="B856" s="14">
        <v>0.0</v>
      </c>
      <c r="C856" s="34">
        <v>15.33</v>
      </c>
      <c r="D856" s="36">
        <v>44731.0</v>
      </c>
      <c r="E856" s="24"/>
      <c r="F856" s="14" t="s">
        <v>6012</v>
      </c>
      <c r="G856" s="14">
        <v>23.4</v>
      </c>
      <c r="H856" s="14">
        <v>0.0</v>
      </c>
      <c r="I856" s="14" t="s">
        <v>6033</v>
      </c>
      <c r="J856" s="14" t="s">
        <v>6012</v>
      </c>
      <c r="K856" s="14">
        <v>2.56</v>
      </c>
      <c r="L856" s="14">
        <v>0.0</v>
      </c>
    </row>
    <row r="857">
      <c r="A857" s="14">
        <v>1034.0</v>
      </c>
      <c r="B857" s="14">
        <v>8.0</v>
      </c>
      <c r="C857" s="34">
        <v>62.52</v>
      </c>
      <c r="D857" s="36">
        <v>44731.0</v>
      </c>
      <c r="E857" s="24"/>
      <c r="F857" s="14">
        <v>7.82</v>
      </c>
      <c r="G857" s="14">
        <v>60.46</v>
      </c>
      <c r="H857" s="14">
        <v>0.77</v>
      </c>
      <c r="I857" s="14" t="s">
        <v>6040</v>
      </c>
      <c r="J857" s="14">
        <v>50.0</v>
      </c>
      <c r="K857" s="14">
        <v>15.63</v>
      </c>
      <c r="L857" s="14">
        <v>0.0</v>
      </c>
    </row>
    <row r="858">
      <c r="A858" s="14">
        <v>731.0</v>
      </c>
      <c r="B858" s="14">
        <v>5.0</v>
      </c>
      <c r="C858" s="34">
        <v>36.18</v>
      </c>
      <c r="D858" s="36">
        <v>44731.0</v>
      </c>
      <c r="E858" s="24"/>
      <c r="F858" s="14">
        <v>7.24</v>
      </c>
      <c r="G858" s="14">
        <v>49.49</v>
      </c>
      <c r="H858" s="14">
        <v>0.68</v>
      </c>
      <c r="I858" s="14" t="s">
        <v>6046</v>
      </c>
      <c r="J858" s="14">
        <v>60.0</v>
      </c>
      <c r="K858" s="14">
        <v>12.06</v>
      </c>
      <c r="L858" s="14">
        <v>0.0</v>
      </c>
    </row>
    <row r="859">
      <c r="A859" s="14">
        <v>0.0</v>
      </c>
      <c r="B859" s="14">
        <v>0.0</v>
      </c>
      <c r="C859" s="34"/>
      <c r="D859" s="36">
        <v>44731.0</v>
      </c>
      <c r="E859" s="24"/>
      <c r="F859" s="14" t="s">
        <v>6012</v>
      </c>
      <c r="G859" s="14" t="s">
        <v>6012</v>
      </c>
      <c r="H859" s="14" t="s">
        <v>6012</v>
      </c>
      <c r="I859" s="14" t="s">
        <v>6024</v>
      </c>
      <c r="J859" s="14" t="s">
        <v>6012</v>
      </c>
      <c r="K859" s="14" t="s">
        <v>6012</v>
      </c>
      <c r="L859" s="14"/>
    </row>
    <row r="860">
      <c r="A860" s="14">
        <v>1673.0</v>
      </c>
      <c r="B860" s="14">
        <v>4.0</v>
      </c>
      <c r="C860" s="34">
        <v>39.42</v>
      </c>
      <c r="D860" s="36">
        <v>44731.0</v>
      </c>
      <c r="E860" s="24"/>
      <c r="F860" s="14">
        <v>9.86</v>
      </c>
      <c r="G860" s="14">
        <v>23.56</v>
      </c>
      <c r="H860" s="14">
        <v>0.24</v>
      </c>
      <c r="I860" s="14" t="s">
        <v>6031</v>
      </c>
      <c r="J860" s="14">
        <v>150.0</v>
      </c>
      <c r="K860" s="14">
        <v>6.57</v>
      </c>
      <c r="L860" s="14">
        <v>0.0</v>
      </c>
    </row>
    <row r="861">
      <c r="A861" s="14">
        <v>289.0</v>
      </c>
      <c r="B861" s="14">
        <v>1.0</v>
      </c>
      <c r="C861" s="34">
        <v>68.0</v>
      </c>
      <c r="D861" s="36">
        <v>44731.0</v>
      </c>
      <c r="E861" s="24"/>
      <c r="F861" s="14">
        <v>68.0</v>
      </c>
      <c r="G861" s="14">
        <v>235.29</v>
      </c>
      <c r="H861" s="14">
        <v>0.35</v>
      </c>
      <c r="I861" s="14" t="s">
        <v>6042</v>
      </c>
      <c r="J861" s="14">
        <v>700.0</v>
      </c>
      <c r="K861" s="14">
        <v>9.71</v>
      </c>
      <c r="L861" s="14">
        <v>0.0</v>
      </c>
    </row>
    <row r="862">
      <c r="A862" s="14">
        <v>706.0</v>
      </c>
      <c r="B862" s="14">
        <v>5.0</v>
      </c>
      <c r="C862" s="34">
        <v>24.99</v>
      </c>
      <c r="D862" s="36">
        <v>44731.0</v>
      </c>
      <c r="E862" s="24"/>
      <c r="F862" s="14">
        <v>5.0</v>
      </c>
      <c r="G862" s="14">
        <v>35.4</v>
      </c>
      <c r="H862" s="14">
        <v>0.71</v>
      </c>
      <c r="I862" s="14" t="s">
        <v>6030</v>
      </c>
      <c r="J862" s="14">
        <v>200.0</v>
      </c>
      <c r="K862" s="14">
        <v>2.5</v>
      </c>
      <c r="L862" s="14">
        <v>0.0</v>
      </c>
    </row>
    <row r="863">
      <c r="A863" s="14">
        <v>851.0</v>
      </c>
      <c r="B863" s="14">
        <v>2.0</v>
      </c>
      <c r="C863" s="34">
        <v>34.43</v>
      </c>
      <c r="D863" s="36">
        <v>44731.0</v>
      </c>
      <c r="E863" s="24"/>
      <c r="F863" s="14">
        <v>17.22</v>
      </c>
      <c r="G863" s="14">
        <v>40.46</v>
      </c>
      <c r="H863" s="14">
        <v>0.24</v>
      </c>
      <c r="I863" s="14" t="s">
        <v>6035</v>
      </c>
      <c r="J863" s="14">
        <v>150.0</v>
      </c>
      <c r="K863" s="14">
        <v>11.48</v>
      </c>
      <c r="L863" s="14">
        <v>0.0</v>
      </c>
    </row>
    <row r="864">
      <c r="A864" s="14">
        <v>679.0</v>
      </c>
      <c r="B864" s="14">
        <v>16.0</v>
      </c>
      <c r="C864" s="34">
        <v>42.65</v>
      </c>
      <c r="D864" s="36">
        <v>44731.0</v>
      </c>
      <c r="E864" s="24"/>
      <c r="F864" s="14">
        <v>2.67</v>
      </c>
      <c r="G864" s="14">
        <v>62.81</v>
      </c>
      <c r="H864" s="14">
        <v>2.36</v>
      </c>
      <c r="I864" s="14" t="s">
        <v>6039</v>
      </c>
      <c r="J864" s="14">
        <v>56.25</v>
      </c>
      <c r="K864" s="14">
        <v>4.74</v>
      </c>
      <c r="L864" s="14">
        <v>0.0</v>
      </c>
    </row>
    <row r="865">
      <c r="A865" s="14">
        <v>1314.0</v>
      </c>
      <c r="B865" s="14">
        <v>25.0</v>
      </c>
      <c r="C865" s="34">
        <v>67.82</v>
      </c>
      <c r="D865" s="36">
        <v>44731.0</v>
      </c>
      <c r="E865" s="24"/>
      <c r="F865" s="14">
        <v>2.71</v>
      </c>
      <c r="G865" s="14">
        <v>51.61</v>
      </c>
      <c r="H865" s="14">
        <v>1.9</v>
      </c>
      <c r="I865" s="14" t="s">
        <v>6044</v>
      </c>
      <c r="J865" s="14">
        <v>100.0</v>
      </c>
      <c r="K865" s="14">
        <v>2.71</v>
      </c>
      <c r="L865" s="14">
        <v>0.0</v>
      </c>
    </row>
    <row r="866">
      <c r="A866" s="14">
        <v>1482.0</v>
      </c>
      <c r="B866" s="14">
        <v>13.0</v>
      </c>
      <c r="C866" s="34">
        <v>37.88</v>
      </c>
      <c r="D866" s="36">
        <v>44731.0</v>
      </c>
      <c r="E866" s="24"/>
      <c r="F866" s="14">
        <v>2.91</v>
      </c>
      <c r="G866" s="14">
        <v>25.56</v>
      </c>
      <c r="H866" s="14">
        <v>0.88</v>
      </c>
      <c r="I866" s="14" t="s">
        <v>6032</v>
      </c>
      <c r="J866" s="14">
        <v>61.54</v>
      </c>
      <c r="K866" s="14">
        <v>4.74</v>
      </c>
      <c r="L866" s="14">
        <v>0.0</v>
      </c>
    </row>
    <row r="867">
      <c r="A867" s="14">
        <v>2618.0</v>
      </c>
      <c r="B867" s="14">
        <v>21.0</v>
      </c>
      <c r="C867" s="34">
        <v>34.36</v>
      </c>
      <c r="D867" s="36">
        <v>44731.0</v>
      </c>
      <c r="E867" s="24"/>
      <c r="F867" s="14">
        <v>1.64</v>
      </c>
      <c r="G867" s="14">
        <v>13.12</v>
      </c>
      <c r="H867" s="14">
        <v>0.8</v>
      </c>
      <c r="I867" s="14" t="s">
        <v>6045</v>
      </c>
      <c r="J867" s="14">
        <v>0.0</v>
      </c>
      <c r="K867" s="14" t="s">
        <v>6012</v>
      </c>
      <c r="L867" s="14">
        <v>0.0</v>
      </c>
    </row>
    <row r="868">
      <c r="A868" s="14">
        <v>1018.0</v>
      </c>
      <c r="B868" s="14">
        <v>9.0</v>
      </c>
      <c r="C868" s="34">
        <v>35.31</v>
      </c>
      <c r="D868" s="36">
        <v>44731.0</v>
      </c>
      <c r="E868" s="24"/>
      <c r="F868" s="14">
        <v>3.92</v>
      </c>
      <c r="G868" s="14">
        <v>34.69</v>
      </c>
      <c r="H868" s="14">
        <v>0.88</v>
      </c>
      <c r="I868" s="14" t="s">
        <v>6036</v>
      </c>
      <c r="J868" s="14">
        <v>177.78</v>
      </c>
      <c r="K868" s="14">
        <v>2.21</v>
      </c>
      <c r="L868" s="14">
        <v>0.0</v>
      </c>
    </row>
    <row r="869">
      <c r="A869" s="14">
        <v>5122.0</v>
      </c>
      <c r="B869" s="14">
        <v>46.0</v>
      </c>
      <c r="C869" s="34">
        <v>89.27</v>
      </c>
      <c r="D869" s="36">
        <v>44731.0</v>
      </c>
      <c r="E869" s="24"/>
      <c r="F869" s="14">
        <v>1.94</v>
      </c>
      <c r="G869" s="14">
        <v>17.43</v>
      </c>
      <c r="H869" s="14">
        <v>0.9</v>
      </c>
      <c r="I869" s="14" t="s">
        <v>6043</v>
      </c>
      <c r="J869" s="14">
        <v>117.39</v>
      </c>
      <c r="K869" s="14">
        <v>1.65</v>
      </c>
      <c r="L869" s="14">
        <v>0.0</v>
      </c>
    </row>
    <row r="870">
      <c r="A870" s="14">
        <v>435.0</v>
      </c>
      <c r="B870" s="14">
        <v>2.0</v>
      </c>
      <c r="C870" s="34">
        <v>20.82</v>
      </c>
      <c r="D870" s="36">
        <v>44731.0</v>
      </c>
      <c r="E870" s="24"/>
      <c r="F870" s="14">
        <v>10.41</v>
      </c>
      <c r="G870" s="14">
        <v>47.86</v>
      </c>
      <c r="H870" s="14">
        <v>0.46</v>
      </c>
      <c r="I870" s="14" t="s">
        <v>6038</v>
      </c>
      <c r="J870" s="14">
        <v>100.0</v>
      </c>
      <c r="K870" s="14">
        <v>10.41</v>
      </c>
      <c r="L870" s="14">
        <v>0.0</v>
      </c>
    </row>
    <row r="871">
      <c r="A871" s="14">
        <v>1610.0</v>
      </c>
      <c r="B871" s="14">
        <v>6.0</v>
      </c>
      <c r="C871" s="34">
        <v>11.44</v>
      </c>
      <c r="D871" s="36">
        <v>44731.0</v>
      </c>
      <c r="E871" s="24"/>
      <c r="F871" s="14">
        <v>1.91</v>
      </c>
      <c r="G871" s="14">
        <v>7.11</v>
      </c>
      <c r="H871" s="14">
        <v>0.37</v>
      </c>
      <c r="I871" s="14" t="s">
        <v>6022</v>
      </c>
      <c r="J871" s="14">
        <v>150.0</v>
      </c>
      <c r="K871" s="14">
        <v>1.27</v>
      </c>
      <c r="L871" s="14">
        <v>0.0</v>
      </c>
    </row>
    <row r="872">
      <c r="A872" s="14">
        <v>900.0</v>
      </c>
      <c r="B872" s="14">
        <v>14.0</v>
      </c>
      <c r="C872" s="34">
        <v>50.81</v>
      </c>
      <c r="D872" s="36">
        <v>44732.0</v>
      </c>
      <c r="E872" s="24"/>
      <c r="F872" s="14">
        <v>3.63</v>
      </c>
      <c r="G872" s="14">
        <v>56.46</v>
      </c>
      <c r="H872" s="14">
        <v>1.56</v>
      </c>
      <c r="I872" s="14" t="s">
        <v>6039</v>
      </c>
      <c r="J872" s="14">
        <v>85.71</v>
      </c>
      <c r="K872" s="14">
        <v>4.23</v>
      </c>
      <c r="L872" s="14">
        <v>0.0</v>
      </c>
    </row>
    <row r="873">
      <c r="A873" s="14">
        <v>1376.0</v>
      </c>
      <c r="B873" s="14">
        <v>3.0</v>
      </c>
      <c r="C873" s="34">
        <v>43.09</v>
      </c>
      <c r="D873" s="36">
        <v>44732.0</v>
      </c>
      <c r="E873" s="24"/>
      <c r="F873" s="14">
        <v>14.36</v>
      </c>
      <c r="G873" s="14">
        <v>31.32</v>
      </c>
      <c r="H873" s="14">
        <v>0.22</v>
      </c>
      <c r="I873" s="14" t="s">
        <v>6035</v>
      </c>
      <c r="J873" s="14">
        <v>166.67</v>
      </c>
      <c r="K873" s="14">
        <v>8.62</v>
      </c>
      <c r="L873" s="14">
        <v>0.0</v>
      </c>
    </row>
    <row r="874">
      <c r="A874" s="14">
        <v>1013.0</v>
      </c>
      <c r="B874" s="14">
        <v>4.0</v>
      </c>
      <c r="C874" s="34">
        <v>38.08</v>
      </c>
      <c r="D874" s="36">
        <v>44732.0</v>
      </c>
      <c r="E874" s="24"/>
      <c r="F874" s="14">
        <v>9.52</v>
      </c>
      <c r="G874" s="14">
        <v>37.59</v>
      </c>
      <c r="H874" s="14">
        <v>0.39</v>
      </c>
      <c r="I874" s="14" t="s">
        <v>6030</v>
      </c>
      <c r="J874" s="14">
        <v>250.0</v>
      </c>
      <c r="K874" s="14">
        <v>3.81</v>
      </c>
      <c r="L874" s="14">
        <v>0.0</v>
      </c>
    </row>
    <row r="875">
      <c r="A875" s="14">
        <v>1298.0</v>
      </c>
      <c r="B875" s="14">
        <v>19.0</v>
      </c>
      <c r="C875" s="34">
        <v>37.64</v>
      </c>
      <c r="D875" s="36">
        <v>44732.0</v>
      </c>
      <c r="E875" s="24"/>
      <c r="F875" s="14">
        <v>1.98</v>
      </c>
      <c r="G875" s="14">
        <v>29.0</v>
      </c>
      <c r="H875" s="14">
        <v>1.46</v>
      </c>
      <c r="I875" s="14" t="s">
        <v>6037</v>
      </c>
      <c r="J875" s="14">
        <v>21.05</v>
      </c>
      <c r="K875" s="14">
        <v>9.41</v>
      </c>
      <c r="L875" s="14">
        <v>0.0</v>
      </c>
    </row>
    <row r="876">
      <c r="A876" s="14">
        <v>1501.0</v>
      </c>
      <c r="B876" s="14">
        <v>2.0</v>
      </c>
      <c r="C876" s="34">
        <v>59.86</v>
      </c>
      <c r="D876" s="36">
        <v>44732.0</v>
      </c>
      <c r="E876" s="24"/>
      <c r="F876" s="14">
        <v>29.93</v>
      </c>
      <c r="G876" s="14">
        <v>39.88</v>
      </c>
      <c r="H876" s="14">
        <v>0.13</v>
      </c>
      <c r="I876" s="14" t="s">
        <v>6046</v>
      </c>
      <c r="J876" s="14">
        <v>200.0</v>
      </c>
      <c r="K876" s="14">
        <v>14.96</v>
      </c>
      <c r="L876" s="14">
        <v>0.0</v>
      </c>
    </row>
    <row r="877">
      <c r="A877" s="14">
        <v>1991.0</v>
      </c>
      <c r="B877" s="14">
        <v>10.0</v>
      </c>
      <c r="C877" s="34">
        <v>25.04</v>
      </c>
      <c r="D877" s="36">
        <v>44732.0</v>
      </c>
      <c r="E877" s="24"/>
      <c r="F877" s="14">
        <v>2.5</v>
      </c>
      <c r="G877" s="14">
        <v>12.58</v>
      </c>
      <c r="H877" s="14">
        <v>0.5</v>
      </c>
      <c r="I877" s="14" t="s">
        <v>6026</v>
      </c>
      <c r="J877" s="14">
        <v>30.0</v>
      </c>
      <c r="K877" s="14">
        <v>8.35</v>
      </c>
      <c r="L877" s="14">
        <v>0.0</v>
      </c>
    </row>
    <row r="878">
      <c r="A878" s="14">
        <v>1512.0</v>
      </c>
      <c r="B878" s="14">
        <v>1.0</v>
      </c>
      <c r="C878" s="34">
        <v>88.55</v>
      </c>
      <c r="D878" s="36">
        <v>44732.0</v>
      </c>
      <c r="E878" s="24"/>
      <c r="F878" s="14">
        <v>88.55</v>
      </c>
      <c r="G878" s="14">
        <v>58.56</v>
      </c>
      <c r="H878" s="14">
        <v>0.07</v>
      </c>
      <c r="I878" s="14" t="s">
        <v>6029</v>
      </c>
      <c r="J878" s="14">
        <v>400.0</v>
      </c>
      <c r="K878" s="14">
        <v>22.14</v>
      </c>
      <c r="L878" s="14">
        <v>0.0</v>
      </c>
    </row>
    <row r="879">
      <c r="A879" s="14">
        <v>6323.0</v>
      </c>
      <c r="B879" s="14">
        <v>46.0</v>
      </c>
      <c r="C879" s="34">
        <v>107.93</v>
      </c>
      <c r="D879" s="36">
        <v>44732.0</v>
      </c>
      <c r="E879" s="24"/>
      <c r="F879" s="14">
        <v>2.35</v>
      </c>
      <c r="G879" s="14">
        <v>17.07</v>
      </c>
      <c r="H879" s="14">
        <v>0.73</v>
      </c>
      <c r="I879" s="14" t="s">
        <v>6043</v>
      </c>
      <c r="J879" s="14">
        <v>82.61</v>
      </c>
      <c r="K879" s="14">
        <v>2.84</v>
      </c>
      <c r="L879" s="14">
        <v>0.0</v>
      </c>
    </row>
    <row r="880">
      <c r="A880" s="14">
        <v>1083.0</v>
      </c>
      <c r="B880" s="14">
        <v>7.0</v>
      </c>
      <c r="C880" s="34">
        <v>56.74</v>
      </c>
      <c r="D880" s="36">
        <v>44732.0</v>
      </c>
      <c r="E880" s="24"/>
      <c r="F880" s="14">
        <v>8.11</v>
      </c>
      <c r="G880" s="14">
        <v>52.39</v>
      </c>
      <c r="H880" s="14">
        <v>0.65</v>
      </c>
      <c r="I880" s="14" t="s">
        <v>6040</v>
      </c>
      <c r="J880" s="14">
        <v>28.57</v>
      </c>
      <c r="K880" s="14">
        <v>28.37</v>
      </c>
      <c r="L880" s="14">
        <v>0.0</v>
      </c>
    </row>
    <row r="881">
      <c r="A881" s="14">
        <v>954.0</v>
      </c>
      <c r="B881" s="14">
        <v>4.0</v>
      </c>
      <c r="C881" s="34">
        <v>53.88</v>
      </c>
      <c r="D881" s="36">
        <v>44732.0</v>
      </c>
      <c r="E881" s="24"/>
      <c r="F881" s="14">
        <v>13.47</v>
      </c>
      <c r="G881" s="14">
        <v>56.48</v>
      </c>
      <c r="H881" s="14">
        <v>0.42</v>
      </c>
      <c r="I881" s="14" t="s">
        <v>6034</v>
      </c>
      <c r="J881" s="14">
        <v>50.0</v>
      </c>
      <c r="K881" s="14">
        <v>26.94</v>
      </c>
      <c r="L881" s="14">
        <v>0.0</v>
      </c>
    </row>
    <row r="882">
      <c r="A882" s="14">
        <v>959.0</v>
      </c>
      <c r="B882" s="14">
        <v>17.0</v>
      </c>
      <c r="C882" s="34">
        <v>101.45</v>
      </c>
      <c r="D882" s="36">
        <v>44732.0</v>
      </c>
      <c r="E882" s="24"/>
      <c r="F882" s="14">
        <v>5.97</v>
      </c>
      <c r="G882" s="14">
        <v>105.79</v>
      </c>
      <c r="H882" s="14">
        <v>1.77</v>
      </c>
      <c r="I882" s="14" t="s">
        <v>6027</v>
      </c>
      <c r="J882" s="14">
        <v>70.59</v>
      </c>
      <c r="K882" s="14">
        <v>8.45</v>
      </c>
      <c r="L882" s="14">
        <v>0.0</v>
      </c>
    </row>
    <row r="883">
      <c r="A883" s="14">
        <v>2878.0</v>
      </c>
      <c r="B883" s="14">
        <v>6.0</v>
      </c>
      <c r="C883" s="34">
        <v>22.0</v>
      </c>
      <c r="D883" s="36">
        <v>44732.0</v>
      </c>
      <c r="E883" s="24"/>
      <c r="F883" s="14">
        <v>3.67</v>
      </c>
      <c r="G883" s="14">
        <v>7.64</v>
      </c>
      <c r="H883" s="14">
        <v>0.21</v>
      </c>
      <c r="I883" s="14" t="s">
        <v>6022</v>
      </c>
      <c r="J883" s="14">
        <v>166.67</v>
      </c>
      <c r="K883" s="14">
        <v>2.2</v>
      </c>
      <c r="L883" s="14">
        <v>0.0</v>
      </c>
    </row>
    <row r="884">
      <c r="A884" s="14">
        <v>466.0</v>
      </c>
      <c r="B884" s="14">
        <v>5.0</v>
      </c>
      <c r="C884" s="34">
        <v>56.56</v>
      </c>
      <c r="D884" s="36">
        <v>44732.0</v>
      </c>
      <c r="E884" s="24"/>
      <c r="F884" s="14">
        <v>11.31</v>
      </c>
      <c r="G884" s="14">
        <v>121.37</v>
      </c>
      <c r="H884" s="14">
        <v>1.07</v>
      </c>
      <c r="I884" s="14" t="s">
        <v>6041</v>
      </c>
      <c r="J884" s="14">
        <v>40.0</v>
      </c>
      <c r="K884" s="14">
        <v>28.28</v>
      </c>
      <c r="L884" s="14">
        <v>0.0</v>
      </c>
    </row>
    <row r="885">
      <c r="A885" s="14">
        <v>995.0</v>
      </c>
      <c r="B885" s="14">
        <v>4.0</v>
      </c>
      <c r="C885" s="34">
        <v>25.08</v>
      </c>
      <c r="D885" s="36">
        <v>44732.0</v>
      </c>
      <c r="E885" s="24"/>
      <c r="F885" s="14">
        <v>6.27</v>
      </c>
      <c r="G885" s="14">
        <v>25.21</v>
      </c>
      <c r="H885" s="14">
        <v>0.4</v>
      </c>
      <c r="I885" s="14" t="s">
        <v>6033</v>
      </c>
      <c r="J885" s="14">
        <v>125.0</v>
      </c>
      <c r="K885" s="14">
        <v>5.02</v>
      </c>
      <c r="L885" s="14">
        <v>0.0</v>
      </c>
    </row>
    <row r="886">
      <c r="A886" s="14">
        <v>2157.0</v>
      </c>
      <c r="B886" s="14">
        <v>12.0</v>
      </c>
      <c r="C886" s="34">
        <v>62.52</v>
      </c>
      <c r="D886" s="36">
        <v>44732.0</v>
      </c>
      <c r="E886" s="24"/>
      <c r="F886" s="14">
        <v>5.21</v>
      </c>
      <c r="G886" s="14">
        <v>28.98</v>
      </c>
      <c r="H886" s="14">
        <v>0.56</v>
      </c>
      <c r="I886" s="14" t="s">
        <v>6032</v>
      </c>
      <c r="J886" s="14">
        <v>66.67</v>
      </c>
      <c r="K886" s="14">
        <v>7.82</v>
      </c>
      <c r="L886" s="14">
        <v>0.0</v>
      </c>
    </row>
    <row r="887">
      <c r="A887" s="14">
        <v>1324.0</v>
      </c>
      <c r="B887" s="14">
        <v>17.0</v>
      </c>
      <c r="C887" s="34">
        <v>55.9</v>
      </c>
      <c r="D887" s="36">
        <v>44732.0</v>
      </c>
      <c r="E887" s="24"/>
      <c r="F887" s="14">
        <v>3.29</v>
      </c>
      <c r="G887" s="14">
        <v>42.22</v>
      </c>
      <c r="H887" s="14">
        <v>1.28</v>
      </c>
      <c r="I887" s="14" t="s">
        <v>6044</v>
      </c>
      <c r="J887" s="14">
        <v>76.47</v>
      </c>
      <c r="K887" s="14">
        <v>4.3</v>
      </c>
      <c r="L887" s="14">
        <v>0.0</v>
      </c>
    </row>
    <row r="888">
      <c r="A888" s="14">
        <v>2368.0</v>
      </c>
      <c r="B888" s="14">
        <v>3.0</v>
      </c>
      <c r="C888" s="34">
        <v>53.84</v>
      </c>
      <c r="D888" s="36">
        <v>44732.0</v>
      </c>
      <c r="E888" s="24"/>
      <c r="F888" s="14">
        <v>17.95</v>
      </c>
      <c r="G888" s="14">
        <v>22.74</v>
      </c>
      <c r="H888" s="14">
        <v>0.13</v>
      </c>
      <c r="I888" s="14" t="s">
        <v>6031</v>
      </c>
      <c r="J888" s="14">
        <v>233.33</v>
      </c>
      <c r="K888" s="14">
        <v>7.69</v>
      </c>
      <c r="L888" s="14">
        <v>0.0</v>
      </c>
    </row>
    <row r="889">
      <c r="A889" s="14">
        <v>603.0</v>
      </c>
      <c r="B889" s="14">
        <v>6.0</v>
      </c>
      <c r="C889" s="34">
        <v>55.08</v>
      </c>
      <c r="D889" s="36">
        <v>44732.0</v>
      </c>
      <c r="E889" s="24"/>
      <c r="F889" s="14">
        <v>9.18</v>
      </c>
      <c r="G889" s="14">
        <v>91.34</v>
      </c>
      <c r="H889" s="14">
        <v>1.0</v>
      </c>
      <c r="I889" s="14" t="s">
        <v>6042</v>
      </c>
      <c r="J889" s="14">
        <v>200.0</v>
      </c>
      <c r="K889" s="14">
        <v>4.59</v>
      </c>
      <c r="L889" s="14">
        <v>0.0</v>
      </c>
    </row>
    <row r="890">
      <c r="A890" s="14">
        <v>0.0</v>
      </c>
      <c r="B890" s="14">
        <v>0.0</v>
      </c>
      <c r="C890" s="34"/>
      <c r="D890" s="36">
        <v>44732.0</v>
      </c>
      <c r="E890" s="24"/>
      <c r="F890" s="14" t="s">
        <v>6012</v>
      </c>
      <c r="G890" s="14" t="s">
        <v>6012</v>
      </c>
      <c r="H890" s="14" t="s">
        <v>6012</v>
      </c>
      <c r="I890" s="14" t="s">
        <v>6024</v>
      </c>
      <c r="J890" s="14" t="s">
        <v>6012</v>
      </c>
      <c r="K890" s="14" t="s">
        <v>6012</v>
      </c>
      <c r="L890" s="14"/>
    </row>
    <row r="891">
      <c r="A891" s="14">
        <v>999.0</v>
      </c>
      <c r="B891" s="14">
        <v>7.0</v>
      </c>
      <c r="C891" s="34">
        <v>32.51</v>
      </c>
      <c r="D891" s="36">
        <v>44732.0</v>
      </c>
      <c r="E891" s="24"/>
      <c r="F891" s="14">
        <v>4.64</v>
      </c>
      <c r="G891" s="14">
        <v>32.54</v>
      </c>
      <c r="H891" s="14">
        <v>0.7</v>
      </c>
      <c r="I891" s="14" t="s">
        <v>6036</v>
      </c>
      <c r="J891" s="14">
        <v>157.14</v>
      </c>
      <c r="K891" s="14">
        <v>2.96</v>
      </c>
      <c r="L891" s="14">
        <v>0.0</v>
      </c>
    </row>
    <row r="892">
      <c r="A892" s="14">
        <v>1138.0</v>
      </c>
      <c r="B892" s="14">
        <v>22.0</v>
      </c>
      <c r="C892" s="34">
        <v>45.0</v>
      </c>
      <c r="D892" s="36">
        <v>44732.0</v>
      </c>
      <c r="E892" s="24"/>
      <c r="F892" s="14">
        <v>2.05</v>
      </c>
      <c r="G892" s="14">
        <v>39.54</v>
      </c>
      <c r="H892" s="14">
        <v>1.93</v>
      </c>
      <c r="I892" s="14" t="s">
        <v>6028</v>
      </c>
      <c r="J892" s="14">
        <v>59.09</v>
      </c>
      <c r="K892" s="14">
        <v>3.46</v>
      </c>
      <c r="L892" s="14">
        <v>0.0</v>
      </c>
    </row>
    <row r="893">
      <c r="A893" s="14">
        <v>828.0</v>
      </c>
      <c r="B893" s="14">
        <v>4.0</v>
      </c>
      <c r="C893" s="34">
        <v>46.38</v>
      </c>
      <c r="D893" s="36">
        <v>44732.0</v>
      </c>
      <c r="E893" s="24"/>
      <c r="F893" s="14">
        <v>11.6</v>
      </c>
      <c r="G893" s="14">
        <v>56.01</v>
      </c>
      <c r="H893" s="14">
        <v>0.48</v>
      </c>
      <c r="I893" s="14" t="s">
        <v>6038</v>
      </c>
      <c r="J893" s="14">
        <v>100.0</v>
      </c>
      <c r="K893" s="14">
        <v>11.6</v>
      </c>
      <c r="L893" s="14">
        <v>0.0</v>
      </c>
    </row>
    <row r="894">
      <c r="A894" s="14">
        <v>5367.0</v>
      </c>
      <c r="B894" s="14">
        <v>20.0</v>
      </c>
      <c r="C894" s="34">
        <v>61.03</v>
      </c>
      <c r="D894" s="36">
        <v>44732.0</v>
      </c>
      <c r="E894" s="24"/>
      <c r="F894" s="14">
        <v>3.05</v>
      </c>
      <c r="G894" s="14">
        <v>11.37</v>
      </c>
      <c r="H894" s="14">
        <v>0.37</v>
      </c>
      <c r="I894" s="14" t="s">
        <v>6045</v>
      </c>
      <c r="J894" s="14">
        <v>0.0</v>
      </c>
      <c r="K894" s="14" t="s">
        <v>6012</v>
      </c>
      <c r="L894" s="14">
        <v>0.0</v>
      </c>
    </row>
    <row r="895">
      <c r="A895" s="14">
        <v>1406.0</v>
      </c>
      <c r="B895" s="14">
        <v>3.0</v>
      </c>
      <c r="C895" s="34">
        <v>50.59</v>
      </c>
      <c r="D895" s="36">
        <v>44733.0</v>
      </c>
      <c r="E895" s="24"/>
      <c r="F895" s="14">
        <v>16.86</v>
      </c>
      <c r="G895" s="14">
        <v>35.98</v>
      </c>
      <c r="H895" s="14">
        <v>0.21</v>
      </c>
      <c r="I895" s="14" t="s">
        <v>6035</v>
      </c>
      <c r="J895" s="14">
        <v>333.33</v>
      </c>
      <c r="K895" s="14">
        <v>5.06</v>
      </c>
      <c r="L895" s="14">
        <v>0.0</v>
      </c>
    </row>
    <row r="896">
      <c r="A896" s="14">
        <v>5252.0</v>
      </c>
      <c r="B896" s="14">
        <v>22.0</v>
      </c>
      <c r="C896" s="34">
        <v>65.86</v>
      </c>
      <c r="D896" s="36">
        <v>44733.0</v>
      </c>
      <c r="E896" s="24"/>
      <c r="F896" s="14">
        <v>2.99</v>
      </c>
      <c r="G896" s="14">
        <v>12.54</v>
      </c>
      <c r="H896" s="14">
        <v>0.42</v>
      </c>
      <c r="I896" s="14" t="s">
        <v>6045</v>
      </c>
      <c r="J896" s="14">
        <v>0.0</v>
      </c>
      <c r="K896" s="14" t="s">
        <v>6012</v>
      </c>
      <c r="L896" s="14">
        <v>0.0</v>
      </c>
    </row>
    <row r="897">
      <c r="A897" s="14">
        <v>827.0</v>
      </c>
      <c r="B897" s="14">
        <v>3.0</v>
      </c>
      <c r="C897" s="34">
        <v>36.27</v>
      </c>
      <c r="D897" s="36">
        <v>44733.0</v>
      </c>
      <c r="E897" s="24"/>
      <c r="F897" s="14">
        <v>12.09</v>
      </c>
      <c r="G897" s="14">
        <v>43.86</v>
      </c>
      <c r="H897" s="14">
        <v>0.36</v>
      </c>
      <c r="I897" s="14" t="s">
        <v>6030</v>
      </c>
      <c r="J897" s="14">
        <v>300.0</v>
      </c>
      <c r="K897" s="14">
        <v>4.03</v>
      </c>
      <c r="L897" s="14">
        <v>0.0</v>
      </c>
    </row>
    <row r="898">
      <c r="A898" s="14">
        <v>2517.0</v>
      </c>
      <c r="B898" s="14">
        <v>8.0</v>
      </c>
      <c r="C898" s="34">
        <v>63.24</v>
      </c>
      <c r="D898" s="36">
        <v>44733.0</v>
      </c>
      <c r="E898" s="24"/>
      <c r="F898" s="14">
        <v>7.9</v>
      </c>
      <c r="G898" s="14">
        <v>25.13</v>
      </c>
      <c r="H898" s="14">
        <v>0.32</v>
      </c>
      <c r="I898" s="14" t="s">
        <v>6031</v>
      </c>
      <c r="J898" s="14">
        <v>212.5</v>
      </c>
      <c r="K898" s="14">
        <v>3.72</v>
      </c>
      <c r="L898" s="14">
        <v>0.0</v>
      </c>
    </row>
    <row r="899">
      <c r="A899" s="14">
        <v>706.0</v>
      </c>
      <c r="B899" s="14">
        <v>16.0</v>
      </c>
      <c r="C899" s="34">
        <v>48.23</v>
      </c>
      <c r="D899" s="36">
        <v>44733.0</v>
      </c>
      <c r="E899" s="24"/>
      <c r="F899" s="14">
        <v>3.01</v>
      </c>
      <c r="G899" s="14">
        <v>68.31</v>
      </c>
      <c r="H899" s="14">
        <v>2.27</v>
      </c>
      <c r="I899" s="14" t="s">
        <v>6039</v>
      </c>
      <c r="J899" s="14">
        <v>56.25</v>
      </c>
      <c r="K899" s="14">
        <v>5.36</v>
      </c>
      <c r="L899" s="14">
        <v>0.0</v>
      </c>
    </row>
    <row r="900">
      <c r="A900" s="14">
        <v>518.0</v>
      </c>
      <c r="B900" s="14">
        <v>4.0</v>
      </c>
      <c r="C900" s="34">
        <v>59.56</v>
      </c>
      <c r="D900" s="36">
        <v>44733.0</v>
      </c>
      <c r="E900" s="24"/>
      <c r="F900" s="14">
        <v>14.89</v>
      </c>
      <c r="G900" s="14">
        <v>114.98</v>
      </c>
      <c r="H900" s="14">
        <v>0.77</v>
      </c>
      <c r="I900" s="14" t="s">
        <v>6041</v>
      </c>
      <c r="J900" s="14">
        <v>25.0</v>
      </c>
      <c r="K900" s="14">
        <v>59.56</v>
      </c>
      <c r="L900" s="14">
        <v>0.0</v>
      </c>
    </row>
    <row r="901">
      <c r="A901" s="14">
        <v>0.0</v>
      </c>
      <c r="B901" s="14">
        <v>0.0</v>
      </c>
      <c r="C901" s="34"/>
      <c r="D901" s="36">
        <v>44733.0</v>
      </c>
      <c r="E901" s="24"/>
      <c r="F901" s="14" t="s">
        <v>6012</v>
      </c>
      <c r="G901" s="14" t="s">
        <v>6012</v>
      </c>
      <c r="H901" s="14" t="s">
        <v>6012</v>
      </c>
      <c r="I901" s="14" t="s">
        <v>6024</v>
      </c>
      <c r="J901" s="14" t="s">
        <v>6012</v>
      </c>
      <c r="K901" s="14" t="s">
        <v>6012</v>
      </c>
      <c r="L901" s="14"/>
    </row>
    <row r="902">
      <c r="A902" s="14">
        <v>6711.0</v>
      </c>
      <c r="B902" s="14">
        <v>47.0</v>
      </c>
      <c r="C902" s="34">
        <v>118.48</v>
      </c>
      <c r="D902" s="36">
        <v>44733.0</v>
      </c>
      <c r="E902" s="24"/>
      <c r="F902" s="14">
        <v>2.52</v>
      </c>
      <c r="G902" s="14">
        <v>17.65</v>
      </c>
      <c r="H902" s="14">
        <v>0.7</v>
      </c>
      <c r="I902" s="14" t="s">
        <v>6043</v>
      </c>
      <c r="J902" s="14">
        <v>82.98</v>
      </c>
      <c r="K902" s="14">
        <v>3.04</v>
      </c>
      <c r="L902" s="14">
        <v>0.0</v>
      </c>
    </row>
    <row r="903">
      <c r="A903" s="14">
        <v>1154.0</v>
      </c>
      <c r="B903" s="14">
        <v>10.0</v>
      </c>
      <c r="C903" s="34">
        <v>64.39</v>
      </c>
      <c r="D903" s="36">
        <v>44733.0</v>
      </c>
      <c r="E903" s="24"/>
      <c r="F903" s="14">
        <v>6.44</v>
      </c>
      <c r="G903" s="14">
        <v>55.8</v>
      </c>
      <c r="H903" s="14">
        <v>0.87</v>
      </c>
      <c r="I903" s="14" t="s">
        <v>6040</v>
      </c>
      <c r="J903" s="14">
        <v>10.0</v>
      </c>
      <c r="K903" s="14">
        <v>64.39</v>
      </c>
      <c r="L903" s="14">
        <v>0.0</v>
      </c>
    </row>
    <row r="904">
      <c r="A904" s="14">
        <v>645.0</v>
      </c>
      <c r="B904" s="14">
        <v>2.0</v>
      </c>
      <c r="C904" s="34">
        <v>60.28</v>
      </c>
      <c r="D904" s="36">
        <v>44733.0</v>
      </c>
      <c r="E904" s="24"/>
      <c r="F904" s="14">
        <v>30.14</v>
      </c>
      <c r="G904" s="14">
        <v>93.46</v>
      </c>
      <c r="H904" s="14">
        <v>0.31</v>
      </c>
      <c r="I904" s="14" t="s">
        <v>6042</v>
      </c>
      <c r="J904" s="14">
        <v>400.0</v>
      </c>
      <c r="K904" s="14">
        <v>7.54</v>
      </c>
      <c r="L904" s="14">
        <v>0.0</v>
      </c>
    </row>
    <row r="905">
      <c r="A905" s="14">
        <v>988.0</v>
      </c>
      <c r="B905" s="14">
        <v>15.0</v>
      </c>
      <c r="C905" s="34">
        <v>92.58</v>
      </c>
      <c r="D905" s="36">
        <v>44733.0</v>
      </c>
      <c r="E905" s="24"/>
      <c r="F905" s="14">
        <v>6.17</v>
      </c>
      <c r="G905" s="14">
        <v>93.7</v>
      </c>
      <c r="H905" s="14">
        <v>1.52</v>
      </c>
      <c r="I905" s="14" t="s">
        <v>6027</v>
      </c>
      <c r="J905" s="14">
        <v>80.0</v>
      </c>
      <c r="K905" s="14">
        <v>7.72</v>
      </c>
      <c r="L905" s="14">
        <v>0.0</v>
      </c>
    </row>
    <row r="906">
      <c r="A906" s="14">
        <v>1521.0</v>
      </c>
      <c r="B906" s="14">
        <v>2.0</v>
      </c>
      <c r="C906" s="34">
        <v>102.21</v>
      </c>
      <c r="D906" s="36">
        <v>44733.0</v>
      </c>
      <c r="E906" s="24"/>
      <c r="F906" s="14">
        <v>51.1</v>
      </c>
      <c r="G906" s="14">
        <v>67.2</v>
      </c>
      <c r="H906" s="14">
        <v>0.13</v>
      </c>
      <c r="I906" s="14" t="s">
        <v>6029</v>
      </c>
      <c r="J906" s="14">
        <v>350.0</v>
      </c>
      <c r="K906" s="14">
        <v>14.6</v>
      </c>
      <c r="L906" s="14">
        <v>0.0</v>
      </c>
    </row>
    <row r="907">
      <c r="A907" s="14">
        <v>1113.0</v>
      </c>
      <c r="B907" s="14">
        <v>4.0</v>
      </c>
      <c r="C907" s="34">
        <v>63.28</v>
      </c>
      <c r="D907" s="36">
        <v>44733.0</v>
      </c>
      <c r="E907" s="24"/>
      <c r="F907" s="14">
        <v>15.82</v>
      </c>
      <c r="G907" s="14">
        <v>56.86</v>
      </c>
      <c r="H907" s="14">
        <v>0.36</v>
      </c>
      <c r="I907" s="14" t="s">
        <v>6034</v>
      </c>
      <c r="J907" s="14">
        <v>100.0</v>
      </c>
      <c r="K907" s="14">
        <v>15.82</v>
      </c>
      <c r="L907" s="14">
        <v>0.0</v>
      </c>
    </row>
    <row r="908">
      <c r="A908" s="14">
        <v>1288.0</v>
      </c>
      <c r="B908" s="14">
        <v>25.0</v>
      </c>
      <c r="C908" s="34">
        <v>37.02</v>
      </c>
      <c r="D908" s="36">
        <v>44733.0</v>
      </c>
      <c r="E908" s="24"/>
      <c r="F908" s="14">
        <v>1.48</v>
      </c>
      <c r="G908" s="14">
        <v>28.74</v>
      </c>
      <c r="H908" s="14">
        <v>1.94</v>
      </c>
      <c r="I908" s="14" t="s">
        <v>6037</v>
      </c>
      <c r="J908" s="14">
        <v>4.0</v>
      </c>
      <c r="K908" s="14">
        <v>37.02</v>
      </c>
      <c r="L908" s="14">
        <v>0.0</v>
      </c>
    </row>
    <row r="909">
      <c r="A909" s="14">
        <v>1911.0</v>
      </c>
      <c r="B909" s="14">
        <v>15.0</v>
      </c>
      <c r="C909" s="34">
        <v>61.66</v>
      </c>
      <c r="D909" s="36">
        <v>44733.0</v>
      </c>
      <c r="E909" s="24"/>
      <c r="F909" s="14">
        <v>4.11</v>
      </c>
      <c r="G909" s="14">
        <v>32.27</v>
      </c>
      <c r="H909" s="14">
        <v>0.78</v>
      </c>
      <c r="I909" s="14" t="s">
        <v>6032</v>
      </c>
      <c r="J909" s="14">
        <v>33.33</v>
      </c>
      <c r="K909" s="14">
        <v>12.33</v>
      </c>
      <c r="L909" s="14">
        <v>0.0</v>
      </c>
    </row>
    <row r="910">
      <c r="A910" s="14">
        <v>898.0</v>
      </c>
      <c r="B910" s="14">
        <v>0.0</v>
      </c>
      <c r="C910" s="34">
        <v>53.85</v>
      </c>
      <c r="D910" s="36">
        <v>44733.0</v>
      </c>
      <c r="E910" s="24"/>
      <c r="F910" s="14" t="s">
        <v>6012</v>
      </c>
      <c r="G910" s="14">
        <v>59.97</v>
      </c>
      <c r="H910" s="14">
        <v>0.0</v>
      </c>
      <c r="I910" s="14" t="s">
        <v>6038</v>
      </c>
      <c r="J910" s="14" t="s">
        <v>6012</v>
      </c>
      <c r="K910" s="14">
        <v>10.77</v>
      </c>
      <c r="L910" s="14">
        <v>0.0</v>
      </c>
    </row>
    <row r="911">
      <c r="A911" s="14">
        <v>1502.0</v>
      </c>
      <c r="B911" s="14">
        <v>9.0</v>
      </c>
      <c r="C911" s="34">
        <v>64.43</v>
      </c>
      <c r="D911" s="36">
        <v>44733.0</v>
      </c>
      <c r="E911" s="24"/>
      <c r="F911" s="14">
        <v>7.16</v>
      </c>
      <c r="G911" s="14">
        <v>42.9</v>
      </c>
      <c r="H911" s="14">
        <v>0.6</v>
      </c>
      <c r="I911" s="14" t="s">
        <v>6046</v>
      </c>
      <c r="J911" s="14">
        <v>11.11</v>
      </c>
      <c r="K911" s="14">
        <v>64.43</v>
      </c>
      <c r="L911" s="14">
        <v>3.0</v>
      </c>
    </row>
    <row r="912">
      <c r="A912" s="14">
        <v>861.0</v>
      </c>
      <c r="B912" s="14">
        <v>2.0</v>
      </c>
      <c r="C912" s="34">
        <v>24.63</v>
      </c>
      <c r="D912" s="36">
        <v>44733.0</v>
      </c>
      <c r="E912" s="24"/>
      <c r="F912" s="14">
        <v>12.32</v>
      </c>
      <c r="G912" s="14">
        <v>28.61</v>
      </c>
      <c r="H912" s="14">
        <v>0.23</v>
      </c>
      <c r="I912" s="14" t="s">
        <v>6033</v>
      </c>
      <c r="J912" s="14">
        <v>150.0</v>
      </c>
      <c r="K912" s="14">
        <v>8.21</v>
      </c>
      <c r="L912" s="14">
        <v>0.0</v>
      </c>
    </row>
    <row r="913">
      <c r="A913" s="14">
        <v>1007.0</v>
      </c>
      <c r="B913" s="14">
        <v>11.0</v>
      </c>
      <c r="C913" s="34">
        <v>40.4</v>
      </c>
      <c r="D913" s="36">
        <v>44733.0</v>
      </c>
      <c r="E913" s="24"/>
      <c r="F913" s="14">
        <v>3.67</v>
      </c>
      <c r="G913" s="14">
        <v>40.12</v>
      </c>
      <c r="H913" s="14">
        <v>1.09</v>
      </c>
      <c r="I913" s="14" t="s">
        <v>6028</v>
      </c>
      <c r="J913" s="14">
        <v>118.18</v>
      </c>
      <c r="K913" s="14">
        <v>3.11</v>
      </c>
      <c r="L913" s="14">
        <v>0.0</v>
      </c>
    </row>
    <row r="914">
      <c r="A914" s="14">
        <v>3159.0</v>
      </c>
      <c r="B914" s="14">
        <v>8.0</v>
      </c>
      <c r="C914" s="34">
        <v>25.38</v>
      </c>
      <c r="D914" s="36">
        <v>44733.0</v>
      </c>
      <c r="E914" s="24"/>
      <c r="F914" s="14">
        <v>3.17</v>
      </c>
      <c r="G914" s="14">
        <v>8.03</v>
      </c>
      <c r="H914" s="14">
        <v>0.25</v>
      </c>
      <c r="I914" s="14" t="s">
        <v>6022</v>
      </c>
      <c r="J914" s="14">
        <v>112.5</v>
      </c>
      <c r="K914" s="14">
        <v>2.82</v>
      </c>
      <c r="L914" s="14">
        <v>0.0</v>
      </c>
    </row>
    <row r="915">
      <c r="A915" s="14">
        <v>1397.0</v>
      </c>
      <c r="B915" s="14">
        <v>14.0</v>
      </c>
      <c r="C915" s="34">
        <v>61.53</v>
      </c>
      <c r="D915" s="36">
        <v>44733.0</v>
      </c>
      <c r="E915" s="24"/>
      <c r="F915" s="14">
        <v>4.4</v>
      </c>
      <c r="G915" s="14">
        <v>44.04</v>
      </c>
      <c r="H915" s="14">
        <v>1.0</v>
      </c>
      <c r="I915" s="14" t="s">
        <v>6044</v>
      </c>
      <c r="J915" s="14">
        <v>128.57</v>
      </c>
      <c r="K915" s="14">
        <v>3.42</v>
      </c>
      <c r="L915" s="14">
        <v>0.0</v>
      </c>
    </row>
    <row r="916">
      <c r="A916" s="14">
        <v>1782.0</v>
      </c>
      <c r="B916" s="14">
        <v>18.0</v>
      </c>
      <c r="C916" s="34">
        <v>25.89</v>
      </c>
      <c r="D916" s="36">
        <v>44733.0</v>
      </c>
      <c r="E916" s="24"/>
      <c r="F916" s="14">
        <v>1.44</v>
      </c>
      <c r="G916" s="14">
        <v>14.53</v>
      </c>
      <c r="H916" s="14">
        <v>1.01</v>
      </c>
      <c r="I916" s="14" t="s">
        <v>6026</v>
      </c>
      <c r="J916" s="14">
        <v>50.0</v>
      </c>
      <c r="K916" s="14">
        <v>2.88</v>
      </c>
      <c r="L916" s="14">
        <v>0.0</v>
      </c>
    </row>
    <row r="917">
      <c r="A917" s="14">
        <v>1036.0</v>
      </c>
      <c r="B917" s="14">
        <v>8.0</v>
      </c>
      <c r="C917" s="34">
        <v>35.91</v>
      </c>
      <c r="D917" s="36">
        <v>44733.0</v>
      </c>
      <c r="E917" s="24"/>
      <c r="F917" s="14">
        <v>4.49</v>
      </c>
      <c r="G917" s="14">
        <v>34.66</v>
      </c>
      <c r="H917" s="14">
        <v>0.77</v>
      </c>
      <c r="I917" s="14" t="s">
        <v>6036</v>
      </c>
      <c r="J917" s="14">
        <v>187.5</v>
      </c>
      <c r="K917" s="14">
        <v>2.39</v>
      </c>
      <c r="L917" s="14">
        <v>0.0</v>
      </c>
    </row>
    <row r="918">
      <c r="A918" s="14">
        <v>1108.0</v>
      </c>
      <c r="B918" s="14">
        <v>5.0</v>
      </c>
      <c r="C918" s="34">
        <v>61.87</v>
      </c>
      <c r="D918" s="36">
        <v>44734.0</v>
      </c>
      <c r="E918" s="24"/>
      <c r="F918" s="14">
        <v>12.37</v>
      </c>
      <c r="G918" s="14">
        <v>55.84</v>
      </c>
      <c r="H918" s="14">
        <v>0.45</v>
      </c>
      <c r="I918" s="14" t="s">
        <v>6034</v>
      </c>
      <c r="J918" s="14">
        <v>80.0</v>
      </c>
      <c r="K918" s="14">
        <v>15.47</v>
      </c>
      <c r="L918" s="14">
        <v>0.0</v>
      </c>
    </row>
    <row r="919">
      <c r="A919" s="14">
        <v>1409.0</v>
      </c>
      <c r="B919" s="14">
        <v>9.0</v>
      </c>
      <c r="C919" s="34">
        <v>63.01</v>
      </c>
      <c r="D919" s="36">
        <v>44734.0</v>
      </c>
      <c r="E919" s="24"/>
      <c r="F919" s="14">
        <v>7.0</v>
      </c>
      <c r="G919" s="14">
        <v>44.72</v>
      </c>
      <c r="H919" s="14">
        <v>0.64</v>
      </c>
      <c r="I919" s="14" t="s">
        <v>6046</v>
      </c>
      <c r="J919" s="14">
        <v>66.67</v>
      </c>
      <c r="K919" s="14">
        <v>10.5</v>
      </c>
      <c r="L919" s="14">
        <v>1.0</v>
      </c>
    </row>
    <row r="920">
      <c r="A920" s="14">
        <v>1063.0</v>
      </c>
      <c r="B920" s="14">
        <v>14.0</v>
      </c>
      <c r="C920" s="34">
        <v>95.51</v>
      </c>
      <c r="D920" s="36">
        <v>44734.0</v>
      </c>
      <c r="E920" s="24"/>
      <c r="F920" s="14">
        <v>6.82</v>
      </c>
      <c r="G920" s="14">
        <v>89.85</v>
      </c>
      <c r="H920" s="14">
        <v>1.32</v>
      </c>
      <c r="I920" s="14" t="s">
        <v>6027</v>
      </c>
      <c r="J920" s="14">
        <v>71.43</v>
      </c>
      <c r="K920" s="14">
        <v>9.55</v>
      </c>
      <c r="L920" s="14">
        <v>0.0</v>
      </c>
    </row>
    <row r="921">
      <c r="A921" s="14">
        <v>1069.0</v>
      </c>
      <c r="B921" s="14">
        <v>7.0</v>
      </c>
      <c r="C921" s="34">
        <v>35.21</v>
      </c>
      <c r="D921" s="36">
        <v>44734.0</v>
      </c>
      <c r="E921" s="24"/>
      <c r="F921" s="14">
        <v>5.03</v>
      </c>
      <c r="G921" s="14">
        <v>32.94</v>
      </c>
      <c r="H921" s="14">
        <v>0.65</v>
      </c>
      <c r="I921" s="14" t="s">
        <v>6036</v>
      </c>
      <c r="J921" s="14">
        <v>142.86</v>
      </c>
      <c r="K921" s="14">
        <v>3.52</v>
      </c>
      <c r="L921" s="14">
        <v>0.0</v>
      </c>
    </row>
    <row r="922">
      <c r="A922" s="14">
        <v>762.0</v>
      </c>
      <c r="B922" s="14">
        <v>0.0</v>
      </c>
      <c r="C922" s="34">
        <v>24.3</v>
      </c>
      <c r="D922" s="36">
        <v>44734.0</v>
      </c>
      <c r="E922" s="24"/>
      <c r="F922" s="14" t="s">
        <v>6012</v>
      </c>
      <c r="G922" s="14">
        <v>31.89</v>
      </c>
      <c r="H922" s="14">
        <v>0.0</v>
      </c>
      <c r="I922" s="14" t="s">
        <v>6033</v>
      </c>
      <c r="J922" s="14" t="s">
        <v>6012</v>
      </c>
      <c r="K922" s="14">
        <v>3.47</v>
      </c>
      <c r="L922" s="14">
        <v>0.0</v>
      </c>
    </row>
    <row r="923">
      <c r="A923" s="14">
        <v>3032.0</v>
      </c>
      <c r="B923" s="14">
        <v>5.0</v>
      </c>
      <c r="C923" s="34">
        <v>25.33</v>
      </c>
      <c r="D923" s="36">
        <v>44734.0</v>
      </c>
      <c r="E923" s="24"/>
      <c r="F923" s="14">
        <v>5.07</v>
      </c>
      <c r="G923" s="14">
        <v>8.35</v>
      </c>
      <c r="H923" s="14">
        <v>0.16</v>
      </c>
      <c r="I923" s="14" t="s">
        <v>6022</v>
      </c>
      <c r="J923" s="14">
        <v>160.0</v>
      </c>
      <c r="K923" s="14">
        <v>3.17</v>
      </c>
      <c r="L923" s="14">
        <v>0.0</v>
      </c>
    </row>
    <row r="924">
      <c r="A924" s="14">
        <v>0.0</v>
      </c>
      <c r="B924" s="14">
        <v>0.0</v>
      </c>
      <c r="C924" s="34"/>
      <c r="D924" s="36">
        <v>44734.0</v>
      </c>
      <c r="E924" s="24"/>
      <c r="F924" s="14" t="s">
        <v>6012</v>
      </c>
      <c r="G924" s="14" t="s">
        <v>6012</v>
      </c>
      <c r="H924" s="14" t="s">
        <v>6012</v>
      </c>
      <c r="I924" s="14" t="s">
        <v>6024</v>
      </c>
      <c r="J924" s="14" t="s">
        <v>6012</v>
      </c>
      <c r="K924" s="14" t="s">
        <v>6012</v>
      </c>
      <c r="L924" s="14"/>
    </row>
    <row r="925">
      <c r="A925" s="14">
        <v>1877.0</v>
      </c>
      <c r="B925" s="14">
        <v>17.0</v>
      </c>
      <c r="C925" s="34">
        <v>60.72</v>
      </c>
      <c r="D925" s="36">
        <v>44734.0</v>
      </c>
      <c r="E925" s="24"/>
      <c r="F925" s="14">
        <v>3.57</v>
      </c>
      <c r="G925" s="14">
        <v>32.35</v>
      </c>
      <c r="H925" s="14">
        <v>0.91</v>
      </c>
      <c r="I925" s="14" t="s">
        <v>6032</v>
      </c>
      <c r="J925" s="14">
        <v>64.71</v>
      </c>
      <c r="K925" s="14">
        <v>5.52</v>
      </c>
      <c r="L925" s="14">
        <v>0.0</v>
      </c>
    </row>
    <row r="926">
      <c r="A926" s="14">
        <v>717.0</v>
      </c>
      <c r="B926" s="14">
        <v>15.0</v>
      </c>
      <c r="C926" s="34">
        <v>47.39</v>
      </c>
      <c r="D926" s="36">
        <v>44734.0</v>
      </c>
      <c r="E926" s="24"/>
      <c r="F926" s="14">
        <v>3.16</v>
      </c>
      <c r="G926" s="14">
        <v>66.09</v>
      </c>
      <c r="H926" s="14">
        <v>2.09</v>
      </c>
      <c r="I926" s="14" t="s">
        <v>6039</v>
      </c>
      <c r="J926" s="14">
        <v>13.33</v>
      </c>
      <c r="K926" s="14">
        <v>23.7</v>
      </c>
      <c r="L926" s="14">
        <v>0.0</v>
      </c>
    </row>
    <row r="927">
      <c r="A927" s="14">
        <v>1135.0</v>
      </c>
      <c r="B927" s="14">
        <v>7.0</v>
      </c>
      <c r="C927" s="34">
        <v>36.49</v>
      </c>
      <c r="D927" s="36">
        <v>44734.0</v>
      </c>
      <c r="E927" s="24"/>
      <c r="F927" s="14">
        <v>5.21</v>
      </c>
      <c r="G927" s="14">
        <v>32.15</v>
      </c>
      <c r="H927" s="14">
        <v>0.62</v>
      </c>
      <c r="I927" s="14" t="s">
        <v>6037</v>
      </c>
      <c r="J927" s="14">
        <v>57.14</v>
      </c>
      <c r="K927" s="14">
        <v>9.12</v>
      </c>
      <c r="L927" s="14">
        <v>0.0</v>
      </c>
    </row>
    <row r="928">
      <c r="A928" s="14">
        <v>1611.0</v>
      </c>
      <c r="B928" s="14">
        <v>15.0</v>
      </c>
      <c r="C928" s="34">
        <v>23.43</v>
      </c>
      <c r="D928" s="36">
        <v>44734.0</v>
      </c>
      <c r="E928" s="24"/>
      <c r="F928" s="14">
        <v>1.56</v>
      </c>
      <c r="G928" s="14">
        <v>14.54</v>
      </c>
      <c r="H928" s="14">
        <v>0.93</v>
      </c>
      <c r="I928" s="14" t="s">
        <v>6026</v>
      </c>
      <c r="J928" s="14">
        <v>60.0</v>
      </c>
      <c r="K928" s="14">
        <v>2.6</v>
      </c>
      <c r="L928" s="14">
        <v>0.0</v>
      </c>
    </row>
    <row r="929">
      <c r="A929" s="14">
        <v>1293.0</v>
      </c>
      <c r="B929" s="14">
        <v>16.0</v>
      </c>
      <c r="C929" s="34">
        <v>60.95</v>
      </c>
      <c r="D929" s="36">
        <v>44734.0</v>
      </c>
      <c r="E929" s="24"/>
      <c r="F929" s="14">
        <v>3.81</v>
      </c>
      <c r="G929" s="14">
        <v>47.14</v>
      </c>
      <c r="H929" s="14">
        <v>1.24</v>
      </c>
      <c r="I929" s="14" t="s">
        <v>6044</v>
      </c>
      <c r="J929" s="14">
        <v>93.75</v>
      </c>
      <c r="K929" s="14">
        <v>4.06</v>
      </c>
      <c r="L929" s="14">
        <v>0.0</v>
      </c>
    </row>
    <row r="930">
      <c r="A930" s="14">
        <v>1082.0</v>
      </c>
      <c r="B930" s="14">
        <v>13.0</v>
      </c>
      <c r="C930" s="34">
        <v>39.83</v>
      </c>
      <c r="D930" s="36">
        <v>44734.0</v>
      </c>
      <c r="E930" s="24"/>
      <c r="F930" s="14">
        <v>3.06</v>
      </c>
      <c r="G930" s="14">
        <v>36.81</v>
      </c>
      <c r="H930" s="14">
        <v>1.2</v>
      </c>
      <c r="I930" s="14" t="s">
        <v>6028</v>
      </c>
      <c r="J930" s="14">
        <v>46.15</v>
      </c>
      <c r="K930" s="14">
        <v>6.64</v>
      </c>
      <c r="L930" s="14">
        <v>0.0</v>
      </c>
    </row>
    <row r="931">
      <c r="A931" s="14">
        <v>402.0</v>
      </c>
      <c r="B931" s="14">
        <v>6.0</v>
      </c>
      <c r="C931" s="34">
        <v>59.36</v>
      </c>
      <c r="D931" s="36">
        <v>44734.0</v>
      </c>
      <c r="E931" s="24"/>
      <c r="F931" s="14">
        <v>9.89</v>
      </c>
      <c r="G931" s="14">
        <v>147.66</v>
      </c>
      <c r="H931" s="14">
        <v>1.49</v>
      </c>
      <c r="I931" s="14" t="s">
        <v>6041</v>
      </c>
      <c r="J931" s="14">
        <v>33.33</v>
      </c>
      <c r="K931" s="14">
        <v>29.68</v>
      </c>
      <c r="L931" s="14">
        <v>0.0</v>
      </c>
    </row>
    <row r="932">
      <c r="A932" s="14">
        <v>1036.0</v>
      </c>
      <c r="B932" s="14">
        <v>3.0</v>
      </c>
      <c r="C932" s="34">
        <v>62.98</v>
      </c>
      <c r="D932" s="36">
        <v>44734.0</v>
      </c>
      <c r="E932" s="24"/>
      <c r="F932" s="14">
        <v>20.99</v>
      </c>
      <c r="G932" s="14">
        <v>60.79</v>
      </c>
      <c r="H932" s="14">
        <v>0.29</v>
      </c>
      <c r="I932" s="14" t="s">
        <v>6040</v>
      </c>
      <c r="J932" s="14">
        <v>0.0</v>
      </c>
      <c r="K932" s="14" t="s">
        <v>6012</v>
      </c>
      <c r="L932" s="14">
        <v>0.0</v>
      </c>
    </row>
    <row r="933">
      <c r="A933" s="14">
        <v>4770.0</v>
      </c>
      <c r="B933" s="14">
        <v>24.0</v>
      </c>
      <c r="C933" s="34">
        <v>64.29</v>
      </c>
      <c r="D933" s="36">
        <v>44734.0</v>
      </c>
      <c r="E933" s="24"/>
      <c r="F933" s="14">
        <v>2.68</v>
      </c>
      <c r="G933" s="14">
        <v>13.48</v>
      </c>
      <c r="H933" s="14">
        <v>0.5</v>
      </c>
      <c r="I933" s="14" t="s">
        <v>6045</v>
      </c>
      <c r="J933" s="14">
        <v>8.33</v>
      </c>
      <c r="K933" s="14">
        <v>32.15</v>
      </c>
      <c r="L933" s="14">
        <v>0.0</v>
      </c>
    </row>
    <row r="934">
      <c r="A934" s="14">
        <v>1112.0</v>
      </c>
      <c r="B934" s="14">
        <v>2.0</v>
      </c>
      <c r="C934" s="34">
        <v>90.69</v>
      </c>
      <c r="D934" s="36">
        <v>44734.0</v>
      </c>
      <c r="E934" s="24"/>
      <c r="F934" s="14">
        <v>45.34</v>
      </c>
      <c r="G934" s="14">
        <v>81.56</v>
      </c>
      <c r="H934" s="14">
        <v>0.18</v>
      </c>
      <c r="I934" s="14" t="s">
        <v>6029</v>
      </c>
      <c r="J934" s="14">
        <v>450.0</v>
      </c>
      <c r="K934" s="14">
        <v>10.08</v>
      </c>
      <c r="L934" s="14">
        <v>0.0</v>
      </c>
    </row>
    <row r="935">
      <c r="A935" s="14">
        <v>754.0</v>
      </c>
      <c r="B935" s="14">
        <v>3.0</v>
      </c>
      <c r="C935" s="34">
        <v>55.84</v>
      </c>
      <c r="D935" s="36">
        <v>44734.0</v>
      </c>
      <c r="E935" s="24"/>
      <c r="F935" s="14">
        <v>18.61</v>
      </c>
      <c r="G935" s="14">
        <v>74.06</v>
      </c>
      <c r="H935" s="14">
        <v>0.4</v>
      </c>
      <c r="I935" s="14" t="s">
        <v>6038</v>
      </c>
      <c r="J935" s="14">
        <v>233.33</v>
      </c>
      <c r="K935" s="14">
        <v>7.98</v>
      </c>
      <c r="L935" s="14">
        <v>0.0</v>
      </c>
    </row>
    <row r="936">
      <c r="A936" s="14">
        <v>887.0</v>
      </c>
      <c r="B936" s="14">
        <v>2.0</v>
      </c>
      <c r="C936" s="34">
        <v>35.74</v>
      </c>
      <c r="D936" s="36">
        <v>44734.0</v>
      </c>
      <c r="E936" s="24"/>
      <c r="F936" s="14">
        <v>17.87</v>
      </c>
      <c r="G936" s="14">
        <v>40.29</v>
      </c>
      <c r="H936" s="14">
        <v>0.23</v>
      </c>
      <c r="I936" s="14" t="s">
        <v>6030</v>
      </c>
      <c r="J936" s="14">
        <v>200.0</v>
      </c>
      <c r="K936" s="14">
        <v>8.94</v>
      </c>
      <c r="L936" s="14">
        <v>0.0</v>
      </c>
    </row>
    <row r="937">
      <c r="A937" s="14">
        <v>1246.0</v>
      </c>
      <c r="B937" s="14">
        <v>1.0</v>
      </c>
      <c r="C937" s="34">
        <v>49.5</v>
      </c>
      <c r="D937" s="36">
        <v>44734.0</v>
      </c>
      <c r="E937" s="24"/>
      <c r="F937" s="14">
        <v>49.5</v>
      </c>
      <c r="G937" s="14">
        <v>39.73</v>
      </c>
      <c r="H937" s="14">
        <v>0.08</v>
      </c>
      <c r="I937" s="14" t="s">
        <v>6035</v>
      </c>
      <c r="J937" s="14">
        <v>400.0</v>
      </c>
      <c r="K937" s="14">
        <v>12.38</v>
      </c>
      <c r="L937" s="14">
        <v>0.0</v>
      </c>
    </row>
    <row r="938">
      <c r="A938" s="14">
        <v>6844.0</v>
      </c>
      <c r="B938" s="14">
        <v>36.0</v>
      </c>
      <c r="C938" s="34">
        <v>118.59</v>
      </c>
      <c r="D938" s="36">
        <v>44734.0</v>
      </c>
      <c r="E938" s="24"/>
      <c r="F938" s="14">
        <v>3.29</v>
      </c>
      <c r="G938" s="14">
        <v>17.33</v>
      </c>
      <c r="H938" s="14">
        <v>0.53</v>
      </c>
      <c r="I938" s="14" t="s">
        <v>6043</v>
      </c>
      <c r="J938" s="14">
        <v>88.89</v>
      </c>
      <c r="K938" s="14">
        <v>3.71</v>
      </c>
      <c r="L938" s="14">
        <v>0.0</v>
      </c>
    </row>
    <row r="939">
      <c r="A939" s="14">
        <v>2142.0</v>
      </c>
      <c r="B939" s="14">
        <v>8.0</v>
      </c>
      <c r="C939" s="34">
        <v>61.82</v>
      </c>
      <c r="D939" s="36">
        <v>44734.0</v>
      </c>
      <c r="E939" s="24"/>
      <c r="F939" s="14">
        <v>7.73</v>
      </c>
      <c r="G939" s="14">
        <v>28.86</v>
      </c>
      <c r="H939" s="14">
        <v>0.37</v>
      </c>
      <c r="I939" s="14" t="s">
        <v>6031</v>
      </c>
      <c r="J939" s="14">
        <v>87.5</v>
      </c>
      <c r="K939" s="14">
        <v>8.83</v>
      </c>
      <c r="L939" s="14">
        <v>0.0</v>
      </c>
    </row>
    <row r="940">
      <c r="A940" s="14">
        <v>649.0</v>
      </c>
      <c r="B940" s="14">
        <v>4.0</v>
      </c>
      <c r="C940" s="34">
        <v>58.36</v>
      </c>
      <c r="D940" s="36">
        <v>44734.0</v>
      </c>
      <c r="E940" s="24"/>
      <c r="F940" s="14">
        <v>14.59</v>
      </c>
      <c r="G940" s="14">
        <v>89.92</v>
      </c>
      <c r="H940" s="14">
        <v>0.62</v>
      </c>
      <c r="I940" s="14" t="s">
        <v>6042</v>
      </c>
      <c r="J940" s="14">
        <v>200.0</v>
      </c>
      <c r="K940" s="14">
        <v>7.3</v>
      </c>
      <c r="L940" s="14">
        <v>0.0</v>
      </c>
    </row>
    <row r="941">
      <c r="A941" s="14">
        <v>710.0</v>
      </c>
      <c r="B941" s="14">
        <v>1.0</v>
      </c>
      <c r="C941" s="34">
        <v>23.52</v>
      </c>
      <c r="D941" s="36">
        <v>44735.0</v>
      </c>
      <c r="E941" s="24"/>
      <c r="F941" s="14">
        <v>23.52</v>
      </c>
      <c r="G941" s="14">
        <v>33.13</v>
      </c>
      <c r="H941" s="14">
        <v>0.14</v>
      </c>
      <c r="I941" s="14" t="s">
        <v>6033</v>
      </c>
      <c r="J941" s="14">
        <v>300.0</v>
      </c>
      <c r="K941" s="14">
        <v>7.84</v>
      </c>
      <c r="L941" s="14">
        <v>0.0</v>
      </c>
    </row>
    <row r="942">
      <c r="A942" s="14">
        <v>901.0</v>
      </c>
      <c r="B942" s="14">
        <v>5.0</v>
      </c>
      <c r="C942" s="34">
        <v>35.43</v>
      </c>
      <c r="D942" s="36">
        <v>44735.0</v>
      </c>
      <c r="E942" s="24"/>
      <c r="F942" s="14">
        <v>7.09</v>
      </c>
      <c r="G942" s="14">
        <v>39.32</v>
      </c>
      <c r="H942" s="14">
        <v>0.55</v>
      </c>
      <c r="I942" s="14" t="s">
        <v>6037</v>
      </c>
      <c r="J942" s="14">
        <v>80.0</v>
      </c>
      <c r="K942" s="14">
        <v>8.86</v>
      </c>
      <c r="L942" s="14">
        <v>0.0</v>
      </c>
    </row>
    <row r="943">
      <c r="A943" s="14">
        <v>786.0</v>
      </c>
      <c r="B943" s="14">
        <v>1.0</v>
      </c>
      <c r="C943" s="34">
        <v>54.25</v>
      </c>
      <c r="D943" s="36">
        <v>44735.0</v>
      </c>
      <c r="E943" s="24"/>
      <c r="F943" s="14">
        <v>54.25</v>
      </c>
      <c r="G943" s="14">
        <v>69.02</v>
      </c>
      <c r="H943" s="14">
        <v>0.13</v>
      </c>
      <c r="I943" s="14" t="s">
        <v>6038</v>
      </c>
      <c r="J943" s="14">
        <v>100.0</v>
      </c>
      <c r="K943" s="14">
        <v>54.25</v>
      </c>
      <c r="L943" s="14">
        <v>0.0</v>
      </c>
    </row>
    <row r="944">
      <c r="A944" s="14">
        <v>496.0</v>
      </c>
      <c r="B944" s="14">
        <v>10.0</v>
      </c>
      <c r="C944" s="34">
        <v>34.77</v>
      </c>
      <c r="D944" s="36">
        <v>44735.0</v>
      </c>
      <c r="E944" s="24"/>
      <c r="F944" s="14">
        <v>3.48</v>
      </c>
      <c r="G944" s="14">
        <v>70.1</v>
      </c>
      <c r="H944" s="14">
        <v>2.02</v>
      </c>
      <c r="I944" s="14" t="s">
        <v>6039</v>
      </c>
      <c r="J944" s="14">
        <v>90.0</v>
      </c>
      <c r="K944" s="14">
        <v>3.86</v>
      </c>
      <c r="L944" s="14">
        <v>0.0</v>
      </c>
    </row>
    <row r="945">
      <c r="A945" s="14">
        <v>1290.0</v>
      </c>
      <c r="B945" s="14">
        <v>1.0</v>
      </c>
      <c r="C945" s="34">
        <v>49.82</v>
      </c>
      <c r="D945" s="36">
        <v>44735.0</v>
      </c>
      <c r="E945" s="24"/>
      <c r="F945" s="14">
        <v>49.82</v>
      </c>
      <c r="G945" s="14">
        <v>38.62</v>
      </c>
      <c r="H945" s="14">
        <v>0.08</v>
      </c>
      <c r="I945" s="14" t="s">
        <v>6035</v>
      </c>
      <c r="J945" s="14">
        <v>700.0</v>
      </c>
      <c r="K945" s="14">
        <v>7.12</v>
      </c>
      <c r="L945" s="14">
        <v>0.0</v>
      </c>
    </row>
    <row r="946">
      <c r="A946" s="14">
        <v>0.0</v>
      </c>
      <c r="B946" s="14">
        <v>0.0</v>
      </c>
      <c r="C946" s="34"/>
      <c r="D946" s="36">
        <v>44735.0</v>
      </c>
      <c r="E946" s="24"/>
      <c r="F946" s="14" t="s">
        <v>6012</v>
      </c>
      <c r="G946" s="14" t="s">
        <v>6012</v>
      </c>
      <c r="H946" s="14" t="s">
        <v>6012</v>
      </c>
      <c r="I946" s="14" t="s">
        <v>6024</v>
      </c>
      <c r="J946" s="14" t="s">
        <v>6012</v>
      </c>
      <c r="K946" s="14" t="s">
        <v>6012</v>
      </c>
      <c r="L946" s="14"/>
    </row>
    <row r="947">
      <c r="A947" s="14">
        <v>0.0</v>
      </c>
      <c r="B947" s="14">
        <v>0.0</v>
      </c>
      <c r="C947" s="34"/>
      <c r="D947" s="36">
        <v>44735.0</v>
      </c>
      <c r="E947" s="24"/>
      <c r="F947" s="14" t="s">
        <v>6012</v>
      </c>
      <c r="G947" s="14" t="s">
        <v>6012</v>
      </c>
      <c r="H947" s="14" t="s">
        <v>6012</v>
      </c>
      <c r="I947" s="14" t="s">
        <v>6029</v>
      </c>
      <c r="J947" s="14" t="s">
        <v>6012</v>
      </c>
      <c r="K947" s="14" t="s">
        <v>6012</v>
      </c>
      <c r="L947" s="14"/>
    </row>
    <row r="948">
      <c r="A948" s="14">
        <v>1208.0</v>
      </c>
      <c r="B948" s="14">
        <v>6.0</v>
      </c>
      <c r="C948" s="34">
        <v>61.57</v>
      </c>
      <c r="D948" s="36">
        <v>44735.0</v>
      </c>
      <c r="E948" s="24"/>
      <c r="F948" s="14">
        <v>10.26</v>
      </c>
      <c r="G948" s="14">
        <v>50.97</v>
      </c>
      <c r="H948" s="14">
        <v>0.5</v>
      </c>
      <c r="I948" s="14" t="s">
        <v>6046</v>
      </c>
      <c r="J948" s="14">
        <v>150.0</v>
      </c>
      <c r="K948" s="14">
        <v>6.84</v>
      </c>
      <c r="L948" s="14">
        <v>2.0</v>
      </c>
    </row>
    <row r="949">
      <c r="A949" s="14">
        <v>647.0</v>
      </c>
      <c r="B949" s="14">
        <v>1.0</v>
      </c>
      <c r="C949" s="34">
        <v>63.1</v>
      </c>
      <c r="D949" s="36">
        <v>44735.0</v>
      </c>
      <c r="E949" s="24"/>
      <c r="F949" s="14">
        <v>63.1</v>
      </c>
      <c r="G949" s="14">
        <v>97.53</v>
      </c>
      <c r="H949" s="14">
        <v>0.15</v>
      </c>
      <c r="I949" s="14" t="s">
        <v>6042</v>
      </c>
      <c r="J949" s="14">
        <v>1100.0</v>
      </c>
      <c r="K949" s="14">
        <v>5.74</v>
      </c>
      <c r="L949" s="14">
        <v>0.0</v>
      </c>
    </row>
    <row r="950">
      <c r="A950" s="14">
        <v>1210.0</v>
      </c>
      <c r="B950" s="14">
        <v>5.0</v>
      </c>
      <c r="C950" s="34">
        <v>62.86</v>
      </c>
      <c r="D950" s="36">
        <v>44735.0</v>
      </c>
      <c r="E950" s="24"/>
      <c r="F950" s="14">
        <v>12.57</v>
      </c>
      <c r="G950" s="14">
        <v>51.95</v>
      </c>
      <c r="H950" s="14">
        <v>0.41</v>
      </c>
      <c r="I950" s="14" t="s">
        <v>6040</v>
      </c>
      <c r="J950" s="14">
        <v>0.0</v>
      </c>
      <c r="K950" s="14" t="s">
        <v>6012</v>
      </c>
      <c r="L950" s="14">
        <v>0.0</v>
      </c>
    </row>
    <row r="951">
      <c r="A951" s="14">
        <v>443.0</v>
      </c>
      <c r="B951" s="14">
        <v>7.0</v>
      </c>
      <c r="C951" s="34">
        <v>46.52</v>
      </c>
      <c r="D951" s="36">
        <v>44735.0</v>
      </c>
      <c r="E951" s="24"/>
      <c r="F951" s="14">
        <v>6.65</v>
      </c>
      <c r="G951" s="14">
        <v>105.01</v>
      </c>
      <c r="H951" s="14">
        <v>1.58</v>
      </c>
      <c r="I951" s="14" t="s">
        <v>6041</v>
      </c>
      <c r="J951" s="14">
        <v>28.57</v>
      </c>
      <c r="K951" s="14">
        <v>23.26</v>
      </c>
      <c r="L951" s="14">
        <v>0.0</v>
      </c>
    </row>
    <row r="952">
      <c r="A952" s="14">
        <v>965.0</v>
      </c>
      <c r="B952" s="14">
        <v>7.0</v>
      </c>
      <c r="C952" s="34">
        <v>40.86</v>
      </c>
      <c r="D952" s="36">
        <v>44735.0</v>
      </c>
      <c r="E952" s="24"/>
      <c r="F952" s="14">
        <v>5.84</v>
      </c>
      <c r="G952" s="14">
        <v>42.34</v>
      </c>
      <c r="H952" s="14">
        <v>0.73</v>
      </c>
      <c r="I952" s="14" t="s">
        <v>6036</v>
      </c>
      <c r="J952" s="14">
        <v>171.43</v>
      </c>
      <c r="K952" s="14">
        <v>3.4</v>
      </c>
      <c r="L952" s="14">
        <v>0.0</v>
      </c>
    </row>
    <row r="953">
      <c r="A953" s="14">
        <v>2120.0</v>
      </c>
      <c r="B953" s="14">
        <v>7.0</v>
      </c>
      <c r="C953" s="34">
        <v>62.2</v>
      </c>
      <c r="D953" s="36">
        <v>44735.0</v>
      </c>
      <c r="E953" s="24"/>
      <c r="F953" s="14">
        <v>8.89</v>
      </c>
      <c r="G953" s="14">
        <v>29.34</v>
      </c>
      <c r="H953" s="14">
        <v>0.33</v>
      </c>
      <c r="I953" s="14" t="s">
        <v>6031</v>
      </c>
      <c r="J953" s="14">
        <v>142.86</v>
      </c>
      <c r="K953" s="14">
        <v>6.22</v>
      </c>
      <c r="L953" s="14">
        <v>0.0</v>
      </c>
    </row>
    <row r="954">
      <c r="A954" s="14">
        <v>860.0</v>
      </c>
      <c r="B954" s="14">
        <v>14.0</v>
      </c>
      <c r="C954" s="34">
        <v>33.46</v>
      </c>
      <c r="D954" s="36">
        <v>44735.0</v>
      </c>
      <c r="E954" s="24"/>
      <c r="F954" s="14">
        <v>2.39</v>
      </c>
      <c r="G954" s="14">
        <v>38.91</v>
      </c>
      <c r="H954" s="14">
        <v>1.63</v>
      </c>
      <c r="I954" s="14" t="s">
        <v>6028</v>
      </c>
      <c r="J954" s="14">
        <v>85.71</v>
      </c>
      <c r="K954" s="14">
        <v>2.79</v>
      </c>
      <c r="L954" s="14">
        <v>0.0</v>
      </c>
    </row>
    <row r="955">
      <c r="A955" s="14">
        <v>801.0</v>
      </c>
      <c r="B955" s="14">
        <v>2.0</v>
      </c>
      <c r="C955" s="34">
        <v>31.48</v>
      </c>
      <c r="D955" s="36">
        <v>44735.0</v>
      </c>
      <c r="E955" s="24"/>
      <c r="F955" s="14">
        <v>15.74</v>
      </c>
      <c r="G955" s="14">
        <v>39.3</v>
      </c>
      <c r="H955" s="14">
        <v>0.25</v>
      </c>
      <c r="I955" s="14" t="s">
        <v>6030</v>
      </c>
      <c r="J955" s="14">
        <v>500.0</v>
      </c>
      <c r="K955" s="14">
        <v>3.15</v>
      </c>
      <c r="L955" s="14">
        <v>0.0</v>
      </c>
    </row>
    <row r="956">
      <c r="A956" s="14">
        <v>939.0</v>
      </c>
      <c r="B956" s="14">
        <v>2.0</v>
      </c>
      <c r="C956" s="34">
        <v>62.66</v>
      </c>
      <c r="D956" s="36">
        <v>44735.0</v>
      </c>
      <c r="E956" s="24"/>
      <c r="F956" s="14">
        <v>31.33</v>
      </c>
      <c r="G956" s="14">
        <v>66.73</v>
      </c>
      <c r="H956" s="14">
        <v>0.21</v>
      </c>
      <c r="I956" s="14" t="s">
        <v>6034</v>
      </c>
      <c r="J956" s="14">
        <v>150.0</v>
      </c>
      <c r="K956" s="14">
        <v>20.89</v>
      </c>
      <c r="L956" s="14">
        <v>0.0</v>
      </c>
    </row>
    <row r="957">
      <c r="A957" s="14">
        <v>1058.0</v>
      </c>
      <c r="B957" s="14">
        <v>12.0</v>
      </c>
      <c r="C957" s="34">
        <v>86.23</v>
      </c>
      <c r="D957" s="36">
        <v>44735.0</v>
      </c>
      <c r="E957" s="24"/>
      <c r="F957" s="14">
        <v>7.19</v>
      </c>
      <c r="G957" s="14">
        <v>81.5</v>
      </c>
      <c r="H957" s="14">
        <v>1.13</v>
      </c>
      <c r="I957" s="14" t="s">
        <v>6027</v>
      </c>
      <c r="J957" s="14">
        <v>41.67</v>
      </c>
      <c r="K957" s="14">
        <v>17.25</v>
      </c>
      <c r="L957" s="14">
        <v>0.0</v>
      </c>
    </row>
    <row r="958">
      <c r="A958" s="14">
        <v>1461.0</v>
      </c>
      <c r="B958" s="14">
        <v>11.0</v>
      </c>
      <c r="C958" s="34">
        <v>58.84</v>
      </c>
      <c r="D958" s="36">
        <v>44735.0</v>
      </c>
      <c r="E958" s="24"/>
      <c r="F958" s="14">
        <v>5.35</v>
      </c>
      <c r="G958" s="14">
        <v>40.27</v>
      </c>
      <c r="H958" s="14">
        <v>0.75</v>
      </c>
      <c r="I958" s="14" t="s">
        <v>6032</v>
      </c>
      <c r="J958" s="14">
        <v>36.36</v>
      </c>
      <c r="K958" s="14">
        <v>14.71</v>
      </c>
      <c r="L958" s="14">
        <v>0.0</v>
      </c>
    </row>
    <row r="959">
      <c r="A959" s="14">
        <v>2648.0</v>
      </c>
      <c r="B959" s="14">
        <v>13.0</v>
      </c>
      <c r="C959" s="34">
        <v>25.19</v>
      </c>
      <c r="D959" s="36">
        <v>44735.0</v>
      </c>
      <c r="E959" s="24"/>
      <c r="F959" s="14">
        <v>1.94</v>
      </c>
      <c r="G959" s="14">
        <v>9.51</v>
      </c>
      <c r="H959" s="14">
        <v>0.49</v>
      </c>
      <c r="I959" s="14" t="s">
        <v>6022</v>
      </c>
      <c r="J959" s="14">
        <v>76.92</v>
      </c>
      <c r="K959" s="14">
        <v>2.52</v>
      </c>
      <c r="L959" s="14">
        <v>0.0</v>
      </c>
    </row>
    <row r="960">
      <c r="A960" s="14">
        <v>1427.0</v>
      </c>
      <c r="B960" s="14">
        <v>16.0</v>
      </c>
      <c r="C960" s="34">
        <v>22.56</v>
      </c>
      <c r="D960" s="36">
        <v>44735.0</v>
      </c>
      <c r="E960" s="24"/>
      <c r="F960" s="14">
        <v>1.41</v>
      </c>
      <c r="G960" s="14">
        <v>15.81</v>
      </c>
      <c r="H960" s="14">
        <v>1.12</v>
      </c>
      <c r="I960" s="14" t="s">
        <v>6026</v>
      </c>
      <c r="J960" s="14">
        <v>43.75</v>
      </c>
      <c r="K960" s="14">
        <v>3.22</v>
      </c>
      <c r="L960" s="14">
        <v>0.0</v>
      </c>
    </row>
    <row r="961">
      <c r="A961" s="14">
        <v>1197.0</v>
      </c>
      <c r="B961" s="14">
        <v>8.0</v>
      </c>
      <c r="C961" s="34">
        <v>64.03</v>
      </c>
      <c r="D961" s="36">
        <v>44735.0</v>
      </c>
      <c r="E961" s="24"/>
      <c r="F961" s="14">
        <v>8.0</v>
      </c>
      <c r="G961" s="14">
        <v>53.49</v>
      </c>
      <c r="H961" s="14">
        <v>0.67</v>
      </c>
      <c r="I961" s="14" t="s">
        <v>6044</v>
      </c>
      <c r="J961" s="14">
        <v>175.0</v>
      </c>
      <c r="K961" s="14">
        <v>4.57</v>
      </c>
      <c r="L961" s="14">
        <v>0.0</v>
      </c>
    </row>
    <row r="962">
      <c r="A962" s="14">
        <v>4670.0</v>
      </c>
      <c r="B962" s="14">
        <v>22.0</v>
      </c>
      <c r="C962" s="34">
        <v>62.98</v>
      </c>
      <c r="D962" s="36">
        <v>44735.0</v>
      </c>
      <c r="E962" s="24"/>
      <c r="F962" s="14">
        <v>2.86</v>
      </c>
      <c r="G962" s="14">
        <v>13.49</v>
      </c>
      <c r="H962" s="14">
        <v>0.47</v>
      </c>
      <c r="I962" s="14" t="s">
        <v>6045</v>
      </c>
      <c r="J962" s="14">
        <v>0.0</v>
      </c>
      <c r="K962" s="14" t="s">
        <v>6012</v>
      </c>
      <c r="L962" s="14">
        <v>0.0</v>
      </c>
    </row>
    <row r="963">
      <c r="A963" s="14">
        <v>5801.0</v>
      </c>
      <c r="B963" s="14">
        <v>68.0</v>
      </c>
      <c r="C963" s="34">
        <v>136.11</v>
      </c>
      <c r="D963" s="36">
        <v>44735.0</v>
      </c>
      <c r="E963" s="24"/>
      <c r="F963" s="14">
        <v>2.0</v>
      </c>
      <c r="G963" s="14">
        <v>23.46</v>
      </c>
      <c r="H963" s="14">
        <v>1.17</v>
      </c>
      <c r="I963" s="14" t="s">
        <v>6043</v>
      </c>
      <c r="J963" s="14">
        <v>67.65</v>
      </c>
      <c r="K963" s="14">
        <v>2.96</v>
      </c>
      <c r="L963" s="14">
        <v>0.0</v>
      </c>
    </row>
    <row r="964">
      <c r="A964" s="14">
        <v>0.0</v>
      </c>
      <c r="B964" s="14">
        <v>0.0</v>
      </c>
      <c r="C964" s="34"/>
      <c r="D964" s="36">
        <v>44736.0</v>
      </c>
      <c r="E964" s="24"/>
      <c r="F964" s="14" t="s">
        <v>6012</v>
      </c>
      <c r="G964" s="14" t="s">
        <v>6012</v>
      </c>
      <c r="H964" s="14" t="s">
        <v>6012</v>
      </c>
      <c r="I964" s="14" t="s">
        <v>6024</v>
      </c>
      <c r="J964" s="14" t="s">
        <v>6012</v>
      </c>
      <c r="K964" s="14" t="s">
        <v>6012</v>
      </c>
      <c r="L964" s="14"/>
    </row>
    <row r="965">
      <c r="A965" s="14">
        <v>775.0</v>
      </c>
      <c r="B965" s="14">
        <v>2.0</v>
      </c>
      <c r="C965" s="34">
        <v>43.24</v>
      </c>
      <c r="D965" s="36">
        <v>44736.0</v>
      </c>
      <c r="E965" s="24"/>
      <c r="F965" s="14">
        <v>21.62</v>
      </c>
      <c r="G965" s="14">
        <v>55.79</v>
      </c>
      <c r="H965" s="14">
        <v>0.26</v>
      </c>
      <c r="I965" s="14" t="s">
        <v>6037</v>
      </c>
      <c r="J965" s="14">
        <v>400.0</v>
      </c>
      <c r="K965" s="14">
        <v>5.4</v>
      </c>
      <c r="L965" s="14">
        <v>0.0</v>
      </c>
    </row>
    <row r="966">
      <c r="A966" s="14">
        <v>931.0</v>
      </c>
      <c r="B966" s="14">
        <v>1.0</v>
      </c>
      <c r="C966" s="34">
        <v>53.39</v>
      </c>
      <c r="D966" s="36">
        <v>44736.0</v>
      </c>
      <c r="E966" s="24"/>
      <c r="F966" s="14">
        <v>53.39</v>
      </c>
      <c r="G966" s="14">
        <v>57.35</v>
      </c>
      <c r="H966" s="14">
        <v>0.11</v>
      </c>
      <c r="I966" s="14" t="s">
        <v>6046</v>
      </c>
      <c r="J966" s="14">
        <v>400.0</v>
      </c>
      <c r="K966" s="14">
        <v>13.35</v>
      </c>
      <c r="L966" s="14">
        <v>0.0</v>
      </c>
    </row>
    <row r="967">
      <c r="A967" s="14">
        <v>187.0</v>
      </c>
      <c r="B967" s="14">
        <v>2.0</v>
      </c>
      <c r="C967" s="34">
        <v>9.45</v>
      </c>
      <c r="D967" s="36">
        <v>44736.0</v>
      </c>
      <c r="E967" s="24"/>
      <c r="F967" s="14">
        <v>4.72</v>
      </c>
      <c r="G967" s="14">
        <v>50.53</v>
      </c>
      <c r="H967" s="14">
        <v>1.07</v>
      </c>
      <c r="I967" s="14" t="s">
        <v>6030</v>
      </c>
      <c r="J967" s="14">
        <v>300.0</v>
      </c>
      <c r="K967" s="14">
        <v>1.58</v>
      </c>
      <c r="L967" s="14">
        <v>0.0</v>
      </c>
    </row>
    <row r="968">
      <c r="A968" s="14">
        <v>292.0</v>
      </c>
      <c r="B968" s="14">
        <v>1.0</v>
      </c>
      <c r="C968" s="34">
        <v>7.77</v>
      </c>
      <c r="D968" s="36">
        <v>44736.0</v>
      </c>
      <c r="E968" s="24"/>
      <c r="F968" s="14">
        <v>7.77</v>
      </c>
      <c r="G968" s="14">
        <v>26.61</v>
      </c>
      <c r="H968" s="14">
        <v>0.34</v>
      </c>
      <c r="I968" s="14" t="s">
        <v>6033</v>
      </c>
      <c r="J968" s="14">
        <v>700.0</v>
      </c>
      <c r="K968" s="14">
        <v>1.11</v>
      </c>
      <c r="L968" s="14">
        <v>0.0</v>
      </c>
    </row>
    <row r="969">
      <c r="A969" s="14">
        <v>66.0</v>
      </c>
      <c r="B969" s="14">
        <v>0.0</v>
      </c>
      <c r="C969" s="34">
        <v>14.67</v>
      </c>
      <c r="D969" s="36">
        <v>44736.0</v>
      </c>
      <c r="E969" s="24"/>
      <c r="F969" s="14" t="s">
        <v>6012</v>
      </c>
      <c r="G969" s="14">
        <v>222.27</v>
      </c>
      <c r="H969" s="14">
        <v>0.0</v>
      </c>
      <c r="I969" s="14" t="s">
        <v>6041</v>
      </c>
      <c r="J969" s="14" t="s">
        <v>6012</v>
      </c>
      <c r="K969" s="14" t="s">
        <v>6012</v>
      </c>
      <c r="L969" s="14">
        <v>0.0</v>
      </c>
    </row>
    <row r="970">
      <c r="A970" s="14">
        <v>179.0</v>
      </c>
      <c r="B970" s="14">
        <v>1.0</v>
      </c>
      <c r="C970" s="34">
        <v>11.57</v>
      </c>
      <c r="D970" s="36">
        <v>44736.0</v>
      </c>
      <c r="E970" s="24"/>
      <c r="F970" s="14">
        <v>11.57</v>
      </c>
      <c r="G970" s="14">
        <v>64.64</v>
      </c>
      <c r="H970" s="14">
        <v>0.56</v>
      </c>
      <c r="I970" s="14" t="s">
        <v>6040</v>
      </c>
      <c r="J970" s="14">
        <v>0.0</v>
      </c>
      <c r="K970" s="14" t="s">
        <v>6012</v>
      </c>
      <c r="L970" s="14">
        <v>0.0</v>
      </c>
    </row>
    <row r="971">
      <c r="A971" s="14">
        <v>369.0</v>
      </c>
      <c r="B971" s="14">
        <v>1.0</v>
      </c>
      <c r="C971" s="34">
        <v>6.78</v>
      </c>
      <c r="D971" s="36">
        <v>44736.0</v>
      </c>
      <c r="E971" s="24"/>
      <c r="F971" s="14">
        <v>6.78</v>
      </c>
      <c r="G971" s="14">
        <v>18.37</v>
      </c>
      <c r="H971" s="14">
        <v>0.27</v>
      </c>
      <c r="I971" s="14" t="s">
        <v>6026</v>
      </c>
      <c r="J971" s="14">
        <v>100.0</v>
      </c>
      <c r="K971" s="14">
        <v>6.78</v>
      </c>
      <c r="L971" s="14">
        <v>0.0</v>
      </c>
    </row>
    <row r="972">
      <c r="A972" s="14">
        <v>499.0</v>
      </c>
      <c r="B972" s="14">
        <v>4.0</v>
      </c>
      <c r="C972" s="34">
        <v>5.4</v>
      </c>
      <c r="D972" s="36">
        <v>44736.0</v>
      </c>
      <c r="E972" s="24"/>
      <c r="F972" s="14">
        <v>1.35</v>
      </c>
      <c r="G972" s="14">
        <v>10.82</v>
      </c>
      <c r="H972" s="14">
        <v>0.8</v>
      </c>
      <c r="I972" s="14" t="s">
        <v>6022</v>
      </c>
      <c r="J972" s="14">
        <v>75.0</v>
      </c>
      <c r="K972" s="14">
        <v>1.8</v>
      </c>
      <c r="L972" s="14">
        <v>0.0</v>
      </c>
    </row>
    <row r="973">
      <c r="A973" s="14">
        <v>947.0</v>
      </c>
      <c r="B973" s="14">
        <v>18.0</v>
      </c>
      <c r="C973" s="34">
        <v>43.87</v>
      </c>
      <c r="D973" s="36">
        <v>44736.0</v>
      </c>
      <c r="E973" s="24"/>
      <c r="F973" s="14">
        <v>2.44</v>
      </c>
      <c r="G973" s="14">
        <v>46.33</v>
      </c>
      <c r="H973" s="14">
        <v>1.9</v>
      </c>
      <c r="I973" s="14" t="s">
        <v>6032</v>
      </c>
      <c r="J973" s="14">
        <v>61.11</v>
      </c>
      <c r="K973" s="14">
        <v>3.99</v>
      </c>
      <c r="L973" s="14">
        <v>0.0</v>
      </c>
    </row>
    <row r="974">
      <c r="A974" s="14">
        <v>292.0</v>
      </c>
      <c r="B974" s="14">
        <v>0.0</v>
      </c>
      <c r="C974" s="34">
        <v>20.27</v>
      </c>
      <c r="D974" s="36">
        <v>44736.0</v>
      </c>
      <c r="E974" s="24"/>
      <c r="F974" s="14" t="s">
        <v>6012</v>
      </c>
      <c r="G974" s="14">
        <v>69.42</v>
      </c>
      <c r="H974" s="14">
        <v>0.0</v>
      </c>
      <c r="I974" s="14" t="s">
        <v>6042</v>
      </c>
      <c r="J974" s="14" t="s">
        <v>6012</v>
      </c>
      <c r="K974" s="14">
        <v>4.05</v>
      </c>
      <c r="L974" s="14">
        <v>0.0</v>
      </c>
    </row>
    <row r="975">
      <c r="A975" s="14">
        <v>1382.0</v>
      </c>
      <c r="B975" s="14">
        <v>2.0</v>
      </c>
      <c r="C975" s="34">
        <v>50.36</v>
      </c>
      <c r="D975" s="36">
        <v>44736.0</v>
      </c>
      <c r="E975" s="24"/>
      <c r="F975" s="14">
        <v>25.18</v>
      </c>
      <c r="G975" s="14">
        <v>36.44</v>
      </c>
      <c r="H975" s="14">
        <v>0.14</v>
      </c>
      <c r="I975" s="14" t="s">
        <v>6035</v>
      </c>
      <c r="J975" s="14">
        <v>50.0</v>
      </c>
      <c r="K975" s="14">
        <v>50.36</v>
      </c>
      <c r="L975" s="14">
        <v>0.0</v>
      </c>
    </row>
    <row r="976">
      <c r="A976" s="14">
        <v>860.0</v>
      </c>
      <c r="B976" s="14">
        <v>8.0</v>
      </c>
      <c r="C976" s="34">
        <v>52.5</v>
      </c>
      <c r="D976" s="36">
        <v>44736.0</v>
      </c>
      <c r="E976" s="24"/>
      <c r="F976" s="14">
        <v>6.56</v>
      </c>
      <c r="G976" s="14">
        <v>61.05</v>
      </c>
      <c r="H976" s="14">
        <v>0.93</v>
      </c>
      <c r="I976" s="14" t="s">
        <v>6027</v>
      </c>
      <c r="J976" s="14">
        <v>12.5</v>
      </c>
      <c r="K976" s="14">
        <v>52.5</v>
      </c>
      <c r="L976" s="14">
        <v>0.0</v>
      </c>
    </row>
    <row r="977">
      <c r="A977" s="14">
        <v>396.0</v>
      </c>
      <c r="B977" s="14">
        <v>6.0</v>
      </c>
      <c r="C977" s="34">
        <v>33.79</v>
      </c>
      <c r="D977" s="36">
        <v>44736.0</v>
      </c>
      <c r="E977" s="24"/>
      <c r="F977" s="14">
        <v>5.63</v>
      </c>
      <c r="G977" s="14">
        <v>85.33</v>
      </c>
      <c r="H977" s="14">
        <v>1.52</v>
      </c>
      <c r="I977" s="14" t="s">
        <v>6039</v>
      </c>
      <c r="J977" s="14">
        <v>83.33</v>
      </c>
      <c r="K977" s="14">
        <v>6.76</v>
      </c>
      <c r="L977" s="14">
        <v>0.0</v>
      </c>
    </row>
    <row r="978">
      <c r="A978" s="14">
        <v>509.0</v>
      </c>
      <c r="B978" s="14">
        <v>10.0</v>
      </c>
      <c r="C978" s="34">
        <v>20.46</v>
      </c>
      <c r="D978" s="36">
        <v>44736.0</v>
      </c>
      <c r="E978" s="24"/>
      <c r="F978" s="14">
        <v>2.05</v>
      </c>
      <c r="G978" s="14">
        <v>40.2</v>
      </c>
      <c r="H978" s="14">
        <v>1.96</v>
      </c>
      <c r="I978" s="14" t="s">
        <v>6044</v>
      </c>
      <c r="J978" s="14">
        <v>50.0</v>
      </c>
      <c r="K978" s="14">
        <v>4.09</v>
      </c>
      <c r="L978" s="14">
        <v>0.0</v>
      </c>
    </row>
    <row r="979">
      <c r="A979" s="14">
        <v>121.0</v>
      </c>
      <c r="B979" s="14">
        <v>2.0</v>
      </c>
      <c r="C979" s="34">
        <v>18.43</v>
      </c>
      <c r="D979" s="36">
        <v>44736.0</v>
      </c>
      <c r="E979" s="24"/>
      <c r="F979" s="14">
        <v>9.22</v>
      </c>
      <c r="G979" s="14">
        <v>152.31</v>
      </c>
      <c r="H979" s="14">
        <v>1.65</v>
      </c>
      <c r="I979" s="14" t="s">
        <v>6034</v>
      </c>
      <c r="J979" s="14">
        <v>150.0</v>
      </c>
      <c r="K979" s="14">
        <v>6.14</v>
      </c>
      <c r="L979" s="14">
        <v>0.0</v>
      </c>
    </row>
    <row r="980">
      <c r="A980" s="14">
        <v>1743.0</v>
      </c>
      <c r="B980" s="14">
        <v>18.0</v>
      </c>
      <c r="C980" s="34">
        <v>32.32</v>
      </c>
      <c r="D980" s="36">
        <v>44736.0</v>
      </c>
      <c r="E980" s="24"/>
      <c r="F980" s="14">
        <v>1.8</v>
      </c>
      <c r="G980" s="14">
        <v>18.54</v>
      </c>
      <c r="H980" s="14">
        <v>1.03</v>
      </c>
      <c r="I980" s="14" t="s">
        <v>6043</v>
      </c>
      <c r="J980" s="14">
        <v>83.33</v>
      </c>
      <c r="K980" s="14">
        <v>2.15</v>
      </c>
      <c r="L980" s="14">
        <v>0.0</v>
      </c>
    </row>
    <row r="981">
      <c r="A981" s="14">
        <v>0.0</v>
      </c>
      <c r="B981" s="14">
        <v>0.0</v>
      </c>
      <c r="C981" s="34"/>
      <c r="D981" s="36">
        <v>44736.0</v>
      </c>
      <c r="E981" s="24"/>
      <c r="F981" s="14" t="s">
        <v>6012</v>
      </c>
      <c r="G981" s="14" t="s">
        <v>6012</v>
      </c>
      <c r="H981" s="14" t="s">
        <v>6012</v>
      </c>
      <c r="I981" s="14" t="s">
        <v>6029</v>
      </c>
      <c r="J981" s="14" t="s">
        <v>6012</v>
      </c>
      <c r="K981" s="14" t="s">
        <v>6012</v>
      </c>
      <c r="L981" s="14"/>
    </row>
    <row r="982">
      <c r="A982" s="14">
        <v>752.0</v>
      </c>
      <c r="B982" s="14">
        <v>16.0</v>
      </c>
      <c r="C982" s="34">
        <v>41.16</v>
      </c>
      <c r="D982" s="36">
        <v>44736.0</v>
      </c>
      <c r="E982" s="24"/>
      <c r="F982" s="14">
        <v>2.57</v>
      </c>
      <c r="G982" s="14">
        <v>54.73</v>
      </c>
      <c r="H982" s="14">
        <v>2.13</v>
      </c>
      <c r="I982" s="14" t="s">
        <v>6028</v>
      </c>
      <c r="J982" s="14">
        <v>37.5</v>
      </c>
      <c r="K982" s="14">
        <v>6.86</v>
      </c>
      <c r="L982" s="14">
        <v>0.0</v>
      </c>
    </row>
    <row r="983">
      <c r="A983" s="14">
        <v>214.0</v>
      </c>
      <c r="B983" s="14">
        <v>0.0</v>
      </c>
      <c r="C983" s="34">
        <v>9.13</v>
      </c>
      <c r="D983" s="36">
        <v>44736.0</v>
      </c>
      <c r="E983" s="24"/>
      <c r="F983" s="14" t="s">
        <v>6012</v>
      </c>
      <c r="G983" s="14">
        <v>42.66</v>
      </c>
      <c r="H983" s="14">
        <v>0.0</v>
      </c>
      <c r="I983" s="14" t="s">
        <v>6036</v>
      </c>
      <c r="J983" s="14" t="s">
        <v>6012</v>
      </c>
      <c r="K983" s="14">
        <v>1.52</v>
      </c>
      <c r="L983" s="14">
        <v>0.0</v>
      </c>
    </row>
    <row r="984">
      <c r="A984" s="14">
        <v>606.0</v>
      </c>
      <c r="B984" s="14">
        <v>0.0</v>
      </c>
      <c r="C984" s="34">
        <v>40.8</v>
      </c>
      <c r="D984" s="36">
        <v>44736.0</v>
      </c>
      <c r="E984" s="24"/>
      <c r="F984" s="14" t="s">
        <v>6012</v>
      </c>
      <c r="G984" s="14">
        <v>67.33</v>
      </c>
      <c r="H984" s="14">
        <v>0.0</v>
      </c>
      <c r="I984" s="14" t="s">
        <v>6038</v>
      </c>
      <c r="J984" s="14" t="s">
        <v>6012</v>
      </c>
      <c r="K984" s="14" t="s">
        <v>6012</v>
      </c>
      <c r="L984" s="14">
        <v>0.0</v>
      </c>
    </row>
    <row r="985">
      <c r="A985" s="14">
        <v>2560.0</v>
      </c>
      <c r="B985" s="14">
        <v>8.0</v>
      </c>
      <c r="C985" s="34">
        <v>21.09</v>
      </c>
      <c r="D985" s="36">
        <v>44736.0</v>
      </c>
      <c r="E985" s="24"/>
      <c r="F985" s="14">
        <v>2.64</v>
      </c>
      <c r="G985" s="14">
        <v>8.24</v>
      </c>
      <c r="H985" s="14">
        <v>0.31</v>
      </c>
      <c r="I985" s="14" t="s">
        <v>6045</v>
      </c>
      <c r="J985" s="14">
        <v>0.0</v>
      </c>
      <c r="K985" s="14" t="s">
        <v>6012</v>
      </c>
      <c r="L985" s="14">
        <v>0.0</v>
      </c>
    </row>
    <row r="986">
      <c r="A986" s="14">
        <v>1810.0</v>
      </c>
      <c r="B986" s="14">
        <v>32.0</v>
      </c>
      <c r="C986" s="34">
        <v>52.38</v>
      </c>
      <c r="D986" s="36">
        <v>44736.0</v>
      </c>
      <c r="E986" s="24"/>
      <c r="F986" s="14">
        <v>1.64</v>
      </c>
      <c r="G986" s="14">
        <v>28.94</v>
      </c>
      <c r="H986" s="14">
        <v>1.77</v>
      </c>
      <c r="I986" s="14" t="s">
        <v>6031</v>
      </c>
      <c r="J986" s="14">
        <v>9.38</v>
      </c>
      <c r="K986" s="14">
        <v>17.46</v>
      </c>
      <c r="L986" s="14">
        <v>0.0</v>
      </c>
    </row>
    <row r="987">
      <c r="A987" s="14">
        <v>930.0</v>
      </c>
      <c r="B987" s="14">
        <v>8.0</v>
      </c>
      <c r="C987" s="34">
        <v>33.36</v>
      </c>
      <c r="D987" s="36">
        <v>44737.0</v>
      </c>
      <c r="E987" s="24"/>
      <c r="F987" s="14">
        <v>4.17</v>
      </c>
      <c r="G987" s="14">
        <v>35.87</v>
      </c>
      <c r="H987" s="14">
        <v>0.86</v>
      </c>
      <c r="I987" s="14" t="s">
        <v>6035</v>
      </c>
      <c r="J987" s="14">
        <v>62.5</v>
      </c>
      <c r="K987" s="14">
        <v>6.67</v>
      </c>
      <c r="L987" s="14">
        <v>0.0</v>
      </c>
    </row>
    <row r="988">
      <c r="A988" s="14">
        <v>0.0</v>
      </c>
      <c r="B988" s="14">
        <v>0.0</v>
      </c>
      <c r="C988" s="34"/>
      <c r="D988" s="36">
        <v>44737.0</v>
      </c>
      <c r="E988" s="24"/>
      <c r="F988" s="14" t="s">
        <v>6012</v>
      </c>
      <c r="G988" s="14" t="s">
        <v>6012</v>
      </c>
      <c r="H988" s="14" t="s">
        <v>6012</v>
      </c>
      <c r="I988" s="14" t="s">
        <v>6030</v>
      </c>
      <c r="J988" s="14" t="s">
        <v>6012</v>
      </c>
      <c r="K988" s="14" t="s">
        <v>6012</v>
      </c>
      <c r="L988" s="14"/>
    </row>
    <row r="989">
      <c r="A989" s="14">
        <v>1291.0</v>
      </c>
      <c r="B989" s="14">
        <v>15.0</v>
      </c>
      <c r="C989" s="34">
        <v>33.09</v>
      </c>
      <c r="D989" s="36">
        <v>44737.0</v>
      </c>
      <c r="E989" s="24"/>
      <c r="F989" s="14">
        <v>2.21</v>
      </c>
      <c r="G989" s="14">
        <v>25.63</v>
      </c>
      <c r="H989" s="14">
        <v>1.16</v>
      </c>
      <c r="I989" s="14" t="s">
        <v>6031</v>
      </c>
      <c r="J989" s="14">
        <v>46.67</v>
      </c>
      <c r="K989" s="14">
        <v>4.73</v>
      </c>
      <c r="L989" s="14">
        <v>0.0</v>
      </c>
    </row>
    <row r="990">
      <c r="A990" s="14">
        <v>765.0</v>
      </c>
      <c r="B990" s="14">
        <v>3.0</v>
      </c>
      <c r="C990" s="34">
        <v>36.73</v>
      </c>
      <c r="D990" s="36">
        <v>44737.0</v>
      </c>
      <c r="E990" s="24"/>
      <c r="F990" s="14">
        <v>12.24</v>
      </c>
      <c r="G990" s="14">
        <v>48.01</v>
      </c>
      <c r="H990" s="14">
        <v>0.39</v>
      </c>
      <c r="I990" s="14" t="s">
        <v>6046</v>
      </c>
      <c r="J990" s="14">
        <v>33.33</v>
      </c>
      <c r="K990" s="14">
        <v>36.73</v>
      </c>
      <c r="L990" s="14">
        <v>2.0</v>
      </c>
    </row>
    <row r="991">
      <c r="A991" s="14">
        <v>222.0</v>
      </c>
      <c r="B991" s="14">
        <v>3.0</v>
      </c>
      <c r="C991" s="34">
        <v>17.67</v>
      </c>
      <c r="D991" s="36">
        <v>44737.0</v>
      </c>
      <c r="E991" s="24"/>
      <c r="F991" s="14">
        <v>5.89</v>
      </c>
      <c r="G991" s="14">
        <v>79.59</v>
      </c>
      <c r="H991" s="14">
        <v>1.35</v>
      </c>
      <c r="I991" s="14" t="s">
        <v>6042</v>
      </c>
      <c r="J991" s="14">
        <v>100.0</v>
      </c>
      <c r="K991" s="14">
        <v>5.89</v>
      </c>
      <c r="L991" s="14">
        <v>0.0</v>
      </c>
    </row>
    <row r="992">
      <c r="A992" s="14">
        <v>920.0</v>
      </c>
      <c r="B992" s="14">
        <v>17.0</v>
      </c>
      <c r="C992" s="34">
        <v>29.58</v>
      </c>
      <c r="D992" s="36">
        <v>44737.0</v>
      </c>
      <c r="E992" s="24"/>
      <c r="F992" s="14">
        <v>1.74</v>
      </c>
      <c r="G992" s="14">
        <v>32.15</v>
      </c>
      <c r="H992" s="14">
        <v>1.85</v>
      </c>
      <c r="I992" s="14" t="s">
        <v>6028</v>
      </c>
      <c r="J992" s="14">
        <v>41.18</v>
      </c>
      <c r="K992" s="14">
        <v>4.23</v>
      </c>
      <c r="L992" s="14">
        <v>0.0</v>
      </c>
    </row>
    <row r="993">
      <c r="A993" s="14">
        <v>0.0</v>
      </c>
      <c r="B993" s="14">
        <v>0.0</v>
      </c>
      <c r="C993" s="34"/>
      <c r="D993" s="36">
        <v>44737.0</v>
      </c>
      <c r="E993" s="24"/>
      <c r="F993" s="14" t="s">
        <v>6012</v>
      </c>
      <c r="G993" s="14" t="s">
        <v>6012</v>
      </c>
      <c r="H993" s="14" t="s">
        <v>6012</v>
      </c>
      <c r="I993" s="14" t="s">
        <v>6029</v>
      </c>
      <c r="J993" s="14" t="s">
        <v>6012</v>
      </c>
      <c r="K993" s="14" t="s">
        <v>6012</v>
      </c>
      <c r="L993" s="14"/>
    </row>
    <row r="994">
      <c r="A994" s="14">
        <v>612.0</v>
      </c>
      <c r="B994" s="14">
        <v>6.0</v>
      </c>
      <c r="C994" s="34">
        <v>33.97</v>
      </c>
      <c r="D994" s="36">
        <v>44737.0</v>
      </c>
      <c r="E994" s="24"/>
      <c r="F994" s="14">
        <v>5.66</v>
      </c>
      <c r="G994" s="14">
        <v>55.51</v>
      </c>
      <c r="H994" s="14">
        <v>0.98</v>
      </c>
      <c r="I994" s="14" t="s">
        <v>6036</v>
      </c>
      <c r="J994" s="14">
        <v>100.0</v>
      </c>
      <c r="K994" s="14">
        <v>5.66</v>
      </c>
      <c r="L994" s="14">
        <v>0.0</v>
      </c>
    </row>
    <row r="995">
      <c r="A995" s="14">
        <v>499.0</v>
      </c>
      <c r="B995" s="14">
        <v>1.0</v>
      </c>
      <c r="C995" s="34">
        <v>26.12</v>
      </c>
      <c r="D995" s="36">
        <v>44737.0</v>
      </c>
      <c r="E995" s="24"/>
      <c r="F995" s="14">
        <v>26.12</v>
      </c>
      <c r="G995" s="14">
        <v>52.34</v>
      </c>
      <c r="H995" s="14">
        <v>0.2</v>
      </c>
      <c r="I995" s="14" t="s">
        <v>6038</v>
      </c>
      <c r="J995" s="14">
        <v>400.0</v>
      </c>
      <c r="K995" s="14">
        <v>6.53</v>
      </c>
      <c r="L995" s="14">
        <v>0.0</v>
      </c>
    </row>
    <row r="996">
      <c r="A996" s="14">
        <v>590.0</v>
      </c>
      <c r="B996" s="14">
        <v>10.0</v>
      </c>
      <c r="C996" s="34">
        <v>32.41</v>
      </c>
      <c r="D996" s="36">
        <v>44737.0</v>
      </c>
      <c r="E996" s="24"/>
      <c r="F996" s="14">
        <v>3.24</v>
      </c>
      <c r="G996" s="14">
        <v>54.93</v>
      </c>
      <c r="H996" s="14">
        <v>1.69</v>
      </c>
      <c r="I996" s="14" t="s">
        <v>6039</v>
      </c>
      <c r="J996" s="14">
        <v>50.0</v>
      </c>
      <c r="K996" s="14">
        <v>6.48</v>
      </c>
      <c r="L996" s="14">
        <v>0.0</v>
      </c>
    </row>
    <row r="997">
      <c r="A997" s="14">
        <v>1221.0</v>
      </c>
      <c r="B997" s="14">
        <v>20.0</v>
      </c>
      <c r="C997" s="34">
        <v>33.21</v>
      </c>
      <c r="D997" s="36">
        <v>44737.0</v>
      </c>
      <c r="E997" s="24"/>
      <c r="F997" s="14">
        <v>1.66</v>
      </c>
      <c r="G997" s="14">
        <v>27.2</v>
      </c>
      <c r="H997" s="14">
        <v>1.64</v>
      </c>
      <c r="I997" s="14" t="s">
        <v>6043</v>
      </c>
      <c r="J997" s="14">
        <v>55.0</v>
      </c>
      <c r="K997" s="14">
        <v>3.02</v>
      </c>
      <c r="L997" s="14">
        <v>0.0</v>
      </c>
    </row>
    <row r="998">
      <c r="A998" s="14">
        <v>697.0</v>
      </c>
      <c r="B998" s="14">
        <v>15.0</v>
      </c>
      <c r="C998" s="34">
        <v>20.5</v>
      </c>
      <c r="D998" s="36">
        <v>44737.0</v>
      </c>
      <c r="E998" s="24"/>
      <c r="F998" s="14">
        <v>1.37</v>
      </c>
      <c r="G998" s="14">
        <v>29.41</v>
      </c>
      <c r="H998" s="14">
        <v>2.15</v>
      </c>
      <c r="I998" s="14" t="s">
        <v>6044</v>
      </c>
      <c r="J998" s="14">
        <v>33.33</v>
      </c>
      <c r="K998" s="14">
        <v>4.1</v>
      </c>
      <c r="L998" s="14">
        <v>0.0</v>
      </c>
    </row>
    <row r="999">
      <c r="A999" s="14">
        <v>1167.0</v>
      </c>
      <c r="B999" s="14">
        <v>20.0</v>
      </c>
      <c r="C999" s="34">
        <v>30.28</v>
      </c>
      <c r="D999" s="36">
        <v>44737.0</v>
      </c>
      <c r="E999" s="24"/>
      <c r="F999" s="14">
        <v>1.51</v>
      </c>
      <c r="G999" s="14">
        <v>25.95</v>
      </c>
      <c r="H999" s="14">
        <v>1.71</v>
      </c>
      <c r="I999" s="14" t="s">
        <v>6032</v>
      </c>
      <c r="J999" s="14">
        <v>20.0</v>
      </c>
      <c r="K999" s="14">
        <v>7.57</v>
      </c>
      <c r="L999" s="14">
        <v>0.0</v>
      </c>
    </row>
    <row r="1000">
      <c r="A1000" s="14">
        <v>0.0</v>
      </c>
      <c r="B1000" s="14">
        <v>0.0</v>
      </c>
      <c r="C1000" s="34"/>
      <c r="D1000" s="36">
        <v>44737.0</v>
      </c>
      <c r="E1000" s="24"/>
      <c r="F1000" s="14" t="s">
        <v>6012</v>
      </c>
      <c r="G1000" s="14" t="s">
        <v>6012</v>
      </c>
      <c r="H1000" s="14" t="s">
        <v>6012</v>
      </c>
      <c r="I1000" s="14" t="s">
        <v>6033</v>
      </c>
      <c r="J1000" s="14" t="s">
        <v>6012</v>
      </c>
      <c r="K1000" s="14" t="s">
        <v>6012</v>
      </c>
      <c r="L1000" s="14"/>
    </row>
    <row r="1001">
      <c r="A1001" s="14">
        <v>0.0</v>
      </c>
      <c r="B1001" s="14">
        <v>0.0</v>
      </c>
      <c r="C1001" s="34"/>
      <c r="D1001" s="36">
        <v>44737.0</v>
      </c>
      <c r="E1001" s="24"/>
      <c r="F1001" s="14" t="s">
        <v>6012</v>
      </c>
      <c r="G1001" s="14" t="s">
        <v>6012</v>
      </c>
      <c r="H1001" s="14" t="s">
        <v>6012</v>
      </c>
      <c r="I1001" s="14" t="s">
        <v>6034</v>
      </c>
      <c r="J1001" s="14" t="s">
        <v>6012</v>
      </c>
      <c r="K1001" s="14" t="s">
        <v>6012</v>
      </c>
      <c r="L1001" s="14"/>
    </row>
    <row r="1002">
      <c r="A1002" s="14">
        <v>622.0</v>
      </c>
      <c r="B1002" s="14">
        <v>11.0</v>
      </c>
      <c r="C1002" s="34">
        <v>37.34</v>
      </c>
      <c r="D1002" s="36">
        <v>44737.0</v>
      </c>
      <c r="E1002" s="24"/>
      <c r="F1002" s="14">
        <v>3.39</v>
      </c>
      <c r="G1002" s="14">
        <v>60.03</v>
      </c>
      <c r="H1002" s="14">
        <v>1.77</v>
      </c>
      <c r="I1002" s="14" t="s">
        <v>6027</v>
      </c>
      <c r="J1002" s="14">
        <v>72.73</v>
      </c>
      <c r="K1002" s="14">
        <v>4.67</v>
      </c>
      <c r="L1002" s="14">
        <v>0.0</v>
      </c>
    </row>
    <row r="1003">
      <c r="A1003" s="14">
        <v>778.0</v>
      </c>
      <c r="B1003" s="14">
        <v>10.0</v>
      </c>
      <c r="C1003" s="34">
        <v>28.3</v>
      </c>
      <c r="D1003" s="36">
        <v>44737.0</v>
      </c>
      <c r="E1003" s="24"/>
      <c r="F1003" s="14">
        <v>2.83</v>
      </c>
      <c r="G1003" s="14">
        <v>36.38</v>
      </c>
      <c r="H1003" s="14">
        <v>1.29</v>
      </c>
      <c r="I1003" s="14" t="s">
        <v>6037</v>
      </c>
      <c r="J1003" s="14">
        <v>40.0</v>
      </c>
      <c r="K1003" s="14">
        <v>7.08</v>
      </c>
      <c r="L1003" s="14">
        <v>0.0</v>
      </c>
    </row>
    <row r="1004">
      <c r="A1004" s="14">
        <v>824.0</v>
      </c>
      <c r="B1004" s="14">
        <v>0.0</v>
      </c>
      <c r="C1004" s="34">
        <v>30.4</v>
      </c>
      <c r="D1004" s="36">
        <v>44738.0</v>
      </c>
      <c r="E1004" s="24"/>
      <c r="F1004" s="14" t="s">
        <v>6012</v>
      </c>
      <c r="G1004" s="14">
        <v>36.89</v>
      </c>
      <c r="H1004" s="14">
        <v>0.0</v>
      </c>
      <c r="I1004" s="14" t="s">
        <v>6035</v>
      </c>
      <c r="J1004" s="14" t="s">
        <v>6012</v>
      </c>
      <c r="K1004" s="14">
        <v>7.6</v>
      </c>
      <c r="L1004" s="14">
        <v>0.0</v>
      </c>
    </row>
    <row r="1005">
      <c r="A1005" s="14">
        <v>915.0</v>
      </c>
      <c r="B1005" s="14">
        <v>16.0</v>
      </c>
      <c r="C1005" s="34">
        <v>28.97</v>
      </c>
      <c r="D1005" s="36">
        <v>44738.0</v>
      </c>
      <c r="E1005" s="24"/>
      <c r="F1005" s="14">
        <v>1.81</v>
      </c>
      <c r="G1005" s="14">
        <v>31.66</v>
      </c>
      <c r="H1005" s="14">
        <v>1.75</v>
      </c>
      <c r="I1005" s="14" t="s">
        <v>6028</v>
      </c>
      <c r="J1005" s="14">
        <v>43.75</v>
      </c>
      <c r="K1005" s="14">
        <v>4.14</v>
      </c>
      <c r="L1005" s="14">
        <v>0.0</v>
      </c>
    </row>
    <row r="1006">
      <c r="A1006" s="14">
        <v>800.0</v>
      </c>
      <c r="B1006" s="14">
        <v>3.0</v>
      </c>
      <c r="C1006" s="34">
        <v>35.41</v>
      </c>
      <c r="D1006" s="36">
        <v>44738.0</v>
      </c>
      <c r="E1006" s="24"/>
      <c r="F1006" s="14">
        <v>11.8</v>
      </c>
      <c r="G1006" s="14">
        <v>44.26</v>
      </c>
      <c r="H1006" s="14">
        <v>0.38</v>
      </c>
      <c r="I1006" s="14" t="s">
        <v>6046</v>
      </c>
      <c r="J1006" s="14">
        <v>0.0</v>
      </c>
      <c r="K1006" s="14" t="s">
        <v>6012</v>
      </c>
      <c r="L1006" s="14">
        <v>0.0</v>
      </c>
    </row>
    <row r="1007">
      <c r="A1007" s="14">
        <v>307.0</v>
      </c>
      <c r="B1007" s="14">
        <v>1.0</v>
      </c>
      <c r="C1007" s="34">
        <v>20.22</v>
      </c>
      <c r="D1007" s="36">
        <v>44738.0</v>
      </c>
      <c r="E1007" s="24"/>
      <c r="F1007" s="14">
        <v>20.22</v>
      </c>
      <c r="G1007" s="14">
        <v>65.86</v>
      </c>
      <c r="H1007" s="14">
        <v>0.33</v>
      </c>
      <c r="I1007" s="14" t="s">
        <v>6038</v>
      </c>
      <c r="J1007" s="14">
        <v>200.0</v>
      </c>
      <c r="K1007" s="14">
        <v>10.11</v>
      </c>
      <c r="L1007" s="14">
        <v>0.0</v>
      </c>
    </row>
    <row r="1008">
      <c r="A1008" s="14">
        <v>0.0</v>
      </c>
      <c r="B1008" s="14">
        <v>0.0</v>
      </c>
      <c r="C1008" s="34"/>
      <c r="D1008" s="36">
        <v>44738.0</v>
      </c>
      <c r="E1008" s="24"/>
      <c r="F1008" s="14" t="s">
        <v>6012</v>
      </c>
      <c r="G1008" s="14" t="s">
        <v>6012</v>
      </c>
      <c r="H1008" s="14" t="s">
        <v>6012</v>
      </c>
      <c r="I1008" s="14" t="s">
        <v>6033</v>
      </c>
      <c r="J1008" s="14" t="s">
        <v>6012</v>
      </c>
      <c r="K1008" s="14" t="s">
        <v>6012</v>
      </c>
      <c r="L1008" s="14"/>
    </row>
    <row r="1009">
      <c r="A1009" s="14">
        <v>597.0</v>
      </c>
      <c r="B1009" s="14">
        <v>3.0</v>
      </c>
      <c r="C1009" s="34">
        <v>34.02</v>
      </c>
      <c r="D1009" s="36">
        <v>44738.0</v>
      </c>
      <c r="E1009" s="24"/>
      <c r="F1009" s="14">
        <v>11.34</v>
      </c>
      <c r="G1009" s="14">
        <v>56.98</v>
      </c>
      <c r="H1009" s="14">
        <v>0.5</v>
      </c>
      <c r="I1009" s="14" t="s">
        <v>6036</v>
      </c>
      <c r="J1009" s="14">
        <v>33.33</v>
      </c>
      <c r="K1009" s="14">
        <v>34.02</v>
      </c>
      <c r="L1009" s="14">
        <v>0.0</v>
      </c>
    </row>
    <row r="1010">
      <c r="A1010" s="14">
        <v>657.0</v>
      </c>
      <c r="B1010" s="14">
        <v>7.0</v>
      </c>
      <c r="C1010" s="34">
        <v>21.32</v>
      </c>
      <c r="D1010" s="36">
        <v>44738.0</v>
      </c>
      <c r="E1010" s="24"/>
      <c r="F1010" s="14">
        <v>3.05</v>
      </c>
      <c r="G1010" s="14">
        <v>32.45</v>
      </c>
      <c r="H1010" s="14">
        <v>1.07</v>
      </c>
      <c r="I1010" s="14" t="s">
        <v>6044</v>
      </c>
      <c r="J1010" s="14">
        <v>42.86</v>
      </c>
      <c r="K1010" s="14">
        <v>7.11</v>
      </c>
      <c r="L1010" s="14">
        <v>0.0</v>
      </c>
    </row>
    <row r="1011">
      <c r="A1011" s="14">
        <v>0.0</v>
      </c>
      <c r="B1011" s="14">
        <v>0.0</v>
      </c>
      <c r="C1011" s="34"/>
      <c r="D1011" s="36">
        <v>44738.0</v>
      </c>
      <c r="E1011" s="24"/>
      <c r="F1011" s="14" t="s">
        <v>6012</v>
      </c>
      <c r="G1011" s="14" t="s">
        <v>6012</v>
      </c>
      <c r="H1011" s="14" t="s">
        <v>6012</v>
      </c>
      <c r="I1011" s="14" t="s">
        <v>6030</v>
      </c>
      <c r="J1011" s="14" t="s">
        <v>6012</v>
      </c>
      <c r="K1011" s="14" t="s">
        <v>6012</v>
      </c>
      <c r="L1011" s="14"/>
    </row>
    <row r="1012">
      <c r="A1012" s="14">
        <v>0.0</v>
      </c>
      <c r="B1012" s="14">
        <v>0.0</v>
      </c>
      <c r="C1012" s="34"/>
      <c r="D1012" s="36">
        <v>44738.0</v>
      </c>
      <c r="E1012" s="24"/>
      <c r="F1012" s="14" t="s">
        <v>6012</v>
      </c>
      <c r="G1012" s="14" t="s">
        <v>6012</v>
      </c>
      <c r="H1012" s="14" t="s">
        <v>6012</v>
      </c>
      <c r="I1012" s="14" t="s">
        <v>6029</v>
      </c>
      <c r="J1012" s="14" t="s">
        <v>6012</v>
      </c>
      <c r="K1012" s="14" t="s">
        <v>6012</v>
      </c>
      <c r="L1012" s="14"/>
    </row>
    <row r="1013">
      <c r="A1013" s="14">
        <v>527.0</v>
      </c>
      <c r="B1013" s="14">
        <v>6.0</v>
      </c>
      <c r="C1013" s="34">
        <v>34.09</v>
      </c>
      <c r="D1013" s="36">
        <v>44738.0</v>
      </c>
      <c r="E1013" s="24"/>
      <c r="F1013" s="14">
        <v>5.68</v>
      </c>
      <c r="G1013" s="14">
        <v>64.69</v>
      </c>
      <c r="H1013" s="14">
        <v>1.14</v>
      </c>
      <c r="I1013" s="14" t="s">
        <v>6027</v>
      </c>
      <c r="J1013" s="14">
        <v>16.67</v>
      </c>
      <c r="K1013" s="14">
        <v>34.09</v>
      </c>
      <c r="L1013" s="14">
        <v>0.0</v>
      </c>
    </row>
    <row r="1014">
      <c r="A1014" s="14">
        <v>255.0</v>
      </c>
      <c r="B1014" s="14">
        <v>1.0</v>
      </c>
      <c r="C1014" s="34">
        <v>17.59</v>
      </c>
      <c r="D1014" s="36">
        <v>44738.0</v>
      </c>
      <c r="E1014" s="24"/>
      <c r="F1014" s="14">
        <v>17.59</v>
      </c>
      <c r="G1014" s="14">
        <v>68.98</v>
      </c>
      <c r="H1014" s="14">
        <v>0.39</v>
      </c>
      <c r="I1014" s="14" t="s">
        <v>6042</v>
      </c>
      <c r="J1014" s="14">
        <v>300.0</v>
      </c>
      <c r="K1014" s="14">
        <v>5.86</v>
      </c>
      <c r="L1014" s="14">
        <v>0.0</v>
      </c>
    </row>
    <row r="1015">
      <c r="A1015" s="14">
        <v>1614.0</v>
      </c>
      <c r="B1015" s="14">
        <v>17.0</v>
      </c>
      <c r="C1015" s="34">
        <v>33.78</v>
      </c>
      <c r="D1015" s="36">
        <v>44738.0</v>
      </c>
      <c r="E1015" s="24"/>
      <c r="F1015" s="14">
        <v>1.99</v>
      </c>
      <c r="G1015" s="14">
        <v>20.93</v>
      </c>
      <c r="H1015" s="14">
        <v>1.05</v>
      </c>
      <c r="I1015" s="14" t="s">
        <v>6043</v>
      </c>
      <c r="J1015" s="14">
        <v>41.18</v>
      </c>
      <c r="K1015" s="14">
        <v>4.83</v>
      </c>
      <c r="L1015" s="14">
        <v>0.0</v>
      </c>
    </row>
    <row r="1016">
      <c r="A1016" s="14">
        <v>806.0</v>
      </c>
      <c r="B1016" s="14">
        <v>9.0</v>
      </c>
      <c r="C1016" s="34">
        <v>27.95</v>
      </c>
      <c r="D1016" s="36">
        <v>44738.0</v>
      </c>
      <c r="E1016" s="24"/>
      <c r="F1016" s="14">
        <v>3.11</v>
      </c>
      <c r="G1016" s="14">
        <v>34.68</v>
      </c>
      <c r="H1016" s="14">
        <v>1.12</v>
      </c>
      <c r="I1016" s="14" t="s">
        <v>6037</v>
      </c>
      <c r="J1016" s="14">
        <v>22.22</v>
      </c>
      <c r="K1016" s="14">
        <v>13.98</v>
      </c>
      <c r="L1016" s="14">
        <v>0.0</v>
      </c>
    </row>
    <row r="1017">
      <c r="A1017" s="14">
        <v>565.0</v>
      </c>
      <c r="B1017" s="14">
        <v>5.0</v>
      </c>
      <c r="C1017" s="34">
        <v>32.11</v>
      </c>
      <c r="D1017" s="36">
        <v>44738.0</v>
      </c>
      <c r="E1017" s="24"/>
      <c r="F1017" s="14">
        <v>6.42</v>
      </c>
      <c r="G1017" s="14">
        <v>56.83</v>
      </c>
      <c r="H1017" s="14">
        <v>0.88</v>
      </c>
      <c r="I1017" s="14" t="s">
        <v>6039</v>
      </c>
      <c r="J1017" s="14">
        <v>80.0</v>
      </c>
      <c r="K1017" s="14">
        <v>8.03</v>
      </c>
      <c r="L1017" s="14">
        <v>0.0</v>
      </c>
    </row>
    <row r="1018">
      <c r="A1018" s="14">
        <v>1202.0</v>
      </c>
      <c r="B1018" s="14">
        <v>22.0</v>
      </c>
      <c r="C1018" s="34">
        <v>29.84</v>
      </c>
      <c r="D1018" s="36">
        <v>44738.0</v>
      </c>
      <c r="E1018" s="24"/>
      <c r="F1018" s="14">
        <v>1.36</v>
      </c>
      <c r="G1018" s="14">
        <v>24.83</v>
      </c>
      <c r="H1018" s="14">
        <v>1.83</v>
      </c>
      <c r="I1018" s="14" t="s">
        <v>6032</v>
      </c>
      <c r="J1018" s="14">
        <v>13.64</v>
      </c>
      <c r="K1018" s="14">
        <v>9.95</v>
      </c>
      <c r="L1018" s="14">
        <v>0.0</v>
      </c>
    </row>
    <row r="1019">
      <c r="A1019" s="14">
        <v>1389.0</v>
      </c>
      <c r="B1019" s="14">
        <v>8.0</v>
      </c>
      <c r="C1019" s="34">
        <v>30.24</v>
      </c>
      <c r="D1019" s="36">
        <v>44738.0</v>
      </c>
      <c r="E1019" s="24"/>
      <c r="F1019" s="14">
        <v>3.78</v>
      </c>
      <c r="G1019" s="14">
        <v>21.77</v>
      </c>
      <c r="H1019" s="14">
        <v>0.58</v>
      </c>
      <c r="I1019" s="14" t="s">
        <v>6031</v>
      </c>
      <c r="J1019" s="14">
        <v>50.0</v>
      </c>
      <c r="K1019" s="14">
        <v>7.56</v>
      </c>
      <c r="L1019" s="14">
        <v>0.0</v>
      </c>
    </row>
    <row r="1020">
      <c r="A1020" s="14">
        <v>1687.0</v>
      </c>
      <c r="B1020" s="14">
        <v>13.0</v>
      </c>
      <c r="C1020" s="34">
        <v>25.07</v>
      </c>
      <c r="D1020" s="36">
        <v>44739.0</v>
      </c>
      <c r="E1020" s="24"/>
      <c r="F1020" s="14">
        <v>1.93</v>
      </c>
      <c r="G1020" s="14">
        <v>14.86</v>
      </c>
      <c r="H1020" s="14">
        <v>0.77</v>
      </c>
      <c r="I1020" s="14" t="s">
        <v>6043</v>
      </c>
      <c r="J1020" s="14">
        <v>23.08</v>
      </c>
      <c r="K1020" s="14">
        <v>8.36</v>
      </c>
      <c r="L1020" s="14">
        <v>0.0</v>
      </c>
    </row>
    <row r="1021">
      <c r="A1021" s="14">
        <v>796.0</v>
      </c>
      <c r="B1021" s="14">
        <v>5.0</v>
      </c>
      <c r="C1021" s="34">
        <v>28.62</v>
      </c>
      <c r="D1021" s="36">
        <v>44739.0</v>
      </c>
      <c r="E1021" s="24"/>
      <c r="F1021" s="14">
        <v>5.72</v>
      </c>
      <c r="G1021" s="14">
        <v>35.95</v>
      </c>
      <c r="H1021" s="14">
        <v>0.63</v>
      </c>
      <c r="I1021" s="14" t="s">
        <v>6038</v>
      </c>
      <c r="J1021" s="14">
        <v>80.0</v>
      </c>
      <c r="K1021" s="14">
        <v>7.16</v>
      </c>
      <c r="L1021" s="14">
        <v>0.0</v>
      </c>
    </row>
    <row r="1022">
      <c r="A1022" s="14">
        <v>499.0</v>
      </c>
      <c r="B1022" s="14">
        <v>4.0</v>
      </c>
      <c r="C1022" s="34">
        <v>25.07</v>
      </c>
      <c r="D1022" s="36">
        <v>44739.0</v>
      </c>
      <c r="E1022" s="24"/>
      <c r="F1022" s="14">
        <v>6.27</v>
      </c>
      <c r="G1022" s="14">
        <v>50.24</v>
      </c>
      <c r="H1022" s="14">
        <v>0.8</v>
      </c>
      <c r="I1022" s="14" t="s">
        <v>6036</v>
      </c>
      <c r="J1022" s="14">
        <v>50.0</v>
      </c>
      <c r="K1022" s="14">
        <v>12.54</v>
      </c>
      <c r="L1022" s="14">
        <v>0.0</v>
      </c>
    </row>
    <row r="1023">
      <c r="A1023" s="14">
        <v>0.0</v>
      </c>
      <c r="B1023" s="14">
        <v>0.0</v>
      </c>
      <c r="C1023" s="34"/>
      <c r="D1023" s="36">
        <v>44739.0</v>
      </c>
      <c r="E1023" s="24"/>
      <c r="F1023" s="14" t="s">
        <v>6012</v>
      </c>
      <c r="G1023" s="14" t="s">
        <v>6012</v>
      </c>
      <c r="H1023" s="14" t="s">
        <v>6012</v>
      </c>
      <c r="I1023" s="14" t="s">
        <v>6030</v>
      </c>
      <c r="J1023" s="14" t="s">
        <v>6012</v>
      </c>
      <c r="K1023" s="14" t="s">
        <v>6012</v>
      </c>
      <c r="L1023" s="14"/>
    </row>
    <row r="1024">
      <c r="A1024" s="14">
        <v>0.0</v>
      </c>
      <c r="B1024" s="14">
        <v>0.0</v>
      </c>
      <c r="C1024" s="34"/>
      <c r="D1024" s="36">
        <v>44739.0</v>
      </c>
      <c r="E1024" s="24"/>
      <c r="F1024" s="14" t="s">
        <v>6012</v>
      </c>
      <c r="G1024" s="14" t="s">
        <v>6012</v>
      </c>
      <c r="H1024" s="14" t="s">
        <v>6012</v>
      </c>
      <c r="I1024" s="14" t="s">
        <v>6022</v>
      </c>
      <c r="J1024" s="14" t="s">
        <v>6012</v>
      </c>
      <c r="K1024" s="14" t="s">
        <v>6012</v>
      </c>
      <c r="L1024" s="14"/>
    </row>
    <row r="1025">
      <c r="A1025" s="14">
        <v>396.0</v>
      </c>
      <c r="B1025" s="14">
        <v>3.0</v>
      </c>
      <c r="C1025" s="34">
        <v>10.49</v>
      </c>
      <c r="D1025" s="36">
        <v>44739.0</v>
      </c>
      <c r="E1025" s="24"/>
      <c r="F1025" s="14">
        <v>3.5</v>
      </c>
      <c r="G1025" s="14">
        <v>26.49</v>
      </c>
      <c r="H1025" s="14">
        <v>0.76</v>
      </c>
      <c r="I1025" s="14" t="s">
        <v>6028</v>
      </c>
      <c r="J1025" s="14">
        <v>100.0</v>
      </c>
      <c r="K1025" s="14">
        <v>3.5</v>
      </c>
      <c r="L1025" s="14">
        <v>0.0</v>
      </c>
    </row>
    <row r="1026">
      <c r="A1026" s="14">
        <v>193.0</v>
      </c>
      <c r="B1026" s="14">
        <v>6.0</v>
      </c>
      <c r="C1026" s="34">
        <v>12.0</v>
      </c>
      <c r="D1026" s="36">
        <v>44739.0</v>
      </c>
      <c r="E1026" s="24"/>
      <c r="F1026" s="14">
        <v>2.0</v>
      </c>
      <c r="G1026" s="14">
        <v>62.18</v>
      </c>
      <c r="H1026" s="14">
        <v>3.11</v>
      </c>
      <c r="I1026" s="14" t="s">
        <v>6039</v>
      </c>
      <c r="J1026" s="14">
        <v>50.0</v>
      </c>
      <c r="K1026" s="14">
        <v>4.0</v>
      </c>
      <c r="L1026" s="14">
        <v>0.0</v>
      </c>
    </row>
    <row r="1027">
      <c r="A1027" s="14">
        <v>312.0</v>
      </c>
      <c r="B1027" s="14">
        <v>2.0</v>
      </c>
      <c r="C1027" s="34">
        <v>13.25</v>
      </c>
      <c r="D1027" s="36">
        <v>44739.0</v>
      </c>
      <c r="E1027" s="24"/>
      <c r="F1027" s="14">
        <v>6.62</v>
      </c>
      <c r="G1027" s="14">
        <v>42.47</v>
      </c>
      <c r="H1027" s="14">
        <v>0.64</v>
      </c>
      <c r="I1027" s="14" t="s">
        <v>6037</v>
      </c>
      <c r="J1027" s="14">
        <v>100.0</v>
      </c>
      <c r="K1027" s="14">
        <v>6.62</v>
      </c>
      <c r="L1027" s="14">
        <v>0.0</v>
      </c>
    </row>
    <row r="1028">
      <c r="A1028" s="14">
        <v>678.0</v>
      </c>
      <c r="B1028" s="14">
        <v>7.0</v>
      </c>
      <c r="C1028" s="34">
        <v>12.34</v>
      </c>
      <c r="D1028" s="36">
        <v>44739.0</v>
      </c>
      <c r="E1028" s="24"/>
      <c r="F1028" s="14">
        <v>1.76</v>
      </c>
      <c r="G1028" s="14">
        <v>18.2</v>
      </c>
      <c r="H1028" s="14">
        <v>1.03</v>
      </c>
      <c r="I1028" s="14" t="s">
        <v>6032</v>
      </c>
      <c r="J1028" s="14">
        <v>28.57</v>
      </c>
      <c r="K1028" s="14">
        <v>6.17</v>
      </c>
      <c r="L1028" s="14">
        <v>0.0</v>
      </c>
    </row>
    <row r="1029">
      <c r="A1029" s="14">
        <v>1106.0</v>
      </c>
      <c r="B1029" s="14">
        <v>5.0</v>
      </c>
      <c r="C1029" s="34">
        <v>58.0</v>
      </c>
      <c r="D1029" s="36">
        <v>44739.0</v>
      </c>
      <c r="E1029" s="24"/>
      <c r="F1029" s="14">
        <v>11.6</v>
      </c>
      <c r="G1029" s="14">
        <v>52.44</v>
      </c>
      <c r="H1029" s="14">
        <v>0.45</v>
      </c>
      <c r="I1029" s="14" t="s">
        <v>6046</v>
      </c>
      <c r="J1029" s="14">
        <v>20.0</v>
      </c>
      <c r="K1029" s="14">
        <v>58.0</v>
      </c>
      <c r="L1029" s="14">
        <v>1.0</v>
      </c>
    </row>
    <row r="1030">
      <c r="A1030" s="14">
        <v>934.0</v>
      </c>
      <c r="B1030" s="14">
        <v>11.0</v>
      </c>
      <c r="C1030" s="34">
        <v>26.52</v>
      </c>
      <c r="D1030" s="36">
        <v>44739.0</v>
      </c>
      <c r="E1030" s="24"/>
      <c r="F1030" s="14">
        <v>2.41</v>
      </c>
      <c r="G1030" s="14">
        <v>28.39</v>
      </c>
      <c r="H1030" s="14">
        <v>1.18</v>
      </c>
      <c r="I1030" s="14" t="s">
        <v>6027</v>
      </c>
      <c r="J1030" s="14">
        <v>54.55</v>
      </c>
      <c r="K1030" s="14">
        <v>4.42</v>
      </c>
      <c r="L1030" s="14">
        <v>0.0</v>
      </c>
    </row>
    <row r="1031">
      <c r="A1031" s="14">
        <v>600.0</v>
      </c>
      <c r="B1031" s="14">
        <v>7.0</v>
      </c>
      <c r="C1031" s="34">
        <v>15.83</v>
      </c>
      <c r="D1031" s="36">
        <v>44739.0</v>
      </c>
      <c r="E1031" s="24"/>
      <c r="F1031" s="14">
        <v>2.26</v>
      </c>
      <c r="G1031" s="14">
        <v>26.38</v>
      </c>
      <c r="H1031" s="14">
        <v>1.17</v>
      </c>
      <c r="I1031" s="14" t="s">
        <v>6044</v>
      </c>
      <c r="J1031" s="14">
        <v>28.57</v>
      </c>
      <c r="K1031" s="14">
        <v>7.92</v>
      </c>
      <c r="L1031" s="14">
        <v>0.0</v>
      </c>
    </row>
    <row r="1032">
      <c r="A1032" s="14">
        <v>1271.0</v>
      </c>
      <c r="B1032" s="14">
        <v>1.0</v>
      </c>
      <c r="C1032" s="34">
        <v>27.3</v>
      </c>
      <c r="D1032" s="36">
        <v>44739.0</v>
      </c>
      <c r="E1032" s="24"/>
      <c r="F1032" s="14">
        <v>27.3</v>
      </c>
      <c r="G1032" s="14">
        <v>21.48</v>
      </c>
      <c r="H1032" s="14">
        <v>0.08</v>
      </c>
      <c r="I1032" s="14" t="s">
        <v>6035</v>
      </c>
      <c r="J1032" s="14">
        <v>500.0</v>
      </c>
      <c r="K1032" s="14">
        <v>5.46</v>
      </c>
      <c r="L1032" s="14">
        <v>0.0</v>
      </c>
    </row>
    <row r="1033">
      <c r="A1033" s="14">
        <v>0.0</v>
      </c>
      <c r="B1033" s="14">
        <v>0.0</v>
      </c>
      <c r="C1033" s="34"/>
      <c r="D1033" s="36">
        <v>44739.0</v>
      </c>
      <c r="E1033" s="24"/>
      <c r="F1033" s="14" t="s">
        <v>6012</v>
      </c>
      <c r="G1033" s="14" t="s">
        <v>6012</v>
      </c>
      <c r="H1033" s="14" t="s">
        <v>6012</v>
      </c>
      <c r="I1033" s="14" t="s">
        <v>6033</v>
      </c>
      <c r="J1033" s="14" t="s">
        <v>6012</v>
      </c>
      <c r="K1033" s="14" t="s">
        <v>6012</v>
      </c>
      <c r="L1033" s="14"/>
    </row>
    <row r="1034">
      <c r="A1034" s="14">
        <v>0.0</v>
      </c>
      <c r="B1034" s="14">
        <v>0.0</v>
      </c>
      <c r="C1034" s="34"/>
      <c r="D1034" s="36">
        <v>44739.0</v>
      </c>
      <c r="E1034" s="24"/>
      <c r="F1034" s="14" t="s">
        <v>6012</v>
      </c>
      <c r="G1034" s="14" t="s">
        <v>6012</v>
      </c>
      <c r="H1034" s="14" t="s">
        <v>6012</v>
      </c>
      <c r="I1034" s="14" t="s">
        <v>6029</v>
      </c>
      <c r="J1034" s="14" t="s">
        <v>6012</v>
      </c>
      <c r="K1034" s="14" t="s">
        <v>6012</v>
      </c>
      <c r="L1034" s="14"/>
    </row>
    <row r="1035">
      <c r="A1035" s="14">
        <v>2260.0</v>
      </c>
      <c r="B1035" s="14">
        <v>8.0</v>
      </c>
      <c r="C1035" s="34">
        <v>25.71</v>
      </c>
      <c r="D1035" s="36">
        <v>44739.0</v>
      </c>
      <c r="E1035" s="24"/>
      <c r="F1035" s="14">
        <v>3.21</v>
      </c>
      <c r="G1035" s="14">
        <v>11.38</v>
      </c>
      <c r="H1035" s="14">
        <v>0.35</v>
      </c>
      <c r="I1035" s="14" t="s">
        <v>6031</v>
      </c>
      <c r="J1035" s="14">
        <v>62.5</v>
      </c>
      <c r="K1035" s="14">
        <v>5.14</v>
      </c>
      <c r="L1035" s="14">
        <v>0.0</v>
      </c>
    </row>
    <row r="1036">
      <c r="A1036" s="14">
        <v>262.0</v>
      </c>
      <c r="B1036" s="14">
        <v>3.0</v>
      </c>
      <c r="C1036" s="34">
        <v>15.48</v>
      </c>
      <c r="D1036" s="36">
        <v>44739.0</v>
      </c>
      <c r="E1036" s="24"/>
      <c r="F1036" s="14">
        <v>5.16</v>
      </c>
      <c r="G1036" s="14">
        <v>59.08</v>
      </c>
      <c r="H1036" s="14">
        <v>1.15</v>
      </c>
      <c r="I1036" s="14" t="s">
        <v>6042</v>
      </c>
      <c r="J1036" s="14">
        <v>33.33</v>
      </c>
      <c r="K1036" s="14">
        <v>15.48</v>
      </c>
      <c r="L1036" s="14">
        <v>0.0</v>
      </c>
    </row>
    <row r="1037">
      <c r="A1037" s="14">
        <v>0.0</v>
      </c>
      <c r="B1037" s="14">
        <v>0.0</v>
      </c>
      <c r="C1037" s="34"/>
      <c r="D1037" s="36">
        <v>44739.0</v>
      </c>
      <c r="E1037" s="24"/>
      <c r="F1037" s="14" t="s">
        <v>6012</v>
      </c>
      <c r="G1037" s="14" t="s">
        <v>6012</v>
      </c>
      <c r="H1037" s="14" t="s">
        <v>6012</v>
      </c>
      <c r="I1037" s="14" t="s">
        <v>6026</v>
      </c>
      <c r="J1037" s="14" t="s">
        <v>6012</v>
      </c>
      <c r="K1037" s="14" t="s">
        <v>6012</v>
      </c>
      <c r="L1037" s="14"/>
    </row>
    <row r="1038">
      <c r="A1038" s="14">
        <v>0.0</v>
      </c>
      <c r="B1038" s="14">
        <v>0.0</v>
      </c>
      <c r="C1038" s="34"/>
      <c r="D1038" s="36">
        <v>44740.0</v>
      </c>
      <c r="E1038" s="24"/>
      <c r="F1038" s="14" t="s">
        <v>6012</v>
      </c>
      <c r="G1038" s="14" t="s">
        <v>6012</v>
      </c>
      <c r="H1038" s="14" t="s">
        <v>6012</v>
      </c>
      <c r="I1038" s="14" t="s">
        <v>6024</v>
      </c>
      <c r="J1038" s="14" t="s">
        <v>6012</v>
      </c>
      <c r="K1038" s="14" t="s">
        <v>6012</v>
      </c>
      <c r="L1038" s="14"/>
    </row>
    <row r="1039">
      <c r="A1039" s="14">
        <v>528.0</v>
      </c>
      <c r="B1039" s="14">
        <v>3.0</v>
      </c>
      <c r="C1039" s="34">
        <v>29.71</v>
      </c>
      <c r="D1039" s="36">
        <v>44740.0</v>
      </c>
      <c r="E1039" s="24"/>
      <c r="F1039" s="14">
        <v>9.9</v>
      </c>
      <c r="G1039" s="14">
        <v>56.27</v>
      </c>
      <c r="H1039" s="14">
        <v>0.57</v>
      </c>
      <c r="I1039" s="14" t="s">
        <v>6036</v>
      </c>
      <c r="J1039" s="14">
        <v>166.67</v>
      </c>
      <c r="K1039" s="14">
        <v>5.94</v>
      </c>
      <c r="L1039" s="14">
        <v>0.0</v>
      </c>
    </row>
    <row r="1040">
      <c r="A1040" s="14">
        <v>1292.0</v>
      </c>
      <c r="B1040" s="14">
        <v>3.0</v>
      </c>
      <c r="C1040" s="34">
        <v>64.0</v>
      </c>
      <c r="D1040" s="36">
        <v>44740.0</v>
      </c>
      <c r="E1040" s="24"/>
      <c r="F1040" s="14">
        <v>21.33</v>
      </c>
      <c r="G1040" s="14">
        <v>49.54</v>
      </c>
      <c r="H1040" s="14">
        <v>0.23</v>
      </c>
      <c r="I1040" s="14" t="s">
        <v>6046</v>
      </c>
      <c r="J1040" s="14">
        <v>33.33</v>
      </c>
      <c r="K1040" s="14">
        <v>64.0</v>
      </c>
      <c r="L1040" s="14">
        <v>0.0</v>
      </c>
    </row>
    <row r="1041">
      <c r="A1041" s="14">
        <v>1355.0</v>
      </c>
      <c r="B1041" s="14">
        <v>34.0</v>
      </c>
      <c r="C1041" s="34">
        <v>42.22</v>
      </c>
      <c r="D1041" s="36">
        <v>44740.0</v>
      </c>
      <c r="E1041" s="24"/>
      <c r="F1041" s="14">
        <v>1.24</v>
      </c>
      <c r="G1041" s="14">
        <v>31.16</v>
      </c>
      <c r="H1041" s="14">
        <v>2.51</v>
      </c>
      <c r="I1041" s="14" t="s">
        <v>6032</v>
      </c>
      <c r="J1041" s="14">
        <v>20.59</v>
      </c>
      <c r="K1041" s="14">
        <v>6.03</v>
      </c>
      <c r="L1041" s="14">
        <v>0.0</v>
      </c>
    </row>
    <row r="1042">
      <c r="A1042" s="14">
        <v>1077.0</v>
      </c>
      <c r="B1042" s="14">
        <v>3.0</v>
      </c>
      <c r="C1042" s="34">
        <v>46.08</v>
      </c>
      <c r="D1042" s="36">
        <v>44740.0</v>
      </c>
      <c r="E1042" s="24"/>
      <c r="F1042" s="14">
        <v>15.36</v>
      </c>
      <c r="G1042" s="14">
        <v>42.79</v>
      </c>
      <c r="H1042" s="14">
        <v>0.28</v>
      </c>
      <c r="I1042" s="14" t="s">
        <v>6035</v>
      </c>
      <c r="J1042" s="14">
        <v>33.33</v>
      </c>
      <c r="K1042" s="14">
        <v>46.08</v>
      </c>
      <c r="L1042" s="14">
        <v>0.0</v>
      </c>
    </row>
    <row r="1043">
      <c r="A1043" s="14">
        <v>1741.0</v>
      </c>
      <c r="B1043" s="14">
        <v>15.0</v>
      </c>
      <c r="C1043" s="34">
        <v>29.62</v>
      </c>
      <c r="D1043" s="36">
        <v>44740.0</v>
      </c>
      <c r="E1043" s="24"/>
      <c r="F1043" s="14">
        <v>1.97</v>
      </c>
      <c r="G1043" s="14">
        <v>17.01</v>
      </c>
      <c r="H1043" s="14">
        <v>0.86</v>
      </c>
      <c r="I1043" s="14" t="s">
        <v>6043</v>
      </c>
      <c r="J1043" s="14">
        <v>60.0</v>
      </c>
      <c r="K1043" s="14">
        <v>3.29</v>
      </c>
      <c r="L1043" s="14">
        <v>0.0</v>
      </c>
    </row>
    <row r="1044">
      <c r="A1044" s="14">
        <v>885.0</v>
      </c>
      <c r="B1044" s="14">
        <v>2.0</v>
      </c>
      <c r="C1044" s="34">
        <v>45.16</v>
      </c>
      <c r="D1044" s="36">
        <v>44740.0</v>
      </c>
      <c r="E1044" s="24"/>
      <c r="F1044" s="14">
        <v>22.58</v>
      </c>
      <c r="G1044" s="14">
        <v>51.03</v>
      </c>
      <c r="H1044" s="14">
        <v>0.23</v>
      </c>
      <c r="I1044" s="14" t="s">
        <v>6038</v>
      </c>
      <c r="J1044" s="14">
        <v>100.0</v>
      </c>
      <c r="K1044" s="14">
        <v>22.58</v>
      </c>
      <c r="L1044" s="14">
        <v>0.0</v>
      </c>
    </row>
    <row r="1045">
      <c r="A1045" s="14">
        <v>738.0</v>
      </c>
      <c r="B1045" s="14">
        <v>6.0</v>
      </c>
      <c r="C1045" s="34">
        <v>26.41</v>
      </c>
      <c r="D1045" s="36">
        <v>44740.0</v>
      </c>
      <c r="E1045" s="24"/>
      <c r="F1045" s="14">
        <v>4.4</v>
      </c>
      <c r="G1045" s="14">
        <v>35.79</v>
      </c>
      <c r="H1045" s="14">
        <v>0.81</v>
      </c>
      <c r="I1045" s="14" t="s">
        <v>6027</v>
      </c>
      <c r="J1045" s="14">
        <v>50.0</v>
      </c>
      <c r="K1045" s="14">
        <v>8.8</v>
      </c>
      <c r="L1045" s="14">
        <v>0.0</v>
      </c>
    </row>
    <row r="1046">
      <c r="A1046" s="14">
        <v>0.0</v>
      </c>
      <c r="B1046" s="14">
        <v>0.0</v>
      </c>
      <c r="C1046" s="34"/>
      <c r="D1046" s="36">
        <v>44740.0</v>
      </c>
      <c r="E1046" s="24"/>
      <c r="F1046" s="14" t="s">
        <v>6012</v>
      </c>
      <c r="G1046" s="14" t="s">
        <v>6012</v>
      </c>
      <c r="H1046" s="14" t="s">
        <v>6012</v>
      </c>
      <c r="I1046" s="14" t="s">
        <v>6030</v>
      </c>
      <c r="J1046" s="14" t="s">
        <v>6012</v>
      </c>
      <c r="K1046" s="14" t="s">
        <v>6012</v>
      </c>
      <c r="L1046" s="14"/>
    </row>
    <row r="1047">
      <c r="A1047" s="14">
        <v>410.0</v>
      </c>
      <c r="B1047" s="14">
        <v>4.0</v>
      </c>
      <c r="C1047" s="34">
        <v>8.7</v>
      </c>
      <c r="D1047" s="36">
        <v>44740.0</v>
      </c>
      <c r="E1047" s="24"/>
      <c r="F1047" s="14">
        <v>2.17</v>
      </c>
      <c r="G1047" s="14">
        <v>21.22</v>
      </c>
      <c r="H1047" s="14">
        <v>0.98</v>
      </c>
      <c r="I1047" s="14" t="s">
        <v>6028</v>
      </c>
      <c r="J1047" s="14">
        <v>100.0</v>
      </c>
      <c r="K1047" s="14">
        <v>2.17</v>
      </c>
      <c r="L1047" s="14">
        <v>0.0</v>
      </c>
    </row>
    <row r="1048">
      <c r="A1048" s="14">
        <v>0.0</v>
      </c>
      <c r="B1048" s="14">
        <v>0.0</v>
      </c>
      <c r="C1048" s="34"/>
      <c r="D1048" s="36">
        <v>44740.0</v>
      </c>
      <c r="E1048" s="24"/>
      <c r="F1048" s="14" t="s">
        <v>6012</v>
      </c>
      <c r="G1048" s="14" t="s">
        <v>6012</v>
      </c>
      <c r="H1048" s="14" t="s">
        <v>6012</v>
      </c>
      <c r="I1048" s="14" t="s">
        <v>6040</v>
      </c>
      <c r="J1048" s="14" t="s">
        <v>6012</v>
      </c>
      <c r="K1048" s="14" t="s">
        <v>6012</v>
      </c>
      <c r="L1048" s="14"/>
    </row>
    <row r="1049">
      <c r="A1049" s="14">
        <v>0.0</v>
      </c>
      <c r="B1049" s="14">
        <v>0.0</v>
      </c>
      <c r="C1049" s="34"/>
      <c r="D1049" s="36">
        <v>44740.0</v>
      </c>
      <c r="E1049" s="24"/>
      <c r="F1049" s="14" t="s">
        <v>6012</v>
      </c>
      <c r="G1049" s="14" t="s">
        <v>6012</v>
      </c>
      <c r="H1049" s="14" t="s">
        <v>6012</v>
      </c>
      <c r="I1049" s="14" t="s">
        <v>6029</v>
      </c>
      <c r="J1049" s="14" t="s">
        <v>6012</v>
      </c>
      <c r="K1049" s="14" t="s">
        <v>6012</v>
      </c>
      <c r="L1049" s="14"/>
    </row>
    <row r="1050">
      <c r="A1050" s="14">
        <v>719.0</v>
      </c>
      <c r="B1050" s="14">
        <v>10.0</v>
      </c>
      <c r="C1050" s="34">
        <v>40.94</v>
      </c>
      <c r="D1050" s="36">
        <v>44740.0</v>
      </c>
      <c r="E1050" s="24"/>
      <c r="F1050" s="14">
        <v>4.09</v>
      </c>
      <c r="G1050" s="14">
        <v>56.94</v>
      </c>
      <c r="H1050" s="14">
        <v>1.39</v>
      </c>
      <c r="I1050" s="14" t="s">
        <v>6037</v>
      </c>
      <c r="J1050" s="14">
        <v>70.0</v>
      </c>
      <c r="K1050" s="14">
        <v>5.85</v>
      </c>
      <c r="L1050" s="14">
        <v>0.0</v>
      </c>
    </row>
    <row r="1051">
      <c r="A1051" s="14">
        <v>717.0</v>
      </c>
      <c r="B1051" s="14">
        <v>5.0</v>
      </c>
      <c r="C1051" s="34">
        <v>17.88</v>
      </c>
      <c r="D1051" s="36">
        <v>44740.0</v>
      </c>
      <c r="E1051" s="24"/>
      <c r="F1051" s="14">
        <v>3.58</v>
      </c>
      <c r="G1051" s="14">
        <v>24.94</v>
      </c>
      <c r="H1051" s="14">
        <v>0.7</v>
      </c>
      <c r="I1051" s="14" t="s">
        <v>6044</v>
      </c>
      <c r="J1051" s="14">
        <v>20.0</v>
      </c>
      <c r="K1051" s="14">
        <v>17.88</v>
      </c>
      <c r="L1051" s="14">
        <v>0.0</v>
      </c>
    </row>
    <row r="1052">
      <c r="A1052" s="14">
        <v>224.0</v>
      </c>
      <c r="B1052" s="14">
        <v>4.0</v>
      </c>
      <c r="C1052" s="34">
        <v>13.34</v>
      </c>
      <c r="D1052" s="36">
        <v>44740.0</v>
      </c>
      <c r="E1052" s="24"/>
      <c r="F1052" s="14">
        <v>3.34</v>
      </c>
      <c r="G1052" s="14">
        <v>59.55</v>
      </c>
      <c r="H1052" s="14">
        <v>1.79</v>
      </c>
      <c r="I1052" s="14" t="s">
        <v>6039</v>
      </c>
      <c r="J1052" s="14">
        <v>25.0</v>
      </c>
      <c r="K1052" s="14">
        <v>13.34</v>
      </c>
      <c r="L1052" s="14">
        <v>0.0</v>
      </c>
    </row>
    <row r="1053">
      <c r="A1053" s="14">
        <v>312.0</v>
      </c>
      <c r="B1053" s="14">
        <v>1.0</v>
      </c>
      <c r="C1053" s="34">
        <v>17.69</v>
      </c>
      <c r="D1053" s="36">
        <v>44740.0</v>
      </c>
      <c r="E1053" s="24"/>
      <c r="F1053" s="14">
        <v>17.69</v>
      </c>
      <c r="G1053" s="14">
        <v>56.7</v>
      </c>
      <c r="H1053" s="14">
        <v>0.32</v>
      </c>
      <c r="I1053" s="14" t="s">
        <v>6042</v>
      </c>
      <c r="J1053" s="14">
        <v>100.0</v>
      </c>
      <c r="K1053" s="14">
        <v>17.69</v>
      </c>
      <c r="L1053" s="14">
        <v>0.0</v>
      </c>
    </row>
    <row r="1054">
      <c r="A1054" s="14">
        <v>2009.0</v>
      </c>
      <c r="B1054" s="14">
        <v>9.0</v>
      </c>
      <c r="C1054" s="34">
        <v>41.69</v>
      </c>
      <c r="D1054" s="36">
        <v>44740.0</v>
      </c>
      <c r="E1054" s="24"/>
      <c r="F1054" s="14">
        <v>4.63</v>
      </c>
      <c r="G1054" s="14">
        <v>20.75</v>
      </c>
      <c r="H1054" s="14">
        <v>0.45</v>
      </c>
      <c r="I1054" s="14" t="s">
        <v>6031</v>
      </c>
      <c r="J1054" s="14">
        <v>11.11</v>
      </c>
      <c r="K1054" s="14">
        <v>41.69</v>
      </c>
      <c r="L1054" s="14">
        <v>0.0</v>
      </c>
    </row>
    <row r="1055">
      <c r="A1055" s="14">
        <v>0.0</v>
      </c>
      <c r="B1055" s="14">
        <v>0.0</v>
      </c>
      <c r="C1055" s="34"/>
      <c r="D1055" s="36">
        <v>44740.0</v>
      </c>
      <c r="E1055" s="24"/>
      <c r="F1055" s="14" t="s">
        <v>6012</v>
      </c>
      <c r="G1055" s="14" t="s">
        <v>6012</v>
      </c>
      <c r="H1055" s="14" t="s">
        <v>6012</v>
      </c>
      <c r="I1055" s="14" t="s">
        <v>6033</v>
      </c>
      <c r="J1055" s="14" t="s">
        <v>6012</v>
      </c>
      <c r="K1055" s="14" t="s">
        <v>6012</v>
      </c>
      <c r="L1055" s="14"/>
    </row>
    <row r="1056">
      <c r="A1056" s="14">
        <v>0.0</v>
      </c>
      <c r="B1056" s="14">
        <v>0.0</v>
      </c>
      <c r="C1056" s="34"/>
      <c r="D1056" s="36">
        <v>44741.0</v>
      </c>
      <c r="E1056" s="24"/>
      <c r="F1056" s="14" t="s">
        <v>6012</v>
      </c>
      <c r="G1056" s="14" t="s">
        <v>6012</v>
      </c>
      <c r="H1056" s="14" t="s">
        <v>6012</v>
      </c>
      <c r="I1056" s="14" t="s">
        <v>6034</v>
      </c>
      <c r="J1056" s="14" t="s">
        <v>6012</v>
      </c>
      <c r="K1056" s="14" t="s">
        <v>6012</v>
      </c>
      <c r="L1056" s="14"/>
    </row>
    <row r="1057">
      <c r="A1057" s="14">
        <v>2618.0</v>
      </c>
      <c r="B1057" s="14">
        <v>10.0</v>
      </c>
      <c r="C1057" s="34">
        <v>44.84</v>
      </c>
      <c r="D1057" s="36">
        <v>44741.0</v>
      </c>
      <c r="E1057" s="24"/>
      <c r="F1057" s="14">
        <v>4.48</v>
      </c>
      <c r="G1057" s="14">
        <v>17.13</v>
      </c>
      <c r="H1057" s="14">
        <v>0.38</v>
      </c>
      <c r="I1057" s="14" t="s">
        <v>6031</v>
      </c>
      <c r="J1057" s="14">
        <v>30.0</v>
      </c>
      <c r="K1057" s="14">
        <v>14.95</v>
      </c>
      <c r="L1057" s="14">
        <v>0.0</v>
      </c>
    </row>
    <row r="1058">
      <c r="A1058" s="14">
        <v>1646.0</v>
      </c>
      <c r="B1058" s="14">
        <v>3.0</v>
      </c>
      <c r="C1058" s="34">
        <v>46.75</v>
      </c>
      <c r="D1058" s="36">
        <v>44741.0</v>
      </c>
      <c r="E1058" s="24"/>
      <c r="F1058" s="14">
        <v>15.58</v>
      </c>
      <c r="G1058" s="14">
        <v>28.4</v>
      </c>
      <c r="H1058" s="14">
        <v>0.18</v>
      </c>
      <c r="I1058" s="14" t="s">
        <v>6035</v>
      </c>
      <c r="J1058" s="14">
        <v>133.33</v>
      </c>
      <c r="K1058" s="14">
        <v>11.69</v>
      </c>
      <c r="L1058" s="14">
        <v>0.0</v>
      </c>
    </row>
    <row r="1059">
      <c r="A1059" s="14">
        <v>984.0</v>
      </c>
      <c r="B1059" s="14">
        <v>12.0</v>
      </c>
      <c r="C1059" s="34">
        <v>48.3</v>
      </c>
      <c r="D1059" s="36">
        <v>44741.0</v>
      </c>
      <c r="E1059" s="24"/>
      <c r="F1059" s="14">
        <v>4.02</v>
      </c>
      <c r="G1059" s="14">
        <v>49.09</v>
      </c>
      <c r="H1059" s="14">
        <v>1.22</v>
      </c>
      <c r="I1059" s="14" t="s">
        <v>6027</v>
      </c>
      <c r="J1059" s="14">
        <v>75.0</v>
      </c>
      <c r="K1059" s="14">
        <v>5.37</v>
      </c>
      <c r="L1059" s="14">
        <v>0.0</v>
      </c>
    </row>
    <row r="1060">
      <c r="A1060" s="14">
        <v>0.0</v>
      </c>
      <c r="B1060" s="14">
        <v>0.0</v>
      </c>
      <c r="C1060" s="34"/>
      <c r="D1060" s="36">
        <v>44741.0</v>
      </c>
      <c r="E1060" s="24"/>
      <c r="F1060" s="14" t="s">
        <v>6012</v>
      </c>
      <c r="G1060" s="14" t="s">
        <v>6012</v>
      </c>
      <c r="H1060" s="14" t="s">
        <v>6012</v>
      </c>
      <c r="I1060" s="14" t="s">
        <v>6041</v>
      </c>
      <c r="J1060" s="14" t="s">
        <v>6012</v>
      </c>
      <c r="K1060" s="14" t="s">
        <v>6012</v>
      </c>
      <c r="L1060" s="14"/>
    </row>
    <row r="1061">
      <c r="A1061" s="14">
        <v>1202.0</v>
      </c>
      <c r="B1061" s="14">
        <v>20.0</v>
      </c>
      <c r="C1061" s="34">
        <v>45.0</v>
      </c>
      <c r="D1061" s="36">
        <v>44741.0</v>
      </c>
      <c r="E1061" s="24"/>
      <c r="F1061" s="14">
        <v>2.25</v>
      </c>
      <c r="G1061" s="14">
        <v>37.44</v>
      </c>
      <c r="H1061" s="14">
        <v>1.66</v>
      </c>
      <c r="I1061" s="14" t="s">
        <v>6028</v>
      </c>
      <c r="J1061" s="14">
        <v>30.0</v>
      </c>
      <c r="K1061" s="14">
        <v>7.5</v>
      </c>
      <c r="L1061" s="14">
        <v>0.0</v>
      </c>
    </row>
    <row r="1062">
      <c r="A1062" s="14">
        <v>0.0</v>
      </c>
      <c r="B1062" s="14">
        <v>0.0</v>
      </c>
      <c r="C1062" s="34"/>
      <c r="D1062" s="36">
        <v>44741.0</v>
      </c>
      <c r="E1062" s="24"/>
      <c r="F1062" s="14" t="s">
        <v>6012</v>
      </c>
      <c r="G1062" s="14" t="s">
        <v>6012</v>
      </c>
      <c r="H1062" s="14" t="s">
        <v>6012</v>
      </c>
      <c r="I1062" s="14" t="s">
        <v>6033</v>
      </c>
      <c r="J1062" s="14" t="s">
        <v>6012</v>
      </c>
      <c r="K1062" s="14" t="s">
        <v>6012</v>
      </c>
      <c r="L1062" s="14"/>
    </row>
    <row r="1063">
      <c r="A1063" s="14">
        <v>274.0</v>
      </c>
      <c r="B1063" s="14">
        <v>2.0</v>
      </c>
      <c r="C1063" s="34">
        <v>18.05</v>
      </c>
      <c r="D1063" s="36">
        <v>44741.0</v>
      </c>
      <c r="E1063" s="24"/>
      <c r="F1063" s="14">
        <v>9.02</v>
      </c>
      <c r="G1063" s="14">
        <v>65.88</v>
      </c>
      <c r="H1063" s="14">
        <v>0.73</v>
      </c>
      <c r="I1063" s="14" t="s">
        <v>6042</v>
      </c>
      <c r="J1063" s="14">
        <v>150.0</v>
      </c>
      <c r="K1063" s="14">
        <v>6.02</v>
      </c>
      <c r="L1063" s="14">
        <v>0.0</v>
      </c>
    </row>
    <row r="1064">
      <c r="A1064" s="14">
        <v>1266.0</v>
      </c>
      <c r="B1064" s="14">
        <v>32.0</v>
      </c>
      <c r="C1064" s="34">
        <v>42.64</v>
      </c>
      <c r="D1064" s="36">
        <v>44741.0</v>
      </c>
      <c r="E1064" s="24"/>
      <c r="F1064" s="14">
        <v>1.33</v>
      </c>
      <c r="G1064" s="14">
        <v>33.68</v>
      </c>
      <c r="H1064" s="14">
        <v>2.53</v>
      </c>
      <c r="I1064" s="14" t="s">
        <v>6032</v>
      </c>
      <c r="J1064" s="14">
        <v>6.25</v>
      </c>
      <c r="K1064" s="14">
        <v>21.32</v>
      </c>
      <c r="L1064" s="14">
        <v>0.0</v>
      </c>
    </row>
    <row r="1065">
      <c r="A1065" s="14">
        <v>688.0</v>
      </c>
      <c r="B1065" s="14">
        <v>8.0</v>
      </c>
      <c r="C1065" s="34">
        <v>45.0</v>
      </c>
      <c r="D1065" s="36">
        <v>44741.0</v>
      </c>
      <c r="E1065" s="24"/>
      <c r="F1065" s="14">
        <v>5.62</v>
      </c>
      <c r="G1065" s="14">
        <v>65.41</v>
      </c>
      <c r="H1065" s="14">
        <v>1.16</v>
      </c>
      <c r="I1065" s="14" t="s">
        <v>6039</v>
      </c>
      <c r="J1065" s="14">
        <v>62.5</v>
      </c>
      <c r="K1065" s="14">
        <v>9.0</v>
      </c>
      <c r="L1065" s="14">
        <v>0.0</v>
      </c>
    </row>
    <row r="1066">
      <c r="A1066" s="14">
        <v>1193.0</v>
      </c>
      <c r="B1066" s="14">
        <v>9.0</v>
      </c>
      <c r="C1066" s="34">
        <v>42.78</v>
      </c>
      <c r="D1066" s="36">
        <v>44741.0</v>
      </c>
      <c r="E1066" s="24"/>
      <c r="F1066" s="14">
        <v>4.75</v>
      </c>
      <c r="G1066" s="14">
        <v>35.86</v>
      </c>
      <c r="H1066" s="14">
        <v>0.75</v>
      </c>
      <c r="I1066" s="14" t="s">
        <v>6037</v>
      </c>
      <c r="J1066" s="14">
        <v>22.22</v>
      </c>
      <c r="K1066" s="14">
        <v>21.39</v>
      </c>
      <c r="L1066" s="14">
        <v>0.0</v>
      </c>
    </row>
    <row r="1067">
      <c r="A1067" s="14">
        <v>839.0</v>
      </c>
      <c r="B1067" s="14">
        <v>1.0</v>
      </c>
      <c r="C1067" s="34">
        <v>44.44</v>
      </c>
      <c r="D1067" s="36">
        <v>44741.0</v>
      </c>
      <c r="E1067" s="24"/>
      <c r="F1067" s="14">
        <v>44.44</v>
      </c>
      <c r="G1067" s="14">
        <v>52.97</v>
      </c>
      <c r="H1067" s="14">
        <v>0.12</v>
      </c>
      <c r="I1067" s="14" t="s">
        <v>6046</v>
      </c>
      <c r="J1067" s="14">
        <v>300.0</v>
      </c>
      <c r="K1067" s="14">
        <v>14.81</v>
      </c>
      <c r="L1067" s="14">
        <v>1.0</v>
      </c>
    </row>
    <row r="1068">
      <c r="A1068" s="14">
        <v>1579.0</v>
      </c>
      <c r="B1068" s="14">
        <v>12.0</v>
      </c>
      <c r="C1068" s="34">
        <v>30.43</v>
      </c>
      <c r="D1068" s="36">
        <v>44741.0</v>
      </c>
      <c r="E1068" s="24"/>
      <c r="F1068" s="14">
        <v>2.54</v>
      </c>
      <c r="G1068" s="14">
        <v>19.27</v>
      </c>
      <c r="H1068" s="14">
        <v>0.76</v>
      </c>
      <c r="I1068" s="14" t="s">
        <v>6043</v>
      </c>
      <c r="J1068" s="14">
        <v>83.33</v>
      </c>
      <c r="K1068" s="14">
        <v>3.04</v>
      </c>
      <c r="L1068" s="14">
        <v>0.0</v>
      </c>
    </row>
    <row r="1069">
      <c r="A1069" s="14">
        <v>442.0</v>
      </c>
      <c r="B1069" s="14">
        <v>4.0</v>
      </c>
      <c r="C1069" s="34">
        <v>18.92</v>
      </c>
      <c r="D1069" s="36">
        <v>44741.0</v>
      </c>
      <c r="E1069" s="24"/>
      <c r="F1069" s="14">
        <v>4.73</v>
      </c>
      <c r="G1069" s="14">
        <v>42.81</v>
      </c>
      <c r="H1069" s="14">
        <v>0.9</v>
      </c>
      <c r="I1069" s="14" t="s">
        <v>6044</v>
      </c>
      <c r="J1069" s="14">
        <v>100.0</v>
      </c>
      <c r="K1069" s="14">
        <v>4.73</v>
      </c>
      <c r="L1069" s="14">
        <v>0.0</v>
      </c>
    </row>
    <row r="1070">
      <c r="A1070" s="14">
        <v>0.0</v>
      </c>
      <c r="B1070" s="14">
        <v>0.0</v>
      </c>
      <c r="C1070" s="34"/>
      <c r="D1070" s="36">
        <v>44741.0</v>
      </c>
      <c r="E1070" s="24"/>
      <c r="F1070" s="14" t="s">
        <v>6012</v>
      </c>
      <c r="G1070" s="14" t="s">
        <v>6012</v>
      </c>
      <c r="H1070" s="14" t="s">
        <v>6012</v>
      </c>
      <c r="I1070" s="14" t="s">
        <v>6040</v>
      </c>
      <c r="J1070" s="14" t="s">
        <v>6012</v>
      </c>
      <c r="K1070" s="14" t="s">
        <v>6012</v>
      </c>
      <c r="L1070" s="14"/>
    </row>
    <row r="1071">
      <c r="A1071" s="14">
        <v>1157.0</v>
      </c>
      <c r="B1071" s="14">
        <v>2.0</v>
      </c>
      <c r="C1071" s="34">
        <v>52.5</v>
      </c>
      <c r="D1071" s="36">
        <v>44741.0</v>
      </c>
      <c r="E1071" s="24"/>
      <c r="F1071" s="14">
        <v>26.25</v>
      </c>
      <c r="G1071" s="14">
        <v>45.38</v>
      </c>
      <c r="H1071" s="14">
        <v>0.17</v>
      </c>
      <c r="I1071" s="14" t="s">
        <v>6038</v>
      </c>
      <c r="J1071" s="14">
        <v>250.0</v>
      </c>
      <c r="K1071" s="14">
        <v>10.5</v>
      </c>
      <c r="L1071" s="14">
        <v>0.0</v>
      </c>
    </row>
    <row r="1072">
      <c r="A1072" s="14">
        <v>0.0</v>
      </c>
      <c r="B1072" s="14">
        <v>0.0</v>
      </c>
      <c r="C1072" s="34"/>
      <c r="D1072" s="36">
        <v>44741.0</v>
      </c>
      <c r="E1072" s="24"/>
      <c r="F1072" s="14" t="s">
        <v>6012</v>
      </c>
      <c r="G1072" s="14" t="s">
        <v>6012</v>
      </c>
      <c r="H1072" s="14" t="s">
        <v>6012</v>
      </c>
      <c r="I1072" s="14" t="s">
        <v>6024</v>
      </c>
      <c r="J1072" s="14" t="s">
        <v>6012</v>
      </c>
      <c r="K1072" s="14" t="s">
        <v>6012</v>
      </c>
      <c r="L1072" s="14"/>
    </row>
    <row r="1073">
      <c r="A1073" s="14">
        <v>570.0</v>
      </c>
      <c r="B1073" s="14">
        <v>3.0</v>
      </c>
      <c r="C1073" s="34">
        <v>30.64</v>
      </c>
      <c r="D1073" s="36">
        <v>44741.0</v>
      </c>
      <c r="E1073" s="24"/>
      <c r="F1073" s="14">
        <v>10.21</v>
      </c>
      <c r="G1073" s="14">
        <v>53.75</v>
      </c>
      <c r="H1073" s="14">
        <v>0.53</v>
      </c>
      <c r="I1073" s="14" t="s">
        <v>6036</v>
      </c>
      <c r="J1073" s="14">
        <v>200.0</v>
      </c>
      <c r="K1073" s="14">
        <v>5.11</v>
      </c>
      <c r="L1073" s="14">
        <v>0.0</v>
      </c>
    </row>
    <row r="1074">
      <c r="A1074" s="14">
        <v>0.0</v>
      </c>
      <c r="B1074" s="14">
        <v>0.0</v>
      </c>
      <c r="C1074" s="34"/>
      <c r="D1074" s="36">
        <v>44741.0</v>
      </c>
      <c r="E1074" s="24"/>
      <c r="F1074" s="14" t="s">
        <v>6012</v>
      </c>
      <c r="G1074" s="14" t="s">
        <v>6012</v>
      </c>
      <c r="H1074" s="14" t="s">
        <v>6012</v>
      </c>
      <c r="I1074" s="14" t="s">
        <v>6029</v>
      </c>
      <c r="J1074" s="14" t="s">
        <v>6012</v>
      </c>
      <c r="K1074" s="14" t="s">
        <v>6012</v>
      </c>
      <c r="L1074" s="14"/>
    </row>
    <row r="1075">
      <c r="A1075" s="14">
        <v>0.0</v>
      </c>
      <c r="B1075" s="14">
        <v>0.0</v>
      </c>
      <c r="C1075" s="34"/>
      <c r="D1075" s="36">
        <v>44742.0</v>
      </c>
      <c r="E1075" s="24"/>
      <c r="F1075" s="14" t="s">
        <v>6012</v>
      </c>
      <c r="G1075" s="14" t="s">
        <v>6012</v>
      </c>
      <c r="H1075" s="14" t="s">
        <v>6012</v>
      </c>
      <c r="I1075" s="14" t="s">
        <v>6024</v>
      </c>
      <c r="J1075" s="14" t="s">
        <v>6012</v>
      </c>
      <c r="K1075" s="14" t="s">
        <v>6012</v>
      </c>
      <c r="L1075" s="14"/>
    </row>
    <row r="1076">
      <c r="A1076" s="14">
        <v>0.0</v>
      </c>
      <c r="B1076" s="14">
        <v>0.0</v>
      </c>
      <c r="C1076" s="34"/>
      <c r="D1076" s="36">
        <v>44742.0</v>
      </c>
      <c r="E1076" s="24"/>
      <c r="F1076" s="14" t="s">
        <v>6012</v>
      </c>
      <c r="G1076" s="14" t="s">
        <v>6012</v>
      </c>
      <c r="H1076" s="14" t="s">
        <v>6012</v>
      </c>
      <c r="I1076" s="14" t="s">
        <v>6046</v>
      </c>
      <c r="J1076" s="14" t="s">
        <v>6012</v>
      </c>
      <c r="K1076" s="14" t="s">
        <v>6012</v>
      </c>
      <c r="L1076" s="14"/>
    </row>
    <row r="1077">
      <c r="A1077" s="14">
        <v>1379.0</v>
      </c>
      <c r="B1077" s="14">
        <v>25.0</v>
      </c>
      <c r="C1077" s="34">
        <v>45.0</v>
      </c>
      <c r="D1077" s="36">
        <v>44742.0</v>
      </c>
      <c r="E1077" s="24"/>
      <c r="F1077" s="14">
        <v>1.8</v>
      </c>
      <c r="G1077" s="14">
        <v>32.63</v>
      </c>
      <c r="H1077" s="14">
        <v>1.81</v>
      </c>
      <c r="I1077" s="14" t="s">
        <v>6028</v>
      </c>
      <c r="J1077" s="14">
        <v>36.0</v>
      </c>
      <c r="K1077" s="14">
        <v>5.0</v>
      </c>
      <c r="L1077" s="14">
        <v>0.0</v>
      </c>
    </row>
    <row r="1078">
      <c r="A1078" s="14">
        <v>1646.0</v>
      </c>
      <c r="B1078" s="14">
        <v>0.0</v>
      </c>
      <c r="C1078" s="34">
        <v>46.2</v>
      </c>
      <c r="D1078" s="36">
        <v>44742.0</v>
      </c>
      <c r="E1078" s="24"/>
      <c r="F1078" s="14" t="s">
        <v>6012</v>
      </c>
      <c r="G1078" s="14">
        <v>28.07</v>
      </c>
      <c r="H1078" s="14">
        <v>0.0</v>
      </c>
      <c r="I1078" s="14" t="s">
        <v>6035</v>
      </c>
      <c r="J1078" s="14" t="s">
        <v>6012</v>
      </c>
      <c r="K1078" s="14">
        <v>15.4</v>
      </c>
      <c r="L1078" s="14">
        <v>0.0</v>
      </c>
    </row>
    <row r="1079">
      <c r="A1079" s="14">
        <v>1086.0</v>
      </c>
      <c r="B1079" s="14">
        <v>3.0</v>
      </c>
      <c r="C1079" s="34">
        <v>52.5</v>
      </c>
      <c r="D1079" s="36">
        <v>44742.0</v>
      </c>
      <c r="E1079" s="24"/>
      <c r="F1079" s="14">
        <v>17.5</v>
      </c>
      <c r="G1079" s="14">
        <v>48.34</v>
      </c>
      <c r="H1079" s="14">
        <v>0.28</v>
      </c>
      <c r="I1079" s="14" t="s">
        <v>6038</v>
      </c>
      <c r="J1079" s="14">
        <v>100.0</v>
      </c>
      <c r="K1079" s="14">
        <v>17.5</v>
      </c>
      <c r="L1079" s="14">
        <v>0.0</v>
      </c>
    </row>
    <row r="1080">
      <c r="A1080" s="14">
        <v>0.0</v>
      </c>
      <c r="B1080" s="14">
        <v>0.0</v>
      </c>
      <c r="C1080" s="34"/>
      <c r="D1080" s="36">
        <v>44742.0</v>
      </c>
      <c r="E1080" s="24"/>
      <c r="F1080" s="14" t="s">
        <v>6012</v>
      </c>
      <c r="G1080" s="14" t="s">
        <v>6012</v>
      </c>
      <c r="H1080" s="14" t="s">
        <v>6012</v>
      </c>
      <c r="I1080" s="14" t="s">
        <v>6030</v>
      </c>
      <c r="J1080" s="14" t="s">
        <v>6012</v>
      </c>
      <c r="K1080" s="14" t="s">
        <v>6012</v>
      </c>
      <c r="L1080" s="14"/>
    </row>
    <row r="1081">
      <c r="A1081" s="14">
        <v>2388.0</v>
      </c>
      <c r="B1081" s="14">
        <v>12.0</v>
      </c>
      <c r="C1081" s="34">
        <v>44.12</v>
      </c>
      <c r="D1081" s="36">
        <v>44742.0</v>
      </c>
      <c r="E1081" s="24"/>
      <c r="F1081" s="14">
        <v>3.68</v>
      </c>
      <c r="G1081" s="14">
        <v>18.48</v>
      </c>
      <c r="H1081" s="14">
        <v>0.5</v>
      </c>
      <c r="I1081" s="14" t="s">
        <v>6031</v>
      </c>
      <c r="J1081" s="14">
        <v>50.0</v>
      </c>
      <c r="K1081" s="14">
        <v>7.35</v>
      </c>
      <c r="L1081" s="14">
        <v>0.0</v>
      </c>
    </row>
    <row r="1082">
      <c r="A1082" s="14">
        <v>0.0</v>
      </c>
      <c r="B1082" s="14">
        <v>0.0</v>
      </c>
      <c r="C1082" s="34"/>
      <c r="D1082" s="36">
        <v>44742.0</v>
      </c>
      <c r="E1082" s="24"/>
      <c r="F1082" s="14" t="s">
        <v>6012</v>
      </c>
      <c r="G1082" s="14" t="s">
        <v>6012</v>
      </c>
      <c r="H1082" s="14" t="s">
        <v>6012</v>
      </c>
      <c r="I1082" s="14" t="s">
        <v>6026</v>
      </c>
      <c r="J1082" s="14" t="s">
        <v>6012</v>
      </c>
      <c r="K1082" s="14" t="s">
        <v>6012</v>
      </c>
      <c r="L1082" s="14"/>
    </row>
    <row r="1083">
      <c r="A1083" s="14">
        <v>325.0</v>
      </c>
      <c r="B1083" s="14">
        <v>1.0</v>
      </c>
      <c r="C1083" s="34">
        <v>18.95</v>
      </c>
      <c r="D1083" s="36">
        <v>44742.0</v>
      </c>
      <c r="E1083" s="24"/>
      <c r="F1083" s="14">
        <v>18.95</v>
      </c>
      <c r="G1083" s="14">
        <v>58.31</v>
      </c>
      <c r="H1083" s="14">
        <v>0.31</v>
      </c>
      <c r="I1083" s="14" t="s">
        <v>6042</v>
      </c>
      <c r="J1083" s="14">
        <v>600.0</v>
      </c>
      <c r="K1083" s="14">
        <v>3.16</v>
      </c>
      <c r="L1083" s="14">
        <v>0.0</v>
      </c>
    </row>
    <row r="1084">
      <c r="A1084" s="14">
        <v>0.0</v>
      </c>
      <c r="B1084" s="14">
        <v>0.0</v>
      </c>
      <c r="C1084" s="34"/>
      <c r="D1084" s="36">
        <v>44742.0</v>
      </c>
      <c r="E1084" s="24"/>
      <c r="F1084" s="14" t="s">
        <v>6012</v>
      </c>
      <c r="G1084" s="14" t="s">
        <v>6012</v>
      </c>
      <c r="H1084" s="14" t="s">
        <v>6012</v>
      </c>
      <c r="I1084" s="14" t="s">
        <v>6033</v>
      </c>
      <c r="J1084" s="14" t="s">
        <v>6012</v>
      </c>
      <c r="K1084" s="14" t="s">
        <v>6012</v>
      </c>
      <c r="L1084" s="14"/>
    </row>
    <row r="1085">
      <c r="A1085" s="14">
        <v>709.0</v>
      </c>
      <c r="B1085" s="14">
        <v>8.0</v>
      </c>
      <c r="C1085" s="34">
        <v>19.81</v>
      </c>
      <c r="D1085" s="36">
        <v>44742.0</v>
      </c>
      <c r="E1085" s="24"/>
      <c r="F1085" s="14">
        <v>2.48</v>
      </c>
      <c r="G1085" s="14">
        <v>27.94</v>
      </c>
      <c r="H1085" s="14">
        <v>1.13</v>
      </c>
      <c r="I1085" s="14" t="s">
        <v>6044</v>
      </c>
      <c r="J1085" s="14">
        <v>62.5</v>
      </c>
      <c r="K1085" s="14">
        <v>3.96</v>
      </c>
      <c r="L1085" s="14">
        <v>0.0</v>
      </c>
    </row>
    <row r="1086">
      <c r="A1086" s="14">
        <v>1204.0</v>
      </c>
      <c r="B1086" s="14">
        <v>10.0</v>
      </c>
      <c r="C1086" s="34">
        <v>40.97</v>
      </c>
      <c r="D1086" s="36">
        <v>44742.0</v>
      </c>
      <c r="E1086" s="24"/>
      <c r="F1086" s="14">
        <v>4.1</v>
      </c>
      <c r="G1086" s="14">
        <v>34.03</v>
      </c>
      <c r="H1086" s="14">
        <v>0.83</v>
      </c>
      <c r="I1086" s="14" t="s">
        <v>6037</v>
      </c>
      <c r="J1086" s="14">
        <v>60.0</v>
      </c>
      <c r="K1086" s="14">
        <v>6.83</v>
      </c>
      <c r="L1086" s="14">
        <v>0.0</v>
      </c>
    </row>
    <row r="1087">
      <c r="A1087" s="14">
        <v>0.0</v>
      </c>
      <c r="B1087" s="14">
        <v>0.0</v>
      </c>
      <c r="C1087" s="34"/>
      <c r="D1087" s="36">
        <v>44742.0</v>
      </c>
      <c r="E1087" s="24"/>
      <c r="F1087" s="14" t="s">
        <v>6012</v>
      </c>
      <c r="G1087" s="14" t="s">
        <v>6012</v>
      </c>
      <c r="H1087" s="14" t="s">
        <v>6012</v>
      </c>
      <c r="I1087" s="14" t="s">
        <v>6034</v>
      </c>
      <c r="J1087" s="14" t="s">
        <v>6012</v>
      </c>
      <c r="K1087" s="14" t="s">
        <v>6012</v>
      </c>
      <c r="L1087" s="14"/>
    </row>
    <row r="1088">
      <c r="A1088" s="14">
        <v>819.0</v>
      </c>
      <c r="B1088" s="14">
        <v>11.0</v>
      </c>
      <c r="C1088" s="34">
        <v>45.0</v>
      </c>
      <c r="D1088" s="36">
        <v>44742.0</v>
      </c>
      <c r="E1088" s="24"/>
      <c r="F1088" s="14">
        <v>4.09</v>
      </c>
      <c r="G1088" s="14">
        <v>54.95</v>
      </c>
      <c r="H1088" s="14">
        <v>1.34</v>
      </c>
      <c r="I1088" s="14" t="s">
        <v>6039</v>
      </c>
      <c r="J1088" s="14">
        <v>63.64</v>
      </c>
      <c r="K1088" s="14">
        <v>6.43</v>
      </c>
      <c r="L1088" s="14">
        <v>0.0</v>
      </c>
    </row>
    <row r="1089">
      <c r="A1089" s="14">
        <v>1748.0</v>
      </c>
      <c r="B1089" s="14">
        <v>15.0</v>
      </c>
      <c r="C1089" s="34">
        <v>30.31</v>
      </c>
      <c r="D1089" s="36">
        <v>44742.0</v>
      </c>
      <c r="E1089" s="24"/>
      <c r="F1089" s="14">
        <v>2.02</v>
      </c>
      <c r="G1089" s="14">
        <v>17.34</v>
      </c>
      <c r="H1089" s="14">
        <v>0.86</v>
      </c>
      <c r="I1089" s="14" t="s">
        <v>6043</v>
      </c>
      <c r="J1089" s="14">
        <v>40.0</v>
      </c>
      <c r="K1089" s="14">
        <v>5.05</v>
      </c>
      <c r="L1089" s="14">
        <v>0.0</v>
      </c>
    </row>
    <row r="1090">
      <c r="A1090" s="14">
        <v>1270.0</v>
      </c>
      <c r="B1090" s="14">
        <v>7.0</v>
      </c>
      <c r="C1090" s="34">
        <v>47.27</v>
      </c>
      <c r="D1090" s="36">
        <v>44742.0</v>
      </c>
      <c r="E1090" s="24"/>
      <c r="F1090" s="14">
        <v>6.75</v>
      </c>
      <c r="G1090" s="14">
        <v>37.22</v>
      </c>
      <c r="H1090" s="14">
        <v>0.55</v>
      </c>
      <c r="I1090" s="14" t="s">
        <v>6027</v>
      </c>
      <c r="J1090" s="14">
        <v>57.14</v>
      </c>
      <c r="K1090" s="14">
        <v>11.82</v>
      </c>
      <c r="L1090" s="14">
        <v>0.0</v>
      </c>
    </row>
    <row r="1091">
      <c r="A1091" s="14">
        <v>478.0</v>
      </c>
      <c r="B1091" s="14">
        <v>5.0</v>
      </c>
      <c r="C1091" s="34">
        <v>30.27</v>
      </c>
      <c r="D1091" s="36">
        <v>44742.0</v>
      </c>
      <c r="E1091" s="24"/>
      <c r="F1091" s="14">
        <v>6.05</v>
      </c>
      <c r="G1091" s="14">
        <v>63.33</v>
      </c>
      <c r="H1091" s="14">
        <v>1.05</v>
      </c>
      <c r="I1091" s="14" t="s">
        <v>6036</v>
      </c>
      <c r="J1091" s="14">
        <v>80.0</v>
      </c>
      <c r="K1091" s="14">
        <v>7.57</v>
      </c>
      <c r="L1091" s="14">
        <v>0.0</v>
      </c>
    </row>
    <row r="1092">
      <c r="A1092" s="14">
        <v>0.0</v>
      </c>
      <c r="B1092" s="14">
        <v>0.0</v>
      </c>
      <c r="C1092" s="34"/>
      <c r="D1092" s="36">
        <v>44742.0</v>
      </c>
      <c r="E1092" s="24"/>
      <c r="F1092" s="14" t="s">
        <v>6012</v>
      </c>
      <c r="G1092" s="14" t="s">
        <v>6012</v>
      </c>
      <c r="H1092" s="14" t="s">
        <v>6012</v>
      </c>
      <c r="I1092" s="14" t="s">
        <v>6040</v>
      </c>
      <c r="J1092" s="14" t="s">
        <v>6012</v>
      </c>
      <c r="K1092" s="14" t="s">
        <v>6012</v>
      </c>
      <c r="L1092" s="14"/>
    </row>
    <row r="1093">
      <c r="A1093" s="14">
        <v>1222.0</v>
      </c>
      <c r="B1093" s="14">
        <v>33.0</v>
      </c>
      <c r="C1093" s="34">
        <v>40.89</v>
      </c>
      <c r="D1093" s="36">
        <v>44742.0</v>
      </c>
      <c r="E1093" s="24"/>
      <c r="F1093" s="14">
        <v>1.24</v>
      </c>
      <c r="G1093" s="14">
        <v>33.46</v>
      </c>
      <c r="H1093" s="14">
        <v>2.7</v>
      </c>
      <c r="I1093" s="14" t="s">
        <v>6032</v>
      </c>
      <c r="J1093" s="14">
        <v>33.33</v>
      </c>
      <c r="K1093" s="14">
        <v>3.72</v>
      </c>
      <c r="L1093" s="14">
        <v>0.0</v>
      </c>
    </row>
    <row r="1094">
      <c r="A1094" s="14">
        <v>0.0</v>
      </c>
      <c r="B1094" s="14">
        <v>0.0</v>
      </c>
      <c r="C1094" s="34"/>
      <c r="D1094" s="36">
        <v>44743.0</v>
      </c>
      <c r="E1094" s="24"/>
      <c r="F1094" s="14" t="s">
        <v>6012</v>
      </c>
      <c r="G1094" s="14" t="s">
        <v>6012</v>
      </c>
      <c r="H1094" s="14" t="s">
        <v>6012</v>
      </c>
      <c r="I1094" s="14" t="s">
        <v>6030</v>
      </c>
      <c r="J1094" s="14" t="s">
        <v>6012</v>
      </c>
      <c r="K1094" s="14" t="s">
        <v>6012</v>
      </c>
      <c r="L1094" s="14"/>
    </row>
    <row r="1095">
      <c r="A1095" s="14">
        <v>708.0</v>
      </c>
      <c r="B1095" s="14">
        <v>9.0</v>
      </c>
      <c r="C1095" s="34">
        <v>16.85</v>
      </c>
      <c r="D1095" s="36">
        <v>44743.0</v>
      </c>
      <c r="E1095" s="24"/>
      <c r="F1095" s="14">
        <v>1.87</v>
      </c>
      <c r="G1095" s="14">
        <v>23.8</v>
      </c>
      <c r="H1095" s="14">
        <v>1.27</v>
      </c>
      <c r="I1095" s="14" t="s">
        <v>6044</v>
      </c>
      <c r="J1095" s="14">
        <v>88.89</v>
      </c>
      <c r="K1095" s="14">
        <v>2.11</v>
      </c>
      <c r="L1095" s="14">
        <v>0.0</v>
      </c>
    </row>
    <row r="1096">
      <c r="A1096" s="14">
        <v>2039.0</v>
      </c>
      <c r="B1096" s="14">
        <v>31.0</v>
      </c>
      <c r="C1096" s="34">
        <v>29.19</v>
      </c>
      <c r="D1096" s="36">
        <v>44743.0</v>
      </c>
      <c r="E1096" s="24"/>
      <c r="F1096" s="14">
        <v>0.94</v>
      </c>
      <c r="G1096" s="14">
        <v>14.32</v>
      </c>
      <c r="H1096" s="14">
        <v>1.52</v>
      </c>
      <c r="I1096" s="14" t="s">
        <v>6043</v>
      </c>
      <c r="J1096" s="14">
        <v>51.61</v>
      </c>
      <c r="K1096" s="14">
        <v>1.82</v>
      </c>
      <c r="L1096" s="14">
        <v>0.0</v>
      </c>
    </row>
    <row r="1097">
      <c r="A1097" s="14">
        <v>347.0</v>
      </c>
      <c r="B1097" s="14">
        <v>2.0</v>
      </c>
      <c r="C1097" s="34">
        <v>17.03</v>
      </c>
      <c r="D1097" s="36">
        <v>44743.0</v>
      </c>
      <c r="E1097" s="24"/>
      <c r="F1097" s="14">
        <v>8.52</v>
      </c>
      <c r="G1097" s="14">
        <v>49.08</v>
      </c>
      <c r="H1097" s="14">
        <v>0.58</v>
      </c>
      <c r="I1097" s="14" t="s">
        <v>6042</v>
      </c>
      <c r="J1097" s="14">
        <v>250.0</v>
      </c>
      <c r="K1097" s="14">
        <v>3.41</v>
      </c>
      <c r="L1097" s="14">
        <v>0.0</v>
      </c>
    </row>
    <row r="1098">
      <c r="A1098" s="14">
        <v>2271.0</v>
      </c>
      <c r="B1098" s="14">
        <v>10.0</v>
      </c>
      <c r="C1098" s="34">
        <v>42.05</v>
      </c>
      <c r="D1098" s="36">
        <v>44743.0</v>
      </c>
      <c r="E1098" s="24"/>
      <c r="F1098" s="14">
        <v>4.2</v>
      </c>
      <c r="G1098" s="14">
        <v>18.52</v>
      </c>
      <c r="H1098" s="14">
        <v>0.44</v>
      </c>
      <c r="I1098" s="14" t="s">
        <v>6031</v>
      </c>
      <c r="J1098" s="14">
        <v>10.0</v>
      </c>
      <c r="K1098" s="14">
        <v>42.05</v>
      </c>
      <c r="L1098" s="14">
        <v>0.0</v>
      </c>
    </row>
    <row r="1099">
      <c r="A1099" s="14">
        <v>1161.0</v>
      </c>
      <c r="B1099" s="14">
        <v>12.0</v>
      </c>
      <c r="C1099" s="34">
        <v>45.16</v>
      </c>
      <c r="D1099" s="36">
        <v>44743.0</v>
      </c>
      <c r="E1099" s="24"/>
      <c r="F1099" s="14">
        <v>3.76</v>
      </c>
      <c r="G1099" s="14">
        <v>38.9</v>
      </c>
      <c r="H1099" s="14">
        <v>1.03</v>
      </c>
      <c r="I1099" s="14" t="s">
        <v>6027</v>
      </c>
      <c r="J1099" s="14">
        <v>108.33</v>
      </c>
      <c r="K1099" s="14">
        <v>3.47</v>
      </c>
      <c r="L1099" s="14">
        <v>0.0</v>
      </c>
    </row>
    <row r="1100">
      <c r="A1100" s="14">
        <v>0.0</v>
      </c>
      <c r="B1100" s="14">
        <v>0.0</v>
      </c>
      <c r="C1100" s="34"/>
      <c r="D1100" s="36">
        <v>44743.0</v>
      </c>
      <c r="E1100" s="24"/>
      <c r="F1100" s="14" t="s">
        <v>6012</v>
      </c>
      <c r="G1100" s="14" t="s">
        <v>6012</v>
      </c>
      <c r="H1100" s="14" t="s">
        <v>6012</v>
      </c>
      <c r="I1100" s="14" t="s">
        <v>6040</v>
      </c>
      <c r="J1100" s="14" t="s">
        <v>6012</v>
      </c>
      <c r="K1100" s="14" t="s">
        <v>6012</v>
      </c>
      <c r="L1100" s="14"/>
    </row>
    <row r="1101">
      <c r="A1101" s="14">
        <v>0.0</v>
      </c>
      <c r="B1101" s="14">
        <v>0.0</v>
      </c>
      <c r="C1101" s="34"/>
      <c r="D1101" s="36">
        <v>44743.0</v>
      </c>
      <c r="E1101" s="24"/>
      <c r="F1101" s="14" t="s">
        <v>6012</v>
      </c>
      <c r="G1101" s="14" t="s">
        <v>6012</v>
      </c>
      <c r="H1101" s="14" t="s">
        <v>6012</v>
      </c>
      <c r="I1101" s="14" t="s">
        <v>6046</v>
      </c>
      <c r="J1101" s="14" t="s">
        <v>6012</v>
      </c>
      <c r="K1101" s="14" t="s">
        <v>6012</v>
      </c>
      <c r="L1101" s="14"/>
    </row>
    <row r="1102">
      <c r="A1102" s="14">
        <v>1108.0</v>
      </c>
      <c r="B1102" s="14">
        <v>5.0</v>
      </c>
      <c r="C1102" s="34">
        <v>36.74</v>
      </c>
      <c r="D1102" s="36">
        <v>44743.0</v>
      </c>
      <c r="E1102" s="24"/>
      <c r="F1102" s="14">
        <v>7.35</v>
      </c>
      <c r="G1102" s="14">
        <v>33.16</v>
      </c>
      <c r="H1102" s="14">
        <v>0.45</v>
      </c>
      <c r="I1102" s="14" t="s">
        <v>6037</v>
      </c>
      <c r="J1102" s="14">
        <v>80.0</v>
      </c>
      <c r="K1102" s="14">
        <v>9.18</v>
      </c>
      <c r="L1102" s="14">
        <v>0.0</v>
      </c>
    </row>
    <row r="1103">
      <c r="A1103" s="14">
        <v>785.0</v>
      </c>
      <c r="B1103" s="14">
        <v>12.0</v>
      </c>
      <c r="C1103" s="34">
        <v>45.0</v>
      </c>
      <c r="D1103" s="36">
        <v>44743.0</v>
      </c>
      <c r="E1103" s="24"/>
      <c r="F1103" s="14">
        <v>3.75</v>
      </c>
      <c r="G1103" s="14">
        <v>57.32</v>
      </c>
      <c r="H1103" s="14">
        <v>1.53</v>
      </c>
      <c r="I1103" s="14" t="s">
        <v>6039</v>
      </c>
      <c r="J1103" s="14">
        <v>66.67</v>
      </c>
      <c r="K1103" s="14">
        <v>5.62</v>
      </c>
      <c r="L1103" s="14">
        <v>0.0</v>
      </c>
    </row>
    <row r="1104">
      <c r="A1104" s="14">
        <v>1106.0</v>
      </c>
      <c r="B1104" s="14">
        <v>33.0</v>
      </c>
      <c r="C1104" s="34">
        <v>36.61</v>
      </c>
      <c r="D1104" s="36">
        <v>44743.0</v>
      </c>
      <c r="E1104" s="24"/>
      <c r="F1104" s="14">
        <v>1.11</v>
      </c>
      <c r="G1104" s="14">
        <v>33.1</v>
      </c>
      <c r="H1104" s="14">
        <v>2.98</v>
      </c>
      <c r="I1104" s="14" t="s">
        <v>6032</v>
      </c>
      <c r="J1104" s="14">
        <v>18.18</v>
      </c>
      <c r="K1104" s="14">
        <v>6.1</v>
      </c>
      <c r="L1104" s="14">
        <v>0.0</v>
      </c>
    </row>
    <row r="1105">
      <c r="A1105" s="14">
        <v>1123.0</v>
      </c>
      <c r="B1105" s="14">
        <v>7.0</v>
      </c>
      <c r="C1105" s="34">
        <v>51.7</v>
      </c>
      <c r="D1105" s="36">
        <v>44743.0</v>
      </c>
      <c r="E1105" s="24"/>
      <c r="F1105" s="14">
        <v>7.39</v>
      </c>
      <c r="G1105" s="14">
        <v>46.04</v>
      </c>
      <c r="H1105" s="14">
        <v>0.62</v>
      </c>
      <c r="I1105" s="14" t="s">
        <v>6038</v>
      </c>
      <c r="J1105" s="14">
        <v>85.71</v>
      </c>
      <c r="K1105" s="14">
        <v>8.62</v>
      </c>
      <c r="L1105" s="14">
        <v>0.0</v>
      </c>
    </row>
    <row r="1106">
      <c r="A1106" s="14">
        <v>483.0</v>
      </c>
      <c r="B1106" s="14">
        <v>7.0</v>
      </c>
      <c r="C1106" s="34">
        <v>29.04</v>
      </c>
      <c r="D1106" s="36">
        <v>44743.0</v>
      </c>
      <c r="E1106" s="24"/>
      <c r="F1106" s="14">
        <v>4.15</v>
      </c>
      <c r="G1106" s="14">
        <v>60.12</v>
      </c>
      <c r="H1106" s="14">
        <v>1.45</v>
      </c>
      <c r="I1106" s="14" t="s">
        <v>6036</v>
      </c>
      <c r="J1106" s="14">
        <v>157.14</v>
      </c>
      <c r="K1106" s="14">
        <v>2.64</v>
      </c>
      <c r="L1106" s="14">
        <v>0.0</v>
      </c>
    </row>
    <row r="1107">
      <c r="A1107" s="14">
        <v>1627.0</v>
      </c>
      <c r="B1107" s="14">
        <v>3.0</v>
      </c>
      <c r="C1107" s="34">
        <v>41.56</v>
      </c>
      <c r="D1107" s="36">
        <v>44743.0</v>
      </c>
      <c r="E1107" s="24"/>
      <c r="F1107" s="14">
        <v>13.85</v>
      </c>
      <c r="G1107" s="14">
        <v>25.54</v>
      </c>
      <c r="H1107" s="14">
        <v>0.18</v>
      </c>
      <c r="I1107" s="14" t="s">
        <v>6035</v>
      </c>
      <c r="J1107" s="14">
        <v>133.33</v>
      </c>
      <c r="K1107" s="14">
        <v>10.39</v>
      </c>
      <c r="L1107" s="14">
        <v>0.0</v>
      </c>
    </row>
    <row r="1108">
      <c r="A1108" s="14">
        <v>1167.0</v>
      </c>
      <c r="B1108" s="14">
        <v>26.0</v>
      </c>
      <c r="C1108" s="34">
        <v>45.0</v>
      </c>
      <c r="D1108" s="36">
        <v>44743.0</v>
      </c>
      <c r="E1108" s="24"/>
      <c r="F1108" s="14">
        <v>1.73</v>
      </c>
      <c r="G1108" s="14">
        <v>38.56</v>
      </c>
      <c r="H1108" s="14">
        <v>2.23</v>
      </c>
      <c r="I1108" s="14" t="s">
        <v>6028</v>
      </c>
      <c r="J1108" s="14">
        <v>34.62</v>
      </c>
      <c r="K1108" s="14">
        <v>5.0</v>
      </c>
      <c r="L1108" s="14">
        <v>0.0</v>
      </c>
    </row>
    <row r="1109">
      <c r="A1109" s="14">
        <v>1196.0</v>
      </c>
      <c r="B1109" s="14">
        <v>25.0</v>
      </c>
      <c r="C1109" s="34">
        <v>14.38</v>
      </c>
      <c r="D1109" s="36">
        <v>44744.0</v>
      </c>
      <c r="E1109" s="24"/>
      <c r="F1109" s="14">
        <v>0.58</v>
      </c>
      <c r="G1109" s="14">
        <v>12.02</v>
      </c>
      <c r="H1109" s="14">
        <v>2.09</v>
      </c>
      <c r="I1109" s="14" t="s">
        <v>6043</v>
      </c>
      <c r="J1109" s="14">
        <v>64.0</v>
      </c>
      <c r="K1109" s="14">
        <v>0.9</v>
      </c>
      <c r="L1109" s="14">
        <v>0.0</v>
      </c>
    </row>
    <row r="1110">
      <c r="A1110" s="14">
        <v>277.0</v>
      </c>
      <c r="B1110" s="14">
        <v>5.0</v>
      </c>
      <c r="C1110" s="34">
        <v>7.85</v>
      </c>
      <c r="D1110" s="36">
        <v>44744.0</v>
      </c>
      <c r="E1110" s="24"/>
      <c r="F1110" s="14">
        <v>1.57</v>
      </c>
      <c r="G1110" s="14">
        <v>28.34</v>
      </c>
      <c r="H1110" s="14">
        <v>1.81</v>
      </c>
      <c r="I1110" s="14" t="s">
        <v>6044</v>
      </c>
      <c r="J1110" s="14">
        <v>40.0</v>
      </c>
      <c r="K1110" s="14">
        <v>3.92</v>
      </c>
      <c r="L1110" s="14">
        <v>0.0</v>
      </c>
    </row>
    <row r="1111">
      <c r="A1111" s="14">
        <v>0.0</v>
      </c>
      <c r="B1111" s="14">
        <v>0.0</v>
      </c>
      <c r="C1111" s="34"/>
      <c r="D1111" s="36">
        <v>44744.0</v>
      </c>
      <c r="E1111" s="24"/>
      <c r="F1111" s="14" t="s">
        <v>6012</v>
      </c>
      <c r="G1111" s="14" t="s">
        <v>6012</v>
      </c>
      <c r="H1111" s="14" t="s">
        <v>6012</v>
      </c>
      <c r="I1111" s="14" t="s">
        <v>6024</v>
      </c>
      <c r="J1111" s="14" t="s">
        <v>6012</v>
      </c>
      <c r="K1111" s="14" t="s">
        <v>6012</v>
      </c>
      <c r="L1111" s="14"/>
    </row>
    <row r="1112">
      <c r="A1112" s="14">
        <v>590.0</v>
      </c>
      <c r="B1112" s="14">
        <v>0.0</v>
      </c>
      <c r="C1112" s="34">
        <v>17.77</v>
      </c>
      <c r="D1112" s="36">
        <v>44744.0</v>
      </c>
      <c r="E1112" s="24"/>
      <c r="F1112" s="14" t="s">
        <v>6012</v>
      </c>
      <c r="G1112" s="14">
        <v>30.12</v>
      </c>
      <c r="H1112" s="14">
        <v>0.0</v>
      </c>
      <c r="I1112" s="14" t="s">
        <v>6037</v>
      </c>
      <c r="J1112" s="14" t="s">
        <v>6012</v>
      </c>
      <c r="K1112" s="14">
        <v>8.88</v>
      </c>
      <c r="L1112" s="14">
        <v>0.0</v>
      </c>
    </row>
    <row r="1113">
      <c r="A1113" s="14">
        <v>630.0</v>
      </c>
      <c r="B1113" s="14">
        <v>8.0</v>
      </c>
      <c r="C1113" s="34">
        <v>24.09</v>
      </c>
      <c r="D1113" s="36">
        <v>44744.0</v>
      </c>
      <c r="E1113" s="24"/>
      <c r="F1113" s="14">
        <v>3.01</v>
      </c>
      <c r="G1113" s="14">
        <v>38.24</v>
      </c>
      <c r="H1113" s="14">
        <v>1.27</v>
      </c>
      <c r="I1113" s="14" t="s">
        <v>6027</v>
      </c>
      <c r="J1113" s="14">
        <v>37.5</v>
      </c>
      <c r="K1113" s="14">
        <v>8.03</v>
      </c>
      <c r="L1113" s="14">
        <v>0.0</v>
      </c>
    </row>
    <row r="1114">
      <c r="A1114" s="14">
        <v>708.0</v>
      </c>
      <c r="B1114" s="14">
        <v>12.0</v>
      </c>
      <c r="C1114" s="34">
        <v>17.78</v>
      </c>
      <c r="D1114" s="36">
        <v>44744.0</v>
      </c>
      <c r="E1114" s="24"/>
      <c r="F1114" s="14">
        <v>1.48</v>
      </c>
      <c r="G1114" s="14">
        <v>25.11</v>
      </c>
      <c r="H1114" s="14">
        <v>1.69</v>
      </c>
      <c r="I1114" s="14" t="s">
        <v>6032</v>
      </c>
      <c r="J1114" s="14">
        <v>66.67</v>
      </c>
      <c r="K1114" s="14">
        <v>2.22</v>
      </c>
      <c r="L1114" s="14">
        <v>0.0</v>
      </c>
    </row>
    <row r="1115">
      <c r="A1115" s="14">
        <v>595.0</v>
      </c>
      <c r="B1115" s="14">
        <v>0.0</v>
      </c>
      <c r="C1115" s="34">
        <v>24.68</v>
      </c>
      <c r="D1115" s="36">
        <v>44744.0</v>
      </c>
      <c r="E1115" s="24"/>
      <c r="F1115" s="14" t="s">
        <v>6012</v>
      </c>
      <c r="G1115" s="14">
        <v>41.48</v>
      </c>
      <c r="H1115" s="14">
        <v>0.0</v>
      </c>
      <c r="I1115" s="14" t="s">
        <v>6038</v>
      </c>
      <c r="J1115" s="14" t="s">
        <v>6012</v>
      </c>
      <c r="K1115" s="14">
        <v>12.34</v>
      </c>
      <c r="L1115" s="14">
        <v>0.0</v>
      </c>
    </row>
    <row r="1116">
      <c r="A1116" s="14">
        <v>878.0</v>
      </c>
      <c r="B1116" s="14">
        <v>15.0</v>
      </c>
      <c r="C1116" s="34">
        <v>28.55</v>
      </c>
      <c r="D1116" s="36">
        <v>44744.0</v>
      </c>
      <c r="E1116" s="24"/>
      <c r="F1116" s="14">
        <v>1.9</v>
      </c>
      <c r="G1116" s="14">
        <v>32.52</v>
      </c>
      <c r="H1116" s="14">
        <v>1.71</v>
      </c>
      <c r="I1116" s="14" t="s">
        <v>6028</v>
      </c>
      <c r="J1116" s="14">
        <v>20.0</v>
      </c>
      <c r="K1116" s="14">
        <v>9.52</v>
      </c>
      <c r="L1116" s="14">
        <v>0.0</v>
      </c>
    </row>
    <row r="1117">
      <c r="A1117" s="14">
        <v>480.0</v>
      </c>
      <c r="B1117" s="14">
        <v>5.0</v>
      </c>
      <c r="C1117" s="34">
        <v>25.56</v>
      </c>
      <c r="D1117" s="36">
        <v>44744.0</v>
      </c>
      <c r="E1117" s="24"/>
      <c r="F1117" s="14">
        <v>5.11</v>
      </c>
      <c r="G1117" s="14">
        <v>53.25</v>
      </c>
      <c r="H1117" s="14">
        <v>1.04</v>
      </c>
      <c r="I1117" s="14" t="s">
        <v>6039</v>
      </c>
      <c r="J1117" s="14">
        <v>60.0</v>
      </c>
      <c r="K1117" s="14">
        <v>8.52</v>
      </c>
      <c r="L1117" s="14">
        <v>0.0</v>
      </c>
    </row>
    <row r="1118">
      <c r="A1118" s="14">
        <v>775.0</v>
      </c>
      <c r="B1118" s="14">
        <v>0.0</v>
      </c>
      <c r="C1118" s="34">
        <v>19.32</v>
      </c>
      <c r="D1118" s="36">
        <v>44744.0</v>
      </c>
      <c r="E1118" s="24"/>
      <c r="F1118" s="14" t="s">
        <v>6012</v>
      </c>
      <c r="G1118" s="14">
        <v>24.93</v>
      </c>
      <c r="H1118" s="14">
        <v>0.0</v>
      </c>
      <c r="I1118" s="14" t="s">
        <v>6035</v>
      </c>
      <c r="J1118" s="14" t="s">
        <v>6012</v>
      </c>
      <c r="K1118" s="14">
        <v>19.32</v>
      </c>
      <c r="L1118" s="14">
        <v>0.0</v>
      </c>
    </row>
    <row r="1119">
      <c r="A1119" s="14">
        <v>134.0</v>
      </c>
      <c r="B1119" s="14">
        <v>0.0</v>
      </c>
      <c r="C1119" s="34">
        <v>8.35</v>
      </c>
      <c r="D1119" s="36">
        <v>44744.0</v>
      </c>
      <c r="E1119" s="24"/>
      <c r="F1119" s="14" t="s">
        <v>6012</v>
      </c>
      <c r="G1119" s="14">
        <v>62.31</v>
      </c>
      <c r="H1119" s="14">
        <v>0.0</v>
      </c>
      <c r="I1119" s="14" t="s">
        <v>6042</v>
      </c>
      <c r="J1119" s="14" t="s">
        <v>6012</v>
      </c>
      <c r="K1119" s="14">
        <v>8.35</v>
      </c>
      <c r="L1119" s="14">
        <v>0.0</v>
      </c>
    </row>
    <row r="1120">
      <c r="A1120" s="14">
        <v>289.0</v>
      </c>
      <c r="B1120" s="14">
        <v>6.0</v>
      </c>
      <c r="C1120" s="34">
        <v>14.2</v>
      </c>
      <c r="D1120" s="36">
        <v>44744.0</v>
      </c>
      <c r="E1120" s="24"/>
      <c r="F1120" s="14">
        <v>2.37</v>
      </c>
      <c r="G1120" s="14">
        <v>49.13</v>
      </c>
      <c r="H1120" s="14">
        <v>2.08</v>
      </c>
      <c r="I1120" s="14" t="s">
        <v>6036</v>
      </c>
      <c r="J1120" s="14">
        <v>150.0</v>
      </c>
      <c r="K1120" s="14">
        <v>1.58</v>
      </c>
      <c r="L1120" s="14">
        <v>0.0</v>
      </c>
    </row>
    <row r="1121">
      <c r="A1121" s="14">
        <v>1275.0</v>
      </c>
      <c r="B1121" s="14">
        <v>10.0</v>
      </c>
      <c r="C1121" s="34">
        <v>21.81</v>
      </c>
      <c r="D1121" s="36">
        <v>44744.0</v>
      </c>
      <c r="E1121" s="24"/>
      <c r="F1121" s="14">
        <v>2.18</v>
      </c>
      <c r="G1121" s="14">
        <v>17.11</v>
      </c>
      <c r="H1121" s="14">
        <v>0.78</v>
      </c>
      <c r="I1121" s="14" t="s">
        <v>6031</v>
      </c>
      <c r="J1121" s="14">
        <v>10.0</v>
      </c>
      <c r="K1121" s="14">
        <v>21.81</v>
      </c>
      <c r="L1121" s="14">
        <v>0.0</v>
      </c>
    </row>
    <row r="1122">
      <c r="A1122" s="14">
        <v>1267.0</v>
      </c>
      <c r="B1122" s="14">
        <v>20.0</v>
      </c>
      <c r="C1122" s="34">
        <v>14.49</v>
      </c>
      <c r="D1122" s="36">
        <v>44745.0</v>
      </c>
      <c r="E1122" s="24"/>
      <c r="F1122" s="14">
        <v>0.72</v>
      </c>
      <c r="G1122" s="14">
        <v>11.44</v>
      </c>
      <c r="H1122" s="14">
        <v>1.58</v>
      </c>
      <c r="I1122" s="14" t="s">
        <v>6043</v>
      </c>
      <c r="J1122" s="14">
        <v>45.0</v>
      </c>
      <c r="K1122" s="14">
        <v>1.61</v>
      </c>
      <c r="L1122" s="14">
        <v>0.0</v>
      </c>
    </row>
    <row r="1123">
      <c r="A1123" s="14">
        <v>728.0</v>
      </c>
      <c r="B1123" s="14">
        <v>12.0</v>
      </c>
      <c r="C1123" s="34">
        <v>17.52</v>
      </c>
      <c r="D1123" s="36">
        <v>44745.0</v>
      </c>
      <c r="E1123" s="24"/>
      <c r="F1123" s="14">
        <v>1.46</v>
      </c>
      <c r="G1123" s="14">
        <v>24.07</v>
      </c>
      <c r="H1123" s="14">
        <v>1.65</v>
      </c>
      <c r="I1123" s="14" t="s">
        <v>6032</v>
      </c>
      <c r="J1123" s="14">
        <v>41.67</v>
      </c>
      <c r="K1123" s="14">
        <v>3.5</v>
      </c>
      <c r="L1123" s="14">
        <v>0.0</v>
      </c>
    </row>
    <row r="1124">
      <c r="A1124" s="14">
        <v>752.0</v>
      </c>
      <c r="B1124" s="14">
        <v>4.0</v>
      </c>
      <c r="C1124" s="34">
        <v>17.79</v>
      </c>
      <c r="D1124" s="36">
        <v>44745.0</v>
      </c>
      <c r="E1124" s="24"/>
      <c r="F1124" s="14">
        <v>4.45</v>
      </c>
      <c r="G1124" s="14">
        <v>23.66</v>
      </c>
      <c r="H1124" s="14">
        <v>0.53</v>
      </c>
      <c r="I1124" s="14" t="s">
        <v>6035</v>
      </c>
      <c r="J1124" s="14">
        <v>25.0</v>
      </c>
      <c r="K1124" s="14">
        <v>17.79</v>
      </c>
      <c r="L1124" s="14">
        <v>0.0</v>
      </c>
    </row>
    <row r="1125">
      <c r="A1125" s="14">
        <v>292.0</v>
      </c>
      <c r="B1125" s="14">
        <v>0.0</v>
      </c>
      <c r="C1125" s="34">
        <v>14.52</v>
      </c>
      <c r="D1125" s="36">
        <v>44745.0</v>
      </c>
      <c r="E1125" s="24"/>
      <c r="F1125" s="14" t="s">
        <v>6012</v>
      </c>
      <c r="G1125" s="14">
        <v>49.73</v>
      </c>
      <c r="H1125" s="14">
        <v>0.0</v>
      </c>
      <c r="I1125" s="14" t="s">
        <v>6036</v>
      </c>
      <c r="J1125" s="14" t="s">
        <v>6012</v>
      </c>
      <c r="K1125" s="14">
        <v>7.26</v>
      </c>
      <c r="L1125" s="14">
        <v>0.0</v>
      </c>
    </row>
    <row r="1126">
      <c r="A1126" s="14">
        <v>428.0</v>
      </c>
      <c r="B1126" s="14">
        <v>7.0</v>
      </c>
      <c r="C1126" s="34">
        <v>24.1</v>
      </c>
      <c r="D1126" s="36">
        <v>44745.0</v>
      </c>
      <c r="E1126" s="24"/>
      <c r="F1126" s="14">
        <v>3.44</v>
      </c>
      <c r="G1126" s="14">
        <v>56.31</v>
      </c>
      <c r="H1126" s="14">
        <v>1.64</v>
      </c>
      <c r="I1126" s="14" t="s">
        <v>6039</v>
      </c>
      <c r="J1126" s="14">
        <v>85.71</v>
      </c>
      <c r="K1126" s="14">
        <v>4.02</v>
      </c>
      <c r="L1126" s="14">
        <v>0.0</v>
      </c>
    </row>
    <row r="1127">
      <c r="A1127" s="14">
        <v>350.0</v>
      </c>
      <c r="B1127" s="14">
        <v>8.0</v>
      </c>
      <c r="C1127" s="34">
        <v>7.64</v>
      </c>
      <c r="D1127" s="36">
        <v>44745.0</v>
      </c>
      <c r="E1127" s="24"/>
      <c r="F1127" s="14">
        <v>0.96</v>
      </c>
      <c r="G1127" s="14">
        <v>21.83</v>
      </c>
      <c r="H1127" s="14">
        <v>2.29</v>
      </c>
      <c r="I1127" s="14" t="s">
        <v>6044</v>
      </c>
      <c r="J1127" s="14">
        <v>50.0</v>
      </c>
      <c r="K1127" s="14">
        <v>1.91</v>
      </c>
      <c r="L1127" s="14">
        <v>0.0</v>
      </c>
    </row>
    <row r="1128">
      <c r="A1128" s="14">
        <v>546.0</v>
      </c>
      <c r="B1128" s="14">
        <v>6.0</v>
      </c>
      <c r="C1128" s="34">
        <v>17.55</v>
      </c>
      <c r="D1128" s="36">
        <v>44745.0</v>
      </c>
      <c r="E1128" s="24"/>
      <c r="F1128" s="14">
        <v>2.92</v>
      </c>
      <c r="G1128" s="14">
        <v>32.14</v>
      </c>
      <c r="H1128" s="14">
        <v>1.1</v>
      </c>
      <c r="I1128" s="14" t="s">
        <v>6037</v>
      </c>
      <c r="J1128" s="14">
        <v>66.67</v>
      </c>
      <c r="K1128" s="14">
        <v>4.39</v>
      </c>
      <c r="L1128" s="14">
        <v>0.0</v>
      </c>
    </row>
    <row r="1129">
      <c r="A1129" s="14">
        <v>456.0</v>
      </c>
      <c r="B1129" s="14">
        <v>1.0</v>
      </c>
      <c r="C1129" s="34">
        <v>22.8</v>
      </c>
      <c r="D1129" s="36">
        <v>44745.0</v>
      </c>
      <c r="E1129" s="24"/>
      <c r="F1129" s="14">
        <v>22.8</v>
      </c>
      <c r="G1129" s="14">
        <v>50.0</v>
      </c>
      <c r="H1129" s="14">
        <v>0.22</v>
      </c>
      <c r="I1129" s="14" t="s">
        <v>6038</v>
      </c>
      <c r="J1129" s="14">
        <v>300.0</v>
      </c>
      <c r="K1129" s="14">
        <v>7.6</v>
      </c>
      <c r="L1129" s="14">
        <v>0.0</v>
      </c>
    </row>
    <row r="1130">
      <c r="A1130" s="14">
        <v>864.0</v>
      </c>
      <c r="B1130" s="14">
        <v>11.0</v>
      </c>
      <c r="C1130" s="34">
        <v>27.26</v>
      </c>
      <c r="D1130" s="36">
        <v>44745.0</v>
      </c>
      <c r="E1130" s="24"/>
      <c r="F1130" s="14">
        <v>2.48</v>
      </c>
      <c r="G1130" s="14">
        <v>31.55</v>
      </c>
      <c r="H1130" s="14">
        <v>1.27</v>
      </c>
      <c r="I1130" s="14" t="s">
        <v>6028</v>
      </c>
      <c r="J1130" s="14">
        <v>54.55</v>
      </c>
      <c r="K1130" s="14">
        <v>4.54</v>
      </c>
      <c r="L1130" s="14">
        <v>0.0</v>
      </c>
    </row>
    <row r="1131">
      <c r="A1131" s="14">
        <v>618.0</v>
      </c>
      <c r="B1131" s="14">
        <v>10.0</v>
      </c>
      <c r="C1131" s="34">
        <v>24.55</v>
      </c>
      <c r="D1131" s="36">
        <v>44745.0</v>
      </c>
      <c r="E1131" s="24"/>
      <c r="F1131" s="14">
        <v>2.46</v>
      </c>
      <c r="G1131" s="14">
        <v>39.72</v>
      </c>
      <c r="H1131" s="14">
        <v>1.62</v>
      </c>
      <c r="I1131" s="14" t="s">
        <v>6027</v>
      </c>
      <c r="J1131" s="14">
        <v>40.0</v>
      </c>
      <c r="K1131" s="14">
        <v>6.14</v>
      </c>
      <c r="L1131" s="14">
        <v>0.0</v>
      </c>
    </row>
    <row r="1132">
      <c r="A1132" s="14">
        <v>153.0</v>
      </c>
      <c r="B1132" s="14">
        <v>0.0</v>
      </c>
      <c r="C1132" s="34">
        <v>8.65</v>
      </c>
      <c r="D1132" s="36">
        <v>44745.0</v>
      </c>
      <c r="E1132" s="24"/>
      <c r="F1132" s="14" t="s">
        <v>6012</v>
      </c>
      <c r="G1132" s="14">
        <v>56.54</v>
      </c>
      <c r="H1132" s="14">
        <v>0.0</v>
      </c>
      <c r="I1132" s="14" t="s">
        <v>6042</v>
      </c>
      <c r="J1132" s="14" t="s">
        <v>6012</v>
      </c>
      <c r="K1132" s="14">
        <v>2.88</v>
      </c>
      <c r="L1132" s="14">
        <v>0.0</v>
      </c>
    </row>
    <row r="1133">
      <c r="A1133" s="14">
        <v>1401.0</v>
      </c>
      <c r="B1133" s="14">
        <v>6.0</v>
      </c>
      <c r="C1133" s="34">
        <v>22.32</v>
      </c>
      <c r="D1133" s="36">
        <v>44745.0</v>
      </c>
      <c r="E1133" s="24"/>
      <c r="F1133" s="14">
        <v>3.72</v>
      </c>
      <c r="G1133" s="14">
        <v>15.93</v>
      </c>
      <c r="H1133" s="14">
        <v>0.43</v>
      </c>
      <c r="I1133" s="14" t="s">
        <v>6031</v>
      </c>
      <c r="J1133" s="14">
        <v>16.67</v>
      </c>
      <c r="K1133" s="14">
        <v>22.32</v>
      </c>
      <c r="L1133" s="14">
        <v>0.0</v>
      </c>
    </row>
    <row r="1134">
      <c r="A1134" s="14">
        <v>513.0</v>
      </c>
      <c r="B1134" s="14">
        <v>3.0</v>
      </c>
      <c r="C1134" s="34">
        <v>17.2</v>
      </c>
      <c r="D1134" s="36">
        <v>44746.0</v>
      </c>
      <c r="E1134" s="24"/>
      <c r="F1134" s="14">
        <v>5.73</v>
      </c>
      <c r="G1134" s="14">
        <v>33.53</v>
      </c>
      <c r="H1134" s="14">
        <v>0.58</v>
      </c>
      <c r="I1134" s="14" t="s">
        <v>6044</v>
      </c>
      <c r="J1134" s="14">
        <v>0.0</v>
      </c>
      <c r="K1134" s="14" t="s">
        <v>6012</v>
      </c>
      <c r="L1134" s="14">
        <v>0.0</v>
      </c>
    </row>
    <row r="1135">
      <c r="A1135" s="14">
        <v>269.0</v>
      </c>
      <c r="B1135" s="14">
        <v>2.0</v>
      </c>
      <c r="C1135" s="34">
        <v>16.45</v>
      </c>
      <c r="D1135" s="36">
        <v>44746.0</v>
      </c>
      <c r="E1135" s="24"/>
      <c r="F1135" s="14">
        <v>8.22</v>
      </c>
      <c r="G1135" s="14">
        <v>61.15</v>
      </c>
      <c r="H1135" s="14">
        <v>0.74</v>
      </c>
      <c r="I1135" s="14" t="s">
        <v>6042</v>
      </c>
      <c r="J1135" s="14">
        <v>0.0</v>
      </c>
      <c r="K1135" s="14" t="s">
        <v>6012</v>
      </c>
      <c r="L1135" s="14">
        <v>0.0</v>
      </c>
    </row>
    <row r="1136">
      <c r="A1136" s="14">
        <v>2023.0</v>
      </c>
      <c r="B1136" s="14">
        <v>5.0</v>
      </c>
      <c r="C1136" s="34">
        <v>36.3</v>
      </c>
      <c r="D1136" s="36">
        <v>44746.0</v>
      </c>
      <c r="E1136" s="24"/>
      <c r="F1136" s="14">
        <v>7.26</v>
      </c>
      <c r="G1136" s="14">
        <v>17.94</v>
      </c>
      <c r="H1136" s="14">
        <v>0.25</v>
      </c>
      <c r="I1136" s="14" t="s">
        <v>6031</v>
      </c>
      <c r="J1136" s="14">
        <v>40.0</v>
      </c>
      <c r="K1136" s="14">
        <v>18.15</v>
      </c>
      <c r="L1136" s="14">
        <v>0.0</v>
      </c>
    </row>
    <row r="1137">
      <c r="A1137" s="14">
        <v>1460.0</v>
      </c>
      <c r="B1137" s="14">
        <v>31.0</v>
      </c>
      <c r="C1137" s="34">
        <v>36.92</v>
      </c>
      <c r="D1137" s="36">
        <v>44746.0</v>
      </c>
      <c r="E1137" s="24"/>
      <c r="F1137" s="14">
        <v>1.19</v>
      </c>
      <c r="G1137" s="14">
        <v>25.29</v>
      </c>
      <c r="H1137" s="14">
        <v>2.12</v>
      </c>
      <c r="I1137" s="14" t="s">
        <v>6032</v>
      </c>
      <c r="J1137" s="14">
        <v>22.58</v>
      </c>
      <c r="K1137" s="14">
        <v>5.27</v>
      </c>
      <c r="L1137" s="14">
        <v>0.0</v>
      </c>
    </row>
    <row r="1138">
      <c r="A1138" s="14">
        <v>566.0</v>
      </c>
      <c r="B1138" s="14">
        <v>3.0</v>
      </c>
      <c r="C1138" s="34">
        <v>27.31</v>
      </c>
      <c r="D1138" s="36">
        <v>44746.0</v>
      </c>
      <c r="E1138" s="24"/>
      <c r="F1138" s="14">
        <v>9.1</v>
      </c>
      <c r="G1138" s="14">
        <v>48.25</v>
      </c>
      <c r="H1138" s="14">
        <v>0.53</v>
      </c>
      <c r="I1138" s="14" t="s">
        <v>6036</v>
      </c>
      <c r="J1138" s="14">
        <v>66.67</v>
      </c>
      <c r="K1138" s="14">
        <v>13.66</v>
      </c>
      <c r="L1138" s="14">
        <v>0.0</v>
      </c>
    </row>
    <row r="1139">
      <c r="A1139" s="14">
        <v>1107.0</v>
      </c>
      <c r="B1139" s="14">
        <v>25.0</v>
      </c>
      <c r="C1139" s="34">
        <v>37.19</v>
      </c>
      <c r="D1139" s="36">
        <v>44746.0</v>
      </c>
      <c r="E1139" s="24"/>
      <c r="F1139" s="14">
        <v>1.49</v>
      </c>
      <c r="G1139" s="14">
        <v>33.6</v>
      </c>
      <c r="H1139" s="14">
        <v>2.26</v>
      </c>
      <c r="I1139" s="14" t="s">
        <v>6028</v>
      </c>
      <c r="J1139" s="14">
        <v>20.0</v>
      </c>
      <c r="K1139" s="14">
        <v>7.44</v>
      </c>
      <c r="L1139" s="14">
        <v>0.0</v>
      </c>
    </row>
    <row r="1140">
      <c r="A1140" s="14">
        <v>850.0</v>
      </c>
      <c r="B1140" s="14">
        <v>6.0</v>
      </c>
      <c r="C1140" s="34">
        <v>36.04</v>
      </c>
      <c r="D1140" s="36">
        <v>44746.0</v>
      </c>
      <c r="E1140" s="24"/>
      <c r="F1140" s="14">
        <v>6.01</v>
      </c>
      <c r="G1140" s="14">
        <v>42.4</v>
      </c>
      <c r="H1140" s="14">
        <v>0.71</v>
      </c>
      <c r="I1140" s="14" t="s">
        <v>6027</v>
      </c>
      <c r="J1140" s="14">
        <v>66.67</v>
      </c>
      <c r="K1140" s="14">
        <v>9.01</v>
      </c>
      <c r="L1140" s="14">
        <v>0.0</v>
      </c>
    </row>
    <row r="1141">
      <c r="A1141" s="14">
        <v>1262.0</v>
      </c>
      <c r="B1141" s="14">
        <v>9.0</v>
      </c>
      <c r="C1141" s="34">
        <v>36.97</v>
      </c>
      <c r="D1141" s="36">
        <v>44746.0</v>
      </c>
      <c r="E1141" s="24"/>
      <c r="F1141" s="14">
        <v>4.11</v>
      </c>
      <c r="G1141" s="14">
        <v>29.29</v>
      </c>
      <c r="H1141" s="14">
        <v>0.71</v>
      </c>
      <c r="I1141" s="14" t="s">
        <v>6037</v>
      </c>
      <c r="J1141" s="14">
        <v>0.0</v>
      </c>
      <c r="K1141" s="14" t="s">
        <v>6012</v>
      </c>
      <c r="L1141" s="14">
        <v>0.0</v>
      </c>
    </row>
    <row r="1142">
      <c r="A1142" s="14">
        <v>826.0</v>
      </c>
      <c r="B1142" s="14">
        <v>2.0</v>
      </c>
      <c r="C1142" s="34">
        <v>39.78</v>
      </c>
      <c r="D1142" s="36">
        <v>44746.0</v>
      </c>
      <c r="E1142" s="24"/>
      <c r="F1142" s="14">
        <v>19.89</v>
      </c>
      <c r="G1142" s="14">
        <v>48.16</v>
      </c>
      <c r="H1142" s="14">
        <v>0.24</v>
      </c>
      <c r="I1142" s="14" t="s">
        <v>6038</v>
      </c>
      <c r="J1142" s="14">
        <v>150.0</v>
      </c>
      <c r="K1142" s="14">
        <v>13.26</v>
      </c>
      <c r="L1142" s="14">
        <v>0.0</v>
      </c>
    </row>
    <row r="1143">
      <c r="A1143" s="14">
        <v>803.0</v>
      </c>
      <c r="B1143" s="14">
        <v>13.0</v>
      </c>
      <c r="C1143" s="34">
        <v>37.02</v>
      </c>
      <c r="D1143" s="36">
        <v>44746.0</v>
      </c>
      <c r="E1143" s="24"/>
      <c r="F1143" s="14">
        <v>2.85</v>
      </c>
      <c r="G1143" s="14">
        <v>46.1</v>
      </c>
      <c r="H1143" s="14">
        <v>1.62</v>
      </c>
      <c r="I1143" s="14" t="s">
        <v>6039</v>
      </c>
      <c r="J1143" s="14">
        <v>23.08</v>
      </c>
      <c r="K1143" s="14">
        <v>12.34</v>
      </c>
      <c r="L1143" s="14">
        <v>0.0</v>
      </c>
    </row>
    <row r="1144">
      <c r="A1144" s="14">
        <v>0.0</v>
      </c>
      <c r="B1144" s="14">
        <v>0.0</v>
      </c>
      <c r="C1144" s="34"/>
      <c r="D1144" s="36">
        <v>44746.0</v>
      </c>
      <c r="E1144" s="24"/>
      <c r="F1144" s="14" t="s">
        <v>6012</v>
      </c>
      <c r="G1144" s="14" t="s">
        <v>6012</v>
      </c>
      <c r="H1144" s="14" t="s">
        <v>6012</v>
      </c>
      <c r="I1144" s="14" t="s">
        <v>6033</v>
      </c>
      <c r="J1144" s="14" t="s">
        <v>6012</v>
      </c>
      <c r="K1144" s="14" t="s">
        <v>6012</v>
      </c>
      <c r="L1144" s="14"/>
    </row>
    <row r="1145">
      <c r="A1145" s="14">
        <v>1314.0</v>
      </c>
      <c r="B1145" s="14">
        <v>3.0</v>
      </c>
      <c r="C1145" s="34">
        <v>40.42</v>
      </c>
      <c r="D1145" s="36">
        <v>44746.0</v>
      </c>
      <c r="E1145" s="24"/>
      <c r="F1145" s="14">
        <v>13.47</v>
      </c>
      <c r="G1145" s="14">
        <v>30.76</v>
      </c>
      <c r="H1145" s="14">
        <v>0.23</v>
      </c>
      <c r="I1145" s="14" t="s">
        <v>6035</v>
      </c>
      <c r="J1145" s="14">
        <v>66.67</v>
      </c>
      <c r="K1145" s="14">
        <v>20.21</v>
      </c>
      <c r="L1145" s="14">
        <v>0.0</v>
      </c>
    </row>
    <row r="1146">
      <c r="A1146" s="14">
        <v>2063.0</v>
      </c>
      <c r="B1146" s="14">
        <v>13.0</v>
      </c>
      <c r="C1146" s="34">
        <v>27.31</v>
      </c>
      <c r="D1146" s="36">
        <v>44746.0</v>
      </c>
      <c r="E1146" s="24"/>
      <c r="F1146" s="14">
        <v>2.1</v>
      </c>
      <c r="G1146" s="14">
        <v>13.24</v>
      </c>
      <c r="H1146" s="14">
        <v>0.63</v>
      </c>
      <c r="I1146" s="14" t="s">
        <v>6043</v>
      </c>
      <c r="J1146" s="14">
        <v>38.46</v>
      </c>
      <c r="K1146" s="14">
        <v>5.46</v>
      </c>
      <c r="L1146" s="14">
        <v>0.0</v>
      </c>
    </row>
    <row r="1147">
      <c r="A1147" s="14">
        <v>2212.0</v>
      </c>
      <c r="B1147" s="14">
        <v>18.0</v>
      </c>
      <c r="C1147" s="34">
        <v>30.28</v>
      </c>
      <c r="D1147" s="36">
        <v>44747.0</v>
      </c>
      <c r="E1147" s="24"/>
      <c r="F1147" s="14">
        <v>1.68</v>
      </c>
      <c r="G1147" s="14">
        <v>13.69</v>
      </c>
      <c r="H1147" s="14">
        <v>0.81</v>
      </c>
      <c r="I1147" s="14" t="s">
        <v>6043</v>
      </c>
      <c r="J1147" s="14">
        <v>77.78</v>
      </c>
      <c r="K1147" s="14">
        <v>2.16</v>
      </c>
      <c r="L1147" s="14">
        <v>0.0</v>
      </c>
    </row>
    <row r="1148">
      <c r="A1148" s="14">
        <v>0.0</v>
      </c>
      <c r="B1148" s="14">
        <v>0.0</v>
      </c>
      <c r="C1148" s="34"/>
      <c r="D1148" s="36">
        <v>44747.0</v>
      </c>
      <c r="E1148" s="24"/>
      <c r="F1148" s="14" t="s">
        <v>6012</v>
      </c>
      <c r="G1148" s="14" t="s">
        <v>6012</v>
      </c>
      <c r="H1148" s="14" t="s">
        <v>6012</v>
      </c>
      <c r="I1148" s="14" t="s">
        <v>6024</v>
      </c>
      <c r="J1148" s="14" t="s">
        <v>6012</v>
      </c>
      <c r="K1148" s="14" t="s">
        <v>6012</v>
      </c>
      <c r="L1148" s="14"/>
    </row>
    <row r="1149">
      <c r="A1149" s="14">
        <v>609.0</v>
      </c>
      <c r="B1149" s="14">
        <v>6.0</v>
      </c>
      <c r="C1149" s="34">
        <v>18.83</v>
      </c>
      <c r="D1149" s="36">
        <v>44747.0</v>
      </c>
      <c r="E1149" s="24"/>
      <c r="F1149" s="14">
        <v>3.14</v>
      </c>
      <c r="G1149" s="14">
        <v>30.92</v>
      </c>
      <c r="H1149" s="14">
        <v>0.99</v>
      </c>
      <c r="I1149" s="14" t="s">
        <v>6044</v>
      </c>
      <c r="J1149" s="14">
        <v>66.67</v>
      </c>
      <c r="K1149" s="14">
        <v>4.71</v>
      </c>
      <c r="L1149" s="14">
        <v>0.0</v>
      </c>
    </row>
    <row r="1150">
      <c r="A1150" s="14">
        <v>1248.0</v>
      </c>
      <c r="B1150" s="14">
        <v>6.0</v>
      </c>
      <c r="C1150" s="34">
        <v>41.58</v>
      </c>
      <c r="D1150" s="36">
        <v>44747.0</v>
      </c>
      <c r="E1150" s="24"/>
      <c r="F1150" s="14">
        <v>6.93</v>
      </c>
      <c r="G1150" s="14">
        <v>33.32</v>
      </c>
      <c r="H1150" s="14">
        <v>0.48</v>
      </c>
      <c r="I1150" s="14" t="s">
        <v>6027</v>
      </c>
      <c r="J1150" s="14">
        <v>50.0</v>
      </c>
      <c r="K1150" s="14">
        <v>13.86</v>
      </c>
      <c r="L1150" s="14">
        <v>0.0</v>
      </c>
    </row>
    <row r="1151">
      <c r="A1151" s="14">
        <v>364.0</v>
      </c>
      <c r="B1151" s="14">
        <v>2.0</v>
      </c>
      <c r="C1151" s="34">
        <v>17.77</v>
      </c>
      <c r="D1151" s="36">
        <v>44747.0</v>
      </c>
      <c r="E1151" s="24"/>
      <c r="F1151" s="14">
        <v>8.88</v>
      </c>
      <c r="G1151" s="14">
        <v>48.82</v>
      </c>
      <c r="H1151" s="14">
        <v>0.55</v>
      </c>
      <c r="I1151" s="14" t="s">
        <v>6042</v>
      </c>
      <c r="J1151" s="14">
        <v>50.0</v>
      </c>
      <c r="K1151" s="14">
        <v>17.77</v>
      </c>
      <c r="L1151" s="14">
        <v>0.0</v>
      </c>
    </row>
    <row r="1152">
      <c r="A1152" s="14">
        <v>1281.0</v>
      </c>
      <c r="B1152" s="14">
        <v>9.0</v>
      </c>
      <c r="C1152" s="34">
        <v>37.47</v>
      </c>
      <c r="D1152" s="36">
        <v>44747.0</v>
      </c>
      <c r="E1152" s="24"/>
      <c r="F1152" s="14">
        <v>4.16</v>
      </c>
      <c r="G1152" s="14">
        <v>29.25</v>
      </c>
      <c r="H1152" s="14">
        <v>0.7</v>
      </c>
      <c r="I1152" s="14" t="s">
        <v>6037</v>
      </c>
      <c r="J1152" s="14">
        <v>22.22</v>
      </c>
      <c r="K1152" s="14">
        <v>18.74</v>
      </c>
      <c r="L1152" s="14">
        <v>0.0</v>
      </c>
    </row>
    <row r="1153">
      <c r="A1153" s="14">
        <v>1176.0</v>
      </c>
      <c r="B1153" s="14">
        <v>4.0</v>
      </c>
      <c r="C1153" s="34">
        <v>44.68</v>
      </c>
      <c r="D1153" s="36">
        <v>44747.0</v>
      </c>
      <c r="E1153" s="24"/>
      <c r="F1153" s="14">
        <v>11.17</v>
      </c>
      <c r="G1153" s="14">
        <v>37.99</v>
      </c>
      <c r="H1153" s="14">
        <v>0.34</v>
      </c>
      <c r="I1153" s="14" t="s">
        <v>6038</v>
      </c>
      <c r="J1153" s="14">
        <v>50.0</v>
      </c>
      <c r="K1153" s="14">
        <v>22.34</v>
      </c>
      <c r="L1153" s="14">
        <v>0.0</v>
      </c>
    </row>
    <row r="1154">
      <c r="A1154" s="14">
        <v>772.0</v>
      </c>
      <c r="B1154" s="14">
        <v>11.0</v>
      </c>
      <c r="C1154" s="34">
        <v>36.32</v>
      </c>
      <c r="D1154" s="36">
        <v>44747.0</v>
      </c>
      <c r="E1154" s="24"/>
      <c r="F1154" s="14">
        <v>3.3</v>
      </c>
      <c r="G1154" s="14">
        <v>47.05</v>
      </c>
      <c r="H1154" s="14">
        <v>1.42</v>
      </c>
      <c r="I1154" s="14" t="s">
        <v>6039</v>
      </c>
      <c r="J1154" s="14">
        <v>27.27</v>
      </c>
      <c r="K1154" s="14">
        <v>12.11</v>
      </c>
      <c r="L1154" s="14">
        <v>0.0</v>
      </c>
    </row>
    <row r="1155">
      <c r="A1155" s="14">
        <v>2899.0</v>
      </c>
      <c r="B1155" s="14">
        <v>13.0</v>
      </c>
      <c r="C1155" s="34">
        <v>40.98</v>
      </c>
      <c r="D1155" s="36">
        <v>44747.0</v>
      </c>
      <c r="E1155" s="24"/>
      <c r="F1155" s="14">
        <v>3.15</v>
      </c>
      <c r="G1155" s="14">
        <v>14.14</v>
      </c>
      <c r="H1155" s="14">
        <v>0.45</v>
      </c>
      <c r="I1155" s="14" t="s">
        <v>6031</v>
      </c>
      <c r="J1155" s="14">
        <v>38.46</v>
      </c>
      <c r="K1155" s="14">
        <v>8.2</v>
      </c>
      <c r="L1155" s="14">
        <v>0.0</v>
      </c>
    </row>
    <row r="1156">
      <c r="A1156" s="14">
        <v>1005.0</v>
      </c>
      <c r="B1156" s="14">
        <v>28.0</v>
      </c>
      <c r="C1156" s="34">
        <v>36.23</v>
      </c>
      <c r="D1156" s="36">
        <v>44747.0</v>
      </c>
      <c r="E1156" s="24"/>
      <c r="F1156" s="14">
        <v>1.29</v>
      </c>
      <c r="G1156" s="14">
        <v>36.05</v>
      </c>
      <c r="H1156" s="14">
        <v>2.79</v>
      </c>
      <c r="I1156" s="14" t="s">
        <v>6028</v>
      </c>
      <c r="J1156" s="14">
        <v>21.43</v>
      </c>
      <c r="K1156" s="14">
        <v>6.04</v>
      </c>
      <c r="L1156" s="14">
        <v>0.0</v>
      </c>
    </row>
    <row r="1157">
      <c r="A1157" s="14">
        <v>1480.0</v>
      </c>
      <c r="B1157" s="14">
        <v>19.0</v>
      </c>
      <c r="C1157" s="34">
        <v>37.22</v>
      </c>
      <c r="D1157" s="36">
        <v>44747.0</v>
      </c>
      <c r="E1157" s="24"/>
      <c r="F1157" s="14">
        <v>1.96</v>
      </c>
      <c r="G1157" s="14">
        <v>25.15</v>
      </c>
      <c r="H1157" s="14">
        <v>1.28</v>
      </c>
      <c r="I1157" s="14" t="s">
        <v>6032</v>
      </c>
      <c r="J1157" s="14">
        <v>10.53</v>
      </c>
      <c r="K1157" s="14">
        <v>18.61</v>
      </c>
      <c r="L1157" s="14">
        <v>0.0</v>
      </c>
    </row>
    <row r="1158">
      <c r="A1158" s="14">
        <v>0.0</v>
      </c>
      <c r="B1158" s="14">
        <v>0.0</v>
      </c>
      <c r="C1158" s="34"/>
      <c r="D1158" s="36">
        <v>44747.0</v>
      </c>
      <c r="E1158" s="24"/>
      <c r="F1158" s="14" t="s">
        <v>6012</v>
      </c>
      <c r="G1158" s="14" t="s">
        <v>6012</v>
      </c>
      <c r="H1158" s="14" t="s">
        <v>6012</v>
      </c>
      <c r="I1158" s="14" t="s">
        <v>6046</v>
      </c>
      <c r="J1158" s="14" t="s">
        <v>6012</v>
      </c>
      <c r="K1158" s="14" t="s">
        <v>6012</v>
      </c>
      <c r="L1158" s="14"/>
    </row>
    <row r="1159">
      <c r="A1159" s="14">
        <v>0.0</v>
      </c>
      <c r="B1159" s="14">
        <v>0.0</v>
      </c>
      <c r="C1159" s="34"/>
      <c r="D1159" s="36">
        <v>44747.0</v>
      </c>
      <c r="E1159" s="24"/>
      <c r="F1159" s="14" t="s">
        <v>6012</v>
      </c>
      <c r="G1159" s="14" t="s">
        <v>6012</v>
      </c>
      <c r="H1159" s="14" t="s">
        <v>6012</v>
      </c>
      <c r="I1159" s="14" t="s">
        <v>6026</v>
      </c>
      <c r="J1159" s="14" t="s">
        <v>6012</v>
      </c>
      <c r="K1159" s="14" t="s">
        <v>6012</v>
      </c>
      <c r="L1159" s="14"/>
    </row>
    <row r="1160">
      <c r="A1160" s="14">
        <v>586.0</v>
      </c>
      <c r="B1160" s="14">
        <v>6.0</v>
      </c>
      <c r="C1160" s="34">
        <v>30.31</v>
      </c>
      <c r="D1160" s="36">
        <v>44747.0</v>
      </c>
      <c r="E1160" s="24"/>
      <c r="F1160" s="14">
        <v>5.05</v>
      </c>
      <c r="G1160" s="14">
        <v>51.72</v>
      </c>
      <c r="H1160" s="14">
        <v>1.02</v>
      </c>
      <c r="I1160" s="14" t="s">
        <v>6036</v>
      </c>
      <c r="J1160" s="14">
        <v>133.33</v>
      </c>
      <c r="K1160" s="14">
        <v>3.79</v>
      </c>
      <c r="L1160" s="14">
        <v>0.0</v>
      </c>
    </row>
    <row r="1161">
      <c r="A1161" s="14">
        <v>2014.0</v>
      </c>
      <c r="B1161" s="14">
        <v>2.0</v>
      </c>
      <c r="C1161" s="34">
        <v>44.56</v>
      </c>
      <c r="D1161" s="36">
        <v>44747.0</v>
      </c>
      <c r="E1161" s="24"/>
      <c r="F1161" s="14">
        <v>22.28</v>
      </c>
      <c r="G1161" s="14">
        <v>22.13</v>
      </c>
      <c r="H1161" s="14">
        <v>0.1</v>
      </c>
      <c r="I1161" s="14" t="s">
        <v>6035</v>
      </c>
      <c r="J1161" s="14">
        <v>200.0</v>
      </c>
      <c r="K1161" s="14">
        <v>11.14</v>
      </c>
      <c r="L1161" s="14">
        <v>0.0</v>
      </c>
    </row>
    <row r="1162">
      <c r="A1162" s="14">
        <v>2802.0</v>
      </c>
      <c r="B1162" s="14">
        <v>12.0</v>
      </c>
      <c r="C1162" s="34">
        <v>42.88</v>
      </c>
      <c r="D1162" s="36">
        <v>44748.0</v>
      </c>
      <c r="E1162" s="24"/>
      <c r="F1162" s="14">
        <v>3.57</v>
      </c>
      <c r="G1162" s="14">
        <v>15.3</v>
      </c>
      <c r="H1162" s="14">
        <v>0.43</v>
      </c>
      <c r="I1162" s="14" t="s">
        <v>6031</v>
      </c>
      <c r="J1162" s="14">
        <v>25.0</v>
      </c>
      <c r="K1162" s="14">
        <v>14.29</v>
      </c>
      <c r="L1162" s="14">
        <v>0.0</v>
      </c>
    </row>
    <row r="1163">
      <c r="A1163" s="14">
        <v>652.0</v>
      </c>
      <c r="B1163" s="14">
        <v>4.0</v>
      </c>
      <c r="C1163" s="34">
        <v>30.73</v>
      </c>
      <c r="D1163" s="36">
        <v>44748.0</v>
      </c>
      <c r="E1163" s="24"/>
      <c r="F1163" s="14">
        <v>7.68</v>
      </c>
      <c r="G1163" s="14">
        <v>47.13</v>
      </c>
      <c r="H1163" s="14">
        <v>0.61</v>
      </c>
      <c r="I1163" s="14" t="s">
        <v>6036</v>
      </c>
      <c r="J1163" s="14">
        <v>200.0</v>
      </c>
      <c r="K1163" s="14">
        <v>3.84</v>
      </c>
      <c r="L1163" s="14">
        <v>0.0</v>
      </c>
    </row>
    <row r="1164">
      <c r="A1164" s="14">
        <v>1184.0</v>
      </c>
      <c r="B1164" s="14">
        <v>0.0</v>
      </c>
      <c r="C1164" s="34">
        <v>44.75</v>
      </c>
      <c r="D1164" s="36">
        <v>44748.0</v>
      </c>
      <c r="E1164" s="24"/>
      <c r="F1164" s="14" t="s">
        <v>6012</v>
      </c>
      <c r="G1164" s="14">
        <v>37.8</v>
      </c>
      <c r="H1164" s="14">
        <v>0.0</v>
      </c>
      <c r="I1164" s="14" t="s">
        <v>6038</v>
      </c>
      <c r="J1164" s="14" t="s">
        <v>6012</v>
      </c>
      <c r="K1164" s="14">
        <v>22.38</v>
      </c>
      <c r="L1164" s="14">
        <v>0.0</v>
      </c>
    </row>
    <row r="1165">
      <c r="A1165" s="14">
        <v>2175.0</v>
      </c>
      <c r="B1165" s="14">
        <v>16.0</v>
      </c>
      <c r="C1165" s="34">
        <v>30.59</v>
      </c>
      <c r="D1165" s="36">
        <v>44748.0</v>
      </c>
      <c r="E1165" s="24"/>
      <c r="F1165" s="14">
        <v>1.91</v>
      </c>
      <c r="G1165" s="14">
        <v>14.06</v>
      </c>
      <c r="H1165" s="14">
        <v>0.74</v>
      </c>
      <c r="I1165" s="14" t="s">
        <v>6043</v>
      </c>
      <c r="J1165" s="14">
        <v>87.5</v>
      </c>
      <c r="K1165" s="14">
        <v>2.18</v>
      </c>
      <c r="L1165" s="14">
        <v>0.0</v>
      </c>
    </row>
    <row r="1166">
      <c r="A1166" s="14">
        <v>1455.0</v>
      </c>
      <c r="B1166" s="14">
        <v>29.0</v>
      </c>
      <c r="C1166" s="34">
        <v>37.54</v>
      </c>
      <c r="D1166" s="36">
        <v>44748.0</v>
      </c>
      <c r="E1166" s="24"/>
      <c r="F1166" s="14">
        <v>1.29</v>
      </c>
      <c r="G1166" s="14">
        <v>25.8</v>
      </c>
      <c r="H1166" s="14">
        <v>1.99</v>
      </c>
      <c r="I1166" s="14" t="s">
        <v>6032</v>
      </c>
      <c r="J1166" s="14">
        <v>31.03</v>
      </c>
      <c r="K1166" s="14">
        <v>4.17</v>
      </c>
      <c r="L1166" s="14">
        <v>0.0</v>
      </c>
    </row>
    <row r="1167">
      <c r="A1167" s="14">
        <v>707.0</v>
      </c>
      <c r="B1167" s="14">
        <v>7.0</v>
      </c>
      <c r="C1167" s="34">
        <v>18.71</v>
      </c>
      <c r="D1167" s="36">
        <v>44748.0</v>
      </c>
      <c r="E1167" s="24"/>
      <c r="F1167" s="14">
        <v>2.67</v>
      </c>
      <c r="G1167" s="14">
        <v>26.46</v>
      </c>
      <c r="H1167" s="14">
        <v>0.99</v>
      </c>
      <c r="I1167" s="14" t="s">
        <v>6044</v>
      </c>
      <c r="J1167" s="14">
        <v>71.43</v>
      </c>
      <c r="K1167" s="14">
        <v>3.74</v>
      </c>
      <c r="L1167" s="14">
        <v>0.0</v>
      </c>
    </row>
    <row r="1168">
      <c r="A1168" s="14">
        <v>386.0</v>
      </c>
      <c r="B1168" s="14">
        <v>1.0</v>
      </c>
      <c r="C1168" s="34">
        <v>19.19</v>
      </c>
      <c r="D1168" s="36">
        <v>44748.0</v>
      </c>
      <c r="E1168" s="24"/>
      <c r="F1168" s="14">
        <v>19.19</v>
      </c>
      <c r="G1168" s="14">
        <v>49.72</v>
      </c>
      <c r="H1168" s="14">
        <v>0.26</v>
      </c>
      <c r="I1168" s="14" t="s">
        <v>6042</v>
      </c>
      <c r="J1168" s="14">
        <v>300.0</v>
      </c>
      <c r="K1168" s="14">
        <v>6.4</v>
      </c>
      <c r="L1168" s="14">
        <v>0.0</v>
      </c>
    </row>
    <row r="1169">
      <c r="A1169" s="14">
        <v>1206.0</v>
      </c>
      <c r="B1169" s="14">
        <v>13.0</v>
      </c>
      <c r="C1169" s="34">
        <v>43.92</v>
      </c>
      <c r="D1169" s="36">
        <v>44748.0</v>
      </c>
      <c r="E1169" s="24"/>
      <c r="F1169" s="14">
        <v>3.38</v>
      </c>
      <c r="G1169" s="14">
        <v>36.42</v>
      </c>
      <c r="H1169" s="14">
        <v>1.08</v>
      </c>
      <c r="I1169" s="14" t="s">
        <v>6027</v>
      </c>
      <c r="J1169" s="14">
        <v>30.77</v>
      </c>
      <c r="K1169" s="14">
        <v>10.98</v>
      </c>
      <c r="L1169" s="14">
        <v>0.0</v>
      </c>
    </row>
    <row r="1170">
      <c r="A1170" s="14">
        <v>1738.0</v>
      </c>
      <c r="B1170" s="14">
        <v>0.0</v>
      </c>
      <c r="C1170" s="34">
        <v>44.63</v>
      </c>
      <c r="D1170" s="36">
        <v>44748.0</v>
      </c>
      <c r="E1170" s="24"/>
      <c r="F1170" s="14" t="s">
        <v>6012</v>
      </c>
      <c r="G1170" s="14">
        <v>25.68</v>
      </c>
      <c r="H1170" s="14">
        <v>0.0</v>
      </c>
      <c r="I1170" s="14" t="s">
        <v>6035</v>
      </c>
      <c r="J1170" s="14" t="s">
        <v>6012</v>
      </c>
      <c r="K1170" s="14" t="s">
        <v>6012</v>
      </c>
      <c r="L1170" s="14">
        <v>0.0</v>
      </c>
    </row>
    <row r="1171">
      <c r="A1171" s="14">
        <v>1165.0</v>
      </c>
      <c r="B1171" s="14">
        <v>23.0</v>
      </c>
      <c r="C1171" s="34">
        <v>36.76</v>
      </c>
      <c r="D1171" s="36">
        <v>44748.0</v>
      </c>
      <c r="E1171" s="24"/>
      <c r="F1171" s="14">
        <v>1.6</v>
      </c>
      <c r="G1171" s="14">
        <v>31.55</v>
      </c>
      <c r="H1171" s="14">
        <v>1.97</v>
      </c>
      <c r="I1171" s="14" t="s">
        <v>6028</v>
      </c>
      <c r="J1171" s="14">
        <v>30.43</v>
      </c>
      <c r="K1171" s="14">
        <v>5.25</v>
      </c>
      <c r="L1171" s="14">
        <v>0.0</v>
      </c>
    </row>
    <row r="1172">
      <c r="A1172" s="14">
        <v>800.0</v>
      </c>
      <c r="B1172" s="14">
        <v>6.0</v>
      </c>
      <c r="C1172" s="34">
        <v>37.11</v>
      </c>
      <c r="D1172" s="36">
        <v>44748.0</v>
      </c>
      <c r="E1172" s="24"/>
      <c r="F1172" s="14">
        <v>6.18</v>
      </c>
      <c r="G1172" s="14">
        <v>46.39</v>
      </c>
      <c r="H1172" s="14">
        <v>0.75</v>
      </c>
      <c r="I1172" s="14" t="s">
        <v>6039</v>
      </c>
      <c r="J1172" s="14">
        <v>83.33</v>
      </c>
      <c r="K1172" s="14">
        <v>7.42</v>
      </c>
      <c r="L1172" s="14">
        <v>0.0</v>
      </c>
    </row>
    <row r="1173">
      <c r="A1173" s="14">
        <v>0.0</v>
      </c>
      <c r="B1173" s="14">
        <v>0.0</v>
      </c>
      <c r="C1173" s="34"/>
      <c r="D1173" s="36">
        <v>44748.0</v>
      </c>
      <c r="E1173" s="24"/>
      <c r="F1173" s="14" t="s">
        <v>6012</v>
      </c>
      <c r="G1173" s="14" t="s">
        <v>6012</v>
      </c>
      <c r="H1173" s="14" t="s">
        <v>6012</v>
      </c>
      <c r="I1173" s="14" t="s">
        <v>6040</v>
      </c>
      <c r="J1173" s="14" t="s">
        <v>6012</v>
      </c>
      <c r="K1173" s="14" t="s">
        <v>6012</v>
      </c>
      <c r="L1173" s="14"/>
    </row>
    <row r="1174">
      <c r="A1174" s="14">
        <v>1420.0</v>
      </c>
      <c r="B1174" s="14">
        <v>11.0</v>
      </c>
      <c r="C1174" s="34">
        <v>37.42</v>
      </c>
      <c r="D1174" s="36">
        <v>44748.0</v>
      </c>
      <c r="E1174" s="24"/>
      <c r="F1174" s="14">
        <v>3.4</v>
      </c>
      <c r="G1174" s="14">
        <v>26.35</v>
      </c>
      <c r="H1174" s="14">
        <v>0.77</v>
      </c>
      <c r="I1174" s="14" t="s">
        <v>6037</v>
      </c>
      <c r="J1174" s="14">
        <v>63.64</v>
      </c>
      <c r="K1174" s="14">
        <v>5.35</v>
      </c>
      <c r="L1174" s="14">
        <v>0.0</v>
      </c>
    </row>
    <row r="1175">
      <c r="A1175" s="14">
        <v>492.0</v>
      </c>
      <c r="B1175" s="14">
        <v>2.0</v>
      </c>
      <c r="C1175" s="34">
        <v>18.58</v>
      </c>
      <c r="D1175" s="36">
        <v>44749.0</v>
      </c>
      <c r="E1175" s="24"/>
      <c r="F1175" s="14">
        <v>9.29</v>
      </c>
      <c r="G1175" s="14">
        <v>37.76</v>
      </c>
      <c r="H1175" s="14">
        <v>0.41</v>
      </c>
      <c r="I1175" s="14" t="s">
        <v>6044</v>
      </c>
      <c r="J1175" s="14">
        <v>100.0</v>
      </c>
      <c r="K1175" s="14">
        <v>9.29</v>
      </c>
      <c r="L1175" s="14">
        <v>0.0</v>
      </c>
    </row>
    <row r="1176">
      <c r="A1176" s="14">
        <v>563.0</v>
      </c>
      <c r="B1176" s="14">
        <v>7.0</v>
      </c>
      <c r="C1176" s="34">
        <v>29.68</v>
      </c>
      <c r="D1176" s="36">
        <v>44749.0</v>
      </c>
      <c r="E1176" s="24"/>
      <c r="F1176" s="14">
        <v>4.24</v>
      </c>
      <c r="G1176" s="14">
        <v>52.72</v>
      </c>
      <c r="H1176" s="14">
        <v>1.24</v>
      </c>
      <c r="I1176" s="14" t="s">
        <v>6036</v>
      </c>
      <c r="J1176" s="14">
        <v>57.14</v>
      </c>
      <c r="K1176" s="14">
        <v>7.42</v>
      </c>
      <c r="L1176" s="14">
        <v>0.0</v>
      </c>
    </row>
    <row r="1177">
      <c r="A1177" s="14">
        <v>1291.0</v>
      </c>
      <c r="B1177" s="14">
        <v>21.0</v>
      </c>
      <c r="C1177" s="34">
        <v>36.34</v>
      </c>
      <c r="D1177" s="36">
        <v>44749.0</v>
      </c>
      <c r="E1177" s="24"/>
      <c r="F1177" s="14">
        <v>1.73</v>
      </c>
      <c r="G1177" s="14">
        <v>28.15</v>
      </c>
      <c r="H1177" s="14">
        <v>1.63</v>
      </c>
      <c r="I1177" s="14" t="s">
        <v>6032</v>
      </c>
      <c r="J1177" s="14">
        <v>4.76</v>
      </c>
      <c r="K1177" s="14">
        <v>36.34</v>
      </c>
      <c r="L1177" s="14">
        <v>0.0</v>
      </c>
    </row>
    <row r="1178">
      <c r="A1178" s="14">
        <v>771.0</v>
      </c>
      <c r="B1178" s="14">
        <v>9.0</v>
      </c>
      <c r="C1178" s="34">
        <v>35.5</v>
      </c>
      <c r="D1178" s="36">
        <v>44749.0</v>
      </c>
      <c r="E1178" s="24"/>
      <c r="F1178" s="14">
        <v>3.94</v>
      </c>
      <c r="G1178" s="14">
        <v>46.04</v>
      </c>
      <c r="H1178" s="14">
        <v>1.17</v>
      </c>
      <c r="I1178" s="14" t="s">
        <v>6039</v>
      </c>
      <c r="J1178" s="14">
        <v>55.56</v>
      </c>
      <c r="K1178" s="14">
        <v>7.1</v>
      </c>
      <c r="L1178" s="14">
        <v>0.0</v>
      </c>
    </row>
    <row r="1179">
      <c r="A1179" s="14">
        <v>2410.0</v>
      </c>
      <c r="B1179" s="14">
        <v>15.0</v>
      </c>
      <c r="C1179" s="34">
        <v>29.62</v>
      </c>
      <c r="D1179" s="36">
        <v>44749.0</v>
      </c>
      <c r="E1179" s="24"/>
      <c r="F1179" s="14">
        <v>1.97</v>
      </c>
      <c r="G1179" s="14">
        <v>12.29</v>
      </c>
      <c r="H1179" s="14">
        <v>0.62</v>
      </c>
      <c r="I1179" s="14" t="s">
        <v>6043</v>
      </c>
      <c r="J1179" s="14">
        <v>40.0</v>
      </c>
      <c r="K1179" s="14">
        <v>4.94</v>
      </c>
      <c r="L1179" s="14">
        <v>0.0</v>
      </c>
    </row>
    <row r="1180">
      <c r="A1180" s="14">
        <v>1202.0</v>
      </c>
      <c r="B1180" s="14">
        <v>18.0</v>
      </c>
      <c r="C1180" s="34">
        <v>35.19</v>
      </c>
      <c r="D1180" s="36">
        <v>44749.0</v>
      </c>
      <c r="E1180" s="24"/>
      <c r="F1180" s="14">
        <v>1.95</v>
      </c>
      <c r="G1180" s="14">
        <v>29.28</v>
      </c>
      <c r="H1180" s="14">
        <v>1.5</v>
      </c>
      <c r="I1180" s="14" t="s">
        <v>6028</v>
      </c>
      <c r="J1180" s="14">
        <v>22.22</v>
      </c>
      <c r="K1180" s="14">
        <v>8.8</v>
      </c>
      <c r="L1180" s="14">
        <v>0.0</v>
      </c>
    </row>
    <row r="1181">
      <c r="A1181" s="14">
        <v>1691.0</v>
      </c>
      <c r="B1181" s="14">
        <v>3.0</v>
      </c>
      <c r="C1181" s="34">
        <v>43.44</v>
      </c>
      <c r="D1181" s="36">
        <v>44749.0</v>
      </c>
      <c r="E1181" s="24"/>
      <c r="F1181" s="14">
        <v>14.48</v>
      </c>
      <c r="G1181" s="14">
        <v>25.69</v>
      </c>
      <c r="H1181" s="14">
        <v>0.18</v>
      </c>
      <c r="I1181" s="14" t="s">
        <v>6035</v>
      </c>
      <c r="J1181" s="14">
        <v>133.33</v>
      </c>
      <c r="K1181" s="14">
        <v>10.86</v>
      </c>
      <c r="L1181" s="14">
        <v>0.0</v>
      </c>
    </row>
    <row r="1182">
      <c r="A1182" s="14">
        <v>1125.0</v>
      </c>
      <c r="B1182" s="14">
        <v>3.0</v>
      </c>
      <c r="C1182" s="34">
        <v>43.16</v>
      </c>
      <c r="D1182" s="36">
        <v>44749.0</v>
      </c>
      <c r="E1182" s="24"/>
      <c r="F1182" s="14">
        <v>14.39</v>
      </c>
      <c r="G1182" s="14">
        <v>38.36</v>
      </c>
      <c r="H1182" s="14">
        <v>0.27</v>
      </c>
      <c r="I1182" s="14" t="s">
        <v>6038</v>
      </c>
      <c r="J1182" s="14">
        <v>33.33</v>
      </c>
      <c r="K1182" s="14">
        <v>43.16</v>
      </c>
      <c r="L1182" s="14">
        <v>0.0</v>
      </c>
    </row>
    <row r="1183">
      <c r="A1183" s="14">
        <v>2587.0</v>
      </c>
      <c r="B1183" s="14">
        <v>10.0</v>
      </c>
      <c r="C1183" s="34">
        <v>42.36</v>
      </c>
      <c r="D1183" s="36">
        <v>44749.0</v>
      </c>
      <c r="E1183" s="24"/>
      <c r="F1183" s="14">
        <v>4.24</v>
      </c>
      <c r="G1183" s="14">
        <v>16.37</v>
      </c>
      <c r="H1183" s="14">
        <v>0.39</v>
      </c>
      <c r="I1183" s="14" t="s">
        <v>6031</v>
      </c>
      <c r="J1183" s="14">
        <v>50.0</v>
      </c>
      <c r="K1183" s="14">
        <v>8.47</v>
      </c>
      <c r="L1183" s="14">
        <v>0.0</v>
      </c>
    </row>
    <row r="1184">
      <c r="A1184" s="14">
        <v>377.0</v>
      </c>
      <c r="B1184" s="14">
        <v>2.0</v>
      </c>
      <c r="C1184" s="34">
        <v>19.1</v>
      </c>
      <c r="D1184" s="36">
        <v>44749.0</v>
      </c>
      <c r="E1184" s="24"/>
      <c r="F1184" s="14">
        <v>9.55</v>
      </c>
      <c r="G1184" s="14">
        <v>50.66</v>
      </c>
      <c r="H1184" s="14">
        <v>0.53</v>
      </c>
      <c r="I1184" s="14" t="s">
        <v>6042</v>
      </c>
      <c r="J1184" s="14">
        <v>50.0</v>
      </c>
      <c r="K1184" s="14">
        <v>19.1</v>
      </c>
      <c r="L1184" s="14">
        <v>0.0</v>
      </c>
    </row>
    <row r="1185">
      <c r="A1185" s="14">
        <v>1241.0</v>
      </c>
      <c r="B1185" s="14">
        <v>5.0</v>
      </c>
      <c r="C1185" s="34">
        <v>42.07</v>
      </c>
      <c r="D1185" s="36">
        <v>44749.0</v>
      </c>
      <c r="E1185" s="24"/>
      <c r="F1185" s="14">
        <v>8.41</v>
      </c>
      <c r="G1185" s="14">
        <v>33.9</v>
      </c>
      <c r="H1185" s="14">
        <v>0.4</v>
      </c>
      <c r="I1185" s="14" t="s">
        <v>6027</v>
      </c>
      <c r="J1185" s="14">
        <v>80.0</v>
      </c>
      <c r="K1185" s="14">
        <v>10.52</v>
      </c>
      <c r="L1185" s="14">
        <v>0.0</v>
      </c>
    </row>
    <row r="1186">
      <c r="A1186" s="14">
        <v>1222.0</v>
      </c>
      <c r="B1186" s="14">
        <v>7.0</v>
      </c>
      <c r="C1186" s="34">
        <v>36.29</v>
      </c>
      <c r="D1186" s="36">
        <v>44749.0</v>
      </c>
      <c r="E1186" s="24"/>
      <c r="F1186" s="14">
        <v>5.18</v>
      </c>
      <c r="G1186" s="14">
        <v>29.7</v>
      </c>
      <c r="H1186" s="14">
        <v>0.57</v>
      </c>
      <c r="I1186" s="14" t="s">
        <v>6037</v>
      </c>
      <c r="J1186" s="14">
        <v>14.29</v>
      </c>
      <c r="K1186" s="14">
        <v>36.29</v>
      </c>
      <c r="L1186" s="14">
        <v>0.0</v>
      </c>
    </row>
    <row r="1187">
      <c r="A1187" s="14">
        <v>573.0</v>
      </c>
      <c r="B1187" s="14">
        <v>5.0</v>
      </c>
      <c r="C1187" s="34">
        <v>16.75</v>
      </c>
      <c r="D1187" s="36">
        <v>44750.0</v>
      </c>
      <c r="E1187" s="24"/>
      <c r="F1187" s="14">
        <v>3.35</v>
      </c>
      <c r="G1187" s="14">
        <v>29.23</v>
      </c>
      <c r="H1187" s="14">
        <v>0.87</v>
      </c>
      <c r="I1187" s="14" t="s">
        <v>6044</v>
      </c>
      <c r="J1187" s="14">
        <v>60.0</v>
      </c>
      <c r="K1187" s="14">
        <v>5.58</v>
      </c>
      <c r="L1187" s="14">
        <v>0.0</v>
      </c>
    </row>
    <row r="1188">
      <c r="A1188" s="14">
        <v>705.0</v>
      </c>
      <c r="B1188" s="14">
        <v>9.0</v>
      </c>
      <c r="C1188" s="34">
        <v>23.71</v>
      </c>
      <c r="D1188" s="36">
        <v>44750.0</v>
      </c>
      <c r="E1188" s="24"/>
      <c r="F1188" s="14">
        <v>2.63</v>
      </c>
      <c r="G1188" s="14">
        <v>33.63</v>
      </c>
      <c r="H1188" s="14">
        <v>1.28</v>
      </c>
      <c r="I1188" s="14" t="s">
        <v>6027</v>
      </c>
      <c r="J1188" s="14">
        <v>22.22</v>
      </c>
      <c r="K1188" s="14">
        <v>11.86</v>
      </c>
      <c r="L1188" s="14">
        <v>0.0</v>
      </c>
    </row>
    <row r="1189">
      <c r="A1189" s="14">
        <v>1601.0</v>
      </c>
      <c r="B1189" s="14">
        <v>0.0</v>
      </c>
      <c r="C1189" s="34">
        <v>37.56</v>
      </c>
      <c r="D1189" s="36">
        <v>44750.0</v>
      </c>
      <c r="E1189" s="24"/>
      <c r="F1189" s="14" t="s">
        <v>6012</v>
      </c>
      <c r="G1189" s="14">
        <v>23.46</v>
      </c>
      <c r="H1189" s="14">
        <v>0.0</v>
      </c>
      <c r="I1189" s="14" t="s">
        <v>6035</v>
      </c>
      <c r="J1189" s="14" t="s">
        <v>6012</v>
      </c>
      <c r="K1189" s="14">
        <v>37.56</v>
      </c>
      <c r="L1189" s="14">
        <v>0.0</v>
      </c>
    </row>
    <row r="1190">
      <c r="A1190" s="14">
        <v>1047.0</v>
      </c>
      <c r="B1190" s="14">
        <v>26.0</v>
      </c>
      <c r="C1190" s="34">
        <v>31.85</v>
      </c>
      <c r="D1190" s="36">
        <v>44750.0</v>
      </c>
      <c r="E1190" s="24"/>
      <c r="F1190" s="14">
        <v>1.23</v>
      </c>
      <c r="G1190" s="14">
        <v>30.42</v>
      </c>
      <c r="H1190" s="14">
        <v>2.48</v>
      </c>
      <c r="I1190" s="14" t="s">
        <v>6032</v>
      </c>
      <c r="J1190" s="14">
        <v>23.08</v>
      </c>
      <c r="K1190" s="14">
        <v>5.31</v>
      </c>
      <c r="L1190" s="14">
        <v>0.0</v>
      </c>
    </row>
    <row r="1191">
      <c r="A1191" s="14">
        <v>323.0</v>
      </c>
      <c r="B1191" s="14">
        <v>2.0</v>
      </c>
      <c r="C1191" s="34">
        <v>17.28</v>
      </c>
      <c r="D1191" s="36">
        <v>44750.0</v>
      </c>
      <c r="E1191" s="24"/>
      <c r="F1191" s="14">
        <v>8.64</v>
      </c>
      <c r="G1191" s="14">
        <v>53.5</v>
      </c>
      <c r="H1191" s="14">
        <v>0.62</v>
      </c>
      <c r="I1191" s="14" t="s">
        <v>6042</v>
      </c>
      <c r="J1191" s="14">
        <v>100.0</v>
      </c>
      <c r="K1191" s="14">
        <v>8.64</v>
      </c>
      <c r="L1191" s="14">
        <v>0.0</v>
      </c>
    </row>
    <row r="1192">
      <c r="A1192" s="14">
        <v>657.0</v>
      </c>
      <c r="B1192" s="14">
        <v>12.0</v>
      </c>
      <c r="C1192" s="34">
        <v>32.62</v>
      </c>
      <c r="D1192" s="36">
        <v>44750.0</v>
      </c>
      <c r="E1192" s="24"/>
      <c r="F1192" s="14">
        <v>2.72</v>
      </c>
      <c r="G1192" s="14">
        <v>49.65</v>
      </c>
      <c r="H1192" s="14">
        <v>1.83</v>
      </c>
      <c r="I1192" s="14" t="s">
        <v>6039</v>
      </c>
      <c r="J1192" s="14">
        <v>0.0</v>
      </c>
      <c r="K1192" s="14" t="s">
        <v>6012</v>
      </c>
      <c r="L1192" s="14">
        <v>0.0</v>
      </c>
    </row>
    <row r="1193">
      <c r="A1193" s="14">
        <v>2267.0</v>
      </c>
      <c r="B1193" s="14">
        <v>5.0</v>
      </c>
      <c r="C1193" s="34">
        <v>38.75</v>
      </c>
      <c r="D1193" s="36">
        <v>44750.0</v>
      </c>
      <c r="E1193" s="24"/>
      <c r="F1193" s="14">
        <v>7.75</v>
      </c>
      <c r="G1193" s="14">
        <v>17.09</v>
      </c>
      <c r="H1193" s="14">
        <v>0.22</v>
      </c>
      <c r="I1193" s="14" t="s">
        <v>6031</v>
      </c>
      <c r="J1193" s="14">
        <v>20.0</v>
      </c>
      <c r="K1193" s="14">
        <v>38.75</v>
      </c>
      <c r="L1193" s="14">
        <v>0.0</v>
      </c>
    </row>
    <row r="1194">
      <c r="A1194" s="14">
        <v>1945.0</v>
      </c>
      <c r="B1194" s="14">
        <v>4.0</v>
      </c>
      <c r="C1194" s="34">
        <v>27.63</v>
      </c>
      <c r="D1194" s="36">
        <v>44750.0</v>
      </c>
      <c r="E1194" s="24"/>
      <c r="F1194" s="14">
        <v>6.91</v>
      </c>
      <c r="G1194" s="14">
        <v>14.21</v>
      </c>
      <c r="H1194" s="14">
        <v>0.21</v>
      </c>
      <c r="I1194" s="14" t="s">
        <v>6043</v>
      </c>
      <c r="J1194" s="14">
        <v>150.0</v>
      </c>
      <c r="K1194" s="14">
        <v>4.6</v>
      </c>
      <c r="L1194" s="14">
        <v>0.0</v>
      </c>
    </row>
    <row r="1195">
      <c r="A1195" s="14">
        <v>992.0</v>
      </c>
      <c r="B1195" s="14">
        <v>12.0</v>
      </c>
      <c r="C1195" s="34">
        <v>32.37</v>
      </c>
      <c r="D1195" s="36">
        <v>44750.0</v>
      </c>
      <c r="E1195" s="24"/>
      <c r="F1195" s="14">
        <v>2.7</v>
      </c>
      <c r="G1195" s="14">
        <v>32.63</v>
      </c>
      <c r="H1195" s="14">
        <v>1.21</v>
      </c>
      <c r="I1195" s="14" t="s">
        <v>6028</v>
      </c>
      <c r="J1195" s="14">
        <v>8.33</v>
      </c>
      <c r="K1195" s="14">
        <v>32.37</v>
      </c>
      <c r="L1195" s="14">
        <v>0.0</v>
      </c>
    </row>
    <row r="1196">
      <c r="A1196" s="14">
        <v>954.0</v>
      </c>
      <c r="B1196" s="14">
        <v>0.0</v>
      </c>
      <c r="C1196" s="34">
        <v>37.26</v>
      </c>
      <c r="D1196" s="36">
        <v>44750.0</v>
      </c>
      <c r="E1196" s="24"/>
      <c r="F1196" s="14" t="s">
        <v>6012</v>
      </c>
      <c r="G1196" s="14">
        <v>39.06</v>
      </c>
      <c r="H1196" s="14">
        <v>0.0</v>
      </c>
      <c r="I1196" s="14" t="s">
        <v>6038</v>
      </c>
      <c r="J1196" s="14" t="s">
        <v>6012</v>
      </c>
      <c r="K1196" s="14">
        <v>37.26</v>
      </c>
      <c r="L1196" s="14">
        <v>0.0</v>
      </c>
    </row>
    <row r="1197">
      <c r="A1197" s="14">
        <v>1055.0</v>
      </c>
      <c r="B1197" s="14">
        <v>7.0</v>
      </c>
      <c r="C1197" s="34">
        <v>31.77</v>
      </c>
      <c r="D1197" s="36">
        <v>44750.0</v>
      </c>
      <c r="E1197" s="24"/>
      <c r="F1197" s="14">
        <v>4.54</v>
      </c>
      <c r="G1197" s="14">
        <v>30.11</v>
      </c>
      <c r="H1197" s="14">
        <v>0.66</v>
      </c>
      <c r="I1197" s="14" t="s">
        <v>6037</v>
      </c>
      <c r="J1197" s="14">
        <v>71.43</v>
      </c>
      <c r="K1197" s="14">
        <v>6.35</v>
      </c>
      <c r="L1197" s="14">
        <v>0.0</v>
      </c>
    </row>
    <row r="1198">
      <c r="A1198" s="14">
        <v>0.0</v>
      </c>
      <c r="B1198" s="14">
        <v>0.0</v>
      </c>
      <c r="C1198" s="34"/>
      <c r="D1198" s="36">
        <v>44750.0</v>
      </c>
      <c r="E1198" s="24"/>
      <c r="F1198" s="14" t="s">
        <v>6012</v>
      </c>
      <c r="G1198" s="14" t="s">
        <v>6012</v>
      </c>
      <c r="H1198" s="14" t="s">
        <v>6012</v>
      </c>
      <c r="I1198" s="14" t="s">
        <v>6046</v>
      </c>
      <c r="J1198" s="14" t="s">
        <v>6012</v>
      </c>
      <c r="K1198" s="14" t="s">
        <v>6012</v>
      </c>
      <c r="L1198" s="14"/>
    </row>
    <row r="1199">
      <c r="A1199" s="14">
        <v>521.0</v>
      </c>
      <c r="B1199" s="14">
        <v>6.0</v>
      </c>
      <c r="C1199" s="34">
        <v>27.54</v>
      </c>
      <c r="D1199" s="36">
        <v>44750.0</v>
      </c>
      <c r="E1199" s="24"/>
      <c r="F1199" s="14">
        <v>4.59</v>
      </c>
      <c r="G1199" s="14">
        <v>52.86</v>
      </c>
      <c r="H1199" s="14">
        <v>1.15</v>
      </c>
      <c r="I1199" s="14" t="s">
        <v>6036</v>
      </c>
      <c r="J1199" s="14">
        <v>83.33</v>
      </c>
      <c r="K1199" s="14">
        <v>5.51</v>
      </c>
      <c r="L1199" s="14">
        <v>0.0</v>
      </c>
    </row>
    <row r="1200">
      <c r="A1200" s="14">
        <v>568.0</v>
      </c>
      <c r="B1200" s="14">
        <v>9.0</v>
      </c>
      <c r="C1200" s="34">
        <v>16.25</v>
      </c>
      <c r="D1200" s="36">
        <v>44751.0</v>
      </c>
      <c r="E1200" s="24"/>
      <c r="F1200" s="14">
        <v>1.81</v>
      </c>
      <c r="G1200" s="14">
        <v>28.61</v>
      </c>
      <c r="H1200" s="14">
        <v>1.58</v>
      </c>
      <c r="I1200" s="14" t="s">
        <v>6028</v>
      </c>
      <c r="J1200" s="14">
        <v>0.0</v>
      </c>
      <c r="K1200" s="14" t="s">
        <v>6012</v>
      </c>
      <c r="L1200" s="14">
        <v>0.0</v>
      </c>
    </row>
    <row r="1201">
      <c r="A1201" s="14">
        <v>335.0</v>
      </c>
      <c r="B1201" s="14">
        <v>2.0</v>
      </c>
      <c r="C1201" s="34">
        <v>14.03</v>
      </c>
      <c r="D1201" s="36">
        <v>44751.0</v>
      </c>
      <c r="E1201" s="24"/>
      <c r="F1201" s="14">
        <v>7.02</v>
      </c>
      <c r="G1201" s="14">
        <v>41.88</v>
      </c>
      <c r="H1201" s="14">
        <v>0.6</v>
      </c>
      <c r="I1201" s="14" t="s">
        <v>6036</v>
      </c>
      <c r="J1201" s="14">
        <v>0.0</v>
      </c>
      <c r="K1201" s="14" t="s">
        <v>6012</v>
      </c>
      <c r="L1201" s="14">
        <v>0.0</v>
      </c>
    </row>
    <row r="1202">
      <c r="A1202" s="14">
        <v>534.0</v>
      </c>
      <c r="B1202" s="14">
        <v>13.0</v>
      </c>
      <c r="C1202" s="34">
        <v>14.19</v>
      </c>
      <c r="D1202" s="36">
        <v>44751.0</v>
      </c>
      <c r="E1202" s="24"/>
      <c r="F1202" s="14">
        <v>1.09</v>
      </c>
      <c r="G1202" s="14">
        <v>26.57</v>
      </c>
      <c r="H1202" s="14">
        <v>2.43</v>
      </c>
      <c r="I1202" s="14" t="s">
        <v>6032</v>
      </c>
      <c r="J1202" s="14">
        <v>30.77</v>
      </c>
      <c r="K1202" s="14">
        <v>3.55</v>
      </c>
      <c r="L1202" s="14">
        <v>0.0</v>
      </c>
    </row>
    <row r="1203">
      <c r="A1203" s="14">
        <v>466.0</v>
      </c>
      <c r="B1203" s="14">
        <v>6.0</v>
      </c>
      <c r="C1203" s="34">
        <v>14.38</v>
      </c>
      <c r="D1203" s="36">
        <v>44751.0</v>
      </c>
      <c r="E1203" s="24"/>
      <c r="F1203" s="14">
        <v>2.4</v>
      </c>
      <c r="G1203" s="14">
        <v>30.86</v>
      </c>
      <c r="H1203" s="14">
        <v>1.29</v>
      </c>
      <c r="I1203" s="14" t="s">
        <v>6037</v>
      </c>
      <c r="J1203" s="14">
        <v>50.0</v>
      </c>
      <c r="K1203" s="14">
        <v>4.79</v>
      </c>
      <c r="L1203" s="14">
        <v>0.0</v>
      </c>
    </row>
    <row r="1204">
      <c r="A1204" s="14">
        <v>139.0</v>
      </c>
      <c r="B1204" s="14">
        <v>1.0</v>
      </c>
      <c r="C1204" s="34">
        <v>7.76</v>
      </c>
      <c r="D1204" s="36">
        <v>44751.0</v>
      </c>
      <c r="E1204" s="24"/>
      <c r="F1204" s="14">
        <v>7.76</v>
      </c>
      <c r="G1204" s="14">
        <v>55.83</v>
      </c>
      <c r="H1204" s="14">
        <v>0.72</v>
      </c>
      <c r="I1204" s="14" t="s">
        <v>6042</v>
      </c>
      <c r="J1204" s="14">
        <v>0.0</v>
      </c>
      <c r="K1204" s="14" t="s">
        <v>6012</v>
      </c>
      <c r="L1204" s="14">
        <v>0.0</v>
      </c>
    </row>
    <row r="1205">
      <c r="A1205" s="14">
        <v>393.0</v>
      </c>
      <c r="B1205" s="14">
        <v>2.0</v>
      </c>
      <c r="C1205" s="34">
        <v>17.46</v>
      </c>
      <c r="D1205" s="36">
        <v>44751.0</v>
      </c>
      <c r="E1205" s="24"/>
      <c r="F1205" s="14">
        <v>8.73</v>
      </c>
      <c r="G1205" s="14">
        <v>44.43</v>
      </c>
      <c r="H1205" s="14">
        <v>0.51</v>
      </c>
      <c r="I1205" s="14" t="s">
        <v>6038</v>
      </c>
      <c r="J1205" s="14">
        <v>100.0</v>
      </c>
      <c r="K1205" s="14">
        <v>8.73</v>
      </c>
      <c r="L1205" s="14">
        <v>0.0</v>
      </c>
    </row>
    <row r="1206">
      <c r="A1206" s="14">
        <v>1270.0</v>
      </c>
      <c r="B1206" s="14">
        <v>9.0</v>
      </c>
      <c r="C1206" s="34">
        <v>14.07</v>
      </c>
      <c r="D1206" s="36">
        <v>44751.0</v>
      </c>
      <c r="E1206" s="24"/>
      <c r="F1206" s="14">
        <v>1.56</v>
      </c>
      <c r="G1206" s="14">
        <v>11.08</v>
      </c>
      <c r="H1206" s="14">
        <v>0.71</v>
      </c>
      <c r="I1206" s="14" t="s">
        <v>6043</v>
      </c>
      <c r="J1206" s="14">
        <v>44.44</v>
      </c>
      <c r="K1206" s="14">
        <v>3.52</v>
      </c>
      <c r="L1206" s="14">
        <v>0.0</v>
      </c>
    </row>
    <row r="1207">
      <c r="A1207" s="14">
        <v>978.0</v>
      </c>
      <c r="B1207" s="14">
        <v>3.0</v>
      </c>
      <c r="C1207" s="34">
        <v>17.66</v>
      </c>
      <c r="D1207" s="36">
        <v>44751.0</v>
      </c>
      <c r="E1207" s="24"/>
      <c r="F1207" s="14">
        <v>5.89</v>
      </c>
      <c r="G1207" s="14">
        <v>18.06</v>
      </c>
      <c r="H1207" s="14">
        <v>0.31</v>
      </c>
      <c r="I1207" s="14" t="s">
        <v>6031</v>
      </c>
      <c r="J1207" s="14">
        <v>200.0</v>
      </c>
      <c r="K1207" s="14">
        <v>2.94</v>
      </c>
      <c r="L1207" s="14">
        <v>0.0</v>
      </c>
    </row>
    <row r="1208">
      <c r="A1208" s="14">
        <v>584.0</v>
      </c>
      <c r="B1208" s="14">
        <v>1.0</v>
      </c>
      <c r="C1208" s="34">
        <v>16.23</v>
      </c>
      <c r="D1208" s="36">
        <v>44751.0</v>
      </c>
      <c r="E1208" s="24"/>
      <c r="F1208" s="14">
        <v>16.23</v>
      </c>
      <c r="G1208" s="14">
        <v>27.79</v>
      </c>
      <c r="H1208" s="14">
        <v>0.17</v>
      </c>
      <c r="I1208" s="14" t="s">
        <v>6035</v>
      </c>
      <c r="J1208" s="14">
        <v>300.0</v>
      </c>
      <c r="K1208" s="14">
        <v>5.41</v>
      </c>
      <c r="L1208" s="14">
        <v>0.0</v>
      </c>
    </row>
    <row r="1209">
      <c r="A1209" s="14">
        <v>340.0</v>
      </c>
      <c r="B1209" s="14">
        <v>3.0</v>
      </c>
      <c r="C1209" s="34">
        <v>15.82</v>
      </c>
      <c r="D1209" s="36">
        <v>44751.0</v>
      </c>
      <c r="E1209" s="24"/>
      <c r="F1209" s="14">
        <v>5.27</v>
      </c>
      <c r="G1209" s="14">
        <v>46.53</v>
      </c>
      <c r="H1209" s="14">
        <v>0.88</v>
      </c>
      <c r="I1209" s="14" t="s">
        <v>6039</v>
      </c>
      <c r="J1209" s="14">
        <v>0.0</v>
      </c>
      <c r="K1209" s="14" t="s">
        <v>6012</v>
      </c>
      <c r="L1209" s="14">
        <v>0.0</v>
      </c>
    </row>
    <row r="1210">
      <c r="A1210" s="14">
        <v>450.0</v>
      </c>
      <c r="B1210" s="14">
        <v>6.0</v>
      </c>
      <c r="C1210" s="34">
        <v>20.76</v>
      </c>
      <c r="D1210" s="36">
        <v>44751.0</v>
      </c>
      <c r="E1210" s="24"/>
      <c r="F1210" s="14">
        <v>3.46</v>
      </c>
      <c r="G1210" s="14">
        <v>46.13</v>
      </c>
      <c r="H1210" s="14">
        <v>1.33</v>
      </c>
      <c r="I1210" s="14" t="s">
        <v>6027</v>
      </c>
      <c r="J1210" s="14">
        <v>16.67</v>
      </c>
      <c r="K1210" s="14">
        <v>20.76</v>
      </c>
      <c r="L1210" s="14">
        <v>0.0</v>
      </c>
    </row>
    <row r="1211">
      <c r="A1211" s="14">
        <v>0.0</v>
      </c>
      <c r="B1211" s="14">
        <v>0.0</v>
      </c>
      <c r="C1211" s="34"/>
      <c r="D1211" s="36">
        <v>44751.0</v>
      </c>
      <c r="E1211" s="24"/>
      <c r="F1211" s="14" t="s">
        <v>6012</v>
      </c>
      <c r="G1211" s="14" t="s">
        <v>6012</v>
      </c>
      <c r="H1211" s="14" t="s">
        <v>6012</v>
      </c>
      <c r="I1211" s="14" t="s">
        <v>6029</v>
      </c>
      <c r="J1211" s="14" t="s">
        <v>6012</v>
      </c>
      <c r="K1211" s="14" t="s">
        <v>6012</v>
      </c>
      <c r="L1211" s="14"/>
    </row>
    <row r="1212">
      <c r="A1212" s="14">
        <v>247.0</v>
      </c>
      <c r="B1212" s="14">
        <v>1.0</v>
      </c>
      <c r="C1212" s="34">
        <v>7.59</v>
      </c>
      <c r="D1212" s="36">
        <v>44751.0</v>
      </c>
      <c r="E1212" s="24"/>
      <c r="F1212" s="14">
        <v>7.59</v>
      </c>
      <c r="G1212" s="14">
        <v>30.73</v>
      </c>
      <c r="H1212" s="14">
        <v>0.4</v>
      </c>
      <c r="I1212" s="14" t="s">
        <v>6044</v>
      </c>
      <c r="J1212" s="14">
        <v>0.0</v>
      </c>
      <c r="K1212" s="14" t="s">
        <v>6012</v>
      </c>
      <c r="L1212" s="14">
        <v>0.0</v>
      </c>
    </row>
    <row r="1213">
      <c r="A1213" s="14">
        <v>1410.0</v>
      </c>
      <c r="B1213" s="14">
        <v>16.0</v>
      </c>
      <c r="C1213" s="34">
        <v>14.05</v>
      </c>
      <c r="D1213" s="36">
        <v>44752.0</v>
      </c>
      <c r="E1213" s="24"/>
      <c r="F1213" s="14">
        <v>0.88</v>
      </c>
      <c r="G1213" s="14">
        <v>9.96</v>
      </c>
      <c r="H1213" s="14">
        <v>1.13</v>
      </c>
      <c r="I1213" s="14" t="s">
        <v>6043</v>
      </c>
      <c r="J1213" s="14">
        <v>50.0</v>
      </c>
      <c r="K1213" s="14">
        <v>1.76</v>
      </c>
      <c r="L1213" s="14">
        <v>0.0</v>
      </c>
    </row>
    <row r="1214">
      <c r="A1214" s="14">
        <v>296.0</v>
      </c>
      <c r="B1214" s="14">
        <v>6.0</v>
      </c>
      <c r="C1214" s="34">
        <v>13.88</v>
      </c>
      <c r="D1214" s="36">
        <v>44752.0</v>
      </c>
      <c r="E1214" s="24"/>
      <c r="F1214" s="14">
        <v>2.31</v>
      </c>
      <c r="G1214" s="14">
        <v>46.89</v>
      </c>
      <c r="H1214" s="14">
        <v>2.03</v>
      </c>
      <c r="I1214" s="14" t="s">
        <v>6036</v>
      </c>
      <c r="J1214" s="14">
        <v>100.0</v>
      </c>
      <c r="K1214" s="14">
        <v>2.31</v>
      </c>
      <c r="L1214" s="14">
        <v>0.0</v>
      </c>
    </row>
    <row r="1215">
      <c r="A1215" s="14">
        <v>337.0</v>
      </c>
      <c r="B1215" s="14">
        <v>3.0</v>
      </c>
      <c r="C1215" s="34">
        <v>7.34</v>
      </c>
      <c r="D1215" s="36">
        <v>44752.0</v>
      </c>
      <c r="E1215" s="24"/>
      <c r="F1215" s="14">
        <v>2.45</v>
      </c>
      <c r="G1215" s="14">
        <v>21.78</v>
      </c>
      <c r="H1215" s="14">
        <v>0.89</v>
      </c>
      <c r="I1215" s="14" t="s">
        <v>6044</v>
      </c>
      <c r="J1215" s="14">
        <v>33.33</v>
      </c>
      <c r="K1215" s="14">
        <v>7.34</v>
      </c>
      <c r="L1215" s="14">
        <v>0.0</v>
      </c>
    </row>
    <row r="1216">
      <c r="A1216" s="14">
        <v>154.0</v>
      </c>
      <c r="B1216" s="14">
        <v>1.0</v>
      </c>
      <c r="C1216" s="34">
        <v>7.34</v>
      </c>
      <c r="D1216" s="36">
        <v>44752.0</v>
      </c>
      <c r="E1216" s="24"/>
      <c r="F1216" s="14">
        <v>7.34</v>
      </c>
      <c r="G1216" s="14">
        <v>47.66</v>
      </c>
      <c r="H1216" s="14">
        <v>0.65</v>
      </c>
      <c r="I1216" s="14" t="s">
        <v>6042</v>
      </c>
      <c r="J1216" s="14">
        <v>100.0</v>
      </c>
      <c r="K1216" s="14">
        <v>7.34</v>
      </c>
      <c r="L1216" s="14">
        <v>0.0</v>
      </c>
    </row>
    <row r="1217">
      <c r="A1217" s="14">
        <v>0.0</v>
      </c>
      <c r="B1217" s="14">
        <v>0.0</v>
      </c>
      <c r="C1217" s="24"/>
      <c r="D1217" s="36">
        <v>44753.0</v>
      </c>
      <c r="E1217" s="24"/>
      <c r="F1217" s="14" t="s">
        <v>6012</v>
      </c>
      <c r="G1217" s="14" t="s">
        <v>6012</v>
      </c>
      <c r="H1217" s="14" t="s">
        <v>6012</v>
      </c>
      <c r="I1217" s="14" t="s">
        <v>6028</v>
      </c>
      <c r="J1217" s="14" t="s">
        <v>6012</v>
      </c>
      <c r="K1217" s="14" t="s">
        <v>6012</v>
      </c>
      <c r="L1217" s="24"/>
    </row>
    <row r="1218">
      <c r="A1218" s="14">
        <v>2069.0</v>
      </c>
      <c r="B1218" s="14">
        <v>25.0</v>
      </c>
      <c r="C1218" s="34">
        <v>27.04</v>
      </c>
      <c r="D1218" s="36">
        <v>44753.0</v>
      </c>
      <c r="E1218" s="24"/>
      <c r="F1218" s="14">
        <v>1.08</v>
      </c>
      <c r="G1218" s="14">
        <v>13.07</v>
      </c>
      <c r="H1218" s="14">
        <v>1.21</v>
      </c>
      <c r="I1218" s="14" t="s">
        <v>6043</v>
      </c>
      <c r="J1218" s="14">
        <v>60.0</v>
      </c>
      <c r="K1218" s="14">
        <v>1.8</v>
      </c>
      <c r="L1218" s="14">
        <v>0.0</v>
      </c>
    </row>
    <row r="1219">
      <c r="A1219" s="14">
        <v>0.0</v>
      </c>
      <c r="B1219" s="14">
        <v>0.0</v>
      </c>
      <c r="C1219" s="34"/>
      <c r="D1219" s="36">
        <v>44753.0</v>
      </c>
      <c r="E1219" s="24"/>
      <c r="F1219" s="14" t="s">
        <v>6012</v>
      </c>
      <c r="G1219" s="14" t="s">
        <v>6012</v>
      </c>
      <c r="H1219" s="14" t="s">
        <v>6012</v>
      </c>
      <c r="I1219" s="14" t="s">
        <v>6040</v>
      </c>
      <c r="J1219" s="14" t="s">
        <v>6012</v>
      </c>
      <c r="K1219" s="14" t="s">
        <v>6012</v>
      </c>
      <c r="L1219" s="14"/>
    </row>
    <row r="1220">
      <c r="A1220" s="14">
        <v>0.0</v>
      </c>
      <c r="B1220" s="14">
        <v>0.0</v>
      </c>
      <c r="C1220" s="34"/>
      <c r="D1220" s="36">
        <v>44753.0</v>
      </c>
      <c r="E1220" s="24"/>
      <c r="F1220" s="14" t="s">
        <v>6012</v>
      </c>
      <c r="G1220" s="14" t="s">
        <v>6012</v>
      </c>
      <c r="H1220" s="14" t="s">
        <v>6012</v>
      </c>
      <c r="I1220" s="14" t="s">
        <v>6027</v>
      </c>
      <c r="J1220" s="14" t="s">
        <v>6012</v>
      </c>
      <c r="K1220" s="14" t="s">
        <v>6012</v>
      </c>
      <c r="L1220" s="14"/>
    </row>
    <row r="1221">
      <c r="A1221" s="14">
        <v>176.0</v>
      </c>
      <c r="B1221" s="14">
        <v>1.0</v>
      </c>
      <c r="C1221" s="34">
        <v>8.94</v>
      </c>
      <c r="D1221" s="36">
        <v>44753.0</v>
      </c>
      <c r="E1221" s="24"/>
      <c r="F1221" s="14">
        <v>8.94</v>
      </c>
      <c r="G1221" s="14">
        <v>50.8</v>
      </c>
      <c r="H1221" s="14">
        <v>0.57</v>
      </c>
      <c r="I1221" s="14" t="s">
        <v>6042</v>
      </c>
      <c r="J1221" s="14">
        <v>100.0</v>
      </c>
      <c r="K1221" s="14">
        <v>8.94</v>
      </c>
      <c r="L1221" s="14">
        <v>0.0</v>
      </c>
    </row>
    <row r="1222">
      <c r="A1222" s="14">
        <v>0.0</v>
      </c>
      <c r="B1222" s="14">
        <v>0.0</v>
      </c>
      <c r="C1222" s="34"/>
      <c r="D1222" s="36">
        <v>44753.0</v>
      </c>
      <c r="E1222" s="24"/>
      <c r="F1222" s="14" t="s">
        <v>6012</v>
      </c>
      <c r="G1222" s="14" t="s">
        <v>6012</v>
      </c>
      <c r="H1222" s="14" t="s">
        <v>6012</v>
      </c>
      <c r="I1222" s="14" t="s">
        <v>6046</v>
      </c>
      <c r="J1222" s="14" t="s">
        <v>6012</v>
      </c>
      <c r="K1222" s="14" t="s">
        <v>6012</v>
      </c>
      <c r="L1222" s="14"/>
    </row>
    <row r="1223">
      <c r="A1223" s="14">
        <v>340.0</v>
      </c>
      <c r="B1223" s="14">
        <v>2.0</v>
      </c>
      <c r="C1223" s="34">
        <v>10.93</v>
      </c>
      <c r="D1223" s="36">
        <v>44753.0</v>
      </c>
      <c r="E1223" s="24"/>
      <c r="F1223" s="14">
        <v>5.46</v>
      </c>
      <c r="G1223" s="14">
        <v>32.15</v>
      </c>
      <c r="H1223" s="14">
        <v>0.59</v>
      </c>
      <c r="I1223" s="14" t="s">
        <v>6044</v>
      </c>
      <c r="J1223" s="14">
        <v>50.0</v>
      </c>
      <c r="K1223" s="14">
        <v>10.93</v>
      </c>
      <c r="L1223" s="14">
        <v>0.0</v>
      </c>
    </row>
    <row r="1224">
      <c r="A1224" s="14">
        <v>582.0</v>
      </c>
      <c r="B1224" s="14">
        <v>6.0</v>
      </c>
      <c r="C1224" s="34">
        <v>25.59</v>
      </c>
      <c r="D1224" s="36">
        <v>44753.0</v>
      </c>
      <c r="E1224" s="24"/>
      <c r="F1224" s="14">
        <v>4.26</v>
      </c>
      <c r="G1224" s="14">
        <v>43.97</v>
      </c>
      <c r="H1224" s="14">
        <v>1.03</v>
      </c>
      <c r="I1224" s="14" t="s">
        <v>6036</v>
      </c>
      <c r="J1224" s="14">
        <v>116.67</v>
      </c>
      <c r="K1224" s="14">
        <v>3.66</v>
      </c>
      <c r="L1224" s="14">
        <v>0.0</v>
      </c>
    </row>
    <row r="1225">
      <c r="A1225" s="14">
        <v>673.0</v>
      </c>
      <c r="B1225" s="14">
        <v>4.0</v>
      </c>
      <c r="C1225" s="34">
        <v>31.53</v>
      </c>
      <c r="D1225" s="36">
        <v>44754.0</v>
      </c>
      <c r="E1225" s="24"/>
      <c r="F1225" s="14">
        <v>7.88</v>
      </c>
      <c r="G1225" s="14">
        <v>46.85</v>
      </c>
      <c r="H1225" s="14">
        <v>0.59</v>
      </c>
      <c r="I1225" s="14" t="s">
        <v>6036</v>
      </c>
      <c r="J1225" s="14">
        <v>225.0</v>
      </c>
      <c r="K1225" s="14">
        <v>3.5</v>
      </c>
      <c r="L1225" s="14">
        <v>0.0</v>
      </c>
    </row>
    <row r="1226">
      <c r="A1226" s="14">
        <v>417.0</v>
      </c>
      <c r="B1226" s="14">
        <v>1.0</v>
      </c>
      <c r="C1226" s="34">
        <v>19.91</v>
      </c>
      <c r="D1226" s="36">
        <v>44754.0</v>
      </c>
      <c r="E1226" s="24"/>
      <c r="F1226" s="14">
        <v>19.91</v>
      </c>
      <c r="G1226" s="14">
        <v>47.75</v>
      </c>
      <c r="H1226" s="14">
        <v>0.24</v>
      </c>
      <c r="I1226" s="14" t="s">
        <v>6042</v>
      </c>
      <c r="J1226" s="14">
        <v>200.0</v>
      </c>
      <c r="K1226" s="14">
        <v>9.96</v>
      </c>
      <c r="L1226" s="14">
        <v>0.0</v>
      </c>
    </row>
    <row r="1227">
      <c r="A1227" s="14">
        <v>0.0</v>
      </c>
      <c r="B1227" s="14">
        <v>0.0</v>
      </c>
      <c r="C1227" s="34"/>
      <c r="D1227" s="36">
        <v>44754.0</v>
      </c>
      <c r="E1227" s="24"/>
      <c r="F1227" s="14" t="s">
        <v>6012</v>
      </c>
      <c r="G1227" s="14" t="s">
        <v>6012</v>
      </c>
      <c r="H1227" s="14" t="s">
        <v>6012</v>
      </c>
      <c r="I1227" s="14" t="s">
        <v>6038</v>
      </c>
      <c r="J1227" s="14" t="s">
        <v>6012</v>
      </c>
      <c r="K1227" s="14" t="s">
        <v>6012</v>
      </c>
      <c r="L1227" s="14"/>
    </row>
    <row r="1228">
      <c r="A1228" s="14">
        <v>0.0</v>
      </c>
      <c r="B1228" s="14">
        <v>0.0</v>
      </c>
      <c r="C1228" s="34"/>
      <c r="D1228" s="36">
        <v>44754.0</v>
      </c>
      <c r="E1228" s="24"/>
      <c r="F1228" s="14" t="s">
        <v>6012</v>
      </c>
      <c r="G1228" s="14" t="s">
        <v>6012</v>
      </c>
      <c r="H1228" s="14" t="s">
        <v>6012</v>
      </c>
      <c r="I1228" s="14" t="s">
        <v>6028</v>
      </c>
      <c r="J1228" s="14" t="s">
        <v>6012</v>
      </c>
      <c r="K1228" s="14" t="s">
        <v>6012</v>
      </c>
      <c r="L1228" s="14"/>
    </row>
    <row r="1229">
      <c r="A1229" s="14">
        <v>0.0</v>
      </c>
      <c r="B1229" s="14">
        <v>0.0</v>
      </c>
      <c r="C1229" s="34"/>
      <c r="D1229" s="36">
        <v>44754.0</v>
      </c>
      <c r="E1229" s="24"/>
      <c r="F1229" s="14" t="s">
        <v>6012</v>
      </c>
      <c r="G1229" s="14" t="s">
        <v>6012</v>
      </c>
      <c r="H1229" s="14" t="s">
        <v>6012</v>
      </c>
      <c r="I1229" s="14" t="s">
        <v>6039</v>
      </c>
      <c r="J1229" s="14" t="s">
        <v>6012</v>
      </c>
      <c r="K1229" s="14" t="s">
        <v>6012</v>
      </c>
      <c r="L1229" s="14"/>
    </row>
    <row r="1230">
      <c r="A1230" s="14">
        <v>0.0</v>
      </c>
      <c r="B1230" s="14">
        <v>0.0</v>
      </c>
      <c r="C1230" s="34"/>
      <c r="D1230" s="36">
        <v>44754.0</v>
      </c>
      <c r="E1230" s="24"/>
      <c r="F1230" s="14" t="s">
        <v>6012</v>
      </c>
      <c r="G1230" s="14" t="s">
        <v>6012</v>
      </c>
      <c r="H1230" s="14" t="s">
        <v>6012</v>
      </c>
      <c r="I1230" s="14" t="s">
        <v>6027</v>
      </c>
      <c r="J1230" s="14" t="s">
        <v>6012</v>
      </c>
      <c r="K1230" s="14" t="s">
        <v>6012</v>
      </c>
      <c r="L1230" s="14"/>
    </row>
    <row r="1231">
      <c r="A1231" s="14">
        <v>1988.0</v>
      </c>
      <c r="B1231" s="14">
        <v>17.0</v>
      </c>
      <c r="C1231" s="34">
        <v>31.14</v>
      </c>
      <c r="D1231" s="36">
        <v>44754.0</v>
      </c>
      <c r="E1231" s="24"/>
      <c r="F1231" s="14">
        <v>1.83</v>
      </c>
      <c r="G1231" s="14">
        <v>15.66</v>
      </c>
      <c r="H1231" s="14">
        <v>0.86</v>
      </c>
      <c r="I1231" s="14" t="s">
        <v>6043</v>
      </c>
      <c r="J1231" s="14">
        <v>94.12</v>
      </c>
      <c r="K1231" s="14">
        <v>1.95</v>
      </c>
      <c r="L1231" s="14">
        <v>0.0</v>
      </c>
    </row>
    <row r="1232">
      <c r="A1232" s="14">
        <v>1154.0</v>
      </c>
      <c r="B1232" s="14">
        <v>16.0</v>
      </c>
      <c r="C1232" s="34">
        <v>20.91</v>
      </c>
      <c r="D1232" s="36">
        <v>44754.0</v>
      </c>
      <c r="E1232" s="24"/>
      <c r="F1232" s="14">
        <v>1.31</v>
      </c>
      <c r="G1232" s="14">
        <v>18.12</v>
      </c>
      <c r="H1232" s="14">
        <v>1.39</v>
      </c>
      <c r="I1232" s="14" t="s">
        <v>6044</v>
      </c>
      <c r="J1232" s="14">
        <v>31.25</v>
      </c>
      <c r="K1232" s="14">
        <v>4.18</v>
      </c>
      <c r="L1232" s="14">
        <v>0.0</v>
      </c>
    </row>
    <row r="1233">
      <c r="A1233" s="14">
        <v>0.0</v>
      </c>
      <c r="B1233" s="14">
        <v>0.0</v>
      </c>
      <c r="C1233" s="34"/>
      <c r="D1233" s="36">
        <v>44755.0</v>
      </c>
      <c r="E1233" s="24"/>
      <c r="F1233" s="14" t="s">
        <v>6012</v>
      </c>
      <c r="G1233" s="14" t="s">
        <v>6012</v>
      </c>
      <c r="H1233" s="14" t="s">
        <v>6012</v>
      </c>
      <c r="I1233" s="14" t="s">
        <v>6038</v>
      </c>
      <c r="J1233" s="14" t="s">
        <v>6012</v>
      </c>
      <c r="K1233" s="14" t="s">
        <v>6012</v>
      </c>
      <c r="L1233" s="14"/>
    </row>
    <row r="1234">
      <c r="A1234" s="14">
        <v>0.0</v>
      </c>
      <c r="B1234" s="14">
        <v>0.0</v>
      </c>
      <c r="C1234" s="34"/>
      <c r="D1234" s="36">
        <v>44755.0</v>
      </c>
      <c r="E1234" s="24"/>
      <c r="F1234" s="14" t="s">
        <v>6012</v>
      </c>
      <c r="G1234" s="14" t="s">
        <v>6012</v>
      </c>
      <c r="H1234" s="14" t="s">
        <v>6012</v>
      </c>
      <c r="I1234" s="14" t="s">
        <v>6032</v>
      </c>
      <c r="J1234" s="14" t="s">
        <v>6012</v>
      </c>
      <c r="K1234" s="14" t="s">
        <v>6012</v>
      </c>
      <c r="L1234" s="14"/>
    </row>
    <row r="1235">
      <c r="A1235" s="14">
        <v>2252.0</v>
      </c>
      <c r="B1235" s="14">
        <v>15.0</v>
      </c>
      <c r="C1235" s="34">
        <v>32.31</v>
      </c>
      <c r="D1235" s="36">
        <v>44755.0</v>
      </c>
      <c r="E1235" s="24"/>
      <c r="F1235" s="14">
        <v>2.15</v>
      </c>
      <c r="G1235" s="14">
        <v>14.35</v>
      </c>
      <c r="H1235" s="14">
        <v>0.67</v>
      </c>
      <c r="I1235" s="14" t="s">
        <v>6043</v>
      </c>
      <c r="J1235" s="14">
        <v>120.0</v>
      </c>
      <c r="K1235" s="14">
        <v>1.8</v>
      </c>
      <c r="L1235" s="14">
        <v>0.0</v>
      </c>
    </row>
    <row r="1236">
      <c r="A1236" s="14">
        <v>0.0</v>
      </c>
      <c r="B1236" s="14">
        <v>0.0</v>
      </c>
      <c r="C1236" s="34"/>
      <c r="D1236" s="36">
        <v>44755.0</v>
      </c>
      <c r="E1236" s="24"/>
      <c r="F1236" s="14" t="s">
        <v>6012</v>
      </c>
      <c r="G1236" s="14" t="s">
        <v>6012</v>
      </c>
      <c r="H1236" s="14" t="s">
        <v>6012</v>
      </c>
      <c r="I1236" s="14" t="s">
        <v>6028</v>
      </c>
      <c r="J1236" s="14" t="s">
        <v>6012</v>
      </c>
      <c r="K1236" s="14" t="s">
        <v>6012</v>
      </c>
      <c r="L1236" s="14"/>
    </row>
    <row r="1237">
      <c r="A1237" s="14">
        <v>355.0</v>
      </c>
      <c r="B1237" s="14">
        <v>2.0</v>
      </c>
      <c r="C1237" s="34">
        <v>22.5</v>
      </c>
      <c r="D1237" s="36">
        <v>44755.0</v>
      </c>
      <c r="E1237" s="24"/>
      <c r="F1237" s="14">
        <v>11.25</v>
      </c>
      <c r="G1237" s="14">
        <v>63.38</v>
      </c>
      <c r="H1237" s="14">
        <v>0.56</v>
      </c>
      <c r="I1237" s="14" t="s">
        <v>6042</v>
      </c>
      <c r="J1237" s="14">
        <v>150.0</v>
      </c>
      <c r="K1237" s="14">
        <v>7.5</v>
      </c>
      <c r="L1237" s="14">
        <v>0.0</v>
      </c>
    </row>
    <row r="1238">
      <c r="A1238" s="14">
        <v>0.0</v>
      </c>
      <c r="B1238" s="14">
        <v>0.0</v>
      </c>
      <c r="C1238" s="34"/>
      <c r="D1238" s="36">
        <v>44755.0</v>
      </c>
      <c r="E1238" s="24"/>
      <c r="F1238" s="14" t="s">
        <v>6012</v>
      </c>
      <c r="G1238" s="14" t="s">
        <v>6012</v>
      </c>
      <c r="H1238" s="14" t="s">
        <v>6012</v>
      </c>
      <c r="I1238" s="14" t="s">
        <v>6039</v>
      </c>
      <c r="J1238" s="14" t="s">
        <v>6012</v>
      </c>
      <c r="K1238" s="14" t="s">
        <v>6012</v>
      </c>
      <c r="L1238" s="14"/>
    </row>
    <row r="1239">
      <c r="A1239" s="14">
        <v>859.0</v>
      </c>
      <c r="B1239" s="14">
        <v>12.0</v>
      </c>
      <c r="C1239" s="34">
        <v>21.27</v>
      </c>
      <c r="D1239" s="36">
        <v>44755.0</v>
      </c>
      <c r="E1239" s="24"/>
      <c r="F1239" s="14">
        <v>1.77</v>
      </c>
      <c r="G1239" s="14">
        <v>24.76</v>
      </c>
      <c r="H1239" s="14">
        <v>1.4</v>
      </c>
      <c r="I1239" s="14" t="s">
        <v>6044</v>
      </c>
      <c r="J1239" s="14">
        <v>33.33</v>
      </c>
      <c r="K1239" s="14">
        <v>5.32</v>
      </c>
      <c r="L1239" s="14">
        <v>0.0</v>
      </c>
    </row>
    <row r="1240">
      <c r="A1240" s="14">
        <v>0.0</v>
      </c>
      <c r="B1240" s="14">
        <v>0.0</v>
      </c>
      <c r="C1240" s="34"/>
      <c r="D1240" s="36">
        <v>44755.0</v>
      </c>
      <c r="E1240" s="24"/>
      <c r="F1240" s="14" t="s">
        <v>6012</v>
      </c>
      <c r="G1240" s="14" t="s">
        <v>6012</v>
      </c>
      <c r="H1240" s="14" t="s">
        <v>6012</v>
      </c>
      <c r="I1240" s="14" t="s">
        <v>6037</v>
      </c>
      <c r="J1240" s="14" t="s">
        <v>6012</v>
      </c>
      <c r="K1240" s="14" t="s">
        <v>6012</v>
      </c>
      <c r="L1240" s="14"/>
    </row>
    <row r="1241">
      <c r="A1241" s="14">
        <v>0.0</v>
      </c>
      <c r="B1241" s="14">
        <v>0.0</v>
      </c>
      <c r="C1241" s="34"/>
      <c r="D1241" s="36">
        <v>44755.0</v>
      </c>
      <c r="E1241" s="24"/>
      <c r="F1241" s="14" t="s">
        <v>6012</v>
      </c>
      <c r="G1241" s="14" t="s">
        <v>6012</v>
      </c>
      <c r="H1241" s="14" t="s">
        <v>6012</v>
      </c>
      <c r="I1241" s="14" t="s">
        <v>6027</v>
      </c>
      <c r="J1241" s="14" t="s">
        <v>6012</v>
      </c>
      <c r="K1241" s="14" t="s">
        <v>6012</v>
      </c>
      <c r="L1241" s="14"/>
    </row>
    <row r="1242">
      <c r="A1242" s="14">
        <v>610.0</v>
      </c>
      <c r="B1242" s="14">
        <v>2.0</v>
      </c>
      <c r="C1242" s="34">
        <v>32.58</v>
      </c>
      <c r="D1242" s="36">
        <v>44755.0</v>
      </c>
      <c r="E1242" s="24"/>
      <c r="F1242" s="14">
        <v>16.29</v>
      </c>
      <c r="G1242" s="14">
        <v>53.41</v>
      </c>
      <c r="H1242" s="14">
        <v>0.33</v>
      </c>
      <c r="I1242" s="14" t="s">
        <v>6036</v>
      </c>
      <c r="J1242" s="14">
        <v>400.0</v>
      </c>
      <c r="K1242" s="14">
        <v>4.07</v>
      </c>
      <c r="L1242" s="14">
        <v>0.0</v>
      </c>
    </row>
    <row r="1243">
      <c r="A1243" s="14">
        <v>0.0</v>
      </c>
      <c r="B1243" s="14">
        <v>0.0</v>
      </c>
      <c r="C1243" s="34"/>
      <c r="D1243" s="36">
        <v>44756.0</v>
      </c>
      <c r="E1243" s="24"/>
      <c r="F1243" s="14" t="s">
        <v>6012</v>
      </c>
      <c r="G1243" s="14" t="s">
        <v>6012</v>
      </c>
      <c r="H1243" s="14" t="s">
        <v>6012</v>
      </c>
      <c r="I1243" s="14" t="s">
        <v>6037</v>
      </c>
      <c r="J1243" s="14" t="s">
        <v>6012</v>
      </c>
      <c r="K1243" s="14" t="s">
        <v>6012</v>
      </c>
      <c r="L1243" s="14"/>
    </row>
    <row r="1244">
      <c r="A1244" s="14">
        <v>815.0</v>
      </c>
      <c r="B1244" s="14">
        <v>6.0</v>
      </c>
      <c r="C1244" s="34">
        <v>31.17</v>
      </c>
      <c r="D1244" s="36">
        <v>44756.0</v>
      </c>
      <c r="E1244" s="24"/>
      <c r="F1244" s="14">
        <v>5.2</v>
      </c>
      <c r="G1244" s="14">
        <v>38.25</v>
      </c>
      <c r="H1244" s="14">
        <v>0.74</v>
      </c>
      <c r="I1244" s="14" t="s">
        <v>6036</v>
      </c>
      <c r="J1244" s="14">
        <v>33.33</v>
      </c>
      <c r="K1244" s="14">
        <v>15.58</v>
      </c>
      <c r="L1244" s="14">
        <v>0.0</v>
      </c>
    </row>
    <row r="1245">
      <c r="A1245" s="14">
        <v>2224.0</v>
      </c>
      <c r="B1245" s="14">
        <v>17.0</v>
      </c>
      <c r="C1245" s="34">
        <v>30.8</v>
      </c>
      <c r="D1245" s="36">
        <v>44756.0</v>
      </c>
      <c r="E1245" s="24"/>
      <c r="F1245" s="14">
        <v>1.81</v>
      </c>
      <c r="G1245" s="14">
        <v>13.85</v>
      </c>
      <c r="H1245" s="14">
        <v>0.76</v>
      </c>
      <c r="I1245" s="14" t="s">
        <v>6043</v>
      </c>
      <c r="J1245" s="14">
        <v>41.18</v>
      </c>
      <c r="K1245" s="14">
        <v>4.4</v>
      </c>
      <c r="L1245" s="14">
        <v>0.0</v>
      </c>
    </row>
    <row r="1246">
      <c r="A1246" s="14">
        <v>0.0</v>
      </c>
      <c r="B1246" s="14">
        <v>0.0</v>
      </c>
      <c r="C1246" s="34"/>
      <c r="D1246" s="36">
        <v>44756.0</v>
      </c>
      <c r="E1246" s="24"/>
      <c r="F1246" s="14" t="s">
        <v>6012</v>
      </c>
      <c r="G1246" s="14" t="s">
        <v>6012</v>
      </c>
      <c r="H1246" s="14" t="s">
        <v>6012</v>
      </c>
      <c r="I1246" s="14" t="s">
        <v>6031</v>
      </c>
      <c r="J1246" s="14" t="s">
        <v>6012</v>
      </c>
      <c r="K1246" s="14" t="s">
        <v>6012</v>
      </c>
      <c r="L1246" s="14"/>
    </row>
    <row r="1247">
      <c r="A1247" s="14">
        <v>809.0</v>
      </c>
      <c r="B1247" s="14">
        <v>11.0</v>
      </c>
      <c r="C1247" s="34">
        <v>19.9</v>
      </c>
      <c r="D1247" s="36">
        <v>44756.0</v>
      </c>
      <c r="E1247" s="24"/>
      <c r="F1247" s="14">
        <v>1.81</v>
      </c>
      <c r="G1247" s="14">
        <v>24.6</v>
      </c>
      <c r="H1247" s="14">
        <v>1.36</v>
      </c>
      <c r="I1247" s="14" t="s">
        <v>6044</v>
      </c>
      <c r="J1247" s="14">
        <v>45.45</v>
      </c>
      <c r="K1247" s="14">
        <v>3.98</v>
      </c>
      <c r="L1247" s="14">
        <v>0.0</v>
      </c>
    </row>
    <row r="1248">
      <c r="A1248" s="14">
        <v>0.0</v>
      </c>
      <c r="B1248" s="14">
        <v>0.0</v>
      </c>
      <c r="C1248" s="34"/>
      <c r="D1248" s="36">
        <v>44756.0</v>
      </c>
      <c r="E1248" s="24"/>
      <c r="F1248" s="14" t="s">
        <v>6012</v>
      </c>
      <c r="G1248" s="14" t="s">
        <v>6012</v>
      </c>
      <c r="H1248" s="14" t="s">
        <v>6012</v>
      </c>
      <c r="I1248" s="14" t="s">
        <v>6028</v>
      </c>
      <c r="J1248" s="14" t="s">
        <v>6012</v>
      </c>
      <c r="K1248" s="14" t="s">
        <v>6012</v>
      </c>
      <c r="L1248" s="14"/>
    </row>
    <row r="1249">
      <c r="A1249" s="14">
        <v>383.0</v>
      </c>
      <c r="B1249" s="14">
        <v>1.0</v>
      </c>
      <c r="C1249" s="34">
        <v>21.22</v>
      </c>
      <c r="D1249" s="36">
        <v>44756.0</v>
      </c>
      <c r="E1249" s="24"/>
      <c r="F1249" s="14">
        <v>21.22</v>
      </c>
      <c r="G1249" s="14">
        <v>55.4</v>
      </c>
      <c r="H1249" s="14">
        <v>0.26</v>
      </c>
      <c r="I1249" s="14" t="s">
        <v>6042</v>
      </c>
      <c r="J1249" s="14">
        <v>300.0</v>
      </c>
      <c r="K1249" s="14">
        <v>7.07</v>
      </c>
      <c r="L1249" s="14">
        <v>0.0</v>
      </c>
    </row>
    <row r="1250">
      <c r="A1250" s="14">
        <v>0.0</v>
      </c>
      <c r="B1250" s="14">
        <v>0.0</v>
      </c>
      <c r="C1250" s="24"/>
      <c r="D1250" s="36">
        <v>44756.0</v>
      </c>
      <c r="E1250" s="24"/>
      <c r="F1250" s="14" t="s">
        <v>6012</v>
      </c>
      <c r="G1250" s="14" t="s">
        <v>6012</v>
      </c>
      <c r="H1250" s="14" t="s">
        <v>6012</v>
      </c>
      <c r="I1250" s="14" t="s">
        <v>6039</v>
      </c>
      <c r="J1250" s="14" t="s">
        <v>6012</v>
      </c>
      <c r="K1250" s="14" t="s">
        <v>6012</v>
      </c>
      <c r="L1250" s="24"/>
    </row>
    <row r="1251">
      <c r="A1251" s="14">
        <v>0.0</v>
      </c>
      <c r="B1251" s="14">
        <v>0.0</v>
      </c>
      <c r="C1251" s="34"/>
      <c r="D1251" s="36">
        <v>44757.0</v>
      </c>
      <c r="E1251" s="24"/>
      <c r="F1251" s="14" t="s">
        <v>6012</v>
      </c>
      <c r="G1251" s="14" t="s">
        <v>6012</v>
      </c>
      <c r="H1251" s="14" t="s">
        <v>6012</v>
      </c>
      <c r="I1251" s="14" t="s">
        <v>6028</v>
      </c>
      <c r="J1251" s="14" t="s">
        <v>6012</v>
      </c>
      <c r="K1251" s="14" t="s">
        <v>6012</v>
      </c>
      <c r="L1251" s="14"/>
    </row>
    <row r="1252">
      <c r="A1252" s="14">
        <v>610.0</v>
      </c>
      <c r="B1252" s="14">
        <v>14.0</v>
      </c>
      <c r="C1252" s="34">
        <v>17.55</v>
      </c>
      <c r="D1252" s="36">
        <v>44757.0</v>
      </c>
      <c r="E1252" s="24"/>
      <c r="F1252" s="14">
        <v>1.25</v>
      </c>
      <c r="G1252" s="14">
        <v>28.77</v>
      </c>
      <c r="H1252" s="14">
        <v>2.3</v>
      </c>
      <c r="I1252" s="14" t="s">
        <v>6044</v>
      </c>
      <c r="J1252" s="14">
        <v>28.57</v>
      </c>
      <c r="K1252" s="14">
        <v>4.39</v>
      </c>
      <c r="L1252" s="14">
        <v>0.0</v>
      </c>
    </row>
    <row r="1253">
      <c r="A1253" s="14">
        <v>2300.0</v>
      </c>
      <c r="B1253" s="14">
        <v>17.0</v>
      </c>
      <c r="C1253" s="34">
        <v>27.23</v>
      </c>
      <c r="D1253" s="36">
        <v>44757.0</v>
      </c>
      <c r="E1253" s="24"/>
      <c r="F1253" s="14">
        <v>1.6</v>
      </c>
      <c r="G1253" s="14">
        <v>11.84</v>
      </c>
      <c r="H1253" s="14">
        <v>0.74</v>
      </c>
      <c r="I1253" s="14" t="s">
        <v>6043</v>
      </c>
      <c r="J1253" s="14">
        <v>123.53</v>
      </c>
      <c r="K1253" s="14">
        <v>1.3</v>
      </c>
      <c r="L1253" s="14">
        <v>0.0</v>
      </c>
    </row>
    <row r="1254">
      <c r="A1254" s="14">
        <v>373.0</v>
      </c>
      <c r="B1254" s="14">
        <v>3.0</v>
      </c>
      <c r="C1254" s="34">
        <v>17.25</v>
      </c>
      <c r="D1254" s="36">
        <v>44757.0</v>
      </c>
      <c r="E1254" s="24"/>
      <c r="F1254" s="14">
        <v>5.75</v>
      </c>
      <c r="G1254" s="14">
        <v>46.25</v>
      </c>
      <c r="H1254" s="14">
        <v>0.8</v>
      </c>
      <c r="I1254" s="14" t="s">
        <v>6042</v>
      </c>
      <c r="J1254" s="14">
        <v>66.67</v>
      </c>
      <c r="K1254" s="14">
        <v>8.62</v>
      </c>
      <c r="L1254" s="14">
        <v>0.0</v>
      </c>
    </row>
    <row r="1255">
      <c r="A1255" s="14">
        <v>515.0</v>
      </c>
      <c r="B1255" s="14">
        <v>3.0</v>
      </c>
      <c r="C1255" s="34">
        <v>27.41</v>
      </c>
      <c r="D1255" s="36">
        <v>44757.0</v>
      </c>
      <c r="E1255" s="24"/>
      <c r="F1255" s="14">
        <v>9.14</v>
      </c>
      <c r="G1255" s="14">
        <v>53.22</v>
      </c>
      <c r="H1255" s="14">
        <v>0.58</v>
      </c>
      <c r="I1255" s="14" t="s">
        <v>6036</v>
      </c>
      <c r="J1255" s="14">
        <v>300.0</v>
      </c>
      <c r="K1255" s="14">
        <v>3.05</v>
      </c>
      <c r="L1255" s="14">
        <v>0.0</v>
      </c>
    </row>
    <row r="1256">
      <c r="A1256" s="14">
        <v>344.0</v>
      </c>
      <c r="B1256" s="14">
        <v>6.0</v>
      </c>
      <c r="C1256" s="34">
        <v>7.64</v>
      </c>
      <c r="D1256" s="36">
        <v>44758.0</v>
      </c>
      <c r="E1256" s="24"/>
      <c r="F1256" s="14">
        <v>1.27</v>
      </c>
      <c r="G1256" s="14">
        <v>22.21</v>
      </c>
      <c r="H1256" s="14">
        <v>1.74</v>
      </c>
      <c r="I1256" s="14" t="s">
        <v>6044</v>
      </c>
      <c r="J1256" s="14">
        <v>33.33</v>
      </c>
      <c r="K1256" s="14">
        <v>3.82</v>
      </c>
      <c r="L1256" s="14">
        <v>0.0</v>
      </c>
    </row>
    <row r="1257">
      <c r="A1257" s="14">
        <v>112.0</v>
      </c>
      <c r="B1257" s="14">
        <v>2.0</v>
      </c>
      <c r="C1257" s="34">
        <v>7.96</v>
      </c>
      <c r="D1257" s="36">
        <v>44758.0</v>
      </c>
      <c r="E1257" s="24"/>
      <c r="F1257" s="14">
        <v>3.98</v>
      </c>
      <c r="G1257" s="14">
        <v>71.07</v>
      </c>
      <c r="H1257" s="14">
        <v>1.79</v>
      </c>
      <c r="I1257" s="14" t="s">
        <v>6042</v>
      </c>
      <c r="J1257" s="14">
        <v>100.0</v>
      </c>
      <c r="K1257" s="14">
        <v>3.98</v>
      </c>
      <c r="L1257" s="14">
        <v>0.0</v>
      </c>
    </row>
    <row r="1258">
      <c r="A1258" s="14">
        <v>1454.0</v>
      </c>
      <c r="B1258" s="14">
        <v>6.0</v>
      </c>
      <c r="C1258" s="34">
        <v>13.0</v>
      </c>
      <c r="D1258" s="36">
        <v>44758.0</v>
      </c>
      <c r="E1258" s="24"/>
      <c r="F1258" s="14">
        <v>2.17</v>
      </c>
      <c r="G1258" s="14">
        <v>8.94</v>
      </c>
      <c r="H1258" s="14">
        <v>0.41</v>
      </c>
      <c r="I1258" s="14" t="s">
        <v>6043</v>
      </c>
      <c r="J1258" s="14">
        <v>133.33</v>
      </c>
      <c r="K1258" s="14">
        <v>1.62</v>
      </c>
      <c r="L1258" s="14">
        <v>0.0</v>
      </c>
    </row>
    <row r="1259">
      <c r="A1259" s="14">
        <v>330.0</v>
      </c>
      <c r="B1259" s="14">
        <v>3.0</v>
      </c>
      <c r="C1259" s="34">
        <v>13.03</v>
      </c>
      <c r="D1259" s="36">
        <v>44758.0</v>
      </c>
      <c r="E1259" s="24"/>
      <c r="F1259" s="14">
        <v>4.34</v>
      </c>
      <c r="G1259" s="14">
        <v>39.48</v>
      </c>
      <c r="H1259" s="14">
        <v>0.91</v>
      </c>
      <c r="I1259" s="14" t="s">
        <v>6036</v>
      </c>
      <c r="J1259" s="14">
        <v>100.0</v>
      </c>
      <c r="K1259" s="14">
        <v>4.34</v>
      </c>
      <c r="L1259" s="14">
        <v>0.0</v>
      </c>
    </row>
    <row r="1260">
      <c r="A1260" s="14">
        <v>128.0</v>
      </c>
      <c r="B1260" s="14">
        <v>2.0</v>
      </c>
      <c r="C1260" s="34">
        <v>7.22</v>
      </c>
      <c r="D1260" s="36">
        <v>44759.0</v>
      </c>
      <c r="E1260" s="24"/>
      <c r="F1260" s="14">
        <v>3.61</v>
      </c>
      <c r="G1260" s="14">
        <v>56.41</v>
      </c>
      <c r="H1260" s="14">
        <v>1.56</v>
      </c>
      <c r="I1260" s="14" t="s">
        <v>6042</v>
      </c>
      <c r="J1260" s="14">
        <v>250.0</v>
      </c>
      <c r="K1260" s="14">
        <v>1.44</v>
      </c>
      <c r="L1260" s="14">
        <v>0.0</v>
      </c>
    </row>
    <row r="1261">
      <c r="A1261" s="14">
        <v>358.0</v>
      </c>
      <c r="B1261" s="14">
        <v>6.0</v>
      </c>
      <c r="C1261" s="34">
        <v>6.8</v>
      </c>
      <c r="D1261" s="36">
        <v>44759.0</v>
      </c>
      <c r="E1261" s="24"/>
      <c r="F1261" s="14">
        <v>1.13</v>
      </c>
      <c r="G1261" s="14">
        <v>18.99</v>
      </c>
      <c r="H1261" s="14">
        <v>1.68</v>
      </c>
      <c r="I1261" s="14" t="s">
        <v>6044</v>
      </c>
      <c r="J1261" s="14">
        <v>150.0</v>
      </c>
      <c r="K1261" s="14">
        <v>0.76</v>
      </c>
      <c r="L1261" s="14">
        <v>0.0</v>
      </c>
    </row>
    <row r="1262">
      <c r="A1262" s="14">
        <v>1327.0</v>
      </c>
      <c r="B1262" s="14">
        <v>10.0</v>
      </c>
      <c r="C1262" s="34">
        <v>12.84</v>
      </c>
      <c r="D1262" s="36">
        <v>44759.0</v>
      </c>
      <c r="E1262" s="24"/>
      <c r="F1262" s="14">
        <v>1.28</v>
      </c>
      <c r="G1262" s="14">
        <v>9.68</v>
      </c>
      <c r="H1262" s="14">
        <v>0.75</v>
      </c>
      <c r="I1262" s="14" t="s">
        <v>6043</v>
      </c>
      <c r="J1262" s="14">
        <v>70.0</v>
      </c>
      <c r="K1262" s="14">
        <v>1.83</v>
      </c>
      <c r="L1262" s="14">
        <v>0.0</v>
      </c>
    </row>
    <row r="1263">
      <c r="A1263" s="14">
        <v>315.0</v>
      </c>
      <c r="B1263" s="14">
        <v>2.0</v>
      </c>
      <c r="C1263" s="34">
        <v>13.24</v>
      </c>
      <c r="D1263" s="36">
        <v>44759.0</v>
      </c>
      <c r="E1263" s="24"/>
      <c r="F1263" s="14">
        <v>6.62</v>
      </c>
      <c r="G1263" s="14">
        <v>42.03</v>
      </c>
      <c r="H1263" s="14">
        <v>0.63</v>
      </c>
      <c r="I1263" s="14" t="s">
        <v>6036</v>
      </c>
      <c r="J1263" s="14">
        <v>200.0</v>
      </c>
      <c r="K1263" s="14">
        <v>3.31</v>
      </c>
      <c r="L1263" s="14">
        <v>0.0</v>
      </c>
    </row>
    <row r="1264">
      <c r="A1264" s="14">
        <v>399.0</v>
      </c>
      <c r="B1264" s="14">
        <v>3.0</v>
      </c>
      <c r="C1264" s="34">
        <v>16.68</v>
      </c>
      <c r="D1264" s="36">
        <v>44760.0</v>
      </c>
      <c r="E1264" s="24"/>
      <c r="F1264" s="14">
        <v>5.56</v>
      </c>
      <c r="G1264" s="14">
        <v>41.8</v>
      </c>
      <c r="H1264" s="14">
        <v>0.75</v>
      </c>
      <c r="I1264" s="14" t="s">
        <v>6042</v>
      </c>
      <c r="J1264" s="14">
        <v>33.33</v>
      </c>
      <c r="K1264" s="14">
        <v>16.68</v>
      </c>
      <c r="L1264" s="14">
        <v>0.0</v>
      </c>
    </row>
    <row r="1265">
      <c r="A1265" s="14">
        <v>790.0</v>
      </c>
      <c r="B1265" s="14">
        <v>4.0</v>
      </c>
      <c r="C1265" s="34">
        <v>25.99</v>
      </c>
      <c r="D1265" s="36">
        <v>44760.0</v>
      </c>
      <c r="E1265" s="24"/>
      <c r="F1265" s="14">
        <v>6.5</v>
      </c>
      <c r="G1265" s="14">
        <v>32.9</v>
      </c>
      <c r="H1265" s="14">
        <v>0.51</v>
      </c>
      <c r="I1265" s="14" t="s">
        <v>6036</v>
      </c>
      <c r="J1265" s="14">
        <v>125.0</v>
      </c>
      <c r="K1265" s="14">
        <v>5.2</v>
      </c>
      <c r="L1265" s="14">
        <v>0.0</v>
      </c>
    </row>
    <row r="1266">
      <c r="A1266" s="14">
        <v>783.0</v>
      </c>
      <c r="B1266" s="14">
        <v>4.0</v>
      </c>
      <c r="C1266" s="34">
        <v>16.93</v>
      </c>
      <c r="D1266" s="36">
        <v>44760.0</v>
      </c>
      <c r="E1266" s="24"/>
      <c r="F1266" s="14">
        <v>4.23</v>
      </c>
      <c r="G1266" s="14">
        <v>21.62</v>
      </c>
      <c r="H1266" s="14">
        <v>0.51</v>
      </c>
      <c r="I1266" s="14" t="s">
        <v>6044</v>
      </c>
      <c r="J1266" s="14">
        <v>50.0</v>
      </c>
      <c r="K1266" s="14">
        <v>8.46</v>
      </c>
      <c r="L1266" s="14">
        <v>0.0</v>
      </c>
    </row>
    <row r="1267">
      <c r="A1267" s="14">
        <v>0.0</v>
      </c>
      <c r="B1267" s="14">
        <v>0.0</v>
      </c>
      <c r="C1267" s="34"/>
      <c r="D1267" s="36">
        <v>44760.0</v>
      </c>
      <c r="E1267" s="24"/>
      <c r="F1267" s="14" t="s">
        <v>6012</v>
      </c>
      <c r="G1267" s="14" t="s">
        <v>6012</v>
      </c>
      <c r="H1267" s="14" t="s">
        <v>6012</v>
      </c>
      <c r="I1267" s="14" t="s">
        <v>6026</v>
      </c>
      <c r="J1267" s="14" t="s">
        <v>6012</v>
      </c>
      <c r="K1267" s="14" t="s">
        <v>6012</v>
      </c>
      <c r="L1267" s="14"/>
    </row>
    <row r="1268">
      <c r="A1268" s="14">
        <v>1481.0</v>
      </c>
      <c r="B1268" s="14">
        <v>5.0</v>
      </c>
      <c r="C1268" s="34">
        <v>14.24</v>
      </c>
      <c r="D1268" s="36">
        <v>44760.0</v>
      </c>
      <c r="E1268" s="24"/>
      <c r="F1268" s="14">
        <v>2.85</v>
      </c>
      <c r="G1268" s="14">
        <v>9.62</v>
      </c>
      <c r="H1268" s="14">
        <v>0.34</v>
      </c>
      <c r="I1268" s="14" t="s">
        <v>6043</v>
      </c>
      <c r="J1268" s="14">
        <v>60.0</v>
      </c>
      <c r="K1268" s="14">
        <v>4.75</v>
      </c>
      <c r="L1268" s="14">
        <v>0.0</v>
      </c>
    </row>
    <row r="1269">
      <c r="A1269" s="14">
        <v>301.0</v>
      </c>
      <c r="B1269" s="14">
        <v>2.0</v>
      </c>
      <c r="C1269" s="34">
        <v>7.28</v>
      </c>
      <c r="D1269" s="36">
        <v>44761.0</v>
      </c>
      <c r="E1269" s="24"/>
      <c r="F1269" s="14">
        <v>3.64</v>
      </c>
      <c r="G1269" s="14">
        <v>24.19</v>
      </c>
      <c r="H1269" s="14">
        <v>0.66</v>
      </c>
      <c r="I1269" s="14" t="s">
        <v>6044</v>
      </c>
      <c r="J1269" s="14">
        <v>100.0</v>
      </c>
      <c r="K1269" s="14">
        <v>3.64</v>
      </c>
      <c r="L1269" s="14">
        <v>0.0</v>
      </c>
    </row>
    <row r="1270">
      <c r="A1270" s="14">
        <v>390.0</v>
      </c>
      <c r="B1270" s="14">
        <v>2.0</v>
      </c>
      <c r="C1270" s="34">
        <v>19.01</v>
      </c>
      <c r="D1270" s="36">
        <v>44761.0</v>
      </c>
      <c r="E1270" s="24"/>
      <c r="F1270" s="14">
        <v>9.51</v>
      </c>
      <c r="G1270" s="14">
        <v>48.74</v>
      </c>
      <c r="H1270" s="14">
        <v>0.51</v>
      </c>
      <c r="I1270" s="14" t="s">
        <v>6042</v>
      </c>
      <c r="J1270" s="14">
        <v>100.0</v>
      </c>
      <c r="K1270" s="14">
        <v>9.51</v>
      </c>
      <c r="L1270" s="14">
        <v>0.0</v>
      </c>
    </row>
    <row r="1271">
      <c r="A1271" s="14">
        <v>0.0</v>
      </c>
      <c r="B1271" s="14">
        <v>0.0</v>
      </c>
      <c r="C1271" s="34"/>
      <c r="D1271" s="36">
        <v>44761.0</v>
      </c>
      <c r="E1271" s="24"/>
      <c r="F1271" s="14" t="s">
        <v>6012</v>
      </c>
      <c r="G1271" s="14" t="s">
        <v>6012</v>
      </c>
      <c r="H1271" s="14" t="s">
        <v>6012</v>
      </c>
      <c r="I1271" s="14" t="s">
        <v>6043</v>
      </c>
      <c r="J1271" s="14" t="s">
        <v>6012</v>
      </c>
      <c r="K1271" s="14" t="s">
        <v>6012</v>
      </c>
      <c r="L1271" s="14"/>
    </row>
    <row r="1272">
      <c r="A1272" s="14">
        <v>805.0</v>
      </c>
      <c r="B1272" s="14">
        <v>3.0</v>
      </c>
      <c r="C1272" s="34">
        <v>31.22</v>
      </c>
      <c r="D1272" s="36">
        <v>44761.0</v>
      </c>
      <c r="E1272" s="24"/>
      <c r="F1272" s="14">
        <v>10.41</v>
      </c>
      <c r="G1272" s="14">
        <v>38.78</v>
      </c>
      <c r="H1272" s="14">
        <v>0.37</v>
      </c>
      <c r="I1272" s="14" t="s">
        <v>6036</v>
      </c>
      <c r="J1272" s="14">
        <v>100.0</v>
      </c>
      <c r="K1272" s="14">
        <v>10.41</v>
      </c>
      <c r="L1272" s="14">
        <v>0.0</v>
      </c>
    </row>
    <row r="1273">
      <c r="A1273" s="14">
        <v>0.0</v>
      </c>
      <c r="B1273" s="14">
        <v>0.0</v>
      </c>
      <c r="C1273" s="34"/>
      <c r="D1273" s="36">
        <v>44762.0</v>
      </c>
      <c r="E1273" s="24"/>
      <c r="F1273" s="14" t="s">
        <v>6012</v>
      </c>
      <c r="G1273" s="14" t="s">
        <v>6012</v>
      </c>
      <c r="H1273" s="14" t="s">
        <v>6012</v>
      </c>
      <c r="I1273" s="14" t="s">
        <v>6043</v>
      </c>
      <c r="J1273" s="14" t="s">
        <v>6012</v>
      </c>
      <c r="K1273" s="14" t="s">
        <v>6012</v>
      </c>
      <c r="L1273" s="14"/>
    </row>
    <row r="1274">
      <c r="A1274" s="14">
        <v>700.0</v>
      </c>
      <c r="B1274" s="14">
        <v>4.0</v>
      </c>
      <c r="C1274" s="34">
        <v>32.25</v>
      </c>
      <c r="D1274" s="36">
        <v>44762.0</v>
      </c>
      <c r="E1274" s="24"/>
      <c r="F1274" s="14">
        <v>8.06</v>
      </c>
      <c r="G1274" s="14">
        <v>46.07</v>
      </c>
      <c r="H1274" s="14">
        <v>0.57</v>
      </c>
      <c r="I1274" s="14" t="s">
        <v>6036</v>
      </c>
      <c r="J1274" s="14">
        <v>25.0</v>
      </c>
      <c r="K1274" s="14">
        <v>32.25</v>
      </c>
      <c r="L1274" s="14">
        <v>0.0</v>
      </c>
    </row>
    <row r="1275">
      <c r="A1275" s="14">
        <v>449.0</v>
      </c>
      <c r="B1275" s="14">
        <v>0.0</v>
      </c>
      <c r="C1275" s="34">
        <v>20.38</v>
      </c>
      <c r="D1275" s="36">
        <v>44762.0</v>
      </c>
      <c r="E1275" s="24"/>
      <c r="F1275" s="14" t="s">
        <v>6012</v>
      </c>
      <c r="G1275" s="14">
        <v>45.39</v>
      </c>
      <c r="H1275" s="14">
        <v>0.0</v>
      </c>
      <c r="I1275" s="14" t="s">
        <v>6042</v>
      </c>
      <c r="J1275" s="14" t="s">
        <v>6012</v>
      </c>
      <c r="K1275" s="14" t="s">
        <v>6012</v>
      </c>
      <c r="L1275" s="14">
        <v>0.0</v>
      </c>
    </row>
    <row r="1276">
      <c r="A1276" s="14">
        <v>322.0</v>
      </c>
      <c r="B1276" s="14">
        <v>4.0</v>
      </c>
      <c r="C1276" s="34">
        <v>18.43</v>
      </c>
      <c r="D1276" s="36">
        <v>44763.0</v>
      </c>
      <c r="E1276" s="24"/>
      <c r="F1276" s="14">
        <v>4.61</v>
      </c>
      <c r="G1276" s="14">
        <v>57.24</v>
      </c>
      <c r="H1276" s="14">
        <v>1.24</v>
      </c>
      <c r="I1276" s="14" t="s">
        <v>6042</v>
      </c>
      <c r="J1276" s="14">
        <v>0.0</v>
      </c>
      <c r="K1276" s="14" t="s">
        <v>6012</v>
      </c>
      <c r="L1276" s="14">
        <v>0.0</v>
      </c>
    </row>
    <row r="1277">
      <c r="A1277" s="14">
        <v>719.0</v>
      </c>
      <c r="B1277" s="14">
        <v>7.0</v>
      </c>
      <c r="C1277" s="34">
        <v>31.29</v>
      </c>
      <c r="D1277" s="36">
        <v>44763.0</v>
      </c>
      <c r="E1277" s="24"/>
      <c r="F1277" s="14">
        <v>4.47</v>
      </c>
      <c r="G1277" s="14">
        <v>43.52</v>
      </c>
      <c r="H1277" s="14">
        <v>0.97</v>
      </c>
      <c r="I1277" s="14" t="s">
        <v>6036</v>
      </c>
      <c r="J1277" s="14">
        <v>42.86</v>
      </c>
      <c r="K1277" s="14">
        <v>10.43</v>
      </c>
      <c r="L1277" s="14">
        <v>0.0</v>
      </c>
    </row>
    <row r="1278">
      <c r="A1278" s="14">
        <v>0.0</v>
      </c>
      <c r="B1278" s="14">
        <v>0.0</v>
      </c>
      <c r="C1278" s="34"/>
      <c r="D1278" s="36">
        <v>44763.0</v>
      </c>
      <c r="E1278" s="24"/>
      <c r="F1278" s="14" t="s">
        <v>6012</v>
      </c>
      <c r="G1278" s="14" t="s">
        <v>6012</v>
      </c>
      <c r="H1278" s="14" t="s">
        <v>6012</v>
      </c>
      <c r="I1278" s="14" t="s">
        <v>6043</v>
      </c>
      <c r="J1278" s="14" t="s">
        <v>6012</v>
      </c>
      <c r="K1278" s="14" t="s">
        <v>6012</v>
      </c>
      <c r="L1278" s="14"/>
    </row>
    <row r="1279">
      <c r="A1279" s="14">
        <v>0.0</v>
      </c>
      <c r="B1279" s="14">
        <v>0.0</v>
      </c>
      <c r="C1279" s="24"/>
      <c r="D1279" s="36">
        <v>44763.0</v>
      </c>
      <c r="E1279" s="24"/>
      <c r="F1279" s="14" t="s">
        <v>6012</v>
      </c>
      <c r="G1279" s="14" t="s">
        <v>6012</v>
      </c>
      <c r="H1279" s="14" t="s">
        <v>6012</v>
      </c>
      <c r="I1279" s="14" t="s">
        <v>6038</v>
      </c>
      <c r="J1279" s="14" t="s">
        <v>6012</v>
      </c>
      <c r="K1279" s="14" t="s">
        <v>6012</v>
      </c>
      <c r="L1279" s="24"/>
    </row>
    <row r="1280">
      <c r="A1280" s="14">
        <v>665.0</v>
      </c>
      <c r="B1280" s="14">
        <v>3.0</v>
      </c>
      <c r="C1280" s="34">
        <v>27.82</v>
      </c>
      <c r="D1280" s="36">
        <v>44764.0</v>
      </c>
      <c r="E1280" s="24"/>
      <c r="F1280" s="14">
        <v>9.27</v>
      </c>
      <c r="G1280" s="14">
        <v>41.83</v>
      </c>
      <c r="H1280" s="14">
        <v>0.45</v>
      </c>
      <c r="I1280" s="14" t="s">
        <v>6036</v>
      </c>
      <c r="J1280" s="14">
        <v>33.33</v>
      </c>
      <c r="K1280" s="14">
        <v>27.82</v>
      </c>
      <c r="L1280" s="14">
        <v>0.0</v>
      </c>
    </row>
    <row r="1281">
      <c r="A1281" s="14">
        <v>0.0</v>
      </c>
      <c r="B1281" s="14">
        <v>0.0</v>
      </c>
      <c r="C1281" s="34"/>
      <c r="D1281" s="36">
        <v>44764.0</v>
      </c>
      <c r="E1281" s="24"/>
      <c r="F1281" s="14" t="s">
        <v>6012</v>
      </c>
      <c r="G1281" s="14" t="s">
        <v>6012</v>
      </c>
      <c r="H1281" s="14" t="s">
        <v>6012</v>
      </c>
      <c r="I1281" s="14" t="s">
        <v>6043</v>
      </c>
      <c r="J1281" s="14" t="s">
        <v>6012</v>
      </c>
      <c r="K1281" s="14" t="s">
        <v>6012</v>
      </c>
      <c r="L1281" s="14"/>
    </row>
    <row r="1282">
      <c r="A1282" s="14">
        <v>320.0</v>
      </c>
      <c r="B1282" s="14">
        <v>4.0</v>
      </c>
      <c r="C1282" s="34">
        <v>16.85</v>
      </c>
      <c r="D1282" s="36">
        <v>44764.0</v>
      </c>
      <c r="E1282" s="24"/>
      <c r="F1282" s="14">
        <v>4.21</v>
      </c>
      <c r="G1282" s="14">
        <v>52.66</v>
      </c>
      <c r="H1282" s="14">
        <v>1.25</v>
      </c>
      <c r="I1282" s="14" t="s">
        <v>6042</v>
      </c>
      <c r="J1282" s="14">
        <v>75.0</v>
      </c>
      <c r="K1282" s="14">
        <v>5.62</v>
      </c>
      <c r="L1282" s="14">
        <v>0.0</v>
      </c>
    </row>
    <row r="1283">
      <c r="A1283" s="14">
        <v>0.0</v>
      </c>
      <c r="B1283" s="14">
        <v>0.0</v>
      </c>
      <c r="C1283" s="34"/>
      <c r="D1283" s="36">
        <v>44764.0</v>
      </c>
      <c r="E1283" s="24"/>
      <c r="F1283" s="14" t="s">
        <v>6012</v>
      </c>
      <c r="G1283" s="14" t="s">
        <v>6012</v>
      </c>
      <c r="H1283" s="14" t="s">
        <v>6012</v>
      </c>
      <c r="I1283" s="14" t="s">
        <v>6044</v>
      </c>
      <c r="J1283" s="14" t="s">
        <v>6012</v>
      </c>
      <c r="K1283" s="14" t="s">
        <v>6012</v>
      </c>
      <c r="L1283" s="14"/>
    </row>
    <row r="1284">
      <c r="A1284" s="14">
        <v>184.0</v>
      </c>
      <c r="B1284" s="14">
        <v>2.0</v>
      </c>
      <c r="C1284" s="34">
        <v>7.07</v>
      </c>
      <c r="D1284" s="36">
        <v>44765.0</v>
      </c>
      <c r="E1284" s="24"/>
      <c r="F1284" s="14">
        <v>3.54</v>
      </c>
      <c r="G1284" s="14">
        <v>38.42</v>
      </c>
      <c r="H1284" s="14">
        <v>1.09</v>
      </c>
      <c r="I1284" s="14" t="s">
        <v>6042</v>
      </c>
      <c r="J1284" s="14">
        <v>50.0</v>
      </c>
      <c r="K1284" s="14">
        <v>7.07</v>
      </c>
      <c r="L1284" s="14">
        <v>0.0</v>
      </c>
    </row>
    <row r="1285">
      <c r="A1285" s="14">
        <v>353.0</v>
      </c>
      <c r="B1285" s="14">
        <v>4.0</v>
      </c>
      <c r="C1285" s="34">
        <v>13.06</v>
      </c>
      <c r="D1285" s="36">
        <v>44765.0</v>
      </c>
      <c r="E1285" s="24"/>
      <c r="F1285" s="14">
        <v>3.26</v>
      </c>
      <c r="G1285" s="14">
        <v>37.0</v>
      </c>
      <c r="H1285" s="14">
        <v>1.13</v>
      </c>
      <c r="I1285" s="14" t="s">
        <v>6036</v>
      </c>
      <c r="J1285" s="14">
        <v>50.0</v>
      </c>
      <c r="K1285" s="14">
        <v>6.53</v>
      </c>
      <c r="L1285" s="14">
        <v>0.0</v>
      </c>
    </row>
    <row r="1286">
      <c r="A1286" s="14">
        <v>0.0</v>
      </c>
      <c r="B1286" s="14">
        <v>0.0</v>
      </c>
      <c r="C1286" s="34"/>
      <c r="D1286" s="36">
        <v>44765.0</v>
      </c>
      <c r="E1286" s="24"/>
      <c r="F1286" s="14" t="s">
        <v>6012</v>
      </c>
      <c r="G1286" s="14" t="s">
        <v>6012</v>
      </c>
      <c r="H1286" s="14" t="s">
        <v>6012</v>
      </c>
      <c r="I1286" s="14" t="s">
        <v>6043</v>
      </c>
      <c r="J1286" s="14" t="s">
        <v>6012</v>
      </c>
      <c r="K1286" s="14" t="s">
        <v>6012</v>
      </c>
      <c r="L1286" s="14"/>
    </row>
    <row r="1287">
      <c r="A1287" s="14">
        <v>0.0</v>
      </c>
      <c r="B1287" s="14">
        <v>0.0</v>
      </c>
      <c r="C1287" s="24"/>
      <c r="D1287" s="36">
        <v>44765.0</v>
      </c>
      <c r="E1287" s="24"/>
      <c r="F1287" s="14" t="s">
        <v>6012</v>
      </c>
      <c r="G1287" s="14" t="s">
        <v>6012</v>
      </c>
      <c r="H1287" s="14" t="s">
        <v>6012</v>
      </c>
      <c r="I1287" s="14" t="s">
        <v>6044</v>
      </c>
      <c r="J1287" s="14" t="s">
        <v>6012</v>
      </c>
      <c r="K1287" s="14" t="s">
        <v>6012</v>
      </c>
      <c r="L1287" s="24"/>
    </row>
    <row r="1288">
      <c r="A1288" s="14">
        <v>402.0</v>
      </c>
      <c r="B1288" s="14">
        <v>2.0</v>
      </c>
      <c r="C1288" s="34">
        <v>12.79</v>
      </c>
      <c r="D1288" s="36">
        <v>44766.0</v>
      </c>
      <c r="E1288" s="24"/>
      <c r="F1288" s="14">
        <v>6.4</v>
      </c>
      <c r="G1288" s="14">
        <v>31.82</v>
      </c>
      <c r="H1288" s="14">
        <v>0.5</v>
      </c>
      <c r="I1288" s="14" t="s">
        <v>6036</v>
      </c>
      <c r="J1288" s="14">
        <v>0.0</v>
      </c>
      <c r="K1288" s="14" t="s">
        <v>6012</v>
      </c>
      <c r="L1288" s="14">
        <v>0.0</v>
      </c>
    </row>
    <row r="1289">
      <c r="A1289" s="14">
        <v>145.0</v>
      </c>
      <c r="B1289" s="14">
        <v>1.0</v>
      </c>
      <c r="C1289" s="34">
        <v>6.58</v>
      </c>
      <c r="D1289" s="36">
        <v>44766.0</v>
      </c>
      <c r="E1289" s="24"/>
      <c r="F1289" s="14">
        <v>6.58</v>
      </c>
      <c r="G1289" s="14">
        <v>45.38</v>
      </c>
      <c r="H1289" s="14">
        <v>0.69</v>
      </c>
      <c r="I1289" s="14" t="s">
        <v>6042</v>
      </c>
      <c r="J1289" s="14">
        <v>100.0</v>
      </c>
      <c r="K1289" s="14">
        <v>6.58</v>
      </c>
      <c r="L1289" s="14">
        <v>0.0</v>
      </c>
    </row>
    <row r="1290">
      <c r="A1290" s="14">
        <v>0.0</v>
      </c>
      <c r="B1290" s="14">
        <v>0.0</v>
      </c>
      <c r="C1290" s="34"/>
      <c r="D1290" s="36">
        <v>44766.0</v>
      </c>
      <c r="E1290" s="24"/>
      <c r="F1290" s="14" t="s">
        <v>6012</v>
      </c>
      <c r="G1290" s="14" t="s">
        <v>6012</v>
      </c>
      <c r="H1290" s="14" t="s">
        <v>6012</v>
      </c>
      <c r="I1290" s="14" t="s">
        <v>6044</v>
      </c>
      <c r="J1290" s="14" t="s">
        <v>6012</v>
      </c>
      <c r="K1290" s="14" t="s">
        <v>6012</v>
      </c>
      <c r="L1290" s="14"/>
    </row>
    <row r="1291">
      <c r="A1291" s="14">
        <v>0.0</v>
      </c>
      <c r="B1291" s="14">
        <v>0.0</v>
      </c>
      <c r="C1291" s="34"/>
      <c r="D1291" s="36">
        <v>44767.0</v>
      </c>
      <c r="E1291" s="24"/>
      <c r="F1291" s="14" t="s">
        <v>6012</v>
      </c>
      <c r="G1291" s="14" t="s">
        <v>6012</v>
      </c>
      <c r="H1291" s="14" t="s">
        <v>6012</v>
      </c>
      <c r="I1291" s="14" t="s">
        <v>6044</v>
      </c>
      <c r="J1291" s="14" t="s">
        <v>6012</v>
      </c>
      <c r="K1291" s="14" t="s">
        <v>6012</v>
      </c>
      <c r="L1291" s="14"/>
    </row>
    <row r="1292">
      <c r="A1292" s="14">
        <v>685.0</v>
      </c>
      <c r="B1292" s="14">
        <v>2.0</v>
      </c>
      <c r="C1292" s="34">
        <v>27.32</v>
      </c>
      <c r="D1292" s="36">
        <v>44767.0</v>
      </c>
      <c r="E1292" s="24"/>
      <c r="F1292" s="14">
        <v>13.66</v>
      </c>
      <c r="G1292" s="14">
        <v>39.88</v>
      </c>
      <c r="H1292" s="14">
        <v>0.29</v>
      </c>
      <c r="I1292" s="14" t="s">
        <v>6036</v>
      </c>
      <c r="J1292" s="14">
        <v>200.0</v>
      </c>
      <c r="K1292" s="14">
        <v>6.83</v>
      </c>
      <c r="L1292" s="14">
        <v>0.0</v>
      </c>
    </row>
    <row r="1293">
      <c r="A1293" s="14">
        <v>0.0</v>
      </c>
      <c r="B1293" s="14">
        <v>0.0</v>
      </c>
      <c r="C1293" s="34"/>
      <c r="D1293" s="36">
        <v>44767.0</v>
      </c>
      <c r="E1293" s="24"/>
      <c r="F1293" s="14" t="s">
        <v>6012</v>
      </c>
      <c r="G1293" s="14" t="s">
        <v>6012</v>
      </c>
      <c r="H1293" s="14" t="s">
        <v>6012</v>
      </c>
      <c r="I1293" s="14" t="s">
        <v>6037</v>
      </c>
      <c r="J1293" s="14" t="s">
        <v>6012</v>
      </c>
      <c r="K1293" s="14" t="s">
        <v>6012</v>
      </c>
      <c r="L1293" s="14"/>
    </row>
    <row r="1294">
      <c r="A1294" s="14">
        <v>0.0</v>
      </c>
      <c r="B1294" s="14">
        <v>0.0</v>
      </c>
      <c r="C1294" s="34"/>
      <c r="D1294" s="36">
        <v>44767.0</v>
      </c>
      <c r="E1294" s="24"/>
      <c r="F1294" s="14" t="s">
        <v>6012</v>
      </c>
      <c r="G1294" s="14" t="s">
        <v>6012</v>
      </c>
      <c r="H1294" s="14" t="s">
        <v>6012</v>
      </c>
      <c r="I1294" s="14" t="s">
        <v>6032</v>
      </c>
      <c r="J1294" s="14" t="s">
        <v>6012</v>
      </c>
      <c r="K1294" s="14" t="s">
        <v>6012</v>
      </c>
      <c r="L1294" s="14"/>
    </row>
    <row r="1295">
      <c r="A1295" s="14">
        <v>0.0</v>
      </c>
      <c r="B1295" s="14">
        <v>0.0</v>
      </c>
      <c r="C1295" s="34"/>
      <c r="D1295" s="36">
        <v>44767.0</v>
      </c>
      <c r="E1295" s="24"/>
      <c r="F1295" s="14" t="s">
        <v>6012</v>
      </c>
      <c r="G1295" s="14" t="s">
        <v>6012</v>
      </c>
      <c r="H1295" s="14" t="s">
        <v>6012</v>
      </c>
      <c r="I1295" s="14" t="s">
        <v>6043</v>
      </c>
      <c r="J1295" s="14" t="s">
        <v>6012</v>
      </c>
      <c r="K1295" s="14" t="s">
        <v>6012</v>
      </c>
      <c r="L1295" s="14"/>
    </row>
    <row r="1296">
      <c r="A1296" s="14">
        <v>354.0</v>
      </c>
      <c r="B1296" s="14">
        <v>4.0</v>
      </c>
      <c r="C1296" s="34">
        <v>16.83</v>
      </c>
      <c r="D1296" s="36">
        <v>44767.0</v>
      </c>
      <c r="E1296" s="24"/>
      <c r="F1296" s="14">
        <v>4.21</v>
      </c>
      <c r="G1296" s="14">
        <v>47.54</v>
      </c>
      <c r="H1296" s="14">
        <v>1.13</v>
      </c>
      <c r="I1296" s="14" t="s">
        <v>6042</v>
      </c>
      <c r="J1296" s="14">
        <v>25.0</v>
      </c>
      <c r="K1296" s="14">
        <v>16.83</v>
      </c>
      <c r="L1296" s="14">
        <v>0.0</v>
      </c>
    </row>
    <row r="1297">
      <c r="A1297" s="14">
        <v>0.0</v>
      </c>
      <c r="B1297" s="14">
        <v>0.0</v>
      </c>
      <c r="C1297" s="34"/>
      <c r="D1297" s="36">
        <v>44768.0</v>
      </c>
      <c r="E1297" s="24"/>
      <c r="F1297" s="14" t="s">
        <v>6012</v>
      </c>
      <c r="G1297" s="14" t="s">
        <v>6012</v>
      </c>
      <c r="H1297" s="14" t="s">
        <v>6012</v>
      </c>
      <c r="I1297" s="14" t="s">
        <v>6028</v>
      </c>
      <c r="J1297" s="14" t="s">
        <v>6012</v>
      </c>
      <c r="K1297" s="14" t="s">
        <v>6012</v>
      </c>
      <c r="L1297" s="14"/>
    </row>
    <row r="1298">
      <c r="A1298" s="14">
        <v>0.0</v>
      </c>
      <c r="B1298" s="14">
        <v>0.0</v>
      </c>
      <c r="C1298" s="34"/>
      <c r="D1298" s="36">
        <v>44768.0</v>
      </c>
      <c r="E1298" s="24"/>
      <c r="F1298" s="14" t="s">
        <v>6012</v>
      </c>
      <c r="G1298" s="14" t="s">
        <v>6012</v>
      </c>
      <c r="H1298" s="14" t="s">
        <v>6012</v>
      </c>
      <c r="I1298" s="14" t="s">
        <v>6039</v>
      </c>
      <c r="J1298" s="14" t="s">
        <v>6012</v>
      </c>
      <c r="K1298" s="14" t="s">
        <v>6012</v>
      </c>
      <c r="L1298" s="14"/>
    </row>
    <row r="1299">
      <c r="A1299" s="14">
        <v>302.0</v>
      </c>
      <c r="B1299" s="14">
        <v>0.0</v>
      </c>
      <c r="C1299" s="34">
        <v>17.2</v>
      </c>
      <c r="D1299" s="36">
        <v>44768.0</v>
      </c>
      <c r="E1299" s="24"/>
      <c r="F1299" s="14" t="s">
        <v>6012</v>
      </c>
      <c r="G1299" s="14">
        <v>56.95</v>
      </c>
      <c r="H1299" s="14">
        <v>0.0</v>
      </c>
      <c r="I1299" s="14" t="s">
        <v>6042</v>
      </c>
      <c r="J1299" s="14" t="s">
        <v>6012</v>
      </c>
      <c r="K1299" s="14" t="s">
        <v>6012</v>
      </c>
      <c r="L1299" s="14">
        <v>0.0</v>
      </c>
    </row>
    <row r="1300">
      <c r="A1300" s="14">
        <v>754.0</v>
      </c>
      <c r="B1300" s="14">
        <v>4.0</v>
      </c>
      <c r="C1300" s="34">
        <v>29.82</v>
      </c>
      <c r="D1300" s="36">
        <v>44768.0</v>
      </c>
      <c r="E1300" s="24"/>
      <c r="F1300" s="14">
        <v>7.46</v>
      </c>
      <c r="G1300" s="14">
        <v>39.55</v>
      </c>
      <c r="H1300" s="14">
        <v>0.53</v>
      </c>
      <c r="I1300" s="14" t="s">
        <v>6036</v>
      </c>
      <c r="J1300" s="14">
        <v>25.0</v>
      </c>
      <c r="K1300" s="14">
        <v>29.82</v>
      </c>
      <c r="L1300" s="14">
        <v>0.0</v>
      </c>
    </row>
    <row r="1301">
      <c r="A1301" s="14">
        <v>2972.0</v>
      </c>
      <c r="B1301" s="14">
        <v>4.0</v>
      </c>
      <c r="C1301" s="34">
        <v>34.47</v>
      </c>
      <c r="D1301" s="36">
        <v>44769.0</v>
      </c>
      <c r="E1301" s="24"/>
      <c r="F1301" s="14">
        <v>8.62</v>
      </c>
      <c r="G1301" s="14">
        <v>11.6</v>
      </c>
      <c r="H1301" s="14">
        <v>0.13</v>
      </c>
      <c r="I1301" s="14" t="s">
        <v>6035</v>
      </c>
      <c r="J1301" s="14">
        <v>0.0</v>
      </c>
      <c r="K1301" s="14" t="s">
        <v>6012</v>
      </c>
      <c r="L1301" s="14">
        <v>0.0</v>
      </c>
    </row>
    <row r="1302">
      <c r="A1302" s="14">
        <v>410.0</v>
      </c>
      <c r="B1302" s="14">
        <v>0.0</v>
      </c>
      <c r="C1302" s="34">
        <v>17.94</v>
      </c>
      <c r="D1302" s="36">
        <v>44769.0</v>
      </c>
      <c r="E1302" s="24"/>
      <c r="F1302" s="14" t="s">
        <v>6012</v>
      </c>
      <c r="G1302" s="14">
        <v>43.76</v>
      </c>
      <c r="H1302" s="14">
        <v>0.0</v>
      </c>
      <c r="I1302" s="14" t="s">
        <v>6042</v>
      </c>
      <c r="J1302" s="14" t="s">
        <v>6012</v>
      </c>
      <c r="K1302" s="14" t="s">
        <v>6012</v>
      </c>
      <c r="L1302" s="14">
        <v>0.0</v>
      </c>
    </row>
    <row r="1303">
      <c r="A1303" s="14">
        <v>743.0</v>
      </c>
      <c r="B1303" s="14">
        <v>3.0</v>
      </c>
      <c r="C1303" s="34">
        <v>30.48</v>
      </c>
      <c r="D1303" s="36">
        <v>44769.0</v>
      </c>
      <c r="E1303" s="24"/>
      <c r="F1303" s="14">
        <v>10.16</v>
      </c>
      <c r="G1303" s="14">
        <v>41.02</v>
      </c>
      <c r="H1303" s="14">
        <v>0.4</v>
      </c>
      <c r="I1303" s="14" t="s">
        <v>6036</v>
      </c>
      <c r="J1303" s="14">
        <v>0.0</v>
      </c>
      <c r="K1303" s="14" t="s">
        <v>6012</v>
      </c>
      <c r="L1303" s="14">
        <v>0.0</v>
      </c>
    </row>
    <row r="1304">
      <c r="A1304" s="14">
        <v>13.0</v>
      </c>
      <c r="B1304" s="14">
        <v>0.0</v>
      </c>
      <c r="C1304" s="34">
        <v>0.18</v>
      </c>
      <c r="D1304" s="36">
        <v>44769.0</v>
      </c>
      <c r="E1304" s="24"/>
      <c r="F1304" s="14" t="s">
        <v>6012</v>
      </c>
      <c r="G1304" s="14">
        <v>13.85</v>
      </c>
      <c r="H1304" s="14">
        <v>0.0</v>
      </c>
      <c r="I1304" s="14" t="s">
        <v>6039</v>
      </c>
      <c r="J1304" s="14" t="s">
        <v>6012</v>
      </c>
      <c r="K1304" s="14">
        <v>0.09</v>
      </c>
      <c r="L1304" s="14">
        <v>0.0</v>
      </c>
    </row>
    <row r="1305">
      <c r="A1305" s="14">
        <v>1184.0</v>
      </c>
      <c r="B1305" s="14">
        <v>3.0</v>
      </c>
      <c r="C1305" s="34">
        <v>35.29</v>
      </c>
      <c r="D1305" s="36">
        <v>44769.0</v>
      </c>
      <c r="E1305" s="24"/>
      <c r="F1305" s="14">
        <v>11.76</v>
      </c>
      <c r="G1305" s="14">
        <v>29.81</v>
      </c>
      <c r="H1305" s="14">
        <v>0.25</v>
      </c>
      <c r="I1305" s="14" t="s">
        <v>6038</v>
      </c>
      <c r="J1305" s="14">
        <v>0.0</v>
      </c>
      <c r="K1305" s="14" t="s">
        <v>6012</v>
      </c>
      <c r="L1305" s="14">
        <v>0.0</v>
      </c>
    </row>
    <row r="1306">
      <c r="A1306" s="14">
        <v>111.0</v>
      </c>
      <c r="B1306" s="14">
        <v>2.0</v>
      </c>
      <c r="C1306" s="34">
        <v>1.6</v>
      </c>
      <c r="D1306" s="36">
        <v>44769.0</v>
      </c>
      <c r="E1306" s="24"/>
      <c r="F1306" s="14">
        <v>0.8</v>
      </c>
      <c r="G1306" s="14">
        <v>14.41</v>
      </c>
      <c r="H1306" s="14">
        <v>1.8</v>
      </c>
      <c r="I1306" s="14" t="s">
        <v>6037</v>
      </c>
      <c r="J1306" s="14">
        <v>0.0</v>
      </c>
      <c r="K1306" s="14" t="s">
        <v>6012</v>
      </c>
      <c r="L1306" s="14">
        <v>0.0</v>
      </c>
    </row>
    <row r="1307">
      <c r="A1307" s="14">
        <v>0.0</v>
      </c>
      <c r="B1307" s="14">
        <v>0.0</v>
      </c>
      <c r="C1307" s="34"/>
      <c r="D1307" s="36">
        <v>44769.0</v>
      </c>
      <c r="E1307" s="24"/>
      <c r="F1307" s="14" t="s">
        <v>6012</v>
      </c>
      <c r="G1307" s="14" t="s">
        <v>6012</v>
      </c>
      <c r="H1307" s="14" t="s">
        <v>6012</v>
      </c>
      <c r="I1307" s="14" t="s">
        <v>6028</v>
      </c>
      <c r="J1307" s="14" t="s">
        <v>6012</v>
      </c>
      <c r="K1307" s="14" t="s">
        <v>6012</v>
      </c>
      <c r="L1307" s="14"/>
    </row>
    <row r="1308">
      <c r="A1308" s="14">
        <v>2518.0</v>
      </c>
      <c r="B1308" s="14">
        <v>5.0</v>
      </c>
      <c r="C1308" s="34">
        <v>47.3</v>
      </c>
      <c r="D1308" s="36">
        <v>44770.0</v>
      </c>
      <c r="E1308" s="24"/>
      <c r="F1308" s="14">
        <v>9.46</v>
      </c>
      <c r="G1308" s="14">
        <v>18.78</v>
      </c>
      <c r="H1308" s="14">
        <v>0.2</v>
      </c>
      <c r="I1308" s="14" t="s">
        <v>6035</v>
      </c>
      <c r="J1308" s="14">
        <v>20.0</v>
      </c>
      <c r="K1308" s="14">
        <v>47.3</v>
      </c>
      <c r="L1308" s="14">
        <v>0.0</v>
      </c>
    </row>
    <row r="1309">
      <c r="A1309" s="14">
        <v>841.0</v>
      </c>
      <c r="B1309" s="14">
        <v>12.0</v>
      </c>
      <c r="C1309" s="34">
        <v>45.0</v>
      </c>
      <c r="D1309" s="36">
        <v>44770.0</v>
      </c>
      <c r="E1309" s="24"/>
      <c r="F1309" s="14">
        <v>3.75</v>
      </c>
      <c r="G1309" s="14">
        <v>53.51</v>
      </c>
      <c r="H1309" s="14">
        <v>1.43</v>
      </c>
      <c r="I1309" s="14" t="s">
        <v>6039</v>
      </c>
      <c r="J1309" s="14">
        <v>16.67</v>
      </c>
      <c r="K1309" s="14">
        <v>22.5</v>
      </c>
      <c r="L1309" s="14">
        <v>0.0</v>
      </c>
    </row>
    <row r="1310">
      <c r="A1310" s="14">
        <v>1283.0</v>
      </c>
      <c r="B1310" s="14">
        <v>4.0</v>
      </c>
      <c r="C1310" s="34">
        <v>47.4</v>
      </c>
      <c r="D1310" s="36">
        <v>44770.0</v>
      </c>
      <c r="E1310" s="24"/>
      <c r="F1310" s="14">
        <v>11.85</v>
      </c>
      <c r="G1310" s="14">
        <v>36.94</v>
      </c>
      <c r="H1310" s="14">
        <v>0.31</v>
      </c>
      <c r="I1310" s="14" t="s">
        <v>6038</v>
      </c>
      <c r="J1310" s="14">
        <v>25.0</v>
      </c>
      <c r="K1310" s="14">
        <v>47.4</v>
      </c>
      <c r="L1310" s="14">
        <v>0.0</v>
      </c>
    </row>
    <row r="1311">
      <c r="A1311" s="14">
        <v>1150.0</v>
      </c>
      <c r="B1311" s="14">
        <v>8.0</v>
      </c>
      <c r="C1311" s="34">
        <v>45.0</v>
      </c>
      <c r="D1311" s="36">
        <v>44770.0</v>
      </c>
      <c r="E1311" s="24"/>
      <c r="F1311" s="14">
        <v>5.62</v>
      </c>
      <c r="G1311" s="14">
        <v>39.13</v>
      </c>
      <c r="H1311" s="14">
        <v>0.7</v>
      </c>
      <c r="I1311" s="14" t="s">
        <v>6037</v>
      </c>
      <c r="J1311" s="14">
        <v>0.0</v>
      </c>
      <c r="K1311" s="14" t="s">
        <v>6012</v>
      </c>
      <c r="L1311" s="14">
        <v>0.0</v>
      </c>
    </row>
    <row r="1312">
      <c r="A1312" s="14">
        <v>660.0</v>
      </c>
      <c r="B1312" s="14">
        <v>6.0</v>
      </c>
      <c r="C1312" s="34">
        <v>30.96</v>
      </c>
      <c r="D1312" s="36">
        <v>44770.0</v>
      </c>
      <c r="E1312" s="24"/>
      <c r="F1312" s="14">
        <v>5.16</v>
      </c>
      <c r="G1312" s="14">
        <v>46.91</v>
      </c>
      <c r="H1312" s="14">
        <v>0.91</v>
      </c>
      <c r="I1312" s="14" t="s">
        <v>6036</v>
      </c>
      <c r="J1312" s="14">
        <v>33.33</v>
      </c>
      <c r="K1312" s="14">
        <v>15.48</v>
      </c>
      <c r="L1312" s="14">
        <v>0.0</v>
      </c>
    </row>
    <row r="1313">
      <c r="A1313" s="14">
        <v>324.0</v>
      </c>
      <c r="B1313" s="14">
        <v>3.0</v>
      </c>
      <c r="C1313" s="34">
        <v>18.2</v>
      </c>
      <c r="D1313" s="36">
        <v>44770.0</v>
      </c>
      <c r="E1313" s="24"/>
      <c r="F1313" s="14">
        <v>6.07</v>
      </c>
      <c r="G1313" s="14">
        <v>56.17</v>
      </c>
      <c r="H1313" s="14">
        <v>0.93</v>
      </c>
      <c r="I1313" s="14" t="s">
        <v>6042</v>
      </c>
      <c r="J1313" s="14">
        <v>33.33</v>
      </c>
      <c r="K1313" s="14">
        <v>18.2</v>
      </c>
      <c r="L1313" s="14">
        <v>0.0</v>
      </c>
    </row>
    <row r="1314">
      <c r="A1314" s="14">
        <v>2110.0</v>
      </c>
      <c r="B1314" s="14">
        <v>14.0</v>
      </c>
      <c r="C1314" s="34">
        <v>45.0</v>
      </c>
      <c r="D1314" s="36">
        <v>44771.0</v>
      </c>
      <c r="E1314" s="24"/>
      <c r="F1314" s="14">
        <v>3.21</v>
      </c>
      <c r="G1314" s="14">
        <v>21.33</v>
      </c>
      <c r="H1314" s="14">
        <v>0.66</v>
      </c>
      <c r="I1314" s="14" t="s">
        <v>6037</v>
      </c>
      <c r="J1314" s="14">
        <v>0.0</v>
      </c>
      <c r="K1314" s="14" t="s">
        <v>6012</v>
      </c>
      <c r="L1314" s="14">
        <v>0.0</v>
      </c>
    </row>
    <row r="1315">
      <c r="A1315" s="14">
        <v>315.0</v>
      </c>
      <c r="B1315" s="14">
        <v>1.0</v>
      </c>
      <c r="C1315" s="34">
        <v>17.27</v>
      </c>
      <c r="D1315" s="36">
        <v>44771.0</v>
      </c>
      <c r="E1315" s="24"/>
      <c r="F1315" s="14">
        <v>17.27</v>
      </c>
      <c r="G1315" s="14">
        <v>54.83</v>
      </c>
      <c r="H1315" s="14">
        <v>0.32</v>
      </c>
      <c r="I1315" s="14" t="s">
        <v>6042</v>
      </c>
      <c r="J1315" s="14">
        <v>0.0</v>
      </c>
      <c r="K1315" s="14" t="s">
        <v>6012</v>
      </c>
      <c r="L1315" s="14">
        <v>0.0</v>
      </c>
    </row>
    <row r="1316">
      <c r="A1316" s="14">
        <v>2654.0</v>
      </c>
      <c r="B1316" s="14">
        <v>1.0</v>
      </c>
      <c r="C1316" s="34">
        <v>47.62</v>
      </c>
      <c r="D1316" s="36">
        <v>44771.0</v>
      </c>
      <c r="E1316" s="24"/>
      <c r="F1316" s="14">
        <v>47.62</v>
      </c>
      <c r="G1316" s="14">
        <v>17.94</v>
      </c>
      <c r="H1316" s="14">
        <v>0.04</v>
      </c>
      <c r="I1316" s="14" t="s">
        <v>6035</v>
      </c>
      <c r="J1316" s="14">
        <v>200.0</v>
      </c>
      <c r="K1316" s="14">
        <v>23.81</v>
      </c>
      <c r="L1316" s="14">
        <v>0.0</v>
      </c>
    </row>
    <row r="1317">
      <c r="A1317" s="14">
        <v>1148.0</v>
      </c>
      <c r="B1317" s="14">
        <v>15.0</v>
      </c>
      <c r="C1317" s="34">
        <v>45.0</v>
      </c>
      <c r="D1317" s="36">
        <v>44771.0</v>
      </c>
      <c r="E1317" s="24"/>
      <c r="F1317" s="14">
        <v>3.0</v>
      </c>
      <c r="G1317" s="14">
        <v>39.2</v>
      </c>
      <c r="H1317" s="14">
        <v>1.31</v>
      </c>
      <c r="I1317" s="14" t="s">
        <v>6039</v>
      </c>
      <c r="J1317" s="14">
        <v>0.0</v>
      </c>
      <c r="K1317" s="14" t="s">
        <v>6012</v>
      </c>
      <c r="L1317" s="14">
        <v>0.0</v>
      </c>
    </row>
    <row r="1318">
      <c r="A1318" s="14">
        <v>616.0</v>
      </c>
      <c r="B1318" s="14">
        <v>4.0</v>
      </c>
      <c r="C1318" s="34">
        <v>27.76</v>
      </c>
      <c r="D1318" s="36">
        <v>44771.0</v>
      </c>
      <c r="E1318" s="24"/>
      <c r="F1318" s="14">
        <v>6.94</v>
      </c>
      <c r="G1318" s="14">
        <v>45.06</v>
      </c>
      <c r="H1318" s="14">
        <v>0.65</v>
      </c>
      <c r="I1318" s="14" t="s">
        <v>6036</v>
      </c>
      <c r="J1318" s="14">
        <v>0.0</v>
      </c>
      <c r="K1318" s="14" t="s">
        <v>6012</v>
      </c>
      <c r="L1318" s="14">
        <v>0.0</v>
      </c>
    </row>
    <row r="1319">
      <c r="A1319" s="14">
        <v>1136.0</v>
      </c>
      <c r="B1319" s="14">
        <v>1.0</v>
      </c>
      <c r="C1319" s="34">
        <v>47.16</v>
      </c>
      <c r="D1319" s="36">
        <v>44771.0</v>
      </c>
      <c r="E1319" s="24"/>
      <c r="F1319" s="14">
        <v>47.16</v>
      </c>
      <c r="G1319" s="14">
        <v>41.51</v>
      </c>
      <c r="H1319" s="14">
        <v>0.09</v>
      </c>
      <c r="I1319" s="14" t="s">
        <v>6038</v>
      </c>
      <c r="J1319" s="14">
        <v>0.0</v>
      </c>
      <c r="K1319" s="14" t="s">
        <v>6012</v>
      </c>
      <c r="L1319" s="14">
        <v>0.0</v>
      </c>
    </row>
    <row r="1320">
      <c r="A1320" s="14">
        <v>858.0</v>
      </c>
      <c r="B1320" s="14">
        <v>3.0</v>
      </c>
      <c r="C1320" s="34">
        <v>47.4</v>
      </c>
      <c r="D1320" s="36">
        <v>44772.0</v>
      </c>
      <c r="E1320" s="24"/>
      <c r="F1320" s="14">
        <v>15.8</v>
      </c>
      <c r="G1320" s="14">
        <v>55.24</v>
      </c>
      <c r="H1320" s="14">
        <v>0.35</v>
      </c>
      <c r="I1320" s="14" t="s">
        <v>6038</v>
      </c>
      <c r="J1320" s="14">
        <v>66.67</v>
      </c>
      <c r="K1320" s="14">
        <v>23.7</v>
      </c>
      <c r="L1320" s="14">
        <v>0.0</v>
      </c>
    </row>
    <row r="1321">
      <c r="A1321" s="14">
        <v>182.0</v>
      </c>
      <c r="B1321" s="14">
        <v>1.0</v>
      </c>
      <c r="C1321" s="34">
        <v>8.49</v>
      </c>
      <c r="D1321" s="36">
        <v>44772.0</v>
      </c>
      <c r="E1321" s="24"/>
      <c r="F1321" s="14">
        <v>8.49</v>
      </c>
      <c r="G1321" s="14">
        <v>46.65</v>
      </c>
      <c r="H1321" s="14">
        <v>0.55</v>
      </c>
      <c r="I1321" s="14" t="s">
        <v>6042</v>
      </c>
      <c r="J1321" s="14">
        <v>0.0</v>
      </c>
      <c r="K1321" s="14" t="s">
        <v>6012</v>
      </c>
      <c r="L1321" s="14">
        <v>0.0</v>
      </c>
    </row>
    <row r="1322">
      <c r="A1322" s="14">
        <v>970.0</v>
      </c>
      <c r="B1322" s="14">
        <v>7.0</v>
      </c>
      <c r="C1322" s="34">
        <v>45.0</v>
      </c>
      <c r="D1322" s="36">
        <v>44772.0</v>
      </c>
      <c r="E1322" s="24"/>
      <c r="F1322" s="14">
        <v>6.43</v>
      </c>
      <c r="G1322" s="14">
        <v>46.39</v>
      </c>
      <c r="H1322" s="14">
        <v>0.72</v>
      </c>
      <c r="I1322" s="14" t="s">
        <v>6039</v>
      </c>
      <c r="J1322" s="14">
        <v>14.29</v>
      </c>
      <c r="K1322" s="14">
        <v>45.0</v>
      </c>
      <c r="L1322" s="14">
        <v>0.0</v>
      </c>
    </row>
    <row r="1323">
      <c r="A1323" s="14">
        <v>305.0</v>
      </c>
      <c r="B1323" s="14">
        <v>4.0</v>
      </c>
      <c r="C1323" s="34">
        <v>13.37</v>
      </c>
      <c r="D1323" s="36">
        <v>44772.0</v>
      </c>
      <c r="E1323" s="24"/>
      <c r="F1323" s="14">
        <v>3.34</v>
      </c>
      <c r="G1323" s="14">
        <v>43.84</v>
      </c>
      <c r="H1323" s="14">
        <v>1.31</v>
      </c>
      <c r="I1323" s="14" t="s">
        <v>6036</v>
      </c>
      <c r="J1323" s="14">
        <v>25.0</v>
      </c>
      <c r="K1323" s="14">
        <v>13.37</v>
      </c>
      <c r="L1323" s="14">
        <v>0.0</v>
      </c>
    </row>
    <row r="1324">
      <c r="A1324" s="14">
        <v>1877.0</v>
      </c>
      <c r="B1324" s="14">
        <v>1.0</v>
      </c>
      <c r="C1324" s="34">
        <v>47.48</v>
      </c>
      <c r="D1324" s="36">
        <v>44772.0</v>
      </c>
      <c r="E1324" s="24"/>
      <c r="F1324" s="14">
        <v>47.48</v>
      </c>
      <c r="G1324" s="14">
        <v>25.3</v>
      </c>
      <c r="H1324" s="14">
        <v>0.05</v>
      </c>
      <c r="I1324" s="14" t="s">
        <v>6035</v>
      </c>
      <c r="J1324" s="14">
        <v>0.0</v>
      </c>
      <c r="K1324" s="14" t="s">
        <v>6012</v>
      </c>
      <c r="L1324" s="14">
        <v>0.0</v>
      </c>
    </row>
    <row r="1325">
      <c r="A1325" s="14">
        <v>1937.0</v>
      </c>
      <c r="B1325" s="14">
        <v>12.0</v>
      </c>
      <c r="C1325" s="34">
        <v>45.0</v>
      </c>
      <c r="D1325" s="36">
        <v>44772.0</v>
      </c>
      <c r="E1325" s="24"/>
      <c r="F1325" s="14">
        <v>3.75</v>
      </c>
      <c r="G1325" s="14">
        <v>23.23</v>
      </c>
      <c r="H1325" s="14">
        <v>0.62</v>
      </c>
      <c r="I1325" s="14" t="s">
        <v>6037</v>
      </c>
      <c r="J1325" s="14">
        <v>8.33</v>
      </c>
      <c r="K1325" s="14">
        <v>45.0</v>
      </c>
      <c r="L1325" s="14">
        <v>0.0</v>
      </c>
    </row>
    <row r="1326">
      <c r="A1326" s="14">
        <v>2108.0</v>
      </c>
      <c r="B1326" s="14">
        <v>7.0</v>
      </c>
      <c r="C1326" s="34">
        <v>44.98</v>
      </c>
      <c r="D1326" s="36">
        <v>44773.0</v>
      </c>
      <c r="E1326" s="24"/>
      <c r="F1326" s="14">
        <v>6.43</v>
      </c>
      <c r="G1326" s="14">
        <v>21.34</v>
      </c>
      <c r="H1326" s="14">
        <v>0.33</v>
      </c>
      <c r="I1326" s="14" t="s">
        <v>6037</v>
      </c>
      <c r="J1326" s="14">
        <v>0.0</v>
      </c>
      <c r="K1326" s="14" t="s">
        <v>6012</v>
      </c>
      <c r="L1326" s="14">
        <v>0.0</v>
      </c>
    </row>
    <row r="1327">
      <c r="A1327" s="14">
        <v>225.0</v>
      </c>
      <c r="B1327" s="14">
        <v>0.0</v>
      </c>
      <c r="C1327" s="34">
        <v>9.07</v>
      </c>
      <c r="D1327" s="36">
        <v>44773.0</v>
      </c>
      <c r="E1327" s="24"/>
      <c r="F1327" s="14" t="s">
        <v>6012</v>
      </c>
      <c r="G1327" s="14">
        <v>40.31</v>
      </c>
      <c r="H1327" s="14">
        <v>0.0</v>
      </c>
      <c r="I1327" s="14" t="s">
        <v>6042</v>
      </c>
      <c r="J1327" s="14" t="s">
        <v>6012</v>
      </c>
      <c r="K1327" s="14" t="s">
        <v>6012</v>
      </c>
      <c r="L1327" s="14">
        <v>0.0</v>
      </c>
    </row>
    <row r="1328">
      <c r="A1328" s="14">
        <v>1209.0</v>
      </c>
      <c r="B1328" s="14">
        <v>1.0</v>
      </c>
      <c r="C1328" s="34">
        <v>47.23</v>
      </c>
      <c r="D1328" s="36">
        <v>44773.0</v>
      </c>
      <c r="E1328" s="24"/>
      <c r="F1328" s="14">
        <v>47.23</v>
      </c>
      <c r="G1328" s="14">
        <v>39.07</v>
      </c>
      <c r="H1328" s="14">
        <v>0.08</v>
      </c>
      <c r="I1328" s="14" t="s">
        <v>6038</v>
      </c>
      <c r="J1328" s="14">
        <v>300.0</v>
      </c>
      <c r="K1328" s="14">
        <v>15.74</v>
      </c>
      <c r="L1328" s="14">
        <v>0.0</v>
      </c>
    </row>
    <row r="1329">
      <c r="A1329" s="14">
        <v>1886.0</v>
      </c>
      <c r="B1329" s="14">
        <v>4.0</v>
      </c>
      <c r="C1329" s="34">
        <v>47.29</v>
      </c>
      <c r="D1329" s="36">
        <v>44773.0</v>
      </c>
      <c r="E1329" s="24"/>
      <c r="F1329" s="14">
        <v>11.82</v>
      </c>
      <c r="G1329" s="14">
        <v>25.07</v>
      </c>
      <c r="H1329" s="14">
        <v>0.21</v>
      </c>
      <c r="I1329" s="14" t="s">
        <v>6035</v>
      </c>
      <c r="J1329" s="14">
        <v>25.0</v>
      </c>
      <c r="K1329" s="14">
        <v>47.29</v>
      </c>
      <c r="L1329" s="14">
        <v>0.0</v>
      </c>
    </row>
    <row r="1330">
      <c r="A1330" s="14">
        <v>962.0</v>
      </c>
      <c r="B1330" s="14">
        <v>14.0</v>
      </c>
      <c r="C1330" s="34">
        <v>45.0</v>
      </c>
      <c r="D1330" s="36">
        <v>44773.0</v>
      </c>
      <c r="E1330" s="24"/>
      <c r="F1330" s="14">
        <v>3.21</v>
      </c>
      <c r="G1330" s="14">
        <v>46.78</v>
      </c>
      <c r="H1330" s="14">
        <v>1.46</v>
      </c>
      <c r="I1330" s="14" t="s">
        <v>6039</v>
      </c>
      <c r="J1330" s="14">
        <v>14.29</v>
      </c>
      <c r="K1330" s="14">
        <v>22.5</v>
      </c>
      <c r="L1330" s="14">
        <v>0.0</v>
      </c>
    </row>
    <row r="1331">
      <c r="A1331" s="14">
        <v>366.0</v>
      </c>
      <c r="B1331" s="14">
        <v>3.0</v>
      </c>
      <c r="C1331" s="34">
        <v>13.85</v>
      </c>
      <c r="D1331" s="36">
        <v>44773.0</v>
      </c>
      <c r="E1331" s="24"/>
      <c r="F1331" s="14">
        <v>4.62</v>
      </c>
      <c r="G1331" s="14">
        <v>37.84</v>
      </c>
      <c r="H1331" s="14">
        <v>0.82</v>
      </c>
      <c r="I1331" s="14" t="s">
        <v>6036</v>
      </c>
      <c r="J1331" s="14">
        <v>33.33</v>
      </c>
      <c r="K1331" s="14">
        <v>13.85</v>
      </c>
      <c r="L1331" s="14">
        <v>0.0</v>
      </c>
    </row>
    <row r="1332">
      <c r="A1332" s="14">
        <v>630.0</v>
      </c>
      <c r="B1332" s="14">
        <v>3.0</v>
      </c>
      <c r="C1332" s="34">
        <v>24.94</v>
      </c>
      <c r="D1332" s="36">
        <v>44774.0</v>
      </c>
      <c r="E1332" s="24"/>
      <c r="F1332" s="14">
        <v>8.31</v>
      </c>
      <c r="G1332" s="14">
        <v>39.59</v>
      </c>
      <c r="H1332" s="14">
        <v>0.48</v>
      </c>
      <c r="I1332" s="14" t="s">
        <v>6036</v>
      </c>
      <c r="J1332" s="14">
        <v>66.67</v>
      </c>
      <c r="K1332" s="14">
        <v>12.47</v>
      </c>
      <c r="L1332" s="14">
        <v>0.0</v>
      </c>
    </row>
    <row r="1333">
      <c r="A1333" s="14">
        <v>1934.0</v>
      </c>
      <c r="B1333" s="14">
        <v>11.0</v>
      </c>
      <c r="C1333" s="34">
        <v>35.83</v>
      </c>
      <c r="D1333" s="36">
        <v>44774.0</v>
      </c>
      <c r="E1333" s="24"/>
      <c r="F1333" s="14">
        <v>3.26</v>
      </c>
      <c r="G1333" s="14">
        <v>18.53</v>
      </c>
      <c r="H1333" s="14">
        <v>0.57</v>
      </c>
      <c r="I1333" s="14" t="s">
        <v>6037</v>
      </c>
      <c r="J1333" s="14">
        <v>9.09</v>
      </c>
      <c r="K1333" s="14">
        <v>35.83</v>
      </c>
      <c r="L1333" s="14">
        <v>0.0</v>
      </c>
    </row>
    <row r="1334">
      <c r="A1334" s="14">
        <v>476.0</v>
      </c>
      <c r="B1334" s="14">
        <v>3.0</v>
      </c>
      <c r="C1334" s="34">
        <v>16.05</v>
      </c>
      <c r="D1334" s="36">
        <v>44774.0</v>
      </c>
      <c r="E1334" s="24"/>
      <c r="F1334" s="14">
        <v>5.35</v>
      </c>
      <c r="G1334" s="14">
        <v>33.72</v>
      </c>
      <c r="H1334" s="14">
        <v>0.63</v>
      </c>
      <c r="I1334" s="14" t="s">
        <v>6042</v>
      </c>
      <c r="J1334" s="14">
        <v>0.0</v>
      </c>
      <c r="K1334" s="14" t="s">
        <v>6012</v>
      </c>
      <c r="L1334" s="14">
        <v>0.0</v>
      </c>
    </row>
    <row r="1335">
      <c r="A1335" s="14">
        <v>1561.0</v>
      </c>
      <c r="B1335" s="14">
        <v>2.0</v>
      </c>
      <c r="C1335" s="34">
        <v>33.46</v>
      </c>
      <c r="D1335" s="36">
        <v>44774.0</v>
      </c>
      <c r="E1335" s="24"/>
      <c r="F1335" s="14">
        <v>16.73</v>
      </c>
      <c r="G1335" s="14">
        <v>21.43</v>
      </c>
      <c r="H1335" s="14">
        <v>0.13</v>
      </c>
      <c r="I1335" s="14" t="s">
        <v>6038</v>
      </c>
      <c r="J1335" s="14">
        <v>50.0</v>
      </c>
      <c r="K1335" s="14">
        <v>33.46</v>
      </c>
      <c r="L1335" s="14">
        <v>0.0</v>
      </c>
    </row>
    <row r="1336">
      <c r="A1336" s="14">
        <v>1848.0</v>
      </c>
      <c r="B1336" s="14">
        <v>2.0</v>
      </c>
      <c r="C1336" s="34">
        <v>33.58</v>
      </c>
      <c r="D1336" s="36">
        <v>44774.0</v>
      </c>
      <c r="E1336" s="24"/>
      <c r="F1336" s="14">
        <v>16.79</v>
      </c>
      <c r="G1336" s="14">
        <v>18.17</v>
      </c>
      <c r="H1336" s="14">
        <v>0.11</v>
      </c>
      <c r="I1336" s="14" t="s">
        <v>6035</v>
      </c>
      <c r="J1336" s="14">
        <v>0.0</v>
      </c>
      <c r="K1336" s="14" t="s">
        <v>6012</v>
      </c>
      <c r="L1336" s="14">
        <v>0.0</v>
      </c>
    </row>
    <row r="1337">
      <c r="A1337" s="14">
        <v>930.0</v>
      </c>
      <c r="B1337" s="14">
        <v>7.0</v>
      </c>
      <c r="C1337" s="34">
        <v>35.74</v>
      </c>
      <c r="D1337" s="36">
        <v>44774.0</v>
      </c>
      <c r="E1337" s="24"/>
      <c r="F1337" s="14">
        <v>5.11</v>
      </c>
      <c r="G1337" s="14">
        <v>38.43</v>
      </c>
      <c r="H1337" s="14">
        <v>0.75</v>
      </c>
      <c r="I1337" s="14" t="s">
        <v>6039</v>
      </c>
      <c r="J1337" s="14">
        <v>28.57</v>
      </c>
      <c r="K1337" s="14">
        <v>17.87</v>
      </c>
      <c r="L1337" s="14">
        <v>0.0</v>
      </c>
    </row>
    <row r="1338">
      <c r="A1338" s="14">
        <v>398.0</v>
      </c>
      <c r="B1338" s="14">
        <v>4.0</v>
      </c>
      <c r="C1338" s="34">
        <v>19.1</v>
      </c>
      <c r="D1338" s="36">
        <v>44775.0</v>
      </c>
      <c r="E1338" s="24"/>
      <c r="F1338" s="14">
        <v>4.78</v>
      </c>
      <c r="G1338" s="14">
        <v>47.99</v>
      </c>
      <c r="H1338" s="14">
        <v>1.01</v>
      </c>
      <c r="I1338" s="14" t="s">
        <v>6039</v>
      </c>
      <c r="J1338" s="14">
        <v>25.0</v>
      </c>
      <c r="K1338" s="14">
        <v>19.1</v>
      </c>
      <c r="L1338" s="14">
        <v>0.0</v>
      </c>
    </row>
    <row r="1339">
      <c r="A1339" s="14">
        <v>165.0</v>
      </c>
      <c r="B1339" s="14">
        <v>1.0</v>
      </c>
      <c r="C1339" s="34">
        <v>8.22</v>
      </c>
      <c r="D1339" s="36">
        <v>44775.0</v>
      </c>
      <c r="E1339" s="24"/>
      <c r="F1339" s="14">
        <v>8.22</v>
      </c>
      <c r="G1339" s="14">
        <v>49.82</v>
      </c>
      <c r="H1339" s="14">
        <v>0.61</v>
      </c>
      <c r="I1339" s="14" t="s">
        <v>6036</v>
      </c>
      <c r="J1339" s="14">
        <v>100.0</v>
      </c>
      <c r="K1339" s="14">
        <v>8.22</v>
      </c>
      <c r="L1339" s="14">
        <v>0.0</v>
      </c>
    </row>
    <row r="1340">
      <c r="A1340" s="14">
        <v>920.0</v>
      </c>
      <c r="B1340" s="14">
        <v>1.0</v>
      </c>
      <c r="C1340" s="34">
        <v>29.24</v>
      </c>
      <c r="D1340" s="36">
        <v>44775.0</v>
      </c>
      <c r="E1340" s="24"/>
      <c r="F1340" s="14">
        <v>29.24</v>
      </c>
      <c r="G1340" s="14">
        <v>31.78</v>
      </c>
      <c r="H1340" s="14">
        <v>0.11</v>
      </c>
      <c r="I1340" s="14" t="s">
        <v>6038</v>
      </c>
      <c r="J1340" s="14">
        <v>300.0</v>
      </c>
      <c r="K1340" s="14">
        <v>9.75</v>
      </c>
      <c r="L1340" s="14">
        <v>0.0</v>
      </c>
    </row>
    <row r="1341">
      <c r="A1341" s="14">
        <v>805.0</v>
      </c>
      <c r="B1341" s="14">
        <v>2.0</v>
      </c>
      <c r="C1341" s="34">
        <v>18.01</v>
      </c>
      <c r="D1341" s="36">
        <v>44775.0</v>
      </c>
      <c r="E1341" s="24"/>
      <c r="F1341" s="14">
        <v>9.01</v>
      </c>
      <c r="G1341" s="14">
        <v>22.37</v>
      </c>
      <c r="H1341" s="14">
        <v>0.25</v>
      </c>
      <c r="I1341" s="14" t="s">
        <v>6037</v>
      </c>
      <c r="J1341" s="14">
        <v>50.0</v>
      </c>
      <c r="K1341" s="14">
        <v>18.01</v>
      </c>
      <c r="L1341" s="14">
        <v>0.0</v>
      </c>
    </row>
    <row r="1342">
      <c r="A1342" s="14">
        <v>377.0</v>
      </c>
      <c r="B1342" s="14">
        <v>3.0</v>
      </c>
      <c r="C1342" s="34">
        <v>18.41</v>
      </c>
      <c r="D1342" s="36">
        <v>44775.0</v>
      </c>
      <c r="E1342" s="24"/>
      <c r="F1342" s="14">
        <v>6.14</v>
      </c>
      <c r="G1342" s="14">
        <v>48.83</v>
      </c>
      <c r="H1342" s="14">
        <v>0.8</v>
      </c>
      <c r="I1342" s="14" t="s">
        <v>6042</v>
      </c>
      <c r="J1342" s="14">
        <v>0.0</v>
      </c>
      <c r="K1342" s="14" t="s">
        <v>6012</v>
      </c>
      <c r="L1342" s="14">
        <v>0.0</v>
      </c>
    </row>
    <row r="1343">
      <c r="A1343" s="14">
        <v>1578.0</v>
      </c>
      <c r="B1343" s="14">
        <v>7.0</v>
      </c>
      <c r="C1343" s="34">
        <v>27.04</v>
      </c>
      <c r="D1343" s="36">
        <v>44775.0</v>
      </c>
      <c r="E1343" s="24"/>
      <c r="F1343" s="14">
        <v>3.86</v>
      </c>
      <c r="G1343" s="14">
        <v>17.14</v>
      </c>
      <c r="H1343" s="14">
        <v>0.44</v>
      </c>
      <c r="I1343" s="14" t="s">
        <v>6035</v>
      </c>
      <c r="J1343" s="14">
        <v>0.0</v>
      </c>
      <c r="K1343" s="14" t="s">
        <v>6012</v>
      </c>
      <c r="L1343" s="14">
        <v>0.0</v>
      </c>
    </row>
    <row r="1344">
      <c r="A1344" s="14">
        <v>424.0</v>
      </c>
      <c r="B1344" s="14">
        <v>4.0</v>
      </c>
      <c r="C1344" s="34">
        <v>10.03</v>
      </c>
      <c r="D1344" s="36">
        <v>44776.0</v>
      </c>
      <c r="E1344" s="24"/>
      <c r="F1344" s="14">
        <v>2.51</v>
      </c>
      <c r="G1344" s="14">
        <v>23.66</v>
      </c>
      <c r="H1344" s="14">
        <v>0.94</v>
      </c>
      <c r="I1344" s="14" t="s">
        <v>6037</v>
      </c>
      <c r="J1344" s="14">
        <v>0.0</v>
      </c>
      <c r="K1344" s="14" t="s">
        <v>6012</v>
      </c>
      <c r="L1344" s="14">
        <v>0.0</v>
      </c>
    </row>
    <row r="1345">
      <c r="A1345" s="14">
        <v>848.0</v>
      </c>
      <c r="B1345" s="14">
        <v>1.0</v>
      </c>
      <c r="C1345" s="34">
        <v>26.7</v>
      </c>
      <c r="D1345" s="36">
        <v>44776.0</v>
      </c>
      <c r="E1345" s="24"/>
      <c r="F1345" s="14">
        <v>26.7</v>
      </c>
      <c r="G1345" s="14">
        <v>31.49</v>
      </c>
      <c r="H1345" s="14">
        <v>0.12</v>
      </c>
      <c r="I1345" s="14" t="s">
        <v>6038</v>
      </c>
      <c r="J1345" s="14">
        <v>300.0</v>
      </c>
      <c r="K1345" s="14">
        <v>8.9</v>
      </c>
      <c r="L1345" s="14">
        <v>0.0</v>
      </c>
    </row>
    <row r="1346">
      <c r="A1346" s="14">
        <v>1870.0</v>
      </c>
      <c r="B1346" s="14">
        <v>0.0</v>
      </c>
      <c r="C1346" s="34">
        <v>26.42</v>
      </c>
      <c r="D1346" s="36">
        <v>44776.0</v>
      </c>
      <c r="E1346" s="24"/>
      <c r="F1346" s="14" t="s">
        <v>6012</v>
      </c>
      <c r="G1346" s="14">
        <v>14.13</v>
      </c>
      <c r="H1346" s="14">
        <v>0.0</v>
      </c>
      <c r="I1346" s="14" t="s">
        <v>6035</v>
      </c>
      <c r="J1346" s="14" t="s">
        <v>6012</v>
      </c>
      <c r="K1346" s="14" t="s">
        <v>6012</v>
      </c>
      <c r="L1346" s="14">
        <v>0.0</v>
      </c>
    </row>
    <row r="1347">
      <c r="A1347" s="14">
        <v>195.0</v>
      </c>
      <c r="B1347" s="14">
        <v>4.0</v>
      </c>
      <c r="C1347" s="34">
        <v>9.79</v>
      </c>
      <c r="D1347" s="36">
        <v>44776.0</v>
      </c>
      <c r="E1347" s="24"/>
      <c r="F1347" s="14">
        <v>2.45</v>
      </c>
      <c r="G1347" s="14">
        <v>50.21</v>
      </c>
      <c r="H1347" s="14">
        <v>2.05</v>
      </c>
      <c r="I1347" s="14" t="s">
        <v>6039</v>
      </c>
      <c r="J1347" s="14">
        <v>175.0</v>
      </c>
      <c r="K1347" s="14">
        <v>1.4</v>
      </c>
      <c r="L1347" s="14">
        <v>0.0</v>
      </c>
    </row>
    <row r="1348">
      <c r="A1348" s="14">
        <v>14.0</v>
      </c>
      <c r="B1348" s="14">
        <v>0.0</v>
      </c>
      <c r="C1348" s="34">
        <v>0.23</v>
      </c>
      <c r="D1348" s="36">
        <v>44776.0</v>
      </c>
      <c r="E1348" s="24"/>
      <c r="F1348" s="14" t="s">
        <v>6012</v>
      </c>
      <c r="G1348" s="14">
        <v>16.43</v>
      </c>
      <c r="H1348" s="14">
        <v>0.0</v>
      </c>
      <c r="I1348" s="14" t="s">
        <v>6036</v>
      </c>
      <c r="J1348" s="14" t="s">
        <v>6012</v>
      </c>
      <c r="K1348" s="14">
        <v>0.23</v>
      </c>
      <c r="L1348" s="14">
        <v>0.0</v>
      </c>
    </row>
    <row r="1349">
      <c r="A1349" s="14">
        <v>343.0</v>
      </c>
      <c r="B1349" s="14">
        <v>2.0</v>
      </c>
      <c r="C1349" s="34">
        <v>18.94</v>
      </c>
      <c r="D1349" s="36">
        <v>44776.0</v>
      </c>
      <c r="E1349" s="24"/>
      <c r="F1349" s="14">
        <v>9.47</v>
      </c>
      <c r="G1349" s="14">
        <v>55.22</v>
      </c>
      <c r="H1349" s="14">
        <v>0.58</v>
      </c>
      <c r="I1349" s="14" t="s">
        <v>6042</v>
      </c>
      <c r="J1349" s="14">
        <v>0.0</v>
      </c>
      <c r="K1349" s="14" t="s">
        <v>6012</v>
      </c>
      <c r="L1349" s="14">
        <v>0.0</v>
      </c>
    </row>
    <row r="1350">
      <c r="A1350" s="14">
        <v>1041.0</v>
      </c>
      <c r="B1350" s="14">
        <v>12.0</v>
      </c>
      <c r="C1350" s="34">
        <v>51.44</v>
      </c>
      <c r="D1350" s="36">
        <v>44776.0</v>
      </c>
      <c r="E1350" s="24"/>
      <c r="F1350" s="14">
        <v>4.29</v>
      </c>
      <c r="G1350" s="14">
        <v>49.41</v>
      </c>
      <c r="H1350" s="14">
        <v>1.15</v>
      </c>
      <c r="I1350" s="14" t="s">
        <v>6047</v>
      </c>
      <c r="J1350" s="14">
        <v>25.0</v>
      </c>
      <c r="K1350" s="14">
        <v>17.15</v>
      </c>
      <c r="L1350" s="14">
        <v>0.0</v>
      </c>
    </row>
    <row r="1351">
      <c r="A1351" s="14">
        <v>240.0</v>
      </c>
      <c r="B1351" s="14">
        <v>5.0</v>
      </c>
      <c r="C1351" s="34">
        <v>11.49</v>
      </c>
      <c r="D1351" s="36">
        <v>44777.0</v>
      </c>
      <c r="E1351" s="24"/>
      <c r="F1351" s="14">
        <v>2.3</v>
      </c>
      <c r="G1351" s="14">
        <v>47.88</v>
      </c>
      <c r="H1351" s="14">
        <v>2.08</v>
      </c>
      <c r="I1351" s="14" t="s">
        <v>6039</v>
      </c>
      <c r="J1351" s="14">
        <v>40.0</v>
      </c>
      <c r="K1351" s="14">
        <v>5.74</v>
      </c>
      <c r="L1351" s="14">
        <v>0.0</v>
      </c>
    </row>
    <row r="1352">
      <c r="A1352" s="14">
        <v>426.0</v>
      </c>
      <c r="B1352" s="14">
        <v>7.0</v>
      </c>
      <c r="C1352" s="34">
        <v>21.48</v>
      </c>
      <c r="D1352" s="36">
        <v>44777.0</v>
      </c>
      <c r="E1352" s="24"/>
      <c r="F1352" s="14">
        <v>3.07</v>
      </c>
      <c r="G1352" s="14">
        <v>50.42</v>
      </c>
      <c r="H1352" s="14">
        <v>1.64</v>
      </c>
      <c r="I1352" s="14" t="s">
        <v>6047</v>
      </c>
      <c r="J1352" s="14">
        <v>0.0</v>
      </c>
      <c r="K1352" s="14" t="s">
        <v>6012</v>
      </c>
      <c r="L1352" s="14">
        <v>0.0</v>
      </c>
    </row>
    <row r="1353">
      <c r="A1353" s="14">
        <v>366.0</v>
      </c>
      <c r="B1353" s="14">
        <v>2.0</v>
      </c>
      <c r="C1353" s="34">
        <v>18.87</v>
      </c>
      <c r="D1353" s="36">
        <v>44777.0</v>
      </c>
      <c r="E1353" s="24"/>
      <c r="F1353" s="14">
        <v>9.44</v>
      </c>
      <c r="G1353" s="14">
        <v>51.56</v>
      </c>
      <c r="H1353" s="14">
        <v>0.55</v>
      </c>
      <c r="I1353" s="14" t="s">
        <v>6042</v>
      </c>
      <c r="J1353" s="14">
        <v>50.0</v>
      </c>
      <c r="K1353" s="14">
        <v>18.87</v>
      </c>
      <c r="L1353" s="14">
        <v>0.0</v>
      </c>
    </row>
    <row r="1354">
      <c r="A1354" s="14">
        <v>653.0</v>
      </c>
      <c r="B1354" s="14">
        <v>1.0</v>
      </c>
      <c r="C1354" s="34">
        <v>30.53</v>
      </c>
      <c r="D1354" s="36">
        <v>44777.0</v>
      </c>
      <c r="E1354" s="24"/>
      <c r="F1354" s="14">
        <v>30.53</v>
      </c>
      <c r="G1354" s="14">
        <v>46.75</v>
      </c>
      <c r="H1354" s="14">
        <v>0.15</v>
      </c>
      <c r="I1354" s="14" t="s">
        <v>6038</v>
      </c>
      <c r="J1354" s="14">
        <v>0.0</v>
      </c>
      <c r="K1354" s="14" t="s">
        <v>6012</v>
      </c>
      <c r="L1354" s="14">
        <v>0.0</v>
      </c>
    </row>
    <row r="1355">
      <c r="A1355" s="14">
        <v>503.0</v>
      </c>
      <c r="B1355" s="14">
        <v>1.0</v>
      </c>
      <c r="C1355" s="34">
        <v>11.26</v>
      </c>
      <c r="D1355" s="36">
        <v>44777.0</v>
      </c>
      <c r="E1355" s="24"/>
      <c r="F1355" s="14">
        <v>11.26</v>
      </c>
      <c r="G1355" s="14">
        <v>22.39</v>
      </c>
      <c r="H1355" s="14">
        <v>0.2</v>
      </c>
      <c r="I1355" s="14" t="s">
        <v>6037</v>
      </c>
      <c r="J1355" s="14">
        <v>200.0</v>
      </c>
      <c r="K1355" s="14">
        <v>5.63</v>
      </c>
      <c r="L1355" s="14">
        <v>0.0</v>
      </c>
    </row>
    <row r="1356">
      <c r="A1356" s="14">
        <v>1908.0</v>
      </c>
      <c r="B1356" s="14">
        <v>0.0</v>
      </c>
      <c r="C1356" s="34">
        <v>30.51</v>
      </c>
      <c r="D1356" s="36">
        <v>44777.0</v>
      </c>
      <c r="E1356" s="24"/>
      <c r="F1356" s="14" t="s">
        <v>6012</v>
      </c>
      <c r="G1356" s="14">
        <v>15.99</v>
      </c>
      <c r="H1356" s="14">
        <v>0.0</v>
      </c>
      <c r="I1356" s="14" t="s">
        <v>6035</v>
      </c>
      <c r="J1356" s="14" t="s">
        <v>6012</v>
      </c>
      <c r="K1356" s="14">
        <v>15.26</v>
      </c>
      <c r="L1356" s="14">
        <v>0.0</v>
      </c>
    </row>
    <row r="1357">
      <c r="A1357" s="14">
        <v>14.0</v>
      </c>
      <c r="B1357" s="14">
        <v>0.0</v>
      </c>
      <c r="C1357" s="34">
        <v>0.21</v>
      </c>
      <c r="D1357" s="36">
        <v>44777.0</v>
      </c>
      <c r="E1357" s="24"/>
      <c r="F1357" s="14" t="s">
        <v>6012</v>
      </c>
      <c r="G1357" s="14">
        <v>15.0</v>
      </c>
      <c r="H1357" s="14">
        <v>0.0</v>
      </c>
      <c r="I1357" s="14" t="s">
        <v>6036</v>
      </c>
      <c r="J1357" s="14" t="s">
        <v>6012</v>
      </c>
      <c r="K1357" s="14">
        <v>0.1</v>
      </c>
      <c r="L1357" s="14">
        <v>0.0</v>
      </c>
    </row>
    <row r="1358">
      <c r="A1358" s="14">
        <v>295.0</v>
      </c>
      <c r="B1358" s="14">
        <v>1.0</v>
      </c>
      <c r="C1358" s="34">
        <v>17.02</v>
      </c>
      <c r="D1358" s="36">
        <v>44778.0</v>
      </c>
      <c r="E1358" s="24"/>
      <c r="F1358" s="14">
        <v>17.02</v>
      </c>
      <c r="G1358" s="14">
        <v>57.69</v>
      </c>
      <c r="H1358" s="14">
        <v>0.34</v>
      </c>
      <c r="I1358" s="14" t="s">
        <v>6042</v>
      </c>
      <c r="J1358" s="14">
        <v>0.0</v>
      </c>
      <c r="K1358" s="14" t="s">
        <v>6012</v>
      </c>
      <c r="L1358" s="14">
        <v>0.0</v>
      </c>
    </row>
    <row r="1359">
      <c r="A1359" s="14">
        <v>1529.0</v>
      </c>
      <c r="B1359" s="14">
        <v>2.0</v>
      </c>
      <c r="C1359" s="34">
        <v>33.71</v>
      </c>
      <c r="D1359" s="36">
        <v>44778.0</v>
      </c>
      <c r="E1359" s="24"/>
      <c r="F1359" s="14">
        <v>16.86</v>
      </c>
      <c r="G1359" s="14">
        <v>22.05</v>
      </c>
      <c r="H1359" s="14">
        <v>0.13</v>
      </c>
      <c r="I1359" s="14" t="s">
        <v>6035</v>
      </c>
      <c r="J1359" s="14">
        <v>50.0</v>
      </c>
      <c r="K1359" s="14">
        <v>33.71</v>
      </c>
      <c r="L1359" s="14">
        <v>0.0</v>
      </c>
    </row>
    <row r="1360">
      <c r="A1360" s="14">
        <v>6.0</v>
      </c>
      <c r="B1360" s="14">
        <v>0.0</v>
      </c>
      <c r="C1360" s="34">
        <v>0.36</v>
      </c>
      <c r="D1360" s="36">
        <v>44778.0</v>
      </c>
      <c r="E1360" s="24"/>
      <c r="F1360" s="14" t="s">
        <v>6012</v>
      </c>
      <c r="G1360" s="14">
        <v>60.0</v>
      </c>
      <c r="H1360" s="14">
        <v>0.0</v>
      </c>
      <c r="I1360" s="14" t="s">
        <v>6036</v>
      </c>
      <c r="J1360" s="14" t="s">
        <v>6012</v>
      </c>
      <c r="K1360" s="14">
        <v>0.36</v>
      </c>
      <c r="L1360" s="14">
        <v>0.0</v>
      </c>
    </row>
    <row r="1361">
      <c r="A1361" s="14">
        <v>498.0</v>
      </c>
      <c r="B1361" s="14">
        <v>6.0</v>
      </c>
      <c r="C1361" s="34">
        <v>12.91</v>
      </c>
      <c r="D1361" s="36">
        <v>44778.0</v>
      </c>
      <c r="E1361" s="24"/>
      <c r="F1361" s="14">
        <v>2.15</v>
      </c>
      <c r="G1361" s="14">
        <v>25.92</v>
      </c>
      <c r="H1361" s="14">
        <v>1.2</v>
      </c>
      <c r="I1361" s="14" t="s">
        <v>6037</v>
      </c>
      <c r="J1361" s="14">
        <v>33.33</v>
      </c>
      <c r="K1361" s="14">
        <v>6.46</v>
      </c>
      <c r="L1361" s="14">
        <v>0.0</v>
      </c>
    </row>
    <row r="1362">
      <c r="A1362" s="14">
        <v>681.0</v>
      </c>
      <c r="B1362" s="14">
        <v>2.0</v>
      </c>
      <c r="C1362" s="34">
        <v>38.08</v>
      </c>
      <c r="D1362" s="36">
        <v>44778.0</v>
      </c>
      <c r="E1362" s="24"/>
      <c r="F1362" s="14">
        <v>19.04</v>
      </c>
      <c r="G1362" s="14">
        <v>55.92</v>
      </c>
      <c r="H1362" s="14">
        <v>0.29</v>
      </c>
      <c r="I1362" s="14" t="s">
        <v>6038</v>
      </c>
      <c r="J1362" s="14">
        <v>100.0</v>
      </c>
      <c r="K1362" s="14">
        <v>19.04</v>
      </c>
      <c r="L1362" s="14">
        <v>0.0</v>
      </c>
    </row>
    <row r="1363">
      <c r="A1363" s="14">
        <v>270.0</v>
      </c>
      <c r="B1363" s="14">
        <v>3.0</v>
      </c>
      <c r="C1363" s="34">
        <v>11.18</v>
      </c>
      <c r="D1363" s="36">
        <v>44778.0</v>
      </c>
      <c r="E1363" s="24"/>
      <c r="F1363" s="14">
        <v>3.73</v>
      </c>
      <c r="G1363" s="14">
        <v>41.41</v>
      </c>
      <c r="H1363" s="14">
        <v>1.11</v>
      </c>
      <c r="I1363" s="14" t="s">
        <v>6039</v>
      </c>
      <c r="J1363" s="14">
        <v>33.33</v>
      </c>
      <c r="K1363" s="14">
        <v>11.18</v>
      </c>
      <c r="L1363" s="14">
        <v>0.0</v>
      </c>
    </row>
    <row r="1364">
      <c r="A1364" s="14">
        <v>762.0</v>
      </c>
      <c r="B1364" s="14">
        <v>4.0</v>
      </c>
      <c r="C1364" s="34">
        <v>40.87</v>
      </c>
      <c r="D1364" s="36">
        <v>44779.0</v>
      </c>
      <c r="E1364" s="24"/>
      <c r="F1364" s="14">
        <v>10.22</v>
      </c>
      <c r="G1364" s="14">
        <v>53.64</v>
      </c>
      <c r="H1364" s="14">
        <v>0.52</v>
      </c>
      <c r="I1364" s="14" t="s">
        <v>6038</v>
      </c>
      <c r="J1364" s="14">
        <v>50.0</v>
      </c>
      <c r="K1364" s="14">
        <v>20.43</v>
      </c>
      <c r="L1364" s="14">
        <v>0.0</v>
      </c>
    </row>
    <row r="1365">
      <c r="A1365" s="14">
        <v>819.0</v>
      </c>
      <c r="B1365" s="14">
        <v>12.0</v>
      </c>
      <c r="C1365" s="34">
        <v>45.0</v>
      </c>
      <c r="D1365" s="36">
        <v>44779.0</v>
      </c>
      <c r="E1365" s="24"/>
      <c r="F1365" s="14">
        <v>3.75</v>
      </c>
      <c r="G1365" s="14">
        <v>54.95</v>
      </c>
      <c r="H1365" s="14">
        <v>1.47</v>
      </c>
      <c r="I1365" s="14" t="s">
        <v>6039</v>
      </c>
      <c r="J1365" s="14">
        <v>25.0</v>
      </c>
      <c r="K1365" s="14">
        <v>15.0</v>
      </c>
      <c r="L1365" s="14">
        <v>0.0</v>
      </c>
    </row>
    <row r="1366">
      <c r="A1366" s="14">
        <v>1358.0</v>
      </c>
      <c r="B1366" s="14">
        <v>11.0</v>
      </c>
      <c r="C1366" s="34">
        <v>44.96</v>
      </c>
      <c r="D1366" s="36">
        <v>44779.0</v>
      </c>
      <c r="E1366" s="24"/>
      <c r="F1366" s="14">
        <v>4.09</v>
      </c>
      <c r="G1366" s="14">
        <v>33.11</v>
      </c>
      <c r="H1366" s="14">
        <v>0.81</v>
      </c>
      <c r="I1366" s="14" t="s">
        <v>6037</v>
      </c>
      <c r="J1366" s="14">
        <v>0.0</v>
      </c>
      <c r="K1366" s="14" t="s">
        <v>6012</v>
      </c>
      <c r="L1366" s="14">
        <v>0.0</v>
      </c>
    </row>
    <row r="1367">
      <c r="A1367" s="14">
        <v>1529.0</v>
      </c>
      <c r="B1367" s="14">
        <v>3.0</v>
      </c>
      <c r="C1367" s="34">
        <v>43.78</v>
      </c>
      <c r="D1367" s="36">
        <v>44779.0</v>
      </c>
      <c r="E1367" s="24"/>
      <c r="F1367" s="14">
        <v>14.59</v>
      </c>
      <c r="G1367" s="14">
        <v>28.63</v>
      </c>
      <c r="H1367" s="14">
        <v>0.2</v>
      </c>
      <c r="I1367" s="14" t="s">
        <v>6035</v>
      </c>
      <c r="J1367" s="14">
        <v>66.67</v>
      </c>
      <c r="K1367" s="14">
        <v>21.89</v>
      </c>
      <c r="L1367" s="14">
        <v>0.0</v>
      </c>
    </row>
    <row r="1368">
      <c r="A1368" s="14">
        <v>484.0</v>
      </c>
      <c r="B1368" s="14">
        <v>5.0</v>
      </c>
      <c r="C1368" s="34">
        <v>33.78</v>
      </c>
      <c r="D1368" s="36">
        <v>44779.0</v>
      </c>
      <c r="E1368" s="24"/>
      <c r="F1368" s="14">
        <v>6.76</v>
      </c>
      <c r="G1368" s="14">
        <v>69.79</v>
      </c>
      <c r="H1368" s="14">
        <v>1.03</v>
      </c>
      <c r="I1368" s="14" t="s">
        <v>6036</v>
      </c>
      <c r="J1368" s="14">
        <v>40.0</v>
      </c>
      <c r="K1368" s="14">
        <v>16.89</v>
      </c>
      <c r="L1368" s="14">
        <v>0.0</v>
      </c>
    </row>
    <row r="1369">
      <c r="A1369" s="14">
        <v>178.0</v>
      </c>
      <c r="B1369" s="14">
        <v>1.0</v>
      </c>
      <c r="C1369" s="34">
        <v>8.25</v>
      </c>
      <c r="D1369" s="36">
        <v>44779.0</v>
      </c>
      <c r="E1369" s="24"/>
      <c r="F1369" s="14">
        <v>8.25</v>
      </c>
      <c r="G1369" s="14">
        <v>46.35</v>
      </c>
      <c r="H1369" s="14">
        <v>0.56</v>
      </c>
      <c r="I1369" s="14" t="s">
        <v>6042</v>
      </c>
      <c r="J1369" s="14">
        <v>0.0</v>
      </c>
      <c r="K1369" s="14" t="s">
        <v>6012</v>
      </c>
      <c r="L1369" s="14">
        <v>0.0</v>
      </c>
    </row>
    <row r="1370">
      <c r="A1370" s="14">
        <v>2354.0</v>
      </c>
      <c r="B1370" s="14">
        <v>25.0</v>
      </c>
      <c r="C1370" s="34">
        <v>45.0</v>
      </c>
      <c r="D1370" s="36">
        <v>44780.0</v>
      </c>
      <c r="E1370" s="24"/>
      <c r="F1370" s="14">
        <v>1.8</v>
      </c>
      <c r="G1370" s="14">
        <v>19.12</v>
      </c>
      <c r="H1370" s="14">
        <v>1.06</v>
      </c>
      <c r="I1370" s="14" t="s">
        <v>6037</v>
      </c>
      <c r="J1370" s="14">
        <v>0.0</v>
      </c>
      <c r="K1370" s="14" t="s">
        <v>6012</v>
      </c>
      <c r="L1370" s="14">
        <v>0.0</v>
      </c>
    </row>
    <row r="1371">
      <c r="A1371" s="14">
        <v>150.0</v>
      </c>
      <c r="B1371" s="14">
        <v>0.0</v>
      </c>
      <c r="C1371" s="34">
        <v>7.32</v>
      </c>
      <c r="D1371" s="36">
        <v>44780.0</v>
      </c>
      <c r="E1371" s="24"/>
      <c r="F1371" s="14" t="s">
        <v>6012</v>
      </c>
      <c r="G1371" s="14">
        <v>48.8</v>
      </c>
      <c r="H1371" s="14">
        <v>0.0</v>
      </c>
      <c r="I1371" s="14" t="s">
        <v>6042</v>
      </c>
      <c r="J1371" s="14" t="s">
        <v>6012</v>
      </c>
      <c r="K1371" s="14" t="s">
        <v>6012</v>
      </c>
      <c r="L1371" s="14">
        <v>0.0</v>
      </c>
    </row>
    <row r="1372">
      <c r="A1372" s="14">
        <v>1063.0</v>
      </c>
      <c r="B1372" s="14">
        <v>19.0</v>
      </c>
      <c r="C1372" s="34">
        <v>45.0</v>
      </c>
      <c r="D1372" s="36">
        <v>44780.0</v>
      </c>
      <c r="E1372" s="24"/>
      <c r="F1372" s="14">
        <v>2.37</v>
      </c>
      <c r="G1372" s="14">
        <v>42.33</v>
      </c>
      <c r="H1372" s="14">
        <v>1.79</v>
      </c>
      <c r="I1372" s="14" t="s">
        <v>6039</v>
      </c>
      <c r="J1372" s="14">
        <v>21.05</v>
      </c>
      <c r="K1372" s="14">
        <v>11.25</v>
      </c>
      <c r="L1372" s="14">
        <v>0.0</v>
      </c>
    </row>
    <row r="1373">
      <c r="A1373" s="14">
        <v>2094.0</v>
      </c>
      <c r="B1373" s="14">
        <v>4.0</v>
      </c>
      <c r="C1373" s="34">
        <v>46.34</v>
      </c>
      <c r="D1373" s="36">
        <v>44780.0</v>
      </c>
      <c r="E1373" s="24"/>
      <c r="F1373" s="14">
        <v>11.58</v>
      </c>
      <c r="G1373" s="14">
        <v>22.13</v>
      </c>
      <c r="H1373" s="14">
        <v>0.19</v>
      </c>
      <c r="I1373" s="14" t="s">
        <v>6035</v>
      </c>
      <c r="J1373" s="14">
        <v>25.0</v>
      </c>
      <c r="K1373" s="14">
        <v>46.34</v>
      </c>
      <c r="L1373" s="14">
        <v>0.0</v>
      </c>
    </row>
    <row r="1374">
      <c r="A1374" s="14">
        <v>0.0</v>
      </c>
      <c r="B1374" s="14">
        <v>0.0</v>
      </c>
      <c r="C1374" s="34"/>
      <c r="D1374" s="36">
        <v>44780.0</v>
      </c>
      <c r="E1374" s="24"/>
      <c r="F1374" s="14" t="s">
        <v>6012</v>
      </c>
      <c r="G1374" s="14" t="s">
        <v>6012</v>
      </c>
      <c r="H1374" s="14" t="s">
        <v>6012</v>
      </c>
      <c r="I1374" s="14" t="s">
        <v>6043</v>
      </c>
      <c r="J1374" s="14" t="s">
        <v>6012</v>
      </c>
      <c r="K1374" s="14" t="s">
        <v>6012</v>
      </c>
      <c r="L1374" s="14"/>
    </row>
    <row r="1375">
      <c r="A1375" s="14">
        <v>821.0</v>
      </c>
      <c r="B1375" s="14">
        <v>2.0</v>
      </c>
      <c r="C1375" s="34">
        <v>41.55</v>
      </c>
      <c r="D1375" s="36">
        <v>44780.0</v>
      </c>
      <c r="E1375" s="24"/>
      <c r="F1375" s="14">
        <v>20.78</v>
      </c>
      <c r="G1375" s="14">
        <v>50.61</v>
      </c>
      <c r="H1375" s="14">
        <v>0.24</v>
      </c>
      <c r="I1375" s="14" t="s">
        <v>6038</v>
      </c>
      <c r="J1375" s="14">
        <v>0.0</v>
      </c>
      <c r="K1375" s="14" t="s">
        <v>6012</v>
      </c>
      <c r="L1375" s="14">
        <v>0.0</v>
      </c>
    </row>
    <row r="1376">
      <c r="A1376" s="14">
        <v>660.0</v>
      </c>
      <c r="B1376" s="14">
        <v>6.0</v>
      </c>
      <c r="C1376" s="34">
        <v>33.83</v>
      </c>
      <c r="D1376" s="36">
        <v>44780.0</v>
      </c>
      <c r="E1376" s="24"/>
      <c r="F1376" s="14">
        <v>5.64</v>
      </c>
      <c r="G1376" s="14">
        <v>51.26</v>
      </c>
      <c r="H1376" s="14">
        <v>0.91</v>
      </c>
      <c r="I1376" s="14" t="s">
        <v>6036</v>
      </c>
      <c r="J1376" s="14">
        <v>66.67</v>
      </c>
      <c r="K1376" s="14">
        <v>8.46</v>
      </c>
      <c r="L1376" s="14">
        <v>0.0</v>
      </c>
    </row>
    <row r="1377">
      <c r="A1377" s="14">
        <v>1342.0</v>
      </c>
      <c r="B1377" s="14">
        <v>1.0</v>
      </c>
      <c r="C1377" s="34">
        <v>35.78</v>
      </c>
      <c r="D1377" s="36">
        <v>44781.0</v>
      </c>
      <c r="E1377" s="24"/>
      <c r="F1377" s="14">
        <v>35.78</v>
      </c>
      <c r="G1377" s="14">
        <v>26.66</v>
      </c>
      <c r="H1377" s="14">
        <v>0.07</v>
      </c>
      <c r="I1377" s="14" t="s">
        <v>6038</v>
      </c>
      <c r="J1377" s="14">
        <v>100.0</v>
      </c>
      <c r="K1377" s="14">
        <v>35.78</v>
      </c>
      <c r="L1377" s="14">
        <v>0.0</v>
      </c>
    </row>
    <row r="1378">
      <c r="A1378" s="14">
        <v>2549.0</v>
      </c>
      <c r="B1378" s="14">
        <v>2.0</v>
      </c>
      <c r="C1378" s="34">
        <v>36.43</v>
      </c>
      <c r="D1378" s="36">
        <v>44781.0</v>
      </c>
      <c r="E1378" s="24"/>
      <c r="F1378" s="14">
        <v>18.22</v>
      </c>
      <c r="G1378" s="14">
        <v>14.29</v>
      </c>
      <c r="H1378" s="14">
        <v>0.08</v>
      </c>
      <c r="I1378" s="14" t="s">
        <v>6035</v>
      </c>
      <c r="J1378" s="14">
        <v>50.0</v>
      </c>
      <c r="K1378" s="14">
        <v>36.43</v>
      </c>
      <c r="L1378" s="14">
        <v>0.0</v>
      </c>
    </row>
    <row r="1379">
      <c r="A1379" s="14">
        <v>379.0</v>
      </c>
      <c r="B1379" s="14">
        <v>0.0</v>
      </c>
      <c r="C1379" s="34">
        <v>15.81</v>
      </c>
      <c r="D1379" s="36">
        <v>44781.0</v>
      </c>
      <c r="E1379" s="24"/>
      <c r="F1379" s="14" t="s">
        <v>6012</v>
      </c>
      <c r="G1379" s="14">
        <v>41.72</v>
      </c>
      <c r="H1379" s="14">
        <v>0.0</v>
      </c>
      <c r="I1379" s="14" t="s">
        <v>6042</v>
      </c>
      <c r="J1379" s="14" t="s">
        <v>6012</v>
      </c>
      <c r="K1379" s="14" t="s">
        <v>6012</v>
      </c>
      <c r="L1379" s="14">
        <v>0.0</v>
      </c>
    </row>
    <row r="1380">
      <c r="A1380" s="14">
        <v>595.0</v>
      </c>
      <c r="B1380" s="14">
        <v>4.0</v>
      </c>
      <c r="C1380" s="34">
        <v>26.26</v>
      </c>
      <c r="D1380" s="36">
        <v>44781.0</v>
      </c>
      <c r="E1380" s="24"/>
      <c r="F1380" s="14">
        <v>6.56</v>
      </c>
      <c r="G1380" s="14">
        <v>44.13</v>
      </c>
      <c r="H1380" s="14">
        <v>0.67</v>
      </c>
      <c r="I1380" s="14" t="s">
        <v>6036</v>
      </c>
      <c r="J1380" s="14">
        <v>25.0</v>
      </c>
      <c r="K1380" s="14">
        <v>26.26</v>
      </c>
      <c r="L1380" s="14">
        <v>0.0</v>
      </c>
    </row>
    <row r="1381">
      <c r="A1381" s="14">
        <v>0.0</v>
      </c>
      <c r="B1381" s="14">
        <v>0.0</v>
      </c>
      <c r="C1381" s="34"/>
      <c r="D1381" s="36">
        <v>44781.0</v>
      </c>
      <c r="E1381" s="24"/>
      <c r="F1381" s="14" t="s">
        <v>6012</v>
      </c>
      <c r="G1381" s="14" t="s">
        <v>6012</v>
      </c>
      <c r="H1381" s="14" t="s">
        <v>6012</v>
      </c>
      <c r="I1381" s="14" t="s">
        <v>6047</v>
      </c>
      <c r="J1381" s="14" t="s">
        <v>6012</v>
      </c>
      <c r="K1381" s="14" t="s">
        <v>6012</v>
      </c>
      <c r="L1381" s="14"/>
    </row>
    <row r="1382">
      <c r="A1382" s="14">
        <v>2160.0</v>
      </c>
      <c r="B1382" s="14">
        <v>7.0</v>
      </c>
      <c r="C1382" s="34">
        <v>35.36</v>
      </c>
      <c r="D1382" s="36">
        <v>44781.0</v>
      </c>
      <c r="E1382" s="24"/>
      <c r="F1382" s="14">
        <v>5.05</v>
      </c>
      <c r="G1382" s="14">
        <v>16.37</v>
      </c>
      <c r="H1382" s="14">
        <v>0.32</v>
      </c>
      <c r="I1382" s="14" t="s">
        <v>6037</v>
      </c>
      <c r="J1382" s="14">
        <v>0.0</v>
      </c>
      <c r="K1382" s="14" t="s">
        <v>6012</v>
      </c>
      <c r="L1382" s="14">
        <v>0.0</v>
      </c>
    </row>
    <row r="1383">
      <c r="A1383" s="14">
        <v>1133.0</v>
      </c>
      <c r="B1383" s="14">
        <v>14.0</v>
      </c>
      <c r="C1383" s="34">
        <v>34.41</v>
      </c>
      <c r="D1383" s="36">
        <v>44781.0</v>
      </c>
      <c r="E1383" s="24"/>
      <c r="F1383" s="14">
        <v>2.46</v>
      </c>
      <c r="G1383" s="14">
        <v>30.37</v>
      </c>
      <c r="H1383" s="14">
        <v>1.24</v>
      </c>
      <c r="I1383" s="14" t="s">
        <v>6039</v>
      </c>
      <c r="J1383" s="14">
        <v>21.43</v>
      </c>
      <c r="K1383" s="14">
        <v>11.47</v>
      </c>
      <c r="L1383" s="14">
        <v>0.0</v>
      </c>
    </row>
    <row r="1384">
      <c r="A1384" s="14">
        <v>1033.0</v>
      </c>
      <c r="B1384" s="14">
        <v>13.0</v>
      </c>
      <c r="C1384" s="34">
        <v>36.79</v>
      </c>
      <c r="D1384" s="36">
        <v>44782.0</v>
      </c>
      <c r="E1384" s="24"/>
      <c r="F1384" s="14">
        <v>2.83</v>
      </c>
      <c r="G1384" s="14">
        <v>35.61</v>
      </c>
      <c r="H1384" s="14">
        <v>1.26</v>
      </c>
      <c r="I1384" s="14" t="s">
        <v>6039</v>
      </c>
      <c r="J1384" s="14">
        <v>30.77</v>
      </c>
      <c r="K1384" s="14">
        <v>9.2</v>
      </c>
      <c r="L1384" s="14">
        <v>0.0</v>
      </c>
    </row>
    <row r="1385">
      <c r="A1385" s="14">
        <v>815.0</v>
      </c>
      <c r="B1385" s="14">
        <v>7.0</v>
      </c>
      <c r="C1385" s="34">
        <v>29.58</v>
      </c>
      <c r="D1385" s="36">
        <v>44782.0</v>
      </c>
      <c r="E1385" s="24"/>
      <c r="F1385" s="14">
        <v>4.23</v>
      </c>
      <c r="G1385" s="14">
        <v>36.29</v>
      </c>
      <c r="H1385" s="14">
        <v>0.86</v>
      </c>
      <c r="I1385" s="14" t="s">
        <v>6036</v>
      </c>
      <c r="J1385" s="14">
        <v>0.0</v>
      </c>
      <c r="K1385" s="14" t="s">
        <v>6012</v>
      </c>
      <c r="L1385" s="14">
        <v>0.0</v>
      </c>
    </row>
    <row r="1386">
      <c r="A1386" s="14">
        <v>0.0</v>
      </c>
      <c r="B1386" s="14">
        <v>0.0</v>
      </c>
      <c r="C1386" s="34"/>
      <c r="D1386" s="36">
        <v>44782.0</v>
      </c>
      <c r="E1386" s="24"/>
      <c r="F1386" s="14" t="s">
        <v>6012</v>
      </c>
      <c r="G1386" s="14" t="s">
        <v>6012</v>
      </c>
      <c r="H1386" s="14" t="s">
        <v>6012</v>
      </c>
      <c r="I1386" s="14" t="s">
        <v>6047</v>
      </c>
      <c r="J1386" s="14" t="s">
        <v>6012</v>
      </c>
      <c r="K1386" s="14" t="s">
        <v>6012</v>
      </c>
      <c r="L1386" s="14"/>
    </row>
    <row r="1387">
      <c r="A1387" s="14">
        <v>441.0</v>
      </c>
      <c r="B1387" s="14">
        <v>0.0</v>
      </c>
      <c r="C1387" s="34">
        <v>18.37</v>
      </c>
      <c r="D1387" s="36">
        <v>44782.0</v>
      </c>
      <c r="E1387" s="24"/>
      <c r="F1387" s="14" t="s">
        <v>6012</v>
      </c>
      <c r="G1387" s="14">
        <v>41.66</v>
      </c>
      <c r="H1387" s="14">
        <v>0.0</v>
      </c>
      <c r="I1387" s="14" t="s">
        <v>6042</v>
      </c>
      <c r="J1387" s="14" t="s">
        <v>6012</v>
      </c>
      <c r="K1387" s="14">
        <v>18.37</v>
      </c>
      <c r="L1387" s="14">
        <v>0.0</v>
      </c>
    </row>
    <row r="1388">
      <c r="A1388" s="14">
        <v>1996.0</v>
      </c>
      <c r="B1388" s="14">
        <v>10.0</v>
      </c>
      <c r="C1388" s="34">
        <v>35.93</v>
      </c>
      <c r="D1388" s="36">
        <v>44782.0</v>
      </c>
      <c r="E1388" s="24"/>
      <c r="F1388" s="14">
        <v>3.59</v>
      </c>
      <c r="G1388" s="14">
        <v>18.0</v>
      </c>
      <c r="H1388" s="14">
        <v>0.5</v>
      </c>
      <c r="I1388" s="14" t="s">
        <v>6037</v>
      </c>
      <c r="J1388" s="14">
        <v>30.0</v>
      </c>
      <c r="K1388" s="14">
        <v>11.98</v>
      </c>
      <c r="L1388" s="14">
        <v>0.0</v>
      </c>
    </row>
    <row r="1389">
      <c r="A1389" s="14">
        <v>1281.0</v>
      </c>
      <c r="B1389" s="14">
        <v>3.0</v>
      </c>
      <c r="C1389" s="34">
        <v>41.77</v>
      </c>
      <c r="D1389" s="36">
        <v>44782.0</v>
      </c>
      <c r="E1389" s="24"/>
      <c r="F1389" s="14">
        <v>13.92</v>
      </c>
      <c r="G1389" s="14">
        <v>32.61</v>
      </c>
      <c r="H1389" s="14">
        <v>0.23</v>
      </c>
      <c r="I1389" s="14" t="s">
        <v>6038</v>
      </c>
      <c r="J1389" s="14">
        <v>66.67</v>
      </c>
      <c r="K1389" s="14">
        <v>20.88</v>
      </c>
      <c r="L1389" s="14">
        <v>0.0</v>
      </c>
    </row>
    <row r="1390">
      <c r="A1390" s="14">
        <v>2450.0</v>
      </c>
      <c r="B1390" s="14">
        <v>2.0</v>
      </c>
      <c r="C1390" s="34">
        <v>45.54</v>
      </c>
      <c r="D1390" s="36">
        <v>44782.0</v>
      </c>
      <c r="E1390" s="24"/>
      <c r="F1390" s="14">
        <v>22.77</v>
      </c>
      <c r="G1390" s="14">
        <v>18.59</v>
      </c>
      <c r="H1390" s="14">
        <v>0.08</v>
      </c>
      <c r="I1390" s="14" t="s">
        <v>6035</v>
      </c>
      <c r="J1390" s="14">
        <v>50.0</v>
      </c>
      <c r="K1390" s="14">
        <v>45.54</v>
      </c>
      <c r="L1390" s="14">
        <v>0.0</v>
      </c>
    </row>
    <row r="1391">
      <c r="A1391" s="14">
        <v>0.0</v>
      </c>
      <c r="B1391" s="14">
        <v>0.0</v>
      </c>
      <c r="C1391" s="34"/>
      <c r="D1391" s="36">
        <v>44783.0</v>
      </c>
      <c r="E1391" s="24"/>
      <c r="F1391" s="14" t="s">
        <v>6012</v>
      </c>
      <c r="G1391" s="14" t="s">
        <v>6012</v>
      </c>
      <c r="H1391" s="14" t="s">
        <v>6012</v>
      </c>
      <c r="I1391" s="14" t="s">
        <v>6047</v>
      </c>
      <c r="J1391" s="14" t="s">
        <v>6012</v>
      </c>
      <c r="K1391" s="14" t="s">
        <v>6012</v>
      </c>
      <c r="L1391" s="14"/>
    </row>
    <row r="1392">
      <c r="A1392" s="14">
        <v>1874.0</v>
      </c>
      <c r="B1392" s="14">
        <v>11.0</v>
      </c>
      <c r="C1392" s="34">
        <v>36.4</v>
      </c>
      <c r="D1392" s="36">
        <v>44783.0</v>
      </c>
      <c r="E1392" s="24"/>
      <c r="F1392" s="14">
        <v>3.31</v>
      </c>
      <c r="G1392" s="14">
        <v>19.42</v>
      </c>
      <c r="H1392" s="14">
        <v>0.59</v>
      </c>
      <c r="I1392" s="14" t="s">
        <v>6037</v>
      </c>
      <c r="J1392" s="14">
        <v>36.36</v>
      </c>
      <c r="K1392" s="14">
        <v>9.1</v>
      </c>
      <c r="L1392" s="14">
        <v>0.0</v>
      </c>
    </row>
    <row r="1393">
      <c r="A1393" s="14">
        <v>1091.0</v>
      </c>
      <c r="B1393" s="14">
        <v>1.0</v>
      </c>
      <c r="C1393" s="34">
        <v>41.53</v>
      </c>
      <c r="D1393" s="36">
        <v>44783.0</v>
      </c>
      <c r="E1393" s="24"/>
      <c r="F1393" s="14">
        <v>41.53</v>
      </c>
      <c r="G1393" s="14">
        <v>38.07</v>
      </c>
      <c r="H1393" s="14">
        <v>0.09</v>
      </c>
      <c r="I1393" s="14" t="s">
        <v>6038</v>
      </c>
      <c r="J1393" s="14">
        <v>200.0</v>
      </c>
      <c r="K1393" s="14">
        <v>20.76</v>
      </c>
      <c r="L1393" s="14">
        <v>0.0</v>
      </c>
    </row>
    <row r="1394">
      <c r="A1394" s="14">
        <v>0.0</v>
      </c>
      <c r="B1394" s="14">
        <v>0.0</v>
      </c>
      <c r="C1394" s="34"/>
      <c r="D1394" s="36">
        <v>44783.0</v>
      </c>
      <c r="E1394" s="24"/>
      <c r="F1394" s="14" t="s">
        <v>6012</v>
      </c>
      <c r="G1394" s="14" t="s">
        <v>6012</v>
      </c>
      <c r="H1394" s="14" t="s">
        <v>6012</v>
      </c>
      <c r="I1394" s="14" t="s">
        <v>6043</v>
      </c>
      <c r="J1394" s="14" t="s">
        <v>6012</v>
      </c>
      <c r="K1394" s="14" t="s">
        <v>6012</v>
      </c>
      <c r="L1394" s="14"/>
    </row>
    <row r="1395">
      <c r="A1395" s="14">
        <v>1623.0</v>
      </c>
      <c r="B1395" s="14">
        <v>2.0</v>
      </c>
      <c r="C1395" s="34">
        <v>40.83</v>
      </c>
      <c r="D1395" s="36">
        <v>44783.0</v>
      </c>
      <c r="E1395" s="24"/>
      <c r="F1395" s="14">
        <v>20.42</v>
      </c>
      <c r="G1395" s="14">
        <v>25.16</v>
      </c>
      <c r="H1395" s="14">
        <v>0.12</v>
      </c>
      <c r="I1395" s="14" t="s">
        <v>6035</v>
      </c>
      <c r="J1395" s="14">
        <v>50.0</v>
      </c>
      <c r="K1395" s="14">
        <v>40.83</v>
      </c>
      <c r="L1395" s="14">
        <v>0.0</v>
      </c>
    </row>
    <row r="1396">
      <c r="A1396" s="14">
        <v>862.0</v>
      </c>
      <c r="B1396" s="14">
        <v>8.0</v>
      </c>
      <c r="C1396" s="34">
        <v>30.82</v>
      </c>
      <c r="D1396" s="36">
        <v>44783.0</v>
      </c>
      <c r="E1396" s="24"/>
      <c r="F1396" s="14">
        <v>3.85</v>
      </c>
      <c r="G1396" s="14">
        <v>35.75</v>
      </c>
      <c r="H1396" s="14">
        <v>0.93</v>
      </c>
      <c r="I1396" s="14" t="s">
        <v>6036</v>
      </c>
      <c r="J1396" s="14">
        <v>75.0</v>
      </c>
      <c r="K1396" s="14">
        <v>5.14</v>
      </c>
      <c r="L1396" s="14">
        <v>0.0</v>
      </c>
    </row>
    <row r="1397">
      <c r="A1397" s="14">
        <v>440.0</v>
      </c>
      <c r="B1397" s="14">
        <v>0.0</v>
      </c>
      <c r="C1397" s="34">
        <v>18.39</v>
      </c>
      <c r="D1397" s="36">
        <v>44783.0</v>
      </c>
      <c r="E1397" s="24"/>
      <c r="F1397" s="14" t="s">
        <v>6012</v>
      </c>
      <c r="G1397" s="14">
        <v>41.8</v>
      </c>
      <c r="H1397" s="14">
        <v>0.0</v>
      </c>
      <c r="I1397" s="14" t="s">
        <v>6042</v>
      </c>
      <c r="J1397" s="14" t="s">
        <v>6012</v>
      </c>
      <c r="K1397" s="14">
        <v>18.39</v>
      </c>
      <c r="L1397" s="14">
        <v>0.0</v>
      </c>
    </row>
    <row r="1398">
      <c r="A1398" s="14">
        <v>953.0</v>
      </c>
      <c r="B1398" s="14">
        <v>4.0</v>
      </c>
      <c r="C1398" s="34">
        <v>37.06</v>
      </c>
      <c r="D1398" s="36">
        <v>44783.0</v>
      </c>
      <c r="E1398" s="24"/>
      <c r="F1398" s="14">
        <v>9.26</v>
      </c>
      <c r="G1398" s="14">
        <v>38.89</v>
      </c>
      <c r="H1398" s="14">
        <v>0.42</v>
      </c>
      <c r="I1398" s="14" t="s">
        <v>6039</v>
      </c>
      <c r="J1398" s="14">
        <v>75.0</v>
      </c>
      <c r="K1398" s="14">
        <v>12.35</v>
      </c>
      <c r="L1398" s="14">
        <v>0.0</v>
      </c>
    </row>
    <row r="1399">
      <c r="A1399" s="14">
        <v>906.0</v>
      </c>
      <c r="B1399" s="14">
        <v>7.0</v>
      </c>
      <c r="C1399" s="34">
        <v>36.68</v>
      </c>
      <c r="D1399" s="36">
        <v>44784.0</v>
      </c>
      <c r="E1399" s="24"/>
      <c r="F1399" s="14">
        <v>5.24</v>
      </c>
      <c r="G1399" s="14">
        <v>40.49</v>
      </c>
      <c r="H1399" s="14">
        <v>0.77</v>
      </c>
      <c r="I1399" s="14" t="s">
        <v>6039</v>
      </c>
      <c r="J1399" s="14">
        <v>42.86</v>
      </c>
      <c r="K1399" s="14">
        <v>12.23</v>
      </c>
      <c r="L1399" s="14">
        <v>0.0</v>
      </c>
    </row>
    <row r="1400">
      <c r="A1400" s="14">
        <v>1103.0</v>
      </c>
      <c r="B1400" s="14">
        <v>1.0</v>
      </c>
      <c r="C1400" s="34">
        <v>41.85</v>
      </c>
      <c r="D1400" s="36">
        <v>44784.0</v>
      </c>
      <c r="E1400" s="24"/>
      <c r="F1400" s="14">
        <v>41.85</v>
      </c>
      <c r="G1400" s="14">
        <v>37.94</v>
      </c>
      <c r="H1400" s="14">
        <v>0.09</v>
      </c>
      <c r="I1400" s="14" t="s">
        <v>6038</v>
      </c>
      <c r="J1400" s="14">
        <v>300.0</v>
      </c>
      <c r="K1400" s="14">
        <v>13.95</v>
      </c>
      <c r="L1400" s="14">
        <v>0.0</v>
      </c>
    </row>
    <row r="1401">
      <c r="A1401" s="14">
        <v>434.0</v>
      </c>
      <c r="B1401" s="14">
        <v>2.0</v>
      </c>
      <c r="C1401" s="34">
        <v>19.16</v>
      </c>
      <c r="D1401" s="36">
        <v>44784.0</v>
      </c>
      <c r="E1401" s="24"/>
      <c r="F1401" s="14">
        <v>9.58</v>
      </c>
      <c r="G1401" s="14">
        <v>44.15</v>
      </c>
      <c r="H1401" s="14">
        <v>0.46</v>
      </c>
      <c r="I1401" s="14" t="s">
        <v>6042</v>
      </c>
      <c r="J1401" s="14">
        <v>0.0</v>
      </c>
      <c r="K1401" s="14" t="s">
        <v>6012</v>
      </c>
      <c r="L1401" s="14">
        <v>0.0</v>
      </c>
    </row>
    <row r="1402">
      <c r="A1402" s="14">
        <v>811.0</v>
      </c>
      <c r="B1402" s="14">
        <v>8.0</v>
      </c>
      <c r="C1402" s="34">
        <v>30.75</v>
      </c>
      <c r="D1402" s="36">
        <v>44784.0</v>
      </c>
      <c r="E1402" s="24"/>
      <c r="F1402" s="14">
        <v>3.84</v>
      </c>
      <c r="G1402" s="14">
        <v>37.92</v>
      </c>
      <c r="H1402" s="14">
        <v>0.99</v>
      </c>
      <c r="I1402" s="14" t="s">
        <v>6036</v>
      </c>
      <c r="J1402" s="14">
        <v>25.0</v>
      </c>
      <c r="K1402" s="14">
        <v>15.38</v>
      </c>
      <c r="L1402" s="14">
        <v>0.0</v>
      </c>
    </row>
    <row r="1403">
      <c r="A1403" s="14">
        <v>2471.0</v>
      </c>
      <c r="B1403" s="14">
        <v>3.0</v>
      </c>
      <c r="C1403" s="34">
        <v>40.69</v>
      </c>
      <c r="D1403" s="36">
        <v>44784.0</v>
      </c>
      <c r="E1403" s="24"/>
      <c r="F1403" s="14">
        <v>13.56</v>
      </c>
      <c r="G1403" s="14">
        <v>16.47</v>
      </c>
      <c r="H1403" s="14">
        <v>0.12</v>
      </c>
      <c r="I1403" s="14" t="s">
        <v>6035</v>
      </c>
      <c r="J1403" s="14">
        <v>133.33</v>
      </c>
      <c r="K1403" s="14">
        <v>10.17</v>
      </c>
      <c r="L1403" s="14">
        <v>0.0</v>
      </c>
    </row>
    <row r="1404">
      <c r="A1404" s="14">
        <v>1763.0</v>
      </c>
      <c r="B1404" s="14">
        <v>10.0</v>
      </c>
      <c r="C1404" s="34">
        <v>36.3</v>
      </c>
      <c r="D1404" s="36">
        <v>44784.0</v>
      </c>
      <c r="E1404" s="24"/>
      <c r="F1404" s="14">
        <v>3.63</v>
      </c>
      <c r="G1404" s="14">
        <v>20.59</v>
      </c>
      <c r="H1404" s="14">
        <v>0.57</v>
      </c>
      <c r="I1404" s="14" t="s">
        <v>6037</v>
      </c>
      <c r="J1404" s="14">
        <v>50.0</v>
      </c>
      <c r="K1404" s="14">
        <v>7.26</v>
      </c>
      <c r="L1404" s="14">
        <v>0.0</v>
      </c>
    </row>
    <row r="1405">
      <c r="A1405" s="14">
        <v>845.0</v>
      </c>
      <c r="B1405" s="14">
        <v>2.0</v>
      </c>
      <c r="C1405" s="34">
        <v>40.13</v>
      </c>
      <c r="D1405" s="36">
        <v>44785.0</v>
      </c>
      <c r="E1405" s="24"/>
      <c r="F1405" s="14">
        <v>20.07</v>
      </c>
      <c r="G1405" s="14">
        <v>47.49</v>
      </c>
      <c r="H1405" s="14">
        <v>0.24</v>
      </c>
      <c r="I1405" s="14" t="s">
        <v>6038</v>
      </c>
      <c r="J1405" s="14">
        <v>100.0</v>
      </c>
      <c r="K1405" s="14">
        <v>20.07</v>
      </c>
      <c r="L1405" s="14">
        <v>0.0</v>
      </c>
    </row>
    <row r="1406">
      <c r="A1406" s="14">
        <v>688.0</v>
      </c>
      <c r="B1406" s="14">
        <v>8.0</v>
      </c>
      <c r="C1406" s="34">
        <v>31.76</v>
      </c>
      <c r="D1406" s="36">
        <v>44785.0</v>
      </c>
      <c r="E1406" s="24"/>
      <c r="F1406" s="14">
        <v>3.97</v>
      </c>
      <c r="G1406" s="14">
        <v>46.16</v>
      </c>
      <c r="H1406" s="14">
        <v>1.16</v>
      </c>
      <c r="I1406" s="14" t="s">
        <v>6039</v>
      </c>
      <c r="J1406" s="14">
        <v>25.0</v>
      </c>
      <c r="K1406" s="14">
        <v>15.88</v>
      </c>
      <c r="L1406" s="14">
        <v>0.0</v>
      </c>
    </row>
    <row r="1407">
      <c r="A1407" s="14">
        <v>1494.0</v>
      </c>
      <c r="B1407" s="14">
        <v>9.0</v>
      </c>
      <c r="C1407" s="34">
        <v>33.14</v>
      </c>
      <c r="D1407" s="36">
        <v>44785.0</v>
      </c>
      <c r="E1407" s="24"/>
      <c r="F1407" s="14">
        <v>3.68</v>
      </c>
      <c r="G1407" s="14">
        <v>22.18</v>
      </c>
      <c r="H1407" s="14">
        <v>0.6</v>
      </c>
      <c r="I1407" s="14" t="s">
        <v>6037</v>
      </c>
      <c r="J1407" s="14">
        <v>33.33</v>
      </c>
      <c r="K1407" s="14">
        <v>11.05</v>
      </c>
      <c r="L1407" s="14">
        <v>0.0</v>
      </c>
    </row>
    <row r="1408">
      <c r="A1408" s="14">
        <v>456.0</v>
      </c>
      <c r="B1408" s="14">
        <v>6.0</v>
      </c>
      <c r="C1408" s="34">
        <v>18.24</v>
      </c>
      <c r="D1408" s="36">
        <v>44785.0</v>
      </c>
      <c r="E1408" s="24"/>
      <c r="F1408" s="14">
        <v>3.04</v>
      </c>
      <c r="G1408" s="14">
        <v>40.0</v>
      </c>
      <c r="H1408" s="14">
        <v>1.32</v>
      </c>
      <c r="I1408" s="14" t="s">
        <v>6042</v>
      </c>
      <c r="J1408" s="14">
        <v>66.67</v>
      </c>
      <c r="K1408" s="14">
        <v>4.56</v>
      </c>
      <c r="L1408" s="14">
        <v>0.0</v>
      </c>
    </row>
    <row r="1409">
      <c r="A1409" s="14">
        <v>651.0</v>
      </c>
      <c r="B1409" s="14">
        <v>2.0</v>
      </c>
      <c r="C1409" s="34">
        <v>28.25</v>
      </c>
      <c r="D1409" s="36">
        <v>44785.0</v>
      </c>
      <c r="E1409" s="24"/>
      <c r="F1409" s="14">
        <v>14.12</v>
      </c>
      <c r="G1409" s="14">
        <v>43.39</v>
      </c>
      <c r="H1409" s="14">
        <v>0.31</v>
      </c>
      <c r="I1409" s="14" t="s">
        <v>6036</v>
      </c>
      <c r="J1409" s="14">
        <v>50.0</v>
      </c>
      <c r="K1409" s="14">
        <v>28.25</v>
      </c>
      <c r="L1409" s="14">
        <v>0.0</v>
      </c>
    </row>
    <row r="1410">
      <c r="A1410" s="14">
        <v>2311.0</v>
      </c>
      <c r="B1410" s="14">
        <v>1.0</v>
      </c>
      <c r="C1410" s="34">
        <v>38.34</v>
      </c>
      <c r="D1410" s="36">
        <v>44785.0</v>
      </c>
      <c r="E1410" s="24"/>
      <c r="F1410" s="14">
        <v>38.34</v>
      </c>
      <c r="G1410" s="14">
        <v>16.59</v>
      </c>
      <c r="H1410" s="14">
        <v>0.04</v>
      </c>
      <c r="I1410" s="14" t="s">
        <v>6035</v>
      </c>
      <c r="J1410" s="14">
        <v>200.0</v>
      </c>
      <c r="K1410" s="14">
        <v>19.17</v>
      </c>
      <c r="L1410" s="14">
        <v>0.0</v>
      </c>
    </row>
    <row r="1411">
      <c r="A1411" s="14">
        <v>157.0</v>
      </c>
      <c r="B1411" s="14">
        <v>1.0</v>
      </c>
      <c r="C1411" s="34">
        <v>7.08</v>
      </c>
      <c r="D1411" s="36">
        <v>44786.0</v>
      </c>
      <c r="E1411" s="24"/>
      <c r="F1411" s="14">
        <v>7.08</v>
      </c>
      <c r="G1411" s="14">
        <v>45.1</v>
      </c>
      <c r="H1411" s="14">
        <v>0.64</v>
      </c>
      <c r="I1411" s="14" t="s">
        <v>6042</v>
      </c>
      <c r="J1411" s="14">
        <v>0.0</v>
      </c>
      <c r="K1411" s="14" t="s">
        <v>6012</v>
      </c>
      <c r="L1411" s="14">
        <v>0.0</v>
      </c>
    </row>
    <row r="1412">
      <c r="A1412" s="14">
        <v>436.0</v>
      </c>
      <c r="B1412" s="14">
        <v>6.0</v>
      </c>
      <c r="C1412" s="34">
        <v>16.39</v>
      </c>
      <c r="D1412" s="36">
        <v>44786.0</v>
      </c>
      <c r="E1412" s="24"/>
      <c r="F1412" s="14">
        <v>2.73</v>
      </c>
      <c r="G1412" s="14">
        <v>37.59</v>
      </c>
      <c r="H1412" s="14">
        <v>1.38</v>
      </c>
      <c r="I1412" s="14" t="s">
        <v>6039</v>
      </c>
      <c r="J1412" s="14">
        <v>0.0</v>
      </c>
      <c r="K1412" s="14" t="s">
        <v>6012</v>
      </c>
      <c r="L1412" s="14">
        <v>0.0</v>
      </c>
    </row>
    <row r="1413">
      <c r="A1413" s="14">
        <v>889.0</v>
      </c>
      <c r="B1413" s="14">
        <v>8.0</v>
      </c>
      <c r="C1413" s="34">
        <v>16.36</v>
      </c>
      <c r="D1413" s="36">
        <v>44786.0</v>
      </c>
      <c r="E1413" s="24"/>
      <c r="F1413" s="14">
        <v>2.04</v>
      </c>
      <c r="G1413" s="14">
        <v>18.4</v>
      </c>
      <c r="H1413" s="14">
        <v>0.9</v>
      </c>
      <c r="I1413" s="14" t="s">
        <v>6037</v>
      </c>
      <c r="J1413" s="14">
        <v>37.5</v>
      </c>
      <c r="K1413" s="14">
        <v>5.45</v>
      </c>
      <c r="L1413" s="14">
        <v>0.0</v>
      </c>
    </row>
    <row r="1414">
      <c r="A1414" s="14">
        <v>494.0</v>
      </c>
      <c r="B1414" s="14">
        <v>1.0</v>
      </c>
      <c r="C1414" s="34">
        <v>20.69</v>
      </c>
      <c r="D1414" s="36">
        <v>44786.0</v>
      </c>
      <c r="E1414" s="24"/>
      <c r="F1414" s="14">
        <v>20.69</v>
      </c>
      <c r="G1414" s="14">
        <v>41.88</v>
      </c>
      <c r="H1414" s="14">
        <v>0.2</v>
      </c>
      <c r="I1414" s="14" t="s">
        <v>6038</v>
      </c>
      <c r="J1414" s="14">
        <v>100.0</v>
      </c>
      <c r="K1414" s="14">
        <v>20.69</v>
      </c>
      <c r="L1414" s="14">
        <v>0.0</v>
      </c>
    </row>
    <row r="1415">
      <c r="A1415" s="14">
        <v>1312.0</v>
      </c>
      <c r="B1415" s="14">
        <v>0.0</v>
      </c>
      <c r="C1415" s="34">
        <v>20.37</v>
      </c>
      <c r="D1415" s="36">
        <v>44786.0</v>
      </c>
      <c r="E1415" s="24"/>
      <c r="F1415" s="14" t="s">
        <v>6012</v>
      </c>
      <c r="G1415" s="14">
        <v>15.53</v>
      </c>
      <c r="H1415" s="14">
        <v>0.0</v>
      </c>
      <c r="I1415" s="14" t="s">
        <v>6035</v>
      </c>
      <c r="J1415" s="14" t="s">
        <v>6012</v>
      </c>
      <c r="K1415" s="14" t="s">
        <v>6012</v>
      </c>
      <c r="L1415" s="14">
        <v>0.0</v>
      </c>
    </row>
    <row r="1416">
      <c r="A1416" s="14">
        <v>456.0</v>
      </c>
      <c r="B1416" s="14">
        <v>0.0</v>
      </c>
      <c r="C1416" s="34">
        <v>13.51</v>
      </c>
      <c r="D1416" s="36">
        <v>44786.0</v>
      </c>
      <c r="E1416" s="24"/>
      <c r="F1416" s="14" t="s">
        <v>6012</v>
      </c>
      <c r="G1416" s="14">
        <v>29.63</v>
      </c>
      <c r="H1416" s="14">
        <v>0.0</v>
      </c>
      <c r="I1416" s="14" t="s">
        <v>6036</v>
      </c>
      <c r="J1416" s="14" t="s">
        <v>6012</v>
      </c>
      <c r="K1416" s="14" t="s">
        <v>6012</v>
      </c>
      <c r="L1416" s="14">
        <v>0.0</v>
      </c>
    </row>
    <row r="1417">
      <c r="A1417" s="14">
        <v>182.0</v>
      </c>
      <c r="B1417" s="14">
        <v>0.0</v>
      </c>
      <c r="C1417" s="34">
        <v>7.17</v>
      </c>
      <c r="D1417" s="36">
        <v>44787.0</v>
      </c>
      <c r="E1417" s="24"/>
      <c r="F1417" s="14" t="s">
        <v>6012</v>
      </c>
      <c r="G1417" s="14">
        <v>39.4</v>
      </c>
      <c r="H1417" s="14">
        <v>0.0</v>
      </c>
      <c r="I1417" s="14" t="s">
        <v>6042</v>
      </c>
      <c r="J1417" s="14" t="s">
        <v>6012</v>
      </c>
      <c r="K1417" s="14" t="s">
        <v>6012</v>
      </c>
      <c r="L1417" s="14">
        <v>0.0</v>
      </c>
    </row>
    <row r="1418">
      <c r="A1418" s="14">
        <v>485.0</v>
      </c>
      <c r="B1418" s="14">
        <v>8.0</v>
      </c>
      <c r="C1418" s="34">
        <v>16.91</v>
      </c>
      <c r="D1418" s="36">
        <v>44787.0</v>
      </c>
      <c r="E1418" s="24"/>
      <c r="F1418" s="14">
        <v>2.11</v>
      </c>
      <c r="G1418" s="14">
        <v>34.87</v>
      </c>
      <c r="H1418" s="14">
        <v>1.65</v>
      </c>
      <c r="I1418" s="14" t="s">
        <v>6039</v>
      </c>
      <c r="J1418" s="14">
        <v>25.0</v>
      </c>
      <c r="K1418" s="14">
        <v>8.46</v>
      </c>
      <c r="L1418" s="14">
        <v>0.0</v>
      </c>
    </row>
    <row r="1419">
      <c r="A1419" s="14">
        <v>1330.0</v>
      </c>
      <c r="B1419" s="14">
        <v>1.0</v>
      </c>
      <c r="C1419" s="34">
        <v>20.52</v>
      </c>
      <c r="D1419" s="36">
        <v>44787.0</v>
      </c>
      <c r="E1419" s="24"/>
      <c r="F1419" s="14">
        <v>20.52</v>
      </c>
      <c r="G1419" s="14">
        <v>15.43</v>
      </c>
      <c r="H1419" s="14">
        <v>0.08</v>
      </c>
      <c r="I1419" s="14" t="s">
        <v>6035</v>
      </c>
      <c r="J1419" s="14">
        <v>100.0</v>
      </c>
      <c r="K1419" s="14">
        <v>20.52</v>
      </c>
      <c r="L1419" s="14">
        <v>0.0</v>
      </c>
    </row>
    <row r="1420">
      <c r="A1420" s="14">
        <v>915.0</v>
      </c>
      <c r="B1420" s="14">
        <v>3.0</v>
      </c>
      <c r="C1420" s="34">
        <v>16.51</v>
      </c>
      <c r="D1420" s="36">
        <v>44787.0</v>
      </c>
      <c r="E1420" s="24"/>
      <c r="F1420" s="14">
        <v>5.5</v>
      </c>
      <c r="G1420" s="14">
        <v>18.04</v>
      </c>
      <c r="H1420" s="14">
        <v>0.33</v>
      </c>
      <c r="I1420" s="14" t="s">
        <v>6037</v>
      </c>
      <c r="J1420" s="14">
        <v>33.33</v>
      </c>
      <c r="K1420" s="14">
        <v>16.51</v>
      </c>
      <c r="L1420" s="14">
        <v>0.0</v>
      </c>
    </row>
    <row r="1421">
      <c r="A1421" s="14">
        <v>530.0</v>
      </c>
      <c r="B1421" s="14">
        <v>2.0</v>
      </c>
      <c r="C1421" s="34">
        <v>20.94</v>
      </c>
      <c r="D1421" s="36">
        <v>44787.0</v>
      </c>
      <c r="E1421" s="24"/>
      <c r="F1421" s="14">
        <v>10.47</v>
      </c>
      <c r="G1421" s="14">
        <v>39.51</v>
      </c>
      <c r="H1421" s="14">
        <v>0.38</v>
      </c>
      <c r="I1421" s="14" t="s">
        <v>6038</v>
      </c>
      <c r="J1421" s="14">
        <v>0.0</v>
      </c>
      <c r="K1421" s="14" t="s">
        <v>6012</v>
      </c>
      <c r="L1421" s="14">
        <v>0.0</v>
      </c>
    </row>
    <row r="1422">
      <c r="A1422" s="14">
        <v>438.0</v>
      </c>
      <c r="B1422" s="14">
        <v>2.0</v>
      </c>
      <c r="C1422" s="34">
        <v>14.3</v>
      </c>
      <c r="D1422" s="36">
        <v>44787.0</v>
      </c>
      <c r="E1422" s="24"/>
      <c r="F1422" s="14">
        <v>7.15</v>
      </c>
      <c r="G1422" s="14">
        <v>32.65</v>
      </c>
      <c r="H1422" s="14">
        <v>0.46</v>
      </c>
      <c r="I1422" s="14" t="s">
        <v>6036</v>
      </c>
      <c r="J1422" s="14">
        <v>100.0</v>
      </c>
      <c r="K1422" s="14">
        <v>7.15</v>
      </c>
      <c r="L1422" s="14">
        <v>0.0</v>
      </c>
    </row>
    <row r="1423">
      <c r="A1423" s="14">
        <v>679.0</v>
      </c>
      <c r="B1423" s="14">
        <v>5.0</v>
      </c>
      <c r="C1423" s="34">
        <v>25.38</v>
      </c>
      <c r="D1423" s="36">
        <v>44788.0</v>
      </c>
      <c r="E1423" s="24"/>
      <c r="F1423" s="14">
        <v>5.08</v>
      </c>
      <c r="G1423" s="14">
        <v>37.38</v>
      </c>
      <c r="H1423" s="14">
        <v>0.74</v>
      </c>
      <c r="I1423" s="14" t="s">
        <v>6036</v>
      </c>
      <c r="J1423" s="14">
        <v>40.0</v>
      </c>
      <c r="K1423" s="14">
        <v>12.69</v>
      </c>
      <c r="L1423" s="14">
        <v>0.0</v>
      </c>
    </row>
    <row r="1424">
      <c r="A1424" s="14">
        <v>956.0</v>
      </c>
      <c r="B1424" s="14">
        <v>5.0</v>
      </c>
      <c r="C1424" s="34">
        <v>33.45</v>
      </c>
      <c r="D1424" s="36">
        <v>44788.0</v>
      </c>
      <c r="E1424" s="24"/>
      <c r="F1424" s="14">
        <v>6.69</v>
      </c>
      <c r="G1424" s="14">
        <v>34.99</v>
      </c>
      <c r="H1424" s="14">
        <v>0.52</v>
      </c>
      <c r="I1424" s="14" t="s">
        <v>6039</v>
      </c>
      <c r="J1424" s="14">
        <v>0.0</v>
      </c>
      <c r="K1424" s="14" t="s">
        <v>6012</v>
      </c>
      <c r="L1424" s="14">
        <v>0.0</v>
      </c>
    </row>
    <row r="1425">
      <c r="A1425" s="14">
        <v>358.0</v>
      </c>
      <c r="B1425" s="14">
        <v>1.0</v>
      </c>
      <c r="C1425" s="34">
        <v>14.84</v>
      </c>
      <c r="D1425" s="36">
        <v>44788.0</v>
      </c>
      <c r="E1425" s="24"/>
      <c r="F1425" s="14">
        <v>14.84</v>
      </c>
      <c r="G1425" s="14">
        <v>41.45</v>
      </c>
      <c r="H1425" s="14">
        <v>0.28</v>
      </c>
      <c r="I1425" s="14" t="s">
        <v>6042</v>
      </c>
      <c r="J1425" s="14">
        <v>0.0</v>
      </c>
      <c r="K1425" s="14" t="s">
        <v>6012</v>
      </c>
      <c r="L1425" s="14">
        <v>0.0</v>
      </c>
    </row>
    <row r="1426">
      <c r="A1426" s="14">
        <v>2522.0</v>
      </c>
      <c r="B1426" s="14">
        <v>1.0</v>
      </c>
      <c r="C1426" s="34">
        <v>34.37</v>
      </c>
      <c r="D1426" s="36">
        <v>44788.0</v>
      </c>
      <c r="E1426" s="24"/>
      <c r="F1426" s="14">
        <v>34.37</v>
      </c>
      <c r="G1426" s="14">
        <v>13.63</v>
      </c>
      <c r="H1426" s="14">
        <v>0.04</v>
      </c>
      <c r="I1426" s="14" t="s">
        <v>6035</v>
      </c>
      <c r="J1426" s="14">
        <v>0.0</v>
      </c>
      <c r="K1426" s="14" t="s">
        <v>6012</v>
      </c>
      <c r="L1426" s="14">
        <v>0.0</v>
      </c>
    </row>
    <row r="1427">
      <c r="A1427" s="14">
        <v>1306.0</v>
      </c>
      <c r="B1427" s="14">
        <v>5.0</v>
      </c>
      <c r="C1427" s="34">
        <v>33.32</v>
      </c>
      <c r="D1427" s="36">
        <v>44788.0</v>
      </c>
      <c r="E1427" s="24"/>
      <c r="F1427" s="14">
        <v>6.66</v>
      </c>
      <c r="G1427" s="14">
        <v>25.51</v>
      </c>
      <c r="H1427" s="14">
        <v>0.38</v>
      </c>
      <c r="I1427" s="14" t="s">
        <v>6037</v>
      </c>
      <c r="J1427" s="14">
        <v>0.0</v>
      </c>
      <c r="K1427" s="14" t="s">
        <v>6012</v>
      </c>
      <c r="L1427" s="14">
        <v>0.0</v>
      </c>
    </row>
    <row r="1428">
      <c r="A1428" s="14">
        <v>1173.0</v>
      </c>
      <c r="B1428" s="14">
        <v>2.0</v>
      </c>
      <c r="C1428" s="34">
        <v>34.03</v>
      </c>
      <c r="D1428" s="36">
        <v>44788.0</v>
      </c>
      <c r="E1428" s="24"/>
      <c r="F1428" s="14">
        <v>17.02</v>
      </c>
      <c r="G1428" s="14">
        <v>29.01</v>
      </c>
      <c r="H1428" s="14">
        <v>0.17</v>
      </c>
      <c r="I1428" s="14" t="s">
        <v>6038</v>
      </c>
      <c r="J1428" s="14">
        <v>100.0</v>
      </c>
      <c r="K1428" s="14">
        <v>17.02</v>
      </c>
      <c r="L1428" s="14">
        <v>0.0</v>
      </c>
    </row>
    <row r="1429">
      <c r="A1429" s="14">
        <v>1007.0</v>
      </c>
      <c r="B1429" s="14">
        <v>6.0</v>
      </c>
      <c r="C1429" s="34">
        <v>31.85</v>
      </c>
      <c r="D1429" s="36">
        <v>44789.0</v>
      </c>
      <c r="E1429" s="24"/>
      <c r="F1429" s="14">
        <v>5.31</v>
      </c>
      <c r="G1429" s="14">
        <v>31.63</v>
      </c>
      <c r="H1429" s="14">
        <v>0.6</v>
      </c>
      <c r="I1429" s="14" t="s">
        <v>6036</v>
      </c>
      <c r="J1429" s="14">
        <v>16.67</v>
      </c>
      <c r="K1429" s="14">
        <v>31.85</v>
      </c>
      <c r="L1429" s="14">
        <v>0.0</v>
      </c>
    </row>
    <row r="1430">
      <c r="A1430" s="14">
        <v>1203.0</v>
      </c>
      <c r="B1430" s="14">
        <v>16.0</v>
      </c>
      <c r="C1430" s="34">
        <v>36.04</v>
      </c>
      <c r="D1430" s="36">
        <v>44789.0</v>
      </c>
      <c r="E1430" s="24"/>
      <c r="F1430" s="14">
        <v>2.25</v>
      </c>
      <c r="G1430" s="14">
        <v>29.96</v>
      </c>
      <c r="H1430" s="14">
        <v>1.33</v>
      </c>
      <c r="I1430" s="14" t="s">
        <v>6039</v>
      </c>
      <c r="J1430" s="14">
        <v>0.0</v>
      </c>
      <c r="K1430" s="14" t="s">
        <v>6012</v>
      </c>
      <c r="L1430" s="14">
        <v>0.0</v>
      </c>
    </row>
    <row r="1431">
      <c r="A1431" s="14">
        <v>621.0</v>
      </c>
      <c r="B1431" s="14">
        <v>0.0</v>
      </c>
      <c r="C1431" s="34">
        <v>19.43</v>
      </c>
      <c r="D1431" s="36">
        <v>44789.0</v>
      </c>
      <c r="E1431" s="24"/>
      <c r="F1431" s="14" t="s">
        <v>6012</v>
      </c>
      <c r="G1431" s="14">
        <v>31.29</v>
      </c>
      <c r="H1431" s="14">
        <v>0.0</v>
      </c>
      <c r="I1431" s="14" t="s">
        <v>6042</v>
      </c>
      <c r="J1431" s="14" t="s">
        <v>6012</v>
      </c>
      <c r="K1431" s="14" t="s">
        <v>6012</v>
      </c>
      <c r="L1431" s="14">
        <v>0.0</v>
      </c>
    </row>
    <row r="1432">
      <c r="A1432" s="14">
        <v>2214.0</v>
      </c>
      <c r="B1432" s="14">
        <v>2.0</v>
      </c>
      <c r="C1432" s="34">
        <v>44.21</v>
      </c>
      <c r="D1432" s="36">
        <v>44789.0</v>
      </c>
      <c r="E1432" s="24"/>
      <c r="F1432" s="14">
        <v>22.1</v>
      </c>
      <c r="G1432" s="14">
        <v>19.97</v>
      </c>
      <c r="H1432" s="14">
        <v>0.09</v>
      </c>
      <c r="I1432" s="14" t="s">
        <v>6035</v>
      </c>
      <c r="J1432" s="14">
        <v>250.0</v>
      </c>
      <c r="K1432" s="14">
        <v>8.84</v>
      </c>
      <c r="L1432" s="14">
        <v>0.0</v>
      </c>
    </row>
    <row r="1433">
      <c r="A1433" s="14">
        <v>1573.0</v>
      </c>
      <c r="B1433" s="14">
        <v>10.0</v>
      </c>
      <c r="C1433" s="34">
        <v>35.59</v>
      </c>
      <c r="D1433" s="36">
        <v>44789.0</v>
      </c>
      <c r="E1433" s="24"/>
      <c r="F1433" s="14">
        <v>3.56</v>
      </c>
      <c r="G1433" s="14">
        <v>22.63</v>
      </c>
      <c r="H1433" s="14">
        <v>0.64</v>
      </c>
      <c r="I1433" s="14" t="s">
        <v>6037</v>
      </c>
      <c r="J1433" s="14">
        <v>10.0</v>
      </c>
      <c r="K1433" s="14">
        <v>35.59</v>
      </c>
      <c r="L1433" s="14">
        <v>0.0</v>
      </c>
    </row>
    <row r="1434">
      <c r="A1434" s="14">
        <v>1144.0</v>
      </c>
      <c r="B1434" s="14">
        <v>0.0</v>
      </c>
      <c r="C1434" s="34">
        <v>43.75</v>
      </c>
      <c r="D1434" s="36">
        <v>44789.0</v>
      </c>
      <c r="E1434" s="24"/>
      <c r="F1434" s="14" t="s">
        <v>6012</v>
      </c>
      <c r="G1434" s="14">
        <v>38.24</v>
      </c>
      <c r="H1434" s="14">
        <v>0.0</v>
      </c>
      <c r="I1434" s="14" t="s">
        <v>6038</v>
      </c>
      <c r="J1434" s="14" t="s">
        <v>6012</v>
      </c>
      <c r="K1434" s="14">
        <v>21.88</v>
      </c>
      <c r="L1434" s="14">
        <v>0.0</v>
      </c>
    </row>
    <row r="1435">
      <c r="A1435" s="14">
        <v>1113.0</v>
      </c>
      <c r="B1435" s="14">
        <v>7.0</v>
      </c>
      <c r="C1435" s="34">
        <v>27.13</v>
      </c>
      <c r="D1435" s="36">
        <v>44790.0</v>
      </c>
      <c r="E1435" s="24"/>
      <c r="F1435" s="14">
        <v>3.88</v>
      </c>
      <c r="G1435" s="14">
        <v>24.38</v>
      </c>
      <c r="H1435" s="14">
        <v>0.63</v>
      </c>
      <c r="I1435" s="14" t="s">
        <v>6037</v>
      </c>
      <c r="J1435" s="14">
        <v>42.86</v>
      </c>
      <c r="K1435" s="14">
        <v>9.04</v>
      </c>
      <c r="L1435" s="14">
        <v>0.0</v>
      </c>
    </row>
    <row r="1436">
      <c r="A1436" s="14">
        <v>776.0</v>
      </c>
      <c r="B1436" s="14">
        <v>5.0</v>
      </c>
      <c r="C1436" s="34">
        <v>27.46</v>
      </c>
      <c r="D1436" s="36">
        <v>44790.0</v>
      </c>
      <c r="E1436" s="24"/>
      <c r="F1436" s="14">
        <v>5.49</v>
      </c>
      <c r="G1436" s="14">
        <v>35.39</v>
      </c>
      <c r="H1436" s="14">
        <v>0.64</v>
      </c>
      <c r="I1436" s="14" t="s">
        <v>6039</v>
      </c>
      <c r="J1436" s="14">
        <v>20.0</v>
      </c>
      <c r="K1436" s="14">
        <v>27.46</v>
      </c>
      <c r="L1436" s="14">
        <v>0.0</v>
      </c>
    </row>
    <row r="1437">
      <c r="A1437" s="14">
        <v>814.0</v>
      </c>
      <c r="B1437" s="14">
        <v>5.0</v>
      </c>
      <c r="C1437" s="34">
        <v>29.69</v>
      </c>
      <c r="D1437" s="36">
        <v>44790.0</v>
      </c>
      <c r="E1437" s="24"/>
      <c r="F1437" s="14">
        <v>5.94</v>
      </c>
      <c r="G1437" s="14">
        <v>36.47</v>
      </c>
      <c r="H1437" s="14">
        <v>0.61</v>
      </c>
      <c r="I1437" s="14" t="s">
        <v>6036</v>
      </c>
      <c r="J1437" s="14">
        <v>60.0</v>
      </c>
      <c r="K1437" s="14">
        <v>9.9</v>
      </c>
      <c r="L1437" s="14">
        <v>0.0</v>
      </c>
    </row>
    <row r="1438">
      <c r="A1438" s="14">
        <v>520.0</v>
      </c>
      <c r="B1438" s="14">
        <v>6.0</v>
      </c>
      <c r="C1438" s="34">
        <v>18.78</v>
      </c>
      <c r="D1438" s="36">
        <v>44790.0</v>
      </c>
      <c r="E1438" s="24"/>
      <c r="F1438" s="14">
        <v>3.13</v>
      </c>
      <c r="G1438" s="14">
        <v>36.12</v>
      </c>
      <c r="H1438" s="14">
        <v>1.15</v>
      </c>
      <c r="I1438" s="14" t="s">
        <v>6042</v>
      </c>
      <c r="J1438" s="14">
        <v>33.33</v>
      </c>
      <c r="K1438" s="14">
        <v>9.39</v>
      </c>
      <c r="L1438" s="14">
        <v>0.0</v>
      </c>
    </row>
    <row r="1439">
      <c r="A1439" s="14">
        <v>1669.0</v>
      </c>
      <c r="B1439" s="14">
        <v>1.0</v>
      </c>
      <c r="C1439" s="34">
        <v>28.61</v>
      </c>
      <c r="D1439" s="36">
        <v>44790.0</v>
      </c>
      <c r="E1439" s="24"/>
      <c r="F1439" s="14">
        <v>28.61</v>
      </c>
      <c r="G1439" s="14">
        <v>17.14</v>
      </c>
      <c r="H1439" s="14">
        <v>0.06</v>
      </c>
      <c r="I1439" s="14" t="s">
        <v>6035</v>
      </c>
      <c r="J1439" s="14">
        <v>100.0</v>
      </c>
      <c r="K1439" s="14">
        <v>28.61</v>
      </c>
      <c r="L1439" s="14">
        <v>0.0</v>
      </c>
    </row>
    <row r="1440">
      <c r="A1440" s="14">
        <v>702.0</v>
      </c>
      <c r="B1440" s="14">
        <v>1.0</v>
      </c>
      <c r="C1440" s="34">
        <v>30.67</v>
      </c>
      <c r="D1440" s="36">
        <v>44790.0</v>
      </c>
      <c r="E1440" s="24"/>
      <c r="F1440" s="14">
        <v>30.67</v>
      </c>
      <c r="G1440" s="14">
        <v>43.69</v>
      </c>
      <c r="H1440" s="14">
        <v>0.14</v>
      </c>
      <c r="I1440" s="14" t="s">
        <v>6038</v>
      </c>
      <c r="J1440" s="14">
        <v>0.0</v>
      </c>
      <c r="K1440" s="14" t="s">
        <v>6012</v>
      </c>
      <c r="L1440" s="14">
        <v>0.0</v>
      </c>
    </row>
    <row r="1441">
      <c r="A1441" s="14">
        <v>482.0</v>
      </c>
      <c r="B1441" s="14">
        <v>3.0</v>
      </c>
      <c r="C1441" s="34">
        <v>17.91</v>
      </c>
      <c r="D1441" s="36">
        <v>44791.0</v>
      </c>
      <c r="E1441" s="24"/>
      <c r="F1441" s="14">
        <v>5.97</v>
      </c>
      <c r="G1441" s="14">
        <v>37.16</v>
      </c>
      <c r="H1441" s="14">
        <v>0.62</v>
      </c>
      <c r="I1441" s="14" t="s">
        <v>6042</v>
      </c>
      <c r="J1441" s="14">
        <v>100.0</v>
      </c>
      <c r="K1441" s="14">
        <v>5.97</v>
      </c>
      <c r="L1441" s="14">
        <v>0.0</v>
      </c>
    </row>
    <row r="1442">
      <c r="A1442" s="14">
        <v>213.0</v>
      </c>
      <c r="B1442" s="14">
        <v>3.0</v>
      </c>
      <c r="C1442" s="34">
        <v>10.07</v>
      </c>
      <c r="D1442" s="36">
        <v>44791.0</v>
      </c>
      <c r="E1442" s="24"/>
      <c r="F1442" s="14">
        <v>3.36</v>
      </c>
      <c r="G1442" s="14">
        <v>47.28</v>
      </c>
      <c r="H1442" s="14">
        <v>1.41</v>
      </c>
      <c r="I1442" s="14" t="s">
        <v>6039</v>
      </c>
      <c r="J1442" s="14">
        <v>0.0</v>
      </c>
      <c r="K1442" s="14" t="s">
        <v>6012</v>
      </c>
      <c r="L1442" s="14">
        <v>0.0</v>
      </c>
    </row>
    <row r="1443">
      <c r="A1443" s="14">
        <v>736.0</v>
      </c>
      <c r="B1443" s="14">
        <v>6.0</v>
      </c>
      <c r="C1443" s="34">
        <v>30.32</v>
      </c>
      <c r="D1443" s="36">
        <v>44791.0</v>
      </c>
      <c r="E1443" s="24"/>
      <c r="F1443" s="14">
        <v>5.05</v>
      </c>
      <c r="G1443" s="14">
        <v>41.2</v>
      </c>
      <c r="H1443" s="14">
        <v>0.82</v>
      </c>
      <c r="I1443" s="14" t="s">
        <v>6036</v>
      </c>
      <c r="J1443" s="14">
        <v>33.33</v>
      </c>
      <c r="K1443" s="14">
        <v>15.16</v>
      </c>
      <c r="L1443" s="14">
        <v>0.0</v>
      </c>
    </row>
    <row r="1444">
      <c r="A1444" s="14">
        <v>654.0</v>
      </c>
      <c r="B1444" s="14">
        <v>0.0</v>
      </c>
      <c r="C1444" s="34">
        <v>25.86</v>
      </c>
      <c r="D1444" s="36">
        <v>44791.0</v>
      </c>
      <c r="E1444" s="24"/>
      <c r="F1444" s="14" t="s">
        <v>6012</v>
      </c>
      <c r="G1444" s="14">
        <v>39.54</v>
      </c>
      <c r="H1444" s="14">
        <v>0.0</v>
      </c>
      <c r="I1444" s="14" t="s">
        <v>6038</v>
      </c>
      <c r="J1444" s="14" t="s">
        <v>6012</v>
      </c>
      <c r="K1444" s="14" t="s">
        <v>6012</v>
      </c>
      <c r="L1444" s="14">
        <v>0.0</v>
      </c>
    </row>
    <row r="1445">
      <c r="A1445" s="14">
        <v>377.0</v>
      </c>
      <c r="B1445" s="14">
        <v>6.0</v>
      </c>
      <c r="C1445" s="34">
        <v>10.62</v>
      </c>
      <c r="D1445" s="36">
        <v>44791.0</v>
      </c>
      <c r="E1445" s="24"/>
      <c r="F1445" s="14">
        <v>1.77</v>
      </c>
      <c r="G1445" s="14">
        <v>28.17</v>
      </c>
      <c r="H1445" s="14">
        <v>1.59</v>
      </c>
      <c r="I1445" s="14" t="s">
        <v>6037</v>
      </c>
      <c r="J1445" s="14">
        <v>0.0</v>
      </c>
      <c r="K1445" s="14" t="s">
        <v>6012</v>
      </c>
      <c r="L1445" s="14">
        <v>0.0</v>
      </c>
    </row>
    <row r="1446">
      <c r="A1446" s="14">
        <v>1436.0</v>
      </c>
      <c r="B1446" s="14">
        <v>4.0</v>
      </c>
      <c r="C1446" s="34">
        <v>25.11</v>
      </c>
      <c r="D1446" s="36">
        <v>44791.0</v>
      </c>
      <c r="E1446" s="24"/>
      <c r="F1446" s="14">
        <v>6.28</v>
      </c>
      <c r="G1446" s="14">
        <v>17.49</v>
      </c>
      <c r="H1446" s="14">
        <v>0.28</v>
      </c>
      <c r="I1446" s="14" t="s">
        <v>6035</v>
      </c>
      <c r="J1446" s="14">
        <v>25.0</v>
      </c>
      <c r="K1446" s="14">
        <v>25.11</v>
      </c>
      <c r="L1446" s="14">
        <v>0.0</v>
      </c>
    </row>
    <row r="1447">
      <c r="A1447" s="14">
        <v>1079.0</v>
      </c>
      <c r="B1447" s="14">
        <v>5.0</v>
      </c>
      <c r="C1447" s="34">
        <v>44.11</v>
      </c>
      <c r="D1447" s="36">
        <v>44792.0</v>
      </c>
      <c r="E1447" s="24"/>
      <c r="F1447" s="14">
        <v>8.82</v>
      </c>
      <c r="G1447" s="14">
        <v>40.88</v>
      </c>
      <c r="H1447" s="14">
        <v>0.46</v>
      </c>
      <c r="I1447" s="14" t="s">
        <v>6037</v>
      </c>
      <c r="J1447" s="14">
        <v>20.0</v>
      </c>
      <c r="K1447" s="14">
        <v>44.11</v>
      </c>
      <c r="L1447" s="14">
        <v>0.0</v>
      </c>
    </row>
    <row r="1448">
      <c r="A1448" s="14">
        <v>864.0</v>
      </c>
      <c r="B1448" s="14">
        <v>4.0</v>
      </c>
      <c r="C1448" s="34">
        <v>46.26</v>
      </c>
      <c r="D1448" s="36">
        <v>44792.0</v>
      </c>
      <c r="E1448" s="24"/>
      <c r="F1448" s="14">
        <v>11.56</v>
      </c>
      <c r="G1448" s="14">
        <v>53.54</v>
      </c>
      <c r="H1448" s="14">
        <v>0.46</v>
      </c>
      <c r="I1448" s="14" t="s">
        <v>6038</v>
      </c>
      <c r="J1448" s="14">
        <v>50.0</v>
      </c>
      <c r="K1448" s="14">
        <v>23.13</v>
      </c>
      <c r="L1448" s="14">
        <v>0.0</v>
      </c>
    </row>
    <row r="1449">
      <c r="A1449" s="14">
        <v>591.0</v>
      </c>
      <c r="B1449" s="14">
        <v>1.0</v>
      </c>
      <c r="C1449" s="34">
        <v>27.74</v>
      </c>
      <c r="D1449" s="36">
        <v>44792.0</v>
      </c>
      <c r="E1449" s="24"/>
      <c r="F1449" s="14">
        <v>27.74</v>
      </c>
      <c r="G1449" s="14">
        <v>46.94</v>
      </c>
      <c r="H1449" s="14">
        <v>0.17</v>
      </c>
      <c r="I1449" s="14" t="s">
        <v>6036</v>
      </c>
      <c r="J1449" s="14">
        <v>100.0</v>
      </c>
      <c r="K1449" s="14">
        <v>27.74</v>
      </c>
      <c r="L1449" s="14">
        <v>0.0</v>
      </c>
    </row>
    <row r="1450">
      <c r="A1450" s="14">
        <v>1507.0</v>
      </c>
      <c r="B1450" s="14">
        <v>0.0</v>
      </c>
      <c r="C1450" s="34">
        <v>46.97</v>
      </c>
      <c r="D1450" s="36">
        <v>44792.0</v>
      </c>
      <c r="E1450" s="24"/>
      <c r="F1450" s="14" t="s">
        <v>6012</v>
      </c>
      <c r="G1450" s="14">
        <v>31.17</v>
      </c>
      <c r="H1450" s="14">
        <v>0.0</v>
      </c>
      <c r="I1450" s="14" t="s">
        <v>6035</v>
      </c>
      <c r="J1450" s="14" t="s">
        <v>6012</v>
      </c>
      <c r="K1450" s="14" t="s">
        <v>6012</v>
      </c>
      <c r="L1450" s="14">
        <v>0.0</v>
      </c>
    </row>
    <row r="1451">
      <c r="A1451" s="14">
        <v>321.0</v>
      </c>
      <c r="B1451" s="14">
        <v>0.0</v>
      </c>
      <c r="C1451" s="34">
        <v>16.53</v>
      </c>
      <c r="D1451" s="36">
        <v>44792.0</v>
      </c>
      <c r="E1451" s="24"/>
      <c r="F1451" s="14" t="s">
        <v>6012</v>
      </c>
      <c r="G1451" s="14">
        <v>51.5</v>
      </c>
      <c r="H1451" s="14">
        <v>0.0</v>
      </c>
      <c r="I1451" s="14" t="s">
        <v>6042</v>
      </c>
      <c r="J1451" s="14" t="s">
        <v>6012</v>
      </c>
      <c r="K1451" s="14">
        <v>16.53</v>
      </c>
      <c r="L1451" s="14">
        <v>0.0</v>
      </c>
    </row>
    <row r="1452">
      <c r="A1452" s="14">
        <v>774.0</v>
      </c>
      <c r="B1452" s="14">
        <v>5.0</v>
      </c>
      <c r="C1452" s="34">
        <v>43.54</v>
      </c>
      <c r="D1452" s="36">
        <v>44792.0</v>
      </c>
      <c r="E1452" s="24"/>
      <c r="F1452" s="14">
        <v>8.71</v>
      </c>
      <c r="G1452" s="14">
        <v>56.25</v>
      </c>
      <c r="H1452" s="14">
        <v>0.65</v>
      </c>
      <c r="I1452" s="14" t="s">
        <v>6039</v>
      </c>
      <c r="J1452" s="14">
        <v>0.0</v>
      </c>
      <c r="K1452" s="14" t="s">
        <v>6012</v>
      </c>
      <c r="L1452" s="14">
        <v>0.0</v>
      </c>
    </row>
    <row r="1453">
      <c r="A1453" s="14">
        <v>1399.0</v>
      </c>
      <c r="B1453" s="14">
        <v>9.0</v>
      </c>
      <c r="C1453" s="34">
        <v>29.93</v>
      </c>
      <c r="D1453" s="36">
        <v>44793.0</v>
      </c>
      <c r="E1453" s="24"/>
      <c r="F1453" s="14">
        <v>3.33</v>
      </c>
      <c r="G1453" s="14">
        <v>21.39</v>
      </c>
      <c r="H1453" s="14">
        <v>0.64</v>
      </c>
      <c r="I1453" s="14" t="s">
        <v>6037</v>
      </c>
      <c r="J1453" s="14">
        <v>0.0</v>
      </c>
      <c r="K1453" s="14" t="s">
        <v>6012</v>
      </c>
      <c r="L1453" s="14">
        <v>0.0</v>
      </c>
    </row>
    <row r="1454">
      <c r="A1454" s="14">
        <v>263.0</v>
      </c>
      <c r="B1454" s="14">
        <v>2.0</v>
      </c>
      <c r="C1454" s="34">
        <v>8.38</v>
      </c>
      <c r="D1454" s="36">
        <v>44793.0</v>
      </c>
      <c r="E1454" s="24"/>
      <c r="F1454" s="14">
        <v>4.19</v>
      </c>
      <c r="G1454" s="14">
        <v>31.86</v>
      </c>
      <c r="H1454" s="14">
        <v>0.76</v>
      </c>
      <c r="I1454" s="14" t="s">
        <v>6042</v>
      </c>
      <c r="J1454" s="14">
        <v>0.0</v>
      </c>
      <c r="K1454" s="14" t="s">
        <v>6012</v>
      </c>
      <c r="L1454" s="14">
        <v>0.0</v>
      </c>
    </row>
    <row r="1455">
      <c r="A1455" s="14">
        <v>1929.0</v>
      </c>
      <c r="B1455" s="14">
        <v>1.0</v>
      </c>
      <c r="C1455" s="34">
        <v>30.69</v>
      </c>
      <c r="D1455" s="36">
        <v>44793.0</v>
      </c>
      <c r="E1455" s="24"/>
      <c r="F1455" s="14">
        <v>30.69</v>
      </c>
      <c r="G1455" s="14">
        <v>15.91</v>
      </c>
      <c r="H1455" s="14">
        <v>0.05</v>
      </c>
      <c r="I1455" s="14" t="s">
        <v>6035</v>
      </c>
      <c r="J1455" s="14">
        <v>0.0</v>
      </c>
      <c r="K1455" s="14" t="s">
        <v>6012</v>
      </c>
      <c r="L1455" s="14">
        <v>0.0</v>
      </c>
    </row>
    <row r="1456">
      <c r="A1456" s="14">
        <v>499.0</v>
      </c>
      <c r="B1456" s="14">
        <v>2.0</v>
      </c>
      <c r="C1456" s="34">
        <v>13.5</v>
      </c>
      <c r="D1456" s="36">
        <v>44793.0</v>
      </c>
      <c r="E1456" s="24"/>
      <c r="F1456" s="14">
        <v>6.75</v>
      </c>
      <c r="G1456" s="14">
        <v>27.05</v>
      </c>
      <c r="H1456" s="14">
        <v>0.4</v>
      </c>
      <c r="I1456" s="14" t="s">
        <v>6036</v>
      </c>
      <c r="J1456" s="14">
        <v>100.0</v>
      </c>
      <c r="K1456" s="14">
        <v>6.75</v>
      </c>
      <c r="L1456" s="14">
        <v>0.0</v>
      </c>
    </row>
    <row r="1457">
      <c r="A1457" s="14">
        <v>754.0</v>
      </c>
      <c r="B1457" s="14">
        <v>4.0</v>
      </c>
      <c r="C1457" s="34">
        <v>29.29</v>
      </c>
      <c r="D1457" s="36">
        <v>44793.0</v>
      </c>
      <c r="E1457" s="24"/>
      <c r="F1457" s="14">
        <v>7.32</v>
      </c>
      <c r="G1457" s="14">
        <v>38.85</v>
      </c>
      <c r="H1457" s="14">
        <v>0.53</v>
      </c>
      <c r="I1457" s="14" t="s">
        <v>6039</v>
      </c>
      <c r="J1457" s="14">
        <v>0.0</v>
      </c>
      <c r="K1457" s="14" t="s">
        <v>6012</v>
      </c>
      <c r="L1457" s="14">
        <v>0.0</v>
      </c>
    </row>
    <row r="1458">
      <c r="A1458" s="14">
        <v>742.0</v>
      </c>
      <c r="B1458" s="14">
        <v>1.0</v>
      </c>
      <c r="C1458" s="34">
        <v>30.1</v>
      </c>
      <c r="D1458" s="36">
        <v>44793.0</v>
      </c>
      <c r="E1458" s="24"/>
      <c r="F1458" s="14">
        <v>30.1</v>
      </c>
      <c r="G1458" s="14">
        <v>40.57</v>
      </c>
      <c r="H1458" s="14">
        <v>0.13</v>
      </c>
      <c r="I1458" s="14" t="s">
        <v>6038</v>
      </c>
      <c r="J1458" s="14">
        <v>100.0</v>
      </c>
      <c r="K1458" s="14">
        <v>30.1</v>
      </c>
      <c r="L1458" s="14">
        <v>0.0</v>
      </c>
    </row>
    <row r="1459">
      <c r="A1459" s="14">
        <v>530.0</v>
      </c>
      <c r="B1459" s="14">
        <v>4.0</v>
      </c>
      <c r="C1459" s="34">
        <v>14.94</v>
      </c>
      <c r="D1459" s="36">
        <v>44794.0</v>
      </c>
      <c r="E1459" s="24"/>
      <c r="F1459" s="14">
        <v>3.74</v>
      </c>
      <c r="G1459" s="14">
        <v>28.19</v>
      </c>
      <c r="H1459" s="14">
        <v>0.75</v>
      </c>
      <c r="I1459" s="14" t="s">
        <v>6036</v>
      </c>
      <c r="J1459" s="14">
        <v>100.0</v>
      </c>
      <c r="K1459" s="14">
        <v>3.74</v>
      </c>
      <c r="L1459" s="14">
        <v>0.0</v>
      </c>
    </row>
    <row r="1460">
      <c r="A1460" s="14">
        <v>685.0</v>
      </c>
      <c r="B1460" s="14">
        <v>8.0</v>
      </c>
      <c r="C1460" s="34">
        <v>30.15</v>
      </c>
      <c r="D1460" s="36">
        <v>44794.0</v>
      </c>
      <c r="E1460" s="24"/>
      <c r="F1460" s="14">
        <v>3.77</v>
      </c>
      <c r="G1460" s="14">
        <v>44.01</v>
      </c>
      <c r="H1460" s="14">
        <v>1.17</v>
      </c>
      <c r="I1460" s="14" t="s">
        <v>6039</v>
      </c>
      <c r="J1460" s="14">
        <v>25.0</v>
      </c>
      <c r="K1460" s="14">
        <v>15.08</v>
      </c>
      <c r="L1460" s="14">
        <v>0.0</v>
      </c>
    </row>
    <row r="1461">
      <c r="A1461" s="14">
        <v>1625.0</v>
      </c>
      <c r="B1461" s="14">
        <v>3.0</v>
      </c>
      <c r="C1461" s="34">
        <v>31.57</v>
      </c>
      <c r="D1461" s="36">
        <v>44794.0</v>
      </c>
      <c r="E1461" s="24"/>
      <c r="F1461" s="14">
        <v>10.52</v>
      </c>
      <c r="G1461" s="14">
        <v>19.43</v>
      </c>
      <c r="H1461" s="14">
        <v>0.18</v>
      </c>
      <c r="I1461" s="14" t="s">
        <v>6035</v>
      </c>
      <c r="J1461" s="14">
        <v>100.0</v>
      </c>
      <c r="K1461" s="14">
        <v>10.52</v>
      </c>
      <c r="L1461" s="14">
        <v>0.0</v>
      </c>
    </row>
    <row r="1462">
      <c r="A1462" s="14">
        <v>708.0</v>
      </c>
      <c r="B1462" s="14">
        <v>2.0</v>
      </c>
      <c r="C1462" s="34">
        <v>30.93</v>
      </c>
      <c r="D1462" s="36">
        <v>44794.0</v>
      </c>
      <c r="E1462" s="24"/>
      <c r="F1462" s="14">
        <v>15.46</v>
      </c>
      <c r="G1462" s="14">
        <v>43.69</v>
      </c>
      <c r="H1462" s="14">
        <v>0.28</v>
      </c>
      <c r="I1462" s="14" t="s">
        <v>6038</v>
      </c>
      <c r="J1462" s="14">
        <v>100.0</v>
      </c>
      <c r="K1462" s="14">
        <v>15.46</v>
      </c>
      <c r="L1462" s="14">
        <v>0.0</v>
      </c>
    </row>
    <row r="1463">
      <c r="A1463" s="14">
        <v>220.0</v>
      </c>
      <c r="B1463" s="14">
        <v>0.0</v>
      </c>
      <c r="C1463" s="34">
        <v>8.56</v>
      </c>
      <c r="D1463" s="36">
        <v>44794.0</v>
      </c>
      <c r="E1463" s="24"/>
      <c r="F1463" s="14" t="s">
        <v>6012</v>
      </c>
      <c r="G1463" s="14">
        <v>38.91</v>
      </c>
      <c r="H1463" s="14">
        <v>0.0</v>
      </c>
      <c r="I1463" s="14" t="s">
        <v>6042</v>
      </c>
      <c r="J1463" s="14" t="s">
        <v>6012</v>
      </c>
      <c r="K1463" s="14">
        <v>4.28</v>
      </c>
      <c r="L1463" s="14">
        <v>0.0</v>
      </c>
    </row>
    <row r="1464">
      <c r="A1464" s="14">
        <v>1464.0</v>
      </c>
      <c r="B1464" s="14">
        <v>9.0</v>
      </c>
      <c r="C1464" s="34">
        <v>29.3</v>
      </c>
      <c r="D1464" s="36">
        <v>44794.0</v>
      </c>
      <c r="E1464" s="24"/>
      <c r="F1464" s="14">
        <v>3.26</v>
      </c>
      <c r="G1464" s="14">
        <v>20.01</v>
      </c>
      <c r="H1464" s="14">
        <v>0.61</v>
      </c>
      <c r="I1464" s="14" t="s">
        <v>6037</v>
      </c>
      <c r="J1464" s="14">
        <v>33.33</v>
      </c>
      <c r="K1464" s="14">
        <v>9.77</v>
      </c>
      <c r="L1464" s="14">
        <v>0.0</v>
      </c>
    </row>
    <row r="1465">
      <c r="A1465" s="14">
        <v>2973.0</v>
      </c>
      <c r="B1465" s="14">
        <v>1.0</v>
      </c>
      <c r="C1465" s="34">
        <v>48.52</v>
      </c>
      <c r="D1465" s="36">
        <v>44795.0</v>
      </c>
      <c r="E1465" s="24"/>
      <c r="F1465" s="14">
        <v>48.52</v>
      </c>
      <c r="G1465" s="14">
        <v>16.32</v>
      </c>
      <c r="H1465" s="14">
        <v>0.03</v>
      </c>
      <c r="I1465" s="14" t="s">
        <v>6035</v>
      </c>
      <c r="J1465" s="14">
        <v>0.0</v>
      </c>
      <c r="K1465" s="14" t="s">
        <v>6012</v>
      </c>
      <c r="L1465" s="14">
        <v>0.0</v>
      </c>
    </row>
    <row r="1466">
      <c r="A1466" s="14">
        <v>1772.0</v>
      </c>
      <c r="B1466" s="14">
        <v>5.0</v>
      </c>
      <c r="C1466" s="34">
        <v>35.73</v>
      </c>
      <c r="D1466" s="36">
        <v>44795.0</v>
      </c>
      <c r="E1466" s="24"/>
      <c r="F1466" s="14">
        <v>7.15</v>
      </c>
      <c r="G1466" s="14">
        <v>20.16</v>
      </c>
      <c r="H1466" s="14">
        <v>0.28</v>
      </c>
      <c r="I1466" s="14" t="s">
        <v>6037</v>
      </c>
      <c r="J1466" s="14">
        <v>20.0</v>
      </c>
      <c r="K1466" s="14">
        <v>35.73</v>
      </c>
      <c r="L1466" s="14">
        <v>0.0</v>
      </c>
    </row>
    <row r="1467">
      <c r="A1467" s="14">
        <v>853.0</v>
      </c>
      <c r="B1467" s="14">
        <v>5.0</v>
      </c>
      <c r="C1467" s="34">
        <v>28.15</v>
      </c>
      <c r="D1467" s="36">
        <v>44795.0</v>
      </c>
      <c r="E1467" s="24"/>
      <c r="F1467" s="14">
        <v>5.63</v>
      </c>
      <c r="G1467" s="14">
        <v>33.0</v>
      </c>
      <c r="H1467" s="14">
        <v>0.59</v>
      </c>
      <c r="I1467" s="14" t="s">
        <v>6036</v>
      </c>
      <c r="J1467" s="14">
        <v>20.0</v>
      </c>
      <c r="K1467" s="14">
        <v>28.15</v>
      </c>
      <c r="L1467" s="14">
        <v>0.0</v>
      </c>
    </row>
    <row r="1468">
      <c r="A1468" s="14">
        <v>411.0</v>
      </c>
      <c r="B1468" s="14">
        <v>2.0</v>
      </c>
      <c r="C1468" s="34">
        <v>16.87</v>
      </c>
      <c r="D1468" s="36">
        <v>44795.0</v>
      </c>
      <c r="E1468" s="24"/>
      <c r="F1468" s="14">
        <v>8.44</v>
      </c>
      <c r="G1468" s="14">
        <v>41.05</v>
      </c>
      <c r="H1468" s="14">
        <v>0.49</v>
      </c>
      <c r="I1468" s="14" t="s">
        <v>6042</v>
      </c>
      <c r="J1468" s="14">
        <v>100.0</v>
      </c>
      <c r="K1468" s="14">
        <v>8.44</v>
      </c>
      <c r="L1468" s="14">
        <v>0.0</v>
      </c>
    </row>
    <row r="1469">
      <c r="A1469" s="14">
        <v>1236.0</v>
      </c>
      <c r="B1469" s="14">
        <v>4.0</v>
      </c>
      <c r="C1469" s="34">
        <v>43.35</v>
      </c>
      <c r="D1469" s="36">
        <v>44795.0</v>
      </c>
      <c r="E1469" s="24"/>
      <c r="F1469" s="14">
        <v>10.84</v>
      </c>
      <c r="G1469" s="14">
        <v>35.07</v>
      </c>
      <c r="H1469" s="14">
        <v>0.32</v>
      </c>
      <c r="I1469" s="14" t="s">
        <v>6038</v>
      </c>
      <c r="J1469" s="14">
        <v>50.0</v>
      </c>
      <c r="K1469" s="14">
        <v>21.68</v>
      </c>
      <c r="L1469" s="14">
        <v>0.0</v>
      </c>
    </row>
    <row r="1470">
      <c r="A1470" s="14">
        <v>1017.0</v>
      </c>
      <c r="B1470" s="14">
        <v>7.0</v>
      </c>
      <c r="C1470" s="34">
        <v>35.2</v>
      </c>
      <c r="D1470" s="36">
        <v>44795.0</v>
      </c>
      <c r="E1470" s="24"/>
      <c r="F1470" s="14">
        <v>5.03</v>
      </c>
      <c r="G1470" s="14">
        <v>34.61</v>
      </c>
      <c r="H1470" s="14">
        <v>0.69</v>
      </c>
      <c r="I1470" s="14" t="s">
        <v>6039</v>
      </c>
      <c r="J1470" s="14">
        <v>0.0</v>
      </c>
      <c r="K1470" s="14" t="s">
        <v>6012</v>
      </c>
      <c r="L1470" s="14">
        <v>0.0</v>
      </c>
    </row>
    <row r="1471">
      <c r="A1471" s="14">
        <v>1051.0</v>
      </c>
      <c r="B1471" s="14">
        <v>6.0</v>
      </c>
      <c r="C1471" s="34">
        <v>37.14</v>
      </c>
      <c r="D1471" s="36">
        <v>44796.0</v>
      </c>
      <c r="E1471" s="24"/>
      <c r="F1471" s="14">
        <v>6.19</v>
      </c>
      <c r="G1471" s="14">
        <v>35.34</v>
      </c>
      <c r="H1471" s="14">
        <v>0.57</v>
      </c>
      <c r="I1471" s="14" t="s">
        <v>6039</v>
      </c>
      <c r="J1471" s="14">
        <v>0.0</v>
      </c>
      <c r="K1471" s="14" t="s">
        <v>6012</v>
      </c>
      <c r="L1471" s="14">
        <v>0.0</v>
      </c>
    </row>
    <row r="1472">
      <c r="A1472" s="14">
        <v>480.0</v>
      </c>
      <c r="B1472" s="14">
        <v>1.0</v>
      </c>
      <c r="C1472" s="34">
        <v>17.84</v>
      </c>
      <c r="D1472" s="36">
        <v>44796.0</v>
      </c>
      <c r="E1472" s="24"/>
      <c r="F1472" s="14">
        <v>17.84</v>
      </c>
      <c r="G1472" s="14">
        <v>37.17</v>
      </c>
      <c r="H1472" s="14">
        <v>0.21</v>
      </c>
      <c r="I1472" s="14" t="s">
        <v>6042</v>
      </c>
      <c r="J1472" s="14">
        <v>0.0</v>
      </c>
      <c r="K1472" s="14" t="s">
        <v>6012</v>
      </c>
      <c r="L1472" s="14">
        <v>0.0</v>
      </c>
    </row>
    <row r="1473">
      <c r="A1473" s="14">
        <v>831.0</v>
      </c>
      <c r="B1473" s="14">
        <v>3.0</v>
      </c>
      <c r="C1473" s="34">
        <v>29.61</v>
      </c>
      <c r="D1473" s="36">
        <v>44796.0</v>
      </c>
      <c r="E1473" s="24"/>
      <c r="F1473" s="14">
        <v>9.87</v>
      </c>
      <c r="G1473" s="14">
        <v>35.63</v>
      </c>
      <c r="H1473" s="14">
        <v>0.36</v>
      </c>
      <c r="I1473" s="14" t="s">
        <v>6036</v>
      </c>
      <c r="J1473" s="14">
        <v>66.67</v>
      </c>
      <c r="K1473" s="14">
        <v>14.8</v>
      </c>
      <c r="L1473" s="14">
        <v>0.0</v>
      </c>
    </row>
    <row r="1474">
      <c r="A1474" s="14">
        <v>2658.0</v>
      </c>
      <c r="B1474" s="14">
        <v>1.0</v>
      </c>
      <c r="C1474" s="34">
        <v>39.06</v>
      </c>
      <c r="D1474" s="36">
        <v>44796.0</v>
      </c>
      <c r="E1474" s="24"/>
      <c r="F1474" s="14">
        <v>39.06</v>
      </c>
      <c r="G1474" s="14">
        <v>14.7</v>
      </c>
      <c r="H1474" s="14">
        <v>0.04</v>
      </c>
      <c r="I1474" s="14" t="s">
        <v>6035</v>
      </c>
      <c r="J1474" s="14">
        <v>100.0</v>
      </c>
      <c r="K1474" s="14">
        <v>39.06</v>
      </c>
      <c r="L1474" s="14">
        <v>0.0</v>
      </c>
    </row>
    <row r="1475">
      <c r="A1475" s="14">
        <v>1659.0</v>
      </c>
      <c r="B1475" s="14">
        <v>5.0</v>
      </c>
      <c r="C1475" s="34">
        <v>36.74</v>
      </c>
      <c r="D1475" s="36">
        <v>44796.0</v>
      </c>
      <c r="E1475" s="24"/>
      <c r="F1475" s="14">
        <v>7.35</v>
      </c>
      <c r="G1475" s="14">
        <v>22.15</v>
      </c>
      <c r="H1475" s="14">
        <v>0.3</v>
      </c>
      <c r="I1475" s="14" t="s">
        <v>6037</v>
      </c>
      <c r="J1475" s="14">
        <v>0.0</v>
      </c>
      <c r="K1475" s="14" t="s">
        <v>6012</v>
      </c>
      <c r="L1475" s="14">
        <v>0.0</v>
      </c>
    </row>
    <row r="1476">
      <c r="A1476" s="14">
        <v>1133.0</v>
      </c>
      <c r="B1476" s="14">
        <v>1.0</v>
      </c>
      <c r="C1476" s="34">
        <v>39.31</v>
      </c>
      <c r="D1476" s="36">
        <v>44796.0</v>
      </c>
      <c r="E1476" s="24"/>
      <c r="F1476" s="14">
        <v>39.31</v>
      </c>
      <c r="G1476" s="14">
        <v>34.7</v>
      </c>
      <c r="H1476" s="14">
        <v>0.09</v>
      </c>
      <c r="I1476" s="14" t="s">
        <v>6038</v>
      </c>
      <c r="J1476" s="14">
        <v>200.0</v>
      </c>
      <c r="K1476" s="14">
        <v>19.66</v>
      </c>
      <c r="L1476" s="14">
        <v>0.0</v>
      </c>
    </row>
    <row r="1477">
      <c r="A1477" s="14">
        <v>1129.0</v>
      </c>
      <c r="B1477" s="14">
        <v>4.0</v>
      </c>
      <c r="C1477" s="34">
        <v>36.94</v>
      </c>
      <c r="D1477" s="36">
        <v>44797.0</v>
      </c>
      <c r="E1477" s="24"/>
      <c r="F1477" s="14">
        <v>9.24</v>
      </c>
      <c r="G1477" s="14">
        <v>32.72</v>
      </c>
      <c r="H1477" s="14">
        <v>0.35</v>
      </c>
      <c r="I1477" s="14" t="s">
        <v>6039</v>
      </c>
      <c r="J1477" s="14">
        <v>25.0</v>
      </c>
      <c r="K1477" s="14">
        <v>36.94</v>
      </c>
      <c r="L1477" s="14">
        <v>0.0</v>
      </c>
    </row>
    <row r="1478">
      <c r="A1478" s="14">
        <v>462.0</v>
      </c>
      <c r="B1478" s="14">
        <v>2.0</v>
      </c>
      <c r="C1478" s="34">
        <v>18.99</v>
      </c>
      <c r="D1478" s="36">
        <v>44797.0</v>
      </c>
      <c r="E1478" s="24"/>
      <c r="F1478" s="14">
        <v>9.49</v>
      </c>
      <c r="G1478" s="14">
        <v>41.1</v>
      </c>
      <c r="H1478" s="14">
        <v>0.43</v>
      </c>
      <c r="I1478" s="14" t="s">
        <v>6042</v>
      </c>
      <c r="J1478" s="14">
        <v>50.0</v>
      </c>
      <c r="K1478" s="14">
        <v>18.99</v>
      </c>
      <c r="L1478" s="14">
        <v>0.0</v>
      </c>
    </row>
    <row r="1479">
      <c r="A1479" s="14">
        <v>1203.0</v>
      </c>
      <c r="B1479" s="14">
        <v>2.0</v>
      </c>
      <c r="C1479" s="34">
        <v>40.07</v>
      </c>
      <c r="D1479" s="36">
        <v>44797.0</v>
      </c>
      <c r="E1479" s="24"/>
      <c r="F1479" s="14">
        <v>20.04</v>
      </c>
      <c r="G1479" s="14">
        <v>33.31</v>
      </c>
      <c r="H1479" s="14">
        <v>0.17</v>
      </c>
      <c r="I1479" s="14" t="s">
        <v>6038</v>
      </c>
      <c r="J1479" s="14">
        <v>0.0</v>
      </c>
      <c r="K1479" s="14" t="s">
        <v>6012</v>
      </c>
      <c r="L1479" s="14">
        <v>0.0</v>
      </c>
    </row>
    <row r="1480">
      <c r="A1480" s="14">
        <v>808.0</v>
      </c>
      <c r="B1480" s="14">
        <v>2.0</v>
      </c>
      <c r="C1480" s="34">
        <v>30.12</v>
      </c>
      <c r="D1480" s="36">
        <v>44797.0</v>
      </c>
      <c r="E1480" s="24"/>
      <c r="F1480" s="14">
        <v>15.06</v>
      </c>
      <c r="G1480" s="14">
        <v>37.28</v>
      </c>
      <c r="H1480" s="14">
        <v>0.25</v>
      </c>
      <c r="I1480" s="14" t="s">
        <v>6036</v>
      </c>
      <c r="J1480" s="14">
        <v>50.0</v>
      </c>
      <c r="K1480" s="14">
        <v>30.12</v>
      </c>
      <c r="L1480" s="14">
        <v>0.0</v>
      </c>
    </row>
    <row r="1481">
      <c r="A1481" s="14">
        <v>1437.0</v>
      </c>
      <c r="B1481" s="14">
        <v>5.0</v>
      </c>
      <c r="C1481" s="34">
        <v>36.5</v>
      </c>
      <c r="D1481" s="36">
        <v>44797.0</v>
      </c>
      <c r="E1481" s="24"/>
      <c r="F1481" s="14">
        <v>7.3</v>
      </c>
      <c r="G1481" s="14">
        <v>25.4</v>
      </c>
      <c r="H1481" s="14">
        <v>0.35</v>
      </c>
      <c r="I1481" s="14" t="s">
        <v>6037</v>
      </c>
      <c r="J1481" s="14">
        <v>40.0</v>
      </c>
      <c r="K1481" s="14">
        <v>18.25</v>
      </c>
      <c r="L1481" s="14">
        <v>0.0</v>
      </c>
    </row>
    <row r="1482">
      <c r="A1482" s="14">
        <v>2574.0</v>
      </c>
      <c r="B1482" s="14">
        <v>1.0</v>
      </c>
      <c r="C1482" s="34">
        <v>39.25</v>
      </c>
      <c r="D1482" s="36">
        <v>44797.0</v>
      </c>
      <c r="E1482" s="24"/>
      <c r="F1482" s="14">
        <v>39.25</v>
      </c>
      <c r="G1482" s="14">
        <v>15.25</v>
      </c>
      <c r="H1482" s="14">
        <v>0.04</v>
      </c>
      <c r="I1482" s="14" t="s">
        <v>6035</v>
      </c>
      <c r="J1482" s="14">
        <v>0.0</v>
      </c>
      <c r="K1482" s="14" t="s">
        <v>6012</v>
      </c>
      <c r="L1482" s="14">
        <v>0.0</v>
      </c>
    </row>
    <row r="1483">
      <c r="A1483" s="14">
        <v>1361.0</v>
      </c>
      <c r="B1483" s="14">
        <v>14.0</v>
      </c>
      <c r="C1483" s="34">
        <v>35.56</v>
      </c>
      <c r="D1483" s="36">
        <v>44798.0</v>
      </c>
      <c r="E1483" s="24"/>
      <c r="F1483" s="14">
        <v>2.54</v>
      </c>
      <c r="G1483" s="14">
        <v>26.13</v>
      </c>
      <c r="H1483" s="14">
        <v>1.03</v>
      </c>
      <c r="I1483" s="14" t="s">
        <v>6037</v>
      </c>
      <c r="J1483" s="14">
        <v>14.29</v>
      </c>
      <c r="K1483" s="14">
        <v>17.78</v>
      </c>
      <c r="L1483" s="14">
        <v>0.0</v>
      </c>
    </row>
    <row r="1484">
      <c r="A1484" s="14">
        <v>1128.0</v>
      </c>
      <c r="B1484" s="14">
        <v>3.0</v>
      </c>
      <c r="C1484" s="34">
        <v>40.23</v>
      </c>
      <c r="D1484" s="36">
        <v>44798.0</v>
      </c>
      <c r="E1484" s="24"/>
      <c r="F1484" s="14">
        <v>13.41</v>
      </c>
      <c r="G1484" s="14">
        <v>35.66</v>
      </c>
      <c r="H1484" s="14">
        <v>0.27</v>
      </c>
      <c r="I1484" s="14" t="s">
        <v>6038</v>
      </c>
      <c r="J1484" s="14">
        <v>66.67</v>
      </c>
      <c r="K1484" s="14">
        <v>20.11</v>
      </c>
      <c r="L1484" s="14">
        <v>0.0</v>
      </c>
    </row>
    <row r="1485">
      <c r="A1485" s="14">
        <v>397.0</v>
      </c>
      <c r="B1485" s="14">
        <v>1.0</v>
      </c>
      <c r="C1485" s="34">
        <v>17.75</v>
      </c>
      <c r="D1485" s="36">
        <v>44798.0</v>
      </c>
      <c r="E1485" s="24"/>
      <c r="F1485" s="14">
        <v>17.75</v>
      </c>
      <c r="G1485" s="14">
        <v>44.71</v>
      </c>
      <c r="H1485" s="14">
        <v>0.25</v>
      </c>
      <c r="I1485" s="14" t="s">
        <v>6042</v>
      </c>
      <c r="J1485" s="14">
        <v>100.0</v>
      </c>
      <c r="K1485" s="14">
        <v>17.75</v>
      </c>
      <c r="L1485" s="14">
        <v>0.0</v>
      </c>
    </row>
    <row r="1486">
      <c r="A1486" s="14">
        <v>879.0</v>
      </c>
      <c r="B1486" s="14">
        <v>4.0</v>
      </c>
      <c r="C1486" s="34">
        <v>35.66</v>
      </c>
      <c r="D1486" s="36">
        <v>44798.0</v>
      </c>
      <c r="E1486" s="24"/>
      <c r="F1486" s="14">
        <v>8.91</v>
      </c>
      <c r="G1486" s="14">
        <v>40.57</v>
      </c>
      <c r="H1486" s="14">
        <v>0.46</v>
      </c>
      <c r="I1486" s="14" t="s">
        <v>6039</v>
      </c>
      <c r="J1486" s="14">
        <v>25.0</v>
      </c>
      <c r="K1486" s="14">
        <v>35.66</v>
      </c>
      <c r="L1486" s="14">
        <v>0.0</v>
      </c>
    </row>
    <row r="1487">
      <c r="A1487" s="14">
        <v>829.0</v>
      </c>
      <c r="B1487" s="14">
        <v>8.0</v>
      </c>
      <c r="C1487" s="34">
        <v>30.06</v>
      </c>
      <c r="D1487" s="36">
        <v>44798.0</v>
      </c>
      <c r="E1487" s="24"/>
      <c r="F1487" s="14">
        <v>3.76</v>
      </c>
      <c r="G1487" s="14">
        <v>36.26</v>
      </c>
      <c r="H1487" s="14">
        <v>0.97</v>
      </c>
      <c r="I1487" s="14" t="s">
        <v>6036</v>
      </c>
      <c r="J1487" s="14">
        <v>50.0</v>
      </c>
      <c r="K1487" s="14">
        <v>7.52</v>
      </c>
      <c r="L1487" s="14">
        <v>0.0</v>
      </c>
    </row>
    <row r="1488">
      <c r="A1488" s="14">
        <v>2385.0</v>
      </c>
      <c r="B1488" s="14">
        <v>3.0</v>
      </c>
      <c r="C1488" s="34">
        <v>39.43</v>
      </c>
      <c r="D1488" s="36">
        <v>44798.0</v>
      </c>
      <c r="E1488" s="24"/>
      <c r="F1488" s="14">
        <v>13.14</v>
      </c>
      <c r="G1488" s="14">
        <v>16.53</v>
      </c>
      <c r="H1488" s="14">
        <v>0.13</v>
      </c>
      <c r="I1488" s="14" t="s">
        <v>6035</v>
      </c>
      <c r="J1488" s="14">
        <v>33.33</v>
      </c>
      <c r="K1488" s="14">
        <v>39.43</v>
      </c>
      <c r="L1488" s="14">
        <v>0.0</v>
      </c>
    </row>
    <row r="1489">
      <c r="A1489" s="14">
        <v>1131.0</v>
      </c>
      <c r="B1489" s="14">
        <v>4.0</v>
      </c>
      <c r="C1489" s="34">
        <v>31.67</v>
      </c>
      <c r="D1489" s="36">
        <v>44799.0</v>
      </c>
      <c r="E1489" s="24"/>
      <c r="F1489" s="14">
        <v>7.92</v>
      </c>
      <c r="G1489" s="14">
        <v>28.0</v>
      </c>
      <c r="H1489" s="14">
        <v>0.35</v>
      </c>
      <c r="I1489" s="14" t="s">
        <v>6037</v>
      </c>
      <c r="J1489" s="14">
        <v>25.0</v>
      </c>
      <c r="K1489" s="14">
        <v>31.67</v>
      </c>
      <c r="L1489" s="14">
        <v>0.0</v>
      </c>
    </row>
    <row r="1490">
      <c r="A1490" s="14">
        <v>319.0</v>
      </c>
      <c r="B1490" s="14">
        <v>5.0</v>
      </c>
      <c r="C1490" s="34">
        <v>16.38</v>
      </c>
      <c r="D1490" s="36">
        <v>44799.0</v>
      </c>
      <c r="E1490" s="24"/>
      <c r="F1490" s="14">
        <v>3.28</v>
      </c>
      <c r="G1490" s="14">
        <v>51.35</v>
      </c>
      <c r="H1490" s="14">
        <v>1.57</v>
      </c>
      <c r="I1490" s="14" t="s">
        <v>6042</v>
      </c>
      <c r="J1490" s="14">
        <v>0.0</v>
      </c>
      <c r="K1490" s="14" t="s">
        <v>6012</v>
      </c>
      <c r="L1490" s="14">
        <v>0.0</v>
      </c>
    </row>
    <row r="1491">
      <c r="A1491" s="14">
        <v>865.0</v>
      </c>
      <c r="B1491" s="14">
        <v>3.0</v>
      </c>
      <c r="C1491" s="34">
        <v>27.51</v>
      </c>
      <c r="D1491" s="36">
        <v>44799.0</v>
      </c>
      <c r="E1491" s="24"/>
      <c r="F1491" s="14">
        <v>9.17</v>
      </c>
      <c r="G1491" s="14">
        <v>31.8</v>
      </c>
      <c r="H1491" s="14">
        <v>0.35</v>
      </c>
      <c r="I1491" s="14" t="s">
        <v>6036</v>
      </c>
      <c r="J1491" s="14">
        <v>66.67</v>
      </c>
      <c r="K1491" s="14">
        <v>13.76</v>
      </c>
      <c r="L1491" s="14">
        <v>0.0</v>
      </c>
    </row>
    <row r="1492">
      <c r="A1492" s="14">
        <v>787.0</v>
      </c>
      <c r="B1492" s="14">
        <v>9.0</v>
      </c>
      <c r="C1492" s="34">
        <v>31.66</v>
      </c>
      <c r="D1492" s="36">
        <v>44799.0</v>
      </c>
      <c r="E1492" s="24"/>
      <c r="F1492" s="14">
        <v>3.52</v>
      </c>
      <c r="G1492" s="14">
        <v>40.23</v>
      </c>
      <c r="H1492" s="14">
        <v>1.14</v>
      </c>
      <c r="I1492" s="14" t="s">
        <v>6039</v>
      </c>
      <c r="J1492" s="14">
        <v>11.11</v>
      </c>
      <c r="K1492" s="14">
        <v>31.66</v>
      </c>
      <c r="L1492" s="14">
        <v>0.0</v>
      </c>
    </row>
    <row r="1493">
      <c r="A1493" s="14">
        <v>1914.0</v>
      </c>
      <c r="B1493" s="14">
        <v>2.0</v>
      </c>
      <c r="C1493" s="34">
        <v>36.86</v>
      </c>
      <c r="D1493" s="36">
        <v>44799.0</v>
      </c>
      <c r="E1493" s="24"/>
      <c r="F1493" s="14">
        <v>18.43</v>
      </c>
      <c r="G1493" s="14">
        <v>19.26</v>
      </c>
      <c r="H1493" s="14">
        <v>0.1</v>
      </c>
      <c r="I1493" s="14" t="s">
        <v>6035</v>
      </c>
      <c r="J1493" s="14">
        <v>50.0</v>
      </c>
      <c r="K1493" s="14">
        <v>36.86</v>
      </c>
      <c r="L1493" s="14">
        <v>0.0</v>
      </c>
    </row>
    <row r="1494">
      <c r="A1494" s="14">
        <v>995.0</v>
      </c>
      <c r="B1494" s="14">
        <v>1.0</v>
      </c>
      <c r="C1494" s="34">
        <v>38.21</v>
      </c>
      <c r="D1494" s="36">
        <v>44799.0</v>
      </c>
      <c r="E1494" s="24"/>
      <c r="F1494" s="14">
        <v>38.21</v>
      </c>
      <c r="G1494" s="14">
        <v>38.4</v>
      </c>
      <c r="H1494" s="14">
        <v>0.1</v>
      </c>
      <c r="I1494" s="14" t="s">
        <v>6038</v>
      </c>
      <c r="J1494" s="14">
        <v>200.0</v>
      </c>
      <c r="K1494" s="14">
        <v>19.1</v>
      </c>
      <c r="L1494" s="14">
        <v>0.0</v>
      </c>
    </row>
    <row r="1495">
      <c r="A1495" s="14">
        <v>545.0</v>
      </c>
      <c r="B1495" s="14">
        <v>0.0</v>
      </c>
      <c r="C1495" s="34">
        <v>20.7</v>
      </c>
      <c r="D1495" s="36">
        <v>44800.0</v>
      </c>
      <c r="E1495" s="24"/>
      <c r="F1495" s="14" t="s">
        <v>6012</v>
      </c>
      <c r="G1495" s="14">
        <v>37.98</v>
      </c>
      <c r="H1495" s="14">
        <v>0.0</v>
      </c>
      <c r="I1495" s="14" t="s">
        <v>6038</v>
      </c>
      <c r="J1495" s="14" t="s">
        <v>6012</v>
      </c>
      <c r="K1495" s="14">
        <v>10.35</v>
      </c>
      <c r="L1495" s="14">
        <v>0.0</v>
      </c>
    </row>
    <row r="1496">
      <c r="A1496" s="14">
        <v>913.0</v>
      </c>
      <c r="B1496" s="14">
        <v>5.0</v>
      </c>
      <c r="C1496" s="34">
        <v>16.3</v>
      </c>
      <c r="D1496" s="36">
        <v>44800.0</v>
      </c>
      <c r="E1496" s="24"/>
      <c r="F1496" s="14">
        <v>3.26</v>
      </c>
      <c r="G1496" s="14">
        <v>17.85</v>
      </c>
      <c r="H1496" s="14">
        <v>0.55</v>
      </c>
      <c r="I1496" s="14" t="s">
        <v>6037</v>
      </c>
      <c r="J1496" s="14">
        <v>20.0</v>
      </c>
      <c r="K1496" s="14">
        <v>16.3</v>
      </c>
      <c r="L1496" s="14">
        <v>0.0</v>
      </c>
    </row>
    <row r="1497">
      <c r="A1497" s="14">
        <v>222.0</v>
      </c>
      <c r="B1497" s="14">
        <v>1.0</v>
      </c>
      <c r="C1497" s="34">
        <v>8.15</v>
      </c>
      <c r="D1497" s="36">
        <v>44800.0</v>
      </c>
      <c r="E1497" s="24"/>
      <c r="F1497" s="14">
        <v>8.15</v>
      </c>
      <c r="G1497" s="14">
        <v>36.71</v>
      </c>
      <c r="H1497" s="14">
        <v>0.45</v>
      </c>
      <c r="I1497" s="14" t="s">
        <v>6042</v>
      </c>
      <c r="J1497" s="14">
        <v>0.0</v>
      </c>
      <c r="K1497" s="14" t="s">
        <v>6012</v>
      </c>
      <c r="L1497" s="14">
        <v>0.0</v>
      </c>
    </row>
    <row r="1498">
      <c r="A1498" s="14">
        <v>1357.0</v>
      </c>
      <c r="B1498" s="14">
        <v>2.0</v>
      </c>
      <c r="C1498" s="34">
        <v>19.67</v>
      </c>
      <c r="D1498" s="36">
        <v>44800.0</v>
      </c>
      <c r="E1498" s="24"/>
      <c r="F1498" s="14">
        <v>9.84</v>
      </c>
      <c r="G1498" s="14">
        <v>14.5</v>
      </c>
      <c r="H1498" s="14">
        <v>0.15</v>
      </c>
      <c r="I1498" s="14" t="s">
        <v>6035</v>
      </c>
      <c r="J1498" s="14">
        <v>50.0</v>
      </c>
      <c r="K1498" s="14">
        <v>19.67</v>
      </c>
      <c r="L1498" s="14">
        <v>0.0</v>
      </c>
    </row>
    <row r="1499">
      <c r="A1499" s="14">
        <v>465.0</v>
      </c>
      <c r="B1499" s="14">
        <v>5.0</v>
      </c>
      <c r="C1499" s="34">
        <v>13.5</v>
      </c>
      <c r="D1499" s="36">
        <v>44800.0</v>
      </c>
      <c r="E1499" s="24"/>
      <c r="F1499" s="14">
        <v>2.7</v>
      </c>
      <c r="G1499" s="14">
        <v>29.03</v>
      </c>
      <c r="H1499" s="14">
        <v>1.08</v>
      </c>
      <c r="I1499" s="14" t="s">
        <v>6036</v>
      </c>
      <c r="J1499" s="14">
        <v>40.0</v>
      </c>
      <c r="K1499" s="14">
        <v>6.75</v>
      </c>
      <c r="L1499" s="14">
        <v>0.0</v>
      </c>
    </row>
    <row r="1500">
      <c r="A1500" s="14">
        <v>501.0</v>
      </c>
      <c r="B1500" s="14">
        <v>5.0</v>
      </c>
      <c r="C1500" s="34">
        <v>16.43</v>
      </c>
      <c r="D1500" s="36">
        <v>44800.0</v>
      </c>
      <c r="E1500" s="24"/>
      <c r="F1500" s="14">
        <v>3.29</v>
      </c>
      <c r="G1500" s="14">
        <v>32.79</v>
      </c>
      <c r="H1500" s="14">
        <v>1.0</v>
      </c>
      <c r="I1500" s="14" t="s">
        <v>6039</v>
      </c>
      <c r="J1500" s="14">
        <v>20.0</v>
      </c>
      <c r="K1500" s="14">
        <v>16.43</v>
      </c>
      <c r="L1500" s="14">
        <v>0.0</v>
      </c>
    </row>
    <row r="1501">
      <c r="A1501" s="14">
        <v>490.0</v>
      </c>
      <c r="B1501" s="14">
        <v>1.0</v>
      </c>
      <c r="C1501" s="34">
        <v>14.46</v>
      </c>
      <c r="D1501" s="36">
        <v>44801.0</v>
      </c>
      <c r="E1501" s="24"/>
      <c r="F1501" s="14">
        <v>14.46</v>
      </c>
      <c r="G1501" s="14">
        <v>29.51</v>
      </c>
      <c r="H1501" s="14">
        <v>0.2</v>
      </c>
      <c r="I1501" s="14" t="s">
        <v>6036</v>
      </c>
      <c r="J1501" s="14">
        <v>0.0</v>
      </c>
      <c r="K1501" s="14" t="s">
        <v>6012</v>
      </c>
      <c r="L1501" s="14">
        <v>0.0</v>
      </c>
    </row>
    <row r="1502">
      <c r="A1502" s="14">
        <v>533.0</v>
      </c>
      <c r="B1502" s="14">
        <v>4.0</v>
      </c>
      <c r="C1502" s="34">
        <v>16.97</v>
      </c>
      <c r="D1502" s="36">
        <v>44801.0</v>
      </c>
      <c r="E1502" s="24"/>
      <c r="F1502" s="14">
        <v>4.24</v>
      </c>
      <c r="G1502" s="14">
        <v>31.84</v>
      </c>
      <c r="H1502" s="14">
        <v>0.75</v>
      </c>
      <c r="I1502" s="14" t="s">
        <v>6039</v>
      </c>
      <c r="J1502" s="14">
        <v>0.0</v>
      </c>
      <c r="K1502" s="14" t="s">
        <v>6012</v>
      </c>
      <c r="L1502" s="14">
        <v>0.0</v>
      </c>
    </row>
    <row r="1503">
      <c r="A1503" s="14">
        <v>580.0</v>
      </c>
      <c r="B1503" s="14">
        <v>3.0</v>
      </c>
      <c r="C1503" s="34">
        <v>20.91</v>
      </c>
      <c r="D1503" s="36">
        <v>44801.0</v>
      </c>
      <c r="E1503" s="24"/>
      <c r="F1503" s="14">
        <v>6.97</v>
      </c>
      <c r="G1503" s="14">
        <v>36.05</v>
      </c>
      <c r="H1503" s="14">
        <v>0.52</v>
      </c>
      <c r="I1503" s="14" t="s">
        <v>6038</v>
      </c>
      <c r="J1503" s="14">
        <v>0.0</v>
      </c>
      <c r="K1503" s="14" t="s">
        <v>6012</v>
      </c>
      <c r="L1503" s="14">
        <v>0.0</v>
      </c>
    </row>
    <row r="1504">
      <c r="A1504" s="14">
        <v>230.0</v>
      </c>
      <c r="B1504" s="14">
        <v>1.0</v>
      </c>
      <c r="C1504" s="34">
        <v>8.81</v>
      </c>
      <c r="D1504" s="36">
        <v>44801.0</v>
      </c>
      <c r="E1504" s="24"/>
      <c r="F1504" s="14">
        <v>8.81</v>
      </c>
      <c r="G1504" s="14">
        <v>38.3</v>
      </c>
      <c r="H1504" s="14">
        <v>0.43</v>
      </c>
      <c r="I1504" s="14" t="s">
        <v>6042</v>
      </c>
      <c r="J1504" s="14">
        <v>0.0</v>
      </c>
      <c r="K1504" s="14" t="s">
        <v>6012</v>
      </c>
      <c r="L1504" s="14">
        <v>0.0</v>
      </c>
    </row>
    <row r="1505">
      <c r="A1505" s="14">
        <v>767.0</v>
      </c>
      <c r="B1505" s="14">
        <v>2.0</v>
      </c>
      <c r="C1505" s="34">
        <v>17.5</v>
      </c>
      <c r="D1505" s="36">
        <v>44801.0</v>
      </c>
      <c r="E1505" s="24"/>
      <c r="F1505" s="14">
        <v>8.75</v>
      </c>
      <c r="G1505" s="14">
        <v>22.82</v>
      </c>
      <c r="H1505" s="14">
        <v>0.26</v>
      </c>
      <c r="I1505" s="14" t="s">
        <v>6037</v>
      </c>
      <c r="J1505" s="14">
        <v>0.0</v>
      </c>
      <c r="K1505" s="14" t="s">
        <v>6012</v>
      </c>
      <c r="L1505" s="14">
        <v>0.0</v>
      </c>
    </row>
    <row r="1506">
      <c r="A1506" s="14">
        <v>1325.0</v>
      </c>
      <c r="B1506" s="14">
        <v>4.0</v>
      </c>
      <c r="C1506" s="34">
        <v>20.03</v>
      </c>
      <c r="D1506" s="36">
        <v>44801.0</v>
      </c>
      <c r="E1506" s="24"/>
      <c r="F1506" s="14">
        <v>5.01</v>
      </c>
      <c r="G1506" s="14">
        <v>15.12</v>
      </c>
      <c r="H1506" s="14">
        <v>0.3</v>
      </c>
      <c r="I1506" s="14" t="s">
        <v>6035</v>
      </c>
      <c r="J1506" s="14">
        <v>25.0</v>
      </c>
      <c r="K1506" s="14">
        <v>20.03</v>
      </c>
      <c r="L1506" s="14">
        <v>0.0</v>
      </c>
    </row>
    <row r="1507">
      <c r="A1507" s="14">
        <v>1768.0</v>
      </c>
      <c r="B1507" s="14">
        <v>9.0</v>
      </c>
      <c r="C1507" s="34">
        <v>34.94</v>
      </c>
      <c r="D1507" s="36">
        <v>44802.0</v>
      </c>
      <c r="E1507" s="24"/>
      <c r="F1507" s="14">
        <v>3.88</v>
      </c>
      <c r="G1507" s="14">
        <v>19.76</v>
      </c>
      <c r="H1507" s="14">
        <v>0.51</v>
      </c>
      <c r="I1507" s="14" t="s">
        <v>6037</v>
      </c>
      <c r="J1507" s="14">
        <v>33.33</v>
      </c>
      <c r="K1507" s="14">
        <v>11.65</v>
      </c>
      <c r="L1507" s="14">
        <v>0.0</v>
      </c>
    </row>
    <row r="1508">
      <c r="A1508" s="14">
        <v>714.0</v>
      </c>
      <c r="B1508" s="14">
        <v>3.0</v>
      </c>
      <c r="C1508" s="34">
        <v>26.64</v>
      </c>
      <c r="D1508" s="36">
        <v>44802.0</v>
      </c>
      <c r="E1508" s="24"/>
      <c r="F1508" s="14">
        <v>8.88</v>
      </c>
      <c r="G1508" s="14">
        <v>37.31</v>
      </c>
      <c r="H1508" s="14">
        <v>0.42</v>
      </c>
      <c r="I1508" s="14" t="s">
        <v>6036</v>
      </c>
      <c r="J1508" s="14">
        <v>0.0</v>
      </c>
      <c r="K1508" s="14" t="s">
        <v>6012</v>
      </c>
      <c r="L1508" s="14">
        <v>0.0</v>
      </c>
    </row>
    <row r="1509">
      <c r="A1509" s="14">
        <v>1010.0</v>
      </c>
      <c r="B1509" s="14">
        <v>7.0</v>
      </c>
      <c r="C1509" s="34">
        <v>34.74</v>
      </c>
      <c r="D1509" s="36">
        <v>44802.0</v>
      </c>
      <c r="E1509" s="24"/>
      <c r="F1509" s="14">
        <v>4.96</v>
      </c>
      <c r="G1509" s="14">
        <v>34.4</v>
      </c>
      <c r="H1509" s="14">
        <v>0.69</v>
      </c>
      <c r="I1509" s="14" t="s">
        <v>6039</v>
      </c>
      <c r="J1509" s="14">
        <v>14.29</v>
      </c>
      <c r="K1509" s="14">
        <v>34.74</v>
      </c>
      <c r="L1509" s="14">
        <v>0.0</v>
      </c>
    </row>
    <row r="1510">
      <c r="A1510" s="14">
        <v>1206.0</v>
      </c>
      <c r="B1510" s="14">
        <v>5.0</v>
      </c>
      <c r="C1510" s="34">
        <v>36.37</v>
      </c>
      <c r="D1510" s="36">
        <v>44802.0</v>
      </c>
      <c r="E1510" s="24"/>
      <c r="F1510" s="14">
        <v>7.27</v>
      </c>
      <c r="G1510" s="14">
        <v>30.16</v>
      </c>
      <c r="H1510" s="14">
        <v>0.41</v>
      </c>
      <c r="I1510" s="14" t="s">
        <v>6038</v>
      </c>
      <c r="J1510" s="14">
        <v>80.0</v>
      </c>
      <c r="K1510" s="14">
        <v>9.09</v>
      </c>
      <c r="L1510" s="14">
        <v>0.0</v>
      </c>
    </row>
    <row r="1511">
      <c r="A1511" s="14">
        <v>2676.0</v>
      </c>
      <c r="B1511" s="14">
        <v>4.0</v>
      </c>
      <c r="C1511" s="34">
        <v>37.02</v>
      </c>
      <c r="D1511" s="36">
        <v>44802.0</v>
      </c>
      <c r="E1511" s="24"/>
      <c r="F1511" s="14">
        <v>9.26</v>
      </c>
      <c r="G1511" s="14">
        <v>13.83</v>
      </c>
      <c r="H1511" s="14">
        <v>0.15</v>
      </c>
      <c r="I1511" s="14" t="s">
        <v>6035</v>
      </c>
      <c r="J1511" s="14">
        <v>25.0</v>
      </c>
      <c r="K1511" s="14">
        <v>37.02</v>
      </c>
      <c r="L1511" s="14">
        <v>0.0</v>
      </c>
    </row>
    <row r="1512">
      <c r="A1512" s="14">
        <v>365.0</v>
      </c>
      <c r="B1512" s="14">
        <v>4.0</v>
      </c>
      <c r="C1512" s="34">
        <v>15.65</v>
      </c>
      <c r="D1512" s="36">
        <v>44802.0</v>
      </c>
      <c r="E1512" s="24"/>
      <c r="F1512" s="14">
        <v>3.91</v>
      </c>
      <c r="G1512" s="14">
        <v>42.88</v>
      </c>
      <c r="H1512" s="14">
        <v>1.1</v>
      </c>
      <c r="I1512" s="14" t="s">
        <v>6042</v>
      </c>
      <c r="J1512" s="14">
        <v>0.0</v>
      </c>
      <c r="K1512" s="14" t="s">
        <v>6012</v>
      </c>
      <c r="L1512" s="14">
        <v>0.0</v>
      </c>
    </row>
    <row r="1513">
      <c r="A1513" s="14">
        <v>1219.0</v>
      </c>
      <c r="B1513" s="14">
        <v>2.0</v>
      </c>
      <c r="C1513" s="34">
        <v>40.19</v>
      </c>
      <c r="D1513" s="36">
        <v>44803.0</v>
      </c>
      <c r="E1513" s="24"/>
      <c r="F1513" s="14">
        <v>20.1</v>
      </c>
      <c r="G1513" s="14">
        <v>32.97</v>
      </c>
      <c r="H1513" s="14">
        <v>0.16</v>
      </c>
      <c r="I1513" s="14" t="s">
        <v>6038</v>
      </c>
      <c r="J1513" s="14">
        <v>250.0</v>
      </c>
      <c r="K1513" s="14">
        <v>8.04</v>
      </c>
      <c r="L1513" s="14">
        <v>0.0</v>
      </c>
    </row>
    <row r="1514">
      <c r="A1514" s="14">
        <v>365.0</v>
      </c>
      <c r="B1514" s="14">
        <v>3.0</v>
      </c>
      <c r="C1514" s="34">
        <v>17.52</v>
      </c>
      <c r="D1514" s="36">
        <v>44803.0</v>
      </c>
      <c r="E1514" s="24"/>
      <c r="F1514" s="14">
        <v>5.84</v>
      </c>
      <c r="G1514" s="14">
        <v>48.0</v>
      </c>
      <c r="H1514" s="14">
        <v>0.82</v>
      </c>
      <c r="I1514" s="14" t="s">
        <v>6042</v>
      </c>
      <c r="J1514" s="14">
        <v>66.67</v>
      </c>
      <c r="K1514" s="14">
        <v>8.76</v>
      </c>
      <c r="L1514" s="14">
        <v>0.0</v>
      </c>
    </row>
    <row r="1515">
      <c r="A1515" s="14">
        <v>1788.0</v>
      </c>
      <c r="B1515" s="14">
        <v>6.0</v>
      </c>
      <c r="C1515" s="34">
        <v>36.21</v>
      </c>
      <c r="D1515" s="36">
        <v>44803.0</v>
      </c>
      <c r="E1515" s="24"/>
      <c r="F1515" s="14">
        <v>6.04</v>
      </c>
      <c r="G1515" s="14">
        <v>20.25</v>
      </c>
      <c r="H1515" s="14">
        <v>0.34</v>
      </c>
      <c r="I1515" s="14" t="s">
        <v>6037</v>
      </c>
      <c r="J1515" s="14">
        <v>33.33</v>
      </c>
      <c r="K1515" s="14">
        <v>18.1</v>
      </c>
      <c r="L1515" s="14">
        <v>0.0</v>
      </c>
    </row>
    <row r="1516">
      <c r="A1516" s="14">
        <v>1072.0</v>
      </c>
      <c r="B1516" s="14">
        <v>7.0</v>
      </c>
      <c r="C1516" s="34">
        <v>36.22</v>
      </c>
      <c r="D1516" s="36">
        <v>44803.0</v>
      </c>
      <c r="E1516" s="24"/>
      <c r="F1516" s="14">
        <v>5.17</v>
      </c>
      <c r="G1516" s="14">
        <v>33.79</v>
      </c>
      <c r="H1516" s="14">
        <v>0.65</v>
      </c>
      <c r="I1516" s="14" t="s">
        <v>6039</v>
      </c>
      <c r="J1516" s="14">
        <v>0.0</v>
      </c>
      <c r="K1516" s="14" t="s">
        <v>6012</v>
      </c>
      <c r="L1516" s="14">
        <v>0.0</v>
      </c>
    </row>
    <row r="1517">
      <c r="A1517" s="14">
        <v>2803.0</v>
      </c>
      <c r="B1517" s="14">
        <v>3.0</v>
      </c>
      <c r="C1517" s="34">
        <v>40.49</v>
      </c>
      <c r="D1517" s="36">
        <v>44803.0</v>
      </c>
      <c r="E1517" s="24"/>
      <c r="F1517" s="14">
        <v>13.5</v>
      </c>
      <c r="G1517" s="14">
        <v>14.45</v>
      </c>
      <c r="H1517" s="14">
        <v>0.11</v>
      </c>
      <c r="I1517" s="14" t="s">
        <v>6035</v>
      </c>
      <c r="J1517" s="14">
        <v>100.0</v>
      </c>
      <c r="K1517" s="14">
        <v>13.5</v>
      </c>
      <c r="L1517" s="14">
        <v>0.0</v>
      </c>
    </row>
    <row r="1518">
      <c r="A1518" s="14">
        <v>768.0</v>
      </c>
      <c r="B1518" s="14">
        <v>3.0</v>
      </c>
      <c r="C1518" s="34">
        <v>29.41</v>
      </c>
      <c r="D1518" s="36">
        <v>44803.0</v>
      </c>
      <c r="E1518" s="24"/>
      <c r="F1518" s="14">
        <v>9.8</v>
      </c>
      <c r="G1518" s="14">
        <v>38.29</v>
      </c>
      <c r="H1518" s="14">
        <v>0.39</v>
      </c>
      <c r="I1518" s="14" t="s">
        <v>6036</v>
      </c>
      <c r="J1518" s="14">
        <v>33.33</v>
      </c>
      <c r="K1518" s="14">
        <v>29.41</v>
      </c>
      <c r="L1518" s="14">
        <v>0.0</v>
      </c>
    </row>
    <row r="1519">
      <c r="A1519" s="14">
        <v>437.0</v>
      </c>
      <c r="B1519" s="14">
        <v>1.0</v>
      </c>
      <c r="C1519" s="34">
        <v>20.3</v>
      </c>
      <c r="D1519" s="36">
        <v>44804.0</v>
      </c>
      <c r="E1519" s="24"/>
      <c r="F1519" s="14">
        <v>20.3</v>
      </c>
      <c r="G1519" s="14">
        <v>46.45</v>
      </c>
      <c r="H1519" s="14">
        <v>0.23</v>
      </c>
      <c r="I1519" s="14" t="s">
        <v>6042</v>
      </c>
      <c r="J1519" s="14">
        <v>200.0</v>
      </c>
      <c r="K1519" s="14">
        <v>10.15</v>
      </c>
      <c r="L1519" s="14">
        <v>0.0</v>
      </c>
    </row>
    <row r="1520">
      <c r="A1520" s="14">
        <v>1014.0</v>
      </c>
      <c r="B1520" s="14">
        <v>10.0</v>
      </c>
      <c r="C1520" s="34">
        <v>37.56</v>
      </c>
      <c r="D1520" s="36">
        <v>44804.0</v>
      </c>
      <c r="E1520" s="24"/>
      <c r="F1520" s="14">
        <v>3.76</v>
      </c>
      <c r="G1520" s="14">
        <v>37.04</v>
      </c>
      <c r="H1520" s="14">
        <v>0.99</v>
      </c>
      <c r="I1520" s="14" t="s">
        <v>6039</v>
      </c>
      <c r="J1520" s="14">
        <v>20.0</v>
      </c>
      <c r="K1520" s="14">
        <v>18.78</v>
      </c>
      <c r="L1520" s="14">
        <v>0.0</v>
      </c>
    </row>
    <row r="1521">
      <c r="A1521" s="14">
        <v>1137.0</v>
      </c>
      <c r="B1521" s="14">
        <v>1.0</v>
      </c>
      <c r="C1521" s="34">
        <v>41.6</v>
      </c>
      <c r="D1521" s="36">
        <v>44804.0</v>
      </c>
      <c r="E1521" s="24"/>
      <c r="F1521" s="14">
        <v>41.6</v>
      </c>
      <c r="G1521" s="14">
        <v>36.59</v>
      </c>
      <c r="H1521" s="14">
        <v>0.09</v>
      </c>
      <c r="I1521" s="14" t="s">
        <v>6038</v>
      </c>
      <c r="J1521" s="14">
        <v>100.0</v>
      </c>
      <c r="K1521" s="14">
        <v>41.6</v>
      </c>
      <c r="L1521" s="14">
        <v>0.0</v>
      </c>
    </row>
    <row r="1522">
      <c r="A1522" s="14">
        <v>1682.0</v>
      </c>
      <c r="B1522" s="14">
        <v>11.0</v>
      </c>
      <c r="C1522" s="34">
        <v>36.72</v>
      </c>
      <c r="D1522" s="36">
        <v>44804.0</v>
      </c>
      <c r="E1522" s="24"/>
      <c r="F1522" s="14">
        <v>3.34</v>
      </c>
      <c r="G1522" s="14">
        <v>21.83</v>
      </c>
      <c r="H1522" s="14">
        <v>0.65</v>
      </c>
      <c r="I1522" s="14" t="s">
        <v>6037</v>
      </c>
      <c r="J1522" s="14">
        <v>27.27</v>
      </c>
      <c r="K1522" s="14">
        <v>12.24</v>
      </c>
      <c r="L1522" s="14">
        <v>0.0</v>
      </c>
    </row>
    <row r="1523">
      <c r="A1523" s="14">
        <v>2804.0</v>
      </c>
      <c r="B1523" s="14">
        <v>7.0</v>
      </c>
      <c r="C1523" s="34">
        <v>41.75</v>
      </c>
      <c r="D1523" s="36">
        <v>44804.0</v>
      </c>
      <c r="E1523" s="24"/>
      <c r="F1523" s="14">
        <v>5.96</v>
      </c>
      <c r="G1523" s="14">
        <v>14.89</v>
      </c>
      <c r="H1523" s="14">
        <v>0.25</v>
      </c>
      <c r="I1523" s="14" t="s">
        <v>6035</v>
      </c>
      <c r="J1523" s="14">
        <v>100.0</v>
      </c>
      <c r="K1523" s="14">
        <v>5.96</v>
      </c>
      <c r="L1523" s="14">
        <v>0.0</v>
      </c>
    </row>
    <row r="1524">
      <c r="A1524" s="14">
        <v>727.0</v>
      </c>
      <c r="B1524" s="14">
        <v>2.0</v>
      </c>
      <c r="C1524" s="34">
        <v>30.44</v>
      </c>
      <c r="D1524" s="36">
        <v>44804.0</v>
      </c>
      <c r="E1524" s="24"/>
      <c r="F1524" s="14">
        <v>15.22</v>
      </c>
      <c r="G1524" s="14">
        <v>41.87</v>
      </c>
      <c r="H1524" s="14">
        <v>0.28</v>
      </c>
      <c r="I1524" s="14" t="s">
        <v>6036</v>
      </c>
      <c r="J1524" s="14">
        <v>0.0</v>
      </c>
      <c r="K1524" s="14" t="s">
        <v>6012</v>
      </c>
      <c r="L1524" s="14">
        <v>0.0</v>
      </c>
    </row>
    <row r="1525">
      <c r="A1525" s="14">
        <v>994.0</v>
      </c>
      <c r="B1525" s="14">
        <v>7.0</v>
      </c>
      <c r="C1525" s="34">
        <v>36.1</v>
      </c>
      <c r="D1525" s="36">
        <v>44805.0</v>
      </c>
      <c r="E1525" s="24"/>
      <c r="F1525" s="14">
        <v>5.16</v>
      </c>
      <c r="G1525" s="14">
        <v>36.32</v>
      </c>
      <c r="H1525" s="14">
        <v>0.7</v>
      </c>
      <c r="I1525" s="14" t="s">
        <v>6039</v>
      </c>
      <c r="J1525" s="14">
        <v>42.86</v>
      </c>
      <c r="K1525" s="14">
        <v>12.03</v>
      </c>
      <c r="L1525" s="14">
        <v>0.0</v>
      </c>
    </row>
    <row r="1526">
      <c r="A1526" s="14">
        <v>785.0</v>
      </c>
      <c r="B1526" s="14">
        <v>6.0</v>
      </c>
      <c r="C1526" s="34">
        <v>30.39</v>
      </c>
      <c r="D1526" s="36">
        <v>44805.0</v>
      </c>
      <c r="E1526" s="24"/>
      <c r="F1526" s="14">
        <v>5.07</v>
      </c>
      <c r="G1526" s="14">
        <v>38.71</v>
      </c>
      <c r="H1526" s="14">
        <v>0.76</v>
      </c>
      <c r="I1526" s="14" t="s">
        <v>6036</v>
      </c>
      <c r="J1526" s="14">
        <v>33.33</v>
      </c>
      <c r="K1526" s="14">
        <v>15.2</v>
      </c>
      <c r="L1526" s="14">
        <v>0.0</v>
      </c>
    </row>
    <row r="1527">
      <c r="A1527" s="14">
        <v>1158.0</v>
      </c>
      <c r="B1527" s="14">
        <v>2.0</v>
      </c>
      <c r="C1527" s="34">
        <v>41.72</v>
      </c>
      <c r="D1527" s="36">
        <v>44805.0</v>
      </c>
      <c r="E1527" s="24"/>
      <c r="F1527" s="14">
        <v>20.86</v>
      </c>
      <c r="G1527" s="14">
        <v>36.03</v>
      </c>
      <c r="H1527" s="14">
        <v>0.17</v>
      </c>
      <c r="I1527" s="14" t="s">
        <v>6038</v>
      </c>
      <c r="J1527" s="14">
        <v>50.0</v>
      </c>
      <c r="K1527" s="14">
        <v>41.72</v>
      </c>
      <c r="L1527" s="14">
        <v>0.0</v>
      </c>
    </row>
    <row r="1528">
      <c r="A1528" s="14">
        <v>1631.0</v>
      </c>
      <c r="B1528" s="14">
        <v>7.0</v>
      </c>
      <c r="C1528" s="34">
        <v>36.08</v>
      </c>
      <c r="D1528" s="36">
        <v>44805.0</v>
      </c>
      <c r="E1528" s="24"/>
      <c r="F1528" s="14">
        <v>5.15</v>
      </c>
      <c r="G1528" s="14">
        <v>22.12</v>
      </c>
      <c r="H1528" s="14">
        <v>0.43</v>
      </c>
      <c r="I1528" s="14" t="s">
        <v>6037</v>
      </c>
      <c r="J1528" s="14">
        <v>0.0</v>
      </c>
      <c r="K1528" s="14" t="s">
        <v>6012</v>
      </c>
      <c r="L1528" s="14">
        <v>0.0</v>
      </c>
    </row>
    <row r="1529">
      <c r="A1529" s="14">
        <v>289.0</v>
      </c>
      <c r="B1529" s="14">
        <v>0.0</v>
      </c>
      <c r="C1529" s="34">
        <v>19.47</v>
      </c>
      <c r="D1529" s="36">
        <v>44805.0</v>
      </c>
      <c r="E1529" s="24"/>
      <c r="F1529" s="14" t="s">
        <v>6012</v>
      </c>
      <c r="G1529" s="14">
        <v>67.37</v>
      </c>
      <c r="H1529" s="14">
        <v>0.0</v>
      </c>
      <c r="I1529" s="14" t="s">
        <v>6042</v>
      </c>
      <c r="J1529" s="14" t="s">
        <v>6012</v>
      </c>
      <c r="K1529" s="14" t="s">
        <v>6012</v>
      </c>
      <c r="L1529" s="14">
        <v>0.0</v>
      </c>
    </row>
    <row r="1530">
      <c r="A1530" s="14">
        <v>2629.0</v>
      </c>
      <c r="B1530" s="14">
        <v>4.0</v>
      </c>
      <c r="C1530" s="34">
        <v>41.94</v>
      </c>
      <c r="D1530" s="36">
        <v>44805.0</v>
      </c>
      <c r="E1530" s="24"/>
      <c r="F1530" s="14">
        <v>10.48</v>
      </c>
      <c r="G1530" s="14">
        <v>15.95</v>
      </c>
      <c r="H1530" s="14">
        <v>0.15</v>
      </c>
      <c r="I1530" s="14" t="s">
        <v>6035</v>
      </c>
      <c r="J1530" s="14">
        <v>25.0</v>
      </c>
      <c r="K1530" s="14">
        <v>41.94</v>
      </c>
      <c r="L1530" s="14">
        <v>0.0</v>
      </c>
    </row>
    <row r="1531">
      <c r="A1531" s="14">
        <v>306.0</v>
      </c>
      <c r="B1531" s="14">
        <v>1.0</v>
      </c>
      <c r="C1531" s="34">
        <v>16.8</v>
      </c>
      <c r="D1531" s="36">
        <v>44806.0</v>
      </c>
      <c r="E1531" s="24"/>
      <c r="F1531" s="14">
        <v>16.8</v>
      </c>
      <c r="G1531" s="14">
        <v>54.9</v>
      </c>
      <c r="H1531" s="14">
        <v>0.33</v>
      </c>
      <c r="I1531" s="14" t="s">
        <v>6042</v>
      </c>
      <c r="J1531" s="14">
        <v>100.0</v>
      </c>
      <c r="K1531" s="14">
        <v>16.8</v>
      </c>
      <c r="L1531" s="14">
        <v>0.0</v>
      </c>
    </row>
    <row r="1532">
      <c r="A1532" s="14">
        <v>1198.0</v>
      </c>
      <c r="B1532" s="14">
        <v>5.0</v>
      </c>
      <c r="C1532" s="34">
        <v>31.39</v>
      </c>
      <c r="D1532" s="36">
        <v>44806.0</v>
      </c>
      <c r="E1532" s="24"/>
      <c r="F1532" s="14">
        <v>6.28</v>
      </c>
      <c r="G1532" s="14">
        <v>26.2</v>
      </c>
      <c r="H1532" s="14">
        <v>0.42</v>
      </c>
      <c r="I1532" s="14" t="s">
        <v>6037</v>
      </c>
      <c r="J1532" s="14">
        <v>40.0</v>
      </c>
      <c r="K1532" s="14">
        <v>15.7</v>
      </c>
      <c r="L1532" s="14">
        <v>0.0</v>
      </c>
    </row>
    <row r="1533">
      <c r="A1533" s="14">
        <v>923.0</v>
      </c>
      <c r="B1533" s="14">
        <v>3.0</v>
      </c>
      <c r="C1533" s="34">
        <v>39.7</v>
      </c>
      <c r="D1533" s="36">
        <v>44806.0</v>
      </c>
      <c r="E1533" s="24"/>
      <c r="F1533" s="14">
        <v>13.23</v>
      </c>
      <c r="G1533" s="14">
        <v>43.01</v>
      </c>
      <c r="H1533" s="14">
        <v>0.33</v>
      </c>
      <c r="I1533" s="14" t="s">
        <v>6038</v>
      </c>
      <c r="J1533" s="14">
        <v>33.33</v>
      </c>
      <c r="K1533" s="14">
        <v>39.7</v>
      </c>
      <c r="L1533" s="14">
        <v>0.0</v>
      </c>
    </row>
    <row r="1534">
      <c r="A1534" s="14">
        <v>725.0</v>
      </c>
      <c r="B1534" s="14">
        <v>7.0</v>
      </c>
      <c r="C1534" s="34">
        <v>29.06</v>
      </c>
      <c r="D1534" s="36">
        <v>44806.0</v>
      </c>
      <c r="E1534" s="24"/>
      <c r="F1534" s="14">
        <v>4.15</v>
      </c>
      <c r="G1534" s="14">
        <v>40.08</v>
      </c>
      <c r="H1534" s="14">
        <v>0.97</v>
      </c>
      <c r="I1534" s="14" t="s">
        <v>6036</v>
      </c>
      <c r="J1534" s="14">
        <v>28.57</v>
      </c>
      <c r="K1534" s="14">
        <v>14.53</v>
      </c>
      <c r="L1534" s="14">
        <v>0.0</v>
      </c>
    </row>
    <row r="1535">
      <c r="A1535" s="14">
        <v>769.0</v>
      </c>
      <c r="B1535" s="14">
        <v>6.0</v>
      </c>
      <c r="C1535" s="34">
        <v>31.69</v>
      </c>
      <c r="D1535" s="36">
        <v>44806.0</v>
      </c>
      <c r="E1535" s="24"/>
      <c r="F1535" s="14">
        <v>5.28</v>
      </c>
      <c r="G1535" s="14">
        <v>41.21</v>
      </c>
      <c r="H1535" s="14">
        <v>0.78</v>
      </c>
      <c r="I1535" s="14" t="s">
        <v>6039</v>
      </c>
      <c r="J1535" s="14">
        <v>16.67</v>
      </c>
      <c r="K1535" s="14">
        <v>31.69</v>
      </c>
      <c r="L1535" s="14">
        <v>0.0</v>
      </c>
    </row>
    <row r="1536">
      <c r="A1536" s="14">
        <v>2179.0</v>
      </c>
      <c r="B1536" s="14">
        <v>4.0</v>
      </c>
      <c r="C1536" s="34">
        <v>39.48</v>
      </c>
      <c r="D1536" s="36">
        <v>44806.0</v>
      </c>
      <c r="E1536" s="24"/>
      <c r="F1536" s="14">
        <v>9.87</v>
      </c>
      <c r="G1536" s="14">
        <v>18.12</v>
      </c>
      <c r="H1536" s="14">
        <v>0.18</v>
      </c>
      <c r="I1536" s="14" t="s">
        <v>6035</v>
      </c>
      <c r="J1536" s="14">
        <v>25.0</v>
      </c>
      <c r="K1536" s="14">
        <v>39.48</v>
      </c>
      <c r="L1536" s="14">
        <v>0.0</v>
      </c>
    </row>
    <row r="1537">
      <c r="A1537" s="14">
        <v>770.0</v>
      </c>
      <c r="B1537" s="14">
        <v>2.0</v>
      </c>
      <c r="C1537" s="34">
        <v>17.09</v>
      </c>
      <c r="D1537" s="36">
        <v>44807.0</v>
      </c>
      <c r="E1537" s="24"/>
      <c r="F1537" s="14">
        <v>8.54</v>
      </c>
      <c r="G1537" s="14">
        <v>22.19</v>
      </c>
      <c r="H1537" s="14">
        <v>0.26</v>
      </c>
      <c r="I1537" s="14" t="s">
        <v>6037</v>
      </c>
      <c r="J1537" s="14">
        <v>50.0</v>
      </c>
      <c r="K1537" s="14">
        <v>17.09</v>
      </c>
      <c r="L1537" s="14">
        <v>0.0</v>
      </c>
    </row>
    <row r="1538">
      <c r="A1538" s="14">
        <v>467.0</v>
      </c>
      <c r="B1538" s="14">
        <v>6.0</v>
      </c>
      <c r="C1538" s="34">
        <v>17.03</v>
      </c>
      <c r="D1538" s="36">
        <v>44807.0</v>
      </c>
      <c r="E1538" s="24"/>
      <c r="F1538" s="14">
        <v>2.84</v>
      </c>
      <c r="G1538" s="14">
        <v>36.47</v>
      </c>
      <c r="H1538" s="14">
        <v>1.28</v>
      </c>
      <c r="I1538" s="14" t="s">
        <v>6039</v>
      </c>
      <c r="J1538" s="14">
        <v>16.67</v>
      </c>
      <c r="K1538" s="14">
        <v>17.03</v>
      </c>
      <c r="L1538" s="14">
        <v>0.0</v>
      </c>
    </row>
    <row r="1539">
      <c r="A1539" s="14">
        <v>1233.0</v>
      </c>
      <c r="B1539" s="14">
        <v>2.0</v>
      </c>
      <c r="C1539" s="34">
        <v>20.79</v>
      </c>
      <c r="D1539" s="36">
        <v>44807.0</v>
      </c>
      <c r="E1539" s="24"/>
      <c r="F1539" s="14">
        <v>10.4</v>
      </c>
      <c r="G1539" s="14">
        <v>16.86</v>
      </c>
      <c r="H1539" s="14">
        <v>0.16</v>
      </c>
      <c r="I1539" s="14" t="s">
        <v>6035</v>
      </c>
      <c r="J1539" s="14">
        <v>50.0</v>
      </c>
      <c r="K1539" s="14">
        <v>20.79</v>
      </c>
      <c r="L1539" s="14">
        <v>0.0</v>
      </c>
    </row>
    <row r="1540">
      <c r="A1540" s="14">
        <v>501.0</v>
      </c>
      <c r="B1540" s="14">
        <v>1.0</v>
      </c>
      <c r="C1540" s="34">
        <v>21.22</v>
      </c>
      <c r="D1540" s="36">
        <v>44807.0</v>
      </c>
      <c r="E1540" s="24"/>
      <c r="F1540" s="14">
        <v>21.22</v>
      </c>
      <c r="G1540" s="14">
        <v>42.36</v>
      </c>
      <c r="H1540" s="14">
        <v>0.2</v>
      </c>
      <c r="I1540" s="14" t="s">
        <v>6038</v>
      </c>
      <c r="J1540" s="14">
        <v>0.0</v>
      </c>
      <c r="K1540" s="14" t="s">
        <v>6012</v>
      </c>
      <c r="L1540" s="14">
        <v>0.0</v>
      </c>
    </row>
    <row r="1541">
      <c r="A1541" s="14">
        <v>167.0</v>
      </c>
      <c r="B1541" s="14">
        <v>0.0</v>
      </c>
      <c r="C1541" s="34">
        <v>7.24</v>
      </c>
      <c r="D1541" s="36">
        <v>44807.0</v>
      </c>
      <c r="E1541" s="24"/>
      <c r="F1541" s="14" t="s">
        <v>6012</v>
      </c>
      <c r="G1541" s="14">
        <v>43.35</v>
      </c>
      <c r="H1541" s="14">
        <v>0.0</v>
      </c>
      <c r="I1541" s="14" t="s">
        <v>6042</v>
      </c>
      <c r="J1541" s="14" t="s">
        <v>6012</v>
      </c>
      <c r="K1541" s="14" t="s">
        <v>6012</v>
      </c>
      <c r="L1541" s="14">
        <v>0.0</v>
      </c>
    </row>
    <row r="1542">
      <c r="A1542" s="14">
        <v>492.0</v>
      </c>
      <c r="B1542" s="14">
        <v>3.0</v>
      </c>
      <c r="C1542" s="34">
        <v>13.64</v>
      </c>
      <c r="D1542" s="36">
        <v>44807.0</v>
      </c>
      <c r="E1542" s="24"/>
      <c r="F1542" s="14">
        <v>4.55</v>
      </c>
      <c r="G1542" s="14">
        <v>27.72</v>
      </c>
      <c r="H1542" s="14">
        <v>0.61</v>
      </c>
      <c r="I1542" s="14" t="s">
        <v>6036</v>
      </c>
      <c r="J1542" s="14">
        <v>66.67</v>
      </c>
      <c r="K1542" s="14">
        <v>6.82</v>
      </c>
      <c r="L1542" s="14">
        <v>0.0</v>
      </c>
    </row>
    <row r="1543">
      <c r="A1543" s="14">
        <v>795.0</v>
      </c>
      <c r="B1543" s="14">
        <v>5.0</v>
      </c>
      <c r="C1543" s="34">
        <v>17.57</v>
      </c>
      <c r="D1543" s="36">
        <v>44808.0</v>
      </c>
      <c r="E1543" s="24"/>
      <c r="F1543" s="14">
        <v>3.51</v>
      </c>
      <c r="G1543" s="14">
        <v>22.1</v>
      </c>
      <c r="H1543" s="14">
        <v>0.63</v>
      </c>
      <c r="I1543" s="14" t="s">
        <v>6037</v>
      </c>
      <c r="J1543" s="14">
        <v>20.0</v>
      </c>
      <c r="K1543" s="14">
        <v>17.57</v>
      </c>
      <c r="L1543" s="14">
        <v>0.0</v>
      </c>
    </row>
    <row r="1544">
      <c r="A1544" s="14">
        <v>199.0</v>
      </c>
      <c r="B1544" s="14">
        <v>0.0</v>
      </c>
      <c r="C1544" s="34">
        <v>7.62</v>
      </c>
      <c r="D1544" s="36">
        <v>44808.0</v>
      </c>
      <c r="E1544" s="24"/>
      <c r="F1544" s="14" t="s">
        <v>6012</v>
      </c>
      <c r="G1544" s="14">
        <v>38.29</v>
      </c>
      <c r="H1544" s="14">
        <v>0.0</v>
      </c>
      <c r="I1544" s="14" t="s">
        <v>6042</v>
      </c>
      <c r="J1544" s="14" t="s">
        <v>6012</v>
      </c>
      <c r="K1544" s="14" t="s">
        <v>6012</v>
      </c>
      <c r="L1544" s="14">
        <v>0.0</v>
      </c>
    </row>
    <row r="1545">
      <c r="A1545" s="14">
        <v>443.0</v>
      </c>
      <c r="B1545" s="14">
        <v>2.0</v>
      </c>
      <c r="C1545" s="34">
        <v>13.89</v>
      </c>
      <c r="D1545" s="36">
        <v>44808.0</v>
      </c>
      <c r="E1545" s="24"/>
      <c r="F1545" s="14">
        <v>6.94</v>
      </c>
      <c r="G1545" s="14">
        <v>31.35</v>
      </c>
      <c r="H1545" s="14">
        <v>0.45</v>
      </c>
      <c r="I1545" s="14" t="s">
        <v>6036</v>
      </c>
      <c r="J1545" s="14">
        <v>50.0</v>
      </c>
      <c r="K1545" s="14">
        <v>13.89</v>
      </c>
      <c r="L1545" s="14">
        <v>0.0</v>
      </c>
    </row>
    <row r="1546">
      <c r="A1546" s="14">
        <v>472.0</v>
      </c>
      <c r="B1546" s="14">
        <v>2.0</v>
      </c>
      <c r="C1546" s="34">
        <v>16.66</v>
      </c>
      <c r="D1546" s="36">
        <v>44808.0</v>
      </c>
      <c r="E1546" s="24"/>
      <c r="F1546" s="14">
        <v>8.33</v>
      </c>
      <c r="G1546" s="14">
        <v>35.3</v>
      </c>
      <c r="H1546" s="14">
        <v>0.42</v>
      </c>
      <c r="I1546" s="14" t="s">
        <v>6039</v>
      </c>
      <c r="J1546" s="14">
        <v>50.0</v>
      </c>
      <c r="K1546" s="14">
        <v>16.66</v>
      </c>
      <c r="L1546" s="14">
        <v>0.0</v>
      </c>
    </row>
    <row r="1547">
      <c r="A1547" s="14">
        <v>510.0</v>
      </c>
      <c r="B1547" s="14">
        <v>0.0</v>
      </c>
      <c r="C1547" s="34">
        <v>21.72</v>
      </c>
      <c r="D1547" s="36">
        <v>44808.0</v>
      </c>
      <c r="E1547" s="24"/>
      <c r="F1547" s="14" t="s">
        <v>6012</v>
      </c>
      <c r="G1547" s="14">
        <v>42.59</v>
      </c>
      <c r="H1547" s="14">
        <v>0.0</v>
      </c>
      <c r="I1547" s="14" t="s">
        <v>6038</v>
      </c>
      <c r="J1547" s="14" t="s">
        <v>6012</v>
      </c>
      <c r="K1547" s="14" t="s">
        <v>6012</v>
      </c>
      <c r="L1547" s="14">
        <v>0.0</v>
      </c>
    </row>
    <row r="1548">
      <c r="A1548" s="14">
        <v>1325.0</v>
      </c>
      <c r="B1548" s="14">
        <v>3.0</v>
      </c>
      <c r="C1548" s="34">
        <v>21.18</v>
      </c>
      <c r="D1548" s="36">
        <v>44808.0</v>
      </c>
      <c r="E1548" s="24"/>
      <c r="F1548" s="14">
        <v>7.06</v>
      </c>
      <c r="G1548" s="14">
        <v>15.98</v>
      </c>
      <c r="H1548" s="14">
        <v>0.23</v>
      </c>
      <c r="I1548" s="14" t="s">
        <v>6035</v>
      </c>
      <c r="J1548" s="14">
        <v>33.33</v>
      </c>
      <c r="K1548" s="14">
        <v>21.18</v>
      </c>
      <c r="L1548" s="14">
        <v>0.0</v>
      </c>
    </row>
    <row r="1549">
      <c r="A1549" s="14">
        <v>739.0</v>
      </c>
      <c r="B1549" s="14">
        <v>2.0</v>
      </c>
      <c r="C1549" s="34">
        <v>38.0</v>
      </c>
      <c r="D1549" s="36">
        <v>44809.0</v>
      </c>
      <c r="E1549" s="24"/>
      <c r="F1549" s="14">
        <v>19.0</v>
      </c>
      <c r="G1549" s="14">
        <v>51.42</v>
      </c>
      <c r="H1549" s="14">
        <v>0.27</v>
      </c>
      <c r="I1549" s="14" t="s">
        <v>6038</v>
      </c>
      <c r="J1549" s="14">
        <v>100.0</v>
      </c>
      <c r="K1549" s="14">
        <v>19.0</v>
      </c>
      <c r="L1549" s="14">
        <v>0.0</v>
      </c>
    </row>
    <row r="1550">
      <c r="A1550" s="14">
        <v>955.0</v>
      </c>
      <c r="B1550" s="14">
        <v>6.0</v>
      </c>
      <c r="C1550" s="34">
        <v>34.92</v>
      </c>
      <c r="D1550" s="36">
        <v>44809.0</v>
      </c>
      <c r="E1550" s="24"/>
      <c r="F1550" s="14">
        <v>5.82</v>
      </c>
      <c r="G1550" s="14">
        <v>36.57</v>
      </c>
      <c r="H1550" s="14">
        <v>0.63</v>
      </c>
      <c r="I1550" s="14" t="s">
        <v>6039</v>
      </c>
      <c r="J1550" s="14">
        <v>0.0</v>
      </c>
      <c r="K1550" s="14" t="s">
        <v>6012</v>
      </c>
      <c r="L1550" s="14">
        <v>0.0</v>
      </c>
    </row>
    <row r="1551">
      <c r="A1551" s="14">
        <v>1856.0</v>
      </c>
      <c r="B1551" s="14">
        <v>1.0</v>
      </c>
      <c r="C1551" s="34">
        <v>38.3</v>
      </c>
      <c r="D1551" s="36">
        <v>44809.0</v>
      </c>
      <c r="E1551" s="24"/>
      <c r="F1551" s="14">
        <v>38.3</v>
      </c>
      <c r="G1551" s="14">
        <v>20.64</v>
      </c>
      <c r="H1551" s="14">
        <v>0.05</v>
      </c>
      <c r="I1551" s="14" t="s">
        <v>6035</v>
      </c>
      <c r="J1551" s="14">
        <v>100.0</v>
      </c>
      <c r="K1551" s="14">
        <v>38.3</v>
      </c>
      <c r="L1551" s="14">
        <v>0.0</v>
      </c>
    </row>
    <row r="1552">
      <c r="A1552" s="14">
        <v>468.0</v>
      </c>
      <c r="B1552" s="14">
        <v>1.0</v>
      </c>
      <c r="C1552" s="34">
        <v>16.98</v>
      </c>
      <c r="D1552" s="36">
        <v>44809.0</v>
      </c>
      <c r="E1552" s="24"/>
      <c r="F1552" s="14">
        <v>16.98</v>
      </c>
      <c r="G1552" s="14">
        <v>36.28</v>
      </c>
      <c r="H1552" s="14">
        <v>0.21</v>
      </c>
      <c r="I1552" s="14" t="s">
        <v>6042</v>
      </c>
      <c r="J1552" s="14">
        <v>100.0</v>
      </c>
      <c r="K1552" s="14">
        <v>16.98</v>
      </c>
      <c r="L1552" s="14">
        <v>0.0</v>
      </c>
    </row>
    <row r="1553">
      <c r="A1553" s="14">
        <v>1223.0</v>
      </c>
      <c r="B1553" s="14">
        <v>5.0</v>
      </c>
      <c r="C1553" s="34">
        <v>34.21</v>
      </c>
      <c r="D1553" s="36">
        <v>44809.0</v>
      </c>
      <c r="E1553" s="24"/>
      <c r="F1553" s="14">
        <v>6.84</v>
      </c>
      <c r="G1553" s="14">
        <v>27.97</v>
      </c>
      <c r="H1553" s="14">
        <v>0.41</v>
      </c>
      <c r="I1553" s="14" t="s">
        <v>6037</v>
      </c>
      <c r="J1553" s="14">
        <v>20.0</v>
      </c>
      <c r="K1553" s="14">
        <v>34.21</v>
      </c>
      <c r="L1553" s="14">
        <v>0.0</v>
      </c>
    </row>
    <row r="1554">
      <c r="A1554" s="14">
        <v>745.0</v>
      </c>
      <c r="B1554" s="14">
        <v>5.0</v>
      </c>
      <c r="C1554" s="34">
        <v>27.72</v>
      </c>
      <c r="D1554" s="36">
        <v>44809.0</v>
      </c>
      <c r="E1554" s="24"/>
      <c r="F1554" s="14">
        <v>5.54</v>
      </c>
      <c r="G1554" s="14">
        <v>37.21</v>
      </c>
      <c r="H1554" s="14">
        <v>0.67</v>
      </c>
      <c r="I1554" s="14" t="s">
        <v>6036</v>
      </c>
      <c r="J1554" s="14">
        <v>40.0</v>
      </c>
      <c r="K1554" s="14">
        <v>13.86</v>
      </c>
      <c r="L1554" s="14">
        <v>0.0</v>
      </c>
    </row>
    <row r="1555">
      <c r="A1555" s="14">
        <v>1355.0</v>
      </c>
      <c r="B1555" s="14">
        <v>2.0</v>
      </c>
      <c r="C1555" s="34">
        <v>41.44</v>
      </c>
      <c r="D1555" s="36">
        <v>44810.0</v>
      </c>
      <c r="E1555" s="24"/>
      <c r="F1555" s="14">
        <v>20.72</v>
      </c>
      <c r="G1555" s="14">
        <v>30.58</v>
      </c>
      <c r="H1555" s="14">
        <v>0.15</v>
      </c>
      <c r="I1555" s="14" t="s">
        <v>6038</v>
      </c>
      <c r="J1555" s="14">
        <v>50.0</v>
      </c>
      <c r="K1555" s="14">
        <v>41.44</v>
      </c>
      <c r="L1555" s="14">
        <v>0.0</v>
      </c>
    </row>
    <row r="1556">
      <c r="A1556" s="14">
        <v>1762.0</v>
      </c>
      <c r="B1556" s="14">
        <v>11.0</v>
      </c>
      <c r="C1556" s="34">
        <v>37.18</v>
      </c>
      <c r="D1556" s="36">
        <v>44810.0</v>
      </c>
      <c r="E1556" s="24"/>
      <c r="F1556" s="14">
        <v>3.38</v>
      </c>
      <c r="G1556" s="14">
        <v>21.1</v>
      </c>
      <c r="H1556" s="14">
        <v>0.62</v>
      </c>
      <c r="I1556" s="14" t="s">
        <v>6037</v>
      </c>
      <c r="J1556" s="14">
        <v>27.27</v>
      </c>
      <c r="K1556" s="14">
        <v>12.39</v>
      </c>
      <c r="L1556" s="14">
        <v>0.0</v>
      </c>
    </row>
    <row r="1557">
      <c r="A1557" s="14">
        <v>2755.0</v>
      </c>
      <c r="B1557" s="14">
        <v>1.0</v>
      </c>
      <c r="C1557" s="34">
        <v>41.4</v>
      </c>
      <c r="D1557" s="36">
        <v>44810.0</v>
      </c>
      <c r="E1557" s="24"/>
      <c r="F1557" s="14">
        <v>41.4</v>
      </c>
      <c r="G1557" s="14">
        <v>15.03</v>
      </c>
      <c r="H1557" s="14">
        <v>0.04</v>
      </c>
      <c r="I1557" s="14" t="s">
        <v>6035</v>
      </c>
      <c r="J1557" s="14">
        <v>200.0</v>
      </c>
      <c r="K1557" s="14">
        <v>20.7</v>
      </c>
      <c r="L1557" s="14">
        <v>0.0</v>
      </c>
    </row>
    <row r="1558">
      <c r="A1558" s="14">
        <v>994.0</v>
      </c>
      <c r="B1558" s="14">
        <v>7.0</v>
      </c>
      <c r="C1558" s="34">
        <v>35.97</v>
      </c>
      <c r="D1558" s="36">
        <v>44810.0</v>
      </c>
      <c r="E1558" s="24"/>
      <c r="F1558" s="14">
        <v>5.14</v>
      </c>
      <c r="G1558" s="14">
        <v>36.19</v>
      </c>
      <c r="H1558" s="14">
        <v>0.7</v>
      </c>
      <c r="I1558" s="14" t="s">
        <v>6039</v>
      </c>
      <c r="J1558" s="14">
        <v>28.57</v>
      </c>
      <c r="K1558" s="14">
        <v>17.98</v>
      </c>
      <c r="L1558" s="14">
        <v>0.0</v>
      </c>
    </row>
    <row r="1559">
      <c r="A1559" s="14">
        <v>382.0</v>
      </c>
      <c r="B1559" s="14">
        <v>2.0</v>
      </c>
      <c r="C1559" s="34">
        <v>17.5</v>
      </c>
      <c r="D1559" s="36">
        <v>44810.0</v>
      </c>
      <c r="E1559" s="24"/>
      <c r="F1559" s="14">
        <v>8.75</v>
      </c>
      <c r="G1559" s="14">
        <v>45.81</v>
      </c>
      <c r="H1559" s="14">
        <v>0.52</v>
      </c>
      <c r="I1559" s="14" t="s">
        <v>6042</v>
      </c>
      <c r="J1559" s="14">
        <v>0.0</v>
      </c>
      <c r="K1559" s="14" t="s">
        <v>6012</v>
      </c>
      <c r="L1559" s="14">
        <v>0.0</v>
      </c>
    </row>
    <row r="1560">
      <c r="A1560" s="14">
        <v>819.0</v>
      </c>
      <c r="B1560" s="14">
        <v>6.0</v>
      </c>
      <c r="C1560" s="34">
        <v>30.06</v>
      </c>
      <c r="D1560" s="36">
        <v>44810.0</v>
      </c>
      <c r="E1560" s="24"/>
      <c r="F1560" s="14">
        <v>5.01</v>
      </c>
      <c r="G1560" s="14">
        <v>36.7</v>
      </c>
      <c r="H1560" s="14">
        <v>0.73</v>
      </c>
      <c r="I1560" s="14" t="s">
        <v>6036</v>
      </c>
      <c r="J1560" s="14">
        <v>33.33</v>
      </c>
      <c r="K1560" s="14">
        <v>15.03</v>
      </c>
      <c r="L1560" s="14">
        <v>0.0</v>
      </c>
    </row>
    <row r="1561">
      <c r="A1561" s="14">
        <v>1270.0</v>
      </c>
      <c r="B1561" s="14">
        <v>1.0</v>
      </c>
      <c r="C1561" s="34">
        <v>42.36</v>
      </c>
      <c r="D1561" s="36">
        <v>44811.0</v>
      </c>
      <c r="E1561" s="24"/>
      <c r="F1561" s="14">
        <v>42.36</v>
      </c>
      <c r="G1561" s="14">
        <v>33.35</v>
      </c>
      <c r="H1561" s="14">
        <v>0.08</v>
      </c>
      <c r="I1561" s="14" t="s">
        <v>6038</v>
      </c>
      <c r="J1561" s="14">
        <v>400.0</v>
      </c>
      <c r="K1561" s="14">
        <v>10.59</v>
      </c>
      <c r="L1561" s="14">
        <v>0.0</v>
      </c>
    </row>
    <row r="1562">
      <c r="A1562" s="14">
        <v>1675.0</v>
      </c>
      <c r="B1562" s="14">
        <v>10.0</v>
      </c>
      <c r="C1562" s="34">
        <v>35.83</v>
      </c>
      <c r="D1562" s="36">
        <v>44811.0</v>
      </c>
      <c r="E1562" s="24"/>
      <c r="F1562" s="14">
        <v>3.58</v>
      </c>
      <c r="G1562" s="14">
        <v>21.39</v>
      </c>
      <c r="H1562" s="14">
        <v>0.6</v>
      </c>
      <c r="I1562" s="14" t="s">
        <v>6037</v>
      </c>
      <c r="J1562" s="14">
        <v>10.0</v>
      </c>
      <c r="K1562" s="14">
        <v>35.83</v>
      </c>
      <c r="L1562" s="14">
        <v>0.0</v>
      </c>
    </row>
    <row r="1563">
      <c r="A1563" s="14">
        <v>2836.0</v>
      </c>
      <c r="B1563" s="14">
        <v>0.0</v>
      </c>
      <c r="C1563" s="34">
        <v>42.24</v>
      </c>
      <c r="D1563" s="36">
        <v>44811.0</v>
      </c>
      <c r="E1563" s="24"/>
      <c r="F1563" s="14" t="s">
        <v>6012</v>
      </c>
      <c r="G1563" s="14">
        <v>14.89</v>
      </c>
      <c r="H1563" s="14">
        <v>0.0</v>
      </c>
      <c r="I1563" s="14" t="s">
        <v>6035</v>
      </c>
      <c r="J1563" s="14" t="s">
        <v>6012</v>
      </c>
      <c r="K1563" s="14">
        <v>42.24</v>
      </c>
      <c r="L1563" s="14">
        <v>0.0</v>
      </c>
    </row>
    <row r="1564">
      <c r="A1564" s="14">
        <v>1014.0</v>
      </c>
      <c r="B1564" s="14">
        <v>12.0</v>
      </c>
      <c r="C1564" s="34">
        <v>37.18</v>
      </c>
      <c r="D1564" s="36">
        <v>44811.0</v>
      </c>
      <c r="E1564" s="24"/>
      <c r="F1564" s="14">
        <v>3.1</v>
      </c>
      <c r="G1564" s="14">
        <v>36.67</v>
      </c>
      <c r="H1564" s="14">
        <v>1.18</v>
      </c>
      <c r="I1564" s="14" t="s">
        <v>6039</v>
      </c>
      <c r="J1564" s="14">
        <v>16.67</v>
      </c>
      <c r="K1564" s="14">
        <v>18.59</v>
      </c>
      <c r="L1564" s="14">
        <v>0.0</v>
      </c>
    </row>
    <row r="1565">
      <c r="A1565" s="14">
        <v>701.0</v>
      </c>
      <c r="B1565" s="14">
        <v>9.0</v>
      </c>
      <c r="C1565" s="34">
        <v>30.59</v>
      </c>
      <c r="D1565" s="36">
        <v>44811.0</v>
      </c>
      <c r="E1565" s="24"/>
      <c r="F1565" s="14">
        <v>3.4</v>
      </c>
      <c r="G1565" s="14">
        <v>43.64</v>
      </c>
      <c r="H1565" s="14">
        <v>1.28</v>
      </c>
      <c r="I1565" s="14" t="s">
        <v>6036</v>
      </c>
      <c r="J1565" s="14">
        <v>11.11</v>
      </c>
      <c r="K1565" s="14">
        <v>30.59</v>
      </c>
      <c r="L1565" s="14">
        <v>0.0</v>
      </c>
    </row>
    <row r="1566">
      <c r="A1566" s="14">
        <v>376.0</v>
      </c>
      <c r="B1566" s="14">
        <v>0.0</v>
      </c>
      <c r="C1566" s="34">
        <v>18.96</v>
      </c>
      <c r="D1566" s="36">
        <v>44811.0</v>
      </c>
      <c r="E1566" s="24"/>
      <c r="F1566" s="14" t="s">
        <v>6012</v>
      </c>
      <c r="G1566" s="14">
        <v>50.43</v>
      </c>
      <c r="H1566" s="14">
        <v>0.0</v>
      </c>
      <c r="I1566" s="14" t="s">
        <v>6042</v>
      </c>
      <c r="J1566" s="14" t="s">
        <v>6012</v>
      </c>
      <c r="K1566" s="14" t="s">
        <v>6012</v>
      </c>
      <c r="L1566" s="14">
        <v>0.0</v>
      </c>
    </row>
    <row r="1567">
      <c r="A1567" s="14">
        <v>1611.0</v>
      </c>
      <c r="B1567" s="14">
        <v>10.0</v>
      </c>
      <c r="C1567" s="34">
        <v>35.61</v>
      </c>
      <c r="D1567" s="36">
        <v>44812.0</v>
      </c>
      <c r="E1567" s="24"/>
      <c r="F1567" s="14">
        <v>3.56</v>
      </c>
      <c r="G1567" s="14">
        <v>22.1</v>
      </c>
      <c r="H1567" s="14">
        <v>0.62</v>
      </c>
      <c r="I1567" s="14" t="s">
        <v>6037</v>
      </c>
      <c r="J1567" s="14">
        <v>30.0</v>
      </c>
      <c r="K1567" s="14">
        <v>11.87</v>
      </c>
      <c r="L1567" s="14">
        <v>0.0</v>
      </c>
    </row>
    <row r="1568">
      <c r="A1568" s="14">
        <v>983.0</v>
      </c>
      <c r="B1568" s="14">
        <v>7.0</v>
      </c>
      <c r="C1568" s="34">
        <v>34.57</v>
      </c>
      <c r="D1568" s="36">
        <v>44812.0</v>
      </c>
      <c r="E1568" s="24"/>
      <c r="F1568" s="14">
        <v>4.94</v>
      </c>
      <c r="G1568" s="14">
        <v>35.17</v>
      </c>
      <c r="H1568" s="14">
        <v>0.71</v>
      </c>
      <c r="I1568" s="14" t="s">
        <v>6039</v>
      </c>
      <c r="J1568" s="14">
        <v>28.57</v>
      </c>
      <c r="K1568" s="14">
        <v>17.28</v>
      </c>
      <c r="L1568" s="14">
        <v>0.0</v>
      </c>
    </row>
    <row r="1569">
      <c r="A1569" s="14">
        <v>2809.0</v>
      </c>
      <c r="B1569" s="14">
        <v>5.0</v>
      </c>
      <c r="C1569" s="34">
        <v>42.45</v>
      </c>
      <c r="D1569" s="36">
        <v>44812.0</v>
      </c>
      <c r="E1569" s="24"/>
      <c r="F1569" s="14">
        <v>8.49</v>
      </c>
      <c r="G1569" s="14">
        <v>15.11</v>
      </c>
      <c r="H1569" s="14">
        <v>0.18</v>
      </c>
      <c r="I1569" s="14" t="s">
        <v>6035</v>
      </c>
      <c r="J1569" s="14">
        <v>0.0</v>
      </c>
      <c r="K1569" s="14" t="s">
        <v>6012</v>
      </c>
      <c r="L1569" s="14">
        <v>0.0</v>
      </c>
    </row>
    <row r="1570">
      <c r="A1570" s="14">
        <v>1260.0</v>
      </c>
      <c r="B1570" s="14">
        <v>1.0</v>
      </c>
      <c r="C1570" s="34">
        <v>40.72</v>
      </c>
      <c r="D1570" s="36">
        <v>44812.0</v>
      </c>
      <c r="E1570" s="24"/>
      <c r="F1570" s="14">
        <v>40.72</v>
      </c>
      <c r="G1570" s="14">
        <v>32.32</v>
      </c>
      <c r="H1570" s="14">
        <v>0.08</v>
      </c>
      <c r="I1570" s="14" t="s">
        <v>6038</v>
      </c>
      <c r="J1570" s="14">
        <v>200.0</v>
      </c>
      <c r="K1570" s="14">
        <v>20.36</v>
      </c>
      <c r="L1570" s="14">
        <v>0.0</v>
      </c>
    </row>
    <row r="1571">
      <c r="A1571" s="14">
        <v>383.0</v>
      </c>
      <c r="B1571" s="14">
        <v>1.0</v>
      </c>
      <c r="C1571" s="34">
        <v>18.05</v>
      </c>
      <c r="D1571" s="36">
        <v>44812.0</v>
      </c>
      <c r="E1571" s="24"/>
      <c r="F1571" s="14">
        <v>18.05</v>
      </c>
      <c r="G1571" s="14">
        <v>47.13</v>
      </c>
      <c r="H1571" s="14">
        <v>0.26</v>
      </c>
      <c r="I1571" s="14" t="s">
        <v>6042</v>
      </c>
      <c r="J1571" s="14">
        <v>100.0</v>
      </c>
      <c r="K1571" s="14">
        <v>18.05</v>
      </c>
      <c r="L1571" s="14">
        <v>0.0</v>
      </c>
    </row>
    <row r="1572">
      <c r="A1572" s="14">
        <v>936.0</v>
      </c>
      <c r="B1572" s="14">
        <v>4.0</v>
      </c>
      <c r="C1572" s="34">
        <v>30.83</v>
      </c>
      <c r="D1572" s="36">
        <v>44812.0</v>
      </c>
      <c r="E1572" s="24"/>
      <c r="F1572" s="14">
        <v>7.71</v>
      </c>
      <c r="G1572" s="14">
        <v>32.94</v>
      </c>
      <c r="H1572" s="14">
        <v>0.43</v>
      </c>
      <c r="I1572" s="14" t="s">
        <v>6036</v>
      </c>
      <c r="J1572" s="14">
        <v>75.0</v>
      </c>
      <c r="K1572" s="14">
        <v>10.28</v>
      </c>
      <c r="L1572" s="14">
        <v>0.0</v>
      </c>
    </row>
    <row r="1573">
      <c r="A1573" s="14">
        <v>2428.0</v>
      </c>
      <c r="B1573" s="14">
        <v>0.0</v>
      </c>
      <c r="C1573" s="34">
        <v>39.39</v>
      </c>
      <c r="D1573" s="36">
        <v>44813.0</v>
      </c>
      <c r="E1573" s="24"/>
      <c r="F1573" s="14" t="s">
        <v>6012</v>
      </c>
      <c r="G1573" s="14">
        <v>16.22</v>
      </c>
      <c r="H1573" s="14">
        <v>0.0</v>
      </c>
      <c r="I1573" s="14" t="s">
        <v>6035</v>
      </c>
      <c r="J1573" s="14" t="s">
        <v>6012</v>
      </c>
      <c r="K1573" s="14" t="s">
        <v>6012</v>
      </c>
      <c r="L1573" s="14">
        <v>0.0</v>
      </c>
    </row>
    <row r="1574">
      <c r="A1574" s="14">
        <v>744.0</v>
      </c>
      <c r="B1574" s="14">
        <v>6.0</v>
      </c>
      <c r="C1574" s="34">
        <v>32.61</v>
      </c>
      <c r="D1574" s="36">
        <v>44813.0</v>
      </c>
      <c r="E1574" s="24"/>
      <c r="F1574" s="14">
        <v>5.44</v>
      </c>
      <c r="G1574" s="14">
        <v>43.83</v>
      </c>
      <c r="H1574" s="14">
        <v>0.81</v>
      </c>
      <c r="I1574" s="14" t="s">
        <v>6039</v>
      </c>
      <c r="J1574" s="14">
        <v>33.33</v>
      </c>
      <c r="K1574" s="14">
        <v>16.3</v>
      </c>
      <c r="L1574" s="14">
        <v>0.0</v>
      </c>
    </row>
    <row r="1575">
      <c r="A1575" s="14">
        <v>1009.0</v>
      </c>
      <c r="B1575" s="14">
        <v>4.0</v>
      </c>
      <c r="C1575" s="34">
        <v>38.59</v>
      </c>
      <c r="D1575" s="36">
        <v>44813.0</v>
      </c>
      <c r="E1575" s="24"/>
      <c r="F1575" s="14">
        <v>9.65</v>
      </c>
      <c r="G1575" s="14">
        <v>38.25</v>
      </c>
      <c r="H1575" s="14">
        <v>0.4</v>
      </c>
      <c r="I1575" s="14" t="s">
        <v>6038</v>
      </c>
      <c r="J1575" s="14">
        <v>25.0</v>
      </c>
      <c r="K1575" s="14">
        <v>38.59</v>
      </c>
      <c r="L1575" s="14">
        <v>0.0</v>
      </c>
    </row>
    <row r="1576">
      <c r="A1576" s="14">
        <v>374.0</v>
      </c>
      <c r="B1576" s="14">
        <v>1.0</v>
      </c>
      <c r="C1576" s="34">
        <v>16.09</v>
      </c>
      <c r="D1576" s="36">
        <v>44813.0</v>
      </c>
      <c r="E1576" s="24"/>
      <c r="F1576" s="14">
        <v>16.09</v>
      </c>
      <c r="G1576" s="14">
        <v>43.02</v>
      </c>
      <c r="H1576" s="14">
        <v>0.27</v>
      </c>
      <c r="I1576" s="14" t="s">
        <v>6042</v>
      </c>
      <c r="J1576" s="14">
        <v>100.0</v>
      </c>
      <c r="K1576" s="14">
        <v>16.09</v>
      </c>
      <c r="L1576" s="14">
        <v>0.0</v>
      </c>
    </row>
    <row r="1577">
      <c r="A1577" s="14">
        <v>794.0</v>
      </c>
      <c r="B1577" s="14">
        <v>2.0</v>
      </c>
      <c r="C1577" s="34">
        <v>27.65</v>
      </c>
      <c r="D1577" s="36">
        <v>44813.0</v>
      </c>
      <c r="E1577" s="24"/>
      <c r="F1577" s="14">
        <v>13.82</v>
      </c>
      <c r="G1577" s="14">
        <v>34.82</v>
      </c>
      <c r="H1577" s="14">
        <v>0.25</v>
      </c>
      <c r="I1577" s="14" t="s">
        <v>6036</v>
      </c>
      <c r="J1577" s="14">
        <v>200.0</v>
      </c>
      <c r="K1577" s="14">
        <v>6.91</v>
      </c>
      <c r="L1577" s="14">
        <v>0.0</v>
      </c>
    </row>
    <row r="1578">
      <c r="A1578" s="14">
        <v>1543.0</v>
      </c>
      <c r="B1578" s="14">
        <v>6.0</v>
      </c>
      <c r="C1578" s="34">
        <v>32.58</v>
      </c>
      <c r="D1578" s="36">
        <v>44813.0</v>
      </c>
      <c r="E1578" s="24"/>
      <c r="F1578" s="14">
        <v>5.43</v>
      </c>
      <c r="G1578" s="14">
        <v>21.11</v>
      </c>
      <c r="H1578" s="14">
        <v>0.39</v>
      </c>
      <c r="I1578" s="14" t="s">
        <v>6037</v>
      </c>
      <c r="J1578" s="14">
        <v>16.67</v>
      </c>
      <c r="K1578" s="14">
        <v>32.58</v>
      </c>
      <c r="L1578" s="14">
        <v>0.0</v>
      </c>
    </row>
    <row r="1579">
      <c r="A1579" s="14">
        <v>448.0</v>
      </c>
      <c r="B1579" s="14">
        <v>3.0</v>
      </c>
      <c r="C1579" s="34">
        <v>13.4</v>
      </c>
      <c r="D1579" s="36">
        <v>44814.0</v>
      </c>
      <c r="E1579" s="24"/>
      <c r="F1579" s="14">
        <v>4.47</v>
      </c>
      <c r="G1579" s="14">
        <v>29.91</v>
      </c>
      <c r="H1579" s="14">
        <v>0.67</v>
      </c>
      <c r="I1579" s="14" t="s">
        <v>6036</v>
      </c>
      <c r="J1579" s="14">
        <v>33.33</v>
      </c>
      <c r="K1579" s="14">
        <v>13.4</v>
      </c>
      <c r="L1579" s="14">
        <v>0.0</v>
      </c>
    </row>
    <row r="1580">
      <c r="A1580" s="14">
        <v>791.0</v>
      </c>
      <c r="B1580" s="14">
        <v>0.0</v>
      </c>
      <c r="C1580" s="34">
        <v>16.7</v>
      </c>
      <c r="D1580" s="36">
        <v>44814.0</v>
      </c>
      <c r="E1580" s="24"/>
      <c r="F1580" s="14" t="s">
        <v>6012</v>
      </c>
      <c r="G1580" s="14">
        <v>21.11</v>
      </c>
      <c r="H1580" s="14">
        <v>0.0</v>
      </c>
      <c r="I1580" s="14" t="s">
        <v>6037</v>
      </c>
      <c r="J1580" s="14" t="s">
        <v>6012</v>
      </c>
      <c r="K1580" s="14" t="s">
        <v>6012</v>
      </c>
      <c r="L1580" s="14">
        <v>0.0</v>
      </c>
    </row>
    <row r="1581">
      <c r="A1581" s="14">
        <v>561.0</v>
      </c>
      <c r="B1581" s="14">
        <v>0.0</v>
      </c>
      <c r="C1581" s="34">
        <v>20.39</v>
      </c>
      <c r="D1581" s="36">
        <v>44814.0</v>
      </c>
      <c r="E1581" s="24"/>
      <c r="F1581" s="14" t="s">
        <v>6012</v>
      </c>
      <c r="G1581" s="14">
        <v>36.35</v>
      </c>
      <c r="H1581" s="14">
        <v>0.0</v>
      </c>
      <c r="I1581" s="14" t="s">
        <v>6038</v>
      </c>
      <c r="J1581" s="14" t="s">
        <v>6012</v>
      </c>
      <c r="K1581" s="14" t="s">
        <v>6012</v>
      </c>
      <c r="L1581" s="14">
        <v>0.0</v>
      </c>
    </row>
    <row r="1582">
      <c r="A1582" s="14">
        <v>457.0</v>
      </c>
      <c r="B1582" s="14">
        <v>2.0</v>
      </c>
      <c r="C1582" s="34">
        <v>17.04</v>
      </c>
      <c r="D1582" s="36">
        <v>44814.0</v>
      </c>
      <c r="E1582" s="24"/>
      <c r="F1582" s="14">
        <v>8.52</v>
      </c>
      <c r="G1582" s="14">
        <v>37.29</v>
      </c>
      <c r="H1582" s="14">
        <v>0.44</v>
      </c>
      <c r="I1582" s="14" t="s">
        <v>6039</v>
      </c>
      <c r="J1582" s="14">
        <v>100.0</v>
      </c>
      <c r="K1582" s="14">
        <v>8.52</v>
      </c>
      <c r="L1582" s="14">
        <v>0.0</v>
      </c>
    </row>
    <row r="1583">
      <c r="A1583" s="14">
        <v>1186.0</v>
      </c>
      <c r="B1583" s="14">
        <v>2.0</v>
      </c>
      <c r="C1583" s="34">
        <v>18.98</v>
      </c>
      <c r="D1583" s="36">
        <v>44814.0</v>
      </c>
      <c r="E1583" s="24"/>
      <c r="F1583" s="14">
        <v>9.49</v>
      </c>
      <c r="G1583" s="14">
        <v>16.0</v>
      </c>
      <c r="H1583" s="14">
        <v>0.17</v>
      </c>
      <c r="I1583" s="14" t="s">
        <v>6035</v>
      </c>
      <c r="J1583" s="14">
        <v>50.0</v>
      </c>
      <c r="K1583" s="14">
        <v>18.98</v>
      </c>
      <c r="L1583" s="14">
        <v>0.0</v>
      </c>
    </row>
    <row r="1584">
      <c r="A1584" s="14">
        <v>230.0</v>
      </c>
      <c r="B1584" s="14">
        <v>1.0</v>
      </c>
      <c r="C1584" s="34">
        <v>7.86</v>
      </c>
      <c r="D1584" s="36">
        <v>44814.0</v>
      </c>
      <c r="E1584" s="24"/>
      <c r="F1584" s="14">
        <v>7.86</v>
      </c>
      <c r="G1584" s="14">
        <v>34.17</v>
      </c>
      <c r="H1584" s="14">
        <v>0.43</v>
      </c>
      <c r="I1584" s="14" t="s">
        <v>6042</v>
      </c>
      <c r="J1584" s="14">
        <v>0.0</v>
      </c>
      <c r="K1584" s="14" t="s">
        <v>6012</v>
      </c>
      <c r="L1584" s="14">
        <v>0.0</v>
      </c>
    </row>
    <row r="1585">
      <c r="A1585" s="14">
        <v>472.0</v>
      </c>
      <c r="B1585" s="14">
        <v>2.0</v>
      </c>
      <c r="C1585" s="34">
        <v>17.69</v>
      </c>
      <c r="D1585" s="36">
        <v>44815.0</v>
      </c>
      <c r="E1585" s="24"/>
      <c r="F1585" s="14">
        <v>8.85</v>
      </c>
      <c r="G1585" s="14">
        <v>37.48</v>
      </c>
      <c r="H1585" s="14">
        <v>0.42</v>
      </c>
      <c r="I1585" s="14" t="s">
        <v>6039</v>
      </c>
      <c r="J1585" s="14">
        <v>50.0</v>
      </c>
      <c r="K1585" s="14">
        <v>17.69</v>
      </c>
      <c r="L1585" s="14">
        <v>0.0</v>
      </c>
    </row>
    <row r="1586">
      <c r="A1586" s="14">
        <v>1237.0</v>
      </c>
      <c r="B1586" s="14">
        <v>1.0</v>
      </c>
      <c r="C1586" s="34">
        <v>20.03</v>
      </c>
      <c r="D1586" s="36">
        <v>44815.0</v>
      </c>
      <c r="E1586" s="24"/>
      <c r="F1586" s="14">
        <v>20.03</v>
      </c>
      <c r="G1586" s="14">
        <v>16.19</v>
      </c>
      <c r="H1586" s="14">
        <v>0.08</v>
      </c>
      <c r="I1586" s="14" t="s">
        <v>6035</v>
      </c>
      <c r="J1586" s="14">
        <v>100.0</v>
      </c>
      <c r="K1586" s="14">
        <v>20.03</v>
      </c>
      <c r="L1586" s="14">
        <v>0.0</v>
      </c>
    </row>
    <row r="1587">
      <c r="A1587" s="14">
        <v>540.0</v>
      </c>
      <c r="B1587" s="14">
        <v>3.0</v>
      </c>
      <c r="C1587" s="34">
        <v>13.3</v>
      </c>
      <c r="D1587" s="36">
        <v>44815.0</v>
      </c>
      <c r="E1587" s="24"/>
      <c r="F1587" s="14">
        <v>4.43</v>
      </c>
      <c r="G1587" s="14">
        <v>24.63</v>
      </c>
      <c r="H1587" s="14">
        <v>0.56</v>
      </c>
      <c r="I1587" s="14" t="s">
        <v>6036</v>
      </c>
      <c r="J1587" s="14">
        <v>66.67</v>
      </c>
      <c r="K1587" s="14">
        <v>6.65</v>
      </c>
      <c r="L1587" s="14">
        <v>0.0</v>
      </c>
    </row>
    <row r="1588">
      <c r="A1588" s="14">
        <v>1.0</v>
      </c>
      <c r="B1588" s="14">
        <v>0.0</v>
      </c>
      <c r="C1588" s="34">
        <v>0.06</v>
      </c>
      <c r="D1588" s="36">
        <v>44815.0</v>
      </c>
      <c r="E1588" s="24"/>
      <c r="F1588" s="14" t="s">
        <v>6012</v>
      </c>
      <c r="G1588" s="14">
        <v>60.0</v>
      </c>
      <c r="H1588" s="14">
        <v>0.0</v>
      </c>
      <c r="I1588" s="14" t="s">
        <v>6033</v>
      </c>
      <c r="J1588" s="14" t="s">
        <v>6012</v>
      </c>
      <c r="K1588" s="14" t="s">
        <v>6012</v>
      </c>
      <c r="L1588" s="14">
        <v>0.0</v>
      </c>
    </row>
    <row r="1589">
      <c r="A1589" s="14">
        <v>875.0</v>
      </c>
      <c r="B1589" s="14">
        <v>2.0</v>
      </c>
      <c r="C1589" s="34">
        <v>17.89</v>
      </c>
      <c r="D1589" s="36">
        <v>44815.0</v>
      </c>
      <c r="E1589" s="24"/>
      <c r="F1589" s="14">
        <v>8.94</v>
      </c>
      <c r="G1589" s="14">
        <v>20.45</v>
      </c>
      <c r="H1589" s="14">
        <v>0.23</v>
      </c>
      <c r="I1589" s="14" t="s">
        <v>6037</v>
      </c>
      <c r="J1589" s="14">
        <v>50.0</v>
      </c>
      <c r="K1589" s="14">
        <v>17.89</v>
      </c>
      <c r="L1589" s="14">
        <v>0.0</v>
      </c>
    </row>
    <row r="1590">
      <c r="A1590" s="14">
        <v>610.0</v>
      </c>
      <c r="B1590" s="14">
        <v>0.0</v>
      </c>
      <c r="C1590" s="34">
        <v>21.17</v>
      </c>
      <c r="D1590" s="36">
        <v>44815.0</v>
      </c>
      <c r="E1590" s="24"/>
      <c r="F1590" s="14" t="s">
        <v>6012</v>
      </c>
      <c r="G1590" s="14">
        <v>34.7</v>
      </c>
      <c r="H1590" s="14">
        <v>0.0</v>
      </c>
      <c r="I1590" s="14" t="s">
        <v>6038</v>
      </c>
      <c r="J1590" s="14" t="s">
        <v>6012</v>
      </c>
      <c r="K1590" s="14" t="s">
        <v>6012</v>
      </c>
      <c r="L1590" s="14">
        <v>0.0</v>
      </c>
    </row>
    <row r="1591">
      <c r="A1591" s="14">
        <v>265.0</v>
      </c>
      <c r="B1591" s="14">
        <v>2.0</v>
      </c>
      <c r="C1591" s="34">
        <v>9.45</v>
      </c>
      <c r="D1591" s="36">
        <v>44815.0</v>
      </c>
      <c r="E1591" s="24"/>
      <c r="F1591" s="14">
        <v>4.72</v>
      </c>
      <c r="G1591" s="14">
        <v>35.66</v>
      </c>
      <c r="H1591" s="14">
        <v>0.75</v>
      </c>
      <c r="I1591" s="14" t="s">
        <v>6042</v>
      </c>
      <c r="J1591" s="14">
        <v>100.0</v>
      </c>
      <c r="K1591" s="14">
        <v>4.72</v>
      </c>
      <c r="L1591" s="14">
        <v>0.0</v>
      </c>
    </row>
    <row r="1592">
      <c r="A1592" s="14">
        <v>2423.0</v>
      </c>
      <c r="B1592" s="14">
        <v>1.0</v>
      </c>
      <c r="C1592" s="34">
        <v>35.07</v>
      </c>
      <c r="D1592" s="36">
        <v>44816.0</v>
      </c>
      <c r="E1592" s="24"/>
      <c r="F1592" s="14">
        <v>35.07</v>
      </c>
      <c r="G1592" s="14">
        <v>14.47</v>
      </c>
      <c r="H1592" s="14">
        <v>0.04</v>
      </c>
      <c r="I1592" s="14" t="s">
        <v>6035</v>
      </c>
      <c r="J1592" s="14">
        <v>100.0</v>
      </c>
      <c r="K1592" s="14">
        <v>35.07</v>
      </c>
      <c r="L1592" s="14">
        <v>0.0</v>
      </c>
    </row>
    <row r="1593">
      <c r="A1593" s="14">
        <v>1826.0</v>
      </c>
      <c r="B1593" s="14">
        <v>10.0</v>
      </c>
      <c r="C1593" s="34">
        <v>35.0</v>
      </c>
      <c r="D1593" s="36">
        <v>44816.0</v>
      </c>
      <c r="E1593" s="24"/>
      <c r="F1593" s="14">
        <v>3.5</v>
      </c>
      <c r="G1593" s="14">
        <v>19.17</v>
      </c>
      <c r="H1593" s="14">
        <v>0.55</v>
      </c>
      <c r="I1593" s="14" t="s">
        <v>6037</v>
      </c>
      <c r="J1593" s="14">
        <v>10.0</v>
      </c>
      <c r="K1593" s="14">
        <v>35.0</v>
      </c>
      <c r="L1593" s="14">
        <v>0.0</v>
      </c>
    </row>
    <row r="1594">
      <c r="A1594" s="14">
        <v>1011.0</v>
      </c>
      <c r="B1594" s="14">
        <v>1.0</v>
      </c>
      <c r="C1594" s="34">
        <v>33.73</v>
      </c>
      <c r="D1594" s="36">
        <v>44816.0</v>
      </c>
      <c r="E1594" s="24"/>
      <c r="F1594" s="14">
        <v>33.73</v>
      </c>
      <c r="G1594" s="14">
        <v>33.36</v>
      </c>
      <c r="H1594" s="14">
        <v>0.1</v>
      </c>
      <c r="I1594" s="14" t="s">
        <v>6038</v>
      </c>
      <c r="J1594" s="14">
        <v>100.0</v>
      </c>
      <c r="K1594" s="14">
        <v>33.73</v>
      </c>
      <c r="L1594" s="14">
        <v>0.0</v>
      </c>
    </row>
    <row r="1595">
      <c r="A1595" s="14">
        <v>702.0</v>
      </c>
      <c r="B1595" s="14">
        <v>7.0</v>
      </c>
      <c r="C1595" s="34">
        <v>25.59</v>
      </c>
      <c r="D1595" s="36">
        <v>44816.0</v>
      </c>
      <c r="E1595" s="24"/>
      <c r="F1595" s="14">
        <v>3.66</v>
      </c>
      <c r="G1595" s="14">
        <v>36.45</v>
      </c>
      <c r="H1595" s="14">
        <v>1.0</v>
      </c>
      <c r="I1595" s="14" t="s">
        <v>6036</v>
      </c>
      <c r="J1595" s="14">
        <v>42.86</v>
      </c>
      <c r="K1595" s="14">
        <v>8.53</v>
      </c>
      <c r="L1595" s="14">
        <v>0.0</v>
      </c>
    </row>
    <row r="1596">
      <c r="A1596" s="14">
        <v>934.0</v>
      </c>
      <c r="B1596" s="14">
        <v>5.0</v>
      </c>
      <c r="C1596" s="34">
        <v>35.28</v>
      </c>
      <c r="D1596" s="36">
        <v>44816.0</v>
      </c>
      <c r="E1596" s="24"/>
      <c r="F1596" s="14">
        <v>7.06</v>
      </c>
      <c r="G1596" s="14">
        <v>37.77</v>
      </c>
      <c r="H1596" s="14">
        <v>0.54</v>
      </c>
      <c r="I1596" s="14" t="s">
        <v>6039</v>
      </c>
      <c r="J1596" s="14">
        <v>40.0</v>
      </c>
      <c r="K1596" s="14">
        <v>17.64</v>
      </c>
      <c r="L1596" s="14">
        <v>0.0</v>
      </c>
    </row>
    <row r="1597">
      <c r="A1597" s="14">
        <v>408.0</v>
      </c>
      <c r="B1597" s="14">
        <v>7.0</v>
      </c>
      <c r="C1597" s="34">
        <v>15.86</v>
      </c>
      <c r="D1597" s="36">
        <v>44816.0</v>
      </c>
      <c r="E1597" s="24"/>
      <c r="F1597" s="14">
        <v>2.27</v>
      </c>
      <c r="G1597" s="14">
        <v>38.87</v>
      </c>
      <c r="H1597" s="14">
        <v>1.72</v>
      </c>
      <c r="I1597" s="14" t="s">
        <v>6042</v>
      </c>
      <c r="J1597" s="14">
        <v>14.29</v>
      </c>
      <c r="K1597" s="14">
        <v>15.86</v>
      </c>
      <c r="L1597" s="14">
        <v>0.0</v>
      </c>
    </row>
    <row r="1598">
      <c r="A1598" s="14">
        <v>409.0</v>
      </c>
      <c r="B1598" s="14">
        <v>5.0</v>
      </c>
      <c r="C1598" s="34">
        <v>18.54</v>
      </c>
      <c r="D1598" s="36">
        <v>44817.0</v>
      </c>
      <c r="E1598" s="24"/>
      <c r="F1598" s="14">
        <v>3.71</v>
      </c>
      <c r="G1598" s="14">
        <v>45.33</v>
      </c>
      <c r="H1598" s="14">
        <v>1.22</v>
      </c>
      <c r="I1598" s="14" t="s">
        <v>6042</v>
      </c>
      <c r="J1598" s="14">
        <v>20.0</v>
      </c>
      <c r="K1598" s="14">
        <v>18.54</v>
      </c>
      <c r="L1598" s="14">
        <v>0.0</v>
      </c>
    </row>
    <row r="1599">
      <c r="A1599" s="14">
        <v>1838.0</v>
      </c>
      <c r="B1599" s="14">
        <v>5.0</v>
      </c>
      <c r="C1599" s="34">
        <v>37.1</v>
      </c>
      <c r="D1599" s="36">
        <v>44817.0</v>
      </c>
      <c r="E1599" s="24"/>
      <c r="F1599" s="14">
        <v>7.42</v>
      </c>
      <c r="G1599" s="14">
        <v>20.18</v>
      </c>
      <c r="H1599" s="14">
        <v>0.27</v>
      </c>
      <c r="I1599" s="14" t="s">
        <v>6037</v>
      </c>
      <c r="J1599" s="14">
        <v>0.0</v>
      </c>
      <c r="K1599" s="14" t="s">
        <v>6012</v>
      </c>
      <c r="L1599" s="14">
        <v>0.0</v>
      </c>
    </row>
    <row r="1600">
      <c r="A1600" s="14">
        <v>971.0</v>
      </c>
      <c r="B1600" s="14">
        <v>2.0</v>
      </c>
      <c r="C1600" s="34">
        <v>35.64</v>
      </c>
      <c r="D1600" s="36">
        <v>44817.0</v>
      </c>
      <c r="E1600" s="24"/>
      <c r="F1600" s="14">
        <v>17.82</v>
      </c>
      <c r="G1600" s="14">
        <v>36.7</v>
      </c>
      <c r="H1600" s="14">
        <v>0.21</v>
      </c>
      <c r="I1600" s="14" t="s">
        <v>6039</v>
      </c>
      <c r="J1600" s="14">
        <v>150.0</v>
      </c>
      <c r="K1600" s="14">
        <v>11.88</v>
      </c>
      <c r="L1600" s="14">
        <v>0.0</v>
      </c>
    </row>
    <row r="1601">
      <c r="A1601" s="14">
        <v>994.0</v>
      </c>
      <c r="B1601" s="14">
        <v>10.0</v>
      </c>
      <c r="C1601" s="34">
        <v>30.2</v>
      </c>
      <c r="D1601" s="36">
        <v>44817.0</v>
      </c>
      <c r="E1601" s="24"/>
      <c r="F1601" s="14">
        <v>3.02</v>
      </c>
      <c r="G1601" s="14">
        <v>30.38</v>
      </c>
      <c r="H1601" s="14">
        <v>1.01</v>
      </c>
      <c r="I1601" s="14" t="s">
        <v>6036</v>
      </c>
      <c r="J1601" s="14">
        <v>30.0</v>
      </c>
      <c r="K1601" s="14">
        <v>10.07</v>
      </c>
      <c r="L1601" s="14">
        <v>0.0</v>
      </c>
    </row>
    <row r="1602">
      <c r="A1602" s="14">
        <v>1123.0</v>
      </c>
      <c r="B1602" s="14">
        <v>2.0</v>
      </c>
      <c r="C1602" s="34">
        <v>41.31</v>
      </c>
      <c r="D1602" s="36">
        <v>44817.0</v>
      </c>
      <c r="E1602" s="24"/>
      <c r="F1602" s="14">
        <v>20.66</v>
      </c>
      <c r="G1602" s="14">
        <v>36.79</v>
      </c>
      <c r="H1602" s="14">
        <v>0.18</v>
      </c>
      <c r="I1602" s="14" t="s">
        <v>6038</v>
      </c>
      <c r="J1602" s="14">
        <v>50.0</v>
      </c>
      <c r="K1602" s="14">
        <v>41.31</v>
      </c>
      <c r="L1602" s="14">
        <v>0.0</v>
      </c>
    </row>
    <row r="1603">
      <c r="A1603" s="14">
        <v>2789.0</v>
      </c>
      <c r="B1603" s="14">
        <v>5.0</v>
      </c>
      <c r="C1603" s="34">
        <v>41.46</v>
      </c>
      <c r="D1603" s="36">
        <v>44817.0</v>
      </c>
      <c r="E1603" s="24"/>
      <c r="F1603" s="14">
        <v>8.29</v>
      </c>
      <c r="G1603" s="14">
        <v>14.87</v>
      </c>
      <c r="H1603" s="14">
        <v>0.18</v>
      </c>
      <c r="I1603" s="14" t="s">
        <v>6035</v>
      </c>
      <c r="J1603" s="14">
        <v>40.0</v>
      </c>
      <c r="K1603" s="14">
        <v>20.73</v>
      </c>
      <c r="L1603" s="14">
        <v>0.0</v>
      </c>
    </row>
    <row r="1604">
      <c r="A1604" s="14">
        <v>335.0</v>
      </c>
      <c r="B1604" s="14">
        <v>5.0</v>
      </c>
      <c r="C1604" s="34">
        <v>18.29</v>
      </c>
      <c r="D1604" s="36">
        <v>44818.0</v>
      </c>
      <c r="E1604" s="24"/>
      <c r="F1604" s="14">
        <v>3.66</v>
      </c>
      <c r="G1604" s="14">
        <v>54.6</v>
      </c>
      <c r="H1604" s="14">
        <v>1.49</v>
      </c>
      <c r="I1604" s="14" t="s">
        <v>6042</v>
      </c>
      <c r="J1604" s="14">
        <v>40.0</v>
      </c>
      <c r="K1604" s="14">
        <v>9.14</v>
      </c>
      <c r="L1604" s="14">
        <v>0.0</v>
      </c>
    </row>
    <row r="1605">
      <c r="A1605" s="14">
        <v>1495.0</v>
      </c>
      <c r="B1605" s="14">
        <v>7.0</v>
      </c>
      <c r="C1605" s="34">
        <v>36.23</v>
      </c>
      <c r="D1605" s="36">
        <v>44818.0</v>
      </c>
      <c r="E1605" s="24"/>
      <c r="F1605" s="14">
        <v>5.18</v>
      </c>
      <c r="G1605" s="14">
        <v>24.23</v>
      </c>
      <c r="H1605" s="14">
        <v>0.47</v>
      </c>
      <c r="I1605" s="14" t="s">
        <v>6037</v>
      </c>
      <c r="J1605" s="14">
        <v>14.29</v>
      </c>
      <c r="K1605" s="14">
        <v>36.23</v>
      </c>
      <c r="L1605" s="14">
        <v>0.0</v>
      </c>
    </row>
    <row r="1606">
      <c r="A1606" s="14">
        <v>2718.0</v>
      </c>
      <c r="B1606" s="14">
        <v>5.0</v>
      </c>
      <c r="C1606" s="34">
        <v>42.67</v>
      </c>
      <c r="D1606" s="36">
        <v>44818.0</v>
      </c>
      <c r="E1606" s="24"/>
      <c r="F1606" s="14">
        <v>8.53</v>
      </c>
      <c r="G1606" s="14">
        <v>15.7</v>
      </c>
      <c r="H1606" s="14">
        <v>0.18</v>
      </c>
      <c r="I1606" s="14" t="s">
        <v>6035</v>
      </c>
      <c r="J1606" s="14">
        <v>0.0</v>
      </c>
      <c r="K1606" s="14" t="s">
        <v>6012</v>
      </c>
      <c r="L1606" s="14">
        <v>0.0</v>
      </c>
    </row>
    <row r="1607">
      <c r="A1607" s="14">
        <v>668.0</v>
      </c>
      <c r="B1607" s="14">
        <v>4.0</v>
      </c>
      <c r="C1607" s="34">
        <v>35.71</v>
      </c>
      <c r="D1607" s="36">
        <v>44818.0</v>
      </c>
      <c r="E1607" s="24"/>
      <c r="F1607" s="14">
        <v>8.93</v>
      </c>
      <c r="G1607" s="14">
        <v>53.46</v>
      </c>
      <c r="H1607" s="14">
        <v>0.6</v>
      </c>
      <c r="I1607" s="14" t="s">
        <v>6039</v>
      </c>
      <c r="J1607" s="14">
        <v>0.0</v>
      </c>
      <c r="K1607" s="14" t="s">
        <v>6012</v>
      </c>
      <c r="L1607" s="14">
        <v>0.0</v>
      </c>
    </row>
    <row r="1608">
      <c r="A1608" s="14">
        <v>877.0</v>
      </c>
      <c r="B1608" s="14">
        <v>7.0</v>
      </c>
      <c r="C1608" s="34">
        <v>31.18</v>
      </c>
      <c r="D1608" s="36">
        <v>44818.0</v>
      </c>
      <c r="E1608" s="24"/>
      <c r="F1608" s="14">
        <v>4.45</v>
      </c>
      <c r="G1608" s="14">
        <v>35.55</v>
      </c>
      <c r="H1608" s="14">
        <v>0.8</v>
      </c>
      <c r="I1608" s="14" t="s">
        <v>6036</v>
      </c>
      <c r="J1608" s="14">
        <v>28.57</v>
      </c>
      <c r="K1608" s="14">
        <v>15.59</v>
      </c>
      <c r="L1608" s="14">
        <v>0.0</v>
      </c>
    </row>
    <row r="1609">
      <c r="A1609" s="14">
        <v>1109.0</v>
      </c>
      <c r="B1609" s="14">
        <v>2.0</v>
      </c>
      <c r="C1609" s="34">
        <v>42.87</v>
      </c>
      <c r="D1609" s="36">
        <v>44818.0</v>
      </c>
      <c r="E1609" s="24"/>
      <c r="F1609" s="14">
        <v>21.44</v>
      </c>
      <c r="G1609" s="14">
        <v>38.66</v>
      </c>
      <c r="H1609" s="14">
        <v>0.18</v>
      </c>
      <c r="I1609" s="14" t="s">
        <v>6038</v>
      </c>
      <c r="J1609" s="14">
        <v>0.0</v>
      </c>
      <c r="K1609" s="14" t="s">
        <v>6012</v>
      </c>
      <c r="L1609" s="14">
        <v>0.0</v>
      </c>
    </row>
    <row r="1610">
      <c r="A1610" s="14">
        <v>986.0</v>
      </c>
      <c r="B1610" s="14">
        <v>13.0</v>
      </c>
      <c r="C1610" s="34">
        <v>34.8</v>
      </c>
      <c r="D1610" s="36">
        <v>44819.0</v>
      </c>
      <c r="E1610" s="24"/>
      <c r="F1610" s="14">
        <v>2.68</v>
      </c>
      <c r="G1610" s="14">
        <v>35.29</v>
      </c>
      <c r="H1610" s="14">
        <v>1.32</v>
      </c>
      <c r="I1610" s="14" t="s">
        <v>6039</v>
      </c>
      <c r="J1610" s="14">
        <v>46.15</v>
      </c>
      <c r="K1610" s="14">
        <v>5.8</v>
      </c>
      <c r="L1610" s="14">
        <v>0.0</v>
      </c>
    </row>
    <row r="1611">
      <c r="A1611" s="14">
        <v>337.0</v>
      </c>
      <c r="B1611" s="14">
        <v>2.0</v>
      </c>
      <c r="C1611" s="34">
        <v>18.09</v>
      </c>
      <c r="D1611" s="36">
        <v>44819.0</v>
      </c>
      <c r="E1611" s="24"/>
      <c r="F1611" s="14">
        <v>9.04</v>
      </c>
      <c r="G1611" s="14">
        <v>53.68</v>
      </c>
      <c r="H1611" s="14">
        <v>0.59</v>
      </c>
      <c r="I1611" s="14" t="s">
        <v>6042</v>
      </c>
      <c r="J1611" s="14">
        <v>50.0</v>
      </c>
      <c r="K1611" s="14">
        <v>18.09</v>
      </c>
      <c r="L1611" s="14">
        <v>0.0</v>
      </c>
    </row>
    <row r="1612">
      <c r="A1612" s="14">
        <v>699.0</v>
      </c>
      <c r="B1612" s="14">
        <v>10.0</v>
      </c>
      <c r="C1612" s="34">
        <v>30.32</v>
      </c>
      <c r="D1612" s="36">
        <v>44819.0</v>
      </c>
      <c r="E1612" s="24"/>
      <c r="F1612" s="14">
        <v>3.03</v>
      </c>
      <c r="G1612" s="14">
        <v>43.38</v>
      </c>
      <c r="H1612" s="14">
        <v>1.43</v>
      </c>
      <c r="I1612" s="14" t="s">
        <v>6036</v>
      </c>
      <c r="J1612" s="14">
        <v>30.0</v>
      </c>
      <c r="K1612" s="14">
        <v>10.11</v>
      </c>
      <c r="L1612" s="14">
        <v>0.0</v>
      </c>
    </row>
    <row r="1613">
      <c r="A1613" s="14">
        <v>1041.0</v>
      </c>
      <c r="B1613" s="14">
        <v>3.0</v>
      </c>
      <c r="C1613" s="34">
        <v>41.97</v>
      </c>
      <c r="D1613" s="36">
        <v>44819.0</v>
      </c>
      <c r="E1613" s="24"/>
      <c r="F1613" s="14">
        <v>13.99</v>
      </c>
      <c r="G1613" s="14">
        <v>40.32</v>
      </c>
      <c r="H1613" s="14">
        <v>0.29</v>
      </c>
      <c r="I1613" s="14" t="s">
        <v>6038</v>
      </c>
      <c r="J1613" s="14">
        <v>33.33</v>
      </c>
      <c r="K1613" s="14">
        <v>41.97</v>
      </c>
      <c r="L1613" s="14">
        <v>0.0</v>
      </c>
    </row>
    <row r="1614">
      <c r="A1614" s="14">
        <v>1386.0</v>
      </c>
      <c r="B1614" s="14">
        <v>9.0</v>
      </c>
      <c r="C1614" s="34">
        <v>35.77</v>
      </c>
      <c r="D1614" s="36">
        <v>44819.0</v>
      </c>
      <c r="E1614" s="24"/>
      <c r="F1614" s="14">
        <v>3.97</v>
      </c>
      <c r="G1614" s="14">
        <v>25.81</v>
      </c>
      <c r="H1614" s="14">
        <v>0.65</v>
      </c>
      <c r="I1614" s="14" t="s">
        <v>6037</v>
      </c>
      <c r="J1614" s="14">
        <v>11.11</v>
      </c>
      <c r="K1614" s="14">
        <v>35.77</v>
      </c>
      <c r="L1614" s="14">
        <v>0.0</v>
      </c>
    </row>
    <row r="1615">
      <c r="A1615" s="14">
        <v>2506.0</v>
      </c>
      <c r="B1615" s="14">
        <v>3.0</v>
      </c>
      <c r="C1615" s="34">
        <v>42.25</v>
      </c>
      <c r="D1615" s="36">
        <v>44819.0</v>
      </c>
      <c r="E1615" s="24"/>
      <c r="F1615" s="14">
        <v>14.08</v>
      </c>
      <c r="G1615" s="14">
        <v>16.86</v>
      </c>
      <c r="H1615" s="14">
        <v>0.12</v>
      </c>
      <c r="I1615" s="14" t="s">
        <v>6035</v>
      </c>
      <c r="J1615" s="14">
        <v>0.0</v>
      </c>
      <c r="K1615" s="14" t="s">
        <v>6012</v>
      </c>
      <c r="L1615" s="14">
        <v>0.0</v>
      </c>
    </row>
    <row r="1616">
      <c r="A1616" s="14">
        <v>914.0</v>
      </c>
      <c r="B1616" s="14">
        <v>2.0</v>
      </c>
      <c r="C1616" s="34">
        <v>38.77</v>
      </c>
      <c r="D1616" s="36">
        <v>44820.0</v>
      </c>
      <c r="E1616" s="24"/>
      <c r="F1616" s="14">
        <v>19.39</v>
      </c>
      <c r="G1616" s="14">
        <v>42.42</v>
      </c>
      <c r="H1616" s="14">
        <v>0.22</v>
      </c>
      <c r="I1616" s="14" t="s">
        <v>6038</v>
      </c>
      <c r="J1616" s="14">
        <v>50.0</v>
      </c>
      <c r="K1616" s="14">
        <v>38.77</v>
      </c>
      <c r="L1616" s="14">
        <v>0.0</v>
      </c>
    </row>
    <row r="1617">
      <c r="A1617" s="14">
        <v>1443.0</v>
      </c>
      <c r="B1617" s="14">
        <v>8.0</v>
      </c>
      <c r="C1617" s="34">
        <v>32.23</v>
      </c>
      <c r="D1617" s="36">
        <v>44820.0</v>
      </c>
      <c r="E1617" s="24"/>
      <c r="F1617" s="14">
        <v>4.03</v>
      </c>
      <c r="G1617" s="14">
        <v>22.34</v>
      </c>
      <c r="H1617" s="14">
        <v>0.55</v>
      </c>
      <c r="I1617" s="14" t="s">
        <v>6037</v>
      </c>
      <c r="J1617" s="14">
        <v>0.0</v>
      </c>
      <c r="K1617" s="14" t="s">
        <v>6012</v>
      </c>
      <c r="L1617" s="14">
        <v>0.0</v>
      </c>
    </row>
    <row r="1618">
      <c r="A1618" s="14">
        <v>611.0</v>
      </c>
      <c r="B1618" s="14">
        <v>5.0</v>
      </c>
      <c r="C1618" s="34">
        <v>28.26</v>
      </c>
      <c r="D1618" s="36">
        <v>44820.0</v>
      </c>
      <c r="E1618" s="24"/>
      <c r="F1618" s="14">
        <v>5.65</v>
      </c>
      <c r="G1618" s="14">
        <v>46.25</v>
      </c>
      <c r="H1618" s="14">
        <v>0.82</v>
      </c>
      <c r="I1618" s="14" t="s">
        <v>6036</v>
      </c>
      <c r="J1618" s="14">
        <v>40.0</v>
      </c>
      <c r="K1618" s="14">
        <v>14.13</v>
      </c>
      <c r="L1618" s="14">
        <v>0.0</v>
      </c>
    </row>
    <row r="1619">
      <c r="A1619" s="14">
        <v>2305.0</v>
      </c>
      <c r="B1619" s="14">
        <v>1.0</v>
      </c>
      <c r="C1619" s="34">
        <v>40.11</v>
      </c>
      <c r="D1619" s="36">
        <v>44820.0</v>
      </c>
      <c r="E1619" s="24"/>
      <c r="F1619" s="14">
        <v>40.11</v>
      </c>
      <c r="G1619" s="14">
        <v>17.4</v>
      </c>
      <c r="H1619" s="14">
        <v>0.04</v>
      </c>
      <c r="I1619" s="14" t="s">
        <v>6035</v>
      </c>
      <c r="J1619" s="14">
        <v>0.0</v>
      </c>
      <c r="K1619" s="14" t="s">
        <v>6012</v>
      </c>
      <c r="L1619" s="14">
        <v>0.0</v>
      </c>
    </row>
    <row r="1620">
      <c r="A1620" s="14">
        <v>304.0</v>
      </c>
      <c r="B1620" s="14">
        <v>5.0</v>
      </c>
      <c r="C1620" s="34">
        <v>16.37</v>
      </c>
      <c r="D1620" s="36">
        <v>44820.0</v>
      </c>
      <c r="E1620" s="24"/>
      <c r="F1620" s="14">
        <v>3.27</v>
      </c>
      <c r="G1620" s="14">
        <v>53.85</v>
      </c>
      <c r="H1620" s="14">
        <v>1.64</v>
      </c>
      <c r="I1620" s="14" t="s">
        <v>6042</v>
      </c>
      <c r="J1620" s="14">
        <v>40.0</v>
      </c>
      <c r="K1620" s="14">
        <v>8.18</v>
      </c>
      <c r="L1620" s="14">
        <v>0.0</v>
      </c>
    </row>
    <row r="1621">
      <c r="A1621" s="14">
        <v>729.0</v>
      </c>
      <c r="B1621" s="14">
        <v>6.0</v>
      </c>
      <c r="C1621" s="34">
        <v>32.83</v>
      </c>
      <c r="D1621" s="36">
        <v>44820.0</v>
      </c>
      <c r="E1621" s="24"/>
      <c r="F1621" s="14">
        <v>5.47</v>
      </c>
      <c r="G1621" s="14">
        <v>45.03</v>
      </c>
      <c r="H1621" s="14">
        <v>0.82</v>
      </c>
      <c r="I1621" s="14" t="s">
        <v>6039</v>
      </c>
      <c r="J1621" s="14">
        <v>50.0</v>
      </c>
      <c r="K1621" s="14">
        <v>10.94</v>
      </c>
      <c r="L1621" s="14">
        <v>0.0</v>
      </c>
    </row>
    <row r="1622">
      <c r="A1622" s="14">
        <v>1156.0</v>
      </c>
      <c r="B1622" s="14">
        <v>1.0</v>
      </c>
      <c r="C1622" s="34">
        <v>20.48</v>
      </c>
      <c r="D1622" s="36">
        <v>44821.0</v>
      </c>
      <c r="E1622" s="24"/>
      <c r="F1622" s="14">
        <v>20.48</v>
      </c>
      <c r="G1622" s="14">
        <v>17.72</v>
      </c>
      <c r="H1622" s="14">
        <v>0.09</v>
      </c>
      <c r="I1622" s="14" t="s">
        <v>6035</v>
      </c>
      <c r="J1622" s="14">
        <v>0.0</v>
      </c>
      <c r="K1622" s="14" t="s">
        <v>6012</v>
      </c>
      <c r="L1622" s="14">
        <v>0.0</v>
      </c>
    </row>
    <row r="1623">
      <c r="A1623" s="14">
        <v>485.0</v>
      </c>
      <c r="B1623" s="14">
        <v>1.0</v>
      </c>
      <c r="C1623" s="34">
        <v>21.73</v>
      </c>
      <c r="D1623" s="36">
        <v>44821.0</v>
      </c>
      <c r="E1623" s="24"/>
      <c r="F1623" s="14">
        <v>21.73</v>
      </c>
      <c r="G1623" s="14">
        <v>44.8</v>
      </c>
      <c r="H1623" s="14">
        <v>0.21</v>
      </c>
      <c r="I1623" s="14" t="s">
        <v>6038</v>
      </c>
      <c r="J1623" s="14">
        <v>0.0</v>
      </c>
      <c r="K1623" s="14" t="s">
        <v>6012</v>
      </c>
      <c r="L1623" s="14">
        <v>0.0</v>
      </c>
    </row>
    <row r="1624">
      <c r="A1624" s="14">
        <v>794.0</v>
      </c>
      <c r="B1624" s="14">
        <v>8.0</v>
      </c>
      <c r="C1624" s="34">
        <v>16.6</v>
      </c>
      <c r="D1624" s="36">
        <v>44821.0</v>
      </c>
      <c r="E1624" s="24"/>
      <c r="F1624" s="14">
        <v>2.08</v>
      </c>
      <c r="G1624" s="14">
        <v>20.91</v>
      </c>
      <c r="H1624" s="14">
        <v>1.01</v>
      </c>
      <c r="I1624" s="14" t="s">
        <v>6037</v>
      </c>
      <c r="J1624" s="14">
        <v>0.0</v>
      </c>
      <c r="K1624" s="14" t="s">
        <v>6012</v>
      </c>
      <c r="L1624" s="14">
        <v>0.0</v>
      </c>
    </row>
    <row r="1625">
      <c r="A1625" s="14">
        <v>1.0</v>
      </c>
      <c r="B1625" s="14">
        <v>0.0</v>
      </c>
      <c r="C1625" s="34">
        <v>0.01</v>
      </c>
      <c r="D1625" s="36">
        <v>44821.0</v>
      </c>
      <c r="E1625" s="24"/>
      <c r="F1625" s="14" t="s">
        <v>6012</v>
      </c>
      <c r="G1625" s="14">
        <v>10.0</v>
      </c>
      <c r="H1625" s="14">
        <v>0.0</v>
      </c>
      <c r="I1625" s="14" t="s">
        <v>6033</v>
      </c>
      <c r="J1625" s="14" t="s">
        <v>6012</v>
      </c>
      <c r="K1625" s="14" t="s">
        <v>6012</v>
      </c>
      <c r="L1625" s="14">
        <v>0.0</v>
      </c>
    </row>
    <row r="1626">
      <c r="A1626" s="14">
        <v>460.0</v>
      </c>
      <c r="B1626" s="14">
        <v>4.0</v>
      </c>
      <c r="C1626" s="34">
        <v>14.5</v>
      </c>
      <c r="D1626" s="36">
        <v>44821.0</v>
      </c>
      <c r="E1626" s="24"/>
      <c r="F1626" s="14">
        <v>3.62</v>
      </c>
      <c r="G1626" s="14">
        <v>31.52</v>
      </c>
      <c r="H1626" s="14">
        <v>0.87</v>
      </c>
      <c r="I1626" s="14" t="s">
        <v>6036</v>
      </c>
      <c r="J1626" s="14">
        <v>100.0</v>
      </c>
      <c r="K1626" s="14">
        <v>3.62</v>
      </c>
      <c r="L1626" s="14">
        <v>0.0</v>
      </c>
    </row>
    <row r="1627">
      <c r="A1627" s="14">
        <v>199.0</v>
      </c>
      <c r="B1627" s="14">
        <v>1.0</v>
      </c>
      <c r="C1627" s="34">
        <v>8.69</v>
      </c>
      <c r="D1627" s="36">
        <v>44821.0</v>
      </c>
      <c r="E1627" s="24"/>
      <c r="F1627" s="14">
        <v>8.69</v>
      </c>
      <c r="G1627" s="14">
        <v>43.67</v>
      </c>
      <c r="H1627" s="14">
        <v>0.5</v>
      </c>
      <c r="I1627" s="14" t="s">
        <v>6042</v>
      </c>
      <c r="J1627" s="14">
        <v>100.0</v>
      </c>
      <c r="K1627" s="14">
        <v>8.69</v>
      </c>
      <c r="L1627" s="14">
        <v>0.0</v>
      </c>
    </row>
    <row r="1628">
      <c r="A1628" s="14">
        <v>461.0</v>
      </c>
      <c r="B1628" s="14">
        <v>5.0</v>
      </c>
      <c r="C1628" s="34">
        <v>17.66</v>
      </c>
      <c r="D1628" s="36">
        <v>44821.0</v>
      </c>
      <c r="E1628" s="24"/>
      <c r="F1628" s="14">
        <v>3.53</v>
      </c>
      <c r="G1628" s="14">
        <v>38.31</v>
      </c>
      <c r="H1628" s="14">
        <v>1.08</v>
      </c>
      <c r="I1628" s="14" t="s">
        <v>6039</v>
      </c>
      <c r="J1628" s="14">
        <v>0.0</v>
      </c>
      <c r="K1628" s="14" t="s">
        <v>6012</v>
      </c>
      <c r="L1628" s="14">
        <v>0.0</v>
      </c>
    </row>
    <row r="1629">
      <c r="A1629" s="14">
        <v>1284.0</v>
      </c>
      <c r="B1629" s="14">
        <v>0.0</v>
      </c>
      <c r="C1629" s="34">
        <v>20.68</v>
      </c>
      <c r="D1629" s="36">
        <v>44822.0</v>
      </c>
      <c r="E1629" s="24"/>
      <c r="F1629" s="14" t="s">
        <v>6012</v>
      </c>
      <c r="G1629" s="14">
        <v>16.11</v>
      </c>
      <c r="H1629" s="14">
        <v>0.0</v>
      </c>
      <c r="I1629" s="14" t="s">
        <v>6035</v>
      </c>
      <c r="J1629" s="14" t="s">
        <v>6012</v>
      </c>
      <c r="K1629" s="14" t="s">
        <v>6012</v>
      </c>
      <c r="L1629" s="14">
        <v>0.0</v>
      </c>
    </row>
    <row r="1630">
      <c r="A1630" s="14">
        <v>471.0</v>
      </c>
      <c r="B1630" s="14">
        <v>0.0</v>
      </c>
      <c r="C1630" s="34">
        <v>22.18</v>
      </c>
      <c r="D1630" s="36">
        <v>44822.0</v>
      </c>
      <c r="E1630" s="24"/>
      <c r="F1630" s="14" t="s">
        <v>6012</v>
      </c>
      <c r="G1630" s="14">
        <v>47.09</v>
      </c>
      <c r="H1630" s="14">
        <v>0.0</v>
      </c>
      <c r="I1630" s="14" t="s">
        <v>6038</v>
      </c>
      <c r="J1630" s="14" t="s">
        <v>6012</v>
      </c>
      <c r="K1630" s="14" t="s">
        <v>6012</v>
      </c>
      <c r="L1630" s="14">
        <v>0.0</v>
      </c>
    </row>
    <row r="1631">
      <c r="A1631" s="14">
        <v>534.0</v>
      </c>
      <c r="B1631" s="14">
        <v>2.0</v>
      </c>
      <c r="C1631" s="34">
        <v>13.55</v>
      </c>
      <c r="D1631" s="36">
        <v>44822.0</v>
      </c>
      <c r="E1631" s="24"/>
      <c r="F1631" s="14">
        <v>6.78</v>
      </c>
      <c r="G1631" s="14">
        <v>25.37</v>
      </c>
      <c r="H1631" s="14">
        <v>0.37</v>
      </c>
      <c r="I1631" s="14" t="s">
        <v>6036</v>
      </c>
      <c r="J1631" s="14">
        <v>0.0</v>
      </c>
      <c r="K1631" s="14" t="s">
        <v>6012</v>
      </c>
      <c r="L1631" s="14">
        <v>0.0</v>
      </c>
    </row>
    <row r="1632">
      <c r="A1632" s="14">
        <v>864.0</v>
      </c>
      <c r="B1632" s="14">
        <v>5.0</v>
      </c>
      <c r="C1632" s="34">
        <v>17.07</v>
      </c>
      <c r="D1632" s="36">
        <v>44822.0</v>
      </c>
      <c r="E1632" s="24"/>
      <c r="F1632" s="14">
        <v>3.41</v>
      </c>
      <c r="G1632" s="14">
        <v>19.76</v>
      </c>
      <c r="H1632" s="14">
        <v>0.58</v>
      </c>
      <c r="I1632" s="14" t="s">
        <v>6037</v>
      </c>
      <c r="J1632" s="14">
        <v>0.0</v>
      </c>
      <c r="K1632" s="14" t="s">
        <v>6012</v>
      </c>
      <c r="L1632" s="14">
        <v>0.0</v>
      </c>
    </row>
    <row r="1633">
      <c r="A1633" s="14">
        <v>274.0</v>
      </c>
      <c r="B1633" s="14">
        <v>1.0</v>
      </c>
      <c r="C1633" s="34">
        <v>8.55</v>
      </c>
      <c r="D1633" s="36">
        <v>44822.0</v>
      </c>
      <c r="E1633" s="24"/>
      <c r="F1633" s="14">
        <v>8.55</v>
      </c>
      <c r="G1633" s="14">
        <v>31.2</v>
      </c>
      <c r="H1633" s="14">
        <v>0.36</v>
      </c>
      <c r="I1633" s="14" t="s">
        <v>6042</v>
      </c>
      <c r="J1633" s="14">
        <v>100.0</v>
      </c>
      <c r="K1633" s="14">
        <v>8.55</v>
      </c>
      <c r="L1633" s="14">
        <v>0.0</v>
      </c>
    </row>
    <row r="1634">
      <c r="A1634" s="14">
        <v>438.0</v>
      </c>
      <c r="B1634" s="14">
        <v>3.0</v>
      </c>
      <c r="C1634" s="34">
        <v>18.08</v>
      </c>
      <c r="D1634" s="36">
        <v>44822.0</v>
      </c>
      <c r="E1634" s="24"/>
      <c r="F1634" s="14">
        <v>6.03</v>
      </c>
      <c r="G1634" s="14">
        <v>41.28</v>
      </c>
      <c r="H1634" s="14">
        <v>0.68</v>
      </c>
      <c r="I1634" s="14" t="s">
        <v>6039</v>
      </c>
      <c r="J1634" s="14">
        <v>0.0</v>
      </c>
      <c r="K1634" s="14" t="s">
        <v>6012</v>
      </c>
      <c r="L1634" s="14">
        <v>0.0</v>
      </c>
    </row>
    <row r="1635">
      <c r="A1635" s="14">
        <v>1602.0</v>
      </c>
      <c r="B1635" s="14">
        <v>12.0</v>
      </c>
      <c r="C1635" s="34">
        <v>34.7</v>
      </c>
      <c r="D1635" s="36">
        <v>44823.0</v>
      </c>
      <c r="E1635" s="24"/>
      <c r="F1635" s="14">
        <v>2.89</v>
      </c>
      <c r="G1635" s="14">
        <v>21.66</v>
      </c>
      <c r="H1635" s="14">
        <v>0.75</v>
      </c>
      <c r="I1635" s="14" t="s">
        <v>6037</v>
      </c>
      <c r="J1635" s="14">
        <v>8.33</v>
      </c>
      <c r="K1635" s="14">
        <v>34.7</v>
      </c>
      <c r="L1635" s="14">
        <v>0.0</v>
      </c>
    </row>
    <row r="1636">
      <c r="A1636" s="14">
        <v>987.0</v>
      </c>
      <c r="B1636" s="14">
        <v>2.0</v>
      </c>
      <c r="C1636" s="34">
        <v>32.81</v>
      </c>
      <c r="D1636" s="36">
        <v>44823.0</v>
      </c>
      <c r="E1636" s="24"/>
      <c r="F1636" s="14">
        <v>16.4</v>
      </c>
      <c r="G1636" s="14">
        <v>33.24</v>
      </c>
      <c r="H1636" s="14">
        <v>0.2</v>
      </c>
      <c r="I1636" s="14" t="s">
        <v>6038</v>
      </c>
      <c r="J1636" s="14">
        <v>0.0</v>
      </c>
      <c r="K1636" s="14" t="s">
        <v>6012</v>
      </c>
      <c r="L1636" s="14">
        <v>0.0</v>
      </c>
    </row>
    <row r="1637">
      <c r="A1637" s="14">
        <v>776.0</v>
      </c>
      <c r="B1637" s="14">
        <v>5.0</v>
      </c>
      <c r="C1637" s="34">
        <v>24.43</v>
      </c>
      <c r="D1637" s="36">
        <v>44823.0</v>
      </c>
      <c r="E1637" s="24"/>
      <c r="F1637" s="14">
        <v>4.89</v>
      </c>
      <c r="G1637" s="14">
        <v>31.48</v>
      </c>
      <c r="H1637" s="14">
        <v>0.64</v>
      </c>
      <c r="I1637" s="14" t="s">
        <v>6036</v>
      </c>
      <c r="J1637" s="14">
        <v>20.0</v>
      </c>
      <c r="K1637" s="14">
        <v>24.43</v>
      </c>
      <c r="L1637" s="14">
        <v>0.0</v>
      </c>
    </row>
    <row r="1638">
      <c r="A1638" s="14">
        <v>420.0</v>
      </c>
      <c r="B1638" s="14">
        <v>2.0</v>
      </c>
      <c r="C1638" s="34">
        <v>15.28</v>
      </c>
      <c r="D1638" s="36">
        <v>44823.0</v>
      </c>
      <c r="E1638" s="24"/>
      <c r="F1638" s="14">
        <v>7.64</v>
      </c>
      <c r="G1638" s="14">
        <v>36.38</v>
      </c>
      <c r="H1638" s="14">
        <v>0.48</v>
      </c>
      <c r="I1638" s="14" t="s">
        <v>6042</v>
      </c>
      <c r="J1638" s="14">
        <v>100.0</v>
      </c>
      <c r="K1638" s="14">
        <v>7.64</v>
      </c>
      <c r="L1638" s="14">
        <v>0.0</v>
      </c>
    </row>
    <row r="1639">
      <c r="A1639" s="14">
        <v>2171.0</v>
      </c>
      <c r="B1639" s="14">
        <v>3.0</v>
      </c>
      <c r="C1639" s="34">
        <v>33.42</v>
      </c>
      <c r="D1639" s="36">
        <v>44823.0</v>
      </c>
      <c r="E1639" s="24"/>
      <c r="F1639" s="14">
        <v>11.14</v>
      </c>
      <c r="G1639" s="14">
        <v>15.39</v>
      </c>
      <c r="H1639" s="14">
        <v>0.14</v>
      </c>
      <c r="I1639" s="14" t="s">
        <v>6035</v>
      </c>
      <c r="J1639" s="14">
        <v>0.0</v>
      </c>
      <c r="K1639" s="14" t="s">
        <v>6012</v>
      </c>
      <c r="L1639" s="14">
        <v>0.0</v>
      </c>
    </row>
    <row r="1640">
      <c r="A1640" s="14">
        <v>897.0</v>
      </c>
      <c r="B1640" s="14">
        <v>5.0</v>
      </c>
      <c r="C1640" s="34">
        <v>34.61</v>
      </c>
      <c r="D1640" s="36">
        <v>44823.0</v>
      </c>
      <c r="E1640" s="24"/>
      <c r="F1640" s="14">
        <v>6.92</v>
      </c>
      <c r="G1640" s="14">
        <v>38.58</v>
      </c>
      <c r="H1640" s="14">
        <v>0.56</v>
      </c>
      <c r="I1640" s="14" t="s">
        <v>6039</v>
      </c>
      <c r="J1640" s="14">
        <v>20.0</v>
      </c>
      <c r="K1640" s="14">
        <v>34.61</v>
      </c>
      <c r="L1640" s="14">
        <v>0.0</v>
      </c>
    </row>
    <row r="1641">
      <c r="A1641" s="14">
        <v>1108.0</v>
      </c>
      <c r="B1641" s="14">
        <v>0.0</v>
      </c>
      <c r="C1641" s="34">
        <v>40.67</v>
      </c>
      <c r="D1641" s="36">
        <v>44824.0</v>
      </c>
      <c r="E1641" s="24"/>
      <c r="F1641" s="14" t="s">
        <v>6012</v>
      </c>
      <c r="G1641" s="14">
        <v>36.71</v>
      </c>
      <c r="H1641" s="14">
        <v>0.0</v>
      </c>
      <c r="I1641" s="14" t="s">
        <v>6038</v>
      </c>
      <c r="J1641" s="14" t="s">
        <v>6012</v>
      </c>
      <c r="K1641" s="14" t="s">
        <v>6012</v>
      </c>
      <c r="L1641" s="14">
        <v>0.0</v>
      </c>
    </row>
    <row r="1642">
      <c r="A1642" s="14">
        <v>371.0</v>
      </c>
      <c r="B1642" s="14">
        <v>2.0</v>
      </c>
      <c r="C1642" s="34">
        <v>17.2</v>
      </c>
      <c r="D1642" s="36">
        <v>44824.0</v>
      </c>
      <c r="E1642" s="24"/>
      <c r="F1642" s="14">
        <v>8.6</v>
      </c>
      <c r="G1642" s="14">
        <v>46.36</v>
      </c>
      <c r="H1642" s="14">
        <v>0.54</v>
      </c>
      <c r="I1642" s="14" t="s">
        <v>6042</v>
      </c>
      <c r="J1642" s="14">
        <v>50.0</v>
      </c>
      <c r="K1642" s="14">
        <v>17.2</v>
      </c>
      <c r="L1642" s="14">
        <v>0.0</v>
      </c>
    </row>
    <row r="1643">
      <c r="A1643" s="14">
        <v>1570.0</v>
      </c>
      <c r="B1643" s="14">
        <v>7.0</v>
      </c>
      <c r="C1643" s="34">
        <v>37.44</v>
      </c>
      <c r="D1643" s="36">
        <v>44824.0</v>
      </c>
      <c r="E1643" s="24"/>
      <c r="F1643" s="14">
        <v>5.35</v>
      </c>
      <c r="G1643" s="14">
        <v>23.85</v>
      </c>
      <c r="H1643" s="14">
        <v>0.45</v>
      </c>
      <c r="I1643" s="14" t="s">
        <v>6037</v>
      </c>
      <c r="J1643" s="14">
        <v>14.29</v>
      </c>
      <c r="K1643" s="14">
        <v>37.44</v>
      </c>
      <c r="L1643" s="14">
        <v>0.0</v>
      </c>
    </row>
    <row r="1644">
      <c r="A1644" s="14">
        <v>896.0</v>
      </c>
      <c r="B1644" s="14">
        <v>5.0</v>
      </c>
      <c r="C1644" s="34">
        <v>36.02</v>
      </c>
      <c r="D1644" s="36">
        <v>44824.0</v>
      </c>
      <c r="E1644" s="24"/>
      <c r="F1644" s="14">
        <v>7.2</v>
      </c>
      <c r="G1644" s="14">
        <v>40.2</v>
      </c>
      <c r="H1644" s="14">
        <v>0.56</v>
      </c>
      <c r="I1644" s="14" t="s">
        <v>6039</v>
      </c>
      <c r="J1644" s="14">
        <v>0.0</v>
      </c>
      <c r="K1644" s="14" t="s">
        <v>6012</v>
      </c>
      <c r="L1644" s="14">
        <v>0.0</v>
      </c>
    </row>
    <row r="1645">
      <c r="A1645" s="14">
        <v>2626.0</v>
      </c>
      <c r="B1645" s="14">
        <v>3.0</v>
      </c>
      <c r="C1645" s="34">
        <v>42.19</v>
      </c>
      <c r="D1645" s="36">
        <v>44824.0</v>
      </c>
      <c r="E1645" s="24"/>
      <c r="F1645" s="14">
        <v>14.06</v>
      </c>
      <c r="G1645" s="14">
        <v>16.07</v>
      </c>
      <c r="H1645" s="14">
        <v>0.11</v>
      </c>
      <c r="I1645" s="14" t="s">
        <v>6035</v>
      </c>
      <c r="J1645" s="14">
        <v>100.0</v>
      </c>
      <c r="K1645" s="14">
        <v>14.06</v>
      </c>
      <c r="L1645" s="14">
        <v>0.0</v>
      </c>
    </row>
    <row r="1646">
      <c r="A1646" s="14">
        <v>756.0</v>
      </c>
      <c r="B1646" s="14">
        <v>6.0</v>
      </c>
      <c r="C1646" s="34">
        <v>31.85</v>
      </c>
      <c r="D1646" s="36">
        <v>44824.0</v>
      </c>
      <c r="E1646" s="24"/>
      <c r="F1646" s="14">
        <v>5.31</v>
      </c>
      <c r="G1646" s="14">
        <v>42.13</v>
      </c>
      <c r="H1646" s="14">
        <v>0.79</v>
      </c>
      <c r="I1646" s="14" t="s">
        <v>6036</v>
      </c>
      <c r="J1646" s="14">
        <v>100.0</v>
      </c>
      <c r="K1646" s="14">
        <v>5.31</v>
      </c>
      <c r="L1646" s="14">
        <v>0.0</v>
      </c>
    </row>
    <row r="1647">
      <c r="A1647" s="14">
        <v>938.0</v>
      </c>
      <c r="B1647" s="14">
        <v>2.0</v>
      </c>
      <c r="C1647" s="34">
        <v>42.92</v>
      </c>
      <c r="D1647" s="36">
        <v>44825.0</v>
      </c>
      <c r="E1647" s="24"/>
      <c r="F1647" s="14">
        <v>21.46</v>
      </c>
      <c r="G1647" s="14">
        <v>45.76</v>
      </c>
      <c r="H1647" s="14">
        <v>0.21</v>
      </c>
      <c r="I1647" s="14" t="s">
        <v>6038</v>
      </c>
      <c r="J1647" s="14">
        <v>50.0</v>
      </c>
      <c r="K1647" s="14">
        <v>42.92</v>
      </c>
      <c r="L1647" s="14">
        <v>0.0</v>
      </c>
    </row>
    <row r="1648">
      <c r="A1648" s="14">
        <v>1522.0</v>
      </c>
      <c r="B1648" s="14">
        <v>7.0</v>
      </c>
      <c r="C1648" s="34">
        <v>36.31</v>
      </c>
      <c r="D1648" s="36">
        <v>44825.0</v>
      </c>
      <c r="E1648" s="24"/>
      <c r="F1648" s="14">
        <v>5.19</v>
      </c>
      <c r="G1648" s="14">
        <v>23.86</v>
      </c>
      <c r="H1648" s="14">
        <v>0.46</v>
      </c>
      <c r="I1648" s="14" t="s">
        <v>6037</v>
      </c>
      <c r="J1648" s="14">
        <v>14.29</v>
      </c>
      <c r="K1648" s="14">
        <v>36.31</v>
      </c>
      <c r="L1648" s="14">
        <v>0.0</v>
      </c>
    </row>
    <row r="1649">
      <c r="A1649" s="14">
        <v>2409.0</v>
      </c>
      <c r="B1649" s="14">
        <v>1.0</v>
      </c>
      <c r="C1649" s="34">
        <v>42.94</v>
      </c>
      <c r="D1649" s="36">
        <v>44825.0</v>
      </c>
      <c r="E1649" s="24"/>
      <c r="F1649" s="14">
        <v>42.94</v>
      </c>
      <c r="G1649" s="14">
        <v>17.82</v>
      </c>
      <c r="H1649" s="14">
        <v>0.04</v>
      </c>
      <c r="I1649" s="14" t="s">
        <v>6035</v>
      </c>
      <c r="J1649" s="14">
        <v>100.0</v>
      </c>
      <c r="K1649" s="14">
        <v>42.94</v>
      </c>
      <c r="L1649" s="14">
        <v>0.0</v>
      </c>
    </row>
    <row r="1650">
      <c r="A1650" s="14">
        <v>352.0</v>
      </c>
      <c r="B1650" s="14">
        <v>0.0</v>
      </c>
      <c r="C1650" s="34">
        <v>18.02</v>
      </c>
      <c r="D1650" s="36">
        <v>44825.0</v>
      </c>
      <c r="E1650" s="24"/>
      <c r="F1650" s="14" t="s">
        <v>6012</v>
      </c>
      <c r="G1650" s="14">
        <v>51.19</v>
      </c>
      <c r="H1650" s="14">
        <v>0.0</v>
      </c>
      <c r="I1650" s="14" t="s">
        <v>6042</v>
      </c>
      <c r="J1650" s="14" t="s">
        <v>6012</v>
      </c>
      <c r="K1650" s="14" t="s">
        <v>6012</v>
      </c>
      <c r="L1650" s="14">
        <v>0.0</v>
      </c>
    </row>
    <row r="1651">
      <c r="A1651" s="14">
        <v>723.0</v>
      </c>
      <c r="B1651" s="14">
        <v>2.0</v>
      </c>
      <c r="C1651" s="34">
        <v>30.58</v>
      </c>
      <c r="D1651" s="36">
        <v>44825.0</v>
      </c>
      <c r="E1651" s="24"/>
      <c r="F1651" s="14">
        <v>15.29</v>
      </c>
      <c r="G1651" s="14">
        <v>42.3</v>
      </c>
      <c r="H1651" s="14">
        <v>0.28</v>
      </c>
      <c r="I1651" s="14" t="s">
        <v>6036</v>
      </c>
      <c r="J1651" s="14">
        <v>50.0</v>
      </c>
      <c r="K1651" s="14">
        <v>30.58</v>
      </c>
      <c r="L1651" s="14">
        <v>0.0</v>
      </c>
    </row>
    <row r="1652">
      <c r="A1652" s="14">
        <v>743.0</v>
      </c>
      <c r="B1652" s="14">
        <v>5.0</v>
      </c>
      <c r="C1652" s="34">
        <v>33.63</v>
      </c>
      <c r="D1652" s="36">
        <v>44825.0</v>
      </c>
      <c r="E1652" s="24"/>
      <c r="F1652" s="14">
        <v>6.73</v>
      </c>
      <c r="G1652" s="14">
        <v>45.26</v>
      </c>
      <c r="H1652" s="14">
        <v>0.67</v>
      </c>
      <c r="I1652" s="14" t="s">
        <v>6039</v>
      </c>
      <c r="J1652" s="14">
        <v>60.0</v>
      </c>
      <c r="K1652" s="14">
        <v>11.21</v>
      </c>
      <c r="L1652" s="14">
        <v>0.0</v>
      </c>
    </row>
    <row r="1653">
      <c r="A1653" s="14">
        <v>1524.0</v>
      </c>
      <c r="B1653" s="14">
        <v>8.0</v>
      </c>
      <c r="C1653" s="34">
        <v>36.16</v>
      </c>
      <c r="D1653" s="36">
        <v>44826.0</v>
      </c>
      <c r="E1653" s="24"/>
      <c r="F1653" s="14">
        <v>4.52</v>
      </c>
      <c r="G1653" s="14">
        <v>23.73</v>
      </c>
      <c r="H1653" s="14">
        <v>0.52</v>
      </c>
      <c r="I1653" s="14" t="s">
        <v>6037</v>
      </c>
      <c r="J1653" s="14">
        <v>37.5</v>
      </c>
      <c r="K1653" s="14">
        <v>12.05</v>
      </c>
      <c r="L1653" s="14">
        <v>0.0</v>
      </c>
    </row>
    <row r="1654">
      <c r="A1654" s="14">
        <v>968.0</v>
      </c>
      <c r="B1654" s="14">
        <v>6.0</v>
      </c>
      <c r="C1654" s="34">
        <v>42.17</v>
      </c>
      <c r="D1654" s="36">
        <v>44826.0</v>
      </c>
      <c r="E1654" s="24"/>
      <c r="F1654" s="14">
        <v>7.03</v>
      </c>
      <c r="G1654" s="14">
        <v>43.56</v>
      </c>
      <c r="H1654" s="14">
        <v>0.62</v>
      </c>
      <c r="I1654" s="14" t="s">
        <v>6038</v>
      </c>
      <c r="J1654" s="14">
        <v>66.67</v>
      </c>
      <c r="K1654" s="14">
        <v>10.54</v>
      </c>
      <c r="L1654" s="14">
        <v>0.0</v>
      </c>
    </row>
    <row r="1655">
      <c r="A1655" s="14">
        <v>2319.0</v>
      </c>
      <c r="B1655" s="14">
        <v>1.0</v>
      </c>
      <c r="C1655" s="34">
        <v>42.46</v>
      </c>
      <c r="D1655" s="36">
        <v>44826.0</v>
      </c>
      <c r="E1655" s="24"/>
      <c r="F1655" s="14">
        <v>42.46</v>
      </c>
      <c r="G1655" s="14">
        <v>18.31</v>
      </c>
      <c r="H1655" s="14">
        <v>0.04</v>
      </c>
      <c r="I1655" s="14" t="s">
        <v>6035</v>
      </c>
      <c r="J1655" s="14">
        <v>100.0</v>
      </c>
      <c r="K1655" s="14">
        <v>42.46</v>
      </c>
      <c r="L1655" s="14">
        <v>0.0</v>
      </c>
    </row>
    <row r="1656">
      <c r="A1656" s="14">
        <v>388.0</v>
      </c>
      <c r="B1656" s="14">
        <v>2.0</v>
      </c>
      <c r="C1656" s="34">
        <v>18.14</v>
      </c>
      <c r="D1656" s="36">
        <v>44826.0</v>
      </c>
      <c r="E1656" s="24"/>
      <c r="F1656" s="14">
        <v>9.07</v>
      </c>
      <c r="G1656" s="14">
        <v>46.75</v>
      </c>
      <c r="H1656" s="14">
        <v>0.52</v>
      </c>
      <c r="I1656" s="14" t="s">
        <v>6042</v>
      </c>
      <c r="J1656" s="14">
        <v>0.0</v>
      </c>
      <c r="K1656" s="14" t="s">
        <v>6012</v>
      </c>
      <c r="L1656" s="14">
        <v>0.0</v>
      </c>
    </row>
    <row r="1657">
      <c r="A1657" s="14">
        <v>777.0</v>
      </c>
      <c r="B1657" s="14">
        <v>1.0</v>
      </c>
      <c r="C1657" s="34">
        <v>30.55</v>
      </c>
      <c r="D1657" s="36">
        <v>44826.0</v>
      </c>
      <c r="E1657" s="24"/>
      <c r="F1657" s="14">
        <v>30.55</v>
      </c>
      <c r="G1657" s="14">
        <v>39.32</v>
      </c>
      <c r="H1657" s="14">
        <v>0.13</v>
      </c>
      <c r="I1657" s="14" t="s">
        <v>6036</v>
      </c>
      <c r="J1657" s="14">
        <v>200.0</v>
      </c>
      <c r="K1657" s="14">
        <v>15.28</v>
      </c>
      <c r="L1657" s="14">
        <v>0.0</v>
      </c>
    </row>
    <row r="1658">
      <c r="A1658" s="14">
        <v>657.0</v>
      </c>
      <c r="B1658" s="14">
        <v>1.0</v>
      </c>
      <c r="C1658" s="34">
        <v>36.67</v>
      </c>
      <c r="D1658" s="36">
        <v>44826.0</v>
      </c>
      <c r="E1658" s="24"/>
      <c r="F1658" s="14">
        <v>36.67</v>
      </c>
      <c r="G1658" s="14">
        <v>55.81</v>
      </c>
      <c r="H1658" s="14">
        <v>0.15</v>
      </c>
      <c r="I1658" s="14" t="s">
        <v>6039</v>
      </c>
      <c r="J1658" s="14">
        <v>100.0</v>
      </c>
      <c r="K1658" s="14">
        <v>36.67</v>
      </c>
      <c r="L1658" s="14">
        <v>0.0</v>
      </c>
    </row>
    <row r="1659">
      <c r="A1659" s="14">
        <v>822.0</v>
      </c>
      <c r="B1659" s="14">
        <v>4.0</v>
      </c>
      <c r="C1659" s="34">
        <v>31.51</v>
      </c>
      <c r="D1659" s="36">
        <v>44827.0</v>
      </c>
      <c r="E1659" s="24"/>
      <c r="F1659" s="14">
        <v>7.88</v>
      </c>
      <c r="G1659" s="14">
        <v>38.33</v>
      </c>
      <c r="H1659" s="14">
        <v>0.49</v>
      </c>
      <c r="I1659" s="14" t="s">
        <v>6039</v>
      </c>
      <c r="J1659" s="14">
        <v>75.0</v>
      </c>
      <c r="K1659" s="14">
        <v>10.5</v>
      </c>
      <c r="L1659" s="14">
        <v>0.0</v>
      </c>
    </row>
    <row r="1660">
      <c r="A1660" s="14">
        <v>365.0</v>
      </c>
      <c r="B1660" s="14">
        <v>4.0</v>
      </c>
      <c r="C1660" s="34">
        <v>15.65</v>
      </c>
      <c r="D1660" s="36">
        <v>44827.0</v>
      </c>
      <c r="E1660" s="24"/>
      <c r="F1660" s="14">
        <v>3.91</v>
      </c>
      <c r="G1660" s="14">
        <v>42.88</v>
      </c>
      <c r="H1660" s="14">
        <v>1.1</v>
      </c>
      <c r="I1660" s="14" t="s">
        <v>6042</v>
      </c>
      <c r="J1660" s="14">
        <v>75.0</v>
      </c>
      <c r="K1660" s="14">
        <v>5.22</v>
      </c>
      <c r="L1660" s="14">
        <v>0.0</v>
      </c>
    </row>
    <row r="1661">
      <c r="A1661" s="14">
        <v>749.0</v>
      </c>
      <c r="B1661" s="14">
        <v>0.0</v>
      </c>
      <c r="C1661" s="34">
        <v>31.58</v>
      </c>
      <c r="D1661" s="36">
        <v>44827.0</v>
      </c>
      <c r="E1661" s="24"/>
      <c r="F1661" s="14" t="s">
        <v>6012</v>
      </c>
      <c r="G1661" s="14">
        <v>42.16</v>
      </c>
      <c r="H1661" s="14">
        <v>0.0</v>
      </c>
      <c r="I1661" s="14" t="s">
        <v>6038</v>
      </c>
      <c r="J1661" s="14" t="s">
        <v>6012</v>
      </c>
      <c r="K1661" s="14">
        <v>15.79</v>
      </c>
      <c r="L1661" s="14">
        <v>0.0</v>
      </c>
    </row>
    <row r="1662">
      <c r="A1662" s="14">
        <v>2004.0</v>
      </c>
      <c r="B1662" s="14">
        <v>2.0</v>
      </c>
      <c r="C1662" s="34">
        <v>33.48</v>
      </c>
      <c r="D1662" s="36">
        <v>44827.0</v>
      </c>
      <c r="E1662" s="24"/>
      <c r="F1662" s="14">
        <v>16.74</v>
      </c>
      <c r="G1662" s="14">
        <v>16.71</v>
      </c>
      <c r="H1662" s="14">
        <v>0.1</v>
      </c>
      <c r="I1662" s="14" t="s">
        <v>6035</v>
      </c>
      <c r="J1662" s="14">
        <v>50.0</v>
      </c>
      <c r="K1662" s="14">
        <v>33.48</v>
      </c>
      <c r="L1662" s="14">
        <v>0.0</v>
      </c>
    </row>
    <row r="1663">
      <c r="A1663" s="14">
        <v>222.0</v>
      </c>
      <c r="B1663" s="14">
        <v>1.0</v>
      </c>
      <c r="C1663" s="34">
        <v>28.03</v>
      </c>
      <c r="D1663" s="36">
        <v>44827.0</v>
      </c>
      <c r="E1663" s="24"/>
      <c r="F1663" s="14">
        <v>28.03</v>
      </c>
      <c r="G1663" s="14">
        <v>126.26</v>
      </c>
      <c r="H1663" s="14">
        <v>0.45</v>
      </c>
      <c r="I1663" s="14" t="s">
        <v>6036</v>
      </c>
      <c r="J1663" s="14">
        <v>100.0</v>
      </c>
      <c r="K1663" s="14">
        <v>28.03</v>
      </c>
      <c r="L1663" s="14">
        <v>0.0</v>
      </c>
    </row>
    <row r="1664">
      <c r="A1664" s="14">
        <v>1263.0</v>
      </c>
      <c r="B1664" s="14">
        <v>3.0</v>
      </c>
      <c r="C1664" s="34">
        <v>30.23</v>
      </c>
      <c r="D1664" s="36">
        <v>44827.0</v>
      </c>
      <c r="E1664" s="24"/>
      <c r="F1664" s="14">
        <v>10.08</v>
      </c>
      <c r="G1664" s="14">
        <v>23.94</v>
      </c>
      <c r="H1664" s="14">
        <v>0.24</v>
      </c>
      <c r="I1664" s="14" t="s">
        <v>6037</v>
      </c>
      <c r="J1664" s="14">
        <v>0.0</v>
      </c>
      <c r="K1664" s="14" t="s">
        <v>6012</v>
      </c>
      <c r="L1664" s="14">
        <v>0.0</v>
      </c>
    </row>
    <row r="1665">
      <c r="A1665" s="14">
        <v>1009.0</v>
      </c>
      <c r="B1665" s="14">
        <v>2.0</v>
      </c>
      <c r="C1665" s="34">
        <v>15.29</v>
      </c>
      <c r="D1665" s="36">
        <v>44828.0</v>
      </c>
      <c r="E1665" s="24"/>
      <c r="F1665" s="14">
        <v>7.64</v>
      </c>
      <c r="G1665" s="14">
        <v>15.15</v>
      </c>
      <c r="H1665" s="14">
        <v>0.2</v>
      </c>
      <c r="I1665" s="14" t="s">
        <v>6035</v>
      </c>
      <c r="J1665" s="14">
        <v>0.0</v>
      </c>
      <c r="K1665" s="14" t="s">
        <v>6012</v>
      </c>
      <c r="L1665" s="14">
        <v>0.0</v>
      </c>
    </row>
    <row r="1666">
      <c r="A1666" s="14">
        <v>460.0</v>
      </c>
      <c r="B1666" s="14">
        <v>4.0</v>
      </c>
      <c r="C1666" s="34">
        <v>16.5</v>
      </c>
      <c r="D1666" s="36">
        <v>44828.0</v>
      </c>
      <c r="E1666" s="24"/>
      <c r="F1666" s="14">
        <v>4.12</v>
      </c>
      <c r="G1666" s="14">
        <v>35.87</v>
      </c>
      <c r="H1666" s="14">
        <v>0.87</v>
      </c>
      <c r="I1666" s="14" t="s">
        <v>6037</v>
      </c>
      <c r="J1666" s="14">
        <v>0.0</v>
      </c>
      <c r="K1666" s="14" t="s">
        <v>6012</v>
      </c>
      <c r="L1666" s="14">
        <v>0.0</v>
      </c>
    </row>
    <row r="1667">
      <c r="A1667" s="14">
        <v>472.0</v>
      </c>
      <c r="B1667" s="14">
        <v>0.0</v>
      </c>
      <c r="C1667" s="34">
        <v>14.89</v>
      </c>
      <c r="D1667" s="36">
        <v>44828.0</v>
      </c>
      <c r="E1667" s="24"/>
      <c r="F1667" s="14" t="s">
        <v>6012</v>
      </c>
      <c r="G1667" s="14">
        <v>31.55</v>
      </c>
      <c r="H1667" s="14">
        <v>0.0</v>
      </c>
      <c r="I1667" s="14" t="s">
        <v>6038</v>
      </c>
      <c r="J1667" s="14" t="s">
        <v>6012</v>
      </c>
      <c r="K1667" s="14" t="s">
        <v>6012</v>
      </c>
      <c r="L1667" s="14">
        <v>0.0</v>
      </c>
    </row>
    <row r="1668">
      <c r="A1668" s="14">
        <v>390.0</v>
      </c>
      <c r="B1668" s="14">
        <v>2.0</v>
      </c>
      <c r="C1668" s="34">
        <v>16.25</v>
      </c>
      <c r="D1668" s="36">
        <v>44828.0</v>
      </c>
      <c r="E1668" s="24"/>
      <c r="F1668" s="14">
        <v>8.12</v>
      </c>
      <c r="G1668" s="14">
        <v>41.67</v>
      </c>
      <c r="H1668" s="14">
        <v>0.51</v>
      </c>
      <c r="I1668" s="14" t="s">
        <v>6039</v>
      </c>
      <c r="J1668" s="14">
        <v>0.0</v>
      </c>
      <c r="K1668" s="14" t="s">
        <v>6012</v>
      </c>
      <c r="L1668" s="14">
        <v>0.0</v>
      </c>
    </row>
    <row r="1669">
      <c r="A1669" s="14">
        <v>169.0</v>
      </c>
      <c r="B1669" s="14">
        <v>2.0</v>
      </c>
      <c r="C1669" s="34">
        <v>15.21</v>
      </c>
      <c r="D1669" s="36">
        <v>44828.0</v>
      </c>
      <c r="E1669" s="24"/>
      <c r="F1669" s="14">
        <v>7.6</v>
      </c>
      <c r="G1669" s="14">
        <v>90.0</v>
      </c>
      <c r="H1669" s="14">
        <v>1.18</v>
      </c>
      <c r="I1669" s="14" t="s">
        <v>6036</v>
      </c>
      <c r="J1669" s="14">
        <v>50.0</v>
      </c>
      <c r="K1669" s="14">
        <v>15.21</v>
      </c>
      <c r="L1669" s="14">
        <v>0.0</v>
      </c>
    </row>
    <row r="1670">
      <c r="A1670" s="14">
        <v>304.0</v>
      </c>
      <c r="B1670" s="14">
        <v>2.0</v>
      </c>
      <c r="C1670" s="34">
        <v>15.04</v>
      </c>
      <c r="D1670" s="36">
        <v>44828.0</v>
      </c>
      <c r="E1670" s="24"/>
      <c r="F1670" s="14">
        <v>7.52</v>
      </c>
      <c r="G1670" s="14">
        <v>49.47</v>
      </c>
      <c r="H1670" s="14">
        <v>0.66</v>
      </c>
      <c r="I1670" s="14" t="s">
        <v>6042</v>
      </c>
      <c r="J1670" s="14">
        <v>150.0</v>
      </c>
      <c r="K1670" s="14">
        <v>5.01</v>
      </c>
      <c r="L1670" s="14">
        <v>0.0</v>
      </c>
    </row>
    <row r="1671">
      <c r="A1671" s="14">
        <v>295.0</v>
      </c>
      <c r="B1671" s="14">
        <v>1.0</v>
      </c>
      <c r="C1671" s="34">
        <v>16.5</v>
      </c>
      <c r="D1671" s="36">
        <v>44829.0</v>
      </c>
      <c r="E1671" s="24"/>
      <c r="F1671" s="14">
        <v>16.5</v>
      </c>
      <c r="G1671" s="14">
        <v>55.93</v>
      </c>
      <c r="H1671" s="14">
        <v>0.34</v>
      </c>
      <c r="I1671" s="14" t="s">
        <v>6036</v>
      </c>
      <c r="J1671" s="14">
        <v>100.0</v>
      </c>
      <c r="K1671" s="14">
        <v>16.5</v>
      </c>
      <c r="L1671" s="14">
        <v>0.0</v>
      </c>
    </row>
    <row r="1672">
      <c r="A1672" s="14">
        <v>448.0</v>
      </c>
      <c r="B1672" s="14">
        <v>3.0</v>
      </c>
      <c r="C1672" s="34">
        <v>14.87</v>
      </c>
      <c r="D1672" s="36">
        <v>44829.0</v>
      </c>
      <c r="E1672" s="24"/>
      <c r="F1672" s="14">
        <v>4.96</v>
      </c>
      <c r="G1672" s="14">
        <v>33.19</v>
      </c>
      <c r="H1672" s="14">
        <v>0.67</v>
      </c>
      <c r="I1672" s="14" t="s">
        <v>6038</v>
      </c>
      <c r="J1672" s="14">
        <v>33.33</v>
      </c>
      <c r="K1672" s="14">
        <v>14.87</v>
      </c>
      <c r="L1672" s="14">
        <v>0.0</v>
      </c>
    </row>
    <row r="1673">
      <c r="A1673" s="14">
        <v>349.0</v>
      </c>
      <c r="B1673" s="14">
        <v>0.0</v>
      </c>
      <c r="C1673" s="34">
        <v>15.17</v>
      </c>
      <c r="D1673" s="36">
        <v>44829.0</v>
      </c>
      <c r="E1673" s="24"/>
      <c r="F1673" s="14" t="s">
        <v>6012</v>
      </c>
      <c r="G1673" s="14">
        <v>43.47</v>
      </c>
      <c r="H1673" s="14">
        <v>0.0</v>
      </c>
      <c r="I1673" s="14" t="s">
        <v>6042</v>
      </c>
      <c r="J1673" s="14" t="s">
        <v>6012</v>
      </c>
      <c r="K1673" s="14">
        <v>7.58</v>
      </c>
      <c r="L1673" s="14">
        <v>0.0</v>
      </c>
    </row>
    <row r="1674">
      <c r="A1674" s="14">
        <v>918.0</v>
      </c>
      <c r="B1674" s="14">
        <v>3.0</v>
      </c>
      <c r="C1674" s="34">
        <v>16.47</v>
      </c>
      <c r="D1674" s="36">
        <v>44829.0</v>
      </c>
      <c r="E1674" s="24"/>
      <c r="F1674" s="14">
        <v>5.49</v>
      </c>
      <c r="G1674" s="14">
        <v>17.94</v>
      </c>
      <c r="H1674" s="14">
        <v>0.33</v>
      </c>
      <c r="I1674" s="14" t="s">
        <v>6037</v>
      </c>
      <c r="J1674" s="14">
        <v>33.33</v>
      </c>
      <c r="K1674" s="14">
        <v>16.47</v>
      </c>
      <c r="L1674" s="14">
        <v>0.0</v>
      </c>
    </row>
    <row r="1675">
      <c r="A1675" s="14">
        <v>1069.0</v>
      </c>
      <c r="B1675" s="14">
        <v>6.0</v>
      </c>
      <c r="C1675" s="34">
        <v>14.86</v>
      </c>
      <c r="D1675" s="36">
        <v>44829.0</v>
      </c>
      <c r="E1675" s="24"/>
      <c r="F1675" s="14">
        <v>2.48</v>
      </c>
      <c r="G1675" s="14">
        <v>13.9</v>
      </c>
      <c r="H1675" s="14">
        <v>0.56</v>
      </c>
      <c r="I1675" s="14" t="s">
        <v>6035</v>
      </c>
      <c r="J1675" s="14">
        <v>33.33</v>
      </c>
      <c r="K1675" s="14">
        <v>7.43</v>
      </c>
      <c r="L1675" s="14">
        <v>0.0</v>
      </c>
    </row>
    <row r="1676">
      <c r="A1676" s="14">
        <v>518.0</v>
      </c>
      <c r="B1676" s="14">
        <v>4.0</v>
      </c>
      <c r="C1676" s="34">
        <v>16.5</v>
      </c>
      <c r="D1676" s="36">
        <v>44829.0</v>
      </c>
      <c r="E1676" s="24"/>
      <c r="F1676" s="14">
        <v>4.12</v>
      </c>
      <c r="G1676" s="14">
        <v>31.85</v>
      </c>
      <c r="H1676" s="14">
        <v>0.77</v>
      </c>
      <c r="I1676" s="14" t="s">
        <v>6039</v>
      </c>
      <c r="J1676" s="14">
        <v>25.0</v>
      </c>
      <c r="K1676" s="14">
        <v>16.5</v>
      </c>
      <c r="L1676" s="14">
        <v>0.0</v>
      </c>
    </row>
    <row r="1677">
      <c r="A1677" s="14">
        <v>104.0</v>
      </c>
      <c r="B1677" s="14">
        <v>0.0</v>
      </c>
      <c r="C1677" s="34">
        <v>11.79</v>
      </c>
      <c r="D1677" s="36">
        <v>44830.0</v>
      </c>
      <c r="E1677" s="24"/>
      <c r="F1677" s="14" t="s">
        <v>6012</v>
      </c>
      <c r="G1677" s="14">
        <v>113.37</v>
      </c>
      <c r="H1677" s="14">
        <v>0.0</v>
      </c>
      <c r="I1677" s="14" t="s">
        <v>6036</v>
      </c>
      <c r="J1677" s="14" t="s">
        <v>6012</v>
      </c>
      <c r="K1677" s="14" t="s">
        <v>6012</v>
      </c>
      <c r="L1677" s="14">
        <v>0.0</v>
      </c>
    </row>
    <row r="1678">
      <c r="A1678" s="14">
        <v>1064.0</v>
      </c>
      <c r="B1678" s="14">
        <v>3.0</v>
      </c>
      <c r="C1678" s="34">
        <v>10.85</v>
      </c>
      <c r="D1678" s="36">
        <v>44830.0</v>
      </c>
      <c r="E1678" s="24"/>
      <c r="F1678" s="14">
        <v>3.62</v>
      </c>
      <c r="G1678" s="14">
        <v>10.2</v>
      </c>
      <c r="H1678" s="14">
        <v>0.28</v>
      </c>
      <c r="I1678" s="14" t="s">
        <v>6035</v>
      </c>
      <c r="J1678" s="14">
        <v>33.33</v>
      </c>
      <c r="K1678" s="14">
        <v>10.85</v>
      </c>
      <c r="L1678" s="14">
        <v>0.0</v>
      </c>
    </row>
    <row r="1679">
      <c r="A1679" s="14">
        <v>942.0</v>
      </c>
      <c r="B1679" s="14">
        <v>1.0</v>
      </c>
      <c r="C1679" s="34">
        <v>12.85</v>
      </c>
      <c r="D1679" s="36">
        <v>44830.0</v>
      </c>
      <c r="E1679" s="24"/>
      <c r="F1679" s="14">
        <v>12.85</v>
      </c>
      <c r="G1679" s="14">
        <v>13.64</v>
      </c>
      <c r="H1679" s="14">
        <v>0.11</v>
      </c>
      <c r="I1679" s="14" t="s">
        <v>6037</v>
      </c>
      <c r="J1679" s="14">
        <v>100.0</v>
      </c>
      <c r="K1679" s="14">
        <v>12.85</v>
      </c>
      <c r="L1679" s="14">
        <v>0.0</v>
      </c>
    </row>
    <row r="1680">
      <c r="A1680" s="14">
        <v>353.0</v>
      </c>
      <c r="B1680" s="14">
        <v>2.0</v>
      </c>
      <c r="C1680" s="34">
        <v>11.57</v>
      </c>
      <c r="D1680" s="36">
        <v>44830.0</v>
      </c>
      <c r="E1680" s="24"/>
      <c r="F1680" s="14">
        <v>5.78</v>
      </c>
      <c r="G1680" s="14">
        <v>32.78</v>
      </c>
      <c r="H1680" s="14">
        <v>0.57</v>
      </c>
      <c r="I1680" s="14" t="s">
        <v>6042</v>
      </c>
      <c r="J1680" s="14">
        <v>50.0</v>
      </c>
      <c r="K1680" s="14">
        <v>11.57</v>
      </c>
      <c r="L1680" s="14">
        <v>0.0</v>
      </c>
    </row>
    <row r="1681">
      <c r="A1681" s="14">
        <v>511.0</v>
      </c>
      <c r="B1681" s="14">
        <v>0.0</v>
      </c>
      <c r="C1681" s="34">
        <v>12.82</v>
      </c>
      <c r="D1681" s="36">
        <v>44830.0</v>
      </c>
      <c r="E1681" s="24"/>
      <c r="F1681" s="14" t="s">
        <v>6012</v>
      </c>
      <c r="G1681" s="14">
        <v>25.09</v>
      </c>
      <c r="H1681" s="14">
        <v>0.0</v>
      </c>
      <c r="I1681" s="14" t="s">
        <v>6039</v>
      </c>
      <c r="J1681" s="14" t="s">
        <v>6012</v>
      </c>
      <c r="K1681" s="14">
        <v>12.82</v>
      </c>
      <c r="L1681" s="14">
        <v>0.0</v>
      </c>
    </row>
    <row r="1682">
      <c r="A1682" s="14">
        <v>534.0</v>
      </c>
      <c r="B1682" s="14">
        <v>2.0</v>
      </c>
      <c r="C1682" s="34">
        <v>10.74</v>
      </c>
      <c r="D1682" s="36">
        <v>44830.0</v>
      </c>
      <c r="E1682" s="24"/>
      <c r="F1682" s="14">
        <v>5.37</v>
      </c>
      <c r="G1682" s="14">
        <v>20.11</v>
      </c>
      <c r="H1682" s="14">
        <v>0.37</v>
      </c>
      <c r="I1682" s="14" t="s">
        <v>6038</v>
      </c>
      <c r="J1682" s="14">
        <v>0.0</v>
      </c>
      <c r="K1682" s="14" t="s">
        <v>6012</v>
      </c>
      <c r="L1682" s="14">
        <v>0.0</v>
      </c>
    </row>
    <row r="1683">
      <c r="A1683" s="14">
        <v>385.0</v>
      </c>
      <c r="B1683" s="14">
        <v>2.0</v>
      </c>
      <c r="C1683" s="34">
        <v>12.65</v>
      </c>
      <c r="D1683" s="36">
        <v>44831.0</v>
      </c>
      <c r="E1683" s="24"/>
      <c r="F1683" s="14">
        <v>6.32</v>
      </c>
      <c r="G1683" s="14">
        <v>32.86</v>
      </c>
      <c r="H1683" s="14">
        <v>0.52</v>
      </c>
      <c r="I1683" s="14" t="s">
        <v>6042</v>
      </c>
      <c r="J1683" s="14">
        <v>100.0</v>
      </c>
      <c r="K1683" s="14">
        <v>6.32</v>
      </c>
      <c r="L1683" s="14">
        <v>0.0</v>
      </c>
    </row>
    <row r="1684">
      <c r="A1684" s="14">
        <v>502.0</v>
      </c>
      <c r="B1684" s="14">
        <v>5.0</v>
      </c>
      <c r="C1684" s="34">
        <v>13.68</v>
      </c>
      <c r="D1684" s="36">
        <v>44831.0</v>
      </c>
      <c r="E1684" s="24"/>
      <c r="F1684" s="14">
        <v>2.74</v>
      </c>
      <c r="G1684" s="14">
        <v>27.25</v>
      </c>
      <c r="H1684" s="14">
        <v>1.0</v>
      </c>
      <c r="I1684" s="14" t="s">
        <v>6039</v>
      </c>
      <c r="J1684" s="14">
        <v>20.0</v>
      </c>
      <c r="K1684" s="14">
        <v>13.68</v>
      </c>
      <c r="L1684" s="14">
        <v>0.0</v>
      </c>
    </row>
    <row r="1685">
      <c r="A1685" s="14">
        <v>918.0</v>
      </c>
      <c r="B1685" s="14">
        <v>8.0</v>
      </c>
      <c r="C1685" s="34">
        <v>13.88</v>
      </c>
      <c r="D1685" s="36">
        <v>44831.0</v>
      </c>
      <c r="E1685" s="24"/>
      <c r="F1685" s="14">
        <v>1.74</v>
      </c>
      <c r="G1685" s="14">
        <v>15.12</v>
      </c>
      <c r="H1685" s="14">
        <v>0.87</v>
      </c>
      <c r="I1685" s="14" t="s">
        <v>6037</v>
      </c>
      <c r="J1685" s="14">
        <v>50.0</v>
      </c>
      <c r="K1685" s="14">
        <v>3.47</v>
      </c>
      <c r="L1685" s="14">
        <v>0.0</v>
      </c>
    </row>
    <row r="1686">
      <c r="A1686" s="14">
        <v>428.0</v>
      </c>
      <c r="B1686" s="14">
        <v>2.0</v>
      </c>
      <c r="C1686" s="34">
        <v>13.3</v>
      </c>
      <c r="D1686" s="36">
        <v>44831.0</v>
      </c>
      <c r="E1686" s="24"/>
      <c r="F1686" s="14">
        <v>6.65</v>
      </c>
      <c r="G1686" s="14">
        <v>31.07</v>
      </c>
      <c r="H1686" s="14">
        <v>0.47</v>
      </c>
      <c r="I1686" s="14" t="s">
        <v>6036</v>
      </c>
      <c r="J1686" s="14">
        <v>50.0</v>
      </c>
      <c r="K1686" s="14">
        <v>13.3</v>
      </c>
      <c r="L1686" s="14">
        <v>0.0</v>
      </c>
    </row>
    <row r="1687">
      <c r="A1687" s="14">
        <v>1342.0</v>
      </c>
      <c r="B1687" s="14">
        <v>0.0</v>
      </c>
      <c r="C1687" s="34">
        <v>14.55</v>
      </c>
      <c r="D1687" s="36">
        <v>44831.0</v>
      </c>
      <c r="E1687" s="24"/>
      <c r="F1687" s="14" t="s">
        <v>6012</v>
      </c>
      <c r="G1687" s="14">
        <v>10.84</v>
      </c>
      <c r="H1687" s="14">
        <v>0.0</v>
      </c>
      <c r="I1687" s="14" t="s">
        <v>6035</v>
      </c>
      <c r="J1687" s="14" t="s">
        <v>6012</v>
      </c>
      <c r="K1687" s="14">
        <v>14.55</v>
      </c>
      <c r="L1687" s="14">
        <v>0.0</v>
      </c>
    </row>
    <row r="1688">
      <c r="A1688" s="14">
        <v>643.0</v>
      </c>
      <c r="B1688" s="14">
        <v>0.0</v>
      </c>
      <c r="C1688" s="34">
        <v>13.22</v>
      </c>
      <c r="D1688" s="36">
        <v>44831.0</v>
      </c>
      <c r="E1688" s="24"/>
      <c r="F1688" s="14" t="s">
        <v>6012</v>
      </c>
      <c r="G1688" s="14">
        <v>20.56</v>
      </c>
      <c r="H1688" s="14">
        <v>0.0</v>
      </c>
      <c r="I1688" s="14" t="s">
        <v>6038</v>
      </c>
      <c r="J1688" s="14" t="s">
        <v>6012</v>
      </c>
      <c r="K1688" s="14" t="s">
        <v>6012</v>
      </c>
      <c r="L1688" s="14">
        <v>0.0</v>
      </c>
    </row>
    <row r="1689">
      <c r="A1689" s="14">
        <v>1333.0</v>
      </c>
      <c r="B1689" s="14">
        <v>2.0</v>
      </c>
      <c r="C1689" s="34">
        <v>13.33</v>
      </c>
      <c r="D1689" s="36">
        <v>44832.0</v>
      </c>
      <c r="E1689" s="24"/>
      <c r="F1689" s="14">
        <v>6.66</v>
      </c>
      <c r="G1689" s="14">
        <v>10.0</v>
      </c>
      <c r="H1689" s="14">
        <v>0.15</v>
      </c>
      <c r="I1689" s="14" t="s">
        <v>6035</v>
      </c>
      <c r="J1689" s="14">
        <v>100.0</v>
      </c>
      <c r="K1689" s="14">
        <v>6.66</v>
      </c>
      <c r="L1689" s="14">
        <v>0.0</v>
      </c>
    </row>
    <row r="1690">
      <c r="A1690" s="14">
        <v>693.0</v>
      </c>
      <c r="B1690" s="14">
        <v>0.0</v>
      </c>
      <c r="C1690" s="34">
        <v>13.23</v>
      </c>
      <c r="D1690" s="36">
        <v>44832.0</v>
      </c>
      <c r="E1690" s="24"/>
      <c r="F1690" s="14" t="s">
        <v>6012</v>
      </c>
      <c r="G1690" s="14">
        <v>19.09</v>
      </c>
      <c r="H1690" s="14">
        <v>0.0</v>
      </c>
      <c r="I1690" s="14" t="s">
        <v>6038</v>
      </c>
      <c r="J1690" s="14" t="s">
        <v>6012</v>
      </c>
      <c r="K1690" s="14" t="s">
        <v>6012</v>
      </c>
      <c r="L1690" s="14">
        <v>0.0</v>
      </c>
    </row>
    <row r="1691">
      <c r="A1691" s="14">
        <v>472.0</v>
      </c>
      <c r="B1691" s="14">
        <v>4.0</v>
      </c>
      <c r="C1691" s="34">
        <v>13.74</v>
      </c>
      <c r="D1691" s="36">
        <v>44832.0</v>
      </c>
      <c r="E1691" s="24"/>
      <c r="F1691" s="14">
        <v>3.44</v>
      </c>
      <c r="G1691" s="14">
        <v>29.11</v>
      </c>
      <c r="H1691" s="14">
        <v>0.85</v>
      </c>
      <c r="I1691" s="14" t="s">
        <v>6036</v>
      </c>
      <c r="J1691" s="14">
        <v>100.0</v>
      </c>
      <c r="K1691" s="14">
        <v>3.44</v>
      </c>
      <c r="L1691" s="14">
        <v>0.0</v>
      </c>
    </row>
    <row r="1692">
      <c r="A1692" s="14">
        <v>491.0</v>
      </c>
      <c r="B1692" s="14">
        <v>7.0</v>
      </c>
      <c r="C1692" s="34">
        <v>13.06</v>
      </c>
      <c r="D1692" s="36">
        <v>44832.0</v>
      </c>
      <c r="E1692" s="24"/>
      <c r="F1692" s="14">
        <v>1.87</v>
      </c>
      <c r="G1692" s="14">
        <v>26.6</v>
      </c>
      <c r="H1692" s="14">
        <v>1.43</v>
      </c>
      <c r="I1692" s="14" t="s">
        <v>6039</v>
      </c>
      <c r="J1692" s="14">
        <v>28.57</v>
      </c>
      <c r="K1692" s="14">
        <v>6.53</v>
      </c>
      <c r="L1692" s="14">
        <v>0.0</v>
      </c>
    </row>
    <row r="1693">
      <c r="A1693" s="14">
        <v>261.0</v>
      </c>
      <c r="B1693" s="14">
        <v>7.0</v>
      </c>
      <c r="C1693" s="34">
        <v>13.22</v>
      </c>
      <c r="D1693" s="36">
        <v>44832.0</v>
      </c>
      <c r="E1693" s="24"/>
      <c r="F1693" s="14">
        <v>1.89</v>
      </c>
      <c r="G1693" s="14">
        <v>50.65</v>
      </c>
      <c r="H1693" s="14">
        <v>2.68</v>
      </c>
      <c r="I1693" s="14" t="s">
        <v>6042</v>
      </c>
      <c r="J1693" s="14">
        <v>42.86</v>
      </c>
      <c r="K1693" s="14">
        <v>4.41</v>
      </c>
      <c r="L1693" s="14">
        <v>0.0</v>
      </c>
    </row>
    <row r="1694">
      <c r="A1694" s="14">
        <v>987.0</v>
      </c>
      <c r="B1694" s="14">
        <v>4.0</v>
      </c>
      <c r="C1694" s="34">
        <v>13.65</v>
      </c>
      <c r="D1694" s="36">
        <v>44832.0</v>
      </c>
      <c r="E1694" s="24"/>
      <c r="F1694" s="14">
        <v>3.41</v>
      </c>
      <c r="G1694" s="14">
        <v>13.83</v>
      </c>
      <c r="H1694" s="14">
        <v>0.41</v>
      </c>
      <c r="I1694" s="14" t="s">
        <v>6037</v>
      </c>
      <c r="J1694" s="14">
        <v>0.0</v>
      </c>
      <c r="K1694" s="14" t="s">
        <v>6012</v>
      </c>
      <c r="L1694" s="14">
        <v>0.0</v>
      </c>
    </row>
    <row r="1695">
      <c r="A1695" s="14">
        <v>1460.0</v>
      </c>
      <c r="B1695" s="14">
        <v>3.0</v>
      </c>
      <c r="C1695" s="34">
        <v>13.58</v>
      </c>
      <c r="D1695" s="36">
        <v>44833.0</v>
      </c>
      <c r="E1695" s="24"/>
      <c r="F1695" s="14">
        <v>4.53</v>
      </c>
      <c r="G1695" s="14">
        <v>9.3</v>
      </c>
      <c r="H1695" s="14">
        <v>0.21</v>
      </c>
      <c r="I1695" s="14" t="s">
        <v>6035</v>
      </c>
      <c r="J1695" s="14">
        <v>0.0</v>
      </c>
      <c r="K1695" s="14" t="s">
        <v>6012</v>
      </c>
      <c r="L1695" s="14">
        <v>0.0</v>
      </c>
    </row>
    <row r="1696">
      <c r="A1696" s="14">
        <v>418.0</v>
      </c>
      <c r="B1696" s="14">
        <v>2.0</v>
      </c>
      <c r="C1696" s="34">
        <v>13.52</v>
      </c>
      <c r="D1696" s="36">
        <v>44833.0</v>
      </c>
      <c r="E1696" s="24"/>
      <c r="F1696" s="14">
        <v>6.76</v>
      </c>
      <c r="G1696" s="14">
        <v>32.34</v>
      </c>
      <c r="H1696" s="14">
        <v>0.48</v>
      </c>
      <c r="I1696" s="14" t="s">
        <v>6042</v>
      </c>
      <c r="J1696" s="14">
        <v>0.0</v>
      </c>
      <c r="K1696" s="14" t="s">
        <v>6012</v>
      </c>
      <c r="L1696" s="14">
        <v>0.0</v>
      </c>
    </row>
    <row r="1697">
      <c r="A1697" s="14">
        <v>419.0</v>
      </c>
      <c r="B1697" s="14">
        <v>4.0</v>
      </c>
      <c r="C1697" s="34">
        <v>13.63</v>
      </c>
      <c r="D1697" s="36">
        <v>44833.0</v>
      </c>
      <c r="E1697" s="24"/>
      <c r="F1697" s="14">
        <v>3.41</v>
      </c>
      <c r="G1697" s="14">
        <v>32.53</v>
      </c>
      <c r="H1697" s="14">
        <v>0.95</v>
      </c>
      <c r="I1697" s="14" t="s">
        <v>6036</v>
      </c>
      <c r="J1697" s="14">
        <v>50.0</v>
      </c>
      <c r="K1697" s="14">
        <v>6.82</v>
      </c>
      <c r="L1697" s="14">
        <v>0.0</v>
      </c>
    </row>
    <row r="1698">
      <c r="A1698" s="14">
        <v>461.0</v>
      </c>
      <c r="B1698" s="14">
        <v>4.0</v>
      </c>
      <c r="C1698" s="34">
        <v>13.13</v>
      </c>
      <c r="D1698" s="36">
        <v>44833.0</v>
      </c>
      <c r="E1698" s="24"/>
      <c r="F1698" s="14">
        <v>3.28</v>
      </c>
      <c r="G1698" s="14">
        <v>28.48</v>
      </c>
      <c r="H1698" s="14">
        <v>0.87</v>
      </c>
      <c r="I1698" s="14" t="s">
        <v>6039</v>
      </c>
      <c r="J1698" s="14">
        <v>75.0</v>
      </c>
      <c r="K1698" s="14">
        <v>4.38</v>
      </c>
      <c r="L1698" s="14">
        <v>0.0</v>
      </c>
    </row>
    <row r="1699">
      <c r="A1699" s="14">
        <v>750.0</v>
      </c>
      <c r="B1699" s="14">
        <v>0.0</v>
      </c>
      <c r="C1699" s="34">
        <v>13.57</v>
      </c>
      <c r="D1699" s="36">
        <v>44833.0</v>
      </c>
      <c r="E1699" s="24"/>
      <c r="F1699" s="14" t="s">
        <v>6012</v>
      </c>
      <c r="G1699" s="14">
        <v>18.09</v>
      </c>
      <c r="H1699" s="14">
        <v>0.0</v>
      </c>
      <c r="I1699" s="14" t="s">
        <v>6038</v>
      </c>
      <c r="J1699" s="14" t="s">
        <v>6012</v>
      </c>
      <c r="K1699" s="14" t="s">
        <v>6012</v>
      </c>
      <c r="L1699" s="14">
        <v>0.0</v>
      </c>
    </row>
    <row r="1700">
      <c r="A1700" s="14">
        <v>929.0</v>
      </c>
      <c r="B1700" s="14">
        <v>4.0</v>
      </c>
      <c r="C1700" s="34">
        <v>13.29</v>
      </c>
      <c r="D1700" s="36">
        <v>44833.0</v>
      </c>
      <c r="E1700" s="24"/>
      <c r="F1700" s="14">
        <v>3.32</v>
      </c>
      <c r="G1700" s="14">
        <v>14.31</v>
      </c>
      <c r="H1700" s="14">
        <v>0.43</v>
      </c>
      <c r="I1700" s="14" t="s">
        <v>6037</v>
      </c>
      <c r="J1700" s="14">
        <v>0.0</v>
      </c>
      <c r="K1700" s="14" t="s">
        <v>6012</v>
      </c>
      <c r="L1700" s="14">
        <v>0.0</v>
      </c>
    </row>
    <row r="1701">
      <c r="A1701" s="14">
        <v>131.0</v>
      </c>
      <c r="B1701" s="14">
        <v>1.0</v>
      </c>
      <c r="C1701" s="34">
        <v>3.22</v>
      </c>
      <c r="D1701" s="36">
        <v>44834.0</v>
      </c>
      <c r="E1701" s="24"/>
      <c r="F1701" s="14">
        <v>3.22</v>
      </c>
      <c r="G1701" s="14">
        <v>24.58</v>
      </c>
      <c r="H1701" s="14">
        <v>0.76</v>
      </c>
      <c r="I1701" s="14" t="s">
        <v>6038</v>
      </c>
      <c r="J1701" s="14">
        <v>100.0</v>
      </c>
      <c r="K1701" s="14">
        <v>3.22</v>
      </c>
      <c r="L1701" s="14">
        <v>0.0</v>
      </c>
    </row>
    <row r="1702">
      <c r="A1702" s="14">
        <v>326.0</v>
      </c>
      <c r="B1702" s="14">
        <v>4.0</v>
      </c>
      <c r="C1702" s="34">
        <v>12.47</v>
      </c>
      <c r="D1702" s="36">
        <v>44834.0</v>
      </c>
      <c r="E1702" s="24"/>
      <c r="F1702" s="14">
        <v>3.12</v>
      </c>
      <c r="G1702" s="14">
        <v>38.25</v>
      </c>
      <c r="H1702" s="14">
        <v>1.23</v>
      </c>
      <c r="I1702" s="14" t="s">
        <v>6042</v>
      </c>
      <c r="J1702" s="14">
        <v>25.0</v>
      </c>
      <c r="K1702" s="14">
        <v>12.47</v>
      </c>
      <c r="L1702" s="14">
        <v>0.0</v>
      </c>
    </row>
    <row r="1703">
      <c r="A1703" s="14">
        <v>399.0</v>
      </c>
      <c r="B1703" s="14">
        <v>1.0</v>
      </c>
      <c r="C1703" s="34">
        <v>12.21</v>
      </c>
      <c r="D1703" s="36">
        <v>44834.0</v>
      </c>
      <c r="E1703" s="24"/>
      <c r="F1703" s="14">
        <v>12.21</v>
      </c>
      <c r="G1703" s="14">
        <v>30.6</v>
      </c>
      <c r="H1703" s="14">
        <v>0.25</v>
      </c>
      <c r="I1703" s="14" t="s">
        <v>6036</v>
      </c>
      <c r="J1703" s="14">
        <v>400.0</v>
      </c>
      <c r="K1703" s="14">
        <v>3.05</v>
      </c>
      <c r="L1703" s="14">
        <v>0.0</v>
      </c>
    </row>
    <row r="1704">
      <c r="A1704" s="14">
        <v>559.0</v>
      </c>
      <c r="B1704" s="14">
        <v>1.0</v>
      </c>
      <c r="C1704" s="34">
        <v>9.84</v>
      </c>
      <c r="D1704" s="36">
        <v>44834.0</v>
      </c>
      <c r="E1704" s="24"/>
      <c r="F1704" s="14">
        <v>9.84</v>
      </c>
      <c r="G1704" s="14">
        <v>17.6</v>
      </c>
      <c r="H1704" s="14">
        <v>0.18</v>
      </c>
      <c r="I1704" s="14" t="s">
        <v>6037</v>
      </c>
      <c r="J1704" s="14">
        <v>200.0</v>
      </c>
      <c r="K1704" s="14">
        <v>4.92</v>
      </c>
      <c r="L1704" s="14">
        <v>0.0</v>
      </c>
    </row>
    <row r="1705">
      <c r="A1705" s="14">
        <v>269.0</v>
      </c>
      <c r="B1705" s="14">
        <v>0.0</v>
      </c>
      <c r="C1705" s="34">
        <v>3.0</v>
      </c>
      <c r="D1705" s="36">
        <v>44834.0</v>
      </c>
      <c r="E1705" s="24"/>
      <c r="F1705" s="14" t="s">
        <v>6012</v>
      </c>
      <c r="G1705" s="14">
        <v>11.15</v>
      </c>
      <c r="H1705" s="14">
        <v>0.0</v>
      </c>
      <c r="I1705" s="14" t="s">
        <v>6035</v>
      </c>
      <c r="J1705" s="14" t="s">
        <v>6012</v>
      </c>
      <c r="K1705" s="14" t="s">
        <v>6012</v>
      </c>
      <c r="L1705" s="14">
        <v>0.0</v>
      </c>
    </row>
    <row r="1706">
      <c r="A1706" s="14">
        <v>316.0</v>
      </c>
      <c r="B1706" s="14">
        <v>1.0</v>
      </c>
      <c r="C1706" s="34">
        <v>8.11</v>
      </c>
      <c r="D1706" s="36">
        <v>44834.0</v>
      </c>
      <c r="E1706" s="24"/>
      <c r="F1706" s="14">
        <v>8.11</v>
      </c>
      <c r="G1706" s="14">
        <v>25.66</v>
      </c>
      <c r="H1706" s="14">
        <v>0.32</v>
      </c>
      <c r="I1706" s="14" t="s">
        <v>6039</v>
      </c>
      <c r="J1706" s="14">
        <v>200.0</v>
      </c>
      <c r="K1706" s="14">
        <v>4.06</v>
      </c>
      <c r="L1706" s="14">
        <v>0.0</v>
      </c>
    </row>
    <row r="1707">
      <c r="A1707" s="14">
        <v>260.0</v>
      </c>
      <c r="B1707" s="14">
        <v>1.0</v>
      </c>
      <c r="C1707" s="34">
        <v>5.81</v>
      </c>
      <c r="D1707" s="36">
        <v>44835.0</v>
      </c>
      <c r="E1707" s="24"/>
      <c r="F1707" s="14">
        <v>5.81</v>
      </c>
      <c r="G1707" s="14">
        <v>22.35</v>
      </c>
      <c r="H1707" s="14">
        <v>0.38</v>
      </c>
      <c r="I1707" s="14" t="s">
        <v>6036</v>
      </c>
      <c r="J1707" s="14">
        <v>0.0</v>
      </c>
      <c r="K1707" s="14" t="s">
        <v>6012</v>
      </c>
      <c r="L1707" s="14">
        <v>0.0</v>
      </c>
    </row>
    <row r="1708">
      <c r="A1708" s="14">
        <v>181.0</v>
      </c>
      <c r="B1708" s="14">
        <v>0.0</v>
      </c>
      <c r="C1708" s="34">
        <v>6.66</v>
      </c>
      <c r="D1708" s="36">
        <v>44835.0</v>
      </c>
      <c r="E1708" s="24"/>
      <c r="F1708" s="14" t="s">
        <v>6012</v>
      </c>
      <c r="G1708" s="14">
        <v>36.8</v>
      </c>
      <c r="H1708" s="14">
        <v>0.0</v>
      </c>
      <c r="I1708" s="14" t="s">
        <v>6042</v>
      </c>
      <c r="J1708" s="14" t="s">
        <v>6012</v>
      </c>
      <c r="K1708" s="14" t="s">
        <v>6012</v>
      </c>
      <c r="L1708" s="14">
        <v>0.0</v>
      </c>
    </row>
    <row r="1709">
      <c r="A1709" s="14">
        <v>106.0</v>
      </c>
      <c r="B1709" s="14">
        <v>0.0</v>
      </c>
      <c r="C1709" s="34">
        <v>4.17</v>
      </c>
      <c r="D1709" s="36">
        <v>44835.0</v>
      </c>
      <c r="E1709" s="24"/>
      <c r="F1709" s="14" t="s">
        <v>6012</v>
      </c>
      <c r="G1709" s="14">
        <v>39.34</v>
      </c>
      <c r="H1709" s="14">
        <v>0.0</v>
      </c>
      <c r="I1709" s="14" t="s">
        <v>6039</v>
      </c>
      <c r="J1709" s="14" t="s">
        <v>6012</v>
      </c>
      <c r="K1709" s="14" t="s">
        <v>6012</v>
      </c>
      <c r="L1709" s="14">
        <v>0.0</v>
      </c>
    </row>
    <row r="1710">
      <c r="A1710" s="14">
        <v>133.0</v>
      </c>
      <c r="B1710" s="14">
        <v>0.0</v>
      </c>
      <c r="C1710" s="34">
        <v>2.89</v>
      </c>
      <c r="D1710" s="36">
        <v>44835.0</v>
      </c>
      <c r="E1710" s="24"/>
      <c r="F1710" s="14" t="s">
        <v>6012</v>
      </c>
      <c r="G1710" s="14">
        <v>21.73</v>
      </c>
      <c r="H1710" s="14">
        <v>0.0</v>
      </c>
      <c r="I1710" s="14" t="s">
        <v>6037</v>
      </c>
      <c r="J1710" s="14" t="s">
        <v>6012</v>
      </c>
      <c r="K1710" s="14" t="s">
        <v>6012</v>
      </c>
      <c r="L1710" s="14">
        <v>0.0</v>
      </c>
    </row>
    <row r="1711">
      <c r="A1711" s="14">
        <v>135.0</v>
      </c>
      <c r="B1711" s="14">
        <v>1.0</v>
      </c>
      <c r="C1711" s="34">
        <v>6.21</v>
      </c>
      <c r="D1711" s="36">
        <v>44836.0</v>
      </c>
      <c r="E1711" s="24"/>
      <c r="F1711" s="14">
        <v>6.21</v>
      </c>
      <c r="G1711" s="14">
        <v>46.0</v>
      </c>
      <c r="H1711" s="14">
        <v>0.74</v>
      </c>
      <c r="I1711" s="14" t="s">
        <v>6042</v>
      </c>
      <c r="J1711" s="14">
        <v>100.0</v>
      </c>
      <c r="K1711" s="14">
        <v>6.21</v>
      </c>
      <c r="L1711" s="14">
        <v>0.0</v>
      </c>
    </row>
    <row r="1712">
      <c r="A1712" s="14">
        <v>87.0</v>
      </c>
      <c r="B1712" s="14">
        <v>2.0</v>
      </c>
      <c r="C1712" s="34">
        <v>4.25</v>
      </c>
      <c r="D1712" s="36">
        <v>44836.0</v>
      </c>
      <c r="E1712" s="24"/>
      <c r="F1712" s="14">
        <v>2.12</v>
      </c>
      <c r="G1712" s="14">
        <v>48.85</v>
      </c>
      <c r="H1712" s="14">
        <v>2.3</v>
      </c>
      <c r="I1712" s="14" t="s">
        <v>6039</v>
      </c>
      <c r="J1712" s="14">
        <v>0.0</v>
      </c>
      <c r="K1712" s="14" t="s">
        <v>6012</v>
      </c>
      <c r="L1712" s="14">
        <v>0.0</v>
      </c>
    </row>
    <row r="1713">
      <c r="A1713" s="14">
        <v>220.0</v>
      </c>
      <c r="B1713" s="14">
        <v>2.0</v>
      </c>
      <c r="C1713" s="34">
        <v>6.97</v>
      </c>
      <c r="D1713" s="36">
        <v>44836.0</v>
      </c>
      <c r="E1713" s="24"/>
      <c r="F1713" s="14">
        <v>3.48</v>
      </c>
      <c r="G1713" s="14">
        <v>31.68</v>
      </c>
      <c r="H1713" s="14">
        <v>0.91</v>
      </c>
      <c r="I1713" s="14" t="s">
        <v>6037</v>
      </c>
      <c r="J1713" s="14">
        <v>0.0</v>
      </c>
      <c r="K1713" s="14" t="s">
        <v>6012</v>
      </c>
      <c r="L1713" s="14">
        <v>0.0</v>
      </c>
    </row>
    <row r="1714">
      <c r="A1714" s="14">
        <v>260.0</v>
      </c>
      <c r="B1714" s="14">
        <v>0.0</v>
      </c>
      <c r="C1714" s="34">
        <v>5.9</v>
      </c>
      <c r="D1714" s="36">
        <v>44836.0</v>
      </c>
      <c r="E1714" s="24"/>
      <c r="F1714" s="14" t="s">
        <v>6012</v>
      </c>
      <c r="G1714" s="14">
        <v>22.69</v>
      </c>
      <c r="H1714" s="14">
        <v>0.0</v>
      </c>
      <c r="I1714" s="14" t="s">
        <v>6036</v>
      </c>
      <c r="J1714" s="14" t="s">
        <v>6012</v>
      </c>
      <c r="K1714" s="14" t="s">
        <v>6012</v>
      </c>
      <c r="L1714" s="14">
        <v>0.0</v>
      </c>
    </row>
    <row r="1715">
      <c r="A1715" s="14">
        <v>300.0</v>
      </c>
      <c r="B1715" s="14">
        <v>4.0</v>
      </c>
      <c r="C1715" s="34">
        <v>11.08</v>
      </c>
      <c r="D1715" s="36">
        <v>44837.0</v>
      </c>
      <c r="E1715" s="24"/>
      <c r="F1715" s="14">
        <v>2.77</v>
      </c>
      <c r="G1715" s="14">
        <v>36.93</v>
      </c>
      <c r="H1715" s="14">
        <v>1.33</v>
      </c>
      <c r="I1715" s="14" t="s">
        <v>6042</v>
      </c>
      <c r="J1715" s="14">
        <v>0.0</v>
      </c>
      <c r="K1715" s="14" t="s">
        <v>6012</v>
      </c>
      <c r="L1715" s="14">
        <v>0.0</v>
      </c>
    </row>
    <row r="1716">
      <c r="A1716" s="14">
        <v>606.0</v>
      </c>
      <c r="B1716" s="14">
        <v>3.0</v>
      </c>
      <c r="C1716" s="34">
        <v>12.38</v>
      </c>
      <c r="D1716" s="36">
        <v>44837.0</v>
      </c>
      <c r="E1716" s="24"/>
      <c r="F1716" s="14">
        <v>4.13</v>
      </c>
      <c r="G1716" s="14">
        <v>20.43</v>
      </c>
      <c r="H1716" s="14">
        <v>0.5</v>
      </c>
      <c r="I1716" s="14" t="s">
        <v>6037</v>
      </c>
      <c r="J1716" s="14">
        <v>66.67</v>
      </c>
      <c r="K1716" s="14">
        <v>6.19</v>
      </c>
      <c r="L1716" s="14">
        <v>0.0</v>
      </c>
    </row>
    <row r="1717">
      <c r="A1717" s="14">
        <v>343.0</v>
      </c>
      <c r="B1717" s="14">
        <v>1.0</v>
      </c>
      <c r="C1717" s="34">
        <v>10.93</v>
      </c>
      <c r="D1717" s="36">
        <v>44837.0</v>
      </c>
      <c r="E1717" s="24"/>
      <c r="F1717" s="14">
        <v>10.93</v>
      </c>
      <c r="G1717" s="14">
        <v>31.87</v>
      </c>
      <c r="H1717" s="14">
        <v>0.29</v>
      </c>
      <c r="I1717" s="14" t="s">
        <v>6036</v>
      </c>
      <c r="J1717" s="14">
        <v>0.0</v>
      </c>
      <c r="K1717" s="14" t="s">
        <v>6012</v>
      </c>
      <c r="L1717" s="14">
        <v>0.0</v>
      </c>
    </row>
    <row r="1718">
      <c r="A1718" s="14">
        <v>256.0</v>
      </c>
      <c r="B1718" s="14">
        <v>2.0</v>
      </c>
      <c r="C1718" s="34">
        <v>7.7</v>
      </c>
      <c r="D1718" s="36">
        <v>44837.0</v>
      </c>
      <c r="E1718" s="24"/>
      <c r="F1718" s="14">
        <v>3.85</v>
      </c>
      <c r="G1718" s="14">
        <v>30.08</v>
      </c>
      <c r="H1718" s="14">
        <v>0.78</v>
      </c>
      <c r="I1718" s="14" t="s">
        <v>6039</v>
      </c>
      <c r="J1718" s="14">
        <v>0.0</v>
      </c>
      <c r="K1718" s="14" t="s">
        <v>6012</v>
      </c>
      <c r="L1718" s="14">
        <v>0.0</v>
      </c>
    </row>
    <row r="1719">
      <c r="A1719" s="14">
        <v>380.0</v>
      </c>
      <c r="B1719" s="14">
        <v>5.0</v>
      </c>
      <c r="C1719" s="34">
        <v>13.01</v>
      </c>
      <c r="D1719" s="36">
        <v>44838.0</v>
      </c>
      <c r="E1719" s="24"/>
      <c r="F1719" s="14">
        <v>2.6</v>
      </c>
      <c r="G1719" s="14">
        <v>34.24</v>
      </c>
      <c r="H1719" s="14">
        <v>1.32</v>
      </c>
      <c r="I1719" s="14" t="s">
        <v>6036</v>
      </c>
      <c r="J1719" s="14">
        <v>40.0</v>
      </c>
      <c r="K1719" s="14">
        <v>6.5</v>
      </c>
      <c r="L1719" s="14">
        <v>0.0</v>
      </c>
    </row>
    <row r="1720">
      <c r="A1720" s="14">
        <v>339.0</v>
      </c>
      <c r="B1720" s="14">
        <v>2.0</v>
      </c>
      <c r="C1720" s="34">
        <v>12.81</v>
      </c>
      <c r="D1720" s="36">
        <v>44838.0</v>
      </c>
      <c r="E1720" s="24"/>
      <c r="F1720" s="14">
        <v>6.4</v>
      </c>
      <c r="G1720" s="14">
        <v>37.79</v>
      </c>
      <c r="H1720" s="14">
        <v>0.59</v>
      </c>
      <c r="I1720" s="14" t="s">
        <v>6042</v>
      </c>
      <c r="J1720" s="14">
        <v>0.0</v>
      </c>
      <c r="K1720" s="14" t="s">
        <v>6012</v>
      </c>
      <c r="L1720" s="14">
        <v>0.0</v>
      </c>
    </row>
    <row r="1721">
      <c r="A1721" s="14">
        <v>281.0</v>
      </c>
      <c r="B1721" s="14">
        <v>2.0</v>
      </c>
      <c r="C1721" s="34">
        <v>14.47</v>
      </c>
      <c r="D1721" s="36">
        <v>44838.0</v>
      </c>
      <c r="E1721" s="24"/>
      <c r="F1721" s="14">
        <v>7.24</v>
      </c>
      <c r="G1721" s="14">
        <v>51.49</v>
      </c>
      <c r="H1721" s="14">
        <v>0.71</v>
      </c>
      <c r="I1721" s="14" t="s">
        <v>6039</v>
      </c>
      <c r="J1721" s="14">
        <v>300.0</v>
      </c>
      <c r="K1721" s="14">
        <v>2.41</v>
      </c>
      <c r="L1721" s="14">
        <v>0.0</v>
      </c>
    </row>
    <row r="1722">
      <c r="A1722" s="14">
        <v>955.0</v>
      </c>
      <c r="B1722" s="14">
        <v>7.0</v>
      </c>
      <c r="C1722" s="34">
        <v>13.74</v>
      </c>
      <c r="D1722" s="36">
        <v>44838.0</v>
      </c>
      <c r="E1722" s="24"/>
      <c r="F1722" s="14">
        <v>1.96</v>
      </c>
      <c r="G1722" s="14">
        <v>14.39</v>
      </c>
      <c r="H1722" s="14">
        <v>0.73</v>
      </c>
      <c r="I1722" s="14" t="s">
        <v>6037</v>
      </c>
      <c r="J1722" s="14">
        <v>14.29</v>
      </c>
      <c r="K1722" s="14">
        <v>13.74</v>
      </c>
      <c r="L1722" s="14">
        <v>0.0</v>
      </c>
    </row>
    <row r="1723">
      <c r="A1723" s="14">
        <v>458.0</v>
      </c>
      <c r="B1723" s="14">
        <v>3.0</v>
      </c>
      <c r="C1723" s="34">
        <v>14.21</v>
      </c>
      <c r="D1723" s="36">
        <v>44839.0</v>
      </c>
      <c r="E1723" s="24"/>
      <c r="F1723" s="14">
        <v>4.74</v>
      </c>
      <c r="G1723" s="14">
        <v>31.03</v>
      </c>
      <c r="H1723" s="14">
        <v>0.66</v>
      </c>
      <c r="I1723" s="14" t="s">
        <v>6039</v>
      </c>
      <c r="J1723" s="14">
        <v>66.67</v>
      </c>
      <c r="K1723" s="14">
        <v>7.1</v>
      </c>
      <c r="L1723" s="14">
        <v>0.0</v>
      </c>
    </row>
    <row r="1724">
      <c r="A1724" s="14">
        <v>286.0</v>
      </c>
      <c r="B1724" s="14">
        <v>1.0</v>
      </c>
      <c r="C1724" s="34">
        <v>13.09</v>
      </c>
      <c r="D1724" s="36">
        <v>44839.0</v>
      </c>
      <c r="E1724" s="24"/>
      <c r="F1724" s="14">
        <v>13.09</v>
      </c>
      <c r="G1724" s="14">
        <v>45.77</v>
      </c>
      <c r="H1724" s="14">
        <v>0.35</v>
      </c>
      <c r="I1724" s="14" t="s">
        <v>6042</v>
      </c>
      <c r="J1724" s="14">
        <v>0.0</v>
      </c>
      <c r="K1724" s="14" t="s">
        <v>6012</v>
      </c>
      <c r="L1724" s="14">
        <v>0.0</v>
      </c>
    </row>
    <row r="1725">
      <c r="A1725" s="14">
        <v>1176.0</v>
      </c>
      <c r="B1725" s="14">
        <v>5.0</v>
      </c>
      <c r="C1725" s="34">
        <v>13.84</v>
      </c>
      <c r="D1725" s="36">
        <v>44839.0</v>
      </c>
      <c r="E1725" s="24"/>
      <c r="F1725" s="14">
        <v>2.77</v>
      </c>
      <c r="G1725" s="14">
        <v>11.77</v>
      </c>
      <c r="H1725" s="14">
        <v>0.43</v>
      </c>
      <c r="I1725" s="14" t="s">
        <v>6037</v>
      </c>
      <c r="J1725" s="14">
        <v>20.0</v>
      </c>
      <c r="K1725" s="14">
        <v>13.84</v>
      </c>
      <c r="L1725" s="14">
        <v>0.0</v>
      </c>
    </row>
    <row r="1726">
      <c r="A1726" s="14">
        <v>482.0</v>
      </c>
      <c r="B1726" s="14">
        <v>2.0</v>
      </c>
      <c r="C1726" s="34">
        <v>13.55</v>
      </c>
      <c r="D1726" s="36">
        <v>44839.0</v>
      </c>
      <c r="E1726" s="24"/>
      <c r="F1726" s="14">
        <v>6.78</v>
      </c>
      <c r="G1726" s="14">
        <v>28.11</v>
      </c>
      <c r="H1726" s="14">
        <v>0.41</v>
      </c>
      <c r="I1726" s="14" t="s">
        <v>6036</v>
      </c>
      <c r="J1726" s="14">
        <v>100.0</v>
      </c>
      <c r="K1726" s="14">
        <v>6.78</v>
      </c>
      <c r="L1726" s="14">
        <v>0.0</v>
      </c>
    </row>
    <row r="1727">
      <c r="A1727" s="14">
        <v>320.0</v>
      </c>
      <c r="B1727" s="14">
        <v>9.0</v>
      </c>
      <c r="C1727" s="34">
        <v>13.14</v>
      </c>
      <c r="D1727" s="36">
        <v>44840.0</v>
      </c>
      <c r="E1727" s="24"/>
      <c r="F1727" s="14">
        <v>1.46</v>
      </c>
      <c r="G1727" s="14">
        <v>41.06</v>
      </c>
      <c r="H1727" s="14">
        <v>2.81</v>
      </c>
      <c r="I1727" s="14" t="s">
        <v>6042</v>
      </c>
      <c r="J1727" s="14">
        <v>11.11</v>
      </c>
      <c r="K1727" s="14">
        <v>13.14</v>
      </c>
      <c r="L1727" s="14">
        <v>0.0</v>
      </c>
    </row>
    <row r="1728">
      <c r="A1728" s="14">
        <v>390.0</v>
      </c>
      <c r="B1728" s="14">
        <v>4.0</v>
      </c>
      <c r="C1728" s="34">
        <v>13.5</v>
      </c>
      <c r="D1728" s="36">
        <v>44840.0</v>
      </c>
      <c r="E1728" s="24"/>
      <c r="F1728" s="14">
        <v>3.38</v>
      </c>
      <c r="G1728" s="14">
        <v>34.62</v>
      </c>
      <c r="H1728" s="14">
        <v>1.03</v>
      </c>
      <c r="I1728" s="14" t="s">
        <v>6036</v>
      </c>
      <c r="J1728" s="14">
        <v>25.0</v>
      </c>
      <c r="K1728" s="14">
        <v>13.5</v>
      </c>
      <c r="L1728" s="14">
        <v>0.0</v>
      </c>
    </row>
    <row r="1729">
      <c r="A1729" s="14">
        <v>341.0</v>
      </c>
      <c r="B1729" s="14">
        <v>1.0</v>
      </c>
      <c r="C1729" s="34">
        <v>3.91</v>
      </c>
      <c r="D1729" s="36">
        <v>44840.0</v>
      </c>
      <c r="E1729" s="24"/>
      <c r="F1729" s="14">
        <v>3.91</v>
      </c>
      <c r="G1729" s="14">
        <v>11.47</v>
      </c>
      <c r="H1729" s="14">
        <v>0.29</v>
      </c>
      <c r="I1729" s="14" t="s">
        <v>6037</v>
      </c>
      <c r="J1729" s="14">
        <v>0.0</v>
      </c>
      <c r="K1729" s="14" t="s">
        <v>6012</v>
      </c>
      <c r="L1729" s="14">
        <v>0.0</v>
      </c>
    </row>
    <row r="1730">
      <c r="A1730" s="14">
        <v>97.0</v>
      </c>
      <c r="B1730" s="14">
        <v>3.0</v>
      </c>
      <c r="C1730" s="34">
        <v>1.25</v>
      </c>
      <c r="D1730" s="36">
        <v>44840.0</v>
      </c>
      <c r="E1730" s="24"/>
      <c r="F1730" s="14">
        <v>0.42</v>
      </c>
      <c r="G1730" s="14">
        <v>12.89</v>
      </c>
      <c r="H1730" s="14">
        <v>3.09</v>
      </c>
      <c r="I1730" s="14" t="s">
        <v>6039</v>
      </c>
      <c r="J1730" s="14">
        <v>66.67</v>
      </c>
      <c r="K1730" s="14">
        <v>0.62</v>
      </c>
      <c r="L1730" s="14">
        <v>0.0</v>
      </c>
    </row>
    <row r="1731">
      <c r="A1731" s="14">
        <v>630.0</v>
      </c>
      <c r="B1731" s="14">
        <v>5.0</v>
      </c>
      <c r="C1731" s="34">
        <v>15.95</v>
      </c>
      <c r="D1731" s="36">
        <v>44841.0</v>
      </c>
      <c r="E1731" s="24"/>
      <c r="F1731" s="14">
        <v>3.19</v>
      </c>
      <c r="G1731" s="14">
        <v>25.32</v>
      </c>
      <c r="H1731" s="14">
        <v>0.79</v>
      </c>
      <c r="I1731" s="14" t="s">
        <v>6037</v>
      </c>
      <c r="J1731" s="14">
        <v>20.0</v>
      </c>
      <c r="K1731" s="14">
        <v>15.95</v>
      </c>
      <c r="L1731" s="14">
        <v>0.0</v>
      </c>
    </row>
    <row r="1732">
      <c r="A1732" s="14">
        <v>420.0</v>
      </c>
      <c r="B1732" s="14">
        <v>3.0</v>
      </c>
      <c r="C1732" s="34">
        <v>13.17</v>
      </c>
      <c r="D1732" s="36">
        <v>44841.0</v>
      </c>
      <c r="E1732" s="24"/>
      <c r="F1732" s="14">
        <v>4.39</v>
      </c>
      <c r="G1732" s="14">
        <v>31.36</v>
      </c>
      <c r="H1732" s="14">
        <v>0.71</v>
      </c>
      <c r="I1732" s="14" t="s">
        <v>6036</v>
      </c>
      <c r="J1732" s="14">
        <v>0.0</v>
      </c>
      <c r="K1732" s="14" t="s">
        <v>6012</v>
      </c>
      <c r="L1732" s="14">
        <v>0.0</v>
      </c>
    </row>
    <row r="1733">
      <c r="A1733" s="14">
        <v>395.0</v>
      </c>
      <c r="B1733" s="14">
        <v>1.0</v>
      </c>
      <c r="C1733" s="34">
        <v>16.5</v>
      </c>
      <c r="D1733" s="36">
        <v>44841.0</v>
      </c>
      <c r="E1733" s="24"/>
      <c r="F1733" s="14">
        <v>16.5</v>
      </c>
      <c r="G1733" s="14">
        <v>41.77</v>
      </c>
      <c r="H1733" s="14">
        <v>0.25</v>
      </c>
      <c r="I1733" s="14" t="s">
        <v>6039</v>
      </c>
      <c r="J1733" s="14">
        <v>100.0</v>
      </c>
      <c r="K1733" s="14">
        <v>16.5</v>
      </c>
      <c r="L1733" s="14">
        <v>0.0</v>
      </c>
    </row>
    <row r="1734">
      <c r="A1734" s="14">
        <v>267.0</v>
      </c>
      <c r="B1734" s="14">
        <v>2.0</v>
      </c>
      <c r="C1734" s="34">
        <v>12.85</v>
      </c>
      <c r="D1734" s="36">
        <v>44841.0</v>
      </c>
      <c r="E1734" s="24"/>
      <c r="F1734" s="14">
        <v>6.42</v>
      </c>
      <c r="G1734" s="14">
        <v>48.13</v>
      </c>
      <c r="H1734" s="14">
        <v>0.75</v>
      </c>
      <c r="I1734" s="14" t="s">
        <v>6042</v>
      </c>
      <c r="J1734" s="14">
        <v>0.0</v>
      </c>
      <c r="K1734" s="14" t="s">
        <v>6012</v>
      </c>
      <c r="L1734" s="14">
        <v>0.0</v>
      </c>
    </row>
    <row r="1735">
      <c r="A1735" s="14">
        <v>551.0</v>
      </c>
      <c r="B1735" s="14">
        <v>6.0</v>
      </c>
      <c r="C1735" s="34">
        <v>11.36</v>
      </c>
      <c r="D1735" s="36">
        <v>44842.0</v>
      </c>
      <c r="E1735" s="24"/>
      <c r="F1735" s="14">
        <v>1.89</v>
      </c>
      <c r="G1735" s="14">
        <v>20.62</v>
      </c>
      <c r="H1735" s="14">
        <v>1.09</v>
      </c>
      <c r="I1735" s="14" t="s">
        <v>6039</v>
      </c>
      <c r="J1735" s="14">
        <v>50.0</v>
      </c>
      <c r="K1735" s="14">
        <v>3.79</v>
      </c>
      <c r="L1735" s="14">
        <v>0.0</v>
      </c>
    </row>
    <row r="1736">
      <c r="A1736" s="14">
        <v>178.0</v>
      </c>
      <c r="B1736" s="14">
        <v>2.0</v>
      </c>
      <c r="C1736" s="34">
        <v>6.81</v>
      </c>
      <c r="D1736" s="36">
        <v>44842.0</v>
      </c>
      <c r="E1736" s="24"/>
      <c r="F1736" s="14">
        <v>3.4</v>
      </c>
      <c r="G1736" s="14">
        <v>38.26</v>
      </c>
      <c r="H1736" s="14">
        <v>1.12</v>
      </c>
      <c r="I1736" s="14" t="s">
        <v>6042</v>
      </c>
      <c r="J1736" s="14">
        <v>0.0</v>
      </c>
      <c r="K1736" s="14" t="s">
        <v>6012</v>
      </c>
      <c r="L1736" s="14">
        <v>0.0</v>
      </c>
    </row>
    <row r="1737">
      <c r="A1737" s="14">
        <v>232.0</v>
      </c>
      <c r="B1737" s="14">
        <v>1.0</v>
      </c>
      <c r="C1737" s="34">
        <v>5.97</v>
      </c>
      <c r="D1737" s="36">
        <v>44842.0</v>
      </c>
      <c r="E1737" s="24"/>
      <c r="F1737" s="14">
        <v>5.97</v>
      </c>
      <c r="G1737" s="14">
        <v>25.73</v>
      </c>
      <c r="H1737" s="14">
        <v>0.43</v>
      </c>
      <c r="I1737" s="14" t="s">
        <v>6036</v>
      </c>
      <c r="J1737" s="14">
        <v>100.0</v>
      </c>
      <c r="K1737" s="14">
        <v>5.97</v>
      </c>
      <c r="L1737" s="14">
        <v>0.0</v>
      </c>
    </row>
    <row r="1738">
      <c r="A1738" s="14">
        <v>380.0</v>
      </c>
      <c r="B1738" s="14">
        <v>5.0</v>
      </c>
      <c r="C1738" s="34">
        <v>8.38</v>
      </c>
      <c r="D1738" s="36">
        <v>44842.0</v>
      </c>
      <c r="E1738" s="24"/>
      <c r="F1738" s="14">
        <v>1.68</v>
      </c>
      <c r="G1738" s="14">
        <v>22.05</v>
      </c>
      <c r="H1738" s="14">
        <v>1.32</v>
      </c>
      <c r="I1738" s="14" t="s">
        <v>6037</v>
      </c>
      <c r="J1738" s="14">
        <v>0.0</v>
      </c>
      <c r="K1738" s="14" t="s">
        <v>6012</v>
      </c>
      <c r="L1738" s="14">
        <v>0.0</v>
      </c>
    </row>
    <row r="1739">
      <c r="A1739" s="14">
        <v>219.0</v>
      </c>
      <c r="B1739" s="14">
        <v>1.0</v>
      </c>
      <c r="C1739" s="34">
        <v>6.34</v>
      </c>
      <c r="D1739" s="36">
        <v>44843.0</v>
      </c>
      <c r="E1739" s="24"/>
      <c r="F1739" s="14">
        <v>6.34</v>
      </c>
      <c r="G1739" s="14">
        <v>28.95</v>
      </c>
      <c r="H1739" s="14">
        <v>0.46</v>
      </c>
      <c r="I1739" s="14" t="s">
        <v>6036</v>
      </c>
      <c r="J1739" s="14">
        <v>0.0</v>
      </c>
      <c r="K1739" s="14" t="s">
        <v>6012</v>
      </c>
      <c r="L1739" s="14">
        <v>0.0</v>
      </c>
    </row>
    <row r="1740">
      <c r="A1740" s="14">
        <v>212.0</v>
      </c>
      <c r="B1740" s="14">
        <v>4.0</v>
      </c>
      <c r="C1740" s="34">
        <v>7.01</v>
      </c>
      <c r="D1740" s="36">
        <v>44843.0</v>
      </c>
      <c r="E1740" s="24"/>
      <c r="F1740" s="14">
        <v>1.75</v>
      </c>
      <c r="G1740" s="14">
        <v>33.07</v>
      </c>
      <c r="H1740" s="14">
        <v>1.89</v>
      </c>
      <c r="I1740" s="14" t="s">
        <v>6042</v>
      </c>
      <c r="J1740" s="14">
        <v>25.0</v>
      </c>
      <c r="K1740" s="14">
        <v>7.01</v>
      </c>
      <c r="L1740" s="14">
        <v>0.0</v>
      </c>
    </row>
    <row r="1741">
      <c r="A1741" s="14">
        <v>500.0</v>
      </c>
      <c r="B1741" s="14">
        <v>3.0</v>
      </c>
      <c r="C1741" s="34">
        <v>11.51</v>
      </c>
      <c r="D1741" s="36">
        <v>44843.0</v>
      </c>
      <c r="E1741" s="24"/>
      <c r="F1741" s="14">
        <v>3.84</v>
      </c>
      <c r="G1741" s="14">
        <v>23.02</v>
      </c>
      <c r="H1741" s="14">
        <v>0.6</v>
      </c>
      <c r="I1741" s="14" t="s">
        <v>6039</v>
      </c>
      <c r="J1741" s="14">
        <v>0.0</v>
      </c>
      <c r="K1741" s="14" t="s">
        <v>6012</v>
      </c>
      <c r="L1741" s="14">
        <v>0.0</v>
      </c>
    </row>
    <row r="1742">
      <c r="A1742" s="14">
        <v>586.0</v>
      </c>
      <c r="B1742" s="14">
        <v>1.0</v>
      </c>
      <c r="C1742" s="34">
        <v>8.8</v>
      </c>
      <c r="D1742" s="36">
        <v>44843.0</v>
      </c>
      <c r="E1742" s="24"/>
      <c r="F1742" s="14">
        <v>8.8</v>
      </c>
      <c r="G1742" s="14">
        <v>15.02</v>
      </c>
      <c r="H1742" s="14">
        <v>0.17</v>
      </c>
      <c r="I1742" s="14" t="s">
        <v>6037</v>
      </c>
      <c r="J1742" s="14">
        <v>0.0</v>
      </c>
      <c r="K1742" s="14" t="s">
        <v>6012</v>
      </c>
      <c r="L1742" s="14">
        <v>0.0</v>
      </c>
    </row>
    <row r="1743">
      <c r="A1743" s="14">
        <v>1083.0</v>
      </c>
      <c r="B1743" s="14">
        <v>4.0</v>
      </c>
      <c r="C1743" s="34">
        <v>12.79</v>
      </c>
      <c r="D1743" s="36">
        <v>44844.0</v>
      </c>
      <c r="E1743" s="24"/>
      <c r="F1743" s="14">
        <v>3.2</v>
      </c>
      <c r="G1743" s="14">
        <v>11.81</v>
      </c>
      <c r="H1743" s="14">
        <v>0.37</v>
      </c>
      <c r="I1743" s="14" t="s">
        <v>6037</v>
      </c>
      <c r="J1743" s="14">
        <v>0.0</v>
      </c>
      <c r="K1743" s="14" t="s">
        <v>6012</v>
      </c>
      <c r="L1743" s="14">
        <v>0.0</v>
      </c>
    </row>
    <row r="1744">
      <c r="A1744" s="14">
        <v>678.0</v>
      </c>
      <c r="B1744" s="14">
        <v>4.0</v>
      </c>
      <c r="C1744" s="34">
        <v>12.66</v>
      </c>
      <c r="D1744" s="36">
        <v>44844.0</v>
      </c>
      <c r="E1744" s="24"/>
      <c r="F1744" s="14">
        <v>3.16</v>
      </c>
      <c r="G1744" s="14">
        <v>18.67</v>
      </c>
      <c r="H1744" s="14">
        <v>0.59</v>
      </c>
      <c r="I1744" s="14" t="s">
        <v>6039</v>
      </c>
      <c r="J1744" s="14">
        <v>75.0</v>
      </c>
      <c r="K1744" s="14">
        <v>4.22</v>
      </c>
      <c r="L1744" s="14">
        <v>0.0</v>
      </c>
    </row>
    <row r="1745">
      <c r="A1745" s="14">
        <v>261.0</v>
      </c>
      <c r="B1745" s="14">
        <v>0.0</v>
      </c>
      <c r="C1745" s="34">
        <v>11.85</v>
      </c>
      <c r="D1745" s="36">
        <v>44844.0</v>
      </c>
      <c r="E1745" s="24"/>
      <c r="F1745" s="14" t="s">
        <v>6012</v>
      </c>
      <c r="G1745" s="14">
        <v>45.4</v>
      </c>
      <c r="H1745" s="14">
        <v>0.0</v>
      </c>
      <c r="I1745" s="14" t="s">
        <v>6042</v>
      </c>
      <c r="J1745" s="14" t="s">
        <v>6012</v>
      </c>
      <c r="K1745" s="14" t="s">
        <v>6012</v>
      </c>
      <c r="L1745" s="14">
        <v>0.0</v>
      </c>
    </row>
    <row r="1746">
      <c r="A1746" s="14">
        <v>315.0</v>
      </c>
      <c r="B1746" s="14">
        <v>6.0</v>
      </c>
      <c r="C1746" s="34">
        <v>11.84</v>
      </c>
      <c r="D1746" s="36">
        <v>44844.0</v>
      </c>
      <c r="E1746" s="24"/>
      <c r="F1746" s="14">
        <v>1.97</v>
      </c>
      <c r="G1746" s="14">
        <v>37.59</v>
      </c>
      <c r="H1746" s="14">
        <v>1.9</v>
      </c>
      <c r="I1746" s="14" t="s">
        <v>6036</v>
      </c>
      <c r="J1746" s="14">
        <v>16.67</v>
      </c>
      <c r="K1746" s="14">
        <v>11.84</v>
      </c>
      <c r="L1746" s="14">
        <v>0.0</v>
      </c>
    </row>
    <row r="1747">
      <c r="A1747" s="14">
        <v>474.0</v>
      </c>
      <c r="B1747" s="14">
        <v>7.0</v>
      </c>
      <c r="C1747" s="34">
        <v>12.98</v>
      </c>
      <c r="D1747" s="36">
        <v>44845.0</v>
      </c>
      <c r="E1747" s="24"/>
      <c r="F1747" s="14">
        <v>1.85</v>
      </c>
      <c r="G1747" s="14">
        <v>27.38</v>
      </c>
      <c r="H1747" s="14">
        <v>1.48</v>
      </c>
      <c r="I1747" s="14" t="s">
        <v>6036</v>
      </c>
      <c r="J1747" s="14">
        <v>28.57</v>
      </c>
      <c r="K1747" s="14">
        <v>6.49</v>
      </c>
      <c r="L1747" s="14">
        <v>0.0</v>
      </c>
    </row>
    <row r="1748">
      <c r="A1748" s="14">
        <v>825.0</v>
      </c>
      <c r="B1748" s="14">
        <v>2.0</v>
      </c>
      <c r="C1748" s="34">
        <v>14.43</v>
      </c>
      <c r="D1748" s="36">
        <v>44845.0</v>
      </c>
      <c r="E1748" s="24"/>
      <c r="F1748" s="14">
        <v>7.22</v>
      </c>
      <c r="G1748" s="14">
        <v>17.49</v>
      </c>
      <c r="H1748" s="14">
        <v>0.24</v>
      </c>
      <c r="I1748" s="14" t="s">
        <v>6038</v>
      </c>
      <c r="J1748" s="14">
        <v>100.0</v>
      </c>
      <c r="K1748" s="14">
        <v>7.22</v>
      </c>
      <c r="L1748" s="14">
        <v>0.0</v>
      </c>
    </row>
    <row r="1749">
      <c r="A1749" s="14">
        <v>932.0</v>
      </c>
      <c r="B1749" s="14">
        <v>2.0</v>
      </c>
      <c r="C1749" s="34">
        <v>13.55</v>
      </c>
      <c r="D1749" s="36">
        <v>44845.0</v>
      </c>
      <c r="E1749" s="24"/>
      <c r="F1749" s="14">
        <v>6.78</v>
      </c>
      <c r="G1749" s="14">
        <v>14.54</v>
      </c>
      <c r="H1749" s="14">
        <v>0.21</v>
      </c>
      <c r="I1749" s="14" t="s">
        <v>6037</v>
      </c>
      <c r="J1749" s="14">
        <v>0.0</v>
      </c>
      <c r="K1749" s="14" t="s">
        <v>6012</v>
      </c>
      <c r="L1749" s="14">
        <v>0.0</v>
      </c>
    </row>
    <row r="1750">
      <c r="A1750" s="14">
        <v>321.0</v>
      </c>
      <c r="B1750" s="14">
        <v>1.0</v>
      </c>
      <c r="C1750" s="34">
        <v>12.76</v>
      </c>
      <c r="D1750" s="36">
        <v>44845.0</v>
      </c>
      <c r="E1750" s="24"/>
      <c r="F1750" s="14">
        <v>12.76</v>
      </c>
      <c r="G1750" s="14">
        <v>39.75</v>
      </c>
      <c r="H1750" s="14">
        <v>0.31</v>
      </c>
      <c r="I1750" s="14" t="s">
        <v>6042</v>
      </c>
      <c r="J1750" s="14">
        <v>100.0</v>
      </c>
      <c r="K1750" s="14">
        <v>12.76</v>
      </c>
      <c r="L1750" s="14">
        <v>0.0</v>
      </c>
    </row>
    <row r="1751">
      <c r="A1751" s="14">
        <v>662.0</v>
      </c>
      <c r="B1751" s="14">
        <v>3.0</v>
      </c>
      <c r="C1751" s="34">
        <v>13.25</v>
      </c>
      <c r="D1751" s="36">
        <v>44845.0</v>
      </c>
      <c r="E1751" s="24"/>
      <c r="F1751" s="14">
        <v>4.42</v>
      </c>
      <c r="G1751" s="14">
        <v>20.02</v>
      </c>
      <c r="H1751" s="14">
        <v>0.45</v>
      </c>
      <c r="I1751" s="14" t="s">
        <v>6039</v>
      </c>
      <c r="J1751" s="14">
        <v>33.33</v>
      </c>
      <c r="K1751" s="14">
        <v>13.25</v>
      </c>
      <c r="L1751" s="14">
        <v>0.0</v>
      </c>
    </row>
    <row r="1752">
      <c r="A1752" s="14">
        <v>1912.0</v>
      </c>
      <c r="B1752" s="14">
        <v>0.0</v>
      </c>
      <c r="C1752" s="34">
        <v>16.45</v>
      </c>
      <c r="D1752" s="36">
        <v>44845.0</v>
      </c>
      <c r="E1752" s="24"/>
      <c r="F1752" s="14" t="s">
        <v>6012</v>
      </c>
      <c r="G1752" s="14">
        <v>8.6</v>
      </c>
      <c r="H1752" s="14">
        <v>0.0</v>
      </c>
      <c r="I1752" s="14" t="s">
        <v>6035</v>
      </c>
      <c r="J1752" s="14" t="s">
        <v>6012</v>
      </c>
      <c r="K1752" s="14" t="s">
        <v>6012</v>
      </c>
      <c r="L1752" s="14">
        <v>0.0</v>
      </c>
    </row>
    <row r="1753">
      <c r="A1753" s="14">
        <v>640.0</v>
      </c>
      <c r="B1753" s="14">
        <v>6.0</v>
      </c>
      <c r="C1753" s="34">
        <v>12.88</v>
      </c>
      <c r="D1753" s="36">
        <v>44846.0</v>
      </c>
      <c r="E1753" s="24"/>
      <c r="F1753" s="14">
        <v>2.15</v>
      </c>
      <c r="G1753" s="14">
        <v>20.12</v>
      </c>
      <c r="H1753" s="14">
        <v>0.94</v>
      </c>
      <c r="I1753" s="14" t="s">
        <v>6039</v>
      </c>
      <c r="J1753" s="14">
        <v>33.33</v>
      </c>
      <c r="K1753" s="14">
        <v>6.44</v>
      </c>
      <c r="L1753" s="14">
        <v>0.0</v>
      </c>
    </row>
    <row r="1754">
      <c r="A1754" s="14">
        <v>295.0</v>
      </c>
      <c r="B1754" s="14">
        <v>3.0</v>
      </c>
      <c r="C1754" s="34">
        <v>12.35</v>
      </c>
      <c r="D1754" s="36">
        <v>44846.0</v>
      </c>
      <c r="E1754" s="24"/>
      <c r="F1754" s="14">
        <v>4.12</v>
      </c>
      <c r="G1754" s="14">
        <v>41.86</v>
      </c>
      <c r="H1754" s="14">
        <v>1.02</v>
      </c>
      <c r="I1754" s="14" t="s">
        <v>6042</v>
      </c>
      <c r="J1754" s="14">
        <v>33.33</v>
      </c>
      <c r="K1754" s="14">
        <v>12.35</v>
      </c>
      <c r="L1754" s="14">
        <v>0.0</v>
      </c>
    </row>
    <row r="1755">
      <c r="A1755" s="14">
        <v>1065.0</v>
      </c>
      <c r="B1755" s="14">
        <v>8.0</v>
      </c>
      <c r="C1755" s="34">
        <v>13.31</v>
      </c>
      <c r="D1755" s="36">
        <v>44846.0</v>
      </c>
      <c r="E1755" s="24"/>
      <c r="F1755" s="14">
        <v>1.66</v>
      </c>
      <c r="G1755" s="14">
        <v>12.5</v>
      </c>
      <c r="H1755" s="14">
        <v>0.75</v>
      </c>
      <c r="I1755" s="14" t="s">
        <v>6037</v>
      </c>
      <c r="J1755" s="14">
        <v>25.0</v>
      </c>
      <c r="K1755" s="14">
        <v>6.66</v>
      </c>
      <c r="L1755" s="14">
        <v>0.0</v>
      </c>
    </row>
    <row r="1756">
      <c r="A1756" s="14">
        <v>1020.0</v>
      </c>
      <c r="B1756" s="14">
        <v>3.0</v>
      </c>
      <c r="C1756" s="34">
        <v>15.55</v>
      </c>
      <c r="D1756" s="36">
        <v>44846.0</v>
      </c>
      <c r="E1756" s="24"/>
      <c r="F1756" s="14">
        <v>5.18</v>
      </c>
      <c r="G1756" s="14">
        <v>15.25</v>
      </c>
      <c r="H1756" s="14">
        <v>0.29</v>
      </c>
      <c r="I1756" s="14" t="s">
        <v>6035</v>
      </c>
      <c r="J1756" s="14">
        <v>33.33</v>
      </c>
      <c r="K1756" s="14">
        <v>15.55</v>
      </c>
      <c r="L1756" s="14">
        <v>0.0</v>
      </c>
    </row>
    <row r="1757">
      <c r="A1757" s="14">
        <v>516.0</v>
      </c>
      <c r="B1757" s="14">
        <v>0.0</v>
      </c>
      <c r="C1757" s="34">
        <v>13.3</v>
      </c>
      <c r="D1757" s="36">
        <v>44846.0</v>
      </c>
      <c r="E1757" s="24"/>
      <c r="F1757" s="14" t="s">
        <v>6012</v>
      </c>
      <c r="G1757" s="14">
        <v>25.78</v>
      </c>
      <c r="H1757" s="14">
        <v>0.0</v>
      </c>
      <c r="I1757" s="14" t="s">
        <v>6038</v>
      </c>
      <c r="J1757" s="14" t="s">
        <v>6012</v>
      </c>
      <c r="K1757" s="14" t="s">
        <v>6012</v>
      </c>
      <c r="L1757" s="14">
        <v>0.0</v>
      </c>
    </row>
    <row r="1758">
      <c r="A1758" s="14">
        <v>414.0</v>
      </c>
      <c r="B1758" s="14">
        <v>3.0</v>
      </c>
      <c r="C1758" s="34">
        <v>12.77</v>
      </c>
      <c r="D1758" s="36">
        <v>44846.0</v>
      </c>
      <c r="E1758" s="24"/>
      <c r="F1758" s="14">
        <v>4.26</v>
      </c>
      <c r="G1758" s="14">
        <v>30.85</v>
      </c>
      <c r="H1758" s="14">
        <v>0.72</v>
      </c>
      <c r="I1758" s="14" t="s">
        <v>6036</v>
      </c>
      <c r="J1758" s="14">
        <v>100.0</v>
      </c>
      <c r="K1758" s="14">
        <v>4.26</v>
      </c>
      <c r="L1758" s="14">
        <v>0.0</v>
      </c>
    </row>
    <row r="1759">
      <c r="A1759" s="14">
        <v>72.0</v>
      </c>
      <c r="B1759" s="14">
        <v>0.0</v>
      </c>
      <c r="C1759" s="34">
        <v>5.48</v>
      </c>
      <c r="D1759" s="36">
        <v>44847.0</v>
      </c>
      <c r="E1759" s="24"/>
      <c r="F1759" s="14" t="s">
        <v>6012</v>
      </c>
      <c r="G1759" s="14">
        <v>76.11</v>
      </c>
      <c r="H1759" s="14">
        <v>0.0</v>
      </c>
      <c r="I1759" s="14" t="s">
        <v>6038</v>
      </c>
      <c r="J1759" s="14" t="s">
        <v>6012</v>
      </c>
      <c r="K1759" s="14" t="s">
        <v>6012</v>
      </c>
      <c r="L1759" s="14">
        <v>0.0</v>
      </c>
    </row>
    <row r="1760">
      <c r="A1760" s="14">
        <v>82.0</v>
      </c>
      <c r="B1760" s="14">
        <v>0.0</v>
      </c>
      <c r="C1760" s="34">
        <v>0.9</v>
      </c>
      <c r="D1760" s="36">
        <v>44847.0</v>
      </c>
      <c r="E1760" s="24"/>
      <c r="F1760" s="14" t="s">
        <v>6012</v>
      </c>
      <c r="G1760" s="14">
        <v>10.98</v>
      </c>
      <c r="H1760" s="14">
        <v>0.0</v>
      </c>
      <c r="I1760" s="14" t="s">
        <v>6035</v>
      </c>
      <c r="J1760" s="14" t="s">
        <v>6012</v>
      </c>
      <c r="K1760" s="14" t="s">
        <v>6012</v>
      </c>
      <c r="L1760" s="14">
        <v>0.0</v>
      </c>
    </row>
    <row r="1761">
      <c r="A1761" s="14">
        <v>282.0</v>
      </c>
      <c r="B1761" s="14">
        <v>1.0</v>
      </c>
      <c r="C1761" s="34">
        <v>6.15</v>
      </c>
      <c r="D1761" s="36">
        <v>44847.0</v>
      </c>
      <c r="E1761" s="24"/>
      <c r="F1761" s="14">
        <v>6.15</v>
      </c>
      <c r="G1761" s="14">
        <v>21.81</v>
      </c>
      <c r="H1761" s="14">
        <v>0.35</v>
      </c>
      <c r="I1761" s="14" t="s">
        <v>6039</v>
      </c>
      <c r="J1761" s="14">
        <v>0.0</v>
      </c>
      <c r="K1761" s="14" t="s">
        <v>6012</v>
      </c>
      <c r="L1761" s="14">
        <v>0.0</v>
      </c>
    </row>
    <row r="1762">
      <c r="A1762" s="14">
        <v>259.0</v>
      </c>
      <c r="B1762" s="14">
        <v>2.0</v>
      </c>
      <c r="C1762" s="34">
        <v>6.16</v>
      </c>
      <c r="D1762" s="36">
        <v>44847.0</v>
      </c>
      <c r="E1762" s="24"/>
      <c r="F1762" s="14">
        <v>3.08</v>
      </c>
      <c r="G1762" s="14">
        <v>23.78</v>
      </c>
      <c r="H1762" s="14">
        <v>0.77</v>
      </c>
      <c r="I1762" s="14" t="s">
        <v>6036</v>
      </c>
      <c r="J1762" s="14">
        <v>50.0</v>
      </c>
      <c r="K1762" s="14">
        <v>6.16</v>
      </c>
      <c r="L1762" s="14">
        <v>0.0</v>
      </c>
    </row>
    <row r="1763">
      <c r="A1763" s="14">
        <v>332.0</v>
      </c>
      <c r="B1763" s="14">
        <v>2.0</v>
      </c>
      <c r="C1763" s="34">
        <v>7.34</v>
      </c>
      <c r="D1763" s="36">
        <v>44847.0</v>
      </c>
      <c r="E1763" s="24"/>
      <c r="F1763" s="14">
        <v>3.67</v>
      </c>
      <c r="G1763" s="14">
        <v>22.11</v>
      </c>
      <c r="H1763" s="14">
        <v>0.6</v>
      </c>
      <c r="I1763" s="14" t="s">
        <v>6037</v>
      </c>
      <c r="J1763" s="14">
        <v>0.0</v>
      </c>
      <c r="K1763" s="14" t="s">
        <v>6012</v>
      </c>
      <c r="L1763" s="14">
        <v>0.0</v>
      </c>
    </row>
    <row r="1764">
      <c r="A1764" s="14">
        <v>134.0</v>
      </c>
      <c r="B1764" s="14">
        <v>0.0</v>
      </c>
      <c r="C1764" s="34">
        <v>3.57</v>
      </c>
      <c r="D1764" s="36">
        <v>44847.0</v>
      </c>
      <c r="E1764" s="24"/>
      <c r="F1764" s="14" t="s">
        <v>6012</v>
      </c>
      <c r="G1764" s="14">
        <v>26.64</v>
      </c>
      <c r="H1764" s="14">
        <v>0.0</v>
      </c>
      <c r="I1764" s="14" t="s">
        <v>6042</v>
      </c>
      <c r="J1764" s="14" t="s">
        <v>6012</v>
      </c>
      <c r="K1764" s="14" t="s">
        <v>6012</v>
      </c>
      <c r="L1764" s="14">
        <v>0.0</v>
      </c>
    </row>
    <row r="1765">
      <c r="A1765" s="14">
        <v>0.0</v>
      </c>
      <c r="B1765" s="14">
        <v>0.0</v>
      </c>
      <c r="C1765" s="24"/>
      <c r="D1765" s="36">
        <v>44852.0</v>
      </c>
      <c r="E1765" s="24"/>
      <c r="F1765" s="14" t="s">
        <v>6012</v>
      </c>
      <c r="G1765" s="14" t="s">
        <v>6012</v>
      </c>
      <c r="H1765" s="14" t="s">
        <v>6012</v>
      </c>
      <c r="I1765" s="14" t="s">
        <v>6039</v>
      </c>
      <c r="J1765" s="14" t="s">
        <v>6012</v>
      </c>
      <c r="K1765" s="14" t="s">
        <v>6012</v>
      </c>
      <c r="L1765" s="24"/>
    </row>
    <row r="1766">
      <c r="A1766" s="14">
        <v>647.0</v>
      </c>
      <c r="B1766" s="14">
        <v>6.0</v>
      </c>
      <c r="C1766" s="34">
        <v>16.5</v>
      </c>
      <c r="D1766" s="36">
        <v>44882.0</v>
      </c>
      <c r="E1766" s="24"/>
      <c r="F1766" s="14">
        <v>2.75</v>
      </c>
      <c r="G1766" s="14">
        <v>25.5</v>
      </c>
      <c r="H1766" s="14">
        <v>0.93</v>
      </c>
      <c r="I1766" s="14" t="s">
        <v>6042</v>
      </c>
      <c r="J1766" s="14">
        <v>0.0</v>
      </c>
      <c r="K1766" s="14" t="s">
        <v>6012</v>
      </c>
      <c r="L1766" s="14">
        <v>0.0</v>
      </c>
    </row>
    <row r="1767">
      <c r="A1767" s="14">
        <v>674.0</v>
      </c>
      <c r="B1767" s="14">
        <v>6.0</v>
      </c>
      <c r="C1767" s="34">
        <v>16.5</v>
      </c>
      <c r="D1767" s="36">
        <v>44883.0</v>
      </c>
      <c r="E1767" s="24"/>
      <c r="F1767" s="14">
        <v>2.75</v>
      </c>
      <c r="G1767" s="14">
        <v>24.48</v>
      </c>
      <c r="H1767" s="14">
        <v>0.89</v>
      </c>
      <c r="I1767" s="14" t="s">
        <v>6042</v>
      </c>
      <c r="J1767" s="14">
        <v>0.0</v>
      </c>
      <c r="K1767" s="14" t="s">
        <v>6012</v>
      </c>
      <c r="L1767" s="14">
        <v>0.0</v>
      </c>
    </row>
    <row r="1768">
      <c r="A1768" s="14">
        <v>628.0</v>
      </c>
      <c r="B1768" s="14">
        <v>3.0</v>
      </c>
      <c r="C1768" s="34">
        <v>16.5</v>
      </c>
      <c r="D1768" s="36">
        <v>44884.0</v>
      </c>
      <c r="E1768" s="24"/>
      <c r="F1768" s="14">
        <v>5.5</v>
      </c>
      <c r="G1768" s="14">
        <v>26.27</v>
      </c>
      <c r="H1768" s="14">
        <v>0.48</v>
      </c>
      <c r="I1768" s="14" t="s">
        <v>6042</v>
      </c>
      <c r="J1768" s="14">
        <v>0.0</v>
      </c>
      <c r="K1768" s="14" t="s">
        <v>6012</v>
      </c>
      <c r="L1768" s="14">
        <v>0.0</v>
      </c>
    </row>
    <row r="1769">
      <c r="A1769" s="14">
        <v>776.0</v>
      </c>
      <c r="B1769" s="14">
        <v>6.0</v>
      </c>
      <c r="C1769" s="34">
        <v>16.5</v>
      </c>
      <c r="D1769" s="36">
        <v>44885.0</v>
      </c>
      <c r="E1769" s="24"/>
      <c r="F1769" s="14">
        <v>2.75</v>
      </c>
      <c r="G1769" s="14">
        <v>21.26</v>
      </c>
      <c r="H1769" s="14">
        <v>0.77</v>
      </c>
      <c r="I1769" s="14" t="s">
        <v>6042</v>
      </c>
      <c r="J1769" s="14">
        <v>0.0</v>
      </c>
      <c r="K1769" s="14" t="s">
        <v>6012</v>
      </c>
      <c r="L1769" s="14">
        <v>0.0</v>
      </c>
    </row>
    <row r="1770">
      <c r="A1770" s="14">
        <v>559.0</v>
      </c>
      <c r="B1770" s="14">
        <v>0.0</v>
      </c>
      <c r="C1770" s="34">
        <v>12.72</v>
      </c>
      <c r="D1770" s="36">
        <v>44886.0</v>
      </c>
      <c r="E1770" s="24"/>
      <c r="F1770" s="14" t="s">
        <v>6012</v>
      </c>
      <c r="G1770" s="14">
        <v>22.75</v>
      </c>
      <c r="H1770" s="14">
        <v>0.0</v>
      </c>
      <c r="I1770" s="14" t="s">
        <v>6042</v>
      </c>
      <c r="J1770" s="14" t="s">
        <v>6012</v>
      </c>
      <c r="K1770" s="14">
        <v>12.72</v>
      </c>
      <c r="L1770" s="14">
        <v>0.0</v>
      </c>
    </row>
    <row r="1771">
      <c r="A1771" s="14">
        <v>989.0</v>
      </c>
      <c r="B1771" s="14">
        <v>2.0</v>
      </c>
      <c r="C1771" s="34">
        <v>22.44</v>
      </c>
      <c r="D1771" s="36">
        <v>44887.0</v>
      </c>
      <c r="E1771" s="24"/>
      <c r="F1771" s="14">
        <v>11.22</v>
      </c>
      <c r="G1771" s="14">
        <v>22.69</v>
      </c>
      <c r="H1771" s="14">
        <v>0.2</v>
      </c>
      <c r="I1771" s="14" t="s">
        <v>6035</v>
      </c>
      <c r="J1771" s="14">
        <v>0.0</v>
      </c>
      <c r="K1771" s="14" t="s">
        <v>6012</v>
      </c>
      <c r="L1771" s="14">
        <v>0.0</v>
      </c>
    </row>
    <row r="1772">
      <c r="A1772" s="14">
        <v>655.0</v>
      </c>
      <c r="B1772" s="14">
        <v>2.0</v>
      </c>
      <c r="C1772" s="34">
        <v>13.74</v>
      </c>
      <c r="D1772" s="36">
        <v>44887.0</v>
      </c>
      <c r="E1772" s="24"/>
      <c r="F1772" s="14">
        <v>6.87</v>
      </c>
      <c r="G1772" s="14">
        <v>20.98</v>
      </c>
      <c r="H1772" s="14">
        <v>0.31</v>
      </c>
      <c r="I1772" s="14" t="s">
        <v>6042</v>
      </c>
      <c r="J1772" s="14">
        <v>50.0</v>
      </c>
      <c r="K1772" s="14">
        <v>13.74</v>
      </c>
      <c r="L1772" s="14">
        <v>0.0</v>
      </c>
    </row>
    <row r="1773">
      <c r="A1773" s="14">
        <v>266.0</v>
      </c>
      <c r="B1773" s="14">
        <v>2.0</v>
      </c>
      <c r="C1773" s="34">
        <v>11.97</v>
      </c>
      <c r="D1773" s="36">
        <v>44887.0</v>
      </c>
      <c r="E1773" s="24"/>
      <c r="F1773" s="14">
        <v>5.98</v>
      </c>
      <c r="G1773" s="14">
        <v>45.0</v>
      </c>
      <c r="H1773" s="14">
        <v>0.75</v>
      </c>
      <c r="I1773" s="14" t="s">
        <v>6038</v>
      </c>
      <c r="J1773" s="14">
        <v>0.0</v>
      </c>
      <c r="K1773" s="14" t="s">
        <v>6012</v>
      </c>
      <c r="L1773" s="14">
        <v>0.0</v>
      </c>
    </row>
    <row r="1774">
      <c r="A1774" s="14">
        <v>664.0</v>
      </c>
      <c r="B1774" s="14">
        <v>5.0</v>
      </c>
      <c r="C1774" s="34">
        <v>16.5</v>
      </c>
      <c r="D1774" s="36">
        <v>44888.0</v>
      </c>
      <c r="E1774" s="24"/>
      <c r="F1774" s="14">
        <v>3.3</v>
      </c>
      <c r="G1774" s="14">
        <v>24.85</v>
      </c>
      <c r="H1774" s="14">
        <v>0.75</v>
      </c>
      <c r="I1774" s="14" t="s">
        <v>6039</v>
      </c>
      <c r="J1774" s="14">
        <v>20.0</v>
      </c>
      <c r="K1774" s="14">
        <v>16.5</v>
      </c>
      <c r="L1774" s="14">
        <v>0.0</v>
      </c>
    </row>
    <row r="1775">
      <c r="A1775" s="14">
        <v>172.0</v>
      </c>
      <c r="B1775" s="14">
        <v>1.0</v>
      </c>
      <c r="C1775" s="34">
        <v>11.71</v>
      </c>
      <c r="D1775" s="36">
        <v>44888.0</v>
      </c>
      <c r="E1775" s="24"/>
      <c r="F1775" s="14">
        <v>11.71</v>
      </c>
      <c r="G1775" s="14">
        <v>68.08</v>
      </c>
      <c r="H1775" s="14">
        <v>0.58</v>
      </c>
      <c r="I1775" s="14" t="s">
        <v>6038</v>
      </c>
      <c r="J1775" s="14">
        <v>0.0</v>
      </c>
      <c r="K1775" s="14" t="s">
        <v>6012</v>
      </c>
      <c r="L1775" s="14">
        <v>0.0</v>
      </c>
    </row>
    <row r="1776">
      <c r="A1776" s="14">
        <v>1168.0</v>
      </c>
      <c r="B1776" s="14">
        <v>9.0</v>
      </c>
      <c r="C1776" s="34">
        <v>15.42</v>
      </c>
      <c r="D1776" s="36">
        <v>44888.0</v>
      </c>
      <c r="E1776" s="24"/>
      <c r="F1776" s="14">
        <v>1.71</v>
      </c>
      <c r="G1776" s="14">
        <v>13.2</v>
      </c>
      <c r="H1776" s="14">
        <v>0.77</v>
      </c>
      <c r="I1776" s="14" t="s">
        <v>6037</v>
      </c>
      <c r="J1776" s="14">
        <v>0.0</v>
      </c>
      <c r="K1776" s="14" t="s">
        <v>6012</v>
      </c>
      <c r="L1776" s="14">
        <v>0.0</v>
      </c>
    </row>
    <row r="1777">
      <c r="A1777" s="14">
        <v>899.0</v>
      </c>
      <c r="B1777" s="14">
        <v>7.0</v>
      </c>
      <c r="C1777" s="34">
        <v>13.51</v>
      </c>
      <c r="D1777" s="36">
        <v>44888.0</v>
      </c>
      <c r="E1777" s="24"/>
      <c r="F1777" s="14">
        <v>1.93</v>
      </c>
      <c r="G1777" s="14">
        <v>15.03</v>
      </c>
      <c r="H1777" s="14">
        <v>0.78</v>
      </c>
      <c r="I1777" s="14" t="s">
        <v>6042</v>
      </c>
      <c r="J1777" s="14">
        <v>0.0</v>
      </c>
      <c r="K1777" s="14" t="s">
        <v>6012</v>
      </c>
      <c r="L1777" s="14">
        <v>0.0</v>
      </c>
    </row>
    <row r="1778">
      <c r="A1778" s="14">
        <v>671.0</v>
      </c>
      <c r="B1778" s="14">
        <v>1.0</v>
      </c>
      <c r="C1778" s="34">
        <v>21.8</v>
      </c>
      <c r="D1778" s="36">
        <v>44888.0</v>
      </c>
      <c r="E1778" s="24"/>
      <c r="F1778" s="14">
        <v>21.8</v>
      </c>
      <c r="G1778" s="14">
        <v>32.49</v>
      </c>
      <c r="H1778" s="14">
        <v>0.15</v>
      </c>
      <c r="I1778" s="14" t="s">
        <v>6035</v>
      </c>
      <c r="J1778" s="14">
        <v>0.0</v>
      </c>
      <c r="K1778" s="14" t="s">
        <v>6012</v>
      </c>
      <c r="L1778" s="14">
        <v>0.0</v>
      </c>
    </row>
    <row r="1779">
      <c r="A1779" s="14">
        <v>127.0</v>
      </c>
      <c r="B1779" s="14">
        <v>1.0</v>
      </c>
      <c r="C1779" s="34">
        <v>9.95</v>
      </c>
      <c r="D1779" s="36">
        <v>44889.0</v>
      </c>
      <c r="E1779" s="24"/>
      <c r="F1779" s="14">
        <v>9.95</v>
      </c>
      <c r="G1779" s="14">
        <v>78.35</v>
      </c>
      <c r="H1779" s="14">
        <v>0.79</v>
      </c>
      <c r="I1779" s="14" t="s">
        <v>6038</v>
      </c>
      <c r="J1779" s="14">
        <v>0.0</v>
      </c>
      <c r="K1779" s="14" t="s">
        <v>6012</v>
      </c>
      <c r="L1779" s="14">
        <v>0.0</v>
      </c>
    </row>
    <row r="1780">
      <c r="A1780" s="14">
        <v>1185.0</v>
      </c>
      <c r="B1780" s="14">
        <v>4.0</v>
      </c>
      <c r="C1780" s="34">
        <v>16.31</v>
      </c>
      <c r="D1780" s="36">
        <v>44889.0</v>
      </c>
      <c r="E1780" s="24"/>
      <c r="F1780" s="14">
        <v>4.08</v>
      </c>
      <c r="G1780" s="14">
        <v>13.76</v>
      </c>
      <c r="H1780" s="14">
        <v>0.34</v>
      </c>
      <c r="I1780" s="14" t="s">
        <v>6037</v>
      </c>
      <c r="J1780" s="14">
        <v>25.0</v>
      </c>
      <c r="K1780" s="14">
        <v>16.31</v>
      </c>
      <c r="L1780" s="14">
        <v>0.0</v>
      </c>
    </row>
    <row r="1781">
      <c r="A1781" s="14">
        <v>844.0</v>
      </c>
      <c r="B1781" s="14">
        <v>3.0</v>
      </c>
      <c r="C1781" s="34">
        <v>13.09</v>
      </c>
      <c r="D1781" s="36">
        <v>44889.0</v>
      </c>
      <c r="E1781" s="24"/>
      <c r="F1781" s="14">
        <v>4.36</v>
      </c>
      <c r="G1781" s="14">
        <v>15.51</v>
      </c>
      <c r="H1781" s="14">
        <v>0.36</v>
      </c>
      <c r="I1781" s="14" t="s">
        <v>6042</v>
      </c>
      <c r="J1781" s="14">
        <v>0.0</v>
      </c>
      <c r="K1781" s="14" t="s">
        <v>6012</v>
      </c>
      <c r="L1781" s="14">
        <v>0.0</v>
      </c>
    </row>
    <row r="1782">
      <c r="A1782" s="14">
        <v>253.0</v>
      </c>
      <c r="B1782" s="14">
        <v>0.0</v>
      </c>
      <c r="C1782" s="34">
        <v>22.15</v>
      </c>
      <c r="D1782" s="36">
        <v>44889.0</v>
      </c>
      <c r="E1782" s="24"/>
      <c r="F1782" s="14" t="s">
        <v>6012</v>
      </c>
      <c r="G1782" s="14">
        <v>87.55</v>
      </c>
      <c r="H1782" s="14">
        <v>0.0</v>
      </c>
      <c r="I1782" s="14" t="s">
        <v>6035</v>
      </c>
      <c r="J1782" s="14" t="s">
        <v>6012</v>
      </c>
      <c r="K1782" s="14" t="s">
        <v>6012</v>
      </c>
      <c r="L1782" s="14">
        <v>0.0</v>
      </c>
    </row>
    <row r="1783">
      <c r="A1783" s="14">
        <v>578.0</v>
      </c>
      <c r="B1783" s="14">
        <v>8.0</v>
      </c>
      <c r="C1783" s="34">
        <v>16.5</v>
      </c>
      <c r="D1783" s="36">
        <v>44889.0</v>
      </c>
      <c r="E1783" s="24"/>
      <c r="F1783" s="14">
        <v>2.06</v>
      </c>
      <c r="G1783" s="14">
        <v>28.55</v>
      </c>
      <c r="H1783" s="14">
        <v>1.38</v>
      </c>
      <c r="I1783" s="14" t="s">
        <v>6039</v>
      </c>
      <c r="J1783" s="14">
        <v>25.0</v>
      </c>
      <c r="K1783" s="14">
        <v>8.25</v>
      </c>
      <c r="L1783" s="14">
        <v>0.0</v>
      </c>
    </row>
    <row r="1784">
      <c r="A1784" s="14">
        <v>112.0</v>
      </c>
      <c r="B1784" s="14">
        <v>0.0</v>
      </c>
      <c r="C1784" s="34">
        <v>14.1</v>
      </c>
      <c r="D1784" s="36">
        <v>44890.0</v>
      </c>
      <c r="E1784" s="24"/>
      <c r="F1784" s="14" t="s">
        <v>6012</v>
      </c>
      <c r="G1784" s="14">
        <v>125.89</v>
      </c>
      <c r="H1784" s="14">
        <v>0.0</v>
      </c>
      <c r="I1784" s="14" t="s">
        <v>6038</v>
      </c>
      <c r="J1784" s="14" t="s">
        <v>6012</v>
      </c>
      <c r="K1784" s="14" t="s">
        <v>6012</v>
      </c>
      <c r="L1784" s="14">
        <v>0.0</v>
      </c>
    </row>
    <row r="1785">
      <c r="A1785" s="14">
        <v>492.0</v>
      </c>
      <c r="B1785" s="14">
        <v>5.0</v>
      </c>
      <c r="C1785" s="34">
        <v>16.5</v>
      </c>
      <c r="D1785" s="36">
        <v>44890.0</v>
      </c>
      <c r="E1785" s="24"/>
      <c r="F1785" s="14">
        <v>3.3</v>
      </c>
      <c r="G1785" s="14">
        <v>33.54</v>
      </c>
      <c r="H1785" s="14">
        <v>1.02</v>
      </c>
      <c r="I1785" s="14" t="s">
        <v>6039</v>
      </c>
      <c r="J1785" s="14">
        <v>0.0</v>
      </c>
      <c r="K1785" s="14" t="s">
        <v>6012</v>
      </c>
      <c r="L1785" s="14">
        <v>0.0</v>
      </c>
    </row>
    <row r="1786">
      <c r="A1786" s="14">
        <v>241.0</v>
      </c>
      <c r="B1786" s="14">
        <v>0.0</v>
      </c>
      <c r="C1786" s="34">
        <v>24.46</v>
      </c>
      <c r="D1786" s="36">
        <v>44890.0</v>
      </c>
      <c r="E1786" s="24"/>
      <c r="F1786" s="14" t="s">
        <v>6012</v>
      </c>
      <c r="G1786" s="14">
        <v>101.49</v>
      </c>
      <c r="H1786" s="14">
        <v>0.0</v>
      </c>
      <c r="I1786" s="14" t="s">
        <v>6035</v>
      </c>
      <c r="J1786" s="14" t="s">
        <v>6012</v>
      </c>
      <c r="K1786" s="14" t="s">
        <v>6012</v>
      </c>
      <c r="L1786" s="14">
        <v>0.0</v>
      </c>
    </row>
    <row r="1787">
      <c r="A1787" s="14">
        <v>665.0</v>
      </c>
      <c r="B1787" s="14">
        <v>1.0</v>
      </c>
      <c r="C1787" s="34">
        <v>12.78</v>
      </c>
      <c r="D1787" s="36">
        <v>44890.0</v>
      </c>
      <c r="E1787" s="24"/>
      <c r="F1787" s="14">
        <v>12.78</v>
      </c>
      <c r="G1787" s="14">
        <v>19.22</v>
      </c>
      <c r="H1787" s="14">
        <v>0.15</v>
      </c>
      <c r="I1787" s="14" t="s">
        <v>6042</v>
      </c>
      <c r="J1787" s="14">
        <v>100.0</v>
      </c>
      <c r="K1787" s="14">
        <v>12.78</v>
      </c>
      <c r="L1787" s="14">
        <v>0.0</v>
      </c>
    </row>
    <row r="1788">
      <c r="A1788" s="14">
        <v>421.0</v>
      </c>
      <c r="B1788" s="14">
        <v>1.0</v>
      </c>
      <c r="C1788" s="34">
        <v>15.08</v>
      </c>
      <c r="D1788" s="36">
        <v>44890.0</v>
      </c>
      <c r="E1788" s="24"/>
      <c r="F1788" s="14">
        <v>15.08</v>
      </c>
      <c r="G1788" s="14">
        <v>35.82</v>
      </c>
      <c r="H1788" s="14">
        <v>0.24</v>
      </c>
      <c r="I1788" s="14" t="s">
        <v>6037</v>
      </c>
      <c r="J1788" s="14">
        <v>0.0</v>
      </c>
      <c r="K1788" s="14" t="s">
        <v>6012</v>
      </c>
      <c r="L1788" s="14">
        <v>0.0</v>
      </c>
    </row>
    <row r="1789">
      <c r="A1789" s="14">
        <v>220.0</v>
      </c>
      <c r="B1789" s="14">
        <v>1.0</v>
      </c>
      <c r="C1789" s="34">
        <v>12.38</v>
      </c>
      <c r="D1789" s="36">
        <v>44891.0</v>
      </c>
      <c r="E1789" s="24"/>
      <c r="F1789" s="14">
        <v>12.38</v>
      </c>
      <c r="G1789" s="14">
        <v>56.27</v>
      </c>
      <c r="H1789" s="14">
        <v>0.45</v>
      </c>
      <c r="I1789" s="14" t="s">
        <v>6035</v>
      </c>
      <c r="J1789" s="14">
        <v>0.0</v>
      </c>
      <c r="K1789" s="14" t="s">
        <v>6012</v>
      </c>
      <c r="L1789" s="14">
        <v>0.0</v>
      </c>
    </row>
    <row r="1790">
      <c r="A1790" s="14">
        <v>451.0</v>
      </c>
      <c r="B1790" s="14">
        <v>7.0</v>
      </c>
      <c r="C1790" s="34">
        <v>9.56</v>
      </c>
      <c r="D1790" s="36">
        <v>44891.0</v>
      </c>
      <c r="E1790" s="24"/>
      <c r="F1790" s="14">
        <v>1.37</v>
      </c>
      <c r="G1790" s="14">
        <v>21.2</v>
      </c>
      <c r="H1790" s="14">
        <v>1.55</v>
      </c>
      <c r="I1790" s="14" t="s">
        <v>6037</v>
      </c>
      <c r="J1790" s="14">
        <v>28.57</v>
      </c>
      <c r="K1790" s="14">
        <v>4.78</v>
      </c>
      <c r="L1790" s="14">
        <v>0.0</v>
      </c>
    </row>
    <row r="1791">
      <c r="A1791" s="14">
        <v>443.0</v>
      </c>
      <c r="B1791" s="14">
        <v>4.0</v>
      </c>
      <c r="C1791" s="34">
        <v>13.84</v>
      </c>
      <c r="D1791" s="36">
        <v>44891.0</v>
      </c>
      <c r="E1791" s="24"/>
      <c r="F1791" s="14">
        <v>3.46</v>
      </c>
      <c r="G1791" s="14">
        <v>31.24</v>
      </c>
      <c r="H1791" s="14">
        <v>0.9</v>
      </c>
      <c r="I1791" s="14" t="s">
        <v>6039</v>
      </c>
      <c r="J1791" s="14">
        <v>0.0</v>
      </c>
      <c r="K1791" s="14" t="s">
        <v>6012</v>
      </c>
      <c r="L1791" s="14">
        <v>0.0</v>
      </c>
    </row>
    <row r="1792">
      <c r="A1792" s="14">
        <v>82.0</v>
      </c>
      <c r="B1792" s="14">
        <v>1.0</v>
      </c>
      <c r="C1792" s="34">
        <v>6.93</v>
      </c>
      <c r="D1792" s="36">
        <v>44891.0</v>
      </c>
      <c r="E1792" s="24"/>
      <c r="F1792" s="14">
        <v>6.93</v>
      </c>
      <c r="G1792" s="14">
        <v>84.51</v>
      </c>
      <c r="H1792" s="14">
        <v>1.22</v>
      </c>
      <c r="I1792" s="14" t="s">
        <v>6038</v>
      </c>
      <c r="J1792" s="14">
        <v>0.0</v>
      </c>
      <c r="K1792" s="14" t="s">
        <v>6012</v>
      </c>
      <c r="L1792" s="14">
        <v>0.0</v>
      </c>
    </row>
    <row r="1793">
      <c r="A1793" s="14">
        <v>501.0</v>
      </c>
      <c r="B1793" s="14">
        <v>2.0</v>
      </c>
      <c r="C1793" s="34">
        <v>5.61</v>
      </c>
      <c r="D1793" s="36">
        <v>44891.0</v>
      </c>
      <c r="E1793" s="24"/>
      <c r="F1793" s="14">
        <v>2.8</v>
      </c>
      <c r="G1793" s="14">
        <v>11.2</v>
      </c>
      <c r="H1793" s="14">
        <v>0.4</v>
      </c>
      <c r="I1793" s="14" t="s">
        <v>6042</v>
      </c>
      <c r="J1793" s="14">
        <v>50.0</v>
      </c>
      <c r="K1793" s="14">
        <v>5.61</v>
      </c>
      <c r="L1793" s="14">
        <v>0.0</v>
      </c>
    </row>
    <row r="1794">
      <c r="A1794" s="14">
        <v>77.0</v>
      </c>
      <c r="B1794" s="14">
        <v>0.0</v>
      </c>
      <c r="C1794" s="34">
        <v>5.34</v>
      </c>
      <c r="D1794" s="36">
        <v>44892.0</v>
      </c>
      <c r="E1794" s="24"/>
      <c r="F1794" s="14" t="s">
        <v>6012</v>
      </c>
      <c r="G1794" s="14">
        <v>69.35</v>
      </c>
      <c r="H1794" s="14">
        <v>0.0</v>
      </c>
      <c r="I1794" s="14" t="s">
        <v>6038</v>
      </c>
      <c r="J1794" s="14" t="s">
        <v>6012</v>
      </c>
      <c r="K1794" s="14" t="s">
        <v>6012</v>
      </c>
      <c r="L1794" s="14">
        <v>0.0</v>
      </c>
    </row>
    <row r="1795">
      <c r="A1795" s="14">
        <v>198.0</v>
      </c>
      <c r="B1795" s="14">
        <v>2.0</v>
      </c>
      <c r="C1795" s="34">
        <v>9.63</v>
      </c>
      <c r="D1795" s="36">
        <v>44892.0</v>
      </c>
      <c r="E1795" s="24"/>
      <c r="F1795" s="14">
        <v>4.82</v>
      </c>
      <c r="G1795" s="14">
        <v>48.64</v>
      </c>
      <c r="H1795" s="14">
        <v>1.01</v>
      </c>
      <c r="I1795" s="14" t="s">
        <v>6037</v>
      </c>
      <c r="J1795" s="14">
        <v>0.0</v>
      </c>
      <c r="K1795" s="14" t="s">
        <v>6012</v>
      </c>
      <c r="L1795" s="14">
        <v>0.0</v>
      </c>
    </row>
    <row r="1796">
      <c r="A1796" s="14">
        <v>283.0</v>
      </c>
      <c r="B1796" s="14">
        <v>6.0</v>
      </c>
      <c r="C1796" s="34">
        <v>13.66</v>
      </c>
      <c r="D1796" s="36">
        <v>44892.0</v>
      </c>
      <c r="E1796" s="24"/>
      <c r="F1796" s="14">
        <v>2.28</v>
      </c>
      <c r="G1796" s="14">
        <v>48.27</v>
      </c>
      <c r="H1796" s="14">
        <v>2.12</v>
      </c>
      <c r="I1796" s="14" t="s">
        <v>6039</v>
      </c>
      <c r="J1796" s="14">
        <v>0.0</v>
      </c>
      <c r="K1796" s="14" t="s">
        <v>6012</v>
      </c>
      <c r="L1796" s="14">
        <v>0.0</v>
      </c>
    </row>
    <row r="1797">
      <c r="A1797" s="14">
        <v>118.0</v>
      </c>
      <c r="B1797" s="14">
        <v>0.0</v>
      </c>
      <c r="C1797" s="34">
        <v>10.77</v>
      </c>
      <c r="D1797" s="36">
        <v>44892.0</v>
      </c>
      <c r="E1797" s="24"/>
      <c r="F1797" s="14" t="s">
        <v>6012</v>
      </c>
      <c r="G1797" s="14">
        <v>91.27</v>
      </c>
      <c r="H1797" s="14">
        <v>0.0</v>
      </c>
      <c r="I1797" s="14" t="s">
        <v>6035</v>
      </c>
      <c r="J1797" s="14" t="s">
        <v>6012</v>
      </c>
      <c r="K1797" s="14" t="s">
        <v>6012</v>
      </c>
      <c r="L1797" s="14">
        <v>0.0</v>
      </c>
    </row>
    <row r="1798">
      <c r="A1798" s="14">
        <v>350.0</v>
      </c>
      <c r="B1798" s="14">
        <v>1.0</v>
      </c>
      <c r="C1798" s="34">
        <v>5.55</v>
      </c>
      <c r="D1798" s="36">
        <v>44892.0</v>
      </c>
      <c r="E1798" s="24"/>
      <c r="F1798" s="14">
        <v>5.55</v>
      </c>
      <c r="G1798" s="14">
        <v>15.86</v>
      </c>
      <c r="H1798" s="14">
        <v>0.29</v>
      </c>
      <c r="I1798" s="14" t="s">
        <v>6042</v>
      </c>
      <c r="J1798" s="14">
        <v>0.0</v>
      </c>
      <c r="K1798" s="14" t="s">
        <v>6012</v>
      </c>
      <c r="L1798" s="14">
        <v>0.0</v>
      </c>
    </row>
    <row r="1799">
      <c r="A1799" s="14">
        <v>440.0</v>
      </c>
      <c r="B1799" s="14">
        <v>1.0</v>
      </c>
      <c r="C1799" s="34">
        <v>12.6</v>
      </c>
      <c r="D1799" s="36">
        <v>44893.0</v>
      </c>
      <c r="E1799" s="24"/>
      <c r="F1799" s="14">
        <v>12.6</v>
      </c>
      <c r="G1799" s="14">
        <v>28.64</v>
      </c>
      <c r="H1799" s="14">
        <v>0.23</v>
      </c>
      <c r="I1799" s="14" t="s">
        <v>6039</v>
      </c>
      <c r="J1799" s="14">
        <v>0.0</v>
      </c>
      <c r="K1799" s="14" t="s">
        <v>6012</v>
      </c>
      <c r="L1799" s="14">
        <v>0.0</v>
      </c>
    </row>
    <row r="1800">
      <c r="A1800" s="14">
        <v>639.0</v>
      </c>
      <c r="B1800" s="14">
        <v>4.0</v>
      </c>
      <c r="C1800" s="34">
        <v>12.73</v>
      </c>
      <c r="D1800" s="36">
        <v>44893.0</v>
      </c>
      <c r="E1800" s="24"/>
      <c r="F1800" s="14">
        <v>3.18</v>
      </c>
      <c r="G1800" s="14">
        <v>19.92</v>
      </c>
      <c r="H1800" s="14">
        <v>0.63</v>
      </c>
      <c r="I1800" s="14" t="s">
        <v>6037</v>
      </c>
      <c r="J1800" s="14">
        <v>0.0</v>
      </c>
      <c r="K1800" s="14" t="s">
        <v>6012</v>
      </c>
      <c r="L1800" s="14">
        <v>0.0</v>
      </c>
    </row>
    <row r="1801">
      <c r="A1801" s="14">
        <v>101.0</v>
      </c>
      <c r="B1801" s="14">
        <v>0.0</v>
      </c>
      <c r="C1801" s="34">
        <v>23.66</v>
      </c>
      <c r="D1801" s="36">
        <v>44893.0</v>
      </c>
      <c r="E1801" s="24"/>
      <c r="F1801" s="14" t="s">
        <v>6012</v>
      </c>
      <c r="G1801" s="14">
        <v>234.26</v>
      </c>
      <c r="H1801" s="14">
        <v>0.0</v>
      </c>
      <c r="I1801" s="14" t="s">
        <v>6035</v>
      </c>
      <c r="J1801" s="14" t="s">
        <v>6012</v>
      </c>
      <c r="K1801" s="14" t="s">
        <v>6012</v>
      </c>
      <c r="L1801" s="14">
        <v>0.0</v>
      </c>
    </row>
    <row r="1802">
      <c r="A1802" s="14">
        <v>162.0</v>
      </c>
      <c r="B1802" s="14">
        <v>0.0</v>
      </c>
      <c r="C1802" s="34">
        <v>12.01</v>
      </c>
      <c r="D1802" s="36">
        <v>44893.0</v>
      </c>
      <c r="E1802" s="24"/>
      <c r="F1802" s="14" t="s">
        <v>6012</v>
      </c>
      <c r="G1802" s="14">
        <v>74.14</v>
      </c>
      <c r="H1802" s="14">
        <v>0.0</v>
      </c>
      <c r="I1802" s="14" t="s">
        <v>6038</v>
      </c>
      <c r="J1802" s="14" t="s">
        <v>6012</v>
      </c>
      <c r="K1802" s="14" t="s">
        <v>6012</v>
      </c>
      <c r="L1802" s="14">
        <v>0.0</v>
      </c>
    </row>
    <row r="1803">
      <c r="A1803" s="14">
        <v>936.0</v>
      </c>
      <c r="B1803" s="14">
        <v>5.0</v>
      </c>
      <c r="C1803" s="34">
        <v>13.41</v>
      </c>
      <c r="D1803" s="36">
        <v>44893.0</v>
      </c>
      <c r="E1803" s="24"/>
      <c r="F1803" s="14">
        <v>2.68</v>
      </c>
      <c r="G1803" s="14">
        <v>14.33</v>
      </c>
      <c r="H1803" s="14">
        <v>0.53</v>
      </c>
      <c r="I1803" s="14" t="s">
        <v>6042</v>
      </c>
      <c r="J1803" s="14">
        <v>0.0</v>
      </c>
      <c r="K1803" s="14" t="s">
        <v>6012</v>
      </c>
      <c r="L1803" s="14">
        <v>0.0</v>
      </c>
    </row>
    <row r="1804">
      <c r="A1804" s="14">
        <v>739.0</v>
      </c>
      <c r="B1804" s="14">
        <v>8.0</v>
      </c>
      <c r="C1804" s="34">
        <v>13.59</v>
      </c>
      <c r="D1804" s="36">
        <v>44894.0</v>
      </c>
      <c r="E1804" s="24"/>
      <c r="F1804" s="14">
        <v>1.7</v>
      </c>
      <c r="G1804" s="14">
        <v>18.39</v>
      </c>
      <c r="H1804" s="14">
        <v>1.08</v>
      </c>
      <c r="I1804" s="14" t="s">
        <v>6042</v>
      </c>
      <c r="J1804" s="14">
        <v>37.5</v>
      </c>
      <c r="K1804" s="14">
        <v>4.53</v>
      </c>
      <c r="L1804" s="14">
        <v>0.0</v>
      </c>
    </row>
    <row r="1805">
      <c r="A1805" s="14">
        <v>340.0</v>
      </c>
      <c r="B1805" s="14">
        <v>3.0</v>
      </c>
      <c r="C1805" s="34">
        <v>12.82</v>
      </c>
      <c r="D1805" s="36">
        <v>44894.0</v>
      </c>
      <c r="E1805" s="24"/>
      <c r="F1805" s="14">
        <v>4.27</v>
      </c>
      <c r="G1805" s="14">
        <v>37.71</v>
      </c>
      <c r="H1805" s="14">
        <v>0.88</v>
      </c>
      <c r="I1805" s="14" t="s">
        <v>6037</v>
      </c>
      <c r="J1805" s="14">
        <v>66.67</v>
      </c>
      <c r="K1805" s="14">
        <v>6.41</v>
      </c>
      <c r="L1805" s="14">
        <v>0.0</v>
      </c>
    </row>
    <row r="1806">
      <c r="A1806" s="14">
        <v>222.0</v>
      </c>
      <c r="B1806" s="14">
        <v>0.0</v>
      </c>
      <c r="C1806" s="34">
        <v>13.06</v>
      </c>
      <c r="D1806" s="36">
        <v>44894.0</v>
      </c>
      <c r="E1806" s="24"/>
      <c r="F1806" s="14" t="s">
        <v>6012</v>
      </c>
      <c r="G1806" s="14">
        <v>58.83</v>
      </c>
      <c r="H1806" s="14">
        <v>0.0</v>
      </c>
      <c r="I1806" s="14" t="s">
        <v>6038</v>
      </c>
      <c r="J1806" s="14" t="s">
        <v>6012</v>
      </c>
      <c r="K1806" s="14" t="s">
        <v>6012</v>
      </c>
      <c r="L1806" s="14">
        <v>0.0</v>
      </c>
    </row>
    <row r="1807">
      <c r="A1807" s="14">
        <v>262.0</v>
      </c>
      <c r="B1807" s="14">
        <v>3.0</v>
      </c>
      <c r="C1807" s="34">
        <v>12.85</v>
      </c>
      <c r="D1807" s="36">
        <v>44894.0</v>
      </c>
      <c r="E1807" s="24"/>
      <c r="F1807" s="14">
        <v>4.28</v>
      </c>
      <c r="G1807" s="14">
        <v>49.05</v>
      </c>
      <c r="H1807" s="14">
        <v>1.15</v>
      </c>
      <c r="I1807" s="14" t="s">
        <v>6039</v>
      </c>
      <c r="J1807" s="14">
        <v>0.0</v>
      </c>
      <c r="K1807" s="14" t="s">
        <v>6012</v>
      </c>
      <c r="L1807" s="14">
        <v>0.0</v>
      </c>
    </row>
    <row r="1808">
      <c r="A1808" s="14">
        <v>102.0</v>
      </c>
      <c r="B1808" s="14">
        <v>0.0</v>
      </c>
      <c r="C1808" s="34">
        <v>24.9</v>
      </c>
      <c r="D1808" s="36">
        <v>44894.0</v>
      </c>
      <c r="E1808" s="24"/>
      <c r="F1808" s="14" t="s">
        <v>6012</v>
      </c>
      <c r="G1808" s="14">
        <v>244.12</v>
      </c>
      <c r="H1808" s="14">
        <v>0.0</v>
      </c>
      <c r="I1808" s="14" t="s">
        <v>6035</v>
      </c>
      <c r="J1808" s="14" t="s">
        <v>6012</v>
      </c>
      <c r="K1808" s="14" t="s">
        <v>6012</v>
      </c>
      <c r="L1808" s="14">
        <v>0.0</v>
      </c>
    </row>
    <row r="1809">
      <c r="A1809" s="14">
        <v>748.0</v>
      </c>
      <c r="B1809" s="14">
        <v>3.0</v>
      </c>
      <c r="C1809" s="34">
        <v>12.57</v>
      </c>
      <c r="D1809" s="36">
        <v>44895.0</v>
      </c>
      <c r="E1809" s="24"/>
      <c r="F1809" s="14">
        <v>4.19</v>
      </c>
      <c r="G1809" s="14">
        <v>16.8</v>
      </c>
      <c r="H1809" s="14">
        <v>0.4</v>
      </c>
      <c r="I1809" s="14" t="s">
        <v>6037</v>
      </c>
      <c r="J1809" s="14">
        <v>0.0</v>
      </c>
      <c r="K1809" s="14" t="s">
        <v>6012</v>
      </c>
      <c r="L1809" s="14">
        <v>0.0</v>
      </c>
    </row>
    <row r="1810">
      <c r="A1810" s="14">
        <v>434.0</v>
      </c>
      <c r="B1810" s="14">
        <v>2.0</v>
      </c>
      <c r="C1810" s="34">
        <v>13.41</v>
      </c>
      <c r="D1810" s="36">
        <v>44895.0</v>
      </c>
      <c r="E1810" s="24"/>
      <c r="F1810" s="14">
        <v>6.7</v>
      </c>
      <c r="G1810" s="14">
        <v>30.9</v>
      </c>
      <c r="H1810" s="14">
        <v>0.46</v>
      </c>
      <c r="I1810" s="14" t="s">
        <v>6039</v>
      </c>
      <c r="J1810" s="14">
        <v>0.0</v>
      </c>
      <c r="K1810" s="14" t="s">
        <v>6012</v>
      </c>
      <c r="L1810" s="14">
        <v>0.0</v>
      </c>
    </row>
    <row r="1811">
      <c r="A1811" s="14">
        <v>701.0</v>
      </c>
      <c r="B1811" s="14">
        <v>2.0</v>
      </c>
      <c r="C1811" s="34">
        <v>22.36</v>
      </c>
      <c r="D1811" s="36">
        <v>44895.0</v>
      </c>
      <c r="E1811" s="24"/>
      <c r="F1811" s="14">
        <v>11.18</v>
      </c>
      <c r="G1811" s="14">
        <v>31.9</v>
      </c>
      <c r="H1811" s="14">
        <v>0.29</v>
      </c>
      <c r="I1811" s="14" t="s">
        <v>6035</v>
      </c>
      <c r="J1811" s="14">
        <v>0.0</v>
      </c>
      <c r="K1811" s="14" t="s">
        <v>6012</v>
      </c>
      <c r="L1811" s="14">
        <v>0.0</v>
      </c>
    </row>
    <row r="1812">
      <c r="A1812" s="14">
        <v>803.0</v>
      </c>
      <c r="B1812" s="14">
        <v>1.0</v>
      </c>
      <c r="C1812" s="34">
        <v>13.45</v>
      </c>
      <c r="D1812" s="36">
        <v>44895.0</v>
      </c>
      <c r="E1812" s="24"/>
      <c r="F1812" s="14">
        <v>13.45</v>
      </c>
      <c r="G1812" s="14">
        <v>16.75</v>
      </c>
      <c r="H1812" s="14">
        <v>0.12</v>
      </c>
      <c r="I1812" s="14" t="s">
        <v>6042</v>
      </c>
      <c r="J1812" s="14">
        <v>0.0</v>
      </c>
      <c r="K1812" s="14" t="s">
        <v>6012</v>
      </c>
      <c r="L1812" s="14">
        <v>0.0</v>
      </c>
    </row>
    <row r="1813">
      <c r="A1813" s="14">
        <v>219.0</v>
      </c>
      <c r="B1813" s="14">
        <v>1.0</v>
      </c>
      <c r="C1813" s="34">
        <v>11.93</v>
      </c>
      <c r="D1813" s="36">
        <v>44895.0</v>
      </c>
      <c r="E1813" s="24"/>
      <c r="F1813" s="14">
        <v>11.93</v>
      </c>
      <c r="G1813" s="14">
        <v>54.47</v>
      </c>
      <c r="H1813" s="14">
        <v>0.46</v>
      </c>
      <c r="I1813" s="14" t="s">
        <v>6038</v>
      </c>
      <c r="J1813" s="14">
        <v>0.0</v>
      </c>
      <c r="K1813" s="14" t="s">
        <v>6012</v>
      </c>
      <c r="L1813" s="14">
        <v>0.0</v>
      </c>
    </row>
    <row r="1814">
      <c r="A1814" s="14">
        <v>659.0</v>
      </c>
      <c r="B1814" s="14">
        <v>4.0</v>
      </c>
      <c r="C1814" s="34">
        <v>13.03</v>
      </c>
      <c r="D1814" s="36">
        <v>44896.0</v>
      </c>
      <c r="E1814" s="24"/>
      <c r="F1814" s="14">
        <v>3.26</v>
      </c>
      <c r="G1814" s="14">
        <v>19.77</v>
      </c>
      <c r="H1814" s="14">
        <v>0.61</v>
      </c>
      <c r="I1814" s="14" t="s">
        <v>6042</v>
      </c>
      <c r="J1814" s="14">
        <v>75.0</v>
      </c>
      <c r="K1814" s="14">
        <v>4.34</v>
      </c>
      <c r="L1814" s="14">
        <v>0.0</v>
      </c>
    </row>
    <row r="1815">
      <c r="A1815" s="14">
        <v>615.0</v>
      </c>
      <c r="B1815" s="14">
        <v>3.0</v>
      </c>
      <c r="C1815" s="34">
        <v>21.38</v>
      </c>
      <c r="D1815" s="36">
        <v>44896.0</v>
      </c>
      <c r="E1815" s="24"/>
      <c r="F1815" s="14">
        <v>7.13</v>
      </c>
      <c r="G1815" s="14">
        <v>34.76</v>
      </c>
      <c r="H1815" s="14">
        <v>0.49</v>
      </c>
      <c r="I1815" s="14" t="s">
        <v>6035</v>
      </c>
      <c r="J1815" s="14">
        <v>33.33</v>
      </c>
      <c r="K1815" s="14">
        <v>21.38</v>
      </c>
      <c r="L1815" s="14">
        <v>0.0</v>
      </c>
    </row>
    <row r="1816">
      <c r="A1816" s="14">
        <v>612.0</v>
      </c>
      <c r="B1816" s="14">
        <v>5.0</v>
      </c>
      <c r="C1816" s="34">
        <v>12.84</v>
      </c>
      <c r="D1816" s="36">
        <v>44896.0</v>
      </c>
      <c r="E1816" s="24"/>
      <c r="F1816" s="14">
        <v>2.57</v>
      </c>
      <c r="G1816" s="14">
        <v>20.98</v>
      </c>
      <c r="H1816" s="14">
        <v>0.82</v>
      </c>
      <c r="I1816" s="14" t="s">
        <v>6037</v>
      </c>
      <c r="J1816" s="14">
        <v>0.0</v>
      </c>
      <c r="K1816" s="14" t="s">
        <v>6012</v>
      </c>
      <c r="L1816" s="14">
        <v>0.0</v>
      </c>
    </row>
    <row r="1817">
      <c r="A1817" s="14">
        <v>225.0</v>
      </c>
      <c r="B1817" s="14">
        <v>0.0</v>
      </c>
      <c r="C1817" s="34">
        <v>11.63</v>
      </c>
      <c r="D1817" s="36">
        <v>44896.0</v>
      </c>
      <c r="E1817" s="24"/>
      <c r="F1817" s="14" t="s">
        <v>6012</v>
      </c>
      <c r="G1817" s="14">
        <v>51.69</v>
      </c>
      <c r="H1817" s="14">
        <v>0.0</v>
      </c>
      <c r="I1817" s="14" t="s">
        <v>6038</v>
      </c>
      <c r="J1817" s="14" t="s">
        <v>6012</v>
      </c>
      <c r="K1817" s="14" t="s">
        <v>6012</v>
      </c>
      <c r="L1817" s="14">
        <v>0.0</v>
      </c>
    </row>
    <row r="1818">
      <c r="A1818" s="14">
        <v>497.0</v>
      </c>
      <c r="B1818" s="14">
        <v>6.0</v>
      </c>
      <c r="C1818" s="34">
        <v>13.29</v>
      </c>
      <c r="D1818" s="36">
        <v>44896.0</v>
      </c>
      <c r="E1818" s="24"/>
      <c r="F1818" s="14">
        <v>2.22</v>
      </c>
      <c r="G1818" s="14">
        <v>26.74</v>
      </c>
      <c r="H1818" s="14">
        <v>1.21</v>
      </c>
      <c r="I1818" s="14" t="s">
        <v>6039</v>
      </c>
      <c r="J1818" s="14">
        <v>16.67</v>
      </c>
      <c r="K1818" s="14">
        <v>13.29</v>
      </c>
      <c r="L1818" s="14">
        <v>0.0</v>
      </c>
    </row>
    <row r="1819">
      <c r="A1819" s="14">
        <v>484.0</v>
      </c>
      <c r="B1819" s="14">
        <v>5.0</v>
      </c>
      <c r="C1819" s="34">
        <v>12.63</v>
      </c>
      <c r="D1819" s="36">
        <v>44897.0</v>
      </c>
      <c r="E1819" s="24"/>
      <c r="F1819" s="14">
        <v>2.53</v>
      </c>
      <c r="G1819" s="14">
        <v>26.1</v>
      </c>
      <c r="H1819" s="14">
        <v>1.03</v>
      </c>
      <c r="I1819" s="14" t="s">
        <v>6039</v>
      </c>
      <c r="J1819" s="14">
        <v>0.0</v>
      </c>
      <c r="K1819" s="14" t="s">
        <v>6012</v>
      </c>
      <c r="L1819" s="14">
        <v>0.0</v>
      </c>
    </row>
    <row r="1820">
      <c r="A1820" s="14">
        <v>372.0</v>
      </c>
      <c r="B1820" s="14">
        <v>1.0</v>
      </c>
      <c r="C1820" s="34">
        <v>19.82</v>
      </c>
      <c r="D1820" s="36">
        <v>44897.0</v>
      </c>
      <c r="E1820" s="24"/>
      <c r="F1820" s="14">
        <v>19.82</v>
      </c>
      <c r="G1820" s="14">
        <v>53.28</v>
      </c>
      <c r="H1820" s="14">
        <v>0.27</v>
      </c>
      <c r="I1820" s="14" t="s">
        <v>6035</v>
      </c>
      <c r="J1820" s="14">
        <v>100.0</v>
      </c>
      <c r="K1820" s="14">
        <v>19.82</v>
      </c>
      <c r="L1820" s="14">
        <v>0.0</v>
      </c>
    </row>
    <row r="1821">
      <c r="A1821" s="14">
        <v>465.0</v>
      </c>
      <c r="B1821" s="14">
        <v>6.0</v>
      </c>
      <c r="C1821" s="34">
        <v>11.84</v>
      </c>
      <c r="D1821" s="36">
        <v>44897.0</v>
      </c>
      <c r="E1821" s="24"/>
      <c r="F1821" s="14">
        <v>1.97</v>
      </c>
      <c r="G1821" s="14">
        <v>25.46</v>
      </c>
      <c r="H1821" s="14">
        <v>1.29</v>
      </c>
      <c r="I1821" s="14" t="s">
        <v>6037</v>
      </c>
      <c r="J1821" s="14">
        <v>33.33</v>
      </c>
      <c r="K1821" s="14">
        <v>5.92</v>
      </c>
      <c r="L1821" s="14">
        <v>0.0</v>
      </c>
    </row>
    <row r="1822">
      <c r="A1822" s="14">
        <v>689.0</v>
      </c>
      <c r="B1822" s="14">
        <v>1.0</v>
      </c>
      <c r="C1822" s="34">
        <v>12.29</v>
      </c>
      <c r="D1822" s="36">
        <v>44897.0</v>
      </c>
      <c r="E1822" s="24"/>
      <c r="F1822" s="14">
        <v>12.29</v>
      </c>
      <c r="G1822" s="14">
        <v>17.84</v>
      </c>
      <c r="H1822" s="14">
        <v>0.15</v>
      </c>
      <c r="I1822" s="14" t="s">
        <v>6042</v>
      </c>
      <c r="J1822" s="14">
        <v>100.0</v>
      </c>
      <c r="K1822" s="14">
        <v>12.29</v>
      </c>
      <c r="L1822" s="14">
        <v>0.0</v>
      </c>
    </row>
    <row r="1823">
      <c r="A1823" s="14">
        <v>162.0</v>
      </c>
      <c r="B1823" s="14">
        <v>0.0</v>
      </c>
      <c r="C1823" s="34">
        <v>10.56</v>
      </c>
      <c r="D1823" s="36">
        <v>44897.0</v>
      </c>
      <c r="E1823" s="24"/>
      <c r="F1823" s="14" t="s">
        <v>6012</v>
      </c>
      <c r="G1823" s="14">
        <v>65.19</v>
      </c>
      <c r="H1823" s="14">
        <v>0.0</v>
      </c>
      <c r="I1823" s="14" t="s">
        <v>6038</v>
      </c>
      <c r="J1823" s="14" t="s">
        <v>6012</v>
      </c>
      <c r="K1823" s="14" t="s">
        <v>6012</v>
      </c>
      <c r="L1823" s="14">
        <v>0.0</v>
      </c>
    </row>
    <row r="1824">
      <c r="A1824" s="14">
        <v>462.0</v>
      </c>
      <c r="B1824" s="14">
        <v>1.0</v>
      </c>
      <c r="C1824" s="34">
        <v>7.09</v>
      </c>
      <c r="D1824" s="36">
        <v>44898.0</v>
      </c>
      <c r="E1824" s="24"/>
      <c r="F1824" s="14">
        <v>7.09</v>
      </c>
      <c r="G1824" s="14">
        <v>15.35</v>
      </c>
      <c r="H1824" s="14">
        <v>0.22</v>
      </c>
      <c r="I1824" s="14" t="s">
        <v>6037</v>
      </c>
      <c r="J1824" s="14">
        <v>0.0</v>
      </c>
      <c r="K1824" s="14" t="s">
        <v>6012</v>
      </c>
      <c r="L1824" s="14">
        <v>0.0</v>
      </c>
    </row>
    <row r="1825">
      <c r="A1825" s="14">
        <v>524.0</v>
      </c>
      <c r="B1825" s="14">
        <v>4.0</v>
      </c>
      <c r="C1825" s="34">
        <v>5.74</v>
      </c>
      <c r="D1825" s="36">
        <v>44898.0</v>
      </c>
      <c r="E1825" s="24"/>
      <c r="F1825" s="14">
        <v>1.44</v>
      </c>
      <c r="G1825" s="14">
        <v>10.95</v>
      </c>
      <c r="H1825" s="14">
        <v>0.76</v>
      </c>
      <c r="I1825" s="14" t="s">
        <v>6042</v>
      </c>
      <c r="J1825" s="14">
        <v>50.0</v>
      </c>
      <c r="K1825" s="14">
        <v>2.87</v>
      </c>
      <c r="L1825" s="14">
        <v>0.0</v>
      </c>
    </row>
    <row r="1826">
      <c r="A1826" s="14">
        <v>268.0</v>
      </c>
      <c r="B1826" s="14">
        <v>0.0</v>
      </c>
      <c r="C1826" s="34">
        <v>6.21</v>
      </c>
      <c r="D1826" s="36">
        <v>44898.0</v>
      </c>
      <c r="E1826" s="24"/>
      <c r="F1826" s="14" t="s">
        <v>6012</v>
      </c>
      <c r="G1826" s="14">
        <v>23.17</v>
      </c>
      <c r="H1826" s="14">
        <v>0.0</v>
      </c>
      <c r="I1826" s="14" t="s">
        <v>6039</v>
      </c>
      <c r="J1826" s="14" t="s">
        <v>6012</v>
      </c>
      <c r="K1826" s="14" t="s">
        <v>6012</v>
      </c>
      <c r="L1826" s="14">
        <v>0.0</v>
      </c>
    </row>
    <row r="1827">
      <c r="A1827" s="14">
        <v>291.0</v>
      </c>
      <c r="B1827" s="14">
        <v>4.0</v>
      </c>
      <c r="C1827" s="34">
        <v>10.88</v>
      </c>
      <c r="D1827" s="36">
        <v>44898.0</v>
      </c>
      <c r="E1827" s="24"/>
      <c r="F1827" s="14">
        <v>2.72</v>
      </c>
      <c r="G1827" s="14">
        <v>37.39</v>
      </c>
      <c r="H1827" s="14">
        <v>1.37</v>
      </c>
      <c r="I1827" s="14" t="s">
        <v>6035</v>
      </c>
      <c r="J1827" s="14">
        <v>25.0</v>
      </c>
      <c r="K1827" s="14">
        <v>10.88</v>
      </c>
      <c r="L1827" s="14">
        <v>0.0</v>
      </c>
    </row>
    <row r="1828">
      <c r="A1828" s="14">
        <v>107.0</v>
      </c>
      <c r="B1828" s="14">
        <v>1.0</v>
      </c>
      <c r="C1828" s="34">
        <v>5.7</v>
      </c>
      <c r="D1828" s="36">
        <v>44898.0</v>
      </c>
      <c r="E1828" s="24"/>
      <c r="F1828" s="14">
        <v>5.7</v>
      </c>
      <c r="G1828" s="14">
        <v>53.27</v>
      </c>
      <c r="H1828" s="14">
        <v>0.93</v>
      </c>
      <c r="I1828" s="14" t="s">
        <v>6038</v>
      </c>
      <c r="J1828" s="14">
        <v>0.0</v>
      </c>
      <c r="K1828" s="14" t="s">
        <v>6012</v>
      </c>
      <c r="L1828" s="14">
        <v>0.0</v>
      </c>
    </row>
    <row r="1829">
      <c r="A1829" s="14">
        <v>536.0</v>
      </c>
      <c r="B1829" s="14">
        <v>3.0</v>
      </c>
      <c r="C1829" s="34">
        <v>7.11</v>
      </c>
      <c r="D1829" s="36">
        <v>44899.0</v>
      </c>
      <c r="E1829" s="24"/>
      <c r="F1829" s="14">
        <v>2.37</v>
      </c>
      <c r="G1829" s="14">
        <v>13.26</v>
      </c>
      <c r="H1829" s="14">
        <v>0.56</v>
      </c>
      <c r="I1829" s="14" t="s">
        <v>6037</v>
      </c>
      <c r="J1829" s="14">
        <v>0.0</v>
      </c>
      <c r="K1829" s="14" t="s">
        <v>6012</v>
      </c>
      <c r="L1829" s="14">
        <v>0.0</v>
      </c>
    </row>
    <row r="1830">
      <c r="A1830" s="14">
        <v>256.0</v>
      </c>
      <c r="B1830" s="14">
        <v>1.0</v>
      </c>
      <c r="C1830" s="34">
        <v>6.01</v>
      </c>
      <c r="D1830" s="36">
        <v>44899.0</v>
      </c>
      <c r="E1830" s="24"/>
      <c r="F1830" s="14">
        <v>6.01</v>
      </c>
      <c r="G1830" s="14">
        <v>23.48</v>
      </c>
      <c r="H1830" s="14">
        <v>0.39</v>
      </c>
      <c r="I1830" s="14" t="s">
        <v>6039</v>
      </c>
      <c r="J1830" s="14">
        <v>0.0</v>
      </c>
      <c r="K1830" s="14" t="s">
        <v>6012</v>
      </c>
      <c r="L1830" s="14">
        <v>0.0</v>
      </c>
    </row>
    <row r="1831">
      <c r="A1831" s="14">
        <v>252.0</v>
      </c>
      <c r="B1831" s="14">
        <v>2.0</v>
      </c>
      <c r="C1831" s="34">
        <v>10.0</v>
      </c>
      <c r="D1831" s="36">
        <v>44899.0</v>
      </c>
      <c r="E1831" s="24"/>
      <c r="F1831" s="14">
        <v>5.0</v>
      </c>
      <c r="G1831" s="14">
        <v>39.68</v>
      </c>
      <c r="H1831" s="14">
        <v>0.79</v>
      </c>
      <c r="I1831" s="14" t="s">
        <v>6035</v>
      </c>
      <c r="J1831" s="14">
        <v>0.0</v>
      </c>
      <c r="K1831" s="14" t="s">
        <v>6012</v>
      </c>
      <c r="L1831" s="14">
        <v>0.0</v>
      </c>
    </row>
    <row r="1832">
      <c r="A1832" s="14">
        <v>524.0</v>
      </c>
      <c r="B1832" s="14">
        <v>4.0</v>
      </c>
      <c r="C1832" s="34">
        <v>5.49</v>
      </c>
      <c r="D1832" s="36">
        <v>44899.0</v>
      </c>
      <c r="E1832" s="24"/>
      <c r="F1832" s="14">
        <v>1.37</v>
      </c>
      <c r="G1832" s="14">
        <v>10.48</v>
      </c>
      <c r="H1832" s="14">
        <v>0.76</v>
      </c>
      <c r="I1832" s="14" t="s">
        <v>6042</v>
      </c>
      <c r="J1832" s="14">
        <v>25.0</v>
      </c>
      <c r="K1832" s="14">
        <v>5.49</v>
      </c>
      <c r="L1832" s="14">
        <v>0.0</v>
      </c>
    </row>
    <row r="1833">
      <c r="A1833" s="14">
        <v>23.0</v>
      </c>
      <c r="B1833" s="14">
        <v>0.0</v>
      </c>
      <c r="C1833" s="34">
        <v>5.11</v>
      </c>
      <c r="D1833" s="36">
        <v>44899.0</v>
      </c>
      <c r="E1833" s="24"/>
      <c r="F1833" s="14" t="s">
        <v>6012</v>
      </c>
      <c r="G1833" s="14">
        <v>222.17</v>
      </c>
      <c r="H1833" s="14">
        <v>0.0</v>
      </c>
      <c r="I1833" s="14" t="s">
        <v>6038</v>
      </c>
      <c r="J1833" s="14" t="s">
        <v>6012</v>
      </c>
      <c r="K1833" s="14" t="s">
        <v>6012</v>
      </c>
      <c r="L1833" s="14">
        <v>0.0</v>
      </c>
    </row>
    <row r="1834">
      <c r="A1834" s="14">
        <v>189.0</v>
      </c>
      <c r="B1834" s="14">
        <v>3.0</v>
      </c>
      <c r="C1834" s="34">
        <v>11.86</v>
      </c>
      <c r="D1834" s="36">
        <v>44900.0</v>
      </c>
      <c r="E1834" s="24"/>
      <c r="F1834" s="14">
        <v>3.95</v>
      </c>
      <c r="G1834" s="14">
        <v>62.75</v>
      </c>
      <c r="H1834" s="14">
        <v>1.59</v>
      </c>
      <c r="I1834" s="14" t="s">
        <v>6038</v>
      </c>
      <c r="J1834" s="14">
        <v>0.0</v>
      </c>
      <c r="K1834" s="14" t="s">
        <v>6012</v>
      </c>
      <c r="L1834" s="14">
        <v>0.0</v>
      </c>
    </row>
    <row r="1835">
      <c r="A1835" s="14">
        <v>935.0</v>
      </c>
      <c r="B1835" s="14">
        <v>2.0</v>
      </c>
      <c r="C1835" s="34">
        <v>13.27</v>
      </c>
      <c r="D1835" s="36">
        <v>44900.0</v>
      </c>
      <c r="E1835" s="24"/>
      <c r="F1835" s="14">
        <v>6.64</v>
      </c>
      <c r="G1835" s="14">
        <v>14.19</v>
      </c>
      <c r="H1835" s="14">
        <v>0.21</v>
      </c>
      <c r="I1835" s="14" t="s">
        <v>6042</v>
      </c>
      <c r="J1835" s="14">
        <v>50.0</v>
      </c>
      <c r="K1835" s="14">
        <v>13.27</v>
      </c>
      <c r="L1835" s="14">
        <v>0.0</v>
      </c>
    </row>
    <row r="1836">
      <c r="A1836" s="14">
        <v>558.0</v>
      </c>
      <c r="B1836" s="14">
        <v>0.0</v>
      </c>
      <c r="C1836" s="34">
        <v>22.7</v>
      </c>
      <c r="D1836" s="36">
        <v>44900.0</v>
      </c>
      <c r="E1836" s="24"/>
      <c r="F1836" s="14" t="s">
        <v>6012</v>
      </c>
      <c r="G1836" s="14">
        <v>40.68</v>
      </c>
      <c r="H1836" s="14">
        <v>0.0</v>
      </c>
      <c r="I1836" s="14" t="s">
        <v>6035</v>
      </c>
      <c r="J1836" s="14" t="s">
        <v>6012</v>
      </c>
      <c r="K1836" s="14" t="s">
        <v>6012</v>
      </c>
      <c r="L1836" s="14">
        <v>0.0</v>
      </c>
    </row>
    <row r="1837">
      <c r="A1837" s="14">
        <v>397.0</v>
      </c>
      <c r="B1837" s="14">
        <v>3.0</v>
      </c>
      <c r="C1837" s="34">
        <v>12.85</v>
      </c>
      <c r="D1837" s="36">
        <v>44900.0</v>
      </c>
      <c r="E1837" s="24"/>
      <c r="F1837" s="14">
        <v>4.28</v>
      </c>
      <c r="G1837" s="14">
        <v>32.37</v>
      </c>
      <c r="H1837" s="14">
        <v>0.76</v>
      </c>
      <c r="I1837" s="14" t="s">
        <v>6039</v>
      </c>
      <c r="J1837" s="14">
        <v>0.0</v>
      </c>
      <c r="K1837" s="14" t="s">
        <v>6012</v>
      </c>
      <c r="L1837" s="14">
        <v>0.0</v>
      </c>
    </row>
    <row r="1838">
      <c r="A1838" s="14">
        <v>941.0</v>
      </c>
      <c r="B1838" s="14">
        <v>5.0</v>
      </c>
      <c r="C1838" s="34">
        <v>12.87</v>
      </c>
      <c r="D1838" s="36">
        <v>44900.0</v>
      </c>
      <c r="E1838" s="24"/>
      <c r="F1838" s="14">
        <v>2.57</v>
      </c>
      <c r="G1838" s="14">
        <v>13.68</v>
      </c>
      <c r="H1838" s="14">
        <v>0.53</v>
      </c>
      <c r="I1838" s="14" t="s">
        <v>6037</v>
      </c>
      <c r="J1838" s="14">
        <v>0.0</v>
      </c>
      <c r="K1838" s="14" t="s">
        <v>6012</v>
      </c>
      <c r="L1838" s="14">
        <v>0.0</v>
      </c>
    </row>
    <row r="1839">
      <c r="A1839" s="14">
        <v>188.0</v>
      </c>
      <c r="B1839" s="14">
        <v>0.0</v>
      </c>
      <c r="C1839" s="34">
        <v>12.71</v>
      </c>
      <c r="D1839" s="36">
        <v>44901.0</v>
      </c>
      <c r="E1839" s="24"/>
      <c r="F1839" s="14" t="s">
        <v>6012</v>
      </c>
      <c r="G1839" s="14">
        <v>67.61</v>
      </c>
      <c r="H1839" s="14">
        <v>0.0</v>
      </c>
      <c r="I1839" s="14" t="s">
        <v>6038</v>
      </c>
      <c r="J1839" s="14" t="s">
        <v>6012</v>
      </c>
      <c r="K1839" s="14" t="s">
        <v>6012</v>
      </c>
      <c r="L1839" s="14">
        <v>0.0</v>
      </c>
    </row>
    <row r="1840">
      <c r="A1840" s="14">
        <v>531.0</v>
      </c>
      <c r="B1840" s="14">
        <v>0.0</v>
      </c>
      <c r="C1840" s="34">
        <v>24.15</v>
      </c>
      <c r="D1840" s="36">
        <v>44901.0</v>
      </c>
      <c r="E1840" s="24"/>
      <c r="F1840" s="14" t="s">
        <v>6012</v>
      </c>
      <c r="G1840" s="14">
        <v>45.48</v>
      </c>
      <c r="H1840" s="14">
        <v>0.0</v>
      </c>
      <c r="I1840" s="14" t="s">
        <v>6035</v>
      </c>
      <c r="J1840" s="14" t="s">
        <v>6012</v>
      </c>
      <c r="K1840" s="14" t="s">
        <v>6012</v>
      </c>
      <c r="L1840" s="14">
        <v>0.0</v>
      </c>
    </row>
    <row r="1841">
      <c r="A1841" s="14">
        <v>903.0</v>
      </c>
      <c r="B1841" s="14">
        <v>6.0</v>
      </c>
      <c r="C1841" s="34">
        <v>13.76</v>
      </c>
      <c r="D1841" s="36">
        <v>44901.0</v>
      </c>
      <c r="E1841" s="24"/>
      <c r="F1841" s="14">
        <v>2.29</v>
      </c>
      <c r="G1841" s="14">
        <v>15.24</v>
      </c>
      <c r="H1841" s="14">
        <v>0.66</v>
      </c>
      <c r="I1841" s="14" t="s">
        <v>6042</v>
      </c>
      <c r="J1841" s="14">
        <v>0.0</v>
      </c>
      <c r="K1841" s="14" t="s">
        <v>6012</v>
      </c>
      <c r="L1841" s="14">
        <v>0.0</v>
      </c>
    </row>
    <row r="1842">
      <c r="A1842" s="14">
        <v>325.0</v>
      </c>
      <c r="B1842" s="14">
        <v>2.0</v>
      </c>
      <c r="C1842" s="34">
        <v>12.95</v>
      </c>
      <c r="D1842" s="36">
        <v>44901.0</v>
      </c>
      <c r="E1842" s="24"/>
      <c r="F1842" s="14">
        <v>6.48</v>
      </c>
      <c r="G1842" s="14">
        <v>39.85</v>
      </c>
      <c r="H1842" s="14">
        <v>0.62</v>
      </c>
      <c r="I1842" s="14" t="s">
        <v>6039</v>
      </c>
      <c r="J1842" s="14">
        <v>0.0</v>
      </c>
      <c r="K1842" s="14" t="s">
        <v>6012</v>
      </c>
      <c r="L1842" s="14">
        <v>0.0</v>
      </c>
    </row>
    <row r="1843">
      <c r="A1843" s="14">
        <v>367.0</v>
      </c>
      <c r="B1843" s="14">
        <v>5.0</v>
      </c>
      <c r="C1843" s="34">
        <v>12.57</v>
      </c>
      <c r="D1843" s="36">
        <v>44901.0</v>
      </c>
      <c r="E1843" s="24"/>
      <c r="F1843" s="14">
        <v>2.51</v>
      </c>
      <c r="G1843" s="14">
        <v>34.25</v>
      </c>
      <c r="H1843" s="14">
        <v>1.36</v>
      </c>
      <c r="I1843" s="14" t="s">
        <v>6037</v>
      </c>
      <c r="J1843" s="14">
        <v>0.0</v>
      </c>
      <c r="K1843" s="14" t="s">
        <v>6012</v>
      </c>
      <c r="L1843" s="14">
        <v>0.0</v>
      </c>
    </row>
    <row r="1844">
      <c r="A1844" s="14">
        <v>525.0</v>
      </c>
      <c r="B1844" s="14">
        <v>2.0</v>
      </c>
      <c r="C1844" s="34">
        <v>23.43</v>
      </c>
      <c r="D1844" s="36">
        <v>44902.0</v>
      </c>
      <c r="E1844" s="24"/>
      <c r="F1844" s="14">
        <v>11.72</v>
      </c>
      <c r="G1844" s="14">
        <v>44.63</v>
      </c>
      <c r="H1844" s="14">
        <v>0.38</v>
      </c>
      <c r="I1844" s="14" t="s">
        <v>6035</v>
      </c>
      <c r="J1844" s="14">
        <v>0.0</v>
      </c>
      <c r="K1844" s="14" t="s">
        <v>6012</v>
      </c>
      <c r="L1844" s="14">
        <v>0.0</v>
      </c>
    </row>
    <row r="1845">
      <c r="A1845" s="14">
        <v>410.0</v>
      </c>
      <c r="B1845" s="14">
        <v>2.0</v>
      </c>
      <c r="C1845" s="34">
        <v>13.43</v>
      </c>
      <c r="D1845" s="36">
        <v>44902.0</v>
      </c>
      <c r="E1845" s="24"/>
      <c r="F1845" s="14">
        <v>6.72</v>
      </c>
      <c r="G1845" s="14">
        <v>32.76</v>
      </c>
      <c r="H1845" s="14">
        <v>0.49</v>
      </c>
      <c r="I1845" s="14" t="s">
        <v>6039</v>
      </c>
      <c r="J1845" s="14">
        <v>0.0</v>
      </c>
      <c r="K1845" s="14" t="s">
        <v>6012</v>
      </c>
      <c r="L1845" s="14">
        <v>0.0</v>
      </c>
    </row>
    <row r="1846">
      <c r="A1846" s="14">
        <v>197.0</v>
      </c>
      <c r="B1846" s="14">
        <v>0.0</v>
      </c>
      <c r="C1846" s="34">
        <v>13.26</v>
      </c>
      <c r="D1846" s="36">
        <v>44902.0</v>
      </c>
      <c r="E1846" s="24"/>
      <c r="F1846" s="14" t="s">
        <v>6012</v>
      </c>
      <c r="G1846" s="14">
        <v>67.31</v>
      </c>
      <c r="H1846" s="14">
        <v>0.0</v>
      </c>
      <c r="I1846" s="14" t="s">
        <v>6038</v>
      </c>
      <c r="J1846" s="14" t="s">
        <v>6012</v>
      </c>
      <c r="K1846" s="14">
        <v>13.26</v>
      </c>
      <c r="L1846" s="14">
        <v>0.0</v>
      </c>
    </row>
    <row r="1847">
      <c r="A1847" s="14">
        <v>396.0</v>
      </c>
      <c r="B1847" s="14">
        <v>2.0</v>
      </c>
      <c r="C1847" s="34">
        <v>13.29</v>
      </c>
      <c r="D1847" s="36">
        <v>44902.0</v>
      </c>
      <c r="E1847" s="24"/>
      <c r="F1847" s="14">
        <v>6.64</v>
      </c>
      <c r="G1847" s="14">
        <v>33.56</v>
      </c>
      <c r="H1847" s="14">
        <v>0.51</v>
      </c>
      <c r="I1847" s="14" t="s">
        <v>6037</v>
      </c>
      <c r="J1847" s="14">
        <v>0.0</v>
      </c>
      <c r="K1847" s="14" t="s">
        <v>6012</v>
      </c>
      <c r="L1847" s="14">
        <v>0.0</v>
      </c>
    </row>
    <row r="1848">
      <c r="A1848" s="14">
        <v>648.0</v>
      </c>
      <c r="B1848" s="14">
        <v>3.0</v>
      </c>
      <c r="C1848" s="34">
        <v>13.98</v>
      </c>
      <c r="D1848" s="36">
        <v>44902.0</v>
      </c>
      <c r="E1848" s="24"/>
      <c r="F1848" s="14">
        <v>4.66</v>
      </c>
      <c r="G1848" s="14">
        <v>21.57</v>
      </c>
      <c r="H1848" s="14">
        <v>0.46</v>
      </c>
      <c r="I1848" s="14" t="s">
        <v>6042</v>
      </c>
      <c r="J1848" s="14">
        <v>33.33</v>
      </c>
      <c r="K1848" s="14">
        <v>13.98</v>
      </c>
      <c r="L1848" s="14">
        <v>0.0</v>
      </c>
    </row>
    <row r="1849">
      <c r="A1849" s="14">
        <v>194.0</v>
      </c>
      <c r="B1849" s="14">
        <v>1.0</v>
      </c>
      <c r="C1849" s="34">
        <v>11.76</v>
      </c>
      <c r="D1849" s="36">
        <v>44903.0</v>
      </c>
      <c r="E1849" s="24"/>
      <c r="F1849" s="14">
        <v>11.76</v>
      </c>
      <c r="G1849" s="14">
        <v>60.62</v>
      </c>
      <c r="H1849" s="14">
        <v>0.52</v>
      </c>
      <c r="I1849" s="14" t="s">
        <v>6038</v>
      </c>
      <c r="J1849" s="14">
        <v>0.0</v>
      </c>
      <c r="K1849" s="14" t="s">
        <v>6012</v>
      </c>
      <c r="L1849" s="14">
        <v>0.0</v>
      </c>
    </row>
    <row r="1850">
      <c r="A1850" s="14">
        <v>478.0</v>
      </c>
      <c r="B1850" s="14">
        <v>1.0</v>
      </c>
      <c r="C1850" s="34">
        <v>21.66</v>
      </c>
      <c r="D1850" s="36">
        <v>44903.0</v>
      </c>
      <c r="E1850" s="24"/>
      <c r="F1850" s="14">
        <v>21.66</v>
      </c>
      <c r="G1850" s="14">
        <v>45.31</v>
      </c>
      <c r="H1850" s="14">
        <v>0.21</v>
      </c>
      <c r="I1850" s="14" t="s">
        <v>6035</v>
      </c>
      <c r="J1850" s="14">
        <v>0.0</v>
      </c>
      <c r="K1850" s="14" t="s">
        <v>6012</v>
      </c>
      <c r="L1850" s="14">
        <v>0.0</v>
      </c>
    </row>
    <row r="1851">
      <c r="A1851" s="14">
        <v>444.0</v>
      </c>
      <c r="B1851" s="14">
        <v>6.0</v>
      </c>
      <c r="C1851" s="34">
        <v>13.06</v>
      </c>
      <c r="D1851" s="36">
        <v>44903.0</v>
      </c>
      <c r="E1851" s="24"/>
      <c r="F1851" s="14">
        <v>2.18</v>
      </c>
      <c r="G1851" s="14">
        <v>29.41</v>
      </c>
      <c r="H1851" s="14">
        <v>1.35</v>
      </c>
      <c r="I1851" s="14" t="s">
        <v>6037</v>
      </c>
      <c r="J1851" s="14">
        <v>50.0</v>
      </c>
      <c r="K1851" s="14">
        <v>4.35</v>
      </c>
      <c r="L1851" s="14">
        <v>0.0</v>
      </c>
    </row>
    <row r="1852">
      <c r="A1852" s="14">
        <v>780.0</v>
      </c>
      <c r="B1852" s="14">
        <v>5.0</v>
      </c>
      <c r="C1852" s="34">
        <v>12.73</v>
      </c>
      <c r="D1852" s="36">
        <v>44903.0</v>
      </c>
      <c r="E1852" s="24"/>
      <c r="F1852" s="14">
        <v>2.55</v>
      </c>
      <c r="G1852" s="14">
        <v>16.32</v>
      </c>
      <c r="H1852" s="14">
        <v>0.64</v>
      </c>
      <c r="I1852" s="14" t="s">
        <v>6042</v>
      </c>
      <c r="J1852" s="14">
        <v>40.0</v>
      </c>
      <c r="K1852" s="14">
        <v>6.36</v>
      </c>
      <c r="L1852" s="14">
        <v>0.0</v>
      </c>
    </row>
    <row r="1853">
      <c r="A1853" s="14">
        <v>362.0</v>
      </c>
      <c r="B1853" s="14">
        <v>3.0</v>
      </c>
      <c r="C1853" s="34">
        <v>13.15</v>
      </c>
      <c r="D1853" s="36">
        <v>44903.0</v>
      </c>
      <c r="E1853" s="24"/>
      <c r="F1853" s="14">
        <v>4.38</v>
      </c>
      <c r="G1853" s="14">
        <v>36.33</v>
      </c>
      <c r="H1853" s="14">
        <v>0.83</v>
      </c>
      <c r="I1853" s="14" t="s">
        <v>6039</v>
      </c>
      <c r="J1853" s="14">
        <v>33.33</v>
      </c>
      <c r="K1853" s="14">
        <v>13.15</v>
      </c>
      <c r="L1853" s="14">
        <v>0.0</v>
      </c>
    </row>
    <row r="1854">
      <c r="A1854" s="14">
        <v>336.0</v>
      </c>
      <c r="B1854" s="14">
        <v>2.0</v>
      </c>
      <c r="C1854" s="34">
        <v>11.49</v>
      </c>
      <c r="D1854" s="36">
        <v>44904.0</v>
      </c>
      <c r="E1854" s="24"/>
      <c r="F1854" s="14">
        <v>5.74</v>
      </c>
      <c r="G1854" s="14">
        <v>34.2</v>
      </c>
      <c r="H1854" s="14">
        <v>0.6</v>
      </c>
      <c r="I1854" s="14" t="s">
        <v>6037</v>
      </c>
      <c r="J1854" s="14">
        <v>0.0</v>
      </c>
      <c r="K1854" s="14" t="s">
        <v>6012</v>
      </c>
      <c r="L1854" s="14">
        <v>0.0</v>
      </c>
    </row>
    <row r="1855">
      <c r="A1855" s="14">
        <v>468.0</v>
      </c>
      <c r="B1855" s="14">
        <v>3.0</v>
      </c>
      <c r="C1855" s="34">
        <v>12.08</v>
      </c>
      <c r="D1855" s="36">
        <v>44904.0</v>
      </c>
      <c r="E1855" s="24"/>
      <c r="F1855" s="14">
        <v>4.03</v>
      </c>
      <c r="G1855" s="14">
        <v>25.81</v>
      </c>
      <c r="H1855" s="14">
        <v>0.64</v>
      </c>
      <c r="I1855" s="14" t="s">
        <v>6042</v>
      </c>
      <c r="J1855" s="14">
        <v>0.0</v>
      </c>
      <c r="K1855" s="14" t="s">
        <v>6012</v>
      </c>
      <c r="L1855" s="14">
        <v>0.0</v>
      </c>
    </row>
    <row r="1856">
      <c r="A1856" s="14">
        <v>354.0</v>
      </c>
      <c r="B1856" s="14">
        <v>2.0</v>
      </c>
      <c r="C1856" s="34">
        <v>11.69</v>
      </c>
      <c r="D1856" s="36">
        <v>44904.0</v>
      </c>
      <c r="E1856" s="24"/>
      <c r="F1856" s="14">
        <v>5.84</v>
      </c>
      <c r="G1856" s="14">
        <v>33.02</v>
      </c>
      <c r="H1856" s="14">
        <v>0.56</v>
      </c>
      <c r="I1856" s="14" t="s">
        <v>6039</v>
      </c>
      <c r="J1856" s="14">
        <v>0.0</v>
      </c>
      <c r="K1856" s="14" t="s">
        <v>6012</v>
      </c>
      <c r="L1856" s="14">
        <v>0.0</v>
      </c>
    </row>
    <row r="1857">
      <c r="A1857" s="14">
        <v>162.0</v>
      </c>
      <c r="B1857" s="14">
        <v>1.0</v>
      </c>
      <c r="C1857" s="34">
        <v>10.03</v>
      </c>
      <c r="D1857" s="36">
        <v>44904.0</v>
      </c>
      <c r="E1857" s="24"/>
      <c r="F1857" s="14">
        <v>10.03</v>
      </c>
      <c r="G1857" s="14">
        <v>61.91</v>
      </c>
      <c r="H1857" s="14">
        <v>0.62</v>
      </c>
      <c r="I1857" s="14" t="s">
        <v>6038</v>
      </c>
      <c r="J1857" s="14">
        <v>0.0</v>
      </c>
      <c r="K1857" s="14" t="s">
        <v>6012</v>
      </c>
      <c r="L1857" s="14">
        <v>0.0</v>
      </c>
    </row>
    <row r="1858">
      <c r="A1858" s="14">
        <v>301.0</v>
      </c>
      <c r="B1858" s="14">
        <v>1.0</v>
      </c>
      <c r="C1858" s="34">
        <v>20.46</v>
      </c>
      <c r="D1858" s="36">
        <v>44904.0</v>
      </c>
      <c r="E1858" s="24"/>
      <c r="F1858" s="14">
        <v>20.46</v>
      </c>
      <c r="G1858" s="14">
        <v>67.97</v>
      </c>
      <c r="H1858" s="14">
        <v>0.33</v>
      </c>
      <c r="I1858" s="14" t="s">
        <v>6035</v>
      </c>
      <c r="J1858" s="14">
        <v>100.0</v>
      </c>
      <c r="K1858" s="14">
        <v>20.46</v>
      </c>
      <c r="L1858" s="14">
        <v>0.0</v>
      </c>
    </row>
    <row r="1859">
      <c r="A1859" s="14">
        <v>292.0</v>
      </c>
      <c r="B1859" s="14">
        <v>2.0</v>
      </c>
      <c r="C1859" s="34">
        <v>5.8</v>
      </c>
      <c r="D1859" s="36">
        <v>44905.0</v>
      </c>
      <c r="E1859" s="24"/>
      <c r="F1859" s="14">
        <v>2.9</v>
      </c>
      <c r="G1859" s="14">
        <v>19.86</v>
      </c>
      <c r="H1859" s="14">
        <v>0.68</v>
      </c>
      <c r="I1859" s="14" t="s">
        <v>6042</v>
      </c>
      <c r="J1859" s="14">
        <v>0.0</v>
      </c>
      <c r="K1859" s="14" t="s">
        <v>6012</v>
      </c>
      <c r="L1859" s="14">
        <v>0.0</v>
      </c>
    </row>
    <row r="1860">
      <c r="A1860" s="14">
        <v>49.0</v>
      </c>
      <c r="B1860" s="14">
        <v>0.0</v>
      </c>
      <c r="C1860" s="34">
        <v>5.6</v>
      </c>
      <c r="D1860" s="36">
        <v>44905.0</v>
      </c>
      <c r="E1860" s="24"/>
      <c r="F1860" s="14" t="s">
        <v>6012</v>
      </c>
      <c r="G1860" s="14">
        <v>114.29</v>
      </c>
      <c r="H1860" s="14">
        <v>0.0</v>
      </c>
      <c r="I1860" s="14" t="s">
        <v>6038</v>
      </c>
      <c r="J1860" s="14" t="s">
        <v>6012</v>
      </c>
      <c r="K1860" s="14" t="s">
        <v>6012</v>
      </c>
      <c r="L1860" s="14">
        <v>0.0</v>
      </c>
    </row>
    <row r="1861">
      <c r="A1861" s="14">
        <v>218.0</v>
      </c>
      <c r="B1861" s="14">
        <v>2.0</v>
      </c>
      <c r="C1861" s="34">
        <v>6.4</v>
      </c>
      <c r="D1861" s="36">
        <v>44905.0</v>
      </c>
      <c r="E1861" s="24"/>
      <c r="F1861" s="14">
        <v>3.2</v>
      </c>
      <c r="G1861" s="14">
        <v>29.36</v>
      </c>
      <c r="H1861" s="14">
        <v>0.92</v>
      </c>
      <c r="I1861" s="14" t="s">
        <v>6039</v>
      </c>
      <c r="J1861" s="14">
        <v>0.0</v>
      </c>
      <c r="K1861" s="14" t="s">
        <v>6012</v>
      </c>
      <c r="L1861" s="14">
        <v>0.0</v>
      </c>
    </row>
    <row r="1862">
      <c r="A1862" s="14">
        <v>220.0</v>
      </c>
      <c r="B1862" s="14">
        <v>3.0</v>
      </c>
      <c r="C1862" s="34">
        <v>6.92</v>
      </c>
      <c r="D1862" s="36">
        <v>44905.0</v>
      </c>
      <c r="E1862" s="24"/>
      <c r="F1862" s="14">
        <v>2.31</v>
      </c>
      <c r="G1862" s="14">
        <v>31.45</v>
      </c>
      <c r="H1862" s="14">
        <v>1.36</v>
      </c>
      <c r="I1862" s="14" t="s">
        <v>6037</v>
      </c>
      <c r="J1862" s="14">
        <v>0.0</v>
      </c>
      <c r="K1862" s="14" t="s">
        <v>6012</v>
      </c>
      <c r="L1862" s="14">
        <v>0.0</v>
      </c>
    </row>
    <row r="1863">
      <c r="A1863" s="14">
        <v>134.0</v>
      </c>
      <c r="B1863" s="14">
        <v>0.0</v>
      </c>
      <c r="C1863" s="34">
        <v>10.85</v>
      </c>
      <c r="D1863" s="36">
        <v>44905.0</v>
      </c>
      <c r="E1863" s="24"/>
      <c r="F1863" s="14" t="s">
        <v>6012</v>
      </c>
      <c r="G1863" s="14">
        <v>80.97</v>
      </c>
      <c r="H1863" s="14">
        <v>0.0</v>
      </c>
      <c r="I1863" s="14" t="s">
        <v>6035</v>
      </c>
      <c r="J1863" s="14" t="s">
        <v>6012</v>
      </c>
      <c r="K1863" s="14" t="s">
        <v>6012</v>
      </c>
      <c r="L1863" s="14">
        <v>0.0</v>
      </c>
    </row>
    <row r="1864">
      <c r="A1864" s="14">
        <v>346.0</v>
      </c>
      <c r="B1864" s="14">
        <v>1.0</v>
      </c>
      <c r="C1864" s="34">
        <v>5.38</v>
      </c>
      <c r="D1864" s="36">
        <v>44906.0</v>
      </c>
      <c r="E1864" s="24"/>
      <c r="F1864" s="14">
        <v>5.38</v>
      </c>
      <c r="G1864" s="14">
        <v>15.55</v>
      </c>
      <c r="H1864" s="14">
        <v>0.29</v>
      </c>
      <c r="I1864" s="14" t="s">
        <v>6042</v>
      </c>
      <c r="J1864" s="14">
        <v>100.0</v>
      </c>
      <c r="K1864" s="14">
        <v>5.38</v>
      </c>
      <c r="L1864" s="14">
        <v>0.0</v>
      </c>
    </row>
    <row r="1865">
      <c r="A1865" s="14">
        <v>124.0</v>
      </c>
      <c r="B1865" s="14">
        <v>1.0</v>
      </c>
      <c r="C1865" s="34">
        <v>9.75</v>
      </c>
      <c r="D1865" s="36">
        <v>44906.0</v>
      </c>
      <c r="E1865" s="24"/>
      <c r="F1865" s="14">
        <v>9.75</v>
      </c>
      <c r="G1865" s="14">
        <v>78.63</v>
      </c>
      <c r="H1865" s="14">
        <v>0.81</v>
      </c>
      <c r="I1865" s="14" t="s">
        <v>6035</v>
      </c>
      <c r="J1865" s="14">
        <v>0.0</v>
      </c>
      <c r="K1865" s="14" t="s">
        <v>6012</v>
      </c>
      <c r="L1865" s="14">
        <v>0.0</v>
      </c>
    </row>
    <row r="1866">
      <c r="A1866" s="14">
        <v>58.0</v>
      </c>
      <c r="B1866" s="14">
        <v>0.0</v>
      </c>
      <c r="C1866" s="34">
        <v>4.78</v>
      </c>
      <c r="D1866" s="36">
        <v>44906.0</v>
      </c>
      <c r="E1866" s="24"/>
      <c r="F1866" s="14" t="s">
        <v>6012</v>
      </c>
      <c r="G1866" s="14">
        <v>82.41</v>
      </c>
      <c r="H1866" s="14">
        <v>0.0</v>
      </c>
      <c r="I1866" s="14" t="s">
        <v>6038</v>
      </c>
      <c r="J1866" s="14" t="s">
        <v>6012</v>
      </c>
      <c r="K1866" s="14" t="s">
        <v>6012</v>
      </c>
      <c r="L1866" s="14">
        <v>0.0</v>
      </c>
    </row>
    <row r="1867">
      <c r="A1867" s="14">
        <v>289.0</v>
      </c>
      <c r="B1867" s="14">
        <v>1.0</v>
      </c>
      <c r="C1867" s="34">
        <v>6.8</v>
      </c>
      <c r="D1867" s="36">
        <v>44906.0</v>
      </c>
      <c r="E1867" s="24"/>
      <c r="F1867" s="14">
        <v>6.8</v>
      </c>
      <c r="G1867" s="14">
        <v>23.53</v>
      </c>
      <c r="H1867" s="14">
        <v>0.35</v>
      </c>
      <c r="I1867" s="14" t="s">
        <v>6037</v>
      </c>
      <c r="J1867" s="14">
        <v>0.0</v>
      </c>
      <c r="K1867" s="14" t="s">
        <v>6012</v>
      </c>
      <c r="L1867" s="14">
        <v>0.0</v>
      </c>
    </row>
    <row r="1868">
      <c r="A1868" s="14">
        <v>193.0</v>
      </c>
      <c r="B1868" s="14">
        <v>2.0</v>
      </c>
      <c r="C1868" s="34">
        <v>6.43</v>
      </c>
      <c r="D1868" s="36">
        <v>44906.0</v>
      </c>
      <c r="E1868" s="24"/>
      <c r="F1868" s="14">
        <v>3.22</v>
      </c>
      <c r="G1868" s="14">
        <v>33.32</v>
      </c>
      <c r="H1868" s="14">
        <v>1.04</v>
      </c>
      <c r="I1868" s="14" t="s">
        <v>6039</v>
      </c>
      <c r="J1868" s="14">
        <v>0.0</v>
      </c>
      <c r="K1868" s="14" t="s">
        <v>6012</v>
      </c>
      <c r="L1868" s="14">
        <v>0.0</v>
      </c>
    </row>
    <row r="1869">
      <c r="A1869" s="14">
        <v>533.0</v>
      </c>
      <c r="B1869" s="14">
        <v>3.0</v>
      </c>
      <c r="C1869" s="34">
        <v>12.91</v>
      </c>
      <c r="D1869" s="36">
        <v>44907.0</v>
      </c>
      <c r="E1869" s="24"/>
      <c r="F1869" s="14">
        <v>4.3</v>
      </c>
      <c r="G1869" s="14">
        <v>24.22</v>
      </c>
      <c r="H1869" s="14">
        <v>0.56</v>
      </c>
      <c r="I1869" s="14" t="s">
        <v>6039</v>
      </c>
      <c r="J1869" s="14">
        <v>66.67</v>
      </c>
      <c r="K1869" s="14">
        <v>6.46</v>
      </c>
      <c r="L1869" s="14">
        <v>0.0</v>
      </c>
    </row>
    <row r="1870">
      <c r="A1870" s="14">
        <v>596.0</v>
      </c>
      <c r="B1870" s="14">
        <v>2.0</v>
      </c>
      <c r="C1870" s="34">
        <v>22.6</v>
      </c>
      <c r="D1870" s="36">
        <v>44907.0</v>
      </c>
      <c r="E1870" s="24"/>
      <c r="F1870" s="14">
        <v>11.3</v>
      </c>
      <c r="G1870" s="14">
        <v>37.92</v>
      </c>
      <c r="H1870" s="14">
        <v>0.34</v>
      </c>
      <c r="I1870" s="14" t="s">
        <v>6035</v>
      </c>
      <c r="J1870" s="14">
        <v>0.0</v>
      </c>
      <c r="K1870" s="14" t="s">
        <v>6012</v>
      </c>
      <c r="L1870" s="14">
        <v>0.0</v>
      </c>
    </row>
    <row r="1871">
      <c r="A1871" s="14">
        <v>135.0</v>
      </c>
      <c r="B1871" s="14">
        <v>1.0</v>
      </c>
      <c r="C1871" s="34">
        <v>12.38</v>
      </c>
      <c r="D1871" s="36">
        <v>44907.0</v>
      </c>
      <c r="E1871" s="24"/>
      <c r="F1871" s="14">
        <v>12.38</v>
      </c>
      <c r="G1871" s="14">
        <v>91.7</v>
      </c>
      <c r="H1871" s="14">
        <v>0.74</v>
      </c>
      <c r="I1871" s="14" t="s">
        <v>6038</v>
      </c>
      <c r="J1871" s="14">
        <v>0.0</v>
      </c>
      <c r="K1871" s="14" t="s">
        <v>6012</v>
      </c>
      <c r="L1871" s="14">
        <v>0.0</v>
      </c>
    </row>
    <row r="1872">
      <c r="A1872" s="14">
        <v>774.0</v>
      </c>
      <c r="B1872" s="14">
        <v>6.0</v>
      </c>
      <c r="C1872" s="34">
        <v>12.91</v>
      </c>
      <c r="D1872" s="36">
        <v>44907.0</v>
      </c>
      <c r="E1872" s="24"/>
      <c r="F1872" s="14">
        <v>2.15</v>
      </c>
      <c r="G1872" s="14">
        <v>16.68</v>
      </c>
      <c r="H1872" s="14">
        <v>0.78</v>
      </c>
      <c r="I1872" s="14" t="s">
        <v>6037</v>
      </c>
      <c r="J1872" s="14">
        <v>0.0</v>
      </c>
      <c r="K1872" s="14" t="s">
        <v>6012</v>
      </c>
      <c r="L1872" s="14">
        <v>0.0</v>
      </c>
    </row>
    <row r="1873">
      <c r="A1873" s="14">
        <v>925.0</v>
      </c>
      <c r="B1873" s="14">
        <v>7.0</v>
      </c>
      <c r="C1873" s="34">
        <v>13.43</v>
      </c>
      <c r="D1873" s="36">
        <v>44907.0</v>
      </c>
      <c r="E1873" s="24"/>
      <c r="F1873" s="14">
        <v>1.92</v>
      </c>
      <c r="G1873" s="14">
        <v>14.52</v>
      </c>
      <c r="H1873" s="14">
        <v>0.76</v>
      </c>
      <c r="I1873" s="14" t="s">
        <v>6042</v>
      </c>
      <c r="J1873" s="14">
        <v>14.29</v>
      </c>
      <c r="K1873" s="14">
        <v>13.43</v>
      </c>
      <c r="L1873" s="14">
        <v>0.0</v>
      </c>
    </row>
    <row r="1874">
      <c r="A1874" s="14">
        <v>905.0</v>
      </c>
      <c r="B1874" s="14">
        <v>5.0</v>
      </c>
      <c r="C1874" s="34">
        <v>13.86</v>
      </c>
      <c r="D1874" s="36">
        <v>44908.0</v>
      </c>
      <c r="E1874" s="24"/>
      <c r="F1874" s="14">
        <v>2.77</v>
      </c>
      <c r="G1874" s="14">
        <v>15.31</v>
      </c>
      <c r="H1874" s="14">
        <v>0.55</v>
      </c>
      <c r="I1874" s="14" t="s">
        <v>6042</v>
      </c>
      <c r="J1874" s="14">
        <v>20.0</v>
      </c>
      <c r="K1874" s="14">
        <v>13.86</v>
      </c>
      <c r="L1874" s="14">
        <v>0.0</v>
      </c>
    </row>
    <row r="1875">
      <c r="A1875" s="14">
        <v>42.0</v>
      </c>
      <c r="B1875" s="14">
        <v>1.0</v>
      </c>
      <c r="C1875" s="34">
        <v>13.91</v>
      </c>
      <c r="D1875" s="36">
        <v>44908.0</v>
      </c>
      <c r="E1875" s="24"/>
      <c r="F1875" s="14">
        <v>13.91</v>
      </c>
      <c r="G1875" s="14">
        <v>331.19</v>
      </c>
      <c r="H1875" s="14">
        <v>2.38</v>
      </c>
      <c r="I1875" s="14" t="s">
        <v>6038</v>
      </c>
      <c r="J1875" s="14">
        <v>0.0</v>
      </c>
      <c r="K1875" s="14" t="s">
        <v>6012</v>
      </c>
      <c r="L1875" s="14">
        <v>0.0</v>
      </c>
    </row>
    <row r="1876">
      <c r="A1876" s="14">
        <v>537.0</v>
      </c>
      <c r="B1876" s="14">
        <v>1.0</v>
      </c>
      <c r="C1876" s="34">
        <v>13.09</v>
      </c>
      <c r="D1876" s="36">
        <v>44908.0</v>
      </c>
      <c r="E1876" s="24"/>
      <c r="F1876" s="14">
        <v>13.09</v>
      </c>
      <c r="G1876" s="14">
        <v>24.38</v>
      </c>
      <c r="H1876" s="14">
        <v>0.19</v>
      </c>
      <c r="I1876" s="14" t="s">
        <v>6039</v>
      </c>
      <c r="J1876" s="14">
        <v>0.0</v>
      </c>
      <c r="K1876" s="14" t="s">
        <v>6012</v>
      </c>
      <c r="L1876" s="14">
        <v>0.0</v>
      </c>
    </row>
    <row r="1877">
      <c r="A1877" s="14">
        <v>741.0</v>
      </c>
      <c r="B1877" s="14">
        <v>5.0</v>
      </c>
      <c r="C1877" s="34">
        <v>24.27</v>
      </c>
      <c r="D1877" s="36">
        <v>44908.0</v>
      </c>
      <c r="E1877" s="24"/>
      <c r="F1877" s="14">
        <v>4.85</v>
      </c>
      <c r="G1877" s="14">
        <v>32.75</v>
      </c>
      <c r="H1877" s="14">
        <v>0.67</v>
      </c>
      <c r="I1877" s="14" t="s">
        <v>6035</v>
      </c>
      <c r="J1877" s="14">
        <v>0.0</v>
      </c>
      <c r="K1877" s="14" t="s">
        <v>6012</v>
      </c>
      <c r="L1877" s="14">
        <v>0.0</v>
      </c>
    </row>
    <row r="1878">
      <c r="A1878" s="14">
        <v>917.0</v>
      </c>
      <c r="B1878" s="14">
        <v>5.0</v>
      </c>
      <c r="C1878" s="34">
        <v>12.74</v>
      </c>
      <c r="D1878" s="36">
        <v>44908.0</v>
      </c>
      <c r="E1878" s="24"/>
      <c r="F1878" s="14">
        <v>2.55</v>
      </c>
      <c r="G1878" s="14">
        <v>13.89</v>
      </c>
      <c r="H1878" s="14">
        <v>0.55</v>
      </c>
      <c r="I1878" s="14" t="s">
        <v>6037</v>
      </c>
      <c r="J1878" s="14">
        <v>0.0</v>
      </c>
      <c r="K1878" s="14" t="s">
        <v>6012</v>
      </c>
      <c r="L1878" s="14">
        <v>0.0</v>
      </c>
    </row>
    <row r="1879">
      <c r="A1879" s="14">
        <v>729.0</v>
      </c>
      <c r="B1879" s="14">
        <v>3.0</v>
      </c>
      <c r="C1879" s="34">
        <v>13.74</v>
      </c>
      <c r="D1879" s="36">
        <v>44909.0</v>
      </c>
      <c r="E1879" s="24"/>
      <c r="F1879" s="14">
        <v>4.58</v>
      </c>
      <c r="G1879" s="14">
        <v>18.85</v>
      </c>
      <c r="H1879" s="14">
        <v>0.41</v>
      </c>
      <c r="I1879" s="14" t="s">
        <v>6042</v>
      </c>
      <c r="J1879" s="14">
        <v>100.0</v>
      </c>
      <c r="K1879" s="14">
        <v>4.58</v>
      </c>
      <c r="L1879" s="14">
        <v>0.0</v>
      </c>
    </row>
    <row r="1880">
      <c r="A1880" s="14">
        <v>498.0</v>
      </c>
      <c r="B1880" s="14">
        <v>3.0</v>
      </c>
      <c r="C1880" s="34">
        <v>23.2</v>
      </c>
      <c r="D1880" s="36">
        <v>44909.0</v>
      </c>
      <c r="E1880" s="24"/>
      <c r="F1880" s="14">
        <v>7.73</v>
      </c>
      <c r="G1880" s="14">
        <v>46.59</v>
      </c>
      <c r="H1880" s="14">
        <v>0.6</v>
      </c>
      <c r="I1880" s="14" t="s">
        <v>6035</v>
      </c>
      <c r="J1880" s="14">
        <v>0.0</v>
      </c>
      <c r="K1880" s="14" t="s">
        <v>6012</v>
      </c>
      <c r="L1880" s="14">
        <v>0.0</v>
      </c>
    </row>
    <row r="1881">
      <c r="A1881" s="14">
        <v>489.0</v>
      </c>
      <c r="B1881" s="14">
        <v>4.0</v>
      </c>
      <c r="C1881" s="34">
        <v>13.14</v>
      </c>
      <c r="D1881" s="36">
        <v>44909.0</v>
      </c>
      <c r="E1881" s="24"/>
      <c r="F1881" s="14">
        <v>3.28</v>
      </c>
      <c r="G1881" s="14">
        <v>26.87</v>
      </c>
      <c r="H1881" s="14">
        <v>0.82</v>
      </c>
      <c r="I1881" s="14" t="s">
        <v>6039</v>
      </c>
      <c r="J1881" s="14">
        <v>25.0</v>
      </c>
      <c r="K1881" s="14">
        <v>13.14</v>
      </c>
      <c r="L1881" s="14">
        <v>0.0</v>
      </c>
    </row>
    <row r="1882">
      <c r="A1882" s="14">
        <v>386.0</v>
      </c>
      <c r="B1882" s="14">
        <v>5.0</v>
      </c>
      <c r="C1882" s="34">
        <v>13.25</v>
      </c>
      <c r="D1882" s="36">
        <v>44909.0</v>
      </c>
      <c r="E1882" s="24"/>
      <c r="F1882" s="14">
        <v>2.65</v>
      </c>
      <c r="G1882" s="14">
        <v>34.33</v>
      </c>
      <c r="H1882" s="14">
        <v>1.3</v>
      </c>
      <c r="I1882" s="14" t="s">
        <v>6037</v>
      </c>
      <c r="J1882" s="14">
        <v>0.0</v>
      </c>
      <c r="K1882" s="14" t="s">
        <v>6012</v>
      </c>
      <c r="L1882" s="14">
        <v>0.0</v>
      </c>
    </row>
    <row r="1883">
      <c r="A1883" s="14">
        <v>170.0</v>
      </c>
      <c r="B1883" s="14">
        <v>1.0</v>
      </c>
      <c r="C1883" s="34">
        <v>11.95</v>
      </c>
      <c r="D1883" s="36">
        <v>44909.0</v>
      </c>
      <c r="E1883" s="24"/>
      <c r="F1883" s="14">
        <v>11.95</v>
      </c>
      <c r="G1883" s="14">
        <v>70.29</v>
      </c>
      <c r="H1883" s="14">
        <v>0.59</v>
      </c>
      <c r="I1883" s="14" t="s">
        <v>6038</v>
      </c>
      <c r="J1883" s="14">
        <v>0.0</v>
      </c>
      <c r="K1883" s="14" t="s">
        <v>6012</v>
      </c>
      <c r="L1883" s="14">
        <v>0.0</v>
      </c>
    </row>
    <row r="1884">
      <c r="A1884" s="14">
        <v>500.0</v>
      </c>
      <c r="B1884" s="14">
        <v>4.0</v>
      </c>
      <c r="C1884" s="34">
        <v>21.63</v>
      </c>
      <c r="D1884" s="36">
        <v>44910.0</v>
      </c>
      <c r="E1884" s="24"/>
      <c r="F1884" s="14">
        <v>5.41</v>
      </c>
      <c r="G1884" s="14">
        <v>43.26</v>
      </c>
      <c r="H1884" s="14">
        <v>0.8</v>
      </c>
      <c r="I1884" s="14" t="s">
        <v>6035</v>
      </c>
      <c r="J1884" s="14">
        <v>0.0</v>
      </c>
      <c r="K1884" s="14" t="s">
        <v>6012</v>
      </c>
      <c r="L1884" s="14">
        <v>0.0</v>
      </c>
    </row>
    <row r="1885">
      <c r="A1885" s="14">
        <v>171.0</v>
      </c>
      <c r="B1885" s="14">
        <v>2.0</v>
      </c>
      <c r="C1885" s="34">
        <v>11.16</v>
      </c>
      <c r="D1885" s="36">
        <v>44910.0</v>
      </c>
      <c r="E1885" s="24"/>
      <c r="F1885" s="14">
        <v>5.58</v>
      </c>
      <c r="G1885" s="14">
        <v>65.26</v>
      </c>
      <c r="H1885" s="14">
        <v>1.17</v>
      </c>
      <c r="I1885" s="14" t="s">
        <v>6038</v>
      </c>
      <c r="J1885" s="14">
        <v>50.0</v>
      </c>
      <c r="K1885" s="14">
        <v>11.16</v>
      </c>
      <c r="L1885" s="14">
        <v>0.0</v>
      </c>
    </row>
    <row r="1886">
      <c r="A1886" s="14">
        <v>414.0</v>
      </c>
      <c r="B1886" s="14">
        <v>4.0</v>
      </c>
      <c r="C1886" s="34">
        <v>13.32</v>
      </c>
      <c r="D1886" s="36">
        <v>44910.0</v>
      </c>
      <c r="E1886" s="24"/>
      <c r="F1886" s="14">
        <v>3.33</v>
      </c>
      <c r="G1886" s="14">
        <v>32.17</v>
      </c>
      <c r="H1886" s="14">
        <v>0.97</v>
      </c>
      <c r="I1886" s="14" t="s">
        <v>6039</v>
      </c>
      <c r="J1886" s="14">
        <v>0.0</v>
      </c>
      <c r="K1886" s="14" t="s">
        <v>6012</v>
      </c>
      <c r="L1886" s="14">
        <v>0.0</v>
      </c>
    </row>
    <row r="1887">
      <c r="A1887" s="14">
        <v>680.0</v>
      </c>
      <c r="B1887" s="14">
        <v>1.0</v>
      </c>
      <c r="C1887" s="34">
        <v>13.04</v>
      </c>
      <c r="D1887" s="36">
        <v>44910.0</v>
      </c>
      <c r="E1887" s="24"/>
      <c r="F1887" s="14">
        <v>13.04</v>
      </c>
      <c r="G1887" s="14">
        <v>19.18</v>
      </c>
      <c r="H1887" s="14">
        <v>0.15</v>
      </c>
      <c r="I1887" s="14" t="s">
        <v>6042</v>
      </c>
      <c r="J1887" s="14">
        <v>0.0</v>
      </c>
      <c r="K1887" s="14" t="s">
        <v>6012</v>
      </c>
      <c r="L1887" s="14">
        <v>0.0</v>
      </c>
    </row>
    <row r="1888">
      <c r="A1888" s="14">
        <v>895.0</v>
      </c>
      <c r="B1888" s="14">
        <v>2.0</v>
      </c>
      <c r="C1888" s="34">
        <v>12.67</v>
      </c>
      <c r="D1888" s="36">
        <v>44910.0</v>
      </c>
      <c r="E1888" s="24"/>
      <c r="F1888" s="14">
        <v>6.34</v>
      </c>
      <c r="G1888" s="14">
        <v>14.16</v>
      </c>
      <c r="H1888" s="14">
        <v>0.22</v>
      </c>
      <c r="I1888" s="14" t="s">
        <v>6037</v>
      </c>
      <c r="J1888" s="14">
        <v>100.0</v>
      </c>
      <c r="K1888" s="14">
        <v>6.34</v>
      </c>
      <c r="L1888" s="14">
        <v>0.0</v>
      </c>
    </row>
    <row r="1889">
      <c r="A1889" s="14">
        <v>327.0</v>
      </c>
      <c r="B1889" s="14">
        <v>3.0</v>
      </c>
      <c r="C1889" s="34">
        <v>11.45</v>
      </c>
      <c r="D1889" s="36">
        <v>44911.0</v>
      </c>
      <c r="E1889" s="24"/>
      <c r="F1889" s="14">
        <v>3.82</v>
      </c>
      <c r="G1889" s="14">
        <v>35.02</v>
      </c>
      <c r="H1889" s="14">
        <v>0.92</v>
      </c>
      <c r="I1889" s="14" t="s">
        <v>6037</v>
      </c>
      <c r="J1889" s="14">
        <v>33.33</v>
      </c>
      <c r="K1889" s="14">
        <v>11.45</v>
      </c>
      <c r="L1889" s="14">
        <v>0.0</v>
      </c>
    </row>
    <row r="1890">
      <c r="A1890" s="14">
        <v>131.0</v>
      </c>
      <c r="B1890" s="14">
        <v>0.0</v>
      </c>
      <c r="C1890" s="34">
        <v>10.04</v>
      </c>
      <c r="D1890" s="36">
        <v>44911.0</v>
      </c>
      <c r="E1890" s="24"/>
      <c r="F1890" s="14" t="s">
        <v>6012</v>
      </c>
      <c r="G1890" s="14">
        <v>76.64</v>
      </c>
      <c r="H1890" s="14">
        <v>0.0</v>
      </c>
      <c r="I1890" s="14" t="s">
        <v>6038</v>
      </c>
      <c r="J1890" s="14" t="s">
        <v>6012</v>
      </c>
      <c r="K1890" s="14" t="s">
        <v>6012</v>
      </c>
      <c r="L1890" s="14">
        <v>0.0</v>
      </c>
    </row>
    <row r="1891">
      <c r="A1891" s="14">
        <v>384.0</v>
      </c>
      <c r="B1891" s="14">
        <v>2.0</v>
      </c>
      <c r="C1891" s="34">
        <v>11.73</v>
      </c>
      <c r="D1891" s="36">
        <v>44911.0</v>
      </c>
      <c r="E1891" s="24"/>
      <c r="F1891" s="14">
        <v>5.86</v>
      </c>
      <c r="G1891" s="14">
        <v>30.55</v>
      </c>
      <c r="H1891" s="14">
        <v>0.52</v>
      </c>
      <c r="I1891" s="14" t="s">
        <v>6039</v>
      </c>
      <c r="J1891" s="14">
        <v>50.0</v>
      </c>
      <c r="K1891" s="14">
        <v>11.73</v>
      </c>
      <c r="L1891" s="14">
        <v>0.0</v>
      </c>
    </row>
    <row r="1892">
      <c r="A1892" s="14">
        <v>326.0</v>
      </c>
      <c r="B1892" s="14">
        <v>1.0</v>
      </c>
      <c r="C1892" s="34">
        <v>20.54</v>
      </c>
      <c r="D1892" s="36">
        <v>44911.0</v>
      </c>
      <c r="E1892" s="24"/>
      <c r="F1892" s="14">
        <v>20.54</v>
      </c>
      <c r="G1892" s="14">
        <v>63.01</v>
      </c>
      <c r="H1892" s="14">
        <v>0.31</v>
      </c>
      <c r="I1892" s="14" t="s">
        <v>6035</v>
      </c>
      <c r="J1892" s="14">
        <v>200.0</v>
      </c>
      <c r="K1892" s="14">
        <v>10.27</v>
      </c>
      <c r="L1892" s="14">
        <v>0.0</v>
      </c>
    </row>
    <row r="1893">
      <c r="A1893" s="14">
        <v>602.0</v>
      </c>
      <c r="B1893" s="14">
        <v>2.0</v>
      </c>
      <c r="C1893" s="34">
        <v>11.53</v>
      </c>
      <c r="D1893" s="36">
        <v>44911.0</v>
      </c>
      <c r="E1893" s="24"/>
      <c r="F1893" s="14">
        <v>5.76</v>
      </c>
      <c r="G1893" s="14">
        <v>19.15</v>
      </c>
      <c r="H1893" s="14">
        <v>0.33</v>
      </c>
      <c r="I1893" s="14" t="s">
        <v>6042</v>
      </c>
      <c r="J1893" s="14">
        <v>0.0</v>
      </c>
      <c r="K1893" s="14" t="s">
        <v>6012</v>
      </c>
      <c r="L1893" s="14">
        <v>0.0</v>
      </c>
    </row>
    <row r="1894">
      <c r="A1894" s="14">
        <v>205.0</v>
      </c>
      <c r="B1894" s="14">
        <v>4.0</v>
      </c>
      <c r="C1894" s="34">
        <v>6.45</v>
      </c>
      <c r="D1894" s="36">
        <v>44912.0</v>
      </c>
      <c r="E1894" s="24"/>
      <c r="F1894" s="14">
        <v>1.61</v>
      </c>
      <c r="G1894" s="14">
        <v>31.46</v>
      </c>
      <c r="H1894" s="14">
        <v>1.95</v>
      </c>
      <c r="I1894" s="14" t="s">
        <v>6039</v>
      </c>
      <c r="J1894" s="14">
        <v>0.0</v>
      </c>
      <c r="K1894" s="14" t="s">
        <v>6012</v>
      </c>
      <c r="L1894" s="14">
        <v>0.0</v>
      </c>
    </row>
    <row r="1895">
      <c r="A1895" s="14">
        <v>176.0</v>
      </c>
      <c r="B1895" s="14">
        <v>2.0</v>
      </c>
      <c r="C1895" s="34">
        <v>7.24</v>
      </c>
      <c r="D1895" s="36">
        <v>44912.0</v>
      </c>
      <c r="E1895" s="24"/>
      <c r="F1895" s="14">
        <v>3.62</v>
      </c>
      <c r="G1895" s="14">
        <v>41.14</v>
      </c>
      <c r="H1895" s="14">
        <v>1.14</v>
      </c>
      <c r="I1895" s="14" t="s">
        <v>6037</v>
      </c>
      <c r="J1895" s="14">
        <v>0.0</v>
      </c>
      <c r="K1895" s="14" t="s">
        <v>6012</v>
      </c>
      <c r="L1895" s="14">
        <v>0.0</v>
      </c>
    </row>
    <row r="1896">
      <c r="A1896" s="14">
        <v>415.0</v>
      </c>
      <c r="B1896" s="14">
        <v>3.0</v>
      </c>
      <c r="C1896" s="34">
        <v>6.08</v>
      </c>
      <c r="D1896" s="36">
        <v>44912.0</v>
      </c>
      <c r="E1896" s="24"/>
      <c r="F1896" s="14">
        <v>2.03</v>
      </c>
      <c r="G1896" s="14">
        <v>14.65</v>
      </c>
      <c r="H1896" s="14">
        <v>0.72</v>
      </c>
      <c r="I1896" s="14" t="s">
        <v>6042</v>
      </c>
      <c r="J1896" s="14">
        <v>0.0</v>
      </c>
      <c r="K1896" s="14" t="s">
        <v>6012</v>
      </c>
      <c r="L1896" s="14">
        <v>0.0</v>
      </c>
    </row>
    <row r="1897">
      <c r="A1897" s="14">
        <v>196.0</v>
      </c>
      <c r="B1897" s="14">
        <v>2.0</v>
      </c>
      <c r="C1897" s="34">
        <v>11.38</v>
      </c>
      <c r="D1897" s="36">
        <v>44912.0</v>
      </c>
      <c r="E1897" s="24"/>
      <c r="F1897" s="14">
        <v>5.69</v>
      </c>
      <c r="G1897" s="14">
        <v>58.06</v>
      </c>
      <c r="H1897" s="14">
        <v>1.02</v>
      </c>
      <c r="I1897" s="14" t="s">
        <v>6035</v>
      </c>
      <c r="J1897" s="14">
        <v>0.0</v>
      </c>
      <c r="K1897" s="14" t="s">
        <v>6012</v>
      </c>
      <c r="L1897" s="14">
        <v>0.0</v>
      </c>
    </row>
    <row r="1898">
      <c r="A1898" s="14">
        <v>68.0</v>
      </c>
      <c r="B1898" s="14">
        <v>0.0</v>
      </c>
      <c r="C1898" s="34">
        <v>5.89</v>
      </c>
      <c r="D1898" s="36">
        <v>44912.0</v>
      </c>
      <c r="E1898" s="24"/>
      <c r="F1898" s="14" t="s">
        <v>6012</v>
      </c>
      <c r="G1898" s="14">
        <v>86.62</v>
      </c>
      <c r="H1898" s="14">
        <v>0.0</v>
      </c>
      <c r="I1898" s="14" t="s">
        <v>6038</v>
      </c>
      <c r="J1898" s="14" t="s">
        <v>6012</v>
      </c>
      <c r="K1898" s="14" t="s">
        <v>6012</v>
      </c>
      <c r="L1898" s="14">
        <v>0.0</v>
      </c>
    </row>
    <row r="1899">
      <c r="A1899" s="14">
        <v>147.0</v>
      </c>
      <c r="B1899" s="14">
        <v>0.0</v>
      </c>
      <c r="C1899" s="34">
        <v>9.38</v>
      </c>
      <c r="D1899" s="36">
        <v>44913.0</v>
      </c>
      <c r="E1899" s="24"/>
      <c r="F1899" s="14" t="s">
        <v>6012</v>
      </c>
      <c r="G1899" s="14">
        <v>63.81</v>
      </c>
      <c r="H1899" s="14">
        <v>0.0</v>
      </c>
      <c r="I1899" s="14" t="s">
        <v>6035</v>
      </c>
      <c r="J1899" s="14" t="s">
        <v>6012</v>
      </c>
      <c r="K1899" s="14" t="s">
        <v>6012</v>
      </c>
      <c r="L1899" s="14">
        <v>0.0</v>
      </c>
    </row>
    <row r="1900">
      <c r="A1900" s="14">
        <v>373.0</v>
      </c>
      <c r="B1900" s="14">
        <v>2.0</v>
      </c>
      <c r="C1900" s="34">
        <v>5.32</v>
      </c>
      <c r="D1900" s="36">
        <v>44913.0</v>
      </c>
      <c r="E1900" s="24"/>
      <c r="F1900" s="14">
        <v>2.66</v>
      </c>
      <c r="G1900" s="14">
        <v>14.26</v>
      </c>
      <c r="H1900" s="14">
        <v>0.54</v>
      </c>
      <c r="I1900" s="14" t="s">
        <v>6042</v>
      </c>
      <c r="J1900" s="14">
        <v>0.0</v>
      </c>
      <c r="K1900" s="14" t="s">
        <v>6012</v>
      </c>
      <c r="L1900" s="14">
        <v>0.0</v>
      </c>
    </row>
    <row r="1901">
      <c r="A1901" s="14">
        <v>48.0</v>
      </c>
      <c r="B1901" s="14">
        <v>0.0</v>
      </c>
      <c r="C1901" s="34">
        <v>4.67</v>
      </c>
      <c r="D1901" s="36">
        <v>44913.0</v>
      </c>
      <c r="E1901" s="24"/>
      <c r="F1901" s="14" t="s">
        <v>6012</v>
      </c>
      <c r="G1901" s="14">
        <v>97.29</v>
      </c>
      <c r="H1901" s="14">
        <v>0.0</v>
      </c>
      <c r="I1901" s="14" t="s">
        <v>6038</v>
      </c>
      <c r="J1901" s="14" t="s">
        <v>6012</v>
      </c>
      <c r="K1901" s="14" t="s">
        <v>6012</v>
      </c>
      <c r="L1901" s="14">
        <v>0.0</v>
      </c>
    </row>
    <row r="1902">
      <c r="A1902" s="14">
        <v>220.0</v>
      </c>
      <c r="B1902" s="14">
        <v>1.0</v>
      </c>
      <c r="C1902" s="34">
        <v>6.36</v>
      </c>
      <c r="D1902" s="36">
        <v>44913.0</v>
      </c>
      <c r="E1902" s="24"/>
      <c r="F1902" s="14">
        <v>6.36</v>
      </c>
      <c r="G1902" s="14">
        <v>28.91</v>
      </c>
      <c r="H1902" s="14">
        <v>0.45</v>
      </c>
      <c r="I1902" s="14" t="s">
        <v>6039</v>
      </c>
      <c r="J1902" s="14">
        <v>0.0</v>
      </c>
      <c r="K1902" s="14" t="s">
        <v>6012</v>
      </c>
      <c r="L1902" s="14">
        <v>0.0</v>
      </c>
    </row>
    <row r="1903">
      <c r="A1903" s="14">
        <v>211.0</v>
      </c>
      <c r="B1903" s="14">
        <v>4.0</v>
      </c>
      <c r="C1903" s="34">
        <v>6.74</v>
      </c>
      <c r="D1903" s="36">
        <v>44913.0</v>
      </c>
      <c r="E1903" s="24"/>
      <c r="F1903" s="14">
        <v>1.68</v>
      </c>
      <c r="G1903" s="14">
        <v>31.94</v>
      </c>
      <c r="H1903" s="14">
        <v>1.9</v>
      </c>
      <c r="I1903" s="14" t="s">
        <v>6037</v>
      </c>
      <c r="J1903" s="14">
        <v>0.0</v>
      </c>
      <c r="K1903" s="14" t="s">
        <v>6012</v>
      </c>
      <c r="L1903" s="14">
        <v>0.0</v>
      </c>
    </row>
    <row r="1904">
      <c r="A1904" s="14">
        <v>675.0</v>
      </c>
      <c r="B1904" s="14">
        <v>1.0</v>
      </c>
      <c r="C1904" s="34">
        <v>22.63</v>
      </c>
      <c r="D1904" s="36">
        <v>44914.0</v>
      </c>
      <c r="E1904" s="24"/>
      <c r="F1904" s="14">
        <v>22.63</v>
      </c>
      <c r="G1904" s="14">
        <v>33.53</v>
      </c>
      <c r="H1904" s="14">
        <v>0.15</v>
      </c>
      <c r="I1904" s="14" t="s">
        <v>6035</v>
      </c>
      <c r="J1904" s="14">
        <v>0.0</v>
      </c>
      <c r="K1904" s="14" t="s">
        <v>6012</v>
      </c>
      <c r="L1904" s="14">
        <v>0.0</v>
      </c>
    </row>
    <row r="1905">
      <c r="A1905" s="14">
        <v>955.0</v>
      </c>
      <c r="B1905" s="14">
        <v>7.0</v>
      </c>
      <c r="C1905" s="34">
        <v>12.86</v>
      </c>
      <c r="D1905" s="36">
        <v>44914.0</v>
      </c>
      <c r="E1905" s="24"/>
      <c r="F1905" s="14">
        <v>1.84</v>
      </c>
      <c r="G1905" s="14">
        <v>13.47</v>
      </c>
      <c r="H1905" s="14">
        <v>0.73</v>
      </c>
      <c r="I1905" s="14" t="s">
        <v>6037</v>
      </c>
      <c r="J1905" s="14">
        <v>0.0</v>
      </c>
      <c r="K1905" s="14" t="s">
        <v>6012</v>
      </c>
      <c r="L1905" s="14">
        <v>0.0</v>
      </c>
    </row>
    <row r="1906">
      <c r="A1906" s="14">
        <v>203.0</v>
      </c>
      <c r="B1906" s="14">
        <v>3.0</v>
      </c>
      <c r="C1906" s="34">
        <v>11.91</v>
      </c>
      <c r="D1906" s="36">
        <v>44914.0</v>
      </c>
      <c r="E1906" s="24"/>
      <c r="F1906" s="14">
        <v>3.97</v>
      </c>
      <c r="G1906" s="14">
        <v>58.67</v>
      </c>
      <c r="H1906" s="14">
        <v>1.48</v>
      </c>
      <c r="I1906" s="14" t="s">
        <v>6038</v>
      </c>
      <c r="J1906" s="14">
        <v>0.0</v>
      </c>
      <c r="K1906" s="14" t="s">
        <v>6012</v>
      </c>
      <c r="L1906" s="14">
        <v>0.0</v>
      </c>
    </row>
    <row r="1907">
      <c r="A1907" s="14">
        <v>406.0</v>
      </c>
      <c r="B1907" s="14">
        <v>4.0</v>
      </c>
      <c r="C1907" s="34">
        <v>13.0</v>
      </c>
      <c r="D1907" s="36">
        <v>44914.0</v>
      </c>
      <c r="E1907" s="24"/>
      <c r="F1907" s="14">
        <v>3.25</v>
      </c>
      <c r="G1907" s="14">
        <v>32.02</v>
      </c>
      <c r="H1907" s="14">
        <v>0.99</v>
      </c>
      <c r="I1907" s="14" t="s">
        <v>6039</v>
      </c>
      <c r="J1907" s="14">
        <v>0.0</v>
      </c>
      <c r="K1907" s="14" t="s">
        <v>6012</v>
      </c>
      <c r="L1907" s="14">
        <v>0.0</v>
      </c>
    </row>
    <row r="1908">
      <c r="A1908" s="14">
        <v>896.0</v>
      </c>
      <c r="B1908" s="14">
        <v>3.0</v>
      </c>
      <c r="C1908" s="34">
        <v>13.46</v>
      </c>
      <c r="D1908" s="36">
        <v>44914.0</v>
      </c>
      <c r="E1908" s="24"/>
      <c r="F1908" s="14">
        <v>4.49</v>
      </c>
      <c r="G1908" s="14">
        <v>15.02</v>
      </c>
      <c r="H1908" s="14">
        <v>0.33</v>
      </c>
      <c r="I1908" s="14" t="s">
        <v>6042</v>
      </c>
      <c r="J1908" s="14">
        <v>33.33</v>
      </c>
      <c r="K1908" s="14">
        <v>13.46</v>
      </c>
      <c r="L1908" s="14">
        <v>0.0</v>
      </c>
    </row>
    <row r="1909">
      <c r="A1909" s="14">
        <v>792.0</v>
      </c>
      <c r="B1909" s="14">
        <v>5.0</v>
      </c>
      <c r="C1909" s="34">
        <v>14.48</v>
      </c>
      <c r="D1909" s="36">
        <v>44915.0</v>
      </c>
      <c r="E1909" s="24"/>
      <c r="F1909" s="14">
        <v>2.9</v>
      </c>
      <c r="G1909" s="14">
        <v>18.28</v>
      </c>
      <c r="H1909" s="14">
        <v>0.63</v>
      </c>
      <c r="I1909" s="14" t="s">
        <v>6042</v>
      </c>
      <c r="J1909" s="14">
        <v>0.0</v>
      </c>
      <c r="K1909" s="14" t="s">
        <v>6012</v>
      </c>
      <c r="L1909" s="14">
        <v>0.0</v>
      </c>
    </row>
    <row r="1910">
      <c r="A1910" s="14">
        <v>536.0</v>
      </c>
      <c r="B1910" s="14">
        <v>1.0</v>
      </c>
      <c r="C1910" s="34">
        <v>13.22</v>
      </c>
      <c r="D1910" s="36">
        <v>44915.0</v>
      </c>
      <c r="E1910" s="24"/>
      <c r="F1910" s="14">
        <v>13.22</v>
      </c>
      <c r="G1910" s="14">
        <v>24.66</v>
      </c>
      <c r="H1910" s="14">
        <v>0.19</v>
      </c>
      <c r="I1910" s="14" t="s">
        <v>6037</v>
      </c>
      <c r="J1910" s="14">
        <v>200.0</v>
      </c>
      <c r="K1910" s="14">
        <v>6.61</v>
      </c>
      <c r="L1910" s="14">
        <v>0.0</v>
      </c>
    </row>
    <row r="1911">
      <c r="A1911" s="14">
        <v>218.0</v>
      </c>
      <c r="B1911" s="14">
        <v>1.0</v>
      </c>
      <c r="C1911" s="34">
        <v>12.53</v>
      </c>
      <c r="D1911" s="36">
        <v>44915.0</v>
      </c>
      <c r="E1911" s="24"/>
      <c r="F1911" s="14">
        <v>12.53</v>
      </c>
      <c r="G1911" s="14">
        <v>57.48</v>
      </c>
      <c r="H1911" s="14">
        <v>0.46</v>
      </c>
      <c r="I1911" s="14" t="s">
        <v>6038</v>
      </c>
      <c r="J1911" s="14">
        <v>100.0</v>
      </c>
      <c r="K1911" s="14">
        <v>12.53</v>
      </c>
      <c r="L1911" s="14">
        <v>0.0</v>
      </c>
    </row>
    <row r="1912">
      <c r="A1912" s="14">
        <v>451.0</v>
      </c>
      <c r="B1912" s="14">
        <v>2.0</v>
      </c>
      <c r="C1912" s="34">
        <v>13.19</v>
      </c>
      <c r="D1912" s="36">
        <v>44915.0</v>
      </c>
      <c r="E1912" s="24"/>
      <c r="F1912" s="14">
        <v>6.6</v>
      </c>
      <c r="G1912" s="14">
        <v>29.25</v>
      </c>
      <c r="H1912" s="14">
        <v>0.44</v>
      </c>
      <c r="I1912" s="14" t="s">
        <v>6039</v>
      </c>
      <c r="J1912" s="14">
        <v>50.0</v>
      </c>
      <c r="K1912" s="14">
        <v>13.19</v>
      </c>
      <c r="L1912" s="14">
        <v>0.0</v>
      </c>
    </row>
    <row r="1913">
      <c r="A1913" s="14">
        <v>667.0</v>
      </c>
      <c r="B1913" s="14">
        <v>1.0</v>
      </c>
      <c r="C1913" s="34">
        <v>24.39</v>
      </c>
      <c r="D1913" s="36">
        <v>44915.0</v>
      </c>
      <c r="E1913" s="24"/>
      <c r="F1913" s="14">
        <v>24.39</v>
      </c>
      <c r="G1913" s="14">
        <v>36.57</v>
      </c>
      <c r="H1913" s="14">
        <v>0.15</v>
      </c>
      <c r="I1913" s="14" t="s">
        <v>6035</v>
      </c>
      <c r="J1913" s="14">
        <v>0.0</v>
      </c>
      <c r="K1913" s="14" t="s">
        <v>6012</v>
      </c>
      <c r="L1913" s="14">
        <v>0.0</v>
      </c>
    </row>
    <row r="1914">
      <c r="A1914" s="14">
        <v>141.0</v>
      </c>
      <c r="B1914" s="14">
        <v>0.0</v>
      </c>
      <c r="C1914" s="34">
        <v>12.01</v>
      </c>
      <c r="D1914" s="36">
        <v>44916.0</v>
      </c>
      <c r="E1914" s="24"/>
      <c r="F1914" s="14" t="s">
        <v>6012</v>
      </c>
      <c r="G1914" s="14">
        <v>85.18</v>
      </c>
      <c r="H1914" s="14">
        <v>0.0</v>
      </c>
      <c r="I1914" s="14" t="s">
        <v>6038</v>
      </c>
      <c r="J1914" s="14" t="s">
        <v>6012</v>
      </c>
      <c r="K1914" s="14" t="s">
        <v>6012</v>
      </c>
      <c r="L1914" s="14">
        <v>0.0</v>
      </c>
    </row>
    <row r="1915">
      <c r="A1915" s="14">
        <v>437.0</v>
      </c>
      <c r="B1915" s="14">
        <v>6.0</v>
      </c>
      <c r="C1915" s="34">
        <v>12.9</v>
      </c>
      <c r="D1915" s="36">
        <v>44916.0</v>
      </c>
      <c r="E1915" s="24"/>
      <c r="F1915" s="14">
        <v>2.15</v>
      </c>
      <c r="G1915" s="14">
        <v>29.52</v>
      </c>
      <c r="H1915" s="14">
        <v>1.37</v>
      </c>
      <c r="I1915" s="14" t="s">
        <v>6039</v>
      </c>
      <c r="J1915" s="14">
        <v>0.0</v>
      </c>
      <c r="K1915" s="14" t="s">
        <v>6012</v>
      </c>
      <c r="L1915" s="14">
        <v>0.0</v>
      </c>
    </row>
    <row r="1916">
      <c r="A1916" s="14">
        <v>493.0</v>
      </c>
      <c r="B1916" s="14">
        <v>3.0</v>
      </c>
      <c r="C1916" s="34">
        <v>23.19</v>
      </c>
      <c r="D1916" s="36">
        <v>44916.0</v>
      </c>
      <c r="E1916" s="24"/>
      <c r="F1916" s="14">
        <v>7.73</v>
      </c>
      <c r="G1916" s="14">
        <v>47.04</v>
      </c>
      <c r="H1916" s="14">
        <v>0.61</v>
      </c>
      <c r="I1916" s="14" t="s">
        <v>6035</v>
      </c>
      <c r="J1916" s="14">
        <v>0.0</v>
      </c>
      <c r="K1916" s="14" t="s">
        <v>6012</v>
      </c>
      <c r="L1916" s="14">
        <v>0.0</v>
      </c>
    </row>
    <row r="1917">
      <c r="A1917" s="14">
        <v>445.0</v>
      </c>
      <c r="B1917" s="14">
        <v>4.0</v>
      </c>
      <c r="C1917" s="34">
        <v>12.97</v>
      </c>
      <c r="D1917" s="36">
        <v>44916.0</v>
      </c>
      <c r="E1917" s="24"/>
      <c r="F1917" s="14">
        <v>3.24</v>
      </c>
      <c r="G1917" s="14">
        <v>29.15</v>
      </c>
      <c r="H1917" s="14">
        <v>0.9</v>
      </c>
      <c r="I1917" s="14" t="s">
        <v>6037</v>
      </c>
      <c r="J1917" s="14">
        <v>0.0</v>
      </c>
      <c r="K1917" s="14" t="s">
        <v>6012</v>
      </c>
      <c r="L1917" s="14">
        <v>0.0</v>
      </c>
    </row>
    <row r="1918">
      <c r="A1918" s="14">
        <v>888.0</v>
      </c>
      <c r="B1918" s="14">
        <v>6.0</v>
      </c>
      <c r="C1918" s="34">
        <v>13.38</v>
      </c>
      <c r="D1918" s="36">
        <v>44916.0</v>
      </c>
      <c r="E1918" s="24"/>
      <c r="F1918" s="14">
        <v>2.23</v>
      </c>
      <c r="G1918" s="14">
        <v>15.07</v>
      </c>
      <c r="H1918" s="14">
        <v>0.68</v>
      </c>
      <c r="I1918" s="14" t="s">
        <v>6042</v>
      </c>
      <c r="J1918" s="14">
        <v>33.33</v>
      </c>
      <c r="K1918" s="14">
        <v>6.69</v>
      </c>
      <c r="L1918" s="14">
        <v>0.0</v>
      </c>
    </row>
    <row r="1919">
      <c r="A1919" s="14">
        <v>440.0</v>
      </c>
      <c r="B1919" s="14">
        <v>4.0</v>
      </c>
      <c r="C1919" s="34">
        <v>12.73</v>
      </c>
      <c r="D1919" s="36">
        <v>44917.0</v>
      </c>
      <c r="E1919" s="24"/>
      <c r="F1919" s="14">
        <v>3.18</v>
      </c>
      <c r="G1919" s="14">
        <v>28.93</v>
      </c>
      <c r="H1919" s="14">
        <v>0.91</v>
      </c>
      <c r="I1919" s="14" t="s">
        <v>6037</v>
      </c>
      <c r="J1919" s="14">
        <v>25.0</v>
      </c>
      <c r="K1919" s="14">
        <v>12.73</v>
      </c>
      <c r="L1919" s="14">
        <v>0.0</v>
      </c>
    </row>
    <row r="1920">
      <c r="A1920" s="14">
        <v>423.0</v>
      </c>
      <c r="B1920" s="14">
        <v>4.0</v>
      </c>
      <c r="C1920" s="34">
        <v>13.16</v>
      </c>
      <c r="D1920" s="36">
        <v>44917.0</v>
      </c>
      <c r="E1920" s="24"/>
      <c r="F1920" s="14">
        <v>3.29</v>
      </c>
      <c r="G1920" s="14">
        <v>31.11</v>
      </c>
      <c r="H1920" s="14">
        <v>0.95</v>
      </c>
      <c r="I1920" s="14" t="s">
        <v>6039</v>
      </c>
      <c r="J1920" s="14">
        <v>0.0</v>
      </c>
      <c r="K1920" s="14" t="s">
        <v>6012</v>
      </c>
      <c r="L1920" s="14">
        <v>0.0</v>
      </c>
    </row>
    <row r="1921">
      <c r="A1921" s="14">
        <v>755.0</v>
      </c>
      <c r="B1921" s="14">
        <v>4.0</v>
      </c>
      <c r="C1921" s="34">
        <v>13.37</v>
      </c>
      <c r="D1921" s="36">
        <v>44917.0</v>
      </c>
      <c r="E1921" s="24"/>
      <c r="F1921" s="14">
        <v>3.34</v>
      </c>
      <c r="G1921" s="14">
        <v>17.71</v>
      </c>
      <c r="H1921" s="14">
        <v>0.53</v>
      </c>
      <c r="I1921" s="14" t="s">
        <v>6042</v>
      </c>
      <c r="J1921" s="14">
        <v>50.0</v>
      </c>
      <c r="K1921" s="14">
        <v>6.68</v>
      </c>
      <c r="L1921" s="14">
        <v>0.0</v>
      </c>
    </row>
    <row r="1922">
      <c r="A1922" s="14">
        <v>184.0</v>
      </c>
      <c r="B1922" s="14">
        <v>2.0</v>
      </c>
      <c r="C1922" s="34">
        <v>11.55</v>
      </c>
      <c r="D1922" s="36">
        <v>44917.0</v>
      </c>
      <c r="E1922" s="24"/>
      <c r="F1922" s="14">
        <v>5.78</v>
      </c>
      <c r="G1922" s="14">
        <v>62.77</v>
      </c>
      <c r="H1922" s="14">
        <v>1.09</v>
      </c>
      <c r="I1922" s="14" t="s">
        <v>6038</v>
      </c>
      <c r="J1922" s="14">
        <v>0.0</v>
      </c>
      <c r="K1922" s="14" t="s">
        <v>6012</v>
      </c>
      <c r="L1922" s="14">
        <v>0.0</v>
      </c>
    </row>
    <row r="1923">
      <c r="A1923" s="14">
        <v>422.0</v>
      </c>
      <c r="B1923" s="14">
        <v>2.0</v>
      </c>
      <c r="C1923" s="34">
        <v>22.07</v>
      </c>
      <c r="D1923" s="36">
        <v>44917.0</v>
      </c>
      <c r="E1923" s="24"/>
      <c r="F1923" s="14">
        <v>11.04</v>
      </c>
      <c r="G1923" s="14">
        <v>52.3</v>
      </c>
      <c r="H1923" s="14">
        <v>0.47</v>
      </c>
      <c r="I1923" s="14" t="s">
        <v>6035</v>
      </c>
      <c r="J1923" s="14">
        <v>0.0</v>
      </c>
      <c r="K1923" s="14" t="s">
        <v>6012</v>
      </c>
      <c r="L1923" s="14">
        <v>0.0</v>
      </c>
    </row>
    <row r="1924">
      <c r="A1924" s="14">
        <v>239.0</v>
      </c>
      <c r="B1924" s="14">
        <v>2.0</v>
      </c>
      <c r="C1924" s="34">
        <v>11.99</v>
      </c>
      <c r="D1924" s="36">
        <v>44918.0</v>
      </c>
      <c r="E1924" s="24"/>
      <c r="F1924" s="14">
        <v>6.0</v>
      </c>
      <c r="G1924" s="14">
        <v>50.17</v>
      </c>
      <c r="H1924" s="14">
        <v>0.84</v>
      </c>
      <c r="I1924" s="14" t="s">
        <v>6039</v>
      </c>
      <c r="J1924" s="14">
        <v>50.0</v>
      </c>
      <c r="K1924" s="14">
        <v>11.99</v>
      </c>
      <c r="L1924" s="14">
        <v>0.0</v>
      </c>
    </row>
    <row r="1925">
      <c r="A1925" s="14">
        <v>710.0</v>
      </c>
      <c r="B1925" s="14">
        <v>3.0</v>
      </c>
      <c r="C1925" s="34">
        <v>11.61</v>
      </c>
      <c r="D1925" s="36">
        <v>44918.0</v>
      </c>
      <c r="E1925" s="24"/>
      <c r="F1925" s="14">
        <v>3.87</v>
      </c>
      <c r="G1925" s="14">
        <v>16.35</v>
      </c>
      <c r="H1925" s="14">
        <v>0.42</v>
      </c>
      <c r="I1925" s="14" t="s">
        <v>6042</v>
      </c>
      <c r="J1925" s="14">
        <v>33.33</v>
      </c>
      <c r="K1925" s="14">
        <v>11.61</v>
      </c>
      <c r="L1925" s="14">
        <v>0.0</v>
      </c>
    </row>
    <row r="1926">
      <c r="A1926" s="14">
        <v>293.0</v>
      </c>
      <c r="B1926" s="14">
        <v>5.0</v>
      </c>
      <c r="C1926" s="34">
        <v>11.38</v>
      </c>
      <c r="D1926" s="36">
        <v>44918.0</v>
      </c>
      <c r="E1926" s="24"/>
      <c r="F1926" s="14">
        <v>2.28</v>
      </c>
      <c r="G1926" s="14">
        <v>38.84</v>
      </c>
      <c r="H1926" s="14">
        <v>1.71</v>
      </c>
      <c r="I1926" s="14" t="s">
        <v>6037</v>
      </c>
      <c r="J1926" s="14">
        <v>0.0</v>
      </c>
      <c r="K1926" s="14" t="s">
        <v>6012</v>
      </c>
      <c r="L1926" s="14">
        <v>0.0</v>
      </c>
    </row>
    <row r="1927">
      <c r="A1927" s="14">
        <v>131.0</v>
      </c>
      <c r="B1927" s="14">
        <v>2.0</v>
      </c>
      <c r="C1927" s="34">
        <v>10.98</v>
      </c>
      <c r="D1927" s="36">
        <v>44918.0</v>
      </c>
      <c r="E1927" s="24"/>
      <c r="F1927" s="14">
        <v>5.49</v>
      </c>
      <c r="G1927" s="14">
        <v>83.82</v>
      </c>
      <c r="H1927" s="14">
        <v>1.53</v>
      </c>
      <c r="I1927" s="14" t="s">
        <v>6038</v>
      </c>
      <c r="J1927" s="14">
        <v>0.0</v>
      </c>
      <c r="K1927" s="14" t="s">
        <v>6012</v>
      </c>
      <c r="L1927" s="14">
        <v>0.0</v>
      </c>
    </row>
    <row r="1928">
      <c r="A1928" s="14">
        <v>286.0</v>
      </c>
      <c r="B1928" s="14">
        <v>1.0</v>
      </c>
      <c r="C1928" s="34">
        <v>20.52</v>
      </c>
      <c r="D1928" s="36">
        <v>44918.0</v>
      </c>
      <c r="E1928" s="24"/>
      <c r="F1928" s="14">
        <v>20.52</v>
      </c>
      <c r="G1928" s="14">
        <v>71.75</v>
      </c>
      <c r="H1928" s="14">
        <v>0.35</v>
      </c>
      <c r="I1928" s="14" t="s">
        <v>6035</v>
      </c>
      <c r="J1928" s="14">
        <v>0.0</v>
      </c>
      <c r="K1928" s="14" t="s">
        <v>6012</v>
      </c>
      <c r="L1928" s="14">
        <v>0.0</v>
      </c>
    </row>
    <row r="1929">
      <c r="A1929" s="14">
        <v>167.0</v>
      </c>
      <c r="B1929" s="14">
        <v>0.0</v>
      </c>
      <c r="C1929" s="34">
        <v>11.07</v>
      </c>
      <c r="D1929" s="36">
        <v>44919.0</v>
      </c>
      <c r="E1929" s="24"/>
      <c r="F1929" s="14" t="s">
        <v>6012</v>
      </c>
      <c r="G1929" s="14">
        <v>66.29</v>
      </c>
      <c r="H1929" s="14">
        <v>0.0</v>
      </c>
      <c r="I1929" s="14" t="s">
        <v>6035</v>
      </c>
      <c r="J1929" s="14" t="s">
        <v>6012</v>
      </c>
      <c r="K1929" s="14" t="s">
        <v>6012</v>
      </c>
      <c r="L1929" s="14">
        <v>0.0</v>
      </c>
    </row>
    <row r="1930">
      <c r="A1930" s="14">
        <v>162.0</v>
      </c>
      <c r="B1930" s="14">
        <v>0.0</v>
      </c>
      <c r="C1930" s="34">
        <v>6.48</v>
      </c>
      <c r="D1930" s="36">
        <v>44919.0</v>
      </c>
      <c r="E1930" s="24"/>
      <c r="F1930" s="14" t="s">
        <v>6012</v>
      </c>
      <c r="G1930" s="14">
        <v>40.0</v>
      </c>
      <c r="H1930" s="14">
        <v>0.0</v>
      </c>
      <c r="I1930" s="14" t="s">
        <v>6039</v>
      </c>
      <c r="J1930" s="14" t="s">
        <v>6012</v>
      </c>
      <c r="K1930" s="14" t="s">
        <v>6012</v>
      </c>
      <c r="L1930" s="14">
        <v>0.0</v>
      </c>
    </row>
    <row r="1931">
      <c r="A1931" s="14">
        <v>383.0</v>
      </c>
      <c r="B1931" s="14">
        <v>0.0</v>
      </c>
      <c r="C1931" s="34">
        <v>5.46</v>
      </c>
      <c r="D1931" s="36">
        <v>44919.0</v>
      </c>
      <c r="E1931" s="24"/>
      <c r="F1931" s="14" t="s">
        <v>6012</v>
      </c>
      <c r="G1931" s="14">
        <v>14.26</v>
      </c>
      <c r="H1931" s="14">
        <v>0.0</v>
      </c>
      <c r="I1931" s="14" t="s">
        <v>6042</v>
      </c>
      <c r="J1931" s="14" t="s">
        <v>6012</v>
      </c>
      <c r="K1931" s="14" t="s">
        <v>6012</v>
      </c>
      <c r="L1931" s="14">
        <v>0.0</v>
      </c>
    </row>
    <row r="1932">
      <c r="A1932" s="14">
        <v>75.0</v>
      </c>
      <c r="B1932" s="14">
        <v>0.0</v>
      </c>
      <c r="C1932" s="34">
        <v>5.91</v>
      </c>
      <c r="D1932" s="36">
        <v>44919.0</v>
      </c>
      <c r="E1932" s="24"/>
      <c r="F1932" s="14" t="s">
        <v>6012</v>
      </c>
      <c r="G1932" s="14">
        <v>78.8</v>
      </c>
      <c r="H1932" s="14">
        <v>0.0</v>
      </c>
      <c r="I1932" s="14" t="s">
        <v>6038</v>
      </c>
      <c r="J1932" s="14" t="s">
        <v>6012</v>
      </c>
      <c r="K1932" s="14" t="s">
        <v>6012</v>
      </c>
      <c r="L1932" s="14">
        <v>0.0</v>
      </c>
    </row>
    <row r="1933">
      <c r="A1933" s="14">
        <v>220.0</v>
      </c>
      <c r="B1933" s="14">
        <v>0.0</v>
      </c>
      <c r="C1933" s="34">
        <v>7.11</v>
      </c>
      <c r="D1933" s="36">
        <v>44919.0</v>
      </c>
      <c r="E1933" s="24"/>
      <c r="F1933" s="14" t="s">
        <v>6012</v>
      </c>
      <c r="G1933" s="14">
        <v>32.32</v>
      </c>
      <c r="H1933" s="14">
        <v>0.0</v>
      </c>
      <c r="I1933" s="14" t="s">
        <v>6037</v>
      </c>
      <c r="J1933" s="14" t="s">
        <v>6012</v>
      </c>
      <c r="K1933" s="14">
        <v>7.11</v>
      </c>
      <c r="L1933" s="14">
        <v>0.0</v>
      </c>
    </row>
    <row r="1934">
      <c r="A1934" s="14">
        <v>534.0</v>
      </c>
      <c r="B1934" s="14">
        <v>1.0</v>
      </c>
      <c r="C1934" s="34">
        <v>5.24</v>
      </c>
      <c r="D1934" s="36">
        <v>44920.0</v>
      </c>
      <c r="E1934" s="24"/>
      <c r="F1934" s="14">
        <v>5.24</v>
      </c>
      <c r="G1934" s="14">
        <v>9.81</v>
      </c>
      <c r="H1934" s="14">
        <v>0.19</v>
      </c>
      <c r="I1934" s="14" t="s">
        <v>6042</v>
      </c>
      <c r="J1934" s="14">
        <v>100.0</v>
      </c>
      <c r="K1934" s="14">
        <v>5.24</v>
      </c>
      <c r="L1934" s="14">
        <v>0.0</v>
      </c>
    </row>
    <row r="1935">
      <c r="A1935" s="14">
        <v>244.0</v>
      </c>
      <c r="B1935" s="14">
        <v>2.0</v>
      </c>
      <c r="C1935" s="34">
        <v>6.73</v>
      </c>
      <c r="D1935" s="36">
        <v>44920.0</v>
      </c>
      <c r="E1935" s="24"/>
      <c r="F1935" s="14">
        <v>3.36</v>
      </c>
      <c r="G1935" s="14">
        <v>27.58</v>
      </c>
      <c r="H1935" s="14">
        <v>0.82</v>
      </c>
      <c r="I1935" s="14" t="s">
        <v>6037</v>
      </c>
      <c r="J1935" s="14">
        <v>50.0</v>
      </c>
      <c r="K1935" s="14">
        <v>6.73</v>
      </c>
      <c r="L1935" s="14">
        <v>0.0</v>
      </c>
    </row>
    <row r="1936">
      <c r="A1936" s="14">
        <v>265.0</v>
      </c>
      <c r="B1936" s="14">
        <v>5.0</v>
      </c>
      <c r="C1936" s="34">
        <v>6.28</v>
      </c>
      <c r="D1936" s="36">
        <v>44920.0</v>
      </c>
      <c r="E1936" s="24"/>
      <c r="F1936" s="14">
        <v>1.26</v>
      </c>
      <c r="G1936" s="14">
        <v>23.7</v>
      </c>
      <c r="H1936" s="14">
        <v>1.89</v>
      </c>
      <c r="I1936" s="14" t="s">
        <v>6039</v>
      </c>
      <c r="J1936" s="14">
        <v>20.0</v>
      </c>
      <c r="K1936" s="14">
        <v>6.28</v>
      </c>
      <c r="L1936" s="14">
        <v>0.0</v>
      </c>
    </row>
    <row r="1937">
      <c r="A1937" s="14">
        <v>95.0</v>
      </c>
      <c r="B1937" s="14">
        <v>0.0</v>
      </c>
      <c r="C1937" s="34">
        <v>5.11</v>
      </c>
      <c r="D1937" s="36">
        <v>44920.0</v>
      </c>
      <c r="E1937" s="24"/>
      <c r="F1937" s="14" t="s">
        <v>6012</v>
      </c>
      <c r="G1937" s="14">
        <v>53.79</v>
      </c>
      <c r="H1937" s="14">
        <v>0.0</v>
      </c>
      <c r="I1937" s="14" t="s">
        <v>6038</v>
      </c>
      <c r="J1937" s="14" t="s">
        <v>6012</v>
      </c>
      <c r="K1937" s="14" t="s">
        <v>6012</v>
      </c>
      <c r="L1937" s="14">
        <v>0.0</v>
      </c>
    </row>
    <row r="1938">
      <c r="A1938" s="14">
        <v>178.0</v>
      </c>
      <c r="B1938" s="14">
        <v>2.0</v>
      </c>
      <c r="C1938" s="34">
        <v>9.13</v>
      </c>
      <c r="D1938" s="36">
        <v>44920.0</v>
      </c>
      <c r="E1938" s="24"/>
      <c r="F1938" s="14">
        <v>4.57</v>
      </c>
      <c r="G1938" s="14">
        <v>51.29</v>
      </c>
      <c r="H1938" s="14">
        <v>1.12</v>
      </c>
      <c r="I1938" s="14" t="s">
        <v>6035</v>
      </c>
      <c r="J1938" s="14">
        <v>0.0</v>
      </c>
      <c r="K1938" s="14" t="s">
        <v>6012</v>
      </c>
      <c r="L1938" s="14">
        <v>0.0</v>
      </c>
    </row>
    <row r="1939">
      <c r="A1939" s="14">
        <v>882.0</v>
      </c>
      <c r="B1939" s="14">
        <v>4.0</v>
      </c>
      <c r="C1939" s="34">
        <v>13.52</v>
      </c>
      <c r="D1939" s="36">
        <v>44921.0</v>
      </c>
      <c r="E1939" s="24"/>
      <c r="F1939" s="14">
        <v>3.38</v>
      </c>
      <c r="G1939" s="14">
        <v>15.33</v>
      </c>
      <c r="H1939" s="14">
        <v>0.45</v>
      </c>
      <c r="I1939" s="14" t="s">
        <v>6042</v>
      </c>
      <c r="J1939" s="14">
        <v>0.0</v>
      </c>
      <c r="K1939" s="14" t="s">
        <v>6012</v>
      </c>
      <c r="L1939" s="14">
        <v>0.0</v>
      </c>
    </row>
    <row r="1940">
      <c r="A1940" s="14">
        <v>166.0</v>
      </c>
      <c r="B1940" s="14">
        <v>0.0</v>
      </c>
      <c r="C1940" s="34">
        <v>11.52</v>
      </c>
      <c r="D1940" s="36">
        <v>44921.0</v>
      </c>
      <c r="E1940" s="24"/>
      <c r="F1940" s="14" t="s">
        <v>6012</v>
      </c>
      <c r="G1940" s="14">
        <v>69.4</v>
      </c>
      <c r="H1940" s="14">
        <v>0.0</v>
      </c>
      <c r="I1940" s="14" t="s">
        <v>6038</v>
      </c>
      <c r="J1940" s="14" t="s">
        <v>6012</v>
      </c>
      <c r="K1940" s="14" t="s">
        <v>6012</v>
      </c>
      <c r="L1940" s="14">
        <v>0.0</v>
      </c>
    </row>
    <row r="1941">
      <c r="A1941" s="14">
        <v>390.0</v>
      </c>
      <c r="B1941" s="14">
        <v>1.0</v>
      </c>
      <c r="C1941" s="34">
        <v>22.0</v>
      </c>
      <c r="D1941" s="36">
        <v>44921.0</v>
      </c>
      <c r="E1941" s="24"/>
      <c r="F1941" s="14">
        <v>22.0</v>
      </c>
      <c r="G1941" s="14">
        <v>56.41</v>
      </c>
      <c r="H1941" s="14">
        <v>0.26</v>
      </c>
      <c r="I1941" s="14" t="s">
        <v>6035</v>
      </c>
      <c r="J1941" s="14">
        <v>0.0</v>
      </c>
      <c r="K1941" s="14" t="s">
        <v>6012</v>
      </c>
      <c r="L1941" s="14">
        <v>0.0</v>
      </c>
    </row>
    <row r="1942">
      <c r="A1942" s="14">
        <v>421.0</v>
      </c>
      <c r="B1942" s="14">
        <v>7.0</v>
      </c>
      <c r="C1942" s="34">
        <v>13.05</v>
      </c>
      <c r="D1942" s="36">
        <v>44921.0</v>
      </c>
      <c r="E1942" s="24"/>
      <c r="F1942" s="14">
        <v>1.86</v>
      </c>
      <c r="G1942" s="14">
        <v>31.0</v>
      </c>
      <c r="H1942" s="14">
        <v>1.66</v>
      </c>
      <c r="I1942" s="14" t="s">
        <v>6039</v>
      </c>
      <c r="J1942" s="14">
        <v>0.0</v>
      </c>
      <c r="K1942" s="14" t="s">
        <v>6012</v>
      </c>
      <c r="L1942" s="14">
        <v>0.0</v>
      </c>
    </row>
    <row r="1943">
      <c r="A1943" s="14">
        <v>515.0</v>
      </c>
      <c r="B1943" s="14">
        <v>5.0</v>
      </c>
      <c r="C1943" s="34">
        <v>12.89</v>
      </c>
      <c r="D1943" s="36">
        <v>44921.0</v>
      </c>
      <c r="E1943" s="24"/>
      <c r="F1943" s="14">
        <v>2.58</v>
      </c>
      <c r="G1943" s="14">
        <v>25.03</v>
      </c>
      <c r="H1943" s="14">
        <v>0.97</v>
      </c>
      <c r="I1943" s="14" t="s">
        <v>6037</v>
      </c>
      <c r="J1943" s="14">
        <v>0.0</v>
      </c>
      <c r="K1943" s="14" t="s">
        <v>6012</v>
      </c>
      <c r="L1943" s="14">
        <v>0.0</v>
      </c>
    </row>
    <row r="1944">
      <c r="A1944" s="14">
        <v>629.0</v>
      </c>
      <c r="B1944" s="14">
        <v>5.0</v>
      </c>
      <c r="C1944" s="34">
        <v>22.22</v>
      </c>
      <c r="D1944" s="36">
        <v>44922.0</v>
      </c>
      <c r="E1944" s="24"/>
      <c r="F1944" s="14">
        <v>4.44</v>
      </c>
      <c r="G1944" s="14">
        <v>35.33</v>
      </c>
      <c r="H1944" s="14">
        <v>0.79</v>
      </c>
      <c r="I1944" s="14" t="s">
        <v>6035</v>
      </c>
      <c r="J1944" s="14">
        <v>0.0</v>
      </c>
      <c r="K1944" s="14" t="s">
        <v>6012</v>
      </c>
      <c r="L1944" s="14">
        <v>0.0</v>
      </c>
    </row>
    <row r="1945">
      <c r="A1945" s="14">
        <v>689.0</v>
      </c>
      <c r="B1945" s="14">
        <v>5.0</v>
      </c>
      <c r="C1945" s="34">
        <v>12.58</v>
      </c>
      <c r="D1945" s="36">
        <v>44922.0</v>
      </c>
      <c r="E1945" s="24"/>
      <c r="F1945" s="14">
        <v>2.52</v>
      </c>
      <c r="G1945" s="14">
        <v>18.26</v>
      </c>
      <c r="H1945" s="14">
        <v>0.73</v>
      </c>
      <c r="I1945" s="14" t="s">
        <v>6037</v>
      </c>
      <c r="J1945" s="14">
        <v>0.0</v>
      </c>
      <c r="K1945" s="14" t="s">
        <v>6012</v>
      </c>
      <c r="L1945" s="14">
        <v>0.0</v>
      </c>
    </row>
    <row r="1946">
      <c r="A1946" s="14">
        <v>321.0</v>
      </c>
      <c r="B1946" s="14">
        <v>0.0</v>
      </c>
      <c r="C1946" s="34">
        <v>20.91</v>
      </c>
      <c r="D1946" s="36">
        <v>44922.0</v>
      </c>
      <c r="E1946" s="24"/>
      <c r="F1946" s="14" t="s">
        <v>6012</v>
      </c>
      <c r="G1946" s="14">
        <v>65.14</v>
      </c>
      <c r="H1946" s="14">
        <v>0.0</v>
      </c>
      <c r="I1946" s="14" t="s">
        <v>6038</v>
      </c>
      <c r="J1946" s="14" t="s">
        <v>6012</v>
      </c>
      <c r="K1946" s="14" t="s">
        <v>6012</v>
      </c>
      <c r="L1946" s="14">
        <v>0.0</v>
      </c>
    </row>
    <row r="1947">
      <c r="A1947" s="14">
        <v>904.0</v>
      </c>
      <c r="B1947" s="14">
        <v>1.0</v>
      </c>
      <c r="C1947" s="34">
        <v>12.53</v>
      </c>
      <c r="D1947" s="36">
        <v>44922.0</v>
      </c>
      <c r="E1947" s="24"/>
      <c r="F1947" s="14">
        <v>12.53</v>
      </c>
      <c r="G1947" s="14">
        <v>13.86</v>
      </c>
      <c r="H1947" s="14">
        <v>0.11</v>
      </c>
      <c r="I1947" s="14" t="s">
        <v>6042</v>
      </c>
      <c r="J1947" s="14">
        <v>0.0</v>
      </c>
      <c r="K1947" s="14" t="s">
        <v>6012</v>
      </c>
      <c r="L1947" s="14">
        <v>0.0</v>
      </c>
    </row>
    <row r="1948">
      <c r="A1948" s="14">
        <v>253.0</v>
      </c>
      <c r="B1948" s="14">
        <v>1.0</v>
      </c>
      <c r="C1948" s="34">
        <v>12.56</v>
      </c>
      <c r="D1948" s="36">
        <v>44922.0</v>
      </c>
      <c r="E1948" s="24"/>
      <c r="F1948" s="14">
        <v>12.56</v>
      </c>
      <c r="G1948" s="14">
        <v>49.64</v>
      </c>
      <c r="H1948" s="14">
        <v>0.4</v>
      </c>
      <c r="I1948" s="14" t="s">
        <v>6039</v>
      </c>
      <c r="J1948" s="14">
        <v>0.0</v>
      </c>
      <c r="K1948" s="14" t="s">
        <v>6012</v>
      </c>
      <c r="L1948" s="14">
        <v>0.0</v>
      </c>
    </row>
    <row r="1949">
      <c r="A1949" s="14">
        <v>708.0</v>
      </c>
      <c r="B1949" s="14">
        <v>5.0</v>
      </c>
      <c r="C1949" s="34">
        <v>24.3</v>
      </c>
      <c r="D1949" s="36">
        <v>44923.0</v>
      </c>
      <c r="E1949" s="24"/>
      <c r="F1949" s="14">
        <v>4.86</v>
      </c>
      <c r="G1949" s="14">
        <v>34.32</v>
      </c>
      <c r="H1949" s="14">
        <v>0.71</v>
      </c>
      <c r="I1949" s="14" t="s">
        <v>6035</v>
      </c>
      <c r="J1949" s="14">
        <v>0.0</v>
      </c>
      <c r="K1949" s="14" t="s">
        <v>6012</v>
      </c>
      <c r="L1949" s="14">
        <v>0.0</v>
      </c>
    </row>
    <row r="1950">
      <c r="A1950" s="14">
        <v>350.0</v>
      </c>
      <c r="B1950" s="14">
        <v>4.0</v>
      </c>
      <c r="C1950" s="34">
        <v>13.2</v>
      </c>
      <c r="D1950" s="36">
        <v>44923.0</v>
      </c>
      <c r="E1950" s="24"/>
      <c r="F1950" s="14">
        <v>3.3</v>
      </c>
      <c r="G1950" s="14">
        <v>37.71</v>
      </c>
      <c r="H1950" s="14">
        <v>1.14</v>
      </c>
      <c r="I1950" s="14" t="s">
        <v>6039</v>
      </c>
      <c r="J1950" s="14">
        <v>0.0</v>
      </c>
      <c r="K1950" s="14" t="s">
        <v>6012</v>
      </c>
      <c r="L1950" s="14">
        <v>0.0</v>
      </c>
    </row>
    <row r="1951">
      <c r="A1951" s="14">
        <v>331.0</v>
      </c>
      <c r="B1951" s="14">
        <v>2.0</v>
      </c>
      <c r="C1951" s="34">
        <v>22.0</v>
      </c>
      <c r="D1951" s="36">
        <v>44923.0</v>
      </c>
      <c r="E1951" s="24"/>
      <c r="F1951" s="14">
        <v>11.0</v>
      </c>
      <c r="G1951" s="14">
        <v>66.47</v>
      </c>
      <c r="H1951" s="14">
        <v>0.6</v>
      </c>
      <c r="I1951" s="14" t="s">
        <v>6038</v>
      </c>
      <c r="J1951" s="14">
        <v>0.0</v>
      </c>
      <c r="K1951" s="14" t="s">
        <v>6012</v>
      </c>
      <c r="L1951" s="14">
        <v>0.0</v>
      </c>
    </row>
    <row r="1952">
      <c r="A1952" s="14">
        <v>801.0</v>
      </c>
      <c r="B1952" s="14">
        <v>5.0</v>
      </c>
      <c r="C1952" s="34">
        <v>14.53</v>
      </c>
      <c r="D1952" s="36">
        <v>44923.0</v>
      </c>
      <c r="E1952" s="24"/>
      <c r="F1952" s="14">
        <v>2.91</v>
      </c>
      <c r="G1952" s="14">
        <v>18.14</v>
      </c>
      <c r="H1952" s="14">
        <v>0.62</v>
      </c>
      <c r="I1952" s="14" t="s">
        <v>6042</v>
      </c>
      <c r="J1952" s="14">
        <v>20.0</v>
      </c>
      <c r="K1952" s="14">
        <v>14.53</v>
      </c>
      <c r="L1952" s="14">
        <v>0.0</v>
      </c>
    </row>
    <row r="1953">
      <c r="A1953" s="14">
        <v>569.0</v>
      </c>
      <c r="B1953" s="14">
        <v>5.0</v>
      </c>
      <c r="C1953" s="34">
        <v>13.63</v>
      </c>
      <c r="D1953" s="36">
        <v>44923.0</v>
      </c>
      <c r="E1953" s="24"/>
      <c r="F1953" s="14">
        <v>2.73</v>
      </c>
      <c r="G1953" s="14">
        <v>23.95</v>
      </c>
      <c r="H1953" s="14">
        <v>0.88</v>
      </c>
      <c r="I1953" s="14" t="s">
        <v>6037</v>
      </c>
      <c r="J1953" s="14">
        <v>0.0</v>
      </c>
      <c r="K1953" s="14" t="s">
        <v>6012</v>
      </c>
      <c r="L1953" s="14">
        <v>0.0</v>
      </c>
    </row>
    <row r="1954">
      <c r="A1954" s="14">
        <v>338.0</v>
      </c>
      <c r="B1954" s="14">
        <v>2.0</v>
      </c>
      <c r="C1954" s="34">
        <v>13.07</v>
      </c>
      <c r="D1954" s="36">
        <v>44924.0</v>
      </c>
      <c r="E1954" s="24"/>
      <c r="F1954" s="14">
        <v>6.54</v>
      </c>
      <c r="G1954" s="14">
        <v>38.67</v>
      </c>
      <c r="H1954" s="14">
        <v>0.59</v>
      </c>
      <c r="I1954" s="14" t="s">
        <v>6039</v>
      </c>
      <c r="J1954" s="14">
        <v>0.0</v>
      </c>
      <c r="K1954" s="14" t="s">
        <v>6012</v>
      </c>
      <c r="L1954" s="14">
        <v>0.0</v>
      </c>
    </row>
    <row r="1955">
      <c r="A1955" s="14">
        <v>279.0</v>
      </c>
      <c r="B1955" s="14">
        <v>1.0</v>
      </c>
      <c r="C1955" s="34">
        <v>21.86</v>
      </c>
      <c r="D1955" s="36">
        <v>44924.0</v>
      </c>
      <c r="E1955" s="24"/>
      <c r="F1955" s="14">
        <v>21.86</v>
      </c>
      <c r="G1955" s="14">
        <v>78.35</v>
      </c>
      <c r="H1955" s="14">
        <v>0.36</v>
      </c>
      <c r="I1955" s="14" t="s">
        <v>6038</v>
      </c>
      <c r="J1955" s="14">
        <v>0.0</v>
      </c>
      <c r="K1955" s="14" t="s">
        <v>6012</v>
      </c>
      <c r="L1955" s="14">
        <v>0.0</v>
      </c>
    </row>
    <row r="1956">
      <c r="A1956" s="14">
        <v>432.0</v>
      </c>
      <c r="B1956" s="14">
        <v>1.0</v>
      </c>
      <c r="C1956" s="34">
        <v>12.59</v>
      </c>
      <c r="D1956" s="36">
        <v>44924.0</v>
      </c>
      <c r="E1956" s="24"/>
      <c r="F1956" s="14">
        <v>12.59</v>
      </c>
      <c r="G1956" s="14">
        <v>29.14</v>
      </c>
      <c r="H1956" s="14">
        <v>0.23</v>
      </c>
      <c r="I1956" s="14" t="s">
        <v>6037</v>
      </c>
      <c r="J1956" s="14">
        <v>0.0</v>
      </c>
      <c r="K1956" s="14" t="s">
        <v>6012</v>
      </c>
      <c r="L1956" s="14">
        <v>0.0</v>
      </c>
    </row>
    <row r="1957">
      <c r="A1957" s="14">
        <v>568.0</v>
      </c>
      <c r="B1957" s="14">
        <v>4.0</v>
      </c>
      <c r="C1957" s="34">
        <v>23.65</v>
      </c>
      <c r="D1957" s="36">
        <v>44924.0</v>
      </c>
      <c r="E1957" s="24"/>
      <c r="F1957" s="14">
        <v>5.91</v>
      </c>
      <c r="G1957" s="14">
        <v>41.64</v>
      </c>
      <c r="H1957" s="14">
        <v>0.7</v>
      </c>
      <c r="I1957" s="14" t="s">
        <v>6035</v>
      </c>
      <c r="J1957" s="14">
        <v>25.0</v>
      </c>
      <c r="K1957" s="14">
        <v>23.65</v>
      </c>
      <c r="L1957" s="14">
        <v>0.0</v>
      </c>
    </row>
    <row r="1958">
      <c r="A1958" s="14">
        <v>789.0</v>
      </c>
      <c r="B1958" s="14">
        <v>3.0</v>
      </c>
      <c r="C1958" s="34">
        <v>13.36</v>
      </c>
      <c r="D1958" s="36">
        <v>44924.0</v>
      </c>
      <c r="E1958" s="24"/>
      <c r="F1958" s="14">
        <v>4.45</v>
      </c>
      <c r="G1958" s="14">
        <v>16.93</v>
      </c>
      <c r="H1958" s="14">
        <v>0.38</v>
      </c>
      <c r="I1958" s="14" t="s">
        <v>6042</v>
      </c>
      <c r="J1958" s="14">
        <v>0.0</v>
      </c>
      <c r="K1958" s="14" t="s">
        <v>6012</v>
      </c>
      <c r="L1958" s="14">
        <v>0.0</v>
      </c>
    </row>
    <row r="1959">
      <c r="A1959" s="14">
        <v>460.0</v>
      </c>
      <c r="B1959" s="14">
        <v>2.0</v>
      </c>
      <c r="C1959" s="34">
        <v>21.66</v>
      </c>
      <c r="D1959" s="36">
        <v>44925.0</v>
      </c>
      <c r="E1959" s="24"/>
      <c r="F1959" s="14">
        <v>10.83</v>
      </c>
      <c r="G1959" s="14">
        <v>47.09</v>
      </c>
      <c r="H1959" s="14">
        <v>0.43</v>
      </c>
      <c r="I1959" s="14" t="s">
        <v>6035</v>
      </c>
      <c r="J1959" s="14">
        <v>0.0</v>
      </c>
      <c r="K1959" s="14" t="s">
        <v>6012</v>
      </c>
      <c r="L1959" s="14">
        <v>0.0</v>
      </c>
    </row>
    <row r="1960">
      <c r="A1960" s="14">
        <v>509.0</v>
      </c>
      <c r="B1960" s="14">
        <v>5.0</v>
      </c>
      <c r="C1960" s="34">
        <v>11.36</v>
      </c>
      <c r="D1960" s="36">
        <v>44925.0</v>
      </c>
      <c r="E1960" s="24"/>
      <c r="F1960" s="14">
        <v>2.27</v>
      </c>
      <c r="G1960" s="14">
        <v>22.32</v>
      </c>
      <c r="H1960" s="14">
        <v>0.98</v>
      </c>
      <c r="I1960" s="14" t="s">
        <v>6037</v>
      </c>
      <c r="J1960" s="14">
        <v>0.0</v>
      </c>
      <c r="K1960" s="14" t="s">
        <v>6012</v>
      </c>
      <c r="L1960" s="14">
        <v>0.0</v>
      </c>
    </row>
    <row r="1961">
      <c r="A1961" s="14">
        <v>341.0</v>
      </c>
      <c r="B1961" s="14">
        <v>7.0</v>
      </c>
      <c r="C1961" s="34">
        <v>12.07</v>
      </c>
      <c r="D1961" s="36">
        <v>44925.0</v>
      </c>
      <c r="E1961" s="24"/>
      <c r="F1961" s="14">
        <v>1.72</v>
      </c>
      <c r="G1961" s="14">
        <v>35.4</v>
      </c>
      <c r="H1961" s="14">
        <v>2.05</v>
      </c>
      <c r="I1961" s="14" t="s">
        <v>6039</v>
      </c>
      <c r="J1961" s="14">
        <v>14.29</v>
      </c>
      <c r="K1961" s="14">
        <v>12.07</v>
      </c>
      <c r="L1961" s="14">
        <v>0.0</v>
      </c>
    </row>
    <row r="1962">
      <c r="A1962" s="14">
        <v>660.0</v>
      </c>
      <c r="B1962" s="14">
        <v>4.0</v>
      </c>
      <c r="C1962" s="34">
        <v>12.33</v>
      </c>
      <c r="D1962" s="36">
        <v>44925.0</v>
      </c>
      <c r="E1962" s="24"/>
      <c r="F1962" s="14">
        <v>3.08</v>
      </c>
      <c r="G1962" s="14">
        <v>18.68</v>
      </c>
      <c r="H1962" s="14">
        <v>0.61</v>
      </c>
      <c r="I1962" s="14" t="s">
        <v>6042</v>
      </c>
      <c r="J1962" s="14">
        <v>25.0</v>
      </c>
      <c r="K1962" s="14">
        <v>12.33</v>
      </c>
      <c r="L1962" s="14">
        <v>0.0</v>
      </c>
    </row>
    <row r="1963">
      <c r="A1963" s="14">
        <v>275.0</v>
      </c>
      <c r="B1963" s="14">
        <v>0.0</v>
      </c>
      <c r="C1963" s="34">
        <v>20.47</v>
      </c>
      <c r="D1963" s="36">
        <v>44925.0</v>
      </c>
      <c r="E1963" s="24"/>
      <c r="F1963" s="14" t="s">
        <v>6012</v>
      </c>
      <c r="G1963" s="14">
        <v>74.44</v>
      </c>
      <c r="H1963" s="14">
        <v>0.0</v>
      </c>
      <c r="I1963" s="14" t="s">
        <v>6038</v>
      </c>
      <c r="J1963" s="14" t="s">
        <v>6012</v>
      </c>
      <c r="K1963" s="14" t="s">
        <v>6012</v>
      </c>
      <c r="L1963" s="14">
        <v>0.0</v>
      </c>
    </row>
    <row r="1964">
      <c r="A1964" s="14">
        <v>315.0</v>
      </c>
      <c r="B1964" s="14">
        <v>2.0</v>
      </c>
      <c r="C1964" s="34">
        <v>6.28</v>
      </c>
      <c r="D1964" s="36">
        <v>44926.0</v>
      </c>
      <c r="E1964" s="24"/>
      <c r="F1964" s="14">
        <v>3.14</v>
      </c>
      <c r="G1964" s="14">
        <v>19.94</v>
      </c>
      <c r="H1964" s="14">
        <v>0.63</v>
      </c>
      <c r="I1964" s="14" t="s">
        <v>6042</v>
      </c>
      <c r="J1964" s="14">
        <v>0.0</v>
      </c>
      <c r="K1964" s="14" t="s">
        <v>6012</v>
      </c>
      <c r="L1964" s="14">
        <v>0.0</v>
      </c>
    </row>
    <row r="1965">
      <c r="A1965" s="14">
        <v>160.0</v>
      </c>
      <c r="B1965" s="14">
        <v>1.0</v>
      </c>
      <c r="C1965" s="34">
        <v>10.63</v>
      </c>
      <c r="D1965" s="36">
        <v>44926.0</v>
      </c>
      <c r="E1965" s="24"/>
      <c r="F1965" s="14">
        <v>10.63</v>
      </c>
      <c r="G1965" s="14">
        <v>66.44</v>
      </c>
      <c r="H1965" s="14">
        <v>0.62</v>
      </c>
      <c r="I1965" s="14" t="s">
        <v>6038</v>
      </c>
      <c r="J1965" s="14">
        <v>0.0</v>
      </c>
      <c r="K1965" s="14" t="s">
        <v>6012</v>
      </c>
      <c r="L1965" s="14">
        <v>0.0</v>
      </c>
    </row>
    <row r="1966">
      <c r="A1966" s="14">
        <v>135.0</v>
      </c>
      <c r="B1966" s="14">
        <v>1.0</v>
      </c>
      <c r="C1966" s="34">
        <v>10.85</v>
      </c>
      <c r="D1966" s="36">
        <v>44926.0</v>
      </c>
      <c r="E1966" s="24"/>
      <c r="F1966" s="14">
        <v>10.85</v>
      </c>
      <c r="G1966" s="14">
        <v>80.37</v>
      </c>
      <c r="H1966" s="14">
        <v>0.74</v>
      </c>
      <c r="I1966" s="14" t="s">
        <v>6035</v>
      </c>
      <c r="J1966" s="14">
        <v>0.0</v>
      </c>
      <c r="K1966" s="14" t="s">
        <v>6012</v>
      </c>
      <c r="L1966" s="14">
        <v>0.0</v>
      </c>
    </row>
    <row r="1967">
      <c r="A1967" s="14">
        <v>92.0</v>
      </c>
      <c r="B1967" s="14">
        <v>2.0</v>
      </c>
      <c r="C1967" s="34">
        <v>6.84</v>
      </c>
      <c r="D1967" s="36">
        <v>44926.0</v>
      </c>
      <c r="E1967" s="24"/>
      <c r="F1967" s="14">
        <v>3.42</v>
      </c>
      <c r="G1967" s="14">
        <v>74.35</v>
      </c>
      <c r="H1967" s="14">
        <v>2.17</v>
      </c>
      <c r="I1967" s="14" t="s">
        <v>6039</v>
      </c>
      <c r="J1967" s="14">
        <v>0.0</v>
      </c>
      <c r="K1967" s="14" t="s">
        <v>6012</v>
      </c>
      <c r="L1967" s="14">
        <v>0.0</v>
      </c>
    </row>
    <row r="1968">
      <c r="A1968" s="14">
        <v>311.0</v>
      </c>
      <c r="B1968" s="14">
        <v>5.0</v>
      </c>
      <c r="C1968" s="34">
        <v>7.47</v>
      </c>
      <c r="D1968" s="36">
        <v>44926.0</v>
      </c>
      <c r="E1968" s="24"/>
      <c r="F1968" s="14">
        <v>1.49</v>
      </c>
      <c r="G1968" s="14">
        <v>24.02</v>
      </c>
      <c r="H1968" s="14">
        <v>1.61</v>
      </c>
      <c r="I1968" s="14" t="s">
        <v>6037</v>
      </c>
      <c r="J1968" s="14">
        <v>20.0</v>
      </c>
      <c r="K1968" s="14">
        <v>7.47</v>
      </c>
      <c r="L1968" s="14">
        <v>0.0</v>
      </c>
    </row>
    <row r="1969">
      <c r="A1969" s="14">
        <v>644.0</v>
      </c>
      <c r="B1969" s="14">
        <v>3.0</v>
      </c>
      <c r="C1969" s="34">
        <v>4.45</v>
      </c>
      <c r="D1969" s="36">
        <v>44927.0</v>
      </c>
      <c r="E1969" s="24"/>
      <c r="F1969" s="14">
        <v>1.48</v>
      </c>
      <c r="G1969" s="14">
        <v>6.91</v>
      </c>
      <c r="H1969" s="14">
        <v>0.47</v>
      </c>
      <c r="I1969" s="14" t="s">
        <v>6042</v>
      </c>
      <c r="J1969" s="14">
        <v>66.67</v>
      </c>
      <c r="K1969" s="14">
        <v>2.22</v>
      </c>
      <c r="L1969" s="14">
        <v>0.0</v>
      </c>
    </row>
    <row r="1970">
      <c r="A1970" s="14">
        <v>348.0</v>
      </c>
      <c r="B1970" s="14">
        <v>3.0</v>
      </c>
      <c r="C1970" s="34">
        <v>8.32</v>
      </c>
      <c r="D1970" s="36">
        <v>44927.0</v>
      </c>
      <c r="E1970" s="24"/>
      <c r="F1970" s="14">
        <v>2.77</v>
      </c>
      <c r="G1970" s="14">
        <v>23.91</v>
      </c>
      <c r="H1970" s="14">
        <v>0.86</v>
      </c>
      <c r="I1970" s="14" t="s">
        <v>6035</v>
      </c>
      <c r="J1970" s="14">
        <v>0.0</v>
      </c>
      <c r="K1970" s="14" t="s">
        <v>6012</v>
      </c>
      <c r="L1970" s="14">
        <v>0.0</v>
      </c>
    </row>
    <row r="1971">
      <c r="A1971" s="14">
        <v>221.0</v>
      </c>
      <c r="B1971" s="14">
        <v>3.0</v>
      </c>
      <c r="C1971" s="34">
        <v>8.44</v>
      </c>
      <c r="D1971" s="36">
        <v>44927.0</v>
      </c>
      <c r="E1971" s="24"/>
      <c r="F1971" s="14">
        <v>2.81</v>
      </c>
      <c r="G1971" s="14">
        <v>38.19</v>
      </c>
      <c r="H1971" s="14">
        <v>1.36</v>
      </c>
      <c r="I1971" s="14" t="s">
        <v>6038</v>
      </c>
      <c r="J1971" s="14">
        <v>0.0</v>
      </c>
      <c r="K1971" s="14" t="s">
        <v>6012</v>
      </c>
      <c r="L1971" s="14">
        <v>0.0</v>
      </c>
    </row>
    <row r="1972">
      <c r="A1972" s="14">
        <v>466.0</v>
      </c>
      <c r="B1972" s="14">
        <v>6.0</v>
      </c>
      <c r="C1972" s="34">
        <v>6.47</v>
      </c>
      <c r="D1972" s="36">
        <v>44927.0</v>
      </c>
      <c r="E1972" s="24"/>
      <c r="F1972" s="14">
        <v>1.08</v>
      </c>
      <c r="G1972" s="14">
        <v>13.88</v>
      </c>
      <c r="H1972" s="14">
        <v>1.29</v>
      </c>
      <c r="I1972" s="14" t="s">
        <v>6037</v>
      </c>
      <c r="J1972" s="14">
        <v>0.0</v>
      </c>
      <c r="K1972" s="14" t="s">
        <v>6012</v>
      </c>
      <c r="L1972" s="14">
        <v>0.0</v>
      </c>
    </row>
    <row r="1973">
      <c r="A1973" s="14">
        <v>328.0</v>
      </c>
      <c r="B1973" s="14">
        <v>5.0</v>
      </c>
      <c r="C1973" s="34">
        <v>6.21</v>
      </c>
      <c r="D1973" s="36">
        <v>44927.0</v>
      </c>
      <c r="E1973" s="24"/>
      <c r="F1973" s="14">
        <v>1.24</v>
      </c>
      <c r="G1973" s="14">
        <v>18.93</v>
      </c>
      <c r="H1973" s="14">
        <v>1.52</v>
      </c>
      <c r="I1973" s="14" t="s">
        <v>6039</v>
      </c>
      <c r="J1973" s="14">
        <v>0.0</v>
      </c>
      <c r="K1973" s="14" t="s">
        <v>6012</v>
      </c>
      <c r="L1973" s="14">
        <v>0.0</v>
      </c>
    </row>
    <row r="1974">
      <c r="A1974" s="14">
        <v>381.0</v>
      </c>
      <c r="B1974" s="14">
        <v>2.0</v>
      </c>
      <c r="C1974" s="34">
        <v>19.04</v>
      </c>
      <c r="D1974" s="36">
        <v>44928.0</v>
      </c>
      <c r="E1974" s="24"/>
      <c r="F1974" s="14">
        <v>9.52</v>
      </c>
      <c r="G1974" s="14">
        <v>49.97</v>
      </c>
      <c r="H1974" s="14">
        <v>0.52</v>
      </c>
      <c r="I1974" s="14" t="s">
        <v>6038</v>
      </c>
      <c r="J1974" s="14">
        <v>0.0</v>
      </c>
      <c r="K1974" s="14" t="s">
        <v>6012</v>
      </c>
      <c r="L1974" s="14">
        <v>0.0</v>
      </c>
    </row>
    <row r="1975">
      <c r="A1975" s="14">
        <v>780.0</v>
      </c>
      <c r="B1975" s="14">
        <v>7.0</v>
      </c>
      <c r="C1975" s="34">
        <v>13.38</v>
      </c>
      <c r="D1975" s="36">
        <v>44928.0</v>
      </c>
      <c r="E1975" s="24"/>
      <c r="F1975" s="14">
        <v>1.91</v>
      </c>
      <c r="G1975" s="14">
        <v>17.15</v>
      </c>
      <c r="H1975" s="14">
        <v>0.9</v>
      </c>
      <c r="I1975" s="14" t="s">
        <v>6039</v>
      </c>
      <c r="J1975" s="14">
        <v>14.29</v>
      </c>
      <c r="K1975" s="14">
        <v>13.38</v>
      </c>
      <c r="L1975" s="14">
        <v>0.0</v>
      </c>
    </row>
    <row r="1976">
      <c r="A1976" s="14">
        <v>1313.0</v>
      </c>
      <c r="B1976" s="14">
        <v>6.0</v>
      </c>
      <c r="C1976" s="34">
        <v>13.39</v>
      </c>
      <c r="D1976" s="36">
        <v>44928.0</v>
      </c>
      <c r="E1976" s="24"/>
      <c r="F1976" s="14">
        <v>2.23</v>
      </c>
      <c r="G1976" s="14">
        <v>10.2</v>
      </c>
      <c r="H1976" s="14">
        <v>0.46</v>
      </c>
      <c r="I1976" s="14" t="s">
        <v>6037</v>
      </c>
      <c r="J1976" s="14">
        <v>0.0</v>
      </c>
      <c r="K1976" s="14" t="s">
        <v>6012</v>
      </c>
      <c r="L1976" s="14">
        <v>0.0</v>
      </c>
    </row>
    <row r="1977">
      <c r="A1977" s="14">
        <v>687.0</v>
      </c>
      <c r="B1977" s="14">
        <v>5.0</v>
      </c>
      <c r="C1977" s="34">
        <v>21.94</v>
      </c>
      <c r="D1977" s="36">
        <v>44928.0</v>
      </c>
      <c r="E1977" s="24"/>
      <c r="F1977" s="14">
        <v>4.39</v>
      </c>
      <c r="G1977" s="14">
        <v>31.94</v>
      </c>
      <c r="H1977" s="14">
        <v>0.73</v>
      </c>
      <c r="I1977" s="14" t="s">
        <v>6035</v>
      </c>
      <c r="J1977" s="14">
        <v>0.0</v>
      </c>
      <c r="K1977" s="14" t="s">
        <v>6012</v>
      </c>
      <c r="L1977" s="14">
        <v>0.0</v>
      </c>
    </row>
    <row r="1978">
      <c r="A1978" s="14">
        <v>1290.0</v>
      </c>
      <c r="B1978" s="14">
        <v>10.0</v>
      </c>
      <c r="C1978" s="34">
        <v>13.9</v>
      </c>
      <c r="D1978" s="36">
        <v>44928.0</v>
      </c>
      <c r="E1978" s="24"/>
      <c r="F1978" s="14">
        <v>1.39</v>
      </c>
      <c r="G1978" s="14">
        <v>10.78</v>
      </c>
      <c r="H1978" s="14">
        <v>0.78</v>
      </c>
      <c r="I1978" s="14" t="s">
        <v>6042</v>
      </c>
      <c r="J1978" s="14">
        <v>10.0</v>
      </c>
      <c r="K1978" s="14">
        <v>13.9</v>
      </c>
      <c r="L1978" s="14">
        <v>0.0</v>
      </c>
    </row>
    <row r="1979">
      <c r="A1979" s="14">
        <v>1327.0</v>
      </c>
      <c r="B1979" s="14">
        <v>2.0</v>
      </c>
      <c r="C1979" s="34">
        <v>24.46</v>
      </c>
      <c r="D1979" s="36">
        <v>44929.0</v>
      </c>
      <c r="E1979" s="24"/>
      <c r="F1979" s="14">
        <v>12.23</v>
      </c>
      <c r="G1979" s="14">
        <v>18.43</v>
      </c>
      <c r="H1979" s="14">
        <v>0.15</v>
      </c>
      <c r="I1979" s="14" t="s">
        <v>6035</v>
      </c>
      <c r="J1979" s="14">
        <v>50.0</v>
      </c>
      <c r="K1979" s="14">
        <v>24.46</v>
      </c>
      <c r="L1979" s="14">
        <v>0.0</v>
      </c>
    </row>
    <row r="1980">
      <c r="A1980" s="14">
        <v>499.0</v>
      </c>
      <c r="B1980" s="14">
        <v>3.0</v>
      </c>
      <c r="C1980" s="34">
        <v>20.36</v>
      </c>
      <c r="D1980" s="36">
        <v>44929.0</v>
      </c>
      <c r="E1980" s="24"/>
      <c r="F1980" s="14">
        <v>6.79</v>
      </c>
      <c r="G1980" s="14">
        <v>40.8</v>
      </c>
      <c r="H1980" s="14">
        <v>0.6</v>
      </c>
      <c r="I1980" s="14" t="s">
        <v>6038</v>
      </c>
      <c r="J1980" s="14">
        <v>0.0</v>
      </c>
      <c r="K1980" s="14" t="s">
        <v>6012</v>
      </c>
      <c r="L1980" s="14">
        <v>0.0</v>
      </c>
    </row>
    <row r="1981">
      <c r="A1981" s="14">
        <v>648.0</v>
      </c>
      <c r="B1981" s="14">
        <v>3.0</v>
      </c>
      <c r="C1981" s="34">
        <v>13.24</v>
      </c>
      <c r="D1981" s="36">
        <v>44929.0</v>
      </c>
      <c r="E1981" s="24"/>
      <c r="F1981" s="14">
        <v>4.41</v>
      </c>
      <c r="G1981" s="14">
        <v>20.43</v>
      </c>
      <c r="H1981" s="14">
        <v>0.46</v>
      </c>
      <c r="I1981" s="14" t="s">
        <v>6039</v>
      </c>
      <c r="J1981" s="14">
        <v>0.0</v>
      </c>
      <c r="K1981" s="14" t="s">
        <v>6012</v>
      </c>
      <c r="L1981" s="14">
        <v>0.0</v>
      </c>
    </row>
    <row r="1982">
      <c r="A1982" s="14">
        <v>1535.0</v>
      </c>
      <c r="B1982" s="14">
        <v>5.0</v>
      </c>
      <c r="C1982" s="34">
        <v>13.17</v>
      </c>
      <c r="D1982" s="36">
        <v>44929.0</v>
      </c>
      <c r="E1982" s="24"/>
      <c r="F1982" s="14">
        <v>2.63</v>
      </c>
      <c r="G1982" s="14">
        <v>8.58</v>
      </c>
      <c r="H1982" s="14">
        <v>0.33</v>
      </c>
      <c r="I1982" s="14" t="s">
        <v>6037</v>
      </c>
      <c r="J1982" s="14">
        <v>20.0</v>
      </c>
      <c r="K1982" s="14">
        <v>13.17</v>
      </c>
      <c r="L1982" s="14">
        <v>0.0</v>
      </c>
    </row>
    <row r="1983">
      <c r="A1983" s="14">
        <v>1312.0</v>
      </c>
      <c r="B1983" s="14">
        <v>8.0</v>
      </c>
      <c r="C1983" s="34">
        <v>14.2</v>
      </c>
      <c r="D1983" s="36">
        <v>44929.0</v>
      </c>
      <c r="E1983" s="24"/>
      <c r="F1983" s="14">
        <v>1.78</v>
      </c>
      <c r="G1983" s="14">
        <v>10.82</v>
      </c>
      <c r="H1983" s="14">
        <v>0.61</v>
      </c>
      <c r="I1983" s="14" t="s">
        <v>6042</v>
      </c>
      <c r="J1983" s="14">
        <v>25.0</v>
      </c>
      <c r="K1983" s="14">
        <v>7.1</v>
      </c>
      <c r="L1983" s="14">
        <v>0.0</v>
      </c>
    </row>
    <row r="1984">
      <c r="A1984" s="14">
        <v>1144.0</v>
      </c>
      <c r="B1984" s="14">
        <v>3.0</v>
      </c>
      <c r="C1984" s="34">
        <v>22.4</v>
      </c>
      <c r="D1984" s="36">
        <v>44930.0</v>
      </c>
      <c r="E1984" s="24"/>
      <c r="F1984" s="14">
        <v>7.47</v>
      </c>
      <c r="G1984" s="14">
        <v>19.58</v>
      </c>
      <c r="H1984" s="14">
        <v>0.26</v>
      </c>
      <c r="I1984" s="14" t="s">
        <v>6035</v>
      </c>
      <c r="J1984" s="14">
        <v>0.0</v>
      </c>
      <c r="K1984" s="14" t="s">
        <v>6012</v>
      </c>
      <c r="L1984" s="14">
        <v>0.0</v>
      </c>
    </row>
    <row r="1985">
      <c r="A1985" s="14">
        <v>1204.0</v>
      </c>
      <c r="B1985" s="14">
        <v>7.0</v>
      </c>
      <c r="C1985" s="34">
        <v>12.3</v>
      </c>
      <c r="D1985" s="36">
        <v>44930.0</v>
      </c>
      <c r="E1985" s="24"/>
      <c r="F1985" s="14">
        <v>1.76</v>
      </c>
      <c r="G1985" s="14">
        <v>10.22</v>
      </c>
      <c r="H1985" s="14">
        <v>0.58</v>
      </c>
      <c r="I1985" s="14" t="s">
        <v>6037</v>
      </c>
      <c r="J1985" s="14">
        <v>0.0</v>
      </c>
      <c r="K1985" s="14" t="s">
        <v>6012</v>
      </c>
      <c r="L1985" s="14">
        <v>0.0</v>
      </c>
    </row>
    <row r="1986">
      <c r="A1986" s="14">
        <v>1256.0</v>
      </c>
      <c r="B1986" s="14">
        <v>8.0</v>
      </c>
      <c r="C1986" s="34">
        <v>12.7</v>
      </c>
      <c r="D1986" s="36">
        <v>44930.0</v>
      </c>
      <c r="E1986" s="24"/>
      <c r="F1986" s="14">
        <v>1.59</v>
      </c>
      <c r="G1986" s="14">
        <v>10.11</v>
      </c>
      <c r="H1986" s="14">
        <v>0.64</v>
      </c>
      <c r="I1986" s="14" t="s">
        <v>6042</v>
      </c>
      <c r="J1986" s="14">
        <v>75.0</v>
      </c>
      <c r="K1986" s="14">
        <v>2.12</v>
      </c>
      <c r="L1986" s="14">
        <v>0.0</v>
      </c>
    </row>
    <row r="1987">
      <c r="A1987" s="14">
        <v>370.0</v>
      </c>
      <c r="B1987" s="14">
        <v>1.0</v>
      </c>
      <c r="C1987" s="34">
        <v>18.95</v>
      </c>
      <c r="D1987" s="36">
        <v>44930.0</v>
      </c>
      <c r="E1987" s="24"/>
      <c r="F1987" s="14">
        <v>18.95</v>
      </c>
      <c r="G1987" s="14">
        <v>51.22</v>
      </c>
      <c r="H1987" s="14">
        <v>0.27</v>
      </c>
      <c r="I1987" s="14" t="s">
        <v>6038</v>
      </c>
      <c r="J1987" s="14">
        <v>0.0</v>
      </c>
      <c r="K1987" s="14" t="s">
        <v>6012</v>
      </c>
      <c r="L1987" s="14">
        <v>0.0</v>
      </c>
    </row>
    <row r="1988">
      <c r="A1988" s="14">
        <v>610.0</v>
      </c>
      <c r="B1988" s="14">
        <v>4.0</v>
      </c>
      <c r="C1988" s="34">
        <v>12.47</v>
      </c>
      <c r="D1988" s="36">
        <v>44930.0</v>
      </c>
      <c r="E1988" s="24"/>
      <c r="F1988" s="14">
        <v>3.12</v>
      </c>
      <c r="G1988" s="14">
        <v>20.44</v>
      </c>
      <c r="H1988" s="14">
        <v>0.66</v>
      </c>
      <c r="I1988" s="14" t="s">
        <v>6039</v>
      </c>
      <c r="J1988" s="14">
        <v>0.0</v>
      </c>
      <c r="K1988" s="14" t="s">
        <v>6012</v>
      </c>
      <c r="L1988" s="14">
        <v>0.0</v>
      </c>
    </row>
    <row r="1989">
      <c r="A1989" s="14">
        <v>328.0</v>
      </c>
      <c r="B1989" s="14">
        <v>1.0</v>
      </c>
      <c r="C1989" s="34">
        <v>19.66</v>
      </c>
      <c r="D1989" s="36">
        <v>44931.0</v>
      </c>
      <c r="E1989" s="24"/>
      <c r="F1989" s="14">
        <v>19.66</v>
      </c>
      <c r="G1989" s="14">
        <v>59.94</v>
      </c>
      <c r="H1989" s="14">
        <v>0.3</v>
      </c>
      <c r="I1989" s="14" t="s">
        <v>6038</v>
      </c>
      <c r="J1989" s="14">
        <v>0.0</v>
      </c>
      <c r="K1989" s="14" t="s">
        <v>6012</v>
      </c>
      <c r="L1989" s="14">
        <v>0.0</v>
      </c>
    </row>
    <row r="1990">
      <c r="A1990" s="14">
        <v>462.0</v>
      </c>
      <c r="B1990" s="14">
        <v>0.0</v>
      </c>
      <c r="C1990" s="34">
        <v>22.05</v>
      </c>
      <c r="D1990" s="36">
        <v>44931.0</v>
      </c>
      <c r="E1990" s="24"/>
      <c r="F1990" s="14" t="s">
        <v>6012</v>
      </c>
      <c r="G1990" s="14">
        <v>47.73</v>
      </c>
      <c r="H1990" s="14">
        <v>0.0</v>
      </c>
      <c r="I1990" s="14" t="s">
        <v>6035</v>
      </c>
      <c r="J1990" s="14" t="s">
        <v>6012</v>
      </c>
      <c r="K1990" s="14" t="s">
        <v>6012</v>
      </c>
      <c r="L1990" s="14">
        <v>0.0</v>
      </c>
    </row>
    <row r="1991">
      <c r="A1991" s="14">
        <v>1082.0</v>
      </c>
      <c r="B1991" s="14">
        <v>3.0</v>
      </c>
      <c r="C1991" s="34">
        <v>11.98</v>
      </c>
      <c r="D1991" s="36">
        <v>44931.0</v>
      </c>
      <c r="E1991" s="24"/>
      <c r="F1991" s="14">
        <v>3.99</v>
      </c>
      <c r="G1991" s="14">
        <v>11.07</v>
      </c>
      <c r="H1991" s="14">
        <v>0.28</v>
      </c>
      <c r="I1991" s="14" t="s">
        <v>6037</v>
      </c>
      <c r="J1991" s="14">
        <v>66.67</v>
      </c>
      <c r="K1991" s="14">
        <v>5.99</v>
      </c>
      <c r="L1991" s="14">
        <v>0.0</v>
      </c>
    </row>
    <row r="1992">
      <c r="A1992" s="14">
        <v>496.0</v>
      </c>
      <c r="B1992" s="14">
        <v>4.0</v>
      </c>
      <c r="C1992" s="34">
        <v>12.41</v>
      </c>
      <c r="D1992" s="36">
        <v>44931.0</v>
      </c>
      <c r="E1992" s="24"/>
      <c r="F1992" s="14">
        <v>3.1</v>
      </c>
      <c r="G1992" s="14">
        <v>25.02</v>
      </c>
      <c r="H1992" s="14">
        <v>0.81</v>
      </c>
      <c r="I1992" s="14" t="s">
        <v>6039</v>
      </c>
      <c r="J1992" s="14">
        <v>50.0</v>
      </c>
      <c r="K1992" s="14">
        <v>6.2</v>
      </c>
      <c r="L1992" s="14">
        <v>0.0</v>
      </c>
    </row>
    <row r="1993">
      <c r="A1993" s="14">
        <v>1150.0</v>
      </c>
      <c r="B1993" s="14">
        <v>2.0</v>
      </c>
      <c r="C1993" s="34">
        <v>13.09</v>
      </c>
      <c r="D1993" s="36">
        <v>44931.0</v>
      </c>
      <c r="E1993" s="24"/>
      <c r="F1993" s="14">
        <v>6.54</v>
      </c>
      <c r="G1993" s="14">
        <v>11.38</v>
      </c>
      <c r="H1993" s="14">
        <v>0.17</v>
      </c>
      <c r="I1993" s="14" t="s">
        <v>6042</v>
      </c>
      <c r="J1993" s="14">
        <v>50.0</v>
      </c>
      <c r="K1993" s="14">
        <v>13.09</v>
      </c>
      <c r="L1993" s="14">
        <v>0.0</v>
      </c>
    </row>
    <row r="1994">
      <c r="A1994" s="14">
        <v>278.0</v>
      </c>
      <c r="B1994" s="14">
        <v>2.0</v>
      </c>
      <c r="C1994" s="34">
        <v>12.34</v>
      </c>
      <c r="D1994" s="36">
        <v>44932.0</v>
      </c>
      <c r="E1994" s="24"/>
      <c r="F1994" s="14">
        <v>6.17</v>
      </c>
      <c r="G1994" s="14">
        <v>44.39</v>
      </c>
      <c r="H1994" s="14">
        <v>0.72</v>
      </c>
      <c r="I1994" s="14" t="s">
        <v>6039</v>
      </c>
      <c r="J1994" s="14">
        <v>0.0</v>
      </c>
      <c r="K1994" s="14" t="s">
        <v>6012</v>
      </c>
      <c r="L1994" s="14">
        <v>0.0</v>
      </c>
    </row>
    <row r="1995">
      <c r="A1995" s="14">
        <v>498.0</v>
      </c>
      <c r="B1995" s="14">
        <v>1.0</v>
      </c>
      <c r="C1995" s="34">
        <v>21.08</v>
      </c>
      <c r="D1995" s="36">
        <v>44932.0</v>
      </c>
      <c r="E1995" s="24"/>
      <c r="F1995" s="14">
        <v>21.08</v>
      </c>
      <c r="G1995" s="14">
        <v>42.33</v>
      </c>
      <c r="H1995" s="14">
        <v>0.2</v>
      </c>
      <c r="I1995" s="14" t="s">
        <v>6035</v>
      </c>
      <c r="J1995" s="14">
        <v>0.0</v>
      </c>
      <c r="K1995" s="14" t="s">
        <v>6012</v>
      </c>
      <c r="L1995" s="14">
        <v>0.0</v>
      </c>
    </row>
    <row r="1996">
      <c r="A1996" s="14">
        <v>1096.0</v>
      </c>
      <c r="B1996" s="14">
        <v>9.0</v>
      </c>
      <c r="C1996" s="34">
        <v>11.78</v>
      </c>
      <c r="D1996" s="36">
        <v>44932.0</v>
      </c>
      <c r="E1996" s="24"/>
      <c r="F1996" s="14">
        <v>1.31</v>
      </c>
      <c r="G1996" s="14">
        <v>10.75</v>
      </c>
      <c r="H1996" s="14">
        <v>0.82</v>
      </c>
      <c r="I1996" s="14" t="s">
        <v>6042</v>
      </c>
      <c r="J1996" s="14">
        <v>22.22</v>
      </c>
      <c r="K1996" s="14">
        <v>5.89</v>
      </c>
      <c r="L1996" s="14">
        <v>0.0</v>
      </c>
    </row>
    <row r="1997">
      <c r="A1997" s="14">
        <v>925.0</v>
      </c>
      <c r="B1997" s="14">
        <v>5.0</v>
      </c>
      <c r="C1997" s="34">
        <v>11.24</v>
      </c>
      <c r="D1997" s="36">
        <v>44932.0</v>
      </c>
      <c r="E1997" s="24"/>
      <c r="F1997" s="14">
        <v>2.25</v>
      </c>
      <c r="G1997" s="14">
        <v>12.15</v>
      </c>
      <c r="H1997" s="14">
        <v>0.54</v>
      </c>
      <c r="I1997" s="14" t="s">
        <v>6037</v>
      </c>
      <c r="J1997" s="14">
        <v>0.0</v>
      </c>
      <c r="K1997" s="14" t="s">
        <v>6012</v>
      </c>
      <c r="L1997" s="14">
        <v>0.0</v>
      </c>
    </row>
    <row r="1998">
      <c r="A1998" s="14">
        <v>242.0</v>
      </c>
      <c r="B1998" s="14">
        <v>0.0</v>
      </c>
      <c r="C1998" s="34">
        <v>18.5</v>
      </c>
      <c r="D1998" s="36">
        <v>44932.0</v>
      </c>
      <c r="E1998" s="24"/>
      <c r="F1998" s="14" t="s">
        <v>6012</v>
      </c>
      <c r="G1998" s="14">
        <v>76.45</v>
      </c>
      <c r="H1998" s="14">
        <v>0.0</v>
      </c>
      <c r="I1998" s="14" t="s">
        <v>6038</v>
      </c>
      <c r="J1998" s="14" t="s">
        <v>6012</v>
      </c>
      <c r="K1998" s="14">
        <v>18.5</v>
      </c>
      <c r="L1998" s="14">
        <v>0.0</v>
      </c>
    </row>
    <row r="1999">
      <c r="A1999" s="14">
        <v>653.0</v>
      </c>
      <c r="B1999" s="14">
        <v>0.0</v>
      </c>
      <c r="C1999" s="34">
        <v>5.86</v>
      </c>
      <c r="D1999" s="36">
        <v>44933.0</v>
      </c>
      <c r="E1999" s="24"/>
      <c r="F1999" s="14" t="s">
        <v>6012</v>
      </c>
      <c r="G1999" s="14">
        <v>8.97</v>
      </c>
      <c r="H1999" s="14">
        <v>0.0</v>
      </c>
      <c r="I1999" s="14" t="s">
        <v>6042</v>
      </c>
      <c r="J1999" s="14" t="s">
        <v>6012</v>
      </c>
      <c r="K1999" s="14" t="s">
        <v>6012</v>
      </c>
      <c r="L1999" s="14">
        <v>0.0</v>
      </c>
    </row>
    <row r="2000">
      <c r="A2000" s="14">
        <v>140.0</v>
      </c>
      <c r="B2000" s="14">
        <v>3.0</v>
      </c>
      <c r="C2000" s="34">
        <v>7.07</v>
      </c>
      <c r="D2000" s="36">
        <v>44933.0</v>
      </c>
      <c r="E2000" s="24"/>
      <c r="F2000" s="14">
        <v>2.36</v>
      </c>
      <c r="G2000" s="14">
        <v>50.5</v>
      </c>
      <c r="H2000" s="14">
        <v>2.14</v>
      </c>
      <c r="I2000" s="14" t="s">
        <v>6039</v>
      </c>
      <c r="J2000" s="14">
        <v>0.0</v>
      </c>
      <c r="K2000" s="14" t="s">
        <v>6012</v>
      </c>
      <c r="L2000" s="14">
        <v>0.0</v>
      </c>
    </row>
    <row r="2001">
      <c r="A2001" s="14">
        <v>542.0</v>
      </c>
      <c r="B2001" s="14">
        <v>7.0</v>
      </c>
      <c r="C2001" s="34">
        <v>7.75</v>
      </c>
      <c r="D2001" s="36">
        <v>44933.0</v>
      </c>
      <c r="E2001" s="24"/>
      <c r="F2001" s="14">
        <v>1.11</v>
      </c>
      <c r="G2001" s="14">
        <v>14.3</v>
      </c>
      <c r="H2001" s="14">
        <v>1.29</v>
      </c>
      <c r="I2001" s="14" t="s">
        <v>6037</v>
      </c>
      <c r="J2001" s="14">
        <v>0.0</v>
      </c>
      <c r="K2001" s="14" t="s">
        <v>6012</v>
      </c>
      <c r="L2001" s="14">
        <v>0.0</v>
      </c>
    </row>
    <row r="2002">
      <c r="A2002" s="14">
        <v>121.0</v>
      </c>
      <c r="B2002" s="14">
        <v>1.0</v>
      </c>
      <c r="C2002" s="34">
        <v>11.0</v>
      </c>
      <c r="D2002" s="36">
        <v>44933.0</v>
      </c>
      <c r="E2002" s="24"/>
      <c r="F2002" s="14">
        <v>11.0</v>
      </c>
      <c r="G2002" s="14">
        <v>90.91</v>
      </c>
      <c r="H2002" s="14">
        <v>0.83</v>
      </c>
      <c r="I2002" s="14" t="s">
        <v>6038</v>
      </c>
      <c r="J2002" s="14">
        <v>0.0</v>
      </c>
      <c r="K2002" s="14" t="s">
        <v>6012</v>
      </c>
      <c r="L2002" s="14">
        <v>0.0</v>
      </c>
    </row>
    <row r="2003">
      <c r="A2003" s="14">
        <v>432.0</v>
      </c>
      <c r="B2003" s="14">
        <v>2.0</v>
      </c>
      <c r="C2003" s="34">
        <v>11.46</v>
      </c>
      <c r="D2003" s="36">
        <v>44933.0</v>
      </c>
      <c r="E2003" s="24"/>
      <c r="F2003" s="14">
        <v>5.73</v>
      </c>
      <c r="G2003" s="14">
        <v>26.53</v>
      </c>
      <c r="H2003" s="14">
        <v>0.46</v>
      </c>
      <c r="I2003" s="14" t="s">
        <v>6035</v>
      </c>
      <c r="J2003" s="14">
        <v>0.0</v>
      </c>
      <c r="K2003" s="14" t="s">
        <v>6012</v>
      </c>
      <c r="L2003" s="14">
        <v>0.0</v>
      </c>
    </row>
    <row r="2004">
      <c r="A2004" s="14">
        <v>304.0</v>
      </c>
      <c r="B2004" s="14">
        <v>0.0</v>
      </c>
      <c r="C2004" s="34">
        <v>9.61</v>
      </c>
      <c r="D2004" s="36">
        <v>44934.0</v>
      </c>
      <c r="E2004" s="24"/>
      <c r="F2004" s="14" t="s">
        <v>6012</v>
      </c>
      <c r="G2004" s="14">
        <v>31.61</v>
      </c>
      <c r="H2004" s="14">
        <v>0.0</v>
      </c>
      <c r="I2004" s="14" t="s">
        <v>6035</v>
      </c>
      <c r="J2004" s="14" t="s">
        <v>6012</v>
      </c>
      <c r="K2004" s="14" t="s">
        <v>6012</v>
      </c>
      <c r="L2004" s="14">
        <v>0.0</v>
      </c>
    </row>
    <row r="2005">
      <c r="A2005" s="14">
        <v>74.0</v>
      </c>
      <c r="B2005" s="14">
        <v>0.0</v>
      </c>
      <c r="C2005" s="34">
        <v>7.99</v>
      </c>
      <c r="D2005" s="36">
        <v>44934.0</v>
      </c>
      <c r="E2005" s="24"/>
      <c r="F2005" s="14" t="s">
        <v>6012</v>
      </c>
      <c r="G2005" s="14">
        <v>107.97</v>
      </c>
      <c r="H2005" s="14">
        <v>0.0</v>
      </c>
      <c r="I2005" s="14" t="s">
        <v>6038</v>
      </c>
      <c r="J2005" s="14" t="s">
        <v>6012</v>
      </c>
      <c r="K2005" s="14" t="s">
        <v>6012</v>
      </c>
      <c r="L2005" s="14">
        <v>0.0</v>
      </c>
    </row>
    <row r="2006">
      <c r="A2006" s="14">
        <v>519.0</v>
      </c>
      <c r="B2006" s="14">
        <v>6.0</v>
      </c>
      <c r="C2006" s="34">
        <v>7.17</v>
      </c>
      <c r="D2006" s="36">
        <v>44934.0</v>
      </c>
      <c r="E2006" s="24"/>
      <c r="F2006" s="14">
        <v>1.2</v>
      </c>
      <c r="G2006" s="14">
        <v>13.82</v>
      </c>
      <c r="H2006" s="14">
        <v>1.16</v>
      </c>
      <c r="I2006" s="14" t="s">
        <v>6037</v>
      </c>
      <c r="J2006" s="14">
        <v>16.67</v>
      </c>
      <c r="K2006" s="14">
        <v>7.17</v>
      </c>
      <c r="L2006" s="14">
        <v>0.0</v>
      </c>
    </row>
    <row r="2007">
      <c r="A2007" s="14">
        <v>152.0</v>
      </c>
      <c r="B2007" s="14">
        <v>2.0</v>
      </c>
      <c r="C2007" s="34">
        <v>6.09</v>
      </c>
      <c r="D2007" s="36">
        <v>44934.0</v>
      </c>
      <c r="E2007" s="24"/>
      <c r="F2007" s="14">
        <v>3.04</v>
      </c>
      <c r="G2007" s="14">
        <v>40.07</v>
      </c>
      <c r="H2007" s="14">
        <v>1.32</v>
      </c>
      <c r="I2007" s="14" t="s">
        <v>6039</v>
      </c>
      <c r="J2007" s="14">
        <v>0.0</v>
      </c>
      <c r="K2007" s="14" t="s">
        <v>6012</v>
      </c>
      <c r="L2007" s="14">
        <v>0.0</v>
      </c>
    </row>
    <row r="2008">
      <c r="A2008" s="14">
        <v>592.0</v>
      </c>
      <c r="B2008" s="14">
        <v>1.0</v>
      </c>
      <c r="C2008" s="34">
        <v>5.47</v>
      </c>
      <c r="D2008" s="36">
        <v>44934.0</v>
      </c>
      <c r="E2008" s="24"/>
      <c r="F2008" s="14">
        <v>5.47</v>
      </c>
      <c r="G2008" s="14">
        <v>9.24</v>
      </c>
      <c r="H2008" s="14">
        <v>0.17</v>
      </c>
      <c r="I2008" s="14" t="s">
        <v>6042</v>
      </c>
      <c r="J2008" s="14">
        <v>100.0</v>
      </c>
      <c r="K2008" s="14">
        <v>5.47</v>
      </c>
      <c r="L2008" s="14">
        <v>0.0</v>
      </c>
    </row>
    <row r="2009">
      <c r="A2009" s="14">
        <v>1207.0</v>
      </c>
      <c r="B2009" s="14">
        <v>1.0</v>
      </c>
      <c r="C2009" s="34">
        <v>13.73</v>
      </c>
      <c r="D2009" s="36">
        <v>44935.0</v>
      </c>
      <c r="E2009" s="24"/>
      <c r="F2009" s="14">
        <v>13.73</v>
      </c>
      <c r="G2009" s="14">
        <v>11.38</v>
      </c>
      <c r="H2009" s="14">
        <v>0.08</v>
      </c>
      <c r="I2009" s="14" t="s">
        <v>6042</v>
      </c>
      <c r="J2009" s="14">
        <v>200.0</v>
      </c>
      <c r="K2009" s="14">
        <v>6.86</v>
      </c>
      <c r="L2009" s="14">
        <v>0.0</v>
      </c>
    </row>
    <row r="2010">
      <c r="A2010" s="14">
        <v>298.0</v>
      </c>
      <c r="B2010" s="14">
        <v>0.0</v>
      </c>
      <c r="C2010" s="34">
        <v>17.71</v>
      </c>
      <c r="D2010" s="36">
        <v>44935.0</v>
      </c>
      <c r="E2010" s="24"/>
      <c r="F2010" s="14" t="s">
        <v>6012</v>
      </c>
      <c r="G2010" s="14">
        <v>59.43</v>
      </c>
      <c r="H2010" s="14">
        <v>0.0</v>
      </c>
      <c r="I2010" s="14" t="s">
        <v>6038</v>
      </c>
      <c r="J2010" s="14" t="s">
        <v>6012</v>
      </c>
      <c r="K2010" s="14" t="s">
        <v>6012</v>
      </c>
      <c r="L2010" s="14">
        <v>0.0</v>
      </c>
    </row>
    <row r="2011">
      <c r="A2011" s="14">
        <v>436.0</v>
      </c>
      <c r="B2011" s="14">
        <v>4.0</v>
      </c>
      <c r="C2011" s="34">
        <v>13.34</v>
      </c>
      <c r="D2011" s="36">
        <v>44935.0</v>
      </c>
      <c r="E2011" s="24"/>
      <c r="F2011" s="14">
        <v>3.34</v>
      </c>
      <c r="G2011" s="14">
        <v>30.6</v>
      </c>
      <c r="H2011" s="14">
        <v>0.92</v>
      </c>
      <c r="I2011" s="14" t="s">
        <v>6039</v>
      </c>
      <c r="J2011" s="14">
        <v>50.0</v>
      </c>
      <c r="K2011" s="14">
        <v>6.67</v>
      </c>
      <c r="L2011" s="14">
        <v>0.0</v>
      </c>
    </row>
    <row r="2012">
      <c r="A2012" s="14">
        <v>906.0</v>
      </c>
      <c r="B2012" s="14">
        <v>2.0</v>
      </c>
      <c r="C2012" s="34">
        <v>20.12</v>
      </c>
      <c r="D2012" s="36">
        <v>44935.0</v>
      </c>
      <c r="E2012" s="24"/>
      <c r="F2012" s="14">
        <v>10.06</v>
      </c>
      <c r="G2012" s="14">
        <v>22.21</v>
      </c>
      <c r="H2012" s="14">
        <v>0.22</v>
      </c>
      <c r="I2012" s="14" t="s">
        <v>6035</v>
      </c>
      <c r="J2012" s="14">
        <v>0.0</v>
      </c>
      <c r="K2012" s="14" t="s">
        <v>6012</v>
      </c>
      <c r="L2012" s="14">
        <v>0.0</v>
      </c>
    </row>
    <row r="2013">
      <c r="A2013" s="14">
        <v>1245.0</v>
      </c>
      <c r="B2013" s="14">
        <v>3.0</v>
      </c>
      <c r="C2013" s="34">
        <v>13.15</v>
      </c>
      <c r="D2013" s="36">
        <v>44935.0</v>
      </c>
      <c r="E2013" s="24"/>
      <c r="F2013" s="14">
        <v>4.38</v>
      </c>
      <c r="G2013" s="14">
        <v>10.56</v>
      </c>
      <c r="H2013" s="14">
        <v>0.24</v>
      </c>
      <c r="I2013" s="14" t="s">
        <v>6037</v>
      </c>
      <c r="J2013" s="14">
        <v>0.0</v>
      </c>
      <c r="K2013" s="14" t="s">
        <v>6012</v>
      </c>
      <c r="L2013" s="14">
        <v>0.0</v>
      </c>
    </row>
    <row r="2014">
      <c r="A2014" s="14">
        <v>327.0</v>
      </c>
      <c r="B2014" s="14">
        <v>1.0</v>
      </c>
      <c r="C2014" s="34">
        <v>20.62</v>
      </c>
      <c r="D2014" s="36">
        <v>44936.0</v>
      </c>
      <c r="E2014" s="24"/>
      <c r="F2014" s="14">
        <v>20.62</v>
      </c>
      <c r="G2014" s="14">
        <v>63.06</v>
      </c>
      <c r="H2014" s="14">
        <v>0.31</v>
      </c>
      <c r="I2014" s="14" t="s">
        <v>6038</v>
      </c>
      <c r="J2014" s="14">
        <v>0.0</v>
      </c>
      <c r="K2014" s="14" t="s">
        <v>6012</v>
      </c>
      <c r="L2014" s="14">
        <v>0.0</v>
      </c>
    </row>
    <row r="2015">
      <c r="A2015" s="14">
        <v>491.0</v>
      </c>
      <c r="B2015" s="14">
        <v>4.0</v>
      </c>
      <c r="C2015" s="34">
        <v>13.54</v>
      </c>
      <c r="D2015" s="36">
        <v>44936.0</v>
      </c>
      <c r="E2015" s="24"/>
      <c r="F2015" s="14">
        <v>3.38</v>
      </c>
      <c r="G2015" s="14">
        <v>27.58</v>
      </c>
      <c r="H2015" s="14">
        <v>0.81</v>
      </c>
      <c r="I2015" s="14" t="s">
        <v>6039</v>
      </c>
      <c r="J2015" s="14">
        <v>0.0</v>
      </c>
      <c r="K2015" s="14" t="s">
        <v>6012</v>
      </c>
      <c r="L2015" s="14">
        <v>0.0</v>
      </c>
    </row>
    <row r="2016">
      <c r="A2016" s="14">
        <v>1168.0</v>
      </c>
      <c r="B2016" s="14">
        <v>5.0</v>
      </c>
      <c r="C2016" s="34">
        <v>14.27</v>
      </c>
      <c r="D2016" s="36">
        <v>44936.0</v>
      </c>
      <c r="E2016" s="24"/>
      <c r="F2016" s="14">
        <v>2.85</v>
      </c>
      <c r="G2016" s="14">
        <v>12.22</v>
      </c>
      <c r="H2016" s="14">
        <v>0.43</v>
      </c>
      <c r="I2016" s="14" t="s">
        <v>6042</v>
      </c>
      <c r="J2016" s="14">
        <v>20.0</v>
      </c>
      <c r="K2016" s="14">
        <v>14.27</v>
      </c>
      <c r="L2016" s="14">
        <v>0.0</v>
      </c>
    </row>
    <row r="2017">
      <c r="A2017" s="14">
        <v>1285.0</v>
      </c>
      <c r="B2017" s="14">
        <v>4.0</v>
      </c>
      <c r="C2017" s="34">
        <v>13.39</v>
      </c>
      <c r="D2017" s="36">
        <v>44936.0</v>
      </c>
      <c r="E2017" s="24"/>
      <c r="F2017" s="14">
        <v>3.35</v>
      </c>
      <c r="G2017" s="14">
        <v>10.42</v>
      </c>
      <c r="H2017" s="14">
        <v>0.31</v>
      </c>
      <c r="I2017" s="14" t="s">
        <v>6037</v>
      </c>
      <c r="J2017" s="14">
        <v>0.0</v>
      </c>
      <c r="K2017" s="14" t="s">
        <v>6012</v>
      </c>
      <c r="L2017" s="14">
        <v>0.0</v>
      </c>
    </row>
    <row r="2018">
      <c r="A2018" s="14">
        <v>936.0</v>
      </c>
      <c r="B2018" s="14">
        <v>5.0</v>
      </c>
      <c r="C2018" s="34">
        <v>24.67</v>
      </c>
      <c r="D2018" s="36">
        <v>44936.0</v>
      </c>
      <c r="E2018" s="24"/>
      <c r="F2018" s="14">
        <v>4.93</v>
      </c>
      <c r="G2018" s="14">
        <v>26.36</v>
      </c>
      <c r="H2018" s="14">
        <v>0.53</v>
      </c>
      <c r="I2018" s="14" t="s">
        <v>6035</v>
      </c>
      <c r="J2018" s="14">
        <v>0.0</v>
      </c>
      <c r="K2018" s="14" t="s">
        <v>6012</v>
      </c>
      <c r="L2018" s="14">
        <v>0.0</v>
      </c>
    </row>
    <row r="2019">
      <c r="A2019" s="14">
        <v>749.0</v>
      </c>
      <c r="B2019" s="14">
        <v>3.0</v>
      </c>
      <c r="C2019" s="34">
        <v>13.18</v>
      </c>
      <c r="D2019" s="36">
        <v>44937.0</v>
      </c>
      <c r="E2019" s="24"/>
      <c r="F2019" s="14">
        <v>4.39</v>
      </c>
      <c r="G2019" s="14">
        <v>17.6</v>
      </c>
      <c r="H2019" s="14">
        <v>0.4</v>
      </c>
      <c r="I2019" s="14" t="s">
        <v>6042</v>
      </c>
      <c r="J2019" s="14">
        <v>0.0</v>
      </c>
      <c r="K2019" s="14" t="s">
        <v>6012</v>
      </c>
      <c r="L2019" s="14">
        <v>0.0</v>
      </c>
    </row>
    <row r="2020">
      <c r="A2020" s="14">
        <v>1164.0</v>
      </c>
      <c r="B2020" s="14">
        <v>9.0</v>
      </c>
      <c r="C2020" s="34">
        <v>12.87</v>
      </c>
      <c r="D2020" s="36">
        <v>44937.0</v>
      </c>
      <c r="E2020" s="24"/>
      <c r="F2020" s="14">
        <v>1.43</v>
      </c>
      <c r="G2020" s="14">
        <v>11.06</v>
      </c>
      <c r="H2020" s="14">
        <v>0.77</v>
      </c>
      <c r="I2020" s="14" t="s">
        <v>6037</v>
      </c>
      <c r="J2020" s="14">
        <v>0.0</v>
      </c>
      <c r="K2020" s="14" t="s">
        <v>6012</v>
      </c>
      <c r="L2020" s="14">
        <v>0.0</v>
      </c>
    </row>
    <row r="2021">
      <c r="A2021" s="14">
        <v>267.0</v>
      </c>
      <c r="B2021" s="14">
        <v>1.0</v>
      </c>
      <c r="C2021" s="34">
        <v>19.97</v>
      </c>
      <c r="D2021" s="36">
        <v>44937.0</v>
      </c>
      <c r="E2021" s="24"/>
      <c r="F2021" s="14">
        <v>19.97</v>
      </c>
      <c r="G2021" s="14">
        <v>74.79</v>
      </c>
      <c r="H2021" s="14">
        <v>0.37</v>
      </c>
      <c r="I2021" s="14" t="s">
        <v>6038</v>
      </c>
      <c r="J2021" s="14">
        <v>0.0</v>
      </c>
      <c r="K2021" s="14" t="s">
        <v>6012</v>
      </c>
      <c r="L2021" s="14">
        <v>0.0</v>
      </c>
    </row>
    <row r="2022">
      <c r="A2022" s="14">
        <v>410.0</v>
      </c>
      <c r="B2022" s="14">
        <v>2.0</v>
      </c>
      <c r="C2022" s="34">
        <v>13.98</v>
      </c>
      <c r="D2022" s="36">
        <v>44937.0</v>
      </c>
      <c r="E2022" s="24"/>
      <c r="F2022" s="14">
        <v>6.99</v>
      </c>
      <c r="G2022" s="14">
        <v>34.1</v>
      </c>
      <c r="H2022" s="14">
        <v>0.49</v>
      </c>
      <c r="I2022" s="14" t="s">
        <v>6039</v>
      </c>
      <c r="J2022" s="14">
        <v>0.0</v>
      </c>
      <c r="K2022" s="14" t="s">
        <v>6012</v>
      </c>
      <c r="L2022" s="14">
        <v>0.0</v>
      </c>
    </row>
    <row r="2023">
      <c r="A2023" s="14">
        <v>809.0</v>
      </c>
      <c r="B2023" s="14">
        <v>1.0</v>
      </c>
      <c r="C2023" s="34">
        <v>24.12</v>
      </c>
      <c r="D2023" s="36">
        <v>44937.0</v>
      </c>
      <c r="E2023" s="24"/>
      <c r="F2023" s="14">
        <v>24.12</v>
      </c>
      <c r="G2023" s="14">
        <v>29.81</v>
      </c>
      <c r="H2023" s="14">
        <v>0.12</v>
      </c>
      <c r="I2023" s="14" t="s">
        <v>6035</v>
      </c>
      <c r="J2023" s="14">
        <v>0.0</v>
      </c>
      <c r="K2023" s="14" t="s">
        <v>6012</v>
      </c>
      <c r="L2023" s="14">
        <v>0.0</v>
      </c>
    </row>
    <row r="2024">
      <c r="A2024" s="14">
        <v>269.0</v>
      </c>
      <c r="B2024" s="14">
        <v>2.0</v>
      </c>
      <c r="C2024" s="34">
        <v>19.69</v>
      </c>
      <c r="D2024" s="36">
        <v>44938.0</v>
      </c>
      <c r="E2024" s="24"/>
      <c r="F2024" s="14">
        <v>9.85</v>
      </c>
      <c r="G2024" s="14">
        <v>73.2</v>
      </c>
      <c r="H2024" s="14">
        <v>0.74</v>
      </c>
      <c r="I2024" s="14" t="s">
        <v>6038</v>
      </c>
      <c r="J2024" s="14">
        <v>0.0</v>
      </c>
      <c r="K2024" s="14" t="s">
        <v>6012</v>
      </c>
      <c r="L2024" s="14">
        <v>0.0</v>
      </c>
    </row>
    <row r="2025">
      <c r="A2025" s="14">
        <v>1086.0</v>
      </c>
      <c r="B2025" s="14">
        <v>4.0</v>
      </c>
      <c r="C2025" s="34">
        <v>11.99</v>
      </c>
      <c r="D2025" s="36">
        <v>44938.0</v>
      </c>
      <c r="E2025" s="24"/>
      <c r="F2025" s="14">
        <v>3.0</v>
      </c>
      <c r="G2025" s="14">
        <v>11.04</v>
      </c>
      <c r="H2025" s="14">
        <v>0.37</v>
      </c>
      <c r="I2025" s="14" t="s">
        <v>6037</v>
      </c>
      <c r="J2025" s="14">
        <v>0.0</v>
      </c>
      <c r="K2025" s="14" t="s">
        <v>6012</v>
      </c>
      <c r="L2025" s="14">
        <v>0.0</v>
      </c>
    </row>
    <row r="2026">
      <c r="A2026" s="14">
        <v>781.0</v>
      </c>
      <c r="B2026" s="14">
        <v>3.0</v>
      </c>
      <c r="C2026" s="34">
        <v>22.07</v>
      </c>
      <c r="D2026" s="36">
        <v>44938.0</v>
      </c>
      <c r="E2026" s="24"/>
      <c r="F2026" s="14">
        <v>7.36</v>
      </c>
      <c r="G2026" s="14">
        <v>28.26</v>
      </c>
      <c r="H2026" s="14">
        <v>0.38</v>
      </c>
      <c r="I2026" s="14" t="s">
        <v>6035</v>
      </c>
      <c r="J2026" s="14">
        <v>0.0</v>
      </c>
      <c r="K2026" s="14" t="s">
        <v>6012</v>
      </c>
      <c r="L2026" s="14">
        <v>0.0</v>
      </c>
    </row>
    <row r="2027">
      <c r="A2027" s="14">
        <v>785.0</v>
      </c>
      <c r="B2027" s="14">
        <v>4.0</v>
      </c>
      <c r="C2027" s="34">
        <v>12.82</v>
      </c>
      <c r="D2027" s="36">
        <v>44938.0</v>
      </c>
      <c r="E2027" s="24"/>
      <c r="F2027" s="14">
        <v>3.2</v>
      </c>
      <c r="G2027" s="14">
        <v>16.33</v>
      </c>
      <c r="H2027" s="14">
        <v>0.51</v>
      </c>
      <c r="I2027" s="14" t="s">
        <v>6042</v>
      </c>
      <c r="J2027" s="14">
        <v>25.0</v>
      </c>
      <c r="K2027" s="14">
        <v>12.82</v>
      </c>
      <c r="L2027" s="14">
        <v>0.0</v>
      </c>
    </row>
    <row r="2028">
      <c r="A2028" s="14">
        <v>523.0</v>
      </c>
      <c r="B2028" s="14">
        <v>6.0</v>
      </c>
      <c r="C2028" s="34">
        <v>11.59</v>
      </c>
      <c r="D2028" s="36">
        <v>44938.0</v>
      </c>
      <c r="E2028" s="24"/>
      <c r="F2028" s="14">
        <v>1.93</v>
      </c>
      <c r="G2028" s="14">
        <v>22.16</v>
      </c>
      <c r="H2028" s="14">
        <v>1.15</v>
      </c>
      <c r="I2028" s="14" t="s">
        <v>6039</v>
      </c>
      <c r="J2028" s="14">
        <v>0.0</v>
      </c>
      <c r="K2028" s="14" t="s">
        <v>6012</v>
      </c>
      <c r="L2028" s="14">
        <v>0.0</v>
      </c>
    </row>
    <row r="2029">
      <c r="A2029" s="14">
        <v>936.0</v>
      </c>
      <c r="B2029" s="14">
        <v>4.0</v>
      </c>
      <c r="C2029" s="34">
        <v>11.05</v>
      </c>
      <c r="D2029" s="36">
        <v>44939.0</v>
      </c>
      <c r="E2029" s="24"/>
      <c r="F2029" s="14">
        <v>2.76</v>
      </c>
      <c r="G2029" s="14">
        <v>11.81</v>
      </c>
      <c r="H2029" s="14">
        <v>0.43</v>
      </c>
      <c r="I2029" s="14" t="s">
        <v>6037</v>
      </c>
      <c r="J2029" s="14">
        <v>0.0</v>
      </c>
      <c r="K2029" s="14" t="s">
        <v>6012</v>
      </c>
      <c r="L2029" s="14">
        <v>0.0</v>
      </c>
    </row>
    <row r="2030">
      <c r="A2030" s="14">
        <v>421.0</v>
      </c>
      <c r="B2030" s="14">
        <v>2.0</v>
      </c>
      <c r="C2030" s="34">
        <v>21.12</v>
      </c>
      <c r="D2030" s="36">
        <v>44939.0</v>
      </c>
      <c r="E2030" s="24"/>
      <c r="F2030" s="14">
        <v>10.56</v>
      </c>
      <c r="G2030" s="14">
        <v>50.17</v>
      </c>
      <c r="H2030" s="14">
        <v>0.48</v>
      </c>
      <c r="I2030" s="14" t="s">
        <v>6035</v>
      </c>
      <c r="J2030" s="14">
        <v>0.0</v>
      </c>
      <c r="K2030" s="14" t="s">
        <v>6012</v>
      </c>
      <c r="L2030" s="14">
        <v>0.0</v>
      </c>
    </row>
    <row r="2031">
      <c r="A2031" s="14">
        <v>226.0</v>
      </c>
      <c r="B2031" s="14">
        <v>4.0</v>
      </c>
      <c r="C2031" s="34">
        <v>18.56</v>
      </c>
      <c r="D2031" s="36">
        <v>44939.0</v>
      </c>
      <c r="E2031" s="24"/>
      <c r="F2031" s="14">
        <v>4.64</v>
      </c>
      <c r="G2031" s="14">
        <v>82.12</v>
      </c>
      <c r="H2031" s="14">
        <v>1.77</v>
      </c>
      <c r="I2031" s="14" t="s">
        <v>6038</v>
      </c>
      <c r="J2031" s="14">
        <v>25.0</v>
      </c>
      <c r="K2031" s="14">
        <v>18.56</v>
      </c>
      <c r="L2031" s="14">
        <v>0.0</v>
      </c>
    </row>
    <row r="2032">
      <c r="A2032" s="14">
        <v>349.0</v>
      </c>
      <c r="B2032" s="14">
        <v>4.0</v>
      </c>
      <c r="C2032" s="34">
        <v>14.12</v>
      </c>
      <c r="D2032" s="36">
        <v>44939.0</v>
      </c>
      <c r="E2032" s="24"/>
      <c r="F2032" s="14">
        <v>3.53</v>
      </c>
      <c r="G2032" s="14">
        <v>40.46</v>
      </c>
      <c r="H2032" s="14">
        <v>1.15</v>
      </c>
      <c r="I2032" s="14" t="s">
        <v>6042</v>
      </c>
      <c r="J2032" s="14">
        <v>100.0</v>
      </c>
      <c r="K2032" s="14">
        <v>3.53</v>
      </c>
      <c r="L2032" s="14">
        <v>0.0</v>
      </c>
    </row>
    <row r="2033">
      <c r="A2033" s="14">
        <v>316.0</v>
      </c>
      <c r="B2033" s="14">
        <v>3.0</v>
      </c>
      <c r="C2033" s="34">
        <v>11.05</v>
      </c>
      <c r="D2033" s="36">
        <v>44939.0</v>
      </c>
      <c r="E2033" s="24"/>
      <c r="F2033" s="14">
        <v>3.68</v>
      </c>
      <c r="G2033" s="14">
        <v>34.97</v>
      </c>
      <c r="H2033" s="14">
        <v>0.95</v>
      </c>
      <c r="I2033" s="14" t="s">
        <v>6039</v>
      </c>
      <c r="J2033" s="14">
        <v>0.0</v>
      </c>
      <c r="K2033" s="14" t="s">
        <v>6012</v>
      </c>
      <c r="L2033" s="14">
        <v>0.0</v>
      </c>
    </row>
    <row r="2034">
      <c r="A2034" s="14">
        <v>106.0</v>
      </c>
      <c r="B2034" s="14">
        <v>0.0</v>
      </c>
      <c r="C2034" s="34">
        <v>7.32</v>
      </c>
      <c r="D2034" s="36">
        <v>44940.0</v>
      </c>
      <c r="E2034" s="24"/>
      <c r="F2034" s="14" t="s">
        <v>6012</v>
      </c>
      <c r="G2034" s="14">
        <v>69.06</v>
      </c>
      <c r="H2034" s="14">
        <v>0.0</v>
      </c>
      <c r="I2034" s="14" t="s">
        <v>6039</v>
      </c>
      <c r="J2034" s="14" t="s">
        <v>6012</v>
      </c>
      <c r="K2034" s="14">
        <v>3.66</v>
      </c>
      <c r="L2034" s="14">
        <v>0.0</v>
      </c>
    </row>
    <row r="2035">
      <c r="A2035" s="14">
        <v>428.0</v>
      </c>
      <c r="B2035" s="14">
        <v>1.0</v>
      </c>
      <c r="C2035" s="34">
        <v>4.8</v>
      </c>
      <c r="D2035" s="36">
        <v>44940.0</v>
      </c>
      <c r="E2035" s="24"/>
      <c r="F2035" s="14">
        <v>4.8</v>
      </c>
      <c r="G2035" s="14">
        <v>11.21</v>
      </c>
      <c r="H2035" s="14">
        <v>0.23</v>
      </c>
      <c r="I2035" s="14" t="s">
        <v>6042</v>
      </c>
      <c r="J2035" s="14">
        <v>0.0</v>
      </c>
      <c r="K2035" s="14" t="s">
        <v>6012</v>
      </c>
      <c r="L2035" s="14">
        <v>0.0</v>
      </c>
    </row>
    <row r="2036">
      <c r="A2036" s="14">
        <v>89.0</v>
      </c>
      <c r="B2036" s="14">
        <v>0.0</v>
      </c>
      <c r="C2036" s="34">
        <v>11.16</v>
      </c>
      <c r="D2036" s="36">
        <v>44940.0</v>
      </c>
      <c r="E2036" s="24"/>
      <c r="F2036" s="14" t="s">
        <v>6012</v>
      </c>
      <c r="G2036" s="14">
        <v>125.39</v>
      </c>
      <c r="H2036" s="14">
        <v>0.0</v>
      </c>
      <c r="I2036" s="14" t="s">
        <v>6038</v>
      </c>
      <c r="J2036" s="14" t="s">
        <v>6012</v>
      </c>
      <c r="K2036" s="14" t="s">
        <v>6012</v>
      </c>
      <c r="L2036" s="14">
        <v>0.0</v>
      </c>
    </row>
    <row r="2037">
      <c r="A2037" s="14">
        <v>248.0</v>
      </c>
      <c r="B2037" s="14">
        <v>1.0</v>
      </c>
      <c r="C2037" s="34">
        <v>12.31</v>
      </c>
      <c r="D2037" s="36">
        <v>44940.0</v>
      </c>
      <c r="E2037" s="24"/>
      <c r="F2037" s="14">
        <v>12.31</v>
      </c>
      <c r="G2037" s="14">
        <v>49.64</v>
      </c>
      <c r="H2037" s="14">
        <v>0.4</v>
      </c>
      <c r="I2037" s="14" t="s">
        <v>6035</v>
      </c>
      <c r="J2037" s="14">
        <v>0.0</v>
      </c>
      <c r="K2037" s="14" t="s">
        <v>6012</v>
      </c>
      <c r="L2037" s="14">
        <v>0.0</v>
      </c>
    </row>
    <row r="2038">
      <c r="A2038" s="14">
        <v>619.0</v>
      </c>
      <c r="B2038" s="14">
        <v>2.0</v>
      </c>
      <c r="C2038" s="34">
        <v>7.72</v>
      </c>
      <c r="D2038" s="36">
        <v>44940.0</v>
      </c>
      <c r="E2038" s="24"/>
      <c r="F2038" s="14">
        <v>3.86</v>
      </c>
      <c r="G2038" s="14">
        <v>12.47</v>
      </c>
      <c r="H2038" s="14">
        <v>0.32</v>
      </c>
      <c r="I2038" s="14" t="s">
        <v>6037</v>
      </c>
      <c r="J2038" s="14">
        <v>0.0</v>
      </c>
      <c r="K2038" s="14" t="s">
        <v>6012</v>
      </c>
      <c r="L2038" s="14">
        <v>0.0</v>
      </c>
    </row>
    <row r="2039">
      <c r="A2039" s="14">
        <v>343.0</v>
      </c>
      <c r="B2039" s="14">
        <v>3.0</v>
      </c>
      <c r="C2039" s="34">
        <v>4.08</v>
      </c>
      <c r="D2039" s="36">
        <v>44941.0</v>
      </c>
      <c r="E2039" s="24"/>
      <c r="F2039" s="14">
        <v>1.36</v>
      </c>
      <c r="G2039" s="14">
        <v>11.9</v>
      </c>
      <c r="H2039" s="14">
        <v>0.87</v>
      </c>
      <c r="I2039" s="14" t="s">
        <v>6042</v>
      </c>
      <c r="J2039" s="14">
        <v>66.67</v>
      </c>
      <c r="K2039" s="14">
        <v>2.04</v>
      </c>
      <c r="L2039" s="14">
        <v>0.0</v>
      </c>
    </row>
    <row r="2040">
      <c r="A2040" s="14">
        <v>146.0</v>
      </c>
      <c r="B2040" s="14">
        <v>1.0</v>
      </c>
      <c r="C2040" s="34">
        <v>6.18</v>
      </c>
      <c r="D2040" s="36">
        <v>44941.0</v>
      </c>
      <c r="E2040" s="24"/>
      <c r="F2040" s="14">
        <v>6.18</v>
      </c>
      <c r="G2040" s="14">
        <v>42.33</v>
      </c>
      <c r="H2040" s="14">
        <v>0.68</v>
      </c>
      <c r="I2040" s="14" t="s">
        <v>6039</v>
      </c>
      <c r="J2040" s="14">
        <v>0.0</v>
      </c>
      <c r="K2040" s="14" t="s">
        <v>6012</v>
      </c>
      <c r="L2040" s="14">
        <v>0.0</v>
      </c>
    </row>
    <row r="2041">
      <c r="A2041" s="14">
        <v>83.0</v>
      </c>
      <c r="B2041" s="14">
        <v>3.0</v>
      </c>
      <c r="C2041" s="34">
        <v>7.79</v>
      </c>
      <c r="D2041" s="36">
        <v>44941.0</v>
      </c>
      <c r="E2041" s="24"/>
      <c r="F2041" s="14">
        <v>2.6</v>
      </c>
      <c r="G2041" s="14">
        <v>93.86</v>
      </c>
      <c r="H2041" s="14">
        <v>3.61</v>
      </c>
      <c r="I2041" s="14" t="s">
        <v>6038</v>
      </c>
      <c r="J2041" s="14">
        <v>0.0</v>
      </c>
      <c r="K2041" s="14" t="s">
        <v>6012</v>
      </c>
      <c r="L2041" s="14">
        <v>0.0</v>
      </c>
    </row>
    <row r="2042">
      <c r="A2042" s="14">
        <v>227.0</v>
      </c>
      <c r="B2042" s="14">
        <v>3.0</v>
      </c>
      <c r="C2042" s="34">
        <v>8.59</v>
      </c>
      <c r="D2042" s="36">
        <v>44941.0</v>
      </c>
      <c r="E2042" s="24"/>
      <c r="F2042" s="14">
        <v>2.86</v>
      </c>
      <c r="G2042" s="14">
        <v>37.84</v>
      </c>
      <c r="H2042" s="14">
        <v>1.32</v>
      </c>
      <c r="I2042" s="14" t="s">
        <v>6035</v>
      </c>
      <c r="J2042" s="14">
        <v>0.0</v>
      </c>
      <c r="K2042" s="14" t="s">
        <v>6012</v>
      </c>
      <c r="L2042" s="14">
        <v>0.0</v>
      </c>
    </row>
    <row r="2043">
      <c r="A2043" s="14">
        <v>489.0</v>
      </c>
      <c r="B2043" s="14">
        <v>4.0</v>
      </c>
      <c r="C2043" s="34">
        <v>6.83</v>
      </c>
      <c r="D2043" s="36">
        <v>44941.0</v>
      </c>
      <c r="E2043" s="24"/>
      <c r="F2043" s="14">
        <v>1.71</v>
      </c>
      <c r="G2043" s="14">
        <v>13.97</v>
      </c>
      <c r="H2043" s="14">
        <v>0.82</v>
      </c>
      <c r="I2043" s="14" t="s">
        <v>6037</v>
      </c>
      <c r="J2043" s="14">
        <v>25.0</v>
      </c>
      <c r="K2043" s="14">
        <v>6.83</v>
      </c>
      <c r="L2043" s="14">
        <v>0.0</v>
      </c>
    </row>
    <row r="2044">
      <c r="A2044" s="14">
        <v>308.0</v>
      </c>
      <c r="B2044" s="14">
        <v>4.0</v>
      </c>
      <c r="C2044" s="34">
        <v>17.0</v>
      </c>
      <c r="D2044" s="36">
        <v>44942.0</v>
      </c>
      <c r="E2044" s="24"/>
      <c r="F2044" s="14">
        <v>4.25</v>
      </c>
      <c r="G2044" s="14">
        <v>55.19</v>
      </c>
      <c r="H2044" s="14">
        <v>1.3</v>
      </c>
      <c r="I2044" s="14" t="s">
        <v>6038</v>
      </c>
      <c r="J2044" s="14">
        <v>0.0</v>
      </c>
      <c r="K2044" s="14" t="s">
        <v>6012</v>
      </c>
      <c r="L2044" s="14">
        <v>0.0</v>
      </c>
    </row>
    <row r="2045">
      <c r="A2045" s="14">
        <v>838.0</v>
      </c>
      <c r="B2045" s="14">
        <v>3.0</v>
      </c>
      <c r="C2045" s="34">
        <v>11.46</v>
      </c>
      <c r="D2045" s="36">
        <v>44942.0</v>
      </c>
      <c r="E2045" s="24"/>
      <c r="F2045" s="14">
        <v>3.82</v>
      </c>
      <c r="G2045" s="14">
        <v>13.68</v>
      </c>
      <c r="H2045" s="14">
        <v>0.36</v>
      </c>
      <c r="I2045" s="14" t="s">
        <v>6042</v>
      </c>
      <c r="J2045" s="14">
        <v>0.0</v>
      </c>
      <c r="K2045" s="14" t="s">
        <v>6012</v>
      </c>
      <c r="L2045" s="14">
        <v>0.0</v>
      </c>
    </row>
    <row r="2046">
      <c r="A2046" s="14">
        <v>627.0</v>
      </c>
      <c r="B2046" s="14">
        <v>3.0</v>
      </c>
      <c r="C2046" s="34">
        <v>12.8</v>
      </c>
      <c r="D2046" s="36">
        <v>44942.0</v>
      </c>
      <c r="E2046" s="24"/>
      <c r="F2046" s="14">
        <v>4.27</v>
      </c>
      <c r="G2046" s="14">
        <v>20.41</v>
      </c>
      <c r="H2046" s="14">
        <v>0.48</v>
      </c>
      <c r="I2046" s="14" t="s">
        <v>6039</v>
      </c>
      <c r="J2046" s="14">
        <v>33.33</v>
      </c>
      <c r="K2046" s="14">
        <v>12.8</v>
      </c>
      <c r="L2046" s="14">
        <v>0.0</v>
      </c>
    </row>
    <row r="2047">
      <c r="A2047" s="14">
        <v>677.0</v>
      </c>
      <c r="B2047" s="14">
        <v>4.0</v>
      </c>
      <c r="C2047" s="34">
        <v>18.45</v>
      </c>
      <c r="D2047" s="36">
        <v>44942.0</v>
      </c>
      <c r="E2047" s="24"/>
      <c r="F2047" s="14">
        <v>4.61</v>
      </c>
      <c r="G2047" s="14">
        <v>27.25</v>
      </c>
      <c r="H2047" s="14">
        <v>0.59</v>
      </c>
      <c r="I2047" s="14" t="s">
        <v>6035</v>
      </c>
      <c r="J2047" s="14">
        <v>0.0</v>
      </c>
      <c r="K2047" s="14" t="s">
        <v>6012</v>
      </c>
      <c r="L2047" s="14">
        <v>0.0</v>
      </c>
    </row>
    <row r="2048">
      <c r="A2048" s="14">
        <v>675.0</v>
      </c>
      <c r="B2048" s="14">
        <v>5.0</v>
      </c>
      <c r="C2048" s="34">
        <v>12.94</v>
      </c>
      <c r="D2048" s="36">
        <v>44942.0</v>
      </c>
      <c r="E2048" s="24"/>
      <c r="F2048" s="14">
        <v>2.59</v>
      </c>
      <c r="G2048" s="14">
        <v>19.17</v>
      </c>
      <c r="H2048" s="14">
        <v>0.74</v>
      </c>
      <c r="I2048" s="14" t="s">
        <v>6037</v>
      </c>
      <c r="J2048" s="14">
        <v>0.0</v>
      </c>
      <c r="K2048" s="14" t="s">
        <v>6012</v>
      </c>
      <c r="L2048" s="14">
        <v>0.0</v>
      </c>
    </row>
    <row r="2049">
      <c r="A2049" s="14">
        <v>956.0</v>
      </c>
      <c r="B2049" s="14">
        <v>2.0</v>
      </c>
      <c r="C2049" s="34">
        <v>24.81</v>
      </c>
      <c r="D2049" s="36">
        <v>44943.0</v>
      </c>
      <c r="E2049" s="24"/>
      <c r="F2049" s="14">
        <v>12.4</v>
      </c>
      <c r="G2049" s="14">
        <v>25.95</v>
      </c>
      <c r="H2049" s="14">
        <v>0.21</v>
      </c>
      <c r="I2049" s="14" t="s">
        <v>6035</v>
      </c>
      <c r="J2049" s="14">
        <v>0.0</v>
      </c>
      <c r="K2049" s="14" t="s">
        <v>6012</v>
      </c>
      <c r="L2049" s="14">
        <v>0.0</v>
      </c>
    </row>
    <row r="2050">
      <c r="A2050" s="14">
        <v>914.0</v>
      </c>
      <c r="B2050" s="14">
        <v>3.0</v>
      </c>
      <c r="C2050" s="34">
        <v>13.9</v>
      </c>
      <c r="D2050" s="36">
        <v>44943.0</v>
      </c>
      <c r="E2050" s="24"/>
      <c r="F2050" s="14">
        <v>4.63</v>
      </c>
      <c r="G2050" s="14">
        <v>15.21</v>
      </c>
      <c r="H2050" s="14">
        <v>0.33</v>
      </c>
      <c r="I2050" s="14" t="s">
        <v>6042</v>
      </c>
      <c r="J2050" s="14">
        <v>33.33</v>
      </c>
      <c r="K2050" s="14">
        <v>13.9</v>
      </c>
      <c r="L2050" s="14">
        <v>0.0</v>
      </c>
    </row>
    <row r="2051">
      <c r="A2051" s="14">
        <v>312.0</v>
      </c>
      <c r="B2051" s="14">
        <v>2.0</v>
      </c>
      <c r="C2051" s="34">
        <v>20.57</v>
      </c>
      <c r="D2051" s="36">
        <v>44943.0</v>
      </c>
      <c r="E2051" s="24"/>
      <c r="F2051" s="14">
        <v>10.28</v>
      </c>
      <c r="G2051" s="14">
        <v>65.93</v>
      </c>
      <c r="H2051" s="14">
        <v>0.64</v>
      </c>
      <c r="I2051" s="14" t="s">
        <v>6038</v>
      </c>
      <c r="J2051" s="14">
        <v>0.0</v>
      </c>
      <c r="K2051" s="14" t="s">
        <v>6012</v>
      </c>
      <c r="L2051" s="14">
        <v>0.0</v>
      </c>
    </row>
    <row r="2052">
      <c r="A2052" s="14">
        <v>524.0</v>
      </c>
      <c r="B2052" s="14">
        <v>5.0</v>
      </c>
      <c r="C2052" s="34">
        <v>13.57</v>
      </c>
      <c r="D2052" s="36">
        <v>44943.0</v>
      </c>
      <c r="E2052" s="24"/>
      <c r="F2052" s="14">
        <v>2.71</v>
      </c>
      <c r="G2052" s="14">
        <v>25.9</v>
      </c>
      <c r="H2052" s="14">
        <v>0.95</v>
      </c>
      <c r="I2052" s="14" t="s">
        <v>6039</v>
      </c>
      <c r="J2052" s="14">
        <v>0.0</v>
      </c>
      <c r="K2052" s="14" t="s">
        <v>6012</v>
      </c>
      <c r="L2052" s="14">
        <v>0.0</v>
      </c>
    </row>
    <row r="2053">
      <c r="A2053" s="14">
        <v>782.0</v>
      </c>
      <c r="B2053" s="14">
        <v>9.0</v>
      </c>
      <c r="C2053" s="34">
        <v>13.46</v>
      </c>
      <c r="D2053" s="36">
        <v>44943.0</v>
      </c>
      <c r="E2053" s="24"/>
      <c r="F2053" s="14">
        <v>1.5</v>
      </c>
      <c r="G2053" s="14">
        <v>17.21</v>
      </c>
      <c r="H2053" s="14">
        <v>1.15</v>
      </c>
      <c r="I2053" s="14" t="s">
        <v>6037</v>
      </c>
      <c r="J2053" s="14">
        <v>0.0</v>
      </c>
      <c r="K2053" s="14" t="s">
        <v>6012</v>
      </c>
      <c r="L2053" s="14">
        <v>0.0</v>
      </c>
    </row>
    <row r="2054">
      <c r="A2054" s="14">
        <v>130.0</v>
      </c>
      <c r="B2054" s="14">
        <v>2.0</v>
      </c>
      <c r="C2054" s="34">
        <v>20.28</v>
      </c>
      <c r="D2054" s="36">
        <v>44944.0</v>
      </c>
      <c r="E2054" s="24"/>
      <c r="F2054" s="14">
        <v>10.14</v>
      </c>
      <c r="G2054" s="14">
        <v>156.0</v>
      </c>
      <c r="H2054" s="14">
        <v>1.54</v>
      </c>
      <c r="I2054" s="14" t="s">
        <v>6038</v>
      </c>
      <c r="J2054" s="14">
        <v>0.0</v>
      </c>
      <c r="K2054" s="14" t="s">
        <v>6012</v>
      </c>
      <c r="L2054" s="14">
        <v>0.0</v>
      </c>
    </row>
    <row r="2055">
      <c r="A2055" s="14">
        <v>288.0</v>
      </c>
      <c r="B2055" s="14">
        <v>2.0</v>
      </c>
      <c r="C2055" s="34">
        <v>12.61</v>
      </c>
      <c r="D2055" s="36">
        <v>44944.0</v>
      </c>
      <c r="E2055" s="24"/>
      <c r="F2055" s="14">
        <v>6.3</v>
      </c>
      <c r="G2055" s="14">
        <v>43.78</v>
      </c>
      <c r="H2055" s="14">
        <v>0.69</v>
      </c>
      <c r="I2055" s="14" t="s">
        <v>6037</v>
      </c>
      <c r="J2055" s="14">
        <v>50.0</v>
      </c>
      <c r="K2055" s="14">
        <v>12.61</v>
      </c>
      <c r="L2055" s="14">
        <v>0.0</v>
      </c>
    </row>
    <row r="2056">
      <c r="A2056" s="14">
        <v>849.0</v>
      </c>
      <c r="B2056" s="14">
        <v>2.0</v>
      </c>
      <c r="C2056" s="34">
        <v>23.96</v>
      </c>
      <c r="D2056" s="36">
        <v>44944.0</v>
      </c>
      <c r="E2056" s="24"/>
      <c r="F2056" s="14">
        <v>11.98</v>
      </c>
      <c r="G2056" s="14">
        <v>28.22</v>
      </c>
      <c r="H2056" s="14">
        <v>0.24</v>
      </c>
      <c r="I2056" s="14" t="s">
        <v>6035</v>
      </c>
      <c r="J2056" s="14">
        <v>50.0</v>
      </c>
      <c r="K2056" s="14">
        <v>23.96</v>
      </c>
      <c r="L2056" s="14">
        <v>0.0</v>
      </c>
    </row>
    <row r="2057">
      <c r="A2057" s="14">
        <v>474.0</v>
      </c>
      <c r="B2057" s="14">
        <v>7.0</v>
      </c>
      <c r="C2057" s="34">
        <v>12.25</v>
      </c>
      <c r="D2057" s="36">
        <v>44944.0</v>
      </c>
      <c r="E2057" s="24"/>
      <c r="F2057" s="14">
        <v>1.75</v>
      </c>
      <c r="G2057" s="14">
        <v>25.84</v>
      </c>
      <c r="H2057" s="14">
        <v>1.48</v>
      </c>
      <c r="I2057" s="14" t="s">
        <v>6039</v>
      </c>
      <c r="J2057" s="14">
        <v>28.57</v>
      </c>
      <c r="K2057" s="14">
        <v>6.12</v>
      </c>
      <c r="L2057" s="14">
        <v>0.0</v>
      </c>
    </row>
    <row r="2058">
      <c r="A2058" s="14">
        <v>520.0</v>
      </c>
      <c r="B2058" s="14">
        <v>3.0</v>
      </c>
      <c r="C2058" s="34">
        <v>14.4</v>
      </c>
      <c r="D2058" s="36">
        <v>44944.0</v>
      </c>
      <c r="E2058" s="24"/>
      <c r="F2058" s="14">
        <v>4.8</v>
      </c>
      <c r="G2058" s="14">
        <v>27.69</v>
      </c>
      <c r="H2058" s="14">
        <v>0.58</v>
      </c>
      <c r="I2058" s="14" t="s">
        <v>6042</v>
      </c>
      <c r="J2058" s="14">
        <v>33.33</v>
      </c>
      <c r="K2058" s="14">
        <v>14.4</v>
      </c>
      <c r="L2058" s="14">
        <v>0.0</v>
      </c>
    </row>
    <row r="2059">
      <c r="A2059" s="14">
        <v>354.0</v>
      </c>
      <c r="B2059" s="14">
        <v>2.0</v>
      </c>
      <c r="C2059" s="34">
        <v>19.43</v>
      </c>
      <c r="D2059" s="36">
        <v>44945.0</v>
      </c>
      <c r="E2059" s="24"/>
      <c r="F2059" s="14">
        <v>9.72</v>
      </c>
      <c r="G2059" s="14">
        <v>54.89</v>
      </c>
      <c r="H2059" s="14">
        <v>0.56</v>
      </c>
      <c r="I2059" s="14" t="s">
        <v>6038</v>
      </c>
      <c r="J2059" s="14">
        <v>0.0</v>
      </c>
      <c r="K2059" s="14" t="s">
        <v>6012</v>
      </c>
      <c r="L2059" s="14">
        <v>0.0</v>
      </c>
    </row>
    <row r="2060">
      <c r="A2060" s="14">
        <v>872.0</v>
      </c>
      <c r="B2060" s="14">
        <v>3.0</v>
      </c>
      <c r="C2060" s="34">
        <v>19.43</v>
      </c>
      <c r="D2060" s="36">
        <v>44945.0</v>
      </c>
      <c r="E2060" s="24"/>
      <c r="F2060" s="14">
        <v>6.48</v>
      </c>
      <c r="G2060" s="14">
        <v>22.28</v>
      </c>
      <c r="H2060" s="14">
        <v>0.34</v>
      </c>
      <c r="I2060" s="14" t="s">
        <v>6035</v>
      </c>
      <c r="J2060" s="14">
        <v>66.67</v>
      </c>
      <c r="K2060" s="14">
        <v>9.72</v>
      </c>
      <c r="L2060" s="14">
        <v>0.0</v>
      </c>
    </row>
    <row r="2061">
      <c r="A2061" s="14">
        <v>530.0</v>
      </c>
      <c r="B2061" s="14">
        <v>4.0</v>
      </c>
      <c r="C2061" s="34">
        <v>12.33</v>
      </c>
      <c r="D2061" s="36">
        <v>44945.0</v>
      </c>
      <c r="E2061" s="24"/>
      <c r="F2061" s="14">
        <v>3.08</v>
      </c>
      <c r="G2061" s="14">
        <v>23.26</v>
      </c>
      <c r="H2061" s="14">
        <v>0.75</v>
      </c>
      <c r="I2061" s="14" t="s">
        <v>6039</v>
      </c>
      <c r="J2061" s="14">
        <v>0.0</v>
      </c>
      <c r="K2061" s="14" t="s">
        <v>6012</v>
      </c>
      <c r="L2061" s="14">
        <v>0.0</v>
      </c>
    </row>
    <row r="2062">
      <c r="A2062" s="14">
        <v>871.0</v>
      </c>
      <c r="B2062" s="14">
        <v>6.0</v>
      </c>
      <c r="C2062" s="34">
        <v>10.25</v>
      </c>
      <c r="D2062" s="36">
        <v>44945.0</v>
      </c>
      <c r="E2062" s="24"/>
      <c r="F2062" s="14">
        <v>1.71</v>
      </c>
      <c r="G2062" s="14">
        <v>11.77</v>
      </c>
      <c r="H2062" s="14">
        <v>0.69</v>
      </c>
      <c r="I2062" s="14" t="s">
        <v>6042</v>
      </c>
      <c r="J2062" s="14">
        <v>0.0</v>
      </c>
      <c r="K2062" s="14" t="s">
        <v>6012</v>
      </c>
      <c r="L2062" s="14">
        <v>0.0</v>
      </c>
    </row>
    <row r="2063">
      <c r="A2063" s="14">
        <v>120.0</v>
      </c>
      <c r="B2063" s="14">
        <v>14.0</v>
      </c>
      <c r="C2063" s="34">
        <v>2.65</v>
      </c>
      <c r="D2063" s="36">
        <v>44945.0</v>
      </c>
      <c r="E2063" s="24"/>
      <c r="F2063" s="14">
        <v>0.19</v>
      </c>
      <c r="G2063" s="14">
        <v>22.08</v>
      </c>
      <c r="H2063" s="14">
        <v>11.67</v>
      </c>
      <c r="I2063" s="14" t="s">
        <v>6048</v>
      </c>
      <c r="J2063" s="14">
        <v>0.0</v>
      </c>
      <c r="K2063" s="14" t="s">
        <v>6012</v>
      </c>
      <c r="L2063" s="14">
        <v>0.0</v>
      </c>
    </row>
    <row r="2064">
      <c r="A2064" s="14">
        <v>1236.0</v>
      </c>
      <c r="B2064" s="14">
        <v>1.0</v>
      </c>
      <c r="C2064" s="34">
        <v>12.12</v>
      </c>
      <c r="D2064" s="36">
        <v>44945.0</v>
      </c>
      <c r="E2064" s="24"/>
      <c r="F2064" s="14">
        <v>12.12</v>
      </c>
      <c r="G2064" s="14">
        <v>9.81</v>
      </c>
      <c r="H2064" s="14">
        <v>0.08</v>
      </c>
      <c r="I2064" s="14" t="s">
        <v>6037</v>
      </c>
      <c r="J2064" s="14">
        <v>100.0</v>
      </c>
      <c r="K2064" s="14">
        <v>12.12</v>
      </c>
      <c r="L2064" s="14">
        <v>0.0</v>
      </c>
    </row>
    <row r="2065">
      <c r="A2065" s="14">
        <v>823.0</v>
      </c>
      <c r="B2065" s="14">
        <v>0.0</v>
      </c>
      <c r="C2065" s="34">
        <v>21.56</v>
      </c>
      <c r="D2065" s="36">
        <v>44946.0</v>
      </c>
      <c r="E2065" s="24"/>
      <c r="F2065" s="14" t="s">
        <v>6012</v>
      </c>
      <c r="G2065" s="14">
        <v>26.2</v>
      </c>
      <c r="H2065" s="14">
        <v>0.0</v>
      </c>
      <c r="I2065" s="14" t="s">
        <v>6035</v>
      </c>
      <c r="J2065" s="14" t="s">
        <v>6012</v>
      </c>
      <c r="K2065" s="14" t="s">
        <v>6012</v>
      </c>
      <c r="L2065" s="14">
        <v>0.0</v>
      </c>
    </row>
    <row r="2066">
      <c r="A2066" s="14">
        <v>351.0</v>
      </c>
      <c r="B2066" s="14">
        <v>4.0</v>
      </c>
      <c r="C2066" s="34">
        <v>11.05</v>
      </c>
      <c r="D2066" s="36">
        <v>44946.0</v>
      </c>
      <c r="E2066" s="24"/>
      <c r="F2066" s="14">
        <v>2.76</v>
      </c>
      <c r="G2066" s="14">
        <v>31.48</v>
      </c>
      <c r="H2066" s="14">
        <v>1.14</v>
      </c>
      <c r="I2066" s="14" t="s">
        <v>6039</v>
      </c>
      <c r="J2066" s="14">
        <v>25.0</v>
      </c>
      <c r="K2066" s="14">
        <v>11.05</v>
      </c>
      <c r="L2066" s="14">
        <v>0.0</v>
      </c>
    </row>
    <row r="2067">
      <c r="A2067" s="14">
        <v>177.0</v>
      </c>
      <c r="B2067" s="14">
        <v>27.0</v>
      </c>
      <c r="C2067" s="34">
        <v>4.45</v>
      </c>
      <c r="D2067" s="36">
        <v>44946.0</v>
      </c>
      <c r="E2067" s="24"/>
      <c r="F2067" s="14">
        <v>0.16</v>
      </c>
      <c r="G2067" s="14">
        <v>25.14</v>
      </c>
      <c r="H2067" s="14">
        <v>15.25</v>
      </c>
      <c r="I2067" s="14" t="s">
        <v>6049</v>
      </c>
      <c r="J2067" s="14">
        <v>0.0</v>
      </c>
      <c r="K2067" s="14" t="s">
        <v>6012</v>
      </c>
      <c r="L2067" s="14">
        <v>0.0</v>
      </c>
    </row>
    <row r="2068">
      <c r="A2068" s="14">
        <v>789.0</v>
      </c>
      <c r="B2068" s="14">
        <v>5.0</v>
      </c>
      <c r="C2068" s="34">
        <v>10.85</v>
      </c>
      <c r="D2068" s="36">
        <v>44946.0</v>
      </c>
      <c r="E2068" s="24"/>
      <c r="F2068" s="14">
        <v>2.17</v>
      </c>
      <c r="G2068" s="14">
        <v>13.75</v>
      </c>
      <c r="H2068" s="14">
        <v>0.63</v>
      </c>
      <c r="I2068" s="14" t="s">
        <v>6042</v>
      </c>
      <c r="J2068" s="14">
        <v>0.0</v>
      </c>
      <c r="K2068" s="14" t="s">
        <v>6012</v>
      </c>
      <c r="L2068" s="14">
        <v>0.0</v>
      </c>
    </row>
    <row r="2069">
      <c r="A2069" s="14">
        <v>266.0</v>
      </c>
      <c r="B2069" s="14">
        <v>1.0</v>
      </c>
      <c r="C2069" s="34">
        <v>11.95</v>
      </c>
      <c r="D2069" s="36">
        <v>44946.0</v>
      </c>
      <c r="E2069" s="24"/>
      <c r="F2069" s="14">
        <v>11.95</v>
      </c>
      <c r="G2069" s="14">
        <v>44.92</v>
      </c>
      <c r="H2069" s="14">
        <v>0.38</v>
      </c>
      <c r="I2069" s="14" t="s">
        <v>6037</v>
      </c>
      <c r="J2069" s="14">
        <v>0.0</v>
      </c>
      <c r="K2069" s="14" t="s">
        <v>6012</v>
      </c>
      <c r="L2069" s="14">
        <v>0.0</v>
      </c>
    </row>
    <row r="2070">
      <c r="A2070" s="14">
        <v>367.0</v>
      </c>
      <c r="B2070" s="14">
        <v>31.0</v>
      </c>
      <c r="C2070" s="34">
        <v>14.76</v>
      </c>
      <c r="D2070" s="36">
        <v>44946.0</v>
      </c>
      <c r="E2070" s="24"/>
      <c r="F2070" s="14">
        <v>0.48</v>
      </c>
      <c r="G2070" s="14">
        <v>40.22</v>
      </c>
      <c r="H2070" s="14">
        <v>8.45</v>
      </c>
      <c r="I2070" s="14" t="s">
        <v>6048</v>
      </c>
      <c r="J2070" s="14">
        <v>0.0</v>
      </c>
      <c r="K2070" s="14" t="s">
        <v>6012</v>
      </c>
      <c r="L2070" s="14">
        <v>0.0</v>
      </c>
    </row>
    <row r="2071">
      <c r="A2071" s="14">
        <v>341.0</v>
      </c>
      <c r="B2071" s="14">
        <v>0.0</v>
      </c>
      <c r="C2071" s="34">
        <v>18.54</v>
      </c>
      <c r="D2071" s="36">
        <v>44946.0</v>
      </c>
      <c r="E2071" s="24"/>
      <c r="F2071" s="14" t="s">
        <v>6012</v>
      </c>
      <c r="G2071" s="14">
        <v>54.37</v>
      </c>
      <c r="H2071" s="14">
        <v>0.0</v>
      </c>
      <c r="I2071" s="14" t="s">
        <v>6038</v>
      </c>
      <c r="J2071" s="14" t="s">
        <v>6012</v>
      </c>
      <c r="K2071" s="14" t="s">
        <v>6012</v>
      </c>
      <c r="L2071" s="14">
        <v>0.0</v>
      </c>
    </row>
    <row r="2072">
      <c r="A2072" s="14">
        <v>223.0</v>
      </c>
      <c r="B2072" s="14">
        <v>25.0</v>
      </c>
      <c r="C2072" s="34">
        <v>12.44</v>
      </c>
      <c r="D2072" s="36">
        <v>44947.0</v>
      </c>
      <c r="E2072" s="24"/>
      <c r="F2072" s="14">
        <v>0.5</v>
      </c>
      <c r="G2072" s="14">
        <v>55.78</v>
      </c>
      <c r="H2072" s="14">
        <v>11.21</v>
      </c>
      <c r="I2072" s="14" t="s">
        <v>6048</v>
      </c>
      <c r="J2072" s="14">
        <v>0.0</v>
      </c>
      <c r="K2072" s="14" t="s">
        <v>6012</v>
      </c>
      <c r="L2072" s="14">
        <v>0.0</v>
      </c>
    </row>
    <row r="2073">
      <c r="A2073" s="14">
        <v>336.0</v>
      </c>
      <c r="B2073" s="14">
        <v>1.0</v>
      </c>
      <c r="C2073" s="34">
        <v>8.31</v>
      </c>
      <c r="D2073" s="36">
        <v>44947.0</v>
      </c>
      <c r="E2073" s="24"/>
      <c r="F2073" s="14">
        <v>8.31</v>
      </c>
      <c r="G2073" s="14">
        <v>24.73</v>
      </c>
      <c r="H2073" s="14">
        <v>0.3</v>
      </c>
      <c r="I2073" s="14" t="s">
        <v>6042</v>
      </c>
      <c r="J2073" s="14">
        <v>0.0</v>
      </c>
      <c r="K2073" s="14" t="s">
        <v>6012</v>
      </c>
      <c r="L2073" s="14">
        <v>0.0</v>
      </c>
    </row>
    <row r="2074">
      <c r="A2074" s="14">
        <v>155.0</v>
      </c>
      <c r="B2074" s="14">
        <v>21.0</v>
      </c>
      <c r="C2074" s="34">
        <v>2.41</v>
      </c>
      <c r="D2074" s="36">
        <v>44947.0</v>
      </c>
      <c r="E2074" s="24"/>
      <c r="F2074" s="14">
        <v>0.11</v>
      </c>
      <c r="G2074" s="14">
        <v>15.55</v>
      </c>
      <c r="H2074" s="14">
        <v>13.55</v>
      </c>
      <c r="I2074" s="14" t="s">
        <v>6049</v>
      </c>
      <c r="J2074" s="14">
        <v>0.0</v>
      </c>
      <c r="K2074" s="14" t="s">
        <v>6012</v>
      </c>
      <c r="L2074" s="14">
        <v>0.0</v>
      </c>
    </row>
    <row r="2075">
      <c r="A2075" s="14">
        <v>206.0</v>
      </c>
      <c r="B2075" s="14">
        <v>0.0</v>
      </c>
      <c r="C2075" s="34">
        <v>10.66</v>
      </c>
      <c r="D2075" s="36">
        <v>44947.0</v>
      </c>
      <c r="E2075" s="24"/>
      <c r="F2075" s="14" t="s">
        <v>6012</v>
      </c>
      <c r="G2075" s="14">
        <v>51.75</v>
      </c>
      <c r="H2075" s="14">
        <v>0.0</v>
      </c>
      <c r="I2075" s="14" t="s">
        <v>6038</v>
      </c>
      <c r="J2075" s="14" t="s">
        <v>6012</v>
      </c>
      <c r="K2075" s="14" t="s">
        <v>6012</v>
      </c>
      <c r="L2075" s="14">
        <v>0.0</v>
      </c>
    </row>
    <row r="2076">
      <c r="A2076" s="14">
        <v>281.0</v>
      </c>
      <c r="B2076" s="14">
        <v>3.0</v>
      </c>
      <c r="C2076" s="34">
        <v>14.31</v>
      </c>
      <c r="D2076" s="36">
        <v>44947.0</v>
      </c>
      <c r="E2076" s="24"/>
      <c r="F2076" s="14">
        <v>4.77</v>
      </c>
      <c r="G2076" s="14">
        <v>50.93</v>
      </c>
      <c r="H2076" s="14">
        <v>1.07</v>
      </c>
      <c r="I2076" s="14" t="s">
        <v>6035</v>
      </c>
      <c r="J2076" s="14">
        <v>0.0</v>
      </c>
      <c r="K2076" s="14" t="s">
        <v>6012</v>
      </c>
      <c r="L2076" s="14">
        <v>0.0</v>
      </c>
    </row>
    <row r="2077">
      <c r="A2077" s="14">
        <v>310.0</v>
      </c>
      <c r="B2077" s="14">
        <v>6.0</v>
      </c>
      <c r="C2077" s="34">
        <v>7.25</v>
      </c>
      <c r="D2077" s="36">
        <v>44947.0</v>
      </c>
      <c r="E2077" s="24"/>
      <c r="F2077" s="14">
        <v>1.21</v>
      </c>
      <c r="G2077" s="14">
        <v>23.39</v>
      </c>
      <c r="H2077" s="14">
        <v>1.94</v>
      </c>
      <c r="I2077" s="14" t="s">
        <v>6037</v>
      </c>
      <c r="J2077" s="14">
        <v>0.0</v>
      </c>
      <c r="K2077" s="14" t="s">
        <v>6012</v>
      </c>
      <c r="L2077" s="14">
        <v>0.0</v>
      </c>
    </row>
    <row r="2078">
      <c r="A2078" s="14">
        <v>148.0</v>
      </c>
      <c r="B2078" s="14">
        <v>0.0</v>
      </c>
      <c r="C2078" s="34">
        <v>7.38</v>
      </c>
      <c r="D2078" s="36">
        <v>44947.0</v>
      </c>
      <c r="E2078" s="24"/>
      <c r="F2078" s="14" t="s">
        <v>6012</v>
      </c>
      <c r="G2078" s="14">
        <v>49.86</v>
      </c>
      <c r="H2078" s="14">
        <v>0.0</v>
      </c>
      <c r="I2078" s="14" t="s">
        <v>6039</v>
      </c>
      <c r="J2078" s="14" t="s">
        <v>6012</v>
      </c>
      <c r="K2078" s="14" t="s">
        <v>6012</v>
      </c>
      <c r="L2078" s="14">
        <v>0.0</v>
      </c>
    </row>
    <row r="2079">
      <c r="A2079" s="14">
        <v>197.0</v>
      </c>
      <c r="B2079" s="14">
        <v>2.0</v>
      </c>
      <c r="C2079" s="34">
        <v>7.62</v>
      </c>
      <c r="D2079" s="36">
        <v>44948.0</v>
      </c>
      <c r="E2079" s="24"/>
      <c r="F2079" s="14">
        <v>3.81</v>
      </c>
      <c r="G2079" s="14">
        <v>38.68</v>
      </c>
      <c r="H2079" s="14">
        <v>1.02</v>
      </c>
      <c r="I2079" s="14" t="s">
        <v>6039</v>
      </c>
      <c r="J2079" s="14">
        <v>0.0</v>
      </c>
      <c r="K2079" s="14" t="s">
        <v>6012</v>
      </c>
      <c r="L2079" s="14">
        <v>0.0</v>
      </c>
    </row>
    <row r="2080">
      <c r="A2080" s="14">
        <v>183.0</v>
      </c>
      <c r="B2080" s="14">
        <v>2.0</v>
      </c>
      <c r="C2080" s="34">
        <v>6.67</v>
      </c>
      <c r="D2080" s="36">
        <v>44948.0</v>
      </c>
      <c r="E2080" s="24"/>
      <c r="F2080" s="14">
        <v>3.34</v>
      </c>
      <c r="G2080" s="14">
        <v>36.45</v>
      </c>
      <c r="H2080" s="14">
        <v>1.09</v>
      </c>
      <c r="I2080" s="14" t="s">
        <v>6037</v>
      </c>
      <c r="J2080" s="14">
        <v>0.0</v>
      </c>
      <c r="K2080" s="14" t="s">
        <v>6012</v>
      </c>
      <c r="L2080" s="14">
        <v>0.0</v>
      </c>
    </row>
    <row r="2081">
      <c r="A2081" s="14">
        <v>404.0</v>
      </c>
      <c r="B2081" s="14">
        <v>1.0</v>
      </c>
      <c r="C2081" s="34">
        <v>7.83</v>
      </c>
      <c r="D2081" s="36">
        <v>44948.0</v>
      </c>
      <c r="E2081" s="24"/>
      <c r="F2081" s="14">
        <v>7.83</v>
      </c>
      <c r="G2081" s="14">
        <v>19.38</v>
      </c>
      <c r="H2081" s="14">
        <v>0.25</v>
      </c>
      <c r="I2081" s="14" t="s">
        <v>6042</v>
      </c>
      <c r="J2081" s="14">
        <v>0.0</v>
      </c>
      <c r="K2081" s="14" t="s">
        <v>6012</v>
      </c>
      <c r="L2081" s="14">
        <v>0.0</v>
      </c>
    </row>
    <row r="2082">
      <c r="A2082" s="14">
        <v>144.0</v>
      </c>
      <c r="B2082" s="14">
        <v>9.0</v>
      </c>
      <c r="C2082" s="34">
        <v>9.85</v>
      </c>
      <c r="D2082" s="36">
        <v>44948.0</v>
      </c>
      <c r="E2082" s="24"/>
      <c r="F2082" s="14">
        <v>1.09</v>
      </c>
      <c r="G2082" s="14">
        <v>68.4</v>
      </c>
      <c r="H2082" s="14">
        <v>6.25</v>
      </c>
      <c r="I2082" s="14" t="s">
        <v>6048</v>
      </c>
      <c r="J2082" s="14">
        <v>0.0</v>
      </c>
      <c r="K2082" s="14" t="s">
        <v>6012</v>
      </c>
      <c r="L2082" s="14">
        <v>0.0</v>
      </c>
    </row>
    <row r="2083">
      <c r="A2083" s="14">
        <v>167.0</v>
      </c>
      <c r="B2083" s="14">
        <v>0.0</v>
      </c>
      <c r="C2083" s="34">
        <v>9.02</v>
      </c>
      <c r="D2083" s="36">
        <v>44948.0</v>
      </c>
      <c r="E2083" s="24"/>
      <c r="F2083" s="14" t="s">
        <v>6012</v>
      </c>
      <c r="G2083" s="14">
        <v>54.01</v>
      </c>
      <c r="H2083" s="14">
        <v>0.0</v>
      </c>
      <c r="I2083" s="14" t="s">
        <v>6038</v>
      </c>
      <c r="J2083" s="14" t="s">
        <v>6012</v>
      </c>
      <c r="K2083" s="14" t="s">
        <v>6012</v>
      </c>
      <c r="L2083" s="14">
        <v>0.0</v>
      </c>
    </row>
    <row r="2084">
      <c r="A2084" s="14">
        <v>222.0</v>
      </c>
      <c r="B2084" s="14">
        <v>22.0</v>
      </c>
      <c r="C2084" s="34">
        <v>15.0</v>
      </c>
      <c r="D2084" s="36">
        <v>44948.0</v>
      </c>
      <c r="E2084" s="24"/>
      <c r="F2084" s="14">
        <v>0.68</v>
      </c>
      <c r="G2084" s="14">
        <v>67.57</v>
      </c>
      <c r="H2084" s="14">
        <v>9.91</v>
      </c>
      <c r="I2084" s="14" t="s">
        <v>6049</v>
      </c>
      <c r="J2084" s="14">
        <v>0.0</v>
      </c>
      <c r="K2084" s="14" t="s">
        <v>6012</v>
      </c>
      <c r="L2084" s="14">
        <v>0.0</v>
      </c>
    </row>
    <row r="2085">
      <c r="A2085" s="14">
        <v>154.0</v>
      </c>
      <c r="B2085" s="14">
        <v>1.0</v>
      </c>
      <c r="C2085" s="34">
        <v>10.48</v>
      </c>
      <c r="D2085" s="36">
        <v>44948.0</v>
      </c>
      <c r="E2085" s="24"/>
      <c r="F2085" s="14">
        <v>10.48</v>
      </c>
      <c r="G2085" s="14">
        <v>68.05</v>
      </c>
      <c r="H2085" s="14">
        <v>0.65</v>
      </c>
      <c r="I2085" s="14" t="s">
        <v>6035</v>
      </c>
      <c r="J2085" s="14">
        <v>0.0</v>
      </c>
      <c r="K2085" s="14" t="s">
        <v>6012</v>
      </c>
      <c r="L2085" s="14">
        <v>0.0</v>
      </c>
    </row>
    <row r="2086">
      <c r="A2086" s="14">
        <v>625.0</v>
      </c>
      <c r="B2086" s="14">
        <v>2.0</v>
      </c>
      <c r="C2086" s="34">
        <v>12.72</v>
      </c>
      <c r="D2086" s="36">
        <v>44949.0</v>
      </c>
      <c r="E2086" s="24"/>
      <c r="F2086" s="14">
        <v>6.36</v>
      </c>
      <c r="G2086" s="14">
        <v>20.35</v>
      </c>
      <c r="H2086" s="14">
        <v>0.32</v>
      </c>
      <c r="I2086" s="14" t="s">
        <v>6039</v>
      </c>
      <c r="J2086" s="14">
        <v>0.0</v>
      </c>
      <c r="K2086" s="14" t="s">
        <v>6012</v>
      </c>
      <c r="L2086" s="14">
        <v>0.0</v>
      </c>
    </row>
    <row r="2087">
      <c r="A2087" s="14">
        <v>414.0</v>
      </c>
      <c r="B2087" s="14">
        <v>1.0</v>
      </c>
      <c r="C2087" s="34">
        <v>17.57</v>
      </c>
      <c r="D2087" s="36">
        <v>44949.0</v>
      </c>
      <c r="E2087" s="24"/>
      <c r="F2087" s="14">
        <v>17.57</v>
      </c>
      <c r="G2087" s="14">
        <v>42.44</v>
      </c>
      <c r="H2087" s="14">
        <v>0.24</v>
      </c>
      <c r="I2087" s="14" t="s">
        <v>6035</v>
      </c>
      <c r="J2087" s="14">
        <v>0.0</v>
      </c>
      <c r="K2087" s="14" t="s">
        <v>6012</v>
      </c>
      <c r="L2087" s="14">
        <v>0.0</v>
      </c>
    </row>
    <row r="2088">
      <c r="A2088" s="14">
        <v>221.0</v>
      </c>
      <c r="B2088" s="14">
        <v>14.0</v>
      </c>
      <c r="C2088" s="34">
        <v>12.65</v>
      </c>
      <c r="D2088" s="36">
        <v>44949.0</v>
      </c>
      <c r="E2088" s="24"/>
      <c r="F2088" s="14">
        <v>0.9</v>
      </c>
      <c r="G2088" s="14">
        <v>57.24</v>
      </c>
      <c r="H2088" s="14">
        <v>6.33</v>
      </c>
      <c r="I2088" s="14" t="s">
        <v>6049</v>
      </c>
      <c r="J2088" s="14">
        <v>0.0</v>
      </c>
      <c r="K2088" s="14" t="s">
        <v>6012</v>
      </c>
      <c r="L2088" s="14">
        <v>0.0</v>
      </c>
    </row>
    <row r="2089">
      <c r="A2089" s="14">
        <v>493.0</v>
      </c>
      <c r="B2089" s="14">
        <v>5.0</v>
      </c>
      <c r="C2089" s="34">
        <v>13.13</v>
      </c>
      <c r="D2089" s="36">
        <v>44949.0</v>
      </c>
      <c r="E2089" s="24"/>
      <c r="F2089" s="14">
        <v>2.63</v>
      </c>
      <c r="G2089" s="14">
        <v>26.63</v>
      </c>
      <c r="H2089" s="14">
        <v>1.01</v>
      </c>
      <c r="I2089" s="14" t="s">
        <v>6037</v>
      </c>
      <c r="J2089" s="14">
        <v>20.0</v>
      </c>
      <c r="K2089" s="14">
        <v>13.13</v>
      </c>
      <c r="L2089" s="14">
        <v>0.0</v>
      </c>
    </row>
    <row r="2090">
      <c r="A2090" s="14">
        <v>285.0</v>
      </c>
      <c r="B2090" s="14">
        <v>3.0</v>
      </c>
      <c r="C2090" s="34">
        <v>15.57</v>
      </c>
      <c r="D2090" s="36">
        <v>44949.0</v>
      </c>
      <c r="E2090" s="24"/>
      <c r="F2090" s="14">
        <v>5.19</v>
      </c>
      <c r="G2090" s="14">
        <v>54.63</v>
      </c>
      <c r="H2090" s="14">
        <v>1.05</v>
      </c>
      <c r="I2090" s="14" t="s">
        <v>6038</v>
      </c>
      <c r="J2090" s="14">
        <v>0.0</v>
      </c>
      <c r="K2090" s="14" t="s">
        <v>6012</v>
      </c>
      <c r="L2090" s="14">
        <v>0.0</v>
      </c>
    </row>
    <row r="2091">
      <c r="A2091" s="14">
        <v>257.0</v>
      </c>
      <c r="B2091" s="14">
        <v>18.0</v>
      </c>
      <c r="C2091" s="34">
        <v>12.07</v>
      </c>
      <c r="D2091" s="36">
        <v>44949.0</v>
      </c>
      <c r="E2091" s="24"/>
      <c r="F2091" s="14">
        <v>0.67</v>
      </c>
      <c r="G2091" s="14">
        <v>46.96</v>
      </c>
      <c r="H2091" s="14">
        <v>7.0</v>
      </c>
      <c r="I2091" s="14" t="s">
        <v>6048</v>
      </c>
      <c r="J2091" s="14">
        <v>0.0</v>
      </c>
      <c r="K2091" s="14" t="s">
        <v>6012</v>
      </c>
      <c r="L2091" s="14">
        <v>0.0</v>
      </c>
    </row>
    <row r="2092">
      <c r="A2092" s="14">
        <v>854.0</v>
      </c>
      <c r="B2092" s="14">
        <v>9.0</v>
      </c>
      <c r="C2092" s="34">
        <v>12.27</v>
      </c>
      <c r="D2092" s="36">
        <v>44949.0</v>
      </c>
      <c r="E2092" s="24"/>
      <c r="F2092" s="14">
        <v>1.36</v>
      </c>
      <c r="G2092" s="14">
        <v>14.37</v>
      </c>
      <c r="H2092" s="14">
        <v>1.05</v>
      </c>
      <c r="I2092" s="14" t="s">
        <v>6042</v>
      </c>
      <c r="J2092" s="14">
        <v>33.33</v>
      </c>
      <c r="K2092" s="14">
        <v>4.09</v>
      </c>
      <c r="L2092" s="14">
        <v>0.0</v>
      </c>
    </row>
    <row r="2093">
      <c r="A2093" s="14">
        <v>903.0</v>
      </c>
      <c r="B2093" s="14">
        <v>4.0</v>
      </c>
      <c r="C2093" s="34">
        <v>21.98</v>
      </c>
      <c r="D2093" s="36">
        <v>44950.0</v>
      </c>
      <c r="E2093" s="24"/>
      <c r="F2093" s="14">
        <v>5.5</v>
      </c>
      <c r="G2093" s="14">
        <v>24.34</v>
      </c>
      <c r="H2093" s="14">
        <v>0.44</v>
      </c>
      <c r="I2093" s="14" t="s">
        <v>6035</v>
      </c>
      <c r="J2093" s="14">
        <v>0.0</v>
      </c>
      <c r="K2093" s="14" t="s">
        <v>6012</v>
      </c>
      <c r="L2093" s="14">
        <v>0.0</v>
      </c>
    </row>
    <row r="2094">
      <c r="A2094" s="14">
        <v>810.0</v>
      </c>
      <c r="B2094" s="14">
        <v>1.0</v>
      </c>
      <c r="C2094" s="34">
        <v>12.67</v>
      </c>
      <c r="D2094" s="36">
        <v>44950.0</v>
      </c>
      <c r="E2094" s="24"/>
      <c r="F2094" s="14">
        <v>12.67</v>
      </c>
      <c r="G2094" s="14">
        <v>15.64</v>
      </c>
      <c r="H2094" s="14">
        <v>0.12</v>
      </c>
      <c r="I2094" s="14" t="s">
        <v>6037</v>
      </c>
      <c r="J2094" s="14">
        <v>0.0</v>
      </c>
      <c r="K2094" s="14" t="s">
        <v>6012</v>
      </c>
      <c r="L2094" s="14">
        <v>0.0</v>
      </c>
    </row>
    <row r="2095">
      <c r="A2095" s="14">
        <v>844.0</v>
      </c>
      <c r="B2095" s="14">
        <v>4.0</v>
      </c>
      <c r="C2095" s="34">
        <v>12.28</v>
      </c>
      <c r="D2095" s="36">
        <v>44950.0</v>
      </c>
      <c r="E2095" s="24"/>
      <c r="F2095" s="14">
        <v>3.07</v>
      </c>
      <c r="G2095" s="14">
        <v>14.55</v>
      </c>
      <c r="H2095" s="14">
        <v>0.47</v>
      </c>
      <c r="I2095" s="14" t="s">
        <v>6042</v>
      </c>
      <c r="J2095" s="14">
        <v>75.0</v>
      </c>
      <c r="K2095" s="14">
        <v>4.09</v>
      </c>
      <c r="L2095" s="14">
        <v>0.0</v>
      </c>
    </row>
    <row r="2096">
      <c r="A2096" s="14">
        <v>456.0</v>
      </c>
      <c r="B2096" s="14">
        <v>9.0</v>
      </c>
      <c r="C2096" s="34">
        <v>19.6</v>
      </c>
      <c r="D2096" s="36">
        <v>44950.0</v>
      </c>
      <c r="E2096" s="24"/>
      <c r="F2096" s="14">
        <v>2.18</v>
      </c>
      <c r="G2096" s="14">
        <v>42.98</v>
      </c>
      <c r="H2096" s="14">
        <v>1.97</v>
      </c>
      <c r="I2096" s="14" t="s">
        <v>6038</v>
      </c>
      <c r="J2096" s="14">
        <v>0.0</v>
      </c>
      <c r="K2096" s="14" t="s">
        <v>6012</v>
      </c>
      <c r="L2096" s="14">
        <v>0.0</v>
      </c>
    </row>
    <row r="2097">
      <c r="A2097" s="14">
        <v>178.0</v>
      </c>
      <c r="B2097" s="14">
        <v>6.0</v>
      </c>
      <c r="C2097" s="34">
        <v>12.46</v>
      </c>
      <c r="D2097" s="36">
        <v>44950.0</v>
      </c>
      <c r="E2097" s="24"/>
      <c r="F2097" s="14">
        <v>2.08</v>
      </c>
      <c r="G2097" s="14">
        <v>70.0</v>
      </c>
      <c r="H2097" s="14">
        <v>3.37</v>
      </c>
      <c r="I2097" s="14" t="s">
        <v>6048</v>
      </c>
      <c r="J2097" s="14">
        <v>0.0</v>
      </c>
      <c r="K2097" s="14" t="s">
        <v>6012</v>
      </c>
      <c r="L2097" s="14">
        <v>0.0</v>
      </c>
    </row>
    <row r="2098">
      <c r="A2098" s="14">
        <v>239.0</v>
      </c>
      <c r="B2098" s="14">
        <v>12.0</v>
      </c>
      <c r="C2098" s="34">
        <v>12.38</v>
      </c>
      <c r="D2098" s="36">
        <v>44950.0</v>
      </c>
      <c r="E2098" s="24"/>
      <c r="F2098" s="14">
        <v>1.03</v>
      </c>
      <c r="G2098" s="14">
        <v>51.8</v>
      </c>
      <c r="H2098" s="14">
        <v>5.02</v>
      </c>
      <c r="I2098" s="14" t="s">
        <v>6049</v>
      </c>
      <c r="J2098" s="14">
        <v>0.0</v>
      </c>
      <c r="K2098" s="14" t="s">
        <v>6012</v>
      </c>
      <c r="L2098" s="14">
        <v>0.0</v>
      </c>
    </row>
    <row r="2099">
      <c r="A2099" s="14">
        <v>630.0</v>
      </c>
      <c r="B2099" s="14">
        <v>6.0</v>
      </c>
      <c r="C2099" s="34">
        <v>12.39</v>
      </c>
      <c r="D2099" s="36">
        <v>44950.0</v>
      </c>
      <c r="E2099" s="24"/>
      <c r="F2099" s="14">
        <v>2.06</v>
      </c>
      <c r="G2099" s="14">
        <v>19.67</v>
      </c>
      <c r="H2099" s="14">
        <v>0.95</v>
      </c>
      <c r="I2099" s="14" t="s">
        <v>6039</v>
      </c>
      <c r="J2099" s="14">
        <v>0.0</v>
      </c>
      <c r="K2099" s="14" t="s">
        <v>6012</v>
      </c>
      <c r="L2099" s="14">
        <v>0.0</v>
      </c>
    </row>
    <row r="2100">
      <c r="A2100" s="14">
        <v>754.0</v>
      </c>
      <c r="B2100" s="14">
        <v>2.0</v>
      </c>
      <c r="C2100" s="34">
        <v>21.87</v>
      </c>
      <c r="D2100" s="36">
        <v>44951.0</v>
      </c>
      <c r="E2100" s="24"/>
      <c r="F2100" s="14">
        <v>10.94</v>
      </c>
      <c r="G2100" s="14">
        <v>29.01</v>
      </c>
      <c r="H2100" s="14">
        <v>0.27</v>
      </c>
      <c r="I2100" s="14" t="s">
        <v>6035</v>
      </c>
      <c r="J2100" s="14">
        <v>150.0</v>
      </c>
      <c r="K2100" s="14">
        <v>7.29</v>
      </c>
      <c r="L2100" s="14">
        <v>0.0</v>
      </c>
    </row>
    <row r="2101">
      <c r="A2101" s="14">
        <v>315.0</v>
      </c>
      <c r="B2101" s="14">
        <v>0.0</v>
      </c>
      <c r="C2101" s="34">
        <v>12.09</v>
      </c>
      <c r="D2101" s="36">
        <v>44951.0</v>
      </c>
      <c r="E2101" s="24"/>
      <c r="F2101" s="14" t="s">
        <v>6012</v>
      </c>
      <c r="G2101" s="14">
        <v>38.38</v>
      </c>
      <c r="H2101" s="14">
        <v>0.0</v>
      </c>
      <c r="I2101" s="14" t="s">
        <v>6037</v>
      </c>
      <c r="J2101" s="14" t="s">
        <v>6012</v>
      </c>
      <c r="K2101" s="14" t="s">
        <v>6012</v>
      </c>
      <c r="L2101" s="14">
        <v>0.0</v>
      </c>
    </row>
    <row r="2102">
      <c r="A2102" s="14">
        <v>146.0</v>
      </c>
      <c r="B2102" s="14">
        <v>7.0</v>
      </c>
      <c r="C2102" s="34">
        <v>12.86</v>
      </c>
      <c r="D2102" s="36">
        <v>44951.0</v>
      </c>
      <c r="E2102" s="24"/>
      <c r="F2102" s="14">
        <v>1.84</v>
      </c>
      <c r="G2102" s="14">
        <v>88.08</v>
      </c>
      <c r="H2102" s="14">
        <v>4.79</v>
      </c>
      <c r="I2102" s="14" t="s">
        <v>6048</v>
      </c>
      <c r="J2102" s="14">
        <v>0.0</v>
      </c>
      <c r="K2102" s="14" t="s">
        <v>6012</v>
      </c>
      <c r="L2102" s="14">
        <v>0.0</v>
      </c>
    </row>
    <row r="2103">
      <c r="A2103" s="14">
        <v>374.0</v>
      </c>
      <c r="B2103" s="14">
        <v>3.0</v>
      </c>
      <c r="C2103" s="34">
        <v>12.04</v>
      </c>
      <c r="D2103" s="36">
        <v>44951.0</v>
      </c>
      <c r="E2103" s="24"/>
      <c r="F2103" s="14">
        <v>4.01</v>
      </c>
      <c r="G2103" s="14">
        <v>32.19</v>
      </c>
      <c r="H2103" s="14">
        <v>0.8</v>
      </c>
      <c r="I2103" s="14" t="s">
        <v>6039</v>
      </c>
      <c r="J2103" s="14">
        <v>33.33</v>
      </c>
      <c r="K2103" s="14">
        <v>12.04</v>
      </c>
      <c r="L2103" s="14">
        <v>0.0</v>
      </c>
    </row>
    <row r="2104">
      <c r="A2104" s="14">
        <v>591.0</v>
      </c>
      <c r="B2104" s="14">
        <v>6.0</v>
      </c>
      <c r="C2104" s="34">
        <v>12.48</v>
      </c>
      <c r="D2104" s="36">
        <v>44951.0</v>
      </c>
      <c r="E2104" s="24"/>
      <c r="F2104" s="14">
        <v>2.08</v>
      </c>
      <c r="G2104" s="14">
        <v>21.12</v>
      </c>
      <c r="H2104" s="14">
        <v>1.02</v>
      </c>
      <c r="I2104" s="14" t="s">
        <v>6042</v>
      </c>
      <c r="J2104" s="14">
        <v>0.0</v>
      </c>
      <c r="K2104" s="14" t="s">
        <v>6012</v>
      </c>
      <c r="L2104" s="14">
        <v>0.0</v>
      </c>
    </row>
    <row r="2105">
      <c r="A2105" s="14">
        <v>175.0</v>
      </c>
      <c r="B2105" s="14">
        <v>12.0</v>
      </c>
      <c r="C2105" s="34">
        <v>12.3</v>
      </c>
      <c r="D2105" s="36">
        <v>44951.0</v>
      </c>
      <c r="E2105" s="24"/>
      <c r="F2105" s="14">
        <v>1.03</v>
      </c>
      <c r="G2105" s="14">
        <v>70.29</v>
      </c>
      <c r="H2105" s="14">
        <v>6.86</v>
      </c>
      <c r="I2105" s="14" t="s">
        <v>6049</v>
      </c>
      <c r="J2105" s="14">
        <v>0.0</v>
      </c>
      <c r="K2105" s="14" t="s">
        <v>6012</v>
      </c>
      <c r="L2105" s="14">
        <v>0.0</v>
      </c>
    </row>
    <row r="2106">
      <c r="A2106" s="14">
        <v>319.0</v>
      </c>
      <c r="B2106" s="14">
        <v>2.0</v>
      </c>
      <c r="C2106" s="34">
        <v>18.94</v>
      </c>
      <c r="D2106" s="36">
        <v>44951.0</v>
      </c>
      <c r="E2106" s="24"/>
      <c r="F2106" s="14">
        <v>9.47</v>
      </c>
      <c r="G2106" s="14">
        <v>59.37</v>
      </c>
      <c r="H2106" s="14">
        <v>0.63</v>
      </c>
      <c r="I2106" s="14" t="s">
        <v>6038</v>
      </c>
      <c r="J2106" s="14">
        <v>50.0</v>
      </c>
      <c r="K2106" s="14">
        <v>18.94</v>
      </c>
      <c r="L2106" s="14">
        <v>0.0</v>
      </c>
    </row>
    <row r="2107">
      <c r="A2107" s="14">
        <v>319.0</v>
      </c>
      <c r="B2107" s="14">
        <v>2.0</v>
      </c>
      <c r="C2107" s="34">
        <v>12.29</v>
      </c>
      <c r="D2107" s="36">
        <v>44952.0</v>
      </c>
      <c r="E2107" s="24"/>
      <c r="F2107" s="14">
        <v>6.14</v>
      </c>
      <c r="G2107" s="14">
        <v>38.53</v>
      </c>
      <c r="H2107" s="14">
        <v>0.63</v>
      </c>
      <c r="I2107" s="14" t="s">
        <v>6037</v>
      </c>
      <c r="J2107" s="14">
        <v>0.0</v>
      </c>
      <c r="K2107" s="14" t="s">
        <v>6012</v>
      </c>
      <c r="L2107" s="14">
        <v>0.0</v>
      </c>
    </row>
    <row r="2108">
      <c r="A2108" s="14">
        <v>579.0</v>
      </c>
      <c r="B2108" s="14">
        <v>1.0</v>
      </c>
      <c r="C2108" s="34">
        <v>12.53</v>
      </c>
      <c r="D2108" s="36">
        <v>44952.0</v>
      </c>
      <c r="E2108" s="24"/>
      <c r="F2108" s="14">
        <v>12.53</v>
      </c>
      <c r="G2108" s="14">
        <v>21.64</v>
      </c>
      <c r="H2108" s="14">
        <v>0.17</v>
      </c>
      <c r="I2108" s="14" t="s">
        <v>6042</v>
      </c>
      <c r="J2108" s="14">
        <v>100.0</v>
      </c>
      <c r="K2108" s="14">
        <v>12.53</v>
      </c>
      <c r="L2108" s="14">
        <v>0.0</v>
      </c>
    </row>
    <row r="2109">
      <c r="A2109" s="14">
        <v>639.0</v>
      </c>
      <c r="B2109" s="14">
        <v>1.0</v>
      </c>
      <c r="C2109" s="34">
        <v>21.94</v>
      </c>
      <c r="D2109" s="36">
        <v>44952.0</v>
      </c>
      <c r="E2109" s="24"/>
      <c r="F2109" s="14">
        <v>21.94</v>
      </c>
      <c r="G2109" s="14">
        <v>34.33</v>
      </c>
      <c r="H2109" s="14">
        <v>0.16</v>
      </c>
      <c r="I2109" s="14" t="s">
        <v>6035</v>
      </c>
      <c r="J2109" s="14">
        <v>0.0</v>
      </c>
      <c r="K2109" s="14" t="s">
        <v>6012</v>
      </c>
      <c r="L2109" s="14">
        <v>0.0</v>
      </c>
    </row>
    <row r="2110">
      <c r="A2110" s="14">
        <v>453.0</v>
      </c>
      <c r="B2110" s="14">
        <v>3.0</v>
      </c>
      <c r="C2110" s="34">
        <v>16.92</v>
      </c>
      <c r="D2110" s="36">
        <v>44952.0</v>
      </c>
      <c r="E2110" s="24"/>
      <c r="F2110" s="14">
        <v>5.64</v>
      </c>
      <c r="G2110" s="14">
        <v>37.35</v>
      </c>
      <c r="H2110" s="14">
        <v>0.66</v>
      </c>
      <c r="I2110" s="14" t="s">
        <v>6038</v>
      </c>
      <c r="J2110" s="14">
        <v>0.0</v>
      </c>
      <c r="K2110" s="14" t="s">
        <v>6012</v>
      </c>
      <c r="L2110" s="14">
        <v>0.0</v>
      </c>
    </row>
    <row r="2111">
      <c r="A2111" s="14">
        <v>83.0</v>
      </c>
      <c r="B2111" s="14">
        <v>7.0</v>
      </c>
      <c r="C2111" s="34">
        <v>5.83</v>
      </c>
      <c r="D2111" s="36">
        <v>44952.0</v>
      </c>
      <c r="E2111" s="24"/>
      <c r="F2111" s="14">
        <v>0.83</v>
      </c>
      <c r="G2111" s="14">
        <v>70.24</v>
      </c>
      <c r="H2111" s="14">
        <v>8.43</v>
      </c>
      <c r="I2111" s="14" t="s">
        <v>6049</v>
      </c>
      <c r="J2111" s="14">
        <v>0.0</v>
      </c>
      <c r="K2111" s="14" t="s">
        <v>6012</v>
      </c>
      <c r="L2111" s="14">
        <v>0.0</v>
      </c>
    </row>
    <row r="2112">
      <c r="A2112" s="14">
        <v>126.0</v>
      </c>
      <c r="B2112" s="14">
        <v>5.0</v>
      </c>
      <c r="C2112" s="34">
        <v>12.55</v>
      </c>
      <c r="D2112" s="36">
        <v>44952.0</v>
      </c>
      <c r="E2112" s="24"/>
      <c r="F2112" s="14">
        <v>2.51</v>
      </c>
      <c r="G2112" s="14">
        <v>99.6</v>
      </c>
      <c r="H2112" s="14">
        <v>3.97</v>
      </c>
      <c r="I2112" s="14" t="s">
        <v>6048</v>
      </c>
      <c r="J2112" s="14">
        <v>0.0</v>
      </c>
      <c r="K2112" s="14" t="s">
        <v>6012</v>
      </c>
      <c r="L2112" s="14">
        <v>0.0</v>
      </c>
    </row>
    <row r="2113">
      <c r="A2113" s="14">
        <v>290.0</v>
      </c>
      <c r="B2113" s="14">
        <v>1.0</v>
      </c>
      <c r="C2113" s="34">
        <v>12.38</v>
      </c>
      <c r="D2113" s="36">
        <v>44952.0</v>
      </c>
      <c r="E2113" s="24"/>
      <c r="F2113" s="14">
        <v>12.38</v>
      </c>
      <c r="G2113" s="14">
        <v>42.69</v>
      </c>
      <c r="H2113" s="14">
        <v>0.34</v>
      </c>
      <c r="I2113" s="14" t="s">
        <v>6039</v>
      </c>
      <c r="J2113" s="14">
        <v>0.0</v>
      </c>
      <c r="K2113" s="14" t="s">
        <v>6012</v>
      </c>
      <c r="L2113" s="14">
        <v>0.0</v>
      </c>
    </row>
    <row r="2114">
      <c r="A2114" s="14">
        <v>861.0</v>
      </c>
      <c r="B2114" s="14">
        <v>3.0</v>
      </c>
      <c r="C2114" s="34">
        <v>11.33</v>
      </c>
      <c r="D2114" s="36">
        <v>44953.0</v>
      </c>
      <c r="E2114" s="24"/>
      <c r="F2114" s="14">
        <v>3.78</v>
      </c>
      <c r="G2114" s="14">
        <v>13.16</v>
      </c>
      <c r="H2114" s="14">
        <v>0.35</v>
      </c>
      <c r="I2114" s="14" t="s">
        <v>6037</v>
      </c>
      <c r="J2114" s="14">
        <v>0.0</v>
      </c>
      <c r="K2114" s="14" t="s">
        <v>6012</v>
      </c>
      <c r="L2114" s="14">
        <v>0.0</v>
      </c>
    </row>
    <row r="2115">
      <c r="A2115" s="14">
        <v>169.0</v>
      </c>
      <c r="B2115" s="14">
        <v>13.0</v>
      </c>
      <c r="C2115" s="34">
        <v>8.35</v>
      </c>
      <c r="D2115" s="36">
        <v>44953.0</v>
      </c>
      <c r="E2115" s="24"/>
      <c r="F2115" s="14">
        <v>0.64</v>
      </c>
      <c r="G2115" s="14">
        <v>49.41</v>
      </c>
      <c r="H2115" s="14">
        <v>7.69</v>
      </c>
      <c r="I2115" s="14" t="s">
        <v>6049</v>
      </c>
      <c r="J2115" s="14">
        <v>0.0</v>
      </c>
      <c r="K2115" s="14" t="s">
        <v>6012</v>
      </c>
      <c r="L2115" s="14">
        <v>0.0</v>
      </c>
    </row>
    <row r="2116">
      <c r="A2116" s="14">
        <v>875.0</v>
      </c>
      <c r="B2116" s="14">
        <v>4.0</v>
      </c>
      <c r="C2116" s="34">
        <v>17.09</v>
      </c>
      <c r="D2116" s="36">
        <v>44953.0</v>
      </c>
      <c r="E2116" s="24"/>
      <c r="F2116" s="14">
        <v>4.27</v>
      </c>
      <c r="G2116" s="14">
        <v>19.53</v>
      </c>
      <c r="H2116" s="14">
        <v>0.46</v>
      </c>
      <c r="I2116" s="14" t="s">
        <v>6035</v>
      </c>
      <c r="J2116" s="14">
        <v>25.0</v>
      </c>
      <c r="K2116" s="14">
        <v>17.09</v>
      </c>
      <c r="L2116" s="14">
        <v>0.0</v>
      </c>
    </row>
    <row r="2117">
      <c r="A2117" s="14">
        <v>457.0</v>
      </c>
      <c r="B2117" s="14">
        <v>2.0</v>
      </c>
      <c r="C2117" s="34">
        <v>11.1</v>
      </c>
      <c r="D2117" s="36">
        <v>44953.0</v>
      </c>
      <c r="E2117" s="24"/>
      <c r="F2117" s="14">
        <v>5.55</v>
      </c>
      <c r="G2117" s="14">
        <v>24.29</v>
      </c>
      <c r="H2117" s="14">
        <v>0.44</v>
      </c>
      <c r="I2117" s="14" t="s">
        <v>6039</v>
      </c>
      <c r="J2117" s="14">
        <v>50.0</v>
      </c>
      <c r="K2117" s="14">
        <v>11.1</v>
      </c>
      <c r="L2117" s="14">
        <v>0.0</v>
      </c>
    </row>
    <row r="2118">
      <c r="A2118" s="14">
        <v>198.0</v>
      </c>
      <c r="B2118" s="14">
        <v>7.0</v>
      </c>
      <c r="C2118" s="34">
        <v>8.2</v>
      </c>
      <c r="D2118" s="36">
        <v>44953.0</v>
      </c>
      <c r="E2118" s="24"/>
      <c r="F2118" s="14">
        <v>1.17</v>
      </c>
      <c r="G2118" s="14">
        <v>41.41</v>
      </c>
      <c r="H2118" s="14">
        <v>3.54</v>
      </c>
      <c r="I2118" s="14" t="s">
        <v>6048</v>
      </c>
      <c r="J2118" s="14">
        <v>0.0</v>
      </c>
      <c r="K2118" s="14" t="s">
        <v>6012</v>
      </c>
      <c r="L2118" s="14">
        <v>0.0</v>
      </c>
    </row>
    <row r="2119">
      <c r="A2119" s="14">
        <v>742.0</v>
      </c>
      <c r="B2119" s="14">
        <v>2.0</v>
      </c>
      <c r="C2119" s="34">
        <v>7.32</v>
      </c>
      <c r="D2119" s="36">
        <v>44953.0</v>
      </c>
      <c r="E2119" s="24"/>
      <c r="F2119" s="14">
        <v>3.66</v>
      </c>
      <c r="G2119" s="14">
        <v>9.87</v>
      </c>
      <c r="H2119" s="14">
        <v>0.27</v>
      </c>
      <c r="I2119" s="14" t="s">
        <v>6042</v>
      </c>
      <c r="J2119" s="14">
        <v>0.0</v>
      </c>
      <c r="K2119" s="14" t="s">
        <v>6012</v>
      </c>
      <c r="L2119" s="14">
        <v>0.0</v>
      </c>
    </row>
    <row r="2120">
      <c r="A2120" s="14">
        <v>509.0</v>
      </c>
      <c r="B2120" s="14">
        <v>6.0</v>
      </c>
      <c r="C2120" s="34">
        <v>21.04</v>
      </c>
      <c r="D2120" s="36">
        <v>44953.0</v>
      </c>
      <c r="E2120" s="24"/>
      <c r="F2120" s="14">
        <v>3.51</v>
      </c>
      <c r="G2120" s="14">
        <v>41.34</v>
      </c>
      <c r="H2120" s="14">
        <v>1.18</v>
      </c>
      <c r="I2120" s="14" t="s">
        <v>6038</v>
      </c>
      <c r="J2120" s="14">
        <v>16.67</v>
      </c>
      <c r="K2120" s="14">
        <v>21.04</v>
      </c>
      <c r="L2120" s="14">
        <v>0.0</v>
      </c>
    </row>
    <row r="2121">
      <c r="A2121" s="14">
        <v>251.0</v>
      </c>
      <c r="B2121" s="14">
        <v>5.0</v>
      </c>
      <c r="C2121" s="34">
        <v>7.76</v>
      </c>
      <c r="D2121" s="36">
        <v>44954.0</v>
      </c>
      <c r="E2121" s="24"/>
      <c r="F2121" s="14">
        <v>1.55</v>
      </c>
      <c r="G2121" s="14">
        <v>30.92</v>
      </c>
      <c r="H2121" s="14">
        <v>1.99</v>
      </c>
      <c r="I2121" s="14" t="s">
        <v>6037</v>
      </c>
      <c r="J2121" s="14">
        <v>0.0</v>
      </c>
      <c r="K2121" s="14" t="s">
        <v>6012</v>
      </c>
      <c r="L2121" s="14">
        <v>0.0</v>
      </c>
    </row>
    <row r="2122">
      <c r="A2122" s="14">
        <v>476.0</v>
      </c>
      <c r="B2122" s="14">
        <v>2.0</v>
      </c>
      <c r="C2122" s="34">
        <v>17.37</v>
      </c>
      <c r="D2122" s="36">
        <v>44954.0</v>
      </c>
      <c r="E2122" s="24"/>
      <c r="F2122" s="14">
        <v>8.68</v>
      </c>
      <c r="G2122" s="14">
        <v>36.49</v>
      </c>
      <c r="H2122" s="14">
        <v>0.42</v>
      </c>
      <c r="I2122" s="14" t="s">
        <v>6035</v>
      </c>
      <c r="J2122" s="14">
        <v>0.0</v>
      </c>
      <c r="K2122" s="14" t="s">
        <v>6012</v>
      </c>
      <c r="L2122" s="14">
        <v>0.0</v>
      </c>
    </row>
    <row r="2123">
      <c r="A2123" s="14">
        <v>102.0</v>
      </c>
      <c r="B2123" s="14">
        <v>7.0</v>
      </c>
      <c r="C2123" s="34">
        <v>6.51</v>
      </c>
      <c r="D2123" s="36">
        <v>44954.0</v>
      </c>
      <c r="E2123" s="24"/>
      <c r="F2123" s="14">
        <v>0.93</v>
      </c>
      <c r="G2123" s="14">
        <v>63.82</v>
      </c>
      <c r="H2123" s="14">
        <v>6.86</v>
      </c>
      <c r="I2123" s="14" t="s">
        <v>6048</v>
      </c>
      <c r="J2123" s="14">
        <v>0.0</v>
      </c>
      <c r="K2123" s="14" t="s">
        <v>6012</v>
      </c>
      <c r="L2123" s="14">
        <v>0.0</v>
      </c>
    </row>
    <row r="2124">
      <c r="A2124" s="14">
        <v>808.0</v>
      </c>
      <c r="B2124" s="14">
        <v>1.0</v>
      </c>
      <c r="C2124" s="34">
        <v>9.78</v>
      </c>
      <c r="D2124" s="36">
        <v>44954.0</v>
      </c>
      <c r="E2124" s="24"/>
      <c r="F2124" s="14">
        <v>9.78</v>
      </c>
      <c r="G2124" s="14">
        <v>12.1</v>
      </c>
      <c r="H2124" s="14">
        <v>0.12</v>
      </c>
      <c r="I2124" s="14" t="s">
        <v>6042</v>
      </c>
      <c r="J2124" s="14">
        <v>0.0</v>
      </c>
      <c r="K2124" s="14" t="s">
        <v>6012</v>
      </c>
      <c r="L2124" s="14">
        <v>0.0</v>
      </c>
    </row>
    <row r="2125">
      <c r="A2125" s="14">
        <v>140.0</v>
      </c>
      <c r="B2125" s="14">
        <v>1.0</v>
      </c>
      <c r="C2125" s="34">
        <v>8.55</v>
      </c>
      <c r="D2125" s="36">
        <v>44954.0</v>
      </c>
      <c r="E2125" s="24"/>
      <c r="F2125" s="14">
        <v>8.55</v>
      </c>
      <c r="G2125" s="14">
        <v>61.07</v>
      </c>
      <c r="H2125" s="14">
        <v>0.71</v>
      </c>
      <c r="I2125" s="14" t="s">
        <v>6039</v>
      </c>
      <c r="J2125" s="14">
        <v>0.0</v>
      </c>
      <c r="K2125" s="14" t="s">
        <v>6012</v>
      </c>
      <c r="L2125" s="14">
        <v>0.0</v>
      </c>
    </row>
    <row r="2126">
      <c r="A2126" s="14">
        <v>166.0</v>
      </c>
      <c r="B2126" s="14">
        <v>22.0</v>
      </c>
      <c r="C2126" s="34">
        <v>9.75</v>
      </c>
      <c r="D2126" s="36">
        <v>44954.0</v>
      </c>
      <c r="E2126" s="24"/>
      <c r="F2126" s="14">
        <v>0.44</v>
      </c>
      <c r="G2126" s="14">
        <v>58.73</v>
      </c>
      <c r="H2126" s="14">
        <v>13.25</v>
      </c>
      <c r="I2126" s="14" t="s">
        <v>6049</v>
      </c>
      <c r="J2126" s="14">
        <v>0.0</v>
      </c>
      <c r="K2126" s="14" t="s">
        <v>6012</v>
      </c>
      <c r="L2126" s="14">
        <v>0.0</v>
      </c>
    </row>
    <row r="2127">
      <c r="A2127" s="14">
        <v>302.0</v>
      </c>
      <c r="B2127" s="14">
        <v>1.0</v>
      </c>
      <c r="C2127" s="34">
        <v>9.63</v>
      </c>
      <c r="D2127" s="36">
        <v>44954.0</v>
      </c>
      <c r="E2127" s="24"/>
      <c r="F2127" s="14">
        <v>9.63</v>
      </c>
      <c r="G2127" s="14">
        <v>31.89</v>
      </c>
      <c r="H2127" s="14">
        <v>0.33</v>
      </c>
      <c r="I2127" s="14" t="s">
        <v>6038</v>
      </c>
      <c r="J2127" s="14">
        <v>100.0</v>
      </c>
      <c r="K2127" s="14">
        <v>9.63</v>
      </c>
      <c r="L2127" s="14">
        <v>0.0</v>
      </c>
    </row>
    <row r="2128">
      <c r="A2128" s="14">
        <v>178.0</v>
      </c>
      <c r="B2128" s="14">
        <v>14.0</v>
      </c>
      <c r="C2128" s="34">
        <v>5.53</v>
      </c>
      <c r="D2128" s="36">
        <v>44955.0</v>
      </c>
      <c r="E2128" s="24"/>
      <c r="F2128" s="14">
        <v>0.4</v>
      </c>
      <c r="G2128" s="14">
        <v>31.07</v>
      </c>
      <c r="H2128" s="14">
        <v>7.87</v>
      </c>
      <c r="I2128" s="14" t="s">
        <v>6049</v>
      </c>
      <c r="J2128" s="14">
        <v>0.0</v>
      </c>
      <c r="K2128" s="14" t="s">
        <v>6012</v>
      </c>
      <c r="L2128" s="14">
        <v>0.0</v>
      </c>
    </row>
    <row r="2129">
      <c r="A2129" s="14">
        <v>279.0</v>
      </c>
      <c r="B2129" s="14">
        <v>2.0</v>
      </c>
      <c r="C2129" s="34">
        <v>13.47</v>
      </c>
      <c r="D2129" s="36">
        <v>44955.0</v>
      </c>
      <c r="E2129" s="24"/>
      <c r="F2129" s="14">
        <v>6.74</v>
      </c>
      <c r="G2129" s="14">
        <v>48.28</v>
      </c>
      <c r="H2129" s="14">
        <v>0.72</v>
      </c>
      <c r="I2129" s="14" t="s">
        <v>6038</v>
      </c>
      <c r="J2129" s="14">
        <v>0.0</v>
      </c>
      <c r="K2129" s="14" t="s">
        <v>6012</v>
      </c>
      <c r="L2129" s="14">
        <v>0.0</v>
      </c>
    </row>
    <row r="2130">
      <c r="A2130" s="14">
        <v>476.0</v>
      </c>
      <c r="B2130" s="14">
        <v>1.0</v>
      </c>
      <c r="C2130" s="34">
        <v>10.33</v>
      </c>
      <c r="D2130" s="36">
        <v>44955.0</v>
      </c>
      <c r="E2130" s="24"/>
      <c r="F2130" s="14">
        <v>10.33</v>
      </c>
      <c r="G2130" s="14">
        <v>21.7</v>
      </c>
      <c r="H2130" s="14">
        <v>0.21</v>
      </c>
      <c r="I2130" s="14" t="s">
        <v>6035</v>
      </c>
      <c r="J2130" s="14">
        <v>0.0</v>
      </c>
      <c r="K2130" s="14" t="s">
        <v>6012</v>
      </c>
      <c r="L2130" s="14">
        <v>0.0</v>
      </c>
    </row>
    <row r="2131">
      <c r="A2131" s="14">
        <v>646.0</v>
      </c>
      <c r="B2131" s="14">
        <v>4.0</v>
      </c>
      <c r="C2131" s="34">
        <v>5.49</v>
      </c>
      <c r="D2131" s="36">
        <v>44955.0</v>
      </c>
      <c r="E2131" s="24"/>
      <c r="F2131" s="14">
        <v>1.37</v>
      </c>
      <c r="G2131" s="14">
        <v>8.5</v>
      </c>
      <c r="H2131" s="14">
        <v>0.62</v>
      </c>
      <c r="I2131" s="14" t="s">
        <v>6042</v>
      </c>
      <c r="J2131" s="14">
        <v>25.0</v>
      </c>
      <c r="K2131" s="14">
        <v>5.49</v>
      </c>
      <c r="L2131" s="14">
        <v>0.0</v>
      </c>
    </row>
    <row r="2132">
      <c r="A2132" s="14">
        <v>109.0</v>
      </c>
      <c r="B2132" s="14">
        <v>5.0</v>
      </c>
      <c r="C2132" s="34">
        <v>5.35</v>
      </c>
      <c r="D2132" s="36">
        <v>44955.0</v>
      </c>
      <c r="E2132" s="24"/>
      <c r="F2132" s="14">
        <v>1.07</v>
      </c>
      <c r="G2132" s="14">
        <v>49.08</v>
      </c>
      <c r="H2132" s="14">
        <v>4.59</v>
      </c>
      <c r="I2132" s="14" t="s">
        <v>6048</v>
      </c>
      <c r="J2132" s="14">
        <v>0.0</v>
      </c>
      <c r="K2132" s="14" t="s">
        <v>6012</v>
      </c>
      <c r="L2132" s="14">
        <v>0.0</v>
      </c>
    </row>
    <row r="2133">
      <c r="A2133" s="14">
        <v>178.0</v>
      </c>
      <c r="B2133" s="14">
        <v>1.0</v>
      </c>
      <c r="C2133" s="34">
        <v>7.73</v>
      </c>
      <c r="D2133" s="36">
        <v>44955.0</v>
      </c>
      <c r="E2133" s="24"/>
      <c r="F2133" s="14">
        <v>7.73</v>
      </c>
      <c r="G2133" s="14">
        <v>43.43</v>
      </c>
      <c r="H2133" s="14">
        <v>0.56</v>
      </c>
      <c r="I2133" s="14" t="s">
        <v>6037</v>
      </c>
      <c r="J2133" s="14">
        <v>0.0</v>
      </c>
      <c r="K2133" s="14" t="s">
        <v>6012</v>
      </c>
      <c r="L2133" s="14">
        <v>0.0</v>
      </c>
    </row>
    <row r="2134">
      <c r="A2134" s="14">
        <v>133.0</v>
      </c>
      <c r="B2134" s="14">
        <v>0.0</v>
      </c>
      <c r="C2134" s="34">
        <v>7.82</v>
      </c>
      <c r="D2134" s="36">
        <v>44955.0</v>
      </c>
      <c r="E2134" s="24"/>
      <c r="F2134" s="14" t="s">
        <v>6012</v>
      </c>
      <c r="G2134" s="14">
        <v>58.8</v>
      </c>
      <c r="H2134" s="14">
        <v>0.0</v>
      </c>
      <c r="I2134" s="14" t="s">
        <v>6039</v>
      </c>
      <c r="J2134" s="14" t="s">
        <v>6012</v>
      </c>
      <c r="K2134" s="14" t="s">
        <v>6012</v>
      </c>
      <c r="L2134" s="14">
        <v>0.0</v>
      </c>
    </row>
    <row r="2135">
      <c r="A2135" s="14">
        <v>340.0</v>
      </c>
      <c r="B2135" s="14">
        <v>7.0</v>
      </c>
      <c r="C2135" s="34">
        <v>13.87</v>
      </c>
      <c r="D2135" s="36">
        <v>44956.0</v>
      </c>
      <c r="E2135" s="24"/>
      <c r="F2135" s="14">
        <v>1.98</v>
      </c>
      <c r="G2135" s="14">
        <v>40.79</v>
      </c>
      <c r="H2135" s="14">
        <v>2.06</v>
      </c>
      <c r="I2135" s="14" t="s">
        <v>6037</v>
      </c>
      <c r="J2135" s="14">
        <v>0.0</v>
      </c>
      <c r="K2135" s="14" t="s">
        <v>6012</v>
      </c>
      <c r="L2135" s="14">
        <v>0.0</v>
      </c>
    </row>
    <row r="2136">
      <c r="A2136" s="14">
        <v>339.0</v>
      </c>
      <c r="B2136" s="14">
        <v>2.0</v>
      </c>
      <c r="C2136" s="34">
        <v>18.02</v>
      </c>
      <c r="D2136" s="36">
        <v>44956.0</v>
      </c>
      <c r="E2136" s="24"/>
      <c r="F2136" s="14">
        <v>9.01</v>
      </c>
      <c r="G2136" s="14">
        <v>53.16</v>
      </c>
      <c r="H2136" s="14">
        <v>0.59</v>
      </c>
      <c r="I2136" s="14" t="s">
        <v>6035</v>
      </c>
      <c r="J2136" s="14">
        <v>50.0</v>
      </c>
      <c r="K2136" s="14">
        <v>18.02</v>
      </c>
      <c r="L2136" s="14">
        <v>0.0</v>
      </c>
    </row>
    <row r="2137">
      <c r="A2137" s="14">
        <v>231.0</v>
      </c>
      <c r="B2137" s="14">
        <v>14.0</v>
      </c>
      <c r="C2137" s="34">
        <v>12.08</v>
      </c>
      <c r="D2137" s="36">
        <v>44956.0</v>
      </c>
      <c r="E2137" s="24"/>
      <c r="F2137" s="14">
        <v>0.86</v>
      </c>
      <c r="G2137" s="14">
        <v>52.29</v>
      </c>
      <c r="H2137" s="14">
        <v>6.06</v>
      </c>
      <c r="I2137" s="14" t="s">
        <v>6048</v>
      </c>
      <c r="J2137" s="14">
        <v>0.0</v>
      </c>
      <c r="K2137" s="14" t="s">
        <v>6012</v>
      </c>
      <c r="L2137" s="14">
        <v>0.0</v>
      </c>
    </row>
    <row r="2138">
      <c r="A2138" s="14">
        <v>478.0</v>
      </c>
      <c r="B2138" s="14">
        <v>17.0</v>
      </c>
      <c r="C2138" s="34">
        <v>12.04</v>
      </c>
      <c r="D2138" s="36">
        <v>44956.0</v>
      </c>
      <c r="E2138" s="24"/>
      <c r="F2138" s="14">
        <v>0.71</v>
      </c>
      <c r="G2138" s="14">
        <v>25.19</v>
      </c>
      <c r="H2138" s="14">
        <v>3.56</v>
      </c>
      <c r="I2138" s="14" t="s">
        <v>6049</v>
      </c>
      <c r="J2138" s="14">
        <v>0.0</v>
      </c>
      <c r="K2138" s="14" t="s">
        <v>6012</v>
      </c>
      <c r="L2138" s="14">
        <v>0.0</v>
      </c>
    </row>
    <row r="2139">
      <c r="A2139" s="14">
        <v>145.0</v>
      </c>
      <c r="B2139" s="14">
        <v>3.0</v>
      </c>
      <c r="C2139" s="34">
        <v>15.83</v>
      </c>
      <c r="D2139" s="36">
        <v>44956.0</v>
      </c>
      <c r="E2139" s="24"/>
      <c r="F2139" s="14">
        <v>5.28</v>
      </c>
      <c r="G2139" s="14">
        <v>109.17</v>
      </c>
      <c r="H2139" s="14">
        <v>2.07</v>
      </c>
      <c r="I2139" s="14" t="s">
        <v>6038</v>
      </c>
      <c r="J2139" s="14">
        <v>0.0</v>
      </c>
      <c r="K2139" s="14" t="s">
        <v>6012</v>
      </c>
      <c r="L2139" s="14">
        <v>0.0</v>
      </c>
    </row>
    <row r="2140">
      <c r="A2140" s="14">
        <v>438.0</v>
      </c>
      <c r="B2140" s="14">
        <v>3.0</v>
      </c>
      <c r="C2140" s="34">
        <v>12.86</v>
      </c>
      <c r="D2140" s="36">
        <v>44956.0</v>
      </c>
      <c r="E2140" s="24"/>
      <c r="F2140" s="14">
        <v>4.29</v>
      </c>
      <c r="G2140" s="14">
        <v>29.36</v>
      </c>
      <c r="H2140" s="14">
        <v>0.68</v>
      </c>
      <c r="I2140" s="14" t="s">
        <v>6039</v>
      </c>
      <c r="J2140" s="14">
        <v>0.0</v>
      </c>
      <c r="K2140" s="14" t="s">
        <v>6012</v>
      </c>
      <c r="L2140" s="14">
        <v>0.0</v>
      </c>
    </row>
    <row r="2141">
      <c r="A2141" s="14">
        <v>907.0</v>
      </c>
      <c r="B2141" s="14">
        <v>4.0</v>
      </c>
      <c r="C2141" s="34">
        <v>12.46</v>
      </c>
      <c r="D2141" s="36">
        <v>44956.0</v>
      </c>
      <c r="E2141" s="24"/>
      <c r="F2141" s="14">
        <v>3.12</v>
      </c>
      <c r="G2141" s="14">
        <v>13.74</v>
      </c>
      <c r="H2141" s="14">
        <v>0.44</v>
      </c>
      <c r="I2141" s="14" t="s">
        <v>6042</v>
      </c>
      <c r="J2141" s="14">
        <v>50.0</v>
      </c>
      <c r="K2141" s="14">
        <v>6.23</v>
      </c>
      <c r="L2141" s="14">
        <v>0.0</v>
      </c>
    </row>
    <row r="2142">
      <c r="A2142" s="14">
        <v>1189.0</v>
      </c>
      <c r="B2142" s="14">
        <v>1.0</v>
      </c>
      <c r="C2142" s="34">
        <v>23.32</v>
      </c>
      <c r="D2142" s="36">
        <v>44957.0</v>
      </c>
      <c r="E2142" s="24"/>
      <c r="F2142" s="14">
        <v>23.32</v>
      </c>
      <c r="G2142" s="14">
        <v>19.61</v>
      </c>
      <c r="H2142" s="14">
        <v>0.08</v>
      </c>
      <c r="I2142" s="14" t="s">
        <v>6035</v>
      </c>
      <c r="J2142" s="14">
        <v>100.0</v>
      </c>
      <c r="K2142" s="14">
        <v>23.32</v>
      </c>
      <c r="L2142" s="14">
        <v>0.0</v>
      </c>
    </row>
    <row r="2143">
      <c r="A2143" s="14">
        <v>1127.0</v>
      </c>
      <c r="B2143" s="14">
        <v>6.0</v>
      </c>
      <c r="C2143" s="34">
        <v>13.52</v>
      </c>
      <c r="D2143" s="36">
        <v>44957.0</v>
      </c>
      <c r="E2143" s="24"/>
      <c r="F2143" s="14">
        <v>2.25</v>
      </c>
      <c r="G2143" s="14">
        <v>12.0</v>
      </c>
      <c r="H2143" s="14">
        <v>0.53</v>
      </c>
      <c r="I2143" s="14" t="s">
        <v>6042</v>
      </c>
      <c r="J2143" s="14">
        <v>33.33</v>
      </c>
      <c r="K2143" s="14">
        <v>6.76</v>
      </c>
      <c r="L2143" s="14">
        <v>0.0</v>
      </c>
    </row>
    <row r="2144">
      <c r="A2144" s="14">
        <v>276.0</v>
      </c>
      <c r="B2144" s="14">
        <v>10.0</v>
      </c>
      <c r="C2144" s="34">
        <v>13.14</v>
      </c>
      <c r="D2144" s="36">
        <v>44957.0</v>
      </c>
      <c r="E2144" s="24"/>
      <c r="F2144" s="14">
        <v>1.31</v>
      </c>
      <c r="G2144" s="14">
        <v>47.61</v>
      </c>
      <c r="H2144" s="14">
        <v>3.62</v>
      </c>
      <c r="I2144" s="14" t="s">
        <v>6048</v>
      </c>
      <c r="J2144" s="14">
        <v>0.0</v>
      </c>
      <c r="K2144" s="14" t="s">
        <v>6012</v>
      </c>
      <c r="L2144" s="14">
        <v>0.0</v>
      </c>
    </row>
    <row r="2145">
      <c r="A2145" s="14">
        <v>650.0</v>
      </c>
      <c r="B2145" s="14">
        <v>10.0</v>
      </c>
      <c r="C2145" s="34">
        <v>12.92</v>
      </c>
      <c r="D2145" s="36">
        <v>44957.0</v>
      </c>
      <c r="E2145" s="24"/>
      <c r="F2145" s="14">
        <v>1.29</v>
      </c>
      <c r="G2145" s="14">
        <v>19.88</v>
      </c>
      <c r="H2145" s="14">
        <v>1.54</v>
      </c>
      <c r="I2145" s="14" t="s">
        <v>6039</v>
      </c>
      <c r="J2145" s="14">
        <v>10.0</v>
      </c>
      <c r="K2145" s="14">
        <v>12.92</v>
      </c>
      <c r="L2145" s="14">
        <v>0.0</v>
      </c>
    </row>
    <row r="2146">
      <c r="A2146" s="14">
        <v>833.0</v>
      </c>
      <c r="B2146" s="14">
        <v>6.0</v>
      </c>
      <c r="C2146" s="34">
        <v>12.7</v>
      </c>
      <c r="D2146" s="36">
        <v>44957.0</v>
      </c>
      <c r="E2146" s="24"/>
      <c r="F2146" s="14">
        <v>2.12</v>
      </c>
      <c r="G2146" s="14">
        <v>15.25</v>
      </c>
      <c r="H2146" s="14">
        <v>0.72</v>
      </c>
      <c r="I2146" s="14" t="s">
        <v>6037</v>
      </c>
      <c r="J2146" s="14">
        <v>0.0</v>
      </c>
      <c r="K2146" s="14" t="s">
        <v>6012</v>
      </c>
      <c r="L2146" s="14">
        <v>0.0</v>
      </c>
    </row>
    <row r="2147">
      <c r="A2147" s="14">
        <v>490.0</v>
      </c>
      <c r="B2147" s="14">
        <v>1.0</v>
      </c>
      <c r="C2147" s="34">
        <v>19.57</v>
      </c>
      <c r="D2147" s="36">
        <v>44957.0</v>
      </c>
      <c r="E2147" s="24"/>
      <c r="F2147" s="14">
        <v>19.57</v>
      </c>
      <c r="G2147" s="14">
        <v>39.94</v>
      </c>
      <c r="H2147" s="14">
        <v>0.2</v>
      </c>
      <c r="I2147" s="14" t="s">
        <v>6038</v>
      </c>
      <c r="J2147" s="14">
        <v>0.0</v>
      </c>
      <c r="K2147" s="14" t="s">
        <v>6012</v>
      </c>
      <c r="L2147" s="14">
        <v>0.0</v>
      </c>
    </row>
    <row r="2148">
      <c r="A2148" s="14">
        <v>426.0</v>
      </c>
      <c r="B2148" s="14">
        <v>22.0</v>
      </c>
      <c r="C2148" s="34">
        <v>13.05</v>
      </c>
      <c r="D2148" s="36">
        <v>44957.0</v>
      </c>
      <c r="E2148" s="24"/>
      <c r="F2148" s="14">
        <v>0.59</v>
      </c>
      <c r="G2148" s="14">
        <v>30.63</v>
      </c>
      <c r="H2148" s="14">
        <v>5.16</v>
      </c>
      <c r="I2148" s="14" t="s">
        <v>6049</v>
      </c>
      <c r="J2148" s="14">
        <v>0.0</v>
      </c>
      <c r="K2148" s="14" t="s">
        <v>6012</v>
      </c>
      <c r="L2148" s="14">
        <v>0.0</v>
      </c>
    </row>
    <row r="2149">
      <c r="A2149" s="14">
        <v>1135.0</v>
      </c>
      <c r="B2149" s="14">
        <v>4.0</v>
      </c>
      <c r="C2149" s="34">
        <v>12.82</v>
      </c>
      <c r="D2149" s="36">
        <v>44958.0</v>
      </c>
      <c r="E2149" s="24"/>
      <c r="F2149" s="14">
        <v>3.2</v>
      </c>
      <c r="G2149" s="14">
        <v>11.3</v>
      </c>
      <c r="H2149" s="14">
        <v>0.35</v>
      </c>
      <c r="I2149" s="14" t="s">
        <v>6037</v>
      </c>
      <c r="J2149" s="14">
        <v>50.0</v>
      </c>
      <c r="K2149" s="14">
        <v>6.41</v>
      </c>
      <c r="L2149" s="14">
        <v>0.0</v>
      </c>
    </row>
    <row r="2150">
      <c r="A2150" s="14">
        <v>259.0</v>
      </c>
      <c r="B2150" s="14">
        <v>5.0</v>
      </c>
      <c r="C2150" s="34">
        <v>13.17</v>
      </c>
      <c r="D2150" s="36">
        <v>44958.0</v>
      </c>
      <c r="E2150" s="24"/>
      <c r="F2150" s="14">
        <v>2.63</v>
      </c>
      <c r="G2150" s="14">
        <v>50.85</v>
      </c>
      <c r="H2150" s="14">
        <v>1.93</v>
      </c>
      <c r="I2150" s="14" t="s">
        <v>6049</v>
      </c>
      <c r="J2150" s="14">
        <v>0.0</v>
      </c>
      <c r="K2150" s="14" t="s">
        <v>6012</v>
      </c>
      <c r="L2150" s="14">
        <v>0.0</v>
      </c>
    </row>
    <row r="2151">
      <c r="A2151" s="14">
        <v>546.0</v>
      </c>
      <c r="B2151" s="14">
        <v>2.0</v>
      </c>
      <c r="C2151" s="34">
        <v>20.07</v>
      </c>
      <c r="D2151" s="36">
        <v>44958.0</v>
      </c>
      <c r="E2151" s="24"/>
      <c r="F2151" s="14">
        <v>10.04</v>
      </c>
      <c r="G2151" s="14">
        <v>36.76</v>
      </c>
      <c r="H2151" s="14">
        <v>0.37</v>
      </c>
      <c r="I2151" s="14" t="s">
        <v>6038</v>
      </c>
      <c r="J2151" s="14">
        <v>0.0</v>
      </c>
      <c r="K2151" s="14" t="s">
        <v>6012</v>
      </c>
      <c r="L2151" s="14">
        <v>0.0</v>
      </c>
    </row>
    <row r="2152">
      <c r="A2152" s="14">
        <v>264.0</v>
      </c>
      <c r="B2152" s="14">
        <v>15.0</v>
      </c>
      <c r="C2152" s="34">
        <v>13.16</v>
      </c>
      <c r="D2152" s="36">
        <v>44958.0</v>
      </c>
      <c r="E2152" s="24"/>
      <c r="F2152" s="14">
        <v>0.88</v>
      </c>
      <c r="G2152" s="14">
        <v>49.85</v>
      </c>
      <c r="H2152" s="14">
        <v>5.68</v>
      </c>
      <c r="I2152" s="14" t="s">
        <v>6048</v>
      </c>
      <c r="J2152" s="14">
        <v>0.0</v>
      </c>
      <c r="K2152" s="14" t="s">
        <v>6012</v>
      </c>
      <c r="L2152" s="14">
        <v>0.0</v>
      </c>
    </row>
    <row r="2153">
      <c r="A2153" s="14">
        <v>967.0</v>
      </c>
      <c r="B2153" s="14">
        <v>1.0</v>
      </c>
      <c r="C2153" s="34">
        <v>14.3</v>
      </c>
      <c r="D2153" s="36">
        <v>44958.0</v>
      </c>
      <c r="E2153" s="24"/>
      <c r="F2153" s="14">
        <v>14.3</v>
      </c>
      <c r="G2153" s="14">
        <v>14.79</v>
      </c>
      <c r="H2153" s="14">
        <v>0.1</v>
      </c>
      <c r="I2153" s="14" t="s">
        <v>6042</v>
      </c>
      <c r="J2153" s="14">
        <v>0.0</v>
      </c>
      <c r="K2153" s="14" t="s">
        <v>6012</v>
      </c>
      <c r="L2153" s="14">
        <v>0.0</v>
      </c>
    </row>
    <row r="2154">
      <c r="A2154" s="14">
        <v>707.0</v>
      </c>
      <c r="B2154" s="14">
        <v>5.0</v>
      </c>
      <c r="C2154" s="34">
        <v>12.9</v>
      </c>
      <c r="D2154" s="36">
        <v>44958.0</v>
      </c>
      <c r="E2154" s="24"/>
      <c r="F2154" s="14">
        <v>2.58</v>
      </c>
      <c r="G2154" s="14">
        <v>18.25</v>
      </c>
      <c r="H2154" s="14">
        <v>0.71</v>
      </c>
      <c r="I2154" s="14" t="s">
        <v>6039</v>
      </c>
      <c r="J2154" s="14">
        <v>0.0</v>
      </c>
      <c r="K2154" s="14" t="s">
        <v>6012</v>
      </c>
      <c r="L2154" s="14">
        <v>0.0</v>
      </c>
    </row>
    <row r="2155">
      <c r="A2155" s="14">
        <v>1258.0</v>
      </c>
      <c r="B2155" s="14">
        <v>3.0</v>
      </c>
      <c r="C2155" s="34">
        <v>23.81</v>
      </c>
      <c r="D2155" s="36">
        <v>44958.0</v>
      </c>
      <c r="E2155" s="24"/>
      <c r="F2155" s="14">
        <v>7.94</v>
      </c>
      <c r="G2155" s="14">
        <v>18.93</v>
      </c>
      <c r="H2155" s="14">
        <v>0.24</v>
      </c>
      <c r="I2155" s="14" t="s">
        <v>6035</v>
      </c>
      <c r="J2155" s="14">
        <v>0.0</v>
      </c>
      <c r="K2155" s="14" t="s">
        <v>6012</v>
      </c>
      <c r="L2155" s="14">
        <v>0.0</v>
      </c>
    </row>
    <row r="2156">
      <c r="A2156" s="14">
        <v>108.0</v>
      </c>
      <c r="B2156" s="14">
        <v>8.0</v>
      </c>
      <c r="C2156" s="34">
        <v>6.36</v>
      </c>
      <c r="D2156" s="36">
        <v>44959.0</v>
      </c>
      <c r="E2156" s="24"/>
      <c r="F2156" s="14">
        <v>0.8</v>
      </c>
      <c r="G2156" s="14">
        <v>58.89</v>
      </c>
      <c r="H2156" s="14">
        <v>7.41</v>
      </c>
      <c r="I2156" s="14" t="s">
        <v>6049</v>
      </c>
      <c r="J2156" s="14">
        <v>0.0</v>
      </c>
      <c r="K2156" s="14" t="s">
        <v>6012</v>
      </c>
      <c r="L2156" s="14">
        <v>0.0</v>
      </c>
    </row>
    <row r="2157">
      <c r="A2157" s="14">
        <v>1038.0</v>
      </c>
      <c r="B2157" s="14">
        <v>5.0</v>
      </c>
      <c r="C2157" s="34">
        <v>23.61</v>
      </c>
      <c r="D2157" s="36">
        <v>44959.0</v>
      </c>
      <c r="E2157" s="24"/>
      <c r="F2157" s="14">
        <v>4.72</v>
      </c>
      <c r="G2157" s="14">
        <v>22.75</v>
      </c>
      <c r="H2157" s="14">
        <v>0.48</v>
      </c>
      <c r="I2157" s="14" t="s">
        <v>6035</v>
      </c>
      <c r="J2157" s="14">
        <v>0.0</v>
      </c>
      <c r="K2157" s="14" t="s">
        <v>6012</v>
      </c>
      <c r="L2157" s="14">
        <v>0.0</v>
      </c>
    </row>
    <row r="2158">
      <c r="A2158" s="14">
        <v>124.0</v>
      </c>
      <c r="B2158" s="14">
        <v>11.0</v>
      </c>
      <c r="C2158" s="34">
        <v>6.44</v>
      </c>
      <c r="D2158" s="36">
        <v>44959.0</v>
      </c>
      <c r="E2158" s="24"/>
      <c r="F2158" s="14">
        <v>0.59</v>
      </c>
      <c r="G2158" s="14">
        <v>51.94</v>
      </c>
      <c r="H2158" s="14">
        <v>8.87</v>
      </c>
      <c r="I2158" s="14" t="s">
        <v>6048</v>
      </c>
      <c r="J2158" s="14">
        <v>0.0</v>
      </c>
      <c r="K2158" s="14" t="s">
        <v>6012</v>
      </c>
      <c r="L2158" s="14">
        <v>0.0</v>
      </c>
    </row>
    <row r="2159">
      <c r="A2159" s="14">
        <v>132.0</v>
      </c>
      <c r="B2159" s="14">
        <v>4.0</v>
      </c>
      <c r="C2159" s="34">
        <v>2.2</v>
      </c>
      <c r="D2159" s="36">
        <v>44959.0</v>
      </c>
      <c r="E2159" s="24"/>
      <c r="F2159" s="14">
        <v>0.55</v>
      </c>
      <c r="G2159" s="14">
        <v>16.67</v>
      </c>
      <c r="H2159" s="14">
        <v>3.03</v>
      </c>
      <c r="I2159" s="14" t="s">
        <v>6050</v>
      </c>
      <c r="J2159" s="14">
        <v>0.0</v>
      </c>
      <c r="K2159" s="14" t="s">
        <v>6012</v>
      </c>
      <c r="L2159" s="14">
        <v>0.0</v>
      </c>
    </row>
    <row r="2160">
      <c r="A2160" s="14">
        <v>918.0</v>
      </c>
      <c r="B2160" s="14">
        <v>8.0</v>
      </c>
      <c r="C2160" s="34">
        <v>13.34</v>
      </c>
      <c r="D2160" s="36">
        <v>44959.0</v>
      </c>
      <c r="E2160" s="24"/>
      <c r="F2160" s="14">
        <v>1.67</v>
      </c>
      <c r="G2160" s="14">
        <v>14.53</v>
      </c>
      <c r="H2160" s="14">
        <v>0.87</v>
      </c>
      <c r="I2160" s="14" t="s">
        <v>6042</v>
      </c>
      <c r="J2160" s="14">
        <v>25.0</v>
      </c>
      <c r="K2160" s="14">
        <v>6.67</v>
      </c>
      <c r="L2160" s="14">
        <v>0.0</v>
      </c>
    </row>
    <row r="2161">
      <c r="A2161" s="14">
        <v>329.0</v>
      </c>
      <c r="B2161" s="14">
        <v>29.0</v>
      </c>
      <c r="C2161" s="34">
        <v>12.32</v>
      </c>
      <c r="D2161" s="36">
        <v>44959.0</v>
      </c>
      <c r="E2161" s="24"/>
      <c r="F2161" s="14">
        <v>0.42</v>
      </c>
      <c r="G2161" s="14">
        <v>37.45</v>
      </c>
      <c r="H2161" s="14">
        <v>8.81</v>
      </c>
      <c r="I2161" s="14" t="s">
        <v>6051</v>
      </c>
      <c r="J2161" s="14">
        <v>0.0</v>
      </c>
      <c r="K2161" s="14" t="s">
        <v>6012</v>
      </c>
      <c r="L2161" s="14">
        <v>0.0</v>
      </c>
    </row>
    <row r="2162">
      <c r="A2162" s="14">
        <v>585.0</v>
      </c>
      <c r="B2162" s="14">
        <v>6.0</v>
      </c>
      <c r="C2162" s="34">
        <v>12.5</v>
      </c>
      <c r="D2162" s="36">
        <v>44959.0</v>
      </c>
      <c r="E2162" s="24"/>
      <c r="F2162" s="14">
        <v>2.08</v>
      </c>
      <c r="G2162" s="14">
        <v>21.37</v>
      </c>
      <c r="H2162" s="14">
        <v>1.03</v>
      </c>
      <c r="I2162" s="14" t="s">
        <v>6039</v>
      </c>
      <c r="J2162" s="14">
        <v>50.0</v>
      </c>
      <c r="K2162" s="14">
        <v>4.17</v>
      </c>
      <c r="L2162" s="14">
        <v>0.0</v>
      </c>
    </row>
    <row r="2163">
      <c r="A2163" s="14">
        <v>743.0</v>
      </c>
      <c r="B2163" s="14">
        <v>10.0</v>
      </c>
      <c r="C2163" s="34">
        <v>12.49</v>
      </c>
      <c r="D2163" s="36">
        <v>44959.0</v>
      </c>
      <c r="E2163" s="24"/>
      <c r="F2163" s="14">
        <v>1.25</v>
      </c>
      <c r="G2163" s="14">
        <v>16.81</v>
      </c>
      <c r="H2163" s="14">
        <v>1.35</v>
      </c>
      <c r="I2163" s="14" t="s">
        <v>6037</v>
      </c>
      <c r="J2163" s="14">
        <v>10.0</v>
      </c>
      <c r="K2163" s="14">
        <v>12.49</v>
      </c>
      <c r="L2163" s="14">
        <v>0.0</v>
      </c>
    </row>
    <row r="2164">
      <c r="A2164" s="14">
        <v>453.0</v>
      </c>
      <c r="B2164" s="14">
        <v>5.0</v>
      </c>
      <c r="C2164" s="34">
        <v>20.65</v>
      </c>
      <c r="D2164" s="36">
        <v>44959.0</v>
      </c>
      <c r="E2164" s="24"/>
      <c r="F2164" s="14">
        <v>4.13</v>
      </c>
      <c r="G2164" s="14">
        <v>45.58</v>
      </c>
      <c r="H2164" s="14">
        <v>1.1</v>
      </c>
      <c r="I2164" s="14" t="s">
        <v>6038</v>
      </c>
      <c r="J2164" s="14">
        <v>20.0</v>
      </c>
      <c r="K2164" s="14">
        <v>20.65</v>
      </c>
      <c r="L2164" s="14">
        <v>0.0</v>
      </c>
    </row>
    <row r="2165">
      <c r="A2165" s="14">
        <v>344.0</v>
      </c>
      <c r="B2165" s="14">
        <v>12.0</v>
      </c>
      <c r="C2165" s="34">
        <v>12.24</v>
      </c>
      <c r="D2165" s="36">
        <v>44960.0</v>
      </c>
      <c r="E2165" s="24"/>
      <c r="F2165" s="14">
        <v>1.02</v>
      </c>
      <c r="G2165" s="14">
        <v>35.58</v>
      </c>
      <c r="H2165" s="14">
        <v>3.49</v>
      </c>
      <c r="I2165" s="14" t="s">
        <v>6051</v>
      </c>
      <c r="J2165" s="14">
        <v>8.33</v>
      </c>
      <c r="K2165" s="14">
        <v>12.24</v>
      </c>
      <c r="L2165" s="14">
        <v>0.0</v>
      </c>
    </row>
    <row r="2166">
      <c r="A2166" s="14">
        <v>60.0</v>
      </c>
      <c r="B2166" s="14">
        <v>4.0</v>
      </c>
      <c r="C2166" s="34">
        <v>1.18</v>
      </c>
      <c r="D2166" s="36">
        <v>44960.0</v>
      </c>
      <c r="E2166" s="24"/>
      <c r="F2166" s="14">
        <v>0.3</v>
      </c>
      <c r="G2166" s="14">
        <v>19.67</v>
      </c>
      <c r="H2166" s="14">
        <v>6.67</v>
      </c>
      <c r="I2166" s="14" t="s">
        <v>6049</v>
      </c>
      <c r="J2166" s="14">
        <v>0.0</v>
      </c>
      <c r="K2166" s="14" t="s">
        <v>6012</v>
      </c>
      <c r="L2166" s="14">
        <v>0.0</v>
      </c>
    </row>
    <row r="2167">
      <c r="A2167" s="14">
        <v>537.0</v>
      </c>
      <c r="B2167" s="14">
        <v>7.0</v>
      </c>
      <c r="C2167" s="34">
        <v>11.67</v>
      </c>
      <c r="D2167" s="36">
        <v>44960.0</v>
      </c>
      <c r="E2167" s="24"/>
      <c r="F2167" s="14">
        <v>1.67</v>
      </c>
      <c r="G2167" s="14">
        <v>21.73</v>
      </c>
      <c r="H2167" s="14">
        <v>1.3</v>
      </c>
      <c r="I2167" s="14" t="s">
        <v>6039</v>
      </c>
      <c r="J2167" s="14">
        <v>0.0</v>
      </c>
      <c r="K2167" s="14" t="s">
        <v>6012</v>
      </c>
      <c r="L2167" s="14">
        <v>0.0</v>
      </c>
    </row>
    <row r="2168">
      <c r="A2168" s="14">
        <v>717.0</v>
      </c>
      <c r="B2168" s="14">
        <v>6.0</v>
      </c>
      <c r="C2168" s="34">
        <v>11.8</v>
      </c>
      <c r="D2168" s="36">
        <v>44960.0</v>
      </c>
      <c r="E2168" s="24"/>
      <c r="F2168" s="14">
        <v>1.97</v>
      </c>
      <c r="G2168" s="14">
        <v>16.46</v>
      </c>
      <c r="H2168" s="14">
        <v>0.84</v>
      </c>
      <c r="I2168" s="14" t="s">
        <v>6037</v>
      </c>
      <c r="J2168" s="14">
        <v>16.67</v>
      </c>
      <c r="K2168" s="14">
        <v>11.8</v>
      </c>
      <c r="L2168" s="14">
        <v>0.0</v>
      </c>
    </row>
    <row r="2169">
      <c r="A2169" s="14">
        <v>1009.0</v>
      </c>
      <c r="B2169" s="14">
        <v>3.0</v>
      </c>
      <c r="C2169" s="34">
        <v>12.34</v>
      </c>
      <c r="D2169" s="36">
        <v>44960.0</v>
      </c>
      <c r="E2169" s="24"/>
      <c r="F2169" s="14">
        <v>4.11</v>
      </c>
      <c r="G2169" s="14">
        <v>12.23</v>
      </c>
      <c r="H2169" s="14">
        <v>0.3</v>
      </c>
      <c r="I2169" s="14" t="s">
        <v>6042</v>
      </c>
      <c r="J2169" s="14">
        <v>0.0</v>
      </c>
      <c r="K2169" s="14" t="s">
        <v>6012</v>
      </c>
      <c r="L2169" s="14">
        <v>0.0</v>
      </c>
    </row>
    <row r="2170">
      <c r="A2170" s="14">
        <v>90.0</v>
      </c>
      <c r="B2170" s="14">
        <v>1.0</v>
      </c>
      <c r="C2170" s="34">
        <v>2.93</v>
      </c>
      <c r="D2170" s="36">
        <v>44960.0</v>
      </c>
      <c r="E2170" s="24"/>
      <c r="F2170" s="14">
        <v>2.93</v>
      </c>
      <c r="G2170" s="14">
        <v>32.56</v>
      </c>
      <c r="H2170" s="14">
        <v>1.11</v>
      </c>
      <c r="I2170" s="14" t="s">
        <v>6048</v>
      </c>
      <c r="J2170" s="14">
        <v>0.0</v>
      </c>
      <c r="K2170" s="14" t="s">
        <v>6012</v>
      </c>
      <c r="L2170" s="14">
        <v>0.0</v>
      </c>
    </row>
    <row r="2171">
      <c r="A2171" s="14">
        <v>412.0</v>
      </c>
      <c r="B2171" s="14">
        <v>1.0</v>
      </c>
      <c r="C2171" s="34">
        <v>19.38</v>
      </c>
      <c r="D2171" s="36">
        <v>44960.0</v>
      </c>
      <c r="E2171" s="24"/>
      <c r="F2171" s="14">
        <v>19.38</v>
      </c>
      <c r="G2171" s="14">
        <v>47.04</v>
      </c>
      <c r="H2171" s="14">
        <v>0.24</v>
      </c>
      <c r="I2171" s="14" t="s">
        <v>6038</v>
      </c>
      <c r="J2171" s="14">
        <v>100.0</v>
      </c>
      <c r="K2171" s="14">
        <v>19.38</v>
      </c>
      <c r="L2171" s="14">
        <v>0.0</v>
      </c>
    </row>
    <row r="2172">
      <c r="A2172" s="14">
        <v>916.0</v>
      </c>
      <c r="B2172" s="14">
        <v>2.0</v>
      </c>
      <c r="C2172" s="34">
        <v>22.25</v>
      </c>
      <c r="D2172" s="36">
        <v>44960.0</v>
      </c>
      <c r="E2172" s="24"/>
      <c r="F2172" s="14">
        <v>11.12</v>
      </c>
      <c r="G2172" s="14">
        <v>24.29</v>
      </c>
      <c r="H2172" s="14">
        <v>0.22</v>
      </c>
      <c r="I2172" s="14" t="s">
        <v>6035</v>
      </c>
      <c r="J2172" s="14">
        <v>0.0</v>
      </c>
      <c r="K2172" s="14" t="s">
        <v>6012</v>
      </c>
      <c r="L2172" s="14">
        <v>0.0</v>
      </c>
    </row>
    <row r="2173">
      <c r="A2173" s="14">
        <v>155.0</v>
      </c>
      <c r="B2173" s="14">
        <v>1.0</v>
      </c>
      <c r="C2173" s="34">
        <v>1.39</v>
      </c>
      <c r="D2173" s="36">
        <v>44960.0</v>
      </c>
      <c r="E2173" s="24"/>
      <c r="F2173" s="14">
        <v>1.39</v>
      </c>
      <c r="G2173" s="14">
        <v>8.97</v>
      </c>
      <c r="H2173" s="14">
        <v>0.65</v>
      </c>
      <c r="I2173" s="14" t="s">
        <v>6050</v>
      </c>
      <c r="J2173" s="14">
        <v>0.0</v>
      </c>
      <c r="K2173" s="14" t="s">
        <v>6012</v>
      </c>
      <c r="L2173" s="14">
        <v>0.0</v>
      </c>
    </row>
    <row r="2174">
      <c r="A2174" s="14">
        <v>292.0</v>
      </c>
      <c r="B2174" s="14">
        <v>3.0</v>
      </c>
      <c r="C2174" s="34">
        <v>7.07</v>
      </c>
      <c r="D2174" s="36">
        <v>44961.0</v>
      </c>
      <c r="E2174" s="24"/>
      <c r="F2174" s="14">
        <v>2.36</v>
      </c>
      <c r="G2174" s="14">
        <v>24.21</v>
      </c>
      <c r="H2174" s="14">
        <v>1.03</v>
      </c>
      <c r="I2174" s="14" t="s">
        <v>6039</v>
      </c>
      <c r="J2174" s="14">
        <v>0.0</v>
      </c>
      <c r="K2174" s="14" t="s">
        <v>6012</v>
      </c>
      <c r="L2174" s="14">
        <v>0.0</v>
      </c>
    </row>
    <row r="2175">
      <c r="A2175" s="14">
        <v>182.0</v>
      </c>
      <c r="B2175" s="14">
        <v>1.0</v>
      </c>
      <c r="C2175" s="34">
        <v>10.76</v>
      </c>
      <c r="D2175" s="36">
        <v>44961.0</v>
      </c>
      <c r="E2175" s="24"/>
      <c r="F2175" s="14">
        <v>10.76</v>
      </c>
      <c r="G2175" s="14">
        <v>59.12</v>
      </c>
      <c r="H2175" s="14">
        <v>0.55</v>
      </c>
      <c r="I2175" s="14" t="s">
        <v>6038</v>
      </c>
      <c r="J2175" s="14">
        <v>0.0</v>
      </c>
      <c r="K2175" s="14" t="s">
        <v>6012</v>
      </c>
      <c r="L2175" s="14">
        <v>0.0</v>
      </c>
    </row>
    <row r="2176">
      <c r="A2176" s="14">
        <v>488.0</v>
      </c>
      <c r="B2176" s="14">
        <v>1.0</v>
      </c>
      <c r="C2176" s="34">
        <v>11.65</v>
      </c>
      <c r="D2176" s="36">
        <v>44961.0</v>
      </c>
      <c r="E2176" s="24"/>
      <c r="F2176" s="14">
        <v>11.65</v>
      </c>
      <c r="G2176" s="14">
        <v>23.87</v>
      </c>
      <c r="H2176" s="14">
        <v>0.2</v>
      </c>
      <c r="I2176" s="14" t="s">
        <v>6035</v>
      </c>
      <c r="J2176" s="14">
        <v>0.0</v>
      </c>
      <c r="K2176" s="14" t="s">
        <v>6012</v>
      </c>
      <c r="L2176" s="14">
        <v>0.0</v>
      </c>
    </row>
    <row r="2177">
      <c r="A2177" s="14">
        <v>170.0</v>
      </c>
      <c r="B2177" s="14">
        <v>6.0</v>
      </c>
      <c r="C2177" s="34">
        <v>10.86</v>
      </c>
      <c r="D2177" s="36">
        <v>44961.0</v>
      </c>
      <c r="E2177" s="24"/>
      <c r="F2177" s="14">
        <v>1.81</v>
      </c>
      <c r="G2177" s="14">
        <v>63.88</v>
      </c>
      <c r="H2177" s="14">
        <v>3.53</v>
      </c>
      <c r="I2177" s="14" t="s">
        <v>6048</v>
      </c>
      <c r="J2177" s="14">
        <v>0.0</v>
      </c>
      <c r="K2177" s="14" t="s">
        <v>6012</v>
      </c>
      <c r="L2177" s="14">
        <v>0.0</v>
      </c>
    </row>
    <row r="2178">
      <c r="A2178" s="14">
        <v>231.0</v>
      </c>
      <c r="B2178" s="14">
        <v>5.0</v>
      </c>
      <c r="C2178" s="34">
        <v>8.24</v>
      </c>
      <c r="D2178" s="36">
        <v>44961.0</v>
      </c>
      <c r="E2178" s="24"/>
      <c r="F2178" s="14">
        <v>1.65</v>
      </c>
      <c r="G2178" s="14">
        <v>35.67</v>
      </c>
      <c r="H2178" s="14">
        <v>2.16</v>
      </c>
      <c r="I2178" s="14" t="s">
        <v>6051</v>
      </c>
      <c r="J2178" s="14">
        <v>60.0</v>
      </c>
      <c r="K2178" s="14">
        <v>2.75</v>
      </c>
      <c r="L2178" s="14">
        <v>0.0</v>
      </c>
    </row>
    <row r="2179">
      <c r="A2179" s="14">
        <v>245.0</v>
      </c>
      <c r="B2179" s="14">
        <v>2.0</v>
      </c>
      <c r="C2179" s="34">
        <v>6.7</v>
      </c>
      <c r="D2179" s="36">
        <v>44961.0</v>
      </c>
      <c r="E2179" s="24"/>
      <c r="F2179" s="14">
        <v>3.35</v>
      </c>
      <c r="G2179" s="14">
        <v>27.35</v>
      </c>
      <c r="H2179" s="14">
        <v>0.82</v>
      </c>
      <c r="I2179" s="14" t="s">
        <v>6037</v>
      </c>
      <c r="J2179" s="14">
        <v>0.0</v>
      </c>
      <c r="K2179" s="14" t="s">
        <v>6012</v>
      </c>
      <c r="L2179" s="14">
        <v>0.0</v>
      </c>
    </row>
    <row r="2180">
      <c r="A2180" s="14">
        <v>577.0</v>
      </c>
      <c r="B2180" s="14">
        <v>3.0</v>
      </c>
      <c r="C2180" s="34">
        <v>5.62</v>
      </c>
      <c r="D2180" s="36">
        <v>44961.0</v>
      </c>
      <c r="E2180" s="24"/>
      <c r="F2180" s="14">
        <v>1.87</v>
      </c>
      <c r="G2180" s="14">
        <v>9.74</v>
      </c>
      <c r="H2180" s="14">
        <v>0.52</v>
      </c>
      <c r="I2180" s="14" t="s">
        <v>6042</v>
      </c>
      <c r="J2180" s="14">
        <v>33.33</v>
      </c>
      <c r="K2180" s="14">
        <v>5.62</v>
      </c>
      <c r="L2180" s="14">
        <v>0.0</v>
      </c>
    </row>
    <row r="2181">
      <c r="A2181" s="14">
        <v>188.0</v>
      </c>
      <c r="B2181" s="14">
        <v>6.0</v>
      </c>
      <c r="C2181" s="34">
        <v>10.36</v>
      </c>
      <c r="D2181" s="36">
        <v>44961.0</v>
      </c>
      <c r="E2181" s="24"/>
      <c r="F2181" s="14">
        <v>1.73</v>
      </c>
      <c r="G2181" s="14">
        <v>55.11</v>
      </c>
      <c r="H2181" s="14">
        <v>3.19</v>
      </c>
      <c r="I2181" s="14" t="s">
        <v>6049</v>
      </c>
      <c r="J2181" s="14">
        <v>0.0</v>
      </c>
      <c r="K2181" s="14" t="s">
        <v>6012</v>
      </c>
      <c r="L2181" s="14">
        <v>0.0</v>
      </c>
    </row>
    <row r="2182">
      <c r="A2182" s="14">
        <v>707.0</v>
      </c>
      <c r="B2182" s="14">
        <v>11.0</v>
      </c>
      <c r="C2182" s="34">
        <v>15.0</v>
      </c>
      <c r="D2182" s="36">
        <v>44961.0</v>
      </c>
      <c r="E2182" s="24"/>
      <c r="F2182" s="14">
        <v>1.36</v>
      </c>
      <c r="G2182" s="14">
        <v>21.22</v>
      </c>
      <c r="H2182" s="14">
        <v>1.56</v>
      </c>
      <c r="I2182" s="14" t="s">
        <v>6050</v>
      </c>
      <c r="J2182" s="14">
        <v>0.0</v>
      </c>
      <c r="K2182" s="14" t="s">
        <v>6012</v>
      </c>
      <c r="L2182" s="14">
        <v>0.0</v>
      </c>
    </row>
    <row r="2183">
      <c r="A2183" s="14">
        <v>87.0</v>
      </c>
      <c r="B2183" s="14">
        <v>0.0</v>
      </c>
      <c r="C2183" s="34">
        <v>9.24</v>
      </c>
      <c r="D2183" s="36">
        <v>44962.0</v>
      </c>
      <c r="E2183" s="24"/>
      <c r="F2183" s="14" t="s">
        <v>6012</v>
      </c>
      <c r="G2183" s="14">
        <v>106.21</v>
      </c>
      <c r="H2183" s="14">
        <v>0.0</v>
      </c>
      <c r="I2183" s="14" t="s">
        <v>6038</v>
      </c>
      <c r="J2183" s="14" t="s">
        <v>6012</v>
      </c>
      <c r="K2183" s="14">
        <v>9.24</v>
      </c>
      <c r="L2183" s="14">
        <v>0.0</v>
      </c>
    </row>
    <row r="2184">
      <c r="A2184" s="14">
        <v>217.0</v>
      </c>
      <c r="B2184" s="14">
        <v>5.0</v>
      </c>
      <c r="C2184" s="34">
        <v>7.2</v>
      </c>
      <c r="D2184" s="36">
        <v>44962.0</v>
      </c>
      <c r="E2184" s="24"/>
      <c r="F2184" s="14">
        <v>1.44</v>
      </c>
      <c r="G2184" s="14">
        <v>33.18</v>
      </c>
      <c r="H2184" s="14">
        <v>2.3</v>
      </c>
      <c r="I2184" s="14" t="s">
        <v>6051</v>
      </c>
      <c r="J2184" s="14">
        <v>100.0</v>
      </c>
      <c r="K2184" s="14">
        <v>1.44</v>
      </c>
      <c r="L2184" s="14">
        <v>0.0</v>
      </c>
    </row>
    <row r="2185">
      <c r="A2185" s="14">
        <v>394.0</v>
      </c>
      <c r="B2185" s="14">
        <v>2.0</v>
      </c>
      <c r="C2185" s="34">
        <v>10.34</v>
      </c>
      <c r="D2185" s="36">
        <v>44962.0</v>
      </c>
      <c r="E2185" s="24"/>
      <c r="F2185" s="14">
        <v>5.17</v>
      </c>
      <c r="G2185" s="14">
        <v>26.24</v>
      </c>
      <c r="H2185" s="14">
        <v>0.51</v>
      </c>
      <c r="I2185" s="14" t="s">
        <v>6035</v>
      </c>
      <c r="J2185" s="14">
        <v>0.0</v>
      </c>
      <c r="K2185" s="14" t="s">
        <v>6012</v>
      </c>
      <c r="L2185" s="14">
        <v>0.0</v>
      </c>
    </row>
    <row r="2186">
      <c r="A2186" s="14">
        <v>97.0</v>
      </c>
      <c r="B2186" s="14">
        <v>0.0</v>
      </c>
      <c r="C2186" s="34">
        <v>7.08</v>
      </c>
      <c r="D2186" s="36">
        <v>44962.0</v>
      </c>
      <c r="E2186" s="24"/>
      <c r="F2186" s="14" t="s">
        <v>6012</v>
      </c>
      <c r="G2186" s="14">
        <v>72.99</v>
      </c>
      <c r="H2186" s="14">
        <v>0.0</v>
      </c>
      <c r="I2186" s="14" t="s">
        <v>6039</v>
      </c>
      <c r="J2186" s="14" t="s">
        <v>6012</v>
      </c>
      <c r="K2186" s="14" t="s">
        <v>6012</v>
      </c>
      <c r="L2186" s="14">
        <v>0.0</v>
      </c>
    </row>
    <row r="2187">
      <c r="A2187" s="14">
        <v>1101.0</v>
      </c>
      <c r="B2187" s="14">
        <v>14.0</v>
      </c>
      <c r="C2187" s="34">
        <v>14.93</v>
      </c>
      <c r="D2187" s="36">
        <v>44962.0</v>
      </c>
      <c r="E2187" s="24"/>
      <c r="F2187" s="14">
        <v>1.07</v>
      </c>
      <c r="G2187" s="14">
        <v>13.56</v>
      </c>
      <c r="H2187" s="14">
        <v>1.27</v>
      </c>
      <c r="I2187" s="14" t="s">
        <v>6050</v>
      </c>
      <c r="J2187" s="14">
        <v>21.43</v>
      </c>
      <c r="K2187" s="14">
        <v>4.98</v>
      </c>
      <c r="L2187" s="14">
        <v>0.0</v>
      </c>
    </row>
    <row r="2188">
      <c r="A2188" s="14">
        <v>280.0</v>
      </c>
      <c r="B2188" s="14">
        <v>3.0</v>
      </c>
      <c r="C2188" s="34">
        <v>6.62</v>
      </c>
      <c r="D2188" s="36">
        <v>44962.0</v>
      </c>
      <c r="E2188" s="24"/>
      <c r="F2188" s="14">
        <v>2.21</v>
      </c>
      <c r="G2188" s="14">
        <v>23.64</v>
      </c>
      <c r="H2188" s="14">
        <v>1.07</v>
      </c>
      <c r="I2188" s="14" t="s">
        <v>6037</v>
      </c>
      <c r="J2188" s="14">
        <v>33.33</v>
      </c>
      <c r="K2188" s="14">
        <v>6.62</v>
      </c>
      <c r="L2188" s="14">
        <v>0.0</v>
      </c>
    </row>
    <row r="2189">
      <c r="A2189" s="14">
        <v>184.0</v>
      </c>
      <c r="B2189" s="14">
        <v>6.0</v>
      </c>
      <c r="C2189" s="34">
        <v>12.98</v>
      </c>
      <c r="D2189" s="36">
        <v>44962.0</v>
      </c>
      <c r="E2189" s="24"/>
      <c r="F2189" s="14">
        <v>2.16</v>
      </c>
      <c r="G2189" s="14">
        <v>70.54</v>
      </c>
      <c r="H2189" s="14">
        <v>3.26</v>
      </c>
      <c r="I2189" s="14" t="s">
        <v>6049</v>
      </c>
      <c r="J2189" s="14">
        <v>0.0</v>
      </c>
      <c r="K2189" s="14" t="s">
        <v>6012</v>
      </c>
      <c r="L2189" s="14">
        <v>0.0</v>
      </c>
    </row>
    <row r="2190">
      <c r="A2190" s="14">
        <v>136.0</v>
      </c>
      <c r="B2190" s="14">
        <v>5.0</v>
      </c>
      <c r="C2190" s="34">
        <v>11.39</v>
      </c>
      <c r="D2190" s="36">
        <v>44962.0</v>
      </c>
      <c r="E2190" s="24"/>
      <c r="F2190" s="14">
        <v>2.28</v>
      </c>
      <c r="G2190" s="14">
        <v>83.75</v>
      </c>
      <c r="H2190" s="14">
        <v>3.68</v>
      </c>
      <c r="I2190" s="14" t="s">
        <v>6048</v>
      </c>
      <c r="J2190" s="14">
        <v>0.0</v>
      </c>
      <c r="K2190" s="14" t="s">
        <v>6012</v>
      </c>
      <c r="L2190" s="14">
        <v>0.0</v>
      </c>
    </row>
    <row r="2191">
      <c r="A2191" s="14">
        <v>574.0</v>
      </c>
      <c r="B2191" s="14">
        <v>2.0</v>
      </c>
      <c r="C2191" s="34">
        <v>5.42</v>
      </c>
      <c r="D2191" s="36">
        <v>44962.0</v>
      </c>
      <c r="E2191" s="24"/>
      <c r="F2191" s="14">
        <v>2.71</v>
      </c>
      <c r="G2191" s="14">
        <v>9.44</v>
      </c>
      <c r="H2191" s="14">
        <v>0.35</v>
      </c>
      <c r="I2191" s="14" t="s">
        <v>6042</v>
      </c>
      <c r="J2191" s="14">
        <v>0.0</v>
      </c>
      <c r="K2191" s="14" t="s">
        <v>6012</v>
      </c>
      <c r="L2191" s="14">
        <v>0.0</v>
      </c>
    </row>
    <row r="2192">
      <c r="A2192" s="14">
        <v>1077.0</v>
      </c>
      <c r="B2192" s="14">
        <v>10.0</v>
      </c>
      <c r="C2192" s="34">
        <v>13.01</v>
      </c>
      <c r="D2192" s="36">
        <v>44963.0</v>
      </c>
      <c r="E2192" s="24"/>
      <c r="F2192" s="14">
        <v>1.3</v>
      </c>
      <c r="G2192" s="14">
        <v>12.08</v>
      </c>
      <c r="H2192" s="14">
        <v>0.93</v>
      </c>
      <c r="I2192" s="14" t="s">
        <v>6037</v>
      </c>
      <c r="J2192" s="14">
        <v>0.0</v>
      </c>
      <c r="K2192" s="14" t="s">
        <v>6012</v>
      </c>
      <c r="L2192" s="14">
        <v>0.0</v>
      </c>
    </row>
    <row r="2193">
      <c r="A2193" s="14">
        <v>448.0</v>
      </c>
      <c r="B2193" s="14">
        <v>1.0</v>
      </c>
      <c r="C2193" s="34">
        <v>20.42</v>
      </c>
      <c r="D2193" s="36">
        <v>44963.0</v>
      </c>
      <c r="E2193" s="24"/>
      <c r="F2193" s="14">
        <v>20.42</v>
      </c>
      <c r="G2193" s="14">
        <v>45.58</v>
      </c>
      <c r="H2193" s="14">
        <v>0.22</v>
      </c>
      <c r="I2193" s="14" t="s">
        <v>6035</v>
      </c>
      <c r="J2193" s="14">
        <v>0.0</v>
      </c>
      <c r="K2193" s="14" t="s">
        <v>6012</v>
      </c>
      <c r="L2193" s="14">
        <v>0.0</v>
      </c>
    </row>
    <row r="2194">
      <c r="A2194" s="14">
        <v>558.0</v>
      </c>
      <c r="B2194" s="14">
        <v>3.0</v>
      </c>
      <c r="C2194" s="34">
        <v>12.7</v>
      </c>
      <c r="D2194" s="36">
        <v>44963.0</v>
      </c>
      <c r="E2194" s="24"/>
      <c r="F2194" s="14">
        <v>4.23</v>
      </c>
      <c r="G2194" s="14">
        <v>22.76</v>
      </c>
      <c r="H2194" s="14">
        <v>0.54</v>
      </c>
      <c r="I2194" s="14" t="s">
        <v>6039</v>
      </c>
      <c r="J2194" s="14">
        <v>0.0</v>
      </c>
      <c r="K2194" s="14" t="s">
        <v>6012</v>
      </c>
      <c r="L2194" s="14">
        <v>0.0</v>
      </c>
    </row>
    <row r="2195">
      <c r="A2195" s="14">
        <v>304.0</v>
      </c>
      <c r="B2195" s="14">
        <v>2.0</v>
      </c>
      <c r="C2195" s="34">
        <v>17.73</v>
      </c>
      <c r="D2195" s="36">
        <v>44963.0</v>
      </c>
      <c r="E2195" s="24"/>
      <c r="F2195" s="14">
        <v>8.86</v>
      </c>
      <c r="G2195" s="14">
        <v>58.32</v>
      </c>
      <c r="H2195" s="14">
        <v>0.66</v>
      </c>
      <c r="I2195" s="14" t="s">
        <v>6038</v>
      </c>
      <c r="J2195" s="14">
        <v>0.0</v>
      </c>
      <c r="K2195" s="14" t="s">
        <v>6012</v>
      </c>
      <c r="L2195" s="14">
        <v>0.0</v>
      </c>
    </row>
    <row r="2196">
      <c r="A2196" s="14">
        <v>361.0</v>
      </c>
      <c r="B2196" s="14">
        <v>12.0</v>
      </c>
      <c r="C2196" s="34">
        <v>12.08</v>
      </c>
      <c r="D2196" s="36">
        <v>44963.0</v>
      </c>
      <c r="E2196" s="24"/>
      <c r="F2196" s="14">
        <v>1.01</v>
      </c>
      <c r="G2196" s="14">
        <v>33.46</v>
      </c>
      <c r="H2196" s="14">
        <v>3.32</v>
      </c>
      <c r="I2196" s="14" t="s">
        <v>6049</v>
      </c>
      <c r="J2196" s="14">
        <v>0.0</v>
      </c>
      <c r="K2196" s="14" t="s">
        <v>6012</v>
      </c>
      <c r="L2196" s="14">
        <v>0.0</v>
      </c>
    </row>
    <row r="2197">
      <c r="A2197" s="14">
        <v>417.0</v>
      </c>
      <c r="B2197" s="14">
        <v>6.0</v>
      </c>
      <c r="C2197" s="34">
        <v>11.27</v>
      </c>
      <c r="D2197" s="36">
        <v>44963.0</v>
      </c>
      <c r="E2197" s="24"/>
      <c r="F2197" s="14">
        <v>1.88</v>
      </c>
      <c r="G2197" s="14">
        <v>27.03</v>
      </c>
      <c r="H2197" s="14">
        <v>1.44</v>
      </c>
      <c r="I2197" s="14" t="s">
        <v>6051</v>
      </c>
      <c r="J2197" s="14">
        <v>0.0</v>
      </c>
      <c r="K2197" s="14" t="s">
        <v>6012</v>
      </c>
      <c r="L2197" s="14">
        <v>0.0</v>
      </c>
    </row>
    <row r="2198">
      <c r="A2198" s="14">
        <v>1088.0</v>
      </c>
      <c r="B2198" s="14">
        <v>1.0</v>
      </c>
      <c r="C2198" s="34">
        <v>13.08</v>
      </c>
      <c r="D2198" s="36">
        <v>44963.0</v>
      </c>
      <c r="E2198" s="24"/>
      <c r="F2198" s="14">
        <v>13.08</v>
      </c>
      <c r="G2198" s="14">
        <v>12.02</v>
      </c>
      <c r="H2198" s="14">
        <v>0.09</v>
      </c>
      <c r="I2198" s="14" t="s">
        <v>6042</v>
      </c>
      <c r="J2198" s="14">
        <v>0.0</v>
      </c>
      <c r="K2198" s="14" t="s">
        <v>6012</v>
      </c>
      <c r="L2198" s="14">
        <v>0.0</v>
      </c>
    </row>
    <row r="2199">
      <c r="A2199" s="14">
        <v>226.0</v>
      </c>
      <c r="B2199" s="14">
        <v>8.0</v>
      </c>
      <c r="C2199" s="34">
        <v>12.15</v>
      </c>
      <c r="D2199" s="36">
        <v>44963.0</v>
      </c>
      <c r="E2199" s="24"/>
      <c r="F2199" s="14">
        <v>1.52</v>
      </c>
      <c r="G2199" s="14">
        <v>53.76</v>
      </c>
      <c r="H2199" s="14">
        <v>3.54</v>
      </c>
      <c r="I2199" s="14" t="s">
        <v>6048</v>
      </c>
      <c r="J2199" s="14">
        <v>0.0</v>
      </c>
      <c r="K2199" s="14" t="s">
        <v>6012</v>
      </c>
      <c r="L2199" s="14">
        <v>0.0</v>
      </c>
    </row>
    <row r="2200">
      <c r="A2200" s="14">
        <v>1116.0</v>
      </c>
      <c r="B2200" s="14">
        <v>9.0</v>
      </c>
      <c r="C2200" s="34">
        <v>11.7</v>
      </c>
      <c r="D2200" s="36">
        <v>44963.0</v>
      </c>
      <c r="E2200" s="24"/>
      <c r="F2200" s="14">
        <v>1.3</v>
      </c>
      <c r="G2200" s="14">
        <v>10.48</v>
      </c>
      <c r="H2200" s="14">
        <v>0.81</v>
      </c>
      <c r="I2200" s="14" t="s">
        <v>6050</v>
      </c>
      <c r="J2200" s="14">
        <v>0.0</v>
      </c>
      <c r="K2200" s="14" t="s">
        <v>6012</v>
      </c>
      <c r="L2200" s="14">
        <v>0.0</v>
      </c>
    </row>
    <row r="2201">
      <c r="A2201" s="14">
        <v>337.0</v>
      </c>
      <c r="B2201" s="14">
        <v>7.0</v>
      </c>
      <c r="C2201" s="34">
        <v>13.45</v>
      </c>
      <c r="D2201" s="36">
        <v>44964.0</v>
      </c>
      <c r="E2201" s="24"/>
      <c r="F2201" s="14">
        <v>1.92</v>
      </c>
      <c r="G2201" s="14">
        <v>39.91</v>
      </c>
      <c r="H2201" s="14">
        <v>2.08</v>
      </c>
      <c r="I2201" s="14" t="s">
        <v>6049</v>
      </c>
      <c r="J2201" s="14">
        <v>0.0</v>
      </c>
      <c r="K2201" s="14" t="s">
        <v>6012</v>
      </c>
      <c r="L2201" s="14">
        <v>0.0</v>
      </c>
    </row>
    <row r="2202">
      <c r="A2202" s="14">
        <v>847.0</v>
      </c>
      <c r="B2202" s="14">
        <v>6.0</v>
      </c>
      <c r="C2202" s="34">
        <v>13.69</v>
      </c>
      <c r="D2202" s="36">
        <v>44964.0</v>
      </c>
      <c r="E2202" s="24"/>
      <c r="F2202" s="14">
        <v>2.28</v>
      </c>
      <c r="G2202" s="14">
        <v>16.16</v>
      </c>
      <c r="H2202" s="14">
        <v>0.71</v>
      </c>
      <c r="I2202" s="14" t="s">
        <v>6042</v>
      </c>
      <c r="J2202" s="14">
        <v>66.67</v>
      </c>
      <c r="K2202" s="14">
        <v>3.42</v>
      </c>
      <c r="L2202" s="14">
        <v>0.0</v>
      </c>
    </row>
    <row r="2203">
      <c r="A2203" s="14">
        <v>648.0</v>
      </c>
      <c r="B2203" s="14">
        <v>6.0</v>
      </c>
      <c r="C2203" s="34">
        <v>11.56</v>
      </c>
      <c r="D2203" s="36">
        <v>44964.0</v>
      </c>
      <c r="E2203" s="24"/>
      <c r="F2203" s="14">
        <v>1.93</v>
      </c>
      <c r="G2203" s="14">
        <v>17.84</v>
      </c>
      <c r="H2203" s="14">
        <v>0.93</v>
      </c>
      <c r="I2203" s="14" t="s">
        <v>6051</v>
      </c>
      <c r="J2203" s="14">
        <v>0.0</v>
      </c>
      <c r="K2203" s="14" t="s">
        <v>6012</v>
      </c>
      <c r="L2203" s="14">
        <v>0.0</v>
      </c>
    </row>
    <row r="2204">
      <c r="A2204" s="14">
        <v>1188.0</v>
      </c>
      <c r="B2204" s="14">
        <v>11.0</v>
      </c>
      <c r="C2204" s="34">
        <v>12.89</v>
      </c>
      <c r="D2204" s="36">
        <v>44964.0</v>
      </c>
      <c r="E2204" s="24"/>
      <c r="F2204" s="14">
        <v>1.17</v>
      </c>
      <c r="G2204" s="14">
        <v>10.85</v>
      </c>
      <c r="H2204" s="14">
        <v>0.93</v>
      </c>
      <c r="I2204" s="14" t="s">
        <v>6037</v>
      </c>
      <c r="J2204" s="14">
        <v>9.09</v>
      </c>
      <c r="K2204" s="14">
        <v>12.89</v>
      </c>
      <c r="L2204" s="14">
        <v>0.0</v>
      </c>
    </row>
    <row r="2205">
      <c r="A2205" s="14">
        <v>851.0</v>
      </c>
      <c r="B2205" s="14">
        <v>8.0</v>
      </c>
      <c r="C2205" s="34">
        <v>23.0</v>
      </c>
      <c r="D2205" s="36">
        <v>44964.0</v>
      </c>
      <c r="E2205" s="24"/>
      <c r="F2205" s="14">
        <v>2.88</v>
      </c>
      <c r="G2205" s="14">
        <v>27.03</v>
      </c>
      <c r="H2205" s="14">
        <v>0.94</v>
      </c>
      <c r="I2205" s="14" t="s">
        <v>6035</v>
      </c>
      <c r="J2205" s="14">
        <v>12.5</v>
      </c>
      <c r="K2205" s="14">
        <v>23.0</v>
      </c>
      <c r="L2205" s="14">
        <v>0.0</v>
      </c>
    </row>
    <row r="2206">
      <c r="A2206" s="14">
        <v>77.0</v>
      </c>
      <c r="B2206" s="14">
        <v>1.0</v>
      </c>
      <c r="C2206" s="34">
        <v>19.93</v>
      </c>
      <c r="D2206" s="36">
        <v>44964.0</v>
      </c>
      <c r="E2206" s="24"/>
      <c r="F2206" s="14">
        <v>19.93</v>
      </c>
      <c r="G2206" s="14">
        <v>258.83</v>
      </c>
      <c r="H2206" s="14">
        <v>1.3</v>
      </c>
      <c r="I2206" s="14" t="s">
        <v>6038</v>
      </c>
      <c r="J2206" s="14">
        <v>200.0</v>
      </c>
      <c r="K2206" s="14">
        <v>9.96</v>
      </c>
      <c r="L2206" s="14">
        <v>0.0</v>
      </c>
    </row>
    <row r="2207">
      <c r="A2207" s="14">
        <v>970.0</v>
      </c>
      <c r="B2207" s="14">
        <v>5.0</v>
      </c>
      <c r="C2207" s="34">
        <v>11.78</v>
      </c>
      <c r="D2207" s="36">
        <v>44964.0</v>
      </c>
      <c r="E2207" s="24"/>
      <c r="F2207" s="14">
        <v>2.36</v>
      </c>
      <c r="G2207" s="14">
        <v>12.14</v>
      </c>
      <c r="H2207" s="14">
        <v>0.52</v>
      </c>
      <c r="I2207" s="14" t="s">
        <v>6050</v>
      </c>
      <c r="J2207" s="14">
        <v>40.0</v>
      </c>
      <c r="K2207" s="14">
        <v>5.89</v>
      </c>
      <c r="L2207" s="14">
        <v>0.0</v>
      </c>
    </row>
    <row r="2208">
      <c r="A2208" s="14">
        <v>517.0</v>
      </c>
      <c r="B2208" s="14">
        <v>5.0</v>
      </c>
      <c r="C2208" s="34">
        <v>13.16</v>
      </c>
      <c r="D2208" s="36">
        <v>44964.0</v>
      </c>
      <c r="E2208" s="24"/>
      <c r="F2208" s="14">
        <v>2.63</v>
      </c>
      <c r="G2208" s="14">
        <v>25.45</v>
      </c>
      <c r="H2208" s="14">
        <v>0.97</v>
      </c>
      <c r="I2208" s="14" t="s">
        <v>6039</v>
      </c>
      <c r="J2208" s="14">
        <v>20.0</v>
      </c>
      <c r="K2208" s="14">
        <v>13.16</v>
      </c>
      <c r="L2208" s="14">
        <v>0.0</v>
      </c>
    </row>
    <row r="2209">
      <c r="A2209" s="14">
        <v>294.0</v>
      </c>
      <c r="B2209" s="14">
        <v>6.0</v>
      </c>
      <c r="C2209" s="34">
        <v>13.07</v>
      </c>
      <c r="D2209" s="36">
        <v>44964.0</v>
      </c>
      <c r="E2209" s="24"/>
      <c r="F2209" s="14">
        <v>2.18</v>
      </c>
      <c r="G2209" s="14">
        <v>44.46</v>
      </c>
      <c r="H2209" s="14">
        <v>2.04</v>
      </c>
      <c r="I2209" s="14" t="s">
        <v>6048</v>
      </c>
      <c r="J2209" s="14">
        <v>0.0</v>
      </c>
      <c r="K2209" s="14" t="s">
        <v>6012</v>
      </c>
      <c r="L2209" s="14">
        <v>0.0</v>
      </c>
    </row>
    <row r="2210">
      <c r="A2210" s="14">
        <v>378.0</v>
      </c>
      <c r="B2210" s="14">
        <v>3.0</v>
      </c>
      <c r="C2210" s="34">
        <v>16.11</v>
      </c>
      <c r="D2210" s="36">
        <v>44965.0</v>
      </c>
      <c r="E2210" s="24"/>
      <c r="F2210" s="14">
        <v>5.37</v>
      </c>
      <c r="G2210" s="14">
        <v>42.62</v>
      </c>
      <c r="H2210" s="14">
        <v>0.79</v>
      </c>
      <c r="I2210" s="14" t="s">
        <v>6038</v>
      </c>
      <c r="J2210" s="14">
        <v>33.33</v>
      </c>
      <c r="K2210" s="14">
        <v>16.11</v>
      </c>
      <c r="L2210" s="14">
        <v>0.0</v>
      </c>
    </row>
    <row r="2211">
      <c r="A2211" s="14">
        <v>635.0</v>
      </c>
      <c r="B2211" s="14">
        <v>8.0</v>
      </c>
      <c r="C2211" s="34">
        <v>13.15</v>
      </c>
      <c r="D2211" s="36">
        <v>44965.0</v>
      </c>
      <c r="E2211" s="24"/>
      <c r="F2211" s="14">
        <v>1.64</v>
      </c>
      <c r="G2211" s="14">
        <v>20.71</v>
      </c>
      <c r="H2211" s="14">
        <v>1.26</v>
      </c>
      <c r="I2211" s="14" t="s">
        <v>6037</v>
      </c>
      <c r="J2211" s="14">
        <v>12.5</v>
      </c>
      <c r="K2211" s="14">
        <v>13.15</v>
      </c>
      <c r="L2211" s="14">
        <v>0.0</v>
      </c>
    </row>
    <row r="2212">
      <c r="A2212" s="14">
        <v>347.0</v>
      </c>
      <c r="B2212" s="14">
        <v>12.0</v>
      </c>
      <c r="C2212" s="34">
        <v>13.54</v>
      </c>
      <c r="D2212" s="36">
        <v>44965.0</v>
      </c>
      <c r="E2212" s="24"/>
      <c r="F2212" s="14">
        <v>1.13</v>
      </c>
      <c r="G2212" s="14">
        <v>39.02</v>
      </c>
      <c r="H2212" s="14">
        <v>3.46</v>
      </c>
      <c r="I2212" s="14" t="s">
        <v>6049</v>
      </c>
      <c r="J2212" s="14">
        <v>0.0</v>
      </c>
      <c r="K2212" s="14" t="s">
        <v>6012</v>
      </c>
      <c r="L2212" s="14">
        <v>0.0</v>
      </c>
    </row>
    <row r="2213">
      <c r="A2213" s="14">
        <v>679.0</v>
      </c>
      <c r="B2213" s="14">
        <v>7.0</v>
      </c>
      <c r="C2213" s="34">
        <v>12.14</v>
      </c>
      <c r="D2213" s="36">
        <v>44965.0</v>
      </c>
      <c r="E2213" s="24"/>
      <c r="F2213" s="14">
        <v>1.73</v>
      </c>
      <c r="G2213" s="14">
        <v>17.88</v>
      </c>
      <c r="H2213" s="14">
        <v>1.03</v>
      </c>
      <c r="I2213" s="14" t="s">
        <v>6051</v>
      </c>
      <c r="J2213" s="14">
        <v>14.29</v>
      </c>
      <c r="K2213" s="14">
        <v>12.14</v>
      </c>
      <c r="L2213" s="14">
        <v>0.0</v>
      </c>
    </row>
    <row r="2214">
      <c r="A2214" s="14">
        <v>915.0</v>
      </c>
      <c r="B2214" s="14">
        <v>9.0</v>
      </c>
      <c r="C2214" s="34">
        <v>11.47</v>
      </c>
      <c r="D2214" s="36">
        <v>44965.0</v>
      </c>
      <c r="E2214" s="24"/>
      <c r="F2214" s="14">
        <v>1.27</v>
      </c>
      <c r="G2214" s="14">
        <v>12.54</v>
      </c>
      <c r="H2214" s="14">
        <v>0.98</v>
      </c>
      <c r="I2214" s="14" t="s">
        <v>6050</v>
      </c>
      <c r="J2214" s="14">
        <v>11.11</v>
      </c>
      <c r="K2214" s="14">
        <v>11.47</v>
      </c>
      <c r="L2214" s="14">
        <v>0.0</v>
      </c>
    </row>
    <row r="2215">
      <c r="A2215" s="14">
        <v>726.0</v>
      </c>
      <c r="B2215" s="14">
        <v>4.0</v>
      </c>
      <c r="C2215" s="34">
        <v>23.07</v>
      </c>
      <c r="D2215" s="36">
        <v>44965.0</v>
      </c>
      <c r="E2215" s="24"/>
      <c r="F2215" s="14">
        <v>5.77</v>
      </c>
      <c r="G2215" s="14">
        <v>31.78</v>
      </c>
      <c r="H2215" s="14">
        <v>0.55</v>
      </c>
      <c r="I2215" s="14" t="s">
        <v>6035</v>
      </c>
      <c r="J2215" s="14">
        <v>0.0</v>
      </c>
      <c r="K2215" s="14" t="s">
        <v>6012</v>
      </c>
      <c r="L2215" s="14">
        <v>0.0</v>
      </c>
    </row>
    <row r="2216">
      <c r="A2216" s="14">
        <v>422.0</v>
      </c>
      <c r="B2216" s="14">
        <v>2.0</v>
      </c>
      <c r="C2216" s="34">
        <v>13.04</v>
      </c>
      <c r="D2216" s="36">
        <v>44965.0</v>
      </c>
      <c r="E2216" s="24"/>
      <c r="F2216" s="14">
        <v>6.52</v>
      </c>
      <c r="G2216" s="14">
        <v>30.9</v>
      </c>
      <c r="H2216" s="14">
        <v>0.47</v>
      </c>
      <c r="I2216" s="14" t="s">
        <v>6039</v>
      </c>
      <c r="J2216" s="14">
        <v>0.0</v>
      </c>
      <c r="K2216" s="14" t="s">
        <v>6012</v>
      </c>
      <c r="L2216" s="14">
        <v>0.0</v>
      </c>
    </row>
    <row r="2217">
      <c r="A2217" s="14">
        <v>1027.0</v>
      </c>
      <c r="B2217" s="14">
        <v>2.0</v>
      </c>
      <c r="C2217" s="34">
        <v>14.28</v>
      </c>
      <c r="D2217" s="36">
        <v>44965.0</v>
      </c>
      <c r="E2217" s="24"/>
      <c r="F2217" s="14">
        <v>7.14</v>
      </c>
      <c r="G2217" s="14">
        <v>13.9</v>
      </c>
      <c r="H2217" s="14">
        <v>0.19</v>
      </c>
      <c r="I2217" s="14" t="s">
        <v>6042</v>
      </c>
      <c r="J2217" s="14">
        <v>0.0</v>
      </c>
      <c r="K2217" s="14" t="s">
        <v>6012</v>
      </c>
      <c r="L2217" s="14">
        <v>0.0</v>
      </c>
    </row>
    <row r="2218">
      <c r="A2218" s="14">
        <v>246.0</v>
      </c>
      <c r="B2218" s="14">
        <v>8.0</v>
      </c>
      <c r="C2218" s="34">
        <v>13.62</v>
      </c>
      <c r="D2218" s="36">
        <v>44965.0</v>
      </c>
      <c r="E2218" s="24"/>
      <c r="F2218" s="14">
        <v>1.7</v>
      </c>
      <c r="G2218" s="14">
        <v>55.37</v>
      </c>
      <c r="H2218" s="14">
        <v>3.25</v>
      </c>
      <c r="I2218" s="14" t="s">
        <v>6048</v>
      </c>
      <c r="J2218" s="14">
        <v>0.0</v>
      </c>
      <c r="K2218" s="14" t="s">
        <v>6012</v>
      </c>
      <c r="L2218" s="14">
        <v>0.0</v>
      </c>
    </row>
    <row r="2219">
      <c r="A2219" s="14">
        <v>50.0</v>
      </c>
      <c r="B2219" s="14">
        <v>2.0</v>
      </c>
      <c r="C2219" s="34">
        <v>2.21</v>
      </c>
      <c r="D2219" s="36">
        <v>44966.0</v>
      </c>
      <c r="E2219" s="24"/>
      <c r="F2219" s="14">
        <v>1.1</v>
      </c>
      <c r="G2219" s="14">
        <v>44.2</v>
      </c>
      <c r="H2219" s="14">
        <v>4.0</v>
      </c>
      <c r="I2219" s="14" t="s">
        <v>6048</v>
      </c>
      <c r="J2219" s="14">
        <v>0.0</v>
      </c>
      <c r="K2219" s="14" t="s">
        <v>6012</v>
      </c>
      <c r="L2219" s="14">
        <v>0.0</v>
      </c>
    </row>
    <row r="2220">
      <c r="A2220" s="14">
        <v>475.0</v>
      </c>
      <c r="B2220" s="14">
        <v>6.0</v>
      </c>
      <c r="C2220" s="34">
        <v>11.94</v>
      </c>
      <c r="D2220" s="36">
        <v>44966.0</v>
      </c>
      <c r="E2220" s="24"/>
      <c r="F2220" s="14">
        <v>1.99</v>
      </c>
      <c r="G2220" s="14">
        <v>25.14</v>
      </c>
      <c r="H2220" s="14">
        <v>1.26</v>
      </c>
      <c r="I2220" s="14" t="s">
        <v>6051</v>
      </c>
      <c r="J2220" s="14">
        <v>50.0</v>
      </c>
      <c r="K2220" s="14">
        <v>3.98</v>
      </c>
      <c r="L2220" s="14">
        <v>0.0</v>
      </c>
    </row>
    <row r="2221">
      <c r="A2221" s="14">
        <v>947.0</v>
      </c>
      <c r="B2221" s="14">
        <v>3.0</v>
      </c>
      <c r="C2221" s="34">
        <v>12.92</v>
      </c>
      <c r="D2221" s="36">
        <v>44966.0</v>
      </c>
      <c r="E2221" s="24"/>
      <c r="F2221" s="14">
        <v>4.31</v>
      </c>
      <c r="G2221" s="14">
        <v>13.64</v>
      </c>
      <c r="H2221" s="14">
        <v>0.32</v>
      </c>
      <c r="I2221" s="14" t="s">
        <v>6042</v>
      </c>
      <c r="J2221" s="14">
        <v>33.33</v>
      </c>
      <c r="K2221" s="14">
        <v>12.92</v>
      </c>
      <c r="L2221" s="14">
        <v>0.0</v>
      </c>
    </row>
    <row r="2222">
      <c r="A2222" s="14">
        <v>1133.0</v>
      </c>
      <c r="B2222" s="14">
        <v>8.0</v>
      </c>
      <c r="C2222" s="34">
        <v>12.71</v>
      </c>
      <c r="D2222" s="36">
        <v>44966.0</v>
      </c>
      <c r="E2222" s="24"/>
      <c r="F2222" s="14">
        <v>1.59</v>
      </c>
      <c r="G2222" s="14">
        <v>11.22</v>
      </c>
      <c r="H2222" s="14">
        <v>0.71</v>
      </c>
      <c r="I2222" s="14" t="s">
        <v>6037</v>
      </c>
      <c r="J2222" s="14">
        <v>0.0</v>
      </c>
      <c r="K2222" s="14" t="s">
        <v>6012</v>
      </c>
      <c r="L2222" s="14">
        <v>0.0</v>
      </c>
    </row>
    <row r="2223">
      <c r="A2223" s="14">
        <v>71.0</v>
      </c>
      <c r="B2223" s="14">
        <v>4.0</v>
      </c>
      <c r="C2223" s="34">
        <v>2.74</v>
      </c>
      <c r="D2223" s="36">
        <v>44966.0</v>
      </c>
      <c r="E2223" s="24"/>
      <c r="F2223" s="14">
        <v>0.68</v>
      </c>
      <c r="G2223" s="14">
        <v>38.59</v>
      </c>
      <c r="H2223" s="14">
        <v>5.63</v>
      </c>
      <c r="I2223" s="14" t="s">
        <v>6049</v>
      </c>
      <c r="J2223" s="14">
        <v>0.0</v>
      </c>
      <c r="K2223" s="14" t="s">
        <v>6012</v>
      </c>
      <c r="L2223" s="14">
        <v>0.0</v>
      </c>
    </row>
    <row r="2224">
      <c r="A2224" s="14">
        <v>1182.0</v>
      </c>
      <c r="B2224" s="14">
        <v>7.0</v>
      </c>
      <c r="C2224" s="34">
        <v>11.27</v>
      </c>
      <c r="D2224" s="36">
        <v>44966.0</v>
      </c>
      <c r="E2224" s="24"/>
      <c r="F2224" s="14">
        <v>1.61</v>
      </c>
      <c r="G2224" s="14">
        <v>9.53</v>
      </c>
      <c r="H2224" s="14">
        <v>0.59</v>
      </c>
      <c r="I2224" s="14" t="s">
        <v>6050</v>
      </c>
      <c r="J2224" s="14">
        <v>14.29</v>
      </c>
      <c r="K2224" s="14">
        <v>11.27</v>
      </c>
      <c r="L2224" s="14">
        <v>0.0</v>
      </c>
    </row>
    <row r="2225">
      <c r="A2225" s="14">
        <v>819.0</v>
      </c>
      <c r="B2225" s="14">
        <v>6.0</v>
      </c>
      <c r="C2225" s="34">
        <v>23.14</v>
      </c>
      <c r="D2225" s="36">
        <v>44966.0</v>
      </c>
      <c r="E2225" s="24"/>
      <c r="F2225" s="14">
        <v>3.86</v>
      </c>
      <c r="G2225" s="14">
        <v>28.25</v>
      </c>
      <c r="H2225" s="14">
        <v>0.73</v>
      </c>
      <c r="I2225" s="14" t="s">
        <v>6035</v>
      </c>
      <c r="J2225" s="14">
        <v>16.67</v>
      </c>
      <c r="K2225" s="14">
        <v>23.14</v>
      </c>
      <c r="L2225" s="14">
        <v>0.0</v>
      </c>
    </row>
    <row r="2226">
      <c r="A2226" s="14">
        <v>460.0</v>
      </c>
      <c r="B2226" s="14">
        <v>3.0</v>
      </c>
      <c r="C2226" s="34">
        <v>12.79</v>
      </c>
      <c r="D2226" s="36">
        <v>44966.0</v>
      </c>
      <c r="E2226" s="24"/>
      <c r="F2226" s="14">
        <v>4.26</v>
      </c>
      <c r="G2226" s="14">
        <v>27.8</v>
      </c>
      <c r="H2226" s="14">
        <v>0.65</v>
      </c>
      <c r="I2226" s="14" t="s">
        <v>6039</v>
      </c>
      <c r="J2226" s="14">
        <v>33.33</v>
      </c>
      <c r="K2226" s="14">
        <v>12.79</v>
      </c>
      <c r="L2226" s="14">
        <v>0.0</v>
      </c>
    </row>
    <row r="2227">
      <c r="A2227" s="14">
        <v>462.0</v>
      </c>
      <c r="B2227" s="14">
        <v>1.0</v>
      </c>
      <c r="C2227" s="34">
        <v>17.78</v>
      </c>
      <c r="D2227" s="36">
        <v>44966.0</v>
      </c>
      <c r="E2227" s="24"/>
      <c r="F2227" s="14">
        <v>17.78</v>
      </c>
      <c r="G2227" s="14">
        <v>38.48</v>
      </c>
      <c r="H2227" s="14">
        <v>0.22</v>
      </c>
      <c r="I2227" s="14" t="s">
        <v>6038</v>
      </c>
      <c r="J2227" s="14">
        <v>0.0</v>
      </c>
      <c r="K2227" s="14" t="s">
        <v>6012</v>
      </c>
      <c r="L2227" s="14">
        <v>0.0</v>
      </c>
    </row>
    <row r="2228">
      <c r="A2228" s="14">
        <v>534.0</v>
      </c>
      <c r="B2228" s="14">
        <v>5.0</v>
      </c>
      <c r="C2228" s="34">
        <v>11.77</v>
      </c>
      <c r="D2228" s="36">
        <v>44967.0</v>
      </c>
      <c r="E2228" s="24"/>
      <c r="F2228" s="14">
        <v>2.35</v>
      </c>
      <c r="G2228" s="14">
        <v>22.04</v>
      </c>
      <c r="H2228" s="14">
        <v>0.94</v>
      </c>
      <c r="I2228" s="14" t="s">
        <v>6039</v>
      </c>
      <c r="J2228" s="14">
        <v>0.0</v>
      </c>
      <c r="K2228" s="14" t="s">
        <v>6012</v>
      </c>
      <c r="L2228" s="14">
        <v>0.0</v>
      </c>
    </row>
    <row r="2229">
      <c r="A2229" s="14">
        <v>62.0</v>
      </c>
      <c r="B2229" s="14">
        <v>0.0</v>
      </c>
      <c r="C2229" s="34">
        <v>21.88</v>
      </c>
      <c r="D2229" s="36">
        <v>44967.0</v>
      </c>
      <c r="E2229" s="24"/>
      <c r="F2229" s="14" t="s">
        <v>6012</v>
      </c>
      <c r="G2229" s="14">
        <v>352.9</v>
      </c>
      <c r="H2229" s="14">
        <v>0.0</v>
      </c>
      <c r="I2229" s="14" t="s">
        <v>6038</v>
      </c>
      <c r="J2229" s="14" t="s">
        <v>6012</v>
      </c>
      <c r="K2229" s="14" t="s">
        <v>6012</v>
      </c>
      <c r="L2229" s="14">
        <v>0.0</v>
      </c>
    </row>
    <row r="2230">
      <c r="A2230" s="14">
        <v>1084.0</v>
      </c>
      <c r="B2230" s="14">
        <v>7.0</v>
      </c>
      <c r="C2230" s="34">
        <v>10.22</v>
      </c>
      <c r="D2230" s="36">
        <v>44967.0</v>
      </c>
      <c r="E2230" s="24"/>
      <c r="F2230" s="14">
        <v>1.46</v>
      </c>
      <c r="G2230" s="14">
        <v>9.43</v>
      </c>
      <c r="H2230" s="14">
        <v>0.65</v>
      </c>
      <c r="I2230" s="14" t="s">
        <v>6050</v>
      </c>
      <c r="J2230" s="14">
        <v>0.0</v>
      </c>
      <c r="K2230" s="14" t="s">
        <v>6012</v>
      </c>
      <c r="L2230" s="14">
        <v>0.0</v>
      </c>
    </row>
    <row r="2231">
      <c r="A2231" s="14">
        <v>57.0</v>
      </c>
      <c r="B2231" s="14">
        <v>1.0</v>
      </c>
      <c r="C2231" s="34">
        <v>3.27</v>
      </c>
      <c r="D2231" s="36">
        <v>44967.0</v>
      </c>
      <c r="E2231" s="24"/>
      <c r="F2231" s="14">
        <v>3.27</v>
      </c>
      <c r="G2231" s="14">
        <v>57.37</v>
      </c>
      <c r="H2231" s="14">
        <v>1.75</v>
      </c>
      <c r="I2231" s="14" t="s">
        <v>6052</v>
      </c>
      <c r="J2231" s="14">
        <v>0.0</v>
      </c>
      <c r="K2231" s="14" t="s">
        <v>6012</v>
      </c>
      <c r="L2231" s="14">
        <v>0.0</v>
      </c>
    </row>
    <row r="2232">
      <c r="A2232" s="14">
        <v>937.0</v>
      </c>
      <c r="B2232" s="14">
        <v>1.0</v>
      </c>
      <c r="C2232" s="34">
        <v>12.28</v>
      </c>
      <c r="D2232" s="36">
        <v>44967.0</v>
      </c>
      <c r="E2232" s="24"/>
      <c r="F2232" s="14">
        <v>12.28</v>
      </c>
      <c r="G2232" s="14">
        <v>13.11</v>
      </c>
      <c r="H2232" s="14">
        <v>0.11</v>
      </c>
      <c r="I2232" s="14" t="s">
        <v>6042</v>
      </c>
      <c r="J2232" s="14">
        <v>0.0</v>
      </c>
      <c r="K2232" s="14" t="s">
        <v>6012</v>
      </c>
      <c r="L2232" s="14">
        <v>0.0</v>
      </c>
    </row>
    <row r="2233">
      <c r="A2233" s="14">
        <v>984.0</v>
      </c>
      <c r="B2233" s="14">
        <v>4.0</v>
      </c>
      <c r="C2233" s="34">
        <v>11.89</v>
      </c>
      <c r="D2233" s="36">
        <v>44967.0</v>
      </c>
      <c r="E2233" s="24"/>
      <c r="F2233" s="14">
        <v>2.97</v>
      </c>
      <c r="G2233" s="14">
        <v>12.08</v>
      </c>
      <c r="H2233" s="14">
        <v>0.41</v>
      </c>
      <c r="I2233" s="14" t="s">
        <v>6037</v>
      </c>
      <c r="J2233" s="14">
        <v>25.0</v>
      </c>
      <c r="K2233" s="14">
        <v>11.89</v>
      </c>
      <c r="L2233" s="14">
        <v>0.0</v>
      </c>
    </row>
    <row r="2234">
      <c r="A2234" s="14">
        <v>622.0</v>
      </c>
      <c r="B2234" s="14">
        <v>8.0</v>
      </c>
      <c r="C2234" s="34">
        <v>10.96</v>
      </c>
      <c r="D2234" s="36">
        <v>44967.0</v>
      </c>
      <c r="E2234" s="24"/>
      <c r="F2234" s="14">
        <v>1.37</v>
      </c>
      <c r="G2234" s="14">
        <v>17.62</v>
      </c>
      <c r="H2234" s="14">
        <v>1.29</v>
      </c>
      <c r="I2234" s="14" t="s">
        <v>6051</v>
      </c>
      <c r="J2234" s="14">
        <v>25.0</v>
      </c>
      <c r="K2234" s="14">
        <v>5.48</v>
      </c>
      <c r="L2234" s="14">
        <v>0.0</v>
      </c>
    </row>
    <row r="2235">
      <c r="A2235" s="14">
        <v>1073.0</v>
      </c>
      <c r="B2235" s="14">
        <v>1.0</v>
      </c>
      <c r="C2235" s="34">
        <v>21.74</v>
      </c>
      <c r="D2235" s="36">
        <v>44967.0</v>
      </c>
      <c r="E2235" s="24"/>
      <c r="F2235" s="14">
        <v>21.74</v>
      </c>
      <c r="G2235" s="14">
        <v>20.26</v>
      </c>
      <c r="H2235" s="14">
        <v>0.09</v>
      </c>
      <c r="I2235" s="14" t="s">
        <v>6035</v>
      </c>
      <c r="J2235" s="14">
        <v>100.0</v>
      </c>
      <c r="K2235" s="14">
        <v>21.74</v>
      </c>
      <c r="L2235" s="14">
        <v>0.0</v>
      </c>
    </row>
    <row r="2236">
      <c r="A2236" s="14">
        <v>219.0</v>
      </c>
      <c r="B2236" s="14">
        <v>1.0</v>
      </c>
      <c r="C2236" s="34">
        <v>6.83</v>
      </c>
      <c r="D2236" s="36">
        <v>44968.0</v>
      </c>
      <c r="E2236" s="24"/>
      <c r="F2236" s="14">
        <v>6.83</v>
      </c>
      <c r="G2236" s="14">
        <v>31.19</v>
      </c>
      <c r="H2236" s="14">
        <v>0.46</v>
      </c>
      <c r="I2236" s="14" t="s">
        <v>6039</v>
      </c>
      <c r="J2236" s="14">
        <v>0.0</v>
      </c>
      <c r="K2236" s="14" t="s">
        <v>6012</v>
      </c>
      <c r="L2236" s="14">
        <v>0.0</v>
      </c>
    </row>
    <row r="2237">
      <c r="A2237" s="14">
        <v>119.0</v>
      </c>
      <c r="B2237" s="14">
        <v>0.0</v>
      </c>
      <c r="C2237" s="34">
        <v>11.95</v>
      </c>
      <c r="D2237" s="36">
        <v>44968.0</v>
      </c>
      <c r="E2237" s="24"/>
      <c r="F2237" s="14" t="s">
        <v>6012</v>
      </c>
      <c r="G2237" s="14">
        <v>100.42</v>
      </c>
      <c r="H2237" s="14">
        <v>0.0</v>
      </c>
      <c r="I2237" s="14" t="s">
        <v>6038</v>
      </c>
      <c r="J2237" s="14" t="s">
        <v>6012</v>
      </c>
      <c r="K2237" s="14" t="s">
        <v>6012</v>
      </c>
      <c r="L2237" s="14">
        <v>0.0</v>
      </c>
    </row>
    <row r="2238">
      <c r="A2238" s="14">
        <v>451.0</v>
      </c>
      <c r="B2238" s="14">
        <v>3.0</v>
      </c>
      <c r="C2238" s="34">
        <v>5.8</v>
      </c>
      <c r="D2238" s="36">
        <v>44968.0</v>
      </c>
      <c r="E2238" s="24"/>
      <c r="F2238" s="14">
        <v>1.93</v>
      </c>
      <c r="G2238" s="14">
        <v>12.86</v>
      </c>
      <c r="H2238" s="14">
        <v>0.67</v>
      </c>
      <c r="I2238" s="14" t="s">
        <v>6042</v>
      </c>
      <c r="J2238" s="14">
        <v>0.0</v>
      </c>
      <c r="K2238" s="14" t="s">
        <v>6012</v>
      </c>
      <c r="L2238" s="14">
        <v>0.0</v>
      </c>
    </row>
    <row r="2239">
      <c r="A2239" s="14">
        <v>889.0</v>
      </c>
      <c r="B2239" s="14">
        <v>3.0</v>
      </c>
      <c r="C2239" s="34">
        <v>7.01</v>
      </c>
      <c r="D2239" s="36">
        <v>44968.0</v>
      </c>
      <c r="E2239" s="24"/>
      <c r="F2239" s="14">
        <v>2.34</v>
      </c>
      <c r="G2239" s="14">
        <v>7.89</v>
      </c>
      <c r="H2239" s="14">
        <v>0.34</v>
      </c>
      <c r="I2239" s="14" t="s">
        <v>6050</v>
      </c>
      <c r="J2239" s="14">
        <v>33.33</v>
      </c>
      <c r="K2239" s="14">
        <v>7.01</v>
      </c>
      <c r="L2239" s="14">
        <v>0.0</v>
      </c>
    </row>
    <row r="2240">
      <c r="A2240" s="14">
        <v>268.0</v>
      </c>
      <c r="B2240" s="14">
        <v>0.0</v>
      </c>
      <c r="C2240" s="34">
        <v>6.91</v>
      </c>
      <c r="D2240" s="36">
        <v>44968.0</v>
      </c>
      <c r="E2240" s="24"/>
      <c r="F2240" s="14" t="s">
        <v>6012</v>
      </c>
      <c r="G2240" s="14">
        <v>25.78</v>
      </c>
      <c r="H2240" s="14">
        <v>0.0</v>
      </c>
      <c r="I2240" s="14" t="s">
        <v>6037</v>
      </c>
      <c r="J2240" s="14" t="s">
        <v>6012</v>
      </c>
      <c r="K2240" s="14" t="s">
        <v>6012</v>
      </c>
      <c r="L2240" s="14">
        <v>0.0</v>
      </c>
    </row>
    <row r="2241">
      <c r="A2241" s="14">
        <v>145.0</v>
      </c>
      <c r="B2241" s="14">
        <v>0.0</v>
      </c>
      <c r="C2241" s="34">
        <v>12.19</v>
      </c>
      <c r="D2241" s="36">
        <v>44968.0</v>
      </c>
      <c r="E2241" s="24"/>
      <c r="F2241" s="14" t="s">
        <v>6012</v>
      </c>
      <c r="G2241" s="14">
        <v>84.07</v>
      </c>
      <c r="H2241" s="14">
        <v>0.0</v>
      </c>
      <c r="I2241" s="14" t="s">
        <v>6035</v>
      </c>
      <c r="J2241" s="14" t="s">
        <v>6012</v>
      </c>
      <c r="K2241" s="14" t="s">
        <v>6012</v>
      </c>
      <c r="L2241" s="14">
        <v>0.0</v>
      </c>
    </row>
    <row r="2242">
      <c r="A2242" s="14">
        <v>291.0</v>
      </c>
      <c r="B2242" s="14">
        <v>5.0</v>
      </c>
      <c r="C2242" s="34">
        <v>25.61</v>
      </c>
      <c r="D2242" s="36">
        <v>44968.0</v>
      </c>
      <c r="E2242" s="24"/>
      <c r="F2242" s="14">
        <v>5.12</v>
      </c>
      <c r="G2242" s="14">
        <v>88.01</v>
      </c>
      <c r="H2242" s="14">
        <v>1.72</v>
      </c>
      <c r="I2242" s="14" t="s">
        <v>6052</v>
      </c>
      <c r="J2242" s="14">
        <v>0.0</v>
      </c>
      <c r="K2242" s="14" t="s">
        <v>6012</v>
      </c>
      <c r="L2242" s="14">
        <v>0.0</v>
      </c>
    </row>
    <row r="2243">
      <c r="A2243" s="14">
        <v>490.0</v>
      </c>
      <c r="B2243" s="14">
        <v>4.0</v>
      </c>
      <c r="C2243" s="34">
        <v>6.67</v>
      </c>
      <c r="D2243" s="36">
        <v>44968.0</v>
      </c>
      <c r="E2243" s="24"/>
      <c r="F2243" s="14">
        <v>1.67</v>
      </c>
      <c r="G2243" s="14">
        <v>13.61</v>
      </c>
      <c r="H2243" s="14">
        <v>0.82</v>
      </c>
      <c r="I2243" s="14" t="s">
        <v>6051</v>
      </c>
      <c r="J2243" s="14">
        <v>0.0</v>
      </c>
      <c r="K2243" s="14" t="s">
        <v>6012</v>
      </c>
      <c r="L2243" s="14">
        <v>0.0</v>
      </c>
    </row>
    <row r="2244">
      <c r="A2244" s="14">
        <v>329.0</v>
      </c>
      <c r="B2244" s="14">
        <v>1.0</v>
      </c>
      <c r="C2244" s="34">
        <v>24.9</v>
      </c>
      <c r="D2244" s="36">
        <v>44969.0</v>
      </c>
      <c r="E2244" s="24"/>
      <c r="F2244" s="14">
        <v>24.9</v>
      </c>
      <c r="G2244" s="14">
        <v>75.68</v>
      </c>
      <c r="H2244" s="14">
        <v>0.3</v>
      </c>
      <c r="I2244" s="14" t="s">
        <v>6052</v>
      </c>
      <c r="J2244" s="14">
        <v>0.0</v>
      </c>
      <c r="K2244" s="14" t="s">
        <v>6012</v>
      </c>
      <c r="L2244" s="14">
        <v>0.0</v>
      </c>
    </row>
    <row r="2245">
      <c r="A2245" s="14">
        <v>171.0</v>
      </c>
      <c r="B2245" s="14">
        <v>2.0</v>
      </c>
      <c r="C2245" s="34">
        <v>6.71</v>
      </c>
      <c r="D2245" s="36">
        <v>44969.0</v>
      </c>
      <c r="E2245" s="24"/>
      <c r="F2245" s="14">
        <v>3.36</v>
      </c>
      <c r="G2245" s="14">
        <v>39.24</v>
      </c>
      <c r="H2245" s="14">
        <v>1.17</v>
      </c>
      <c r="I2245" s="14" t="s">
        <v>6039</v>
      </c>
      <c r="J2245" s="14">
        <v>50.0</v>
      </c>
      <c r="K2245" s="14">
        <v>6.71</v>
      </c>
      <c r="L2245" s="14">
        <v>0.0</v>
      </c>
    </row>
    <row r="2246">
      <c r="A2246" s="14">
        <v>145.0</v>
      </c>
      <c r="B2246" s="14">
        <v>1.0</v>
      </c>
      <c r="C2246" s="34">
        <v>10.12</v>
      </c>
      <c r="D2246" s="36">
        <v>44969.0</v>
      </c>
      <c r="E2246" s="24"/>
      <c r="F2246" s="14">
        <v>10.12</v>
      </c>
      <c r="G2246" s="14">
        <v>69.79</v>
      </c>
      <c r="H2246" s="14">
        <v>0.69</v>
      </c>
      <c r="I2246" s="14" t="s">
        <v>6038</v>
      </c>
      <c r="J2246" s="14">
        <v>0.0</v>
      </c>
      <c r="K2246" s="14" t="s">
        <v>6012</v>
      </c>
      <c r="L2246" s="14">
        <v>0.0</v>
      </c>
    </row>
    <row r="2247">
      <c r="A2247" s="14">
        <v>566.0</v>
      </c>
      <c r="B2247" s="14">
        <v>8.0</v>
      </c>
      <c r="C2247" s="34">
        <v>6.44</v>
      </c>
      <c r="D2247" s="36">
        <v>44969.0</v>
      </c>
      <c r="E2247" s="24"/>
      <c r="F2247" s="14">
        <v>0.8</v>
      </c>
      <c r="G2247" s="14">
        <v>11.38</v>
      </c>
      <c r="H2247" s="14">
        <v>1.41</v>
      </c>
      <c r="I2247" s="14" t="s">
        <v>6037</v>
      </c>
      <c r="J2247" s="14">
        <v>0.0</v>
      </c>
      <c r="K2247" s="14" t="s">
        <v>6012</v>
      </c>
      <c r="L2247" s="14">
        <v>0.0</v>
      </c>
    </row>
    <row r="2248">
      <c r="A2248" s="14">
        <v>409.0</v>
      </c>
      <c r="B2248" s="14">
        <v>5.0</v>
      </c>
      <c r="C2248" s="34">
        <v>4.95</v>
      </c>
      <c r="D2248" s="36">
        <v>44969.0</v>
      </c>
      <c r="E2248" s="24"/>
      <c r="F2248" s="14">
        <v>0.99</v>
      </c>
      <c r="G2248" s="14">
        <v>12.1</v>
      </c>
      <c r="H2248" s="14">
        <v>1.22</v>
      </c>
      <c r="I2248" s="14" t="s">
        <v>6042</v>
      </c>
      <c r="J2248" s="14">
        <v>0.0</v>
      </c>
      <c r="K2248" s="14" t="s">
        <v>6012</v>
      </c>
      <c r="L2248" s="14">
        <v>0.0</v>
      </c>
    </row>
    <row r="2249">
      <c r="A2249" s="14">
        <v>133.0</v>
      </c>
      <c r="B2249" s="14">
        <v>1.0</v>
      </c>
      <c r="C2249" s="34">
        <v>9.44</v>
      </c>
      <c r="D2249" s="36">
        <v>44969.0</v>
      </c>
      <c r="E2249" s="24"/>
      <c r="F2249" s="14">
        <v>9.44</v>
      </c>
      <c r="G2249" s="14">
        <v>70.98</v>
      </c>
      <c r="H2249" s="14">
        <v>0.75</v>
      </c>
      <c r="I2249" s="14" t="s">
        <v>6035</v>
      </c>
      <c r="J2249" s="14">
        <v>0.0</v>
      </c>
      <c r="K2249" s="14" t="s">
        <v>6012</v>
      </c>
      <c r="L2249" s="14">
        <v>0.0</v>
      </c>
    </row>
    <row r="2250">
      <c r="A2250" s="14">
        <v>817.0</v>
      </c>
      <c r="B2250" s="14">
        <v>3.0</v>
      </c>
      <c r="C2250" s="34">
        <v>6.55</v>
      </c>
      <c r="D2250" s="36">
        <v>44969.0</v>
      </c>
      <c r="E2250" s="24"/>
      <c r="F2250" s="14">
        <v>2.18</v>
      </c>
      <c r="G2250" s="14">
        <v>8.02</v>
      </c>
      <c r="H2250" s="14">
        <v>0.37</v>
      </c>
      <c r="I2250" s="14" t="s">
        <v>6050</v>
      </c>
      <c r="J2250" s="14">
        <v>66.67</v>
      </c>
      <c r="K2250" s="14">
        <v>3.28</v>
      </c>
      <c r="L2250" s="14">
        <v>0.0</v>
      </c>
    </row>
    <row r="2251">
      <c r="A2251" s="14">
        <v>170.0</v>
      </c>
      <c r="B2251" s="14">
        <v>0.0</v>
      </c>
      <c r="C2251" s="34">
        <v>5.46</v>
      </c>
      <c r="D2251" s="36">
        <v>44969.0</v>
      </c>
      <c r="E2251" s="24"/>
      <c r="F2251" s="14" t="s">
        <v>6012</v>
      </c>
      <c r="G2251" s="14">
        <v>32.12</v>
      </c>
      <c r="H2251" s="14">
        <v>0.0</v>
      </c>
      <c r="I2251" s="14" t="s">
        <v>6051</v>
      </c>
      <c r="J2251" s="14" t="s">
        <v>6012</v>
      </c>
      <c r="K2251" s="14" t="s">
        <v>6012</v>
      </c>
      <c r="L2251" s="14">
        <v>0.0</v>
      </c>
    </row>
    <row r="2252">
      <c r="A2252" s="14">
        <v>231.0</v>
      </c>
      <c r="B2252" s="14">
        <v>3.0</v>
      </c>
      <c r="C2252" s="34">
        <v>17.24</v>
      </c>
      <c r="D2252" s="36">
        <v>44970.0</v>
      </c>
      <c r="E2252" s="24"/>
      <c r="F2252" s="14">
        <v>5.75</v>
      </c>
      <c r="G2252" s="14">
        <v>74.63</v>
      </c>
      <c r="H2252" s="14">
        <v>1.3</v>
      </c>
      <c r="I2252" s="14" t="s">
        <v>6038</v>
      </c>
      <c r="J2252" s="14">
        <v>33.33</v>
      </c>
      <c r="K2252" s="14">
        <v>17.24</v>
      </c>
      <c r="L2252" s="14">
        <v>0.0</v>
      </c>
    </row>
    <row r="2253">
      <c r="A2253" s="14">
        <v>459.0</v>
      </c>
      <c r="B2253" s="14">
        <v>5.0</v>
      </c>
      <c r="C2253" s="34">
        <v>35.61</v>
      </c>
      <c r="D2253" s="36">
        <v>44970.0</v>
      </c>
      <c r="E2253" s="24"/>
      <c r="F2253" s="14">
        <v>7.12</v>
      </c>
      <c r="G2253" s="14">
        <v>77.58</v>
      </c>
      <c r="H2253" s="14">
        <v>1.09</v>
      </c>
      <c r="I2253" s="14" t="s">
        <v>6052</v>
      </c>
      <c r="J2253" s="14">
        <v>20.0</v>
      </c>
      <c r="K2253" s="14">
        <v>35.61</v>
      </c>
      <c r="L2253" s="14">
        <v>1.0</v>
      </c>
    </row>
    <row r="2254">
      <c r="A2254" s="14">
        <v>509.0</v>
      </c>
      <c r="B2254" s="14">
        <v>4.0</v>
      </c>
      <c r="C2254" s="34">
        <v>12.89</v>
      </c>
      <c r="D2254" s="36">
        <v>44970.0</v>
      </c>
      <c r="E2254" s="24"/>
      <c r="F2254" s="14">
        <v>3.22</v>
      </c>
      <c r="G2254" s="14">
        <v>25.32</v>
      </c>
      <c r="H2254" s="14">
        <v>0.79</v>
      </c>
      <c r="I2254" s="14" t="s">
        <v>6039</v>
      </c>
      <c r="J2254" s="14">
        <v>0.0</v>
      </c>
      <c r="K2254" s="14" t="s">
        <v>6012</v>
      </c>
      <c r="L2254" s="14">
        <v>0.0</v>
      </c>
    </row>
    <row r="2255">
      <c r="A2255" s="14">
        <v>714.0</v>
      </c>
      <c r="B2255" s="14">
        <v>4.0</v>
      </c>
      <c r="C2255" s="34">
        <v>13.08</v>
      </c>
      <c r="D2255" s="36">
        <v>44970.0</v>
      </c>
      <c r="E2255" s="24"/>
      <c r="F2255" s="14">
        <v>3.27</v>
      </c>
      <c r="G2255" s="14">
        <v>18.32</v>
      </c>
      <c r="H2255" s="14">
        <v>0.56</v>
      </c>
      <c r="I2255" s="14" t="s">
        <v>6037</v>
      </c>
      <c r="J2255" s="14">
        <v>0.0</v>
      </c>
      <c r="K2255" s="14" t="s">
        <v>6012</v>
      </c>
      <c r="L2255" s="14">
        <v>0.0</v>
      </c>
    </row>
    <row r="2256">
      <c r="A2256" s="14">
        <v>895.0</v>
      </c>
      <c r="B2256" s="14">
        <v>3.0</v>
      </c>
      <c r="C2256" s="34">
        <v>13.8</v>
      </c>
      <c r="D2256" s="36">
        <v>44970.0</v>
      </c>
      <c r="E2256" s="24"/>
      <c r="F2256" s="14">
        <v>4.6</v>
      </c>
      <c r="G2256" s="14">
        <v>15.42</v>
      </c>
      <c r="H2256" s="14">
        <v>0.34</v>
      </c>
      <c r="I2256" s="14" t="s">
        <v>6042</v>
      </c>
      <c r="J2256" s="14">
        <v>0.0</v>
      </c>
      <c r="K2256" s="14" t="s">
        <v>6012</v>
      </c>
      <c r="L2256" s="14">
        <v>0.0</v>
      </c>
    </row>
    <row r="2257">
      <c r="A2257" s="14">
        <v>877.0</v>
      </c>
      <c r="B2257" s="14">
        <v>2.0</v>
      </c>
      <c r="C2257" s="34">
        <v>20.2</v>
      </c>
      <c r="D2257" s="36">
        <v>44970.0</v>
      </c>
      <c r="E2257" s="24"/>
      <c r="F2257" s="14">
        <v>10.1</v>
      </c>
      <c r="G2257" s="14">
        <v>23.03</v>
      </c>
      <c r="H2257" s="14">
        <v>0.23</v>
      </c>
      <c r="I2257" s="14" t="s">
        <v>6035</v>
      </c>
      <c r="J2257" s="14">
        <v>0.0</v>
      </c>
      <c r="K2257" s="14" t="s">
        <v>6012</v>
      </c>
      <c r="L2257" s="14">
        <v>0.0</v>
      </c>
    </row>
    <row r="2258">
      <c r="A2258" s="14">
        <v>1237.0</v>
      </c>
      <c r="B2258" s="14">
        <v>16.0</v>
      </c>
      <c r="C2258" s="34">
        <v>12.18</v>
      </c>
      <c r="D2258" s="36">
        <v>44970.0</v>
      </c>
      <c r="E2258" s="24"/>
      <c r="F2258" s="14">
        <v>0.76</v>
      </c>
      <c r="G2258" s="14">
        <v>9.85</v>
      </c>
      <c r="H2258" s="14">
        <v>1.29</v>
      </c>
      <c r="I2258" s="14" t="s">
        <v>6050</v>
      </c>
      <c r="J2258" s="14">
        <v>12.5</v>
      </c>
      <c r="K2258" s="14">
        <v>6.09</v>
      </c>
      <c r="L2258" s="14">
        <v>0.0</v>
      </c>
    </row>
    <row r="2259">
      <c r="A2259" s="14">
        <v>1093.0</v>
      </c>
      <c r="B2259" s="14">
        <v>12.0</v>
      </c>
      <c r="C2259" s="34">
        <v>10.8</v>
      </c>
      <c r="D2259" s="36">
        <v>44970.0</v>
      </c>
      <c r="E2259" s="24"/>
      <c r="F2259" s="14">
        <v>0.9</v>
      </c>
      <c r="G2259" s="14">
        <v>9.88</v>
      </c>
      <c r="H2259" s="14">
        <v>1.1</v>
      </c>
      <c r="I2259" s="14" t="s">
        <v>6051</v>
      </c>
      <c r="J2259" s="14">
        <v>0.0</v>
      </c>
      <c r="K2259" s="14" t="s">
        <v>6012</v>
      </c>
      <c r="L2259" s="14">
        <v>0.0</v>
      </c>
    </row>
    <row r="2260">
      <c r="A2260" s="14">
        <v>913.0</v>
      </c>
      <c r="B2260" s="14">
        <v>1.0</v>
      </c>
      <c r="C2260" s="34">
        <v>23.44</v>
      </c>
      <c r="D2260" s="36">
        <v>44971.0</v>
      </c>
      <c r="E2260" s="24"/>
      <c r="F2260" s="14">
        <v>23.44</v>
      </c>
      <c r="G2260" s="14">
        <v>25.67</v>
      </c>
      <c r="H2260" s="14">
        <v>0.11</v>
      </c>
      <c r="I2260" s="14" t="s">
        <v>6035</v>
      </c>
      <c r="J2260" s="14">
        <v>0.0</v>
      </c>
      <c r="K2260" s="14" t="s">
        <v>6012</v>
      </c>
      <c r="L2260" s="14">
        <v>0.0</v>
      </c>
    </row>
    <row r="2261">
      <c r="A2261" s="14">
        <v>835.0</v>
      </c>
      <c r="B2261" s="14">
        <v>0.0</v>
      </c>
      <c r="C2261" s="34">
        <v>14.15</v>
      </c>
      <c r="D2261" s="36">
        <v>44971.0</v>
      </c>
      <c r="E2261" s="24"/>
      <c r="F2261" s="14" t="s">
        <v>6012</v>
      </c>
      <c r="G2261" s="14">
        <v>16.95</v>
      </c>
      <c r="H2261" s="14">
        <v>0.0</v>
      </c>
      <c r="I2261" s="14" t="s">
        <v>6042</v>
      </c>
      <c r="J2261" s="14" t="s">
        <v>6012</v>
      </c>
      <c r="K2261" s="14">
        <v>14.15</v>
      </c>
      <c r="L2261" s="14">
        <v>0.0</v>
      </c>
    </row>
    <row r="2262">
      <c r="A2262" s="14">
        <v>420.0</v>
      </c>
      <c r="B2262" s="14">
        <v>4.0</v>
      </c>
      <c r="C2262" s="34">
        <v>33.98</v>
      </c>
      <c r="D2262" s="36">
        <v>44971.0</v>
      </c>
      <c r="E2262" s="24"/>
      <c r="F2262" s="14">
        <v>8.49</v>
      </c>
      <c r="G2262" s="14">
        <v>80.9</v>
      </c>
      <c r="H2262" s="14">
        <v>0.95</v>
      </c>
      <c r="I2262" s="14" t="s">
        <v>6052</v>
      </c>
      <c r="J2262" s="14">
        <v>0.0</v>
      </c>
      <c r="K2262" s="14" t="s">
        <v>6012</v>
      </c>
      <c r="L2262" s="14">
        <v>1.0</v>
      </c>
    </row>
    <row r="2263">
      <c r="A2263" s="14">
        <v>1229.0</v>
      </c>
      <c r="B2263" s="14">
        <v>6.0</v>
      </c>
      <c r="C2263" s="34">
        <v>11.53</v>
      </c>
      <c r="D2263" s="36">
        <v>44971.0</v>
      </c>
      <c r="E2263" s="24"/>
      <c r="F2263" s="14">
        <v>1.92</v>
      </c>
      <c r="G2263" s="14">
        <v>9.38</v>
      </c>
      <c r="H2263" s="14">
        <v>0.49</v>
      </c>
      <c r="I2263" s="14" t="s">
        <v>6050</v>
      </c>
      <c r="J2263" s="14">
        <v>0.0</v>
      </c>
      <c r="K2263" s="14" t="s">
        <v>6012</v>
      </c>
      <c r="L2263" s="14">
        <v>0.0</v>
      </c>
    </row>
    <row r="2264">
      <c r="A2264" s="14">
        <v>660.0</v>
      </c>
      <c r="B2264" s="14">
        <v>4.0</v>
      </c>
      <c r="C2264" s="34">
        <v>11.95</v>
      </c>
      <c r="D2264" s="36">
        <v>44971.0</v>
      </c>
      <c r="E2264" s="24"/>
      <c r="F2264" s="14">
        <v>2.99</v>
      </c>
      <c r="G2264" s="14">
        <v>18.11</v>
      </c>
      <c r="H2264" s="14">
        <v>0.61</v>
      </c>
      <c r="I2264" s="14" t="s">
        <v>6051</v>
      </c>
      <c r="J2264" s="14">
        <v>50.0</v>
      </c>
      <c r="K2264" s="14">
        <v>5.98</v>
      </c>
      <c r="L2264" s="14">
        <v>0.0</v>
      </c>
    </row>
    <row r="2265">
      <c r="A2265" s="14">
        <v>611.0</v>
      </c>
      <c r="B2265" s="14">
        <v>5.0</v>
      </c>
      <c r="C2265" s="34">
        <v>13.07</v>
      </c>
      <c r="D2265" s="36">
        <v>44971.0</v>
      </c>
      <c r="E2265" s="24"/>
      <c r="F2265" s="14">
        <v>2.61</v>
      </c>
      <c r="G2265" s="14">
        <v>21.39</v>
      </c>
      <c r="H2265" s="14">
        <v>0.82</v>
      </c>
      <c r="I2265" s="14" t="s">
        <v>6037</v>
      </c>
      <c r="J2265" s="14">
        <v>40.0</v>
      </c>
      <c r="K2265" s="14">
        <v>6.54</v>
      </c>
      <c r="L2265" s="14">
        <v>0.0</v>
      </c>
    </row>
    <row r="2266">
      <c r="A2266" s="14">
        <v>520.0</v>
      </c>
      <c r="B2266" s="14">
        <v>3.0</v>
      </c>
      <c r="C2266" s="34">
        <v>19.78</v>
      </c>
      <c r="D2266" s="36">
        <v>44971.0</v>
      </c>
      <c r="E2266" s="24"/>
      <c r="F2266" s="14">
        <v>6.59</v>
      </c>
      <c r="G2266" s="14">
        <v>38.04</v>
      </c>
      <c r="H2266" s="14">
        <v>0.58</v>
      </c>
      <c r="I2266" s="14" t="s">
        <v>6038</v>
      </c>
      <c r="J2266" s="14">
        <v>33.33</v>
      </c>
      <c r="K2266" s="14">
        <v>19.78</v>
      </c>
      <c r="L2266" s="14">
        <v>0.0</v>
      </c>
    </row>
    <row r="2267">
      <c r="A2267" s="14">
        <v>548.0</v>
      </c>
      <c r="B2267" s="14">
        <v>3.0</v>
      </c>
      <c r="C2267" s="34">
        <v>13.31</v>
      </c>
      <c r="D2267" s="36">
        <v>44971.0</v>
      </c>
      <c r="E2267" s="24"/>
      <c r="F2267" s="14">
        <v>4.44</v>
      </c>
      <c r="G2267" s="14">
        <v>24.29</v>
      </c>
      <c r="H2267" s="14">
        <v>0.55</v>
      </c>
      <c r="I2267" s="14" t="s">
        <v>6039</v>
      </c>
      <c r="J2267" s="14">
        <v>33.33</v>
      </c>
      <c r="K2267" s="14">
        <v>13.31</v>
      </c>
      <c r="L2267" s="14">
        <v>0.0</v>
      </c>
    </row>
    <row r="2268">
      <c r="A2268" s="14">
        <v>900.0</v>
      </c>
      <c r="B2268" s="14">
        <v>11.0</v>
      </c>
      <c r="C2268" s="34">
        <v>13.19</v>
      </c>
      <c r="D2268" s="36">
        <v>44972.0</v>
      </c>
      <c r="E2268" s="24"/>
      <c r="F2268" s="14">
        <v>1.2</v>
      </c>
      <c r="G2268" s="14">
        <v>14.66</v>
      </c>
      <c r="H2268" s="14">
        <v>1.22</v>
      </c>
      <c r="I2268" s="14" t="s">
        <v>6037</v>
      </c>
      <c r="J2268" s="14">
        <v>9.09</v>
      </c>
      <c r="K2268" s="14">
        <v>13.19</v>
      </c>
      <c r="L2268" s="14">
        <v>0.0</v>
      </c>
    </row>
    <row r="2269">
      <c r="A2269" s="14">
        <v>1009.0</v>
      </c>
      <c r="B2269" s="14">
        <v>5.0</v>
      </c>
      <c r="C2269" s="34">
        <v>13.61</v>
      </c>
      <c r="D2269" s="36">
        <v>44972.0</v>
      </c>
      <c r="E2269" s="24"/>
      <c r="F2269" s="14">
        <v>2.72</v>
      </c>
      <c r="G2269" s="14">
        <v>13.49</v>
      </c>
      <c r="H2269" s="14">
        <v>0.5</v>
      </c>
      <c r="I2269" s="14" t="s">
        <v>6042</v>
      </c>
      <c r="J2269" s="14">
        <v>60.0</v>
      </c>
      <c r="K2269" s="14">
        <v>4.54</v>
      </c>
      <c r="L2269" s="14">
        <v>0.0</v>
      </c>
    </row>
    <row r="2270">
      <c r="A2270" s="14">
        <v>1048.0</v>
      </c>
      <c r="B2270" s="14">
        <v>7.0</v>
      </c>
      <c r="C2270" s="34">
        <v>34.22</v>
      </c>
      <c r="D2270" s="36">
        <v>44972.0</v>
      </c>
      <c r="E2270" s="24"/>
      <c r="F2270" s="14">
        <v>4.89</v>
      </c>
      <c r="G2270" s="14">
        <v>32.65</v>
      </c>
      <c r="H2270" s="14">
        <v>0.67</v>
      </c>
      <c r="I2270" s="14" t="s">
        <v>6052</v>
      </c>
      <c r="J2270" s="14">
        <v>14.29</v>
      </c>
      <c r="K2270" s="14">
        <v>34.22</v>
      </c>
      <c r="L2270" s="14">
        <v>0.0</v>
      </c>
    </row>
    <row r="2271">
      <c r="A2271" s="14">
        <v>990.0</v>
      </c>
      <c r="B2271" s="14">
        <v>4.0</v>
      </c>
      <c r="C2271" s="34">
        <v>23.41</v>
      </c>
      <c r="D2271" s="36">
        <v>44972.0</v>
      </c>
      <c r="E2271" s="24"/>
      <c r="F2271" s="14">
        <v>5.85</v>
      </c>
      <c r="G2271" s="14">
        <v>23.65</v>
      </c>
      <c r="H2271" s="14">
        <v>0.4</v>
      </c>
      <c r="I2271" s="14" t="s">
        <v>6035</v>
      </c>
      <c r="J2271" s="14">
        <v>0.0</v>
      </c>
      <c r="K2271" s="14" t="s">
        <v>6012</v>
      </c>
      <c r="L2271" s="14">
        <v>0.0</v>
      </c>
    </row>
    <row r="2272">
      <c r="A2272" s="14">
        <v>1208.0</v>
      </c>
      <c r="B2272" s="14">
        <v>7.0</v>
      </c>
      <c r="C2272" s="34">
        <v>11.12</v>
      </c>
      <c r="D2272" s="36">
        <v>44972.0</v>
      </c>
      <c r="E2272" s="24"/>
      <c r="F2272" s="14">
        <v>1.59</v>
      </c>
      <c r="G2272" s="14">
        <v>9.21</v>
      </c>
      <c r="H2272" s="14">
        <v>0.58</v>
      </c>
      <c r="I2272" s="14" t="s">
        <v>6050</v>
      </c>
      <c r="J2272" s="14">
        <v>28.57</v>
      </c>
      <c r="K2272" s="14">
        <v>5.56</v>
      </c>
      <c r="L2272" s="14">
        <v>0.0</v>
      </c>
    </row>
    <row r="2273">
      <c r="A2273" s="14">
        <v>513.0</v>
      </c>
      <c r="B2273" s="14">
        <v>1.0</v>
      </c>
      <c r="C2273" s="34">
        <v>19.96</v>
      </c>
      <c r="D2273" s="36">
        <v>44972.0</v>
      </c>
      <c r="E2273" s="24"/>
      <c r="F2273" s="14">
        <v>19.96</v>
      </c>
      <c r="G2273" s="14">
        <v>38.91</v>
      </c>
      <c r="H2273" s="14">
        <v>0.19</v>
      </c>
      <c r="I2273" s="14" t="s">
        <v>6038</v>
      </c>
      <c r="J2273" s="14">
        <v>0.0</v>
      </c>
      <c r="K2273" s="14" t="s">
        <v>6012</v>
      </c>
      <c r="L2273" s="14">
        <v>0.0</v>
      </c>
    </row>
    <row r="2274">
      <c r="A2274" s="14">
        <v>597.0</v>
      </c>
      <c r="B2274" s="14">
        <v>4.0</v>
      </c>
      <c r="C2274" s="34">
        <v>12.1</v>
      </c>
      <c r="D2274" s="36">
        <v>44972.0</v>
      </c>
      <c r="E2274" s="24"/>
      <c r="F2274" s="14">
        <v>3.02</v>
      </c>
      <c r="G2274" s="14">
        <v>20.27</v>
      </c>
      <c r="H2274" s="14">
        <v>0.67</v>
      </c>
      <c r="I2274" s="14" t="s">
        <v>6051</v>
      </c>
      <c r="J2274" s="14">
        <v>50.0</v>
      </c>
      <c r="K2274" s="14">
        <v>6.05</v>
      </c>
      <c r="L2274" s="14">
        <v>0.0</v>
      </c>
    </row>
    <row r="2275">
      <c r="A2275" s="14">
        <v>470.0</v>
      </c>
      <c r="B2275" s="14">
        <v>4.0</v>
      </c>
      <c r="C2275" s="34">
        <v>13.32</v>
      </c>
      <c r="D2275" s="36">
        <v>44972.0</v>
      </c>
      <c r="E2275" s="24"/>
      <c r="F2275" s="14">
        <v>3.33</v>
      </c>
      <c r="G2275" s="14">
        <v>28.34</v>
      </c>
      <c r="H2275" s="14">
        <v>0.85</v>
      </c>
      <c r="I2275" s="14" t="s">
        <v>6039</v>
      </c>
      <c r="J2275" s="14">
        <v>25.0</v>
      </c>
      <c r="K2275" s="14">
        <v>13.32</v>
      </c>
      <c r="L2275" s="14">
        <v>0.0</v>
      </c>
    </row>
    <row r="2276">
      <c r="A2276" s="14">
        <v>754.0</v>
      </c>
      <c r="B2276" s="14">
        <v>7.0</v>
      </c>
      <c r="C2276" s="34">
        <v>12.65</v>
      </c>
      <c r="D2276" s="36">
        <v>44973.0</v>
      </c>
      <c r="E2276" s="24"/>
      <c r="F2276" s="14">
        <v>1.81</v>
      </c>
      <c r="G2276" s="14">
        <v>16.78</v>
      </c>
      <c r="H2276" s="14">
        <v>0.93</v>
      </c>
      <c r="I2276" s="14" t="s">
        <v>6042</v>
      </c>
      <c r="J2276" s="14">
        <v>57.14</v>
      </c>
      <c r="K2276" s="14">
        <v>3.16</v>
      </c>
      <c r="L2276" s="14">
        <v>0.0</v>
      </c>
    </row>
    <row r="2277">
      <c r="A2277" s="14">
        <v>517.0</v>
      </c>
      <c r="B2277" s="14">
        <v>2.0</v>
      </c>
      <c r="C2277" s="34">
        <v>12.66</v>
      </c>
      <c r="D2277" s="36">
        <v>44973.0</v>
      </c>
      <c r="E2277" s="24"/>
      <c r="F2277" s="14">
        <v>6.33</v>
      </c>
      <c r="G2277" s="14">
        <v>24.49</v>
      </c>
      <c r="H2277" s="14">
        <v>0.39</v>
      </c>
      <c r="I2277" s="14" t="s">
        <v>6039</v>
      </c>
      <c r="J2277" s="14">
        <v>50.0</v>
      </c>
      <c r="K2277" s="14">
        <v>12.66</v>
      </c>
      <c r="L2277" s="14">
        <v>0.0</v>
      </c>
    </row>
    <row r="2278">
      <c r="A2278" s="14">
        <v>407.0</v>
      </c>
      <c r="B2278" s="14">
        <v>0.0</v>
      </c>
      <c r="C2278" s="34">
        <v>20.47</v>
      </c>
      <c r="D2278" s="36">
        <v>44973.0</v>
      </c>
      <c r="E2278" s="24"/>
      <c r="F2278" s="14" t="s">
        <v>6012</v>
      </c>
      <c r="G2278" s="14">
        <v>50.29</v>
      </c>
      <c r="H2278" s="14">
        <v>0.0</v>
      </c>
      <c r="I2278" s="14" t="s">
        <v>6038</v>
      </c>
      <c r="J2278" s="14" t="s">
        <v>6012</v>
      </c>
      <c r="K2278" s="14">
        <v>20.47</v>
      </c>
      <c r="L2278" s="14">
        <v>0.0</v>
      </c>
    </row>
    <row r="2279">
      <c r="A2279" s="14">
        <v>803.0</v>
      </c>
      <c r="B2279" s="14">
        <v>2.0</v>
      </c>
      <c r="C2279" s="34">
        <v>23.03</v>
      </c>
      <c r="D2279" s="36">
        <v>44973.0</v>
      </c>
      <c r="E2279" s="24"/>
      <c r="F2279" s="14">
        <v>11.52</v>
      </c>
      <c r="G2279" s="14">
        <v>28.68</v>
      </c>
      <c r="H2279" s="14">
        <v>0.25</v>
      </c>
      <c r="I2279" s="14" t="s">
        <v>6035</v>
      </c>
      <c r="J2279" s="14">
        <v>50.0</v>
      </c>
      <c r="K2279" s="14">
        <v>23.03</v>
      </c>
      <c r="L2279" s="14">
        <v>0.0</v>
      </c>
    </row>
    <row r="2280">
      <c r="A2280" s="14">
        <v>1035.0</v>
      </c>
      <c r="B2280" s="14">
        <v>5.0</v>
      </c>
      <c r="C2280" s="34">
        <v>11.47</v>
      </c>
      <c r="D2280" s="36">
        <v>44973.0</v>
      </c>
      <c r="E2280" s="24"/>
      <c r="F2280" s="14">
        <v>2.29</v>
      </c>
      <c r="G2280" s="14">
        <v>11.08</v>
      </c>
      <c r="H2280" s="14">
        <v>0.48</v>
      </c>
      <c r="I2280" s="14" t="s">
        <v>6050</v>
      </c>
      <c r="J2280" s="14">
        <v>20.0</v>
      </c>
      <c r="K2280" s="14">
        <v>11.47</v>
      </c>
      <c r="L2280" s="14">
        <v>0.0</v>
      </c>
    </row>
    <row r="2281">
      <c r="A2281" s="14">
        <v>518.0</v>
      </c>
      <c r="B2281" s="14">
        <v>2.0</v>
      </c>
      <c r="C2281" s="34">
        <v>12.31</v>
      </c>
      <c r="D2281" s="36">
        <v>44973.0</v>
      </c>
      <c r="E2281" s="24"/>
      <c r="F2281" s="14">
        <v>6.16</v>
      </c>
      <c r="G2281" s="14">
        <v>23.76</v>
      </c>
      <c r="H2281" s="14">
        <v>0.39</v>
      </c>
      <c r="I2281" s="14" t="s">
        <v>6051</v>
      </c>
      <c r="J2281" s="14">
        <v>50.0</v>
      </c>
      <c r="K2281" s="14">
        <v>12.31</v>
      </c>
      <c r="L2281" s="14">
        <v>0.0</v>
      </c>
    </row>
    <row r="2282">
      <c r="A2282" s="14">
        <v>1740.0</v>
      </c>
      <c r="B2282" s="14">
        <v>14.0</v>
      </c>
      <c r="C2282" s="34">
        <v>33.26</v>
      </c>
      <c r="D2282" s="36">
        <v>44973.0</v>
      </c>
      <c r="E2282" s="24"/>
      <c r="F2282" s="14">
        <v>2.38</v>
      </c>
      <c r="G2282" s="14">
        <v>19.11</v>
      </c>
      <c r="H2282" s="14">
        <v>0.8</v>
      </c>
      <c r="I2282" s="14" t="s">
        <v>6052</v>
      </c>
      <c r="J2282" s="14">
        <v>0.0</v>
      </c>
      <c r="K2282" s="14" t="s">
        <v>6012</v>
      </c>
      <c r="L2282" s="14">
        <v>0.0</v>
      </c>
    </row>
    <row r="2283">
      <c r="A2283" s="14">
        <v>969.0</v>
      </c>
      <c r="B2283" s="14">
        <v>12.0</v>
      </c>
      <c r="C2283" s="34">
        <v>12.83</v>
      </c>
      <c r="D2283" s="36">
        <v>44973.0</v>
      </c>
      <c r="E2283" s="24"/>
      <c r="F2283" s="14">
        <v>1.07</v>
      </c>
      <c r="G2283" s="14">
        <v>13.24</v>
      </c>
      <c r="H2283" s="14">
        <v>1.24</v>
      </c>
      <c r="I2283" s="14" t="s">
        <v>6037</v>
      </c>
      <c r="J2283" s="14">
        <v>0.0</v>
      </c>
      <c r="K2283" s="14" t="s">
        <v>6012</v>
      </c>
      <c r="L2283" s="14">
        <v>0.0</v>
      </c>
    </row>
    <row r="2284">
      <c r="A2284" s="14">
        <v>776.0</v>
      </c>
      <c r="B2284" s="14">
        <v>4.0</v>
      </c>
      <c r="C2284" s="34">
        <v>12.49</v>
      </c>
      <c r="D2284" s="36">
        <v>44974.0</v>
      </c>
      <c r="E2284" s="24"/>
      <c r="F2284" s="14">
        <v>3.12</v>
      </c>
      <c r="G2284" s="14">
        <v>16.1</v>
      </c>
      <c r="H2284" s="14">
        <v>0.52</v>
      </c>
      <c r="I2284" s="14" t="s">
        <v>6042</v>
      </c>
      <c r="J2284" s="14">
        <v>25.0</v>
      </c>
      <c r="K2284" s="14">
        <v>12.49</v>
      </c>
      <c r="L2284" s="14">
        <v>0.0</v>
      </c>
    </row>
    <row r="2285">
      <c r="A2285" s="14">
        <v>1721.0</v>
      </c>
      <c r="B2285" s="14">
        <v>12.0</v>
      </c>
      <c r="C2285" s="34">
        <v>34.13</v>
      </c>
      <c r="D2285" s="36">
        <v>44974.0</v>
      </c>
      <c r="E2285" s="24"/>
      <c r="F2285" s="14">
        <v>2.84</v>
      </c>
      <c r="G2285" s="14">
        <v>19.83</v>
      </c>
      <c r="H2285" s="14">
        <v>0.7</v>
      </c>
      <c r="I2285" s="14" t="s">
        <v>6052</v>
      </c>
      <c r="J2285" s="14">
        <v>0.0</v>
      </c>
      <c r="K2285" s="14" t="s">
        <v>6012</v>
      </c>
      <c r="L2285" s="14">
        <v>0.0</v>
      </c>
    </row>
    <row r="2286">
      <c r="A2286" s="14">
        <v>506.0</v>
      </c>
      <c r="B2286" s="14">
        <v>1.0</v>
      </c>
      <c r="C2286" s="34">
        <v>11.3</v>
      </c>
      <c r="D2286" s="36">
        <v>44974.0</v>
      </c>
      <c r="E2286" s="24"/>
      <c r="F2286" s="14">
        <v>11.3</v>
      </c>
      <c r="G2286" s="14">
        <v>22.33</v>
      </c>
      <c r="H2286" s="14">
        <v>0.2</v>
      </c>
      <c r="I2286" s="14" t="s">
        <v>6051</v>
      </c>
      <c r="J2286" s="14">
        <v>0.0</v>
      </c>
      <c r="K2286" s="14" t="s">
        <v>6012</v>
      </c>
      <c r="L2286" s="14">
        <v>0.0</v>
      </c>
    </row>
    <row r="2287">
      <c r="A2287" s="14">
        <v>738.0</v>
      </c>
      <c r="B2287" s="14">
        <v>6.0</v>
      </c>
      <c r="C2287" s="34">
        <v>22.17</v>
      </c>
      <c r="D2287" s="36">
        <v>44974.0</v>
      </c>
      <c r="E2287" s="24"/>
      <c r="F2287" s="14">
        <v>3.7</v>
      </c>
      <c r="G2287" s="14">
        <v>30.04</v>
      </c>
      <c r="H2287" s="14">
        <v>0.81</v>
      </c>
      <c r="I2287" s="14" t="s">
        <v>6035</v>
      </c>
      <c r="J2287" s="14">
        <v>0.0</v>
      </c>
      <c r="K2287" s="14" t="s">
        <v>6012</v>
      </c>
      <c r="L2287" s="14">
        <v>0.0</v>
      </c>
    </row>
    <row r="2288">
      <c r="A2288" s="14">
        <v>197.0</v>
      </c>
      <c r="B2288" s="14">
        <v>0.0</v>
      </c>
      <c r="C2288" s="34">
        <v>11.85</v>
      </c>
      <c r="D2288" s="36">
        <v>44974.0</v>
      </c>
      <c r="E2288" s="24"/>
      <c r="F2288" s="14" t="s">
        <v>6012</v>
      </c>
      <c r="G2288" s="14">
        <v>60.15</v>
      </c>
      <c r="H2288" s="14">
        <v>0.0</v>
      </c>
      <c r="I2288" s="14" t="s">
        <v>6039</v>
      </c>
      <c r="J2288" s="14" t="s">
        <v>6012</v>
      </c>
      <c r="K2288" s="14">
        <v>5.92</v>
      </c>
      <c r="L2288" s="14">
        <v>0.0</v>
      </c>
    </row>
    <row r="2289">
      <c r="A2289" s="14">
        <v>388.0</v>
      </c>
      <c r="B2289" s="14">
        <v>4.0</v>
      </c>
      <c r="C2289" s="34">
        <v>19.31</v>
      </c>
      <c r="D2289" s="36">
        <v>44974.0</v>
      </c>
      <c r="E2289" s="24"/>
      <c r="F2289" s="14">
        <v>4.83</v>
      </c>
      <c r="G2289" s="14">
        <v>49.77</v>
      </c>
      <c r="H2289" s="14">
        <v>1.03</v>
      </c>
      <c r="I2289" s="14" t="s">
        <v>6038</v>
      </c>
      <c r="J2289" s="14">
        <v>0.0</v>
      </c>
      <c r="K2289" s="14" t="s">
        <v>6012</v>
      </c>
      <c r="L2289" s="14">
        <v>0.0</v>
      </c>
    </row>
    <row r="2290">
      <c r="A2290" s="14">
        <v>1217.0</v>
      </c>
      <c r="B2290" s="14">
        <v>6.0</v>
      </c>
      <c r="C2290" s="34">
        <v>10.63</v>
      </c>
      <c r="D2290" s="36">
        <v>44974.0</v>
      </c>
      <c r="E2290" s="24"/>
      <c r="F2290" s="14">
        <v>1.77</v>
      </c>
      <c r="G2290" s="14">
        <v>8.73</v>
      </c>
      <c r="H2290" s="14">
        <v>0.49</v>
      </c>
      <c r="I2290" s="14" t="s">
        <v>6050</v>
      </c>
      <c r="J2290" s="14">
        <v>16.67</v>
      </c>
      <c r="K2290" s="14">
        <v>10.63</v>
      </c>
      <c r="L2290" s="14">
        <v>0.0</v>
      </c>
    </row>
    <row r="2291">
      <c r="A2291" s="14">
        <v>397.0</v>
      </c>
      <c r="B2291" s="14">
        <v>11.0</v>
      </c>
      <c r="C2291" s="34">
        <v>12.08</v>
      </c>
      <c r="D2291" s="36">
        <v>44974.0</v>
      </c>
      <c r="E2291" s="24"/>
      <c r="F2291" s="14">
        <v>1.1</v>
      </c>
      <c r="G2291" s="14">
        <v>30.43</v>
      </c>
      <c r="H2291" s="14">
        <v>2.77</v>
      </c>
      <c r="I2291" s="14" t="s">
        <v>6037</v>
      </c>
      <c r="J2291" s="14">
        <v>9.09</v>
      </c>
      <c r="K2291" s="14">
        <v>12.08</v>
      </c>
      <c r="L2291" s="14">
        <v>0.0</v>
      </c>
    </row>
    <row r="2292">
      <c r="A2292" s="14">
        <v>456.0</v>
      </c>
      <c r="B2292" s="14">
        <v>3.0</v>
      </c>
      <c r="C2292" s="34">
        <v>5.84</v>
      </c>
      <c r="D2292" s="36">
        <v>44975.0</v>
      </c>
      <c r="E2292" s="24"/>
      <c r="F2292" s="14">
        <v>1.95</v>
      </c>
      <c r="G2292" s="14">
        <v>12.81</v>
      </c>
      <c r="H2292" s="14">
        <v>0.66</v>
      </c>
      <c r="I2292" s="14" t="s">
        <v>6042</v>
      </c>
      <c r="J2292" s="14">
        <v>0.0</v>
      </c>
      <c r="K2292" s="14" t="s">
        <v>6012</v>
      </c>
      <c r="L2292" s="14">
        <v>0.0</v>
      </c>
    </row>
    <row r="2293">
      <c r="A2293" s="14">
        <v>190.0</v>
      </c>
      <c r="B2293" s="14">
        <v>1.0</v>
      </c>
      <c r="C2293" s="34">
        <v>11.42</v>
      </c>
      <c r="D2293" s="36">
        <v>44975.0</v>
      </c>
      <c r="E2293" s="24"/>
      <c r="F2293" s="14">
        <v>11.42</v>
      </c>
      <c r="G2293" s="14">
        <v>60.11</v>
      </c>
      <c r="H2293" s="14">
        <v>0.53</v>
      </c>
      <c r="I2293" s="14" t="s">
        <v>6035</v>
      </c>
      <c r="J2293" s="14">
        <v>0.0</v>
      </c>
      <c r="K2293" s="14" t="s">
        <v>6012</v>
      </c>
      <c r="L2293" s="14">
        <v>0.0</v>
      </c>
    </row>
    <row r="2294">
      <c r="A2294" s="14">
        <v>274.0</v>
      </c>
      <c r="B2294" s="14">
        <v>6.0</v>
      </c>
      <c r="C2294" s="34">
        <v>6.47</v>
      </c>
      <c r="D2294" s="36">
        <v>44975.0</v>
      </c>
      <c r="E2294" s="24"/>
      <c r="F2294" s="14">
        <v>1.08</v>
      </c>
      <c r="G2294" s="14">
        <v>23.61</v>
      </c>
      <c r="H2294" s="14">
        <v>2.19</v>
      </c>
      <c r="I2294" s="14" t="s">
        <v>6037</v>
      </c>
      <c r="J2294" s="14">
        <v>0.0</v>
      </c>
      <c r="K2294" s="14" t="s">
        <v>6012</v>
      </c>
      <c r="L2294" s="14">
        <v>0.0</v>
      </c>
    </row>
    <row r="2295">
      <c r="A2295" s="14">
        <v>252.0</v>
      </c>
      <c r="B2295" s="14">
        <v>1.0</v>
      </c>
      <c r="C2295" s="34">
        <v>6.43</v>
      </c>
      <c r="D2295" s="36">
        <v>44975.0</v>
      </c>
      <c r="E2295" s="24"/>
      <c r="F2295" s="14">
        <v>6.43</v>
      </c>
      <c r="G2295" s="14">
        <v>25.52</v>
      </c>
      <c r="H2295" s="14">
        <v>0.4</v>
      </c>
      <c r="I2295" s="14" t="s">
        <v>6051</v>
      </c>
      <c r="J2295" s="14">
        <v>0.0</v>
      </c>
      <c r="K2295" s="14" t="s">
        <v>6012</v>
      </c>
      <c r="L2295" s="14">
        <v>0.0</v>
      </c>
    </row>
    <row r="2296">
      <c r="A2296" s="14">
        <v>1471.0</v>
      </c>
      <c r="B2296" s="14">
        <v>5.0</v>
      </c>
      <c r="C2296" s="34">
        <v>25.98</v>
      </c>
      <c r="D2296" s="36">
        <v>44975.0</v>
      </c>
      <c r="E2296" s="24"/>
      <c r="F2296" s="14">
        <v>5.2</v>
      </c>
      <c r="G2296" s="14">
        <v>17.66</v>
      </c>
      <c r="H2296" s="14">
        <v>0.34</v>
      </c>
      <c r="I2296" s="14" t="s">
        <v>6052</v>
      </c>
      <c r="J2296" s="14">
        <v>0.0</v>
      </c>
      <c r="K2296" s="14" t="s">
        <v>6012</v>
      </c>
      <c r="L2296" s="14">
        <v>0.0</v>
      </c>
    </row>
    <row r="2297">
      <c r="A2297" s="14">
        <v>145.0</v>
      </c>
      <c r="B2297" s="14">
        <v>0.0</v>
      </c>
      <c r="C2297" s="34">
        <v>10.03</v>
      </c>
      <c r="D2297" s="36">
        <v>44975.0</v>
      </c>
      <c r="E2297" s="24"/>
      <c r="F2297" s="14" t="s">
        <v>6012</v>
      </c>
      <c r="G2297" s="14">
        <v>69.17</v>
      </c>
      <c r="H2297" s="14">
        <v>0.0</v>
      </c>
      <c r="I2297" s="14" t="s">
        <v>6038</v>
      </c>
      <c r="J2297" s="14" t="s">
        <v>6012</v>
      </c>
      <c r="K2297" s="14" t="s">
        <v>6012</v>
      </c>
      <c r="L2297" s="14">
        <v>0.0</v>
      </c>
    </row>
    <row r="2298">
      <c r="A2298" s="14">
        <v>77.0</v>
      </c>
      <c r="B2298" s="14">
        <v>0.0</v>
      </c>
      <c r="C2298" s="34">
        <v>6.86</v>
      </c>
      <c r="D2298" s="36">
        <v>44975.0</v>
      </c>
      <c r="E2298" s="24"/>
      <c r="F2298" s="14" t="s">
        <v>6012</v>
      </c>
      <c r="G2298" s="14">
        <v>89.09</v>
      </c>
      <c r="H2298" s="14">
        <v>0.0</v>
      </c>
      <c r="I2298" s="14" t="s">
        <v>6039</v>
      </c>
      <c r="J2298" s="14" t="s">
        <v>6012</v>
      </c>
      <c r="K2298" s="14" t="s">
        <v>6012</v>
      </c>
      <c r="L2298" s="14">
        <v>0.0</v>
      </c>
    </row>
    <row r="2299">
      <c r="A2299" s="14">
        <v>988.0</v>
      </c>
      <c r="B2299" s="14">
        <v>6.0</v>
      </c>
      <c r="C2299" s="34">
        <v>6.81</v>
      </c>
      <c r="D2299" s="36">
        <v>44975.0</v>
      </c>
      <c r="E2299" s="24"/>
      <c r="F2299" s="14">
        <v>1.14</v>
      </c>
      <c r="G2299" s="14">
        <v>6.89</v>
      </c>
      <c r="H2299" s="14">
        <v>0.61</v>
      </c>
      <c r="I2299" s="14" t="s">
        <v>6050</v>
      </c>
      <c r="J2299" s="14">
        <v>0.0</v>
      </c>
      <c r="K2299" s="14" t="s">
        <v>6012</v>
      </c>
      <c r="L2299" s="14">
        <v>0.0</v>
      </c>
    </row>
    <row r="2300">
      <c r="A2300" s="14">
        <v>817.0</v>
      </c>
      <c r="B2300" s="14">
        <v>1.0</v>
      </c>
      <c r="C2300" s="34">
        <v>6.26</v>
      </c>
      <c r="D2300" s="36">
        <v>44976.0</v>
      </c>
      <c r="E2300" s="24"/>
      <c r="F2300" s="14">
        <v>6.26</v>
      </c>
      <c r="G2300" s="14">
        <v>7.66</v>
      </c>
      <c r="H2300" s="14">
        <v>0.12</v>
      </c>
      <c r="I2300" s="14" t="s">
        <v>6050</v>
      </c>
      <c r="J2300" s="14">
        <v>0.0</v>
      </c>
      <c r="K2300" s="14" t="s">
        <v>6012</v>
      </c>
      <c r="L2300" s="14">
        <v>0.0</v>
      </c>
    </row>
    <row r="2301">
      <c r="A2301" s="14">
        <v>430.0</v>
      </c>
      <c r="B2301" s="14">
        <v>2.0</v>
      </c>
      <c r="C2301" s="34">
        <v>4.46</v>
      </c>
      <c r="D2301" s="36">
        <v>44976.0</v>
      </c>
      <c r="E2301" s="24"/>
      <c r="F2301" s="14">
        <v>2.23</v>
      </c>
      <c r="G2301" s="14">
        <v>10.37</v>
      </c>
      <c r="H2301" s="14">
        <v>0.47</v>
      </c>
      <c r="I2301" s="14" t="s">
        <v>6042</v>
      </c>
      <c r="J2301" s="14">
        <v>50.0</v>
      </c>
      <c r="K2301" s="14">
        <v>4.46</v>
      </c>
      <c r="L2301" s="14">
        <v>0.0</v>
      </c>
    </row>
    <row r="2302">
      <c r="A2302" s="14">
        <v>41.0</v>
      </c>
      <c r="B2302" s="14">
        <v>0.0</v>
      </c>
      <c r="C2302" s="34">
        <v>8.71</v>
      </c>
      <c r="D2302" s="36">
        <v>44976.0</v>
      </c>
      <c r="E2302" s="24"/>
      <c r="F2302" s="14" t="s">
        <v>6012</v>
      </c>
      <c r="G2302" s="14">
        <v>212.44</v>
      </c>
      <c r="H2302" s="14">
        <v>0.0</v>
      </c>
      <c r="I2302" s="14" t="s">
        <v>6038</v>
      </c>
      <c r="J2302" s="14" t="s">
        <v>6012</v>
      </c>
      <c r="K2302" s="14" t="s">
        <v>6012</v>
      </c>
      <c r="L2302" s="14">
        <v>0.0</v>
      </c>
    </row>
    <row r="2303">
      <c r="A2303" s="14">
        <v>141.0</v>
      </c>
      <c r="B2303" s="14">
        <v>0.0</v>
      </c>
      <c r="C2303" s="34">
        <v>6.11</v>
      </c>
      <c r="D2303" s="36">
        <v>44976.0</v>
      </c>
      <c r="E2303" s="24"/>
      <c r="F2303" s="14" t="s">
        <v>6012</v>
      </c>
      <c r="G2303" s="14">
        <v>43.33</v>
      </c>
      <c r="H2303" s="14">
        <v>0.0</v>
      </c>
      <c r="I2303" s="14" t="s">
        <v>6039</v>
      </c>
      <c r="J2303" s="14" t="s">
        <v>6012</v>
      </c>
      <c r="K2303" s="14" t="s">
        <v>6012</v>
      </c>
      <c r="L2303" s="14">
        <v>0.0</v>
      </c>
    </row>
    <row r="2304">
      <c r="A2304" s="14">
        <v>70.0</v>
      </c>
      <c r="B2304" s="14">
        <v>0.0</v>
      </c>
      <c r="C2304" s="34">
        <v>9.33</v>
      </c>
      <c r="D2304" s="36">
        <v>44976.0</v>
      </c>
      <c r="E2304" s="24"/>
      <c r="F2304" s="14" t="s">
        <v>6012</v>
      </c>
      <c r="G2304" s="14">
        <v>133.29</v>
      </c>
      <c r="H2304" s="14">
        <v>0.0</v>
      </c>
      <c r="I2304" s="14" t="s">
        <v>6035</v>
      </c>
      <c r="J2304" s="14" t="s">
        <v>6012</v>
      </c>
      <c r="K2304" s="14" t="s">
        <v>6012</v>
      </c>
      <c r="L2304" s="14">
        <v>0.0</v>
      </c>
    </row>
    <row r="2305">
      <c r="A2305" s="14">
        <v>193.0</v>
      </c>
      <c r="B2305" s="14">
        <v>4.0</v>
      </c>
      <c r="C2305" s="34">
        <v>6.28</v>
      </c>
      <c r="D2305" s="36">
        <v>44976.0</v>
      </c>
      <c r="E2305" s="24"/>
      <c r="F2305" s="14">
        <v>1.57</v>
      </c>
      <c r="G2305" s="14">
        <v>32.54</v>
      </c>
      <c r="H2305" s="14">
        <v>2.07</v>
      </c>
      <c r="I2305" s="14" t="s">
        <v>6037</v>
      </c>
      <c r="J2305" s="14">
        <v>0.0</v>
      </c>
      <c r="K2305" s="14" t="s">
        <v>6012</v>
      </c>
      <c r="L2305" s="14">
        <v>0.0</v>
      </c>
    </row>
    <row r="2306">
      <c r="A2306" s="14">
        <v>187.0</v>
      </c>
      <c r="B2306" s="14">
        <v>2.0</v>
      </c>
      <c r="C2306" s="34">
        <v>5.11</v>
      </c>
      <c r="D2306" s="36">
        <v>44976.0</v>
      </c>
      <c r="E2306" s="24"/>
      <c r="F2306" s="14">
        <v>2.56</v>
      </c>
      <c r="G2306" s="14">
        <v>27.33</v>
      </c>
      <c r="H2306" s="14">
        <v>1.07</v>
      </c>
      <c r="I2306" s="14" t="s">
        <v>6051</v>
      </c>
      <c r="J2306" s="14">
        <v>0.0</v>
      </c>
      <c r="K2306" s="14" t="s">
        <v>6012</v>
      </c>
      <c r="L2306" s="14">
        <v>0.0</v>
      </c>
    </row>
    <row r="2307">
      <c r="A2307" s="14">
        <v>1385.0</v>
      </c>
      <c r="B2307" s="14">
        <v>12.0</v>
      </c>
      <c r="C2307" s="34">
        <v>22.95</v>
      </c>
      <c r="D2307" s="36">
        <v>44976.0</v>
      </c>
      <c r="E2307" s="24"/>
      <c r="F2307" s="14">
        <v>1.91</v>
      </c>
      <c r="G2307" s="14">
        <v>16.57</v>
      </c>
      <c r="H2307" s="14">
        <v>0.87</v>
      </c>
      <c r="I2307" s="14" t="s">
        <v>6052</v>
      </c>
      <c r="J2307" s="14">
        <v>0.0</v>
      </c>
      <c r="K2307" s="14" t="s">
        <v>6012</v>
      </c>
      <c r="L2307" s="14">
        <v>0.0</v>
      </c>
    </row>
    <row r="2308">
      <c r="A2308" s="14">
        <v>469.0</v>
      </c>
      <c r="B2308" s="14">
        <v>2.0</v>
      </c>
      <c r="C2308" s="34">
        <v>13.13</v>
      </c>
      <c r="D2308" s="36">
        <v>44977.0</v>
      </c>
      <c r="E2308" s="24"/>
      <c r="F2308" s="14">
        <v>6.56</v>
      </c>
      <c r="G2308" s="14">
        <v>28.0</v>
      </c>
      <c r="H2308" s="14">
        <v>0.43</v>
      </c>
      <c r="I2308" s="14" t="s">
        <v>6039</v>
      </c>
      <c r="J2308" s="14">
        <v>0.0</v>
      </c>
      <c r="K2308" s="14" t="s">
        <v>6012</v>
      </c>
      <c r="L2308" s="14">
        <v>0.0</v>
      </c>
    </row>
    <row r="2309">
      <c r="A2309" s="14">
        <v>1540.0</v>
      </c>
      <c r="B2309" s="14">
        <v>6.0</v>
      </c>
      <c r="C2309" s="34">
        <v>11.53</v>
      </c>
      <c r="D2309" s="36">
        <v>44977.0</v>
      </c>
      <c r="E2309" s="24"/>
      <c r="F2309" s="14">
        <v>1.92</v>
      </c>
      <c r="G2309" s="14">
        <v>7.49</v>
      </c>
      <c r="H2309" s="14">
        <v>0.39</v>
      </c>
      <c r="I2309" s="14" t="s">
        <v>6050</v>
      </c>
      <c r="J2309" s="14">
        <v>0.0</v>
      </c>
      <c r="K2309" s="14" t="s">
        <v>6012</v>
      </c>
      <c r="L2309" s="14">
        <v>0.0</v>
      </c>
    </row>
    <row r="2310">
      <c r="A2310" s="14">
        <v>222.0</v>
      </c>
      <c r="B2310" s="14">
        <v>3.0</v>
      </c>
      <c r="C2310" s="34">
        <v>11.35</v>
      </c>
      <c r="D2310" s="36">
        <v>44977.0</v>
      </c>
      <c r="E2310" s="24"/>
      <c r="F2310" s="14">
        <v>3.78</v>
      </c>
      <c r="G2310" s="14">
        <v>51.13</v>
      </c>
      <c r="H2310" s="14">
        <v>1.35</v>
      </c>
      <c r="I2310" s="14" t="s">
        <v>6051</v>
      </c>
      <c r="J2310" s="14">
        <v>0.0</v>
      </c>
      <c r="K2310" s="14" t="s">
        <v>6012</v>
      </c>
      <c r="L2310" s="14">
        <v>0.0</v>
      </c>
    </row>
    <row r="2311">
      <c r="A2311" s="14">
        <v>576.0</v>
      </c>
      <c r="B2311" s="14">
        <v>4.0</v>
      </c>
      <c r="C2311" s="34">
        <v>20.89</v>
      </c>
      <c r="D2311" s="36">
        <v>44977.0</v>
      </c>
      <c r="E2311" s="24"/>
      <c r="F2311" s="14">
        <v>5.22</v>
      </c>
      <c r="G2311" s="14">
        <v>36.27</v>
      </c>
      <c r="H2311" s="14">
        <v>0.69</v>
      </c>
      <c r="I2311" s="14" t="s">
        <v>6035</v>
      </c>
      <c r="J2311" s="14">
        <v>0.0</v>
      </c>
      <c r="K2311" s="14" t="s">
        <v>6012</v>
      </c>
      <c r="L2311" s="14">
        <v>0.0</v>
      </c>
    </row>
    <row r="2312">
      <c r="A2312" s="14">
        <v>641.0</v>
      </c>
      <c r="B2312" s="14">
        <v>3.0</v>
      </c>
      <c r="C2312" s="34">
        <v>12.67</v>
      </c>
      <c r="D2312" s="36">
        <v>44977.0</v>
      </c>
      <c r="E2312" s="24"/>
      <c r="F2312" s="14">
        <v>4.22</v>
      </c>
      <c r="G2312" s="14">
        <v>19.77</v>
      </c>
      <c r="H2312" s="14">
        <v>0.47</v>
      </c>
      <c r="I2312" s="14" t="s">
        <v>6037</v>
      </c>
      <c r="J2312" s="14">
        <v>0.0</v>
      </c>
      <c r="K2312" s="14" t="s">
        <v>6012</v>
      </c>
      <c r="L2312" s="14">
        <v>0.0</v>
      </c>
    </row>
    <row r="2313">
      <c r="A2313" s="14">
        <v>152.0</v>
      </c>
      <c r="B2313" s="14">
        <v>0.0</v>
      </c>
      <c r="C2313" s="34">
        <v>17.98</v>
      </c>
      <c r="D2313" s="36">
        <v>44977.0</v>
      </c>
      <c r="E2313" s="24"/>
      <c r="F2313" s="14" t="s">
        <v>6012</v>
      </c>
      <c r="G2313" s="14">
        <v>118.29</v>
      </c>
      <c r="H2313" s="14">
        <v>0.0</v>
      </c>
      <c r="I2313" s="14" t="s">
        <v>6038</v>
      </c>
      <c r="J2313" s="14" t="s">
        <v>6012</v>
      </c>
      <c r="K2313" s="14" t="s">
        <v>6012</v>
      </c>
      <c r="L2313" s="14">
        <v>0.0</v>
      </c>
    </row>
    <row r="2314">
      <c r="A2314" s="14">
        <v>1000.0</v>
      </c>
      <c r="B2314" s="14">
        <v>6.0</v>
      </c>
      <c r="C2314" s="34">
        <v>13.87</v>
      </c>
      <c r="D2314" s="36">
        <v>44977.0</v>
      </c>
      <c r="E2314" s="24"/>
      <c r="F2314" s="14">
        <v>2.31</v>
      </c>
      <c r="G2314" s="14">
        <v>13.87</v>
      </c>
      <c r="H2314" s="14">
        <v>0.6</v>
      </c>
      <c r="I2314" s="14" t="s">
        <v>6042</v>
      </c>
      <c r="J2314" s="14">
        <v>33.33</v>
      </c>
      <c r="K2314" s="14">
        <v>6.94</v>
      </c>
      <c r="L2314" s="14">
        <v>0.0</v>
      </c>
    </row>
    <row r="2315">
      <c r="A2315" s="14">
        <v>738.0</v>
      </c>
      <c r="B2315" s="14">
        <v>7.0</v>
      </c>
      <c r="C2315" s="34">
        <v>24.36</v>
      </c>
      <c r="D2315" s="36">
        <v>44977.0</v>
      </c>
      <c r="E2315" s="24"/>
      <c r="F2315" s="14">
        <v>3.48</v>
      </c>
      <c r="G2315" s="14">
        <v>33.01</v>
      </c>
      <c r="H2315" s="14">
        <v>0.95</v>
      </c>
      <c r="I2315" s="14" t="s">
        <v>6052</v>
      </c>
      <c r="J2315" s="14">
        <v>0.0</v>
      </c>
      <c r="K2315" s="14" t="s">
        <v>6012</v>
      </c>
      <c r="L2315" s="14">
        <v>1.0</v>
      </c>
    </row>
    <row r="2316">
      <c r="A2316" s="14">
        <v>521.0</v>
      </c>
      <c r="B2316" s="14">
        <v>2.0</v>
      </c>
      <c r="C2316" s="34">
        <v>56.91</v>
      </c>
      <c r="D2316" s="36">
        <v>44978.0</v>
      </c>
      <c r="E2316" s="24"/>
      <c r="F2316" s="14">
        <v>28.46</v>
      </c>
      <c r="G2316" s="14">
        <v>109.23</v>
      </c>
      <c r="H2316" s="14">
        <v>0.38</v>
      </c>
      <c r="I2316" s="14" t="s">
        <v>6052</v>
      </c>
      <c r="J2316" s="14">
        <v>0.0</v>
      </c>
      <c r="K2316" s="14" t="s">
        <v>6012</v>
      </c>
      <c r="L2316" s="14">
        <v>0.0</v>
      </c>
    </row>
    <row r="2317">
      <c r="A2317" s="14">
        <v>766.0</v>
      </c>
      <c r="B2317" s="14">
        <v>13.0</v>
      </c>
      <c r="C2317" s="34">
        <v>12.66</v>
      </c>
      <c r="D2317" s="36">
        <v>44978.0</v>
      </c>
      <c r="E2317" s="24"/>
      <c r="F2317" s="14">
        <v>0.97</v>
      </c>
      <c r="G2317" s="14">
        <v>16.53</v>
      </c>
      <c r="H2317" s="14">
        <v>1.7</v>
      </c>
      <c r="I2317" s="14" t="s">
        <v>6037</v>
      </c>
      <c r="J2317" s="14">
        <v>0.0</v>
      </c>
      <c r="K2317" s="14" t="s">
        <v>6012</v>
      </c>
      <c r="L2317" s="14">
        <v>0.0</v>
      </c>
    </row>
    <row r="2318">
      <c r="A2318" s="14">
        <v>396.0</v>
      </c>
      <c r="B2318" s="14">
        <v>2.0</v>
      </c>
      <c r="C2318" s="34">
        <v>19.22</v>
      </c>
      <c r="D2318" s="36">
        <v>44978.0</v>
      </c>
      <c r="E2318" s="24"/>
      <c r="F2318" s="14">
        <v>9.61</v>
      </c>
      <c r="G2318" s="14">
        <v>48.54</v>
      </c>
      <c r="H2318" s="14">
        <v>0.51</v>
      </c>
      <c r="I2318" s="14" t="s">
        <v>6038</v>
      </c>
      <c r="J2318" s="14">
        <v>0.0</v>
      </c>
      <c r="K2318" s="14" t="s">
        <v>6012</v>
      </c>
      <c r="L2318" s="14">
        <v>0.0</v>
      </c>
    </row>
    <row r="2319">
      <c r="A2319" s="14">
        <v>995.0</v>
      </c>
      <c r="B2319" s="14">
        <v>2.0</v>
      </c>
      <c r="C2319" s="34">
        <v>22.65</v>
      </c>
      <c r="D2319" s="36">
        <v>44978.0</v>
      </c>
      <c r="E2319" s="24"/>
      <c r="F2319" s="14">
        <v>11.32</v>
      </c>
      <c r="G2319" s="14">
        <v>22.76</v>
      </c>
      <c r="H2319" s="14">
        <v>0.2</v>
      </c>
      <c r="I2319" s="14" t="s">
        <v>6035</v>
      </c>
      <c r="J2319" s="14">
        <v>0.0</v>
      </c>
      <c r="K2319" s="14" t="s">
        <v>6012</v>
      </c>
      <c r="L2319" s="14">
        <v>0.0</v>
      </c>
    </row>
    <row r="2320">
      <c r="A2320" s="14">
        <v>974.0</v>
      </c>
      <c r="B2320" s="14">
        <v>6.0</v>
      </c>
      <c r="C2320" s="34">
        <v>13.16</v>
      </c>
      <c r="D2320" s="36">
        <v>44978.0</v>
      </c>
      <c r="E2320" s="24"/>
      <c r="F2320" s="14">
        <v>2.19</v>
      </c>
      <c r="G2320" s="14">
        <v>13.51</v>
      </c>
      <c r="H2320" s="14">
        <v>0.62</v>
      </c>
      <c r="I2320" s="14" t="s">
        <v>6042</v>
      </c>
      <c r="J2320" s="14">
        <v>16.67</v>
      </c>
      <c r="K2320" s="14">
        <v>13.16</v>
      </c>
      <c r="L2320" s="14">
        <v>0.0</v>
      </c>
    </row>
    <row r="2321">
      <c r="A2321" s="14">
        <v>300.0</v>
      </c>
      <c r="B2321" s="14">
        <v>2.0</v>
      </c>
      <c r="C2321" s="34">
        <v>12.78</v>
      </c>
      <c r="D2321" s="36">
        <v>44978.0</v>
      </c>
      <c r="E2321" s="24"/>
      <c r="F2321" s="14">
        <v>6.39</v>
      </c>
      <c r="G2321" s="14">
        <v>42.6</v>
      </c>
      <c r="H2321" s="14">
        <v>0.67</v>
      </c>
      <c r="I2321" s="14" t="s">
        <v>6051</v>
      </c>
      <c r="J2321" s="14">
        <v>0.0</v>
      </c>
      <c r="K2321" s="14" t="s">
        <v>6012</v>
      </c>
      <c r="L2321" s="14">
        <v>0.0</v>
      </c>
    </row>
    <row r="2322">
      <c r="A2322" s="14">
        <v>1397.0</v>
      </c>
      <c r="B2322" s="14">
        <v>8.0</v>
      </c>
      <c r="C2322" s="34">
        <v>10.58</v>
      </c>
      <c r="D2322" s="36">
        <v>44978.0</v>
      </c>
      <c r="E2322" s="24"/>
      <c r="F2322" s="14">
        <v>1.32</v>
      </c>
      <c r="G2322" s="14">
        <v>7.57</v>
      </c>
      <c r="H2322" s="14">
        <v>0.57</v>
      </c>
      <c r="I2322" s="14" t="s">
        <v>6050</v>
      </c>
      <c r="J2322" s="14">
        <v>0.0</v>
      </c>
      <c r="K2322" s="14" t="s">
        <v>6012</v>
      </c>
      <c r="L2322" s="14">
        <v>0.0</v>
      </c>
    </row>
    <row r="2323">
      <c r="A2323" s="14">
        <v>555.0</v>
      </c>
      <c r="B2323" s="14">
        <v>5.0</v>
      </c>
      <c r="C2323" s="34">
        <v>12.5</v>
      </c>
      <c r="D2323" s="36">
        <v>44978.0</v>
      </c>
      <c r="E2323" s="24"/>
      <c r="F2323" s="14">
        <v>2.5</v>
      </c>
      <c r="G2323" s="14">
        <v>22.52</v>
      </c>
      <c r="H2323" s="14">
        <v>0.9</v>
      </c>
      <c r="I2323" s="14" t="s">
        <v>6039</v>
      </c>
      <c r="J2323" s="14">
        <v>0.0</v>
      </c>
      <c r="K2323" s="14" t="s">
        <v>6012</v>
      </c>
      <c r="L2323" s="14">
        <v>0.0</v>
      </c>
    </row>
    <row r="2324">
      <c r="A2324" s="14">
        <v>1121.0</v>
      </c>
      <c r="B2324" s="14">
        <v>12.0</v>
      </c>
      <c r="C2324" s="34">
        <v>12.9</v>
      </c>
      <c r="D2324" s="36">
        <v>44979.0</v>
      </c>
      <c r="E2324" s="24"/>
      <c r="F2324" s="14">
        <v>1.08</v>
      </c>
      <c r="G2324" s="14">
        <v>11.51</v>
      </c>
      <c r="H2324" s="14">
        <v>1.07</v>
      </c>
      <c r="I2324" s="14" t="s">
        <v>6037</v>
      </c>
      <c r="J2324" s="14">
        <v>16.67</v>
      </c>
      <c r="K2324" s="14">
        <v>6.45</v>
      </c>
      <c r="L2324" s="14">
        <v>0.0</v>
      </c>
    </row>
    <row r="2325">
      <c r="A2325" s="14">
        <v>828.0</v>
      </c>
      <c r="B2325" s="14">
        <v>4.0</v>
      </c>
      <c r="C2325" s="34">
        <v>22.56</v>
      </c>
      <c r="D2325" s="36">
        <v>44979.0</v>
      </c>
      <c r="E2325" s="24"/>
      <c r="F2325" s="14">
        <v>5.64</v>
      </c>
      <c r="G2325" s="14">
        <v>27.25</v>
      </c>
      <c r="H2325" s="14">
        <v>0.48</v>
      </c>
      <c r="I2325" s="14" t="s">
        <v>6035</v>
      </c>
      <c r="J2325" s="14">
        <v>0.0</v>
      </c>
      <c r="K2325" s="14" t="s">
        <v>6012</v>
      </c>
      <c r="L2325" s="14">
        <v>0.0</v>
      </c>
    </row>
    <row r="2326">
      <c r="A2326" s="14">
        <v>1116.0</v>
      </c>
      <c r="B2326" s="14">
        <v>6.0</v>
      </c>
      <c r="C2326" s="34">
        <v>11.17</v>
      </c>
      <c r="D2326" s="36">
        <v>44979.0</v>
      </c>
      <c r="E2326" s="24"/>
      <c r="F2326" s="14">
        <v>1.86</v>
      </c>
      <c r="G2326" s="14">
        <v>10.01</v>
      </c>
      <c r="H2326" s="14">
        <v>0.54</v>
      </c>
      <c r="I2326" s="14" t="s">
        <v>6050</v>
      </c>
      <c r="J2326" s="14">
        <v>50.0</v>
      </c>
      <c r="K2326" s="14">
        <v>3.72</v>
      </c>
      <c r="L2326" s="14">
        <v>0.0</v>
      </c>
    </row>
    <row r="2327">
      <c r="A2327" s="14">
        <v>405.0</v>
      </c>
      <c r="B2327" s="14">
        <v>3.0</v>
      </c>
      <c r="C2327" s="34">
        <v>12.14</v>
      </c>
      <c r="D2327" s="36">
        <v>44979.0</v>
      </c>
      <c r="E2327" s="24"/>
      <c r="F2327" s="14">
        <v>4.05</v>
      </c>
      <c r="G2327" s="14">
        <v>29.98</v>
      </c>
      <c r="H2327" s="14">
        <v>0.74</v>
      </c>
      <c r="I2327" s="14" t="s">
        <v>6051</v>
      </c>
      <c r="J2327" s="14">
        <v>0.0</v>
      </c>
      <c r="K2327" s="14" t="s">
        <v>6012</v>
      </c>
      <c r="L2327" s="14">
        <v>0.0</v>
      </c>
    </row>
    <row r="2328">
      <c r="A2328" s="14">
        <v>398.0</v>
      </c>
      <c r="B2328" s="14">
        <v>4.0</v>
      </c>
      <c r="C2328" s="34">
        <v>19.2</v>
      </c>
      <c r="D2328" s="36">
        <v>44979.0</v>
      </c>
      <c r="E2328" s="24"/>
      <c r="F2328" s="14">
        <v>4.8</v>
      </c>
      <c r="G2328" s="14">
        <v>48.24</v>
      </c>
      <c r="H2328" s="14">
        <v>1.01</v>
      </c>
      <c r="I2328" s="14" t="s">
        <v>6038</v>
      </c>
      <c r="J2328" s="14">
        <v>0.0</v>
      </c>
      <c r="K2328" s="14" t="s">
        <v>6012</v>
      </c>
      <c r="L2328" s="14">
        <v>0.0</v>
      </c>
    </row>
    <row r="2329">
      <c r="A2329" s="14">
        <v>427.0</v>
      </c>
      <c r="B2329" s="14">
        <v>0.0</v>
      </c>
      <c r="C2329" s="34">
        <v>50.0</v>
      </c>
      <c r="D2329" s="36">
        <v>44979.0</v>
      </c>
      <c r="E2329" s="24"/>
      <c r="F2329" s="14" t="s">
        <v>6012</v>
      </c>
      <c r="G2329" s="14">
        <v>117.1</v>
      </c>
      <c r="H2329" s="14">
        <v>0.0</v>
      </c>
      <c r="I2329" s="14" t="s">
        <v>6052</v>
      </c>
      <c r="J2329" s="14" t="s">
        <v>6012</v>
      </c>
      <c r="K2329" s="14" t="s">
        <v>6012</v>
      </c>
      <c r="L2329" s="14">
        <v>0.0</v>
      </c>
    </row>
    <row r="2330">
      <c r="A2330" s="14">
        <v>553.0</v>
      </c>
      <c r="B2330" s="14">
        <v>4.0</v>
      </c>
      <c r="C2330" s="34">
        <v>12.8</v>
      </c>
      <c r="D2330" s="36">
        <v>44979.0</v>
      </c>
      <c r="E2330" s="24"/>
      <c r="F2330" s="14">
        <v>3.2</v>
      </c>
      <c r="G2330" s="14">
        <v>23.15</v>
      </c>
      <c r="H2330" s="14">
        <v>0.72</v>
      </c>
      <c r="I2330" s="14" t="s">
        <v>6039</v>
      </c>
      <c r="J2330" s="14">
        <v>25.0</v>
      </c>
      <c r="K2330" s="14">
        <v>12.8</v>
      </c>
      <c r="L2330" s="14">
        <v>0.0</v>
      </c>
    </row>
    <row r="2331">
      <c r="A2331" s="14">
        <v>1005.0</v>
      </c>
      <c r="B2331" s="14">
        <v>4.0</v>
      </c>
      <c r="C2331" s="34">
        <v>13.84</v>
      </c>
      <c r="D2331" s="36">
        <v>44979.0</v>
      </c>
      <c r="E2331" s="24"/>
      <c r="F2331" s="14">
        <v>3.46</v>
      </c>
      <c r="G2331" s="14">
        <v>13.77</v>
      </c>
      <c r="H2331" s="14">
        <v>0.4</v>
      </c>
      <c r="I2331" s="14" t="s">
        <v>6042</v>
      </c>
      <c r="J2331" s="14">
        <v>25.0</v>
      </c>
      <c r="K2331" s="14">
        <v>13.84</v>
      </c>
      <c r="L2331" s="14">
        <v>0.0</v>
      </c>
    </row>
    <row r="2332">
      <c r="A2332" s="14">
        <v>467.0</v>
      </c>
      <c r="B2332" s="14">
        <v>0.0</v>
      </c>
      <c r="C2332" s="34">
        <v>62.29</v>
      </c>
      <c r="D2332" s="36">
        <v>44980.0</v>
      </c>
      <c r="E2332" s="24"/>
      <c r="F2332" s="14" t="s">
        <v>6012</v>
      </c>
      <c r="G2332" s="14">
        <v>133.38</v>
      </c>
      <c r="H2332" s="14">
        <v>0.0</v>
      </c>
      <c r="I2332" s="14" t="s">
        <v>6052</v>
      </c>
      <c r="J2332" s="14" t="s">
        <v>6012</v>
      </c>
      <c r="K2332" s="14">
        <v>62.29</v>
      </c>
      <c r="L2332" s="14">
        <v>0.0</v>
      </c>
    </row>
    <row r="2333">
      <c r="A2333" s="14">
        <v>1094.0</v>
      </c>
      <c r="B2333" s="14">
        <v>8.0</v>
      </c>
      <c r="C2333" s="34">
        <v>11.91</v>
      </c>
      <c r="D2333" s="36">
        <v>44980.0</v>
      </c>
      <c r="E2333" s="24"/>
      <c r="F2333" s="14">
        <v>1.49</v>
      </c>
      <c r="G2333" s="14">
        <v>10.89</v>
      </c>
      <c r="H2333" s="14">
        <v>0.73</v>
      </c>
      <c r="I2333" s="14" t="s">
        <v>6050</v>
      </c>
      <c r="J2333" s="14">
        <v>50.0</v>
      </c>
      <c r="K2333" s="14">
        <v>2.98</v>
      </c>
      <c r="L2333" s="14">
        <v>0.0</v>
      </c>
    </row>
    <row r="2334">
      <c r="A2334" s="14">
        <v>934.0</v>
      </c>
      <c r="B2334" s="14">
        <v>16.0</v>
      </c>
      <c r="C2334" s="34">
        <v>12.89</v>
      </c>
      <c r="D2334" s="36">
        <v>44980.0</v>
      </c>
      <c r="E2334" s="24"/>
      <c r="F2334" s="14">
        <v>0.81</v>
      </c>
      <c r="G2334" s="14">
        <v>13.8</v>
      </c>
      <c r="H2334" s="14">
        <v>1.71</v>
      </c>
      <c r="I2334" s="14" t="s">
        <v>6037</v>
      </c>
      <c r="J2334" s="14">
        <v>0.0</v>
      </c>
      <c r="K2334" s="14" t="s">
        <v>6012</v>
      </c>
      <c r="L2334" s="14">
        <v>0.0</v>
      </c>
    </row>
    <row r="2335">
      <c r="A2335" s="14">
        <v>365.0</v>
      </c>
      <c r="B2335" s="14">
        <v>7.0</v>
      </c>
      <c r="C2335" s="34">
        <v>11.84</v>
      </c>
      <c r="D2335" s="36">
        <v>44980.0</v>
      </c>
      <c r="E2335" s="24"/>
      <c r="F2335" s="14">
        <v>1.69</v>
      </c>
      <c r="G2335" s="14">
        <v>32.44</v>
      </c>
      <c r="H2335" s="14">
        <v>1.92</v>
      </c>
      <c r="I2335" s="14" t="s">
        <v>6051</v>
      </c>
      <c r="J2335" s="14">
        <v>14.29</v>
      </c>
      <c r="K2335" s="14">
        <v>11.84</v>
      </c>
      <c r="L2335" s="14">
        <v>0.0</v>
      </c>
    </row>
    <row r="2336">
      <c r="A2336" s="14">
        <v>506.0</v>
      </c>
      <c r="B2336" s="14">
        <v>0.0</v>
      </c>
      <c r="C2336" s="34">
        <v>19.4</v>
      </c>
      <c r="D2336" s="36">
        <v>44980.0</v>
      </c>
      <c r="E2336" s="24"/>
      <c r="F2336" s="14" t="s">
        <v>6012</v>
      </c>
      <c r="G2336" s="14">
        <v>38.34</v>
      </c>
      <c r="H2336" s="14">
        <v>0.0</v>
      </c>
      <c r="I2336" s="14" t="s">
        <v>6038</v>
      </c>
      <c r="J2336" s="14" t="s">
        <v>6012</v>
      </c>
      <c r="K2336" s="14" t="s">
        <v>6012</v>
      </c>
      <c r="L2336" s="14">
        <v>0.0</v>
      </c>
    </row>
    <row r="2337">
      <c r="A2337" s="14">
        <v>993.0</v>
      </c>
      <c r="B2337" s="14">
        <v>5.0</v>
      </c>
      <c r="C2337" s="34">
        <v>11.5</v>
      </c>
      <c r="D2337" s="36">
        <v>44980.0</v>
      </c>
      <c r="E2337" s="24"/>
      <c r="F2337" s="14">
        <v>2.3</v>
      </c>
      <c r="G2337" s="14">
        <v>11.58</v>
      </c>
      <c r="H2337" s="14">
        <v>0.5</v>
      </c>
      <c r="I2337" s="14" t="s">
        <v>6042</v>
      </c>
      <c r="J2337" s="14">
        <v>20.0</v>
      </c>
      <c r="K2337" s="14">
        <v>11.5</v>
      </c>
      <c r="L2337" s="14">
        <v>0.0</v>
      </c>
    </row>
    <row r="2338">
      <c r="A2338" s="14">
        <v>960.0</v>
      </c>
      <c r="B2338" s="14">
        <v>6.0</v>
      </c>
      <c r="C2338" s="34">
        <v>23.0</v>
      </c>
      <c r="D2338" s="36">
        <v>44980.0</v>
      </c>
      <c r="E2338" s="24"/>
      <c r="F2338" s="14">
        <v>3.83</v>
      </c>
      <c r="G2338" s="14">
        <v>23.96</v>
      </c>
      <c r="H2338" s="14">
        <v>0.62</v>
      </c>
      <c r="I2338" s="14" t="s">
        <v>6035</v>
      </c>
      <c r="J2338" s="14">
        <v>16.67</v>
      </c>
      <c r="K2338" s="14">
        <v>23.0</v>
      </c>
      <c r="L2338" s="14">
        <v>0.0</v>
      </c>
    </row>
    <row r="2339">
      <c r="A2339" s="14">
        <v>576.0</v>
      </c>
      <c r="B2339" s="14">
        <v>3.0</v>
      </c>
      <c r="C2339" s="34">
        <v>12.72</v>
      </c>
      <c r="D2339" s="36">
        <v>44980.0</v>
      </c>
      <c r="E2339" s="24"/>
      <c r="F2339" s="14">
        <v>4.24</v>
      </c>
      <c r="G2339" s="14">
        <v>22.08</v>
      </c>
      <c r="H2339" s="14">
        <v>0.52</v>
      </c>
      <c r="I2339" s="14" t="s">
        <v>6039</v>
      </c>
      <c r="J2339" s="14">
        <v>0.0</v>
      </c>
      <c r="K2339" s="14" t="s">
        <v>6012</v>
      </c>
      <c r="L2339" s="14">
        <v>0.0</v>
      </c>
    </row>
    <row r="2340">
      <c r="A2340" s="14">
        <v>1142.0</v>
      </c>
      <c r="B2340" s="14">
        <v>15.0</v>
      </c>
      <c r="C2340" s="34">
        <v>10.7</v>
      </c>
      <c r="D2340" s="36">
        <v>44981.0</v>
      </c>
      <c r="E2340" s="24"/>
      <c r="F2340" s="14">
        <v>0.71</v>
      </c>
      <c r="G2340" s="14">
        <v>9.37</v>
      </c>
      <c r="H2340" s="14">
        <v>1.31</v>
      </c>
      <c r="I2340" s="14" t="s">
        <v>6050</v>
      </c>
      <c r="J2340" s="14">
        <v>0.0</v>
      </c>
      <c r="K2340" s="14" t="s">
        <v>6012</v>
      </c>
      <c r="L2340" s="14">
        <v>0.0</v>
      </c>
    </row>
    <row r="2341">
      <c r="A2341" s="14">
        <v>406.0</v>
      </c>
      <c r="B2341" s="14">
        <v>7.0</v>
      </c>
      <c r="C2341" s="34">
        <v>11.93</v>
      </c>
      <c r="D2341" s="36">
        <v>44981.0</v>
      </c>
      <c r="E2341" s="24"/>
      <c r="F2341" s="14">
        <v>1.7</v>
      </c>
      <c r="G2341" s="14">
        <v>29.38</v>
      </c>
      <c r="H2341" s="14">
        <v>1.72</v>
      </c>
      <c r="I2341" s="14" t="s">
        <v>6039</v>
      </c>
      <c r="J2341" s="14">
        <v>14.29</v>
      </c>
      <c r="K2341" s="14">
        <v>11.93</v>
      </c>
      <c r="L2341" s="14">
        <v>0.0</v>
      </c>
    </row>
    <row r="2342">
      <c r="A2342" s="14">
        <v>426.0</v>
      </c>
      <c r="B2342" s="14">
        <v>4.0</v>
      </c>
      <c r="C2342" s="34">
        <v>10.82</v>
      </c>
      <c r="D2342" s="36">
        <v>44981.0</v>
      </c>
      <c r="E2342" s="24"/>
      <c r="F2342" s="14">
        <v>2.7</v>
      </c>
      <c r="G2342" s="14">
        <v>25.4</v>
      </c>
      <c r="H2342" s="14">
        <v>0.94</v>
      </c>
      <c r="I2342" s="14" t="s">
        <v>6051</v>
      </c>
      <c r="J2342" s="14">
        <v>25.0</v>
      </c>
      <c r="K2342" s="14">
        <v>10.82</v>
      </c>
      <c r="L2342" s="14">
        <v>0.0</v>
      </c>
    </row>
    <row r="2343">
      <c r="A2343" s="14">
        <v>1011.0</v>
      </c>
      <c r="B2343" s="14">
        <v>5.0</v>
      </c>
      <c r="C2343" s="34">
        <v>21.87</v>
      </c>
      <c r="D2343" s="36">
        <v>44981.0</v>
      </c>
      <c r="E2343" s="24"/>
      <c r="F2343" s="14">
        <v>4.37</v>
      </c>
      <c r="G2343" s="14">
        <v>21.63</v>
      </c>
      <c r="H2343" s="14">
        <v>0.49</v>
      </c>
      <c r="I2343" s="14" t="s">
        <v>6035</v>
      </c>
      <c r="J2343" s="14">
        <v>0.0</v>
      </c>
      <c r="K2343" s="14" t="s">
        <v>6012</v>
      </c>
      <c r="L2343" s="14">
        <v>0.0</v>
      </c>
    </row>
    <row r="2344">
      <c r="A2344" s="14">
        <v>0.0</v>
      </c>
      <c r="B2344" s="14">
        <v>0.0</v>
      </c>
      <c r="C2344" s="34"/>
      <c r="D2344" s="36">
        <v>44981.0</v>
      </c>
      <c r="E2344" s="24"/>
      <c r="F2344" s="14" t="s">
        <v>6012</v>
      </c>
      <c r="G2344" s="14" t="s">
        <v>6012</v>
      </c>
      <c r="H2344" s="14" t="s">
        <v>6012</v>
      </c>
      <c r="I2344" s="14" t="s">
        <v>6052</v>
      </c>
      <c r="J2344" s="14" t="s">
        <v>6012</v>
      </c>
      <c r="K2344" s="14" t="s">
        <v>6012</v>
      </c>
      <c r="L2344" s="14"/>
    </row>
    <row r="2345">
      <c r="A2345" s="14">
        <v>453.0</v>
      </c>
      <c r="B2345" s="14">
        <v>1.0</v>
      </c>
      <c r="C2345" s="34">
        <v>19.45</v>
      </c>
      <c r="D2345" s="36">
        <v>44981.0</v>
      </c>
      <c r="E2345" s="24"/>
      <c r="F2345" s="14">
        <v>19.45</v>
      </c>
      <c r="G2345" s="14">
        <v>42.94</v>
      </c>
      <c r="H2345" s="14">
        <v>0.22</v>
      </c>
      <c r="I2345" s="14" t="s">
        <v>6038</v>
      </c>
      <c r="J2345" s="14">
        <v>0.0</v>
      </c>
      <c r="K2345" s="14" t="s">
        <v>6012</v>
      </c>
      <c r="L2345" s="14">
        <v>0.0</v>
      </c>
    </row>
    <row r="2346">
      <c r="A2346" s="14">
        <v>768.0</v>
      </c>
      <c r="B2346" s="14">
        <v>16.0</v>
      </c>
      <c r="C2346" s="34">
        <v>12.11</v>
      </c>
      <c r="D2346" s="36">
        <v>44981.0</v>
      </c>
      <c r="E2346" s="24"/>
      <c r="F2346" s="14">
        <v>0.76</v>
      </c>
      <c r="G2346" s="14">
        <v>15.77</v>
      </c>
      <c r="H2346" s="14">
        <v>2.08</v>
      </c>
      <c r="I2346" s="14" t="s">
        <v>6037</v>
      </c>
      <c r="J2346" s="14">
        <v>0.0</v>
      </c>
      <c r="K2346" s="14" t="s">
        <v>6012</v>
      </c>
      <c r="L2346" s="14">
        <v>0.0</v>
      </c>
    </row>
    <row r="2347">
      <c r="A2347" s="14">
        <v>985.0</v>
      </c>
      <c r="B2347" s="14">
        <v>4.0</v>
      </c>
      <c r="C2347" s="34">
        <v>12.85</v>
      </c>
      <c r="D2347" s="36">
        <v>44981.0</v>
      </c>
      <c r="E2347" s="24"/>
      <c r="F2347" s="14">
        <v>3.21</v>
      </c>
      <c r="G2347" s="14">
        <v>13.05</v>
      </c>
      <c r="H2347" s="14">
        <v>0.41</v>
      </c>
      <c r="I2347" s="14" t="s">
        <v>6042</v>
      </c>
      <c r="J2347" s="14">
        <v>0.0</v>
      </c>
      <c r="K2347" s="14" t="s">
        <v>6012</v>
      </c>
      <c r="L2347" s="14">
        <v>0.0</v>
      </c>
    </row>
    <row r="2348">
      <c r="A2348" s="14">
        <v>205.0</v>
      </c>
      <c r="B2348" s="14">
        <v>2.0</v>
      </c>
      <c r="C2348" s="34">
        <v>6.21</v>
      </c>
      <c r="D2348" s="36">
        <v>44982.0</v>
      </c>
      <c r="E2348" s="24"/>
      <c r="F2348" s="14">
        <v>3.1</v>
      </c>
      <c r="G2348" s="14">
        <v>30.29</v>
      </c>
      <c r="H2348" s="14">
        <v>0.98</v>
      </c>
      <c r="I2348" s="14" t="s">
        <v>6051</v>
      </c>
      <c r="J2348" s="14">
        <v>50.0</v>
      </c>
      <c r="K2348" s="14">
        <v>6.21</v>
      </c>
      <c r="L2348" s="14">
        <v>0.0</v>
      </c>
    </row>
    <row r="2349">
      <c r="A2349" s="14">
        <v>238.0</v>
      </c>
      <c r="B2349" s="14">
        <v>0.0</v>
      </c>
      <c r="C2349" s="34">
        <v>10.69</v>
      </c>
      <c r="D2349" s="36">
        <v>44982.0</v>
      </c>
      <c r="E2349" s="24"/>
      <c r="F2349" s="14" t="s">
        <v>6012</v>
      </c>
      <c r="G2349" s="14">
        <v>44.92</v>
      </c>
      <c r="H2349" s="14">
        <v>0.0</v>
      </c>
      <c r="I2349" s="14" t="s">
        <v>6038</v>
      </c>
      <c r="J2349" s="14" t="s">
        <v>6012</v>
      </c>
      <c r="K2349" s="14" t="s">
        <v>6012</v>
      </c>
      <c r="L2349" s="14">
        <v>0.0</v>
      </c>
    </row>
    <row r="2350">
      <c r="A2350" s="14">
        <v>633.0</v>
      </c>
      <c r="B2350" s="14">
        <v>2.0</v>
      </c>
      <c r="C2350" s="34">
        <v>5.43</v>
      </c>
      <c r="D2350" s="36">
        <v>44982.0</v>
      </c>
      <c r="E2350" s="24"/>
      <c r="F2350" s="14">
        <v>2.72</v>
      </c>
      <c r="G2350" s="14">
        <v>8.58</v>
      </c>
      <c r="H2350" s="14">
        <v>0.32</v>
      </c>
      <c r="I2350" s="14" t="s">
        <v>6042</v>
      </c>
      <c r="J2350" s="14">
        <v>0.0</v>
      </c>
      <c r="K2350" s="14" t="s">
        <v>6012</v>
      </c>
      <c r="L2350" s="14">
        <v>0.0</v>
      </c>
    </row>
    <row r="2351">
      <c r="A2351" s="14">
        <v>367.0</v>
      </c>
      <c r="B2351" s="14">
        <v>7.0</v>
      </c>
      <c r="C2351" s="34">
        <v>7.02</v>
      </c>
      <c r="D2351" s="36">
        <v>44982.0</v>
      </c>
      <c r="E2351" s="24"/>
      <c r="F2351" s="14">
        <v>1.0</v>
      </c>
      <c r="G2351" s="14">
        <v>19.13</v>
      </c>
      <c r="H2351" s="14">
        <v>1.91</v>
      </c>
      <c r="I2351" s="14" t="s">
        <v>6037</v>
      </c>
      <c r="J2351" s="14">
        <v>0.0</v>
      </c>
      <c r="K2351" s="14" t="s">
        <v>6012</v>
      </c>
      <c r="L2351" s="14">
        <v>0.0</v>
      </c>
    </row>
    <row r="2352">
      <c r="A2352" s="14">
        <v>226.0</v>
      </c>
      <c r="B2352" s="14">
        <v>2.0</v>
      </c>
      <c r="C2352" s="34">
        <v>7.15</v>
      </c>
      <c r="D2352" s="36">
        <v>44982.0</v>
      </c>
      <c r="E2352" s="24"/>
      <c r="F2352" s="14">
        <v>3.58</v>
      </c>
      <c r="G2352" s="14">
        <v>31.64</v>
      </c>
      <c r="H2352" s="14">
        <v>0.88</v>
      </c>
      <c r="I2352" s="14" t="s">
        <v>6039</v>
      </c>
      <c r="J2352" s="14">
        <v>0.0</v>
      </c>
      <c r="K2352" s="14" t="s">
        <v>6012</v>
      </c>
      <c r="L2352" s="14">
        <v>0.0</v>
      </c>
    </row>
    <row r="2353">
      <c r="A2353" s="14">
        <v>784.0</v>
      </c>
      <c r="B2353" s="14">
        <v>8.0</v>
      </c>
      <c r="C2353" s="34">
        <v>7.24</v>
      </c>
      <c r="D2353" s="36">
        <v>44982.0</v>
      </c>
      <c r="E2353" s="24"/>
      <c r="F2353" s="14">
        <v>0.9</v>
      </c>
      <c r="G2353" s="14">
        <v>9.23</v>
      </c>
      <c r="H2353" s="14">
        <v>1.02</v>
      </c>
      <c r="I2353" s="14" t="s">
        <v>6050</v>
      </c>
      <c r="J2353" s="14">
        <v>0.0</v>
      </c>
      <c r="K2353" s="14" t="s">
        <v>6012</v>
      </c>
      <c r="L2353" s="14">
        <v>0.0</v>
      </c>
    </row>
    <row r="2354">
      <c r="A2354" s="14">
        <v>530.0</v>
      </c>
      <c r="B2354" s="14">
        <v>3.0</v>
      </c>
      <c r="C2354" s="34">
        <v>11.83</v>
      </c>
      <c r="D2354" s="36">
        <v>44982.0</v>
      </c>
      <c r="E2354" s="24"/>
      <c r="F2354" s="14">
        <v>3.94</v>
      </c>
      <c r="G2354" s="14">
        <v>22.32</v>
      </c>
      <c r="H2354" s="14">
        <v>0.57</v>
      </c>
      <c r="I2354" s="14" t="s">
        <v>6035</v>
      </c>
      <c r="J2354" s="14">
        <v>0.0</v>
      </c>
      <c r="K2354" s="14" t="s">
        <v>6012</v>
      </c>
      <c r="L2354" s="14">
        <v>0.0</v>
      </c>
    </row>
    <row r="2355">
      <c r="A2355" s="14">
        <v>288.0</v>
      </c>
      <c r="B2355" s="14">
        <v>2.0</v>
      </c>
      <c r="C2355" s="34">
        <v>10.2</v>
      </c>
      <c r="D2355" s="36">
        <v>44983.0</v>
      </c>
      <c r="E2355" s="24"/>
      <c r="F2355" s="14">
        <v>5.1</v>
      </c>
      <c r="G2355" s="14">
        <v>35.42</v>
      </c>
      <c r="H2355" s="14">
        <v>0.69</v>
      </c>
      <c r="I2355" s="14" t="s">
        <v>6035</v>
      </c>
      <c r="J2355" s="14">
        <v>50.0</v>
      </c>
      <c r="K2355" s="14">
        <v>10.2</v>
      </c>
      <c r="L2355" s="14">
        <v>0.0</v>
      </c>
    </row>
    <row r="2356">
      <c r="A2356" s="14">
        <v>326.0</v>
      </c>
      <c r="B2356" s="14">
        <v>2.0</v>
      </c>
      <c r="C2356" s="34">
        <v>6.35</v>
      </c>
      <c r="D2356" s="36">
        <v>44983.0</v>
      </c>
      <c r="E2356" s="24"/>
      <c r="F2356" s="14">
        <v>3.18</v>
      </c>
      <c r="G2356" s="14">
        <v>19.48</v>
      </c>
      <c r="H2356" s="14">
        <v>0.61</v>
      </c>
      <c r="I2356" s="14" t="s">
        <v>6042</v>
      </c>
      <c r="J2356" s="14">
        <v>50.0</v>
      </c>
      <c r="K2356" s="14">
        <v>6.35</v>
      </c>
      <c r="L2356" s="14">
        <v>0.0</v>
      </c>
    </row>
    <row r="2357">
      <c r="A2357" s="14">
        <v>449.0</v>
      </c>
      <c r="B2357" s="14">
        <v>13.0</v>
      </c>
      <c r="C2357" s="34">
        <v>6.75</v>
      </c>
      <c r="D2357" s="36">
        <v>44983.0</v>
      </c>
      <c r="E2357" s="24"/>
      <c r="F2357" s="14">
        <v>0.52</v>
      </c>
      <c r="G2357" s="14">
        <v>15.03</v>
      </c>
      <c r="H2357" s="14">
        <v>2.9</v>
      </c>
      <c r="I2357" s="14" t="s">
        <v>6037</v>
      </c>
      <c r="J2357" s="14">
        <v>0.0</v>
      </c>
      <c r="K2357" s="14" t="s">
        <v>6012</v>
      </c>
      <c r="L2357" s="14">
        <v>0.0</v>
      </c>
    </row>
    <row r="2358">
      <c r="A2358" s="14">
        <v>81.0</v>
      </c>
      <c r="B2358" s="14">
        <v>0.0</v>
      </c>
      <c r="C2358" s="34">
        <v>9.56</v>
      </c>
      <c r="D2358" s="36">
        <v>44983.0</v>
      </c>
      <c r="E2358" s="24"/>
      <c r="F2358" s="14" t="s">
        <v>6012</v>
      </c>
      <c r="G2358" s="14">
        <v>118.02</v>
      </c>
      <c r="H2358" s="14">
        <v>0.0</v>
      </c>
      <c r="I2358" s="14" t="s">
        <v>6038</v>
      </c>
      <c r="J2358" s="14" t="s">
        <v>6012</v>
      </c>
      <c r="K2358" s="14" t="s">
        <v>6012</v>
      </c>
      <c r="L2358" s="14">
        <v>0.0</v>
      </c>
    </row>
    <row r="2359">
      <c r="A2359" s="14">
        <v>185.0</v>
      </c>
      <c r="B2359" s="14">
        <v>1.0</v>
      </c>
      <c r="C2359" s="34">
        <v>6.77</v>
      </c>
      <c r="D2359" s="36">
        <v>44983.0</v>
      </c>
      <c r="E2359" s="24"/>
      <c r="F2359" s="14">
        <v>6.77</v>
      </c>
      <c r="G2359" s="14">
        <v>36.59</v>
      </c>
      <c r="H2359" s="14">
        <v>0.54</v>
      </c>
      <c r="I2359" s="14" t="s">
        <v>6039</v>
      </c>
      <c r="J2359" s="14">
        <v>0.0</v>
      </c>
      <c r="K2359" s="14" t="s">
        <v>6012</v>
      </c>
      <c r="L2359" s="14">
        <v>0.0</v>
      </c>
    </row>
    <row r="2360">
      <c r="A2360" s="14">
        <v>616.0</v>
      </c>
      <c r="B2360" s="14">
        <v>2.0</v>
      </c>
      <c r="C2360" s="34">
        <v>6.87</v>
      </c>
      <c r="D2360" s="36">
        <v>44983.0</v>
      </c>
      <c r="E2360" s="24"/>
      <c r="F2360" s="14">
        <v>3.44</v>
      </c>
      <c r="G2360" s="14">
        <v>11.15</v>
      </c>
      <c r="H2360" s="14">
        <v>0.32</v>
      </c>
      <c r="I2360" s="14" t="s">
        <v>6050</v>
      </c>
      <c r="J2360" s="14">
        <v>50.0</v>
      </c>
      <c r="K2360" s="14">
        <v>6.87</v>
      </c>
      <c r="L2360" s="14">
        <v>0.0</v>
      </c>
    </row>
    <row r="2361">
      <c r="A2361" s="14">
        <v>165.0</v>
      </c>
      <c r="B2361" s="14">
        <v>1.0</v>
      </c>
      <c r="C2361" s="34">
        <v>4.86</v>
      </c>
      <c r="D2361" s="36">
        <v>44983.0</v>
      </c>
      <c r="E2361" s="24"/>
      <c r="F2361" s="14">
        <v>4.86</v>
      </c>
      <c r="G2361" s="14">
        <v>29.45</v>
      </c>
      <c r="H2361" s="14">
        <v>0.61</v>
      </c>
      <c r="I2361" s="14" t="s">
        <v>6051</v>
      </c>
      <c r="J2361" s="14">
        <v>0.0</v>
      </c>
      <c r="K2361" s="14" t="s">
        <v>6012</v>
      </c>
      <c r="L2361" s="14">
        <v>0.0</v>
      </c>
    </row>
    <row r="2362">
      <c r="A2362" s="14">
        <v>352.0</v>
      </c>
      <c r="B2362" s="14">
        <v>4.0</v>
      </c>
      <c r="C2362" s="34">
        <v>11.25</v>
      </c>
      <c r="D2362" s="36">
        <v>44984.0</v>
      </c>
      <c r="E2362" s="24"/>
      <c r="F2362" s="14">
        <v>2.81</v>
      </c>
      <c r="G2362" s="14">
        <v>31.96</v>
      </c>
      <c r="H2362" s="14">
        <v>1.14</v>
      </c>
      <c r="I2362" s="14" t="s">
        <v>6051</v>
      </c>
      <c r="J2362" s="14">
        <v>0.0</v>
      </c>
      <c r="K2362" s="14" t="s">
        <v>6012</v>
      </c>
      <c r="L2362" s="14">
        <v>0.0</v>
      </c>
    </row>
    <row r="2363">
      <c r="A2363" s="14">
        <v>420.0</v>
      </c>
      <c r="B2363" s="14">
        <v>0.0</v>
      </c>
      <c r="C2363" s="34">
        <v>17.28</v>
      </c>
      <c r="D2363" s="36">
        <v>44984.0</v>
      </c>
      <c r="E2363" s="24"/>
      <c r="F2363" s="14" t="s">
        <v>6012</v>
      </c>
      <c r="G2363" s="14">
        <v>41.14</v>
      </c>
      <c r="H2363" s="14">
        <v>0.0</v>
      </c>
      <c r="I2363" s="14" t="s">
        <v>6038</v>
      </c>
      <c r="J2363" s="14" t="s">
        <v>6012</v>
      </c>
      <c r="K2363" s="14" t="s">
        <v>6012</v>
      </c>
      <c r="L2363" s="14">
        <v>0.0</v>
      </c>
    </row>
    <row r="2364">
      <c r="A2364" s="14">
        <v>1066.0</v>
      </c>
      <c r="B2364" s="14">
        <v>6.0</v>
      </c>
      <c r="C2364" s="34">
        <v>11.87</v>
      </c>
      <c r="D2364" s="36">
        <v>44984.0</v>
      </c>
      <c r="E2364" s="24"/>
      <c r="F2364" s="14">
        <v>1.98</v>
      </c>
      <c r="G2364" s="14">
        <v>11.14</v>
      </c>
      <c r="H2364" s="14">
        <v>0.56</v>
      </c>
      <c r="I2364" s="14" t="s">
        <v>6050</v>
      </c>
      <c r="J2364" s="14">
        <v>16.67</v>
      </c>
      <c r="K2364" s="14">
        <v>11.87</v>
      </c>
      <c r="L2364" s="14">
        <v>0.0</v>
      </c>
    </row>
    <row r="2365">
      <c r="A2365" s="14">
        <v>589.0</v>
      </c>
      <c r="B2365" s="14">
        <v>3.0</v>
      </c>
      <c r="C2365" s="34">
        <v>12.95</v>
      </c>
      <c r="D2365" s="36">
        <v>44984.0</v>
      </c>
      <c r="E2365" s="24"/>
      <c r="F2365" s="14">
        <v>4.32</v>
      </c>
      <c r="G2365" s="14">
        <v>21.99</v>
      </c>
      <c r="H2365" s="14">
        <v>0.51</v>
      </c>
      <c r="I2365" s="14" t="s">
        <v>6039</v>
      </c>
      <c r="J2365" s="14">
        <v>33.33</v>
      </c>
      <c r="K2365" s="14">
        <v>12.95</v>
      </c>
      <c r="L2365" s="14">
        <v>0.0</v>
      </c>
    </row>
    <row r="2366">
      <c r="A2366" s="14">
        <v>1040.0</v>
      </c>
      <c r="B2366" s="14">
        <v>4.0</v>
      </c>
      <c r="C2366" s="34">
        <v>13.95</v>
      </c>
      <c r="D2366" s="36">
        <v>44984.0</v>
      </c>
      <c r="E2366" s="24"/>
      <c r="F2366" s="14">
        <v>3.49</v>
      </c>
      <c r="G2366" s="14">
        <v>13.41</v>
      </c>
      <c r="H2366" s="14">
        <v>0.38</v>
      </c>
      <c r="I2366" s="14" t="s">
        <v>6042</v>
      </c>
      <c r="J2366" s="14">
        <v>0.0</v>
      </c>
      <c r="K2366" s="14" t="s">
        <v>6012</v>
      </c>
      <c r="L2366" s="14">
        <v>0.0</v>
      </c>
    </row>
    <row r="2367">
      <c r="A2367" s="14">
        <v>872.0</v>
      </c>
      <c r="B2367" s="14">
        <v>5.0</v>
      </c>
      <c r="C2367" s="34">
        <v>20.31</v>
      </c>
      <c r="D2367" s="36">
        <v>44984.0</v>
      </c>
      <c r="E2367" s="24"/>
      <c r="F2367" s="14">
        <v>4.06</v>
      </c>
      <c r="G2367" s="14">
        <v>23.29</v>
      </c>
      <c r="H2367" s="14">
        <v>0.57</v>
      </c>
      <c r="I2367" s="14" t="s">
        <v>6035</v>
      </c>
      <c r="J2367" s="14">
        <v>0.0</v>
      </c>
      <c r="K2367" s="14" t="s">
        <v>6012</v>
      </c>
      <c r="L2367" s="14">
        <v>0.0</v>
      </c>
    </row>
    <row r="2368">
      <c r="A2368" s="14">
        <v>1005.0</v>
      </c>
      <c r="B2368" s="14">
        <v>6.0</v>
      </c>
      <c r="C2368" s="34">
        <v>13.14</v>
      </c>
      <c r="D2368" s="36">
        <v>44984.0</v>
      </c>
      <c r="E2368" s="24"/>
      <c r="F2368" s="14">
        <v>2.19</v>
      </c>
      <c r="G2368" s="14">
        <v>13.07</v>
      </c>
      <c r="H2368" s="14">
        <v>0.6</v>
      </c>
      <c r="I2368" s="14" t="s">
        <v>6037</v>
      </c>
      <c r="J2368" s="14">
        <v>0.0</v>
      </c>
      <c r="K2368" s="14" t="s">
        <v>6012</v>
      </c>
      <c r="L2368" s="14">
        <v>0.0</v>
      </c>
    </row>
    <row r="2369">
      <c r="A2369" s="14">
        <v>213.0</v>
      </c>
      <c r="B2369" s="14">
        <v>2.0</v>
      </c>
      <c r="C2369" s="34">
        <v>5.81</v>
      </c>
      <c r="D2369" s="36">
        <v>44985.0</v>
      </c>
      <c r="E2369" s="24"/>
      <c r="F2369" s="14">
        <v>2.9</v>
      </c>
      <c r="G2369" s="14">
        <v>27.28</v>
      </c>
      <c r="H2369" s="14">
        <v>0.94</v>
      </c>
      <c r="I2369" s="14" t="s">
        <v>6051</v>
      </c>
      <c r="J2369" s="14">
        <v>0.0</v>
      </c>
      <c r="K2369" s="14" t="s">
        <v>6012</v>
      </c>
      <c r="L2369" s="14">
        <v>0.0</v>
      </c>
    </row>
    <row r="2370">
      <c r="A2370" s="14">
        <v>189.0</v>
      </c>
      <c r="B2370" s="14">
        <v>0.0</v>
      </c>
      <c r="C2370" s="34">
        <v>5.0</v>
      </c>
      <c r="D2370" s="36">
        <v>44985.0</v>
      </c>
      <c r="E2370" s="24"/>
      <c r="F2370" s="14" t="s">
        <v>6012</v>
      </c>
      <c r="G2370" s="14">
        <v>26.46</v>
      </c>
      <c r="H2370" s="14">
        <v>0.0</v>
      </c>
      <c r="I2370" s="14" t="s">
        <v>6039</v>
      </c>
      <c r="J2370" s="14" t="s">
        <v>6012</v>
      </c>
      <c r="K2370" s="14" t="s">
        <v>6012</v>
      </c>
      <c r="L2370" s="14">
        <v>0.0</v>
      </c>
    </row>
    <row r="2371">
      <c r="A2371" s="14">
        <v>183.0</v>
      </c>
      <c r="B2371" s="14">
        <v>2.0</v>
      </c>
      <c r="C2371" s="34">
        <v>4.85</v>
      </c>
      <c r="D2371" s="36">
        <v>44985.0</v>
      </c>
      <c r="E2371" s="24"/>
      <c r="F2371" s="14">
        <v>2.42</v>
      </c>
      <c r="G2371" s="14">
        <v>26.5</v>
      </c>
      <c r="H2371" s="14">
        <v>1.09</v>
      </c>
      <c r="I2371" s="14" t="s">
        <v>6035</v>
      </c>
      <c r="J2371" s="14">
        <v>0.0</v>
      </c>
      <c r="K2371" s="14" t="s">
        <v>6012</v>
      </c>
      <c r="L2371" s="14">
        <v>0.0</v>
      </c>
    </row>
    <row r="2372">
      <c r="A2372" s="14">
        <v>412.0</v>
      </c>
      <c r="B2372" s="14">
        <v>3.0</v>
      </c>
      <c r="C2372" s="34">
        <v>5.43</v>
      </c>
      <c r="D2372" s="36">
        <v>44985.0</v>
      </c>
      <c r="E2372" s="24"/>
      <c r="F2372" s="14">
        <v>1.81</v>
      </c>
      <c r="G2372" s="14">
        <v>13.18</v>
      </c>
      <c r="H2372" s="14">
        <v>0.73</v>
      </c>
      <c r="I2372" s="14" t="s">
        <v>6042</v>
      </c>
      <c r="J2372" s="14">
        <v>0.0</v>
      </c>
      <c r="K2372" s="14" t="s">
        <v>6012</v>
      </c>
      <c r="L2372" s="14">
        <v>0.0</v>
      </c>
    </row>
    <row r="2373">
      <c r="A2373" s="14">
        <v>127.0</v>
      </c>
      <c r="B2373" s="14">
        <v>1.0</v>
      </c>
      <c r="C2373" s="34">
        <v>6.33</v>
      </c>
      <c r="D2373" s="36">
        <v>44985.0</v>
      </c>
      <c r="E2373" s="24"/>
      <c r="F2373" s="14">
        <v>6.33</v>
      </c>
      <c r="G2373" s="14">
        <v>49.84</v>
      </c>
      <c r="H2373" s="14">
        <v>0.79</v>
      </c>
      <c r="I2373" s="14" t="s">
        <v>6038</v>
      </c>
      <c r="J2373" s="14">
        <v>0.0</v>
      </c>
      <c r="K2373" s="14" t="s">
        <v>6012</v>
      </c>
      <c r="L2373" s="14">
        <v>0.0</v>
      </c>
    </row>
    <row r="2374">
      <c r="A2374" s="14">
        <v>239.0</v>
      </c>
      <c r="B2374" s="14">
        <v>1.0</v>
      </c>
      <c r="C2374" s="34">
        <v>5.23</v>
      </c>
      <c r="D2374" s="36">
        <v>44985.0</v>
      </c>
      <c r="E2374" s="24"/>
      <c r="F2374" s="14">
        <v>5.23</v>
      </c>
      <c r="G2374" s="14">
        <v>21.88</v>
      </c>
      <c r="H2374" s="14">
        <v>0.42</v>
      </c>
      <c r="I2374" s="14" t="s">
        <v>6037</v>
      </c>
      <c r="J2374" s="14">
        <v>0.0</v>
      </c>
      <c r="K2374" s="14" t="s">
        <v>6012</v>
      </c>
      <c r="L2374" s="14">
        <v>0.0</v>
      </c>
    </row>
    <row r="2375">
      <c r="A2375" s="14">
        <v>562.0</v>
      </c>
      <c r="B2375" s="14">
        <v>10.0</v>
      </c>
      <c r="C2375" s="34">
        <v>3.63</v>
      </c>
      <c r="D2375" s="36">
        <v>44985.0</v>
      </c>
      <c r="E2375" s="24"/>
      <c r="F2375" s="14">
        <v>0.36</v>
      </c>
      <c r="G2375" s="14">
        <v>6.46</v>
      </c>
      <c r="H2375" s="14">
        <v>1.78</v>
      </c>
      <c r="I2375" s="14" t="s">
        <v>6050</v>
      </c>
      <c r="J2375" s="14">
        <v>0.0</v>
      </c>
      <c r="K2375" s="14" t="s">
        <v>6012</v>
      </c>
      <c r="L2375" s="14">
        <v>0.0</v>
      </c>
    </row>
    <row r="2376">
      <c r="A2376" s="14">
        <v>838.0</v>
      </c>
      <c r="B2376" s="14">
        <v>2.0</v>
      </c>
      <c r="C2376" s="34">
        <v>26.81</v>
      </c>
      <c r="D2376" s="36">
        <v>44986.0</v>
      </c>
      <c r="E2376" s="24"/>
      <c r="F2376" s="14">
        <v>13.4</v>
      </c>
      <c r="G2376" s="14">
        <v>31.99</v>
      </c>
      <c r="H2376" s="14">
        <v>0.24</v>
      </c>
      <c r="I2376" s="14" t="s">
        <v>6035</v>
      </c>
      <c r="J2376" s="14">
        <v>0.0</v>
      </c>
      <c r="K2376" s="14" t="s">
        <v>6012</v>
      </c>
      <c r="L2376" s="14">
        <v>0.0</v>
      </c>
    </row>
    <row r="2377">
      <c r="A2377" s="14">
        <v>101.0</v>
      </c>
      <c r="B2377" s="14">
        <v>2.0</v>
      </c>
      <c r="C2377" s="34">
        <v>2.5</v>
      </c>
      <c r="D2377" s="36">
        <v>44986.0</v>
      </c>
      <c r="E2377" s="24"/>
      <c r="F2377" s="14">
        <v>1.25</v>
      </c>
      <c r="G2377" s="14">
        <v>24.75</v>
      </c>
      <c r="H2377" s="14">
        <v>1.98</v>
      </c>
      <c r="I2377" s="14" t="s">
        <v>6050</v>
      </c>
      <c r="J2377" s="14">
        <v>0.0</v>
      </c>
      <c r="K2377" s="14" t="s">
        <v>6012</v>
      </c>
      <c r="L2377" s="14">
        <v>0.0</v>
      </c>
    </row>
    <row r="2378">
      <c r="A2378" s="14">
        <v>412.0</v>
      </c>
      <c r="B2378" s="14">
        <v>3.0</v>
      </c>
      <c r="C2378" s="34">
        <v>12.97</v>
      </c>
      <c r="D2378" s="36">
        <v>44986.0</v>
      </c>
      <c r="E2378" s="24"/>
      <c r="F2378" s="14">
        <v>4.32</v>
      </c>
      <c r="G2378" s="14">
        <v>31.48</v>
      </c>
      <c r="H2378" s="14">
        <v>0.73</v>
      </c>
      <c r="I2378" s="14" t="s">
        <v>6051</v>
      </c>
      <c r="J2378" s="14">
        <v>0.0</v>
      </c>
      <c r="K2378" s="14" t="s">
        <v>6012</v>
      </c>
      <c r="L2378" s="14">
        <v>0.0</v>
      </c>
    </row>
    <row r="2379">
      <c r="A2379" s="14">
        <v>410.0</v>
      </c>
      <c r="B2379" s="14">
        <v>2.0</v>
      </c>
      <c r="C2379" s="34">
        <v>21.65</v>
      </c>
      <c r="D2379" s="36">
        <v>44986.0</v>
      </c>
      <c r="E2379" s="24"/>
      <c r="F2379" s="14">
        <v>10.82</v>
      </c>
      <c r="G2379" s="14">
        <v>52.8</v>
      </c>
      <c r="H2379" s="14">
        <v>0.49</v>
      </c>
      <c r="I2379" s="14" t="s">
        <v>6038</v>
      </c>
      <c r="J2379" s="14">
        <v>0.0</v>
      </c>
      <c r="K2379" s="14" t="s">
        <v>6012</v>
      </c>
      <c r="L2379" s="14">
        <v>0.0</v>
      </c>
    </row>
    <row r="2380">
      <c r="A2380" s="14">
        <v>444.0</v>
      </c>
      <c r="B2380" s="14">
        <v>2.0</v>
      </c>
      <c r="C2380" s="34">
        <v>13.86</v>
      </c>
      <c r="D2380" s="36">
        <v>44986.0</v>
      </c>
      <c r="E2380" s="24"/>
      <c r="F2380" s="14">
        <v>6.93</v>
      </c>
      <c r="G2380" s="14">
        <v>31.22</v>
      </c>
      <c r="H2380" s="14">
        <v>0.45</v>
      </c>
      <c r="I2380" s="14" t="s">
        <v>6042</v>
      </c>
      <c r="J2380" s="14">
        <v>150.0</v>
      </c>
      <c r="K2380" s="14">
        <v>4.62</v>
      </c>
      <c r="L2380" s="14">
        <v>0.0</v>
      </c>
    </row>
    <row r="2381">
      <c r="A2381" s="14">
        <v>816.0</v>
      </c>
      <c r="B2381" s="14">
        <v>9.0</v>
      </c>
      <c r="C2381" s="34">
        <v>14.84</v>
      </c>
      <c r="D2381" s="36">
        <v>44986.0</v>
      </c>
      <c r="E2381" s="24"/>
      <c r="F2381" s="14">
        <v>1.65</v>
      </c>
      <c r="G2381" s="14">
        <v>18.19</v>
      </c>
      <c r="H2381" s="14">
        <v>1.1</v>
      </c>
      <c r="I2381" s="14" t="s">
        <v>6037</v>
      </c>
      <c r="J2381" s="14">
        <v>0.0</v>
      </c>
      <c r="K2381" s="14" t="s">
        <v>6012</v>
      </c>
      <c r="L2381" s="14">
        <v>0.0</v>
      </c>
    </row>
    <row r="2382">
      <c r="A2382" s="14">
        <v>68.0</v>
      </c>
      <c r="B2382" s="14">
        <v>13.0</v>
      </c>
      <c r="C2382" s="34">
        <v>0.75</v>
      </c>
      <c r="D2382" s="36">
        <v>44986.0</v>
      </c>
      <c r="E2382" s="24"/>
      <c r="F2382" s="14">
        <v>0.06</v>
      </c>
      <c r="G2382" s="14">
        <v>11.03</v>
      </c>
      <c r="H2382" s="14">
        <v>19.12</v>
      </c>
      <c r="I2382" s="14" t="s">
        <v>6053</v>
      </c>
      <c r="J2382" s="14">
        <v>92.31</v>
      </c>
      <c r="K2382" s="14">
        <v>0.06</v>
      </c>
      <c r="L2382" s="14">
        <v>0.0</v>
      </c>
    </row>
    <row r="2383">
      <c r="A2383" s="14">
        <v>653.0</v>
      </c>
      <c r="B2383" s="14">
        <v>9.0</v>
      </c>
      <c r="C2383" s="34">
        <v>11.84</v>
      </c>
      <c r="D2383" s="36">
        <v>44986.0</v>
      </c>
      <c r="E2383" s="24"/>
      <c r="F2383" s="14">
        <v>1.32</v>
      </c>
      <c r="G2383" s="14">
        <v>18.13</v>
      </c>
      <c r="H2383" s="14">
        <v>1.38</v>
      </c>
      <c r="I2383" s="14" t="s">
        <v>6054</v>
      </c>
      <c r="J2383" s="14">
        <v>22.22</v>
      </c>
      <c r="K2383" s="14">
        <v>5.92</v>
      </c>
      <c r="L2383" s="14">
        <v>0.0</v>
      </c>
    </row>
    <row r="2384">
      <c r="A2384" s="14">
        <v>313.0</v>
      </c>
      <c r="B2384" s="14">
        <v>2.0</v>
      </c>
      <c r="C2384" s="34">
        <v>15.23</v>
      </c>
      <c r="D2384" s="36">
        <v>44986.0</v>
      </c>
      <c r="E2384" s="24"/>
      <c r="F2384" s="14">
        <v>7.62</v>
      </c>
      <c r="G2384" s="14">
        <v>48.66</v>
      </c>
      <c r="H2384" s="14">
        <v>0.64</v>
      </c>
      <c r="I2384" s="14" t="s">
        <v>6039</v>
      </c>
      <c r="J2384" s="14">
        <v>50.0</v>
      </c>
      <c r="K2384" s="14">
        <v>15.23</v>
      </c>
      <c r="L2384" s="14">
        <v>0.0</v>
      </c>
    </row>
    <row r="2385">
      <c r="A2385" s="14">
        <v>71.0</v>
      </c>
      <c r="B2385" s="14">
        <v>15.0</v>
      </c>
      <c r="C2385" s="34">
        <v>0.8</v>
      </c>
      <c r="D2385" s="36">
        <v>44986.0</v>
      </c>
      <c r="E2385" s="24"/>
      <c r="F2385" s="14">
        <v>0.05</v>
      </c>
      <c r="G2385" s="14">
        <v>11.27</v>
      </c>
      <c r="H2385" s="14">
        <v>21.13</v>
      </c>
      <c r="I2385" s="14" t="s">
        <v>6055</v>
      </c>
      <c r="J2385" s="14">
        <v>73.33</v>
      </c>
      <c r="K2385" s="14">
        <v>0.07</v>
      </c>
      <c r="L2385" s="14">
        <v>0.0</v>
      </c>
    </row>
    <row r="2386">
      <c r="A2386" s="14">
        <v>80.0</v>
      </c>
      <c r="B2386" s="14">
        <v>0.0</v>
      </c>
      <c r="C2386" s="34">
        <v>24.23</v>
      </c>
      <c r="D2386" s="36">
        <v>44987.0</v>
      </c>
      <c r="E2386" s="24"/>
      <c r="F2386" s="14" t="s">
        <v>6012</v>
      </c>
      <c r="G2386" s="14">
        <v>302.88</v>
      </c>
      <c r="H2386" s="14">
        <v>0.0</v>
      </c>
      <c r="I2386" s="14" t="s">
        <v>6038</v>
      </c>
      <c r="J2386" s="14" t="s">
        <v>6012</v>
      </c>
      <c r="K2386" s="14">
        <v>12.12</v>
      </c>
      <c r="L2386" s="14">
        <v>0.0</v>
      </c>
    </row>
    <row r="2387">
      <c r="A2387" s="14">
        <v>769.0</v>
      </c>
      <c r="B2387" s="14">
        <v>2.0</v>
      </c>
      <c r="C2387" s="34">
        <v>13.22</v>
      </c>
      <c r="D2387" s="36">
        <v>44987.0</v>
      </c>
      <c r="E2387" s="24"/>
      <c r="F2387" s="14">
        <v>6.61</v>
      </c>
      <c r="G2387" s="14">
        <v>17.19</v>
      </c>
      <c r="H2387" s="14">
        <v>0.26</v>
      </c>
      <c r="I2387" s="14" t="s">
        <v>6051</v>
      </c>
      <c r="J2387" s="14">
        <v>0.0</v>
      </c>
      <c r="K2387" s="14" t="s">
        <v>6012</v>
      </c>
      <c r="L2387" s="14">
        <v>0.0</v>
      </c>
    </row>
    <row r="2388">
      <c r="A2388" s="14">
        <v>0.0</v>
      </c>
      <c r="B2388" s="14">
        <v>0.0</v>
      </c>
      <c r="C2388" s="34"/>
      <c r="D2388" s="36">
        <v>44987.0</v>
      </c>
      <c r="E2388" s="24"/>
      <c r="F2388" s="14" t="s">
        <v>6012</v>
      </c>
      <c r="G2388" s="14" t="s">
        <v>6012</v>
      </c>
      <c r="H2388" s="14" t="s">
        <v>6012</v>
      </c>
      <c r="I2388" s="14" t="s">
        <v>6052</v>
      </c>
      <c r="J2388" s="14" t="s">
        <v>6012</v>
      </c>
      <c r="K2388" s="14" t="s">
        <v>6012</v>
      </c>
      <c r="L2388" s="14"/>
    </row>
    <row r="2389">
      <c r="A2389" s="14">
        <v>133.0</v>
      </c>
      <c r="B2389" s="14">
        <v>2.0</v>
      </c>
      <c r="C2389" s="34">
        <v>15.0</v>
      </c>
      <c r="D2389" s="36">
        <v>44987.0</v>
      </c>
      <c r="E2389" s="24"/>
      <c r="F2389" s="14">
        <v>7.5</v>
      </c>
      <c r="G2389" s="14">
        <v>112.78</v>
      </c>
      <c r="H2389" s="14">
        <v>1.5</v>
      </c>
      <c r="I2389" s="14" t="s">
        <v>6050</v>
      </c>
      <c r="J2389" s="14">
        <v>0.0</v>
      </c>
      <c r="K2389" s="14" t="s">
        <v>6012</v>
      </c>
      <c r="L2389" s="14">
        <v>0.0</v>
      </c>
    </row>
    <row r="2390">
      <c r="A2390" s="14">
        <v>101.0</v>
      </c>
      <c r="B2390" s="14">
        <v>1.0</v>
      </c>
      <c r="C2390" s="34">
        <v>28.5</v>
      </c>
      <c r="D2390" s="36">
        <v>44987.0</v>
      </c>
      <c r="E2390" s="24"/>
      <c r="F2390" s="14">
        <v>28.5</v>
      </c>
      <c r="G2390" s="14">
        <v>282.18</v>
      </c>
      <c r="H2390" s="14">
        <v>0.99</v>
      </c>
      <c r="I2390" s="14" t="s">
        <v>6035</v>
      </c>
      <c r="J2390" s="14">
        <v>0.0</v>
      </c>
      <c r="K2390" s="14" t="s">
        <v>6012</v>
      </c>
      <c r="L2390" s="14">
        <v>0.0</v>
      </c>
    </row>
    <row r="2391">
      <c r="A2391" s="14">
        <v>1146.0</v>
      </c>
      <c r="B2391" s="14">
        <v>19.0</v>
      </c>
      <c r="C2391" s="34">
        <v>15.19</v>
      </c>
      <c r="D2391" s="36">
        <v>44987.0</v>
      </c>
      <c r="E2391" s="24"/>
      <c r="F2391" s="14">
        <v>0.8</v>
      </c>
      <c r="G2391" s="14">
        <v>13.25</v>
      </c>
      <c r="H2391" s="14">
        <v>1.66</v>
      </c>
      <c r="I2391" s="14" t="s">
        <v>6037</v>
      </c>
      <c r="J2391" s="14">
        <v>0.0</v>
      </c>
      <c r="K2391" s="14" t="s">
        <v>6012</v>
      </c>
      <c r="L2391" s="14">
        <v>0.0</v>
      </c>
    </row>
    <row r="2392">
      <c r="A2392" s="14">
        <v>549.0</v>
      </c>
      <c r="B2392" s="14">
        <v>2.0</v>
      </c>
      <c r="C2392" s="34">
        <v>15.77</v>
      </c>
      <c r="D2392" s="36">
        <v>44987.0</v>
      </c>
      <c r="E2392" s="24"/>
      <c r="F2392" s="14">
        <v>7.88</v>
      </c>
      <c r="G2392" s="14">
        <v>28.72</v>
      </c>
      <c r="H2392" s="14">
        <v>0.36</v>
      </c>
      <c r="I2392" s="14" t="s">
        <v>6042</v>
      </c>
      <c r="J2392" s="14">
        <v>350.0</v>
      </c>
      <c r="K2392" s="14">
        <v>2.25</v>
      </c>
      <c r="L2392" s="14">
        <v>0.0</v>
      </c>
    </row>
    <row r="2393">
      <c r="A2393" s="14">
        <v>513.0</v>
      </c>
      <c r="B2393" s="14">
        <v>6.0</v>
      </c>
      <c r="C2393" s="34">
        <v>15.62</v>
      </c>
      <c r="D2393" s="36">
        <v>44987.0</v>
      </c>
      <c r="E2393" s="24"/>
      <c r="F2393" s="14">
        <v>2.6</v>
      </c>
      <c r="G2393" s="14">
        <v>30.45</v>
      </c>
      <c r="H2393" s="14">
        <v>1.17</v>
      </c>
      <c r="I2393" s="14" t="s">
        <v>6039</v>
      </c>
      <c r="J2393" s="14">
        <v>0.0</v>
      </c>
      <c r="K2393" s="14" t="s">
        <v>6012</v>
      </c>
      <c r="L2393" s="14">
        <v>0.0</v>
      </c>
    </row>
    <row r="2394">
      <c r="A2394" s="14">
        <v>308.0</v>
      </c>
      <c r="B2394" s="14">
        <v>28.0</v>
      </c>
      <c r="C2394" s="34">
        <v>14.78</v>
      </c>
      <c r="D2394" s="36">
        <v>44987.0</v>
      </c>
      <c r="E2394" s="24"/>
      <c r="F2394" s="14">
        <v>0.53</v>
      </c>
      <c r="G2394" s="14">
        <v>47.99</v>
      </c>
      <c r="H2394" s="14">
        <v>9.09</v>
      </c>
      <c r="I2394" s="14" t="s">
        <v>6055</v>
      </c>
      <c r="J2394" s="14">
        <v>67.86</v>
      </c>
      <c r="K2394" s="14">
        <v>0.78</v>
      </c>
      <c r="L2394" s="14">
        <v>0.0</v>
      </c>
    </row>
    <row r="2395">
      <c r="A2395" s="14">
        <v>466.0</v>
      </c>
      <c r="B2395" s="14">
        <v>6.0</v>
      </c>
      <c r="C2395" s="34">
        <v>11.34</v>
      </c>
      <c r="D2395" s="36">
        <v>44987.0</v>
      </c>
      <c r="E2395" s="24"/>
      <c r="F2395" s="14">
        <v>1.89</v>
      </c>
      <c r="G2395" s="14">
        <v>24.33</v>
      </c>
      <c r="H2395" s="14">
        <v>1.29</v>
      </c>
      <c r="I2395" s="14" t="s">
        <v>6054</v>
      </c>
      <c r="J2395" s="14">
        <v>0.0</v>
      </c>
      <c r="K2395" s="14" t="s">
        <v>6012</v>
      </c>
      <c r="L2395" s="14">
        <v>2.0</v>
      </c>
    </row>
    <row r="2396">
      <c r="A2396" s="14">
        <v>214.0</v>
      </c>
      <c r="B2396" s="14">
        <v>29.0</v>
      </c>
      <c r="C2396" s="34">
        <v>15.64</v>
      </c>
      <c r="D2396" s="36">
        <v>44987.0</v>
      </c>
      <c r="E2396" s="24"/>
      <c r="F2396" s="14">
        <v>0.54</v>
      </c>
      <c r="G2396" s="14">
        <v>73.08</v>
      </c>
      <c r="H2396" s="14">
        <v>13.55</v>
      </c>
      <c r="I2396" s="14" t="s">
        <v>6053</v>
      </c>
      <c r="J2396" s="14">
        <v>31.03</v>
      </c>
      <c r="K2396" s="14">
        <v>1.74</v>
      </c>
      <c r="L2396" s="14">
        <v>0.0</v>
      </c>
    </row>
    <row r="2397">
      <c r="A2397" s="14">
        <v>0.0</v>
      </c>
      <c r="B2397" s="14">
        <v>0.0</v>
      </c>
      <c r="C2397" s="34"/>
      <c r="D2397" s="36">
        <v>44987.0</v>
      </c>
      <c r="E2397" s="24"/>
      <c r="F2397" s="14" t="s">
        <v>6012</v>
      </c>
      <c r="G2397" s="14" t="s">
        <v>6012</v>
      </c>
      <c r="H2397" s="14" t="s">
        <v>6012</v>
      </c>
      <c r="I2397" s="14" t="s">
        <v>6049</v>
      </c>
      <c r="J2397" s="14" t="s">
        <v>6012</v>
      </c>
      <c r="K2397" s="14" t="s">
        <v>6012</v>
      </c>
      <c r="L2397" s="14"/>
    </row>
    <row r="2398">
      <c r="A2398" s="14">
        <v>192.0</v>
      </c>
      <c r="B2398" s="14">
        <v>13.0</v>
      </c>
      <c r="C2398" s="34">
        <v>15.3</v>
      </c>
      <c r="D2398" s="36">
        <v>44988.0</v>
      </c>
      <c r="E2398" s="24"/>
      <c r="F2398" s="14">
        <v>1.18</v>
      </c>
      <c r="G2398" s="14">
        <v>79.69</v>
      </c>
      <c r="H2398" s="14">
        <v>6.77</v>
      </c>
      <c r="I2398" s="14" t="s">
        <v>6053</v>
      </c>
      <c r="J2398" s="14">
        <v>30.77</v>
      </c>
      <c r="K2398" s="14">
        <v>3.82</v>
      </c>
      <c r="L2398" s="14">
        <v>0.0</v>
      </c>
    </row>
    <row r="2399">
      <c r="A2399" s="14">
        <v>271.0</v>
      </c>
      <c r="B2399" s="14">
        <v>14.0</v>
      </c>
      <c r="C2399" s="34">
        <v>16.06</v>
      </c>
      <c r="D2399" s="36">
        <v>44988.0</v>
      </c>
      <c r="E2399" s="24"/>
      <c r="F2399" s="14">
        <v>1.15</v>
      </c>
      <c r="G2399" s="14">
        <v>59.26</v>
      </c>
      <c r="H2399" s="14">
        <v>5.17</v>
      </c>
      <c r="I2399" s="14" t="s">
        <v>6055</v>
      </c>
      <c r="J2399" s="14">
        <v>78.57</v>
      </c>
      <c r="K2399" s="14">
        <v>1.46</v>
      </c>
      <c r="L2399" s="14">
        <v>0.0</v>
      </c>
    </row>
    <row r="2400">
      <c r="A2400" s="14">
        <v>84.0</v>
      </c>
      <c r="B2400" s="14">
        <v>3.0</v>
      </c>
      <c r="C2400" s="34">
        <v>26.91</v>
      </c>
      <c r="D2400" s="36">
        <v>44988.0</v>
      </c>
      <c r="E2400" s="24"/>
      <c r="F2400" s="14">
        <v>8.97</v>
      </c>
      <c r="G2400" s="14">
        <v>320.36</v>
      </c>
      <c r="H2400" s="14">
        <v>3.57</v>
      </c>
      <c r="I2400" s="14" t="s">
        <v>6035</v>
      </c>
      <c r="J2400" s="14">
        <v>0.0</v>
      </c>
      <c r="K2400" s="14" t="s">
        <v>6012</v>
      </c>
      <c r="L2400" s="14">
        <v>0.0</v>
      </c>
    </row>
    <row r="2401">
      <c r="A2401" s="14">
        <v>89.0</v>
      </c>
      <c r="B2401" s="14">
        <v>2.0</v>
      </c>
      <c r="C2401" s="34">
        <v>15.0</v>
      </c>
      <c r="D2401" s="36">
        <v>44988.0</v>
      </c>
      <c r="E2401" s="24"/>
      <c r="F2401" s="14">
        <v>7.5</v>
      </c>
      <c r="G2401" s="14">
        <v>168.54</v>
      </c>
      <c r="H2401" s="14">
        <v>2.25</v>
      </c>
      <c r="I2401" s="14" t="s">
        <v>6050</v>
      </c>
      <c r="J2401" s="14">
        <v>50.0</v>
      </c>
      <c r="K2401" s="14">
        <v>15.0</v>
      </c>
      <c r="L2401" s="14">
        <v>0.0</v>
      </c>
    </row>
    <row r="2402">
      <c r="A2402" s="14">
        <v>1242.0</v>
      </c>
      <c r="B2402" s="14">
        <v>12.0</v>
      </c>
      <c r="C2402" s="34">
        <v>12.91</v>
      </c>
      <c r="D2402" s="36">
        <v>44988.0</v>
      </c>
      <c r="E2402" s="24"/>
      <c r="F2402" s="14">
        <v>1.08</v>
      </c>
      <c r="G2402" s="14">
        <v>10.39</v>
      </c>
      <c r="H2402" s="14">
        <v>0.97</v>
      </c>
      <c r="I2402" s="14" t="s">
        <v>6051</v>
      </c>
      <c r="J2402" s="14">
        <v>25.0</v>
      </c>
      <c r="K2402" s="14">
        <v>4.3</v>
      </c>
      <c r="L2402" s="14">
        <v>0.0</v>
      </c>
    </row>
    <row r="2403">
      <c r="A2403" s="14">
        <v>0.0</v>
      </c>
      <c r="B2403" s="14">
        <v>0.0</v>
      </c>
      <c r="C2403" s="34"/>
      <c r="D2403" s="36">
        <v>44988.0</v>
      </c>
      <c r="E2403" s="24"/>
      <c r="F2403" s="14" t="s">
        <v>6012</v>
      </c>
      <c r="G2403" s="14" t="s">
        <v>6012</v>
      </c>
      <c r="H2403" s="14" t="s">
        <v>6012</v>
      </c>
      <c r="I2403" s="14" t="s">
        <v>6052</v>
      </c>
      <c r="J2403" s="14" t="s">
        <v>6012</v>
      </c>
      <c r="K2403" s="14" t="s">
        <v>6012</v>
      </c>
      <c r="L2403" s="14"/>
    </row>
    <row r="2404">
      <c r="A2404" s="14">
        <v>79.0</v>
      </c>
      <c r="B2404" s="14">
        <v>5.0</v>
      </c>
      <c r="C2404" s="34">
        <v>13.7</v>
      </c>
      <c r="D2404" s="36">
        <v>44988.0</v>
      </c>
      <c r="E2404" s="24"/>
      <c r="F2404" s="14">
        <v>2.74</v>
      </c>
      <c r="G2404" s="14">
        <v>173.42</v>
      </c>
      <c r="H2404" s="14">
        <v>6.33</v>
      </c>
      <c r="I2404" s="14" t="s">
        <v>6037</v>
      </c>
      <c r="J2404" s="14">
        <v>20.0</v>
      </c>
      <c r="K2404" s="14">
        <v>13.7</v>
      </c>
      <c r="L2404" s="14">
        <v>0.0</v>
      </c>
    </row>
    <row r="2405">
      <c r="A2405" s="14">
        <v>92.0</v>
      </c>
      <c r="B2405" s="14">
        <v>0.0</v>
      </c>
      <c r="C2405" s="34">
        <v>13.64</v>
      </c>
      <c r="D2405" s="36">
        <v>44988.0</v>
      </c>
      <c r="E2405" s="24"/>
      <c r="F2405" s="14" t="s">
        <v>6012</v>
      </c>
      <c r="G2405" s="14">
        <v>148.26</v>
      </c>
      <c r="H2405" s="14">
        <v>0.0</v>
      </c>
      <c r="I2405" s="14" t="s">
        <v>6039</v>
      </c>
      <c r="J2405" s="14" t="s">
        <v>6012</v>
      </c>
      <c r="K2405" s="14">
        <v>6.82</v>
      </c>
      <c r="L2405" s="14">
        <v>0.0</v>
      </c>
    </row>
    <row r="2406">
      <c r="A2406" s="14">
        <v>59.0</v>
      </c>
      <c r="B2406" s="14">
        <v>0.0</v>
      </c>
      <c r="C2406" s="34">
        <v>23.8</v>
      </c>
      <c r="D2406" s="36">
        <v>44988.0</v>
      </c>
      <c r="E2406" s="24"/>
      <c r="F2406" s="14" t="s">
        <v>6012</v>
      </c>
      <c r="G2406" s="14">
        <v>403.39</v>
      </c>
      <c r="H2406" s="14">
        <v>0.0</v>
      </c>
      <c r="I2406" s="14" t="s">
        <v>6038</v>
      </c>
      <c r="J2406" s="14" t="s">
        <v>6012</v>
      </c>
      <c r="K2406" s="14" t="s">
        <v>6012</v>
      </c>
      <c r="L2406" s="14">
        <v>0.0</v>
      </c>
    </row>
    <row r="2407">
      <c r="A2407" s="14">
        <v>455.0</v>
      </c>
      <c r="B2407" s="14">
        <v>6.0</v>
      </c>
      <c r="C2407" s="34">
        <v>11.55</v>
      </c>
      <c r="D2407" s="36">
        <v>44988.0</v>
      </c>
      <c r="E2407" s="24"/>
      <c r="F2407" s="14">
        <v>1.92</v>
      </c>
      <c r="G2407" s="14">
        <v>25.38</v>
      </c>
      <c r="H2407" s="14">
        <v>1.32</v>
      </c>
      <c r="I2407" s="14" t="s">
        <v>6054</v>
      </c>
      <c r="J2407" s="14">
        <v>16.67</v>
      </c>
      <c r="K2407" s="14">
        <v>11.55</v>
      </c>
      <c r="L2407" s="14">
        <v>2.0</v>
      </c>
    </row>
    <row r="2408">
      <c r="A2408" s="14">
        <v>109.0</v>
      </c>
      <c r="B2408" s="14">
        <v>2.0</v>
      </c>
      <c r="C2408" s="34">
        <v>15.12</v>
      </c>
      <c r="D2408" s="36">
        <v>44988.0</v>
      </c>
      <c r="E2408" s="24"/>
      <c r="F2408" s="14">
        <v>7.56</v>
      </c>
      <c r="G2408" s="14">
        <v>138.72</v>
      </c>
      <c r="H2408" s="14">
        <v>1.83</v>
      </c>
      <c r="I2408" s="14" t="s">
        <v>6042</v>
      </c>
      <c r="J2408" s="14">
        <v>100.0</v>
      </c>
      <c r="K2408" s="14">
        <v>7.56</v>
      </c>
      <c r="L2408" s="14">
        <v>0.0</v>
      </c>
    </row>
    <row r="2409">
      <c r="A2409" s="14">
        <v>52.0</v>
      </c>
      <c r="B2409" s="14">
        <v>2.0</v>
      </c>
      <c r="C2409" s="34">
        <v>7.99</v>
      </c>
      <c r="D2409" s="36">
        <v>44989.0</v>
      </c>
      <c r="E2409" s="24"/>
      <c r="F2409" s="14">
        <v>4.0</v>
      </c>
      <c r="G2409" s="14">
        <v>153.65</v>
      </c>
      <c r="H2409" s="14">
        <v>3.85</v>
      </c>
      <c r="I2409" s="14" t="s">
        <v>6039</v>
      </c>
      <c r="J2409" s="14">
        <v>50.0</v>
      </c>
      <c r="K2409" s="14">
        <v>7.99</v>
      </c>
      <c r="L2409" s="14">
        <v>0.0</v>
      </c>
    </row>
    <row r="2410">
      <c r="A2410" s="14">
        <v>948.0</v>
      </c>
      <c r="B2410" s="14">
        <v>9.0</v>
      </c>
      <c r="C2410" s="34">
        <v>7.59</v>
      </c>
      <c r="D2410" s="36">
        <v>44989.0</v>
      </c>
      <c r="E2410" s="24"/>
      <c r="F2410" s="14">
        <v>0.84</v>
      </c>
      <c r="G2410" s="14">
        <v>8.01</v>
      </c>
      <c r="H2410" s="14">
        <v>0.95</v>
      </c>
      <c r="I2410" s="14" t="s">
        <v>6051</v>
      </c>
      <c r="J2410" s="14">
        <v>0.0</v>
      </c>
      <c r="K2410" s="14" t="s">
        <v>6012</v>
      </c>
      <c r="L2410" s="14">
        <v>0.0</v>
      </c>
    </row>
    <row r="2411">
      <c r="A2411" s="14">
        <v>32.0</v>
      </c>
      <c r="B2411" s="14">
        <v>1.0</v>
      </c>
      <c r="C2411" s="34">
        <v>13.21</v>
      </c>
      <c r="D2411" s="36">
        <v>44989.0</v>
      </c>
      <c r="E2411" s="24"/>
      <c r="F2411" s="14">
        <v>13.21</v>
      </c>
      <c r="G2411" s="14">
        <v>412.81</v>
      </c>
      <c r="H2411" s="14">
        <v>3.12</v>
      </c>
      <c r="I2411" s="14" t="s">
        <v>6038</v>
      </c>
      <c r="J2411" s="14">
        <v>0.0</v>
      </c>
      <c r="K2411" s="14" t="s">
        <v>6012</v>
      </c>
      <c r="L2411" s="14">
        <v>0.0</v>
      </c>
    </row>
    <row r="2412">
      <c r="A2412" s="14">
        <v>70.0</v>
      </c>
      <c r="B2412" s="14">
        <v>1.0</v>
      </c>
      <c r="C2412" s="34">
        <v>11.94</v>
      </c>
      <c r="D2412" s="36">
        <v>44989.0</v>
      </c>
      <c r="E2412" s="24"/>
      <c r="F2412" s="14">
        <v>11.94</v>
      </c>
      <c r="G2412" s="14">
        <v>170.57</v>
      </c>
      <c r="H2412" s="14">
        <v>1.43</v>
      </c>
      <c r="I2412" s="14" t="s">
        <v>6050</v>
      </c>
      <c r="J2412" s="14">
        <v>0.0</v>
      </c>
      <c r="K2412" s="14" t="s">
        <v>6012</v>
      </c>
      <c r="L2412" s="14">
        <v>0.0</v>
      </c>
    </row>
    <row r="2413">
      <c r="A2413" s="14">
        <v>107.0</v>
      </c>
      <c r="B2413" s="14">
        <v>7.0</v>
      </c>
      <c r="C2413" s="34">
        <v>8.02</v>
      </c>
      <c r="D2413" s="36">
        <v>44989.0</v>
      </c>
      <c r="E2413" s="24"/>
      <c r="F2413" s="14">
        <v>1.15</v>
      </c>
      <c r="G2413" s="14">
        <v>74.95</v>
      </c>
      <c r="H2413" s="14">
        <v>6.54</v>
      </c>
      <c r="I2413" s="14" t="s">
        <v>6053</v>
      </c>
      <c r="J2413" s="14">
        <v>57.14</v>
      </c>
      <c r="K2413" s="14">
        <v>2.0</v>
      </c>
      <c r="L2413" s="14">
        <v>0.0</v>
      </c>
    </row>
    <row r="2414">
      <c r="A2414" s="14">
        <v>223.0</v>
      </c>
      <c r="B2414" s="14">
        <v>1.0</v>
      </c>
      <c r="C2414" s="34">
        <v>7.52</v>
      </c>
      <c r="D2414" s="36">
        <v>44989.0</v>
      </c>
      <c r="E2414" s="24"/>
      <c r="F2414" s="14">
        <v>7.52</v>
      </c>
      <c r="G2414" s="14">
        <v>33.72</v>
      </c>
      <c r="H2414" s="14">
        <v>0.45</v>
      </c>
      <c r="I2414" s="14" t="s">
        <v>6054</v>
      </c>
      <c r="J2414" s="14">
        <v>0.0</v>
      </c>
      <c r="K2414" s="14" t="s">
        <v>6012</v>
      </c>
      <c r="L2414" s="14">
        <v>0.0</v>
      </c>
    </row>
    <row r="2415">
      <c r="A2415" s="14">
        <v>64.0</v>
      </c>
      <c r="B2415" s="14">
        <v>1.0</v>
      </c>
      <c r="C2415" s="34">
        <v>10.04</v>
      </c>
      <c r="D2415" s="36">
        <v>44989.0</v>
      </c>
      <c r="E2415" s="24"/>
      <c r="F2415" s="14">
        <v>10.04</v>
      </c>
      <c r="G2415" s="14">
        <v>156.88</v>
      </c>
      <c r="H2415" s="14">
        <v>1.56</v>
      </c>
      <c r="I2415" s="14" t="s">
        <v>6055</v>
      </c>
      <c r="J2415" s="14">
        <v>100.0</v>
      </c>
      <c r="K2415" s="14">
        <v>10.04</v>
      </c>
      <c r="L2415" s="14">
        <v>0.0</v>
      </c>
    </row>
    <row r="2416">
      <c r="A2416" s="14">
        <v>61.0</v>
      </c>
      <c r="B2416" s="14">
        <v>0.0</v>
      </c>
      <c r="C2416" s="34">
        <v>9.96</v>
      </c>
      <c r="D2416" s="36">
        <v>44989.0</v>
      </c>
      <c r="E2416" s="24"/>
      <c r="F2416" s="14" t="s">
        <v>6012</v>
      </c>
      <c r="G2416" s="14">
        <v>163.28</v>
      </c>
      <c r="H2416" s="14">
        <v>0.0</v>
      </c>
      <c r="I2416" s="14" t="s">
        <v>6042</v>
      </c>
      <c r="J2416" s="14" t="s">
        <v>6012</v>
      </c>
      <c r="K2416" s="14" t="s">
        <v>6012</v>
      </c>
      <c r="L2416" s="14">
        <v>0.0</v>
      </c>
    </row>
    <row r="2417">
      <c r="A2417" s="14">
        <v>41.0</v>
      </c>
      <c r="B2417" s="14">
        <v>3.0</v>
      </c>
      <c r="C2417" s="34">
        <v>7.88</v>
      </c>
      <c r="D2417" s="36">
        <v>44989.0</v>
      </c>
      <c r="E2417" s="24"/>
      <c r="F2417" s="14">
        <v>2.63</v>
      </c>
      <c r="G2417" s="14">
        <v>192.2</v>
      </c>
      <c r="H2417" s="14">
        <v>7.32</v>
      </c>
      <c r="I2417" s="14" t="s">
        <v>6037</v>
      </c>
      <c r="J2417" s="14">
        <v>0.0</v>
      </c>
      <c r="K2417" s="14" t="s">
        <v>6012</v>
      </c>
      <c r="L2417" s="14">
        <v>0.0</v>
      </c>
    </row>
    <row r="2418">
      <c r="A2418" s="14">
        <v>53.0</v>
      </c>
      <c r="B2418" s="14">
        <v>2.0</v>
      </c>
      <c r="C2418" s="34">
        <v>14.4</v>
      </c>
      <c r="D2418" s="36">
        <v>44989.0</v>
      </c>
      <c r="E2418" s="24"/>
      <c r="F2418" s="14">
        <v>7.2</v>
      </c>
      <c r="G2418" s="14">
        <v>271.7</v>
      </c>
      <c r="H2418" s="14">
        <v>3.77</v>
      </c>
      <c r="I2418" s="14" t="s">
        <v>6035</v>
      </c>
      <c r="J2418" s="14">
        <v>0.0</v>
      </c>
      <c r="K2418" s="14" t="s">
        <v>6012</v>
      </c>
      <c r="L2418" s="14">
        <v>0.0</v>
      </c>
    </row>
    <row r="2419">
      <c r="A2419" s="14">
        <v>1028.0</v>
      </c>
      <c r="B2419" s="14">
        <v>9.0</v>
      </c>
      <c r="C2419" s="34">
        <v>9.24</v>
      </c>
      <c r="D2419" s="36">
        <v>44990.0</v>
      </c>
      <c r="E2419" s="24"/>
      <c r="F2419" s="14">
        <v>1.03</v>
      </c>
      <c r="G2419" s="14">
        <v>8.99</v>
      </c>
      <c r="H2419" s="14">
        <v>0.88</v>
      </c>
      <c r="I2419" s="14" t="s">
        <v>6050</v>
      </c>
      <c r="J2419" s="14">
        <v>11.11</v>
      </c>
      <c r="K2419" s="14">
        <v>9.24</v>
      </c>
      <c r="L2419" s="14">
        <v>0.0</v>
      </c>
    </row>
    <row r="2420">
      <c r="A2420" s="14">
        <v>161.0</v>
      </c>
      <c r="B2420" s="14">
        <v>10.0</v>
      </c>
      <c r="C2420" s="34">
        <v>5.38</v>
      </c>
      <c r="D2420" s="36">
        <v>44990.0</v>
      </c>
      <c r="E2420" s="24"/>
      <c r="F2420" s="14">
        <v>0.54</v>
      </c>
      <c r="G2420" s="14">
        <v>33.42</v>
      </c>
      <c r="H2420" s="14">
        <v>6.21</v>
      </c>
      <c r="I2420" s="14" t="s">
        <v>6053</v>
      </c>
      <c r="J2420" s="14">
        <v>90.0</v>
      </c>
      <c r="K2420" s="14">
        <v>0.6</v>
      </c>
      <c r="L2420" s="14">
        <v>0.0</v>
      </c>
    </row>
    <row r="2421">
      <c r="A2421" s="14">
        <v>246.0</v>
      </c>
      <c r="B2421" s="14">
        <v>3.0</v>
      </c>
      <c r="C2421" s="34">
        <v>11.22</v>
      </c>
      <c r="D2421" s="36">
        <v>44990.0</v>
      </c>
      <c r="E2421" s="24"/>
      <c r="F2421" s="14">
        <v>3.74</v>
      </c>
      <c r="G2421" s="14">
        <v>45.61</v>
      </c>
      <c r="H2421" s="14">
        <v>1.22</v>
      </c>
      <c r="I2421" s="14" t="s">
        <v>6035</v>
      </c>
      <c r="J2421" s="14">
        <v>0.0</v>
      </c>
      <c r="K2421" s="14" t="s">
        <v>6012</v>
      </c>
      <c r="L2421" s="14">
        <v>0.0</v>
      </c>
    </row>
    <row r="2422">
      <c r="A2422" s="14">
        <v>110.0</v>
      </c>
      <c r="B2422" s="14">
        <v>1.0</v>
      </c>
      <c r="C2422" s="34">
        <v>9.0</v>
      </c>
      <c r="D2422" s="36">
        <v>44990.0</v>
      </c>
      <c r="E2422" s="24"/>
      <c r="F2422" s="14">
        <v>9.0</v>
      </c>
      <c r="G2422" s="14">
        <v>81.82</v>
      </c>
      <c r="H2422" s="14">
        <v>0.91</v>
      </c>
      <c r="I2422" s="14" t="s">
        <v>6038</v>
      </c>
      <c r="J2422" s="14">
        <v>0.0</v>
      </c>
      <c r="K2422" s="14" t="s">
        <v>6012</v>
      </c>
      <c r="L2422" s="14">
        <v>0.0</v>
      </c>
    </row>
    <row r="2423">
      <c r="A2423" s="14">
        <v>271.0</v>
      </c>
      <c r="B2423" s="14">
        <v>1.0</v>
      </c>
      <c r="C2423" s="34">
        <v>2.91</v>
      </c>
      <c r="D2423" s="36">
        <v>44990.0</v>
      </c>
      <c r="E2423" s="24"/>
      <c r="F2423" s="14">
        <v>2.91</v>
      </c>
      <c r="G2423" s="14">
        <v>10.74</v>
      </c>
      <c r="H2423" s="14">
        <v>0.37</v>
      </c>
      <c r="I2423" s="14" t="s">
        <v>6042</v>
      </c>
      <c r="J2423" s="14">
        <v>0.0</v>
      </c>
      <c r="K2423" s="14" t="s">
        <v>6012</v>
      </c>
      <c r="L2423" s="14">
        <v>0.0</v>
      </c>
    </row>
    <row r="2424">
      <c r="A2424" s="14">
        <v>314.0</v>
      </c>
      <c r="B2424" s="14">
        <v>1.0</v>
      </c>
      <c r="C2424" s="34">
        <v>6.57</v>
      </c>
      <c r="D2424" s="36">
        <v>44990.0</v>
      </c>
      <c r="E2424" s="24"/>
      <c r="F2424" s="14">
        <v>6.57</v>
      </c>
      <c r="G2424" s="14">
        <v>20.92</v>
      </c>
      <c r="H2424" s="14">
        <v>0.32</v>
      </c>
      <c r="I2424" s="14" t="s">
        <v>6039</v>
      </c>
      <c r="J2424" s="14">
        <v>0.0</v>
      </c>
      <c r="K2424" s="14" t="s">
        <v>6012</v>
      </c>
      <c r="L2424" s="14">
        <v>0.0</v>
      </c>
    </row>
    <row r="2425">
      <c r="A2425" s="14">
        <v>681.0</v>
      </c>
      <c r="B2425" s="14">
        <v>4.0</v>
      </c>
      <c r="C2425" s="34">
        <v>6.25</v>
      </c>
      <c r="D2425" s="36">
        <v>44990.0</v>
      </c>
      <c r="E2425" s="24"/>
      <c r="F2425" s="14">
        <v>1.56</v>
      </c>
      <c r="G2425" s="14">
        <v>9.18</v>
      </c>
      <c r="H2425" s="14">
        <v>0.59</v>
      </c>
      <c r="I2425" s="14" t="s">
        <v>6051</v>
      </c>
      <c r="J2425" s="14">
        <v>50.0</v>
      </c>
      <c r="K2425" s="14">
        <v>3.12</v>
      </c>
      <c r="L2425" s="14">
        <v>0.0</v>
      </c>
    </row>
    <row r="2426">
      <c r="A2426" s="14">
        <v>58.0</v>
      </c>
      <c r="B2426" s="14">
        <v>5.0</v>
      </c>
      <c r="C2426" s="34">
        <v>5.73</v>
      </c>
      <c r="D2426" s="36">
        <v>44990.0</v>
      </c>
      <c r="E2426" s="24"/>
      <c r="F2426" s="14">
        <v>1.15</v>
      </c>
      <c r="G2426" s="14">
        <v>98.79</v>
      </c>
      <c r="H2426" s="14">
        <v>8.62</v>
      </c>
      <c r="I2426" s="14" t="s">
        <v>6055</v>
      </c>
      <c r="J2426" s="14">
        <v>0.0</v>
      </c>
      <c r="K2426" s="14" t="s">
        <v>6012</v>
      </c>
      <c r="L2426" s="14">
        <v>0.0</v>
      </c>
    </row>
    <row r="2427">
      <c r="A2427" s="14">
        <v>281.0</v>
      </c>
      <c r="B2427" s="14">
        <v>1.0</v>
      </c>
      <c r="C2427" s="34">
        <v>5.53</v>
      </c>
      <c r="D2427" s="36">
        <v>44990.0</v>
      </c>
      <c r="E2427" s="24"/>
      <c r="F2427" s="14">
        <v>5.53</v>
      </c>
      <c r="G2427" s="14">
        <v>19.68</v>
      </c>
      <c r="H2427" s="14">
        <v>0.36</v>
      </c>
      <c r="I2427" s="14" t="s">
        <v>6054</v>
      </c>
      <c r="J2427" s="14">
        <v>0.0</v>
      </c>
      <c r="K2427" s="14" t="s">
        <v>6012</v>
      </c>
      <c r="L2427" s="14">
        <v>0.0</v>
      </c>
    </row>
    <row r="2428">
      <c r="A2428" s="14">
        <v>413.0</v>
      </c>
      <c r="B2428" s="14">
        <v>6.0</v>
      </c>
      <c r="C2428" s="34">
        <v>7.02</v>
      </c>
      <c r="D2428" s="36">
        <v>44990.0</v>
      </c>
      <c r="E2428" s="24"/>
      <c r="F2428" s="14">
        <v>1.17</v>
      </c>
      <c r="G2428" s="14">
        <v>17.0</v>
      </c>
      <c r="H2428" s="14">
        <v>1.45</v>
      </c>
      <c r="I2428" s="14" t="s">
        <v>6037</v>
      </c>
      <c r="J2428" s="14">
        <v>0.0</v>
      </c>
      <c r="K2428" s="14" t="s">
        <v>6012</v>
      </c>
      <c r="L2428" s="14">
        <v>0.0</v>
      </c>
    </row>
    <row r="2429">
      <c r="A2429" s="14">
        <v>441.0</v>
      </c>
      <c r="B2429" s="14">
        <v>4.0</v>
      </c>
      <c r="C2429" s="34">
        <v>11.12</v>
      </c>
      <c r="D2429" s="36">
        <v>44991.0</v>
      </c>
      <c r="E2429" s="24"/>
      <c r="F2429" s="14">
        <v>2.78</v>
      </c>
      <c r="G2429" s="14">
        <v>25.22</v>
      </c>
      <c r="H2429" s="14">
        <v>0.91</v>
      </c>
      <c r="I2429" s="14" t="s">
        <v>6054</v>
      </c>
      <c r="J2429" s="14">
        <v>0.0</v>
      </c>
      <c r="K2429" s="14" t="s">
        <v>6012</v>
      </c>
      <c r="L2429" s="14">
        <v>1.0</v>
      </c>
    </row>
    <row r="2430">
      <c r="A2430" s="14">
        <v>812.0</v>
      </c>
      <c r="B2430" s="14">
        <v>6.0</v>
      </c>
      <c r="C2430" s="34">
        <v>13.84</v>
      </c>
      <c r="D2430" s="36">
        <v>44991.0</v>
      </c>
      <c r="E2430" s="24"/>
      <c r="F2430" s="14">
        <v>2.31</v>
      </c>
      <c r="G2430" s="14">
        <v>17.04</v>
      </c>
      <c r="H2430" s="14">
        <v>0.74</v>
      </c>
      <c r="I2430" s="14" t="s">
        <v>6042</v>
      </c>
      <c r="J2430" s="14">
        <v>16.67</v>
      </c>
      <c r="K2430" s="14">
        <v>13.84</v>
      </c>
      <c r="L2430" s="14">
        <v>0.0</v>
      </c>
    </row>
    <row r="2431">
      <c r="A2431" s="14">
        <v>191.0</v>
      </c>
      <c r="B2431" s="14">
        <v>0.0</v>
      </c>
      <c r="C2431" s="34">
        <v>16.52</v>
      </c>
      <c r="D2431" s="36">
        <v>44991.0</v>
      </c>
      <c r="E2431" s="24"/>
      <c r="F2431" s="14" t="s">
        <v>6012</v>
      </c>
      <c r="G2431" s="14">
        <v>86.49</v>
      </c>
      <c r="H2431" s="14">
        <v>0.0</v>
      </c>
      <c r="I2431" s="14" t="s">
        <v>6038</v>
      </c>
      <c r="J2431" s="14" t="s">
        <v>6012</v>
      </c>
      <c r="K2431" s="14" t="s">
        <v>6012</v>
      </c>
      <c r="L2431" s="14">
        <v>0.0</v>
      </c>
    </row>
    <row r="2432">
      <c r="A2432" s="14">
        <v>906.0</v>
      </c>
      <c r="B2432" s="14">
        <v>8.0</v>
      </c>
      <c r="C2432" s="34">
        <v>12.87</v>
      </c>
      <c r="D2432" s="36">
        <v>44991.0</v>
      </c>
      <c r="E2432" s="24"/>
      <c r="F2432" s="14">
        <v>1.61</v>
      </c>
      <c r="G2432" s="14">
        <v>14.21</v>
      </c>
      <c r="H2432" s="14">
        <v>0.88</v>
      </c>
      <c r="I2432" s="14" t="s">
        <v>6037</v>
      </c>
      <c r="J2432" s="14">
        <v>0.0</v>
      </c>
      <c r="K2432" s="14" t="s">
        <v>6012</v>
      </c>
      <c r="L2432" s="14">
        <v>0.0</v>
      </c>
    </row>
    <row r="2433">
      <c r="A2433" s="14">
        <v>736.0</v>
      </c>
      <c r="B2433" s="14">
        <v>5.0</v>
      </c>
      <c r="C2433" s="34">
        <v>19.53</v>
      </c>
      <c r="D2433" s="36">
        <v>44991.0</v>
      </c>
      <c r="E2433" s="24"/>
      <c r="F2433" s="14">
        <v>3.91</v>
      </c>
      <c r="G2433" s="14">
        <v>26.54</v>
      </c>
      <c r="H2433" s="14">
        <v>0.68</v>
      </c>
      <c r="I2433" s="14" t="s">
        <v>6035</v>
      </c>
      <c r="J2433" s="14">
        <v>0.0</v>
      </c>
      <c r="K2433" s="14" t="s">
        <v>6012</v>
      </c>
      <c r="L2433" s="14">
        <v>0.0</v>
      </c>
    </row>
    <row r="2434">
      <c r="A2434" s="14">
        <v>95.0</v>
      </c>
      <c r="B2434" s="14">
        <v>7.0</v>
      </c>
      <c r="C2434" s="34">
        <v>14.34</v>
      </c>
      <c r="D2434" s="36">
        <v>44991.0</v>
      </c>
      <c r="E2434" s="24"/>
      <c r="F2434" s="14">
        <v>2.05</v>
      </c>
      <c r="G2434" s="14">
        <v>150.95</v>
      </c>
      <c r="H2434" s="14">
        <v>7.37</v>
      </c>
      <c r="I2434" s="14" t="s">
        <v>6053</v>
      </c>
      <c r="J2434" s="14">
        <v>28.57</v>
      </c>
      <c r="K2434" s="14">
        <v>7.17</v>
      </c>
      <c r="L2434" s="14">
        <v>0.0</v>
      </c>
    </row>
    <row r="2435">
      <c r="A2435" s="14">
        <v>73.0</v>
      </c>
      <c r="B2435" s="14">
        <v>7.0</v>
      </c>
      <c r="C2435" s="34">
        <v>14.52</v>
      </c>
      <c r="D2435" s="36">
        <v>44991.0</v>
      </c>
      <c r="E2435" s="24"/>
      <c r="F2435" s="14">
        <v>2.07</v>
      </c>
      <c r="G2435" s="14">
        <v>198.9</v>
      </c>
      <c r="H2435" s="14">
        <v>9.59</v>
      </c>
      <c r="I2435" s="14" t="s">
        <v>6055</v>
      </c>
      <c r="J2435" s="14">
        <v>14.29</v>
      </c>
      <c r="K2435" s="14">
        <v>14.52</v>
      </c>
      <c r="L2435" s="14">
        <v>0.0</v>
      </c>
    </row>
    <row r="2436">
      <c r="A2436" s="14">
        <v>1055.0</v>
      </c>
      <c r="B2436" s="14">
        <v>8.0</v>
      </c>
      <c r="C2436" s="34">
        <v>10.17</v>
      </c>
      <c r="D2436" s="36">
        <v>44991.0</v>
      </c>
      <c r="E2436" s="24"/>
      <c r="F2436" s="14">
        <v>1.27</v>
      </c>
      <c r="G2436" s="14">
        <v>9.64</v>
      </c>
      <c r="H2436" s="14">
        <v>0.76</v>
      </c>
      <c r="I2436" s="14" t="s">
        <v>6051</v>
      </c>
      <c r="J2436" s="14">
        <v>0.0</v>
      </c>
      <c r="K2436" s="14" t="s">
        <v>6012</v>
      </c>
      <c r="L2436" s="14">
        <v>0.0</v>
      </c>
    </row>
    <row r="2437">
      <c r="A2437" s="14">
        <v>310.0</v>
      </c>
      <c r="B2437" s="14">
        <v>1.0</v>
      </c>
      <c r="C2437" s="34">
        <v>12.18</v>
      </c>
      <c r="D2437" s="36">
        <v>44991.0</v>
      </c>
      <c r="E2437" s="24"/>
      <c r="F2437" s="14">
        <v>12.18</v>
      </c>
      <c r="G2437" s="14">
        <v>39.29</v>
      </c>
      <c r="H2437" s="14">
        <v>0.32</v>
      </c>
      <c r="I2437" s="14" t="s">
        <v>6050</v>
      </c>
      <c r="J2437" s="14">
        <v>0.0</v>
      </c>
      <c r="K2437" s="14" t="s">
        <v>6012</v>
      </c>
      <c r="L2437" s="14">
        <v>0.0</v>
      </c>
    </row>
    <row r="2438">
      <c r="A2438" s="14">
        <v>488.0</v>
      </c>
      <c r="B2438" s="14">
        <v>6.0</v>
      </c>
      <c r="C2438" s="34">
        <v>12.77</v>
      </c>
      <c r="D2438" s="36">
        <v>44991.0</v>
      </c>
      <c r="E2438" s="24"/>
      <c r="F2438" s="14">
        <v>2.13</v>
      </c>
      <c r="G2438" s="14">
        <v>26.17</v>
      </c>
      <c r="H2438" s="14">
        <v>1.23</v>
      </c>
      <c r="I2438" s="14" t="s">
        <v>6039</v>
      </c>
      <c r="J2438" s="14">
        <v>0.0</v>
      </c>
      <c r="K2438" s="14" t="s">
        <v>6012</v>
      </c>
      <c r="L2438" s="14">
        <v>0.0</v>
      </c>
    </row>
    <row r="2439">
      <c r="A2439" s="14">
        <v>424.0</v>
      </c>
      <c r="B2439" s="14">
        <v>2.0</v>
      </c>
      <c r="C2439" s="34">
        <v>20.04</v>
      </c>
      <c r="D2439" s="36">
        <v>44992.0</v>
      </c>
      <c r="E2439" s="24"/>
      <c r="F2439" s="14">
        <v>10.02</v>
      </c>
      <c r="G2439" s="14">
        <v>47.26</v>
      </c>
      <c r="H2439" s="14">
        <v>0.47</v>
      </c>
      <c r="I2439" s="14" t="s">
        <v>6038</v>
      </c>
      <c r="J2439" s="14">
        <v>0.0</v>
      </c>
      <c r="K2439" s="14" t="s">
        <v>6012</v>
      </c>
      <c r="L2439" s="14">
        <v>0.0</v>
      </c>
    </row>
    <row r="2440">
      <c r="A2440" s="14">
        <v>43.0</v>
      </c>
      <c r="B2440" s="14">
        <v>2.0</v>
      </c>
      <c r="C2440" s="34">
        <v>7.25</v>
      </c>
      <c r="D2440" s="36">
        <v>44992.0</v>
      </c>
      <c r="E2440" s="24"/>
      <c r="F2440" s="14">
        <v>3.62</v>
      </c>
      <c r="G2440" s="14">
        <v>168.6</v>
      </c>
      <c r="H2440" s="14">
        <v>4.65</v>
      </c>
      <c r="I2440" s="14" t="s">
        <v>6053</v>
      </c>
      <c r="J2440" s="14">
        <v>0.0</v>
      </c>
      <c r="K2440" s="14" t="s">
        <v>6012</v>
      </c>
      <c r="L2440" s="14">
        <v>0.0</v>
      </c>
    </row>
    <row r="2441">
      <c r="A2441" s="14">
        <v>1188.0</v>
      </c>
      <c r="B2441" s="14">
        <v>6.0</v>
      </c>
      <c r="C2441" s="34">
        <v>11.98</v>
      </c>
      <c r="D2441" s="36">
        <v>44992.0</v>
      </c>
      <c r="E2441" s="24"/>
      <c r="F2441" s="14">
        <v>2.0</v>
      </c>
      <c r="G2441" s="14">
        <v>10.08</v>
      </c>
      <c r="H2441" s="14">
        <v>0.51</v>
      </c>
      <c r="I2441" s="14" t="s">
        <v>6051</v>
      </c>
      <c r="J2441" s="14">
        <v>16.67</v>
      </c>
      <c r="K2441" s="14">
        <v>11.98</v>
      </c>
      <c r="L2441" s="14">
        <v>0.0</v>
      </c>
    </row>
    <row r="2442">
      <c r="A2442" s="14">
        <v>1088.0</v>
      </c>
      <c r="B2442" s="14">
        <v>18.0</v>
      </c>
      <c r="C2442" s="34">
        <v>12.78</v>
      </c>
      <c r="D2442" s="36">
        <v>44992.0</v>
      </c>
      <c r="E2442" s="24"/>
      <c r="F2442" s="14">
        <v>0.71</v>
      </c>
      <c r="G2442" s="14">
        <v>11.75</v>
      </c>
      <c r="H2442" s="14">
        <v>1.65</v>
      </c>
      <c r="I2442" s="14" t="s">
        <v>6037</v>
      </c>
      <c r="J2442" s="14">
        <v>0.0</v>
      </c>
      <c r="K2442" s="14" t="s">
        <v>6012</v>
      </c>
      <c r="L2442" s="14">
        <v>0.0</v>
      </c>
    </row>
    <row r="2443">
      <c r="A2443" s="14">
        <v>48.0</v>
      </c>
      <c r="B2443" s="14">
        <v>2.0</v>
      </c>
      <c r="C2443" s="34">
        <v>10.13</v>
      </c>
      <c r="D2443" s="36">
        <v>44992.0</v>
      </c>
      <c r="E2443" s="24"/>
      <c r="F2443" s="14">
        <v>5.07</v>
      </c>
      <c r="G2443" s="14">
        <v>211.04</v>
      </c>
      <c r="H2443" s="14">
        <v>4.17</v>
      </c>
      <c r="I2443" s="14" t="s">
        <v>6055</v>
      </c>
      <c r="J2443" s="14">
        <v>0.0</v>
      </c>
      <c r="K2443" s="14" t="s">
        <v>6012</v>
      </c>
      <c r="L2443" s="14">
        <v>0.0</v>
      </c>
    </row>
    <row r="2444">
      <c r="A2444" s="14">
        <v>904.0</v>
      </c>
      <c r="B2444" s="14">
        <v>5.0</v>
      </c>
      <c r="C2444" s="34">
        <v>12.86</v>
      </c>
      <c r="D2444" s="36">
        <v>44992.0</v>
      </c>
      <c r="E2444" s="24"/>
      <c r="F2444" s="14">
        <v>2.57</v>
      </c>
      <c r="G2444" s="14">
        <v>14.23</v>
      </c>
      <c r="H2444" s="14">
        <v>0.55</v>
      </c>
      <c r="I2444" s="14" t="s">
        <v>6042</v>
      </c>
      <c r="J2444" s="14">
        <v>0.0</v>
      </c>
      <c r="K2444" s="14" t="s">
        <v>6012</v>
      </c>
      <c r="L2444" s="14">
        <v>0.0</v>
      </c>
    </row>
    <row r="2445">
      <c r="A2445" s="14">
        <v>924.0</v>
      </c>
      <c r="B2445" s="14">
        <v>4.0</v>
      </c>
      <c r="C2445" s="34">
        <v>23.01</v>
      </c>
      <c r="D2445" s="36">
        <v>44992.0</v>
      </c>
      <c r="E2445" s="24"/>
      <c r="F2445" s="14">
        <v>5.75</v>
      </c>
      <c r="G2445" s="14">
        <v>24.9</v>
      </c>
      <c r="H2445" s="14">
        <v>0.43</v>
      </c>
      <c r="I2445" s="14" t="s">
        <v>6035</v>
      </c>
      <c r="J2445" s="14">
        <v>0.0</v>
      </c>
      <c r="K2445" s="14" t="s">
        <v>6012</v>
      </c>
      <c r="L2445" s="14">
        <v>0.0</v>
      </c>
    </row>
    <row r="2446">
      <c r="A2446" s="14">
        <v>533.0</v>
      </c>
      <c r="B2446" s="14">
        <v>4.0</v>
      </c>
      <c r="C2446" s="34">
        <v>12.49</v>
      </c>
      <c r="D2446" s="36">
        <v>44992.0</v>
      </c>
      <c r="E2446" s="24"/>
      <c r="F2446" s="14">
        <v>3.12</v>
      </c>
      <c r="G2446" s="14">
        <v>23.43</v>
      </c>
      <c r="H2446" s="14">
        <v>0.75</v>
      </c>
      <c r="I2446" s="14" t="s">
        <v>6039</v>
      </c>
      <c r="J2446" s="14">
        <v>0.0</v>
      </c>
      <c r="K2446" s="14" t="s">
        <v>6012</v>
      </c>
      <c r="L2446" s="14">
        <v>0.0</v>
      </c>
    </row>
    <row r="2447">
      <c r="A2447" s="14">
        <v>493.0</v>
      </c>
      <c r="B2447" s="14">
        <v>3.0</v>
      </c>
      <c r="C2447" s="34">
        <v>10.41</v>
      </c>
      <c r="D2447" s="36">
        <v>44992.0</v>
      </c>
      <c r="E2447" s="24"/>
      <c r="F2447" s="14">
        <v>3.47</v>
      </c>
      <c r="G2447" s="14">
        <v>21.12</v>
      </c>
      <c r="H2447" s="14">
        <v>0.61</v>
      </c>
      <c r="I2447" s="14" t="s">
        <v>6050</v>
      </c>
      <c r="J2447" s="14">
        <v>66.67</v>
      </c>
      <c r="K2447" s="14">
        <v>5.2</v>
      </c>
      <c r="L2447" s="14">
        <v>0.0</v>
      </c>
    </row>
    <row r="2448">
      <c r="A2448" s="14">
        <v>435.0</v>
      </c>
      <c r="B2448" s="14">
        <v>3.0</v>
      </c>
      <c r="C2448" s="34">
        <v>11.82</v>
      </c>
      <c r="D2448" s="36">
        <v>44992.0</v>
      </c>
      <c r="E2448" s="24"/>
      <c r="F2448" s="14">
        <v>3.94</v>
      </c>
      <c r="G2448" s="14">
        <v>27.17</v>
      </c>
      <c r="H2448" s="14">
        <v>0.69</v>
      </c>
      <c r="I2448" s="14" t="s">
        <v>6054</v>
      </c>
      <c r="J2448" s="14">
        <v>33.33</v>
      </c>
      <c r="K2448" s="14">
        <v>11.82</v>
      </c>
      <c r="L2448" s="14">
        <v>0.0</v>
      </c>
    </row>
    <row r="2449">
      <c r="A2449" s="14">
        <v>47.0</v>
      </c>
      <c r="B2449" s="14">
        <v>3.0</v>
      </c>
      <c r="C2449" s="34">
        <v>7.69</v>
      </c>
      <c r="D2449" s="36">
        <v>44993.0</v>
      </c>
      <c r="E2449" s="24"/>
      <c r="F2449" s="14">
        <v>2.56</v>
      </c>
      <c r="G2449" s="14">
        <v>163.62</v>
      </c>
      <c r="H2449" s="14">
        <v>6.38</v>
      </c>
      <c r="I2449" s="14" t="s">
        <v>6053</v>
      </c>
      <c r="J2449" s="14">
        <v>0.0</v>
      </c>
      <c r="K2449" s="14" t="s">
        <v>6012</v>
      </c>
      <c r="L2449" s="14">
        <v>0.0</v>
      </c>
    </row>
    <row r="2450">
      <c r="A2450" s="14">
        <v>463.0</v>
      </c>
      <c r="B2450" s="14">
        <v>1.0</v>
      </c>
      <c r="C2450" s="34">
        <v>19.69</v>
      </c>
      <c r="D2450" s="36">
        <v>44993.0</v>
      </c>
      <c r="E2450" s="24"/>
      <c r="F2450" s="14">
        <v>19.69</v>
      </c>
      <c r="G2450" s="14">
        <v>42.53</v>
      </c>
      <c r="H2450" s="14">
        <v>0.22</v>
      </c>
      <c r="I2450" s="14" t="s">
        <v>6038</v>
      </c>
      <c r="J2450" s="14">
        <v>0.0</v>
      </c>
      <c r="K2450" s="14" t="s">
        <v>6012</v>
      </c>
      <c r="L2450" s="14">
        <v>0.0</v>
      </c>
    </row>
    <row r="2451">
      <c r="A2451" s="14">
        <v>293.0</v>
      </c>
      <c r="B2451" s="14">
        <v>1.0</v>
      </c>
      <c r="C2451" s="34">
        <v>15.0</v>
      </c>
      <c r="D2451" s="36">
        <v>44993.0</v>
      </c>
      <c r="E2451" s="24"/>
      <c r="F2451" s="14">
        <v>15.0</v>
      </c>
      <c r="G2451" s="14">
        <v>51.19</v>
      </c>
      <c r="H2451" s="14">
        <v>0.34</v>
      </c>
      <c r="I2451" s="14" t="s">
        <v>6054</v>
      </c>
      <c r="J2451" s="14">
        <v>0.0</v>
      </c>
      <c r="K2451" s="14" t="s">
        <v>6012</v>
      </c>
      <c r="L2451" s="14">
        <v>0.0</v>
      </c>
    </row>
    <row r="2452">
      <c r="A2452" s="14">
        <v>508.0</v>
      </c>
      <c r="B2452" s="14">
        <v>5.0</v>
      </c>
      <c r="C2452" s="34">
        <v>13.04</v>
      </c>
      <c r="D2452" s="36">
        <v>44993.0</v>
      </c>
      <c r="E2452" s="24"/>
      <c r="F2452" s="14">
        <v>2.61</v>
      </c>
      <c r="G2452" s="14">
        <v>25.67</v>
      </c>
      <c r="H2452" s="14">
        <v>0.98</v>
      </c>
      <c r="I2452" s="14" t="s">
        <v>6039</v>
      </c>
      <c r="J2452" s="14">
        <v>0.0</v>
      </c>
      <c r="K2452" s="14" t="s">
        <v>6012</v>
      </c>
      <c r="L2452" s="14">
        <v>0.0</v>
      </c>
    </row>
    <row r="2453">
      <c r="A2453" s="14">
        <v>41.0</v>
      </c>
      <c r="B2453" s="14">
        <v>5.0</v>
      </c>
      <c r="C2453" s="34">
        <v>8.85</v>
      </c>
      <c r="D2453" s="36">
        <v>44993.0</v>
      </c>
      <c r="E2453" s="24"/>
      <c r="F2453" s="14">
        <v>1.77</v>
      </c>
      <c r="G2453" s="14">
        <v>215.85</v>
      </c>
      <c r="H2453" s="14">
        <v>12.2</v>
      </c>
      <c r="I2453" s="14" t="s">
        <v>6055</v>
      </c>
      <c r="J2453" s="14">
        <v>0.0</v>
      </c>
      <c r="K2453" s="14" t="s">
        <v>6012</v>
      </c>
      <c r="L2453" s="14">
        <v>0.0</v>
      </c>
    </row>
    <row r="2454">
      <c r="A2454" s="14">
        <v>1018.0</v>
      </c>
      <c r="B2454" s="14">
        <v>4.0</v>
      </c>
      <c r="C2454" s="34">
        <v>13.92</v>
      </c>
      <c r="D2454" s="36">
        <v>44993.0</v>
      </c>
      <c r="E2454" s="24"/>
      <c r="F2454" s="14">
        <v>3.48</v>
      </c>
      <c r="G2454" s="14">
        <v>13.67</v>
      </c>
      <c r="H2454" s="14">
        <v>0.39</v>
      </c>
      <c r="I2454" s="14" t="s">
        <v>6042</v>
      </c>
      <c r="J2454" s="14">
        <v>25.0</v>
      </c>
      <c r="K2454" s="14">
        <v>13.92</v>
      </c>
      <c r="L2454" s="14">
        <v>0.0</v>
      </c>
    </row>
    <row r="2455">
      <c r="A2455" s="14">
        <v>1016.0</v>
      </c>
      <c r="B2455" s="14">
        <v>12.0</v>
      </c>
      <c r="C2455" s="34">
        <v>13.02</v>
      </c>
      <c r="D2455" s="36">
        <v>44993.0</v>
      </c>
      <c r="E2455" s="24"/>
      <c r="F2455" s="14">
        <v>1.08</v>
      </c>
      <c r="G2455" s="14">
        <v>12.81</v>
      </c>
      <c r="H2455" s="14">
        <v>1.18</v>
      </c>
      <c r="I2455" s="14" t="s">
        <v>6037</v>
      </c>
      <c r="J2455" s="14">
        <v>0.0</v>
      </c>
      <c r="K2455" s="14" t="s">
        <v>6012</v>
      </c>
      <c r="L2455" s="14">
        <v>0.0</v>
      </c>
    </row>
    <row r="2456">
      <c r="A2456" s="14">
        <v>924.0</v>
      </c>
      <c r="B2456" s="14">
        <v>4.0</v>
      </c>
      <c r="C2456" s="34">
        <v>11.13</v>
      </c>
      <c r="D2456" s="36">
        <v>44993.0</v>
      </c>
      <c r="E2456" s="24"/>
      <c r="F2456" s="14">
        <v>2.78</v>
      </c>
      <c r="G2456" s="14">
        <v>12.05</v>
      </c>
      <c r="H2456" s="14">
        <v>0.43</v>
      </c>
      <c r="I2456" s="14" t="s">
        <v>6050</v>
      </c>
      <c r="J2456" s="14">
        <v>0.0</v>
      </c>
      <c r="K2456" s="14" t="s">
        <v>6012</v>
      </c>
      <c r="L2456" s="14">
        <v>0.0</v>
      </c>
    </row>
    <row r="2457">
      <c r="A2457" s="14">
        <v>1278.0</v>
      </c>
      <c r="B2457" s="14">
        <v>9.0</v>
      </c>
      <c r="C2457" s="34">
        <v>11.74</v>
      </c>
      <c r="D2457" s="36">
        <v>44993.0</v>
      </c>
      <c r="E2457" s="24"/>
      <c r="F2457" s="14">
        <v>1.3</v>
      </c>
      <c r="G2457" s="14">
        <v>9.19</v>
      </c>
      <c r="H2457" s="14">
        <v>0.7</v>
      </c>
      <c r="I2457" s="14" t="s">
        <v>6051</v>
      </c>
      <c r="J2457" s="14">
        <v>11.11</v>
      </c>
      <c r="K2457" s="14">
        <v>11.74</v>
      </c>
      <c r="L2457" s="14">
        <v>0.0</v>
      </c>
    </row>
    <row r="2458">
      <c r="A2458" s="14">
        <v>408.0</v>
      </c>
      <c r="B2458" s="14">
        <v>3.0</v>
      </c>
      <c r="C2458" s="34">
        <v>28.5</v>
      </c>
      <c r="D2458" s="36">
        <v>44993.0</v>
      </c>
      <c r="E2458" s="24"/>
      <c r="F2458" s="14">
        <v>9.5</v>
      </c>
      <c r="G2458" s="14">
        <v>69.85</v>
      </c>
      <c r="H2458" s="14">
        <v>0.74</v>
      </c>
      <c r="I2458" s="14" t="s">
        <v>6035</v>
      </c>
      <c r="J2458" s="14">
        <v>33.33</v>
      </c>
      <c r="K2458" s="14">
        <v>28.5</v>
      </c>
      <c r="L2458" s="14">
        <v>0.0</v>
      </c>
    </row>
    <row r="2459">
      <c r="A2459" s="14">
        <v>301.0</v>
      </c>
      <c r="B2459" s="14">
        <v>2.0</v>
      </c>
      <c r="C2459" s="34">
        <v>19.33</v>
      </c>
      <c r="D2459" s="36">
        <v>44994.0</v>
      </c>
      <c r="E2459" s="24"/>
      <c r="F2459" s="14">
        <v>9.66</v>
      </c>
      <c r="G2459" s="14">
        <v>64.22</v>
      </c>
      <c r="H2459" s="14">
        <v>0.66</v>
      </c>
      <c r="I2459" s="14" t="s">
        <v>6038</v>
      </c>
      <c r="J2459" s="14">
        <v>0.0</v>
      </c>
      <c r="K2459" s="14" t="s">
        <v>6012</v>
      </c>
      <c r="L2459" s="14">
        <v>0.0</v>
      </c>
    </row>
    <row r="2460">
      <c r="A2460" s="14">
        <v>1042.0</v>
      </c>
      <c r="B2460" s="14">
        <v>7.0</v>
      </c>
      <c r="C2460" s="34">
        <v>10.81</v>
      </c>
      <c r="D2460" s="36">
        <v>44994.0</v>
      </c>
      <c r="E2460" s="24"/>
      <c r="F2460" s="14">
        <v>1.54</v>
      </c>
      <c r="G2460" s="14">
        <v>10.37</v>
      </c>
      <c r="H2460" s="14">
        <v>0.67</v>
      </c>
      <c r="I2460" s="14" t="s">
        <v>6050</v>
      </c>
      <c r="J2460" s="14">
        <v>14.29</v>
      </c>
      <c r="K2460" s="14">
        <v>10.81</v>
      </c>
      <c r="L2460" s="14">
        <v>0.0</v>
      </c>
    </row>
    <row r="2461">
      <c r="A2461" s="14">
        <v>739.0</v>
      </c>
      <c r="B2461" s="14">
        <v>7.0</v>
      </c>
      <c r="C2461" s="34">
        <v>11.58</v>
      </c>
      <c r="D2461" s="36">
        <v>44994.0</v>
      </c>
      <c r="E2461" s="24"/>
      <c r="F2461" s="14">
        <v>1.65</v>
      </c>
      <c r="G2461" s="14">
        <v>15.67</v>
      </c>
      <c r="H2461" s="14">
        <v>0.95</v>
      </c>
      <c r="I2461" s="14" t="s">
        <v>6051</v>
      </c>
      <c r="J2461" s="14">
        <v>28.57</v>
      </c>
      <c r="K2461" s="14">
        <v>5.79</v>
      </c>
      <c r="L2461" s="14">
        <v>0.0</v>
      </c>
    </row>
    <row r="2462">
      <c r="A2462" s="14">
        <v>6.0</v>
      </c>
      <c r="B2462" s="14">
        <v>0.0</v>
      </c>
      <c r="C2462" s="34">
        <v>0.45</v>
      </c>
      <c r="D2462" s="36">
        <v>44994.0</v>
      </c>
      <c r="E2462" s="24"/>
      <c r="F2462" s="14" t="s">
        <v>6012</v>
      </c>
      <c r="G2462" s="14">
        <v>75.0</v>
      </c>
      <c r="H2462" s="14">
        <v>0.0</v>
      </c>
      <c r="I2462" s="14" t="s">
        <v>6053</v>
      </c>
      <c r="J2462" s="14" t="s">
        <v>6012</v>
      </c>
      <c r="K2462" s="14" t="s">
        <v>6012</v>
      </c>
      <c r="L2462" s="14">
        <v>0.0</v>
      </c>
    </row>
    <row r="2463">
      <c r="A2463" s="14">
        <v>1123.0</v>
      </c>
      <c r="B2463" s="14">
        <v>12.0</v>
      </c>
      <c r="C2463" s="34">
        <v>12.5</v>
      </c>
      <c r="D2463" s="36">
        <v>44994.0</v>
      </c>
      <c r="E2463" s="24"/>
      <c r="F2463" s="14">
        <v>1.04</v>
      </c>
      <c r="G2463" s="14">
        <v>11.13</v>
      </c>
      <c r="H2463" s="14">
        <v>1.07</v>
      </c>
      <c r="I2463" s="14" t="s">
        <v>6037</v>
      </c>
      <c r="J2463" s="14">
        <v>0.0</v>
      </c>
      <c r="K2463" s="14" t="s">
        <v>6012</v>
      </c>
      <c r="L2463" s="14">
        <v>0.0</v>
      </c>
    </row>
    <row r="2464">
      <c r="A2464" s="14">
        <v>435.0</v>
      </c>
      <c r="B2464" s="14">
        <v>3.0</v>
      </c>
      <c r="C2464" s="34">
        <v>12.87</v>
      </c>
      <c r="D2464" s="36">
        <v>44994.0</v>
      </c>
      <c r="E2464" s="24"/>
      <c r="F2464" s="14">
        <v>4.29</v>
      </c>
      <c r="G2464" s="14">
        <v>29.59</v>
      </c>
      <c r="H2464" s="14">
        <v>0.69</v>
      </c>
      <c r="I2464" s="14" t="s">
        <v>6039</v>
      </c>
      <c r="J2464" s="14">
        <v>66.67</v>
      </c>
      <c r="K2464" s="14">
        <v>6.44</v>
      </c>
      <c r="L2464" s="14">
        <v>0.0</v>
      </c>
    </row>
    <row r="2465">
      <c r="A2465" s="14">
        <v>298.0</v>
      </c>
      <c r="B2465" s="14">
        <v>3.0</v>
      </c>
      <c r="C2465" s="34">
        <v>10.94</v>
      </c>
      <c r="D2465" s="36">
        <v>44994.0</v>
      </c>
      <c r="E2465" s="24"/>
      <c r="F2465" s="14">
        <v>3.65</v>
      </c>
      <c r="G2465" s="14">
        <v>36.71</v>
      </c>
      <c r="H2465" s="14">
        <v>1.01</v>
      </c>
      <c r="I2465" s="14" t="s">
        <v>6054</v>
      </c>
      <c r="J2465" s="14">
        <v>33.33</v>
      </c>
      <c r="K2465" s="14">
        <v>10.94</v>
      </c>
      <c r="L2465" s="14">
        <v>2.0</v>
      </c>
    </row>
    <row r="2466">
      <c r="A2466" s="14">
        <v>770.0</v>
      </c>
      <c r="B2466" s="14">
        <v>4.0</v>
      </c>
      <c r="C2466" s="34">
        <v>20.49</v>
      </c>
      <c r="D2466" s="36">
        <v>44994.0</v>
      </c>
      <c r="E2466" s="24"/>
      <c r="F2466" s="14">
        <v>5.12</v>
      </c>
      <c r="G2466" s="14">
        <v>26.61</v>
      </c>
      <c r="H2466" s="14">
        <v>0.52</v>
      </c>
      <c r="I2466" s="14" t="s">
        <v>6035</v>
      </c>
      <c r="J2466" s="14">
        <v>0.0</v>
      </c>
      <c r="K2466" s="14" t="s">
        <v>6012</v>
      </c>
      <c r="L2466" s="14">
        <v>0.0</v>
      </c>
    </row>
    <row r="2467">
      <c r="A2467" s="14">
        <v>990.0</v>
      </c>
      <c r="B2467" s="14">
        <v>6.0</v>
      </c>
      <c r="C2467" s="34">
        <v>12.73</v>
      </c>
      <c r="D2467" s="36">
        <v>44994.0</v>
      </c>
      <c r="E2467" s="24"/>
      <c r="F2467" s="14">
        <v>2.12</v>
      </c>
      <c r="G2467" s="14">
        <v>12.86</v>
      </c>
      <c r="H2467" s="14">
        <v>0.61</v>
      </c>
      <c r="I2467" s="14" t="s">
        <v>6042</v>
      </c>
      <c r="J2467" s="14">
        <v>16.67</v>
      </c>
      <c r="K2467" s="14">
        <v>12.73</v>
      </c>
      <c r="L2467" s="14">
        <v>0.0</v>
      </c>
    </row>
    <row r="2468">
      <c r="A2468" s="14">
        <v>870.0</v>
      </c>
      <c r="B2468" s="14">
        <v>14.0</v>
      </c>
      <c r="C2468" s="34">
        <v>12.04</v>
      </c>
      <c r="D2468" s="36">
        <v>44995.0</v>
      </c>
      <c r="E2468" s="24"/>
      <c r="F2468" s="14">
        <v>0.86</v>
      </c>
      <c r="G2468" s="14">
        <v>13.84</v>
      </c>
      <c r="H2468" s="14">
        <v>1.61</v>
      </c>
      <c r="I2468" s="14" t="s">
        <v>6037</v>
      </c>
      <c r="J2468" s="14">
        <v>0.0</v>
      </c>
      <c r="K2468" s="14" t="s">
        <v>6012</v>
      </c>
      <c r="L2468" s="14">
        <v>0.0</v>
      </c>
    </row>
    <row r="2469">
      <c r="A2469" s="14">
        <v>195.0</v>
      </c>
      <c r="B2469" s="14">
        <v>0.0</v>
      </c>
      <c r="C2469" s="34">
        <v>20.39</v>
      </c>
      <c r="D2469" s="36">
        <v>44995.0</v>
      </c>
      <c r="E2469" s="24"/>
      <c r="F2469" s="14" t="s">
        <v>6012</v>
      </c>
      <c r="G2469" s="14">
        <v>104.56</v>
      </c>
      <c r="H2469" s="14">
        <v>0.0</v>
      </c>
      <c r="I2469" s="14" t="s">
        <v>6038</v>
      </c>
      <c r="J2469" s="14" t="s">
        <v>6012</v>
      </c>
      <c r="K2469" s="14">
        <v>20.39</v>
      </c>
      <c r="L2469" s="14">
        <v>0.0</v>
      </c>
    </row>
    <row r="2470">
      <c r="A2470" s="14">
        <v>710.0</v>
      </c>
      <c r="B2470" s="14">
        <v>2.0</v>
      </c>
      <c r="C2470" s="34">
        <v>20.53</v>
      </c>
      <c r="D2470" s="36">
        <v>44995.0</v>
      </c>
      <c r="E2470" s="24"/>
      <c r="F2470" s="14">
        <v>10.26</v>
      </c>
      <c r="G2470" s="14">
        <v>28.92</v>
      </c>
      <c r="H2470" s="14">
        <v>0.28</v>
      </c>
      <c r="I2470" s="14" t="s">
        <v>6035</v>
      </c>
      <c r="J2470" s="14">
        <v>50.0</v>
      </c>
      <c r="K2470" s="14">
        <v>20.53</v>
      </c>
      <c r="L2470" s="14">
        <v>0.0</v>
      </c>
    </row>
    <row r="2471">
      <c r="A2471" s="14">
        <v>206.0</v>
      </c>
      <c r="B2471" s="14">
        <v>2.0</v>
      </c>
      <c r="C2471" s="34">
        <v>11.17</v>
      </c>
      <c r="D2471" s="36">
        <v>44995.0</v>
      </c>
      <c r="E2471" s="24"/>
      <c r="F2471" s="14">
        <v>5.58</v>
      </c>
      <c r="G2471" s="14">
        <v>54.22</v>
      </c>
      <c r="H2471" s="14">
        <v>0.97</v>
      </c>
      <c r="I2471" s="14" t="s">
        <v>6054</v>
      </c>
      <c r="J2471" s="14">
        <v>0.0</v>
      </c>
      <c r="K2471" s="14" t="s">
        <v>6012</v>
      </c>
      <c r="L2471" s="14">
        <v>0.0</v>
      </c>
    </row>
    <row r="2472">
      <c r="A2472" s="14">
        <v>803.0</v>
      </c>
      <c r="B2472" s="14">
        <v>12.0</v>
      </c>
      <c r="C2472" s="34">
        <v>11.2</v>
      </c>
      <c r="D2472" s="36">
        <v>44995.0</v>
      </c>
      <c r="E2472" s="24"/>
      <c r="F2472" s="14">
        <v>0.93</v>
      </c>
      <c r="G2472" s="14">
        <v>13.95</v>
      </c>
      <c r="H2472" s="14">
        <v>1.49</v>
      </c>
      <c r="I2472" s="14" t="s">
        <v>6050</v>
      </c>
      <c r="J2472" s="14">
        <v>8.33</v>
      </c>
      <c r="K2472" s="14">
        <v>11.2</v>
      </c>
      <c r="L2472" s="14">
        <v>0.0</v>
      </c>
    </row>
    <row r="2473">
      <c r="A2473" s="14">
        <v>908.0</v>
      </c>
      <c r="B2473" s="14">
        <v>8.0</v>
      </c>
      <c r="C2473" s="34">
        <v>12.77</v>
      </c>
      <c r="D2473" s="36">
        <v>44995.0</v>
      </c>
      <c r="E2473" s="24"/>
      <c r="F2473" s="14">
        <v>1.6</v>
      </c>
      <c r="G2473" s="14">
        <v>14.06</v>
      </c>
      <c r="H2473" s="14">
        <v>0.88</v>
      </c>
      <c r="I2473" s="14" t="s">
        <v>6042</v>
      </c>
      <c r="J2473" s="14">
        <v>50.0</v>
      </c>
      <c r="K2473" s="14">
        <v>3.19</v>
      </c>
      <c r="L2473" s="14">
        <v>0.0</v>
      </c>
    </row>
    <row r="2474">
      <c r="A2474" s="14">
        <v>416.0</v>
      </c>
      <c r="B2474" s="14">
        <v>13.0</v>
      </c>
      <c r="C2474" s="34">
        <v>12.08</v>
      </c>
      <c r="D2474" s="36">
        <v>44995.0</v>
      </c>
      <c r="E2474" s="24"/>
      <c r="F2474" s="14">
        <v>0.93</v>
      </c>
      <c r="G2474" s="14">
        <v>29.04</v>
      </c>
      <c r="H2474" s="14">
        <v>3.12</v>
      </c>
      <c r="I2474" s="14" t="s">
        <v>6051</v>
      </c>
      <c r="J2474" s="14">
        <v>0.0</v>
      </c>
      <c r="K2474" s="14" t="s">
        <v>6012</v>
      </c>
      <c r="L2474" s="14">
        <v>0.0</v>
      </c>
    </row>
    <row r="2475">
      <c r="A2475" s="14">
        <v>178.0</v>
      </c>
      <c r="B2475" s="14">
        <v>3.0</v>
      </c>
      <c r="C2475" s="34">
        <v>12.56</v>
      </c>
      <c r="D2475" s="36">
        <v>44995.0</v>
      </c>
      <c r="E2475" s="24"/>
      <c r="F2475" s="14">
        <v>4.19</v>
      </c>
      <c r="G2475" s="14">
        <v>70.56</v>
      </c>
      <c r="H2475" s="14">
        <v>1.69</v>
      </c>
      <c r="I2475" s="14" t="s">
        <v>6039</v>
      </c>
      <c r="J2475" s="14">
        <v>0.0</v>
      </c>
      <c r="K2475" s="14" t="s">
        <v>6012</v>
      </c>
      <c r="L2475" s="14">
        <v>0.0</v>
      </c>
    </row>
    <row r="2476">
      <c r="A2476" s="14">
        <v>77.0</v>
      </c>
      <c r="B2476" s="14">
        <v>2.0</v>
      </c>
      <c r="C2476" s="34">
        <v>11.06</v>
      </c>
      <c r="D2476" s="36">
        <v>44996.0</v>
      </c>
      <c r="E2476" s="24"/>
      <c r="F2476" s="14">
        <v>5.53</v>
      </c>
      <c r="G2476" s="14">
        <v>143.64</v>
      </c>
      <c r="H2476" s="14">
        <v>2.6</v>
      </c>
      <c r="I2476" s="14" t="s">
        <v>6038</v>
      </c>
      <c r="J2476" s="14">
        <v>0.0</v>
      </c>
      <c r="K2476" s="14" t="s">
        <v>6012</v>
      </c>
      <c r="L2476" s="14">
        <v>0.0</v>
      </c>
    </row>
    <row r="2477">
      <c r="A2477" s="14">
        <v>771.0</v>
      </c>
      <c r="B2477" s="14">
        <v>14.0</v>
      </c>
      <c r="C2477" s="34">
        <v>7.6</v>
      </c>
      <c r="D2477" s="36">
        <v>44996.0</v>
      </c>
      <c r="E2477" s="24"/>
      <c r="F2477" s="14">
        <v>0.54</v>
      </c>
      <c r="G2477" s="14">
        <v>9.86</v>
      </c>
      <c r="H2477" s="14">
        <v>1.82</v>
      </c>
      <c r="I2477" s="14" t="s">
        <v>6050</v>
      </c>
      <c r="J2477" s="14">
        <v>7.14</v>
      </c>
      <c r="K2477" s="14">
        <v>7.6</v>
      </c>
      <c r="L2477" s="14">
        <v>0.0</v>
      </c>
    </row>
    <row r="2478">
      <c r="A2478" s="14">
        <v>275.0</v>
      </c>
      <c r="B2478" s="14">
        <v>3.0</v>
      </c>
      <c r="C2478" s="34">
        <v>7.92</v>
      </c>
      <c r="D2478" s="36">
        <v>44996.0</v>
      </c>
      <c r="E2478" s="24"/>
      <c r="F2478" s="14">
        <v>2.64</v>
      </c>
      <c r="G2478" s="14">
        <v>28.8</v>
      </c>
      <c r="H2478" s="14">
        <v>1.09</v>
      </c>
      <c r="I2478" s="14" t="s">
        <v>6054</v>
      </c>
      <c r="J2478" s="14">
        <v>0.0</v>
      </c>
      <c r="K2478" s="14" t="s">
        <v>6012</v>
      </c>
      <c r="L2478" s="14">
        <v>0.0</v>
      </c>
    </row>
    <row r="2479">
      <c r="A2479" s="14">
        <v>479.0</v>
      </c>
      <c r="B2479" s="14">
        <v>3.0</v>
      </c>
      <c r="C2479" s="34">
        <v>5.55</v>
      </c>
      <c r="D2479" s="36">
        <v>44996.0</v>
      </c>
      <c r="E2479" s="24"/>
      <c r="F2479" s="14">
        <v>1.85</v>
      </c>
      <c r="G2479" s="14">
        <v>11.59</v>
      </c>
      <c r="H2479" s="14">
        <v>0.63</v>
      </c>
      <c r="I2479" s="14" t="s">
        <v>6042</v>
      </c>
      <c r="J2479" s="14">
        <v>33.33</v>
      </c>
      <c r="K2479" s="14">
        <v>5.55</v>
      </c>
      <c r="L2479" s="14">
        <v>0.0</v>
      </c>
    </row>
    <row r="2480">
      <c r="A2480" s="14">
        <v>148.0</v>
      </c>
      <c r="B2480" s="14">
        <v>2.0</v>
      </c>
      <c r="C2480" s="34">
        <v>11.43</v>
      </c>
      <c r="D2480" s="36">
        <v>44996.0</v>
      </c>
      <c r="E2480" s="24"/>
      <c r="F2480" s="14">
        <v>5.72</v>
      </c>
      <c r="G2480" s="14">
        <v>77.23</v>
      </c>
      <c r="H2480" s="14">
        <v>1.35</v>
      </c>
      <c r="I2480" s="14" t="s">
        <v>6035</v>
      </c>
      <c r="J2480" s="14">
        <v>0.0</v>
      </c>
      <c r="K2480" s="14" t="s">
        <v>6012</v>
      </c>
      <c r="L2480" s="14">
        <v>0.0</v>
      </c>
    </row>
    <row r="2481">
      <c r="A2481" s="14">
        <v>211.0</v>
      </c>
      <c r="B2481" s="14">
        <v>11.0</v>
      </c>
      <c r="C2481" s="34">
        <v>6.85</v>
      </c>
      <c r="D2481" s="36">
        <v>44996.0</v>
      </c>
      <c r="E2481" s="24"/>
      <c r="F2481" s="14">
        <v>0.62</v>
      </c>
      <c r="G2481" s="14">
        <v>32.46</v>
      </c>
      <c r="H2481" s="14">
        <v>5.21</v>
      </c>
      <c r="I2481" s="14" t="s">
        <v>6051</v>
      </c>
      <c r="J2481" s="14">
        <v>0.0</v>
      </c>
      <c r="K2481" s="14" t="s">
        <v>6012</v>
      </c>
      <c r="L2481" s="14">
        <v>0.0</v>
      </c>
    </row>
    <row r="2482">
      <c r="A2482" s="14">
        <v>373.0</v>
      </c>
      <c r="B2482" s="14">
        <v>7.0</v>
      </c>
      <c r="C2482" s="34">
        <v>7.05</v>
      </c>
      <c r="D2482" s="36">
        <v>44996.0</v>
      </c>
      <c r="E2482" s="24"/>
      <c r="F2482" s="14">
        <v>1.01</v>
      </c>
      <c r="G2482" s="14">
        <v>18.9</v>
      </c>
      <c r="H2482" s="14">
        <v>1.88</v>
      </c>
      <c r="I2482" s="14" t="s">
        <v>6037</v>
      </c>
      <c r="J2482" s="14">
        <v>0.0</v>
      </c>
      <c r="K2482" s="14" t="s">
        <v>6012</v>
      </c>
      <c r="L2482" s="14">
        <v>0.0</v>
      </c>
    </row>
    <row r="2483">
      <c r="A2483" s="14">
        <v>106.0</v>
      </c>
      <c r="B2483" s="14">
        <v>1.0</v>
      </c>
      <c r="C2483" s="34">
        <v>7.43</v>
      </c>
      <c r="D2483" s="36">
        <v>44996.0</v>
      </c>
      <c r="E2483" s="24"/>
      <c r="F2483" s="14">
        <v>7.43</v>
      </c>
      <c r="G2483" s="14">
        <v>70.09</v>
      </c>
      <c r="H2483" s="14">
        <v>0.94</v>
      </c>
      <c r="I2483" s="14" t="s">
        <v>6039</v>
      </c>
      <c r="J2483" s="14">
        <v>0.0</v>
      </c>
      <c r="K2483" s="14" t="s">
        <v>6012</v>
      </c>
      <c r="L2483" s="14">
        <v>0.0</v>
      </c>
    </row>
    <row r="2484">
      <c r="A2484" s="14">
        <v>340.0</v>
      </c>
      <c r="B2484" s="14">
        <v>4.0</v>
      </c>
      <c r="C2484" s="34">
        <v>6.74</v>
      </c>
      <c r="D2484" s="36">
        <v>44997.0</v>
      </c>
      <c r="E2484" s="24"/>
      <c r="F2484" s="14">
        <v>1.68</v>
      </c>
      <c r="G2484" s="14">
        <v>19.82</v>
      </c>
      <c r="H2484" s="14">
        <v>1.18</v>
      </c>
      <c r="I2484" s="14" t="s">
        <v>6037</v>
      </c>
      <c r="J2484" s="14">
        <v>25.0</v>
      </c>
      <c r="K2484" s="14">
        <v>6.74</v>
      </c>
      <c r="L2484" s="14">
        <v>0.0</v>
      </c>
    </row>
    <row r="2485">
      <c r="A2485" s="14">
        <v>172.0</v>
      </c>
      <c r="B2485" s="14">
        <v>0.0</v>
      </c>
      <c r="C2485" s="34">
        <v>9.51</v>
      </c>
      <c r="D2485" s="36">
        <v>44997.0</v>
      </c>
      <c r="E2485" s="24"/>
      <c r="F2485" s="14" t="s">
        <v>6012</v>
      </c>
      <c r="G2485" s="14">
        <v>55.29</v>
      </c>
      <c r="H2485" s="14">
        <v>0.0</v>
      </c>
      <c r="I2485" s="14" t="s">
        <v>6035</v>
      </c>
      <c r="J2485" s="14" t="s">
        <v>6012</v>
      </c>
      <c r="K2485" s="14" t="s">
        <v>6012</v>
      </c>
      <c r="L2485" s="14">
        <v>0.0</v>
      </c>
    </row>
    <row r="2486">
      <c r="A2486" s="14">
        <v>478.0</v>
      </c>
      <c r="B2486" s="14">
        <v>5.0</v>
      </c>
      <c r="C2486" s="34">
        <v>5.33</v>
      </c>
      <c r="D2486" s="36">
        <v>44997.0</v>
      </c>
      <c r="E2486" s="24"/>
      <c r="F2486" s="14">
        <v>1.07</v>
      </c>
      <c r="G2486" s="14">
        <v>11.15</v>
      </c>
      <c r="H2486" s="14">
        <v>1.05</v>
      </c>
      <c r="I2486" s="14" t="s">
        <v>6042</v>
      </c>
      <c r="J2486" s="14">
        <v>0.0</v>
      </c>
      <c r="K2486" s="14" t="s">
        <v>6012</v>
      </c>
      <c r="L2486" s="14">
        <v>0.0</v>
      </c>
    </row>
    <row r="2487">
      <c r="A2487" s="14">
        <v>134.0</v>
      </c>
      <c r="B2487" s="14">
        <v>0.0</v>
      </c>
      <c r="C2487" s="34">
        <v>8.11</v>
      </c>
      <c r="D2487" s="36">
        <v>44997.0</v>
      </c>
      <c r="E2487" s="24"/>
      <c r="F2487" s="14" t="s">
        <v>6012</v>
      </c>
      <c r="G2487" s="14">
        <v>60.52</v>
      </c>
      <c r="H2487" s="14">
        <v>0.0</v>
      </c>
      <c r="I2487" s="14" t="s">
        <v>6054</v>
      </c>
      <c r="J2487" s="14" t="s">
        <v>6012</v>
      </c>
      <c r="K2487" s="14">
        <v>8.11</v>
      </c>
      <c r="L2487" s="14">
        <v>0.0</v>
      </c>
    </row>
    <row r="2488">
      <c r="A2488" s="14">
        <v>542.0</v>
      </c>
      <c r="B2488" s="14">
        <v>19.0</v>
      </c>
      <c r="C2488" s="34">
        <v>5.6</v>
      </c>
      <c r="D2488" s="36">
        <v>44997.0</v>
      </c>
      <c r="E2488" s="24"/>
      <c r="F2488" s="14">
        <v>0.29</v>
      </c>
      <c r="G2488" s="14">
        <v>10.33</v>
      </c>
      <c r="H2488" s="14">
        <v>3.51</v>
      </c>
      <c r="I2488" s="14" t="s">
        <v>6051</v>
      </c>
      <c r="J2488" s="14">
        <v>0.0</v>
      </c>
      <c r="K2488" s="14" t="s">
        <v>6012</v>
      </c>
      <c r="L2488" s="14">
        <v>0.0</v>
      </c>
    </row>
    <row r="2489">
      <c r="A2489" s="14">
        <v>535.0</v>
      </c>
      <c r="B2489" s="14">
        <v>8.0</v>
      </c>
      <c r="C2489" s="34">
        <v>6.67</v>
      </c>
      <c r="D2489" s="36">
        <v>44997.0</v>
      </c>
      <c r="E2489" s="24"/>
      <c r="F2489" s="14">
        <v>0.83</v>
      </c>
      <c r="G2489" s="14">
        <v>12.47</v>
      </c>
      <c r="H2489" s="14">
        <v>1.5</v>
      </c>
      <c r="I2489" s="14" t="s">
        <v>6050</v>
      </c>
      <c r="J2489" s="14">
        <v>50.0</v>
      </c>
      <c r="K2489" s="14">
        <v>1.67</v>
      </c>
      <c r="L2489" s="14">
        <v>0.0</v>
      </c>
    </row>
    <row r="2490">
      <c r="A2490" s="14">
        <v>107.0</v>
      </c>
      <c r="B2490" s="14">
        <v>1.0</v>
      </c>
      <c r="C2490" s="34">
        <v>8.47</v>
      </c>
      <c r="D2490" s="36">
        <v>44997.0</v>
      </c>
      <c r="E2490" s="24"/>
      <c r="F2490" s="14">
        <v>8.47</v>
      </c>
      <c r="G2490" s="14">
        <v>79.16</v>
      </c>
      <c r="H2490" s="14">
        <v>0.93</v>
      </c>
      <c r="I2490" s="14" t="s">
        <v>6038</v>
      </c>
      <c r="J2490" s="14">
        <v>0.0</v>
      </c>
      <c r="K2490" s="14" t="s">
        <v>6012</v>
      </c>
      <c r="L2490" s="14">
        <v>0.0</v>
      </c>
    </row>
    <row r="2491">
      <c r="A2491" s="14">
        <v>151.0</v>
      </c>
      <c r="B2491" s="14">
        <v>0.0</v>
      </c>
      <c r="C2491" s="34">
        <v>5.84</v>
      </c>
      <c r="D2491" s="36">
        <v>44997.0</v>
      </c>
      <c r="E2491" s="24"/>
      <c r="F2491" s="14" t="s">
        <v>6012</v>
      </c>
      <c r="G2491" s="14">
        <v>38.68</v>
      </c>
      <c r="H2491" s="14">
        <v>0.0</v>
      </c>
      <c r="I2491" s="14" t="s">
        <v>6039</v>
      </c>
      <c r="J2491" s="14" t="s">
        <v>6012</v>
      </c>
      <c r="K2491" s="14">
        <v>5.84</v>
      </c>
      <c r="L2491" s="14">
        <v>0.0</v>
      </c>
    </row>
    <row r="2492">
      <c r="A2492" s="14">
        <v>63.0</v>
      </c>
      <c r="B2492" s="14">
        <v>1.0</v>
      </c>
      <c r="C2492" s="34">
        <v>18.43</v>
      </c>
      <c r="D2492" s="36">
        <v>44998.0</v>
      </c>
      <c r="E2492" s="24"/>
      <c r="F2492" s="14">
        <v>18.43</v>
      </c>
      <c r="G2492" s="14">
        <v>292.54</v>
      </c>
      <c r="H2492" s="14">
        <v>1.59</v>
      </c>
      <c r="I2492" s="14" t="s">
        <v>6038</v>
      </c>
      <c r="J2492" s="14">
        <v>0.0</v>
      </c>
      <c r="K2492" s="14" t="s">
        <v>6012</v>
      </c>
      <c r="L2492" s="14">
        <v>0.0</v>
      </c>
    </row>
    <row r="2493">
      <c r="A2493" s="14">
        <v>468.0</v>
      </c>
      <c r="B2493" s="14">
        <v>1.0</v>
      </c>
      <c r="C2493" s="34">
        <v>11.18</v>
      </c>
      <c r="D2493" s="36">
        <v>44998.0</v>
      </c>
      <c r="E2493" s="24"/>
      <c r="F2493" s="14">
        <v>11.18</v>
      </c>
      <c r="G2493" s="14">
        <v>23.89</v>
      </c>
      <c r="H2493" s="14">
        <v>0.21</v>
      </c>
      <c r="I2493" s="14" t="s">
        <v>6054</v>
      </c>
      <c r="J2493" s="14">
        <v>100.0</v>
      </c>
      <c r="K2493" s="14">
        <v>11.18</v>
      </c>
      <c r="L2493" s="14">
        <v>0.0</v>
      </c>
    </row>
    <row r="2494">
      <c r="A2494" s="14">
        <v>974.0</v>
      </c>
      <c r="B2494" s="14">
        <v>6.0</v>
      </c>
      <c r="C2494" s="34">
        <v>13.66</v>
      </c>
      <c r="D2494" s="36">
        <v>44998.0</v>
      </c>
      <c r="E2494" s="24"/>
      <c r="F2494" s="14">
        <v>2.28</v>
      </c>
      <c r="G2494" s="14">
        <v>14.02</v>
      </c>
      <c r="H2494" s="14">
        <v>0.62</v>
      </c>
      <c r="I2494" s="14" t="s">
        <v>6037</v>
      </c>
      <c r="J2494" s="14">
        <v>16.67</v>
      </c>
      <c r="K2494" s="14">
        <v>13.66</v>
      </c>
      <c r="L2494" s="14">
        <v>0.0</v>
      </c>
    </row>
    <row r="2495">
      <c r="A2495" s="14">
        <v>698.0</v>
      </c>
      <c r="B2495" s="14">
        <v>3.0</v>
      </c>
      <c r="C2495" s="34">
        <v>12.41</v>
      </c>
      <c r="D2495" s="36">
        <v>44998.0</v>
      </c>
      <c r="E2495" s="24"/>
      <c r="F2495" s="14">
        <v>4.14</v>
      </c>
      <c r="G2495" s="14">
        <v>17.78</v>
      </c>
      <c r="H2495" s="14">
        <v>0.43</v>
      </c>
      <c r="I2495" s="14" t="s">
        <v>6042</v>
      </c>
      <c r="J2495" s="14">
        <v>66.67</v>
      </c>
      <c r="K2495" s="14">
        <v>6.2</v>
      </c>
      <c r="L2495" s="14">
        <v>0.0</v>
      </c>
    </row>
    <row r="2496">
      <c r="A2496" s="14">
        <v>77.0</v>
      </c>
      <c r="B2496" s="14">
        <v>1.0</v>
      </c>
      <c r="C2496" s="34">
        <v>21.69</v>
      </c>
      <c r="D2496" s="36">
        <v>44998.0</v>
      </c>
      <c r="E2496" s="24"/>
      <c r="F2496" s="14">
        <v>21.69</v>
      </c>
      <c r="G2496" s="14">
        <v>281.69</v>
      </c>
      <c r="H2496" s="14">
        <v>1.3</v>
      </c>
      <c r="I2496" s="14" t="s">
        <v>6035</v>
      </c>
      <c r="J2496" s="14">
        <v>0.0</v>
      </c>
      <c r="K2496" s="14" t="s">
        <v>6012</v>
      </c>
      <c r="L2496" s="14">
        <v>0.0</v>
      </c>
    </row>
    <row r="2497">
      <c r="A2497" s="14">
        <v>584.0</v>
      </c>
      <c r="B2497" s="14">
        <v>3.0</v>
      </c>
      <c r="C2497" s="34">
        <v>13.42</v>
      </c>
      <c r="D2497" s="36">
        <v>44998.0</v>
      </c>
      <c r="E2497" s="24"/>
      <c r="F2497" s="14">
        <v>4.47</v>
      </c>
      <c r="G2497" s="14">
        <v>22.98</v>
      </c>
      <c r="H2497" s="14">
        <v>0.51</v>
      </c>
      <c r="I2497" s="14" t="s">
        <v>6039</v>
      </c>
      <c r="J2497" s="14">
        <v>0.0</v>
      </c>
      <c r="K2497" s="14" t="s">
        <v>6012</v>
      </c>
      <c r="L2497" s="14">
        <v>0.0</v>
      </c>
    </row>
    <row r="2498">
      <c r="A2498" s="14">
        <v>1273.0</v>
      </c>
      <c r="B2498" s="14">
        <v>16.0</v>
      </c>
      <c r="C2498" s="34">
        <v>10.6</v>
      </c>
      <c r="D2498" s="36">
        <v>44998.0</v>
      </c>
      <c r="E2498" s="24"/>
      <c r="F2498" s="14">
        <v>0.66</v>
      </c>
      <c r="G2498" s="14">
        <v>8.33</v>
      </c>
      <c r="H2498" s="14">
        <v>1.26</v>
      </c>
      <c r="I2498" s="14" t="s">
        <v>6051</v>
      </c>
      <c r="J2498" s="14">
        <v>31.25</v>
      </c>
      <c r="K2498" s="14">
        <v>2.12</v>
      </c>
      <c r="L2498" s="14">
        <v>0.0</v>
      </c>
    </row>
    <row r="2499">
      <c r="A2499" s="14">
        <v>1068.0</v>
      </c>
      <c r="B2499" s="14">
        <v>7.0</v>
      </c>
      <c r="C2499" s="34">
        <v>12.72</v>
      </c>
      <c r="D2499" s="36">
        <v>44998.0</v>
      </c>
      <c r="E2499" s="24"/>
      <c r="F2499" s="14">
        <v>1.82</v>
      </c>
      <c r="G2499" s="14">
        <v>11.91</v>
      </c>
      <c r="H2499" s="14">
        <v>0.66</v>
      </c>
      <c r="I2499" s="14" t="s">
        <v>6050</v>
      </c>
      <c r="J2499" s="14">
        <v>14.29</v>
      </c>
      <c r="K2499" s="14">
        <v>12.72</v>
      </c>
      <c r="L2499" s="14">
        <v>0.0</v>
      </c>
    </row>
    <row r="2500">
      <c r="A2500" s="14">
        <v>0.0</v>
      </c>
      <c r="B2500" s="14">
        <v>0.0</v>
      </c>
      <c r="C2500" s="34"/>
      <c r="D2500" s="36">
        <v>44998.0</v>
      </c>
      <c r="E2500" s="24"/>
      <c r="F2500" s="14" t="s">
        <v>6012</v>
      </c>
      <c r="G2500" s="14" t="s">
        <v>6012</v>
      </c>
      <c r="H2500" s="14" t="s">
        <v>6012</v>
      </c>
      <c r="I2500" s="14" t="s">
        <v>6052</v>
      </c>
      <c r="J2500" s="14" t="s">
        <v>6012</v>
      </c>
      <c r="K2500" s="14" t="s">
        <v>6012</v>
      </c>
      <c r="L2500" s="14"/>
    </row>
    <row r="2501">
      <c r="A2501" s="14">
        <v>841.0</v>
      </c>
      <c r="B2501" s="14">
        <v>8.0</v>
      </c>
      <c r="C2501" s="34">
        <v>10.98</v>
      </c>
      <c r="D2501" s="36">
        <v>44999.0</v>
      </c>
      <c r="E2501" s="24"/>
      <c r="F2501" s="14">
        <v>1.37</v>
      </c>
      <c r="G2501" s="14">
        <v>13.06</v>
      </c>
      <c r="H2501" s="14">
        <v>0.95</v>
      </c>
      <c r="I2501" s="14" t="s">
        <v>6050</v>
      </c>
      <c r="J2501" s="14">
        <v>37.5</v>
      </c>
      <c r="K2501" s="14">
        <v>3.66</v>
      </c>
      <c r="L2501" s="14">
        <v>0.0</v>
      </c>
    </row>
    <row r="2502">
      <c r="A2502" s="14">
        <v>94.0</v>
      </c>
      <c r="B2502" s="14">
        <v>11.0</v>
      </c>
      <c r="C2502" s="34">
        <v>8.03</v>
      </c>
      <c r="D2502" s="36">
        <v>44999.0</v>
      </c>
      <c r="E2502" s="24"/>
      <c r="F2502" s="14">
        <v>0.73</v>
      </c>
      <c r="G2502" s="14">
        <v>85.43</v>
      </c>
      <c r="H2502" s="14">
        <v>11.7</v>
      </c>
      <c r="I2502" s="14" t="s">
        <v>6055</v>
      </c>
      <c r="J2502" s="14">
        <v>127.27</v>
      </c>
      <c r="K2502" s="14">
        <v>0.57</v>
      </c>
      <c r="L2502" s="14">
        <v>0.0</v>
      </c>
    </row>
    <row r="2503">
      <c r="A2503" s="14">
        <v>221.0</v>
      </c>
      <c r="B2503" s="14">
        <v>1.0</v>
      </c>
      <c r="C2503" s="34">
        <v>19.15</v>
      </c>
      <c r="D2503" s="36">
        <v>44999.0</v>
      </c>
      <c r="E2503" s="24"/>
      <c r="F2503" s="14">
        <v>19.15</v>
      </c>
      <c r="G2503" s="14">
        <v>86.65</v>
      </c>
      <c r="H2503" s="14">
        <v>0.45</v>
      </c>
      <c r="I2503" s="14" t="s">
        <v>6038</v>
      </c>
      <c r="J2503" s="14">
        <v>0.0</v>
      </c>
      <c r="K2503" s="14" t="s">
        <v>6012</v>
      </c>
      <c r="L2503" s="14">
        <v>0.0</v>
      </c>
    </row>
    <row r="2504">
      <c r="A2504" s="14">
        <v>624.0</v>
      </c>
      <c r="B2504" s="14">
        <v>7.0</v>
      </c>
      <c r="C2504" s="34">
        <v>12.68</v>
      </c>
      <c r="D2504" s="36">
        <v>44999.0</v>
      </c>
      <c r="E2504" s="24"/>
      <c r="F2504" s="14">
        <v>1.81</v>
      </c>
      <c r="G2504" s="14">
        <v>20.32</v>
      </c>
      <c r="H2504" s="14">
        <v>1.12</v>
      </c>
      <c r="I2504" s="14" t="s">
        <v>6039</v>
      </c>
      <c r="J2504" s="14">
        <v>14.29</v>
      </c>
      <c r="K2504" s="14">
        <v>12.68</v>
      </c>
      <c r="L2504" s="14">
        <v>0.0</v>
      </c>
    </row>
    <row r="2505">
      <c r="A2505" s="14">
        <v>694.0</v>
      </c>
      <c r="B2505" s="14">
        <v>4.0</v>
      </c>
      <c r="C2505" s="34">
        <v>23.53</v>
      </c>
      <c r="D2505" s="36">
        <v>44999.0</v>
      </c>
      <c r="E2505" s="24"/>
      <c r="F2505" s="14">
        <v>5.88</v>
      </c>
      <c r="G2505" s="14">
        <v>33.9</v>
      </c>
      <c r="H2505" s="14">
        <v>0.58</v>
      </c>
      <c r="I2505" s="14" t="s">
        <v>6035</v>
      </c>
      <c r="J2505" s="14">
        <v>0.0</v>
      </c>
      <c r="K2505" s="14" t="s">
        <v>6012</v>
      </c>
      <c r="L2505" s="14">
        <v>0.0</v>
      </c>
    </row>
    <row r="2506">
      <c r="A2506" s="14">
        <v>703.0</v>
      </c>
      <c r="B2506" s="14">
        <v>9.0</v>
      </c>
      <c r="C2506" s="34">
        <v>12.66</v>
      </c>
      <c r="D2506" s="36">
        <v>44999.0</v>
      </c>
      <c r="E2506" s="24"/>
      <c r="F2506" s="14">
        <v>1.41</v>
      </c>
      <c r="G2506" s="14">
        <v>18.01</v>
      </c>
      <c r="H2506" s="14">
        <v>1.28</v>
      </c>
      <c r="I2506" s="14" t="s">
        <v>6037</v>
      </c>
      <c r="J2506" s="14">
        <v>0.0</v>
      </c>
      <c r="K2506" s="14" t="s">
        <v>6012</v>
      </c>
      <c r="L2506" s="14">
        <v>0.0</v>
      </c>
    </row>
    <row r="2507">
      <c r="A2507" s="14">
        <v>503.0</v>
      </c>
      <c r="B2507" s="14">
        <v>6.0</v>
      </c>
      <c r="C2507" s="34">
        <v>12.21</v>
      </c>
      <c r="D2507" s="36">
        <v>44999.0</v>
      </c>
      <c r="E2507" s="24"/>
      <c r="F2507" s="14">
        <v>2.04</v>
      </c>
      <c r="G2507" s="14">
        <v>24.27</v>
      </c>
      <c r="H2507" s="14">
        <v>1.19</v>
      </c>
      <c r="I2507" s="14" t="s">
        <v>6051</v>
      </c>
      <c r="J2507" s="14">
        <v>33.33</v>
      </c>
      <c r="K2507" s="14">
        <v>6.1</v>
      </c>
      <c r="L2507" s="14">
        <v>0.0</v>
      </c>
    </row>
    <row r="2508">
      <c r="A2508" s="14">
        <v>600.0</v>
      </c>
      <c r="B2508" s="14">
        <v>1.0</v>
      </c>
      <c r="C2508" s="34">
        <v>12.58</v>
      </c>
      <c r="D2508" s="36">
        <v>44999.0</v>
      </c>
      <c r="E2508" s="24"/>
      <c r="F2508" s="14">
        <v>12.58</v>
      </c>
      <c r="G2508" s="14">
        <v>20.97</v>
      </c>
      <c r="H2508" s="14">
        <v>0.17</v>
      </c>
      <c r="I2508" s="14" t="s">
        <v>6042</v>
      </c>
      <c r="J2508" s="14">
        <v>100.0</v>
      </c>
      <c r="K2508" s="14">
        <v>12.58</v>
      </c>
      <c r="L2508" s="14">
        <v>0.0</v>
      </c>
    </row>
    <row r="2509">
      <c r="A2509" s="14">
        <v>466.0</v>
      </c>
      <c r="B2509" s="14">
        <v>1.0</v>
      </c>
      <c r="C2509" s="34">
        <v>11.94</v>
      </c>
      <c r="D2509" s="36">
        <v>44999.0</v>
      </c>
      <c r="E2509" s="24"/>
      <c r="F2509" s="14">
        <v>11.94</v>
      </c>
      <c r="G2509" s="14">
        <v>25.62</v>
      </c>
      <c r="H2509" s="14">
        <v>0.21</v>
      </c>
      <c r="I2509" s="14" t="s">
        <v>6054</v>
      </c>
      <c r="J2509" s="14">
        <v>100.0</v>
      </c>
      <c r="K2509" s="14">
        <v>11.94</v>
      </c>
      <c r="L2509" s="14">
        <v>0.0</v>
      </c>
    </row>
    <row r="2510">
      <c r="A2510" s="14">
        <v>1148.0</v>
      </c>
      <c r="B2510" s="14">
        <v>21.0</v>
      </c>
      <c r="C2510" s="34">
        <v>12.52</v>
      </c>
      <c r="D2510" s="36">
        <v>45000.0</v>
      </c>
      <c r="E2510" s="24"/>
      <c r="F2510" s="14">
        <v>0.6</v>
      </c>
      <c r="G2510" s="14">
        <v>10.91</v>
      </c>
      <c r="H2510" s="14">
        <v>1.83</v>
      </c>
      <c r="I2510" s="14" t="s">
        <v>6037</v>
      </c>
      <c r="J2510" s="14">
        <v>0.0</v>
      </c>
      <c r="K2510" s="14" t="s">
        <v>6012</v>
      </c>
      <c r="L2510" s="14">
        <v>0.0</v>
      </c>
    </row>
    <row r="2511">
      <c r="A2511" s="14">
        <v>772.0</v>
      </c>
      <c r="B2511" s="14">
        <v>8.0</v>
      </c>
      <c r="C2511" s="34">
        <v>11.84</v>
      </c>
      <c r="D2511" s="36">
        <v>45000.0</v>
      </c>
      <c r="E2511" s="24"/>
      <c r="F2511" s="14">
        <v>1.48</v>
      </c>
      <c r="G2511" s="14">
        <v>15.34</v>
      </c>
      <c r="H2511" s="14">
        <v>1.04</v>
      </c>
      <c r="I2511" s="14" t="s">
        <v>6039</v>
      </c>
      <c r="J2511" s="14">
        <v>12.5</v>
      </c>
      <c r="K2511" s="14">
        <v>11.84</v>
      </c>
      <c r="L2511" s="14">
        <v>0.0</v>
      </c>
    </row>
    <row r="2512">
      <c r="A2512" s="14">
        <v>1245.0</v>
      </c>
      <c r="B2512" s="14">
        <v>14.0</v>
      </c>
      <c r="C2512" s="34">
        <v>11.37</v>
      </c>
      <c r="D2512" s="36">
        <v>45000.0</v>
      </c>
      <c r="E2512" s="24"/>
      <c r="F2512" s="14">
        <v>0.81</v>
      </c>
      <c r="G2512" s="14">
        <v>9.13</v>
      </c>
      <c r="H2512" s="14">
        <v>1.12</v>
      </c>
      <c r="I2512" s="14" t="s">
        <v>6051</v>
      </c>
      <c r="J2512" s="14">
        <v>7.14</v>
      </c>
      <c r="K2512" s="14">
        <v>11.37</v>
      </c>
      <c r="L2512" s="14">
        <v>0.0</v>
      </c>
    </row>
    <row r="2513">
      <c r="A2513" s="14">
        <v>395.0</v>
      </c>
      <c r="B2513" s="14">
        <v>0.0</v>
      </c>
      <c r="C2513" s="34">
        <v>18.56</v>
      </c>
      <c r="D2513" s="36">
        <v>45000.0</v>
      </c>
      <c r="E2513" s="24"/>
      <c r="F2513" s="14" t="s">
        <v>6012</v>
      </c>
      <c r="G2513" s="14">
        <v>46.99</v>
      </c>
      <c r="H2513" s="14">
        <v>0.0</v>
      </c>
      <c r="I2513" s="14" t="s">
        <v>6038</v>
      </c>
      <c r="J2513" s="14" t="s">
        <v>6012</v>
      </c>
      <c r="K2513" s="14" t="s">
        <v>6012</v>
      </c>
      <c r="L2513" s="14">
        <v>0.0</v>
      </c>
    </row>
    <row r="2514">
      <c r="A2514" s="14">
        <v>101.0</v>
      </c>
      <c r="B2514" s="14">
        <v>10.0</v>
      </c>
      <c r="C2514" s="34">
        <v>3.57</v>
      </c>
      <c r="D2514" s="36">
        <v>45000.0</v>
      </c>
      <c r="E2514" s="24"/>
      <c r="F2514" s="14">
        <v>0.36</v>
      </c>
      <c r="G2514" s="14">
        <v>35.35</v>
      </c>
      <c r="H2514" s="14">
        <v>9.9</v>
      </c>
      <c r="I2514" s="14" t="s">
        <v>6055</v>
      </c>
      <c r="J2514" s="14">
        <v>70.0</v>
      </c>
      <c r="K2514" s="14">
        <v>0.51</v>
      </c>
      <c r="L2514" s="14">
        <v>0.0</v>
      </c>
    </row>
    <row r="2515">
      <c r="A2515" s="14">
        <v>591.0</v>
      </c>
      <c r="B2515" s="14">
        <v>5.0</v>
      </c>
      <c r="C2515" s="34">
        <v>13.79</v>
      </c>
      <c r="D2515" s="36">
        <v>45000.0</v>
      </c>
      <c r="E2515" s="24"/>
      <c r="F2515" s="14">
        <v>2.76</v>
      </c>
      <c r="G2515" s="14">
        <v>23.33</v>
      </c>
      <c r="H2515" s="14">
        <v>0.85</v>
      </c>
      <c r="I2515" s="14" t="s">
        <v>6042</v>
      </c>
      <c r="J2515" s="14">
        <v>80.0</v>
      </c>
      <c r="K2515" s="14">
        <v>3.45</v>
      </c>
      <c r="L2515" s="14">
        <v>0.0</v>
      </c>
    </row>
    <row r="2516">
      <c r="A2516" s="14">
        <v>404.0</v>
      </c>
      <c r="B2516" s="14">
        <v>3.0</v>
      </c>
      <c r="C2516" s="34">
        <v>11.33</v>
      </c>
      <c r="D2516" s="36">
        <v>45000.0</v>
      </c>
      <c r="E2516" s="24"/>
      <c r="F2516" s="14">
        <v>3.78</v>
      </c>
      <c r="G2516" s="14">
        <v>28.04</v>
      </c>
      <c r="H2516" s="14">
        <v>0.74</v>
      </c>
      <c r="I2516" s="14" t="s">
        <v>6054</v>
      </c>
      <c r="J2516" s="14">
        <v>100.0</v>
      </c>
      <c r="K2516" s="14">
        <v>3.78</v>
      </c>
      <c r="L2516" s="14">
        <v>0.0</v>
      </c>
    </row>
    <row r="2517">
      <c r="A2517" s="14">
        <v>586.0</v>
      </c>
      <c r="B2517" s="14">
        <v>3.0</v>
      </c>
      <c r="C2517" s="34">
        <v>23.19</v>
      </c>
      <c r="D2517" s="36">
        <v>45000.0</v>
      </c>
      <c r="E2517" s="24"/>
      <c r="F2517" s="14">
        <v>7.73</v>
      </c>
      <c r="G2517" s="14">
        <v>39.57</v>
      </c>
      <c r="H2517" s="14">
        <v>0.51</v>
      </c>
      <c r="I2517" s="14" t="s">
        <v>6035</v>
      </c>
      <c r="J2517" s="14">
        <v>33.33</v>
      </c>
      <c r="K2517" s="14">
        <v>23.19</v>
      </c>
      <c r="L2517" s="14">
        <v>0.0</v>
      </c>
    </row>
    <row r="2518">
      <c r="A2518" s="14">
        <v>1768.0</v>
      </c>
      <c r="B2518" s="14">
        <v>13.0</v>
      </c>
      <c r="C2518" s="34">
        <v>10.87</v>
      </c>
      <c r="D2518" s="36">
        <v>45000.0</v>
      </c>
      <c r="E2518" s="24"/>
      <c r="F2518" s="14">
        <v>0.84</v>
      </c>
      <c r="G2518" s="14">
        <v>6.15</v>
      </c>
      <c r="H2518" s="14">
        <v>0.74</v>
      </c>
      <c r="I2518" s="14" t="s">
        <v>6050</v>
      </c>
      <c r="J2518" s="14">
        <v>23.08</v>
      </c>
      <c r="K2518" s="14">
        <v>3.62</v>
      </c>
      <c r="L2518" s="14">
        <v>0.0</v>
      </c>
    </row>
    <row r="2519">
      <c r="A2519" s="14">
        <v>581.0</v>
      </c>
      <c r="B2519" s="14">
        <v>2.0</v>
      </c>
      <c r="C2519" s="34">
        <v>13.58</v>
      </c>
      <c r="D2519" s="36">
        <v>45001.0</v>
      </c>
      <c r="E2519" s="24"/>
      <c r="F2519" s="14">
        <v>6.79</v>
      </c>
      <c r="G2519" s="14">
        <v>23.37</v>
      </c>
      <c r="H2519" s="14">
        <v>0.34</v>
      </c>
      <c r="I2519" s="14" t="s">
        <v>6042</v>
      </c>
      <c r="J2519" s="14">
        <v>0.0</v>
      </c>
      <c r="K2519" s="14" t="s">
        <v>6012</v>
      </c>
      <c r="L2519" s="14">
        <v>0.0</v>
      </c>
    </row>
    <row r="2520">
      <c r="A2520" s="14">
        <v>421.0</v>
      </c>
      <c r="B2520" s="14">
        <v>5.0</v>
      </c>
      <c r="C2520" s="34">
        <v>13.71</v>
      </c>
      <c r="D2520" s="36">
        <v>45001.0</v>
      </c>
      <c r="E2520" s="24"/>
      <c r="F2520" s="14">
        <v>2.74</v>
      </c>
      <c r="G2520" s="14">
        <v>32.57</v>
      </c>
      <c r="H2520" s="14">
        <v>1.19</v>
      </c>
      <c r="I2520" s="14" t="s">
        <v>6039</v>
      </c>
      <c r="J2520" s="14">
        <v>20.0</v>
      </c>
      <c r="K2520" s="14">
        <v>13.71</v>
      </c>
      <c r="L2520" s="14">
        <v>0.0</v>
      </c>
    </row>
    <row r="2521">
      <c r="A2521" s="14">
        <v>96.0</v>
      </c>
      <c r="B2521" s="14">
        <v>8.0</v>
      </c>
      <c r="C2521" s="34">
        <v>14.08</v>
      </c>
      <c r="D2521" s="36">
        <v>45001.0</v>
      </c>
      <c r="E2521" s="24"/>
      <c r="F2521" s="14">
        <v>1.76</v>
      </c>
      <c r="G2521" s="14">
        <v>146.67</v>
      </c>
      <c r="H2521" s="14">
        <v>8.33</v>
      </c>
      <c r="I2521" s="14" t="s">
        <v>6055</v>
      </c>
      <c r="J2521" s="14">
        <v>137.5</v>
      </c>
      <c r="K2521" s="14">
        <v>1.28</v>
      </c>
      <c r="L2521" s="14">
        <v>0.0</v>
      </c>
    </row>
    <row r="2522">
      <c r="A2522" s="14">
        <v>176.0</v>
      </c>
      <c r="B2522" s="14">
        <v>1.0</v>
      </c>
      <c r="C2522" s="34">
        <v>12.19</v>
      </c>
      <c r="D2522" s="36">
        <v>45001.0</v>
      </c>
      <c r="E2522" s="24"/>
      <c r="F2522" s="14">
        <v>12.19</v>
      </c>
      <c r="G2522" s="14">
        <v>69.26</v>
      </c>
      <c r="H2522" s="14">
        <v>0.57</v>
      </c>
      <c r="I2522" s="14" t="s">
        <v>6056</v>
      </c>
      <c r="J2522" s="14">
        <v>0.0</v>
      </c>
      <c r="K2522" s="14" t="s">
        <v>6012</v>
      </c>
      <c r="L2522" s="14">
        <v>0.0</v>
      </c>
    </row>
    <row r="2523">
      <c r="A2523" s="14">
        <v>581.0</v>
      </c>
      <c r="B2523" s="14">
        <v>1.0</v>
      </c>
      <c r="C2523" s="34">
        <v>22.0</v>
      </c>
      <c r="D2523" s="36">
        <v>45001.0</v>
      </c>
      <c r="E2523" s="24"/>
      <c r="F2523" s="14">
        <v>22.0</v>
      </c>
      <c r="G2523" s="14">
        <v>37.87</v>
      </c>
      <c r="H2523" s="14">
        <v>0.17</v>
      </c>
      <c r="I2523" s="14" t="s">
        <v>6035</v>
      </c>
      <c r="J2523" s="14">
        <v>0.0</v>
      </c>
      <c r="K2523" s="14" t="s">
        <v>6012</v>
      </c>
      <c r="L2523" s="14">
        <v>0.0</v>
      </c>
    </row>
    <row r="2524">
      <c r="A2524" s="14">
        <v>273.0</v>
      </c>
      <c r="B2524" s="14">
        <v>1.0</v>
      </c>
      <c r="C2524" s="34">
        <v>11.29</v>
      </c>
      <c r="D2524" s="36">
        <v>45001.0</v>
      </c>
      <c r="E2524" s="24"/>
      <c r="F2524" s="14">
        <v>11.29</v>
      </c>
      <c r="G2524" s="14">
        <v>41.36</v>
      </c>
      <c r="H2524" s="14">
        <v>0.37</v>
      </c>
      <c r="I2524" s="14" t="s">
        <v>6054</v>
      </c>
      <c r="J2524" s="14">
        <v>100.0</v>
      </c>
      <c r="K2524" s="14">
        <v>11.29</v>
      </c>
      <c r="L2524" s="14">
        <v>0.0</v>
      </c>
    </row>
    <row r="2525">
      <c r="A2525" s="14">
        <v>488.0</v>
      </c>
      <c r="B2525" s="14">
        <v>8.0</v>
      </c>
      <c r="C2525" s="34">
        <v>12.85</v>
      </c>
      <c r="D2525" s="36">
        <v>45001.0</v>
      </c>
      <c r="E2525" s="24"/>
      <c r="F2525" s="14">
        <v>1.61</v>
      </c>
      <c r="G2525" s="14">
        <v>26.33</v>
      </c>
      <c r="H2525" s="14">
        <v>1.64</v>
      </c>
      <c r="I2525" s="14" t="s">
        <v>6051</v>
      </c>
      <c r="J2525" s="14">
        <v>50.0</v>
      </c>
      <c r="K2525" s="14">
        <v>3.21</v>
      </c>
      <c r="L2525" s="14">
        <v>0.0</v>
      </c>
    </row>
    <row r="2526">
      <c r="A2526" s="14">
        <v>384.0</v>
      </c>
      <c r="B2526" s="14">
        <v>2.0</v>
      </c>
      <c r="C2526" s="34">
        <v>13.11</v>
      </c>
      <c r="D2526" s="36">
        <v>45001.0</v>
      </c>
      <c r="E2526" s="24"/>
      <c r="F2526" s="14">
        <v>6.56</v>
      </c>
      <c r="G2526" s="14">
        <v>34.14</v>
      </c>
      <c r="H2526" s="14">
        <v>0.52</v>
      </c>
      <c r="I2526" s="14" t="s">
        <v>6037</v>
      </c>
      <c r="J2526" s="14">
        <v>0.0</v>
      </c>
      <c r="K2526" s="14" t="s">
        <v>6012</v>
      </c>
      <c r="L2526" s="14">
        <v>0.0</v>
      </c>
    </row>
    <row r="2527">
      <c r="A2527" s="14">
        <v>1627.0</v>
      </c>
      <c r="B2527" s="14">
        <v>13.0</v>
      </c>
      <c r="C2527" s="34">
        <v>11.5</v>
      </c>
      <c r="D2527" s="36">
        <v>45001.0</v>
      </c>
      <c r="E2527" s="24"/>
      <c r="F2527" s="14">
        <v>0.88</v>
      </c>
      <c r="G2527" s="14">
        <v>7.07</v>
      </c>
      <c r="H2527" s="14">
        <v>0.8</v>
      </c>
      <c r="I2527" s="14" t="s">
        <v>6050</v>
      </c>
      <c r="J2527" s="14">
        <v>84.62</v>
      </c>
      <c r="K2527" s="14">
        <v>1.05</v>
      </c>
      <c r="L2527" s="14">
        <v>0.0</v>
      </c>
    </row>
    <row r="2528">
      <c r="A2528" s="14">
        <v>408.0</v>
      </c>
      <c r="B2528" s="14">
        <v>1.0</v>
      </c>
      <c r="C2528" s="34">
        <v>20.41</v>
      </c>
      <c r="D2528" s="36">
        <v>45001.0</v>
      </c>
      <c r="E2528" s="24"/>
      <c r="F2528" s="14">
        <v>20.41</v>
      </c>
      <c r="G2528" s="14">
        <v>50.02</v>
      </c>
      <c r="H2528" s="14">
        <v>0.25</v>
      </c>
      <c r="I2528" s="14" t="s">
        <v>6038</v>
      </c>
      <c r="J2528" s="14">
        <v>0.0</v>
      </c>
      <c r="K2528" s="14" t="s">
        <v>6012</v>
      </c>
      <c r="L2528" s="14">
        <v>0.0</v>
      </c>
    </row>
    <row r="2529">
      <c r="A2529" s="14">
        <v>153.0</v>
      </c>
      <c r="B2529" s="14">
        <v>0.0</v>
      </c>
      <c r="C2529" s="34">
        <v>11.97</v>
      </c>
      <c r="D2529" s="36">
        <v>45002.0</v>
      </c>
      <c r="E2529" s="24"/>
      <c r="F2529" s="14" t="s">
        <v>6012</v>
      </c>
      <c r="G2529" s="14">
        <v>78.24</v>
      </c>
      <c r="H2529" s="14">
        <v>0.0</v>
      </c>
      <c r="I2529" s="14" t="s">
        <v>6056</v>
      </c>
      <c r="J2529" s="14" t="s">
        <v>6012</v>
      </c>
      <c r="K2529" s="14">
        <v>5.98</v>
      </c>
      <c r="L2529" s="14">
        <v>0.0</v>
      </c>
    </row>
    <row r="2530">
      <c r="A2530" s="14">
        <v>636.0</v>
      </c>
      <c r="B2530" s="14">
        <v>5.0</v>
      </c>
      <c r="C2530" s="34">
        <v>21.06</v>
      </c>
      <c r="D2530" s="36">
        <v>45002.0</v>
      </c>
      <c r="E2530" s="24"/>
      <c r="F2530" s="14">
        <v>4.21</v>
      </c>
      <c r="G2530" s="14">
        <v>33.11</v>
      </c>
      <c r="H2530" s="14">
        <v>0.79</v>
      </c>
      <c r="I2530" s="14" t="s">
        <v>6035</v>
      </c>
      <c r="J2530" s="14">
        <v>0.0</v>
      </c>
      <c r="K2530" s="14" t="s">
        <v>6012</v>
      </c>
      <c r="L2530" s="14">
        <v>0.0</v>
      </c>
    </row>
    <row r="2531">
      <c r="A2531" s="14">
        <v>67.0</v>
      </c>
      <c r="B2531" s="14">
        <v>1.0</v>
      </c>
      <c r="C2531" s="34">
        <v>14.72</v>
      </c>
      <c r="D2531" s="36">
        <v>45002.0</v>
      </c>
      <c r="E2531" s="24"/>
      <c r="F2531" s="14">
        <v>14.72</v>
      </c>
      <c r="G2531" s="14">
        <v>219.7</v>
      </c>
      <c r="H2531" s="14">
        <v>1.49</v>
      </c>
      <c r="I2531" s="14" t="s">
        <v>6055</v>
      </c>
      <c r="J2531" s="14">
        <v>200.0</v>
      </c>
      <c r="K2531" s="14">
        <v>7.36</v>
      </c>
      <c r="L2531" s="14">
        <v>0.0</v>
      </c>
    </row>
    <row r="2532">
      <c r="A2532" s="14">
        <v>234.0</v>
      </c>
      <c r="B2532" s="14">
        <v>1.0</v>
      </c>
      <c r="C2532" s="34">
        <v>19.23</v>
      </c>
      <c r="D2532" s="36">
        <v>45002.0</v>
      </c>
      <c r="E2532" s="24"/>
      <c r="F2532" s="14">
        <v>19.23</v>
      </c>
      <c r="G2532" s="14">
        <v>82.18</v>
      </c>
      <c r="H2532" s="14">
        <v>0.43</v>
      </c>
      <c r="I2532" s="14" t="s">
        <v>6038</v>
      </c>
      <c r="J2532" s="14">
        <v>0.0</v>
      </c>
      <c r="K2532" s="14" t="s">
        <v>6012</v>
      </c>
      <c r="L2532" s="14">
        <v>0.0</v>
      </c>
    </row>
    <row r="2533">
      <c r="A2533" s="14">
        <v>1329.0</v>
      </c>
      <c r="B2533" s="14">
        <v>10.0</v>
      </c>
      <c r="C2533" s="34">
        <v>10.91</v>
      </c>
      <c r="D2533" s="36">
        <v>45002.0</v>
      </c>
      <c r="E2533" s="24"/>
      <c r="F2533" s="14">
        <v>1.09</v>
      </c>
      <c r="G2533" s="14">
        <v>8.21</v>
      </c>
      <c r="H2533" s="14">
        <v>0.75</v>
      </c>
      <c r="I2533" s="14" t="s">
        <v>6050</v>
      </c>
      <c r="J2533" s="14">
        <v>30.0</v>
      </c>
      <c r="K2533" s="14">
        <v>3.64</v>
      </c>
      <c r="L2533" s="14">
        <v>0.0</v>
      </c>
    </row>
    <row r="2534">
      <c r="A2534" s="14">
        <v>131.0</v>
      </c>
      <c r="B2534" s="14">
        <v>0.0</v>
      </c>
      <c r="C2534" s="34">
        <v>3.84</v>
      </c>
      <c r="D2534" s="36">
        <v>45002.0</v>
      </c>
      <c r="E2534" s="24"/>
      <c r="F2534" s="14" t="s">
        <v>6012</v>
      </c>
      <c r="G2534" s="14">
        <v>29.31</v>
      </c>
      <c r="H2534" s="14">
        <v>0.0</v>
      </c>
      <c r="I2534" s="14" t="s">
        <v>6054</v>
      </c>
      <c r="J2534" s="14" t="s">
        <v>6012</v>
      </c>
      <c r="K2534" s="14">
        <v>3.84</v>
      </c>
      <c r="L2534" s="14">
        <v>0.0</v>
      </c>
    </row>
    <row r="2535">
      <c r="A2535" s="14">
        <v>1143.0</v>
      </c>
      <c r="B2535" s="14">
        <v>12.0</v>
      </c>
      <c r="C2535" s="34">
        <v>11.09</v>
      </c>
      <c r="D2535" s="36">
        <v>45002.0</v>
      </c>
      <c r="E2535" s="24"/>
      <c r="F2535" s="14">
        <v>0.92</v>
      </c>
      <c r="G2535" s="14">
        <v>9.7</v>
      </c>
      <c r="H2535" s="14">
        <v>1.05</v>
      </c>
      <c r="I2535" s="14" t="s">
        <v>6051</v>
      </c>
      <c r="J2535" s="14">
        <v>8.33</v>
      </c>
      <c r="K2535" s="14">
        <v>11.09</v>
      </c>
      <c r="L2535" s="14">
        <v>0.0</v>
      </c>
    </row>
    <row r="2536">
      <c r="A2536" s="14">
        <v>641.0</v>
      </c>
      <c r="B2536" s="14">
        <v>3.0</v>
      </c>
      <c r="C2536" s="34">
        <v>12.65</v>
      </c>
      <c r="D2536" s="36">
        <v>45002.0</v>
      </c>
      <c r="E2536" s="24"/>
      <c r="F2536" s="14">
        <v>4.22</v>
      </c>
      <c r="G2536" s="14">
        <v>19.73</v>
      </c>
      <c r="H2536" s="14">
        <v>0.47</v>
      </c>
      <c r="I2536" s="14" t="s">
        <v>6039</v>
      </c>
      <c r="J2536" s="14">
        <v>66.67</v>
      </c>
      <c r="K2536" s="14">
        <v>6.32</v>
      </c>
      <c r="L2536" s="14">
        <v>0.0</v>
      </c>
    </row>
    <row r="2537">
      <c r="A2537" s="14">
        <v>1292.0</v>
      </c>
      <c r="B2537" s="14">
        <v>11.0</v>
      </c>
      <c r="C2537" s="34">
        <v>11.85</v>
      </c>
      <c r="D2537" s="36">
        <v>45002.0</v>
      </c>
      <c r="E2537" s="24"/>
      <c r="F2537" s="14">
        <v>1.08</v>
      </c>
      <c r="G2537" s="14">
        <v>9.17</v>
      </c>
      <c r="H2537" s="14">
        <v>0.85</v>
      </c>
      <c r="I2537" s="14" t="s">
        <v>6037</v>
      </c>
      <c r="J2537" s="14">
        <v>9.09</v>
      </c>
      <c r="K2537" s="14">
        <v>11.85</v>
      </c>
      <c r="L2537" s="14">
        <v>0.0</v>
      </c>
    </row>
    <row r="2538">
      <c r="A2538" s="14">
        <v>519.0</v>
      </c>
      <c r="B2538" s="14">
        <v>4.0</v>
      </c>
      <c r="C2538" s="34">
        <v>13.3</v>
      </c>
      <c r="D2538" s="36">
        <v>45002.0</v>
      </c>
      <c r="E2538" s="24"/>
      <c r="F2538" s="14">
        <v>3.32</v>
      </c>
      <c r="G2538" s="14">
        <v>25.63</v>
      </c>
      <c r="H2538" s="14">
        <v>0.77</v>
      </c>
      <c r="I2538" s="14" t="s">
        <v>6042</v>
      </c>
      <c r="J2538" s="14">
        <v>25.0</v>
      </c>
      <c r="K2538" s="14">
        <v>13.3</v>
      </c>
      <c r="L2538" s="14">
        <v>0.0</v>
      </c>
    </row>
    <row r="2539">
      <c r="A2539" s="14">
        <v>1025.0</v>
      </c>
      <c r="B2539" s="14">
        <v>5.0</v>
      </c>
      <c r="C2539" s="34">
        <v>6.67</v>
      </c>
      <c r="D2539" s="36">
        <v>45003.0</v>
      </c>
      <c r="E2539" s="24"/>
      <c r="F2539" s="14">
        <v>1.33</v>
      </c>
      <c r="G2539" s="14">
        <v>6.51</v>
      </c>
      <c r="H2539" s="14">
        <v>0.49</v>
      </c>
      <c r="I2539" s="14" t="s">
        <v>6050</v>
      </c>
      <c r="J2539" s="14">
        <v>20.0</v>
      </c>
      <c r="K2539" s="14">
        <v>6.67</v>
      </c>
      <c r="L2539" s="14">
        <v>0.0</v>
      </c>
    </row>
    <row r="2540">
      <c r="A2540" s="14">
        <v>69.0</v>
      </c>
      <c r="B2540" s="14">
        <v>4.0</v>
      </c>
      <c r="C2540" s="34">
        <v>8.48</v>
      </c>
      <c r="D2540" s="36">
        <v>45003.0</v>
      </c>
      <c r="E2540" s="24"/>
      <c r="F2540" s="14">
        <v>2.12</v>
      </c>
      <c r="G2540" s="14">
        <v>122.9</v>
      </c>
      <c r="H2540" s="14">
        <v>5.8</v>
      </c>
      <c r="I2540" s="14" t="s">
        <v>6055</v>
      </c>
      <c r="J2540" s="14">
        <v>25.0</v>
      </c>
      <c r="K2540" s="14">
        <v>8.48</v>
      </c>
      <c r="L2540" s="14">
        <v>0.0</v>
      </c>
    </row>
    <row r="2541">
      <c r="A2541" s="14">
        <v>73.0</v>
      </c>
      <c r="B2541" s="14">
        <v>1.0</v>
      </c>
      <c r="C2541" s="34">
        <v>10.05</v>
      </c>
      <c r="D2541" s="36">
        <v>45003.0</v>
      </c>
      <c r="E2541" s="24"/>
      <c r="F2541" s="14">
        <v>10.05</v>
      </c>
      <c r="G2541" s="14">
        <v>137.67</v>
      </c>
      <c r="H2541" s="14">
        <v>1.37</v>
      </c>
      <c r="I2541" s="14" t="s">
        <v>6056</v>
      </c>
      <c r="J2541" s="14">
        <v>100.0</v>
      </c>
      <c r="K2541" s="14">
        <v>10.05</v>
      </c>
      <c r="L2541" s="14">
        <v>0.0</v>
      </c>
    </row>
    <row r="2542">
      <c r="A2542" s="14">
        <v>749.0</v>
      </c>
      <c r="B2542" s="14">
        <v>12.0</v>
      </c>
      <c r="C2542" s="34">
        <v>6.64</v>
      </c>
      <c r="D2542" s="36">
        <v>45003.0</v>
      </c>
      <c r="E2542" s="24"/>
      <c r="F2542" s="14">
        <v>0.55</v>
      </c>
      <c r="G2542" s="14">
        <v>8.87</v>
      </c>
      <c r="H2542" s="14">
        <v>1.6</v>
      </c>
      <c r="I2542" s="14" t="s">
        <v>6037</v>
      </c>
      <c r="J2542" s="14">
        <v>0.0</v>
      </c>
      <c r="K2542" s="14" t="s">
        <v>6012</v>
      </c>
      <c r="L2542" s="14">
        <v>0.0</v>
      </c>
    </row>
    <row r="2543">
      <c r="A2543" s="14">
        <v>258.0</v>
      </c>
      <c r="B2543" s="14">
        <v>1.0</v>
      </c>
      <c r="C2543" s="34">
        <v>7.81</v>
      </c>
      <c r="D2543" s="36">
        <v>45003.0</v>
      </c>
      <c r="E2543" s="24"/>
      <c r="F2543" s="14">
        <v>7.81</v>
      </c>
      <c r="G2543" s="14">
        <v>30.27</v>
      </c>
      <c r="H2543" s="14">
        <v>0.39</v>
      </c>
      <c r="I2543" s="14" t="s">
        <v>6042</v>
      </c>
      <c r="J2543" s="14">
        <v>0.0</v>
      </c>
      <c r="K2543" s="14" t="s">
        <v>6012</v>
      </c>
      <c r="L2543" s="14">
        <v>0.0</v>
      </c>
    </row>
    <row r="2544">
      <c r="A2544" s="14">
        <v>763.0</v>
      </c>
      <c r="B2544" s="14">
        <v>18.0</v>
      </c>
      <c r="C2544" s="34">
        <v>6.49</v>
      </c>
      <c r="D2544" s="36">
        <v>45003.0</v>
      </c>
      <c r="E2544" s="24"/>
      <c r="F2544" s="14">
        <v>0.36</v>
      </c>
      <c r="G2544" s="14">
        <v>8.51</v>
      </c>
      <c r="H2544" s="14">
        <v>2.36</v>
      </c>
      <c r="I2544" s="14" t="s">
        <v>6051</v>
      </c>
      <c r="J2544" s="14">
        <v>11.11</v>
      </c>
      <c r="K2544" s="14">
        <v>3.24</v>
      </c>
      <c r="L2544" s="14">
        <v>0.0</v>
      </c>
    </row>
    <row r="2545">
      <c r="A2545" s="14">
        <v>157.0</v>
      </c>
      <c r="B2545" s="14">
        <v>0.0</v>
      </c>
      <c r="C2545" s="34">
        <v>11.12</v>
      </c>
      <c r="D2545" s="36">
        <v>45003.0</v>
      </c>
      <c r="E2545" s="24"/>
      <c r="F2545" s="14" t="s">
        <v>6012</v>
      </c>
      <c r="G2545" s="14">
        <v>70.83</v>
      </c>
      <c r="H2545" s="14">
        <v>0.0</v>
      </c>
      <c r="I2545" s="14" t="s">
        <v>6038</v>
      </c>
      <c r="J2545" s="14" t="s">
        <v>6012</v>
      </c>
      <c r="K2545" s="14" t="s">
        <v>6012</v>
      </c>
      <c r="L2545" s="14">
        <v>0.0</v>
      </c>
    </row>
    <row r="2546">
      <c r="A2546" s="14">
        <v>147.0</v>
      </c>
      <c r="B2546" s="14">
        <v>1.0</v>
      </c>
      <c r="C2546" s="34">
        <v>6.46</v>
      </c>
      <c r="D2546" s="36">
        <v>45003.0</v>
      </c>
      <c r="E2546" s="24"/>
      <c r="F2546" s="14">
        <v>6.46</v>
      </c>
      <c r="G2546" s="14">
        <v>43.95</v>
      </c>
      <c r="H2546" s="14">
        <v>0.68</v>
      </c>
      <c r="I2546" s="14" t="s">
        <v>6039</v>
      </c>
      <c r="J2546" s="14">
        <v>0.0</v>
      </c>
      <c r="K2546" s="14" t="s">
        <v>6012</v>
      </c>
      <c r="L2546" s="14">
        <v>0.0</v>
      </c>
    </row>
    <row r="2547">
      <c r="A2547" s="14">
        <v>212.0</v>
      </c>
      <c r="B2547" s="14">
        <v>0.0</v>
      </c>
      <c r="C2547" s="34">
        <v>11.89</v>
      </c>
      <c r="D2547" s="36">
        <v>45003.0</v>
      </c>
      <c r="E2547" s="24"/>
      <c r="F2547" s="14" t="s">
        <v>6012</v>
      </c>
      <c r="G2547" s="14">
        <v>56.08</v>
      </c>
      <c r="H2547" s="14">
        <v>0.0</v>
      </c>
      <c r="I2547" s="14" t="s">
        <v>6035</v>
      </c>
      <c r="J2547" s="14" t="s">
        <v>6012</v>
      </c>
      <c r="K2547" s="14" t="s">
        <v>6012</v>
      </c>
      <c r="L2547" s="14">
        <v>0.0</v>
      </c>
    </row>
    <row r="2548">
      <c r="A2548" s="14">
        <v>174.0</v>
      </c>
      <c r="B2548" s="14">
        <v>3.0</v>
      </c>
      <c r="C2548" s="34">
        <v>6.24</v>
      </c>
      <c r="D2548" s="36">
        <v>45004.0</v>
      </c>
      <c r="E2548" s="24"/>
      <c r="F2548" s="14">
        <v>2.08</v>
      </c>
      <c r="G2548" s="14">
        <v>35.86</v>
      </c>
      <c r="H2548" s="14">
        <v>1.72</v>
      </c>
      <c r="I2548" s="14" t="s">
        <v>6039</v>
      </c>
      <c r="J2548" s="14">
        <v>0.0</v>
      </c>
      <c r="K2548" s="14" t="s">
        <v>6012</v>
      </c>
      <c r="L2548" s="14">
        <v>0.0</v>
      </c>
    </row>
    <row r="2549">
      <c r="A2549" s="14">
        <v>686.0</v>
      </c>
      <c r="B2549" s="14">
        <v>3.0</v>
      </c>
      <c r="C2549" s="34">
        <v>6.56</v>
      </c>
      <c r="D2549" s="36">
        <v>45004.0</v>
      </c>
      <c r="E2549" s="24"/>
      <c r="F2549" s="14">
        <v>2.19</v>
      </c>
      <c r="G2549" s="14">
        <v>9.56</v>
      </c>
      <c r="H2549" s="14">
        <v>0.44</v>
      </c>
      <c r="I2549" s="14" t="s">
        <v>6037</v>
      </c>
      <c r="J2549" s="14">
        <v>0.0</v>
      </c>
      <c r="K2549" s="14" t="s">
        <v>6012</v>
      </c>
      <c r="L2549" s="14">
        <v>0.0</v>
      </c>
    </row>
    <row r="2550">
      <c r="A2550" s="14">
        <v>858.0</v>
      </c>
      <c r="B2550" s="14">
        <v>10.0</v>
      </c>
      <c r="C2550" s="34">
        <v>6.35</v>
      </c>
      <c r="D2550" s="36">
        <v>45004.0</v>
      </c>
      <c r="E2550" s="24"/>
      <c r="F2550" s="14">
        <v>0.64</v>
      </c>
      <c r="G2550" s="14">
        <v>7.4</v>
      </c>
      <c r="H2550" s="14">
        <v>1.17</v>
      </c>
      <c r="I2550" s="14" t="s">
        <v>6050</v>
      </c>
      <c r="J2550" s="14">
        <v>20.0</v>
      </c>
      <c r="K2550" s="14">
        <v>3.18</v>
      </c>
      <c r="L2550" s="14">
        <v>0.0</v>
      </c>
    </row>
    <row r="2551">
      <c r="A2551" s="14">
        <v>49.0</v>
      </c>
      <c r="B2551" s="14">
        <v>4.0</v>
      </c>
      <c r="C2551" s="34">
        <v>7.87</v>
      </c>
      <c r="D2551" s="36">
        <v>45004.0</v>
      </c>
      <c r="E2551" s="24"/>
      <c r="F2551" s="14">
        <v>1.97</v>
      </c>
      <c r="G2551" s="14">
        <v>160.61</v>
      </c>
      <c r="H2551" s="14">
        <v>8.16</v>
      </c>
      <c r="I2551" s="14" t="s">
        <v>6055</v>
      </c>
      <c r="J2551" s="14">
        <v>0.0</v>
      </c>
      <c r="K2551" s="14" t="s">
        <v>6012</v>
      </c>
      <c r="L2551" s="14">
        <v>0.0</v>
      </c>
    </row>
    <row r="2552">
      <c r="A2552" s="14">
        <v>154.0</v>
      </c>
      <c r="B2552" s="14">
        <v>0.0</v>
      </c>
      <c r="C2552" s="34">
        <v>3.53</v>
      </c>
      <c r="D2552" s="36">
        <v>45004.0</v>
      </c>
      <c r="E2552" s="24"/>
      <c r="F2552" s="14" t="s">
        <v>6012</v>
      </c>
      <c r="G2552" s="14">
        <v>22.92</v>
      </c>
      <c r="H2552" s="14">
        <v>0.0</v>
      </c>
      <c r="I2552" s="14" t="s">
        <v>6042</v>
      </c>
      <c r="J2552" s="14" t="s">
        <v>6012</v>
      </c>
      <c r="K2552" s="14" t="s">
        <v>6012</v>
      </c>
      <c r="L2552" s="14">
        <v>0.0</v>
      </c>
    </row>
    <row r="2553">
      <c r="A2553" s="14">
        <v>238.0</v>
      </c>
      <c r="B2553" s="14">
        <v>1.0</v>
      </c>
      <c r="C2553" s="34">
        <v>9.64</v>
      </c>
      <c r="D2553" s="36">
        <v>45004.0</v>
      </c>
      <c r="E2553" s="24"/>
      <c r="F2553" s="14">
        <v>9.64</v>
      </c>
      <c r="G2553" s="14">
        <v>40.5</v>
      </c>
      <c r="H2553" s="14">
        <v>0.42</v>
      </c>
      <c r="I2553" s="14" t="s">
        <v>6035</v>
      </c>
      <c r="J2553" s="14">
        <v>0.0</v>
      </c>
      <c r="K2553" s="14" t="s">
        <v>6012</v>
      </c>
      <c r="L2553" s="14">
        <v>0.0</v>
      </c>
    </row>
    <row r="2554">
      <c r="A2554" s="14">
        <v>745.0</v>
      </c>
      <c r="B2554" s="14">
        <v>10.0</v>
      </c>
      <c r="C2554" s="34">
        <v>5.39</v>
      </c>
      <c r="D2554" s="36">
        <v>45004.0</v>
      </c>
      <c r="E2554" s="24"/>
      <c r="F2554" s="14">
        <v>0.54</v>
      </c>
      <c r="G2554" s="14">
        <v>7.23</v>
      </c>
      <c r="H2554" s="14">
        <v>1.34</v>
      </c>
      <c r="I2554" s="14" t="s">
        <v>6051</v>
      </c>
      <c r="J2554" s="14">
        <v>10.0</v>
      </c>
      <c r="K2554" s="14">
        <v>5.39</v>
      </c>
      <c r="L2554" s="14">
        <v>0.0</v>
      </c>
    </row>
    <row r="2555">
      <c r="A2555" s="14">
        <v>112.0</v>
      </c>
      <c r="B2555" s="14">
        <v>0.0</v>
      </c>
      <c r="C2555" s="34">
        <v>8.6</v>
      </c>
      <c r="D2555" s="36">
        <v>45004.0</v>
      </c>
      <c r="E2555" s="24"/>
      <c r="F2555" s="14" t="s">
        <v>6012</v>
      </c>
      <c r="G2555" s="14">
        <v>76.79</v>
      </c>
      <c r="H2555" s="14">
        <v>0.0</v>
      </c>
      <c r="I2555" s="14" t="s">
        <v>6038</v>
      </c>
      <c r="J2555" s="14" t="s">
        <v>6012</v>
      </c>
      <c r="K2555" s="14" t="s">
        <v>6012</v>
      </c>
      <c r="L2555" s="14">
        <v>0.0</v>
      </c>
    </row>
    <row r="2556">
      <c r="A2556" s="14">
        <v>76.0</v>
      </c>
      <c r="B2556" s="14">
        <v>1.0</v>
      </c>
      <c r="C2556" s="34">
        <v>5.79</v>
      </c>
      <c r="D2556" s="36">
        <v>45004.0</v>
      </c>
      <c r="E2556" s="24"/>
      <c r="F2556" s="14">
        <v>5.79</v>
      </c>
      <c r="G2556" s="14">
        <v>76.18</v>
      </c>
      <c r="H2556" s="14">
        <v>1.32</v>
      </c>
      <c r="I2556" s="14" t="s">
        <v>6056</v>
      </c>
      <c r="J2556" s="14">
        <v>100.0</v>
      </c>
      <c r="K2556" s="14">
        <v>5.79</v>
      </c>
      <c r="L2556" s="14">
        <v>0.0</v>
      </c>
    </row>
    <row r="2557">
      <c r="A2557" s="14">
        <v>1403.0</v>
      </c>
      <c r="B2557" s="14">
        <v>16.0</v>
      </c>
      <c r="C2557" s="34">
        <v>13.16</v>
      </c>
      <c r="D2557" s="36">
        <v>45005.0</v>
      </c>
      <c r="E2557" s="24"/>
      <c r="F2557" s="14">
        <v>0.82</v>
      </c>
      <c r="G2557" s="14">
        <v>9.38</v>
      </c>
      <c r="H2557" s="14">
        <v>1.14</v>
      </c>
      <c r="I2557" s="14" t="s">
        <v>6037</v>
      </c>
      <c r="J2557" s="14">
        <v>0.0</v>
      </c>
      <c r="K2557" s="14" t="s">
        <v>6012</v>
      </c>
      <c r="L2557" s="14">
        <v>0.0</v>
      </c>
    </row>
    <row r="2558">
      <c r="A2558" s="14">
        <v>128.0</v>
      </c>
      <c r="B2558" s="14">
        <v>1.0</v>
      </c>
      <c r="C2558" s="34">
        <v>11.41</v>
      </c>
      <c r="D2558" s="36">
        <v>45005.0</v>
      </c>
      <c r="E2558" s="24"/>
      <c r="F2558" s="14">
        <v>11.41</v>
      </c>
      <c r="G2558" s="14">
        <v>89.14</v>
      </c>
      <c r="H2558" s="14">
        <v>0.78</v>
      </c>
      <c r="I2558" s="14" t="s">
        <v>6056</v>
      </c>
      <c r="J2558" s="14">
        <v>0.0</v>
      </c>
      <c r="K2558" s="14" t="s">
        <v>6012</v>
      </c>
      <c r="L2558" s="14">
        <v>0.0</v>
      </c>
    </row>
    <row r="2559">
      <c r="A2559" s="14">
        <v>509.0</v>
      </c>
      <c r="B2559" s="14">
        <v>8.0</v>
      </c>
      <c r="C2559" s="34">
        <v>13.28</v>
      </c>
      <c r="D2559" s="36">
        <v>45005.0</v>
      </c>
      <c r="E2559" s="24"/>
      <c r="F2559" s="14">
        <v>1.66</v>
      </c>
      <c r="G2559" s="14">
        <v>26.09</v>
      </c>
      <c r="H2559" s="14">
        <v>1.57</v>
      </c>
      <c r="I2559" s="14" t="s">
        <v>6039</v>
      </c>
      <c r="J2559" s="14">
        <v>12.5</v>
      </c>
      <c r="K2559" s="14">
        <v>13.28</v>
      </c>
      <c r="L2559" s="14">
        <v>0.0</v>
      </c>
    </row>
    <row r="2560">
      <c r="A2560" s="14">
        <v>1453.0</v>
      </c>
      <c r="B2560" s="14">
        <v>8.0</v>
      </c>
      <c r="C2560" s="34">
        <v>12.09</v>
      </c>
      <c r="D2560" s="36">
        <v>45005.0</v>
      </c>
      <c r="E2560" s="24"/>
      <c r="F2560" s="14">
        <v>1.51</v>
      </c>
      <c r="G2560" s="14">
        <v>8.32</v>
      </c>
      <c r="H2560" s="14">
        <v>0.55</v>
      </c>
      <c r="I2560" s="14" t="s">
        <v>6050</v>
      </c>
      <c r="J2560" s="14">
        <v>37.5</v>
      </c>
      <c r="K2560" s="14">
        <v>4.03</v>
      </c>
      <c r="L2560" s="14">
        <v>0.0</v>
      </c>
    </row>
    <row r="2561">
      <c r="A2561" s="14">
        <v>75.0</v>
      </c>
      <c r="B2561" s="14">
        <v>4.0</v>
      </c>
      <c r="C2561" s="34">
        <v>11.32</v>
      </c>
      <c r="D2561" s="36">
        <v>45005.0</v>
      </c>
      <c r="E2561" s="24"/>
      <c r="F2561" s="14">
        <v>2.83</v>
      </c>
      <c r="G2561" s="14">
        <v>150.93</v>
      </c>
      <c r="H2561" s="14">
        <v>5.33</v>
      </c>
      <c r="I2561" s="14" t="s">
        <v>6055</v>
      </c>
      <c r="J2561" s="14">
        <v>0.0</v>
      </c>
      <c r="K2561" s="14" t="s">
        <v>6012</v>
      </c>
      <c r="L2561" s="14">
        <v>0.0</v>
      </c>
    </row>
    <row r="2562">
      <c r="A2562" s="14">
        <v>283.0</v>
      </c>
      <c r="B2562" s="14">
        <v>1.0</v>
      </c>
      <c r="C2562" s="34">
        <v>17.79</v>
      </c>
      <c r="D2562" s="36">
        <v>45005.0</v>
      </c>
      <c r="E2562" s="24"/>
      <c r="F2562" s="14">
        <v>17.79</v>
      </c>
      <c r="G2562" s="14">
        <v>62.86</v>
      </c>
      <c r="H2562" s="14">
        <v>0.35</v>
      </c>
      <c r="I2562" s="14" t="s">
        <v>6038</v>
      </c>
      <c r="J2562" s="14">
        <v>0.0</v>
      </c>
      <c r="K2562" s="14" t="s">
        <v>6012</v>
      </c>
      <c r="L2562" s="14">
        <v>0.0</v>
      </c>
    </row>
    <row r="2563">
      <c r="A2563" s="14">
        <v>617.0</v>
      </c>
      <c r="B2563" s="14">
        <v>5.0</v>
      </c>
      <c r="C2563" s="34">
        <v>13.39</v>
      </c>
      <c r="D2563" s="36">
        <v>45005.0</v>
      </c>
      <c r="E2563" s="24"/>
      <c r="F2563" s="14">
        <v>2.68</v>
      </c>
      <c r="G2563" s="14">
        <v>21.7</v>
      </c>
      <c r="H2563" s="14">
        <v>0.81</v>
      </c>
      <c r="I2563" s="14" t="s">
        <v>6042</v>
      </c>
      <c r="J2563" s="14">
        <v>40.0</v>
      </c>
      <c r="K2563" s="14">
        <v>6.7</v>
      </c>
      <c r="L2563" s="14">
        <v>0.0</v>
      </c>
    </row>
    <row r="2564">
      <c r="A2564" s="14">
        <v>1000.0</v>
      </c>
      <c r="B2564" s="14">
        <v>7.0</v>
      </c>
      <c r="C2564" s="34">
        <v>10.5</v>
      </c>
      <c r="D2564" s="36">
        <v>45005.0</v>
      </c>
      <c r="E2564" s="24"/>
      <c r="F2564" s="14">
        <v>1.5</v>
      </c>
      <c r="G2564" s="14">
        <v>10.5</v>
      </c>
      <c r="H2564" s="14">
        <v>0.7</v>
      </c>
      <c r="I2564" s="14" t="s">
        <v>6051</v>
      </c>
      <c r="J2564" s="14">
        <v>14.29</v>
      </c>
      <c r="K2564" s="14">
        <v>10.5</v>
      </c>
      <c r="L2564" s="14">
        <v>0.0</v>
      </c>
    </row>
    <row r="2565">
      <c r="A2565" s="14">
        <v>658.0</v>
      </c>
      <c r="B2565" s="14">
        <v>6.0</v>
      </c>
      <c r="C2565" s="34">
        <v>20.21</v>
      </c>
      <c r="D2565" s="36">
        <v>45005.0</v>
      </c>
      <c r="E2565" s="24"/>
      <c r="F2565" s="14">
        <v>3.37</v>
      </c>
      <c r="G2565" s="14">
        <v>30.71</v>
      </c>
      <c r="H2565" s="14">
        <v>0.91</v>
      </c>
      <c r="I2565" s="14" t="s">
        <v>6035</v>
      </c>
      <c r="J2565" s="14">
        <v>0.0</v>
      </c>
      <c r="K2565" s="14" t="s">
        <v>6012</v>
      </c>
      <c r="L2565" s="14">
        <v>0.0</v>
      </c>
    </row>
    <row r="2566">
      <c r="A2566" s="14">
        <v>1619.0</v>
      </c>
      <c r="B2566" s="14">
        <v>9.0</v>
      </c>
      <c r="C2566" s="34">
        <v>12.18</v>
      </c>
      <c r="D2566" s="36">
        <v>45006.0</v>
      </c>
      <c r="E2566" s="24"/>
      <c r="F2566" s="14">
        <v>1.35</v>
      </c>
      <c r="G2566" s="14">
        <v>7.52</v>
      </c>
      <c r="H2566" s="14">
        <v>0.56</v>
      </c>
      <c r="I2566" s="14" t="s">
        <v>6050</v>
      </c>
      <c r="J2566" s="14">
        <v>0.0</v>
      </c>
      <c r="K2566" s="14" t="s">
        <v>6012</v>
      </c>
      <c r="L2566" s="14">
        <v>0.0</v>
      </c>
    </row>
    <row r="2567">
      <c r="A2567" s="14">
        <v>710.0</v>
      </c>
      <c r="B2567" s="14">
        <v>2.0</v>
      </c>
      <c r="C2567" s="34">
        <v>22.97</v>
      </c>
      <c r="D2567" s="36">
        <v>45006.0</v>
      </c>
      <c r="E2567" s="24"/>
      <c r="F2567" s="14">
        <v>11.48</v>
      </c>
      <c r="G2567" s="14">
        <v>32.35</v>
      </c>
      <c r="H2567" s="14">
        <v>0.28</v>
      </c>
      <c r="I2567" s="14" t="s">
        <v>6035</v>
      </c>
      <c r="J2567" s="14">
        <v>0.0</v>
      </c>
      <c r="K2567" s="14" t="s">
        <v>6012</v>
      </c>
      <c r="L2567" s="14">
        <v>0.0</v>
      </c>
    </row>
    <row r="2568">
      <c r="A2568" s="14">
        <v>572.0</v>
      </c>
      <c r="B2568" s="14">
        <v>6.0</v>
      </c>
      <c r="C2568" s="34">
        <v>13.29</v>
      </c>
      <c r="D2568" s="36">
        <v>45006.0</v>
      </c>
      <c r="E2568" s="24"/>
      <c r="F2568" s="14">
        <v>2.22</v>
      </c>
      <c r="G2568" s="14">
        <v>23.23</v>
      </c>
      <c r="H2568" s="14">
        <v>1.05</v>
      </c>
      <c r="I2568" s="14" t="s">
        <v>6042</v>
      </c>
      <c r="J2568" s="14">
        <v>16.67</v>
      </c>
      <c r="K2568" s="14">
        <v>13.29</v>
      </c>
      <c r="L2568" s="14">
        <v>0.0</v>
      </c>
    </row>
    <row r="2569">
      <c r="A2569" s="14">
        <v>299.0</v>
      </c>
      <c r="B2569" s="14">
        <v>0.0</v>
      </c>
      <c r="C2569" s="34">
        <v>20.36</v>
      </c>
      <c r="D2569" s="36">
        <v>45006.0</v>
      </c>
      <c r="E2569" s="24"/>
      <c r="F2569" s="14" t="s">
        <v>6012</v>
      </c>
      <c r="G2569" s="14">
        <v>68.09</v>
      </c>
      <c r="H2569" s="14">
        <v>0.0</v>
      </c>
      <c r="I2569" s="14" t="s">
        <v>6038</v>
      </c>
      <c r="J2569" s="14" t="s">
        <v>6012</v>
      </c>
      <c r="K2569" s="14" t="s">
        <v>6012</v>
      </c>
      <c r="L2569" s="14">
        <v>0.0</v>
      </c>
    </row>
    <row r="2570">
      <c r="A2570" s="14">
        <v>1293.0</v>
      </c>
      <c r="B2570" s="14">
        <v>11.0</v>
      </c>
      <c r="C2570" s="34">
        <v>13.23</v>
      </c>
      <c r="D2570" s="36">
        <v>45006.0</v>
      </c>
      <c r="E2570" s="24"/>
      <c r="F2570" s="14">
        <v>1.2</v>
      </c>
      <c r="G2570" s="14">
        <v>10.23</v>
      </c>
      <c r="H2570" s="14">
        <v>0.85</v>
      </c>
      <c r="I2570" s="14" t="s">
        <v>6037</v>
      </c>
      <c r="J2570" s="14">
        <v>9.09</v>
      </c>
      <c r="K2570" s="14">
        <v>13.23</v>
      </c>
      <c r="L2570" s="14">
        <v>0.0</v>
      </c>
    </row>
    <row r="2571">
      <c r="A2571" s="14">
        <v>522.0</v>
      </c>
      <c r="B2571" s="14">
        <v>6.0</v>
      </c>
      <c r="C2571" s="34">
        <v>13.46</v>
      </c>
      <c r="D2571" s="36">
        <v>45006.0</v>
      </c>
      <c r="E2571" s="24"/>
      <c r="F2571" s="14">
        <v>2.24</v>
      </c>
      <c r="G2571" s="14">
        <v>25.79</v>
      </c>
      <c r="H2571" s="14">
        <v>1.15</v>
      </c>
      <c r="I2571" s="14" t="s">
        <v>6039</v>
      </c>
      <c r="J2571" s="14">
        <v>0.0</v>
      </c>
      <c r="K2571" s="14" t="s">
        <v>6012</v>
      </c>
      <c r="L2571" s="14">
        <v>0.0</v>
      </c>
    </row>
    <row r="2572">
      <c r="A2572" s="14">
        <v>86.0</v>
      </c>
      <c r="B2572" s="14">
        <v>3.0</v>
      </c>
      <c r="C2572" s="34">
        <v>11.23</v>
      </c>
      <c r="D2572" s="36">
        <v>45006.0</v>
      </c>
      <c r="E2572" s="24"/>
      <c r="F2572" s="14">
        <v>3.74</v>
      </c>
      <c r="G2572" s="14">
        <v>130.58</v>
      </c>
      <c r="H2572" s="14">
        <v>3.49</v>
      </c>
      <c r="I2572" s="14" t="s">
        <v>6055</v>
      </c>
      <c r="J2572" s="14">
        <v>33.33</v>
      </c>
      <c r="K2572" s="14">
        <v>11.23</v>
      </c>
      <c r="L2572" s="14">
        <v>0.0</v>
      </c>
    </row>
    <row r="2573">
      <c r="A2573" s="14">
        <v>161.0</v>
      </c>
      <c r="B2573" s="14">
        <v>4.0</v>
      </c>
      <c r="C2573" s="34">
        <v>11.58</v>
      </c>
      <c r="D2573" s="36">
        <v>45006.0</v>
      </c>
      <c r="E2573" s="24"/>
      <c r="F2573" s="14">
        <v>2.9</v>
      </c>
      <c r="G2573" s="14">
        <v>71.93</v>
      </c>
      <c r="H2573" s="14">
        <v>2.48</v>
      </c>
      <c r="I2573" s="14" t="s">
        <v>6056</v>
      </c>
      <c r="J2573" s="14">
        <v>0.0</v>
      </c>
      <c r="K2573" s="14" t="s">
        <v>6012</v>
      </c>
      <c r="L2573" s="14">
        <v>0.0</v>
      </c>
    </row>
    <row r="2574">
      <c r="A2574" s="14">
        <v>1241.0</v>
      </c>
      <c r="B2574" s="14">
        <v>9.0</v>
      </c>
      <c r="C2574" s="34">
        <v>11.81</v>
      </c>
      <c r="D2574" s="36">
        <v>45006.0</v>
      </c>
      <c r="E2574" s="24"/>
      <c r="F2574" s="14">
        <v>1.31</v>
      </c>
      <c r="G2574" s="14">
        <v>9.52</v>
      </c>
      <c r="H2574" s="14">
        <v>0.73</v>
      </c>
      <c r="I2574" s="14" t="s">
        <v>6051</v>
      </c>
      <c r="J2574" s="14">
        <v>22.22</v>
      </c>
      <c r="K2574" s="14">
        <v>5.9</v>
      </c>
      <c r="L2574" s="14">
        <v>0.0</v>
      </c>
    </row>
    <row r="2575">
      <c r="A2575" s="14">
        <v>328.0</v>
      </c>
      <c r="B2575" s="14">
        <v>5.0</v>
      </c>
      <c r="C2575" s="34">
        <v>13.72</v>
      </c>
      <c r="D2575" s="36">
        <v>45007.0</v>
      </c>
      <c r="E2575" s="24"/>
      <c r="F2575" s="14">
        <v>2.74</v>
      </c>
      <c r="G2575" s="14">
        <v>41.83</v>
      </c>
      <c r="H2575" s="14">
        <v>1.52</v>
      </c>
      <c r="I2575" s="14" t="s">
        <v>6042</v>
      </c>
      <c r="J2575" s="14">
        <v>20.0</v>
      </c>
      <c r="K2575" s="14">
        <v>13.72</v>
      </c>
      <c r="L2575" s="14">
        <v>0.0</v>
      </c>
    </row>
    <row r="2576">
      <c r="A2576" s="14">
        <v>196.0</v>
      </c>
      <c r="B2576" s="14">
        <v>2.0</v>
      </c>
      <c r="C2576" s="34">
        <v>13.25</v>
      </c>
      <c r="D2576" s="36">
        <v>45007.0</v>
      </c>
      <c r="E2576" s="24"/>
      <c r="F2576" s="14">
        <v>6.62</v>
      </c>
      <c r="G2576" s="14">
        <v>67.6</v>
      </c>
      <c r="H2576" s="14">
        <v>1.02</v>
      </c>
      <c r="I2576" s="14" t="s">
        <v>6039</v>
      </c>
      <c r="J2576" s="14">
        <v>0.0</v>
      </c>
      <c r="K2576" s="14" t="s">
        <v>6012</v>
      </c>
      <c r="L2576" s="14">
        <v>0.0</v>
      </c>
    </row>
    <row r="2577">
      <c r="A2577" s="14">
        <v>104.0</v>
      </c>
      <c r="B2577" s="14">
        <v>3.0</v>
      </c>
      <c r="C2577" s="34">
        <v>14.1</v>
      </c>
      <c r="D2577" s="36">
        <v>45007.0</v>
      </c>
      <c r="E2577" s="24"/>
      <c r="F2577" s="14">
        <v>4.7</v>
      </c>
      <c r="G2577" s="14">
        <v>135.58</v>
      </c>
      <c r="H2577" s="14">
        <v>2.88</v>
      </c>
      <c r="I2577" s="14" t="s">
        <v>6055</v>
      </c>
      <c r="J2577" s="14">
        <v>0.0</v>
      </c>
      <c r="K2577" s="14" t="s">
        <v>6012</v>
      </c>
      <c r="L2577" s="14">
        <v>0.0</v>
      </c>
    </row>
    <row r="2578">
      <c r="A2578" s="14">
        <v>1662.0</v>
      </c>
      <c r="B2578" s="14">
        <v>10.0</v>
      </c>
      <c r="C2578" s="34">
        <v>11.65</v>
      </c>
      <c r="D2578" s="36">
        <v>45007.0</v>
      </c>
      <c r="E2578" s="24"/>
      <c r="F2578" s="14">
        <v>1.16</v>
      </c>
      <c r="G2578" s="14">
        <v>7.01</v>
      </c>
      <c r="H2578" s="14">
        <v>0.6</v>
      </c>
      <c r="I2578" s="14" t="s">
        <v>6050</v>
      </c>
      <c r="J2578" s="14">
        <v>20.0</v>
      </c>
      <c r="K2578" s="14">
        <v>5.82</v>
      </c>
      <c r="L2578" s="14">
        <v>0.0</v>
      </c>
    </row>
    <row r="2579">
      <c r="A2579" s="14">
        <v>86.0</v>
      </c>
      <c r="B2579" s="14">
        <v>2.0</v>
      </c>
      <c r="C2579" s="34">
        <v>12.45</v>
      </c>
      <c r="D2579" s="36">
        <v>45007.0</v>
      </c>
      <c r="E2579" s="24"/>
      <c r="F2579" s="14">
        <v>6.22</v>
      </c>
      <c r="G2579" s="14">
        <v>144.77</v>
      </c>
      <c r="H2579" s="14">
        <v>2.33</v>
      </c>
      <c r="I2579" s="14" t="s">
        <v>6056</v>
      </c>
      <c r="J2579" s="14">
        <v>0.0</v>
      </c>
      <c r="K2579" s="14" t="s">
        <v>6012</v>
      </c>
      <c r="L2579" s="14">
        <v>1.0</v>
      </c>
    </row>
    <row r="2580">
      <c r="A2580" s="14">
        <v>1216.0</v>
      </c>
      <c r="B2580" s="14">
        <v>14.0</v>
      </c>
      <c r="C2580" s="34">
        <v>13.0</v>
      </c>
      <c r="D2580" s="36">
        <v>45007.0</v>
      </c>
      <c r="E2580" s="24"/>
      <c r="F2580" s="14">
        <v>0.93</v>
      </c>
      <c r="G2580" s="14">
        <v>10.69</v>
      </c>
      <c r="H2580" s="14">
        <v>1.15</v>
      </c>
      <c r="I2580" s="14" t="s">
        <v>6037</v>
      </c>
      <c r="J2580" s="14">
        <v>0.0</v>
      </c>
      <c r="K2580" s="14" t="s">
        <v>6012</v>
      </c>
      <c r="L2580" s="14">
        <v>0.0</v>
      </c>
    </row>
    <row r="2581">
      <c r="A2581" s="14">
        <v>625.0</v>
      </c>
      <c r="B2581" s="14">
        <v>9.0</v>
      </c>
      <c r="C2581" s="34">
        <v>11.8</v>
      </c>
      <c r="D2581" s="36">
        <v>45007.0</v>
      </c>
      <c r="E2581" s="24"/>
      <c r="F2581" s="14">
        <v>1.31</v>
      </c>
      <c r="G2581" s="14">
        <v>18.88</v>
      </c>
      <c r="H2581" s="14">
        <v>1.44</v>
      </c>
      <c r="I2581" s="14" t="s">
        <v>6051</v>
      </c>
      <c r="J2581" s="14">
        <v>22.22</v>
      </c>
      <c r="K2581" s="14">
        <v>5.9</v>
      </c>
      <c r="L2581" s="14">
        <v>0.0</v>
      </c>
    </row>
    <row r="2582">
      <c r="A2582" s="14">
        <v>215.0</v>
      </c>
      <c r="B2582" s="14">
        <v>0.0</v>
      </c>
      <c r="C2582" s="34">
        <v>23.65</v>
      </c>
      <c r="D2582" s="36">
        <v>45007.0</v>
      </c>
      <c r="E2582" s="24"/>
      <c r="F2582" s="14" t="s">
        <v>6012</v>
      </c>
      <c r="G2582" s="14">
        <v>110.0</v>
      </c>
      <c r="H2582" s="14">
        <v>0.0</v>
      </c>
      <c r="I2582" s="14" t="s">
        <v>6035</v>
      </c>
      <c r="J2582" s="14" t="s">
        <v>6012</v>
      </c>
      <c r="K2582" s="14">
        <v>23.65</v>
      </c>
      <c r="L2582" s="14">
        <v>0.0</v>
      </c>
    </row>
    <row r="2583">
      <c r="A2583" s="14">
        <v>108.0</v>
      </c>
      <c r="B2583" s="14">
        <v>2.0</v>
      </c>
      <c r="C2583" s="34">
        <v>20.37</v>
      </c>
      <c r="D2583" s="36">
        <v>45007.0</v>
      </c>
      <c r="E2583" s="24"/>
      <c r="F2583" s="14">
        <v>10.18</v>
      </c>
      <c r="G2583" s="14">
        <v>188.61</v>
      </c>
      <c r="H2583" s="14">
        <v>1.85</v>
      </c>
      <c r="I2583" s="14" t="s">
        <v>6038</v>
      </c>
      <c r="J2583" s="14">
        <v>50.0</v>
      </c>
      <c r="K2583" s="14">
        <v>20.37</v>
      </c>
      <c r="L2583" s="14">
        <v>0.0</v>
      </c>
    </row>
    <row r="2584">
      <c r="A2584" s="14">
        <v>202.0</v>
      </c>
      <c r="B2584" s="14">
        <v>0.0</v>
      </c>
      <c r="C2584" s="34">
        <v>20.12</v>
      </c>
      <c r="D2584" s="36">
        <v>45008.0</v>
      </c>
      <c r="E2584" s="24"/>
      <c r="F2584" s="14" t="s">
        <v>6012</v>
      </c>
      <c r="G2584" s="14">
        <v>99.6</v>
      </c>
      <c r="H2584" s="14">
        <v>0.0</v>
      </c>
      <c r="I2584" s="14" t="s">
        <v>6038</v>
      </c>
      <c r="J2584" s="14" t="s">
        <v>6012</v>
      </c>
      <c r="K2584" s="14" t="s">
        <v>6012</v>
      </c>
      <c r="L2584" s="14">
        <v>0.0</v>
      </c>
    </row>
    <row r="2585">
      <c r="A2585" s="14">
        <v>716.0</v>
      </c>
      <c r="B2585" s="14">
        <v>9.0</v>
      </c>
      <c r="C2585" s="34">
        <v>12.03</v>
      </c>
      <c r="D2585" s="36">
        <v>45008.0</v>
      </c>
      <c r="E2585" s="24"/>
      <c r="F2585" s="14">
        <v>1.34</v>
      </c>
      <c r="G2585" s="14">
        <v>16.8</v>
      </c>
      <c r="H2585" s="14">
        <v>1.26</v>
      </c>
      <c r="I2585" s="14" t="s">
        <v>6051</v>
      </c>
      <c r="J2585" s="14">
        <v>44.44</v>
      </c>
      <c r="K2585" s="14">
        <v>3.01</v>
      </c>
      <c r="L2585" s="14">
        <v>0.0</v>
      </c>
    </row>
    <row r="2586">
      <c r="A2586" s="14">
        <v>1297.0</v>
      </c>
      <c r="B2586" s="14">
        <v>18.0</v>
      </c>
      <c r="C2586" s="34">
        <v>12.91</v>
      </c>
      <c r="D2586" s="36">
        <v>45008.0</v>
      </c>
      <c r="E2586" s="24"/>
      <c r="F2586" s="14">
        <v>0.72</v>
      </c>
      <c r="G2586" s="14">
        <v>9.95</v>
      </c>
      <c r="H2586" s="14">
        <v>1.39</v>
      </c>
      <c r="I2586" s="14" t="s">
        <v>6037</v>
      </c>
      <c r="J2586" s="14">
        <v>5.56</v>
      </c>
      <c r="K2586" s="14">
        <v>12.91</v>
      </c>
      <c r="L2586" s="14">
        <v>0.0</v>
      </c>
    </row>
    <row r="2587">
      <c r="A2587" s="14">
        <v>89.0</v>
      </c>
      <c r="B2587" s="14">
        <v>4.0</v>
      </c>
      <c r="C2587" s="34">
        <v>14.13</v>
      </c>
      <c r="D2587" s="36">
        <v>45008.0</v>
      </c>
      <c r="E2587" s="24"/>
      <c r="F2587" s="14">
        <v>3.53</v>
      </c>
      <c r="G2587" s="14">
        <v>158.76</v>
      </c>
      <c r="H2587" s="14">
        <v>4.49</v>
      </c>
      <c r="I2587" s="14" t="s">
        <v>6055</v>
      </c>
      <c r="J2587" s="14">
        <v>125.0</v>
      </c>
      <c r="K2587" s="14">
        <v>2.83</v>
      </c>
      <c r="L2587" s="14">
        <v>0.0</v>
      </c>
    </row>
    <row r="2588">
      <c r="A2588" s="14">
        <v>366.0</v>
      </c>
      <c r="B2588" s="14">
        <v>4.0</v>
      </c>
      <c r="C2588" s="34">
        <v>13.94</v>
      </c>
      <c r="D2588" s="36">
        <v>45008.0</v>
      </c>
      <c r="E2588" s="24"/>
      <c r="F2588" s="14">
        <v>3.48</v>
      </c>
      <c r="G2588" s="14">
        <v>38.09</v>
      </c>
      <c r="H2588" s="14">
        <v>1.09</v>
      </c>
      <c r="I2588" s="14" t="s">
        <v>6039</v>
      </c>
      <c r="J2588" s="14">
        <v>25.0</v>
      </c>
      <c r="K2588" s="14">
        <v>13.94</v>
      </c>
      <c r="L2588" s="14">
        <v>0.0</v>
      </c>
    </row>
    <row r="2589">
      <c r="A2589" s="14">
        <v>407.0</v>
      </c>
      <c r="B2589" s="14">
        <v>2.0</v>
      </c>
      <c r="C2589" s="34">
        <v>14.07</v>
      </c>
      <c r="D2589" s="36">
        <v>45008.0</v>
      </c>
      <c r="E2589" s="24"/>
      <c r="F2589" s="14">
        <v>7.04</v>
      </c>
      <c r="G2589" s="14">
        <v>34.57</v>
      </c>
      <c r="H2589" s="14">
        <v>0.49</v>
      </c>
      <c r="I2589" s="14" t="s">
        <v>6042</v>
      </c>
      <c r="J2589" s="14">
        <v>200.0</v>
      </c>
      <c r="K2589" s="14">
        <v>3.52</v>
      </c>
      <c r="L2589" s="14">
        <v>0.0</v>
      </c>
    </row>
    <row r="2590">
      <c r="A2590" s="14">
        <v>1263.0</v>
      </c>
      <c r="B2590" s="14">
        <v>8.0</v>
      </c>
      <c r="C2590" s="34">
        <v>11.09</v>
      </c>
      <c r="D2590" s="36">
        <v>45008.0</v>
      </c>
      <c r="E2590" s="24"/>
      <c r="F2590" s="14">
        <v>1.39</v>
      </c>
      <c r="G2590" s="14">
        <v>8.78</v>
      </c>
      <c r="H2590" s="14">
        <v>0.63</v>
      </c>
      <c r="I2590" s="14" t="s">
        <v>6050</v>
      </c>
      <c r="J2590" s="14">
        <v>37.5</v>
      </c>
      <c r="K2590" s="14">
        <v>3.7</v>
      </c>
      <c r="L2590" s="14">
        <v>0.0</v>
      </c>
    </row>
    <row r="2591">
      <c r="A2591" s="14">
        <v>355.0</v>
      </c>
      <c r="B2591" s="14">
        <v>2.0</v>
      </c>
      <c r="C2591" s="34">
        <v>24.46</v>
      </c>
      <c r="D2591" s="36">
        <v>45008.0</v>
      </c>
      <c r="E2591" s="24"/>
      <c r="F2591" s="14">
        <v>12.23</v>
      </c>
      <c r="G2591" s="14">
        <v>68.9</v>
      </c>
      <c r="H2591" s="14">
        <v>0.56</v>
      </c>
      <c r="I2591" s="14" t="s">
        <v>6035</v>
      </c>
      <c r="J2591" s="14">
        <v>50.0</v>
      </c>
      <c r="K2591" s="14">
        <v>24.46</v>
      </c>
      <c r="L2591" s="14">
        <v>0.0</v>
      </c>
    </row>
    <row r="2592">
      <c r="A2592" s="14">
        <v>76.0</v>
      </c>
      <c r="B2592" s="14">
        <v>2.0</v>
      </c>
      <c r="C2592" s="34">
        <v>13.33</v>
      </c>
      <c r="D2592" s="36">
        <v>45008.0</v>
      </c>
      <c r="E2592" s="24"/>
      <c r="F2592" s="14">
        <v>6.66</v>
      </c>
      <c r="G2592" s="14">
        <v>175.39</v>
      </c>
      <c r="H2592" s="14">
        <v>2.63</v>
      </c>
      <c r="I2592" s="14" t="s">
        <v>6056</v>
      </c>
      <c r="J2592" s="14">
        <v>150.0</v>
      </c>
      <c r="K2592" s="14">
        <v>4.44</v>
      </c>
      <c r="L2592" s="14">
        <v>0.0</v>
      </c>
    </row>
    <row r="2593">
      <c r="A2593" s="14">
        <v>698.0</v>
      </c>
      <c r="B2593" s="14">
        <v>6.0</v>
      </c>
      <c r="C2593" s="34">
        <v>11.3</v>
      </c>
      <c r="D2593" s="36">
        <v>45009.0</v>
      </c>
      <c r="E2593" s="24"/>
      <c r="F2593" s="14">
        <v>1.88</v>
      </c>
      <c r="G2593" s="14">
        <v>16.19</v>
      </c>
      <c r="H2593" s="14">
        <v>0.86</v>
      </c>
      <c r="I2593" s="14" t="s">
        <v>6051</v>
      </c>
      <c r="J2593" s="14">
        <v>16.67</v>
      </c>
      <c r="K2593" s="14">
        <v>11.3</v>
      </c>
      <c r="L2593" s="14">
        <v>0.0</v>
      </c>
    </row>
    <row r="2594">
      <c r="A2594" s="14">
        <v>69.0</v>
      </c>
      <c r="B2594" s="14">
        <v>1.0</v>
      </c>
      <c r="C2594" s="34">
        <v>11.35</v>
      </c>
      <c r="D2594" s="36">
        <v>45009.0</v>
      </c>
      <c r="E2594" s="24"/>
      <c r="F2594" s="14">
        <v>11.35</v>
      </c>
      <c r="G2594" s="14">
        <v>164.49</v>
      </c>
      <c r="H2594" s="14">
        <v>1.45</v>
      </c>
      <c r="I2594" s="14" t="s">
        <v>6056</v>
      </c>
      <c r="J2594" s="14">
        <v>100.0</v>
      </c>
      <c r="K2594" s="14">
        <v>11.35</v>
      </c>
      <c r="L2594" s="14">
        <v>0.0</v>
      </c>
    </row>
    <row r="2595">
      <c r="A2595" s="14">
        <v>77.0</v>
      </c>
      <c r="B2595" s="14">
        <v>4.0</v>
      </c>
      <c r="C2595" s="34">
        <v>13.36</v>
      </c>
      <c r="D2595" s="36">
        <v>45009.0</v>
      </c>
      <c r="E2595" s="24"/>
      <c r="F2595" s="14">
        <v>3.34</v>
      </c>
      <c r="G2595" s="14">
        <v>173.51</v>
      </c>
      <c r="H2595" s="14">
        <v>5.19</v>
      </c>
      <c r="I2595" s="14" t="s">
        <v>6055</v>
      </c>
      <c r="J2595" s="14">
        <v>25.0</v>
      </c>
      <c r="K2595" s="14">
        <v>13.36</v>
      </c>
      <c r="L2595" s="14">
        <v>0.0</v>
      </c>
    </row>
    <row r="2596">
      <c r="A2596" s="14">
        <v>1205.0</v>
      </c>
      <c r="B2596" s="14">
        <v>10.0</v>
      </c>
      <c r="C2596" s="34">
        <v>11.57</v>
      </c>
      <c r="D2596" s="36">
        <v>45009.0</v>
      </c>
      <c r="E2596" s="24"/>
      <c r="F2596" s="14">
        <v>1.16</v>
      </c>
      <c r="G2596" s="14">
        <v>9.6</v>
      </c>
      <c r="H2596" s="14">
        <v>0.83</v>
      </c>
      <c r="I2596" s="14" t="s">
        <v>6037</v>
      </c>
      <c r="J2596" s="14">
        <v>10.0</v>
      </c>
      <c r="K2596" s="14">
        <v>11.57</v>
      </c>
      <c r="L2596" s="14">
        <v>0.0</v>
      </c>
    </row>
    <row r="2597">
      <c r="A2597" s="14">
        <v>338.0</v>
      </c>
      <c r="B2597" s="14">
        <v>3.0</v>
      </c>
      <c r="C2597" s="34">
        <v>11.98</v>
      </c>
      <c r="D2597" s="36">
        <v>45009.0</v>
      </c>
      <c r="E2597" s="24"/>
      <c r="F2597" s="14">
        <v>3.99</v>
      </c>
      <c r="G2597" s="14">
        <v>35.44</v>
      </c>
      <c r="H2597" s="14">
        <v>0.89</v>
      </c>
      <c r="I2597" s="14" t="s">
        <v>6039</v>
      </c>
      <c r="J2597" s="14">
        <v>0.0</v>
      </c>
      <c r="K2597" s="14" t="s">
        <v>6012</v>
      </c>
      <c r="L2597" s="14">
        <v>0.0</v>
      </c>
    </row>
    <row r="2598">
      <c r="A2598" s="14">
        <v>412.0</v>
      </c>
      <c r="B2598" s="14">
        <v>0.0</v>
      </c>
      <c r="C2598" s="34">
        <v>13.56</v>
      </c>
      <c r="D2598" s="36">
        <v>45009.0</v>
      </c>
      <c r="E2598" s="24"/>
      <c r="F2598" s="14" t="s">
        <v>6012</v>
      </c>
      <c r="G2598" s="14">
        <v>32.91</v>
      </c>
      <c r="H2598" s="14">
        <v>0.0</v>
      </c>
      <c r="I2598" s="14" t="s">
        <v>6042</v>
      </c>
      <c r="J2598" s="14" t="s">
        <v>6012</v>
      </c>
      <c r="K2598" s="14" t="s">
        <v>6012</v>
      </c>
      <c r="L2598" s="14">
        <v>0.0</v>
      </c>
    </row>
    <row r="2599">
      <c r="A2599" s="14">
        <v>385.0</v>
      </c>
      <c r="B2599" s="14">
        <v>3.0</v>
      </c>
      <c r="C2599" s="34">
        <v>20.74</v>
      </c>
      <c r="D2599" s="36">
        <v>45009.0</v>
      </c>
      <c r="E2599" s="24"/>
      <c r="F2599" s="14">
        <v>6.91</v>
      </c>
      <c r="G2599" s="14">
        <v>53.87</v>
      </c>
      <c r="H2599" s="14">
        <v>0.78</v>
      </c>
      <c r="I2599" s="14" t="s">
        <v>6035</v>
      </c>
      <c r="J2599" s="14">
        <v>0.0</v>
      </c>
      <c r="K2599" s="14" t="s">
        <v>6012</v>
      </c>
      <c r="L2599" s="14">
        <v>0.0</v>
      </c>
    </row>
    <row r="2600">
      <c r="A2600" s="14">
        <v>161.0</v>
      </c>
      <c r="B2600" s="14">
        <v>1.0</v>
      </c>
      <c r="C2600" s="34">
        <v>18.18</v>
      </c>
      <c r="D2600" s="36">
        <v>45009.0</v>
      </c>
      <c r="E2600" s="24"/>
      <c r="F2600" s="14">
        <v>18.18</v>
      </c>
      <c r="G2600" s="14">
        <v>112.92</v>
      </c>
      <c r="H2600" s="14">
        <v>0.62</v>
      </c>
      <c r="I2600" s="14" t="s">
        <v>6038</v>
      </c>
      <c r="J2600" s="14">
        <v>0.0</v>
      </c>
      <c r="K2600" s="14" t="s">
        <v>6012</v>
      </c>
      <c r="L2600" s="14">
        <v>0.0</v>
      </c>
    </row>
    <row r="2601">
      <c r="A2601" s="14">
        <v>1391.0</v>
      </c>
      <c r="B2601" s="14">
        <v>16.0</v>
      </c>
      <c r="C2601" s="34">
        <v>10.51</v>
      </c>
      <c r="D2601" s="36">
        <v>45009.0</v>
      </c>
      <c r="E2601" s="24"/>
      <c r="F2601" s="14">
        <v>0.66</v>
      </c>
      <c r="G2601" s="14">
        <v>7.56</v>
      </c>
      <c r="H2601" s="14">
        <v>1.15</v>
      </c>
      <c r="I2601" s="14" t="s">
        <v>6050</v>
      </c>
      <c r="J2601" s="14">
        <v>18.75</v>
      </c>
      <c r="K2601" s="14">
        <v>3.5</v>
      </c>
      <c r="L2601" s="14">
        <v>0.0</v>
      </c>
    </row>
    <row r="2602">
      <c r="A2602" s="14">
        <v>57.0</v>
      </c>
      <c r="B2602" s="14">
        <v>3.0</v>
      </c>
      <c r="C2602" s="34">
        <v>9.12</v>
      </c>
      <c r="D2602" s="36">
        <v>45010.0</v>
      </c>
      <c r="E2602" s="24"/>
      <c r="F2602" s="14">
        <v>3.04</v>
      </c>
      <c r="G2602" s="14">
        <v>160.0</v>
      </c>
      <c r="H2602" s="14">
        <v>5.26</v>
      </c>
      <c r="I2602" s="14" t="s">
        <v>6055</v>
      </c>
      <c r="J2602" s="14">
        <v>100.0</v>
      </c>
      <c r="K2602" s="14">
        <v>3.04</v>
      </c>
      <c r="L2602" s="14">
        <v>0.0</v>
      </c>
    </row>
    <row r="2603">
      <c r="A2603" s="14">
        <v>84.0</v>
      </c>
      <c r="B2603" s="14">
        <v>1.0</v>
      </c>
      <c r="C2603" s="34">
        <v>11.24</v>
      </c>
      <c r="D2603" s="36">
        <v>45010.0</v>
      </c>
      <c r="E2603" s="24"/>
      <c r="F2603" s="14">
        <v>11.24</v>
      </c>
      <c r="G2603" s="14">
        <v>133.81</v>
      </c>
      <c r="H2603" s="14">
        <v>1.19</v>
      </c>
      <c r="I2603" s="14" t="s">
        <v>6038</v>
      </c>
      <c r="J2603" s="14">
        <v>0.0</v>
      </c>
      <c r="K2603" s="14" t="s">
        <v>6012</v>
      </c>
      <c r="L2603" s="14">
        <v>0.0</v>
      </c>
    </row>
    <row r="2604">
      <c r="A2604" s="14">
        <v>131.0</v>
      </c>
      <c r="B2604" s="14">
        <v>1.0</v>
      </c>
      <c r="C2604" s="34">
        <v>4.75</v>
      </c>
      <c r="D2604" s="36">
        <v>45010.0</v>
      </c>
      <c r="E2604" s="24"/>
      <c r="F2604" s="14">
        <v>4.75</v>
      </c>
      <c r="G2604" s="14">
        <v>36.26</v>
      </c>
      <c r="H2604" s="14">
        <v>0.76</v>
      </c>
      <c r="I2604" s="14" t="s">
        <v>6042</v>
      </c>
      <c r="J2604" s="14">
        <v>0.0</v>
      </c>
      <c r="K2604" s="14" t="s">
        <v>6012</v>
      </c>
      <c r="L2604" s="14">
        <v>0.0</v>
      </c>
    </row>
    <row r="2605">
      <c r="A2605" s="14">
        <v>1108.0</v>
      </c>
      <c r="B2605" s="14">
        <v>7.0</v>
      </c>
      <c r="C2605" s="34">
        <v>6.1</v>
      </c>
      <c r="D2605" s="36">
        <v>45010.0</v>
      </c>
      <c r="E2605" s="24"/>
      <c r="F2605" s="14">
        <v>0.87</v>
      </c>
      <c r="G2605" s="14">
        <v>5.51</v>
      </c>
      <c r="H2605" s="14">
        <v>0.63</v>
      </c>
      <c r="I2605" s="14" t="s">
        <v>6050</v>
      </c>
      <c r="J2605" s="14">
        <v>57.14</v>
      </c>
      <c r="K2605" s="14">
        <v>1.52</v>
      </c>
      <c r="L2605" s="14">
        <v>0.0</v>
      </c>
    </row>
    <row r="2606">
      <c r="A2606" s="14">
        <v>35.0</v>
      </c>
      <c r="B2606" s="14">
        <v>1.0</v>
      </c>
      <c r="C2606" s="34">
        <v>6.41</v>
      </c>
      <c r="D2606" s="36">
        <v>45010.0</v>
      </c>
      <c r="E2606" s="24"/>
      <c r="F2606" s="14">
        <v>6.41</v>
      </c>
      <c r="G2606" s="14">
        <v>183.14</v>
      </c>
      <c r="H2606" s="14">
        <v>2.86</v>
      </c>
      <c r="I2606" s="14" t="s">
        <v>6056</v>
      </c>
      <c r="J2606" s="14">
        <v>100.0</v>
      </c>
      <c r="K2606" s="14">
        <v>6.41</v>
      </c>
      <c r="L2606" s="14">
        <v>0.0</v>
      </c>
    </row>
    <row r="2607">
      <c r="A2607" s="14">
        <v>136.0</v>
      </c>
      <c r="B2607" s="14">
        <v>3.0</v>
      </c>
      <c r="C2607" s="34">
        <v>12.13</v>
      </c>
      <c r="D2607" s="36">
        <v>45010.0</v>
      </c>
      <c r="E2607" s="24"/>
      <c r="F2607" s="14">
        <v>4.04</v>
      </c>
      <c r="G2607" s="14">
        <v>89.19</v>
      </c>
      <c r="H2607" s="14">
        <v>2.21</v>
      </c>
      <c r="I2607" s="14" t="s">
        <v>6035</v>
      </c>
      <c r="J2607" s="14">
        <v>0.0</v>
      </c>
      <c r="K2607" s="14" t="s">
        <v>6012</v>
      </c>
      <c r="L2607" s="14">
        <v>0.0</v>
      </c>
    </row>
    <row r="2608">
      <c r="A2608" s="14">
        <v>214.0</v>
      </c>
      <c r="B2608" s="14">
        <v>3.0</v>
      </c>
      <c r="C2608" s="34">
        <v>6.93</v>
      </c>
      <c r="D2608" s="36">
        <v>45010.0</v>
      </c>
      <c r="E2608" s="24"/>
      <c r="F2608" s="14">
        <v>2.31</v>
      </c>
      <c r="G2608" s="14">
        <v>32.38</v>
      </c>
      <c r="H2608" s="14">
        <v>1.4</v>
      </c>
      <c r="I2608" s="14" t="s">
        <v>6051</v>
      </c>
      <c r="J2608" s="14">
        <v>0.0</v>
      </c>
      <c r="K2608" s="14" t="s">
        <v>6012</v>
      </c>
      <c r="L2608" s="14">
        <v>0.0</v>
      </c>
    </row>
    <row r="2609">
      <c r="A2609" s="14">
        <v>640.0</v>
      </c>
      <c r="B2609" s="14">
        <v>15.0</v>
      </c>
      <c r="C2609" s="34">
        <v>6.44</v>
      </c>
      <c r="D2609" s="36">
        <v>45010.0</v>
      </c>
      <c r="E2609" s="24"/>
      <c r="F2609" s="14">
        <v>0.43</v>
      </c>
      <c r="G2609" s="14">
        <v>10.06</v>
      </c>
      <c r="H2609" s="14">
        <v>2.34</v>
      </c>
      <c r="I2609" s="14" t="s">
        <v>6037</v>
      </c>
      <c r="J2609" s="14">
        <v>0.0</v>
      </c>
      <c r="K2609" s="14" t="s">
        <v>6012</v>
      </c>
      <c r="L2609" s="14">
        <v>0.0</v>
      </c>
    </row>
    <row r="2610">
      <c r="A2610" s="14">
        <v>136.0</v>
      </c>
      <c r="B2610" s="14">
        <v>1.0</v>
      </c>
      <c r="C2610" s="34">
        <v>5.68</v>
      </c>
      <c r="D2610" s="36">
        <v>45010.0</v>
      </c>
      <c r="E2610" s="24"/>
      <c r="F2610" s="14">
        <v>5.68</v>
      </c>
      <c r="G2610" s="14">
        <v>41.76</v>
      </c>
      <c r="H2610" s="14">
        <v>0.74</v>
      </c>
      <c r="I2610" s="14" t="s">
        <v>6039</v>
      </c>
      <c r="J2610" s="14">
        <v>100.0</v>
      </c>
      <c r="K2610" s="14">
        <v>5.68</v>
      </c>
      <c r="L2610" s="14">
        <v>0.0</v>
      </c>
    </row>
    <row r="2611">
      <c r="A2611" s="14">
        <v>696.0</v>
      </c>
      <c r="B2611" s="14">
        <v>15.0</v>
      </c>
      <c r="C2611" s="34">
        <v>6.69</v>
      </c>
      <c r="D2611" s="36">
        <v>45011.0</v>
      </c>
      <c r="E2611" s="24"/>
      <c r="F2611" s="14">
        <v>0.45</v>
      </c>
      <c r="G2611" s="14">
        <v>9.61</v>
      </c>
      <c r="H2611" s="14">
        <v>2.16</v>
      </c>
      <c r="I2611" s="14" t="s">
        <v>6037</v>
      </c>
      <c r="J2611" s="14">
        <v>0.0</v>
      </c>
      <c r="K2611" s="14" t="s">
        <v>6012</v>
      </c>
      <c r="L2611" s="14">
        <v>0.0</v>
      </c>
    </row>
    <row r="2612">
      <c r="A2612" s="14">
        <v>1022.0</v>
      </c>
      <c r="B2612" s="14">
        <v>11.0</v>
      </c>
      <c r="C2612" s="34">
        <v>6.24</v>
      </c>
      <c r="D2612" s="36">
        <v>45011.0</v>
      </c>
      <c r="E2612" s="24"/>
      <c r="F2612" s="14">
        <v>0.57</v>
      </c>
      <c r="G2612" s="14">
        <v>6.11</v>
      </c>
      <c r="H2612" s="14">
        <v>1.08</v>
      </c>
      <c r="I2612" s="14" t="s">
        <v>6050</v>
      </c>
      <c r="J2612" s="14">
        <v>18.18</v>
      </c>
      <c r="K2612" s="14">
        <v>3.12</v>
      </c>
      <c r="L2612" s="14">
        <v>0.0</v>
      </c>
    </row>
    <row r="2613">
      <c r="A2613" s="14">
        <v>99.0</v>
      </c>
      <c r="B2613" s="14">
        <v>0.0</v>
      </c>
      <c r="C2613" s="34">
        <v>5.41</v>
      </c>
      <c r="D2613" s="36">
        <v>45011.0</v>
      </c>
      <c r="E2613" s="24"/>
      <c r="F2613" s="14" t="s">
        <v>6012</v>
      </c>
      <c r="G2613" s="14">
        <v>54.65</v>
      </c>
      <c r="H2613" s="14">
        <v>0.0</v>
      </c>
      <c r="I2613" s="14" t="s">
        <v>6039</v>
      </c>
      <c r="J2613" s="14" t="s">
        <v>6012</v>
      </c>
      <c r="K2613" s="14" t="s">
        <v>6012</v>
      </c>
      <c r="L2613" s="14">
        <v>0.0</v>
      </c>
    </row>
    <row r="2614">
      <c r="A2614" s="14">
        <v>78.0</v>
      </c>
      <c r="B2614" s="14">
        <v>0.0</v>
      </c>
      <c r="C2614" s="34">
        <v>8.84</v>
      </c>
      <c r="D2614" s="36">
        <v>45011.0</v>
      </c>
      <c r="E2614" s="24"/>
      <c r="F2614" s="14" t="s">
        <v>6012</v>
      </c>
      <c r="G2614" s="14">
        <v>113.33</v>
      </c>
      <c r="H2614" s="14">
        <v>0.0</v>
      </c>
      <c r="I2614" s="14" t="s">
        <v>6035</v>
      </c>
      <c r="J2614" s="14" t="s">
        <v>6012</v>
      </c>
      <c r="K2614" s="14" t="s">
        <v>6012</v>
      </c>
      <c r="L2614" s="14">
        <v>0.0</v>
      </c>
    </row>
    <row r="2615">
      <c r="A2615" s="14">
        <v>16.0</v>
      </c>
      <c r="B2615" s="14">
        <v>0.0</v>
      </c>
      <c r="C2615" s="34">
        <v>3.47</v>
      </c>
      <c r="D2615" s="36">
        <v>45011.0</v>
      </c>
      <c r="E2615" s="24"/>
      <c r="F2615" s="14" t="s">
        <v>6012</v>
      </c>
      <c r="G2615" s="14">
        <v>216.88</v>
      </c>
      <c r="H2615" s="14">
        <v>0.0</v>
      </c>
      <c r="I2615" s="14" t="s">
        <v>6056</v>
      </c>
      <c r="J2615" s="14" t="s">
        <v>6012</v>
      </c>
      <c r="K2615" s="14" t="s">
        <v>6012</v>
      </c>
      <c r="L2615" s="14">
        <v>0.0</v>
      </c>
    </row>
    <row r="2616">
      <c r="A2616" s="14">
        <v>198.0</v>
      </c>
      <c r="B2616" s="14">
        <v>5.0</v>
      </c>
      <c r="C2616" s="34">
        <v>5.63</v>
      </c>
      <c r="D2616" s="36">
        <v>45011.0</v>
      </c>
      <c r="E2616" s="24"/>
      <c r="F2616" s="14">
        <v>1.13</v>
      </c>
      <c r="G2616" s="14">
        <v>28.43</v>
      </c>
      <c r="H2616" s="14">
        <v>2.53</v>
      </c>
      <c r="I2616" s="14" t="s">
        <v>6051</v>
      </c>
      <c r="J2616" s="14">
        <v>20.0</v>
      </c>
      <c r="K2616" s="14">
        <v>5.63</v>
      </c>
      <c r="L2616" s="14">
        <v>0.0</v>
      </c>
    </row>
    <row r="2617">
      <c r="A2617" s="14">
        <v>40.0</v>
      </c>
      <c r="B2617" s="14">
        <v>2.0</v>
      </c>
      <c r="C2617" s="34">
        <v>7.44</v>
      </c>
      <c r="D2617" s="36">
        <v>45011.0</v>
      </c>
      <c r="E2617" s="24"/>
      <c r="F2617" s="14">
        <v>3.72</v>
      </c>
      <c r="G2617" s="14">
        <v>186.0</v>
      </c>
      <c r="H2617" s="14">
        <v>5.0</v>
      </c>
      <c r="I2617" s="14" t="s">
        <v>6038</v>
      </c>
      <c r="J2617" s="14">
        <v>50.0</v>
      </c>
      <c r="K2617" s="14">
        <v>7.44</v>
      </c>
      <c r="L2617" s="14">
        <v>0.0</v>
      </c>
    </row>
    <row r="2618">
      <c r="A2618" s="14">
        <v>161.0</v>
      </c>
      <c r="B2618" s="14">
        <v>2.0</v>
      </c>
      <c r="C2618" s="34">
        <v>4.22</v>
      </c>
      <c r="D2618" s="36">
        <v>45011.0</v>
      </c>
      <c r="E2618" s="24"/>
      <c r="F2618" s="14">
        <v>2.11</v>
      </c>
      <c r="G2618" s="14">
        <v>26.21</v>
      </c>
      <c r="H2618" s="14">
        <v>1.24</v>
      </c>
      <c r="I2618" s="14" t="s">
        <v>6042</v>
      </c>
      <c r="J2618" s="14">
        <v>0.0</v>
      </c>
      <c r="K2618" s="14" t="s">
        <v>6012</v>
      </c>
      <c r="L2618" s="14">
        <v>0.0</v>
      </c>
    </row>
    <row r="2619">
      <c r="A2619" s="14">
        <v>57.0</v>
      </c>
      <c r="B2619" s="14">
        <v>4.0</v>
      </c>
      <c r="C2619" s="34">
        <v>9.23</v>
      </c>
      <c r="D2619" s="36">
        <v>45011.0</v>
      </c>
      <c r="E2619" s="24"/>
      <c r="F2619" s="14">
        <v>2.31</v>
      </c>
      <c r="G2619" s="14">
        <v>161.93</v>
      </c>
      <c r="H2619" s="14">
        <v>7.02</v>
      </c>
      <c r="I2619" s="14" t="s">
        <v>6055</v>
      </c>
      <c r="J2619" s="14">
        <v>0.0</v>
      </c>
      <c r="K2619" s="14" t="s">
        <v>6012</v>
      </c>
      <c r="L2619" s="14">
        <v>0.0</v>
      </c>
    </row>
    <row r="2620">
      <c r="A2620" s="14">
        <v>91.0</v>
      </c>
      <c r="B2620" s="14">
        <v>1.0</v>
      </c>
      <c r="C2620" s="34">
        <v>15.31</v>
      </c>
      <c r="D2620" s="36">
        <v>45012.0</v>
      </c>
      <c r="E2620" s="24"/>
      <c r="F2620" s="14">
        <v>15.31</v>
      </c>
      <c r="G2620" s="14">
        <v>168.24</v>
      </c>
      <c r="H2620" s="14">
        <v>1.1</v>
      </c>
      <c r="I2620" s="14" t="s">
        <v>6055</v>
      </c>
      <c r="J2620" s="14">
        <v>200.0</v>
      </c>
      <c r="K2620" s="14">
        <v>7.66</v>
      </c>
      <c r="L2620" s="14">
        <v>0.0</v>
      </c>
    </row>
    <row r="2621">
      <c r="A2621" s="14">
        <v>1346.0</v>
      </c>
      <c r="B2621" s="14">
        <v>20.0</v>
      </c>
      <c r="C2621" s="34">
        <v>12.2</v>
      </c>
      <c r="D2621" s="36">
        <v>45012.0</v>
      </c>
      <c r="E2621" s="24"/>
      <c r="F2621" s="14">
        <v>0.61</v>
      </c>
      <c r="G2621" s="14">
        <v>9.06</v>
      </c>
      <c r="H2621" s="14">
        <v>1.49</v>
      </c>
      <c r="I2621" s="14" t="s">
        <v>6037</v>
      </c>
      <c r="J2621" s="14">
        <v>0.0</v>
      </c>
      <c r="K2621" s="14" t="s">
        <v>6012</v>
      </c>
      <c r="L2621" s="14">
        <v>0.0</v>
      </c>
    </row>
    <row r="2622">
      <c r="A2622" s="14">
        <v>567.0</v>
      </c>
      <c r="B2622" s="14">
        <v>4.0</v>
      </c>
      <c r="C2622" s="34">
        <v>3.29</v>
      </c>
      <c r="D2622" s="36">
        <v>45012.0</v>
      </c>
      <c r="E2622" s="24"/>
      <c r="F2622" s="14">
        <v>0.82</v>
      </c>
      <c r="G2622" s="14">
        <v>5.8</v>
      </c>
      <c r="H2622" s="14">
        <v>0.71</v>
      </c>
      <c r="I2622" s="14" t="s">
        <v>6050</v>
      </c>
      <c r="J2622" s="14">
        <v>25.0</v>
      </c>
      <c r="K2622" s="14">
        <v>3.29</v>
      </c>
      <c r="L2622" s="14">
        <v>0.0</v>
      </c>
    </row>
    <row r="2623">
      <c r="A2623" s="14">
        <v>425.0</v>
      </c>
      <c r="B2623" s="14">
        <v>2.0</v>
      </c>
      <c r="C2623" s="34">
        <v>20.85</v>
      </c>
      <c r="D2623" s="36">
        <v>45012.0</v>
      </c>
      <c r="E2623" s="24"/>
      <c r="F2623" s="14">
        <v>10.42</v>
      </c>
      <c r="G2623" s="14">
        <v>49.06</v>
      </c>
      <c r="H2623" s="14">
        <v>0.47</v>
      </c>
      <c r="I2623" s="14" t="s">
        <v>6035</v>
      </c>
      <c r="J2623" s="14">
        <v>0.0</v>
      </c>
      <c r="K2623" s="14" t="s">
        <v>6012</v>
      </c>
      <c r="L2623" s="14">
        <v>0.0</v>
      </c>
    </row>
    <row r="2624">
      <c r="A2624" s="14">
        <v>250.0</v>
      </c>
      <c r="B2624" s="14">
        <v>3.0</v>
      </c>
      <c r="C2624" s="34">
        <v>3.59</v>
      </c>
      <c r="D2624" s="36">
        <v>45012.0</v>
      </c>
      <c r="E2624" s="24"/>
      <c r="F2624" s="14">
        <v>1.2</v>
      </c>
      <c r="G2624" s="14">
        <v>14.36</v>
      </c>
      <c r="H2624" s="14">
        <v>1.2</v>
      </c>
      <c r="I2624" s="14" t="s">
        <v>6051</v>
      </c>
      <c r="J2624" s="14">
        <v>0.0</v>
      </c>
      <c r="K2624" s="14" t="s">
        <v>6012</v>
      </c>
      <c r="L2624" s="14">
        <v>0.0</v>
      </c>
    </row>
    <row r="2625">
      <c r="A2625" s="14">
        <v>158.0</v>
      </c>
      <c r="B2625" s="14">
        <v>1.0</v>
      </c>
      <c r="C2625" s="34">
        <v>18.03</v>
      </c>
      <c r="D2625" s="36">
        <v>45012.0</v>
      </c>
      <c r="E2625" s="24"/>
      <c r="F2625" s="14">
        <v>18.03</v>
      </c>
      <c r="G2625" s="14">
        <v>114.11</v>
      </c>
      <c r="H2625" s="14">
        <v>0.63</v>
      </c>
      <c r="I2625" s="14" t="s">
        <v>6038</v>
      </c>
      <c r="J2625" s="14">
        <v>0.0</v>
      </c>
      <c r="K2625" s="14" t="s">
        <v>6012</v>
      </c>
      <c r="L2625" s="14">
        <v>0.0</v>
      </c>
    </row>
    <row r="2626">
      <c r="A2626" s="14">
        <v>99.0</v>
      </c>
      <c r="B2626" s="14">
        <v>0.0</v>
      </c>
      <c r="C2626" s="34">
        <v>12.43</v>
      </c>
      <c r="D2626" s="36">
        <v>45012.0</v>
      </c>
      <c r="E2626" s="24"/>
      <c r="F2626" s="14" t="s">
        <v>6012</v>
      </c>
      <c r="G2626" s="14">
        <v>125.56</v>
      </c>
      <c r="H2626" s="14">
        <v>0.0</v>
      </c>
      <c r="I2626" s="14" t="s">
        <v>6056</v>
      </c>
      <c r="J2626" s="14" t="s">
        <v>6012</v>
      </c>
      <c r="K2626" s="14" t="s">
        <v>6012</v>
      </c>
      <c r="L2626" s="14">
        <v>0.0</v>
      </c>
    </row>
    <row r="2627">
      <c r="A2627" s="14">
        <v>460.0</v>
      </c>
      <c r="B2627" s="14">
        <v>2.0</v>
      </c>
      <c r="C2627" s="34">
        <v>12.23</v>
      </c>
      <c r="D2627" s="36">
        <v>45012.0</v>
      </c>
      <c r="E2627" s="24"/>
      <c r="F2627" s="14">
        <v>6.12</v>
      </c>
      <c r="G2627" s="14">
        <v>26.59</v>
      </c>
      <c r="H2627" s="14">
        <v>0.43</v>
      </c>
      <c r="I2627" s="14" t="s">
        <v>6039</v>
      </c>
      <c r="J2627" s="14">
        <v>50.0</v>
      </c>
      <c r="K2627" s="14">
        <v>12.23</v>
      </c>
      <c r="L2627" s="14">
        <v>0.0</v>
      </c>
    </row>
    <row r="2628">
      <c r="A2628" s="14">
        <v>473.0</v>
      </c>
      <c r="B2628" s="14">
        <v>0.0</v>
      </c>
      <c r="C2628" s="34">
        <v>13.91</v>
      </c>
      <c r="D2628" s="36">
        <v>45012.0</v>
      </c>
      <c r="E2628" s="24"/>
      <c r="F2628" s="14" t="s">
        <v>6012</v>
      </c>
      <c r="G2628" s="14">
        <v>29.41</v>
      </c>
      <c r="H2628" s="14">
        <v>0.0</v>
      </c>
      <c r="I2628" s="14" t="s">
        <v>6042</v>
      </c>
      <c r="J2628" s="14" t="s">
        <v>6012</v>
      </c>
      <c r="K2628" s="14">
        <v>13.91</v>
      </c>
      <c r="L2628" s="14">
        <v>0.0</v>
      </c>
    </row>
    <row r="2629">
      <c r="A2629" s="14">
        <v>493.0</v>
      </c>
      <c r="B2629" s="14">
        <v>2.0</v>
      </c>
      <c r="C2629" s="34">
        <v>14.11</v>
      </c>
      <c r="D2629" s="36">
        <v>45013.0</v>
      </c>
      <c r="E2629" s="24"/>
      <c r="F2629" s="14">
        <v>7.06</v>
      </c>
      <c r="G2629" s="14">
        <v>28.62</v>
      </c>
      <c r="H2629" s="14">
        <v>0.41</v>
      </c>
      <c r="I2629" s="14" t="s">
        <v>6042</v>
      </c>
      <c r="J2629" s="14">
        <v>50.0</v>
      </c>
      <c r="K2629" s="14">
        <v>14.11</v>
      </c>
      <c r="L2629" s="14">
        <v>0.0</v>
      </c>
    </row>
    <row r="2630">
      <c r="A2630" s="14">
        <v>1330.0</v>
      </c>
      <c r="B2630" s="14">
        <v>12.0</v>
      </c>
      <c r="C2630" s="34">
        <v>13.64</v>
      </c>
      <c r="D2630" s="36">
        <v>45013.0</v>
      </c>
      <c r="E2630" s="24"/>
      <c r="F2630" s="14">
        <v>1.14</v>
      </c>
      <c r="G2630" s="14">
        <v>10.26</v>
      </c>
      <c r="H2630" s="14">
        <v>0.9</v>
      </c>
      <c r="I2630" s="14" t="s">
        <v>6037</v>
      </c>
      <c r="J2630" s="14">
        <v>8.33</v>
      </c>
      <c r="K2630" s="14">
        <v>13.64</v>
      </c>
      <c r="L2630" s="14">
        <v>0.0</v>
      </c>
    </row>
    <row r="2631">
      <c r="A2631" s="14">
        <v>121.0</v>
      </c>
      <c r="B2631" s="14">
        <v>0.0</v>
      </c>
      <c r="C2631" s="34">
        <v>12.65</v>
      </c>
      <c r="D2631" s="36">
        <v>45013.0</v>
      </c>
      <c r="E2631" s="24"/>
      <c r="F2631" s="14" t="s">
        <v>6012</v>
      </c>
      <c r="G2631" s="14">
        <v>104.55</v>
      </c>
      <c r="H2631" s="14">
        <v>0.0</v>
      </c>
      <c r="I2631" s="14" t="s">
        <v>6056</v>
      </c>
      <c r="J2631" s="14" t="s">
        <v>6012</v>
      </c>
      <c r="K2631" s="14" t="s">
        <v>6012</v>
      </c>
      <c r="L2631" s="14">
        <v>0.0</v>
      </c>
    </row>
    <row r="2632">
      <c r="A2632" s="14">
        <v>231.0</v>
      </c>
      <c r="B2632" s="14">
        <v>1.0</v>
      </c>
      <c r="C2632" s="34">
        <v>20.03</v>
      </c>
      <c r="D2632" s="36">
        <v>45013.0</v>
      </c>
      <c r="E2632" s="24"/>
      <c r="F2632" s="14">
        <v>20.03</v>
      </c>
      <c r="G2632" s="14">
        <v>86.71</v>
      </c>
      <c r="H2632" s="14">
        <v>0.43</v>
      </c>
      <c r="I2632" s="14" t="s">
        <v>6038</v>
      </c>
      <c r="J2632" s="14">
        <v>0.0</v>
      </c>
      <c r="K2632" s="14" t="s">
        <v>6012</v>
      </c>
      <c r="L2632" s="14">
        <v>0.0</v>
      </c>
    </row>
    <row r="2633">
      <c r="A2633" s="14">
        <v>628.0</v>
      </c>
      <c r="B2633" s="14">
        <v>8.0</v>
      </c>
      <c r="C2633" s="34">
        <v>15.0</v>
      </c>
      <c r="D2633" s="36">
        <v>45013.0</v>
      </c>
      <c r="E2633" s="24"/>
      <c r="F2633" s="14">
        <v>1.88</v>
      </c>
      <c r="G2633" s="14">
        <v>23.89</v>
      </c>
      <c r="H2633" s="14">
        <v>1.27</v>
      </c>
      <c r="I2633" s="14" t="s">
        <v>6051</v>
      </c>
      <c r="J2633" s="14">
        <v>0.0</v>
      </c>
      <c r="K2633" s="14" t="s">
        <v>6012</v>
      </c>
      <c r="L2633" s="14">
        <v>0.0</v>
      </c>
    </row>
    <row r="2634">
      <c r="A2634" s="14">
        <v>489.0</v>
      </c>
      <c r="B2634" s="14">
        <v>3.0</v>
      </c>
      <c r="C2634" s="34">
        <v>23.56</v>
      </c>
      <c r="D2634" s="36">
        <v>45013.0</v>
      </c>
      <c r="E2634" s="24"/>
      <c r="F2634" s="14">
        <v>7.85</v>
      </c>
      <c r="G2634" s="14">
        <v>48.18</v>
      </c>
      <c r="H2634" s="14">
        <v>0.61</v>
      </c>
      <c r="I2634" s="14" t="s">
        <v>6035</v>
      </c>
      <c r="J2634" s="14">
        <v>0.0</v>
      </c>
      <c r="K2634" s="14" t="s">
        <v>6012</v>
      </c>
      <c r="L2634" s="14">
        <v>0.0</v>
      </c>
    </row>
    <row r="2635">
      <c r="A2635" s="14">
        <v>79.0</v>
      </c>
      <c r="B2635" s="14">
        <v>9.0</v>
      </c>
      <c r="C2635" s="34">
        <v>14.91</v>
      </c>
      <c r="D2635" s="36">
        <v>45013.0</v>
      </c>
      <c r="E2635" s="24"/>
      <c r="F2635" s="14">
        <v>1.66</v>
      </c>
      <c r="G2635" s="14">
        <v>188.73</v>
      </c>
      <c r="H2635" s="14">
        <v>11.39</v>
      </c>
      <c r="I2635" s="14" t="s">
        <v>6055</v>
      </c>
      <c r="J2635" s="14">
        <v>11.11</v>
      </c>
      <c r="K2635" s="14">
        <v>14.91</v>
      </c>
      <c r="L2635" s="14">
        <v>0.0</v>
      </c>
    </row>
    <row r="2636">
      <c r="A2636" s="14">
        <v>1401.0</v>
      </c>
      <c r="B2636" s="14">
        <v>11.0</v>
      </c>
      <c r="C2636" s="34">
        <v>13.21</v>
      </c>
      <c r="D2636" s="36">
        <v>45013.0</v>
      </c>
      <c r="E2636" s="24"/>
      <c r="F2636" s="14">
        <v>1.2</v>
      </c>
      <c r="G2636" s="14">
        <v>9.43</v>
      </c>
      <c r="H2636" s="14">
        <v>0.79</v>
      </c>
      <c r="I2636" s="14" t="s">
        <v>6050</v>
      </c>
      <c r="J2636" s="14">
        <v>0.0</v>
      </c>
      <c r="K2636" s="14" t="s">
        <v>6012</v>
      </c>
      <c r="L2636" s="14">
        <v>0.0</v>
      </c>
    </row>
    <row r="2637">
      <c r="A2637" s="14">
        <v>341.0</v>
      </c>
      <c r="B2637" s="14">
        <v>2.0</v>
      </c>
      <c r="C2637" s="34">
        <v>14.92</v>
      </c>
      <c r="D2637" s="36">
        <v>45013.0</v>
      </c>
      <c r="E2637" s="24"/>
      <c r="F2637" s="14">
        <v>7.46</v>
      </c>
      <c r="G2637" s="14">
        <v>43.75</v>
      </c>
      <c r="H2637" s="14">
        <v>0.59</v>
      </c>
      <c r="I2637" s="14" t="s">
        <v>6039</v>
      </c>
      <c r="J2637" s="14">
        <v>50.0</v>
      </c>
      <c r="K2637" s="14">
        <v>14.92</v>
      </c>
      <c r="L2637" s="14">
        <v>0.0</v>
      </c>
    </row>
    <row r="2638">
      <c r="A2638" s="14">
        <v>441.0</v>
      </c>
      <c r="B2638" s="14">
        <v>2.0</v>
      </c>
      <c r="C2638" s="34">
        <v>13.5</v>
      </c>
      <c r="D2638" s="36">
        <v>45014.0</v>
      </c>
      <c r="E2638" s="24"/>
      <c r="F2638" s="14">
        <v>6.75</v>
      </c>
      <c r="G2638" s="14">
        <v>30.61</v>
      </c>
      <c r="H2638" s="14">
        <v>0.45</v>
      </c>
      <c r="I2638" s="14" t="s">
        <v>6042</v>
      </c>
      <c r="J2638" s="14">
        <v>100.0</v>
      </c>
      <c r="K2638" s="14">
        <v>6.75</v>
      </c>
      <c r="L2638" s="14">
        <v>0.0</v>
      </c>
    </row>
    <row r="2639">
      <c r="A2639" s="14">
        <v>879.0</v>
      </c>
      <c r="B2639" s="14">
        <v>6.0</v>
      </c>
      <c r="C2639" s="34">
        <v>12.93</v>
      </c>
      <c r="D2639" s="36">
        <v>45014.0</v>
      </c>
      <c r="E2639" s="24"/>
      <c r="F2639" s="14">
        <v>2.15</v>
      </c>
      <c r="G2639" s="14">
        <v>14.71</v>
      </c>
      <c r="H2639" s="14">
        <v>0.68</v>
      </c>
      <c r="I2639" s="14" t="s">
        <v>6051</v>
      </c>
      <c r="J2639" s="14">
        <v>0.0</v>
      </c>
      <c r="K2639" s="14" t="s">
        <v>6012</v>
      </c>
      <c r="L2639" s="14">
        <v>0.0</v>
      </c>
    </row>
    <row r="2640">
      <c r="A2640" s="14">
        <v>1389.0</v>
      </c>
      <c r="B2640" s="14">
        <v>15.0</v>
      </c>
      <c r="C2640" s="34">
        <v>11.94</v>
      </c>
      <c r="D2640" s="36">
        <v>45014.0</v>
      </c>
      <c r="E2640" s="24"/>
      <c r="F2640" s="14">
        <v>0.8</v>
      </c>
      <c r="G2640" s="14">
        <v>8.6</v>
      </c>
      <c r="H2640" s="14">
        <v>1.08</v>
      </c>
      <c r="I2640" s="14" t="s">
        <v>6050</v>
      </c>
      <c r="J2640" s="14">
        <v>6.67</v>
      </c>
      <c r="K2640" s="14">
        <v>11.94</v>
      </c>
      <c r="L2640" s="14">
        <v>0.0</v>
      </c>
    </row>
    <row r="2641">
      <c r="A2641" s="14">
        <v>97.0</v>
      </c>
      <c r="B2641" s="14">
        <v>0.0</v>
      </c>
      <c r="C2641" s="34">
        <v>11.89</v>
      </c>
      <c r="D2641" s="36">
        <v>45014.0</v>
      </c>
      <c r="E2641" s="24"/>
      <c r="F2641" s="14" t="s">
        <v>6012</v>
      </c>
      <c r="G2641" s="14">
        <v>122.58</v>
      </c>
      <c r="H2641" s="14">
        <v>0.0</v>
      </c>
      <c r="I2641" s="14" t="s">
        <v>6056</v>
      </c>
      <c r="J2641" s="14" t="s">
        <v>6012</v>
      </c>
      <c r="K2641" s="14">
        <v>11.89</v>
      </c>
      <c r="L2641" s="14">
        <v>0.0</v>
      </c>
    </row>
    <row r="2642">
      <c r="A2642" s="14">
        <v>298.0</v>
      </c>
      <c r="B2642" s="14">
        <v>1.0</v>
      </c>
      <c r="C2642" s="34">
        <v>13.7</v>
      </c>
      <c r="D2642" s="36">
        <v>45014.0</v>
      </c>
      <c r="E2642" s="24"/>
      <c r="F2642" s="14">
        <v>13.7</v>
      </c>
      <c r="G2642" s="14">
        <v>45.97</v>
      </c>
      <c r="H2642" s="14">
        <v>0.34</v>
      </c>
      <c r="I2642" s="14" t="s">
        <v>6039</v>
      </c>
      <c r="J2642" s="14">
        <v>100.0</v>
      </c>
      <c r="K2642" s="14">
        <v>13.7</v>
      </c>
      <c r="L2642" s="14">
        <v>0.0</v>
      </c>
    </row>
    <row r="2643">
      <c r="A2643" s="14">
        <v>93.0</v>
      </c>
      <c r="B2643" s="14">
        <v>3.0</v>
      </c>
      <c r="C2643" s="34">
        <v>20.8</v>
      </c>
      <c r="D2643" s="36">
        <v>45014.0</v>
      </c>
      <c r="E2643" s="24"/>
      <c r="F2643" s="14">
        <v>6.93</v>
      </c>
      <c r="G2643" s="14">
        <v>223.66</v>
      </c>
      <c r="H2643" s="14">
        <v>3.23</v>
      </c>
      <c r="I2643" s="14" t="s">
        <v>6038</v>
      </c>
      <c r="J2643" s="14">
        <v>0.0</v>
      </c>
      <c r="K2643" s="14" t="s">
        <v>6012</v>
      </c>
      <c r="L2643" s="14">
        <v>0.0</v>
      </c>
    </row>
    <row r="2644">
      <c r="A2644" s="14">
        <v>1393.0</v>
      </c>
      <c r="B2644" s="14">
        <v>10.0</v>
      </c>
      <c r="C2644" s="34">
        <v>13.42</v>
      </c>
      <c r="D2644" s="36">
        <v>45014.0</v>
      </c>
      <c r="E2644" s="24"/>
      <c r="F2644" s="14">
        <v>1.34</v>
      </c>
      <c r="G2644" s="14">
        <v>9.63</v>
      </c>
      <c r="H2644" s="14">
        <v>0.72</v>
      </c>
      <c r="I2644" s="14" t="s">
        <v>6037</v>
      </c>
      <c r="J2644" s="14">
        <v>10.0</v>
      </c>
      <c r="K2644" s="14">
        <v>13.42</v>
      </c>
      <c r="L2644" s="14">
        <v>0.0</v>
      </c>
    </row>
    <row r="2645">
      <c r="A2645" s="14">
        <v>86.0</v>
      </c>
      <c r="B2645" s="14">
        <v>5.0</v>
      </c>
      <c r="C2645" s="34">
        <v>13.88</v>
      </c>
      <c r="D2645" s="36">
        <v>45014.0</v>
      </c>
      <c r="E2645" s="24"/>
      <c r="F2645" s="14">
        <v>2.78</v>
      </c>
      <c r="G2645" s="14">
        <v>161.4</v>
      </c>
      <c r="H2645" s="14">
        <v>5.81</v>
      </c>
      <c r="I2645" s="14" t="s">
        <v>6055</v>
      </c>
      <c r="J2645" s="14">
        <v>60.0</v>
      </c>
      <c r="K2645" s="14">
        <v>4.63</v>
      </c>
      <c r="L2645" s="14">
        <v>0.0</v>
      </c>
    </row>
    <row r="2646">
      <c r="A2646" s="14">
        <v>456.0</v>
      </c>
      <c r="B2646" s="14">
        <v>2.0</v>
      </c>
      <c r="C2646" s="34">
        <v>23.69</v>
      </c>
      <c r="D2646" s="36">
        <v>45014.0</v>
      </c>
      <c r="E2646" s="24"/>
      <c r="F2646" s="14">
        <v>11.84</v>
      </c>
      <c r="G2646" s="14">
        <v>51.95</v>
      </c>
      <c r="H2646" s="14">
        <v>0.44</v>
      </c>
      <c r="I2646" s="14" t="s">
        <v>6035</v>
      </c>
      <c r="J2646" s="14">
        <v>0.0</v>
      </c>
      <c r="K2646" s="14" t="s">
        <v>6012</v>
      </c>
      <c r="L2646" s="14">
        <v>0.0</v>
      </c>
    </row>
    <row r="2647">
      <c r="A2647" s="14">
        <v>89.0</v>
      </c>
      <c r="B2647" s="14">
        <v>1.0</v>
      </c>
      <c r="C2647" s="34">
        <v>11.18</v>
      </c>
      <c r="D2647" s="36">
        <v>45015.0</v>
      </c>
      <c r="E2647" s="24"/>
      <c r="F2647" s="14">
        <v>11.18</v>
      </c>
      <c r="G2647" s="14">
        <v>125.62</v>
      </c>
      <c r="H2647" s="14">
        <v>1.12</v>
      </c>
      <c r="I2647" s="14" t="s">
        <v>6056</v>
      </c>
      <c r="J2647" s="14">
        <v>0.0</v>
      </c>
      <c r="K2647" s="14" t="s">
        <v>6012</v>
      </c>
      <c r="L2647" s="14">
        <v>0.0</v>
      </c>
    </row>
    <row r="2648">
      <c r="A2648" s="14">
        <v>60.0</v>
      </c>
      <c r="B2648" s="14">
        <v>1.0</v>
      </c>
      <c r="C2648" s="34">
        <v>2.65</v>
      </c>
      <c r="D2648" s="36">
        <v>45015.0</v>
      </c>
      <c r="E2648" s="24"/>
      <c r="F2648" s="14">
        <v>2.65</v>
      </c>
      <c r="G2648" s="14">
        <v>44.17</v>
      </c>
      <c r="H2648" s="14">
        <v>1.67</v>
      </c>
      <c r="I2648" s="14" t="s">
        <v>6055</v>
      </c>
      <c r="J2648" s="14">
        <v>0.0</v>
      </c>
      <c r="K2648" s="14" t="s">
        <v>6012</v>
      </c>
      <c r="L2648" s="14">
        <v>0.0</v>
      </c>
    </row>
    <row r="2649">
      <c r="A2649" s="14">
        <v>63.0</v>
      </c>
      <c r="B2649" s="14">
        <v>0.0</v>
      </c>
      <c r="C2649" s="34">
        <v>14.13</v>
      </c>
      <c r="D2649" s="36">
        <v>45015.0</v>
      </c>
      <c r="E2649" s="24"/>
      <c r="F2649" s="14" t="s">
        <v>6012</v>
      </c>
      <c r="G2649" s="14">
        <v>224.29</v>
      </c>
      <c r="H2649" s="14">
        <v>0.0</v>
      </c>
      <c r="I2649" s="14" t="s">
        <v>6050</v>
      </c>
      <c r="J2649" s="14" t="s">
        <v>6012</v>
      </c>
      <c r="K2649" s="14" t="s">
        <v>6012</v>
      </c>
      <c r="L2649" s="14">
        <v>0.0</v>
      </c>
    </row>
    <row r="2650">
      <c r="A2650" s="14">
        <v>257.0</v>
      </c>
      <c r="B2650" s="14">
        <v>5.0</v>
      </c>
      <c r="C2650" s="34">
        <v>11.78</v>
      </c>
      <c r="D2650" s="36">
        <v>45015.0</v>
      </c>
      <c r="E2650" s="24"/>
      <c r="F2650" s="14">
        <v>2.36</v>
      </c>
      <c r="G2650" s="14">
        <v>45.84</v>
      </c>
      <c r="H2650" s="14">
        <v>1.95</v>
      </c>
      <c r="I2650" s="14" t="s">
        <v>6057</v>
      </c>
      <c r="J2650" s="14">
        <v>0.0</v>
      </c>
      <c r="K2650" s="14" t="s">
        <v>6012</v>
      </c>
      <c r="L2650" s="14">
        <v>1.0</v>
      </c>
    </row>
    <row r="2651">
      <c r="A2651" s="14">
        <v>297.0</v>
      </c>
      <c r="B2651" s="14">
        <v>0.0</v>
      </c>
      <c r="C2651" s="34">
        <v>20.06</v>
      </c>
      <c r="D2651" s="36">
        <v>45015.0</v>
      </c>
      <c r="E2651" s="24"/>
      <c r="F2651" s="14" t="s">
        <v>6012</v>
      </c>
      <c r="G2651" s="14">
        <v>67.54</v>
      </c>
      <c r="H2651" s="14">
        <v>0.0</v>
      </c>
      <c r="I2651" s="14" t="s">
        <v>6038</v>
      </c>
      <c r="J2651" s="14" t="s">
        <v>6012</v>
      </c>
      <c r="K2651" s="14" t="s">
        <v>6012</v>
      </c>
      <c r="L2651" s="14">
        <v>0.0</v>
      </c>
    </row>
    <row r="2652">
      <c r="A2652" s="14">
        <v>346.0</v>
      </c>
      <c r="B2652" s="14">
        <v>2.0</v>
      </c>
      <c r="C2652" s="34">
        <v>13.76</v>
      </c>
      <c r="D2652" s="36">
        <v>45015.0</v>
      </c>
      <c r="E2652" s="24"/>
      <c r="F2652" s="14">
        <v>6.88</v>
      </c>
      <c r="G2652" s="14">
        <v>39.77</v>
      </c>
      <c r="H2652" s="14">
        <v>0.58</v>
      </c>
      <c r="I2652" s="14" t="s">
        <v>6039</v>
      </c>
      <c r="J2652" s="14">
        <v>0.0</v>
      </c>
      <c r="K2652" s="14" t="s">
        <v>6012</v>
      </c>
      <c r="L2652" s="14">
        <v>0.0</v>
      </c>
    </row>
    <row r="2653">
      <c r="A2653" s="14">
        <v>1266.0</v>
      </c>
      <c r="B2653" s="14">
        <v>9.0</v>
      </c>
      <c r="C2653" s="34">
        <v>13.45</v>
      </c>
      <c r="D2653" s="36">
        <v>45015.0</v>
      </c>
      <c r="E2653" s="24"/>
      <c r="F2653" s="14">
        <v>1.49</v>
      </c>
      <c r="G2653" s="14">
        <v>10.62</v>
      </c>
      <c r="H2653" s="14">
        <v>0.71</v>
      </c>
      <c r="I2653" s="14" t="s">
        <v>6037</v>
      </c>
      <c r="J2653" s="14">
        <v>0.0</v>
      </c>
      <c r="K2653" s="14" t="s">
        <v>6012</v>
      </c>
      <c r="L2653" s="14">
        <v>0.0</v>
      </c>
    </row>
    <row r="2654">
      <c r="A2654" s="14">
        <v>466.0</v>
      </c>
      <c r="B2654" s="14">
        <v>2.0</v>
      </c>
      <c r="C2654" s="34">
        <v>13.32</v>
      </c>
      <c r="D2654" s="36">
        <v>45015.0</v>
      </c>
      <c r="E2654" s="24"/>
      <c r="F2654" s="14">
        <v>6.66</v>
      </c>
      <c r="G2654" s="14">
        <v>28.58</v>
      </c>
      <c r="H2654" s="14">
        <v>0.43</v>
      </c>
      <c r="I2654" s="14" t="s">
        <v>6042</v>
      </c>
      <c r="J2654" s="14">
        <v>50.0</v>
      </c>
      <c r="K2654" s="14">
        <v>13.32</v>
      </c>
      <c r="L2654" s="14">
        <v>0.0</v>
      </c>
    </row>
    <row r="2655">
      <c r="A2655" s="14">
        <v>591.0</v>
      </c>
      <c r="B2655" s="14">
        <v>7.0</v>
      </c>
      <c r="C2655" s="34">
        <v>23.03</v>
      </c>
      <c r="D2655" s="36">
        <v>45015.0</v>
      </c>
      <c r="E2655" s="24"/>
      <c r="F2655" s="14">
        <v>3.29</v>
      </c>
      <c r="G2655" s="14">
        <v>38.97</v>
      </c>
      <c r="H2655" s="14">
        <v>1.18</v>
      </c>
      <c r="I2655" s="14" t="s">
        <v>6035</v>
      </c>
      <c r="J2655" s="14">
        <v>14.29</v>
      </c>
      <c r="K2655" s="14">
        <v>23.03</v>
      </c>
      <c r="L2655" s="14">
        <v>0.0</v>
      </c>
    </row>
    <row r="2656">
      <c r="A2656" s="14">
        <v>212.0</v>
      </c>
      <c r="B2656" s="14">
        <v>3.0</v>
      </c>
      <c r="C2656" s="34">
        <v>13.52</v>
      </c>
      <c r="D2656" s="36">
        <v>45015.0</v>
      </c>
      <c r="E2656" s="24"/>
      <c r="F2656" s="14">
        <v>4.51</v>
      </c>
      <c r="G2656" s="14">
        <v>63.77</v>
      </c>
      <c r="H2656" s="14">
        <v>1.42</v>
      </c>
      <c r="I2656" s="14" t="s">
        <v>6051</v>
      </c>
      <c r="J2656" s="14">
        <v>33.33</v>
      </c>
      <c r="K2656" s="14">
        <v>13.52</v>
      </c>
      <c r="L2656" s="14">
        <v>0.0</v>
      </c>
    </row>
    <row r="2657">
      <c r="A2657" s="14">
        <v>460.0</v>
      </c>
      <c r="B2657" s="14">
        <v>4.0</v>
      </c>
      <c r="C2657" s="34">
        <v>11.43</v>
      </c>
      <c r="D2657" s="36">
        <v>45016.0</v>
      </c>
      <c r="E2657" s="24"/>
      <c r="F2657" s="14">
        <v>2.86</v>
      </c>
      <c r="G2657" s="14">
        <v>24.85</v>
      </c>
      <c r="H2657" s="14">
        <v>0.87</v>
      </c>
      <c r="I2657" s="14" t="s">
        <v>6039</v>
      </c>
      <c r="J2657" s="14">
        <v>25.0</v>
      </c>
      <c r="K2657" s="14">
        <v>11.43</v>
      </c>
      <c r="L2657" s="14">
        <v>0.0</v>
      </c>
    </row>
    <row r="2658">
      <c r="A2658" s="14">
        <v>19.0</v>
      </c>
      <c r="B2658" s="14">
        <v>0.0</v>
      </c>
      <c r="C2658" s="34">
        <v>3.94</v>
      </c>
      <c r="D2658" s="36">
        <v>45016.0</v>
      </c>
      <c r="E2658" s="24"/>
      <c r="F2658" s="14" t="s">
        <v>6012</v>
      </c>
      <c r="G2658" s="14">
        <v>207.37</v>
      </c>
      <c r="H2658" s="14">
        <v>0.0</v>
      </c>
      <c r="I2658" s="14" t="s">
        <v>6056</v>
      </c>
      <c r="J2658" s="14" t="s">
        <v>6012</v>
      </c>
      <c r="K2658" s="14" t="s">
        <v>6012</v>
      </c>
      <c r="L2658" s="14">
        <v>0.0</v>
      </c>
    </row>
    <row r="2659">
      <c r="A2659" s="14">
        <v>1308.0</v>
      </c>
      <c r="B2659" s="14">
        <v>7.0</v>
      </c>
      <c r="C2659" s="34">
        <v>11.51</v>
      </c>
      <c r="D2659" s="36">
        <v>45016.0</v>
      </c>
      <c r="E2659" s="24"/>
      <c r="F2659" s="14">
        <v>1.64</v>
      </c>
      <c r="G2659" s="14">
        <v>8.8</v>
      </c>
      <c r="H2659" s="14">
        <v>0.54</v>
      </c>
      <c r="I2659" s="14" t="s">
        <v>6037</v>
      </c>
      <c r="J2659" s="14">
        <v>0.0</v>
      </c>
      <c r="K2659" s="14" t="s">
        <v>6012</v>
      </c>
      <c r="L2659" s="14">
        <v>0.0</v>
      </c>
    </row>
    <row r="2660">
      <c r="A2660" s="14">
        <v>377.0</v>
      </c>
      <c r="B2660" s="14">
        <v>3.0</v>
      </c>
      <c r="C2660" s="34">
        <v>12.01</v>
      </c>
      <c r="D2660" s="36">
        <v>45016.0</v>
      </c>
      <c r="E2660" s="24"/>
      <c r="F2660" s="14">
        <v>4.0</v>
      </c>
      <c r="G2660" s="14">
        <v>31.86</v>
      </c>
      <c r="H2660" s="14">
        <v>0.8</v>
      </c>
      <c r="I2660" s="14" t="s">
        <v>6042</v>
      </c>
      <c r="J2660" s="14">
        <v>100.0</v>
      </c>
      <c r="K2660" s="14">
        <v>4.0</v>
      </c>
      <c r="L2660" s="14">
        <v>0.0</v>
      </c>
    </row>
    <row r="2661">
      <c r="A2661" s="14">
        <v>252.0</v>
      </c>
      <c r="B2661" s="14">
        <v>2.0</v>
      </c>
      <c r="C2661" s="34">
        <v>10.93</v>
      </c>
      <c r="D2661" s="36">
        <v>45016.0</v>
      </c>
      <c r="E2661" s="24"/>
      <c r="F2661" s="14">
        <v>5.46</v>
      </c>
      <c r="G2661" s="14">
        <v>43.37</v>
      </c>
      <c r="H2661" s="14">
        <v>0.79</v>
      </c>
      <c r="I2661" s="14" t="s">
        <v>6057</v>
      </c>
      <c r="J2661" s="14">
        <v>0.0</v>
      </c>
      <c r="K2661" s="14" t="s">
        <v>6012</v>
      </c>
      <c r="L2661" s="14">
        <v>1.0</v>
      </c>
    </row>
    <row r="2662">
      <c r="A2662" s="14">
        <v>250.0</v>
      </c>
      <c r="B2662" s="14">
        <v>0.0</v>
      </c>
      <c r="C2662" s="34">
        <v>18.38</v>
      </c>
      <c r="D2662" s="36">
        <v>45016.0</v>
      </c>
      <c r="E2662" s="24"/>
      <c r="F2662" s="14" t="s">
        <v>6012</v>
      </c>
      <c r="G2662" s="14">
        <v>73.52</v>
      </c>
      <c r="H2662" s="14">
        <v>0.0</v>
      </c>
      <c r="I2662" s="14" t="s">
        <v>6038</v>
      </c>
      <c r="J2662" s="14" t="s">
        <v>6012</v>
      </c>
      <c r="K2662" s="14" t="s">
        <v>6012</v>
      </c>
      <c r="L2662" s="14">
        <v>0.0</v>
      </c>
    </row>
    <row r="2663">
      <c r="A2663" s="14">
        <v>747.0</v>
      </c>
      <c r="B2663" s="14">
        <v>4.0</v>
      </c>
      <c r="C2663" s="34">
        <v>20.6</v>
      </c>
      <c r="D2663" s="36">
        <v>45016.0</v>
      </c>
      <c r="E2663" s="24"/>
      <c r="F2663" s="14">
        <v>5.15</v>
      </c>
      <c r="G2663" s="14">
        <v>27.58</v>
      </c>
      <c r="H2663" s="14">
        <v>0.54</v>
      </c>
      <c r="I2663" s="14" t="s">
        <v>6035</v>
      </c>
      <c r="J2663" s="14">
        <v>0.0</v>
      </c>
      <c r="K2663" s="14" t="s">
        <v>6012</v>
      </c>
      <c r="L2663" s="14">
        <v>0.0</v>
      </c>
    </row>
    <row r="2664">
      <c r="A2664" s="14">
        <v>522.0</v>
      </c>
      <c r="B2664" s="14">
        <v>2.0</v>
      </c>
      <c r="C2664" s="34">
        <v>10.66</v>
      </c>
      <c r="D2664" s="36">
        <v>45016.0</v>
      </c>
      <c r="E2664" s="24"/>
      <c r="F2664" s="14">
        <v>5.33</v>
      </c>
      <c r="G2664" s="14">
        <v>20.42</v>
      </c>
      <c r="H2664" s="14">
        <v>0.38</v>
      </c>
      <c r="I2664" s="14" t="s">
        <v>6054</v>
      </c>
      <c r="J2664" s="14">
        <v>0.0</v>
      </c>
      <c r="K2664" s="14" t="s">
        <v>6012</v>
      </c>
      <c r="L2664" s="14">
        <v>0.0</v>
      </c>
    </row>
    <row r="2665">
      <c r="A2665" s="14">
        <v>64.0</v>
      </c>
      <c r="B2665" s="14">
        <v>4.0</v>
      </c>
      <c r="C2665" s="34">
        <v>2.89</v>
      </c>
      <c r="D2665" s="36">
        <v>45016.0</v>
      </c>
      <c r="E2665" s="24"/>
      <c r="F2665" s="14">
        <v>0.72</v>
      </c>
      <c r="G2665" s="14">
        <v>45.16</v>
      </c>
      <c r="H2665" s="14">
        <v>6.25</v>
      </c>
      <c r="I2665" s="14" t="s">
        <v>6055</v>
      </c>
      <c r="J2665" s="14">
        <v>75.0</v>
      </c>
      <c r="K2665" s="14">
        <v>0.96</v>
      </c>
      <c r="L2665" s="14">
        <v>0.0</v>
      </c>
    </row>
    <row r="2666">
      <c r="A2666" s="14">
        <v>66.0</v>
      </c>
      <c r="B2666" s="14">
        <v>0.0</v>
      </c>
      <c r="C2666" s="34">
        <v>6.12</v>
      </c>
      <c r="D2666" s="36">
        <v>45016.0</v>
      </c>
      <c r="E2666" s="24"/>
      <c r="F2666" s="14" t="s">
        <v>6012</v>
      </c>
      <c r="G2666" s="14">
        <v>92.73</v>
      </c>
      <c r="H2666" s="14">
        <v>0.0</v>
      </c>
      <c r="I2666" s="14" t="s">
        <v>6050</v>
      </c>
      <c r="J2666" s="14" t="s">
        <v>6012</v>
      </c>
      <c r="K2666" s="14">
        <v>6.12</v>
      </c>
      <c r="L2666" s="14">
        <v>0.0</v>
      </c>
    </row>
    <row r="2667">
      <c r="A2667" s="14">
        <v>525.0</v>
      </c>
      <c r="B2667" s="14">
        <v>8.0</v>
      </c>
      <c r="C2667" s="34">
        <v>12.29</v>
      </c>
      <c r="D2667" s="36">
        <v>45016.0</v>
      </c>
      <c r="E2667" s="24"/>
      <c r="F2667" s="14">
        <v>1.54</v>
      </c>
      <c r="G2667" s="14">
        <v>23.41</v>
      </c>
      <c r="H2667" s="14">
        <v>1.52</v>
      </c>
      <c r="I2667" s="14" t="s">
        <v>6051</v>
      </c>
      <c r="J2667" s="14">
        <v>25.0</v>
      </c>
      <c r="K2667" s="14">
        <v>6.14</v>
      </c>
      <c r="L2667" s="14">
        <v>0.0</v>
      </c>
    </row>
    <row r="2668">
      <c r="A2668" s="14">
        <v>0.0</v>
      </c>
      <c r="B2668" s="14">
        <v>0.0</v>
      </c>
      <c r="C2668" s="34"/>
      <c r="D2668" s="36">
        <v>45017.0</v>
      </c>
      <c r="E2668" s="24"/>
      <c r="F2668" s="14" t="s">
        <v>6012</v>
      </c>
      <c r="G2668" s="14" t="s">
        <v>6012</v>
      </c>
      <c r="H2668" s="14" t="s">
        <v>6012</v>
      </c>
      <c r="I2668" s="14" t="s">
        <v>6055</v>
      </c>
      <c r="J2668" s="14" t="s">
        <v>6012</v>
      </c>
      <c r="K2668" s="14" t="s">
        <v>6012</v>
      </c>
      <c r="L2668" s="14"/>
    </row>
    <row r="2669">
      <c r="A2669" s="14">
        <v>245.0</v>
      </c>
      <c r="B2669" s="14">
        <v>3.0</v>
      </c>
      <c r="C2669" s="34">
        <v>6.41</v>
      </c>
      <c r="D2669" s="36">
        <v>45017.0</v>
      </c>
      <c r="E2669" s="24"/>
      <c r="F2669" s="14">
        <v>2.14</v>
      </c>
      <c r="G2669" s="14">
        <v>26.16</v>
      </c>
      <c r="H2669" s="14">
        <v>1.22</v>
      </c>
      <c r="I2669" s="14" t="s">
        <v>6042</v>
      </c>
      <c r="J2669" s="14">
        <v>33.33</v>
      </c>
      <c r="K2669" s="14">
        <v>6.41</v>
      </c>
      <c r="L2669" s="14">
        <v>0.0</v>
      </c>
    </row>
    <row r="2670">
      <c r="A2670" s="14">
        <v>874.0</v>
      </c>
      <c r="B2670" s="14">
        <v>12.0</v>
      </c>
      <c r="C2670" s="34">
        <v>6.36</v>
      </c>
      <c r="D2670" s="36">
        <v>45017.0</v>
      </c>
      <c r="E2670" s="24"/>
      <c r="F2670" s="14">
        <v>0.53</v>
      </c>
      <c r="G2670" s="14">
        <v>7.28</v>
      </c>
      <c r="H2670" s="14">
        <v>1.37</v>
      </c>
      <c r="I2670" s="14" t="s">
        <v>6037</v>
      </c>
      <c r="J2670" s="14">
        <v>0.0</v>
      </c>
      <c r="K2670" s="14" t="s">
        <v>6012</v>
      </c>
      <c r="L2670" s="14">
        <v>0.0</v>
      </c>
    </row>
    <row r="2671">
      <c r="A2671" s="14">
        <v>254.0</v>
      </c>
      <c r="B2671" s="14">
        <v>3.0</v>
      </c>
      <c r="C2671" s="34">
        <v>10.56</v>
      </c>
      <c r="D2671" s="36">
        <v>45017.0</v>
      </c>
      <c r="E2671" s="24"/>
      <c r="F2671" s="14">
        <v>3.52</v>
      </c>
      <c r="G2671" s="14">
        <v>41.57</v>
      </c>
      <c r="H2671" s="14">
        <v>1.18</v>
      </c>
      <c r="I2671" s="14" t="s">
        <v>6051</v>
      </c>
      <c r="J2671" s="14">
        <v>33.33</v>
      </c>
      <c r="K2671" s="14">
        <v>10.56</v>
      </c>
      <c r="L2671" s="14">
        <v>0.0</v>
      </c>
    </row>
    <row r="2672">
      <c r="A2672" s="14">
        <v>457.0</v>
      </c>
      <c r="B2672" s="14">
        <v>5.0</v>
      </c>
      <c r="C2672" s="34">
        <v>7.77</v>
      </c>
      <c r="D2672" s="36">
        <v>45017.0</v>
      </c>
      <c r="E2672" s="24"/>
      <c r="F2672" s="14">
        <v>1.55</v>
      </c>
      <c r="G2672" s="14">
        <v>17.0</v>
      </c>
      <c r="H2672" s="14">
        <v>1.09</v>
      </c>
      <c r="I2672" s="14" t="s">
        <v>6054</v>
      </c>
      <c r="J2672" s="14">
        <v>0.0</v>
      </c>
      <c r="K2672" s="14" t="s">
        <v>6012</v>
      </c>
      <c r="L2672" s="14">
        <v>0.0</v>
      </c>
    </row>
    <row r="2673">
      <c r="A2673" s="14">
        <v>106.0</v>
      </c>
      <c r="B2673" s="14">
        <v>0.0</v>
      </c>
      <c r="C2673" s="34">
        <v>7.71</v>
      </c>
      <c r="D2673" s="36">
        <v>45017.0</v>
      </c>
      <c r="E2673" s="24"/>
      <c r="F2673" s="14" t="s">
        <v>6012</v>
      </c>
      <c r="G2673" s="14">
        <v>72.74</v>
      </c>
      <c r="H2673" s="14">
        <v>0.0</v>
      </c>
      <c r="I2673" s="14" t="s">
        <v>6057</v>
      </c>
      <c r="J2673" s="14" t="s">
        <v>6012</v>
      </c>
      <c r="K2673" s="14" t="s">
        <v>6012</v>
      </c>
      <c r="L2673" s="14">
        <v>0.0</v>
      </c>
    </row>
    <row r="2674">
      <c r="A2674" s="14">
        <v>366.0</v>
      </c>
      <c r="B2674" s="14">
        <v>0.0</v>
      </c>
      <c r="C2674" s="34">
        <v>11.59</v>
      </c>
      <c r="D2674" s="36">
        <v>45017.0</v>
      </c>
      <c r="E2674" s="24"/>
      <c r="F2674" s="14" t="s">
        <v>6012</v>
      </c>
      <c r="G2674" s="14">
        <v>31.67</v>
      </c>
      <c r="H2674" s="14">
        <v>0.0</v>
      </c>
      <c r="I2674" s="14" t="s">
        <v>6035</v>
      </c>
      <c r="J2674" s="14" t="s">
        <v>6012</v>
      </c>
      <c r="K2674" s="14" t="s">
        <v>6012</v>
      </c>
      <c r="L2674" s="14">
        <v>0.0</v>
      </c>
    </row>
    <row r="2675">
      <c r="A2675" s="14">
        <v>118.0</v>
      </c>
      <c r="B2675" s="14">
        <v>0.0</v>
      </c>
      <c r="C2675" s="34">
        <v>11.28</v>
      </c>
      <c r="D2675" s="36">
        <v>45017.0</v>
      </c>
      <c r="E2675" s="24"/>
      <c r="F2675" s="14" t="s">
        <v>6012</v>
      </c>
      <c r="G2675" s="14">
        <v>95.59</v>
      </c>
      <c r="H2675" s="14">
        <v>0.0</v>
      </c>
      <c r="I2675" s="14" t="s">
        <v>6038</v>
      </c>
      <c r="J2675" s="14" t="s">
        <v>6012</v>
      </c>
      <c r="K2675" s="14" t="s">
        <v>6012</v>
      </c>
      <c r="L2675" s="14">
        <v>0.0</v>
      </c>
    </row>
    <row r="2676">
      <c r="A2676" s="14">
        <v>136.0</v>
      </c>
      <c r="B2676" s="14">
        <v>2.0</v>
      </c>
      <c r="C2676" s="34">
        <v>5.81</v>
      </c>
      <c r="D2676" s="36">
        <v>45017.0</v>
      </c>
      <c r="E2676" s="24"/>
      <c r="F2676" s="14">
        <v>2.9</v>
      </c>
      <c r="G2676" s="14">
        <v>42.72</v>
      </c>
      <c r="H2676" s="14">
        <v>1.47</v>
      </c>
      <c r="I2676" s="14" t="s">
        <v>6039</v>
      </c>
      <c r="J2676" s="14">
        <v>0.0</v>
      </c>
      <c r="K2676" s="14" t="s">
        <v>6012</v>
      </c>
      <c r="L2676" s="14">
        <v>0.0</v>
      </c>
    </row>
    <row r="2677">
      <c r="A2677" s="14">
        <v>57.0</v>
      </c>
      <c r="B2677" s="14">
        <v>1.0</v>
      </c>
      <c r="C2677" s="34">
        <v>14.08</v>
      </c>
      <c r="D2677" s="36">
        <v>45017.0</v>
      </c>
      <c r="E2677" s="24"/>
      <c r="F2677" s="14">
        <v>14.08</v>
      </c>
      <c r="G2677" s="14">
        <v>247.02</v>
      </c>
      <c r="H2677" s="14">
        <v>1.75</v>
      </c>
      <c r="I2677" s="14" t="s">
        <v>6050</v>
      </c>
      <c r="J2677" s="14">
        <v>100.0</v>
      </c>
      <c r="K2677" s="14">
        <v>14.08</v>
      </c>
      <c r="L2677" s="14">
        <v>0.0</v>
      </c>
    </row>
    <row r="2678">
      <c r="A2678" s="14">
        <v>184.0</v>
      </c>
      <c r="B2678" s="14">
        <v>2.0</v>
      </c>
      <c r="C2678" s="34">
        <v>9.68</v>
      </c>
      <c r="D2678" s="36">
        <v>45018.0</v>
      </c>
      <c r="E2678" s="24"/>
      <c r="F2678" s="14">
        <v>4.84</v>
      </c>
      <c r="G2678" s="14">
        <v>52.61</v>
      </c>
      <c r="H2678" s="14">
        <v>1.09</v>
      </c>
      <c r="I2678" s="14" t="s">
        <v>6035</v>
      </c>
      <c r="J2678" s="14">
        <v>0.0</v>
      </c>
      <c r="K2678" s="14" t="s">
        <v>6012</v>
      </c>
      <c r="L2678" s="14">
        <v>0.0</v>
      </c>
    </row>
    <row r="2679">
      <c r="A2679" s="14">
        <v>109.0</v>
      </c>
      <c r="B2679" s="14">
        <v>0.0</v>
      </c>
      <c r="C2679" s="34">
        <v>7.48</v>
      </c>
      <c r="D2679" s="36">
        <v>45018.0</v>
      </c>
      <c r="E2679" s="24"/>
      <c r="F2679" s="14" t="s">
        <v>6012</v>
      </c>
      <c r="G2679" s="14">
        <v>68.62</v>
      </c>
      <c r="H2679" s="14">
        <v>0.0</v>
      </c>
      <c r="I2679" s="14" t="s">
        <v>6057</v>
      </c>
      <c r="J2679" s="14" t="s">
        <v>6012</v>
      </c>
      <c r="K2679" s="14" t="s">
        <v>6012</v>
      </c>
      <c r="L2679" s="14">
        <v>0.0</v>
      </c>
    </row>
    <row r="2680">
      <c r="A2680" s="14">
        <v>216.0</v>
      </c>
      <c r="B2680" s="14">
        <v>0.0</v>
      </c>
      <c r="C2680" s="34">
        <v>3.74</v>
      </c>
      <c r="D2680" s="36">
        <v>45018.0</v>
      </c>
      <c r="E2680" s="24"/>
      <c r="F2680" s="14" t="s">
        <v>6012</v>
      </c>
      <c r="G2680" s="14">
        <v>17.31</v>
      </c>
      <c r="H2680" s="14">
        <v>0.0</v>
      </c>
      <c r="I2680" s="14" t="s">
        <v>6042</v>
      </c>
      <c r="J2680" s="14" t="s">
        <v>6012</v>
      </c>
      <c r="K2680" s="14" t="s">
        <v>6012</v>
      </c>
      <c r="L2680" s="14">
        <v>0.0</v>
      </c>
    </row>
    <row r="2681">
      <c r="A2681" s="14">
        <v>275.0</v>
      </c>
      <c r="B2681" s="14">
        <v>0.0</v>
      </c>
      <c r="C2681" s="34">
        <v>6.56</v>
      </c>
      <c r="D2681" s="36">
        <v>45018.0</v>
      </c>
      <c r="E2681" s="24"/>
      <c r="F2681" s="14" t="s">
        <v>6012</v>
      </c>
      <c r="G2681" s="14">
        <v>23.85</v>
      </c>
      <c r="H2681" s="14">
        <v>0.0</v>
      </c>
      <c r="I2681" s="14" t="s">
        <v>6054</v>
      </c>
      <c r="J2681" s="14" t="s">
        <v>6012</v>
      </c>
      <c r="K2681" s="14" t="s">
        <v>6012</v>
      </c>
      <c r="L2681" s="14">
        <v>0.0</v>
      </c>
    </row>
    <row r="2682">
      <c r="A2682" s="14">
        <v>117.0</v>
      </c>
      <c r="B2682" s="14">
        <v>0.0</v>
      </c>
      <c r="C2682" s="34">
        <v>5.15</v>
      </c>
      <c r="D2682" s="36">
        <v>45018.0</v>
      </c>
      <c r="E2682" s="24"/>
      <c r="F2682" s="14" t="s">
        <v>6012</v>
      </c>
      <c r="G2682" s="14">
        <v>44.02</v>
      </c>
      <c r="H2682" s="14">
        <v>0.0</v>
      </c>
      <c r="I2682" s="14" t="s">
        <v>6039</v>
      </c>
      <c r="J2682" s="14" t="s">
        <v>6012</v>
      </c>
      <c r="K2682" s="14" t="s">
        <v>6012</v>
      </c>
      <c r="L2682" s="14">
        <v>0.0</v>
      </c>
    </row>
    <row r="2683">
      <c r="A2683" s="14">
        <v>62.0</v>
      </c>
      <c r="B2683" s="14">
        <v>0.0</v>
      </c>
      <c r="C2683" s="34">
        <v>6.92</v>
      </c>
      <c r="D2683" s="36">
        <v>45018.0</v>
      </c>
      <c r="E2683" s="24"/>
      <c r="F2683" s="14" t="s">
        <v>6012</v>
      </c>
      <c r="G2683" s="14">
        <v>111.61</v>
      </c>
      <c r="H2683" s="14">
        <v>0.0</v>
      </c>
      <c r="I2683" s="14" t="s">
        <v>6038</v>
      </c>
      <c r="J2683" s="14" t="s">
        <v>6012</v>
      </c>
      <c r="K2683" s="14" t="s">
        <v>6012</v>
      </c>
      <c r="L2683" s="14">
        <v>0.0</v>
      </c>
    </row>
    <row r="2684">
      <c r="A2684" s="14">
        <v>877.0</v>
      </c>
      <c r="B2684" s="14">
        <v>12.0</v>
      </c>
      <c r="C2684" s="34">
        <v>6.42</v>
      </c>
      <c r="D2684" s="36">
        <v>45018.0</v>
      </c>
      <c r="E2684" s="24"/>
      <c r="F2684" s="14">
        <v>0.54</v>
      </c>
      <c r="G2684" s="14">
        <v>7.32</v>
      </c>
      <c r="H2684" s="14">
        <v>1.37</v>
      </c>
      <c r="I2684" s="14" t="s">
        <v>6037</v>
      </c>
      <c r="J2684" s="14">
        <v>8.33</v>
      </c>
      <c r="K2684" s="14">
        <v>6.42</v>
      </c>
      <c r="L2684" s="14">
        <v>0.0</v>
      </c>
    </row>
    <row r="2685">
      <c r="A2685" s="14">
        <v>51.0</v>
      </c>
      <c r="B2685" s="14">
        <v>2.0</v>
      </c>
      <c r="C2685" s="34">
        <v>0.73</v>
      </c>
      <c r="D2685" s="36">
        <v>45018.0</v>
      </c>
      <c r="E2685" s="24"/>
      <c r="F2685" s="14">
        <v>0.36</v>
      </c>
      <c r="G2685" s="14">
        <v>14.31</v>
      </c>
      <c r="H2685" s="14">
        <v>3.92</v>
      </c>
      <c r="I2685" s="14" t="s">
        <v>6050</v>
      </c>
      <c r="J2685" s="14">
        <v>50.0</v>
      </c>
      <c r="K2685" s="14">
        <v>0.73</v>
      </c>
      <c r="L2685" s="14">
        <v>0.0</v>
      </c>
    </row>
    <row r="2686">
      <c r="A2686" s="14">
        <v>30.0</v>
      </c>
      <c r="B2686" s="14">
        <v>0.0</v>
      </c>
      <c r="C2686" s="34">
        <v>1.22</v>
      </c>
      <c r="D2686" s="36">
        <v>45018.0</v>
      </c>
      <c r="E2686" s="24"/>
      <c r="F2686" s="14" t="s">
        <v>6012</v>
      </c>
      <c r="G2686" s="14">
        <v>40.67</v>
      </c>
      <c r="H2686" s="14">
        <v>0.0</v>
      </c>
      <c r="I2686" s="14" t="s">
        <v>6051</v>
      </c>
      <c r="J2686" s="14" t="s">
        <v>6012</v>
      </c>
      <c r="K2686" s="14" t="s">
        <v>6012</v>
      </c>
      <c r="L2686" s="14">
        <v>0.0</v>
      </c>
    </row>
    <row r="2687">
      <c r="A2687" s="14">
        <v>705.0</v>
      </c>
      <c r="B2687" s="14">
        <v>3.0</v>
      </c>
      <c r="C2687" s="34">
        <v>11.0</v>
      </c>
      <c r="D2687" s="36">
        <v>45019.0</v>
      </c>
      <c r="E2687" s="24"/>
      <c r="F2687" s="14">
        <v>3.67</v>
      </c>
      <c r="G2687" s="14">
        <v>15.6</v>
      </c>
      <c r="H2687" s="14">
        <v>0.43</v>
      </c>
      <c r="I2687" s="14" t="s">
        <v>6054</v>
      </c>
      <c r="J2687" s="14">
        <v>0.0</v>
      </c>
      <c r="K2687" s="14" t="s">
        <v>6012</v>
      </c>
      <c r="L2687" s="14">
        <v>0.0</v>
      </c>
    </row>
    <row r="2688">
      <c r="A2688" s="14">
        <v>182.0</v>
      </c>
      <c r="B2688" s="14">
        <v>2.0</v>
      </c>
      <c r="C2688" s="34">
        <v>7.61</v>
      </c>
      <c r="D2688" s="36">
        <v>45019.0</v>
      </c>
      <c r="E2688" s="24"/>
      <c r="F2688" s="14">
        <v>3.8</v>
      </c>
      <c r="G2688" s="14">
        <v>41.81</v>
      </c>
      <c r="H2688" s="14">
        <v>1.1</v>
      </c>
      <c r="I2688" s="14" t="s">
        <v>6058</v>
      </c>
      <c r="J2688" s="14">
        <v>0.0</v>
      </c>
      <c r="K2688" s="14" t="s">
        <v>6012</v>
      </c>
      <c r="L2688" s="14">
        <v>0.0</v>
      </c>
    </row>
    <row r="2689">
      <c r="A2689" s="14">
        <v>177.0</v>
      </c>
      <c r="B2689" s="14">
        <v>0.0</v>
      </c>
      <c r="C2689" s="34">
        <v>10.21</v>
      </c>
      <c r="D2689" s="36">
        <v>45019.0</v>
      </c>
      <c r="E2689" s="24"/>
      <c r="F2689" s="14" t="s">
        <v>6012</v>
      </c>
      <c r="G2689" s="14">
        <v>57.68</v>
      </c>
      <c r="H2689" s="14">
        <v>0.0</v>
      </c>
      <c r="I2689" s="14" t="s">
        <v>6059</v>
      </c>
      <c r="J2689" s="14" t="s">
        <v>6012</v>
      </c>
      <c r="K2689" s="14" t="s">
        <v>6012</v>
      </c>
      <c r="L2689" s="14">
        <v>0.0</v>
      </c>
    </row>
    <row r="2690">
      <c r="A2690" s="14">
        <v>49.0</v>
      </c>
      <c r="B2690" s="14">
        <v>2.0</v>
      </c>
      <c r="C2690" s="34">
        <v>0.7</v>
      </c>
      <c r="D2690" s="36">
        <v>45019.0</v>
      </c>
      <c r="E2690" s="24"/>
      <c r="F2690" s="14">
        <v>0.35</v>
      </c>
      <c r="G2690" s="14">
        <v>14.29</v>
      </c>
      <c r="H2690" s="14">
        <v>4.08</v>
      </c>
      <c r="I2690" s="14" t="s">
        <v>6050</v>
      </c>
      <c r="J2690" s="14">
        <v>0.0</v>
      </c>
      <c r="K2690" s="14" t="s">
        <v>6012</v>
      </c>
      <c r="L2690" s="14">
        <v>0.0</v>
      </c>
    </row>
    <row r="2691">
      <c r="A2691" s="14">
        <v>113.0</v>
      </c>
      <c r="B2691" s="14">
        <v>1.0</v>
      </c>
      <c r="C2691" s="34">
        <v>10.12</v>
      </c>
      <c r="D2691" s="36">
        <v>45019.0</v>
      </c>
      <c r="E2691" s="24"/>
      <c r="F2691" s="14">
        <v>10.12</v>
      </c>
      <c r="G2691" s="14">
        <v>89.56</v>
      </c>
      <c r="H2691" s="14">
        <v>0.88</v>
      </c>
      <c r="I2691" s="14" t="s">
        <v>6038</v>
      </c>
      <c r="J2691" s="14">
        <v>0.0</v>
      </c>
      <c r="K2691" s="14" t="s">
        <v>6012</v>
      </c>
      <c r="L2691" s="14">
        <v>0.0</v>
      </c>
    </row>
    <row r="2692">
      <c r="A2692" s="14">
        <v>55.0</v>
      </c>
      <c r="B2692" s="14">
        <v>1.0</v>
      </c>
      <c r="C2692" s="34">
        <v>2.17</v>
      </c>
      <c r="D2692" s="36">
        <v>45019.0</v>
      </c>
      <c r="E2692" s="24"/>
      <c r="F2692" s="14">
        <v>2.17</v>
      </c>
      <c r="G2692" s="14">
        <v>39.45</v>
      </c>
      <c r="H2692" s="14">
        <v>1.82</v>
      </c>
      <c r="I2692" s="14" t="s">
        <v>6055</v>
      </c>
      <c r="J2692" s="14">
        <v>200.0</v>
      </c>
      <c r="K2692" s="14">
        <v>1.08</v>
      </c>
      <c r="L2692" s="14">
        <v>0.0</v>
      </c>
    </row>
    <row r="2693">
      <c r="A2693" s="14">
        <v>217.0</v>
      </c>
      <c r="B2693" s="14">
        <v>1.0</v>
      </c>
      <c r="C2693" s="34">
        <v>10.72</v>
      </c>
      <c r="D2693" s="36">
        <v>45019.0</v>
      </c>
      <c r="E2693" s="24"/>
      <c r="F2693" s="14">
        <v>10.72</v>
      </c>
      <c r="G2693" s="14">
        <v>49.4</v>
      </c>
      <c r="H2693" s="14">
        <v>0.46</v>
      </c>
      <c r="I2693" s="14" t="s">
        <v>6057</v>
      </c>
      <c r="J2693" s="14">
        <v>0.0</v>
      </c>
      <c r="K2693" s="14" t="s">
        <v>6012</v>
      </c>
      <c r="L2693" s="14">
        <v>0.0</v>
      </c>
    </row>
    <row r="2694">
      <c r="A2694" s="14">
        <v>572.0</v>
      </c>
      <c r="B2694" s="14">
        <v>2.0</v>
      </c>
      <c r="C2694" s="34">
        <v>13.33</v>
      </c>
      <c r="D2694" s="36">
        <v>45019.0</v>
      </c>
      <c r="E2694" s="24"/>
      <c r="F2694" s="14">
        <v>6.66</v>
      </c>
      <c r="G2694" s="14">
        <v>23.3</v>
      </c>
      <c r="H2694" s="14">
        <v>0.35</v>
      </c>
      <c r="I2694" s="14" t="s">
        <v>6042</v>
      </c>
      <c r="J2694" s="14">
        <v>100.0</v>
      </c>
      <c r="K2694" s="14">
        <v>6.66</v>
      </c>
      <c r="L2694" s="14">
        <v>0.0</v>
      </c>
    </row>
    <row r="2695">
      <c r="A2695" s="14">
        <v>260.0</v>
      </c>
      <c r="B2695" s="14">
        <v>2.0</v>
      </c>
      <c r="C2695" s="34">
        <v>9.43</v>
      </c>
      <c r="D2695" s="36">
        <v>45019.0</v>
      </c>
      <c r="E2695" s="24"/>
      <c r="F2695" s="14">
        <v>4.72</v>
      </c>
      <c r="G2695" s="14">
        <v>36.27</v>
      </c>
      <c r="H2695" s="14">
        <v>0.77</v>
      </c>
      <c r="I2695" s="14" t="s">
        <v>6035</v>
      </c>
      <c r="J2695" s="14">
        <v>0.0</v>
      </c>
      <c r="K2695" s="14" t="s">
        <v>6012</v>
      </c>
      <c r="L2695" s="14">
        <v>0.0</v>
      </c>
    </row>
    <row r="2696">
      <c r="A2696" s="14">
        <v>290.0</v>
      </c>
      <c r="B2696" s="14">
        <v>2.0</v>
      </c>
      <c r="C2696" s="34">
        <v>8.07</v>
      </c>
      <c r="D2696" s="36">
        <v>45019.0</v>
      </c>
      <c r="E2696" s="24"/>
      <c r="F2696" s="14">
        <v>4.04</v>
      </c>
      <c r="G2696" s="14">
        <v>27.83</v>
      </c>
      <c r="H2696" s="14">
        <v>0.69</v>
      </c>
      <c r="I2696" s="14" t="s">
        <v>6039</v>
      </c>
      <c r="J2696" s="14">
        <v>50.0</v>
      </c>
      <c r="K2696" s="14">
        <v>8.07</v>
      </c>
      <c r="L2696" s="14">
        <v>0.0</v>
      </c>
    </row>
    <row r="2697">
      <c r="A2697" s="14">
        <v>1271.0</v>
      </c>
      <c r="B2697" s="14">
        <v>12.0</v>
      </c>
      <c r="C2697" s="34">
        <v>9.62</v>
      </c>
      <c r="D2697" s="36">
        <v>45019.0</v>
      </c>
      <c r="E2697" s="24"/>
      <c r="F2697" s="14">
        <v>0.8</v>
      </c>
      <c r="G2697" s="14">
        <v>7.57</v>
      </c>
      <c r="H2697" s="14">
        <v>0.94</v>
      </c>
      <c r="I2697" s="14" t="s">
        <v>6051</v>
      </c>
      <c r="J2697" s="14">
        <v>25.0</v>
      </c>
      <c r="K2697" s="14">
        <v>3.21</v>
      </c>
      <c r="L2697" s="14">
        <v>0.0</v>
      </c>
    </row>
    <row r="2698">
      <c r="A2698" s="14">
        <v>954.0</v>
      </c>
      <c r="B2698" s="14">
        <v>6.0</v>
      </c>
      <c r="C2698" s="34">
        <v>7.74</v>
      </c>
      <c r="D2698" s="36">
        <v>45019.0</v>
      </c>
      <c r="E2698" s="24"/>
      <c r="F2698" s="14">
        <v>1.29</v>
      </c>
      <c r="G2698" s="14">
        <v>8.11</v>
      </c>
      <c r="H2698" s="14">
        <v>0.63</v>
      </c>
      <c r="I2698" s="14" t="s">
        <v>6037</v>
      </c>
      <c r="J2698" s="14">
        <v>0.0</v>
      </c>
      <c r="K2698" s="14" t="s">
        <v>6012</v>
      </c>
      <c r="L2698" s="14">
        <v>0.0</v>
      </c>
    </row>
    <row r="2699">
      <c r="A2699" s="14">
        <v>73.0</v>
      </c>
      <c r="B2699" s="14">
        <v>3.0</v>
      </c>
      <c r="C2699" s="34">
        <v>3.06</v>
      </c>
      <c r="D2699" s="36">
        <v>45020.0</v>
      </c>
      <c r="E2699" s="24"/>
      <c r="F2699" s="14">
        <v>1.02</v>
      </c>
      <c r="G2699" s="14">
        <v>41.92</v>
      </c>
      <c r="H2699" s="14">
        <v>4.11</v>
      </c>
      <c r="I2699" s="14" t="s">
        <v>6055</v>
      </c>
      <c r="J2699" s="14">
        <v>33.33</v>
      </c>
      <c r="K2699" s="14">
        <v>3.06</v>
      </c>
      <c r="L2699" s="14">
        <v>0.0</v>
      </c>
    </row>
    <row r="2700">
      <c r="A2700" s="14">
        <v>0.0</v>
      </c>
      <c r="B2700" s="14">
        <v>0.0</v>
      </c>
      <c r="C2700" s="34"/>
      <c r="D2700" s="36">
        <v>45020.0</v>
      </c>
      <c r="E2700" s="24"/>
      <c r="F2700" s="14" t="s">
        <v>6012</v>
      </c>
      <c r="G2700" s="14" t="s">
        <v>6012</v>
      </c>
      <c r="H2700" s="14" t="s">
        <v>6012</v>
      </c>
      <c r="I2700" s="14" t="s">
        <v>6039</v>
      </c>
      <c r="J2700" s="14" t="s">
        <v>6012</v>
      </c>
      <c r="K2700" s="14" t="s">
        <v>6012</v>
      </c>
      <c r="L2700" s="14"/>
    </row>
    <row r="2701">
      <c r="A2701" s="14">
        <v>1260.0</v>
      </c>
      <c r="B2701" s="14">
        <v>10.0</v>
      </c>
      <c r="C2701" s="34">
        <v>10.46</v>
      </c>
      <c r="D2701" s="36">
        <v>45020.0</v>
      </c>
      <c r="E2701" s="24"/>
      <c r="F2701" s="14">
        <v>1.05</v>
      </c>
      <c r="G2701" s="14">
        <v>8.3</v>
      </c>
      <c r="H2701" s="14">
        <v>0.79</v>
      </c>
      <c r="I2701" s="14" t="s">
        <v>6051</v>
      </c>
      <c r="J2701" s="14">
        <v>0.0</v>
      </c>
      <c r="K2701" s="14" t="s">
        <v>6012</v>
      </c>
      <c r="L2701" s="14">
        <v>0.0</v>
      </c>
    </row>
    <row r="2702">
      <c r="A2702" s="14">
        <v>182.0</v>
      </c>
      <c r="B2702" s="14">
        <v>2.0</v>
      </c>
      <c r="C2702" s="34">
        <v>10.32</v>
      </c>
      <c r="D2702" s="36">
        <v>45020.0</v>
      </c>
      <c r="E2702" s="24"/>
      <c r="F2702" s="14">
        <v>5.16</v>
      </c>
      <c r="G2702" s="14">
        <v>56.7</v>
      </c>
      <c r="H2702" s="14">
        <v>1.1</v>
      </c>
      <c r="I2702" s="14" t="s">
        <v>6058</v>
      </c>
      <c r="J2702" s="14">
        <v>0.0</v>
      </c>
      <c r="K2702" s="14" t="s">
        <v>6012</v>
      </c>
      <c r="L2702" s="14">
        <v>0.0</v>
      </c>
    </row>
    <row r="2703">
      <c r="A2703" s="14">
        <v>0.0</v>
      </c>
      <c r="B2703" s="14">
        <v>0.0</v>
      </c>
      <c r="C2703" s="34"/>
      <c r="D2703" s="36">
        <v>45020.0</v>
      </c>
      <c r="E2703" s="24"/>
      <c r="F2703" s="14" t="s">
        <v>6012</v>
      </c>
      <c r="G2703" s="14" t="s">
        <v>6012</v>
      </c>
      <c r="H2703" s="14" t="s">
        <v>6012</v>
      </c>
      <c r="I2703" s="14" t="s">
        <v>6056</v>
      </c>
      <c r="J2703" s="14" t="s">
        <v>6012</v>
      </c>
      <c r="K2703" s="14" t="s">
        <v>6012</v>
      </c>
      <c r="L2703" s="14"/>
    </row>
    <row r="2704">
      <c r="A2704" s="14">
        <v>96.0</v>
      </c>
      <c r="B2704" s="14">
        <v>0.0</v>
      </c>
      <c r="C2704" s="34">
        <v>11.21</v>
      </c>
      <c r="D2704" s="36">
        <v>45020.0</v>
      </c>
      <c r="E2704" s="24"/>
      <c r="F2704" s="14" t="s">
        <v>6012</v>
      </c>
      <c r="G2704" s="14">
        <v>116.77</v>
      </c>
      <c r="H2704" s="14">
        <v>0.0</v>
      </c>
      <c r="I2704" s="14" t="s">
        <v>6059</v>
      </c>
      <c r="J2704" s="14" t="s">
        <v>6012</v>
      </c>
      <c r="K2704" s="14" t="s">
        <v>6012</v>
      </c>
      <c r="L2704" s="14">
        <v>0.0</v>
      </c>
    </row>
    <row r="2705">
      <c r="A2705" s="14">
        <v>578.0</v>
      </c>
      <c r="B2705" s="14">
        <v>1.0</v>
      </c>
      <c r="C2705" s="34">
        <v>13.78</v>
      </c>
      <c r="D2705" s="36">
        <v>45020.0</v>
      </c>
      <c r="E2705" s="24"/>
      <c r="F2705" s="14">
        <v>13.78</v>
      </c>
      <c r="G2705" s="14">
        <v>23.84</v>
      </c>
      <c r="H2705" s="14">
        <v>0.17</v>
      </c>
      <c r="I2705" s="14" t="s">
        <v>6042</v>
      </c>
      <c r="J2705" s="14">
        <v>0.0</v>
      </c>
      <c r="K2705" s="14" t="s">
        <v>6012</v>
      </c>
      <c r="L2705" s="14">
        <v>0.0</v>
      </c>
    </row>
    <row r="2706">
      <c r="A2706" s="14">
        <v>673.0</v>
      </c>
      <c r="B2706" s="14">
        <v>2.0</v>
      </c>
      <c r="C2706" s="34">
        <v>10.95</v>
      </c>
      <c r="D2706" s="36">
        <v>45020.0</v>
      </c>
      <c r="E2706" s="24"/>
      <c r="F2706" s="14">
        <v>5.48</v>
      </c>
      <c r="G2706" s="14">
        <v>16.27</v>
      </c>
      <c r="H2706" s="14">
        <v>0.3</v>
      </c>
      <c r="I2706" s="14" t="s">
        <v>6054</v>
      </c>
      <c r="J2706" s="14">
        <v>50.0</v>
      </c>
      <c r="K2706" s="14">
        <v>10.95</v>
      </c>
      <c r="L2706" s="14">
        <v>1.0</v>
      </c>
    </row>
    <row r="2707">
      <c r="A2707" s="14">
        <v>42.0</v>
      </c>
      <c r="B2707" s="14">
        <v>2.0</v>
      </c>
      <c r="C2707" s="34">
        <v>0.56</v>
      </c>
      <c r="D2707" s="36">
        <v>45020.0</v>
      </c>
      <c r="E2707" s="24"/>
      <c r="F2707" s="14">
        <v>0.28</v>
      </c>
      <c r="G2707" s="14">
        <v>13.33</v>
      </c>
      <c r="H2707" s="14">
        <v>4.76</v>
      </c>
      <c r="I2707" s="14" t="s">
        <v>6050</v>
      </c>
      <c r="J2707" s="14">
        <v>50.0</v>
      </c>
      <c r="K2707" s="14">
        <v>0.56</v>
      </c>
      <c r="L2707" s="14">
        <v>0.0</v>
      </c>
    </row>
    <row r="2708">
      <c r="A2708" s="14">
        <v>130.0</v>
      </c>
      <c r="B2708" s="14">
        <v>2.0</v>
      </c>
      <c r="C2708" s="34">
        <v>11.35</v>
      </c>
      <c r="D2708" s="36">
        <v>45020.0</v>
      </c>
      <c r="E2708" s="24"/>
      <c r="F2708" s="14">
        <v>5.68</v>
      </c>
      <c r="G2708" s="14">
        <v>87.31</v>
      </c>
      <c r="H2708" s="14">
        <v>1.54</v>
      </c>
      <c r="I2708" s="14" t="s">
        <v>6057</v>
      </c>
      <c r="J2708" s="14">
        <v>0.0</v>
      </c>
      <c r="K2708" s="14" t="s">
        <v>6012</v>
      </c>
      <c r="L2708" s="14">
        <v>0.0</v>
      </c>
    </row>
    <row r="2709">
      <c r="A2709" s="14">
        <v>699.0</v>
      </c>
      <c r="B2709" s="14">
        <v>2.0</v>
      </c>
      <c r="C2709" s="34">
        <v>11.73</v>
      </c>
      <c r="D2709" s="36">
        <v>45021.0</v>
      </c>
      <c r="E2709" s="24"/>
      <c r="F2709" s="14">
        <v>5.86</v>
      </c>
      <c r="G2709" s="14">
        <v>16.78</v>
      </c>
      <c r="H2709" s="14">
        <v>0.29</v>
      </c>
      <c r="I2709" s="14" t="s">
        <v>6060</v>
      </c>
      <c r="J2709" s="14">
        <v>0.0</v>
      </c>
      <c r="K2709" s="14" t="s">
        <v>6012</v>
      </c>
      <c r="L2709" s="14">
        <v>0.0</v>
      </c>
    </row>
    <row r="2710">
      <c r="A2710" s="14">
        <v>231.0</v>
      </c>
      <c r="B2710" s="14">
        <v>3.0</v>
      </c>
      <c r="C2710" s="34">
        <v>11.84</v>
      </c>
      <c r="D2710" s="36">
        <v>45021.0</v>
      </c>
      <c r="E2710" s="24"/>
      <c r="F2710" s="14">
        <v>3.95</v>
      </c>
      <c r="G2710" s="14">
        <v>51.26</v>
      </c>
      <c r="H2710" s="14">
        <v>1.3</v>
      </c>
      <c r="I2710" s="14" t="s">
        <v>6058</v>
      </c>
      <c r="J2710" s="14">
        <v>33.33</v>
      </c>
      <c r="K2710" s="14">
        <v>11.84</v>
      </c>
      <c r="L2710" s="14">
        <v>0.0</v>
      </c>
    </row>
    <row r="2711">
      <c r="A2711" s="14">
        <v>1117.0</v>
      </c>
      <c r="B2711" s="14">
        <v>9.0</v>
      </c>
      <c r="C2711" s="34">
        <v>9.56</v>
      </c>
      <c r="D2711" s="36">
        <v>45021.0</v>
      </c>
      <c r="E2711" s="24"/>
      <c r="F2711" s="14">
        <v>1.06</v>
      </c>
      <c r="G2711" s="14">
        <v>8.56</v>
      </c>
      <c r="H2711" s="14">
        <v>0.81</v>
      </c>
      <c r="I2711" s="14" t="s">
        <v>6051</v>
      </c>
      <c r="J2711" s="14">
        <v>22.22</v>
      </c>
      <c r="K2711" s="14">
        <v>4.78</v>
      </c>
      <c r="L2711" s="14">
        <v>0.0</v>
      </c>
    </row>
    <row r="2712">
      <c r="A2712" s="14">
        <v>121.0</v>
      </c>
      <c r="B2712" s="14">
        <v>1.0</v>
      </c>
      <c r="C2712" s="34">
        <v>10.32</v>
      </c>
      <c r="D2712" s="36">
        <v>45021.0</v>
      </c>
      <c r="E2712" s="24"/>
      <c r="F2712" s="14">
        <v>10.32</v>
      </c>
      <c r="G2712" s="14">
        <v>85.29</v>
      </c>
      <c r="H2712" s="14">
        <v>0.83</v>
      </c>
      <c r="I2712" s="14" t="s">
        <v>6057</v>
      </c>
      <c r="J2712" s="14">
        <v>0.0</v>
      </c>
      <c r="K2712" s="14" t="s">
        <v>6012</v>
      </c>
      <c r="L2712" s="14">
        <v>0.0</v>
      </c>
    </row>
    <row r="2713">
      <c r="A2713" s="14">
        <v>361.0</v>
      </c>
      <c r="B2713" s="14">
        <v>0.0</v>
      </c>
      <c r="C2713" s="34">
        <v>12.12</v>
      </c>
      <c r="D2713" s="36">
        <v>45021.0</v>
      </c>
      <c r="E2713" s="24"/>
      <c r="F2713" s="14" t="s">
        <v>6012</v>
      </c>
      <c r="G2713" s="14">
        <v>33.57</v>
      </c>
      <c r="H2713" s="14">
        <v>0.0</v>
      </c>
      <c r="I2713" s="14" t="s">
        <v>6061</v>
      </c>
      <c r="J2713" s="14" t="s">
        <v>6012</v>
      </c>
      <c r="K2713" s="14" t="s">
        <v>6012</v>
      </c>
      <c r="L2713" s="14">
        <v>0.0</v>
      </c>
    </row>
    <row r="2714">
      <c r="A2714" s="14">
        <v>144.0</v>
      </c>
      <c r="B2714" s="14">
        <v>1.0</v>
      </c>
      <c r="C2714" s="34">
        <v>12.06</v>
      </c>
      <c r="D2714" s="36">
        <v>45021.0</v>
      </c>
      <c r="E2714" s="24"/>
      <c r="F2714" s="14">
        <v>12.06</v>
      </c>
      <c r="G2714" s="14">
        <v>83.75</v>
      </c>
      <c r="H2714" s="14">
        <v>0.69</v>
      </c>
      <c r="I2714" s="14" t="s">
        <v>6062</v>
      </c>
      <c r="J2714" s="14">
        <v>0.0</v>
      </c>
      <c r="K2714" s="14" t="s">
        <v>6012</v>
      </c>
      <c r="L2714" s="14">
        <v>0.0</v>
      </c>
    </row>
    <row r="2715">
      <c r="A2715" s="14">
        <v>76.0</v>
      </c>
      <c r="B2715" s="14">
        <v>1.0</v>
      </c>
      <c r="C2715" s="34">
        <v>1.34</v>
      </c>
      <c r="D2715" s="36">
        <v>45021.0</v>
      </c>
      <c r="E2715" s="24"/>
      <c r="F2715" s="14">
        <v>1.34</v>
      </c>
      <c r="G2715" s="14">
        <v>17.63</v>
      </c>
      <c r="H2715" s="14">
        <v>1.32</v>
      </c>
      <c r="I2715" s="14" t="s">
        <v>6050</v>
      </c>
      <c r="J2715" s="14">
        <v>0.0</v>
      </c>
      <c r="K2715" s="14" t="s">
        <v>6012</v>
      </c>
      <c r="L2715" s="14">
        <v>0.0</v>
      </c>
    </row>
    <row r="2716">
      <c r="A2716" s="14">
        <v>88.0</v>
      </c>
      <c r="B2716" s="14">
        <v>5.0</v>
      </c>
      <c r="C2716" s="34">
        <v>4.05</v>
      </c>
      <c r="D2716" s="36">
        <v>45021.0</v>
      </c>
      <c r="E2716" s="24"/>
      <c r="F2716" s="14">
        <v>0.81</v>
      </c>
      <c r="G2716" s="14">
        <v>46.02</v>
      </c>
      <c r="H2716" s="14">
        <v>5.68</v>
      </c>
      <c r="I2716" s="14" t="s">
        <v>6055</v>
      </c>
      <c r="J2716" s="14">
        <v>80.0</v>
      </c>
      <c r="K2716" s="14">
        <v>1.01</v>
      </c>
      <c r="L2716" s="14">
        <v>0.0</v>
      </c>
    </row>
    <row r="2717">
      <c r="A2717" s="14">
        <v>484.0</v>
      </c>
      <c r="B2717" s="14">
        <v>1.0</v>
      </c>
      <c r="C2717" s="34">
        <v>13.68</v>
      </c>
      <c r="D2717" s="36">
        <v>45021.0</v>
      </c>
      <c r="E2717" s="24"/>
      <c r="F2717" s="14">
        <v>13.68</v>
      </c>
      <c r="G2717" s="14">
        <v>28.26</v>
      </c>
      <c r="H2717" s="14">
        <v>0.21</v>
      </c>
      <c r="I2717" s="14" t="s">
        <v>6042</v>
      </c>
      <c r="J2717" s="14">
        <v>100.0</v>
      </c>
      <c r="K2717" s="14">
        <v>13.68</v>
      </c>
      <c r="L2717" s="14">
        <v>0.0</v>
      </c>
    </row>
    <row r="2718">
      <c r="A2718" s="14">
        <v>76.0</v>
      </c>
      <c r="B2718" s="14">
        <v>2.0</v>
      </c>
      <c r="C2718" s="34">
        <v>11.72</v>
      </c>
      <c r="D2718" s="36">
        <v>45021.0</v>
      </c>
      <c r="E2718" s="24"/>
      <c r="F2718" s="14">
        <v>5.86</v>
      </c>
      <c r="G2718" s="14">
        <v>154.21</v>
      </c>
      <c r="H2718" s="14">
        <v>2.63</v>
      </c>
      <c r="I2718" s="14" t="s">
        <v>6059</v>
      </c>
      <c r="J2718" s="14">
        <v>0.0</v>
      </c>
      <c r="K2718" s="14" t="s">
        <v>6012</v>
      </c>
      <c r="L2718" s="14">
        <v>1.0</v>
      </c>
    </row>
    <row r="2719">
      <c r="A2719" s="14">
        <v>303.0</v>
      </c>
      <c r="B2719" s="14">
        <v>3.0</v>
      </c>
      <c r="C2719" s="34">
        <v>12.11</v>
      </c>
      <c r="D2719" s="36">
        <v>45021.0</v>
      </c>
      <c r="E2719" s="24"/>
      <c r="F2719" s="14">
        <v>4.04</v>
      </c>
      <c r="G2719" s="14">
        <v>39.97</v>
      </c>
      <c r="H2719" s="14">
        <v>0.99</v>
      </c>
      <c r="I2719" s="14" t="s">
        <v>6063</v>
      </c>
      <c r="J2719" s="14">
        <v>33.33</v>
      </c>
      <c r="K2719" s="14">
        <v>12.11</v>
      </c>
      <c r="L2719" s="14">
        <v>0.0</v>
      </c>
    </row>
    <row r="2720">
      <c r="A2720" s="14">
        <v>670.0</v>
      </c>
      <c r="B2720" s="14">
        <v>5.0</v>
      </c>
      <c r="C2720" s="34">
        <v>11.61</v>
      </c>
      <c r="D2720" s="36">
        <v>45021.0</v>
      </c>
      <c r="E2720" s="24"/>
      <c r="F2720" s="14">
        <v>2.32</v>
      </c>
      <c r="G2720" s="14">
        <v>17.33</v>
      </c>
      <c r="H2720" s="14">
        <v>0.75</v>
      </c>
      <c r="I2720" s="14" t="s">
        <v>6054</v>
      </c>
      <c r="J2720" s="14">
        <v>40.0</v>
      </c>
      <c r="K2720" s="14">
        <v>5.8</v>
      </c>
      <c r="L2720" s="14">
        <v>0.0</v>
      </c>
    </row>
    <row r="2721">
      <c r="A2721" s="14">
        <v>195.0</v>
      </c>
      <c r="B2721" s="14">
        <v>0.0</v>
      </c>
      <c r="C2721" s="34">
        <v>11.86</v>
      </c>
      <c r="D2721" s="36">
        <v>45022.0</v>
      </c>
      <c r="E2721" s="24"/>
      <c r="F2721" s="14" t="s">
        <v>6012</v>
      </c>
      <c r="G2721" s="14">
        <v>60.82</v>
      </c>
      <c r="H2721" s="14">
        <v>0.0</v>
      </c>
      <c r="I2721" s="14" t="s">
        <v>6061</v>
      </c>
      <c r="J2721" s="14" t="s">
        <v>6012</v>
      </c>
      <c r="K2721" s="14" t="s">
        <v>6012</v>
      </c>
      <c r="L2721" s="14">
        <v>0.0</v>
      </c>
    </row>
    <row r="2722">
      <c r="A2722" s="14">
        <v>311.0</v>
      </c>
      <c r="B2722" s="14">
        <v>5.0</v>
      </c>
      <c r="C2722" s="34">
        <v>11.49</v>
      </c>
      <c r="D2722" s="36">
        <v>45022.0</v>
      </c>
      <c r="E2722" s="24"/>
      <c r="F2722" s="14">
        <v>2.3</v>
      </c>
      <c r="G2722" s="14">
        <v>36.95</v>
      </c>
      <c r="H2722" s="14">
        <v>1.61</v>
      </c>
      <c r="I2722" s="14" t="s">
        <v>6062</v>
      </c>
      <c r="J2722" s="14">
        <v>20.0</v>
      </c>
      <c r="K2722" s="14">
        <v>11.49</v>
      </c>
      <c r="L2722" s="14">
        <v>0.0</v>
      </c>
    </row>
    <row r="2723">
      <c r="A2723" s="14">
        <v>98.0</v>
      </c>
      <c r="B2723" s="14">
        <v>0.0</v>
      </c>
      <c r="C2723" s="34">
        <v>11.93</v>
      </c>
      <c r="D2723" s="36">
        <v>45022.0</v>
      </c>
      <c r="E2723" s="24"/>
      <c r="F2723" s="14" t="s">
        <v>6012</v>
      </c>
      <c r="G2723" s="14">
        <v>121.73</v>
      </c>
      <c r="H2723" s="14">
        <v>0.0</v>
      </c>
      <c r="I2723" s="14" t="s">
        <v>6059</v>
      </c>
      <c r="J2723" s="14" t="s">
        <v>6012</v>
      </c>
      <c r="K2723" s="14">
        <v>11.93</v>
      </c>
      <c r="L2723" s="14">
        <v>0.0</v>
      </c>
    </row>
    <row r="2724">
      <c r="A2724" s="14">
        <v>205.0</v>
      </c>
      <c r="B2724" s="14">
        <v>7.0</v>
      </c>
      <c r="C2724" s="34">
        <v>6.66</v>
      </c>
      <c r="D2724" s="36">
        <v>45022.0</v>
      </c>
      <c r="E2724" s="24"/>
      <c r="F2724" s="14">
        <v>0.95</v>
      </c>
      <c r="G2724" s="14">
        <v>32.49</v>
      </c>
      <c r="H2724" s="14">
        <v>3.41</v>
      </c>
      <c r="I2724" s="14" t="s">
        <v>6055</v>
      </c>
      <c r="J2724" s="14">
        <v>85.71</v>
      </c>
      <c r="K2724" s="14">
        <v>1.11</v>
      </c>
      <c r="L2724" s="14">
        <v>0.0</v>
      </c>
    </row>
    <row r="2725">
      <c r="A2725" s="14">
        <v>257.0</v>
      </c>
      <c r="B2725" s="14">
        <v>0.0</v>
      </c>
      <c r="C2725" s="34">
        <v>11.54</v>
      </c>
      <c r="D2725" s="36">
        <v>45022.0</v>
      </c>
      <c r="E2725" s="24"/>
      <c r="F2725" s="14" t="s">
        <v>6012</v>
      </c>
      <c r="G2725" s="14">
        <v>44.9</v>
      </c>
      <c r="H2725" s="14">
        <v>0.0</v>
      </c>
      <c r="I2725" s="14" t="s">
        <v>6058</v>
      </c>
      <c r="J2725" s="14" t="s">
        <v>6012</v>
      </c>
      <c r="K2725" s="14" t="s">
        <v>6012</v>
      </c>
      <c r="L2725" s="14">
        <v>0.0</v>
      </c>
    </row>
    <row r="2726">
      <c r="A2726" s="14">
        <v>205.0</v>
      </c>
      <c r="B2726" s="14">
        <v>3.0</v>
      </c>
      <c r="C2726" s="34">
        <v>10.18</v>
      </c>
      <c r="D2726" s="36">
        <v>45022.0</v>
      </c>
      <c r="E2726" s="24"/>
      <c r="F2726" s="14">
        <v>3.39</v>
      </c>
      <c r="G2726" s="14">
        <v>49.66</v>
      </c>
      <c r="H2726" s="14">
        <v>1.46</v>
      </c>
      <c r="I2726" s="14" t="s">
        <v>6057</v>
      </c>
      <c r="J2726" s="14">
        <v>0.0</v>
      </c>
      <c r="K2726" s="14" t="s">
        <v>6012</v>
      </c>
      <c r="L2726" s="14">
        <v>0.0</v>
      </c>
    </row>
    <row r="2727">
      <c r="A2727" s="14">
        <v>352.0</v>
      </c>
      <c r="B2727" s="14">
        <v>1.0</v>
      </c>
      <c r="C2727" s="34">
        <v>13.29</v>
      </c>
      <c r="D2727" s="36">
        <v>45022.0</v>
      </c>
      <c r="E2727" s="24"/>
      <c r="F2727" s="14">
        <v>13.29</v>
      </c>
      <c r="G2727" s="14">
        <v>37.76</v>
      </c>
      <c r="H2727" s="14">
        <v>0.28</v>
      </c>
      <c r="I2727" s="14" t="s">
        <v>6042</v>
      </c>
      <c r="J2727" s="14">
        <v>200.0</v>
      </c>
      <c r="K2727" s="14">
        <v>6.64</v>
      </c>
      <c r="L2727" s="14">
        <v>0.0</v>
      </c>
    </row>
    <row r="2728">
      <c r="A2728" s="14">
        <v>90.0</v>
      </c>
      <c r="B2728" s="14">
        <v>2.0</v>
      </c>
      <c r="C2728" s="34">
        <v>2.02</v>
      </c>
      <c r="D2728" s="36">
        <v>45022.0</v>
      </c>
      <c r="E2728" s="24"/>
      <c r="F2728" s="14">
        <v>1.01</v>
      </c>
      <c r="G2728" s="14">
        <v>22.44</v>
      </c>
      <c r="H2728" s="14">
        <v>2.22</v>
      </c>
      <c r="I2728" s="14" t="s">
        <v>6050</v>
      </c>
      <c r="J2728" s="14">
        <v>0.0</v>
      </c>
      <c r="K2728" s="14" t="s">
        <v>6012</v>
      </c>
      <c r="L2728" s="14">
        <v>0.0</v>
      </c>
    </row>
    <row r="2729">
      <c r="A2729" s="14">
        <v>129.0</v>
      </c>
      <c r="B2729" s="14">
        <v>0.0</v>
      </c>
      <c r="C2729" s="34">
        <v>12.68</v>
      </c>
      <c r="D2729" s="36">
        <v>45022.0</v>
      </c>
      <c r="E2729" s="24"/>
      <c r="F2729" s="14" t="s">
        <v>6012</v>
      </c>
      <c r="G2729" s="14">
        <v>98.29</v>
      </c>
      <c r="H2729" s="14">
        <v>0.0</v>
      </c>
      <c r="I2729" s="14" t="s">
        <v>6063</v>
      </c>
      <c r="J2729" s="14" t="s">
        <v>6012</v>
      </c>
      <c r="K2729" s="14" t="s">
        <v>6012</v>
      </c>
      <c r="L2729" s="14">
        <v>0.0</v>
      </c>
    </row>
    <row r="2730">
      <c r="A2730" s="14">
        <v>716.0</v>
      </c>
      <c r="B2730" s="14">
        <v>6.0</v>
      </c>
      <c r="C2730" s="34">
        <v>11.19</v>
      </c>
      <c r="D2730" s="36">
        <v>45022.0</v>
      </c>
      <c r="E2730" s="24"/>
      <c r="F2730" s="14">
        <v>1.86</v>
      </c>
      <c r="G2730" s="14">
        <v>15.63</v>
      </c>
      <c r="H2730" s="14">
        <v>0.84</v>
      </c>
      <c r="I2730" s="14" t="s">
        <v>6054</v>
      </c>
      <c r="J2730" s="14">
        <v>16.67</v>
      </c>
      <c r="K2730" s="14">
        <v>11.19</v>
      </c>
      <c r="L2730" s="14">
        <v>1.0</v>
      </c>
    </row>
    <row r="2731">
      <c r="A2731" s="14">
        <v>0.0</v>
      </c>
      <c r="B2731" s="14">
        <v>0.0</v>
      </c>
      <c r="C2731" s="34"/>
      <c r="D2731" s="36">
        <v>45022.0</v>
      </c>
      <c r="E2731" s="24"/>
      <c r="F2731" s="14" t="s">
        <v>6012</v>
      </c>
      <c r="G2731" s="14" t="s">
        <v>6012</v>
      </c>
      <c r="H2731" s="14" t="s">
        <v>6012</v>
      </c>
      <c r="I2731" s="14" t="s">
        <v>6037</v>
      </c>
      <c r="J2731" s="14" t="s">
        <v>6012</v>
      </c>
      <c r="K2731" s="14" t="s">
        <v>6012</v>
      </c>
      <c r="L2731" s="14"/>
    </row>
    <row r="2732">
      <c r="A2732" s="14">
        <v>827.0</v>
      </c>
      <c r="B2732" s="14">
        <v>4.0</v>
      </c>
      <c r="C2732" s="34">
        <v>11.57</v>
      </c>
      <c r="D2732" s="36">
        <v>45022.0</v>
      </c>
      <c r="E2732" s="24"/>
      <c r="F2732" s="14">
        <v>2.89</v>
      </c>
      <c r="G2732" s="14">
        <v>13.99</v>
      </c>
      <c r="H2732" s="14">
        <v>0.48</v>
      </c>
      <c r="I2732" s="14" t="s">
        <v>6060</v>
      </c>
      <c r="J2732" s="14">
        <v>25.0</v>
      </c>
      <c r="K2732" s="14">
        <v>11.57</v>
      </c>
      <c r="L2732" s="14">
        <v>0.0</v>
      </c>
    </row>
    <row r="2733">
      <c r="A2733" s="14">
        <v>1190.0</v>
      </c>
      <c r="B2733" s="14">
        <v>14.0</v>
      </c>
      <c r="C2733" s="34">
        <v>13.88</v>
      </c>
      <c r="D2733" s="36">
        <v>45022.0</v>
      </c>
      <c r="E2733" s="24"/>
      <c r="F2733" s="14">
        <v>0.99</v>
      </c>
      <c r="G2733" s="14">
        <v>11.66</v>
      </c>
      <c r="H2733" s="14">
        <v>1.18</v>
      </c>
      <c r="I2733" s="14" t="s">
        <v>6051</v>
      </c>
      <c r="J2733" s="14">
        <v>35.71</v>
      </c>
      <c r="K2733" s="14">
        <v>2.78</v>
      </c>
      <c r="L2733" s="14">
        <v>0.0</v>
      </c>
    </row>
    <row r="2734">
      <c r="A2734" s="14">
        <v>978.0</v>
      </c>
      <c r="B2734" s="14">
        <v>7.0</v>
      </c>
      <c r="C2734" s="34">
        <v>10.38</v>
      </c>
      <c r="D2734" s="36">
        <v>45023.0</v>
      </c>
      <c r="E2734" s="24"/>
      <c r="F2734" s="14">
        <v>1.48</v>
      </c>
      <c r="G2734" s="14">
        <v>10.61</v>
      </c>
      <c r="H2734" s="14">
        <v>0.72</v>
      </c>
      <c r="I2734" s="14" t="s">
        <v>6051</v>
      </c>
      <c r="J2734" s="14">
        <v>28.57</v>
      </c>
      <c r="K2734" s="14">
        <v>5.19</v>
      </c>
      <c r="L2734" s="14">
        <v>0.0</v>
      </c>
    </row>
    <row r="2735">
      <c r="A2735" s="14">
        <v>190.0</v>
      </c>
      <c r="B2735" s="14">
        <v>0.0</v>
      </c>
      <c r="C2735" s="34">
        <v>13.01</v>
      </c>
      <c r="D2735" s="36">
        <v>45023.0</v>
      </c>
      <c r="E2735" s="24"/>
      <c r="F2735" s="14" t="s">
        <v>6012</v>
      </c>
      <c r="G2735" s="14">
        <v>68.47</v>
      </c>
      <c r="H2735" s="14">
        <v>0.0</v>
      </c>
      <c r="I2735" s="14" t="s">
        <v>6061</v>
      </c>
      <c r="J2735" s="14" t="s">
        <v>6012</v>
      </c>
      <c r="K2735" s="14" t="s">
        <v>6012</v>
      </c>
      <c r="L2735" s="14">
        <v>0.0</v>
      </c>
    </row>
    <row r="2736">
      <c r="A2736" s="14">
        <v>108.0</v>
      </c>
      <c r="B2736" s="14">
        <v>1.0</v>
      </c>
      <c r="C2736" s="34">
        <v>10.57</v>
      </c>
      <c r="D2736" s="36">
        <v>45023.0</v>
      </c>
      <c r="E2736" s="24"/>
      <c r="F2736" s="14">
        <v>10.57</v>
      </c>
      <c r="G2736" s="14">
        <v>97.87</v>
      </c>
      <c r="H2736" s="14">
        <v>0.93</v>
      </c>
      <c r="I2736" s="14" t="s">
        <v>6058</v>
      </c>
      <c r="J2736" s="14">
        <v>100.0</v>
      </c>
      <c r="K2736" s="14">
        <v>10.57</v>
      </c>
      <c r="L2736" s="14">
        <v>0.0</v>
      </c>
    </row>
    <row r="2737">
      <c r="A2737" s="14">
        <v>0.0</v>
      </c>
      <c r="B2737" s="14">
        <v>0.0</v>
      </c>
      <c r="C2737" s="34"/>
      <c r="D2737" s="36">
        <v>45023.0</v>
      </c>
      <c r="E2737" s="24"/>
      <c r="F2737" s="14" t="s">
        <v>6012</v>
      </c>
      <c r="G2737" s="14" t="s">
        <v>6012</v>
      </c>
      <c r="H2737" s="14" t="s">
        <v>6012</v>
      </c>
      <c r="I2737" s="14" t="s">
        <v>6037</v>
      </c>
      <c r="J2737" s="14" t="s">
        <v>6012</v>
      </c>
      <c r="K2737" s="14" t="s">
        <v>6012</v>
      </c>
      <c r="L2737" s="14"/>
    </row>
    <row r="2738">
      <c r="A2738" s="14">
        <v>270.0</v>
      </c>
      <c r="B2738" s="14">
        <v>0.0</v>
      </c>
      <c r="C2738" s="34">
        <v>12.86</v>
      </c>
      <c r="D2738" s="36">
        <v>45023.0</v>
      </c>
      <c r="E2738" s="24"/>
      <c r="F2738" s="14" t="s">
        <v>6012</v>
      </c>
      <c r="G2738" s="14">
        <v>47.63</v>
      </c>
      <c r="H2738" s="14">
        <v>0.0</v>
      </c>
      <c r="I2738" s="14" t="s">
        <v>6042</v>
      </c>
      <c r="J2738" s="14" t="s">
        <v>6012</v>
      </c>
      <c r="K2738" s="14" t="s">
        <v>6012</v>
      </c>
      <c r="L2738" s="14">
        <v>0.0</v>
      </c>
    </row>
    <row r="2739">
      <c r="A2739" s="14">
        <v>163.0</v>
      </c>
      <c r="B2739" s="14">
        <v>0.0</v>
      </c>
      <c r="C2739" s="34">
        <v>12.77</v>
      </c>
      <c r="D2739" s="36">
        <v>45023.0</v>
      </c>
      <c r="E2739" s="24"/>
      <c r="F2739" s="14" t="s">
        <v>6012</v>
      </c>
      <c r="G2739" s="14">
        <v>78.34</v>
      </c>
      <c r="H2739" s="14">
        <v>0.0</v>
      </c>
      <c r="I2739" s="14" t="s">
        <v>6063</v>
      </c>
      <c r="J2739" s="14" t="s">
        <v>6012</v>
      </c>
      <c r="K2739" s="14" t="s">
        <v>6012</v>
      </c>
      <c r="L2739" s="14">
        <v>0.0</v>
      </c>
    </row>
    <row r="2740">
      <c r="A2740" s="14">
        <v>822.0</v>
      </c>
      <c r="B2740" s="14">
        <v>5.0</v>
      </c>
      <c r="C2740" s="34">
        <v>12.8</v>
      </c>
      <c r="D2740" s="36">
        <v>45023.0</v>
      </c>
      <c r="E2740" s="24"/>
      <c r="F2740" s="14">
        <v>2.56</v>
      </c>
      <c r="G2740" s="14">
        <v>15.57</v>
      </c>
      <c r="H2740" s="14">
        <v>0.61</v>
      </c>
      <c r="I2740" s="14" t="s">
        <v>6060</v>
      </c>
      <c r="J2740" s="14">
        <v>60.0</v>
      </c>
      <c r="K2740" s="14">
        <v>4.27</v>
      </c>
      <c r="L2740" s="14">
        <v>0.0</v>
      </c>
    </row>
    <row r="2741">
      <c r="A2741" s="14">
        <v>101.0</v>
      </c>
      <c r="B2741" s="14">
        <v>2.0</v>
      </c>
      <c r="C2741" s="34">
        <v>9.53</v>
      </c>
      <c r="D2741" s="36">
        <v>45023.0</v>
      </c>
      <c r="E2741" s="24"/>
      <c r="F2741" s="14">
        <v>4.76</v>
      </c>
      <c r="G2741" s="14">
        <v>94.36</v>
      </c>
      <c r="H2741" s="14">
        <v>1.98</v>
      </c>
      <c r="I2741" s="14" t="s">
        <v>6057</v>
      </c>
      <c r="J2741" s="14">
        <v>0.0</v>
      </c>
      <c r="K2741" s="14" t="s">
        <v>6012</v>
      </c>
      <c r="L2741" s="14">
        <v>1.0</v>
      </c>
    </row>
    <row r="2742">
      <c r="A2742" s="14">
        <v>556.0</v>
      </c>
      <c r="B2742" s="14">
        <v>2.0</v>
      </c>
      <c r="C2742" s="34">
        <v>11.51</v>
      </c>
      <c r="D2742" s="36">
        <v>45023.0</v>
      </c>
      <c r="E2742" s="24"/>
      <c r="F2742" s="14">
        <v>5.76</v>
      </c>
      <c r="G2742" s="14">
        <v>20.7</v>
      </c>
      <c r="H2742" s="14">
        <v>0.36</v>
      </c>
      <c r="I2742" s="14" t="s">
        <v>6062</v>
      </c>
      <c r="J2742" s="14">
        <v>50.0</v>
      </c>
      <c r="K2742" s="14">
        <v>11.51</v>
      </c>
      <c r="L2742" s="14">
        <v>0.0</v>
      </c>
    </row>
    <row r="2743">
      <c r="A2743" s="14">
        <v>173.0</v>
      </c>
      <c r="B2743" s="14">
        <v>5.0</v>
      </c>
      <c r="C2743" s="34">
        <v>7.13</v>
      </c>
      <c r="D2743" s="36">
        <v>45023.0</v>
      </c>
      <c r="E2743" s="24"/>
      <c r="F2743" s="14">
        <v>1.43</v>
      </c>
      <c r="G2743" s="14">
        <v>41.21</v>
      </c>
      <c r="H2743" s="14">
        <v>2.89</v>
      </c>
      <c r="I2743" s="14" t="s">
        <v>6055</v>
      </c>
      <c r="J2743" s="14">
        <v>40.0</v>
      </c>
      <c r="K2743" s="14">
        <v>3.56</v>
      </c>
      <c r="L2743" s="14">
        <v>0.0</v>
      </c>
    </row>
    <row r="2744">
      <c r="A2744" s="14">
        <v>63.0</v>
      </c>
      <c r="B2744" s="14">
        <v>1.0</v>
      </c>
      <c r="C2744" s="34">
        <v>10.96</v>
      </c>
      <c r="D2744" s="36">
        <v>45023.0</v>
      </c>
      <c r="E2744" s="24"/>
      <c r="F2744" s="14">
        <v>10.96</v>
      </c>
      <c r="G2744" s="14">
        <v>173.97</v>
      </c>
      <c r="H2744" s="14">
        <v>1.59</v>
      </c>
      <c r="I2744" s="14" t="s">
        <v>6059</v>
      </c>
      <c r="J2744" s="14">
        <v>100.0</v>
      </c>
      <c r="K2744" s="14">
        <v>10.96</v>
      </c>
      <c r="L2744" s="14">
        <v>0.0</v>
      </c>
    </row>
    <row r="2745">
      <c r="A2745" s="14">
        <v>668.0</v>
      </c>
      <c r="B2745" s="14">
        <v>2.0</v>
      </c>
      <c r="C2745" s="34">
        <v>10.69</v>
      </c>
      <c r="D2745" s="36">
        <v>45023.0</v>
      </c>
      <c r="E2745" s="24"/>
      <c r="F2745" s="14">
        <v>5.34</v>
      </c>
      <c r="G2745" s="14">
        <v>16.0</v>
      </c>
      <c r="H2745" s="14">
        <v>0.3</v>
      </c>
      <c r="I2745" s="14" t="s">
        <v>6054</v>
      </c>
      <c r="J2745" s="14">
        <v>50.0</v>
      </c>
      <c r="K2745" s="14">
        <v>10.69</v>
      </c>
      <c r="L2745" s="14">
        <v>0.0</v>
      </c>
    </row>
    <row r="2746">
      <c r="A2746" s="14">
        <v>88.0</v>
      </c>
      <c r="B2746" s="14">
        <v>0.0</v>
      </c>
      <c r="C2746" s="34">
        <v>1.86</v>
      </c>
      <c r="D2746" s="36">
        <v>45023.0</v>
      </c>
      <c r="E2746" s="24"/>
      <c r="F2746" s="14" t="s">
        <v>6012</v>
      </c>
      <c r="G2746" s="14">
        <v>21.14</v>
      </c>
      <c r="H2746" s="14">
        <v>0.0</v>
      </c>
      <c r="I2746" s="14" t="s">
        <v>6050</v>
      </c>
      <c r="J2746" s="14" t="s">
        <v>6012</v>
      </c>
      <c r="K2746" s="14" t="s">
        <v>6012</v>
      </c>
      <c r="L2746" s="14">
        <v>0.0</v>
      </c>
    </row>
    <row r="2747">
      <c r="A2747" s="14">
        <v>93.0</v>
      </c>
      <c r="B2747" s="14">
        <v>1.0</v>
      </c>
      <c r="C2747" s="34">
        <v>7.18</v>
      </c>
      <c r="D2747" s="36">
        <v>45024.0</v>
      </c>
      <c r="E2747" s="24"/>
      <c r="F2747" s="14">
        <v>7.18</v>
      </c>
      <c r="G2747" s="14">
        <v>77.2</v>
      </c>
      <c r="H2747" s="14">
        <v>1.08</v>
      </c>
      <c r="I2747" s="14" t="s">
        <v>6061</v>
      </c>
      <c r="J2747" s="14">
        <v>200.0</v>
      </c>
      <c r="K2747" s="14">
        <v>3.59</v>
      </c>
      <c r="L2747" s="14">
        <v>0.0</v>
      </c>
    </row>
    <row r="2748">
      <c r="A2748" s="14">
        <v>276.0</v>
      </c>
      <c r="B2748" s="14">
        <v>1.0</v>
      </c>
      <c r="C2748" s="34">
        <v>5.23</v>
      </c>
      <c r="D2748" s="36">
        <v>45024.0</v>
      </c>
      <c r="E2748" s="24"/>
      <c r="F2748" s="14">
        <v>5.23</v>
      </c>
      <c r="G2748" s="14">
        <v>18.95</v>
      </c>
      <c r="H2748" s="14">
        <v>0.36</v>
      </c>
      <c r="I2748" s="14" t="s">
        <v>6042</v>
      </c>
      <c r="J2748" s="14">
        <v>100.0</v>
      </c>
      <c r="K2748" s="14">
        <v>5.23</v>
      </c>
      <c r="L2748" s="14">
        <v>0.0</v>
      </c>
    </row>
    <row r="2749">
      <c r="A2749" s="14">
        <v>511.0</v>
      </c>
      <c r="B2749" s="14">
        <v>2.0</v>
      </c>
      <c r="C2749" s="34">
        <v>5.85</v>
      </c>
      <c r="D2749" s="36">
        <v>45024.0</v>
      </c>
      <c r="E2749" s="24"/>
      <c r="F2749" s="14">
        <v>2.92</v>
      </c>
      <c r="G2749" s="14">
        <v>11.45</v>
      </c>
      <c r="H2749" s="14">
        <v>0.39</v>
      </c>
      <c r="I2749" s="14" t="s">
        <v>6054</v>
      </c>
      <c r="J2749" s="14">
        <v>0.0</v>
      </c>
      <c r="K2749" s="14" t="s">
        <v>6012</v>
      </c>
      <c r="L2749" s="14">
        <v>0.0</v>
      </c>
    </row>
    <row r="2750">
      <c r="A2750" s="14">
        <v>69.0</v>
      </c>
      <c r="B2750" s="14">
        <v>0.0</v>
      </c>
      <c r="C2750" s="34">
        <v>6.48</v>
      </c>
      <c r="D2750" s="36">
        <v>45024.0</v>
      </c>
      <c r="E2750" s="24"/>
      <c r="F2750" s="14" t="s">
        <v>6012</v>
      </c>
      <c r="G2750" s="14">
        <v>93.91</v>
      </c>
      <c r="H2750" s="14">
        <v>0.0</v>
      </c>
      <c r="I2750" s="14" t="s">
        <v>6058</v>
      </c>
      <c r="J2750" s="14" t="s">
        <v>6012</v>
      </c>
      <c r="K2750" s="14" t="s">
        <v>6012</v>
      </c>
      <c r="L2750" s="14">
        <v>0.0</v>
      </c>
    </row>
    <row r="2751">
      <c r="A2751" s="14">
        <v>0.0</v>
      </c>
      <c r="B2751" s="14">
        <v>0.0</v>
      </c>
      <c r="C2751" s="34"/>
      <c r="D2751" s="36">
        <v>45024.0</v>
      </c>
      <c r="E2751" s="24"/>
      <c r="F2751" s="14" t="s">
        <v>6012</v>
      </c>
      <c r="G2751" s="14" t="s">
        <v>6012</v>
      </c>
      <c r="H2751" s="14" t="s">
        <v>6012</v>
      </c>
      <c r="I2751" s="14" t="s">
        <v>6037</v>
      </c>
      <c r="J2751" s="14" t="s">
        <v>6012</v>
      </c>
      <c r="K2751" s="14" t="s">
        <v>6012</v>
      </c>
      <c r="L2751" s="14"/>
    </row>
    <row r="2752">
      <c r="A2752" s="14">
        <v>256.0</v>
      </c>
      <c r="B2752" s="14">
        <v>3.0</v>
      </c>
      <c r="C2752" s="34">
        <v>2.81</v>
      </c>
      <c r="D2752" s="36">
        <v>45024.0</v>
      </c>
      <c r="E2752" s="24"/>
      <c r="F2752" s="14">
        <v>0.94</v>
      </c>
      <c r="G2752" s="14">
        <v>10.98</v>
      </c>
      <c r="H2752" s="14">
        <v>1.17</v>
      </c>
      <c r="I2752" s="14" t="s">
        <v>6051</v>
      </c>
      <c r="J2752" s="14">
        <v>0.0</v>
      </c>
      <c r="K2752" s="14" t="s">
        <v>6012</v>
      </c>
      <c r="L2752" s="14">
        <v>0.0</v>
      </c>
    </row>
    <row r="2753">
      <c r="A2753" s="14">
        <v>382.0</v>
      </c>
      <c r="B2753" s="14">
        <v>2.0</v>
      </c>
      <c r="C2753" s="34">
        <v>7.06</v>
      </c>
      <c r="D2753" s="36">
        <v>45024.0</v>
      </c>
      <c r="E2753" s="24"/>
      <c r="F2753" s="14">
        <v>3.53</v>
      </c>
      <c r="G2753" s="14">
        <v>18.48</v>
      </c>
      <c r="H2753" s="14">
        <v>0.52</v>
      </c>
      <c r="I2753" s="14" t="s">
        <v>6060</v>
      </c>
      <c r="J2753" s="14">
        <v>50.0</v>
      </c>
      <c r="K2753" s="14">
        <v>7.06</v>
      </c>
      <c r="L2753" s="14">
        <v>0.0</v>
      </c>
    </row>
    <row r="2754">
      <c r="A2754" s="14">
        <v>139.0</v>
      </c>
      <c r="B2754" s="14">
        <v>7.0</v>
      </c>
      <c r="C2754" s="34">
        <v>10.74</v>
      </c>
      <c r="D2754" s="36">
        <v>45024.0</v>
      </c>
      <c r="E2754" s="24"/>
      <c r="F2754" s="14">
        <v>1.53</v>
      </c>
      <c r="G2754" s="14">
        <v>77.27</v>
      </c>
      <c r="H2754" s="14">
        <v>5.04</v>
      </c>
      <c r="I2754" s="14" t="s">
        <v>6055</v>
      </c>
      <c r="J2754" s="14">
        <v>85.71</v>
      </c>
      <c r="K2754" s="14">
        <v>1.79</v>
      </c>
      <c r="L2754" s="14">
        <v>0.0</v>
      </c>
    </row>
    <row r="2755">
      <c r="A2755" s="14">
        <v>33.0</v>
      </c>
      <c r="B2755" s="14">
        <v>1.0</v>
      </c>
      <c r="C2755" s="34">
        <v>6.69</v>
      </c>
      <c r="D2755" s="36">
        <v>45024.0</v>
      </c>
      <c r="E2755" s="24"/>
      <c r="F2755" s="14">
        <v>6.69</v>
      </c>
      <c r="G2755" s="14">
        <v>202.73</v>
      </c>
      <c r="H2755" s="14">
        <v>3.03</v>
      </c>
      <c r="I2755" s="14" t="s">
        <v>6059</v>
      </c>
      <c r="J2755" s="14">
        <v>100.0</v>
      </c>
      <c r="K2755" s="14">
        <v>6.69</v>
      </c>
      <c r="L2755" s="14">
        <v>0.0</v>
      </c>
    </row>
    <row r="2756">
      <c r="A2756" s="14">
        <v>90.0</v>
      </c>
      <c r="B2756" s="14">
        <v>1.0</v>
      </c>
      <c r="C2756" s="34">
        <v>6.77</v>
      </c>
      <c r="D2756" s="36">
        <v>45024.0</v>
      </c>
      <c r="E2756" s="24"/>
      <c r="F2756" s="14">
        <v>6.77</v>
      </c>
      <c r="G2756" s="14">
        <v>75.22</v>
      </c>
      <c r="H2756" s="14">
        <v>1.11</v>
      </c>
      <c r="I2756" s="14" t="s">
        <v>6063</v>
      </c>
      <c r="J2756" s="14">
        <v>100.0</v>
      </c>
      <c r="K2756" s="14">
        <v>6.77</v>
      </c>
      <c r="L2756" s="14">
        <v>0.0</v>
      </c>
    </row>
    <row r="2757">
      <c r="A2757" s="14">
        <v>123.0</v>
      </c>
      <c r="B2757" s="14">
        <v>2.0</v>
      </c>
      <c r="C2757" s="34">
        <v>4.34</v>
      </c>
      <c r="D2757" s="36">
        <v>45024.0</v>
      </c>
      <c r="E2757" s="24"/>
      <c r="F2757" s="14">
        <v>2.17</v>
      </c>
      <c r="G2757" s="14">
        <v>35.28</v>
      </c>
      <c r="H2757" s="14">
        <v>1.63</v>
      </c>
      <c r="I2757" s="14" t="s">
        <v>6050</v>
      </c>
      <c r="J2757" s="14">
        <v>0.0</v>
      </c>
      <c r="K2757" s="14" t="s">
        <v>6012</v>
      </c>
      <c r="L2757" s="14">
        <v>0.0</v>
      </c>
    </row>
    <row r="2758">
      <c r="A2758" s="14">
        <v>306.0</v>
      </c>
      <c r="B2758" s="14">
        <v>4.0</v>
      </c>
      <c r="C2758" s="34">
        <v>7.65</v>
      </c>
      <c r="D2758" s="36">
        <v>45024.0</v>
      </c>
      <c r="E2758" s="24"/>
      <c r="F2758" s="14">
        <v>1.91</v>
      </c>
      <c r="G2758" s="14">
        <v>25.0</v>
      </c>
      <c r="H2758" s="14">
        <v>1.31</v>
      </c>
      <c r="I2758" s="14" t="s">
        <v>6062</v>
      </c>
      <c r="J2758" s="14">
        <v>25.0</v>
      </c>
      <c r="K2758" s="14">
        <v>7.65</v>
      </c>
      <c r="L2758" s="14">
        <v>0.0</v>
      </c>
    </row>
    <row r="2759">
      <c r="A2759" s="14">
        <v>607.0</v>
      </c>
      <c r="B2759" s="14">
        <v>4.0</v>
      </c>
      <c r="C2759" s="34">
        <v>6.84</v>
      </c>
      <c r="D2759" s="36">
        <v>45025.0</v>
      </c>
      <c r="E2759" s="24"/>
      <c r="F2759" s="14">
        <v>1.71</v>
      </c>
      <c r="G2759" s="14">
        <v>11.27</v>
      </c>
      <c r="H2759" s="14">
        <v>0.66</v>
      </c>
      <c r="I2759" s="14" t="s">
        <v>6060</v>
      </c>
      <c r="J2759" s="14">
        <v>50.0</v>
      </c>
      <c r="K2759" s="14">
        <v>3.42</v>
      </c>
      <c r="L2759" s="14">
        <v>0.0</v>
      </c>
    </row>
    <row r="2760">
      <c r="A2760" s="14">
        <v>168.0</v>
      </c>
      <c r="B2760" s="14">
        <v>3.0</v>
      </c>
      <c r="C2760" s="34">
        <v>8.84</v>
      </c>
      <c r="D2760" s="36">
        <v>45025.0</v>
      </c>
      <c r="E2760" s="24"/>
      <c r="F2760" s="14">
        <v>2.95</v>
      </c>
      <c r="G2760" s="14">
        <v>52.62</v>
      </c>
      <c r="H2760" s="14">
        <v>1.79</v>
      </c>
      <c r="I2760" s="14" t="s">
        <v>6050</v>
      </c>
      <c r="J2760" s="14">
        <v>0.0</v>
      </c>
      <c r="K2760" s="14" t="s">
        <v>6012</v>
      </c>
      <c r="L2760" s="14">
        <v>0.0</v>
      </c>
    </row>
    <row r="2761">
      <c r="A2761" s="14">
        <v>32.0</v>
      </c>
      <c r="B2761" s="14">
        <v>0.0</v>
      </c>
      <c r="C2761" s="34">
        <v>6.64</v>
      </c>
      <c r="D2761" s="36">
        <v>45025.0</v>
      </c>
      <c r="E2761" s="24"/>
      <c r="F2761" s="14" t="s">
        <v>6012</v>
      </c>
      <c r="G2761" s="14">
        <v>207.5</v>
      </c>
      <c r="H2761" s="14">
        <v>0.0</v>
      </c>
      <c r="I2761" s="14" t="s">
        <v>6059</v>
      </c>
      <c r="J2761" s="14" t="s">
        <v>6012</v>
      </c>
      <c r="K2761" s="14" t="s">
        <v>6012</v>
      </c>
      <c r="L2761" s="14">
        <v>0.0</v>
      </c>
    </row>
    <row r="2762">
      <c r="A2762" s="14">
        <v>966.0</v>
      </c>
      <c r="B2762" s="14">
        <v>7.0</v>
      </c>
      <c r="C2762" s="34">
        <v>12.31</v>
      </c>
      <c r="D2762" s="36">
        <v>45025.0</v>
      </c>
      <c r="E2762" s="24"/>
      <c r="F2762" s="14">
        <v>1.76</v>
      </c>
      <c r="G2762" s="14">
        <v>12.74</v>
      </c>
      <c r="H2762" s="14">
        <v>0.72</v>
      </c>
      <c r="I2762" s="14" t="s">
        <v>6051</v>
      </c>
      <c r="J2762" s="14">
        <v>42.86</v>
      </c>
      <c r="K2762" s="14">
        <v>4.1</v>
      </c>
      <c r="L2762" s="14">
        <v>0.0</v>
      </c>
    </row>
    <row r="2763">
      <c r="A2763" s="14">
        <v>479.0</v>
      </c>
      <c r="B2763" s="14">
        <v>8.0</v>
      </c>
      <c r="C2763" s="34">
        <v>6.03</v>
      </c>
      <c r="D2763" s="36">
        <v>45025.0</v>
      </c>
      <c r="E2763" s="24"/>
      <c r="F2763" s="14">
        <v>0.75</v>
      </c>
      <c r="G2763" s="14">
        <v>12.59</v>
      </c>
      <c r="H2763" s="14">
        <v>1.67</v>
      </c>
      <c r="I2763" s="14" t="s">
        <v>6054</v>
      </c>
      <c r="J2763" s="14">
        <v>0.0</v>
      </c>
      <c r="K2763" s="14" t="s">
        <v>6012</v>
      </c>
      <c r="L2763" s="14">
        <v>0.0</v>
      </c>
    </row>
    <row r="2764">
      <c r="A2764" s="14">
        <v>435.0</v>
      </c>
      <c r="B2764" s="14">
        <v>2.0</v>
      </c>
      <c r="C2764" s="34">
        <v>7.29</v>
      </c>
      <c r="D2764" s="36">
        <v>45025.0</v>
      </c>
      <c r="E2764" s="24"/>
      <c r="F2764" s="14">
        <v>3.64</v>
      </c>
      <c r="G2764" s="14">
        <v>16.76</v>
      </c>
      <c r="H2764" s="14">
        <v>0.46</v>
      </c>
      <c r="I2764" s="14" t="s">
        <v>6062</v>
      </c>
      <c r="J2764" s="14">
        <v>50.0</v>
      </c>
      <c r="K2764" s="14">
        <v>7.29</v>
      </c>
      <c r="L2764" s="14">
        <v>0.0</v>
      </c>
    </row>
    <row r="2765">
      <c r="A2765" s="14">
        <v>64.0</v>
      </c>
      <c r="B2765" s="14">
        <v>0.0</v>
      </c>
      <c r="C2765" s="34">
        <v>5.67</v>
      </c>
      <c r="D2765" s="36">
        <v>45025.0</v>
      </c>
      <c r="E2765" s="24"/>
      <c r="F2765" s="14" t="s">
        <v>6012</v>
      </c>
      <c r="G2765" s="14">
        <v>88.59</v>
      </c>
      <c r="H2765" s="14">
        <v>0.0</v>
      </c>
      <c r="I2765" s="14" t="s">
        <v>6063</v>
      </c>
      <c r="J2765" s="14" t="s">
        <v>6012</v>
      </c>
      <c r="K2765" s="14" t="s">
        <v>6012</v>
      </c>
      <c r="L2765" s="14">
        <v>0.0</v>
      </c>
    </row>
    <row r="2766">
      <c r="A2766" s="14">
        <v>54.0</v>
      </c>
      <c r="B2766" s="14">
        <v>0.0</v>
      </c>
      <c r="C2766" s="34">
        <v>6.55</v>
      </c>
      <c r="D2766" s="36">
        <v>45025.0</v>
      </c>
      <c r="E2766" s="24"/>
      <c r="F2766" s="14" t="s">
        <v>6012</v>
      </c>
      <c r="G2766" s="14">
        <v>121.3</v>
      </c>
      <c r="H2766" s="14">
        <v>0.0</v>
      </c>
      <c r="I2766" s="14" t="s">
        <v>6058</v>
      </c>
      <c r="J2766" s="14" t="s">
        <v>6012</v>
      </c>
      <c r="K2766" s="14" t="s">
        <v>6012</v>
      </c>
      <c r="L2766" s="14">
        <v>0.0</v>
      </c>
    </row>
    <row r="2767">
      <c r="A2767" s="14">
        <v>157.0</v>
      </c>
      <c r="B2767" s="14">
        <v>4.0</v>
      </c>
      <c r="C2767" s="34">
        <v>11.29</v>
      </c>
      <c r="D2767" s="36">
        <v>45025.0</v>
      </c>
      <c r="E2767" s="24"/>
      <c r="F2767" s="14">
        <v>2.82</v>
      </c>
      <c r="G2767" s="14">
        <v>71.91</v>
      </c>
      <c r="H2767" s="14">
        <v>2.55</v>
      </c>
      <c r="I2767" s="14" t="s">
        <v>6055</v>
      </c>
      <c r="J2767" s="14">
        <v>50.0</v>
      </c>
      <c r="K2767" s="14">
        <v>5.64</v>
      </c>
      <c r="L2767" s="14">
        <v>0.0</v>
      </c>
    </row>
    <row r="2768">
      <c r="A2768" s="14">
        <v>144.0</v>
      </c>
      <c r="B2768" s="14">
        <v>0.0</v>
      </c>
      <c r="C2768" s="34">
        <v>4.83</v>
      </c>
      <c r="D2768" s="36">
        <v>45025.0</v>
      </c>
      <c r="E2768" s="24"/>
      <c r="F2768" s="14" t="s">
        <v>6012</v>
      </c>
      <c r="G2768" s="14">
        <v>33.54</v>
      </c>
      <c r="H2768" s="14">
        <v>0.0</v>
      </c>
      <c r="I2768" s="14" t="s">
        <v>6042</v>
      </c>
      <c r="J2768" s="14" t="s">
        <v>6012</v>
      </c>
      <c r="K2768" s="14" t="s">
        <v>6012</v>
      </c>
      <c r="L2768" s="14">
        <v>0.0</v>
      </c>
    </row>
    <row r="2769">
      <c r="A2769" s="14">
        <v>76.0</v>
      </c>
      <c r="B2769" s="14">
        <v>0.0</v>
      </c>
      <c r="C2769" s="34">
        <v>5.83</v>
      </c>
      <c r="D2769" s="36">
        <v>45025.0</v>
      </c>
      <c r="E2769" s="24"/>
      <c r="F2769" s="14" t="s">
        <v>6012</v>
      </c>
      <c r="G2769" s="14">
        <v>76.71</v>
      </c>
      <c r="H2769" s="14">
        <v>0.0</v>
      </c>
      <c r="I2769" s="14" t="s">
        <v>6061</v>
      </c>
      <c r="J2769" s="14" t="s">
        <v>6012</v>
      </c>
      <c r="K2769" s="14" t="s">
        <v>6012</v>
      </c>
      <c r="L2769" s="14">
        <v>0.0</v>
      </c>
    </row>
    <row r="2770">
      <c r="A2770" s="14">
        <v>61.0</v>
      </c>
      <c r="B2770" s="14">
        <v>0.0</v>
      </c>
      <c r="C2770" s="34">
        <v>11.8</v>
      </c>
      <c r="D2770" s="36">
        <v>45026.0</v>
      </c>
      <c r="E2770" s="24"/>
      <c r="F2770" s="14" t="s">
        <v>6012</v>
      </c>
      <c r="G2770" s="14">
        <v>193.44</v>
      </c>
      <c r="H2770" s="14">
        <v>0.0</v>
      </c>
      <c r="I2770" s="14" t="s">
        <v>6059</v>
      </c>
      <c r="J2770" s="14" t="s">
        <v>6012</v>
      </c>
      <c r="K2770" s="14" t="s">
        <v>6012</v>
      </c>
      <c r="L2770" s="14">
        <v>0.0</v>
      </c>
    </row>
    <row r="2771">
      <c r="A2771" s="14">
        <v>743.0</v>
      </c>
      <c r="B2771" s="14">
        <v>2.0</v>
      </c>
      <c r="C2771" s="34">
        <v>13.61</v>
      </c>
      <c r="D2771" s="36">
        <v>45026.0</v>
      </c>
      <c r="E2771" s="24"/>
      <c r="F2771" s="14">
        <v>6.8</v>
      </c>
      <c r="G2771" s="14">
        <v>18.32</v>
      </c>
      <c r="H2771" s="14">
        <v>0.27</v>
      </c>
      <c r="I2771" s="14" t="s">
        <v>6042</v>
      </c>
      <c r="J2771" s="14">
        <v>100.0</v>
      </c>
      <c r="K2771" s="14">
        <v>6.8</v>
      </c>
      <c r="L2771" s="14">
        <v>0.0</v>
      </c>
    </row>
    <row r="2772">
      <c r="A2772" s="14">
        <v>136.0</v>
      </c>
      <c r="B2772" s="14">
        <v>0.0</v>
      </c>
      <c r="C2772" s="34">
        <v>12.2</v>
      </c>
      <c r="D2772" s="36">
        <v>45026.0</v>
      </c>
      <c r="E2772" s="24"/>
      <c r="F2772" s="14" t="s">
        <v>6012</v>
      </c>
      <c r="G2772" s="14">
        <v>89.71</v>
      </c>
      <c r="H2772" s="14">
        <v>0.0</v>
      </c>
      <c r="I2772" s="14" t="s">
        <v>6061</v>
      </c>
      <c r="J2772" s="14" t="s">
        <v>6012</v>
      </c>
      <c r="K2772" s="14" t="s">
        <v>6012</v>
      </c>
      <c r="L2772" s="14">
        <v>0.0</v>
      </c>
    </row>
    <row r="2773">
      <c r="A2773" s="14">
        <v>158.0</v>
      </c>
      <c r="B2773" s="14">
        <v>4.0</v>
      </c>
      <c r="C2773" s="34">
        <v>6.72</v>
      </c>
      <c r="D2773" s="36">
        <v>45026.0</v>
      </c>
      <c r="E2773" s="24"/>
      <c r="F2773" s="14">
        <v>1.68</v>
      </c>
      <c r="G2773" s="14">
        <v>42.53</v>
      </c>
      <c r="H2773" s="14">
        <v>2.53</v>
      </c>
      <c r="I2773" s="14" t="s">
        <v>6050</v>
      </c>
      <c r="J2773" s="14">
        <v>0.0</v>
      </c>
      <c r="K2773" s="14" t="s">
        <v>6012</v>
      </c>
      <c r="L2773" s="14">
        <v>0.0</v>
      </c>
    </row>
    <row r="2774">
      <c r="A2774" s="14">
        <v>724.0</v>
      </c>
      <c r="B2774" s="14">
        <v>4.0</v>
      </c>
      <c r="C2774" s="34">
        <v>7.69</v>
      </c>
      <c r="D2774" s="36">
        <v>45026.0</v>
      </c>
      <c r="E2774" s="24"/>
      <c r="F2774" s="14">
        <v>1.92</v>
      </c>
      <c r="G2774" s="14">
        <v>10.62</v>
      </c>
      <c r="H2774" s="14">
        <v>0.55</v>
      </c>
      <c r="I2774" s="14" t="s">
        <v>6051</v>
      </c>
      <c r="J2774" s="14">
        <v>25.0</v>
      </c>
      <c r="K2774" s="14">
        <v>7.69</v>
      </c>
      <c r="L2774" s="14">
        <v>0.0</v>
      </c>
    </row>
    <row r="2775">
      <c r="A2775" s="14">
        <v>681.0</v>
      </c>
      <c r="B2775" s="14">
        <v>4.0</v>
      </c>
      <c r="C2775" s="34">
        <v>11.87</v>
      </c>
      <c r="D2775" s="36">
        <v>45026.0</v>
      </c>
      <c r="E2775" s="24"/>
      <c r="F2775" s="14">
        <v>2.97</v>
      </c>
      <c r="G2775" s="14">
        <v>17.43</v>
      </c>
      <c r="H2775" s="14">
        <v>0.59</v>
      </c>
      <c r="I2775" s="14" t="s">
        <v>6062</v>
      </c>
      <c r="J2775" s="14">
        <v>25.0</v>
      </c>
      <c r="K2775" s="14">
        <v>11.87</v>
      </c>
      <c r="L2775" s="14">
        <v>0.0</v>
      </c>
    </row>
    <row r="2776">
      <c r="A2776" s="14">
        <v>195.0</v>
      </c>
      <c r="B2776" s="14">
        <v>3.0</v>
      </c>
      <c r="C2776" s="34">
        <v>12.03</v>
      </c>
      <c r="D2776" s="36">
        <v>45026.0</v>
      </c>
      <c r="E2776" s="24"/>
      <c r="F2776" s="14">
        <v>4.01</v>
      </c>
      <c r="G2776" s="14">
        <v>61.69</v>
      </c>
      <c r="H2776" s="14">
        <v>1.54</v>
      </c>
      <c r="I2776" s="14" t="s">
        <v>6058</v>
      </c>
      <c r="J2776" s="14">
        <v>0.0</v>
      </c>
      <c r="K2776" s="14" t="s">
        <v>6012</v>
      </c>
      <c r="L2776" s="14">
        <v>0.0</v>
      </c>
    </row>
    <row r="2777">
      <c r="A2777" s="14">
        <v>783.0</v>
      </c>
      <c r="B2777" s="14">
        <v>2.0</v>
      </c>
      <c r="C2777" s="34">
        <v>11.85</v>
      </c>
      <c r="D2777" s="36">
        <v>45026.0</v>
      </c>
      <c r="E2777" s="24"/>
      <c r="F2777" s="14">
        <v>5.92</v>
      </c>
      <c r="G2777" s="14">
        <v>15.13</v>
      </c>
      <c r="H2777" s="14">
        <v>0.26</v>
      </c>
      <c r="I2777" s="14" t="s">
        <v>6060</v>
      </c>
      <c r="J2777" s="14">
        <v>50.0</v>
      </c>
      <c r="K2777" s="14">
        <v>11.85</v>
      </c>
      <c r="L2777" s="14">
        <v>0.0</v>
      </c>
    </row>
    <row r="2778">
      <c r="A2778" s="14">
        <v>835.0</v>
      </c>
      <c r="B2778" s="14">
        <v>4.0</v>
      </c>
      <c r="C2778" s="34">
        <v>11.53</v>
      </c>
      <c r="D2778" s="36">
        <v>45026.0</v>
      </c>
      <c r="E2778" s="24"/>
      <c r="F2778" s="14">
        <v>2.88</v>
      </c>
      <c r="G2778" s="14">
        <v>13.81</v>
      </c>
      <c r="H2778" s="14">
        <v>0.48</v>
      </c>
      <c r="I2778" s="14" t="s">
        <v>6054</v>
      </c>
      <c r="J2778" s="14">
        <v>0.0</v>
      </c>
      <c r="K2778" s="14" t="s">
        <v>6012</v>
      </c>
      <c r="L2778" s="14">
        <v>0.0</v>
      </c>
    </row>
    <row r="2779">
      <c r="A2779" s="14">
        <v>193.0</v>
      </c>
      <c r="B2779" s="14">
        <v>4.0</v>
      </c>
      <c r="C2779" s="34">
        <v>7.2</v>
      </c>
      <c r="D2779" s="36">
        <v>45026.0</v>
      </c>
      <c r="E2779" s="24"/>
      <c r="F2779" s="14">
        <v>1.8</v>
      </c>
      <c r="G2779" s="14">
        <v>37.31</v>
      </c>
      <c r="H2779" s="14">
        <v>2.07</v>
      </c>
      <c r="I2779" s="14" t="s">
        <v>6055</v>
      </c>
      <c r="J2779" s="14">
        <v>50.0</v>
      </c>
      <c r="K2779" s="14">
        <v>3.6</v>
      </c>
      <c r="L2779" s="14">
        <v>0.0</v>
      </c>
    </row>
    <row r="2780">
      <c r="A2780" s="14">
        <v>111.0</v>
      </c>
      <c r="B2780" s="14">
        <v>0.0</v>
      </c>
      <c r="C2780" s="34">
        <v>11.69</v>
      </c>
      <c r="D2780" s="36">
        <v>45026.0</v>
      </c>
      <c r="E2780" s="24"/>
      <c r="F2780" s="14" t="s">
        <v>6012</v>
      </c>
      <c r="G2780" s="14">
        <v>105.32</v>
      </c>
      <c r="H2780" s="14">
        <v>0.0</v>
      </c>
      <c r="I2780" s="14" t="s">
        <v>6063</v>
      </c>
      <c r="J2780" s="14" t="s">
        <v>6012</v>
      </c>
      <c r="K2780" s="14" t="s">
        <v>6012</v>
      </c>
      <c r="L2780" s="14">
        <v>0.0</v>
      </c>
    </row>
    <row r="2781">
      <c r="A2781" s="14">
        <v>695.0</v>
      </c>
      <c r="B2781" s="14">
        <v>3.0</v>
      </c>
      <c r="C2781" s="34">
        <v>11.53</v>
      </c>
      <c r="D2781" s="36">
        <v>45027.0</v>
      </c>
      <c r="E2781" s="24"/>
      <c r="F2781" s="14">
        <v>3.84</v>
      </c>
      <c r="G2781" s="14">
        <v>16.59</v>
      </c>
      <c r="H2781" s="14">
        <v>0.43</v>
      </c>
      <c r="I2781" s="14" t="s">
        <v>6054</v>
      </c>
      <c r="J2781" s="14">
        <v>0.0</v>
      </c>
      <c r="K2781" s="14" t="s">
        <v>6012</v>
      </c>
      <c r="L2781" s="14">
        <v>0.0</v>
      </c>
    </row>
    <row r="2782">
      <c r="A2782" s="14">
        <v>628.0</v>
      </c>
      <c r="B2782" s="14">
        <v>3.0</v>
      </c>
      <c r="C2782" s="34">
        <v>11.84</v>
      </c>
      <c r="D2782" s="36">
        <v>45027.0</v>
      </c>
      <c r="E2782" s="24"/>
      <c r="F2782" s="14">
        <v>3.95</v>
      </c>
      <c r="G2782" s="14">
        <v>18.85</v>
      </c>
      <c r="H2782" s="14">
        <v>0.48</v>
      </c>
      <c r="I2782" s="14" t="s">
        <v>6062</v>
      </c>
      <c r="J2782" s="14">
        <v>33.33</v>
      </c>
      <c r="K2782" s="14">
        <v>11.84</v>
      </c>
      <c r="L2782" s="14">
        <v>0.0</v>
      </c>
    </row>
    <row r="2783">
      <c r="A2783" s="14">
        <v>803.0</v>
      </c>
      <c r="B2783" s="14">
        <v>5.0</v>
      </c>
      <c r="C2783" s="34">
        <v>10.04</v>
      </c>
      <c r="D2783" s="36">
        <v>45027.0</v>
      </c>
      <c r="E2783" s="24"/>
      <c r="F2783" s="14">
        <v>2.01</v>
      </c>
      <c r="G2783" s="14">
        <v>12.5</v>
      </c>
      <c r="H2783" s="14">
        <v>0.62</v>
      </c>
      <c r="I2783" s="14" t="s">
        <v>6051</v>
      </c>
      <c r="J2783" s="14">
        <v>140.0</v>
      </c>
      <c r="K2783" s="14">
        <v>1.43</v>
      </c>
      <c r="L2783" s="14">
        <v>0.0</v>
      </c>
    </row>
    <row r="2784">
      <c r="A2784" s="14">
        <v>133.0</v>
      </c>
      <c r="B2784" s="14">
        <v>1.0</v>
      </c>
      <c r="C2784" s="34">
        <v>12.36</v>
      </c>
      <c r="D2784" s="36">
        <v>45027.0</v>
      </c>
      <c r="E2784" s="24"/>
      <c r="F2784" s="14">
        <v>12.36</v>
      </c>
      <c r="G2784" s="14">
        <v>92.93</v>
      </c>
      <c r="H2784" s="14">
        <v>0.75</v>
      </c>
      <c r="I2784" s="14" t="s">
        <v>6061</v>
      </c>
      <c r="J2784" s="14">
        <v>100.0</v>
      </c>
      <c r="K2784" s="14">
        <v>12.36</v>
      </c>
      <c r="L2784" s="14">
        <v>0.0</v>
      </c>
    </row>
    <row r="2785">
      <c r="A2785" s="14">
        <v>776.0</v>
      </c>
      <c r="B2785" s="14">
        <v>3.0</v>
      </c>
      <c r="C2785" s="34">
        <v>11.75</v>
      </c>
      <c r="D2785" s="36">
        <v>45027.0</v>
      </c>
      <c r="E2785" s="24"/>
      <c r="F2785" s="14">
        <v>3.92</v>
      </c>
      <c r="G2785" s="14">
        <v>15.14</v>
      </c>
      <c r="H2785" s="14">
        <v>0.39</v>
      </c>
      <c r="I2785" s="14" t="s">
        <v>6060</v>
      </c>
      <c r="J2785" s="14">
        <v>33.33</v>
      </c>
      <c r="K2785" s="14">
        <v>11.75</v>
      </c>
      <c r="L2785" s="14">
        <v>0.0</v>
      </c>
    </row>
    <row r="2786">
      <c r="A2786" s="14">
        <v>284.0</v>
      </c>
      <c r="B2786" s="14">
        <v>2.0</v>
      </c>
      <c r="C2786" s="34">
        <v>14.83</v>
      </c>
      <c r="D2786" s="36">
        <v>45027.0</v>
      </c>
      <c r="E2786" s="24"/>
      <c r="F2786" s="14">
        <v>7.42</v>
      </c>
      <c r="G2786" s="14">
        <v>52.22</v>
      </c>
      <c r="H2786" s="14">
        <v>0.7</v>
      </c>
      <c r="I2786" s="14" t="s">
        <v>6042</v>
      </c>
      <c r="J2786" s="14">
        <v>50.0</v>
      </c>
      <c r="K2786" s="14">
        <v>14.83</v>
      </c>
      <c r="L2786" s="14">
        <v>0.0</v>
      </c>
    </row>
    <row r="2787">
      <c r="A2787" s="14">
        <v>162.0</v>
      </c>
      <c r="B2787" s="14">
        <v>2.0</v>
      </c>
      <c r="C2787" s="34">
        <v>6.61</v>
      </c>
      <c r="D2787" s="36">
        <v>45027.0</v>
      </c>
      <c r="E2787" s="24"/>
      <c r="F2787" s="14">
        <v>3.3</v>
      </c>
      <c r="G2787" s="14">
        <v>40.8</v>
      </c>
      <c r="H2787" s="14">
        <v>1.23</v>
      </c>
      <c r="I2787" s="14" t="s">
        <v>6050</v>
      </c>
      <c r="J2787" s="14">
        <v>0.0</v>
      </c>
      <c r="K2787" s="14" t="s">
        <v>6012</v>
      </c>
      <c r="L2787" s="14">
        <v>0.0</v>
      </c>
    </row>
    <row r="2788">
      <c r="A2788" s="14">
        <v>118.0</v>
      </c>
      <c r="B2788" s="14">
        <v>0.0</v>
      </c>
      <c r="C2788" s="34">
        <v>12.37</v>
      </c>
      <c r="D2788" s="36">
        <v>45027.0</v>
      </c>
      <c r="E2788" s="24"/>
      <c r="F2788" s="14" t="s">
        <v>6012</v>
      </c>
      <c r="G2788" s="14">
        <v>104.83</v>
      </c>
      <c r="H2788" s="14">
        <v>0.0</v>
      </c>
      <c r="I2788" s="14" t="s">
        <v>6063</v>
      </c>
      <c r="J2788" s="14" t="s">
        <v>6012</v>
      </c>
      <c r="K2788" s="14" t="s">
        <v>6012</v>
      </c>
      <c r="L2788" s="14">
        <v>0.0</v>
      </c>
    </row>
    <row r="2789">
      <c r="A2789" s="14">
        <v>217.0</v>
      </c>
      <c r="B2789" s="14">
        <v>1.0</v>
      </c>
      <c r="C2789" s="34">
        <v>11.51</v>
      </c>
      <c r="D2789" s="36">
        <v>45027.0</v>
      </c>
      <c r="E2789" s="24"/>
      <c r="F2789" s="14">
        <v>11.51</v>
      </c>
      <c r="G2789" s="14">
        <v>53.04</v>
      </c>
      <c r="H2789" s="14">
        <v>0.46</v>
      </c>
      <c r="I2789" s="14" t="s">
        <v>6058</v>
      </c>
      <c r="J2789" s="14">
        <v>0.0</v>
      </c>
      <c r="K2789" s="14" t="s">
        <v>6012</v>
      </c>
      <c r="L2789" s="14">
        <v>0.0</v>
      </c>
    </row>
    <row r="2790">
      <c r="A2790" s="14">
        <v>66.0</v>
      </c>
      <c r="B2790" s="14">
        <v>1.0</v>
      </c>
      <c r="C2790" s="34">
        <v>12.43</v>
      </c>
      <c r="D2790" s="36">
        <v>45027.0</v>
      </c>
      <c r="E2790" s="24"/>
      <c r="F2790" s="14">
        <v>12.43</v>
      </c>
      <c r="G2790" s="14">
        <v>188.33</v>
      </c>
      <c r="H2790" s="14">
        <v>1.52</v>
      </c>
      <c r="I2790" s="14" t="s">
        <v>6059</v>
      </c>
      <c r="J2790" s="14">
        <v>0.0</v>
      </c>
      <c r="K2790" s="14" t="s">
        <v>6012</v>
      </c>
      <c r="L2790" s="14">
        <v>0.0</v>
      </c>
    </row>
    <row r="2791">
      <c r="A2791" s="14">
        <v>307.0</v>
      </c>
      <c r="B2791" s="14">
        <v>7.0</v>
      </c>
      <c r="C2791" s="34">
        <v>14.12</v>
      </c>
      <c r="D2791" s="36">
        <v>45027.0</v>
      </c>
      <c r="E2791" s="24"/>
      <c r="F2791" s="14">
        <v>2.02</v>
      </c>
      <c r="G2791" s="14">
        <v>45.99</v>
      </c>
      <c r="H2791" s="14">
        <v>2.28</v>
      </c>
      <c r="I2791" s="14" t="s">
        <v>6055</v>
      </c>
      <c r="J2791" s="14">
        <v>100.0</v>
      </c>
      <c r="K2791" s="14">
        <v>2.02</v>
      </c>
      <c r="L2791" s="14">
        <v>0.0</v>
      </c>
    </row>
    <row r="2792">
      <c r="A2792" s="14">
        <v>111.0</v>
      </c>
      <c r="B2792" s="14">
        <v>2.0</v>
      </c>
      <c r="C2792" s="34">
        <v>3.05</v>
      </c>
      <c r="D2792" s="36">
        <v>45028.0</v>
      </c>
      <c r="E2792" s="24"/>
      <c r="F2792" s="14">
        <v>1.52</v>
      </c>
      <c r="G2792" s="14">
        <v>27.48</v>
      </c>
      <c r="H2792" s="14">
        <v>1.8</v>
      </c>
      <c r="I2792" s="14" t="s">
        <v>6050</v>
      </c>
      <c r="J2792" s="14">
        <v>50.0</v>
      </c>
      <c r="K2792" s="14">
        <v>3.05</v>
      </c>
      <c r="L2792" s="14">
        <v>0.0</v>
      </c>
    </row>
    <row r="2793">
      <c r="A2793" s="14">
        <v>51.0</v>
      </c>
      <c r="B2793" s="14">
        <v>1.0</v>
      </c>
      <c r="C2793" s="34">
        <v>15.0</v>
      </c>
      <c r="D2793" s="36">
        <v>45028.0</v>
      </c>
      <c r="E2793" s="24"/>
      <c r="F2793" s="14">
        <v>15.0</v>
      </c>
      <c r="G2793" s="14">
        <v>294.12</v>
      </c>
      <c r="H2793" s="14">
        <v>1.96</v>
      </c>
      <c r="I2793" s="14" t="s">
        <v>6059</v>
      </c>
      <c r="J2793" s="14">
        <v>0.0</v>
      </c>
      <c r="K2793" s="14" t="s">
        <v>6012</v>
      </c>
      <c r="L2793" s="14">
        <v>0.0</v>
      </c>
    </row>
    <row r="2794">
      <c r="A2794" s="14">
        <v>161.0</v>
      </c>
      <c r="B2794" s="14">
        <v>1.0</v>
      </c>
      <c r="C2794" s="34">
        <v>12.32</v>
      </c>
      <c r="D2794" s="36">
        <v>45028.0</v>
      </c>
      <c r="E2794" s="24"/>
      <c r="F2794" s="14">
        <v>12.32</v>
      </c>
      <c r="G2794" s="14">
        <v>76.52</v>
      </c>
      <c r="H2794" s="14">
        <v>0.62</v>
      </c>
      <c r="I2794" s="14" t="s">
        <v>6061</v>
      </c>
      <c r="J2794" s="14">
        <v>100.0</v>
      </c>
      <c r="K2794" s="14">
        <v>12.32</v>
      </c>
      <c r="L2794" s="14">
        <v>0.0</v>
      </c>
    </row>
    <row r="2795">
      <c r="A2795" s="14">
        <v>97.0</v>
      </c>
      <c r="B2795" s="14">
        <v>0.0</v>
      </c>
      <c r="C2795" s="34">
        <v>12.14</v>
      </c>
      <c r="D2795" s="36">
        <v>45028.0</v>
      </c>
      <c r="E2795" s="24"/>
      <c r="F2795" s="14" t="s">
        <v>6012</v>
      </c>
      <c r="G2795" s="14">
        <v>125.15</v>
      </c>
      <c r="H2795" s="14">
        <v>0.0</v>
      </c>
      <c r="I2795" s="14" t="s">
        <v>6063</v>
      </c>
      <c r="J2795" s="14" t="s">
        <v>6012</v>
      </c>
      <c r="K2795" s="14" t="s">
        <v>6012</v>
      </c>
      <c r="L2795" s="14">
        <v>0.0</v>
      </c>
    </row>
    <row r="2796">
      <c r="A2796" s="14">
        <v>500.0</v>
      </c>
      <c r="B2796" s="14">
        <v>12.0</v>
      </c>
      <c r="C2796" s="34">
        <v>16.12</v>
      </c>
      <c r="D2796" s="36">
        <v>45028.0</v>
      </c>
      <c r="E2796" s="24"/>
      <c r="F2796" s="14">
        <v>1.34</v>
      </c>
      <c r="G2796" s="14">
        <v>32.24</v>
      </c>
      <c r="H2796" s="14">
        <v>2.4</v>
      </c>
      <c r="I2796" s="14" t="s">
        <v>6055</v>
      </c>
      <c r="J2796" s="14">
        <v>125.0</v>
      </c>
      <c r="K2796" s="14">
        <v>1.07</v>
      </c>
      <c r="L2796" s="14">
        <v>0.0</v>
      </c>
    </row>
    <row r="2797">
      <c r="A2797" s="14">
        <v>385.0</v>
      </c>
      <c r="B2797" s="14">
        <v>0.0</v>
      </c>
      <c r="C2797" s="34">
        <v>13.36</v>
      </c>
      <c r="D2797" s="36">
        <v>45028.0</v>
      </c>
      <c r="E2797" s="24"/>
      <c r="F2797" s="14" t="s">
        <v>6012</v>
      </c>
      <c r="G2797" s="14">
        <v>34.7</v>
      </c>
      <c r="H2797" s="14">
        <v>0.0</v>
      </c>
      <c r="I2797" s="14" t="s">
        <v>6042</v>
      </c>
      <c r="J2797" s="14" t="s">
        <v>6012</v>
      </c>
      <c r="K2797" s="14" t="s">
        <v>6012</v>
      </c>
      <c r="L2797" s="14">
        <v>0.0</v>
      </c>
    </row>
    <row r="2798">
      <c r="A2798" s="14">
        <v>615.0</v>
      </c>
      <c r="B2798" s="14">
        <v>2.0</v>
      </c>
      <c r="C2798" s="34">
        <v>12.02</v>
      </c>
      <c r="D2798" s="36">
        <v>45028.0</v>
      </c>
      <c r="E2798" s="24"/>
      <c r="F2798" s="14">
        <v>6.01</v>
      </c>
      <c r="G2798" s="14">
        <v>19.54</v>
      </c>
      <c r="H2798" s="14">
        <v>0.33</v>
      </c>
      <c r="I2798" s="14" t="s">
        <v>6062</v>
      </c>
      <c r="J2798" s="14">
        <v>150.0</v>
      </c>
      <c r="K2798" s="14">
        <v>4.01</v>
      </c>
      <c r="L2798" s="14">
        <v>0.0</v>
      </c>
    </row>
    <row r="2799">
      <c r="A2799" s="14">
        <v>142.0</v>
      </c>
      <c r="B2799" s="14">
        <v>1.0</v>
      </c>
      <c r="C2799" s="34">
        <v>13.0</v>
      </c>
      <c r="D2799" s="36">
        <v>45028.0</v>
      </c>
      <c r="E2799" s="24"/>
      <c r="F2799" s="14">
        <v>13.0</v>
      </c>
      <c r="G2799" s="14">
        <v>91.55</v>
      </c>
      <c r="H2799" s="14">
        <v>0.7</v>
      </c>
      <c r="I2799" s="14" t="s">
        <v>6058</v>
      </c>
      <c r="J2799" s="14">
        <v>400.0</v>
      </c>
      <c r="K2799" s="14">
        <v>3.25</v>
      </c>
      <c r="L2799" s="14">
        <v>1.0</v>
      </c>
    </row>
    <row r="2800">
      <c r="A2800" s="14">
        <v>828.0</v>
      </c>
      <c r="B2800" s="14">
        <v>5.0</v>
      </c>
      <c r="C2800" s="34">
        <v>12.04</v>
      </c>
      <c r="D2800" s="36">
        <v>45028.0</v>
      </c>
      <c r="E2800" s="24"/>
      <c r="F2800" s="14">
        <v>2.41</v>
      </c>
      <c r="G2800" s="14">
        <v>14.54</v>
      </c>
      <c r="H2800" s="14">
        <v>0.6</v>
      </c>
      <c r="I2800" s="14" t="s">
        <v>6060</v>
      </c>
      <c r="J2800" s="14">
        <v>120.0</v>
      </c>
      <c r="K2800" s="14">
        <v>2.01</v>
      </c>
      <c r="L2800" s="14">
        <v>0.0</v>
      </c>
    </row>
    <row r="2801">
      <c r="A2801" s="14">
        <v>908.0</v>
      </c>
      <c r="B2801" s="14">
        <v>8.0</v>
      </c>
      <c r="C2801" s="34">
        <v>10.8</v>
      </c>
      <c r="D2801" s="36">
        <v>45028.0</v>
      </c>
      <c r="E2801" s="24"/>
      <c r="F2801" s="14">
        <v>1.35</v>
      </c>
      <c r="G2801" s="14">
        <v>11.89</v>
      </c>
      <c r="H2801" s="14">
        <v>0.88</v>
      </c>
      <c r="I2801" s="14" t="s">
        <v>6051</v>
      </c>
      <c r="J2801" s="14">
        <v>50.0</v>
      </c>
      <c r="K2801" s="14">
        <v>2.7</v>
      </c>
      <c r="L2801" s="14">
        <v>0.0</v>
      </c>
    </row>
    <row r="2802">
      <c r="A2802" s="14">
        <v>664.0</v>
      </c>
      <c r="B2802" s="14">
        <v>8.0</v>
      </c>
      <c r="C2802" s="34">
        <v>11.84</v>
      </c>
      <c r="D2802" s="36">
        <v>45028.0</v>
      </c>
      <c r="E2802" s="24"/>
      <c r="F2802" s="14">
        <v>1.48</v>
      </c>
      <c r="G2802" s="14">
        <v>17.83</v>
      </c>
      <c r="H2802" s="14">
        <v>1.2</v>
      </c>
      <c r="I2802" s="14" t="s">
        <v>6054</v>
      </c>
      <c r="J2802" s="14">
        <v>0.0</v>
      </c>
      <c r="K2802" s="14" t="s">
        <v>6012</v>
      </c>
      <c r="L2802" s="14">
        <v>0.0</v>
      </c>
    </row>
    <row r="2803">
      <c r="A2803" s="14">
        <v>0.0</v>
      </c>
      <c r="B2803" s="14">
        <v>0.0</v>
      </c>
      <c r="C2803" s="34"/>
      <c r="D2803" s="36">
        <v>45028.0</v>
      </c>
      <c r="E2803" s="24"/>
      <c r="F2803" s="14" t="s">
        <v>6012</v>
      </c>
      <c r="G2803" s="14" t="s">
        <v>6012</v>
      </c>
      <c r="H2803" s="14" t="s">
        <v>6012</v>
      </c>
      <c r="I2803" s="14" t="s">
        <v>6056</v>
      </c>
      <c r="J2803" s="14" t="s">
        <v>6012</v>
      </c>
      <c r="K2803" s="14" t="s">
        <v>6012</v>
      </c>
      <c r="L2803" s="14"/>
    </row>
    <row r="2804">
      <c r="A2804" s="14">
        <v>248.0</v>
      </c>
      <c r="B2804" s="14">
        <v>0.0</v>
      </c>
      <c r="C2804" s="34">
        <v>11.68</v>
      </c>
      <c r="D2804" s="36">
        <v>45028.0</v>
      </c>
      <c r="E2804" s="24"/>
      <c r="F2804" s="14" t="s">
        <v>6012</v>
      </c>
      <c r="G2804" s="14">
        <v>47.1</v>
      </c>
      <c r="H2804" s="14">
        <v>0.0</v>
      </c>
      <c r="I2804" s="14" t="s">
        <v>6057</v>
      </c>
      <c r="J2804" s="14" t="s">
        <v>6012</v>
      </c>
      <c r="K2804" s="14" t="s">
        <v>6012</v>
      </c>
      <c r="L2804" s="14">
        <v>0.0</v>
      </c>
    </row>
    <row r="2805">
      <c r="A2805" s="14">
        <v>176.0</v>
      </c>
      <c r="B2805" s="14">
        <v>3.0</v>
      </c>
      <c r="C2805" s="34">
        <v>7.03</v>
      </c>
      <c r="D2805" s="36">
        <v>45029.0</v>
      </c>
      <c r="E2805" s="24"/>
      <c r="F2805" s="14">
        <v>2.34</v>
      </c>
      <c r="G2805" s="14">
        <v>39.94</v>
      </c>
      <c r="H2805" s="14">
        <v>1.7</v>
      </c>
      <c r="I2805" s="14" t="s">
        <v>6055</v>
      </c>
      <c r="J2805" s="14">
        <v>166.67</v>
      </c>
      <c r="K2805" s="14">
        <v>1.41</v>
      </c>
      <c r="L2805" s="14">
        <v>0.0</v>
      </c>
    </row>
    <row r="2806">
      <c r="A2806" s="14">
        <v>521.0</v>
      </c>
      <c r="B2806" s="14">
        <v>1.0</v>
      </c>
      <c r="C2806" s="34">
        <v>12.21</v>
      </c>
      <c r="D2806" s="36">
        <v>45029.0</v>
      </c>
      <c r="E2806" s="24"/>
      <c r="F2806" s="14">
        <v>12.21</v>
      </c>
      <c r="G2806" s="14">
        <v>23.44</v>
      </c>
      <c r="H2806" s="14">
        <v>0.19</v>
      </c>
      <c r="I2806" s="14" t="s">
        <v>6054</v>
      </c>
      <c r="J2806" s="14">
        <v>0.0</v>
      </c>
      <c r="K2806" s="14" t="s">
        <v>6012</v>
      </c>
      <c r="L2806" s="14">
        <v>0.0</v>
      </c>
    </row>
    <row r="2807">
      <c r="A2807" s="14">
        <v>651.0</v>
      </c>
      <c r="B2807" s="14">
        <v>8.0</v>
      </c>
      <c r="C2807" s="34">
        <v>12.18</v>
      </c>
      <c r="D2807" s="36">
        <v>45029.0</v>
      </c>
      <c r="E2807" s="24"/>
      <c r="F2807" s="14">
        <v>1.52</v>
      </c>
      <c r="G2807" s="14">
        <v>18.71</v>
      </c>
      <c r="H2807" s="14">
        <v>1.23</v>
      </c>
      <c r="I2807" s="14" t="s">
        <v>6060</v>
      </c>
      <c r="J2807" s="14">
        <v>62.5</v>
      </c>
      <c r="K2807" s="14">
        <v>2.44</v>
      </c>
      <c r="L2807" s="14">
        <v>0.0</v>
      </c>
    </row>
    <row r="2808">
      <c r="A2808" s="14">
        <v>104.0</v>
      </c>
      <c r="B2808" s="14">
        <v>0.0</v>
      </c>
      <c r="C2808" s="34">
        <v>13.13</v>
      </c>
      <c r="D2808" s="36">
        <v>45029.0</v>
      </c>
      <c r="E2808" s="24"/>
      <c r="F2808" s="14" t="s">
        <v>6012</v>
      </c>
      <c r="G2808" s="14">
        <v>126.25</v>
      </c>
      <c r="H2808" s="14">
        <v>0.0</v>
      </c>
      <c r="I2808" s="14" t="s">
        <v>6063</v>
      </c>
      <c r="J2808" s="14" t="s">
        <v>6012</v>
      </c>
      <c r="K2808" s="14" t="s">
        <v>6012</v>
      </c>
      <c r="L2808" s="14">
        <v>0.0</v>
      </c>
    </row>
    <row r="2809">
      <c r="A2809" s="14">
        <v>144.0</v>
      </c>
      <c r="B2809" s="14">
        <v>3.0</v>
      </c>
      <c r="C2809" s="34">
        <v>4.0</v>
      </c>
      <c r="D2809" s="36">
        <v>45029.0</v>
      </c>
      <c r="E2809" s="24"/>
      <c r="F2809" s="14">
        <v>1.33</v>
      </c>
      <c r="G2809" s="14">
        <v>27.78</v>
      </c>
      <c r="H2809" s="14">
        <v>2.08</v>
      </c>
      <c r="I2809" s="14" t="s">
        <v>6050</v>
      </c>
      <c r="J2809" s="14">
        <v>33.33</v>
      </c>
      <c r="K2809" s="14">
        <v>4.0</v>
      </c>
      <c r="L2809" s="14">
        <v>0.0</v>
      </c>
    </row>
    <row r="2810">
      <c r="A2810" s="14">
        <v>159.0</v>
      </c>
      <c r="B2810" s="14">
        <v>0.0</v>
      </c>
      <c r="C2810" s="34">
        <v>11.64</v>
      </c>
      <c r="D2810" s="36">
        <v>45029.0</v>
      </c>
      <c r="E2810" s="24"/>
      <c r="F2810" s="14" t="s">
        <v>6012</v>
      </c>
      <c r="G2810" s="14">
        <v>73.21</v>
      </c>
      <c r="H2810" s="14">
        <v>0.0</v>
      </c>
      <c r="I2810" s="14" t="s">
        <v>6057</v>
      </c>
      <c r="J2810" s="14" t="s">
        <v>6012</v>
      </c>
      <c r="K2810" s="14" t="s">
        <v>6012</v>
      </c>
      <c r="L2810" s="14">
        <v>0.0</v>
      </c>
    </row>
    <row r="2811">
      <c r="A2811" s="14">
        <v>531.0</v>
      </c>
      <c r="B2811" s="14">
        <v>2.0</v>
      </c>
      <c r="C2811" s="34">
        <v>12.24</v>
      </c>
      <c r="D2811" s="36">
        <v>45029.0</v>
      </c>
      <c r="E2811" s="24"/>
      <c r="F2811" s="14">
        <v>6.12</v>
      </c>
      <c r="G2811" s="14">
        <v>23.05</v>
      </c>
      <c r="H2811" s="14">
        <v>0.38</v>
      </c>
      <c r="I2811" s="14" t="s">
        <v>6062</v>
      </c>
      <c r="J2811" s="14">
        <v>200.0</v>
      </c>
      <c r="K2811" s="14">
        <v>3.06</v>
      </c>
      <c r="L2811" s="14">
        <v>0.0</v>
      </c>
    </row>
    <row r="2812">
      <c r="A2812" s="14">
        <v>175.0</v>
      </c>
      <c r="B2812" s="14">
        <v>5.0</v>
      </c>
      <c r="C2812" s="34">
        <v>12.75</v>
      </c>
      <c r="D2812" s="36">
        <v>45029.0</v>
      </c>
      <c r="E2812" s="24"/>
      <c r="F2812" s="14">
        <v>2.55</v>
      </c>
      <c r="G2812" s="14">
        <v>72.86</v>
      </c>
      <c r="H2812" s="14">
        <v>2.86</v>
      </c>
      <c r="I2812" s="14" t="s">
        <v>6058</v>
      </c>
      <c r="J2812" s="14">
        <v>20.0</v>
      </c>
      <c r="K2812" s="14">
        <v>12.75</v>
      </c>
      <c r="L2812" s="14">
        <v>1.0</v>
      </c>
    </row>
    <row r="2813">
      <c r="A2813" s="14">
        <v>1095.0</v>
      </c>
      <c r="B2813" s="14">
        <v>10.0</v>
      </c>
      <c r="C2813" s="34">
        <v>13.77</v>
      </c>
      <c r="D2813" s="36">
        <v>45029.0</v>
      </c>
      <c r="E2813" s="24"/>
      <c r="F2813" s="14">
        <v>1.38</v>
      </c>
      <c r="G2813" s="14">
        <v>12.58</v>
      </c>
      <c r="H2813" s="14">
        <v>0.91</v>
      </c>
      <c r="I2813" s="14" t="s">
        <v>6051</v>
      </c>
      <c r="J2813" s="14">
        <v>10.0</v>
      </c>
      <c r="K2813" s="14">
        <v>13.77</v>
      </c>
      <c r="L2813" s="14">
        <v>0.0</v>
      </c>
    </row>
    <row r="2814">
      <c r="A2814" s="14">
        <v>339.0</v>
      </c>
      <c r="B2814" s="14">
        <v>1.0</v>
      </c>
      <c r="C2814" s="34">
        <v>13.57</v>
      </c>
      <c r="D2814" s="36">
        <v>45029.0</v>
      </c>
      <c r="E2814" s="24"/>
      <c r="F2814" s="14">
        <v>13.57</v>
      </c>
      <c r="G2814" s="14">
        <v>40.03</v>
      </c>
      <c r="H2814" s="14">
        <v>0.29</v>
      </c>
      <c r="I2814" s="14" t="s">
        <v>6042</v>
      </c>
      <c r="J2814" s="14">
        <v>100.0</v>
      </c>
      <c r="K2814" s="14">
        <v>13.57</v>
      </c>
      <c r="L2814" s="14">
        <v>0.0</v>
      </c>
    </row>
    <row r="2815">
      <c r="A2815" s="14">
        <v>135.0</v>
      </c>
      <c r="B2815" s="14">
        <v>2.0</v>
      </c>
      <c r="C2815" s="34">
        <v>12.56</v>
      </c>
      <c r="D2815" s="36">
        <v>45029.0</v>
      </c>
      <c r="E2815" s="24"/>
      <c r="F2815" s="14">
        <v>6.28</v>
      </c>
      <c r="G2815" s="14">
        <v>93.04</v>
      </c>
      <c r="H2815" s="14">
        <v>1.48</v>
      </c>
      <c r="I2815" s="14" t="s">
        <v>6061</v>
      </c>
      <c r="J2815" s="14">
        <v>0.0</v>
      </c>
      <c r="K2815" s="14" t="s">
        <v>6012</v>
      </c>
      <c r="L2815" s="14">
        <v>0.0</v>
      </c>
    </row>
    <row r="2816">
      <c r="A2816" s="14">
        <v>84.0</v>
      </c>
      <c r="B2816" s="14">
        <v>2.0</v>
      </c>
      <c r="C2816" s="34">
        <v>12.27</v>
      </c>
      <c r="D2816" s="36">
        <v>45029.0</v>
      </c>
      <c r="E2816" s="24"/>
      <c r="F2816" s="14">
        <v>6.14</v>
      </c>
      <c r="G2816" s="14">
        <v>146.07</v>
      </c>
      <c r="H2816" s="14">
        <v>2.38</v>
      </c>
      <c r="I2816" s="14" t="s">
        <v>6059</v>
      </c>
      <c r="J2816" s="14">
        <v>0.0</v>
      </c>
      <c r="K2816" s="14" t="s">
        <v>6012</v>
      </c>
      <c r="L2816" s="14">
        <v>0.0</v>
      </c>
    </row>
    <row r="2817">
      <c r="A2817" s="14">
        <v>583.0</v>
      </c>
      <c r="B2817" s="14">
        <v>2.0</v>
      </c>
      <c r="C2817" s="34">
        <v>10.58</v>
      </c>
      <c r="D2817" s="36">
        <v>45030.0</v>
      </c>
      <c r="E2817" s="24"/>
      <c r="F2817" s="14">
        <v>5.29</v>
      </c>
      <c r="G2817" s="14">
        <v>18.15</v>
      </c>
      <c r="H2817" s="14">
        <v>0.34</v>
      </c>
      <c r="I2817" s="14" t="s">
        <v>6054</v>
      </c>
      <c r="J2817" s="14">
        <v>0.0</v>
      </c>
      <c r="K2817" s="14" t="s">
        <v>6012</v>
      </c>
      <c r="L2817" s="14">
        <v>0.0</v>
      </c>
    </row>
    <row r="2818">
      <c r="A2818" s="14">
        <v>99.0</v>
      </c>
      <c r="B2818" s="14">
        <v>2.0</v>
      </c>
      <c r="C2818" s="34">
        <v>12.18</v>
      </c>
      <c r="D2818" s="36">
        <v>45030.0</v>
      </c>
      <c r="E2818" s="24"/>
      <c r="F2818" s="14">
        <v>6.09</v>
      </c>
      <c r="G2818" s="14">
        <v>123.03</v>
      </c>
      <c r="H2818" s="14">
        <v>2.02</v>
      </c>
      <c r="I2818" s="14" t="s">
        <v>6057</v>
      </c>
      <c r="J2818" s="14">
        <v>0.0</v>
      </c>
      <c r="K2818" s="14" t="s">
        <v>6012</v>
      </c>
      <c r="L2818" s="14">
        <v>1.0</v>
      </c>
    </row>
    <row r="2819">
      <c r="A2819" s="14">
        <v>85.0</v>
      </c>
      <c r="B2819" s="14">
        <v>6.0</v>
      </c>
      <c r="C2819" s="34">
        <v>5.53</v>
      </c>
      <c r="D2819" s="36">
        <v>45030.0</v>
      </c>
      <c r="E2819" s="24"/>
      <c r="F2819" s="14">
        <v>0.92</v>
      </c>
      <c r="G2819" s="14">
        <v>65.06</v>
      </c>
      <c r="H2819" s="14">
        <v>7.06</v>
      </c>
      <c r="I2819" s="14" t="s">
        <v>6055</v>
      </c>
      <c r="J2819" s="14">
        <v>83.33</v>
      </c>
      <c r="K2819" s="14">
        <v>1.11</v>
      </c>
      <c r="L2819" s="14">
        <v>0.0</v>
      </c>
    </row>
    <row r="2820">
      <c r="A2820" s="14">
        <v>130.0</v>
      </c>
      <c r="B2820" s="14">
        <v>2.0</v>
      </c>
      <c r="C2820" s="34">
        <v>11.01</v>
      </c>
      <c r="D2820" s="36">
        <v>45030.0</v>
      </c>
      <c r="E2820" s="24"/>
      <c r="F2820" s="14">
        <v>5.5</v>
      </c>
      <c r="G2820" s="14">
        <v>84.69</v>
      </c>
      <c r="H2820" s="14">
        <v>1.54</v>
      </c>
      <c r="I2820" s="14" t="s">
        <v>6063</v>
      </c>
      <c r="J2820" s="14">
        <v>50.0</v>
      </c>
      <c r="K2820" s="14">
        <v>11.01</v>
      </c>
      <c r="L2820" s="14">
        <v>0.0</v>
      </c>
    </row>
    <row r="2821">
      <c r="A2821" s="14">
        <v>471.0</v>
      </c>
      <c r="B2821" s="14">
        <v>2.0</v>
      </c>
      <c r="C2821" s="34">
        <v>10.69</v>
      </c>
      <c r="D2821" s="36">
        <v>45030.0</v>
      </c>
      <c r="E2821" s="24"/>
      <c r="F2821" s="14">
        <v>5.34</v>
      </c>
      <c r="G2821" s="14">
        <v>22.7</v>
      </c>
      <c r="H2821" s="14">
        <v>0.42</v>
      </c>
      <c r="I2821" s="14" t="s">
        <v>6062</v>
      </c>
      <c r="J2821" s="14">
        <v>0.0</v>
      </c>
      <c r="K2821" s="14" t="s">
        <v>6012</v>
      </c>
      <c r="L2821" s="14">
        <v>0.0</v>
      </c>
    </row>
    <row r="2822">
      <c r="A2822" s="14">
        <v>146.0</v>
      </c>
      <c r="B2822" s="14">
        <v>1.0</v>
      </c>
      <c r="C2822" s="34">
        <v>10.3</v>
      </c>
      <c r="D2822" s="36">
        <v>45030.0</v>
      </c>
      <c r="E2822" s="24"/>
      <c r="F2822" s="14">
        <v>10.3</v>
      </c>
      <c r="G2822" s="14">
        <v>70.55</v>
      </c>
      <c r="H2822" s="14">
        <v>0.68</v>
      </c>
      <c r="I2822" s="14" t="s">
        <v>6061</v>
      </c>
      <c r="J2822" s="14">
        <v>0.0</v>
      </c>
      <c r="K2822" s="14" t="s">
        <v>6012</v>
      </c>
      <c r="L2822" s="14">
        <v>0.0</v>
      </c>
    </row>
    <row r="2823">
      <c r="A2823" s="14">
        <v>220.0</v>
      </c>
      <c r="B2823" s="14">
        <v>1.0</v>
      </c>
      <c r="C2823" s="34">
        <v>10.96</v>
      </c>
      <c r="D2823" s="36">
        <v>45030.0</v>
      </c>
      <c r="E2823" s="24"/>
      <c r="F2823" s="14">
        <v>10.96</v>
      </c>
      <c r="G2823" s="14">
        <v>49.82</v>
      </c>
      <c r="H2823" s="14">
        <v>0.45</v>
      </c>
      <c r="I2823" s="14" t="s">
        <v>6058</v>
      </c>
      <c r="J2823" s="14">
        <v>0.0</v>
      </c>
      <c r="K2823" s="14" t="s">
        <v>6012</v>
      </c>
      <c r="L2823" s="14">
        <v>0.0</v>
      </c>
    </row>
    <row r="2824">
      <c r="A2824" s="14">
        <v>312.0</v>
      </c>
      <c r="B2824" s="14">
        <v>4.0</v>
      </c>
      <c r="C2824" s="34">
        <v>15.0</v>
      </c>
      <c r="D2824" s="36">
        <v>45030.0</v>
      </c>
      <c r="E2824" s="24"/>
      <c r="F2824" s="14">
        <v>3.75</v>
      </c>
      <c r="G2824" s="14">
        <v>48.08</v>
      </c>
      <c r="H2824" s="14">
        <v>1.28</v>
      </c>
      <c r="I2824" s="14" t="s">
        <v>6050</v>
      </c>
      <c r="J2824" s="14">
        <v>0.0</v>
      </c>
      <c r="K2824" s="14" t="s">
        <v>6012</v>
      </c>
      <c r="L2824" s="14">
        <v>0.0</v>
      </c>
    </row>
    <row r="2825">
      <c r="A2825" s="14">
        <v>455.0</v>
      </c>
      <c r="B2825" s="14">
        <v>4.0</v>
      </c>
      <c r="C2825" s="34">
        <v>14.24</v>
      </c>
      <c r="D2825" s="36">
        <v>45030.0</v>
      </c>
      <c r="E2825" s="24"/>
      <c r="F2825" s="14">
        <v>3.56</v>
      </c>
      <c r="G2825" s="14">
        <v>31.3</v>
      </c>
      <c r="H2825" s="14">
        <v>0.88</v>
      </c>
      <c r="I2825" s="14" t="s">
        <v>6051</v>
      </c>
      <c r="J2825" s="14">
        <v>0.0</v>
      </c>
      <c r="K2825" s="14" t="s">
        <v>6012</v>
      </c>
      <c r="L2825" s="14">
        <v>0.0</v>
      </c>
    </row>
    <row r="2826">
      <c r="A2826" s="14">
        <v>486.0</v>
      </c>
      <c r="B2826" s="14">
        <v>3.0</v>
      </c>
      <c r="C2826" s="34">
        <v>10.66</v>
      </c>
      <c r="D2826" s="36">
        <v>45030.0</v>
      </c>
      <c r="E2826" s="24"/>
      <c r="F2826" s="14">
        <v>3.55</v>
      </c>
      <c r="G2826" s="14">
        <v>21.93</v>
      </c>
      <c r="H2826" s="14">
        <v>0.62</v>
      </c>
      <c r="I2826" s="14" t="s">
        <v>6060</v>
      </c>
      <c r="J2826" s="14">
        <v>33.33</v>
      </c>
      <c r="K2826" s="14">
        <v>10.66</v>
      </c>
      <c r="L2826" s="14">
        <v>0.0</v>
      </c>
    </row>
    <row r="2827">
      <c r="A2827" s="14">
        <v>52.0</v>
      </c>
      <c r="B2827" s="14">
        <v>1.0</v>
      </c>
      <c r="C2827" s="34">
        <v>15.0</v>
      </c>
      <c r="D2827" s="36">
        <v>45030.0</v>
      </c>
      <c r="E2827" s="24"/>
      <c r="F2827" s="14">
        <v>15.0</v>
      </c>
      <c r="G2827" s="14">
        <v>288.46</v>
      </c>
      <c r="H2827" s="14">
        <v>1.92</v>
      </c>
      <c r="I2827" s="14" t="s">
        <v>6059</v>
      </c>
      <c r="J2827" s="14">
        <v>0.0</v>
      </c>
      <c r="K2827" s="14" t="s">
        <v>6012</v>
      </c>
      <c r="L2827" s="14">
        <v>0.0</v>
      </c>
    </row>
    <row r="2828">
      <c r="A2828" s="14">
        <v>360.0</v>
      </c>
      <c r="B2828" s="14">
        <v>1.0</v>
      </c>
      <c r="C2828" s="34">
        <v>11.01</v>
      </c>
      <c r="D2828" s="36">
        <v>45030.0</v>
      </c>
      <c r="E2828" s="24"/>
      <c r="F2828" s="14">
        <v>11.01</v>
      </c>
      <c r="G2828" s="14">
        <v>30.58</v>
      </c>
      <c r="H2828" s="14">
        <v>0.28</v>
      </c>
      <c r="I2828" s="14" t="s">
        <v>6042</v>
      </c>
      <c r="J2828" s="14">
        <v>0.0</v>
      </c>
      <c r="K2828" s="14" t="s">
        <v>6012</v>
      </c>
      <c r="L2828" s="14">
        <v>0.0</v>
      </c>
    </row>
    <row r="2829">
      <c r="A2829" s="14">
        <v>430.0</v>
      </c>
      <c r="B2829" s="14">
        <v>6.0</v>
      </c>
      <c r="C2829" s="34">
        <v>7.36</v>
      </c>
      <c r="D2829" s="36">
        <v>45031.0</v>
      </c>
      <c r="E2829" s="24"/>
      <c r="F2829" s="14">
        <v>1.23</v>
      </c>
      <c r="G2829" s="14">
        <v>17.12</v>
      </c>
      <c r="H2829" s="14">
        <v>1.4</v>
      </c>
      <c r="I2829" s="14" t="s">
        <v>6051</v>
      </c>
      <c r="J2829" s="14">
        <v>16.67</v>
      </c>
      <c r="K2829" s="14">
        <v>7.36</v>
      </c>
      <c r="L2829" s="14">
        <v>0.0</v>
      </c>
    </row>
    <row r="2830">
      <c r="A2830" s="14">
        <v>38.0</v>
      </c>
      <c r="B2830" s="14">
        <v>0.0</v>
      </c>
      <c r="C2830" s="34">
        <v>6.02</v>
      </c>
      <c r="D2830" s="36">
        <v>45031.0</v>
      </c>
      <c r="E2830" s="24"/>
      <c r="F2830" s="14" t="s">
        <v>6012</v>
      </c>
      <c r="G2830" s="14">
        <v>158.42</v>
      </c>
      <c r="H2830" s="14">
        <v>0.0</v>
      </c>
      <c r="I2830" s="14" t="s">
        <v>6059</v>
      </c>
      <c r="J2830" s="14" t="s">
        <v>6012</v>
      </c>
      <c r="K2830" s="14" t="s">
        <v>6012</v>
      </c>
      <c r="L2830" s="14">
        <v>0.0</v>
      </c>
    </row>
    <row r="2831">
      <c r="A2831" s="14">
        <v>64.0</v>
      </c>
      <c r="B2831" s="14">
        <v>0.0</v>
      </c>
      <c r="C2831" s="34">
        <v>5.3</v>
      </c>
      <c r="D2831" s="36">
        <v>45031.0</v>
      </c>
      <c r="E2831" s="24"/>
      <c r="F2831" s="14" t="s">
        <v>6012</v>
      </c>
      <c r="G2831" s="14">
        <v>82.81</v>
      </c>
      <c r="H2831" s="14">
        <v>0.0</v>
      </c>
      <c r="I2831" s="14" t="s">
        <v>6063</v>
      </c>
      <c r="J2831" s="14" t="s">
        <v>6012</v>
      </c>
      <c r="K2831" s="14" t="s">
        <v>6012</v>
      </c>
      <c r="L2831" s="14">
        <v>0.0</v>
      </c>
    </row>
    <row r="2832">
      <c r="A2832" s="14">
        <v>324.0</v>
      </c>
      <c r="B2832" s="14">
        <v>1.0</v>
      </c>
      <c r="C2832" s="34">
        <v>5.69</v>
      </c>
      <c r="D2832" s="36">
        <v>45031.0</v>
      </c>
      <c r="E2832" s="24"/>
      <c r="F2832" s="14">
        <v>5.69</v>
      </c>
      <c r="G2832" s="14">
        <v>17.56</v>
      </c>
      <c r="H2832" s="14">
        <v>0.31</v>
      </c>
      <c r="I2832" s="14" t="s">
        <v>6062</v>
      </c>
      <c r="J2832" s="14">
        <v>0.0</v>
      </c>
      <c r="K2832" s="14" t="s">
        <v>6012</v>
      </c>
      <c r="L2832" s="14">
        <v>0.0</v>
      </c>
    </row>
    <row r="2833">
      <c r="A2833" s="14">
        <v>55.0</v>
      </c>
      <c r="B2833" s="14">
        <v>0.0</v>
      </c>
      <c r="C2833" s="34">
        <v>5.51</v>
      </c>
      <c r="D2833" s="36">
        <v>45031.0</v>
      </c>
      <c r="E2833" s="24"/>
      <c r="F2833" s="14" t="s">
        <v>6012</v>
      </c>
      <c r="G2833" s="14">
        <v>100.18</v>
      </c>
      <c r="H2833" s="14">
        <v>0.0</v>
      </c>
      <c r="I2833" s="14" t="s">
        <v>6061</v>
      </c>
      <c r="J2833" s="14" t="s">
        <v>6012</v>
      </c>
      <c r="K2833" s="14" t="s">
        <v>6012</v>
      </c>
      <c r="L2833" s="14">
        <v>0.0</v>
      </c>
    </row>
    <row r="2834">
      <c r="A2834" s="14">
        <v>60.0</v>
      </c>
      <c r="B2834" s="14">
        <v>0.0</v>
      </c>
      <c r="C2834" s="34">
        <v>6.25</v>
      </c>
      <c r="D2834" s="36">
        <v>45031.0</v>
      </c>
      <c r="E2834" s="24"/>
      <c r="F2834" s="14" t="s">
        <v>6012</v>
      </c>
      <c r="G2834" s="14">
        <v>104.17</v>
      </c>
      <c r="H2834" s="14">
        <v>0.0</v>
      </c>
      <c r="I2834" s="14" t="s">
        <v>6058</v>
      </c>
      <c r="J2834" s="14" t="s">
        <v>6012</v>
      </c>
      <c r="K2834" s="14" t="s">
        <v>6012</v>
      </c>
      <c r="L2834" s="14">
        <v>0.0</v>
      </c>
    </row>
    <row r="2835">
      <c r="A2835" s="14">
        <v>343.0</v>
      </c>
      <c r="B2835" s="14">
        <v>0.0</v>
      </c>
      <c r="C2835" s="34">
        <v>5.88</v>
      </c>
      <c r="D2835" s="36">
        <v>45031.0</v>
      </c>
      <c r="E2835" s="24"/>
      <c r="F2835" s="14" t="s">
        <v>6012</v>
      </c>
      <c r="G2835" s="14">
        <v>17.14</v>
      </c>
      <c r="H2835" s="14">
        <v>0.0</v>
      </c>
      <c r="I2835" s="14" t="s">
        <v>6060</v>
      </c>
      <c r="J2835" s="14" t="s">
        <v>6012</v>
      </c>
      <c r="K2835" s="14" t="s">
        <v>6012</v>
      </c>
      <c r="L2835" s="14">
        <v>0.0</v>
      </c>
    </row>
    <row r="2836">
      <c r="A2836" s="14">
        <v>99.0</v>
      </c>
      <c r="B2836" s="14">
        <v>0.0</v>
      </c>
      <c r="C2836" s="34">
        <v>12.57</v>
      </c>
      <c r="D2836" s="36">
        <v>45031.0</v>
      </c>
      <c r="E2836" s="24"/>
      <c r="F2836" s="14" t="s">
        <v>6012</v>
      </c>
      <c r="G2836" s="14">
        <v>126.97</v>
      </c>
      <c r="H2836" s="14">
        <v>0.0</v>
      </c>
      <c r="I2836" s="14" t="s">
        <v>6050</v>
      </c>
      <c r="J2836" s="14" t="s">
        <v>6012</v>
      </c>
      <c r="K2836" s="14" t="s">
        <v>6012</v>
      </c>
      <c r="L2836" s="14">
        <v>0.0</v>
      </c>
    </row>
    <row r="2837">
      <c r="A2837" s="14">
        <v>56.0</v>
      </c>
      <c r="B2837" s="14">
        <v>0.0</v>
      </c>
      <c r="C2837" s="34">
        <v>8.24</v>
      </c>
      <c r="D2837" s="36">
        <v>45031.0</v>
      </c>
      <c r="E2837" s="24"/>
      <c r="F2837" s="14" t="s">
        <v>6012</v>
      </c>
      <c r="G2837" s="14">
        <v>147.14</v>
      </c>
      <c r="H2837" s="14">
        <v>0.0</v>
      </c>
      <c r="I2837" s="14" t="s">
        <v>6057</v>
      </c>
      <c r="J2837" s="14" t="s">
        <v>6012</v>
      </c>
      <c r="K2837" s="14" t="s">
        <v>6012</v>
      </c>
      <c r="L2837" s="14">
        <v>0.0</v>
      </c>
    </row>
    <row r="2838">
      <c r="A2838" s="14">
        <v>80.0</v>
      </c>
      <c r="B2838" s="14">
        <v>0.0</v>
      </c>
      <c r="C2838" s="34">
        <v>6.01</v>
      </c>
      <c r="D2838" s="36">
        <v>45031.0</v>
      </c>
      <c r="E2838" s="24"/>
      <c r="F2838" s="14" t="s">
        <v>6012</v>
      </c>
      <c r="G2838" s="14">
        <v>75.12</v>
      </c>
      <c r="H2838" s="14">
        <v>0.0</v>
      </c>
      <c r="I2838" s="14" t="s">
        <v>6042</v>
      </c>
      <c r="J2838" s="14" t="s">
        <v>6012</v>
      </c>
      <c r="K2838" s="14" t="s">
        <v>6012</v>
      </c>
      <c r="L2838" s="14">
        <v>0.0</v>
      </c>
    </row>
    <row r="2839">
      <c r="A2839" s="14">
        <v>58.0</v>
      </c>
      <c r="B2839" s="14">
        <v>0.0</v>
      </c>
      <c r="C2839" s="34">
        <v>6.25</v>
      </c>
      <c r="D2839" s="36">
        <v>45032.0</v>
      </c>
      <c r="E2839" s="24"/>
      <c r="F2839" s="14" t="s">
        <v>6012</v>
      </c>
      <c r="G2839" s="14">
        <v>107.76</v>
      </c>
      <c r="H2839" s="14">
        <v>0.0</v>
      </c>
      <c r="I2839" s="14" t="s">
        <v>6057</v>
      </c>
      <c r="J2839" s="14" t="s">
        <v>6012</v>
      </c>
      <c r="K2839" s="14" t="s">
        <v>6012</v>
      </c>
      <c r="L2839" s="14">
        <v>0.0</v>
      </c>
    </row>
    <row r="2840">
      <c r="A2840" s="14">
        <v>284.0</v>
      </c>
      <c r="B2840" s="14">
        <v>4.0</v>
      </c>
      <c r="C2840" s="34">
        <v>6.1</v>
      </c>
      <c r="D2840" s="36">
        <v>45032.0</v>
      </c>
      <c r="E2840" s="24"/>
      <c r="F2840" s="14">
        <v>1.52</v>
      </c>
      <c r="G2840" s="14">
        <v>21.48</v>
      </c>
      <c r="H2840" s="14">
        <v>1.41</v>
      </c>
      <c r="I2840" s="14" t="s">
        <v>6051</v>
      </c>
      <c r="J2840" s="14">
        <v>50.0</v>
      </c>
      <c r="K2840" s="14">
        <v>3.05</v>
      </c>
      <c r="L2840" s="14">
        <v>0.0</v>
      </c>
    </row>
    <row r="2841">
      <c r="A2841" s="14">
        <v>74.0</v>
      </c>
      <c r="B2841" s="14">
        <v>0.0</v>
      </c>
      <c r="C2841" s="34">
        <v>4.36</v>
      </c>
      <c r="D2841" s="36">
        <v>45032.0</v>
      </c>
      <c r="E2841" s="24"/>
      <c r="F2841" s="14" t="s">
        <v>6012</v>
      </c>
      <c r="G2841" s="14">
        <v>58.92</v>
      </c>
      <c r="H2841" s="14">
        <v>0.0</v>
      </c>
      <c r="I2841" s="14" t="s">
        <v>6063</v>
      </c>
      <c r="J2841" s="14" t="s">
        <v>6012</v>
      </c>
      <c r="K2841" s="14" t="s">
        <v>6012</v>
      </c>
      <c r="L2841" s="14">
        <v>0.0</v>
      </c>
    </row>
    <row r="2842">
      <c r="A2842" s="14">
        <v>21.0</v>
      </c>
      <c r="B2842" s="14">
        <v>0.0</v>
      </c>
      <c r="C2842" s="34">
        <v>5.86</v>
      </c>
      <c r="D2842" s="36">
        <v>45032.0</v>
      </c>
      <c r="E2842" s="24"/>
      <c r="F2842" s="14" t="s">
        <v>6012</v>
      </c>
      <c r="G2842" s="14">
        <v>279.05</v>
      </c>
      <c r="H2842" s="14">
        <v>0.0</v>
      </c>
      <c r="I2842" s="14" t="s">
        <v>6059</v>
      </c>
      <c r="J2842" s="14" t="s">
        <v>6012</v>
      </c>
      <c r="K2842" s="14" t="s">
        <v>6012</v>
      </c>
      <c r="L2842" s="14">
        <v>0.0</v>
      </c>
    </row>
    <row r="2843">
      <c r="A2843" s="14">
        <v>353.0</v>
      </c>
      <c r="B2843" s="14">
        <v>0.0</v>
      </c>
      <c r="C2843" s="34">
        <v>5.64</v>
      </c>
      <c r="D2843" s="36">
        <v>45032.0</v>
      </c>
      <c r="E2843" s="24"/>
      <c r="F2843" s="14" t="s">
        <v>6012</v>
      </c>
      <c r="G2843" s="14">
        <v>15.98</v>
      </c>
      <c r="H2843" s="14">
        <v>0.0</v>
      </c>
      <c r="I2843" s="14" t="s">
        <v>6060</v>
      </c>
      <c r="J2843" s="14" t="s">
        <v>6012</v>
      </c>
      <c r="K2843" s="14" t="s">
        <v>6012</v>
      </c>
      <c r="L2843" s="14">
        <v>0.0</v>
      </c>
    </row>
    <row r="2844">
      <c r="A2844" s="14">
        <v>77.0</v>
      </c>
      <c r="B2844" s="14">
        <v>0.0</v>
      </c>
      <c r="C2844" s="34">
        <v>6.57</v>
      </c>
      <c r="D2844" s="36">
        <v>45032.0</v>
      </c>
      <c r="E2844" s="24"/>
      <c r="F2844" s="14" t="s">
        <v>6012</v>
      </c>
      <c r="G2844" s="14">
        <v>85.32</v>
      </c>
      <c r="H2844" s="14">
        <v>0.0</v>
      </c>
      <c r="I2844" s="14" t="s">
        <v>6058</v>
      </c>
      <c r="J2844" s="14" t="s">
        <v>6012</v>
      </c>
      <c r="K2844" s="14" t="s">
        <v>6012</v>
      </c>
      <c r="L2844" s="14">
        <v>0.0</v>
      </c>
    </row>
    <row r="2845">
      <c r="A2845" s="14">
        <v>83.0</v>
      </c>
      <c r="B2845" s="14">
        <v>1.0</v>
      </c>
      <c r="C2845" s="34">
        <v>4.61</v>
      </c>
      <c r="D2845" s="36">
        <v>45032.0</v>
      </c>
      <c r="E2845" s="24"/>
      <c r="F2845" s="14">
        <v>4.61</v>
      </c>
      <c r="G2845" s="14">
        <v>55.54</v>
      </c>
      <c r="H2845" s="14">
        <v>1.2</v>
      </c>
      <c r="I2845" s="14" t="s">
        <v>6042</v>
      </c>
      <c r="J2845" s="14">
        <v>0.0</v>
      </c>
      <c r="K2845" s="14" t="s">
        <v>6012</v>
      </c>
      <c r="L2845" s="14">
        <v>0.0</v>
      </c>
    </row>
    <row r="2846">
      <c r="A2846" s="14">
        <v>95.0</v>
      </c>
      <c r="B2846" s="14">
        <v>1.0</v>
      </c>
      <c r="C2846" s="34">
        <v>15.0</v>
      </c>
      <c r="D2846" s="36">
        <v>45032.0</v>
      </c>
      <c r="E2846" s="24"/>
      <c r="F2846" s="14">
        <v>15.0</v>
      </c>
      <c r="G2846" s="14">
        <v>157.89</v>
      </c>
      <c r="H2846" s="14">
        <v>1.05</v>
      </c>
      <c r="I2846" s="14" t="s">
        <v>6050</v>
      </c>
      <c r="J2846" s="14">
        <v>0.0</v>
      </c>
      <c r="K2846" s="14" t="s">
        <v>6012</v>
      </c>
      <c r="L2846" s="14">
        <v>0.0</v>
      </c>
    </row>
    <row r="2847">
      <c r="A2847" s="14">
        <v>256.0</v>
      </c>
      <c r="B2847" s="14">
        <v>0.0</v>
      </c>
      <c r="C2847" s="34">
        <v>5.65</v>
      </c>
      <c r="D2847" s="36">
        <v>45032.0</v>
      </c>
      <c r="E2847" s="24"/>
      <c r="F2847" s="14" t="s">
        <v>6012</v>
      </c>
      <c r="G2847" s="14">
        <v>22.07</v>
      </c>
      <c r="H2847" s="14">
        <v>0.0</v>
      </c>
      <c r="I2847" s="14" t="s">
        <v>6062</v>
      </c>
      <c r="J2847" s="14" t="s">
        <v>6012</v>
      </c>
      <c r="K2847" s="14" t="s">
        <v>6012</v>
      </c>
      <c r="L2847" s="14">
        <v>0.0</v>
      </c>
    </row>
    <row r="2848">
      <c r="A2848" s="14">
        <v>32.0</v>
      </c>
      <c r="B2848" s="14">
        <v>0.0</v>
      </c>
      <c r="C2848" s="34">
        <v>4.75</v>
      </c>
      <c r="D2848" s="36">
        <v>45032.0</v>
      </c>
      <c r="E2848" s="24"/>
      <c r="F2848" s="14" t="s">
        <v>6012</v>
      </c>
      <c r="G2848" s="14">
        <v>148.44</v>
      </c>
      <c r="H2848" s="14">
        <v>0.0</v>
      </c>
      <c r="I2848" s="14" t="s">
        <v>6061</v>
      </c>
      <c r="J2848" s="14" t="s">
        <v>6012</v>
      </c>
      <c r="K2848" s="14" t="s">
        <v>6012</v>
      </c>
      <c r="L2848" s="14">
        <v>0.0</v>
      </c>
    </row>
    <row r="2849">
      <c r="A2849" s="14">
        <v>674.0</v>
      </c>
      <c r="B2849" s="14">
        <v>1.0</v>
      </c>
      <c r="C2849" s="34">
        <v>11.64</v>
      </c>
      <c r="D2849" s="36">
        <v>45033.0</v>
      </c>
      <c r="E2849" s="24"/>
      <c r="F2849" s="14">
        <v>11.64</v>
      </c>
      <c r="G2849" s="14">
        <v>17.27</v>
      </c>
      <c r="H2849" s="14">
        <v>0.15</v>
      </c>
      <c r="I2849" s="14" t="s">
        <v>6060</v>
      </c>
      <c r="J2849" s="14">
        <v>400.0</v>
      </c>
      <c r="K2849" s="14">
        <v>2.91</v>
      </c>
      <c r="L2849" s="14">
        <v>0.0</v>
      </c>
    </row>
    <row r="2850">
      <c r="A2850" s="14">
        <v>137.0</v>
      </c>
      <c r="B2850" s="14">
        <v>1.0</v>
      </c>
      <c r="C2850" s="34">
        <v>11.65</v>
      </c>
      <c r="D2850" s="36">
        <v>45033.0</v>
      </c>
      <c r="E2850" s="24"/>
      <c r="F2850" s="14">
        <v>11.65</v>
      </c>
      <c r="G2850" s="14">
        <v>85.04</v>
      </c>
      <c r="H2850" s="14">
        <v>0.73</v>
      </c>
      <c r="I2850" s="14" t="s">
        <v>6058</v>
      </c>
      <c r="J2850" s="14">
        <v>100.0</v>
      </c>
      <c r="K2850" s="14">
        <v>11.65</v>
      </c>
      <c r="L2850" s="14">
        <v>0.0</v>
      </c>
    </row>
    <row r="2851">
      <c r="A2851" s="14">
        <v>147.0</v>
      </c>
      <c r="B2851" s="14">
        <v>1.0</v>
      </c>
      <c r="C2851" s="34">
        <v>11.91</v>
      </c>
      <c r="D2851" s="36">
        <v>45033.0</v>
      </c>
      <c r="E2851" s="24"/>
      <c r="F2851" s="14">
        <v>11.91</v>
      </c>
      <c r="G2851" s="14">
        <v>81.02</v>
      </c>
      <c r="H2851" s="14">
        <v>0.68</v>
      </c>
      <c r="I2851" s="14" t="s">
        <v>6057</v>
      </c>
      <c r="J2851" s="14">
        <v>0.0</v>
      </c>
      <c r="K2851" s="14" t="s">
        <v>6012</v>
      </c>
      <c r="L2851" s="14">
        <v>0.0</v>
      </c>
    </row>
    <row r="2852">
      <c r="A2852" s="14">
        <v>142.0</v>
      </c>
      <c r="B2852" s="14">
        <v>1.0</v>
      </c>
      <c r="C2852" s="34">
        <v>11.94</v>
      </c>
      <c r="D2852" s="36">
        <v>45033.0</v>
      </c>
      <c r="E2852" s="24"/>
      <c r="F2852" s="14">
        <v>11.94</v>
      </c>
      <c r="G2852" s="14">
        <v>84.08</v>
      </c>
      <c r="H2852" s="14">
        <v>0.7</v>
      </c>
      <c r="I2852" s="14" t="s">
        <v>6063</v>
      </c>
      <c r="J2852" s="14">
        <v>100.0</v>
      </c>
      <c r="K2852" s="14">
        <v>11.94</v>
      </c>
      <c r="L2852" s="14">
        <v>0.0</v>
      </c>
    </row>
    <row r="2853">
      <c r="A2853" s="14">
        <v>0.0</v>
      </c>
      <c r="B2853" s="14">
        <v>0.0</v>
      </c>
      <c r="C2853" s="34"/>
      <c r="D2853" s="36">
        <v>45033.0</v>
      </c>
      <c r="E2853" s="24"/>
      <c r="F2853" s="14" t="s">
        <v>6012</v>
      </c>
      <c r="G2853" s="14" t="s">
        <v>6012</v>
      </c>
      <c r="H2853" s="14" t="s">
        <v>6012</v>
      </c>
      <c r="I2853" s="14" t="s">
        <v>6037</v>
      </c>
      <c r="J2853" s="14" t="s">
        <v>6012</v>
      </c>
      <c r="K2853" s="14" t="s">
        <v>6012</v>
      </c>
      <c r="L2853" s="14"/>
    </row>
    <row r="2854">
      <c r="A2854" s="14">
        <v>396.0</v>
      </c>
      <c r="B2854" s="14">
        <v>6.0</v>
      </c>
      <c r="C2854" s="34">
        <v>12.83</v>
      </c>
      <c r="D2854" s="36">
        <v>45033.0</v>
      </c>
      <c r="E2854" s="24"/>
      <c r="F2854" s="14">
        <v>2.14</v>
      </c>
      <c r="G2854" s="14">
        <v>32.4</v>
      </c>
      <c r="H2854" s="14">
        <v>1.52</v>
      </c>
      <c r="I2854" s="14" t="s">
        <v>6051</v>
      </c>
      <c r="J2854" s="14">
        <v>16.67</v>
      </c>
      <c r="K2854" s="14">
        <v>12.83</v>
      </c>
      <c r="L2854" s="14">
        <v>0.0</v>
      </c>
    </row>
    <row r="2855">
      <c r="A2855" s="14">
        <v>628.0</v>
      </c>
      <c r="B2855" s="14">
        <v>3.0</v>
      </c>
      <c r="C2855" s="34">
        <v>11.61</v>
      </c>
      <c r="D2855" s="36">
        <v>45033.0</v>
      </c>
      <c r="E2855" s="24"/>
      <c r="F2855" s="14">
        <v>3.87</v>
      </c>
      <c r="G2855" s="14">
        <v>18.49</v>
      </c>
      <c r="H2855" s="14">
        <v>0.48</v>
      </c>
      <c r="I2855" s="14" t="s">
        <v>6062</v>
      </c>
      <c r="J2855" s="14">
        <v>100.0</v>
      </c>
      <c r="K2855" s="14">
        <v>3.87</v>
      </c>
      <c r="L2855" s="14">
        <v>0.0</v>
      </c>
    </row>
    <row r="2856">
      <c r="A2856" s="14">
        <v>79.0</v>
      </c>
      <c r="B2856" s="14">
        <v>0.0</v>
      </c>
      <c r="C2856" s="34">
        <v>11.13</v>
      </c>
      <c r="D2856" s="36">
        <v>45033.0</v>
      </c>
      <c r="E2856" s="24"/>
      <c r="F2856" s="14" t="s">
        <v>6012</v>
      </c>
      <c r="G2856" s="14">
        <v>140.89</v>
      </c>
      <c r="H2856" s="14">
        <v>0.0</v>
      </c>
      <c r="I2856" s="14" t="s">
        <v>6059</v>
      </c>
      <c r="J2856" s="14" t="s">
        <v>6012</v>
      </c>
      <c r="K2856" s="14">
        <v>11.13</v>
      </c>
      <c r="L2856" s="14">
        <v>0.0</v>
      </c>
    </row>
    <row r="2857">
      <c r="A2857" s="14">
        <v>308.0</v>
      </c>
      <c r="B2857" s="14">
        <v>2.0</v>
      </c>
      <c r="C2857" s="34">
        <v>11.7</v>
      </c>
      <c r="D2857" s="36">
        <v>45033.0</v>
      </c>
      <c r="E2857" s="24"/>
      <c r="F2857" s="14">
        <v>5.85</v>
      </c>
      <c r="G2857" s="14">
        <v>37.99</v>
      </c>
      <c r="H2857" s="14">
        <v>0.65</v>
      </c>
      <c r="I2857" s="14" t="s">
        <v>6061</v>
      </c>
      <c r="J2857" s="14">
        <v>100.0</v>
      </c>
      <c r="K2857" s="14">
        <v>5.85</v>
      </c>
      <c r="L2857" s="14">
        <v>0.0</v>
      </c>
    </row>
    <row r="2858">
      <c r="A2858" s="14">
        <v>63.0</v>
      </c>
      <c r="B2858" s="14">
        <v>0.0</v>
      </c>
      <c r="C2858" s="34">
        <v>12.39</v>
      </c>
      <c r="D2858" s="36">
        <v>45033.0</v>
      </c>
      <c r="E2858" s="24"/>
      <c r="F2858" s="14" t="s">
        <v>6012</v>
      </c>
      <c r="G2858" s="14">
        <v>196.67</v>
      </c>
      <c r="H2858" s="14">
        <v>0.0</v>
      </c>
      <c r="I2858" s="14" t="s">
        <v>6050</v>
      </c>
      <c r="J2858" s="14" t="s">
        <v>6012</v>
      </c>
      <c r="K2858" s="14">
        <v>12.39</v>
      </c>
      <c r="L2858" s="14">
        <v>0.0</v>
      </c>
    </row>
    <row r="2859">
      <c r="A2859" s="14">
        <v>296.0</v>
      </c>
      <c r="B2859" s="14">
        <v>1.0</v>
      </c>
      <c r="C2859" s="34">
        <v>14.18</v>
      </c>
      <c r="D2859" s="36">
        <v>45033.0</v>
      </c>
      <c r="E2859" s="24"/>
      <c r="F2859" s="14">
        <v>14.18</v>
      </c>
      <c r="G2859" s="14">
        <v>47.91</v>
      </c>
      <c r="H2859" s="14">
        <v>0.34</v>
      </c>
      <c r="I2859" s="14" t="s">
        <v>6042</v>
      </c>
      <c r="J2859" s="14">
        <v>0.0</v>
      </c>
      <c r="K2859" s="14" t="s">
        <v>6012</v>
      </c>
      <c r="L2859" s="14">
        <v>0.0</v>
      </c>
    </row>
    <row r="2860">
      <c r="A2860" s="14">
        <v>0.0</v>
      </c>
      <c r="B2860" s="14">
        <v>0.0</v>
      </c>
      <c r="C2860" s="34"/>
      <c r="D2860" s="36">
        <v>45033.0</v>
      </c>
      <c r="E2860" s="24"/>
      <c r="F2860" s="14" t="s">
        <v>6012</v>
      </c>
      <c r="G2860" s="14" t="s">
        <v>6012</v>
      </c>
      <c r="H2860" s="14" t="s">
        <v>6012</v>
      </c>
      <c r="I2860" s="14" t="s">
        <v>6054</v>
      </c>
      <c r="J2860" s="14" t="s">
        <v>6012</v>
      </c>
      <c r="K2860" s="14" t="s">
        <v>6012</v>
      </c>
      <c r="L2860" s="14"/>
    </row>
    <row r="2861">
      <c r="A2861" s="14">
        <v>565.0</v>
      </c>
      <c r="B2861" s="14">
        <v>1.0</v>
      </c>
      <c r="C2861" s="34">
        <v>12.32</v>
      </c>
      <c r="D2861" s="36">
        <v>45034.0</v>
      </c>
      <c r="E2861" s="24"/>
      <c r="F2861" s="14">
        <v>12.32</v>
      </c>
      <c r="G2861" s="14">
        <v>21.81</v>
      </c>
      <c r="H2861" s="14">
        <v>0.18</v>
      </c>
      <c r="I2861" s="14" t="s">
        <v>6060</v>
      </c>
      <c r="J2861" s="14">
        <v>100.0</v>
      </c>
      <c r="K2861" s="14">
        <v>12.32</v>
      </c>
      <c r="L2861" s="14">
        <v>0.0</v>
      </c>
    </row>
    <row r="2862">
      <c r="A2862" s="14">
        <v>160.0</v>
      </c>
      <c r="B2862" s="14">
        <v>0.0</v>
      </c>
      <c r="C2862" s="34">
        <v>12.69</v>
      </c>
      <c r="D2862" s="36">
        <v>45034.0</v>
      </c>
      <c r="E2862" s="24"/>
      <c r="F2862" s="14" t="s">
        <v>6012</v>
      </c>
      <c r="G2862" s="14">
        <v>79.31</v>
      </c>
      <c r="H2862" s="14">
        <v>0.0</v>
      </c>
      <c r="I2862" s="14" t="s">
        <v>6063</v>
      </c>
      <c r="J2862" s="14" t="s">
        <v>6012</v>
      </c>
      <c r="K2862" s="14" t="s">
        <v>6012</v>
      </c>
      <c r="L2862" s="14">
        <v>0.0</v>
      </c>
    </row>
    <row r="2863">
      <c r="A2863" s="14">
        <v>92.0</v>
      </c>
      <c r="B2863" s="14">
        <v>0.0</v>
      </c>
      <c r="C2863" s="34">
        <v>14.02</v>
      </c>
      <c r="D2863" s="36">
        <v>45034.0</v>
      </c>
      <c r="E2863" s="24"/>
      <c r="F2863" s="14" t="s">
        <v>6012</v>
      </c>
      <c r="G2863" s="14">
        <v>152.39</v>
      </c>
      <c r="H2863" s="14">
        <v>0.0</v>
      </c>
      <c r="I2863" s="14" t="s">
        <v>6061</v>
      </c>
      <c r="J2863" s="14" t="s">
        <v>6012</v>
      </c>
      <c r="K2863" s="14">
        <v>14.02</v>
      </c>
      <c r="L2863" s="14">
        <v>0.0</v>
      </c>
    </row>
    <row r="2864">
      <c r="A2864" s="14">
        <v>79.0</v>
      </c>
      <c r="B2864" s="14">
        <v>0.0</v>
      </c>
      <c r="C2864" s="34">
        <v>11.37</v>
      </c>
      <c r="D2864" s="36">
        <v>45034.0</v>
      </c>
      <c r="E2864" s="24"/>
      <c r="F2864" s="14" t="s">
        <v>6012</v>
      </c>
      <c r="G2864" s="14">
        <v>143.92</v>
      </c>
      <c r="H2864" s="14">
        <v>0.0</v>
      </c>
      <c r="I2864" s="14" t="s">
        <v>6059</v>
      </c>
      <c r="J2864" s="14" t="s">
        <v>6012</v>
      </c>
      <c r="K2864" s="14" t="s">
        <v>6012</v>
      </c>
      <c r="L2864" s="14">
        <v>0.0</v>
      </c>
    </row>
    <row r="2865">
      <c r="A2865" s="14">
        <v>611.0</v>
      </c>
      <c r="B2865" s="14">
        <v>7.0</v>
      </c>
      <c r="C2865" s="34">
        <v>12.55</v>
      </c>
      <c r="D2865" s="36">
        <v>45034.0</v>
      </c>
      <c r="E2865" s="24"/>
      <c r="F2865" s="14">
        <v>1.79</v>
      </c>
      <c r="G2865" s="14">
        <v>20.54</v>
      </c>
      <c r="H2865" s="14">
        <v>1.15</v>
      </c>
      <c r="I2865" s="14" t="s">
        <v>6062</v>
      </c>
      <c r="J2865" s="14">
        <v>14.29</v>
      </c>
      <c r="K2865" s="14">
        <v>12.55</v>
      </c>
      <c r="L2865" s="14">
        <v>0.0</v>
      </c>
    </row>
    <row r="2866">
      <c r="A2866" s="14">
        <v>624.0</v>
      </c>
      <c r="B2866" s="14">
        <v>2.0</v>
      </c>
      <c r="C2866" s="34">
        <v>11.63</v>
      </c>
      <c r="D2866" s="36">
        <v>45034.0</v>
      </c>
      <c r="E2866" s="24"/>
      <c r="F2866" s="14">
        <v>5.82</v>
      </c>
      <c r="G2866" s="14">
        <v>18.64</v>
      </c>
      <c r="H2866" s="14">
        <v>0.32</v>
      </c>
      <c r="I2866" s="14" t="s">
        <v>6054</v>
      </c>
      <c r="J2866" s="14">
        <v>0.0</v>
      </c>
      <c r="K2866" s="14" t="s">
        <v>6012</v>
      </c>
      <c r="L2866" s="14">
        <v>0.0</v>
      </c>
    </row>
    <row r="2867">
      <c r="A2867" s="14">
        <v>152.0</v>
      </c>
      <c r="B2867" s="14">
        <v>1.0</v>
      </c>
      <c r="C2867" s="34">
        <v>11.7</v>
      </c>
      <c r="D2867" s="36">
        <v>45034.0</v>
      </c>
      <c r="E2867" s="24"/>
      <c r="F2867" s="14">
        <v>11.7</v>
      </c>
      <c r="G2867" s="14">
        <v>76.97</v>
      </c>
      <c r="H2867" s="14">
        <v>0.66</v>
      </c>
      <c r="I2867" s="14" t="s">
        <v>6058</v>
      </c>
      <c r="J2867" s="14">
        <v>0.0</v>
      </c>
      <c r="K2867" s="14" t="s">
        <v>6012</v>
      </c>
      <c r="L2867" s="14">
        <v>0.0</v>
      </c>
    </row>
    <row r="2868">
      <c r="A2868" s="14">
        <v>1538.0</v>
      </c>
      <c r="B2868" s="14">
        <v>12.0</v>
      </c>
      <c r="C2868" s="34">
        <v>11.61</v>
      </c>
      <c r="D2868" s="36">
        <v>45034.0</v>
      </c>
      <c r="E2868" s="24"/>
      <c r="F2868" s="14">
        <v>0.97</v>
      </c>
      <c r="G2868" s="14">
        <v>7.55</v>
      </c>
      <c r="H2868" s="14">
        <v>0.78</v>
      </c>
      <c r="I2868" s="14" t="s">
        <v>6050</v>
      </c>
      <c r="J2868" s="14">
        <v>25.0</v>
      </c>
      <c r="K2868" s="14">
        <v>3.87</v>
      </c>
      <c r="L2868" s="14">
        <v>0.0</v>
      </c>
    </row>
    <row r="2869">
      <c r="A2869" s="14">
        <v>1467.0</v>
      </c>
      <c r="B2869" s="14">
        <v>5.0</v>
      </c>
      <c r="C2869" s="34">
        <v>11.63</v>
      </c>
      <c r="D2869" s="36">
        <v>45034.0</v>
      </c>
      <c r="E2869" s="24"/>
      <c r="F2869" s="14">
        <v>2.33</v>
      </c>
      <c r="G2869" s="14">
        <v>7.93</v>
      </c>
      <c r="H2869" s="14">
        <v>0.34</v>
      </c>
      <c r="I2869" s="14" t="s">
        <v>6051</v>
      </c>
      <c r="J2869" s="14">
        <v>80.0</v>
      </c>
      <c r="K2869" s="14">
        <v>2.91</v>
      </c>
      <c r="L2869" s="14">
        <v>0.0</v>
      </c>
    </row>
    <row r="2870">
      <c r="A2870" s="14">
        <v>132.0</v>
      </c>
      <c r="B2870" s="14">
        <v>2.0</v>
      </c>
      <c r="C2870" s="34">
        <v>12.24</v>
      </c>
      <c r="D2870" s="36">
        <v>45034.0</v>
      </c>
      <c r="E2870" s="24"/>
      <c r="F2870" s="14">
        <v>6.12</v>
      </c>
      <c r="G2870" s="14">
        <v>92.73</v>
      </c>
      <c r="H2870" s="14">
        <v>1.52</v>
      </c>
      <c r="I2870" s="14" t="s">
        <v>6057</v>
      </c>
      <c r="J2870" s="14">
        <v>50.0</v>
      </c>
      <c r="K2870" s="14">
        <v>12.24</v>
      </c>
      <c r="L2870" s="14">
        <v>0.0</v>
      </c>
    </row>
    <row r="2871">
      <c r="A2871" s="14">
        <v>310.0</v>
      </c>
      <c r="B2871" s="14">
        <v>0.0</v>
      </c>
      <c r="C2871" s="34">
        <v>16.1</v>
      </c>
      <c r="D2871" s="36">
        <v>45034.0</v>
      </c>
      <c r="E2871" s="24"/>
      <c r="F2871" s="14" t="s">
        <v>6012</v>
      </c>
      <c r="G2871" s="14">
        <v>51.94</v>
      </c>
      <c r="H2871" s="14">
        <v>0.0</v>
      </c>
      <c r="I2871" s="14" t="s">
        <v>6042</v>
      </c>
      <c r="J2871" s="14" t="s">
        <v>6012</v>
      </c>
      <c r="K2871" s="14">
        <v>16.1</v>
      </c>
      <c r="L2871" s="14">
        <v>0.0</v>
      </c>
    </row>
    <row r="2872">
      <c r="A2872" s="14">
        <v>119.0</v>
      </c>
      <c r="B2872" s="14">
        <v>0.0</v>
      </c>
      <c r="C2872" s="34">
        <v>12.4</v>
      </c>
      <c r="D2872" s="36">
        <v>45035.0</v>
      </c>
      <c r="E2872" s="24"/>
      <c r="F2872" s="14" t="s">
        <v>6012</v>
      </c>
      <c r="G2872" s="14">
        <v>104.2</v>
      </c>
      <c r="H2872" s="14">
        <v>0.0</v>
      </c>
      <c r="I2872" s="14" t="s">
        <v>6057</v>
      </c>
      <c r="J2872" s="14" t="s">
        <v>6012</v>
      </c>
      <c r="K2872" s="14" t="s">
        <v>6012</v>
      </c>
      <c r="L2872" s="14">
        <v>0.0</v>
      </c>
    </row>
    <row r="2873">
      <c r="A2873" s="14">
        <v>544.0</v>
      </c>
      <c r="B2873" s="14">
        <v>1.0</v>
      </c>
      <c r="C2873" s="34">
        <v>12.16</v>
      </c>
      <c r="D2873" s="36">
        <v>45035.0</v>
      </c>
      <c r="E2873" s="24"/>
      <c r="F2873" s="14">
        <v>12.16</v>
      </c>
      <c r="G2873" s="14">
        <v>22.35</v>
      </c>
      <c r="H2873" s="14">
        <v>0.18</v>
      </c>
      <c r="I2873" s="14" t="s">
        <v>6062</v>
      </c>
      <c r="J2873" s="14">
        <v>600.0</v>
      </c>
      <c r="K2873" s="14">
        <v>2.03</v>
      </c>
      <c r="L2873" s="14">
        <v>0.0</v>
      </c>
    </row>
    <row r="2874">
      <c r="A2874" s="14">
        <v>129.0</v>
      </c>
      <c r="B2874" s="14">
        <v>0.0</v>
      </c>
      <c r="C2874" s="34">
        <v>12.61</v>
      </c>
      <c r="D2874" s="36">
        <v>45035.0</v>
      </c>
      <c r="E2874" s="24"/>
      <c r="F2874" s="14" t="s">
        <v>6012</v>
      </c>
      <c r="G2874" s="14">
        <v>97.75</v>
      </c>
      <c r="H2874" s="14">
        <v>0.0</v>
      </c>
      <c r="I2874" s="14" t="s">
        <v>6063</v>
      </c>
      <c r="J2874" s="14" t="s">
        <v>6012</v>
      </c>
      <c r="K2874" s="14">
        <v>6.3</v>
      </c>
      <c r="L2874" s="14">
        <v>0.0</v>
      </c>
    </row>
    <row r="2875">
      <c r="A2875" s="14">
        <v>100.0</v>
      </c>
      <c r="B2875" s="14">
        <v>2.0</v>
      </c>
      <c r="C2875" s="34">
        <v>12.19</v>
      </c>
      <c r="D2875" s="36">
        <v>45035.0</v>
      </c>
      <c r="E2875" s="24"/>
      <c r="F2875" s="14">
        <v>6.1</v>
      </c>
      <c r="G2875" s="14">
        <v>121.9</v>
      </c>
      <c r="H2875" s="14">
        <v>2.0</v>
      </c>
      <c r="I2875" s="14" t="s">
        <v>6058</v>
      </c>
      <c r="J2875" s="14">
        <v>50.0</v>
      </c>
      <c r="K2875" s="14">
        <v>12.19</v>
      </c>
      <c r="L2875" s="14">
        <v>1.0</v>
      </c>
    </row>
    <row r="2876">
      <c r="A2876" s="14">
        <v>567.0</v>
      </c>
      <c r="B2876" s="14">
        <v>10.0</v>
      </c>
      <c r="C2876" s="34">
        <v>12.16</v>
      </c>
      <c r="D2876" s="36">
        <v>45035.0</v>
      </c>
      <c r="E2876" s="24"/>
      <c r="F2876" s="14">
        <v>1.22</v>
      </c>
      <c r="G2876" s="14">
        <v>21.45</v>
      </c>
      <c r="H2876" s="14">
        <v>1.76</v>
      </c>
      <c r="I2876" s="14" t="s">
        <v>6060</v>
      </c>
      <c r="J2876" s="14">
        <v>60.0</v>
      </c>
      <c r="K2876" s="14">
        <v>2.03</v>
      </c>
      <c r="L2876" s="14">
        <v>0.0</v>
      </c>
    </row>
    <row r="2877">
      <c r="A2877" s="14">
        <v>87.0</v>
      </c>
      <c r="B2877" s="14">
        <v>0.0</v>
      </c>
      <c r="C2877" s="34">
        <v>12.25</v>
      </c>
      <c r="D2877" s="36">
        <v>45035.0</v>
      </c>
      <c r="E2877" s="24"/>
      <c r="F2877" s="14" t="s">
        <v>6012</v>
      </c>
      <c r="G2877" s="14">
        <v>140.8</v>
      </c>
      <c r="H2877" s="14">
        <v>0.0</v>
      </c>
      <c r="I2877" s="14" t="s">
        <v>6061</v>
      </c>
      <c r="J2877" s="14" t="s">
        <v>6012</v>
      </c>
      <c r="K2877" s="14" t="s">
        <v>6012</v>
      </c>
      <c r="L2877" s="14">
        <v>0.0</v>
      </c>
    </row>
    <row r="2878">
      <c r="A2878" s="14">
        <v>694.0</v>
      </c>
      <c r="B2878" s="14">
        <v>1.0</v>
      </c>
      <c r="C2878" s="34">
        <v>11.87</v>
      </c>
      <c r="D2878" s="36">
        <v>45035.0</v>
      </c>
      <c r="E2878" s="24"/>
      <c r="F2878" s="14">
        <v>11.87</v>
      </c>
      <c r="G2878" s="14">
        <v>17.1</v>
      </c>
      <c r="H2878" s="14">
        <v>0.14</v>
      </c>
      <c r="I2878" s="14" t="s">
        <v>6054</v>
      </c>
      <c r="J2878" s="14">
        <v>0.0</v>
      </c>
      <c r="K2878" s="14" t="s">
        <v>6012</v>
      </c>
      <c r="L2878" s="14">
        <v>0.0</v>
      </c>
    </row>
    <row r="2879">
      <c r="A2879" s="14">
        <v>980.0</v>
      </c>
      <c r="B2879" s="14">
        <v>10.0</v>
      </c>
      <c r="C2879" s="34">
        <v>12.13</v>
      </c>
      <c r="D2879" s="36">
        <v>45035.0</v>
      </c>
      <c r="E2879" s="24"/>
      <c r="F2879" s="14">
        <v>1.21</v>
      </c>
      <c r="G2879" s="14">
        <v>12.38</v>
      </c>
      <c r="H2879" s="14">
        <v>1.02</v>
      </c>
      <c r="I2879" s="14" t="s">
        <v>6051</v>
      </c>
      <c r="J2879" s="14">
        <v>20.0</v>
      </c>
      <c r="K2879" s="14">
        <v>6.06</v>
      </c>
      <c r="L2879" s="14">
        <v>0.0</v>
      </c>
    </row>
    <row r="2880">
      <c r="A2880" s="14">
        <v>336.0</v>
      </c>
      <c r="B2880" s="14">
        <v>1.0</v>
      </c>
      <c r="C2880" s="34">
        <v>11.82</v>
      </c>
      <c r="D2880" s="36">
        <v>45035.0</v>
      </c>
      <c r="E2880" s="24"/>
      <c r="F2880" s="14">
        <v>11.82</v>
      </c>
      <c r="G2880" s="14">
        <v>35.18</v>
      </c>
      <c r="H2880" s="14">
        <v>0.3</v>
      </c>
      <c r="I2880" s="14" t="s">
        <v>6042</v>
      </c>
      <c r="J2880" s="14">
        <v>100.0</v>
      </c>
      <c r="K2880" s="14">
        <v>11.82</v>
      </c>
      <c r="L2880" s="14">
        <v>0.0</v>
      </c>
    </row>
    <row r="2881">
      <c r="A2881" s="14">
        <v>53.0</v>
      </c>
      <c r="B2881" s="14">
        <v>0.0</v>
      </c>
      <c r="C2881" s="34">
        <v>11.99</v>
      </c>
      <c r="D2881" s="36">
        <v>45035.0</v>
      </c>
      <c r="E2881" s="24"/>
      <c r="F2881" s="14" t="s">
        <v>6012</v>
      </c>
      <c r="G2881" s="14">
        <v>226.23</v>
      </c>
      <c r="H2881" s="14">
        <v>0.0</v>
      </c>
      <c r="I2881" s="14" t="s">
        <v>6059</v>
      </c>
      <c r="J2881" s="14" t="s">
        <v>6012</v>
      </c>
      <c r="K2881" s="14" t="s">
        <v>6012</v>
      </c>
      <c r="L2881" s="14">
        <v>0.0</v>
      </c>
    </row>
    <row r="2882">
      <c r="A2882" s="14">
        <v>1721.0</v>
      </c>
      <c r="B2882" s="14">
        <v>14.0</v>
      </c>
      <c r="C2882" s="34">
        <v>11.78</v>
      </c>
      <c r="D2882" s="36">
        <v>45035.0</v>
      </c>
      <c r="E2882" s="24"/>
      <c r="F2882" s="14">
        <v>0.84</v>
      </c>
      <c r="G2882" s="14">
        <v>6.84</v>
      </c>
      <c r="H2882" s="14">
        <v>0.81</v>
      </c>
      <c r="I2882" s="14" t="s">
        <v>6050</v>
      </c>
      <c r="J2882" s="14">
        <v>42.86</v>
      </c>
      <c r="K2882" s="14">
        <v>1.96</v>
      </c>
      <c r="L2882" s="14">
        <v>0.0</v>
      </c>
    </row>
    <row r="2883">
      <c r="A2883" s="14">
        <v>452.0</v>
      </c>
      <c r="B2883" s="14">
        <v>5.0</v>
      </c>
      <c r="C2883" s="34">
        <v>12.02</v>
      </c>
      <c r="D2883" s="36">
        <v>45036.0</v>
      </c>
      <c r="E2883" s="24"/>
      <c r="F2883" s="14">
        <v>2.4</v>
      </c>
      <c r="G2883" s="14">
        <v>26.59</v>
      </c>
      <c r="H2883" s="14">
        <v>1.11</v>
      </c>
      <c r="I2883" s="14" t="s">
        <v>6054</v>
      </c>
      <c r="J2883" s="14">
        <v>0.0</v>
      </c>
      <c r="K2883" s="14" t="s">
        <v>6012</v>
      </c>
      <c r="L2883" s="14">
        <v>0.0</v>
      </c>
    </row>
    <row r="2884">
      <c r="A2884" s="14">
        <v>642.0</v>
      </c>
      <c r="B2884" s="14">
        <v>4.0</v>
      </c>
      <c r="C2884" s="34">
        <v>11.62</v>
      </c>
      <c r="D2884" s="36">
        <v>45036.0</v>
      </c>
      <c r="E2884" s="24"/>
      <c r="F2884" s="14">
        <v>2.9</v>
      </c>
      <c r="G2884" s="14">
        <v>18.1</v>
      </c>
      <c r="H2884" s="14">
        <v>0.62</v>
      </c>
      <c r="I2884" s="14" t="s">
        <v>6060</v>
      </c>
      <c r="J2884" s="14">
        <v>75.0</v>
      </c>
      <c r="K2884" s="14">
        <v>3.87</v>
      </c>
      <c r="L2884" s="14">
        <v>0.0</v>
      </c>
    </row>
    <row r="2885">
      <c r="A2885" s="14">
        <v>110.0</v>
      </c>
      <c r="B2885" s="14">
        <v>1.0</v>
      </c>
      <c r="C2885" s="34">
        <v>11.08</v>
      </c>
      <c r="D2885" s="36">
        <v>45036.0</v>
      </c>
      <c r="E2885" s="24"/>
      <c r="F2885" s="14">
        <v>11.08</v>
      </c>
      <c r="G2885" s="14">
        <v>100.73</v>
      </c>
      <c r="H2885" s="14">
        <v>0.91</v>
      </c>
      <c r="I2885" s="14" t="s">
        <v>6061</v>
      </c>
      <c r="J2885" s="14">
        <v>100.0</v>
      </c>
      <c r="K2885" s="14">
        <v>11.08</v>
      </c>
      <c r="L2885" s="14">
        <v>0.0</v>
      </c>
    </row>
    <row r="2886">
      <c r="A2886" s="14">
        <v>55.0</v>
      </c>
      <c r="B2886" s="14">
        <v>0.0</v>
      </c>
      <c r="C2886" s="34">
        <v>12.03</v>
      </c>
      <c r="D2886" s="36">
        <v>45036.0</v>
      </c>
      <c r="E2886" s="24"/>
      <c r="F2886" s="14" t="s">
        <v>6012</v>
      </c>
      <c r="G2886" s="14">
        <v>218.73</v>
      </c>
      <c r="H2886" s="14">
        <v>0.0</v>
      </c>
      <c r="I2886" s="14" t="s">
        <v>6059</v>
      </c>
      <c r="J2886" s="14" t="s">
        <v>6012</v>
      </c>
      <c r="K2886" s="14">
        <v>12.03</v>
      </c>
      <c r="L2886" s="14">
        <v>0.0</v>
      </c>
    </row>
    <row r="2887">
      <c r="A2887" s="14">
        <v>176.0</v>
      </c>
      <c r="B2887" s="14">
        <v>1.0</v>
      </c>
      <c r="C2887" s="34">
        <v>13.0</v>
      </c>
      <c r="D2887" s="36">
        <v>45036.0</v>
      </c>
      <c r="E2887" s="24"/>
      <c r="F2887" s="14">
        <v>13.0</v>
      </c>
      <c r="G2887" s="14">
        <v>73.86</v>
      </c>
      <c r="H2887" s="14">
        <v>0.57</v>
      </c>
      <c r="I2887" s="14" t="s">
        <v>6057</v>
      </c>
      <c r="J2887" s="14">
        <v>0.0</v>
      </c>
      <c r="K2887" s="14" t="s">
        <v>6012</v>
      </c>
      <c r="L2887" s="14">
        <v>0.0</v>
      </c>
    </row>
    <row r="2888">
      <c r="A2888" s="14">
        <v>290.0</v>
      </c>
      <c r="B2888" s="14">
        <v>1.0</v>
      </c>
      <c r="C2888" s="34">
        <v>11.57</v>
      </c>
      <c r="D2888" s="36">
        <v>45036.0</v>
      </c>
      <c r="E2888" s="24"/>
      <c r="F2888" s="14">
        <v>11.57</v>
      </c>
      <c r="G2888" s="14">
        <v>39.9</v>
      </c>
      <c r="H2888" s="14">
        <v>0.34</v>
      </c>
      <c r="I2888" s="14" t="s">
        <v>6042</v>
      </c>
      <c r="J2888" s="14">
        <v>100.0</v>
      </c>
      <c r="K2888" s="14">
        <v>11.57</v>
      </c>
      <c r="L2888" s="14">
        <v>0.0</v>
      </c>
    </row>
    <row r="2889">
      <c r="A2889" s="14">
        <v>102.0</v>
      </c>
      <c r="B2889" s="14">
        <v>0.0</v>
      </c>
      <c r="C2889" s="34">
        <v>11.41</v>
      </c>
      <c r="D2889" s="36">
        <v>45036.0</v>
      </c>
      <c r="E2889" s="24"/>
      <c r="F2889" s="14" t="s">
        <v>6012</v>
      </c>
      <c r="G2889" s="14">
        <v>111.86</v>
      </c>
      <c r="H2889" s="14">
        <v>0.0</v>
      </c>
      <c r="I2889" s="14" t="s">
        <v>6063</v>
      </c>
      <c r="J2889" s="14" t="s">
        <v>6012</v>
      </c>
      <c r="K2889" s="14" t="s">
        <v>6012</v>
      </c>
      <c r="L2889" s="14">
        <v>0.0</v>
      </c>
    </row>
    <row r="2890">
      <c r="A2890" s="14">
        <v>177.0</v>
      </c>
      <c r="B2890" s="14">
        <v>0.0</v>
      </c>
      <c r="C2890" s="34">
        <v>12.42</v>
      </c>
      <c r="D2890" s="36">
        <v>45036.0</v>
      </c>
      <c r="E2890" s="24"/>
      <c r="F2890" s="14" t="s">
        <v>6012</v>
      </c>
      <c r="G2890" s="14">
        <v>70.17</v>
      </c>
      <c r="H2890" s="14">
        <v>0.0</v>
      </c>
      <c r="I2890" s="14" t="s">
        <v>6058</v>
      </c>
      <c r="J2890" s="14" t="s">
        <v>6012</v>
      </c>
      <c r="K2890" s="14">
        <v>12.42</v>
      </c>
      <c r="L2890" s="14">
        <v>0.0</v>
      </c>
    </row>
    <row r="2891">
      <c r="A2891" s="14">
        <v>450.0</v>
      </c>
      <c r="B2891" s="14">
        <v>5.0</v>
      </c>
      <c r="C2891" s="34">
        <v>11.51</v>
      </c>
      <c r="D2891" s="36">
        <v>45036.0</v>
      </c>
      <c r="E2891" s="24"/>
      <c r="F2891" s="14">
        <v>2.3</v>
      </c>
      <c r="G2891" s="14">
        <v>25.58</v>
      </c>
      <c r="H2891" s="14">
        <v>1.11</v>
      </c>
      <c r="I2891" s="14" t="s">
        <v>6062</v>
      </c>
      <c r="J2891" s="14">
        <v>80.0</v>
      </c>
      <c r="K2891" s="14">
        <v>2.88</v>
      </c>
      <c r="L2891" s="14">
        <v>0.0</v>
      </c>
    </row>
    <row r="2892">
      <c r="A2892" s="14">
        <v>0.0</v>
      </c>
      <c r="B2892" s="14">
        <v>0.0</v>
      </c>
      <c r="C2892" s="34"/>
      <c r="D2892" s="36">
        <v>45036.0</v>
      </c>
      <c r="E2892" s="24"/>
      <c r="F2892" s="14" t="s">
        <v>6012</v>
      </c>
      <c r="G2892" s="14" t="s">
        <v>6012</v>
      </c>
      <c r="H2892" s="14" t="s">
        <v>6012</v>
      </c>
      <c r="I2892" s="14" t="s">
        <v>6039</v>
      </c>
      <c r="J2892" s="14" t="s">
        <v>6012</v>
      </c>
      <c r="K2892" s="14" t="s">
        <v>6012</v>
      </c>
      <c r="L2892" s="14"/>
    </row>
    <row r="2893">
      <c r="A2893" s="14">
        <v>1227.0</v>
      </c>
      <c r="B2893" s="14">
        <v>10.0</v>
      </c>
      <c r="C2893" s="34">
        <v>11.9</v>
      </c>
      <c r="D2893" s="36">
        <v>45036.0</v>
      </c>
      <c r="E2893" s="24"/>
      <c r="F2893" s="14">
        <v>1.19</v>
      </c>
      <c r="G2893" s="14">
        <v>9.7</v>
      </c>
      <c r="H2893" s="14">
        <v>0.81</v>
      </c>
      <c r="I2893" s="14" t="s">
        <v>6051</v>
      </c>
      <c r="J2893" s="14">
        <v>40.0</v>
      </c>
      <c r="K2893" s="14">
        <v>2.98</v>
      </c>
      <c r="L2893" s="14">
        <v>0.0</v>
      </c>
    </row>
    <row r="2894">
      <c r="A2894" s="14">
        <v>1712.0</v>
      </c>
      <c r="B2894" s="14">
        <v>12.0</v>
      </c>
      <c r="C2894" s="34">
        <v>11.75</v>
      </c>
      <c r="D2894" s="36">
        <v>45036.0</v>
      </c>
      <c r="E2894" s="24"/>
      <c r="F2894" s="14">
        <v>0.98</v>
      </c>
      <c r="G2894" s="14">
        <v>6.86</v>
      </c>
      <c r="H2894" s="14">
        <v>0.7</v>
      </c>
      <c r="I2894" s="14" t="s">
        <v>6050</v>
      </c>
      <c r="J2894" s="14">
        <v>41.67</v>
      </c>
      <c r="K2894" s="14">
        <v>2.35</v>
      </c>
      <c r="L2894" s="14">
        <v>0.0</v>
      </c>
    </row>
    <row r="2895">
      <c r="A2895" s="14">
        <v>1035.0</v>
      </c>
      <c r="B2895" s="14">
        <v>13.0</v>
      </c>
      <c r="C2895" s="34">
        <v>10.58</v>
      </c>
      <c r="D2895" s="36">
        <v>45037.0</v>
      </c>
      <c r="E2895" s="24"/>
      <c r="F2895" s="14">
        <v>0.81</v>
      </c>
      <c r="G2895" s="14">
        <v>10.22</v>
      </c>
      <c r="H2895" s="14">
        <v>1.26</v>
      </c>
      <c r="I2895" s="14" t="s">
        <v>6051</v>
      </c>
      <c r="J2895" s="14">
        <v>15.38</v>
      </c>
      <c r="K2895" s="14">
        <v>5.29</v>
      </c>
      <c r="L2895" s="14">
        <v>0.0</v>
      </c>
    </row>
    <row r="2896">
      <c r="A2896" s="14">
        <v>494.0</v>
      </c>
      <c r="B2896" s="14">
        <v>4.0</v>
      </c>
      <c r="C2896" s="34">
        <v>9.89</v>
      </c>
      <c r="D2896" s="36">
        <v>45037.0</v>
      </c>
      <c r="E2896" s="24"/>
      <c r="F2896" s="14">
        <v>2.47</v>
      </c>
      <c r="G2896" s="14">
        <v>20.02</v>
      </c>
      <c r="H2896" s="14">
        <v>0.81</v>
      </c>
      <c r="I2896" s="14" t="s">
        <v>6060</v>
      </c>
      <c r="J2896" s="14">
        <v>25.0</v>
      </c>
      <c r="K2896" s="14">
        <v>9.89</v>
      </c>
      <c r="L2896" s="14">
        <v>0.0</v>
      </c>
    </row>
    <row r="2897">
      <c r="A2897" s="14">
        <v>336.0</v>
      </c>
      <c r="B2897" s="14">
        <v>3.0</v>
      </c>
      <c r="C2897" s="34">
        <v>11.95</v>
      </c>
      <c r="D2897" s="36">
        <v>45037.0</v>
      </c>
      <c r="E2897" s="24"/>
      <c r="F2897" s="14">
        <v>3.98</v>
      </c>
      <c r="G2897" s="14">
        <v>35.57</v>
      </c>
      <c r="H2897" s="14">
        <v>0.89</v>
      </c>
      <c r="I2897" s="14" t="s">
        <v>6054</v>
      </c>
      <c r="J2897" s="14">
        <v>33.33</v>
      </c>
      <c r="K2897" s="14">
        <v>11.95</v>
      </c>
      <c r="L2897" s="14">
        <v>0.0</v>
      </c>
    </row>
    <row r="2898">
      <c r="A2898" s="14">
        <v>275.0</v>
      </c>
      <c r="B2898" s="14">
        <v>0.0</v>
      </c>
      <c r="C2898" s="34">
        <v>10.74</v>
      </c>
      <c r="D2898" s="36">
        <v>45037.0</v>
      </c>
      <c r="E2898" s="24"/>
      <c r="F2898" s="14" t="s">
        <v>6012</v>
      </c>
      <c r="G2898" s="14">
        <v>39.05</v>
      </c>
      <c r="H2898" s="14">
        <v>0.0</v>
      </c>
      <c r="I2898" s="14" t="s">
        <v>6042</v>
      </c>
      <c r="J2898" s="14" t="s">
        <v>6012</v>
      </c>
      <c r="K2898" s="14" t="s">
        <v>6012</v>
      </c>
      <c r="L2898" s="14">
        <v>0.0</v>
      </c>
    </row>
    <row r="2899">
      <c r="A2899" s="14">
        <v>116.0</v>
      </c>
      <c r="B2899" s="14">
        <v>3.0</v>
      </c>
      <c r="C2899" s="34">
        <v>10.75</v>
      </c>
      <c r="D2899" s="36">
        <v>45037.0</v>
      </c>
      <c r="E2899" s="24"/>
      <c r="F2899" s="14">
        <v>3.58</v>
      </c>
      <c r="G2899" s="14">
        <v>92.67</v>
      </c>
      <c r="H2899" s="14">
        <v>2.59</v>
      </c>
      <c r="I2899" s="14" t="s">
        <v>6057</v>
      </c>
      <c r="J2899" s="14">
        <v>0.0</v>
      </c>
      <c r="K2899" s="14" t="s">
        <v>6012</v>
      </c>
      <c r="L2899" s="14">
        <v>0.0</v>
      </c>
    </row>
    <row r="2900">
      <c r="A2900" s="14">
        <v>128.0</v>
      </c>
      <c r="B2900" s="14">
        <v>0.0</v>
      </c>
      <c r="C2900" s="34">
        <v>11.01</v>
      </c>
      <c r="D2900" s="36">
        <v>45037.0</v>
      </c>
      <c r="E2900" s="24"/>
      <c r="F2900" s="14" t="s">
        <v>6012</v>
      </c>
      <c r="G2900" s="14">
        <v>86.02</v>
      </c>
      <c r="H2900" s="14">
        <v>0.0</v>
      </c>
      <c r="I2900" s="14" t="s">
        <v>6063</v>
      </c>
      <c r="J2900" s="14" t="s">
        <v>6012</v>
      </c>
      <c r="K2900" s="14" t="s">
        <v>6012</v>
      </c>
      <c r="L2900" s="14">
        <v>0.0</v>
      </c>
    </row>
    <row r="2901">
      <c r="A2901" s="14">
        <v>120.0</v>
      </c>
      <c r="B2901" s="14">
        <v>2.0</v>
      </c>
      <c r="C2901" s="34">
        <v>11.01</v>
      </c>
      <c r="D2901" s="36">
        <v>45037.0</v>
      </c>
      <c r="E2901" s="24"/>
      <c r="F2901" s="14">
        <v>5.5</v>
      </c>
      <c r="G2901" s="14">
        <v>91.75</v>
      </c>
      <c r="H2901" s="14">
        <v>1.67</v>
      </c>
      <c r="I2901" s="14" t="s">
        <v>6058</v>
      </c>
      <c r="J2901" s="14">
        <v>0.0</v>
      </c>
      <c r="K2901" s="14" t="s">
        <v>6012</v>
      </c>
      <c r="L2901" s="14">
        <v>0.0</v>
      </c>
    </row>
    <row r="2902">
      <c r="A2902" s="14">
        <v>46.0</v>
      </c>
      <c r="B2902" s="14">
        <v>0.0</v>
      </c>
      <c r="C2902" s="34">
        <v>10.24</v>
      </c>
      <c r="D2902" s="36">
        <v>45037.0</v>
      </c>
      <c r="E2902" s="24"/>
      <c r="F2902" s="14" t="s">
        <v>6012</v>
      </c>
      <c r="G2902" s="14">
        <v>222.61</v>
      </c>
      <c r="H2902" s="14">
        <v>0.0</v>
      </c>
      <c r="I2902" s="14" t="s">
        <v>6059</v>
      </c>
      <c r="J2902" s="14" t="s">
        <v>6012</v>
      </c>
      <c r="K2902" s="14">
        <v>10.24</v>
      </c>
      <c r="L2902" s="14">
        <v>0.0</v>
      </c>
    </row>
    <row r="2903">
      <c r="A2903" s="14">
        <v>428.0</v>
      </c>
      <c r="B2903" s="14">
        <v>1.0</v>
      </c>
      <c r="C2903" s="34">
        <v>9.8</v>
      </c>
      <c r="D2903" s="36">
        <v>45037.0</v>
      </c>
      <c r="E2903" s="24"/>
      <c r="F2903" s="14">
        <v>9.8</v>
      </c>
      <c r="G2903" s="14">
        <v>22.9</v>
      </c>
      <c r="H2903" s="14">
        <v>0.23</v>
      </c>
      <c r="I2903" s="14" t="s">
        <v>6062</v>
      </c>
      <c r="J2903" s="14">
        <v>200.0</v>
      </c>
      <c r="K2903" s="14">
        <v>4.9</v>
      </c>
      <c r="L2903" s="14">
        <v>0.0</v>
      </c>
    </row>
    <row r="2904">
      <c r="A2904" s="14">
        <v>250.0</v>
      </c>
      <c r="B2904" s="14">
        <v>4.0</v>
      </c>
      <c r="C2904" s="34">
        <v>2.32</v>
      </c>
      <c r="D2904" s="36">
        <v>45037.0</v>
      </c>
      <c r="E2904" s="24"/>
      <c r="F2904" s="14">
        <v>0.58</v>
      </c>
      <c r="G2904" s="14">
        <v>9.28</v>
      </c>
      <c r="H2904" s="14">
        <v>1.6</v>
      </c>
      <c r="I2904" s="14" t="s">
        <v>6050</v>
      </c>
      <c r="J2904" s="14">
        <v>25.0</v>
      </c>
      <c r="K2904" s="14">
        <v>2.32</v>
      </c>
      <c r="L2904" s="14">
        <v>0.0</v>
      </c>
    </row>
    <row r="2905">
      <c r="A2905" s="14">
        <v>101.0</v>
      </c>
      <c r="B2905" s="14">
        <v>1.0</v>
      </c>
      <c r="C2905" s="34">
        <v>10.33</v>
      </c>
      <c r="D2905" s="36">
        <v>45037.0</v>
      </c>
      <c r="E2905" s="24"/>
      <c r="F2905" s="14">
        <v>10.33</v>
      </c>
      <c r="G2905" s="14">
        <v>102.28</v>
      </c>
      <c r="H2905" s="14">
        <v>0.99</v>
      </c>
      <c r="I2905" s="14" t="s">
        <v>6061</v>
      </c>
      <c r="J2905" s="14">
        <v>100.0</v>
      </c>
      <c r="K2905" s="14">
        <v>10.33</v>
      </c>
      <c r="L2905" s="14">
        <v>0.0</v>
      </c>
    </row>
    <row r="2906">
      <c r="A2906" s="14">
        <v>147.0</v>
      </c>
      <c r="B2906" s="14">
        <v>2.0</v>
      </c>
      <c r="C2906" s="34">
        <v>7.36</v>
      </c>
      <c r="D2906" s="36">
        <v>45038.0</v>
      </c>
      <c r="E2906" s="24"/>
      <c r="F2906" s="14">
        <v>3.68</v>
      </c>
      <c r="G2906" s="14">
        <v>50.07</v>
      </c>
      <c r="H2906" s="14">
        <v>1.36</v>
      </c>
      <c r="I2906" s="14" t="s">
        <v>6042</v>
      </c>
      <c r="J2906" s="14">
        <v>50.0</v>
      </c>
      <c r="K2906" s="14">
        <v>7.36</v>
      </c>
      <c r="L2906" s="14">
        <v>0.0</v>
      </c>
    </row>
    <row r="2907">
      <c r="A2907" s="14">
        <v>82.0</v>
      </c>
      <c r="B2907" s="14">
        <v>4.0</v>
      </c>
      <c r="C2907" s="34">
        <v>1.86</v>
      </c>
      <c r="D2907" s="36">
        <v>45038.0</v>
      </c>
      <c r="E2907" s="24"/>
      <c r="F2907" s="14">
        <v>0.46</v>
      </c>
      <c r="G2907" s="14">
        <v>22.68</v>
      </c>
      <c r="H2907" s="14">
        <v>4.88</v>
      </c>
      <c r="I2907" s="14" t="s">
        <v>6050</v>
      </c>
      <c r="J2907" s="14">
        <v>0.0</v>
      </c>
      <c r="K2907" s="14" t="s">
        <v>6012</v>
      </c>
      <c r="L2907" s="14">
        <v>0.0</v>
      </c>
    </row>
    <row r="2908">
      <c r="A2908" s="14">
        <v>323.0</v>
      </c>
      <c r="B2908" s="14">
        <v>1.0</v>
      </c>
      <c r="C2908" s="34">
        <v>6.86</v>
      </c>
      <c r="D2908" s="36">
        <v>45038.0</v>
      </c>
      <c r="E2908" s="24"/>
      <c r="F2908" s="14">
        <v>6.86</v>
      </c>
      <c r="G2908" s="14">
        <v>21.24</v>
      </c>
      <c r="H2908" s="14">
        <v>0.31</v>
      </c>
      <c r="I2908" s="14" t="s">
        <v>6054</v>
      </c>
      <c r="J2908" s="14">
        <v>0.0</v>
      </c>
      <c r="K2908" s="14" t="s">
        <v>6012</v>
      </c>
      <c r="L2908" s="14">
        <v>0.0</v>
      </c>
    </row>
    <row r="2909">
      <c r="A2909" s="14">
        <v>44.0</v>
      </c>
      <c r="B2909" s="14">
        <v>1.0</v>
      </c>
      <c r="C2909" s="34">
        <v>6.33</v>
      </c>
      <c r="D2909" s="36">
        <v>45038.0</v>
      </c>
      <c r="E2909" s="24"/>
      <c r="F2909" s="14">
        <v>6.33</v>
      </c>
      <c r="G2909" s="14">
        <v>143.86</v>
      </c>
      <c r="H2909" s="14">
        <v>2.27</v>
      </c>
      <c r="I2909" s="14" t="s">
        <v>6057</v>
      </c>
      <c r="J2909" s="14">
        <v>0.0</v>
      </c>
      <c r="K2909" s="14" t="s">
        <v>6012</v>
      </c>
      <c r="L2909" s="14">
        <v>0.0</v>
      </c>
    </row>
    <row r="2910">
      <c r="A2910" s="14">
        <v>503.0</v>
      </c>
      <c r="B2910" s="14">
        <v>2.0</v>
      </c>
      <c r="C2910" s="34">
        <v>5.83</v>
      </c>
      <c r="D2910" s="36">
        <v>45038.0</v>
      </c>
      <c r="E2910" s="24"/>
      <c r="F2910" s="14">
        <v>2.92</v>
      </c>
      <c r="G2910" s="14">
        <v>11.59</v>
      </c>
      <c r="H2910" s="14">
        <v>0.4</v>
      </c>
      <c r="I2910" s="14" t="s">
        <v>6051</v>
      </c>
      <c r="J2910" s="14">
        <v>0.0</v>
      </c>
      <c r="K2910" s="14" t="s">
        <v>6012</v>
      </c>
      <c r="L2910" s="14">
        <v>0.0</v>
      </c>
    </row>
    <row r="2911">
      <c r="A2911" s="14">
        <v>418.0</v>
      </c>
      <c r="B2911" s="14">
        <v>4.0</v>
      </c>
      <c r="C2911" s="34">
        <v>6.34</v>
      </c>
      <c r="D2911" s="36">
        <v>45038.0</v>
      </c>
      <c r="E2911" s="24"/>
      <c r="F2911" s="14">
        <v>1.58</v>
      </c>
      <c r="G2911" s="14">
        <v>15.17</v>
      </c>
      <c r="H2911" s="14">
        <v>0.96</v>
      </c>
      <c r="I2911" s="14" t="s">
        <v>6062</v>
      </c>
      <c r="J2911" s="14">
        <v>0.0</v>
      </c>
      <c r="K2911" s="14" t="s">
        <v>6012</v>
      </c>
      <c r="L2911" s="14">
        <v>0.0</v>
      </c>
    </row>
    <row r="2912">
      <c r="A2912" s="14">
        <v>55.0</v>
      </c>
      <c r="B2912" s="14">
        <v>0.0</v>
      </c>
      <c r="C2912" s="34">
        <v>6.2</v>
      </c>
      <c r="D2912" s="36">
        <v>45038.0</v>
      </c>
      <c r="E2912" s="24"/>
      <c r="F2912" s="14" t="s">
        <v>6012</v>
      </c>
      <c r="G2912" s="14">
        <v>112.73</v>
      </c>
      <c r="H2912" s="14">
        <v>0.0</v>
      </c>
      <c r="I2912" s="14" t="s">
        <v>6061</v>
      </c>
      <c r="J2912" s="14" t="s">
        <v>6012</v>
      </c>
      <c r="K2912" s="14" t="s">
        <v>6012</v>
      </c>
      <c r="L2912" s="14">
        <v>0.0</v>
      </c>
    </row>
    <row r="2913">
      <c r="A2913" s="14">
        <v>18.0</v>
      </c>
      <c r="B2913" s="14">
        <v>0.0</v>
      </c>
      <c r="C2913" s="34">
        <v>5.62</v>
      </c>
      <c r="D2913" s="36">
        <v>45038.0</v>
      </c>
      <c r="E2913" s="24"/>
      <c r="F2913" s="14" t="s">
        <v>6012</v>
      </c>
      <c r="G2913" s="14">
        <v>312.22</v>
      </c>
      <c r="H2913" s="14">
        <v>0.0</v>
      </c>
      <c r="I2913" s="14" t="s">
        <v>6059</v>
      </c>
      <c r="J2913" s="14" t="s">
        <v>6012</v>
      </c>
      <c r="K2913" s="14" t="s">
        <v>6012</v>
      </c>
      <c r="L2913" s="14">
        <v>0.0</v>
      </c>
    </row>
    <row r="2914">
      <c r="A2914" s="14">
        <v>53.0</v>
      </c>
      <c r="B2914" s="14">
        <v>0.0</v>
      </c>
      <c r="C2914" s="34">
        <v>5.82</v>
      </c>
      <c r="D2914" s="36">
        <v>45038.0</v>
      </c>
      <c r="E2914" s="24"/>
      <c r="F2914" s="14" t="s">
        <v>6012</v>
      </c>
      <c r="G2914" s="14">
        <v>109.81</v>
      </c>
      <c r="H2914" s="14">
        <v>0.0</v>
      </c>
      <c r="I2914" s="14" t="s">
        <v>6063</v>
      </c>
      <c r="J2914" s="14" t="s">
        <v>6012</v>
      </c>
      <c r="K2914" s="14" t="s">
        <v>6012</v>
      </c>
      <c r="L2914" s="14">
        <v>0.0</v>
      </c>
    </row>
    <row r="2915">
      <c r="A2915" s="14">
        <v>51.0</v>
      </c>
      <c r="B2915" s="14">
        <v>0.0</v>
      </c>
      <c r="C2915" s="34">
        <v>7.22</v>
      </c>
      <c r="D2915" s="36">
        <v>45038.0</v>
      </c>
      <c r="E2915" s="24"/>
      <c r="F2915" s="14" t="s">
        <v>6012</v>
      </c>
      <c r="G2915" s="14">
        <v>141.57</v>
      </c>
      <c r="H2915" s="14">
        <v>0.0</v>
      </c>
      <c r="I2915" s="14" t="s">
        <v>6058</v>
      </c>
      <c r="J2915" s="14" t="s">
        <v>6012</v>
      </c>
      <c r="K2915" s="14" t="s">
        <v>6012</v>
      </c>
      <c r="L2915" s="14">
        <v>0.0</v>
      </c>
    </row>
    <row r="2916">
      <c r="A2916" s="14">
        <v>244.0</v>
      </c>
      <c r="B2916" s="14">
        <v>0.0</v>
      </c>
      <c r="C2916" s="34">
        <v>6.4</v>
      </c>
      <c r="D2916" s="36">
        <v>45038.0</v>
      </c>
      <c r="E2916" s="24"/>
      <c r="F2916" s="14" t="s">
        <v>6012</v>
      </c>
      <c r="G2916" s="14">
        <v>26.23</v>
      </c>
      <c r="H2916" s="14">
        <v>0.0</v>
      </c>
      <c r="I2916" s="14" t="s">
        <v>6060</v>
      </c>
      <c r="J2916" s="14" t="s">
        <v>6012</v>
      </c>
      <c r="K2916" s="14" t="s">
        <v>6012</v>
      </c>
      <c r="L2916" s="14">
        <v>0.0</v>
      </c>
    </row>
    <row r="2917">
      <c r="A2917" s="14">
        <v>44.0</v>
      </c>
      <c r="B2917" s="14">
        <v>0.0</v>
      </c>
      <c r="C2917" s="34">
        <v>6.98</v>
      </c>
      <c r="D2917" s="36">
        <v>45039.0</v>
      </c>
      <c r="E2917" s="24"/>
      <c r="F2917" s="14" t="s">
        <v>6012</v>
      </c>
      <c r="G2917" s="14">
        <v>158.64</v>
      </c>
      <c r="H2917" s="14">
        <v>0.0</v>
      </c>
      <c r="I2917" s="14" t="s">
        <v>6058</v>
      </c>
      <c r="J2917" s="14" t="s">
        <v>6012</v>
      </c>
      <c r="K2917" s="14">
        <v>3.49</v>
      </c>
      <c r="L2917" s="14">
        <v>0.0</v>
      </c>
    </row>
    <row r="2918">
      <c r="A2918" s="14">
        <v>285.0</v>
      </c>
      <c r="B2918" s="14">
        <v>2.0</v>
      </c>
      <c r="C2918" s="34">
        <v>6.03</v>
      </c>
      <c r="D2918" s="36">
        <v>45039.0</v>
      </c>
      <c r="E2918" s="24"/>
      <c r="F2918" s="14">
        <v>3.02</v>
      </c>
      <c r="G2918" s="14">
        <v>21.16</v>
      </c>
      <c r="H2918" s="14">
        <v>0.7</v>
      </c>
      <c r="I2918" s="14" t="s">
        <v>6062</v>
      </c>
      <c r="J2918" s="14">
        <v>50.0</v>
      </c>
      <c r="K2918" s="14">
        <v>6.03</v>
      </c>
      <c r="L2918" s="14">
        <v>0.0</v>
      </c>
    </row>
    <row r="2919">
      <c r="A2919" s="14">
        <v>47.0</v>
      </c>
      <c r="B2919" s="14">
        <v>1.0</v>
      </c>
      <c r="C2919" s="34">
        <v>4.42</v>
      </c>
      <c r="D2919" s="36">
        <v>45039.0</v>
      </c>
      <c r="E2919" s="24"/>
      <c r="F2919" s="14">
        <v>4.42</v>
      </c>
      <c r="G2919" s="14">
        <v>94.04</v>
      </c>
      <c r="H2919" s="14">
        <v>2.13</v>
      </c>
      <c r="I2919" s="14" t="s">
        <v>6061</v>
      </c>
      <c r="J2919" s="14">
        <v>0.0</v>
      </c>
      <c r="K2919" s="14" t="s">
        <v>6012</v>
      </c>
      <c r="L2919" s="14">
        <v>0.0</v>
      </c>
    </row>
    <row r="2920">
      <c r="A2920" s="14">
        <v>556.0</v>
      </c>
      <c r="B2920" s="14">
        <v>3.0</v>
      </c>
      <c r="C2920" s="34">
        <v>5.63</v>
      </c>
      <c r="D2920" s="36">
        <v>45039.0</v>
      </c>
      <c r="E2920" s="24"/>
      <c r="F2920" s="14">
        <v>1.88</v>
      </c>
      <c r="G2920" s="14">
        <v>10.13</v>
      </c>
      <c r="H2920" s="14">
        <v>0.54</v>
      </c>
      <c r="I2920" s="14" t="s">
        <v>6050</v>
      </c>
      <c r="J2920" s="14">
        <v>33.33</v>
      </c>
      <c r="K2920" s="14">
        <v>5.63</v>
      </c>
      <c r="L2920" s="14">
        <v>0.0</v>
      </c>
    </row>
    <row r="2921">
      <c r="A2921" s="14">
        <v>46.0</v>
      </c>
      <c r="B2921" s="14">
        <v>0.0</v>
      </c>
      <c r="C2921" s="34">
        <v>6.01</v>
      </c>
      <c r="D2921" s="36">
        <v>45039.0</v>
      </c>
      <c r="E2921" s="24"/>
      <c r="F2921" s="14" t="s">
        <v>6012</v>
      </c>
      <c r="G2921" s="14">
        <v>130.65</v>
      </c>
      <c r="H2921" s="14">
        <v>0.0</v>
      </c>
      <c r="I2921" s="14" t="s">
        <v>6057</v>
      </c>
      <c r="J2921" s="14" t="s">
        <v>6012</v>
      </c>
      <c r="K2921" s="14">
        <v>6.01</v>
      </c>
      <c r="L2921" s="14">
        <v>0.0</v>
      </c>
    </row>
    <row r="2922">
      <c r="A2922" s="14">
        <v>332.0</v>
      </c>
      <c r="B2922" s="14">
        <v>3.0</v>
      </c>
      <c r="C2922" s="34">
        <v>5.97</v>
      </c>
      <c r="D2922" s="36">
        <v>45039.0</v>
      </c>
      <c r="E2922" s="24"/>
      <c r="F2922" s="14">
        <v>1.99</v>
      </c>
      <c r="G2922" s="14">
        <v>17.98</v>
      </c>
      <c r="H2922" s="14">
        <v>0.9</v>
      </c>
      <c r="I2922" s="14" t="s">
        <v>6060</v>
      </c>
      <c r="J2922" s="14">
        <v>0.0</v>
      </c>
      <c r="K2922" s="14" t="s">
        <v>6012</v>
      </c>
      <c r="L2922" s="14">
        <v>0.0</v>
      </c>
    </row>
    <row r="2923">
      <c r="A2923" s="14">
        <v>75.0</v>
      </c>
      <c r="B2923" s="14">
        <v>2.0</v>
      </c>
      <c r="C2923" s="34">
        <v>5.23</v>
      </c>
      <c r="D2923" s="36">
        <v>45039.0</v>
      </c>
      <c r="E2923" s="24"/>
      <c r="F2923" s="14">
        <v>2.62</v>
      </c>
      <c r="G2923" s="14">
        <v>69.73</v>
      </c>
      <c r="H2923" s="14">
        <v>2.67</v>
      </c>
      <c r="I2923" s="14" t="s">
        <v>6042</v>
      </c>
      <c r="J2923" s="14">
        <v>0.0</v>
      </c>
      <c r="K2923" s="14" t="s">
        <v>6012</v>
      </c>
      <c r="L2923" s="14">
        <v>0.0</v>
      </c>
    </row>
    <row r="2924">
      <c r="A2924" s="14">
        <v>25.0</v>
      </c>
      <c r="B2924" s="14">
        <v>0.0</v>
      </c>
      <c r="C2924" s="34">
        <v>6.16</v>
      </c>
      <c r="D2924" s="36">
        <v>45039.0</v>
      </c>
      <c r="E2924" s="24"/>
      <c r="F2924" s="14" t="s">
        <v>6012</v>
      </c>
      <c r="G2924" s="14">
        <v>246.4</v>
      </c>
      <c r="H2924" s="14">
        <v>0.0</v>
      </c>
      <c r="I2924" s="14" t="s">
        <v>6059</v>
      </c>
      <c r="J2924" s="14" t="s">
        <v>6012</v>
      </c>
      <c r="K2924" s="14" t="s">
        <v>6012</v>
      </c>
      <c r="L2924" s="14">
        <v>0.0</v>
      </c>
    </row>
    <row r="2925">
      <c r="A2925" s="14">
        <v>538.0</v>
      </c>
      <c r="B2925" s="14">
        <v>3.0</v>
      </c>
      <c r="C2925" s="34">
        <v>5.1</v>
      </c>
      <c r="D2925" s="36">
        <v>45039.0</v>
      </c>
      <c r="E2925" s="24"/>
      <c r="F2925" s="14">
        <v>1.7</v>
      </c>
      <c r="G2925" s="14">
        <v>9.48</v>
      </c>
      <c r="H2925" s="14">
        <v>0.56</v>
      </c>
      <c r="I2925" s="14" t="s">
        <v>6051</v>
      </c>
      <c r="J2925" s="14">
        <v>0.0</v>
      </c>
      <c r="K2925" s="14" t="s">
        <v>6012</v>
      </c>
      <c r="L2925" s="14">
        <v>0.0</v>
      </c>
    </row>
    <row r="2926">
      <c r="A2926" s="14">
        <v>30.0</v>
      </c>
      <c r="B2926" s="14">
        <v>0.0</v>
      </c>
      <c r="C2926" s="34">
        <v>4.52</v>
      </c>
      <c r="D2926" s="36">
        <v>45039.0</v>
      </c>
      <c r="E2926" s="24"/>
      <c r="F2926" s="14" t="s">
        <v>6012</v>
      </c>
      <c r="G2926" s="14">
        <v>150.67</v>
      </c>
      <c r="H2926" s="14">
        <v>0.0</v>
      </c>
      <c r="I2926" s="14" t="s">
        <v>6063</v>
      </c>
      <c r="J2926" s="14" t="s">
        <v>6012</v>
      </c>
      <c r="K2926" s="14" t="s">
        <v>6012</v>
      </c>
      <c r="L2926" s="14">
        <v>0.0</v>
      </c>
    </row>
    <row r="2927">
      <c r="A2927" s="14">
        <v>275.0</v>
      </c>
      <c r="B2927" s="14">
        <v>2.0</v>
      </c>
      <c r="C2927" s="34">
        <v>5.67</v>
      </c>
      <c r="D2927" s="36">
        <v>45039.0</v>
      </c>
      <c r="E2927" s="24"/>
      <c r="F2927" s="14">
        <v>2.84</v>
      </c>
      <c r="G2927" s="14">
        <v>20.62</v>
      </c>
      <c r="H2927" s="14">
        <v>0.73</v>
      </c>
      <c r="I2927" s="14" t="s">
        <v>6054</v>
      </c>
      <c r="J2927" s="14">
        <v>50.0</v>
      </c>
      <c r="K2927" s="14">
        <v>5.67</v>
      </c>
      <c r="L2927" s="14">
        <v>0.0</v>
      </c>
    </row>
    <row r="2928">
      <c r="A2928" s="14">
        <v>562.0</v>
      </c>
      <c r="B2928" s="14">
        <v>2.0</v>
      </c>
      <c r="C2928" s="34">
        <v>10.8</v>
      </c>
      <c r="D2928" s="36">
        <v>45040.0</v>
      </c>
      <c r="E2928" s="24"/>
      <c r="F2928" s="14">
        <v>5.4</v>
      </c>
      <c r="G2928" s="14">
        <v>19.22</v>
      </c>
      <c r="H2928" s="14">
        <v>0.36</v>
      </c>
      <c r="I2928" s="14" t="s">
        <v>6060</v>
      </c>
      <c r="J2928" s="14">
        <v>50.0</v>
      </c>
      <c r="K2928" s="14">
        <v>10.8</v>
      </c>
      <c r="L2928" s="14">
        <v>0.0</v>
      </c>
    </row>
    <row r="2929">
      <c r="A2929" s="14">
        <v>1282.0</v>
      </c>
      <c r="B2929" s="14">
        <v>14.0</v>
      </c>
      <c r="C2929" s="34">
        <v>10.86</v>
      </c>
      <c r="D2929" s="36">
        <v>45040.0</v>
      </c>
      <c r="E2929" s="24"/>
      <c r="F2929" s="14">
        <v>0.78</v>
      </c>
      <c r="G2929" s="14">
        <v>8.47</v>
      </c>
      <c r="H2929" s="14">
        <v>1.09</v>
      </c>
      <c r="I2929" s="14" t="s">
        <v>6051</v>
      </c>
      <c r="J2929" s="14">
        <v>0.0</v>
      </c>
      <c r="K2929" s="14" t="s">
        <v>6012</v>
      </c>
      <c r="L2929" s="14">
        <v>0.0</v>
      </c>
    </row>
    <row r="2930">
      <c r="A2930" s="14">
        <v>604.0</v>
      </c>
      <c r="B2930" s="14">
        <v>1.0</v>
      </c>
      <c r="C2930" s="34">
        <v>11.3</v>
      </c>
      <c r="D2930" s="36">
        <v>45040.0</v>
      </c>
      <c r="E2930" s="24"/>
      <c r="F2930" s="14">
        <v>11.3</v>
      </c>
      <c r="G2930" s="14">
        <v>18.71</v>
      </c>
      <c r="H2930" s="14">
        <v>0.17</v>
      </c>
      <c r="I2930" s="14" t="s">
        <v>6054</v>
      </c>
      <c r="J2930" s="14">
        <v>0.0</v>
      </c>
      <c r="K2930" s="14" t="s">
        <v>6012</v>
      </c>
      <c r="L2930" s="14">
        <v>0.0</v>
      </c>
    </row>
    <row r="2931">
      <c r="A2931" s="14">
        <v>54.0</v>
      </c>
      <c r="B2931" s="14">
        <v>2.0</v>
      </c>
      <c r="C2931" s="34">
        <v>10.44</v>
      </c>
      <c r="D2931" s="36">
        <v>45040.0</v>
      </c>
      <c r="E2931" s="24"/>
      <c r="F2931" s="14">
        <v>5.22</v>
      </c>
      <c r="G2931" s="14">
        <v>193.33</v>
      </c>
      <c r="H2931" s="14">
        <v>3.7</v>
      </c>
      <c r="I2931" s="14" t="s">
        <v>6059</v>
      </c>
      <c r="J2931" s="14">
        <v>0.0</v>
      </c>
      <c r="K2931" s="14" t="s">
        <v>6012</v>
      </c>
      <c r="L2931" s="14">
        <v>0.0</v>
      </c>
    </row>
    <row r="2932">
      <c r="A2932" s="14">
        <v>122.0</v>
      </c>
      <c r="B2932" s="14">
        <v>0.0</v>
      </c>
      <c r="C2932" s="34">
        <v>10.79</v>
      </c>
      <c r="D2932" s="36">
        <v>45040.0</v>
      </c>
      <c r="E2932" s="24"/>
      <c r="F2932" s="14" t="s">
        <v>6012</v>
      </c>
      <c r="G2932" s="14">
        <v>88.44</v>
      </c>
      <c r="H2932" s="14">
        <v>0.0</v>
      </c>
      <c r="I2932" s="14" t="s">
        <v>6057</v>
      </c>
      <c r="J2932" s="14" t="s">
        <v>6012</v>
      </c>
      <c r="K2932" s="14" t="s">
        <v>6012</v>
      </c>
      <c r="L2932" s="14">
        <v>0.0</v>
      </c>
    </row>
    <row r="2933">
      <c r="A2933" s="14">
        <v>115.0</v>
      </c>
      <c r="B2933" s="14">
        <v>0.0</v>
      </c>
      <c r="C2933" s="34">
        <v>10.81</v>
      </c>
      <c r="D2933" s="36">
        <v>45040.0</v>
      </c>
      <c r="E2933" s="24"/>
      <c r="F2933" s="14" t="s">
        <v>6012</v>
      </c>
      <c r="G2933" s="14">
        <v>94.0</v>
      </c>
      <c r="H2933" s="14">
        <v>0.0</v>
      </c>
      <c r="I2933" s="14" t="s">
        <v>6061</v>
      </c>
      <c r="J2933" s="14" t="s">
        <v>6012</v>
      </c>
      <c r="K2933" s="14" t="s">
        <v>6012</v>
      </c>
      <c r="L2933" s="14">
        <v>0.0</v>
      </c>
    </row>
    <row r="2934">
      <c r="A2934" s="14">
        <v>147.0</v>
      </c>
      <c r="B2934" s="14">
        <v>1.0</v>
      </c>
      <c r="C2934" s="34">
        <v>10.19</v>
      </c>
      <c r="D2934" s="36">
        <v>45040.0</v>
      </c>
      <c r="E2934" s="24"/>
      <c r="F2934" s="14">
        <v>10.19</v>
      </c>
      <c r="G2934" s="14">
        <v>69.32</v>
      </c>
      <c r="H2934" s="14">
        <v>0.68</v>
      </c>
      <c r="I2934" s="14" t="s">
        <v>6058</v>
      </c>
      <c r="J2934" s="14">
        <v>0.0</v>
      </c>
      <c r="K2934" s="14" t="s">
        <v>6012</v>
      </c>
      <c r="L2934" s="14">
        <v>1.0</v>
      </c>
    </row>
    <row r="2935">
      <c r="A2935" s="14">
        <v>78.0</v>
      </c>
      <c r="B2935" s="14">
        <v>0.0</v>
      </c>
      <c r="C2935" s="34">
        <v>1.43</v>
      </c>
      <c r="D2935" s="36">
        <v>45040.0</v>
      </c>
      <c r="E2935" s="24"/>
      <c r="F2935" s="14" t="s">
        <v>6012</v>
      </c>
      <c r="G2935" s="14">
        <v>18.33</v>
      </c>
      <c r="H2935" s="14">
        <v>0.0</v>
      </c>
      <c r="I2935" s="14" t="s">
        <v>6050</v>
      </c>
      <c r="J2935" s="14" t="s">
        <v>6012</v>
      </c>
      <c r="K2935" s="14" t="s">
        <v>6012</v>
      </c>
      <c r="L2935" s="14">
        <v>0.0</v>
      </c>
    </row>
    <row r="2936">
      <c r="A2936" s="14">
        <v>298.0</v>
      </c>
      <c r="B2936" s="14">
        <v>2.0</v>
      </c>
      <c r="C2936" s="34">
        <v>12.35</v>
      </c>
      <c r="D2936" s="36">
        <v>45040.0</v>
      </c>
      <c r="E2936" s="24"/>
      <c r="F2936" s="14">
        <v>6.18</v>
      </c>
      <c r="G2936" s="14">
        <v>41.44</v>
      </c>
      <c r="H2936" s="14">
        <v>0.67</v>
      </c>
      <c r="I2936" s="14" t="s">
        <v>6042</v>
      </c>
      <c r="J2936" s="14">
        <v>50.0</v>
      </c>
      <c r="K2936" s="14">
        <v>12.35</v>
      </c>
      <c r="L2936" s="14">
        <v>0.0</v>
      </c>
    </row>
    <row r="2937">
      <c r="A2937" s="14">
        <v>92.0</v>
      </c>
      <c r="B2937" s="14">
        <v>0.0</v>
      </c>
      <c r="C2937" s="34">
        <v>11.34</v>
      </c>
      <c r="D2937" s="36">
        <v>45040.0</v>
      </c>
      <c r="E2937" s="24"/>
      <c r="F2937" s="14" t="s">
        <v>6012</v>
      </c>
      <c r="G2937" s="14">
        <v>123.26</v>
      </c>
      <c r="H2937" s="14">
        <v>0.0</v>
      </c>
      <c r="I2937" s="14" t="s">
        <v>6063</v>
      </c>
      <c r="J2937" s="14" t="s">
        <v>6012</v>
      </c>
      <c r="K2937" s="14" t="s">
        <v>6012</v>
      </c>
      <c r="L2937" s="14">
        <v>0.0</v>
      </c>
    </row>
    <row r="2938">
      <c r="A2938" s="14">
        <v>532.0</v>
      </c>
      <c r="B2938" s="14">
        <v>4.0</v>
      </c>
      <c r="C2938" s="34">
        <v>10.83</v>
      </c>
      <c r="D2938" s="36">
        <v>45040.0</v>
      </c>
      <c r="E2938" s="24"/>
      <c r="F2938" s="14">
        <v>2.71</v>
      </c>
      <c r="G2938" s="14">
        <v>20.36</v>
      </c>
      <c r="H2938" s="14">
        <v>0.75</v>
      </c>
      <c r="I2938" s="14" t="s">
        <v>6062</v>
      </c>
      <c r="J2938" s="14">
        <v>0.0</v>
      </c>
      <c r="K2938" s="14" t="s">
        <v>6012</v>
      </c>
      <c r="L2938" s="14">
        <v>0.0</v>
      </c>
    </row>
    <row r="2939">
      <c r="A2939" s="14">
        <v>461.0</v>
      </c>
      <c r="B2939" s="14">
        <v>2.0</v>
      </c>
      <c r="C2939" s="34">
        <v>11.47</v>
      </c>
      <c r="D2939" s="36">
        <v>45041.0</v>
      </c>
      <c r="E2939" s="24"/>
      <c r="F2939" s="14">
        <v>5.74</v>
      </c>
      <c r="G2939" s="14">
        <v>24.88</v>
      </c>
      <c r="H2939" s="14">
        <v>0.43</v>
      </c>
      <c r="I2939" s="14" t="s">
        <v>6062</v>
      </c>
      <c r="J2939" s="14">
        <v>150.0</v>
      </c>
      <c r="K2939" s="14">
        <v>3.82</v>
      </c>
      <c r="L2939" s="14">
        <v>0.0</v>
      </c>
    </row>
    <row r="2940">
      <c r="A2940" s="14">
        <v>116.0</v>
      </c>
      <c r="B2940" s="14">
        <v>0.0</v>
      </c>
      <c r="C2940" s="34">
        <v>11.97</v>
      </c>
      <c r="D2940" s="36">
        <v>45041.0</v>
      </c>
      <c r="E2940" s="24"/>
      <c r="F2940" s="14" t="s">
        <v>6012</v>
      </c>
      <c r="G2940" s="14">
        <v>103.19</v>
      </c>
      <c r="H2940" s="14">
        <v>0.0</v>
      </c>
      <c r="I2940" s="14" t="s">
        <v>6061</v>
      </c>
      <c r="J2940" s="14" t="s">
        <v>6012</v>
      </c>
      <c r="K2940" s="14" t="s">
        <v>6012</v>
      </c>
      <c r="L2940" s="14">
        <v>0.0</v>
      </c>
    </row>
    <row r="2941">
      <c r="A2941" s="14">
        <v>360.0</v>
      </c>
      <c r="B2941" s="14">
        <v>6.0</v>
      </c>
      <c r="C2941" s="34">
        <v>7.44</v>
      </c>
      <c r="D2941" s="36">
        <v>45041.0</v>
      </c>
      <c r="E2941" s="24"/>
      <c r="F2941" s="14">
        <v>1.24</v>
      </c>
      <c r="G2941" s="14">
        <v>20.67</v>
      </c>
      <c r="H2941" s="14">
        <v>1.67</v>
      </c>
      <c r="I2941" s="14" t="s">
        <v>6050</v>
      </c>
      <c r="J2941" s="14">
        <v>0.0</v>
      </c>
      <c r="K2941" s="14" t="s">
        <v>6012</v>
      </c>
      <c r="L2941" s="14">
        <v>0.0</v>
      </c>
    </row>
    <row r="2942">
      <c r="A2942" s="14">
        <v>37.0</v>
      </c>
      <c r="B2942" s="14">
        <v>1.0</v>
      </c>
      <c r="C2942" s="34">
        <v>11.19</v>
      </c>
      <c r="D2942" s="36">
        <v>45041.0</v>
      </c>
      <c r="E2942" s="24"/>
      <c r="F2942" s="14">
        <v>11.19</v>
      </c>
      <c r="G2942" s="14">
        <v>302.43</v>
      </c>
      <c r="H2942" s="14">
        <v>2.7</v>
      </c>
      <c r="I2942" s="14" t="s">
        <v>6059</v>
      </c>
      <c r="J2942" s="14">
        <v>0.0</v>
      </c>
      <c r="K2942" s="14" t="s">
        <v>6012</v>
      </c>
      <c r="L2942" s="14">
        <v>0.0</v>
      </c>
    </row>
    <row r="2943">
      <c r="A2943" s="14">
        <v>624.0</v>
      </c>
      <c r="B2943" s="14">
        <v>4.0</v>
      </c>
      <c r="C2943" s="34">
        <v>11.52</v>
      </c>
      <c r="D2943" s="36">
        <v>45041.0</v>
      </c>
      <c r="E2943" s="24"/>
      <c r="F2943" s="14">
        <v>2.88</v>
      </c>
      <c r="G2943" s="14">
        <v>18.46</v>
      </c>
      <c r="H2943" s="14">
        <v>0.64</v>
      </c>
      <c r="I2943" s="14" t="s">
        <v>6060</v>
      </c>
      <c r="J2943" s="14">
        <v>75.0</v>
      </c>
      <c r="K2943" s="14">
        <v>3.84</v>
      </c>
      <c r="L2943" s="14">
        <v>0.0</v>
      </c>
    </row>
    <row r="2944">
      <c r="A2944" s="14">
        <v>194.0</v>
      </c>
      <c r="B2944" s="14">
        <v>1.0</v>
      </c>
      <c r="C2944" s="34">
        <v>12.53</v>
      </c>
      <c r="D2944" s="36">
        <v>45041.0</v>
      </c>
      <c r="E2944" s="24"/>
      <c r="F2944" s="14">
        <v>12.53</v>
      </c>
      <c r="G2944" s="14">
        <v>64.59</v>
      </c>
      <c r="H2944" s="14">
        <v>0.52</v>
      </c>
      <c r="I2944" s="14" t="s">
        <v>6042</v>
      </c>
      <c r="J2944" s="14">
        <v>0.0</v>
      </c>
      <c r="K2944" s="14" t="s">
        <v>6012</v>
      </c>
      <c r="L2944" s="14">
        <v>0.0</v>
      </c>
    </row>
    <row r="2945">
      <c r="A2945" s="14">
        <v>137.0</v>
      </c>
      <c r="B2945" s="14">
        <v>2.0</v>
      </c>
      <c r="C2945" s="34">
        <v>10.77</v>
      </c>
      <c r="D2945" s="36">
        <v>45041.0</v>
      </c>
      <c r="E2945" s="24"/>
      <c r="F2945" s="14">
        <v>5.38</v>
      </c>
      <c r="G2945" s="14">
        <v>78.61</v>
      </c>
      <c r="H2945" s="14">
        <v>1.46</v>
      </c>
      <c r="I2945" s="14" t="s">
        <v>6058</v>
      </c>
      <c r="J2945" s="14">
        <v>50.0</v>
      </c>
      <c r="K2945" s="14">
        <v>10.77</v>
      </c>
      <c r="L2945" s="14">
        <v>0.0</v>
      </c>
    </row>
    <row r="2946">
      <c r="A2946" s="14">
        <v>180.0</v>
      </c>
      <c r="B2946" s="14">
        <v>0.0</v>
      </c>
      <c r="C2946" s="34">
        <v>11.91</v>
      </c>
      <c r="D2946" s="36">
        <v>45041.0</v>
      </c>
      <c r="E2946" s="24"/>
      <c r="F2946" s="14" t="s">
        <v>6012</v>
      </c>
      <c r="G2946" s="14">
        <v>66.17</v>
      </c>
      <c r="H2946" s="14">
        <v>0.0</v>
      </c>
      <c r="I2946" s="14" t="s">
        <v>6063</v>
      </c>
      <c r="J2946" s="14" t="s">
        <v>6012</v>
      </c>
      <c r="K2946" s="14" t="s">
        <v>6012</v>
      </c>
      <c r="L2946" s="14">
        <v>0.0</v>
      </c>
    </row>
    <row r="2947">
      <c r="A2947" s="14">
        <v>123.0</v>
      </c>
      <c r="B2947" s="14">
        <v>1.0</v>
      </c>
      <c r="C2947" s="34">
        <v>12.49</v>
      </c>
      <c r="D2947" s="36">
        <v>45041.0</v>
      </c>
      <c r="E2947" s="24"/>
      <c r="F2947" s="14">
        <v>12.49</v>
      </c>
      <c r="G2947" s="14">
        <v>101.54</v>
      </c>
      <c r="H2947" s="14">
        <v>0.81</v>
      </c>
      <c r="I2947" s="14" t="s">
        <v>6057</v>
      </c>
      <c r="J2947" s="14">
        <v>0.0</v>
      </c>
      <c r="K2947" s="14" t="s">
        <v>6012</v>
      </c>
      <c r="L2947" s="14">
        <v>1.0</v>
      </c>
    </row>
    <row r="2948">
      <c r="A2948" s="14">
        <v>631.0</v>
      </c>
      <c r="B2948" s="14">
        <v>2.0</v>
      </c>
      <c r="C2948" s="34">
        <v>11.35</v>
      </c>
      <c r="D2948" s="36">
        <v>45041.0</v>
      </c>
      <c r="E2948" s="24"/>
      <c r="F2948" s="14">
        <v>5.68</v>
      </c>
      <c r="G2948" s="14">
        <v>17.99</v>
      </c>
      <c r="H2948" s="14">
        <v>0.32</v>
      </c>
      <c r="I2948" s="14" t="s">
        <v>6054</v>
      </c>
      <c r="J2948" s="14">
        <v>50.0</v>
      </c>
      <c r="K2948" s="14">
        <v>11.35</v>
      </c>
      <c r="L2948" s="14">
        <v>1.0</v>
      </c>
    </row>
    <row r="2949">
      <c r="A2949" s="14">
        <v>827.0</v>
      </c>
      <c r="B2949" s="14">
        <v>3.0</v>
      </c>
      <c r="C2949" s="34">
        <v>11.74</v>
      </c>
      <c r="D2949" s="36">
        <v>45041.0</v>
      </c>
      <c r="E2949" s="24"/>
      <c r="F2949" s="14">
        <v>3.91</v>
      </c>
      <c r="G2949" s="14">
        <v>14.2</v>
      </c>
      <c r="H2949" s="14">
        <v>0.36</v>
      </c>
      <c r="I2949" s="14" t="s">
        <v>6051</v>
      </c>
      <c r="J2949" s="14">
        <v>0.0</v>
      </c>
      <c r="K2949" s="14" t="s">
        <v>6012</v>
      </c>
      <c r="L2949" s="14">
        <v>0.0</v>
      </c>
    </row>
    <row r="2950">
      <c r="A2950" s="14">
        <v>100.0</v>
      </c>
      <c r="B2950" s="14">
        <v>0.0</v>
      </c>
      <c r="C2950" s="34">
        <v>12.75</v>
      </c>
      <c r="D2950" s="36">
        <v>45042.0</v>
      </c>
      <c r="E2950" s="24"/>
      <c r="F2950" s="14" t="s">
        <v>6012</v>
      </c>
      <c r="G2950" s="14">
        <v>127.5</v>
      </c>
      <c r="H2950" s="14">
        <v>0.0</v>
      </c>
      <c r="I2950" s="14" t="s">
        <v>6063</v>
      </c>
      <c r="J2950" s="14" t="s">
        <v>6012</v>
      </c>
      <c r="K2950" s="14" t="s">
        <v>6012</v>
      </c>
      <c r="L2950" s="14">
        <v>0.0</v>
      </c>
    </row>
    <row r="2951">
      <c r="A2951" s="14">
        <v>226.0</v>
      </c>
      <c r="B2951" s="14">
        <v>2.0</v>
      </c>
      <c r="C2951" s="34">
        <v>12.93</v>
      </c>
      <c r="D2951" s="36">
        <v>45042.0</v>
      </c>
      <c r="E2951" s="24"/>
      <c r="F2951" s="14">
        <v>6.46</v>
      </c>
      <c r="G2951" s="14">
        <v>57.21</v>
      </c>
      <c r="H2951" s="14">
        <v>0.88</v>
      </c>
      <c r="I2951" s="14" t="s">
        <v>6042</v>
      </c>
      <c r="J2951" s="14">
        <v>50.0</v>
      </c>
      <c r="K2951" s="14">
        <v>12.93</v>
      </c>
      <c r="L2951" s="14">
        <v>0.0</v>
      </c>
    </row>
    <row r="2952">
      <c r="A2952" s="14">
        <v>88.0</v>
      </c>
      <c r="B2952" s="14">
        <v>0.0</v>
      </c>
      <c r="C2952" s="34">
        <v>12.45</v>
      </c>
      <c r="D2952" s="36">
        <v>45042.0</v>
      </c>
      <c r="E2952" s="24"/>
      <c r="F2952" s="14" t="s">
        <v>6012</v>
      </c>
      <c r="G2952" s="14">
        <v>141.48</v>
      </c>
      <c r="H2952" s="14">
        <v>0.0</v>
      </c>
      <c r="I2952" s="14" t="s">
        <v>6061</v>
      </c>
      <c r="J2952" s="14" t="s">
        <v>6012</v>
      </c>
      <c r="K2952" s="14" t="s">
        <v>6012</v>
      </c>
      <c r="L2952" s="14">
        <v>0.0</v>
      </c>
    </row>
    <row r="2953">
      <c r="A2953" s="14">
        <v>538.0</v>
      </c>
      <c r="B2953" s="14">
        <v>1.0</v>
      </c>
      <c r="C2953" s="34">
        <v>12.0</v>
      </c>
      <c r="D2953" s="36">
        <v>45042.0</v>
      </c>
      <c r="E2953" s="24"/>
      <c r="F2953" s="14">
        <v>12.0</v>
      </c>
      <c r="G2953" s="14">
        <v>22.3</v>
      </c>
      <c r="H2953" s="14">
        <v>0.19</v>
      </c>
      <c r="I2953" s="14" t="s">
        <v>6060</v>
      </c>
      <c r="J2953" s="14">
        <v>100.0</v>
      </c>
      <c r="K2953" s="14">
        <v>12.0</v>
      </c>
      <c r="L2953" s="14">
        <v>0.0</v>
      </c>
    </row>
    <row r="2954">
      <c r="A2954" s="14">
        <v>479.0</v>
      </c>
      <c r="B2954" s="14">
        <v>2.0</v>
      </c>
      <c r="C2954" s="34">
        <v>12.19</v>
      </c>
      <c r="D2954" s="36">
        <v>45042.0</v>
      </c>
      <c r="E2954" s="24"/>
      <c r="F2954" s="14">
        <v>6.1</v>
      </c>
      <c r="G2954" s="14">
        <v>25.45</v>
      </c>
      <c r="H2954" s="14">
        <v>0.42</v>
      </c>
      <c r="I2954" s="14" t="s">
        <v>6062</v>
      </c>
      <c r="J2954" s="14">
        <v>50.0</v>
      </c>
      <c r="K2954" s="14">
        <v>12.19</v>
      </c>
      <c r="L2954" s="14">
        <v>0.0</v>
      </c>
    </row>
    <row r="2955">
      <c r="A2955" s="14">
        <v>111.0</v>
      </c>
      <c r="B2955" s="14">
        <v>1.0</v>
      </c>
      <c r="C2955" s="34">
        <v>11.55</v>
      </c>
      <c r="D2955" s="36">
        <v>45042.0</v>
      </c>
      <c r="E2955" s="24"/>
      <c r="F2955" s="14">
        <v>11.55</v>
      </c>
      <c r="G2955" s="14">
        <v>104.05</v>
      </c>
      <c r="H2955" s="14">
        <v>0.9</v>
      </c>
      <c r="I2955" s="14" t="s">
        <v>6058</v>
      </c>
      <c r="J2955" s="14">
        <v>0.0</v>
      </c>
      <c r="K2955" s="14" t="s">
        <v>6012</v>
      </c>
      <c r="L2955" s="14">
        <v>0.0</v>
      </c>
    </row>
    <row r="2956">
      <c r="A2956" s="14">
        <v>50.0</v>
      </c>
      <c r="B2956" s="14">
        <v>0.0</v>
      </c>
      <c r="C2956" s="34">
        <v>11.22</v>
      </c>
      <c r="D2956" s="36">
        <v>45042.0</v>
      </c>
      <c r="E2956" s="24"/>
      <c r="F2956" s="14" t="s">
        <v>6012</v>
      </c>
      <c r="G2956" s="14">
        <v>224.4</v>
      </c>
      <c r="H2956" s="14">
        <v>0.0</v>
      </c>
      <c r="I2956" s="14" t="s">
        <v>6059</v>
      </c>
      <c r="J2956" s="14" t="s">
        <v>6012</v>
      </c>
      <c r="K2956" s="14" t="s">
        <v>6012</v>
      </c>
      <c r="L2956" s="14">
        <v>0.0</v>
      </c>
    </row>
    <row r="2957">
      <c r="A2957" s="14">
        <v>480.0</v>
      </c>
      <c r="B2957" s="14">
        <v>4.0</v>
      </c>
      <c r="C2957" s="34">
        <v>12.3</v>
      </c>
      <c r="D2957" s="36">
        <v>45042.0</v>
      </c>
      <c r="E2957" s="24"/>
      <c r="F2957" s="14">
        <v>3.08</v>
      </c>
      <c r="G2957" s="14">
        <v>25.63</v>
      </c>
      <c r="H2957" s="14">
        <v>0.83</v>
      </c>
      <c r="I2957" s="14" t="s">
        <v>6054</v>
      </c>
      <c r="J2957" s="14">
        <v>0.0</v>
      </c>
      <c r="K2957" s="14" t="s">
        <v>6012</v>
      </c>
      <c r="L2957" s="14">
        <v>0.0</v>
      </c>
    </row>
    <row r="2958">
      <c r="A2958" s="14">
        <v>58.0</v>
      </c>
      <c r="B2958" s="14">
        <v>1.0</v>
      </c>
      <c r="C2958" s="34">
        <v>1.08</v>
      </c>
      <c r="D2958" s="36">
        <v>45042.0</v>
      </c>
      <c r="E2958" s="24"/>
      <c r="F2958" s="14">
        <v>1.08</v>
      </c>
      <c r="G2958" s="14">
        <v>18.62</v>
      </c>
      <c r="H2958" s="14">
        <v>1.72</v>
      </c>
      <c r="I2958" s="14" t="s">
        <v>6050</v>
      </c>
      <c r="J2958" s="14">
        <v>100.0</v>
      </c>
      <c r="K2958" s="14">
        <v>1.08</v>
      </c>
      <c r="L2958" s="14">
        <v>0.0</v>
      </c>
    </row>
    <row r="2959">
      <c r="A2959" s="14">
        <v>120.0</v>
      </c>
      <c r="B2959" s="14">
        <v>0.0</v>
      </c>
      <c r="C2959" s="34">
        <v>11.47</v>
      </c>
      <c r="D2959" s="36">
        <v>45042.0</v>
      </c>
      <c r="E2959" s="24"/>
      <c r="F2959" s="14" t="s">
        <v>6012</v>
      </c>
      <c r="G2959" s="14">
        <v>95.58</v>
      </c>
      <c r="H2959" s="14">
        <v>0.0</v>
      </c>
      <c r="I2959" s="14" t="s">
        <v>6057</v>
      </c>
      <c r="J2959" s="14" t="s">
        <v>6012</v>
      </c>
      <c r="K2959" s="14" t="s">
        <v>6012</v>
      </c>
      <c r="L2959" s="14">
        <v>0.0</v>
      </c>
    </row>
    <row r="2960">
      <c r="A2960" s="14">
        <v>681.0</v>
      </c>
      <c r="B2960" s="14">
        <v>6.0</v>
      </c>
      <c r="C2960" s="34">
        <v>12.06</v>
      </c>
      <c r="D2960" s="36">
        <v>45042.0</v>
      </c>
      <c r="E2960" s="24"/>
      <c r="F2960" s="14">
        <v>2.01</v>
      </c>
      <c r="G2960" s="14">
        <v>17.71</v>
      </c>
      <c r="H2960" s="14">
        <v>0.88</v>
      </c>
      <c r="I2960" s="14" t="s">
        <v>6051</v>
      </c>
      <c r="J2960" s="14">
        <v>0.0</v>
      </c>
      <c r="K2960" s="14" t="s">
        <v>6012</v>
      </c>
      <c r="L2960" s="14">
        <v>0.0</v>
      </c>
    </row>
    <row r="2961">
      <c r="A2961" s="14">
        <v>114.0</v>
      </c>
      <c r="B2961" s="14">
        <v>1.0</v>
      </c>
      <c r="C2961" s="34">
        <v>12.66</v>
      </c>
      <c r="D2961" s="36">
        <v>45043.0</v>
      </c>
      <c r="E2961" s="24"/>
      <c r="F2961" s="14">
        <v>12.66</v>
      </c>
      <c r="G2961" s="14">
        <v>111.05</v>
      </c>
      <c r="H2961" s="14">
        <v>0.88</v>
      </c>
      <c r="I2961" s="14" t="s">
        <v>6058</v>
      </c>
      <c r="J2961" s="14">
        <v>100.0</v>
      </c>
      <c r="K2961" s="14">
        <v>12.66</v>
      </c>
      <c r="L2961" s="14">
        <v>0.0</v>
      </c>
    </row>
    <row r="2962">
      <c r="A2962" s="14">
        <v>138.0</v>
      </c>
      <c r="B2962" s="14">
        <v>2.0</v>
      </c>
      <c r="C2962" s="34">
        <v>3.41</v>
      </c>
      <c r="D2962" s="36">
        <v>45043.0</v>
      </c>
      <c r="E2962" s="24"/>
      <c r="F2962" s="14">
        <v>1.7</v>
      </c>
      <c r="G2962" s="14">
        <v>24.71</v>
      </c>
      <c r="H2962" s="14">
        <v>1.45</v>
      </c>
      <c r="I2962" s="14" t="s">
        <v>6050</v>
      </c>
      <c r="J2962" s="14">
        <v>50.0</v>
      </c>
      <c r="K2962" s="14">
        <v>3.41</v>
      </c>
      <c r="L2962" s="14">
        <v>0.0</v>
      </c>
    </row>
    <row r="2963">
      <c r="A2963" s="14">
        <v>52.0</v>
      </c>
      <c r="B2963" s="14">
        <v>1.0</v>
      </c>
      <c r="C2963" s="34">
        <v>11.27</v>
      </c>
      <c r="D2963" s="36">
        <v>45043.0</v>
      </c>
      <c r="E2963" s="24"/>
      <c r="F2963" s="14">
        <v>11.27</v>
      </c>
      <c r="G2963" s="14">
        <v>216.73</v>
      </c>
      <c r="H2963" s="14">
        <v>1.92</v>
      </c>
      <c r="I2963" s="14" t="s">
        <v>6059</v>
      </c>
      <c r="J2963" s="14">
        <v>100.0</v>
      </c>
      <c r="K2963" s="14">
        <v>11.27</v>
      </c>
      <c r="L2963" s="14">
        <v>0.0</v>
      </c>
    </row>
    <row r="2964">
      <c r="A2964" s="14">
        <v>148.0</v>
      </c>
      <c r="B2964" s="14">
        <v>1.0</v>
      </c>
      <c r="C2964" s="34">
        <v>11.74</v>
      </c>
      <c r="D2964" s="36">
        <v>45043.0</v>
      </c>
      <c r="E2964" s="24"/>
      <c r="F2964" s="14">
        <v>11.74</v>
      </c>
      <c r="G2964" s="14">
        <v>79.32</v>
      </c>
      <c r="H2964" s="14">
        <v>0.68</v>
      </c>
      <c r="I2964" s="14" t="s">
        <v>6061</v>
      </c>
      <c r="J2964" s="14">
        <v>100.0</v>
      </c>
      <c r="K2964" s="14">
        <v>11.74</v>
      </c>
      <c r="L2964" s="14">
        <v>0.0</v>
      </c>
    </row>
    <row r="2965">
      <c r="A2965" s="14">
        <v>1254.0</v>
      </c>
      <c r="B2965" s="14">
        <v>15.0</v>
      </c>
      <c r="C2965" s="34">
        <v>12.09</v>
      </c>
      <c r="D2965" s="36">
        <v>45043.0</v>
      </c>
      <c r="E2965" s="24"/>
      <c r="F2965" s="14">
        <v>0.81</v>
      </c>
      <c r="G2965" s="14">
        <v>9.64</v>
      </c>
      <c r="H2965" s="14">
        <v>1.2</v>
      </c>
      <c r="I2965" s="14" t="s">
        <v>6051</v>
      </c>
      <c r="J2965" s="14">
        <v>0.0</v>
      </c>
      <c r="K2965" s="14" t="s">
        <v>6012</v>
      </c>
      <c r="L2965" s="14">
        <v>0.0</v>
      </c>
    </row>
    <row r="2966">
      <c r="A2966" s="14">
        <v>522.0</v>
      </c>
      <c r="B2966" s="14">
        <v>6.0</v>
      </c>
      <c r="C2966" s="34">
        <v>13.39</v>
      </c>
      <c r="D2966" s="36">
        <v>45043.0</v>
      </c>
      <c r="E2966" s="24"/>
      <c r="F2966" s="14">
        <v>2.23</v>
      </c>
      <c r="G2966" s="14">
        <v>25.65</v>
      </c>
      <c r="H2966" s="14">
        <v>1.15</v>
      </c>
      <c r="I2966" s="14" t="s">
        <v>6054</v>
      </c>
      <c r="J2966" s="14">
        <v>50.0</v>
      </c>
      <c r="K2966" s="14">
        <v>4.46</v>
      </c>
      <c r="L2966" s="14">
        <v>0.0</v>
      </c>
    </row>
    <row r="2967">
      <c r="A2967" s="14">
        <v>402.0</v>
      </c>
      <c r="B2967" s="14">
        <v>1.0</v>
      </c>
      <c r="C2967" s="34">
        <v>12.0</v>
      </c>
      <c r="D2967" s="36">
        <v>45043.0</v>
      </c>
      <c r="E2967" s="24"/>
      <c r="F2967" s="14">
        <v>12.0</v>
      </c>
      <c r="G2967" s="14">
        <v>29.85</v>
      </c>
      <c r="H2967" s="14">
        <v>0.25</v>
      </c>
      <c r="I2967" s="14" t="s">
        <v>6062</v>
      </c>
      <c r="J2967" s="14">
        <v>300.0</v>
      </c>
      <c r="K2967" s="14">
        <v>4.0</v>
      </c>
      <c r="L2967" s="14">
        <v>0.0</v>
      </c>
    </row>
    <row r="2968">
      <c r="A2968" s="14">
        <v>559.0</v>
      </c>
      <c r="B2968" s="14">
        <v>4.0</v>
      </c>
      <c r="C2968" s="34">
        <v>11.94</v>
      </c>
      <c r="D2968" s="36">
        <v>45043.0</v>
      </c>
      <c r="E2968" s="24"/>
      <c r="F2968" s="14">
        <v>2.98</v>
      </c>
      <c r="G2968" s="14">
        <v>21.36</v>
      </c>
      <c r="H2968" s="14">
        <v>0.72</v>
      </c>
      <c r="I2968" s="14" t="s">
        <v>6060</v>
      </c>
      <c r="J2968" s="14">
        <v>50.0</v>
      </c>
      <c r="K2968" s="14">
        <v>5.97</v>
      </c>
      <c r="L2968" s="14">
        <v>0.0</v>
      </c>
    </row>
    <row r="2969">
      <c r="A2969" s="14">
        <v>96.0</v>
      </c>
      <c r="B2969" s="14">
        <v>0.0</v>
      </c>
      <c r="C2969" s="34">
        <v>11.88</v>
      </c>
      <c r="D2969" s="36">
        <v>45043.0</v>
      </c>
      <c r="E2969" s="24"/>
      <c r="F2969" s="14" t="s">
        <v>6012</v>
      </c>
      <c r="G2969" s="14">
        <v>123.75</v>
      </c>
      <c r="H2969" s="14">
        <v>0.0</v>
      </c>
      <c r="I2969" s="14" t="s">
        <v>6057</v>
      </c>
      <c r="J2969" s="14" t="s">
        <v>6012</v>
      </c>
      <c r="K2969" s="14">
        <v>11.88</v>
      </c>
      <c r="L2969" s="14">
        <v>0.0</v>
      </c>
    </row>
    <row r="2970">
      <c r="A2970" s="14">
        <v>90.0</v>
      </c>
      <c r="B2970" s="14">
        <v>0.0</v>
      </c>
      <c r="C2970" s="34">
        <v>14.05</v>
      </c>
      <c r="D2970" s="36">
        <v>45043.0</v>
      </c>
      <c r="E2970" s="24"/>
      <c r="F2970" s="14" t="s">
        <v>6012</v>
      </c>
      <c r="G2970" s="14">
        <v>156.11</v>
      </c>
      <c r="H2970" s="14">
        <v>0.0</v>
      </c>
      <c r="I2970" s="14" t="s">
        <v>6063</v>
      </c>
      <c r="J2970" s="14" t="s">
        <v>6012</v>
      </c>
      <c r="K2970" s="14" t="s">
        <v>6012</v>
      </c>
      <c r="L2970" s="14">
        <v>0.0</v>
      </c>
    </row>
    <row r="2971">
      <c r="A2971" s="14">
        <v>187.0</v>
      </c>
      <c r="B2971" s="14">
        <v>1.0</v>
      </c>
      <c r="C2971" s="34">
        <v>13.64</v>
      </c>
      <c r="D2971" s="36">
        <v>45043.0</v>
      </c>
      <c r="E2971" s="24"/>
      <c r="F2971" s="14">
        <v>13.64</v>
      </c>
      <c r="G2971" s="14">
        <v>72.94</v>
      </c>
      <c r="H2971" s="14">
        <v>0.53</v>
      </c>
      <c r="I2971" s="14" t="s">
        <v>6042</v>
      </c>
      <c r="J2971" s="14">
        <v>0.0</v>
      </c>
      <c r="K2971" s="14" t="s">
        <v>6012</v>
      </c>
      <c r="L2971" s="14">
        <v>0.0</v>
      </c>
    </row>
    <row r="2972">
      <c r="A2972" s="14">
        <v>439.0</v>
      </c>
      <c r="B2972" s="14">
        <v>2.0</v>
      </c>
      <c r="C2972" s="34">
        <v>12.01</v>
      </c>
      <c r="D2972" s="36">
        <v>45044.0</v>
      </c>
      <c r="E2972" s="24"/>
      <c r="F2972" s="14">
        <v>6.0</v>
      </c>
      <c r="G2972" s="14">
        <v>27.36</v>
      </c>
      <c r="H2972" s="14">
        <v>0.46</v>
      </c>
      <c r="I2972" s="14" t="s">
        <v>6051</v>
      </c>
      <c r="J2972" s="14">
        <v>0.0</v>
      </c>
      <c r="K2972" s="14" t="s">
        <v>6012</v>
      </c>
      <c r="L2972" s="14">
        <v>0.0</v>
      </c>
    </row>
    <row r="2973">
      <c r="A2973" s="14">
        <v>169.0</v>
      </c>
      <c r="B2973" s="14">
        <v>1.0</v>
      </c>
      <c r="C2973" s="34">
        <v>11.53</v>
      </c>
      <c r="D2973" s="36">
        <v>45044.0</v>
      </c>
      <c r="E2973" s="24"/>
      <c r="F2973" s="14">
        <v>11.53</v>
      </c>
      <c r="G2973" s="14">
        <v>68.22</v>
      </c>
      <c r="H2973" s="14">
        <v>0.59</v>
      </c>
      <c r="I2973" s="14" t="s">
        <v>6042</v>
      </c>
      <c r="J2973" s="14">
        <v>100.0</v>
      </c>
      <c r="K2973" s="14">
        <v>11.53</v>
      </c>
      <c r="L2973" s="14">
        <v>0.0</v>
      </c>
    </row>
    <row r="2974">
      <c r="A2974" s="14">
        <v>83.0</v>
      </c>
      <c r="B2974" s="14">
        <v>0.0</v>
      </c>
      <c r="C2974" s="34">
        <v>11.03</v>
      </c>
      <c r="D2974" s="36">
        <v>45044.0</v>
      </c>
      <c r="E2974" s="24"/>
      <c r="F2974" s="14" t="s">
        <v>6012</v>
      </c>
      <c r="G2974" s="14">
        <v>132.89</v>
      </c>
      <c r="H2974" s="14">
        <v>0.0</v>
      </c>
      <c r="I2974" s="14" t="s">
        <v>6057</v>
      </c>
      <c r="J2974" s="14" t="s">
        <v>6012</v>
      </c>
      <c r="K2974" s="14" t="s">
        <v>6012</v>
      </c>
      <c r="L2974" s="14">
        <v>0.0</v>
      </c>
    </row>
    <row r="2975">
      <c r="A2975" s="14">
        <v>66.0</v>
      </c>
      <c r="B2975" s="14">
        <v>0.0</v>
      </c>
      <c r="C2975" s="34">
        <v>10.63</v>
      </c>
      <c r="D2975" s="36">
        <v>45044.0</v>
      </c>
      <c r="E2975" s="24"/>
      <c r="F2975" s="14" t="s">
        <v>6012</v>
      </c>
      <c r="G2975" s="14">
        <v>161.06</v>
      </c>
      <c r="H2975" s="14">
        <v>0.0</v>
      </c>
      <c r="I2975" s="14" t="s">
        <v>6063</v>
      </c>
      <c r="J2975" s="14" t="s">
        <v>6012</v>
      </c>
      <c r="K2975" s="14" t="s">
        <v>6012</v>
      </c>
      <c r="L2975" s="14">
        <v>0.0</v>
      </c>
    </row>
    <row r="2976">
      <c r="A2976" s="14">
        <v>45.0</v>
      </c>
      <c r="B2976" s="14">
        <v>1.0</v>
      </c>
      <c r="C2976" s="34">
        <v>10.54</v>
      </c>
      <c r="D2976" s="36">
        <v>45044.0</v>
      </c>
      <c r="E2976" s="24"/>
      <c r="F2976" s="14">
        <v>10.54</v>
      </c>
      <c r="G2976" s="14">
        <v>234.22</v>
      </c>
      <c r="H2976" s="14">
        <v>2.22</v>
      </c>
      <c r="I2976" s="14" t="s">
        <v>6059</v>
      </c>
      <c r="J2976" s="14">
        <v>0.0</v>
      </c>
      <c r="K2976" s="14" t="s">
        <v>6012</v>
      </c>
      <c r="L2976" s="14">
        <v>0.0</v>
      </c>
    </row>
    <row r="2977">
      <c r="A2977" s="14">
        <v>578.0</v>
      </c>
      <c r="B2977" s="14">
        <v>2.0</v>
      </c>
      <c r="C2977" s="34">
        <v>10.51</v>
      </c>
      <c r="D2977" s="36">
        <v>45044.0</v>
      </c>
      <c r="E2977" s="24"/>
      <c r="F2977" s="14">
        <v>5.26</v>
      </c>
      <c r="G2977" s="14">
        <v>18.18</v>
      </c>
      <c r="H2977" s="14">
        <v>0.35</v>
      </c>
      <c r="I2977" s="14" t="s">
        <v>6060</v>
      </c>
      <c r="J2977" s="14">
        <v>0.0</v>
      </c>
      <c r="K2977" s="14" t="s">
        <v>6012</v>
      </c>
      <c r="L2977" s="14">
        <v>0.0</v>
      </c>
    </row>
    <row r="2978">
      <c r="A2978" s="14">
        <v>72.0</v>
      </c>
      <c r="B2978" s="14">
        <v>3.0</v>
      </c>
      <c r="C2978" s="34">
        <v>1.51</v>
      </c>
      <c r="D2978" s="36">
        <v>45044.0</v>
      </c>
      <c r="E2978" s="24"/>
      <c r="F2978" s="14">
        <v>0.5</v>
      </c>
      <c r="G2978" s="14">
        <v>20.97</v>
      </c>
      <c r="H2978" s="14">
        <v>4.17</v>
      </c>
      <c r="I2978" s="14" t="s">
        <v>6050</v>
      </c>
      <c r="J2978" s="14">
        <v>0.0</v>
      </c>
      <c r="K2978" s="14" t="s">
        <v>6012</v>
      </c>
      <c r="L2978" s="14">
        <v>0.0</v>
      </c>
    </row>
    <row r="2979">
      <c r="A2979" s="14">
        <v>360.0</v>
      </c>
      <c r="B2979" s="14">
        <v>2.0</v>
      </c>
      <c r="C2979" s="34">
        <v>10.79</v>
      </c>
      <c r="D2979" s="36">
        <v>45044.0</v>
      </c>
      <c r="E2979" s="24"/>
      <c r="F2979" s="14">
        <v>5.4</v>
      </c>
      <c r="G2979" s="14">
        <v>29.97</v>
      </c>
      <c r="H2979" s="14">
        <v>0.56</v>
      </c>
      <c r="I2979" s="14" t="s">
        <v>6062</v>
      </c>
      <c r="J2979" s="14">
        <v>50.0</v>
      </c>
      <c r="K2979" s="14">
        <v>10.79</v>
      </c>
      <c r="L2979" s="14">
        <v>0.0</v>
      </c>
    </row>
    <row r="2980">
      <c r="A2980" s="14">
        <v>369.0</v>
      </c>
      <c r="B2980" s="14">
        <v>2.0</v>
      </c>
      <c r="C2980" s="34">
        <v>10.47</v>
      </c>
      <c r="D2980" s="36">
        <v>45044.0</v>
      </c>
      <c r="E2980" s="24"/>
      <c r="F2980" s="14">
        <v>5.24</v>
      </c>
      <c r="G2980" s="14">
        <v>28.37</v>
      </c>
      <c r="H2980" s="14">
        <v>0.54</v>
      </c>
      <c r="I2980" s="14" t="s">
        <v>6054</v>
      </c>
      <c r="J2980" s="14">
        <v>0.0</v>
      </c>
      <c r="K2980" s="14" t="s">
        <v>6012</v>
      </c>
      <c r="L2980" s="14">
        <v>0.0</v>
      </c>
    </row>
    <row r="2981">
      <c r="A2981" s="14">
        <v>89.0</v>
      </c>
      <c r="B2981" s="14">
        <v>2.0</v>
      </c>
      <c r="C2981" s="34">
        <v>10.85</v>
      </c>
      <c r="D2981" s="36">
        <v>45044.0</v>
      </c>
      <c r="E2981" s="24"/>
      <c r="F2981" s="14">
        <v>5.42</v>
      </c>
      <c r="G2981" s="14">
        <v>121.91</v>
      </c>
      <c r="H2981" s="14">
        <v>2.25</v>
      </c>
      <c r="I2981" s="14" t="s">
        <v>6058</v>
      </c>
      <c r="J2981" s="14">
        <v>100.0</v>
      </c>
      <c r="K2981" s="14">
        <v>5.42</v>
      </c>
      <c r="L2981" s="14">
        <v>0.0</v>
      </c>
    </row>
    <row r="2982">
      <c r="A2982" s="14">
        <v>68.0</v>
      </c>
      <c r="B2982" s="14">
        <v>0.0</v>
      </c>
      <c r="C2982" s="34">
        <v>12.09</v>
      </c>
      <c r="D2982" s="36">
        <v>45044.0</v>
      </c>
      <c r="E2982" s="24"/>
      <c r="F2982" s="14" t="s">
        <v>6012</v>
      </c>
      <c r="G2982" s="14">
        <v>177.79</v>
      </c>
      <c r="H2982" s="14">
        <v>0.0</v>
      </c>
      <c r="I2982" s="14" t="s">
        <v>6061</v>
      </c>
      <c r="J2982" s="14" t="s">
        <v>6012</v>
      </c>
      <c r="K2982" s="14" t="s">
        <v>6012</v>
      </c>
      <c r="L2982" s="14">
        <v>0.0</v>
      </c>
    </row>
    <row r="2983">
      <c r="A2983" s="14">
        <v>48.0</v>
      </c>
      <c r="B2983" s="14">
        <v>0.0</v>
      </c>
      <c r="C2983" s="34">
        <v>6.63</v>
      </c>
      <c r="D2983" s="36">
        <v>45045.0</v>
      </c>
      <c r="E2983" s="24"/>
      <c r="F2983" s="14" t="s">
        <v>6012</v>
      </c>
      <c r="G2983" s="14">
        <v>138.12</v>
      </c>
      <c r="H2983" s="14">
        <v>0.0</v>
      </c>
      <c r="I2983" s="14" t="s">
        <v>6058</v>
      </c>
      <c r="J2983" s="14" t="s">
        <v>6012</v>
      </c>
      <c r="K2983" s="14" t="s">
        <v>6012</v>
      </c>
      <c r="L2983" s="14">
        <v>0.0</v>
      </c>
    </row>
    <row r="2984">
      <c r="A2984" s="14">
        <v>387.0</v>
      </c>
      <c r="B2984" s="14">
        <v>1.0</v>
      </c>
      <c r="C2984" s="34">
        <v>6.9</v>
      </c>
      <c r="D2984" s="36">
        <v>45045.0</v>
      </c>
      <c r="E2984" s="24"/>
      <c r="F2984" s="14">
        <v>6.9</v>
      </c>
      <c r="G2984" s="14">
        <v>17.83</v>
      </c>
      <c r="H2984" s="14">
        <v>0.26</v>
      </c>
      <c r="I2984" s="14" t="s">
        <v>6060</v>
      </c>
      <c r="J2984" s="14">
        <v>100.0</v>
      </c>
      <c r="K2984" s="14">
        <v>6.9</v>
      </c>
      <c r="L2984" s="14">
        <v>0.0</v>
      </c>
    </row>
    <row r="2985">
      <c r="A2985" s="14">
        <v>55.0</v>
      </c>
      <c r="B2985" s="14">
        <v>0.0</v>
      </c>
      <c r="C2985" s="34">
        <v>6.62</v>
      </c>
      <c r="D2985" s="36">
        <v>45045.0</v>
      </c>
      <c r="E2985" s="24"/>
      <c r="F2985" s="14" t="s">
        <v>6012</v>
      </c>
      <c r="G2985" s="14">
        <v>120.36</v>
      </c>
      <c r="H2985" s="14">
        <v>0.0</v>
      </c>
      <c r="I2985" s="14" t="s">
        <v>6061</v>
      </c>
      <c r="J2985" s="14" t="s">
        <v>6012</v>
      </c>
      <c r="K2985" s="14" t="s">
        <v>6012</v>
      </c>
      <c r="L2985" s="14">
        <v>0.0</v>
      </c>
    </row>
    <row r="2986">
      <c r="A2986" s="14">
        <v>39.0</v>
      </c>
      <c r="B2986" s="14">
        <v>0.0</v>
      </c>
      <c r="C2986" s="34">
        <v>7.21</v>
      </c>
      <c r="D2986" s="36">
        <v>45045.0</v>
      </c>
      <c r="E2986" s="24"/>
      <c r="F2986" s="14" t="s">
        <v>6012</v>
      </c>
      <c r="G2986" s="14">
        <v>184.87</v>
      </c>
      <c r="H2986" s="14">
        <v>0.0</v>
      </c>
      <c r="I2986" s="14" t="s">
        <v>6063</v>
      </c>
      <c r="J2986" s="14" t="s">
        <v>6012</v>
      </c>
      <c r="K2986" s="14">
        <v>7.21</v>
      </c>
      <c r="L2986" s="14">
        <v>0.0</v>
      </c>
    </row>
    <row r="2987">
      <c r="A2987" s="14">
        <v>262.0</v>
      </c>
      <c r="B2987" s="14">
        <v>4.0</v>
      </c>
      <c r="C2987" s="34">
        <v>6.13</v>
      </c>
      <c r="D2987" s="36">
        <v>45045.0</v>
      </c>
      <c r="E2987" s="24"/>
      <c r="F2987" s="14">
        <v>1.53</v>
      </c>
      <c r="G2987" s="14">
        <v>23.4</v>
      </c>
      <c r="H2987" s="14">
        <v>1.53</v>
      </c>
      <c r="I2987" s="14" t="s">
        <v>6054</v>
      </c>
      <c r="J2987" s="14">
        <v>0.0</v>
      </c>
      <c r="K2987" s="14" t="s">
        <v>6012</v>
      </c>
      <c r="L2987" s="14">
        <v>0.0</v>
      </c>
    </row>
    <row r="2988">
      <c r="A2988" s="14">
        <v>342.0</v>
      </c>
      <c r="B2988" s="14">
        <v>2.0</v>
      </c>
      <c r="C2988" s="34">
        <v>6.42</v>
      </c>
      <c r="D2988" s="36">
        <v>45045.0</v>
      </c>
      <c r="E2988" s="24"/>
      <c r="F2988" s="14">
        <v>3.21</v>
      </c>
      <c r="G2988" s="14">
        <v>18.77</v>
      </c>
      <c r="H2988" s="14">
        <v>0.58</v>
      </c>
      <c r="I2988" s="14" t="s">
        <v>6062</v>
      </c>
      <c r="J2988" s="14">
        <v>50.0</v>
      </c>
      <c r="K2988" s="14">
        <v>6.42</v>
      </c>
      <c r="L2988" s="14">
        <v>0.0</v>
      </c>
    </row>
    <row r="2989">
      <c r="A2989" s="14">
        <v>354.0</v>
      </c>
      <c r="B2989" s="14">
        <v>0.0</v>
      </c>
      <c r="C2989" s="34">
        <v>6.34</v>
      </c>
      <c r="D2989" s="36">
        <v>45045.0</v>
      </c>
      <c r="E2989" s="24"/>
      <c r="F2989" s="14" t="s">
        <v>6012</v>
      </c>
      <c r="G2989" s="14">
        <v>17.91</v>
      </c>
      <c r="H2989" s="14">
        <v>0.0</v>
      </c>
      <c r="I2989" s="14" t="s">
        <v>6051</v>
      </c>
      <c r="J2989" s="14" t="s">
        <v>6012</v>
      </c>
      <c r="K2989" s="14" t="s">
        <v>6012</v>
      </c>
      <c r="L2989" s="14">
        <v>0.0</v>
      </c>
    </row>
    <row r="2990">
      <c r="A2990" s="14">
        <v>31.0</v>
      </c>
      <c r="B2990" s="14">
        <v>1.0</v>
      </c>
      <c r="C2990" s="34">
        <v>5.66</v>
      </c>
      <c r="D2990" s="36">
        <v>45045.0</v>
      </c>
      <c r="E2990" s="24"/>
      <c r="F2990" s="14">
        <v>5.66</v>
      </c>
      <c r="G2990" s="14">
        <v>182.58</v>
      </c>
      <c r="H2990" s="14">
        <v>3.23</v>
      </c>
      <c r="I2990" s="14" t="s">
        <v>6057</v>
      </c>
      <c r="J2990" s="14">
        <v>0.0</v>
      </c>
      <c r="K2990" s="14" t="s">
        <v>6012</v>
      </c>
      <c r="L2990" s="14">
        <v>0.0</v>
      </c>
    </row>
    <row r="2991">
      <c r="A2991" s="14">
        <v>114.0</v>
      </c>
      <c r="B2991" s="14">
        <v>3.0</v>
      </c>
      <c r="C2991" s="34">
        <v>4.06</v>
      </c>
      <c r="D2991" s="36">
        <v>45045.0</v>
      </c>
      <c r="E2991" s="24"/>
      <c r="F2991" s="14">
        <v>1.35</v>
      </c>
      <c r="G2991" s="14">
        <v>35.61</v>
      </c>
      <c r="H2991" s="14">
        <v>2.63</v>
      </c>
      <c r="I2991" s="14" t="s">
        <v>6050</v>
      </c>
      <c r="J2991" s="14">
        <v>33.33</v>
      </c>
      <c r="K2991" s="14">
        <v>4.06</v>
      </c>
      <c r="L2991" s="14">
        <v>0.0</v>
      </c>
    </row>
    <row r="2992">
      <c r="A2992" s="14">
        <v>25.0</v>
      </c>
      <c r="B2992" s="14">
        <v>0.0</v>
      </c>
      <c r="C2992" s="34">
        <v>6.1</v>
      </c>
      <c r="D2992" s="36">
        <v>45045.0</v>
      </c>
      <c r="E2992" s="24"/>
      <c r="F2992" s="14" t="s">
        <v>6012</v>
      </c>
      <c r="G2992" s="14">
        <v>244.0</v>
      </c>
      <c r="H2992" s="14">
        <v>0.0</v>
      </c>
      <c r="I2992" s="14" t="s">
        <v>6059</v>
      </c>
      <c r="J2992" s="14" t="s">
        <v>6012</v>
      </c>
      <c r="K2992" s="14">
        <v>6.1</v>
      </c>
      <c r="L2992" s="14">
        <v>0.0</v>
      </c>
    </row>
    <row r="2993">
      <c r="A2993" s="14">
        <v>106.0</v>
      </c>
      <c r="B2993" s="14">
        <v>1.0</v>
      </c>
      <c r="C2993" s="34">
        <v>8.47</v>
      </c>
      <c r="D2993" s="36">
        <v>45045.0</v>
      </c>
      <c r="E2993" s="24"/>
      <c r="F2993" s="14">
        <v>8.47</v>
      </c>
      <c r="G2993" s="14">
        <v>79.91</v>
      </c>
      <c r="H2993" s="14">
        <v>0.94</v>
      </c>
      <c r="I2993" s="14" t="s">
        <v>6042</v>
      </c>
      <c r="J2993" s="14">
        <v>0.0</v>
      </c>
      <c r="K2993" s="14" t="s">
        <v>6012</v>
      </c>
      <c r="L2993" s="14">
        <v>0.0</v>
      </c>
    </row>
    <row r="2994">
      <c r="A2994" s="14">
        <v>0.0</v>
      </c>
      <c r="B2994" s="14">
        <v>0.0</v>
      </c>
      <c r="C2994" s="34"/>
      <c r="D2994" s="36">
        <v>45045.0</v>
      </c>
      <c r="E2994" s="24"/>
      <c r="F2994" s="14" t="s">
        <v>6012</v>
      </c>
      <c r="G2994" s="14" t="s">
        <v>6012</v>
      </c>
      <c r="H2994" s="14" t="s">
        <v>6012</v>
      </c>
      <c r="I2994" s="14" t="s">
        <v>6037</v>
      </c>
      <c r="J2994" s="14" t="s">
        <v>6012</v>
      </c>
      <c r="K2994" s="14" t="s">
        <v>6012</v>
      </c>
      <c r="L2994" s="14"/>
    </row>
    <row r="2995">
      <c r="A2995" s="14">
        <v>125.0</v>
      </c>
      <c r="B2995" s="14">
        <v>1.0</v>
      </c>
      <c r="C2995" s="34">
        <v>5.06</v>
      </c>
      <c r="D2995" s="36">
        <v>45046.0</v>
      </c>
      <c r="E2995" s="24"/>
      <c r="F2995" s="14">
        <v>5.06</v>
      </c>
      <c r="G2995" s="14">
        <v>40.48</v>
      </c>
      <c r="H2995" s="14">
        <v>0.8</v>
      </c>
      <c r="I2995" s="14" t="s">
        <v>6054</v>
      </c>
      <c r="J2995" s="14">
        <v>0.0</v>
      </c>
      <c r="K2995" s="14" t="s">
        <v>6012</v>
      </c>
      <c r="L2995" s="14">
        <v>0.0</v>
      </c>
    </row>
    <row r="2996">
      <c r="A2996" s="14">
        <v>25.0</v>
      </c>
      <c r="B2996" s="14">
        <v>0.0</v>
      </c>
      <c r="C2996" s="34">
        <v>5.55</v>
      </c>
      <c r="D2996" s="36">
        <v>45046.0</v>
      </c>
      <c r="E2996" s="24"/>
      <c r="F2996" s="14" t="s">
        <v>6012</v>
      </c>
      <c r="G2996" s="14">
        <v>222.0</v>
      </c>
      <c r="H2996" s="14">
        <v>0.0</v>
      </c>
      <c r="I2996" s="14" t="s">
        <v>6042</v>
      </c>
      <c r="J2996" s="14" t="s">
        <v>6012</v>
      </c>
      <c r="K2996" s="14" t="s">
        <v>6012</v>
      </c>
      <c r="L2996" s="14">
        <v>0.0</v>
      </c>
    </row>
    <row r="2997">
      <c r="A2997" s="14">
        <v>10.0</v>
      </c>
      <c r="B2997" s="14">
        <v>0.0</v>
      </c>
      <c r="C2997" s="34">
        <v>4.05</v>
      </c>
      <c r="D2997" s="36">
        <v>45046.0</v>
      </c>
      <c r="E2997" s="24"/>
      <c r="F2997" s="14" t="s">
        <v>6012</v>
      </c>
      <c r="G2997" s="14">
        <v>405.0</v>
      </c>
      <c r="H2997" s="14">
        <v>0.0</v>
      </c>
      <c r="I2997" s="14" t="s">
        <v>6057</v>
      </c>
      <c r="J2997" s="14" t="s">
        <v>6012</v>
      </c>
      <c r="K2997" s="14" t="s">
        <v>6012</v>
      </c>
      <c r="L2997" s="14">
        <v>0.0</v>
      </c>
    </row>
    <row r="2998">
      <c r="A2998" s="14">
        <v>295.0</v>
      </c>
      <c r="B2998" s="14">
        <v>0.0</v>
      </c>
      <c r="C2998" s="34">
        <v>6.31</v>
      </c>
      <c r="D2998" s="36">
        <v>45046.0</v>
      </c>
      <c r="E2998" s="24"/>
      <c r="F2998" s="14" t="s">
        <v>6012</v>
      </c>
      <c r="G2998" s="14">
        <v>21.39</v>
      </c>
      <c r="H2998" s="14">
        <v>0.0</v>
      </c>
      <c r="I2998" s="14" t="s">
        <v>6060</v>
      </c>
      <c r="J2998" s="14" t="s">
        <v>6012</v>
      </c>
      <c r="K2998" s="14" t="s">
        <v>6012</v>
      </c>
      <c r="L2998" s="14">
        <v>0.0</v>
      </c>
    </row>
    <row r="2999">
      <c r="A2999" s="14">
        <v>124.0</v>
      </c>
      <c r="B2999" s="14">
        <v>1.0</v>
      </c>
      <c r="C2999" s="34">
        <v>3.81</v>
      </c>
      <c r="D2999" s="36">
        <v>45046.0</v>
      </c>
      <c r="E2999" s="24"/>
      <c r="F2999" s="14">
        <v>3.81</v>
      </c>
      <c r="G2999" s="14">
        <v>30.73</v>
      </c>
      <c r="H2999" s="14">
        <v>0.81</v>
      </c>
      <c r="I2999" s="14" t="s">
        <v>6050</v>
      </c>
      <c r="J2999" s="14">
        <v>0.0</v>
      </c>
      <c r="K2999" s="14" t="s">
        <v>6012</v>
      </c>
      <c r="L2999" s="14">
        <v>0.0</v>
      </c>
    </row>
    <row r="3000">
      <c r="A3000" s="14">
        <v>74.0</v>
      </c>
      <c r="B3000" s="14">
        <v>0.0</v>
      </c>
      <c r="C3000" s="34">
        <v>7.38</v>
      </c>
      <c r="D3000" s="36">
        <v>45046.0</v>
      </c>
      <c r="E3000" s="24"/>
      <c r="F3000" s="14" t="s">
        <v>6012</v>
      </c>
      <c r="G3000" s="14">
        <v>99.73</v>
      </c>
      <c r="H3000" s="14">
        <v>0.0</v>
      </c>
      <c r="I3000" s="14" t="s">
        <v>6058</v>
      </c>
      <c r="J3000" s="14" t="s">
        <v>6012</v>
      </c>
      <c r="K3000" s="14" t="s">
        <v>6012</v>
      </c>
      <c r="L3000" s="14">
        <v>0.0</v>
      </c>
    </row>
    <row r="3001">
      <c r="A3001" s="14">
        <v>42.0</v>
      </c>
      <c r="B3001" s="14">
        <v>0.0</v>
      </c>
      <c r="C3001" s="34">
        <v>4.32</v>
      </c>
      <c r="D3001" s="36">
        <v>45046.0</v>
      </c>
      <c r="E3001" s="24"/>
      <c r="F3001" s="14" t="s">
        <v>6012</v>
      </c>
      <c r="G3001" s="14">
        <v>102.86</v>
      </c>
      <c r="H3001" s="14">
        <v>0.0</v>
      </c>
      <c r="I3001" s="14" t="s">
        <v>6061</v>
      </c>
      <c r="J3001" s="14" t="s">
        <v>6012</v>
      </c>
      <c r="K3001" s="14" t="s">
        <v>6012</v>
      </c>
      <c r="L3001" s="14">
        <v>0.0</v>
      </c>
    </row>
    <row r="3002">
      <c r="A3002" s="14">
        <v>26.0</v>
      </c>
      <c r="B3002" s="14">
        <v>0.0</v>
      </c>
      <c r="C3002" s="34">
        <v>5.5</v>
      </c>
      <c r="D3002" s="36">
        <v>45046.0</v>
      </c>
      <c r="E3002" s="24"/>
      <c r="F3002" s="14" t="s">
        <v>6012</v>
      </c>
      <c r="G3002" s="14">
        <v>211.54</v>
      </c>
      <c r="H3002" s="14">
        <v>0.0</v>
      </c>
      <c r="I3002" s="14" t="s">
        <v>6059</v>
      </c>
      <c r="J3002" s="14" t="s">
        <v>6012</v>
      </c>
      <c r="K3002" s="14" t="s">
        <v>6012</v>
      </c>
      <c r="L3002" s="14">
        <v>0.0</v>
      </c>
    </row>
    <row r="3003">
      <c r="A3003" s="14">
        <v>263.0</v>
      </c>
      <c r="B3003" s="14">
        <v>3.0</v>
      </c>
      <c r="C3003" s="34">
        <v>6.19</v>
      </c>
      <c r="D3003" s="36">
        <v>45046.0</v>
      </c>
      <c r="E3003" s="24"/>
      <c r="F3003" s="14">
        <v>2.06</v>
      </c>
      <c r="G3003" s="14">
        <v>23.54</v>
      </c>
      <c r="H3003" s="14">
        <v>1.14</v>
      </c>
      <c r="I3003" s="14" t="s">
        <v>6062</v>
      </c>
      <c r="J3003" s="14">
        <v>0.0</v>
      </c>
      <c r="K3003" s="14" t="s">
        <v>6012</v>
      </c>
      <c r="L3003" s="14">
        <v>0.0</v>
      </c>
    </row>
    <row r="3004">
      <c r="A3004" s="14">
        <v>35.0</v>
      </c>
      <c r="B3004" s="14">
        <v>0.0</v>
      </c>
      <c r="C3004" s="34">
        <v>2.02</v>
      </c>
      <c r="D3004" s="36">
        <v>45046.0</v>
      </c>
      <c r="E3004" s="24"/>
      <c r="F3004" s="14" t="s">
        <v>6012</v>
      </c>
      <c r="G3004" s="14">
        <v>57.71</v>
      </c>
      <c r="H3004" s="14">
        <v>0.0</v>
      </c>
      <c r="I3004" s="14" t="s">
        <v>6063</v>
      </c>
      <c r="J3004" s="14" t="s">
        <v>6012</v>
      </c>
      <c r="K3004" s="14" t="s">
        <v>6012</v>
      </c>
      <c r="L3004" s="14">
        <v>0.0</v>
      </c>
    </row>
    <row r="3005">
      <c r="A3005" s="14">
        <v>263.0</v>
      </c>
      <c r="B3005" s="14">
        <v>3.0</v>
      </c>
      <c r="C3005" s="34">
        <v>4.9</v>
      </c>
      <c r="D3005" s="36">
        <v>45046.0</v>
      </c>
      <c r="E3005" s="24"/>
      <c r="F3005" s="14">
        <v>1.63</v>
      </c>
      <c r="G3005" s="14">
        <v>18.63</v>
      </c>
      <c r="H3005" s="14">
        <v>1.14</v>
      </c>
      <c r="I3005" s="14" t="s">
        <v>6051</v>
      </c>
      <c r="J3005" s="14">
        <v>0.0</v>
      </c>
      <c r="K3005" s="14" t="s">
        <v>6012</v>
      </c>
      <c r="L3005" s="14">
        <v>0.0</v>
      </c>
    </row>
    <row r="3006">
      <c r="A3006" s="14">
        <v>88.0</v>
      </c>
      <c r="B3006" s="14">
        <v>1.0</v>
      </c>
      <c r="C3006" s="34">
        <v>11.41</v>
      </c>
      <c r="D3006" s="36">
        <v>45047.0</v>
      </c>
      <c r="E3006" s="24"/>
      <c r="F3006" s="14">
        <v>11.41</v>
      </c>
      <c r="G3006" s="14">
        <v>129.66</v>
      </c>
      <c r="H3006" s="14">
        <v>1.14</v>
      </c>
      <c r="I3006" s="14" t="s">
        <v>6063</v>
      </c>
      <c r="J3006" s="14">
        <v>0.0</v>
      </c>
      <c r="K3006" s="14" t="s">
        <v>6012</v>
      </c>
      <c r="L3006" s="14">
        <v>0.0</v>
      </c>
    </row>
    <row r="3007">
      <c r="A3007" s="14">
        <v>101.0</v>
      </c>
      <c r="B3007" s="14">
        <v>3.0</v>
      </c>
      <c r="C3007" s="34">
        <v>2.34</v>
      </c>
      <c r="D3007" s="36">
        <v>45047.0</v>
      </c>
      <c r="E3007" s="24"/>
      <c r="F3007" s="14">
        <v>0.78</v>
      </c>
      <c r="G3007" s="14">
        <v>23.17</v>
      </c>
      <c r="H3007" s="14">
        <v>2.97</v>
      </c>
      <c r="I3007" s="14" t="s">
        <v>6050</v>
      </c>
      <c r="J3007" s="14">
        <v>0.0</v>
      </c>
      <c r="K3007" s="14" t="s">
        <v>6012</v>
      </c>
      <c r="L3007" s="14">
        <v>0.0</v>
      </c>
    </row>
    <row r="3008">
      <c r="A3008" s="14">
        <v>505.0</v>
      </c>
      <c r="B3008" s="14">
        <v>1.0</v>
      </c>
      <c r="C3008" s="34">
        <v>12.12</v>
      </c>
      <c r="D3008" s="36">
        <v>45047.0</v>
      </c>
      <c r="E3008" s="24"/>
      <c r="F3008" s="14">
        <v>12.12</v>
      </c>
      <c r="G3008" s="14">
        <v>24.0</v>
      </c>
      <c r="H3008" s="14">
        <v>0.2</v>
      </c>
      <c r="I3008" s="14" t="s">
        <v>6054</v>
      </c>
      <c r="J3008" s="14">
        <v>0.0</v>
      </c>
      <c r="K3008" s="14" t="s">
        <v>6012</v>
      </c>
      <c r="L3008" s="14">
        <v>0.0</v>
      </c>
    </row>
    <row r="3009">
      <c r="A3009" s="14">
        <v>70.0</v>
      </c>
      <c r="B3009" s="14">
        <v>1.0</v>
      </c>
      <c r="C3009" s="34">
        <v>9.78</v>
      </c>
      <c r="D3009" s="36">
        <v>45047.0</v>
      </c>
      <c r="E3009" s="24"/>
      <c r="F3009" s="14">
        <v>9.78</v>
      </c>
      <c r="G3009" s="14">
        <v>139.71</v>
      </c>
      <c r="H3009" s="14">
        <v>1.43</v>
      </c>
      <c r="I3009" s="14" t="s">
        <v>6058</v>
      </c>
      <c r="J3009" s="14">
        <v>0.0</v>
      </c>
      <c r="K3009" s="14" t="s">
        <v>6012</v>
      </c>
      <c r="L3009" s="14">
        <v>0.0</v>
      </c>
    </row>
    <row r="3010">
      <c r="A3010" s="14">
        <v>43.0</v>
      </c>
      <c r="B3010" s="14">
        <v>0.0</v>
      </c>
      <c r="C3010" s="34">
        <v>9.14</v>
      </c>
      <c r="D3010" s="36">
        <v>45047.0</v>
      </c>
      <c r="E3010" s="24"/>
      <c r="F3010" s="14" t="s">
        <v>6012</v>
      </c>
      <c r="G3010" s="14">
        <v>212.56</v>
      </c>
      <c r="H3010" s="14">
        <v>0.0</v>
      </c>
      <c r="I3010" s="14" t="s">
        <v>6059</v>
      </c>
      <c r="J3010" s="14" t="s">
        <v>6012</v>
      </c>
      <c r="K3010" s="14" t="s">
        <v>6012</v>
      </c>
      <c r="L3010" s="14">
        <v>0.0</v>
      </c>
    </row>
    <row r="3011">
      <c r="A3011" s="14">
        <v>1112.0</v>
      </c>
      <c r="B3011" s="14">
        <v>11.0</v>
      </c>
      <c r="C3011" s="34">
        <v>11.21</v>
      </c>
      <c r="D3011" s="36">
        <v>45047.0</v>
      </c>
      <c r="E3011" s="24"/>
      <c r="F3011" s="14">
        <v>1.02</v>
      </c>
      <c r="G3011" s="14">
        <v>10.08</v>
      </c>
      <c r="H3011" s="14">
        <v>0.99</v>
      </c>
      <c r="I3011" s="14" t="s">
        <v>6051</v>
      </c>
      <c r="J3011" s="14">
        <v>9.09</v>
      </c>
      <c r="K3011" s="14">
        <v>11.21</v>
      </c>
      <c r="L3011" s="14">
        <v>0.0</v>
      </c>
    </row>
    <row r="3012">
      <c r="A3012" s="14">
        <v>186.0</v>
      </c>
      <c r="B3012" s="14">
        <v>3.0</v>
      </c>
      <c r="C3012" s="34">
        <v>11.18</v>
      </c>
      <c r="D3012" s="36">
        <v>45047.0</v>
      </c>
      <c r="E3012" s="24"/>
      <c r="F3012" s="14">
        <v>3.73</v>
      </c>
      <c r="G3012" s="14">
        <v>60.11</v>
      </c>
      <c r="H3012" s="14">
        <v>1.61</v>
      </c>
      <c r="I3012" s="14" t="s">
        <v>6061</v>
      </c>
      <c r="J3012" s="14">
        <v>33.33</v>
      </c>
      <c r="K3012" s="14">
        <v>11.18</v>
      </c>
      <c r="L3012" s="14">
        <v>0.0</v>
      </c>
    </row>
    <row r="3013">
      <c r="A3013" s="14">
        <v>634.0</v>
      </c>
      <c r="B3013" s="14">
        <v>1.0</v>
      </c>
      <c r="C3013" s="34">
        <v>11.19</v>
      </c>
      <c r="D3013" s="36">
        <v>45047.0</v>
      </c>
      <c r="E3013" s="24"/>
      <c r="F3013" s="14">
        <v>11.19</v>
      </c>
      <c r="G3013" s="14">
        <v>17.65</v>
      </c>
      <c r="H3013" s="14">
        <v>0.16</v>
      </c>
      <c r="I3013" s="14" t="s">
        <v>6060</v>
      </c>
      <c r="J3013" s="14">
        <v>0.0</v>
      </c>
      <c r="K3013" s="14" t="s">
        <v>6012</v>
      </c>
      <c r="L3013" s="14">
        <v>0.0</v>
      </c>
    </row>
    <row r="3014">
      <c r="A3014" s="14">
        <v>457.0</v>
      </c>
      <c r="B3014" s="14">
        <v>4.0</v>
      </c>
      <c r="C3014" s="34">
        <v>13.05</v>
      </c>
      <c r="D3014" s="36">
        <v>45047.0</v>
      </c>
      <c r="E3014" s="24"/>
      <c r="F3014" s="14">
        <v>3.26</v>
      </c>
      <c r="G3014" s="14">
        <v>28.56</v>
      </c>
      <c r="H3014" s="14">
        <v>0.88</v>
      </c>
      <c r="I3014" s="14" t="s">
        <v>6042</v>
      </c>
      <c r="J3014" s="14">
        <v>50.0</v>
      </c>
      <c r="K3014" s="14">
        <v>6.52</v>
      </c>
      <c r="L3014" s="14">
        <v>0.0</v>
      </c>
    </row>
    <row r="3015">
      <c r="A3015" s="14">
        <v>428.0</v>
      </c>
      <c r="B3015" s="14">
        <v>1.0</v>
      </c>
      <c r="C3015" s="34">
        <v>11.16</v>
      </c>
      <c r="D3015" s="36">
        <v>45047.0</v>
      </c>
      <c r="E3015" s="24"/>
      <c r="F3015" s="14">
        <v>11.16</v>
      </c>
      <c r="G3015" s="14">
        <v>26.07</v>
      </c>
      <c r="H3015" s="14">
        <v>0.23</v>
      </c>
      <c r="I3015" s="14" t="s">
        <v>6062</v>
      </c>
      <c r="J3015" s="14">
        <v>0.0</v>
      </c>
      <c r="K3015" s="14" t="s">
        <v>6012</v>
      </c>
      <c r="L3015" s="14">
        <v>0.0</v>
      </c>
    </row>
    <row r="3016">
      <c r="A3016" s="14">
        <v>142.0</v>
      </c>
      <c r="B3016" s="14">
        <v>1.0</v>
      </c>
      <c r="C3016" s="34">
        <v>11.3</v>
      </c>
      <c r="D3016" s="36">
        <v>45047.0</v>
      </c>
      <c r="E3016" s="24"/>
      <c r="F3016" s="14">
        <v>11.3</v>
      </c>
      <c r="G3016" s="14">
        <v>79.58</v>
      </c>
      <c r="H3016" s="14">
        <v>0.7</v>
      </c>
      <c r="I3016" s="14" t="s">
        <v>6057</v>
      </c>
      <c r="J3016" s="14">
        <v>0.0</v>
      </c>
      <c r="K3016" s="14" t="s">
        <v>6012</v>
      </c>
      <c r="L3016" s="14">
        <v>0.0</v>
      </c>
    </row>
    <row r="3017">
      <c r="A3017" s="14">
        <v>115.0</v>
      </c>
      <c r="B3017" s="14">
        <v>4.0</v>
      </c>
      <c r="C3017" s="34">
        <v>13.42</v>
      </c>
      <c r="D3017" s="36">
        <v>45048.0</v>
      </c>
      <c r="E3017" s="24"/>
      <c r="F3017" s="14">
        <v>3.36</v>
      </c>
      <c r="G3017" s="14">
        <v>116.7</v>
      </c>
      <c r="H3017" s="14">
        <v>3.48</v>
      </c>
      <c r="I3017" s="14" t="s">
        <v>6061</v>
      </c>
      <c r="J3017" s="14">
        <v>25.0</v>
      </c>
      <c r="K3017" s="14">
        <v>13.42</v>
      </c>
      <c r="L3017" s="14">
        <v>0.0</v>
      </c>
    </row>
    <row r="3018">
      <c r="A3018" s="14">
        <v>1474.0</v>
      </c>
      <c r="B3018" s="14">
        <v>14.0</v>
      </c>
      <c r="C3018" s="34">
        <v>11.72</v>
      </c>
      <c r="D3018" s="36">
        <v>45048.0</v>
      </c>
      <c r="E3018" s="24"/>
      <c r="F3018" s="14">
        <v>0.84</v>
      </c>
      <c r="G3018" s="14">
        <v>7.95</v>
      </c>
      <c r="H3018" s="14">
        <v>0.95</v>
      </c>
      <c r="I3018" s="14" t="s">
        <v>6051</v>
      </c>
      <c r="J3018" s="14">
        <v>28.57</v>
      </c>
      <c r="K3018" s="14">
        <v>2.93</v>
      </c>
      <c r="L3018" s="14">
        <v>0.0</v>
      </c>
    </row>
    <row r="3019">
      <c r="A3019" s="14">
        <v>598.0</v>
      </c>
      <c r="B3019" s="14">
        <v>1.0</v>
      </c>
      <c r="C3019" s="34">
        <v>11.58</v>
      </c>
      <c r="D3019" s="36">
        <v>45048.0</v>
      </c>
      <c r="E3019" s="24"/>
      <c r="F3019" s="14">
        <v>11.58</v>
      </c>
      <c r="G3019" s="14">
        <v>19.36</v>
      </c>
      <c r="H3019" s="14">
        <v>0.17</v>
      </c>
      <c r="I3019" s="14" t="s">
        <v>6062</v>
      </c>
      <c r="J3019" s="14">
        <v>0.0</v>
      </c>
      <c r="K3019" s="14" t="s">
        <v>6012</v>
      </c>
      <c r="L3019" s="14">
        <v>0.0</v>
      </c>
    </row>
    <row r="3020">
      <c r="A3020" s="14">
        <v>41.0</v>
      </c>
      <c r="B3020" s="14">
        <v>0.0</v>
      </c>
      <c r="C3020" s="34">
        <v>8.32</v>
      </c>
      <c r="D3020" s="36">
        <v>45048.0</v>
      </c>
      <c r="E3020" s="24"/>
      <c r="F3020" s="14" t="s">
        <v>6012</v>
      </c>
      <c r="G3020" s="14">
        <v>202.93</v>
      </c>
      <c r="H3020" s="14">
        <v>0.0</v>
      </c>
      <c r="I3020" s="14" t="s">
        <v>6059</v>
      </c>
      <c r="J3020" s="14" t="s">
        <v>6012</v>
      </c>
      <c r="K3020" s="14" t="s">
        <v>6012</v>
      </c>
      <c r="L3020" s="14">
        <v>0.0</v>
      </c>
    </row>
    <row r="3021">
      <c r="A3021" s="14">
        <v>636.0</v>
      </c>
      <c r="B3021" s="14">
        <v>6.0</v>
      </c>
      <c r="C3021" s="34">
        <v>12.28</v>
      </c>
      <c r="D3021" s="36">
        <v>45048.0</v>
      </c>
      <c r="E3021" s="24"/>
      <c r="F3021" s="14">
        <v>2.05</v>
      </c>
      <c r="G3021" s="14">
        <v>19.31</v>
      </c>
      <c r="H3021" s="14">
        <v>0.94</v>
      </c>
      <c r="I3021" s="14" t="s">
        <v>6054</v>
      </c>
      <c r="J3021" s="14">
        <v>0.0</v>
      </c>
      <c r="K3021" s="14" t="s">
        <v>6012</v>
      </c>
      <c r="L3021" s="14">
        <v>0.0</v>
      </c>
    </row>
    <row r="3022">
      <c r="A3022" s="14">
        <v>164.0</v>
      </c>
      <c r="B3022" s="14">
        <v>4.0</v>
      </c>
      <c r="C3022" s="34">
        <v>12.15</v>
      </c>
      <c r="D3022" s="36">
        <v>45048.0</v>
      </c>
      <c r="E3022" s="24"/>
      <c r="F3022" s="14">
        <v>3.04</v>
      </c>
      <c r="G3022" s="14">
        <v>74.09</v>
      </c>
      <c r="H3022" s="14">
        <v>2.44</v>
      </c>
      <c r="I3022" s="14" t="s">
        <v>6058</v>
      </c>
      <c r="J3022" s="14">
        <v>0.0</v>
      </c>
      <c r="K3022" s="14" t="s">
        <v>6012</v>
      </c>
      <c r="L3022" s="14">
        <v>0.0</v>
      </c>
    </row>
    <row r="3023">
      <c r="A3023" s="14">
        <v>681.0</v>
      </c>
      <c r="B3023" s="14">
        <v>7.0</v>
      </c>
      <c r="C3023" s="34">
        <v>11.59</v>
      </c>
      <c r="D3023" s="36">
        <v>45048.0</v>
      </c>
      <c r="E3023" s="24"/>
      <c r="F3023" s="14">
        <v>1.66</v>
      </c>
      <c r="G3023" s="14">
        <v>17.02</v>
      </c>
      <c r="H3023" s="14">
        <v>1.03</v>
      </c>
      <c r="I3023" s="14" t="s">
        <v>6060</v>
      </c>
      <c r="J3023" s="14">
        <v>0.0</v>
      </c>
      <c r="K3023" s="14" t="s">
        <v>6012</v>
      </c>
      <c r="L3023" s="14">
        <v>0.0</v>
      </c>
    </row>
    <row r="3024">
      <c r="A3024" s="14">
        <v>110.0</v>
      </c>
      <c r="B3024" s="14">
        <v>0.0</v>
      </c>
      <c r="C3024" s="34">
        <v>13.04</v>
      </c>
      <c r="D3024" s="36">
        <v>45048.0</v>
      </c>
      <c r="E3024" s="24"/>
      <c r="F3024" s="14" t="s">
        <v>6012</v>
      </c>
      <c r="G3024" s="14">
        <v>118.55</v>
      </c>
      <c r="H3024" s="14">
        <v>0.0</v>
      </c>
      <c r="I3024" s="14" t="s">
        <v>6063</v>
      </c>
      <c r="J3024" s="14" t="s">
        <v>6012</v>
      </c>
      <c r="K3024" s="14" t="s">
        <v>6012</v>
      </c>
      <c r="L3024" s="14">
        <v>0.0</v>
      </c>
    </row>
    <row r="3025">
      <c r="A3025" s="14">
        <v>150.0</v>
      </c>
      <c r="B3025" s="14">
        <v>2.0</v>
      </c>
      <c r="C3025" s="34">
        <v>11.95</v>
      </c>
      <c r="D3025" s="36">
        <v>45048.0</v>
      </c>
      <c r="E3025" s="24"/>
      <c r="F3025" s="14">
        <v>5.98</v>
      </c>
      <c r="G3025" s="14">
        <v>79.67</v>
      </c>
      <c r="H3025" s="14">
        <v>1.33</v>
      </c>
      <c r="I3025" s="14" t="s">
        <v>6057</v>
      </c>
      <c r="J3025" s="14">
        <v>0.0</v>
      </c>
      <c r="K3025" s="14" t="s">
        <v>6012</v>
      </c>
      <c r="L3025" s="14">
        <v>0.0</v>
      </c>
    </row>
    <row r="3026">
      <c r="A3026" s="14">
        <v>307.0</v>
      </c>
      <c r="B3026" s="14">
        <v>3.0</v>
      </c>
      <c r="C3026" s="34">
        <v>13.36</v>
      </c>
      <c r="D3026" s="36">
        <v>45048.0</v>
      </c>
      <c r="E3026" s="24"/>
      <c r="F3026" s="14">
        <v>4.45</v>
      </c>
      <c r="G3026" s="14">
        <v>43.52</v>
      </c>
      <c r="H3026" s="14">
        <v>0.98</v>
      </c>
      <c r="I3026" s="14" t="s">
        <v>6042</v>
      </c>
      <c r="J3026" s="14">
        <v>100.0</v>
      </c>
      <c r="K3026" s="14">
        <v>4.45</v>
      </c>
      <c r="L3026" s="14">
        <v>0.0</v>
      </c>
    </row>
    <row r="3027">
      <c r="A3027" s="14">
        <v>103.0</v>
      </c>
      <c r="B3027" s="14">
        <v>1.0</v>
      </c>
      <c r="C3027" s="34">
        <v>2.25</v>
      </c>
      <c r="D3027" s="36">
        <v>45048.0</v>
      </c>
      <c r="E3027" s="24"/>
      <c r="F3027" s="14">
        <v>2.25</v>
      </c>
      <c r="G3027" s="14">
        <v>21.84</v>
      </c>
      <c r="H3027" s="14">
        <v>0.97</v>
      </c>
      <c r="I3027" s="14" t="s">
        <v>6050</v>
      </c>
      <c r="J3027" s="14">
        <v>0.0</v>
      </c>
      <c r="K3027" s="14" t="s">
        <v>6012</v>
      </c>
      <c r="L3027" s="14">
        <v>0.0</v>
      </c>
    </row>
    <row r="3028">
      <c r="A3028" s="14">
        <v>677.0</v>
      </c>
      <c r="B3028" s="14">
        <v>1.0</v>
      </c>
      <c r="C3028" s="34">
        <v>11.74</v>
      </c>
      <c r="D3028" s="36">
        <v>45049.0</v>
      </c>
      <c r="E3028" s="24"/>
      <c r="F3028" s="14">
        <v>11.74</v>
      </c>
      <c r="G3028" s="14">
        <v>17.34</v>
      </c>
      <c r="H3028" s="14">
        <v>0.15</v>
      </c>
      <c r="I3028" s="14" t="s">
        <v>6060</v>
      </c>
      <c r="J3028" s="14">
        <v>100.0</v>
      </c>
      <c r="K3028" s="14">
        <v>11.74</v>
      </c>
      <c r="L3028" s="14">
        <v>0.0</v>
      </c>
    </row>
    <row r="3029">
      <c r="A3029" s="14">
        <v>507.0</v>
      </c>
      <c r="B3029" s="14">
        <v>2.0</v>
      </c>
      <c r="C3029" s="34">
        <v>11.71</v>
      </c>
      <c r="D3029" s="36">
        <v>45049.0</v>
      </c>
      <c r="E3029" s="24"/>
      <c r="F3029" s="14">
        <v>5.86</v>
      </c>
      <c r="G3029" s="14">
        <v>23.1</v>
      </c>
      <c r="H3029" s="14">
        <v>0.39</v>
      </c>
      <c r="I3029" s="14" t="s">
        <v>6062</v>
      </c>
      <c r="J3029" s="14">
        <v>0.0</v>
      </c>
      <c r="K3029" s="14" t="s">
        <v>6012</v>
      </c>
      <c r="L3029" s="14">
        <v>0.0</v>
      </c>
    </row>
    <row r="3030">
      <c r="A3030" s="14">
        <v>106.0</v>
      </c>
      <c r="B3030" s="14">
        <v>0.0</v>
      </c>
      <c r="C3030" s="34">
        <v>11.52</v>
      </c>
      <c r="D3030" s="36">
        <v>45049.0</v>
      </c>
      <c r="E3030" s="24"/>
      <c r="F3030" s="14" t="s">
        <v>6012</v>
      </c>
      <c r="G3030" s="14">
        <v>108.68</v>
      </c>
      <c r="H3030" s="14">
        <v>0.0</v>
      </c>
      <c r="I3030" s="14" t="s">
        <v>6063</v>
      </c>
      <c r="J3030" s="14" t="s">
        <v>6012</v>
      </c>
      <c r="K3030" s="14" t="s">
        <v>6012</v>
      </c>
      <c r="L3030" s="14">
        <v>0.0</v>
      </c>
    </row>
    <row r="3031">
      <c r="A3031" s="14">
        <v>203.0</v>
      </c>
      <c r="B3031" s="14">
        <v>1.0</v>
      </c>
      <c r="C3031" s="34">
        <v>15.0</v>
      </c>
      <c r="D3031" s="36">
        <v>45049.0</v>
      </c>
      <c r="E3031" s="24"/>
      <c r="F3031" s="14">
        <v>15.0</v>
      </c>
      <c r="G3031" s="14">
        <v>73.89</v>
      </c>
      <c r="H3031" s="14">
        <v>0.49</v>
      </c>
      <c r="I3031" s="14" t="s">
        <v>6058</v>
      </c>
      <c r="J3031" s="14">
        <v>0.0</v>
      </c>
      <c r="K3031" s="14" t="s">
        <v>6012</v>
      </c>
      <c r="L3031" s="14">
        <v>0.0</v>
      </c>
    </row>
    <row r="3032">
      <c r="A3032" s="14">
        <v>270.0</v>
      </c>
      <c r="B3032" s="14">
        <v>1.0</v>
      </c>
      <c r="C3032" s="34">
        <v>13.92</v>
      </c>
      <c r="D3032" s="36">
        <v>45049.0</v>
      </c>
      <c r="E3032" s="24"/>
      <c r="F3032" s="14">
        <v>13.92</v>
      </c>
      <c r="G3032" s="14">
        <v>51.56</v>
      </c>
      <c r="H3032" s="14">
        <v>0.37</v>
      </c>
      <c r="I3032" s="14" t="s">
        <v>6042</v>
      </c>
      <c r="J3032" s="14">
        <v>100.0</v>
      </c>
      <c r="K3032" s="14">
        <v>13.92</v>
      </c>
      <c r="L3032" s="14">
        <v>0.0</v>
      </c>
    </row>
    <row r="3033">
      <c r="A3033" s="14">
        <v>96.0</v>
      </c>
      <c r="B3033" s="14">
        <v>0.0</v>
      </c>
      <c r="C3033" s="34">
        <v>11.89</v>
      </c>
      <c r="D3033" s="36">
        <v>45049.0</v>
      </c>
      <c r="E3033" s="24"/>
      <c r="F3033" s="14" t="s">
        <v>6012</v>
      </c>
      <c r="G3033" s="14">
        <v>123.85</v>
      </c>
      <c r="H3033" s="14">
        <v>0.0</v>
      </c>
      <c r="I3033" s="14" t="s">
        <v>6061</v>
      </c>
      <c r="J3033" s="14" t="s">
        <v>6012</v>
      </c>
      <c r="K3033" s="14" t="s">
        <v>6012</v>
      </c>
      <c r="L3033" s="14">
        <v>0.0</v>
      </c>
    </row>
    <row r="3034">
      <c r="A3034" s="14">
        <v>619.0</v>
      </c>
      <c r="B3034" s="14">
        <v>1.0</v>
      </c>
      <c r="C3034" s="34">
        <v>11.72</v>
      </c>
      <c r="D3034" s="36">
        <v>45049.0</v>
      </c>
      <c r="E3034" s="24"/>
      <c r="F3034" s="14">
        <v>11.72</v>
      </c>
      <c r="G3034" s="14">
        <v>18.93</v>
      </c>
      <c r="H3034" s="14">
        <v>0.16</v>
      </c>
      <c r="I3034" s="14" t="s">
        <v>6054</v>
      </c>
      <c r="J3034" s="14">
        <v>100.0</v>
      </c>
      <c r="K3034" s="14">
        <v>11.72</v>
      </c>
      <c r="L3034" s="14">
        <v>0.0</v>
      </c>
    </row>
    <row r="3035">
      <c r="A3035" s="14">
        <v>63.0</v>
      </c>
      <c r="B3035" s="14">
        <v>0.0</v>
      </c>
      <c r="C3035" s="34">
        <v>12.77</v>
      </c>
      <c r="D3035" s="36">
        <v>45049.0</v>
      </c>
      <c r="E3035" s="24"/>
      <c r="F3035" s="14" t="s">
        <v>6012</v>
      </c>
      <c r="G3035" s="14">
        <v>202.7</v>
      </c>
      <c r="H3035" s="14">
        <v>0.0</v>
      </c>
      <c r="I3035" s="14" t="s">
        <v>6057</v>
      </c>
      <c r="J3035" s="14" t="s">
        <v>6012</v>
      </c>
      <c r="K3035" s="14" t="s">
        <v>6012</v>
      </c>
      <c r="L3035" s="14">
        <v>0.0</v>
      </c>
    </row>
    <row r="3036">
      <c r="A3036" s="14">
        <v>180.0</v>
      </c>
      <c r="B3036" s="14">
        <v>5.0</v>
      </c>
      <c r="C3036" s="34">
        <v>12.87</v>
      </c>
      <c r="D3036" s="36">
        <v>45049.0</v>
      </c>
      <c r="E3036" s="24"/>
      <c r="F3036" s="14">
        <v>2.57</v>
      </c>
      <c r="G3036" s="14">
        <v>71.5</v>
      </c>
      <c r="H3036" s="14">
        <v>2.78</v>
      </c>
      <c r="I3036" s="14" t="s">
        <v>6059</v>
      </c>
      <c r="J3036" s="14">
        <v>0.0</v>
      </c>
      <c r="K3036" s="14" t="s">
        <v>6012</v>
      </c>
      <c r="L3036" s="14">
        <v>1.0</v>
      </c>
    </row>
    <row r="3037">
      <c r="A3037" s="14">
        <v>807.0</v>
      </c>
      <c r="B3037" s="14">
        <v>5.0</v>
      </c>
      <c r="C3037" s="34">
        <v>11.66</v>
      </c>
      <c r="D3037" s="36">
        <v>45049.0</v>
      </c>
      <c r="E3037" s="24"/>
      <c r="F3037" s="14">
        <v>2.33</v>
      </c>
      <c r="G3037" s="14">
        <v>14.45</v>
      </c>
      <c r="H3037" s="14">
        <v>0.62</v>
      </c>
      <c r="I3037" s="14" t="s">
        <v>6051</v>
      </c>
      <c r="J3037" s="14">
        <v>20.0</v>
      </c>
      <c r="K3037" s="14">
        <v>11.66</v>
      </c>
      <c r="L3037" s="14">
        <v>0.0</v>
      </c>
    </row>
    <row r="3038">
      <c r="A3038" s="14">
        <v>432.0</v>
      </c>
      <c r="B3038" s="14">
        <v>5.0</v>
      </c>
      <c r="C3038" s="34">
        <v>15.0</v>
      </c>
      <c r="D3038" s="36">
        <v>45049.0</v>
      </c>
      <c r="E3038" s="24"/>
      <c r="F3038" s="14">
        <v>3.0</v>
      </c>
      <c r="G3038" s="14">
        <v>34.72</v>
      </c>
      <c r="H3038" s="14">
        <v>1.16</v>
      </c>
      <c r="I3038" s="14" t="s">
        <v>6050</v>
      </c>
      <c r="J3038" s="14">
        <v>60.0</v>
      </c>
      <c r="K3038" s="14">
        <v>5.0</v>
      </c>
      <c r="L3038" s="14">
        <v>0.0</v>
      </c>
    </row>
    <row r="3039">
      <c r="A3039" s="14">
        <v>135.0</v>
      </c>
      <c r="B3039" s="14">
        <v>0.0</v>
      </c>
      <c r="C3039" s="34">
        <v>12.26</v>
      </c>
      <c r="D3039" s="36">
        <v>45050.0</v>
      </c>
      <c r="E3039" s="24"/>
      <c r="F3039" s="14" t="s">
        <v>6012</v>
      </c>
      <c r="G3039" s="14">
        <v>90.81</v>
      </c>
      <c r="H3039" s="14">
        <v>0.0</v>
      </c>
      <c r="I3039" s="14" t="s">
        <v>6061</v>
      </c>
      <c r="J3039" s="14" t="s">
        <v>6012</v>
      </c>
      <c r="K3039" s="14" t="s">
        <v>6012</v>
      </c>
      <c r="L3039" s="14">
        <v>0.0</v>
      </c>
    </row>
    <row r="3040">
      <c r="A3040" s="14">
        <v>166.0</v>
      </c>
      <c r="B3040" s="14">
        <v>1.0</v>
      </c>
      <c r="C3040" s="34">
        <v>15.0</v>
      </c>
      <c r="D3040" s="36">
        <v>45050.0</v>
      </c>
      <c r="E3040" s="24"/>
      <c r="F3040" s="14">
        <v>15.0</v>
      </c>
      <c r="G3040" s="14">
        <v>90.36</v>
      </c>
      <c r="H3040" s="14">
        <v>0.6</v>
      </c>
      <c r="I3040" s="14" t="s">
        <v>6058</v>
      </c>
      <c r="J3040" s="14">
        <v>0.0</v>
      </c>
      <c r="K3040" s="14" t="s">
        <v>6012</v>
      </c>
      <c r="L3040" s="14">
        <v>0.0</v>
      </c>
    </row>
    <row r="3041">
      <c r="A3041" s="14">
        <v>175.0</v>
      </c>
      <c r="B3041" s="14">
        <v>0.0</v>
      </c>
      <c r="C3041" s="34">
        <v>11.9</v>
      </c>
      <c r="D3041" s="36">
        <v>45050.0</v>
      </c>
      <c r="E3041" s="24"/>
      <c r="F3041" s="14" t="s">
        <v>6012</v>
      </c>
      <c r="G3041" s="14">
        <v>68.0</v>
      </c>
      <c r="H3041" s="14">
        <v>0.0</v>
      </c>
      <c r="I3041" s="14" t="s">
        <v>6042</v>
      </c>
      <c r="J3041" s="14" t="s">
        <v>6012</v>
      </c>
      <c r="K3041" s="14">
        <v>11.9</v>
      </c>
      <c r="L3041" s="14">
        <v>0.0</v>
      </c>
    </row>
    <row r="3042">
      <c r="A3042" s="14">
        <v>599.0</v>
      </c>
      <c r="B3042" s="14">
        <v>4.0</v>
      </c>
      <c r="C3042" s="34">
        <v>11.67</v>
      </c>
      <c r="D3042" s="36">
        <v>45050.0</v>
      </c>
      <c r="E3042" s="24"/>
      <c r="F3042" s="14">
        <v>2.92</v>
      </c>
      <c r="G3042" s="14">
        <v>19.48</v>
      </c>
      <c r="H3042" s="14">
        <v>0.67</v>
      </c>
      <c r="I3042" s="14" t="s">
        <v>6060</v>
      </c>
      <c r="J3042" s="14">
        <v>0.0</v>
      </c>
      <c r="K3042" s="14" t="s">
        <v>6012</v>
      </c>
      <c r="L3042" s="14">
        <v>0.0</v>
      </c>
    </row>
    <row r="3043">
      <c r="A3043" s="14">
        <v>944.0</v>
      </c>
      <c r="B3043" s="14">
        <v>4.0</v>
      </c>
      <c r="C3043" s="34">
        <v>11.8</v>
      </c>
      <c r="D3043" s="36">
        <v>45050.0</v>
      </c>
      <c r="E3043" s="24"/>
      <c r="F3043" s="14">
        <v>2.95</v>
      </c>
      <c r="G3043" s="14">
        <v>12.5</v>
      </c>
      <c r="H3043" s="14">
        <v>0.42</v>
      </c>
      <c r="I3043" s="14" t="s">
        <v>6051</v>
      </c>
      <c r="J3043" s="14">
        <v>50.0</v>
      </c>
      <c r="K3043" s="14">
        <v>5.9</v>
      </c>
      <c r="L3043" s="14">
        <v>0.0</v>
      </c>
    </row>
    <row r="3044">
      <c r="A3044" s="14">
        <v>123.0</v>
      </c>
      <c r="B3044" s="14">
        <v>0.0</v>
      </c>
      <c r="C3044" s="34">
        <v>11.5</v>
      </c>
      <c r="D3044" s="36">
        <v>45050.0</v>
      </c>
      <c r="E3044" s="24"/>
      <c r="F3044" s="14" t="s">
        <v>6012</v>
      </c>
      <c r="G3044" s="14">
        <v>93.5</v>
      </c>
      <c r="H3044" s="14">
        <v>0.0</v>
      </c>
      <c r="I3044" s="14" t="s">
        <v>6063</v>
      </c>
      <c r="J3044" s="14" t="s">
        <v>6012</v>
      </c>
      <c r="K3044" s="14" t="s">
        <v>6012</v>
      </c>
      <c r="L3044" s="14">
        <v>0.0</v>
      </c>
    </row>
    <row r="3045">
      <c r="A3045" s="14">
        <v>1273.0</v>
      </c>
      <c r="B3045" s="14">
        <v>5.0</v>
      </c>
      <c r="C3045" s="34">
        <v>15.0</v>
      </c>
      <c r="D3045" s="36">
        <v>45050.0</v>
      </c>
      <c r="E3045" s="24"/>
      <c r="F3045" s="14">
        <v>3.0</v>
      </c>
      <c r="G3045" s="14">
        <v>11.78</v>
      </c>
      <c r="H3045" s="14">
        <v>0.39</v>
      </c>
      <c r="I3045" s="14" t="s">
        <v>6050</v>
      </c>
      <c r="J3045" s="14">
        <v>0.0</v>
      </c>
      <c r="K3045" s="14" t="s">
        <v>6012</v>
      </c>
      <c r="L3045" s="14">
        <v>0.0</v>
      </c>
    </row>
    <row r="3046">
      <c r="A3046" s="14">
        <v>50.0</v>
      </c>
      <c r="B3046" s="14">
        <v>0.0</v>
      </c>
      <c r="C3046" s="34">
        <v>12.53</v>
      </c>
      <c r="D3046" s="36">
        <v>45050.0</v>
      </c>
      <c r="E3046" s="24"/>
      <c r="F3046" s="14" t="s">
        <v>6012</v>
      </c>
      <c r="G3046" s="14">
        <v>250.6</v>
      </c>
      <c r="H3046" s="14">
        <v>0.0</v>
      </c>
      <c r="I3046" s="14" t="s">
        <v>6057</v>
      </c>
      <c r="J3046" s="14" t="s">
        <v>6012</v>
      </c>
      <c r="K3046" s="14" t="s">
        <v>6012</v>
      </c>
      <c r="L3046" s="14">
        <v>0.0</v>
      </c>
    </row>
    <row r="3047">
      <c r="A3047" s="14">
        <v>73.0</v>
      </c>
      <c r="B3047" s="14">
        <v>0.0</v>
      </c>
      <c r="C3047" s="34">
        <v>15.0</v>
      </c>
      <c r="D3047" s="36">
        <v>45050.0</v>
      </c>
      <c r="E3047" s="24"/>
      <c r="F3047" s="14" t="s">
        <v>6012</v>
      </c>
      <c r="G3047" s="14">
        <v>205.48</v>
      </c>
      <c r="H3047" s="14">
        <v>0.0</v>
      </c>
      <c r="I3047" s="14" t="s">
        <v>6059</v>
      </c>
      <c r="J3047" s="14" t="s">
        <v>6012</v>
      </c>
      <c r="K3047" s="14" t="s">
        <v>6012</v>
      </c>
      <c r="L3047" s="14">
        <v>0.0</v>
      </c>
    </row>
    <row r="3048">
      <c r="A3048" s="14">
        <v>616.0</v>
      </c>
      <c r="B3048" s="14">
        <v>2.0</v>
      </c>
      <c r="C3048" s="34">
        <v>11.72</v>
      </c>
      <c r="D3048" s="36">
        <v>45050.0</v>
      </c>
      <c r="E3048" s="24"/>
      <c r="F3048" s="14">
        <v>5.86</v>
      </c>
      <c r="G3048" s="14">
        <v>19.03</v>
      </c>
      <c r="H3048" s="14">
        <v>0.32</v>
      </c>
      <c r="I3048" s="14" t="s">
        <v>6054</v>
      </c>
      <c r="J3048" s="14">
        <v>0.0</v>
      </c>
      <c r="K3048" s="14" t="s">
        <v>6012</v>
      </c>
      <c r="L3048" s="14">
        <v>0.0</v>
      </c>
    </row>
    <row r="3049">
      <c r="A3049" s="14">
        <v>459.0</v>
      </c>
      <c r="B3049" s="14">
        <v>3.0</v>
      </c>
      <c r="C3049" s="34">
        <v>11.78</v>
      </c>
      <c r="D3049" s="36">
        <v>45050.0</v>
      </c>
      <c r="E3049" s="24"/>
      <c r="F3049" s="14">
        <v>3.93</v>
      </c>
      <c r="G3049" s="14">
        <v>25.66</v>
      </c>
      <c r="H3049" s="14">
        <v>0.65</v>
      </c>
      <c r="I3049" s="14" t="s">
        <v>6062</v>
      </c>
      <c r="J3049" s="14">
        <v>0.0</v>
      </c>
      <c r="K3049" s="14" t="s">
        <v>6012</v>
      </c>
      <c r="L3049" s="14">
        <v>0.0</v>
      </c>
    </row>
    <row r="3050">
      <c r="A3050" s="14">
        <v>1172.0</v>
      </c>
      <c r="B3050" s="14">
        <v>19.0</v>
      </c>
      <c r="C3050" s="34">
        <v>15.0</v>
      </c>
      <c r="D3050" s="36">
        <v>45051.0</v>
      </c>
      <c r="E3050" s="24"/>
      <c r="F3050" s="14">
        <v>0.79</v>
      </c>
      <c r="G3050" s="14">
        <v>12.8</v>
      </c>
      <c r="H3050" s="14">
        <v>1.62</v>
      </c>
      <c r="I3050" s="14" t="s">
        <v>6050</v>
      </c>
      <c r="J3050" s="14">
        <v>21.05</v>
      </c>
      <c r="K3050" s="14">
        <v>3.75</v>
      </c>
      <c r="L3050" s="14">
        <v>0.0</v>
      </c>
    </row>
    <row r="3051">
      <c r="A3051" s="14">
        <v>439.0</v>
      </c>
      <c r="B3051" s="14">
        <v>2.0</v>
      </c>
      <c r="C3051" s="34">
        <v>10.47</v>
      </c>
      <c r="D3051" s="36">
        <v>45051.0</v>
      </c>
      <c r="E3051" s="24"/>
      <c r="F3051" s="14">
        <v>5.24</v>
      </c>
      <c r="G3051" s="14">
        <v>23.85</v>
      </c>
      <c r="H3051" s="14">
        <v>0.46</v>
      </c>
      <c r="I3051" s="14" t="s">
        <v>6054</v>
      </c>
      <c r="J3051" s="14">
        <v>0.0</v>
      </c>
      <c r="K3051" s="14" t="s">
        <v>6012</v>
      </c>
      <c r="L3051" s="14">
        <v>0.0</v>
      </c>
    </row>
    <row r="3052">
      <c r="A3052" s="14">
        <v>52.0</v>
      </c>
      <c r="B3052" s="14">
        <v>1.0</v>
      </c>
      <c r="C3052" s="34">
        <v>10.13</v>
      </c>
      <c r="D3052" s="36">
        <v>45051.0</v>
      </c>
      <c r="E3052" s="24"/>
      <c r="F3052" s="14">
        <v>10.13</v>
      </c>
      <c r="G3052" s="14">
        <v>194.81</v>
      </c>
      <c r="H3052" s="14">
        <v>1.92</v>
      </c>
      <c r="I3052" s="14" t="s">
        <v>6057</v>
      </c>
      <c r="J3052" s="14">
        <v>0.0</v>
      </c>
      <c r="K3052" s="14" t="s">
        <v>6012</v>
      </c>
      <c r="L3052" s="14">
        <v>0.0</v>
      </c>
    </row>
    <row r="3053">
      <c r="A3053" s="14">
        <v>99.0</v>
      </c>
      <c r="B3053" s="14">
        <v>0.0</v>
      </c>
      <c r="C3053" s="34">
        <v>10.95</v>
      </c>
      <c r="D3053" s="36">
        <v>45051.0</v>
      </c>
      <c r="E3053" s="24"/>
      <c r="F3053" s="14" t="s">
        <v>6012</v>
      </c>
      <c r="G3053" s="14">
        <v>110.61</v>
      </c>
      <c r="H3053" s="14">
        <v>0.0</v>
      </c>
      <c r="I3053" s="14" t="s">
        <v>6042</v>
      </c>
      <c r="J3053" s="14" t="s">
        <v>6012</v>
      </c>
      <c r="K3053" s="14" t="s">
        <v>6012</v>
      </c>
      <c r="L3053" s="14">
        <v>0.0</v>
      </c>
    </row>
    <row r="3054">
      <c r="A3054" s="14">
        <v>102.0</v>
      </c>
      <c r="B3054" s="14">
        <v>1.0</v>
      </c>
      <c r="C3054" s="34">
        <v>12.44</v>
      </c>
      <c r="D3054" s="36">
        <v>45051.0</v>
      </c>
      <c r="E3054" s="24"/>
      <c r="F3054" s="14">
        <v>12.44</v>
      </c>
      <c r="G3054" s="14">
        <v>121.96</v>
      </c>
      <c r="H3054" s="14">
        <v>0.98</v>
      </c>
      <c r="I3054" s="14" t="s">
        <v>6058</v>
      </c>
      <c r="J3054" s="14">
        <v>200.0</v>
      </c>
      <c r="K3054" s="14">
        <v>6.22</v>
      </c>
      <c r="L3054" s="14">
        <v>0.0</v>
      </c>
    </row>
    <row r="3055">
      <c r="A3055" s="14">
        <v>96.0</v>
      </c>
      <c r="B3055" s="14">
        <v>0.0</v>
      </c>
      <c r="C3055" s="34">
        <v>11.23</v>
      </c>
      <c r="D3055" s="36">
        <v>45051.0</v>
      </c>
      <c r="E3055" s="24"/>
      <c r="F3055" s="14" t="s">
        <v>6012</v>
      </c>
      <c r="G3055" s="14">
        <v>116.98</v>
      </c>
      <c r="H3055" s="14">
        <v>0.0</v>
      </c>
      <c r="I3055" s="14" t="s">
        <v>6063</v>
      </c>
      <c r="J3055" s="14" t="s">
        <v>6012</v>
      </c>
      <c r="K3055" s="14" t="s">
        <v>6012</v>
      </c>
      <c r="L3055" s="14">
        <v>0.0</v>
      </c>
    </row>
    <row r="3056">
      <c r="A3056" s="14">
        <v>747.0</v>
      </c>
      <c r="B3056" s="14">
        <v>5.0</v>
      </c>
      <c r="C3056" s="34">
        <v>11.66</v>
      </c>
      <c r="D3056" s="36">
        <v>45051.0</v>
      </c>
      <c r="E3056" s="24"/>
      <c r="F3056" s="14">
        <v>2.33</v>
      </c>
      <c r="G3056" s="14">
        <v>15.61</v>
      </c>
      <c r="H3056" s="14">
        <v>0.67</v>
      </c>
      <c r="I3056" s="14" t="s">
        <v>6051</v>
      </c>
      <c r="J3056" s="14">
        <v>20.0</v>
      </c>
      <c r="K3056" s="14">
        <v>11.66</v>
      </c>
      <c r="L3056" s="14">
        <v>0.0</v>
      </c>
    </row>
    <row r="3057">
      <c r="A3057" s="14">
        <v>525.0</v>
      </c>
      <c r="B3057" s="14">
        <v>1.0</v>
      </c>
      <c r="C3057" s="34">
        <v>10.43</v>
      </c>
      <c r="D3057" s="36">
        <v>45051.0</v>
      </c>
      <c r="E3057" s="24"/>
      <c r="F3057" s="14">
        <v>10.43</v>
      </c>
      <c r="G3057" s="14">
        <v>19.87</v>
      </c>
      <c r="H3057" s="14">
        <v>0.19</v>
      </c>
      <c r="I3057" s="14" t="s">
        <v>6062</v>
      </c>
      <c r="J3057" s="14">
        <v>0.0</v>
      </c>
      <c r="K3057" s="14" t="s">
        <v>6012</v>
      </c>
      <c r="L3057" s="14">
        <v>0.0</v>
      </c>
    </row>
    <row r="3058">
      <c r="A3058" s="14">
        <v>334.0</v>
      </c>
      <c r="B3058" s="14">
        <v>1.0</v>
      </c>
      <c r="C3058" s="34">
        <v>10.64</v>
      </c>
      <c r="D3058" s="36">
        <v>45051.0</v>
      </c>
      <c r="E3058" s="24"/>
      <c r="F3058" s="14">
        <v>10.64</v>
      </c>
      <c r="G3058" s="14">
        <v>31.86</v>
      </c>
      <c r="H3058" s="14">
        <v>0.3</v>
      </c>
      <c r="I3058" s="14" t="s">
        <v>6060</v>
      </c>
      <c r="J3058" s="14">
        <v>200.0</v>
      </c>
      <c r="K3058" s="14">
        <v>5.32</v>
      </c>
      <c r="L3058" s="14">
        <v>0.0</v>
      </c>
    </row>
    <row r="3059">
      <c r="A3059" s="14">
        <v>49.0</v>
      </c>
      <c r="B3059" s="14">
        <v>0.0</v>
      </c>
      <c r="C3059" s="34">
        <v>12.53</v>
      </c>
      <c r="D3059" s="36">
        <v>45051.0</v>
      </c>
      <c r="E3059" s="24"/>
      <c r="F3059" s="14" t="s">
        <v>6012</v>
      </c>
      <c r="G3059" s="14">
        <v>255.71</v>
      </c>
      <c r="H3059" s="14">
        <v>0.0</v>
      </c>
      <c r="I3059" s="14" t="s">
        <v>6059</v>
      </c>
      <c r="J3059" s="14" t="s">
        <v>6012</v>
      </c>
      <c r="K3059" s="14">
        <v>12.53</v>
      </c>
      <c r="L3059" s="14">
        <v>0.0</v>
      </c>
    </row>
    <row r="3060">
      <c r="A3060" s="14">
        <v>91.0</v>
      </c>
      <c r="B3060" s="14">
        <v>1.0</v>
      </c>
      <c r="C3060" s="34">
        <v>12.21</v>
      </c>
      <c r="D3060" s="36">
        <v>45051.0</v>
      </c>
      <c r="E3060" s="24"/>
      <c r="F3060" s="14">
        <v>12.21</v>
      </c>
      <c r="G3060" s="14">
        <v>134.18</v>
      </c>
      <c r="H3060" s="14">
        <v>1.1</v>
      </c>
      <c r="I3060" s="14" t="s">
        <v>6061</v>
      </c>
      <c r="J3060" s="14">
        <v>0.0</v>
      </c>
      <c r="K3060" s="14" t="s">
        <v>6012</v>
      </c>
      <c r="L3060" s="14">
        <v>0.0</v>
      </c>
    </row>
    <row r="3061">
      <c r="A3061" s="14">
        <v>1253.0</v>
      </c>
      <c r="B3061" s="14">
        <v>4.0</v>
      </c>
      <c r="C3061" s="34">
        <v>9.95</v>
      </c>
      <c r="D3061" s="36">
        <v>45052.0</v>
      </c>
      <c r="E3061" s="24"/>
      <c r="F3061" s="14">
        <v>2.49</v>
      </c>
      <c r="G3061" s="14">
        <v>7.94</v>
      </c>
      <c r="H3061" s="14">
        <v>0.32</v>
      </c>
      <c r="I3061" s="14" t="s">
        <v>6050</v>
      </c>
      <c r="J3061" s="14">
        <v>75.0</v>
      </c>
      <c r="K3061" s="14">
        <v>3.32</v>
      </c>
      <c r="L3061" s="14">
        <v>0.0</v>
      </c>
    </row>
    <row r="3062">
      <c r="A3062" s="14">
        <v>53.0</v>
      </c>
      <c r="B3062" s="14">
        <v>1.0</v>
      </c>
      <c r="C3062" s="34">
        <v>8.45</v>
      </c>
      <c r="D3062" s="36">
        <v>45052.0</v>
      </c>
      <c r="E3062" s="24"/>
      <c r="F3062" s="14">
        <v>8.45</v>
      </c>
      <c r="G3062" s="14">
        <v>159.43</v>
      </c>
      <c r="H3062" s="14">
        <v>1.89</v>
      </c>
      <c r="I3062" s="14" t="s">
        <v>6063</v>
      </c>
      <c r="J3062" s="14">
        <v>0.0</v>
      </c>
      <c r="K3062" s="14" t="s">
        <v>6012</v>
      </c>
      <c r="L3062" s="14">
        <v>0.0</v>
      </c>
    </row>
    <row r="3063">
      <c r="A3063" s="14">
        <v>25.0</v>
      </c>
      <c r="B3063" s="14">
        <v>0.0</v>
      </c>
      <c r="C3063" s="34">
        <v>7.16</v>
      </c>
      <c r="D3063" s="36">
        <v>45052.0</v>
      </c>
      <c r="E3063" s="24"/>
      <c r="F3063" s="14" t="s">
        <v>6012</v>
      </c>
      <c r="G3063" s="14">
        <v>286.4</v>
      </c>
      <c r="H3063" s="14">
        <v>0.0</v>
      </c>
      <c r="I3063" s="14" t="s">
        <v>6059</v>
      </c>
      <c r="J3063" s="14" t="s">
        <v>6012</v>
      </c>
      <c r="K3063" s="14" t="s">
        <v>6012</v>
      </c>
      <c r="L3063" s="14">
        <v>0.0</v>
      </c>
    </row>
    <row r="3064">
      <c r="A3064" s="14">
        <v>328.0</v>
      </c>
      <c r="B3064" s="14">
        <v>0.0</v>
      </c>
      <c r="C3064" s="34">
        <v>6.71</v>
      </c>
      <c r="D3064" s="36">
        <v>45052.0</v>
      </c>
      <c r="E3064" s="24"/>
      <c r="F3064" s="14" t="s">
        <v>6012</v>
      </c>
      <c r="G3064" s="14">
        <v>20.46</v>
      </c>
      <c r="H3064" s="14">
        <v>0.0</v>
      </c>
      <c r="I3064" s="14" t="s">
        <v>6060</v>
      </c>
      <c r="J3064" s="14" t="s">
        <v>6012</v>
      </c>
      <c r="K3064" s="14" t="s">
        <v>6012</v>
      </c>
      <c r="L3064" s="14">
        <v>0.0</v>
      </c>
    </row>
    <row r="3065">
      <c r="A3065" s="14">
        <v>394.0</v>
      </c>
      <c r="B3065" s="14">
        <v>2.0</v>
      </c>
      <c r="C3065" s="34">
        <v>6.82</v>
      </c>
      <c r="D3065" s="36">
        <v>45052.0</v>
      </c>
      <c r="E3065" s="24"/>
      <c r="F3065" s="14">
        <v>3.41</v>
      </c>
      <c r="G3065" s="14">
        <v>17.31</v>
      </c>
      <c r="H3065" s="14">
        <v>0.51</v>
      </c>
      <c r="I3065" s="14" t="s">
        <v>6051</v>
      </c>
      <c r="J3065" s="14">
        <v>0.0</v>
      </c>
      <c r="K3065" s="14" t="s">
        <v>6012</v>
      </c>
      <c r="L3065" s="14">
        <v>0.0</v>
      </c>
    </row>
    <row r="3066">
      <c r="A3066" s="14">
        <v>110.0</v>
      </c>
      <c r="B3066" s="14">
        <v>0.0</v>
      </c>
      <c r="C3066" s="34">
        <v>8.37</v>
      </c>
      <c r="D3066" s="36">
        <v>45052.0</v>
      </c>
      <c r="E3066" s="24"/>
      <c r="F3066" s="14" t="s">
        <v>6012</v>
      </c>
      <c r="G3066" s="14">
        <v>76.09</v>
      </c>
      <c r="H3066" s="14">
        <v>0.0</v>
      </c>
      <c r="I3066" s="14" t="s">
        <v>6042</v>
      </c>
      <c r="J3066" s="14" t="s">
        <v>6012</v>
      </c>
      <c r="K3066" s="14" t="s">
        <v>6012</v>
      </c>
      <c r="L3066" s="14">
        <v>0.0</v>
      </c>
    </row>
    <row r="3067">
      <c r="A3067" s="14">
        <v>42.0</v>
      </c>
      <c r="B3067" s="14">
        <v>1.0</v>
      </c>
      <c r="C3067" s="34">
        <v>7.76</v>
      </c>
      <c r="D3067" s="36">
        <v>45052.0</v>
      </c>
      <c r="E3067" s="24"/>
      <c r="F3067" s="14">
        <v>7.76</v>
      </c>
      <c r="G3067" s="14">
        <v>184.76</v>
      </c>
      <c r="H3067" s="14">
        <v>2.38</v>
      </c>
      <c r="I3067" s="14" t="s">
        <v>6058</v>
      </c>
      <c r="J3067" s="14">
        <v>100.0</v>
      </c>
      <c r="K3067" s="14">
        <v>7.76</v>
      </c>
      <c r="L3067" s="14">
        <v>0.0</v>
      </c>
    </row>
    <row r="3068">
      <c r="A3068" s="14">
        <v>37.0</v>
      </c>
      <c r="B3068" s="14">
        <v>0.0</v>
      </c>
      <c r="C3068" s="34">
        <v>6.73</v>
      </c>
      <c r="D3068" s="36">
        <v>45052.0</v>
      </c>
      <c r="E3068" s="24"/>
      <c r="F3068" s="14" t="s">
        <v>6012</v>
      </c>
      <c r="G3068" s="14">
        <v>181.89</v>
      </c>
      <c r="H3068" s="14">
        <v>0.0</v>
      </c>
      <c r="I3068" s="14" t="s">
        <v>6057</v>
      </c>
      <c r="J3068" s="14" t="s">
        <v>6012</v>
      </c>
      <c r="K3068" s="14" t="s">
        <v>6012</v>
      </c>
      <c r="L3068" s="14">
        <v>0.0</v>
      </c>
    </row>
    <row r="3069">
      <c r="A3069" s="14">
        <v>179.0</v>
      </c>
      <c r="B3069" s="14">
        <v>0.0</v>
      </c>
      <c r="C3069" s="34">
        <v>6.54</v>
      </c>
      <c r="D3069" s="36">
        <v>45052.0</v>
      </c>
      <c r="E3069" s="24"/>
      <c r="F3069" s="14" t="s">
        <v>6012</v>
      </c>
      <c r="G3069" s="14">
        <v>36.54</v>
      </c>
      <c r="H3069" s="14">
        <v>0.0</v>
      </c>
      <c r="I3069" s="14" t="s">
        <v>6054</v>
      </c>
      <c r="J3069" s="14" t="s">
        <v>6012</v>
      </c>
      <c r="K3069" s="14" t="s">
        <v>6012</v>
      </c>
      <c r="L3069" s="14">
        <v>0.0</v>
      </c>
    </row>
    <row r="3070">
      <c r="A3070" s="14">
        <v>332.0</v>
      </c>
      <c r="B3070" s="14">
        <v>1.0</v>
      </c>
      <c r="C3070" s="34">
        <v>6.84</v>
      </c>
      <c r="D3070" s="36">
        <v>45052.0</v>
      </c>
      <c r="E3070" s="24"/>
      <c r="F3070" s="14">
        <v>6.84</v>
      </c>
      <c r="G3070" s="14">
        <v>20.6</v>
      </c>
      <c r="H3070" s="14">
        <v>0.3</v>
      </c>
      <c r="I3070" s="14" t="s">
        <v>6062</v>
      </c>
      <c r="J3070" s="14">
        <v>0.0</v>
      </c>
      <c r="K3070" s="14" t="s">
        <v>6012</v>
      </c>
      <c r="L3070" s="14">
        <v>0.0</v>
      </c>
    </row>
    <row r="3071">
      <c r="A3071" s="14">
        <v>41.0</v>
      </c>
      <c r="B3071" s="14">
        <v>0.0</v>
      </c>
      <c r="C3071" s="34">
        <v>5.21</v>
      </c>
      <c r="D3071" s="36">
        <v>45052.0</v>
      </c>
      <c r="E3071" s="24"/>
      <c r="F3071" s="14" t="s">
        <v>6012</v>
      </c>
      <c r="G3071" s="14">
        <v>127.07</v>
      </c>
      <c r="H3071" s="14">
        <v>0.0</v>
      </c>
      <c r="I3071" s="14" t="s">
        <v>6061</v>
      </c>
      <c r="J3071" s="14" t="s">
        <v>6012</v>
      </c>
      <c r="K3071" s="14" t="s">
        <v>6012</v>
      </c>
      <c r="L3071" s="14">
        <v>0.0</v>
      </c>
    </row>
    <row r="3072">
      <c r="A3072" s="14">
        <v>168.0</v>
      </c>
      <c r="B3072" s="14">
        <v>0.0</v>
      </c>
      <c r="C3072" s="34">
        <v>5.15</v>
      </c>
      <c r="D3072" s="36">
        <v>45053.0</v>
      </c>
      <c r="E3072" s="24"/>
      <c r="F3072" s="14" t="s">
        <v>6012</v>
      </c>
      <c r="G3072" s="14">
        <v>30.65</v>
      </c>
      <c r="H3072" s="14">
        <v>0.0</v>
      </c>
      <c r="I3072" s="14" t="s">
        <v>6054</v>
      </c>
      <c r="J3072" s="14" t="s">
        <v>6012</v>
      </c>
      <c r="K3072" s="14">
        <v>5.15</v>
      </c>
      <c r="L3072" s="14">
        <v>0.0</v>
      </c>
    </row>
    <row r="3073">
      <c r="A3073" s="14">
        <v>37.0</v>
      </c>
      <c r="B3073" s="14">
        <v>0.0</v>
      </c>
      <c r="C3073" s="34">
        <v>3.83</v>
      </c>
      <c r="D3073" s="36">
        <v>45053.0</v>
      </c>
      <c r="E3073" s="24"/>
      <c r="F3073" s="14" t="s">
        <v>6012</v>
      </c>
      <c r="G3073" s="14">
        <v>103.51</v>
      </c>
      <c r="H3073" s="14">
        <v>0.0</v>
      </c>
      <c r="I3073" s="14" t="s">
        <v>6061</v>
      </c>
      <c r="J3073" s="14" t="s">
        <v>6012</v>
      </c>
      <c r="K3073" s="14" t="s">
        <v>6012</v>
      </c>
      <c r="L3073" s="14">
        <v>0.0</v>
      </c>
    </row>
    <row r="3074">
      <c r="A3074" s="14">
        <v>416.0</v>
      </c>
      <c r="B3074" s="14">
        <v>3.0</v>
      </c>
      <c r="C3074" s="34">
        <v>6.46</v>
      </c>
      <c r="D3074" s="36">
        <v>45053.0</v>
      </c>
      <c r="E3074" s="24"/>
      <c r="F3074" s="14">
        <v>2.15</v>
      </c>
      <c r="G3074" s="14">
        <v>15.53</v>
      </c>
      <c r="H3074" s="14">
        <v>0.72</v>
      </c>
      <c r="I3074" s="14" t="s">
        <v>6060</v>
      </c>
      <c r="J3074" s="14">
        <v>100.0</v>
      </c>
      <c r="K3074" s="14">
        <v>2.15</v>
      </c>
      <c r="L3074" s="14">
        <v>0.0</v>
      </c>
    </row>
    <row r="3075">
      <c r="A3075" s="14">
        <v>51.0</v>
      </c>
      <c r="B3075" s="14">
        <v>0.0</v>
      </c>
      <c r="C3075" s="34">
        <v>6.88</v>
      </c>
      <c r="D3075" s="36">
        <v>45053.0</v>
      </c>
      <c r="E3075" s="24"/>
      <c r="F3075" s="14" t="s">
        <v>6012</v>
      </c>
      <c r="G3075" s="14">
        <v>134.9</v>
      </c>
      <c r="H3075" s="14">
        <v>0.0</v>
      </c>
      <c r="I3075" s="14" t="s">
        <v>6058</v>
      </c>
      <c r="J3075" s="14" t="s">
        <v>6012</v>
      </c>
      <c r="K3075" s="14">
        <v>6.88</v>
      </c>
      <c r="L3075" s="14">
        <v>0.0</v>
      </c>
    </row>
    <row r="3076">
      <c r="A3076" s="14">
        <v>254.0</v>
      </c>
      <c r="B3076" s="14">
        <v>3.0</v>
      </c>
      <c r="C3076" s="34">
        <v>5.13</v>
      </c>
      <c r="D3076" s="36">
        <v>45053.0</v>
      </c>
      <c r="E3076" s="24"/>
      <c r="F3076" s="14">
        <v>1.71</v>
      </c>
      <c r="G3076" s="14">
        <v>20.2</v>
      </c>
      <c r="H3076" s="14">
        <v>1.18</v>
      </c>
      <c r="I3076" s="14" t="s">
        <v>6051</v>
      </c>
      <c r="J3076" s="14">
        <v>100.0</v>
      </c>
      <c r="K3076" s="14">
        <v>1.71</v>
      </c>
      <c r="L3076" s="14">
        <v>0.0</v>
      </c>
    </row>
    <row r="3077">
      <c r="A3077" s="14">
        <v>26.0</v>
      </c>
      <c r="B3077" s="14">
        <v>0.0</v>
      </c>
      <c r="C3077" s="34">
        <v>2.44</v>
      </c>
      <c r="D3077" s="36">
        <v>45053.0</v>
      </c>
      <c r="E3077" s="24"/>
      <c r="F3077" s="14" t="s">
        <v>6012</v>
      </c>
      <c r="G3077" s="14">
        <v>93.85</v>
      </c>
      <c r="H3077" s="14">
        <v>0.0</v>
      </c>
      <c r="I3077" s="14" t="s">
        <v>6059</v>
      </c>
      <c r="J3077" s="14" t="s">
        <v>6012</v>
      </c>
      <c r="K3077" s="14" t="s">
        <v>6012</v>
      </c>
      <c r="L3077" s="14">
        <v>0.0</v>
      </c>
    </row>
    <row r="3078">
      <c r="A3078" s="14">
        <v>45.0</v>
      </c>
      <c r="B3078" s="14">
        <v>2.0</v>
      </c>
      <c r="C3078" s="34">
        <v>5.45</v>
      </c>
      <c r="D3078" s="36">
        <v>45053.0</v>
      </c>
      <c r="E3078" s="24"/>
      <c r="F3078" s="14">
        <v>2.72</v>
      </c>
      <c r="G3078" s="14">
        <v>121.11</v>
      </c>
      <c r="H3078" s="14">
        <v>4.44</v>
      </c>
      <c r="I3078" s="14" t="s">
        <v>6042</v>
      </c>
      <c r="J3078" s="14">
        <v>0.0</v>
      </c>
      <c r="K3078" s="14" t="s">
        <v>6012</v>
      </c>
      <c r="L3078" s="14">
        <v>0.0</v>
      </c>
    </row>
    <row r="3079">
      <c r="A3079" s="14">
        <v>19.0</v>
      </c>
      <c r="B3079" s="14">
        <v>0.0</v>
      </c>
      <c r="C3079" s="34">
        <v>2.85</v>
      </c>
      <c r="D3079" s="36">
        <v>45053.0</v>
      </c>
      <c r="E3079" s="24"/>
      <c r="F3079" s="14" t="s">
        <v>6012</v>
      </c>
      <c r="G3079" s="14">
        <v>150.0</v>
      </c>
      <c r="H3079" s="14">
        <v>0.0</v>
      </c>
      <c r="I3079" s="14" t="s">
        <v>6063</v>
      </c>
      <c r="J3079" s="14" t="s">
        <v>6012</v>
      </c>
      <c r="K3079" s="14" t="s">
        <v>6012</v>
      </c>
      <c r="L3079" s="14">
        <v>0.0</v>
      </c>
    </row>
    <row r="3080">
      <c r="A3080" s="14">
        <v>1351.0</v>
      </c>
      <c r="B3080" s="14">
        <v>6.0</v>
      </c>
      <c r="C3080" s="34">
        <v>10.25</v>
      </c>
      <c r="D3080" s="36">
        <v>45053.0</v>
      </c>
      <c r="E3080" s="24"/>
      <c r="F3080" s="14">
        <v>1.71</v>
      </c>
      <c r="G3080" s="14">
        <v>7.59</v>
      </c>
      <c r="H3080" s="14">
        <v>0.44</v>
      </c>
      <c r="I3080" s="14" t="s">
        <v>6050</v>
      </c>
      <c r="J3080" s="14">
        <v>0.0</v>
      </c>
      <c r="K3080" s="14" t="s">
        <v>6012</v>
      </c>
      <c r="L3080" s="14">
        <v>0.0</v>
      </c>
    </row>
    <row r="3081">
      <c r="A3081" s="14">
        <v>207.0</v>
      </c>
      <c r="B3081" s="14">
        <v>1.0</v>
      </c>
      <c r="C3081" s="34">
        <v>6.5</v>
      </c>
      <c r="D3081" s="36">
        <v>45053.0</v>
      </c>
      <c r="E3081" s="24"/>
      <c r="F3081" s="14">
        <v>6.5</v>
      </c>
      <c r="G3081" s="14">
        <v>31.4</v>
      </c>
      <c r="H3081" s="14">
        <v>0.48</v>
      </c>
      <c r="I3081" s="14" t="s">
        <v>6062</v>
      </c>
      <c r="J3081" s="14">
        <v>100.0</v>
      </c>
      <c r="K3081" s="14">
        <v>6.5</v>
      </c>
      <c r="L3081" s="14">
        <v>0.0</v>
      </c>
    </row>
    <row r="3082">
      <c r="A3082" s="14">
        <v>21.0</v>
      </c>
      <c r="B3082" s="14">
        <v>0.0</v>
      </c>
      <c r="C3082" s="34">
        <v>4.59</v>
      </c>
      <c r="D3082" s="36">
        <v>45053.0</v>
      </c>
      <c r="E3082" s="24"/>
      <c r="F3082" s="14" t="s">
        <v>6012</v>
      </c>
      <c r="G3082" s="14">
        <v>218.57</v>
      </c>
      <c r="H3082" s="14">
        <v>0.0</v>
      </c>
      <c r="I3082" s="14" t="s">
        <v>6057</v>
      </c>
      <c r="J3082" s="14" t="s">
        <v>6012</v>
      </c>
      <c r="K3082" s="14" t="s">
        <v>6012</v>
      </c>
      <c r="L3082" s="14">
        <v>0.0</v>
      </c>
    </row>
    <row r="3083">
      <c r="A3083" s="14">
        <v>146.0</v>
      </c>
      <c r="B3083" s="14">
        <v>0.0</v>
      </c>
      <c r="C3083" s="34">
        <v>11.73</v>
      </c>
      <c r="D3083" s="36">
        <v>45054.0</v>
      </c>
      <c r="E3083" s="24"/>
      <c r="F3083" s="14" t="s">
        <v>6012</v>
      </c>
      <c r="G3083" s="14">
        <v>80.34</v>
      </c>
      <c r="H3083" s="14">
        <v>0.0</v>
      </c>
      <c r="I3083" s="14" t="s">
        <v>6063</v>
      </c>
      <c r="J3083" s="14" t="s">
        <v>6012</v>
      </c>
      <c r="K3083" s="14">
        <v>11.73</v>
      </c>
      <c r="L3083" s="14">
        <v>0.0</v>
      </c>
    </row>
    <row r="3084">
      <c r="A3084" s="14">
        <v>640.0</v>
      </c>
      <c r="B3084" s="14">
        <v>2.0</v>
      </c>
      <c r="C3084" s="34">
        <v>10.52</v>
      </c>
      <c r="D3084" s="36">
        <v>45054.0</v>
      </c>
      <c r="E3084" s="24"/>
      <c r="F3084" s="14">
        <v>5.26</v>
      </c>
      <c r="G3084" s="14">
        <v>16.44</v>
      </c>
      <c r="H3084" s="14">
        <v>0.31</v>
      </c>
      <c r="I3084" s="14" t="s">
        <v>6060</v>
      </c>
      <c r="J3084" s="14">
        <v>50.0</v>
      </c>
      <c r="K3084" s="14">
        <v>10.52</v>
      </c>
      <c r="L3084" s="14">
        <v>0.0</v>
      </c>
    </row>
    <row r="3085">
      <c r="A3085" s="14">
        <v>111.0</v>
      </c>
      <c r="B3085" s="14">
        <v>2.0</v>
      </c>
      <c r="C3085" s="34">
        <v>12.28</v>
      </c>
      <c r="D3085" s="36">
        <v>45054.0</v>
      </c>
      <c r="E3085" s="24"/>
      <c r="F3085" s="14">
        <v>6.14</v>
      </c>
      <c r="G3085" s="14">
        <v>110.63</v>
      </c>
      <c r="H3085" s="14">
        <v>1.8</v>
      </c>
      <c r="I3085" s="14" t="s">
        <v>6057</v>
      </c>
      <c r="J3085" s="14">
        <v>0.0</v>
      </c>
      <c r="K3085" s="14" t="s">
        <v>6012</v>
      </c>
      <c r="L3085" s="14">
        <v>0.0</v>
      </c>
    </row>
    <row r="3086">
      <c r="A3086" s="14">
        <v>496.0</v>
      </c>
      <c r="B3086" s="14">
        <v>3.0</v>
      </c>
      <c r="C3086" s="34">
        <v>11.33</v>
      </c>
      <c r="D3086" s="36">
        <v>45054.0</v>
      </c>
      <c r="E3086" s="24"/>
      <c r="F3086" s="14">
        <v>3.78</v>
      </c>
      <c r="G3086" s="14">
        <v>22.84</v>
      </c>
      <c r="H3086" s="14">
        <v>0.6</v>
      </c>
      <c r="I3086" s="14" t="s">
        <v>6054</v>
      </c>
      <c r="J3086" s="14">
        <v>0.0</v>
      </c>
      <c r="K3086" s="14" t="s">
        <v>6012</v>
      </c>
      <c r="L3086" s="14">
        <v>0.0</v>
      </c>
    </row>
    <row r="3087">
      <c r="A3087" s="14">
        <v>1737.0</v>
      </c>
      <c r="B3087" s="14">
        <v>13.0</v>
      </c>
      <c r="C3087" s="34">
        <v>10.38</v>
      </c>
      <c r="D3087" s="36">
        <v>45054.0</v>
      </c>
      <c r="E3087" s="24"/>
      <c r="F3087" s="14">
        <v>0.8</v>
      </c>
      <c r="G3087" s="14">
        <v>5.98</v>
      </c>
      <c r="H3087" s="14">
        <v>0.75</v>
      </c>
      <c r="I3087" s="14" t="s">
        <v>6050</v>
      </c>
      <c r="J3087" s="14">
        <v>38.46</v>
      </c>
      <c r="K3087" s="14">
        <v>2.08</v>
      </c>
      <c r="L3087" s="14">
        <v>0.0</v>
      </c>
    </row>
    <row r="3088">
      <c r="A3088" s="14">
        <v>352.0</v>
      </c>
      <c r="B3088" s="14">
        <v>0.0</v>
      </c>
      <c r="C3088" s="34">
        <v>14.09</v>
      </c>
      <c r="D3088" s="36">
        <v>45054.0</v>
      </c>
      <c r="E3088" s="24"/>
      <c r="F3088" s="14" t="s">
        <v>6012</v>
      </c>
      <c r="G3088" s="14">
        <v>40.03</v>
      </c>
      <c r="H3088" s="14">
        <v>0.0</v>
      </c>
      <c r="I3088" s="14" t="s">
        <v>6042</v>
      </c>
      <c r="J3088" s="14" t="s">
        <v>6012</v>
      </c>
      <c r="K3088" s="14">
        <v>14.09</v>
      </c>
      <c r="L3088" s="14">
        <v>0.0</v>
      </c>
    </row>
    <row r="3089">
      <c r="A3089" s="14">
        <v>426.0</v>
      </c>
      <c r="B3089" s="14">
        <v>0.0</v>
      </c>
      <c r="C3089" s="34">
        <v>10.62</v>
      </c>
      <c r="D3089" s="36">
        <v>45054.0</v>
      </c>
      <c r="E3089" s="24"/>
      <c r="F3089" s="14" t="s">
        <v>6012</v>
      </c>
      <c r="G3089" s="14">
        <v>24.93</v>
      </c>
      <c r="H3089" s="14">
        <v>0.0</v>
      </c>
      <c r="I3089" s="14" t="s">
        <v>6062</v>
      </c>
      <c r="J3089" s="14" t="s">
        <v>6012</v>
      </c>
      <c r="K3089" s="14" t="s">
        <v>6012</v>
      </c>
      <c r="L3089" s="14">
        <v>0.0</v>
      </c>
    </row>
    <row r="3090">
      <c r="A3090" s="14">
        <v>134.0</v>
      </c>
      <c r="B3090" s="14">
        <v>1.0</v>
      </c>
      <c r="C3090" s="34">
        <v>11.46</v>
      </c>
      <c r="D3090" s="36">
        <v>45054.0</v>
      </c>
      <c r="E3090" s="24"/>
      <c r="F3090" s="14">
        <v>11.46</v>
      </c>
      <c r="G3090" s="14">
        <v>85.52</v>
      </c>
      <c r="H3090" s="14">
        <v>0.75</v>
      </c>
      <c r="I3090" s="14" t="s">
        <v>6061</v>
      </c>
      <c r="J3090" s="14">
        <v>0.0</v>
      </c>
      <c r="K3090" s="14" t="s">
        <v>6012</v>
      </c>
      <c r="L3090" s="14">
        <v>0.0</v>
      </c>
    </row>
    <row r="3091">
      <c r="A3091" s="14">
        <v>97.0</v>
      </c>
      <c r="B3091" s="14">
        <v>0.0</v>
      </c>
      <c r="C3091" s="34">
        <v>13.04</v>
      </c>
      <c r="D3091" s="36">
        <v>45054.0</v>
      </c>
      <c r="E3091" s="24"/>
      <c r="F3091" s="14" t="s">
        <v>6012</v>
      </c>
      <c r="G3091" s="14">
        <v>134.43</v>
      </c>
      <c r="H3091" s="14">
        <v>0.0</v>
      </c>
      <c r="I3091" s="14" t="s">
        <v>6059</v>
      </c>
      <c r="J3091" s="14" t="s">
        <v>6012</v>
      </c>
      <c r="K3091" s="14" t="s">
        <v>6012</v>
      </c>
      <c r="L3091" s="14">
        <v>0.0</v>
      </c>
    </row>
    <row r="3092">
      <c r="A3092" s="14">
        <v>1234.0</v>
      </c>
      <c r="B3092" s="14">
        <v>17.0</v>
      </c>
      <c r="C3092" s="34">
        <v>11.63</v>
      </c>
      <c r="D3092" s="36">
        <v>45054.0</v>
      </c>
      <c r="E3092" s="24"/>
      <c r="F3092" s="14">
        <v>0.68</v>
      </c>
      <c r="G3092" s="14">
        <v>9.42</v>
      </c>
      <c r="H3092" s="14">
        <v>1.38</v>
      </c>
      <c r="I3092" s="14" t="s">
        <v>6051</v>
      </c>
      <c r="J3092" s="14">
        <v>11.76</v>
      </c>
      <c r="K3092" s="14">
        <v>5.82</v>
      </c>
      <c r="L3092" s="14">
        <v>0.0</v>
      </c>
    </row>
    <row r="3093">
      <c r="A3093" s="14">
        <v>174.0</v>
      </c>
      <c r="B3093" s="14">
        <v>1.0</v>
      </c>
      <c r="C3093" s="34">
        <v>10.8</v>
      </c>
      <c r="D3093" s="36">
        <v>45054.0</v>
      </c>
      <c r="E3093" s="24"/>
      <c r="F3093" s="14">
        <v>10.8</v>
      </c>
      <c r="G3093" s="14">
        <v>62.07</v>
      </c>
      <c r="H3093" s="14">
        <v>0.57</v>
      </c>
      <c r="I3093" s="14" t="s">
        <v>6058</v>
      </c>
      <c r="J3093" s="14">
        <v>100.0</v>
      </c>
      <c r="K3093" s="14">
        <v>10.8</v>
      </c>
      <c r="L3093" s="14">
        <v>0.0</v>
      </c>
    </row>
    <row r="3094">
      <c r="A3094" s="14">
        <v>462.0</v>
      </c>
      <c r="B3094" s="14">
        <v>1.0</v>
      </c>
      <c r="C3094" s="34">
        <v>11.54</v>
      </c>
      <c r="D3094" s="36">
        <v>45055.0</v>
      </c>
      <c r="E3094" s="24"/>
      <c r="F3094" s="14">
        <v>11.54</v>
      </c>
      <c r="G3094" s="14">
        <v>24.98</v>
      </c>
      <c r="H3094" s="14">
        <v>0.22</v>
      </c>
      <c r="I3094" s="14" t="s">
        <v>6062</v>
      </c>
      <c r="J3094" s="14">
        <v>100.0</v>
      </c>
      <c r="K3094" s="14">
        <v>11.54</v>
      </c>
      <c r="L3094" s="14">
        <v>0.0</v>
      </c>
    </row>
    <row r="3095">
      <c r="A3095" s="14">
        <v>186.0</v>
      </c>
      <c r="B3095" s="14">
        <v>2.0</v>
      </c>
      <c r="C3095" s="34">
        <v>12.13</v>
      </c>
      <c r="D3095" s="36">
        <v>45055.0</v>
      </c>
      <c r="E3095" s="24"/>
      <c r="F3095" s="14">
        <v>6.06</v>
      </c>
      <c r="G3095" s="14">
        <v>65.22</v>
      </c>
      <c r="H3095" s="14">
        <v>1.08</v>
      </c>
      <c r="I3095" s="14" t="s">
        <v>6061</v>
      </c>
      <c r="J3095" s="14">
        <v>100.0</v>
      </c>
      <c r="K3095" s="14">
        <v>6.06</v>
      </c>
      <c r="L3095" s="14">
        <v>0.0</v>
      </c>
    </row>
    <row r="3096">
      <c r="A3096" s="14">
        <v>164.0</v>
      </c>
      <c r="B3096" s="14">
        <v>2.0</v>
      </c>
      <c r="C3096" s="34">
        <v>12.52</v>
      </c>
      <c r="D3096" s="36">
        <v>45055.0</v>
      </c>
      <c r="E3096" s="24"/>
      <c r="F3096" s="14">
        <v>6.26</v>
      </c>
      <c r="G3096" s="14">
        <v>76.34</v>
      </c>
      <c r="H3096" s="14">
        <v>1.22</v>
      </c>
      <c r="I3096" s="14" t="s">
        <v>6063</v>
      </c>
      <c r="J3096" s="14">
        <v>100.0</v>
      </c>
      <c r="K3096" s="14">
        <v>6.26</v>
      </c>
      <c r="L3096" s="14">
        <v>0.0</v>
      </c>
    </row>
    <row r="3097">
      <c r="A3097" s="14">
        <v>710.0</v>
      </c>
      <c r="B3097" s="14">
        <v>5.0</v>
      </c>
      <c r="C3097" s="34">
        <v>11.53</v>
      </c>
      <c r="D3097" s="36">
        <v>45055.0</v>
      </c>
      <c r="E3097" s="24"/>
      <c r="F3097" s="14">
        <v>2.31</v>
      </c>
      <c r="G3097" s="14">
        <v>16.24</v>
      </c>
      <c r="H3097" s="14">
        <v>0.7</v>
      </c>
      <c r="I3097" s="14" t="s">
        <v>6060</v>
      </c>
      <c r="J3097" s="14">
        <v>0.0</v>
      </c>
      <c r="K3097" s="14" t="s">
        <v>6012</v>
      </c>
      <c r="L3097" s="14">
        <v>0.0</v>
      </c>
    </row>
    <row r="3098">
      <c r="A3098" s="14">
        <v>1515.0</v>
      </c>
      <c r="B3098" s="14">
        <v>21.0</v>
      </c>
      <c r="C3098" s="34">
        <v>11.81</v>
      </c>
      <c r="D3098" s="36">
        <v>45055.0</v>
      </c>
      <c r="E3098" s="24"/>
      <c r="F3098" s="14">
        <v>0.56</v>
      </c>
      <c r="G3098" s="14">
        <v>7.8</v>
      </c>
      <c r="H3098" s="14">
        <v>1.39</v>
      </c>
      <c r="I3098" s="14" t="s">
        <v>6051</v>
      </c>
      <c r="J3098" s="14">
        <v>4.76</v>
      </c>
      <c r="K3098" s="14">
        <v>11.81</v>
      </c>
      <c r="L3098" s="14">
        <v>0.0</v>
      </c>
    </row>
    <row r="3099">
      <c r="A3099" s="14">
        <v>1969.0</v>
      </c>
      <c r="B3099" s="14">
        <v>13.0</v>
      </c>
      <c r="C3099" s="34">
        <v>12.02</v>
      </c>
      <c r="D3099" s="36">
        <v>45055.0</v>
      </c>
      <c r="E3099" s="24"/>
      <c r="F3099" s="14">
        <v>0.92</v>
      </c>
      <c r="G3099" s="14">
        <v>6.1</v>
      </c>
      <c r="H3099" s="14">
        <v>0.66</v>
      </c>
      <c r="I3099" s="14" t="s">
        <v>6050</v>
      </c>
      <c r="J3099" s="14">
        <v>23.08</v>
      </c>
      <c r="K3099" s="14">
        <v>4.01</v>
      </c>
      <c r="L3099" s="14">
        <v>0.0</v>
      </c>
    </row>
    <row r="3100">
      <c r="A3100" s="14">
        <v>58.0</v>
      </c>
      <c r="B3100" s="14">
        <v>1.0</v>
      </c>
      <c r="C3100" s="34">
        <v>12.25</v>
      </c>
      <c r="D3100" s="36">
        <v>45055.0</v>
      </c>
      <c r="E3100" s="24"/>
      <c r="F3100" s="14">
        <v>12.25</v>
      </c>
      <c r="G3100" s="14">
        <v>211.21</v>
      </c>
      <c r="H3100" s="14">
        <v>1.72</v>
      </c>
      <c r="I3100" s="14" t="s">
        <v>6057</v>
      </c>
      <c r="J3100" s="14">
        <v>0.0</v>
      </c>
      <c r="K3100" s="14" t="s">
        <v>6012</v>
      </c>
      <c r="L3100" s="14">
        <v>1.0</v>
      </c>
    </row>
    <row r="3101">
      <c r="A3101" s="14">
        <v>428.0</v>
      </c>
      <c r="B3101" s="14">
        <v>2.0</v>
      </c>
      <c r="C3101" s="34">
        <v>13.78</v>
      </c>
      <c r="D3101" s="36">
        <v>45055.0</v>
      </c>
      <c r="E3101" s="24"/>
      <c r="F3101" s="14">
        <v>6.89</v>
      </c>
      <c r="G3101" s="14">
        <v>32.2</v>
      </c>
      <c r="H3101" s="14">
        <v>0.47</v>
      </c>
      <c r="I3101" s="14" t="s">
        <v>6042</v>
      </c>
      <c r="J3101" s="14">
        <v>50.0</v>
      </c>
      <c r="K3101" s="14">
        <v>13.78</v>
      </c>
      <c r="L3101" s="14">
        <v>0.0</v>
      </c>
    </row>
    <row r="3102">
      <c r="A3102" s="14">
        <v>580.0</v>
      </c>
      <c r="B3102" s="14">
        <v>3.0</v>
      </c>
      <c r="C3102" s="34">
        <v>11.95</v>
      </c>
      <c r="D3102" s="36">
        <v>45055.0</v>
      </c>
      <c r="E3102" s="24"/>
      <c r="F3102" s="14">
        <v>3.98</v>
      </c>
      <c r="G3102" s="14">
        <v>20.6</v>
      </c>
      <c r="H3102" s="14">
        <v>0.52</v>
      </c>
      <c r="I3102" s="14" t="s">
        <v>6054</v>
      </c>
      <c r="J3102" s="14">
        <v>0.0</v>
      </c>
      <c r="K3102" s="14" t="s">
        <v>6012</v>
      </c>
      <c r="L3102" s="14">
        <v>1.0</v>
      </c>
    </row>
    <row r="3103">
      <c r="A3103" s="14">
        <v>68.0</v>
      </c>
      <c r="B3103" s="14">
        <v>0.0</v>
      </c>
      <c r="C3103" s="34">
        <v>11.88</v>
      </c>
      <c r="D3103" s="36">
        <v>45055.0</v>
      </c>
      <c r="E3103" s="24"/>
      <c r="F3103" s="14" t="s">
        <v>6012</v>
      </c>
      <c r="G3103" s="14">
        <v>174.71</v>
      </c>
      <c r="H3103" s="14">
        <v>0.0</v>
      </c>
      <c r="I3103" s="14" t="s">
        <v>6059</v>
      </c>
      <c r="J3103" s="14" t="s">
        <v>6012</v>
      </c>
      <c r="K3103" s="14" t="s">
        <v>6012</v>
      </c>
      <c r="L3103" s="14">
        <v>0.0</v>
      </c>
    </row>
    <row r="3104">
      <c r="A3104" s="14">
        <v>119.0</v>
      </c>
      <c r="B3104" s="14">
        <v>1.0</v>
      </c>
      <c r="C3104" s="34">
        <v>11.85</v>
      </c>
      <c r="D3104" s="36">
        <v>45055.0</v>
      </c>
      <c r="E3104" s="24"/>
      <c r="F3104" s="14">
        <v>11.85</v>
      </c>
      <c r="G3104" s="14">
        <v>99.58</v>
      </c>
      <c r="H3104" s="14">
        <v>0.84</v>
      </c>
      <c r="I3104" s="14" t="s">
        <v>6058</v>
      </c>
      <c r="J3104" s="14">
        <v>0.0</v>
      </c>
      <c r="K3104" s="14" t="s">
        <v>6012</v>
      </c>
      <c r="L3104" s="14">
        <v>0.0</v>
      </c>
    </row>
    <row r="3105">
      <c r="A3105" s="14">
        <v>478.0</v>
      </c>
      <c r="B3105" s="14">
        <v>3.0</v>
      </c>
      <c r="C3105" s="34">
        <v>12.31</v>
      </c>
      <c r="D3105" s="36">
        <v>45056.0</v>
      </c>
      <c r="E3105" s="24"/>
      <c r="F3105" s="14">
        <v>4.1</v>
      </c>
      <c r="G3105" s="14">
        <v>25.75</v>
      </c>
      <c r="H3105" s="14">
        <v>0.63</v>
      </c>
      <c r="I3105" s="14" t="s">
        <v>6042</v>
      </c>
      <c r="J3105" s="14">
        <v>0.0</v>
      </c>
      <c r="K3105" s="14" t="s">
        <v>6012</v>
      </c>
      <c r="L3105" s="14">
        <v>0.0</v>
      </c>
    </row>
    <row r="3106">
      <c r="A3106" s="14">
        <v>139.0</v>
      </c>
      <c r="B3106" s="14">
        <v>5.0</v>
      </c>
      <c r="C3106" s="34">
        <v>11.79</v>
      </c>
      <c r="D3106" s="36">
        <v>45056.0</v>
      </c>
      <c r="E3106" s="24"/>
      <c r="F3106" s="14">
        <v>2.36</v>
      </c>
      <c r="G3106" s="14">
        <v>84.82</v>
      </c>
      <c r="H3106" s="14">
        <v>3.6</v>
      </c>
      <c r="I3106" s="14" t="s">
        <v>6061</v>
      </c>
      <c r="J3106" s="14">
        <v>60.0</v>
      </c>
      <c r="K3106" s="14">
        <v>3.93</v>
      </c>
      <c r="L3106" s="14">
        <v>0.0</v>
      </c>
    </row>
    <row r="3107">
      <c r="A3107" s="14">
        <v>1075.0</v>
      </c>
      <c r="B3107" s="14">
        <v>7.0</v>
      </c>
      <c r="C3107" s="34">
        <v>11.52</v>
      </c>
      <c r="D3107" s="36">
        <v>45056.0</v>
      </c>
      <c r="E3107" s="24"/>
      <c r="F3107" s="14">
        <v>1.65</v>
      </c>
      <c r="G3107" s="14">
        <v>10.72</v>
      </c>
      <c r="H3107" s="14">
        <v>0.65</v>
      </c>
      <c r="I3107" s="14" t="s">
        <v>6051</v>
      </c>
      <c r="J3107" s="14">
        <v>28.57</v>
      </c>
      <c r="K3107" s="14">
        <v>5.76</v>
      </c>
      <c r="L3107" s="14">
        <v>0.0</v>
      </c>
    </row>
    <row r="3108">
      <c r="A3108" s="14">
        <v>583.0</v>
      </c>
      <c r="B3108" s="14">
        <v>8.0</v>
      </c>
      <c r="C3108" s="34">
        <v>12.39</v>
      </c>
      <c r="D3108" s="36">
        <v>45056.0</v>
      </c>
      <c r="E3108" s="24"/>
      <c r="F3108" s="14">
        <v>1.55</v>
      </c>
      <c r="G3108" s="14">
        <v>21.25</v>
      </c>
      <c r="H3108" s="14">
        <v>1.37</v>
      </c>
      <c r="I3108" s="14" t="s">
        <v>6054</v>
      </c>
      <c r="J3108" s="14">
        <v>25.0</v>
      </c>
      <c r="K3108" s="14">
        <v>6.2</v>
      </c>
      <c r="L3108" s="14">
        <v>0.0</v>
      </c>
    </row>
    <row r="3109">
      <c r="A3109" s="14">
        <v>58.0</v>
      </c>
      <c r="B3109" s="14">
        <v>0.0</v>
      </c>
      <c r="C3109" s="34">
        <v>11.89</v>
      </c>
      <c r="D3109" s="36">
        <v>45056.0</v>
      </c>
      <c r="E3109" s="24"/>
      <c r="F3109" s="14" t="s">
        <v>6012</v>
      </c>
      <c r="G3109" s="14">
        <v>205.0</v>
      </c>
      <c r="H3109" s="14">
        <v>0.0</v>
      </c>
      <c r="I3109" s="14" t="s">
        <v>6059</v>
      </c>
      <c r="J3109" s="14" t="s">
        <v>6012</v>
      </c>
      <c r="K3109" s="14">
        <v>5.94</v>
      </c>
      <c r="L3109" s="14">
        <v>0.0</v>
      </c>
    </row>
    <row r="3110">
      <c r="A3110" s="14">
        <v>140.0</v>
      </c>
      <c r="B3110" s="14">
        <v>0.0</v>
      </c>
      <c r="C3110" s="34">
        <v>12.48</v>
      </c>
      <c r="D3110" s="36">
        <v>45056.0</v>
      </c>
      <c r="E3110" s="24"/>
      <c r="F3110" s="14" t="s">
        <v>6012</v>
      </c>
      <c r="G3110" s="14">
        <v>89.14</v>
      </c>
      <c r="H3110" s="14">
        <v>0.0</v>
      </c>
      <c r="I3110" s="14" t="s">
        <v>6058</v>
      </c>
      <c r="J3110" s="14" t="s">
        <v>6012</v>
      </c>
      <c r="K3110" s="14" t="s">
        <v>6012</v>
      </c>
      <c r="L3110" s="14">
        <v>0.0</v>
      </c>
    </row>
    <row r="3111">
      <c r="A3111" s="14">
        <v>76.0</v>
      </c>
      <c r="B3111" s="14">
        <v>0.0</v>
      </c>
      <c r="C3111" s="34">
        <v>12.53</v>
      </c>
      <c r="D3111" s="36">
        <v>45056.0</v>
      </c>
      <c r="E3111" s="24"/>
      <c r="F3111" s="14" t="s">
        <v>6012</v>
      </c>
      <c r="G3111" s="14">
        <v>164.87</v>
      </c>
      <c r="H3111" s="14">
        <v>0.0</v>
      </c>
      <c r="I3111" s="14" t="s">
        <v>6057</v>
      </c>
      <c r="J3111" s="14" t="s">
        <v>6012</v>
      </c>
      <c r="K3111" s="14" t="s">
        <v>6012</v>
      </c>
      <c r="L3111" s="14">
        <v>0.0</v>
      </c>
    </row>
    <row r="3112">
      <c r="A3112" s="14">
        <v>334.0</v>
      </c>
      <c r="B3112" s="14">
        <v>3.0</v>
      </c>
      <c r="C3112" s="34">
        <v>11.78</v>
      </c>
      <c r="D3112" s="36">
        <v>45056.0</v>
      </c>
      <c r="E3112" s="24"/>
      <c r="F3112" s="14">
        <v>3.93</v>
      </c>
      <c r="G3112" s="14">
        <v>35.27</v>
      </c>
      <c r="H3112" s="14">
        <v>0.9</v>
      </c>
      <c r="I3112" s="14" t="s">
        <v>6062</v>
      </c>
      <c r="J3112" s="14">
        <v>66.67</v>
      </c>
      <c r="K3112" s="14">
        <v>5.89</v>
      </c>
      <c r="L3112" s="14">
        <v>0.0</v>
      </c>
    </row>
    <row r="3113">
      <c r="A3113" s="14">
        <v>1941.0</v>
      </c>
      <c r="B3113" s="14">
        <v>12.0</v>
      </c>
      <c r="C3113" s="34">
        <v>11.46</v>
      </c>
      <c r="D3113" s="36">
        <v>45056.0</v>
      </c>
      <c r="E3113" s="24"/>
      <c r="F3113" s="14">
        <v>0.96</v>
      </c>
      <c r="G3113" s="14">
        <v>5.9</v>
      </c>
      <c r="H3113" s="14">
        <v>0.62</v>
      </c>
      <c r="I3113" s="14" t="s">
        <v>6050</v>
      </c>
      <c r="J3113" s="14">
        <v>8.33</v>
      </c>
      <c r="K3113" s="14">
        <v>11.46</v>
      </c>
      <c r="L3113" s="14">
        <v>0.0</v>
      </c>
    </row>
    <row r="3114">
      <c r="A3114" s="14">
        <v>134.0</v>
      </c>
      <c r="B3114" s="14">
        <v>2.0</v>
      </c>
      <c r="C3114" s="34">
        <v>11.79</v>
      </c>
      <c r="D3114" s="36">
        <v>45056.0</v>
      </c>
      <c r="E3114" s="24"/>
      <c r="F3114" s="14">
        <v>5.9</v>
      </c>
      <c r="G3114" s="14">
        <v>87.99</v>
      </c>
      <c r="H3114" s="14">
        <v>1.49</v>
      </c>
      <c r="I3114" s="14" t="s">
        <v>6063</v>
      </c>
      <c r="J3114" s="14">
        <v>100.0</v>
      </c>
      <c r="K3114" s="14">
        <v>5.9</v>
      </c>
      <c r="L3114" s="14">
        <v>0.0</v>
      </c>
    </row>
    <row r="3115">
      <c r="A3115" s="14">
        <v>618.0</v>
      </c>
      <c r="B3115" s="14">
        <v>2.0</v>
      </c>
      <c r="C3115" s="34">
        <v>11.66</v>
      </c>
      <c r="D3115" s="36">
        <v>45056.0</v>
      </c>
      <c r="E3115" s="24"/>
      <c r="F3115" s="14">
        <v>5.83</v>
      </c>
      <c r="G3115" s="14">
        <v>18.87</v>
      </c>
      <c r="H3115" s="14">
        <v>0.32</v>
      </c>
      <c r="I3115" s="14" t="s">
        <v>6060</v>
      </c>
      <c r="J3115" s="14">
        <v>0.0</v>
      </c>
      <c r="K3115" s="14" t="s">
        <v>6012</v>
      </c>
      <c r="L3115" s="14">
        <v>0.0</v>
      </c>
    </row>
    <row r="3116">
      <c r="A3116" s="14">
        <v>102.0</v>
      </c>
      <c r="B3116" s="14">
        <v>2.0</v>
      </c>
      <c r="C3116" s="34">
        <v>11.51</v>
      </c>
      <c r="D3116" s="36">
        <v>45057.0</v>
      </c>
      <c r="E3116" s="24"/>
      <c r="F3116" s="14">
        <v>5.76</v>
      </c>
      <c r="G3116" s="14">
        <v>112.84</v>
      </c>
      <c r="H3116" s="14">
        <v>1.96</v>
      </c>
      <c r="I3116" s="14" t="s">
        <v>6058</v>
      </c>
      <c r="J3116" s="14">
        <v>0.0</v>
      </c>
      <c r="K3116" s="14" t="s">
        <v>6012</v>
      </c>
      <c r="L3116" s="14">
        <v>0.0</v>
      </c>
    </row>
    <row r="3117">
      <c r="A3117" s="14">
        <v>915.0</v>
      </c>
      <c r="B3117" s="14">
        <v>7.0</v>
      </c>
      <c r="C3117" s="34">
        <v>12.0</v>
      </c>
      <c r="D3117" s="36">
        <v>45057.0</v>
      </c>
      <c r="E3117" s="24"/>
      <c r="F3117" s="14">
        <v>1.71</v>
      </c>
      <c r="G3117" s="14">
        <v>13.11</v>
      </c>
      <c r="H3117" s="14">
        <v>0.77</v>
      </c>
      <c r="I3117" s="14" t="s">
        <v>6051</v>
      </c>
      <c r="J3117" s="14">
        <v>0.0</v>
      </c>
      <c r="K3117" s="14" t="s">
        <v>6012</v>
      </c>
      <c r="L3117" s="14">
        <v>0.0</v>
      </c>
    </row>
    <row r="3118">
      <c r="A3118" s="14">
        <v>1770.0</v>
      </c>
      <c r="B3118" s="14">
        <v>8.0</v>
      </c>
      <c r="C3118" s="34">
        <v>11.27</v>
      </c>
      <c r="D3118" s="36">
        <v>45057.0</v>
      </c>
      <c r="E3118" s="24"/>
      <c r="F3118" s="14">
        <v>1.41</v>
      </c>
      <c r="G3118" s="14">
        <v>6.37</v>
      </c>
      <c r="H3118" s="14">
        <v>0.45</v>
      </c>
      <c r="I3118" s="14" t="s">
        <v>6050</v>
      </c>
      <c r="J3118" s="14">
        <v>37.5</v>
      </c>
      <c r="K3118" s="14">
        <v>3.76</v>
      </c>
      <c r="L3118" s="14">
        <v>0.0</v>
      </c>
    </row>
    <row r="3119">
      <c r="A3119" s="14">
        <v>595.0</v>
      </c>
      <c r="B3119" s="14">
        <v>3.0</v>
      </c>
      <c r="C3119" s="34">
        <v>11.83</v>
      </c>
      <c r="D3119" s="36">
        <v>45057.0</v>
      </c>
      <c r="E3119" s="24"/>
      <c r="F3119" s="14">
        <v>3.94</v>
      </c>
      <c r="G3119" s="14">
        <v>19.88</v>
      </c>
      <c r="H3119" s="14">
        <v>0.5</v>
      </c>
      <c r="I3119" s="14" t="s">
        <v>6060</v>
      </c>
      <c r="J3119" s="14">
        <v>0.0</v>
      </c>
      <c r="K3119" s="14" t="s">
        <v>6012</v>
      </c>
      <c r="L3119" s="14">
        <v>0.0</v>
      </c>
    </row>
    <row r="3120">
      <c r="A3120" s="14">
        <v>78.0</v>
      </c>
      <c r="B3120" s="14">
        <v>0.0</v>
      </c>
      <c r="C3120" s="34">
        <v>12.1</v>
      </c>
      <c r="D3120" s="36">
        <v>45057.0</v>
      </c>
      <c r="E3120" s="24"/>
      <c r="F3120" s="14" t="s">
        <v>6012</v>
      </c>
      <c r="G3120" s="14">
        <v>155.13</v>
      </c>
      <c r="H3120" s="14">
        <v>0.0</v>
      </c>
      <c r="I3120" s="14" t="s">
        <v>6063</v>
      </c>
      <c r="J3120" s="14" t="s">
        <v>6012</v>
      </c>
      <c r="K3120" s="14" t="s">
        <v>6012</v>
      </c>
      <c r="L3120" s="14">
        <v>0.0</v>
      </c>
    </row>
    <row r="3121">
      <c r="A3121" s="14">
        <v>500.0</v>
      </c>
      <c r="B3121" s="14">
        <v>0.0</v>
      </c>
      <c r="C3121" s="34">
        <v>11.81</v>
      </c>
      <c r="D3121" s="36">
        <v>45057.0</v>
      </c>
      <c r="E3121" s="24"/>
      <c r="F3121" s="14" t="s">
        <v>6012</v>
      </c>
      <c r="G3121" s="14">
        <v>23.62</v>
      </c>
      <c r="H3121" s="14">
        <v>0.0</v>
      </c>
      <c r="I3121" s="14" t="s">
        <v>6062</v>
      </c>
      <c r="J3121" s="14" t="s">
        <v>6012</v>
      </c>
      <c r="K3121" s="14" t="s">
        <v>6012</v>
      </c>
      <c r="L3121" s="14">
        <v>0.0</v>
      </c>
    </row>
    <row r="3122">
      <c r="A3122" s="14">
        <v>57.0</v>
      </c>
      <c r="B3122" s="14">
        <v>0.0</v>
      </c>
      <c r="C3122" s="34">
        <v>11.55</v>
      </c>
      <c r="D3122" s="36">
        <v>45057.0</v>
      </c>
      <c r="E3122" s="24"/>
      <c r="F3122" s="14" t="s">
        <v>6012</v>
      </c>
      <c r="G3122" s="14">
        <v>202.63</v>
      </c>
      <c r="H3122" s="14">
        <v>0.0</v>
      </c>
      <c r="I3122" s="14" t="s">
        <v>6059</v>
      </c>
      <c r="J3122" s="14" t="s">
        <v>6012</v>
      </c>
      <c r="K3122" s="14" t="s">
        <v>6012</v>
      </c>
      <c r="L3122" s="14">
        <v>0.0</v>
      </c>
    </row>
    <row r="3123">
      <c r="A3123" s="14">
        <v>427.0</v>
      </c>
      <c r="B3123" s="14">
        <v>1.0</v>
      </c>
      <c r="C3123" s="34">
        <v>11.56</v>
      </c>
      <c r="D3123" s="36">
        <v>45057.0</v>
      </c>
      <c r="E3123" s="24"/>
      <c r="F3123" s="14">
        <v>11.56</v>
      </c>
      <c r="G3123" s="14">
        <v>27.07</v>
      </c>
      <c r="H3123" s="14">
        <v>0.23</v>
      </c>
      <c r="I3123" s="14" t="s">
        <v>6042</v>
      </c>
      <c r="J3123" s="14">
        <v>200.0</v>
      </c>
      <c r="K3123" s="14">
        <v>5.78</v>
      </c>
      <c r="L3123" s="14">
        <v>0.0</v>
      </c>
    </row>
    <row r="3124">
      <c r="A3124" s="14">
        <v>127.0</v>
      </c>
      <c r="B3124" s="14">
        <v>0.0</v>
      </c>
      <c r="C3124" s="34">
        <v>12.28</v>
      </c>
      <c r="D3124" s="36">
        <v>45057.0</v>
      </c>
      <c r="E3124" s="24"/>
      <c r="F3124" s="14" t="s">
        <v>6012</v>
      </c>
      <c r="G3124" s="14">
        <v>96.69</v>
      </c>
      <c r="H3124" s="14">
        <v>0.0</v>
      </c>
      <c r="I3124" s="14" t="s">
        <v>6061</v>
      </c>
      <c r="J3124" s="14" t="s">
        <v>6012</v>
      </c>
      <c r="K3124" s="14" t="s">
        <v>6012</v>
      </c>
      <c r="L3124" s="14">
        <v>0.0</v>
      </c>
    </row>
    <row r="3125">
      <c r="A3125" s="14">
        <v>68.0</v>
      </c>
      <c r="B3125" s="14">
        <v>2.0</v>
      </c>
      <c r="C3125" s="34">
        <v>12.02</v>
      </c>
      <c r="D3125" s="36">
        <v>45057.0</v>
      </c>
      <c r="E3125" s="24"/>
      <c r="F3125" s="14">
        <v>6.01</v>
      </c>
      <c r="G3125" s="14">
        <v>176.76</v>
      </c>
      <c r="H3125" s="14">
        <v>2.94</v>
      </c>
      <c r="I3125" s="14" t="s">
        <v>6057</v>
      </c>
      <c r="J3125" s="14">
        <v>0.0</v>
      </c>
      <c r="K3125" s="14" t="s">
        <v>6012</v>
      </c>
      <c r="L3125" s="14">
        <v>0.0</v>
      </c>
    </row>
    <row r="3126">
      <c r="A3126" s="14">
        <v>498.0</v>
      </c>
      <c r="B3126" s="14">
        <v>4.0</v>
      </c>
      <c r="C3126" s="34">
        <v>12.5</v>
      </c>
      <c r="D3126" s="36">
        <v>45057.0</v>
      </c>
      <c r="E3126" s="24"/>
      <c r="F3126" s="14">
        <v>3.12</v>
      </c>
      <c r="G3126" s="14">
        <v>25.1</v>
      </c>
      <c r="H3126" s="14">
        <v>0.8</v>
      </c>
      <c r="I3126" s="14" t="s">
        <v>6054</v>
      </c>
      <c r="J3126" s="14">
        <v>25.0</v>
      </c>
      <c r="K3126" s="14">
        <v>12.5</v>
      </c>
      <c r="L3126" s="14">
        <v>0.0</v>
      </c>
    </row>
    <row r="3127">
      <c r="A3127" s="14">
        <v>114.0</v>
      </c>
      <c r="B3127" s="14">
        <v>3.0</v>
      </c>
      <c r="C3127" s="34">
        <v>10.58</v>
      </c>
      <c r="D3127" s="36">
        <v>45058.0</v>
      </c>
      <c r="E3127" s="24"/>
      <c r="F3127" s="14">
        <v>3.53</v>
      </c>
      <c r="G3127" s="14">
        <v>92.81</v>
      </c>
      <c r="H3127" s="14">
        <v>2.63</v>
      </c>
      <c r="I3127" s="14" t="s">
        <v>6058</v>
      </c>
      <c r="J3127" s="14">
        <v>33.33</v>
      </c>
      <c r="K3127" s="14">
        <v>10.58</v>
      </c>
      <c r="L3127" s="14">
        <v>0.0</v>
      </c>
    </row>
    <row r="3128">
      <c r="A3128" s="14">
        <v>927.0</v>
      </c>
      <c r="B3128" s="14">
        <v>10.0</v>
      </c>
      <c r="C3128" s="34">
        <v>11.16</v>
      </c>
      <c r="D3128" s="36">
        <v>45058.0</v>
      </c>
      <c r="E3128" s="24"/>
      <c r="F3128" s="14">
        <v>1.12</v>
      </c>
      <c r="G3128" s="14">
        <v>12.04</v>
      </c>
      <c r="H3128" s="14">
        <v>1.08</v>
      </c>
      <c r="I3128" s="14" t="s">
        <v>6051</v>
      </c>
      <c r="J3128" s="14">
        <v>30.0</v>
      </c>
      <c r="K3128" s="14">
        <v>3.72</v>
      </c>
      <c r="L3128" s="14">
        <v>0.0</v>
      </c>
    </row>
    <row r="3129">
      <c r="A3129" s="14">
        <v>430.0</v>
      </c>
      <c r="B3129" s="14">
        <v>1.0</v>
      </c>
      <c r="C3129" s="34">
        <v>10.82</v>
      </c>
      <c r="D3129" s="36">
        <v>45058.0</v>
      </c>
      <c r="E3129" s="24"/>
      <c r="F3129" s="14">
        <v>10.82</v>
      </c>
      <c r="G3129" s="14">
        <v>25.16</v>
      </c>
      <c r="H3129" s="14">
        <v>0.23</v>
      </c>
      <c r="I3129" s="14" t="s">
        <v>6062</v>
      </c>
      <c r="J3129" s="14">
        <v>100.0</v>
      </c>
      <c r="K3129" s="14">
        <v>10.82</v>
      </c>
      <c r="L3129" s="14">
        <v>0.0</v>
      </c>
    </row>
    <row r="3130">
      <c r="A3130" s="14">
        <v>400.0</v>
      </c>
      <c r="B3130" s="14">
        <v>2.0</v>
      </c>
      <c r="C3130" s="34">
        <v>10.48</v>
      </c>
      <c r="D3130" s="36">
        <v>45058.0</v>
      </c>
      <c r="E3130" s="24"/>
      <c r="F3130" s="14">
        <v>5.24</v>
      </c>
      <c r="G3130" s="14">
        <v>26.2</v>
      </c>
      <c r="H3130" s="14">
        <v>0.5</v>
      </c>
      <c r="I3130" s="14" t="s">
        <v>6054</v>
      </c>
      <c r="J3130" s="14">
        <v>0.0</v>
      </c>
      <c r="K3130" s="14" t="s">
        <v>6012</v>
      </c>
      <c r="L3130" s="14">
        <v>0.0</v>
      </c>
    </row>
    <row r="3131">
      <c r="A3131" s="14">
        <v>394.0</v>
      </c>
      <c r="B3131" s="14">
        <v>3.0</v>
      </c>
      <c r="C3131" s="34">
        <v>11.33</v>
      </c>
      <c r="D3131" s="36">
        <v>45058.0</v>
      </c>
      <c r="E3131" s="24"/>
      <c r="F3131" s="14">
        <v>3.78</v>
      </c>
      <c r="G3131" s="14">
        <v>28.76</v>
      </c>
      <c r="H3131" s="14">
        <v>0.76</v>
      </c>
      <c r="I3131" s="14" t="s">
        <v>6042</v>
      </c>
      <c r="J3131" s="14">
        <v>0.0</v>
      </c>
      <c r="K3131" s="14" t="s">
        <v>6012</v>
      </c>
      <c r="L3131" s="14">
        <v>0.0</v>
      </c>
    </row>
    <row r="3132">
      <c r="A3132" s="14">
        <v>83.0</v>
      </c>
      <c r="B3132" s="14">
        <v>1.0</v>
      </c>
      <c r="C3132" s="34">
        <v>10.46</v>
      </c>
      <c r="D3132" s="36">
        <v>45058.0</v>
      </c>
      <c r="E3132" s="24"/>
      <c r="F3132" s="14">
        <v>10.46</v>
      </c>
      <c r="G3132" s="14">
        <v>126.02</v>
      </c>
      <c r="H3132" s="14">
        <v>1.2</v>
      </c>
      <c r="I3132" s="14" t="s">
        <v>6063</v>
      </c>
      <c r="J3132" s="14">
        <v>0.0</v>
      </c>
      <c r="K3132" s="14" t="s">
        <v>6012</v>
      </c>
      <c r="L3132" s="14">
        <v>0.0</v>
      </c>
    </row>
    <row r="3133">
      <c r="A3133" s="14">
        <v>60.0</v>
      </c>
      <c r="B3133" s="14">
        <v>1.0</v>
      </c>
      <c r="C3133" s="34">
        <v>10.6</v>
      </c>
      <c r="D3133" s="36">
        <v>45058.0</v>
      </c>
      <c r="E3133" s="24"/>
      <c r="F3133" s="14">
        <v>10.6</v>
      </c>
      <c r="G3133" s="14">
        <v>176.67</v>
      </c>
      <c r="H3133" s="14">
        <v>1.67</v>
      </c>
      <c r="I3133" s="14" t="s">
        <v>6057</v>
      </c>
      <c r="J3133" s="14">
        <v>0.0</v>
      </c>
      <c r="K3133" s="14" t="s">
        <v>6012</v>
      </c>
      <c r="L3133" s="14">
        <v>0.0</v>
      </c>
    </row>
    <row r="3134">
      <c r="A3134" s="14">
        <v>566.0</v>
      </c>
      <c r="B3134" s="14">
        <v>1.0</v>
      </c>
      <c r="C3134" s="34">
        <v>10.89</v>
      </c>
      <c r="D3134" s="36">
        <v>45058.0</v>
      </c>
      <c r="E3134" s="24"/>
      <c r="F3134" s="14">
        <v>10.89</v>
      </c>
      <c r="G3134" s="14">
        <v>19.24</v>
      </c>
      <c r="H3134" s="14">
        <v>0.18</v>
      </c>
      <c r="I3134" s="14" t="s">
        <v>6060</v>
      </c>
      <c r="J3134" s="14">
        <v>100.0</v>
      </c>
      <c r="K3134" s="14">
        <v>10.89</v>
      </c>
      <c r="L3134" s="14">
        <v>0.0</v>
      </c>
    </row>
    <row r="3135">
      <c r="A3135" s="14">
        <v>103.0</v>
      </c>
      <c r="B3135" s="14">
        <v>2.0</v>
      </c>
      <c r="C3135" s="34">
        <v>11.1</v>
      </c>
      <c r="D3135" s="36">
        <v>45058.0</v>
      </c>
      <c r="E3135" s="24"/>
      <c r="F3135" s="14">
        <v>5.55</v>
      </c>
      <c r="G3135" s="14">
        <v>107.77</v>
      </c>
      <c r="H3135" s="14">
        <v>1.94</v>
      </c>
      <c r="I3135" s="14" t="s">
        <v>6061</v>
      </c>
      <c r="J3135" s="14">
        <v>100.0</v>
      </c>
      <c r="K3135" s="14">
        <v>5.55</v>
      </c>
      <c r="L3135" s="14">
        <v>0.0</v>
      </c>
    </row>
    <row r="3136">
      <c r="A3136" s="14">
        <v>39.0</v>
      </c>
      <c r="B3136" s="14">
        <v>0.0</v>
      </c>
      <c r="C3136" s="34">
        <v>11.72</v>
      </c>
      <c r="D3136" s="36">
        <v>45058.0</v>
      </c>
      <c r="E3136" s="24"/>
      <c r="F3136" s="14" t="s">
        <v>6012</v>
      </c>
      <c r="G3136" s="14">
        <v>300.51</v>
      </c>
      <c r="H3136" s="14">
        <v>0.0</v>
      </c>
      <c r="I3136" s="14" t="s">
        <v>6059</v>
      </c>
      <c r="J3136" s="14" t="s">
        <v>6012</v>
      </c>
      <c r="K3136" s="14">
        <v>11.72</v>
      </c>
      <c r="L3136" s="14">
        <v>0.0</v>
      </c>
    </row>
    <row r="3137">
      <c r="A3137" s="14">
        <v>1783.0</v>
      </c>
      <c r="B3137" s="14">
        <v>12.0</v>
      </c>
      <c r="C3137" s="34">
        <v>11.29</v>
      </c>
      <c r="D3137" s="36">
        <v>45058.0</v>
      </c>
      <c r="E3137" s="24"/>
      <c r="F3137" s="14">
        <v>0.94</v>
      </c>
      <c r="G3137" s="14">
        <v>6.33</v>
      </c>
      <c r="H3137" s="14">
        <v>0.67</v>
      </c>
      <c r="I3137" s="14" t="s">
        <v>6050</v>
      </c>
      <c r="J3137" s="14">
        <v>50.0</v>
      </c>
      <c r="K3137" s="14">
        <v>1.88</v>
      </c>
      <c r="L3137" s="14">
        <v>0.0</v>
      </c>
    </row>
    <row r="3138">
      <c r="A3138" s="14">
        <v>56.0</v>
      </c>
      <c r="B3138" s="14">
        <v>1.0</v>
      </c>
      <c r="C3138" s="34">
        <v>6.53</v>
      </c>
      <c r="D3138" s="36">
        <v>45059.0</v>
      </c>
      <c r="E3138" s="24"/>
      <c r="F3138" s="14">
        <v>6.53</v>
      </c>
      <c r="G3138" s="14">
        <v>116.61</v>
      </c>
      <c r="H3138" s="14">
        <v>1.79</v>
      </c>
      <c r="I3138" s="14" t="s">
        <v>6061</v>
      </c>
      <c r="J3138" s="14">
        <v>100.0</v>
      </c>
      <c r="K3138" s="14">
        <v>6.53</v>
      </c>
      <c r="L3138" s="14">
        <v>0.0</v>
      </c>
    </row>
    <row r="3139">
      <c r="A3139" s="14">
        <v>302.0</v>
      </c>
      <c r="B3139" s="14">
        <v>2.0</v>
      </c>
      <c r="C3139" s="34">
        <v>6.89</v>
      </c>
      <c r="D3139" s="36">
        <v>45059.0</v>
      </c>
      <c r="E3139" s="24"/>
      <c r="F3139" s="14">
        <v>3.44</v>
      </c>
      <c r="G3139" s="14">
        <v>22.81</v>
      </c>
      <c r="H3139" s="14">
        <v>0.66</v>
      </c>
      <c r="I3139" s="14" t="s">
        <v>6062</v>
      </c>
      <c r="J3139" s="14">
        <v>50.0</v>
      </c>
      <c r="K3139" s="14">
        <v>6.89</v>
      </c>
      <c r="L3139" s="14">
        <v>0.0</v>
      </c>
    </row>
    <row r="3140">
      <c r="A3140" s="14">
        <v>20.0</v>
      </c>
      <c r="B3140" s="14">
        <v>0.0</v>
      </c>
      <c r="C3140" s="34">
        <v>5.91</v>
      </c>
      <c r="D3140" s="36">
        <v>45059.0</v>
      </c>
      <c r="E3140" s="24"/>
      <c r="F3140" s="14" t="s">
        <v>6012</v>
      </c>
      <c r="G3140" s="14">
        <v>295.5</v>
      </c>
      <c r="H3140" s="14">
        <v>0.0</v>
      </c>
      <c r="I3140" s="14" t="s">
        <v>6059</v>
      </c>
      <c r="J3140" s="14" t="s">
        <v>6012</v>
      </c>
      <c r="K3140" s="14" t="s">
        <v>6012</v>
      </c>
      <c r="L3140" s="14">
        <v>0.0</v>
      </c>
    </row>
    <row r="3141">
      <c r="A3141" s="14">
        <v>50.0</v>
      </c>
      <c r="B3141" s="14">
        <v>0.0</v>
      </c>
      <c r="C3141" s="34">
        <v>7.22</v>
      </c>
      <c r="D3141" s="36">
        <v>45059.0</v>
      </c>
      <c r="E3141" s="24"/>
      <c r="F3141" s="14" t="s">
        <v>6012</v>
      </c>
      <c r="G3141" s="14">
        <v>144.4</v>
      </c>
      <c r="H3141" s="14">
        <v>0.0</v>
      </c>
      <c r="I3141" s="14" t="s">
        <v>6058</v>
      </c>
      <c r="J3141" s="14" t="s">
        <v>6012</v>
      </c>
      <c r="K3141" s="14" t="s">
        <v>6012</v>
      </c>
      <c r="L3141" s="14">
        <v>0.0</v>
      </c>
    </row>
    <row r="3142">
      <c r="A3142" s="14">
        <v>30.0</v>
      </c>
      <c r="B3142" s="14">
        <v>0.0</v>
      </c>
      <c r="C3142" s="34">
        <v>5.91</v>
      </c>
      <c r="D3142" s="36">
        <v>45059.0</v>
      </c>
      <c r="E3142" s="24"/>
      <c r="F3142" s="14" t="s">
        <v>6012</v>
      </c>
      <c r="G3142" s="14">
        <v>197.0</v>
      </c>
      <c r="H3142" s="14">
        <v>0.0</v>
      </c>
      <c r="I3142" s="14" t="s">
        <v>6057</v>
      </c>
      <c r="J3142" s="14" t="s">
        <v>6012</v>
      </c>
      <c r="K3142" s="14" t="s">
        <v>6012</v>
      </c>
      <c r="L3142" s="14">
        <v>0.0</v>
      </c>
    </row>
    <row r="3143">
      <c r="A3143" s="14">
        <v>364.0</v>
      </c>
      <c r="B3143" s="14">
        <v>1.0</v>
      </c>
      <c r="C3143" s="34">
        <v>7.19</v>
      </c>
      <c r="D3143" s="36">
        <v>45059.0</v>
      </c>
      <c r="E3143" s="24"/>
      <c r="F3143" s="14">
        <v>7.19</v>
      </c>
      <c r="G3143" s="14">
        <v>19.75</v>
      </c>
      <c r="H3143" s="14">
        <v>0.27</v>
      </c>
      <c r="I3143" s="14" t="s">
        <v>6060</v>
      </c>
      <c r="J3143" s="14">
        <v>100.0</v>
      </c>
      <c r="K3143" s="14">
        <v>7.19</v>
      </c>
      <c r="L3143" s="14">
        <v>0.0</v>
      </c>
    </row>
    <row r="3144">
      <c r="A3144" s="14">
        <v>229.0</v>
      </c>
      <c r="B3144" s="14">
        <v>1.0</v>
      </c>
      <c r="C3144" s="34">
        <v>7.67</v>
      </c>
      <c r="D3144" s="36">
        <v>45059.0</v>
      </c>
      <c r="E3144" s="24"/>
      <c r="F3144" s="14">
        <v>7.67</v>
      </c>
      <c r="G3144" s="14">
        <v>33.49</v>
      </c>
      <c r="H3144" s="14">
        <v>0.44</v>
      </c>
      <c r="I3144" s="14" t="s">
        <v>6042</v>
      </c>
      <c r="J3144" s="14">
        <v>100.0</v>
      </c>
      <c r="K3144" s="14">
        <v>7.67</v>
      </c>
      <c r="L3144" s="14">
        <v>0.0</v>
      </c>
    </row>
    <row r="3145">
      <c r="A3145" s="14">
        <v>213.0</v>
      </c>
      <c r="B3145" s="14">
        <v>1.0</v>
      </c>
      <c r="C3145" s="34">
        <v>6.09</v>
      </c>
      <c r="D3145" s="36">
        <v>45059.0</v>
      </c>
      <c r="E3145" s="24"/>
      <c r="F3145" s="14">
        <v>6.09</v>
      </c>
      <c r="G3145" s="14">
        <v>28.59</v>
      </c>
      <c r="H3145" s="14">
        <v>0.47</v>
      </c>
      <c r="I3145" s="14" t="s">
        <v>6054</v>
      </c>
      <c r="J3145" s="14">
        <v>0.0</v>
      </c>
      <c r="K3145" s="14" t="s">
        <v>6012</v>
      </c>
      <c r="L3145" s="14">
        <v>0.0</v>
      </c>
    </row>
    <row r="3146">
      <c r="A3146" s="14">
        <v>437.0</v>
      </c>
      <c r="B3146" s="14">
        <v>9.0</v>
      </c>
      <c r="C3146" s="34">
        <v>6.17</v>
      </c>
      <c r="D3146" s="36">
        <v>45059.0</v>
      </c>
      <c r="E3146" s="24"/>
      <c r="F3146" s="14">
        <v>0.69</v>
      </c>
      <c r="G3146" s="14">
        <v>14.12</v>
      </c>
      <c r="H3146" s="14">
        <v>2.06</v>
      </c>
      <c r="I3146" s="14" t="s">
        <v>6051</v>
      </c>
      <c r="J3146" s="14">
        <v>0.0</v>
      </c>
      <c r="K3146" s="14" t="s">
        <v>6012</v>
      </c>
      <c r="L3146" s="14">
        <v>0.0</v>
      </c>
    </row>
    <row r="3147">
      <c r="A3147" s="14">
        <v>55.0</v>
      </c>
      <c r="B3147" s="14">
        <v>0.0</v>
      </c>
      <c r="C3147" s="34">
        <v>7.01</v>
      </c>
      <c r="D3147" s="36">
        <v>45059.0</v>
      </c>
      <c r="E3147" s="24"/>
      <c r="F3147" s="14" t="s">
        <v>6012</v>
      </c>
      <c r="G3147" s="14">
        <v>127.45</v>
      </c>
      <c r="H3147" s="14">
        <v>0.0</v>
      </c>
      <c r="I3147" s="14" t="s">
        <v>6063</v>
      </c>
      <c r="J3147" s="14" t="s">
        <v>6012</v>
      </c>
      <c r="K3147" s="14" t="s">
        <v>6012</v>
      </c>
      <c r="L3147" s="14">
        <v>0.0</v>
      </c>
    </row>
    <row r="3148">
      <c r="A3148" s="14">
        <v>1424.0</v>
      </c>
      <c r="B3148" s="14">
        <v>10.0</v>
      </c>
      <c r="C3148" s="34">
        <v>6.57</v>
      </c>
      <c r="D3148" s="36">
        <v>45059.0</v>
      </c>
      <c r="E3148" s="24"/>
      <c r="F3148" s="14">
        <v>0.66</v>
      </c>
      <c r="G3148" s="14">
        <v>4.61</v>
      </c>
      <c r="H3148" s="14">
        <v>0.7</v>
      </c>
      <c r="I3148" s="14" t="s">
        <v>6050</v>
      </c>
      <c r="J3148" s="14">
        <v>60.0</v>
      </c>
      <c r="K3148" s="14">
        <v>1.1</v>
      </c>
      <c r="L3148" s="14">
        <v>0.0</v>
      </c>
    </row>
    <row r="3149">
      <c r="A3149" s="14">
        <v>43.0</v>
      </c>
      <c r="B3149" s="14">
        <v>0.0</v>
      </c>
      <c r="C3149" s="34">
        <v>5.56</v>
      </c>
      <c r="D3149" s="36">
        <v>45060.0</v>
      </c>
      <c r="E3149" s="24"/>
      <c r="F3149" s="14" t="s">
        <v>6012</v>
      </c>
      <c r="G3149" s="14">
        <v>129.3</v>
      </c>
      <c r="H3149" s="14">
        <v>0.0</v>
      </c>
      <c r="I3149" s="14" t="s">
        <v>6058</v>
      </c>
      <c r="J3149" s="14" t="s">
        <v>6012</v>
      </c>
      <c r="K3149" s="14" t="s">
        <v>6012</v>
      </c>
      <c r="L3149" s="14">
        <v>0.0</v>
      </c>
    </row>
    <row r="3150">
      <c r="A3150" s="14">
        <v>167.0</v>
      </c>
      <c r="B3150" s="14">
        <v>0.0</v>
      </c>
      <c r="C3150" s="34">
        <v>6.26</v>
      </c>
      <c r="D3150" s="36">
        <v>45060.0</v>
      </c>
      <c r="E3150" s="24"/>
      <c r="F3150" s="14" t="s">
        <v>6012</v>
      </c>
      <c r="G3150" s="14">
        <v>37.49</v>
      </c>
      <c r="H3150" s="14">
        <v>0.0</v>
      </c>
      <c r="I3150" s="14" t="s">
        <v>6042</v>
      </c>
      <c r="J3150" s="14" t="s">
        <v>6012</v>
      </c>
      <c r="K3150" s="14" t="s">
        <v>6012</v>
      </c>
      <c r="L3150" s="14">
        <v>0.0</v>
      </c>
    </row>
    <row r="3151">
      <c r="A3151" s="14">
        <v>389.0</v>
      </c>
      <c r="B3151" s="14">
        <v>0.0</v>
      </c>
      <c r="C3151" s="34">
        <v>6.38</v>
      </c>
      <c r="D3151" s="36">
        <v>45060.0</v>
      </c>
      <c r="E3151" s="24"/>
      <c r="F3151" s="14" t="s">
        <v>6012</v>
      </c>
      <c r="G3151" s="14">
        <v>16.4</v>
      </c>
      <c r="H3151" s="14">
        <v>0.0</v>
      </c>
      <c r="I3151" s="14" t="s">
        <v>6060</v>
      </c>
      <c r="J3151" s="14" t="s">
        <v>6012</v>
      </c>
      <c r="K3151" s="14" t="s">
        <v>6012</v>
      </c>
      <c r="L3151" s="14">
        <v>0.0</v>
      </c>
    </row>
    <row r="3152">
      <c r="A3152" s="14">
        <v>28.0</v>
      </c>
      <c r="B3152" s="14">
        <v>1.0</v>
      </c>
      <c r="C3152" s="34">
        <v>4.41</v>
      </c>
      <c r="D3152" s="36">
        <v>45060.0</v>
      </c>
      <c r="E3152" s="24"/>
      <c r="F3152" s="14">
        <v>4.41</v>
      </c>
      <c r="G3152" s="14">
        <v>157.5</v>
      </c>
      <c r="H3152" s="14">
        <v>3.57</v>
      </c>
      <c r="I3152" s="14" t="s">
        <v>6057</v>
      </c>
      <c r="J3152" s="14">
        <v>0.0</v>
      </c>
      <c r="K3152" s="14" t="s">
        <v>6012</v>
      </c>
      <c r="L3152" s="14">
        <v>0.0</v>
      </c>
    </row>
    <row r="3153">
      <c r="A3153" s="14">
        <v>50.0</v>
      </c>
      <c r="B3153" s="14">
        <v>1.0</v>
      </c>
      <c r="C3153" s="34">
        <v>4.71</v>
      </c>
      <c r="D3153" s="36">
        <v>45060.0</v>
      </c>
      <c r="E3153" s="24"/>
      <c r="F3153" s="14">
        <v>4.71</v>
      </c>
      <c r="G3153" s="14">
        <v>94.2</v>
      </c>
      <c r="H3153" s="14">
        <v>2.0</v>
      </c>
      <c r="I3153" s="14" t="s">
        <v>6061</v>
      </c>
      <c r="J3153" s="14">
        <v>100.0</v>
      </c>
      <c r="K3153" s="14">
        <v>4.71</v>
      </c>
      <c r="L3153" s="14">
        <v>0.0</v>
      </c>
    </row>
    <row r="3154">
      <c r="A3154" s="14">
        <v>40.0</v>
      </c>
      <c r="B3154" s="14">
        <v>1.0</v>
      </c>
      <c r="C3154" s="34">
        <v>4.39</v>
      </c>
      <c r="D3154" s="36">
        <v>45060.0</v>
      </c>
      <c r="E3154" s="24"/>
      <c r="F3154" s="14">
        <v>4.39</v>
      </c>
      <c r="G3154" s="14">
        <v>109.75</v>
      </c>
      <c r="H3154" s="14">
        <v>2.5</v>
      </c>
      <c r="I3154" s="14" t="s">
        <v>6063</v>
      </c>
      <c r="J3154" s="14">
        <v>100.0</v>
      </c>
      <c r="K3154" s="14">
        <v>4.39</v>
      </c>
      <c r="L3154" s="14">
        <v>0.0</v>
      </c>
    </row>
    <row r="3155">
      <c r="A3155" s="14">
        <v>194.0</v>
      </c>
      <c r="B3155" s="14">
        <v>0.0</v>
      </c>
      <c r="C3155" s="34">
        <v>6.54</v>
      </c>
      <c r="D3155" s="36">
        <v>45060.0</v>
      </c>
      <c r="E3155" s="24"/>
      <c r="F3155" s="14" t="s">
        <v>6012</v>
      </c>
      <c r="G3155" s="14">
        <v>33.71</v>
      </c>
      <c r="H3155" s="14">
        <v>0.0</v>
      </c>
      <c r="I3155" s="14" t="s">
        <v>6062</v>
      </c>
      <c r="J3155" s="14" t="s">
        <v>6012</v>
      </c>
      <c r="K3155" s="14" t="s">
        <v>6012</v>
      </c>
      <c r="L3155" s="14">
        <v>0.0</v>
      </c>
    </row>
    <row r="3156">
      <c r="A3156" s="14">
        <v>1357.0</v>
      </c>
      <c r="B3156" s="14">
        <v>13.0</v>
      </c>
      <c r="C3156" s="34">
        <v>7.01</v>
      </c>
      <c r="D3156" s="36">
        <v>45060.0</v>
      </c>
      <c r="E3156" s="24"/>
      <c r="F3156" s="14">
        <v>0.54</v>
      </c>
      <c r="G3156" s="14">
        <v>5.17</v>
      </c>
      <c r="H3156" s="14">
        <v>0.96</v>
      </c>
      <c r="I3156" s="14" t="s">
        <v>6050</v>
      </c>
      <c r="J3156" s="14">
        <v>53.85</v>
      </c>
      <c r="K3156" s="14">
        <v>1.0</v>
      </c>
      <c r="L3156" s="14">
        <v>0.0</v>
      </c>
    </row>
    <row r="3157">
      <c r="A3157" s="14">
        <v>19.0</v>
      </c>
      <c r="B3157" s="14">
        <v>0.0</v>
      </c>
      <c r="C3157" s="34">
        <v>4.01</v>
      </c>
      <c r="D3157" s="36">
        <v>45060.0</v>
      </c>
      <c r="E3157" s="24"/>
      <c r="F3157" s="14" t="s">
        <v>6012</v>
      </c>
      <c r="G3157" s="14">
        <v>211.05</v>
      </c>
      <c r="H3157" s="14">
        <v>0.0</v>
      </c>
      <c r="I3157" s="14" t="s">
        <v>6059</v>
      </c>
      <c r="J3157" s="14" t="s">
        <v>6012</v>
      </c>
      <c r="K3157" s="14" t="s">
        <v>6012</v>
      </c>
      <c r="L3157" s="14">
        <v>0.0</v>
      </c>
    </row>
    <row r="3158">
      <c r="A3158" s="14">
        <v>161.0</v>
      </c>
      <c r="B3158" s="14">
        <v>2.0</v>
      </c>
      <c r="C3158" s="34">
        <v>5.26</v>
      </c>
      <c r="D3158" s="36">
        <v>45060.0</v>
      </c>
      <c r="E3158" s="24"/>
      <c r="F3158" s="14">
        <v>2.63</v>
      </c>
      <c r="G3158" s="14">
        <v>32.67</v>
      </c>
      <c r="H3158" s="14">
        <v>1.24</v>
      </c>
      <c r="I3158" s="14" t="s">
        <v>6054</v>
      </c>
      <c r="J3158" s="14">
        <v>50.0</v>
      </c>
      <c r="K3158" s="14">
        <v>5.26</v>
      </c>
      <c r="L3158" s="14">
        <v>0.0</v>
      </c>
    </row>
    <row r="3159">
      <c r="A3159" s="14">
        <v>367.0</v>
      </c>
      <c r="B3159" s="14">
        <v>8.0</v>
      </c>
      <c r="C3159" s="34">
        <v>5.71</v>
      </c>
      <c r="D3159" s="36">
        <v>45060.0</v>
      </c>
      <c r="E3159" s="24"/>
      <c r="F3159" s="14">
        <v>0.71</v>
      </c>
      <c r="G3159" s="14">
        <v>15.56</v>
      </c>
      <c r="H3159" s="14">
        <v>2.18</v>
      </c>
      <c r="I3159" s="14" t="s">
        <v>6051</v>
      </c>
      <c r="J3159" s="14">
        <v>0.0</v>
      </c>
      <c r="K3159" s="14" t="s">
        <v>6012</v>
      </c>
      <c r="L3159" s="14">
        <v>0.0</v>
      </c>
    </row>
    <row r="3160">
      <c r="A3160" s="14">
        <v>131.0</v>
      </c>
      <c r="B3160" s="14">
        <v>0.0</v>
      </c>
      <c r="C3160" s="34">
        <v>11.42</v>
      </c>
      <c r="D3160" s="36">
        <v>45061.0</v>
      </c>
      <c r="E3160" s="24"/>
      <c r="F3160" s="14" t="s">
        <v>6012</v>
      </c>
      <c r="G3160" s="14">
        <v>87.18</v>
      </c>
      <c r="H3160" s="14">
        <v>0.0</v>
      </c>
      <c r="I3160" s="14" t="s">
        <v>6063</v>
      </c>
      <c r="J3160" s="14" t="s">
        <v>6012</v>
      </c>
      <c r="K3160" s="14" t="s">
        <v>6012</v>
      </c>
      <c r="L3160" s="14">
        <v>0.0</v>
      </c>
    </row>
    <row r="3161">
      <c r="A3161" s="14">
        <v>79.0</v>
      </c>
      <c r="B3161" s="14">
        <v>0.0</v>
      </c>
      <c r="C3161" s="34">
        <v>11.88</v>
      </c>
      <c r="D3161" s="36">
        <v>45061.0</v>
      </c>
      <c r="E3161" s="24"/>
      <c r="F3161" s="14" t="s">
        <v>6012</v>
      </c>
      <c r="G3161" s="14">
        <v>150.38</v>
      </c>
      <c r="H3161" s="14">
        <v>0.0</v>
      </c>
      <c r="I3161" s="14" t="s">
        <v>6059</v>
      </c>
      <c r="J3161" s="14" t="s">
        <v>6012</v>
      </c>
      <c r="K3161" s="14" t="s">
        <v>6012</v>
      </c>
      <c r="L3161" s="14">
        <v>0.0</v>
      </c>
    </row>
    <row r="3162">
      <c r="A3162" s="14">
        <v>194.0</v>
      </c>
      <c r="B3162" s="14">
        <v>2.0</v>
      </c>
      <c r="C3162" s="34">
        <v>11.3</v>
      </c>
      <c r="D3162" s="36">
        <v>45061.0</v>
      </c>
      <c r="E3162" s="24"/>
      <c r="F3162" s="14">
        <v>5.65</v>
      </c>
      <c r="G3162" s="14">
        <v>58.25</v>
      </c>
      <c r="H3162" s="14">
        <v>1.03</v>
      </c>
      <c r="I3162" s="14" t="s">
        <v>6061</v>
      </c>
      <c r="J3162" s="14">
        <v>50.0</v>
      </c>
      <c r="K3162" s="14">
        <v>11.3</v>
      </c>
      <c r="L3162" s="14">
        <v>0.0</v>
      </c>
    </row>
    <row r="3163">
      <c r="A3163" s="14">
        <v>376.0</v>
      </c>
      <c r="B3163" s="14">
        <v>3.0</v>
      </c>
      <c r="C3163" s="34">
        <v>12.57</v>
      </c>
      <c r="D3163" s="36">
        <v>45061.0</v>
      </c>
      <c r="E3163" s="24"/>
      <c r="F3163" s="14">
        <v>4.19</v>
      </c>
      <c r="G3163" s="14">
        <v>33.43</v>
      </c>
      <c r="H3163" s="14">
        <v>0.8</v>
      </c>
      <c r="I3163" s="14" t="s">
        <v>6042</v>
      </c>
      <c r="J3163" s="14">
        <v>0.0</v>
      </c>
      <c r="K3163" s="14" t="s">
        <v>6012</v>
      </c>
      <c r="L3163" s="14">
        <v>0.0</v>
      </c>
    </row>
    <row r="3164">
      <c r="A3164" s="14">
        <v>387.0</v>
      </c>
      <c r="B3164" s="14">
        <v>3.0</v>
      </c>
      <c r="C3164" s="34">
        <v>11.31</v>
      </c>
      <c r="D3164" s="36">
        <v>45061.0</v>
      </c>
      <c r="E3164" s="24"/>
      <c r="F3164" s="14">
        <v>3.77</v>
      </c>
      <c r="G3164" s="14">
        <v>29.22</v>
      </c>
      <c r="H3164" s="14">
        <v>0.78</v>
      </c>
      <c r="I3164" s="14" t="s">
        <v>6062</v>
      </c>
      <c r="J3164" s="14">
        <v>33.33</v>
      </c>
      <c r="K3164" s="14">
        <v>11.31</v>
      </c>
      <c r="L3164" s="14">
        <v>0.0</v>
      </c>
    </row>
    <row r="3165">
      <c r="A3165" s="14">
        <v>157.0</v>
      </c>
      <c r="B3165" s="14">
        <v>2.0</v>
      </c>
      <c r="C3165" s="34">
        <v>11.32</v>
      </c>
      <c r="D3165" s="36">
        <v>45061.0</v>
      </c>
      <c r="E3165" s="24"/>
      <c r="F3165" s="14">
        <v>5.66</v>
      </c>
      <c r="G3165" s="14">
        <v>72.1</v>
      </c>
      <c r="H3165" s="14">
        <v>1.27</v>
      </c>
      <c r="I3165" s="14" t="s">
        <v>6058</v>
      </c>
      <c r="J3165" s="14">
        <v>0.0</v>
      </c>
      <c r="K3165" s="14" t="s">
        <v>6012</v>
      </c>
      <c r="L3165" s="14">
        <v>1.0</v>
      </c>
    </row>
    <row r="3166">
      <c r="A3166" s="14">
        <v>81.0</v>
      </c>
      <c r="B3166" s="14">
        <v>0.0</v>
      </c>
      <c r="C3166" s="34">
        <v>12.89</v>
      </c>
      <c r="D3166" s="36">
        <v>45061.0</v>
      </c>
      <c r="E3166" s="24"/>
      <c r="F3166" s="14" t="s">
        <v>6012</v>
      </c>
      <c r="G3166" s="14">
        <v>159.14</v>
      </c>
      <c r="H3166" s="14">
        <v>0.0</v>
      </c>
      <c r="I3166" s="14" t="s">
        <v>6057</v>
      </c>
      <c r="J3166" s="14" t="s">
        <v>6012</v>
      </c>
      <c r="K3166" s="14" t="s">
        <v>6012</v>
      </c>
      <c r="L3166" s="14">
        <v>0.0</v>
      </c>
    </row>
    <row r="3167">
      <c r="A3167" s="14">
        <v>625.0</v>
      </c>
      <c r="B3167" s="14">
        <v>0.0</v>
      </c>
      <c r="C3167" s="34">
        <v>11.16</v>
      </c>
      <c r="D3167" s="36">
        <v>45061.0</v>
      </c>
      <c r="E3167" s="24"/>
      <c r="F3167" s="14" t="s">
        <v>6012</v>
      </c>
      <c r="G3167" s="14">
        <v>17.86</v>
      </c>
      <c r="H3167" s="14">
        <v>0.0</v>
      </c>
      <c r="I3167" s="14" t="s">
        <v>6060</v>
      </c>
      <c r="J3167" s="14" t="s">
        <v>6012</v>
      </c>
      <c r="K3167" s="14">
        <v>11.16</v>
      </c>
      <c r="L3167" s="14">
        <v>0.0</v>
      </c>
    </row>
    <row r="3168">
      <c r="A3168" s="14">
        <v>1056.0</v>
      </c>
      <c r="B3168" s="14">
        <v>12.0</v>
      </c>
      <c r="C3168" s="34">
        <v>11.91</v>
      </c>
      <c r="D3168" s="36">
        <v>45061.0</v>
      </c>
      <c r="E3168" s="24"/>
      <c r="F3168" s="14">
        <v>0.99</v>
      </c>
      <c r="G3168" s="14">
        <v>11.28</v>
      </c>
      <c r="H3168" s="14">
        <v>1.14</v>
      </c>
      <c r="I3168" s="14" t="s">
        <v>6051</v>
      </c>
      <c r="J3168" s="14">
        <v>25.0</v>
      </c>
      <c r="K3168" s="14">
        <v>3.97</v>
      </c>
      <c r="L3168" s="14">
        <v>0.0</v>
      </c>
    </row>
    <row r="3169">
      <c r="A3169" s="14">
        <v>554.0</v>
      </c>
      <c r="B3169" s="14">
        <v>1.0</v>
      </c>
      <c r="C3169" s="34">
        <v>12.37</v>
      </c>
      <c r="D3169" s="36">
        <v>45061.0</v>
      </c>
      <c r="E3169" s="24"/>
      <c r="F3169" s="14">
        <v>12.37</v>
      </c>
      <c r="G3169" s="14">
        <v>22.33</v>
      </c>
      <c r="H3169" s="14">
        <v>0.18</v>
      </c>
      <c r="I3169" s="14" t="s">
        <v>6054</v>
      </c>
      <c r="J3169" s="14">
        <v>100.0</v>
      </c>
      <c r="K3169" s="14">
        <v>12.37</v>
      </c>
      <c r="L3169" s="14">
        <v>0.0</v>
      </c>
    </row>
    <row r="3170">
      <c r="A3170" s="14">
        <v>1883.0</v>
      </c>
      <c r="B3170" s="14">
        <v>15.0</v>
      </c>
      <c r="C3170" s="34">
        <v>10.79</v>
      </c>
      <c r="D3170" s="36">
        <v>45061.0</v>
      </c>
      <c r="E3170" s="24"/>
      <c r="F3170" s="14">
        <v>0.72</v>
      </c>
      <c r="G3170" s="14">
        <v>5.73</v>
      </c>
      <c r="H3170" s="14">
        <v>0.8</v>
      </c>
      <c r="I3170" s="14" t="s">
        <v>6050</v>
      </c>
      <c r="J3170" s="14">
        <v>46.67</v>
      </c>
      <c r="K3170" s="14">
        <v>1.54</v>
      </c>
      <c r="L3170" s="14">
        <v>0.0</v>
      </c>
    </row>
    <row r="3171">
      <c r="A3171" s="14">
        <v>134.0</v>
      </c>
      <c r="B3171" s="14">
        <v>1.0</v>
      </c>
      <c r="C3171" s="34">
        <v>13.11</v>
      </c>
      <c r="D3171" s="36">
        <v>45062.0</v>
      </c>
      <c r="E3171" s="24"/>
      <c r="F3171" s="14">
        <v>13.11</v>
      </c>
      <c r="G3171" s="14">
        <v>97.84</v>
      </c>
      <c r="H3171" s="14">
        <v>0.75</v>
      </c>
      <c r="I3171" s="14" t="s">
        <v>6063</v>
      </c>
      <c r="J3171" s="14">
        <v>200.0</v>
      </c>
      <c r="K3171" s="14">
        <v>6.56</v>
      </c>
      <c r="L3171" s="14">
        <v>0.0</v>
      </c>
    </row>
    <row r="3172">
      <c r="A3172" s="14">
        <v>84.0</v>
      </c>
      <c r="B3172" s="14">
        <v>3.0</v>
      </c>
      <c r="C3172" s="34">
        <v>12.81</v>
      </c>
      <c r="D3172" s="36">
        <v>45062.0</v>
      </c>
      <c r="E3172" s="24"/>
      <c r="F3172" s="14">
        <v>4.27</v>
      </c>
      <c r="G3172" s="14">
        <v>152.5</v>
      </c>
      <c r="H3172" s="14">
        <v>3.57</v>
      </c>
      <c r="I3172" s="14" t="s">
        <v>6057</v>
      </c>
      <c r="J3172" s="14">
        <v>0.0</v>
      </c>
      <c r="K3172" s="14" t="s">
        <v>6012</v>
      </c>
      <c r="L3172" s="14">
        <v>0.0</v>
      </c>
    </row>
    <row r="3173">
      <c r="A3173" s="14">
        <v>655.0</v>
      </c>
      <c r="B3173" s="14">
        <v>3.0</v>
      </c>
      <c r="C3173" s="34">
        <v>11.67</v>
      </c>
      <c r="D3173" s="36">
        <v>45062.0</v>
      </c>
      <c r="E3173" s="24"/>
      <c r="F3173" s="14">
        <v>3.89</v>
      </c>
      <c r="G3173" s="14">
        <v>17.82</v>
      </c>
      <c r="H3173" s="14">
        <v>0.46</v>
      </c>
      <c r="I3173" s="14" t="s">
        <v>6060</v>
      </c>
      <c r="J3173" s="14">
        <v>33.33</v>
      </c>
      <c r="K3173" s="14">
        <v>11.67</v>
      </c>
      <c r="L3173" s="14">
        <v>0.0</v>
      </c>
    </row>
    <row r="3174">
      <c r="A3174" s="14">
        <v>1986.0</v>
      </c>
      <c r="B3174" s="14">
        <v>14.0</v>
      </c>
      <c r="C3174" s="34">
        <v>11.66</v>
      </c>
      <c r="D3174" s="36">
        <v>45062.0</v>
      </c>
      <c r="E3174" s="24"/>
      <c r="F3174" s="14">
        <v>0.83</v>
      </c>
      <c r="G3174" s="14">
        <v>5.87</v>
      </c>
      <c r="H3174" s="14">
        <v>0.7</v>
      </c>
      <c r="I3174" s="14" t="s">
        <v>6050</v>
      </c>
      <c r="J3174" s="14">
        <v>42.86</v>
      </c>
      <c r="K3174" s="14">
        <v>1.94</v>
      </c>
      <c r="L3174" s="14">
        <v>0.0</v>
      </c>
    </row>
    <row r="3175">
      <c r="A3175" s="14">
        <v>390.0</v>
      </c>
      <c r="B3175" s="14">
        <v>1.0</v>
      </c>
      <c r="C3175" s="34">
        <v>13.39</v>
      </c>
      <c r="D3175" s="36">
        <v>45062.0</v>
      </c>
      <c r="E3175" s="24"/>
      <c r="F3175" s="14">
        <v>13.39</v>
      </c>
      <c r="G3175" s="14">
        <v>34.33</v>
      </c>
      <c r="H3175" s="14">
        <v>0.26</v>
      </c>
      <c r="I3175" s="14" t="s">
        <v>6042</v>
      </c>
      <c r="J3175" s="14">
        <v>0.0</v>
      </c>
      <c r="K3175" s="14" t="s">
        <v>6012</v>
      </c>
      <c r="L3175" s="14">
        <v>0.0</v>
      </c>
    </row>
    <row r="3176">
      <c r="A3176" s="14">
        <v>189.0</v>
      </c>
      <c r="B3176" s="14">
        <v>1.0</v>
      </c>
      <c r="C3176" s="34">
        <v>12.84</v>
      </c>
      <c r="D3176" s="36">
        <v>45062.0</v>
      </c>
      <c r="E3176" s="24"/>
      <c r="F3176" s="14">
        <v>12.84</v>
      </c>
      <c r="G3176" s="14">
        <v>67.94</v>
      </c>
      <c r="H3176" s="14">
        <v>0.53</v>
      </c>
      <c r="I3176" s="14" t="s">
        <v>6061</v>
      </c>
      <c r="J3176" s="14">
        <v>100.0</v>
      </c>
      <c r="K3176" s="14">
        <v>12.84</v>
      </c>
      <c r="L3176" s="14">
        <v>0.0</v>
      </c>
    </row>
    <row r="3177">
      <c r="A3177" s="14">
        <v>429.0</v>
      </c>
      <c r="B3177" s="14">
        <v>0.0</v>
      </c>
      <c r="C3177" s="34">
        <v>11.6</v>
      </c>
      <c r="D3177" s="36">
        <v>45062.0</v>
      </c>
      <c r="E3177" s="24"/>
      <c r="F3177" s="14" t="s">
        <v>6012</v>
      </c>
      <c r="G3177" s="14">
        <v>27.04</v>
      </c>
      <c r="H3177" s="14">
        <v>0.0</v>
      </c>
      <c r="I3177" s="14" t="s">
        <v>6062</v>
      </c>
      <c r="J3177" s="14" t="s">
        <v>6012</v>
      </c>
      <c r="K3177" s="14">
        <v>11.6</v>
      </c>
      <c r="L3177" s="14">
        <v>0.0</v>
      </c>
    </row>
    <row r="3178">
      <c r="A3178" s="14">
        <v>705.0</v>
      </c>
      <c r="B3178" s="14">
        <v>6.0</v>
      </c>
      <c r="C3178" s="34">
        <v>12.13</v>
      </c>
      <c r="D3178" s="36">
        <v>45062.0</v>
      </c>
      <c r="E3178" s="24"/>
      <c r="F3178" s="14">
        <v>2.02</v>
      </c>
      <c r="G3178" s="14">
        <v>17.21</v>
      </c>
      <c r="H3178" s="14">
        <v>0.85</v>
      </c>
      <c r="I3178" s="14" t="s">
        <v>6051</v>
      </c>
      <c r="J3178" s="14">
        <v>66.67</v>
      </c>
      <c r="K3178" s="14">
        <v>3.03</v>
      </c>
      <c r="L3178" s="14">
        <v>0.0</v>
      </c>
    </row>
    <row r="3179">
      <c r="A3179" s="14">
        <v>64.0</v>
      </c>
      <c r="B3179" s="14">
        <v>0.0</v>
      </c>
      <c r="C3179" s="34">
        <v>12.43</v>
      </c>
      <c r="D3179" s="36">
        <v>45062.0</v>
      </c>
      <c r="E3179" s="24"/>
      <c r="F3179" s="14" t="s">
        <v>6012</v>
      </c>
      <c r="G3179" s="14">
        <v>194.22</v>
      </c>
      <c r="H3179" s="14">
        <v>0.0</v>
      </c>
      <c r="I3179" s="14" t="s">
        <v>6059</v>
      </c>
      <c r="J3179" s="14" t="s">
        <v>6012</v>
      </c>
      <c r="K3179" s="14" t="s">
        <v>6012</v>
      </c>
      <c r="L3179" s="14">
        <v>0.0</v>
      </c>
    </row>
    <row r="3180">
      <c r="A3180" s="14">
        <v>547.0</v>
      </c>
      <c r="B3180" s="14">
        <v>2.0</v>
      </c>
      <c r="C3180" s="34">
        <v>12.12</v>
      </c>
      <c r="D3180" s="36">
        <v>45062.0</v>
      </c>
      <c r="E3180" s="24"/>
      <c r="F3180" s="14">
        <v>6.06</v>
      </c>
      <c r="G3180" s="14">
        <v>22.16</v>
      </c>
      <c r="H3180" s="14">
        <v>0.37</v>
      </c>
      <c r="I3180" s="14" t="s">
        <v>6054</v>
      </c>
      <c r="J3180" s="14">
        <v>50.0</v>
      </c>
      <c r="K3180" s="14">
        <v>12.12</v>
      </c>
      <c r="L3180" s="14">
        <v>0.0</v>
      </c>
    </row>
    <row r="3181">
      <c r="A3181" s="14">
        <v>132.0</v>
      </c>
      <c r="B3181" s="14">
        <v>2.0</v>
      </c>
      <c r="C3181" s="34">
        <v>12.32</v>
      </c>
      <c r="D3181" s="36">
        <v>45062.0</v>
      </c>
      <c r="E3181" s="24"/>
      <c r="F3181" s="14">
        <v>6.16</v>
      </c>
      <c r="G3181" s="14">
        <v>93.33</v>
      </c>
      <c r="H3181" s="14">
        <v>1.52</v>
      </c>
      <c r="I3181" s="14" t="s">
        <v>6058</v>
      </c>
      <c r="J3181" s="14">
        <v>50.0</v>
      </c>
      <c r="K3181" s="14">
        <v>12.32</v>
      </c>
      <c r="L3181" s="14">
        <v>0.0</v>
      </c>
    </row>
    <row r="3182">
      <c r="A3182" s="14">
        <v>82.0</v>
      </c>
      <c r="B3182" s="14">
        <v>0.0</v>
      </c>
      <c r="C3182" s="34">
        <v>12.42</v>
      </c>
      <c r="D3182" s="36">
        <v>45063.0</v>
      </c>
      <c r="E3182" s="24"/>
      <c r="F3182" s="14" t="s">
        <v>6012</v>
      </c>
      <c r="G3182" s="14">
        <v>151.46</v>
      </c>
      <c r="H3182" s="14">
        <v>0.0</v>
      </c>
      <c r="I3182" s="14" t="s">
        <v>6057</v>
      </c>
      <c r="J3182" s="14" t="s">
        <v>6012</v>
      </c>
      <c r="K3182" s="14">
        <v>12.42</v>
      </c>
      <c r="L3182" s="14">
        <v>0.0</v>
      </c>
    </row>
    <row r="3183">
      <c r="A3183" s="14">
        <v>53.0</v>
      </c>
      <c r="B3183" s="14">
        <v>1.0</v>
      </c>
      <c r="C3183" s="34">
        <v>12.2</v>
      </c>
      <c r="D3183" s="36">
        <v>45063.0</v>
      </c>
      <c r="E3183" s="24"/>
      <c r="F3183" s="14">
        <v>12.2</v>
      </c>
      <c r="G3183" s="14">
        <v>230.19</v>
      </c>
      <c r="H3183" s="14">
        <v>1.89</v>
      </c>
      <c r="I3183" s="14" t="s">
        <v>6059</v>
      </c>
      <c r="J3183" s="14">
        <v>0.0</v>
      </c>
      <c r="K3183" s="14" t="s">
        <v>6012</v>
      </c>
      <c r="L3183" s="14">
        <v>0.0</v>
      </c>
    </row>
    <row r="3184">
      <c r="A3184" s="14">
        <v>531.0</v>
      </c>
      <c r="B3184" s="14">
        <v>6.0</v>
      </c>
      <c r="C3184" s="34">
        <v>12.32</v>
      </c>
      <c r="D3184" s="36">
        <v>45063.0</v>
      </c>
      <c r="E3184" s="24"/>
      <c r="F3184" s="14">
        <v>2.05</v>
      </c>
      <c r="G3184" s="14">
        <v>23.2</v>
      </c>
      <c r="H3184" s="14">
        <v>1.13</v>
      </c>
      <c r="I3184" s="14" t="s">
        <v>6054</v>
      </c>
      <c r="J3184" s="14">
        <v>0.0</v>
      </c>
      <c r="K3184" s="14" t="s">
        <v>6012</v>
      </c>
      <c r="L3184" s="14">
        <v>0.0</v>
      </c>
    </row>
    <row r="3185">
      <c r="A3185" s="14">
        <v>558.0</v>
      </c>
      <c r="B3185" s="14">
        <v>3.0</v>
      </c>
      <c r="C3185" s="34">
        <v>11.73</v>
      </c>
      <c r="D3185" s="36">
        <v>45063.0</v>
      </c>
      <c r="E3185" s="24"/>
      <c r="F3185" s="14">
        <v>3.91</v>
      </c>
      <c r="G3185" s="14">
        <v>21.02</v>
      </c>
      <c r="H3185" s="14">
        <v>0.54</v>
      </c>
      <c r="I3185" s="14" t="s">
        <v>6060</v>
      </c>
      <c r="J3185" s="14">
        <v>33.33</v>
      </c>
      <c r="K3185" s="14">
        <v>11.73</v>
      </c>
      <c r="L3185" s="14">
        <v>0.0</v>
      </c>
    </row>
    <row r="3186">
      <c r="A3186" s="14">
        <v>78.0</v>
      </c>
      <c r="B3186" s="14">
        <v>1.0</v>
      </c>
      <c r="C3186" s="34">
        <v>12.07</v>
      </c>
      <c r="D3186" s="36">
        <v>45063.0</v>
      </c>
      <c r="E3186" s="24"/>
      <c r="F3186" s="14">
        <v>12.07</v>
      </c>
      <c r="G3186" s="14">
        <v>154.74</v>
      </c>
      <c r="H3186" s="14">
        <v>1.28</v>
      </c>
      <c r="I3186" s="14" t="s">
        <v>6063</v>
      </c>
      <c r="J3186" s="14">
        <v>100.0</v>
      </c>
      <c r="K3186" s="14">
        <v>12.07</v>
      </c>
      <c r="L3186" s="14">
        <v>0.0</v>
      </c>
    </row>
    <row r="3187">
      <c r="A3187" s="14">
        <v>255.0</v>
      </c>
      <c r="B3187" s="14">
        <v>3.0</v>
      </c>
      <c r="C3187" s="34">
        <v>13.64</v>
      </c>
      <c r="D3187" s="36">
        <v>45063.0</v>
      </c>
      <c r="E3187" s="24"/>
      <c r="F3187" s="14">
        <v>4.55</v>
      </c>
      <c r="G3187" s="14">
        <v>53.49</v>
      </c>
      <c r="H3187" s="14">
        <v>1.18</v>
      </c>
      <c r="I3187" s="14" t="s">
        <v>6042</v>
      </c>
      <c r="J3187" s="14">
        <v>133.33</v>
      </c>
      <c r="K3187" s="14">
        <v>3.41</v>
      </c>
      <c r="L3187" s="14">
        <v>0.0</v>
      </c>
    </row>
    <row r="3188">
      <c r="A3188" s="14">
        <v>436.0</v>
      </c>
      <c r="B3188" s="14">
        <v>3.0</v>
      </c>
      <c r="C3188" s="34">
        <v>11.73</v>
      </c>
      <c r="D3188" s="36">
        <v>45063.0</v>
      </c>
      <c r="E3188" s="24"/>
      <c r="F3188" s="14">
        <v>3.91</v>
      </c>
      <c r="G3188" s="14">
        <v>26.9</v>
      </c>
      <c r="H3188" s="14">
        <v>0.69</v>
      </c>
      <c r="I3188" s="14" t="s">
        <v>6062</v>
      </c>
      <c r="J3188" s="14">
        <v>0.0</v>
      </c>
      <c r="K3188" s="14" t="s">
        <v>6012</v>
      </c>
      <c r="L3188" s="14">
        <v>0.0</v>
      </c>
    </row>
    <row r="3189">
      <c r="A3189" s="14">
        <v>134.0</v>
      </c>
      <c r="B3189" s="14">
        <v>0.0</v>
      </c>
      <c r="C3189" s="34">
        <v>12.34</v>
      </c>
      <c r="D3189" s="36">
        <v>45063.0</v>
      </c>
      <c r="E3189" s="24"/>
      <c r="F3189" s="14" t="s">
        <v>6012</v>
      </c>
      <c r="G3189" s="14">
        <v>92.09</v>
      </c>
      <c r="H3189" s="14">
        <v>0.0</v>
      </c>
      <c r="I3189" s="14" t="s">
        <v>6058</v>
      </c>
      <c r="J3189" s="14" t="s">
        <v>6012</v>
      </c>
      <c r="K3189" s="14" t="s">
        <v>6012</v>
      </c>
      <c r="L3189" s="14">
        <v>0.0</v>
      </c>
    </row>
    <row r="3190">
      <c r="A3190" s="14">
        <v>2696.0</v>
      </c>
      <c r="B3190" s="14">
        <v>14.0</v>
      </c>
      <c r="C3190" s="34">
        <v>10.58</v>
      </c>
      <c r="D3190" s="36">
        <v>45063.0</v>
      </c>
      <c r="E3190" s="24"/>
      <c r="F3190" s="14">
        <v>0.76</v>
      </c>
      <c r="G3190" s="14">
        <v>3.92</v>
      </c>
      <c r="H3190" s="14">
        <v>0.52</v>
      </c>
      <c r="I3190" s="14" t="s">
        <v>6050</v>
      </c>
      <c r="J3190" s="14">
        <v>21.43</v>
      </c>
      <c r="K3190" s="14">
        <v>3.53</v>
      </c>
      <c r="L3190" s="14">
        <v>0.0</v>
      </c>
    </row>
    <row r="3191">
      <c r="A3191" s="14">
        <v>144.0</v>
      </c>
      <c r="B3191" s="14">
        <v>1.0</v>
      </c>
      <c r="C3191" s="34">
        <v>12.32</v>
      </c>
      <c r="D3191" s="36">
        <v>45063.0</v>
      </c>
      <c r="E3191" s="24"/>
      <c r="F3191" s="14">
        <v>12.32</v>
      </c>
      <c r="G3191" s="14">
        <v>85.56</v>
      </c>
      <c r="H3191" s="14">
        <v>0.69</v>
      </c>
      <c r="I3191" s="14" t="s">
        <v>6061</v>
      </c>
      <c r="J3191" s="14">
        <v>100.0</v>
      </c>
      <c r="K3191" s="14">
        <v>12.32</v>
      </c>
      <c r="L3191" s="14">
        <v>0.0</v>
      </c>
    </row>
    <row r="3192">
      <c r="A3192" s="14">
        <v>1081.0</v>
      </c>
      <c r="B3192" s="14">
        <v>9.0</v>
      </c>
      <c r="C3192" s="34">
        <v>11.85</v>
      </c>
      <c r="D3192" s="36">
        <v>45063.0</v>
      </c>
      <c r="E3192" s="24"/>
      <c r="F3192" s="14">
        <v>1.32</v>
      </c>
      <c r="G3192" s="14">
        <v>10.96</v>
      </c>
      <c r="H3192" s="14">
        <v>0.83</v>
      </c>
      <c r="I3192" s="14" t="s">
        <v>6051</v>
      </c>
      <c r="J3192" s="14">
        <v>44.44</v>
      </c>
      <c r="K3192" s="14">
        <v>2.96</v>
      </c>
      <c r="L3192" s="14">
        <v>0.0</v>
      </c>
    </row>
    <row r="3193">
      <c r="A3193" s="14">
        <v>2310.0</v>
      </c>
      <c r="B3193" s="14">
        <v>15.0</v>
      </c>
      <c r="C3193" s="34">
        <v>11.31</v>
      </c>
      <c r="D3193" s="36">
        <v>45064.0</v>
      </c>
      <c r="E3193" s="24"/>
      <c r="F3193" s="14">
        <v>0.75</v>
      </c>
      <c r="G3193" s="14">
        <v>4.9</v>
      </c>
      <c r="H3193" s="14">
        <v>0.65</v>
      </c>
      <c r="I3193" s="14" t="s">
        <v>6050</v>
      </c>
      <c r="J3193" s="14">
        <v>46.67</v>
      </c>
      <c r="K3193" s="14">
        <v>1.62</v>
      </c>
      <c r="L3193" s="14">
        <v>0.0</v>
      </c>
    </row>
    <row r="3194">
      <c r="A3194" s="14">
        <v>481.0</v>
      </c>
      <c r="B3194" s="14">
        <v>4.0</v>
      </c>
      <c r="C3194" s="34">
        <v>11.73</v>
      </c>
      <c r="D3194" s="36">
        <v>45064.0</v>
      </c>
      <c r="E3194" s="24"/>
      <c r="F3194" s="14">
        <v>2.93</v>
      </c>
      <c r="G3194" s="14">
        <v>24.39</v>
      </c>
      <c r="H3194" s="14">
        <v>0.83</v>
      </c>
      <c r="I3194" s="14" t="s">
        <v>6060</v>
      </c>
      <c r="J3194" s="14">
        <v>25.0</v>
      </c>
      <c r="K3194" s="14">
        <v>11.73</v>
      </c>
      <c r="L3194" s="14">
        <v>0.0</v>
      </c>
    </row>
    <row r="3195">
      <c r="A3195" s="14">
        <v>1145.0</v>
      </c>
      <c r="B3195" s="14">
        <v>11.0</v>
      </c>
      <c r="C3195" s="34">
        <v>11.43</v>
      </c>
      <c r="D3195" s="36">
        <v>45064.0</v>
      </c>
      <c r="E3195" s="24"/>
      <c r="F3195" s="14">
        <v>1.04</v>
      </c>
      <c r="G3195" s="14">
        <v>9.98</v>
      </c>
      <c r="H3195" s="14">
        <v>0.96</v>
      </c>
      <c r="I3195" s="14" t="s">
        <v>6051</v>
      </c>
      <c r="J3195" s="14">
        <v>9.09</v>
      </c>
      <c r="K3195" s="14">
        <v>11.43</v>
      </c>
      <c r="L3195" s="14">
        <v>0.0</v>
      </c>
    </row>
    <row r="3196">
      <c r="A3196" s="14">
        <v>151.0</v>
      </c>
      <c r="B3196" s="14">
        <v>3.0</v>
      </c>
      <c r="C3196" s="34">
        <v>12.51</v>
      </c>
      <c r="D3196" s="36">
        <v>45064.0</v>
      </c>
      <c r="E3196" s="24"/>
      <c r="F3196" s="14">
        <v>4.17</v>
      </c>
      <c r="G3196" s="14">
        <v>82.85</v>
      </c>
      <c r="H3196" s="14">
        <v>1.99</v>
      </c>
      <c r="I3196" s="14" t="s">
        <v>6061</v>
      </c>
      <c r="J3196" s="14">
        <v>66.67</v>
      </c>
      <c r="K3196" s="14">
        <v>6.26</v>
      </c>
      <c r="L3196" s="14">
        <v>0.0</v>
      </c>
    </row>
    <row r="3197">
      <c r="A3197" s="14">
        <v>547.0</v>
      </c>
      <c r="B3197" s="14">
        <v>1.0</v>
      </c>
      <c r="C3197" s="34">
        <v>11.02</v>
      </c>
      <c r="D3197" s="36">
        <v>45064.0</v>
      </c>
      <c r="E3197" s="24"/>
      <c r="F3197" s="14">
        <v>11.02</v>
      </c>
      <c r="G3197" s="14">
        <v>20.15</v>
      </c>
      <c r="H3197" s="14">
        <v>0.18</v>
      </c>
      <c r="I3197" s="14" t="s">
        <v>6062</v>
      </c>
      <c r="J3197" s="14">
        <v>100.0</v>
      </c>
      <c r="K3197" s="14">
        <v>11.02</v>
      </c>
      <c r="L3197" s="14">
        <v>0.0</v>
      </c>
    </row>
    <row r="3198">
      <c r="A3198" s="14">
        <v>339.0</v>
      </c>
      <c r="B3198" s="14">
        <v>3.0</v>
      </c>
      <c r="C3198" s="34">
        <v>11.58</v>
      </c>
      <c r="D3198" s="36">
        <v>45064.0</v>
      </c>
      <c r="E3198" s="24"/>
      <c r="F3198" s="14">
        <v>3.86</v>
      </c>
      <c r="G3198" s="14">
        <v>34.16</v>
      </c>
      <c r="H3198" s="14">
        <v>0.88</v>
      </c>
      <c r="I3198" s="14" t="s">
        <v>6054</v>
      </c>
      <c r="J3198" s="14">
        <v>0.0</v>
      </c>
      <c r="K3198" s="14" t="s">
        <v>6012</v>
      </c>
      <c r="L3198" s="14">
        <v>0.0</v>
      </c>
    </row>
    <row r="3199">
      <c r="A3199" s="14">
        <v>158.0</v>
      </c>
      <c r="B3199" s="14">
        <v>0.0</v>
      </c>
      <c r="C3199" s="34">
        <v>11.72</v>
      </c>
      <c r="D3199" s="36">
        <v>45064.0</v>
      </c>
      <c r="E3199" s="24"/>
      <c r="F3199" s="14" t="s">
        <v>6012</v>
      </c>
      <c r="G3199" s="14">
        <v>74.18</v>
      </c>
      <c r="H3199" s="14">
        <v>0.0</v>
      </c>
      <c r="I3199" s="14" t="s">
        <v>6058</v>
      </c>
      <c r="J3199" s="14" t="s">
        <v>6012</v>
      </c>
      <c r="K3199" s="14" t="s">
        <v>6012</v>
      </c>
      <c r="L3199" s="14">
        <v>0.0</v>
      </c>
    </row>
    <row r="3200">
      <c r="A3200" s="14">
        <v>129.0</v>
      </c>
      <c r="B3200" s="14">
        <v>1.0</v>
      </c>
      <c r="C3200" s="34">
        <v>12.08</v>
      </c>
      <c r="D3200" s="36">
        <v>45064.0</v>
      </c>
      <c r="E3200" s="24"/>
      <c r="F3200" s="14">
        <v>12.08</v>
      </c>
      <c r="G3200" s="14">
        <v>93.64</v>
      </c>
      <c r="H3200" s="14">
        <v>0.78</v>
      </c>
      <c r="I3200" s="14" t="s">
        <v>6063</v>
      </c>
      <c r="J3200" s="14">
        <v>0.0</v>
      </c>
      <c r="K3200" s="14" t="s">
        <v>6012</v>
      </c>
      <c r="L3200" s="14">
        <v>0.0</v>
      </c>
    </row>
    <row r="3201">
      <c r="A3201" s="14">
        <v>332.0</v>
      </c>
      <c r="B3201" s="14">
        <v>1.0</v>
      </c>
      <c r="C3201" s="34">
        <v>12.06</v>
      </c>
      <c r="D3201" s="36">
        <v>45064.0</v>
      </c>
      <c r="E3201" s="24"/>
      <c r="F3201" s="14">
        <v>12.06</v>
      </c>
      <c r="G3201" s="14">
        <v>36.33</v>
      </c>
      <c r="H3201" s="14">
        <v>0.3</v>
      </c>
      <c r="I3201" s="14" t="s">
        <v>6042</v>
      </c>
      <c r="J3201" s="14">
        <v>0.0</v>
      </c>
      <c r="K3201" s="14" t="s">
        <v>6012</v>
      </c>
      <c r="L3201" s="14">
        <v>0.0</v>
      </c>
    </row>
    <row r="3202">
      <c r="A3202" s="14">
        <v>86.0</v>
      </c>
      <c r="B3202" s="14">
        <v>1.0</v>
      </c>
      <c r="C3202" s="34">
        <v>13.08</v>
      </c>
      <c r="D3202" s="36">
        <v>45064.0</v>
      </c>
      <c r="E3202" s="24"/>
      <c r="F3202" s="14">
        <v>13.08</v>
      </c>
      <c r="G3202" s="14">
        <v>152.09</v>
      </c>
      <c r="H3202" s="14">
        <v>1.16</v>
      </c>
      <c r="I3202" s="14" t="s">
        <v>6057</v>
      </c>
      <c r="J3202" s="14">
        <v>0.0</v>
      </c>
      <c r="K3202" s="14" t="s">
        <v>6012</v>
      </c>
      <c r="L3202" s="14">
        <v>0.0</v>
      </c>
    </row>
    <row r="3203">
      <c r="A3203" s="14">
        <v>64.0</v>
      </c>
      <c r="B3203" s="14">
        <v>0.0</v>
      </c>
      <c r="C3203" s="34">
        <v>11.69</v>
      </c>
      <c r="D3203" s="36">
        <v>45064.0</v>
      </c>
      <c r="E3203" s="24"/>
      <c r="F3203" s="14" t="s">
        <v>6012</v>
      </c>
      <c r="G3203" s="14">
        <v>182.66</v>
      </c>
      <c r="H3203" s="14">
        <v>0.0</v>
      </c>
      <c r="I3203" s="14" t="s">
        <v>6059</v>
      </c>
      <c r="J3203" s="14" t="s">
        <v>6012</v>
      </c>
      <c r="K3203" s="14">
        <v>11.69</v>
      </c>
      <c r="L3203" s="14">
        <v>0.0</v>
      </c>
    </row>
    <row r="3204">
      <c r="A3204" s="14">
        <v>345.0</v>
      </c>
      <c r="B3204" s="14">
        <v>2.0</v>
      </c>
      <c r="C3204" s="34">
        <v>10.84</v>
      </c>
      <c r="D3204" s="36">
        <v>45065.0</v>
      </c>
      <c r="E3204" s="24"/>
      <c r="F3204" s="14">
        <v>5.42</v>
      </c>
      <c r="G3204" s="14">
        <v>31.42</v>
      </c>
      <c r="H3204" s="14">
        <v>0.58</v>
      </c>
      <c r="I3204" s="14" t="s">
        <v>6060</v>
      </c>
      <c r="J3204" s="14">
        <v>100.0</v>
      </c>
      <c r="K3204" s="14">
        <v>5.42</v>
      </c>
      <c r="L3204" s="14">
        <v>0.0</v>
      </c>
    </row>
    <row r="3205">
      <c r="A3205" s="14">
        <v>88.0</v>
      </c>
      <c r="B3205" s="14">
        <v>1.0</v>
      </c>
      <c r="C3205" s="34">
        <v>10.47</v>
      </c>
      <c r="D3205" s="36">
        <v>45065.0</v>
      </c>
      <c r="E3205" s="24"/>
      <c r="F3205" s="14">
        <v>10.47</v>
      </c>
      <c r="G3205" s="14">
        <v>118.98</v>
      </c>
      <c r="H3205" s="14">
        <v>1.14</v>
      </c>
      <c r="I3205" s="14" t="s">
        <v>6063</v>
      </c>
      <c r="J3205" s="14">
        <v>100.0</v>
      </c>
      <c r="K3205" s="14">
        <v>10.47</v>
      </c>
      <c r="L3205" s="14">
        <v>0.0</v>
      </c>
    </row>
    <row r="3206">
      <c r="A3206" s="14">
        <v>147.0</v>
      </c>
      <c r="B3206" s="14">
        <v>3.0</v>
      </c>
      <c r="C3206" s="34">
        <v>10.29</v>
      </c>
      <c r="D3206" s="36">
        <v>45065.0</v>
      </c>
      <c r="E3206" s="24"/>
      <c r="F3206" s="14">
        <v>3.43</v>
      </c>
      <c r="G3206" s="14">
        <v>70.0</v>
      </c>
      <c r="H3206" s="14">
        <v>2.04</v>
      </c>
      <c r="I3206" s="14" t="s">
        <v>6061</v>
      </c>
      <c r="J3206" s="14">
        <v>66.67</v>
      </c>
      <c r="K3206" s="14">
        <v>5.14</v>
      </c>
      <c r="L3206" s="14">
        <v>0.0</v>
      </c>
    </row>
    <row r="3207">
      <c r="A3207" s="14">
        <v>248.0</v>
      </c>
      <c r="B3207" s="14">
        <v>2.0</v>
      </c>
      <c r="C3207" s="34">
        <v>10.68</v>
      </c>
      <c r="D3207" s="36">
        <v>45065.0</v>
      </c>
      <c r="E3207" s="24"/>
      <c r="F3207" s="14">
        <v>5.34</v>
      </c>
      <c r="G3207" s="14">
        <v>43.06</v>
      </c>
      <c r="H3207" s="14">
        <v>0.81</v>
      </c>
      <c r="I3207" s="14" t="s">
        <v>6058</v>
      </c>
      <c r="J3207" s="14">
        <v>50.0</v>
      </c>
      <c r="K3207" s="14">
        <v>10.68</v>
      </c>
      <c r="L3207" s="14">
        <v>0.0</v>
      </c>
    </row>
    <row r="3208">
      <c r="A3208" s="14">
        <v>531.0</v>
      </c>
      <c r="B3208" s="14">
        <v>2.0</v>
      </c>
      <c r="C3208" s="34">
        <v>8.83</v>
      </c>
      <c r="D3208" s="36">
        <v>45065.0</v>
      </c>
      <c r="E3208" s="24"/>
      <c r="F3208" s="14">
        <v>4.42</v>
      </c>
      <c r="G3208" s="14">
        <v>16.63</v>
      </c>
      <c r="H3208" s="14">
        <v>0.38</v>
      </c>
      <c r="I3208" s="14" t="s">
        <v>6042</v>
      </c>
      <c r="J3208" s="14">
        <v>100.0</v>
      </c>
      <c r="K3208" s="14">
        <v>4.42</v>
      </c>
      <c r="L3208" s="14">
        <v>0.0</v>
      </c>
    </row>
    <row r="3209">
      <c r="A3209" s="14">
        <v>608.0</v>
      </c>
      <c r="B3209" s="14">
        <v>3.0</v>
      </c>
      <c r="C3209" s="34">
        <v>9.51</v>
      </c>
      <c r="D3209" s="36">
        <v>45065.0</v>
      </c>
      <c r="E3209" s="24"/>
      <c r="F3209" s="14">
        <v>3.17</v>
      </c>
      <c r="G3209" s="14">
        <v>15.64</v>
      </c>
      <c r="H3209" s="14">
        <v>0.49</v>
      </c>
      <c r="I3209" s="14" t="s">
        <v>6062</v>
      </c>
      <c r="J3209" s="14">
        <v>100.0</v>
      </c>
      <c r="K3209" s="14">
        <v>3.17</v>
      </c>
      <c r="L3209" s="14">
        <v>0.0</v>
      </c>
    </row>
    <row r="3210">
      <c r="A3210" s="14">
        <v>2669.0</v>
      </c>
      <c r="B3210" s="14">
        <v>16.0</v>
      </c>
      <c r="C3210" s="34">
        <v>9.94</v>
      </c>
      <c r="D3210" s="36">
        <v>45065.0</v>
      </c>
      <c r="E3210" s="24"/>
      <c r="F3210" s="14">
        <v>0.62</v>
      </c>
      <c r="G3210" s="14">
        <v>3.72</v>
      </c>
      <c r="H3210" s="14">
        <v>0.6</v>
      </c>
      <c r="I3210" s="14" t="s">
        <v>6050</v>
      </c>
      <c r="J3210" s="14">
        <v>37.5</v>
      </c>
      <c r="K3210" s="14">
        <v>1.66</v>
      </c>
      <c r="L3210" s="14">
        <v>0.0</v>
      </c>
    </row>
    <row r="3211">
      <c r="A3211" s="14">
        <v>868.0</v>
      </c>
      <c r="B3211" s="14">
        <v>4.0</v>
      </c>
      <c r="C3211" s="34">
        <v>10.95</v>
      </c>
      <c r="D3211" s="36">
        <v>45065.0</v>
      </c>
      <c r="E3211" s="24"/>
      <c r="F3211" s="14">
        <v>2.74</v>
      </c>
      <c r="G3211" s="14">
        <v>12.62</v>
      </c>
      <c r="H3211" s="14">
        <v>0.46</v>
      </c>
      <c r="I3211" s="14" t="s">
        <v>6051</v>
      </c>
      <c r="J3211" s="14">
        <v>0.0</v>
      </c>
      <c r="K3211" s="14" t="s">
        <v>6012</v>
      </c>
      <c r="L3211" s="14">
        <v>0.0</v>
      </c>
    </row>
    <row r="3212">
      <c r="A3212" s="14">
        <v>55.0</v>
      </c>
      <c r="B3212" s="14">
        <v>2.0</v>
      </c>
      <c r="C3212" s="34">
        <v>10.54</v>
      </c>
      <c r="D3212" s="36">
        <v>45065.0</v>
      </c>
      <c r="E3212" s="24"/>
      <c r="F3212" s="14">
        <v>5.27</v>
      </c>
      <c r="G3212" s="14">
        <v>191.64</v>
      </c>
      <c r="H3212" s="14">
        <v>3.64</v>
      </c>
      <c r="I3212" s="14" t="s">
        <v>6057</v>
      </c>
      <c r="J3212" s="14">
        <v>0.0</v>
      </c>
      <c r="K3212" s="14" t="s">
        <v>6012</v>
      </c>
      <c r="L3212" s="14">
        <v>0.0</v>
      </c>
    </row>
    <row r="3213">
      <c r="A3213" s="14">
        <v>321.0</v>
      </c>
      <c r="B3213" s="14">
        <v>3.0</v>
      </c>
      <c r="C3213" s="34">
        <v>10.47</v>
      </c>
      <c r="D3213" s="36">
        <v>45065.0</v>
      </c>
      <c r="E3213" s="24"/>
      <c r="F3213" s="14">
        <v>3.49</v>
      </c>
      <c r="G3213" s="14">
        <v>32.62</v>
      </c>
      <c r="H3213" s="14">
        <v>0.93</v>
      </c>
      <c r="I3213" s="14" t="s">
        <v>6054</v>
      </c>
      <c r="J3213" s="14">
        <v>33.33</v>
      </c>
      <c r="K3213" s="14">
        <v>10.47</v>
      </c>
      <c r="L3213" s="14">
        <v>0.0</v>
      </c>
    </row>
    <row r="3214">
      <c r="A3214" s="14">
        <v>52.0</v>
      </c>
      <c r="B3214" s="14">
        <v>1.0</v>
      </c>
      <c r="C3214" s="34">
        <v>11.12</v>
      </c>
      <c r="D3214" s="36">
        <v>45065.0</v>
      </c>
      <c r="E3214" s="24"/>
      <c r="F3214" s="14">
        <v>11.12</v>
      </c>
      <c r="G3214" s="14">
        <v>213.85</v>
      </c>
      <c r="H3214" s="14">
        <v>1.92</v>
      </c>
      <c r="I3214" s="14" t="s">
        <v>6059</v>
      </c>
      <c r="J3214" s="14">
        <v>0.0</v>
      </c>
      <c r="K3214" s="14" t="s">
        <v>6012</v>
      </c>
      <c r="L3214" s="14">
        <v>0.0</v>
      </c>
    </row>
    <row r="3215">
      <c r="A3215" s="14">
        <v>38.0</v>
      </c>
      <c r="B3215" s="14">
        <v>0.0</v>
      </c>
      <c r="C3215" s="34">
        <v>5.67</v>
      </c>
      <c r="D3215" s="36">
        <v>45066.0</v>
      </c>
      <c r="E3215" s="24"/>
      <c r="F3215" s="14" t="s">
        <v>6012</v>
      </c>
      <c r="G3215" s="14">
        <v>149.21</v>
      </c>
      <c r="H3215" s="14">
        <v>0.0</v>
      </c>
      <c r="I3215" s="14" t="s">
        <v>6057</v>
      </c>
      <c r="J3215" s="14" t="s">
        <v>6012</v>
      </c>
      <c r="K3215" s="14" t="s">
        <v>6012</v>
      </c>
      <c r="L3215" s="14">
        <v>0.0</v>
      </c>
    </row>
    <row r="3216">
      <c r="A3216" s="14">
        <v>43.0</v>
      </c>
      <c r="B3216" s="14">
        <v>0.0</v>
      </c>
      <c r="C3216" s="34">
        <v>6.31</v>
      </c>
      <c r="D3216" s="36">
        <v>45066.0</v>
      </c>
      <c r="E3216" s="24"/>
      <c r="F3216" s="14" t="s">
        <v>6012</v>
      </c>
      <c r="G3216" s="14">
        <v>146.74</v>
      </c>
      <c r="H3216" s="14">
        <v>0.0</v>
      </c>
      <c r="I3216" s="14" t="s">
        <v>6063</v>
      </c>
      <c r="J3216" s="14" t="s">
        <v>6012</v>
      </c>
      <c r="K3216" s="14" t="s">
        <v>6012</v>
      </c>
      <c r="L3216" s="14">
        <v>0.0</v>
      </c>
    </row>
    <row r="3217">
      <c r="A3217" s="14">
        <v>537.0</v>
      </c>
      <c r="B3217" s="14">
        <v>3.0</v>
      </c>
      <c r="C3217" s="34">
        <v>8.75</v>
      </c>
      <c r="D3217" s="36">
        <v>45066.0</v>
      </c>
      <c r="E3217" s="24"/>
      <c r="F3217" s="14">
        <v>2.92</v>
      </c>
      <c r="G3217" s="14">
        <v>16.29</v>
      </c>
      <c r="H3217" s="14">
        <v>0.56</v>
      </c>
      <c r="I3217" s="14" t="s">
        <v>6042</v>
      </c>
      <c r="J3217" s="14">
        <v>66.67</v>
      </c>
      <c r="K3217" s="14">
        <v>4.38</v>
      </c>
      <c r="L3217" s="14">
        <v>0.0</v>
      </c>
    </row>
    <row r="3218">
      <c r="A3218" s="14">
        <v>30.0</v>
      </c>
      <c r="B3218" s="14">
        <v>0.0</v>
      </c>
      <c r="C3218" s="34">
        <v>6.18</v>
      </c>
      <c r="D3218" s="36">
        <v>45066.0</v>
      </c>
      <c r="E3218" s="24"/>
      <c r="F3218" s="14" t="s">
        <v>6012</v>
      </c>
      <c r="G3218" s="14">
        <v>206.0</v>
      </c>
      <c r="H3218" s="14">
        <v>0.0</v>
      </c>
      <c r="I3218" s="14" t="s">
        <v>6054</v>
      </c>
      <c r="J3218" s="14" t="s">
        <v>6012</v>
      </c>
      <c r="K3218" s="14">
        <v>6.18</v>
      </c>
      <c r="L3218" s="14">
        <v>0.0</v>
      </c>
    </row>
    <row r="3219">
      <c r="A3219" s="14">
        <v>1894.0</v>
      </c>
      <c r="B3219" s="14">
        <v>8.0</v>
      </c>
      <c r="C3219" s="34">
        <v>7.62</v>
      </c>
      <c r="D3219" s="36">
        <v>45066.0</v>
      </c>
      <c r="E3219" s="24"/>
      <c r="F3219" s="14">
        <v>0.95</v>
      </c>
      <c r="G3219" s="14">
        <v>4.02</v>
      </c>
      <c r="H3219" s="14">
        <v>0.42</v>
      </c>
      <c r="I3219" s="14" t="s">
        <v>6050</v>
      </c>
      <c r="J3219" s="14">
        <v>75.0</v>
      </c>
      <c r="K3219" s="14">
        <v>1.27</v>
      </c>
      <c r="L3219" s="14">
        <v>0.0</v>
      </c>
    </row>
    <row r="3220">
      <c r="A3220" s="14">
        <v>266.0</v>
      </c>
      <c r="B3220" s="14">
        <v>1.0</v>
      </c>
      <c r="C3220" s="34">
        <v>8.04</v>
      </c>
      <c r="D3220" s="36">
        <v>45066.0</v>
      </c>
      <c r="E3220" s="24"/>
      <c r="F3220" s="14">
        <v>8.04</v>
      </c>
      <c r="G3220" s="14">
        <v>30.23</v>
      </c>
      <c r="H3220" s="14">
        <v>0.38</v>
      </c>
      <c r="I3220" s="14" t="s">
        <v>6062</v>
      </c>
      <c r="J3220" s="14">
        <v>200.0</v>
      </c>
      <c r="K3220" s="14">
        <v>4.02</v>
      </c>
      <c r="L3220" s="14">
        <v>0.0</v>
      </c>
    </row>
    <row r="3221">
      <c r="A3221" s="14">
        <v>54.0</v>
      </c>
      <c r="B3221" s="14">
        <v>2.0</v>
      </c>
      <c r="C3221" s="34">
        <v>7.11</v>
      </c>
      <c r="D3221" s="36">
        <v>45066.0</v>
      </c>
      <c r="E3221" s="24"/>
      <c r="F3221" s="14">
        <v>3.56</v>
      </c>
      <c r="G3221" s="14">
        <v>131.67</v>
      </c>
      <c r="H3221" s="14">
        <v>3.7</v>
      </c>
      <c r="I3221" s="14" t="s">
        <v>6060</v>
      </c>
      <c r="J3221" s="14">
        <v>100.0</v>
      </c>
      <c r="K3221" s="14">
        <v>3.56</v>
      </c>
      <c r="L3221" s="14">
        <v>0.0</v>
      </c>
    </row>
    <row r="3222">
      <c r="A3222" s="14">
        <v>45.0</v>
      </c>
      <c r="B3222" s="14">
        <v>0.0</v>
      </c>
      <c r="C3222" s="34">
        <v>6.28</v>
      </c>
      <c r="D3222" s="36">
        <v>45066.0</v>
      </c>
      <c r="E3222" s="24"/>
      <c r="F3222" s="14" t="s">
        <v>6012</v>
      </c>
      <c r="G3222" s="14">
        <v>139.56</v>
      </c>
      <c r="H3222" s="14">
        <v>0.0</v>
      </c>
      <c r="I3222" s="14" t="s">
        <v>6058</v>
      </c>
      <c r="J3222" s="14" t="s">
        <v>6012</v>
      </c>
      <c r="K3222" s="14">
        <v>2.09</v>
      </c>
      <c r="L3222" s="14">
        <v>0.0</v>
      </c>
    </row>
    <row r="3223">
      <c r="A3223" s="14">
        <v>307.0</v>
      </c>
      <c r="B3223" s="14">
        <v>4.0</v>
      </c>
      <c r="C3223" s="34">
        <v>6.35</v>
      </c>
      <c r="D3223" s="36">
        <v>45066.0</v>
      </c>
      <c r="E3223" s="24"/>
      <c r="F3223" s="14">
        <v>1.59</v>
      </c>
      <c r="G3223" s="14">
        <v>20.68</v>
      </c>
      <c r="H3223" s="14">
        <v>1.3</v>
      </c>
      <c r="I3223" s="14" t="s">
        <v>6051</v>
      </c>
      <c r="J3223" s="14">
        <v>25.0</v>
      </c>
      <c r="K3223" s="14">
        <v>6.35</v>
      </c>
      <c r="L3223" s="14">
        <v>0.0</v>
      </c>
    </row>
    <row r="3224">
      <c r="A3224" s="14">
        <v>60.0</v>
      </c>
      <c r="B3224" s="14">
        <v>2.0</v>
      </c>
      <c r="C3224" s="34">
        <v>6.35</v>
      </c>
      <c r="D3224" s="36">
        <v>45066.0</v>
      </c>
      <c r="E3224" s="24"/>
      <c r="F3224" s="14">
        <v>3.18</v>
      </c>
      <c r="G3224" s="14">
        <v>105.83</v>
      </c>
      <c r="H3224" s="14">
        <v>3.33</v>
      </c>
      <c r="I3224" s="14" t="s">
        <v>6061</v>
      </c>
      <c r="J3224" s="14">
        <v>0.0</v>
      </c>
      <c r="K3224" s="14" t="s">
        <v>6012</v>
      </c>
      <c r="L3224" s="14">
        <v>0.0</v>
      </c>
    </row>
    <row r="3225">
      <c r="A3225" s="14">
        <v>18.0</v>
      </c>
      <c r="B3225" s="14">
        <v>0.0</v>
      </c>
      <c r="C3225" s="34">
        <v>5.82</v>
      </c>
      <c r="D3225" s="36">
        <v>45066.0</v>
      </c>
      <c r="E3225" s="24"/>
      <c r="F3225" s="14" t="s">
        <v>6012</v>
      </c>
      <c r="G3225" s="14">
        <v>323.33</v>
      </c>
      <c r="H3225" s="14">
        <v>0.0</v>
      </c>
      <c r="I3225" s="14" t="s">
        <v>6059</v>
      </c>
      <c r="J3225" s="14" t="s">
        <v>6012</v>
      </c>
      <c r="K3225" s="14" t="s">
        <v>6012</v>
      </c>
      <c r="L3225" s="14">
        <v>0.0</v>
      </c>
    </row>
    <row r="3226">
      <c r="A3226" s="14">
        <v>46.0</v>
      </c>
      <c r="B3226" s="14">
        <v>0.0</v>
      </c>
      <c r="C3226" s="34">
        <v>4.96</v>
      </c>
      <c r="D3226" s="36">
        <v>45067.0</v>
      </c>
      <c r="E3226" s="24"/>
      <c r="F3226" s="14" t="s">
        <v>6012</v>
      </c>
      <c r="G3226" s="14">
        <v>107.83</v>
      </c>
      <c r="H3226" s="14">
        <v>0.0</v>
      </c>
      <c r="I3226" s="14" t="s">
        <v>6054</v>
      </c>
      <c r="J3226" s="14" t="s">
        <v>6012</v>
      </c>
      <c r="K3226" s="14" t="s">
        <v>6012</v>
      </c>
      <c r="L3226" s="14">
        <v>0.0</v>
      </c>
    </row>
    <row r="3227">
      <c r="A3227" s="14">
        <v>24.0</v>
      </c>
      <c r="B3227" s="14">
        <v>0.0</v>
      </c>
      <c r="C3227" s="34">
        <v>4.86</v>
      </c>
      <c r="D3227" s="36">
        <v>45067.0</v>
      </c>
      <c r="E3227" s="24"/>
      <c r="F3227" s="14" t="s">
        <v>6012</v>
      </c>
      <c r="G3227" s="14">
        <v>202.5</v>
      </c>
      <c r="H3227" s="14">
        <v>0.0</v>
      </c>
      <c r="I3227" s="14" t="s">
        <v>6059</v>
      </c>
      <c r="J3227" s="14" t="s">
        <v>6012</v>
      </c>
      <c r="K3227" s="14" t="s">
        <v>6012</v>
      </c>
      <c r="L3227" s="14">
        <v>0.0</v>
      </c>
    </row>
    <row r="3228">
      <c r="A3228" s="14">
        <v>181.0</v>
      </c>
      <c r="B3228" s="14">
        <v>3.0</v>
      </c>
      <c r="C3228" s="34">
        <v>6.79</v>
      </c>
      <c r="D3228" s="36">
        <v>45067.0</v>
      </c>
      <c r="E3228" s="24"/>
      <c r="F3228" s="14">
        <v>2.26</v>
      </c>
      <c r="G3228" s="14">
        <v>37.51</v>
      </c>
      <c r="H3228" s="14">
        <v>1.66</v>
      </c>
      <c r="I3228" s="14" t="s">
        <v>6062</v>
      </c>
      <c r="J3228" s="14">
        <v>66.67</v>
      </c>
      <c r="K3228" s="14">
        <v>3.4</v>
      </c>
      <c r="L3228" s="14">
        <v>0.0</v>
      </c>
    </row>
    <row r="3229">
      <c r="A3229" s="14">
        <v>62.0</v>
      </c>
      <c r="B3229" s="14">
        <v>1.0</v>
      </c>
      <c r="C3229" s="34">
        <v>5.76</v>
      </c>
      <c r="D3229" s="36">
        <v>45067.0</v>
      </c>
      <c r="E3229" s="24"/>
      <c r="F3229" s="14">
        <v>5.76</v>
      </c>
      <c r="G3229" s="14">
        <v>92.9</v>
      </c>
      <c r="H3229" s="14">
        <v>1.61</v>
      </c>
      <c r="I3229" s="14" t="s">
        <v>6060</v>
      </c>
      <c r="J3229" s="14">
        <v>100.0</v>
      </c>
      <c r="K3229" s="14">
        <v>5.76</v>
      </c>
      <c r="L3229" s="14">
        <v>0.0</v>
      </c>
    </row>
    <row r="3230">
      <c r="A3230" s="14">
        <v>1775.0</v>
      </c>
      <c r="B3230" s="14">
        <v>20.0</v>
      </c>
      <c r="C3230" s="34">
        <v>8.07</v>
      </c>
      <c r="D3230" s="36">
        <v>45067.0</v>
      </c>
      <c r="E3230" s="24"/>
      <c r="F3230" s="14">
        <v>0.4</v>
      </c>
      <c r="G3230" s="14">
        <v>4.55</v>
      </c>
      <c r="H3230" s="14">
        <v>1.13</v>
      </c>
      <c r="I3230" s="14" t="s">
        <v>6050</v>
      </c>
      <c r="J3230" s="14">
        <v>20.0</v>
      </c>
      <c r="K3230" s="14">
        <v>2.02</v>
      </c>
      <c r="L3230" s="14">
        <v>0.0</v>
      </c>
    </row>
    <row r="3231">
      <c r="A3231" s="14">
        <v>416.0</v>
      </c>
      <c r="B3231" s="14">
        <v>9.0</v>
      </c>
      <c r="C3231" s="34">
        <v>5.38</v>
      </c>
      <c r="D3231" s="36">
        <v>45067.0</v>
      </c>
      <c r="E3231" s="24"/>
      <c r="F3231" s="14">
        <v>0.6</v>
      </c>
      <c r="G3231" s="14">
        <v>12.93</v>
      </c>
      <c r="H3231" s="14">
        <v>2.16</v>
      </c>
      <c r="I3231" s="14" t="s">
        <v>6051</v>
      </c>
      <c r="J3231" s="14">
        <v>11.11</v>
      </c>
      <c r="K3231" s="14">
        <v>5.38</v>
      </c>
      <c r="L3231" s="14">
        <v>0.0</v>
      </c>
    </row>
    <row r="3232">
      <c r="A3232" s="14">
        <v>243.0</v>
      </c>
      <c r="B3232" s="14">
        <v>1.0</v>
      </c>
      <c r="C3232" s="34">
        <v>7.76</v>
      </c>
      <c r="D3232" s="36">
        <v>45067.0</v>
      </c>
      <c r="E3232" s="24"/>
      <c r="F3232" s="14">
        <v>7.76</v>
      </c>
      <c r="G3232" s="14">
        <v>31.93</v>
      </c>
      <c r="H3232" s="14">
        <v>0.41</v>
      </c>
      <c r="I3232" s="14" t="s">
        <v>6042</v>
      </c>
      <c r="J3232" s="14">
        <v>200.0</v>
      </c>
      <c r="K3232" s="14">
        <v>3.88</v>
      </c>
      <c r="L3232" s="14">
        <v>0.0</v>
      </c>
    </row>
    <row r="3233">
      <c r="A3233" s="14">
        <v>83.0</v>
      </c>
      <c r="B3233" s="14">
        <v>0.0</v>
      </c>
      <c r="C3233" s="34">
        <v>4.39</v>
      </c>
      <c r="D3233" s="36">
        <v>45067.0</v>
      </c>
      <c r="E3233" s="24"/>
      <c r="F3233" s="14" t="s">
        <v>6012</v>
      </c>
      <c r="G3233" s="14">
        <v>52.89</v>
      </c>
      <c r="H3233" s="14">
        <v>0.0</v>
      </c>
      <c r="I3233" s="14" t="s">
        <v>6061</v>
      </c>
      <c r="J3233" s="14" t="s">
        <v>6012</v>
      </c>
      <c r="K3233" s="14" t="s">
        <v>6012</v>
      </c>
      <c r="L3233" s="14">
        <v>0.0</v>
      </c>
    </row>
    <row r="3234">
      <c r="A3234" s="14">
        <v>58.0</v>
      </c>
      <c r="B3234" s="14">
        <v>0.0</v>
      </c>
      <c r="C3234" s="34">
        <v>4.54</v>
      </c>
      <c r="D3234" s="36">
        <v>45067.0</v>
      </c>
      <c r="E3234" s="24"/>
      <c r="F3234" s="14" t="s">
        <v>6012</v>
      </c>
      <c r="G3234" s="14">
        <v>78.28</v>
      </c>
      <c r="H3234" s="14">
        <v>0.0</v>
      </c>
      <c r="I3234" s="14" t="s">
        <v>6063</v>
      </c>
      <c r="J3234" s="14" t="s">
        <v>6012</v>
      </c>
      <c r="K3234" s="14" t="s">
        <v>6012</v>
      </c>
      <c r="L3234" s="14">
        <v>0.0</v>
      </c>
    </row>
    <row r="3235">
      <c r="A3235" s="14">
        <v>32.0</v>
      </c>
      <c r="B3235" s="14">
        <v>0.0</v>
      </c>
      <c r="C3235" s="34">
        <v>2.59</v>
      </c>
      <c r="D3235" s="36">
        <v>45067.0</v>
      </c>
      <c r="E3235" s="24"/>
      <c r="F3235" s="14" t="s">
        <v>6012</v>
      </c>
      <c r="G3235" s="14">
        <v>80.94</v>
      </c>
      <c r="H3235" s="14">
        <v>0.0</v>
      </c>
      <c r="I3235" s="14" t="s">
        <v>6057</v>
      </c>
      <c r="J3235" s="14" t="s">
        <v>6012</v>
      </c>
      <c r="K3235" s="14" t="s">
        <v>6012</v>
      </c>
      <c r="L3235" s="14">
        <v>0.0</v>
      </c>
    </row>
    <row r="3236">
      <c r="A3236" s="14">
        <v>56.0</v>
      </c>
      <c r="B3236" s="14">
        <v>0.0</v>
      </c>
      <c r="C3236" s="34">
        <v>5.34</v>
      </c>
      <c r="D3236" s="36">
        <v>45067.0</v>
      </c>
      <c r="E3236" s="24"/>
      <c r="F3236" s="14" t="s">
        <v>6012</v>
      </c>
      <c r="G3236" s="14">
        <v>95.36</v>
      </c>
      <c r="H3236" s="14">
        <v>0.0</v>
      </c>
      <c r="I3236" s="14" t="s">
        <v>6058</v>
      </c>
      <c r="J3236" s="14" t="s">
        <v>6012</v>
      </c>
      <c r="K3236" s="14">
        <v>5.34</v>
      </c>
      <c r="L3236" s="14">
        <v>0.0</v>
      </c>
    </row>
    <row r="3237">
      <c r="A3237" s="14">
        <v>217.0</v>
      </c>
      <c r="B3237" s="14">
        <v>0.0</v>
      </c>
      <c r="C3237" s="34">
        <v>11.46</v>
      </c>
      <c r="D3237" s="36">
        <v>45068.0</v>
      </c>
      <c r="E3237" s="24"/>
      <c r="F3237" s="14" t="s">
        <v>6012</v>
      </c>
      <c r="G3237" s="14">
        <v>52.81</v>
      </c>
      <c r="H3237" s="14">
        <v>0.0</v>
      </c>
      <c r="I3237" s="14" t="s">
        <v>6058</v>
      </c>
      <c r="J3237" s="14" t="s">
        <v>6012</v>
      </c>
      <c r="K3237" s="14">
        <v>11.46</v>
      </c>
      <c r="L3237" s="14">
        <v>0.0</v>
      </c>
    </row>
    <row r="3238">
      <c r="A3238" s="14">
        <v>265.0</v>
      </c>
      <c r="B3238" s="14">
        <v>1.0</v>
      </c>
      <c r="C3238" s="34">
        <v>12.04</v>
      </c>
      <c r="D3238" s="36">
        <v>45068.0</v>
      </c>
      <c r="E3238" s="24"/>
      <c r="F3238" s="14">
        <v>12.04</v>
      </c>
      <c r="G3238" s="14">
        <v>45.43</v>
      </c>
      <c r="H3238" s="14">
        <v>0.38</v>
      </c>
      <c r="I3238" s="14" t="s">
        <v>6054</v>
      </c>
      <c r="J3238" s="14">
        <v>0.0</v>
      </c>
      <c r="K3238" s="14" t="s">
        <v>6012</v>
      </c>
      <c r="L3238" s="14">
        <v>0.0</v>
      </c>
    </row>
    <row r="3239">
      <c r="A3239" s="14">
        <v>555.0</v>
      </c>
      <c r="B3239" s="14">
        <v>2.0</v>
      </c>
      <c r="C3239" s="34">
        <v>9.7</v>
      </c>
      <c r="D3239" s="36">
        <v>45068.0</v>
      </c>
      <c r="E3239" s="24"/>
      <c r="F3239" s="14">
        <v>4.85</v>
      </c>
      <c r="G3239" s="14">
        <v>17.48</v>
      </c>
      <c r="H3239" s="14">
        <v>0.36</v>
      </c>
      <c r="I3239" s="14" t="s">
        <v>6042</v>
      </c>
      <c r="J3239" s="14">
        <v>50.0</v>
      </c>
      <c r="K3239" s="14">
        <v>9.7</v>
      </c>
      <c r="L3239" s="14">
        <v>0.0</v>
      </c>
    </row>
    <row r="3240">
      <c r="A3240" s="14">
        <v>361.0</v>
      </c>
      <c r="B3240" s="14">
        <v>4.0</v>
      </c>
      <c r="C3240" s="34">
        <v>11.03</v>
      </c>
      <c r="D3240" s="36">
        <v>45068.0</v>
      </c>
      <c r="E3240" s="24"/>
      <c r="F3240" s="14">
        <v>2.76</v>
      </c>
      <c r="G3240" s="14">
        <v>30.55</v>
      </c>
      <c r="H3240" s="14">
        <v>1.11</v>
      </c>
      <c r="I3240" s="14" t="s">
        <v>6062</v>
      </c>
      <c r="J3240" s="14">
        <v>0.0</v>
      </c>
      <c r="K3240" s="14" t="s">
        <v>6012</v>
      </c>
      <c r="L3240" s="14">
        <v>0.0</v>
      </c>
    </row>
    <row r="3241">
      <c r="A3241" s="14">
        <v>342.0</v>
      </c>
      <c r="B3241" s="14">
        <v>3.0</v>
      </c>
      <c r="C3241" s="34">
        <v>11.3</v>
      </c>
      <c r="D3241" s="36">
        <v>45068.0</v>
      </c>
      <c r="E3241" s="24"/>
      <c r="F3241" s="14">
        <v>3.77</v>
      </c>
      <c r="G3241" s="14">
        <v>33.04</v>
      </c>
      <c r="H3241" s="14">
        <v>0.88</v>
      </c>
      <c r="I3241" s="14" t="s">
        <v>6060</v>
      </c>
      <c r="J3241" s="14">
        <v>0.0</v>
      </c>
      <c r="K3241" s="14" t="s">
        <v>6012</v>
      </c>
      <c r="L3241" s="14">
        <v>0.0</v>
      </c>
    </row>
    <row r="3242">
      <c r="A3242" s="14">
        <v>158.0</v>
      </c>
      <c r="B3242" s="14">
        <v>0.0</v>
      </c>
      <c r="C3242" s="34">
        <v>11.68</v>
      </c>
      <c r="D3242" s="36">
        <v>45068.0</v>
      </c>
      <c r="E3242" s="24"/>
      <c r="F3242" s="14" t="s">
        <v>6012</v>
      </c>
      <c r="G3242" s="14">
        <v>73.92</v>
      </c>
      <c r="H3242" s="14">
        <v>0.0</v>
      </c>
      <c r="I3242" s="14" t="s">
        <v>6063</v>
      </c>
      <c r="J3242" s="14" t="s">
        <v>6012</v>
      </c>
      <c r="K3242" s="14" t="s">
        <v>6012</v>
      </c>
      <c r="L3242" s="14">
        <v>0.0</v>
      </c>
    </row>
    <row r="3243">
      <c r="A3243" s="14">
        <v>1124.0</v>
      </c>
      <c r="B3243" s="14">
        <v>10.0</v>
      </c>
      <c r="C3243" s="34">
        <v>11.79</v>
      </c>
      <c r="D3243" s="36">
        <v>45068.0</v>
      </c>
      <c r="E3243" s="24"/>
      <c r="F3243" s="14">
        <v>1.18</v>
      </c>
      <c r="G3243" s="14">
        <v>10.49</v>
      </c>
      <c r="H3243" s="14">
        <v>0.89</v>
      </c>
      <c r="I3243" s="14" t="s">
        <v>6051</v>
      </c>
      <c r="J3243" s="14">
        <v>20.0</v>
      </c>
      <c r="K3243" s="14">
        <v>5.9</v>
      </c>
      <c r="L3243" s="14">
        <v>0.0</v>
      </c>
    </row>
    <row r="3244">
      <c r="A3244" s="14">
        <v>109.0</v>
      </c>
      <c r="B3244" s="14">
        <v>0.0</v>
      </c>
      <c r="C3244" s="34">
        <v>12.18</v>
      </c>
      <c r="D3244" s="36">
        <v>45068.0</v>
      </c>
      <c r="E3244" s="24"/>
      <c r="F3244" s="14" t="s">
        <v>6012</v>
      </c>
      <c r="G3244" s="14">
        <v>111.74</v>
      </c>
      <c r="H3244" s="14">
        <v>0.0</v>
      </c>
      <c r="I3244" s="14" t="s">
        <v>6057</v>
      </c>
      <c r="J3244" s="14" t="s">
        <v>6012</v>
      </c>
      <c r="K3244" s="14" t="s">
        <v>6012</v>
      </c>
      <c r="L3244" s="14">
        <v>0.0</v>
      </c>
    </row>
    <row r="3245">
      <c r="A3245" s="14">
        <v>185.0</v>
      </c>
      <c r="B3245" s="14">
        <v>3.0</v>
      </c>
      <c r="C3245" s="34">
        <v>11.5</v>
      </c>
      <c r="D3245" s="36">
        <v>45068.0</v>
      </c>
      <c r="E3245" s="24"/>
      <c r="F3245" s="14">
        <v>3.83</v>
      </c>
      <c r="G3245" s="14">
        <v>62.16</v>
      </c>
      <c r="H3245" s="14">
        <v>1.62</v>
      </c>
      <c r="I3245" s="14" t="s">
        <v>6061</v>
      </c>
      <c r="J3245" s="14">
        <v>33.33</v>
      </c>
      <c r="K3245" s="14">
        <v>11.5</v>
      </c>
      <c r="L3245" s="14">
        <v>0.0</v>
      </c>
    </row>
    <row r="3246">
      <c r="A3246" s="14">
        <v>2426.0</v>
      </c>
      <c r="B3246" s="14">
        <v>11.0</v>
      </c>
      <c r="C3246" s="34">
        <v>9.73</v>
      </c>
      <c r="D3246" s="36">
        <v>45068.0</v>
      </c>
      <c r="E3246" s="24"/>
      <c r="F3246" s="14">
        <v>0.88</v>
      </c>
      <c r="G3246" s="14">
        <v>4.01</v>
      </c>
      <c r="H3246" s="14">
        <v>0.45</v>
      </c>
      <c r="I3246" s="14" t="s">
        <v>6050</v>
      </c>
      <c r="J3246" s="14">
        <v>54.55</v>
      </c>
      <c r="K3246" s="14">
        <v>1.62</v>
      </c>
      <c r="L3246" s="14">
        <v>0.0</v>
      </c>
    </row>
    <row r="3247">
      <c r="A3247" s="14">
        <v>64.0</v>
      </c>
      <c r="B3247" s="14">
        <v>1.0</v>
      </c>
      <c r="C3247" s="34">
        <v>12.42</v>
      </c>
      <c r="D3247" s="36">
        <v>45068.0</v>
      </c>
      <c r="E3247" s="24"/>
      <c r="F3247" s="14">
        <v>12.42</v>
      </c>
      <c r="G3247" s="14">
        <v>194.06</v>
      </c>
      <c r="H3247" s="14">
        <v>1.56</v>
      </c>
      <c r="I3247" s="14" t="s">
        <v>6059</v>
      </c>
      <c r="J3247" s="14">
        <v>0.0</v>
      </c>
      <c r="K3247" s="14" t="s">
        <v>6012</v>
      </c>
      <c r="L3247" s="14">
        <v>0.0</v>
      </c>
    </row>
    <row r="3248">
      <c r="A3248" s="14">
        <v>253.0</v>
      </c>
      <c r="B3248" s="14">
        <v>0.0</v>
      </c>
      <c r="C3248" s="34">
        <v>12.13</v>
      </c>
      <c r="D3248" s="36">
        <v>45069.0</v>
      </c>
      <c r="E3248" s="24"/>
      <c r="F3248" s="14" t="s">
        <v>6012</v>
      </c>
      <c r="G3248" s="14">
        <v>47.94</v>
      </c>
      <c r="H3248" s="14">
        <v>0.0</v>
      </c>
      <c r="I3248" s="14" t="s">
        <v>6054</v>
      </c>
      <c r="J3248" s="14" t="s">
        <v>6012</v>
      </c>
      <c r="K3248" s="14" t="s">
        <v>6012</v>
      </c>
      <c r="L3248" s="14">
        <v>0.0</v>
      </c>
    </row>
    <row r="3249">
      <c r="A3249" s="14">
        <v>114.0</v>
      </c>
      <c r="B3249" s="14">
        <v>0.0</v>
      </c>
      <c r="C3249" s="34">
        <v>12.74</v>
      </c>
      <c r="D3249" s="36">
        <v>45069.0</v>
      </c>
      <c r="E3249" s="24"/>
      <c r="F3249" s="14" t="s">
        <v>6012</v>
      </c>
      <c r="G3249" s="14">
        <v>111.75</v>
      </c>
      <c r="H3249" s="14">
        <v>0.0</v>
      </c>
      <c r="I3249" s="14" t="s">
        <v>6063</v>
      </c>
      <c r="J3249" s="14" t="s">
        <v>6012</v>
      </c>
      <c r="K3249" s="14" t="s">
        <v>6012</v>
      </c>
      <c r="L3249" s="14">
        <v>0.0</v>
      </c>
    </row>
    <row r="3250">
      <c r="A3250" s="14">
        <v>218.0</v>
      </c>
      <c r="B3250" s="14">
        <v>2.0</v>
      </c>
      <c r="C3250" s="34">
        <v>12.06</v>
      </c>
      <c r="D3250" s="36">
        <v>45069.0</v>
      </c>
      <c r="E3250" s="24"/>
      <c r="F3250" s="14">
        <v>6.03</v>
      </c>
      <c r="G3250" s="14">
        <v>55.32</v>
      </c>
      <c r="H3250" s="14">
        <v>0.92</v>
      </c>
      <c r="I3250" s="14" t="s">
        <v>6058</v>
      </c>
      <c r="J3250" s="14">
        <v>0.0</v>
      </c>
      <c r="K3250" s="14" t="s">
        <v>6012</v>
      </c>
      <c r="L3250" s="14">
        <v>0.0</v>
      </c>
    </row>
    <row r="3251">
      <c r="A3251" s="14">
        <v>639.0</v>
      </c>
      <c r="B3251" s="14">
        <v>2.0</v>
      </c>
      <c r="C3251" s="34">
        <v>13.28</v>
      </c>
      <c r="D3251" s="36">
        <v>45069.0</v>
      </c>
      <c r="E3251" s="24"/>
      <c r="F3251" s="14">
        <v>6.64</v>
      </c>
      <c r="G3251" s="14">
        <v>20.78</v>
      </c>
      <c r="H3251" s="14">
        <v>0.31</v>
      </c>
      <c r="I3251" s="14" t="s">
        <v>6042</v>
      </c>
      <c r="J3251" s="14">
        <v>0.0</v>
      </c>
      <c r="K3251" s="14" t="s">
        <v>6012</v>
      </c>
      <c r="L3251" s="14">
        <v>0.0</v>
      </c>
    </row>
    <row r="3252">
      <c r="A3252" s="14">
        <v>260.0</v>
      </c>
      <c r="B3252" s="14">
        <v>4.0</v>
      </c>
      <c r="C3252" s="34">
        <v>12.38</v>
      </c>
      <c r="D3252" s="36">
        <v>45069.0</v>
      </c>
      <c r="E3252" s="24"/>
      <c r="F3252" s="14">
        <v>3.1</v>
      </c>
      <c r="G3252" s="14">
        <v>47.62</v>
      </c>
      <c r="H3252" s="14">
        <v>1.54</v>
      </c>
      <c r="I3252" s="14" t="s">
        <v>6061</v>
      </c>
      <c r="J3252" s="14">
        <v>25.0</v>
      </c>
      <c r="K3252" s="14">
        <v>12.38</v>
      </c>
      <c r="L3252" s="14">
        <v>0.0</v>
      </c>
    </row>
    <row r="3253">
      <c r="A3253" s="14">
        <v>108.0</v>
      </c>
      <c r="B3253" s="14">
        <v>1.0</v>
      </c>
      <c r="C3253" s="34">
        <v>12.49</v>
      </c>
      <c r="D3253" s="36">
        <v>45069.0</v>
      </c>
      <c r="E3253" s="24"/>
      <c r="F3253" s="14">
        <v>12.49</v>
      </c>
      <c r="G3253" s="14">
        <v>115.65</v>
      </c>
      <c r="H3253" s="14">
        <v>0.93</v>
      </c>
      <c r="I3253" s="14" t="s">
        <v>6057</v>
      </c>
      <c r="J3253" s="14">
        <v>0.0</v>
      </c>
      <c r="K3253" s="14" t="s">
        <v>6012</v>
      </c>
      <c r="L3253" s="14">
        <v>0.0</v>
      </c>
    </row>
    <row r="3254">
      <c r="A3254" s="14">
        <v>302.0</v>
      </c>
      <c r="B3254" s="14">
        <v>3.0</v>
      </c>
      <c r="C3254" s="34">
        <v>11.83</v>
      </c>
      <c r="D3254" s="36">
        <v>45069.0</v>
      </c>
      <c r="E3254" s="24"/>
      <c r="F3254" s="14">
        <v>3.94</v>
      </c>
      <c r="G3254" s="14">
        <v>39.17</v>
      </c>
      <c r="H3254" s="14">
        <v>0.99</v>
      </c>
      <c r="I3254" s="14" t="s">
        <v>6062</v>
      </c>
      <c r="J3254" s="14">
        <v>33.33</v>
      </c>
      <c r="K3254" s="14">
        <v>11.83</v>
      </c>
      <c r="L3254" s="14">
        <v>0.0</v>
      </c>
    </row>
    <row r="3255">
      <c r="A3255" s="14">
        <v>58.0</v>
      </c>
      <c r="B3255" s="14">
        <v>0.0</v>
      </c>
      <c r="C3255" s="34">
        <v>12.22</v>
      </c>
      <c r="D3255" s="36">
        <v>45069.0</v>
      </c>
      <c r="E3255" s="24"/>
      <c r="F3255" s="14" t="s">
        <v>6012</v>
      </c>
      <c r="G3255" s="14">
        <v>210.69</v>
      </c>
      <c r="H3255" s="14">
        <v>0.0</v>
      </c>
      <c r="I3255" s="14" t="s">
        <v>6059</v>
      </c>
      <c r="J3255" s="14" t="s">
        <v>6012</v>
      </c>
      <c r="K3255" s="14">
        <v>12.22</v>
      </c>
      <c r="L3255" s="14">
        <v>0.0</v>
      </c>
    </row>
    <row r="3256">
      <c r="A3256" s="14">
        <v>403.0</v>
      </c>
      <c r="B3256" s="14">
        <v>7.0</v>
      </c>
      <c r="C3256" s="34">
        <v>11.78</v>
      </c>
      <c r="D3256" s="36">
        <v>45069.0</v>
      </c>
      <c r="E3256" s="24"/>
      <c r="F3256" s="14">
        <v>1.68</v>
      </c>
      <c r="G3256" s="14">
        <v>29.23</v>
      </c>
      <c r="H3256" s="14">
        <v>1.74</v>
      </c>
      <c r="I3256" s="14" t="s">
        <v>6060</v>
      </c>
      <c r="J3256" s="14">
        <v>28.57</v>
      </c>
      <c r="K3256" s="14">
        <v>5.89</v>
      </c>
      <c r="L3256" s="14">
        <v>0.0</v>
      </c>
    </row>
    <row r="3257">
      <c r="A3257" s="14">
        <v>2332.0</v>
      </c>
      <c r="B3257" s="14">
        <v>13.0</v>
      </c>
      <c r="C3257" s="34">
        <v>9.52</v>
      </c>
      <c r="D3257" s="36">
        <v>45069.0</v>
      </c>
      <c r="E3257" s="24"/>
      <c r="F3257" s="14">
        <v>0.73</v>
      </c>
      <c r="G3257" s="14">
        <v>4.08</v>
      </c>
      <c r="H3257" s="14">
        <v>0.56</v>
      </c>
      <c r="I3257" s="14" t="s">
        <v>6050</v>
      </c>
      <c r="J3257" s="14">
        <v>92.31</v>
      </c>
      <c r="K3257" s="14">
        <v>0.79</v>
      </c>
      <c r="L3257" s="14">
        <v>0.0</v>
      </c>
    </row>
    <row r="3258">
      <c r="A3258" s="14">
        <v>1260.0</v>
      </c>
      <c r="B3258" s="14">
        <v>13.0</v>
      </c>
      <c r="C3258" s="34">
        <v>12.34</v>
      </c>
      <c r="D3258" s="36">
        <v>45069.0</v>
      </c>
      <c r="E3258" s="24"/>
      <c r="F3258" s="14">
        <v>0.95</v>
      </c>
      <c r="G3258" s="14">
        <v>9.79</v>
      </c>
      <c r="H3258" s="14">
        <v>1.03</v>
      </c>
      <c r="I3258" s="14" t="s">
        <v>6051</v>
      </c>
      <c r="J3258" s="14">
        <v>23.08</v>
      </c>
      <c r="K3258" s="14">
        <v>4.11</v>
      </c>
      <c r="L3258" s="14">
        <v>0.0</v>
      </c>
    </row>
    <row r="3259">
      <c r="A3259" s="14">
        <v>2038.0</v>
      </c>
      <c r="B3259" s="14">
        <v>21.0</v>
      </c>
      <c r="C3259" s="34">
        <v>12.1</v>
      </c>
      <c r="D3259" s="36">
        <v>45070.0</v>
      </c>
      <c r="E3259" s="24"/>
      <c r="F3259" s="14">
        <v>0.58</v>
      </c>
      <c r="G3259" s="14">
        <v>5.94</v>
      </c>
      <c r="H3259" s="14">
        <v>1.03</v>
      </c>
      <c r="I3259" s="14" t="s">
        <v>6050</v>
      </c>
      <c r="J3259" s="14">
        <v>71.43</v>
      </c>
      <c r="K3259" s="14">
        <v>0.81</v>
      </c>
      <c r="L3259" s="14">
        <v>0.0</v>
      </c>
    </row>
    <row r="3260">
      <c r="A3260" s="14">
        <v>423.0</v>
      </c>
      <c r="B3260" s="14">
        <v>1.0</v>
      </c>
      <c r="C3260" s="34">
        <v>11.11</v>
      </c>
      <c r="D3260" s="36">
        <v>45070.0</v>
      </c>
      <c r="E3260" s="24"/>
      <c r="F3260" s="14">
        <v>11.11</v>
      </c>
      <c r="G3260" s="14">
        <v>26.26</v>
      </c>
      <c r="H3260" s="14">
        <v>0.24</v>
      </c>
      <c r="I3260" s="14" t="s">
        <v>6062</v>
      </c>
      <c r="J3260" s="14">
        <v>300.0</v>
      </c>
      <c r="K3260" s="14">
        <v>3.7</v>
      </c>
      <c r="L3260" s="14">
        <v>0.0</v>
      </c>
    </row>
    <row r="3261">
      <c r="A3261" s="14">
        <v>122.0</v>
      </c>
      <c r="B3261" s="14">
        <v>2.0</v>
      </c>
      <c r="C3261" s="34">
        <v>11.92</v>
      </c>
      <c r="D3261" s="36">
        <v>45070.0</v>
      </c>
      <c r="E3261" s="24"/>
      <c r="F3261" s="14">
        <v>5.96</v>
      </c>
      <c r="G3261" s="14">
        <v>97.7</v>
      </c>
      <c r="H3261" s="14">
        <v>1.64</v>
      </c>
      <c r="I3261" s="14" t="s">
        <v>6063</v>
      </c>
      <c r="J3261" s="14">
        <v>0.0</v>
      </c>
      <c r="K3261" s="14" t="s">
        <v>6012</v>
      </c>
      <c r="L3261" s="14">
        <v>0.0</v>
      </c>
    </row>
    <row r="3262">
      <c r="A3262" s="14">
        <v>465.0</v>
      </c>
      <c r="B3262" s="14">
        <v>5.0</v>
      </c>
      <c r="C3262" s="34">
        <v>11.85</v>
      </c>
      <c r="D3262" s="36">
        <v>45070.0</v>
      </c>
      <c r="E3262" s="24"/>
      <c r="F3262" s="14">
        <v>2.37</v>
      </c>
      <c r="G3262" s="14">
        <v>25.48</v>
      </c>
      <c r="H3262" s="14">
        <v>1.08</v>
      </c>
      <c r="I3262" s="14" t="s">
        <v>6060</v>
      </c>
      <c r="J3262" s="14">
        <v>60.0</v>
      </c>
      <c r="K3262" s="14">
        <v>3.95</v>
      </c>
      <c r="L3262" s="14">
        <v>0.0</v>
      </c>
    </row>
    <row r="3263">
      <c r="A3263" s="14">
        <v>184.0</v>
      </c>
      <c r="B3263" s="14">
        <v>0.0</v>
      </c>
      <c r="C3263" s="34">
        <v>12.35</v>
      </c>
      <c r="D3263" s="36">
        <v>45070.0</v>
      </c>
      <c r="E3263" s="24"/>
      <c r="F3263" s="14" t="s">
        <v>6012</v>
      </c>
      <c r="G3263" s="14">
        <v>67.12</v>
      </c>
      <c r="H3263" s="14">
        <v>0.0</v>
      </c>
      <c r="I3263" s="14" t="s">
        <v>6058</v>
      </c>
      <c r="J3263" s="14" t="s">
        <v>6012</v>
      </c>
      <c r="K3263" s="14" t="s">
        <v>6012</v>
      </c>
      <c r="L3263" s="14">
        <v>0.0</v>
      </c>
    </row>
    <row r="3264">
      <c r="A3264" s="14">
        <v>275.0</v>
      </c>
      <c r="B3264" s="14">
        <v>2.0</v>
      </c>
      <c r="C3264" s="34">
        <v>13.93</v>
      </c>
      <c r="D3264" s="36">
        <v>45070.0</v>
      </c>
      <c r="E3264" s="24"/>
      <c r="F3264" s="14">
        <v>6.96</v>
      </c>
      <c r="G3264" s="14">
        <v>50.65</v>
      </c>
      <c r="H3264" s="14">
        <v>0.73</v>
      </c>
      <c r="I3264" s="14" t="s">
        <v>6042</v>
      </c>
      <c r="J3264" s="14">
        <v>50.0</v>
      </c>
      <c r="K3264" s="14">
        <v>13.93</v>
      </c>
      <c r="L3264" s="14">
        <v>0.0</v>
      </c>
    </row>
    <row r="3265">
      <c r="A3265" s="14">
        <v>1108.0</v>
      </c>
      <c r="B3265" s="14">
        <v>12.0</v>
      </c>
      <c r="C3265" s="34">
        <v>11.88</v>
      </c>
      <c r="D3265" s="36">
        <v>45070.0</v>
      </c>
      <c r="E3265" s="24"/>
      <c r="F3265" s="14">
        <v>0.99</v>
      </c>
      <c r="G3265" s="14">
        <v>10.72</v>
      </c>
      <c r="H3265" s="14">
        <v>1.08</v>
      </c>
      <c r="I3265" s="14" t="s">
        <v>6051</v>
      </c>
      <c r="J3265" s="14">
        <v>66.67</v>
      </c>
      <c r="K3265" s="14">
        <v>1.48</v>
      </c>
      <c r="L3265" s="14">
        <v>0.0</v>
      </c>
    </row>
    <row r="3266">
      <c r="A3266" s="14">
        <v>183.0</v>
      </c>
      <c r="B3266" s="14">
        <v>2.0</v>
      </c>
      <c r="C3266" s="34">
        <v>11.83</v>
      </c>
      <c r="D3266" s="36">
        <v>45070.0</v>
      </c>
      <c r="E3266" s="24"/>
      <c r="F3266" s="14">
        <v>5.92</v>
      </c>
      <c r="G3266" s="14">
        <v>64.64</v>
      </c>
      <c r="H3266" s="14">
        <v>1.09</v>
      </c>
      <c r="I3266" s="14" t="s">
        <v>6061</v>
      </c>
      <c r="J3266" s="14">
        <v>150.0</v>
      </c>
      <c r="K3266" s="14">
        <v>3.94</v>
      </c>
      <c r="L3266" s="14">
        <v>0.0</v>
      </c>
    </row>
    <row r="3267">
      <c r="A3267" s="14">
        <v>548.0</v>
      </c>
      <c r="B3267" s="14">
        <v>3.0</v>
      </c>
      <c r="C3267" s="34">
        <v>12.16</v>
      </c>
      <c r="D3267" s="36">
        <v>45070.0</v>
      </c>
      <c r="E3267" s="24"/>
      <c r="F3267" s="14">
        <v>4.05</v>
      </c>
      <c r="G3267" s="14">
        <v>22.19</v>
      </c>
      <c r="H3267" s="14">
        <v>0.55</v>
      </c>
      <c r="I3267" s="14" t="s">
        <v>6054</v>
      </c>
      <c r="J3267" s="14">
        <v>0.0</v>
      </c>
      <c r="K3267" s="14" t="s">
        <v>6012</v>
      </c>
      <c r="L3267" s="14">
        <v>0.0</v>
      </c>
    </row>
    <row r="3268">
      <c r="A3268" s="14">
        <v>70.0</v>
      </c>
      <c r="B3268" s="14">
        <v>0.0</v>
      </c>
      <c r="C3268" s="34">
        <v>13.13</v>
      </c>
      <c r="D3268" s="36">
        <v>45070.0</v>
      </c>
      <c r="E3268" s="24"/>
      <c r="F3268" s="14" t="s">
        <v>6012</v>
      </c>
      <c r="G3268" s="14">
        <v>187.57</v>
      </c>
      <c r="H3268" s="14">
        <v>0.0</v>
      </c>
      <c r="I3268" s="14" t="s">
        <v>6059</v>
      </c>
      <c r="J3268" s="14" t="s">
        <v>6012</v>
      </c>
      <c r="K3268" s="14">
        <v>6.56</v>
      </c>
      <c r="L3268" s="14">
        <v>0.0</v>
      </c>
    </row>
    <row r="3269">
      <c r="A3269" s="14">
        <v>77.0</v>
      </c>
      <c r="B3269" s="14">
        <v>1.0</v>
      </c>
      <c r="C3269" s="34">
        <v>12.61</v>
      </c>
      <c r="D3269" s="36">
        <v>45070.0</v>
      </c>
      <c r="E3269" s="24"/>
      <c r="F3269" s="14">
        <v>12.61</v>
      </c>
      <c r="G3269" s="14">
        <v>163.77</v>
      </c>
      <c r="H3269" s="14">
        <v>1.3</v>
      </c>
      <c r="I3269" s="14" t="s">
        <v>6057</v>
      </c>
      <c r="J3269" s="14">
        <v>0.0</v>
      </c>
      <c r="K3269" s="14" t="s">
        <v>6012</v>
      </c>
      <c r="L3269" s="14">
        <v>0.0</v>
      </c>
    </row>
    <row r="3270">
      <c r="A3270" s="14">
        <v>43.0</v>
      </c>
      <c r="B3270" s="14">
        <v>1.0</v>
      </c>
      <c r="C3270" s="34">
        <v>14.09</v>
      </c>
      <c r="D3270" s="36">
        <v>45071.0</v>
      </c>
      <c r="E3270" s="24"/>
      <c r="F3270" s="14">
        <v>14.09</v>
      </c>
      <c r="G3270" s="14">
        <v>327.67</v>
      </c>
      <c r="H3270" s="14">
        <v>2.33</v>
      </c>
      <c r="I3270" s="14" t="s">
        <v>6059</v>
      </c>
      <c r="J3270" s="14">
        <v>100.0</v>
      </c>
      <c r="K3270" s="14">
        <v>14.09</v>
      </c>
      <c r="L3270" s="14">
        <v>0.0</v>
      </c>
    </row>
    <row r="3271">
      <c r="A3271" s="14">
        <v>290.0</v>
      </c>
      <c r="B3271" s="14">
        <v>0.0</v>
      </c>
      <c r="C3271" s="34">
        <v>12.79</v>
      </c>
      <c r="D3271" s="36">
        <v>45071.0</v>
      </c>
      <c r="E3271" s="24"/>
      <c r="F3271" s="14" t="s">
        <v>6012</v>
      </c>
      <c r="G3271" s="14">
        <v>44.1</v>
      </c>
      <c r="H3271" s="14">
        <v>0.0</v>
      </c>
      <c r="I3271" s="14" t="s">
        <v>6042</v>
      </c>
      <c r="J3271" s="14" t="s">
        <v>6012</v>
      </c>
      <c r="K3271" s="14">
        <v>12.79</v>
      </c>
      <c r="L3271" s="14">
        <v>0.0</v>
      </c>
    </row>
    <row r="3272">
      <c r="A3272" s="14">
        <v>468.0</v>
      </c>
      <c r="B3272" s="14">
        <v>2.0</v>
      </c>
      <c r="C3272" s="34">
        <v>11.7</v>
      </c>
      <c r="D3272" s="36">
        <v>45071.0</v>
      </c>
      <c r="E3272" s="24"/>
      <c r="F3272" s="14">
        <v>5.85</v>
      </c>
      <c r="G3272" s="14">
        <v>25.0</v>
      </c>
      <c r="H3272" s="14">
        <v>0.43</v>
      </c>
      <c r="I3272" s="14" t="s">
        <v>6054</v>
      </c>
      <c r="J3272" s="14">
        <v>0.0</v>
      </c>
      <c r="K3272" s="14" t="s">
        <v>6012</v>
      </c>
      <c r="L3272" s="14">
        <v>0.0</v>
      </c>
    </row>
    <row r="3273">
      <c r="A3273" s="14">
        <v>444.0</v>
      </c>
      <c r="B3273" s="14">
        <v>7.0</v>
      </c>
      <c r="C3273" s="34">
        <v>11.89</v>
      </c>
      <c r="D3273" s="36">
        <v>45071.0</v>
      </c>
      <c r="E3273" s="24"/>
      <c r="F3273" s="14">
        <v>1.7</v>
      </c>
      <c r="G3273" s="14">
        <v>26.78</v>
      </c>
      <c r="H3273" s="14">
        <v>1.58</v>
      </c>
      <c r="I3273" s="14" t="s">
        <v>6060</v>
      </c>
      <c r="J3273" s="14">
        <v>57.14</v>
      </c>
      <c r="K3273" s="14">
        <v>2.97</v>
      </c>
      <c r="L3273" s="14">
        <v>0.0</v>
      </c>
    </row>
    <row r="3274">
      <c r="A3274" s="14">
        <v>1910.0</v>
      </c>
      <c r="B3274" s="14">
        <v>12.0</v>
      </c>
      <c r="C3274" s="34">
        <v>10.32</v>
      </c>
      <c r="D3274" s="36">
        <v>45071.0</v>
      </c>
      <c r="E3274" s="24"/>
      <c r="F3274" s="14">
        <v>0.86</v>
      </c>
      <c r="G3274" s="14">
        <v>5.4</v>
      </c>
      <c r="H3274" s="14">
        <v>0.63</v>
      </c>
      <c r="I3274" s="14" t="s">
        <v>6050</v>
      </c>
      <c r="J3274" s="14">
        <v>100.0</v>
      </c>
      <c r="K3274" s="14">
        <v>0.86</v>
      </c>
      <c r="L3274" s="14">
        <v>0.0</v>
      </c>
    </row>
    <row r="3275">
      <c r="A3275" s="14">
        <v>181.0</v>
      </c>
      <c r="B3275" s="14">
        <v>0.0</v>
      </c>
      <c r="C3275" s="34">
        <v>12.98</v>
      </c>
      <c r="D3275" s="36">
        <v>45071.0</v>
      </c>
      <c r="E3275" s="24"/>
      <c r="F3275" s="14" t="s">
        <v>6012</v>
      </c>
      <c r="G3275" s="14">
        <v>71.71</v>
      </c>
      <c r="H3275" s="14">
        <v>0.0</v>
      </c>
      <c r="I3275" s="14" t="s">
        <v>6058</v>
      </c>
      <c r="J3275" s="14" t="s">
        <v>6012</v>
      </c>
      <c r="K3275" s="14">
        <v>12.98</v>
      </c>
      <c r="L3275" s="14">
        <v>0.0</v>
      </c>
    </row>
    <row r="3276">
      <c r="A3276" s="14">
        <v>69.0</v>
      </c>
      <c r="B3276" s="14">
        <v>1.0</v>
      </c>
      <c r="C3276" s="34">
        <v>11.99</v>
      </c>
      <c r="D3276" s="36">
        <v>45071.0</v>
      </c>
      <c r="E3276" s="24"/>
      <c r="F3276" s="14">
        <v>11.99</v>
      </c>
      <c r="G3276" s="14">
        <v>173.77</v>
      </c>
      <c r="H3276" s="14">
        <v>1.45</v>
      </c>
      <c r="I3276" s="14" t="s">
        <v>6057</v>
      </c>
      <c r="J3276" s="14">
        <v>0.0</v>
      </c>
      <c r="K3276" s="14" t="s">
        <v>6012</v>
      </c>
      <c r="L3276" s="14">
        <v>0.0</v>
      </c>
    </row>
    <row r="3277">
      <c r="A3277" s="14">
        <v>115.0</v>
      </c>
      <c r="B3277" s="14">
        <v>0.0</v>
      </c>
      <c r="C3277" s="34">
        <v>12.62</v>
      </c>
      <c r="D3277" s="36">
        <v>45071.0</v>
      </c>
      <c r="E3277" s="24"/>
      <c r="F3277" s="14" t="s">
        <v>6012</v>
      </c>
      <c r="G3277" s="14">
        <v>109.74</v>
      </c>
      <c r="H3277" s="14">
        <v>0.0</v>
      </c>
      <c r="I3277" s="14" t="s">
        <v>6063</v>
      </c>
      <c r="J3277" s="14" t="s">
        <v>6012</v>
      </c>
      <c r="K3277" s="14">
        <v>12.62</v>
      </c>
      <c r="L3277" s="14">
        <v>0.0</v>
      </c>
    </row>
    <row r="3278">
      <c r="A3278" s="14">
        <v>939.0</v>
      </c>
      <c r="B3278" s="14">
        <v>8.0</v>
      </c>
      <c r="C3278" s="34">
        <v>11.98</v>
      </c>
      <c r="D3278" s="36">
        <v>45071.0</v>
      </c>
      <c r="E3278" s="24"/>
      <c r="F3278" s="14">
        <v>1.5</v>
      </c>
      <c r="G3278" s="14">
        <v>12.76</v>
      </c>
      <c r="H3278" s="14">
        <v>0.85</v>
      </c>
      <c r="I3278" s="14" t="s">
        <v>6051</v>
      </c>
      <c r="J3278" s="14">
        <v>0.0</v>
      </c>
      <c r="K3278" s="14" t="s">
        <v>6012</v>
      </c>
      <c r="L3278" s="14">
        <v>0.0</v>
      </c>
    </row>
    <row r="3279">
      <c r="A3279" s="14">
        <v>457.0</v>
      </c>
      <c r="B3279" s="14">
        <v>3.0</v>
      </c>
      <c r="C3279" s="34">
        <v>11.1</v>
      </c>
      <c r="D3279" s="36">
        <v>45071.0</v>
      </c>
      <c r="E3279" s="24"/>
      <c r="F3279" s="14">
        <v>3.7</v>
      </c>
      <c r="G3279" s="14">
        <v>24.29</v>
      </c>
      <c r="H3279" s="14">
        <v>0.66</v>
      </c>
      <c r="I3279" s="14" t="s">
        <v>6062</v>
      </c>
      <c r="J3279" s="14">
        <v>100.0</v>
      </c>
      <c r="K3279" s="14">
        <v>3.7</v>
      </c>
      <c r="L3279" s="14">
        <v>0.0</v>
      </c>
    </row>
    <row r="3280">
      <c r="A3280" s="14">
        <v>215.0</v>
      </c>
      <c r="B3280" s="14">
        <v>2.0</v>
      </c>
      <c r="C3280" s="34">
        <v>12.56</v>
      </c>
      <c r="D3280" s="36">
        <v>45071.0</v>
      </c>
      <c r="E3280" s="24"/>
      <c r="F3280" s="14">
        <v>6.28</v>
      </c>
      <c r="G3280" s="14">
        <v>58.42</v>
      </c>
      <c r="H3280" s="14">
        <v>0.93</v>
      </c>
      <c r="I3280" s="14" t="s">
        <v>6061</v>
      </c>
      <c r="J3280" s="14">
        <v>100.0</v>
      </c>
      <c r="K3280" s="14">
        <v>6.28</v>
      </c>
      <c r="L3280" s="14">
        <v>0.0</v>
      </c>
    </row>
    <row r="3281">
      <c r="A3281" s="14">
        <v>41.0</v>
      </c>
      <c r="B3281" s="14">
        <v>1.0</v>
      </c>
      <c r="C3281" s="34">
        <v>9.56</v>
      </c>
      <c r="D3281" s="36">
        <v>45072.0</v>
      </c>
      <c r="E3281" s="24"/>
      <c r="F3281" s="14">
        <v>9.56</v>
      </c>
      <c r="G3281" s="14">
        <v>233.17</v>
      </c>
      <c r="H3281" s="14">
        <v>2.44</v>
      </c>
      <c r="I3281" s="14" t="s">
        <v>6059</v>
      </c>
      <c r="J3281" s="14">
        <v>100.0</v>
      </c>
      <c r="K3281" s="14">
        <v>9.56</v>
      </c>
      <c r="L3281" s="14">
        <v>0.0</v>
      </c>
    </row>
    <row r="3282">
      <c r="A3282" s="14">
        <v>69.0</v>
      </c>
      <c r="B3282" s="14">
        <v>0.0</v>
      </c>
      <c r="C3282" s="34">
        <v>12.37</v>
      </c>
      <c r="D3282" s="36">
        <v>45072.0</v>
      </c>
      <c r="E3282" s="24"/>
      <c r="F3282" s="14" t="s">
        <v>6012</v>
      </c>
      <c r="G3282" s="14">
        <v>179.28</v>
      </c>
      <c r="H3282" s="14">
        <v>0.0</v>
      </c>
      <c r="I3282" s="14" t="s">
        <v>6057</v>
      </c>
      <c r="J3282" s="14" t="s">
        <v>6012</v>
      </c>
      <c r="K3282" s="14" t="s">
        <v>6012</v>
      </c>
      <c r="L3282" s="14">
        <v>0.0</v>
      </c>
    </row>
    <row r="3283">
      <c r="A3283" s="14">
        <v>124.0</v>
      </c>
      <c r="B3283" s="14">
        <v>5.0</v>
      </c>
      <c r="C3283" s="34">
        <v>11.87</v>
      </c>
      <c r="D3283" s="36">
        <v>45072.0</v>
      </c>
      <c r="E3283" s="24"/>
      <c r="F3283" s="14">
        <v>2.37</v>
      </c>
      <c r="G3283" s="14">
        <v>95.73</v>
      </c>
      <c r="H3283" s="14">
        <v>4.03</v>
      </c>
      <c r="I3283" s="14" t="s">
        <v>6061</v>
      </c>
      <c r="J3283" s="14">
        <v>60.0</v>
      </c>
      <c r="K3283" s="14">
        <v>3.96</v>
      </c>
      <c r="L3283" s="14">
        <v>0.0</v>
      </c>
    </row>
    <row r="3284">
      <c r="A3284" s="14">
        <v>144.0</v>
      </c>
      <c r="B3284" s="14">
        <v>2.0</v>
      </c>
      <c r="C3284" s="34">
        <v>10.33</v>
      </c>
      <c r="D3284" s="36">
        <v>45072.0</v>
      </c>
      <c r="E3284" s="24"/>
      <c r="F3284" s="14">
        <v>5.16</v>
      </c>
      <c r="G3284" s="14">
        <v>71.74</v>
      </c>
      <c r="H3284" s="14">
        <v>1.39</v>
      </c>
      <c r="I3284" s="14" t="s">
        <v>6058</v>
      </c>
      <c r="J3284" s="14">
        <v>0.0</v>
      </c>
      <c r="K3284" s="14" t="s">
        <v>6012</v>
      </c>
      <c r="L3284" s="14">
        <v>0.0</v>
      </c>
    </row>
    <row r="3285">
      <c r="A3285" s="14">
        <v>941.0</v>
      </c>
      <c r="B3285" s="14">
        <v>11.0</v>
      </c>
      <c r="C3285" s="34">
        <v>10.9</v>
      </c>
      <c r="D3285" s="36">
        <v>45072.0</v>
      </c>
      <c r="E3285" s="24"/>
      <c r="F3285" s="14">
        <v>0.99</v>
      </c>
      <c r="G3285" s="14">
        <v>11.58</v>
      </c>
      <c r="H3285" s="14">
        <v>1.17</v>
      </c>
      <c r="I3285" s="14" t="s">
        <v>6051</v>
      </c>
      <c r="J3285" s="14">
        <v>0.0</v>
      </c>
      <c r="K3285" s="14" t="s">
        <v>6012</v>
      </c>
      <c r="L3285" s="14">
        <v>0.0</v>
      </c>
    </row>
    <row r="3286">
      <c r="A3286" s="14">
        <v>72.0</v>
      </c>
      <c r="B3286" s="14">
        <v>0.0</v>
      </c>
      <c r="C3286" s="34">
        <v>10.9</v>
      </c>
      <c r="D3286" s="36">
        <v>45072.0</v>
      </c>
      <c r="E3286" s="24"/>
      <c r="F3286" s="14" t="s">
        <v>6012</v>
      </c>
      <c r="G3286" s="14">
        <v>151.39</v>
      </c>
      <c r="H3286" s="14">
        <v>0.0</v>
      </c>
      <c r="I3286" s="14" t="s">
        <v>6063</v>
      </c>
      <c r="J3286" s="14" t="s">
        <v>6012</v>
      </c>
      <c r="K3286" s="14">
        <v>10.9</v>
      </c>
      <c r="L3286" s="14">
        <v>0.0</v>
      </c>
    </row>
    <row r="3287">
      <c r="A3287" s="14">
        <v>392.0</v>
      </c>
      <c r="B3287" s="14">
        <v>2.0</v>
      </c>
      <c r="C3287" s="34">
        <v>11.49</v>
      </c>
      <c r="D3287" s="36">
        <v>45072.0</v>
      </c>
      <c r="E3287" s="24"/>
      <c r="F3287" s="14">
        <v>5.74</v>
      </c>
      <c r="G3287" s="14">
        <v>29.31</v>
      </c>
      <c r="H3287" s="14">
        <v>0.51</v>
      </c>
      <c r="I3287" s="14" t="s">
        <v>6062</v>
      </c>
      <c r="J3287" s="14">
        <v>100.0</v>
      </c>
      <c r="K3287" s="14">
        <v>5.74</v>
      </c>
      <c r="L3287" s="14">
        <v>0.0</v>
      </c>
    </row>
    <row r="3288">
      <c r="A3288" s="14">
        <v>492.0</v>
      </c>
      <c r="B3288" s="14">
        <v>6.0</v>
      </c>
      <c r="C3288" s="34">
        <v>10.73</v>
      </c>
      <c r="D3288" s="36">
        <v>45072.0</v>
      </c>
      <c r="E3288" s="24"/>
      <c r="F3288" s="14">
        <v>1.79</v>
      </c>
      <c r="G3288" s="14">
        <v>21.81</v>
      </c>
      <c r="H3288" s="14">
        <v>1.22</v>
      </c>
      <c r="I3288" s="14" t="s">
        <v>6060</v>
      </c>
      <c r="J3288" s="14">
        <v>33.33</v>
      </c>
      <c r="K3288" s="14">
        <v>5.36</v>
      </c>
      <c r="L3288" s="14">
        <v>0.0</v>
      </c>
    </row>
    <row r="3289">
      <c r="A3289" s="14">
        <v>447.0</v>
      </c>
      <c r="B3289" s="14">
        <v>1.0</v>
      </c>
      <c r="C3289" s="34">
        <v>11.27</v>
      </c>
      <c r="D3289" s="36">
        <v>45072.0</v>
      </c>
      <c r="E3289" s="24"/>
      <c r="F3289" s="14">
        <v>11.27</v>
      </c>
      <c r="G3289" s="14">
        <v>25.21</v>
      </c>
      <c r="H3289" s="14">
        <v>0.22</v>
      </c>
      <c r="I3289" s="14" t="s">
        <v>6054</v>
      </c>
      <c r="J3289" s="14">
        <v>100.0</v>
      </c>
      <c r="K3289" s="14">
        <v>11.27</v>
      </c>
      <c r="L3289" s="14">
        <v>0.0</v>
      </c>
    </row>
    <row r="3290">
      <c r="A3290" s="14">
        <v>2231.0</v>
      </c>
      <c r="B3290" s="14">
        <v>11.0</v>
      </c>
      <c r="C3290" s="34">
        <v>11.07</v>
      </c>
      <c r="D3290" s="36">
        <v>45072.0</v>
      </c>
      <c r="E3290" s="24"/>
      <c r="F3290" s="14">
        <v>1.01</v>
      </c>
      <c r="G3290" s="14">
        <v>4.96</v>
      </c>
      <c r="H3290" s="14">
        <v>0.49</v>
      </c>
      <c r="I3290" s="14" t="s">
        <v>6050</v>
      </c>
      <c r="J3290" s="14">
        <v>36.36</v>
      </c>
      <c r="K3290" s="14">
        <v>2.77</v>
      </c>
      <c r="L3290" s="14">
        <v>0.0</v>
      </c>
    </row>
    <row r="3291">
      <c r="A3291" s="14">
        <v>106.0</v>
      </c>
      <c r="B3291" s="14">
        <v>0.0</v>
      </c>
      <c r="C3291" s="34">
        <v>12.65</v>
      </c>
      <c r="D3291" s="36">
        <v>45072.0</v>
      </c>
      <c r="E3291" s="24"/>
      <c r="F3291" s="14" t="s">
        <v>6012</v>
      </c>
      <c r="G3291" s="14">
        <v>119.34</v>
      </c>
      <c r="H3291" s="14">
        <v>0.0</v>
      </c>
      <c r="I3291" s="14" t="s">
        <v>6042</v>
      </c>
      <c r="J3291" s="14" t="s">
        <v>6012</v>
      </c>
      <c r="K3291" s="14" t="s">
        <v>6012</v>
      </c>
      <c r="L3291" s="14">
        <v>0.0</v>
      </c>
    </row>
    <row r="3292">
      <c r="A3292" s="14">
        <v>43.0</v>
      </c>
      <c r="B3292" s="14">
        <v>0.0</v>
      </c>
      <c r="C3292" s="34">
        <v>6.36</v>
      </c>
      <c r="D3292" s="36">
        <v>45073.0</v>
      </c>
      <c r="E3292" s="24"/>
      <c r="F3292" s="14" t="s">
        <v>6012</v>
      </c>
      <c r="G3292" s="14">
        <v>147.91</v>
      </c>
      <c r="H3292" s="14">
        <v>0.0</v>
      </c>
      <c r="I3292" s="14" t="s">
        <v>6058</v>
      </c>
      <c r="J3292" s="14" t="s">
        <v>6012</v>
      </c>
      <c r="K3292" s="14">
        <v>6.36</v>
      </c>
      <c r="L3292" s="14">
        <v>0.0</v>
      </c>
    </row>
    <row r="3293">
      <c r="A3293" s="14">
        <v>109.0</v>
      </c>
      <c r="B3293" s="14">
        <v>1.0</v>
      </c>
      <c r="C3293" s="34">
        <v>6.8</v>
      </c>
      <c r="D3293" s="36">
        <v>45073.0</v>
      </c>
      <c r="E3293" s="24"/>
      <c r="F3293" s="14">
        <v>6.8</v>
      </c>
      <c r="G3293" s="14">
        <v>62.39</v>
      </c>
      <c r="H3293" s="14">
        <v>0.92</v>
      </c>
      <c r="I3293" s="14" t="s">
        <v>6054</v>
      </c>
      <c r="J3293" s="14">
        <v>100.0</v>
      </c>
      <c r="K3293" s="14">
        <v>6.8</v>
      </c>
      <c r="L3293" s="14">
        <v>0.0</v>
      </c>
    </row>
    <row r="3294">
      <c r="A3294" s="14">
        <v>159.0</v>
      </c>
      <c r="B3294" s="14">
        <v>1.0</v>
      </c>
      <c r="C3294" s="34">
        <v>8.71</v>
      </c>
      <c r="D3294" s="36">
        <v>45073.0</v>
      </c>
      <c r="E3294" s="24"/>
      <c r="F3294" s="14">
        <v>8.71</v>
      </c>
      <c r="G3294" s="14">
        <v>54.78</v>
      </c>
      <c r="H3294" s="14">
        <v>0.63</v>
      </c>
      <c r="I3294" s="14" t="s">
        <v>6042</v>
      </c>
      <c r="J3294" s="14">
        <v>100.0</v>
      </c>
      <c r="K3294" s="14">
        <v>8.71</v>
      </c>
      <c r="L3294" s="14">
        <v>0.0</v>
      </c>
    </row>
    <row r="3295">
      <c r="A3295" s="14">
        <v>22.0</v>
      </c>
      <c r="B3295" s="14">
        <v>0.0</v>
      </c>
      <c r="C3295" s="34">
        <v>8.0</v>
      </c>
      <c r="D3295" s="36">
        <v>45073.0</v>
      </c>
      <c r="E3295" s="24"/>
      <c r="F3295" s="14" t="s">
        <v>6012</v>
      </c>
      <c r="G3295" s="14">
        <v>363.64</v>
      </c>
      <c r="H3295" s="14">
        <v>0.0</v>
      </c>
      <c r="I3295" s="14" t="s">
        <v>6059</v>
      </c>
      <c r="J3295" s="14" t="s">
        <v>6012</v>
      </c>
      <c r="K3295" s="14" t="s">
        <v>6012</v>
      </c>
      <c r="L3295" s="14">
        <v>0.0</v>
      </c>
    </row>
    <row r="3296">
      <c r="A3296" s="14">
        <v>29.0</v>
      </c>
      <c r="B3296" s="14">
        <v>0.0</v>
      </c>
      <c r="C3296" s="34">
        <v>5.66</v>
      </c>
      <c r="D3296" s="36">
        <v>45073.0</v>
      </c>
      <c r="E3296" s="24"/>
      <c r="F3296" s="14" t="s">
        <v>6012</v>
      </c>
      <c r="G3296" s="14">
        <v>195.17</v>
      </c>
      <c r="H3296" s="14">
        <v>0.0</v>
      </c>
      <c r="I3296" s="14" t="s">
        <v>6057</v>
      </c>
      <c r="J3296" s="14" t="s">
        <v>6012</v>
      </c>
      <c r="K3296" s="14" t="s">
        <v>6012</v>
      </c>
      <c r="L3296" s="14">
        <v>0.0</v>
      </c>
    </row>
    <row r="3297">
      <c r="A3297" s="14">
        <v>219.0</v>
      </c>
      <c r="B3297" s="14">
        <v>3.0</v>
      </c>
      <c r="C3297" s="34">
        <v>6.88</v>
      </c>
      <c r="D3297" s="36">
        <v>45073.0</v>
      </c>
      <c r="E3297" s="24"/>
      <c r="F3297" s="14">
        <v>2.29</v>
      </c>
      <c r="G3297" s="14">
        <v>31.42</v>
      </c>
      <c r="H3297" s="14">
        <v>1.37</v>
      </c>
      <c r="I3297" s="14" t="s">
        <v>6062</v>
      </c>
      <c r="J3297" s="14">
        <v>33.33</v>
      </c>
      <c r="K3297" s="14">
        <v>6.88</v>
      </c>
      <c r="L3297" s="14">
        <v>0.0</v>
      </c>
    </row>
    <row r="3298">
      <c r="A3298" s="14">
        <v>31.0</v>
      </c>
      <c r="B3298" s="14">
        <v>0.0</v>
      </c>
      <c r="C3298" s="34">
        <v>6.54</v>
      </c>
      <c r="D3298" s="36">
        <v>45073.0</v>
      </c>
      <c r="E3298" s="24"/>
      <c r="F3298" s="14" t="s">
        <v>6012</v>
      </c>
      <c r="G3298" s="14">
        <v>210.97</v>
      </c>
      <c r="H3298" s="14">
        <v>0.0</v>
      </c>
      <c r="I3298" s="14" t="s">
        <v>6063</v>
      </c>
      <c r="J3298" s="14" t="s">
        <v>6012</v>
      </c>
      <c r="K3298" s="14" t="s">
        <v>6012</v>
      </c>
      <c r="L3298" s="14">
        <v>0.0</v>
      </c>
    </row>
    <row r="3299">
      <c r="A3299" s="14">
        <v>1419.0</v>
      </c>
      <c r="B3299" s="14">
        <v>5.0</v>
      </c>
      <c r="C3299" s="34">
        <v>8.66</v>
      </c>
      <c r="D3299" s="36">
        <v>45073.0</v>
      </c>
      <c r="E3299" s="24"/>
      <c r="F3299" s="14">
        <v>1.73</v>
      </c>
      <c r="G3299" s="14">
        <v>6.1</v>
      </c>
      <c r="H3299" s="14">
        <v>0.35</v>
      </c>
      <c r="I3299" s="14" t="s">
        <v>6050</v>
      </c>
      <c r="J3299" s="14">
        <v>40.0</v>
      </c>
      <c r="K3299" s="14">
        <v>4.33</v>
      </c>
      <c r="L3299" s="14">
        <v>0.0</v>
      </c>
    </row>
    <row r="3300">
      <c r="A3300" s="14">
        <v>56.0</v>
      </c>
      <c r="B3300" s="14">
        <v>2.0</v>
      </c>
      <c r="C3300" s="34">
        <v>5.76</v>
      </c>
      <c r="D3300" s="36">
        <v>45073.0</v>
      </c>
      <c r="E3300" s="24"/>
      <c r="F3300" s="14">
        <v>2.88</v>
      </c>
      <c r="G3300" s="14">
        <v>102.86</v>
      </c>
      <c r="H3300" s="14">
        <v>3.57</v>
      </c>
      <c r="I3300" s="14" t="s">
        <v>6061</v>
      </c>
      <c r="J3300" s="14">
        <v>0.0</v>
      </c>
      <c r="K3300" s="14" t="s">
        <v>6012</v>
      </c>
      <c r="L3300" s="14">
        <v>0.0</v>
      </c>
    </row>
    <row r="3301">
      <c r="A3301" s="14">
        <v>331.0</v>
      </c>
      <c r="B3301" s="14">
        <v>3.0</v>
      </c>
      <c r="C3301" s="34">
        <v>5.97</v>
      </c>
      <c r="D3301" s="36">
        <v>45073.0</v>
      </c>
      <c r="E3301" s="24"/>
      <c r="F3301" s="14">
        <v>1.99</v>
      </c>
      <c r="G3301" s="14">
        <v>18.04</v>
      </c>
      <c r="H3301" s="14">
        <v>0.91</v>
      </c>
      <c r="I3301" s="14" t="s">
        <v>6051</v>
      </c>
      <c r="J3301" s="14">
        <v>0.0</v>
      </c>
      <c r="K3301" s="14" t="s">
        <v>6012</v>
      </c>
      <c r="L3301" s="14">
        <v>0.0</v>
      </c>
    </row>
    <row r="3302">
      <c r="A3302" s="14">
        <v>278.0</v>
      </c>
      <c r="B3302" s="14">
        <v>1.0</v>
      </c>
      <c r="C3302" s="34">
        <v>6.45</v>
      </c>
      <c r="D3302" s="36">
        <v>45073.0</v>
      </c>
      <c r="E3302" s="24"/>
      <c r="F3302" s="14">
        <v>6.45</v>
      </c>
      <c r="G3302" s="14">
        <v>23.2</v>
      </c>
      <c r="H3302" s="14">
        <v>0.36</v>
      </c>
      <c r="I3302" s="14" t="s">
        <v>6060</v>
      </c>
      <c r="J3302" s="14">
        <v>200.0</v>
      </c>
      <c r="K3302" s="14">
        <v>3.22</v>
      </c>
      <c r="L3302" s="14">
        <v>0.0</v>
      </c>
    </row>
    <row r="3303">
      <c r="A3303" s="14">
        <v>27.0</v>
      </c>
      <c r="B3303" s="14">
        <v>0.0</v>
      </c>
      <c r="C3303" s="34">
        <v>3.6</v>
      </c>
      <c r="D3303" s="36">
        <v>45074.0</v>
      </c>
      <c r="E3303" s="24"/>
      <c r="F3303" s="14" t="s">
        <v>6012</v>
      </c>
      <c r="G3303" s="14">
        <v>133.33</v>
      </c>
      <c r="H3303" s="14">
        <v>0.0</v>
      </c>
      <c r="I3303" s="14" t="s">
        <v>6063</v>
      </c>
      <c r="J3303" s="14" t="s">
        <v>6012</v>
      </c>
      <c r="K3303" s="14" t="s">
        <v>6012</v>
      </c>
      <c r="L3303" s="14">
        <v>0.0</v>
      </c>
    </row>
    <row r="3304">
      <c r="A3304" s="14">
        <v>106.0</v>
      </c>
      <c r="B3304" s="14">
        <v>3.0</v>
      </c>
      <c r="C3304" s="34">
        <v>6.0</v>
      </c>
      <c r="D3304" s="36">
        <v>45074.0</v>
      </c>
      <c r="E3304" s="24"/>
      <c r="F3304" s="14">
        <v>2.0</v>
      </c>
      <c r="G3304" s="14">
        <v>56.6</v>
      </c>
      <c r="H3304" s="14">
        <v>2.83</v>
      </c>
      <c r="I3304" s="14" t="s">
        <v>6060</v>
      </c>
      <c r="J3304" s="14">
        <v>33.33</v>
      </c>
      <c r="K3304" s="14">
        <v>6.0</v>
      </c>
      <c r="L3304" s="14">
        <v>0.0</v>
      </c>
    </row>
    <row r="3305">
      <c r="A3305" s="14">
        <v>109.0</v>
      </c>
      <c r="B3305" s="14">
        <v>0.0</v>
      </c>
      <c r="C3305" s="34">
        <v>5.94</v>
      </c>
      <c r="D3305" s="36">
        <v>45074.0</v>
      </c>
      <c r="E3305" s="24"/>
      <c r="F3305" s="14" t="s">
        <v>6012</v>
      </c>
      <c r="G3305" s="14">
        <v>54.5</v>
      </c>
      <c r="H3305" s="14">
        <v>0.0</v>
      </c>
      <c r="I3305" s="14" t="s">
        <v>6042</v>
      </c>
      <c r="J3305" s="14" t="s">
        <v>6012</v>
      </c>
      <c r="K3305" s="14" t="s">
        <v>6012</v>
      </c>
      <c r="L3305" s="14">
        <v>0.0</v>
      </c>
    </row>
    <row r="3306">
      <c r="A3306" s="14">
        <v>10.0</v>
      </c>
      <c r="B3306" s="14">
        <v>0.0</v>
      </c>
      <c r="C3306" s="34">
        <v>0.58</v>
      </c>
      <c r="D3306" s="36">
        <v>45074.0</v>
      </c>
      <c r="E3306" s="24"/>
      <c r="F3306" s="14" t="s">
        <v>6012</v>
      </c>
      <c r="G3306" s="14">
        <v>58.0</v>
      </c>
      <c r="H3306" s="14">
        <v>0.0</v>
      </c>
      <c r="I3306" s="14" t="s">
        <v>6059</v>
      </c>
      <c r="J3306" s="14" t="s">
        <v>6012</v>
      </c>
      <c r="K3306" s="14" t="s">
        <v>6012</v>
      </c>
      <c r="L3306" s="14">
        <v>0.0</v>
      </c>
    </row>
    <row r="3307">
      <c r="A3307" s="14">
        <v>22.0</v>
      </c>
      <c r="B3307" s="14">
        <v>1.0</v>
      </c>
      <c r="C3307" s="34">
        <v>2.7</v>
      </c>
      <c r="D3307" s="36">
        <v>45074.0</v>
      </c>
      <c r="E3307" s="24"/>
      <c r="F3307" s="14">
        <v>2.7</v>
      </c>
      <c r="G3307" s="14">
        <v>122.73</v>
      </c>
      <c r="H3307" s="14">
        <v>4.55</v>
      </c>
      <c r="I3307" s="14" t="s">
        <v>6057</v>
      </c>
      <c r="J3307" s="14">
        <v>0.0</v>
      </c>
      <c r="K3307" s="14" t="s">
        <v>6012</v>
      </c>
      <c r="L3307" s="14">
        <v>0.0</v>
      </c>
    </row>
    <row r="3308">
      <c r="A3308" s="14">
        <v>78.0</v>
      </c>
      <c r="B3308" s="14">
        <v>0.0</v>
      </c>
      <c r="C3308" s="34">
        <v>3.9</v>
      </c>
      <c r="D3308" s="36">
        <v>45074.0</v>
      </c>
      <c r="E3308" s="24"/>
      <c r="F3308" s="14" t="s">
        <v>6012</v>
      </c>
      <c r="G3308" s="14">
        <v>50.0</v>
      </c>
      <c r="H3308" s="14">
        <v>0.0</v>
      </c>
      <c r="I3308" s="14" t="s">
        <v>6054</v>
      </c>
      <c r="J3308" s="14" t="s">
        <v>6012</v>
      </c>
      <c r="K3308" s="14" t="s">
        <v>6012</v>
      </c>
      <c r="L3308" s="14">
        <v>0.0</v>
      </c>
    </row>
    <row r="3309">
      <c r="A3309" s="14">
        <v>429.0</v>
      </c>
      <c r="B3309" s="14">
        <v>6.0</v>
      </c>
      <c r="C3309" s="34">
        <v>5.14</v>
      </c>
      <c r="D3309" s="36">
        <v>45074.0</v>
      </c>
      <c r="E3309" s="24"/>
      <c r="F3309" s="14">
        <v>0.86</v>
      </c>
      <c r="G3309" s="14">
        <v>11.98</v>
      </c>
      <c r="H3309" s="14">
        <v>1.4</v>
      </c>
      <c r="I3309" s="14" t="s">
        <v>6051</v>
      </c>
      <c r="J3309" s="14">
        <v>16.67</v>
      </c>
      <c r="K3309" s="14">
        <v>5.14</v>
      </c>
      <c r="L3309" s="14">
        <v>0.0</v>
      </c>
    </row>
    <row r="3310">
      <c r="A3310" s="14">
        <v>1424.0</v>
      </c>
      <c r="B3310" s="14">
        <v>13.0</v>
      </c>
      <c r="C3310" s="34">
        <v>8.6</v>
      </c>
      <c r="D3310" s="36">
        <v>45074.0</v>
      </c>
      <c r="E3310" s="24"/>
      <c r="F3310" s="14">
        <v>0.66</v>
      </c>
      <c r="G3310" s="14">
        <v>6.04</v>
      </c>
      <c r="H3310" s="14">
        <v>0.91</v>
      </c>
      <c r="I3310" s="14" t="s">
        <v>6050</v>
      </c>
      <c r="J3310" s="14">
        <v>15.38</v>
      </c>
      <c r="K3310" s="14">
        <v>4.3</v>
      </c>
      <c r="L3310" s="14">
        <v>0.0</v>
      </c>
    </row>
    <row r="3311">
      <c r="A3311" s="14">
        <v>41.0</v>
      </c>
      <c r="B3311" s="14">
        <v>2.0</v>
      </c>
      <c r="C3311" s="34">
        <v>4.1</v>
      </c>
      <c r="D3311" s="36">
        <v>45074.0</v>
      </c>
      <c r="E3311" s="24"/>
      <c r="F3311" s="14">
        <v>2.05</v>
      </c>
      <c r="G3311" s="14">
        <v>100.0</v>
      </c>
      <c r="H3311" s="14">
        <v>4.88</v>
      </c>
      <c r="I3311" s="14" t="s">
        <v>6061</v>
      </c>
      <c r="J3311" s="14">
        <v>0.0</v>
      </c>
      <c r="K3311" s="14" t="s">
        <v>6012</v>
      </c>
      <c r="L3311" s="14">
        <v>0.0</v>
      </c>
    </row>
    <row r="3312">
      <c r="A3312" s="14">
        <v>44.0</v>
      </c>
      <c r="B3312" s="14">
        <v>0.0</v>
      </c>
      <c r="C3312" s="34">
        <v>4.46</v>
      </c>
      <c r="D3312" s="36">
        <v>45074.0</v>
      </c>
      <c r="E3312" s="24"/>
      <c r="F3312" s="14" t="s">
        <v>6012</v>
      </c>
      <c r="G3312" s="14">
        <v>101.36</v>
      </c>
      <c r="H3312" s="14">
        <v>0.0</v>
      </c>
      <c r="I3312" s="14" t="s">
        <v>6058</v>
      </c>
      <c r="J3312" s="14" t="s">
        <v>6012</v>
      </c>
      <c r="K3312" s="14" t="s">
        <v>6012</v>
      </c>
      <c r="L3312" s="14">
        <v>0.0</v>
      </c>
    </row>
    <row r="3313">
      <c r="A3313" s="14">
        <v>228.0</v>
      </c>
      <c r="B3313" s="14">
        <v>1.0</v>
      </c>
      <c r="C3313" s="34">
        <v>6.56</v>
      </c>
      <c r="D3313" s="36">
        <v>45074.0</v>
      </c>
      <c r="E3313" s="24"/>
      <c r="F3313" s="14">
        <v>6.56</v>
      </c>
      <c r="G3313" s="14">
        <v>28.77</v>
      </c>
      <c r="H3313" s="14">
        <v>0.44</v>
      </c>
      <c r="I3313" s="14" t="s">
        <v>6062</v>
      </c>
      <c r="J3313" s="14">
        <v>100.0</v>
      </c>
      <c r="K3313" s="14">
        <v>6.56</v>
      </c>
      <c r="L3313" s="14">
        <v>0.0</v>
      </c>
    </row>
    <row r="3314">
      <c r="A3314" s="14">
        <v>343.0</v>
      </c>
      <c r="B3314" s="14">
        <v>3.0</v>
      </c>
      <c r="C3314" s="34">
        <v>12.06</v>
      </c>
      <c r="D3314" s="36">
        <v>45075.0</v>
      </c>
      <c r="E3314" s="24"/>
      <c r="F3314" s="14">
        <v>4.02</v>
      </c>
      <c r="G3314" s="14">
        <v>35.16</v>
      </c>
      <c r="H3314" s="14">
        <v>0.87</v>
      </c>
      <c r="I3314" s="14" t="s">
        <v>6054</v>
      </c>
      <c r="J3314" s="14">
        <v>0.0</v>
      </c>
      <c r="K3314" s="14" t="s">
        <v>6012</v>
      </c>
      <c r="L3314" s="14">
        <v>0.0</v>
      </c>
    </row>
    <row r="3315">
      <c r="A3315" s="14">
        <v>43.0</v>
      </c>
      <c r="B3315" s="14">
        <v>0.0</v>
      </c>
      <c r="C3315" s="34">
        <v>12.05</v>
      </c>
      <c r="D3315" s="36">
        <v>45075.0</v>
      </c>
      <c r="E3315" s="24"/>
      <c r="F3315" s="14" t="s">
        <v>6012</v>
      </c>
      <c r="G3315" s="14">
        <v>280.23</v>
      </c>
      <c r="H3315" s="14">
        <v>0.0</v>
      </c>
      <c r="I3315" s="14" t="s">
        <v>6059</v>
      </c>
      <c r="J3315" s="14" t="s">
        <v>6012</v>
      </c>
      <c r="K3315" s="14" t="s">
        <v>6012</v>
      </c>
      <c r="L3315" s="14">
        <v>0.0</v>
      </c>
    </row>
    <row r="3316">
      <c r="A3316" s="14">
        <v>495.0</v>
      </c>
      <c r="B3316" s="14">
        <v>9.0</v>
      </c>
      <c r="C3316" s="34">
        <v>11.99</v>
      </c>
      <c r="D3316" s="36">
        <v>45075.0</v>
      </c>
      <c r="E3316" s="24"/>
      <c r="F3316" s="14">
        <v>1.33</v>
      </c>
      <c r="G3316" s="14">
        <v>24.22</v>
      </c>
      <c r="H3316" s="14">
        <v>1.82</v>
      </c>
      <c r="I3316" s="14" t="s">
        <v>6060</v>
      </c>
      <c r="J3316" s="14">
        <v>44.44</v>
      </c>
      <c r="K3316" s="14">
        <v>3.0</v>
      </c>
      <c r="L3316" s="14">
        <v>0.0</v>
      </c>
    </row>
    <row r="3317">
      <c r="A3317" s="14">
        <v>387.0</v>
      </c>
      <c r="B3317" s="14">
        <v>1.0</v>
      </c>
      <c r="C3317" s="34">
        <v>12.99</v>
      </c>
      <c r="D3317" s="36">
        <v>45075.0</v>
      </c>
      <c r="E3317" s="24"/>
      <c r="F3317" s="14">
        <v>12.99</v>
      </c>
      <c r="G3317" s="14">
        <v>33.57</v>
      </c>
      <c r="H3317" s="14">
        <v>0.26</v>
      </c>
      <c r="I3317" s="14" t="s">
        <v>6042</v>
      </c>
      <c r="J3317" s="14">
        <v>0.0</v>
      </c>
      <c r="K3317" s="14" t="s">
        <v>6012</v>
      </c>
      <c r="L3317" s="14">
        <v>0.0</v>
      </c>
    </row>
    <row r="3318">
      <c r="A3318" s="14">
        <v>119.0</v>
      </c>
      <c r="B3318" s="14">
        <v>1.0</v>
      </c>
      <c r="C3318" s="34">
        <v>11.48</v>
      </c>
      <c r="D3318" s="36">
        <v>45075.0</v>
      </c>
      <c r="E3318" s="24"/>
      <c r="F3318" s="14">
        <v>11.48</v>
      </c>
      <c r="G3318" s="14">
        <v>96.47</v>
      </c>
      <c r="H3318" s="14">
        <v>0.84</v>
      </c>
      <c r="I3318" s="14" t="s">
        <v>6058</v>
      </c>
      <c r="J3318" s="14">
        <v>100.0</v>
      </c>
      <c r="K3318" s="14">
        <v>11.48</v>
      </c>
      <c r="L3318" s="14">
        <v>0.0</v>
      </c>
    </row>
    <row r="3319">
      <c r="A3319" s="14">
        <v>80.0</v>
      </c>
      <c r="B3319" s="14">
        <v>0.0</v>
      </c>
      <c r="C3319" s="34">
        <v>11.59</v>
      </c>
      <c r="D3319" s="36">
        <v>45075.0</v>
      </c>
      <c r="E3319" s="24"/>
      <c r="F3319" s="14" t="s">
        <v>6012</v>
      </c>
      <c r="G3319" s="14">
        <v>144.88</v>
      </c>
      <c r="H3319" s="14">
        <v>0.0</v>
      </c>
      <c r="I3319" s="14" t="s">
        <v>6061</v>
      </c>
      <c r="J3319" s="14" t="s">
        <v>6012</v>
      </c>
      <c r="K3319" s="14" t="s">
        <v>6012</v>
      </c>
      <c r="L3319" s="14">
        <v>0.0</v>
      </c>
    </row>
    <row r="3320">
      <c r="A3320" s="14">
        <v>892.0</v>
      </c>
      <c r="B3320" s="14">
        <v>12.0</v>
      </c>
      <c r="C3320" s="34">
        <v>11.5</v>
      </c>
      <c r="D3320" s="36">
        <v>45075.0</v>
      </c>
      <c r="E3320" s="24"/>
      <c r="F3320" s="14">
        <v>0.96</v>
      </c>
      <c r="G3320" s="14">
        <v>12.89</v>
      </c>
      <c r="H3320" s="14">
        <v>1.35</v>
      </c>
      <c r="I3320" s="14" t="s">
        <v>6051</v>
      </c>
      <c r="J3320" s="14">
        <v>16.67</v>
      </c>
      <c r="K3320" s="14">
        <v>5.75</v>
      </c>
      <c r="L3320" s="14">
        <v>0.0</v>
      </c>
    </row>
    <row r="3321">
      <c r="A3321" s="14">
        <v>1492.0</v>
      </c>
      <c r="B3321" s="14">
        <v>6.0</v>
      </c>
      <c r="C3321" s="34">
        <v>9.59</v>
      </c>
      <c r="D3321" s="36">
        <v>45075.0</v>
      </c>
      <c r="E3321" s="24"/>
      <c r="F3321" s="14">
        <v>1.6</v>
      </c>
      <c r="G3321" s="14">
        <v>6.43</v>
      </c>
      <c r="H3321" s="14">
        <v>0.4</v>
      </c>
      <c r="I3321" s="14" t="s">
        <v>6050</v>
      </c>
      <c r="J3321" s="14">
        <v>16.67</v>
      </c>
      <c r="K3321" s="14">
        <v>9.59</v>
      </c>
      <c r="L3321" s="14">
        <v>0.0</v>
      </c>
    </row>
    <row r="3322">
      <c r="A3322" s="14">
        <v>109.0</v>
      </c>
      <c r="B3322" s="14">
        <v>0.0</v>
      </c>
      <c r="C3322" s="34">
        <v>13.9</v>
      </c>
      <c r="D3322" s="36">
        <v>45075.0</v>
      </c>
      <c r="E3322" s="24"/>
      <c r="F3322" s="14" t="s">
        <v>6012</v>
      </c>
      <c r="G3322" s="14">
        <v>127.52</v>
      </c>
      <c r="H3322" s="14">
        <v>0.0</v>
      </c>
      <c r="I3322" s="14" t="s">
        <v>6063</v>
      </c>
      <c r="J3322" s="14" t="s">
        <v>6012</v>
      </c>
      <c r="K3322" s="14" t="s">
        <v>6012</v>
      </c>
      <c r="L3322" s="14">
        <v>0.0</v>
      </c>
    </row>
    <row r="3323">
      <c r="A3323" s="14">
        <v>305.0</v>
      </c>
      <c r="B3323" s="14">
        <v>2.0</v>
      </c>
      <c r="C3323" s="34">
        <v>11.37</v>
      </c>
      <c r="D3323" s="36">
        <v>45075.0</v>
      </c>
      <c r="E3323" s="24"/>
      <c r="F3323" s="14">
        <v>5.68</v>
      </c>
      <c r="G3323" s="14">
        <v>37.28</v>
      </c>
      <c r="H3323" s="14">
        <v>0.66</v>
      </c>
      <c r="I3323" s="14" t="s">
        <v>6062</v>
      </c>
      <c r="J3323" s="14">
        <v>100.0</v>
      </c>
      <c r="K3323" s="14">
        <v>5.68</v>
      </c>
      <c r="L3323" s="14">
        <v>0.0</v>
      </c>
    </row>
    <row r="3324">
      <c r="A3324" s="14">
        <v>63.0</v>
      </c>
      <c r="B3324" s="14">
        <v>1.0</v>
      </c>
      <c r="C3324" s="34">
        <v>11.74</v>
      </c>
      <c r="D3324" s="36">
        <v>45075.0</v>
      </c>
      <c r="E3324" s="24"/>
      <c r="F3324" s="14">
        <v>11.74</v>
      </c>
      <c r="G3324" s="14">
        <v>186.35</v>
      </c>
      <c r="H3324" s="14">
        <v>1.59</v>
      </c>
      <c r="I3324" s="14" t="s">
        <v>6057</v>
      </c>
      <c r="J3324" s="14">
        <v>0.0</v>
      </c>
      <c r="K3324" s="14" t="s">
        <v>6012</v>
      </c>
      <c r="L3324" s="14">
        <v>0.0</v>
      </c>
    </row>
    <row r="3325">
      <c r="A3325" s="14">
        <v>151.0</v>
      </c>
      <c r="B3325" s="14">
        <v>2.0</v>
      </c>
      <c r="C3325" s="34">
        <v>12.55</v>
      </c>
      <c r="D3325" s="36">
        <v>45076.0</v>
      </c>
      <c r="E3325" s="24"/>
      <c r="F3325" s="14">
        <v>6.28</v>
      </c>
      <c r="G3325" s="14">
        <v>83.11</v>
      </c>
      <c r="H3325" s="14">
        <v>1.32</v>
      </c>
      <c r="I3325" s="14" t="s">
        <v>6061</v>
      </c>
      <c r="J3325" s="14">
        <v>50.0</v>
      </c>
      <c r="K3325" s="14">
        <v>12.55</v>
      </c>
      <c r="L3325" s="14">
        <v>0.0</v>
      </c>
    </row>
    <row r="3326">
      <c r="A3326" s="14">
        <v>1614.0</v>
      </c>
      <c r="B3326" s="14">
        <v>16.0</v>
      </c>
      <c r="C3326" s="34">
        <v>11.1</v>
      </c>
      <c r="D3326" s="36">
        <v>45076.0</v>
      </c>
      <c r="E3326" s="24"/>
      <c r="F3326" s="14">
        <v>0.69</v>
      </c>
      <c r="G3326" s="14">
        <v>6.88</v>
      </c>
      <c r="H3326" s="14">
        <v>0.99</v>
      </c>
      <c r="I3326" s="14" t="s">
        <v>6050</v>
      </c>
      <c r="J3326" s="14">
        <v>43.75</v>
      </c>
      <c r="K3326" s="14">
        <v>1.59</v>
      </c>
      <c r="L3326" s="14">
        <v>0.0</v>
      </c>
    </row>
    <row r="3327">
      <c r="A3327" s="14">
        <v>1147.0</v>
      </c>
      <c r="B3327" s="14">
        <v>6.0</v>
      </c>
      <c r="C3327" s="34">
        <v>11.91</v>
      </c>
      <c r="D3327" s="36">
        <v>45076.0</v>
      </c>
      <c r="E3327" s="24"/>
      <c r="F3327" s="14">
        <v>1.98</v>
      </c>
      <c r="G3327" s="14">
        <v>10.38</v>
      </c>
      <c r="H3327" s="14">
        <v>0.52</v>
      </c>
      <c r="I3327" s="14" t="s">
        <v>6051</v>
      </c>
      <c r="J3327" s="14">
        <v>33.33</v>
      </c>
      <c r="K3327" s="14">
        <v>5.96</v>
      </c>
      <c r="L3327" s="14">
        <v>0.0</v>
      </c>
    </row>
    <row r="3328">
      <c r="A3328" s="14">
        <v>402.0</v>
      </c>
      <c r="B3328" s="14">
        <v>2.0</v>
      </c>
      <c r="C3328" s="34">
        <v>11.73</v>
      </c>
      <c r="D3328" s="36">
        <v>45076.0</v>
      </c>
      <c r="E3328" s="24"/>
      <c r="F3328" s="14">
        <v>5.86</v>
      </c>
      <c r="G3328" s="14">
        <v>29.18</v>
      </c>
      <c r="H3328" s="14">
        <v>0.5</v>
      </c>
      <c r="I3328" s="14" t="s">
        <v>6062</v>
      </c>
      <c r="J3328" s="14">
        <v>350.0</v>
      </c>
      <c r="K3328" s="14">
        <v>1.68</v>
      </c>
      <c r="L3328" s="14">
        <v>0.0</v>
      </c>
    </row>
    <row r="3329">
      <c r="A3329" s="14">
        <v>126.0</v>
      </c>
      <c r="B3329" s="14">
        <v>3.0</v>
      </c>
      <c r="C3329" s="34">
        <v>13.04</v>
      </c>
      <c r="D3329" s="36">
        <v>45076.0</v>
      </c>
      <c r="E3329" s="24"/>
      <c r="F3329" s="14">
        <v>4.35</v>
      </c>
      <c r="G3329" s="14">
        <v>103.49</v>
      </c>
      <c r="H3329" s="14">
        <v>2.38</v>
      </c>
      <c r="I3329" s="14" t="s">
        <v>6058</v>
      </c>
      <c r="J3329" s="14">
        <v>100.0</v>
      </c>
      <c r="K3329" s="14">
        <v>4.35</v>
      </c>
      <c r="L3329" s="14">
        <v>0.0</v>
      </c>
    </row>
    <row r="3330">
      <c r="A3330" s="14">
        <v>487.0</v>
      </c>
      <c r="B3330" s="14">
        <v>2.0</v>
      </c>
      <c r="C3330" s="34">
        <v>12.06</v>
      </c>
      <c r="D3330" s="36">
        <v>45076.0</v>
      </c>
      <c r="E3330" s="24"/>
      <c r="F3330" s="14">
        <v>6.03</v>
      </c>
      <c r="G3330" s="14">
        <v>24.76</v>
      </c>
      <c r="H3330" s="14">
        <v>0.41</v>
      </c>
      <c r="I3330" s="14" t="s">
        <v>6054</v>
      </c>
      <c r="J3330" s="14">
        <v>50.0</v>
      </c>
      <c r="K3330" s="14">
        <v>12.06</v>
      </c>
      <c r="L3330" s="14">
        <v>0.0</v>
      </c>
    </row>
    <row r="3331">
      <c r="A3331" s="14">
        <v>55.0</v>
      </c>
      <c r="B3331" s="14">
        <v>0.0</v>
      </c>
      <c r="C3331" s="34">
        <v>12.35</v>
      </c>
      <c r="D3331" s="36">
        <v>45076.0</v>
      </c>
      <c r="E3331" s="24"/>
      <c r="F3331" s="14" t="s">
        <v>6012</v>
      </c>
      <c r="G3331" s="14">
        <v>224.55</v>
      </c>
      <c r="H3331" s="14">
        <v>0.0</v>
      </c>
      <c r="I3331" s="14" t="s">
        <v>6057</v>
      </c>
      <c r="J3331" s="14" t="s">
        <v>6012</v>
      </c>
      <c r="K3331" s="14" t="s">
        <v>6012</v>
      </c>
      <c r="L3331" s="14">
        <v>0.0</v>
      </c>
    </row>
    <row r="3332">
      <c r="A3332" s="14">
        <v>609.0</v>
      </c>
      <c r="B3332" s="14">
        <v>14.0</v>
      </c>
      <c r="C3332" s="34">
        <v>11.39</v>
      </c>
      <c r="D3332" s="36">
        <v>45076.0</v>
      </c>
      <c r="E3332" s="24"/>
      <c r="F3332" s="14">
        <v>0.81</v>
      </c>
      <c r="G3332" s="14">
        <v>18.7</v>
      </c>
      <c r="H3332" s="14">
        <v>2.3</v>
      </c>
      <c r="I3332" s="14" t="s">
        <v>6060</v>
      </c>
      <c r="J3332" s="14">
        <v>71.43</v>
      </c>
      <c r="K3332" s="14">
        <v>1.14</v>
      </c>
      <c r="L3332" s="14">
        <v>0.0</v>
      </c>
    </row>
    <row r="3333">
      <c r="A3333" s="14">
        <v>67.0</v>
      </c>
      <c r="B3333" s="14">
        <v>1.0</v>
      </c>
      <c r="C3333" s="34">
        <v>13.78</v>
      </c>
      <c r="D3333" s="36">
        <v>45076.0</v>
      </c>
      <c r="E3333" s="24"/>
      <c r="F3333" s="14">
        <v>13.78</v>
      </c>
      <c r="G3333" s="14">
        <v>205.67</v>
      </c>
      <c r="H3333" s="14">
        <v>1.49</v>
      </c>
      <c r="I3333" s="14" t="s">
        <v>6063</v>
      </c>
      <c r="J3333" s="14">
        <v>100.0</v>
      </c>
      <c r="K3333" s="14">
        <v>13.78</v>
      </c>
      <c r="L3333" s="14">
        <v>0.0</v>
      </c>
    </row>
    <row r="3334">
      <c r="A3334" s="14">
        <v>338.0</v>
      </c>
      <c r="B3334" s="14">
        <v>2.0</v>
      </c>
      <c r="C3334" s="34">
        <v>12.75</v>
      </c>
      <c r="D3334" s="36">
        <v>45076.0</v>
      </c>
      <c r="E3334" s="24"/>
      <c r="F3334" s="14">
        <v>6.38</v>
      </c>
      <c r="G3334" s="14">
        <v>37.72</v>
      </c>
      <c r="H3334" s="14">
        <v>0.59</v>
      </c>
      <c r="I3334" s="14" t="s">
        <v>6042</v>
      </c>
      <c r="J3334" s="14">
        <v>50.0</v>
      </c>
      <c r="K3334" s="14">
        <v>12.75</v>
      </c>
      <c r="L3334" s="14">
        <v>0.0</v>
      </c>
    </row>
    <row r="3335">
      <c r="A3335" s="14">
        <v>51.0</v>
      </c>
      <c r="B3335" s="14">
        <v>2.0</v>
      </c>
      <c r="C3335" s="34">
        <v>13.0</v>
      </c>
      <c r="D3335" s="36">
        <v>45076.0</v>
      </c>
      <c r="E3335" s="24"/>
      <c r="F3335" s="14">
        <v>6.5</v>
      </c>
      <c r="G3335" s="14">
        <v>254.9</v>
      </c>
      <c r="H3335" s="14">
        <v>3.92</v>
      </c>
      <c r="I3335" s="14" t="s">
        <v>6059</v>
      </c>
      <c r="J3335" s="14">
        <v>50.0</v>
      </c>
      <c r="K3335" s="14">
        <v>13.0</v>
      </c>
      <c r="L3335" s="14">
        <v>0.0</v>
      </c>
    </row>
    <row r="3336">
      <c r="A3336" s="14">
        <v>53.0</v>
      </c>
      <c r="B3336" s="14">
        <v>0.0</v>
      </c>
      <c r="C3336" s="34">
        <v>12.35</v>
      </c>
      <c r="D3336" s="36">
        <v>45077.0</v>
      </c>
      <c r="E3336" s="24"/>
      <c r="F3336" s="14" t="s">
        <v>6012</v>
      </c>
      <c r="G3336" s="14">
        <v>233.02</v>
      </c>
      <c r="H3336" s="14">
        <v>0.0</v>
      </c>
      <c r="I3336" s="14" t="s">
        <v>6059</v>
      </c>
      <c r="J3336" s="14" t="s">
        <v>6012</v>
      </c>
      <c r="K3336" s="14" t="s">
        <v>6012</v>
      </c>
      <c r="L3336" s="14">
        <v>0.0</v>
      </c>
    </row>
    <row r="3337">
      <c r="A3337" s="14">
        <v>150.0</v>
      </c>
      <c r="B3337" s="14">
        <v>5.0</v>
      </c>
      <c r="C3337" s="34">
        <v>12.51</v>
      </c>
      <c r="D3337" s="36">
        <v>45077.0</v>
      </c>
      <c r="E3337" s="24"/>
      <c r="F3337" s="14">
        <v>2.5</v>
      </c>
      <c r="G3337" s="14">
        <v>83.4</v>
      </c>
      <c r="H3337" s="14">
        <v>3.33</v>
      </c>
      <c r="I3337" s="14" t="s">
        <v>6061</v>
      </c>
      <c r="J3337" s="14">
        <v>80.0</v>
      </c>
      <c r="K3337" s="14">
        <v>3.13</v>
      </c>
      <c r="L3337" s="14">
        <v>0.0</v>
      </c>
    </row>
    <row r="3338">
      <c r="A3338" s="14">
        <v>511.0</v>
      </c>
      <c r="B3338" s="14">
        <v>2.0</v>
      </c>
      <c r="C3338" s="34">
        <v>11.76</v>
      </c>
      <c r="D3338" s="36">
        <v>45077.0</v>
      </c>
      <c r="E3338" s="24"/>
      <c r="F3338" s="14">
        <v>5.88</v>
      </c>
      <c r="G3338" s="14">
        <v>23.01</v>
      </c>
      <c r="H3338" s="14">
        <v>0.39</v>
      </c>
      <c r="I3338" s="14" t="s">
        <v>6054</v>
      </c>
      <c r="J3338" s="14">
        <v>50.0</v>
      </c>
      <c r="K3338" s="14">
        <v>11.76</v>
      </c>
      <c r="L3338" s="14">
        <v>0.0</v>
      </c>
    </row>
    <row r="3339">
      <c r="A3339" s="14">
        <v>624.0</v>
      </c>
      <c r="B3339" s="14">
        <v>11.0</v>
      </c>
      <c r="C3339" s="34">
        <v>11.49</v>
      </c>
      <c r="D3339" s="36">
        <v>45077.0</v>
      </c>
      <c r="E3339" s="24"/>
      <c r="F3339" s="14">
        <v>1.04</v>
      </c>
      <c r="G3339" s="14">
        <v>18.41</v>
      </c>
      <c r="H3339" s="14">
        <v>1.76</v>
      </c>
      <c r="I3339" s="14" t="s">
        <v>6060</v>
      </c>
      <c r="J3339" s="14">
        <v>9.09</v>
      </c>
      <c r="K3339" s="14">
        <v>11.49</v>
      </c>
      <c r="L3339" s="14">
        <v>0.0</v>
      </c>
    </row>
    <row r="3340">
      <c r="A3340" s="14">
        <v>857.0</v>
      </c>
      <c r="B3340" s="14">
        <v>7.0</v>
      </c>
      <c r="C3340" s="34">
        <v>11.95</v>
      </c>
      <c r="D3340" s="36">
        <v>45077.0</v>
      </c>
      <c r="E3340" s="24"/>
      <c r="F3340" s="14">
        <v>1.71</v>
      </c>
      <c r="G3340" s="14">
        <v>13.94</v>
      </c>
      <c r="H3340" s="14">
        <v>0.82</v>
      </c>
      <c r="I3340" s="14" t="s">
        <v>6051</v>
      </c>
      <c r="J3340" s="14">
        <v>0.0</v>
      </c>
      <c r="K3340" s="14" t="s">
        <v>6012</v>
      </c>
      <c r="L3340" s="14">
        <v>0.0</v>
      </c>
    </row>
    <row r="3341">
      <c r="A3341" s="14">
        <v>64.0</v>
      </c>
      <c r="B3341" s="14">
        <v>1.0</v>
      </c>
      <c r="C3341" s="34">
        <v>12.81</v>
      </c>
      <c r="D3341" s="36">
        <v>45077.0</v>
      </c>
      <c r="E3341" s="24"/>
      <c r="F3341" s="14">
        <v>12.81</v>
      </c>
      <c r="G3341" s="14">
        <v>200.16</v>
      </c>
      <c r="H3341" s="14">
        <v>1.56</v>
      </c>
      <c r="I3341" s="14" t="s">
        <v>6057</v>
      </c>
      <c r="J3341" s="14">
        <v>0.0</v>
      </c>
      <c r="K3341" s="14" t="s">
        <v>6012</v>
      </c>
      <c r="L3341" s="14">
        <v>0.0</v>
      </c>
    </row>
    <row r="3342">
      <c r="A3342" s="14">
        <v>500.0</v>
      </c>
      <c r="B3342" s="14">
        <v>0.0</v>
      </c>
      <c r="C3342" s="34">
        <v>11.53</v>
      </c>
      <c r="D3342" s="36">
        <v>45077.0</v>
      </c>
      <c r="E3342" s="24"/>
      <c r="F3342" s="14" t="s">
        <v>6012</v>
      </c>
      <c r="G3342" s="14">
        <v>23.06</v>
      </c>
      <c r="H3342" s="14">
        <v>0.0</v>
      </c>
      <c r="I3342" s="14" t="s">
        <v>6062</v>
      </c>
      <c r="J3342" s="14" t="s">
        <v>6012</v>
      </c>
      <c r="K3342" s="14">
        <v>11.53</v>
      </c>
      <c r="L3342" s="14">
        <v>0.0</v>
      </c>
    </row>
    <row r="3343">
      <c r="A3343" s="14">
        <v>148.0</v>
      </c>
      <c r="B3343" s="14">
        <v>4.0</v>
      </c>
      <c r="C3343" s="34">
        <v>12.24</v>
      </c>
      <c r="D3343" s="36">
        <v>45077.0</v>
      </c>
      <c r="E3343" s="24"/>
      <c r="F3343" s="14">
        <v>3.06</v>
      </c>
      <c r="G3343" s="14">
        <v>82.7</v>
      </c>
      <c r="H3343" s="14">
        <v>2.7</v>
      </c>
      <c r="I3343" s="14" t="s">
        <v>6058</v>
      </c>
      <c r="J3343" s="14">
        <v>50.0</v>
      </c>
      <c r="K3343" s="14">
        <v>6.12</v>
      </c>
      <c r="L3343" s="14">
        <v>0.0</v>
      </c>
    </row>
    <row r="3344">
      <c r="A3344" s="14">
        <v>79.0</v>
      </c>
      <c r="B3344" s="14">
        <v>2.0</v>
      </c>
      <c r="C3344" s="34">
        <v>11.92</v>
      </c>
      <c r="D3344" s="36">
        <v>45077.0</v>
      </c>
      <c r="E3344" s="24"/>
      <c r="F3344" s="14">
        <v>5.96</v>
      </c>
      <c r="G3344" s="14">
        <v>150.89</v>
      </c>
      <c r="H3344" s="14">
        <v>2.53</v>
      </c>
      <c r="I3344" s="14" t="s">
        <v>6063</v>
      </c>
      <c r="J3344" s="14">
        <v>150.0</v>
      </c>
      <c r="K3344" s="14">
        <v>3.97</v>
      </c>
      <c r="L3344" s="14">
        <v>0.0</v>
      </c>
    </row>
    <row r="3345">
      <c r="A3345" s="14">
        <v>290.0</v>
      </c>
      <c r="B3345" s="14">
        <v>0.0</v>
      </c>
      <c r="C3345" s="34">
        <v>13.21</v>
      </c>
      <c r="D3345" s="36">
        <v>45077.0</v>
      </c>
      <c r="E3345" s="24"/>
      <c r="F3345" s="14" t="s">
        <v>6012</v>
      </c>
      <c r="G3345" s="14">
        <v>45.55</v>
      </c>
      <c r="H3345" s="14">
        <v>0.0</v>
      </c>
      <c r="I3345" s="14" t="s">
        <v>6042</v>
      </c>
      <c r="J3345" s="14" t="s">
        <v>6012</v>
      </c>
      <c r="K3345" s="14">
        <v>13.21</v>
      </c>
      <c r="L3345" s="14">
        <v>0.0</v>
      </c>
    </row>
    <row r="3346">
      <c r="A3346" s="14">
        <v>2108.0</v>
      </c>
      <c r="B3346" s="14">
        <v>14.0</v>
      </c>
      <c r="C3346" s="34">
        <v>11.43</v>
      </c>
      <c r="D3346" s="36">
        <v>45077.0</v>
      </c>
      <c r="E3346" s="24"/>
      <c r="F3346" s="14">
        <v>0.82</v>
      </c>
      <c r="G3346" s="14">
        <v>5.42</v>
      </c>
      <c r="H3346" s="14">
        <v>0.66</v>
      </c>
      <c r="I3346" s="14" t="s">
        <v>6050</v>
      </c>
      <c r="J3346" s="14">
        <v>50.0</v>
      </c>
      <c r="K3346" s="14">
        <v>1.63</v>
      </c>
      <c r="L3346" s="14">
        <v>0.0</v>
      </c>
    </row>
    <row r="3347">
      <c r="A3347" s="14">
        <v>162.0</v>
      </c>
      <c r="B3347" s="14">
        <v>0.0</v>
      </c>
      <c r="C3347" s="34">
        <v>11.52</v>
      </c>
      <c r="D3347" s="36">
        <v>45078.0</v>
      </c>
      <c r="E3347" s="24"/>
      <c r="F3347" s="14" t="s">
        <v>6012</v>
      </c>
      <c r="G3347" s="14">
        <v>71.11</v>
      </c>
      <c r="H3347" s="14">
        <v>0.0</v>
      </c>
      <c r="I3347" s="14" t="s">
        <v>6058</v>
      </c>
      <c r="J3347" s="14" t="s">
        <v>6012</v>
      </c>
      <c r="K3347" s="14" t="s">
        <v>6012</v>
      </c>
      <c r="L3347" s="14">
        <v>0.0</v>
      </c>
    </row>
    <row r="3348">
      <c r="A3348" s="14">
        <v>399.0</v>
      </c>
      <c r="B3348" s="14">
        <v>0.0</v>
      </c>
      <c r="C3348" s="34">
        <v>12.54</v>
      </c>
      <c r="D3348" s="36">
        <v>45078.0</v>
      </c>
      <c r="E3348" s="24"/>
      <c r="F3348" s="14" t="s">
        <v>6012</v>
      </c>
      <c r="G3348" s="14">
        <v>31.43</v>
      </c>
      <c r="H3348" s="14">
        <v>0.0</v>
      </c>
      <c r="I3348" s="14" t="s">
        <v>6042</v>
      </c>
      <c r="J3348" s="14" t="s">
        <v>6012</v>
      </c>
      <c r="K3348" s="14" t="s">
        <v>6012</v>
      </c>
      <c r="L3348" s="14">
        <v>0.0</v>
      </c>
    </row>
    <row r="3349">
      <c r="A3349" s="14">
        <v>92.0</v>
      </c>
      <c r="B3349" s="14">
        <v>0.0</v>
      </c>
      <c r="C3349" s="34">
        <v>11.85</v>
      </c>
      <c r="D3349" s="36">
        <v>45078.0</v>
      </c>
      <c r="E3349" s="24"/>
      <c r="F3349" s="14" t="s">
        <v>6012</v>
      </c>
      <c r="G3349" s="14">
        <v>128.8</v>
      </c>
      <c r="H3349" s="14">
        <v>0.0</v>
      </c>
      <c r="I3349" s="14" t="s">
        <v>6057</v>
      </c>
      <c r="J3349" s="14" t="s">
        <v>6012</v>
      </c>
      <c r="K3349" s="14" t="s">
        <v>6012</v>
      </c>
      <c r="L3349" s="14">
        <v>0.0</v>
      </c>
    </row>
    <row r="3350">
      <c r="A3350" s="14">
        <v>563.0</v>
      </c>
      <c r="B3350" s="14">
        <v>2.0</v>
      </c>
      <c r="C3350" s="34">
        <v>11.76</v>
      </c>
      <c r="D3350" s="36">
        <v>45078.0</v>
      </c>
      <c r="E3350" s="24"/>
      <c r="F3350" s="14">
        <v>5.88</v>
      </c>
      <c r="G3350" s="14">
        <v>20.89</v>
      </c>
      <c r="H3350" s="14">
        <v>0.36</v>
      </c>
      <c r="I3350" s="14" t="s">
        <v>6062</v>
      </c>
      <c r="J3350" s="14">
        <v>50.0</v>
      </c>
      <c r="K3350" s="14">
        <v>11.76</v>
      </c>
      <c r="L3350" s="14">
        <v>0.0</v>
      </c>
    </row>
    <row r="3351">
      <c r="A3351" s="14">
        <v>1233.0</v>
      </c>
      <c r="B3351" s="14">
        <v>15.0</v>
      </c>
      <c r="C3351" s="34">
        <v>12.18</v>
      </c>
      <c r="D3351" s="36">
        <v>45078.0</v>
      </c>
      <c r="E3351" s="24"/>
      <c r="F3351" s="14">
        <v>0.81</v>
      </c>
      <c r="G3351" s="14">
        <v>9.88</v>
      </c>
      <c r="H3351" s="14">
        <v>1.22</v>
      </c>
      <c r="I3351" s="14" t="s">
        <v>6051</v>
      </c>
      <c r="J3351" s="14">
        <v>6.67</v>
      </c>
      <c r="K3351" s="14">
        <v>12.18</v>
      </c>
      <c r="L3351" s="14">
        <v>0.0</v>
      </c>
    </row>
    <row r="3352">
      <c r="A3352" s="14">
        <v>50.0</v>
      </c>
      <c r="B3352" s="14">
        <v>0.0</v>
      </c>
      <c r="C3352" s="34">
        <v>12.42</v>
      </c>
      <c r="D3352" s="36">
        <v>45078.0</v>
      </c>
      <c r="E3352" s="24"/>
      <c r="F3352" s="14" t="s">
        <v>6012</v>
      </c>
      <c r="G3352" s="14">
        <v>248.4</v>
      </c>
      <c r="H3352" s="14">
        <v>0.0</v>
      </c>
      <c r="I3352" s="14" t="s">
        <v>6059</v>
      </c>
      <c r="J3352" s="14" t="s">
        <v>6012</v>
      </c>
      <c r="K3352" s="14" t="s">
        <v>6012</v>
      </c>
      <c r="L3352" s="14">
        <v>0.0</v>
      </c>
    </row>
    <row r="3353">
      <c r="A3353" s="14">
        <v>1458.0</v>
      </c>
      <c r="B3353" s="14">
        <v>11.0</v>
      </c>
      <c r="C3353" s="34">
        <v>12.09</v>
      </c>
      <c r="D3353" s="36">
        <v>45078.0</v>
      </c>
      <c r="E3353" s="24"/>
      <c r="F3353" s="14">
        <v>1.1</v>
      </c>
      <c r="G3353" s="14">
        <v>8.29</v>
      </c>
      <c r="H3353" s="14">
        <v>0.75</v>
      </c>
      <c r="I3353" s="14" t="s">
        <v>6050</v>
      </c>
      <c r="J3353" s="14">
        <v>36.36</v>
      </c>
      <c r="K3353" s="14">
        <v>3.02</v>
      </c>
      <c r="L3353" s="14">
        <v>0.0</v>
      </c>
    </row>
    <row r="3354">
      <c r="A3354" s="14">
        <v>590.0</v>
      </c>
      <c r="B3354" s="14">
        <v>6.0</v>
      </c>
      <c r="C3354" s="34">
        <v>11.81</v>
      </c>
      <c r="D3354" s="36">
        <v>45078.0</v>
      </c>
      <c r="E3354" s="24"/>
      <c r="F3354" s="14">
        <v>1.97</v>
      </c>
      <c r="G3354" s="14">
        <v>20.02</v>
      </c>
      <c r="H3354" s="14">
        <v>1.02</v>
      </c>
      <c r="I3354" s="14" t="s">
        <v>6060</v>
      </c>
      <c r="J3354" s="14">
        <v>0.0</v>
      </c>
      <c r="K3354" s="14" t="s">
        <v>6012</v>
      </c>
      <c r="L3354" s="14">
        <v>0.0</v>
      </c>
    </row>
    <row r="3355">
      <c r="A3355" s="14">
        <v>505.0</v>
      </c>
      <c r="B3355" s="14">
        <v>5.0</v>
      </c>
      <c r="C3355" s="34">
        <v>11.79</v>
      </c>
      <c r="D3355" s="36">
        <v>45078.0</v>
      </c>
      <c r="E3355" s="24"/>
      <c r="F3355" s="14">
        <v>2.36</v>
      </c>
      <c r="G3355" s="14">
        <v>23.35</v>
      </c>
      <c r="H3355" s="14">
        <v>0.99</v>
      </c>
      <c r="I3355" s="14" t="s">
        <v>6054</v>
      </c>
      <c r="J3355" s="14">
        <v>0.0</v>
      </c>
      <c r="K3355" s="14" t="s">
        <v>6012</v>
      </c>
      <c r="L3355" s="14">
        <v>0.0</v>
      </c>
    </row>
    <row r="3356">
      <c r="A3356" s="14">
        <v>204.0</v>
      </c>
      <c r="B3356" s="14">
        <v>3.0</v>
      </c>
      <c r="C3356" s="34">
        <v>12.4</v>
      </c>
      <c r="D3356" s="36">
        <v>45078.0</v>
      </c>
      <c r="E3356" s="24"/>
      <c r="F3356" s="14">
        <v>4.13</v>
      </c>
      <c r="G3356" s="14">
        <v>60.78</v>
      </c>
      <c r="H3356" s="14">
        <v>1.47</v>
      </c>
      <c r="I3356" s="14" t="s">
        <v>6061</v>
      </c>
      <c r="J3356" s="14">
        <v>33.33</v>
      </c>
      <c r="K3356" s="14">
        <v>12.4</v>
      </c>
      <c r="L3356" s="14">
        <v>0.0</v>
      </c>
    </row>
    <row r="3357">
      <c r="A3357" s="14">
        <v>79.0</v>
      </c>
      <c r="B3357" s="14">
        <v>0.0</v>
      </c>
      <c r="C3357" s="34">
        <v>10.94</v>
      </c>
      <c r="D3357" s="36">
        <v>45078.0</v>
      </c>
      <c r="E3357" s="24"/>
      <c r="F3357" s="14" t="s">
        <v>6012</v>
      </c>
      <c r="G3357" s="14">
        <v>138.48</v>
      </c>
      <c r="H3357" s="14">
        <v>0.0</v>
      </c>
      <c r="I3357" s="14" t="s">
        <v>6063</v>
      </c>
      <c r="J3357" s="14" t="s">
        <v>6012</v>
      </c>
      <c r="K3357" s="14">
        <v>10.94</v>
      </c>
      <c r="L3357" s="14">
        <v>0.0</v>
      </c>
    </row>
    <row r="3358">
      <c r="A3358" s="14">
        <v>411.0</v>
      </c>
      <c r="B3358" s="14">
        <v>3.0</v>
      </c>
      <c r="C3358" s="34">
        <v>10.86</v>
      </c>
      <c r="D3358" s="36">
        <v>45079.0</v>
      </c>
      <c r="E3358" s="24"/>
      <c r="F3358" s="14">
        <v>3.62</v>
      </c>
      <c r="G3358" s="14">
        <v>26.42</v>
      </c>
      <c r="H3358" s="14">
        <v>0.73</v>
      </c>
      <c r="I3358" s="14" t="s">
        <v>6054</v>
      </c>
      <c r="J3358" s="14">
        <v>33.33</v>
      </c>
      <c r="K3358" s="14">
        <v>10.86</v>
      </c>
      <c r="L3358" s="14">
        <v>0.0</v>
      </c>
    </row>
    <row r="3359">
      <c r="A3359" s="14">
        <v>174.0</v>
      </c>
      <c r="B3359" s="14">
        <v>2.0</v>
      </c>
      <c r="C3359" s="34">
        <v>10.64</v>
      </c>
      <c r="D3359" s="36">
        <v>45079.0</v>
      </c>
      <c r="E3359" s="24"/>
      <c r="F3359" s="14">
        <v>5.32</v>
      </c>
      <c r="G3359" s="14">
        <v>61.15</v>
      </c>
      <c r="H3359" s="14">
        <v>1.15</v>
      </c>
      <c r="I3359" s="14" t="s">
        <v>6061</v>
      </c>
      <c r="J3359" s="14">
        <v>0.0</v>
      </c>
      <c r="K3359" s="14" t="s">
        <v>6012</v>
      </c>
      <c r="L3359" s="14">
        <v>0.0</v>
      </c>
    </row>
    <row r="3360">
      <c r="A3360" s="14">
        <v>146.0</v>
      </c>
      <c r="B3360" s="14">
        <v>0.0</v>
      </c>
      <c r="C3360" s="34">
        <v>11.46</v>
      </c>
      <c r="D3360" s="36">
        <v>45079.0</v>
      </c>
      <c r="E3360" s="24"/>
      <c r="F3360" s="14" t="s">
        <v>6012</v>
      </c>
      <c r="G3360" s="14">
        <v>78.49</v>
      </c>
      <c r="H3360" s="14">
        <v>0.0</v>
      </c>
      <c r="I3360" s="14" t="s">
        <v>6042</v>
      </c>
      <c r="J3360" s="14" t="s">
        <v>6012</v>
      </c>
      <c r="K3360" s="14" t="s">
        <v>6012</v>
      </c>
      <c r="L3360" s="14">
        <v>0.0</v>
      </c>
    </row>
    <row r="3361">
      <c r="A3361" s="14">
        <v>58.0</v>
      </c>
      <c r="B3361" s="14">
        <v>0.0</v>
      </c>
      <c r="C3361" s="34">
        <v>10.52</v>
      </c>
      <c r="D3361" s="36">
        <v>45079.0</v>
      </c>
      <c r="E3361" s="24"/>
      <c r="F3361" s="14" t="s">
        <v>6012</v>
      </c>
      <c r="G3361" s="14">
        <v>181.38</v>
      </c>
      <c r="H3361" s="14">
        <v>0.0</v>
      </c>
      <c r="I3361" s="14" t="s">
        <v>6059</v>
      </c>
      <c r="J3361" s="14" t="s">
        <v>6012</v>
      </c>
      <c r="K3361" s="14" t="s">
        <v>6012</v>
      </c>
      <c r="L3361" s="14">
        <v>0.0</v>
      </c>
    </row>
    <row r="3362">
      <c r="A3362" s="14">
        <v>72.0</v>
      </c>
      <c r="B3362" s="14">
        <v>1.0</v>
      </c>
      <c r="C3362" s="34">
        <v>11.46</v>
      </c>
      <c r="D3362" s="36">
        <v>45079.0</v>
      </c>
      <c r="E3362" s="24"/>
      <c r="F3362" s="14">
        <v>11.46</v>
      </c>
      <c r="G3362" s="14">
        <v>159.17</v>
      </c>
      <c r="H3362" s="14">
        <v>1.39</v>
      </c>
      <c r="I3362" s="14" t="s">
        <v>6057</v>
      </c>
      <c r="J3362" s="14">
        <v>0.0</v>
      </c>
      <c r="K3362" s="14" t="s">
        <v>6012</v>
      </c>
      <c r="L3362" s="14">
        <v>0.0</v>
      </c>
    </row>
    <row r="3363">
      <c r="A3363" s="14">
        <v>456.0</v>
      </c>
      <c r="B3363" s="14">
        <v>1.0</v>
      </c>
      <c r="C3363" s="34">
        <v>10.56</v>
      </c>
      <c r="D3363" s="36">
        <v>45079.0</v>
      </c>
      <c r="E3363" s="24"/>
      <c r="F3363" s="14">
        <v>10.56</v>
      </c>
      <c r="G3363" s="14">
        <v>23.16</v>
      </c>
      <c r="H3363" s="14">
        <v>0.22</v>
      </c>
      <c r="I3363" s="14" t="s">
        <v>6062</v>
      </c>
      <c r="J3363" s="14">
        <v>200.0</v>
      </c>
      <c r="K3363" s="14">
        <v>5.28</v>
      </c>
      <c r="L3363" s="14">
        <v>0.0</v>
      </c>
    </row>
    <row r="3364">
      <c r="A3364" s="14">
        <v>98.0</v>
      </c>
      <c r="B3364" s="14">
        <v>2.0</v>
      </c>
      <c r="C3364" s="34">
        <v>10.16</v>
      </c>
      <c r="D3364" s="36">
        <v>45079.0</v>
      </c>
      <c r="E3364" s="24"/>
      <c r="F3364" s="14">
        <v>5.08</v>
      </c>
      <c r="G3364" s="14">
        <v>103.67</v>
      </c>
      <c r="H3364" s="14">
        <v>2.04</v>
      </c>
      <c r="I3364" s="14" t="s">
        <v>6063</v>
      </c>
      <c r="J3364" s="14">
        <v>0.0</v>
      </c>
      <c r="K3364" s="14" t="s">
        <v>6012</v>
      </c>
      <c r="L3364" s="14">
        <v>0.0</v>
      </c>
    </row>
    <row r="3365">
      <c r="A3365" s="14">
        <v>531.0</v>
      </c>
      <c r="B3365" s="14">
        <v>3.0</v>
      </c>
      <c r="C3365" s="34">
        <v>10.56</v>
      </c>
      <c r="D3365" s="36">
        <v>45079.0</v>
      </c>
      <c r="E3365" s="24"/>
      <c r="F3365" s="14">
        <v>3.52</v>
      </c>
      <c r="G3365" s="14">
        <v>19.89</v>
      </c>
      <c r="H3365" s="14">
        <v>0.56</v>
      </c>
      <c r="I3365" s="14" t="s">
        <v>6060</v>
      </c>
      <c r="J3365" s="14">
        <v>133.33</v>
      </c>
      <c r="K3365" s="14">
        <v>2.64</v>
      </c>
      <c r="L3365" s="14">
        <v>0.0</v>
      </c>
    </row>
    <row r="3366">
      <c r="A3366" s="14">
        <v>119.0</v>
      </c>
      <c r="B3366" s="14">
        <v>0.0</v>
      </c>
      <c r="C3366" s="34">
        <v>10.83</v>
      </c>
      <c r="D3366" s="36">
        <v>45079.0</v>
      </c>
      <c r="E3366" s="24"/>
      <c r="F3366" s="14" t="s">
        <v>6012</v>
      </c>
      <c r="G3366" s="14">
        <v>91.01</v>
      </c>
      <c r="H3366" s="14">
        <v>0.0</v>
      </c>
      <c r="I3366" s="14" t="s">
        <v>6058</v>
      </c>
      <c r="J3366" s="14" t="s">
        <v>6012</v>
      </c>
      <c r="K3366" s="14">
        <v>5.42</v>
      </c>
      <c r="L3366" s="14">
        <v>0.0</v>
      </c>
    </row>
    <row r="3367">
      <c r="A3367" s="14">
        <v>1582.0</v>
      </c>
      <c r="B3367" s="14">
        <v>10.0</v>
      </c>
      <c r="C3367" s="34">
        <v>11.58</v>
      </c>
      <c r="D3367" s="36">
        <v>45079.0</v>
      </c>
      <c r="E3367" s="24"/>
      <c r="F3367" s="14">
        <v>1.16</v>
      </c>
      <c r="G3367" s="14">
        <v>7.32</v>
      </c>
      <c r="H3367" s="14">
        <v>0.63</v>
      </c>
      <c r="I3367" s="14" t="s">
        <v>6050</v>
      </c>
      <c r="J3367" s="14">
        <v>60.0</v>
      </c>
      <c r="K3367" s="14">
        <v>1.93</v>
      </c>
      <c r="L3367" s="14">
        <v>0.0</v>
      </c>
    </row>
    <row r="3368">
      <c r="A3368" s="14">
        <v>979.0</v>
      </c>
      <c r="B3368" s="14">
        <v>12.0</v>
      </c>
      <c r="C3368" s="34">
        <v>10.94</v>
      </c>
      <c r="D3368" s="36">
        <v>45079.0</v>
      </c>
      <c r="E3368" s="24"/>
      <c r="F3368" s="14">
        <v>0.91</v>
      </c>
      <c r="G3368" s="14">
        <v>11.17</v>
      </c>
      <c r="H3368" s="14">
        <v>1.23</v>
      </c>
      <c r="I3368" s="14" t="s">
        <v>6051</v>
      </c>
      <c r="J3368" s="14">
        <v>16.67</v>
      </c>
      <c r="K3368" s="14">
        <v>5.47</v>
      </c>
      <c r="L3368" s="14">
        <v>0.0</v>
      </c>
    </row>
    <row r="3369">
      <c r="A3369" s="14">
        <v>158.0</v>
      </c>
      <c r="B3369" s="14">
        <v>1.0</v>
      </c>
      <c r="C3369" s="34">
        <v>7.8</v>
      </c>
      <c r="D3369" s="36">
        <v>45080.0</v>
      </c>
      <c r="E3369" s="24"/>
      <c r="F3369" s="14">
        <v>7.8</v>
      </c>
      <c r="G3369" s="14">
        <v>49.37</v>
      </c>
      <c r="H3369" s="14">
        <v>0.63</v>
      </c>
      <c r="I3369" s="14" t="s">
        <v>6042</v>
      </c>
      <c r="J3369" s="14">
        <v>100.0</v>
      </c>
      <c r="K3369" s="14">
        <v>7.8</v>
      </c>
      <c r="L3369" s="14">
        <v>0.0</v>
      </c>
    </row>
    <row r="3370">
      <c r="A3370" s="14">
        <v>78.0</v>
      </c>
      <c r="B3370" s="14">
        <v>0.0</v>
      </c>
      <c r="C3370" s="34">
        <v>6.13</v>
      </c>
      <c r="D3370" s="36">
        <v>45080.0</v>
      </c>
      <c r="E3370" s="24"/>
      <c r="F3370" s="14" t="s">
        <v>6012</v>
      </c>
      <c r="G3370" s="14">
        <v>78.59</v>
      </c>
      <c r="H3370" s="14">
        <v>0.0</v>
      </c>
      <c r="I3370" s="14" t="s">
        <v>6061</v>
      </c>
      <c r="J3370" s="14" t="s">
        <v>6012</v>
      </c>
      <c r="K3370" s="14" t="s">
        <v>6012</v>
      </c>
      <c r="L3370" s="14">
        <v>0.0</v>
      </c>
    </row>
    <row r="3371">
      <c r="A3371" s="14">
        <v>739.0</v>
      </c>
      <c r="B3371" s="14">
        <v>7.0</v>
      </c>
      <c r="C3371" s="34">
        <v>6.98</v>
      </c>
      <c r="D3371" s="36">
        <v>45080.0</v>
      </c>
      <c r="E3371" s="24"/>
      <c r="F3371" s="14">
        <v>1.0</v>
      </c>
      <c r="G3371" s="14">
        <v>9.45</v>
      </c>
      <c r="H3371" s="14">
        <v>0.95</v>
      </c>
      <c r="I3371" s="14" t="s">
        <v>6050</v>
      </c>
      <c r="J3371" s="14">
        <v>71.43</v>
      </c>
      <c r="K3371" s="14">
        <v>1.4</v>
      </c>
      <c r="L3371" s="14">
        <v>0.0</v>
      </c>
    </row>
    <row r="3372">
      <c r="A3372" s="14">
        <v>27.0</v>
      </c>
      <c r="B3372" s="14">
        <v>0.0</v>
      </c>
      <c r="C3372" s="34">
        <v>5.92</v>
      </c>
      <c r="D3372" s="36">
        <v>45080.0</v>
      </c>
      <c r="E3372" s="24"/>
      <c r="F3372" s="14" t="s">
        <v>6012</v>
      </c>
      <c r="G3372" s="14">
        <v>219.26</v>
      </c>
      <c r="H3372" s="14">
        <v>0.0</v>
      </c>
      <c r="I3372" s="14" t="s">
        <v>6057</v>
      </c>
      <c r="J3372" s="14" t="s">
        <v>6012</v>
      </c>
      <c r="K3372" s="14">
        <v>5.92</v>
      </c>
      <c r="L3372" s="14">
        <v>0.0</v>
      </c>
    </row>
    <row r="3373">
      <c r="A3373" s="14">
        <v>233.0</v>
      </c>
      <c r="B3373" s="14">
        <v>5.0</v>
      </c>
      <c r="C3373" s="34">
        <v>6.68</v>
      </c>
      <c r="D3373" s="36">
        <v>45080.0</v>
      </c>
      <c r="E3373" s="24"/>
      <c r="F3373" s="14">
        <v>1.34</v>
      </c>
      <c r="G3373" s="14">
        <v>28.67</v>
      </c>
      <c r="H3373" s="14">
        <v>2.15</v>
      </c>
      <c r="I3373" s="14" t="s">
        <v>6060</v>
      </c>
      <c r="J3373" s="14">
        <v>0.0</v>
      </c>
      <c r="K3373" s="14" t="s">
        <v>6012</v>
      </c>
      <c r="L3373" s="14">
        <v>0.0</v>
      </c>
    </row>
    <row r="3374">
      <c r="A3374" s="14">
        <v>33.0</v>
      </c>
      <c r="B3374" s="14">
        <v>0.0</v>
      </c>
      <c r="C3374" s="34">
        <v>8.04</v>
      </c>
      <c r="D3374" s="36">
        <v>45080.0</v>
      </c>
      <c r="E3374" s="24"/>
      <c r="F3374" s="14" t="s">
        <v>6012</v>
      </c>
      <c r="G3374" s="14">
        <v>243.64</v>
      </c>
      <c r="H3374" s="14">
        <v>0.0</v>
      </c>
      <c r="I3374" s="14" t="s">
        <v>6059</v>
      </c>
      <c r="J3374" s="14" t="s">
        <v>6012</v>
      </c>
      <c r="K3374" s="14" t="s">
        <v>6012</v>
      </c>
      <c r="L3374" s="14">
        <v>0.0</v>
      </c>
    </row>
    <row r="3375">
      <c r="A3375" s="14">
        <v>245.0</v>
      </c>
      <c r="B3375" s="14">
        <v>2.0</v>
      </c>
      <c r="C3375" s="34">
        <v>5.92</v>
      </c>
      <c r="D3375" s="36">
        <v>45080.0</v>
      </c>
      <c r="E3375" s="24"/>
      <c r="F3375" s="14">
        <v>2.96</v>
      </c>
      <c r="G3375" s="14">
        <v>24.16</v>
      </c>
      <c r="H3375" s="14">
        <v>0.82</v>
      </c>
      <c r="I3375" s="14" t="s">
        <v>6054</v>
      </c>
      <c r="J3375" s="14">
        <v>0.0</v>
      </c>
      <c r="K3375" s="14" t="s">
        <v>6012</v>
      </c>
      <c r="L3375" s="14">
        <v>0.0</v>
      </c>
    </row>
    <row r="3376">
      <c r="A3376" s="14">
        <v>399.0</v>
      </c>
      <c r="B3376" s="14">
        <v>9.0</v>
      </c>
      <c r="C3376" s="34">
        <v>6.14</v>
      </c>
      <c r="D3376" s="36">
        <v>45080.0</v>
      </c>
      <c r="E3376" s="24"/>
      <c r="F3376" s="14">
        <v>0.68</v>
      </c>
      <c r="G3376" s="14">
        <v>15.39</v>
      </c>
      <c r="H3376" s="14">
        <v>2.26</v>
      </c>
      <c r="I3376" s="14" t="s">
        <v>6051</v>
      </c>
      <c r="J3376" s="14">
        <v>0.0</v>
      </c>
      <c r="K3376" s="14" t="s">
        <v>6012</v>
      </c>
      <c r="L3376" s="14">
        <v>0.0</v>
      </c>
    </row>
    <row r="3377">
      <c r="A3377" s="14">
        <v>338.0</v>
      </c>
      <c r="B3377" s="14">
        <v>0.0</v>
      </c>
      <c r="C3377" s="34">
        <v>6.46</v>
      </c>
      <c r="D3377" s="36">
        <v>45080.0</v>
      </c>
      <c r="E3377" s="24"/>
      <c r="F3377" s="14" t="s">
        <v>6012</v>
      </c>
      <c r="G3377" s="14">
        <v>19.11</v>
      </c>
      <c r="H3377" s="14">
        <v>0.0</v>
      </c>
      <c r="I3377" s="14" t="s">
        <v>6062</v>
      </c>
      <c r="J3377" s="14" t="s">
        <v>6012</v>
      </c>
      <c r="K3377" s="14" t="s">
        <v>6012</v>
      </c>
      <c r="L3377" s="14">
        <v>0.0</v>
      </c>
    </row>
    <row r="3378">
      <c r="A3378" s="14">
        <v>38.0</v>
      </c>
      <c r="B3378" s="14">
        <v>1.0</v>
      </c>
      <c r="C3378" s="34">
        <v>6.49</v>
      </c>
      <c r="D3378" s="36">
        <v>45080.0</v>
      </c>
      <c r="E3378" s="24"/>
      <c r="F3378" s="14">
        <v>6.49</v>
      </c>
      <c r="G3378" s="14">
        <v>170.79</v>
      </c>
      <c r="H3378" s="14">
        <v>2.63</v>
      </c>
      <c r="I3378" s="14" t="s">
        <v>6058</v>
      </c>
      <c r="J3378" s="14">
        <v>100.0</v>
      </c>
      <c r="K3378" s="14">
        <v>6.49</v>
      </c>
      <c r="L3378" s="14">
        <v>0.0</v>
      </c>
    </row>
    <row r="3379">
      <c r="A3379" s="14">
        <v>35.0</v>
      </c>
      <c r="B3379" s="14">
        <v>1.0</v>
      </c>
      <c r="C3379" s="34">
        <v>6.86</v>
      </c>
      <c r="D3379" s="36">
        <v>45080.0</v>
      </c>
      <c r="E3379" s="24"/>
      <c r="F3379" s="14">
        <v>6.86</v>
      </c>
      <c r="G3379" s="14">
        <v>196.0</v>
      </c>
      <c r="H3379" s="14">
        <v>2.86</v>
      </c>
      <c r="I3379" s="14" t="s">
        <v>6063</v>
      </c>
      <c r="J3379" s="14">
        <v>0.0</v>
      </c>
      <c r="K3379" s="14" t="s">
        <v>6012</v>
      </c>
      <c r="L3379" s="14">
        <v>0.0</v>
      </c>
    </row>
    <row r="3380">
      <c r="A3380" s="14">
        <v>25.0</v>
      </c>
      <c r="B3380" s="14">
        <v>1.0</v>
      </c>
      <c r="C3380" s="34">
        <v>3.87</v>
      </c>
      <c r="D3380" s="36">
        <v>45081.0</v>
      </c>
      <c r="E3380" s="24"/>
      <c r="F3380" s="14">
        <v>3.87</v>
      </c>
      <c r="G3380" s="14">
        <v>154.8</v>
      </c>
      <c r="H3380" s="14">
        <v>4.0</v>
      </c>
      <c r="I3380" s="14" t="s">
        <v>6057</v>
      </c>
      <c r="J3380" s="14">
        <v>0.0</v>
      </c>
      <c r="K3380" s="14" t="s">
        <v>6012</v>
      </c>
      <c r="L3380" s="14">
        <v>0.0</v>
      </c>
    </row>
    <row r="3381">
      <c r="A3381" s="14">
        <v>85.0</v>
      </c>
      <c r="B3381" s="14">
        <v>1.0</v>
      </c>
      <c r="C3381" s="34">
        <v>6.25</v>
      </c>
      <c r="D3381" s="36">
        <v>45081.0</v>
      </c>
      <c r="E3381" s="24"/>
      <c r="F3381" s="14">
        <v>6.25</v>
      </c>
      <c r="G3381" s="14">
        <v>73.53</v>
      </c>
      <c r="H3381" s="14">
        <v>1.18</v>
      </c>
      <c r="I3381" s="14" t="s">
        <v>6042</v>
      </c>
      <c r="J3381" s="14">
        <v>0.0</v>
      </c>
      <c r="K3381" s="14" t="s">
        <v>6012</v>
      </c>
      <c r="L3381" s="14">
        <v>0.0</v>
      </c>
    </row>
    <row r="3382">
      <c r="A3382" s="14">
        <v>196.0</v>
      </c>
      <c r="B3382" s="14">
        <v>1.0</v>
      </c>
      <c r="C3382" s="34">
        <v>5.55</v>
      </c>
      <c r="D3382" s="36">
        <v>45081.0</v>
      </c>
      <c r="E3382" s="24"/>
      <c r="F3382" s="14">
        <v>5.55</v>
      </c>
      <c r="G3382" s="14">
        <v>28.32</v>
      </c>
      <c r="H3382" s="14">
        <v>0.51</v>
      </c>
      <c r="I3382" s="14" t="s">
        <v>6054</v>
      </c>
      <c r="J3382" s="14">
        <v>100.0</v>
      </c>
      <c r="K3382" s="14">
        <v>5.55</v>
      </c>
      <c r="L3382" s="14">
        <v>0.0</v>
      </c>
    </row>
    <row r="3383">
      <c r="A3383" s="14">
        <v>189.0</v>
      </c>
      <c r="B3383" s="14">
        <v>1.0</v>
      </c>
      <c r="C3383" s="34">
        <v>6.08</v>
      </c>
      <c r="D3383" s="36">
        <v>45081.0</v>
      </c>
      <c r="E3383" s="24"/>
      <c r="F3383" s="14">
        <v>6.08</v>
      </c>
      <c r="G3383" s="14">
        <v>32.17</v>
      </c>
      <c r="H3383" s="14">
        <v>0.53</v>
      </c>
      <c r="I3383" s="14" t="s">
        <v>6060</v>
      </c>
      <c r="J3383" s="14">
        <v>0.0</v>
      </c>
      <c r="K3383" s="14" t="s">
        <v>6012</v>
      </c>
      <c r="L3383" s="14">
        <v>0.0</v>
      </c>
    </row>
    <row r="3384">
      <c r="A3384" s="14">
        <v>1070.0</v>
      </c>
      <c r="B3384" s="14">
        <v>4.0</v>
      </c>
      <c r="C3384" s="34">
        <v>7.23</v>
      </c>
      <c r="D3384" s="36">
        <v>45081.0</v>
      </c>
      <c r="E3384" s="24"/>
      <c r="F3384" s="14">
        <v>1.81</v>
      </c>
      <c r="G3384" s="14">
        <v>6.76</v>
      </c>
      <c r="H3384" s="14">
        <v>0.37</v>
      </c>
      <c r="I3384" s="14" t="s">
        <v>6050</v>
      </c>
      <c r="J3384" s="14">
        <v>0.0</v>
      </c>
      <c r="K3384" s="14" t="s">
        <v>6012</v>
      </c>
      <c r="L3384" s="14">
        <v>0.0</v>
      </c>
    </row>
    <row r="3385">
      <c r="A3385" s="14">
        <v>15.0</v>
      </c>
      <c r="B3385" s="14">
        <v>0.0</v>
      </c>
      <c r="C3385" s="34">
        <v>2.44</v>
      </c>
      <c r="D3385" s="36">
        <v>45081.0</v>
      </c>
      <c r="E3385" s="24"/>
      <c r="F3385" s="14" t="s">
        <v>6012</v>
      </c>
      <c r="G3385" s="14">
        <v>162.67</v>
      </c>
      <c r="H3385" s="14">
        <v>0.0</v>
      </c>
      <c r="I3385" s="14" t="s">
        <v>6063</v>
      </c>
      <c r="J3385" s="14" t="s">
        <v>6012</v>
      </c>
      <c r="K3385" s="14" t="s">
        <v>6012</v>
      </c>
      <c r="L3385" s="14">
        <v>0.0</v>
      </c>
    </row>
    <row r="3386">
      <c r="A3386" s="14">
        <v>18.0</v>
      </c>
      <c r="B3386" s="14">
        <v>0.0</v>
      </c>
      <c r="C3386" s="34">
        <v>1.62</v>
      </c>
      <c r="D3386" s="36">
        <v>45081.0</v>
      </c>
      <c r="E3386" s="24"/>
      <c r="F3386" s="14" t="s">
        <v>6012</v>
      </c>
      <c r="G3386" s="14">
        <v>90.0</v>
      </c>
      <c r="H3386" s="14">
        <v>0.0</v>
      </c>
      <c r="I3386" s="14" t="s">
        <v>6059</v>
      </c>
      <c r="J3386" s="14" t="s">
        <v>6012</v>
      </c>
      <c r="K3386" s="14" t="s">
        <v>6012</v>
      </c>
      <c r="L3386" s="14">
        <v>0.0</v>
      </c>
    </row>
    <row r="3387">
      <c r="A3387" s="14">
        <v>189.0</v>
      </c>
      <c r="B3387" s="14">
        <v>2.0</v>
      </c>
      <c r="C3387" s="34">
        <v>5.38</v>
      </c>
      <c r="D3387" s="36">
        <v>45081.0</v>
      </c>
      <c r="E3387" s="24"/>
      <c r="F3387" s="14">
        <v>2.69</v>
      </c>
      <c r="G3387" s="14">
        <v>28.47</v>
      </c>
      <c r="H3387" s="14">
        <v>1.06</v>
      </c>
      <c r="I3387" s="14" t="s">
        <v>6051</v>
      </c>
      <c r="J3387" s="14">
        <v>0.0</v>
      </c>
      <c r="K3387" s="14" t="s">
        <v>6012</v>
      </c>
      <c r="L3387" s="14">
        <v>0.0</v>
      </c>
    </row>
    <row r="3388">
      <c r="A3388" s="14">
        <v>33.0</v>
      </c>
      <c r="B3388" s="14">
        <v>0.0</v>
      </c>
      <c r="C3388" s="34">
        <v>4.4</v>
      </c>
      <c r="D3388" s="36">
        <v>45081.0</v>
      </c>
      <c r="E3388" s="24"/>
      <c r="F3388" s="14" t="s">
        <v>6012</v>
      </c>
      <c r="G3388" s="14">
        <v>133.33</v>
      </c>
      <c r="H3388" s="14">
        <v>0.0</v>
      </c>
      <c r="I3388" s="14" t="s">
        <v>6058</v>
      </c>
      <c r="J3388" s="14" t="s">
        <v>6012</v>
      </c>
      <c r="K3388" s="14" t="s">
        <v>6012</v>
      </c>
      <c r="L3388" s="14">
        <v>0.0</v>
      </c>
    </row>
    <row r="3389">
      <c r="A3389" s="14">
        <v>39.0</v>
      </c>
      <c r="B3389" s="14">
        <v>0.0</v>
      </c>
      <c r="C3389" s="34">
        <v>4.18</v>
      </c>
      <c r="D3389" s="36">
        <v>45081.0</v>
      </c>
      <c r="E3389" s="24"/>
      <c r="F3389" s="14" t="s">
        <v>6012</v>
      </c>
      <c r="G3389" s="14">
        <v>107.18</v>
      </c>
      <c r="H3389" s="14">
        <v>0.0</v>
      </c>
      <c r="I3389" s="14" t="s">
        <v>6061</v>
      </c>
      <c r="J3389" s="14" t="s">
        <v>6012</v>
      </c>
      <c r="K3389" s="14" t="s">
        <v>6012</v>
      </c>
      <c r="L3389" s="14">
        <v>0.0</v>
      </c>
    </row>
    <row r="3390">
      <c r="A3390" s="14">
        <v>420.0</v>
      </c>
      <c r="B3390" s="14">
        <v>2.0</v>
      </c>
      <c r="C3390" s="34">
        <v>6.59</v>
      </c>
      <c r="D3390" s="36">
        <v>45081.0</v>
      </c>
      <c r="E3390" s="24"/>
      <c r="F3390" s="14">
        <v>3.3</v>
      </c>
      <c r="G3390" s="14">
        <v>15.69</v>
      </c>
      <c r="H3390" s="14">
        <v>0.48</v>
      </c>
      <c r="I3390" s="14" t="s">
        <v>6062</v>
      </c>
      <c r="J3390" s="14">
        <v>0.0</v>
      </c>
      <c r="K3390" s="14" t="s">
        <v>6012</v>
      </c>
      <c r="L3390" s="14">
        <v>0.0</v>
      </c>
    </row>
    <row r="3391">
      <c r="A3391" s="14">
        <v>568.0</v>
      </c>
      <c r="B3391" s="14">
        <v>4.0</v>
      </c>
      <c r="C3391" s="34">
        <v>11.48</v>
      </c>
      <c r="D3391" s="36">
        <v>45082.0</v>
      </c>
      <c r="E3391" s="24"/>
      <c r="F3391" s="14">
        <v>2.87</v>
      </c>
      <c r="G3391" s="14">
        <v>20.21</v>
      </c>
      <c r="H3391" s="14">
        <v>0.7</v>
      </c>
      <c r="I3391" s="14" t="s">
        <v>6054</v>
      </c>
      <c r="J3391" s="14">
        <v>25.0</v>
      </c>
      <c r="K3391" s="14">
        <v>11.48</v>
      </c>
      <c r="L3391" s="14">
        <v>0.0</v>
      </c>
    </row>
    <row r="3392">
      <c r="A3392" s="14">
        <v>165.0</v>
      </c>
      <c r="B3392" s="14">
        <v>4.0</v>
      </c>
      <c r="C3392" s="34">
        <v>10.37</v>
      </c>
      <c r="D3392" s="36">
        <v>45082.0</v>
      </c>
      <c r="E3392" s="24"/>
      <c r="F3392" s="14">
        <v>2.59</v>
      </c>
      <c r="G3392" s="14">
        <v>62.85</v>
      </c>
      <c r="H3392" s="14">
        <v>2.42</v>
      </c>
      <c r="I3392" s="14" t="s">
        <v>6061</v>
      </c>
      <c r="J3392" s="14">
        <v>50.0</v>
      </c>
      <c r="K3392" s="14">
        <v>5.18</v>
      </c>
      <c r="L3392" s="14">
        <v>0.0</v>
      </c>
    </row>
    <row r="3393">
      <c r="A3393" s="14">
        <v>83.0</v>
      </c>
      <c r="B3393" s="14">
        <v>0.0</v>
      </c>
      <c r="C3393" s="34">
        <v>10.8</v>
      </c>
      <c r="D3393" s="36">
        <v>45082.0</v>
      </c>
      <c r="E3393" s="24"/>
      <c r="F3393" s="14" t="s">
        <v>6012</v>
      </c>
      <c r="G3393" s="14">
        <v>130.12</v>
      </c>
      <c r="H3393" s="14">
        <v>0.0</v>
      </c>
      <c r="I3393" s="14" t="s">
        <v>6059</v>
      </c>
      <c r="J3393" s="14" t="s">
        <v>6012</v>
      </c>
      <c r="K3393" s="14" t="s">
        <v>6012</v>
      </c>
      <c r="L3393" s="14">
        <v>0.0</v>
      </c>
    </row>
    <row r="3394">
      <c r="A3394" s="14">
        <v>344.0</v>
      </c>
      <c r="B3394" s="14">
        <v>2.0</v>
      </c>
      <c r="C3394" s="34">
        <v>12.92</v>
      </c>
      <c r="D3394" s="36">
        <v>45082.0</v>
      </c>
      <c r="E3394" s="24"/>
      <c r="F3394" s="14">
        <v>6.46</v>
      </c>
      <c r="G3394" s="14">
        <v>37.56</v>
      </c>
      <c r="H3394" s="14">
        <v>0.58</v>
      </c>
      <c r="I3394" s="14" t="s">
        <v>6042</v>
      </c>
      <c r="J3394" s="14">
        <v>50.0</v>
      </c>
      <c r="K3394" s="14">
        <v>12.92</v>
      </c>
      <c r="L3394" s="14">
        <v>0.0</v>
      </c>
    </row>
    <row r="3395">
      <c r="A3395" s="14">
        <v>951.0</v>
      </c>
      <c r="B3395" s="14">
        <v>7.0</v>
      </c>
      <c r="C3395" s="34">
        <v>10.47</v>
      </c>
      <c r="D3395" s="36">
        <v>45082.0</v>
      </c>
      <c r="E3395" s="24"/>
      <c r="F3395" s="14">
        <v>1.5</v>
      </c>
      <c r="G3395" s="14">
        <v>11.01</v>
      </c>
      <c r="H3395" s="14">
        <v>0.74</v>
      </c>
      <c r="I3395" s="14" t="s">
        <v>6051</v>
      </c>
      <c r="J3395" s="14">
        <v>0.0</v>
      </c>
      <c r="K3395" s="14" t="s">
        <v>6012</v>
      </c>
      <c r="L3395" s="14">
        <v>0.0</v>
      </c>
    </row>
    <row r="3396">
      <c r="A3396" s="14">
        <v>113.0</v>
      </c>
      <c r="B3396" s="14">
        <v>0.0</v>
      </c>
      <c r="C3396" s="34">
        <v>10.58</v>
      </c>
      <c r="D3396" s="36">
        <v>45082.0</v>
      </c>
      <c r="E3396" s="24"/>
      <c r="F3396" s="14" t="s">
        <v>6012</v>
      </c>
      <c r="G3396" s="14">
        <v>93.63</v>
      </c>
      <c r="H3396" s="14">
        <v>0.0</v>
      </c>
      <c r="I3396" s="14" t="s">
        <v>6063</v>
      </c>
      <c r="J3396" s="14" t="s">
        <v>6012</v>
      </c>
      <c r="K3396" s="14" t="s">
        <v>6012</v>
      </c>
      <c r="L3396" s="14">
        <v>0.0</v>
      </c>
    </row>
    <row r="3397">
      <c r="A3397" s="14">
        <v>601.0</v>
      </c>
      <c r="B3397" s="14">
        <v>2.0</v>
      </c>
      <c r="C3397" s="34">
        <v>11.16</v>
      </c>
      <c r="D3397" s="36">
        <v>45082.0</v>
      </c>
      <c r="E3397" s="24"/>
      <c r="F3397" s="14">
        <v>5.58</v>
      </c>
      <c r="G3397" s="14">
        <v>18.57</v>
      </c>
      <c r="H3397" s="14">
        <v>0.33</v>
      </c>
      <c r="I3397" s="14" t="s">
        <v>6062</v>
      </c>
      <c r="J3397" s="14">
        <v>50.0</v>
      </c>
      <c r="K3397" s="14">
        <v>11.16</v>
      </c>
      <c r="L3397" s="14">
        <v>0.0</v>
      </c>
    </row>
    <row r="3398">
      <c r="A3398" s="14">
        <v>148.0</v>
      </c>
      <c r="B3398" s="14">
        <v>2.0</v>
      </c>
      <c r="C3398" s="34">
        <v>11.79</v>
      </c>
      <c r="D3398" s="36">
        <v>45082.0</v>
      </c>
      <c r="E3398" s="24"/>
      <c r="F3398" s="14">
        <v>5.9</v>
      </c>
      <c r="G3398" s="14">
        <v>79.66</v>
      </c>
      <c r="H3398" s="14">
        <v>1.35</v>
      </c>
      <c r="I3398" s="14" t="s">
        <v>6058</v>
      </c>
      <c r="J3398" s="14">
        <v>0.0</v>
      </c>
      <c r="K3398" s="14" t="s">
        <v>6012</v>
      </c>
      <c r="L3398" s="14">
        <v>0.0</v>
      </c>
    </row>
    <row r="3399">
      <c r="A3399" s="14">
        <v>145.0</v>
      </c>
      <c r="B3399" s="14">
        <v>0.0</v>
      </c>
      <c r="C3399" s="34">
        <v>10.77</v>
      </c>
      <c r="D3399" s="36">
        <v>45082.0</v>
      </c>
      <c r="E3399" s="24"/>
      <c r="F3399" s="14" t="s">
        <v>6012</v>
      </c>
      <c r="G3399" s="14">
        <v>74.28</v>
      </c>
      <c r="H3399" s="14">
        <v>0.0</v>
      </c>
      <c r="I3399" s="14" t="s">
        <v>6057</v>
      </c>
      <c r="J3399" s="14" t="s">
        <v>6012</v>
      </c>
      <c r="K3399" s="14" t="s">
        <v>6012</v>
      </c>
      <c r="L3399" s="14">
        <v>0.0</v>
      </c>
    </row>
    <row r="3400">
      <c r="A3400" s="14">
        <v>449.0</v>
      </c>
      <c r="B3400" s="14">
        <v>5.0</v>
      </c>
      <c r="C3400" s="34">
        <v>11.22</v>
      </c>
      <c r="D3400" s="36">
        <v>45082.0</v>
      </c>
      <c r="E3400" s="24"/>
      <c r="F3400" s="14">
        <v>2.24</v>
      </c>
      <c r="G3400" s="14">
        <v>24.99</v>
      </c>
      <c r="H3400" s="14">
        <v>1.11</v>
      </c>
      <c r="I3400" s="14" t="s">
        <v>6060</v>
      </c>
      <c r="J3400" s="14">
        <v>20.0</v>
      </c>
      <c r="K3400" s="14">
        <v>11.22</v>
      </c>
      <c r="L3400" s="14">
        <v>0.0</v>
      </c>
    </row>
    <row r="3401">
      <c r="A3401" s="14">
        <v>2172.0</v>
      </c>
      <c r="B3401" s="14">
        <v>20.0</v>
      </c>
      <c r="C3401" s="34">
        <v>11.02</v>
      </c>
      <c r="D3401" s="36">
        <v>45082.0</v>
      </c>
      <c r="E3401" s="24"/>
      <c r="F3401" s="14">
        <v>0.55</v>
      </c>
      <c r="G3401" s="14">
        <v>5.07</v>
      </c>
      <c r="H3401" s="14">
        <v>0.92</v>
      </c>
      <c r="I3401" s="14" t="s">
        <v>6050</v>
      </c>
      <c r="J3401" s="14">
        <v>20.0</v>
      </c>
      <c r="K3401" s="14">
        <v>2.76</v>
      </c>
      <c r="L3401" s="14">
        <v>0.0</v>
      </c>
    </row>
    <row r="3402">
      <c r="A3402" s="14">
        <v>1135.0</v>
      </c>
      <c r="B3402" s="14">
        <v>7.0</v>
      </c>
      <c r="C3402" s="34">
        <v>11.96</v>
      </c>
      <c r="D3402" s="36">
        <v>45083.0</v>
      </c>
      <c r="E3402" s="24"/>
      <c r="F3402" s="14">
        <v>1.71</v>
      </c>
      <c r="G3402" s="14">
        <v>10.54</v>
      </c>
      <c r="H3402" s="14">
        <v>0.62</v>
      </c>
      <c r="I3402" s="14" t="s">
        <v>6051</v>
      </c>
      <c r="J3402" s="14">
        <v>14.29</v>
      </c>
      <c r="K3402" s="14">
        <v>11.96</v>
      </c>
      <c r="L3402" s="14">
        <v>0.0</v>
      </c>
    </row>
    <row r="3403">
      <c r="A3403" s="14">
        <v>616.0</v>
      </c>
      <c r="B3403" s="14">
        <v>1.0</v>
      </c>
      <c r="C3403" s="34">
        <v>11.79</v>
      </c>
      <c r="D3403" s="36">
        <v>45083.0</v>
      </c>
      <c r="E3403" s="24"/>
      <c r="F3403" s="14">
        <v>11.79</v>
      </c>
      <c r="G3403" s="14">
        <v>19.14</v>
      </c>
      <c r="H3403" s="14">
        <v>0.16</v>
      </c>
      <c r="I3403" s="14" t="s">
        <v>6062</v>
      </c>
      <c r="J3403" s="14">
        <v>0.0</v>
      </c>
      <c r="K3403" s="14" t="s">
        <v>6012</v>
      </c>
      <c r="L3403" s="14">
        <v>0.0</v>
      </c>
    </row>
    <row r="3404">
      <c r="A3404" s="14">
        <v>2128.0</v>
      </c>
      <c r="B3404" s="14">
        <v>21.0</v>
      </c>
      <c r="C3404" s="34">
        <v>11.37</v>
      </c>
      <c r="D3404" s="36">
        <v>45083.0</v>
      </c>
      <c r="E3404" s="24"/>
      <c r="F3404" s="14">
        <v>0.54</v>
      </c>
      <c r="G3404" s="14">
        <v>5.34</v>
      </c>
      <c r="H3404" s="14">
        <v>0.99</v>
      </c>
      <c r="I3404" s="14" t="s">
        <v>6050</v>
      </c>
      <c r="J3404" s="14">
        <v>38.1</v>
      </c>
      <c r="K3404" s="14">
        <v>1.42</v>
      </c>
      <c r="L3404" s="14">
        <v>0.0</v>
      </c>
    </row>
    <row r="3405">
      <c r="A3405" s="14">
        <v>144.0</v>
      </c>
      <c r="B3405" s="14">
        <v>0.0</v>
      </c>
      <c r="C3405" s="34">
        <v>12.76</v>
      </c>
      <c r="D3405" s="36">
        <v>45083.0</v>
      </c>
      <c r="E3405" s="24"/>
      <c r="F3405" s="14" t="s">
        <v>6012</v>
      </c>
      <c r="G3405" s="14">
        <v>88.61</v>
      </c>
      <c r="H3405" s="14">
        <v>0.0</v>
      </c>
      <c r="I3405" s="14" t="s">
        <v>6063</v>
      </c>
      <c r="J3405" s="14" t="s">
        <v>6012</v>
      </c>
      <c r="K3405" s="14">
        <v>12.76</v>
      </c>
      <c r="L3405" s="14">
        <v>0.0</v>
      </c>
    </row>
    <row r="3406">
      <c r="A3406" s="14">
        <v>66.0</v>
      </c>
      <c r="B3406" s="14">
        <v>0.0</v>
      </c>
      <c r="C3406" s="34">
        <v>12.18</v>
      </c>
      <c r="D3406" s="36">
        <v>45083.0</v>
      </c>
      <c r="E3406" s="24"/>
      <c r="F3406" s="14" t="s">
        <v>6012</v>
      </c>
      <c r="G3406" s="14">
        <v>184.55</v>
      </c>
      <c r="H3406" s="14">
        <v>0.0</v>
      </c>
      <c r="I3406" s="14" t="s">
        <v>6059</v>
      </c>
      <c r="J3406" s="14" t="s">
        <v>6012</v>
      </c>
      <c r="K3406" s="14" t="s">
        <v>6012</v>
      </c>
      <c r="L3406" s="14">
        <v>0.0</v>
      </c>
    </row>
    <row r="3407">
      <c r="A3407" s="14">
        <v>487.0</v>
      </c>
      <c r="B3407" s="14">
        <v>2.0</v>
      </c>
      <c r="C3407" s="34">
        <v>12.02</v>
      </c>
      <c r="D3407" s="36">
        <v>45083.0</v>
      </c>
      <c r="E3407" s="24"/>
      <c r="F3407" s="14">
        <v>6.01</v>
      </c>
      <c r="G3407" s="14">
        <v>24.68</v>
      </c>
      <c r="H3407" s="14">
        <v>0.41</v>
      </c>
      <c r="I3407" s="14" t="s">
        <v>6054</v>
      </c>
      <c r="J3407" s="14">
        <v>50.0</v>
      </c>
      <c r="K3407" s="14">
        <v>12.02</v>
      </c>
      <c r="L3407" s="14">
        <v>0.0</v>
      </c>
    </row>
    <row r="3408">
      <c r="A3408" s="14">
        <v>84.0</v>
      </c>
      <c r="B3408" s="14">
        <v>0.0</v>
      </c>
      <c r="C3408" s="34">
        <v>12.67</v>
      </c>
      <c r="D3408" s="36">
        <v>45083.0</v>
      </c>
      <c r="E3408" s="24"/>
      <c r="F3408" s="14" t="s">
        <v>6012</v>
      </c>
      <c r="G3408" s="14">
        <v>150.83</v>
      </c>
      <c r="H3408" s="14">
        <v>0.0</v>
      </c>
      <c r="I3408" s="14" t="s">
        <v>6057</v>
      </c>
      <c r="J3408" s="14" t="s">
        <v>6012</v>
      </c>
      <c r="K3408" s="14" t="s">
        <v>6012</v>
      </c>
      <c r="L3408" s="14">
        <v>0.0</v>
      </c>
    </row>
    <row r="3409">
      <c r="A3409" s="14">
        <v>468.0</v>
      </c>
      <c r="B3409" s="14">
        <v>9.0</v>
      </c>
      <c r="C3409" s="34">
        <v>11.85</v>
      </c>
      <c r="D3409" s="36">
        <v>45083.0</v>
      </c>
      <c r="E3409" s="24"/>
      <c r="F3409" s="14">
        <v>1.32</v>
      </c>
      <c r="G3409" s="14">
        <v>25.32</v>
      </c>
      <c r="H3409" s="14">
        <v>1.92</v>
      </c>
      <c r="I3409" s="14" t="s">
        <v>6060</v>
      </c>
      <c r="J3409" s="14">
        <v>0.0</v>
      </c>
      <c r="K3409" s="14" t="s">
        <v>6012</v>
      </c>
      <c r="L3409" s="14">
        <v>0.0</v>
      </c>
    </row>
    <row r="3410">
      <c r="A3410" s="14">
        <v>214.0</v>
      </c>
      <c r="B3410" s="14">
        <v>2.0</v>
      </c>
      <c r="C3410" s="34">
        <v>13.44</v>
      </c>
      <c r="D3410" s="36">
        <v>45083.0</v>
      </c>
      <c r="E3410" s="24"/>
      <c r="F3410" s="14">
        <v>6.72</v>
      </c>
      <c r="G3410" s="14">
        <v>62.8</v>
      </c>
      <c r="H3410" s="14">
        <v>0.93</v>
      </c>
      <c r="I3410" s="14" t="s">
        <v>6042</v>
      </c>
      <c r="J3410" s="14">
        <v>0.0</v>
      </c>
      <c r="K3410" s="14" t="s">
        <v>6012</v>
      </c>
      <c r="L3410" s="14">
        <v>0.0</v>
      </c>
    </row>
    <row r="3411">
      <c r="A3411" s="14">
        <v>197.0</v>
      </c>
      <c r="B3411" s="14">
        <v>4.0</v>
      </c>
      <c r="C3411" s="34">
        <v>12.6</v>
      </c>
      <c r="D3411" s="36">
        <v>45083.0</v>
      </c>
      <c r="E3411" s="24"/>
      <c r="F3411" s="14">
        <v>3.15</v>
      </c>
      <c r="G3411" s="14">
        <v>63.96</v>
      </c>
      <c r="H3411" s="14">
        <v>2.03</v>
      </c>
      <c r="I3411" s="14" t="s">
        <v>6061</v>
      </c>
      <c r="J3411" s="14">
        <v>25.0</v>
      </c>
      <c r="K3411" s="14">
        <v>12.6</v>
      </c>
      <c r="L3411" s="14">
        <v>0.0</v>
      </c>
    </row>
    <row r="3412">
      <c r="A3412" s="14">
        <v>155.0</v>
      </c>
      <c r="B3412" s="14">
        <v>0.0</v>
      </c>
      <c r="C3412" s="34">
        <v>12.65</v>
      </c>
      <c r="D3412" s="36">
        <v>45083.0</v>
      </c>
      <c r="E3412" s="24"/>
      <c r="F3412" s="14" t="s">
        <v>6012</v>
      </c>
      <c r="G3412" s="14">
        <v>81.61</v>
      </c>
      <c r="H3412" s="14">
        <v>0.0</v>
      </c>
      <c r="I3412" s="14" t="s">
        <v>6058</v>
      </c>
      <c r="J3412" s="14" t="s">
        <v>6012</v>
      </c>
      <c r="K3412" s="14" t="s">
        <v>6012</v>
      </c>
      <c r="L3412" s="14">
        <v>0.0</v>
      </c>
    </row>
    <row r="3413">
      <c r="A3413" s="14">
        <v>1217.0</v>
      </c>
      <c r="B3413" s="14">
        <v>17.0</v>
      </c>
      <c r="C3413" s="34">
        <v>11.96</v>
      </c>
      <c r="D3413" s="36">
        <v>45084.0</v>
      </c>
      <c r="E3413" s="24"/>
      <c r="F3413" s="14">
        <v>0.7</v>
      </c>
      <c r="G3413" s="14">
        <v>9.83</v>
      </c>
      <c r="H3413" s="14">
        <v>1.4</v>
      </c>
      <c r="I3413" s="14" t="s">
        <v>6051</v>
      </c>
      <c r="J3413" s="14">
        <v>5.88</v>
      </c>
      <c r="K3413" s="14">
        <v>11.96</v>
      </c>
      <c r="L3413" s="14">
        <v>0.0</v>
      </c>
    </row>
    <row r="3414">
      <c r="A3414" s="14">
        <v>121.0</v>
      </c>
      <c r="B3414" s="14">
        <v>2.0</v>
      </c>
      <c r="C3414" s="34">
        <v>13.17</v>
      </c>
      <c r="D3414" s="36">
        <v>45084.0</v>
      </c>
      <c r="E3414" s="24"/>
      <c r="F3414" s="14">
        <v>6.58</v>
      </c>
      <c r="G3414" s="14">
        <v>108.84</v>
      </c>
      <c r="H3414" s="14">
        <v>1.65</v>
      </c>
      <c r="I3414" s="14" t="s">
        <v>6061</v>
      </c>
      <c r="J3414" s="14">
        <v>50.0</v>
      </c>
      <c r="K3414" s="14">
        <v>13.17</v>
      </c>
      <c r="L3414" s="14">
        <v>0.0</v>
      </c>
    </row>
    <row r="3415">
      <c r="A3415" s="14">
        <v>52.0</v>
      </c>
      <c r="B3415" s="14">
        <v>0.0</v>
      </c>
      <c r="C3415" s="34">
        <v>15.0</v>
      </c>
      <c r="D3415" s="36">
        <v>45084.0</v>
      </c>
      <c r="E3415" s="24"/>
      <c r="F3415" s="14" t="s">
        <v>6012</v>
      </c>
      <c r="G3415" s="14">
        <v>288.46</v>
      </c>
      <c r="H3415" s="14">
        <v>0.0</v>
      </c>
      <c r="I3415" s="14" t="s">
        <v>6059</v>
      </c>
      <c r="J3415" s="14" t="s">
        <v>6012</v>
      </c>
      <c r="K3415" s="14" t="s">
        <v>6012</v>
      </c>
      <c r="L3415" s="14">
        <v>0.0</v>
      </c>
    </row>
    <row r="3416">
      <c r="A3416" s="14">
        <v>470.0</v>
      </c>
      <c r="B3416" s="14">
        <v>2.0</v>
      </c>
      <c r="C3416" s="34">
        <v>11.77</v>
      </c>
      <c r="D3416" s="36">
        <v>45084.0</v>
      </c>
      <c r="E3416" s="24"/>
      <c r="F3416" s="14">
        <v>5.88</v>
      </c>
      <c r="G3416" s="14">
        <v>25.04</v>
      </c>
      <c r="H3416" s="14">
        <v>0.43</v>
      </c>
      <c r="I3416" s="14" t="s">
        <v>6062</v>
      </c>
      <c r="J3416" s="14">
        <v>150.0</v>
      </c>
      <c r="K3416" s="14">
        <v>3.92</v>
      </c>
      <c r="L3416" s="14">
        <v>0.0</v>
      </c>
    </row>
    <row r="3417">
      <c r="A3417" s="14">
        <v>280.0</v>
      </c>
      <c r="B3417" s="14">
        <v>0.0</v>
      </c>
      <c r="C3417" s="34">
        <v>12.18</v>
      </c>
      <c r="D3417" s="36">
        <v>45084.0</v>
      </c>
      <c r="E3417" s="24"/>
      <c r="F3417" s="14" t="s">
        <v>6012</v>
      </c>
      <c r="G3417" s="14">
        <v>43.5</v>
      </c>
      <c r="H3417" s="14">
        <v>0.0</v>
      </c>
      <c r="I3417" s="14" t="s">
        <v>6054</v>
      </c>
      <c r="J3417" s="14" t="s">
        <v>6012</v>
      </c>
      <c r="K3417" s="14" t="s">
        <v>6012</v>
      </c>
      <c r="L3417" s="14">
        <v>0.0</v>
      </c>
    </row>
    <row r="3418">
      <c r="A3418" s="14">
        <v>551.0</v>
      </c>
      <c r="B3418" s="14">
        <v>8.0</v>
      </c>
      <c r="C3418" s="34">
        <v>11.65</v>
      </c>
      <c r="D3418" s="36">
        <v>45084.0</v>
      </c>
      <c r="E3418" s="24"/>
      <c r="F3418" s="14">
        <v>1.46</v>
      </c>
      <c r="G3418" s="14">
        <v>21.14</v>
      </c>
      <c r="H3418" s="14">
        <v>1.45</v>
      </c>
      <c r="I3418" s="14" t="s">
        <v>6060</v>
      </c>
      <c r="J3418" s="14">
        <v>37.5</v>
      </c>
      <c r="K3418" s="14">
        <v>3.88</v>
      </c>
      <c r="L3418" s="14">
        <v>0.0</v>
      </c>
    </row>
    <row r="3419">
      <c r="A3419" s="14">
        <v>89.0</v>
      </c>
      <c r="B3419" s="14">
        <v>0.0</v>
      </c>
      <c r="C3419" s="34">
        <v>12.41</v>
      </c>
      <c r="D3419" s="36">
        <v>45084.0</v>
      </c>
      <c r="E3419" s="24"/>
      <c r="F3419" s="14" t="s">
        <v>6012</v>
      </c>
      <c r="G3419" s="14">
        <v>139.44</v>
      </c>
      <c r="H3419" s="14">
        <v>0.0</v>
      </c>
      <c r="I3419" s="14" t="s">
        <v>6063</v>
      </c>
      <c r="J3419" s="14" t="s">
        <v>6012</v>
      </c>
      <c r="K3419" s="14" t="s">
        <v>6012</v>
      </c>
      <c r="L3419" s="14">
        <v>0.0</v>
      </c>
    </row>
    <row r="3420">
      <c r="A3420" s="14">
        <v>81.0</v>
      </c>
      <c r="B3420" s="14">
        <v>0.0</v>
      </c>
      <c r="C3420" s="34">
        <v>12.69</v>
      </c>
      <c r="D3420" s="36">
        <v>45084.0</v>
      </c>
      <c r="E3420" s="24"/>
      <c r="F3420" s="14" t="s">
        <v>6012</v>
      </c>
      <c r="G3420" s="14">
        <v>156.67</v>
      </c>
      <c r="H3420" s="14">
        <v>0.0</v>
      </c>
      <c r="I3420" s="14" t="s">
        <v>6057</v>
      </c>
      <c r="J3420" s="14" t="s">
        <v>6012</v>
      </c>
      <c r="K3420" s="14" t="s">
        <v>6012</v>
      </c>
      <c r="L3420" s="14">
        <v>0.0</v>
      </c>
    </row>
    <row r="3421">
      <c r="A3421" s="14">
        <v>2355.0</v>
      </c>
      <c r="B3421" s="14">
        <v>14.0</v>
      </c>
      <c r="C3421" s="34">
        <v>11.56</v>
      </c>
      <c r="D3421" s="36">
        <v>45084.0</v>
      </c>
      <c r="E3421" s="24"/>
      <c r="F3421" s="14">
        <v>0.83</v>
      </c>
      <c r="G3421" s="14">
        <v>4.91</v>
      </c>
      <c r="H3421" s="14">
        <v>0.59</v>
      </c>
      <c r="I3421" s="14" t="s">
        <v>6050</v>
      </c>
      <c r="J3421" s="14">
        <v>42.86</v>
      </c>
      <c r="K3421" s="14">
        <v>1.93</v>
      </c>
      <c r="L3421" s="14">
        <v>0.0</v>
      </c>
    </row>
    <row r="3422">
      <c r="A3422" s="14">
        <v>119.0</v>
      </c>
      <c r="B3422" s="14">
        <v>1.0</v>
      </c>
      <c r="C3422" s="34">
        <v>12.54</v>
      </c>
      <c r="D3422" s="36">
        <v>45084.0</v>
      </c>
      <c r="E3422" s="24"/>
      <c r="F3422" s="14">
        <v>12.54</v>
      </c>
      <c r="G3422" s="14">
        <v>105.38</v>
      </c>
      <c r="H3422" s="14">
        <v>0.84</v>
      </c>
      <c r="I3422" s="14" t="s">
        <v>6058</v>
      </c>
      <c r="J3422" s="14">
        <v>100.0</v>
      </c>
      <c r="K3422" s="14">
        <v>12.54</v>
      </c>
      <c r="L3422" s="14">
        <v>0.0</v>
      </c>
    </row>
    <row r="3423">
      <c r="A3423" s="14">
        <v>192.0</v>
      </c>
      <c r="B3423" s="14">
        <v>3.0</v>
      </c>
      <c r="C3423" s="34">
        <v>12.82</v>
      </c>
      <c r="D3423" s="36">
        <v>45084.0</v>
      </c>
      <c r="E3423" s="24"/>
      <c r="F3423" s="14">
        <v>4.27</v>
      </c>
      <c r="G3423" s="14">
        <v>66.77</v>
      </c>
      <c r="H3423" s="14">
        <v>1.56</v>
      </c>
      <c r="I3423" s="14" t="s">
        <v>6042</v>
      </c>
      <c r="J3423" s="14">
        <v>33.33</v>
      </c>
      <c r="K3423" s="14">
        <v>12.82</v>
      </c>
      <c r="L3423" s="14">
        <v>0.0</v>
      </c>
    </row>
    <row r="3424">
      <c r="A3424" s="14">
        <v>163.0</v>
      </c>
      <c r="B3424" s="14">
        <v>2.0</v>
      </c>
      <c r="C3424" s="34">
        <v>12.69</v>
      </c>
      <c r="D3424" s="36">
        <v>45085.0</v>
      </c>
      <c r="E3424" s="24"/>
      <c r="F3424" s="14">
        <v>6.34</v>
      </c>
      <c r="G3424" s="14">
        <v>77.85</v>
      </c>
      <c r="H3424" s="14">
        <v>1.23</v>
      </c>
      <c r="I3424" s="14" t="s">
        <v>6061</v>
      </c>
      <c r="J3424" s="14">
        <v>50.0</v>
      </c>
      <c r="K3424" s="14">
        <v>12.69</v>
      </c>
      <c r="L3424" s="14">
        <v>0.0</v>
      </c>
    </row>
    <row r="3425">
      <c r="A3425" s="14">
        <v>2500.0</v>
      </c>
      <c r="B3425" s="14">
        <v>10.0</v>
      </c>
      <c r="C3425" s="34">
        <v>11.36</v>
      </c>
      <c r="D3425" s="36">
        <v>45085.0</v>
      </c>
      <c r="E3425" s="24"/>
      <c r="F3425" s="14">
        <v>1.14</v>
      </c>
      <c r="G3425" s="14">
        <v>4.54</v>
      </c>
      <c r="H3425" s="14">
        <v>0.4</v>
      </c>
      <c r="I3425" s="14" t="s">
        <v>6050</v>
      </c>
      <c r="J3425" s="14">
        <v>110.0</v>
      </c>
      <c r="K3425" s="14">
        <v>1.03</v>
      </c>
      <c r="L3425" s="14">
        <v>0.0</v>
      </c>
    </row>
    <row r="3426">
      <c r="A3426" s="14">
        <v>76.0</v>
      </c>
      <c r="B3426" s="14">
        <v>3.0</v>
      </c>
      <c r="C3426" s="34">
        <v>11.71</v>
      </c>
      <c r="D3426" s="36">
        <v>45085.0</v>
      </c>
      <c r="E3426" s="24"/>
      <c r="F3426" s="14">
        <v>3.9</v>
      </c>
      <c r="G3426" s="14">
        <v>154.08</v>
      </c>
      <c r="H3426" s="14">
        <v>3.95</v>
      </c>
      <c r="I3426" s="14" t="s">
        <v>6057</v>
      </c>
      <c r="J3426" s="14">
        <v>0.0</v>
      </c>
      <c r="K3426" s="14" t="s">
        <v>6012</v>
      </c>
      <c r="L3426" s="14">
        <v>0.0</v>
      </c>
    </row>
    <row r="3427">
      <c r="A3427" s="14">
        <v>88.0</v>
      </c>
      <c r="B3427" s="14">
        <v>1.0</v>
      </c>
      <c r="C3427" s="34">
        <v>11.68</v>
      </c>
      <c r="D3427" s="36">
        <v>45085.0</v>
      </c>
      <c r="E3427" s="24"/>
      <c r="F3427" s="14">
        <v>11.68</v>
      </c>
      <c r="G3427" s="14">
        <v>132.73</v>
      </c>
      <c r="H3427" s="14">
        <v>1.14</v>
      </c>
      <c r="I3427" s="14" t="s">
        <v>6058</v>
      </c>
      <c r="J3427" s="14">
        <v>100.0</v>
      </c>
      <c r="K3427" s="14">
        <v>11.68</v>
      </c>
      <c r="L3427" s="14">
        <v>0.0</v>
      </c>
    </row>
    <row r="3428">
      <c r="A3428" s="14">
        <v>357.0</v>
      </c>
      <c r="B3428" s="14">
        <v>4.0</v>
      </c>
      <c r="C3428" s="34">
        <v>11.8</v>
      </c>
      <c r="D3428" s="36">
        <v>45085.0</v>
      </c>
      <c r="E3428" s="24"/>
      <c r="F3428" s="14">
        <v>2.95</v>
      </c>
      <c r="G3428" s="14">
        <v>33.05</v>
      </c>
      <c r="H3428" s="14">
        <v>1.12</v>
      </c>
      <c r="I3428" s="14" t="s">
        <v>6054</v>
      </c>
      <c r="J3428" s="14">
        <v>25.0</v>
      </c>
      <c r="K3428" s="14">
        <v>11.8</v>
      </c>
      <c r="L3428" s="14">
        <v>0.0</v>
      </c>
    </row>
    <row r="3429">
      <c r="A3429" s="14">
        <v>417.0</v>
      </c>
      <c r="B3429" s="14">
        <v>6.0</v>
      </c>
      <c r="C3429" s="34">
        <v>11.85</v>
      </c>
      <c r="D3429" s="36">
        <v>45085.0</v>
      </c>
      <c r="E3429" s="24"/>
      <c r="F3429" s="14">
        <v>1.98</v>
      </c>
      <c r="G3429" s="14">
        <v>28.42</v>
      </c>
      <c r="H3429" s="14">
        <v>1.44</v>
      </c>
      <c r="I3429" s="14" t="s">
        <v>6060</v>
      </c>
      <c r="J3429" s="14">
        <v>16.67</v>
      </c>
      <c r="K3429" s="14">
        <v>11.85</v>
      </c>
      <c r="L3429" s="14">
        <v>0.0</v>
      </c>
    </row>
    <row r="3430">
      <c r="A3430" s="14">
        <v>157.0</v>
      </c>
      <c r="B3430" s="14">
        <v>0.0</v>
      </c>
      <c r="C3430" s="34">
        <v>12.98</v>
      </c>
      <c r="D3430" s="36">
        <v>45085.0</v>
      </c>
      <c r="E3430" s="24"/>
      <c r="F3430" s="14" t="s">
        <v>6012</v>
      </c>
      <c r="G3430" s="14">
        <v>82.68</v>
      </c>
      <c r="H3430" s="14">
        <v>0.0</v>
      </c>
      <c r="I3430" s="14" t="s">
        <v>6042</v>
      </c>
      <c r="J3430" s="14" t="s">
        <v>6012</v>
      </c>
      <c r="K3430" s="14" t="s">
        <v>6012</v>
      </c>
      <c r="L3430" s="14">
        <v>0.0</v>
      </c>
    </row>
    <row r="3431">
      <c r="A3431" s="14">
        <v>1044.0</v>
      </c>
      <c r="B3431" s="14">
        <v>8.0</v>
      </c>
      <c r="C3431" s="34">
        <v>12.22</v>
      </c>
      <c r="D3431" s="36">
        <v>45085.0</v>
      </c>
      <c r="E3431" s="24"/>
      <c r="F3431" s="14">
        <v>1.53</v>
      </c>
      <c r="G3431" s="14">
        <v>11.7</v>
      </c>
      <c r="H3431" s="14">
        <v>0.77</v>
      </c>
      <c r="I3431" s="14" t="s">
        <v>6051</v>
      </c>
      <c r="J3431" s="14">
        <v>0.0</v>
      </c>
      <c r="K3431" s="14" t="s">
        <v>6012</v>
      </c>
      <c r="L3431" s="14">
        <v>0.0</v>
      </c>
    </row>
    <row r="3432">
      <c r="A3432" s="14">
        <v>43.0</v>
      </c>
      <c r="B3432" s="14">
        <v>1.0</v>
      </c>
      <c r="C3432" s="34">
        <v>12.29</v>
      </c>
      <c r="D3432" s="36">
        <v>45085.0</v>
      </c>
      <c r="E3432" s="24"/>
      <c r="F3432" s="14">
        <v>12.29</v>
      </c>
      <c r="G3432" s="14">
        <v>285.81</v>
      </c>
      <c r="H3432" s="14">
        <v>2.33</v>
      </c>
      <c r="I3432" s="14" t="s">
        <v>6059</v>
      </c>
      <c r="J3432" s="14">
        <v>100.0</v>
      </c>
      <c r="K3432" s="14">
        <v>12.29</v>
      </c>
      <c r="L3432" s="14">
        <v>1.0</v>
      </c>
    </row>
    <row r="3433">
      <c r="A3433" s="14">
        <v>258.0</v>
      </c>
      <c r="B3433" s="14">
        <v>0.0</v>
      </c>
      <c r="C3433" s="34">
        <v>15.0</v>
      </c>
      <c r="D3433" s="36">
        <v>45085.0</v>
      </c>
      <c r="E3433" s="24"/>
      <c r="F3433" s="14" t="s">
        <v>6012</v>
      </c>
      <c r="G3433" s="14">
        <v>58.14</v>
      </c>
      <c r="H3433" s="14">
        <v>0.0</v>
      </c>
      <c r="I3433" s="14" t="s">
        <v>6062</v>
      </c>
      <c r="J3433" s="14" t="s">
        <v>6012</v>
      </c>
      <c r="K3433" s="14">
        <v>15.0</v>
      </c>
      <c r="L3433" s="14">
        <v>0.0</v>
      </c>
    </row>
    <row r="3434">
      <c r="A3434" s="14">
        <v>81.0</v>
      </c>
      <c r="B3434" s="14">
        <v>0.0</v>
      </c>
      <c r="C3434" s="34">
        <v>13.03</v>
      </c>
      <c r="D3434" s="36">
        <v>45085.0</v>
      </c>
      <c r="E3434" s="24"/>
      <c r="F3434" s="14" t="s">
        <v>6012</v>
      </c>
      <c r="G3434" s="14">
        <v>160.86</v>
      </c>
      <c r="H3434" s="14">
        <v>0.0</v>
      </c>
      <c r="I3434" s="14" t="s">
        <v>6063</v>
      </c>
      <c r="J3434" s="14" t="s">
        <v>6012</v>
      </c>
      <c r="K3434" s="14" t="s">
        <v>6012</v>
      </c>
      <c r="L3434" s="14">
        <v>0.0</v>
      </c>
    </row>
    <row r="3435">
      <c r="A3435" s="14">
        <v>259.0</v>
      </c>
      <c r="B3435" s="14">
        <v>0.0</v>
      </c>
      <c r="C3435" s="34">
        <v>10.71</v>
      </c>
      <c r="D3435" s="36">
        <v>45086.0</v>
      </c>
      <c r="E3435" s="24"/>
      <c r="F3435" s="14" t="s">
        <v>6012</v>
      </c>
      <c r="G3435" s="14">
        <v>41.35</v>
      </c>
      <c r="H3435" s="14">
        <v>0.0</v>
      </c>
      <c r="I3435" s="14" t="s">
        <v>6054</v>
      </c>
      <c r="J3435" s="14" t="s">
        <v>6012</v>
      </c>
      <c r="K3435" s="14" t="s">
        <v>6012</v>
      </c>
      <c r="L3435" s="14">
        <v>0.0</v>
      </c>
    </row>
    <row r="3436">
      <c r="A3436" s="14">
        <v>105.0</v>
      </c>
      <c r="B3436" s="14">
        <v>1.0</v>
      </c>
      <c r="C3436" s="34">
        <v>10.44</v>
      </c>
      <c r="D3436" s="36">
        <v>45086.0</v>
      </c>
      <c r="E3436" s="24"/>
      <c r="F3436" s="14">
        <v>10.44</v>
      </c>
      <c r="G3436" s="14">
        <v>99.43</v>
      </c>
      <c r="H3436" s="14">
        <v>0.95</v>
      </c>
      <c r="I3436" s="14" t="s">
        <v>6058</v>
      </c>
      <c r="J3436" s="14">
        <v>0.0</v>
      </c>
      <c r="K3436" s="14" t="s">
        <v>6012</v>
      </c>
      <c r="L3436" s="14">
        <v>0.0</v>
      </c>
    </row>
    <row r="3437">
      <c r="A3437" s="14">
        <v>30.0</v>
      </c>
      <c r="B3437" s="14">
        <v>0.0</v>
      </c>
      <c r="C3437" s="34">
        <v>9.79</v>
      </c>
      <c r="D3437" s="36">
        <v>45086.0</v>
      </c>
      <c r="E3437" s="24"/>
      <c r="F3437" s="14" t="s">
        <v>6012</v>
      </c>
      <c r="G3437" s="14">
        <v>326.33</v>
      </c>
      <c r="H3437" s="14">
        <v>0.0</v>
      </c>
      <c r="I3437" s="14" t="s">
        <v>6059</v>
      </c>
      <c r="J3437" s="14" t="s">
        <v>6012</v>
      </c>
      <c r="K3437" s="14" t="s">
        <v>6012</v>
      </c>
      <c r="L3437" s="14">
        <v>0.0</v>
      </c>
    </row>
    <row r="3438">
      <c r="A3438" s="14">
        <v>89.0</v>
      </c>
      <c r="B3438" s="14">
        <v>1.0</v>
      </c>
      <c r="C3438" s="34">
        <v>10.64</v>
      </c>
      <c r="D3438" s="36">
        <v>45086.0</v>
      </c>
      <c r="E3438" s="24"/>
      <c r="F3438" s="14">
        <v>10.64</v>
      </c>
      <c r="G3438" s="14">
        <v>119.55</v>
      </c>
      <c r="H3438" s="14">
        <v>1.12</v>
      </c>
      <c r="I3438" s="14" t="s">
        <v>6063</v>
      </c>
      <c r="J3438" s="14">
        <v>0.0</v>
      </c>
      <c r="K3438" s="14" t="s">
        <v>6012</v>
      </c>
      <c r="L3438" s="14">
        <v>0.0</v>
      </c>
    </row>
    <row r="3439">
      <c r="A3439" s="14">
        <v>121.0</v>
      </c>
      <c r="B3439" s="14">
        <v>0.0</v>
      </c>
      <c r="C3439" s="34">
        <v>10.94</v>
      </c>
      <c r="D3439" s="36">
        <v>45086.0</v>
      </c>
      <c r="E3439" s="24"/>
      <c r="F3439" s="14" t="s">
        <v>6012</v>
      </c>
      <c r="G3439" s="14">
        <v>90.41</v>
      </c>
      <c r="H3439" s="14">
        <v>0.0</v>
      </c>
      <c r="I3439" s="14" t="s">
        <v>6042</v>
      </c>
      <c r="J3439" s="14" t="s">
        <v>6012</v>
      </c>
      <c r="K3439" s="14" t="s">
        <v>6012</v>
      </c>
      <c r="L3439" s="14">
        <v>0.0</v>
      </c>
    </row>
    <row r="3440">
      <c r="A3440" s="14">
        <v>832.0</v>
      </c>
      <c r="B3440" s="14">
        <v>10.0</v>
      </c>
      <c r="C3440" s="34">
        <v>11.37</v>
      </c>
      <c r="D3440" s="36">
        <v>45086.0</v>
      </c>
      <c r="E3440" s="24"/>
      <c r="F3440" s="14">
        <v>1.14</v>
      </c>
      <c r="G3440" s="14">
        <v>13.67</v>
      </c>
      <c r="H3440" s="14">
        <v>1.2</v>
      </c>
      <c r="I3440" s="14" t="s">
        <v>6051</v>
      </c>
      <c r="J3440" s="14">
        <v>0.0</v>
      </c>
      <c r="K3440" s="14" t="s">
        <v>6012</v>
      </c>
      <c r="L3440" s="14">
        <v>0.0</v>
      </c>
    </row>
    <row r="3441">
      <c r="A3441" s="14">
        <v>42.0</v>
      </c>
      <c r="B3441" s="14">
        <v>0.0</v>
      </c>
      <c r="C3441" s="34">
        <v>11.33</v>
      </c>
      <c r="D3441" s="36">
        <v>45086.0</v>
      </c>
      <c r="E3441" s="24"/>
      <c r="F3441" s="14" t="s">
        <v>6012</v>
      </c>
      <c r="G3441" s="14">
        <v>269.76</v>
      </c>
      <c r="H3441" s="14">
        <v>0.0</v>
      </c>
      <c r="I3441" s="14" t="s">
        <v>6057</v>
      </c>
      <c r="J3441" s="14" t="s">
        <v>6012</v>
      </c>
      <c r="K3441" s="14" t="s">
        <v>6012</v>
      </c>
      <c r="L3441" s="14">
        <v>0.0</v>
      </c>
    </row>
    <row r="3442">
      <c r="A3442" s="14">
        <v>1870.0</v>
      </c>
      <c r="B3442" s="14">
        <v>8.0</v>
      </c>
      <c r="C3442" s="34">
        <v>11.13</v>
      </c>
      <c r="D3442" s="36">
        <v>45086.0</v>
      </c>
      <c r="E3442" s="24"/>
      <c r="F3442" s="14">
        <v>1.39</v>
      </c>
      <c r="G3442" s="14">
        <v>5.95</v>
      </c>
      <c r="H3442" s="14">
        <v>0.43</v>
      </c>
      <c r="I3442" s="14" t="s">
        <v>6050</v>
      </c>
      <c r="J3442" s="14">
        <v>37.5</v>
      </c>
      <c r="K3442" s="14">
        <v>3.71</v>
      </c>
      <c r="L3442" s="14">
        <v>0.0</v>
      </c>
    </row>
    <row r="3443">
      <c r="A3443" s="14">
        <v>476.0</v>
      </c>
      <c r="B3443" s="14">
        <v>2.0</v>
      </c>
      <c r="C3443" s="34">
        <v>9.31</v>
      </c>
      <c r="D3443" s="36">
        <v>45086.0</v>
      </c>
      <c r="E3443" s="24"/>
      <c r="F3443" s="14">
        <v>4.66</v>
      </c>
      <c r="G3443" s="14">
        <v>19.56</v>
      </c>
      <c r="H3443" s="14">
        <v>0.42</v>
      </c>
      <c r="I3443" s="14" t="s">
        <v>6062</v>
      </c>
      <c r="J3443" s="14">
        <v>100.0</v>
      </c>
      <c r="K3443" s="14">
        <v>4.66</v>
      </c>
      <c r="L3443" s="14">
        <v>0.0</v>
      </c>
    </row>
    <row r="3444">
      <c r="A3444" s="14">
        <v>351.0</v>
      </c>
      <c r="B3444" s="14">
        <v>6.0</v>
      </c>
      <c r="C3444" s="34">
        <v>10.71</v>
      </c>
      <c r="D3444" s="36">
        <v>45086.0</v>
      </c>
      <c r="E3444" s="24"/>
      <c r="F3444" s="14">
        <v>1.78</v>
      </c>
      <c r="G3444" s="14">
        <v>30.51</v>
      </c>
      <c r="H3444" s="14">
        <v>1.71</v>
      </c>
      <c r="I3444" s="14" t="s">
        <v>6060</v>
      </c>
      <c r="J3444" s="14">
        <v>33.33</v>
      </c>
      <c r="K3444" s="14">
        <v>5.36</v>
      </c>
      <c r="L3444" s="14">
        <v>0.0</v>
      </c>
    </row>
    <row r="3445">
      <c r="A3445" s="14">
        <v>138.0</v>
      </c>
      <c r="B3445" s="14">
        <v>4.0</v>
      </c>
      <c r="C3445" s="34">
        <v>10.33</v>
      </c>
      <c r="D3445" s="36">
        <v>45086.0</v>
      </c>
      <c r="E3445" s="24"/>
      <c r="F3445" s="14">
        <v>2.58</v>
      </c>
      <c r="G3445" s="14">
        <v>74.86</v>
      </c>
      <c r="H3445" s="14">
        <v>2.9</v>
      </c>
      <c r="I3445" s="14" t="s">
        <v>6061</v>
      </c>
      <c r="J3445" s="14">
        <v>0.0</v>
      </c>
      <c r="K3445" s="14" t="s">
        <v>6012</v>
      </c>
      <c r="L3445" s="14">
        <v>0.0</v>
      </c>
    </row>
    <row r="3446">
      <c r="A3446" s="14">
        <v>22.0</v>
      </c>
      <c r="B3446" s="14">
        <v>0.0</v>
      </c>
      <c r="C3446" s="34">
        <v>9.91</v>
      </c>
      <c r="D3446" s="36">
        <v>45087.0</v>
      </c>
      <c r="E3446" s="24"/>
      <c r="F3446" s="14" t="s">
        <v>6012</v>
      </c>
      <c r="G3446" s="14">
        <v>450.45</v>
      </c>
      <c r="H3446" s="14">
        <v>0.0</v>
      </c>
      <c r="I3446" s="14" t="s">
        <v>6059</v>
      </c>
      <c r="J3446" s="14" t="s">
        <v>6012</v>
      </c>
      <c r="K3446" s="14" t="s">
        <v>6012</v>
      </c>
      <c r="L3446" s="14">
        <v>0.0</v>
      </c>
    </row>
    <row r="3447">
      <c r="A3447" s="14">
        <v>317.0</v>
      </c>
      <c r="B3447" s="14">
        <v>4.0</v>
      </c>
      <c r="C3447" s="34">
        <v>6.49</v>
      </c>
      <c r="D3447" s="36">
        <v>45087.0</v>
      </c>
      <c r="E3447" s="24"/>
      <c r="F3447" s="14">
        <v>1.62</v>
      </c>
      <c r="G3447" s="14">
        <v>20.47</v>
      </c>
      <c r="H3447" s="14">
        <v>1.26</v>
      </c>
      <c r="I3447" s="14" t="s">
        <v>6051</v>
      </c>
      <c r="J3447" s="14">
        <v>0.0</v>
      </c>
      <c r="K3447" s="14" t="s">
        <v>6012</v>
      </c>
      <c r="L3447" s="14">
        <v>0.0</v>
      </c>
    </row>
    <row r="3448">
      <c r="A3448" s="14">
        <v>87.0</v>
      </c>
      <c r="B3448" s="14">
        <v>0.0</v>
      </c>
      <c r="C3448" s="34">
        <v>6.79</v>
      </c>
      <c r="D3448" s="36">
        <v>45087.0</v>
      </c>
      <c r="E3448" s="24"/>
      <c r="F3448" s="14" t="s">
        <v>6012</v>
      </c>
      <c r="G3448" s="14">
        <v>78.05</v>
      </c>
      <c r="H3448" s="14">
        <v>0.0</v>
      </c>
      <c r="I3448" s="14" t="s">
        <v>6054</v>
      </c>
      <c r="J3448" s="14" t="s">
        <v>6012</v>
      </c>
      <c r="K3448" s="14" t="s">
        <v>6012</v>
      </c>
      <c r="L3448" s="14">
        <v>0.0</v>
      </c>
    </row>
    <row r="3449">
      <c r="A3449" s="14">
        <v>1559.0</v>
      </c>
      <c r="B3449" s="14">
        <v>12.0</v>
      </c>
      <c r="C3449" s="34">
        <v>6.99</v>
      </c>
      <c r="D3449" s="36">
        <v>45087.0</v>
      </c>
      <c r="E3449" s="24"/>
      <c r="F3449" s="14">
        <v>0.58</v>
      </c>
      <c r="G3449" s="14">
        <v>4.48</v>
      </c>
      <c r="H3449" s="14">
        <v>0.77</v>
      </c>
      <c r="I3449" s="14" t="s">
        <v>6050</v>
      </c>
      <c r="J3449" s="14">
        <v>8.33</v>
      </c>
      <c r="K3449" s="14">
        <v>6.99</v>
      </c>
      <c r="L3449" s="14">
        <v>0.0</v>
      </c>
    </row>
    <row r="3450">
      <c r="A3450" s="14">
        <v>41.0</v>
      </c>
      <c r="B3450" s="14">
        <v>1.0</v>
      </c>
      <c r="C3450" s="34">
        <v>5.93</v>
      </c>
      <c r="D3450" s="36">
        <v>45087.0</v>
      </c>
      <c r="E3450" s="24"/>
      <c r="F3450" s="14">
        <v>5.93</v>
      </c>
      <c r="G3450" s="14">
        <v>144.63</v>
      </c>
      <c r="H3450" s="14">
        <v>2.44</v>
      </c>
      <c r="I3450" s="14" t="s">
        <v>6058</v>
      </c>
      <c r="J3450" s="14">
        <v>0.0</v>
      </c>
      <c r="K3450" s="14" t="s">
        <v>6012</v>
      </c>
      <c r="L3450" s="14">
        <v>0.0</v>
      </c>
    </row>
    <row r="3451">
      <c r="A3451" s="14">
        <v>285.0</v>
      </c>
      <c r="B3451" s="14">
        <v>11.0</v>
      </c>
      <c r="C3451" s="34">
        <v>6.29</v>
      </c>
      <c r="D3451" s="36">
        <v>45087.0</v>
      </c>
      <c r="E3451" s="24"/>
      <c r="F3451" s="14">
        <v>0.57</v>
      </c>
      <c r="G3451" s="14">
        <v>22.07</v>
      </c>
      <c r="H3451" s="14">
        <v>3.86</v>
      </c>
      <c r="I3451" s="14" t="s">
        <v>6060</v>
      </c>
      <c r="J3451" s="14">
        <v>27.27</v>
      </c>
      <c r="K3451" s="14">
        <v>2.1</v>
      </c>
      <c r="L3451" s="14">
        <v>0.0</v>
      </c>
    </row>
    <row r="3452">
      <c r="A3452" s="14">
        <v>68.0</v>
      </c>
      <c r="B3452" s="14">
        <v>2.0</v>
      </c>
      <c r="C3452" s="34">
        <v>6.51</v>
      </c>
      <c r="D3452" s="36">
        <v>45087.0</v>
      </c>
      <c r="E3452" s="24"/>
      <c r="F3452" s="14">
        <v>3.26</v>
      </c>
      <c r="G3452" s="14">
        <v>95.74</v>
      </c>
      <c r="H3452" s="14">
        <v>2.94</v>
      </c>
      <c r="I3452" s="14" t="s">
        <v>6061</v>
      </c>
      <c r="J3452" s="14">
        <v>50.0</v>
      </c>
      <c r="K3452" s="14">
        <v>6.51</v>
      </c>
      <c r="L3452" s="14">
        <v>0.0</v>
      </c>
    </row>
    <row r="3453">
      <c r="A3453" s="14">
        <v>74.0</v>
      </c>
      <c r="B3453" s="14">
        <v>1.0</v>
      </c>
      <c r="C3453" s="34">
        <v>8.31</v>
      </c>
      <c r="D3453" s="36">
        <v>45087.0</v>
      </c>
      <c r="E3453" s="24"/>
      <c r="F3453" s="14">
        <v>8.31</v>
      </c>
      <c r="G3453" s="14">
        <v>112.3</v>
      </c>
      <c r="H3453" s="14">
        <v>1.35</v>
      </c>
      <c r="I3453" s="14" t="s">
        <v>6042</v>
      </c>
      <c r="J3453" s="14">
        <v>0.0</v>
      </c>
      <c r="K3453" s="14" t="s">
        <v>6012</v>
      </c>
      <c r="L3453" s="14">
        <v>0.0</v>
      </c>
    </row>
    <row r="3454">
      <c r="A3454" s="14">
        <v>27.0</v>
      </c>
      <c r="B3454" s="14">
        <v>0.0</v>
      </c>
      <c r="C3454" s="34">
        <v>8.69</v>
      </c>
      <c r="D3454" s="36">
        <v>45087.0</v>
      </c>
      <c r="E3454" s="24"/>
      <c r="F3454" s="14" t="s">
        <v>6012</v>
      </c>
      <c r="G3454" s="14">
        <v>321.85</v>
      </c>
      <c r="H3454" s="14">
        <v>0.0</v>
      </c>
      <c r="I3454" s="14" t="s">
        <v>6057</v>
      </c>
      <c r="J3454" s="14" t="s">
        <v>6012</v>
      </c>
      <c r="K3454" s="14" t="s">
        <v>6012</v>
      </c>
      <c r="L3454" s="14">
        <v>0.0</v>
      </c>
    </row>
    <row r="3455">
      <c r="A3455" s="14">
        <v>217.0</v>
      </c>
      <c r="B3455" s="14">
        <v>0.0</v>
      </c>
      <c r="C3455" s="34">
        <v>5.43</v>
      </c>
      <c r="D3455" s="36">
        <v>45087.0</v>
      </c>
      <c r="E3455" s="24"/>
      <c r="F3455" s="14" t="s">
        <v>6012</v>
      </c>
      <c r="G3455" s="14">
        <v>25.02</v>
      </c>
      <c r="H3455" s="14">
        <v>0.0</v>
      </c>
      <c r="I3455" s="14" t="s">
        <v>6062</v>
      </c>
      <c r="J3455" s="14" t="s">
        <v>6012</v>
      </c>
      <c r="K3455" s="14">
        <v>5.43</v>
      </c>
      <c r="L3455" s="14">
        <v>0.0</v>
      </c>
    </row>
    <row r="3456">
      <c r="A3456" s="14">
        <v>52.0</v>
      </c>
      <c r="B3456" s="14">
        <v>0.0</v>
      </c>
      <c r="C3456" s="34">
        <v>6.63</v>
      </c>
      <c r="D3456" s="36">
        <v>45087.0</v>
      </c>
      <c r="E3456" s="24"/>
      <c r="F3456" s="14" t="s">
        <v>6012</v>
      </c>
      <c r="G3456" s="14">
        <v>127.5</v>
      </c>
      <c r="H3456" s="14">
        <v>0.0</v>
      </c>
      <c r="I3456" s="14" t="s">
        <v>6063</v>
      </c>
      <c r="J3456" s="14" t="s">
        <v>6012</v>
      </c>
      <c r="K3456" s="14" t="s">
        <v>6012</v>
      </c>
      <c r="L3456" s="14">
        <v>0.0</v>
      </c>
    </row>
    <row r="3457">
      <c r="A3457" s="14">
        <v>20.0</v>
      </c>
      <c r="B3457" s="14">
        <v>0.0</v>
      </c>
      <c r="C3457" s="34">
        <v>3.95</v>
      </c>
      <c r="D3457" s="36">
        <v>45088.0</v>
      </c>
      <c r="E3457" s="24"/>
      <c r="F3457" s="14" t="s">
        <v>6012</v>
      </c>
      <c r="G3457" s="14">
        <v>197.5</v>
      </c>
      <c r="H3457" s="14">
        <v>0.0</v>
      </c>
      <c r="I3457" s="14" t="s">
        <v>6063</v>
      </c>
      <c r="J3457" s="14" t="s">
        <v>6012</v>
      </c>
      <c r="K3457" s="14" t="s">
        <v>6012</v>
      </c>
      <c r="L3457" s="14">
        <v>0.0</v>
      </c>
    </row>
    <row r="3458">
      <c r="A3458" s="14">
        <v>4.0</v>
      </c>
      <c r="B3458" s="14">
        <v>0.0</v>
      </c>
      <c r="C3458" s="34">
        <v>0.03</v>
      </c>
      <c r="D3458" s="36">
        <v>45088.0</v>
      </c>
      <c r="E3458" s="24"/>
      <c r="F3458" s="14" t="s">
        <v>6012</v>
      </c>
      <c r="G3458" s="14">
        <v>7.5</v>
      </c>
      <c r="H3458" s="14">
        <v>0.0</v>
      </c>
      <c r="I3458" s="14" t="s">
        <v>6059</v>
      </c>
      <c r="J3458" s="14" t="s">
        <v>6012</v>
      </c>
      <c r="K3458" s="14" t="s">
        <v>6012</v>
      </c>
      <c r="L3458" s="14">
        <v>0.0</v>
      </c>
    </row>
    <row r="3459">
      <c r="A3459" s="14">
        <v>97.0</v>
      </c>
      <c r="B3459" s="14">
        <v>1.0</v>
      </c>
      <c r="C3459" s="34">
        <v>5.59</v>
      </c>
      <c r="D3459" s="36">
        <v>45088.0</v>
      </c>
      <c r="E3459" s="24"/>
      <c r="F3459" s="14">
        <v>5.59</v>
      </c>
      <c r="G3459" s="14">
        <v>57.63</v>
      </c>
      <c r="H3459" s="14">
        <v>1.03</v>
      </c>
      <c r="I3459" s="14" t="s">
        <v>6042</v>
      </c>
      <c r="J3459" s="14">
        <v>0.0</v>
      </c>
      <c r="K3459" s="14" t="s">
        <v>6012</v>
      </c>
      <c r="L3459" s="14">
        <v>0.0</v>
      </c>
    </row>
    <row r="3460">
      <c r="A3460" s="14">
        <v>262.0</v>
      </c>
      <c r="B3460" s="14">
        <v>4.0</v>
      </c>
      <c r="C3460" s="34">
        <v>5.53</v>
      </c>
      <c r="D3460" s="36">
        <v>45088.0</v>
      </c>
      <c r="E3460" s="24"/>
      <c r="F3460" s="14">
        <v>1.38</v>
      </c>
      <c r="G3460" s="14">
        <v>21.11</v>
      </c>
      <c r="H3460" s="14">
        <v>1.53</v>
      </c>
      <c r="I3460" s="14" t="s">
        <v>6051</v>
      </c>
      <c r="J3460" s="14">
        <v>25.0</v>
      </c>
      <c r="K3460" s="14">
        <v>5.53</v>
      </c>
      <c r="L3460" s="14">
        <v>0.0</v>
      </c>
    </row>
    <row r="3461">
      <c r="A3461" s="14">
        <v>44.0</v>
      </c>
      <c r="B3461" s="14">
        <v>0.0</v>
      </c>
      <c r="C3461" s="34">
        <v>4.33</v>
      </c>
      <c r="D3461" s="36">
        <v>45088.0</v>
      </c>
      <c r="E3461" s="24"/>
      <c r="F3461" s="14" t="s">
        <v>6012</v>
      </c>
      <c r="G3461" s="14">
        <v>98.41</v>
      </c>
      <c r="H3461" s="14">
        <v>0.0</v>
      </c>
      <c r="I3461" s="14" t="s">
        <v>6061</v>
      </c>
      <c r="J3461" s="14" t="s">
        <v>6012</v>
      </c>
      <c r="K3461" s="14" t="s">
        <v>6012</v>
      </c>
      <c r="L3461" s="14">
        <v>0.0</v>
      </c>
    </row>
    <row r="3462">
      <c r="A3462" s="14">
        <v>30.0</v>
      </c>
      <c r="B3462" s="14">
        <v>0.0</v>
      </c>
      <c r="C3462" s="34">
        <v>4.97</v>
      </c>
      <c r="D3462" s="36">
        <v>45088.0</v>
      </c>
      <c r="E3462" s="24"/>
      <c r="F3462" s="14" t="s">
        <v>6012</v>
      </c>
      <c r="G3462" s="14">
        <v>165.67</v>
      </c>
      <c r="H3462" s="14">
        <v>0.0</v>
      </c>
      <c r="I3462" s="14" t="s">
        <v>6058</v>
      </c>
      <c r="J3462" s="14" t="s">
        <v>6012</v>
      </c>
      <c r="K3462" s="14" t="s">
        <v>6012</v>
      </c>
      <c r="L3462" s="14">
        <v>0.0</v>
      </c>
    </row>
    <row r="3463">
      <c r="A3463" s="14">
        <v>39.0</v>
      </c>
      <c r="B3463" s="14">
        <v>1.0</v>
      </c>
      <c r="C3463" s="34">
        <v>2.14</v>
      </c>
      <c r="D3463" s="36">
        <v>45088.0</v>
      </c>
      <c r="E3463" s="24"/>
      <c r="F3463" s="14">
        <v>2.14</v>
      </c>
      <c r="G3463" s="14">
        <v>54.87</v>
      </c>
      <c r="H3463" s="14">
        <v>2.56</v>
      </c>
      <c r="I3463" s="14" t="s">
        <v>6057</v>
      </c>
      <c r="J3463" s="14">
        <v>0.0</v>
      </c>
      <c r="K3463" s="14" t="s">
        <v>6012</v>
      </c>
      <c r="L3463" s="14">
        <v>0.0</v>
      </c>
    </row>
    <row r="3464">
      <c r="A3464" s="14">
        <v>203.0</v>
      </c>
      <c r="B3464" s="14">
        <v>1.0</v>
      </c>
      <c r="C3464" s="34">
        <v>6.43</v>
      </c>
      <c r="D3464" s="36">
        <v>45088.0</v>
      </c>
      <c r="E3464" s="24"/>
      <c r="F3464" s="14">
        <v>6.43</v>
      </c>
      <c r="G3464" s="14">
        <v>31.67</v>
      </c>
      <c r="H3464" s="14">
        <v>0.49</v>
      </c>
      <c r="I3464" s="14" t="s">
        <v>6060</v>
      </c>
      <c r="J3464" s="14">
        <v>0.0</v>
      </c>
      <c r="K3464" s="14" t="s">
        <v>6012</v>
      </c>
      <c r="L3464" s="14">
        <v>0.0</v>
      </c>
    </row>
    <row r="3465">
      <c r="A3465" s="14">
        <v>54.0</v>
      </c>
      <c r="B3465" s="14">
        <v>0.0</v>
      </c>
      <c r="C3465" s="34">
        <v>5.02</v>
      </c>
      <c r="D3465" s="36">
        <v>45088.0</v>
      </c>
      <c r="E3465" s="24"/>
      <c r="F3465" s="14" t="s">
        <v>6012</v>
      </c>
      <c r="G3465" s="14">
        <v>92.96</v>
      </c>
      <c r="H3465" s="14">
        <v>0.0</v>
      </c>
      <c r="I3465" s="14" t="s">
        <v>6054</v>
      </c>
      <c r="J3465" s="14" t="s">
        <v>6012</v>
      </c>
      <c r="K3465" s="14" t="s">
        <v>6012</v>
      </c>
      <c r="L3465" s="14">
        <v>0.0</v>
      </c>
    </row>
    <row r="3466">
      <c r="A3466" s="14">
        <v>1086.0</v>
      </c>
      <c r="B3466" s="14">
        <v>11.0</v>
      </c>
      <c r="C3466" s="34">
        <v>6.53</v>
      </c>
      <c r="D3466" s="36">
        <v>45088.0</v>
      </c>
      <c r="E3466" s="24"/>
      <c r="F3466" s="14">
        <v>0.59</v>
      </c>
      <c r="G3466" s="14">
        <v>6.01</v>
      </c>
      <c r="H3466" s="14">
        <v>1.01</v>
      </c>
      <c r="I3466" s="14" t="s">
        <v>6050</v>
      </c>
      <c r="J3466" s="14">
        <v>9.09</v>
      </c>
      <c r="K3466" s="14">
        <v>6.53</v>
      </c>
      <c r="L3466" s="14">
        <v>0.0</v>
      </c>
    </row>
    <row r="3467">
      <c r="A3467" s="14">
        <v>141.0</v>
      </c>
      <c r="B3467" s="14">
        <v>0.0</v>
      </c>
      <c r="C3467" s="34">
        <v>5.54</v>
      </c>
      <c r="D3467" s="36">
        <v>45088.0</v>
      </c>
      <c r="E3467" s="24"/>
      <c r="F3467" s="14" t="s">
        <v>6012</v>
      </c>
      <c r="G3467" s="14">
        <v>39.29</v>
      </c>
      <c r="H3467" s="14">
        <v>0.0</v>
      </c>
      <c r="I3467" s="14" t="s">
        <v>6062</v>
      </c>
      <c r="J3467" s="14" t="s">
        <v>6012</v>
      </c>
      <c r="K3467" s="14">
        <v>5.54</v>
      </c>
      <c r="L3467" s="14">
        <v>0.0</v>
      </c>
    </row>
    <row r="3468">
      <c r="A3468" s="14">
        <v>54.0</v>
      </c>
      <c r="B3468" s="14">
        <v>0.0</v>
      </c>
      <c r="C3468" s="34">
        <v>10.98</v>
      </c>
      <c r="D3468" s="36">
        <v>45089.0</v>
      </c>
      <c r="E3468" s="24"/>
      <c r="F3468" s="14" t="s">
        <v>6012</v>
      </c>
      <c r="G3468" s="14">
        <v>203.33</v>
      </c>
      <c r="H3468" s="14">
        <v>0.0</v>
      </c>
      <c r="I3468" s="14" t="s">
        <v>6063</v>
      </c>
      <c r="J3468" s="14" t="s">
        <v>6012</v>
      </c>
      <c r="K3468" s="14" t="s">
        <v>6012</v>
      </c>
      <c r="L3468" s="14">
        <v>0.0</v>
      </c>
    </row>
    <row r="3469">
      <c r="A3469" s="14">
        <v>570.0</v>
      </c>
      <c r="B3469" s="14">
        <v>9.0</v>
      </c>
      <c r="C3469" s="34">
        <v>11.26</v>
      </c>
      <c r="D3469" s="36">
        <v>45089.0</v>
      </c>
      <c r="E3469" s="24"/>
      <c r="F3469" s="14">
        <v>1.25</v>
      </c>
      <c r="G3469" s="14">
        <v>19.75</v>
      </c>
      <c r="H3469" s="14">
        <v>1.58</v>
      </c>
      <c r="I3469" s="14" t="s">
        <v>6060</v>
      </c>
      <c r="J3469" s="14">
        <v>33.33</v>
      </c>
      <c r="K3469" s="14">
        <v>3.75</v>
      </c>
      <c r="L3469" s="14">
        <v>0.0</v>
      </c>
    </row>
    <row r="3470">
      <c r="A3470" s="14">
        <v>61.0</v>
      </c>
      <c r="B3470" s="14">
        <v>1.0</v>
      </c>
      <c r="C3470" s="34">
        <v>10.93</v>
      </c>
      <c r="D3470" s="36">
        <v>45089.0</v>
      </c>
      <c r="E3470" s="24"/>
      <c r="F3470" s="14">
        <v>10.93</v>
      </c>
      <c r="G3470" s="14">
        <v>179.18</v>
      </c>
      <c r="H3470" s="14">
        <v>1.64</v>
      </c>
      <c r="I3470" s="14" t="s">
        <v>6059</v>
      </c>
      <c r="J3470" s="14">
        <v>0.0</v>
      </c>
      <c r="K3470" s="14" t="s">
        <v>6012</v>
      </c>
      <c r="L3470" s="14">
        <v>0.0</v>
      </c>
    </row>
    <row r="3471">
      <c r="A3471" s="14">
        <v>103.0</v>
      </c>
      <c r="B3471" s="14">
        <v>0.0</v>
      </c>
      <c r="C3471" s="34">
        <v>11.88</v>
      </c>
      <c r="D3471" s="36">
        <v>45089.0</v>
      </c>
      <c r="E3471" s="24"/>
      <c r="F3471" s="14" t="s">
        <v>6012</v>
      </c>
      <c r="G3471" s="14">
        <v>115.34</v>
      </c>
      <c r="H3471" s="14">
        <v>0.0</v>
      </c>
      <c r="I3471" s="14" t="s">
        <v>6058</v>
      </c>
      <c r="J3471" s="14" t="s">
        <v>6012</v>
      </c>
      <c r="K3471" s="14">
        <v>11.88</v>
      </c>
      <c r="L3471" s="14">
        <v>0.0</v>
      </c>
    </row>
    <row r="3472">
      <c r="A3472" s="14">
        <v>172.0</v>
      </c>
      <c r="B3472" s="14">
        <v>2.0</v>
      </c>
      <c r="C3472" s="34">
        <v>10.48</v>
      </c>
      <c r="D3472" s="36">
        <v>45089.0</v>
      </c>
      <c r="E3472" s="24"/>
      <c r="F3472" s="14">
        <v>5.24</v>
      </c>
      <c r="G3472" s="14">
        <v>60.93</v>
      </c>
      <c r="H3472" s="14">
        <v>1.16</v>
      </c>
      <c r="I3472" s="14" t="s">
        <v>6061</v>
      </c>
      <c r="J3472" s="14">
        <v>50.0</v>
      </c>
      <c r="K3472" s="14">
        <v>10.48</v>
      </c>
      <c r="L3472" s="14">
        <v>0.0</v>
      </c>
    </row>
    <row r="3473">
      <c r="A3473" s="14">
        <v>2062.0</v>
      </c>
      <c r="B3473" s="14">
        <v>13.0</v>
      </c>
      <c r="C3473" s="34">
        <v>10.49</v>
      </c>
      <c r="D3473" s="36">
        <v>45089.0</v>
      </c>
      <c r="E3473" s="24"/>
      <c r="F3473" s="14">
        <v>0.81</v>
      </c>
      <c r="G3473" s="14">
        <v>5.09</v>
      </c>
      <c r="H3473" s="14">
        <v>0.63</v>
      </c>
      <c r="I3473" s="14" t="s">
        <v>6050</v>
      </c>
      <c r="J3473" s="14">
        <v>38.46</v>
      </c>
      <c r="K3473" s="14">
        <v>2.1</v>
      </c>
      <c r="L3473" s="14">
        <v>0.0</v>
      </c>
    </row>
    <row r="3474">
      <c r="A3474" s="14">
        <v>85.0</v>
      </c>
      <c r="B3474" s="14">
        <v>0.0</v>
      </c>
      <c r="C3474" s="34">
        <v>12.3</v>
      </c>
      <c r="D3474" s="36">
        <v>45089.0</v>
      </c>
      <c r="E3474" s="24"/>
      <c r="F3474" s="14" t="s">
        <v>6012</v>
      </c>
      <c r="G3474" s="14">
        <v>144.71</v>
      </c>
      <c r="H3474" s="14">
        <v>0.0</v>
      </c>
      <c r="I3474" s="14" t="s">
        <v>6057</v>
      </c>
      <c r="J3474" s="14" t="s">
        <v>6012</v>
      </c>
      <c r="K3474" s="14" t="s">
        <v>6012</v>
      </c>
      <c r="L3474" s="14">
        <v>0.0</v>
      </c>
    </row>
    <row r="3475">
      <c r="A3475" s="14">
        <v>884.0</v>
      </c>
      <c r="B3475" s="14">
        <v>11.0</v>
      </c>
      <c r="C3475" s="34">
        <v>10.17</v>
      </c>
      <c r="D3475" s="36">
        <v>45089.0</v>
      </c>
      <c r="E3475" s="24"/>
      <c r="F3475" s="14">
        <v>0.92</v>
      </c>
      <c r="G3475" s="14">
        <v>11.5</v>
      </c>
      <c r="H3475" s="14">
        <v>1.24</v>
      </c>
      <c r="I3475" s="14" t="s">
        <v>6051</v>
      </c>
      <c r="J3475" s="14">
        <v>0.0</v>
      </c>
      <c r="K3475" s="14" t="s">
        <v>6012</v>
      </c>
      <c r="L3475" s="14">
        <v>0.0</v>
      </c>
    </row>
    <row r="3476">
      <c r="A3476" s="14">
        <v>339.0</v>
      </c>
      <c r="B3476" s="14">
        <v>0.0</v>
      </c>
      <c r="C3476" s="34">
        <v>11.25</v>
      </c>
      <c r="D3476" s="36">
        <v>45089.0</v>
      </c>
      <c r="E3476" s="24"/>
      <c r="F3476" s="14" t="s">
        <v>6012</v>
      </c>
      <c r="G3476" s="14">
        <v>33.19</v>
      </c>
      <c r="H3476" s="14">
        <v>0.0</v>
      </c>
      <c r="I3476" s="14" t="s">
        <v>6054</v>
      </c>
      <c r="J3476" s="14" t="s">
        <v>6012</v>
      </c>
      <c r="K3476" s="14">
        <v>11.25</v>
      </c>
      <c r="L3476" s="14">
        <v>0.0</v>
      </c>
    </row>
    <row r="3477">
      <c r="A3477" s="14">
        <v>474.0</v>
      </c>
      <c r="B3477" s="14">
        <v>0.0</v>
      </c>
      <c r="C3477" s="34">
        <v>11.28</v>
      </c>
      <c r="D3477" s="36">
        <v>45089.0</v>
      </c>
      <c r="E3477" s="24"/>
      <c r="F3477" s="14" t="s">
        <v>6012</v>
      </c>
      <c r="G3477" s="14">
        <v>23.8</v>
      </c>
      <c r="H3477" s="14">
        <v>0.0</v>
      </c>
      <c r="I3477" s="14" t="s">
        <v>6062</v>
      </c>
      <c r="J3477" s="14" t="s">
        <v>6012</v>
      </c>
      <c r="K3477" s="14">
        <v>11.28</v>
      </c>
      <c r="L3477" s="14">
        <v>0.0</v>
      </c>
    </row>
    <row r="3478">
      <c r="A3478" s="14">
        <v>298.0</v>
      </c>
      <c r="B3478" s="14">
        <v>0.0</v>
      </c>
      <c r="C3478" s="34">
        <v>12.82</v>
      </c>
      <c r="D3478" s="36">
        <v>45089.0</v>
      </c>
      <c r="E3478" s="24"/>
      <c r="F3478" s="14" t="s">
        <v>6012</v>
      </c>
      <c r="G3478" s="14">
        <v>43.02</v>
      </c>
      <c r="H3478" s="14">
        <v>0.0</v>
      </c>
      <c r="I3478" s="14" t="s">
        <v>6042</v>
      </c>
      <c r="J3478" s="14" t="s">
        <v>6012</v>
      </c>
      <c r="K3478" s="14" t="s">
        <v>6012</v>
      </c>
      <c r="L3478" s="14">
        <v>0.0</v>
      </c>
    </row>
    <row r="3479">
      <c r="A3479" s="14">
        <v>63.0</v>
      </c>
      <c r="B3479" s="14">
        <v>0.0</v>
      </c>
      <c r="C3479" s="34">
        <v>13.57</v>
      </c>
      <c r="D3479" s="36">
        <v>45090.0</v>
      </c>
      <c r="E3479" s="24"/>
      <c r="F3479" s="14" t="s">
        <v>6012</v>
      </c>
      <c r="G3479" s="14">
        <v>215.4</v>
      </c>
      <c r="H3479" s="14">
        <v>0.0</v>
      </c>
      <c r="I3479" s="14" t="s">
        <v>6057</v>
      </c>
      <c r="J3479" s="14" t="s">
        <v>6012</v>
      </c>
      <c r="K3479" s="14" t="s">
        <v>6012</v>
      </c>
      <c r="L3479" s="14">
        <v>0.0</v>
      </c>
    </row>
    <row r="3480">
      <c r="A3480" s="14">
        <v>137.0</v>
      </c>
      <c r="B3480" s="14">
        <v>0.0</v>
      </c>
      <c r="C3480" s="34">
        <v>12.32</v>
      </c>
      <c r="D3480" s="36">
        <v>45090.0</v>
      </c>
      <c r="E3480" s="24"/>
      <c r="F3480" s="14" t="s">
        <v>6012</v>
      </c>
      <c r="G3480" s="14">
        <v>89.93</v>
      </c>
      <c r="H3480" s="14">
        <v>0.0</v>
      </c>
      <c r="I3480" s="14" t="s">
        <v>6063</v>
      </c>
      <c r="J3480" s="14" t="s">
        <v>6012</v>
      </c>
      <c r="K3480" s="14" t="s">
        <v>6012</v>
      </c>
      <c r="L3480" s="14">
        <v>0.0</v>
      </c>
    </row>
    <row r="3481">
      <c r="A3481" s="14">
        <v>66.0</v>
      </c>
      <c r="B3481" s="14">
        <v>1.0</v>
      </c>
      <c r="C3481" s="34">
        <v>11.98</v>
      </c>
      <c r="D3481" s="36">
        <v>45090.0</v>
      </c>
      <c r="E3481" s="24"/>
      <c r="F3481" s="14">
        <v>11.98</v>
      </c>
      <c r="G3481" s="14">
        <v>181.52</v>
      </c>
      <c r="H3481" s="14">
        <v>1.52</v>
      </c>
      <c r="I3481" s="14" t="s">
        <v>6059</v>
      </c>
      <c r="J3481" s="14">
        <v>0.0</v>
      </c>
      <c r="K3481" s="14" t="s">
        <v>6012</v>
      </c>
      <c r="L3481" s="14">
        <v>0.0</v>
      </c>
    </row>
    <row r="3482">
      <c r="A3482" s="14">
        <v>630.0</v>
      </c>
      <c r="B3482" s="14">
        <v>8.0</v>
      </c>
      <c r="C3482" s="34">
        <v>11.94</v>
      </c>
      <c r="D3482" s="36">
        <v>45090.0</v>
      </c>
      <c r="E3482" s="24"/>
      <c r="F3482" s="14">
        <v>1.49</v>
      </c>
      <c r="G3482" s="14">
        <v>18.95</v>
      </c>
      <c r="H3482" s="14">
        <v>1.27</v>
      </c>
      <c r="I3482" s="14" t="s">
        <v>6060</v>
      </c>
      <c r="J3482" s="14">
        <v>37.5</v>
      </c>
      <c r="K3482" s="14">
        <v>3.98</v>
      </c>
      <c r="L3482" s="14">
        <v>0.0</v>
      </c>
    </row>
    <row r="3483">
      <c r="A3483" s="14">
        <v>1994.0</v>
      </c>
      <c r="B3483" s="14">
        <v>7.0</v>
      </c>
      <c r="C3483" s="34">
        <v>11.6</v>
      </c>
      <c r="D3483" s="36">
        <v>45090.0</v>
      </c>
      <c r="E3483" s="24"/>
      <c r="F3483" s="14">
        <v>1.66</v>
      </c>
      <c r="G3483" s="14">
        <v>5.82</v>
      </c>
      <c r="H3483" s="14">
        <v>0.35</v>
      </c>
      <c r="I3483" s="14" t="s">
        <v>6050</v>
      </c>
      <c r="J3483" s="14">
        <v>57.14</v>
      </c>
      <c r="K3483" s="14">
        <v>2.9</v>
      </c>
      <c r="L3483" s="14">
        <v>0.0</v>
      </c>
    </row>
    <row r="3484">
      <c r="A3484" s="14">
        <v>267.0</v>
      </c>
      <c r="B3484" s="14">
        <v>0.0</v>
      </c>
      <c r="C3484" s="34">
        <v>12.91</v>
      </c>
      <c r="D3484" s="36">
        <v>45090.0</v>
      </c>
      <c r="E3484" s="24"/>
      <c r="F3484" s="14" t="s">
        <v>6012</v>
      </c>
      <c r="G3484" s="14">
        <v>48.35</v>
      </c>
      <c r="H3484" s="14">
        <v>0.0</v>
      </c>
      <c r="I3484" s="14" t="s">
        <v>6042</v>
      </c>
      <c r="J3484" s="14" t="s">
        <v>6012</v>
      </c>
      <c r="K3484" s="14" t="s">
        <v>6012</v>
      </c>
      <c r="L3484" s="14">
        <v>0.0</v>
      </c>
    </row>
    <row r="3485">
      <c r="A3485" s="14">
        <v>343.0</v>
      </c>
      <c r="B3485" s="14">
        <v>1.0</v>
      </c>
      <c r="C3485" s="34">
        <v>11.88</v>
      </c>
      <c r="D3485" s="36">
        <v>45090.0</v>
      </c>
      <c r="E3485" s="24"/>
      <c r="F3485" s="14">
        <v>11.88</v>
      </c>
      <c r="G3485" s="14">
        <v>34.64</v>
      </c>
      <c r="H3485" s="14">
        <v>0.29</v>
      </c>
      <c r="I3485" s="14" t="s">
        <v>6054</v>
      </c>
      <c r="J3485" s="14">
        <v>0.0</v>
      </c>
      <c r="K3485" s="14" t="s">
        <v>6012</v>
      </c>
      <c r="L3485" s="14">
        <v>0.0</v>
      </c>
    </row>
    <row r="3486">
      <c r="A3486" s="14">
        <v>329.0</v>
      </c>
      <c r="B3486" s="14">
        <v>2.0</v>
      </c>
      <c r="C3486" s="34">
        <v>12.52</v>
      </c>
      <c r="D3486" s="36">
        <v>45090.0</v>
      </c>
      <c r="E3486" s="24"/>
      <c r="F3486" s="14">
        <v>6.26</v>
      </c>
      <c r="G3486" s="14">
        <v>38.05</v>
      </c>
      <c r="H3486" s="14">
        <v>0.61</v>
      </c>
      <c r="I3486" s="14" t="s">
        <v>6062</v>
      </c>
      <c r="J3486" s="14">
        <v>50.0</v>
      </c>
      <c r="K3486" s="14">
        <v>12.52</v>
      </c>
      <c r="L3486" s="14">
        <v>0.0</v>
      </c>
    </row>
    <row r="3487">
      <c r="A3487" s="14">
        <v>141.0</v>
      </c>
      <c r="B3487" s="14">
        <v>2.0</v>
      </c>
      <c r="C3487" s="34">
        <v>12.3</v>
      </c>
      <c r="D3487" s="36">
        <v>45090.0</v>
      </c>
      <c r="E3487" s="24"/>
      <c r="F3487" s="14">
        <v>6.15</v>
      </c>
      <c r="G3487" s="14">
        <v>87.23</v>
      </c>
      <c r="H3487" s="14">
        <v>1.42</v>
      </c>
      <c r="I3487" s="14" t="s">
        <v>6058</v>
      </c>
      <c r="J3487" s="14">
        <v>50.0</v>
      </c>
      <c r="K3487" s="14">
        <v>12.3</v>
      </c>
      <c r="L3487" s="14">
        <v>0.0</v>
      </c>
    </row>
    <row r="3488">
      <c r="A3488" s="14">
        <v>942.0</v>
      </c>
      <c r="B3488" s="14">
        <v>7.0</v>
      </c>
      <c r="C3488" s="34">
        <v>11.92</v>
      </c>
      <c r="D3488" s="36">
        <v>45090.0</v>
      </c>
      <c r="E3488" s="24"/>
      <c r="F3488" s="14">
        <v>1.7</v>
      </c>
      <c r="G3488" s="14">
        <v>12.65</v>
      </c>
      <c r="H3488" s="14">
        <v>0.74</v>
      </c>
      <c r="I3488" s="14" t="s">
        <v>6051</v>
      </c>
      <c r="J3488" s="14">
        <v>14.29</v>
      </c>
      <c r="K3488" s="14">
        <v>11.92</v>
      </c>
      <c r="L3488" s="14">
        <v>0.0</v>
      </c>
    </row>
    <row r="3489">
      <c r="A3489" s="14">
        <v>146.0</v>
      </c>
      <c r="B3489" s="14">
        <v>2.0</v>
      </c>
      <c r="C3489" s="34">
        <v>12.56</v>
      </c>
      <c r="D3489" s="36">
        <v>45090.0</v>
      </c>
      <c r="E3489" s="24"/>
      <c r="F3489" s="14">
        <v>6.28</v>
      </c>
      <c r="G3489" s="14">
        <v>86.03</v>
      </c>
      <c r="H3489" s="14">
        <v>1.37</v>
      </c>
      <c r="I3489" s="14" t="s">
        <v>6061</v>
      </c>
      <c r="J3489" s="14">
        <v>0.0</v>
      </c>
      <c r="K3489" s="14" t="s">
        <v>6012</v>
      </c>
      <c r="L3489" s="14">
        <v>0.0</v>
      </c>
    </row>
    <row r="3490">
      <c r="A3490" s="14">
        <v>43.0</v>
      </c>
      <c r="B3490" s="14">
        <v>0.0</v>
      </c>
      <c r="C3490" s="34">
        <v>13.66</v>
      </c>
      <c r="D3490" s="36">
        <v>45091.0</v>
      </c>
      <c r="E3490" s="24"/>
      <c r="F3490" s="14" t="s">
        <v>6012</v>
      </c>
      <c r="G3490" s="14">
        <v>317.67</v>
      </c>
      <c r="H3490" s="14">
        <v>0.0</v>
      </c>
      <c r="I3490" s="14" t="s">
        <v>6059</v>
      </c>
      <c r="J3490" s="14" t="s">
        <v>6012</v>
      </c>
      <c r="K3490" s="14" t="s">
        <v>6012</v>
      </c>
      <c r="L3490" s="14">
        <v>0.0</v>
      </c>
    </row>
    <row r="3491">
      <c r="A3491" s="14">
        <v>888.0</v>
      </c>
      <c r="B3491" s="14">
        <v>8.0</v>
      </c>
      <c r="C3491" s="34">
        <v>12.1</v>
      </c>
      <c r="D3491" s="36">
        <v>45091.0</v>
      </c>
      <c r="E3491" s="24"/>
      <c r="F3491" s="14">
        <v>1.51</v>
      </c>
      <c r="G3491" s="14">
        <v>13.63</v>
      </c>
      <c r="H3491" s="14">
        <v>0.9</v>
      </c>
      <c r="I3491" s="14" t="s">
        <v>6051</v>
      </c>
      <c r="J3491" s="14">
        <v>12.5</v>
      </c>
      <c r="K3491" s="14">
        <v>12.1</v>
      </c>
      <c r="L3491" s="14">
        <v>0.0</v>
      </c>
    </row>
    <row r="3492">
      <c r="A3492" s="14">
        <v>81.0</v>
      </c>
      <c r="B3492" s="14">
        <v>1.0</v>
      </c>
      <c r="C3492" s="34">
        <v>12.16</v>
      </c>
      <c r="D3492" s="36">
        <v>45091.0</v>
      </c>
      <c r="E3492" s="24"/>
      <c r="F3492" s="14">
        <v>12.16</v>
      </c>
      <c r="G3492" s="14">
        <v>150.12</v>
      </c>
      <c r="H3492" s="14">
        <v>1.23</v>
      </c>
      <c r="I3492" s="14" t="s">
        <v>6057</v>
      </c>
      <c r="J3492" s="14">
        <v>0.0</v>
      </c>
      <c r="K3492" s="14" t="s">
        <v>6012</v>
      </c>
      <c r="L3492" s="14">
        <v>0.0</v>
      </c>
    </row>
    <row r="3493">
      <c r="A3493" s="14">
        <v>102.0</v>
      </c>
      <c r="B3493" s="14">
        <v>0.0</v>
      </c>
      <c r="C3493" s="34">
        <v>12.66</v>
      </c>
      <c r="D3493" s="36">
        <v>45091.0</v>
      </c>
      <c r="E3493" s="24"/>
      <c r="F3493" s="14" t="s">
        <v>6012</v>
      </c>
      <c r="G3493" s="14">
        <v>124.12</v>
      </c>
      <c r="H3493" s="14">
        <v>0.0</v>
      </c>
      <c r="I3493" s="14" t="s">
        <v>6063</v>
      </c>
      <c r="J3493" s="14" t="s">
        <v>6012</v>
      </c>
      <c r="K3493" s="14" t="s">
        <v>6012</v>
      </c>
      <c r="L3493" s="14">
        <v>0.0</v>
      </c>
    </row>
    <row r="3494">
      <c r="A3494" s="14">
        <v>140.0</v>
      </c>
      <c r="B3494" s="14">
        <v>1.0</v>
      </c>
      <c r="C3494" s="34">
        <v>11.72</v>
      </c>
      <c r="D3494" s="36">
        <v>45091.0</v>
      </c>
      <c r="E3494" s="24"/>
      <c r="F3494" s="14">
        <v>11.72</v>
      </c>
      <c r="G3494" s="14">
        <v>83.71</v>
      </c>
      <c r="H3494" s="14">
        <v>0.71</v>
      </c>
      <c r="I3494" s="14" t="s">
        <v>6058</v>
      </c>
      <c r="J3494" s="14">
        <v>0.0</v>
      </c>
      <c r="K3494" s="14" t="s">
        <v>6012</v>
      </c>
      <c r="L3494" s="14">
        <v>0.0</v>
      </c>
    </row>
    <row r="3495">
      <c r="A3495" s="14">
        <v>421.0</v>
      </c>
      <c r="B3495" s="14">
        <v>4.0</v>
      </c>
      <c r="C3495" s="34">
        <v>13.52</v>
      </c>
      <c r="D3495" s="36">
        <v>45091.0</v>
      </c>
      <c r="E3495" s="24"/>
      <c r="F3495" s="14">
        <v>3.38</v>
      </c>
      <c r="G3495" s="14">
        <v>32.11</v>
      </c>
      <c r="H3495" s="14">
        <v>0.95</v>
      </c>
      <c r="I3495" s="14" t="s">
        <v>6042</v>
      </c>
      <c r="J3495" s="14">
        <v>0.0</v>
      </c>
      <c r="K3495" s="14" t="s">
        <v>6012</v>
      </c>
      <c r="L3495" s="14">
        <v>0.0</v>
      </c>
    </row>
    <row r="3496">
      <c r="A3496" s="14">
        <v>412.0</v>
      </c>
      <c r="B3496" s="14">
        <v>4.0</v>
      </c>
      <c r="C3496" s="34">
        <v>12.21</v>
      </c>
      <c r="D3496" s="36">
        <v>45091.0</v>
      </c>
      <c r="E3496" s="24"/>
      <c r="F3496" s="14">
        <v>3.05</v>
      </c>
      <c r="G3496" s="14">
        <v>29.64</v>
      </c>
      <c r="H3496" s="14">
        <v>0.97</v>
      </c>
      <c r="I3496" s="14" t="s">
        <v>6054</v>
      </c>
      <c r="J3496" s="14">
        <v>0.0</v>
      </c>
      <c r="K3496" s="14" t="s">
        <v>6012</v>
      </c>
      <c r="L3496" s="14">
        <v>0.0</v>
      </c>
    </row>
    <row r="3497">
      <c r="A3497" s="14">
        <v>163.0</v>
      </c>
      <c r="B3497" s="14">
        <v>1.0</v>
      </c>
      <c r="C3497" s="34">
        <v>12.59</v>
      </c>
      <c r="D3497" s="36">
        <v>45091.0</v>
      </c>
      <c r="E3497" s="24"/>
      <c r="F3497" s="14">
        <v>12.59</v>
      </c>
      <c r="G3497" s="14">
        <v>77.24</v>
      </c>
      <c r="H3497" s="14">
        <v>0.61</v>
      </c>
      <c r="I3497" s="14" t="s">
        <v>6061</v>
      </c>
      <c r="J3497" s="14">
        <v>100.0</v>
      </c>
      <c r="K3497" s="14">
        <v>12.59</v>
      </c>
      <c r="L3497" s="14">
        <v>0.0</v>
      </c>
    </row>
    <row r="3498">
      <c r="A3498" s="14">
        <v>373.0</v>
      </c>
      <c r="B3498" s="14">
        <v>3.0</v>
      </c>
      <c r="C3498" s="34">
        <v>11.61</v>
      </c>
      <c r="D3498" s="36">
        <v>45091.0</v>
      </c>
      <c r="E3498" s="24"/>
      <c r="F3498" s="14">
        <v>3.87</v>
      </c>
      <c r="G3498" s="14">
        <v>31.13</v>
      </c>
      <c r="H3498" s="14">
        <v>0.8</v>
      </c>
      <c r="I3498" s="14" t="s">
        <v>6062</v>
      </c>
      <c r="J3498" s="14">
        <v>0.0</v>
      </c>
      <c r="K3498" s="14" t="s">
        <v>6012</v>
      </c>
      <c r="L3498" s="14">
        <v>0.0</v>
      </c>
    </row>
    <row r="3499">
      <c r="A3499" s="14">
        <v>589.0</v>
      </c>
      <c r="B3499" s="14">
        <v>5.0</v>
      </c>
      <c r="C3499" s="34">
        <v>11.68</v>
      </c>
      <c r="D3499" s="36">
        <v>45091.0</v>
      </c>
      <c r="E3499" s="24"/>
      <c r="F3499" s="14">
        <v>2.34</v>
      </c>
      <c r="G3499" s="14">
        <v>19.83</v>
      </c>
      <c r="H3499" s="14">
        <v>0.85</v>
      </c>
      <c r="I3499" s="14" t="s">
        <v>6060</v>
      </c>
      <c r="J3499" s="14">
        <v>20.0</v>
      </c>
      <c r="K3499" s="14">
        <v>11.68</v>
      </c>
      <c r="L3499" s="14">
        <v>0.0</v>
      </c>
    </row>
    <row r="3500">
      <c r="A3500" s="14">
        <v>1970.0</v>
      </c>
      <c r="B3500" s="14">
        <v>6.0</v>
      </c>
      <c r="C3500" s="34">
        <v>11.42</v>
      </c>
      <c r="D3500" s="36">
        <v>45091.0</v>
      </c>
      <c r="E3500" s="24"/>
      <c r="F3500" s="14">
        <v>1.9</v>
      </c>
      <c r="G3500" s="14">
        <v>5.8</v>
      </c>
      <c r="H3500" s="14">
        <v>0.3</v>
      </c>
      <c r="I3500" s="14" t="s">
        <v>6050</v>
      </c>
      <c r="J3500" s="14">
        <v>33.33</v>
      </c>
      <c r="K3500" s="14">
        <v>5.71</v>
      </c>
      <c r="L3500" s="14">
        <v>0.0</v>
      </c>
    </row>
    <row r="3501">
      <c r="A3501" s="14">
        <v>208.0</v>
      </c>
      <c r="B3501" s="14">
        <v>3.0</v>
      </c>
      <c r="C3501" s="34">
        <v>11.75</v>
      </c>
      <c r="D3501" s="36">
        <v>45092.0</v>
      </c>
      <c r="E3501" s="24"/>
      <c r="F3501" s="14">
        <v>3.92</v>
      </c>
      <c r="G3501" s="14">
        <v>56.49</v>
      </c>
      <c r="H3501" s="14">
        <v>1.44</v>
      </c>
      <c r="I3501" s="14" t="s">
        <v>6061</v>
      </c>
      <c r="J3501" s="14">
        <v>33.33</v>
      </c>
      <c r="K3501" s="14">
        <v>11.75</v>
      </c>
      <c r="L3501" s="14">
        <v>0.0</v>
      </c>
    </row>
    <row r="3502">
      <c r="A3502" s="14">
        <v>106.0</v>
      </c>
      <c r="B3502" s="14">
        <v>0.0</v>
      </c>
      <c r="C3502" s="34">
        <v>11.59</v>
      </c>
      <c r="D3502" s="36">
        <v>45092.0</v>
      </c>
      <c r="E3502" s="24"/>
      <c r="F3502" s="14" t="s">
        <v>6012</v>
      </c>
      <c r="G3502" s="14">
        <v>109.34</v>
      </c>
      <c r="H3502" s="14">
        <v>0.0</v>
      </c>
      <c r="I3502" s="14" t="s">
        <v>6058</v>
      </c>
      <c r="J3502" s="14" t="s">
        <v>6012</v>
      </c>
      <c r="K3502" s="14">
        <v>11.59</v>
      </c>
      <c r="L3502" s="14">
        <v>0.0</v>
      </c>
    </row>
    <row r="3503">
      <c r="A3503" s="14">
        <v>287.0</v>
      </c>
      <c r="B3503" s="14">
        <v>1.0</v>
      </c>
      <c r="C3503" s="34">
        <v>11.72</v>
      </c>
      <c r="D3503" s="36">
        <v>45092.0</v>
      </c>
      <c r="E3503" s="24"/>
      <c r="F3503" s="14">
        <v>11.72</v>
      </c>
      <c r="G3503" s="14">
        <v>40.84</v>
      </c>
      <c r="H3503" s="14">
        <v>0.35</v>
      </c>
      <c r="I3503" s="14" t="s">
        <v>6062</v>
      </c>
      <c r="J3503" s="14">
        <v>100.0</v>
      </c>
      <c r="K3503" s="14">
        <v>11.72</v>
      </c>
      <c r="L3503" s="14">
        <v>0.0</v>
      </c>
    </row>
    <row r="3504">
      <c r="A3504" s="14">
        <v>250.0</v>
      </c>
      <c r="B3504" s="14">
        <v>1.0</v>
      </c>
      <c r="C3504" s="34">
        <v>12.4</v>
      </c>
      <c r="D3504" s="36">
        <v>45092.0</v>
      </c>
      <c r="E3504" s="24"/>
      <c r="F3504" s="14">
        <v>12.4</v>
      </c>
      <c r="G3504" s="14">
        <v>49.6</v>
      </c>
      <c r="H3504" s="14">
        <v>0.4</v>
      </c>
      <c r="I3504" s="14" t="s">
        <v>6042</v>
      </c>
      <c r="J3504" s="14">
        <v>0.0</v>
      </c>
      <c r="K3504" s="14" t="s">
        <v>6012</v>
      </c>
      <c r="L3504" s="14">
        <v>0.0</v>
      </c>
    </row>
    <row r="3505">
      <c r="A3505" s="14">
        <v>52.0</v>
      </c>
      <c r="B3505" s="14">
        <v>0.0</v>
      </c>
      <c r="C3505" s="34">
        <v>11.83</v>
      </c>
      <c r="D3505" s="36">
        <v>45092.0</v>
      </c>
      <c r="E3505" s="24"/>
      <c r="F3505" s="14" t="s">
        <v>6012</v>
      </c>
      <c r="G3505" s="14">
        <v>227.5</v>
      </c>
      <c r="H3505" s="14">
        <v>0.0</v>
      </c>
      <c r="I3505" s="14" t="s">
        <v>6057</v>
      </c>
      <c r="J3505" s="14" t="s">
        <v>6012</v>
      </c>
      <c r="K3505" s="14">
        <v>11.83</v>
      </c>
      <c r="L3505" s="14">
        <v>0.0</v>
      </c>
    </row>
    <row r="3506">
      <c r="A3506" s="14">
        <v>97.0</v>
      </c>
      <c r="B3506" s="14">
        <v>0.0</v>
      </c>
      <c r="C3506" s="34">
        <v>15.0</v>
      </c>
      <c r="D3506" s="36">
        <v>45092.0</v>
      </c>
      <c r="E3506" s="24"/>
      <c r="F3506" s="14" t="s">
        <v>6012</v>
      </c>
      <c r="G3506" s="14">
        <v>154.64</v>
      </c>
      <c r="H3506" s="14">
        <v>0.0</v>
      </c>
      <c r="I3506" s="14" t="s">
        <v>6063</v>
      </c>
      <c r="J3506" s="14" t="s">
        <v>6012</v>
      </c>
      <c r="K3506" s="14" t="s">
        <v>6012</v>
      </c>
      <c r="L3506" s="14">
        <v>0.0</v>
      </c>
    </row>
    <row r="3507">
      <c r="A3507" s="14">
        <v>752.0</v>
      </c>
      <c r="B3507" s="14">
        <v>7.0</v>
      </c>
      <c r="C3507" s="34">
        <v>11.04</v>
      </c>
      <c r="D3507" s="36">
        <v>45092.0</v>
      </c>
      <c r="E3507" s="24"/>
      <c r="F3507" s="14">
        <v>1.58</v>
      </c>
      <c r="G3507" s="14">
        <v>14.68</v>
      </c>
      <c r="H3507" s="14">
        <v>0.93</v>
      </c>
      <c r="I3507" s="14" t="s">
        <v>6051</v>
      </c>
      <c r="J3507" s="14">
        <v>0.0</v>
      </c>
      <c r="K3507" s="14" t="s">
        <v>6012</v>
      </c>
      <c r="L3507" s="14">
        <v>0.0</v>
      </c>
    </row>
    <row r="3508">
      <c r="A3508" s="14">
        <v>373.0</v>
      </c>
      <c r="B3508" s="14">
        <v>2.0</v>
      </c>
      <c r="C3508" s="34">
        <v>11.39</v>
      </c>
      <c r="D3508" s="36">
        <v>45092.0</v>
      </c>
      <c r="E3508" s="24"/>
      <c r="F3508" s="14">
        <v>5.7</v>
      </c>
      <c r="G3508" s="14">
        <v>30.54</v>
      </c>
      <c r="H3508" s="14">
        <v>0.54</v>
      </c>
      <c r="I3508" s="14" t="s">
        <v>6054</v>
      </c>
      <c r="J3508" s="14">
        <v>0.0</v>
      </c>
      <c r="K3508" s="14" t="s">
        <v>6012</v>
      </c>
      <c r="L3508" s="14">
        <v>0.0</v>
      </c>
    </row>
    <row r="3509">
      <c r="A3509" s="14">
        <v>585.0</v>
      </c>
      <c r="B3509" s="14">
        <v>5.0</v>
      </c>
      <c r="C3509" s="34">
        <v>11.55</v>
      </c>
      <c r="D3509" s="36">
        <v>45092.0</v>
      </c>
      <c r="E3509" s="24"/>
      <c r="F3509" s="14">
        <v>2.31</v>
      </c>
      <c r="G3509" s="14">
        <v>19.74</v>
      </c>
      <c r="H3509" s="14">
        <v>0.85</v>
      </c>
      <c r="I3509" s="14" t="s">
        <v>6060</v>
      </c>
      <c r="J3509" s="14">
        <v>20.0</v>
      </c>
      <c r="K3509" s="14">
        <v>11.55</v>
      </c>
      <c r="L3509" s="14">
        <v>0.0</v>
      </c>
    </row>
    <row r="3510">
      <c r="A3510" s="14">
        <v>1414.0</v>
      </c>
      <c r="B3510" s="14">
        <v>10.0</v>
      </c>
      <c r="C3510" s="34">
        <v>10.4</v>
      </c>
      <c r="D3510" s="36">
        <v>45092.0</v>
      </c>
      <c r="E3510" s="24"/>
      <c r="F3510" s="14">
        <v>1.04</v>
      </c>
      <c r="G3510" s="14">
        <v>7.36</v>
      </c>
      <c r="H3510" s="14">
        <v>0.71</v>
      </c>
      <c r="I3510" s="14" t="s">
        <v>6050</v>
      </c>
      <c r="J3510" s="14">
        <v>60.0</v>
      </c>
      <c r="K3510" s="14">
        <v>1.73</v>
      </c>
      <c r="L3510" s="14">
        <v>0.0</v>
      </c>
    </row>
    <row r="3511">
      <c r="A3511" s="14">
        <v>63.0</v>
      </c>
      <c r="B3511" s="14">
        <v>1.0</v>
      </c>
      <c r="C3511" s="34">
        <v>11.91</v>
      </c>
      <c r="D3511" s="36">
        <v>45092.0</v>
      </c>
      <c r="E3511" s="24"/>
      <c r="F3511" s="14">
        <v>11.91</v>
      </c>
      <c r="G3511" s="14">
        <v>189.05</v>
      </c>
      <c r="H3511" s="14">
        <v>1.59</v>
      </c>
      <c r="I3511" s="14" t="s">
        <v>6059</v>
      </c>
      <c r="J3511" s="14">
        <v>100.0</v>
      </c>
      <c r="K3511" s="14">
        <v>11.91</v>
      </c>
      <c r="L3511" s="14">
        <v>0.0</v>
      </c>
    </row>
    <row r="3512">
      <c r="A3512" s="14">
        <v>75.0</v>
      </c>
      <c r="B3512" s="14">
        <v>0.0</v>
      </c>
      <c r="C3512" s="34">
        <v>9.91</v>
      </c>
      <c r="D3512" s="36">
        <v>45093.0</v>
      </c>
      <c r="E3512" s="24"/>
      <c r="F3512" s="14" t="s">
        <v>6012</v>
      </c>
      <c r="G3512" s="14">
        <v>132.13</v>
      </c>
      <c r="H3512" s="14">
        <v>0.0</v>
      </c>
      <c r="I3512" s="14" t="s">
        <v>6063</v>
      </c>
      <c r="J3512" s="14" t="s">
        <v>6012</v>
      </c>
      <c r="K3512" s="14" t="s">
        <v>6012</v>
      </c>
      <c r="L3512" s="14">
        <v>0.0</v>
      </c>
    </row>
    <row r="3513">
      <c r="A3513" s="14">
        <v>137.0</v>
      </c>
      <c r="B3513" s="14">
        <v>3.0</v>
      </c>
      <c r="C3513" s="34">
        <v>10.96</v>
      </c>
      <c r="D3513" s="36">
        <v>45093.0</v>
      </c>
      <c r="E3513" s="24"/>
      <c r="F3513" s="14">
        <v>3.65</v>
      </c>
      <c r="G3513" s="14">
        <v>80.0</v>
      </c>
      <c r="H3513" s="14">
        <v>2.19</v>
      </c>
      <c r="I3513" s="14" t="s">
        <v>6058</v>
      </c>
      <c r="J3513" s="14">
        <v>0.0</v>
      </c>
      <c r="K3513" s="14" t="s">
        <v>6012</v>
      </c>
      <c r="L3513" s="14">
        <v>1.0</v>
      </c>
    </row>
    <row r="3514">
      <c r="A3514" s="14">
        <v>63.0</v>
      </c>
      <c r="B3514" s="14">
        <v>0.0</v>
      </c>
      <c r="C3514" s="34">
        <v>11.4</v>
      </c>
      <c r="D3514" s="36">
        <v>45093.0</v>
      </c>
      <c r="E3514" s="24"/>
      <c r="F3514" s="14" t="s">
        <v>6012</v>
      </c>
      <c r="G3514" s="14">
        <v>180.95</v>
      </c>
      <c r="H3514" s="14">
        <v>0.0</v>
      </c>
      <c r="I3514" s="14" t="s">
        <v>6059</v>
      </c>
      <c r="J3514" s="14" t="s">
        <v>6012</v>
      </c>
      <c r="K3514" s="14" t="s">
        <v>6012</v>
      </c>
      <c r="L3514" s="14">
        <v>0.0</v>
      </c>
    </row>
    <row r="3515">
      <c r="A3515" s="14">
        <v>48.0</v>
      </c>
      <c r="B3515" s="14">
        <v>2.0</v>
      </c>
      <c r="C3515" s="34">
        <v>10.38</v>
      </c>
      <c r="D3515" s="36">
        <v>45093.0</v>
      </c>
      <c r="E3515" s="24"/>
      <c r="F3515" s="14">
        <v>5.19</v>
      </c>
      <c r="G3515" s="14">
        <v>216.25</v>
      </c>
      <c r="H3515" s="14">
        <v>4.17</v>
      </c>
      <c r="I3515" s="14" t="s">
        <v>6057</v>
      </c>
      <c r="J3515" s="14">
        <v>0.0</v>
      </c>
      <c r="K3515" s="14" t="s">
        <v>6012</v>
      </c>
      <c r="L3515" s="14">
        <v>0.0</v>
      </c>
    </row>
    <row r="3516">
      <c r="A3516" s="14">
        <v>64.0</v>
      </c>
      <c r="B3516" s="14">
        <v>0.0</v>
      </c>
      <c r="C3516" s="34">
        <v>0.51</v>
      </c>
      <c r="D3516" s="36">
        <v>45093.0</v>
      </c>
      <c r="E3516" s="24"/>
      <c r="F3516" s="14" t="s">
        <v>6012</v>
      </c>
      <c r="G3516" s="14">
        <v>7.97</v>
      </c>
      <c r="H3516" s="14">
        <v>0.0</v>
      </c>
      <c r="I3516" s="14" t="s">
        <v>6050</v>
      </c>
      <c r="J3516" s="14" t="s">
        <v>6012</v>
      </c>
      <c r="K3516" s="14">
        <v>0.51</v>
      </c>
      <c r="L3516" s="14">
        <v>0.0</v>
      </c>
    </row>
    <row r="3517">
      <c r="A3517" s="14">
        <v>254.0</v>
      </c>
      <c r="B3517" s="14">
        <v>3.0</v>
      </c>
      <c r="C3517" s="34">
        <v>3.02</v>
      </c>
      <c r="D3517" s="36">
        <v>45093.0</v>
      </c>
      <c r="E3517" s="24"/>
      <c r="F3517" s="14">
        <v>1.01</v>
      </c>
      <c r="G3517" s="14">
        <v>11.89</v>
      </c>
      <c r="H3517" s="14">
        <v>1.18</v>
      </c>
      <c r="I3517" s="14" t="s">
        <v>6051</v>
      </c>
      <c r="J3517" s="14">
        <v>33.33</v>
      </c>
      <c r="K3517" s="14">
        <v>3.02</v>
      </c>
      <c r="L3517" s="14">
        <v>0.0</v>
      </c>
    </row>
    <row r="3518">
      <c r="A3518" s="14">
        <v>498.0</v>
      </c>
      <c r="B3518" s="14">
        <v>4.0</v>
      </c>
      <c r="C3518" s="34">
        <v>10.7</v>
      </c>
      <c r="D3518" s="36">
        <v>45093.0</v>
      </c>
      <c r="E3518" s="24"/>
      <c r="F3518" s="14">
        <v>2.68</v>
      </c>
      <c r="G3518" s="14">
        <v>21.49</v>
      </c>
      <c r="H3518" s="14">
        <v>0.8</v>
      </c>
      <c r="I3518" s="14" t="s">
        <v>6060</v>
      </c>
      <c r="J3518" s="14">
        <v>25.0</v>
      </c>
      <c r="K3518" s="14">
        <v>10.7</v>
      </c>
      <c r="L3518" s="14">
        <v>0.0</v>
      </c>
    </row>
    <row r="3519">
      <c r="A3519" s="14">
        <v>370.0</v>
      </c>
      <c r="B3519" s="14">
        <v>0.0</v>
      </c>
      <c r="C3519" s="34">
        <v>10.39</v>
      </c>
      <c r="D3519" s="36">
        <v>45093.0</v>
      </c>
      <c r="E3519" s="24"/>
      <c r="F3519" s="14" t="s">
        <v>6012</v>
      </c>
      <c r="G3519" s="14">
        <v>28.08</v>
      </c>
      <c r="H3519" s="14">
        <v>0.0</v>
      </c>
      <c r="I3519" s="14" t="s">
        <v>6062</v>
      </c>
      <c r="J3519" s="14" t="s">
        <v>6012</v>
      </c>
      <c r="K3519" s="14">
        <v>10.39</v>
      </c>
      <c r="L3519" s="14">
        <v>0.0</v>
      </c>
    </row>
    <row r="3520">
      <c r="A3520" s="14">
        <v>157.0</v>
      </c>
      <c r="B3520" s="14">
        <v>2.0</v>
      </c>
      <c r="C3520" s="34">
        <v>11.8</v>
      </c>
      <c r="D3520" s="36">
        <v>45093.0</v>
      </c>
      <c r="E3520" s="24"/>
      <c r="F3520" s="14">
        <v>5.9</v>
      </c>
      <c r="G3520" s="14">
        <v>75.16</v>
      </c>
      <c r="H3520" s="14">
        <v>1.27</v>
      </c>
      <c r="I3520" s="14" t="s">
        <v>6061</v>
      </c>
      <c r="J3520" s="14">
        <v>50.0</v>
      </c>
      <c r="K3520" s="14">
        <v>11.8</v>
      </c>
      <c r="L3520" s="14">
        <v>0.0</v>
      </c>
    </row>
    <row r="3521">
      <c r="A3521" s="14">
        <v>339.0</v>
      </c>
      <c r="B3521" s="14">
        <v>0.0</v>
      </c>
      <c r="C3521" s="34">
        <v>10.62</v>
      </c>
      <c r="D3521" s="36">
        <v>45093.0</v>
      </c>
      <c r="E3521" s="24"/>
      <c r="F3521" s="14" t="s">
        <v>6012</v>
      </c>
      <c r="G3521" s="14">
        <v>31.33</v>
      </c>
      <c r="H3521" s="14">
        <v>0.0</v>
      </c>
      <c r="I3521" s="14" t="s">
        <v>6054</v>
      </c>
      <c r="J3521" s="14" t="s">
        <v>6012</v>
      </c>
      <c r="K3521" s="14" t="s">
        <v>6012</v>
      </c>
      <c r="L3521" s="14">
        <v>0.0</v>
      </c>
    </row>
    <row r="3522">
      <c r="A3522" s="14">
        <v>297.0</v>
      </c>
      <c r="B3522" s="14">
        <v>0.0</v>
      </c>
      <c r="C3522" s="34">
        <v>11.4</v>
      </c>
      <c r="D3522" s="36">
        <v>45093.0</v>
      </c>
      <c r="E3522" s="24"/>
      <c r="F3522" s="14" t="s">
        <v>6012</v>
      </c>
      <c r="G3522" s="14">
        <v>38.38</v>
      </c>
      <c r="H3522" s="14">
        <v>0.0</v>
      </c>
      <c r="I3522" s="14" t="s">
        <v>6042</v>
      </c>
      <c r="J3522" s="14" t="s">
        <v>6012</v>
      </c>
      <c r="K3522" s="14">
        <v>11.4</v>
      </c>
      <c r="L3522" s="14">
        <v>0.0</v>
      </c>
    </row>
    <row r="3523">
      <c r="A3523" s="14">
        <v>26.0</v>
      </c>
      <c r="B3523" s="14">
        <v>0.0</v>
      </c>
      <c r="C3523" s="34">
        <v>5.34</v>
      </c>
      <c r="D3523" s="36">
        <v>45094.0</v>
      </c>
      <c r="E3523" s="24"/>
      <c r="F3523" s="14" t="s">
        <v>6012</v>
      </c>
      <c r="G3523" s="14">
        <v>205.38</v>
      </c>
      <c r="H3523" s="14">
        <v>0.0</v>
      </c>
      <c r="I3523" s="14" t="s">
        <v>6057</v>
      </c>
      <c r="J3523" s="14" t="s">
        <v>6012</v>
      </c>
      <c r="K3523" s="14" t="s">
        <v>6012</v>
      </c>
      <c r="L3523" s="14">
        <v>0.0</v>
      </c>
    </row>
    <row r="3524">
      <c r="A3524" s="14">
        <v>175.0</v>
      </c>
      <c r="B3524" s="14">
        <v>0.0</v>
      </c>
      <c r="C3524" s="34">
        <v>7.4</v>
      </c>
      <c r="D3524" s="36">
        <v>45094.0</v>
      </c>
      <c r="E3524" s="24"/>
      <c r="F3524" s="14" t="s">
        <v>6012</v>
      </c>
      <c r="G3524" s="14">
        <v>42.29</v>
      </c>
      <c r="H3524" s="14">
        <v>0.0</v>
      </c>
      <c r="I3524" s="14" t="s">
        <v>6054</v>
      </c>
      <c r="J3524" s="14" t="s">
        <v>6012</v>
      </c>
      <c r="K3524" s="14" t="s">
        <v>6012</v>
      </c>
      <c r="L3524" s="14">
        <v>0.0</v>
      </c>
    </row>
    <row r="3525">
      <c r="A3525" s="14">
        <v>190.0</v>
      </c>
      <c r="B3525" s="14">
        <v>3.0</v>
      </c>
      <c r="C3525" s="34">
        <v>7.65</v>
      </c>
      <c r="D3525" s="36">
        <v>45094.0</v>
      </c>
      <c r="E3525" s="24"/>
      <c r="F3525" s="14">
        <v>2.55</v>
      </c>
      <c r="G3525" s="14">
        <v>40.26</v>
      </c>
      <c r="H3525" s="14">
        <v>1.58</v>
      </c>
      <c r="I3525" s="14" t="s">
        <v>6042</v>
      </c>
      <c r="J3525" s="14">
        <v>0.0</v>
      </c>
      <c r="K3525" s="14" t="s">
        <v>6012</v>
      </c>
      <c r="L3525" s="14">
        <v>0.0</v>
      </c>
    </row>
    <row r="3526">
      <c r="A3526" s="14">
        <v>210.0</v>
      </c>
      <c r="B3526" s="14">
        <v>2.0</v>
      </c>
      <c r="C3526" s="34">
        <v>6.37</v>
      </c>
      <c r="D3526" s="36">
        <v>45094.0</v>
      </c>
      <c r="E3526" s="24"/>
      <c r="F3526" s="14">
        <v>3.18</v>
      </c>
      <c r="G3526" s="14">
        <v>30.33</v>
      </c>
      <c r="H3526" s="14">
        <v>0.95</v>
      </c>
      <c r="I3526" s="14" t="s">
        <v>6060</v>
      </c>
      <c r="J3526" s="14">
        <v>100.0</v>
      </c>
      <c r="K3526" s="14">
        <v>3.18</v>
      </c>
      <c r="L3526" s="14">
        <v>0.0</v>
      </c>
    </row>
    <row r="3527">
      <c r="A3527" s="14">
        <v>39.0</v>
      </c>
      <c r="B3527" s="14">
        <v>0.0</v>
      </c>
      <c r="C3527" s="34">
        <v>5.19</v>
      </c>
      <c r="D3527" s="36">
        <v>45094.0</v>
      </c>
      <c r="E3527" s="24"/>
      <c r="F3527" s="14" t="s">
        <v>6012</v>
      </c>
      <c r="G3527" s="14">
        <v>133.08</v>
      </c>
      <c r="H3527" s="14">
        <v>0.0</v>
      </c>
      <c r="I3527" s="14" t="s">
        <v>6063</v>
      </c>
      <c r="J3527" s="14" t="s">
        <v>6012</v>
      </c>
      <c r="K3527" s="14" t="s">
        <v>6012</v>
      </c>
      <c r="L3527" s="14">
        <v>0.0</v>
      </c>
    </row>
    <row r="3528">
      <c r="A3528" s="14">
        <v>38.0</v>
      </c>
      <c r="B3528" s="14">
        <v>1.0</v>
      </c>
      <c r="C3528" s="34">
        <v>0.23</v>
      </c>
      <c r="D3528" s="36">
        <v>45094.0</v>
      </c>
      <c r="E3528" s="24"/>
      <c r="F3528" s="14">
        <v>0.23</v>
      </c>
      <c r="G3528" s="14">
        <v>6.05</v>
      </c>
      <c r="H3528" s="14">
        <v>2.63</v>
      </c>
      <c r="I3528" s="14" t="s">
        <v>6050</v>
      </c>
      <c r="J3528" s="14">
        <v>0.0</v>
      </c>
      <c r="K3528" s="14" t="s">
        <v>6012</v>
      </c>
      <c r="L3528" s="14">
        <v>0.0</v>
      </c>
    </row>
    <row r="3529">
      <c r="A3529" s="14">
        <v>29.0</v>
      </c>
      <c r="B3529" s="14">
        <v>1.0</v>
      </c>
      <c r="C3529" s="34">
        <v>6.31</v>
      </c>
      <c r="D3529" s="36">
        <v>45094.0</v>
      </c>
      <c r="E3529" s="24"/>
      <c r="F3529" s="14">
        <v>6.31</v>
      </c>
      <c r="G3529" s="14">
        <v>217.59</v>
      </c>
      <c r="H3529" s="14">
        <v>3.45</v>
      </c>
      <c r="I3529" s="14" t="s">
        <v>6059</v>
      </c>
      <c r="J3529" s="14">
        <v>0.0</v>
      </c>
      <c r="K3529" s="14" t="s">
        <v>6012</v>
      </c>
      <c r="L3529" s="14">
        <v>0.0</v>
      </c>
    </row>
    <row r="3530">
      <c r="A3530" s="14">
        <v>32.0</v>
      </c>
      <c r="B3530" s="14">
        <v>0.0</v>
      </c>
      <c r="C3530" s="34">
        <v>6.1</v>
      </c>
      <c r="D3530" s="36">
        <v>45094.0</v>
      </c>
      <c r="E3530" s="24"/>
      <c r="F3530" s="14" t="s">
        <v>6012</v>
      </c>
      <c r="G3530" s="14">
        <v>190.62</v>
      </c>
      <c r="H3530" s="14">
        <v>0.0</v>
      </c>
      <c r="I3530" s="14" t="s">
        <v>6058</v>
      </c>
      <c r="J3530" s="14" t="s">
        <v>6012</v>
      </c>
      <c r="K3530" s="14">
        <v>6.1</v>
      </c>
      <c r="L3530" s="14">
        <v>0.0</v>
      </c>
    </row>
    <row r="3531">
      <c r="A3531" s="14">
        <v>55.0</v>
      </c>
      <c r="B3531" s="14">
        <v>0.0</v>
      </c>
      <c r="C3531" s="34">
        <v>6.09</v>
      </c>
      <c r="D3531" s="36">
        <v>45094.0</v>
      </c>
      <c r="E3531" s="24"/>
      <c r="F3531" s="14" t="s">
        <v>6012</v>
      </c>
      <c r="G3531" s="14">
        <v>110.73</v>
      </c>
      <c r="H3531" s="14">
        <v>0.0</v>
      </c>
      <c r="I3531" s="14" t="s">
        <v>6061</v>
      </c>
      <c r="J3531" s="14" t="s">
        <v>6012</v>
      </c>
      <c r="K3531" s="14" t="s">
        <v>6012</v>
      </c>
      <c r="L3531" s="14">
        <v>0.0</v>
      </c>
    </row>
    <row r="3532">
      <c r="A3532" s="14">
        <v>486.0</v>
      </c>
      <c r="B3532" s="14">
        <v>5.0</v>
      </c>
      <c r="C3532" s="34">
        <v>3.64</v>
      </c>
      <c r="D3532" s="36">
        <v>45094.0</v>
      </c>
      <c r="E3532" s="24"/>
      <c r="F3532" s="14">
        <v>0.73</v>
      </c>
      <c r="G3532" s="14">
        <v>7.49</v>
      </c>
      <c r="H3532" s="14">
        <v>1.03</v>
      </c>
      <c r="I3532" s="14" t="s">
        <v>6051</v>
      </c>
      <c r="J3532" s="14">
        <v>0.0</v>
      </c>
      <c r="K3532" s="14" t="s">
        <v>6012</v>
      </c>
      <c r="L3532" s="14">
        <v>0.0</v>
      </c>
    </row>
    <row r="3533">
      <c r="A3533" s="14">
        <v>161.0</v>
      </c>
      <c r="B3533" s="14">
        <v>0.0</v>
      </c>
      <c r="C3533" s="34">
        <v>6.28</v>
      </c>
      <c r="D3533" s="36">
        <v>45094.0</v>
      </c>
      <c r="E3533" s="24"/>
      <c r="F3533" s="14" t="s">
        <v>6012</v>
      </c>
      <c r="G3533" s="14">
        <v>39.01</v>
      </c>
      <c r="H3533" s="14">
        <v>0.0</v>
      </c>
      <c r="I3533" s="14" t="s">
        <v>6062</v>
      </c>
      <c r="J3533" s="14" t="s">
        <v>6012</v>
      </c>
      <c r="K3533" s="14">
        <v>6.28</v>
      </c>
      <c r="L3533" s="14">
        <v>0.0</v>
      </c>
    </row>
    <row r="3534">
      <c r="A3534" s="14">
        <v>72.0</v>
      </c>
      <c r="B3534" s="14">
        <v>0.0</v>
      </c>
      <c r="C3534" s="34">
        <v>6.3</v>
      </c>
      <c r="D3534" s="36">
        <v>45095.0</v>
      </c>
      <c r="E3534" s="24"/>
      <c r="F3534" s="14" t="s">
        <v>6012</v>
      </c>
      <c r="G3534" s="14">
        <v>87.5</v>
      </c>
      <c r="H3534" s="14">
        <v>0.0</v>
      </c>
      <c r="I3534" s="14" t="s">
        <v>6042</v>
      </c>
      <c r="J3534" s="14" t="s">
        <v>6012</v>
      </c>
      <c r="K3534" s="14" t="s">
        <v>6012</v>
      </c>
      <c r="L3534" s="14">
        <v>0.0</v>
      </c>
    </row>
    <row r="3535">
      <c r="A3535" s="14">
        <v>31.0</v>
      </c>
      <c r="B3535" s="14">
        <v>0.0</v>
      </c>
      <c r="C3535" s="34">
        <v>5.45</v>
      </c>
      <c r="D3535" s="36">
        <v>45095.0</v>
      </c>
      <c r="E3535" s="24"/>
      <c r="F3535" s="14" t="s">
        <v>6012</v>
      </c>
      <c r="G3535" s="14">
        <v>175.81</v>
      </c>
      <c r="H3535" s="14">
        <v>0.0</v>
      </c>
      <c r="I3535" s="14" t="s">
        <v>6058</v>
      </c>
      <c r="J3535" s="14" t="s">
        <v>6012</v>
      </c>
      <c r="K3535" s="14" t="s">
        <v>6012</v>
      </c>
      <c r="L3535" s="14">
        <v>0.0</v>
      </c>
    </row>
    <row r="3536">
      <c r="A3536" s="14">
        <v>37.0</v>
      </c>
      <c r="B3536" s="14">
        <v>1.0</v>
      </c>
      <c r="C3536" s="34">
        <v>3.94</v>
      </c>
      <c r="D3536" s="36">
        <v>45095.0</v>
      </c>
      <c r="E3536" s="24"/>
      <c r="F3536" s="14">
        <v>3.94</v>
      </c>
      <c r="G3536" s="14">
        <v>106.49</v>
      </c>
      <c r="H3536" s="14">
        <v>2.7</v>
      </c>
      <c r="I3536" s="14" t="s">
        <v>6063</v>
      </c>
      <c r="J3536" s="14">
        <v>0.0</v>
      </c>
      <c r="K3536" s="14" t="s">
        <v>6012</v>
      </c>
      <c r="L3536" s="14">
        <v>0.0</v>
      </c>
    </row>
    <row r="3537">
      <c r="A3537" s="14">
        <v>341.0</v>
      </c>
      <c r="B3537" s="14">
        <v>4.0</v>
      </c>
      <c r="C3537" s="34">
        <v>6.39</v>
      </c>
      <c r="D3537" s="36">
        <v>45095.0</v>
      </c>
      <c r="E3537" s="24"/>
      <c r="F3537" s="14">
        <v>1.6</v>
      </c>
      <c r="G3537" s="14">
        <v>18.74</v>
      </c>
      <c r="H3537" s="14">
        <v>1.17</v>
      </c>
      <c r="I3537" s="14" t="s">
        <v>6051</v>
      </c>
      <c r="J3537" s="14">
        <v>0.0</v>
      </c>
      <c r="K3537" s="14" t="s">
        <v>6012</v>
      </c>
      <c r="L3537" s="14">
        <v>0.0</v>
      </c>
    </row>
    <row r="3538">
      <c r="A3538" s="14">
        <v>97.0</v>
      </c>
      <c r="B3538" s="14">
        <v>2.0</v>
      </c>
      <c r="C3538" s="34">
        <v>5.25</v>
      </c>
      <c r="D3538" s="36">
        <v>45095.0</v>
      </c>
      <c r="E3538" s="24"/>
      <c r="F3538" s="14">
        <v>2.62</v>
      </c>
      <c r="G3538" s="14">
        <v>54.12</v>
      </c>
      <c r="H3538" s="14">
        <v>2.06</v>
      </c>
      <c r="I3538" s="14" t="s">
        <v>6054</v>
      </c>
      <c r="J3538" s="14">
        <v>0.0</v>
      </c>
      <c r="K3538" s="14" t="s">
        <v>6012</v>
      </c>
      <c r="L3538" s="14">
        <v>0.0</v>
      </c>
    </row>
    <row r="3539">
      <c r="A3539" s="14">
        <v>41.0</v>
      </c>
      <c r="B3539" s="14">
        <v>0.0</v>
      </c>
      <c r="C3539" s="34">
        <v>4.73</v>
      </c>
      <c r="D3539" s="36">
        <v>45095.0</v>
      </c>
      <c r="E3539" s="24"/>
      <c r="F3539" s="14" t="s">
        <v>6012</v>
      </c>
      <c r="G3539" s="14">
        <v>115.37</v>
      </c>
      <c r="H3539" s="14">
        <v>0.0</v>
      </c>
      <c r="I3539" s="14" t="s">
        <v>6061</v>
      </c>
      <c r="J3539" s="14" t="s">
        <v>6012</v>
      </c>
      <c r="K3539" s="14" t="s">
        <v>6012</v>
      </c>
      <c r="L3539" s="14">
        <v>0.0</v>
      </c>
    </row>
    <row r="3540">
      <c r="A3540" s="14">
        <v>37.0</v>
      </c>
      <c r="B3540" s="14">
        <v>0.0</v>
      </c>
      <c r="C3540" s="34">
        <v>0.32</v>
      </c>
      <c r="D3540" s="36">
        <v>45095.0</v>
      </c>
      <c r="E3540" s="24"/>
      <c r="F3540" s="14" t="s">
        <v>6012</v>
      </c>
      <c r="G3540" s="14">
        <v>8.65</v>
      </c>
      <c r="H3540" s="14">
        <v>0.0</v>
      </c>
      <c r="I3540" s="14" t="s">
        <v>6050</v>
      </c>
      <c r="J3540" s="14" t="s">
        <v>6012</v>
      </c>
      <c r="K3540" s="14" t="s">
        <v>6012</v>
      </c>
      <c r="L3540" s="14">
        <v>0.0</v>
      </c>
    </row>
    <row r="3541">
      <c r="A3541" s="14">
        <v>237.0</v>
      </c>
      <c r="B3541" s="14">
        <v>1.0</v>
      </c>
      <c r="C3541" s="34">
        <v>6.2</v>
      </c>
      <c r="D3541" s="36">
        <v>45095.0</v>
      </c>
      <c r="E3541" s="24"/>
      <c r="F3541" s="14">
        <v>6.2</v>
      </c>
      <c r="G3541" s="14">
        <v>26.16</v>
      </c>
      <c r="H3541" s="14">
        <v>0.42</v>
      </c>
      <c r="I3541" s="14" t="s">
        <v>6062</v>
      </c>
      <c r="J3541" s="14">
        <v>0.0</v>
      </c>
      <c r="K3541" s="14" t="s">
        <v>6012</v>
      </c>
      <c r="L3541" s="14">
        <v>0.0</v>
      </c>
    </row>
    <row r="3542">
      <c r="A3542" s="14">
        <v>20.0</v>
      </c>
      <c r="B3542" s="14">
        <v>0.0</v>
      </c>
      <c r="C3542" s="34">
        <v>4.42</v>
      </c>
      <c r="D3542" s="36">
        <v>45095.0</v>
      </c>
      <c r="E3542" s="24"/>
      <c r="F3542" s="14" t="s">
        <v>6012</v>
      </c>
      <c r="G3542" s="14">
        <v>221.0</v>
      </c>
      <c r="H3542" s="14">
        <v>0.0</v>
      </c>
      <c r="I3542" s="14" t="s">
        <v>6057</v>
      </c>
      <c r="J3542" s="14" t="s">
        <v>6012</v>
      </c>
      <c r="K3542" s="14" t="s">
        <v>6012</v>
      </c>
      <c r="L3542" s="14">
        <v>0.0</v>
      </c>
    </row>
    <row r="3543">
      <c r="A3543" s="14">
        <v>19.0</v>
      </c>
      <c r="B3543" s="14">
        <v>0.0</v>
      </c>
      <c r="C3543" s="34">
        <v>3.81</v>
      </c>
      <c r="D3543" s="36">
        <v>45095.0</v>
      </c>
      <c r="E3543" s="24"/>
      <c r="F3543" s="14" t="s">
        <v>6012</v>
      </c>
      <c r="G3543" s="14">
        <v>200.53</v>
      </c>
      <c r="H3543" s="14">
        <v>0.0</v>
      </c>
      <c r="I3543" s="14" t="s">
        <v>6059</v>
      </c>
      <c r="J3543" s="14" t="s">
        <v>6012</v>
      </c>
      <c r="K3543" s="14" t="s">
        <v>6012</v>
      </c>
      <c r="L3543" s="14">
        <v>0.0</v>
      </c>
    </row>
    <row r="3544">
      <c r="A3544" s="14">
        <v>126.0</v>
      </c>
      <c r="B3544" s="14">
        <v>2.0</v>
      </c>
      <c r="C3544" s="34">
        <v>6.5</v>
      </c>
      <c r="D3544" s="36">
        <v>45095.0</v>
      </c>
      <c r="E3544" s="24"/>
      <c r="F3544" s="14">
        <v>3.25</v>
      </c>
      <c r="G3544" s="14">
        <v>51.59</v>
      </c>
      <c r="H3544" s="14">
        <v>1.59</v>
      </c>
      <c r="I3544" s="14" t="s">
        <v>6060</v>
      </c>
      <c r="J3544" s="14">
        <v>0.0</v>
      </c>
      <c r="K3544" s="14" t="s">
        <v>6012</v>
      </c>
      <c r="L3544" s="14">
        <v>0.0</v>
      </c>
    </row>
    <row r="3545">
      <c r="A3545" s="14">
        <v>323.0</v>
      </c>
      <c r="B3545" s="14">
        <v>2.0</v>
      </c>
      <c r="C3545" s="34">
        <v>7.53</v>
      </c>
      <c r="D3545" s="36">
        <v>45096.0</v>
      </c>
      <c r="E3545" s="24"/>
      <c r="F3545" s="14">
        <v>3.76</v>
      </c>
      <c r="G3545" s="14">
        <v>23.31</v>
      </c>
      <c r="H3545" s="14">
        <v>0.62</v>
      </c>
      <c r="I3545" s="14" t="s">
        <v>6051</v>
      </c>
      <c r="J3545" s="14">
        <v>0.0</v>
      </c>
      <c r="K3545" s="14" t="s">
        <v>6012</v>
      </c>
      <c r="L3545" s="14">
        <v>0.0</v>
      </c>
    </row>
    <row r="3546">
      <c r="A3546" s="14">
        <v>168.0</v>
      </c>
      <c r="B3546" s="14">
        <v>1.0</v>
      </c>
      <c r="C3546" s="34">
        <v>12.92</v>
      </c>
      <c r="D3546" s="36">
        <v>45096.0</v>
      </c>
      <c r="E3546" s="24"/>
      <c r="F3546" s="14">
        <v>12.92</v>
      </c>
      <c r="G3546" s="14">
        <v>76.9</v>
      </c>
      <c r="H3546" s="14">
        <v>0.6</v>
      </c>
      <c r="I3546" s="14" t="s">
        <v>6042</v>
      </c>
      <c r="J3546" s="14">
        <v>0.0</v>
      </c>
      <c r="K3546" s="14" t="s">
        <v>6012</v>
      </c>
      <c r="L3546" s="14">
        <v>0.0</v>
      </c>
    </row>
    <row r="3547">
      <c r="A3547" s="14">
        <v>181.0</v>
      </c>
      <c r="B3547" s="14">
        <v>1.0</v>
      </c>
      <c r="C3547" s="34">
        <v>10.91</v>
      </c>
      <c r="D3547" s="36">
        <v>45096.0</v>
      </c>
      <c r="E3547" s="24"/>
      <c r="F3547" s="14">
        <v>10.91</v>
      </c>
      <c r="G3547" s="14">
        <v>60.28</v>
      </c>
      <c r="H3547" s="14">
        <v>0.55</v>
      </c>
      <c r="I3547" s="14" t="s">
        <v>6061</v>
      </c>
      <c r="J3547" s="14">
        <v>100.0</v>
      </c>
      <c r="K3547" s="14">
        <v>10.91</v>
      </c>
      <c r="L3547" s="14">
        <v>0.0</v>
      </c>
    </row>
    <row r="3548">
      <c r="A3548" s="14">
        <v>66.0</v>
      </c>
      <c r="B3548" s="14">
        <v>0.0</v>
      </c>
      <c r="C3548" s="34">
        <v>10.79</v>
      </c>
      <c r="D3548" s="36">
        <v>45096.0</v>
      </c>
      <c r="E3548" s="24"/>
      <c r="F3548" s="14" t="s">
        <v>6012</v>
      </c>
      <c r="G3548" s="14">
        <v>163.48</v>
      </c>
      <c r="H3548" s="14">
        <v>0.0</v>
      </c>
      <c r="I3548" s="14" t="s">
        <v>6059</v>
      </c>
      <c r="J3548" s="14" t="s">
        <v>6012</v>
      </c>
      <c r="K3548" s="14">
        <v>10.79</v>
      </c>
      <c r="L3548" s="14">
        <v>0.0</v>
      </c>
    </row>
    <row r="3549">
      <c r="A3549" s="14">
        <v>635.0</v>
      </c>
      <c r="B3549" s="14">
        <v>7.0</v>
      </c>
      <c r="C3549" s="34">
        <v>11.36</v>
      </c>
      <c r="D3549" s="36">
        <v>45096.0</v>
      </c>
      <c r="E3549" s="24"/>
      <c r="F3549" s="14">
        <v>1.62</v>
      </c>
      <c r="G3549" s="14">
        <v>17.89</v>
      </c>
      <c r="H3549" s="14">
        <v>1.1</v>
      </c>
      <c r="I3549" s="14" t="s">
        <v>6060</v>
      </c>
      <c r="J3549" s="14">
        <v>14.29</v>
      </c>
      <c r="K3549" s="14">
        <v>11.36</v>
      </c>
      <c r="L3549" s="14">
        <v>0.0</v>
      </c>
    </row>
    <row r="3550">
      <c r="A3550" s="14">
        <v>167.0</v>
      </c>
      <c r="B3550" s="14">
        <v>0.0</v>
      </c>
      <c r="C3550" s="34">
        <v>11.46</v>
      </c>
      <c r="D3550" s="36">
        <v>45096.0</v>
      </c>
      <c r="E3550" s="24"/>
      <c r="F3550" s="14" t="s">
        <v>6012</v>
      </c>
      <c r="G3550" s="14">
        <v>68.62</v>
      </c>
      <c r="H3550" s="14">
        <v>0.0</v>
      </c>
      <c r="I3550" s="14" t="s">
        <v>6058</v>
      </c>
      <c r="J3550" s="14" t="s">
        <v>6012</v>
      </c>
      <c r="K3550" s="14">
        <v>11.46</v>
      </c>
      <c r="L3550" s="14">
        <v>0.0</v>
      </c>
    </row>
    <row r="3551">
      <c r="A3551" s="14">
        <v>135.0</v>
      </c>
      <c r="B3551" s="14">
        <v>0.0</v>
      </c>
      <c r="C3551" s="34">
        <v>11.14</v>
      </c>
      <c r="D3551" s="36">
        <v>45096.0</v>
      </c>
      <c r="E3551" s="24"/>
      <c r="F3551" s="14" t="s">
        <v>6012</v>
      </c>
      <c r="G3551" s="14">
        <v>82.52</v>
      </c>
      <c r="H3551" s="14">
        <v>0.0</v>
      </c>
      <c r="I3551" s="14" t="s">
        <v>6063</v>
      </c>
      <c r="J3551" s="14" t="s">
        <v>6012</v>
      </c>
      <c r="K3551" s="14">
        <v>5.57</v>
      </c>
      <c r="L3551" s="14">
        <v>0.0</v>
      </c>
    </row>
    <row r="3552">
      <c r="A3552" s="14">
        <v>440.0</v>
      </c>
      <c r="B3552" s="14">
        <v>1.0</v>
      </c>
      <c r="C3552" s="34">
        <v>11.33</v>
      </c>
      <c r="D3552" s="36">
        <v>45096.0</v>
      </c>
      <c r="E3552" s="24"/>
      <c r="F3552" s="14">
        <v>11.33</v>
      </c>
      <c r="G3552" s="14">
        <v>25.75</v>
      </c>
      <c r="H3552" s="14">
        <v>0.23</v>
      </c>
      <c r="I3552" s="14" t="s">
        <v>6062</v>
      </c>
      <c r="J3552" s="14">
        <v>0.0</v>
      </c>
      <c r="K3552" s="14" t="s">
        <v>6012</v>
      </c>
      <c r="L3552" s="14">
        <v>0.0</v>
      </c>
    </row>
    <row r="3553">
      <c r="A3553" s="14">
        <v>67.0</v>
      </c>
      <c r="B3553" s="14">
        <v>3.0</v>
      </c>
      <c r="C3553" s="34">
        <v>13.07</v>
      </c>
      <c r="D3553" s="36">
        <v>45096.0</v>
      </c>
      <c r="E3553" s="24"/>
      <c r="F3553" s="14">
        <v>4.36</v>
      </c>
      <c r="G3553" s="14">
        <v>195.07</v>
      </c>
      <c r="H3553" s="14">
        <v>4.48</v>
      </c>
      <c r="I3553" s="14" t="s">
        <v>6057</v>
      </c>
      <c r="J3553" s="14">
        <v>0.0</v>
      </c>
      <c r="K3553" s="14" t="s">
        <v>6012</v>
      </c>
      <c r="L3553" s="14">
        <v>0.0</v>
      </c>
    </row>
    <row r="3554">
      <c r="A3554" s="14">
        <v>336.0</v>
      </c>
      <c r="B3554" s="14">
        <v>2.0</v>
      </c>
      <c r="C3554" s="34">
        <v>11.42</v>
      </c>
      <c r="D3554" s="36">
        <v>45096.0</v>
      </c>
      <c r="E3554" s="24"/>
      <c r="F3554" s="14">
        <v>5.71</v>
      </c>
      <c r="G3554" s="14">
        <v>33.99</v>
      </c>
      <c r="H3554" s="14">
        <v>0.6</v>
      </c>
      <c r="I3554" s="14" t="s">
        <v>6054</v>
      </c>
      <c r="J3554" s="14">
        <v>0.0</v>
      </c>
      <c r="K3554" s="14" t="s">
        <v>6012</v>
      </c>
      <c r="L3554" s="14">
        <v>0.0</v>
      </c>
    </row>
    <row r="3555">
      <c r="A3555" s="14">
        <v>45.0</v>
      </c>
      <c r="B3555" s="14">
        <v>0.0</v>
      </c>
      <c r="C3555" s="34">
        <v>0.75</v>
      </c>
      <c r="D3555" s="36">
        <v>45096.0</v>
      </c>
      <c r="E3555" s="24"/>
      <c r="F3555" s="14" t="s">
        <v>6012</v>
      </c>
      <c r="G3555" s="14">
        <v>16.67</v>
      </c>
      <c r="H3555" s="14">
        <v>0.0</v>
      </c>
      <c r="I3555" s="14" t="s">
        <v>6050</v>
      </c>
      <c r="J3555" s="14" t="s">
        <v>6012</v>
      </c>
      <c r="K3555" s="14" t="s">
        <v>6012</v>
      </c>
      <c r="L3555" s="14">
        <v>0.0</v>
      </c>
    </row>
    <row r="3556">
      <c r="A3556" s="14">
        <v>130.0</v>
      </c>
      <c r="B3556" s="14">
        <v>0.0</v>
      </c>
      <c r="C3556" s="34">
        <v>12.83</v>
      </c>
      <c r="D3556" s="36">
        <v>45097.0</v>
      </c>
      <c r="E3556" s="24"/>
      <c r="F3556" s="14" t="s">
        <v>6012</v>
      </c>
      <c r="G3556" s="14">
        <v>98.69</v>
      </c>
      <c r="H3556" s="14">
        <v>0.0</v>
      </c>
      <c r="I3556" s="14" t="s">
        <v>6061</v>
      </c>
      <c r="J3556" s="14" t="s">
        <v>6012</v>
      </c>
      <c r="K3556" s="14">
        <v>12.83</v>
      </c>
      <c r="L3556" s="14">
        <v>0.0</v>
      </c>
    </row>
    <row r="3557">
      <c r="A3557" s="14">
        <v>70.0</v>
      </c>
      <c r="B3557" s="14">
        <v>0.0</v>
      </c>
      <c r="C3557" s="34">
        <v>13.47</v>
      </c>
      <c r="D3557" s="36">
        <v>45097.0</v>
      </c>
      <c r="E3557" s="24"/>
      <c r="F3557" s="14" t="s">
        <v>6012</v>
      </c>
      <c r="G3557" s="14">
        <v>192.43</v>
      </c>
      <c r="H3557" s="14">
        <v>0.0</v>
      </c>
      <c r="I3557" s="14" t="s">
        <v>6057</v>
      </c>
      <c r="J3557" s="14" t="s">
        <v>6012</v>
      </c>
      <c r="K3557" s="14" t="s">
        <v>6012</v>
      </c>
      <c r="L3557" s="14">
        <v>0.0</v>
      </c>
    </row>
    <row r="3558">
      <c r="A3558" s="14">
        <v>309.0</v>
      </c>
      <c r="B3558" s="14">
        <v>0.0</v>
      </c>
      <c r="C3558" s="34">
        <v>13.35</v>
      </c>
      <c r="D3558" s="36">
        <v>45097.0</v>
      </c>
      <c r="E3558" s="24"/>
      <c r="F3558" s="14" t="s">
        <v>6012</v>
      </c>
      <c r="G3558" s="14">
        <v>43.2</v>
      </c>
      <c r="H3558" s="14">
        <v>0.0</v>
      </c>
      <c r="I3558" s="14" t="s">
        <v>6042</v>
      </c>
      <c r="J3558" s="14" t="s">
        <v>6012</v>
      </c>
      <c r="K3558" s="14" t="s">
        <v>6012</v>
      </c>
      <c r="L3558" s="14">
        <v>0.0</v>
      </c>
    </row>
    <row r="3559">
      <c r="A3559" s="14">
        <v>371.0</v>
      </c>
      <c r="B3559" s="14">
        <v>0.0</v>
      </c>
      <c r="C3559" s="34">
        <v>12.64</v>
      </c>
      <c r="D3559" s="36">
        <v>45097.0</v>
      </c>
      <c r="E3559" s="24"/>
      <c r="F3559" s="14" t="s">
        <v>6012</v>
      </c>
      <c r="G3559" s="14">
        <v>34.07</v>
      </c>
      <c r="H3559" s="14">
        <v>0.0</v>
      </c>
      <c r="I3559" s="14" t="s">
        <v>6050</v>
      </c>
      <c r="J3559" s="14" t="s">
        <v>6012</v>
      </c>
      <c r="K3559" s="14" t="s">
        <v>6012</v>
      </c>
      <c r="L3559" s="14">
        <v>0.0</v>
      </c>
    </row>
    <row r="3560">
      <c r="A3560" s="14">
        <v>320.0</v>
      </c>
      <c r="B3560" s="14">
        <v>3.0</v>
      </c>
      <c r="C3560" s="34">
        <v>12.45</v>
      </c>
      <c r="D3560" s="36">
        <v>45097.0</v>
      </c>
      <c r="E3560" s="24"/>
      <c r="F3560" s="14">
        <v>4.15</v>
      </c>
      <c r="G3560" s="14">
        <v>38.91</v>
      </c>
      <c r="H3560" s="14">
        <v>0.94</v>
      </c>
      <c r="I3560" s="14" t="s">
        <v>6062</v>
      </c>
      <c r="J3560" s="14">
        <v>33.33</v>
      </c>
      <c r="K3560" s="14">
        <v>12.45</v>
      </c>
      <c r="L3560" s="14">
        <v>0.0</v>
      </c>
    </row>
    <row r="3561">
      <c r="A3561" s="14">
        <v>90.0</v>
      </c>
      <c r="B3561" s="14">
        <v>0.0</v>
      </c>
      <c r="C3561" s="34">
        <v>15.0</v>
      </c>
      <c r="D3561" s="36">
        <v>45097.0</v>
      </c>
      <c r="E3561" s="24"/>
      <c r="F3561" s="14" t="s">
        <v>6012</v>
      </c>
      <c r="G3561" s="14">
        <v>166.67</v>
      </c>
      <c r="H3561" s="14">
        <v>0.0</v>
      </c>
      <c r="I3561" s="14" t="s">
        <v>6063</v>
      </c>
      <c r="J3561" s="14" t="s">
        <v>6012</v>
      </c>
      <c r="K3561" s="14" t="s">
        <v>6012</v>
      </c>
      <c r="L3561" s="14">
        <v>0.0</v>
      </c>
    </row>
    <row r="3562">
      <c r="A3562" s="14">
        <v>499.0</v>
      </c>
      <c r="B3562" s="14">
        <v>11.0</v>
      </c>
      <c r="C3562" s="34">
        <v>11.97</v>
      </c>
      <c r="D3562" s="36">
        <v>45097.0</v>
      </c>
      <c r="E3562" s="24"/>
      <c r="F3562" s="14">
        <v>1.09</v>
      </c>
      <c r="G3562" s="14">
        <v>23.99</v>
      </c>
      <c r="H3562" s="14">
        <v>2.2</v>
      </c>
      <c r="I3562" s="14" t="s">
        <v>6060</v>
      </c>
      <c r="J3562" s="14">
        <v>27.27</v>
      </c>
      <c r="K3562" s="14">
        <v>3.99</v>
      </c>
      <c r="L3562" s="14">
        <v>0.0</v>
      </c>
    </row>
    <row r="3563">
      <c r="A3563" s="14">
        <v>830.0</v>
      </c>
      <c r="B3563" s="14">
        <v>5.0</v>
      </c>
      <c r="C3563" s="34">
        <v>12.59</v>
      </c>
      <c r="D3563" s="36">
        <v>45097.0</v>
      </c>
      <c r="E3563" s="24"/>
      <c r="F3563" s="14">
        <v>2.52</v>
      </c>
      <c r="G3563" s="14">
        <v>15.17</v>
      </c>
      <c r="H3563" s="14">
        <v>0.6</v>
      </c>
      <c r="I3563" s="14" t="s">
        <v>6051</v>
      </c>
      <c r="J3563" s="14">
        <v>20.0</v>
      </c>
      <c r="K3563" s="14">
        <v>12.59</v>
      </c>
      <c r="L3563" s="14">
        <v>0.0</v>
      </c>
    </row>
    <row r="3564">
      <c r="A3564" s="14">
        <v>56.0</v>
      </c>
      <c r="B3564" s="14">
        <v>0.0</v>
      </c>
      <c r="C3564" s="34">
        <v>15.0</v>
      </c>
      <c r="D3564" s="36">
        <v>45097.0</v>
      </c>
      <c r="E3564" s="24"/>
      <c r="F3564" s="14" t="s">
        <v>6012</v>
      </c>
      <c r="G3564" s="14">
        <v>267.86</v>
      </c>
      <c r="H3564" s="14">
        <v>0.0</v>
      </c>
      <c r="I3564" s="14" t="s">
        <v>6059</v>
      </c>
      <c r="J3564" s="14" t="s">
        <v>6012</v>
      </c>
      <c r="K3564" s="14">
        <v>15.0</v>
      </c>
      <c r="L3564" s="14">
        <v>0.0</v>
      </c>
    </row>
    <row r="3565">
      <c r="A3565" s="14">
        <v>155.0</v>
      </c>
      <c r="B3565" s="14">
        <v>2.0</v>
      </c>
      <c r="C3565" s="34">
        <v>14.11</v>
      </c>
      <c r="D3565" s="36">
        <v>45097.0</v>
      </c>
      <c r="E3565" s="24"/>
      <c r="F3565" s="14">
        <v>7.06</v>
      </c>
      <c r="G3565" s="14">
        <v>91.03</v>
      </c>
      <c r="H3565" s="14">
        <v>1.29</v>
      </c>
      <c r="I3565" s="14" t="s">
        <v>6058</v>
      </c>
      <c r="J3565" s="14">
        <v>0.0</v>
      </c>
      <c r="K3565" s="14" t="s">
        <v>6012</v>
      </c>
      <c r="L3565" s="14">
        <v>1.0</v>
      </c>
    </row>
    <row r="3566">
      <c r="A3566" s="14">
        <v>389.0</v>
      </c>
      <c r="B3566" s="14">
        <v>0.0</v>
      </c>
      <c r="C3566" s="34">
        <v>11.88</v>
      </c>
      <c r="D3566" s="36">
        <v>45097.0</v>
      </c>
      <c r="E3566" s="24"/>
      <c r="F3566" s="14" t="s">
        <v>6012</v>
      </c>
      <c r="G3566" s="14">
        <v>30.54</v>
      </c>
      <c r="H3566" s="14">
        <v>0.0</v>
      </c>
      <c r="I3566" s="14" t="s">
        <v>6054</v>
      </c>
      <c r="J3566" s="14" t="s">
        <v>6012</v>
      </c>
      <c r="K3566" s="14" t="s">
        <v>6012</v>
      </c>
      <c r="L3566" s="14">
        <v>0.0</v>
      </c>
    </row>
    <row r="3567">
      <c r="A3567" s="14">
        <v>95.0</v>
      </c>
      <c r="B3567" s="14">
        <v>1.0</v>
      </c>
      <c r="C3567" s="34">
        <v>15.0</v>
      </c>
      <c r="D3567" s="36">
        <v>45098.0</v>
      </c>
      <c r="E3567" s="24"/>
      <c r="F3567" s="14">
        <v>15.0</v>
      </c>
      <c r="G3567" s="14">
        <v>157.89</v>
      </c>
      <c r="H3567" s="14">
        <v>1.05</v>
      </c>
      <c r="I3567" s="14" t="s">
        <v>6061</v>
      </c>
      <c r="J3567" s="14">
        <v>0.0</v>
      </c>
      <c r="K3567" s="14" t="s">
        <v>6012</v>
      </c>
      <c r="L3567" s="14">
        <v>0.0</v>
      </c>
    </row>
    <row r="3568">
      <c r="A3568" s="14">
        <v>405.0</v>
      </c>
      <c r="B3568" s="14">
        <v>7.0</v>
      </c>
      <c r="C3568" s="34">
        <v>12.4</v>
      </c>
      <c r="D3568" s="36">
        <v>45098.0</v>
      </c>
      <c r="E3568" s="24"/>
      <c r="F3568" s="14">
        <v>1.77</v>
      </c>
      <c r="G3568" s="14">
        <v>30.62</v>
      </c>
      <c r="H3568" s="14">
        <v>1.73</v>
      </c>
      <c r="I3568" s="14" t="s">
        <v>6060</v>
      </c>
      <c r="J3568" s="14">
        <v>14.29</v>
      </c>
      <c r="K3568" s="14">
        <v>12.4</v>
      </c>
      <c r="L3568" s="14">
        <v>0.0</v>
      </c>
    </row>
    <row r="3569">
      <c r="A3569" s="14">
        <v>63.0</v>
      </c>
      <c r="B3569" s="14">
        <v>0.0</v>
      </c>
      <c r="C3569" s="34">
        <v>12.6</v>
      </c>
      <c r="D3569" s="36">
        <v>45098.0</v>
      </c>
      <c r="E3569" s="24"/>
      <c r="F3569" s="14" t="s">
        <v>6012</v>
      </c>
      <c r="G3569" s="14">
        <v>200.0</v>
      </c>
      <c r="H3569" s="14">
        <v>0.0</v>
      </c>
      <c r="I3569" s="14" t="s">
        <v>6063</v>
      </c>
      <c r="J3569" s="14" t="s">
        <v>6012</v>
      </c>
      <c r="K3569" s="14" t="s">
        <v>6012</v>
      </c>
      <c r="L3569" s="14">
        <v>0.0</v>
      </c>
    </row>
    <row r="3570">
      <c r="A3570" s="14">
        <v>1957.0</v>
      </c>
      <c r="B3570" s="14">
        <v>17.0</v>
      </c>
      <c r="C3570" s="34">
        <v>13.56</v>
      </c>
      <c r="D3570" s="36">
        <v>45098.0</v>
      </c>
      <c r="E3570" s="24"/>
      <c r="F3570" s="14">
        <v>0.8</v>
      </c>
      <c r="G3570" s="14">
        <v>6.93</v>
      </c>
      <c r="H3570" s="14">
        <v>0.87</v>
      </c>
      <c r="I3570" s="14" t="s">
        <v>6050</v>
      </c>
      <c r="J3570" s="14">
        <v>17.65</v>
      </c>
      <c r="K3570" s="14">
        <v>4.52</v>
      </c>
      <c r="L3570" s="14">
        <v>0.0</v>
      </c>
    </row>
    <row r="3571">
      <c r="A3571" s="14">
        <v>105.0</v>
      </c>
      <c r="B3571" s="14">
        <v>2.0</v>
      </c>
      <c r="C3571" s="34">
        <v>11.64</v>
      </c>
      <c r="D3571" s="36">
        <v>45098.0</v>
      </c>
      <c r="E3571" s="24"/>
      <c r="F3571" s="14">
        <v>5.82</v>
      </c>
      <c r="G3571" s="14">
        <v>110.86</v>
      </c>
      <c r="H3571" s="14">
        <v>1.9</v>
      </c>
      <c r="I3571" s="14" t="s">
        <v>6058</v>
      </c>
      <c r="J3571" s="14">
        <v>50.0</v>
      </c>
      <c r="K3571" s="14">
        <v>11.64</v>
      </c>
      <c r="L3571" s="14">
        <v>0.0</v>
      </c>
    </row>
    <row r="3572">
      <c r="A3572" s="14">
        <v>314.0</v>
      </c>
      <c r="B3572" s="14">
        <v>0.0</v>
      </c>
      <c r="C3572" s="34">
        <v>11.79</v>
      </c>
      <c r="D3572" s="36">
        <v>45098.0</v>
      </c>
      <c r="E3572" s="24"/>
      <c r="F3572" s="14" t="s">
        <v>6012</v>
      </c>
      <c r="G3572" s="14">
        <v>37.55</v>
      </c>
      <c r="H3572" s="14">
        <v>0.0</v>
      </c>
      <c r="I3572" s="14" t="s">
        <v>6062</v>
      </c>
      <c r="J3572" s="14" t="s">
        <v>6012</v>
      </c>
      <c r="K3572" s="14">
        <v>11.79</v>
      </c>
      <c r="L3572" s="14">
        <v>0.0</v>
      </c>
    </row>
    <row r="3573">
      <c r="A3573" s="14">
        <v>55.0</v>
      </c>
      <c r="B3573" s="14">
        <v>0.0</v>
      </c>
      <c r="C3573" s="34">
        <v>12.64</v>
      </c>
      <c r="D3573" s="36">
        <v>45098.0</v>
      </c>
      <c r="E3573" s="24"/>
      <c r="F3573" s="14" t="s">
        <v>6012</v>
      </c>
      <c r="G3573" s="14">
        <v>229.82</v>
      </c>
      <c r="H3573" s="14">
        <v>0.0</v>
      </c>
      <c r="I3573" s="14" t="s">
        <v>6059</v>
      </c>
      <c r="J3573" s="14" t="s">
        <v>6012</v>
      </c>
      <c r="K3573" s="14" t="s">
        <v>6012</v>
      </c>
      <c r="L3573" s="14">
        <v>0.0</v>
      </c>
    </row>
    <row r="3574">
      <c r="A3574" s="14">
        <v>260.0</v>
      </c>
      <c r="B3574" s="14">
        <v>0.0</v>
      </c>
      <c r="C3574" s="34">
        <v>12.27</v>
      </c>
      <c r="D3574" s="36">
        <v>45098.0</v>
      </c>
      <c r="E3574" s="24"/>
      <c r="F3574" s="14" t="s">
        <v>6012</v>
      </c>
      <c r="G3574" s="14">
        <v>47.19</v>
      </c>
      <c r="H3574" s="14">
        <v>0.0</v>
      </c>
      <c r="I3574" s="14" t="s">
        <v>6054</v>
      </c>
      <c r="J3574" s="14" t="s">
        <v>6012</v>
      </c>
      <c r="K3574" s="14" t="s">
        <v>6012</v>
      </c>
      <c r="L3574" s="14">
        <v>0.0</v>
      </c>
    </row>
    <row r="3575">
      <c r="A3575" s="14">
        <v>299.0</v>
      </c>
      <c r="B3575" s="14">
        <v>0.0</v>
      </c>
      <c r="C3575" s="34">
        <v>13.67</v>
      </c>
      <c r="D3575" s="36">
        <v>45098.0</v>
      </c>
      <c r="E3575" s="24"/>
      <c r="F3575" s="14" t="s">
        <v>6012</v>
      </c>
      <c r="G3575" s="14">
        <v>45.72</v>
      </c>
      <c r="H3575" s="14">
        <v>0.0</v>
      </c>
      <c r="I3575" s="14" t="s">
        <v>6042</v>
      </c>
      <c r="J3575" s="14" t="s">
        <v>6012</v>
      </c>
      <c r="K3575" s="14" t="s">
        <v>6012</v>
      </c>
      <c r="L3575" s="14">
        <v>0.0</v>
      </c>
    </row>
    <row r="3576">
      <c r="A3576" s="14">
        <v>1062.0</v>
      </c>
      <c r="B3576" s="14">
        <v>8.0</v>
      </c>
      <c r="C3576" s="34">
        <v>13.09</v>
      </c>
      <c r="D3576" s="36">
        <v>45098.0</v>
      </c>
      <c r="E3576" s="24"/>
      <c r="F3576" s="14">
        <v>1.64</v>
      </c>
      <c r="G3576" s="14">
        <v>12.33</v>
      </c>
      <c r="H3576" s="14">
        <v>0.75</v>
      </c>
      <c r="I3576" s="14" t="s">
        <v>6051</v>
      </c>
      <c r="J3576" s="14">
        <v>0.0</v>
      </c>
      <c r="K3576" s="14" t="s">
        <v>6012</v>
      </c>
      <c r="L3576" s="14">
        <v>0.0</v>
      </c>
    </row>
    <row r="3577">
      <c r="A3577" s="14">
        <v>80.0</v>
      </c>
      <c r="B3577" s="14">
        <v>1.0</v>
      </c>
      <c r="C3577" s="34">
        <v>13.04</v>
      </c>
      <c r="D3577" s="36">
        <v>45098.0</v>
      </c>
      <c r="E3577" s="24"/>
      <c r="F3577" s="14">
        <v>13.04</v>
      </c>
      <c r="G3577" s="14">
        <v>163.0</v>
      </c>
      <c r="H3577" s="14">
        <v>1.25</v>
      </c>
      <c r="I3577" s="14" t="s">
        <v>6057</v>
      </c>
      <c r="J3577" s="14">
        <v>0.0</v>
      </c>
      <c r="K3577" s="14" t="s">
        <v>6012</v>
      </c>
      <c r="L3577" s="14">
        <v>0.0</v>
      </c>
    </row>
    <row r="3578">
      <c r="A3578" s="14">
        <v>61.0</v>
      </c>
      <c r="B3578" s="14">
        <v>1.0</v>
      </c>
      <c r="C3578" s="34">
        <v>10.85</v>
      </c>
      <c r="D3578" s="36">
        <v>45099.0</v>
      </c>
      <c r="E3578" s="24"/>
      <c r="F3578" s="14">
        <v>10.85</v>
      </c>
      <c r="G3578" s="14">
        <v>177.87</v>
      </c>
      <c r="H3578" s="14">
        <v>1.64</v>
      </c>
      <c r="I3578" s="14" t="s">
        <v>6057</v>
      </c>
      <c r="J3578" s="14">
        <v>0.0</v>
      </c>
      <c r="K3578" s="14" t="s">
        <v>6012</v>
      </c>
      <c r="L3578" s="14">
        <v>0.0</v>
      </c>
    </row>
    <row r="3579">
      <c r="A3579" s="14">
        <v>123.0</v>
      </c>
      <c r="B3579" s="14">
        <v>0.0</v>
      </c>
      <c r="C3579" s="34">
        <v>10.8</v>
      </c>
      <c r="D3579" s="36">
        <v>45099.0</v>
      </c>
      <c r="E3579" s="24"/>
      <c r="F3579" s="14" t="s">
        <v>6012</v>
      </c>
      <c r="G3579" s="14">
        <v>87.8</v>
      </c>
      <c r="H3579" s="14">
        <v>0.0</v>
      </c>
      <c r="I3579" s="14" t="s">
        <v>6058</v>
      </c>
      <c r="J3579" s="14" t="s">
        <v>6012</v>
      </c>
      <c r="K3579" s="14" t="s">
        <v>6012</v>
      </c>
      <c r="L3579" s="14">
        <v>0.0</v>
      </c>
    </row>
    <row r="3580">
      <c r="A3580" s="14">
        <v>48.0</v>
      </c>
      <c r="B3580" s="14">
        <v>1.0</v>
      </c>
      <c r="C3580" s="34">
        <v>11.59</v>
      </c>
      <c r="D3580" s="36">
        <v>45099.0</v>
      </c>
      <c r="E3580" s="24"/>
      <c r="F3580" s="14">
        <v>11.59</v>
      </c>
      <c r="G3580" s="14">
        <v>241.46</v>
      </c>
      <c r="H3580" s="14">
        <v>2.08</v>
      </c>
      <c r="I3580" s="14" t="s">
        <v>6059</v>
      </c>
      <c r="J3580" s="14">
        <v>0.0</v>
      </c>
      <c r="K3580" s="14" t="s">
        <v>6012</v>
      </c>
      <c r="L3580" s="14">
        <v>0.0</v>
      </c>
    </row>
    <row r="3581">
      <c r="A3581" s="14">
        <v>1063.0</v>
      </c>
      <c r="B3581" s="14">
        <v>10.0</v>
      </c>
      <c r="C3581" s="34">
        <v>12.1</v>
      </c>
      <c r="D3581" s="36">
        <v>45099.0</v>
      </c>
      <c r="E3581" s="24"/>
      <c r="F3581" s="14">
        <v>1.21</v>
      </c>
      <c r="G3581" s="14">
        <v>11.38</v>
      </c>
      <c r="H3581" s="14">
        <v>0.94</v>
      </c>
      <c r="I3581" s="14" t="s">
        <v>6051</v>
      </c>
      <c r="J3581" s="14">
        <v>20.0</v>
      </c>
      <c r="K3581" s="14">
        <v>6.05</v>
      </c>
      <c r="L3581" s="14">
        <v>0.0</v>
      </c>
    </row>
    <row r="3582">
      <c r="A3582" s="14">
        <v>420.0</v>
      </c>
      <c r="B3582" s="14">
        <v>1.0</v>
      </c>
      <c r="C3582" s="34">
        <v>13.21</v>
      </c>
      <c r="D3582" s="36">
        <v>45099.0</v>
      </c>
      <c r="E3582" s="24"/>
      <c r="F3582" s="14">
        <v>13.21</v>
      </c>
      <c r="G3582" s="14">
        <v>31.45</v>
      </c>
      <c r="H3582" s="14">
        <v>0.24</v>
      </c>
      <c r="I3582" s="14" t="s">
        <v>6042</v>
      </c>
      <c r="J3582" s="14">
        <v>0.0</v>
      </c>
      <c r="K3582" s="14" t="s">
        <v>6012</v>
      </c>
      <c r="L3582" s="14">
        <v>0.0</v>
      </c>
    </row>
    <row r="3583">
      <c r="A3583" s="14">
        <v>2182.0</v>
      </c>
      <c r="B3583" s="14">
        <v>15.0</v>
      </c>
      <c r="C3583" s="34">
        <v>13.7</v>
      </c>
      <c r="D3583" s="36">
        <v>45099.0</v>
      </c>
      <c r="E3583" s="24"/>
      <c r="F3583" s="14">
        <v>0.91</v>
      </c>
      <c r="G3583" s="14">
        <v>6.28</v>
      </c>
      <c r="H3583" s="14">
        <v>0.69</v>
      </c>
      <c r="I3583" s="14" t="s">
        <v>6050</v>
      </c>
      <c r="J3583" s="14">
        <v>6.67</v>
      </c>
      <c r="K3583" s="14">
        <v>13.7</v>
      </c>
      <c r="L3583" s="14">
        <v>0.0</v>
      </c>
    </row>
    <row r="3584">
      <c r="A3584" s="14">
        <v>341.0</v>
      </c>
      <c r="B3584" s="14">
        <v>5.0</v>
      </c>
      <c r="C3584" s="34">
        <v>11.22</v>
      </c>
      <c r="D3584" s="36">
        <v>45099.0</v>
      </c>
      <c r="E3584" s="24"/>
      <c r="F3584" s="14">
        <v>2.24</v>
      </c>
      <c r="G3584" s="14">
        <v>32.9</v>
      </c>
      <c r="H3584" s="14">
        <v>1.47</v>
      </c>
      <c r="I3584" s="14" t="s">
        <v>6060</v>
      </c>
      <c r="J3584" s="14">
        <v>40.0</v>
      </c>
      <c r="K3584" s="14">
        <v>5.61</v>
      </c>
      <c r="L3584" s="14">
        <v>0.0</v>
      </c>
    </row>
    <row r="3585">
      <c r="A3585" s="14">
        <v>92.0</v>
      </c>
      <c r="B3585" s="14">
        <v>1.0</v>
      </c>
      <c r="C3585" s="34">
        <v>11.17</v>
      </c>
      <c r="D3585" s="36">
        <v>45099.0</v>
      </c>
      <c r="E3585" s="24"/>
      <c r="F3585" s="14">
        <v>11.17</v>
      </c>
      <c r="G3585" s="14">
        <v>121.41</v>
      </c>
      <c r="H3585" s="14">
        <v>1.09</v>
      </c>
      <c r="I3585" s="14" t="s">
        <v>6061</v>
      </c>
      <c r="J3585" s="14">
        <v>0.0</v>
      </c>
      <c r="K3585" s="14" t="s">
        <v>6012</v>
      </c>
      <c r="L3585" s="14">
        <v>0.0</v>
      </c>
    </row>
    <row r="3586">
      <c r="A3586" s="14">
        <v>324.0</v>
      </c>
      <c r="B3586" s="14">
        <v>2.0</v>
      </c>
      <c r="C3586" s="34">
        <v>11.79</v>
      </c>
      <c r="D3586" s="36">
        <v>45099.0</v>
      </c>
      <c r="E3586" s="24"/>
      <c r="F3586" s="14">
        <v>5.9</v>
      </c>
      <c r="G3586" s="14">
        <v>36.39</v>
      </c>
      <c r="H3586" s="14">
        <v>0.62</v>
      </c>
      <c r="I3586" s="14" t="s">
        <v>6054</v>
      </c>
      <c r="J3586" s="14">
        <v>50.0</v>
      </c>
      <c r="K3586" s="14">
        <v>11.79</v>
      </c>
      <c r="L3586" s="14">
        <v>0.0</v>
      </c>
    </row>
    <row r="3587">
      <c r="A3587" s="14">
        <v>68.0</v>
      </c>
      <c r="B3587" s="14">
        <v>0.0</v>
      </c>
      <c r="C3587" s="34">
        <v>13.12</v>
      </c>
      <c r="D3587" s="36">
        <v>45099.0</v>
      </c>
      <c r="E3587" s="24"/>
      <c r="F3587" s="14" t="s">
        <v>6012</v>
      </c>
      <c r="G3587" s="14">
        <v>192.94</v>
      </c>
      <c r="H3587" s="14">
        <v>0.0</v>
      </c>
      <c r="I3587" s="14" t="s">
        <v>6063</v>
      </c>
      <c r="J3587" s="14" t="s">
        <v>6012</v>
      </c>
      <c r="K3587" s="14" t="s">
        <v>6012</v>
      </c>
      <c r="L3587" s="14">
        <v>0.0</v>
      </c>
    </row>
    <row r="3588">
      <c r="A3588" s="14">
        <v>351.0</v>
      </c>
      <c r="B3588" s="14">
        <v>3.0</v>
      </c>
      <c r="C3588" s="34">
        <v>11.47</v>
      </c>
      <c r="D3588" s="36">
        <v>45099.0</v>
      </c>
      <c r="E3588" s="24"/>
      <c r="F3588" s="14">
        <v>3.82</v>
      </c>
      <c r="G3588" s="14">
        <v>32.68</v>
      </c>
      <c r="H3588" s="14">
        <v>0.85</v>
      </c>
      <c r="I3588" s="14" t="s">
        <v>6062</v>
      </c>
      <c r="J3588" s="14">
        <v>33.33</v>
      </c>
      <c r="K3588" s="14">
        <v>11.47</v>
      </c>
      <c r="L3588" s="14">
        <v>0.0</v>
      </c>
    </row>
    <row r="3589">
      <c r="A3589" s="14">
        <v>101.0</v>
      </c>
      <c r="B3589" s="14">
        <v>0.0</v>
      </c>
      <c r="C3589" s="34">
        <v>11.03</v>
      </c>
      <c r="D3589" s="36">
        <v>45100.0</v>
      </c>
      <c r="E3589" s="24"/>
      <c r="F3589" s="14" t="s">
        <v>6012</v>
      </c>
      <c r="G3589" s="14">
        <v>109.21</v>
      </c>
      <c r="H3589" s="14">
        <v>0.0</v>
      </c>
      <c r="I3589" s="14" t="s">
        <v>6062</v>
      </c>
      <c r="J3589" s="14" t="s">
        <v>6012</v>
      </c>
      <c r="K3589" s="14">
        <v>11.03</v>
      </c>
      <c r="L3589" s="14">
        <v>0.0</v>
      </c>
    </row>
    <row r="3590">
      <c r="A3590" s="14">
        <v>88.0</v>
      </c>
      <c r="B3590" s="14">
        <v>2.0</v>
      </c>
      <c r="C3590" s="34">
        <v>10.75</v>
      </c>
      <c r="D3590" s="36">
        <v>45100.0</v>
      </c>
      <c r="E3590" s="24"/>
      <c r="F3590" s="14">
        <v>5.38</v>
      </c>
      <c r="G3590" s="14">
        <v>122.16</v>
      </c>
      <c r="H3590" s="14">
        <v>2.27</v>
      </c>
      <c r="I3590" s="14" t="s">
        <v>6061</v>
      </c>
      <c r="J3590" s="14">
        <v>0.0</v>
      </c>
      <c r="K3590" s="14" t="s">
        <v>6012</v>
      </c>
      <c r="L3590" s="14">
        <v>0.0</v>
      </c>
    </row>
    <row r="3591">
      <c r="A3591" s="14">
        <v>32.0</v>
      </c>
      <c r="B3591" s="14">
        <v>0.0</v>
      </c>
      <c r="C3591" s="34">
        <v>10.89</v>
      </c>
      <c r="D3591" s="36">
        <v>45100.0</v>
      </c>
      <c r="E3591" s="24"/>
      <c r="F3591" s="14" t="s">
        <v>6012</v>
      </c>
      <c r="G3591" s="14">
        <v>340.31</v>
      </c>
      <c r="H3591" s="14">
        <v>0.0</v>
      </c>
      <c r="I3591" s="14" t="s">
        <v>6059</v>
      </c>
      <c r="J3591" s="14" t="s">
        <v>6012</v>
      </c>
      <c r="K3591" s="14" t="s">
        <v>6012</v>
      </c>
      <c r="L3591" s="14">
        <v>0.0</v>
      </c>
    </row>
    <row r="3592">
      <c r="A3592" s="14">
        <v>948.0</v>
      </c>
      <c r="B3592" s="14">
        <v>11.0</v>
      </c>
      <c r="C3592" s="34">
        <v>12.11</v>
      </c>
      <c r="D3592" s="36">
        <v>45100.0</v>
      </c>
      <c r="E3592" s="24"/>
      <c r="F3592" s="14">
        <v>1.1</v>
      </c>
      <c r="G3592" s="14">
        <v>12.77</v>
      </c>
      <c r="H3592" s="14">
        <v>1.16</v>
      </c>
      <c r="I3592" s="14" t="s">
        <v>6051</v>
      </c>
      <c r="J3592" s="14">
        <v>0.0</v>
      </c>
      <c r="K3592" s="14" t="s">
        <v>6012</v>
      </c>
      <c r="L3592" s="14">
        <v>0.0</v>
      </c>
    </row>
    <row r="3593">
      <c r="A3593" s="14">
        <v>116.0</v>
      </c>
      <c r="B3593" s="14">
        <v>0.0</v>
      </c>
      <c r="C3593" s="34">
        <v>11.68</v>
      </c>
      <c r="D3593" s="36">
        <v>45100.0</v>
      </c>
      <c r="E3593" s="24"/>
      <c r="F3593" s="14" t="s">
        <v>6012</v>
      </c>
      <c r="G3593" s="14">
        <v>100.69</v>
      </c>
      <c r="H3593" s="14">
        <v>0.0</v>
      </c>
      <c r="I3593" s="14" t="s">
        <v>6042</v>
      </c>
      <c r="J3593" s="14" t="s">
        <v>6012</v>
      </c>
      <c r="K3593" s="14" t="s">
        <v>6012</v>
      </c>
      <c r="L3593" s="14">
        <v>0.0</v>
      </c>
    </row>
    <row r="3594">
      <c r="A3594" s="14">
        <v>335.0</v>
      </c>
      <c r="B3594" s="14">
        <v>1.0</v>
      </c>
      <c r="C3594" s="34">
        <v>10.45</v>
      </c>
      <c r="D3594" s="36">
        <v>45100.0</v>
      </c>
      <c r="E3594" s="24"/>
      <c r="F3594" s="14">
        <v>10.45</v>
      </c>
      <c r="G3594" s="14">
        <v>31.19</v>
      </c>
      <c r="H3594" s="14">
        <v>0.3</v>
      </c>
      <c r="I3594" s="14" t="s">
        <v>6060</v>
      </c>
      <c r="J3594" s="14">
        <v>100.0</v>
      </c>
      <c r="K3594" s="14">
        <v>10.45</v>
      </c>
      <c r="L3594" s="14">
        <v>0.0</v>
      </c>
    </row>
    <row r="3595">
      <c r="A3595" s="14">
        <v>1827.0</v>
      </c>
      <c r="B3595" s="14">
        <v>11.0</v>
      </c>
      <c r="C3595" s="34">
        <v>13.46</v>
      </c>
      <c r="D3595" s="36">
        <v>45100.0</v>
      </c>
      <c r="E3595" s="24"/>
      <c r="F3595" s="14">
        <v>1.22</v>
      </c>
      <c r="G3595" s="14">
        <v>7.37</v>
      </c>
      <c r="H3595" s="14">
        <v>0.6</v>
      </c>
      <c r="I3595" s="14" t="s">
        <v>6050</v>
      </c>
      <c r="J3595" s="14">
        <v>27.27</v>
      </c>
      <c r="K3595" s="14">
        <v>4.49</v>
      </c>
      <c r="L3595" s="14">
        <v>0.0</v>
      </c>
    </row>
    <row r="3596">
      <c r="A3596" s="14">
        <v>37.0</v>
      </c>
      <c r="B3596" s="14">
        <v>0.0</v>
      </c>
      <c r="C3596" s="34">
        <v>9.7</v>
      </c>
      <c r="D3596" s="36">
        <v>45100.0</v>
      </c>
      <c r="E3596" s="24"/>
      <c r="F3596" s="14" t="s">
        <v>6012</v>
      </c>
      <c r="G3596" s="14">
        <v>262.16</v>
      </c>
      <c r="H3596" s="14">
        <v>0.0</v>
      </c>
      <c r="I3596" s="14" t="s">
        <v>6057</v>
      </c>
      <c r="J3596" s="14" t="s">
        <v>6012</v>
      </c>
      <c r="K3596" s="14" t="s">
        <v>6012</v>
      </c>
      <c r="L3596" s="14">
        <v>0.0</v>
      </c>
    </row>
    <row r="3597">
      <c r="A3597" s="14">
        <v>79.0</v>
      </c>
      <c r="B3597" s="14">
        <v>1.0</v>
      </c>
      <c r="C3597" s="34">
        <v>10.44</v>
      </c>
      <c r="D3597" s="36">
        <v>45100.0</v>
      </c>
      <c r="E3597" s="24"/>
      <c r="F3597" s="14">
        <v>10.44</v>
      </c>
      <c r="G3597" s="14">
        <v>132.15</v>
      </c>
      <c r="H3597" s="14">
        <v>1.27</v>
      </c>
      <c r="I3597" s="14" t="s">
        <v>6054</v>
      </c>
      <c r="J3597" s="14">
        <v>0.0</v>
      </c>
      <c r="K3597" s="14" t="s">
        <v>6012</v>
      </c>
      <c r="L3597" s="14">
        <v>0.0</v>
      </c>
    </row>
    <row r="3598">
      <c r="A3598" s="14">
        <v>133.0</v>
      </c>
      <c r="B3598" s="14">
        <v>2.0</v>
      </c>
      <c r="C3598" s="34">
        <v>10.76</v>
      </c>
      <c r="D3598" s="36">
        <v>45100.0</v>
      </c>
      <c r="E3598" s="24"/>
      <c r="F3598" s="14">
        <v>5.38</v>
      </c>
      <c r="G3598" s="14">
        <v>80.9</v>
      </c>
      <c r="H3598" s="14">
        <v>1.5</v>
      </c>
      <c r="I3598" s="14" t="s">
        <v>6058</v>
      </c>
      <c r="J3598" s="14">
        <v>0.0</v>
      </c>
      <c r="K3598" s="14" t="s">
        <v>6012</v>
      </c>
      <c r="L3598" s="14">
        <v>0.0</v>
      </c>
    </row>
    <row r="3599">
      <c r="A3599" s="14">
        <v>50.0</v>
      </c>
      <c r="B3599" s="14">
        <v>1.0</v>
      </c>
      <c r="C3599" s="34">
        <v>12.01</v>
      </c>
      <c r="D3599" s="36">
        <v>45100.0</v>
      </c>
      <c r="E3599" s="24"/>
      <c r="F3599" s="14">
        <v>12.01</v>
      </c>
      <c r="G3599" s="14">
        <v>240.2</v>
      </c>
      <c r="H3599" s="14">
        <v>2.0</v>
      </c>
      <c r="I3599" s="14" t="s">
        <v>6063</v>
      </c>
      <c r="J3599" s="14">
        <v>0.0</v>
      </c>
      <c r="K3599" s="14" t="s">
        <v>6012</v>
      </c>
      <c r="L3599" s="14">
        <v>0.0</v>
      </c>
    </row>
    <row r="3600">
      <c r="A3600" s="14">
        <v>23.0</v>
      </c>
      <c r="B3600" s="14">
        <v>0.0</v>
      </c>
      <c r="C3600" s="34">
        <v>3.91</v>
      </c>
      <c r="D3600" s="36">
        <v>45101.0</v>
      </c>
      <c r="E3600" s="24"/>
      <c r="F3600" s="14" t="s">
        <v>6012</v>
      </c>
      <c r="G3600" s="14">
        <v>170.0</v>
      </c>
      <c r="H3600" s="14">
        <v>0.0</v>
      </c>
      <c r="I3600" s="14" t="s">
        <v>6063</v>
      </c>
      <c r="J3600" s="14" t="s">
        <v>6012</v>
      </c>
      <c r="K3600" s="14" t="s">
        <v>6012</v>
      </c>
      <c r="L3600" s="14">
        <v>0.0</v>
      </c>
    </row>
    <row r="3601">
      <c r="A3601" s="14">
        <v>259.0</v>
      </c>
      <c r="B3601" s="14">
        <v>1.0</v>
      </c>
      <c r="C3601" s="34">
        <v>6.42</v>
      </c>
      <c r="D3601" s="36">
        <v>45101.0</v>
      </c>
      <c r="E3601" s="24"/>
      <c r="F3601" s="14">
        <v>6.42</v>
      </c>
      <c r="G3601" s="14">
        <v>24.79</v>
      </c>
      <c r="H3601" s="14">
        <v>0.39</v>
      </c>
      <c r="I3601" s="14" t="s">
        <v>6060</v>
      </c>
      <c r="J3601" s="14">
        <v>100.0</v>
      </c>
      <c r="K3601" s="14">
        <v>6.42</v>
      </c>
      <c r="L3601" s="14">
        <v>0.0</v>
      </c>
    </row>
    <row r="3602">
      <c r="A3602" s="14">
        <v>1236.0</v>
      </c>
      <c r="B3602" s="14">
        <v>12.0</v>
      </c>
      <c r="C3602" s="34">
        <v>8.01</v>
      </c>
      <c r="D3602" s="36">
        <v>45101.0</v>
      </c>
      <c r="E3602" s="24"/>
      <c r="F3602" s="14">
        <v>0.67</v>
      </c>
      <c r="G3602" s="14">
        <v>6.48</v>
      </c>
      <c r="H3602" s="14">
        <v>0.97</v>
      </c>
      <c r="I3602" s="14" t="s">
        <v>6050</v>
      </c>
      <c r="J3602" s="14">
        <v>25.0</v>
      </c>
      <c r="K3602" s="14">
        <v>2.67</v>
      </c>
      <c r="L3602" s="14">
        <v>0.0</v>
      </c>
    </row>
    <row r="3603">
      <c r="A3603" s="14">
        <v>44.0</v>
      </c>
      <c r="B3603" s="14">
        <v>0.0</v>
      </c>
      <c r="C3603" s="34">
        <v>6.32</v>
      </c>
      <c r="D3603" s="36">
        <v>45101.0</v>
      </c>
      <c r="E3603" s="24"/>
      <c r="F3603" s="14" t="s">
        <v>6012</v>
      </c>
      <c r="G3603" s="14">
        <v>143.64</v>
      </c>
      <c r="H3603" s="14">
        <v>0.0</v>
      </c>
      <c r="I3603" s="14" t="s">
        <v>6062</v>
      </c>
      <c r="J3603" s="14" t="s">
        <v>6012</v>
      </c>
      <c r="K3603" s="14" t="s">
        <v>6012</v>
      </c>
      <c r="L3603" s="14">
        <v>0.0</v>
      </c>
    </row>
    <row r="3604">
      <c r="A3604" s="14">
        <v>359.0</v>
      </c>
      <c r="B3604" s="14">
        <v>5.0</v>
      </c>
      <c r="C3604" s="34">
        <v>6.7</v>
      </c>
      <c r="D3604" s="36">
        <v>45101.0</v>
      </c>
      <c r="E3604" s="24"/>
      <c r="F3604" s="14">
        <v>1.34</v>
      </c>
      <c r="G3604" s="14">
        <v>18.66</v>
      </c>
      <c r="H3604" s="14">
        <v>1.39</v>
      </c>
      <c r="I3604" s="14" t="s">
        <v>6051</v>
      </c>
      <c r="J3604" s="14">
        <v>0.0</v>
      </c>
      <c r="K3604" s="14" t="s">
        <v>6012</v>
      </c>
      <c r="L3604" s="14">
        <v>0.0</v>
      </c>
    </row>
    <row r="3605">
      <c r="A3605" s="14">
        <v>15.0</v>
      </c>
      <c r="B3605" s="14">
        <v>0.0</v>
      </c>
      <c r="C3605" s="34">
        <v>7.36</v>
      </c>
      <c r="D3605" s="36">
        <v>45101.0</v>
      </c>
      <c r="E3605" s="24"/>
      <c r="F3605" s="14" t="s">
        <v>6012</v>
      </c>
      <c r="G3605" s="14">
        <v>490.67</v>
      </c>
      <c r="H3605" s="14">
        <v>0.0</v>
      </c>
      <c r="I3605" s="14" t="s">
        <v>6057</v>
      </c>
      <c r="J3605" s="14" t="s">
        <v>6012</v>
      </c>
      <c r="K3605" s="14" t="s">
        <v>6012</v>
      </c>
      <c r="L3605" s="14">
        <v>0.0</v>
      </c>
    </row>
    <row r="3606">
      <c r="A3606" s="14">
        <v>47.0</v>
      </c>
      <c r="B3606" s="14">
        <v>1.0</v>
      </c>
      <c r="C3606" s="34">
        <v>6.97</v>
      </c>
      <c r="D3606" s="36">
        <v>45101.0</v>
      </c>
      <c r="E3606" s="24"/>
      <c r="F3606" s="14">
        <v>6.97</v>
      </c>
      <c r="G3606" s="14">
        <v>148.3</v>
      </c>
      <c r="H3606" s="14">
        <v>2.13</v>
      </c>
      <c r="I3606" s="14" t="s">
        <v>6042</v>
      </c>
      <c r="J3606" s="14">
        <v>0.0</v>
      </c>
      <c r="K3606" s="14" t="s">
        <v>6012</v>
      </c>
      <c r="L3606" s="14">
        <v>0.0</v>
      </c>
    </row>
    <row r="3607">
      <c r="A3607" s="14">
        <v>53.0</v>
      </c>
      <c r="B3607" s="14">
        <v>1.0</v>
      </c>
      <c r="C3607" s="34">
        <v>7.44</v>
      </c>
      <c r="D3607" s="36">
        <v>45101.0</v>
      </c>
      <c r="E3607" s="24"/>
      <c r="F3607" s="14">
        <v>7.44</v>
      </c>
      <c r="G3607" s="14">
        <v>140.38</v>
      </c>
      <c r="H3607" s="14">
        <v>1.89</v>
      </c>
      <c r="I3607" s="14" t="s">
        <v>6058</v>
      </c>
      <c r="J3607" s="14">
        <v>100.0</v>
      </c>
      <c r="K3607" s="14">
        <v>7.44</v>
      </c>
      <c r="L3607" s="14">
        <v>0.0</v>
      </c>
    </row>
    <row r="3608">
      <c r="A3608" s="14">
        <v>28.0</v>
      </c>
      <c r="B3608" s="14">
        <v>0.0</v>
      </c>
      <c r="C3608" s="34">
        <v>7.44</v>
      </c>
      <c r="D3608" s="36">
        <v>45101.0</v>
      </c>
      <c r="E3608" s="24"/>
      <c r="F3608" s="14" t="s">
        <v>6012</v>
      </c>
      <c r="G3608" s="14">
        <v>265.71</v>
      </c>
      <c r="H3608" s="14">
        <v>0.0</v>
      </c>
      <c r="I3608" s="14" t="s">
        <v>6054</v>
      </c>
      <c r="J3608" s="14" t="s">
        <v>6012</v>
      </c>
      <c r="K3608" s="14">
        <v>7.44</v>
      </c>
      <c r="L3608" s="14">
        <v>0.0</v>
      </c>
    </row>
    <row r="3609">
      <c r="A3609" s="14">
        <v>11.0</v>
      </c>
      <c r="B3609" s="14">
        <v>0.0</v>
      </c>
      <c r="C3609" s="34">
        <v>8.46</v>
      </c>
      <c r="D3609" s="36">
        <v>45101.0</v>
      </c>
      <c r="E3609" s="24"/>
      <c r="F3609" s="14" t="s">
        <v>6012</v>
      </c>
      <c r="G3609" s="14">
        <v>769.09</v>
      </c>
      <c r="H3609" s="14">
        <v>0.0</v>
      </c>
      <c r="I3609" s="14" t="s">
        <v>6059</v>
      </c>
      <c r="J3609" s="14" t="s">
        <v>6012</v>
      </c>
      <c r="K3609" s="14" t="s">
        <v>6012</v>
      </c>
      <c r="L3609" s="14">
        <v>0.0</v>
      </c>
    </row>
    <row r="3610">
      <c r="A3610" s="14">
        <v>50.0</v>
      </c>
      <c r="B3610" s="14">
        <v>1.0</v>
      </c>
      <c r="C3610" s="34">
        <v>5.3</v>
      </c>
      <c r="D3610" s="36">
        <v>45101.0</v>
      </c>
      <c r="E3610" s="24"/>
      <c r="F3610" s="14">
        <v>5.3</v>
      </c>
      <c r="G3610" s="14">
        <v>106.0</v>
      </c>
      <c r="H3610" s="14">
        <v>2.0</v>
      </c>
      <c r="I3610" s="14" t="s">
        <v>6061</v>
      </c>
      <c r="J3610" s="14">
        <v>100.0</v>
      </c>
      <c r="K3610" s="14">
        <v>5.3</v>
      </c>
      <c r="L3610" s="14">
        <v>0.0</v>
      </c>
    </row>
    <row r="3611">
      <c r="A3611" s="14">
        <v>41.0</v>
      </c>
      <c r="B3611" s="14">
        <v>1.0</v>
      </c>
      <c r="C3611" s="34">
        <v>4.04</v>
      </c>
      <c r="D3611" s="36">
        <v>45102.0</v>
      </c>
      <c r="E3611" s="24"/>
      <c r="F3611" s="14">
        <v>4.04</v>
      </c>
      <c r="G3611" s="14">
        <v>98.54</v>
      </c>
      <c r="H3611" s="14">
        <v>2.44</v>
      </c>
      <c r="I3611" s="14" t="s">
        <v>6061</v>
      </c>
      <c r="J3611" s="14">
        <v>0.0</v>
      </c>
      <c r="K3611" s="14" t="s">
        <v>6012</v>
      </c>
      <c r="L3611" s="14">
        <v>0.0</v>
      </c>
    </row>
    <row r="3612">
      <c r="A3612" s="14">
        <v>61.0</v>
      </c>
      <c r="B3612" s="14">
        <v>0.0</v>
      </c>
      <c r="C3612" s="34">
        <v>3.79</v>
      </c>
      <c r="D3612" s="36">
        <v>45102.0</v>
      </c>
      <c r="E3612" s="24"/>
      <c r="F3612" s="14" t="s">
        <v>6012</v>
      </c>
      <c r="G3612" s="14">
        <v>62.13</v>
      </c>
      <c r="H3612" s="14">
        <v>0.0</v>
      </c>
      <c r="I3612" s="14" t="s">
        <v>6058</v>
      </c>
      <c r="J3612" s="14" t="s">
        <v>6012</v>
      </c>
      <c r="K3612" s="14" t="s">
        <v>6012</v>
      </c>
      <c r="L3612" s="14">
        <v>0.0</v>
      </c>
    </row>
    <row r="3613">
      <c r="A3613" s="14">
        <v>44.0</v>
      </c>
      <c r="B3613" s="14">
        <v>0.0</v>
      </c>
      <c r="C3613" s="34">
        <v>5.2</v>
      </c>
      <c r="D3613" s="36">
        <v>45102.0</v>
      </c>
      <c r="E3613" s="24"/>
      <c r="F3613" s="14" t="s">
        <v>6012</v>
      </c>
      <c r="G3613" s="14">
        <v>118.18</v>
      </c>
      <c r="H3613" s="14">
        <v>0.0</v>
      </c>
      <c r="I3613" s="14" t="s">
        <v>6042</v>
      </c>
      <c r="J3613" s="14" t="s">
        <v>6012</v>
      </c>
      <c r="K3613" s="14" t="s">
        <v>6012</v>
      </c>
      <c r="L3613" s="14">
        <v>0.0</v>
      </c>
    </row>
    <row r="3614">
      <c r="A3614" s="14">
        <v>7.0</v>
      </c>
      <c r="B3614" s="14">
        <v>1.0</v>
      </c>
      <c r="C3614" s="34">
        <v>0.63</v>
      </c>
      <c r="D3614" s="36">
        <v>45102.0</v>
      </c>
      <c r="E3614" s="24"/>
      <c r="F3614" s="14">
        <v>0.63</v>
      </c>
      <c r="G3614" s="14">
        <v>90.0</v>
      </c>
      <c r="H3614" s="14">
        <v>14.29</v>
      </c>
      <c r="I3614" s="14" t="s">
        <v>6059</v>
      </c>
      <c r="J3614" s="14">
        <v>0.0</v>
      </c>
      <c r="K3614" s="14" t="s">
        <v>6012</v>
      </c>
      <c r="L3614" s="14">
        <v>1.0</v>
      </c>
    </row>
    <row r="3615">
      <c r="A3615" s="14">
        <v>22.0</v>
      </c>
      <c r="B3615" s="14">
        <v>0.0</v>
      </c>
      <c r="C3615" s="34">
        <v>2.51</v>
      </c>
      <c r="D3615" s="36">
        <v>45102.0</v>
      </c>
      <c r="E3615" s="24"/>
      <c r="F3615" s="14" t="s">
        <v>6012</v>
      </c>
      <c r="G3615" s="14">
        <v>114.09</v>
      </c>
      <c r="H3615" s="14">
        <v>0.0</v>
      </c>
      <c r="I3615" s="14" t="s">
        <v>6057</v>
      </c>
      <c r="J3615" s="14" t="s">
        <v>6012</v>
      </c>
      <c r="K3615" s="14" t="s">
        <v>6012</v>
      </c>
      <c r="L3615" s="14">
        <v>0.0</v>
      </c>
    </row>
    <row r="3616">
      <c r="A3616" s="14">
        <v>1166.0</v>
      </c>
      <c r="B3616" s="14">
        <v>10.0</v>
      </c>
      <c r="C3616" s="34">
        <v>7.69</v>
      </c>
      <c r="D3616" s="36">
        <v>45102.0</v>
      </c>
      <c r="E3616" s="24"/>
      <c r="F3616" s="14">
        <v>0.77</v>
      </c>
      <c r="G3616" s="14">
        <v>6.6</v>
      </c>
      <c r="H3616" s="14">
        <v>0.86</v>
      </c>
      <c r="I3616" s="14" t="s">
        <v>6050</v>
      </c>
      <c r="J3616" s="14">
        <v>60.0</v>
      </c>
      <c r="K3616" s="14">
        <v>1.28</v>
      </c>
      <c r="L3616" s="14">
        <v>0.0</v>
      </c>
    </row>
    <row r="3617">
      <c r="A3617" s="14">
        <v>41.0</v>
      </c>
      <c r="B3617" s="14">
        <v>0.0</v>
      </c>
      <c r="C3617" s="34">
        <v>5.61</v>
      </c>
      <c r="D3617" s="36">
        <v>45102.0</v>
      </c>
      <c r="E3617" s="24"/>
      <c r="F3617" s="14" t="s">
        <v>6012</v>
      </c>
      <c r="G3617" s="14">
        <v>136.83</v>
      </c>
      <c r="H3617" s="14">
        <v>0.0</v>
      </c>
      <c r="I3617" s="14" t="s">
        <v>6062</v>
      </c>
      <c r="J3617" s="14" t="s">
        <v>6012</v>
      </c>
      <c r="K3617" s="14" t="s">
        <v>6012</v>
      </c>
      <c r="L3617" s="14">
        <v>0.0</v>
      </c>
    </row>
    <row r="3618">
      <c r="A3618" s="14">
        <v>16.0</v>
      </c>
      <c r="B3618" s="14">
        <v>0.0</v>
      </c>
      <c r="C3618" s="34">
        <v>2.22</v>
      </c>
      <c r="D3618" s="36">
        <v>45102.0</v>
      </c>
      <c r="E3618" s="24"/>
      <c r="F3618" s="14" t="s">
        <v>6012</v>
      </c>
      <c r="G3618" s="14">
        <v>138.75</v>
      </c>
      <c r="H3618" s="14">
        <v>0.0</v>
      </c>
      <c r="I3618" s="14" t="s">
        <v>6063</v>
      </c>
      <c r="J3618" s="14" t="s">
        <v>6012</v>
      </c>
      <c r="K3618" s="14">
        <v>2.22</v>
      </c>
      <c r="L3618" s="14">
        <v>0.0</v>
      </c>
    </row>
    <row r="3619">
      <c r="A3619" s="14">
        <v>149.0</v>
      </c>
      <c r="B3619" s="14">
        <v>3.0</v>
      </c>
      <c r="C3619" s="34">
        <v>6.18</v>
      </c>
      <c r="D3619" s="36">
        <v>45102.0</v>
      </c>
      <c r="E3619" s="24"/>
      <c r="F3619" s="14">
        <v>2.06</v>
      </c>
      <c r="G3619" s="14">
        <v>41.48</v>
      </c>
      <c r="H3619" s="14">
        <v>2.01</v>
      </c>
      <c r="I3619" s="14" t="s">
        <v>6060</v>
      </c>
      <c r="J3619" s="14">
        <v>0.0</v>
      </c>
      <c r="K3619" s="14" t="s">
        <v>6012</v>
      </c>
      <c r="L3619" s="14">
        <v>0.0</v>
      </c>
    </row>
    <row r="3620">
      <c r="A3620" s="14">
        <v>449.0</v>
      </c>
      <c r="B3620" s="14">
        <v>7.0</v>
      </c>
      <c r="C3620" s="34">
        <v>5.88</v>
      </c>
      <c r="D3620" s="36">
        <v>45102.0</v>
      </c>
      <c r="E3620" s="24"/>
      <c r="F3620" s="14">
        <v>0.84</v>
      </c>
      <c r="G3620" s="14">
        <v>13.1</v>
      </c>
      <c r="H3620" s="14">
        <v>1.56</v>
      </c>
      <c r="I3620" s="14" t="s">
        <v>6051</v>
      </c>
      <c r="J3620" s="14">
        <v>0.0</v>
      </c>
      <c r="K3620" s="14" t="s">
        <v>6012</v>
      </c>
      <c r="L3620" s="14">
        <v>0.0</v>
      </c>
    </row>
    <row r="3621">
      <c r="A3621" s="14">
        <v>36.0</v>
      </c>
      <c r="B3621" s="14">
        <v>0.0</v>
      </c>
      <c r="C3621" s="34">
        <v>4.76</v>
      </c>
      <c r="D3621" s="36">
        <v>45102.0</v>
      </c>
      <c r="E3621" s="24"/>
      <c r="F3621" s="14" t="s">
        <v>6012</v>
      </c>
      <c r="G3621" s="14">
        <v>132.22</v>
      </c>
      <c r="H3621" s="14">
        <v>0.0</v>
      </c>
      <c r="I3621" s="14" t="s">
        <v>6054</v>
      </c>
      <c r="J3621" s="14" t="s">
        <v>6012</v>
      </c>
      <c r="K3621" s="14" t="s">
        <v>6012</v>
      </c>
      <c r="L3621" s="14">
        <v>0.0</v>
      </c>
    </row>
    <row r="3622">
      <c r="A3622" s="14">
        <v>67.0</v>
      </c>
      <c r="B3622" s="14">
        <v>0.0</v>
      </c>
      <c r="C3622" s="34">
        <v>10.38</v>
      </c>
      <c r="D3622" s="36">
        <v>45103.0</v>
      </c>
      <c r="E3622" s="24"/>
      <c r="F3622" s="14" t="s">
        <v>6012</v>
      </c>
      <c r="G3622" s="14">
        <v>154.93</v>
      </c>
      <c r="H3622" s="14">
        <v>0.0</v>
      </c>
      <c r="I3622" s="14" t="s">
        <v>6063</v>
      </c>
      <c r="J3622" s="14" t="s">
        <v>6012</v>
      </c>
      <c r="K3622" s="14" t="s">
        <v>6012</v>
      </c>
      <c r="L3622" s="14">
        <v>0.0</v>
      </c>
    </row>
    <row r="3623">
      <c r="A3623" s="14">
        <v>198.0</v>
      </c>
      <c r="B3623" s="14">
        <v>1.0</v>
      </c>
      <c r="C3623" s="34">
        <v>11.57</v>
      </c>
      <c r="D3623" s="36">
        <v>45103.0</v>
      </c>
      <c r="E3623" s="24"/>
      <c r="F3623" s="14">
        <v>11.57</v>
      </c>
      <c r="G3623" s="14">
        <v>58.43</v>
      </c>
      <c r="H3623" s="14">
        <v>0.51</v>
      </c>
      <c r="I3623" s="14" t="s">
        <v>6058</v>
      </c>
      <c r="J3623" s="14">
        <v>100.0</v>
      </c>
      <c r="K3623" s="14">
        <v>11.57</v>
      </c>
      <c r="L3623" s="14">
        <v>0.0</v>
      </c>
    </row>
    <row r="3624">
      <c r="A3624" s="14">
        <v>588.0</v>
      </c>
      <c r="B3624" s="14">
        <v>11.0</v>
      </c>
      <c r="C3624" s="34">
        <v>11.32</v>
      </c>
      <c r="D3624" s="36">
        <v>45103.0</v>
      </c>
      <c r="E3624" s="24"/>
      <c r="F3624" s="14">
        <v>1.03</v>
      </c>
      <c r="G3624" s="14">
        <v>19.25</v>
      </c>
      <c r="H3624" s="14">
        <v>1.87</v>
      </c>
      <c r="I3624" s="14" t="s">
        <v>6060</v>
      </c>
      <c r="J3624" s="14">
        <v>0.0</v>
      </c>
      <c r="K3624" s="14" t="s">
        <v>6012</v>
      </c>
      <c r="L3624" s="14">
        <v>0.0</v>
      </c>
    </row>
    <row r="3625">
      <c r="A3625" s="14">
        <v>152.0</v>
      </c>
      <c r="B3625" s="14">
        <v>4.0</v>
      </c>
      <c r="C3625" s="34">
        <v>10.22</v>
      </c>
      <c r="D3625" s="36">
        <v>45103.0</v>
      </c>
      <c r="E3625" s="24"/>
      <c r="F3625" s="14">
        <v>2.56</v>
      </c>
      <c r="G3625" s="14">
        <v>67.24</v>
      </c>
      <c r="H3625" s="14">
        <v>2.63</v>
      </c>
      <c r="I3625" s="14" t="s">
        <v>6061</v>
      </c>
      <c r="J3625" s="14">
        <v>25.0</v>
      </c>
      <c r="K3625" s="14">
        <v>10.22</v>
      </c>
      <c r="L3625" s="14">
        <v>0.0</v>
      </c>
    </row>
    <row r="3626">
      <c r="A3626" s="14">
        <v>1771.0</v>
      </c>
      <c r="B3626" s="14">
        <v>8.0</v>
      </c>
      <c r="C3626" s="34">
        <v>11.41</v>
      </c>
      <c r="D3626" s="36">
        <v>45103.0</v>
      </c>
      <c r="E3626" s="24"/>
      <c r="F3626" s="14">
        <v>1.43</v>
      </c>
      <c r="G3626" s="14">
        <v>6.44</v>
      </c>
      <c r="H3626" s="14">
        <v>0.45</v>
      </c>
      <c r="I3626" s="14" t="s">
        <v>6050</v>
      </c>
      <c r="J3626" s="14">
        <v>12.5</v>
      </c>
      <c r="K3626" s="14">
        <v>11.41</v>
      </c>
      <c r="L3626" s="14">
        <v>0.0</v>
      </c>
    </row>
    <row r="3627">
      <c r="A3627" s="14">
        <v>245.0</v>
      </c>
      <c r="B3627" s="14">
        <v>1.0</v>
      </c>
      <c r="C3627" s="34">
        <v>12.5</v>
      </c>
      <c r="D3627" s="36">
        <v>45103.0</v>
      </c>
      <c r="E3627" s="24"/>
      <c r="F3627" s="14">
        <v>12.5</v>
      </c>
      <c r="G3627" s="14">
        <v>51.02</v>
      </c>
      <c r="H3627" s="14">
        <v>0.41</v>
      </c>
      <c r="I3627" s="14" t="s">
        <v>6042</v>
      </c>
      <c r="J3627" s="14">
        <v>0.0</v>
      </c>
      <c r="K3627" s="14" t="s">
        <v>6012</v>
      </c>
      <c r="L3627" s="14">
        <v>0.0</v>
      </c>
    </row>
    <row r="3628">
      <c r="A3628" s="14">
        <v>45.0</v>
      </c>
      <c r="B3628" s="14">
        <v>0.0</v>
      </c>
      <c r="C3628" s="34">
        <v>10.56</v>
      </c>
      <c r="D3628" s="36">
        <v>45103.0</v>
      </c>
      <c r="E3628" s="24"/>
      <c r="F3628" s="14" t="s">
        <v>6012</v>
      </c>
      <c r="G3628" s="14">
        <v>234.67</v>
      </c>
      <c r="H3628" s="14">
        <v>0.0</v>
      </c>
      <c r="I3628" s="14" t="s">
        <v>6059</v>
      </c>
      <c r="J3628" s="14" t="s">
        <v>6012</v>
      </c>
      <c r="K3628" s="14" t="s">
        <v>6012</v>
      </c>
      <c r="L3628" s="14">
        <v>0.0</v>
      </c>
    </row>
    <row r="3629">
      <c r="A3629" s="14">
        <v>114.0</v>
      </c>
      <c r="B3629" s="14">
        <v>1.0</v>
      </c>
      <c r="C3629" s="34">
        <v>12.15</v>
      </c>
      <c r="D3629" s="36">
        <v>45103.0</v>
      </c>
      <c r="E3629" s="24"/>
      <c r="F3629" s="14">
        <v>12.15</v>
      </c>
      <c r="G3629" s="14">
        <v>106.58</v>
      </c>
      <c r="H3629" s="14">
        <v>0.88</v>
      </c>
      <c r="I3629" s="14" t="s">
        <v>6062</v>
      </c>
      <c r="J3629" s="14">
        <v>100.0</v>
      </c>
      <c r="K3629" s="14">
        <v>12.15</v>
      </c>
      <c r="L3629" s="14">
        <v>0.0</v>
      </c>
    </row>
    <row r="3630">
      <c r="A3630" s="14">
        <v>122.0</v>
      </c>
      <c r="B3630" s="14">
        <v>0.0</v>
      </c>
      <c r="C3630" s="34">
        <v>11.19</v>
      </c>
      <c r="D3630" s="36">
        <v>45103.0</v>
      </c>
      <c r="E3630" s="24"/>
      <c r="F3630" s="14" t="s">
        <v>6012</v>
      </c>
      <c r="G3630" s="14">
        <v>91.72</v>
      </c>
      <c r="H3630" s="14">
        <v>0.0</v>
      </c>
      <c r="I3630" s="14" t="s">
        <v>6054</v>
      </c>
      <c r="J3630" s="14" t="s">
        <v>6012</v>
      </c>
      <c r="K3630" s="14" t="s">
        <v>6012</v>
      </c>
      <c r="L3630" s="14">
        <v>0.0</v>
      </c>
    </row>
    <row r="3631">
      <c r="A3631" s="14">
        <v>1080.0</v>
      </c>
      <c r="B3631" s="14">
        <v>8.0</v>
      </c>
      <c r="C3631" s="34">
        <v>9.86</v>
      </c>
      <c r="D3631" s="36">
        <v>45103.0</v>
      </c>
      <c r="E3631" s="24"/>
      <c r="F3631" s="14">
        <v>1.23</v>
      </c>
      <c r="G3631" s="14">
        <v>9.13</v>
      </c>
      <c r="H3631" s="14">
        <v>0.74</v>
      </c>
      <c r="I3631" s="14" t="s">
        <v>6051</v>
      </c>
      <c r="J3631" s="14">
        <v>25.0</v>
      </c>
      <c r="K3631" s="14">
        <v>4.93</v>
      </c>
      <c r="L3631" s="14">
        <v>0.0</v>
      </c>
    </row>
    <row r="3632">
      <c r="A3632" s="14">
        <v>51.0</v>
      </c>
      <c r="B3632" s="14">
        <v>0.0</v>
      </c>
      <c r="C3632" s="34">
        <v>11.33</v>
      </c>
      <c r="D3632" s="36">
        <v>45103.0</v>
      </c>
      <c r="E3632" s="24"/>
      <c r="F3632" s="14" t="s">
        <v>6012</v>
      </c>
      <c r="G3632" s="14">
        <v>222.16</v>
      </c>
      <c r="H3632" s="14">
        <v>0.0</v>
      </c>
      <c r="I3632" s="14" t="s">
        <v>6057</v>
      </c>
      <c r="J3632" s="14" t="s">
        <v>6012</v>
      </c>
      <c r="K3632" s="14" t="s">
        <v>6012</v>
      </c>
      <c r="L3632" s="14">
        <v>0.0</v>
      </c>
    </row>
    <row r="3633">
      <c r="A3633" s="14">
        <v>598.0</v>
      </c>
      <c r="B3633" s="14">
        <v>1.0</v>
      </c>
      <c r="C3633" s="34">
        <v>13.03</v>
      </c>
      <c r="D3633" s="36">
        <v>45104.0</v>
      </c>
      <c r="E3633" s="24"/>
      <c r="F3633" s="14">
        <v>13.03</v>
      </c>
      <c r="G3633" s="14">
        <v>21.79</v>
      </c>
      <c r="H3633" s="14">
        <v>0.17</v>
      </c>
      <c r="I3633" s="14" t="s">
        <v>6042</v>
      </c>
      <c r="J3633" s="14">
        <v>0.0</v>
      </c>
      <c r="K3633" s="14" t="s">
        <v>6012</v>
      </c>
      <c r="L3633" s="14">
        <v>0.0</v>
      </c>
    </row>
    <row r="3634">
      <c r="A3634" s="14">
        <v>58.0</v>
      </c>
      <c r="B3634" s="14">
        <v>0.0</v>
      </c>
      <c r="C3634" s="34">
        <v>13.8</v>
      </c>
      <c r="D3634" s="36">
        <v>45104.0</v>
      </c>
      <c r="E3634" s="24"/>
      <c r="F3634" s="14" t="s">
        <v>6012</v>
      </c>
      <c r="G3634" s="14">
        <v>237.93</v>
      </c>
      <c r="H3634" s="14">
        <v>0.0</v>
      </c>
      <c r="I3634" s="14" t="s">
        <v>6061</v>
      </c>
      <c r="J3634" s="14" t="s">
        <v>6012</v>
      </c>
      <c r="K3634" s="14" t="s">
        <v>6012</v>
      </c>
      <c r="L3634" s="14">
        <v>0.0</v>
      </c>
    </row>
    <row r="3635">
      <c r="A3635" s="14">
        <v>1172.0</v>
      </c>
      <c r="B3635" s="14">
        <v>8.0</v>
      </c>
      <c r="C3635" s="34">
        <v>11.8</v>
      </c>
      <c r="D3635" s="36">
        <v>45104.0</v>
      </c>
      <c r="E3635" s="24"/>
      <c r="F3635" s="14">
        <v>1.48</v>
      </c>
      <c r="G3635" s="14">
        <v>10.07</v>
      </c>
      <c r="H3635" s="14">
        <v>0.68</v>
      </c>
      <c r="I3635" s="14" t="s">
        <v>6051</v>
      </c>
      <c r="J3635" s="14">
        <v>0.0</v>
      </c>
      <c r="K3635" s="14" t="s">
        <v>6012</v>
      </c>
      <c r="L3635" s="14">
        <v>0.0</v>
      </c>
    </row>
    <row r="3636">
      <c r="A3636" s="14">
        <v>394.0</v>
      </c>
      <c r="B3636" s="14">
        <v>4.0</v>
      </c>
      <c r="C3636" s="34">
        <v>11.86</v>
      </c>
      <c r="D3636" s="36">
        <v>45104.0</v>
      </c>
      <c r="E3636" s="24"/>
      <c r="F3636" s="14">
        <v>2.96</v>
      </c>
      <c r="G3636" s="14">
        <v>30.1</v>
      </c>
      <c r="H3636" s="14">
        <v>1.02</v>
      </c>
      <c r="I3636" s="14" t="s">
        <v>6054</v>
      </c>
      <c r="J3636" s="14">
        <v>0.0</v>
      </c>
      <c r="K3636" s="14" t="s">
        <v>6012</v>
      </c>
      <c r="L3636" s="14">
        <v>0.0</v>
      </c>
    </row>
    <row r="3637">
      <c r="A3637" s="14">
        <v>477.0</v>
      </c>
      <c r="B3637" s="14">
        <v>6.0</v>
      </c>
      <c r="C3637" s="34">
        <v>12.24</v>
      </c>
      <c r="D3637" s="36">
        <v>45104.0</v>
      </c>
      <c r="E3637" s="24"/>
      <c r="F3637" s="14">
        <v>2.04</v>
      </c>
      <c r="G3637" s="14">
        <v>25.66</v>
      </c>
      <c r="H3637" s="14">
        <v>1.26</v>
      </c>
      <c r="I3637" s="14" t="s">
        <v>6060</v>
      </c>
      <c r="J3637" s="14">
        <v>33.33</v>
      </c>
      <c r="K3637" s="14">
        <v>6.12</v>
      </c>
      <c r="L3637" s="14">
        <v>0.0</v>
      </c>
    </row>
    <row r="3638">
      <c r="A3638" s="14">
        <v>400.0</v>
      </c>
      <c r="B3638" s="14">
        <v>1.0</v>
      </c>
      <c r="C3638" s="34">
        <v>11.95</v>
      </c>
      <c r="D3638" s="36">
        <v>45104.0</v>
      </c>
      <c r="E3638" s="24"/>
      <c r="F3638" s="14">
        <v>11.95</v>
      </c>
      <c r="G3638" s="14">
        <v>29.88</v>
      </c>
      <c r="H3638" s="14">
        <v>0.25</v>
      </c>
      <c r="I3638" s="14" t="s">
        <v>6062</v>
      </c>
      <c r="J3638" s="14">
        <v>0.0</v>
      </c>
      <c r="K3638" s="14" t="s">
        <v>6012</v>
      </c>
      <c r="L3638" s="14">
        <v>0.0</v>
      </c>
    </row>
    <row r="3639">
      <c r="A3639" s="14">
        <v>82.0</v>
      </c>
      <c r="B3639" s="14">
        <v>0.0</v>
      </c>
      <c r="C3639" s="34">
        <v>11.72</v>
      </c>
      <c r="D3639" s="36">
        <v>45104.0</v>
      </c>
      <c r="E3639" s="24"/>
      <c r="F3639" s="14" t="s">
        <v>6012</v>
      </c>
      <c r="G3639" s="14">
        <v>142.93</v>
      </c>
      <c r="H3639" s="14">
        <v>0.0</v>
      </c>
      <c r="I3639" s="14" t="s">
        <v>6058</v>
      </c>
      <c r="J3639" s="14" t="s">
        <v>6012</v>
      </c>
      <c r="K3639" s="14">
        <v>11.72</v>
      </c>
      <c r="L3639" s="14">
        <v>0.0</v>
      </c>
    </row>
    <row r="3640">
      <c r="A3640" s="14">
        <v>124.0</v>
      </c>
      <c r="B3640" s="14">
        <v>0.0</v>
      </c>
      <c r="C3640" s="34">
        <v>13.0</v>
      </c>
      <c r="D3640" s="36">
        <v>45104.0</v>
      </c>
      <c r="E3640" s="24"/>
      <c r="F3640" s="14" t="s">
        <v>6012</v>
      </c>
      <c r="G3640" s="14">
        <v>104.84</v>
      </c>
      <c r="H3640" s="14">
        <v>0.0</v>
      </c>
      <c r="I3640" s="14" t="s">
        <v>6063</v>
      </c>
      <c r="J3640" s="14" t="s">
        <v>6012</v>
      </c>
      <c r="K3640" s="14" t="s">
        <v>6012</v>
      </c>
      <c r="L3640" s="14">
        <v>0.0</v>
      </c>
    </row>
    <row r="3641">
      <c r="A3641" s="14">
        <v>64.0</v>
      </c>
      <c r="B3641" s="14">
        <v>2.0</v>
      </c>
      <c r="C3641" s="34">
        <v>12.02</v>
      </c>
      <c r="D3641" s="36">
        <v>45104.0</v>
      </c>
      <c r="E3641" s="24"/>
      <c r="F3641" s="14">
        <v>6.01</v>
      </c>
      <c r="G3641" s="14">
        <v>187.81</v>
      </c>
      <c r="H3641" s="14">
        <v>3.12</v>
      </c>
      <c r="I3641" s="14" t="s">
        <v>6059</v>
      </c>
      <c r="J3641" s="14">
        <v>0.0</v>
      </c>
      <c r="K3641" s="14" t="s">
        <v>6012</v>
      </c>
      <c r="L3641" s="14">
        <v>0.0</v>
      </c>
    </row>
    <row r="3642">
      <c r="A3642" s="14">
        <v>1254.0</v>
      </c>
      <c r="B3642" s="14">
        <v>9.0</v>
      </c>
      <c r="C3642" s="34">
        <v>11.68</v>
      </c>
      <c r="D3642" s="36">
        <v>45104.0</v>
      </c>
      <c r="E3642" s="24"/>
      <c r="F3642" s="14">
        <v>1.3</v>
      </c>
      <c r="G3642" s="14">
        <v>9.31</v>
      </c>
      <c r="H3642" s="14">
        <v>0.72</v>
      </c>
      <c r="I3642" s="14" t="s">
        <v>6050</v>
      </c>
      <c r="J3642" s="14">
        <v>11.11</v>
      </c>
      <c r="K3642" s="14">
        <v>11.68</v>
      </c>
      <c r="L3642" s="14">
        <v>0.0</v>
      </c>
    </row>
    <row r="3643">
      <c r="A3643" s="14">
        <v>75.0</v>
      </c>
      <c r="B3643" s="14">
        <v>0.0</v>
      </c>
      <c r="C3643" s="34">
        <v>12.95</v>
      </c>
      <c r="D3643" s="36">
        <v>45104.0</v>
      </c>
      <c r="E3643" s="24"/>
      <c r="F3643" s="14" t="s">
        <v>6012</v>
      </c>
      <c r="G3643" s="14">
        <v>172.67</v>
      </c>
      <c r="H3643" s="14">
        <v>0.0</v>
      </c>
      <c r="I3643" s="14" t="s">
        <v>6057</v>
      </c>
      <c r="J3643" s="14" t="s">
        <v>6012</v>
      </c>
      <c r="K3643" s="14" t="s">
        <v>6012</v>
      </c>
      <c r="L3643" s="14">
        <v>0.0</v>
      </c>
    </row>
    <row r="3644">
      <c r="A3644" s="14">
        <v>451.0</v>
      </c>
      <c r="B3644" s="14">
        <v>2.0</v>
      </c>
      <c r="C3644" s="34">
        <v>13.92</v>
      </c>
      <c r="D3644" s="36">
        <v>45105.0</v>
      </c>
      <c r="E3644" s="24"/>
      <c r="F3644" s="14">
        <v>6.96</v>
      </c>
      <c r="G3644" s="14">
        <v>30.86</v>
      </c>
      <c r="H3644" s="14">
        <v>0.44</v>
      </c>
      <c r="I3644" s="14" t="s">
        <v>6042</v>
      </c>
      <c r="J3644" s="14">
        <v>50.0</v>
      </c>
      <c r="K3644" s="14">
        <v>13.92</v>
      </c>
      <c r="L3644" s="14">
        <v>0.0</v>
      </c>
    </row>
    <row r="3645">
      <c r="A3645" s="14">
        <v>1183.0</v>
      </c>
      <c r="B3645" s="14">
        <v>13.0</v>
      </c>
      <c r="C3645" s="34">
        <v>11.63</v>
      </c>
      <c r="D3645" s="36">
        <v>45105.0</v>
      </c>
      <c r="E3645" s="24"/>
      <c r="F3645" s="14">
        <v>0.89</v>
      </c>
      <c r="G3645" s="14">
        <v>9.83</v>
      </c>
      <c r="H3645" s="14">
        <v>1.1</v>
      </c>
      <c r="I3645" s="14" t="s">
        <v>6050</v>
      </c>
      <c r="J3645" s="14">
        <v>7.69</v>
      </c>
      <c r="K3645" s="14">
        <v>11.63</v>
      </c>
      <c r="L3645" s="14">
        <v>0.0</v>
      </c>
    </row>
    <row r="3646">
      <c r="A3646" s="14">
        <v>69.0</v>
      </c>
      <c r="B3646" s="14">
        <v>0.0</v>
      </c>
      <c r="C3646" s="34">
        <v>13.89</v>
      </c>
      <c r="D3646" s="36">
        <v>45105.0</v>
      </c>
      <c r="E3646" s="24"/>
      <c r="F3646" s="14" t="s">
        <v>6012</v>
      </c>
      <c r="G3646" s="14">
        <v>201.3</v>
      </c>
      <c r="H3646" s="14">
        <v>0.0</v>
      </c>
      <c r="I3646" s="14" t="s">
        <v>6057</v>
      </c>
      <c r="J3646" s="14" t="s">
        <v>6012</v>
      </c>
      <c r="K3646" s="14" t="s">
        <v>6012</v>
      </c>
      <c r="L3646" s="14">
        <v>0.0</v>
      </c>
    </row>
    <row r="3647">
      <c r="A3647" s="14">
        <v>62.0</v>
      </c>
      <c r="B3647" s="14">
        <v>0.0</v>
      </c>
      <c r="C3647" s="34">
        <v>11.8</v>
      </c>
      <c r="D3647" s="36">
        <v>45105.0</v>
      </c>
      <c r="E3647" s="24"/>
      <c r="F3647" s="14" t="s">
        <v>6012</v>
      </c>
      <c r="G3647" s="14">
        <v>190.32</v>
      </c>
      <c r="H3647" s="14">
        <v>0.0</v>
      </c>
      <c r="I3647" s="14" t="s">
        <v>6058</v>
      </c>
      <c r="J3647" s="14" t="s">
        <v>6012</v>
      </c>
      <c r="K3647" s="14" t="s">
        <v>6012</v>
      </c>
      <c r="L3647" s="14">
        <v>0.0</v>
      </c>
    </row>
    <row r="3648">
      <c r="A3648" s="14">
        <v>75.0</v>
      </c>
      <c r="B3648" s="14">
        <v>0.0</v>
      </c>
      <c r="C3648" s="34">
        <v>13.21</v>
      </c>
      <c r="D3648" s="36">
        <v>45105.0</v>
      </c>
      <c r="E3648" s="24"/>
      <c r="F3648" s="14" t="s">
        <v>6012</v>
      </c>
      <c r="G3648" s="14">
        <v>176.13</v>
      </c>
      <c r="H3648" s="14">
        <v>0.0</v>
      </c>
      <c r="I3648" s="14" t="s">
        <v>6059</v>
      </c>
      <c r="J3648" s="14" t="s">
        <v>6012</v>
      </c>
      <c r="K3648" s="14">
        <v>13.21</v>
      </c>
      <c r="L3648" s="14">
        <v>0.0</v>
      </c>
    </row>
    <row r="3649">
      <c r="A3649" s="14">
        <v>281.0</v>
      </c>
      <c r="B3649" s="14">
        <v>1.0</v>
      </c>
      <c r="C3649" s="34">
        <v>11.89</v>
      </c>
      <c r="D3649" s="36">
        <v>45105.0</v>
      </c>
      <c r="E3649" s="24"/>
      <c r="F3649" s="14">
        <v>11.89</v>
      </c>
      <c r="G3649" s="14">
        <v>42.31</v>
      </c>
      <c r="H3649" s="14">
        <v>0.36</v>
      </c>
      <c r="I3649" s="14" t="s">
        <v>6062</v>
      </c>
      <c r="J3649" s="14">
        <v>0.0</v>
      </c>
      <c r="K3649" s="14" t="s">
        <v>6012</v>
      </c>
      <c r="L3649" s="14">
        <v>0.0</v>
      </c>
    </row>
    <row r="3650">
      <c r="A3650" s="14">
        <v>56.0</v>
      </c>
      <c r="B3650" s="14">
        <v>1.0</v>
      </c>
      <c r="C3650" s="34">
        <v>15.0</v>
      </c>
      <c r="D3650" s="36">
        <v>45105.0</v>
      </c>
      <c r="E3650" s="24"/>
      <c r="F3650" s="14">
        <v>15.0</v>
      </c>
      <c r="G3650" s="14">
        <v>267.86</v>
      </c>
      <c r="H3650" s="14">
        <v>1.79</v>
      </c>
      <c r="I3650" s="14" t="s">
        <v>6061</v>
      </c>
      <c r="J3650" s="14">
        <v>100.0</v>
      </c>
      <c r="K3650" s="14">
        <v>15.0</v>
      </c>
      <c r="L3650" s="14">
        <v>0.0</v>
      </c>
    </row>
    <row r="3651">
      <c r="A3651" s="14">
        <v>322.0</v>
      </c>
      <c r="B3651" s="14">
        <v>2.0</v>
      </c>
      <c r="C3651" s="34">
        <v>12.72</v>
      </c>
      <c r="D3651" s="36">
        <v>45105.0</v>
      </c>
      <c r="E3651" s="24"/>
      <c r="F3651" s="14">
        <v>6.36</v>
      </c>
      <c r="G3651" s="14">
        <v>39.5</v>
      </c>
      <c r="H3651" s="14">
        <v>0.62</v>
      </c>
      <c r="I3651" s="14" t="s">
        <v>6054</v>
      </c>
      <c r="J3651" s="14">
        <v>0.0</v>
      </c>
      <c r="K3651" s="14" t="s">
        <v>6012</v>
      </c>
      <c r="L3651" s="14">
        <v>0.0</v>
      </c>
    </row>
    <row r="3652">
      <c r="A3652" s="14">
        <v>1164.0</v>
      </c>
      <c r="B3652" s="14">
        <v>8.0</v>
      </c>
      <c r="C3652" s="34">
        <v>12.63</v>
      </c>
      <c r="D3652" s="36">
        <v>45105.0</v>
      </c>
      <c r="E3652" s="24"/>
      <c r="F3652" s="14">
        <v>1.58</v>
      </c>
      <c r="G3652" s="14">
        <v>10.85</v>
      </c>
      <c r="H3652" s="14">
        <v>0.69</v>
      </c>
      <c r="I3652" s="14" t="s">
        <v>6051</v>
      </c>
      <c r="J3652" s="14">
        <v>12.5</v>
      </c>
      <c r="K3652" s="14">
        <v>12.63</v>
      </c>
      <c r="L3652" s="14">
        <v>0.0</v>
      </c>
    </row>
    <row r="3653">
      <c r="A3653" s="14">
        <v>425.0</v>
      </c>
      <c r="B3653" s="14">
        <v>5.0</v>
      </c>
      <c r="C3653" s="34">
        <v>11.71</v>
      </c>
      <c r="D3653" s="36">
        <v>45105.0</v>
      </c>
      <c r="E3653" s="24"/>
      <c r="F3653" s="14">
        <v>2.34</v>
      </c>
      <c r="G3653" s="14">
        <v>27.55</v>
      </c>
      <c r="H3653" s="14">
        <v>1.18</v>
      </c>
      <c r="I3653" s="14" t="s">
        <v>6060</v>
      </c>
      <c r="J3653" s="14">
        <v>20.0</v>
      </c>
      <c r="K3653" s="14">
        <v>11.71</v>
      </c>
      <c r="L3653" s="14">
        <v>0.0</v>
      </c>
    </row>
    <row r="3654">
      <c r="A3654" s="14">
        <v>103.0</v>
      </c>
      <c r="B3654" s="14">
        <v>2.0</v>
      </c>
      <c r="C3654" s="34">
        <v>12.82</v>
      </c>
      <c r="D3654" s="36">
        <v>45105.0</v>
      </c>
      <c r="E3654" s="24"/>
      <c r="F3654" s="14">
        <v>6.41</v>
      </c>
      <c r="G3654" s="14">
        <v>124.47</v>
      </c>
      <c r="H3654" s="14">
        <v>1.94</v>
      </c>
      <c r="I3654" s="14" t="s">
        <v>6063</v>
      </c>
      <c r="J3654" s="14">
        <v>0.0</v>
      </c>
      <c r="K3654" s="14" t="s">
        <v>6012</v>
      </c>
      <c r="L3654" s="14">
        <v>0.0</v>
      </c>
    </row>
    <row r="3655">
      <c r="A3655" s="14">
        <v>97.0</v>
      </c>
      <c r="B3655" s="14">
        <v>0.0</v>
      </c>
      <c r="C3655" s="34">
        <v>12.48</v>
      </c>
      <c r="D3655" s="36">
        <v>45106.0</v>
      </c>
      <c r="E3655" s="24"/>
      <c r="F3655" s="14" t="s">
        <v>6012</v>
      </c>
      <c r="G3655" s="14">
        <v>128.66</v>
      </c>
      <c r="H3655" s="14">
        <v>0.0</v>
      </c>
      <c r="I3655" s="14" t="s">
        <v>6063</v>
      </c>
      <c r="J3655" s="14" t="s">
        <v>6012</v>
      </c>
      <c r="K3655" s="14">
        <v>12.48</v>
      </c>
      <c r="L3655" s="14">
        <v>0.0</v>
      </c>
    </row>
    <row r="3656">
      <c r="A3656" s="14">
        <v>318.0</v>
      </c>
      <c r="B3656" s="14">
        <v>2.0</v>
      </c>
      <c r="C3656" s="34">
        <v>11.26</v>
      </c>
      <c r="D3656" s="36">
        <v>45106.0</v>
      </c>
      <c r="E3656" s="24"/>
      <c r="F3656" s="14">
        <v>5.63</v>
      </c>
      <c r="G3656" s="14">
        <v>35.41</v>
      </c>
      <c r="H3656" s="14">
        <v>0.63</v>
      </c>
      <c r="I3656" s="14" t="s">
        <v>6054</v>
      </c>
      <c r="J3656" s="14">
        <v>50.0</v>
      </c>
      <c r="K3656" s="14">
        <v>11.26</v>
      </c>
      <c r="L3656" s="14">
        <v>0.0</v>
      </c>
    </row>
    <row r="3657">
      <c r="A3657" s="14">
        <v>491.0</v>
      </c>
      <c r="B3657" s="14">
        <v>3.0</v>
      </c>
      <c r="C3657" s="34">
        <v>11.4</v>
      </c>
      <c r="D3657" s="36">
        <v>45106.0</v>
      </c>
      <c r="E3657" s="24"/>
      <c r="F3657" s="14">
        <v>3.8</v>
      </c>
      <c r="G3657" s="14">
        <v>23.22</v>
      </c>
      <c r="H3657" s="14">
        <v>0.61</v>
      </c>
      <c r="I3657" s="14" t="s">
        <v>6060</v>
      </c>
      <c r="J3657" s="14">
        <v>33.33</v>
      </c>
      <c r="K3657" s="14">
        <v>11.4</v>
      </c>
      <c r="L3657" s="14">
        <v>0.0</v>
      </c>
    </row>
    <row r="3658">
      <c r="A3658" s="14">
        <v>982.0</v>
      </c>
      <c r="B3658" s="14">
        <v>8.0</v>
      </c>
      <c r="C3658" s="34">
        <v>11.74</v>
      </c>
      <c r="D3658" s="36">
        <v>45106.0</v>
      </c>
      <c r="E3658" s="24"/>
      <c r="F3658" s="14">
        <v>1.47</v>
      </c>
      <c r="G3658" s="14">
        <v>11.96</v>
      </c>
      <c r="H3658" s="14">
        <v>0.81</v>
      </c>
      <c r="I3658" s="14" t="s">
        <v>6050</v>
      </c>
      <c r="J3658" s="14">
        <v>0.0</v>
      </c>
      <c r="K3658" s="14" t="s">
        <v>6012</v>
      </c>
      <c r="L3658" s="14">
        <v>0.0</v>
      </c>
    </row>
    <row r="3659">
      <c r="A3659" s="14">
        <v>67.0</v>
      </c>
      <c r="B3659" s="14">
        <v>1.0</v>
      </c>
      <c r="C3659" s="34">
        <v>13.15</v>
      </c>
      <c r="D3659" s="36">
        <v>45106.0</v>
      </c>
      <c r="E3659" s="24"/>
      <c r="F3659" s="14">
        <v>13.15</v>
      </c>
      <c r="G3659" s="14">
        <v>196.27</v>
      </c>
      <c r="H3659" s="14">
        <v>1.49</v>
      </c>
      <c r="I3659" s="14" t="s">
        <v>6059</v>
      </c>
      <c r="J3659" s="14">
        <v>0.0</v>
      </c>
      <c r="K3659" s="14" t="s">
        <v>6012</v>
      </c>
      <c r="L3659" s="14">
        <v>1.0</v>
      </c>
    </row>
    <row r="3660">
      <c r="A3660" s="14">
        <v>49.0</v>
      </c>
      <c r="B3660" s="14">
        <v>0.0</v>
      </c>
      <c r="C3660" s="34">
        <v>12.07</v>
      </c>
      <c r="D3660" s="36">
        <v>45106.0</v>
      </c>
      <c r="E3660" s="24"/>
      <c r="F3660" s="14" t="s">
        <v>6012</v>
      </c>
      <c r="G3660" s="14">
        <v>246.33</v>
      </c>
      <c r="H3660" s="14">
        <v>0.0</v>
      </c>
      <c r="I3660" s="14" t="s">
        <v>6057</v>
      </c>
      <c r="J3660" s="14" t="s">
        <v>6012</v>
      </c>
      <c r="K3660" s="14" t="s">
        <v>6012</v>
      </c>
      <c r="L3660" s="14">
        <v>0.0</v>
      </c>
    </row>
    <row r="3661">
      <c r="A3661" s="14">
        <v>65.0</v>
      </c>
      <c r="B3661" s="14">
        <v>2.0</v>
      </c>
      <c r="C3661" s="34">
        <v>12.32</v>
      </c>
      <c r="D3661" s="36">
        <v>45106.0</v>
      </c>
      <c r="E3661" s="24"/>
      <c r="F3661" s="14">
        <v>6.16</v>
      </c>
      <c r="G3661" s="14">
        <v>189.54</v>
      </c>
      <c r="H3661" s="14">
        <v>3.08</v>
      </c>
      <c r="I3661" s="14" t="s">
        <v>6058</v>
      </c>
      <c r="J3661" s="14">
        <v>0.0</v>
      </c>
      <c r="K3661" s="14" t="s">
        <v>6012</v>
      </c>
      <c r="L3661" s="14">
        <v>1.0</v>
      </c>
    </row>
    <row r="3662">
      <c r="A3662" s="14">
        <v>411.0</v>
      </c>
      <c r="B3662" s="14">
        <v>0.0</v>
      </c>
      <c r="C3662" s="34">
        <v>12.42</v>
      </c>
      <c r="D3662" s="36">
        <v>45106.0</v>
      </c>
      <c r="E3662" s="24"/>
      <c r="F3662" s="14" t="s">
        <v>6012</v>
      </c>
      <c r="G3662" s="14">
        <v>30.22</v>
      </c>
      <c r="H3662" s="14">
        <v>0.0</v>
      </c>
      <c r="I3662" s="14" t="s">
        <v>6042</v>
      </c>
      <c r="J3662" s="14" t="s">
        <v>6012</v>
      </c>
      <c r="K3662" s="14" t="s">
        <v>6012</v>
      </c>
      <c r="L3662" s="14">
        <v>0.0</v>
      </c>
    </row>
    <row r="3663">
      <c r="A3663" s="14">
        <v>1122.0</v>
      </c>
      <c r="B3663" s="14">
        <v>7.0</v>
      </c>
      <c r="C3663" s="34">
        <v>11.86</v>
      </c>
      <c r="D3663" s="36">
        <v>45106.0</v>
      </c>
      <c r="E3663" s="24"/>
      <c r="F3663" s="14">
        <v>1.69</v>
      </c>
      <c r="G3663" s="14">
        <v>10.57</v>
      </c>
      <c r="H3663" s="14">
        <v>0.62</v>
      </c>
      <c r="I3663" s="14" t="s">
        <v>6051</v>
      </c>
      <c r="J3663" s="14">
        <v>14.29</v>
      </c>
      <c r="K3663" s="14">
        <v>11.86</v>
      </c>
      <c r="L3663" s="14">
        <v>0.0</v>
      </c>
    </row>
    <row r="3664">
      <c r="A3664" s="14">
        <v>318.0</v>
      </c>
      <c r="B3664" s="14">
        <v>0.0</v>
      </c>
      <c r="C3664" s="34">
        <v>11.17</v>
      </c>
      <c r="D3664" s="36">
        <v>45106.0</v>
      </c>
      <c r="E3664" s="24"/>
      <c r="F3664" s="14" t="s">
        <v>6012</v>
      </c>
      <c r="G3664" s="14">
        <v>35.13</v>
      </c>
      <c r="H3664" s="14">
        <v>0.0</v>
      </c>
      <c r="I3664" s="14" t="s">
        <v>6062</v>
      </c>
      <c r="J3664" s="14" t="s">
        <v>6012</v>
      </c>
      <c r="K3664" s="14">
        <v>11.17</v>
      </c>
      <c r="L3664" s="14">
        <v>0.0</v>
      </c>
    </row>
    <row r="3665">
      <c r="A3665" s="14">
        <v>86.0</v>
      </c>
      <c r="B3665" s="14">
        <v>1.0</v>
      </c>
      <c r="C3665" s="34">
        <v>10.68</v>
      </c>
      <c r="D3665" s="36">
        <v>45106.0</v>
      </c>
      <c r="E3665" s="24"/>
      <c r="F3665" s="14">
        <v>10.68</v>
      </c>
      <c r="G3665" s="14">
        <v>124.19</v>
      </c>
      <c r="H3665" s="14">
        <v>1.16</v>
      </c>
      <c r="I3665" s="14" t="s">
        <v>6061</v>
      </c>
      <c r="J3665" s="14">
        <v>300.0</v>
      </c>
      <c r="K3665" s="14">
        <v>3.56</v>
      </c>
      <c r="L3665" s="14">
        <v>0.0</v>
      </c>
    </row>
    <row r="3666">
      <c r="A3666" s="14">
        <v>298.0</v>
      </c>
      <c r="B3666" s="14">
        <v>3.0</v>
      </c>
      <c r="C3666" s="34">
        <v>10.55</v>
      </c>
      <c r="D3666" s="36">
        <v>45107.0</v>
      </c>
      <c r="E3666" s="24"/>
      <c r="F3666" s="14">
        <v>3.52</v>
      </c>
      <c r="G3666" s="14">
        <v>35.4</v>
      </c>
      <c r="H3666" s="14">
        <v>1.01</v>
      </c>
      <c r="I3666" s="14" t="s">
        <v>6054</v>
      </c>
      <c r="J3666" s="14">
        <v>0.0</v>
      </c>
      <c r="K3666" s="14" t="s">
        <v>6012</v>
      </c>
      <c r="L3666" s="14">
        <v>0.0</v>
      </c>
    </row>
    <row r="3667">
      <c r="A3667" s="14">
        <v>49.0</v>
      </c>
      <c r="B3667" s="14">
        <v>0.0</v>
      </c>
      <c r="C3667" s="34">
        <v>11.68</v>
      </c>
      <c r="D3667" s="36">
        <v>45107.0</v>
      </c>
      <c r="E3667" s="24"/>
      <c r="F3667" s="14" t="s">
        <v>6012</v>
      </c>
      <c r="G3667" s="14">
        <v>238.37</v>
      </c>
      <c r="H3667" s="14">
        <v>0.0</v>
      </c>
      <c r="I3667" s="14" t="s">
        <v>6059</v>
      </c>
      <c r="J3667" s="14" t="s">
        <v>6012</v>
      </c>
      <c r="K3667" s="14" t="s">
        <v>6012</v>
      </c>
      <c r="L3667" s="14">
        <v>0.0</v>
      </c>
    </row>
    <row r="3668">
      <c r="A3668" s="14">
        <v>86.0</v>
      </c>
      <c r="B3668" s="14">
        <v>1.0</v>
      </c>
      <c r="C3668" s="34">
        <v>10.52</v>
      </c>
      <c r="D3668" s="36">
        <v>45107.0</v>
      </c>
      <c r="E3668" s="24"/>
      <c r="F3668" s="14">
        <v>10.52</v>
      </c>
      <c r="G3668" s="14">
        <v>122.33</v>
      </c>
      <c r="H3668" s="14">
        <v>1.16</v>
      </c>
      <c r="I3668" s="14" t="s">
        <v>6061</v>
      </c>
      <c r="J3668" s="14">
        <v>100.0</v>
      </c>
      <c r="K3668" s="14">
        <v>10.52</v>
      </c>
      <c r="L3668" s="14">
        <v>0.0</v>
      </c>
    </row>
    <row r="3669">
      <c r="A3669" s="14">
        <v>43.0</v>
      </c>
      <c r="B3669" s="14">
        <v>1.0</v>
      </c>
      <c r="C3669" s="34">
        <v>12.86</v>
      </c>
      <c r="D3669" s="36">
        <v>45107.0</v>
      </c>
      <c r="E3669" s="24"/>
      <c r="F3669" s="14">
        <v>12.86</v>
      </c>
      <c r="G3669" s="14">
        <v>299.07</v>
      </c>
      <c r="H3669" s="14">
        <v>2.33</v>
      </c>
      <c r="I3669" s="14" t="s">
        <v>6057</v>
      </c>
      <c r="J3669" s="14">
        <v>0.0</v>
      </c>
      <c r="K3669" s="14" t="s">
        <v>6012</v>
      </c>
      <c r="L3669" s="14">
        <v>0.0</v>
      </c>
    </row>
    <row r="3670">
      <c r="A3670" s="14">
        <v>431.0</v>
      </c>
      <c r="B3670" s="14">
        <v>5.0</v>
      </c>
      <c r="C3670" s="34">
        <v>11.18</v>
      </c>
      <c r="D3670" s="36">
        <v>45107.0</v>
      </c>
      <c r="E3670" s="24"/>
      <c r="F3670" s="14">
        <v>2.24</v>
      </c>
      <c r="G3670" s="14">
        <v>25.94</v>
      </c>
      <c r="H3670" s="14">
        <v>1.16</v>
      </c>
      <c r="I3670" s="14" t="s">
        <v>6060</v>
      </c>
      <c r="J3670" s="14">
        <v>60.0</v>
      </c>
      <c r="K3670" s="14">
        <v>3.73</v>
      </c>
      <c r="L3670" s="14">
        <v>0.0</v>
      </c>
    </row>
    <row r="3671">
      <c r="A3671" s="14">
        <v>252.0</v>
      </c>
      <c r="B3671" s="14">
        <v>0.0</v>
      </c>
      <c r="C3671" s="34">
        <v>10.45</v>
      </c>
      <c r="D3671" s="36">
        <v>45107.0</v>
      </c>
      <c r="E3671" s="24"/>
      <c r="F3671" s="14" t="s">
        <v>6012</v>
      </c>
      <c r="G3671" s="14">
        <v>41.47</v>
      </c>
      <c r="H3671" s="14">
        <v>0.0</v>
      </c>
      <c r="I3671" s="14" t="s">
        <v>6062</v>
      </c>
      <c r="J3671" s="14" t="s">
        <v>6012</v>
      </c>
      <c r="K3671" s="14">
        <v>3.48</v>
      </c>
      <c r="L3671" s="14">
        <v>0.0</v>
      </c>
    </row>
    <row r="3672">
      <c r="A3672" s="14">
        <v>80.0</v>
      </c>
      <c r="B3672" s="14">
        <v>0.0</v>
      </c>
      <c r="C3672" s="34">
        <v>11.36</v>
      </c>
      <c r="D3672" s="36">
        <v>45107.0</v>
      </c>
      <c r="E3672" s="24"/>
      <c r="F3672" s="14" t="s">
        <v>6012</v>
      </c>
      <c r="G3672" s="14">
        <v>142.0</v>
      </c>
      <c r="H3672" s="14">
        <v>0.0</v>
      </c>
      <c r="I3672" s="14" t="s">
        <v>6063</v>
      </c>
      <c r="J3672" s="14" t="s">
        <v>6012</v>
      </c>
      <c r="K3672" s="14" t="s">
        <v>6012</v>
      </c>
      <c r="L3672" s="14">
        <v>0.0</v>
      </c>
    </row>
    <row r="3673">
      <c r="A3673" s="14">
        <v>948.0</v>
      </c>
      <c r="B3673" s="14">
        <v>9.0</v>
      </c>
      <c r="C3673" s="34">
        <v>11.59</v>
      </c>
      <c r="D3673" s="36">
        <v>45107.0</v>
      </c>
      <c r="E3673" s="24"/>
      <c r="F3673" s="14">
        <v>1.29</v>
      </c>
      <c r="G3673" s="14">
        <v>12.23</v>
      </c>
      <c r="H3673" s="14">
        <v>0.95</v>
      </c>
      <c r="I3673" s="14" t="s">
        <v>6051</v>
      </c>
      <c r="J3673" s="14">
        <v>0.0</v>
      </c>
      <c r="K3673" s="14" t="s">
        <v>6012</v>
      </c>
      <c r="L3673" s="14">
        <v>0.0</v>
      </c>
    </row>
    <row r="3674">
      <c r="A3674" s="14">
        <v>910.0</v>
      </c>
      <c r="B3674" s="14">
        <v>7.0</v>
      </c>
      <c r="C3674" s="34">
        <v>10.81</v>
      </c>
      <c r="D3674" s="36">
        <v>45107.0</v>
      </c>
      <c r="E3674" s="24"/>
      <c r="F3674" s="14">
        <v>1.54</v>
      </c>
      <c r="G3674" s="14">
        <v>11.88</v>
      </c>
      <c r="H3674" s="14">
        <v>0.77</v>
      </c>
      <c r="I3674" s="14" t="s">
        <v>6050</v>
      </c>
      <c r="J3674" s="14">
        <v>71.43</v>
      </c>
      <c r="K3674" s="14">
        <v>2.16</v>
      </c>
      <c r="L3674" s="14">
        <v>0.0</v>
      </c>
    </row>
    <row r="3675">
      <c r="A3675" s="14">
        <v>64.0</v>
      </c>
      <c r="B3675" s="14">
        <v>0.0</v>
      </c>
      <c r="C3675" s="34">
        <v>11.3</v>
      </c>
      <c r="D3675" s="36">
        <v>45107.0</v>
      </c>
      <c r="E3675" s="24"/>
      <c r="F3675" s="14" t="s">
        <v>6012</v>
      </c>
      <c r="G3675" s="14">
        <v>176.56</v>
      </c>
      <c r="H3675" s="14">
        <v>0.0</v>
      </c>
      <c r="I3675" s="14" t="s">
        <v>6058</v>
      </c>
      <c r="J3675" s="14" t="s">
        <v>6012</v>
      </c>
      <c r="K3675" s="14" t="s">
        <v>6012</v>
      </c>
      <c r="L3675" s="14">
        <v>0.0</v>
      </c>
    </row>
    <row r="3676">
      <c r="A3676" s="14">
        <v>383.0</v>
      </c>
      <c r="B3676" s="14">
        <v>4.0</v>
      </c>
      <c r="C3676" s="34">
        <v>12.22</v>
      </c>
      <c r="D3676" s="36">
        <v>45107.0</v>
      </c>
      <c r="E3676" s="24"/>
      <c r="F3676" s="14">
        <v>3.06</v>
      </c>
      <c r="G3676" s="14">
        <v>31.91</v>
      </c>
      <c r="H3676" s="14">
        <v>1.04</v>
      </c>
      <c r="I3676" s="14" t="s">
        <v>6042</v>
      </c>
      <c r="J3676" s="14">
        <v>25.0</v>
      </c>
      <c r="K3676" s="14">
        <v>12.22</v>
      </c>
      <c r="L3676" s="14">
        <v>0.0</v>
      </c>
    </row>
    <row r="3677">
      <c r="A3677" s="14">
        <v>21.0</v>
      </c>
      <c r="B3677" s="14">
        <v>0.0</v>
      </c>
      <c r="C3677" s="34">
        <v>5.57</v>
      </c>
      <c r="D3677" s="36">
        <v>45108.0</v>
      </c>
      <c r="E3677" s="24"/>
      <c r="F3677" s="14" t="s">
        <v>6012</v>
      </c>
      <c r="G3677" s="14">
        <v>265.24</v>
      </c>
      <c r="H3677" s="14">
        <v>0.0</v>
      </c>
      <c r="I3677" s="14" t="s">
        <v>6059</v>
      </c>
      <c r="J3677" s="14" t="s">
        <v>6012</v>
      </c>
      <c r="K3677" s="14" t="s">
        <v>6012</v>
      </c>
      <c r="L3677" s="14">
        <v>0.0</v>
      </c>
    </row>
    <row r="3678">
      <c r="A3678" s="14">
        <v>270.0</v>
      </c>
      <c r="B3678" s="14">
        <v>2.0</v>
      </c>
      <c r="C3678" s="34">
        <v>7.74</v>
      </c>
      <c r="D3678" s="36">
        <v>45108.0</v>
      </c>
      <c r="E3678" s="24"/>
      <c r="F3678" s="14">
        <v>3.87</v>
      </c>
      <c r="G3678" s="14">
        <v>28.67</v>
      </c>
      <c r="H3678" s="14">
        <v>0.74</v>
      </c>
      <c r="I3678" s="14" t="s">
        <v>6042</v>
      </c>
      <c r="J3678" s="14">
        <v>50.0</v>
      </c>
      <c r="K3678" s="14">
        <v>7.74</v>
      </c>
      <c r="L3678" s="14">
        <v>0.0</v>
      </c>
    </row>
    <row r="3679">
      <c r="A3679" s="14">
        <v>40.0</v>
      </c>
      <c r="B3679" s="14">
        <v>0.0</v>
      </c>
      <c r="C3679" s="34">
        <v>5.65</v>
      </c>
      <c r="D3679" s="36">
        <v>45108.0</v>
      </c>
      <c r="E3679" s="24"/>
      <c r="F3679" s="14" t="s">
        <v>6012</v>
      </c>
      <c r="G3679" s="14">
        <v>141.25</v>
      </c>
      <c r="H3679" s="14">
        <v>0.0</v>
      </c>
      <c r="I3679" s="14" t="s">
        <v>6063</v>
      </c>
      <c r="J3679" s="14" t="s">
        <v>6012</v>
      </c>
      <c r="K3679" s="14" t="s">
        <v>6012</v>
      </c>
      <c r="L3679" s="14">
        <v>0.0</v>
      </c>
    </row>
    <row r="3680">
      <c r="A3680" s="14">
        <v>28.0</v>
      </c>
      <c r="B3680" s="14">
        <v>1.0</v>
      </c>
      <c r="C3680" s="34">
        <v>5.94</v>
      </c>
      <c r="D3680" s="36">
        <v>45108.0</v>
      </c>
      <c r="E3680" s="24"/>
      <c r="F3680" s="14">
        <v>5.94</v>
      </c>
      <c r="G3680" s="14">
        <v>212.14</v>
      </c>
      <c r="H3680" s="14">
        <v>3.57</v>
      </c>
      <c r="I3680" s="14" t="s">
        <v>6061</v>
      </c>
      <c r="J3680" s="14">
        <v>100.0</v>
      </c>
      <c r="K3680" s="14">
        <v>5.94</v>
      </c>
      <c r="L3680" s="14">
        <v>0.0</v>
      </c>
    </row>
    <row r="3681">
      <c r="A3681" s="14">
        <v>568.0</v>
      </c>
      <c r="B3681" s="14">
        <v>5.0</v>
      </c>
      <c r="C3681" s="34">
        <v>6.48</v>
      </c>
      <c r="D3681" s="36">
        <v>45108.0</v>
      </c>
      <c r="E3681" s="24"/>
      <c r="F3681" s="14">
        <v>1.3</v>
      </c>
      <c r="G3681" s="14">
        <v>11.41</v>
      </c>
      <c r="H3681" s="14">
        <v>0.88</v>
      </c>
      <c r="I3681" s="14" t="s">
        <v>6050</v>
      </c>
      <c r="J3681" s="14">
        <v>20.0</v>
      </c>
      <c r="K3681" s="14">
        <v>6.48</v>
      </c>
      <c r="L3681" s="14">
        <v>0.0</v>
      </c>
    </row>
    <row r="3682">
      <c r="A3682" s="14">
        <v>146.0</v>
      </c>
      <c r="B3682" s="14">
        <v>0.0</v>
      </c>
      <c r="C3682" s="34">
        <v>6.62</v>
      </c>
      <c r="D3682" s="36">
        <v>45108.0</v>
      </c>
      <c r="E3682" s="24"/>
      <c r="F3682" s="14" t="s">
        <v>6012</v>
      </c>
      <c r="G3682" s="14">
        <v>45.34</v>
      </c>
      <c r="H3682" s="14">
        <v>0.0</v>
      </c>
      <c r="I3682" s="14" t="s">
        <v>6062</v>
      </c>
      <c r="J3682" s="14" t="s">
        <v>6012</v>
      </c>
      <c r="K3682" s="14">
        <v>6.62</v>
      </c>
      <c r="L3682" s="14">
        <v>0.0</v>
      </c>
    </row>
    <row r="3683">
      <c r="A3683" s="14">
        <v>35.0</v>
      </c>
      <c r="B3683" s="14">
        <v>1.0</v>
      </c>
      <c r="C3683" s="34">
        <v>5.04</v>
      </c>
      <c r="D3683" s="36">
        <v>45108.0</v>
      </c>
      <c r="E3683" s="24"/>
      <c r="F3683" s="14">
        <v>5.04</v>
      </c>
      <c r="G3683" s="14">
        <v>144.0</v>
      </c>
      <c r="H3683" s="14">
        <v>2.86</v>
      </c>
      <c r="I3683" s="14" t="s">
        <v>6057</v>
      </c>
      <c r="J3683" s="14">
        <v>0.0</v>
      </c>
      <c r="K3683" s="14" t="s">
        <v>6012</v>
      </c>
      <c r="L3683" s="14">
        <v>0.0</v>
      </c>
    </row>
    <row r="3684">
      <c r="A3684" s="14">
        <v>158.0</v>
      </c>
      <c r="B3684" s="14">
        <v>1.0</v>
      </c>
      <c r="C3684" s="34">
        <v>6.33</v>
      </c>
      <c r="D3684" s="36">
        <v>45108.0</v>
      </c>
      <c r="E3684" s="24"/>
      <c r="F3684" s="14">
        <v>6.33</v>
      </c>
      <c r="G3684" s="14">
        <v>40.06</v>
      </c>
      <c r="H3684" s="14">
        <v>0.63</v>
      </c>
      <c r="I3684" s="14" t="s">
        <v>6054</v>
      </c>
      <c r="J3684" s="14">
        <v>0.0</v>
      </c>
      <c r="K3684" s="14" t="s">
        <v>6012</v>
      </c>
      <c r="L3684" s="14">
        <v>0.0</v>
      </c>
    </row>
    <row r="3685">
      <c r="A3685" s="14">
        <v>28.0</v>
      </c>
      <c r="B3685" s="14">
        <v>0.0</v>
      </c>
      <c r="C3685" s="34">
        <v>6.12</v>
      </c>
      <c r="D3685" s="36">
        <v>45108.0</v>
      </c>
      <c r="E3685" s="24"/>
      <c r="F3685" s="14" t="s">
        <v>6012</v>
      </c>
      <c r="G3685" s="14">
        <v>218.57</v>
      </c>
      <c r="H3685" s="14">
        <v>0.0</v>
      </c>
      <c r="I3685" s="14" t="s">
        <v>6058</v>
      </c>
      <c r="J3685" s="14" t="s">
        <v>6012</v>
      </c>
      <c r="K3685" s="14" t="s">
        <v>6012</v>
      </c>
      <c r="L3685" s="14">
        <v>0.0</v>
      </c>
    </row>
    <row r="3686">
      <c r="A3686" s="14">
        <v>452.0</v>
      </c>
      <c r="B3686" s="14">
        <v>3.0</v>
      </c>
      <c r="C3686" s="34">
        <v>5.99</v>
      </c>
      <c r="D3686" s="36">
        <v>45108.0</v>
      </c>
      <c r="E3686" s="24"/>
      <c r="F3686" s="14">
        <v>2.0</v>
      </c>
      <c r="G3686" s="14">
        <v>13.25</v>
      </c>
      <c r="H3686" s="14">
        <v>0.66</v>
      </c>
      <c r="I3686" s="14" t="s">
        <v>6060</v>
      </c>
      <c r="J3686" s="14">
        <v>0.0</v>
      </c>
      <c r="K3686" s="14" t="s">
        <v>6012</v>
      </c>
      <c r="L3686" s="14">
        <v>0.0</v>
      </c>
    </row>
    <row r="3687">
      <c r="A3687" s="14">
        <v>521.0</v>
      </c>
      <c r="B3687" s="14">
        <v>4.0</v>
      </c>
      <c r="C3687" s="34">
        <v>6.69</v>
      </c>
      <c r="D3687" s="36">
        <v>45108.0</v>
      </c>
      <c r="E3687" s="24"/>
      <c r="F3687" s="14">
        <v>1.67</v>
      </c>
      <c r="G3687" s="14">
        <v>12.84</v>
      </c>
      <c r="H3687" s="14">
        <v>0.77</v>
      </c>
      <c r="I3687" s="14" t="s">
        <v>6051</v>
      </c>
      <c r="J3687" s="14">
        <v>0.0</v>
      </c>
      <c r="K3687" s="14" t="s">
        <v>6012</v>
      </c>
      <c r="L3687" s="14">
        <v>0.0</v>
      </c>
    </row>
    <row r="3688">
      <c r="A3688" s="14">
        <v>139.0</v>
      </c>
      <c r="B3688" s="14">
        <v>0.0</v>
      </c>
      <c r="C3688" s="34">
        <v>5.17</v>
      </c>
      <c r="D3688" s="36">
        <v>45109.0</v>
      </c>
      <c r="E3688" s="24"/>
      <c r="F3688" s="14" t="s">
        <v>6012</v>
      </c>
      <c r="G3688" s="14">
        <v>37.19</v>
      </c>
      <c r="H3688" s="14">
        <v>0.0</v>
      </c>
      <c r="I3688" s="14" t="s">
        <v>6042</v>
      </c>
      <c r="J3688" s="14" t="s">
        <v>6012</v>
      </c>
      <c r="K3688" s="14">
        <v>5.17</v>
      </c>
      <c r="L3688" s="14">
        <v>0.0</v>
      </c>
    </row>
    <row r="3689">
      <c r="A3689" s="14">
        <v>24.0</v>
      </c>
      <c r="B3689" s="14">
        <v>1.0</v>
      </c>
      <c r="C3689" s="34">
        <v>1.86</v>
      </c>
      <c r="D3689" s="36">
        <v>45109.0</v>
      </c>
      <c r="E3689" s="24"/>
      <c r="F3689" s="14">
        <v>1.86</v>
      </c>
      <c r="G3689" s="14">
        <v>77.5</v>
      </c>
      <c r="H3689" s="14">
        <v>4.17</v>
      </c>
      <c r="I3689" s="14" t="s">
        <v>6057</v>
      </c>
      <c r="J3689" s="14">
        <v>0.0</v>
      </c>
      <c r="K3689" s="14" t="s">
        <v>6012</v>
      </c>
      <c r="L3689" s="14">
        <v>0.0</v>
      </c>
    </row>
    <row r="3690">
      <c r="A3690" s="14">
        <v>489.0</v>
      </c>
      <c r="B3690" s="14">
        <v>2.0</v>
      </c>
      <c r="C3690" s="34">
        <v>5.57</v>
      </c>
      <c r="D3690" s="36">
        <v>45109.0</v>
      </c>
      <c r="E3690" s="24"/>
      <c r="F3690" s="14">
        <v>2.78</v>
      </c>
      <c r="G3690" s="14">
        <v>11.39</v>
      </c>
      <c r="H3690" s="14">
        <v>0.41</v>
      </c>
      <c r="I3690" s="14" t="s">
        <v>6051</v>
      </c>
      <c r="J3690" s="14">
        <v>0.0</v>
      </c>
      <c r="K3690" s="14" t="s">
        <v>6012</v>
      </c>
      <c r="L3690" s="14">
        <v>0.0</v>
      </c>
    </row>
    <row r="3691">
      <c r="A3691" s="14">
        <v>22.0</v>
      </c>
      <c r="B3691" s="14">
        <v>0.0</v>
      </c>
      <c r="C3691" s="34">
        <v>3.81</v>
      </c>
      <c r="D3691" s="36">
        <v>45109.0</v>
      </c>
      <c r="E3691" s="24"/>
      <c r="F3691" s="14" t="s">
        <v>6012</v>
      </c>
      <c r="G3691" s="14">
        <v>173.18</v>
      </c>
      <c r="H3691" s="14">
        <v>0.0</v>
      </c>
      <c r="I3691" s="14" t="s">
        <v>6059</v>
      </c>
      <c r="J3691" s="14" t="s">
        <v>6012</v>
      </c>
      <c r="K3691" s="14" t="s">
        <v>6012</v>
      </c>
      <c r="L3691" s="14">
        <v>0.0</v>
      </c>
    </row>
    <row r="3692">
      <c r="A3692" s="14">
        <v>396.0</v>
      </c>
      <c r="B3692" s="14">
        <v>3.0</v>
      </c>
      <c r="C3692" s="34">
        <v>6.16</v>
      </c>
      <c r="D3692" s="36">
        <v>45109.0</v>
      </c>
      <c r="E3692" s="24"/>
      <c r="F3692" s="14">
        <v>2.05</v>
      </c>
      <c r="G3692" s="14">
        <v>15.56</v>
      </c>
      <c r="H3692" s="14">
        <v>0.76</v>
      </c>
      <c r="I3692" s="14" t="s">
        <v>6060</v>
      </c>
      <c r="J3692" s="14">
        <v>33.33</v>
      </c>
      <c r="K3692" s="14">
        <v>6.16</v>
      </c>
      <c r="L3692" s="14">
        <v>0.0</v>
      </c>
    </row>
    <row r="3693">
      <c r="A3693" s="14">
        <v>154.0</v>
      </c>
      <c r="B3693" s="14">
        <v>2.0</v>
      </c>
      <c r="C3693" s="34">
        <v>5.77</v>
      </c>
      <c r="D3693" s="36">
        <v>45109.0</v>
      </c>
      <c r="E3693" s="24"/>
      <c r="F3693" s="14">
        <v>2.88</v>
      </c>
      <c r="G3693" s="14">
        <v>37.47</v>
      </c>
      <c r="H3693" s="14">
        <v>1.3</v>
      </c>
      <c r="I3693" s="14" t="s">
        <v>6062</v>
      </c>
      <c r="J3693" s="14">
        <v>0.0</v>
      </c>
      <c r="K3693" s="14" t="s">
        <v>6012</v>
      </c>
      <c r="L3693" s="14">
        <v>0.0</v>
      </c>
    </row>
    <row r="3694">
      <c r="A3694" s="14">
        <v>538.0</v>
      </c>
      <c r="B3694" s="14">
        <v>4.0</v>
      </c>
      <c r="C3694" s="34">
        <v>6.25</v>
      </c>
      <c r="D3694" s="36">
        <v>45109.0</v>
      </c>
      <c r="E3694" s="24"/>
      <c r="F3694" s="14">
        <v>1.56</v>
      </c>
      <c r="G3694" s="14">
        <v>11.62</v>
      </c>
      <c r="H3694" s="14">
        <v>0.74</v>
      </c>
      <c r="I3694" s="14" t="s">
        <v>6050</v>
      </c>
      <c r="J3694" s="14">
        <v>0.0</v>
      </c>
      <c r="K3694" s="14" t="s">
        <v>6012</v>
      </c>
      <c r="L3694" s="14">
        <v>0.0</v>
      </c>
    </row>
    <row r="3695">
      <c r="A3695" s="14">
        <v>45.0</v>
      </c>
      <c r="B3695" s="14">
        <v>1.0</v>
      </c>
      <c r="C3695" s="34">
        <v>5.17</v>
      </c>
      <c r="D3695" s="36">
        <v>45109.0</v>
      </c>
      <c r="E3695" s="24"/>
      <c r="F3695" s="14">
        <v>5.17</v>
      </c>
      <c r="G3695" s="14">
        <v>114.89</v>
      </c>
      <c r="H3695" s="14">
        <v>2.22</v>
      </c>
      <c r="I3695" s="14" t="s">
        <v>6058</v>
      </c>
      <c r="J3695" s="14">
        <v>0.0</v>
      </c>
      <c r="K3695" s="14" t="s">
        <v>6012</v>
      </c>
      <c r="L3695" s="14">
        <v>1.0</v>
      </c>
    </row>
    <row r="3696">
      <c r="A3696" s="14">
        <v>40.0</v>
      </c>
      <c r="B3696" s="14">
        <v>0.0</v>
      </c>
      <c r="C3696" s="34">
        <v>4.31</v>
      </c>
      <c r="D3696" s="36">
        <v>45109.0</v>
      </c>
      <c r="E3696" s="24"/>
      <c r="F3696" s="14" t="s">
        <v>6012</v>
      </c>
      <c r="G3696" s="14">
        <v>107.75</v>
      </c>
      <c r="H3696" s="14">
        <v>0.0</v>
      </c>
      <c r="I3696" s="14" t="s">
        <v>6063</v>
      </c>
      <c r="J3696" s="14" t="s">
        <v>6012</v>
      </c>
      <c r="K3696" s="14" t="s">
        <v>6012</v>
      </c>
      <c r="L3696" s="14">
        <v>0.0</v>
      </c>
    </row>
    <row r="3697">
      <c r="A3697" s="14">
        <v>25.0</v>
      </c>
      <c r="B3697" s="14">
        <v>0.0</v>
      </c>
      <c r="C3697" s="34">
        <v>3.84</v>
      </c>
      <c r="D3697" s="36">
        <v>45109.0</v>
      </c>
      <c r="E3697" s="24"/>
      <c r="F3697" s="14" t="s">
        <v>6012</v>
      </c>
      <c r="G3697" s="14">
        <v>153.6</v>
      </c>
      <c r="H3697" s="14">
        <v>0.0</v>
      </c>
      <c r="I3697" s="14" t="s">
        <v>6061</v>
      </c>
      <c r="J3697" s="14" t="s">
        <v>6012</v>
      </c>
      <c r="K3697" s="14" t="s">
        <v>6012</v>
      </c>
      <c r="L3697" s="14">
        <v>0.0</v>
      </c>
    </row>
    <row r="3698">
      <c r="A3698" s="14">
        <v>214.0</v>
      </c>
      <c r="B3698" s="14">
        <v>1.0</v>
      </c>
      <c r="C3698" s="34">
        <v>6.09</v>
      </c>
      <c r="D3698" s="36">
        <v>45109.0</v>
      </c>
      <c r="E3698" s="24"/>
      <c r="F3698" s="14">
        <v>6.09</v>
      </c>
      <c r="G3698" s="14">
        <v>28.46</v>
      </c>
      <c r="H3698" s="14">
        <v>0.47</v>
      </c>
      <c r="I3698" s="14" t="s">
        <v>6054</v>
      </c>
      <c r="J3698" s="14">
        <v>0.0</v>
      </c>
      <c r="K3698" s="14" t="s">
        <v>6012</v>
      </c>
      <c r="L3698" s="14">
        <v>0.0</v>
      </c>
    </row>
    <row r="3699">
      <c r="A3699" s="14">
        <v>614.0</v>
      </c>
      <c r="B3699" s="14">
        <v>5.0</v>
      </c>
      <c r="C3699" s="34">
        <v>11.24</v>
      </c>
      <c r="D3699" s="36">
        <v>45110.0</v>
      </c>
      <c r="E3699" s="24"/>
      <c r="F3699" s="14">
        <v>2.25</v>
      </c>
      <c r="G3699" s="14">
        <v>18.31</v>
      </c>
      <c r="H3699" s="14">
        <v>0.81</v>
      </c>
      <c r="I3699" s="14" t="s">
        <v>6060</v>
      </c>
      <c r="J3699" s="14">
        <v>20.0</v>
      </c>
      <c r="K3699" s="14">
        <v>11.24</v>
      </c>
      <c r="L3699" s="14">
        <v>0.0</v>
      </c>
    </row>
    <row r="3700">
      <c r="A3700" s="14">
        <v>105.0</v>
      </c>
      <c r="B3700" s="14">
        <v>3.0</v>
      </c>
      <c r="C3700" s="34">
        <v>12.15</v>
      </c>
      <c r="D3700" s="36">
        <v>45110.0</v>
      </c>
      <c r="E3700" s="24"/>
      <c r="F3700" s="14">
        <v>4.05</v>
      </c>
      <c r="G3700" s="14">
        <v>115.71</v>
      </c>
      <c r="H3700" s="14">
        <v>2.86</v>
      </c>
      <c r="I3700" s="14" t="s">
        <v>6057</v>
      </c>
      <c r="J3700" s="14">
        <v>0.0</v>
      </c>
      <c r="K3700" s="14" t="s">
        <v>6012</v>
      </c>
      <c r="L3700" s="14">
        <v>0.0</v>
      </c>
    </row>
    <row r="3701">
      <c r="A3701" s="14">
        <v>1005.0</v>
      </c>
      <c r="B3701" s="14">
        <v>9.0</v>
      </c>
      <c r="C3701" s="34">
        <v>7.74</v>
      </c>
      <c r="D3701" s="36">
        <v>45110.0</v>
      </c>
      <c r="E3701" s="24"/>
      <c r="F3701" s="14">
        <v>0.86</v>
      </c>
      <c r="G3701" s="14">
        <v>7.7</v>
      </c>
      <c r="H3701" s="14">
        <v>0.9</v>
      </c>
      <c r="I3701" s="14" t="s">
        <v>6050</v>
      </c>
      <c r="J3701" s="14">
        <v>11.11</v>
      </c>
      <c r="K3701" s="14">
        <v>7.74</v>
      </c>
      <c r="L3701" s="14">
        <v>0.0</v>
      </c>
    </row>
    <row r="3702">
      <c r="A3702" s="14">
        <v>606.0</v>
      </c>
      <c r="B3702" s="14">
        <v>8.0</v>
      </c>
      <c r="C3702" s="34">
        <v>11.12</v>
      </c>
      <c r="D3702" s="36">
        <v>45110.0</v>
      </c>
      <c r="E3702" s="24"/>
      <c r="F3702" s="14">
        <v>1.39</v>
      </c>
      <c r="G3702" s="14">
        <v>18.35</v>
      </c>
      <c r="H3702" s="14">
        <v>1.32</v>
      </c>
      <c r="I3702" s="14" t="s">
        <v>6051</v>
      </c>
      <c r="J3702" s="14">
        <v>12.5</v>
      </c>
      <c r="K3702" s="14">
        <v>11.12</v>
      </c>
      <c r="L3702" s="14">
        <v>0.0</v>
      </c>
    </row>
    <row r="3703">
      <c r="A3703" s="14">
        <v>193.0</v>
      </c>
      <c r="B3703" s="14">
        <v>2.0</v>
      </c>
      <c r="C3703" s="34">
        <v>11.65</v>
      </c>
      <c r="D3703" s="36">
        <v>45110.0</v>
      </c>
      <c r="E3703" s="24"/>
      <c r="F3703" s="14">
        <v>5.82</v>
      </c>
      <c r="G3703" s="14">
        <v>60.36</v>
      </c>
      <c r="H3703" s="14">
        <v>1.04</v>
      </c>
      <c r="I3703" s="14" t="s">
        <v>6054</v>
      </c>
      <c r="J3703" s="14">
        <v>0.0</v>
      </c>
      <c r="K3703" s="14" t="s">
        <v>6012</v>
      </c>
      <c r="L3703" s="14">
        <v>1.0</v>
      </c>
    </row>
    <row r="3704">
      <c r="A3704" s="14">
        <v>129.0</v>
      </c>
      <c r="B3704" s="14">
        <v>0.0</v>
      </c>
      <c r="C3704" s="34">
        <v>11.49</v>
      </c>
      <c r="D3704" s="36">
        <v>45110.0</v>
      </c>
      <c r="E3704" s="24"/>
      <c r="F3704" s="14" t="s">
        <v>6012</v>
      </c>
      <c r="G3704" s="14">
        <v>89.07</v>
      </c>
      <c r="H3704" s="14">
        <v>0.0</v>
      </c>
      <c r="I3704" s="14" t="s">
        <v>6058</v>
      </c>
      <c r="J3704" s="14" t="s">
        <v>6012</v>
      </c>
      <c r="K3704" s="14" t="s">
        <v>6012</v>
      </c>
      <c r="L3704" s="14">
        <v>0.0</v>
      </c>
    </row>
    <row r="3705">
      <c r="A3705" s="14">
        <v>305.0</v>
      </c>
      <c r="B3705" s="14">
        <v>1.0</v>
      </c>
      <c r="C3705" s="34">
        <v>12.45</v>
      </c>
      <c r="D3705" s="36">
        <v>45110.0</v>
      </c>
      <c r="E3705" s="24"/>
      <c r="F3705" s="14">
        <v>12.45</v>
      </c>
      <c r="G3705" s="14">
        <v>40.82</v>
      </c>
      <c r="H3705" s="14">
        <v>0.33</v>
      </c>
      <c r="I3705" s="14" t="s">
        <v>6042</v>
      </c>
      <c r="J3705" s="14">
        <v>0.0</v>
      </c>
      <c r="K3705" s="14" t="s">
        <v>6012</v>
      </c>
      <c r="L3705" s="14">
        <v>0.0</v>
      </c>
    </row>
    <row r="3706">
      <c r="A3706" s="14">
        <v>642.0</v>
      </c>
      <c r="B3706" s="14">
        <v>3.0</v>
      </c>
      <c r="C3706" s="34">
        <v>11.24</v>
      </c>
      <c r="D3706" s="36">
        <v>45110.0</v>
      </c>
      <c r="E3706" s="24"/>
      <c r="F3706" s="14">
        <v>3.75</v>
      </c>
      <c r="G3706" s="14">
        <v>17.51</v>
      </c>
      <c r="H3706" s="14">
        <v>0.47</v>
      </c>
      <c r="I3706" s="14" t="s">
        <v>6062</v>
      </c>
      <c r="J3706" s="14">
        <v>33.33</v>
      </c>
      <c r="K3706" s="14">
        <v>11.24</v>
      </c>
      <c r="L3706" s="14">
        <v>0.0</v>
      </c>
    </row>
    <row r="3707">
      <c r="A3707" s="14">
        <v>214.0</v>
      </c>
      <c r="B3707" s="14">
        <v>1.0</v>
      </c>
      <c r="C3707" s="34">
        <v>10.77</v>
      </c>
      <c r="D3707" s="36">
        <v>45110.0</v>
      </c>
      <c r="E3707" s="24"/>
      <c r="F3707" s="14">
        <v>10.77</v>
      </c>
      <c r="G3707" s="14">
        <v>50.33</v>
      </c>
      <c r="H3707" s="14">
        <v>0.47</v>
      </c>
      <c r="I3707" s="14" t="s">
        <v>6063</v>
      </c>
      <c r="J3707" s="14">
        <v>0.0</v>
      </c>
      <c r="K3707" s="14" t="s">
        <v>6012</v>
      </c>
      <c r="L3707" s="14">
        <v>0.0</v>
      </c>
    </row>
    <row r="3708">
      <c r="A3708" s="14">
        <v>94.0</v>
      </c>
      <c r="B3708" s="14">
        <v>0.0</v>
      </c>
      <c r="C3708" s="34">
        <v>11.09</v>
      </c>
      <c r="D3708" s="36">
        <v>45110.0</v>
      </c>
      <c r="E3708" s="24"/>
      <c r="F3708" s="14" t="s">
        <v>6012</v>
      </c>
      <c r="G3708" s="14">
        <v>117.98</v>
      </c>
      <c r="H3708" s="14">
        <v>0.0</v>
      </c>
      <c r="I3708" s="14" t="s">
        <v>6059</v>
      </c>
      <c r="J3708" s="14" t="s">
        <v>6012</v>
      </c>
      <c r="K3708" s="14">
        <v>11.09</v>
      </c>
      <c r="L3708" s="14">
        <v>0.0</v>
      </c>
    </row>
    <row r="3709">
      <c r="A3709" s="14">
        <v>154.0</v>
      </c>
      <c r="B3709" s="14">
        <v>2.0</v>
      </c>
      <c r="C3709" s="34">
        <v>10.8</v>
      </c>
      <c r="D3709" s="36">
        <v>45110.0</v>
      </c>
      <c r="E3709" s="24"/>
      <c r="F3709" s="14">
        <v>5.4</v>
      </c>
      <c r="G3709" s="14">
        <v>70.13</v>
      </c>
      <c r="H3709" s="14">
        <v>1.3</v>
      </c>
      <c r="I3709" s="14" t="s">
        <v>6061</v>
      </c>
      <c r="J3709" s="14">
        <v>0.0</v>
      </c>
      <c r="K3709" s="14" t="s">
        <v>6012</v>
      </c>
      <c r="L3709" s="14">
        <v>0.0</v>
      </c>
    </row>
    <row r="3710">
      <c r="A3710" s="14">
        <v>594.0</v>
      </c>
      <c r="B3710" s="14">
        <v>1.0</v>
      </c>
      <c r="C3710" s="34">
        <v>13.2</v>
      </c>
      <c r="D3710" s="36">
        <v>45111.0</v>
      </c>
      <c r="E3710" s="24"/>
      <c r="F3710" s="14">
        <v>13.2</v>
      </c>
      <c r="G3710" s="14">
        <v>22.22</v>
      </c>
      <c r="H3710" s="14">
        <v>0.17</v>
      </c>
      <c r="I3710" s="14" t="s">
        <v>6042</v>
      </c>
      <c r="J3710" s="14">
        <v>100.0</v>
      </c>
      <c r="K3710" s="14">
        <v>13.2</v>
      </c>
      <c r="L3710" s="14">
        <v>0.0</v>
      </c>
    </row>
    <row r="3711">
      <c r="A3711" s="14">
        <v>460.0</v>
      </c>
      <c r="B3711" s="14">
        <v>6.0</v>
      </c>
      <c r="C3711" s="34">
        <v>12.56</v>
      </c>
      <c r="D3711" s="36">
        <v>45111.0</v>
      </c>
      <c r="E3711" s="24"/>
      <c r="F3711" s="14">
        <v>2.09</v>
      </c>
      <c r="G3711" s="14">
        <v>27.3</v>
      </c>
      <c r="H3711" s="14">
        <v>1.3</v>
      </c>
      <c r="I3711" s="14" t="s">
        <v>6060</v>
      </c>
      <c r="J3711" s="14">
        <v>50.0</v>
      </c>
      <c r="K3711" s="14">
        <v>4.19</v>
      </c>
      <c r="L3711" s="14">
        <v>0.0</v>
      </c>
    </row>
    <row r="3712">
      <c r="A3712" s="14">
        <v>573.0</v>
      </c>
      <c r="B3712" s="14">
        <v>4.0</v>
      </c>
      <c r="C3712" s="34">
        <v>12.43</v>
      </c>
      <c r="D3712" s="36">
        <v>45111.0</v>
      </c>
      <c r="E3712" s="24"/>
      <c r="F3712" s="14">
        <v>3.11</v>
      </c>
      <c r="G3712" s="14">
        <v>21.69</v>
      </c>
      <c r="H3712" s="14">
        <v>0.7</v>
      </c>
      <c r="I3712" s="14" t="s">
        <v>6062</v>
      </c>
      <c r="J3712" s="14">
        <v>75.0</v>
      </c>
      <c r="K3712" s="14">
        <v>4.14</v>
      </c>
      <c r="L3712" s="14">
        <v>0.0</v>
      </c>
    </row>
    <row r="3713">
      <c r="A3713" s="14">
        <v>52.0</v>
      </c>
      <c r="B3713" s="14">
        <v>1.0</v>
      </c>
      <c r="C3713" s="34">
        <v>15.0</v>
      </c>
      <c r="D3713" s="36">
        <v>45111.0</v>
      </c>
      <c r="E3713" s="24"/>
      <c r="F3713" s="14">
        <v>15.0</v>
      </c>
      <c r="G3713" s="14">
        <v>288.46</v>
      </c>
      <c r="H3713" s="14">
        <v>1.92</v>
      </c>
      <c r="I3713" s="14" t="s">
        <v>6057</v>
      </c>
      <c r="J3713" s="14">
        <v>0.0</v>
      </c>
      <c r="K3713" s="14" t="s">
        <v>6012</v>
      </c>
      <c r="L3713" s="14">
        <v>0.0</v>
      </c>
    </row>
    <row r="3714">
      <c r="A3714" s="14">
        <v>2143.0</v>
      </c>
      <c r="B3714" s="14">
        <v>9.0</v>
      </c>
      <c r="C3714" s="34">
        <v>12.58</v>
      </c>
      <c r="D3714" s="36">
        <v>45111.0</v>
      </c>
      <c r="E3714" s="24"/>
      <c r="F3714" s="14">
        <v>1.4</v>
      </c>
      <c r="G3714" s="14">
        <v>5.87</v>
      </c>
      <c r="H3714" s="14">
        <v>0.42</v>
      </c>
      <c r="I3714" s="14" t="s">
        <v>6050</v>
      </c>
      <c r="J3714" s="14">
        <v>33.33</v>
      </c>
      <c r="K3714" s="14">
        <v>4.19</v>
      </c>
      <c r="L3714" s="14">
        <v>0.0</v>
      </c>
    </row>
    <row r="3715">
      <c r="A3715" s="14">
        <v>58.0</v>
      </c>
      <c r="B3715" s="14">
        <v>0.0</v>
      </c>
      <c r="C3715" s="34">
        <v>12.48</v>
      </c>
      <c r="D3715" s="36">
        <v>45111.0</v>
      </c>
      <c r="E3715" s="24"/>
      <c r="F3715" s="14" t="s">
        <v>6012</v>
      </c>
      <c r="G3715" s="14">
        <v>215.17</v>
      </c>
      <c r="H3715" s="14">
        <v>0.0</v>
      </c>
      <c r="I3715" s="14" t="s">
        <v>6059</v>
      </c>
      <c r="J3715" s="14" t="s">
        <v>6012</v>
      </c>
      <c r="K3715" s="14" t="s">
        <v>6012</v>
      </c>
      <c r="L3715" s="14">
        <v>0.0</v>
      </c>
    </row>
    <row r="3716">
      <c r="A3716" s="14">
        <v>45.0</v>
      </c>
      <c r="B3716" s="14">
        <v>0.0</v>
      </c>
      <c r="C3716" s="34">
        <v>13.64</v>
      </c>
      <c r="D3716" s="36">
        <v>45111.0</v>
      </c>
      <c r="E3716" s="24"/>
      <c r="F3716" s="14" t="s">
        <v>6012</v>
      </c>
      <c r="G3716" s="14">
        <v>303.11</v>
      </c>
      <c r="H3716" s="14">
        <v>0.0</v>
      </c>
      <c r="I3716" s="14" t="s">
        <v>6061</v>
      </c>
      <c r="J3716" s="14" t="s">
        <v>6012</v>
      </c>
      <c r="K3716" s="14">
        <v>13.64</v>
      </c>
      <c r="L3716" s="14">
        <v>0.0</v>
      </c>
    </row>
    <row r="3717">
      <c r="A3717" s="14">
        <v>1268.0</v>
      </c>
      <c r="B3717" s="14">
        <v>10.0</v>
      </c>
      <c r="C3717" s="34">
        <v>11.79</v>
      </c>
      <c r="D3717" s="36">
        <v>45111.0</v>
      </c>
      <c r="E3717" s="24"/>
      <c r="F3717" s="14">
        <v>1.18</v>
      </c>
      <c r="G3717" s="14">
        <v>9.3</v>
      </c>
      <c r="H3717" s="14">
        <v>0.79</v>
      </c>
      <c r="I3717" s="14" t="s">
        <v>6051</v>
      </c>
      <c r="J3717" s="14">
        <v>0.0</v>
      </c>
      <c r="K3717" s="14" t="s">
        <v>6012</v>
      </c>
      <c r="L3717" s="14">
        <v>0.0</v>
      </c>
    </row>
    <row r="3718">
      <c r="A3718" s="14">
        <v>429.0</v>
      </c>
      <c r="B3718" s="14">
        <v>1.0</v>
      </c>
      <c r="C3718" s="34">
        <v>12.25</v>
      </c>
      <c r="D3718" s="36">
        <v>45111.0</v>
      </c>
      <c r="E3718" s="24"/>
      <c r="F3718" s="14">
        <v>12.25</v>
      </c>
      <c r="G3718" s="14">
        <v>28.55</v>
      </c>
      <c r="H3718" s="14">
        <v>0.23</v>
      </c>
      <c r="I3718" s="14" t="s">
        <v>6054</v>
      </c>
      <c r="J3718" s="14">
        <v>100.0</v>
      </c>
      <c r="K3718" s="14">
        <v>12.25</v>
      </c>
      <c r="L3718" s="14">
        <v>0.0</v>
      </c>
    </row>
    <row r="3719">
      <c r="A3719" s="14">
        <v>91.0</v>
      </c>
      <c r="B3719" s="14">
        <v>0.0</v>
      </c>
      <c r="C3719" s="34">
        <v>14.84</v>
      </c>
      <c r="D3719" s="36">
        <v>45111.0</v>
      </c>
      <c r="E3719" s="24"/>
      <c r="F3719" s="14" t="s">
        <v>6012</v>
      </c>
      <c r="G3719" s="14">
        <v>163.08</v>
      </c>
      <c r="H3719" s="14">
        <v>0.0</v>
      </c>
      <c r="I3719" s="14" t="s">
        <v>6063</v>
      </c>
      <c r="J3719" s="14" t="s">
        <v>6012</v>
      </c>
      <c r="K3719" s="14" t="s">
        <v>6012</v>
      </c>
      <c r="L3719" s="14">
        <v>0.0</v>
      </c>
    </row>
    <row r="3720">
      <c r="A3720" s="14">
        <v>129.0</v>
      </c>
      <c r="B3720" s="14">
        <v>1.0</v>
      </c>
      <c r="C3720" s="34">
        <v>12.69</v>
      </c>
      <c r="D3720" s="36">
        <v>45111.0</v>
      </c>
      <c r="E3720" s="24"/>
      <c r="F3720" s="14">
        <v>12.69</v>
      </c>
      <c r="G3720" s="14">
        <v>98.37</v>
      </c>
      <c r="H3720" s="14">
        <v>0.78</v>
      </c>
      <c r="I3720" s="14" t="s">
        <v>6058</v>
      </c>
      <c r="J3720" s="14">
        <v>0.0</v>
      </c>
      <c r="K3720" s="14" t="s">
        <v>6012</v>
      </c>
      <c r="L3720" s="14">
        <v>0.0</v>
      </c>
    </row>
    <row r="3721">
      <c r="A3721" s="14">
        <v>78.0</v>
      </c>
      <c r="B3721" s="14">
        <v>0.0</v>
      </c>
      <c r="C3721" s="34">
        <v>12.21</v>
      </c>
      <c r="D3721" s="36">
        <v>45112.0</v>
      </c>
      <c r="E3721" s="24"/>
      <c r="F3721" s="14" t="s">
        <v>6012</v>
      </c>
      <c r="G3721" s="14">
        <v>156.54</v>
      </c>
      <c r="H3721" s="14">
        <v>0.0</v>
      </c>
      <c r="I3721" s="14" t="s">
        <v>6057</v>
      </c>
      <c r="J3721" s="14" t="s">
        <v>6012</v>
      </c>
      <c r="K3721" s="14" t="s">
        <v>6012</v>
      </c>
      <c r="L3721" s="14">
        <v>0.0</v>
      </c>
    </row>
    <row r="3722">
      <c r="A3722" s="14">
        <v>604.0</v>
      </c>
      <c r="B3722" s="14">
        <v>8.0</v>
      </c>
      <c r="C3722" s="34">
        <v>12.19</v>
      </c>
      <c r="D3722" s="36">
        <v>45112.0</v>
      </c>
      <c r="E3722" s="24"/>
      <c r="F3722" s="14">
        <v>1.52</v>
      </c>
      <c r="G3722" s="14">
        <v>20.18</v>
      </c>
      <c r="H3722" s="14">
        <v>1.32</v>
      </c>
      <c r="I3722" s="14" t="s">
        <v>6060</v>
      </c>
      <c r="J3722" s="14">
        <v>25.0</v>
      </c>
      <c r="K3722" s="14">
        <v>6.1</v>
      </c>
      <c r="L3722" s="14">
        <v>0.0</v>
      </c>
    </row>
    <row r="3723">
      <c r="A3723" s="14">
        <v>1245.0</v>
      </c>
      <c r="B3723" s="14">
        <v>9.0</v>
      </c>
      <c r="C3723" s="34">
        <v>12.37</v>
      </c>
      <c r="D3723" s="36">
        <v>45112.0</v>
      </c>
      <c r="E3723" s="24"/>
      <c r="F3723" s="14">
        <v>1.37</v>
      </c>
      <c r="G3723" s="14">
        <v>9.94</v>
      </c>
      <c r="H3723" s="14">
        <v>0.72</v>
      </c>
      <c r="I3723" s="14" t="s">
        <v>6051</v>
      </c>
      <c r="J3723" s="14">
        <v>22.22</v>
      </c>
      <c r="K3723" s="14">
        <v>6.18</v>
      </c>
      <c r="L3723" s="14">
        <v>0.0</v>
      </c>
    </row>
    <row r="3724">
      <c r="A3724" s="14">
        <v>64.0</v>
      </c>
      <c r="B3724" s="14">
        <v>0.0</v>
      </c>
      <c r="C3724" s="34">
        <v>13.11</v>
      </c>
      <c r="D3724" s="36">
        <v>45112.0</v>
      </c>
      <c r="E3724" s="24"/>
      <c r="F3724" s="14" t="s">
        <v>6012</v>
      </c>
      <c r="G3724" s="14">
        <v>204.84</v>
      </c>
      <c r="H3724" s="14">
        <v>0.0</v>
      </c>
      <c r="I3724" s="14" t="s">
        <v>6059</v>
      </c>
      <c r="J3724" s="14" t="s">
        <v>6012</v>
      </c>
      <c r="K3724" s="14" t="s">
        <v>6012</v>
      </c>
      <c r="L3724" s="14">
        <v>0.0</v>
      </c>
    </row>
    <row r="3725">
      <c r="A3725" s="14">
        <v>2446.0</v>
      </c>
      <c r="B3725" s="14">
        <v>18.0</v>
      </c>
      <c r="C3725" s="34">
        <v>12.72</v>
      </c>
      <c r="D3725" s="36">
        <v>45112.0</v>
      </c>
      <c r="E3725" s="24"/>
      <c r="F3725" s="14">
        <v>0.71</v>
      </c>
      <c r="G3725" s="14">
        <v>5.2</v>
      </c>
      <c r="H3725" s="14">
        <v>0.74</v>
      </c>
      <c r="I3725" s="14" t="s">
        <v>6050</v>
      </c>
      <c r="J3725" s="14">
        <v>27.78</v>
      </c>
      <c r="K3725" s="14">
        <v>2.54</v>
      </c>
      <c r="L3725" s="14">
        <v>0.0</v>
      </c>
    </row>
    <row r="3726">
      <c r="A3726" s="14">
        <v>98.0</v>
      </c>
      <c r="B3726" s="14">
        <v>2.0</v>
      </c>
      <c r="C3726" s="34">
        <v>12.43</v>
      </c>
      <c r="D3726" s="36">
        <v>45112.0</v>
      </c>
      <c r="E3726" s="24"/>
      <c r="F3726" s="14">
        <v>6.22</v>
      </c>
      <c r="G3726" s="14">
        <v>126.84</v>
      </c>
      <c r="H3726" s="14">
        <v>2.04</v>
      </c>
      <c r="I3726" s="14" t="s">
        <v>6058</v>
      </c>
      <c r="J3726" s="14">
        <v>0.0</v>
      </c>
      <c r="K3726" s="14" t="s">
        <v>6012</v>
      </c>
      <c r="L3726" s="14">
        <v>1.0</v>
      </c>
    </row>
    <row r="3727">
      <c r="A3727" s="14">
        <v>66.0</v>
      </c>
      <c r="B3727" s="14">
        <v>1.0</v>
      </c>
      <c r="C3727" s="34">
        <v>15.0</v>
      </c>
      <c r="D3727" s="36">
        <v>45112.0</v>
      </c>
      <c r="E3727" s="24"/>
      <c r="F3727" s="14">
        <v>15.0</v>
      </c>
      <c r="G3727" s="14">
        <v>227.27</v>
      </c>
      <c r="H3727" s="14">
        <v>1.52</v>
      </c>
      <c r="I3727" s="14" t="s">
        <v>6061</v>
      </c>
      <c r="J3727" s="14">
        <v>0.0</v>
      </c>
      <c r="K3727" s="14" t="s">
        <v>6012</v>
      </c>
      <c r="L3727" s="14">
        <v>0.0</v>
      </c>
    </row>
    <row r="3728">
      <c r="A3728" s="14">
        <v>134.0</v>
      </c>
      <c r="B3728" s="14">
        <v>0.0</v>
      </c>
      <c r="C3728" s="34">
        <v>12.86</v>
      </c>
      <c r="D3728" s="36">
        <v>45112.0</v>
      </c>
      <c r="E3728" s="24"/>
      <c r="F3728" s="14" t="s">
        <v>6012</v>
      </c>
      <c r="G3728" s="14">
        <v>95.97</v>
      </c>
      <c r="H3728" s="14">
        <v>0.0</v>
      </c>
      <c r="I3728" s="14" t="s">
        <v>6063</v>
      </c>
      <c r="J3728" s="14" t="s">
        <v>6012</v>
      </c>
      <c r="K3728" s="14" t="s">
        <v>6012</v>
      </c>
      <c r="L3728" s="14">
        <v>0.0</v>
      </c>
    </row>
    <row r="3729">
      <c r="A3729" s="14">
        <v>438.0</v>
      </c>
      <c r="B3729" s="14">
        <v>1.0</v>
      </c>
      <c r="C3729" s="34">
        <v>13.6</v>
      </c>
      <c r="D3729" s="36">
        <v>45112.0</v>
      </c>
      <c r="E3729" s="24"/>
      <c r="F3729" s="14">
        <v>13.6</v>
      </c>
      <c r="G3729" s="14">
        <v>31.05</v>
      </c>
      <c r="H3729" s="14">
        <v>0.23</v>
      </c>
      <c r="I3729" s="14" t="s">
        <v>6042</v>
      </c>
      <c r="J3729" s="14">
        <v>100.0</v>
      </c>
      <c r="K3729" s="14">
        <v>13.6</v>
      </c>
      <c r="L3729" s="14">
        <v>0.0</v>
      </c>
    </row>
    <row r="3730">
      <c r="A3730" s="14">
        <v>379.0</v>
      </c>
      <c r="B3730" s="14">
        <v>1.0</v>
      </c>
      <c r="C3730" s="34">
        <v>12.56</v>
      </c>
      <c r="D3730" s="36">
        <v>45112.0</v>
      </c>
      <c r="E3730" s="24"/>
      <c r="F3730" s="14">
        <v>12.56</v>
      </c>
      <c r="G3730" s="14">
        <v>33.14</v>
      </c>
      <c r="H3730" s="14">
        <v>0.26</v>
      </c>
      <c r="I3730" s="14" t="s">
        <v>6054</v>
      </c>
      <c r="J3730" s="14">
        <v>0.0</v>
      </c>
      <c r="K3730" s="14" t="s">
        <v>6012</v>
      </c>
      <c r="L3730" s="14">
        <v>0.0</v>
      </c>
    </row>
    <row r="3731">
      <c r="A3731" s="14">
        <v>483.0</v>
      </c>
      <c r="B3731" s="14">
        <v>3.0</v>
      </c>
      <c r="C3731" s="34">
        <v>11.76</v>
      </c>
      <c r="D3731" s="36">
        <v>45112.0</v>
      </c>
      <c r="E3731" s="24"/>
      <c r="F3731" s="14">
        <v>3.92</v>
      </c>
      <c r="G3731" s="14">
        <v>24.35</v>
      </c>
      <c r="H3731" s="14">
        <v>0.62</v>
      </c>
      <c r="I3731" s="14" t="s">
        <v>6062</v>
      </c>
      <c r="J3731" s="14">
        <v>0.0</v>
      </c>
      <c r="K3731" s="14" t="s">
        <v>6012</v>
      </c>
      <c r="L3731" s="14">
        <v>0.0</v>
      </c>
    </row>
    <row r="3732">
      <c r="A3732" s="14">
        <v>2003.0</v>
      </c>
      <c r="B3732" s="14">
        <v>13.0</v>
      </c>
      <c r="C3732" s="34">
        <v>11.75</v>
      </c>
      <c r="D3732" s="36">
        <v>45113.0</v>
      </c>
      <c r="E3732" s="24"/>
      <c r="F3732" s="14">
        <v>0.9</v>
      </c>
      <c r="G3732" s="14">
        <v>5.87</v>
      </c>
      <c r="H3732" s="14">
        <v>0.65</v>
      </c>
      <c r="I3732" s="14" t="s">
        <v>6050</v>
      </c>
      <c r="J3732" s="14">
        <v>38.46</v>
      </c>
      <c r="K3732" s="14">
        <v>2.35</v>
      </c>
      <c r="L3732" s="14">
        <v>0.0</v>
      </c>
    </row>
    <row r="3733">
      <c r="A3733" s="14">
        <v>173.0</v>
      </c>
      <c r="B3733" s="14">
        <v>2.0</v>
      </c>
      <c r="C3733" s="34">
        <v>10.84</v>
      </c>
      <c r="D3733" s="36">
        <v>45113.0</v>
      </c>
      <c r="E3733" s="24"/>
      <c r="F3733" s="14">
        <v>5.42</v>
      </c>
      <c r="G3733" s="14">
        <v>62.66</v>
      </c>
      <c r="H3733" s="14">
        <v>1.16</v>
      </c>
      <c r="I3733" s="14" t="s">
        <v>6061</v>
      </c>
      <c r="J3733" s="14">
        <v>100.0</v>
      </c>
      <c r="K3733" s="14">
        <v>5.42</v>
      </c>
      <c r="L3733" s="14">
        <v>0.0</v>
      </c>
    </row>
    <row r="3734">
      <c r="A3734" s="14">
        <v>49.0</v>
      </c>
      <c r="B3734" s="14">
        <v>1.0</v>
      </c>
      <c r="C3734" s="34">
        <v>11.1</v>
      </c>
      <c r="D3734" s="36">
        <v>45113.0</v>
      </c>
      <c r="E3734" s="24"/>
      <c r="F3734" s="14">
        <v>11.1</v>
      </c>
      <c r="G3734" s="14">
        <v>226.53</v>
      </c>
      <c r="H3734" s="14">
        <v>2.04</v>
      </c>
      <c r="I3734" s="14" t="s">
        <v>6057</v>
      </c>
      <c r="J3734" s="14">
        <v>0.0</v>
      </c>
      <c r="K3734" s="14" t="s">
        <v>6012</v>
      </c>
      <c r="L3734" s="14">
        <v>0.0</v>
      </c>
    </row>
    <row r="3735">
      <c r="A3735" s="14">
        <v>381.0</v>
      </c>
      <c r="B3735" s="14">
        <v>2.0</v>
      </c>
      <c r="C3735" s="34">
        <v>11.12</v>
      </c>
      <c r="D3735" s="36">
        <v>45113.0</v>
      </c>
      <c r="E3735" s="24"/>
      <c r="F3735" s="14">
        <v>5.56</v>
      </c>
      <c r="G3735" s="14">
        <v>29.19</v>
      </c>
      <c r="H3735" s="14">
        <v>0.52</v>
      </c>
      <c r="I3735" s="14" t="s">
        <v>6060</v>
      </c>
      <c r="J3735" s="14">
        <v>0.0</v>
      </c>
      <c r="K3735" s="14" t="s">
        <v>6012</v>
      </c>
      <c r="L3735" s="14">
        <v>0.0</v>
      </c>
    </row>
    <row r="3736">
      <c r="A3736" s="14">
        <v>77.0</v>
      </c>
      <c r="B3736" s="14">
        <v>0.0</v>
      </c>
      <c r="C3736" s="34">
        <v>11.35</v>
      </c>
      <c r="D3736" s="36">
        <v>45113.0</v>
      </c>
      <c r="E3736" s="24"/>
      <c r="F3736" s="14" t="s">
        <v>6012</v>
      </c>
      <c r="G3736" s="14">
        <v>147.4</v>
      </c>
      <c r="H3736" s="14">
        <v>0.0</v>
      </c>
      <c r="I3736" s="14" t="s">
        <v>6059</v>
      </c>
      <c r="J3736" s="14" t="s">
        <v>6012</v>
      </c>
      <c r="K3736" s="14" t="s">
        <v>6012</v>
      </c>
      <c r="L3736" s="14">
        <v>0.0</v>
      </c>
    </row>
    <row r="3737">
      <c r="A3737" s="14">
        <v>637.0</v>
      </c>
      <c r="B3737" s="14">
        <v>0.0</v>
      </c>
      <c r="C3737" s="34">
        <v>11.19</v>
      </c>
      <c r="D3737" s="36">
        <v>45113.0</v>
      </c>
      <c r="E3737" s="24"/>
      <c r="F3737" s="14" t="s">
        <v>6012</v>
      </c>
      <c r="G3737" s="14">
        <v>17.57</v>
      </c>
      <c r="H3737" s="14">
        <v>0.0</v>
      </c>
      <c r="I3737" s="14" t="s">
        <v>6062</v>
      </c>
      <c r="J3737" s="14" t="s">
        <v>6012</v>
      </c>
      <c r="K3737" s="14" t="s">
        <v>6012</v>
      </c>
      <c r="L3737" s="14">
        <v>0.0</v>
      </c>
    </row>
    <row r="3738">
      <c r="A3738" s="14">
        <v>681.0</v>
      </c>
      <c r="B3738" s="14">
        <v>0.0</v>
      </c>
      <c r="C3738" s="34">
        <v>12.37</v>
      </c>
      <c r="D3738" s="36">
        <v>45113.0</v>
      </c>
      <c r="E3738" s="24"/>
      <c r="F3738" s="14" t="s">
        <v>6012</v>
      </c>
      <c r="G3738" s="14">
        <v>18.16</v>
      </c>
      <c r="H3738" s="14">
        <v>0.0</v>
      </c>
      <c r="I3738" s="14" t="s">
        <v>6042</v>
      </c>
      <c r="J3738" s="14" t="s">
        <v>6012</v>
      </c>
      <c r="K3738" s="14" t="s">
        <v>6012</v>
      </c>
      <c r="L3738" s="14">
        <v>0.0</v>
      </c>
    </row>
    <row r="3739">
      <c r="A3739" s="14">
        <v>281.0</v>
      </c>
      <c r="B3739" s="14">
        <v>0.0</v>
      </c>
      <c r="C3739" s="34">
        <v>11.3</v>
      </c>
      <c r="D3739" s="36">
        <v>45113.0</v>
      </c>
      <c r="E3739" s="24"/>
      <c r="F3739" s="14" t="s">
        <v>6012</v>
      </c>
      <c r="G3739" s="14">
        <v>40.21</v>
      </c>
      <c r="H3739" s="14">
        <v>0.0</v>
      </c>
      <c r="I3739" s="14" t="s">
        <v>6054</v>
      </c>
      <c r="J3739" s="14" t="s">
        <v>6012</v>
      </c>
      <c r="K3739" s="14" t="s">
        <v>6012</v>
      </c>
      <c r="L3739" s="14">
        <v>0.0</v>
      </c>
    </row>
    <row r="3740">
      <c r="A3740" s="14">
        <v>53.0</v>
      </c>
      <c r="B3740" s="14">
        <v>1.0</v>
      </c>
      <c r="C3740" s="34">
        <v>11.63</v>
      </c>
      <c r="D3740" s="36">
        <v>45113.0</v>
      </c>
      <c r="E3740" s="24"/>
      <c r="F3740" s="14">
        <v>11.63</v>
      </c>
      <c r="G3740" s="14">
        <v>219.43</v>
      </c>
      <c r="H3740" s="14">
        <v>1.89</v>
      </c>
      <c r="I3740" s="14" t="s">
        <v>6058</v>
      </c>
      <c r="J3740" s="14">
        <v>0.0</v>
      </c>
      <c r="K3740" s="14" t="s">
        <v>6012</v>
      </c>
      <c r="L3740" s="14">
        <v>0.0</v>
      </c>
    </row>
    <row r="3741">
      <c r="A3741" s="14">
        <v>1646.0</v>
      </c>
      <c r="B3741" s="14">
        <v>21.0</v>
      </c>
      <c r="C3741" s="34">
        <v>11.71</v>
      </c>
      <c r="D3741" s="36">
        <v>45113.0</v>
      </c>
      <c r="E3741" s="24"/>
      <c r="F3741" s="14">
        <v>0.56</v>
      </c>
      <c r="G3741" s="14">
        <v>7.11</v>
      </c>
      <c r="H3741" s="14">
        <v>1.28</v>
      </c>
      <c r="I3741" s="14" t="s">
        <v>6051</v>
      </c>
      <c r="J3741" s="14">
        <v>4.76</v>
      </c>
      <c r="K3741" s="14">
        <v>11.71</v>
      </c>
      <c r="L3741" s="14">
        <v>0.0</v>
      </c>
    </row>
    <row r="3742">
      <c r="A3742" s="14">
        <v>83.0</v>
      </c>
      <c r="B3742" s="14">
        <v>0.0</v>
      </c>
      <c r="C3742" s="34">
        <v>12.32</v>
      </c>
      <c r="D3742" s="36">
        <v>45113.0</v>
      </c>
      <c r="E3742" s="24"/>
      <c r="F3742" s="14" t="s">
        <v>6012</v>
      </c>
      <c r="G3742" s="14">
        <v>148.43</v>
      </c>
      <c r="H3742" s="14">
        <v>0.0</v>
      </c>
      <c r="I3742" s="14" t="s">
        <v>6063</v>
      </c>
      <c r="J3742" s="14" t="s">
        <v>6012</v>
      </c>
      <c r="K3742" s="14" t="s">
        <v>6012</v>
      </c>
      <c r="L3742" s="14">
        <v>0.0</v>
      </c>
    </row>
    <row r="3743">
      <c r="A3743" s="14">
        <v>442.0</v>
      </c>
      <c r="B3743" s="14">
        <v>1.0</v>
      </c>
      <c r="C3743" s="34">
        <v>10.56</v>
      </c>
      <c r="D3743" s="36">
        <v>45114.0</v>
      </c>
      <c r="E3743" s="24"/>
      <c r="F3743" s="14">
        <v>10.56</v>
      </c>
      <c r="G3743" s="14">
        <v>23.89</v>
      </c>
      <c r="H3743" s="14">
        <v>0.23</v>
      </c>
      <c r="I3743" s="14" t="s">
        <v>6062</v>
      </c>
      <c r="J3743" s="14">
        <v>100.0</v>
      </c>
      <c r="K3743" s="14">
        <v>10.56</v>
      </c>
      <c r="L3743" s="14">
        <v>0.0</v>
      </c>
    </row>
    <row r="3744">
      <c r="A3744" s="14">
        <v>531.0</v>
      </c>
      <c r="B3744" s="14">
        <v>10.0</v>
      </c>
      <c r="C3744" s="34">
        <v>10.31</v>
      </c>
      <c r="D3744" s="36">
        <v>45114.0</v>
      </c>
      <c r="E3744" s="24"/>
      <c r="F3744" s="14">
        <v>1.03</v>
      </c>
      <c r="G3744" s="14">
        <v>19.42</v>
      </c>
      <c r="H3744" s="14">
        <v>1.88</v>
      </c>
      <c r="I3744" s="14" t="s">
        <v>6060</v>
      </c>
      <c r="J3744" s="14">
        <v>0.0</v>
      </c>
      <c r="K3744" s="14" t="s">
        <v>6012</v>
      </c>
      <c r="L3744" s="14">
        <v>0.0</v>
      </c>
    </row>
    <row r="3745">
      <c r="A3745" s="14">
        <v>1834.0</v>
      </c>
      <c r="B3745" s="14">
        <v>14.0</v>
      </c>
      <c r="C3745" s="34">
        <v>11.17</v>
      </c>
      <c r="D3745" s="36">
        <v>45114.0</v>
      </c>
      <c r="E3745" s="24"/>
      <c r="F3745" s="14">
        <v>0.8</v>
      </c>
      <c r="G3745" s="14">
        <v>6.09</v>
      </c>
      <c r="H3745" s="14">
        <v>0.76</v>
      </c>
      <c r="I3745" s="14" t="s">
        <v>6050</v>
      </c>
      <c r="J3745" s="14">
        <v>21.43</v>
      </c>
      <c r="K3745" s="14">
        <v>3.72</v>
      </c>
      <c r="L3745" s="14">
        <v>0.0</v>
      </c>
    </row>
    <row r="3746">
      <c r="A3746" s="14">
        <v>52.0</v>
      </c>
      <c r="B3746" s="14">
        <v>0.0</v>
      </c>
      <c r="C3746" s="34">
        <v>12.34</v>
      </c>
      <c r="D3746" s="36">
        <v>45114.0</v>
      </c>
      <c r="E3746" s="24"/>
      <c r="F3746" s="14" t="s">
        <v>6012</v>
      </c>
      <c r="G3746" s="14">
        <v>237.31</v>
      </c>
      <c r="H3746" s="14">
        <v>0.0</v>
      </c>
      <c r="I3746" s="14" t="s">
        <v>6058</v>
      </c>
      <c r="J3746" s="14" t="s">
        <v>6012</v>
      </c>
      <c r="K3746" s="14" t="s">
        <v>6012</v>
      </c>
      <c r="L3746" s="14">
        <v>0.0</v>
      </c>
    </row>
    <row r="3747">
      <c r="A3747" s="14">
        <v>1245.0</v>
      </c>
      <c r="B3747" s="14">
        <v>12.0</v>
      </c>
      <c r="C3747" s="34">
        <v>11.24</v>
      </c>
      <c r="D3747" s="36">
        <v>45114.0</v>
      </c>
      <c r="E3747" s="24"/>
      <c r="F3747" s="14">
        <v>0.94</v>
      </c>
      <c r="G3747" s="14">
        <v>9.03</v>
      </c>
      <c r="H3747" s="14">
        <v>0.96</v>
      </c>
      <c r="I3747" s="14" t="s">
        <v>6051</v>
      </c>
      <c r="J3747" s="14">
        <v>8.33</v>
      </c>
      <c r="K3747" s="14">
        <v>11.24</v>
      </c>
      <c r="L3747" s="14">
        <v>0.0</v>
      </c>
    </row>
    <row r="3748">
      <c r="A3748" s="14">
        <v>62.0</v>
      </c>
      <c r="B3748" s="14">
        <v>1.0</v>
      </c>
      <c r="C3748" s="34">
        <v>10.32</v>
      </c>
      <c r="D3748" s="36">
        <v>45114.0</v>
      </c>
      <c r="E3748" s="24"/>
      <c r="F3748" s="14">
        <v>10.32</v>
      </c>
      <c r="G3748" s="14">
        <v>166.45</v>
      </c>
      <c r="H3748" s="14">
        <v>1.61</v>
      </c>
      <c r="I3748" s="14" t="s">
        <v>6061</v>
      </c>
      <c r="J3748" s="14">
        <v>0.0</v>
      </c>
      <c r="K3748" s="14" t="s">
        <v>6012</v>
      </c>
      <c r="L3748" s="14">
        <v>0.0</v>
      </c>
    </row>
    <row r="3749">
      <c r="A3749" s="14">
        <v>714.0</v>
      </c>
      <c r="B3749" s="14">
        <v>3.0</v>
      </c>
      <c r="C3749" s="34">
        <v>11.88</v>
      </c>
      <c r="D3749" s="36">
        <v>45114.0</v>
      </c>
      <c r="E3749" s="24"/>
      <c r="F3749" s="14">
        <v>3.96</v>
      </c>
      <c r="G3749" s="14">
        <v>16.64</v>
      </c>
      <c r="H3749" s="14">
        <v>0.42</v>
      </c>
      <c r="I3749" s="14" t="s">
        <v>6042</v>
      </c>
      <c r="J3749" s="14">
        <v>33.33</v>
      </c>
      <c r="K3749" s="14">
        <v>11.88</v>
      </c>
      <c r="L3749" s="14">
        <v>0.0</v>
      </c>
    </row>
    <row r="3750">
      <c r="A3750" s="14">
        <v>52.0</v>
      </c>
      <c r="B3750" s="14">
        <v>0.0</v>
      </c>
      <c r="C3750" s="34">
        <v>12.97</v>
      </c>
      <c r="D3750" s="36">
        <v>45114.0</v>
      </c>
      <c r="E3750" s="24"/>
      <c r="F3750" s="14" t="s">
        <v>6012</v>
      </c>
      <c r="G3750" s="14">
        <v>249.42</v>
      </c>
      <c r="H3750" s="14">
        <v>0.0</v>
      </c>
      <c r="I3750" s="14" t="s">
        <v>6059</v>
      </c>
      <c r="J3750" s="14" t="s">
        <v>6012</v>
      </c>
      <c r="K3750" s="14" t="s">
        <v>6012</v>
      </c>
      <c r="L3750" s="14">
        <v>0.0</v>
      </c>
    </row>
    <row r="3751">
      <c r="A3751" s="14">
        <v>152.0</v>
      </c>
      <c r="B3751" s="14">
        <v>1.0</v>
      </c>
      <c r="C3751" s="34">
        <v>10.38</v>
      </c>
      <c r="D3751" s="36">
        <v>45114.0</v>
      </c>
      <c r="E3751" s="24"/>
      <c r="F3751" s="14">
        <v>10.38</v>
      </c>
      <c r="G3751" s="14">
        <v>68.29</v>
      </c>
      <c r="H3751" s="14">
        <v>0.66</v>
      </c>
      <c r="I3751" s="14" t="s">
        <v>6054</v>
      </c>
      <c r="J3751" s="14">
        <v>0.0</v>
      </c>
      <c r="K3751" s="14" t="s">
        <v>6012</v>
      </c>
      <c r="L3751" s="14">
        <v>0.0</v>
      </c>
    </row>
    <row r="3752">
      <c r="A3752" s="14">
        <v>62.0</v>
      </c>
      <c r="B3752" s="14">
        <v>0.0</v>
      </c>
      <c r="C3752" s="34">
        <v>10.24</v>
      </c>
      <c r="D3752" s="36">
        <v>45114.0</v>
      </c>
      <c r="E3752" s="24"/>
      <c r="F3752" s="14" t="s">
        <v>6012</v>
      </c>
      <c r="G3752" s="14">
        <v>165.16</v>
      </c>
      <c r="H3752" s="14">
        <v>0.0</v>
      </c>
      <c r="I3752" s="14" t="s">
        <v>6057</v>
      </c>
      <c r="J3752" s="14" t="s">
        <v>6012</v>
      </c>
      <c r="K3752" s="14" t="s">
        <v>6012</v>
      </c>
      <c r="L3752" s="14">
        <v>0.0</v>
      </c>
    </row>
    <row r="3753">
      <c r="A3753" s="14">
        <v>62.0</v>
      </c>
      <c r="B3753" s="14">
        <v>0.0</v>
      </c>
      <c r="C3753" s="34">
        <v>10.24</v>
      </c>
      <c r="D3753" s="36">
        <v>45114.0</v>
      </c>
      <c r="E3753" s="24"/>
      <c r="F3753" s="14" t="s">
        <v>6012</v>
      </c>
      <c r="G3753" s="14">
        <v>165.16</v>
      </c>
      <c r="H3753" s="14">
        <v>0.0</v>
      </c>
      <c r="I3753" s="14" t="s">
        <v>6063</v>
      </c>
      <c r="J3753" s="14" t="s">
        <v>6012</v>
      </c>
      <c r="K3753" s="14" t="s">
        <v>6012</v>
      </c>
      <c r="L3753" s="14">
        <v>0.0</v>
      </c>
    </row>
    <row r="3754">
      <c r="A3754" s="14">
        <v>101.0</v>
      </c>
      <c r="B3754" s="14">
        <v>1.0</v>
      </c>
      <c r="C3754" s="34">
        <v>6.42</v>
      </c>
      <c r="D3754" s="36">
        <v>45115.0</v>
      </c>
      <c r="E3754" s="24"/>
      <c r="F3754" s="14">
        <v>6.42</v>
      </c>
      <c r="G3754" s="14">
        <v>63.56</v>
      </c>
      <c r="H3754" s="14">
        <v>0.99</v>
      </c>
      <c r="I3754" s="14" t="s">
        <v>6054</v>
      </c>
      <c r="J3754" s="14">
        <v>0.0</v>
      </c>
      <c r="K3754" s="14" t="s">
        <v>6012</v>
      </c>
      <c r="L3754" s="14">
        <v>0.0</v>
      </c>
    </row>
    <row r="3755">
      <c r="A3755" s="14">
        <v>52.0</v>
      </c>
      <c r="B3755" s="14">
        <v>0.0</v>
      </c>
      <c r="C3755" s="34">
        <v>5.59</v>
      </c>
      <c r="D3755" s="36">
        <v>45115.0</v>
      </c>
      <c r="E3755" s="24"/>
      <c r="F3755" s="14" t="s">
        <v>6012</v>
      </c>
      <c r="G3755" s="14">
        <v>107.5</v>
      </c>
      <c r="H3755" s="14">
        <v>0.0</v>
      </c>
      <c r="I3755" s="14" t="s">
        <v>6058</v>
      </c>
      <c r="J3755" s="14" t="s">
        <v>6012</v>
      </c>
      <c r="K3755" s="14" t="s">
        <v>6012</v>
      </c>
      <c r="L3755" s="14">
        <v>0.0</v>
      </c>
    </row>
    <row r="3756">
      <c r="A3756" s="14">
        <v>151.0</v>
      </c>
      <c r="B3756" s="14">
        <v>4.0</v>
      </c>
      <c r="C3756" s="34">
        <v>7.7</v>
      </c>
      <c r="D3756" s="36">
        <v>45115.0</v>
      </c>
      <c r="E3756" s="24"/>
      <c r="F3756" s="14">
        <v>1.92</v>
      </c>
      <c r="G3756" s="14">
        <v>50.99</v>
      </c>
      <c r="H3756" s="14">
        <v>2.65</v>
      </c>
      <c r="I3756" s="14" t="s">
        <v>6060</v>
      </c>
      <c r="J3756" s="14">
        <v>50.0</v>
      </c>
      <c r="K3756" s="14">
        <v>3.85</v>
      </c>
      <c r="L3756" s="14">
        <v>0.0</v>
      </c>
    </row>
    <row r="3757">
      <c r="A3757" s="14">
        <v>310.0</v>
      </c>
      <c r="B3757" s="14">
        <v>0.0</v>
      </c>
      <c r="C3757" s="34">
        <v>7.34</v>
      </c>
      <c r="D3757" s="36">
        <v>45115.0</v>
      </c>
      <c r="E3757" s="24"/>
      <c r="F3757" s="14" t="s">
        <v>6012</v>
      </c>
      <c r="G3757" s="14">
        <v>23.68</v>
      </c>
      <c r="H3757" s="14">
        <v>0.0</v>
      </c>
      <c r="I3757" s="14" t="s">
        <v>6042</v>
      </c>
      <c r="J3757" s="14" t="s">
        <v>6012</v>
      </c>
      <c r="K3757" s="14">
        <v>7.34</v>
      </c>
      <c r="L3757" s="14">
        <v>0.0</v>
      </c>
    </row>
    <row r="3758">
      <c r="A3758" s="14">
        <v>129.0</v>
      </c>
      <c r="B3758" s="14">
        <v>0.0</v>
      </c>
      <c r="C3758" s="34">
        <v>6.47</v>
      </c>
      <c r="D3758" s="36">
        <v>45115.0</v>
      </c>
      <c r="E3758" s="24"/>
      <c r="F3758" s="14" t="s">
        <v>6012</v>
      </c>
      <c r="G3758" s="14">
        <v>50.16</v>
      </c>
      <c r="H3758" s="14">
        <v>0.0</v>
      </c>
      <c r="I3758" s="14" t="s">
        <v>6062</v>
      </c>
      <c r="J3758" s="14" t="s">
        <v>6012</v>
      </c>
      <c r="K3758" s="14">
        <v>3.24</v>
      </c>
      <c r="L3758" s="14">
        <v>0.0</v>
      </c>
    </row>
    <row r="3759">
      <c r="A3759" s="14">
        <v>1152.0</v>
      </c>
      <c r="B3759" s="14">
        <v>11.0</v>
      </c>
      <c r="C3759" s="34">
        <v>7.01</v>
      </c>
      <c r="D3759" s="36">
        <v>45115.0</v>
      </c>
      <c r="E3759" s="24"/>
      <c r="F3759" s="14">
        <v>0.64</v>
      </c>
      <c r="G3759" s="14">
        <v>6.09</v>
      </c>
      <c r="H3759" s="14">
        <v>0.95</v>
      </c>
      <c r="I3759" s="14" t="s">
        <v>6050</v>
      </c>
      <c r="J3759" s="14">
        <v>9.09</v>
      </c>
      <c r="K3759" s="14">
        <v>7.01</v>
      </c>
      <c r="L3759" s="14">
        <v>0.0</v>
      </c>
    </row>
    <row r="3760">
      <c r="A3760" s="14">
        <v>24.0</v>
      </c>
      <c r="B3760" s="14">
        <v>0.0</v>
      </c>
      <c r="C3760" s="34">
        <v>5.96</v>
      </c>
      <c r="D3760" s="36">
        <v>45115.0</v>
      </c>
      <c r="E3760" s="24"/>
      <c r="F3760" s="14" t="s">
        <v>6012</v>
      </c>
      <c r="G3760" s="14">
        <v>248.33</v>
      </c>
      <c r="H3760" s="14">
        <v>0.0</v>
      </c>
      <c r="I3760" s="14" t="s">
        <v>6057</v>
      </c>
      <c r="J3760" s="14" t="s">
        <v>6012</v>
      </c>
      <c r="K3760" s="14" t="s">
        <v>6012</v>
      </c>
      <c r="L3760" s="14">
        <v>0.0</v>
      </c>
    </row>
    <row r="3761">
      <c r="A3761" s="14">
        <v>28.0</v>
      </c>
      <c r="B3761" s="14">
        <v>1.0</v>
      </c>
      <c r="C3761" s="34">
        <v>6.09</v>
      </c>
      <c r="D3761" s="36">
        <v>45115.0</v>
      </c>
      <c r="E3761" s="24"/>
      <c r="F3761" s="14">
        <v>6.09</v>
      </c>
      <c r="G3761" s="14">
        <v>217.5</v>
      </c>
      <c r="H3761" s="14">
        <v>3.57</v>
      </c>
      <c r="I3761" s="14" t="s">
        <v>6059</v>
      </c>
      <c r="J3761" s="14">
        <v>100.0</v>
      </c>
      <c r="K3761" s="14">
        <v>6.09</v>
      </c>
      <c r="L3761" s="14">
        <v>0.0</v>
      </c>
    </row>
    <row r="3762">
      <c r="A3762" s="14">
        <v>37.0</v>
      </c>
      <c r="B3762" s="14">
        <v>2.0</v>
      </c>
      <c r="C3762" s="34">
        <v>5.25</v>
      </c>
      <c r="D3762" s="36">
        <v>45115.0</v>
      </c>
      <c r="E3762" s="24"/>
      <c r="F3762" s="14">
        <v>2.62</v>
      </c>
      <c r="G3762" s="14">
        <v>141.89</v>
      </c>
      <c r="H3762" s="14">
        <v>5.41</v>
      </c>
      <c r="I3762" s="14" t="s">
        <v>6061</v>
      </c>
      <c r="J3762" s="14">
        <v>100.0</v>
      </c>
      <c r="K3762" s="14">
        <v>2.62</v>
      </c>
      <c r="L3762" s="14">
        <v>0.0</v>
      </c>
    </row>
    <row r="3763">
      <c r="A3763" s="14">
        <v>39.0</v>
      </c>
      <c r="B3763" s="14">
        <v>1.0</v>
      </c>
      <c r="C3763" s="34">
        <v>4.93</v>
      </c>
      <c r="D3763" s="36">
        <v>45115.0</v>
      </c>
      <c r="E3763" s="24"/>
      <c r="F3763" s="14">
        <v>4.93</v>
      </c>
      <c r="G3763" s="14">
        <v>126.41</v>
      </c>
      <c r="H3763" s="14">
        <v>2.56</v>
      </c>
      <c r="I3763" s="14" t="s">
        <v>6063</v>
      </c>
      <c r="J3763" s="14">
        <v>0.0</v>
      </c>
      <c r="K3763" s="14" t="s">
        <v>6012</v>
      </c>
      <c r="L3763" s="14">
        <v>0.0</v>
      </c>
    </row>
    <row r="3764">
      <c r="A3764" s="14">
        <v>741.0</v>
      </c>
      <c r="B3764" s="14">
        <v>9.0</v>
      </c>
      <c r="C3764" s="34">
        <v>6.46</v>
      </c>
      <c r="D3764" s="36">
        <v>45115.0</v>
      </c>
      <c r="E3764" s="24"/>
      <c r="F3764" s="14">
        <v>0.72</v>
      </c>
      <c r="G3764" s="14">
        <v>8.72</v>
      </c>
      <c r="H3764" s="14">
        <v>1.21</v>
      </c>
      <c r="I3764" s="14" t="s">
        <v>6051</v>
      </c>
      <c r="J3764" s="14">
        <v>0.0</v>
      </c>
      <c r="K3764" s="14" t="s">
        <v>6012</v>
      </c>
      <c r="L3764" s="14">
        <v>0.0</v>
      </c>
    </row>
    <row r="3765">
      <c r="A3765" s="14">
        <v>35.0</v>
      </c>
      <c r="B3765" s="14">
        <v>0.0</v>
      </c>
      <c r="C3765" s="34">
        <v>3.83</v>
      </c>
      <c r="D3765" s="36">
        <v>45116.0</v>
      </c>
      <c r="E3765" s="24"/>
      <c r="F3765" s="14" t="s">
        <v>6012</v>
      </c>
      <c r="G3765" s="14">
        <v>109.43</v>
      </c>
      <c r="H3765" s="14">
        <v>0.0</v>
      </c>
      <c r="I3765" s="14" t="s">
        <v>6058</v>
      </c>
      <c r="J3765" s="14" t="s">
        <v>6012</v>
      </c>
      <c r="K3765" s="14">
        <v>1.28</v>
      </c>
      <c r="L3765" s="14">
        <v>0.0</v>
      </c>
    </row>
    <row r="3766">
      <c r="A3766" s="14">
        <v>43.0</v>
      </c>
      <c r="B3766" s="14">
        <v>0.0</v>
      </c>
      <c r="C3766" s="34">
        <v>4.04</v>
      </c>
      <c r="D3766" s="36">
        <v>45116.0</v>
      </c>
      <c r="E3766" s="24"/>
      <c r="F3766" s="14" t="s">
        <v>6012</v>
      </c>
      <c r="G3766" s="14">
        <v>93.95</v>
      </c>
      <c r="H3766" s="14">
        <v>0.0</v>
      </c>
      <c r="I3766" s="14" t="s">
        <v>6063</v>
      </c>
      <c r="J3766" s="14" t="s">
        <v>6012</v>
      </c>
      <c r="K3766" s="14" t="s">
        <v>6012</v>
      </c>
      <c r="L3766" s="14">
        <v>0.0</v>
      </c>
    </row>
    <row r="3767">
      <c r="A3767" s="14">
        <v>529.0</v>
      </c>
      <c r="B3767" s="14">
        <v>9.0</v>
      </c>
      <c r="C3767" s="34">
        <v>5.31</v>
      </c>
      <c r="D3767" s="36">
        <v>45116.0</v>
      </c>
      <c r="E3767" s="24"/>
      <c r="F3767" s="14">
        <v>0.59</v>
      </c>
      <c r="G3767" s="14">
        <v>10.04</v>
      </c>
      <c r="H3767" s="14">
        <v>1.7</v>
      </c>
      <c r="I3767" s="14" t="s">
        <v>6051</v>
      </c>
      <c r="J3767" s="14">
        <v>0.0</v>
      </c>
      <c r="K3767" s="14" t="s">
        <v>6012</v>
      </c>
      <c r="L3767" s="14">
        <v>0.0</v>
      </c>
    </row>
    <row r="3768">
      <c r="A3768" s="14">
        <v>176.0</v>
      </c>
      <c r="B3768" s="14">
        <v>1.0</v>
      </c>
      <c r="C3768" s="34">
        <v>6.16</v>
      </c>
      <c r="D3768" s="36">
        <v>45116.0</v>
      </c>
      <c r="E3768" s="24"/>
      <c r="F3768" s="14">
        <v>6.16</v>
      </c>
      <c r="G3768" s="14">
        <v>35.0</v>
      </c>
      <c r="H3768" s="14">
        <v>0.57</v>
      </c>
      <c r="I3768" s="14" t="s">
        <v>6042</v>
      </c>
      <c r="J3768" s="14">
        <v>0.0</v>
      </c>
      <c r="K3768" s="14" t="s">
        <v>6012</v>
      </c>
      <c r="L3768" s="14">
        <v>0.0</v>
      </c>
    </row>
    <row r="3769">
      <c r="A3769" s="14">
        <v>408.0</v>
      </c>
      <c r="B3769" s="14">
        <v>2.0</v>
      </c>
      <c r="C3769" s="34">
        <v>4.88</v>
      </c>
      <c r="D3769" s="36">
        <v>45116.0</v>
      </c>
      <c r="E3769" s="24"/>
      <c r="F3769" s="14">
        <v>2.44</v>
      </c>
      <c r="G3769" s="14">
        <v>11.96</v>
      </c>
      <c r="H3769" s="14">
        <v>0.49</v>
      </c>
      <c r="I3769" s="14" t="s">
        <v>6060</v>
      </c>
      <c r="J3769" s="14">
        <v>150.0</v>
      </c>
      <c r="K3769" s="14">
        <v>1.63</v>
      </c>
      <c r="L3769" s="14">
        <v>0.0</v>
      </c>
    </row>
    <row r="3770">
      <c r="A3770" s="14">
        <v>29.0</v>
      </c>
      <c r="B3770" s="14">
        <v>2.0</v>
      </c>
      <c r="C3770" s="34">
        <v>4.15</v>
      </c>
      <c r="D3770" s="36">
        <v>45116.0</v>
      </c>
      <c r="E3770" s="24"/>
      <c r="F3770" s="14">
        <v>2.08</v>
      </c>
      <c r="G3770" s="14">
        <v>143.1</v>
      </c>
      <c r="H3770" s="14">
        <v>6.9</v>
      </c>
      <c r="I3770" s="14" t="s">
        <v>6061</v>
      </c>
      <c r="J3770" s="14">
        <v>50.0</v>
      </c>
      <c r="K3770" s="14">
        <v>4.15</v>
      </c>
      <c r="L3770" s="14">
        <v>0.0</v>
      </c>
    </row>
    <row r="3771">
      <c r="A3771" s="14">
        <v>1239.0</v>
      </c>
      <c r="B3771" s="14">
        <v>11.0</v>
      </c>
      <c r="C3771" s="34">
        <v>7.03</v>
      </c>
      <c r="D3771" s="36">
        <v>45116.0</v>
      </c>
      <c r="E3771" s="24"/>
      <c r="F3771" s="14">
        <v>0.64</v>
      </c>
      <c r="G3771" s="14">
        <v>5.67</v>
      </c>
      <c r="H3771" s="14">
        <v>0.89</v>
      </c>
      <c r="I3771" s="14" t="s">
        <v>6050</v>
      </c>
      <c r="J3771" s="14">
        <v>45.45</v>
      </c>
      <c r="K3771" s="14">
        <v>1.41</v>
      </c>
      <c r="L3771" s="14">
        <v>0.0</v>
      </c>
    </row>
    <row r="3772">
      <c r="A3772" s="14">
        <v>18.0</v>
      </c>
      <c r="B3772" s="14">
        <v>0.0</v>
      </c>
      <c r="C3772" s="34">
        <v>2.91</v>
      </c>
      <c r="D3772" s="36">
        <v>45116.0</v>
      </c>
      <c r="E3772" s="24"/>
      <c r="F3772" s="14" t="s">
        <v>6012</v>
      </c>
      <c r="G3772" s="14">
        <v>161.67</v>
      </c>
      <c r="H3772" s="14">
        <v>0.0</v>
      </c>
      <c r="I3772" s="14" t="s">
        <v>6059</v>
      </c>
      <c r="J3772" s="14" t="s">
        <v>6012</v>
      </c>
      <c r="K3772" s="14" t="s">
        <v>6012</v>
      </c>
      <c r="L3772" s="14">
        <v>0.0</v>
      </c>
    </row>
    <row r="3773">
      <c r="A3773" s="14">
        <v>17.0</v>
      </c>
      <c r="B3773" s="14">
        <v>0.0</v>
      </c>
      <c r="C3773" s="34">
        <v>3.34</v>
      </c>
      <c r="D3773" s="36">
        <v>45116.0</v>
      </c>
      <c r="E3773" s="24"/>
      <c r="F3773" s="14" t="s">
        <v>6012</v>
      </c>
      <c r="G3773" s="14">
        <v>196.47</v>
      </c>
      <c r="H3773" s="14">
        <v>0.0</v>
      </c>
      <c r="I3773" s="14" t="s">
        <v>6057</v>
      </c>
      <c r="J3773" s="14" t="s">
        <v>6012</v>
      </c>
      <c r="K3773" s="14" t="s">
        <v>6012</v>
      </c>
      <c r="L3773" s="14">
        <v>0.0</v>
      </c>
    </row>
    <row r="3774">
      <c r="A3774" s="14">
        <v>214.0</v>
      </c>
      <c r="B3774" s="14">
        <v>1.0</v>
      </c>
      <c r="C3774" s="34">
        <v>6.35</v>
      </c>
      <c r="D3774" s="36">
        <v>45116.0</v>
      </c>
      <c r="E3774" s="24"/>
      <c r="F3774" s="14">
        <v>6.35</v>
      </c>
      <c r="G3774" s="14">
        <v>29.67</v>
      </c>
      <c r="H3774" s="14">
        <v>0.47</v>
      </c>
      <c r="I3774" s="14" t="s">
        <v>6062</v>
      </c>
      <c r="J3774" s="14">
        <v>300.0</v>
      </c>
      <c r="K3774" s="14">
        <v>2.12</v>
      </c>
      <c r="L3774" s="14">
        <v>0.0</v>
      </c>
    </row>
    <row r="3775">
      <c r="A3775" s="14">
        <v>76.0</v>
      </c>
      <c r="B3775" s="14">
        <v>1.0</v>
      </c>
      <c r="C3775" s="34">
        <v>5.44</v>
      </c>
      <c r="D3775" s="36">
        <v>45116.0</v>
      </c>
      <c r="E3775" s="24"/>
      <c r="F3775" s="14">
        <v>5.44</v>
      </c>
      <c r="G3775" s="14">
        <v>71.58</v>
      </c>
      <c r="H3775" s="14">
        <v>1.32</v>
      </c>
      <c r="I3775" s="14" t="s">
        <v>6054</v>
      </c>
      <c r="J3775" s="14">
        <v>0.0</v>
      </c>
      <c r="K3775" s="14" t="s">
        <v>6012</v>
      </c>
      <c r="L3775" s="14">
        <v>0.0</v>
      </c>
    </row>
    <row r="3776">
      <c r="A3776" s="14">
        <v>58.0</v>
      </c>
      <c r="B3776" s="14">
        <v>1.0</v>
      </c>
      <c r="C3776" s="34">
        <v>11.56</v>
      </c>
      <c r="D3776" s="36">
        <v>45117.0</v>
      </c>
      <c r="E3776" s="24"/>
      <c r="F3776" s="14">
        <v>11.56</v>
      </c>
      <c r="G3776" s="14">
        <v>199.31</v>
      </c>
      <c r="H3776" s="14">
        <v>1.72</v>
      </c>
      <c r="I3776" s="14" t="s">
        <v>6057</v>
      </c>
      <c r="J3776" s="14">
        <v>0.0</v>
      </c>
      <c r="K3776" s="14" t="s">
        <v>6012</v>
      </c>
      <c r="L3776" s="14">
        <v>0.0</v>
      </c>
    </row>
    <row r="3777">
      <c r="A3777" s="14">
        <v>415.0</v>
      </c>
      <c r="B3777" s="14">
        <v>2.0</v>
      </c>
      <c r="C3777" s="34">
        <v>11.57</v>
      </c>
      <c r="D3777" s="36">
        <v>45117.0</v>
      </c>
      <c r="E3777" s="24"/>
      <c r="F3777" s="14">
        <v>5.78</v>
      </c>
      <c r="G3777" s="14">
        <v>27.88</v>
      </c>
      <c r="H3777" s="14">
        <v>0.48</v>
      </c>
      <c r="I3777" s="14" t="s">
        <v>6054</v>
      </c>
      <c r="J3777" s="14">
        <v>50.0</v>
      </c>
      <c r="K3777" s="14">
        <v>11.57</v>
      </c>
      <c r="L3777" s="14">
        <v>0.0</v>
      </c>
    </row>
    <row r="3778">
      <c r="A3778" s="14">
        <v>606.0</v>
      </c>
      <c r="B3778" s="14">
        <v>1.0</v>
      </c>
      <c r="C3778" s="34">
        <v>11.86</v>
      </c>
      <c r="D3778" s="36">
        <v>45117.0</v>
      </c>
      <c r="E3778" s="24"/>
      <c r="F3778" s="14">
        <v>11.86</v>
      </c>
      <c r="G3778" s="14">
        <v>19.57</v>
      </c>
      <c r="H3778" s="14">
        <v>0.17</v>
      </c>
      <c r="I3778" s="14" t="s">
        <v>6042</v>
      </c>
      <c r="J3778" s="14">
        <v>100.0</v>
      </c>
      <c r="K3778" s="14">
        <v>11.86</v>
      </c>
      <c r="L3778" s="14">
        <v>0.0</v>
      </c>
    </row>
    <row r="3779">
      <c r="A3779" s="14">
        <v>42.0</v>
      </c>
      <c r="B3779" s="14">
        <v>0.0</v>
      </c>
      <c r="C3779" s="34">
        <v>10.26</v>
      </c>
      <c r="D3779" s="36">
        <v>45117.0</v>
      </c>
      <c r="E3779" s="24"/>
      <c r="F3779" s="14" t="s">
        <v>6012</v>
      </c>
      <c r="G3779" s="14">
        <v>244.29</v>
      </c>
      <c r="H3779" s="14">
        <v>0.0</v>
      </c>
      <c r="I3779" s="14" t="s">
        <v>6059</v>
      </c>
      <c r="J3779" s="14" t="s">
        <v>6012</v>
      </c>
      <c r="K3779" s="14" t="s">
        <v>6012</v>
      </c>
      <c r="L3779" s="14">
        <v>0.0</v>
      </c>
    </row>
    <row r="3780">
      <c r="A3780" s="14">
        <v>106.0</v>
      </c>
      <c r="B3780" s="14">
        <v>0.0</v>
      </c>
      <c r="C3780" s="34">
        <v>10.27</v>
      </c>
      <c r="D3780" s="36">
        <v>45117.0</v>
      </c>
      <c r="E3780" s="24"/>
      <c r="F3780" s="14" t="s">
        <v>6012</v>
      </c>
      <c r="G3780" s="14">
        <v>96.89</v>
      </c>
      <c r="H3780" s="14">
        <v>0.0</v>
      </c>
      <c r="I3780" s="14" t="s">
        <v>6063</v>
      </c>
      <c r="J3780" s="14" t="s">
        <v>6012</v>
      </c>
      <c r="K3780" s="14" t="s">
        <v>6012</v>
      </c>
      <c r="L3780" s="14">
        <v>0.0</v>
      </c>
    </row>
    <row r="3781">
      <c r="A3781" s="14">
        <v>206.0</v>
      </c>
      <c r="B3781" s="14">
        <v>3.0</v>
      </c>
      <c r="C3781" s="34">
        <v>12.32</v>
      </c>
      <c r="D3781" s="36">
        <v>45117.0</v>
      </c>
      <c r="E3781" s="24"/>
      <c r="F3781" s="14">
        <v>4.11</v>
      </c>
      <c r="G3781" s="14">
        <v>59.81</v>
      </c>
      <c r="H3781" s="14">
        <v>1.46</v>
      </c>
      <c r="I3781" s="14" t="s">
        <v>6060</v>
      </c>
      <c r="J3781" s="14">
        <v>33.33</v>
      </c>
      <c r="K3781" s="14">
        <v>12.32</v>
      </c>
      <c r="L3781" s="14">
        <v>0.0</v>
      </c>
    </row>
    <row r="3782">
      <c r="A3782" s="14">
        <v>593.0</v>
      </c>
      <c r="B3782" s="14">
        <v>5.0</v>
      </c>
      <c r="C3782" s="34">
        <v>7.82</v>
      </c>
      <c r="D3782" s="36">
        <v>45117.0</v>
      </c>
      <c r="E3782" s="24"/>
      <c r="F3782" s="14">
        <v>1.56</v>
      </c>
      <c r="G3782" s="14">
        <v>13.19</v>
      </c>
      <c r="H3782" s="14">
        <v>0.84</v>
      </c>
      <c r="I3782" s="14" t="s">
        <v>6051</v>
      </c>
      <c r="J3782" s="14">
        <v>0.0</v>
      </c>
      <c r="K3782" s="14" t="s">
        <v>6012</v>
      </c>
      <c r="L3782" s="14">
        <v>0.0</v>
      </c>
    </row>
    <row r="3783">
      <c r="A3783" s="14">
        <v>60.0</v>
      </c>
      <c r="B3783" s="14">
        <v>3.0</v>
      </c>
      <c r="C3783" s="34">
        <v>10.75</v>
      </c>
      <c r="D3783" s="36">
        <v>45117.0</v>
      </c>
      <c r="E3783" s="24"/>
      <c r="F3783" s="14">
        <v>3.58</v>
      </c>
      <c r="G3783" s="14">
        <v>179.17</v>
      </c>
      <c r="H3783" s="14">
        <v>5.0</v>
      </c>
      <c r="I3783" s="14" t="s">
        <v>6061</v>
      </c>
      <c r="J3783" s="14">
        <v>66.67</v>
      </c>
      <c r="K3783" s="14">
        <v>5.38</v>
      </c>
      <c r="L3783" s="14">
        <v>0.0</v>
      </c>
    </row>
    <row r="3784">
      <c r="A3784" s="14">
        <v>1956.0</v>
      </c>
      <c r="B3784" s="14">
        <v>12.0</v>
      </c>
      <c r="C3784" s="34">
        <v>11.07</v>
      </c>
      <c r="D3784" s="36">
        <v>45117.0</v>
      </c>
      <c r="E3784" s="24"/>
      <c r="F3784" s="14">
        <v>0.92</v>
      </c>
      <c r="G3784" s="14">
        <v>5.66</v>
      </c>
      <c r="H3784" s="14">
        <v>0.61</v>
      </c>
      <c r="I3784" s="14" t="s">
        <v>6050</v>
      </c>
      <c r="J3784" s="14">
        <v>83.33</v>
      </c>
      <c r="K3784" s="14">
        <v>1.11</v>
      </c>
      <c r="L3784" s="14">
        <v>0.0</v>
      </c>
    </row>
    <row r="3785">
      <c r="A3785" s="14">
        <v>503.0</v>
      </c>
      <c r="B3785" s="14">
        <v>1.0</v>
      </c>
      <c r="C3785" s="34">
        <v>12.05</v>
      </c>
      <c r="D3785" s="36">
        <v>45117.0</v>
      </c>
      <c r="E3785" s="24"/>
      <c r="F3785" s="14">
        <v>12.05</v>
      </c>
      <c r="G3785" s="14">
        <v>23.96</v>
      </c>
      <c r="H3785" s="14">
        <v>0.2</v>
      </c>
      <c r="I3785" s="14" t="s">
        <v>6062</v>
      </c>
      <c r="J3785" s="14">
        <v>200.0</v>
      </c>
      <c r="K3785" s="14">
        <v>6.02</v>
      </c>
      <c r="L3785" s="14">
        <v>0.0</v>
      </c>
    </row>
    <row r="3786">
      <c r="A3786" s="14">
        <v>119.0</v>
      </c>
      <c r="B3786" s="14">
        <v>3.0</v>
      </c>
      <c r="C3786" s="34">
        <v>12.65</v>
      </c>
      <c r="D3786" s="36">
        <v>45117.0</v>
      </c>
      <c r="E3786" s="24"/>
      <c r="F3786" s="14">
        <v>4.22</v>
      </c>
      <c r="G3786" s="14">
        <v>106.3</v>
      </c>
      <c r="H3786" s="14">
        <v>2.52</v>
      </c>
      <c r="I3786" s="14" t="s">
        <v>6058</v>
      </c>
      <c r="J3786" s="14">
        <v>0.0</v>
      </c>
      <c r="K3786" s="14" t="s">
        <v>6012</v>
      </c>
      <c r="L3786" s="14">
        <v>0.0</v>
      </c>
    </row>
    <row r="3787">
      <c r="A3787" s="14">
        <v>86.0</v>
      </c>
      <c r="B3787" s="14">
        <v>0.0</v>
      </c>
      <c r="C3787" s="34">
        <v>7.87</v>
      </c>
      <c r="D3787" s="36">
        <v>45118.0</v>
      </c>
      <c r="E3787" s="24"/>
      <c r="F3787" s="14" t="s">
        <v>6012</v>
      </c>
      <c r="G3787" s="14">
        <v>91.51</v>
      </c>
      <c r="H3787" s="14">
        <v>0.0</v>
      </c>
      <c r="I3787" s="14" t="s">
        <v>6058</v>
      </c>
      <c r="J3787" s="14" t="s">
        <v>6012</v>
      </c>
      <c r="K3787" s="14" t="s">
        <v>6012</v>
      </c>
      <c r="L3787" s="14">
        <v>0.0</v>
      </c>
    </row>
    <row r="3788">
      <c r="A3788" s="14">
        <v>113.0</v>
      </c>
      <c r="B3788" s="14">
        <v>4.0</v>
      </c>
      <c r="C3788" s="34">
        <v>3.88</v>
      </c>
      <c r="D3788" s="36">
        <v>45118.0</v>
      </c>
      <c r="E3788" s="24"/>
      <c r="F3788" s="14">
        <v>0.97</v>
      </c>
      <c r="G3788" s="14">
        <v>34.34</v>
      </c>
      <c r="H3788" s="14">
        <v>3.54</v>
      </c>
      <c r="I3788" s="14" t="s">
        <v>6061</v>
      </c>
      <c r="J3788" s="14">
        <v>0.0</v>
      </c>
      <c r="K3788" s="14" t="s">
        <v>6012</v>
      </c>
      <c r="L3788" s="14">
        <v>0.0</v>
      </c>
    </row>
    <row r="3789">
      <c r="A3789" s="14">
        <v>44.0</v>
      </c>
      <c r="B3789" s="14">
        <v>1.0</v>
      </c>
      <c r="C3789" s="34">
        <v>6.37</v>
      </c>
      <c r="D3789" s="36">
        <v>45118.0</v>
      </c>
      <c r="E3789" s="24"/>
      <c r="F3789" s="14">
        <v>6.37</v>
      </c>
      <c r="G3789" s="14">
        <v>144.77</v>
      </c>
      <c r="H3789" s="14">
        <v>2.27</v>
      </c>
      <c r="I3789" s="14" t="s">
        <v>6059</v>
      </c>
      <c r="J3789" s="14">
        <v>0.0</v>
      </c>
      <c r="K3789" s="14" t="s">
        <v>6012</v>
      </c>
      <c r="L3789" s="14">
        <v>0.0</v>
      </c>
    </row>
    <row r="3790">
      <c r="A3790" s="14">
        <v>952.0</v>
      </c>
      <c r="B3790" s="14">
        <v>9.0</v>
      </c>
      <c r="C3790" s="34">
        <v>11.04</v>
      </c>
      <c r="D3790" s="36">
        <v>45118.0</v>
      </c>
      <c r="E3790" s="24"/>
      <c r="F3790" s="14">
        <v>1.23</v>
      </c>
      <c r="G3790" s="14">
        <v>11.6</v>
      </c>
      <c r="H3790" s="14">
        <v>0.95</v>
      </c>
      <c r="I3790" s="14" t="s">
        <v>6051</v>
      </c>
      <c r="J3790" s="14">
        <v>0.0</v>
      </c>
      <c r="K3790" s="14" t="s">
        <v>6012</v>
      </c>
      <c r="L3790" s="14">
        <v>0.0</v>
      </c>
    </row>
    <row r="3791">
      <c r="A3791" s="14">
        <v>442.0</v>
      </c>
      <c r="B3791" s="14">
        <v>2.0</v>
      </c>
      <c r="C3791" s="34">
        <v>6.96</v>
      </c>
      <c r="D3791" s="36">
        <v>45118.0</v>
      </c>
      <c r="E3791" s="24"/>
      <c r="F3791" s="14">
        <v>3.48</v>
      </c>
      <c r="G3791" s="14">
        <v>15.75</v>
      </c>
      <c r="H3791" s="14">
        <v>0.45</v>
      </c>
      <c r="I3791" s="14" t="s">
        <v>6060</v>
      </c>
      <c r="J3791" s="14">
        <v>0.0</v>
      </c>
      <c r="K3791" s="14" t="s">
        <v>6012</v>
      </c>
      <c r="L3791" s="14">
        <v>0.0</v>
      </c>
    </row>
    <row r="3792">
      <c r="A3792" s="14">
        <v>48.0</v>
      </c>
      <c r="B3792" s="14">
        <v>1.0</v>
      </c>
      <c r="C3792" s="34">
        <v>3.52</v>
      </c>
      <c r="D3792" s="36">
        <v>45118.0</v>
      </c>
      <c r="E3792" s="24"/>
      <c r="F3792" s="14">
        <v>3.52</v>
      </c>
      <c r="G3792" s="14">
        <v>73.33</v>
      </c>
      <c r="H3792" s="14">
        <v>2.08</v>
      </c>
      <c r="I3792" s="14" t="s">
        <v>6057</v>
      </c>
      <c r="J3792" s="14">
        <v>0.0</v>
      </c>
      <c r="K3792" s="14" t="s">
        <v>6012</v>
      </c>
      <c r="L3792" s="14">
        <v>0.0</v>
      </c>
    </row>
    <row r="3793">
      <c r="A3793" s="14">
        <v>150.0</v>
      </c>
      <c r="B3793" s="14">
        <v>0.0</v>
      </c>
      <c r="C3793" s="34">
        <v>2.42</v>
      </c>
      <c r="D3793" s="36">
        <v>45118.0</v>
      </c>
      <c r="E3793" s="24"/>
      <c r="F3793" s="14" t="s">
        <v>6012</v>
      </c>
      <c r="G3793" s="14">
        <v>16.13</v>
      </c>
      <c r="H3793" s="14">
        <v>0.0</v>
      </c>
      <c r="I3793" s="14" t="s">
        <v>6042</v>
      </c>
      <c r="J3793" s="14" t="s">
        <v>6012</v>
      </c>
      <c r="K3793" s="14">
        <v>2.42</v>
      </c>
      <c r="L3793" s="14">
        <v>0.0</v>
      </c>
    </row>
    <row r="3794">
      <c r="A3794" s="14">
        <v>97.0</v>
      </c>
      <c r="B3794" s="14">
        <v>0.0</v>
      </c>
      <c r="C3794" s="34">
        <v>5.56</v>
      </c>
      <c r="D3794" s="36">
        <v>45118.0</v>
      </c>
      <c r="E3794" s="24"/>
      <c r="F3794" s="14" t="s">
        <v>6012</v>
      </c>
      <c r="G3794" s="14">
        <v>57.32</v>
      </c>
      <c r="H3794" s="14">
        <v>0.0</v>
      </c>
      <c r="I3794" s="14" t="s">
        <v>6054</v>
      </c>
      <c r="J3794" s="14" t="s">
        <v>6012</v>
      </c>
      <c r="K3794" s="14" t="s">
        <v>6012</v>
      </c>
      <c r="L3794" s="14">
        <v>0.0</v>
      </c>
    </row>
    <row r="3795">
      <c r="A3795" s="14">
        <v>112.0</v>
      </c>
      <c r="B3795" s="14">
        <v>0.0</v>
      </c>
      <c r="C3795" s="34">
        <v>6.74</v>
      </c>
      <c r="D3795" s="36">
        <v>45118.0</v>
      </c>
      <c r="E3795" s="24"/>
      <c r="F3795" s="14" t="s">
        <v>6012</v>
      </c>
      <c r="G3795" s="14">
        <v>60.18</v>
      </c>
      <c r="H3795" s="14">
        <v>0.0</v>
      </c>
      <c r="I3795" s="14" t="s">
        <v>6062</v>
      </c>
      <c r="J3795" s="14" t="s">
        <v>6012</v>
      </c>
      <c r="K3795" s="14" t="s">
        <v>6012</v>
      </c>
      <c r="L3795" s="14">
        <v>0.0</v>
      </c>
    </row>
    <row r="3796">
      <c r="A3796" s="14">
        <v>61.0</v>
      </c>
      <c r="B3796" s="14">
        <v>0.0</v>
      </c>
      <c r="C3796" s="34">
        <v>4.6</v>
      </c>
      <c r="D3796" s="36">
        <v>45118.0</v>
      </c>
      <c r="E3796" s="24"/>
      <c r="F3796" s="14" t="s">
        <v>6012</v>
      </c>
      <c r="G3796" s="14">
        <v>75.41</v>
      </c>
      <c r="H3796" s="14">
        <v>0.0</v>
      </c>
      <c r="I3796" s="14" t="s">
        <v>6063</v>
      </c>
      <c r="J3796" s="14" t="s">
        <v>6012</v>
      </c>
      <c r="K3796" s="14" t="s">
        <v>6012</v>
      </c>
      <c r="L3796" s="14">
        <v>0.0</v>
      </c>
    </row>
    <row r="3797">
      <c r="A3797" s="14">
        <v>2333.0</v>
      </c>
      <c r="B3797" s="14">
        <v>14.0</v>
      </c>
      <c r="C3797" s="34">
        <v>8.65</v>
      </c>
      <c r="D3797" s="36">
        <v>45118.0</v>
      </c>
      <c r="E3797" s="24"/>
      <c r="F3797" s="14">
        <v>0.62</v>
      </c>
      <c r="G3797" s="14">
        <v>3.71</v>
      </c>
      <c r="H3797" s="14">
        <v>0.6</v>
      </c>
      <c r="I3797" s="14" t="s">
        <v>6050</v>
      </c>
      <c r="J3797" s="14">
        <v>42.86</v>
      </c>
      <c r="K3797" s="14">
        <v>1.44</v>
      </c>
      <c r="L3797" s="14">
        <v>0.0</v>
      </c>
    </row>
    <row r="3798">
      <c r="A3798" s="14">
        <v>71.0</v>
      </c>
      <c r="B3798" s="14">
        <v>0.0</v>
      </c>
      <c r="C3798" s="34">
        <v>10.2</v>
      </c>
      <c r="D3798" s="36">
        <v>45119.0</v>
      </c>
      <c r="E3798" s="24"/>
      <c r="F3798" s="14" t="s">
        <v>6012</v>
      </c>
      <c r="G3798" s="14">
        <v>143.66</v>
      </c>
      <c r="H3798" s="14">
        <v>0.0</v>
      </c>
      <c r="I3798" s="14" t="s">
        <v>6057</v>
      </c>
      <c r="J3798" s="14" t="s">
        <v>6012</v>
      </c>
      <c r="K3798" s="14" t="s">
        <v>6012</v>
      </c>
      <c r="L3798" s="14">
        <v>0.0</v>
      </c>
    </row>
    <row r="3799">
      <c r="A3799" s="14">
        <v>178.0</v>
      </c>
      <c r="B3799" s="14">
        <v>0.0</v>
      </c>
      <c r="C3799" s="34">
        <v>4.52</v>
      </c>
      <c r="D3799" s="36">
        <v>45119.0</v>
      </c>
      <c r="E3799" s="24"/>
      <c r="F3799" s="14" t="s">
        <v>6012</v>
      </c>
      <c r="G3799" s="14">
        <v>25.39</v>
      </c>
      <c r="H3799" s="14">
        <v>0.0</v>
      </c>
      <c r="I3799" s="14" t="s">
        <v>6042</v>
      </c>
      <c r="J3799" s="14" t="s">
        <v>6012</v>
      </c>
      <c r="K3799" s="14" t="s">
        <v>6012</v>
      </c>
      <c r="L3799" s="14">
        <v>0.0</v>
      </c>
    </row>
    <row r="3800">
      <c r="A3800" s="14">
        <v>153.0</v>
      </c>
      <c r="B3800" s="14">
        <v>2.0</v>
      </c>
      <c r="C3800" s="34">
        <v>5.06</v>
      </c>
      <c r="D3800" s="36">
        <v>45119.0</v>
      </c>
      <c r="E3800" s="24"/>
      <c r="F3800" s="14">
        <v>2.53</v>
      </c>
      <c r="G3800" s="14">
        <v>33.07</v>
      </c>
      <c r="H3800" s="14">
        <v>1.31</v>
      </c>
      <c r="I3800" s="14" t="s">
        <v>6054</v>
      </c>
      <c r="J3800" s="14">
        <v>0.0</v>
      </c>
      <c r="K3800" s="14" t="s">
        <v>6012</v>
      </c>
      <c r="L3800" s="14">
        <v>0.0</v>
      </c>
    </row>
    <row r="3801">
      <c r="A3801" s="14">
        <v>47.0</v>
      </c>
      <c r="B3801" s="14">
        <v>0.0</v>
      </c>
      <c r="C3801" s="34">
        <v>6.89</v>
      </c>
      <c r="D3801" s="36">
        <v>45119.0</v>
      </c>
      <c r="E3801" s="24"/>
      <c r="F3801" s="14" t="s">
        <v>6012</v>
      </c>
      <c r="G3801" s="14">
        <v>146.6</v>
      </c>
      <c r="H3801" s="14">
        <v>0.0</v>
      </c>
      <c r="I3801" s="14" t="s">
        <v>6063</v>
      </c>
      <c r="J3801" s="14" t="s">
        <v>6012</v>
      </c>
      <c r="K3801" s="14" t="s">
        <v>6012</v>
      </c>
      <c r="L3801" s="14">
        <v>0.0</v>
      </c>
    </row>
    <row r="3802">
      <c r="A3802" s="14">
        <v>32.0</v>
      </c>
      <c r="B3802" s="14">
        <v>0.0</v>
      </c>
      <c r="C3802" s="34">
        <v>5.06</v>
      </c>
      <c r="D3802" s="36">
        <v>45119.0</v>
      </c>
      <c r="E3802" s="24"/>
      <c r="F3802" s="14" t="s">
        <v>6012</v>
      </c>
      <c r="G3802" s="14">
        <v>158.12</v>
      </c>
      <c r="H3802" s="14">
        <v>0.0</v>
      </c>
      <c r="I3802" s="14" t="s">
        <v>6059</v>
      </c>
      <c r="J3802" s="14" t="s">
        <v>6012</v>
      </c>
      <c r="K3802" s="14" t="s">
        <v>6012</v>
      </c>
      <c r="L3802" s="14">
        <v>0.0</v>
      </c>
    </row>
    <row r="3803">
      <c r="A3803" s="14">
        <v>174.0</v>
      </c>
      <c r="B3803" s="14">
        <v>2.0</v>
      </c>
      <c r="C3803" s="34">
        <v>5.57</v>
      </c>
      <c r="D3803" s="36">
        <v>45119.0</v>
      </c>
      <c r="E3803" s="24"/>
      <c r="F3803" s="14">
        <v>2.78</v>
      </c>
      <c r="G3803" s="14">
        <v>32.01</v>
      </c>
      <c r="H3803" s="14">
        <v>1.15</v>
      </c>
      <c r="I3803" s="14" t="s">
        <v>6062</v>
      </c>
      <c r="J3803" s="14">
        <v>100.0</v>
      </c>
      <c r="K3803" s="14">
        <v>2.78</v>
      </c>
      <c r="L3803" s="14">
        <v>0.0</v>
      </c>
    </row>
    <row r="3804">
      <c r="A3804" s="14">
        <v>157.0</v>
      </c>
      <c r="B3804" s="14">
        <v>0.0</v>
      </c>
      <c r="C3804" s="34">
        <v>1.78</v>
      </c>
      <c r="D3804" s="36">
        <v>45119.0</v>
      </c>
      <c r="E3804" s="24"/>
      <c r="F3804" s="14" t="s">
        <v>6012</v>
      </c>
      <c r="G3804" s="14">
        <v>11.34</v>
      </c>
      <c r="H3804" s="14">
        <v>0.0</v>
      </c>
      <c r="I3804" s="14" t="s">
        <v>6061</v>
      </c>
      <c r="J3804" s="14" t="s">
        <v>6012</v>
      </c>
      <c r="K3804" s="14">
        <v>0.59</v>
      </c>
      <c r="L3804" s="14">
        <v>0.0</v>
      </c>
    </row>
    <row r="3805">
      <c r="A3805" s="14">
        <v>2123.0</v>
      </c>
      <c r="B3805" s="14">
        <v>14.0</v>
      </c>
      <c r="C3805" s="34">
        <v>8.73</v>
      </c>
      <c r="D3805" s="36">
        <v>45119.0</v>
      </c>
      <c r="E3805" s="24"/>
      <c r="F3805" s="14">
        <v>0.62</v>
      </c>
      <c r="G3805" s="14">
        <v>4.11</v>
      </c>
      <c r="H3805" s="14">
        <v>0.66</v>
      </c>
      <c r="I3805" s="14" t="s">
        <v>6050</v>
      </c>
      <c r="J3805" s="14">
        <v>35.71</v>
      </c>
      <c r="K3805" s="14">
        <v>1.75</v>
      </c>
      <c r="L3805" s="14">
        <v>0.0</v>
      </c>
    </row>
    <row r="3806">
      <c r="A3806" s="14">
        <v>1189.0</v>
      </c>
      <c r="B3806" s="14">
        <v>8.0</v>
      </c>
      <c r="C3806" s="34">
        <v>11.26</v>
      </c>
      <c r="D3806" s="36">
        <v>45119.0</v>
      </c>
      <c r="E3806" s="24"/>
      <c r="F3806" s="14">
        <v>1.41</v>
      </c>
      <c r="G3806" s="14">
        <v>9.47</v>
      </c>
      <c r="H3806" s="14">
        <v>0.67</v>
      </c>
      <c r="I3806" s="14" t="s">
        <v>6051</v>
      </c>
      <c r="J3806" s="14">
        <v>0.0</v>
      </c>
      <c r="K3806" s="14" t="s">
        <v>6012</v>
      </c>
      <c r="L3806" s="14">
        <v>0.0</v>
      </c>
    </row>
    <row r="3807">
      <c r="A3807" s="14">
        <v>50.0</v>
      </c>
      <c r="B3807" s="14">
        <v>0.0</v>
      </c>
      <c r="C3807" s="34">
        <v>4.83</v>
      </c>
      <c r="D3807" s="36">
        <v>45119.0</v>
      </c>
      <c r="E3807" s="24"/>
      <c r="F3807" s="14" t="s">
        <v>6012</v>
      </c>
      <c r="G3807" s="14">
        <v>96.6</v>
      </c>
      <c r="H3807" s="14">
        <v>0.0</v>
      </c>
      <c r="I3807" s="14" t="s">
        <v>6058</v>
      </c>
      <c r="J3807" s="14" t="s">
        <v>6012</v>
      </c>
      <c r="K3807" s="14" t="s">
        <v>6012</v>
      </c>
      <c r="L3807" s="14">
        <v>0.0</v>
      </c>
    </row>
    <row r="3808">
      <c r="A3808" s="14">
        <v>656.0</v>
      </c>
      <c r="B3808" s="14">
        <v>9.0</v>
      </c>
      <c r="C3808" s="34">
        <v>8.9</v>
      </c>
      <c r="D3808" s="36">
        <v>45119.0</v>
      </c>
      <c r="E3808" s="24"/>
      <c r="F3808" s="14">
        <v>0.99</v>
      </c>
      <c r="G3808" s="14">
        <v>13.57</v>
      </c>
      <c r="H3808" s="14">
        <v>1.37</v>
      </c>
      <c r="I3808" s="14" t="s">
        <v>6060</v>
      </c>
      <c r="J3808" s="14">
        <v>22.22</v>
      </c>
      <c r="K3808" s="14">
        <v>4.45</v>
      </c>
      <c r="L3808" s="14">
        <v>0.0</v>
      </c>
    </row>
    <row r="3809">
      <c r="A3809" s="14">
        <v>149.0</v>
      </c>
      <c r="B3809" s="14">
        <v>2.0</v>
      </c>
      <c r="C3809" s="34">
        <v>12.56</v>
      </c>
      <c r="D3809" s="36">
        <v>45120.0</v>
      </c>
      <c r="E3809" s="24"/>
      <c r="F3809" s="14">
        <v>6.28</v>
      </c>
      <c r="G3809" s="14">
        <v>84.3</v>
      </c>
      <c r="H3809" s="14">
        <v>1.34</v>
      </c>
      <c r="I3809" s="14" t="s">
        <v>6061</v>
      </c>
      <c r="J3809" s="14">
        <v>50.0</v>
      </c>
      <c r="K3809" s="14">
        <v>12.56</v>
      </c>
      <c r="L3809" s="14">
        <v>0.0</v>
      </c>
    </row>
    <row r="3810">
      <c r="A3810" s="14">
        <v>151.0</v>
      </c>
      <c r="B3810" s="14">
        <v>0.0</v>
      </c>
      <c r="C3810" s="34">
        <v>13.48</v>
      </c>
      <c r="D3810" s="36">
        <v>45120.0</v>
      </c>
      <c r="E3810" s="24"/>
      <c r="F3810" s="14" t="s">
        <v>6012</v>
      </c>
      <c r="G3810" s="14">
        <v>89.27</v>
      </c>
      <c r="H3810" s="14">
        <v>0.0</v>
      </c>
      <c r="I3810" s="14" t="s">
        <v>6042</v>
      </c>
      <c r="J3810" s="14" t="s">
        <v>6012</v>
      </c>
      <c r="K3810" s="14" t="s">
        <v>6012</v>
      </c>
      <c r="L3810" s="14">
        <v>0.0</v>
      </c>
    </row>
    <row r="3811">
      <c r="A3811" s="14">
        <v>78.0</v>
      </c>
      <c r="B3811" s="14">
        <v>1.0</v>
      </c>
      <c r="C3811" s="34">
        <v>12.48</v>
      </c>
      <c r="D3811" s="36">
        <v>45120.0</v>
      </c>
      <c r="E3811" s="24"/>
      <c r="F3811" s="14">
        <v>12.48</v>
      </c>
      <c r="G3811" s="14">
        <v>160.0</v>
      </c>
      <c r="H3811" s="14">
        <v>1.28</v>
      </c>
      <c r="I3811" s="14" t="s">
        <v>6063</v>
      </c>
      <c r="J3811" s="14">
        <v>0.0</v>
      </c>
      <c r="K3811" s="14" t="s">
        <v>6012</v>
      </c>
      <c r="L3811" s="14">
        <v>0.0</v>
      </c>
    </row>
    <row r="3812">
      <c r="A3812" s="14">
        <v>9.0</v>
      </c>
      <c r="B3812" s="14">
        <v>3.0</v>
      </c>
      <c r="C3812" s="34">
        <v>6.75</v>
      </c>
      <c r="D3812" s="36">
        <v>45120.0</v>
      </c>
      <c r="E3812" s="24"/>
      <c r="F3812" s="14">
        <v>2.25</v>
      </c>
      <c r="G3812" s="14">
        <v>750.0</v>
      </c>
      <c r="H3812" s="14">
        <v>33.33</v>
      </c>
      <c r="I3812" s="14" t="s">
        <v>6064</v>
      </c>
      <c r="J3812" s="14">
        <v>0.0</v>
      </c>
      <c r="K3812" s="14" t="s">
        <v>6012</v>
      </c>
      <c r="L3812" s="14">
        <v>0.0</v>
      </c>
    </row>
    <row r="3813">
      <c r="A3813" s="14">
        <v>78.0</v>
      </c>
      <c r="B3813" s="14">
        <v>3.0</v>
      </c>
      <c r="C3813" s="34">
        <v>11.87</v>
      </c>
      <c r="D3813" s="36">
        <v>45120.0</v>
      </c>
      <c r="E3813" s="24"/>
      <c r="F3813" s="14">
        <v>3.96</v>
      </c>
      <c r="G3813" s="14">
        <v>152.18</v>
      </c>
      <c r="H3813" s="14">
        <v>3.85</v>
      </c>
      <c r="I3813" s="14" t="s">
        <v>6058</v>
      </c>
      <c r="J3813" s="14">
        <v>0.0</v>
      </c>
      <c r="K3813" s="14" t="s">
        <v>6012</v>
      </c>
      <c r="L3813" s="14">
        <v>0.0</v>
      </c>
    </row>
    <row r="3814">
      <c r="A3814" s="14">
        <v>120.0</v>
      </c>
      <c r="B3814" s="14">
        <v>0.0</v>
      </c>
      <c r="C3814" s="34">
        <v>12.6</v>
      </c>
      <c r="D3814" s="36">
        <v>45120.0</v>
      </c>
      <c r="E3814" s="24"/>
      <c r="F3814" s="14" t="s">
        <v>6012</v>
      </c>
      <c r="G3814" s="14">
        <v>105.0</v>
      </c>
      <c r="H3814" s="14">
        <v>0.0</v>
      </c>
      <c r="I3814" s="14" t="s">
        <v>6054</v>
      </c>
      <c r="J3814" s="14" t="s">
        <v>6012</v>
      </c>
      <c r="K3814" s="14" t="s">
        <v>6012</v>
      </c>
      <c r="L3814" s="14">
        <v>0.0</v>
      </c>
    </row>
    <row r="3815">
      <c r="A3815" s="14">
        <v>665.0</v>
      </c>
      <c r="B3815" s="14">
        <v>14.0</v>
      </c>
      <c r="C3815" s="34">
        <v>13.47</v>
      </c>
      <c r="D3815" s="36">
        <v>45120.0</v>
      </c>
      <c r="E3815" s="24"/>
      <c r="F3815" s="14">
        <v>0.96</v>
      </c>
      <c r="G3815" s="14">
        <v>20.26</v>
      </c>
      <c r="H3815" s="14">
        <v>2.11</v>
      </c>
      <c r="I3815" s="14" t="s">
        <v>6060</v>
      </c>
      <c r="J3815" s="14">
        <v>21.43</v>
      </c>
      <c r="K3815" s="14">
        <v>4.49</v>
      </c>
      <c r="L3815" s="14">
        <v>0.0</v>
      </c>
    </row>
    <row r="3816">
      <c r="A3816" s="14">
        <v>61.0</v>
      </c>
      <c r="B3816" s="14">
        <v>0.0</v>
      </c>
      <c r="C3816" s="34">
        <v>12.01</v>
      </c>
      <c r="D3816" s="36">
        <v>45120.0</v>
      </c>
      <c r="E3816" s="24"/>
      <c r="F3816" s="14" t="s">
        <v>6012</v>
      </c>
      <c r="G3816" s="14">
        <v>196.89</v>
      </c>
      <c r="H3816" s="14">
        <v>0.0</v>
      </c>
      <c r="I3816" s="14" t="s">
        <v>6057</v>
      </c>
      <c r="J3816" s="14" t="s">
        <v>6012</v>
      </c>
      <c r="K3816" s="14" t="s">
        <v>6012</v>
      </c>
      <c r="L3816" s="14">
        <v>0.0</v>
      </c>
    </row>
    <row r="3817">
      <c r="A3817" s="14">
        <v>1523.0</v>
      </c>
      <c r="B3817" s="14">
        <v>7.0</v>
      </c>
      <c r="C3817" s="34">
        <v>13.66</v>
      </c>
      <c r="D3817" s="36">
        <v>45120.0</v>
      </c>
      <c r="E3817" s="24"/>
      <c r="F3817" s="14">
        <v>1.95</v>
      </c>
      <c r="G3817" s="14">
        <v>8.97</v>
      </c>
      <c r="H3817" s="14">
        <v>0.46</v>
      </c>
      <c r="I3817" s="14" t="s">
        <v>6051</v>
      </c>
      <c r="J3817" s="14">
        <v>14.29</v>
      </c>
      <c r="K3817" s="14">
        <v>13.66</v>
      </c>
      <c r="L3817" s="14">
        <v>0.0</v>
      </c>
    </row>
    <row r="3818">
      <c r="A3818" s="14">
        <v>2296.0</v>
      </c>
      <c r="B3818" s="14">
        <v>8.0</v>
      </c>
      <c r="C3818" s="34">
        <v>12.05</v>
      </c>
      <c r="D3818" s="36">
        <v>45120.0</v>
      </c>
      <c r="E3818" s="24"/>
      <c r="F3818" s="14">
        <v>1.51</v>
      </c>
      <c r="G3818" s="14">
        <v>5.25</v>
      </c>
      <c r="H3818" s="14">
        <v>0.35</v>
      </c>
      <c r="I3818" s="14" t="s">
        <v>6050</v>
      </c>
      <c r="J3818" s="14">
        <v>25.0</v>
      </c>
      <c r="K3818" s="14">
        <v>6.02</v>
      </c>
      <c r="L3818" s="14">
        <v>0.0</v>
      </c>
    </row>
    <row r="3819">
      <c r="A3819" s="14">
        <v>293.0</v>
      </c>
      <c r="B3819" s="14">
        <v>1.0</v>
      </c>
      <c r="C3819" s="34">
        <v>14.54</v>
      </c>
      <c r="D3819" s="36">
        <v>45120.0</v>
      </c>
      <c r="E3819" s="24"/>
      <c r="F3819" s="14">
        <v>14.54</v>
      </c>
      <c r="G3819" s="14">
        <v>49.62</v>
      </c>
      <c r="H3819" s="14">
        <v>0.34</v>
      </c>
      <c r="I3819" s="14" t="s">
        <v>6062</v>
      </c>
      <c r="J3819" s="14">
        <v>200.0</v>
      </c>
      <c r="K3819" s="14">
        <v>7.27</v>
      </c>
      <c r="L3819" s="14">
        <v>0.0</v>
      </c>
    </row>
    <row r="3820">
      <c r="A3820" s="14">
        <v>48.0</v>
      </c>
      <c r="B3820" s="14">
        <v>1.0</v>
      </c>
      <c r="C3820" s="34">
        <v>13.83</v>
      </c>
      <c r="D3820" s="36">
        <v>45120.0</v>
      </c>
      <c r="E3820" s="24"/>
      <c r="F3820" s="14">
        <v>13.83</v>
      </c>
      <c r="G3820" s="14">
        <v>288.12</v>
      </c>
      <c r="H3820" s="14">
        <v>2.08</v>
      </c>
      <c r="I3820" s="14" t="s">
        <v>6059</v>
      </c>
      <c r="J3820" s="14">
        <v>0.0</v>
      </c>
      <c r="K3820" s="14" t="s">
        <v>6012</v>
      </c>
      <c r="L3820" s="14">
        <v>0.0</v>
      </c>
    </row>
    <row r="3821">
      <c r="A3821" s="14">
        <v>169.0</v>
      </c>
      <c r="B3821" s="14">
        <v>0.0</v>
      </c>
      <c r="C3821" s="34">
        <v>10.08</v>
      </c>
      <c r="D3821" s="36">
        <v>45121.0</v>
      </c>
      <c r="E3821" s="24"/>
      <c r="F3821" s="14" t="s">
        <v>6012</v>
      </c>
      <c r="G3821" s="14">
        <v>59.64</v>
      </c>
      <c r="H3821" s="14">
        <v>0.0</v>
      </c>
      <c r="I3821" s="14" t="s">
        <v>6062</v>
      </c>
      <c r="J3821" s="14" t="s">
        <v>6012</v>
      </c>
      <c r="K3821" s="14">
        <v>10.08</v>
      </c>
      <c r="L3821" s="14">
        <v>0.0</v>
      </c>
    </row>
    <row r="3822">
      <c r="A3822" s="14">
        <v>8.0</v>
      </c>
      <c r="B3822" s="14">
        <v>3.0</v>
      </c>
      <c r="C3822" s="34">
        <v>6.0</v>
      </c>
      <c r="D3822" s="36">
        <v>45121.0</v>
      </c>
      <c r="E3822" s="24"/>
      <c r="F3822" s="14">
        <v>2.0</v>
      </c>
      <c r="G3822" s="14">
        <v>750.0</v>
      </c>
      <c r="H3822" s="14">
        <v>37.5</v>
      </c>
      <c r="I3822" s="14" t="s">
        <v>6064</v>
      </c>
      <c r="J3822" s="14">
        <v>0.0</v>
      </c>
      <c r="K3822" s="14" t="s">
        <v>6012</v>
      </c>
      <c r="L3822" s="14">
        <v>0.0</v>
      </c>
    </row>
    <row r="3823">
      <c r="A3823" s="14">
        <v>134.0</v>
      </c>
      <c r="B3823" s="14">
        <v>1.0</v>
      </c>
      <c r="C3823" s="34">
        <v>14.17</v>
      </c>
      <c r="D3823" s="36">
        <v>45121.0</v>
      </c>
      <c r="E3823" s="24"/>
      <c r="F3823" s="14">
        <v>14.17</v>
      </c>
      <c r="G3823" s="14">
        <v>105.75</v>
      </c>
      <c r="H3823" s="14">
        <v>0.75</v>
      </c>
      <c r="I3823" s="14" t="s">
        <v>6063</v>
      </c>
      <c r="J3823" s="14">
        <v>0.0</v>
      </c>
      <c r="K3823" s="14" t="s">
        <v>6012</v>
      </c>
      <c r="L3823" s="14">
        <v>0.0</v>
      </c>
    </row>
    <row r="3824">
      <c r="A3824" s="14">
        <v>64.0</v>
      </c>
      <c r="B3824" s="14">
        <v>0.0</v>
      </c>
      <c r="C3824" s="34">
        <v>15.0</v>
      </c>
      <c r="D3824" s="36">
        <v>45121.0</v>
      </c>
      <c r="E3824" s="24"/>
      <c r="F3824" s="14" t="s">
        <v>6012</v>
      </c>
      <c r="G3824" s="14">
        <v>234.38</v>
      </c>
      <c r="H3824" s="14">
        <v>0.0</v>
      </c>
      <c r="I3824" s="14" t="s">
        <v>6057</v>
      </c>
      <c r="J3824" s="14" t="s">
        <v>6012</v>
      </c>
      <c r="K3824" s="14" t="s">
        <v>6012</v>
      </c>
      <c r="L3824" s="14">
        <v>0.0</v>
      </c>
    </row>
    <row r="3825">
      <c r="A3825" s="14">
        <v>1969.0</v>
      </c>
      <c r="B3825" s="14">
        <v>6.0</v>
      </c>
      <c r="C3825" s="34">
        <v>11.11</v>
      </c>
      <c r="D3825" s="36">
        <v>45121.0</v>
      </c>
      <c r="E3825" s="24"/>
      <c r="F3825" s="14">
        <v>1.85</v>
      </c>
      <c r="G3825" s="14">
        <v>5.64</v>
      </c>
      <c r="H3825" s="14">
        <v>0.3</v>
      </c>
      <c r="I3825" s="14" t="s">
        <v>6050</v>
      </c>
      <c r="J3825" s="14">
        <v>16.67</v>
      </c>
      <c r="K3825" s="14">
        <v>11.11</v>
      </c>
      <c r="L3825" s="14">
        <v>0.0</v>
      </c>
    </row>
    <row r="3826">
      <c r="A3826" s="14">
        <v>265.0</v>
      </c>
      <c r="B3826" s="14">
        <v>2.0</v>
      </c>
      <c r="C3826" s="34">
        <v>15.7</v>
      </c>
      <c r="D3826" s="36">
        <v>45121.0</v>
      </c>
      <c r="E3826" s="24"/>
      <c r="F3826" s="14">
        <v>7.85</v>
      </c>
      <c r="G3826" s="14">
        <v>59.25</v>
      </c>
      <c r="H3826" s="14">
        <v>0.75</v>
      </c>
      <c r="I3826" s="14" t="s">
        <v>6042</v>
      </c>
      <c r="J3826" s="14">
        <v>0.0</v>
      </c>
      <c r="K3826" s="14" t="s">
        <v>6012</v>
      </c>
      <c r="L3826" s="14">
        <v>0.0</v>
      </c>
    </row>
    <row r="3827">
      <c r="A3827" s="14">
        <v>1156.0</v>
      </c>
      <c r="B3827" s="14">
        <v>8.0</v>
      </c>
      <c r="C3827" s="34">
        <v>12.1</v>
      </c>
      <c r="D3827" s="36">
        <v>45121.0</v>
      </c>
      <c r="E3827" s="24"/>
      <c r="F3827" s="14">
        <v>1.51</v>
      </c>
      <c r="G3827" s="14">
        <v>10.47</v>
      </c>
      <c r="H3827" s="14">
        <v>0.69</v>
      </c>
      <c r="I3827" s="14" t="s">
        <v>6051</v>
      </c>
      <c r="J3827" s="14">
        <v>0.0</v>
      </c>
      <c r="K3827" s="14" t="s">
        <v>6012</v>
      </c>
      <c r="L3827" s="14">
        <v>0.0</v>
      </c>
    </row>
    <row r="3828">
      <c r="A3828" s="14">
        <v>173.0</v>
      </c>
      <c r="B3828" s="14">
        <v>0.0</v>
      </c>
      <c r="C3828" s="34">
        <v>11.14</v>
      </c>
      <c r="D3828" s="36">
        <v>45121.0</v>
      </c>
      <c r="E3828" s="24"/>
      <c r="F3828" s="14" t="s">
        <v>6012</v>
      </c>
      <c r="G3828" s="14">
        <v>64.39</v>
      </c>
      <c r="H3828" s="14">
        <v>0.0</v>
      </c>
      <c r="I3828" s="14" t="s">
        <v>6054</v>
      </c>
      <c r="J3828" s="14" t="s">
        <v>6012</v>
      </c>
      <c r="K3828" s="14" t="s">
        <v>6012</v>
      </c>
      <c r="L3828" s="14">
        <v>0.0</v>
      </c>
    </row>
    <row r="3829">
      <c r="A3829" s="14">
        <v>107.0</v>
      </c>
      <c r="B3829" s="14">
        <v>0.0</v>
      </c>
      <c r="C3829" s="34">
        <v>13.6</v>
      </c>
      <c r="D3829" s="36">
        <v>45121.0</v>
      </c>
      <c r="E3829" s="24"/>
      <c r="F3829" s="14" t="s">
        <v>6012</v>
      </c>
      <c r="G3829" s="14">
        <v>127.1</v>
      </c>
      <c r="H3829" s="14">
        <v>0.0</v>
      </c>
      <c r="I3829" s="14" t="s">
        <v>6058</v>
      </c>
      <c r="J3829" s="14" t="s">
        <v>6012</v>
      </c>
      <c r="K3829" s="14" t="s">
        <v>6012</v>
      </c>
      <c r="L3829" s="14">
        <v>0.0</v>
      </c>
    </row>
    <row r="3830">
      <c r="A3830" s="14">
        <v>48.0</v>
      </c>
      <c r="B3830" s="14">
        <v>0.0</v>
      </c>
      <c r="C3830" s="34">
        <v>10.32</v>
      </c>
      <c r="D3830" s="36">
        <v>45121.0</v>
      </c>
      <c r="E3830" s="24"/>
      <c r="F3830" s="14" t="s">
        <v>6012</v>
      </c>
      <c r="G3830" s="14">
        <v>215.0</v>
      </c>
      <c r="H3830" s="14">
        <v>0.0</v>
      </c>
      <c r="I3830" s="14" t="s">
        <v>6059</v>
      </c>
      <c r="J3830" s="14" t="s">
        <v>6012</v>
      </c>
      <c r="K3830" s="14" t="s">
        <v>6012</v>
      </c>
      <c r="L3830" s="14">
        <v>0.0</v>
      </c>
    </row>
    <row r="3831">
      <c r="A3831" s="14">
        <v>571.0</v>
      </c>
      <c r="B3831" s="14">
        <v>11.0</v>
      </c>
      <c r="C3831" s="34">
        <v>11.81</v>
      </c>
      <c r="D3831" s="36">
        <v>45121.0</v>
      </c>
      <c r="E3831" s="24"/>
      <c r="F3831" s="14">
        <v>1.07</v>
      </c>
      <c r="G3831" s="14">
        <v>20.68</v>
      </c>
      <c r="H3831" s="14">
        <v>1.93</v>
      </c>
      <c r="I3831" s="14" t="s">
        <v>6060</v>
      </c>
      <c r="J3831" s="14">
        <v>9.09</v>
      </c>
      <c r="K3831" s="14">
        <v>11.81</v>
      </c>
      <c r="L3831" s="14">
        <v>0.0</v>
      </c>
    </row>
    <row r="3832">
      <c r="A3832" s="14">
        <v>135.0</v>
      </c>
      <c r="B3832" s="14">
        <v>0.0</v>
      </c>
      <c r="C3832" s="34">
        <v>13.66</v>
      </c>
      <c r="D3832" s="36">
        <v>45121.0</v>
      </c>
      <c r="E3832" s="24"/>
      <c r="F3832" s="14" t="s">
        <v>6012</v>
      </c>
      <c r="G3832" s="14">
        <v>101.19</v>
      </c>
      <c r="H3832" s="14">
        <v>0.0</v>
      </c>
      <c r="I3832" s="14" t="s">
        <v>6061</v>
      </c>
      <c r="J3832" s="14" t="s">
        <v>6012</v>
      </c>
      <c r="K3832" s="14" t="s">
        <v>6012</v>
      </c>
      <c r="L3832" s="14">
        <v>0.0</v>
      </c>
    </row>
    <row r="3833">
      <c r="A3833" s="14">
        <v>816.0</v>
      </c>
      <c r="B3833" s="14">
        <v>3.0</v>
      </c>
      <c r="C3833" s="34">
        <v>7.78</v>
      </c>
      <c r="D3833" s="36">
        <v>45122.0</v>
      </c>
      <c r="E3833" s="24"/>
      <c r="F3833" s="14">
        <v>2.59</v>
      </c>
      <c r="G3833" s="14">
        <v>9.53</v>
      </c>
      <c r="H3833" s="14">
        <v>0.37</v>
      </c>
      <c r="I3833" s="14" t="s">
        <v>6051</v>
      </c>
      <c r="J3833" s="14">
        <v>0.0</v>
      </c>
      <c r="K3833" s="14" t="s">
        <v>6012</v>
      </c>
      <c r="L3833" s="14">
        <v>0.0</v>
      </c>
    </row>
    <row r="3834">
      <c r="A3834" s="14">
        <v>985.0</v>
      </c>
      <c r="B3834" s="14">
        <v>4.0</v>
      </c>
      <c r="C3834" s="34">
        <v>7.76</v>
      </c>
      <c r="D3834" s="36">
        <v>45122.0</v>
      </c>
      <c r="E3834" s="24"/>
      <c r="F3834" s="14">
        <v>1.94</v>
      </c>
      <c r="G3834" s="14">
        <v>7.88</v>
      </c>
      <c r="H3834" s="14">
        <v>0.41</v>
      </c>
      <c r="I3834" s="14" t="s">
        <v>6050</v>
      </c>
      <c r="J3834" s="14">
        <v>50.0</v>
      </c>
      <c r="K3834" s="14">
        <v>3.88</v>
      </c>
      <c r="L3834" s="14">
        <v>0.0</v>
      </c>
    </row>
    <row r="3835">
      <c r="A3835" s="14">
        <v>122.0</v>
      </c>
      <c r="B3835" s="14">
        <v>0.0</v>
      </c>
      <c r="C3835" s="34">
        <v>12.2</v>
      </c>
      <c r="D3835" s="36">
        <v>45122.0</v>
      </c>
      <c r="E3835" s="24"/>
      <c r="F3835" s="14" t="s">
        <v>6012</v>
      </c>
      <c r="G3835" s="14">
        <v>100.0</v>
      </c>
      <c r="H3835" s="14">
        <v>0.0</v>
      </c>
      <c r="I3835" s="14" t="s">
        <v>6054</v>
      </c>
      <c r="J3835" s="14" t="s">
        <v>6012</v>
      </c>
      <c r="K3835" s="14">
        <v>12.2</v>
      </c>
      <c r="L3835" s="14">
        <v>0.0</v>
      </c>
    </row>
    <row r="3836">
      <c r="A3836" s="14">
        <v>56.0</v>
      </c>
      <c r="B3836" s="14">
        <v>0.0</v>
      </c>
      <c r="C3836" s="34">
        <v>9.72</v>
      </c>
      <c r="D3836" s="36">
        <v>45122.0</v>
      </c>
      <c r="E3836" s="24"/>
      <c r="F3836" s="14" t="s">
        <v>6012</v>
      </c>
      <c r="G3836" s="14">
        <v>173.57</v>
      </c>
      <c r="H3836" s="14">
        <v>0.0</v>
      </c>
      <c r="I3836" s="14" t="s">
        <v>6063</v>
      </c>
      <c r="J3836" s="14" t="s">
        <v>6012</v>
      </c>
      <c r="K3836" s="14" t="s">
        <v>6012</v>
      </c>
      <c r="L3836" s="14">
        <v>0.0</v>
      </c>
    </row>
    <row r="3837">
      <c r="A3837" s="14">
        <v>2.0</v>
      </c>
      <c r="B3837" s="14">
        <v>0.0</v>
      </c>
      <c r="C3837" s="34">
        <v>1.5</v>
      </c>
      <c r="D3837" s="36">
        <v>45122.0</v>
      </c>
      <c r="E3837" s="24"/>
      <c r="F3837" s="14" t="s">
        <v>6012</v>
      </c>
      <c r="G3837" s="14">
        <v>750.0</v>
      </c>
      <c r="H3837" s="14">
        <v>0.0</v>
      </c>
      <c r="I3837" s="14" t="s">
        <v>6064</v>
      </c>
      <c r="J3837" s="14" t="s">
        <v>6012</v>
      </c>
      <c r="K3837" s="14" t="s">
        <v>6012</v>
      </c>
      <c r="L3837" s="14">
        <v>0.0</v>
      </c>
    </row>
    <row r="3838">
      <c r="A3838" s="14">
        <v>331.0</v>
      </c>
      <c r="B3838" s="14">
        <v>7.0</v>
      </c>
      <c r="C3838" s="34">
        <v>5.6</v>
      </c>
      <c r="D3838" s="36">
        <v>45122.0</v>
      </c>
      <c r="E3838" s="24"/>
      <c r="F3838" s="14">
        <v>0.8</v>
      </c>
      <c r="G3838" s="14">
        <v>16.92</v>
      </c>
      <c r="H3838" s="14">
        <v>2.11</v>
      </c>
      <c r="I3838" s="14" t="s">
        <v>6060</v>
      </c>
      <c r="J3838" s="14">
        <v>28.57</v>
      </c>
      <c r="K3838" s="14">
        <v>2.8</v>
      </c>
      <c r="L3838" s="14">
        <v>0.0</v>
      </c>
    </row>
    <row r="3839">
      <c r="A3839" s="14">
        <v>241.0</v>
      </c>
      <c r="B3839" s="14">
        <v>2.0</v>
      </c>
      <c r="C3839" s="34">
        <v>9.52</v>
      </c>
      <c r="D3839" s="36">
        <v>45122.0</v>
      </c>
      <c r="E3839" s="24"/>
      <c r="F3839" s="14">
        <v>4.76</v>
      </c>
      <c r="G3839" s="14">
        <v>39.5</v>
      </c>
      <c r="H3839" s="14">
        <v>0.83</v>
      </c>
      <c r="I3839" s="14" t="s">
        <v>6062</v>
      </c>
      <c r="J3839" s="14">
        <v>100.0</v>
      </c>
      <c r="K3839" s="14">
        <v>4.76</v>
      </c>
      <c r="L3839" s="14">
        <v>0.0</v>
      </c>
    </row>
    <row r="3840">
      <c r="A3840" s="14">
        <v>24.0</v>
      </c>
      <c r="B3840" s="14">
        <v>0.0</v>
      </c>
      <c r="C3840" s="34">
        <v>11.4</v>
      </c>
      <c r="D3840" s="36">
        <v>45122.0</v>
      </c>
      <c r="E3840" s="24"/>
      <c r="F3840" s="14" t="s">
        <v>6012</v>
      </c>
      <c r="G3840" s="14">
        <v>475.0</v>
      </c>
      <c r="H3840" s="14">
        <v>0.0</v>
      </c>
      <c r="I3840" s="14" t="s">
        <v>6061</v>
      </c>
      <c r="J3840" s="14" t="s">
        <v>6012</v>
      </c>
      <c r="K3840" s="14" t="s">
        <v>6012</v>
      </c>
      <c r="L3840" s="14">
        <v>0.0</v>
      </c>
    </row>
    <row r="3841">
      <c r="A3841" s="14">
        <v>60.0</v>
      </c>
      <c r="B3841" s="14">
        <v>0.0</v>
      </c>
      <c r="C3841" s="34">
        <v>6.95</v>
      </c>
      <c r="D3841" s="36">
        <v>45122.0</v>
      </c>
      <c r="E3841" s="24"/>
      <c r="F3841" s="14" t="s">
        <v>6012</v>
      </c>
      <c r="G3841" s="14">
        <v>115.83</v>
      </c>
      <c r="H3841" s="14">
        <v>0.0</v>
      </c>
      <c r="I3841" s="14" t="s">
        <v>6058</v>
      </c>
      <c r="J3841" s="14" t="s">
        <v>6012</v>
      </c>
      <c r="K3841" s="14">
        <v>6.95</v>
      </c>
      <c r="L3841" s="14">
        <v>0.0</v>
      </c>
    </row>
    <row r="3842">
      <c r="A3842" s="14">
        <v>69.0</v>
      </c>
      <c r="B3842" s="14">
        <v>0.0</v>
      </c>
      <c r="C3842" s="34">
        <v>8.95</v>
      </c>
      <c r="D3842" s="36">
        <v>45122.0</v>
      </c>
      <c r="E3842" s="24"/>
      <c r="F3842" s="14" t="s">
        <v>6012</v>
      </c>
      <c r="G3842" s="14">
        <v>129.71</v>
      </c>
      <c r="H3842" s="14">
        <v>0.0</v>
      </c>
      <c r="I3842" s="14" t="s">
        <v>6042</v>
      </c>
      <c r="J3842" s="14" t="s">
        <v>6012</v>
      </c>
      <c r="K3842" s="14" t="s">
        <v>6012</v>
      </c>
      <c r="L3842" s="14">
        <v>0.0</v>
      </c>
    </row>
    <row r="3843">
      <c r="A3843" s="14">
        <v>30.0</v>
      </c>
      <c r="B3843" s="14">
        <v>0.0</v>
      </c>
      <c r="C3843" s="34">
        <v>11.83</v>
      </c>
      <c r="D3843" s="36">
        <v>45122.0</v>
      </c>
      <c r="E3843" s="24"/>
      <c r="F3843" s="14" t="s">
        <v>6012</v>
      </c>
      <c r="G3843" s="14">
        <v>394.33</v>
      </c>
      <c r="H3843" s="14">
        <v>0.0</v>
      </c>
      <c r="I3843" s="14" t="s">
        <v>6059</v>
      </c>
      <c r="J3843" s="14" t="s">
        <v>6012</v>
      </c>
      <c r="K3843" s="14" t="s">
        <v>6012</v>
      </c>
      <c r="L3843" s="14">
        <v>0.0</v>
      </c>
    </row>
    <row r="3844">
      <c r="A3844" s="14">
        <v>0.0</v>
      </c>
      <c r="B3844" s="14">
        <v>2.0</v>
      </c>
      <c r="C3844" s="34">
        <v>0.0</v>
      </c>
      <c r="D3844" s="36">
        <v>45123.0</v>
      </c>
      <c r="E3844" s="24"/>
      <c r="F3844" s="14">
        <v>0.0</v>
      </c>
      <c r="G3844" s="14" t="s">
        <v>6012</v>
      </c>
      <c r="H3844" s="14" t="s">
        <v>6012</v>
      </c>
      <c r="I3844" s="14" t="s">
        <v>6064</v>
      </c>
      <c r="J3844" s="14">
        <v>0.0</v>
      </c>
      <c r="K3844" s="14" t="s">
        <v>6012</v>
      </c>
      <c r="L3844" s="14">
        <v>0.0</v>
      </c>
    </row>
    <row r="3845">
      <c r="A3845" s="14">
        <v>0.0</v>
      </c>
      <c r="B3845" s="14">
        <v>0.0</v>
      </c>
      <c r="C3845" s="34"/>
      <c r="D3845" s="36">
        <v>45123.0</v>
      </c>
      <c r="E3845" s="24"/>
      <c r="F3845" s="14" t="s">
        <v>6012</v>
      </c>
      <c r="G3845" s="14" t="s">
        <v>6012</v>
      </c>
      <c r="H3845" s="14" t="s">
        <v>6012</v>
      </c>
      <c r="I3845" s="14" t="s">
        <v>6063</v>
      </c>
      <c r="J3845" s="14" t="s">
        <v>6012</v>
      </c>
      <c r="K3845" s="14" t="s">
        <v>6012</v>
      </c>
      <c r="L3845" s="14"/>
    </row>
    <row r="3846">
      <c r="A3846" s="14">
        <v>743.0</v>
      </c>
      <c r="B3846" s="14">
        <v>2.0</v>
      </c>
      <c r="C3846" s="34">
        <v>4.02</v>
      </c>
      <c r="D3846" s="36">
        <v>45123.0</v>
      </c>
      <c r="E3846" s="24"/>
      <c r="F3846" s="14">
        <v>2.01</v>
      </c>
      <c r="G3846" s="14">
        <v>5.41</v>
      </c>
      <c r="H3846" s="14">
        <v>0.27</v>
      </c>
      <c r="I3846" s="14" t="s">
        <v>6050</v>
      </c>
      <c r="J3846" s="14">
        <v>100.0</v>
      </c>
      <c r="K3846" s="14">
        <v>2.01</v>
      </c>
      <c r="L3846" s="14">
        <v>0.0</v>
      </c>
    </row>
    <row r="3847">
      <c r="A3847" s="14">
        <v>0.0</v>
      </c>
      <c r="B3847" s="14">
        <v>0.0</v>
      </c>
      <c r="C3847" s="34"/>
      <c r="D3847" s="36">
        <v>45123.0</v>
      </c>
      <c r="E3847" s="24"/>
      <c r="F3847" s="14" t="s">
        <v>6012</v>
      </c>
      <c r="G3847" s="14" t="s">
        <v>6012</v>
      </c>
      <c r="H3847" s="14" t="s">
        <v>6012</v>
      </c>
      <c r="I3847" s="14" t="s">
        <v>6062</v>
      </c>
      <c r="J3847" s="14" t="s">
        <v>6012</v>
      </c>
      <c r="K3847" s="14" t="s">
        <v>6012</v>
      </c>
      <c r="L3847" s="14"/>
    </row>
    <row r="3848">
      <c r="A3848" s="14">
        <v>566.0</v>
      </c>
      <c r="B3848" s="14">
        <v>6.0</v>
      </c>
      <c r="C3848" s="34">
        <v>5.0</v>
      </c>
      <c r="D3848" s="36">
        <v>45123.0</v>
      </c>
      <c r="E3848" s="24"/>
      <c r="F3848" s="14">
        <v>0.83</v>
      </c>
      <c r="G3848" s="14">
        <v>8.83</v>
      </c>
      <c r="H3848" s="14">
        <v>1.06</v>
      </c>
      <c r="I3848" s="14" t="s">
        <v>6051</v>
      </c>
      <c r="J3848" s="14">
        <v>16.67</v>
      </c>
      <c r="K3848" s="14">
        <v>5.0</v>
      </c>
      <c r="L3848" s="14">
        <v>0.0</v>
      </c>
    </row>
    <row r="3849">
      <c r="A3849" s="14">
        <v>313.0</v>
      </c>
      <c r="B3849" s="14">
        <v>2.0</v>
      </c>
      <c r="C3849" s="34">
        <v>4.95</v>
      </c>
      <c r="D3849" s="36">
        <v>45123.0</v>
      </c>
      <c r="E3849" s="24"/>
      <c r="F3849" s="14">
        <v>2.48</v>
      </c>
      <c r="G3849" s="14">
        <v>15.81</v>
      </c>
      <c r="H3849" s="14">
        <v>0.64</v>
      </c>
      <c r="I3849" s="14" t="s">
        <v>6060</v>
      </c>
      <c r="J3849" s="14">
        <v>50.0</v>
      </c>
      <c r="K3849" s="14">
        <v>4.95</v>
      </c>
      <c r="L3849" s="14">
        <v>0.0</v>
      </c>
    </row>
    <row r="3850">
      <c r="A3850" s="14">
        <v>62.0</v>
      </c>
      <c r="B3850" s="14">
        <v>0.0</v>
      </c>
      <c r="C3850" s="34">
        <v>7.16</v>
      </c>
      <c r="D3850" s="36">
        <v>45123.0</v>
      </c>
      <c r="E3850" s="24"/>
      <c r="F3850" s="14" t="s">
        <v>6012</v>
      </c>
      <c r="G3850" s="14">
        <v>115.48</v>
      </c>
      <c r="H3850" s="14">
        <v>0.0</v>
      </c>
      <c r="I3850" s="14" t="s">
        <v>6058</v>
      </c>
      <c r="J3850" s="14" t="s">
        <v>6012</v>
      </c>
      <c r="K3850" s="14">
        <v>7.16</v>
      </c>
      <c r="L3850" s="14">
        <v>0.0</v>
      </c>
    </row>
    <row r="3851">
      <c r="A3851" s="14">
        <v>0.0</v>
      </c>
      <c r="B3851" s="14">
        <v>0.0</v>
      </c>
      <c r="C3851" s="34"/>
      <c r="D3851" s="36">
        <v>45123.0</v>
      </c>
      <c r="E3851" s="24"/>
      <c r="F3851" s="14" t="s">
        <v>6012</v>
      </c>
      <c r="G3851" s="14" t="s">
        <v>6012</v>
      </c>
      <c r="H3851" s="14" t="s">
        <v>6012</v>
      </c>
      <c r="I3851" s="14" t="s">
        <v>6042</v>
      </c>
      <c r="J3851" s="14" t="s">
        <v>6012</v>
      </c>
      <c r="K3851" s="14" t="s">
        <v>6012</v>
      </c>
      <c r="L3851" s="14"/>
    </row>
    <row r="3852">
      <c r="A3852" s="14">
        <v>74.0</v>
      </c>
      <c r="B3852" s="14">
        <v>1.0</v>
      </c>
      <c r="C3852" s="34">
        <v>10.62</v>
      </c>
      <c r="D3852" s="36">
        <v>45124.0</v>
      </c>
      <c r="E3852" s="24"/>
      <c r="F3852" s="14">
        <v>10.62</v>
      </c>
      <c r="G3852" s="14">
        <v>143.51</v>
      </c>
      <c r="H3852" s="14">
        <v>1.35</v>
      </c>
      <c r="I3852" s="14" t="s">
        <v>6063</v>
      </c>
      <c r="J3852" s="14">
        <v>0.0</v>
      </c>
      <c r="K3852" s="14" t="s">
        <v>6012</v>
      </c>
      <c r="L3852" s="14">
        <v>0.0</v>
      </c>
    </row>
    <row r="3853">
      <c r="A3853" s="14">
        <v>43.0</v>
      </c>
      <c r="B3853" s="14">
        <v>2.0</v>
      </c>
      <c r="C3853" s="34">
        <v>11.24</v>
      </c>
      <c r="D3853" s="36">
        <v>45124.0</v>
      </c>
      <c r="E3853" s="24"/>
      <c r="F3853" s="14">
        <v>5.62</v>
      </c>
      <c r="G3853" s="14">
        <v>261.4</v>
      </c>
      <c r="H3853" s="14">
        <v>4.65</v>
      </c>
      <c r="I3853" s="14" t="s">
        <v>6061</v>
      </c>
      <c r="J3853" s="14">
        <v>50.0</v>
      </c>
      <c r="K3853" s="14">
        <v>11.24</v>
      </c>
      <c r="L3853" s="14">
        <v>0.0</v>
      </c>
    </row>
    <row r="3854">
      <c r="A3854" s="14">
        <v>87.0</v>
      </c>
      <c r="B3854" s="14">
        <v>1.0</v>
      </c>
      <c r="C3854" s="34">
        <v>11.09</v>
      </c>
      <c r="D3854" s="36">
        <v>45124.0</v>
      </c>
      <c r="E3854" s="24"/>
      <c r="F3854" s="14">
        <v>11.09</v>
      </c>
      <c r="G3854" s="14">
        <v>127.47</v>
      </c>
      <c r="H3854" s="14">
        <v>1.15</v>
      </c>
      <c r="I3854" s="14" t="s">
        <v>6057</v>
      </c>
      <c r="J3854" s="14">
        <v>0.0</v>
      </c>
      <c r="K3854" s="14" t="s">
        <v>6012</v>
      </c>
      <c r="L3854" s="14">
        <v>0.0</v>
      </c>
    </row>
    <row r="3855">
      <c r="A3855" s="14">
        <v>2513.0</v>
      </c>
      <c r="B3855" s="14">
        <v>14.0</v>
      </c>
      <c r="C3855" s="34">
        <v>11.38</v>
      </c>
      <c r="D3855" s="36">
        <v>45124.0</v>
      </c>
      <c r="E3855" s="24"/>
      <c r="F3855" s="14">
        <v>0.81</v>
      </c>
      <c r="G3855" s="14">
        <v>4.53</v>
      </c>
      <c r="H3855" s="14">
        <v>0.56</v>
      </c>
      <c r="I3855" s="14" t="s">
        <v>6050</v>
      </c>
      <c r="J3855" s="14">
        <v>50.0</v>
      </c>
      <c r="K3855" s="14">
        <v>1.63</v>
      </c>
      <c r="L3855" s="14">
        <v>0.0</v>
      </c>
    </row>
    <row r="3856">
      <c r="A3856" s="14">
        <v>779.0</v>
      </c>
      <c r="B3856" s="14">
        <v>9.0</v>
      </c>
      <c r="C3856" s="34">
        <v>12.01</v>
      </c>
      <c r="D3856" s="36">
        <v>45124.0</v>
      </c>
      <c r="E3856" s="24"/>
      <c r="F3856" s="14">
        <v>1.33</v>
      </c>
      <c r="G3856" s="14">
        <v>15.42</v>
      </c>
      <c r="H3856" s="14">
        <v>1.16</v>
      </c>
      <c r="I3856" s="14" t="s">
        <v>6060</v>
      </c>
      <c r="J3856" s="14">
        <v>11.11</v>
      </c>
      <c r="K3856" s="14">
        <v>12.01</v>
      </c>
      <c r="L3856" s="14">
        <v>0.0</v>
      </c>
    </row>
    <row r="3857">
      <c r="A3857" s="14">
        <v>1165.0</v>
      </c>
      <c r="B3857" s="14">
        <v>4.0</v>
      </c>
      <c r="C3857" s="34">
        <v>9.77</v>
      </c>
      <c r="D3857" s="36">
        <v>45124.0</v>
      </c>
      <c r="E3857" s="24"/>
      <c r="F3857" s="14">
        <v>2.44</v>
      </c>
      <c r="G3857" s="14">
        <v>8.39</v>
      </c>
      <c r="H3857" s="14">
        <v>0.34</v>
      </c>
      <c r="I3857" s="14" t="s">
        <v>6051</v>
      </c>
      <c r="J3857" s="14">
        <v>0.0</v>
      </c>
      <c r="K3857" s="14" t="s">
        <v>6012</v>
      </c>
      <c r="L3857" s="14">
        <v>0.0</v>
      </c>
    </row>
    <row r="3858">
      <c r="A3858" s="14">
        <v>136.0</v>
      </c>
      <c r="B3858" s="14">
        <v>2.0</v>
      </c>
      <c r="C3858" s="34">
        <v>12.07</v>
      </c>
      <c r="D3858" s="36">
        <v>45124.0</v>
      </c>
      <c r="E3858" s="24"/>
      <c r="F3858" s="14">
        <v>6.04</v>
      </c>
      <c r="G3858" s="14">
        <v>88.75</v>
      </c>
      <c r="H3858" s="14">
        <v>1.47</v>
      </c>
      <c r="I3858" s="14" t="s">
        <v>6058</v>
      </c>
      <c r="J3858" s="14">
        <v>0.0</v>
      </c>
      <c r="K3858" s="14" t="s">
        <v>6012</v>
      </c>
      <c r="L3858" s="14">
        <v>0.0</v>
      </c>
    </row>
    <row r="3859">
      <c r="A3859" s="14">
        <v>15.0</v>
      </c>
      <c r="B3859" s="14">
        <v>5.0</v>
      </c>
      <c r="C3859" s="34">
        <v>11.25</v>
      </c>
      <c r="D3859" s="36">
        <v>45124.0</v>
      </c>
      <c r="E3859" s="24"/>
      <c r="F3859" s="14">
        <v>2.25</v>
      </c>
      <c r="G3859" s="14">
        <v>750.0</v>
      </c>
      <c r="H3859" s="14">
        <v>33.33</v>
      </c>
      <c r="I3859" s="14" t="s">
        <v>6064</v>
      </c>
      <c r="J3859" s="14">
        <v>0.0</v>
      </c>
      <c r="K3859" s="14" t="s">
        <v>6012</v>
      </c>
      <c r="L3859" s="14">
        <v>0.0</v>
      </c>
    </row>
    <row r="3860">
      <c r="A3860" s="14">
        <v>376.0</v>
      </c>
      <c r="B3860" s="14">
        <v>5.0</v>
      </c>
      <c r="C3860" s="34">
        <v>12.2</v>
      </c>
      <c r="D3860" s="36">
        <v>45124.0</v>
      </c>
      <c r="E3860" s="24"/>
      <c r="F3860" s="14">
        <v>2.44</v>
      </c>
      <c r="G3860" s="14">
        <v>32.45</v>
      </c>
      <c r="H3860" s="14">
        <v>1.33</v>
      </c>
      <c r="I3860" s="14" t="s">
        <v>6062</v>
      </c>
      <c r="J3860" s="14">
        <v>20.0</v>
      </c>
      <c r="K3860" s="14">
        <v>12.2</v>
      </c>
      <c r="L3860" s="14">
        <v>0.0</v>
      </c>
    </row>
    <row r="3861">
      <c r="A3861" s="14">
        <v>179.0</v>
      </c>
      <c r="B3861" s="14">
        <v>3.0</v>
      </c>
      <c r="C3861" s="34">
        <v>11.77</v>
      </c>
      <c r="D3861" s="36">
        <v>45124.0</v>
      </c>
      <c r="E3861" s="24"/>
      <c r="F3861" s="14">
        <v>3.92</v>
      </c>
      <c r="G3861" s="14">
        <v>65.75</v>
      </c>
      <c r="H3861" s="14">
        <v>1.68</v>
      </c>
      <c r="I3861" s="14" t="s">
        <v>6054</v>
      </c>
      <c r="J3861" s="14">
        <v>0.0</v>
      </c>
      <c r="K3861" s="14" t="s">
        <v>6012</v>
      </c>
      <c r="L3861" s="14">
        <v>0.0</v>
      </c>
    </row>
    <row r="3862">
      <c r="A3862" s="14">
        <v>359.0</v>
      </c>
      <c r="B3862" s="14">
        <v>1.0</v>
      </c>
      <c r="C3862" s="34">
        <v>12.3</v>
      </c>
      <c r="D3862" s="36">
        <v>45124.0</v>
      </c>
      <c r="E3862" s="24"/>
      <c r="F3862" s="14">
        <v>12.3</v>
      </c>
      <c r="G3862" s="14">
        <v>34.26</v>
      </c>
      <c r="H3862" s="14">
        <v>0.28</v>
      </c>
      <c r="I3862" s="14" t="s">
        <v>6042</v>
      </c>
      <c r="J3862" s="14">
        <v>100.0</v>
      </c>
      <c r="K3862" s="14">
        <v>12.3</v>
      </c>
      <c r="L3862" s="14">
        <v>0.0</v>
      </c>
    </row>
    <row r="3863">
      <c r="A3863" s="14">
        <v>38.0</v>
      </c>
      <c r="B3863" s="14">
        <v>2.0</v>
      </c>
      <c r="C3863" s="34">
        <v>10.55</v>
      </c>
      <c r="D3863" s="36">
        <v>45124.0</v>
      </c>
      <c r="E3863" s="24"/>
      <c r="F3863" s="14">
        <v>5.28</v>
      </c>
      <c r="G3863" s="14">
        <v>277.63</v>
      </c>
      <c r="H3863" s="14">
        <v>5.26</v>
      </c>
      <c r="I3863" s="14" t="s">
        <v>6059</v>
      </c>
      <c r="J3863" s="14">
        <v>0.0</v>
      </c>
      <c r="K3863" s="14" t="s">
        <v>6012</v>
      </c>
      <c r="L3863" s="14">
        <v>0.0</v>
      </c>
    </row>
    <row r="3864">
      <c r="A3864" s="14">
        <v>106.0</v>
      </c>
      <c r="B3864" s="14">
        <v>0.0</v>
      </c>
      <c r="C3864" s="34">
        <v>12.8</v>
      </c>
      <c r="D3864" s="36">
        <v>45125.0</v>
      </c>
      <c r="E3864" s="24"/>
      <c r="F3864" s="14" t="s">
        <v>6012</v>
      </c>
      <c r="G3864" s="14">
        <v>120.75</v>
      </c>
      <c r="H3864" s="14">
        <v>0.0</v>
      </c>
      <c r="I3864" s="14" t="s">
        <v>6063</v>
      </c>
      <c r="J3864" s="14" t="s">
        <v>6012</v>
      </c>
      <c r="K3864" s="14">
        <v>6.4</v>
      </c>
      <c r="L3864" s="14">
        <v>0.0</v>
      </c>
    </row>
    <row r="3865">
      <c r="A3865" s="14">
        <v>946.0</v>
      </c>
      <c r="B3865" s="14">
        <v>3.0</v>
      </c>
      <c r="C3865" s="34">
        <v>11.55</v>
      </c>
      <c r="D3865" s="36">
        <v>45125.0</v>
      </c>
      <c r="E3865" s="24"/>
      <c r="F3865" s="14">
        <v>3.85</v>
      </c>
      <c r="G3865" s="14">
        <v>12.21</v>
      </c>
      <c r="H3865" s="14">
        <v>0.32</v>
      </c>
      <c r="I3865" s="14" t="s">
        <v>6051</v>
      </c>
      <c r="J3865" s="14">
        <v>0.0</v>
      </c>
      <c r="K3865" s="14" t="s">
        <v>6012</v>
      </c>
      <c r="L3865" s="14">
        <v>0.0</v>
      </c>
    </row>
    <row r="3866">
      <c r="A3866" s="14">
        <v>533.0</v>
      </c>
      <c r="B3866" s="14">
        <v>3.0</v>
      </c>
      <c r="C3866" s="34">
        <v>11.78</v>
      </c>
      <c r="D3866" s="36">
        <v>45125.0</v>
      </c>
      <c r="E3866" s="24"/>
      <c r="F3866" s="14">
        <v>3.93</v>
      </c>
      <c r="G3866" s="14">
        <v>22.1</v>
      </c>
      <c r="H3866" s="14">
        <v>0.56</v>
      </c>
      <c r="I3866" s="14" t="s">
        <v>6060</v>
      </c>
      <c r="J3866" s="14">
        <v>33.33</v>
      </c>
      <c r="K3866" s="14">
        <v>11.78</v>
      </c>
      <c r="L3866" s="14">
        <v>0.0</v>
      </c>
    </row>
    <row r="3867">
      <c r="A3867" s="14">
        <v>154.0</v>
      </c>
      <c r="B3867" s="14">
        <v>2.0</v>
      </c>
      <c r="C3867" s="34">
        <v>11.67</v>
      </c>
      <c r="D3867" s="36">
        <v>45125.0</v>
      </c>
      <c r="E3867" s="24"/>
      <c r="F3867" s="14">
        <v>5.84</v>
      </c>
      <c r="G3867" s="14">
        <v>75.78</v>
      </c>
      <c r="H3867" s="14">
        <v>1.3</v>
      </c>
      <c r="I3867" s="14" t="s">
        <v>6054</v>
      </c>
      <c r="J3867" s="14">
        <v>0.0</v>
      </c>
      <c r="K3867" s="14" t="s">
        <v>6012</v>
      </c>
      <c r="L3867" s="14">
        <v>0.0</v>
      </c>
    </row>
    <row r="3868">
      <c r="A3868" s="14">
        <v>251.0</v>
      </c>
      <c r="B3868" s="14">
        <v>0.0</v>
      </c>
      <c r="C3868" s="34">
        <v>13.5</v>
      </c>
      <c r="D3868" s="36">
        <v>45125.0</v>
      </c>
      <c r="E3868" s="24"/>
      <c r="F3868" s="14" t="s">
        <v>6012</v>
      </c>
      <c r="G3868" s="14">
        <v>53.78</v>
      </c>
      <c r="H3868" s="14">
        <v>0.0</v>
      </c>
      <c r="I3868" s="14" t="s">
        <v>6042</v>
      </c>
      <c r="J3868" s="14" t="s">
        <v>6012</v>
      </c>
      <c r="K3868" s="14">
        <v>13.5</v>
      </c>
      <c r="L3868" s="14">
        <v>0.0</v>
      </c>
    </row>
    <row r="3869">
      <c r="A3869" s="14">
        <v>15.0</v>
      </c>
      <c r="B3869" s="14">
        <v>4.0</v>
      </c>
      <c r="C3869" s="34">
        <v>11.25</v>
      </c>
      <c r="D3869" s="36">
        <v>45125.0</v>
      </c>
      <c r="E3869" s="24"/>
      <c r="F3869" s="14">
        <v>2.81</v>
      </c>
      <c r="G3869" s="14">
        <v>750.0</v>
      </c>
      <c r="H3869" s="14">
        <v>26.67</v>
      </c>
      <c r="I3869" s="14" t="s">
        <v>6064</v>
      </c>
      <c r="J3869" s="14">
        <v>0.0</v>
      </c>
      <c r="K3869" s="14" t="s">
        <v>6012</v>
      </c>
      <c r="L3869" s="14">
        <v>0.0</v>
      </c>
    </row>
    <row r="3870">
      <c r="A3870" s="14">
        <v>86.0</v>
      </c>
      <c r="B3870" s="14">
        <v>5.0</v>
      </c>
      <c r="C3870" s="34">
        <v>12.34</v>
      </c>
      <c r="D3870" s="36">
        <v>45125.0</v>
      </c>
      <c r="E3870" s="24"/>
      <c r="F3870" s="14">
        <v>2.47</v>
      </c>
      <c r="G3870" s="14">
        <v>143.49</v>
      </c>
      <c r="H3870" s="14">
        <v>5.81</v>
      </c>
      <c r="I3870" s="14" t="s">
        <v>6058</v>
      </c>
      <c r="J3870" s="14">
        <v>0.0</v>
      </c>
      <c r="K3870" s="14" t="s">
        <v>6012</v>
      </c>
      <c r="L3870" s="14">
        <v>0.0</v>
      </c>
    </row>
    <row r="3871">
      <c r="A3871" s="14">
        <v>2609.0</v>
      </c>
      <c r="B3871" s="14">
        <v>11.0</v>
      </c>
      <c r="C3871" s="34">
        <v>11.65</v>
      </c>
      <c r="D3871" s="36">
        <v>45125.0</v>
      </c>
      <c r="E3871" s="24"/>
      <c r="F3871" s="14">
        <v>1.06</v>
      </c>
      <c r="G3871" s="14">
        <v>4.47</v>
      </c>
      <c r="H3871" s="14">
        <v>0.42</v>
      </c>
      <c r="I3871" s="14" t="s">
        <v>6050</v>
      </c>
      <c r="J3871" s="14">
        <v>9.09</v>
      </c>
      <c r="K3871" s="14">
        <v>11.65</v>
      </c>
      <c r="L3871" s="14">
        <v>0.0</v>
      </c>
    </row>
    <row r="3872">
      <c r="A3872" s="14">
        <v>141.0</v>
      </c>
      <c r="B3872" s="14">
        <v>0.0</v>
      </c>
      <c r="C3872" s="34">
        <v>12.94</v>
      </c>
      <c r="D3872" s="36">
        <v>45125.0</v>
      </c>
      <c r="E3872" s="24"/>
      <c r="F3872" s="14" t="s">
        <v>6012</v>
      </c>
      <c r="G3872" s="14">
        <v>91.77</v>
      </c>
      <c r="H3872" s="14">
        <v>0.0</v>
      </c>
      <c r="I3872" s="14" t="s">
        <v>6062</v>
      </c>
      <c r="J3872" s="14" t="s">
        <v>6012</v>
      </c>
      <c r="K3872" s="14">
        <v>12.94</v>
      </c>
      <c r="L3872" s="14">
        <v>0.0</v>
      </c>
    </row>
    <row r="3873">
      <c r="A3873" s="14">
        <v>43.0</v>
      </c>
      <c r="B3873" s="14">
        <v>0.0</v>
      </c>
      <c r="C3873" s="34">
        <v>12.87</v>
      </c>
      <c r="D3873" s="36">
        <v>45125.0</v>
      </c>
      <c r="E3873" s="24"/>
      <c r="F3873" s="14" t="s">
        <v>6012</v>
      </c>
      <c r="G3873" s="14">
        <v>299.3</v>
      </c>
      <c r="H3873" s="14">
        <v>0.0</v>
      </c>
      <c r="I3873" s="14" t="s">
        <v>6059</v>
      </c>
      <c r="J3873" s="14" t="s">
        <v>6012</v>
      </c>
      <c r="K3873" s="14" t="s">
        <v>6012</v>
      </c>
      <c r="L3873" s="14">
        <v>0.0</v>
      </c>
    </row>
    <row r="3874">
      <c r="A3874" s="14">
        <v>33.0</v>
      </c>
      <c r="B3874" s="14">
        <v>2.0</v>
      </c>
      <c r="C3874" s="34">
        <v>15.0</v>
      </c>
      <c r="D3874" s="36">
        <v>45125.0</v>
      </c>
      <c r="E3874" s="24"/>
      <c r="F3874" s="14">
        <v>7.5</v>
      </c>
      <c r="G3874" s="14">
        <v>454.55</v>
      </c>
      <c r="H3874" s="14">
        <v>6.06</v>
      </c>
      <c r="I3874" s="14" t="s">
        <v>6061</v>
      </c>
      <c r="J3874" s="14">
        <v>50.0</v>
      </c>
      <c r="K3874" s="14">
        <v>15.0</v>
      </c>
      <c r="L3874" s="14">
        <v>0.0</v>
      </c>
    </row>
    <row r="3875">
      <c r="A3875" s="14">
        <v>31.0</v>
      </c>
      <c r="B3875" s="14">
        <v>0.0</v>
      </c>
      <c r="C3875" s="34">
        <v>11.89</v>
      </c>
      <c r="D3875" s="36">
        <v>45125.0</v>
      </c>
      <c r="E3875" s="24"/>
      <c r="F3875" s="14" t="s">
        <v>6012</v>
      </c>
      <c r="G3875" s="14">
        <v>383.55</v>
      </c>
      <c r="H3875" s="14">
        <v>0.0</v>
      </c>
      <c r="I3875" s="14" t="s">
        <v>6057</v>
      </c>
      <c r="J3875" s="14" t="s">
        <v>6012</v>
      </c>
      <c r="K3875" s="14" t="s">
        <v>6012</v>
      </c>
      <c r="L3875" s="14">
        <v>0.0</v>
      </c>
    </row>
    <row r="3876">
      <c r="A3876" s="14">
        <v>42.0</v>
      </c>
      <c r="B3876" s="14">
        <v>2.0</v>
      </c>
      <c r="C3876" s="34">
        <v>10.26</v>
      </c>
      <c r="D3876" s="36">
        <v>45126.0</v>
      </c>
      <c r="E3876" s="24"/>
      <c r="F3876" s="14">
        <v>5.13</v>
      </c>
      <c r="G3876" s="14">
        <v>244.29</v>
      </c>
      <c r="H3876" s="14">
        <v>4.76</v>
      </c>
      <c r="I3876" s="14" t="s">
        <v>6057</v>
      </c>
      <c r="J3876" s="14">
        <v>0.0</v>
      </c>
      <c r="K3876" s="14" t="s">
        <v>6012</v>
      </c>
      <c r="L3876" s="14">
        <v>0.0</v>
      </c>
    </row>
    <row r="3877">
      <c r="A3877" s="14">
        <v>199.0</v>
      </c>
      <c r="B3877" s="14">
        <v>0.0</v>
      </c>
      <c r="C3877" s="34">
        <v>12.14</v>
      </c>
      <c r="D3877" s="36">
        <v>45126.0</v>
      </c>
      <c r="E3877" s="24"/>
      <c r="F3877" s="14" t="s">
        <v>6012</v>
      </c>
      <c r="G3877" s="14">
        <v>61.01</v>
      </c>
      <c r="H3877" s="14">
        <v>0.0</v>
      </c>
      <c r="I3877" s="14" t="s">
        <v>6062</v>
      </c>
      <c r="J3877" s="14" t="s">
        <v>6012</v>
      </c>
      <c r="K3877" s="14">
        <v>4.05</v>
      </c>
      <c r="L3877" s="14">
        <v>0.0</v>
      </c>
    </row>
    <row r="3878">
      <c r="A3878" s="14">
        <v>27.0</v>
      </c>
      <c r="B3878" s="14">
        <v>0.0</v>
      </c>
      <c r="C3878" s="34">
        <v>12.13</v>
      </c>
      <c r="D3878" s="36">
        <v>45126.0</v>
      </c>
      <c r="E3878" s="24"/>
      <c r="F3878" s="14" t="s">
        <v>6012</v>
      </c>
      <c r="G3878" s="14">
        <v>449.26</v>
      </c>
      <c r="H3878" s="14">
        <v>0.0</v>
      </c>
      <c r="I3878" s="14" t="s">
        <v>6061</v>
      </c>
      <c r="J3878" s="14" t="s">
        <v>6012</v>
      </c>
      <c r="K3878" s="14" t="s">
        <v>6012</v>
      </c>
      <c r="L3878" s="14">
        <v>0.0</v>
      </c>
    </row>
    <row r="3879">
      <c r="A3879" s="14">
        <v>641.0</v>
      </c>
      <c r="B3879" s="14">
        <v>3.0</v>
      </c>
      <c r="C3879" s="34">
        <v>12.42</v>
      </c>
      <c r="D3879" s="36">
        <v>45126.0</v>
      </c>
      <c r="E3879" s="24"/>
      <c r="F3879" s="14">
        <v>4.14</v>
      </c>
      <c r="G3879" s="14">
        <v>19.38</v>
      </c>
      <c r="H3879" s="14">
        <v>0.47</v>
      </c>
      <c r="I3879" s="14" t="s">
        <v>6060</v>
      </c>
      <c r="J3879" s="14">
        <v>166.67</v>
      </c>
      <c r="K3879" s="14">
        <v>2.48</v>
      </c>
      <c r="L3879" s="14">
        <v>0.0</v>
      </c>
    </row>
    <row r="3880">
      <c r="A3880" s="14">
        <v>15.0</v>
      </c>
      <c r="B3880" s="14">
        <v>4.0</v>
      </c>
      <c r="C3880" s="34">
        <v>11.25</v>
      </c>
      <c r="D3880" s="36">
        <v>45126.0</v>
      </c>
      <c r="E3880" s="24"/>
      <c r="F3880" s="14">
        <v>2.81</v>
      </c>
      <c r="G3880" s="14">
        <v>750.0</v>
      </c>
      <c r="H3880" s="14">
        <v>26.67</v>
      </c>
      <c r="I3880" s="14" t="s">
        <v>6064</v>
      </c>
      <c r="J3880" s="14">
        <v>0.0</v>
      </c>
      <c r="K3880" s="14" t="s">
        <v>6012</v>
      </c>
      <c r="L3880" s="14">
        <v>0.0</v>
      </c>
    </row>
    <row r="3881">
      <c r="A3881" s="14">
        <v>61.0</v>
      </c>
      <c r="B3881" s="14">
        <v>0.0</v>
      </c>
      <c r="C3881" s="34">
        <v>9.47</v>
      </c>
      <c r="D3881" s="36">
        <v>45126.0</v>
      </c>
      <c r="E3881" s="24"/>
      <c r="F3881" s="14" t="s">
        <v>6012</v>
      </c>
      <c r="G3881" s="14">
        <v>155.25</v>
      </c>
      <c r="H3881" s="14">
        <v>0.0</v>
      </c>
      <c r="I3881" s="14" t="s">
        <v>6058</v>
      </c>
      <c r="J3881" s="14" t="s">
        <v>6012</v>
      </c>
      <c r="K3881" s="14" t="s">
        <v>6012</v>
      </c>
      <c r="L3881" s="14">
        <v>0.0</v>
      </c>
    </row>
    <row r="3882">
      <c r="A3882" s="14">
        <v>271.0</v>
      </c>
      <c r="B3882" s="14">
        <v>3.0</v>
      </c>
      <c r="C3882" s="34">
        <v>13.72</v>
      </c>
      <c r="D3882" s="36">
        <v>45126.0</v>
      </c>
      <c r="E3882" s="24"/>
      <c r="F3882" s="14">
        <v>4.57</v>
      </c>
      <c r="G3882" s="14">
        <v>50.63</v>
      </c>
      <c r="H3882" s="14">
        <v>1.11</v>
      </c>
      <c r="I3882" s="14" t="s">
        <v>6042</v>
      </c>
      <c r="J3882" s="14">
        <v>33.33</v>
      </c>
      <c r="K3882" s="14">
        <v>13.72</v>
      </c>
      <c r="L3882" s="14">
        <v>0.0</v>
      </c>
    </row>
    <row r="3883">
      <c r="A3883" s="14">
        <v>2314.0</v>
      </c>
      <c r="B3883" s="14">
        <v>12.0</v>
      </c>
      <c r="C3883" s="34">
        <v>11.42</v>
      </c>
      <c r="D3883" s="36">
        <v>45126.0</v>
      </c>
      <c r="E3883" s="24"/>
      <c r="F3883" s="14">
        <v>0.95</v>
      </c>
      <c r="G3883" s="14">
        <v>4.94</v>
      </c>
      <c r="H3883" s="14">
        <v>0.52</v>
      </c>
      <c r="I3883" s="14" t="s">
        <v>6050</v>
      </c>
      <c r="J3883" s="14">
        <v>50.0</v>
      </c>
      <c r="K3883" s="14">
        <v>1.9</v>
      </c>
      <c r="L3883" s="14">
        <v>0.0</v>
      </c>
    </row>
    <row r="3884">
      <c r="A3884" s="14">
        <v>130.0</v>
      </c>
      <c r="B3884" s="14">
        <v>0.0</v>
      </c>
      <c r="C3884" s="34">
        <v>11.35</v>
      </c>
      <c r="D3884" s="36">
        <v>45126.0</v>
      </c>
      <c r="E3884" s="24"/>
      <c r="F3884" s="14" t="s">
        <v>6012</v>
      </c>
      <c r="G3884" s="14">
        <v>87.31</v>
      </c>
      <c r="H3884" s="14">
        <v>0.0</v>
      </c>
      <c r="I3884" s="14" t="s">
        <v>6054</v>
      </c>
      <c r="J3884" s="14" t="s">
        <v>6012</v>
      </c>
      <c r="K3884" s="14">
        <v>11.35</v>
      </c>
      <c r="L3884" s="14">
        <v>0.0</v>
      </c>
    </row>
    <row r="3885">
      <c r="A3885" s="14">
        <v>1065.0</v>
      </c>
      <c r="B3885" s="14">
        <v>8.0</v>
      </c>
      <c r="C3885" s="34">
        <v>12.35</v>
      </c>
      <c r="D3885" s="36">
        <v>45126.0</v>
      </c>
      <c r="E3885" s="24"/>
      <c r="F3885" s="14">
        <v>1.54</v>
      </c>
      <c r="G3885" s="14">
        <v>11.6</v>
      </c>
      <c r="H3885" s="14">
        <v>0.75</v>
      </c>
      <c r="I3885" s="14" t="s">
        <v>6051</v>
      </c>
      <c r="J3885" s="14">
        <v>0.0</v>
      </c>
      <c r="K3885" s="14" t="s">
        <v>6012</v>
      </c>
      <c r="L3885" s="14">
        <v>0.0</v>
      </c>
    </row>
    <row r="3886">
      <c r="A3886" s="14">
        <v>33.0</v>
      </c>
      <c r="B3886" s="14">
        <v>1.0</v>
      </c>
      <c r="C3886" s="34">
        <v>11.12</v>
      </c>
      <c r="D3886" s="36">
        <v>45126.0</v>
      </c>
      <c r="E3886" s="24"/>
      <c r="F3886" s="14">
        <v>11.12</v>
      </c>
      <c r="G3886" s="14">
        <v>336.97</v>
      </c>
      <c r="H3886" s="14">
        <v>3.03</v>
      </c>
      <c r="I3886" s="14" t="s">
        <v>6059</v>
      </c>
      <c r="J3886" s="14">
        <v>0.0</v>
      </c>
      <c r="K3886" s="14" t="s">
        <v>6012</v>
      </c>
      <c r="L3886" s="14">
        <v>0.0</v>
      </c>
    </row>
    <row r="3887">
      <c r="A3887" s="14">
        <v>93.0</v>
      </c>
      <c r="B3887" s="14">
        <v>0.0</v>
      </c>
      <c r="C3887" s="34">
        <v>12.89</v>
      </c>
      <c r="D3887" s="36">
        <v>45126.0</v>
      </c>
      <c r="E3887" s="24"/>
      <c r="F3887" s="14" t="s">
        <v>6012</v>
      </c>
      <c r="G3887" s="14">
        <v>138.6</v>
      </c>
      <c r="H3887" s="14">
        <v>0.0</v>
      </c>
      <c r="I3887" s="14" t="s">
        <v>6063</v>
      </c>
      <c r="J3887" s="14" t="s">
        <v>6012</v>
      </c>
      <c r="K3887" s="14" t="s">
        <v>6012</v>
      </c>
      <c r="L3887" s="14">
        <v>0.0</v>
      </c>
    </row>
    <row r="3888">
      <c r="A3888" s="14">
        <v>41.0</v>
      </c>
      <c r="B3888" s="14">
        <v>2.0</v>
      </c>
      <c r="C3888" s="34">
        <v>11.59</v>
      </c>
      <c r="D3888" s="36">
        <v>45127.0</v>
      </c>
      <c r="E3888" s="24"/>
      <c r="F3888" s="14">
        <v>5.8</v>
      </c>
      <c r="G3888" s="14">
        <v>282.68</v>
      </c>
      <c r="H3888" s="14">
        <v>4.88</v>
      </c>
      <c r="I3888" s="14" t="s">
        <v>6061</v>
      </c>
      <c r="J3888" s="14">
        <v>0.0</v>
      </c>
      <c r="K3888" s="14" t="s">
        <v>6012</v>
      </c>
      <c r="L3888" s="14">
        <v>0.0</v>
      </c>
    </row>
    <row r="3889">
      <c r="A3889" s="14">
        <v>60.0</v>
      </c>
      <c r="B3889" s="14">
        <v>0.0</v>
      </c>
      <c r="C3889" s="34">
        <v>13.43</v>
      </c>
      <c r="D3889" s="36">
        <v>45127.0</v>
      </c>
      <c r="E3889" s="24"/>
      <c r="F3889" s="14" t="s">
        <v>6012</v>
      </c>
      <c r="G3889" s="14">
        <v>223.83</v>
      </c>
      <c r="H3889" s="14">
        <v>0.0</v>
      </c>
      <c r="I3889" s="14" t="s">
        <v>6054</v>
      </c>
      <c r="J3889" s="14" t="s">
        <v>6012</v>
      </c>
      <c r="K3889" s="14" t="s">
        <v>6012</v>
      </c>
      <c r="L3889" s="14">
        <v>0.0</v>
      </c>
    </row>
    <row r="3890">
      <c r="A3890" s="14">
        <v>53.0</v>
      </c>
      <c r="B3890" s="14">
        <v>0.0</v>
      </c>
      <c r="C3890" s="34">
        <v>11.72</v>
      </c>
      <c r="D3890" s="36">
        <v>45127.0</v>
      </c>
      <c r="E3890" s="24"/>
      <c r="F3890" s="14" t="s">
        <v>6012</v>
      </c>
      <c r="G3890" s="14">
        <v>221.13</v>
      </c>
      <c r="H3890" s="14">
        <v>0.0</v>
      </c>
      <c r="I3890" s="14" t="s">
        <v>6058</v>
      </c>
      <c r="J3890" s="14" t="s">
        <v>6012</v>
      </c>
      <c r="K3890" s="14">
        <v>5.86</v>
      </c>
      <c r="L3890" s="14">
        <v>0.0</v>
      </c>
    </row>
    <row r="3891">
      <c r="A3891" s="14">
        <v>1034.0</v>
      </c>
      <c r="B3891" s="14">
        <v>10.0</v>
      </c>
      <c r="C3891" s="34">
        <v>12.71</v>
      </c>
      <c r="D3891" s="36">
        <v>45127.0</v>
      </c>
      <c r="E3891" s="24"/>
      <c r="F3891" s="14">
        <v>1.27</v>
      </c>
      <c r="G3891" s="14">
        <v>12.29</v>
      </c>
      <c r="H3891" s="14">
        <v>0.97</v>
      </c>
      <c r="I3891" s="14" t="s">
        <v>6051</v>
      </c>
      <c r="J3891" s="14">
        <v>0.0</v>
      </c>
      <c r="K3891" s="14" t="s">
        <v>6012</v>
      </c>
      <c r="L3891" s="14">
        <v>0.0</v>
      </c>
    </row>
    <row r="3892">
      <c r="A3892" s="14">
        <v>58.0</v>
      </c>
      <c r="B3892" s="14">
        <v>0.0</v>
      </c>
      <c r="C3892" s="34">
        <v>13.84</v>
      </c>
      <c r="D3892" s="36">
        <v>45127.0</v>
      </c>
      <c r="E3892" s="24"/>
      <c r="F3892" s="14" t="s">
        <v>6012</v>
      </c>
      <c r="G3892" s="14">
        <v>238.62</v>
      </c>
      <c r="H3892" s="14">
        <v>0.0</v>
      </c>
      <c r="I3892" s="14" t="s">
        <v>6063</v>
      </c>
      <c r="J3892" s="14" t="s">
        <v>6012</v>
      </c>
      <c r="K3892" s="14" t="s">
        <v>6012</v>
      </c>
      <c r="L3892" s="14">
        <v>0.0</v>
      </c>
    </row>
    <row r="3893">
      <c r="A3893" s="14">
        <v>207.0</v>
      </c>
      <c r="B3893" s="14">
        <v>1.0</v>
      </c>
      <c r="C3893" s="34">
        <v>12.91</v>
      </c>
      <c r="D3893" s="36">
        <v>45127.0</v>
      </c>
      <c r="E3893" s="24"/>
      <c r="F3893" s="14">
        <v>12.91</v>
      </c>
      <c r="G3893" s="14">
        <v>62.37</v>
      </c>
      <c r="H3893" s="14">
        <v>0.48</v>
      </c>
      <c r="I3893" s="14" t="s">
        <v>6042</v>
      </c>
      <c r="J3893" s="14">
        <v>0.0</v>
      </c>
      <c r="K3893" s="14" t="s">
        <v>6012</v>
      </c>
      <c r="L3893" s="14">
        <v>0.0</v>
      </c>
    </row>
    <row r="3894">
      <c r="A3894" s="14">
        <v>26.0</v>
      </c>
      <c r="B3894" s="14">
        <v>0.0</v>
      </c>
      <c r="C3894" s="34">
        <v>14.21</v>
      </c>
      <c r="D3894" s="36">
        <v>45127.0</v>
      </c>
      <c r="E3894" s="24"/>
      <c r="F3894" s="14" t="s">
        <v>6012</v>
      </c>
      <c r="G3894" s="14">
        <v>546.54</v>
      </c>
      <c r="H3894" s="14">
        <v>0.0</v>
      </c>
      <c r="I3894" s="14" t="s">
        <v>6057</v>
      </c>
      <c r="J3894" s="14" t="s">
        <v>6012</v>
      </c>
      <c r="K3894" s="14" t="s">
        <v>6012</v>
      </c>
      <c r="L3894" s="14">
        <v>0.0</v>
      </c>
    </row>
    <row r="3895">
      <c r="A3895" s="14">
        <v>433.0</v>
      </c>
      <c r="B3895" s="14">
        <v>5.0</v>
      </c>
      <c r="C3895" s="34">
        <v>10.89</v>
      </c>
      <c r="D3895" s="36">
        <v>45127.0</v>
      </c>
      <c r="E3895" s="24"/>
      <c r="F3895" s="14">
        <v>2.18</v>
      </c>
      <c r="G3895" s="14">
        <v>25.15</v>
      </c>
      <c r="H3895" s="14">
        <v>1.15</v>
      </c>
      <c r="I3895" s="14" t="s">
        <v>6060</v>
      </c>
      <c r="J3895" s="14">
        <v>80.0</v>
      </c>
      <c r="K3895" s="14">
        <v>2.72</v>
      </c>
      <c r="L3895" s="14">
        <v>0.0</v>
      </c>
    </row>
    <row r="3896">
      <c r="A3896" s="14">
        <v>212.0</v>
      </c>
      <c r="B3896" s="14">
        <v>1.0</v>
      </c>
      <c r="C3896" s="34">
        <v>10.85</v>
      </c>
      <c r="D3896" s="36">
        <v>45127.0</v>
      </c>
      <c r="E3896" s="24"/>
      <c r="F3896" s="14">
        <v>10.85</v>
      </c>
      <c r="G3896" s="14">
        <v>51.18</v>
      </c>
      <c r="H3896" s="14">
        <v>0.47</v>
      </c>
      <c r="I3896" s="14" t="s">
        <v>6062</v>
      </c>
      <c r="J3896" s="14">
        <v>300.0</v>
      </c>
      <c r="K3896" s="14">
        <v>3.62</v>
      </c>
      <c r="L3896" s="14">
        <v>0.0</v>
      </c>
    </row>
    <row r="3897">
      <c r="A3897" s="14">
        <v>2064.0</v>
      </c>
      <c r="B3897" s="14">
        <v>8.0</v>
      </c>
      <c r="C3897" s="34">
        <v>11.19</v>
      </c>
      <c r="D3897" s="36">
        <v>45127.0</v>
      </c>
      <c r="E3897" s="24"/>
      <c r="F3897" s="14">
        <v>1.4</v>
      </c>
      <c r="G3897" s="14">
        <v>5.42</v>
      </c>
      <c r="H3897" s="14">
        <v>0.39</v>
      </c>
      <c r="I3897" s="14" t="s">
        <v>6050</v>
      </c>
      <c r="J3897" s="14">
        <v>50.0</v>
      </c>
      <c r="K3897" s="14">
        <v>2.8</v>
      </c>
      <c r="L3897" s="14">
        <v>0.0</v>
      </c>
    </row>
    <row r="3898">
      <c r="A3898" s="14">
        <v>30.0</v>
      </c>
      <c r="B3898" s="14">
        <v>0.0</v>
      </c>
      <c r="C3898" s="34">
        <v>15.0</v>
      </c>
      <c r="D3898" s="36">
        <v>45127.0</v>
      </c>
      <c r="E3898" s="24"/>
      <c r="F3898" s="14" t="s">
        <v>6012</v>
      </c>
      <c r="G3898" s="14">
        <v>500.0</v>
      </c>
      <c r="H3898" s="14">
        <v>0.0</v>
      </c>
      <c r="I3898" s="14" t="s">
        <v>6059</v>
      </c>
      <c r="J3898" s="14" t="s">
        <v>6012</v>
      </c>
      <c r="K3898" s="14" t="s">
        <v>6012</v>
      </c>
      <c r="L3898" s="14">
        <v>0.0</v>
      </c>
    </row>
    <row r="3899">
      <c r="A3899" s="14">
        <v>7.0</v>
      </c>
      <c r="B3899" s="14">
        <v>3.0</v>
      </c>
      <c r="C3899" s="34">
        <v>5.25</v>
      </c>
      <c r="D3899" s="36">
        <v>45127.0</v>
      </c>
      <c r="E3899" s="24"/>
      <c r="F3899" s="14">
        <v>1.75</v>
      </c>
      <c r="G3899" s="14">
        <v>750.0</v>
      </c>
      <c r="H3899" s="14">
        <v>42.86</v>
      </c>
      <c r="I3899" s="14" t="s">
        <v>6064</v>
      </c>
      <c r="J3899" s="14">
        <v>0.0</v>
      </c>
      <c r="K3899" s="14" t="s">
        <v>6012</v>
      </c>
      <c r="L3899" s="14">
        <v>0.0</v>
      </c>
    </row>
    <row r="3900">
      <c r="A3900" s="14">
        <v>524.0</v>
      </c>
      <c r="B3900" s="14">
        <v>4.0</v>
      </c>
      <c r="C3900" s="34">
        <v>10.5</v>
      </c>
      <c r="D3900" s="36">
        <v>45128.0</v>
      </c>
      <c r="E3900" s="24"/>
      <c r="F3900" s="14">
        <v>2.62</v>
      </c>
      <c r="G3900" s="14">
        <v>20.04</v>
      </c>
      <c r="H3900" s="14">
        <v>0.76</v>
      </c>
      <c r="I3900" s="14" t="s">
        <v>6060</v>
      </c>
      <c r="J3900" s="14">
        <v>75.0</v>
      </c>
      <c r="K3900" s="14">
        <v>3.5</v>
      </c>
      <c r="L3900" s="14">
        <v>0.0</v>
      </c>
    </row>
    <row r="3901">
      <c r="A3901" s="14">
        <v>48.0</v>
      </c>
      <c r="B3901" s="14">
        <v>0.0</v>
      </c>
      <c r="C3901" s="34">
        <v>11.75</v>
      </c>
      <c r="D3901" s="36">
        <v>45128.0</v>
      </c>
      <c r="E3901" s="24"/>
      <c r="F3901" s="14" t="s">
        <v>6012</v>
      </c>
      <c r="G3901" s="14">
        <v>244.79</v>
      </c>
      <c r="H3901" s="14">
        <v>0.0</v>
      </c>
      <c r="I3901" s="14" t="s">
        <v>6057</v>
      </c>
      <c r="J3901" s="14" t="s">
        <v>6012</v>
      </c>
      <c r="K3901" s="14" t="s">
        <v>6012</v>
      </c>
      <c r="L3901" s="14">
        <v>0.0</v>
      </c>
    </row>
    <row r="3902">
      <c r="A3902" s="14">
        <v>34.0</v>
      </c>
      <c r="B3902" s="14">
        <v>1.0</v>
      </c>
      <c r="C3902" s="34">
        <v>12.4</v>
      </c>
      <c r="D3902" s="36">
        <v>45128.0</v>
      </c>
      <c r="E3902" s="24"/>
      <c r="F3902" s="14">
        <v>12.4</v>
      </c>
      <c r="G3902" s="14">
        <v>364.71</v>
      </c>
      <c r="H3902" s="14">
        <v>2.94</v>
      </c>
      <c r="I3902" s="14" t="s">
        <v>6063</v>
      </c>
      <c r="J3902" s="14">
        <v>0.0</v>
      </c>
      <c r="K3902" s="14" t="s">
        <v>6012</v>
      </c>
      <c r="L3902" s="14">
        <v>0.0</v>
      </c>
    </row>
    <row r="3903">
      <c r="A3903" s="14">
        <v>148.0</v>
      </c>
      <c r="B3903" s="14">
        <v>1.0</v>
      </c>
      <c r="C3903" s="34">
        <v>10.88</v>
      </c>
      <c r="D3903" s="36">
        <v>45128.0</v>
      </c>
      <c r="E3903" s="24"/>
      <c r="F3903" s="14">
        <v>10.88</v>
      </c>
      <c r="G3903" s="14">
        <v>73.51</v>
      </c>
      <c r="H3903" s="14">
        <v>0.68</v>
      </c>
      <c r="I3903" s="14" t="s">
        <v>6062</v>
      </c>
      <c r="J3903" s="14">
        <v>0.0</v>
      </c>
      <c r="K3903" s="14" t="s">
        <v>6012</v>
      </c>
      <c r="L3903" s="14">
        <v>0.0</v>
      </c>
    </row>
    <row r="3904">
      <c r="A3904" s="14">
        <v>35.0</v>
      </c>
      <c r="B3904" s="14">
        <v>0.0</v>
      </c>
      <c r="C3904" s="34">
        <v>11.97</v>
      </c>
      <c r="D3904" s="36">
        <v>45128.0</v>
      </c>
      <c r="E3904" s="24"/>
      <c r="F3904" s="14" t="s">
        <v>6012</v>
      </c>
      <c r="G3904" s="14">
        <v>342.0</v>
      </c>
      <c r="H3904" s="14">
        <v>0.0</v>
      </c>
      <c r="I3904" s="14" t="s">
        <v>6059</v>
      </c>
      <c r="J3904" s="14" t="s">
        <v>6012</v>
      </c>
      <c r="K3904" s="14" t="s">
        <v>6012</v>
      </c>
      <c r="L3904" s="14">
        <v>0.0</v>
      </c>
    </row>
    <row r="3905">
      <c r="A3905" s="14">
        <v>224.0</v>
      </c>
      <c r="B3905" s="14">
        <v>1.0</v>
      </c>
      <c r="C3905" s="34">
        <v>11.66</v>
      </c>
      <c r="D3905" s="36">
        <v>45128.0</v>
      </c>
      <c r="E3905" s="24"/>
      <c r="F3905" s="14">
        <v>11.66</v>
      </c>
      <c r="G3905" s="14">
        <v>52.05</v>
      </c>
      <c r="H3905" s="14">
        <v>0.45</v>
      </c>
      <c r="I3905" s="14" t="s">
        <v>6042</v>
      </c>
      <c r="J3905" s="14">
        <v>100.0</v>
      </c>
      <c r="K3905" s="14">
        <v>11.66</v>
      </c>
      <c r="L3905" s="14">
        <v>0.0</v>
      </c>
    </row>
    <row r="3906">
      <c r="A3906" s="14">
        <v>14.0</v>
      </c>
      <c r="B3906" s="14">
        <v>4.0</v>
      </c>
      <c r="C3906" s="34">
        <v>10.5</v>
      </c>
      <c r="D3906" s="36">
        <v>45128.0</v>
      </c>
      <c r="E3906" s="24"/>
      <c r="F3906" s="14">
        <v>2.62</v>
      </c>
      <c r="G3906" s="14">
        <v>750.0</v>
      </c>
      <c r="H3906" s="14">
        <v>28.57</v>
      </c>
      <c r="I3906" s="14" t="s">
        <v>6064</v>
      </c>
      <c r="J3906" s="14">
        <v>0.0</v>
      </c>
      <c r="K3906" s="14" t="s">
        <v>6012</v>
      </c>
      <c r="L3906" s="14">
        <v>0.0</v>
      </c>
    </row>
    <row r="3907">
      <c r="A3907" s="14">
        <v>806.0</v>
      </c>
      <c r="B3907" s="14">
        <v>5.0</v>
      </c>
      <c r="C3907" s="34">
        <v>11.57</v>
      </c>
      <c r="D3907" s="36">
        <v>45128.0</v>
      </c>
      <c r="E3907" s="24"/>
      <c r="F3907" s="14">
        <v>2.31</v>
      </c>
      <c r="G3907" s="14">
        <v>14.35</v>
      </c>
      <c r="H3907" s="14">
        <v>0.62</v>
      </c>
      <c r="I3907" s="14" t="s">
        <v>6051</v>
      </c>
      <c r="J3907" s="14">
        <v>0.0</v>
      </c>
      <c r="K3907" s="14" t="s">
        <v>6012</v>
      </c>
      <c r="L3907" s="14">
        <v>0.0</v>
      </c>
    </row>
    <row r="3908">
      <c r="A3908" s="14">
        <v>52.0</v>
      </c>
      <c r="B3908" s="14">
        <v>1.0</v>
      </c>
      <c r="C3908" s="34">
        <v>12.06</v>
      </c>
      <c r="D3908" s="36">
        <v>45128.0</v>
      </c>
      <c r="E3908" s="24"/>
      <c r="F3908" s="14">
        <v>12.06</v>
      </c>
      <c r="G3908" s="14">
        <v>231.92</v>
      </c>
      <c r="H3908" s="14">
        <v>1.92</v>
      </c>
      <c r="I3908" s="14" t="s">
        <v>6061</v>
      </c>
      <c r="J3908" s="14">
        <v>0.0</v>
      </c>
      <c r="K3908" s="14" t="s">
        <v>6012</v>
      </c>
      <c r="L3908" s="14">
        <v>0.0</v>
      </c>
    </row>
    <row r="3909">
      <c r="A3909" s="14">
        <v>88.0</v>
      </c>
      <c r="B3909" s="14">
        <v>0.0</v>
      </c>
      <c r="C3909" s="34">
        <v>10.37</v>
      </c>
      <c r="D3909" s="36">
        <v>45128.0</v>
      </c>
      <c r="E3909" s="24"/>
      <c r="F3909" s="14" t="s">
        <v>6012</v>
      </c>
      <c r="G3909" s="14">
        <v>117.84</v>
      </c>
      <c r="H3909" s="14">
        <v>0.0</v>
      </c>
      <c r="I3909" s="14" t="s">
        <v>6054</v>
      </c>
      <c r="J3909" s="14" t="s">
        <v>6012</v>
      </c>
      <c r="K3909" s="14" t="s">
        <v>6012</v>
      </c>
      <c r="L3909" s="14">
        <v>0.0</v>
      </c>
    </row>
    <row r="3910">
      <c r="A3910" s="14">
        <v>90.0</v>
      </c>
      <c r="B3910" s="14">
        <v>1.0</v>
      </c>
      <c r="C3910" s="34">
        <v>11.07</v>
      </c>
      <c r="D3910" s="36">
        <v>45128.0</v>
      </c>
      <c r="E3910" s="24"/>
      <c r="F3910" s="14">
        <v>11.07</v>
      </c>
      <c r="G3910" s="14">
        <v>123.0</v>
      </c>
      <c r="H3910" s="14">
        <v>1.11</v>
      </c>
      <c r="I3910" s="14" t="s">
        <v>6058</v>
      </c>
      <c r="J3910" s="14">
        <v>0.0</v>
      </c>
      <c r="K3910" s="14" t="s">
        <v>6012</v>
      </c>
      <c r="L3910" s="14">
        <v>1.0</v>
      </c>
    </row>
    <row r="3911">
      <c r="A3911" s="14">
        <v>1979.0</v>
      </c>
      <c r="B3911" s="14">
        <v>15.0</v>
      </c>
      <c r="C3911" s="34">
        <v>9.67</v>
      </c>
      <c r="D3911" s="36">
        <v>45128.0</v>
      </c>
      <c r="E3911" s="24"/>
      <c r="F3911" s="14">
        <v>0.64</v>
      </c>
      <c r="G3911" s="14">
        <v>4.89</v>
      </c>
      <c r="H3911" s="14">
        <v>0.76</v>
      </c>
      <c r="I3911" s="14" t="s">
        <v>6050</v>
      </c>
      <c r="J3911" s="14">
        <v>46.67</v>
      </c>
      <c r="K3911" s="14">
        <v>1.38</v>
      </c>
      <c r="L3911" s="14">
        <v>0.0</v>
      </c>
    </row>
    <row r="3912">
      <c r="A3912" s="14">
        <v>38.0</v>
      </c>
      <c r="B3912" s="14">
        <v>0.0</v>
      </c>
      <c r="C3912" s="34">
        <v>6.36</v>
      </c>
      <c r="D3912" s="36">
        <v>45129.0</v>
      </c>
      <c r="E3912" s="24"/>
      <c r="F3912" s="14" t="s">
        <v>6012</v>
      </c>
      <c r="G3912" s="14">
        <v>167.37</v>
      </c>
      <c r="H3912" s="14">
        <v>0.0</v>
      </c>
      <c r="I3912" s="14" t="s">
        <v>6054</v>
      </c>
      <c r="J3912" s="14" t="s">
        <v>6012</v>
      </c>
      <c r="K3912" s="14" t="s">
        <v>6012</v>
      </c>
      <c r="L3912" s="14">
        <v>0.0</v>
      </c>
    </row>
    <row r="3913">
      <c r="A3913" s="14">
        <v>265.0</v>
      </c>
      <c r="B3913" s="14">
        <v>3.0</v>
      </c>
      <c r="C3913" s="34">
        <v>6.28</v>
      </c>
      <c r="D3913" s="36">
        <v>45129.0</v>
      </c>
      <c r="E3913" s="24"/>
      <c r="F3913" s="14">
        <v>2.09</v>
      </c>
      <c r="G3913" s="14">
        <v>23.7</v>
      </c>
      <c r="H3913" s="14">
        <v>1.13</v>
      </c>
      <c r="I3913" s="14" t="s">
        <v>6060</v>
      </c>
      <c r="J3913" s="14">
        <v>0.0</v>
      </c>
      <c r="K3913" s="14" t="s">
        <v>6012</v>
      </c>
      <c r="L3913" s="14">
        <v>0.0</v>
      </c>
    </row>
    <row r="3914">
      <c r="A3914" s="14">
        <v>2.0</v>
      </c>
      <c r="B3914" s="14">
        <v>0.0</v>
      </c>
      <c r="C3914" s="34">
        <v>1.5</v>
      </c>
      <c r="D3914" s="36">
        <v>45129.0</v>
      </c>
      <c r="E3914" s="24"/>
      <c r="F3914" s="14" t="s">
        <v>6012</v>
      </c>
      <c r="G3914" s="14">
        <v>750.0</v>
      </c>
      <c r="H3914" s="14">
        <v>0.0</v>
      </c>
      <c r="I3914" s="14" t="s">
        <v>6064</v>
      </c>
      <c r="J3914" s="14" t="s">
        <v>6012</v>
      </c>
      <c r="K3914" s="14" t="s">
        <v>6012</v>
      </c>
      <c r="L3914" s="14">
        <v>0.0</v>
      </c>
    </row>
    <row r="3915">
      <c r="A3915" s="14">
        <v>31.0</v>
      </c>
      <c r="B3915" s="14">
        <v>0.0</v>
      </c>
      <c r="C3915" s="34">
        <v>7.46</v>
      </c>
      <c r="D3915" s="36">
        <v>45129.0</v>
      </c>
      <c r="E3915" s="24"/>
      <c r="F3915" s="14" t="s">
        <v>6012</v>
      </c>
      <c r="G3915" s="14">
        <v>240.65</v>
      </c>
      <c r="H3915" s="14">
        <v>0.0</v>
      </c>
      <c r="I3915" s="14" t="s">
        <v>6042</v>
      </c>
      <c r="J3915" s="14" t="s">
        <v>6012</v>
      </c>
      <c r="K3915" s="14" t="s">
        <v>6012</v>
      </c>
      <c r="L3915" s="14">
        <v>0.0</v>
      </c>
    </row>
    <row r="3916">
      <c r="A3916" s="14">
        <v>37.0</v>
      </c>
      <c r="B3916" s="14">
        <v>1.0</v>
      </c>
      <c r="C3916" s="34">
        <v>6.36</v>
      </c>
      <c r="D3916" s="36">
        <v>45129.0</v>
      </c>
      <c r="E3916" s="24"/>
      <c r="F3916" s="14">
        <v>6.36</v>
      </c>
      <c r="G3916" s="14">
        <v>171.89</v>
      </c>
      <c r="H3916" s="14">
        <v>2.7</v>
      </c>
      <c r="I3916" s="14" t="s">
        <v>6062</v>
      </c>
      <c r="J3916" s="14">
        <v>0.0</v>
      </c>
      <c r="K3916" s="14" t="s">
        <v>6012</v>
      </c>
      <c r="L3916" s="14">
        <v>0.0</v>
      </c>
    </row>
    <row r="3917">
      <c r="A3917" s="14">
        <v>667.0</v>
      </c>
      <c r="B3917" s="14">
        <v>4.0</v>
      </c>
      <c r="C3917" s="34">
        <v>6.61</v>
      </c>
      <c r="D3917" s="36">
        <v>45129.0</v>
      </c>
      <c r="E3917" s="24"/>
      <c r="F3917" s="14">
        <v>1.65</v>
      </c>
      <c r="G3917" s="14">
        <v>9.91</v>
      </c>
      <c r="H3917" s="14">
        <v>0.6</v>
      </c>
      <c r="I3917" s="14" t="s">
        <v>6051</v>
      </c>
      <c r="J3917" s="14">
        <v>25.0</v>
      </c>
      <c r="K3917" s="14">
        <v>6.61</v>
      </c>
      <c r="L3917" s="14">
        <v>0.0</v>
      </c>
    </row>
    <row r="3918">
      <c r="A3918" s="14">
        <v>30.0</v>
      </c>
      <c r="B3918" s="14">
        <v>2.0</v>
      </c>
      <c r="C3918" s="34">
        <v>5.48</v>
      </c>
      <c r="D3918" s="36">
        <v>45129.0</v>
      </c>
      <c r="E3918" s="24"/>
      <c r="F3918" s="14">
        <v>2.74</v>
      </c>
      <c r="G3918" s="14">
        <v>182.67</v>
      </c>
      <c r="H3918" s="14">
        <v>6.67</v>
      </c>
      <c r="I3918" s="14" t="s">
        <v>6061</v>
      </c>
      <c r="J3918" s="14">
        <v>50.0</v>
      </c>
      <c r="K3918" s="14">
        <v>5.48</v>
      </c>
      <c r="L3918" s="14">
        <v>0.0</v>
      </c>
    </row>
    <row r="3919">
      <c r="A3919" s="14">
        <v>1356.0</v>
      </c>
      <c r="B3919" s="14">
        <v>9.0</v>
      </c>
      <c r="C3919" s="34">
        <v>7.35</v>
      </c>
      <c r="D3919" s="36">
        <v>45129.0</v>
      </c>
      <c r="E3919" s="24"/>
      <c r="F3919" s="14">
        <v>0.82</v>
      </c>
      <c r="G3919" s="14">
        <v>5.42</v>
      </c>
      <c r="H3919" s="14">
        <v>0.66</v>
      </c>
      <c r="I3919" s="14" t="s">
        <v>6050</v>
      </c>
      <c r="J3919" s="14">
        <v>11.11</v>
      </c>
      <c r="K3919" s="14">
        <v>7.35</v>
      </c>
      <c r="L3919" s="14">
        <v>0.0</v>
      </c>
    </row>
    <row r="3920">
      <c r="A3920" s="14">
        <v>18.0</v>
      </c>
      <c r="B3920" s="14">
        <v>0.0</v>
      </c>
      <c r="C3920" s="34">
        <v>5.62</v>
      </c>
      <c r="D3920" s="36">
        <v>45129.0</v>
      </c>
      <c r="E3920" s="24"/>
      <c r="F3920" s="14" t="s">
        <v>6012</v>
      </c>
      <c r="G3920" s="14">
        <v>312.22</v>
      </c>
      <c r="H3920" s="14">
        <v>0.0</v>
      </c>
      <c r="I3920" s="14" t="s">
        <v>6063</v>
      </c>
      <c r="J3920" s="14" t="s">
        <v>6012</v>
      </c>
      <c r="K3920" s="14">
        <v>5.62</v>
      </c>
      <c r="L3920" s="14">
        <v>0.0</v>
      </c>
    </row>
    <row r="3921">
      <c r="A3921" s="14">
        <v>14.0</v>
      </c>
      <c r="B3921" s="14">
        <v>0.0</v>
      </c>
      <c r="C3921" s="34">
        <v>8.49</v>
      </c>
      <c r="D3921" s="36">
        <v>45129.0</v>
      </c>
      <c r="E3921" s="24"/>
      <c r="F3921" s="14" t="s">
        <v>6012</v>
      </c>
      <c r="G3921" s="14">
        <v>606.43</v>
      </c>
      <c r="H3921" s="14">
        <v>0.0</v>
      </c>
      <c r="I3921" s="14" t="s">
        <v>6059</v>
      </c>
      <c r="J3921" s="14" t="s">
        <v>6012</v>
      </c>
      <c r="K3921" s="14" t="s">
        <v>6012</v>
      </c>
      <c r="L3921" s="14">
        <v>0.0</v>
      </c>
    </row>
    <row r="3922">
      <c r="A3922" s="14">
        <v>21.0</v>
      </c>
      <c r="B3922" s="14">
        <v>0.0</v>
      </c>
      <c r="C3922" s="34">
        <v>10.8</v>
      </c>
      <c r="D3922" s="36">
        <v>45129.0</v>
      </c>
      <c r="E3922" s="24"/>
      <c r="F3922" s="14" t="s">
        <v>6012</v>
      </c>
      <c r="G3922" s="14">
        <v>514.29</v>
      </c>
      <c r="H3922" s="14">
        <v>0.0</v>
      </c>
      <c r="I3922" s="14" t="s">
        <v>6057</v>
      </c>
      <c r="J3922" s="14" t="s">
        <v>6012</v>
      </c>
      <c r="K3922" s="14" t="s">
        <v>6012</v>
      </c>
      <c r="L3922" s="14">
        <v>0.0</v>
      </c>
    </row>
    <row r="3923">
      <c r="A3923" s="14">
        <v>38.0</v>
      </c>
      <c r="B3923" s="14">
        <v>0.0</v>
      </c>
      <c r="C3923" s="34">
        <v>6.98</v>
      </c>
      <c r="D3923" s="36">
        <v>45129.0</v>
      </c>
      <c r="E3923" s="24"/>
      <c r="F3923" s="14" t="s">
        <v>6012</v>
      </c>
      <c r="G3923" s="14">
        <v>183.68</v>
      </c>
      <c r="H3923" s="14">
        <v>0.0</v>
      </c>
      <c r="I3923" s="14" t="s">
        <v>6058</v>
      </c>
      <c r="J3923" s="14" t="s">
        <v>6012</v>
      </c>
      <c r="K3923" s="14" t="s">
        <v>6012</v>
      </c>
      <c r="L3923" s="14">
        <v>0.0</v>
      </c>
    </row>
    <row r="3924">
      <c r="A3924" s="14">
        <v>1340.0</v>
      </c>
      <c r="B3924" s="14">
        <v>9.0</v>
      </c>
      <c r="C3924" s="34">
        <v>7.17</v>
      </c>
      <c r="D3924" s="36">
        <v>45130.0</v>
      </c>
      <c r="E3924" s="24"/>
      <c r="F3924" s="14">
        <v>0.8</v>
      </c>
      <c r="G3924" s="14">
        <v>5.35</v>
      </c>
      <c r="H3924" s="14">
        <v>0.67</v>
      </c>
      <c r="I3924" s="14" t="s">
        <v>6050</v>
      </c>
      <c r="J3924" s="14">
        <v>44.44</v>
      </c>
      <c r="K3924" s="14">
        <v>1.79</v>
      </c>
      <c r="L3924" s="14">
        <v>0.0</v>
      </c>
    </row>
    <row r="3925">
      <c r="A3925" s="14">
        <v>52.0</v>
      </c>
      <c r="B3925" s="14">
        <v>1.0</v>
      </c>
      <c r="C3925" s="34">
        <v>4.63</v>
      </c>
      <c r="D3925" s="36">
        <v>45130.0</v>
      </c>
      <c r="E3925" s="24"/>
      <c r="F3925" s="14">
        <v>4.63</v>
      </c>
      <c r="G3925" s="14">
        <v>89.04</v>
      </c>
      <c r="H3925" s="14">
        <v>1.92</v>
      </c>
      <c r="I3925" s="14" t="s">
        <v>6062</v>
      </c>
      <c r="J3925" s="14">
        <v>0.0</v>
      </c>
      <c r="K3925" s="14" t="s">
        <v>6012</v>
      </c>
      <c r="L3925" s="14">
        <v>0.0</v>
      </c>
    </row>
    <row r="3926">
      <c r="A3926" s="14">
        <v>46.0</v>
      </c>
      <c r="B3926" s="14">
        <v>0.0</v>
      </c>
      <c r="C3926" s="34">
        <v>5.05</v>
      </c>
      <c r="D3926" s="36">
        <v>45130.0</v>
      </c>
      <c r="E3926" s="24"/>
      <c r="F3926" s="14" t="s">
        <v>6012</v>
      </c>
      <c r="G3926" s="14">
        <v>109.78</v>
      </c>
      <c r="H3926" s="14">
        <v>0.0</v>
      </c>
      <c r="I3926" s="14" t="s">
        <v>6054</v>
      </c>
      <c r="J3926" s="14" t="s">
        <v>6012</v>
      </c>
      <c r="K3926" s="14" t="s">
        <v>6012</v>
      </c>
      <c r="L3926" s="14">
        <v>0.0</v>
      </c>
    </row>
    <row r="3927">
      <c r="A3927" s="14">
        <v>7.0</v>
      </c>
      <c r="B3927" s="14">
        <v>0.0</v>
      </c>
      <c r="C3927" s="34">
        <v>1.83</v>
      </c>
      <c r="D3927" s="36">
        <v>45130.0</v>
      </c>
      <c r="E3927" s="24"/>
      <c r="F3927" s="14" t="s">
        <v>6012</v>
      </c>
      <c r="G3927" s="14">
        <v>261.43</v>
      </c>
      <c r="H3927" s="14">
        <v>0.0</v>
      </c>
      <c r="I3927" s="14" t="s">
        <v>6063</v>
      </c>
      <c r="J3927" s="14" t="s">
        <v>6012</v>
      </c>
      <c r="K3927" s="14" t="s">
        <v>6012</v>
      </c>
      <c r="L3927" s="14">
        <v>0.0</v>
      </c>
    </row>
    <row r="3928">
      <c r="A3928" s="14">
        <v>56.0</v>
      </c>
      <c r="B3928" s="14">
        <v>0.0</v>
      </c>
      <c r="C3928" s="34">
        <v>5.45</v>
      </c>
      <c r="D3928" s="36">
        <v>45130.0</v>
      </c>
      <c r="E3928" s="24"/>
      <c r="F3928" s="14" t="s">
        <v>6012</v>
      </c>
      <c r="G3928" s="14">
        <v>97.32</v>
      </c>
      <c r="H3928" s="14">
        <v>0.0</v>
      </c>
      <c r="I3928" s="14" t="s">
        <v>6042</v>
      </c>
      <c r="J3928" s="14" t="s">
        <v>6012</v>
      </c>
      <c r="K3928" s="14" t="s">
        <v>6012</v>
      </c>
      <c r="L3928" s="14">
        <v>0.0</v>
      </c>
    </row>
    <row r="3929">
      <c r="A3929" s="14">
        <v>3.0</v>
      </c>
      <c r="B3929" s="14">
        <v>1.0</v>
      </c>
      <c r="C3929" s="34">
        <v>2.25</v>
      </c>
      <c r="D3929" s="36">
        <v>45130.0</v>
      </c>
      <c r="E3929" s="24"/>
      <c r="F3929" s="14">
        <v>2.25</v>
      </c>
      <c r="G3929" s="14">
        <v>750.0</v>
      </c>
      <c r="H3929" s="14">
        <v>33.33</v>
      </c>
      <c r="I3929" s="14" t="s">
        <v>6064</v>
      </c>
      <c r="J3929" s="14">
        <v>0.0</v>
      </c>
      <c r="K3929" s="14" t="s">
        <v>6012</v>
      </c>
      <c r="L3929" s="14">
        <v>0.0</v>
      </c>
    </row>
    <row r="3930">
      <c r="A3930" s="14">
        <v>45.0</v>
      </c>
      <c r="B3930" s="14">
        <v>0.0</v>
      </c>
      <c r="C3930" s="34">
        <v>6.35</v>
      </c>
      <c r="D3930" s="36">
        <v>45130.0</v>
      </c>
      <c r="E3930" s="24"/>
      <c r="F3930" s="14" t="s">
        <v>6012</v>
      </c>
      <c r="G3930" s="14">
        <v>141.11</v>
      </c>
      <c r="H3930" s="14">
        <v>0.0</v>
      </c>
      <c r="I3930" s="14" t="s">
        <v>6058</v>
      </c>
      <c r="J3930" s="14" t="s">
        <v>6012</v>
      </c>
      <c r="K3930" s="14" t="s">
        <v>6012</v>
      </c>
      <c r="L3930" s="14">
        <v>0.0</v>
      </c>
    </row>
    <row r="3931">
      <c r="A3931" s="14">
        <v>241.0</v>
      </c>
      <c r="B3931" s="14">
        <v>1.0</v>
      </c>
      <c r="C3931" s="34">
        <v>6.12</v>
      </c>
      <c r="D3931" s="36">
        <v>45130.0</v>
      </c>
      <c r="E3931" s="24"/>
      <c r="F3931" s="14">
        <v>6.12</v>
      </c>
      <c r="G3931" s="14">
        <v>25.39</v>
      </c>
      <c r="H3931" s="14">
        <v>0.41</v>
      </c>
      <c r="I3931" s="14" t="s">
        <v>6060</v>
      </c>
      <c r="J3931" s="14">
        <v>0.0</v>
      </c>
      <c r="K3931" s="14" t="s">
        <v>6012</v>
      </c>
      <c r="L3931" s="14">
        <v>0.0</v>
      </c>
    </row>
    <row r="3932">
      <c r="A3932" s="14">
        <v>22.0</v>
      </c>
      <c r="B3932" s="14">
        <v>2.0</v>
      </c>
      <c r="C3932" s="34">
        <v>2.5</v>
      </c>
      <c r="D3932" s="36">
        <v>45130.0</v>
      </c>
      <c r="E3932" s="24"/>
      <c r="F3932" s="14">
        <v>1.25</v>
      </c>
      <c r="G3932" s="14">
        <v>113.64</v>
      </c>
      <c r="H3932" s="14">
        <v>9.09</v>
      </c>
      <c r="I3932" s="14" t="s">
        <v>6061</v>
      </c>
      <c r="J3932" s="14">
        <v>0.0</v>
      </c>
      <c r="K3932" s="14" t="s">
        <v>6012</v>
      </c>
      <c r="L3932" s="14">
        <v>0.0</v>
      </c>
    </row>
    <row r="3933">
      <c r="A3933" s="14">
        <v>515.0</v>
      </c>
      <c r="B3933" s="14">
        <v>9.0</v>
      </c>
      <c r="C3933" s="34">
        <v>5.44</v>
      </c>
      <c r="D3933" s="36">
        <v>45130.0</v>
      </c>
      <c r="E3933" s="24"/>
      <c r="F3933" s="14">
        <v>0.6</v>
      </c>
      <c r="G3933" s="14">
        <v>10.56</v>
      </c>
      <c r="H3933" s="14">
        <v>1.75</v>
      </c>
      <c r="I3933" s="14" t="s">
        <v>6051</v>
      </c>
      <c r="J3933" s="14">
        <v>0.0</v>
      </c>
      <c r="K3933" s="14" t="s">
        <v>6012</v>
      </c>
      <c r="L3933" s="14">
        <v>0.0</v>
      </c>
    </row>
    <row r="3934">
      <c r="A3934" s="14">
        <v>29.0</v>
      </c>
      <c r="B3934" s="14">
        <v>0.0</v>
      </c>
      <c r="C3934" s="34">
        <v>11.75</v>
      </c>
      <c r="D3934" s="36">
        <v>45131.0</v>
      </c>
      <c r="E3934" s="24"/>
      <c r="F3934" s="14" t="s">
        <v>6012</v>
      </c>
      <c r="G3934" s="14">
        <v>405.17</v>
      </c>
      <c r="H3934" s="14">
        <v>0.0</v>
      </c>
      <c r="I3934" s="14" t="s">
        <v>6059</v>
      </c>
      <c r="J3934" s="14" t="s">
        <v>6012</v>
      </c>
      <c r="K3934" s="14" t="s">
        <v>6012</v>
      </c>
      <c r="L3934" s="14">
        <v>0.0</v>
      </c>
    </row>
    <row r="3935">
      <c r="A3935" s="14">
        <v>50.0</v>
      </c>
      <c r="B3935" s="14">
        <v>0.0</v>
      </c>
      <c r="C3935" s="34">
        <v>15.0</v>
      </c>
      <c r="D3935" s="36">
        <v>45131.0</v>
      </c>
      <c r="E3935" s="24"/>
      <c r="F3935" s="14" t="s">
        <v>6012</v>
      </c>
      <c r="G3935" s="14">
        <v>300.0</v>
      </c>
      <c r="H3935" s="14">
        <v>0.0</v>
      </c>
      <c r="I3935" s="14" t="s">
        <v>6063</v>
      </c>
      <c r="J3935" s="14" t="s">
        <v>6012</v>
      </c>
      <c r="K3935" s="14" t="s">
        <v>6012</v>
      </c>
      <c r="L3935" s="14">
        <v>0.0</v>
      </c>
    </row>
    <row r="3936">
      <c r="A3936" s="14">
        <v>77.0</v>
      </c>
      <c r="B3936" s="14">
        <v>1.0</v>
      </c>
      <c r="C3936" s="34">
        <v>11.93</v>
      </c>
      <c r="D3936" s="36">
        <v>45131.0</v>
      </c>
      <c r="E3936" s="24"/>
      <c r="F3936" s="14">
        <v>11.93</v>
      </c>
      <c r="G3936" s="14">
        <v>154.94</v>
      </c>
      <c r="H3936" s="14">
        <v>1.3</v>
      </c>
      <c r="I3936" s="14" t="s">
        <v>6061</v>
      </c>
      <c r="J3936" s="14">
        <v>0.0</v>
      </c>
      <c r="K3936" s="14" t="s">
        <v>6012</v>
      </c>
      <c r="L3936" s="14">
        <v>0.0</v>
      </c>
    </row>
    <row r="3937">
      <c r="A3937" s="14">
        <v>845.0</v>
      </c>
      <c r="B3937" s="14">
        <v>8.0</v>
      </c>
      <c r="C3937" s="34">
        <v>10.55</v>
      </c>
      <c r="D3937" s="36">
        <v>45131.0</v>
      </c>
      <c r="E3937" s="24"/>
      <c r="F3937" s="14">
        <v>1.32</v>
      </c>
      <c r="G3937" s="14">
        <v>12.49</v>
      </c>
      <c r="H3937" s="14">
        <v>0.95</v>
      </c>
      <c r="I3937" s="14" t="s">
        <v>6051</v>
      </c>
      <c r="J3937" s="14">
        <v>0.0</v>
      </c>
      <c r="K3937" s="14" t="s">
        <v>6012</v>
      </c>
      <c r="L3937" s="14">
        <v>0.0</v>
      </c>
    </row>
    <row r="3938">
      <c r="A3938" s="14">
        <v>126.0</v>
      </c>
      <c r="B3938" s="14">
        <v>1.0</v>
      </c>
      <c r="C3938" s="34">
        <v>12.7</v>
      </c>
      <c r="D3938" s="36">
        <v>45131.0</v>
      </c>
      <c r="E3938" s="24"/>
      <c r="F3938" s="14">
        <v>12.7</v>
      </c>
      <c r="G3938" s="14">
        <v>100.79</v>
      </c>
      <c r="H3938" s="14">
        <v>0.79</v>
      </c>
      <c r="I3938" s="14" t="s">
        <v>6058</v>
      </c>
      <c r="J3938" s="14">
        <v>0.0</v>
      </c>
      <c r="K3938" s="14" t="s">
        <v>6012</v>
      </c>
      <c r="L3938" s="14">
        <v>0.0</v>
      </c>
    </row>
    <row r="3939">
      <c r="A3939" s="14">
        <v>31.0</v>
      </c>
      <c r="B3939" s="14">
        <v>0.0</v>
      </c>
      <c r="C3939" s="34">
        <v>14.96</v>
      </c>
      <c r="D3939" s="36">
        <v>45131.0</v>
      </c>
      <c r="E3939" s="24"/>
      <c r="F3939" s="14" t="s">
        <v>6012</v>
      </c>
      <c r="G3939" s="14">
        <v>482.58</v>
      </c>
      <c r="H3939" s="14">
        <v>0.0</v>
      </c>
      <c r="I3939" s="14" t="s">
        <v>6057</v>
      </c>
      <c r="J3939" s="14" t="s">
        <v>6012</v>
      </c>
      <c r="K3939" s="14" t="s">
        <v>6012</v>
      </c>
      <c r="L3939" s="14">
        <v>0.0</v>
      </c>
    </row>
    <row r="3940">
      <c r="A3940" s="14">
        <v>8.0</v>
      </c>
      <c r="B3940" s="14">
        <v>4.0</v>
      </c>
      <c r="C3940" s="34">
        <v>6.0</v>
      </c>
      <c r="D3940" s="36">
        <v>45131.0</v>
      </c>
      <c r="E3940" s="24"/>
      <c r="F3940" s="14">
        <v>1.5</v>
      </c>
      <c r="G3940" s="14">
        <v>750.0</v>
      </c>
      <c r="H3940" s="14">
        <v>50.0</v>
      </c>
      <c r="I3940" s="14" t="s">
        <v>6064</v>
      </c>
      <c r="J3940" s="14">
        <v>0.0</v>
      </c>
      <c r="K3940" s="14" t="s">
        <v>6012</v>
      </c>
      <c r="L3940" s="14">
        <v>0.0</v>
      </c>
    </row>
    <row r="3941">
      <c r="A3941" s="14">
        <v>672.0</v>
      </c>
      <c r="B3941" s="14">
        <v>9.0</v>
      </c>
      <c r="C3941" s="34">
        <v>12.14</v>
      </c>
      <c r="D3941" s="36">
        <v>45131.0</v>
      </c>
      <c r="E3941" s="24"/>
      <c r="F3941" s="14">
        <v>1.35</v>
      </c>
      <c r="G3941" s="14">
        <v>18.07</v>
      </c>
      <c r="H3941" s="14">
        <v>1.34</v>
      </c>
      <c r="I3941" s="14" t="s">
        <v>6060</v>
      </c>
      <c r="J3941" s="14">
        <v>11.11</v>
      </c>
      <c r="K3941" s="14">
        <v>12.14</v>
      </c>
      <c r="L3941" s="14">
        <v>0.0</v>
      </c>
    </row>
    <row r="3942">
      <c r="A3942" s="14">
        <v>163.0</v>
      </c>
      <c r="B3942" s="14">
        <v>2.0</v>
      </c>
      <c r="C3942" s="34">
        <v>12.44</v>
      </c>
      <c r="D3942" s="36">
        <v>45131.0</v>
      </c>
      <c r="E3942" s="24"/>
      <c r="F3942" s="14">
        <v>6.22</v>
      </c>
      <c r="G3942" s="14">
        <v>76.32</v>
      </c>
      <c r="H3942" s="14">
        <v>1.23</v>
      </c>
      <c r="I3942" s="14" t="s">
        <v>6062</v>
      </c>
      <c r="J3942" s="14">
        <v>50.0</v>
      </c>
      <c r="K3942" s="14">
        <v>12.44</v>
      </c>
      <c r="L3942" s="14">
        <v>0.0</v>
      </c>
    </row>
    <row r="3943">
      <c r="A3943" s="14">
        <v>2258.0</v>
      </c>
      <c r="B3943" s="14">
        <v>13.0</v>
      </c>
      <c r="C3943" s="34">
        <v>11.07</v>
      </c>
      <c r="D3943" s="36">
        <v>45131.0</v>
      </c>
      <c r="E3943" s="24"/>
      <c r="F3943" s="14">
        <v>0.85</v>
      </c>
      <c r="G3943" s="14">
        <v>4.9</v>
      </c>
      <c r="H3943" s="14">
        <v>0.58</v>
      </c>
      <c r="I3943" s="14" t="s">
        <v>6050</v>
      </c>
      <c r="J3943" s="14">
        <v>23.08</v>
      </c>
      <c r="K3943" s="14">
        <v>3.69</v>
      </c>
      <c r="L3943" s="14">
        <v>0.0</v>
      </c>
    </row>
    <row r="3944">
      <c r="A3944" s="14">
        <v>134.0</v>
      </c>
      <c r="B3944" s="14">
        <v>0.0</v>
      </c>
      <c r="C3944" s="34">
        <v>12.36</v>
      </c>
      <c r="D3944" s="36">
        <v>45131.0</v>
      </c>
      <c r="E3944" s="24"/>
      <c r="F3944" s="14" t="s">
        <v>6012</v>
      </c>
      <c r="G3944" s="14">
        <v>92.24</v>
      </c>
      <c r="H3944" s="14">
        <v>0.0</v>
      </c>
      <c r="I3944" s="14" t="s">
        <v>6054</v>
      </c>
      <c r="J3944" s="14" t="s">
        <v>6012</v>
      </c>
      <c r="K3944" s="14" t="s">
        <v>6012</v>
      </c>
      <c r="L3944" s="14">
        <v>0.0</v>
      </c>
    </row>
    <row r="3945">
      <c r="A3945" s="14">
        <v>164.0</v>
      </c>
      <c r="B3945" s="14">
        <v>0.0</v>
      </c>
      <c r="C3945" s="34">
        <v>13.33</v>
      </c>
      <c r="D3945" s="36">
        <v>45131.0</v>
      </c>
      <c r="E3945" s="24"/>
      <c r="F3945" s="14" t="s">
        <v>6012</v>
      </c>
      <c r="G3945" s="14">
        <v>81.28</v>
      </c>
      <c r="H3945" s="14">
        <v>0.0</v>
      </c>
      <c r="I3945" s="14" t="s">
        <v>6042</v>
      </c>
      <c r="J3945" s="14" t="s">
        <v>6012</v>
      </c>
      <c r="K3945" s="14" t="s">
        <v>6012</v>
      </c>
      <c r="L3945" s="14">
        <v>0.0</v>
      </c>
    </row>
    <row r="3946">
      <c r="A3946" s="14">
        <v>63.0</v>
      </c>
      <c r="B3946" s="14">
        <v>1.0</v>
      </c>
      <c r="C3946" s="34">
        <v>10.95</v>
      </c>
      <c r="D3946" s="36">
        <v>45132.0</v>
      </c>
      <c r="E3946" s="24"/>
      <c r="F3946" s="14">
        <v>10.95</v>
      </c>
      <c r="G3946" s="14">
        <v>173.81</v>
      </c>
      <c r="H3946" s="14">
        <v>1.59</v>
      </c>
      <c r="I3946" s="14" t="s">
        <v>6057</v>
      </c>
      <c r="J3946" s="14">
        <v>0.0</v>
      </c>
      <c r="K3946" s="14" t="s">
        <v>6012</v>
      </c>
      <c r="L3946" s="14">
        <v>0.0</v>
      </c>
    </row>
    <row r="3947">
      <c r="A3947" s="14">
        <v>13.0</v>
      </c>
      <c r="B3947" s="14">
        <v>5.0</v>
      </c>
      <c r="C3947" s="34">
        <v>9.75</v>
      </c>
      <c r="D3947" s="36">
        <v>45132.0</v>
      </c>
      <c r="E3947" s="24"/>
      <c r="F3947" s="14">
        <v>1.95</v>
      </c>
      <c r="G3947" s="14">
        <v>750.0</v>
      </c>
      <c r="H3947" s="14">
        <v>38.46</v>
      </c>
      <c r="I3947" s="14" t="s">
        <v>6064</v>
      </c>
      <c r="J3947" s="14">
        <v>0.0</v>
      </c>
      <c r="K3947" s="14" t="s">
        <v>6012</v>
      </c>
      <c r="L3947" s="14">
        <v>0.0</v>
      </c>
    </row>
    <row r="3948">
      <c r="A3948" s="14">
        <v>42.0</v>
      </c>
      <c r="B3948" s="14">
        <v>1.0</v>
      </c>
      <c r="C3948" s="34">
        <v>12.53</v>
      </c>
      <c r="D3948" s="36">
        <v>45132.0</v>
      </c>
      <c r="E3948" s="24"/>
      <c r="F3948" s="14">
        <v>12.53</v>
      </c>
      <c r="G3948" s="14">
        <v>298.33</v>
      </c>
      <c r="H3948" s="14">
        <v>2.38</v>
      </c>
      <c r="I3948" s="14" t="s">
        <v>6059</v>
      </c>
      <c r="J3948" s="14">
        <v>0.0</v>
      </c>
      <c r="K3948" s="14" t="s">
        <v>6012</v>
      </c>
      <c r="L3948" s="14">
        <v>0.0</v>
      </c>
    </row>
    <row r="3949">
      <c r="A3949" s="14">
        <v>48.0</v>
      </c>
      <c r="B3949" s="14">
        <v>0.0</v>
      </c>
      <c r="C3949" s="34">
        <v>15.0</v>
      </c>
      <c r="D3949" s="36">
        <v>45132.0</v>
      </c>
      <c r="E3949" s="24"/>
      <c r="F3949" s="14" t="s">
        <v>6012</v>
      </c>
      <c r="G3949" s="14">
        <v>312.5</v>
      </c>
      <c r="H3949" s="14">
        <v>0.0</v>
      </c>
      <c r="I3949" s="14" t="s">
        <v>6061</v>
      </c>
      <c r="J3949" s="14" t="s">
        <v>6012</v>
      </c>
      <c r="K3949" s="14" t="s">
        <v>6012</v>
      </c>
      <c r="L3949" s="14">
        <v>0.0</v>
      </c>
    </row>
    <row r="3950">
      <c r="A3950" s="14">
        <v>255.0</v>
      </c>
      <c r="B3950" s="14">
        <v>1.0</v>
      </c>
      <c r="C3950" s="34">
        <v>12.95</v>
      </c>
      <c r="D3950" s="36">
        <v>45132.0</v>
      </c>
      <c r="E3950" s="24"/>
      <c r="F3950" s="14">
        <v>12.95</v>
      </c>
      <c r="G3950" s="14">
        <v>50.78</v>
      </c>
      <c r="H3950" s="14">
        <v>0.39</v>
      </c>
      <c r="I3950" s="14" t="s">
        <v>6042</v>
      </c>
      <c r="J3950" s="14">
        <v>0.0</v>
      </c>
      <c r="K3950" s="14" t="s">
        <v>6012</v>
      </c>
      <c r="L3950" s="14">
        <v>0.0</v>
      </c>
    </row>
    <row r="3951">
      <c r="A3951" s="14">
        <v>173.0</v>
      </c>
      <c r="B3951" s="14">
        <v>1.0</v>
      </c>
      <c r="C3951" s="34">
        <v>12.19</v>
      </c>
      <c r="D3951" s="36">
        <v>45132.0</v>
      </c>
      <c r="E3951" s="24"/>
      <c r="F3951" s="14">
        <v>12.19</v>
      </c>
      <c r="G3951" s="14">
        <v>70.46</v>
      </c>
      <c r="H3951" s="14">
        <v>0.58</v>
      </c>
      <c r="I3951" s="14" t="s">
        <v>6062</v>
      </c>
      <c r="J3951" s="14">
        <v>200.0</v>
      </c>
      <c r="K3951" s="14">
        <v>6.1</v>
      </c>
      <c r="L3951" s="14">
        <v>0.0</v>
      </c>
    </row>
    <row r="3952">
      <c r="A3952" s="14">
        <v>133.0</v>
      </c>
      <c r="B3952" s="14">
        <v>1.0</v>
      </c>
      <c r="C3952" s="34">
        <v>12.16</v>
      </c>
      <c r="D3952" s="36">
        <v>45132.0</v>
      </c>
      <c r="E3952" s="24"/>
      <c r="F3952" s="14">
        <v>12.16</v>
      </c>
      <c r="G3952" s="14">
        <v>91.43</v>
      </c>
      <c r="H3952" s="14">
        <v>0.75</v>
      </c>
      <c r="I3952" s="14" t="s">
        <v>6054</v>
      </c>
      <c r="J3952" s="14">
        <v>0.0</v>
      </c>
      <c r="K3952" s="14" t="s">
        <v>6012</v>
      </c>
      <c r="L3952" s="14">
        <v>0.0</v>
      </c>
    </row>
    <row r="3953">
      <c r="A3953" s="14">
        <v>78.0</v>
      </c>
      <c r="B3953" s="14">
        <v>0.0</v>
      </c>
      <c r="C3953" s="34">
        <v>13.02</v>
      </c>
      <c r="D3953" s="36">
        <v>45132.0</v>
      </c>
      <c r="E3953" s="24"/>
      <c r="F3953" s="14" t="s">
        <v>6012</v>
      </c>
      <c r="G3953" s="14">
        <v>166.92</v>
      </c>
      <c r="H3953" s="14">
        <v>0.0</v>
      </c>
      <c r="I3953" s="14" t="s">
        <v>6058</v>
      </c>
      <c r="J3953" s="14" t="s">
        <v>6012</v>
      </c>
      <c r="K3953" s="14" t="s">
        <v>6012</v>
      </c>
      <c r="L3953" s="14">
        <v>0.0</v>
      </c>
    </row>
    <row r="3954">
      <c r="A3954" s="14">
        <v>48.0</v>
      </c>
      <c r="B3954" s="14">
        <v>0.0</v>
      </c>
      <c r="C3954" s="34">
        <v>13.17</v>
      </c>
      <c r="D3954" s="36">
        <v>45132.0</v>
      </c>
      <c r="E3954" s="24"/>
      <c r="F3954" s="14" t="s">
        <v>6012</v>
      </c>
      <c r="G3954" s="14">
        <v>274.38</v>
      </c>
      <c r="H3954" s="14">
        <v>0.0</v>
      </c>
      <c r="I3954" s="14" t="s">
        <v>6063</v>
      </c>
      <c r="J3954" s="14" t="s">
        <v>6012</v>
      </c>
      <c r="K3954" s="14" t="s">
        <v>6012</v>
      </c>
      <c r="L3954" s="14">
        <v>0.0</v>
      </c>
    </row>
    <row r="3955">
      <c r="A3955" s="14">
        <v>570.0</v>
      </c>
      <c r="B3955" s="14">
        <v>3.0</v>
      </c>
      <c r="C3955" s="34">
        <v>11.94</v>
      </c>
      <c r="D3955" s="36">
        <v>45132.0</v>
      </c>
      <c r="E3955" s="24"/>
      <c r="F3955" s="14">
        <v>3.98</v>
      </c>
      <c r="G3955" s="14">
        <v>20.95</v>
      </c>
      <c r="H3955" s="14">
        <v>0.53</v>
      </c>
      <c r="I3955" s="14" t="s">
        <v>6060</v>
      </c>
      <c r="J3955" s="14">
        <v>66.67</v>
      </c>
      <c r="K3955" s="14">
        <v>5.97</v>
      </c>
      <c r="L3955" s="14">
        <v>0.0</v>
      </c>
    </row>
    <row r="3956">
      <c r="A3956" s="14">
        <v>2201.0</v>
      </c>
      <c r="B3956" s="14">
        <v>10.0</v>
      </c>
      <c r="C3956" s="34">
        <v>11.86</v>
      </c>
      <c r="D3956" s="36">
        <v>45132.0</v>
      </c>
      <c r="E3956" s="24"/>
      <c r="F3956" s="14">
        <v>1.19</v>
      </c>
      <c r="G3956" s="14">
        <v>5.39</v>
      </c>
      <c r="H3956" s="14">
        <v>0.45</v>
      </c>
      <c r="I3956" s="14" t="s">
        <v>6050</v>
      </c>
      <c r="J3956" s="14">
        <v>20.0</v>
      </c>
      <c r="K3956" s="14">
        <v>5.93</v>
      </c>
      <c r="L3956" s="14">
        <v>0.0</v>
      </c>
    </row>
    <row r="3957">
      <c r="A3957" s="14">
        <v>1039.0</v>
      </c>
      <c r="B3957" s="14">
        <v>8.0</v>
      </c>
      <c r="C3957" s="34">
        <v>11.4</v>
      </c>
      <c r="D3957" s="36">
        <v>45132.0</v>
      </c>
      <c r="E3957" s="24"/>
      <c r="F3957" s="14">
        <v>1.42</v>
      </c>
      <c r="G3957" s="14">
        <v>10.97</v>
      </c>
      <c r="H3957" s="14">
        <v>0.77</v>
      </c>
      <c r="I3957" s="14" t="s">
        <v>6051</v>
      </c>
      <c r="J3957" s="14">
        <v>0.0</v>
      </c>
      <c r="K3957" s="14" t="s">
        <v>6012</v>
      </c>
      <c r="L3957" s="14">
        <v>0.0</v>
      </c>
    </row>
    <row r="3958">
      <c r="A3958" s="14">
        <v>7.0</v>
      </c>
      <c r="B3958" s="14">
        <v>7.0</v>
      </c>
      <c r="C3958" s="34">
        <v>5.25</v>
      </c>
      <c r="D3958" s="36">
        <v>45133.0</v>
      </c>
      <c r="E3958" s="24"/>
      <c r="F3958" s="14">
        <v>0.75</v>
      </c>
      <c r="G3958" s="14">
        <v>750.0</v>
      </c>
      <c r="H3958" s="14">
        <v>100.0</v>
      </c>
      <c r="I3958" s="14" t="s">
        <v>6064</v>
      </c>
      <c r="J3958" s="14">
        <v>0.0</v>
      </c>
      <c r="K3958" s="14" t="s">
        <v>6012</v>
      </c>
      <c r="L3958" s="14">
        <v>0.0</v>
      </c>
    </row>
    <row r="3959">
      <c r="A3959" s="14">
        <v>86.0</v>
      </c>
      <c r="B3959" s="14">
        <v>1.0</v>
      </c>
      <c r="C3959" s="34">
        <v>12.15</v>
      </c>
      <c r="D3959" s="36">
        <v>45133.0</v>
      </c>
      <c r="E3959" s="24"/>
      <c r="F3959" s="14">
        <v>12.15</v>
      </c>
      <c r="G3959" s="14">
        <v>141.28</v>
      </c>
      <c r="H3959" s="14">
        <v>1.16</v>
      </c>
      <c r="I3959" s="14" t="s">
        <v>6062</v>
      </c>
      <c r="J3959" s="14">
        <v>300.0</v>
      </c>
      <c r="K3959" s="14">
        <v>4.05</v>
      </c>
      <c r="L3959" s="14">
        <v>0.0</v>
      </c>
    </row>
    <row r="3960">
      <c r="A3960" s="14">
        <v>33.0</v>
      </c>
      <c r="B3960" s="14">
        <v>0.0</v>
      </c>
      <c r="C3960" s="34">
        <v>12.47</v>
      </c>
      <c r="D3960" s="36">
        <v>45133.0</v>
      </c>
      <c r="E3960" s="24"/>
      <c r="F3960" s="14" t="s">
        <v>6012</v>
      </c>
      <c r="G3960" s="14">
        <v>377.88</v>
      </c>
      <c r="H3960" s="14">
        <v>0.0</v>
      </c>
      <c r="I3960" s="14" t="s">
        <v>6063</v>
      </c>
      <c r="J3960" s="14" t="s">
        <v>6012</v>
      </c>
      <c r="K3960" s="14" t="s">
        <v>6012</v>
      </c>
      <c r="L3960" s="14">
        <v>0.0</v>
      </c>
    </row>
    <row r="3961">
      <c r="A3961" s="14">
        <v>152.0</v>
      </c>
      <c r="B3961" s="14">
        <v>2.0</v>
      </c>
      <c r="C3961" s="34">
        <v>13.23</v>
      </c>
      <c r="D3961" s="36">
        <v>45133.0</v>
      </c>
      <c r="E3961" s="24"/>
      <c r="F3961" s="14">
        <v>6.62</v>
      </c>
      <c r="G3961" s="14">
        <v>87.04</v>
      </c>
      <c r="H3961" s="14">
        <v>1.32</v>
      </c>
      <c r="I3961" s="14" t="s">
        <v>6054</v>
      </c>
      <c r="J3961" s="14">
        <v>0.0</v>
      </c>
      <c r="K3961" s="14" t="s">
        <v>6012</v>
      </c>
      <c r="L3961" s="14">
        <v>0.0</v>
      </c>
    </row>
    <row r="3962">
      <c r="A3962" s="14">
        <v>2408.0</v>
      </c>
      <c r="B3962" s="14">
        <v>12.0</v>
      </c>
      <c r="C3962" s="34">
        <v>11.7</v>
      </c>
      <c r="D3962" s="36">
        <v>45133.0</v>
      </c>
      <c r="E3962" s="24"/>
      <c r="F3962" s="14">
        <v>0.98</v>
      </c>
      <c r="G3962" s="14">
        <v>4.86</v>
      </c>
      <c r="H3962" s="14">
        <v>0.5</v>
      </c>
      <c r="I3962" s="14" t="s">
        <v>6050</v>
      </c>
      <c r="J3962" s="14">
        <v>41.67</v>
      </c>
      <c r="K3962" s="14">
        <v>2.34</v>
      </c>
      <c r="L3962" s="14">
        <v>0.0</v>
      </c>
    </row>
    <row r="3963">
      <c r="A3963" s="14">
        <v>640.0</v>
      </c>
      <c r="B3963" s="14">
        <v>5.0</v>
      </c>
      <c r="C3963" s="34">
        <v>11.67</v>
      </c>
      <c r="D3963" s="36">
        <v>45133.0</v>
      </c>
      <c r="E3963" s="24"/>
      <c r="F3963" s="14">
        <v>2.33</v>
      </c>
      <c r="G3963" s="14">
        <v>18.23</v>
      </c>
      <c r="H3963" s="14">
        <v>0.78</v>
      </c>
      <c r="I3963" s="14" t="s">
        <v>6060</v>
      </c>
      <c r="J3963" s="14">
        <v>60.0</v>
      </c>
      <c r="K3963" s="14">
        <v>3.89</v>
      </c>
      <c r="L3963" s="14">
        <v>0.0</v>
      </c>
    </row>
    <row r="3964">
      <c r="A3964" s="14">
        <v>80.0</v>
      </c>
      <c r="B3964" s="14">
        <v>1.0</v>
      </c>
      <c r="C3964" s="34">
        <v>14.89</v>
      </c>
      <c r="D3964" s="36">
        <v>45133.0</v>
      </c>
      <c r="E3964" s="24"/>
      <c r="F3964" s="14">
        <v>14.89</v>
      </c>
      <c r="G3964" s="14">
        <v>186.12</v>
      </c>
      <c r="H3964" s="14">
        <v>1.25</v>
      </c>
      <c r="I3964" s="14" t="s">
        <v>6058</v>
      </c>
      <c r="J3964" s="14">
        <v>0.0</v>
      </c>
      <c r="K3964" s="14" t="s">
        <v>6012</v>
      </c>
      <c r="L3964" s="14">
        <v>0.0</v>
      </c>
    </row>
    <row r="3965">
      <c r="A3965" s="14">
        <v>109.0</v>
      </c>
      <c r="B3965" s="14">
        <v>0.0</v>
      </c>
      <c r="C3965" s="34">
        <v>12.05</v>
      </c>
      <c r="D3965" s="36">
        <v>45133.0</v>
      </c>
      <c r="E3965" s="24"/>
      <c r="F3965" s="14" t="s">
        <v>6012</v>
      </c>
      <c r="G3965" s="14">
        <v>110.55</v>
      </c>
      <c r="H3965" s="14">
        <v>0.0</v>
      </c>
      <c r="I3965" s="14" t="s">
        <v>6061</v>
      </c>
      <c r="J3965" s="14" t="s">
        <v>6012</v>
      </c>
      <c r="K3965" s="14" t="s">
        <v>6012</v>
      </c>
      <c r="L3965" s="14">
        <v>0.0</v>
      </c>
    </row>
    <row r="3966">
      <c r="A3966" s="14">
        <v>35.0</v>
      </c>
      <c r="B3966" s="14">
        <v>2.0</v>
      </c>
      <c r="C3966" s="34">
        <v>13.42</v>
      </c>
      <c r="D3966" s="36">
        <v>45133.0</v>
      </c>
      <c r="E3966" s="24"/>
      <c r="F3966" s="14">
        <v>6.71</v>
      </c>
      <c r="G3966" s="14">
        <v>383.43</v>
      </c>
      <c r="H3966" s="14">
        <v>5.71</v>
      </c>
      <c r="I3966" s="14" t="s">
        <v>6059</v>
      </c>
      <c r="J3966" s="14">
        <v>0.0</v>
      </c>
      <c r="K3966" s="14" t="s">
        <v>6012</v>
      </c>
      <c r="L3966" s="14">
        <v>0.0</v>
      </c>
    </row>
    <row r="3967">
      <c r="A3967" s="14">
        <v>1175.0</v>
      </c>
      <c r="B3967" s="14">
        <v>8.0</v>
      </c>
      <c r="C3967" s="34">
        <v>12.46</v>
      </c>
      <c r="D3967" s="36">
        <v>45133.0</v>
      </c>
      <c r="E3967" s="24"/>
      <c r="F3967" s="14">
        <v>1.56</v>
      </c>
      <c r="G3967" s="14">
        <v>10.6</v>
      </c>
      <c r="H3967" s="14">
        <v>0.68</v>
      </c>
      <c r="I3967" s="14" t="s">
        <v>6051</v>
      </c>
      <c r="J3967" s="14">
        <v>0.0</v>
      </c>
      <c r="K3967" s="14" t="s">
        <v>6012</v>
      </c>
      <c r="L3967" s="14">
        <v>0.0</v>
      </c>
    </row>
    <row r="3968">
      <c r="A3968" s="14">
        <v>33.0</v>
      </c>
      <c r="B3968" s="14">
        <v>0.0</v>
      </c>
      <c r="C3968" s="34">
        <v>12.88</v>
      </c>
      <c r="D3968" s="36">
        <v>45133.0</v>
      </c>
      <c r="E3968" s="24"/>
      <c r="F3968" s="14" t="s">
        <v>6012</v>
      </c>
      <c r="G3968" s="14">
        <v>390.3</v>
      </c>
      <c r="H3968" s="14">
        <v>0.0</v>
      </c>
      <c r="I3968" s="14" t="s">
        <v>6057</v>
      </c>
      <c r="J3968" s="14" t="s">
        <v>6012</v>
      </c>
      <c r="K3968" s="14" t="s">
        <v>6012</v>
      </c>
      <c r="L3968" s="14">
        <v>0.0</v>
      </c>
    </row>
    <row r="3969">
      <c r="A3969" s="14">
        <v>93.0</v>
      </c>
      <c r="B3969" s="14">
        <v>0.0</v>
      </c>
      <c r="C3969" s="34">
        <v>13.76</v>
      </c>
      <c r="D3969" s="36">
        <v>45133.0</v>
      </c>
      <c r="E3969" s="24"/>
      <c r="F3969" s="14" t="s">
        <v>6012</v>
      </c>
      <c r="G3969" s="14">
        <v>147.96</v>
      </c>
      <c r="H3969" s="14">
        <v>0.0</v>
      </c>
      <c r="I3969" s="14" t="s">
        <v>6042</v>
      </c>
      <c r="J3969" s="14" t="s">
        <v>6012</v>
      </c>
      <c r="K3969" s="14" t="s">
        <v>6012</v>
      </c>
      <c r="L3969" s="14">
        <v>0.0</v>
      </c>
    </row>
    <row r="3970">
      <c r="A3970" s="14">
        <v>228.0</v>
      </c>
      <c r="B3970" s="14">
        <v>0.0</v>
      </c>
      <c r="C3970" s="34">
        <v>11.86</v>
      </c>
      <c r="D3970" s="36">
        <v>45134.0</v>
      </c>
      <c r="E3970" s="24"/>
      <c r="F3970" s="14" t="s">
        <v>6012</v>
      </c>
      <c r="G3970" s="14">
        <v>52.02</v>
      </c>
      <c r="H3970" s="14">
        <v>0.0</v>
      </c>
      <c r="I3970" s="14" t="s">
        <v>6054</v>
      </c>
      <c r="J3970" s="14" t="s">
        <v>6012</v>
      </c>
      <c r="K3970" s="14" t="s">
        <v>6012</v>
      </c>
      <c r="L3970" s="14">
        <v>0.0</v>
      </c>
    </row>
    <row r="3971">
      <c r="A3971" s="14">
        <v>62.0</v>
      </c>
      <c r="B3971" s="14">
        <v>0.0</v>
      </c>
      <c r="C3971" s="34">
        <v>12.14</v>
      </c>
      <c r="D3971" s="36">
        <v>45134.0</v>
      </c>
      <c r="E3971" s="24"/>
      <c r="F3971" s="14" t="s">
        <v>6012</v>
      </c>
      <c r="G3971" s="14">
        <v>195.81</v>
      </c>
      <c r="H3971" s="14">
        <v>0.0</v>
      </c>
      <c r="I3971" s="14" t="s">
        <v>6061</v>
      </c>
      <c r="J3971" s="14" t="s">
        <v>6012</v>
      </c>
      <c r="K3971" s="14" t="s">
        <v>6012</v>
      </c>
      <c r="L3971" s="14">
        <v>0.0</v>
      </c>
    </row>
    <row r="3972">
      <c r="A3972" s="14">
        <v>352.0</v>
      </c>
      <c r="B3972" s="14">
        <v>7.0</v>
      </c>
      <c r="C3972" s="34">
        <v>11.53</v>
      </c>
      <c r="D3972" s="36">
        <v>45134.0</v>
      </c>
      <c r="E3972" s="24"/>
      <c r="F3972" s="14">
        <v>1.65</v>
      </c>
      <c r="G3972" s="14">
        <v>32.76</v>
      </c>
      <c r="H3972" s="14">
        <v>1.99</v>
      </c>
      <c r="I3972" s="14" t="s">
        <v>6060</v>
      </c>
      <c r="J3972" s="14">
        <v>14.29</v>
      </c>
      <c r="K3972" s="14">
        <v>11.53</v>
      </c>
      <c r="L3972" s="14">
        <v>0.0</v>
      </c>
    </row>
    <row r="3973">
      <c r="A3973" s="14">
        <v>51.0</v>
      </c>
      <c r="B3973" s="14">
        <v>0.0</v>
      </c>
      <c r="C3973" s="34">
        <v>12.57</v>
      </c>
      <c r="D3973" s="36">
        <v>45134.0</v>
      </c>
      <c r="E3973" s="24"/>
      <c r="F3973" s="14" t="s">
        <v>6012</v>
      </c>
      <c r="G3973" s="14">
        <v>246.47</v>
      </c>
      <c r="H3973" s="14">
        <v>0.0</v>
      </c>
      <c r="I3973" s="14" t="s">
        <v>6063</v>
      </c>
      <c r="J3973" s="14" t="s">
        <v>6012</v>
      </c>
      <c r="K3973" s="14" t="s">
        <v>6012</v>
      </c>
      <c r="L3973" s="14">
        <v>0.0</v>
      </c>
    </row>
    <row r="3974">
      <c r="A3974" s="14">
        <v>201.0</v>
      </c>
      <c r="B3974" s="14">
        <v>0.0</v>
      </c>
      <c r="C3974" s="34">
        <v>11.79</v>
      </c>
      <c r="D3974" s="36">
        <v>45134.0</v>
      </c>
      <c r="E3974" s="24"/>
      <c r="F3974" s="14" t="s">
        <v>6012</v>
      </c>
      <c r="G3974" s="14">
        <v>58.66</v>
      </c>
      <c r="H3974" s="14">
        <v>0.0</v>
      </c>
      <c r="I3974" s="14" t="s">
        <v>6062</v>
      </c>
      <c r="J3974" s="14" t="s">
        <v>6012</v>
      </c>
      <c r="K3974" s="14" t="s">
        <v>6012</v>
      </c>
      <c r="L3974" s="14">
        <v>0.0</v>
      </c>
    </row>
    <row r="3975">
      <c r="A3975" s="14">
        <v>2161.0</v>
      </c>
      <c r="B3975" s="14">
        <v>8.0</v>
      </c>
      <c r="C3975" s="34">
        <v>11.19</v>
      </c>
      <c r="D3975" s="36">
        <v>45134.0</v>
      </c>
      <c r="E3975" s="24"/>
      <c r="F3975" s="14">
        <v>1.4</v>
      </c>
      <c r="G3975" s="14">
        <v>5.18</v>
      </c>
      <c r="H3975" s="14">
        <v>0.37</v>
      </c>
      <c r="I3975" s="14" t="s">
        <v>6050</v>
      </c>
      <c r="J3975" s="14">
        <v>62.5</v>
      </c>
      <c r="K3975" s="14">
        <v>2.24</v>
      </c>
      <c r="L3975" s="14">
        <v>0.0</v>
      </c>
    </row>
    <row r="3976">
      <c r="A3976" s="14">
        <v>16.0</v>
      </c>
      <c r="B3976" s="14">
        <v>6.0</v>
      </c>
      <c r="C3976" s="34">
        <v>12.0</v>
      </c>
      <c r="D3976" s="36">
        <v>45134.0</v>
      </c>
      <c r="E3976" s="24"/>
      <c r="F3976" s="14">
        <v>2.0</v>
      </c>
      <c r="G3976" s="14">
        <v>750.0</v>
      </c>
      <c r="H3976" s="14">
        <v>37.5</v>
      </c>
      <c r="I3976" s="14" t="s">
        <v>6064</v>
      </c>
      <c r="J3976" s="14">
        <v>0.0</v>
      </c>
      <c r="K3976" s="14" t="s">
        <v>6012</v>
      </c>
      <c r="L3976" s="14">
        <v>0.0</v>
      </c>
    </row>
    <row r="3977">
      <c r="A3977" s="14">
        <v>36.0</v>
      </c>
      <c r="B3977" s="14">
        <v>0.0</v>
      </c>
      <c r="C3977" s="34">
        <v>15.0</v>
      </c>
      <c r="D3977" s="36">
        <v>45134.0</v>
      </c>
      <c r="E3977" s="24"/>
      <c r="F3977" s="14" t="s">
        <v>6012</v>
      </c>
      <c r="G3977" s="14">
        <v>416.67</v>
      </c>
      <c r="H3977" s="14">
        <v>0.0</v>
      </c>
      <c r="I3977" s="14" t="s">
        <v>6057</v>
      </c>
      <c r="J3977" s="14" t="s">
        <v>6012</v>
      </c>
      <c r="K3977" s="14" t="s">
        <v>6012</v>
      </c>
      <c r="L3977" s="14">
        <v>0.0</v>
      </c>
    </row>
    <row r="3978">
      <c r="A3978" s="14">
        <v>179.0</v>
      </c>
      <c r="B3978" s="14">
        <v>2.0</v>
      </c>
      <c r="C3978" s="34">
        <v>13.63</v>
      </c>
      <c r="D3978" s="36">
        <v>45134.0</v>
      </c>
      <c r="E3978" s="24"/>
      <c r="F3978" s="14">
        <v>6.82</v>
      </c>
      <c r="G3978" s="14">
        <v>76.15</v>
      </c>
      <c r="H3978" s="14">
        <v>1.12</v>
      </c>
      <c r="I3978" s="14" t="s">
        <v>6058</v>
      </c>
      <c r="J3978" s="14">
        <v>0.0</v>
      </c>
      <c r="K3978" s="14" t="s">
        <v>6012</v>
      </c>
      <c r="L3978" s="14">
        <v>1.0</v>
      </c>
    </row>
    <row r="3979">
      <c r="A3979" s="14">
        <v>39.0</v>
      </c>
      <c r="B3979" s="14">
        <v>0.0</v>
      </c>
      <c r="C3979" s="34">
        <v>12.5</v>
      </c>
      <c r="D3979" s="36">
        <v>45134.0</v>
      </c>
      <c r="E3979" s="24"/>
      <c r="F3979" s="14" t="s">
        <v>6012</v>
      </c>
      <c r="G3979" s="14">
        <v>320.51</v>
      </c>
      <c r="H3979" s="14">
        <v>0.0</v>
      </c>
      <c r="I3979" s="14" t="s">
        <v>6059</v>
      </c>
      <c r="J3979" s="14" t="s">
        <v>6012</v>
      </c>
      <c r="K3979" s="14" t="s">
        <v>6012</v>
      </c>
      <c r="L3979" s="14">
        <v>0.0</v>
      </c>
    </row>
    <row r="3980">
      <c r="A3980" s="14">
        <v>941.0</v>
      </c>
      <c r="B3980" s="14">
        <v>8.0</v>
      </c>
      <c r="C3980" s="34">
        <v>12.64</v>
      </c>
      <c r="D3980" s="36">
        <v>45134.0</v>
      </c>
      <c r="E3980" s="24"/>
      <c r="F3980" s="14">
        <v>1.58</v>
      </c>
      <c r="G3980" s="14">
        <v>13.43</v>
      </c>
      <c r="H3980" s="14">
        <v>0.85</v>
      </c>
      <c r="I3980" s="14" t="s">
        <v>6051</v>
      </c>
      <c r="J3980" s="14">
        <v>0.0</v>
      </c>
      <c r="K3980" s="14" t="s">
        <v>6012</v>
      </c>
      <c r="L3980" s="14">
        <v>0.0</v>
      </c>
    </row>
    <row r="3981">
      <c r="A3981" s="14">
        <v>291.0</v>
      </c>
      <c r="B3981" s="14">
        <v>0.0</v>
      </c>
      <c r="C3981" s="34">
        <v>13.48</v>
      </c>
      <c r="D3981" s="36">
        <v>45134.0</v>
      </c>
      <c r="E3981" s="24"/>
      <c r="F3981" s="14" t="s">
        <v>6012</v>
      </c>
      <c r="G3981" s="14">
        <v>46.32</v>
      </c>
      <c r="H3981" s="14">
        <v>0.0</v>
      </c>
      <c r="I3981" s="14" t="s">
        <v>6042</v>
      </c>
      <c r="J3981" s="14" t="s">
        <v>6012</v>
      </c>
      <c r="K3981" s="14" t="s">
        <v>6012</v>
      </c>
      <c r="L3981" s="14">
        <v>0.0</v>
      </c>
    </row>
    <row r="3982">
      <c r="A3982" s="14">
        <v>30.0</v>
      </c>
      <c r="B3982" s="14">
        <v>0.0</v>
      </c>
      <c r="C3982" s="34">
        <v>12.24</v>
      </c>
      <c r="D3982" s="36">
        <v>45135.0</v>
      </c>
      <c r="E3982" s="24"/>
      <c r="F3982" s="14" t="s">
        <v>6012</v>
      </c>
      <c r="G3982" s="14">
        <v>408.0</v>
      </c>
      <c r="H3982" s="14">
        <v>0.0</v>
      </c>
      <c r="I3982" s="14" t="s">
        <v>6059</v>
      </c>
      <c r="J3982" s="14" t="s">
        <v>6012</v>
      </c>
      <c r="K3982" s="14" t="s">
        <v>6012</v>
      </c>
      <c r="L3982" s="14">
        <v>0.0</v>
      </c>
    </row>
    <row r="3983">
      <c r="A3983" s="14">
        <v>37.0</v>
      </c>
      <c r="B3983" s="14">
        <v>0.0</v>
      </c>
      <c r="C3983" s="34">
        <v>9.47</v>
      </c>
      <c r="D3983" s="36">
        <v>45135.0</v>
      </c>
      <c r="E3983" s="24"/>
      <c r="F3983" s="14" t="s">
        <v>6012</v>
      </c>
      <c r="G3983" s="14">
        <v>255.95</v>
      </c>
      <c r="H3983" s="14">
        <v>0.0</v>
      </c>
      <c r="I3983" s="14" t="s">
        <v>6063</v>
      </c>
      <c r="J3983" s="14" t="s">
        <v>6012</v>
      </c>
      <c r="K3983" s="14" t="s">
        <v>6012</v>
      </c>
      <c r="L3983" s="14">
        <v>0.0</v>
      </c>
    </row>
    <row r="3984">
      <c r="A3984" s="14">
        <v>118.0</v>
      </c>
      <c r="B3984" s="14">
        <v>1.0</v>
      </c>
      <c r="C3984" s="34">
        <v>10.57</v>
      </c>
      <c r="D3984" s="36">
        <v>45135.0</v>
      </c>
      <c r="E3984" s="24"/>
      <c r="F3984" s="14">
        <v>10.57</v>
      </c>
      <c r="G3984" s="14">
        <v>89.58</v>
      </c>
      <c r="H3984" s="14">
        <v>0.85</v>
      </c>
      <c r="I3984" s="14" t="s">
        <v>6042</v>
      </c>
      <c r="J3984" s="14">
        <v>0.0</v>
      </c>
      <c r="K3984" s="14" t="s">
        <v>6012</v>
      </c>
      <c r="L3984" s="14">
        <v>0.0</v>
      </c>
    </row>
    <row r="3985">
      <c r="A3985" s="14">
        <v>68.0</v>
      </c>
      <c r="B3985" s="14">
        <v>1.0</v>
      </c>
      <c r="C3985" s="34">
        <v>9.65</v>
      </c>
      <c r="D3985" s="36">
        <v>45135.0</v>
      </c>
      <c r="E3985" s="24"/>
      <c r="F3985" s="14">
        <v>9.65</v>
      </c>
      <c r="G3985" s="14">
        <v>141.91</v>
      </c>
      <c r="H3985" s="14">
        <v>1.47</v>
      </c>
      <c r="I3985" s="14" t="s">
        <v>6054</v>
      </c>
      <c r="J3985" s="14">
        <v>0.0</v>
      </c>
      <c r="K3985" s="14" t="s">
        <v>6012</v>
      </c>
      <c r="L3985" s="14">
        <v>0.0</v>
      </c>
    </row>
    <row r="3986">
      <c r="A3986" s="14">
        <v>831.0</v>
      </c>
      <c r="B3986" s="14">
        <v>8.0</v>
      </c>
      <c r="C3986" s="34">
        <v>11.27</v>
      </c>
      <c r="D3986" s="36">
        <v>45135.0</v>
      </c>
      <c r="E3986" s="24"/>
      <c r="F3986" s="14">
        <v>1.41</v>
      </c>
      <c r="G3986" s="14">
        <v>13.56</v>
      </c>
      <c r="H3986" s="14">
        <v>0.96</v>
      </c>
      <c r="I3986" s="14" t="s">
        <v>6051</v>
      </c>
      <c r="J3986" s="14">
        <v>0.0</v>
      </c>
      <c r="K3986" s="14" t="s">
        <v>6012</v>
      </c>
      <c r="L3986" s="14">
        <v>0.0</v>
      </c>
    </row>
    <row r="3987">
      <c r="A3987" s="14">
        <v>116.0</v>
      </c>
      <c r="B3987" s="14">
        <v>0.0</v>
      </c>
      <c r="C3987" s="34">
        <v>9.62</v>
      </c>
      <c r="D3987" s="36">
        <v>45135.0</v>
      </c>
      <c r="E3987" s="24"/>
      <c r="F3987" s="14" t="s">
        <v>6012</v>
      </c>
      <c r="G3987" s="14">
        <v>82.93</v>
      </c>
      <c r="H3987" s="14">
        <v>0.0</v>
      </c>
      <c r="I3987" s="14" t="s">
        <v>6062</v>
      </c>
      <c r="J3987" s="14" t="s">
        <v>6012</v>
      </c>
      <c r="K3987" s="14" t="s">
        <v>6012</v>
      </c>
      <c r="L3987" s="14">
        <v>0.0</v>
      </c>
    </row>
    <row r="3988">
      <c r="A3988" s="14">
        <v>46.0</v>
      </c>
      <c r="B3988" s="14">
        <v>1.0</v>
      </c>
      <c r="C3988" s="34">
        <v>9.42</v>
      </c>
      <c r="D3988" s="36">
        <v>45135.0</v>
      </c>
      <c r="E3988" s="24"/>
      <c r="F3988" s="14">
        <v>9.42</v>
      </c>
      <c r="G3988" s="14">
        <v>204.78</v>
      </c>
      <c r="H3988" s="14">
        <v>2.17</v>
      </c>
      <c r="I3988" s="14" t="s">
        <v>6057</v>
      </c>
      <c r="J3988" s="14">
        <v>0.0</v>
      </c>
      <c r="K3988" s="14" t="s">
        <v>6012</v>
      </c>
      <c r="L3988" s="14">
        <v>0.0</v>
      </c>
    </row>
    <row r="3989">
      <c r="A3989" s="14">
        <v>2034.0</v>
      </c>
      <c r="B3989" s="14">
        <v>7.0</v>
      </c>
      <c r="C3989" s="34">
        <v>9.95</v>
      </c>
      <c r="D3989" s="36">
        <v>45135.0</v>
      </c>
      <c r="E3989" s="24"/>
      <c r="F3989" s="14">
        <v>1.42</v>
      </c>
      <c r="G3989" s="14">
        <v>4.89</v>
      </c>
      <c r="H3989" s="14">
        <v>0.34</v>
      </c>
      <c r="I3989" s="14" t="s">
        <v>6050</v>
      </c>
      <c r="J3989" s="14">
        <v>100.0</v>
      </c>
      <c r="K3989" s="14">
        <v>1.42</v>
      </c>
      <c r="L3989" s="14">
        <v>0.0</v>
      </c>
    </row>
    <row r="3990">
      <c r="A3990" s="14">
        <v>31.0</v>
      </c>
      <c r="B3990" s="14">
        <v>0.0</v>
      </c>
      <c r="C3990" s="34">
        <v>10.47</v>
      </c>
      <c r="D3990" s="36">
        <v>45135.0</v>
      </c>
      <c r="E3990" s="24"/>
      <c r="F3990" s="14" t="s">
        <v>6012</v>
      </c>
      <c r="G3990" s="14">
        <v>337.74</v>
      </c>
      <c r="H3990" s="14">
        <v>0.0</v>
      </c>
      <c r="I3990" s="14" t="s">
        <v>6061</v>
      </c>
      <c r="J3990" s="14" t="s">
        <v>6012</v>
      </c>
      <c r="K3990" s="14" t="s">
        <v>6012</v>
      </c>
      <c r="L3990" s="14">
        <v>0.0</v>
      </c>
    </row>
    <row r="3991">
      <c r="A3991" s="14">
        <v>727.0</v>
      </c>
      <c r="B3991" s="14">
        <v>3.0</v>
      </c>
      <c r="C3991" s="34">
        <v>10.0</v>
      </c>
      <c r="D3991" s="36">
        <v>45135.0</v>
      </c>
      <c r="E3991" s="24"/>
      <c r="F3991" s="14">
        <v>3.33</v>
      </c>
      <c r="G3991" s="14">
        <v>13.76</v>
      </c>
      <c r="H3991" s="14">
        <v>0.41</v>
      </c>
      <c r="I3991" s="14" t="s">
        <v>6060</v>
      </c>
      <c r="J3991" s="14">
        <v>33.33</v>
      </c>
      <c r="K3991" s="14">
        <v>10.0</v>
      </c>
      <c r="L3991" s="14">
        <v>0.0</v>
      </c>
    </row>
    <row r="3992">
      <c r="A3992" s="14">
        <v>9.0</v>
      </c>
      <c r="B3992" s="14">
        <v>3.0</v>
      </c>
      <c r="C3992" s="34">
        <v>6.75</v>
      </c>
      <c r="D3992" s="36">
        <v>45135.0</v>
      </c>
      <c r="E3992" s="24"/>
      <c r="F3992" s="14">
        <v>2.25</v>
      </c>
      <c r="G3992" s="14">
        <v>750.0</v>
      </c>
      <c r="H3992" s="14">
        <v>33.33</v>
      </c>
      <c r="I3992" s="14" t="s">
        <v>6064</v>
      </c>
      <c r="J3992" s="14">
        <v>0.0</v>
      </c>
      <c r="K3992" s="14" t="s">
        <v>6012</v>
      </c>
      <c r="L3992" s="14">
        <v>0.0</v>
      </c>
    </row>
    <row r="3993">
      <c r="A3993" s="14">
        <v>107.0</v>
      </c>
      <c r="B3993" s="14">
        <v>0.0</v>
      </c>
      <c r="C3993" s="34">
        <v>7.3</v>
      </c>
      <c r="D3993" s="36">
        <v>45135.0</v>
      </c>
      <c r="E3993" s="24"/>
      <c r="F3993" s="14" t="s">
        <v>6012</v>
      </c>
      <c r="G3993" s="14">
        <v>68.22</v>
      </c>
      <c r="H3993" s="14">
        <v>0.0</v>
      </c>
      <c r="I3993" s="14" t="s">
        <v>6058</v>
      </c>
      <c r="J3993" s="14" t="s">
        <v>6012</v>
      </c>
      <c r="K3993" s="14" t="s">
        <v>6012</v>
      </c>
      <c r="L3993" s="14">
        <v>0.0</v>
      </c>
    </row>
    <row r="3994">
      <c r="A3994" s="14">
        <v>41.0</v>
      </c>
      <c r="B3994" s="14">
        <v>0.0</v>
      </c>
      <c r="C3994" s="34">
        <v>6.99</v>
      </c>
      <c r="D3994" s="36">
        <v>45136.0</v>
      </c>
      <c r="E3994" s="24"/>
      <c r="F3994" s="14" t="s">
        <v>6012</v>
      </c>
      <c r="G3994" s="14">
        <v>170.49</v>
      </c>
      <c r="H3994" s="14">
        <v>0.0</v>
      </c>
      <c r="I3994" s="14" t="s">
        <v>6042</v>
      </c>
      <c r="J3994" s="14" t="s">
        <v>6012</v>
      </c>
      <c r="K3994" s="14">
        <v>6.99</v>
      </c>
      <c r="L3994" s="14">
        <v>0.0</v>
      </c>
    </row>
    <row r="3995">
      <c r="A3995" s="14">
        <v>24.0</v>
      </c>
      <c r="B3995" s="14">
        <v>0.0</v>
      </c>
      <c r="C3995" s="34">
        <v>5.57</v>
      </c>
      <c r="D3995" s="36">
        <v>45136.0</v>
      </c>
      <c r="E3995" s="24"/>
      <c r="F3995" s="14" t="s">
        <v>6012</v>
      </c>
      <c r="G3995" s="14">
        <v>232.08</v>
      </c>
      <c r="H3995" s="14">
        <v>0.0</v>
      </c>
      <c r="I3995" s="14" t="s">
        <v>6061</v>
      </c>
      <c r="J3995" s="14" t="s">
        <v>6012</v>
      </c>
      <c r="K3995" s="14" t="s">
        <v>6012</v>
      </c>
      <c r="L3995" s="14">
        <v>0.0</v>
      </c>
    </row>
    <row r="3996">
      <c r="A3996" s="14">
        <v>536.0</v>
      </c>
      <c r="B3996" s="14">
        <v>7.0</v>
      </c>
      <c r="C3996" s="34">
        <v>6.51</v>
      </c>
      <c r="D3996" s="36">
        <v>45136.0</v>
      </c>
      <c r="E3996" s="24"/>
      <c r="F3996" s="14">
        <v>0.93</v>
      </c>
      <c r="G3996" s="14">
        <v>12.15</v>
      </c>
      <c r="H3996" s="14">
        <v>1.31</v>
      </c>
      <c r="I3996" s="14" t="s">
        <v>6051</v>
      </c>
      <c r="J3996" s="14">
        <v>0.0</v>
      </c>
      <c r="K3996" s="14" t="s">
        <v>6012</v>
      </c>
      <c r="L3996" s="14">
        <v>0.0</v>
      </c>
    </row>
    <row r="3997">
      <c r="A3997" s="14">
        <v>40.0</v>
      </c>
      <c r="B3997" s="14">
        <v>1.0</v>
      </c>
      <c r="C3997" s="34">
        <v>5.82</v>
      </c>
      <c r="D3997" s="36">
        <v>45136.0</v>
      </c>
      <c r="E3997" s="24"/>
      <c r="F3997" s="14">
        <v>5.82</v>
      </c>
      <c r="G3997" s="14">
        <v>145.5</v>
      </c>
      <c r="H3997" s="14">
        <v>2.5</v>
      </c>
      <c r="I3997" s="14" t="s">
        <v>6054</v>
      </c>
      <c r="J3997" s="14">
        <v>0.0</v>
      </c>
      <c r="K3997" s="14" t="s">
        <v>6012</v>
      </c>
      <c r="L3997" s="14">
        <v>0.0</v>
      </c>
    </row>
    <row r="3998">
      <c r="A3998" s="14">
        <v>44.0</v>
      </c>
      <c r="B3998" s="14">
        <v>0.0</v>
      </c>
      <c r="C3998" s="34">
        <v>10.81</v>
      </c>
      <c r="D3998" s="36">
        <v>45136.0</v>
      </c>
      <c r="E3998" s="24"/>
      <c r="F3998" s="14" t="s">
        <v>6012</v>
      </c>
      <c r="G3998" s="14">
        <v>245.68</v>
      </c>
      <c r="H3998" s="14">
        <v>0.0</v>
      </c>
      <c r="I3998" s="14" t="s">
        <v>6060</v>
      </c>
      <c r="J3998" s="14" t="s">
        <v>6012</v>
      </c>
      <c r="K3998" s="14">
        <v>5.4</v>
      </c>
      <c r="L3998" s="14">
        <v>0.0</v>
      </c>
    </row>
    <row r="3999">
      <c r="A3999" s="14">
        <v>16.0</v>
      </c>
      <c r="B3999" s="14">
        <v>1.0</v>
      </c>
      <c r="C3999" s="34">
        <v>3.96</v>
      </c>
      <c r="D3999" s="36">
        <v>45136.0</v>
      </c>
      <c r="E3999" s="24"/>
      <c r="F3999" s="14">
        <v>3.96</v>
      </c>
      <c r="G3999" s="14">
        <v>247.5</v>
      </c>
      <c r="H3999" s="14">
        <v>6.25</v>
      </c>
      <c r="I3999" s="14" t="s">
        <v>6057</v>
      </c>
      <c r="J3999" s="14">
        <v>0.0</v>
      </c>
      <c r="K3999" s="14" t="s">
        <v>6012</v>
      </c>
      <c r="L3999" s="14">
        <v>0.0</v>
      </c>
    </row>
    <row r="4000">
      <c r="A4000" s="14">
        <v>24.0</v>
      </c>
      <c r="B4000" s="14">
        <v>1.0</v>
      </c>
      <c r="C4000" s="34">
        <v>5.01</v>
      </c>
      <c r="D4000" s="36">
        <v>45136.0</v>
      </c>
      <c r="E4000" s="24"/>
      <c r="F4000" s="14">
        <v>5.01</v>
      </c>
      <c r="G4000" s="14">
        <v>208.75</v>
      </c>
      <c r="H4000" s="14">
        <v>4.17</v>
      </c>
      <c r="I4000" s="14" t="s">
        <v>6063</v>
      </c>
      <c r="J4000" s="14">
        <v>0.0</v>
      </c>
      <c r="K4000" s="14" t="s">
        <v>6012</v>
      </c>
      <c r="L4000" s="14">
        <v>0.0</v>
      </c>
    </row>
    <row r="4001">
      <c r="A4001" s="14">
        <v>4.0</v>
      </c>
      <c r="B4001" s="14">
        <v>3.0</v>
      </c>
      <c r="C4001" s="34">
        <v>3.0</v>
      </c>
      <c r="D4001" s="36">
        <v>45136.0</v>
      </c>
      <c r="E4001" s="24"/>
      <c r="F4001" s="14">
        <v>1.0</v>
      </c>
      <c r="G4001" s="14">
        <v>750.0</v>
      </c>
      <c r="H4001" s="14">
        <v>75.0</v>
      </c>
      <c r="I4001" s="14" t="s">
        <v>6064</v>
      </c>
      <c r="J4001" s="14">
        <v>0.0</v>
      </c>
      <c r="K4001" s="14" t="s">
        <v>6012</v>
      </c>
      <c r="L4001" s="14">
        <v>0.0</v>
      </c>
    </row>
    <row r="4002">
      <c r="A4002" s="14">
        <v>1514.0</v>
      </c>
      <c r="B4002" s="14">
        <v>9.0</v>
      </c>
      <c r="C4002" s="34">
        <v>6.9</v>
      </c>
      <c r="D4002" s="36">
        <v>45136.0</v>
      </c>
      <c r="E4002" s="24"/>
      <c r="F4002" s="14">
        <v>0.77</v>
      </c>
      <c r="G4002" s="14">
        <v>4.56</v>
      </c>
      <c r="H4002" s="14">
        <v>0.59</v>
      </c>
      <c r="I4002" s="14" t="s">
        <v>6050</v>
      </c>
      <c r="J4002" s="14">
        <v>22.22</v>
      </c>
      <c r="K4002" s="14">
        <v>3.45</v>
      </c>
      <c r="L4002" s="14">
        <v>0.0</v>
      </c>
    </row>
    <row r="4003">
      <c r="A4003" s="14">
        <v>32.0</v>
      </c>
      <c r="B4003" s="14">
        <v>0.0</v>
      </c>
      <c r="C4003" s="34">
        <v>8.46</v>
      </c>
      <c r="D4003" s="36">
        <v>45136.0</v>
      </c>
      <c r="E4003" s="24"/>
      <c r="F4003" s="14" t="s">
        <v>6012</v>
      </c>
      <c r="G4003" s="14">
        <v>264.38</v>
      </c>
      <c r="H4003" s="14">
        <v>0.0</v>
      </c>
      <c r="I4003" s="14" t="s">
        <v>6058</v>
      </c>
      <c r="J4003" s="14" t="s">
        <v>6012</v>
      </c>
      <c r="K4003" s="14" t="s">
        <v>6012</v>
      </c>
      <c r="L4003" s="14">
        <v>0.0</v>
      </c>
    </row>
    <row r="4004">
      <c r="A4004" s="14">
        <v>19.0</v>
      </c>
      <c r="B4004" s="14">
        <v>1.0</v>
      </c>
      <c r="C4004" s="34">
        <v>6.66</v>
      </c>
      <c r="D4004" s="36">
        <v>45136.0</v>
      </c>
      <c r="E4004" s="24"/>
      <c r="F4004" s="14">
        <v>6.66</v>
      </c>
      <c r="G4004" s="14">
        <v>350.53</v>
      </c>
      <c r="H4004" s="14">
        <v>5.26</v>
      </c>
      <c r="I4004" s="14" t="s">
        <v>6059</v>
      </c>
      <c r="J4004" s="14">
        <v>0.0</v>
      </c>
      <c r="K4004" s="14" t="s">
        <v>6012</v>
      </c>
      <c r="L4004" s="14">
        <v>0.0</v>
      </c>
    </row>
    <row r="4005">
      <c r="A4005" s="14">
        <v>52.0</v>
      </c>
      <c r="B4005" s="14">
        <v>0.0</v>
      </c>
      <c r="C4005" s="34">
        <v>11.81</v>
      </c>
      <c r="D4005" s="36">
        <v>45136.0</v>
      </c>
      <c r="E4005" s="24"/>
      <c r="F4005" s="14" t="s">
        <v>6012</v>
      </c>
      <c r="G4005" s="14">
        <v>227.12</v>
      </c>
      <c r="H4005" s="14">
        <v>0.0</v>
      </c>
      <c r="I4005" s="14" t="s">
        <v>6062</v>
      </c>
      <c r="J4005" s="14" t="s">
        <v>6012</v>
      </c>
      <c r="K4005" s="14" t="s">
        <v>6012</v>
      </c>
      <c r="L4005" s="14">
        <v>0.0</v>
      </c>
    </row>
    <row r="4006">
      <c r="A4006" s="14">
        <v>190.0</v>
      </c>
      <c r="B4006" s="14">
        <v>2.0</v>
      </c>
      <c r="C4006" s="34">
        <v>1.91</v>
      </c>
      <c r="D4006" s="36">
        <v>45137.0</v>
      </c>
      <c r="E4006" s="24"/>
      <c r="F4006" s="14">
        <v>0.96</v>
      </c>
      <c r="G4006" s="14">
        <v>10.05</v>
      </c>
      <c r="H4006" s="14">
        <v>1.05</v>
      </c>
      <c r="I4006" s="14" t="s">
        <v>6060</v>
      </c>
      <c r="J4006" s="14">
        <v>50.0</v>
      </c>
      <c r="K4006" s="14">
        <v>1.91</v>
      </c>
      <c r="L4006" s="14">
        <v>0.0</v>
      </c>
    </row>
    <row r="4007">
      <c r="A4007" s="14">
        <v>0.0</v>
      </c>
      <c r="B4007" s="14">
        <v>0.0</v>
      </c>
      <c r="C4007" s="34"/>
      <c r="D4007" s="36">
        <v>45137.0</v>
      </c>
      <c r="E4007" s="24"/>
      <c r="F4007" s="14" t="s">
        <v>6012</v>
      </c>
      <c r="G4007" s="14" t="s">
        <v>6012</v>
      </c>
      <c r="H4007" s="14" t="s">
        <v>6012</v>
      </c>
      <c r="I4007" s="14" t="s">
        <v>6062</v>
      </c>
      <c r="J4007" s="14" t="s">
        <v>6012</v>
      </c>
      <c r="K4007" s="14" t="s">
        <v>6012</v>
      </c>
      <c r="L4007" s="14"/>
    </row>
    <row r="4008">
      <c r="A4008" s="14">
        <v>8.0</v>
      </c>
      <c r="B4008" s="14">
        <v>0.0</v>
      </c>
      <c r="C4008" s="34">
        <v>0.9</v>
      </c>
      <c r="D4008" s="36">
        <v>45137.0</v>
      </c>
      <c r="E4008" s="24"/>
      <c r="F4008" s="14" t="s">
        <v>6012</v>
      </c>
      <c r="G4008" s="14">
        <v>112.5</v>
      </c>
      <c r="H4008" s="14">
        <v>0.0</v>
      </c>
      <c r="I4008" s="14" t="s">
        <v>6059</v>
      </c>
      <c r="J4008" s="14" t="s">
        <v>6012</v>
      </c>
      <c r="K4008" s="14" t="s">
        <v>6012</v>
      </c>
      <c r="L4008" s="14">
        <v>0.0</v>
      </c>
    </row>
    <row r="4009">
      <c r="A4009" s="14">
        <v>1593.0</v>
      </c>
      <c r="B4009" s="14">
        <v>8.0</v>
      </c>
      <c r="C4009" s="34">
        <v>7.15</v>
      </c>
      <c r="D4009" s="36">
        <v>45137.0</v>
      </c>
      <c r="E4009" s="24"/>
      <c r="F4009" s="14">
        <v>0.89</v>
      </c>
      <c r="G4009" s="14">
        <v>4.49</v>
      </c>
      <c r="H4009" s="14">
        <v>0.5</v>
      </c>
      <c r="I4009" s="14" t="s">
        <v>6050</v>
      </c>
      <c r="J4009" s="14">
        <v>12.5</v>
      </c>
      <c r="K4009" s="14">
        <v>7.15</v>
      </c>
      <c r="L4009" s="14">
        <v>0.0</v>
      </c>
    </row>
    <row r="4010">
      <c r="A4010" s="14">
        <v>10.0</v>
      </c>
      <c r="B4010" s="14">
        <v>0.0</v>
      </c>
      <c r="C4010" s="34">
        <v>2.83</v>
      </c>
      <c r="D4010" s="36">
        <v>45137.0</v>
      </c>
      <c r="E4010" s="24"/>
      <c r="F4010" s="14" t="s">
        <v>6012</v>
      </c>
      <c r="G4010" s="14">
        <v>283.0</v>
      </c>
      <c r="H4010" s="14">
        <v>0.0</v>
      </c>
      <c r="I4010" s="14" t="s">
        <v>6057</v>
      </c>
      <c r="J4010" s="14" t="s">
        <v>6012</v>
      </c>
      <c r="K4010" s="14" t="s">
        <v>6012</v>
      </c>
      <c r="L4010" s="14">
        <v>0.0</v>
      </c>
    </row>
    <row r="4011">
      <c r="A4011" s="14">
        <v>17.0</v>
      </c>
      <c r="B4011" s="14">
        <v>0.0</v>
      </c>
      <c r="C4011" s="34">
        <v>2.31</v>
      </c>
      <c r="D4011" s="36">
        <v>45137.0</v>
      </c>
      <c r="E4011" s="24"/>
      <c r="F4011" s="14" t="s">
        <v>6012</v>
      </c>
      <c r="G4011" s="14">
        <v>135.88</v>
      </c>
      <c r="H4011" s="14">
        <v>0.0</v>
      </c>
      <c r="I4011" s="14" t="s">
        <v>6063</v>
      </c>
      <c r="J4011" s="14" t="s">
        <v>6012</v>
      </c>
      <c r="K4011" s="14" t="s">
        <v>6012</v>
      </c>
      <c r="L4011" s="14">
        <v>0.0</v>
      </c>
    </row>
    <row r="4012">
      <c r="A4012" s="14">
        <v>359.0</v>
      </c>
      <c r="B4012" s="14">
        <v>4.0</v>
      </c>
      <c r="C4012" s="34">
        <v>5.17</v>
      </c>
      <c r="D4012" s="36">
        <v>45137.0</v>
      </c>
      <c r="E4012" s="24"/>
      <c r="F4012" s="14">
        <v>1.29</v>
      </c>
      <c r="G4012" s="14">
        <v>14.4</v>
      </c>
      <c r="H4012" s="14">
        <v>1.11</v>
      </c>
      <c r="I4012" s="14" t="s">
        <v>6051</v>
      </c>
      <c r="J4012" s="14">
        <v>0.0</v>
      </c>
      <c r="K4012" s="14" t="s">
        <v>6012</v>
      </c>
      <c r="L4012" s="14">
        <v>0.0</v>
      </c>
    </row>
    <row r="4013">
      <c r="A4013" s="14">
        <v>22.0</v>
      </c>
      <c r="B4013" s="14">
        <v>0.0</v>
      </c>
      <c r="C4013" s="34">
        <v>2.84</v>
      </c>
      <c r="D4013" s="36">
        <v>45137.0</v>
      </c>
      <c r="E4013" s="24"/>
      <c r="F4013" s="14" t="s">
        <v>6012</v>
      </c>
      <c r="G4013" s="14">
        <v>129.09</v>
      </c>
      <c r="H4013" s="14">
        <v>0.0</v>
      </c>
      <c r="I4013" s="14" t="s">
        <v>6061</v>
      </c>
      <c r="J4013" s="14" t="s">
        <v>6012</v>
      </c>
      <c r="K4013" s="14" t="s">
        <v>6012</v>
      </c>
      <c r="L4013" s="14">
        <v>0.0</v>
      </c>
    </row>
    <row r="4014">
      <c r="A4014" s="14">
        <v>26.0</v>
      </c>
      <c r="B4014" s="14">
        <v>0.0</v>
      </c>
      <c r="C4014" s="34">
        <v>4.92</v>
      </c>
      <c r="D4014" s="36">
        <v>45137.0</v>
      </c>
      <c r="E4014" s="24"/>
      <c r="F4014" s="14" t="s">
        <v>6012</v>
      </c>
      <c r="G4014" s="14">
        <v>189.23</v>
      </c>
      <c r="H4014" s="14">
        <v>0.0</v>
      </c>
      <c r="I4014" s="14" t="s">
        <v>6054</v>
      </c>
      <c r="J4014" s="14" t="s">
        <v>6012</v>
      </c>
      <c r="K4014" s="14" t="s">
        <v>6012</v>
      </c>
      <c r="L4014" s="14">
        <v>0.0</v>
      </c>
    </row>
    <row r="4015">
      <c r="A4015" s="14">
        <v>5.0</v>
      </c>
      <c r="B4015" s="14">
        <v>0.0</v>
      </c>
      <c r="C4015" s="34">
        <v>3.75</v>
      </c>
      <c r="D4015" s="36">
        <v>45137.0</v>
      </c>
      <c r="E4015" s="24"/>
      <c r="F4015" s="14" t="s">
        <v>6012</v>
      </c>
      <c r="G4015" s="14">
        <v>750.0</v>
      </c>
      <c r="H4015" s="14">
        <v>0.0</v>
      </c>
      <c r="I4015" s="14" t="s">
        <v>6064</v>
      </c>
      <c r="J4015" s="14" t="s">
        <v>6012</v>
      </c>
      <c r="K4015" s="14" t="s">
        <v>6012</v>
      </c>
      <c r="L4015" s="14">
        <v>0.0</v>
      </c>
    </row>
    <row r="4016">
      <c r="A4016" s="14">
        <v>56.0</v>
      </c>
      <c r="B4016" s="14">
        <v>0.0</v>
      </c>
      <c r="C4016" s="34">
        <v>5.92</v>
      </c>
      <c r="D4016" s="36">
        <v>45137.0</v>
      </c>
      <c r="E4016" s="24"/>
      <c r="F4016" s="14" t="s">
        <v>6012</v>
      </c>
      <c r="G4016" s="14">
        <v>105.71</v>
      </c>
      <c r="H4016" s="14">
        <v>0.0</v>
      </c>
      <c r="I4016" s="14" t="s">
        <v>6042</v>
      </c>
      <c r="J4016" s="14" t="s">
        <v>6012</v>
      </c>
      <c r="K4016" s="14" t="s">
        <v>6012</v>
      </c>
      <c r="L4016" s="14">
        <v>0.0</v>
      </c>
    </row>
    <row r="4017">
      <c r="A4017" s="14">
        <v>7.0</v>
      </c>
      <c r="B4017" s="14">
        <v>3.0</v>
      </c>
      <c r="C4017" s="34">
        <v>5.25</v>
      </c>
      <c r="D4017" s="36">
        <v>45138.0</v>
      </c>
      <c r="E4017" s="24"/>
      <c r="F4017" s="14">
        <v>1.75</v>
      </c>
      <c r="G4017" s="14">
        <v>750.0</v>
      </c>
      <c r="H4017" s="14">
        <v>42.86</v>
      </c>
      <c r="I4017" s="14" t="s">
        <v>6064</v>
      </c>
      <c r="J4017" s="14">
        <v>0.0</v>
      </c>
      <c r="K4017" s="14" t="s">
        <v>6012</v>
      </c>
      <c r="L4017" s="14">
        <v>0.0</v>
      </c>
    </row>
    <row r="4018">
      <c r="A4018" s="14">
        <v>959.0</v>
      </c>
      <c r="B4018" s="14">
        <v>10.0</v>
      </c>
      <c r="C4018" s="34">
        <v>10.28</v>
      </c>
      <c r="D4018" s="36">
        <v>45138.0</v>
      </c>
      <c r="E4018" s="24"/>
      <c r="F4018" s="14">
        <v>1.03</v>
      </c>
      <c r="G4018" s="14">
        <v>10.72</v>
      </c>
      <c r="H4018" s="14">
        <v>1.04</v>
      </c>
      <c r="I4018" s="14" t="s">
        <v>6051</v>
      </c>
      <c r="J4018" s="14">
        <v>0.0</v>
      </c>
      <c r="K4018" s="14" t="s">
        <v>6012</v>
      </c>
      <c r="L4018" s="14">
        <v>0.0</v>
      </c>
    </row>
    <row r="4019">
      <c r="A4019" s="14">
        <v>59.0</v>
      </c>
      <c r="B4019" s="14">
        <v>2.0</v>
      </c>
      <c r="C4019" s="34">
        <v>14.04</v>
      </c>
      <c r="D4019" s="36">
        <v>45138.0</v>
      </c>
      <c r="E4019" s="24"/>
      <c r="F4019" s="14">
        <v>7.02</v>
      </c>
      <c r="G4019" s="14">
        <v>237.97</v>
      </c>
      <c r="H4019" s="14">
        <v>3.39</v>
      </c>
      <c r="I4019" s="14" t="s">
        <v>6063</v>
      </c>
      <c r="J4019" s="14">
        <v>0.0</v>
      </c>
      <c r="K4019" s="14" t="s">
        <v>6012</v>
      </c>
      <c r="L4019" s="14">
        <v>0.0</v>
      </c>
    </row>
    <row r="4020">
      <c r="A4020" s="14">
        <v>54.0</v>
      </c>
      <c r="B4020" s="14">
        <v>1.0</v>
      </c>
      <c r="C4020" s="34">
        <v>11.08</v>
      </c>
      <c r="D4020" s="36">
        <v>45138.0</v>
      </c>
      <c r="E4020" s="24"/>
      <c r="F4020" s="14">
        <v>11.08</v>
      </c>
      <c r="G4020" s="14">
        <v>205.19</v>
      </c>
      <c r="H4020" s="14">
        <v>1.85</v>
      </c>
      <c r="I4020" s="14" t="s">
        <v>6057</v>
      </c>
      <c r="J4020" s="14">
        <v>0.0</v>
      </c>
      <c r="K4020" s="14" t="s">
        <v>6012</v>
      </c>
      <c r="L4020" s="14">
        <v>0.0</v>
      </c>
    </row>
    <row r="4021">
      <c r="A4021" s="14">
        <v>530.0</v>
      </c>
      <c r="B4021" s="14">
        <v>1.0</v>
      </c>
      <c r="C4021" s="34">
        <v>12.15</v>
      </c>
      <c r="D4021" s="36">
        <v>45138.0</v>
      </c>
      <c r="E4021" s="24"/>
      <c r="F4021" s="14">
        <v>12.15</v>
      </c>
      <c r="G4021" s="14">
        <v>22.92</v>
      </c>
      <c r="H4021" s="14">
        <v>0.19</v>
      </c>
      <c r="I4021" s="14" t="s">
        <v>6062</v>
      </c>
      <c r="J4021" s="14">
        <v>100.0</v>
      </c>
      <c r="K4021" s="14">
        <v>12.15</v>
      </c>
      <c r="L4021" s="14">
        <v>0.0</v>
      </c>
    </row>
    <row r="4022">
      <c r="A4022" s="14">
        <v>2159.0</v>
      </c>
      <c r="B4022" s="14">
        <v>8.0</v>
      </c>
      <c r="C4022" s="34">
        <v>11.24</v>
      </c>
      <c r="D4022" s="36">
        <v>45138.0</v>
      </c>
      <c r="E4022" s="24"/>
      <c r="F4022" s="14">
        <v>1.4</v>
      </c>
      <c r="G4022" s="14">
        <v>5.21</v>
      </c>
      <c r="H4022" s="14">
        <v>0.37</v>
      </c>
      <c r="I4022" s="14" t="s">
        <v>6050</v>
      </c>
      <c r="J4022" s="14">
        <v>50.0</v>
      </c>
      <c r="K4022" s="14">
        <v>2.81</v>
      </c>
      <c r="L4022" s="14">
        <v>0.0</v>
      </c>
    </row>
    <row r="4023">
      <c r="A4023" s="14">
        <v>536.0</v>
      </c>
      <c r="B4023" s="14">
        <v>2.0</v>
      </c>
      <c r="C4023" s="34">
        <v>12.02</v>
      </c>
      <c r="D4023" s="36">
        <v>45138.0</v>
      </c>
      <c r="E4023" s="24"/>
      <c r="F4023" s="14">
        <v>6.01</v>
      </c>
      <c r="G4023" s="14">
        <v>22.43</v>
      </c>
      <c r="H4023" s="14">
        <v>0.37</v>
      </c>
      <c r="I4023" s="14" t="s">
        <v>6060</v>
      </c>
      <c r="J4023" s="14">
        <v>50.0</v>
      </c>
      <c r="K4023" s="14">
        <v>12.02</v>
      </c>
      <c r="L4023" s="14">
        <v>0.0</v>
      </c>
    </row>
    <row r="4024">
      <c r="A4024" s="14">
        <v>79.0</v>
      </c>
      <c r="B4024" s="14">
        <v>2.0</v>
      </c>
      <c r="C4024" s="34">
        <v>15.0</v>
      </c>
      <c r="D4024" s="36">
        <v>45138.0</v>
      </c>
      <c r="E4024" s="24"/>
      <c r="F4024" s="14">
        <v>7.5</v>
      </c>
      <c r="G4024" s="14">
        <v>189.87</v>
      </c>
      <c r="H4024" s="14">
        <v>2.53</v>
      </c>
      <c r="I4024" s="14" t="s">
        <v>6061</v>
      </c>
      <c r="J4024" s="14">
        <v>0.0</v>
      </c>
      <c r="K4024" s="14" t="s">
        <v>6012</v>
      </c>
      <c r="L4024" s="14">
        <v>0.0</v>
      </c>
    </row>
    <row r="4025">
      <c r="A4025" s="14">
        <v>135.0</v>
      </c>
      <c r="B4025" s="14">
        <v>0.0</v>
      </c>
      <c r="C4025" s="34">
        <v>13.27</v>
      </c>
      <c r="D4025" s="36">
        <v>45138.0</v>
      </c>
      <c r="E4025" s="24"/>
      <c r="F4025" s="14" t="s">
        <v>6012</v>
      </c>
      <c r="G4025" s="14">
        <v>98.3</v>
      </c>
      <c r="H4025" s="14">
        <v>0.0</v>
      </c>
      <c r="I4025" s="14" t="s">
        <v>6042</v>
      </c>
      <c r="J4025" s="14" t="s">
        <v>6012</v>
      </c>
      <c r="K4025" s="14" t="s">
        <v>6012</v>
      </c>
      <c r="L4025" s="14">
        <v>0.0</v>
      </c>
    </row>
    <row r="4026">
      <c r="A4026" s="14">
        <v>113.0</v>
      </c>
      <c r="B4026" s="14">
        <v>1.0</v>
      </c>
      <c r="C4026" s="34">
        <v>14.09</v>
      </c>
      <c r="D4026" s="36">
        <v>45138.0</v>
      </c>
      <c r="E4026" s="24"/>
      <c r="F4026" s="14">
        <v>14.09</v>
      </c>
      <c r="G4026" s="14">
        <v>124.69</v>
      </c>
      <c r="H4026" s="14">
        <v>0.88</v>
      </c>
      <c r="I4026" s="14" t="s">
        <v>6058</v>
      </c>
      <c r="J4026" s="14">
        <v>0.0</v>
      </c>
      <c r="K4026" s="14" t="s">
        <v>6012</v>
      </c>
      <c r="L4026" s="14">
        <v>0.0</v>
      </c>
    </row>
    <row r="4027">
      <c r="A4027" s="14">
        <v>72.0</v>
      </c>
      <c r="B4027" s="14">
        <v>1.0</v>
      </c>
      <c r="C4027" s="34">
        <v>11.4</v>
      </c>
      <c r="D4027" s="36">
        <v>45138.0</v>
      </c>
      <c r="E4027" s="24"/>
      <c r="F4027" s="14">
        <v>11.4</v>
      </c>
      <c r="G4027" s="14">
        <v>158.33</v>
      </c>
      <c r="H4027" s="14">
        <v>1.39</v>
      </c>
      <c r="I4027" s="14" t="s">
        <v>6059</v>
      </c>
      <c r="J4027" s="14">
        <v>0.0</v>
      </c>
      <c r="K4027" s="14" t="s">
        <v>6012</v>
      </c>
      <c r="L4027" s="14">
        <v>0.0</v>
      </c>
    </row>
    <row r="4028">
      <c r="A4028" s="14">
        <v>157.0</v>
      </c>
      <c r="B4028" s="14">
        <v>1.0</v>
      </c>
      <c r="C4028" s="34">
        <v>12.27</v>
      </c>
      <c r="D4028" s="36">
        <v>45138.0</v>
      </c>
      <c r="E4028" s="24"/>
      <c r="F4028" s="14">
        <v>12.27</v>
      </c>
      <c r="G4028" s="14">
        <v>78.15</v>
      </c>
      <c r="H4028" s="14">
        <v>0.64</v>
      </c>
      <c r="I4028" s="14" t="s">
        <v>6054</v>
      </c>
      <c r="J4028" s="14">
        <v>0.0</v>
      </c>
      <c r="K4028" s="14" t="s">
        <v>6012</v>
      </c>
      <c r="L4028" s="14">
        <v>0.0</v>
      </c>
    </row>
    <row r="4029">
      <c r="A4029" s="14">
        <v>32.0</v>
      </c>
      <c r="B4029" s="14">
        <v>3.0</v>
      </c>
      <c r="C4029" s="34">
        <v>13.43</v>
      </c>
      <c r="D4029" s="36">
        <v>45139.0</v>
      </c>
      <c r="E4029" s="24"/>
      <c r="F4029" s="14">
        <v>4.48</v>
      </c>
      <c r="G4029" s="14">
        <v>419.69</v>
      </c>
      <c r="H4029" s="14">
        <v>9.38</v>
      </c>
      <c r="I4029" s="14" t="s">
        <v>6061</v>
      </c>
      <c r="J4029" s="14">
        <v>0.0</v>
      </c>
      <c r="K4029" s="14" t="s">
        <v>6012</v>
      </c>
      <c r="L4029" s="14">
        <v>0.0</v>
      </c>
    </row>
    <row r="4030">
      <c r="A4030" s="14">
        <v>48.0</v>
      </c>
      <c r="B4030" s="14">
        <v>0.0</v>
      </c>
      <c r="C4030" s="34">
        <v>11.81</v>
      </c>
      <c r="D4030" s="36">
        <v>45139.0</v>
      </c>
      <c r="E4030" s="24"/>
      <c r="F4030" s="14" t="s">
        <v>6012</v>
      </c>
      <c r="G4030" s="14">
        <v>246.04</v>
      </c>
      <c r="H4030" s="14">
        <v>0.0</v>
      </c>
      <c r="I4030" s="14" t="s">
        <v>6057</v>
      </c>
      <c r="J4030" s="14" t="s">
        <v>6012</v>
      </c>
      <c r="K4030" s="14" t="s">
        <v>6012</v>
      </c>
      <c r="L4030" s="14">
        <v>0.0</v>
      </c>
    </row>
    <row r="4031">
      <c r="A4031" s="14">
        <v>763.0</v>
      </c>
      <c r="B4031" s="14">
        <v>6.0</v>
      </c>
      <c r="C4031" s="34">
        <v>11.92</v>
      </c>
      <c r="D4031" s="36">
        <v>45139.0</v>
      </c>
      <c r="E4031" s="24"/>
      <c r="F4031" s="14">
        <v>1.99</v>
      </c>
      <c r="G4031" s="14">
        <v>15.62</v>
      </c>
      <c r="H4031" s="14">
        <v>0.79</v>
      </c>
      <c r="I4031" s="14" t="s">
        <v>6060</v>
      </c>
      <c r="J4031" s="14">
        <v>16.67</v>
      </c>
      <c r="K4031" s="14">
        <v>11.92</v>
      </c>
      <c r="L4031" s="14">
        <v>0.0</v>
      </c>
    </row>
    <row r="4032">
      <c r="A4032" s="14">
        <v>96.0</v>
      </c>
      <c r="B4032" s="14">
        <v>0.0</v>
      </c>
      <c r="C4032" s="34">
        <v>11.91</v>
      </c>
      <c r="D4032" s="36">
        <v>45139.0</v>
      </c>
      <c r="E4032" s="24"/>
      <c r="F4032" s="14" t="s">
        <v>6012</v>
      </c>
      <c r="G4032" s="14">
        <v>124.06</v>
      </c>
      <c r="H4032" s="14">
        <v>0.0</v>
      </c>
      <c r="I4032" s="14" t="s">
        <v>6054</v>
      </c>
      <c r="J4032" s="14" t="s">
        <v>6012</v>
      </c>
      <c r="K4032" s="14" t="s">
        <v>6012</v>
      </c>
      <c r="L4032" s="14">
        <v>0.0</v>
      </c>
    </row>
    <row r="4033">
      <c r="A4033" s="14">
        <v>36.0</v>
      </c>
      <c r="B4033" s="14">
        <v>0.0</v>
      </c>
      <c r="C4033" s="34">
        <v>15.0</v>
      </c>
      <c r="D4033" s="36">
        <v>45139.0</v>
      </c>
      <c r="E4033" s="24"/>
      <c r="F4033" s="14" t="s">
        <v>6012</v>
      </c>
      <c r="G4033" s="14">
        <v>416.67</v>
      </c>
      <c r="H4033" s="14">
        <v>0.0</v>
      </c>
      <c r="I4033" s="14" t="s">
        <v>6059</v>
      </c>
      <c r="J4033" s="14" t="s">
        <v>6012</v>
      </c>
      <c r="K4033" s="14" t="s">
        <v>6012</v>
      </c>
      <c r="L4033" s="14">
        <v>0.0</v>
      </c>
    </row>
    <row r="4034">
      <c r="A4034" s="14">
        <v>81.0</v>
      </c>
      <c r="B4034" s="14">
        <v>1.0</v>
      </c>
      <c r="C4034" s="34">
        <v>13.3</v>
      </c>
      <c r="D4034" s="36">
        <v>45139.0</v>
      </c>
      <c r="E4034" s="24"/>
      <c r="F4034" s="14">
        <v>13.3</v>
      </c>
      <c r="G4034" s="14">
        <v>164.2</v>
      </c>
      <c r="H4034" s="14">
        <v>1.23</v>
      </c>
      <c r="I4034" s="14" t="s">
        <v>6058</v>
      </c>
      <c r="J4034" s="14">
        <v>100.0</v>
      </c>
      <c r="K4034" s="14">
        <v>13.3</v>
      </c>
      <c r="L4034" s="14">
        <v>0.0</v>
      </c>
    </row>
    <row r="4035">
      <c r="A4035" s="14">
        <v>1147.0</v>
      </c>
      <c r="B4035" s="14">
        <v>8.0</v>
      </c>
      <c r="C4035" s="34">
        <v>11.33</v>
      </c>
      <c r="D4035" s="36">
        <v>45139.0</v>
      </c>
      <c r="E4035" s="24"/>
      <c r="F4035" s="14">
        <v>1.42</v>
      </c>
      <c r="G4035" s="14">
        <v>9.88</v>
      </c>
      <c r="H4035" s="14">
        <v>0.7</v>
      </c>
      <c r="I4035" s="14" t="s">
        <v>6051</v>
      </c>
      <c r="J4035" s="14">
        <v>12.5</v>
      </c>
      <c r="K4035" s="14">
        <v>11.33</v>
      </c>
      <c r="L4035" s="14">
        <v>0.0</v>
      </c>
    </row>
    <row r="4036">
      <c r="A4036" s="14">
        <v>2236.0</v>
      </c>
      <c r="B4036" s="14">
        <v>12.0</v>
      </c>
      <c r="C4036" s="34">
        <v>11.7</v>
      </c>
      <c r="D4036" s="36">
        <v>45139.0</v>
      </c>
      <c r="E4036" s="24"/>
      <c r="F4036" s="14">
        <v>0.98</v>
      </c>
      <c r="G4036" s="14">
        <v>5.23</v>
      </c>
      <c r="H4036" s="14">
        <v>0.54</v>
      </c>
      <c r="I4036" s="14" t="s">
        <v>6050</v>
      </c>
      <c r="J4036" s="14">
        <v>8.33</v>
      </c>
      <c r="K4036" s="14">
        <v>11.7</v>
      </c>
      <c r="L4036" s="14">
        <v>0.0</v>
      </c>
    </row>
    <row r="4037">
      <c r="A4037" s="14">
        <v>11.0</v>
      </c>
      <c r="B4037" s="14">
        <v>4.0</v>
      </c>
      <c r="C4037" s="34">
        <v>8.25</v>
      </c>
      <c r="D4037" s="36">
        <v>45139.0</v>
      </c>
      <c r="E4037" s="24"/>
      <c r="F4037" s="14">
        <v>2.06</v>
      </c>
      <c r="G4037" s="14">
        <v>750.0</v>
      </c>
      <c r="H4037" s="14">
        <v>36.36</v>
      </c>
      <c r="I4037" s="14" t="s">
        <v>6064</v>
      </c>
      <c r="J4037" s="14">
        <v>0.0</v>
      </c>
      <c r="K4037" s="14" t="s">
        <v>6012</v>
      </c>
      <c r="L4037" s="14">
        <v>0.0</v>
      </c>
    </row>
    <row r="4038">
      <c r="A4038" s="14">
        <v>61.0</v>
      </c>
      <c r="B4038" s="14">
        <v>1.0</v>
      </c>
      <c r="C4038" s="34">
        <v>11.72</v>
      </c>
      <c r="D4038" s="36">
        <v>45139.0</v>
      </c>
      <c r="E4038" s="24"/>
      <c r="F4038" s="14">
        <v>11.72</v>
      </c>
      <c r="G4038" s="14">
        <v>192.13</v>
      </c>
      <c r="H4038" s="14">
        <v>1.64</v>
      </c>
      <c r="I4038" s="14" t="s">
        <v>6063</v>
      </c>
      <c r="J4038" s="14">
        <v>200.0</v>
      </c>
      <c r="K4038" s="14">
        <v>5.86</v>
      </c>
      <c r="L4038" s="14">
        <v>0.0</v>
      </c>
    </row>
    <row r="4039">
      <c r="A4039" s="14">
        <v>154.0</v>
      </c>
      <c r="B4039" s="14">
        <v>4.0</v>
      </c>
      <c r="C4039" s="34">
        <v>12.03</v>
      </c>
      <c r="D4039" s="36">
        <v>45139.0</v>
      </c>
      <c r="E4039" s="24"/>
      <c r="F4039" s="14">
        <v>3.01</v>
      </c>
      <c r="G4039" s="14">
        <v>78.12</v>
      </c>
      <c r="H4039" s="14">
        <v>2.6</v>
      </c>
      <c r="I4039" s="14" t="s">
        <v>6062</v>
      </c>
      <c r="J4039" s="14">
        <v>25.0</v>
      </c>
      <c r="K4039" s="14">
        <v>12.03</v>
      </c>
      <c r="L4039" s="14">
        <v>0.0</v>
      </c>
    </row>
    <row r="4040">
      <c r="A4040" s="14">
        <v>208.0</v>
      </c>
      <c r="B4040" s="14">
        <v>1.0</v>
      </c>
      <c r="C4040" s="34">
        <v>13.27</v>
      </c>
      <c r="D4040" s="36">
        <v>45139.0</v>
      </c>
      <c r="E4040" s="24"/>
      <c r="F4040" s="14">
        <v>13.27</v>
      </c>
      <c r="G4040" s="14">
        <v>63.8</v>
      </c>
      <c r="H4040" s="14">
        <v>0.48</v>
      </c>
      <c r="I4040" s="14" t="s">
        <v>6042</v>
      </c>
      <c r="J4040" s="14">
        <v>0.0</v>
      </c>
      <c r="K4040" s="14" t="s">
        <v>6012</v>
      </c>
      <c r="L4040" s="14">
        <v>0.0</v>
      </c>
    </row>
    <row r="4041">
      <c r="A4041" s="14">
        <v>131.0</v>
      </c>
      <c r="B4041" s="14">
        <v>2.0</v>
      </c>
      <c r="C4041" s="34">
        <v>12.73</v>
      </c>
      <c r="D4041" s="36">
        <v>45140.0</v>
      </c>
      <c r="E4041" s="24"/>
      <c r="F4041" s="14">
        <v>6.36</v>
      </c>
      <c r="G4041" s="14">
        <v>97.18</v>
      </c>
      <c r="H4041" s="14">
        <v>1.53</v>
      </c>
      <c r="I4041" s="14" t="s">
        <v>6054</v>
      </c>
      <c r="J4041" s="14">
        <v>0.0</v>
      </c>
      <c r="K4041" s="14" t="s">
        <v>6012</v>
      </c>
      <c r="L4041" s="14">
        <v>0.0</v>
      </c>
    </row>
    <row r="4042">
      <c r="A4042" s="14">
        <v>111.0</v>
      </c>
      <c r="B4042" s="14">
        <v>0.0</v>
      </c>
      <c r="C4042" s="34">
        <v>11.07</v>
      </c>
      <c r="D4042" s="36">
        <v>45140.0</v>
      </c>
      <c r="E4042" s="24"/>
      <c r="F4042" s="14" t="s">
        <v>6012</v>
      </c>
      <c r="G4042" s="14">
        <v>99.73</v>
      </c>
      <c r="H4042" s="14">
        <v>0.0</v>
      </c>
      <c r="I4042" s="14" t="s">
        <v>6061</v>
      </c>
      <c r="J4042" s="14" t="s">
        <v>6012</v>
      </c>
      <c r="K4042" s="14">
        <v>11.07</v>
      </c>
      <c r="L4042" s="14">
        <v>0.0</v>
      </c>
    </row>
    <row r="4043">
      <c r="A4043" s="14">
        <v>6.0</v>
      </c>
      <c r="B4043" s="14">
        <v>3.0</v>
      </c>
      <c r="C4043" s="34">
        <v>4.5</v>
      </c>
      <c r="D4043" s="36">
        <v>45140.0</v>
      </c>
      <c r="E4043" s="24"/>
      <c r="F4043" s="14">
        <v>1.5</v>
      </c>
      <c r="G4043" s="14">
        <v>750.0</v>
      </c>
      <c r="H4043" s="14">
        <v>50.0</v>
      </c>
      <c r="I4043" s="14" t="s">
        <v>6064</v>
      </c>
      <c r="J4043" s="14">
        <v>0.0</v>
      </c>
      <c r="K4043" s="14" t="s">
        <v>6012</v>
      </c>
      <c r="L4043" s="14">
        <v>0.0</v>
      </c>
    </row>
    <row r="4044">
      <c r="A4044" s="14">
        <v>2315.0</v>
      </c>
      <c r="B4044" s="14">
        <v>18.0</v>
      </c>
      <c r="C4044" s="34">
        <v>11.69</v>
      </c>
      <c r="D4044" s="36">
        <v>45140.0</v>
      </c>
      <c r="E4044" s="24"/>
      <c r="F4044" s="14">
        <v>0.65</v>
      </c>
      <c r="G4044" s="14">
        <v>5.05</v>
      </c>
      <c r="H4044" s="14">
        <v>0.78</v>
      </c>
      <c r="I4044" s="14" t="s">
        <v>6050</v>
      </c>
      <c r="J4044" s="14">
        <v>22.22</v>
      </c>
      <c r="K4044" s="14">
        <v>2.92</v>
      </c>
      <c r="L4044" s="14">
        <v>0.0</v>
      </c>
    </row>
    <row r="4045">
      <c r="A4045" s="14">
        <v>58.0</v>
      </c>
      <c r="B4045" s="14">
        <v>0.0</v>
      </c>
      <c r="C4045" s="34">
        <v>15.0</v>
      </c>
      <c r="D4045" s="36">
        <v>45140.0</v>
      </c>
      <c r="E4045" s="24"/>
      <c r="F4045" s="14" t="s">
        <v>6012</v>
      </c>
      <c r="G4045" s="14">
        <v>258.62</v>
      </c>
      <c r="H4045" s="14">
        <v>0.0</v>
      </c>
      <c r="I4045" s="14" t="s">
        <v>6057</v>
      </c>
      <c r="J4045" s="14" t="s">
        <v>6012</v>
      </c>
      <c r="K4045" s="14" t="s">
        <v>6012</v>
      </c>
      <c r="L4045" s="14">
        <v>0.0</v>
      </c>
    </row>
    <row r="4046">
      <c r="A4046" s="14">
        <v>180.0</v>
      </c>
      <c r="B4046" s="14">
        <v>0.0</v>
      </c>
      <c r="C4046" s="34">
        <v>13.06</v>
      </c>
      <c r="D4046" s="36">
        <v>45140.0</v>
      </c>
      <c r="E4046" s="24"/>
      <c r="F4046" s="14" t="s">
        <v>6012</v>
      </c>
      <c r="G4046" s="14">
        <v>72.56</v>
      </c>
      <c r="H4046" s="14">
        <v>0.0</v>
      </c>
      <c r="I4046" s="14" t="s">
        <v>6042</v>
      </c>
      <c r="J4046" s="14" t="s">
        <v>6012</v>
      </c>
      <c r="K4046" s="14" t="s">
        <v>6012</v>
      </c>
      <c r="L4046" s="14">
        <v>0.0</v>
      </c>
    </row>
    <row r="4047">
      <c r="A4047" s="14">
        <v>1286.0</v>
      </c>
      <c r="B4047" s="14">
        <v>11.0</v>
      </c>
      <c r="C4047" s="34">
        <v>11.69</v>
      </c>
      <c r="D4047" s="36">
        <v>45140.0</v>
      </c>
      <c r="E4047" s="24"/>
      <c r="F4047" s="14">
        <v>1.06</v>
      </c>
      <c r="G4047" s="14">
        <v>9.09</v>
      </c>
      <c r="H4047" s="14">
        <v>0.86</v>
      </c>
      <c r="I4047" s="14" t="s">
        <v>6051</v>
      </c>
      <c r="J4047" s="14">
        <v>27.27</v>
      </c>
      <c r="K4047" s="14">
        <v>3.9</v>
      </c>
      <c r="L4047" s="14">
        <v>0.0</v>
      </c>
    </row>
    <row r="4048">
      <c r="A4048" s="14">
        <v>104.0</v>
      </c>
      <c r="B4048" s="14">
        <v>2.0</v>
      </c>
      <c r="C4048" s="34">
        <v>11.24</v>
      </c>
      <c r="D4048" s="36">
        <v>45140.0</v>
      </c>
      <c r="E4048" s="24"/>
      <c r="F4048" s="14">
        <v>5.62</v>
      </c>
      <c r="G4048" s="14">
        <v>108.08</v>
      </c>
      <c r="H4048" s="14">
        <v>1.92</v>
      </c>
      <c r="I4048" s="14" t="s">
        <v>6058</v>
      </c>
      <c r="J4048" s="14">
        <v>50.0</v>
      </c>
      <c r="K4048" s="14">
        <v>11.24</v>
      </c>
      <c r="L4048" s="14">
        <v>0.0</v>
      </c>
    </row>
    <row r="4049">
      <c r="A4049" s="14">
        <v>48.0</v>
      </c>
      <c r="B4049" s="14">
        <v>0.0</v>
      </c>
      <c r="C4049" s="34">
        <v>13.38</v>
      </c>
      <c r="D4049" s="36">
        <v>45140.0</v>
      </c>
      <c r="E4049" s="24"/>
      <c r="F4049" s="14" t="s">
        <v>6012</v>
      </c>
      <c r="G4049" s="14">
        <v>278.75</v>
      </c>
      <c r="H4049" s="14">
        <v>0.0</v>
      </c>
      <c r="I4049" s="14" t="s">
        <v>6059</v>
      </c>
      <c r="J4049" s="14" t="s">
        <v>6012</v>
      </c>
      <c r="K4049" s="14" t="s">
        <v>6012</v>
      </c>
      <c r="L4049" s="14">
        <v>0.0</v>
      </c>
    </row>
    <row r="4050">
      <c r="A4050" s="14">
        <v>826.0</v>
      </c>
      <c r="B4050" s="14">
        <v>10.0</v>
      </c>
      <c r="C4050" s="34">
        <v>11.41</v>
      </c>
      <c r="D4050" s="36">
        <v>45140.0</v>
      </c>
      <c r="E4050" s="24"/>
      <c r="F4050" s="14">
        <v>1.14</v>
      </c>
      <c r="G4050" s="14">
        <v>13.81</v>
      </c>
      <c r="H4050" s="14">
        <v>1.21</v>
      </c>
      <c r="I4050" s="14" t="s">
        <v>6060</v>
      </c>
      <c r="J4050" s="14">
        <v>40.0</v>
      </c>
      <c r="K4050" s="14">
        <v>2.85</v>
      </c>
      <c r="L4050" s="14">
        <v>0.0</v>
      </c>
    </row>
    <row r="4051">
      <c r="A4051" s="14">
        <v>59.0</v>
      </c>
      <c r="B4051" s="14">
        <v>0.0</v>
      </c>
      <c r="C4051" s="34">
        <v>11.92</v>
      </c>
      <c r="D4051" s="36">
        <v>45140.0</v>
      </c>
      <c r="E4051" s="24"/>
      <c r="F4051" s="14" t="s">
        <v>6012</v>
      </c>
      <c r="G4051" s="14">
        <v>202.03</v>
      </c>
      <c r="H4051" s="14">
        <v>0.0</v>
      </c>
      <c r="I4051" s="14" t="s">
        <v>6063</v>
      </c>
      <c r="J4051" s="14" t="s">
        <v>6012</v>
      </c>
      <c r="K4051" s="14" t="s">
        <v>6012</v>
      </c>
      <c r="L4051" s="14">
        <v>0.0</v>
      </c>
    </row>
    <row r="4052">
      <c r="A4052" s="14">
        <v>110.0</v>
      </c>
      <c r="B4052" s="14">
        <v>0.0</v>
      </c>
      <c r="C4052" s="34">
        <v>12.12</v>
      </c>
      <c r="D4052" s="36">
        <v>45140.0</v>
      </c>
      <c r="E4052" s="24"/>
      <c r="F4052" s="14" t="s">
        <v>6012</v>
      </c>
      <c r="G4052" s="14">
        <v>110.18</v>
      </c>
      <c r="H4052" s="14">
        <v>0.0</v>
      </c>
      <c r="I4052" s="14" t="s">
        <v>6062</v>
      </c>
      <c r="J4052" s="14" t="s">
        <v>6012</v>
      </c>
      <c r="K4052" s="14">
        <v>6.06</v>
      </c>
      <c r="L4052" s="14">
        <v>0.0</v>
      </c>
    </row>
    <row r="4053">
      <c r="A4053" s="14">
        <v>66.0</v>
      </c>
      <c r="B4053" s="14">
        <v>0.0</v>
      </c>
      <c r="C4053" s="34">
        <v>12.45</v>
      </c>
      <c r="D4053" s="36">
        <v>45141.0</v>
      </c>
      <c r="E4053" s="24"/>
      <c r="F4053" s="14" t="s">
        <v>6012</v>
      </c>
      <c r="G4053" s="14">
        <v>188.64</v>
      </c>
      <c r="H4053" s="14">
        <v>0.0</v>
      </c>
      <c r="I4053" s="14" t="s">
        <v>6057</v>
      </c>
      <c r="J4053" s="14" t="s">
        <v>6012</v>
      </c>
      <c r="K4053" s="14" t="s">
        <v>6012</v>
      </c>
      <c r="L4053" s="14">
        <v>0.0</v>
      </c>
    </row>
    <row r="4054">
      <c r="A4054" s="14">
        <v>60.0</v>
      </c>
      <c r="B4054" s="14">
        <v>0.0</v>
      </c>
      <c r="C4054" s="34">
        <v>11.23</v>
      </c>
      <c r="D4054" s="36">
        <v>45141.0</v>
      </c>
      <c r="E4054" s="24"/>
      <c r="F4054" s="14" t="s">
        <v>6012</v>
      </c>
      <c r="G4054" s="14">
        <v>187.17</v>
      </c>
      <c r="H4054" s="14">
        <v>0.0</v>
      </c>
      <c r="I4054" s="14" t="s">
        <v>6058</v>
      </c>
      <c r="J4054" s="14" t="s">
        <v>6012</v>
      </c>
      <c r="K4054" s="14">
        <v>11.23</v>
      </c>
      <c r="L4054" s="14">
        <v>0.0</v>
      </c>
    </row>
    <row r="4055">
      <c r="A4055" s="14">
        <v>283.0</v>
      </c>
      <c r="B4055" s="14">
        <v>1.0</v>
      </c>
      <c r="C4055" s="34">
        <v>11.78</v>
      </c>
      <c r="D4055" s="36">
        <v>45141.0</v>
      </c>
      <c r="E4055" s="24"/>
      <c r="F4055" s="14">
        <v>11.78</v>
      </c>
      <c r="G4055" s="14">
        <v>41.63</v>
      </c>
      <c r="H4055" s="14">
        <v>0.35</v>
      </c>
      <c r="I4055" s="14" t="s">
        <v>6060</v>
      </c>
      <c r="J4055" s="14">
        <v>100.0</v>
      </c>
      <c r="K4055" s="14">
        <v>11.78</v>
      </c>
      <c r="L4055" s="14">
        <v>0.0</v>
      </c>
    </row>
    <row r="4056">
      <c r="A4056" s="14">
        <v>35.0</v>
      </c>
      <c r="B4056" s="14">
        <v>1.0</v>
      </c>
      <c r="C4056" s="34">
        <v>12.66</v>
      </c>
      <c r="D4056" s="36">
        <v>45141.0</v>
      </c>
      <c r="E4056" s="24"/>
      <c r="F4056" s="14">
        <v>12.66</v>
      </c>
      <c r="G4056" s="14">
        <v>361.71</v>
      </c>
      <c r="H4056" s="14">
        <v>2.86</v>
      </c>
      <c r="I4056" s="14" t="s">
        <v>6059</v>
      </c>
      <c r="J4056" s="14">
        <v>0.0</v>
      </c>
      <c r="K4056" s="14" t="s">
        <v>6012</v>
      </c>
      <c r="L4056" s="14">
        <v>0.0</v>
      </c>
    </row>
    <row r="4057">
      <c r="A4057" s="14">
        <v>168.0</v>
      </c>
      <c r="B4057" s="14">
        <v>1.0</v>
      </c>
      <c r="C4057" s="34">
        <v>12.52</v>
      </c>
      <c r="D4057" s="36">
        <v>45141.0</v>
      </c>
      <c r="E4057" s="24"/>
      <c r="F4057" s="14">
        <v>12.52</v>
      </c>
      <c r="G4057" s="14">
        <v>74.52</v>
      </c>
      <c r="H4057" s="14">
        <v>0.6</v>
      </c>
      <c r="I4057" s="14" t="s">
        <v>6042</v>
      </c>
      <c r="J4057" s="14">
        <v>0.0</v>
      </c>
      <c r="K4057" s="14" t="s">
        <v>6012</v>
      </c>
      <c r="L4057" s="14">
        <v>0.0</v>
      </c>
    </row>
    <row r="4058">
      <c r="A4058" s="14">
        <v>1074.0</v>
      </c>
      <c r="B4058" s="14">
        <v>8.0</v>
      </c>
      <c r="C4058" s="34">
        <v>12.88</v>
      </c>
      <c r="D4058" s="36">
        <v>45141.0</v>
      </c>
      <c r="E4058" s="24"/>
      <c r="F4058" s="14">
        <v>1.61</v>
      </c>
      <c r="G4058" s="14">
        <v>11.99</v>
      </c>
      <c r="H4058" s="14">
        <v>0.74</v>
      </c>
      <c r="I4058" s="14" t="s">
        <v>6051</v>
      </c>
      <c r="J4058" s="14">
        <v>0.0</v>
      </c>
      <c r="K4058" s="14" t="s">
        <v>6012</v>
      </c>
      <c r="L4058" s="14">
        <v>0.0</v>
      </c>
    </row>
    <row r="4059">
      <c r="A4059" s="14">
        <v>9.0</v>
      </c>
      <c r="B4059" s="14">
        <v>5.0</v>
      </c>
      <c r="C4059" s="34">
        <v>6.75</v>
      </c>
      <c r="D4059" s="36">
        <v>45141.0</v>
      </c>
      <c r="E4059" s="24"/>
      <c r="F4059" s="14">
        <v>1.35</v>
      </c>
      <c r="G4059" s="14">
        <v>750.0</v>
      </c>
      <c r="H4059" s="14">
        <v>55.56</v>
      </c>
      <c r="I4059" s="14" t="s">
        <v>6064</v>
      </c>
      <c r="J4059" s="14">
        <v>0.0</v>
      </c>
      <c r="K4059" s="14" t="s">
        <v>6012</v>
      </c>
      <c r="L4059" s="14">
        <v>0.0</v>
      </c>
    </row>
    <row r="4060">
      <c r="A4060" s="14">
        <v>48.0</v>
      </c>
      <c r="B4060" s="14">
        <v>0.0</v>
      </c>
      <c r="C4060" s="34">
        <v>12.08</v>
      </c>
      <c r="D4060" s="36">
        <v>45141.0</v>
      </c>
      <c r="E4060" s="24"/>
      <c r="F4060" s="14" t="s">
        <v>6012</v>
      </c>
      <c r="G4060" s="14">
        <v>251.67</v>
      </c>
      <c r="H4060" s="14">
        <v>0.0</v>
      </c>
      <c r="I4060" s="14" t="s">
        <v>6063</v>
      </c>
      <c r="J4060" s="14" t="s">
        <v>6012</v>
      </c>
      <c r="K4060" s="14" t="s">
        <v>6012</v>
      </c>
      <c r="L4060" s="14">
        <v>0.0</v>
      </c>
    </row>
    <row r="4061">
      <c r="A4061" s="14">
        <v>351.0</v>
      </c>
      <c r="B4061" s="14">
        <v>1.0</v>
      </c>
      <c r="C4061" s="34">
        <v>10.89</v>
      </c>
      <c r="D4061" s="36">
        <v>45141.0</v>
      </c>
      <c r="E4061" s="24"/>
      <c r="F4061" s="14">
        <v>10.89</v>
      </c>
      <c r="G4061" s="14">
        <v>31.03</v>
      </c>
      <c r="H4061" s="14">
        <v>0.28</v>
      </c>
      <c r="I4061" s="14" t="s">
        <v>6062</v>
      </c>
      <c r="J4061" s="14">
        <v>100.0</v>
      </c>
      <c r="K4061" s="14">
        <v>10.89</v>
      </c>
      <c r="L4061" s="14">
        <v>0.0</v>
      </c>
    </row>
    <row r="4062">
      <c r="A4062" s="14">
        <v>2136.0</v>
      </c>
      <c r="B4062" s="14">
        <v>10.0</v>
      </c>
      <c r="C4062" s="34">
        <v>11.14</v>
      </c>
      <c r="D4062" s="36">
        <v>45141.0</v>
      </c>
      <c r="E4062" s="24"/>
      <c r="F4062" s="14">
        <v>1.11</v>
      </c>
      <c r="G4062" s="14">
        <v>5.22</v>
      </c>
      <c r="H4062" s="14">
        <v>0.47</v>
      </c>
      <c r="I4062" s="14" t="s">
        <v>6050</v>
      </c>
      <c r="J4062" s="14">
        <v>80.0</v>
      </c>
      <c r="K4062" s="14">
        <v>1.39</v>
      </c>
      <c r="L4062" s="14">
        <v>0.0</v>
      </c>
    </row>
    <row r="4063">
      <c r="A4063" s="14">
        <v>124.0</v>
      </c>
      <c r="B4063" s="14">
        <v>1.0</v>
      </c>
      <c r="C4063" s="34">
        <v>12.71</v>
      </c>
      <c r="D4063" s="36">
        <v>45141.0</v>
      </c>
      <c r="E4063" s="24"/>
      <c r="F4063" s="14">
        <v>12.71</v>
      </c>
      <c r="G4063" s="14">
        <v>102.5</v>
      </c>
      <c r="H4063" s="14">
        <v>0.81</v>
      </c>
      <c r="I4063" s="14" t="s">
        <v>6054</v>
      </c>
      <c r="J4063" s="14">
        <v>0.0</v>
      </c>
      <c r="K4063" s="14" t="s">
        <v>6012</v>
      </c>
      <c r="L4063" s="14">
        <v>0.0</v>
      </c>
    </row>
    <row r="4064">
      <c r="A4064" s="14">
        <v>75.0</v>
      </c>
      <c r="B4064" s="14">
        <v>0.0</v>
      </c>
      <c r="C4064" s="34">
        <v>11.39</v>
      </c>
      <c r="D4064" s="36">
        <v>45141.0</v>
      </c>
      <c r="E4064" s="24"/>
      <c r="F4064" s="14" t="s">
        <v>6012</v>
      </c>
      <c r="G4064" s="14">
        <v>151.87</v>
      </c>
      <c r="H4064" s="14">
        <v>0.0</v>
      </c>
      <c r="I4064" s="14" t="s">
        <v>6061</v>
      </c>
      <c r="J4064" s="14" t="s">
        <v>6012</v>
      </c>
      <c r="K4064" s="14" t="s">
        <v>6012</v>
      </c>
      <c r="L4064" s="14">
        <v>0.0</v>
      </c>
    </row>
    <row r="4065">
      <c r="A4065" s="14">
        <v>1444.0</v>
      </c>
      <c r="B4065" s="14">
        <v>8.0</v>
      </c>
      <c r="C4065" s="34">
        <v>10.14</v>
      </c>
      <c r="D4065" s="36">
        <v>45142.0</v>
      </c>
      <c r="E4065" s="24"/>
      <c r="F4065" s="14">
        <v>1.27</v>
      </c>
      <c r="G4065" s="14">
        <v>7.02</v>
      </c>
      <c r="H4065" s="14">
        <v>0.55</v>
      </c>
      <c r="I4065" s="14" t="s">
        <v>6050</v>
      </c>
      <c r="J4065" s="14">
        <v>12.5</v>
      </c>
      <c r="K4065" s="14">
        <v>10.14</v>
      </c>
      <c r="L4065" s="14">
        <v>0.0</v>
      </c>
    </row>
    <row r="4066">
      <c r="A4066" s="14">
        <v>880.0</v>
      </c>
      <c r="B4066" s="14">
        <v>5.0</v>
      </c>
      <c r="C4066" s="34">
        <v>11.94</v>
      </c>
      <c r="D4066" s="36">
        <v>45142.0</v>
      </c>
      <c r="E4066" s="24"/>
      <c r="F4066" s="14">
        <v>2.39</v>
      </c>
      <c r="G4066" s="14">
        <v>13.57</v>
      </c>
      <c r="H4066" s="14">
        <v>0.57</v>
      </c>
      <c r="I4066" s="14" t="s">
        <v>6051</v>
      </c>
      <c r="J4066" s="14">
        <v>20.0</v>
      </c>
      <c r="K4066" s="14">
        <v>11.94</v>
      </c>
      <c r="L4066" s="14">
        <v>0.0</v>
      </c>
    </row>
    <row r="4067">
      <c r="A4067" s="14">
        <v>178.0</v>
      </c>
      <c r="B4067" s="14">
        <v>1.0</v>
      </c>
      <c r="C4067" s="34">
        <v>12.56</v>
      </c>
      <c r="D4067" s="36">
        <v>45142.0</v>
      </c>
      <c r="E4067" s="24"/>
      <c r="F4067" s="14">
        <v>12.56</v>
      </c>
      <c r="G4067" s="14">
        <v>70.56</v>
      </c>
      <c r="H4067" s="14">
        <v>0.56</v>
      </c>
      <c r="I4067" s="14" t="s">
        <v>6062</v>
      </c>
      <c r="J4067" s="14">
        <v>0.0</v>
      </c>
      <c r="K4067" s="14" t="s">
        <v>6012</v>
      </c>
      <c r="L4067" s="14">
        <v>0.0</v>
      </c>
    </row>
    <row r="4068">
      <c r="A4068" s="14">
        <v>90.0</v>
      </c>
      <c r="B4068" s="14">
        <v>0.0</v>
      </c>
      <c r="C4068" s="34">
        <v>10.58</v>
      </c>
      <c r="D4068" s="36">
        <v>45142.0</v>
      </c>
      <c r="E4068" s="24"/>
      <c r="F4068" s="14" t="s">
        <v>6012</v>
      </c>
      <c r="G4068" s="14">
        <v>117.56</v>
      </c>
      <c r="H4068" s="14">
        <v>0.0</v>
      </c>
      <c r="I4068" s="14" t="s">
        <v>6054</v>
      </c>
      <c r="J4068" s="14" t="s">
        <v>6012</v>
      </c>
      <c r="K4068" s="14" t="s">
        <v>6012</v>
      </c>
      <c r="L4068" s="14">
        <v>0.0</v>
      </c>
    </row>
    <row r="4069">
      <c r="A4069" s="14">
        <v>4.0</v>
      </c>
      <c r="B4069" s="14">
        <v>4.0</v>
      </c>
      <c r="C4069" s="34">
        <v>3.0</v>
      </c>
      <c r="D4069" s="36">
        <v>45142.0</v>
      </c>
      <c r="E4069" s="24"/>
      <c r="F4069" s="14">
        <v>0.75</v>
      </c>
      <c r="G4069" s="14">
        <v>750.0</v>
      </c>
      <c r="H4069" s="14">
        <v>100.0</v>
      </c>
      <c r="I4069" s="14" t="s">
        <v>6064</v>
      </c>
      <c r="J4069" s="14">
        <v>0.0</v>
      </c>
      <c r="K4069" s="14" t="s">
        <v>6012</v>
      </c>
      <c r="L4069" s="14">
        <v>0.0</v>
      </c>
    </row>
    <row r="4070">
      <c r="A4070" s="14">
        <v>54.0</v>
      </c>
      <c r="B4070" s="14">
        <v>1.0</v>
      </c>
      <c r="C4070" s="34">
        <v>9.76</v>
      </c>
      <c r="D4070" s="36">
        <v>45142.0</v>
      </c>
      <c r="E4070" s="24"/>
      <c r="F4070" s="14">
        <v>9.76</v>
      </c>
      <c r="G4070" s="14">
        <v>180.74</v>
      </c>
      <c r="H4070" s="14">
        <v>1.85</v>
      </c>
      <c r="I4070" s="14" t="s">
        <v>6058</v>
      </c>
      <c r="J4070" s="14">
        <v>100.0</v>
      </c>
      <c r="K4070" s="14">
        <v>9.76</v>
      </c>
      <c r="L4070" s="14">
        <v>0.0</v>
      </c>
    </row>
    <row r="4071">
      <c r="A4071" s="14">
        <v>54.0</v>
      </c>
      <c r="B4071" s="14">
        <v>0.0</v>
      </c>
      <c r="C4071" s="34">
        <v>11.14</v>
      </c>
      <c r="D4071" s="36">
        <v>45142.0</v>
      </c>
      <c r="E4071" s="24"/>
      <c r="F4071" s="14" t="s">
        <v>6012</v>
      </c>
      <c r="G4071" s="14">
        <v>206.3</v>
      </c>
      <c r="H4071" s="14">
        <v>0.0</v>
      </c>
      <c r="I4071" s="14" t="s">
        <v>6061</v>
      </c>
      <c r="J4071" s="14" t="s">
        <v>6012</v>
      </c>
      <c r="K4071" s="14" t="s">
        <v>6012</v>
      </c>
      <c r="L4071" s="14">
        <v>0.0</v>
      </c>
    </row>
    <row r="4072">
      <c r="A4072" s="14">
        <v>210.0</v>
      </c>
      <c r="B4072" s="14">
        <v>1.0</v>
      </c>
      <c r="C4072" s="34">
        <v>12.04</v>
      </c>
      <c r="D4072" s="36">
        <v>45142.0</v>
      </c>
      <c r="E4072" s="24"/>
      <c r="F4072" s="14">
        <v>12.04</v>
      </c>
      <c r="G4072" s="14">
        <v>57.33</v>
      </c>
      <c r="H4072" s="14">
        <v>0.48</v>
      </c>
      <c r="I4072" s="14" t="s">
        <v>6042</v>
      </c>
      <c r="J4072" s="14">
        <v>100.0</v>
      </c>
      <c r="K4072" s="14">
        <v>12.04</v>
      </c>
      <c r="L4072" s="14">
        <v>0.0</v>
      </c>
    </row>
    <row r="4073">
      <c r="A4073" s="14">
        <v>40.0</v>
      </c>
      <c r="B4073" s="14">
        <v>0.0</v>
      </c>
      <c r="C4073" s="34">
        <v>9.86</v>
      </c>
      <c r="D4073" s="36">
        <v>45142.0</v>
      </c>
      <c r="E4073" s="24"/>
      <c r="F4073" s="14" t="s">
        <v>6012</v>
      </c>
      <c r="G4073" s="14">
        <v>246.5</v>
      </c>
      <c r="H4073" s="14">
        <v>0.0</v>
      </c>
      <c r="I4073" s="14" t="s">
        <v>6059</v>
      </c>
      <c r="J4073" s="14" t="s">
        <v>6012</v>
      </c>
      <c r="K4073" s="14" t="s">
        <v>6012</v>
      </c>
      <c r="L4073" s="14">
        <v>0.0</v>
      </c>
    </row>
    <row r="4074">
      <c r="A4074" s="14">
        <v>40.0</v>
      </c>
      <c r="B4074" s="14">
        <v>0.0</v>
      </c>
      <c r="C4074" s="34">
        <v>11.46</v>
      </c>
      <c r="D4074" s="36">
        <v>45142.0</v>
      </c>
      <c r="E4074" s="24"/>
      <c r="F4074" s="14" t="s">
        <v>6012</v>
      </c>
      <c r="G4074" s="14">
        <v>286.5</v>
      </c>
      <c r="H4074" s="14">
        <v>0.0</v>
      </c>
      <c r="I4074" s="14" t="s">
        <v>6063</v>
      </c>
      <c r="J4074" s="14" t="s">
        <v>6012</v>
      </c>
      <c r="K4074" s="14" t="s">
        <v>6012</v>
      </c>
      <c r="L4074" s="14">
        <v>0.0</v>
      </c>
    </row>
    <row r="4075">
      <c r="A4075" s="14">
        <v>30.0</v>
      </c>
      <c r="B4075" s="14">
        <v>0.0</v>
      </c>
      <c r="C4075" s="34">
        <v>10.51</v>
      </c>
      <c r="D4075" s="36">
        <v>45142.0</v>
      </c>
      <c r="E4075" s="24"/>
      <c r="F4075" s="14" t="s">
        <v>6012</v>
      </c>
      <c r="G4075" s="14">
        <v>350.33</v>
      </c>
      <c r="H4075" s="14">
        <v>0.0</v>
      </c>
      <c r="I4075" s="14" t="s">
        <v>6057</v>
      </c>
      <c r="J4075" s="14" t="s">
        <v>6012</v>
      </c>
      <c r="K4075" s="14" t="s">
        <v>6012</v>
      </c>
      <c r="L4075" s="14">
        <v>0.0</v>
      </c>
    </row>
    <row r="4076">
      <c r="A4076" s="14">
        <v>385.0</v>
      </c>
      <c r="B4076" s="14">
        <v>1.0</v>
      </c>
      <c r="C4076" s="34">
        <v>10.53</v>
      </c>
      <c r="D4076" s="36">
        <v>45142.0</v>
      </c>
      <c r="E4076" s="24"/>
      <c r="F4076" s="14">
        <v>10.53</v>
      </c>
      <c r="G4076" s="14">
        <v>27.35</v>
      </c>
      <c r="H4076" s="14">
        <v>0.26</v>
      </c>
      <c r="I4076" s="14" t="s">
        <v>6060</v>
      </c>
      <c r="J4076" s="14">
        <v>200.0</v>
      </c>
      <c r="K4076" s="14">
        <v>5.26</v>
      </c>
      <c r="L4076" s="14">
        <v>0.0</v>
      </c>
    </row>
    <row r="4077">
      <c r="A4077" s="14">
        <v>31.0</v>
      </c>
      <c r="B4077" s="14">
        <v>0.0</v>
      </c>
      <c r="C4077" s="34">
        <v>5.17</v>
      </c>
      <c r="D4077" s="36">
        <v>45143.0</v>
      </c>
      <c r="E4077" s="24"/>
      <c r="F4077" s="14" t="s">
        <v>6012</v>
      </c>
      <c r="G4077" s="14">
        <v>166.77</v>
      </c>
      <c r="H4077" s="14">
        <v>0.0</v>
      </c>
      <c r="I4077" s="14" t="s">
        <v>6054</v>
      </c>
      <c r="J4077" s="14" t="s">
        <v>6012</v>
      </c>
      <c r="K4077" s="14" t="s">
        <v>6012</v>
      </c>
      <c r="L4077" s="14">
        <v>0.0</v>
      </c>
    </row>
    <row r="4078">
      <c r="A4078" s="14">
        <v>34.0</v>
      </c>
      <c r="B4078" s="14">
        <v>0.0</v>
      </c>
      <c r="C4078" s="34">
        <v>5.84</v>
      </c>
      <c r="D4078" s="36">
        <v>45143.0</v>
      </c>
      <c r="E4078" s="24"/>
      <c r="F4078" s="14" t="s">
        <v>6012</v>
      </c>
      <c r="G4078" s="14">
        <v>171.76</v>
      </c>
      <c r="H4078" s="14">
        <v>0.0</v>
      </c>
      <c r="I4078" s="14" t="s">
        <v>6061</v>
      </c>
      <c r="J4078" s="14" t="s">
        <v>6012</v>
      </c>
      <c r="K4078" s="14" t="s">
        <v>6012</v>
      </c>
      <c r="L4078" s="14">
        <v>0.0</v>
      </c>
    </row>
    <row r="4079">
      <c r="A4079" s="14">
        <v>98.0</v>
      </c>
      <c r="B4079" s="14">
        <v>1.0</v>
      </c>
      <c r="C4079" s="34">
        <v>8.09</v>
      </c>
      <c r="D4079" s="36">
        <v>45143.0</v>
      </c>
      <c r="E4079" s="24"/>
      <c r="F4079" s="14">
        <v>8.09</v>
      </c>
      <c r="G4079" s="14">
        <v>82.55</v>
      </c>
      <c r="H4079" s="14">
        <v>1.02</v>
      </c>
      <c r="I4079" s="14" t="s">
        <v>6060</v>
      </c>
      <c r="J4079" s="14">
        <v>100.0</v>
      </c>
      <c r="K4079" s="14">
        <v>8.09</v>
      </c>
      <c r="L4079" s="14">
        <v>0.0</v>
      </c>
    </row>
    <row r="4080">
      <c r="A4080" s="14">
        <v>492.0</v>
      </c>
      <c r="B4080" s="14">
        <v>6.0</v>
      </c>
      <c r="C4080" s="34">
        <v>6.54</v>
      </c>
      <c r="D4080" s="36">
        <v>45143.0</v>
      </c>
      <c r="E4080" s="24"/>
      <c r="F4080" s="14">
        <v>1.09</v>
      </c>
      <c r="G4080" s="14">
        <v>13.29</v>
      </c>
      <c r="H4080" s="14">
        <v>1.22</v>
      </c>
      <c r="I4080" s="14" t="s">
        <v>6051</v>
      </c>
      <c r="J4080" s="14">
        <v>16.67</v>
      </c>
      <c r="K4080" s="14">
        <v>6.54</v>
      </c>
      <c r="L4080" s="14">
        <v>0.0</v>
      </c>
    </row>
    <row r="4081">
      <c r="A4081" s="14">
        <v>1565.0</v>
      </c>
      <c r="B4081" s="14">
        <v>10.0</v>
      </c>
      <c r="C4081" s="34">
        <v>6.85</v>
      </c>
      <c r="D4081" s="36">
        <v>45143.0</v>
      </c>
      <c r="E4081" s="24"/>
      <c r="F4081" s="14">
        <v>0.68</v>
      </c>
      <c r="G4081" s="14">
        <v>4.38</v>
      </c>
      <c r="H4081" s="14">
        <v>0.64</v>
      </c>
      <c r="I4081" s="14" t="s">
        <v>6050</v>
      </c>
      <c r="J4081" s="14">
        <v>10.0</v>
      </c>
      <c r="K4081" s="14">
        <v>6.85</v>
      </c>
      <c r="L4081" s="14">
        <v>0.0</v>
      </c>
    </row>
    <row r="4082">
      <c r="A4082" s="14">
        <v>15.0</v>
      </c>
      <c r="B4082" s="14">
        <v>0.0</v>
      </c>
      <c r="C4082" s="34">
        <v>9.15</v>
      </c>
      <c r="D4082" s="36">
        <v>45143.0</v>
      </c>
      <c r="E4082" s="24"/>
      <c r="F4082" s="14" t="s">
        <v>6012</v>
      </c>
      <c r="G4082" s="14">
        <v>610.0</v>
      </c>
      <c r="H4082" s="14">
        <v>0.0</v>
      </c>
      <c r="I4082" s="14" t="s">
        <v>6057</v>
      </c>
      <c r="J4082" s="14" t="s">
        <v>6012</v>
      </c>
      <c r="K4082" s="14" t="s">
        <v>6012</v>
      </c>
      <c r="L4082" s="14">
        <v>0.0</v>
      </c>
    </row>
    <row r="4083">
      <c r="A4083" s="14">
        <v>6.0</v>
      </c>
      <c r="B4083" s="14">
        <v>2.0</v>
      </c>
      <c r="C4083" s="34">
        <v>4.5</v>
      </c>
      <c r="D4083" s="36">
        <v>45143.0</v>
      </c>
      <c r="E4083" s="24"/>
      <c r="F4083" s="14">
        <v>2.25</v>
      </c>
      <c r="G4083" s="14">
        <v>750.0</v>
      </c>
      <c r="H4083" s="14">
        <v>33.33</v>
      </c>
      <c r="I4083" s="14" t="s">
        <v>6064</v>
      </c>
      <c r="J4083" s="14">
        <v>0.0</v>
      </c>
      <c r="K4083" s="14" t="s">
        <v>6012</v>
      </c>
      <c r="L4083" s="14">
        <v>0.0</v>
      </c>
    </row>
    <row r="4084">
      <c r="A4084" s="14">
        <v>59.0</v>
      </c>
      <c r="B4084" s="14">
        <v>0.0</v>
      </c>
      <c r="C4084" s="34">
        <v>7.56</v>
      </c>
      <c r="D4084" s="36">
        <v>45143.0</v>
      </c>
      <c r="E4084" s="24"/>
      <c r="F4084" s="14" t="s">
        <v>6012</v>
      </c>
      <c r="G4084" s="14">
        <v>128.14</v>
      </c>
      <c r="H4084" s="14">
        <v>0.0</v>
      </c>
      <c r="I4084" s="14" t="s">
        <v>6042</v>
      </c>
      <c r="J4084" s="14" t="s">
        <v>6012</v>
      </c>
      <c r="K4084" s="14">
        <v>7.56</v>
      </c>
      <c r="L4084" s="14">
        <v>0.0</v>
      </c>
    </row>
    <row r="4085">
      <c r="A4085" s="14">
        <v>230.0</v>
      </c>
      <c r="B4085" s="14">
        <v>1.0</v>
      </c>
      <c r="C4085" s="34">
        <v>5.81</v>
      </c>
      <c r="D4085" s="36">
        <v>45143.0</v>
      </c>
      <c r="E4085" s="24"/>
      <c r="F4085" s="14">
        <v>5.81</v>
      </c>
      <c r="G4085" s="14">
        <v>25.26</v>
      </c>
      <c r="H4085" s="14">
        <v>0.43</v>
      </c>
      <c r="I4085" s="14" t="s">
        <v>6062</v>
      </c>
      <c r="J4085" s="14">
        <v>0.0</v>
      </c>
      <c r="K4085" s="14" t="s">
        <v>6012</v>
      </c>
      <c r="L4085" s="14">
        <v>0.0</v>
      </c>
    </row>
    <row r="4086">
      <c r="A4086" s="14">
        <v>34.0</v>
      </c>
      <c r="B4086" s="14">
        <v>0.0</v>
      </c>
      <c r="C4086" s="34">
        <v>5.62</v>
      </c>
      <c r="D4086" s="36">
        <v>45143.0</v>
      </c>
      <c r="E4086" s="24"/>
      <c r="F4086" s="14" t="s">
        <v>6012</v>
      </c>
      <c r="G4086" s="14">
        <v>165.29</v>
      </c>
      <c r="H4086" s="14">
        <v>0.0</v>
      </c>
      <c r="I4086" s="14" t="s">
        <v>6058</v>
      </c>
      <c r="J4086" s="14" t="s">
        <v>6012</v>
      </c>
      <c r="K4086" s="14" t="s">
        <v>6012</v>
      </c>
      <c r="L4086" s="14">
        <v>0.0</v>
      </c>
    </row>
    <row r="4087">
      <c r="A4087" s="14">
        <v>25.0</v>
      </c>
      <c r="B4087" s="14">
        <v>0.0</v>
      </c>
      <c r="C4087" s="34">
        <v>6.64</v>
      </c>
      <c r="D4087" s="36">
        <v>45143.0</v>
      </c>
      <c r="E4087" s="24"/>
      <c r="F4087" s="14" t="s">
        <v>6012</v>
      </c>
      <c r="G4087" s="14">
        <v>265.6</v>
      </c>
      <c r="H4087" s="14">
        <v>0.0</v>
      </c>
      <c r="I4087" s="14" t="s">
        <v>6063</v>
      </c>
      <c r="J4087" s="14" t="s">
        <v>6012</v>
      </c>
      <c r="K4087" s="14" t="s">
        <v>6012</v>
      </c>
      <c r="L4087" s="14">
        <v>0.0</v>
      </c>
    </row>
    <row r="4088">
      <c r="A4088" s="14">
        <v>13.0</v>
      </c>
      <c r="B4088" s="14">
        <v>0.0</v>
      </c>
      <c r="C4088" s="34">
        <v>5.88</v>
      </c>
      <c r="D4088" s="36">
        <v>45143.0</v>
      </c>
      <c r="E4088" s="24"/>
      <c r="F4088" s="14" t="s">
        <v>6012</v>
      </c>
      <c r="G4088" s="14">
        <v>452.31</v>
      </c>
      <c r="H4088" s="14">
        <v>0.0</v>
      </c>
      <c r="I4088" s="14" t="s">
        <v>6059</v>
      </c>
      <c r="J4088" s="14" t="s">
        <v>6012</v>
      </c>
      <c r="K4088" s="14" t="s">
        <v>6012</v>
      </c>
      <c r="L4088" s="14">
        <v>0.0</v>
      </c>
    </row>
    <row r="4089">
      <c r="A4089" s="14">
        <v>31.0</v>
      </c>
      <c r="B4089" s="14">
        <v>0.0</v>
      </c>
      <c r="C4089" s="34">
        <v>4.63</v>
      </c>
      <c r="D4089" s="36">
        <v>45144.0</v>
      </c>
      <c r="E4089" s="24"/>
      <c r="F4089" s="14" t="s">
        <v>6012</v>
      </c>
      <c r="G4089" s="14">
        <v>149.35</v>
      </c>
      <c r="H4089" s="14">
        <v>0.0</v>
      </c>
      <c r="I4089" s="14" t="s">
        <v>6054</v>
      </c>
      <c r="J4089" s="14" t="s">
        <v>6012</v>
      </c>
      <c r="K4089" s="14" t="s">
        <v>6012</v>
      </c>
      <c r="L4089" s="14">
        <v>0.0</v>
      </c>
    </row>
    <row r="4090">
      <c r="A4090" s="14">
        <v>63.0</v>
      </c>
      <c r="B4090" s="14">
        <v>0.0</v>
      </c>
      <c r="C4090" s="34">
        <v>4.44</v>
      </c>
      <c r="D4090" s="36">
        <v>45144.0</v>
      </c>
      <c r="E4090" s="24"/>
      <c r="F4090" s="14" t="s">
        <v>6012</v>
      </c>
      <c r="G4090" s="14">
        <v>70.48</v>
      </c>
      <c r="H4090" s="14">
        <v>0.0</v>
      </c>
      <c r="I4090" s="14" t="s">
        <v>6062</v>
      </c>
      <c r="J4090" s="14" t="s">
        <v>6012</v>
      </c>
      <c r="K4090" s="14">
        <v>4.44</v>
      </c>
      <c r="L4090" s="14">
        <v>0.0</v>
      </c>
    </row>
    <row r="4091">
      <c r="A4091" s="14">
        <v>382.0</v>
      </c>
      <c r="B4091" s="14">
        <v>1.0</v>
      </c>
      <c r="C4091" s="34">
        <v>4.25</v>
      </c>
      <c r="D4091" s="36">
        <v>45144.0</v>
      </c>
      <c r="E4091" s="24"/>
      <c r="F4091" s="14">
        <v>4.25</v>
      </c>
      <c r="G4091" s="14">
        <v>11.13</v>
      </c>
      <c r="H4091" s="14">
        <v>0.26</v>
      </c>
      <c r="I4091" s="14" t="s">
        <v>6060</v>
      </c>
      <c r="J4091" s="14">
        <v>0.0</v>
      </c>
      <c r="K4091" s="14" t="s">
        <v>6012</v>
      </c>
      <c r="L4091" s="14">
        <v>0.0</v>
      </c>
    </row>
    <row r="4092">
      <c r="A4092" s="14">
        <v>456.0</v>
      </c>
      <c r="B4092" s="14">
        <v>5.0</v>
      </c>
      <c r="C4092" s="34">
        <v>5.34</v>
      </c>
      <c r="D4092" s="36">
        <v>45144.0</v>
      </c>
      <c r="E4092" s="24"/>
      <c r="F4092" s="14">
        <v>1.07</v>
      </c>
      <c r="G4092" s="14">
        <v>11.71</v>
      </c>
      <c r="H4092" s="14">
        <v>1.1</v>
      </c>
      <c r="I4092" s="14" t="s">
        <v>6051</v>
      </c>
      <c r="J4092" s="14">
        <v>0.0</v>
      </c>
      <c r="K4092" s="14" t="s">
        <v>6012</v>
      </c>
      <c r="L4092" s="14">
        <v>0.0</v>
      </c>
    </row>
    <row r="4093">
      <c r="A4093" s="14">
        <v>2.0</v>
      </c>
      <c r="B4093" s="14">
        <v>2.0</v>
      </c>
      <c r="C4093" s="34">
        <v>1.5</v>
      </c>
      <c r="D4093" s="36">
        <v>45144.0</v>
      </c>
      <c r="E4093" s="24"/>
      <c r="F4093" s="14">
        <v>0.75</v>
      </c>
      <c r="G4093" s="14">
        <v>750.0</v>
      </c>
      <c r="H4093" s="14">
        <v>100.0</v>
      </c>
      <c r="I4093" s="14" t="s">
        <v>6064</v>
      </c>
      <c r="J4093" s="14">
        <v>0.0</v>
      </c>
      <c r="K4093" s="14" t="s">
        <v>6012</v>
      </c>
      <c r="L4093" s="14">
        <v>0.0</v>
      </c>
    </row>
    <row r="4094">
      <c r="A4094" s="14">
        <v>74.0</v>
      </c>
      <c r="B4094" s="14">
        <v>0.0</v>
      </c>
      <c r="C4094" s="34">
        <v>5.28</v>
      </c>
      <c r="D4094" s="36">
        <v>45144.0</v>
      </c>
      <c r="E4094" s="24"/>
      <c r="F4094" s="14" t="s">
        <v>6012</v>
      </c>
      <c r="G4094" s="14">
        <v>71.35</v>
      </c>
      <c r="H4094" s="14">
        <v>0.0</v>
      </c>
      <c r="I4094" s="14" t="s">
        <v>6042</v>
      </c>
      <c r="J4094" s="14" t="s">
        <v>6012</v>
      </c>
      <c r="K4094" s="14" t="s">
        <v>6012</v>
      </c>
      <c r="L4094" s="14">
        <v>0.0</v>
      </c>
    </row>
    <row r="4095">
      <c r="A4095" s="14">
        <v>1277.0</v>
      </c>
      <c r="B4095" s="14">
        <v>12.0</v>
      </c>
      <c r="C4095" s="34">
        <v>7.14</v>
      </c>
      <c r="D4095" s="36">
        <v>45144.0</v>
      </c>
      <c r="E4095" s="24"/>
      <c r="F4095" s="14">
        <v>0.6</v>
      </c>
      <c r="G4095" s="14">
        <v>5.59</v>
      </c>
      <c r="H4095" s="14">
        <v>0.94</v>
      </c>
      <c r="I4095" s="14" t="s">
        <v>6050</v>
      </c>
      <c r="J4095" s="14">
        <v>8.33</v>
      </c>
      <c r="K4095" s="14">
        <v>7.14</v>
      </c>
      <c r="L4095" s="14">
        <v>0.0</v>
      </c>
    </row>
    <row r="4096">
      <c r="A4096" s="14">
        <v>14.0</v>
      </c>
      <c r="B4096" s="14">
        <v>0.0</v>
      </c>
      <c r="C4096" s="34">
        <v>2.13</v>
      </c>
      <c r="D4096" s="36">
        <v>45144.0</v>
      </c>
      <c r="E4096" s="24"/>
      <c r="F4096" s="14" t="s">
        <v>6012</v>
      </c>
      <c r="G4096" s="14">
        <v>152.14</v>
      </c>
      <c r="H4096" s="14">
        <v>0.0</v>
      </c>
      <c r="I4096" s="14" t="s">
        <v>6061</v>
      </c>
      <c r="J4096" s="14" t="s">
        <v>6012</v>
      </c>
      <c r="K4096" s="14" t="s">
        <v>6012</v>
      </c>
      <c r="L4096" s="14">
        <v>0.0</v>
      </c>
    </row>
    <row r="4097">
      <c r="A4097" s="14">
        <v>20.0</v>
      </c>
      <c r="B4097" s="14">
        <v>0.0</v>
      </c>
      <c r="C4097" s="34">
        <v>4.76</v>
      </c>
      <c r="D4097" s="36">
        <v>45144.0</v>
      </c>
      <c r="E4097" s="24"/>
      <c r="F4097" s="14" t="s">
        <v>6012</v>
      </c>
      <c r="G4097" s="14">
        <v>238.0</v>
      </c>
      <c r="H4097" s="14">
        <v>0.0</v>
      </c>
      <c r="I4097" s="14" t="s">
        <v>6058</v>
      </c>
      <c r="J4097" s="14" t="s">
        <v>6012</v>
      </c>
      <c r="K4097" s="14" t="s">
        <v>6012</v>
      </c>
      <c r="L4097" s="14">
        <v>0.0</v>
      </c>
    </row>
    <row r="4098">
      <c r="A4098" s="14">
        <v>7.0</v>
      </c>
      <c r="B4098" s="14">
        <v>0.0</v>
      </c>
      <c r="C4098" s="34">
        <v>2.14</v>
      </c>
      <c r="D4098" s="36">
        <v>45144.0</v>
      </c>
      <c r="E4098" s="24"/>
      <c r="F4098" s="14" t="s">
        <v>6012</v>
      </c>
      <c r="G4098" s="14">
        <v>305.71</v>
      </c>
      <c r="H4098" s="14">
        <v>0.0</v>
      </c>
      <c r="I4098" s="14" t="s">
        <v>6063</v>
      </c>
      <c r="J4098" s="14" t="s">
        <v>6012</v>
      </c>
      <c r="K4098" s="14" t="s">
        <v>6012</v>
      </c>
      <c r="L4098" s="14">
        <v>0.0</v>
      </c>
    </row>
    <row r="4099">
      <c r="A4099" s="14">
        <v>6.0</v>
      </c>
      <c r="B4099" s="14">
        <v>0.0</v>
      </c>
      <c r="C4099" s="34">
        <v>1.82</v>
      </c>
      <c r="D4099" s="36">
        <v>45144.0</v>
      </c>
      <c r="E4099" s="24"/>
      <c r="F4099" s="14" t="s">
        <v>6012</v>
      </c>
      <c r="G4099" s="14">
        <v>303.33</v>
      </c>
      <c r="H4099" s="14">
        <v>0.0</v>
      </c>
      <c r="I4099" s="14" t="s">
        <v>6059</v>
      </c>
      <c r="J4099" s="14" t="s">
        <v>6012</v>
      </c>
      <c r="K4099" s="14" t="s">
        <v>6012</v>
      </c>
      <c r="L4099" s="14">
        <v>0.0</v>
      </c>
    </row>
    <row r="4100">
      <c r="A4100" s="14">
        <v>60.0</v>
      </c>
      <c r="B4100" s="14">
        <v>1.0</v>
      </c>
      <c r="C4100" s="34">
        <v>11.47</v>
      </c>
      <c r="D4100" s="36">
        <v>45145.0</v>
      </c>
      <c r="E4100" s="24"/>
      <c r="F4100" s="14">
        <v>11.47</v>
      </c>
      <c r="G4100" s="14">
        <v>191.17</v>
      </c>
      <c r="H4100" s="14">
        <v>1.67</v>
      </c>
      <c r="I4100" s="14" t="s">
        <v>6059</v>
      </c>
      <c r="J4100" s="14">
        <v>100.0</v>
      </c>
      <c r="K4100" s="14">
        <v>11.47</v>
      </c>
      <c r="L4100" s="14">
        <v>0.0</v>
      </c>
    </row>
    <row r="4101">
      <c r="A4101" s="14">
        <v>220.0</v>
      </c>
      <c r="B4101" s="14">
        <v>3.0</v>
      </c>
      <c r="C4101" s="34">
        <v>11.58</v>
      </c>
      <c r="D4101" s="36">
        <v>45145.0</v>
      </c>
      <c r="E4101" s="24"/>
      <c r="F4101" s="14">
        <v>3.86</v>
      </c>
      <c r="G4101" s="14">
        <v>52.64</v>
      </c>
      <c r="H4101" s="14">
        <v>1.36</v>
      </c>
      <c r="I4101" s="14" t="s">
        <v>6060</v>
      </c>
      <c r="J4101" s="14">
        <v>0.0</v>
      </c>
      <c r="K4101" s="14" t="s">
        <v>6012</v>
      </c>
      <c r="L4101" s="14">
        <v>0.0</v>
      </c>
    </row>
    <row r="4102">
      <c r="A4102" s="14">
        <v>2091.0</v>
      </c>
      <c r="B4102" s="14">
        <v>15.0</v>
      </c>
      <c r="C4102" s="34">
        <v>10.57</v>
      </c>
      <c r="D4102" s="36">
        <v>45145.0</v>
      </c>
      <c r="E4102" s="24"/>
      <c r="F4102" s="14">
        <v>0.7</v>
      </c>
      <c r="G4102" s="14">
        <v>5.05</v>
      </c>
      <c r="H4102" s="14">
        <v>0.72</v>
      </c>
      <c r="I4102" s="14" t="s">
        <v>6050</v>
      </c>
      <c r="J4102" s="14">
        <v>6.67</v>
      </c>
      <c r="K4102" s="14">
        <v>10.57</v>
      </c>
      <c r="L4102" s="14">
        <v>0.0</v>
      </c>
    </row>
    <row r="4103">
      <c r="A4103" s="14">
        <v>36.0</v>
      </c>
      <c r="B4103" s="14">
        <v>0.0</v>
      </c>
      <c r="C4103" s="34">
        <v>14.25</v>
      </c>
      <c r="D4103" s="36">
        <v>45145.0</v>
      </c>
      <c r="E4103" s="24"/>
      <c r="F4103" s="14" t="s">
        <v>6012</v>
      </c>
      <c r="G4103" s="14">
        <v>395.83</v>
      </c>
      <c r="H4103" s="14">
        <v>0.0</v>
      </c>
      <c r="I4103" s="14" t="s">
        <v>6057</v>
      </c>
      <c r="J4103" s="14" t="s">
        <v>6012</v>
      </c>
      <c r="K4103" s="14" t="s">
        <v>6012</v>
      </c>
      <c r="L4103" s="14">
        <v>0.0</v>
      </c>
    </row>
    <row r="4104">
      <c r="A4104" s="14">
        <v>69.0</v>
      </c>
      <c r="B4104" s="14">
        <v>0.0</v>
      </c>
      <c r="C4104" s="34">
        <v>11.23</v>
      </c>
      <c r="D4104" s="36">
        <v>45145.0</v>
      </c>
      <c r="E4104" s="24"/>
      <c r="F4104" s="14" t="s">
        <v>6012</v>
      </c>
      <c r="G4104" s="14">
        <v>162.75</v>
      </c>
      <c r="H4104" s="14">
        <v>0.0</v>
      </c>
      <c r="I4104" s="14" t="s">
        <v>6063</v>
      </c>
      <c r="J4104" s="14" t="s">
        <v>6012</v>
      </c>
      <c r="K4104" s="14" t="s">
        <v>6012</v>
      </c>
      <c r="L4104" s="14">
        <v>0.0</v>
      </c>
    </row>
    <row r="4105">
      <c r="A4105" s="14">
        <v>101.0</v>
      </c>
      <c r="B4105" s="14">
        <v>0.0</v>
      </c>
      <c r="C4105" s="34">
        <v>11.82</v>
      </c>
      <c r="D4105" s="36">
        <v>45145.0</v>
      </c>
      <c r="E4105" s="24"/>
      <c r="F4105" s="14" t="s">
        <v>6012</v>
      </c>
      <c r="G4105" s="14">
        <v>117.03</v>
      </c>
      <c r="H4105" s="14">
        <v>0.0</v>
      </c>
      <c r="I4105" s="14" t="s">
        <v>6058</v>
      </c>
      <c r="J4105" s="14" t="s">
        <v>6012</v>
      </c>
      <c r="K4105" s="14" t="s">
        <v>6012</v>
      </c>
      <c r="L4105" s="14">
        <v>0.0</v>
      </c>
    </row>
    <row r="4106">
      <c r="A4106" s="14">
        <v>2.0</v>
      </c>
      <c r="B4106" s="14">
        <v>0.0</v>
      </c>
      <c r="C4106" s="34">
        <v>1.5</v>
      </c>
      <c r="D4106" s="36">
        <v>45145.0</v>
      </c>
      <c r="E4106" s="24"/>
      <c r="F4106" s="14" t="s">
        <v>6012</v>
      </c>
      <c r="G4106" s="14">
        <v>750.0</v>
      </c>
      <c r="H4106" s="14">
        <v>0.0</v>
      </c>
      <c r="I4106" s="14" t="s">
        <v>6064</v>
      </c>
      <c r="J4106" s="14" t="s">
        <v>6012</v>
      </c>
      <c r="K4106" s="14" t="s">
        <v>6012</v>
      </c>
      <c r="L4106" s="14">
        <v>0.0</v>
      </c>
    </row>
    <row r="4107">
      <c r="A4107" s="14">
        <v>121.0</v>
      </c>
      <c r="B4107" s="14">
        <v>0.0</v>
      </c>
      <c r="C4107" s="34">
        <v>13.22</v>
      </c>
      <c r="D4107" s="36">
        <v>45145.0</v>
      </c>
      <c r="E4107" s="24"/>
      <c r="F4107" s="14" t="s">
        <v>6012</v>
      </c>
      <c r="G4107" s="14">
        <v>109.26</v>
      </c>
      <c r="H4107" s="14">
        <v>0.0</v>
      </c>
      <c r="I4107" s="14" t="s">
        <v>6042</v>
      </c>
      <c r="J4107" s="14" t="s">
        <v>6012</v>
      </c>
      <c r="K4107" s="14">
        <v>13.22</v>
      </c>
      <c r="L4107" s="14">
        <v>0.0</v>
      </c>
    </row>
    <row r="4108">
      <c r="A4108" s="14">
        <v>41.0</v>
      </c>
      <c r="B4108" s="14">
        <v>0.0</v>
      </c>
      <c r="C4108" s="34">
        <v>12.32</v>
      </c>
      <c r="D4108" s="36">
        <v>45145.0</v>
      </c>
      <c r="E4108" s="24"/>
      <c r="F4108" s="14" t="s">
        <v>6012</v>
      </c>
      <c r="G4108" s="14">
        <v>300.49</v>
      </c>
      <c r="H4108" s="14">
        <v>0.0</v>
      </c>
      <c r="I4108" s="14" t="s">
        <v>6061</v>
      </c>
      <c r="J4108" s="14" t="s">
        <v>6012</v>
      </c>
      <c r="K4108" s="14" t="s">
        <v>6012</v>
      </c>
      <c r="L4108" s="14">
        <v>0.0</v>
      </c>
    </row>
    <row r="4109">
      <c r="A4109" s="14">
        <v>990.0</v>
      </c>
      <c r="B4109" s="14">
        <v>9.0</v>
      </c>
      <c r="C4109" s="34">
        <v>10.67</v>
      </c>
      <c r="D4109" s="36">
        <v>45145.0</v>
      </c>
      <c r="E4109" s="24"/>
      <c r="F4109" s="14">
        <v>1.19</v>
      </c>
      <c r="G4109" s="14">
        <v>10.78</v>
      </c>
      <c r="H4109" s="14">
        <v>0.91</v>
      </c>
      <c r="I4109" s="14" t="s">
        <v>6051</v>
      </c>
      <c r="J4109" s="14">
        <v>0.0</v>
      </c>
      <c r="K4109" s="14" t="s">
        <v>6012</v>
      </c>
      <c r="L4109" s="14">
        <v>0.0</v>
      </c>
    </row>
    <row r="4110">
      <c r="A4110" s="14">
        <v>160.0</v>
      </c>
      <c r="B4110" s="14">
        <v>1.0</v>
      </c>
      <c r="C4110" s="34">
        <v>11.86</v>
      </c>
      <c r="D4110" s="36">
        <v>45145.0</v>
      </c>
      <c r="E4110" s="24"/>
      <c r="F4110" s="14">
        <v>11.86</v>
      </c>
      <c r="G4110" s="14">
        <v>74.12</v>
      </c>
      <c r="H4110" s="14">
        <v>0.62</v>
      </c>
      <c r="I4110" s="14" t="s">
        <v>6062</v>
      </c>
      <c r="J4110" s="14">
        <v>0.0</v>
      </c>
      <c r="K4110" s="14" t="s">
        <v>6012</v>
      </c>
      <c r="L4110" s="14">
        <v>0.0</v>
      </c>
    </row>
    <row r="4111">
      <c r="A4111" s="14">
        <v>103.0</v>
      </c>
      <c r="B4111" s="14">
        <v>0.0</v>
      </c>
      <c r="C4111" s="34">
        <v>12.43</v>
      </c>
      <c r="D4111" s="36">
        <v>45145.0</v>
      </c>
      <c r="E4111" s="24"/>
      <c r="F4111" s="14" t="s">
        <v>6012</v>
      </c>
      <c r="G4111" s="14">
        <v>120.68</v>
      </c>
      <c r="H4111" s="14">
        <v>0.0</v>
      </c>
      <c r="I4111" s="14" t="s">
        <v>6054</v>
      </c>
      <c r="J4111" s="14" t="s">
        <v>6012</v>
      </c>
      <c r="K4111" s="14" t="s">
        <v>6012</v>
      </c>
      <c r="L4111" s="14">
        <v>0.0</v>
      </c>
    </row>
    <row r="4112">
      <c r="A4112" s="14">
        <v>219.0</v>
      </c>
      <c r="B4112" s="14">
        <v>1.0</v>
      </c>
      <c r="C4112" s="34">
        <v>12.61</v>
      </c>
      <c r="D4112" s="36">
        <v>45146.0</v>
      </c>
      <c r="E4112" s="24"/>
      <c r="F4112" s="14">
        <v>12.61</v>
      </c>
      <c r="G4112" s="14">
        <v>57.58</v>
      </c>
      <c r="H4112" s="14">
        <v>0.46</v>
      </c>
      <c r="I4112" s="14" t="s">
        <v>6062</v>
      </c>
      <c r="J4112" s="14">
        <v>100.0</v>
      </c>
      <c r="K4112" s="14">
        <v>12.61</v>
      </c>
      <c r="L4112" s="14">
        <v>0.0</v>
      </c>
    </row>
    <row r="4113">
      <c r="A4113" s="14">
        <v>2063.0</v>
      </c>
      <c r="B4113" s="14">
        <v>13.0</v>
      </c>
      <c r="C4113" s="34">
        <v>11.29</v>
      </c>
      <c r="D4113" s="36">
        <v>45146.0</v>
      </c>
      <c r="E4113" s="24"/>
      <c r="F4113" s="14">
        <v>0.87</v>
      </c>
      <c r="G4113" s="14">
        <v>5.47</v>
      </c>
      <c r="H4113" s="14">
        <v>0.63</v>
      </c>
      <c r="I4113" s="14" t="s">
        <v>6050</v>
      </c>
      <c r="J4113" s="14">
        <v>15.38</v>
      </c>
      <c r="K4113" s="14">
        <v>5.64</v>
      </c>
      <c r="L4113" s="14">
        <v>0.0</v>
      </c>
    </row>
    <row r="4114">
      <c r="A4114" s="14">
        <v>603.0</v>
      </c>
      <c r="B4114" s="14">
        <v>5.0</v>
      </c>
      <c r="C4114" s="34">
        <v>11.9</v>
      </c>
      <c r="D4114" s="36">
        <v>45146.0</v>
      </c>
      <c r="E4114" s="24"/>
      <c r="F4114" s="14">
        <v>2.38</v>
      </c>
      <c r="G4114" s="14">
        <v>19.73</v>
      </c>
      <c r="H4114" s="14">
        <v>0.83</v>
      </c>
      <c r="I4114" s="14" t="s">
        <v>6060</v>
      </c>
      <c r="J4114" s="14">
        <v>60.0</v>
      </c>
      <c r="K4114" s="14">
        <v>3.97</v>
      </c>
      <c r="L4114" s="14">
        <v>0.0</v>
      </c>
    </row>
    <row r="4115">
      <c r="A4115" s="14">
        <v>2.0</v>
      </c>
      <c r="B4115" s="14">
        <v>2.0</v>
      </c>
      <c r="C4115" s="34">
        <v>1.5</v>
      </c>
      <c r="D4115" s="36">
        <v>45146.0</v>
      </c>
      <c r="E4115" s="24"/>
      <c r="F4115" s="14">
        <v>0.75</v>
      </c>
      <c r="G4115" s="14">
        <v>750.0</v>
      </c>
      <c r="H4115" s="14">
        <v>100.0</v>
      </c>
      <c r="I4115" s="14" t="s">
        <v>6064</v>
      </c>
      <c r="J4115" s="14">
        <v>0.0</v>
      </c>
      <c r="K4115" s="14" t="s">
        <v>6012</v>
      </c>
      <c r="L4115" s="14">
        <v>0.0</v>
      </c>
    </row>
    <row r="4116">
      <c r="A4116" s="14">
        <v>60.0</v>
      </c>
      <c r="B4116" s="14">
        <v>1.0</v>
      </c>
      <c r="C4116" s="34">
        <v>13.11</v>
      </c>
      <c r="D4116" s="36">
        <v>45146.0</v>
      </c>
      <c r="E4116" s="24"/>
      <c r="F4116" s="14">
        <v>13.11</v>
      </c>
      <c r="G4116" s="14">
        <v>218.5</v>
      </c>
      <c r="H4116" s="14">
        <v>1.67</v>
      </c>
      <c r="I4116" s="14" t="s">
        <v>6061</v>
      </c>
      <c r="J4116" s="14">
        <v>0.0</v>
      </c>
      <c r="K4116" s="14" t="s">
        <v>6012</v>
      </c>
      <c r="L4116" s="14">
        <v>0.0</v>
      </c>
    </row>
    <row r="4117">
      <c r="A4117" s="14">
        <v>107.0</v>
      </c>
      <c r="B4117" s="14">
        <v>1.0</v>
      </c>
      <c r="C4117" s="34">
        <v>11.75</v>
      </c>
      <c r="D4117" s="36">
        <v>45146.0</v>
      </c>
      <c r="E4117" s="24"/>
      <c r="F4117" s="14">
        <v>11.75</v>
      </c>
      <c r="G4117" s="14">
        <v>109.81</v>
      </c>
      <c r="H4117" s="14">
        <v>0.93</v>
      </c>
      <c r="I4117" s="14" t="s">
        <v>6054</v>
      </c>
      <c r="J4117" s="14">
        <v>0.0</v>
      </c>
      <c r="K4117" s="14" t="s">
        <v>6012</v>
      </c>
      <c r="L4117" s="14">
        <v>0.0</v>
      </c>
    </row>
    <row r="4118">
      <c r="A4118" s="14">
        <v>37.0</v>
      </c>
      <c r="B4118" s="14">
        <v>0.0</v>
      </c>
      <c r="C4118" s="34">
        <v>12.7</v>
      </c>
      <c r="D4118" s="36">
        <v>45146.0</v>
      </c>
      <c r="E4118" s="24"/>
      <c r="F4118" s="14" t="s">
        <v>6012</v>
      </c>
      <c r="G4118" s="14">
        <v>343.24</v>
      </c>
      <c r="H4118" s="14">
        <v>0.0</v>
      </c>
      <c r="I4118" s="14" t="s">
        <v>6057</v>
      </c>
      <c r="J4118" s="14" t="s">
        <v>6012</v>
      </c>
      <c r="K4118" s="14" t="s">
        <v>6012</v>
      </c>
      <c r="L4118" s="14">
        <v>0.0</v>
      </c>
    </row>
    <row r="4119">
      <c r="A4119" s="14">
        <v>66.0</v>
      </c>
      <c r="B4119" s="14">
        <v>1.0</v>
      </c>
      <c r="C4119" s="34">
        <v>13.45</v>
      </c>
      <c r="D4119" s="36">
        <v>45146.0</v>
      </c>
      <c r="E4119" s="24"/>
      <c r="F4119" s="14">
        <v>13.45</v>
      </c>
      <c r="G4119" s="14">
        <v>203.79</v>
      </c>
      <c r="H4119" s="14">
        <v>1.52</v>
      </c>
      <c r="I4119" s="14" t="s">
        <v>6059</v>
      </c>
      <c r="J4119" s="14">
        <v>100.0</v>
      </c>
      <c r="K4119" s="14">
        <v>13.45</v>
      </c>
      <c r="L4119" s="14">
        <v>1.0</v>
      </c>
    </row>
    <row r="4120">
      <c r="A4120" s="14">
        <v>46.0</v>
      </c>
      <c r="B4120" s="14">
        <v>0.0</v>
      </c>
      <c r="C4120" s="34">
        <v>14.44</v>
      </c>
      <c r="D4120" s="36">
        <v>45146.0</v>
      </c>
      <c r="E4120" s="24"/>
      <c r="F4120" s="14" t="s">
        <v>6012</v>
      </c>
      <c r="G4120" s="14">
        <v>313.91</v>
      </c>
      <c r="H4120" s="14">
        <v>0.0</v>
      </c>
      <c r="I4120" s="14" t="s">
        <v>6063</v>
      </c>
      <c r="J4120" s="14" t="s">
        <v>6012</v>
      </c>
      <c r="K4120" s="14" t="s">
        <v>6012</v>
      </c>
      <c r="L4120" s="14">
        <v>0.0</v>
      </c>
    </row>
    <row r="4121">
      <c r="A4121" s="14">
        <v>1244.0</v>
      </c>
      <c r="B4121" s="14">
        <v>10.0</v>
      </c>
      <c r="C4121" s="34">
        <v>12.05</v>
      </c>
      <c r="D4121" s="36">
        <v>45146.0</v>
      </c>
      <c r="E4121" s="24"/>
      <c r="F4121" s="14">
        <v>1.2</v>
      </c>
      <c r="G4121" s="14">
        <v>9.69</v>
      </c>
      <c r="H4121" s="14">
        <v>0.8</v>
      </c>
      <c r="I4121" s="14" t="s">
        <v>6051</v>
      </c>
      <c r="J4121" s="14">
        <v>10.0</v>
      </c>
      <c r="K4121" s="14">
        <v>12.05</v>
      </c>
      <c r="L4121" s="14">
        <v>0.0</v>
      </c>
    </row>
    <row r="4122">
      <c r="A4122" s="14">
        <v>89.0</v>
      </c>
      <c r="B4122" s="14">
        <v>1.0</v>
      </c>
      <c r="C4122" s="34">
        <v>11.77</v>
      </c>
      <c r="D4122" s="36">
        <v>45146.0</v>
      </c>
      <c r="E4122" s="24"/>
      <c r="F4122" s="14">
        <v>11.77</v>
      </c>
      <c r="G4122" s="14">
        <v>132.25</v>
      </c>
      <c r="H4122" s="14">
        <v>1.12</v>
      </c>
      <c r="I4122" s="14" t="s">
        <v>6058</v>
      </c>
      <c r="J4122" s="14">
        <v>0.0</v>
      </c>
      <c r="K4122" s="14" t="s">
        <v>6012</v>
      </c>
      <c r="L4122" s="14">
        <v>0.0</v>
      </c>
    </row>
    <row r="4123">
      <c r="A4123" s="14">
        <v>202.0</v>
      </c>
      <c r="B4123" s="14">
        <v>1.0</v>
      </c>
      <c r="C4123" s="34">
        <v>13.4</v>
      </c>
      <c r="D4123" s="36">
        <v>45146.0</v>
      </c>
      <c r="E4123" s="24"/>
      <c r="F4123" s="14">
        <v>13.4</v>
      </c>
      <c r="G4123" s="14">
        <v>66.34</v>
      </c>
      <c r="H4123" s="14">
        <v>0.5</v>
      </c>
      <c r="I4123" s="14" t="s">
        <v>6042</v>
      </c>
      <c r="J4123" s="14">
        <v>0.0</v>
      </c>
      <c r="K4123" s="14" t="s">
        <v>6012</v>
      </c>
      <c r="L4123" s="14">
        <v>0.0</v>
      </c>
    </row>
    <row r="4124">
      <c r="A4124" s="14">
        <v>52.0</v>
      </c>
      <c r="B4124" s="14">
        <v>0.0</v>
      </c>
      <c r="C4124" s="34">
        <v>11.4</v>
      </c>
      <c r="D4124" s="36">
        <v>45147.0</v>
      </c>
      <c r="E4124" s="24"/>
      <c r="F4124" s="14" t="s">
        <v>6012</v>
      </c>
      <c r="G4124" s="14">
        <v>219.23</v>
      </c>
      <c r="H4124" s="14">
        <v>0.0</v>
      </c>
      <c r="I4124" s="14" t="s">
        <v>6057</v>
      </c>
      <c r="J4124" s="14" t="s">
        <v>6012</v>
      </c>
      <c r="K4124" s="14" t="s">
        <v>6012</v>
      </c>
      <c r="L4124" s="14">
        <v>0.0</v>
      </c>
    </row>
    <row r="4125">
      <c r="A4125" s="14">
        <v>279.0</v>
      </c>
      <c r="B4125" s="14">
        <v>0.0</v>
      </c>
      <c r="C4125" s="34">
        <v>12.73</v>
      </c>
      <c r="D4125" s="36">
        <v>45147.0</v>
      </c>
      <c r="E4125" s="24"/>
      <c r="F4125" s="14" t="s">
        <v>6012</v>
      </c>
      <c r="G4125" s="14">
        <v>45.63</v>
      </c>
      <c r="H4125" s="14">
        <v>0.0</v>
      </c>
      <c r="I4125" s="14" t="s">
        <v>6054</v>
      </c>
      <c r="J4125" s="14" t="s">
        <v>6012</v>
      </c>
      <c r="K4125" s="14">
        <v>12.73</v>
      </c>
      <c r="L4125" s="14">
        <v>0.0</v>
      </c>
    </row>
    <row r="4126">
      <c r="A4126" s="14">
        <v>314.0</v>
      </c>
      <c r="B4126" s="14">
        <v>3.0</v>
      </c>
      <c r="C4126" s="34">
        <v>12.08</v>
      </c>
      <c r="D4126" s="36">
        <v>45147.0</v>
      </c>
      <c r="E4126" s="24"/>
      <c r="F4126" s="14">
        <v>4.03</v>
      </c>
      <c r="G4126" s="14">
        <v>38.47</v>
      </c>
      <c r="H4126" s="14">
        <v>0.96</v>
      </c>
      <c r="I4126" s="14" t="s">
        <v>6060</v>
      </c>
      <c r="J4126" s="14">
        <v>100.0</v>
      </c>
      <c r="K4126" s="14">
        <v>4.03</v>
      </c>
      <c r="L4126" s="14">
        <v>0.0</v>
      </c>
    </row>
    <row r="4127">
      <c r="A4127" s="14">
        <v>2123.0</v>
      </c>
      <c r="B4127" s="14">
        <v>12.0</v>
      </c>
      <c r="C4127" s="34">
        <v>11.51</v>
      </c>
      <c r="D4127" s="36">
        <v>45147.0</v>
      </c>
      <c r="E4127" s="24"/>
      <c r="F4127" s="14">
        <v>0.96</v>
      </c>
      <c r="G4127" s="14">
        <v>5.42</v>
      </c>
      <c r="H4127" s="14">
        <v>0.57</v>
      </c>
      <c r="I4127" s="14" t="s">
        <v>6050</v>
      </c>
      <c r="J4127" s="14">
        <v>8.33</v>
      </c>
      <c r="K4127" s="14">
        <v>11.51</v>
      </c>
      <c r="L4127" s="14">
        <v>0.0</v>
      </c>
    </row>
    <row r="4128">
      <c r="A4128" s="14">
        <v>1143.0</v>
      </c>
      <c r="B4128" s="14">
        <v>13.0</v>
      </c>
      <c r="C4128" s="34">
        <v>12.19</v>
      </c>
      <c r="D4128" s="36">
        <v>45147.0</v>
      </c>
      <c r="E4128" s="24"/>
      <c r="F4128" s="14">
        <v>0.94</v>
      </c>
      <c r="G4128" s="14">
        <v>10.66</v>
      </c>
      <c r="H4128" s="14">
        <v>1.14</v>
      </c>
      <c r="I4128" s="14" t="s">
        <v>6051</v>
      </c>
      <c r="J4128" s="14">
        <v>7.69</v>
      </c>
      <c r="K4128" s="14">
        <v>12.19</v>
      </c>
      <c r="L4128" s="14">
        <v>0.0</v>
      </c>
    </row>
    <row r="4129">
      <c r="A4129" s="14">
        <v>126.0</v>
      </c>
      <c r="B4129" s="14">
        <v>0.0</v>
      </c>
      <c r="C4129" s="34">
        <v>13.28</v>
      </c>
      <c r="D4129" s="36">
        <v>45147.0</v>
      </c>
      <c r="E4129" s="24"/>
      <c r="F4129" s="14" t="s">
        <v>6012</v>
      </c>
      <c r="G4129" s="14">
        <v>105.4</v>
      </c>
      <c r="H4129" s="14">
        <v>0.0</v>
      </c>
      <c r="I4129" s="14" t="s">
        <v>6058</v>
      </c>
      <c r="J4129" s="14" t="s">
        <v>6012</v>
      </c>
      <c r="K4129" s="14">
        <v>13.28</v>
      </c>
      <c r="L4129" s="14">
        <v>0.0</v>
      </c>
    </row>
    <row r="4130">
      <c r="A4130" s="14">
        <v>11.0</v>
      </c>
      <c r="B4130" s="14">
        <v>5.0</v>
      </c>
      <c r="C4130" s="34">
        <v>8.25</v>
      </c>
      <c r="D4130" s="36">
        <v>45147.0</v>
      </c>
      <c r="E4130" s="24"/>
      <c r="F4130" s="14">
        <v>1.65</v>
      </c>
      <c r="G4130" s="14">
        <v>750.0</v>
      </c>
      <c r="H4130" s="14">
        <v>45.45</v>
      </c>
      <c r="I4130" s="14" t="s">
        <v>6064</v>
      </c>
      <c r="J4130" s="14">
        <v>0.0</v>
      </c>
      <c r="K4130" s="14" t="s">
        <v>6012</v>
      </c>
      <c r="L4130" s="14">
        <v>0.0</v>
      </c>
    </row>
    <row r="4131">
      <c r="A4131" s="14">
        <v>202.0</v>
      </c>
      <c r="B4131" s="14">
        <v>0.0</v>
      </c>
      <c r="C4131" s="34">
        <v>13.47</v>
      </c>
      <c r="D4131" s="36">
        <v>45147.0</v>
      </c>
      <c r="E4131" s="24"/>
      <c r="F4131" s="14" t="s">
        <v>6012</v>
      </c>
      <c r="G4131" s="14">
        <v>66.68</v>
      </c>
      <c r="H4131" s="14">
        <v>0.0</v>
      </c>
      <c r="I4131" s="14" t="s">
        <v>6042</v>
      </c>
      <c r="J4131" s="14" t="s">
        <v>6012</v>
      </c>
      <c r="K4131" s="14">
        <v>13.47</v>
      </c>
      <c r="L4131" s="14">
        <v>0.0</v>
      </c>
    </row>
    <row r="4132">
      <c r="A4132" s="14">
        <v>51.0</v>
      </c>
      <c r="B4132" s="14">
        <v>2.0</v>
      </c>
      <c r="C4132" s="34">
        <v>12.05</v>
      </c>
      <c r="D4132" s="36">
        <v>45147.0</v>
      </c>
      <c r="E4132" s="24"/>
      <c r="F4132" s="14">
        <v>6.02</v>
      </c>
      <c r="G4132" s="14">
        <v>236.27</v>
      </c>
      <c r="H4132" s="14">
        <v>3.92</v>
      </c>
      <c r="I4132" s="14" t="s">
        <v>6061</v>
      </c>
      <c r="J4132" s="14">
        <v>0.0</v>
      </c>
      <c r="K4132" s="14" t="s">
        <v>6012</v>
      </c>
      <c r="L4132" s="14">
        <v>0.0</v>
      </c>
    </row>
    <row r="4133">
      <c r="A4133" s="14">
        <v>50.0</v>
      </c>
      <c r="B4133" s="14">
        <v>0.0</v>
      </c>
      <c r="C4133" s="34">
        <v>12.56</v>
      </c>
      <c r="D4133" s="36">
        <v>45147.0</v>
      </c>
      <c r="E4133" s="24"/>
      <c r="F4133" s="14" t="s">
        <v>6012</v>
      </c>
      <c r="G4133" s="14">
        <v>251.2</v>
      </c>
      <c r="H4133" s="14">
        <v>0.0</v>
      </c>
      <c r="I4133" s="14" t="s">
        <v>6063</v>
      </c>
      <c r="J4133" s="14" t="s">
        <v>6012</v>
      </c>
      <c r="K4133" s="14" t="s">
        <v>6012</v>
      </c>
      <c r="L4133" s="14">
        <v>0.0</v>
      </c>
    </row>
    <row r="4134">
      <c r="A4134" s="14">
        <v>52.0</v>
      </c>
      <c r="B4134" s="14">
        <v>0.0</v>
      </c>
      <c r="C4134" s="34">
        <v>13.41</v>
      </c>
      <c r="D4134" s="36">
        <v>45147.0</v>
      </c>
      <c r="E4134" s="24"/>
      <c r="F4134" s="14" t="s">
        <v>6012</v>
      </c>
      <c r="G4134" s="14">
        <v>257.88</v>
      </c>
      <c r="H4134" s="14">
        <v>0.0</v>
      </c>
      <c r="I4134" s="14" t="s">
        <v>6059</v>
      </c>
      <c r="J4134" s="14" t="s">
        <v>6012</v>
      </c>
      <c r="K4134" s="14" t="s">
        <v>6012</v>
      </c>
      <c r="L4134" s="14">
        <v>0.0</v>
      </c>
    </row>
    <row r="4135">
      <c r="A4135" s="14">
        <v>161.0</v>
      </c>
      <c r="B4135" s="14">
        <v>1.0</v>
      </c>
      <c r="C4135" s="34">
        <v>11.99</v>
      </c>
      <c r="D4135" s="36">
        <v>45147.0</v>
      </c>
      <c r="E4135" s="24"/>
      <c r="F4135" s="14">
        <v>11.99</v>
      </c>
      <c r="G4135" s="14">
        <v>74.47</v>
      </c>
      <c r="H4135" s="14">
        <v>0.62</v>
      </c>
      <c r="I4135" s="14" t="s">
        <v>6062</v>
      </c>
      <c r="J4135" s="14">
        <v>200.0</v>
      </c>
      <c r="K4135" s="14">
        <v>6.0</v>
      </c>
      <c r="L4135" s="14">
        <v>0.0</v>
      </c>
    </row>
    <row r="4136">
      <c r="A4136" s="14">
        <v>87.0</v>
      </c>
      <c r="B4136" s="14">
        <v>2.0</v>
      </c>
      <c r="C4136" s="34">
        <v>11.33</v>
      </c>
      <c r="D4136" s="36">
        <v>45148.0</v>
      </c>
      <c r="E4136" s="24"/>
      <c r="F4136" s="14">
        <v>5.66</v>
      </c>
      <c r="G4136" s="14">
        <v>130.23</v>
      </c>
      <c r="H4136" s="14">
        <v>2.3</v>
      </c>
      <c r="I4136" s="14" t="s">
        <v>6058</v>
      </c>
      <c r="J4136" s="14">
        <v>0.0</v>
      </c>
      <c r="K4136" s="14" t="s">
        <v>6012</v>
      </c>
      <c r="L4136" s="14">
        <v>0.0</v>
      </c>
    </row>
    <row r="4137">
      <c r="A4137" s="14">
        <v>254.0</v>
      </c>
      <c r="B4137" s="14">
        <v>1.0</v>
      </c>
      <c r="C4137" s="34">
        <v>13.83</v>
      </c>
      <c r="D4137" s="36">
        <v>45148.0</v>
      </c>
      <c r="E4137" s="24"/>
      <c r="F4137" s="14">
        <v>13.83</v>
      </c>
      <c r="G4137" s="14">
        <v>54.45</v>
      </c>
      <c r="H4137" s="14">
        <v>0.39</v>
      </c>
      <c r="I4137" s="14" t="s">
        <v>6042</v>
      </c>
      <c r="J4137" s="14">
        <v>0.0</v>
      </c>
      <c r="K4137" s="14" t="s">
        <v>6012</v>
      </c>
      <c r="L4137" s="14">
        <v>0.0</v>
      </c>
    </row>
    <row r="4138">
      <c r="A4138" s="14">
        <v>41.0</v>
      </c>
      <c r="B4138" s="14">
        <v>1.0</v>
      </c>
      <c r="C4138" s="34">
        <v>13.06</v>
      </c>
      <c r="D4138" s="36">
        <v>45148.0</v>
      </c>
      <c r="E4138" s="24"/>
      <c r="F4138" s="14">
        <v>13.06</v>
      </c>
      <c r="G4138" s="14">
        <v>318.54</v>
      </c>
      <c r="H4138" s="14">
        <v>2.44</v>
      </c>
      <c r="I4138" s="14" t="s">
        <v>6059</v>
      </c>
      <c r="J4138" s="14">
        <v>0.0</v>
      </c>
      <c r="K4138" s="14" t="s">
        <v>6012</v>
      </c>
      <c r="L4138" s="14">
        <v>0.0</v>
      </c>
    </row>
    <row r="4139">
      <c r="A4139" s="14">
        <v>424.0</v>
      </c>
      <c r="B4139" s="14">
        <v>3.0</v>
      </c>
      <c r="C4139" s="34">
        <v>11.02</v>
      </c>
      <c r="D4139" s="36">
        <v>45148.0</v>
      </c>
      <c r="E4139" s="24"/>
      <c r="F4139" s="14">
        <v>3.67</v>
      </c>
      <c r="G4139" s="14">
        <v>25.99</v>
      </c>
      <c r="H4139" s="14">
        <v>0.71</v>
      </c>
      <c r="I4139" s="14" t="s">
        <v>6060</v>
      </c>
      <c r="J4139" s="14">
        <v>33.33</v>
      </c>
      <c r="K4139" s="14">
        <v>11.02</v>
      </c>
      <c r="L4139" s="14">
        <v>0.0</v>
      </c>
    </row>
    <row r="4140">
      <c r="A4140" s="14">
        <v>64.0</v>
      </c>
      <c r="B4140" s="14">
        <v>0.0</v>
      </c>
      <c r="C4140" s="34">
        <v>11.67</v>
      </c>
      <c r="D4140" s="36">
        <v>45148.0</v>
      </c>
      <c r="E4140" s="24"/>
      <c r="F4140" s="14" t="s">
        <v>6012</v>
      </c>
      <c r="G4140" s="14">
        <v>182.34</v>
      </c>
      <c r="H4140" s="14">
        <v>0.0</v>
      </c>
      <c r="I4140" s="14" t="s">
        <v>6061</v>
      </c>
      <c r="J4140" s="14" t="s">
        <v>6012</v>
      </c>
      <c r="K4140" s="14" t="s">
        <v>6012</v>
      </c>
      <c r="L4140" s="14">
        <v>0.0</v>
      </c>
    </row>
    <row r="4141">
      <c r="A4141" s="14">
        <v>37.0</v>
      </c>
      <c r="B4141" s="14">
        <v>1.0</v>
      </c>
      <c r="C4141" s="34">
        <v>15.0</v>
      </c>
      <c r="D4141" s="36">
        <v>45148.0</v>
      </c>
      <c r="E4141" s="24"/>
      <c r="F4141" s="14">
        <v>15.0</v>
      </c>
      <c r="G4141" s="14">
        <v>405.41</v>
      </c>
      <c r="H4141" s="14">
        <v>2.7</v>
      </c>
      <c r="I4141" s="14" t="s">
        <v>6057</v>
      </c>
      <c r="J4141" s="14">
        <v>0.0</v>
      </c>
      <c r="K4141" s="14" t="s">
        <v>6012</v>
      </c>
      <c r="L4141" s="14">
        <v>0.0</v>
      </c>
    </row>
    <row r="4142">
      <c r="A4142" s="14">
        <v>5.0</v>
      </c>
      <c r="B4142" s="14">
        <v>4.0</v>
      </c>
      <c r="C4142" s="34">
        <v>3.75</v>
      </c>
      <c r="D4142" s="36">
        <v>45148.0</v>
      </c>
      <c r="E4142" s="24"/>
      <c r="F4142" s="14">
        <v>0.94</v>
      </c>
      <c r="G4142" s="14">
        <v>750.0</v>
      </c>
      <c r="H4142" s="14">
        <v>80.0</v>
      </c>
      <c r="I4142" s="14" t="s">
        <v>6064</v>
      </c>
      <c r="J4142" s="14">
        <v>0.0</v>
      </c>
      <c r="K4142" s="14" t="s">
        <v>6012</v>
      </c>
      <c r="L4142" s="14">
        <v>0.0</v>
      </c>
    </row>
    <row r="4143">
      <c r="A4143" s="14">
        <v>1031.0</v>
      </c>
      <c r="B4143" s="14">
        <v>6.0</v>
      </c>
      <c r="C4143" s="34">
        <v>12.19</v>
      </c>
      <c r="D4143" s="36">
        <v>45148.0</v>
      </c>
      <c r="E4143" s="24"/>
      <c r="F4143" s="14">
        <v>2.03</v>
      </c>
      <c r="G4143" s="14">
        <v>11.82</v>
      </c>
      <c r="H4143" s="14">
        <v>0.58</v>
      </c>
      <c r="I4143" s="14" t="s">
        <v>6051</v>
      </c>
      <c r="J4143" s="14">
        <v>0.0</v>
      </c>
      <c r="K4143" s="14" t="s">
        <v>6012</v>
      </c>
      <c r="L4143" s="14">
        <v>0.0</v>
      </c>
    </row>
    <row r="4144">
      <c r="A4144" s="14">
        <v>169.0</v>
      </c>
      <c r="B4144" s="14">
        <v>2.0</v>
      </c>
      <c r="C4144" s="34">
        <v>10.81</v>
      </c>
      <c r="D4144" s="36">
        <v>45148.0</v>
      </c>
      <c r="E4144" s="24"/>
      <c r="F4144" s="14">
        <v>5.4</v>
      </c>
      <c r="G4144" s="14">
        <v>63.96</v>
      </c>
      <c r="H4144" s="14">
        <v>1.18</v>
      </c>
      <c r="I4144" s="14" t="s">
        <v>6054</v>
      </c>
      <c r="J4144" s="14">
        <v>0.0</v>
      </c>
      <c r="K4144" s="14" t="s">
        <v>6012</v>
      </c>
      <c r="L4144" s="14">
        <v>0.0</v>
      </c>
    </row>
    <row r="4145">
      <c r="A4145" s="14">
        <v>188.0</v>
      </c>
      <c r="B4145" s="14">
        <v>0.0</v>
      </c>
      <c r="C4145" s="34">
        <v>10.98</v>
      </c>
      <c r="D4145" s="36">
        <v>45148.0</v>
      </c>
      <c r="E4145" s="24"/>
      <c r="F4145" s="14" t="s">
        <v>6012</v>
      </c>
      <c r="G4145" s="14">
        <v>58.4</v>
      </c>
      <c r="H4145" s="14">
        <v>0.0</v>
      </c>
      <c r="I4145" s="14" t="s">
        <v>6062</v>
      </c>
      <c r="J4145" s="14" t="s">
        <v>6012</v>
      </c>
      <c r="K4145" s="14">
        <v>10.98</v>
      </c>
      <c r="L4145" s="14">
        <v>0.0</v>
      </c>
    </row>
    <row r="4146">
      <c r="A4146" s="14">
        <v>2054.0</v>
      </c>
      <c r="B4146" s="14">
        <v>3.0</v>
      </c>
      <c r="C4146" s="34">
        <v>11.05</v>
      </c>
      <c r="D4146" s="36">
        <v>45148.0</v>
      </c>
      <c r="E4146" s="24"/>
      <c r="F4146" s="14">
        <v>3.68</v>
      </c>
      <c r="G4146" s="14">
        <v>5.38</v>
      </c>
      <c r="H4146" s="14">
        <v>0.15</v>
      </c>
      <c r="I4146" s="14" t="s">
        <v>6050</v>
      </c>
      <c r="J4146" s="14">
        <v>133.33</v>
      </c>
      <c r="K4146" s="14">
        <v>2.76</v>
      </c>
      <c r="L4146" s="14">
        <v>0.0</v>
      </c>
    </row>
    <row r="4147">
      <c r="A4147" s="14">
        <v>43.0</v>
      </c>
      <c r="B4147" s="14">
        <v>0.0</v>
      </c>
      <c r="C4147" s="34">
        <v>11.72</v>
      </c>
      <c r="D4147" s="36">
        <v>45148.0</v>
      </c>
      <c r="E4147" s="24"/>
      <c r="F4147" s="14" t="s">
        <v>6012</v>
      </c>
      <c r="G4147" s="14">
        <v>272.56</v>
      </c>
      <c r="H4147" s="14">
        <v>0.0</v>
      </c>
      <c r="I4147" s="14" t="s">
        <v>6063</v>
      </c>
      <c r="J4147" s="14" t="s">
        <v>6012</v>
      </c>
      <c r="K4147" s="14" t="s">
        <v>6012</v>
      </c>
      <c r="L4147" s="14">
        <v>0.0</v>
      </c>
    </row>
    <row r="4148">
      <c r="A4148" s="14">
        <v>95.0</v>
      </c>
      <c r="B4148" s="14">
        <v>0.0</v>
      </c>
      <c r="C4148" s="34">
        <v>11.65</v>
      </c>
      <c r="D4148" s="36">
        <v>45149.0</v>
      </c>
      <c r="E4148" s="24"/>
      <c r="F4148" s="14" t="s">
        <v>6012</v>
      </c>
      <c r="G4148" s="14">
        <v>122.63</v>
      </c>
      <c r="H4148" s="14">
        <v>0.0</v>
      </c>
      <c r="I4148" s="14" t="s">
        <v>6042</v>
      </c>
      <c r="J4148" s="14" t="s">
        <v>6012</v>
      </c>
      <c r="K4148" s="14">
        <v>11.65</v>
      </c>
      <c r="L4148" s="14">
        <v>0.0</v>
      </c>
    </row>
    <row r="4149">
      <c r="A4149" s="14">
        <v>2.0</v>
      </c>
      <c r="B4149" s="14">
        <v>2.0</v>
      </c>
      <c r="C4149" s="34">
        <v>1.5</v>
      </c>
      <c r="D4149" s="36">
        <v>45149.0</v>
      </c>
      <c r="E4149" s="24"/>
      <c r="F4149" s="14">
        <v>0.75</v>
      </c>
      <c r="G4149" s="14">
        <v>750.0</v>
      </c>
      <c r="H4149" s="14">
        <v>100.0</v>
      </c>
      <c r="I4149" s="14" t="s">
        <v>6064</v>
      </c>
      <c r="J4149" s="14">
        <v>0.0</v>
      </c>
      <c r="K4149" s="14" t="s">
        <v>6012</v>
      </c>
      <c r="L4149" s="14">
        <v>0.0</v>
      </c>
    </row>
    <row r="4150">
      <c r="A4150" s="14">
        <v>2210.0</v>
      </c>
      <c r="B4150" s="14">
        <v>13.0</v>
      </c>
      <c r="C4150" s="34">
        <v>10.61</v>
      </c>
      <c r="D4150" s="36">
        <v>45149.0</v>
      </c>
      <c r="E4150" s="24"/>
      <c r="F4150" s="14">
        <v>0.82</v>
      </c>
      <c r="G4150" s="14">
        <v>4.8</v>
      </c>
      <c r="H4150" s="14">
        <v>0.59</v>
      </c>
      <c r="I4150" s="14" t="s">
        <v>6050</v>
      </c>
      <c r="J4150" s="14">
        <v>30.77</v>
      </c>
      <c r="K4150" s="14">
        <v>2.65</v>
      </c>
      <c r="L4150" s="14">
        <v>0.0</v>
      </c>
    </row>
    <row r="4151">
      <c r="A4151" s="14">
        <v>48.0</v>
      </c>
      <c r="B4151" s="14">
        <v>2.0</v>
      </c>
      <c r="C4151" s="34">
        <v>11.05</v>
      </c>
      <c r="D4151" s="36">
        <v>45149.0</v>
      </c>
      <c r="E4151" s="24"/>
      <c r="F4151" s="14">
        <v>5.52</v>
      </c>
      <c r="G4151" s="14">
        <v>230.21</v>
      </c>
      <c r="H4151" s="14">
        <v>4.17</v>
      </c>
      <c r="I4151" s="14" t="s">
        <v>6063</v>
      </c>
      <c r="J4151" s="14">
        <v>0.0</v>
      </c>
      <c r="K4151" s="14" t="s">
        <v>6012</v>
      </c>
      <c r="L4151" s="14">
        <v>0.0</v>
      </c>
    </row>
    <row r="4152">
      <c r="A4152" s="14">
        <v>48.0</v>
      </c>
      <c r="B4152" s="14">
        <v>3.0</v>
      </c>
      <c r="C4152" s="34">
        <v>8.49</v>
      </c>
      <c r="D4152" s="36">
        <v>45149.0</v>
      </c>
      <c r="E4152" s="24"/>
      <c r="F4152" s="14">
        <v>2.83</v>
      </c>
      <c r="G4152" s="14">
        <v>176.88</v>
      </c>
      <c r="H4152" s="14">
        <v>6.25</v>
      </c>
      <c r="I4152" s="14" t="s">
        <v>6057</v>
      </c>
      <c r="J4152" s="14">
        <v>0.0</v>
      </c>
      <c r="K4152" s="14" t="s">
        <v>6012</v>
      </c>
      <c r="L4152" s="14">
        <v>0.0</v>
      </c>
    </row>
    <row r="4153">
      <c r="A4153" s="14">
        <v>134.0</v>
      </c>
      <c r="B4153" s="14">
        <v>2.0</v>
      </c>
      <c r="C4153" s="34">
        <v>10.82</v>
      </c>
      <c r="D4153" s="36">
        <v>45149.0</v>
      </c>
      <c r="E4153" s="24"/>
      <c r="F4153" s="14">
        <v>5.41</v>
      </c>
      <c r="G4153" s="14">
        <v>80.75</v>
      </c>
      <c r="H4153" s="14">
        <v>1.49</v>
      </c>
      <c r="I4153" s="14" t="s">
        <v>6062</v>
      </c>
      <c r="J4153" s="14">
        <v>50.0</v>
      </c>
      <c r="K4153" s="14">
        <v>10.82</v>
      </c>
      <c r="L4153" s="14">
        <v>0.0</v>
      </c>
    </row>
    <row r="4154">
      <c r="A4154" s="14">
        <v>70.0</v>
      </c>
      <c r="B4154" s="14">
        <v>1.0</v>
      </c>
      <c r="C4154" s="34">
        <v>10.56</v>
      </c>
      <c r="D4154" s="36">
        <v>45149.0</v>
      </c>
      <c r="E4154" s="24"/>
      <c r="F4154" s="14">
        <v>10.56</v>
      </c>
      <c r="G4154" s="14">
        <v>150.86</v>
      </c>
      <c r="H4154" s="14">
        <v>1.43</v>
      </c>
      <c r="I4154" s="14" t="s">
        <v>6058</v>
      </c>
      <c r="J4154" s="14">
        <v>100.0</v>
      </c>
      <c r="K4154" s="14">
        <v>10.56</v>
      </c>
      <c r="L4154" s="14">
        <v>0.0</v>
      </c>
    </row>
    <row r="4155">
      <c r="A4155" s="14">
        <v>72.0</v>
      </c>
      <c r="B4155" s="14">
        <v>1.0</v>
      </c>
      <c r="C4155" s="34">
        <v>11.57</v>
      </c>
      <c r="D4155" s="36">
        <v>45149.0</v>
      </c>
      <c r="E4155" s="24"/>
      <c r="F4155" s="14">
        <v>11.57</v>
      </c>
      <c r="G4155" s="14">
        <v>160.69</v>
      </c>
      <c r="H4155" s="14">
        <v>1.39</v>
      </c>
      <c r="I4155" s="14" t="s">
        <v>6061</v>
      </c>
      <c r="J4155" s="14">
        <v>100.0</v>
      </c>
      <c r="K4155" s="14">
        <v>11.57</v>
      </c>
      <c r="L4155" s="14">
        <v>0.0</v>
      </c>
    </row>
    <row r="4156">
      <c r="A4156" s="14">
        <v>301.0</v>
      </c>
      <c r="B4156" s="14">
        <v>3.0</v>
      </c>
      <c r="C4156" s="34">
        <v>11.42</v>
      </c>
      <c r="D4156" s="36">
        <v>45149.0</v>
      </c>
      <c r="E4156" s="24"/>
      <c r="F4156" s="14">
        <v>3.81</v>
      </c>
      <c r="G4156" s="14">
        <v>37.94</v>
      </c>
      <c r="H4156" s="14">
        <v>1.0</v>
      </c>
      <c r="I4156" s="14" t="s">
        <v>6060</v>
      </c>
      <c r="J4156" s="14">
        <v>33.33</v>
      </c>
      <c r="K4156" s="14">
        <v>11.42</v>
      </c>
      <c r="L4156" s="14">
        <v>0.0</v>
      </c>
    </row>
    <row r="4157">
      <c r="A4157" s="14">
        <v>806.0</v>
      </c>
      <c r="B4157" s="14">
        <v>9.0</v>
      </c>
      <c r="C4157" s="34">
        <v>11.17</v>
      </c>
      <c r="D4157" s="36">
        <v>45149.0</v>
      </c>
      <c r="E4157" s="24"/>
      <c r="F4157" s="14">
        <v>1.24</v>
      </c>
      <c r="G4157" s="14">
        <v>13.86</v>
      </c>
      <c r="H4157" s="14">
        <v>1.12</v>
      </c>
      <c r="I4157" s="14" t="s">
        <v>6051</v>
      </c>
      <c r="J4157" s="14">
        <v>33.33</v>
      </c>
      <c r="K4157" s="14">
        <v>3.72</v>
      </c>
      <c r="L4157" s="14">
        <v>0.0</v>
      </c>
    </row>
    <row r="4158">
      <c r="A4158" s="14">
        <v>48.0</v>
      </c>
      <c r="B4158" s="14">
        <v>0.0</v>
      </c>
      <c r="C4158" s="34">
        <v>11.0</v>
      </c>
      <c r="D4158" s="36">
        <v>45149.0</v>
      </c>
      <c r="E4158" s="24"/>
      <c r="F4158" s="14" t="s">
        <v>6012</v>
      </c>
      <c r="G4158" s="14">
        <v>229.17</v>
      </c>
      <c r="H4158" s="14">
        <v>0.0</v>
      </c>
      <c r="I4158" s="14" t="s">
        <v>6059</v>
      </c>
      <c r="J4158" s="14" t="s">
        <v>6012</v>
      </c>
      <c r="K4158" s="14" t="s">
        <v>6012</v>
      </c>
      <c r="L4158" s="14">
        <v>0.0</v>
      </c>
    </row>
    <row r="4159">
      <c r="A4159" s="14">
        <v>77.0</v>
      </c>
      <c r="B4159" s="14">
        <v>0.0</v>
      </c>
      <c r="C4159" s="34">
        <v>10.04</v>
      </c>
      <c r="D4159" s="36">
        <v>45149.0</v>
      </c>
      <c r="E4159" s="24"/>
      <c r="F4159" s="14" t="s">
        <v>6012</v>
      </c>
      <c r="G4159" s="14">
        <v>130.39</v>
      </c>
      <c r="H4159" s="14">
        <v>0.0</v>
      </c>
      <c r="I4159" s="14" t="s">
        <v>6054</v>
      </c>
      <c r="J4159" s="14" t="s">
        <v>6012</v>
      </c>
      <c r="K4159" s="14" t="s">
        <v>6012</v>
      </c>
      <c r="L4159" s="14">
        <v>0.0</v>
      </c>
    </row>
    <row r="4160">
      <c r="A4160" s="14">
        <v>28.0</v>
      </c>
      <c r="B4160" s="14">
        <v>0.0</v>
      </c>
      <c r="C4160" s="34">
        <v>7.69</v>
      </c>
      <c r="D4160" s="36">
        <v>45150.0</v>
      </c>
      <c r="E4160" s="24"/>
      <c r="F4160" s="14" t="s">
        <v>6012</v>
      </c>
      <c r="G4160" s="14">
        <v>274.64</v>
      </c>
      <c r="H4160" s="14">
        <v>0.0</v>
      </c>
      <c r="I4160" s="14" t="s">
        <v>6058</v>
      </c>
      <c r="J4160" s="14" t="s">
        <v>6012</v>
      </c>
      <c r="K4160" s="14">
        <v>7.69</v>
      </c>
      <c r="L4160" s="14">
        <v>0.0</v>
      </c>
    </row>
    <row r="4161">
      <c r="A4161" s="14">
        <v>59.0</v>
      </c>
      <c r="B4161" s="14">
        <v>2.0</v>
      </c>
      <c r="C4161" s="34">
        <v>9.46</v>
      </c>
      <c r="D4161" s="36">
        <v>45150.0</v>
      </c>
      <c r="E4161" s="24"/>
      <c r="F4161" s="14">
        <v>4.73</v>
      </c>
      <c r="G4161" s="14">
        <v>160.34</v>
      </c>
      <c r="H4161" s="14">
        <v>3.39</v>
      </c>
      <c r="I4161" s="14" t="s">
        <v>6054</v>
      </c>
      <c r="J4161" s="14">
        <v>50.0</v>
      </c>
      <c r="K4161" s="14">
        <v>9.46</v>
      </c>
      <c r="L4161" s="14">
        <v>1.0</v>
      </c>
    </row>
    <row r="4162">
      <c r="A4162" s="14">
        <v>22.0</v>
      </c>
      <c r="B4162" s="14">
        <v>0.0</v>
      </c>
      <c r="C4162" s="34">
        <v>6.02</v>
      </c>
      <c r="D4162" s="36">
        <v>45150.0</v>
      </c>
      <c r="E4162" s="24"/>
      <c r="F4162" s="14" t="s">
        <v>6012</v>
      </c>
      <c r="G4162" s="14">
        <v>273.64</v>
      </c>
      <c r="H4162" s="14">
        <v>0.0</v>
      </c>
      <c r="I4162" s="14" t="s">
        <v>6061</v>
      </c>
      <c r="J4162" s="14" t="s">
        <v>6012</v>
      </c>
      <c r="K4162" s="14" t="s">
        <v>6012</v>
      </c>
      <c r="L4162" s="14">
        <v>0.0</v>
      </c>
    </row>
    <row r="4163">
      <c r="A4163" s="14">
        <v>67.0</v>
      </c>
      <c r="B4163" s="14">
        <v>0.0</v>
      </c>
      <c r="C4163" s="34">
        <v>6.37</v>
      </c>
      <c r="D4163" s="36">
        <v>45150.0</v>
      </c>
      <c r="E4163" s="24"/>
      <c r="F4163" s="14" t="s">
        <v>6012</v>
      </c>
      <c r="G4163" s="14">
        <v>95.07</v>
      </c>
      <c r="H4163" s="14">
        <v>0.0</v>
      </c>
      <c r="I4163" s="14" t="s">
        <v>6062</v>
      </c>
      <c r="J4163" s="14" t="s">
        <v>6012</v>
      </c>
      <c r="K4163" s="14" t="s">
        <v>6012</v>
      </c>
      <c r="L4163" s="14">
        <v>0.0</v>
      </c>
    </row>
    <row r="4164">
      <c r="A4164" s="14">
        <v>38.0</v>
      </c>
      <c r="B4164" s="14">
        <v>1.0</v>
      </c>
      <c r="C4164" s="34">
        <v>6.54</v>
      </c>
      <c r="D4164" s="36">
        <v>45150.0</v>
      </c>
      <c r="E4164" s="24"/>
      <c r="F4164" s="14">
        <v>6.54</v>
      </c>
      <c r="G4164" s="14">
        <v>172.11</v>
      </c>
      <c r="H4164" s="14">
        <v>2.63</v>
      </c>
      <c r="I4164" s="14" t="s">
        <v>6042</v>
      </c>
      <c r="J4164" s="14">
        <v>100.0</v>
      </c>
      <c r="K4164" s="14">
        <v>6.54</v>
      </c>
      <c r="L4164" s="14">
        <v>0.0</v>
      </c>
    </row>
    <row r="4165">
      <c r="A4165" s="14">
        <v>12.0</v>
      </c>
      <c r="B4165" s="14">
        <v>0.0</v>
      </c>
      <c r="C4165" s="34">
        <v>4.63</v>
      </c>
      <c r="D4165" s="36">
        <v>45150.0</v>
      </c>
      <c r="E4165" s="24"/>
      <c r="F4165" s="14" t="s">
        <v>6012</v>
      </c>
      <c r="G4165" s="14">
        <v>385.83</v>
      </c>
      <c r="H4165" s="14">
        <v>0.0</v>
      </c>
      <c r="I4165" s="14" t="s">
        <v>6059</v>
      </c>
      <c r="J4165" s="14" t="s">
        <v>6012</v>
      </c>
      <c r="K4165" s="14" t="s">
        <v>6012</v>
      </c>
      <c r="L4165" s="14">
        <v>0.0</v>
      </c>
    </row>
    <row r="4166">
      <c r="A4166" s="14">
        <v>20.0</v>
      </c>
      <c r="B4166" s="14">
        <v>1.0</v>
      </c>
      <c r="C4166" s="34">
        <v>5.11</v>
      </c>
      <c r="D4166" s="36">
        <v>45150.0</v>
      </c>
      <c r="E4166" s="24"/>
      <c r="F4166" s="14">
        <v>5.11</v>
      </c>
      <c r="G4166" s="14">
        <v>255.5</v>
      </c>
      <c r="H4166" s="14">
        <v>5.0</v>
      </c>
      <c r="I4166" s="14" t="s">
        <v>6057</v>
      </c>
      <c r="J4166" s="14">
        <v>0.0</v>
      </c>
      <c r="K4166" s="14" t="s">
        <v>6012</v>
      </c>
      <c r="L4166" s="14">
        <v>0.0</v>
      </c>
    </row>
    <row r="4167">
      <c r="A4167" s="14">
        <v>181.0</v>
      </c>
      <c r="B4167" s="14">
        <v>0.0</v>
      </c>
      <c r="C4167" s="34">
        <v>6.26</v>
      </c>
      <c r="D4167" s="36">
        <v>45150.0</v>
      </c>
      <c r="E4167" s="24"/>
      <c r="F4167" s="14" t="s">
        <v>6012</v>
      </c>
      <c r="G4167" s="14">
        <v>34.59</v>
      </c>
      <c r="H4167" s="14">
        <v>0.0</v>
      </c>
      <c r="I4167" s="14" t="s">
        <v>6060</v>
      </c>
      <c r="J4167" s="14" t="s">
        <v>6012</v>
      </c>
      <c r="K4167" s="14">
        <v>6.26</v>
      </c>
      <c r="L4167" s="14">
        <v>0.0</v>
      </c>
    </row>
    <row r="4168">
      <c r="A4168" s="14">
        <v>25.0</v>
      </c>
      <c r="B4168" s="14">
        <v>0.0</v>
      </c>
      <c r="C4168" s="34">
        <v>7.03</v>
      </c>
      <c r="D4168" s="36">
        <v>45150.0</v>
      </c>
      <c r="E4168" s="24"/>
      <c r="F4168" s="14" t="s">
        <v>6012</v>
      </c>
      <c r="G4168" s="14">
        <v>281.2</v>
      </c>
      <c r="H4168" s="14">
        <v>0.0</v>
      </c>
      <c r="I4168" s="14" t="s">
        <v>6063</v>
      </c>
      <c r="J4168" s="14" t="s">
        <v>6012</v>
      </c>
      <c r="K4168" s="14" t="s">
        <v>6012</v>
      </c>
      <c r="L4168" s="14">
        <v>0.0</v>
      </c>
    </row>
    <row r="4169">
      <c r="A4169" s="14">
        <v>1631.0</v>
      </c>
      <c r="B4169" s="14">
        <v>9.0</v>
      </c>
      <c r="C4169" s="34">
        <v>7.03</v>
      </c>
      <c r="D4169" s="36">
        <v>45150.0</v>
      </c>
      <c r="E4169" s="24"/>
      <c r="F4169" s="14">
        <v>0.78</v>
      </c>
      <c r="G4169" s="14">
        <v>4.31</v>
      </c>
      <c r="H4169" s="14">
        <v>0.55</v>
      </c>
      <c r="I4169" s="14" t="s">
        <v>6050</v>
      </c>
      <c r="J4169" s="14">
        <v>22.22</v>
      </c>
      <c r="K4169" s="14">
        <v>3.52</v>
      </c>
      <c r="L4169" s="14">
        <v>0.0</v>
      </c>
    </row>
    <row r="4170">
      <c r="A4170" s="14">
        <v>584.0</v>
      </c>
      <c r="B4170" s="14">
        <v>7.0</v>
      </c>
      <c r="C4170" s="34">
        <v>6.48</v>
      </c>
      <c r="D4170" s="36">
        <v>45150.0</v>
      </c>
      <c r="E4170" s="24"/>
      <c r="F4170" s="14">
        <v>0.93</v>
      </c>
      <c r="G4170" s="14">
        <v>11.1</v>
      </c>
      <c r="H4170" s="14">
        <v>1.2</v>
      </c>
      <c r="I4170" s="14" t="s">
        <v>6051</v>
      </c>
      <c r="J4170" s="14">
        <v>0.0</v>
      </c>
      <c r="K4170" s="14" t="s">
        <v>6012</v>
      </c>
      <c r="L4170" s="14">
        <v>0.0</v>
      </c>
    </row>
    <row r="4171">
      <c r="A4171" s="14">
        <v>1.0</v>
      </c>
      <c r="B4171" s="14">
        <v>1.0</v>
      </c>
      <c r="C4171" s="34">
        <v>0.75</v>
      </c>
      <c r="D4171" s="36">
        <v>45150.0</v>
      </c>
      <c r="E4171" s="24"/>
      <c r="F4171" s="14">
        <v>0.75</v>
      </c>
      <c r="G4171" s="14">
        <v>750.0</v>
      </c>
      <c r="H4171" s="14">
        <v>100.0</v>
      </c>
      <c r="I4171" s="14" t="s">
        <v>6064</v>
      </c>
      <c r="J4171" s="14">
        <v>0.0</v>
      </c>
      <c r="K4171" s="14" t="s">
        <v>6012</v>
      </c>
      <c r="L4171" s="14">
        <v>0.0</v>
      </c>
    </row>
    <row r="4172">
      <c r="A4172" s="14">
        <v>74.0</v>
      </c>
      <c r="B4172" s="14">
        <v>1.0</v>
      </c>
      <c r="C4172" s="34">
        <v>3.55</v>
      </c>
      <c r="D4172" s="36">
        <v>45151.0</v>
      </c>
      <c r="E4172" s="24"/>
      <c r="F4172" s="14">
        <v>3.55</v>
      </c>
      <c r="G4172" s="14">
        <v>47.97</v>
      </c>
      <c r="H4172" s="14">
        <v>1.35</v>
      </c>
      <c r="I4172" s="14" t="s">
        <v>6058</v>
      </c>
      <c r="J4172" s="14">
        <v>100.0</v>
      </c>
      <c r="K4172" s="14">
        <v>3.55</v>
      </c>
      <c r="L4172" s="14">
        <v>0.0</v>
      </c>
    </row>
    <row r="4173">
      <c r="A4173" s="14">
        <v>51.0</v>
      </c>
      <c r="B4173" s="14">
        <v>0.0</v>
      </c>
      <c r="C4173" s="34">
        <v>5.37</v>
      </c>
      <c r="D4173" s="36">
        <v>45151.0</v>
      </c>
      <c r="E4173" s="24"/>
      <c r="F4173" s="14" t="s">
        <v>6012</v>
      </c>
      <c r="G4173" s="14">
        <v>105.29</v>
      </c>
      <c r="H4173" s="14">
        <v>0.0</v>
      </c>
      <c r="I4173" s="14" t="s">
        <v>6062</v>
      </c>
      <c r="J4173" s="14" t="s">
        <v>6012</v>
      </c>
      <c r="K4173" s="14" t="s">
        <v>6012</v>
      </c>
      <c r="L4173" s="14">
        <v>0.0</v>
      </c>
    </row>
    <row r="4174">
      <c r="A4174" s="14">
        <v>1509.0</v>
      </c>
      <c r="B4174" s="14">
        <v>14.0</v>
      </c>
      <c r="C4174" s="34">
        <v>7.81</v>
      </c>
      <c r="D4174" s="36">
        <v>45151.0</v>
      </c>
      <c r="E4174" s="24"/>
      <c r="F4174" s="14">
        <v>0.56</v>
      </c>
      <c r="G4174" s="14">
        <v>5.18</v>
      </c>
      <c r="H4174" s="14">
        <v>0.93</v>
      </c>
      <c r="I4174" s="14" t="s">
        <v>6050</v>
      </c>
      <c r="J4174" s="14">
        <v>21.43</v>
      </c>
      <c r="K4174" s="14">
        <v>2.6</v>
      </c>
      <c r="L4174" s="14">
        <v>0.0</v>
      </c>
    </row>
    <row r="4175">
      <c r="A4175" s="14">
        <v>20.0</v>
      </c>
      <c r="B4175" s="14">
        <v>0.0</v>
      </c>
      <c r="C4175" s="34">
        <v>1.97</v>
      </c>
      <c r="D4175" s="36">
        <v>45151.0</v>
      </c>
      <c r="E4175" s="24"/>
      <c r="F4175" s="14" t="s">
        <v>6012</v>
      </c>
      <c r="G4175" s="14">
        <v>98.5</v>
      </c>
      <c r="H4175" s="14">
        <v>0.0</v>
      </c>
      <c r="I4175" s="14" t="s">
        <v>6063</v>
      </c>
      <c r="J4175" s="14" t="s">
        <v>6012</v>
      </c>
      <c r="K4175" s="14">
        <v>1.97</v>
      </c>
      <c r="L4175" s="14">
        <v>0.0</v>
      </c>
    </row>
    <row r="4176">
      <c r="A4176" s="14">
        <v>13.0</v>
      </c>
      <c r="B4176" s="14">
        <v>0.0</v>
      </c>
      <c r="C4176" s="34">
        <v>3.26</v>
      </c>
      <c r="D4176" s="36">
        <v>45151.0</v>
      </c>
      <c r="E4176" s="24"/>
      <c r="F4176" s="14" t="s">
        <v>6012</v>
      </c>
      <c r="G4176" s="14">
        <v>250.77</v>
      </c>
      <c r="H4176" s="14">
        <v>0.0</v>
      </c>
      <c r="I4176" s="14" t="s">
        <v>6061</v>
      </c>
      <c r="J4176" s="14" t="s">
        <v>6012</v>
      </c>
      <c r="K4176" s="14" t="s">
        <v>6012</v>
      </c>
      <c r="L4176" s="14">
        <v>0.0</v>
      </c>
    </row>
    <row r="4177">
      <c r="A4177" s="14">
        <v>9.0</v>
      </c>
      <c r="B4177" s="14">
        <v>1.0</v>
      </c>
      <c r="C4177" s="34">
        <v>2.98</v>
      </c>
      <c r="D4177" s="36">
        <v>45151.0</v>
      </c>
      <c r="E4177" s="24"/>
      <c r="F4177" s="14">
        <v>2.98</v>
      </c>
      <c r="G4177" s="14">
        <v>331.11</v>
      </c>
      <c r="H4177" s="14">
        <v>11.11</v>
      </c>
      <c r="I4177" s="14" t="s">
        <v>6059</v>
      </c>
      <c r="J4177" s="14">
        <v>0.0</v>
      </c>
      <c r="K4177" s="14" t="s">
        <v>6012</v>
      </c>
      <c r="L4177" s="14">
        <v>0.0</v>
      </c>
    </row>
    <row r="4178">
      <c r="A4178" s="14">
        <v>234.0</v>
      </c>
      <c r="B4178" s="14">
        <v>4.0</v>
      </c>
      <c r="C4178" s="34">
        <v>5.74</v>
      </c>
      <c r="D4178" s="36">
        <v>45151.0</v>
      </c>
      <c r="E4178" s="24"/>
      <c r="F4178" s="14">
        <v>1.44</v>
      </c>
      <c r="G4178" s="14">
        <v>24.53</v>
      </c>
      <c r="H4178" s="14">
        <v>1.71</v>
      </c>
      <c r="I4178" s="14" t="s">
        <v>6060</v>
      </c>
      <c r="J4178" s="14">
        <v>0.0</v>
      </c>
      <c r="K4178" s="14" t="s">
        <v>6012</v>
      </c>
      <c r="L4178" s="14">
        <v>0.0</v>
      </c>
    </row>
    <row r="4179">
      <c r="A4179" s="14">
        <v>32.0</v>
      </c>
      <c r="B4179" s="14">
        <v>0.0</v>
      </c>
      <c r="C4179" s="34">
        <v>4.89</v>
      </c>
      <c r="D4179" s="36">
        <v>45151.0</v>
      </c>
      <c r="E4179" s="24"/>
      <c r="F4179" s="14" t="s">
        <v>6012</v>
      </c>
      <c r="G4179" s="14">
        <v>152.81</v>
      </c>
      <c r="H4179" s="14">
        <v>0.0</v>
      </c>
      <c r="I4179" s="14" t="s">
        <v>6042</v>
      </c>
      <c r="J4179" s="14" t="s">
        <v>6012</v>
      </c>
      <c r="K4179" s="14" t="s">
        <v>6012</v>
      </c>
      <c r="L4179" s="14">
        <v>0.0</v>
      </c>
    </row>
    <row r="4180">
      <c r="A4180" s="14">
        <v>426.0</v>
      </c>
      <c r="B4180" s="14">
        <v>5.0</v>
      </c>
      <c r="C4180" s="34">
        <v>5.25</v>
      </c>
      <c r="D4180" s="36">
        <v>45151.0</v>
      </c>
      <c r="E4180" s="24"/>
      <c r="F4180" s="14">
        <v>1.05</v>
      </c>
      <c r="G4180" s="14">
        <v>12.32</v>
      </c>
      <c r="H4180" s="14">
        <v>1.17</v>
      </c>
      <c r="I4180" s="14" t="s">
        <v>6051</v>
      </c>
      <c r="J4180" s="14">
        <v>0.0</v>
      </c>
      <c r="K4180" s="14" t="s">
        <v>6012</v>
      </c>
      <c r="L4180" s="14">
        <v>0.0</v>
      </c>
    </row>
    <row r="4181">
      <c r="A4181" s="14">
        <v>8.0</v>
      </c>
      <c r="B4181" s="14">
        <v>0.0</v>
      </c>
      <c r="C4181" s="34">
        <v>3.05</v>
      </c>
      <c r="D4181" s="36">
        <v>45151.0</v>
      </c>
      <c r="E4181" s="24"/>
      <c r="F4181" s="14" t="s">
        <v>6012</v>
      </c>
      <c r="G4181" s="14">
        <v>381.25</v>
      </c>
      <c r="H4181" s="14">
        <v>0.0</v>
      </c>
      <c r="I4181" s="14" t="s">
        <v>6057</v>
      </c>
      <c r="J4181" s="14" t="s">
        <v>6012</v>
      </c>
      <c r="K4181" s="14" t="s">
        <v>6012</v>
      </c>
      <c r="L4181" s="14">
        <v>0.0</v>
      </c>
    </row>
    <row r="4182">
      <c r="A4182" s="14">
        <v>3.0</v>
      </c>
      <c r="B4182" s="14">
        <v>1.0</v>
      </c>
      <c r="C4182" s="34">
        <v>2.25</v>
      </c>
      <c r="D4182" s="36">
        <v>45151.0</v>
      </c>
      <c r="E4182" s="24"/>
      <c r="F4182" s="14">
        <v>2.25</v>
      </c>
      <c r="G4182" s="14">
        <v>750.0</v>
      </c>
      <c r="H4182" s="14">
        <v>33.33</v>
      </c>
      <c r="I4182" s="14" t="s">
        <v>6064</v>
      </c>
      <c r="J4182" s="14">
        <v>0.0</v>
      </c>
      <c r="K4182" s="14" t="s">
        <v>6012</v>
      </c>
      <c r="L4182" s="14">
        <v>0.0</v>
      </c>
    </row>
    <row r="4183">
      <c r="A4183" s="14">
        <v>134.0</v>
      </c>
      <c r="B4183" s="14">
        <v>0.0</v>
      </c>
      <c r="C4183" s="34">
        <v>2.78</v>
      </c>
      <c r="D4183" s="36">
        <v>45151.0</v>
      </c>
      <c r="E4183" s="24"/>
      <c r="F4183" s="14" t="s">
        <v>6012</v>
      </c>
      <c r="G4183" s="14">
        <v>20.75</v>
      </c>
      <c r="H4183" s="14">
        <v>0.0</v>
      </c>
      <c r="I4183" s="14" t="s">
        <v>6054</v>
      </c>
      <c r="J4183" s="14" t="s">
        <v>6012</v>
      </c>
      <c r="K4183" s="14" t="s">
        <v>6012</v>
      </c>
      <c r="L4183" s="14">
        <v>0.0</v>
      </c>
    </row>
    <row r="4184">
      <c r="A4184" s="14">
        <v>53.0</v>
      </c>
      <c r="B4184" s="14">
        <v>0.0</v>
      </c>
      <c r="C4184" s="34">
        <v>12.68</v>
      </c>
      <c r="D4184" s="36">
        <v>45152.0</v>
      </c>
      <c r="E4184" s="24"/>
      <c r="F4184" s="14" t="s">
        <v>6012</v>
      </c>
      <c r="G4184" s="14">
        <v>239.25</v>
      </c>
      <c r="H4184" s="14">
        <v>0.0</v>
      </c>
      <c r="I4184" s="14" t="s">
        <v>6063</v>
      </c>
      <c r="J4184" s="14" t="s">
        <v>6012</v>
      </c>
      <c r="K4184" s="14" t="s">
        <v>6012</v>
      </c>
      <c r="L4184" s="14">
        <v>0.0</v>
      </c>
    </row>
    <row r="4185">
      <c r="A4185" s="14">
        <v>314.0</v>
      </c>
      <c r="B4185" s="14">
        <v>7.0</v>
      </c>
      <c r="C4185" s="34">
        <v>11.51</v>
      </c>
      <c r="D4185" s="36">
        <v>45152.0</v>
      </c>
      <c r="E4185" s="24"/>
      <c r="F4185" s="14">
        <v>1.64</v>
      </c>
      <c r="G4185" s="14">
        <v>36.66</v>
      </c>
      <c r="H4185" s="14">
        <v>2.23</v>
      </c>
      <c r="I4185" s="14" t="s">
        <v>6060</v>
      </c>
      <c r="J4185" s="14">
        <v>0.0</v>
      </c>
      <c r="K4185" s="14" t="s">
        <v>6012</v>
      </c>
      <c r="L4185" s="14">
        <v>0.0</v>
      </c>
    </row>
    <row r="4186">
      <c r="A4186" s="14">
        <v>2206.0</v>
      </c>
      <c r="B4186" s="14">
        <v>16.0</v>
      </c>
      <c r="C4186" s="34">
        <v>10.5</v>
      </c>
      <c r="D4186" s="36">
        <v>45152.0</v>
      </c>
      <c r="E4186" s="24"/>
      <c r="F4186" s="14">
        <v>0.66</v>
      </c>
      <c r="G4186" s="14">
        <v>4.76</v>
      </c>
      <c r="H4186" s="14">
        <v>0.73</v>
      </c>
      <c r="I4186" s="14" t="s">
        <v>6050</v>
      </c>
      <c r="J4186" s="14">
        <v>31.25</v>
      </c>
      <c r="K4186" s="14">
        <v>2.1</v>
      </c>
      <c r="L4186" s="14">
        <v>0.0</v>
      </c>
    </row>
    <row r="4187">
      <c r="A4187" s="14">
        <v>8.0</v>
      </c>
      <c r="B4187" s="14">
        <v>5.0</v>
      </c>
      <c r="C4187" s="34">
        <v>6.0</v>
      </c>
      <c r="D4187" s="36">
        <v>45152.0</v>
      </c>
      <c r="E4187" s="24"/>
      <c r="F4187" s="14">
        <v>1.2</v>
      </c>
      <c r="G4187" s="14">
        <v>750.0</v>
      </c>
      <c r="H4187" s="14">
        <v>62.5</v>
      </c>
      <c r="I4187" s="14" t="s">
        <v>6064</v>
      </c>
      <c r="J4187" s="14">
        <v>0.0</v>
      </c>
      <c r="K4187" s="14" t="s">
        <v>6012</v>
      </c>
      <c r="L4187" s="14">
        <v>0.0</v>
      </c>
    </row>
    <row r="4188">
      <c r="A4188" s="14">
        <v>76.0</v>
      </c>
      <c r="B4188" s="14">
        <v>0.0</v>
      </c>
      <c r="C4188" s="34">
        <v>12.66</v>
      </c>
      <c r="D4188" s="36">
        <v>45152.0</v>
      </c>
      <c r="E4188" s="24"/>
      <c r="F4188" s="14" t="s">
        <v>6012</v>
      </c>
      <c r="G4188" s="14">
        <v>166.58</v>
      </c>
      <c r="H4188" s="14">
        <v>0.0</v>
      </c>
      <c r="I4188" s="14" t="s">
        <v>6058</v>
      </c>
      <c r="J4188" s="14" t="s">
        <v>6012</v>
      </c>
      <c r="K4188" s="14" t="s">
        <v>6012</v>
      </c>
      <c r="L4188" s="14">
        <v>0.0</v>
      </c>
    </row>
    <row r="4189">
      <c r="A4189" s="14">
        <v>98.0</v>
      </c>
      <c r="B4189" s="14">
        <v>2.0</v>
      </c>
      <c r="C4189" s="34">
        <v>11.98</v>
      </c>
      <c r="D4189" s="36">
        <v>45152.0</v>
      </c>
      <c r="E4189" s="24"/>
      <c r="F4189" s="14">
        <v>5.99</v>
      </c>
      <c r="G4189" s="14">
        <v>122.24</v>
      </c>
      <c r="H4189" s="14">
        <v>2.04</v>
      </c>
      <c r="I4189" s="14" t="s">
        <v>6054</v>
      </c>
      <c r="J4189" s="14">
        <v>0.0</v>
      </c>
      <c r="K4189" s="14" t="s">
        <v>6012</v>
      </c>
      <c r="L4189" s="14">
        <v>0.0</v>
      </c>
    </row>
    <row r="4190">
      <c r="A4190" s="14">
        <v>111.0</v>
      </c>
      <c r="B4190" s="14">
        <v>1.0</v>
      </c>
      <c r="C4190" s="34">
        <v>11.17</v>
      </c>
      <c r="D4190" s="36">
        <v>45152.0</v>
      </c>
      <c r="E4190" s="24"/>
      <c r="F4190" s="14">
        <v>11.17</v>
      </c>
      <c r="G4190" s="14">
        <v>100.63</v>
      </c>
      <c r="H4190" s="14">
        <v>0.9</v>
      </c>
      <c r="I4190" s="14" t="s">
        <v>6061</v>
      </c>
      <c r="J4190" s="14">
        <v>0.0</v>
      </c>
      <c r="K4190" s="14" t="s">
        <v>6012</v>
      </c>
      <c r="L4190" s="14">
        <v>0.0</v>
      </c>
    </row>
    <row r="4191">
      <c r="A4191" s="14">
        <v>1019.0</v>
      </c>
      <c r="B4191" s="14">
        <v>10.0</v>
      </c>
      <c r="C4191" s="34">
        <v>10.62</v>
      </c>
      <c r="D4191" s="36">
        <v>45152.0</v>
      </c>
      <c r="E4191" s="24"/>
      <c r="F4191" s="14">
        <v>1.06</v>
      </c>
      <c r="G4191" s="14">
        <v>10.42</v>
      </c>
      <c r="H4191" s="14">
        <v>0.98</v>
      </c>
      <c r="I4191" s="14" t="s">
        <v>6051</v>
      </c>
      <c r="J4191" s="14">
        <v>0.0</v>
      </c>
      <c r="K4191" s="14" t="s">
        <v>6012</v>
      </c>
      <c r="L4191" s="14">
        <v>0.0</v>
      </c>
    </row>
    <row r="4192">
      <c r="A4192" s="14">
        <v>58.0</v>
      </c>
      <c r="B4192" s="14">
        <v>2.0</v>
      </c>
      <c r="C4192" s="34">
        <v>11.99</v>
      </c>
      <c r="D4192" s="36">
        <v>45152.0</v>
      </c>
      <c r="E4192" s="24"/>
      <c r="F4192" s="14">
        <v>6.0</v>
      </c>
      <c r="G4192" s="14">
        <v>206.72</v>
      </c>
      <c r="H4192" s="14">
        <v>3.45</v>
      </c>
      <c r="I4192" s="14" t="s">
        <v>6059</v>
      </c>
      <c r="J4192" s="14">
        <v>0.0</v>
      </c>
      <c r="K4192" s="14" t="s">
        <v>6012</v>
      </c>
      <c r="L4192" s="14">
        <v>0.0</v>
      </c>
    </row>
    <row r="4193">
      <c r="A4193" s="14">
        <v>52.0</v>
      </c>
      <c r="B4193" s="14">
        <v>0.0</v>
      </c>
      <c r="C4193" s="34">
        <v>12.31</v>
      </c>
      <c r="D4193" s="36">
        <v>45152.0</v>
      </c>
      <c r="E4193" s="24"/>
      <c r="F4193" s="14" t="s">
        <v>6012</v>
      </c>
      <c r="G4193" s="14">
        <v>236.73</v>
      </c>
      <c r="H4193" s="14">
        <v>0.0</v>
      </c>
      <c r="I4193" s="14" t="s">
        <v>6057</v>
      </c>
      <c r="J4193" s="14" t="s">
        <v>6012</v>
      </c>
      <c r="K4193" s="14" t="s">
        <v>6012</v>
      </c>
      <c r="L4193" s="14">
        <v>0.0</v>
      </c>
    </row>
    <row r="4194">
      <c r="A4194" s="14">
        <v>159.0</v>
      </c>
      <c r="B4194" s="14">
        <v>0.0</v>
      </c>
      <c r="C4194" s="34">
        <v>11.89</v>
      </c>
      <c r="D4194" s="36">
        <v>45152.0</v>
      </c>
      <c r="E4194" s="24"/>
      <c r="F4194" s="14" t="s">
        <v>6012</v>
      </c>
      <c r="G4194" s="14">
        <v>74.78</v>
      </c>
      <c r="H4194" s="14">
        <v>0.0</v>
      </c>
      <c r="I4194" s="14" t="s">
        <v>6062</v>
      </c>
      <c r="J4194" s="14" t="s">
        <v>6012</v>
      </c>
      <c r="K4194" s="14" t="s">
        <v>6012</v>
      </c>
      <c r="L4194" s="14">
        <v>0.0</v>
      </c>
    </row>
    <row r="4195">
      <c r="A4195" s="14">
        <v>223.0</v>
      </c>
      <c r="B4195" s="14">
        <v>1.0</v>
      </c>
      <c r="C4195" s="34">
        <v>12.76</v>
      </c>
      <c r="D4195" s="36">
        <v>45152.0</v>
      </c>
      <c r="E4195" s="24"/>
      <c r="F4195" s="14">
        <v>12.76</v>
      </c>
      <c r="G4195" s="14">
        <v>57.22</v>
      </c>
      <c r="H4195" s="14">
        <v>0.45</v>
      </c>
      <c r="I4195" s="14" t="s">
        <v>6042</v>
      </c>
      <c r="J4195" s="14">
        <v>0.0</v>
      </c>
      <c r="K4195" s="14" t="s">
        <v>6012</v>
      </c>
      <c r="L4195" s="14">
        <v>0.0</v>
      </c>
    </row>
    <row r="4196">
      <c r="A4196" s="14">
        <v>31.0</v>
      </c>
      <c r="B4196" s="14">
        <v>0.0</v>
      </c>
      <c r="C4196" s="34">
        <v>13.21</v>
      </c>
      <c r="D4196" s="36">
        <v>45153.0</v>
      </c>
      <c r="E4196" s="24"/>
      <c r="F4196" s="14" t="s">
        <v>6012</v>
      </c>
      <c r="G4196" s="14">
        <v>426.13</v>
      </c>
      <c r="H4196" s="14">
        <v>0.0</v>
      </c>
      <c r="I4196" s="14" t="s">
        <v>6057</v>
      </c>
      <c r="J4196" s="14" t="s">
        <v>6012</v>
      </c>
      <c r="K4196" s="14" t="s">
        <v>6012</v>
      </c>
      <c r="L4196" s="14">
        <v>0.0</v>
      </c>
    </row>
    <row r="4197">
      <c r="A4197" s="14">
        <v>85.0</v>
      </c>
      <c r="B4197" s="14">
        <v>3.0</v>
      </c>
      <c r="C4197" s="34">
        <v>10.96</v>
      </c>
      <c r="D4197" s="36">
        <v>45153.0</v>
      </c>
      <c r="E4197" s="24"/>
      <c r="F4197" s="14">
        <v>3.65</v>
      </c>
      <c r="G4197" s="14">
        <v>128.94</v>
      </c>
      <c r="H4197" s="14">
        <v>3.53</v>
      </c>
      <c r="I4197" s="14" t="s">
        <v>6058</v>
      </c>
      <c r="J4197" s="14">
        <v>0.0</v>
      </c>
      <c r="K4197" s="14" t="s">
        <v>6012</v>
      </c>
      <c r="L4197" s="14">
        <v>0.0</v>
      </c>
    </row>
    <row r="4198">
      <c r="A4198" s="14">
        <v>418.0</v>
      </c>
      <c r="B4198" s="14">
        <v>8.0</v>
      </c>
      <c r="C4198" s="34">
        <v>11.1</v>
      </c>
      <c r="D4198" s="36">
        <v>45153.0</v>
      </c>
      <c r="E4198" s="24"/>
      <c r="F4198" s="14">
        <v>1.39</v>
      </c>
      <c r="G4198" s="14">
        <v>26.56</v>
      </c>
      <c r="H4198" s="14">
        <v>1.91</v>
      </c>
      <c r="I4198" s="14" t="s">
        <v>6060</v>
      </c>
      <c r="J4198" s="14">
        <v>25.0</v>
      </c>
      <c r="K4198" s="14">
        <v>5.55</v>
      </c>
      <c r="L4198" s="14">
        <v>0.0</v>
      </c>
    </row>
    <row r="4199">
      <c r="A4199" s="14">
        <v>118.0</v>
      </c>
      <c r="B4199" s="14">
        <v>0.0</v>
      </c>
      <c r="C4199" s="34">
        <v>12.33</v>
      </c>
      <c r="D4199" s="36">
        <v>45153.0</v>
      </c>
      <c r="E4199" s="24"/>
      <c r="F4199" s="14" t="s">
        <v>6012</v>
      </c>
      <c r="G4199" s="14">
        <v>104.49</v>
      </c>
      <c r="H4199" s="14">
        <v>0.0</v>
      </c>
      <c r="I4199" s="14" t="s">
        <v>6062</v>
      </c>
      <c r="J4199" s="14" t="s">
        <v>6012</v>
      </c>
      <c r="K4199" s="14">
        <v>6.16</v>
      </c>
      <c r="L4199" s="14">
        <v>0.0</v>
      </c>
    </row>
    <row r="4200">
      <c r="A4200" s="14">
        <v>63.0</v>
      </c>
      <c r="B4200" s="14">
        <v>0.0</v>
      </c>
      <c r="C4200" s="34">
        <v>12.35</v>
      </c>
      <c r="D4200" s="36">
        <v>45153.0</v>
      </c>
      <c r="E4200" s="24"/>
      <c r="F4200" s="14" t="s">
        <v>6012</v>
      </c>
      <c r="G4200" s="14">
        <v>196.03</v>
      </c>
      <c r="H4200" s="14">
        <v>0.0</v>
      </c>
      <c r="I4200" s="14" t="s">
        <v>6063</v>
      </c>
      <c r="J4200" s="14" t="s">
        <v>6012</v>
      </c>
      <c r="K4200" s="14" t="s">
        <v>6012</v>
      </c>
      <c r="L4200" s="14">
        <v>0.0</v>
      </c>
    </row>
    <row r="4201">
      <c r="A4201" s="14">
        <v>10.0</v>
      </c>
      <c r="B4201" s="14">
        <v>8.0</v>
      </c>
      <c r="C4201" s="34">
        <v>7.5</v>
      </c>
      <c r="D4201" s="36">
        <v>45153.0</v>
      </c>
      <c r="E4201" s="24"/>
      <c r="F4201" s="14">
        <v>0.94</v>
      </c>
      <c r="G4201" s="14">
        <v>750.0</v>
      </c>
      <c r="H4201" s="14">
        <v>80.0</v>
      </c>
      <c r="I4201" s="14" t="s">
        <v>6064</v>
      </c>
      <c r="J4201" s="14">
        <v>0.0</v>
      </c>
      <c r="K4201" s="14" t="s">
        <v>6012</v>
      </c>
      <c r="L4201" s="14">
        <v>0.0</v>
      </c>
    </row>
    <row r="4202">
      <c r="A4202" s="14">
        <v>92.0</v>
      </c>
      <c r="B4202" s="14">
        <v>1.0</v>
      </c>
      <c r="C4202" s="34">
        <v>12.97</v>
      </c>
      <c r="D4202" s="36">
        <v>45153.0</v>
      </c>
      <c r="E4202" s="24"/>
      <c r="F4202" s="14">
        <v>12.97</v>
      </c>
      <c r="G4202" s="14">
        <v>140.98</v>
      </c>
      <c r="H4202" s="14">
        <v>1.09</v>
      </c>
      <c r="I4202" s="14" t="s">
        <v>6061</v>
      </c>
      <c r="J4202" s="14">
        <v>0.0</v>
      </c>
      <c r="K4202" s="14" t="s">
        <v>6012</v>
      </c>
      <c r="L4202" s="14">
        <v>0.0</v>
      </c>
    </row>
    <row r="4203">
      <c r="A4203" s="14">
        <v>1023.0</v>
      </c>
      <c r="B4203" s="14">
        <v>8.0</v>
      </c>
      <c r="C4203" s="34">
        <v>11.41</v>
      </c>
      <c r="D4203" s="36">
        <v>45153.0</v>
      </c>
      <c r="E4203" s="24"/>
      <c r="F4203" s="14">
        <v>1.43</v>
      </c>
      <c r="G4203" s="14">
        <v>11.15</v>
      </c>
      <c r="H4203" s="14">
        <v>0.78</v>
      </c>
      <c r="I4203" s="14" t="s">
        <v>6051</v>
      </c>
      <c r="J4203" s="14">
        <v>12.5</v>
      </c>
      <c r="K4203" s="14">
        <v>11.41</v>
      </c>
      <c r="L4203" s="14">
        <v>0.0</v>
      </c>
    </row>
    <row r="4204">
      <c r="A4204" s="14">
        <v>169.0</v>
      </c>
      <c r="B4204" s="14">
        <v>1.0</v>
      </c>
      <c r="C4204" s="34">
        <v>12.94</v>
      </c>
      <c r="D4204" s="36">
        <v>45153.0</v>
      </c>
      <c r="E4204" s="24"/>
      <c r="F4204" s="14">
        <v>12.94</v>
      </c>
      <c r="G4204" s="14">
        <v>76.57</v>
      </c>
      <c r="H4204" s="14">
        <v>0.59</v>
      </c>
      <c r="I4204" s="14" t="s">
        <v>6042</v>
      </c>
      <c r="J4204" s="14">
        <v>0.0</v>
      </c>
      <c r="K4204" s="14" t="s">
        <v>6012</v>
      </c>
      <c r="L4204" s="14">
        <v>0.0</v>
      </c>
    </row>
    <row r="4205">
      <c r="A4205" s="14">
        <v>113.0</v>
      </c>
      <c r="B4205" s="14">
        <v>3.0</v>
      </c>
      <c r="C4205" s="34">
        <v>11.08</v>
      </c>
      <c r="D4205" s="36">
        <v>45153.0</v>
      </c>
      <c r="E4205" s="24"/>
      <c r="F4205" s="14">
        <v>3.69</v>
      </c>
      <c r="G4205" s="14">
        <v>98.05</v>
      </c>
      <c r="H4205" s="14">
        <v>2.65</v>
      </c>
      <c r="I4205" s="14" t="s">
        <v>6054</v>
      </c>
      <c r="J4205" s="14">
        <v>33.33</v>
      </c>
      <c r="K4205" s="14">
        <v>11.08</v>
      </c>
      <c r="L4205" s="14">
        <v>1.0</v>
      </c>
    </row>
    <row r="4206">
      <c r="A4206" s="14">
        <v>53.0</v>
      </c>
      <c r="B4206" s="14">
        <v>0.0</v>
      </c>
      <c r="C4206" s="34">
        <v>11.91</v>
      </c>
      <c r="D4206" s="36">
        <v>45153.0</v>
      </c>
      <c r="E4206" s="24"/>
      <c r="F4206" s="14" t="s">
        <v>6012</v>
      </c>
      <c r="G4206" s="14">
        <v>224.72</v>
      </c>
      <c r="H4206" s="14">
        <v>0.0</v>
      </c>
      <c r="I4206" s="14" t="s">
        <v>6059</v>
      </c>
      <c r="J4206" s="14" t="s">
        <v>6012</v>
      </c>
      <c r="K4206" s="14" t="s">
        <v>6012</v>
      </c>
      <c r="L4206" s="14">
        <v>0.0</v>
      </c>
    </row>
    <row r="4207">
      <c r="A4207" s="14">
        <v>1926.0</v>
      </c>
      <c r="B4207" s="14">
        <v>9.0</v>
      </c>
      <c r="C4207" s="34">
        <v>10.93</v>
      </c>
      <c r="D4207" s="36">
        <v>45153.0</v>
      </c>
      <c r="E4207" s="24"/>
      <c r="F4207" s="14">
        <v>1.21</v>
      </c>
      <c r="G4207" s="14">
        <v>5.67</v>
      </c>
      <c r="H4207" s="14">
        <v>0.47</v>
      </c>
      <c r="I4207" s="14" t="s">
        <v>6050</v>
      </c>
      <c r="J4207" s="14">
        <v>33.33</v>
      </c>
      <c r="K4207" s="14">
        <v>3.64</v>
      </c>
      <c r="L4207" s="14">
        <v>0.0</v>
      </c>
    </row>
    <row r="4208">
      <c r="A4208" s="14">
        <v>50.0</v>
      </c>
      <c r="B4208" s="14">
        <v>0.0</v>
      </c>
      <c r="C4208" s="34">
        <v>13.3</v>
      </c>
      <c r="D4208" s="36">
        <v>45154.0</v>
      </c>
      <c r="E4208" s="24"/>
      <c r="F4208" s="14" t="s">
        <v>6012</v>
      </c>
      <c r="G4208" s="14">
        <v>266.0</v>
      </c>
      <c r="H4208" s="14">
        <v>0.0</v>
      </c>
      <c r="I4208" s="14" t="s">
        <v>6063</v>
      </c>
      <c r="J4208" s="14" t="s">
        <v>6012</v>
      </c>
      <c r="K4208" s="14" t="s">
        <v>6012</v>
      </c>
      <c r="L4208" s="14">
        <v>0.0</v>
      </c>
    </row>
    <row r="4209">
      <c r="A4209" s="14">
        <v>2353.0</v>
      </c>
      <c r="B4209" s="14">
        <v>12.0</v>
      </c>
      <c r="C4209" s="34">
        <v>12.38</v>
      </c>
      <c r="D4209" s="36">
        <v>45154.0</v>
      </c>
      <c r="E4209" s="24"/>
      <c r="F4209" s="14">
        <v>1.03</v>
      </c>
      <c r="G4209" s="14">
        <v>5.26</v>
      </c>
      <c r="H4209" s="14">
        <v>0.51</v>
      </c>
      <c r="I4209" s="14" t="s">
        <v>6050</v>
      </c>
      <c r="J4209" s="14">
        <v>25.0</v>
      </c>
      <c r="K4209" s="14">
        <v>4.13</v>
      </c>
      <c r="L4209" s="14">
        <v>0.0</v>
      </c>
    </row>
    <row r="4210">
      <c r="A4210" s="14">
        <v>84.0</v>
      </c>
      <c r="B4210" s="14">
        <v>1.0</v>
      </c>
      <c r="C4210" s="34">
        <v>11.92</v>
      </c>
      <c r="D4210" s="36">
        <v>45154.0</v>
      </c>
      <c r="E4210" s="24"/>
      <c r="F4210" s="14">
        <v>11.92</v>
      </c>
      <c r="G4210" s="14">
        <v>141.9</v>
      </c>
      <c r="H4210" s="14">
        <v>1.19</v>
      </c>
      <c r="I4210" s="14" t="s">
        <v>6061</v>
      </c>
      <c r="J4210" s="14">
        <v>0.0</v>
      </c>
      <c r="K4210" s="14" t="s">
        <v>6012</v>
      </c>
      <c r="L4210" s="14">
        <v>0.0</v>
      </c>
    </row>
    <row r="4211">
      <c r="A4211" s="14">
        <v>200.0</v>
      </c>
      <c r="B4211" s="14">
        <v>2.0</v>
      </c>
      <c r="C4211" s="34">
        <v>12.41</v>
      </c>
      <c r="D4211" s="36">
        <v>45154.0</v>
      </c>
      <c r="E4211" s="24"/>
      <c r="F4211" s="14">
        <v>6.2</v>
      </c>
      <c r="G4211" s="14">
        <v>62.05</v>
      </c>
      <c r="H4211" s="14">
        <v>1.0</v>
      </c>
      <c r="I4211" s="14" t="s">
        <v>6054</v>
      </c>
      <c r="J4211" s="14">
        <v>0.0</v>
      </c>
      <c r="K4211" s="14" t="s">
        <v>6012</v>
      </c>
      <c r="L4211" s="14">
        <v>0.0</v>
      </c>
    </row>
    <row r="4212">
      <c r="A4212" s="14">
        <v>119.0</v>
      </c>
      <c r="B4212" s="14">
        <v>0.0</v>
      </c>
      <c r="C4212" s="34">
        <v>11.76</v>
      </c>
      <c r="D4212" s="36">
        <v>45154.0</v>
      </c>
      <c r="E4212" s="24"/>
      <c r="F4212" s="14" t="s">
        <v>6012</v>
      </c>
      <c r="G4212" s="14">
        <v>98.82</v>
      </c>
      <c r="H4212" s="14">
        <v>0.0</v>
      </c>
      <c r="I4212" s="14" t="s">
        <v>6062</v>
      </c>
      <c r="J4212" s="14" t="s">
        <v>6012</v>
      </c>
      <c r="K4212" s="14" t="s">
        <v>6012</v>
      </c>
      <c r="L4212" s="14">
        <v>0.0</v>
      </c>
    </row>
    <row r="4213">
      <c r="A4213" s="14">
        <v>466.0</v>
      </c>
      <c r="B4213" s="14">
        <v>5.0</v>
      </c>
      <c r="C4213" s="34">
        <v>12.0</v>
      </c>
      <c r="D4213" s="36">
        <v>45154.0</v>
      </c>
      <c r="E4213" s="24"/>
      <c r="F4213" s="14">
        <v>2.4</v>
      </c>
      <c r="G4213" s="14">
        <v>25.75</v>
      </c>
      <c r="H4213" s="14">
        <v>1.07</v>
      </c>
      <c r="I4213" s="14" t="s">
        <v>6060</v>
      </c>
      <c r="J4213" s="14">
        <v>40.0</v>
      </c>
      <c r="K4213" s="14">
        <v>6.0</v>
      </c>
      <c r="L4213" s="14">
        <v>0.0</v>
      </c>
    </row>
    <row r="4214">
      <c r="A4214" s="14">
        <v>111.0</v>
      </c>
      <c r="B4214" s="14">
        <v>2.0</v>
      </c>
      <c r="C4214" s="34">
        <v>13.82</v>
      </c>
      <c r="D4214" s="36">
        <v>45154.0</v>
      </c>
      <c r="E4214" s="24"/>
      <c r="F4214" s="14">
        <v>6.91</v>
      </c>
      <c r="G4214" s="14">
        <v>124.5</v>
      </c>
      <c r="H4214" s="14">
        <v>1.8</v>
      </c>
      <c r="I4214" s="14" t="s">
        <v>6042</v>
      </c>
      <c r="J4214" s="14">
        <v>50.0</v>
      </c>
      <c r="K4214" s="14">
        <v>13.82</v>
      </c>
      <c r="L4214" s="14">
        <v>0.0</v>
      </c>
    </row>
    <row r="4215">
      <c r="A4215" s="14">
        <v>6.0</v>
      </c>
      <c r="B4215" s="14">
        <v>3.0</v>
      </c>
      <c r="C4215" s="34">
        <v>4.5</v>
      </c>
      <c r="D4215" s="36">
        <v>45154.0</v>
      </c>
      <c r="E4215" s="24"/>
      <c r="F4215" s="14">
        <v>1.5</v>
      </c>
      <c r="G4215" s="14">
        <v>750.0</v>
      </c>
      <c r="H4215" s="14">
        <v>50.0</v>
      </c>
      <c r="I4215" s="14" t="s">
        <v>6064</v>
      </c>
      <c r="J4215" s="14">
        <v>0.0</v>
      </c>
      <c r="K4215" s="14" t="s">
        <v>6012</v>
      </c>
      <c r="L4215" s="14">
        <v>0.0</v>
      </c>
    </row>
    <row r="4216">
      <c r="A4216" s="14">
        <v>44.0</v>
      </c>
      <c r="B4216" s="14">
        <v>0.0</v>
      </c>
      <c r="C4216" s="34">
        <v>12.89</v>
      </c>
      <c r="D4216" s="36">
        <v>45154.0</v>
      </c>
      <c r="E4216" s="24"/>
      <c r="F4216" s="14" t="s">
        <v>6012</v>
      </c>
      <c r="G4216" s="14">
        <v>292.95</v>
      </c>
      <c r="H4216" s="14">
        <v>0.0</v>
      </c>
      <c r="I4216" s="14" t="s">
        <v>6059</v>
      </c>
      <c r="J4216" s="14" t="s">
        <v>6012</v>
      </c>
      <c r="K4216" s="14" t="s">
        <v>6012</v>
      </c>
      <c r="L4216" s="14">
        <v>0.0</v>
      </c>
    </row>
    <row r="4217">
      <c r="A4217" s="14">
        <v>64.0</v>
      </c>
      <c r="B4217" s="14">
        <v>3.0</v>
      </c>
      <c r="C4217" s="34">
        <v>12.48</v>
      </c>
      <c r="D4217" s="36">
        <v>45154.0</v>
      </c>
      <c r="E4217" s="24"/>
      <c r="F4217" s="14">
        <v>4.16</v>
      </c>
      <c r="G4217" s="14">
        <v>195.0</v>
      </c>
      <c r="H4217" s="14">
        <v>4.69</v>
      </c>
      <c r="I4217" s="14" t="s">
        <v>6058</v>
      </c>
      <c r="J4217" s="14">
        <v>0.0</v>
      </c>
      <c r="K4217" s="14" t="s">
        <v>6012</v>
      </c>
      <c r="L4217" s="14">
        <v>0.0</v>
      </c>
    </row>
    <row r="4218">
      <c r="A4218" s="14">
        <v>33.0</v>
      </c>
      <c r="B4218" s="14">
        <v>0.0</v>
      </c>
      <c r="C4218" s="34">
        <v>12.24</v>
      </c>
      <c r="D4218" s="36">
        <v>45154.0</v>
      </c>
      <c r="E4218" s="24"/>
      <c r="F4218" s="14" t="s">
        <v>6012</v>
      </c>
      <c r="G4218" s="14">
        <v>370.91</v>
      </c>
      <c r="H4218" s="14">
        <v>0.0</v>
      </c>
      <c r="I4218" s="14" t="s">
        <v>6057</v>
      </c>
      <c r="J4218" s="14" t="s">
        <v>6012</v>
      </c>
      <c r="K4218" s="14" t="s">
        <v>6012</v>
      </c>
      <c r="L4218" s="14">
        <v>0.0</v>
      </c>
    </row>
    <row r="4219">
      <c r="A4219" s="14">
        <v>857.0</v>
      </c>
      <c r="B4219" s="14">
        <v>5.0</v>
      </c>
      <c r="C4219" s="34">
        <v>12.21</v>
      </c>
      <c r="D4219" s="36">
        <v>45154.0</v>
      </c>
      <c r="E4219" s="24"/>
      <c r="F4219" s="14">
        <v>2.44</v>
      </c>
      <c r="G4219" s="14">
        <v>14.25</v>
      </c>
      <c r="H4219" s="14">
        <v>0.58</v>
      </c>
      <c r="I4219" s="14" t="s">
        <v>6051</v>
      </c>
      <c r="J4219" s="14">
        <v>0.0</v>
      </c>
      <c r="K4219" s="14" t="s">
        <v>6012</v>
      </c>
      <c r="L4219" s="14">
        <v>0.0</v>
      </c>
    </row>
    <row r="4220">
      <c r="A4220" s="14">
        <v>72.0</v>
      </c>
      <c r="B4220" s="14">
        <v>1.0</v>
      </c>
      <c r="C4220" s="34">
        <v>12.54</v>
      </c>
      <c r="D4220" s="36">
        <v>45155.0</v>
      </c>
      <c r="E4220" s="24"/>
      <c r="F4220" s="14">
        <v>12.54</v>
      </c>
      <c r="G4220" s="14">
        <v>174.17</v>
      </c>
      <c r="H4220" s="14">
        <v>1.39</v>
      </c>
      <c r="I4220" s="14" t="s">
        <v>6054</v>
      </c>
      <c r="J4220" s="14">
        <v>0.0</v>
      </c>
      <c r="K4220" s="14" t="s">
        <v>6012</v>
      </c>
      <c r="L4220" s="14">
        <v>0.0</v>
      </c>
    </row>
    <row r="4221">
      <c r="A4221" s="14">
        <v>252.0</v>
      </c>
      <c r="B4221" s="14">
        <v>2.0</v>
      </c>
      <c r="C4221" s="34">
        <v>14.4</v>
      </c>
      <c r="D4221" s="36">
        <v>45155.0</v>
      </c>
      <c r="E4221" s="24"/>
      <c r="F4221" s="14">
        <v>7.2</v>
      </c>
      <c r="G4221" s="14">
        <v>57.14</v>
      </c>
      <c r="H4221" s="14">
        <v>0.79</v>
      </c>
      <c r="I4221" s="14" t="s">
        <v>6042</v>
      </c>
      <c r="J4221" s="14">
        <v>100.0</v>
      </c>
      <c r="K4221" s="14">
        <v>7.2</v>
      </c>
      <c r="L4221" s="14">
        <v>0.0</v>
      </c>
    </row>
    <row r="4222">
      <c r="A4222" s="14">
        <v>4.0</v>
      </c>
      <c r="B4222" s="14">
        <v>3.0</v>
      </c>
      <c r="C4222" s="34">
        <v>3.0</v>
      </c>
      <c r="D4222" s="36">
        <v>45155.0</v>
      </c>
      <c r="E4222" s="24"/>
      <c r="F4222" s="14">
        <v>1.0</v>
      </c>
      <c r="G4222" s="14">
        <v>750.0</v>
      </c>
      <c r="H4222" s="14">
        <v>75.0</v>
      </c>
      <c r="I4222" s="14" t="s">
        <v>6064</v>
      </c>
      <c r="J4222" s="14">
        <v>0.0</v>
      </c>
      <c r="K4222" s="14" t="s">
        <v>6012</v>
      </c>
      <c r="L4222" s="14">
        <v>0.0</v>
      </c>
    </row>
    <row r="4223">
      <c r="A4223" s="14">
        <v>1930.0</v>
      </c>
      <c r="B4223" s="14">
        <v>11.0</v>
      </c>
      <c r="C4223" s="34">
        <v>11.08</v>
      </c>
      <c r="D4223" s="36">
        <v>45155.0</v>
      </c>
      <c r="E4223" s="24"/>
      <c r="F4223" s="14">
        <v>1.01</v>
      </c>
      <c r="G4223" s="14">
        <v>5.74</v>
      </c>
      <c r="H4223" s="14">
        <v>0.57</v>
      </c>
      <c r="I4223" s="14" t="s">
        <v>6050</v>
      </c>
      <c r="J4223" s="14">
        <v>27.27</v>
      </c>
      <c r="K4223" s="14">
        <v>3.69</v>
      </c>
      <c r="L4223" s="14">
        <v>0.0</v>
      </c>
    </row>
    <row r="4224">
      <c r="A4224" s="14">
        <v>26.0</v>
      </c>
      <c r="B4224" s="14">
        <v>1.0</v>
      </c>
      <c r="C4224" s="34">
        <v>15.0</v>
      </c>
      <c r="D4224" s="36">
        <v>45155.0</v>
      </c>
      <c r="E4224" s="24"/>
      <c r="F4224" s="14">
        <v>15.0</v>
      </c>
      <c r="G4224" s="14">
        <v>576.92</v>
      </c>
      <c r="H4224" s="14">
        <v>3.85</v>
      </c>
      <c r="I4224" s="14" t="s">
        <v>6059</v>
      </c>
      <c r="J4224" s="14">
        <v>0.0</v>
      </c>
      <c r="K4224" s="14" t="s">
        <v>6012</v>
      </c>
      <c r="L4224" s="14">
        <v>0.0</v>
      </c>
    </row>
    <row r="4225">
      <c r="A4225" s="14">
        <v>51.0</v>
      </c>
      <c r="B4225" s="14">
        <v>0.0</v>
      </c>
      <c r="C4225" s="34">
        <v>13.55</v>
      </c>
      <c r="D4225" s="36">
        <v>45155.0</v>
      </c>
      <c r="E4225" s="24"/>
      <c r="F4225" s="14" t="s">
        <v>6012</v>
      </c>
      <c r="G4225" s="14">
        <v>265.69</v>
      </c>
      <c r="H4225" s="14">
        <v>0.0</v>
      </c>
      <c r="I4225" s="14" t="s">
        <v>6057</v>
      </c>
      <c r="J4225" s="14" t="s">
        <v>6012</v>
      </c>
      <c r="K4225" s="14" t="s">
        <v>6012</v>
      </c>
      <c r="L4225" s="14">
        <v>0.0</v>
      </c>
    </row>
    <row r="4226">
      <c r="A4226" s="14">
        <v>50.0</v>
      </c>
      <c r="B4226" s="14">
        <v>0.0</v>
      </c>
      <c r="C4226" s="34">
        <v>13.01</v>
      </c>
      <c r="D4226" s="36">
        <v>45155.0</v>
      </c>
      <c r="E4226" s="24"/>
      <c r="F4226" s="14" t="s">
        <v>6012</v>
      </c>
      <c r="G4226" s="14">
        <v>260.2</v>
      </c>
      <c r="H4226" s="14">
        <v>0.0</v>
      </c>
      <c r="I4226" s="14" t="s">
        <v>6063</v>
      </c>
      <c r="J4226" s="14" t="s">
        <v>6012</v>
      </c>
      <c r="K4226" s="14" t="s">
        <v>6012</v>
      </c>
      <c r="L4226" s="14">
        <v>0.0</v>
      </c>
    </row>
    <row r="4227">
      <c r="A4227" s="14">
        <v>58.0</v>
      </c>
      <c r="B4227" s="14">
        <v>0.0</v>
      </c>
      <c r="C4227" s="34">
        <v>12.57</v>
      </c>
      <c r="D4227" s="36">
        <v>45155.0</v>
      </c>
      <c r="E4227" s="24"/>
      <c r="F4227" s="14" t="s">
        <v>6012</v>
      </c>
      <c r="G4227" s="14">
        <v>216.72</v>
      </c>
      <c r="H4227" s="14">
        <v>0.0</v>
      </c>
      <c r="I4227" s="14" t="s">
        <v>6058</v>
      </c>
      <c r="J4227" s="14" t="s">
        <v>6012</v>
      </c>
      <c r="K4227" s="14">
        <v>12.57</v>
      </c>
      <c r="L4227" s="14">
        <v>0.0</v>
      </c>
    </row>
    <row r="4228">
      <c r="A4228" s="14">
        <v>875.0</v>
      </c>
      <c r="B4228" s="14">
        <v>3.0</v>
      </c>
      <c r="C4228" s="34">
        <v>12.43</v>
      </c>
      <c r="D4228" s="36">
        <v>45155.0</v>
      </c>
      <c r="E4228" s="24"/>
      <c r="F4228" s="14">
        <v>4.14</v>
      </c>
      <c r="G4228" s="14">
        <v>14.21</v>
      </c>
      <c r="H4228" s="14">
        <v>0.34</v>
      </c>
      <c r="I4228" s="14" t="s">
        <v>6051</v>
      </c>
      <c r="J4228" s="14">
        <v>33.33</v>
      </c>
      <c r="K4228" s="14">
        <v>12.43</v>
      </c>
      <c r="L4228" s="14">
        <v>0.0</v>
      </c>
    </row>
    <row r="4229">
      <c r="A4229" s="14">
        <v>526.0</v>
      </c>
      <c r="B4229" s="14">
        <v>6.0</v>
      </c>
      <c r="C4229" s="34">
        <v>11.5</v>
      </c>
      <c r="D4229" s="36">
        <v>45155.0</v>
      </c>
      <c r="E4229" s="24"/>
      <c r="F4229" s="14">
        <v>1.92</v>
      </c>
      <c r="G4229" s="14">
        <v>21.86</v>
      </c>
      <c r="H4229" s="14">
        <v>1.14</v>
      </c>
      <c r="I4229" s="14" t="s">
        <v>6060</v>
      </c>
      <c r="J4229" s="14">
        <v>16.67</v>
      </c>
      <c r="K4229" s="14">
        <v>11.5</v>
      </c>
      <c r="L4229" s="14">
        <v>0.0</v>
      </c>
    </row>
    <row r="4230">
      <c r="A4230" s="14">
        <v>121.0</v>
      </c>
      <c r="B4230" s="14">
        <v>0.0</v>
      </c>
      <c r="C4230" s="34">
        <v>11.47</v>
      </c>
      <c r="D4230" s="36">
        <v>45155.0</v>
      </c>
      <c r="E4230" s="24"/>
      <c r="F4230" s="14" t="s">
        <v>6012</v>
      </c>
      <c r="G4230" s="14">
        <v>94.79</v>
      </c>
      <c r="H4230" s="14">
        <v>0.0</v>
      </c>
      <c r="I4230" s="14" t="s">
        <v>6062</v>
      </c>
      <c r="J4230" s="14" t="s">
        <v>6012</v>
      </c>
      <c r="K4230" s="14" t="s">
        <v>6012</v>
      </c>
      <c r="L4230" s="14">
        <v>0.0</v>
      </c>
    </row>
    <row r="4231">
      <c r="A4231" s="14">
        <v>33.0</v>
      </c>
      <c r="B4231" s="14">
        <v>1.0</v>
      </c>
      <c r="C4231" s="34">
        <v>12.78</v>
      </c>
      <c r="D4231" s="36">
        <v>45155.0</v>
      </c>
      <c r="E4231" s="24"/>
      <c r="F4231" s="14">
        <v>12.78</v>
      </c>
      <c r="G4231" s="14">
        <v>387.27</v>
      </c>
      <c r="H4231" s="14">
        <v>3.03</v>
      </c>
      <c r="I4231" s="14" t="s">
        <v>6061</v>
      </c>
      <c r="J4231" s="14">
        <v>100.0</v>
      </c>
      <c r="K4231" s="14">
        <v>12.78</v>
      </c>
      <c r="L4231" s="14">
        <v>0.0</v>
      </c>
    </row>
    <row r="4232">
      <c r="A4232" s="14">
        <v>71.0</v>
      </c>
      <c r="B4232" s="14">
        <v>1.0</v>
      </c>
      <c r="C4232" s="34">
        <v>10.62</v>
      </c>
      <c r="D4232" s="36">
        <v>45156.0</v>
      </c>
      <c r="E4232" s="24"/>
      <c r="F4232" s="14">
        <v>10.62</v>
      </c>
      <c r="G4232" s="14">
        <v>149.58</v>
      </c>
      <c r="H4232" s="14">
        <v>1.41</v>
      </c>
      <c r="I4232" s="14" t="s">
        <v>6061</v>
      </c>
      <c r="J4232" s="14">
        <v>0.0</v>
      </c>
      <c r="K4232" s="14" t="s">
        <v>6012</v>
      </c>
      <c r="L4232" s="14">
        <v>0.0</v>
      </c>
    </row>
    <row r="4233">
      <c r="A4233" s="14">
        <v>834.0</v>
      </c>
      <c r="B4233" s="14">
        <v>8.0</v>
      </c>
      <c r="C4233" s="34">
        <v>11.14</v>
      </c>
      <c r="D4233" s="36">
        <v>45156.0</v>
      </c>
      <c r="E4233" s="24"/>
      <c r="F4233" s="14">
        <v>1.39</v>
      </c>
      <c r="G4233" s="14">
        <v>13.36</v>
      </c>
      <c r="H4233" s="14">
        <v>0.96</v>
      </c>
      <c r="I4233" s="14" t="s">
        <v>6051</v>
      </c>
      <c r="J4233" s="14">
        <v>12.5</v>
      </c>
      <c r="K4233" s="14">
        <v>11.14</v>
      </c>
      <c r="L4233" s="14">
        <v>0.0</v>
      </c>
    </row>
    <row r="4234">
      <c r="A4234" s="14">
        <v>43.0</v>
      </c>
      <c r="B4234" s="14">
        <v>1.0</v>
      </c>
      <c r="C4234" s="34">
        <v>11.66</v>
      </c>
      <c r="D4234" s="36">
        <v>45156.0</v>
      </c>
      <c r="E4234" s="24"/>
      <c r="F4234" s="14">
        <v>11.66</v>
      </c>
      <c r="G4234" s="14">
        <v>271.16</v>
      </c>
      <c r="H4234" s="14">
        <v>2.33</v>
      </c>
      <c r="I4234" s="14" t="s">
        <v>6059</v>
      </c>
      <c r="J4234" s="14">
        <v>0.0</v>
      </c>
      <c r="K4234" s="14" t="s">
        <v>6012</v>
      </c>
      <c r="L4234" s="14">
        <v>0.0</v>
      </c>
    </row>
    <row r="4235">
      <c r="A4235" s="14">
        <v>1935.0</v>
      </c>
      <c r="B4235" s="14">
        <v>8.0</v>
      </c>
      <c r="C4235" s="34">
        <v>11.06</v>
      </c>
      <c r="D4235" s="36">
        <v>45156.0</v>
      </c>
      <c r="E4235" s="24"/>
      <c r="F4235" s="14">
        <v>1.38</v>
      </c>
      <c r="G4235" s="14">
        <v>5.72</v>
      </c>
      <c r="H4235" s="14">
        <v>0.41</v>
      </c>
      <c r="I4235" s="14" t="s">
        <v>6050</v>
      </c>
      <c r="J4235" s="14">
        <v>0.0</v>
      </c>
      <c r="K4235" s="14" t="s">
        <v>6012</v>
      </c>
      <c r="L4235" s="14">
        <v>0.0</v>
      </c>
    </row>
    <row r="4236">
      <c r="A4236" s="14">
        <v>60.0</v>
      </c>
      <c r="B4236" s="14">
        <v>0.0</v>
      </c>
      <c r="C4236" s="34">
        <v>10.29</v>
      </c>
      <c r="D4236" s="36">
        <v>45156.0</v>
      </c>
      <c r="E4236" s="24"/>
      <c r="F4236" s="14" t="s">
        <v>6012</v>
      </c>
      <c r="G4236" s="14">
        <v>171.5</v>
      </c>
      <c r="H4236" s="14">
        <v>0.0</v>
      </c>
      <c r="I4236" s="14" t="s">
        <v>6058</v>
      </c>
      <c r="J4236" s="14" t="s">
        <v>6012</v>
      </c>
      <c r="K4236" s="14" t="s">
        <v>6012</v>
      </c>
      <c r="L4236" s="14">
        <v>0.0</v>
      </c>
    </row>
    <row r="4237">
      <c r="A4237" s="14">
        <v>5.0</v>
      </c>
      <c r="B4237" s="14">
        <v>3.0</v>
      </c>
      <c r="C4237" s="34">
        <v>3.75</v>
      </c>
      <c r="D4237" s="36">
        <v>45156.0</v>
      </c>
      <c r="E4237" s="24"/>
      <c r="F4237" s="14">
        <v>1.25</v>
      </c>
      <c r="G4237" s="14">
        <v>750.0</v>
      </c>
      <c r="H4237" s="14">
        <v>60.0</v>
      </c>
      <c r="I4237" s="14" t="s">
        <v>6064</v>
      </c>
      <c r="J4237" s="14">
        <v>0.0</v>
      </c>
      <c r="K4237" s="14" t="s">
        <v>6012</v>
      </c>
      <c r="L4237" s="14">
        <v>0.0</v>
      </c>
    </row>
    <row r="4238">
      <c r="A4238" s="14">
        <v>72.0</v>
      </c>
      <c r="B4238" s="14">
        <v>0.0</v>
      </c>
      <c r="C4238" s="34">
        <v>10.93</v>
      </c>
      <c r="D4238" s="36">
        <v>45156.0</v>
      </c>
      <c r="E4238" s="24"/>
      <c r="F4238" s="14" t="s">
        <v>6012</v>
      </c>
      <c r="G4238" s="14">
        <v>151.81</v>
      </c>
      <c r="H4238" s="14">
        <v>0.0</v>
      </c>
      <c r="I4238" s="14" t="s">
        <v>6042</v>
      </c>
      <c r="J4238" s="14" t="s">
        <v>6012</v>
      </c>
      <c r="K4238" s="14" t="s">
        <v>6012</v>
      </c>
      <c r="L4238" s="14">
        <v>0.0</v>
      </c>
    </row>
    <row r="4239">
      <c r="A4239" s="14">
        <v>39.0</v>
      </c>
      <c r="B4239" s="14">
        <v>0.0</v>
      </c>
      <c r="C4239" s="34">
        <v>9.67</v>
      </c>
      <c r="D4239" s="36">
        <v>45156.0</v>
      </c>
      <c r="E4239" s="24"/>
      <c r="F4239" s="14" t="s">
        <v>6012</v>
      </c>
      <c r="G4239" s="14">
        <v>247.95</v>
      </c>
      <c r="H4239" s="14">
        <v>0.0</v>
      </c>
      <c r="I4239" s="14" t="s">
        <v>6063</v>
      </c>
      <c r="J4239" s="14" t="s">
        <v>6012</v>
      </c>
      <c r="K4239" s="14" t="s">
        <v>6012</v>
      </c>
      <c r="L4239" s="14">
        <v>0.0</v>
      </c>
    </row>
    <row r="4240">
      <c r="A4240" s="14">
        <v>87.0</v>
      </c>
      <c r="B4240" s="14">
        <v>0.0</v>
      </c>
      <c r="C4240" s="34">
        <v>9.42</v>
      </c>
      <c r="D4240" s="36">
        <v>45156.0</v>
      </c>
      <c r="E4240" s="24"/>
      <c r="F4240" s="14" t="s">
        <v>6012</v>
      </c>
      <c r="G4240" s="14">
        <v>108.28</v>
      </c>
      <c r="H4240" s="14">
        <v>0.0</v>
      </c>
      <c r="I4240" s="14" t="s">
        <v>6054</v>
      </c>
      <c r="J4240" s="14" t="s">
        <v>6012</v>
      </c>
      <c r="K4240" s="14" t="s">
        <v>6012</v>
      </c>
      <c r="L4240" s="14">
        <v>0.0</v>
      </c>
    </row>
    <row r="4241">
      <c r="A4241" s="14">
        <v>186.0</v>
      </c>
      <c r="B4241" s="14">
        <v>0.0</v>
      </c>
      <c r="C4241" s="34">
        <v>10.43</v>
      </c>
      <c r="D4241" s="36">
        <v>45156.0</v>
      </c>
      <c r="E4241" s="24"/>
      <c r="F4241" s="14" t="s">
        <v>6012</v>
      </c>
      <c r="G4241" s="14">
        <v>56.08</v>
      </c>
      <c r="H4241" s="14">
        <v>0.0</v>
      </c>
      <c r="I4241" s="14" t="s">
        <v>6062</v>
      </c>
      <c r="J4241" s="14" t="s">
        <v>6012</v>
      </c>
      <c r="K4241" s="14" t="s">
        <v>6012</v>
      </c>
      <c r="L4241" s="14">
        <v>0.0</v>
      </c>
    </row>
    <row r="4242">
      <c r="A4242" s="14">
        <v>288.0</v>
      </c>
      <c r="B4242" s="14">
        <v>1.0</v>
      </c>
      <c r="C4242" s="34">
        <v>11.17</v>
      </c>
      <c r="D4242" s="36">
        <v>45156.0</v>
      </c>
      <c r="E4242" s="24"/>
      <c r="F4242" s="14">
        <v>11.17</v>
      </c>
      <c r="G4242" s="14">
        <v>38.78</v>
      </c>
      <c r="H4242" s="14">
        <v>0.35</v>
      </c>
      <c r="I4242" s="14" t="s">
        <v>6060</v>
      </c>
      <c r="J4242" s="14">
        <v>0.0</v>
      </c>
      <c r="K4242" s="14" t="s">
        <v>6012</v>
      </c>
      <c r="L4242" s="14">
        <v>0.0</v>
      </c>
    </row>
    <row r="4243">
      <c r="A4243" s="14">
        <v>30.0</v>
      </c>
      <c r="B4243" s="14">
        <v>0.0</v>
      </c>
      <c r="C4243" s="34">
        <v>9.71</v>
      </c>
      <c r="D4243" s="36">
        <v>45156.0</v>
      </c>
      <c r="E4243" s="24"/>
      <c r="F4243" s="14" t="s">
        <v>6012</v>
      </c>
      <c r="G4243" s="14">
        <v>323.67</v>
      </c>
      <c r="H4243" s="14">
        <v>0.0</v>
      </c>
      <c r="I4243" s="14" t="s">
        <v>6057</v>
      </c>
      <c r="J4243" s="14" t="s">
        <v>6012</v>
      </c>
      <c r="K4243" s="14" t="s">
        <v>6012</v>
      </c>
      <c r="L4243" s="14">
        <v>0.0</v>
      </c>
    </row>
    <row r="4244">
      <c r="A4244" s="14">
        <v>29.0</v>
      </c>
      <c r="B4244" s="14">
        <v>0.0</v>
      </c>
      <c r="C4244" s="34">
        <v>7.95</v>
      </c>
      <c r="D4244" s="36">
        <v>45157.0</v>
      </c>
      <c r="E4244" s="24"/>
      <c r="F4244" s="14" t="s">
        <v>6012</v>
      </c>
      <c r="G4244" s="14">
        <v>274.14</v>
      </c>
      <c r="H4244" s="14">
        <v>0.0</v>
      </c>
      <c r="I4244" s="14" t="s">
        <v>6061</v>
      </c>
      <c r="J4244" s="14" t="s">
        <v>6012</v>
      </c>
      <c r="K4244" s="14" t="s">
        <v>6012</v>
      </c>
      <c r="L4244" s="14">
        <v>0.0</v>
      </c>
    </row>
    <row r="4245">
      <c r="A4245" s="14">
        <v>1382.0</v>
      </c>
      <c r="B4245" s="14">
        <v>3.0</v>
      </c>
      <c r="C4245" s="34">
        <v>6.81</v>
      </c>
      <c r="D4245" s="36">
        <v>45157.0</v>
      </c>
      <c r="E4245" s="24"/>
      <c r="F4245" s="14">
        <v>2.27</v>
      </c>
      <c r="G4245" s="14">
        <v>4.93</v>
      </c>
      <c r="H4245" s="14">
        <v>0.22</v>
      </c>
      <c r="I4245" s="14" t="s">
        <v>6050</v>
      </c>
      <c r="J4245" s="14">
        <v>33.33</v>
      </c>
      <c r="K4245" s="14">
        <v>6.81</v>
      </c>
      <c r="L4245" s="14">
        <v>0.0</v>
      </c>
    </row>
    <row r="4246">
      <c r="A4246" s="14">
        <v>55.0</v>
      </c>
      <c r="B4246" s="14">
        <v>0.0</v>
      </c>
      <c r="C4246" s="34">
        <v>7.1</v>
      </c>
      <c r="D4246" s="36">
        <v>45157.0</v>
      </c>
      <c r="E4246" s="24"/>
      <c r="F4246" s="14" t="s">
        <v>6012</v>
      </c>
      <c r="G4246" s="14">
        <v>129.09</v>
      </c>
      <c r="H4246" s="14">
        <v>0.0</v>
      </c>
      <c r="I4246" s="14" t="s">
        <v>6054</v>
      </c>
      <c r="J4246" s="14" t="s">
        <v>6012</v>
      </c>
      <c r="K4246" s="14" t="s">
        <v>6012</v>
      </c>
      <c r="L4246" s="14">
        <v>0.0</v>
      </c>
    </row>
    <row r="4247">
      <c r="A4247" s="14">
        <v>328.0</v>
      </c>
      <c r="B4247" s="14">
        <v>6.0</v>
      </c>
      <c r="C4247" s="34">
        <v>6.48</v>
      </c>
      <c r="D4247" s="36">
        <v>45157.0</v>
      </c>
      <c r="E4247" s="24"/>
      <c r="F4247" s="14">
        <v>1.08</v>
      </c>
      <c r="G4247" s="14">
        <v>19.76</v>
      </c>
      <c r="H4247" s="14">
        <v>1.83</v>
      </c>
      <c r="I4247" s="14" t="s">
        <v>6060</v>
      </c>
      <c r="J4247" s="14">
        <v>33.33</v>
      </c>
      <c r="K4247" s="14">
        <v>3.24</v>
      </c>
      <c r="L4247" s="14">
        <v>0.0</v>
      </c>
    </row>
    <row r="4248">
      <c r="A4248" s="14">
        <v>428.0</v>
      </c>
      <c r="B4248" s="14">
        <v>5.0</v>
      </c>
      <c r="C4248" s="34">
        <v>6.65</v>
      </c>
      <c r="D4248" s="36">
        <v>45157.0</v>
      </c>
      <c r="E4248" s="24"/>
      <c r="F4248" s="14">
        <v>1.33</v>
      </c>
      <c r="G4248" s="14">
        <v>15.54</v>
      </c>
      <c r="H4248" s="14">
        <v>1.17</v>
      </c>
      <c r="I4248" s="14" t="s">
        <v>6051</v>
      </c>
      <c r="J4248" s="14">
        <v>0.0</v>
      </c>
      <c r="K4248" s="14" t="s">
        <v>6012</v>
      </c>
      <c r="L4248" s="14">
        <v>0.0</v>
      </c>
    </row>
    <row r="4249">
      <c r="A4249" s="14">
        <v>2.0</v>
      </c>
      <c r="B4249" s="14">
        <v>1.0</v>
      </c>
      <c r="C4249" s="34">
        <v>1.5</v>
      </c>
      <c r="D4249" s="36">
        <v>45157.0</v>
      </c>
      <c r="E4249" s="24"/>
      <c r="F4249" s="14">
        <v>1.5</v>
      </c>
      <c r="G4249" s="14">
        <v>750.0</v>
      </c>
      <c r="H4249" s="14">
        <v>50.0</v>
      </c>
      <c r="I4249" s="14" t="s">
        <v>6064</v>
      </c>
      <c r="J4249" s="14">
        <v>0.0</v>
      </c>
      <c r="K4249" s="14" t="s">
        <v>6012</v>
      </c>
      <c r="L4249" s="14">
        <v>0.0</v>
      </c>
    </row>
    <row r="4250">
      <c r="A4250" s="14">
        <v>16.0</v>
      </c>
      <c r="B4250" s="14">
        <v>0.0</v>
      </c>
      <c r="C4250" s="34">
        <v>5.65</v>
      </c>
      <c r="D4250" s="36">
        <v>45157.0</v>
      </c>
      <c r="E4250" s="24"/>
      <c r="F4250" s="14" t="s">
        <v>6012</v>
      </c>
      <c r="G4250" s="14">
        <v>353.12</v>
      </c>
      <c r="H4250" s="14">
        <v>0.0</v>
      </c>
      <c r="I4250" s="14" t="s">
        <v>6057</v>
      </c>
      <c r="J4250" s="14" t="s">
        <v>6012</v>
      </c>
      <c r="K4250" s="14" t="s">
        <v>6012</v>
      </c>
      <c r="L4250" s="14">
        <v>0.0</v>
      </c>
    </row>
    <row r="4251">
      <c r="A4251" s="14">
        <v>11.0</v>
      </c>
      <c r="B4251" s="14">
        <v>0.0</v>
      </c>
      <c r="C4251" s="34">
        <v>5.54</v>
      </c>
      <c r="D4251" s="36">
        <v>45157.0</v>
      </c>
      <c r="E4251" s="24"/>
      <c r="F4251" s="14" t="s">
        <v>6012</v>
      </c>
      <c r="G4251" s="14">
        <v>503.64</v>
      </c>
      <c r="H4251" s="14">
        <v>0.0</v>
      </c>
      <c r="I4251" s="14" t="s">
        <v>6059</v>
      </c>
      <c r="J4251" s="14" t="s">
        <v>6012</v>
      </c>
      <c r="K4251" s="14" t="s">
        <v>6012</v>
      </c>
      <c r="L4251" s="14">
        <v>0.0</v>
      </c>
    </row>
    <row r="4252">
      <c r="A4252" s="14">
        <v>24.0</v>
      </c>
      <c r="B4252" s="14">
        <v>0.0</v>
      </c>
      <c r="C4252" s="34">
        <v>5.71</v>
      </c>
      <c r="D4252" s="36">
        <v>45157.0</v>
      </c>
      <c r="E4252" s="24"/>
      <c r="F4252" s="14" t="s">
        <v>6012</v>
      </c>
      <c r="G4252" s="14">
        <v>237.92</v>
      </c>
      <c r="H4252" s="14">
        <v>0.0</v>
      </c>
      <c r="I4252" s="14" t="s">
        <v>6063</v>
      </c>
      <c r="J4252" s="14" t="s">
        <v>6012</v>
      </c>
      <c r="K4252" s="14" t="s">
        <v>6012</v>
      </c>
      <c r="L4252" s="14">
        <v>0.0</v>
      </c>
    </row>
    <row r="4253">
      <c r="A4253" s="14">
        <v>24.0</v>
      </c>
      <c r="B4253" s="14">
        <v>1.0</v>
      </c>
      <c r="C4253" s="34">
        <v>6.38</v>
      </c>
      <c r="D4253" s="36">
        <v>45157.0</v>
      </c>
      <c r="E4253" s="24"/>
      <c r="F4253" s="14">
        <v>6.38</v>
      </c>
      <c r="G4253" s="14">
        <v>265.83</v>
      </c>
      <c r="H4253" s="14">
        <v>4.17</v>
      </c>
      <c r="I4253" s="14" t="s">
        <v>6058</v>
      </c>
      <c r="J4253" s="14">
        <v>0.0</v>
      </c>
      <c r="K4253" s="14" t="s">
        <v>6012</v>
      </c>
      <c r="L4253" s="14">
        <v>0.0</v>
      </c>
    </row>
    <row r="4254">
      <c r="A4254" s="14">
        <v>48.0</v>
      </c>
      <c r="B4254" s="14">
        <v>0.0</v>
      </c>
      <c r="C4254" s="34">
        <v>8.4</v>
      </c>
      <c r="D4254" s="36">
        <v>45157.0</v>
      </c>
      <c r="E4254" s="24"/>
      <c r="F4254" s="14" t="s">
        <v>6012</v>
      </c>
      <c r="G4254" s="14">
        <v>175.0</v>
      </c>
      <c r="H4254" s="14">
        <v>0.0</v>
      </c>
      <c r="I4254" s="14" t="s">
        <v>6042</v>
      </c>
      <c r="J4254" s="14" t="s">
        <v>6012</v>
      </c>
      <c r="K4254" s="14">
        <v>8.4</v>
      </c>
      <c r="L4254" s="14">
        <v>0.0</v>
      </c>
    </row>
    <row r="4255">
      <c r="A4255" s="14">
        <v>43.0</v>
      </c>
      <c r="B4255" s="14">
        <v>0.0</v>
      </c>
      <c r="C4255" s="34">
        <v>7.48</v>
      </c>
      <c r="D4255" s="36">
        <v>45157.0</v>
      </c>
      <c r="E4255" s="24"/>
      <c r="F4255" s="14" t="s">
        <v>6012</v>
      </c>
      <c r="G4255" s="14">
        <v>173.95</v>
      </c>
      <c r="H4255" s="14">
        <v>0.0</v>
      </c>
      <c r="I4255" s="14" t="s">
        <v>6062</v>
      </c>
      <c r="J4255" s="14" t="s">
        <v>6012</v>
      </c>
      <c r="K4255" s="14" t="s">
        <v>6012</v>
      </c>
      <c r="L4255" s="14">
        <v>0.0</v>
      </c>
    </row>
    <row r="4256">
      <c r="A4256" s="14">
        <v>1310.0</v>
      </c>
      <c r="B4256" s="14">
        <v>6.0</v>
      </c>
      <c r="C4256" s="34">
        <v>7.12</v>
      </c>
      <c r="D4256" s="36">
        <v>45158.0</v>
      </c>
      <c r="E4256" s="24"/>
      <c r="F4256" s="14">
        <v>1.19</v>
      </c>
      <c r="G4256" s="14">
        <v>5.44</v>
      </c>
      <c r="H4256" s="14">
        <v>0.46</v>
      </c>
      <c r="I4256" s="14" t="s">
        <v>6050</v>
      </c>
      <c r="J4256" s="14">
        <v>0.0</v>
      </c>
      <c r="K4256" s="14" t="s">
        <v>6012</v>
      </c>
      <c r="L4256" s="14">
        <v>0.0</v>
      </c>
    </row>
    <row r="4257">
      <c r="A4257" s="14">
        <v>17.0</v>
      </c>
      <c r="B4257" s="14">
        <v>0.0</v>
      </c>
      <c r="C4257" s="34">
        <v>4.66</v>
      </c>
      <c r="D4257" s="36">
        <v>45158.0</v>
      </c>
      <c r="E4257" s="24"/>
      <c r="F4257" s="14" t="s">
        <v>6012</v>
      </c>
      <c r="G4257" s="14">
        <v>274.12</v>
      </c>
      <c r="H4257" s="14">
        <v>0.0</v>
      </c>
      <c r="I4257" s="14" t="s">
        <v>6058</v>
      </c>
      <c r="J4257" s="14" t="s">
        <v>6012</v>
      </c>
      <c r="K4257" s="14" t="s">
        <v>6012</v>
      </c>
      <c r="L4257" s="14">
        <v>0.0</v>
      </c>
    </row>
    <row r="4258">
      <c r="A4258" s="14">
        <v>114.0</v>
      </c>
      <c r="B4258" s="14">
        <v>0.0</v>
      </c>
      <c r="C4258" s="34">
        <v>3.75</v>
      </c>
      <c r="D4258" s="36">
        <v>45158.0</v>
      </c>
      <c r="E4258" s="24"/>
      <c r="F4258" s="14" t="s">
        <v>6012</v>
      </c>
      <c r="G4258" s="14">
        <v>32.89</v>
      </c>
      <c r="H4258" s="14">
        <v>0.0</v>
      </c>
      <c r="I4258" s="14" t="s">
        <v>6042</v>
      </c>
      <c r="J4258" s="14" t="s">
        <v>6012</v>
      </c>
      <c r="K4258" s="14" t="s">
        <v>6012</v>
      </c>
      <c r="L4258" s="14">
        <v>0.0</v>
      </c>
    </row>
    <row r="4259">
      <c r="A4259" s="14">
        <v>23.0</v>
      </c>
      <c r="B4259" s="14">
        <v>0.0</v>
      </c>
      <c r="C4259" s="34">
        <v>5.47</v>
      </c>
      <c r="D4259" s="36">
        <v>45158.0</v>
      </c>
      <c r="E4259" s="24"/>
      <c r="F4259" s="14" t="s">
        <v>6012</v>
      </c>
      <c r="G4259" s="14">
        <v>237.83</v>
      </c>
      <c r="H4259" s="14">
        <v>0.0</v>
      </c>
      <c r="I4259" s="14" t="s">
        <v>6054</v>
      </c>
      <c r="J4259" s="14" t="s">
        <v>6012</v>
      </c>
      <c r="K4259" s="14" t="s">
        <v>6012</v>
      </c>
      <c r="L4259" s="14">
        <v>0.0</v>
      </c>
    </row>
    <row r="4260">
      <c r="A4260" s="14">
        <v>2.0</v>
      </c>
      <c r="B4260" s="14">
        <v>1.0</v>
      </c>
      <c r="C4260" s="34">
        <v>1.5</v>
      </c>
      <c r="D4260" s="36">
        <v>45158.0</v>
      </c>
      <c r="E4260" s="24"/>
      <c r="F4260" s="14">
        <v>1.5</v>
      </c>
      <c r="G4260" s="14">
        <v>750.0</v>
      </c>
      <c r="H4260" s="14">
        <v>50.0</v>
      </c>
      <c r="I4260" s="14" t="s">
        <v>6064</v>
      </c>
      <c r="J4260" s="14">
        <v>0.0</v>
      </c>
      <c r="K4260" s="14" t="s">
        <v>6012</v>
      </c>
      <c r="L4260" s="14">
        <v>0.0</v>
      </c>
    </row>
    <row r="4261">
      <c r="A4261" s="14">
        <v>390.0</v>
      </c>
      <c r="B4261" s="14">
        <v>7.0</v>
      </c>
      <c r="C4261" s="34">
        <v>5.54</v>
      </c>
      <c r="D4261" s="36">
        <v>45158.0</v>
      </c>
      <c r="E4261" s="24"/>
      <c r="F4261" s="14">
        <v>0.79</v>
      </c>
      <c r="G4261" s="14">
        <v>14.21</v>
      </c>
      <c r="H4261" s="14">
        <v>1.79</v>
      </c>
      <c r="I4261" s="14" t="s">
        <v>6051</v>
      </c>
      <c r="J4261" s="14">
        <v>0.0</v>
      </c>
      <c r="K4261" s="14" t="s">
        <v>6012</v>
      </c>
      <c r="L4261" s="14">
        <v>0.0</v>
      </c>
    </row>
    <row r="4262">
      <c r="A4262" s="14">
        <v>13.0</v>
      </c>
      <c r="B4262" s="14">
        <v>0.0</v>
      </c>
      <c r="C4262" s="34">
        <v>3.28</v>
      </c>
      <c r="D4262" s="36">
        <v>45158.0</v>
      </c>
      <c r="E4262" s="24"/>
      <c r="F4262" s="14" t="s">
        <v>6012</v>
      </c>
      <c r="G4262" s="14">
        <v>252.31</v>
      </c>
      <c r="H4262" s="14">
        <v>0.0</v>
      </c>
      <c r="I4262" s="14" t="s">
        <v>6063</v>
      </c>
      <c r="J4262" s="14" t="s">
        <v>6012</v>
      </c>
      <c r="K4262" s="14" t="s">
        <v>6012</v>
      </c>
      <c r="L4262" s="14">
        <v>0.0</v>
      </c>
    </row>
    <row r="4263">
      <c r="A4263" s="14">
        <v>15.0</v>
      </c>
      <c r="B4263" s="14">
        <v>0.0</v>
      </c>
      <c r="C4263" s="34">
        <v>3.33</v>
      </c>
      <c r="D4263" s="36">
        <v>45158.0</v>
      </c>
      <c r="E4263" s="24"/>
      <c r="F4263" s="14" t="s">
        <v>6012</v>
      </c>
      <c r="G4263" s="14">
        <v>222.0</v>
      </c>
      <c r="H4263" s="14">
        <v>0.0</v>
      </c>
      <c r="I4263" s="14" t="s">
        <v>6057</v>
      </c>
      <c r="J4263" s="14" t="s">
        <v>6012</v>
      </c>
      <c r="K4263" s="14" t="s">
        <v>6012</v>
      </c>
      <c r="L4263" s="14">
        <v>0.0</v>
      </c>
    </row>
    <row r="4264">
      <c r="A4264" s="14">
        <v>35.0</v>
      </c>
      <c r="B4264" s="14">
        <v>0.0</v>
      </c>
      <c r="C4264" s="34">
        <v>6.24</v>
      </c>
      <c r="D4264" s="36">
        <v>45158.0</v>
      </c>
      <c r="E4264" s="24"/>
      <c r="F4264" s="14" t="s">
        <v>6012</v>
      </c>
      <c r="G4264" s="14">
        <v>178.29</v>
      </c>
      <c r="H4264" s="14">
        <v>0.0</v>
      </c>
      <c r="I4264" s="14" t="s">
        <v>6060</v>
      </c>
      <c r="J4264" s="14" t="s">
        <v>6012</v>
      </c>
      <c r="K4264" s="14" t="s">
        <v>6012</v>
      </c>
      <c r="L4264" s="14">
        <v>0.0</v>
      </c>
    </row>
    <row r="4265">
      <c r="A4265" s="14">
        <v>97.0</v>
      </c>
      <c r="B4265" s="14">
        <v>0.0</v>
      </c>
      <c r="C4265" s="34">
        <v>4.64</v>
      </c>
      <c r="D4265" s="36">
        <v>45158.0</v>
      </c>
      <c r="E4265" s="24"/>
      <c r="F4265" s="14" t="s">
        <v>6012</v>
      </c>
      <c r="G4265" s="14">
        <v>47.84</v>
      </c>
      <c r="H4265" s="14">
        <v>0.0</v>
      </c>
      <c r="I4265" s="14" t="s">
        <v>6062</v>
      </c>
      <c r="J4265" s="14" t="s">
        <v>6012</v>
      </c>
      <c r="K4265" s="14" t="s">
        <v>6012</v>
      </c>
      <c r="L4265" s="14">
        <v>0.0</v>
      </c>
    </row>
    <row r="4266">
      <c r="A4266" s="14">
        <v>13.0</v>
      </c>
      <c r="B4266" s="14">
        <v>0.0</v>
      </c>
      <c r="C4266" s="34">
        <v>1.01</v>
      </c>
      <c r="D4266" s="36">
        <v>45158.0</v>
      </c>
      <c r="E4266" s="24"/>
      <c r="F4266" s="14" t="s">
        <v>6012</v>
      </c>
      <c r="G4266" s="14">
        <v>77.69</v>
      </c>
      <c r="H4266" s="14">
        <v>0.0</v>
      </c>
      <c r="I4266" s="14" t="s">
        <v>6059</v>
      </c>
      <c r="J4266" s="14" t="s">
        <v>6012</v>
      </c>
      <c r="K4266" s="14" t="s">
        <v>6012</v>
      </c>
      <c r="L4266" s="14">
        <v>0.0</v>
      </c>
    </row>
    <row r="4267">
      <c r="A4267" s="14">
        <v>7.0</v>
      </c>
      <c r="B4267" s="14">
        <v>0.0</v>
      </c>
      <c r="C4267" s="34">
        <v>2.59</v>
      </c>
      <c r="D4267" s="36">
        <v>45158.0</v>
      </c>
      <c r="E4267" s="24"/>
      <c r="F4267" s="14" t="s">
        <v>6012</v>
      </c>
      <c r="G4267" s="14">
        <v>370.0</v>
      </c>
      <c r="H4267" s="14">
        <v>0.0</v>
      </c>
      <c r="I4267" s="14" t="s">
        <v>6061</v>
      </c>
      <c r="J4267" s="14" t="s">
        <v>6012</v>
      </c>
      <c r="K4267" s="14" t="s">
        <v>6012</v>
      </c>
      <c r="L4267" s="14">
        <v>0.0</v>
      </c>
    </row>
    <row r="4268">
      <c r="A4268" s="14">
        <v>2030.0</v>
      </c>
      <c r="B4268" s="14">
        <v>14.0</v>
      </c>
      <c r="C4268" s="34">
        <v>10.94</v>
      </c>
      <c r="D4268" s="36">
        <v>45159.0</v>
      </c>
      <c r="E4268" s="24"/>
      <c r="F4268" s="14">
        <v>0.78</v>
      </c>
      <c r="G4268" s="14">
        <v>5.39</v>
      </c>
      <c r="H4268" s="14">
        <v>0.69</v>
      </c>
      <c r="I4268" s="14" t="s">
        <v>6050</v>
      </c>
      <c r="J4268" s="14">
        <v>21.43</v>
      </c>
      <c r="K4268" s="14">
        <v>3.65</v>
      </c>
      <c r="L4268" s="14">
        <v>0.0</v>
      </c>
    </row>
    <row r="4269">
      <c r="A4269" s="14">
        <v>52.0</v>
      </c>
      <c r="B4269" s="14">
        <v>0.0</v>
      </c>
      <c r="C4269" s="34">
        <v>15.0</v>
      </c>
      <c r="D4269" s="36">
        <v>45159.0</v>
      </c>
      <c r="E4269" s="24"/>
      <c r="F4269" s="14" t="s">
        <v>6012</v>
      </c>
      <c r="G4269" s="14">
        <v>288.46</v>
      </c>
      <c r="H4269" s="14">
        <v>0.0</v>
      </c>
      <c r="I4269" s="14" t="s">
        <v>6059</v>
      </c>
      <c r="J4269" s="14" t="s">
        <v>6012</v>
      </c>
      <c r="K4269" s="14" t="s">
        <v>6012</v>
      </c>
      <c r="L4269" s="14">
        <v>0.0</v>
      </c>
    </row>
    <row r="4270">
      <c r="A4270" s="14">
        <v>71.0</v>
      </c>
      <c r="B4270" s="14">
        <v>0.0</v>
      </c>
      <c r="C4270" s="34">
        <v>11.83</v>
      </c>
      <c r="D4270" s="36">
        <v>45159.0</v>
      </c>
      <c r="E4270" s="24"/>
      <c r="F4270" s="14" t="s">
        <v>6012</v>
      </c>
      <c r="G4270" s="14">
        <v>166.62</v>
      </c>
      <c r="H4270" s="14">
        <v>0.0</v>
      </c>
      <c r="I4270" s="14" t="s">
        <v>6058</v>
      </c>
      <c r="J4270" s="14" t="s">
        <v>6012</v>
      </c>
      <c r="K4270" s="14" t="s">
        <v>6012</v>
      </c>
      <c r="L4270" s="14">
        <v>0.0</v>
      </c>
    </row>
    <row r="4271">
      <c r="A4271" s="14">
        <v>309.0</v>
      </c>
      <c r="B4271" s="14">
        <v>2.0</v>
      </c>
      <c r="C4271" s="34">
        <v>11.82</v>
      </c>
      <c r="D4271" s="36">
        <v>45159.0</v>
      </c>
      <c r="E4271" s="24"/>
      <c r="F4271" s="14">
        <v>5.91</v>
      </c>
      <c r="G4271" s="14">
        <v>38.25</v>
      </c>
      <c r="H4271" s="14">
        <v>0.65</v>
      </c>
      <c r="I4271" s="14" t="s">
        <v>6060</v>
      </c>
      <c r="J4271" s="14">
        <v>50.0</v>
      </c>
      <c r="K4271" s="14">
        <v>11.82</v>
      </c>
      <c r="L4271" s="14">
        <v>0.0</v>
      </c>
    </row>
    <row r="4272">
      <c r="A4272" s="14">
        <v>159.0</v>
      </c>
      <c r="B4272" s="14">
        <v>1.0</v>
      </c>
      <c r="C4272" s="34">
        <v>11.92</v>
      </c>
      <c r="D4272" s="36">
        <v>45159.0</v>
      </c>
      <c r="E4272" s="24"/>
      <c r="F4272" s="14">
        <v>11.92</v>
      </c>
      <c r="G4272" s="14">
        <v>74.97</v>
      </c>
      <c r="H4272" s="14">
        <v>0.63</v>
      </c>
      <c r="I4272" s="14" t="s">
        <v>6062</v>
      </c>
      <c r="J4272" s="14">
        <v>100.0</v>
      </c>
      <c r="K4272" s="14">
        <v>11.92</v>
      </c>
      <c r="L4272" s="14">
        <v>0.0</v>
      </c>
    </row>
    <row r="4273">
      <c r="A4273" s="14">
        <v>50.0</v>
      </c>
      <c r="B4273" s="14">
        <v>2.0</v>
      </c>
      <c r="C4273" s="34">
        <v>12.24</v>
      </c>
      <c r="D4273" s="36">
        <v>45159.0</v>
      </c>
      <c r="E4273" s="24"/>
      <c r="F4273" s="14">
        <v>6.12</v>
      </c>
      <c r="G4273" s="14">
        <v>244.8</v>
      </c>
      <c r="H4273" s="14">
        <v>4.0</v>
      </c>
      <c r="I4273" s="14" t="s">
        <v>6057</v>
      </c>
      <c r="J4273" s="14">
        <v>0.0</v>
      </c>
      <c r="K4273" s="14" t="s">
        <v>6012</v>
      </c>
      <c r="L4273" s="14">
        <v>0.0</v>
      </c>
    </row>
    <row r="4274">
      <c r="A4274" s="14">
        <v>255.0</v>
      </c>
      <c r="B4274" s="14">
        <v>0.0</v>
      </c>
      <c r="C4274" s="34">
        <v>13.34</v>
      </c>
      <c r="D4274" s="36">
        <v>45159.0</v>
      </c>
      <c r="E4274" s="24"/>
      <c r="F4274" s="14" t="s">
        <v>6012</v>
      </c>
      <c r="G4274" s="14">
        <v>52.31</v>
      </c>
      <c r="H4274" s="14">
        <v>0.0</v>
      </c>
      <c r="I4274" s="14" t="s">
        <v>6042</v>
      </c>
      <c r="J4274" s="14" t="s">
        <v>6012</v>
      </c>
      <c r="K4274" s="14" t="s">
        <v>6012</v>
      </c>
      <c r="L4274" s="14">
        <v>0.0</v>
      </c>
    </row>
    <row r="4275">
      <c r="A4275" s="14">
        <v>1091.0</v>
      </c>
      <c r="B4275" s="14">
        <v>11.0</v>
      </c>
      <c r="C4275" s="34">
        <v>11.07</v>
      </c>
      <c r="D4275" s="36">
        <v>45159.0</v>
      </c>
      <c r="E4275" s="24"/>
      <c r="F4275" s="14">
        <v>1.01</v>
      </c>
      <c r="G4275" s="14">
        <v>10.15</v>
      </c>
      <c r="H4275" s="14">
        <v>1.01</v>
      </c>
      <c r="I4275" s="14" t="s">
        <v>6051</v>
      </c>
      <c r="J4275" s="14">
        <v>0.0</v>
      </c>
      <c r="K4275" s="14" t="s">
        <v>6012</v>
      </c>
      <c r="L4275" s="14">
        <v>0.0</v>
      </c>
    </row>
    <row r="4276">
      <c r="A4276" s="14">
        <v>8.0</v>
      </c>
      <c r="B4276" s="14">
        <v>8.0</v>
      </c>
      <c r="C4276" s="34">
        <v>6.0</v>
      </c>
      <c r="D4276" s="36">
        <v>45159.0</v>
      </c>
      <c r="E4276" s="24"/>
      <c r="F4276" s="14">
        <v>0.75</v>
      </c>
      <c r="G4276" s="14">
        <v>750.0</v>
      </c>
      <c r="H4276" s="14">
        <v>100.0</v>
      </c>
      <c r="I4276" s="14" t="s">
        <v>6064</v>
      </c>
      <c r="J4276" s="14">
        <v>0.0</v>
      </c>
      <c r="K4276" s="14" t="s">
        <v>6012</v>
      </c>
      <c r="L4276" s="14">
        <v>0.0</v>
      </c>
    </row>
    <row r="4277">
      <c r="A4277" s="14">
        <v>142.0</v>
      </c>
      <c r="B4277" s="14">
        <v>0.0</v>
      </c>
      <c r="C4277" s="34">
        <v>11.59</v>
      </c>
      <c r="D4277" s="36">
        <v>45159.0</v>
      </c>
      <c r="E4277" s="24"/>
      <c r="F4277" s="14" t="s">
        <v>6012</v>
      </c>
      <c r="G4277" s="14">
        <v>81.62</v>
      </c>
      <c r="H4277" s="14">
        <v>0.0</v>
      </c>
      <c r="I4277" s="14" t="s">
        <v>6054</v>
      </c>
      <c r="J4277" s="14" t="s">
        <v>6012</v>
      </c>
      <c r="K4277" s="14" t="s">
        <v>6012</v>
      </c>
      <c r="L4277" s="14">
        <v>0.0</v>
      </c>
    </row>
    <row r="4278">
      <c r="A4278" s="14">
        <v>67.0</v>
      </c>
      <c r="B4278" s="14">
        <v>2.0</v>
      </c>
      <c r="C4278" s="34">
        <v>12.57</v>
      </c>
      <c r="D4278" s="36">
        <v>45159.0</v>
      </c>
      <c r="E4278" s="24"/>
      <c r="F4278" s="14">
        <v>6.28</v>
      </c>
      <c r="G4278" s="14">
        <v>187.61</v>
      </c>
      <c r="H4278" s="14">
        <v>2.99</v>
      </c>
      <c r="I4278" s="14" t="s">
        <v>6061</v>
      </c>
      <c r="J4278" s="14">
        <v>100.0</v>
      </c>
      <c r="K4278" s="14">
        <v>6.28</v>
      </c>
      <c r="L4278" s="14">
        <v>0.0</v>
      </c>
    </row>
    <row r="4279">
      <c r="A4279" s="14">
        <v>66.0</v>
      </c>
      <c r="B4279" s="14">
        <v>0.0</v>
      </c>
      <c r="C4279" s="34">
        <v>12.42</v>
      </c>
      <c r="D4279" s="36">
        <v>45159.0</v>
      </c>
      <c r="E4279" s="24"/>
      <c r="F4279" s="14" t="s">
        <v>6012</v>
      </c>
      <c r="G4279" s="14">
        <v>188.18</v>
      </c>
      <c r="H4279" s="14">
        <v>0.0</v>
      </c>
      <c r="I4279" s="14" t="s">
        <v>6063</v>
      </c>
      <c r="J4279" s="14" t="s">
        <v>6012</v>
      </c>
      <c r="K4279" s="14" t="s">
        <v>6012</v>
      </c>
      <c r="L4279" s="14">
        <v>0.0</v>
      </c>
    </row>
    <row r="4280">
      <c r="A4280" s="14">
        <v>820.0</v>
      </c>
      <c r="B4280" s="14">
        <v>5.0</v>
      </c>
      <c r="C4280" s="34">
        <v>11.86</v>
      </c>
      <c r="D4280" s="36">
        <v>45160.0</v>
      </c>
      <c r="E4280" s="24"/>
      <c r="F4280" s="14">
        <v>2.37</v>
      </c>
      <c r="G4280" s="14">
        <v>14.46</v>
      </c>
      <c r="H4280" s="14">
        <v>0.61</v>
      </c>
      <c r="I4280" s="14" t="s">
        <v>6060</v>
      </c>
      <c r="J4280" s="14">
        <v>0.0</v>
      </c>
      <c r="K4280" s="14" t="s">
        <v>6012</v>
      </c>
      <c r="L4280" s="14">
        <v>0.0</v>
      </c>
    </row>
    <row r="4281">
      <c r="A4281" s="14">
        <v>67.0</v>
      </c>
      <c r="B4281" s="14">
        <v>0.0</v>
      </c>
      <c r="C4281" s="34">
        <v>13.15</v>
      </c>
      <c r="D4281" s="36">
        <v>45160.0</v>
      </c>
      <c r="E4281" s="24"/>
      <c r="F4281" s="14" t="s">
        <v>6012</v>
      </c>
      <c r="G4281" s="14">
        <v>196.27</v>
      </c>
      <c r="H4281" s="14">
        <v>0.0</v>
      </c>
      <c r="I4281" s="14" t="s">
        <v>6063</v>
      </c>
      <c r="J4281" s="14" t="s">
        <v>6012</v>
      </c>
      <c r="K4281" s="14" t="s">
        <v>6012</v>
      </c>
      <c r="L4281" s="14">
        <v>0.0</v>
      </c>
    </row>
    <row r="4282">
      <c r="A4282" s="14">
        <v>7.0</v>
      </c>
      <c r="B4282" s="14">
        <v>3.0</v>
      </c>
      <c r="C4282" s="34">
        <v>5.25</v>
      </c>
      <c r="D4282" s="36">
        <v>45160.0</v>
      </c>
      <c r="E4282" s="24"/>
      <c r="F4282" s="14">
        <v>1.75</v>
      </c>
      <c r="G4282" s="14">
        <v>750.0</v>
      </c>
      <c r="H4282" s="14">
        <v>42.86</v>
      </c>
      <c r="I4282" s="14" t="s">
        <v>6064</v>
      </c>
      <c r="J4282" s="14">
        <v>0.0</v>
      </c>
      <c r="K4282" s="14" t="s">
        <v>6012</v>
      </c>
      <c r="L4282" s="14">
        <v>0.0</v>
      </c>
    </row>
    <row r="4283">
      <c r="A4283" s="14">
        <v>131.0</v>
      </c>
      <c r="B4283" s="14">
        <v>0.0</v>
      </c>
      <c r="C4283" s="34">
        <v>16.5</v>
      </c>
      <c r="D4283" s="36">
        <v>45160.0</v>
      </c>
      <c r="E4283" s="24"/>
      <c r="F4283" s="14" t="s">
        <v>6012</v>
      </c>
      <c r="G4283" s="14">
        <v>125.95</v>
      </c>
      <c r="H4283" s="14">
        <v>0.0</v>
      </c>
      <c r="I4283" s="14" t="s">
        <v>6042</v>
      </c>
      <c r="J4283" s="14" t="s">
        <v>6012</v>
      </c>
      <c r="K4283" s="14" t="s">
        <v>6012</v>
      </c>
      <c r="L4283" s="14">
        <v>0.0</v>
      </c>
    </row>
    <row r="4284">
      <c r="A4284" s="14">
        <v>44.0</v>
      </c>
      <c r="B4284" s="14">
        <v>0.0</v>
      </c>
      <c r="C4284" s="34">
        <v>13.15</v>
      </c>
      <c r="D4284" s="36">
        <v>45160.0</v>
      </c>
      <c r="E4284" s="24"/>
      <c r="F4284" s="14" t="s">
        <v>6012</v>
      </c>
      <c r="G4284" s="14">
        <v>298.86</v>
      </c>
      <c r="H4284" s="14">
        <v>0.0</v>
      </c>
      <c r="I4284" s="14" t="s">
        <v>6057</v>
      </c>
      <c r="J4284" s="14" t="s">
        <v>6012</v>
      </c>
      <c r="K4284" s="14" t="s">
        <v>6012</v>
      </c>
      <c r="L4284" s="14">
        <v>0.0</v>
      </c>
    </row>
    <row r="4285">
      <c r="A4285" s="14">
        <v>27.0</v>
      </c>
      <c r="B4285" s="14">
        <v>0.0</v>
      </c>
      <c r="C4285" s="34">
        <v>13.52</v>
      </c>
      <c r="D4285" s="36">
        <v>45160.0</v>
      </c>
      <c r="E4285" s="24"/>
      <c r="F4285" s="14" t="s">
        <v>6012</v>
      </c>
      <c r="G4285" s="14">
        <v>500.74</v>
      </c>
      <c r="H4285" s="14">
        <v>0.0</v>
      </c>
      <c r="I4285" s="14" t="s">
        <v>6059</v>
      </c>
      <c r="J4285" s="14" t="s">
        <v>6012</v>
      </c>
      <c r="K4285" s="14" t="s">
        <v>6012</v>
      </c>
      <c r="L4285" s="14">
        <v>0.0</v>
      </c>
    </row>
    <row r="4286">
      <c r="A4286" s="14">
        <v>1905.0</v>
      </c>
      <c r="B4286" s="14">
        <v>15.0</v>
      </c>
      <c r="C4286" s="34">
        <v>11.45</v>
      </c>
      <c r="D4286" s="36">
        <v>45160.0</v>
      </c>
      <c r="E4286" s="24"/>
      <c r="F4286" s="14">
        <v>0.76</v>
      </c>
      <c r="G4286" s="14">
        <v>6.01</v>
      </c>
      <c r="H4286" s="14">
        <v>0.79</v>
      </c>
      <c r="I4286" s="14" t="s">
        <v>6050</v>
      </c>
      <c r="J4286" s="14">
        <v>0.0</v>
      </c>
      <c r="K4286" s="14" t="s">
        <v>6012</v>
      </c>
      <c r="L4286" s="14">
        <v>0.0</v>
      </c>
    </row>
    <row r="4287">
      <c r="A4287" s="14">
        <v>185.0</v>
      </c>
      <c r="B4287" s="14">
        <v>0.0</v>
      </c>
      <c r="C4287" s="34">
        <v>12.16</v>
      </c>
      <c r="D4287" s="36">
        <v>45160.0</v>
      </c>
      <c r="E4287" s="24"/>
      <c r="F4287" s="14" t="s">
        <v>6012</v>
      </c>
      <c r="G4287" s="14">
        <v>65.73</v>
      </c>
      <c r="H4287" s="14">
        <v>0.0</v>
      </c>
      <c r="I4287" s="14" t="s">
        <v>6062</v>
      </c>
      <c r="J4287" s="14" t="s">
        <v>6012</v>
      </c>
      <c r="K4287" s="14" t="s">
        <v>6012</v>
      </c>
      <c r="L4287" s="14">
        <v>0.0</v>
      </c>
    </row>
    <row r="4288">
      <c r="A4288" s="14">
        <v>83.0</v>
      </c>
      <c r="B4288" s="14">
        <v>4.0</v>
      </c>
      <c r="C4288" s="34">
        <v>12.81</v>
      </c>
      <c r="D4288" s="36">
        <v>45160.0</v>
      </c>
      <c r="E4288" s="24"/>
      <c r="F4288" s="14">
        <v>3.2</v>
      </c>
      <c r="G4288" s="14">
        <v>154.34</v>
      </c>
      <c r="H4288" s="14">
        <v>4.82</v>
      </c>
      <c r="I4288" s="14" t="s">
        <v>6061</v>
      </c>
      <c r="J4288" s="14">
        <v>25.0</v>
      </c>
      <c r="K4288" s="14">
        <v>12.81</v>
      </c>
      <c r="L4288" s="14">
        <v>0.0</v>
      </c>
    </row>
    <row r="4289">
      <c r="A4289" s="14">
        <v>123.0</v>
      </c>
      <c r="B4289" s="14">
        <v>0.0</v>
      </c>
      <c r="C4289" s="34">
        <v>12.33</v>
      </c>
      <c r="D4289" s="36">
        <v>45160.0</v>
      </c>
      <c r="E4289" s="24"/>
      <c r="F4289" s="14" t="s">
        <v>6012</v>
      </c>
      <c r="G4289" s="14">
        <v>100.24</v>
      </c>
      <c r="H4289" s="14">
        <v>0.0</v>
      </c>
      <c r="I4289" s="14" t="s">
        <v>6054</v>
      </c>
      <c r="J4289" s="14" t="s">
        <v>6012</v>
      </c>
      <c r="K4289" s="14" t="s">
        <v>6012</v>
      </c>
      <c r="L4289" s="14">
        <v>0.0</v>
      </c>
    </row>
    <row r="4290">
      <c r="A4290" s="14">
        <v>1016.0</v>
      </c>
      <c r="B4290" s="14">
        <v>5.0</v>
      </c>
      <c r="C4290" s="34">
        <v>12.84</v>
      </c>
      <c r="D4290" s="36">
        <v>45160.0</v>
      </c>
      <c r="E4290" s="24"/>
      <c r="F4290" s="14">
        <v>2.57</v>
      </c>
      <c r="G4290" s="14">
        <v>12.64</v>
      </c>
      <c r="H4290" s="14">
        <v>0.49</v>
      </c>
      <c r="I4290" s="14" t="s">
        <v>6051</v>
      </c>
      <c r="J4290" s="14">
        <v>0.0</v>
      </c>
      <c r="K4290" s="14" t="s">
        <v>6012</v>
      </c>
      <c r="L4290" s="14">
        <v>0.0</v>
      </c>
    </row>
    <row r="4291">
      <c r="A4291" s="14">
        <v>31.0</v>
      </c>
      <c r="B4291" s="14">
        <v>0.0</v>
      </c>
      <c r="C4291" s="34">
        <v>13.71</v>
      </c>
      <c r="D4291" s="36">
        <v>45160.0</v>
      </c>
      <c r="E4291" s="24"/>
      <c r="F4291" s="14" t="s">
        <v>6012</v>
      </c>
      <c r="G4291" s="14">
        <v>442.26</v>
      </c>
      <c r="H4291" s="14">
        <v>0.0</v>
      </c>
      <c r="I4291" s="14" t="s">
        <v>6058</v>
      </c>
      <c r="J4291" s="14" t="s">
        <v>6012</v>
      </c>
      <c r="K4291" s="14" t="s">
        <v>6012</v>
      </c>
      <c r="L4291" s="14">
        <v>0.0</v>
      </c>
    </row>
    <row r="4292">
      <c r="A4292" s="14">
        <v>876.0</v>
      </c>
      <c r="B4292" s="14">
        <v>3.0</v>
      </c>
      <c r="C4292" s="34">
        <v>12.08</v>
      </c>
      <c r="D4292" s="36">
        <v>45161.0</v>
      </c>
      <c r="E4292" s="24"/>
      <c r="F4292" s="14">
        <v>4.03</v>
      </c>
      <c r="G4292" s="14">
        <v>13.79</v>
      </c>
      <c r="H4292" s="14">
        <v>0.34</v>
      </c>
      <c r="I4292" s="14" t="s">
        <v>6051</v>
      </c>
      <c r="J4292" s="14">
        <v>0.0</v>
      </c>
      <c r="K4292" s="14" t="s">
        <v>6012</v>
      </c>
      <c r="L4292" s="14">
        <v>0.0</v>
      </c>
    </row>
    <row r="4293">
      <c r="A4293" s="14">
        <v>6.0</v>
      </c>
      <c r="B4293" s="14">
        <v>1.0</v>
      </c>
      <c r="C4293" s="34">
        <v>4.5</v>
      </c>
      <c r="D4293" s="36">
        <v>45161.0</v>
      </c>
      <c r="E4293" s="24"/>
      <c r="F4293" s="14">
        <v>4.5</v>
      </c>
      <c r="G4293" s="14">
        <v>750.0</v>
      </c>
      <c r="H4293" s="14">
        <v>16.67</v>
      </c>
      <c r="I4293" s="14" t="s">
        <v>6064</v>
      </c>
      <c r="J4293" s="14">
        <v>0.0</v>
      </c>
      <c r="K4293" s="14" t="s">
        <v>6012</v>
      </c>
      <c r="L4293" s="14">
        <v>0.0</v>
      </c>
    </row>
    <row r="4294">
      <c r="A4294" s="14">
        <v>354.0</v>
      </c>
      <c r="B4294" s="14">
        <v>3.0</v>
      </c>
      <c r="C4294" s="34">
        <v>12.17</v>
      </c>
      <c r="D4294" s="36">
        <v>45161.0</v>
      </c>
      <c r="E4294" s="24"/>
      <c r="F4294" s="14">
        <v>4.06</v>
      </c>
      <c r="G4294" s="14">
        <v>34.38</v>
      </c>
      <c r="H4294" s="14">
        <v>0.85</v>
      </c>
      <c r="I4294" s="14" t="s">
        <v>6060</v>
      </c>
      <c r="J4294" s="14">
        <v>33.33</v>
      </c>
      <c r="K4294" s="14">
        <v>12.17</v>
      </c>
      <c r="L4294" s="14">
        <v>0.0</v>
      </c>
    </row>
    <row r="4295">
      <c r="A4295" s="14">
        <v>173.0</v>
      </c>
      <c r="B4295" s="14">
        <v>1.0</v>
      </c>
      <c r="C4295" s="34">
        <v>12.43</v>
      </c>
      <c r="D4295" s="36">
        <v>45161.0</v>
      </c>
      <c r="E4295" s="24"/>
      <c r="F4295" s="14">
        <v>12.43</v>
      </c>
      <c r="G4295" s="14">
        <v>71.85</v>
      </c>
      <c r="H4295" s="14">
        <v>0.58</v>
      </c>
      <c r="I4295" s="14" t="s">
        <v>6062</v>
      </c>
      <c r="J4295" s="14">
        <v>0.0</v>
      </c>
      <c r="K4295" s="14" t="s">
        <v>6012</v>
      </c>
      <c r="L4295" s="14">
        <v>0.0</v>
      </c>
    </row>
    <row r="4296">
      <c r="A4296" s="14">
        <v>48.0</v>
      </c>
      <c r="B4296" s="14">
        <v>2.0</v>
      </c>
      <c r="C4296" s="34">
        <v>12.32</v>
      </c>
      <c r="D4296" s="36">
        <v>45161.0</v>
      </c>
      <c r="E4296" s="24"/>
      <c r="F4296" s="14">
        <v>6.16</v>
      </c>
      <c r="G4296" s="14">
        <v>256.67</v>
      </c>
      <c r="H4296" s="14">
        <v>4.17</v>
      </c>
      <c r="I4296" s="14" t="s">
        <v>6057</v>
      </c>
      <c r="J4296" s="14">
        <v>0.0</v>
      </c>
      <c r="K4296" s="14" t="s">
        <v>6012</v>
      </c>
      <c r="L4296" s="14">
        <v>0.0</v>
      </c>
    </row>
    <row r="4297">
      <c r="A4297" s="14">
        <v>31.0</v>
      </c>
      <c r="B4297" s="14">
        <v>0.0</v>
      </c>
      <c r="C4297" s="34">
        <v>11.88</v>
      </c>
      <c r="D4297" s="36">
        <v>45161.0</v>
      </c>
      <c r="E4297" s="24"/>
      <c r="F4297" s="14" t="s">
        <v>6012</v>
      </c>
      <c r="G4297" s="14">
        <v>383.23</v>
      </c>
      <c r="H4297" s="14">
        <v>0.0</v>
      </c>
      <c r="I4297" s="14" t="s">
        <v>6059</v>
      </c>
      <c r="J4297" s="14" t="s">
        <v>6012</v>
      </c>
      <c r="K4297" s="14" t="s">
        <v>6012</v>
      </c>
      <c r="L4297" s="14">
        <v>0.0</v>
      </c>
    </row>
    <row r="4298">
      <c r="A4298" s="14">
        <v>338.0</v>
      </c>
      <c r="B4298" s="14">
        <v>5.0</v>
      </c>
      <c r="C4298" s="34">
        <v>13.24</v>
      </c>
      <c r="D4298" s="36">
        <v>45161.0</v>
      </c>
      <c r="E4298" s="24"/>
      <c r="F4298" s="14">
        <v>2.65</v>
      </c>
      <c r="G4298" s="14">
        <v>39.17</v>
      </c>
      <c r="H4298" s="14">
        <v>1.48</v>
      </c>
      <c r="I4298" s="14" t="s">
        <v>6042</v>
      </c>
      <c r="J4298" s="14">
        <v>80.0</v>
      </c>
      <c r="K4298" s="14">
        <v>3.31</v>
      </c>
      <c r="L4298" s="14">
        <v>0.0</v>
      </c>
    </row>
    <row r="4299">
      <c r="A4299" s="14">
        <v>2037.0</v>
      </c>
      <c r="B4299" s="14">
        <v>11.0</v>
      </c>
      <c r="C4299" s="34">
        <v>12.04</v>
      </c>
      <c r="D4299" s="36">
        <v>45161.0</v>
      </c>
      <c r="E4299" s="24"/>
      <c r="F4299" s="14">
        <v>1.09</v>
      </c>
      <c r="G4299" s="14">
        <v>5.91</v>
      </c>
      <c r="H4299" s="14">
        <v>0.54</v>
      </c>
      <c r="I4299" s="14" t="s">
        <v>6050</v>
      </c>
      <c r="J4299" s="14">
        <v>18.18</v>
      </c>
      <c r="K4299" s="14">
        <v>6.02</v>
      </c>
      <c r="L4299" s="14">
        <v>0.0</v>
      </c>
    </row>
    <row r="4300">
      <c r="A4300" s="14">
        <v>48.0</v>
      </c>
      <c r="B4300" s="14">
        <v>0.0</v>
      </c>
      <c r="C4300" s="34">
        <v>12.72</v>
      </c>
      <c r="D4300" s="36">
        <v>45161.0</v>
      </c>
      <c r="E4300" s="24"/>
      <c r="F4300" s="14" t="s">
        <v>6012</v>
      </c>
      <c r="G4300" s="14">
        <v>265.0</v>
      </c>
      <c r="H4300" s="14">
        <v>0.0</v>
      </c>
      <c r="I4300" s="14" t="s">
        <v>6058</v>
      </c>
      <c r="J4300" s="14" t="s">
        <v>6012</v>
      </c>
      <c r="K4300" s="14" t="s">
        <v>6012</v>
      </c>
      <c r="L4300" s="14">
        <v>0.0</v>
      </c>
    </row>
    <row r="4301">
      <c r="A4301" s="14">
        <v>40.0</v>
      </c>
      <c r="B4301" s="14">
        <v>0.0</v>
      </c>
      <c r="C4301" s="34">
        <v>13.29</v>
      </c>
      <c r="D4301" s="36">
        <v>45161.0</v>
      </c>
      <c r="E4301" s="24"/>
      <c r="F4301" s="14" t="s">
        <v>6012</v>
      </c>
      <c r="G4301" s="14">
        <v>332.25</v>
      </c>
      <c r="H4301" s="14">
        <v>0.0</v>
      </c>
      <c r="I4301" s="14" t="s">
        <v>6063</v>
      </c>
      <c r="J4301" s="14" t="s">
        <v>6012</v>
      </c>
      <c r="K4301" s="14">
        <v>13.29</v>
      </c>
      <c r="L4301" s="14">
        <v>0.0</v>
      </c>
    </row>
    <row r="4302">
      <c r="A4302" s="14">
        <v>100.0</v>
      </c>
      <c r="B4302" s="14">
        <v>1.0</v>
      </c>
      <c r="C4302" s="34">
        <v>12.07</v>
      </c>
      <c r="D4302" s="36">
        <v>45161.0</v>
      </c>
      <c r="E4302" s="24"/>
      <c r="F4302" s="14">
        <v>12.07</v>
      </c>
      <c r="G4302" s="14">
        <v>120.7</v>
      </c>
      <c r="H4302" s="14">
        <v>1.0</v>
      </c>
      <c r="I4302" s="14" t="s">
        <v>6054</v>
      </c>
      <c r="J4302" s="14">
        <v>0.0</v>
      </c>
      <c r="K4302" s="14" t="s">
        <v>6012</v>
      </c>
      <c r="L4302" s="14">
        <v>0.0</v>
      </c>
    </row>
    <row r="4303">
      <c r="A4303" s="14">
        <v>92.0</v>
      </c>
      <c r="B4303" s="14">
        <v>3.0</v>
      </c>
      <c r="C4303" s="34">
        <v>12.74</v>
      </c>
      <c r="D4303" s="36">
        <v>45161.0</v>
      </c>
      <c r="E4303" s="24"/>
      <c r="F4303" s="14">
        <v>4.25</v>
      </c>
      <c r="G4303" s="14">
        <v>138.48</v>
      </c>
      <c r="H4303" s="14">
        <v>3.26</v>
      </c>
      <c r="I4303" s="14" t="s">
        <v>6061</v>
      </c>
      <c r="J4303" s="14">
        <v>33.33</v>
      </c>
      <c r="K4303" s="14">
        <v>12.74</v>
      </c>
      <c r="L4303" s="14">
        <v>0.0</v>
      </c>
    </row>
    <row r="4304">
      <c r="A4304" s="14">
        <v>54.0</v>
      </c>
      <c r="B4304" s="14">
        <v>0.0</v>
      </c>
      <c r="C4304" s="34">
        <v>11.1</v>
      </c>
      <c r="D4304" s="36">
        <v>45162.0</v>
      </c>
      <c r="E4304" s="24"/>
      <c r="F4304" s="14" t="s">
        <v>6012</v>
      </c>
      <c r="G4304" s="14">
        <v>205.56</v>
      </c>
      <c r="H4304" s="14">
        <v>0.0</v>
      </c>
      <c r="I4304" s="14" t="s">
        <v>6058</v>
      </c>
      <c r="J4304" s="14" t="s">
        <v>6012</v>
      </c>
      <c r="K4304" s="14" t="s">
        <v>6012</v>
      </c>
      <c r="L4304" s="14">
        <v>0.0</v>
      </c>
    </row>
    <row r="4305">
      <c r="A4305" s="14">
        <v>44.0</v>
      </c>
      <c r="B4305" s="14">
        <v>0.0</v>
      </c>
      <c r="C4305" s="34">
        <v>12.23</v>
      </c>
      <c r="D4305" s="36">
        <v>45162.0</v>
      </c>
      <c r="E4305" s="24"/>
      <c r="F4305" s="14" t="s">
        <v>6012</v>
      </c>
      <c r="G4305" s="14">
        <v>277.95</v>
      </c>
      <c r="H4305" s="14">
        <v>0.0</v>
      </c>
      <c r="I4305" s="14" t="s">
        <v>6057</v>
      </c>
      <c r="J4305" s="14" t="s">
        <v>6012</v>
      </c>
      <c r="K4305" s="14" t="s">
        <v>6012</v>
      </c>
      <c r="L4305" s="14">
        <v>0.0</v>
      </c>
    </row>
    <row r="4306">
      <c r="A4306" s="14">
        <v>851.0</v>
      </c>
      <c r="B4306" s="14">
        <v>7.0</v>
      </c>
      <c r="C4306" s="34">
        <v>11.62</v>
      </c>
      <c r="D4306" s="36">
        <v>45162.0</v>
      </c>
      <c r="E4306" s="24"/>
      <c r="F4306" s="14">
        <v>1.66</v>
      </c>
      <c r="G4306" s="14">
        <v>13.65</v>
      </c>
      <c r="H4306" s="14">
        <v>0.82</v>
      </c>
      <c r="I4306" s="14" t="s">
        <v>6050</v>
      </c>
      <c r="J4306" s="14">
        <v>14.29</v>
      </c>
      <c r="K4306" s="14">
        <v>11.62</v>
      </c>
      <c r="L4306" s="14">
        <v>0.0</v>
      </c>
    </row>
    <row r="4307">
      <c r="A4307" s="14">
        <v>141.0</v>
      </c>
      <c r="B4307" s="14">
        <v>2.0</v>
      </c>
      <c r="C4307" s="34">
        <v>11.74</v>
      </c>
      <c r="D4307" s="36">
        <v>45162.0</v>
      </c>
      <c r="E4307" s="24"/>
      <c r="F4307" s="14">
        <v>5.87</v>
      </c>
      <c r="G4307" s="14">
        <v>83.26</v>
      </c>
      <c r="H4307" s="14">
        <v>1.42</v>
      </c>
      <c r="I4307" s="14" t="s">
        <v>6062</v>
      </c>
      <c r="J4307" s="14">
        <v>50.0</v>
      </c>
      <c r="K4307" s="14">
        <v>11.74</v>
      </c>
      <c r="L4307" s="14">
        <v>0.0</v>
      </c>
    </row>
    <row r="4308">
      <c r="A4308" s="14">
        <v>4.0</v>
      </c>
      <c r="B4308" s="14">
        <v>0.0</v>
      </c>
      <c r="C4308" s="34">
        <v>3.0</v>
      </c>
      <c r="D4308" s="36">
        <v>45162.0</v>
      </c>
      <c r="E4308" s="24"/>
      <c r="F4308" s="14" t="s">
        <v>6012</v>
      </c>
      <c r="G4308" s="14">
        <v>750.0</v>
      </c>
      <c r="H4308" s="14">
        <v>0.0</v>
      </c>
      <c r="I4308" s="14" t="s">
        <v>6064</v>
      </c>
      <c r="J4308" s="14" t="s">
        <v>6012</v>
      </c>
      <c r="K4308" s="14" t="s">
        <v>6012</v>
      </c>
      <c r="L4308" s="14">
        <v>0.0</v>
      </c>
    </row>
    <row r="4309">
      <c r="A4309" s="14">
        <v>834.0</v>
      </c>
      <c r="B4309" s="14">
        <v>6.0</v>
      </c>
      <c r="C4309" s="34">
        <v>11.91</v>
      </c>
      <c r="D4309" s="36">
        <v>45162.0</v>
      </c>
      <c r="E4309" s="24"/>
      <c r="F4309" s="14">
        <v>1.98</v>
      </c>
      <c r="G4309" s="14">
        <v>14.28</v>
      </c>
      <c r="H4309" s="14">
        <v>0.72</v>
      </c>
      <c r="I4309" s="14" t="s">
        <v>6051</v>
      </c>
      <c r="J4309" s="14">
        <v>0.0</v>
      </c>
      <c r="K4309" s="14" t="s">
        <v>6012</v>
      </c>
      <c r="L4309" s="14">
        <v>0.0</v>
      </c>
    </row>
    <row r="4310">
      <c r="A4310" s="14">
        <v>85.0</v>
      </c>
      <c r="B4310" s="14">
        <v>4.0</v>
      </c>
      <c r="C4310" s="34">
        <v>12.44</v>
      </c>
      <c r="D4310" s="36">
        <v>45162.0</v>
      </c>
      <c r="E4310" s="24"/>
      <c r="F4310" s="14">
        <v>3.11</v>
      </c>
      <c r="G4310" s="14">
        <v>146.35</v>
      </c>
      <c r="H4310" s="14">
        <v>4.71</v>
      </c>
      <c r="I4310" s="14" t="s">
        <v>6061</v>
      </c>
      <c r="J4310" s="14">
        <v>25.0</v>
      </c>
      <c r="K4310" s="14">
        <v>12.44</v>
      </c>
      <c r="L4310" s="14">
        <v>0.0</v>
      </c>
    </row>
    <row r="4311">
      <c r="A4311" s="14">
        <v>338.0</v>
      </c>
      <c r="B4311" s="14">
        <v>1.0</v>
      </c>
      <c r="C4311" s="34">
        <v>12.73</v>
      </c>
      <c r="D4311" s="36">
        <v>45162.0</v>
      </c>
      <c r="E4311" s="24"/>
      <c r="F4311" s="14">
        <v>12.73</v>
      </c>
      <c r="G4311" s="14">
        <v>37.66</v>
      </c>
      <c r="H4311" s="14">
        <v>0.3</v>
      </c>
      <c r="I4311" s="14" t="s">
        <v>6042</v>
      </c>
      <c r="J4311" s="14">
        <v>200.0</v>
      </c>
      <c r="K4311" s="14">
        <v>6.36</v>
      </c>
      <c r="L4311" s="14">
        <v>0.0</v>
      </c>
    </row>
    <row r="4312">
      <c r="A4312" s="14">
        <v>34.0</v>
      </c>
      <c r="B4312" s="14">
        <v>0.0</v>
      </c>
      <c r="C4312" s="34">
        <v>11.77</v>
      </c>
      <c r="D4312" s="36">
        <v>45162.0</v>
      </c>
      <c r="E4312" s="24"/>
      <c r="F4312" s="14" t="s">
        <v>6012</v>
      </c>
      <c r="G4312" s="14">
        <v>346.18</v>
      </c>
      <c r="H4312" s="14">
        <v>0.0</v>
      </c>
      <c r="I4312" s="14" t="s">
        <v>6063</v>
      </c>
      <c r="J4312" s="14" t="s">
        <v>6012</v>
      </c>
      <c r="K4312" s="14" t="s">
        <v>6012</v>
      </c>
      <c r="L4312" s="14">
        <v>0.0</v>
      </c>
    </row>
    <row r="4313">
      <c r="A4313" s="14">
        <v>79.0</v>
      </c>
      <c r="B4313" s="14">
        <v>0.0</v>
      </c>
      <c r="C4313" s="34">
        <v>11.71</v>
      </c>
      <c r="D4313" s="36">
        <v>45162.0</v>
      </c>
      <c r="E4313" s="24"/>
      <c r="F4313" s="14" t="s">
        <v>6012</v>
      </c>
      <c r="G4313" s="14">
        <v>148.23</v>
      </c>
      <c r="H4313" s="14">
        <v>0.0</v>
      </c>
      <c r="I4313" s="14" t="s">
        <v>6054</v>
      </c>
      <c r="J4313" s="14" t="s">
        <v>6012</v>
      </c>
      <c r="K4313" s="14" t="s">
        <v>6012</v>
      </c>
      <c r="L4313" s="14">
        <v>0.0</v>
      </c>
    </row>
    <row r="4314">
      <c r="A4314" s="14">
        <v>470.0</v>
      </c>
      <c r="B4314" s="14">
        <v>4.0</v>
      </c>
      <c r="C4314" s="34">
        <v>12.07</v>
      </c>
      <c r="D4314" s="36">
        <v>45162.0</v>
      </c>
      <c r="E4314" s="24"/>
      <c r="F4314" s="14">
        <v>3.02</v>
      </c>
      <c r="G4314" s="14">
        <v>25.68</v>
      </c>
      <c r="H4314" s="14">
        <v>0.85</v>
      </c>
      <c r="I4314" s="14" t="s">
        <v>6060</v>
      </c>
      <c r="J4314" s="14">
        <v>25.0</v>
      </c>
      <c r="K4314" s="14">
        <v>12.07</v>
      </c>
      <c r="L4314" s="14">
        <v>0.0</v>
      </c>
    </row>
    <row r="4315">
      <c r="A4315" s="14">
        <v>26.0</v>
      </c>
      <c r="B4315" s="14">
        <v>0.0</v>
      </c>
      <c r="C4315" s="34">
        <v>13.63</v>
      </c>
      <c r="D4315" s="36">
        <v>45162.0</v>
      </c>
      <c r="E4315" s="24"/>
      <c r="F4315" s="14" t="s">
        <v>6012</v>
      </c>
      <c r="G4315" s="14">
        <v>524.23</v>
      </c>
      <c r="H4315" s="14">
        <v>0.0</v>
      </c>
      <c r="I4315" s="14" t="s">
        <v>6059</v>
      </c>
      <c r="J4315" s="14" t="s">
        <v>6012</v>
      </c>
      <c r="K4315" s="14" t="s">
        <v>6012</v>
      </c>
      <c r="L4315" s="14">
        <v>0.0</v>
      </c>
    </row>
    <row r="4316">
      <c r="A4316" s="14">
        <v>98.0</v>
      </c>
      <c r="B4316" s="14">
        <v>0.0</v>
      </c>
      <c r="C4316" s="34">
        <v>10.52</v>
      </c>
      <c r="D4316" s="36">
        <v>45163.0</v>
      </c>
      <c r="E4316" s="24"/>
      <c r="F4316" s="14" t="s">
        <v>6012</v>
      </c>
      <c r="G4316" s="14">
        <v>107.35</v>
      </c>
      <c r="H4316" s="14">
        <v>0.0</v>
      </c>
      <c r="I4316" s="14" t="s">
        <v>6058</v>
      </c>
      <c r="J4316" s="14" t="s">
        <v>6012</v>
      </c>
      <c r="K4316" s="14" t="s">
        <v>6012</v>
      </c>
      <c r="L4316" s="14">
        <v>0.0</v>
      </c>
    </row>
    <row r="4317">
      <c r="A4317" s="14">
        <v>3.0</v>
      </c>
      <c r="B4317" s="14">
        <v>1.0</v>
      </c>
      <c r="C4317" s="34">
        <v>2.25</v>
      </c>
      <c r="D4317" s="36">
        <v>45163.0</v>
      </c>
      <c r="E4317" s="24"/>
      <c r="F4317" s="14">
        <v>2.25</v>
      </c>
      <c r="G4317" s="14">
        <v>750.0</v>
      </c>
      <c r="H4317" s="14">
        <v>33.33</v>
      </c>
      <c r="I4317" s="14" t="s">
        <v>6064</v>
      </c>
      <c r="J4317" s="14">
        <v>0.0</v>
      </c>
      <c r="K4317" s="14" t="s">
        <v>6012</v>
      </c>
      <c r="L4317" s="14">
        <v>0.0</v>
      </c>
    </row>
    <row r="4318">
      <c r="A4318" s="14">
        <v>32.0</v>
      </c>
      <c r="B4318" s="14">
        <v>0.0</v>
      </c>
      <c r="C4318" s="34">
        <v>11.72</v>
      </c>
      <c r="D4318" s="36">
        <v>45163.0</v>
      </c>
      <c r="E4318" s="24"/>
      <c r="F4318" s="14" t="s">
        <v>6012</v>
      </c>
      <c r="G4318" s="14">
        <v>366.25</v>
      </c>
      <c r="H4318" s="14">
        <v>0.0</v>
      </c>
      <c r="I4318" s="14" t="s">
        <v>6057</v>
      </c>
      <c r="J4318" s="14" t="s">
        <v>6012</v>
      </c>
      <c r="K4318" s="14" t="s">
        <v>6012</v>
      </c>
      <c r="L4318" s="14">
        <v>0.0</v>
      </c>
    </row>
    <row r="4319">
      <c r="A4319" s="14">
        <v>1305.0</v>
      </c>
      <c r="B4319" s="14">
        <v>4.0</v>
      </c>
      <c r="C4319" s="34">
        <v>10.79</v>
      </c>
      <c r="D4319" s="36">
        <v>45163.0</v>
      </c>
      <c r="E4319" s="24"/>
      <c r="F4319" s="14">
        <v>2.7</v>
      </c>
      <c r="G4319" s="14">
        <v>8.27</v>
      </c>
      <c r="H4319" s="14">
        <v>0.31</v>
      </c>
      <c r="I4319" s="14" t="s">
        <v>6050</v>
      </c>
      <c r="J4319" s="14">
        <v>100.0</v>
      </c>
      <c r="K4319" s="14">
        <v>2.7</v>
      </c>
      <c r="L4319" s="14">
        <v>0.0</v>
      </c>
    </row>
    <row r="4320">
      <c r="A4320" s="14">
        <v>31.0</v>
      </c>
      <c r="B4320" s="14">
        <v>0.0</v>
      </c>
      <c r="C4320" s="34">
        <v>11.02</v>
      </c>
      <c r="D4320" s="36">
        <v>45163.0</v>
      </c>
      <c r="E4320" s="24"/>
      <c r="F4320" s="14" t="s">
        <v>6012</v>
      </c>
      <c r="G4320" s="14">
        <v>355.48</v>
      </c>
      <c r="H4320" s="14">
        <v>0.0</v>
      </c>
      <c r="I4320" s="14" t="s">
        <v>6063</v>
      </c>
      <c r="J4320" s="14" t="s">
        <v>6012</v>
      </c>
      <c r="K4320" s="14" t="s">
        <v>6012</v>
      </c>
      <c r="L4320" s="14">
        <v>0.0</v>
      </c>
    </row>
    <row r="4321">
      <c r="A4321" s="14">
        <v>500.0</v>
      </c>
      <c r="B4321" s="14">
        <v>6.0</v>
      </c>
      <c r="C4321" s="34">
        <v>15.0</v>
      </c>
      <c r="D4321" s="36">
        <v>45163.0</v>
      </c>
      <c r="E4321" s="24"/>
      <c r="F4321" s="14">
        <v>2.5</v>
      </c>
      <c r="G4321" s="14">
        <v>30.0</v>
      </c>
      <c r="H4321" s="14">
        <v>1.2</v>
      </c>
      <c r="I4321" s="14" t="s">
        <v>6060</v>
      </c>
      <c r="J4321" s="14">
        <v>33.33</v>
      </c>
      <c r="K4321" s="14">
        <v>7.5</v>
      </c>
      <c r="L4321" s="14">
        <v>0.0</v>
      </c>
    </row>
    <row r="4322">
      <c r="A4322" s="14">
        <v>14.0</v>
      </c>
      <c r="B4322" s="14">
        <v>0.0</v>
      </c>
      <c r="C4322" s="34">
        <v>12.98</v>
      </c>
      <c r="D4322" s="36">
        <v>45163.0</v>
      </c>
      <c r="E4322" s="24"/>
      <c r="F4322" s="14" t="s">
        <v>6012</v>
      </c>
      <c r="G4322" s="14">
        <v>927.14</v>
      </c>
      <c r="H4322" s="14">
        <v>0.0</v>
      </c>
      <c r="I4322" s="14" t="s">
        <v>6059</v>
      </c>
      <c r="J4322" s="14" t="s">
        <v>6012</v>
      </c>
      <c r="K4322" s="14" t="s">
        <v>6012</v>
      </c>
      <c r="L4322" s="14">
        <v>0.0</v>
      </c>
    </row>
    <row r="4323">
      <c r="A4323" s="14">
        <v>50.0</v>
      </c>
      <c r="B4323" s="14">
        <v>0.0</v>
      </c>
      <c r="C4323" s="34">
        <v>13.42</v>
      </c>
      <c r="D4323" s="36">
        <v>45163.0</v>
      </c>
      <c r="E4323" s="24"/>
      <c r="F4323" s="14" t="s">
        <v>6012</v>
      </c>
      <c r="G4323" s="14">
        <v>268.4</v>
      </c>
      <c r="H4323" s="14">
        <v>0.0</v>
      </c>
      <c r="I4323" s="14" t="s">
        <v>6054</v>
      </c>
      <c r="J4323" s="14" t="s">
        <v>6012</v>
      </c>
      <c r="K4323" s="14" t="s">
        <v>6012</v>
      </c>
      <c r="L4323" s="14">
        <v>0.0</v>
      </c>
    </row>
    <row r="4324">
      <c r="A4324" s="14">
        <v>84.0</v>
      </c>
      <c r="B4324" s="14">
        <v>1.0</v>
      </c>
      <c r="C4324" s="34">
        <v>10.32</v>
      </c>
      <c r="D4324" s="36">
        <v>45163.0</v>
      </c>
      <c r="E4324" s="24"/>
      <c r="F4324" s="14">
        <v>10.32</v>
      </c>
      <c r="G4324" s="14">
        <v>122.86</v>
      </c>
      <c r="H4324" s="14">
        <v>1.19</v>
      </c>
      <c r="I4324" s="14" t="s">
        <v>6062</v>
      </c>
      <c r="J4324" s="14">
        <v>100.0</v>
      </c>
      <c r="K4324" s="14">
        <v>10.32</v>
      </c>
      <c r="L4324" s="14">
        <v>0.0</v>
      </c>
    </row>
    <row r="4325">
      <c r="A4325" s="14">
        <v>711.0</v>
      </c>
      <c r="B4325" s="14">
        <v>8.0</v>
      </c>
      <c r="C4325" s="34">
        <v>10.66</v>
      </c>
      <c r="D4325" s="36">
        <v>45163.0</v>
      </c>
      <c r="E4325" s="24"/>
      <c r="F4325" s="14">
        <v>1.33</v>
      </c>
      <c r="G4325" s="14">
        <v>14.99</v>
      </c>
      <c r="H4325" s="14">
        <v>1.13</v>
      </c>
      <c r="I4325" s="14" t="s">
        <v>6051</v>
      </c>
      <c r="J4325" s="14">
        <v>0.0</v>
      </c>
      <c r="K4325" s="14" t="s">
        <v>6012</v>
      </c>
      <c r="L4325" s="14">
        <v>0.0</v>
      </c>
    </row>
    <row r="4326">
      <c r="A4326" s="14">
        <v>139.0</v>
      </c>
      <c r="B4326" s="14">
        <v>0.0</v>
      </c>
      <c r="C4326" s="34">
        <v>10.15</v>
      </c>
      <c r="D4326" s="36">
        <v>45163.0</v>
      </c>
      <c r="E4326" s="24"/>
      <c r="F4326" s="14" t="s">
        <v>6012</v>
      </c>
      <c r="G4326" s="14">
        <v>73.02</v>
      </c>
      <c r="H4326" s="14">
        <v>0.0</v>
      </c>
      <c r="I4326" s="14" t="s">
        <v>6042</v>
      </c>
      <c r="J4326" s="14" t="s">
        <v>6012</v>
      </c>
      <c r="K4326" s="14" t="s">
        <v>6012</v>
      </c>
      <c r="L4326" s="14">
        <v>0.0</v>
      </c>
    </row>
    <row r="4327">
      <c r="A4327" s="14">
        <v>39.0</v>
      </c>
      <c r="B4327" s="14">
        <v>0.0</v>
      </c>
      <c r="C4327" s="34">
        <v>11.85</v>
      </c>
      <c r="D4327" s="36">
        <v>45163.0</v>
      </c>
      <c r="E4327" s="24"/>
      <c r="F4327" s="14" t="s">
        <v>6012</v>
      </c>
      <c r="G4327" s="14">
        <v>303.85</v>
      </c>
      <c r="H4327" s="14">
        <v>0.0</v>
      </c>
      <c r="I4327" s="14" t="s">
        <v>6061</v>
      </c>
      <c r="J4327" s="14" t="s">
        <v>6012</v>
      </c>
      <c r="K4327" s="14" t="s">
        <v>6012</v>
      </c>
      <c r="L4327" s="14">
        <v>0.0</v>
      </c>
    </row>
    <row r="4328">
      <c r="A4328" s="14">
        <v>22.0</v>
      </c>
      <c r="B4328" s="14">
        <v>0.0</v>
      </c>
      <c r="C4328" s="34">
        <v>5.54</v>
      </c>
      <c r="D4328" s="36">
        <v>45164.0</v>
      </c>
      <c r="E4328" s="24"/>
      <c r="F4328" s="14" t="s">
        <v>6012</v>
      </c>
      <c r="G4328" s="14">
        <v>251.82</v>
      </c>
      <c r="H4328" s="14">
        <v>0.0</v>
      </c>
      <c r="I4328" s="14" t="s">
        <v>6058</v>
      </c>
      <c r="J4328" s="14" t="s">
        <v>6012</v>
      </c>
      <c r="K4328" s="14" t="s">
        <v>6012</v>
      </c>
      <c r="L4328" s="14">
        <v>0.0</v>
      </c>
    </row>
    <row r="4329">
      <c r="A4329" s="14">
        <v>22.0</v>
      </c>
      <c r="B4329" s="14">
        <v>1.0</v>
      </c>
      <c r="C4329" s="34">
        <v>5.62</v>
      </c>
      <c r="D4329" s="36">
        <v>45164.0</v>
      </c>
      <c r="E4329" s="24"/>
      <c r="F4329" s="14">
        <v>5.62</v>
      </c>
      <c r="G4329" s="14">
        <v>255.45</v>
      </c>
      <c r="H4329" s="14">
        <v>4.55</v>
      </c>
      <c r="I4329" s="14" t="s">
        <v>6057</v>
      </c>
      <c r="J4329" s="14">
        <v>0.0</v>
      </c>
      <c r="K4329" s="14" t="s">
        <v>6012</v>
      </c>
      <c r="L4329" s="14">
        <v>0.0</v>
      </c>
    </row>
    <row r="4330">
      <c r="A4330" s="14">
        <v>21.0</v>
      </c>
      <c r="B4330" s="14">
        <v>0.0</v>
      </c>
      <c r="C4330" s="34">
        <v>5.5</v>
      </c>
      <c r="D4330" s="36">
        <v>45164.0</v>
      </c>
      <c r="E4330" s="24"/>
      <c r="F4330" s="14" t="s">
        <v>6012</v>
      </c>
      <c r="G4330" s="14">
        <v>261.9</v>
      </c>
      <c r="H4330" s="14">
        <v>0.0</v>
      </c>
      <c r="I4330" s="14" t="s">
        <v>6063</v>
      </c>
      <c r="J4330" s="14" t="s">
        <v>6012</v>
      </c>
      <c r="K4330" s="14" t="s">
        <v>6012</v>
      </c>
      <c r="L4330" s="14">
        <v>0.0</v>
      </c>
    </row>
    <row r="4331">
      <c r="A4331" s="14">
        <v>623.0</v>
      </c>
      <c r="B4331" s="14">
        <v>0.0</v>
      </c>
      <c r="C4331" s="34">
        <v>6.83</v>
      </c>
      <c r="D4331" s="36">
        <v>45164.0</v>
      </c>
      <c r="E4331" s="24"/>
      <c r="F4331" s="14" t="s">
        <v>6012</v>
      </c>
      <c r="G4331" s="14">
        <v>10.96</v>
      </c>
      <c r="H4331" s="14">
        <v>0.0</v>
      </c>
      <c r="I4331" s="14" t="s">
        <v>6050</v>
      </c>
      <c r="J4331" s="14" t="s">
        <v>6012</v>
      </c>
      <c r="K4331" s="14">
        <v>6.83</v>
      </c>
      <c r="L4331" s="14">
        <v>0.0</v>
      </c>
    </row>
    <row r="4332">
      <c r="A4332" s="14">
        <v>37.0</v>
      </c>
      <c r="B4332" s="14">
        <v>1.0</v>
      </c>
      <c r="C4332" s="34">
        <v>4.97</v>
      </c>
      <c r="D4332" s="36">
        <v>45164.0</v>
      </c>
      <c r="E4332" s="24"/>
      <c r="F4332" s="14">
        <v>4.97</v>
      </c>
      <c r="G4332" s="14">
        <v>134.32</v>
      </c>
      <c r="H4332" s="14">
        <v>2.7</v>
      </c>
      <c r="I4332" s="14" t="s">
        <v>6061</v>
      </c>
      <c r="J4332" s="14">
        <v>100.0</v>
      </c>
      <c r="K4332" s="14">
        <v>4.97</v>
      </c>
      <c r="L4332" s="14">
        <v>0.0</v>
      </c>
    </row>
    <row r="4333">
      <c r="A4333" s="14">
        <v>2.0</v>
      </c>
      <c r="B4333" s="14">
        <v>2.0</v>
      </c>
      <c r="C4333" s="34">
        <v>1.5</v>
      </c>
      <c r="D4333" s="36">
        <v>45164.0</v>
      </c>
      <c r="E4333" s="24"/>
      <c r="F4333" s="14">
        <v>0.75</v>
      </c>
      <c r="G4333" s="14">
        <v>750.0</v>
      </c>
      <c r="H4333" s="14">
        <v>100.0</v>
      </c>
      <c r="I4333" s="14" t="s">
        <v>6064</v>
      </c>
      <c r="J4333" s="14">
        <v>0.0</v>
      </c>
      <c r="K4333" s="14" t="s">
        <v>6012</v>
      </c>
      <c r="L4333" s="14">
        <v>0.0</v>
      </c>
    </row>
    <row r="4334">
      <c r="A4334" s="14">
        <v>125.0</v>
      </c>
      <c r="B4334" s="14">
        <v>0.0</v>
      </c>
      <c r="C4334" s="34">
        <v>6.28</v>
      </c>
      <c r="D4334" s="36">
        <v>45164.0</v>
      </c>
      <c r="E4334" s="24"/>
      <c r="F4334" s="14" t="s">
        <v>6012</v>
      </c>
      <c r="G4334" s="14">
        <v>50.24</v>
      </c>
      <c r="H4334" s="14">
        <v>0.0</v>
      </c>
      <c r="I4334" s="14" t="s">
        <v>6062</v>
      </c>
      <c r="J4334" s="14" t="s">
        <v>6012</v>
      </c>
      <c r="K4334" s="14">
        <v>3.14</v>
      </c>
      <c r="L4334" s="14">
        <v>0.0</v>
      </c>
    </row>
    <row r="4335">
      <c r="A4335" s="14">
        <v>43.0</v>
      </c>
      <c r="B4335" s="14">
        <v>2.0</v>
      </c>
      <c r="C4335" s="34">
        <v>5.7</v>
      </c>
      <c r="D4335" s="36">
        <v>45164.0</v>
      </c>
      <c r="E4335" s="24"/>
      <c r="F4335" s="14">
        <v>2.85</v>
      </c>
      <c r="G4335" s="14">
        <v>132.56</v>
      </c>
      <c r="H4335" s="14">
        <v>4.65</v>
      </c>
      <c r="I4335" s="14" t="s">
        <v>6054</v>
      </c>
      <c r="J4335" s="14">
        <v>50.0</v>
      </c>
      <c r="K4335" s="14">
        <v>5.7</v>
      </c>
      <c r="L4335" s="14">
        <v>2.0</v>
      </c>
    </row>
    <row r="4336">
      <c r="A4336" s="14">
        <v>294.0</v>
      </c>
      <c r="B4336" s="14">
        <v>5.0</v>
      </c>
      <c r="C4336" s="34">
        <v>3.73</v>
      </c>
      <c r="D4336" s="36">
        <v>45164.0</v>
      </c>
      <c r="E4336" s="24"/>
      <c r="F4336" s="14">
        <v>0.75</v>
      </c>
      <c r="G4336" s="14">
        <v>12.69</v>
      </c>
      <c r="H4336" s="14">
        <v>1.7</v>
      </c>
      <c r="I4336" s="14" t="s">
        <v>6060</v>
      </c>
      <c r="J4336" s="14">
        <v>40.0</v>
      </c>
      <c r="K4336" s="14">
        <v>1.86</v>
      </c>
      <c r="L4336" s="14">
        <v>0.0</v>
      </c>
    </row>
    <row r="4337">
      <c r="A4337" s="14">
        <v>9.0</v>
      </c>
      <c r="B4337" s="14">
        <v>0.0</v>
      </c>
      <c r="C4337" s="34">
        <v>2.8</v>
      </c>
      <c r="D4337" s="36">
        <v>45164.0</v>
      </c>
      <c r="E4337" s="24"/>
      <c r="F4337" s="14" t="s">
        <v>6012</v>
      </c>
      <c r="G4337" s="14">
        <v>311.11</v>
      </c>
      <c r="H4337" s="14">
        <v>0.0</v>
      </c>
      <c r="I4337" s="14" t="s">
        <v>6059</v>
      </c>
      <c r="J4337" s="14" t="s">
        <v>6012</v>
      </c>
      <c r="K4337" s="14" t="s">
        <v>6012</v>
      </c>
      <c r="L4337" s="14">
        <v>0.0</v>
      </c>
    </row>
    <row r="4338">
      <c r="A4338" s="14">
        <v>41.0</v>
      </c>
      <c r="B4338" s="14">
        <v>0.0</v>
      </c>
      <c r="C4338" s="34">
        <v>6.59</v>
      </c>
      <c r="D4338" s="36">
        <v>45164.0</v>
      </c>
      <c r="E4338" s="24"/>
      <c r="F4338" s="14" t="s">
        <v>6012</v>
      </c>
      <c r="G4338" s="14">
        <v>160.73</v>
      </c>
      <c r="H4338" s="14">
        <v>0.0</v>
      </c>
      <c r="I4338" s="14" t="s">
        <v>6042</v>
      </c>
      <c r="J4338" s="14" t="s">
        <v>6012</v>
      </c>
      <c r="K4338" s="14" t="s">
        <v>6012</v>
      </c>
      <c r="L4338" s="14">
        <v>0.0</v>
      </c>
    </row>
    <row r="4339">
      <c r="A4339" s="14">
        <v>530.0</v>
      </c>
      <c r="B4339" s="14">
        <v>5.0</v>
      </c>
      <c r="C4339" s="34">
        <v>6.24</v>
      </c>
      <c r="D4339" s="36">
        <v>45164.0</v>
      </c>
      <c r="E4339" s="24"/>
      <c r="F4339" s="14">
        <v>1.25</v>
      </c>
      <c r="G4339" s="14">
        <v>11.77</v>
      </c>
      <c r="H4339" s="14">
        <v>0.94</v>
      </c>
      <c r="I4339" s="14" t="s">
        <v>6051</v>
      </c>
      <c r="J4339" s="14">
        <v>0.0</v>
      </c>
      <c r="K4339" s="14" t="s">
        <v>6012</v>
      </c>
      <c r="L4339" s="14">
        <v>0.0</v>
      </c>
    </row>
    <row r="4340">
      <c r="A4340" s="14">
        <v>27.0</v>
      </c>
      <c r="B4340" s="14">
        <v>0.0</v>
      </c>
      <c r="C4340" s="34">
        <v>2.62</v>
      </c>
      <c r="D4340" s="36">
        <v>45165.0</v>
      </c>
      <c r="E4340" s="24"/>
      <c r="F4340" s="14" t="s">
        <v>6012</v>
      </c>
      <c r="G4340" s="14">
        <v>97.04</v>
      </c>
      <c r="H4340" s="14">
        <v>0.0</v>
      </c>
      <c r="I4340" s="14" t="s">
        <v>6061</v>
      </c>
      <c r="J4340" s="14" t="s">
        <v>6012</v>
      </c>
      <c r="K4340" s="14" t="s">
        <v>6012</v>
      </c>
      <c r="L4340" s="14">
        <v>0.0</v>
      </c>
    </row>
    <row r="4341">
      <c r="A4341" s="14">
        <v>6.0</v>
      </c>
      <c r="B4341" s="14">
        <v>0.0</v>
      </c>
      <c r="C4341" s="34">
        <v>0.19</v>
      </c>
      <c r="D4341" s="36">
        <v>45165.0</v>
      </c>
      <c r="E4341" s="24"/>
      <c r="F4341" s="14" t="s">
        <v>6012</v>
      </c>
      <c r="G4341" s="14">
        <v>31.67</v>
      </c>
      <c r="H4341" s="14">
        <v>0.0</v>
      </c>
      <c r="I4341" s="14" t="s">
        <v>6059</v>
      </c>
      <c r="J4341" s="14" t="s">
        <v>6012</v>
      </c>
      <c r="K4341" s="14" t="s">
        <v>6012</v>
      </c>
      <c r="L4341" s="14">
        <v>0.0</v>
      </c>
    </row>
    <row r="4342">
      <c r="A4342" s="14">
        <v>35.0</v>
      </c>
      <c r="B4342" s="14">
        <v>1.0</v>
      </c>
      <c r="C4342" s="34">
        <v>3.35</v>
      </c>
      <c r="D4342" s="36">
        <v>45165.0</v>
      </c>
      <c r="E4342" s="24"/>
      <c r="F4342" s="14">
        <v>3.35</v>
      </c>
      <c r="G4342" s="14">
        <v>95.71</v>
      </c>
      <c r="H4342" s="14">
        <v>2.86</v>
      </c>
      <c r="I4342" s="14" t="s">
        <v>6060</v>
      </c>
      <c r="J4342" s="14">
        <v>200.0</v>
      </c>
      <c r="K4342" s="14">
        <v>1.68</v>
      </c>
      <c r="L4342" s="14">
        <v>0.0</v>
      </c>
    </row>
    <row r="4343">
      <c r="A4343" s="14">
        <v>18.0</v>
      </c>
      <c r="B4343" s="14">
        <v>0.0</v>
      </c>
      <c r="C4343" s="34">
        <v>3.18</v>
      </c>
      <c r="D4343" s="36">
        <v>45165.0</v>
      </c>
      <c r="E4343" s="24"/>
      <c r="F4343" s="14" t="s">
        <v>6012</v>
      </c>
      <c r="G4343" s="14">
        <v>176.67</v>
      </c>
      <c r="H4343" s="14">
        <v>0.0</v>
      </c>
      <c r="I4343" s="14" t="s">
        <v>6054</v>
      </c>
      <c r="J4343" s="14" t="s">
        <v>6012</v>
      </c>
      <c r="K4343" s="14" t="s">
        <v>6012</v>
      </c>
      <c r="L4343" s="14">
        <v>0.0</v>
      </c>
    </row>
    <row r="4344">
      <c r="A4344" s="14">
        <v>56.0</v>
      </c>
      <c r="B4344" s="14">
        <v>0.0</v>
      </c>
      <c r="C4344" s="34">
        <v>4.45</v>
      </c>
      <c r="D4344" s="36">
        <v>45165.0</v>
      </c>
      <c r="E4344" s="24"/>
      <c r="F4344" s="14" t="s">
        <v>6012</v>
      </c>
      <c r="G4344" s="14">
        <v>79.46</v>
      </c>
      <c r="H4344" s="14">
        <v>0.0</v>
      </c>
      <c r="I4344" s="14" t="s">
        <v>6042</v>
      </c>
      <c r="J4344" s="14" t="s">
        <v>6012</v>
      </c>
      <c r="K4344" s="14" t="s">
        <v>6012</v>
      </c>
      <c r="L4344" s="14">
        <v>0.0</v>
      </c>
    </row>
    <row r="4345">
      <c r="A4345" s="14">
        <v>7.0</v>
      </c>
      <c r="B4345" s="14">
        <v>2.0</v>
      </c>
      <c r="C4345" s="34">
        <v>5.25</v>
      </c>
      <c r="D4345" s="36">
        <v>45165.0</v>
      </c>
      <c r="E4345" s="24"/>
      <c r="F4345" s="14">
        <v>2.62</v>
      </c>
      <c r="G4345" s="14">
        <v>750.0</v>
      </c>
      <c r="H4345" s="14">
        <v>28.57</v>
      </c>
      <c r="I4345" s="14" t="s">
        <v>6064</v>
      </c>
      <c r="J4345" s="14">
        <v>0.0</v>
      </c>
      <c r="K4345" s="14" t="s">
        <v>6012</v>
      </c>
      <c r="L4345" s="14">
        <v>0.0</v>
      </c>
    </row>
    <row r="4346">
      <c r="A4346" s="14">
        <v>38.0</v>
      </c>
      <c r="B4346" s="14">
        <v>0.0</v>
      </c>
      <c r="C4346" s="34">
        <v>5.15</v>
      </c>
      <c r="D4346" s="36">
        <v>45165.0</v>
      </c>
      <c r="E4346" s="24"/>
      <c r="F4346" s="14" t="s">
        <v>6012</v>
      </c>
      <c r="G4346" s="14">
        <v>135.53</v>
      </c>
      <c r="H4346" s="14">
        <v>0.0</v>
      </c>
      <c r="I4346" s="14" t="s">
        <v>6062</v>
      </c>
      <c r="J4346" s="14" t="s">
        <v>6012</v>
      </c>
      <c r="K4346" s="14" t="s">
        <v>6012</v>
      </c>
      <c r="L4346" s="14">
        <v>0.0</v>
      </c>
    </row>
    <row r="4347">
      <c r="A4347" s="14">
        <v>17.0</v>
      </c>
      <c r="B4347" s="14">
        <v>0.0</v>
      </c>
      <c r="C4347" s="34">
        <v>2.85</v>
      </c>
      <c r="D4347" s="36">
        <v>45165.0</v>
      </c>
      <c r="E4347" s="24"/>
      <c r="F4347" s="14" t="s">
        <v>6012</v>
      </c>
      <c r="G4347" s="14">
        <v>167.65</v>
      </c>
      <c r="H4347" s="14">
        <v>0.0</v>
      </c>
      <c r="I4347" s="14" t="s">
        <v>6063</v>
      </c>
      <c r="J4347" s="14" t="s">
        <v>6012</v>
      </c>
      <c r="K4347" s="14" t="s">
        <v>6012</v>
      </c>
      <c r="L4347" s="14">
        <v>0.0</v>
      </c>
    </row>
    <row r="4348">
      <c r="A4348" s="14">
        <v>20.0</v>
      </c>
      <c r="B4348" s="14">
        <v>1.0</v>
      </c>
      <c r="C4348" s="34">
        <v>4.58</v>
      </c>
      <c r="D4348" s="36">
        <v>45165.0</v>
      </c>
      <c r="E4348" s="24"/>
      <c r="F4348" s="14">
        <v>4.58</v>
      </c>
      <c r="G4348" s="14">
        <v>229.0</v>
      </c>
      <c r="H4348" s="14">
        <v>5.0</v>
      </c>
      <c r="I4348" s="14" t="s">
        <v>6058</v>
      </c>
      <c r="J4348" s="14">
        <v>0.0</v>
      </c>
      <c r="K4348" s="14" t="s">
        <v>6012</v>
      </c>
      <c r="L4348" s="14">
        <v>1.0</v>
      </c>
    </row>
    <row r="4349">
      <c r="A4349" s="14">
        <v>515.0</v>
      </c>
      <c r="B4349" s="14">
        <v>2.0</v>
      </c>
      <c r="C4349" s="34">
        <v>6.33</v>
      </c>
      <c r="D4349" s="36">
        <v>45165.0</v>
      </c>
      <c r="E4349" s="24"/>
      <c r="F4349" s="14">
        <v>3.16</v>
      </c>
      <c r="G4349" s="14">
        <v>12.29</v>
      </c>
      <c r="H4349" s="14">
        <v>0.39</v>
      </c>
      <c r="I4349" s="14" t="s">
        <v>6050</v>
      </c>
      <c r="J4349" s="14">
        <v>0.0</v>
      </c>
      <c r="K4349" s="14" t="s">
        <v>6012</v>
      </c>
      <c r="L4349" s="14">
        <v>0.0</v>
      </c>
    </row>
    <row r="4350">
      <c r="A4350" s="14">
        <v>20.0</v>
      </c>
      <c r="B4350" s="14">
        <v>0.0</v>
      </c>
      <c r="C4350" s="34">
        <v>2.72</v>
      </c>
      <c r="D4350" s="36">
        <v>45165.0</v>
      </c>
      <c r="E4350" s="24"/>
      <c r="F4350" s="14" t="s">
        <v>6012</v>
      </c>
      <c r="G4350" s="14">
        <v>136.0</v>
      </c>
      <c r="H4350" s="14">
        <v>0.0</v>
      </c>
      <c r="I4350" s="14" t="s">
        <v>6057</v>
      </c>
      <c r="J4350" s="14" t="s">
        <v>6012</v>
      </c>
      <c r="K4350" s="14" t="s">
        <v>6012</v>
      </c>
      <c r="L4350" s="14">
        <v>0.0</v>
      </c>
    </row>
    <row r="4351">
      <c r="A4351" s="14">
        <v>338.0</v>
      </c>
      <c r="B4351" s="14">
        <v>7.0</v>
      </c>
      <c r="C4351" s="34">
        <v>5.2</v>
      </c>
      <c r="D4351" s="36">
        <v>45165.0</v>
      </c>
      <c r="E4351" s="24"/>
      <c r="F4351" s="14">
        <v>0.74</v>
      </c>
      <c r="G4351" s="14">
        <v>15.38</v>
      </c>
      <c r="H4351" s="14">
        <v>2.07</v>
      </c>
      <c r="I4351" s="14" t="s">
        <v>6051</v>
      </c>
      <c r="J4351" s="14">
        <v>0.0</v>
      </c>
      <c r="K4351" s="14" t="s">
        <v>6012</v>
      </c>
      <c r="L4351" s="14">
        <v>0.0</v>
      </c>
    </row>
    <row r="4352">
      <c r="A4352" s="14">
        <v>696.0</v>
      </c>
      <c r="B4352" s="14">
        <v>5.0</v>
      </c>
      <c r="C4352" s="34">
        <v>12.33</v>
      </c>
      <c r="D4352" s="36">
        <v>45166.0</v>
      </c>
      <c r="E4352" s="24"/>
      <c r="F4352" s="14">
        <v>2.47</v>
      </c>
      <c r="G4352" s="14">
        <v>17.72</v>
      </c>
      <c r="H4352" s="14">
        <v>0.72</v>
      </c>
      <c r="I4352" s="14" t="s">
        <v>6060</v>
      </c>
      <c r="J4352" s="14">
        <v>0.0</v>
      </c>
      <c r="K4352" s="14" t="s">
        <v>6012</v>
      </c>
      <c r="L4352" s="14">
        <v>0.0</v>
      </c>
    </row>
    <row r="4353">
      <c r="A4353" s="14">
        <v>87.0</v>
      </c>
      <c r="B4353" s="14">
        <v>2.0</v>
      </c>
      <c r="C4353" s="34">
        <v>12.09</v>
      </c>
      <c r="D4353" s="36">
        <v>45166.0</v>
      </c>
      <c r="E4353" s="24"/>
      <c r="F4353" s="14">
        <v>6.04</v>
      </c>
      <c r="G4353" s="14">
        <v>138.97</v>
      </c>
      <c r="H4353" s="14">
        <v>2.3</v>
      </c>
      <c r="I4353" s="14" t="s">
        <v>6058</v>
      </c>
      <c r="J4353" s="14">
        <v>0.0</v>
      </c>
      <c r="K4353" s="14" t="s">
        <v>6012</v>
      </c>
      <c r="L4353" s="14">
        <v>1.0</v>
      </c>
    </row>
    <row r="4354">
      <c r="A4354" s="14">
        <v>27.0</v>
      </c>
      <c r="B4354" s="14">
        <v>0.0</v>
      </c>
      <c r="C4354" s="34">
        <v>12.44</v>
      </c>
      <c r="D4354" s="36">
        <v>45166.0</v>
      </c>
      <c r="E4354" s="24"/>
      <c r="F4354" s="14" t="s">
        <v>6012</v>
      </c>
      <c r="G4354" s="14">
        <v>460.74</v>
      </c>
      <c r="H4354" s="14">
        <v>0.0</v>
      </c>
      <c r="I4354" s="14" t="s">
        <v>6059</v>
      </c>
      <c r="J4354" s="14" t="s">
        <v>6012</v>
      </c>
      <c r="K4354" s="14" t="s">
        <v>6012</v>
      </c>
      <c r="L4354" s="14">
        <v>0.0</v>
      </c>
    </row>
    <row r="4355">
      <c r="A4355" s="14">
        <v>140.0</v>
      </c>
      <c r="B4355" s="14">
        <v>1.0</v>
      </c>
      <c r="C4355" s="34">
        <v>11.45</v>
      </c>
      <c r="D4355" s="36">
        <v>45166.0</v>
      </c>
      <c r="E4355" s="24"/>
      <c r="F4355" s="14">
        <v>11.45</v>
      </c>
      <c r="G4355" s="14">
        <v>81.79</v>
      </c>
      <c r="H4355" s="14">
        <v>0.71</v>
      </c>
      <c r="I4355" s="14" t="s">
        <v>6061</v>
      </c>
      <c r="J4355" s="14">
        <v>0.0</v>
      </c>
      <c r="K4355" s="14" t="s">
        <v>6012</v>
      </c>
      <c r="L4355" s="14">
        <v>0.0</v>
      </c>
    </row>
    <row r="4356">
      <c r="A4356" s="14">
        <v>99.0</v>
      </c>
      <c r="B4356" s="14">
        <v>0.0</v>
      </c>
      <c r="C4356" s="34">
        <v>15.0</v>
      </c>
      <c r="D4356" s="36">
        <v>45166.0</v>
      </c>
      <c r="E4356" s="24"/>
      <c r="F4356" s="14" t="s">
        <v>6012</v>
      </c>
      <c r="G4356" s="14">
        <v>151.52</v>
      </c>
      <c r="H4356" s="14">
        <v>0.0</v>
      </c>
      <c r="I4356" s="14" t="s">
        <v>6054</v>
      </c>
      <c r="J4356" s="14" t="s">
        <v>6012</v>
      </c>
      <c r="K4356" s="14" t="s">
        <v>6012</v>
      </c>
      <c r="L4356" s="14">
        <v>0.0</v>
      </c>
    </row>
    <row r="4357">
      <c r="A4357" s="14">
        <v>6.0</v>
      </c>
      <c r="B4357" s="14">
        <v>4.0</v>
      </c>
      <c r="C4357" s="34">
        <v>4.5</v>
      </c>
      <c r="D4357" s="36">
        <v>45166.0</v>
      </c>
      <c r="E4357" s="24"/>
      <c r="F4357" s="14">
        <v>1.12</v>
      </c>
      <c r="G4357" s="14">
        <v>750.0</v>
      </c>
      <c r="H4357" s="14">
        <v>66.67</v>
      </c>
      <c r="I4357" s="14" t="s">
        <v>6064</v>
      </c>
      <c r="J4357" s="14">
        <v>0.0</v>
      </c>
      <c r="K4357" s="14" t="s">
        <v>6012</v>
      </c>
      <c r="L4357" s="14">
        <v>0.0</v>
      </c>
    </row>
    <row r="4358">
      <c r="A4358" s="14">
        <v>851.0</v>
      </c>
      <c r="B4358" s="14">
        <v>6.0</v>
      </c>
      <c r="C4358" s="34">
        <v>10.95</v>
      </c>
      <c r="D4358" s="36">
        <v>45166.0</v>
      </c>
      <c r="E4358" s="24"/>
      <c r="F4358" s="14">
        <v>1.82</v>
      </c>
      <c r="G4358" s="14">
        <v>12.87</v>
      </c>
      <c r="H4358" s="14">
        <v>0.71</v>
      </c>
      <c r="I4358" s="14" t="s">
        <v>6051</v>
      </c>
      <c r="J4358" s="14">
        <v>0.0</v>
      </c>
      <c r="K4358" s="14" t="s">
        <v>6012</v>
      </c>
      <c r="L4358" s="14">
        <v>0.0</v>
      </c>
    </row>
    <row r="4359">
      <c r="A4359" s="14">
        <v>292.0</v>
      </c>
      <c r="B4359" s="14">
        <v>2.0</v>
      </c>
      <c r="C4359" s="34">
        <v>13.53</v>
      </c>
      <c r="D4359" s="36">
        <v>45166.0</v>
      </c>
      <c r="E4359" s="24"/>
      <c r="F4359" s="14">
        <v>6.76</v>
      </c>
      <c r="G4359" s="14">
        <v>46.34</v>
      </c>
      <c r="H4359" s="14">
        <v>0.68</v>
      </c>
      <c r="I4359" s="14" t="s">
        <v>6042</v>
      </c>
      <c r="J4359" s="14">
        <v>50.0</v>
      </c>
      <c r="K4359" s="14">
        <v>13.53</v>
      </c>
      <c r="L4359" s="14">
        <v>0.0</v>
      </c>
    </row>
    <row r="4360">
      <c r="A4360" s="14">
        <v>888.0</v>
      </c>
      <c r="B4360" s="14">
        <v>3.0</v>
      </c>
      <c r="C4360" s="34">
        <v>11.69</v>
      </c>
      <c r="D4360" s="36">
        <v>45166.0</v>
      </c>
      <c r="E4360" s="24"/>
      <c r="F4360" s="14">
        <v>3.9</v>
      </c>
      <c r="G4360" s="14">
        <v>13.16</v>
      </c>
      <c r="H4360" s="14">
        <v>0.34</v>
      </c>
      <c r="I4360" s="14" t="s">
        <v>6050</v>
      </c>
      <c r="J4360" s="14">
        <v>0.0</v>
      </c>
      <c r="K4360" s="14" t="s">
        <v>6012</v>
      </c>
      <c r="L4360" s="14">
        <v>0.0</v>
      </c>
    </row>
    <row r="4361">
      <c r="A4361" s="14">
        <v>55.0</v>
      </c>
      <c r="B4361" s="14">
        <v>0.0</v>
      </c>
      <c r="C4361" s="34">
        <v>13.83</v>
      </c>
      <c r="D4361" s="36">
        <v>45166.0</v>
      </c>
      <c r="E4361" s="24"/>
      <c r="F4361" s="14" t="s">
        <v>6012</v>
      </c>
      <c r="G4361" s="14">
        <v>251.45</v>
      </c>
      <c r="H4361" s="14">
        <v>0.0</v>
      </c>
      <c r="I4361" s="14" t="s">
        <v>6063</v>
      </c>
      <c r="J4361" s="14" t="s">
        <v>6012</v>
      </c>
      <c r="K4361" s="14" t="s">
        <v>6012</v>
      </c>
      <c r="L4361" s="14">
        <v>0.0</v>
      </c>
    </row>
    <row r="4362">
      <c r="A4362" s="14">
        <v>134.0</v>
      </c>
      <c r="B4362" s="14">
        <v>0.0</v>
      </c>
      <c r="C4362" s="34">
        <v>12.58</v>
      </c>
      <c r="D4362" s="36">
        <v>45166.0</v>
      </c>
      <c r="E4362" s="24"/>
      <c r="F4362" s="14" t="s">
        <v>6012</v>
      </c>
      <c r="G4362" s="14">
        <v>93.88</v>
      </c>
      <c r="H4362" s="14">
        <v>0.0</v>
      </c>
      <c r="I4362" s="14" t="s">
        <v>6062</v>
      </c>
      <c r="J4362" s="14" t="s">
        <v>6012</v>
      </c>
      <c r="K4362" s="14" t="s">
        <v>6012</v>
      </c>
      <c r="L4362" s="14">
        <v>0.0</v>
      </c>
    </row>
    <row r="4363">
      <c r="A4363" s="14">
        <v>66.0</v>
      </c>
      <c r="B4363" s="14">
        <v>0.0</v>
      </c>
      <c r="C4363" s="34">
        <v>14.16</v>
      </c>
      <c r="D4363" s="36">
        <v>45166.0</v>
      </c>
      <c r="E4363" s="24"/>
      <c r="F4363" s="14" t="s">
        <v>6012</v>
      </c>
      <c r="G4363" s="14">
        <v>214.55</v>
      </c>
      <c r="H4363" s="14">
        <v>0.0</v>
      </c>
      <c r="I4363" s="14" t="s">
        <v>6057</v>
      </c>
      <c r="J4363" s="14" t="s">
        <v>6012</v>
      </c>
      <c r="K4363" s="14" t="s">
        <v>6012</v>
      </c>
      <c r="L4363" s="14">
        <v>0.0</v>
      </c>
    </row>
    <row r="4364">
      <c r="A4364" s="14">
        <v>53.0</v>
      </c>
      <c r="B4364" s="14">
        <v>1.0</v>
      </c>
      <c r="C4364" s="34">
        <v>12.46</v>
      </c>
      <c r="D4364" s="36">
        <v>45167.0</v>
      </c>
      <c r="E4364" s="24"/>
      <c r="F4364" s="14">
        <v>12.46</v>
      </c>
      <c r="G4364" s="14">
        <v>235.09</v>
      </c>
      <c r="H4364" s="14">
        <v>1.89</v>
      </c>
      <c r="I4364" s="14" t="s">
        <v>6058</v>
      </c>
      <c r="J4364" s="14">
        <v>200.0</v>
      </c>
      <c r="K4364" s="14">
        <v>6.23</v>
      </c>
      <c r="L4364" s="14">
        <v>0.0</v>
      </c>
    </row>
    <row r="4365">
      <c r="A4365" s="14">
        <v>191.0</v>
      </c>
      <c r="B4365" s="14">
        <v>1.0</v>
      </c>
      <c r="C4365" s="34">
        <v>11.81</v>
      </c>
      <c r="D4365" s="36">
        <v>45167.0</v>
      </c>
      <c r="E4365" s="24"/>
      <c r="F4365" s="14">
        <v>11.81</v>
      </c>
      <c r="G4365" s="14">
        <v>61.83</v>
      </c>
      <c r="H4365" s="14">
        <v>0.52</v>
      </c>
      <c r="I4365" s="14" t="s">
        <v>6062</v>
      </c>
      <c r="J4365" s="14">
        <v>100.0</v>
      </c>
      <c r="K4365" s="14">
        <v>11.81</v>
      </c>
      <c r="L4365" s="14">
        <v>0.0</v>
      </c>
    </row>
    <row r="4366">
      <c r="A4366" s="14">
        <v>930.0</v>
      </c>
      <c r="B4366" s="14">
        <v>6.0</v>
      </c>
      <c r="C4366" s="34">
        <v>12.65</v>
      </c>
      <c r="D4366" s="36">
        <v>45167.0</v>
      </c>
      <c r="E4366" s="24"/>
      <c r="F4366" s="14">
        <v>2.11</v>
      </c>
      <c r="G4366" s="14">
        <v>13.6</v>
      </c>
      <c r="H4366" s="14">
        <v>0.65</v>
      </c>
      <c r="I4366" s="14" t="s">
        <v>6051</v>
      </c>
      <c r="J4366" s="14">
        <v>16.67</v>
      </c>
      <c r="K4366" s="14">
        <v>12.65</v>
      </c>
      <c r="L4366" s="14">
        <v>0.0</v>
      </c>
    </row>
    <row r="4367">
      <c r="A4367" s="14">
        <v>46.0</v>
      </c>
      <c r="B4367" s="14">
        <v>0.0</v>
      </c>
      <c r="C4367" s="34">
        <v>12.8</v>
      </c>
      <c r="D4367" s="36">
        <v>45167.0</v>
      </c>
      <c r="E4367" s="24"/>
      <c r="F4367" s="14" t="s">
        <v>6012</v>
      </c>
      <c r="G4367" s="14">
        <v>278.26</v>
      </c>
      <c r="H4367" s="14">
        <v>0.0</v>
      </c>
      <c r="I4367" s="14" t="s">
        <v>6063</v>
      </c>
      <c r="J4367" s="14" t="s">
        <v>6012</v>
      </c>
      <c r="K4367" s="14">
        <v>12.8</v>
      </c>
      <c r="L4367" s="14">
        <v>0.0</v>
      </c>
    </row>
    <row r="4368">
      <c r="A4368" s="14">
        <v>120.0</v>
      </c>
      <c r="B4368" s="14">
        <v>1.0</v>
      </c>
      <c r="C4368" s="34">
        <v>11.14</v>
      </c>
      <c r="D4368" s="36">
        <v>45167.0</v>
      </c>
      <c r="E4368" s="24"/>
      <c r="F4368" s="14">
        <v>11.14</v>
      </c>
      <c r="G4368" s="14">
        <v>92.83</v>
      </c>
      <c r="H4368" s="14">
        <v>0.83</v>
      </c>
      <c r="I4368" s="14" t="s">
        <v>6054</v>
      </c>
      <c r="J4368" s="14">
        <v>0.0</v>
      </c>
      <c r="K4368" s="14" t="s">
        <v>6012</v>
      </c>
      <c r="L4368" s="14">
        <v>0.0</v>
      </c>
    </row>
    <row r="4369">
      <c r="A4369" s="14">
        <v>896.0</v>
      </c>
      <c r="B4369" s="14">
        <v>2.0</v>
      </c>
      <c r="C4369" s="34">
        <v>11.84</v>
      </c>
      <c r="D4369" s="36">
        <v>45167.0</v>
      </c>
      <c r="E4369" s="24"/>
      <c r="F4369" s="14">
        <v>5.92</v>
      </c>
      <c r="G4369" s="14">
        <v>13.21</v>
      </c>
      <c r="H4369" s="14">
        <v>0.22</v>
      </c>
      <c r="I4369" s="14" t="s">
        <v>6050</v>
      </c>
      <c r="J4369" s="14">
        <v>50.0</v>
      </c>
      <c r="K4369" s="14">
        <v>11.84</v>
      </c>
      <c r="L4369" s="14">
        <v>0.0</v>
      </c>
    </row>
    <row r="4370">
      <c r="A4370" s="14">
        <v>55.0</v>
      </c>
      <c r="B4370" s="14">
        <v>0.0</v>
      </c>
      <c r="C4370" s="34">
        <v>14.82</v>
      </c>
      <c r="D4370" s="36">
        <v>45167.0</v>
      </c>
      <c r="E4370" s="24"/>
      <c r="F4370" s="14" t="s">
        <v>6012</v>
      </c>
      <c r="G4370" s="14">
        <v>269.45</v>
      </c>
      <c r="H4370" s="14">
        <v>0.0</v>
      </c>
      <c r="I4370" s="14" t="s">
        <v>6057</v>
      </c>
      <c r="J4370" s="14" t="s">
        <v>6012</v>
      </c>
      <c r="K4370" s="14" t="s">
        <v>6012</v>
      </c>
      <c r="L4370" s="14">
        <v>0.0</v>
      </c>
    </row>
    <row r="4371">
      <c r="A4371" s="14">
        <v>239.0</v>
      </c>
      <c r="B4371" s="14">
        <v>1.0</v>
      </c>
      <c r="C4371" s="34">
        <v>14.68</v>
      </c>
      <c r="D4371" s="36">
        <v>45167.0</v>
      </c>
      <c r="E4371" s="24"/>
      <c r="F4371" s="14">
        <v>14.68</v>
      </c>
      <c r="G4371" s="14">
        <v>61.42</v>
      </c>
      <c r="H4371" s="14">
        <v>0.42</v>
      </c>
      <c r="I4371" s="14" t="s">
        <v>6042</v>
      </c>
      <c r="J4371" s="14">
        <v>400.0</v>
      </c>
      <c r="K4371" s="14">
        <v>3.67</v>
      </c>
      <c r="L4371" s="14">
        <v>0.0</v>
      </c>
    </row>
    <row r="4372">
      <c r="A4372" s="14">
        <v>113.0</v>
      </c>
      <c r="B4372" s="14">
        <v>3.0</v>
      </c>
      <c r="C4372" s="34">
        <v>13.38</v>
      </c>
      <c r="D4372" s="36">
        <v>45167.0</v>
      </c>
      <c r="E4372" s="24"/>
      <c r="F4372" s="14">
        <v>4.46</v>
      </c>
      <c r="G4372" s="14">
        <v>118.41</v>
      </c>
      <c r="H4372" s="14">
        <v>2.65</v>
      </c>
      <c r="I4372" s="14" t="s">
        <v>6061</v>
      </c>
      <c r="J4372" s="14">
        <v>0.0</v>
      </c>
      <c r="K4372" s="14" t="s">
        <v>6012</v>
      </c>
      <c r="L4372" s="14">
        <v>0.0</v>
      </c>
    </row>
    <row r="4373">
      <c r="A4373" s="14">
        <v>44.0</v>
      </c>
      <c r="B4373" s="14">
        <v>1.0</v>
      </c>
      <c r="C4373" s="34">
        <v>13.37</v>
      </c>
      <c r="D4373" s="36">
        <v>45167.0</v>
      </c>
      <c r="E4373" s="24"/>
      <c r="F4373" s="14">
        <v>13.37</v>
      </c>
      <c r="G4373" s="14">
        <v>303.86</v>
      </c>
      <c r="H4373" s="14">
        <v>2.27</v>
      </c>
      <c r="I4373" s="14" t="s">
        <v>6059</v>
      </c>
      <c r="J4373" s="14">
        <v>0.0</v>
      </c>
      <c r="K4373" s="14" t="s">
        <v>6012</v>
      </c>
      <c r="L4373" s="14">
        <v>0.0</v>
      </c>
    </row>
    <row r="4374">
      <c r="A4374" s="14">
        <v>542.0</v>
      </c>
      <c r="B4374" s="14">
        <v>6.0</v>
      </c>
      <c r="C4374" s="34">
        <v>11.72</v>
      </c>
      <c r="D4374" s="36">
        <v>45167.0</v>
      </c>
      <c r="E4374" s="24"/>
      <c r="F4374" s="14">
        <v>1.95</v>
      </c>
      <c r="G4374" s="14">
        <v>21.62</v>
      </c>
      <c r="H4374" s="14">
        <v>1.11</v>
      </c>
      <c r="I4374" s="14" t="s">
        <v>6060</v>
      </c>
      <c r="J4374" s="14">
        <v>16.67</v>
      </c>
      <c r="K4374" s="14">
        <v>11.72</v>
      </c>
      <c r="L4374" s="14">
        <v>0.0</v>
      </c>
    </row>
    <row r="4375">
      <c r="A4375" s="14">
        <v>3.0</v>
      </c>
      <c r="B4375" s="14">
        <v>1.0</v>
      </c>
      <c r="C4375" s="34">
        <v>2.25</v>
      </c>
      <c r="D4375" s="36">
        <v>45167.0</v>
      </c>
      <c r="E4375" s="24"/>
      <c r="F4375" s="14">
        <v>2.25</v>
      </c>
      <c r="G4375" s="14">
        <v>750.0</v>
      </c>
      <c r="H4375" s="14">
        <v>33.33</v>
      </c>
      <c r="I4375" s="14" t="s">
        <v>6064</v>
      </c>
      <c r="J4375" s="14">
        <v>0.0</v>
      </c>
      <c r="K4375" s="14" t="s">
        <v>6012</v>
      </c>
      <c r="L4375" s="14">
        <v>0.0</v>
      </c>
    </row>
    <row r="4376">
      <c r="A4376" s="14">
        <v>37.0</v>
      </c>
      <c r="B4376" s="14">
        <v>0.0</v>
      </c>
      <c r="C4376" s="34">
        <v>12.44</v>
      </c>
      <c r="D4376" s="36">
        <v>45168.0</v>
      </c>
      <c r="E4376" s="24"/>
      <c r="F4376" s="14" t="s">
        <v>6012</v>
      </c>
      <c r="G4376" s="14">
        <v>336.22</v>
      </c>
      <c r="H4376" s="14">
        <v>0.0</v>
      </c>
      <c r="I4376" s="14" t="s">
        <v>6059</v>
      </c>
      <c r="J4376" s="14" t="s">
        <v>6012</v>
      </c>
      <c r="K4376" s="14" t="s">
        <v>6012</v>
      </c>
      <c r="L4376" s="14">
        <v>0.0</v>
      </c>
    </row>
    <row r="4377">
      <c r="A4377" s="14">
        <v>205.0</v>
      </c>
      <c r="B4377" s="14">
        <v>4.0</v>
      </c>
      <c r="C4377" s="34">
        <v>12.07</v>
      </c>
      <c r="D4377" s="36">
        <v>45168.0</v>
      </c>
      <c r="E4377" s="24"/>
      <c r="F4377" s="14">
        <v>3.02</v>
      </c>
      <c r="G4377" s="14">
        <v>58.88</v>
      </c>
      <c r="H4377" s="14">
        <v>1.95</v>
      </c>
      <c r="I4377" s="14" t="s">
        <v>6062</v>
      </c>
      <c r="J4377" s="14">
        <v>50.0</v>
      </c>
      <c r="K4377" s="14">
        <v>6.04</v>
      </c>
      <c r="L4377" s="14">
        <v>0.0</v>
      </c>
    </row>
    <row r="4378">
      <c r="A4378" s="14">
        <v>43.0</v>
      </c>
      <c r="B4378" s="14">
        <v>1.0</v>
      </c>
      <c r="C4378" s="34">
        <v>13.04</v>
      </c>
      <c r="D4378" s="36">
        <v>45168.0</v>
      </c>
      <c r="E4378" s="24"/>
      <c r="F4378" s="14">
        <v>13.04</v>
      </c>
      <c r="G4378" s="14">
        <v>303.26</v>
      </c>
      <c r="H4378" s="14">
        <v>2.33</v>
      </c>
      <c r="I4378" s="14" t="s">
        <v>6057</v>
      </c>
      <c r="J4378" s="14">
        <v>0.0</v>
      </c>
      <c r="K4378" s="14" t="s">
        <v>6012</v>
      </c>
      <c r="L4378" s="14">
        <v>0.0</v>
      </c>
    </row>
    <row r="4379">
      <c r="A4379" s="14">
        <v>753.0</v>
      </c>
      <c r="B4379" s="14">
        <v>6.0</v>
      </c>
      <c r="C4379" s="34">
        <v>9.3</v>
      </c>
      <c r="D4379" s="36">
        <v>45168.0</v>
      </c>
      <c r="E4379" s="24"/>
      <c r="F4379" s="14">
        <v>1.55</v>
      </c>
      <c r="G4379" s="14">
        <v>12.35</v>
      </c>
      <c r="H4379" s="14">
        <v>0.8</v>
      </c>
      <c r="I4379" s="14" t="s">
        <v>6050</v>
      </c>
      <c r="J4379" s="14">
        <v>16.67</v>
      </c>
      <c r="K4379" s="14">
        <v>9.3</v>
      </c>
      <c r="L4379" s="14">
        <v>0.0</v>
      </c>
    </row>
    <row r="4380">
      <c r="A4380" s="14">
        <v>2.0</v>
      </c>
      <c r="B4380" s="14">
        <v>1.0</v>
      </c>
      <c r="C4380" s="34">
        <v>1.5</v>
      </c>
      <c r="D4380" s="36">
        <v>45168.0</v>
      </c>
      <c r="E4380" s="24"/>
      <c r="F4380" s="14">
        <v>1.5</v>
      </c>
      <c r="G4380" s="14">
        <v>750.0</v>
      </c>
      <c r="H4380" s="14">
        <v>50.0</v>
      </c>
      <c r="I4380" s="14" t="s">
        <v>6064</v>
      </c>
      <c r="J4380" s="14">
        <v>0.0</v>
      </c>
      <c r="K4380" s="14" t="s">
        <v>6012</v>
      </c>
      <c r="L4380" s="14">
        <v>0.0</v>
      </c>
    </row>
    <row r="4381">
      <c r="A4381" s="14">
        <v>355.0</v>
      </c>
      <c r="B4381" s="14">
        <v>3.0</v>
      </c>
      <c r="C4381" s="34">
        <v>11.56</v>
      </c>
      <c r="D4381" s="36">
        <v>45168.0</v>
      </c>
      <c r="E4381" s="24"/>
      <c r="F4381" s="14">
        <v>3.85</v>
      </c>
      <c r="G4381" s="14">
        <v>32.56</v>
      </c>
      <c r="H4381" s="14">
        <v>0.85</v>
      </c>
      <c r="I4381" s="14" t="s">
        <v>6060</v>
      </c>
      <c r="J4381" s="14">
        <v>100.0</v>
      </c>
      <c r="K4381" s="14">
        <v>3.85</v>
      </c>
      <c r="L4381" s="14">
        <v>0.0</v>
      </c>
    </row>
    <row r="4382">
      <c r="A4382" s="14">
        <v>39.0</v>
      </c>
      <c r="B4382" s="14">
        <v>0.0</v>
      </c>
      <c r="C4382" s="34">
        <v>12.85</v>
      </c>
      <c r="D4382" s="36">
        <v>45168.0</v>
      </c>
      <c r="E4382" s="24"/>
      <c r="F4382" s="14" t="s">
        <v>6012</v>
      </c>
      <c r="G4382" s="14">
        <v>329.49</v>
      </c>
      <c r="H4382" s="14">
        <v>0.0</v>
      </c>
      <c r="I4382" s="14" t="s">
        <v>6063</v>
      </c>
      <c r="J4382" s="14" t="s">
        <v>6012</v>
      </c>
      <c r="K4382" s="14">
        <v>12.85</v>
      </c>
      <c r="L4382" s="14">
        <v>0.0</v>
      </c>
    </row>
    <row r="4383">
      <c r="A4383" s="14">
        <v>125.0</v>
      </c>
      <c r="B4383" s="14">
        <v>1.0</v>
      </c>
      <c r="C4383" s="34">
        <v>12.07</v>
      </c>
      <c r="D4383" s="36">
        <v>45168.0</v>
      </c>
      <c r="E4383" s="24"/>
      <c r="F4383" s="14">
        <v>12.07</v>
      </c>
      <c r="G4383" s="14">
        <v>96.56</v>
      </c>
      <c r="H4383" s="14">
        <v>0.8</v>
      </c>
      <c r="I4383" s="14" t="s">
        <v>6061</v>
      </c>
      <c r="J4383" s="14">
        <v>100.0</v>
      </c>
      <c r="K4383" s="14">
        <v>12.07</v>
      </c>
      <c r="L4383" s="14">
        <v>0.0</v>
      </c>
    </row>
    <row r="4384">
      <c r="A4384" s="14">
        <v>848.0</v>
      </c>
      <c r="B4384" s="14">
        <v>9.0</v>
      </c>
      <c r="C4384" s="34">
        <v>9.69</v>
      </c>
      <c r="D4384" s="36">
        <v>45168.0</v>
      </c>
      <c r="E4384" s="24"/>
      <c r="F4384" s="14">
        <v>1.08</v>
      </c>
      <c r="G4384" s="14">
        <v>11.43</v>
      </c>
      <c r="H4384" s="14">
        <v>1.06</v>
      </c>
      <c r="I4384" s="14" t="s">
        <v>6051</v>
      </c>
      <c r="J4384" s="14">
        <v>33.33</v>
      </c>
      <c r="K4384" s="14">
        <v>3.23</v>
      </c>
      <c r="L4384" s="14">
        <v>0.0</v>
      </c>
    </row>
    <row r="4385">
      <c r="A4385" s="14">
        <v>154.0</v>
      </c>
      <c r="B4385" s="14">
        <v>1.0</v>
      </c>
      <c r="C4385" s="34">
        <v>12.79</v>
      </c>
      <c r="D4385" s="36">
        <v>45168.0</v>
      </c>
      <c r="E4385" s="24"/>
      <c r="F4385" s="14">
        <v>12.79</v>
      </c>
      <c r="G4385" s="14">
        <v>83.05</v>
      </c>
      <c r="H4385" s="14">
        <v>0.65</v>
      </c>
      <c r="I4385" s="14" t="s">
        <v>6042</v>
      </c>
      <c r="J4385" s="14">
        <v>100.0</v>
      </c>
      <c r="K4385" s="14">
        <v>12.79</v>
      </c>
      <c r="L4385" s="14">
        <v>0.0</v>
      </c>
    </row>
    <row r="4386">
      <c r="A4386" s="14">
        <v>45.0</v>
      </c>
      <c r="B4386" s="14">
        <v>0.0</v>
      </c>
      <c r="C4386" s="34">
        <v>11.63</v>
      </c>
      <c r="D4386" s="36">
        <v>45168.0</v>
      </c>
      <c r="E4386" s="24"/>
      <c r="F4386" s="14" t="s">
        <v>6012</v>
      </c>
      <c r="G4386" s="14">
        <v>258.44</v>
      </c>
      <c r="H4386" s="14">
        <v>0.0</v>
      </c>
      <c r="I4386" s="14" t="s">
        <v>6054</v>
      </c>
      <c r="J4386" s="14" t="s">
        <v>6012</v>
      </c>
      <c r="K4386" s="14" t="s">
        <v>6012</v>
      </c>
      <c r="L4386" s="14">
        <v>0.0</v>
      </c>
    </row>
    <row r="4387">
      <c r="A4387" s="14">
        <v>44.0</v>
      </c>
      <c r="B4387" s="14">
        <v>0.0</v>
      </c>
      <c r="C4387" s="34">
        <v>15.0</v>
      </c>
      <c r="D4387" s="36">
        <v>45168.0</v>
      </c>
      <c r="E4387" s="24"/>
      <c r="F4387" s="14" t="s">
        <v>6012</v>
      </c>
      <c r="G4387" s="14">
        <v>340.91</v>
      </c>
      <c r="H4387" s="14">
        <v>0.0</v>
      </c>
      <c r="I4387" s="14" t="s">
        <v>6058</v>
      </c>
      <c r="J4387" s="14" t="s">
        <v>6012</v>
      </c>
      <c r="K4387" s="14">
        <v>15.0</v>
      </c>
      <c r="L4387" s="14">
        <v>0.0</v>
      </c>
    </row>
    <row r="4388">
      <c r="A4388" s="14">
        <v>664.0</v>
      </c>
      <c r="B4388" s="14">
        <v>4.0</v>
      </c>
      <c r="C4388" s="34">
        <v>9.21</v>
      </c>
      <c r="D4388" s="36">
        <v>45169.0</v>
      </c>
      <c r="E4388" s="24"/>
      <c r="F4388" s="14">
        <v>2.3</v>
      </c>
      <c r="G4388" s="14">
        <v>13.87</v>
      </c>
      <c r="H4388" s="14">
        <v>0.6</v>
      </c>
      <c r="I4388" s="14" t="s">
        <v>6050</v>
      </c>
      <c r="J4388" s="14">
        <v>0.0</v>
      </c>
      <c r="K4388" s="14" t="s">
        <v>6012</v>
      </c>
      <c r="L4388" s="14">
        <v>0.0</v>
      </c>
    </row>
    <row r="4389">
      <c r="A4389" s="14">
        <v>86.0</v>
      </c>
      <c r="B4389" s="14">
        <v>0.0</v>
      </c>
      <c r="C4389" s="34">
        <v>12.12</v>
      </c>
      <c r="D4389" s="36">
        <v>45169.0</v>
      </c>
      <c r="E4389" s="24"/>
      <c r="F4389" s="14" t="s">
        <v>6012</v>
      </c>
      <c r="G4389" s="14">
        <v>140.93</v>
      </c>
      <c r="H4389" s="14">
        <v>0.0</v>
      </c>
      <c r="I4389" s="14" t="s">
        <v>6061</v>
      </c>
      <c r="J4389" s="14" t="s">
        <v>6012</v>
      </c>
      <c r="K4389" s="14" t="s">
        <v>6012</v>
      </c>
      <c r="L4389" s="14">
        <v>0.0</v>
      </c>
    </row>
    <row r="4390">
      <c r="A4390" s="14">
        <v>62.0</v>
      </c>
      <c r="B4390" s="14">
        <v>0.0</v>
      </c>
      <c r="C4390" s="34">
        <v>11.67</v>
      </c>
      <c r="D4390" s="36">
        <v>45169.0</v>
      </c>
      <c r="E4390" s="24"/>
      <c r="F4390" s="14" t="s">
        <v>6012</v>
      </c>
      <c r="G4390" s="14">
        <v>188.23</v>
      </c>
      <c r="H4390" s="14">
        <v>0.0</v>
      </c>
      <c r="I4390" s="14" t="s">
        <v>6054</v>
      </c>
      <c r="J4390" s="14" t="s">
        <v>6012</v>
      </c>
      <c r="K4390" s="14" t="s">
        <v>6012</v>
      </c>
      <c r="L4390" s="14">
        <v>0.0</v>
      </c>
    </row>
    <row r="4391">
      <c r="A4391" s="14">
        <v>738.0</v>
      </c>
      <c r="B4391" s="14">
        <v>5.0</v>
      </c>
      <c r="C4391" s="34">
        <v>10.04</v>
      </c>
      <c r="D4391" s="36">
        <v>45169.0</v>
      </c>
      <c r="E4391" s="24"/>
      <c r="F4391" s="14">
        <v>2.01</v>
      </c>
      <c r="G4391" s="14">
        <v>13.6</v>
      </c>
      <c r="H4391" s="14">
        <v>0.68</v>
      </c>
      <c r="I4391" s="14" t="s">
        <v>6051</v>
      </c>
      <c r="J4391" s="14">
        <v>20.0</v>
      </c>
      <c r="K4391" s="14">
        <v>10.04</v>
      </c>
      <c r="L4391" s="14">
        <v>0.0</v>
      </c>
    </row>
    <row r="4392">
      <c r="A4392" s="14">
        <v>35.0</v>
      </c>
      <c r="B4392" s="14">
        <v>0.0</v>
      </c>
      <c r="C4392" s="34">
        <v>11.49</v>
      </c>
      <c r="D4392" s="36">
        <v>45169.0</v>
      </c>
      <c r="E4392" s="24"/>
      <c r="F4392" s="14" t="s">
        <v>6012</v>
      </c>
      <c r="G4392" s="14">
        <v>328.29</v>
      </c>
      <c r="H4392" s="14">
        <v>0.0</v>
      </c>
      <c r="I4392" s="14" t="s">
        <v>6059</v>
      </c>
      <c r="J4392" s="14" t="s">
        <v>6012</v>
      </c>
      <c r="K4392" s="14" t="s">
        <v>6012</v>
      </c>
      <c r="L4392" s="14">
        <v>0.0</v>
      </c>
    </row>
    <row r="4393">
      <c r="A4393" s="14">
        <v>39.0</v>
      </c>
      <c r="B4393" s="14">
        <v>0.0</v>
      </c>
      <c r="C4393" s="34">
        <v>10.92</v>
      </c>
      <c r="D4393" s="36">
        <v>45169.0</v>
      </c>
      <c r="E4393" s="24"/>
      <c r="F4393" s="14" t="s">
        <v>6012</v>
      </c>
      <c r="G4393" s="14">
        <v>280.0</v>
      </c>
      <c r="H4393" s="14">
        <v>0.0</v>
      </c>
      <c r="I4393" s="14" t="s">
        <v>6057</v>
      </c>
      <c r="J4393" s="14" t="s">
        <v>6012</v>
      </c>
      <c r="K4393" s="14" t="s">
        <v>6012</v>
      </c>
      <c r="L4393" s="14">
        <v>0.0</v>
      </c>
    </row>
    <row r="4394">
      <c r="A4394" s="14">
        <v>382.0</v>
      </c>
      <c r="B4394" s="14">
        <v>6.0</v>
      </c>
      <c r="C4394" s="34">
        <v>11.92</v>
      </c>
      <c r="D4394" s="36">
        <v>45169.0</v>
      </c>
      <c r="E4394" s="24"/>
      <c r="F4394" s="14">
        <v>1.99</v>
      </c>
      <c r="G4394" s="14">
        <v>31.2</v>
      </c>
      <c r="H4394" s="14">
        <v>1.57</v>
      </c>
      <c r="I4394" s="14" t="s">
        <v>6060</v>
      </c>
      <c r="J4394" s="14">
        <v>50.0</v>
      </c>
      <c r="K4394" s="14">
        <v>3.97</v>
      </c>
      <c r="L4394" s="14">
        <v>0.0</v>
      </c>
    </row>
    <row r="4395">
      <c r="A4395" s="14">
        <v>242.0</v>
      </c>
      <c r="B4395" s="14">
        <v>1.0</v>
      </c>
      <c r="C4395" s="34">
        <v>12.99</v>
      </c>
      <c r="D4395" s="36">
        <v>45169.0</v>
      </c>
      <c r="E4395" s="24"/>
      <c r="F4395" s="14">
        <v>12.99</v>
      </c>
      <c r="G4395" s="14">
        <v>53.68</v>
      </c>
      <c r="H4395" s="14">
        <v>0.41</v>
      </c>
      <c r="I4395" s="14" t="s">
        <v>6042</v>
      </c>
      <c r="J4395" s="14">
        <v>0.0</v>
      </c>
      <c r="K4395" s="14" t="s">
        <v>6012</v>
      </c>
      <c r="L4395" s="14">
        <v>0.0</v>
      </c>
    </row>
    <row r="4396">
      <c r="A4396" s="14">
        <v>6.0</v>
      </c>
      <c r="B4396" s="14">
        <v>3.0</v>
      </c>
      <c r="C4396" s="34">
        <v>4.5</v>
      </c>
      <c r="D4396" s="36">
        <v>45169.0</v>
      </c>
      <c r="E4396" s="24"/>
      <c r="F4396" s="14">
        <v>1.5</v>
      </c>
      <c r="G4396" s="14">
        <v>750.0</v>
      </c>
      <c r="H4396" s="14">
        <v>50.0</v>
      </c>
      <c r="I4396" s="14" t="s">
        <v>6064</v>
      </c>
      <c r="J4396" s="14">
        <v>0.0</v>
      </c>
      <c r="K4396" s="14" t="s">
        <v>6012</v>
      </c>
      <c r="L4396" s="14">
        <v>0.0</v>
      </c>
    </row>
    <row r="4397">
      <c r="A4397" s="14">
        <v>144.0</v>
      </c>
      <c r="B4397" s="14">
        <v>1.0</v>
      </c>
      <c r="C4397" s="34">
        <v>10.92</v>
      </c>
      <c r="D4397" s="36">
        <v>45169.0</v>
      </c>
      <c r="E4397" s="24"/>
      <c r="F4397" s="14">
        <v>10.92</v>
      </c>
      <c r="G4397" s="14">
        <v>75.83</v>
      </c>
      <c r="H4397" s="14">
        <v>0.69</v>
      </c>
      <c r="I4397" s="14" t="s">
        <v>6058</v>
      </c>
      <c r="J4397" s="14">
        <v>0.0</v>
      </c>
      <c r="K4397" s="14" t="s">
        <v>6012</v>
      </c>
      <c r="L4397" s="14">
        <v>0.0</v>
      </c>
    </row>
    <row r="4398">
      <c r="A4398" s="14">
        <v>45.0</v>
      </c>
      <c r="B4398" s="14">
        <v>0.0</v>
      </c>
      <c r="C4398" s="34">
        <v>12.54</v>
      </c>
      <c r="D4398" s="36">
        <v>45169.0</v>
      </c>
      <c r="E4398" s="24"/>
      <c r="F4398" s="14" t="s">
        <v>6012</v>
      </c>
      <c r="G4398" s="14">
        <v>278.67</v>
      </c>
      <c r="H4398" s="14">
        <v>0.0</v>
      </c>
      <c r="I4398" s="14" t="s">
        <v>6063</v>
      </c>
      <c r="J4398" s="14" t="s">
        <v>6012</v>
      </c>
      <c r="K4398" s="14" t="s">
        <v>6012</v>
      </c>
      <c r="L4398" s="14">
        <v>0.0</v>
      </c>
    </row>
    <row r="4399">
      <c r="A4399" s="14">
        <v>211.0</v>
      </c>
      <c r="B4399" s="14">
        <v>1.0</v>
      </c>
      <c r="C4399" s="34">
        <v>11.4</v>
      </c>
      <c r="D4399" s="36">
        <v>45169.0</v>
      </c>
      <c r="E4399" s="24"/>
      <c r="F4399" s="14">
        <v>11.4</v>
      </c>
      <c r="G4399" s="14">
        <v>54.03</v>
      </c>
      <c r="H4399" s="14">
        <v>0.47</v>
      </c>
      <c r="I4399" s="14" t="s">
        <v>6062</v>
      </c>
      <c r="J4399" s="14">
        <v>200.0</v>
      </c>
      <c r="K4399" s="14">
        <v>5.7</v>
      </c>
      <c r="L4399" s="14">
        <v>0.0</v>
      </c>
    </row>
    <row r="4400">
      <c r="A4400" s="14">
        <v>38.0</v>
      </c>
      <c r="B4400" s="14">
        <v>0.0</v>
      </c>
      <c r="C4400" s="34">
        <v>9.89</v>
      </c>
      <c r="D4400" s="36">
        <v>45170.0</v>
      </c>
      <c r="E4400" s="24"/>
      <c r="F4400" s="14" t="s">
        <v>6012</v>
      </c>
      <c r="G4400" s="14">
        <v>260.26</v>
      </c>
      <c r="H4400" s="14">
        <v>0.0</v>
      </c>
      <c r="I4400" s="14" t="s">
        <v>6054</v>
      </c>
      <c r="J4400" s="14" t="s">
        <v>6012</v>
      </c>
      <c r="K4400" s="14" t="s">
        <v>6012</v>
      </c>
      <c r="L4400" s="14">
        <v>0.0</v>
      </c>
    </row>
    <row r="4401">
      <c r="A4401" s="14">
        <v>49.0</v>
      </c>
      <c r="B4401" s="14">
        <v>2.0</v>
      </c>
      <c r="C4401" s="34">
        <v>9.84</v>
      </c>
      <c r="D4401" s="36">
        <v>45170.0</v>
      </c>
      <c r="E4401" s="24"/>
      <c r="F4401" s="14">
        <v>4.92</v>
      </c>
      <c r="G4401" s="14">
        <v>200.82</v>
      </c>
      <c r="H4401" s="14">
        <v>4.08</v>
      </c>
      <c r="I4401" s="14" t="s">
        <v>6058</v>
      </c>
      <c r="J4401" s="14">
        <v>0.0</v>
      </c>
      <c r="K4401" s="14" t="s">
        <v>6012</v>
      </c>
      <c r="L4401" s="14">
        <v>0.0</v>
      </c>
    </row>
    <row r="4402">
      <c r="A4402" s="14">
        <v>748.0</v>
      </c>
      <c r="B4402" s="14">
        <v>2.0</v>
      </c>
      <c r="C4402" s="34">
        <v>9.45</v>
      </c>
      <c r="D4402" s="36">
        <v>45170.0</v>
      </c>
      <c r="E4402" s="24"/>
      <c r="F4402" s="14">
        <v>4.72</v>
      </c>
      <c r="G4402" s="14">
        <v>12.63</v>
      </c>
      <c r="H4402" s="14">
        <v>0.27</v>
      </c>
      <c r="I4402" s="14" t="s">
        <v>6050</v>
      </c>
      <c r="J4402" s="14">
        <v>0.0</v>
      </c>
      <c r="K4402" s="14" t="s">
        <v>6012</v>
      </c>
      <c r="L4402" s="14">
        <v>0.0</v>
      </c>
    </row>
    <row r="4403">
      <c r="A4403" s="14">
        <v>67.0</v>
      </c>
      <c r="B4403" s="14">
        <v>0.0</v>
      </c>
      <c r="C4403" s="34">
        <v>11.31</v>
      </c>
      <c r="D4403" s="36">
        <v>45170.0</v>
      </c>
      <c r="E4403" s="24"/>
      <c r="F4403" s="14" t="s">
        <v>6012</v>
      </c>
      <c r="G4403" s="14">
        <v>168.81</v>
      </c>
      <c r="H4403" s="14">
        <v>0.0</v>
      </c>
      <c r="I4403" s="14" t="s">
        <v>6061</v>
      </c>
      <c r="J4403" s="14" t="s">
        <v>6012</v>
      </c>
      <c r="K4403" s="14" t="s">
        <v>6012</v>
      </c>
      <c r="L4403" s="14">
        <v>0.0</v>
      </c>
    </row>
    <row r="4404">
      <c r="A4404" s="14">
        <v>41.0</v>
      </c>
      <c r="B4404" s="14">
        <v>0.0</v>
      </c>
      <c r="C4404" s="34">
        <v>10.46</v>
      </c>
      <c r="D4404" s="36">
        <v>45170.0</v>
      </c>
      <c r="E4404" s="24"/>
      <c r="F4404" s="14" t="s">
        <v>6012</v>
      </c>
      <c r="G4404" s="14">
        <v>255.12</v>
      </c>
      <c r="H4404" s="14">
        <v>0.0</v>
      </c>
      <c r="I4404" s="14" t="s">
        <v>6059</v>
      </c>
      <c r="J4404" s="14" t="s">
        <v>6012</v>
      </c>
      <c r="K4404" s="14" t="s">
        <v>6012</v>
      </c>
      <c r="L4404" s="14">
        <v>0.0</v>
      </c>
    </row>
    <row r="4405">
      <c r="A4405" s="14">
        <v>670.0</v>
      </c>
      <c r="B4405" s="14">
        <v>4.0</v>
      </c>
      <c r="C4405" s="34">
        <v>10.38</v>
      </c>
      <c r="D4405" s="36">
        <v>45170.0</v>
      </c>
      <c r="E4405" s="24"/>
      <c r="F4405" s="14">
        <v>2.6</v>
      </c>
      <c r="G4405" s="14">
        <v>15.49</v>
      </c>
      <c r="H4405" s="14">
        <v>0.6</v>
      </c>
      <c r="I4405" s="14" t="s">
        <v>6051</v>
      </c>
      <c r="J4405" s="14">
        <v>0.0</v>
      </c>
      <c r="K4405" s="14" t="s">
        <v>6012</v>
      </c>
      <c r="L4405" s="14">
        <v>0.0</v>
      </c>
    </row>
    <row r="4406">
      <c r="A4406" s="14">
        <v>111.0</v>
      </c>
      <c r="B4406" s="14">
        <v>1.0</v>
      </c>
      <c r="C4406" s="34">
        <v>10.93</v>
      </c>
      <c r="D4406" s="36">
        <v>45170.0</v>
      </c>
      <c r="E4406" s="24"/>
      <c r="F4406" s="14">
        <v>10.93</v>
      </c>
      <c r="G4406" s="14">
        <v>98.47</v>
      </c>
      <c r="H4406" s="14">
        <v>0.9</v>
      </c>
      <c r="I4406" s="14" t="s">
        <v>6042</v>
      </c>
      <c r="J4406" s="14">
        <v>200.0</v>
      </c>
      <c r="K4406" s="14">
        <v>5.46</v>
      </c>
      <c r="L4406" s="14">
        <v>0.0</v>
      </c>
    </row>
    <row r="4407">
      <c r="A4407" s="14">
        <v>88.0</v>
      </c>
      <c r="B4407" s="14">
        <v>0.0</v>
      </c>
      <c r="C4407" s="34">
        <v>11.18</v>
      </c>
      <c r="D4407" s="36">
        <v>45170.0</v>
      </c>
      <c r="E4407" s="24"/>
      <c r="F4407" s="14" t="s">
        <v>6012</v>
      </c>
      <c r="G4407" s="14">
        <v>127.05</v>
      </c>
      <c r="H4407" s="14">
        <v>0.0</v>
      </c>
      <c r="I4407" s="14" t="s">
        <v>6062</v>
      </c>
      <c r="J4407" s="14" t="s">
        <v>6012</v>
      </c>
      <c r="K4407" s="14" t="s">
        <v>6012</v>
      </c>
      <c r="L4407" s="14">
        <v>0.0</v>
      </c>
    </row>
    <row r="4408">
      <c r="A4408" s="14">
        <v>28.0</v>
      </c>
      <c r="B4408" s="14">
        <v>0.0</v>
      </c>
      <c r="C4408" s="34">
        <v>10.75</v>
      </c>
      <c r="D4408" s="36">
        <v>45170.0</v>
      </c>
      <c r="E4408" s="24"/>
      <c r="F4408" s="14" t="s">
        <v>6012</v>
      </c>
      <c r="G4408" s="14">
        <v>383.93</v>
      </c>
      <c r="H4408" s="14">
        <v>0.0</v>
      </c>
      <c r="I4408" s="14" t="s">
        <v>6063</v>
      </c>
      <c r="J4408" s="14" t="s">
        <v>6012</v>
      </c>
      <c r="K4408" s="14" t="s">
        <v>6012</v>
      </c>
      <c r="L4408" s="14">
        <v>0.0</v>
      </c>
    </row>
    <row r="4409">
      <c r="A4409" s="14">
        <v>21.0</v>
      </c>
      <c r="B4409" s="14">
        <v>0.0</v>
      </c>
      <c r="C4409" s="34">
        <v>9.64</v>
      </c>
      <c r="D4409" s="36">
        <v>45170.0</v>
      </c>
      <c r="E4409" s="24"/>
      <c r="F4409" s="14" t="s">
        <v>6012</v>
      </c>
      <c r="G4409" s="14">
        <v>459.05</v>
      </c>
      <c r="H4409" s="14">
        <v>0.0</v>
      </c>
      <c r="I4409" s="14" t="s">
        <v>6057</v>
      </c>
      <c r="J4409" s="14" t="s">
        <v>6012</v>
      </c>
      <c r="K4409" s="14" t="s">
        <v>6012</v>
      </c>
      <c r="L4409" s="14">
        <v>0.0</v>
      </c>
    </row>
    <row r="4410">
      <c r="A4410" s="14">
        <v>9.0</v>
      </c>
      <c r="B4410" s="14">
        <v>3.0</v>
      </c>
      <c r="C4410" s="34">
        <v>6.75</v>
      </c>
      <c r="D4410" s="36">
        <v>45170.0</v>
      </c>
      <c r="E4410" s="24"/>
      <c r="F4410" s="14">
        <v>2.25</v>
      </c>
      <c r="G4410" s="14">
        <v>750.0</v>
      </c>
      <c r="H4410" s="14">
        <v>33.33</v>
      </c>
      <c r="I4410" s="14" t="s">
        <v>6064</v>
      </c>
      <c r="J4410" s="14">
        <v>0.0</v>
      </c>
      <c r="K4410" s="14" t="s">
        <v>6012</v>
      </c>
      <c r="L4410" s="14">
        <v>0.0</v>
      </c>
    </row>
    <row r="4411">
      <c r="A4411" s="14">
        <v>106.0</v>
      </c>
      <c r="B4411" s="14">
        <v>1.0</v>
      </c>
      <c r="C4411" s="34">
        <v>10.89</v>
      </c>
      <c r="D4411" s="36">
        <v>45170.0</v>
      </c>
      <c r="E4411" s="24"/>
      <c r="F4411" s="14">
        <v>10.89</v>
      </c>
      <c r="G4411" s="14">
        <v>102.74</v>
      </c>
      <c r="H4411" s="14">
        <v>0.94</v>
      </c>
      <c r="I4411" s="14" t="s">
        <v>6060</v>
      </c>
      <c r="J4411" s="14">
        <v>0.0</v>
      </c>
      <c r="K4411" s="14" t="s">
        <v>6012</v>
      </c>
      <c r="L4411" s="14">
        <v>0.0</v>
      </c>
    </row>
    <row r="4412">
      <c r="A4412" s="14">
        <v>19.0</v>
      </c>
      <c r="B4412" s="14">
        <v>0.0</v>
      </c>
      <c r="C4412" s="34">
        <v>5.9</v>
      </c>
      <c r="D4412" s="36">
        <v>45171.0</v>
      </c>
      <c r="E4412" s="24"/>
      <c r="F4412" s="14" t="s">
        <v>6012</v>
      </c>
      <c r="G4412" s="14">
        <v>310.53</v>
      </c>
      <c r="H4412" s="14">
        <v>0.0</v>
      </c>
      <c r="I4412" s="14" t="s">
        <v>6063</v>
      </c>
      <c r="J4412" s="14" t="s">
        <v>6012</v>
      </c>
      <c r="K4412" s="14" t="s">
        <v>6012</v>
      </c>
      <c r="L4412" s="14">
        <v>0.0</v>
      </c>
    </row>
    <row r="4413">
      <c r="A4413" s="14">
        <v>26.0</v>
      </c>
      <c r="B4413" s="14">
        <v>1.0</v>
      </c>
      <c r="C4413" s="34">
        <v>6.14</v>
      </c>
      <c r="D4413" s="36">
        <v>45171.0</v>
      </c>
      <c r="E4413" s="24"/>
      <c r="F4413" s="14">
        <v>6.14</v>
      </c>
      <c r="G4413" s="14">
        <v>236.15</v>
      </c>
      <c r="H4413" s="14">
        <v>3.85</v>
      </c>
      <c r="I4413" s="14" t="s">
        <v>6061</v>
      </c>
      <c r="J4413" s="14">
        <v>0.0</v>
      </c>
      <c r="K4413" s="14" t="s">
        <v>6012</v>
      </c>
      <c r="L4413" s="14">
        <v>0.0</v>
      </c>
    </row>
    <row r="4414">
      <c r="A4414" s="14">
        <v>44.0</v>
      </c>
      <c r="B4414" s="14">
        <v>0.0</v>
      </c>
      <c r="C4414" s="34">
        <v>7.35</v>
      </c>
      <c r="D4414" s="36">
        <v>45171.0</v>
      </c>
      <c r="E4414" s="24"/>
      <c r="F4414" s="14" t="s">
        <v>6012</v>
      </c>
      <c r="G4414" s="14">
        <v>167.05</v>
      </c>
      <c r="H4414" s="14">
        <v>0.0</v>
      </c>
      <c r="I4414" s="14" t="s">
        <v>6062</v>
      </c>
      <c r="J4414" s="14" t="s">
        <v>6012</v>
      </c>
      <c r="K4414" s="14" t="s">
        <v>6012</v>
      </c>
      <c r="L4414" s="14">
        <v>0.0</v>
      </c>
    </row>
    <row r="4415">
      <c r="A4415" s="14">
        <v>15.0</v>
      </c>
      <c r="B4415" s="14">
        <v>0.0</v>
      </c>
      <c r="C4415" s="34">
        <v>5.69</v>
      </c>
      <c r="D4415" s="36">
        <v>45171.0</v>
      </c>
      <c r="E4415" s="24"/>
      <c r="F4415" s="14" t="s">
        <v>6012</v>
      </c>
      <c r="G4415" s="14">
        <v>379.33</v>
      </c>
      <c r="H4415" s="14">
        <v>0.0</v>
      </c>
      <c r="I4415" s="14" t="s">
        <v>6059</v>
      </c>
      <c r="J4415" s="14" t="s">
        <v>6012</v>
      </c>
      <c r="K4415" s="14" t="s">
        <v>6012</v>
      </c>
      <c r="L4415" s="14">
        <v>0.0</v>
      </c>
    </row>
    <row r="4416">
      <c r="A4416" s="14">
        <v>16.0</v>
      </c>
      <c r="B4416" s="14">
        <v>0.0</v>
      </c>
      <c r="C4416" s="34">
        <v>5.61</v>
      </c>
      <c r="D4416" s="36">
        <v>45171.0</v>
      </c>
      <c r="E4416" s="24"/>
      <c r="F4416" s="14" t="s">
        <v>6012</v>
      </c>
      <c r="G4416" s="14">
        <v>350.62</v>
      </c>
      <c r="H4416" s="14">
        <v>0.0</v>
      </c>
      <c r="I4416" s="14" t="s">
        <v>6057</v>
      </c>
      <c r="J4416" s="14" t="s">
        <v>6012</v>
      </c>
      <c r="K4416" s="14" t="s">
        <v>6012</v>
      </c>
      <c r="L4416" s="14">
        <v>0.0</v>
      </c>
    </row>
    <row r="4417">
      <c r="A4417" s="14">
        <v>66.0</v>
      </c>
      <c r="B4417" s="14">
        <v>1.0</v>
      </c>
      <c r="C4417" s="34">
        <v>7.53</v>
      </c>
      <c r="D4417" s="36">
        <v>45171.0</v>
      </c>
      <c r="E4417" s="24"/>
      <c r="F4417" s="14">
        <v>7.53</v>
      </c>
      <c r="G4417" s="14">
        <v>114.09</v>
      </c>
      <c r="H4417" s="14">
        <v>1.52</v>
      </c>
      <c r="I4417" s="14" t="s">
        <v>6042</v>
      </c>
      <c r="J4417" s="14">
        <v>100.0</v>
      </c>
      <c r="K4417" s="14">
        <v>7.53</v>
      </c>
      <c r="L4417" s="14">
        <v>0.0</v>
      </c>
    </row>
    <row r="4418">
      <c r="A4418" s="14">
        <v>4.0</v>
      </c>
      <c r="B4418" s="14">
        <v>0.0</v>
      </c>
      <c r="C4418" s="34">
        <v>3.0</v>
      </c>
      <c r="D4418" s="36">
        <v>45171.0</v>
      </c>
      <c r="E4418" s="24"/>
      <c r="F4418" s="14" t="s">
        <v>6012</v>
      </c>
      <c r="G4418" s="14">
        <v>750.0</v>
      </c>
      <c r="H4418" s="14">
        <v>0.0</v>
      </c>
      <c r="I4418" s="14" t="s">
        <v>6064</v>
      </c>
      <c r="J4418" s="14" t="s">
        <v>6012</v>
      </c>
      <c r="K4418" s="14" t="s">
        <v>6012</v>
      </c>
      <c r="L4418" s="14">
        <v>0.0</v>
      </c>
    </row>
    <row r="4419">
      <c r="A4419" s="14">
        <v>521.0</v>
      </c>
      <c r="B4419" s="14">
        <v>2.0</v>
      </c>
      <c r="C4419" s="34">
        <v>7.29</v>
      </c>
      <c r="D4419" s="36">
        <v>45171.0</v>
      </c>
      <c r="E4419" s="24"/>
      <c r="F4419" s="14">
        <v>3.64</v>
      </c>
      <c r="G4419" s="14">
        <v>13.99</v>
      </c>
      <c r="H4419" s="14">
        <v>0.38</v>
      </c>
      <c r="I4419" s="14" t="s">
        <v>6050</v>
      </c>
      <c r="J4419" s="14">
        <v>0.0</v>
      </c>
      <c r="K4419" s="14" t="s">
        <v>6012</v>
      </c>
      <c r="L4419" s="14">
        <v>0.0</v>
      </c>
    </row>
    <row r="4420">
      <c r="A4420" s="14">
        <v>141.0</v>
      </c>
      <c r="B4420" s="14">
        <v>0.0</v>
      </c>
      <c r="C4420" s="34">
        <v>8.94</v>
      </c>
      <c r="D4420" s="36">
        <v>45171.0</v>
      </c>
      <c r="E4420" s="24"/>
      <c r="F4420" s="14" t="s">
        <v>6012</v>
      </c>
      <c r="G4420" s="14">
        <v>63.4</v>
      </c>
      <c r="H4420" s="14">
        <v>0.0</v>
      </c>
      <c r="I4420" s="14" t="s">
        <v>6060</v>
      </c>
      <c r="J4420" s="14" t="s">
        <v>6012</v>
      </c>
      <c r="K4420" s="14" t="s">
        <v>6012</v>
      </c>
      <c r="L4420" s="14">
        <v>0.0</v>
      </c>
    </row>
    <row r="4421">
      <c r="A4421" s="14">
        <v>26.0</v>
      </c>
      <c r="B4421" s="14">
        <v>0.0</v>
      </c>
      <c r="C4421" s="34">
        <v>6.35</v>
      </c>
      <c r="D4421" s="36">
        <v>45171.0</v>
      </c>
      <c r="E4421" s="24"/>
      <c r="F4421" s="14" t="s">
        <v>6012</v>
      </c>
      <c r="G4421" s="14">
        <v>244.23</v>
      </c>
      <c r="H4421" s="14">
        <v>0.0</v>
      </c>
      <c r="I4421" s="14" t="s">
        <v>6058</v>
      </c>
      <c r="J4421" s="14" t="s">
        <v>6012</v>
      </c>
      <c r="K4421" s="14" t="s">
        <v>6012</v>
      </c>
      <c r="L4421" s="14">
        <v>0.0</v>
      </c>
    </row>
    <row r="4422">
      <c r="A4422" s="14">
        <v>17.0</v>
      </c>
      <c r="B4422" s="14">
        <v>1.0</v>
      </c>
      <c r="C4422" s="34">
        <v>10.67</v>
      </c>
      <c r="D4422" s="36">
        <v>45171.0</v>
      </c>
      <c r="E4422" s="24"/>
      <c r="F4422" s="14">
        <v>10.67</v>
      </c>
      <c r="G4422" s="14">
        <v>627.65</v>
      </c>
      <c r="H4422" s="14">
        <v>5.88</v>
      </c>
      <c r="I4422" s="14" t="s">
        <v>6054</v>
      </c>
      <c r="J4422" s="14">
        <v>0.0</v>
      </c>
      <c r="K4422" s="14" t="s">
        <v>6012</v>
      </c>
      <c r="L4422" s="14">
        <v>0.0</v>
      </c>
    </row>
    <row r="4423">
      <c r="A4423" s="14">
        <v>423.0</v>
      </c>
      <c r="B4423" s="14">
        <v>5.0</v>
      </c>
      <c r="C4423" s="34">
        <v>7.77</v>
      </c>
      <c r="D4423" s="36">
        <v>45171.0</v>
      </c>
      <c r="E4423" s="24"/>
      <c r="F4423" s="14">
        <v>1.55</v>
      </c>
      <c r="G4423" s="14">
        <v>18.37</v>
      </c>
      <c r="H4423" s="14">
        <v>1.18</v>
      </c>
      <c r="I4423" s="14" t="s">
        <v>6051</v>
      </c>
      <c r="J4423" s="14">
        <v>20.0</v>
      </c>
      <c r="K4423" s="14">
        <v>7.77</v>
      </c>
      <c r="L4423" s="14">
        <v>0.0</v>
      </c>
    </row>
    <row r="4424">
      <c r="A4424" s="14">
        <v>554.0</v>
      </c>
      <c r="B4424" s="14">
        <v>2.0</v>
      </c>
      <c r="C4424" s="34">
        <v>8.54</v>
      </c>
      <c r="D4424" s="36">
        <v>45172.0</v>
      </c>
      <c r="E4424" s="24"/>
      <c r="F4424" s="14">
        <v>4.27</v>
      </c>
      <c r="G4424" s="14">
        <v>15.42</v>
      </c>
      <c r="H4424" s="14">
        <v>0.36</v>
      </c>
      <c r="I4424" s="14" t="s">
        <v>6050</v>
      </c>
      <c r="J4424" s="14">
        <v>50.0</v>
      </c>
      <c r="K4424" s="14">
        <v>8.54</v>
      </c>
      <c r="L4424" s="14">
        <v>0.0</v>
      </c>
    </row>
    <row r="4425">
      <c r="A4425" s="14">
        <v>1.0</v>
      </c>
      <c r="B4425" s="14">
        <v>3.0</v>
      </c>
      <c r="C4425" s="34">
        <v>0.75</v>
      </c>
      <c r="D4425" s="36">
        <v>45172.0</v>
      </c>
      <c r="E4425" s="24"/>
      <c r="F4425" s="14">
        <v>0.25</v>
      </c>
      <c r="G4425" s="14">
        <v>750.0</v>
      </c>
      <c r="H4425" s="14">
        <v>300.0</v>
      </c>
      <c r="I4425" s="14" t="s">
        <v>6064</v>
      </c>
      <c r="J4425" s="14">
        <v>0.0</v>
      </c>
      <c r="K4425" s="14" t="s">
        <v>6012</v>
      </c>
      <c r="L4425" s="14">
        <v>0.0</v>
      </c>
    </row>
    <row r="4426">
      <c r="A4426" s="14">
        <v>40.0</v>
      </c>
      <c r="B4426" s="14">
        <v>0.0</v>
      </c>
      <c r="C4426" s="34">
        <v>4.55</v>
      </c>
      <c r="D4426" s="36">
        <v>45172.0</v>
      </c>
      <c r="E4426" s="24"/>
      <c r="F4426" s="14" t="s">
        <v>6012</v>
      </c>
      <c r="G4426" s="14">
        <v>113.75</v>
      </c>
      <c r="H4426" s="14">
        <v>0.0</v>
      </c>
      <c r="I4426" s="14" t="s">
        <v>6042</v>
      </c>
      <c r="J4426" s="14" t="s">
        <v>6012</v>
      </c>
      <c r="K4426" s="14" t="s">
        <v>6012</v>
      </c>
      <c r="L4426" s="14">
        <v>0.0</v>
      </c>
    </row>
    <row r="4427">
      <c r="A4427" s="14">
        <v>18.0</v>
      </c>
      <c r="B4427" s="14">
        <v>0.0</v>
      </c>
      <c r="C4427" s="34">
        <v>1.33</v>
      </c>
      <c r="D4427" s="36">
        <v>45172.0</v>
      </c>
      <c r="E4427" s="24"/>
      <c r="F4427" s="14" t="s">
        <v>6012</v>
      </c>
      <c r="G4427" s="14">
        <v>73.89</v>
      </c>
      <c r="H4427" s="14">
        <v>0.0</v>
      </c>
      <c r="I4427" s="14" t="s">
        <v>6063</v>
      </c>
      <c r="J4427" s="14" t="s">
        <v>6012</v>
      </c>
      <c r="K4427" s="14" t="s">
        <v>6012</v>
      </c>
      <c r="L4427" s="14">
        <v>0.0</v>
      </c>
    </row>
    <row r="4428">
      <c r="A4428" s="14">
        <v>28.0</v>
      </c>
      <c r="B4428" s="14">
        <v>0.0</v>
      </c>
      <c r="C4428" s="34">
        <v>3.53</v>
      </c>
      <c r="D4428" s="36">
        <v>45172.0</v>
      </c>
      <c r="E4428" s="24"/>
      <c r="F4428" s="14" t="s">
        <v>6012</v>
      </c>
      <c r="G4428" s="14">
        <v>126.07</v>
      </c>
      <c r="H4428" s="14">
        <v>0.0</v>
      </c>
      <c r="I4428" s="14" t="s">
        <v>6061</v>
      </c>
      <c r="J4428" s="14" t="s">
        <v>6012</v>
      </c>
      <c r="K4428" s="14" t="s">
        <v>6012</v>
      </c>
      <c r="L4428" s="14">
        <v>0.0</v>
      </c>
    </row>
    <row r="4429">
      <c r="A4429" s="14">
        <v>14.0</v>
      </c>
      <c r="B4429" s="14">
        <v>0.0</v>
      </c>
      <c r="C4429" s="34">
        <v>4.11</v>
      </c>
      <c r="D4429" s="36">
        <v>45172.0</v>
      </c>
      <c r="E4429" s="24"/>
      <c r="F4429" s="14" t="s">
        <v>6012</v>
      </c>
      <c r="G4429" s="14">
        <v>293.57</v>
      </c>
      <c r="H4429" s="14">
        <v>0.0</v>
      </c>
      <c r="I4429" s="14" t="s">
        <v>6059</v>
      </c>
      <c r="J4429" s="14" t="s">
        <v>6012</v>
      </c>
      <c r="K4429" s="14" t="s">
        <v>6012</v>
      </c>
      <c r="L4429" s="14">
        <v>0.0</v>
      </c>
    </row>
    <row r="4430">
      <c r="A4430" s="14">
        <v>131.0</v>
      </c>
      <c r="B4430" s="14">
        <v>0.0</v>
      </c>
      <c r="C4430" s="34">
        <v>3.61</v>
      </c>
      <c r="D4430" s="36">
        <v>45172.0</v>
      </c>
      <c r="E4430" s="24"/>
      <c r="F4430" s="14" t="s">
        <v>6012</v>
      </c>
      <c r="G4430" s="14">
        <v>27.56</v>
      </c>
      <c r="H4430" s="14">
        <v>0.0</v>
      </c>
      <c r="I4430" s="14" t="s">
        <v>6062</v>
      </c>
      <c r="J4430" s="14" t="s">
        <v>6012</v>
      </c>
      <c r="K4430" s="14" t="s">
        <v>6012</v>
      </c>
      <c r="L4430" s="14">
        <v>0.0</v>
      </c>
    </row>
    <row r="4431">
      <c r="A4431" s="14">
        <v>493.0</v>
      </c>
      <c r="B4431" s="14">
        <v>2.0</v>
      </c>
      <c r="C4431" s="34">
        <v>7.0</v>
      </c>
      <c r="D4431" s="36">
        <v>45172.0</v>
      </c>
      <c r="E4431" s="24"/>
      <c r="F4431" s="14">
        <v>3.5</v>
      </c>
      <c r="G4431" s="14">
        <v>14.2</v>
      </c>
      <c r="H4431" s="14">
        <v>0.41</v>
      </c>
      <c r="I4431" s="14" t="s">
        <v>6051</v>
      </c>
      <c r="J4431" s="14">
        <v>50.0</v>
      </c>
      <c r="K4431" s="14">
        <v>7.0</v>
      </c>
      <c r="L4431" s="14">
        <v>0.0</v>
      </c>
    </row>
    <row r="4432">
      <c r="A4432" s="14">
        <v>312.0</v>
      </c>
      <c r="B4432" s="14">
        <v>2.0</v>
      </c>
      <c r="C4432" s="34">
        <v>2.64</v>
      </c>
      <c r="D4432" s="36">
        <v>45172.0</v>
      </c>
      <c r="E4432" s="24"/>
      <c r="F4432" s="14">
        <v>1.32</v>
      </c>
      <c r="G4432" s="14">
        <v>8.46</v>
      </c>
      <c r="H4432" s="14">
        <v>0.64</v>
      </c>
      <c r="I4432" s="14" t="s">
        <v>6060</v>
      </c>
      <c r="J4432" s="14">
        <v>0.0</v>
      </c>
      <c r="K4432" s="14" t="s">
        <v>6012</v>
      </c>
      <c r="L4432" s="14">
        <v>0.0</v>
      </c>
    </row>
    <row r="4433">
      <c r="A4433" s="14">
        <v>45.0</v>
      </c>
      <c r="B4433" s="14">
        <v>0.0</v>
      </c>
      <c r="C4433" s="34">
        <v>3.34</v>
      </c>
      <c r="D4433" s="36">
        <v>45172.0</v>
      </c>
      <c r="E4433" s="24"/>
      <c r="F4433" s="14" t="s">
        <v>6012</v>
      </c>
      <c r="G4433" s="14">
        <v>74.22</v>
      </c>
      <c r="H4433" s="14">
        <v>0.0</v>
      </c>
      <c r="I4433" s="14" t="s">
        <v>6058</v>
      </c>
      <c r="J4433" s="14" t="s">
        <v>6012</v>
      </c>
      <c r="K4433" s="14" t="s">
        <v>6012</v>
      </c>
      <c r="L4433" s="14">
        <v>0.0</v>
      </c>
    </row>
    <row r="4434">
      <c r="A4434" s="14">
        <v>14.0</v>
      </c>
      <c r="B4434" s="14">
        <v>0.0</v>
      </c>
      <c r="C4434" s="34">
        <v>1.81</v>
      </c>
      <c r="D4434" s="36">
        <v>45172.0</v>
      </c>
      <c r="E4434" s="24"/>
      <c r="F4434" s="14" t="s">
        <v>6012</v>
      </c>
      <c r="G4434" s="14">
        <v>129.29</v>
      </c>
      <c r="H4434" s="14">
        <v>0.0</v>
      </c>
      <c r="I4434" s="14" t="s">
        <v>6057</v>
      </c>
      <c r="J4434" s="14" t="s">
        <v>6012</v>
      </c>
      <c r="K4434" s="14" t="s">
        <v>6012</v>
      </c>
      <c r="L4434" s="14">
        <v>0.0</v>
      </c>
    </row>
    <row r="4435">
      <c r="A4435" s="14">
        <v>190.0</v>
      </c>
      <c r="B4435" s="14">
        <v>1.0</v>
      </c>
      <c r="C4435" s="34">
        <v>13.49</v>
      </c>
      <c r="D4435" s="36">
        <v>45173.0</v>
      </c>
      <c r="E4435" s="24"/>
      <c r="F4435" s="14">
        <v>13.49</v>
      </c>
      <c r="G4435" s="14">
        <v>71.0</v>
      </c>
      <c r="H4435" s="14">
        <v>0.53</v>
      </c>
      <c r="I4435" s="14" t="s">
        <v>6042</v>
      </c>
      <c r="J4435" s="14">
        <v>100.0</v>
      </c>
      <c r="K4435" s="14">
        <v>13.49</v>
      </c>
      <c r="L4435" s="14">
        <v>0.0</v>
      </c>
    </row>
    <row r="4436">
      <c r="A4436" s="14">
        <v>76.0</v>
      </c>
      <c r="B4436" s="14">
        <v>0.0</v>
      </c>
      <c r="C4436" s="34">
        <v>11.7</v>
      </c>
      <c r="D4436" s="36">
        <v>45173.0</v>
      </c>
      <c r="E4436" s="24"/>
      <c r="F4436" s="14" t="s">
        <v>6012</v>
      </c>
      <c r="G4436" s="14">
        <v>153.95</v>
      </c>
      <c r="H4436" s="14">
        <v>0.0</v>
      </c>
      <c r="I4436" s="14" t="s">
        <v>6058</v>
      </c>
      <c r="J4436" s="14" t="s">
        <v>6012</v>
      </c>
      <c r="K4436" s="14" t="s">
        <v>6012</v>
      </c>
      <c r="L4436" s="14">
        <v>0.0</v>
      </c>
    </row>
    <row r="4437">
      <c r="A4437" s="14">
        <v>151.0</v>
      </c>
      <c r="B4437" s="14">
        <v>2.0</v>
      </c>
      <c r="C4437" s="34">
        <v>12.73</v>
      </c>
      <c r="D4437" s="36">
        <v>45173.0</v>
      </c>
      <c r="E4437" s="24"/>
      <c r="F4437" s="14">
        <v>6.36</v>
      </c>
      <c r="G4437" s="14">
        <v>84.3</v>
      </c>
      <c r="H4437" s="14">
        <v>1.32</v>
      </c>
      <c r="I4437" s="14" t="s">
        <v>6054</v>
      </c>
      <c r="J4437" s="14">
        <v>0.0</v>
      </c>
      <c r="K4437" s="14" t="s">
        <v>6012</v>
      </c>
      <c r="L4437" s="14">
        <v>0.0</v>
      </c>
    </row>
    <row r="4438">
      <c r="A4438" s="14">
        <v>639.0</v>
      </c>
      <c r="B4438" s="14">
        <v>10.0</v>
      </c>
      <c r="C4438" s="34">
        <v>10.92</v>
      </c>
      <c r="D4438" s="36">
        <v>45173.0</v>
      </c>
      <c r="E4438" s="24"/>
      <c r="F4438" s="14">
        <v>1.09</v>
      </c>
      <c r="G4438" s="14">
        <v>17.09</v>
      </c>
      <c r="H4438" s="14">
        <v>1.56</v>
      </c>
      <c r="I4438" s="14" t="s">
        <v>6051</v>
      </c>
      <c r="J4438" s="14">
        <v>0.0</v>
      </c>
      <c r="K4438" s="14" t="s">
        <v>6012</v>
      </c>
      <c r="L4438" s="14">
        <v>0.0</v>
      </c>
    </row>
    <row r="4439">
      <c r="A4439" s="14">
        <v>643.0</v>
      </c>
      <c r="B4439" s="14">
        <v>6.0</v>
      </c>
      <c r="C4439" s="34">
        <v>8.73</v>
      </c>
      <c r="D4439" s="36">
        <v>45173.0</v>
      </c>
      <c r="E4439" s="24"/>
      <c r="F4439" s="14">
        <v>1.46</v>
      </c>
      <c r="G4439" s="14">
        <v>13.58</v>
      </c>
      <c r="H4439" s="14">
        <v>0.93</v>
      </c>
      <c r="I4439" s="14" t="s">
        <v>6050</v>
      </c>
      <c r="J4439" s="14">
        <v>0.0</v>
      </c>
      <c r="K4439" s="14" t="s">
        <v>6012</v>
      </c>
      <c r="L4439" s="14">
        <v>0.0</v>
      </c>
    </row>
    <row r="4440">
      <c r="A4440" s="14">
        <v>8.0</v>
      </c>
      <c r="B4440" s="14">
        <v>4.0</v>
      </c>
      <c r="C4440" s="34">
        <v>6.0</v>
      </c>
      <c r="D4440" s="36">
        <v>45173.0</v>
      </c>
      <c r="E4440" s="24"/>
      <c r="F4440" s="14">
        <v>1.5</v>
      </c>
      <c r="G4440" s="14">
        <v>750.0</v>
      </c>
      <c r="H4440" s="14">
        <v>50.0</v>
      </c>
      <c r="I4440" s="14" t="s">
        <v>6064</v>
      </c>
      <c r="J4440" s="14">
        <v>0.0</v>
      </c>
      <c r="K4440" s="14" t="s">
        <v>6012</v>
      </c>
      <c r="L4440" s="14">
        <v>0.0</v>
      </c>
    </row>
    <row r="4441">
      <c r="A4441" s="14">
        <v>52.0</v>
      </c>
      <c r="B4441" s="14">
        <v>1.0</v>
      </c>
      <c r="C4441" s="34">
        <v>12.81</v>
      </c>
      <c r="D4441" s="36">
        <v>45173.0</v>
      </c>
      <c r="E4441" s="24"/>
      <c r="F4441" s="14">
        <v>12.81</v>
      </c>
      <c r="G4441" s="14">
        <v>246.35</v>
      </c>
      <c r="H4441" s="14">
        <v>1.92</v>
      </c>
      <c r="I4441" s="14" t="s">
        <v>6061</v>
      </c>
      <c r="J4441" s="14">
        <v>0.0</v>
      </c>
      <c r="K4441" s="14" t="s">
        <v>6012</v>
      </c>
      <c r="L4441" s="14">
        <v>0.0</v>
      </c>
    </row>
    <row r="4442">
      <c r="A4442" s="14">
        <v>68.0</v>
      </c>
      <c r="B4442" s="14">
        <v>0.0</v>
      </c>
      <c r="C4442" s="34">
        <v>12.46</v>
      </c>
      <c r="D4442" s="36">
        <v>45173.0</v>
      </c>
      <c r="E4442" s="24"/>
      <c r="F4442" s="14" t="s">
        <v>6012</v>
      </c>
      <c r="G4442" s="14">
        <v>183.24</v>
      </c>
      <c r="H4442" s="14">
        <v>0.0</v>
      </c>
      <c r="I4442" s="14" t="s">
        <v>6063</v>
      </c>
      <c r="J4442" s="14" t="s">
        <v>6012</v>
      </c>
      <c r="K4442" s="14" t="s">
        <v>6012</v>
      </c>
      <c r="L4442" s="14">
        <v>0.0</v>
      </c>
    </row>
    <row r="4443">
      <c r="A4443" s="14">
        <v>131.0</v>
      </c>
      <c r="B4443" s="14">
        <v>1.0</v>
      </c>
      <c r="C4443" s="34">
        <v>12.03</v>
      </c>
      <c r="D4443" s="36">
        <v>45173.0</v>
      </c>
      <c r="E4443" s="24"/>
      <c r="F4443" s="14">
        <v>12.03</v>
      </c>
      <c r="G4443" s="14">
        <v>91.83</v>
      </c>
      <c r="H4443" s="14">
        <v>0.76</v>
      </c>
      <c r="I4443" s="14" t="s">
        <v>6062</v>
      </c>
      <c r="J4443" s="14">
        <v>100.0</v>
      </c>
      <c r="K4443" s="14">
        <v>12.03</v>
      </c>
      <c r="L4443" s="14">
        <v>0.0</v>
      </c>
    </row>
    <row r="4444">
      <c r="A4444" s="14">
        <v>347.0</v>
      </c>
      <c r="B4444" s="14">
        <v>2.0</v>
      </c>
      <c r="C4444" s="34">
        <v>12.03</v>
      </c>
      <c r="D4444" s="36">
        <v>45173.0</v>
      </c>
      <c r="E4444" s="24"/>
      <c r="F4444" s="14">
        <v>6.02</v>
      </c>
      <c r="G4444" s="14">
        <v>34.67</v>
      </c>
      <c r="H4444" s="14">
        <v>0.58</v>
      </c>
      <c r="I4444" s="14" t="s">
        <v>6060</v>
      </c>
      <c r="J4444" s="14">
        <v>50.0</v>
      </c>
      <c r="K4444" s="14">
        <v>12.03</v>
      </c>
      <c r="L4444" s="14">
        <v>0.0</v>
      </c>
    </row>
    <row r="4445">
      <c r="A4445" s="14">
        <v>57.0</v>
      </c>
      <c r="B4445" s="14">
        <v>1.0</v>
      </c>
      <c r="C4445" s="34">
        <v>12.5</v>
      </c>
      <c r="D4445" s="36">
        <v>45173.0</v>
      </c>
      <c r="E4445" s="24"/>
      <c r="F4445" s="14">
        <v>12.5</v>
      </c>
      <c r="G4445" s="14">
        <v>219.3</v>
      </c>
      <c r="H4445" s="14">
        <v>1.75</v>
      </c>
      <c r="I4445" s="14" t="s">
        <v>6057</v>
      </c>
      <c r="J4445" s="14">
        <v>0.0</v>
      </c>
      <c r="K4445" s="14" t="s">
        <v>6012</v>
      </c>
      <c r="L4445" s="14">
        <v>1.0</v>
      </c>
    </row>
    <row r="4446">
      <c r="A4446" s="14">
        <v>36.0</v>
      </c>
      <c r="B4446" s="14">
        <v>0.0</v>
      </c>
      <c r="C4446" s="34">
        <v>11.73</v>
      </c>
      <c r="D4446" s="36">
        <v>45173.0</v>
      </c>
      <c r="E4446" s="24"/>
      <c r="F4446" s="14" t="s">
        <v>6012</v>
      </c>
      <c r="G4446" s="14">
        <v>325.83</v>
      </c>
      <c r="H4446" s="14">
        <v>0.0</v>
      </c>
      <c r="I4446" s="14" t="s">
        <v>6059</v>
      </c>
      <c r="J4446" s="14" t="s">
        <v>6012</v>
      </c>
      <c r="K4446" s="14" t="s">
        <v>6012</v>
      </c>
      <c r="L4446" s="14">
        <v>0.0</v>
      </c>
    </row>
    <row r="4447">
      <c r="A4447" s="14">
        <v>584.0</v>
      </c>
      <c r="B4447" s="14">
        <v>5.0</v>
      </c>
      <c r="C4447" s="34">
        <v>11.9</v>
      </c>
      <c r="D4447" s="36">
        <v>45174.0</v>
      </c>
      <c r="E4447" s="24"/>
      <c r="F4447" s="14">
        <v>2.38</v>
      </c>
      <c r="G4447" s="14">
        <v>20.38</v>
      </c>
      <c r="H4447" s="14">
        <v>0.86</v>
      </c>
      <c r="I4447" s="14" t="s">
        <v>6050</v>
      </c>
      <c r="J4447" s="14">
        <v>0.0</v>
      </c>
      <c r="K4447" s="14" t="s">
        <v>6012</v>
      </c>
      <c r="L4447" s="14">
        <v>0.0</v>
      </c>
    </row>
    <row r="4448">
      <c r="A4448" s="14">
        <v>209.0</v>
      </c>
      <c r="B4448" s="14">
        <v>2.0</v>
      </c>
      <c r="C4448" s="34">
        <v>13.41</v>
      </c>
      <c r="D4448" s="36">
        <v>45174.0</v>
      </c>
      <c r="E4448" s="24"/>
      <c r="F4448" s="14">
        <v>6.7</v>
      </c>
      <c r="G4448" s="14">
        <v>64.16</v>
      </c>
      <c r="H4448" s="14">
        <v>0.96</v>
      </c>
      <c r="I4448" s="14" t="s">
        <v>6042</v>
      </c>
      <c r="J4448" s="14">
        <v>50.0</v>
      </c>
      <c r="K4448" s="14">
        <v>13.41</v>
      </c>
      <c r="L4448" s="14">
        <v>0.0</v>
      </c>
    </row>
    <row r="4449">
      <c r="A4449" s="14">
        <v>43.0</v>
      </c>
      <c r="B4449" s="14">
        <v>0.0</v>
      </c>
      <c r="C4449" s="34">
        <v>13.49</v>
      </c>
      <c r="D4449" s="36">
        <v>45174.0</v>
      </c>
      <c r="E4449" s="24"/>
      <c r="F4449" s="14" t="s">
        <v>6012</v>
      </c>
      <c r="G4449" s="14">
        <v>313.72</v>
      </c>
      <c r="H4449" s="14">
        <v>0.0</v>
      </c>
      <c r="I4449" s="14" t="s">
        <v>6061</v>
      </c>
      <c r="J4449" s="14" t="s">
        <v>6012</v>
      </c>
      <c r="K4449" s="14" t="s">
        <v>6012</v>
      </c>
      <c r="L4449" s="14">
        <v>0.0</v>
      </c>
    </row>
    <row r="4450">
      <c r="A4450" s="14">
        <v>30.0</v>
      </c>
      <c r="B4450" s="14">
        <v>0.0</v>
      </c>
      <c r="C4450" s="34">
        <v>14.01</v>
      </c>
      <c r="D4450" s="36">
        <v>45174.0</v>
      </c>
      <c r="E4450" s="24"/>
      <c r="F4450" s="14" t="s">
        <v>6012</v>
      </c>
      <c r="G4450" s="14">
        <v>467.0</v>
      </c>
      <c r="H4450" s="14">
        <v>0.0</v>
      </c>
      <c r="I4450" s="14" t="s">
        <v>6059</v>
      </c>
      <c r="J4450" s="14" t="s">
        <v>6012</v>
      </c>
      <c r="K4450" s="14" t="s">
        <v>6012</v>
      </c>
      <c r="L4450" s="14">
        <v>0.0</v>
      </c>
    </row>
    <row r="4451">
      <c r="A4451" s="14">
        <v>783.0</v>
      </c>
      <c r="B4451" s="14">
        <v>5.0</v>
      </c>
      <c r="C4451" s="34">
        <v>12.67</v>
      </c>
      <c r="D4451" s="36">
        <v>45174.0</v>
      </c>
      <c r="E4451" s="24"/>
      <c r="F4451" s="14">
        <v>2.53</v>
      </c>
      <c r="G4451" s="14">
        <v>16.18</v>
      </c>
      <c r="H4451" s="14">
        <v>0.64</v>
      </c>
      <c r="I4451" s="14" t="s">
        <v>6051</v>
      </c>
      <c r="J4451" s="14">
        <v>0.0</v>
      </c>
      <c r="K4451" s="14" t="s">
        <v>6012</v>
      </c>
      <c r="L4451" s="14">
        <v>0.0</v>
      </c>
    </row>
    <row r="4452">
      <c r="A4452" s="14">
        <v>63.0</v>
      </c>
      <c r="B4452" s="14">
        <v>0.0</v>
      </c>
      <c r="C4452" s="34">
        <v>11.57</v>
      </c>
      <c r="D4452" s="36">
        <v>45174.0</v>
      </c>
      <c r="E4452" s="24"/>
      <c r="F4452" s="14" t="s">
        <v>6012</v>
      </c>
      <c r="G4452" s="14">
        <v>183.65</v>
      </c>
      <c r="H4452" s="14">
        <v>0.0</v>
      </c>
      <c r="I4452" s="14" t="s">
        <v>6054</v>
      </c>
      <c r="J4452" s="14" t="s">
        <v>6012</v>
      </c>
      <c r="K4452" s="14" t="s">
        <v>6012</v>
      </c>
      <c r="L4452" s="14">
        <v>0.0</v>
      </c>
    </row>
    <row r="4453">
      <c r="A4453" s="14">
        <v>4.0</v>
      </c>
      <c r="B4453" s="14">
        <v>2.0</v>
      </c>
      <c r="C4453" s="34">
        <v>3.0</v>
      </c>
      <c r="D4453" s="36">
        <v>45174.0</v>
      </c>
      <c r="E4453" s="24"/>
      <c r="F4453" s="14">
        <v>1.5</v>
      </c>
      <c r="G4453" s="14">
        <v>750.0</v>
      </c>
      <c r="H4453" s="14">
        <v>50.0</v>
      </c>
      <c r="I4453" s="14" t="s">
        <v>6064</v>
      </c>
      <c r="J4453" s="14">
        <v>0.0</v>
      </c>
      <c r="K4453" s="14" t="s">
        <v>6012</v>
      </c>
      <c r="L4453" s="14">
        <v>0.0</v>
      </c>
    </row>
    <row r="4454">
      <c r="A4454" s="14">
        <v>61.0</v>
      </c>
      <c r="B4454" s="14">
        <v>1.0</v>
      </c>
      <c r="C4454" s="34">
        <v>12.27</v>
      </c>
      <c r="D4454" s="36">
        <v>45174.0</v>
      </c>
      <c r="E4454" s="24"/>
      <c r="F4454" s="14">
        <v>12.27</v>
      </c>
      <c r="G4454" s="14">
        <v>201.15</v>
      </c>
      <c r="H4454" s="14">
        <v>1.64</v>
      </c>
      <c r="I4454" s="14" t="s">
        <v>6058</v>
      </c>
      <c r="J4454" s="14">
        <v>0.0</v>
      </c>
      <c r="K4454" s="14" t="s">
        <v>6012</v>
      </c>
      <c r="L4454" s="14">
        <v>0.0</v>
      </c>
    </row>
    <row r="4455">
      <c r="A4455" s="14">
        <v>273.0</v>
      </c>
      <c r="B4455" s="14">
        <v>0.0</v>
      </c>
      <c r="C4455" s="34">
        <v>11.83</v>
      </c>
      <c r="D4455" s="36">
        <v>45174.0</v>
      </c>
      <c r="E4455" s="24"/>
      <c r="F4455" s="14" t="s">
        <v>6012</v>
      </c>
      <c r="G4455" s="14">
        <v>43.33</v>
      </c>
      <c r="H4455" s="14">
        <v>0.0</v>
      </c>
      <c r="I4455" s="14" t="s">
        <v>6062</v>
      </c>
      <c r="J4455" s="14" t="s">
        <v>6012</v>
      </c>
      <c r="K4455" s="14" t="s">
        <v>6012</v>
      </c>
      <c r="L4455" s="14">
        <v>0.0</v>
      </c>
    </row>
    <row r="4456">
      <c r="A4456" s="14">
        <v>35.0</v>
      </c>
      <c r="B4456" s="14">
        <v>1.0</v>
      </c>
      <c r="C4456" s="34">
        <v>12.71</v>
      </c>
      <c r="D4456" s="36">
        <v>45174.0</v>
      </c>
      <c r="E4456" s="24"/>
      <c r="F4456" s="14">
        <v>12.71</v>
      </c>
      <c r="G4456" s="14">
        <v>363.14</v>
      </c>
      <c r="H4456" s="14">
        <v>2.86</v>
      </c>
      <c r="I4456" s="14" t="s">
        <v>6063</v>
      </c>
      <c r="J4456" s="14">
        <v>0.0</v>
      </c>
      <c r="K4456" s="14" t="s">
        <v>6012</v>
      </c>
      <c r="L4456" s="14">
        <v>0.0</v>
      </c>
    </row>
    <row r="4457">
      <c r="A4457" s="14">
        <v>26.0</v>
      </c>
      <c r="B4457" s="14">
        <v>0.0</v>
      </c>
      <c r="C4457" s="34">
        <v>15.0</v>
      </c>
      <c r="D4457" s="36">
        <v>45174.0</v>
      </c>
      <c r="E4457" s="24"/>
      <c r="F4457" s="14" t="s">
        <v>6012</v>
      </c>
      <c r="G4457" s="14">
        <v>576.92</v>
      </c>
      <c r="H4457" s="14">
        <v>0.0</v>
      </c>
      <c r="I4457" s="14" t="s">
        <v>6057</v>
      </c>
      <c r="J4457" s="14" t="s">
        <v>6012</v>
      </c>
      <c r="K4457" s="14" t="s">
        <v>6012</v>
      </c>
      <c r="L4457" s="14">
        <v>0.0</v>
      </c>
    </row>
    <row r="4458">
      <c r="A4458" s="14">
        <v>196.0</v>
      </c>
      <c r="B4458" s="14">
        <v>2.0</v>
      </c>
      <c r="C4458" s="34">
        <v>12.47</v>
      </c>
      <c r="D4458" s="36">
        <v>45174.0</v>
      </c>
      <c r="E4458" s="24"/>
      <c r="F4458" s="14">
        <v>6.24</v>
      </c>
      <c r="G4458" s="14">
        <v>63.62</v>
      </c>
      <c r="H4458" s="14">
        <v>1.02</v>
      </c>
      <c r="I4458" s="14" t="s">
        <v>6060</v>
      </c>
      <c r="J4458" s="14">
        <v>0.0</v>
      </c>
      <c r="K4458" s="14" t="s">
        <v>6012</v>
      </c>
      <c r="L4458" s="14">
        <v>0.0</v>
      </c>
    </row>
    <row r="4459">
      <c r="A4459" s="14">
        <v>32.0</v>
      </c>
      <c r="B4459" s="14">
        <v>0.0</v>
      </c>
      <c r="C4459" s="34">
        <v>12.23</v>
      </c>
      <c r="D4459" s="36">
        <v>45175.0</v>
      </c>
      <c r="E4459" s="24"/>
      <c r="F4459" s="14" t="s">
        <v>6012</v>
      </c>
      <c r="G4459" s="14">
        <v>382.19</v>
      </c>
      <c r="H4459" s="14">
        <v>0.0</v>
      </c>
      <c r="I4459" s="14" t="s">
        <v>6057</v>
      </c>
      <c r="J4459" s="14" t="s">
        <v>6012</v>
      </c>
      <c r="K4459" s="14" t="s">
        <v>6012</v>
      </c>
      <c r="L4459" s="14">
        <v>0.0</v>
      </c>
    </row>
    <row r="4460">
      <c r="A4460" s="14">
        <v>290.0</v>
      </c>
      <c r="B4460" s="14">
        <v>4.0</v>
      </c>
      <c r="C4460" s="34">
        <v>11.39</v>
      </c>
      <c r="D4460" s="36">
        <v>45175.0</v>
      </c>
      <c r="E4460" s="24"/>
      <c r="F4460" s="14">
        <v>2.85</v>
      </c>
      <c r="G4460" s="14">
        <v>39.28</v>
      </c>
      <c r="H4460" s="14">
        <v>1.38</v>
      </c>
      <c r="I4460" s="14" t="s">
        <v>6060</v>
      </c>
      <c r="J4460" s="14">
        <v>50.0</v>
      </c>
      <c r="K4460" s="14">
        <v>5.7</v>
      </c>
      <c r="L4460" s="14">
        <v>0.0</v>
      </c>
    </row>
    <row r="4461">
      <c r="A4461" s="14">
        <v>20.0</v>
      </c>
      <c r="B4461" s="14">
        <v>0.0</v>
      </c>
      <c r="C4461" s="34">
        <v>12.24</v>
      </c>
      <c r="D4461" s="36">
        <v>45175.0</v>
      </c>
      <c r="E4461" s="24"/>
      <c r="F4461" s="14" t="s">
        <v>6012</v>
      </c>
      <c r="G4461" s="14">
        <v>612.0</v>
      </c>
      <c r="H4461" s="14">
        <v>0.0</v>
      </c>
      <c r="I4461" s="14" t="s">
        <v>6059</v>
      </c>
      <c r="J4461" s="14" t="s">
        <v>6012</v>
      </c>
      <c r="K4461" s="14" t="s">
        <v>6012</v>
      </c>
      <c r="L4461" s="14">
        <v>0.0</v>
      </c>
    </row>
    <row r="4462">
      <c r="A4462" s="14">
        <v>939.0</v>
      </c>
      <c r="B4462" s="14">
        <v>6.0</v>
      </c>
      <c r="C4462" s="34">
        <v>12.63</v>
      </c>
      <c r="D4462" s="36">
        <v>45175.0</v>
      </c>
      <c r="E4462" s="24"/>
      <c r="F4462" s="14">
        <v>2.1</v>
      </c>
      <c r="G4462" s="14">
        <v>13.45</v>
      </c>
      <c r="H4462" s="14">
        <v>0.64</v>
      </c>
      <c r="I4462" s="14" t="s">
        <v>6050</v>
      </c>
      <c r="J4462" s="14">
        <v>16.67</v>
      </c>
      <c r="K4462" s="14">
        <v>12.63</v>
      </c>
      <c r="L4462" s="14">
        <v>0.0</v>
      </c>
    </row>
    <row r="4463">
      <c r="A4463" s="14">
        <v>74.0</v>
      </c>
      <c r="B4463" s="14">
        <v>1.0</v>
      </c>
      <c r="C4463" s="34">
        <v>12.03</v>
      </c>
      <c r="D4463" s="36">
        <v>45175.0</v>
      </c>
      <c r="E4463" s="24"/>
      <c r="F4463" s="14">
        <v>12.03</v>
      </c>
      <c r="G4463" s="14">
        <v>162.57</v>
      </c>
      <c r="H4463" s="14">
        <v>1.35</v>
      </c>
      <c r="I4463" s="14" t="s">
        <v>6058</v>
      </c>
      <c r="J4463" s="14">
        <v>0.0</v>
      </c>
      <c r="K4463" s="14" t="s">
        <v>6012</v>
      </c>
      <c r="L4463" s="14">
        <v>0.0</v>
      </c>
    </row>
    <row r="4464">
      <c r="A4464" s="14">
        <v>693.0</v>
      </c>
      <c r="B4464" s="14">
        <v>7.0</v>
      </c>
      <c r="C4464" s="34">
        <v>12.03</v>
      </c>
      <c r="D4464" s="36">
        <v>45175.0</v>
      </c>
      <c r="E4464" s="24"/>
      <c r="F4464" s="14">
        <v>1.72</v>
      </c>
      <c r="G4464" s="14">
        <v>17.36</v>
      </c>
      <c r="H4464" s="14">
        <v>1.01</v>
      </c>
      <c r="I4464" s="14" t="s">
        <v>6051</v>
      </c>
      <c r="J4464" s="14">
        <v>0.0</v>
      </c>
      <c r="K4464" s="14" t="s">
        <v>6012</v>
      </c>
      <c r="L4464" s="14">
        <v>0.0</v>
      </c>
    </row>
    <row r="4465">
      <c r="A4465" s="14">
        <v>48.0</v>
      </c>
      <c r="B4465" s="14">
        <v>0.0</v>
      </c>
      <c r="C4465" s="34">
        <v>13.92</v>
      </c>
      <c r="D4465" s="36">
        <v>45175.0</v>
      </c>
      <c r="E4465" s="24"/>
      <c r="F4465" s="14" t="s">
        <v>6012</v>
      </c>
      <c r="G4465" s="14">
        <v>290.0</v>
      </c>
      <c r="H4465" s="14">
        <v>0.0</v>
      </c>
      <c r="I4465" s="14" t="s">
        <v>6063</v>
      </c>
      <c r="J4465" s="14" t="s">
        <v>6012</v>
      </c>
      <c r="K4465" s="14">
        <v>13.92</v>
      </c>
      <c r="L4465" s="14">
        <v>0.0</v>
      </c>
    </row>
    <row r="4466">
      <c r="A4466" s="14">
        <v>89.0</v>
      </c>
      <c r="B4466" s="14">
        <v>0.0</v>
      </c>
      <c r="C4466" s="34">
        <v>11.98</v>
      </c>
      <c r="D4466" s="36">
        <v>45175.0</v>
      </c>
      <c r="E4466" s="24"/>
      <c r="F4466" s="14" t="s">
        <v>6012</v>
      </c>
      <c r="G4466" s="14">
        <v>134.61</v>
      </c>
      <c r="H4466" s="14">
        <v>0.0</v>
      </c>
      <c r="I4466" s="14" t="s">
        <v>6054</v>
      </c>
      <c r="J4466" s="14" t="s">
        <v>6012</v>
      </c>
      <c r="K4466" s="14">
        <v>11.98</v>
      </c>
      <c r="L4466" s="14">
        <v>0.0</v>
      </c>
    </row>
    <row r="4467">
      <c r="A4467" s="14">
        <v>150.0</v>
      </c>
      <c r="B4467" s="14">
        <v>0.0</v>
      </c>
      <c r="C4467" s="34">
        <v>13.66</v>
      </c>
      <c r="D4467" s="36">
        <v>45175.0</v>
      </c>
      <c r="E4467" s="24"/>
      <c r="F4467" s="14" t="s">
        <v>6012</v>
      </c>
      <c r="G4467" s="14">
        <v>91.07</v>
      </c>
      <c r="H4467" s="14">
        <v>0.0</v>
      </c>
      <c r="I4467" s="14" t="s">
        <v>6042</v>
      </c>
      <c r="J4467" s="14" t="s">
        <v>6012</v>
      </c>
      <c r="K4467" s="14" t="s">
        <v>6012</v>
      </c>
      <c r="L4467" s="14">
        <v>0.0</v>
      </c>
    </row>
    <row r="4468">
      <c r="A4468" s="14">
        <v>169.0</v>
      </c>
      <c r="B4468" s="14">
        <v>0.0</v>
      </c>
      <c r="C4468" s="34">
        <v>11.43</v>
      </c>
      <c r="D4468" s="36">
        <v>45175.0</v>
      </c>
      <c r="E4468" s="24"/>
      <c r="F4468" s="14" t="s">
        <v>6012</v>
      </c>
      <c r="G4468" s="14">
        <v>67.63</v>
      </c>
      <c r="H4468" s="14">
        <v>0.0</v>
      </c>
      <c r="I4468" s="14" t="s">
        <v>6062</v>
      </c>
      <c r="J4468" s="14" t="s">
        <v>6012</v>
      </c>
      <c r="K4468" s="14">
        <v>11.43</v>
      </c>
      <c r="L4468" s="14">
        <v>0.0</v>
      </c>
    </row>
    <row r="4469">
      <c r="A4469" s="14">
        <v>1.0</v>
      </c>
      <c r="B4469" s="14">
        <v>3.0</v>
      </c>
      <c r="C4469" s="34">
        <v>0.75</v>
      </c>
      <c r="D4469" s="36">
        <v>45175.0</v>
      </c>
      <c r="E4469" s="24"/>
      <c r="F4469" s="14">
        <v>0.25</v>
      </c>
      <c r="G4469" s="14">
        <v>750.0</v>
      </c>
      <c r="H4469" s="14">
        <v>300.0</v>
      </c>
      <c r="I4469" s="14" t="s">
        <v>6064</v>
      </c>
      <c r="J4469" s="14">
        <v>0.0</v>
      </c>
      <c r="K4469" s="14" t="s">
        <v>6012</v>
      </c>
      <c r="L4469" s="14">
        <v>0.0</v>
      </c>
    </row>
    <row r="4470">
      <c r="A4470" s="14">
        <v>89.0</v>
      </c>
      <c r="B4470" s="14">
        <v>1.0</v>
      </c>
      <c r="C4470" s="34">
        <v>12.58</v>
      </c>
      <c r="D4470" s="36">
        <v>45175.0</v>
      </c>
      <c r="E4470" s="24"/>
      <c r="F4470" s="14">
        <v>12.58</v>
      </c>
      <c r="G4470" s="14">
        <v>141.35</v>
      </c>
      <c r="H4470" s="14">
        <v>1.12</v>
      </c>
      <c r="I4470" s="14" t="s">
        <v>6061</v>
      </c>
      <c r="J4470" s="14">
        <v>0.0</v>
      </c>
      <c r="K4470" s="14" t="s">
        <v>6012</v>
      </c>
      <c r="L4470" s="14">
        <v>0.0</v>
      </c>
    </row>
    <row r="4471">
      <c r="A4471" s="14">
        <v>109.0</v>
      </c>
      <c r="B4471" s="14">
        <v>0.0</v>
      </c>
      <c r="C4471" s="34">
        <v>11.92</v>
      </c>
      <c r="D4471" s="36">
        <v>45176.0</v>
      </c>
      <c r="E4471" s="24"/>
      <c r="F4471" s="14" t="s">
        <v>6012</v>
      </c>
      <c r="G4471" s="14">
        <v>109.36</v>
      </c>
      <c r="H4471" s="14">
        <v>0.0</v>
      </c>
      <c r="I4471" s="14" t="s">
        <v>6062</v>
      </c>
      <c r="J4471" s="14" t="s">
        <v>6012</v>
      </c>
      <c r="K4471" s="14" t="s">
        <v>6012</v>
      </c>
      <c r="L4471" s="14">
        <v>0.0</v>
      </c>
    </row>
    <row r="4472">
      <c r="A4472" s="14">
        <v>38.0</v>
      </c>
      <c r="B4472" s="14">
        <v>2.0</v>
      </c>
      <c r="C4472" s="34">
        <v>11.44</v>
      </c>
      <c r="D4472" s="36">
        <v>45176.0</v>
      </c>
      <c r="E4472" s="24"/>
      <c r="F4472" s="14">
        <v>5.72</v>
      </c>
      <c r="G4472" s="14">
        <v>301.05</v>
      </c>
      <c r="H4472" s="14">
        <v>5.26</v>
      </c>
      <c r="I4472" s="14" t="s">
        <v>6057</v>
      </c>
      <c r="J4472" s="14">
        <v>0.0</v>
      </c>
      <c r="K4472" s="14" t="s">
        <v>6012</v>
      </c>
      <c r="L4472" s="14">
        <v>0.0</v>
      </c>
    </row>
    <row r="4473">
      <c r="A4473" s="14">
        <v>105.0</v>
      </c>
      <c r="B4473" s="14">
        <v>0.0</v>
      </c>
      <c r="C4473" s="34">
        <v>11.6</v>
      </c>
      <c r="D4473" s="36">
        <v>45176.0</v>
      </c>
      <c r="E4473" s="24"/>
      <c r="F4473" s="14" t="s">
        <v>6012</v>
      </c>
      <c r="G4473" s="14">
        <v>110.48</v>
      </c>
      <c r="H4473" s="14">
        <v>0.0</v>
      </c>
      <c r="I4473" s="14" t="s">
        <v>6054</v>
      </c>
      <c r="J4473" s="14" t="s">
        <v>6012</v>
      </c>
      <c r="K4473" s="14" t="s">
        <v>6012</v>
      </c>
      <c r="L4473" s="14">
        <v>0.0</v>
      </c>
    </row>
    <row r="4474">
      <c r="A4474" s="14">
        <v>149.0</v>
      </c>
      <c r="B4474" s="14">
        <v>1.0</v>
      </c>
      <c r="C4474" s="34">
        <v>13.23</v>
      </c>
      <c r="D4474" s="36">
        <v>45176.0</v>
      </c>
      <c r="E4474" s="24"/>
      <c r="F4474" s="14">
        <v>13.23</v>
      </c>
      <c r="G4474" s="14">
        <v>88.79</v>
      </c>
      <c r="H4474" s="14">
        <v>0.67</v>
      </c>
      <c r="I4474" s="14" t="s">
        <v>6042</v>
      </c>
      <c r="J4474" s="14">
        <v>0.0</v>
      </c>
      <c r="K4474" s="14" t="s">
        <v>6012</v>
      </c>
      <c r="L4474" s="14">
        <v>0.0</v>
      </c>
    </row>
    <row r="4475">
      <c r="A4475" s="14">
        <v>1.0</v>
      </c>
      <c r="B4475" s="14">
        <v>1.0</v>
      </c>
      <c r="C4475" s="34">
        <v>0.75</v>
      </c>
      <c r="D4475" s="36">
        <v>45176.0</v>
      </c>
      <c r="E4475" s="24"/>
      <c r="F4475" s="14">
        <v>0.75</v>
      </c>
      <c r="G4475" s="14">
        <v>750.0</v>
      </c>
      <c r="H4475" s="14">
        <v>100.0</v>
      </c>
      <c r="I4475" s="14" t="s">
        <v>6064</v>
      </c>
      <c r="J4475" s="14">
        <v>0.0</v>
      </c>
      <c r="K4475" s="14" t="s">
        <v>6012</v>
      </c>
      <c r="L4475" s="14">
        <v>0.0</v>
      </c>
    </row>
    <row r="4476">
      <c r="A4476" s="14">
        <v>74.0</v>
      </c>
      <c r="B4476" s="14">
        <v>2.0</v>
      </c>
      <c r="C4476" s="34">
        <v>11.31</v>
      </c>
      <c r="D4476" s="36">
        <v>45176.0</v>
      </c>
      <c r="E4476" s="24"/>
      <c r="F4476" s="14">
        <v>5.66</v>
      </c>
      <c r="G4476" s="14">
        <v>152.84</v>
      </c>
      <c r="H4476" s="14">
        <v>2.7</v>
      </c>
      <c r="I4476" s="14" t="s">
        <v>6061</v>
      </c>
      <c r="J4476" s="14">
        <v>0.0</v>
      </c>
      <c r="K4476" s="14" t="s">
        <v>6012</v>
      </c>
      <c r="L4476" s="14">
        <v>0.0</v>
      </c>
    </row>
    <row r="4477">
      <c r="A4477" s="14">
        <v>921.0</v>
      </c>
      <c r="B4477" s="14">
        <v>6.0</v>
      </c>
      <c r="C4477" s="34">
        <v>11.98</v>
      </c>
      <c r="D4477" s="36">
        <v>45176.0</v>
      </c>
      <c r="E4477" s="24"/>
      <c r="F4477" s="14">
        <v>2.0</v>
      </c>
      <c r="G4477" s="14">
        <v>13.01</v>
      </c>
      <c r="H4477" s="14">
        <v>0.65</v>
      </c>
      <c r="I4477" s="14" t="s">
        <v>6050</v>
      </c>
      <c r="J4477" s="14">
        <v>0.0</v>
      </c>
      <c r="K4477" s="14" t="s">
        <v>6012</v>
      </c>
      <c r="L4477" s="14">
        <v>0.0</v>
      </c>
    </row>
    <row r="4478">
      <c r="A4478" s="14">
        <v>766.0</v>
      </c>
      <c r="B4478" s="14">
        <v>6.0</v>
      </c>
      <c r="C4478" s="34">
        <v>12.15</v>
      </c>
      <c r="D4478" s="36">
        <v>45176.0</v>
      </c>
      <c r="E4478" s="24"/>
      <c r="F4478" s="14">
        <v>2.02</v>
      </c>
      <c r="G4478" s="14">
        <v>15.86</v>
      </c>
      <c r="H4478" s="14">
        <v>0.78</v>
      </c>
      <c r="I4478" s="14" t="s">
        <v>6051</v>
      </c>
      <c r="J4478" s="14">
        <v>0.0</v>
      </c>
      <c r="K4478" s="14" t="s">
        <v>6012</v>
      </c>
      <c r="L4478" s="14">
        <v>0.0</v>
      </c>
    </row>
    <row r="4479">
      <c r="A4479" s="14">
        <v>406.0</v>
      </c>
      <c r="B4479" s="14">
        <v>5.0</v>
      </c>
      <c r="C4479" s="34">
        <v>11.32</v>
      </c>
      <c r="D4479" s="36">
        <v>45176.0</v>
      </c>
      <c r="E4479" s="24"/>
      <c r="F4479" s="14">
        <v>2.26</v>
      </c>
      <c r="G4479" s="14">
        <v>27.88</v>
      </c>
      <c r="H4479" s="14">
        <v>1.23</v>
      </c>
      <c r="I4479" s="14" t="s">
        <v>6060</v>
      </c>
      <c r="J4479" s="14">
        <v>20.0</v>
      </c>
      <c r="K4479" s="14">
        <v>11.32</v>
      </c>
      <c r="L4479" s="14">
        <v>0.0</v>
      </c>
    </row>
    <row r="4480">
      <c r="A4480" s="14">
        <v>59.0</v>
      </c>
      <c r="B4480" s="14">
        <v>0.0</v>
      </c>
      <c r="C4480" s="34">
        <v>12.19</v>
      </c>
      <c r="D4480" s="36">
        <v>45176.0</v>
      </c>
      <c r="E4480" s="24"/>
      <c r="F4480" s="14" t="s">
        <v>6012</v>
      </c>
      <c r="G4480" s="14">
        <v>206.61</v>
      </c>
      <c r="H4480" s="14">
        <v>0.0</v>
      </c>
      <c r="I4480" s="14" t="s">
        <v>6058</v>
      </c>
      <c r="J4480" s="14" t="s">
        <v>6012</v>
      </c>
      <c r="K4480" s="14" t="s">
        <v>6012</v>
      </c>
      <c r="L4480" s="14">
        <v>0.0</v>
      </c>
    </row>
    <row r="4481">
      <c r="A4481" s="14">
        <v>37.0</v>
      </c>
      <c r="B4481" s="14">
        <v>0.0</v>
      </c>
      <c r="C4481" s="34">
        <v>11.54</v>
      </c>
      <c r="D4481" s="36">
        <v>45176.0</v>
      </c>
      <c r="E4481" s="24"/>
      <c r="F4481" s="14" t="s">
        <v>6012</v>
      </c>
      <c r="G4481" s="14">
        <v>311.89</v>
      </c>
      <c r="H4481" s="14">
        <v>0.0</v>
      </c>
      <c r="I4481" s="14" t="s">
        <v>6063</v>
      </c>
      <c r="J4481" s="14" t="s">
        <v>6012</v>
      </c>
      <c r="K4481" s="14" t="s">
        <v>6012</v>
      </c>
      <c r="L4481" s="14">
        <v>0.0</v>
      </c>
    </row>
    <row r="4482">
      <c r="A4482" s="14">
        <v>30.0</v>
      </c>
      <c r="B4482" s="14">
        <v>0.0</v>
      </c>
      <c r="C4482" s="34">
        <v>12.97</v>
      </c>
      <c r="D4482" s="36">
        <v>45176.0</v>
      </c>
      <c r="E4482" s="24"/>
      <c r="F4482" s="14" t="s">
        <v>6012</v>
      </c>
      <c r="G4482" s="14">
        <v>432.33</v>
      </c>
      <c r="H4482" s="14">
        <v>0.0</v>
      </c>
      <c r="I4482" s="14" t="s">
        <v>6059</v>
      </c>
      <c r="J4482" s="14" t="s">
        <v>6012</v>
      </c>
      <c r="K4482" s="14" t="s">
        <v>6012</v>
      </c>
      <c r="L4482" s="14">
        <v>0.0</v>
      </c>
    </row>
    <row r="4483">
      <c r="A4483" s="14">
        <v>189.0</v>
      </c>
      <c r="B4483" s="14">
        <v>0.0</v>
      </c>
      <c r="C4483" s="34">
        <v>11.49</v>
      </c>
      <c r="D4483" s="36">
        <v>45177.0</v>
      </c>
      <c r="E4483" s="24"/>
      <c r="F4483" s="14" t="s">
        <v>6012</v>
      </c>
      <c r="G4483" s="14">
        <v>60.79</v>
      </c>
      <c r="H4483" s="14">
        <v>0.0</v>
      </c>
      <c r="I4483" s="14" t="s">
        <v>6042</v>
      </c>
      <c r="J4483" s="14" t="s">
        <v>6012</v>
      </c>
      <c r="K4483" s="14" t="s">
        <v>6012</v>
      </c>
      <c r="L4483" s="14">
        <v>0.0</v>
      </c>
    </row>
    <row r="4484">
      <c r="A4484" s="14">
        <v>1.0</v>
      </c>
      <c r="B4484" s="14">
        <v>2.0</v>
      </c>
      <c r="C4484" s="34">
        <v>0.75</v>
      </c>
      <c r="D4484" s="36">
        <v>45177.0</v>
      </c>
      <c r="E4484" s="24"/>
      <c r="F4484" s="14">
        <v>0.38</v>
      </c>
      <c r="G4484" s="14">
        <v>750.0</v>
      </c>
      <c r="H4484" s="14">
        <v>200.0</v>
      </c>
      <c r="I4484" s="14" t="s">
        <v>6064</v>
      </c>
      <c r="J4484" s="14">
        <v>0.0</v>
      </c>
      <c r="K4484" s="14" t="s">
        <v>6012</v>
      </c>
      <c r="L4484" s="14">
        <v>0.0</v>
      </c>
    </row>
    <row r="4485">
      <c r="A4485" s="14">
        <v>714.0</v>
      </c>
      <c r="B4485" s="14">
        <v>7.0</v>
      </c>
      <c r="C4485" s="34">
        <v>11.01</v>
      </c>
      <c r="D4485" s="36">
        <v>45177.0</v>
      </c>
      <c r="E4485" s="24"/>
      <c r="F4485" s="14">
        <v>1.57</v>
      </c>
      <c r="G4485" s="14">
        <v>15.42</v>
      </c>
      <c r="H4485" s="14">
        <v>0.98</v>
      </c>
      <c r="I4485" s="14" t="s">
        <v>6050</v>
      </c>
      <c r="J4485" s="14">
        <v>0.0</v>
      </c>
      <c r="K4485" s="14" t="s">
        <v>6012</v>
      </c>
      <c r="L4485" s="14">
        <v>0.0</v>
      </c>
    </row>
    <row r="4486">
      <c r="A4486" s="14">
        <v>19.0</v>
      </c>
      <c r="B4486" s="14">
        <v>2.0</v>
      </c>
      <c r="C4486" s="34">
        <v>12.43</v>
      </c>
      <c r="D4486" s="36">
        <v>45177.0</v>
      </c>
      <c r="E4486" s="24"/>
      <c r="F4486" s="14">
        <v>6.22</v>
      </c>
      <c r="G4486" s="14">
        <v>654.21</v>
      </c>
      <c r="H4486" s="14">
        <v>10.53</v>
      </c>
      <c r="I4486" s="14" t="s">
        <v>6057</v>
      </c>
      <c r="J4486" s="14">
        <v>0.0</v>
      </c>
      <c r="K4486" s="14" t="s">
        <v>6012</v>
      </c>
      <c r="L4486" s="14">
        <v>0.0</v>
      </c>
    </row>
    <row r="4487">
      <c r="A4487" s="14">
        <v>180.0</v>
      </c>
      <c r="B4487" s="14">
        <v>5.0</v>
      </c>
      <c r="C4487" s="34">
        <v>10.72</v>
      </c>
      <c r="D4487" s="36">
        <v>45177.0</v>
      </c>
      <c r="E4487" s="24"/>
      <c r="F4487" s="14">
        <v>2.14</v>
      </c>
      <c r="G4487" s="14">
        <v>59.56</v>
      </c>
      <c r="H4487" s="14">
        <v>2.78</v>
      </c>
      <c r="I4487" s="14" t="s">
        <v>6062</v>
      </c>
      <c r="J4487" s="14">
        <v>60.0</v>
      </c>
      <c r="K4487" s="14">
        <v>3.57</v>
      </c>
      <c r="L4487" s="14">
        <v>0.0</v>
      </c>
    </row>
    <row r="4488">
      <c r="A4488" s="14">
        <v>69.0</v>
      </c>
      <c r="B4488" s="14">
        <v>1.0</v>
      </c>
      <c r="C4488" s="34">
        <v>10.2</v>
      </c>
      <c r="D4488" s="36">
        <v>45177.0</v>
      </c>
      <c r="E4488" s="24"/>
      <c r="F4488" s="14">
        <v>10.2</v>
      </c>
      <c r="G4488" s="14">
        <v>147.83</v>
      </c>
      <c r="H4488" s="14">
        <v>1.45</v>
      </c>
      <c r="I4488" s="14" t="s">
        <v>6061</v>
      </c>
      <c r="J4488" s="14">
        <v>200.0</v>
      </c>
      <c r="K4488" s="14">
        <v>5.1</v>
      </c>
      <c r="L4488" s="14">
        <v>0.0</v>
      </c>
    </row>
    <row r="4489">
      <c r="A4489" s="14">
        <v>678.0</v>
      </c>
      <c r="B4489" s="14">
        <v>4.0</v>
      </c>
      <c r="C4489" s="34">
        <v>10.87</v>
      </c>
      <c r="D4489" s="36">
        <v>45177.0</v>
      </c>
      <c r="E4489" s="24"/>
      <c r="F4489" s="14">
        <v>2.72</v>
      </c>
      <c r="G4489" s="14">
        <v>16.03</v>
      </c>
      <c r="H4489" s="14">
        <v>0.59</v>
      </c>
      <c r="I4489" s="14" t="s">
        <v>6051</v>
      </c>
      <c r="J4489" s="14">
        <v>0.0</v>
      </c>
      <c r="K4489" s="14" t="s">
        <v>6012</v>
      </c>
      <c r="L4489" s="14">
        <v>0.0</v>
      </c>
    </row>
    <row r="4490">
      <c r="A4490" s="14">
        <v>38.0</v>
      </c>
      <c r="B4490" s="14">
        <v>0.0</v>
      </c>
      <c r="C4490" s="34">
        <v>10.04</v>
      </c>
      <c r="D4490" s="36">
        <v>45177.0</v>
      </c>
      <c r="E4490" s="24"/>
      <c r="F4490" s="14" t="s">
        <v>6012</v>
      </c>
      <c r="G4490" s="14">
        <v>264.21</v>
      </c>
      <c r="H4490" s="14">
        <v>0.0</v>
      </c>
      <c r="I4490" s="14" t="s">
        <v>6058</v>
      </c>
      <c r="J4490" s="14" t="s">
        <v>6012</v>
      </c>
      <c r="K4490" s="14" t="s">
        <v>6012</v>
      </c>
      <c r="L4490" s="14">
        <v>0.0</v>
      </c>
    </row>
    <row r="4491">
      <c r="A4491" s="14">
        <v>27.0</v>
      </c>
      <c r="B4491" s="14">
        <v>0.0</v>
      </c>
      <c r="C4491" s="34">
        <v>9.93</v>
      </c>
      <c r="D4491" s="36">
        <v>45177.0</v>
      </c>
      <c r="E4491" s="24"/>
      <c r="F4491" s="14" t="s">
        <v>6012</v>
      </c>
      <c r="G4491" s="14">
        <v>367.78</v>
      </c>
      <c r="H4491" s="14">
        <v>0.0</v>
      </c>
      <c r="I4491" s="14" t="s">
        <v>6059</v>
      </c>
      <c r="J4491" s="14" t="s">
        <v>6012</v>
      </c>
      <c r="K4491" s="14" t="s">
        <v>6012</v>
      </c>
      <c r="L4491" s="14">
        <v>0.0</v>
      </c>
    </row>
    <row r="4492">
      <c r="A4492" s="14">
        <v>44.0</v>
      </c>
      <c r="B4492" s="14">
        <v>1.0</v>
      </c>
      <c r="C4492" s="34">
        <v>11.11</v>
      </c>
      <c r="D4492" s="36">
        <v>45177.0</v>
      </c>
      <c r="E4492" s="24"/>
      <c r="F4492" s="14">
        <v>11.11</v>
      </c>
      <c r="G4492" s="14">
        <v>252.5</v>
      </c>
      <c r="H4492" s="14">
        <v>2.27</v>
      </c>
      <c r="I4492" s="14" t="s">
        <v>6063</v>
      </c>
      <c r="J4492" s="14">
        <v>100.0</v>
      </c>
      <c r="K4492" s="14">
        <v>11.11</v>
      </c>
      <c r="L4492" s="14">
        <v>0.0</v>
      </c>
    </row>
    <row r="4493">
      <c r="A4493" s="14">
        <v>128.0</v>
      </c>
      <c r="B4493" s="14">
        <v>2.0</v>
      </c>
      <c r="C4493" s="34">
        <v>10.08</v>
      </c>
      <c r="D4493" s="36">
        <v>45177.0</v>
      </c>
      <c r="E4493" s="24"/>
      <c r="F4493" s="14">
        <v>5.04</v>
      </c>
      <c r="G4493" s="14">
        <v>78.75</v>
      </c>
      <c r="H4493" s="14">
        <v>1.56</v>
      </c>
      <c r="I4493" s="14" t="s">
        <v>6060</v>
      </c>
      <c r="J4493" s="14">
        <v>100.0</v>
      </c>
      <c r="K4493" s="14">
        <v>5.04</v>
      </c>
      <c r="L4493" s="14">
        <v>0.0</v>
      </c>
    </row>
    <row r="4494">
      <c r="A4494" s="14">
        <v>50.0</v>
      </c>
      <c r="B4494" s="14">
        <v>0.0</v>
      </c>
      <c r="C4494" s="34">
        <v>10.03</v>
      </c>
      <c r="D4494" s="36">
        <v>45177.0</v>
      </c>
      <c r="E4494" s="24"/>
      <c r="F4494" s="14" t="s">
        <v>6012</v>
      </c>
      <c r="G4494" s="14">
        <v>200.6</v>
      </c>
      <c r="H4494" s="14">
        <v>0.0</v>
      </c>
      <c r="I4494" s="14" t="s">
        <v>6054</v>
      </c>
      <c r="J4494" s="14" t="s">
        <v>6012</v>
      </c>
      <c r="K4494" s="14" t="s">
        <v>6012</v>
      </c>
      <c r="L4494" s="14">
        <v>0.0</v>
      </c>
    </row>
    <row r="4495">
      <c r="A4495" s="14">
        <v>349.0</v>
      </c>
      <c r="B4495" s="14">
        <v>4.0</v>
      </c>
      <c r="C4495" s="34">
        <v>6.3</v>
      </c>
      <c r="D4495" s="36">
        <v>45178.0</v>
      </c>
      <c r="E4495" s="24"/>
      <c r="F4495" s="14">
        <v>1.58</v>
      </c>
      <c r="G4495" s="14">
        <v>18.05</v>
      </c>
      <c r="H4495" s="14">
        <v>1.15</v>
      </c>
      <c r="I4495" s="14" t="s">
        <v>6051</v>
      </c>
      <c r="J4495" s="14">
        <v>0.0</v>
      </c>
      <c r="K4495" s="14" t="s">
        <v>6012</v>
      </c>
      <c r="L4495" s="14">
        <v>0.0</v>
      </c>
    </row>
    <row r="4496">
      <c r="A4496" s="14">
        <v>3.0</v>
      </c>
      <c r="B4496" s="14">
        <v>1.0</v>
      </c>
      <c r="C4496" s="34">
        <v>2.25</v>
      </c>
      <c r="D4496" s="36">
        <v>45178.0</v>
      </c>
      <c r="E4496" s="24"/>
      <c r="F4496" s="14">
        <v>2.25</v>
      </c>
      <c r="G4496" s="14">
        <v>750.0</v>
      </c>
      <c r="H4496" s="14">
        <v>33.33</v>
      </c>
      <c r="I4496" s="14" t="s">
        <v>6064</v>
      </c>
      <c r="J4496" s="14">
        <v>0.0</v>
      </c>
      <c r="K4496" s="14" t="s">
        <v>6012</v>
      </c>
      <c r="L4496" s="14">
        <v>0.0</v>
      </c>
    </row>
    <row r="4497">
      <c r="A4497" s="14">
        <v>52.0</v>
      </c>
      <c r="B4497" s="14">
        <v>2.0</v>
      </c>
      <c r="C4497" s="34">
        <v>6.77</v>
      </c>
      <c r="D4497" s="36">
        <v>45178.0</v>
      </c>
      <c r="E4497" s="24"/>
      <c r="F4497" s="14">
        <v>3.38</v>
      </c>
      <c r="G4497" s="14">
        <v>130.19</v>
      </c>
      <c r="H4497" s="14">
        <v>3.85</v>
      </c>
      <c r="I4497" s="14" t="s">
        <v>6061</v>
      </c>
      <c r="J4497" s="14">
        <v>0.0</v>
      </c>
      <c r="K4497" s="14" t="s">
        <v>6012</v>
      </c>
      <c r="L4497" s="14">
        <v>0.0</v>
      </c>
    </row>
    <row r="4498">
      <c r="A4498" s="14">
        <v>18.0</v>
      </c>
      <c r="B4498" s="14">
        <v>0.0</v>
      </c>
      <c r="C4498" s="34">
        <v>7.19</v>
      </c>
      <c r="D4498" s="36">
        <v>45178.0</v>
      </c>
      <c r="E4498" s="24"/>
      <c r="F4498" s="14" t="s">
        <v>6012</v>
      </c>
      <c r="G4498" s="14">
        <v>399.44</v>
      </c>
      <c r="H4498" s="14">
        <v>0.0</v>
      </c>
      <c r="I4498" s="14" t="s">
        <v>6058</v>
      </c>
      <c r="J4498" s="14" t="s">
        <v>6012</v>
      </c>
      <c r="K4498" s="14" t="s">
        <v>6012</v>
      </c>
      <c r="L4498" s="14">
        <v>0.0</v>
      </c>
    </row>
    <row r="4499">
      <c r="A4499" s="14">
        <v>531.0</v>
      </c>
      <c r="B4499" s="14">
        <v>6.0</v>
      </c>
      <c r="C4499" s="34">
        <v>6.9</v>
      </c>
      <c r="D4499" s="36">
        <v>45178.0</v>
      </c>
      <c r="E4499" s="24"/>
      <c r="F4499" s="14">
        <v>1.15</v>
      </c>
      <c r="G4499" s="14">
        <v>12.99</v>
      </c>
      <c r="H4499" s="14">
        <v>1.13</v>
      </c>
      <c r="I4499" s="14" t="s">
        <v>6050</v>
      </c>
      <c r="J4499" s="14">
        <v>33.33</v>
      </c>
      <c r="K4499" s="14">
        <v>3.45</v>
      </c>
      <c r="L4499" s="14">
        <v>0.0</v>
      </c>
    </row>
    <row r="4500">
      <c r="A4500" s="14">
        <v>52.0</v>
      </c>
      <c r="B4500" s="14">
        <v>1.0</v>
      </c>
      <c r="C4500" s="34">
        <v>6.37</v>
      </c>
      <c r="D4500" s="36">
        <v>45178.0</v>
      </c>
      <c r="E4500" s="24"/>
      <c r="F4500" s="14">
        <v>6.37</v>
      </c>
      <c r="G4500" s="14">
        <v>122.5</v>
      </c>
      <c r="H4500" s="14">
        <v>1.92</v>
      </c>
      <c r="I4500" s="14" t="s">
        <v>6042</v>
      </c>
      <c r="J4500" s="14">
        <v>100.0</v>
      </c>
      <c r="K4500" s="14">
        <v>6.37</v>
      </c>
      <c r="L4500" s="14">
        <v>0.0</v>
      </c>
    </row>
    <row r="4501">
      <c r="A4501" s="14">
        <v>110.0</v>
      </c>
      <c r="B4501" s="14">
        <v>0.0</v>
      </c>
      <c r="C4501" s="34">
        <v>6.08</v>
      </c>
      <c r="D4501" s="36">
        <v>45178.0</v>
      </c>
      <c r="E4501" s="24"/>
      <c r="F4501" s="14" t="s">
        <v>6012</v>
      </c>
      <c r="G4501" s="14">
        <v>55.27</v>
      </c>
      <c r="H4501" s="14">
        <v>0.0</v>
      </c>
      <c r="I4501" s="14" t="s">
        <v>6062</v>
      </c>
      <c r="J4501" s="14" t="s">
        <v>6012</v>
      </c>
      <c r="K4501" s="14" t="s">
        <v>6012</v>
      </c>
      <c r="L4501" s="14">
        <v>0.0</v>
      </c>
    </row>
    <row r="4502">
      <c r="A4502" s="14">
        <v>30.0</v>
      </c>
      <c r="B4502" s="14">
        <v>0.0</v>
      </c>
      <c r="C4502" s="34">
        <v>7.88</v>
      </c>
      <c r="D4502" s="36">
        <v>45178.0</v>
      </c>
      <c r="E4502" s="24"/>
      <c r="F4502" s="14" t="s">
        <v>6012</v>
      </c>
      <c r="G4502" s="14">
        <v>262.67</v>
      </c>
      <c r="H4502" s="14">
        <v>0.0</v>
      </c>
      <c r="I4502" s="14" t="s">
        <v>6054</v>
      </c>
      <c r="J4502" s="14" t="s">
        <v>6012</v>
      </c>
      <c r="K4502" s="14">
        <v>7.88</v>
      </c>
      <c r="L4502" s="14">
        <v>0.0</v>
      </c>
    </row>
    <row r="4503">
      <c r="A4503" s="14">
        <v>22.0</v>
      </c>
      <c r="B4503" s="14">
        <v>0.0</v>
      </c>
      <c r="C4503" s="34">
        <v>5.03</v>
      </c>
      <c r="D4503" s="36">
        <v>45178.0</v>
      </c>
      <c r="E4503" s="24"/>
      <c r="F4503" s="14" t="s">
        <v>6012</v>
      </c>
      <c r="G4503" s="14">
        <v>228.64</v>
      </c>
      <c r="H4503" s="14">
        <v>0.0</v>
      </c>
      <c r="I4503" s="14" t="s">
        <v>6063</v>
      </c>
      <c r="J4503" s="14" t="s">
        <v>6012</v>
      </c>
      <c r="K4503" s="14" t="s">
        <v>6012</v>
      </c>
      <c r="L4503" s="14">
        <v>0.0</v>
      </c>
    </row>
    <row r="4504">
      <c r="A4504" s="14">
        <v>17.0</v>
      </c>
      <c r="B4504" s="14">
        <v>0.0</v>
      </c>
      <c r="C4504" s="34">
        <v>6.4</v>
      </c>
      <c r="D4504" s="36">
        <v>45178.0</v>
      </c>
      <c r="E4504" s="24"/>
      <c r="F4504" s="14" t="s">
        <v>6012</v>
      </c>
      <c r="G4504" s="14">
        <v>376.47</v>
      </c>
      <c r="H4504" s="14">
        <v>0.0</v>
      </c>
      <c r="I4504" s="14" t="s">
        <v>6057</v>
      </c>
      <c r="J4504" s="14" t="s">
        <v>6012</v>
      </c>
      <c r="K4504" s="14" t="s">
        <v>6012</v>
      </c>
      <c r="L4504" s="14">
        <v>0.0</v>
      </c>
    </row>
    <row r="4505">
      <c r="A4505" s="14">
        <v>59.0</v>
      </c>
      <c r="B4505" s="14">
        <v>0.0</v>
      </c>
      <c r="C4505" s="34">
        <v>6.64</v>
      </c>
      <c r="D4505" s="36">
        <v>45178.0</v>
      </c>
      <c r="E4505" s="24"/>
      <c r="F4505" s="14" t="s">
        <v>6012</v>
      </c>
      <c r="G4505" s="14">
        <v>112.54</v>
      </c>
      <c r="H4505" s="14">
        <v>0.0</v>
      </c>
      <c r="I4505" s="14" t="s">
        <v>6060</v>
      </c>
      <c r="J4505" s="14" t="s">
        <v>6012</v>
      </c>
      <c r="K4505" s="14" t="s">
        <v>6012</v>
      </c>
      <c r="L4505" s="14">
        <v>0.0</v>
      </c>
    </row>
    <row r="4506">
      <c r="A4506" s="14">
        <v>21.0</v>
      </c>
      <c r="B4506" s="14">
        <v>1.0</v>
      </c>
      <c r="C4506" s="34">
        <v>9.12</v>
      </c>
      <c r="D4506" s="36">
        <v>45178.0</v>
      </c>
      <c r="E4506" s="24"/>
      <c r="F4506" s="14">
        <v>9.12</v>
      </c>
      <c r="G4506" s="14">
        <v>434.29</v>
      </c>
      <c r="H4506" s="14">
        <v>4.76</v>
      </c>
      <c r="I4506" s="14" t="s">
        <v>6059</v>
      </c>
      <c r="J4506" s="14">
        <v>0.0</v>
      </c>
      <c r="K4506" s="14" t="s">
        <v>6012</v>
      </c>
      <c r="L4506" s="14">
        <v>1.0</v>
      </c>
    </row>
    <row r="4507">
      <c r="A4507" s="14">
        <v>4.0</v>
      </c>
      <c r="B4507" s="14">
        <v>3.0</v>
      </c>
      <c r="C4507" s="34">
        <v>3.0</v>
      </c>
      <c r="D4507" s="36">
        <v>45179.0</v>
      </c>
      <c r="E4507" s="24"/>
      <c r="F4507" s="14">
        <v>1.0</v>
      </c>
      <c r="G4507" s="14">
        <v>750.0</v>
      </c>
      <c r="H4507" s="14">
        <v>75.0</v>
      </c>
      <c r="I4507" s="14" t="s">
        <v>6064</v>
      </c>
      <c r="J4507" s="14">
        <v>0.0</v>
      </c>
      <c r="K4507" s="14" t="s">
        <v>6012</v>
      </c>
      <c r="L4507" s="14">
        <v>0.0</v>
      </c>
    </row>
    <row r="4508">
      <c r="A4508" s="14">
        <v>37.0</v>
      </c>
      <c r="B4508" s="14">
        <v>0.0</v>
      </c>
      <c r="C4508" s="34">
        <v>4.21</v>
      </c>
      <c r="D4508" s="36">
        <v>45179.0</v>
      </c>
      <c r="E4508" s="24"/>
      <c r="F4508" s="14" t="s">
        <v>6012</v>
      </c>
      <c r="G4508" s="14">
        <v>113.78</v>
      </c>
      <c r="H4508" s="14">
        <v>0.0</v>
      </c>
      <c r="I4508" s="14" t="s">
        <v>6054</v>
      </c>
      <c r="J4508" s="14" t="s">
        <v>6012</v>
      </c>
      <c r="K4508" s="14" t="s">
        <v>6012</v>
      </c>
      <c r="L4508" s="14">
        <v>0.0</v>
      </c>
    </row>
    <row r="4509">
      <c r="A4509" s="14">
        <v>115.0</v>
      </c>
      <c r="B4509" s="14">
        <v>4.0</v>
      </c>
      <c r="C4509" s="34">
        <v>6.07</v>
      </c>
      <c r="D4509" s="36">
        <v>45179.0</v>
      </c>
      <c r="E4509" s="24"/>
      <c r="F4509" s="14">
        <v>1.52</v>
      </c>
      <c r="G4509" s="14">
        <v>52.78</v>
      </c>
      <c r="H4509" s="14">
        <v>3.48</v>
      </c>
      <c r="I4509" s="14" t="s">
        <v>6060</v>
      </c>
      <c r="J4509" s="14">
        <v>0.0</v>
      </c>
      <c r="K4509" s="14" t="s">
        <v>6012</v>
      </c>
      <c r="L4509" s="14">
        <v>0.0</v>
      </c>
    </row>
    <row r="4510">
      <c r="A4510" s="14">
        <v>11.0</v>
      </c>
      <c r="B4510" s="14">
        <v>0.0</v>
      </c>
      <c r="C4510" s="34">
        <v>3.23</v>
      </c>
      <c r="D4510" s="36">
        <v>45179.0</v>
      </c>
      <c r="E4510" s="24"/>
      <c r="F4510" s="14" t="s">
        <v>6012</v>
      </c>
      <c r="G4510" s="14">
        <v>293.64</v>
      </c>
      <c r="H4510" s="14">
        <v>0.0</v>
      </c>
      <c r="I4510" s="14" t="s">
        <v>6063</v>
      </c>
      <c r="J4510" s="14" t="s">
        <v>6012</v>
      </c>
      <c r="K4510" s="14" t="s">
        <v>6012</v>
      </c>
      <c r="L4510" s="14">
        <v>0.0</v>
      </c>
    </row>
    <row r="4511">
      <c r="A4511" s="14">
        <v>575.0</v>
      </c>
      <c r="B4511" s="14">
        <v>4.0</v>
      </c>
      <c r="C4511" s="34">
        <v>6.85</v>
      </c>
      <c r="D4511" s="36">
        <v>45179.0</v>
      </c>
      <c r="E4511" s="24"/>
      <c r="F4511" s="14">
        <v>1.71</v>
      </c>
      <c r="G4511" s="14">
        <v>11.91</v>
      </c>
      <c r="H4511" s="14">
        <v>0.7</v>
      </c>
      <c r="I4511" s="14" t="s">
        <v>6050</v>
      </c>
      <c r="J4511" s="14">
        <v>0.0</v>
      </c>
      <c r="K4511" s="14" t="s">
        <v>6012</v>
      </c>
      <c r="L4511" s="14">
        <v>0.0</v>
      </c>
    </row>
    <row r="4512">
      <c r="A4512" s="14">
        <v>8.0</v>
      </c>
      <c r="B4512" s="14">
        <v>1.0</v>
      </c>
      <c r="C4512" s="34">
        <v>2.84</v>
      </c>
      <c r="D4512" s="36">
        <v>45179.0</v>
      </c>
      <c r="E4512" s="24"/>
      <c r="F4512" s="14">
        <v>2.84</v>
      </c>
      <c r="G4512" s="14">
        <v>355.0</v>
      </c>
      <c r="H4512" s="14">
        <v>12.5</v>
      </c>
      <c r="I4512" s="14" t="s">
        <v>6061</v>
      </c>
      <c r="J4512" s="14">
        <v>0.0</v>
      </c>
      <c r="K4512" s="14" t="s">
        <v>6012</v>
      </c>
      <c r="L4512" s="14">
        <v>0.0</v>
      </c>
    </row>
    <row r="4513">
      <c r="A4513" s="14">
        <v>26.0</v>
      </c>
      <c r="B4513" s="14">
        <v>0.0</v>
      </c>
      <c r="C4513" s="34">
        <v>4.58</v>
      </c>
      <c r="D4513" s="36">
        <v>45179.0</v>
      </c>
      <c r="E4513" s="24"/>
      <c r="F4513" s="14" t="s">
        <v>6012</v>
      </c>
      <c r="G4513" s="14">
        <v>176.15</v>
      </c>
      <c r="H4513" s="14">
        <v>0.0</v>
      </c>
      <c r="I4513" s="14" t="s">
        <v>6058</v>
      </c>
      <c r="J4513" s="14" t="s">
        <v>6012</v>
      </c>
      <c r="K4513" s="14" t="s">
        <v>6012</v>
      </c>
      <c r="L4513" s="14">
        <v>0.0</v>
      </c>
    </row>
    <row r="4514">
      <c r="A4514" s="14">
        <v>43.0</v>
      </c>
      <c r="B4514" s="14">
        <v>0.0</v>
      </c>
      <c r="C4514" s="34">
        <v>5.99</v>
      </c>
      <c r="D4514" s="36">
        <v>45179.0</v>
      </c>
      <c r="E4514" s="24"/>
      <c r="F4514" s="14" t="s">
        <v>6012</v>
      </c>
      <c r="G4514" s="14">
        <v>139.3</v>
      </c>
      <c r="H4514" s="14">
        <v>0.0</v>
      </c>
      <c r="I4514" s="14" t="s">
        <v>6062</v>
      </c>
      <c r="J4514" s="14" t="s">
        <v>6012</v>
      </c>
      <c r="K4514" s="14" t="s">
        <v>6012</v>
      </c>
      <c r="L4514" s="14">
        <v>0.0</v>
      </c>
    </row>
    <row r="4515">
      <c r="A4515" s="14">
        <v>49.0</v>
      </c>
      <c r="B4515" s="14">
        <v>0.0</v>
      </c>
      <c r="C4515" s="34">
        <v>5.35</v>
      </c>
      <c r="D4515" s="36">
        <v>45179.0</v>
      </c>
      <c r="E4515" s="24"/>
      <c r="F4515" s="14" t="s">
        <v>6012</v>
      </c>
      <c r="G4515" s="14">
        <v>109.18</v>
      </c>
      <c r="H4515" s="14">
        <v>0.0</v>
      </c>
      <c r="I4515" s="14" t="s">
        <v>6042</v>
      </c>
      <c r="J4515" s="14" t="s">
        <v>6012</v>
      </c>
      <c r="K4515" s="14" t="s">
        <v>6012</v>
      </c>
      <c r="L4515" s="14">
        <v>0.0</v>
      </c>
    </row>
    <row r="4516">
      <c r="A4516" s="14">
        <v>304.0</v>
      </c>
      <c r="B4516" s="14">
        <v>3.0</v>
      </c>
      <c r="C4516" s="34">
        <v>5.06</v>
      </c>
      <c r="D4516" s="36">
        <v>45179.0</v>
      </c>
      <c r="E4516" s="24"/>
      <c r="F4516" s="14">
        <v>1.69</v>
      </c>
      <c r="G4516" s="14">
        <v>16.64</v>
      </c>
      <c r="H4516" s="14">
        <v>0.99</v>
      </c>
      <c r="I4516" s="14" t="s">
        <v>6051</v>
      </c>
      <c r="J4516" s="14">
        <v>0.0</v>
      </c>
      <c r="K4516" s="14" t="s">
        <v>6012</v>
      </c>
      <c r="L4516" s="14">
        <v>0.0</v>
      </c>
    </row>
    <row r="4517">
      <c r="A4517" s="14">
        <v>821.0</v>
      </c>
      <c r="B4517" s="14">
        <v>9.0</v>
      </c>
      <c r="C4517" s="34">
        <v>11.14</v>
      </c>
      <c r="D4517" s="36">
        <v>45180.0</v>
      </c>
      <c r="E4517" s="24"/>
      <c r="F4517" s="14">
        <v>1.24</v>
      </c>
      <c r="G4517" s="14">
        <v>13.57</v>
      </c>
      <c r="H4517" s="14">
        <v>1.1</v>
      </c>
      <c r="I4517" s="14" t="s">
        <v>6050</v>
      </c>
      <c r="J4517" s="14">
        <v>22.22</v>
      </c>
      <c r="K4517" s="14">
        <v>5.57</v>
      </c>
      <c r="L4517" s="14">
        <v>0.0</v>
      </c>
    </row>
    <row r="4518">
      <c r="A4518" s="14">
        <v>4.0</v>
      </c>
      <c r="B4518" s="14">
        <v>6.0</v>
      </c>
      <c r="C4518" s="34">
        <v>3.0</v>
      </c>
      <c r="D4518" s="36">
        <v>45180.0</v>
      </c>
      <c r="E4518" s="24"/>
      <c r="F4518" s="14">
        <v>0.5</v>
      </c>
      <c r="G4518" s="14">
        <v>750.0</v>
      </c>
      <c r="H4518" s="14">
        <v>150.0</v>
      </c>
      <c r="I4518" s="14" t="s">
        <v>6064</v>
      </c>
      <c r="J4518" s="14">
        <v>0.0</v>
      </c>
      <c r="K4518" s="14" t="s">
        <v>6012</v>
      </c>
      <c r="L4518" s="14">
        <v>0.0</v>
      </c>
    </row>
    <row r="4519">
      <c r="A4519" s="14">
        <v>801.0</v>
      </c>
      <c r="B4519" s="14">
        <v>6.0</v>
      </c>
      <c r="C4519" s="34">
        <v>10.07</v>
      </c>
      <c r="D4519" s="36">
        <v>45180.0</v>
      </c>
      <c r="E4519" s="24"/>
      <c r="F4519" s="14">
        <v>1.68</v>
      </c>
      <c r="G4519" s="14">
        <v>12.57</v>
      </c>
      <c r="H4519" s="14">
        <v>0.75</v>
      </c>
      <c r="I4519" s="14" t="s">
        <v>6051</v>
      </c>
      <c r="J4519" s="14">
        <v>0.0</v>
      </c>
      <c r="K4519" s="14" t="s">
        <v>6012</v>
      </c>
      <c r="L4519" s="14">
        <v>0.0</v>
      </c>
    </row>
    <row r="4520">
      <c r="A4520" s="14">
        <v>29.0</v>
      </c>
      <c r="B4520" s="14">
        <v>1.0</v>
      </c>
      <c r="C4520" s="34">
        <v>13.93</v>
      </c>
      <c r="D4520" s="36">
        <v>45180.0</v>
      </c>
      <c r="E4520" s="24"/>
      <c r="F4520" s="14">
        <v>13.93</v>
      </c>
      <c r="G4520" s="14">
        <v>480.34</v>
      </c>
      <c r="H4520" s="14">
        <v>3.45</v>
      </c>
      <c r="I4520" s="14" t="s">
        <v>6059</v>
      </c>
      <c r="J4520" s="14">
        <v>0.0</v>
      </c>
      <c r="K4520" s="14" t="s">
        <v>6012</v>
      </c>
      <c r="L4520" s="14">
        <v>0.0</v>
      </c>
    </row>
    <row r="4521">
      <c r="A4521" s="14">
        <v>58.0</v>
      </c>
      <c r="B4521" s="14">
        <v>1.0</v>
      </c>
      <c r="C4521" s="34">
        <v>11.94</v>
      </c>
      <c r="D4521" s="36">
        <v>45180.0</v>
      </c>
      <c r="E4521" s="24"/>
      <c r="F4521" s="14">
        <v>11.94</v>
      </c>
      <c r="G4521" s="14">
        <v>205.86</v>
      </c>
      <c r="H4521" s="14">
        <v>1.72</v>
      </c>
      <c r="I4521" s="14" t="s">
        <v>6063</v>
      </c>
      <c r="J4521" s="14">
        <v>0.0</v>
      </c>
      <c r="K4521" s="14" t="s">
        <v>6012</v>
      </c>
      <c r="L4521" s="14">
        <v>0.0</v>
      </c>
    </row>
    <row r="4522">
      <c r="A4522" s="14">
        <v>114.0</v>
      </c>
      <c r="B4522" s="14">
        <v>1.0</v>
      </c>
      <c r="C4522" s="34">
        <v>10.91</v>
      </c>
      <c r="D4522" s="36">
        <v>45180.0</v>
      </c>
      <c r="E4522" s="24"/>
      <c r="F4522" s="14">
        <v>10.91</v>
      </c>
      <c r="G4522" s="14">
        <v>95.7</v>
      </c>
      <c r="H4522" s="14">
        <v>0.88</v>
      </c>
      <c r="I4522" s="14" t="s">
        <v>6061</v>
      </c>
      <c r="J4522" s="14">
        <v>0.0</v>
      </c>
      <c r="K4522" s="14" t="s">
        <v>6012</v>
      </c>
      <c r="L4522" s="14">
        <v>0.0</v>
      </c>
    </row>
    <row r="4523">
      <c r="A4523" s="14">
        <v>100.0</v>
      </c>
      <c r="B4523" s="14">
        <v>1.0</v>
      </c>
      <c r="C4523" s="34">
        <v>11.7</v>
      </c>
      <c r="D4523" s="36">
        <v>45180.0</v>
      </c>
      <c r="E4523" s="24"/>
      <c r="F4523" s="14">
        <v>11.7</v>
      </c>
      <c r="G4523" s="14">
        <v>117.0</v>
      </c>
      <c r="H4523" s="14">
        <v>1.0</v>
      </c>
      <c r="I4523" s="14" t="s">
        <v>6054</v>
      </c>
      <c r="J4523" s="14">
        <v>0.0</v>
      </c>
      <c r="K4523" s="14" t="s">
        <v>6012</v>
      </c>
      <c r="L4523" s="14">
        <v>0.0</v>
      </c>
    </row>
    <row r="4524">
      <c r="A4524" s="14">
        <v>50.0</v>
      </c>
      <c r="B4524" s="14">
        <v>1.0</v>
      </c>
      <c r="C4524" s="34">
        <v>11.41</v>
      </c>
      <c r="D4524" s="36">
        <v>45180.0</v>
      </c>
      <c r="E4524" s="24"/>
      <c r="F4524" s="14">
        <v>11.41</v>
      </c>
      <c r="G4524" s="14">
        <v>228.2</v>
      </c>
      <c r="H4524" s="14">
        <v>2.0</v>
      </c>
      <c r="I4524" s="14" t="s">
        <v>6057</v>
      </c>
      <c r="J4524" s="14">
        <v>0.0</v>
      </c>
      <c r="K4524" s="14" t="s">
        <v>6012</v>
      </c>
      <c r="L4524" s="14">
        <v>0.0</v>
      </c>
    </row>
    <row r="4525">
      <c r="A4525" s="14">
        <v>105.0</v>
      </c>
      <c r="B4525" s="14">
        <v>0.0</v>
      </c>
      <c r="C4525" s="34">
        <v>11.83</v>
      </c>
      <c r="D4525" s="36">
        <v>45180.0</v>
      </c>
      <c r="E4525" s="24"/>
      <c r="F4525" s="14" t="s">
        <v>6012</v>
      </c>
      <c r="G4525" s="14">
        <v>112.67</v>
      </c>
      <c r="H4525" s="14">
        <v>0.0</v>
      </c>
      <c r="I4525" s="14" t="s">
        <v>6062</v>
      </c>
      <c r="J4525" s="14" t="s">
        <v>6012</v>
      </c>
      <c r="K4525" s="14" t="s">
        <v>6012</v>
      </c>
      <c r="L4525" s="14">
        <v>0.0</v>
      </c>
    </row>
    <row r="4526">
      <c r="A4526" s="14">
        <v>402.0</v>
      </c>
      <c r="B4526" s="14">
        <v>4.0</v>
      </c>
      <c r="C4526" s="34">
        <v>11.71</v>
      </c>
      <c r="D4526" s="36">
        <v>45180.0</v>
      </c>
      <c r="E4526" s="24"/>
      <c r="F4526" s="14">
        <v>2.93</v>
      </c>
      <c r="G4526" s="14">
        <v>29.13</v>
      </c>
      <c r="H4526" s="14">
        <v>1.0</v>
      </c>
      <c r="I4526" s="14" t="s">
        <v>6060</v>
      </c>
      <c r="J4526" s="14">
        <v>0.0</v>
      </c>
      <c r="K4526" s="14" t="s">
        <v>6012</v>
      </c>
      <c r="L4526" s="14">
        <v>0.0</v>
      </c>
    </row>
    <row r="4527">
      <c r="A4527" s="14">
        <v>220.0</v>
      </c>
      <c r="B4527" s="14">
        <v>0.0</v>
      </c>
      <c r="C4527" s="34">
        <v>12.94</v>
      </c>
      <c r="D4527" s="36">
        <v>45180.0</v>
      </c>
      <c r="E4527" s="24"/>
      <c r="F4527" s="14" t="s">
        <v>6012</v>
      </c>
      <c r="G4527" s="14">
        <v>58.82</v>
      </c>
      <c r="H4527" s="14">
        <v>0.0</v>
      </c>
      <c r="I4527" s="14" t="s">
        <v>6042</v>
      </c>
      <c r="J4527" s="14" t="s">
        <v>6012</v>
      </c>
      <c r="K4527" s="14">
        <v>4.31</v>
      </c>
      <c r="L4527" s="14">
        <v>0.0</v>
      </c>
    </row>
    <row r="4528">
      <c r="A4528" s="14">
        <v>53.0</v>
      </c>
      <c r="B4528" s="14">
        <v>2.0</v>
      </c>
      <c r="C4528" s="34">
        <v>11.72</v>
      </c>
      <c r="D4528" s="36">
        <v>45180.0</v>
      </c>
      <c r="E4528" s="24"/>
      <c r="F4528" s="14">
        <v>5.86</v>
      </c>
      <c r="G4528" s="14">
        <v>221.13</v>
      </c>
      <c r="H4528" s="14">
        <v>3.77</v>
      </c>
      <c r="I4528" s="14" t="s">
        <v>6058</v>
      </c>
      <c r="J4528" s="14">
        <v>0.0</v>
      </c>
      <c r="K4528" s="14" t="s">
        <v>6012</v>
      </c>
      <c r="L4528" s="14">
        <v>0.0</v>
      </c>
    </row>
    <row r="4529">
      <c r="A4529" s="14">
        <v>138.0</v>
      </c>
      <c r="B4529" s="14">
        <v>1.0</v>
      </c>
      <c r="C4529" s="34">
        <v>11.64</v>
      </c>
      <c r="D4529" s="36">
        <v>45181.0</v>
      </c>
      <c r="E4529" s="24"/>
      <c r="F4529" s="14">
        <v>11.64</v>
      </c>
      <c r="G4529" s="14">
        <v>84.35</v>
      </c>
      <c r="H4529" s="14">
        <v>0.72</v>
      </c>
      <c r="I4529" s="14" t="s">
        <v>6062</v>
      </c>
      <c r="J4529" s="14">
        <v>0.0</v>
      </c>
      <c r="K4529" s="14" t="s">
        <v>6012</v>
      </c>
      <c r="L4529" s="14">
        <v>0.0</v>
      </c>
    </row>
    <row r="4530">
      <c r="A4530" s="14">
        <v>46.0</v>
      </c>
      <c r="B4530" s="14">
        <v>0.0</v>
      </c>
      <c r="C4530" s="34">
        <v>14.51</v>
      </c>
      <c r="D4530" s="36">
        <v>45181.0</v>
      </c>
      <c r="E4530" s="24"/>
      <c r="F4530" s="14" t="s">
        <v>6012</v>
      </c>
      <c r="G4530" s="14">
        <v>315.43</v>
      </c>
      <c r="H4530" s="14">
        <v>0.0</v>
      </c>
      <c r="I4530" s="14" t="s">
        <v>6063</v>
      </c>
      <c r="J4530" s="14" t="s">
        <v>6012</v>
      </c>
      <c r="K4530" s="14" t="s">
        <v>6012</v>
      </c>
      <c r="L4530" s="14">
        <v>0.0</v>
      </c>
    </row>
    <row r="4531">
      <c r="A4531" s="14">
        <v>2.0</v>
      </c>
      <c r="B4531" s="14">
        <v>7.0</v>
      </c>
      <c r="C4531" s="34">
        <v>1.5</v>
      </c>
      <c r="D4531" s="36">
        <v>45181.0</v>
      </c>
      <c r="E4531" s="24"/>
      <c r="F4531" s="14">
        <v>0.21</v>
      </c>
      <c r="G4531" s="14">
        <v>750.0</v>
      </c>
      <c r="H4531" s="14">
        <v>350.0</v>
      </c>
      <c r="I4531" s="14" t="s">
        <v>6064</v>
      </c>
      <c r="J4531" s="14">
        <v>0.0</v>
      </c>
      <c r="K4531" s="14" t="s">
        <v>6012</v>
      </c>
      <c r="L4531" s="14">
        <v>0.0</v>
      </c>
    </row>
    <row r="4532">
      <c r="A4532" s="14">
        <v>26.0</v>
      </c>
      <c r="B4532" s="14">
        <v>0.0</v>
      </c>
      <c r="C4532" s="34">
        <v>13.54</v>
      </c>
      <c r="D4532" s="36">
        <v>45181.0</v>
      </c>
      <c r="E4532" s="24"/>
      <c r="F4532" s="14" t="s">
        <v>6012</v>
      </c>
      <c r="G4532" s="14">
        <v>520.77</v>
      </c>
      <c r="H4532" s="14">
        <v>0.0</v>
      </c>
      <c r="I4532" s="14" t="s">
        <v>6059</v>
      </c>
      <c r="J4532" s="14" t="s">
        <v>6012</v>
      </c>
      <c r="K4532" s="14" t="s">
        <v>6012</v>
      </c>
      <c r="L4532" s="14">
        <v>0.0</v>
      </c>
    </row>
    <row r="4533">
      <c r="A4533" s="14">
        <v>884.0</v>
      </c>
      <c r="B4533" s="14">
        <v>5.0</v>
      </c>
      <c r="C4533" s="34">
        <v>11.09</v>
      </c>
      <c r="D4533" s="36">
        <v>45181.0</v>
      </c>
      <c r="E4533" s="24"/>
      <c r="F4533" s="14">
        <v>2.22</v>
      </c>
      <c r="G4533" s="14">
        <v>12.55</v>
      </c>
      <c r="H4533" s="14">
        <v>0.57</v>
      </c>
      <c r="I4533" s="14" t="s">
        <v>6050</v>
      </c>
      <c r="J4533" s="14">
        <v>40.0</v>
      </c>
      <c r="K4533" s="14">
        <v>5.54</v>
      </c>
      <c r="L4533" s="14">
        <v>0.0</v>
      </c>
    </row>
    <row r="4534">
      <c r="A4534" s="14">
        <v>63.0</v>
      </c>
      <c r="B4534" s="14">
        <v>0.0</v>
      </c>
      <c r="C4534" s="34">
        <v>12.96</v>
      </c>
      <c r="D4534" s="36">
        <v>45181.0</v>
      </c>
      <c r="E4534" s="24"/>
      <c r="F4534" s="14" t="s">
        <v>6012</v>
      </c>
      <c r="G4534" s="14">
        <v>205.71</v>
      </c>
      <c r="H4534" s="14">
        <v>0.0</v>
      </c>
      <c r="I4534" s="14" t="s">
        <v>6054</v>
      </c>
      <c r="J4534" s="14" t="s">
        <v>6012</v>
      </c>
      <c r="K4534" s="14" t="s">
        <v>6012</v>
      </c>
      <c r="L4534" s="14">
        <v>0.0</v>
      </c>
    </row>
    <row r="4535">
      <c r="A4535" s="14">
        <v>969.0</v>
      </c>
      <c r="B4535" s="14">
        <v>10.0</v>
      </c>
      <c r="C4535" s="34">
        <v>12.59</v>
      </c>
      <c r="D4535" s="36">
        <v>45181.0</v>
      </c>
      <c r="E4535" s="24"/>
      <c r="F4535" s="14">
        <v>1.26</v>
      </c>
      <c r="G4535" s="14">
        <v>12.99</v>
      </c>
      <c r="H4535" s="14">
        <v>1.03</v>
      </c>
      <c r="I4535" s="14" t="s">
        <v>6051</v>
      </c>
      <c r="J4535" s="14">
        <v>10.0</v>
      </c>
      <c r="K4535" s="14">
        <v>12.59</v>
      </c>
      <c r="L4535" s="14">
        <v>0.0</v>
      </c>
    </row>
    <row r="4536">
      <c r="A4536" s="14">
        <v>53.0</v>
      </c>
      <c r="B4536" s="14">
        <v>1.0</v>
      </c>
      <c r="C4536" s="34">
        <v>13.9</v>
      </c>
      <c r="D4536" s="36">
        <v>45181.0</v>
      </c>
      <c r="E4536" s="24"/>
      <c r="F4536" s="14">
        <v>13.9</v>
      </c>
      <c r="G4536" s="14">
        <v>262.26</v>
      </c>
      <c r="H4536" s="14">
        <v>1.89</v>
      </c>
      <c r="I4536" s="14" t="s">
        <v>6061</v>
      </c>
      <c r="J4536" s="14">
        <v>100.0</v>
      </c>
      <c r="K4536" s="14">
        <v>13.9</v>
      </c>
      <c r="L4536" s="14">
        <v>0.0</v>
      </c>
    </row>
    <row r="4537">
      <c r="A4537" s="14">
        <v>388.0</v>
      </c>
      <c r="B4537" s="14">
        <v>5.0</v>
      </c>
      <c r="C4537" s="34">
        <v>11.67</v>
      </c>
      <c r="D4537" s="36">
        <v>45181.0</v>
      </c>
      <c r="E4537" s="24"/>
      <c r="F4537" s="14">
        <v>2.33</v>
      </c>
      <c r="G4537" s="14">
        <v>30.08</v>
      </c>
      <c r="H4537" s="14">
        <v>1.29</v>
      </c>
      <c r="I4537" s="14" t="s">
        <v>6060</v>
      </c>
      <c r="J4537" s="14">
        <v>0.0</v>
      </c>
      <c r="K4537" s="14" t="s">
        <v>6012</v>
      </c>
      <c r="L4537" s="14">
        <v>0.0</v>
      </c>
    </row>
    <row r="4538">
      <c r="A4538" s="14">
        <v>46.0</v>
      </c>
      <c r="B4538" s="14">
        <v>1.0</v>
      </c>
      <c r="C4538" s="34">
        <v>12.34</v>
      </c>
      <c r="D4538" s="36">
        <v>45181.0</v>
      </c>
      <c r="E4538" s="24"/>
      <c r="F4538" s="14">
        <v>12.34</v>
      </c>
      <c r="G4538" s="14">
        <v>268.26</v>
      </c>
      <c r="H4538" s="14">
        <v>2.17</v>
      </c>
      <c r="I4538" s="14" t="s">
        <v>6058</v>
      </c>
      <c r="J4538" s="14">
        <v>100.0</v>
      </c>
      <c r="K4538" s="14">
        <v>12.34</v>
      </c>
      <c r="L4538" s="14">
        <v>0.0</v>
      </c>
    </row>
    <row r="4539">
      <c r="A4539" s="14">
        <v>193.0</v>
      </c>
      <c r="B4539" s="14">
        <v>1.0</v>
      </c>
      <c r="C4539" s="34">
        <v>13.28</v>
      </c>
      <c r="D4539" s="36">
        <v>45181.0</v>
      </c>
      <c r="E4539" s="24"/>
      <c r="F4539" s="14">
        <v>13.28</v>
      </c>
      <c r="G4539" s="14">
        <v>68.81</v>
      </c>
      <c r="H4539" s="14">
        <v>0.52</v>
      </c>
      <c r="I4539" s="14" t="s">
        <v>6042</v>
      </c>
      <c r="J4539" s="14">
        <v>0.0</v>
      </c>
      <c r="K4539" s="14" t="s">
        <v>6012</v>
      </c>
      <c r="L4539" s="14">
        <v>0.0</v>
      </c>
    </row>
    <row r="4540">
      <c r="A4540" s="14">
        <v>40.0</v>
      </c>
      <c r="B4540" s="14">
        <v>1.0</v>
      </c>
      <c r="C4540" s="34">
        <v>11.38</v>
      </c>
      <c r="D4540" s="36">
        <v>45181.0</v>
      </c>
      <c r="E4540" s="24"/>
      <c r="F4540" s="14">
        <v>11.38</v>
      </c>
      <c r="G4540" s="14">
        <v>284.5</v>
      </c>
      <c r="H4540" s="14">
        <v>2.5</v>
      </c>
      <c r="I4540" s="14" t="s">
        <v>6057</v>
      </c>
      <c r="J4540" s="14">
        <v>0.0</v>
      </c>
      <c r="K4540" s="14" t="s">
        <v>6012</v>
      </c>
      <c r="L4540" s="14">
        <v>0.0</v>
      </c>
    </row>
    <row r="4541">
      <c r="A4541" s="14">
        <v>25.0</v>
      </c>
      <c r="B4541" s="14">
        <v>0.0</v>
      </c>
      <c r="C4541" s="34">
        <v>13.29</v>
      </c>
      <c r="D4541" s="36">
        <v>45182.0</v>
      </c>
      <c r="E4541" s="24"/>
      <c r="F4541" s="14" t="s">
        <v>6012</v>
      </c>
      <c r="G4541" s="14">
        <v>531.6</v>
      </c>
      <c r="H4541" s="14">
        <v>0.0</v>
      </c>
      <c r="I4541" s="14" t="s">
        <v>6057</v>
      </c>
      <c r="J4541" s="14" t="s">
        <v>6012</v>
      </c>
      <c r="K4541" s="14" t="s">
        <v>6012</v>
      </c>
      <c r="L4541" s="14">
        <v>0.0</v>
      </c>
    </row>
    <row r="4542">
      <c r="A4542" s="14">
        <v>4.0</v>
      </c>
      <c r="B4542" s="14">
        <v>5.0</v>
      </c>
      <c r="C4542" s="34">
        <v>3.0</v>
      </c>
      <c r="D4542" s="36">
        <v>45182.0</v>
      </c>
      <c r="E4542" s="24"/>
      <c r="F4542" s="14">
        <v>0.6</v>
      </c>
      <c r="G4542" s="14">
        <v>750.0</v>
      </c>
      <c r="H4542" s="14">
        <v>125.0</v>
      </c>
      <c r="I4542" s="14" t="s">
        <v>6064</v>
      </c>
      <c r="J4542" s="14">
        <v>0.0</v>
      </c>
      <c r="K4542" s="14" t="s">
        <v>6012</v>
      </c>
      <c r="L4542" s="14">
        <v>0.0</v>
      </c>
    </row>
    <row r="4543">
      <c r="A4543" s="14">
        <v>41.0</v>
      </c>
      <c r="B4543" s="14">
        <v>0.0</v>
      </c>
      <c r="C4543" s="34">
        <v>14.64</v>
      </c>
      <c r="D4543" s="36">
        <v>45182.0</v>
      </c>
      <c r="E4543" s="24"/>
      <c r="F4543" s="14" t="s">
        <v>6012</v>
      </c>
      <c r="G4543" s="14">
        <v>357.07</v>
      </c>
      <c r="H4543" s="14">
        <v>0.0</v>
      </c>
      <c r="I4543" s="14" t="s">
        <v>6058</v>
      </c>
      <c r="J4543" s="14" t="s">
        <v>6012</v>
      </c>
      <c r="K4543" s="14" t="s">
        <v>6012</v>
      </c>
      <c r="L4543" s="14">
        <v>0.0</v>
      </c>
    </row>
    <row r="4544">
      <c r="A4544" s="14">
        <v>332.0</v>
      </c>
      <c r="B4544" s="14">
        <v>6.0</v>
      </c>
      <c r="C4544" s="34">
        <v>11.31</v>
      </c>
      <c r="D4544" s="36">
        <v>45182.0</v>
      </c>
      <c r="E4544" s="24"/>
      <c r="F4544" s="14">
        <v>1.88</v>
      </c>
      <c r="G4544" s="14">
        <v>34.07</v>
      </c>
      <c r="H4544" s="14">
        <v>1.81</v>
      </c>
      <c r="I4544" s="14" t="s">
        <v>6060</v>
      </c>
      <c r="J4544" s="14">
        <v>16.67</v>
      </c>
      <c r="K4544" s="14">
        <v>11.31</v>
      </c>
      <c r="L4544" s="14">
        <v>0.0</v>
      </c>
    </row>
    <row r="4545">
      <c r="A4545" s="14">
        <v>959.0</v>
      </c>
      <c r="B4545" s="14">
        <v>1.0</v>
      </c>
      <c r="C4545" s="34">
        <v>11.28</v>
      </c>
      <c r="D4545" s="36">
        <v>45182.0</v>
      </c>
      <c r="E4545" s="24"/>
      <c r="F4545" s="14">
        <v>11.28</v>
      </c>
      <c r="G4545" s="14">
        <v>11.76</v>
      </c>
      <c r="H4545" s="14">
        <v>0.1</v>
      </c>
      <c r="I4545" s="14" t="s">
        <v>6050</v>
      </c>
      <c r="J4545" s="14">
        <v>100.0</v>
      </c>
      <c r="K4545" s="14">
        <v>11.28</v>
      </c>
      <c r="L4545" s="14">
        <v>0.0</v>
      </c>
    </row>
    <row r="4546">
      <c r="A4546" s="14">
        <v>42.0</v>
      </c>
      <c r="B4546" s="14">
        <v>0.0</v>
      </c>
      <c r="C4546" s="34">
        <v>13.47</v>
      </c>
      <c r="D4546" s="36">
        <v>45182.0</v>
      </c>
      <c r="E4546" s="24"/>
      <c r="F4546" s="14" t="s">
        <v>6012</v>
      </c>
      <c r="G4546" s="14">
        <v>320.71</v>
      </c>
      <c r="H4546" s="14">
        <v>0.0</v>
      </c>
      <c r="I4546" s="14" t="s">
        <v>6063</v>
      </c>
      <c r="J4546" s="14" t="s">
        <v>6012</v>
      </c>
      <c r="K4546" s="14" t="s">
        <v>6012</v>
      </c>
      <c r="L4546" s="14">
        <v>0.0</v>
      </c>
    </row>
    <row r="4547">
      <c r="A4547" s="14">
        <v>900.0</v>
      </c>
      <c r="B4547" s="14">
        <v>9.0</v>
      </c>
      <c r="C4547" s="34">
        <v>11.86</v>
      </c>
      <c r="D4547" s="36">
        <v>45182.0</v>
      </c>
      <c r="E4547" s="24"/>
      <c r="F4547" s="14">
        <v>1.32</v>
      </c>
      <c r="G4547" s="14">
        <v>13.18</v>
      </c>
      <c r="H4547" s="14">
        <v>1.0</v>
      </c>
      <c r="I4547" s="14" t="s">
        <v>6051</v>
      </c>
      <c r="J4547" s="14">
        <v>0.0</v>
      </c>
      <c r="K4547" s="14" t="s">
        <v>6012</v>
      </c>
      <c r="L4547" s="14">
        <v>0.0</v>
      </c>
    </row>
    <row r="4548">
      <c r="A4548" s="14">
        <v>37.0</v>
      </c>
      <c r="B4548" s="14">
        <v>0.0</v>
      </c>
      <c r="C4548" s="34">
        <v>11.22</v>
      </c>
      <c r="D4548" s="36">
        <v>45182.0</v>
      </c>
      <c r="E4548" s="24"/>
      <c r="F4548" s="14" t="s">
        <v>6012</v>
      </c>
      <c r="G4548" s="14">
        <v>303.24</v>
      </c>
      <c r="H4548" s="14">
        <v>0.0</v>
      </c>
      <c r="I4548" s="14" t="s">
        <v>6054</v>
      </c>
      <c r="J4548" s="14" t="s">
        <v>6012</v>
      </c>
      <c r="K4548" s="14" t="s">
        <v>6012</v>
      </c>
      <c r="L4548" s="14">
        <v>0.0</v>
      </c>
    </row>
    <row r="4549">
      <c r="A4549" s="14">
        <v>23.0</v>
      </c>
      <c r="B4549" s="14">
        <v>0.0</v>
      </c>
      <c r="C4549" s="34">
        <v>11.16</v>
      </c>
      <c r="D4549" s="36">
        <v>45182.0</v>
      </c>
      <c r="E4549" s="24"/>
      <c r="F4549" s="14" t="s">
        <v>6012</v>
      </c>
      <c r="G4549" s="14">
        <v>485.22</v>
      </c>
      <c r="H4549" s="14">
        <v>0.0</v>
      </c>
      <c r="I4549" s="14" t="s">
        <v>6059</v>
      </c>
      <c r="J4549" s="14" t="s">
        <v>6012</v>
      </c>
      <c r="K4549" s="14" t="s">
        <v>6012</v>
      </c>
      <c r="L4549" s="14">
        <v>0.0</v>
      </c>
    </row>
    <row r="4550">
      <c r="A4550" s="14">
        <v>63.0</v>
      </c>
      <c r="B4550" s="14">
        <v>2.0</v>
      </c>
      <c r="C4550" s="34">
        <v>12.94</v>
      </c>
      <c r="D4550" s="36">
        <v>45182.0</v>
      </c>
      <c r="E4550" s="24"/>
      <c r="F4550" s="14">
        <v>6.47</v>
      </c>
      <c r="G4550" s="14">
        <v>205.4</v>
      </c>
      <c r="H4550" s="14">
        <v>3.17</v>
      </c>
      <c r="I4550" s="14" t="s">
        <v>6061</v>
      </c>
      <c r="J4550" s="14">
        <v>50.0</v>
      </c>
      <c r="K4550" s="14">
        <v>12.94</v>
      </c>
      <c r="L4550" s="14">
        <v>0.0</v>
      </c>
    </row>
    <row r="4551">
      <c r="A4551" s="14">
        <v>81.0</v>
      </c>
      <c r="B4551" s="14">
        <v>0.0</v>
      </c>
      <c r="C4551" s="34">
        <v>13.02</v>
      </c>
      <c r="D4551" s="36">
        <v>45182.0</v>
      </c>
      <c r="E4551" s="24"/>
      <c r="F4551" s="14" t="s">
        <v>6012</v>
      </c>
      <c r="G4551" s="14">
        <v>160.74</v>
      </c>
      <c r="H4551" s="14">
        <v>0.0</v>
      </c>
      <c r="I4551" s="14" t="s">
        <v>6062</v>
      </c>
      <c r="J4551" s="14" t="s">
        <v>6012</v>
      </c>
      <c r="K4551" s="14" t="s">
        <v>6012</v>
      </c>
      <c r="L4551" s="14">
        <v>0.0</v>
      </c>
    </row>
    <row r="4552">
      <c r="A4552" s="14">
        <v>170.0</v>
      </c>
      <c r="B4552" s="14">
        <v>3.0</v>
      </c>
      <c r="C4552" s="34">
        <v>13.6</v>
      </c>
      <c r="D4552" s="36">
        <v>45182.0</v>
      </c>
      <c r="E4552" s="24"/>
      <c r="F4552" s="14">
        <v>4.53</v>
      </c>
      <c r="G4552" s="14">
        <v>80.0</v>
      </c>
      <c r="H4552" s="14">
        <v>1.76</v>
      </c>
      <c r="I4552" s="14" t="s">
        <v>6042</v>
      </c>
      <c r="J4552" s="14">
        <v>66.67</v>
      </c>
      <c r="K4552" s="14">
        <v>6.8</v>
      </c>
      <c r="L4552" s="14">
        <v>0.0</v>
      </c>
    </row>
    <row r="4553">
      <c r="A4553" s="14">
        <v>62.0</v>
      </c>
      <c r="B4553" s="14">
        <v>2.0</v>
      </c>
      <c r="C4553" s="34">
        <v>15.0</v>
      </c>
      <c r="D4553" s="36">
        <v>45183.0</v>
      </c>
      <c r="E4553" s="24"/>
      <c r="F4553" s="14">
        <v>7.5</v>
      </c>
      <c r="G4553" s="14">
        <v>241.94</v>
      </c>
      <c r="H4553" s="14">
        <v>3.23</v>
      </c>
      <c r="I4553" s="14" t="s">
        <v>6061</v>
      </c>
      <c r="J4553" s="14">
        <v>0.0</v>
      </c>
      <c r="K4553" s="14" t="s">
        <v>6012</v>
      </c>
      <c r="L4553" s="14">
        <v>0.0</v>
      </c>
    </row>
    <row r="4554">
      <c r="A4554" s="14">
        <v>94.0</v>
      </c>
      <c r="B4554" s="14">
        <v>1.0</v>
      </c>
      <c r="C4554" s="34">
        <v>12.82</v>
      </c>
      <c r="D4554" s="36">
        <v>45183.0</v>
      </c>
      <c r="E4554" s="24"/>
      <c r="F4554" s="14">
        <v>12.82</v>
      </c>
      <c r="G4554" s="14">
        <v>136.38</v>
      </c>
      <c r="H4554" s="14">
        <v>1.06</v>
      </c>
      <c r="I4554" s="14" t="s">
        <v>6062</v>
      </c>
      <c r="J4554" s="14">
        <v>100.0</v>
      </c>
      <c r="K4554" s="14">
        <v>12.82</v>
      </c>
      <c r="L4554" s="14">
        <v>0.0</v>
      </c>
    </row>
    <row r="4555">
      <c r="A4555" s="14">
        <v>28.0</v>
      </c>
      <c r="B4555" s="14">
        <v>0.0</v>
      </c>
      <c r="C4555" s="34">
        <v>11.57</v>
      </c>
      <c r="D4555" s="36">
        <v>45183.0</v>
      </c>
      <c r="E4555" s="24"/>
      <c r="F4555" s="14" t="s">
        <v>6012</v>
      </c>
      <c r="G4555" s="14">
        <v>413.21</v>
      </c>
      <c r="H4555" s="14">
        <v>0.0</v>
      </c>
      <c r="I4555" s="14" t="s">
        <v>6057</v>
      </c>
      <c r="J4555" s="14" t="s">
        <v>6012</v>
      </c>
      <c r="K4555" s="14" t="s">
        <v>6012</v>
      </c>
      <c r="L4555" s="14">
        <v>0.0</v>
      </c>
    </row>
    <row r="4556">
      <c r="A4556" s="14">
        <v>52.0</v>
      </c>
      <c r="B4556" s="14">
        <v>0.0</v>
      </c>
      <c r="C4556" s="34">
        <v>13.34</v>
      </c>
      <c r="D4556" s="36">
        <v>45183.0</v>
      </c>
      <c r="E4556" s="24"/>
      <c r="F4556" s="14" t="s">
        <v>6012</v>
      </c>
      <c r="G4556" s="14">
        <v>256.54</v>
      </c>
      <c r="H4556" s="14">
        <v>0.0</v>
      </c>
      <c r="I4556" s="14" t="s">
        <v>6063</v>
      </c>
      <c r="J4556" s="14" t="s">
        <v>6012</v>
      </c>
      <c r="K4556" s="14" t="s">
        <v>6012</v>
      </c>
      <c r="L4556" s="14">
        <v>0.0</v>
      </c>
    </row>
    <row r="4557">
      <c r="A4557" s="14">
        <v>348.0</v>
      </c>
      <c r="B4557" s="14">
        <v>4.0</v>
      </c>
      <c r="C4557" s="34">
        <v>11.96</v>
      </c>
      <c r="D4557" s="36">
        <v>45183.0</v>
      </c>
      <c r="E4557" s="24"/>
      <c r="F4557" s="14">
        <v>2.99</v>
      </c>
      <c r="G4557" s="14">
        <v>34.37</v>
      </c>
      <c r="H4557" s="14">
        <v>1.15</v>
      </c>
      <c r="I4557" s="14" t="s">
        <v>6060</v>
      </c>
      <c r="J4557" s="14">
        <v>75.0</v>
      </c>
      <c r="K4557" s="14">
        <v>3.99</v>
      </c>
      <c r="L4557" s="14">
        <v>0.0</v>
      </c>
    </row>
    <row r="4558">
      <c r="A4558" s="14">
        <v>609.0</v>
      </c>
      <c r="B4558" s="14">
        <v>4.0</v>
      </c>
      <c r="C4558" s="34">
        <v>12.49</v>
      </c>
      <c r="D4558" s="36">
        <v>45183.0</v>
      </c>
      <c r="E4558" s="24"/>
      <c r="F4558" s="14">
        <v>3.12</v>
      </c>
      <c r="G4558" s="14">
        <v>20.51</v>
      </c>
      <c r="H4558" s="14">
        <v>0.66</v>
      </c>
      <c r="I4558" s="14" t="s">
        <v>6051</v>
      </c>
      <c r="J4558" s="14">
        <v>0.0</v>
      </c>
      <c r="K4558" s="14" t="s">
        <v>6012</v>
      </c>
      <c r="L4558" s="14">
        <v>0.0</v>
      </c>
    </row>
    <row r="4559">
      <c r="A4559" s="14">
        <v>40.0</v>
      </c>
      <c r="B4559" s="14">
        <v>1.0</v>
      </c>
      <c r="C4559" s="34">
        <v>15.0</v>
      </c>
      <c r="D4559" s="36">
        <v>45183.0</v>
      </c>
      <c r="E4559" s="24"/>
      <c r="F4559" s="14">
        <v>15.0</v>
      </c>
      <c r="G4559" s="14">
        <v>375.0</v>
      </c>
      <c r="H4559" s="14">
        <v>2.5</v>
      </c>
      <c r="I4559" s="14" t="s">
        <v>6054</v>
      </c>
      <c r="J4559" s="14">
        <v>0.0</v>
      </c>
      <c r="K4559" s="14" t="s">
        <v>6012</v>
      </c>
      <c r="L4559" s="14">
        <v>0.0</v>
      </c>
    </row>
    <row r="4560">
      <c r="A4560" s="14">
        <v>138.0</v>
      </c>
      <c r="B4560" s="14">
        <v>2.0</v>
      </c>
      <c r="C4560" s="34">
        <v>14.1</v>
      </c>
      <c r="D4560" s="36">
        <v>45183.0</v>
      </c>
      <c r="E4560" s="24"/>
      <c r="F4560" s="14">
        <v>7.05</v>
      </c>
      <c r="G4560" s="14">
        <v>102.17</v>
      </c>
      <c r="H4560" s="14">
        <v>1.45</v>
      </c>
      <c r="I4560" s="14" t="s">
        <v>6042</v>
      </c>
      <c r="J4560" s="14">
        <v>50.0</v>
      </c>
      <c r="K4560" s="14">
        <v>14.1</v>
      </c>
      <c r="L4560" s="14">
        <v>0.0</v>
      </c>
    </row>
    <row r="4561">
      <c r="A4561" s="14">
        <v>0.0</v>
      </c>
      <c r="B4561" s="14">
        <v>1.0</v>
      </c>
      <c r="C4561" s="34">
        <v>0.0</v>
      </c>
      <c r="D4561" s="36">
        <v>45183.0</v>
      </c>
      <c r="E4561" s="24"/>
      <c r="F4561" s="14">
        <v>0.0</v>
      </c>
      <c r="G4561" s="14" t="s">
        <v>6012</v>
      </c>
      <c r="H4561" s="14" t="s">
        <v>6012</v>
      </c>
      <c r="I4561" s="14" t="s">
        <v>6064</v>
      </c>
      <c r="J4561" s="14">
        <v>0.0</v>
      </c>
      <c r="K4561" s="14" t="s">
        <v>6012</v>
      </c>
      <c r="L4561" s="14">
        <v>0.0</v>
      </c>
    </row>
    <row r="4562">
      <c r="A4562" s="14">
        <v>691.0</v>
      </c>
      <c r="B4562" s="14">
        <v>3.0</v>
      </c>
      <c r="C4562" s="34">
        <v>11.81</v>
      </c>
      <c r="D4562" s="36">
        <v>45183.0</v>
      </c>
      <c r="E4562" s="24"/>
      <c r="F4562" s="14">
        <v>3.94</v>
      </c>
      <c r="G4562" s="14">
        <v>17.09</v>
      </c>
      <c r="H4562" s="14">
        <v>0.43</v>
      </c>
      <c r="I4562" s="14" t="s">
        <v>6050</v>
      </c>
      <c r="J4562" s="14">
        <v>33.33</v>
      </c>
      <c r="K4562" s="14">
        <v>11.81</v>
      </c>
      <c r="L4562" s="14">
        <v>0.0</v>
      </c>
    </row>
    <row r="4563">
      <c r="A4563" s="14">
        <v>138.0</v>
      </c>
      <c r="B4563" s="14">
        <v>2.0</v>
      </c>
      <c r="C4563" s="34">
        <v>10.9</v>
      </c>
      <c r="D4563" s="36">
        <v>45183.0</v>
      </c>
      <c r="E4563" s="24"/>
      <c r="F4563" s="14">
        <v>5.45</v>
      </c>
      <c r="G4563" s="14">
        <v>78.99</v>
      </c>
      <c r="H4563" s="14">
        <v>1.45</v>
      </c>
      <c r="I4563" s="14" t="s">
        <v>6058</v>
      </c>
      <c r="J4563" s="14">
        <v>50.0</v>
      </c>
      <c r="K4563" s="14">
        <v>10.9</v>
      </c>
      <c r="L4563" s="14">
        <v>0.0</v>
      </c>
    </row>
    <row r="4564">
      <c r="A4564" s="14">
        <v>37.0</v>
      </c>
      <c r="B4564" s="14">
        <v>1.0</v>
      </c>
      <c r="C4564" s="34">
        <v>12.18</v>
      </c>
      <c r="D4564" s="36">
        <v>45183.0</v>
      </c>
      <c r="E4564" s="24"/>
      <c r="F4564" s="14">
        <v>12.18</v>
      </c>
      <c r="G4564" s="14">
        <v>329.19</v>
      </c>
      <c r="H4564" s="14">
        <v>2.7</v>
      </c>
      <c r="I4564" s="14" t="s">
        <v>6059</v>
      </c>
      <c r="J4564" s="14">
        <v>0.0</v>
      </c>
      <c r="K4564" s="14" t="s">
        <v>6012</v>
      </c>
      <c r="L4564" s="14">
        <v>0.0</v>
      </c>
    </row>
    <row r="4565">
      <c r="A4565" s="14">
        <v>44.0</v>
      </c>
      <c r="B4565" s="14">
        <v>0.0</v>
      </c>
      <c r="C4565" s="34">
        <v>10.27</v>
      </c>
      <c r="D4565" s="36">
        <v>45184.0</v>
      </c>
      <c r="E4565" s="24"/>
      <c r="F4565" s="14" t="s">
        <v>6012</v>
      </c>
      <c r="G4565" s="14">
        <v>233.41</v>
      </c>
      <c r="H4565" s="14">
        <v>0.0</v>
      </c>
      <c r="I4565" s="14" t="s">
        <v>6058</v>
      </c>
      <c r="J4565" s="14" t="s">
        <v>6012</v>
      </c>
      <c r="K4565" s="14" t="s">
        <v>6012</v>
      </c>
      <c r="L4565" s="14">
        <v>0.0</v>
      </c>
    </row>
    <row r="4566">
      <c r="A4566" s="14">
        <v>53.0</v>
      </c>
      <c r="B4566" s="14">
        <v>0.0</v>
      </c>
      <c r="C4566" s="34">
        <v>11.68</v>
      </c>
      <c r="D4566" s="36">
        <v>45184.0</v>
      </c>
      <c r="E4566" s="24"/>
      <c r="F4566" s="14" t="s">
        <v>6012</v>
      </c>
      <c r="G4566" s="14">
        <v>220.38</v>
      </c>
      <c r="H4566" s="14">
        <v>0.0</v>
      </c>
      <c r="I4566" s="14" t="s">
        <v>6042</v>
      </c>
      <c r="J4566" s="14" t="s">
        <v>6012</v>
      </c>
      <c r="K4566" s="14">
        <v>11.68</v>
      </c>
      <c r="L4566" s="14">
        <v>0.0</v>
      </c>
    </row>
    <row r="4567">
      <c r="A4567" s="14">
        <v>442.0</v>
      </c>
      <c r="B4567" s="14">
        <v>6.0</v>
      </c>
      <c r="C4567" s="34">
        <v>10.6</v>
      </c>
      <c r="D4567" s="36">
        <v>45184.0</v>
      </c>
      <c r="E4567" s="24"/>
      <c r="F4567" s="14">
        <v>1.77</v>
      </c>
      <c r="G4567" s="14">
        <v>23.98</v>
      </c>
      <c r="H4567" s="14">
        <v>1.36</v>
      </c>
      <c r="I4567" s="14" t="s">
        <v>6060</v>
      </c>
      <c r="J4567" s="14">
        <v>33.33</v>
      </c>
      <c r="K4567" s="14">
        <v>5.3</v>
      </c>
      <c r="L4567" s="14">
        <v>0.0</v>
      </c>
    </row>
    <row r="4568">
      <c r="A4568" s="14">
        <v>22.0</v>
      </c>
      <c r="B4568" s="14">
        <v>0.0</v>
      </c>
      <c r="C4568" s="34">
        <v>13.33</v>
      </c>
      <c r="D4568" s="36">
        <v>45184.0</v>
      </c>
      <c r="E4568" s="24"/>
      <c r="F4568" s="14" t="s">
        <v>6012</v>
      </c>
      <c r="G4568" s="14">
        <v>605.91</v>
      </c>
      <c r="H4568" s="14">
        <v>0.0</v>
      </c>
      <c r="I4568" s="14" t="s">
        <v>6059</v>
      </c>
      <c r="J4568" s="14" t="s">
        <v>6012</v>
      </c>
      <c r="K4568" s="14" t="s">
        <v>6012</v>
      </c>
      <c r="L4568" s="14">
        <v>0.0</v>
      </c>
    </row>
    <row r="4569">
      <c r="A4569" s="14">
        <v>69.0</v>
      </c>
      <c r="B4569" s="14">
        <v>0.0</v>
      </c>
      <c r="C4569" s="34">
        <v>9.23</v>
      </c>
      <c r="D4569" s="36">
        <v>45184.0</v>
      </c>
      <c r="E4569" s="24"/>
      <c r="F4569" s="14" t="s">
        <v>6012</v>
      </c>
      <c r="G4569" s="14">
        <v>133.77</v>
      </c>
      <c r="H4569" s="14">
        <v>0.0</v>
      </c>
      <c r="I4569" s="14" t="s">
        <v>6054</v>
      </c>
      <c r="J4569" s="14" t="s">
        <v>6012</v>
      </c>
      <c r="K4569" s="14" t="s">
        <v>6012</v>
      </c>
      <c r="L4569" s="14">
        <v>0.0</v>
      </c>
    </row>
    <row r="4570">
      <c r="A4570" s="14">
        <v>658.0</v>
      </c>
      <c r="B4570" s="14">
        <v>4.0</v>
      </c>
      <c r="C4570" s="34">
        <v>11.21</v>
      </c>
      <c r="D4570" s="36">
        <v>45184.0</v>
      </c>
      <c r="E4570" s="24"/>
      <c r="F4570" s="14">
        <v>2.8</v>
      </c>
      <c r="G4570" s="14">
        <v>17.04</v>
      </c>
      <c r="H4570" s="14">
        <v>0.61</v>
      </c>
      <c r="I4570" s="14" t="s">
        <v>6050</v>
      </c>
      <c r="J4570" s="14">
        <v>0.0</v>
      </c>
      <c r="K4570" s="14" t="s">
        <v>6012</v>
      </c>
      <c r="L4570" s="14">
        <v>0.0</v>
      </c>
    </row>
    <row r="4571">
      <c r="A4571" s="14">
        <v>50.0</v>
      </c>
      <c r="B4571" s="14">
        <v>0.0</v>
      </c>
      <c r="C4571" s="34">
        <v>9.39</v>
      </c>
      <c r="D4571" s="36">
        <v>45184.0</v>
      </c>
      <c r="E4571" s="24"/>
      <c r="F4571" s="14" t="s">
        <v>6012</v>
      </c>
      <c r="G4571" s="14">
        <v>187.8</v>
      </c>
      <c r="H4571" s="14">
        <v>0.0</v>
      </c>
      <c r="I4571" s="14" t="s">
        <v>6061</v>
      </c>
      <c r="J4571" s="14" t="s">
        <v>6012</v>
      </c>
      <c r="K4571" s="14">
        <v>9.39</v>
      </c>
      <c r="L4571" s="14">
        <v>0.0</v>
      </c>
    </row>
    <row r="4572">
      <c r="A4572" s="14">
        <v>606.0</v>
      </c>
      <c r="B4572" s="14">
        <v>9.0</v>
      </c>
      <c r="C4572" s="34">
        <v>11.31</v>
      </c>
      <c r="D4572" s="36">
        <v>45184.0</v>
      </c>
      <c r="E4572" s="24"/>
      <c r="F4572" s="14">
        <v>1.26</v>
      </c>
      <c r="G4572" s="14">
        <v>18.66</v>
      </c>
      <c r="H4572" s="14">
        <v>1.49</v>
      </c>
      <c r="I4572" s="14" t="s">
        <v>6051</v>
      </c>
      <c r="J4572" s="14">
        <v>0.0</v>
      </c>
      <c r="K4572" s="14" t="s">
        <v>6012</v>
      </c>
      <c r="L4572" s="14">
        <v>0.0</v>
      </c>
    </row>
    <row r="4573">
      <c r="A4573" s="14">
        <v>3.0</v>
      </c>
      <c r="B4573" s="14">
        <v>1.0</v>
      </c>
      <c r="C4573" s="34">
        <v>2.25</v>
      </c>
      <c r="D4573" s="36">
        <v>45184.0</v>
      </c>
      <c r="E4573" s="24"/>
      <c r="F4573" s="14">
        <v>2.25</v>
      </c>
      <c r="G4573" s="14">
        <v>750.0</v>
      </c>
      <c r="H4573" s="14">
        <v>33.33</v>
      </c>
      <c r="I4573" s="14" t="s">
        <v>6064</v>
      </c>
      <c r="J4573" s="14">
        <v>0.0</v>
      </c>
      <c r="K4573" s="14" t="s">
        <v>6012</v>
      </c>
      <c r="L4573" s="14">
        <v>0.0</v>
      </c>
    </row>
    <row r="4574">
      <c r="A4574" s="14">
        <v>28.0</v>
      </c>
      <c r="B4574" s="14">
        <v>0.0</v>
      </c>
      <c r="C4574" s="34">
        <v>14.05</v>
      </c>
      <c r="D4574" s="36">
        <v>45184.0</v>
      </c>
      <c r="E4574" s="24"/>
      <c r="F4574" s="14" t="s">
        <v>6012</v>
      </c>
      <c r="G4574" s="14">
        <v>501.79</v>
      </c>
      <c r="H4574" s="14">
        <v>0.0</v>
      </c>
      <c r="I4574" s="14" t="s">
        <v>6057</v>
      </c>
      <c r="J4574" s="14" t="s">
        <v>6012</v>
      </c>
      <c r="K4574" s="14" t="s">
        <v>6012</v>
      </c>
      <c r="L4574" s="14">
        <v>0.0</v>
      </c>
    </row>
    <row r="4575">
      <c r="A4575" s="14">
        <v>68.0</v>
      </c>
      <c r="B4575" s="14">
        <v>0.0</v>
      </c>
      <c r="C4575" s="34">
        <v>8.96</v>
      </c>
      <c r="D4575" s="36">
        <v>45184.0</v>
      </c>
      <c r="E4575" s="24"/>
      <c r="F4575" s="14" t="s">
        <v>6012</v>
      </c>
      <c r="G4575" s="14">
        <v>131.76</v>
      </c>
      <c r="H4575" s="14">
        <v>0.0</v>
      </c>
      <c r="I4575" s="14" t="s">
        <v>6063</v>
      </c>
      <c r="J4575" s="14" t="s">
        <v>6012</v>
      </c>
      <c r="K4575" s="14" t="s">
        <v>6012</v>
      </c>
      <c r="L4575" s="14">
        <v>0.0</v>
      </c>
    </row>
    <row r="4576">
      <c r="A4576" s="14">
        <v>58.0</v>
      </c>
      <c r="B4576" s="14">
        <v>1.0</v>
      </c>
      <c r="C4576" s="34">
        <v>9.26</v>
      </c>
      <c r="D4576" s="36">
        <v>45184.0</v>
      </c>
      <c r="E4576" s="24"/>
      <c r="F4576" s="14">
        <v>9.26</v>
      </c>
      <c r="G4576" s="14">
        <v>159.66</v>
      </c>
      <c r="H4576" s="14">
        <v>1.72</v>
      </c>
      <c r="I4576" s="14" t="s">
        <v>6062</v>
      </c>
      <c r="J4576" s="14">
        <v>200.0</v>
      </c>
      <c r="K4576" s="14">
        <v>4.63</v>
      </c>
      <c r="L4576" s="14">
        <v>0.0</v>
      </c>
    </row>
    <row r="4577">
      <c r="A4577" s="14">
        <v>22.0</v>
      </c>
      <c r="B4577" s="14">
        <v>1.0</v>
      </c>
      <c r="C4577" s="34">
        <v>6.89</v>
      </c>
      <c r="D4577" s="36">
        <v>45185.0</v>
      </c>
      <c r="E4577" s="24"/>
      <c r="F4577" s="14">
        <v>6.89</v>
      </c>
      <c r="G4577" s="14">
        <v>313.18</v>
      </c>
      <c r="H4577" s="14">
        <v>4.55</v>
      </c>
      <c r="I4577" s="14" t="s">
        <v>6058</v>
      </c>
      <c r="J4577" s="14">
        <v>0.0</v>
      </c>
      <c r="K4577" s="14" t="s">
        <v>6012</v>
      </c>
      <c r="L4577" s="14">
        <v>0.0</v>
      </c>
    </row>
    <row r="4578">
      <c r="A4578" s="14">
        <v>27.0</v>
      </c>
      <c r="B4578" s="14">
        <v>0.0</v>
      </c>
      <c r="C4578" s="34">
        <v>5.53</v>
      </c>
      <c r="D4578" s="36">
        <v>45185.0</v>
      </c>
      <c r="E4578" s="24"/>
      <c r="F4578" s="14" t="s">
        <v>6012</v>
      </c>
      <c r="G4578" s="14">
        <v>204.81</v>
      </c>
      <c r="H4578" s="14">
        <v>0.0</v>
      </c>
      <c r="I4578" s="14" t="s">
        <v>6063</v>
      </c>
      <c r="J4578" s="14" t="s">
        <v>6012</v>
      </c>
      <c r="K4578" s="14" t="s">
        <v>6012</v>
      </c>
      <c r="L4578" s="14">
        <v>0.0</v>
      </c>
    </row>
    <row r="4579">
      <c r="A4579" s="14">
        <v>27.0</v>
      </c>
      <c r="B4579" s="14">
        <v>0.0</v>
      </c>
      <c r="C4579" s="34">
        <v>6.69</v>
      </c>
      <c r="D4579" s="36">
        <v>45185.0</v>
      </c>
      <c r="E4579" s="24"/>
      <c r="F4579" s="14" t="s">
        <v>6012</v>
      </c>
      <c r="G4579" s="14">
        <v>247.78</v>
      </c>
      <c r="H4579" s="14">
        <v>0.0</v>
      </c>
      <c r="I4579" s="14" t="s">
        <v>6054</v>
      </c>
      <c r="J4579" s="14" t="s">
        <v>6012</v>
      </c>
      <c r="K4579" s="14" t="s">
        <v>6012</v>
      </c>
      <c r="L4579" s="14">
        <v>0.0</v>
      </c>
    </row>
    <row r="4580">
      <c r="A4580" s="14">
        <v>19.0</v>
      </c>
      <c r="B4580" s="14">
        <v>0.0</v>
      </c>
      <c r="C4580" s="34">
        <v>6.49</v>
      </c>
      <c r="D4580" s="36">
        <v>45185.0</v>
      </c>
      <c r="E4580" s="24"/>
      <c r="F4580" s="14" t="s">
        <v>6012</v>
      </c>
      <c r="G4580" s="14">
        <v>341.58</v>
      </c>
      <c r="H4580" s="14">
        <v>0.0</v>
      </c>
      <c r="I4580" s="14" t="s">
        <v>6057</v>
      </c>
      <c r="J4580" s="14" t="s">
        <v>6012</v>
      </c>
      <c r="K4580" s="14" t="s">
        <v>6012</v>
      </c>
      <c r="L4580" s="14">
        <v>0.0</v>
      </c>
    </row>
    <row r="4581">
      <c r="A4581" s="14">
        <v>330.0</v>
      </c>
      <c r="B4581" s="14">
        <v>1.0</v>
      </c>
      <c r="C4581" s="34">
        <v>6.36</v>
      </c>
      <c r="D4581" s="36">
        <v>45185.0</v>
      </c>
      <c r="E4581" s="24"/>
      <c r="F4581" s="14">
        <v>6.36</v>
      </c>
      <c r="G4581" s="14">
        <v>19.27</v>
      </c>
      <c r="H4581" s="14">
        <v>0.3</v>
      </c>
      <c r="I4581" s="14" t="s">
        <v>6051</v>
      </c>
      <c r="J4581" s="14">
        <v>0.0</v>
      </c>
      <c r="K4581" s="14" t="s">
        <v>6012</v>
      </c>
      <c r="L4581" s="14">
        <v>0.0</v>
      </c>
    </row>
    <row r="4582">
      <c r="A4582" s="14">
        <v>9.0</v>
      </c>
      <c r="B4582" s="14">
        <v>0.0</v>
      </c>
      <c r="C4582" s="34">
        <v>5.86</v>
      </c>
      <c r="D4582" s="36">
        <v>45185.0</v>
      </c>
      <c r="E4582" s="24"/>
      <c r="F4582" s="14" t="s">
        <v>6012</v>
      </c>
      <c r="G4582" s="14">
        <v>651.11</v>
      </c>
      <c r="H4582" s="14">
        <v>0.0</v>
      </c>
      <c r="I4582" s="14" t="s">
        <v>6059</v>
      </c>
      <c r="J4582" s="14" t="s">
        <v>6012</v>
      </c>
      <c r="K4582" s="14" t="s">
        <v>6012</v>
      </c>
      <c r="L4582" s="14">
        <v>0.0</v>
      </c>
    </row>
    <row r="4583">
      <c r="A4583" s="14">
        <v>17.0</v>
      </c>
      <c r="B4583" s="14">
        <v>1.0</v>
      </c>
      <c r="C4583" s="34">
        <v>6.34</v>
      </c>
      <c r="D4583" s="36">
        <v>45185.0</v>
      </c>
      <c r="E4583" s="24"/>
      <c r="F4583" s="14">
        <v>6.34</v>
      </c>
      <c r="G4583" s="14">
        <v>372.94</v>
      </c>
      <c r="H4583" s="14">
        <v>5.88</v>
      </c>
      <c r="I4583" s="14" t="s">
        <v>6061</v>
      </c>
      <c r="J4583" s="14">
        <v>0.0</v>
      </c>
      <c r="K4583" s="14" t="s">
        <v>6012</v>
      </c>
      <c r="L4583" s="14">
        <v>0.0</v>
      </c>
    </row>
    <row r="4584">
      <c r="A4584" s="14">
        <v>126.0</v>
      </c>
      <c r="B4584" s="14">
        <v>1.0</v>
      </c>
      <c r="C4584" s="34">
        <v>7.36</v>
      </c>
      <c r="D4584" s="36">
        <v>45185.0</v>
      </c>
      <c r="E4584" s="24"/>
      <c r="F4584" s="14">
        <v>7.36</v>
      </c>
      <c r="G4584" s="14">
        <v>58.41</v>
      </c>
      <c r="H4584" s="14">
        <v>0.79</v>
      </c>
      <c r="I4584" s="14" t="s">
        <v>6060</v>
      </c>
      <c r="J4584" s="14">
        <v>0.0</v>
      </c>
      <c r="K4584" s="14" t="s">
        <v>6012</v>
      </c>
      <c r="L4584" s="14">
        <v>0.0</v>
      </c>
    </row>
    <row r="4585">
      <c r="A4585" s="14">
        <v>50.0</v>
      </c>
      <c r="B4585" s="14">
        <v>0.0</v>
      </c>
      <c r="C4585" s="34">
        <v>6.18</v>
      </c>
      <c r="D4585" s="36">
        <v>45185.0</v>
      </c>
      <c r="E4585" s="24"/>
      <c r="F4585" s="14" t="s">
        <v>6012</v>
      </c>
      <c r="G4585" s="14">
        <v>123.6</v>
      </c>
      <c r="H4585" s="14">
        <v>0.0</v>
      </c>
      <c r="I4585" s="14" t="s">
        <v>6062</v>
      </c>
      <c r="J4585" s="14" t="s">
        <v>6012</v>
      </c>
      <c r="K4585" s="14" t="s">
        <v>6012</v>
      </c>
      <c r="L4585" s="14">
        <v>0.0</v>
      </c>
    </row>
    <row r="4586">
      <c r="A4586" s="14">
        <v>430.0</v>
      </c>
      <c r="B4586" s="14">
        <v>3.0</v>
      </c>
      <c r="C4586" s="34">
        <v>6.68</v>
      </c>
      <c r="D4586" s="36">
        <v>45185.0</v>
      </c>
      <c r="E4586" s="24"/>
      <c r="F4586" s="14">
        <v>2.23</v>
      </c>
      <c r="G4586" s="14">
        <v>15.53</v>
      </c>
      <c r="H4586" s="14">
        <v>0.7</v>
      </c>
      <c r="I4586" s="14" t="s">
        <v>6050</v>
      </c>
      <c r="J4586" s="14">
        <v>0.0</v>
      </c>
      <c r="K4586" s="14" t="s">
        <v>6012</v>
      </c>
      <c r="L4586" s="14">
        <v>0.0</v>
      </c>
    </row>
    <row r="4587">
      <c r="A4587" s="14">
        <v>39.0</v>
      </c>
      <c r="B4587" s="14">
        <v>0.0</v>
      </c>
      <c r="C4587" s="34">
        <v>7.44</v>
      </c>
      <c r="D4587" s="36">
        <v>45185.0</v>
      </c>
      <c r="E4587" s="24"/>
      <c r="F4587" s="14" t="s">
        <v>6012</v>
      </c>
      <c r="G4587" s="14">
        <v>190.77</v>
      </c>
      <c r="H4587" s="14">
        <v>0.0</v>
      </c>
      <c r="I4587" s="14" t="s">
        <v>6042</v>
      </c>
      <c r="J4587" s="14" t="s">
        <v>6012</v>
      </c>
      <c r="K4587" s="14" t="s">
        <v>6012</v>
      </c>
      <c r="L4587" s="14">
        <v>0.0</v>
      </c>
    </row>
    <row r="4588">
      <c r="A4588" s="14">
        <v>13.0</v>
      </c>
      <c r="B4588" s="14">
        <v>0.0</v>
      </c>
      <c r="C4588" s="34">
        <v>1.81</v>
      </c>
      <c r="D4588" s="36">
        <v>45186.0</v>
      </c>
      <c r="E4588" s="24"/>
      <c r="F4588" s="14" t="s">
        <v>6012</v>
      </c>
      <c r="G4588" s="14">
        <v>139.23</v>
      </c>
      <c r="H4588" s="14">
        <v>0.0</v>
      </c>
      <c r="I4588" s="14" t="s">
        <v>6057</v>
      </c>
      <c r="J4588" s="14" t="s">
        <v>6012</v>
      </c>
      <c r="K4588" s="14" t="s">
        <v>6012</v>
      </c>
      <c r="L4588" s="14">
        <v>0.0</v>
      </c>
    </row>
    <row r="4589">
      <c r="A4589" s="14">
        <v>36.0</v>
      </c>
      <c r="B4589" s="14">
        <v>0.0</v>
      </c>
      <c r="C4589" s="34">
        <v>3.24</v>
      </c>
      <c r="D4589" s="36">
        <v>45186.0</v>
      </c>
      <c r="E4589" s="24"/>
      <c r="F4589" s="14" t="s">
        <v>6012</v>
      </c>
      <c r="G4589" s="14">
        <v>90.0</v>
      </c>
      <c r="H4589" s="14">
        <v>0.0</v>
      </c>
      <c r="I4589" s="14" t="s">
        <v>6058</v>
      </c>
      <c r="J4589" s="14" t="s">
        <v>6012</v>
      </c>
      <c r="K4589" s="14" t="s">
        <v>6012</v>
      </c>
      <c r="L4589" s="14">
        <v>0.0</v>
      </c>
    </row>
    <row r="4590">
      <c r="A4590" s="14">
        <v>39.0</v>
      </c>
      <c r="B4590" s="14">
        <v>0.0</v>
      </c>
      <c r="C4590" s="34">
        <v>3.2</v>
      </c>
      <c r="D4590" s="36">
        <v>45186.0</v>
      </c>
      <c r="E4590" s="24"/>
      <c r="F4590" s="14" t="s">
        <v>6012</v>
      </c>
      <c r="G4590" s="14">
        <v>82.05</v>
      </c>
      <c r="H4590" s="14">
        <v>0.0</v>
      </c>
      <c r="I4590" s="14" t="s">
        <v>6054</v>
      </c>
      <c r="J4590" s="14" t="s">
        <v>6012</v>
      </c>
      <c r="K4590" s="14" t="s">
        <v>6012</v>
      </c>
      <c r="L4590" s="14">
        <v>0.0</v>
      </c>
    </row>
    <row r="4591">
      <c r="A4591" s="14">
        <v>57.0</v>
      </c>
      <c r="B4591" s="14">
        <v>3.0</v>
      </c>
      <c r="C4591" s="34">
        <v>3.96</v>
      </c>
      <c r="D4591" s="36">
        <v>45186.0</v>
      </c>
      <c r="E4591" s="24"/>
      <c r="F4591" s="14">
        <v>1.32</v>
      </c>
      <c r="G4591" s="14">
        <v>69.47</v>
      </c>
      <c r="H4591" s="14">
        <v>5.26</v>
      </c>
      <c r="I4591" s="14" t="s">
        <v>6042</v>
      </c>
      <c r="J4591" s="14">
        <v>66.67</v>
      </c>
      <c r="K4591" s="14">
        <v>1.98</v>
      </c>
      <c r="L4591" s="14">
        <v>0.0</v>
      </c>
    </row>
    <row r="4592">
      <c r="A4592" s="14">
        <v>20.0</v>
      </c>
      <c r="B4592" s="14">
        <v>0.0</v>
      </c>
      <c r="C4592" s="34">
        <v>1.52</v>
      </c>
      <c r="D4592" s="36">
        <v>45186.0</v>
      </c>
      <c r="E4592" s="24"/>
      <c r="F4592" s="14" t="s">
        <v>6012</v>
      </c>
      <c r="G4592" s="14">
        <v>76.0</v>
      </c>
      <c r="H4592" s="14">
        <v>0.0</v>
      </c>
      <c r="I4592" s="14" t="s">
        <v>6061</v>
      </c>
      <c r="J4592" s="14" t="s">
        <v>6012</v>
      </c>
      <c r="K4592" s="14" t="s">
        <v>6012</v>
      </c>
      <c r="L4592" s="14">
        <v>0.0</v>
      </c>
    </row>
    <row r="4593">
      <c r="A4593" s="14">
        <v>4.0</v>
      </c>
      <c r="B4593" s="14">
        <v>1.0</v>
      </c>
      <c r="C4593" s="34">
        <v>3.0</v>
      </c>
      <c r="D4593" s="36">
        <v>45186.0</v>
      </c>
      <c r="E4593" s="24"/>
      <c r="F4593" s="14">
        <v>3.0</v>
      </c>
      <c r="G4593" s="14">
        <v>750.0</v>
      </c>
      <c r="H4593" s="14">
        <v>25.0</v>
      </c>
      <c r="I4593" s="14" t="s">
        <v>6064</v>
      </c>
      <c r="J4593" s="14">
        <v>0.0</v>
      </c>
      <c r="K4593" s="14" t="s">
        <v>6012</v>
      </c>
      <c r="L4593" s="14">
        <v>0.0</v>
      </c>
    </row>
    <row r="4594">
      <c r="A4594" s="14">
        <v>282.0</v>
      </c>
      <c r="B4594" s="14">
        <v>7.0</v>
      </c>
      <c r="C4594" s="34">
        <v>5.32</v>
      </c>
      <c r="D4594" s="36">
        <v>45186.0</v>
      </c>
      <c r="E4594" s="24"/>
      <c r="F4594" s="14">
        <v>0.76</v>
      </c>
      <c r="G4594" s="14">
        <v>18.87</v>
      </c>
      <c r="H4594" s="14">
        <v>2.48</v>
      </c>
      <c r="I4594" s="14" t="s">
        <v>6051</v>
      </c>
      <c r="J4594" s="14">
        <v>0.0</v>
      </c>
      <c r="K4594" s="14" t="s">
        <v>6012</v>
      </c>
      <c r="L4594" s="14">
        <v>0.0</v>
      </c>
    </row>
    <row r="4595">
      <c r="A4595" s="14">
        <v>460.0</v>
      </c>
      <c r="B4595" s="14">
        <v>6.0</v>
      </c>
      <c r="C4595" s="34">
        <v>6.79</v>
      </c>
      <c r="D4595" s="36">
        <v>45186.0</v>
      </c>
      <c r="E4595" s="24"/>
      <c r="F4595" s="14">
        <v>1.13</v>
      </c>
      <c r="G4595" s="14">
        <v>14.76</v>
      </c>
      <c r="H4595" s="14">
        <v>1.3</v>
      </c>
      <c r="I4595" s="14" t="s">
        <v>6050</v>
      </c>
      <c r="J4595" s="14">
        <v>0.0</v>
      </c>
      <c r="K4595" s="14" t="s">
        <v>6012</v>
      </c>
      <c r="L4595" s="14">
        <v>0.0</v>
      </c>
    </row>
    <row r="4596">
      <c r="A4596" s="14">
        <v>49.0</v>
      </c>
      <c r="B4596" s="14">
        <v>0.0</v>
      </c>
      <c r="C4596" s="34">
        <v>5.39</v>
      </c>
      <c r="D4596" s="36">
        <v>45186.0</v>
      </c>
      <c r="E4596" s="24"/>
      <c r="F4596" s="14" t="s">
        <v>6012</v>
      </c>
      <c r="G4596" s="14">
        <v>110.0</v>
      </c>
      <c r="H4596" s="14">
        <v>0.0</v>
      </c>
      <c r="I4596" s="14" t="s">
        <v>6060</v>
      </c>
      <c r="J4596" s="14" t="s">
        <v>6012</v>
      </c>
      <c r="K4596" s="14">
        <v>5.39</v>
      </c>
      <c r="L4596" s="14">
        <v>0.0</v>
      </c>
    </row>
    <row r="4597">
      <c r="A4597" s="14">
        <v>24.0</v>
      </c>
      <c r="B4597" s="14">
        <v>0.0</v>
      </c>
      <c r="C4597" s="34">
        <v>2.25</v>
      </c>
      <c r="D4597" s="36">
        <v>45186.0</v>
      </c>
      <c r="E4597" s="24"/>
      <c r="F4597" s="14" t="s">
        <v>6012</v>
      </c>
      <c r="G4597" s="14">
        <v>93.75</v>
      </c>
      <c r="H4597" s="14">
        <v>0.0</v>
      </c>
      <c r="I4597" s="14" t="s">
        <v>6063</v>
      </c>
      <c r="J4597" s="14" t="s">
        <v>6012</v>
      </c>
      <c r="K4597" s="14" t="s">
        <v>6012</v>
      </c>
      <c r="L4597" s="14">
        <v>0.0</v>
      </c>
    </row>
    <row r="4598">
      <c r="A4598" s="14">
        <v>46.0</v>
      </c>
      <c r="B4598" s="14">
        <v>0.0</v>
      </c>
      <c r="C4598" s="34">
        <v>5.25</v>
      </c>
      <c r="D4598" s="36">
        <v>45186.0</v>
      </c>
      <c r="E4598" s="24"/>
      <c r="F4598" s="14" t="s">
        <v>6012</v>
      </c>
      <c r="G4598" s="14">
        <v>114.13</v>
      </c>
      <c r="H4598" s="14">
        <v>0.0</v>
      </c>
      <c r="I4598" s="14" t="s">
        <v>6062</v>
      </c>
      <c r="J4598" s="14" t="s">
        <v>6012</v>
      </c>
      <c r="K4598" s="14" t="s">
        <v>6012</v>
      </c>
      <c r="L4598" s="14">
        <v>0.0</v>
      </c>
    </row>
    <row r="4599">
      <c r="A4599" s="14">
        <v>88.0</v>
      </c>
      <c r="B4599" s="14">
        <v>2.0</v>
      </c>
      <c r="C4599" s="34">
        <v>11.26</v>
      </c>
      <c r="D4599" s="36">
        <v>45187.0</v>
      </c>
      <c r="E4599" s="24"/>
      <c r="F4599" s="14">
        <v>5.63</v>
      </c>
      <c r="G4599" s="14">
        <v>127.95</v>
      </c>
      <c r="H4599" s="14">
        <v>2.27</v>
      </c>
      <c r="I4599" s="14" t="s">
        <v>6054</v>
      </c>
      <c r="J4599" s="14">
        <v>0.0</v>
      </c>
      <c r="K4599" s="14" t="s">
        <v>6012</v>
      </c>
      <c r="L4599" s="14">
        <v>0.0</v>
      </c>
    </row>
    <row r="4600">
      <c r="A4600" s="14">
        <v>111.0</v>
      </c>
      <c r="B4600" s="14">
        <v>0.0</v>
      </c>
      <c r="C4600" s="34">
        <v>11.52</v>
      </c>
      <c r="D4600" s="36">
        <v>45187.0</v>
      </c>
      <c r="E4600" s="24"/>
      <c r="F4600" s="14" t="s">
        <v>6012</v>
      </c>
      <c r="G4600" s="14">
        <v>103.78</v>
      </c>
      <c r="H4600" s="14">
        <v>0.0</v>
      </c>
      <c r="I4600" s="14" t="s">
        <v>6062</v>
      </c>
      <c r="J4600" s="14" t="s">
        <v>6012</v>
      </c>
      <c r="K4600" s="14" t="s">
        <v>6012</v>
      </c>
      <c r="L4600" s="14">
        <v>0.0</v>
      </c>
    </row>
    <row r="4601">
      <c r="A4601" s="14">
        <v>120.0</v>
      </c>
      <c r="B4601" s="14">
        <v>1.0</v>
      </c>
      <c r="C4601" s="34">
        <v>13.74</v>
      </c>
      <c r="D4601" s="36">
        <v>45187.0</v>
      </c>
      <c r="E4601" s="24"/>
      <c r="F4601" s="14">
        <v>13.74</v>
      </c>
      <c r="G4601" s="14">
        <v>114.5</v>
      </c>
      <c r="H4601" s="14">
        <v>0.83</v>
      </c>
      <c r="I4601" s="14" t="s">
        <v>6042</v>
      </c>
      <c r="J4601" s="14">
        <v>0.0</v>
      </c>
      <c r="K4601" s="14" t="s">
        <v>6012</v>
      </c>
      <c r="L4601" s="14">
        <v>0.0</v>
      </c>
    </row>
    <row r="4602">
      <c r="A4602" s="14">
        <v>766.0</v>
      </c>
      <c r="B4602" s="14">
        <v>11.0</v>
      </c>
      <c r="C4602" s="34">
        <v>9.94</v>
      </c>
      <c r="D4602" s="36">
        <v>45187.0</v>
      </c>
      <c r="E4602" s="24"/>
      <c r="F4602" s="14">
        <v>0.9</v>
      </c>
      <c r="G4602" s="14">
        <v>12.98</v>
      </c>
      <c r="H4602" s="14">
        <v>1.44</v>
      </c>
      <c r="I4602" s="14" t="s">
        <v>6051</v>
      </c>
      <c r="J4602" s="14">
        <v>0.0</v>
      </c>
      <c r="K4602" s="14" t="s">
        <v>6012</v>
      </c>
      <c r="L4602" s="14">
        <v>0.0</v>
      </c>
    </row>
    <row r="4603">
      <c r="A4603" s="14">
        <v>57.0</v>
      </c>
      <c r="B4603" s="14">
        <v>0.0</v>
      </c>
      <c r="C4603" s="34">
        <v>12.82</v>
      </c>
      <c r="D4603" s="36">
        <v>45187.0</v>
      </c>
      <c r="E4603" s="24"/>
      <c r="F4603" s="14" t="s">
        <v>6012</v>
      </c>
      <c r="G4603" s="14">
        <v>224.91</v>
      </c>
      <c r="H4603" s="14">
        <v>0.0</v>
      </c>
      <c r="I4603" s="14" t="s">
        <v>6061</v>
      </c>
      <c r="J4603" s="14" t="s">
        <v>6012</v>
      </c>
      <c r="K4603" s="14" t="s">
        <v>6012</v>
      </c>
      <c r="L4603" s="14">
        <v>0.0</v>
      </c>
    </row>
    <row r="4604">
      <c r="A4604" s="14">
        <v>4.0</v>
      </c>
      <c r="B4604" s="14">
        <v>4.0</v>
      </c>
      <c r="C4604" s="34">
        <v>3.0</v>
      </c>
      <c r="D4604" s="36">
        <v>45187.0</v>
      </c>
      <c r="E4604" s="24"/>
      <c r="F4604" s="14">
        <v>0.75</v>
      </c>
      <c r="G4604" s="14">
        <v>750.0</v>
      </c>
      <c r="H4604" s="14">
        <v>100.0</v>
      </c>
      <c r="I4604" s="14" t="s">
        <v>6064</v>
      </c>
      <c r="J4604" s="14">
        <v>0.0</v>
      </c>
      <c r="K4604" s="14" t="s">
        <v>6012</v>
      </c>
      <c r="L4604" s="14">
        <v>0.0</v>
      </c>
    </row>
    <row r="4605">
      <c r="A4605" s="14">
        <v>39.0</v>
      </c>
      <c r="B4605" s="14">
        <v>0.0</v>
      </c>
      <c r="C4605" s="34">
        <v>12.61</v>
      </c>
      <c r="D4605" s="36">
        <v>45187.0</v>
      </c>
      <c r="E4605" s="24"/>
      <c r="F4605" s="14" t="s">
        <v>6012</v>
      </c>
      <c r="G4605" s="14">
        <v>323.33</v>
      </c>
      <c r="H4605" s="14">
        <v>0.0</v>
      </c>
      <c r="I4605" s="14" t="s">
        <v>6057</v>
      </c>
      <c r="J4605" s="14" t="s">
        <v>6012</v>
      </c>
      <c r="K4605" s="14" t="s">
        <v>6012</v>
      </c>
      <c r="L4605" s="14">
        <v>0.0</v>
      </c>
    </row>
    <row r="4606">
      <c r="A4606" s="14">
        <v>71.0</v>
      </c>
      <c r="B4606" s="14">
        <v>0.0</v>
      </c>
      <c r="C4606" s="34">
        <v>11.23</v>
      </c>
      <c r="D4606" s="36">
        <v>45187.0</v>
      </c>
      <c r="E4606" s="24"/>
      <c r="F4606" s="14" t="s">
        <v>6012</v>
      </c>
      <c r="G4606" s="14">
        <v>158.17</v>
      </c>
      <c r="H4606" s="14">
        <v>0.0</v>
      </c>
      <c r="I4606" s="14" t="s">
        <v>6063</v>
      </c>
      <c r="J4606" s="14" t="s">
        <v>6012</v>
      </c>
      <c r="K4606" s="14" t="s">
        <v>6012</v>
      </c>
      <c r="L4606" s="14">
        <v>0.0</v>
      </c>
    </row>
    <row r="4607">
      <c r="A4607" s="14">
        <v>18.0</v>
      </c>
      <c r="B4607" s="14">
        <v>0.0</v>
      </c>
      <c r="C4607" s="34">
        <v>12.46</v>
      </c>
      <c r="D4607" s="36">
        <v>45187.0</v>
      </c>
      <c r="E4607" s="24"/>
      <c r="F4607" s="14" t="s">
        <v>6012</v>
      </c>
      <c r="G4607" s="14">
        <v>692.22</v>
      </c>
      <c r="H4607" s="14">
        <v>0.0</v>
      </c>
      <c r="I4607" s="14" t="s">
        <v>6059</v>
      </c>
      <c r="J4607" s="14" t="s">
        <v>6012</v>
      </c>
      <c r="K4607" s="14" t="s">
        <v>6012</v>
      </c>
      <c r="L4607" s="14">
        <v>0.0</v>
      </c>
    </row>
    <row r="4608">
      <c r="A4608" s="14">
        <v>631.0</v>
      </c>
      <c r="B4608" s="14">
        <v>6.0</v>
      </c>
      <c r="C4608" s="34">
        <v>11.3</v>
      </c>
      <c r="D4608" s="36">
        <v>45187.0</v>
      </c>
      <c r="E4608" s="24"/>
      <c r="F4608" s="14">
        <v>1.88</v>
      </c>
      <c r="G4608" s="14">
        <v>17.91</v>
      </c>
      <c r="H4608" s="14">
        <v>0.95</v>
      </c>
      <c r="I4608" s="14" t="s">
        <v>6050</v>
      </c>
      <c r="J4608" s="14">
        <v>0.0</v>
      </c>
      <c r="K4608" s="14" t="s">
        <v>6012</v>
      </c>
      <c r="L4608" s="14">
        <v>0.0</v>
      </c>
    </row>
    <row r="4609">
      <c r="A4609" s="14">
        <v>276.0</v>
      </c>
      <c r="B4609" s="14">
        <v>3.0</v>
      </c>
      <c r="C4609" s="34">
        <v>11.62</v>
      </c>
      <c r="D4609" s="36">
        <v>45187.0</v>
      </c>
      <c r="E4609" s="24"/>
      <c r="F4609" s="14">
        <v>3.87</v>
      </c>
      <c r="G4609" s="14">
        <v>42.1</v>
      </c>
      <c r="H4609" s="14">
        <v>1.09</v>
      </c>
      <c r="I4609" s="14" t="s">
        <v>6060</v>
      </c>
      <c r="J4609" s="14">
        <v>66.67</v>
      </c>
      <c r="K4609" s="14">
        <v>5.81</v>
      </c>
      <c r="L4609" s="14">
        <v>0.0</v>
      </c>
    </row>
    <row r="4610">
      <c r="A4610" s="14">
        <v>63.0</v>
      </c>
      <c r="B4610" s="14">
        <v>0.0</v>
      </c>
      <c r="C4610" s="34">
        <v>13.12</v>
      </c>
      <c r="D4610" s="36">
        <v>45187.0</v>
      </c>
      <c r="E4610" s="24"/>
      <c r="F4610" s="14" t="s">
        <v>6012</v>
      </c>
      <c r="G4610" s="14">
        <v>208.25</v>
      </c>
      <c r="H4610" s="14">
        <v>0.0</v>
      </c>
      <c r="I4610" s="14" t="s">
        <v>6058</v>
      </c>
      <c r="J4610" s="14" t="s">
        <v>6012</v>
      </c>
      <c r="K4610" s="14" t="s">
        <v>6012</v>
      </c>
      <c r="L4610" s="14">
        <v>0.0</v>
      </c>
    </row>
    <row r="4611">
      <c r="A4611" s="14">
        <v>56.0</v>
      </c>
      <c r="B4611" s="14">
        <v>0.0</v>
      </c>
      <c r="C4611" s="34">
        <v>12.78</v>
      </c>
      <c r="D4611" s="36">
        <v>45188.0</v>
      </c>
      <c r="E4611" s="24"/>
      <c r="F4611" s="14" t="s">
        <v>6012</v>
      </c>
      <c r="G4611" s="14">
        <v>228.21</v>
      </c>
      <c r="H4611" s="14">
        <v>0.0</v>
      </c>
      <c r="I4611" s="14" t="s">
        <v>6061</v>
      </c>
      <c r="J4611" s="14" t="s">
        <v>6012</v>
      </c>
      <c r="K4611" s="14" t="s">
        <v>6012</v>
      </c>
      <c r="L4611" s="14">
        <v>0.0</v>
      </c>
    </row>
    <row r="4612">
      <c r="A4612" s="14">
        <v>769.0</v>
      </c>
      <c r="B4612" s="14">
        <v>3.0</v>
      </c>
      <c r="C4612" s="34">
        <v>12.48</v>
      </c>
      <c r="D4612" s="36">
        <v>45188.0</v>
      </c>
      <c r="E4612" s="24"/>
      <c r="F4612" s="14">
        <v>4.16</v>
      </c>
      <c r="G4612" s="14">
        <v>16.23</v>
      </c>
      <c r="H4612" s="14">
        <v>0.39</v>
      </c>
      <c r="I4612" s="14" t="s">
        <v>6051</v>
      </c>
      <c r="J4612" s="14">
        <v>0.0</v>
      </c>
      <c r="K4612" s="14" t="s">
        <v>6012</v>
      </c>
      <c r="L4612" s="14">
        <v>0.0</v>
      </c>
    </row>
    <row r="4613">
      <c r="A4613" s="14">
        <v>54.0</v>
      </c>
      <c r="B4613" s="14">
        <v>0.0</v>
      </c>
      <c r="C4613" s="34">
        <v>10.98</v>
      </c>
      <c r="D4613" s="36">
        <v>45188.0</v>
      </c>
      <c r="E4613" s="24"/>
      <c r="F4613" s="14" t="s">
        <v>6012</v>
      </c>
      <c r="G4613" s="14">
        <v>203.33</v>
      </c>
      <c r="H4613" s="14">
        <v>0.0</v>
      </c>
      <c r="I4613" s="14" t="s">
        <v>6054</v>
      </c>
      <c r="J4613" s="14" t="s">
        <v>6012</v>
      </c>
      <c r="K4613" s="14" t="s">
        <v>6012</v>
      </c>
      <c r="L4613" s="14">
        <v>0.0</v>
      </c>
    </row>
    <row r="4614">
      <c r="A4614" s="14">
        <v>96.0</v>
      </c>
      <c r="B4614" s="14">
        <v>1.0</v>
      </c>
      <c r="C4614" s="34">
        <v>13.27</v>
      </c>
      <c r="D4614" s="36">
        <v>45188.0</v>
      </c>
      <c r="E4614" s="24"/>
      <c r="F4614" s="14">
        <v>13.27</v>
      </c>
      <c r="G4614" s="14">
        <v>138.23</v>
      </c>
      <c r="H4614" s="14">
        <v>1.04</v>
      </c>
      <c r="I4614" s="14" t="s">
        <v>6062</v>
      </c>
      <c r="J4614" s="14">
        <v>100.0</v>
      </c>
      <c r="K4614" s="14">
        <v>13.27</v>
      </c>
      <c r="L4614" s="14">
        <v>0.0</v>
      </c>
    </row>
    <row r="4615">
      <c r="A4615" s="14">
        <v>34.0</v>
      </c>
      <c r="B4615" s="14">
        <v>1.0</v>
      </c>
      <c r="C4615" s="34">
        <v>13.53</v>
      </c>
      <c r="D4615" s="36">
        <v>45188.0</v>
      </c>
      <c r="E4615" s="24"/>
      <c r="F4615" s="14">
        <v>13.53</v>
      </c>
      <c r="G4615" s="14">
        <v>397.94</v>
      </c>
      <c r="H4615" s="14">
        <v>2.94</v>
      </c>
      <c r="I4615" s="14" t="s">
        <v>6059</v>
      </c>
      <c r="J4615" s="14">
        <v>0.0</v>
      </c>
      <c r="K4615" s="14" t="s">
        <v>6012</v>
      </c>
      <c r="L4615" s="14">
        <v>0.0</v>
      </c>
    </row>
    <row r="4616">
      <c r="A4616" s="14">
        <v>31.0</v>
      </c>
      <c r="B4616" s="14">
        <v>0.0</v>
      </c>
      <c r="C4616" s="34">
        <v>12.47</v>
      </c>
      <c r="D4616" s="36">
        <v>45188.0</v>
      </c>
      <c r="E4616" s="24"/>
      <c r="F4616" s="14" t="s">
        <v>6012</v>
      </c>
      <c r="G4616" s="14">
        <v>402.26</v>
      </c>
      <c r="H4616" s="14">
        <v>0.0</v>
      </c>
      <c r="I4616" s="14" t="s">
        <v>6057</v>
      </c>
      <c r="J4616" s="14" t="s">
        <v>6012</v>
      </c>
      <c r="K4616" s="14" t="s">
        <v>6012</v>
      </c>
      <c r="L4616" s="14">
        <v>0.0</v>
      </c>
    </row>
    <row r="4617">
      <c r="A4617" s="14">
        <v>83.0</v>
      </c>
      <c r="B4617" s="14">
        <v>0.0</v>
      </c>
      <c r="C4617" s="34">
        <v>13.2</v>
      </c>
      <c r="D4617" s="36">
        <v>45188.0</v>
      </c>
      <c r="E4617" s="24"/>
      <c r="F4617" s="14" t="s">
        <v>6012</v>
      </c>
      <c r="G4617" s="14">
        <v>159.04</v>
      </c>
      <c r="H4617" s="14">
        <v>0.0</v>
      </c>
      <c r="I4617" s="14" t="s">
        <v>6063</v>
      </c>
      <c r="J4617" s="14" t="s">
        <v>6012</v>
      </c>
      <c r="K4617" s="14">
        <v>13.2</v>
      </c>
      <c r="L4617" s="14">
        <v>0.0</v>
      </c>
    </row>
    <row r="4618">
      <c r="A4618" s="14">
        <v>438.0</v>
      </c>
      <c r="B4618" s="14">
        <v>4.0</v>
      </c>
      <c r="C4618" s="34">
        <v>11.67</v>
      </c>
      <c r="D4618" s="36">
        <v>45188.0</v>
      </c>
      <c r="E4618" s="24"/>
      <c r="F4618" s="14">
        <v>2.92</v>
      </c>
      <c r="G4618" s="14">
        <v>26.64</v>
      </c>
      <c r="H4618" s="14">
        <v>0.91</v>
      </c>
      <c r="I4618" s="14" t="s">
        <v>6060</v>
      </c>
      <c r="J4618" s="14">
        <v>75.0</v>
      </c>
      <c r="K4618" s="14">
        <v>3.89</v>
      </c>
      <c r="L4618" s="14">
        <v>0.0</v>
      </c>
    </row>
    <row r="4619">
      <c r="A4619" s="14">
        <v>44.0</v>
      </c>
      <c r="B4619" s="14">
        <v>1.0</v>
      </c>
      <c r="C4619" s="34">
        <v>11.4</v>
      </c>
      <c r="D4619" s="36">
        <v>45188.0</v>
      </c>
      <c r="E4619" s="24"/>
      <c r="F4619" s="14">
        <v>11.4</v>
      </c>
      <c r="G4619" s="14">
        <v>259.09</v>
      </c>
      <c r="H4619" s="14">
        <v>2.27</v>
      </c>
      <c r="I4619" s="14" t="s">
        <v>6058</v>
      </c>
      <c r="J4619" s="14">
        <v>0.0</v>
      </c>
      <c r="K4619" s="14" t="s">
        <v>6012</v>
      </c>
      <c r="L4619" s="14">
        <v>0.0</v>
      </c>
    </row>
    <row r="4620">
      <c r="A4620" s="14">
        <v>108.0</v>
      </c>
      <c r="B4620" s="14">
        <v>0.0</v>
      </c>
      <c r="C4620" s="34">
        <v>13.2</v>
      </c>
      <c r="D4620" s="36">
        <v>45188.0</v>
      </c>
      <c r="E4620" s="24"/>
      <c r="F4620" s="14" t="s">
        <v>6012</v>
      </c>
      <c r="G4620" s="14">
        <v>122.22</v>
      </c>
      <c r="H4620" s="14">
        <v>0.0</v>
      </c>
      <c r="I4620" s="14" t="s">
        <v>6042</v>
      </c>
      <c r="J4620" s="14" t="s">
        <v>6012</v>
      </c>
      <c r="K4620" s="14" t="s">
        <v>6012</v>
      </c>
      <c r="L4620" s="14">
        <v>0.0</v>
      </c>
    </row>
    <row r="4621">
      <c r="A4621" s="14">
        <v>16.0</v>
      </c>
      <c r="B4621" s="14">
        <v>3.0</v>
      </c>
      <c r="C4621" s="34">
        <v>12.0</v>
      </c>
      <c r="D4621" s="36">
        <v>45188.0</v>
      </c>
      <c r="E4621" s="24"/>
      <c r="F4621" s="14">
        <v>4.0</v>
      </c>
      <c r="G4621" s="14">
        <v>750.0</v>
      </c>
      <c r="H4621" s="14">
        <v>18.75</v>
      </c>
      <c r="I4621" s="14" t="s">
        <v>6064</v>
      </c>
      <c r="J4621" s="14">
        <v>0.0</v>
      </c>
      <c r="K4621" s="14" t="s">
        <v>6012</v>
      </c>
      <c r="L4621" s="14">
        <v>0.0</v>
      </c>
    </row>
    <row r="4622">
      <c r="A4622" s="14">
        <v>721.0</v>
      </c>
      <c r="B4622" s="14">
        <v>6.0</v>
      </c>
      <c r="C4622" s="34">
        <v>11.0</v>
      </c>
      <c r="D4622" s="36">
        <v>45188.0</v>
      </c>
      <c r="E4622" s="24"/>
      <c r="F4622" s="14">
        <v>1.83</v>
      </c>
      <c r="G4622" s="14">
        <v>15.26</v>
      </c>
      <c r="H4622" s="14">
        <v>0.83</v>
      </c>
      <c r="I4622" s="14" t="s">
        <v>6050</v>
      </c>
      <c r="J4622" s="14">
        <v>0.0</v>
      </c>
      <c r="K4622" s="14" t="s">
        <v>6012</v>
      </c>
      <c r="L4622" s="14">
        <v>0.0</v>
      </c>
    </row>
    <row r="4623">
      <c r="A4623" s="14">
        <v>74.0</v>
      </c>
      <c r="B4623" s="14">
        <v>0.0</v>
      </c>
      <c r="C4623" s="34">
        <v>12.12</v>
      </c>
      <c r="D4623" s="36">
        <v>45189.0</v>
      </c>
      <c r="E4623" s="24"/>
      <c r="F4623" s="14" t="s">
        <v>6012</v>
      </c>
      <c r="G4623" s="14">
        <v>163.78</v>
      </c>
      <c r="H4623" s="14">
        <v>0.0</v>
      </c>
      <c r="I4623" s="14" t="s">
        <v>6062</v>
      </c>
      <c r="J4623" s="14" t="s">
        <v>6012</v>
      </c>
      <c r="K4623" s="14" t="s">
        <v>6012</v>
      </c>
      <c r="L4623" s="14">
        <v>0.0</v>
      </c>
    </row>
    <row r="4624">
      <c r="A4624" s="14">
        <v>51.0</v>
      </c>
      <c r="B4624" s="14">
        <v>0.0</v>
      </c>
      <c r="C4624" s="34">
        <v>11.9</v>
      </c>
      <c r="D4624" s="36">
        <v>45189.0</v>
      </c>
      <c r="E4624" s="24"/>
      <c r="F4624" s="14" t="s">
        <v>6012</v>
      </c>
      <c r="G4624" s="14">
        <v>233.33</v>
      </c>
      <c r="H4624" s="14">
        <v>0.0</v>
      </c>
      <c r="I4624" s="14" t="s">
        <v>6058</v>
      </c>
      <c r="J4624" s="14" t="s">
        <v>6012</v>
      </c>
      <c r="K4624" s="14">
        <v>11.9</v>
      </c>
      <c r="L4624" s="14">
        <v>0.0</v>
      </c>
    </row>
    <row r="4625">
      <c r="A4625" s="14">
        <v>4.0</v>
      </c>
      <c r="B4625" s="14">
        <v>6.0</v>
      </c>
      <c r="C4625" s="34">
        <v>3.0</v>
      </c>
      <c r="D4625" s="36">
        <v>45189.0</v>
      </c>
      <c r="E4625" s="24"/>
      <c r="F4625" s="14">
        <v>0.5</v>
      </c>
      <c r="G4625" s="14">
        <v>750.0</v>
      </c>
      <c r="H4625" s="14">
        <v>150.0</v>
      </c>
      <c r="I4625" s="14" t="s">
        <v>6064</v>
      </c>
      <c r="J4625" s="14">
        <v>0.0</v>
      </c>
      <c r="K4625" s="14" t="s">
        <v>6012</v>
      </c>
      <c r="L4625" s="14">
        <v>0.0</v>
      </c>
    </row>
    <row r="4626">
      <c r="A4626" s="14">
        <v>590.0</v>
      </c>
      <c r="B4626" s="14">
        <v>6.0</v>
      </c>
      <c r="C4626" s="34">
        <v>10.79</v>
      </c>
      <c r="D4626" s="36">
        <v>45189.0</v>
      </c>
      <c r="E4626" s="24"/>
      <c r="F4626" s="14">
        <v>1.8</v>
      </c>
      <c r="G4626" s="14">
        <v>18.29</v>
      </c>
      <c r="H4626" s="14">
        <v>1.02</v>
      </c>
      <c r="I4626" s="14" t="s">
        <v>6060</v>
      </c>
      <c r="J4626" s="14">
        <v>33.33</v>
      </c>
      <c r="K4626" s="14">
        <v>5.4</v>
      </c>
      <c r="L4626" s="14">
        <v>0.0</v>
      </c>
    </row>
    <row r="4627">
      <c r="A4627" s="14">
        <v>645.0</v>
      </c>
      <c r="B4627" s="14">
        <v>5.0</v>
      </c>
      <c r="C4627" s="34">
        <v>11.19</v>
      </c>
      <c r="D4627" s="36">
        <v>45189.0</v>
      </c>
      <c r="E4627" s="24"/>
      <c r="F4627" s="14">
        <v>2.24</v>
      </c>
      <c r="G4627" s="14">
        <v>17.35</v>
      </c>
      <c r="H4627" s="14">
        <v>0.78</v>
      </c>
      <c r="I4627" s="14" t="s">
        <v>6050</v>
      </c>
      <c r="J4627" s="14">
        <v>20.0</v>
      </c>
      <c r="K4627" s="14">
        <v>11.19</v>
      </c>
      <c r="L4627" s="14">
        <v>0.0</v>
      </c>
    </row>
    <row r="4628">
      <c r="A4628" s="14">
        <v>118.0</v>
      </c>
      <c r="B4628" s="14">
        <v>0.0</v>
      </c>
      <c r="C4628" s="34">
        <v>12.02</v>
      </c>
      <c r="D4628" s="36">
        <v>45189.0</v>
      </c>
      <c r="E4628" s="24"/>
      <c r="F4628" s="14" t="s">
        <v>6012</v>
      </c>
      <c r="G4628" s="14">
        <v>101.86</v>
      </c>
      <c r="H4628" s="14">
        <v>0.0</v>
      </c>
      <c r="I4628" s="14" t="s">
        <v>6063</v>
      </c>
      <c r="J4628" s="14" t="s">
        <v>6012</v>
      </c>
      <c r="K4628" s="14" t="s">
        <v>6012</v>
      </c>
      <c r="L4628" s="14">
        <v>0.0</v>
      </c>
    </row>
    <row r="4629">
      <c r="A4629" s="14">
        <v>19.0</v>
      </c>
      <c r="B4629" s="14">
        <v>0.0</v>
      </c>
      <c r="C4629" s="34">
        <v>12.41</v>
      </c>
      <c r="D4629" s="36">
        <v>45189.0</v>
      </c>
      <c r="E4629" s="24"/>
      <c r="F4629" s="14" t="s">
        <v>6012</v>
      </c>
      <c r="G4629" s="14">
        <v>653.16</v>
      </c>
      <c r="H4629" s="14">
        <v>0.0</v>
      </c>
      <c r="I4629" s="14" t="s">
        <v>6059</v>
      </c>
      <c r="J4629" s="14" t="s">
        <v>6012</v>
      </c>
      <c r="K4629" s="14" t="s">
        <v>6012</v>
      </c>
      <c r="L4629" s="14">
        <v>0.0</v>
      </c>
    </row>
    <row r="4630">
      <c r="A4630" s="14">
        <v>48.0</v>
      </c>
      <c r="B4630" s="14">
        <v>0.0</v>
      </c>
      <c r="C4630" s="34">
        <v>12.55</v>
      </c>
      <c r="D4630" s="36">
        <v>45189.0</v>
      </c>
      <c r="E4630" s="24"/>
      <c r="F4630" s="14" t="s">
        <v>6012</v>
      </c>
      <c r="G4630" s="14">
        <v>261.46</v>
      </c>
      <c r="H4630" s="14">
        <v>0.0</v>
      </c>
      <c r="I4630" s="14" t="s">
        <v>6061</v>
      </c>
      <c r="J4630" s="14" t="s">
        <v>6012</v>
      </c>
      <c r="K4630" s="14" t="s">
        <v>6012</v>
      </c>
      <c r="L4630" s="14">
        <v>0.0</v>
      </c>
    </row>
    <row r="4631">
      <c r="A4631" s="14">
        <v>32.0</v>
      </c>
      <c r="B4631" s="14">
        <v>0.0</v>
      </c>
      <c r="C4631" s="34">
        <v>13.05</v>
      </c>
      <c r="D4631" s="36">
        <v>45189.0</v>
      </c>
      <c r="E4631" s="24"/>
      <c r="F4631" s="14" t="s">
        <v>6012</v>
      </c>
      <c r="G4631" s="14">
        <v>407.81</v>
      </c>
      <c r="H4631" s="14">
        <v>0.0</v>
      </c>
      <c r="I4631" s="14" t="s">
        <v>6054</v>
      </c>
      <c r="J4631" s="14" t="s">
        <v>6012</v>
      </c>
      <c r="K4631" s="14" t="s">
        <v>6012</v>
      </c>
      <c r="L4631" s="14">
        <v>0.0</v>
      </c>
    </row>
    <row r="4632">
      <c r="A4632" s="14">
        <v>611.0</v>
      </c>
      <c r="B4632" s="14">
        <v>7.0</v>
      </c>
      <c r="C4632" s="34">
        <v>11.52</v>
      </c>
      <c r="D4632" s="36">
        <v>45189.0</v>
      </c>
      <c r="E4632" s="24"/>
      <c r="F4632" s="14">
        <v>1.65</v>
      </c>
      <c r="G4632" s="14">
        <v>18.85</v>
      </c>
      <c r="H4632" s="14">
        <v>1.15</v>
      </c>
      <c r="I4632" s="14" t="s">
        <v>6051</v>
      </c>
      <c r="J4632" s="14">
        <v>0.0</v>
      </c>
      <c r="K4632" s="14" t="s">
        <v>6012</v>
      </c>
      <c r="L4632" s="14">
        <v>0.0</v>
      </c>
    </row>
    <row r="4633">
      <c r="A4633" s="14">
        <v>122.0</v>
      </c>
      <c r="B4633" s="14">
        <v>2.0</v>
      </c>
      <c r="C4633" s="34">
        <v>13.27</v>
      </c>
      <c r="D4633" s="36">
        <v>45189.0</v>
      </c>
      <c r="E4633" s="24"/>
      <c r="F4633" s="14">
        <v>6.64</v>
      </c>
      <c r="G4633" s="14">
        <v>108.77</v>
      </c>
      <c r="H4633" s="14">
        <v>1.64</v>
      </c>
      <c r="I4633" s="14" t="s">
        <v>6042</v>
      </c>
      <c r="J4633" s="14">
        <v>0.0</v>
      </c>
      <c r="K4633" s="14" t="s">
        <v>6012</v>
      </c>
      <c r="L4633" s="14">
        <v>0.0</v>
      </c>
    </row>
    <row r="4634">
      <c r="A4634" s="14">
        <v>37.0</v>
      </c>
      <c r="B4634" s="14">
        <v>0.0</v>
      </c>
      <c r="C4634" s="34">
        <v>12.17</v>
      </c>
      <c r="D4634" s="36">
        <v>45189.0</v>
      </c>
      <c r="E4634" s="24"/>
      <c r="F4634" s="14" t="s">
        <v>6012</v>
      </c>
      <c r="G4634" s="14">
        <v>328.92</v>
      </c>
      <c r="H4634" s="14">
        <v>0.0</v>
      </c>
      <c r="I4634" s="14" t="s">
        <v>6057</v>
      </c>
      <c r="J4634" s="14" t="s">
        <v>6012</v>
      </c>
      <c r="K4634" s="14" t="s">
        <v>6012</v>
      </c>
      <c r="L4634" s="14">
        <v>0.0</v>
      </c>
    </row>
    <row r="4635">
      <c r="A4635" s="14">
        <v>36.0</v>
      </c>
      <c r="B4635" s="14">
        <v>2.0</v>
      </c>
      <c r="C4635" s="34">
        <v>12.83</v>
      </c>
      <c r="D4635" s="36">
        <v>45190.0</v>
      </c>
      <c r="E4635" s="24"/>
      <c r="F4635" s="14">
        <v>6.42</v>
      </c>
      <c r="G4635" s="14">
        <v>356.39</v>
      </c>
      <c r="H4635" s="14">
        <v>5.56</v>
      </c>
      <c r="I4635" s="14" t="s">
        <v>6058</v>
      </c>
      <c r="J4635" s="14">
        <v>50.0</v>
      </c>
      <c r="K4635" s="14">
        <v>12.83</v>
      </c>
      <c r="L4635" s="14">
        <v>0.0</v>
      </c>
    </row>
    <row r="4636">
      <c r="A4636" s="14">
        <v>777.0</v>
      </c>
      <c r="B4636" s="14">
        <v>5.0</v>
      </c>
      <c r="C4636" s="34">
        <v>11.87</v>
      </c>
      <c r="D4636" s="36">
        <v>45190.0</v>
      </c>
      <c r="E4636" s="24"/>
      <c r="F4636" s="14">
        <v>2.37</v>
      </c>
      <c r="G4636" s="14">
        <v>15.28</v>
      </c>
      <c r="H4636" s="14">
        <v>0.64</v>
      </c>
      <c r="I4636" s="14" t="s">
        <v>6050</v>
      </c>
      <c r="J4636" s="14">
        <v>20.0</v>
      </c>
      <c r="K4636" s="14">
        <v>11.87</v>
      </c>
      <c r="L4636" s="14">
        <v>0.0</v>
      </c>
    </row>
    <row r="4637">
      <c r="A4637" s="14">
        <v>152.0</v>
      </c>
      <c r="B4637" s="14">
        <v>1.0</v>
      </c>
      <c r="C4637" s="34">
        <v>11.74</v>
      </c>
      <c r="D4637" s="36">
        <v>45190.0</v>
      </c>
      <c r="E4637" s="24"/>
      <c r="F4637" s="14">
        <v>11.74</v>
      </c>
      <c r="G4637" s="14">
        <v>77.24</v>
      </c>
      <c r="H4637" s="14">
        <v>0.66</v>
      </c>
      <c r="I4637" s="14" t="s">
        <v>6062</v>
      </c>
      <c r="J4637" s="14">
        <v>0.0</v>
      </c>
      <c r="K4637" s="14" t="s">
        <v>6012</v>
      </c>
      <c r="L4637" s="14">
        <v>0.0</v>
      </c>
    </row>
    <row r="4638">
      <c r="A4638" s="14">
        <v>825.0</v>
      </c>
      <c r="B4638" s="14">
        <v>12.0</v>
      </c>
      <c r="C4638" s="34">
        <v>12.69</v>
      </c>
      <c r="D4638" s="36">
        <v>45190.0</v>
      </c>
      <c r="E4638" s="24"/>
      <c r="F4638" s="14">
        <v>1.06</v>
      </c>
      <c r="G4638" s="14">
        <v>15.38</v>
      </c>
      <c r="H4638" s="14">
        <v>1.45</v>
      </c>
      <c r="I4638" s="14" t="s">
        <v>6051</v>
      </c>
      <c r="J4638" s="14">
        <v>8.33</v>
      </c>
      <c r="K4638" s="14">
        <v>12.69</v>
      </c>
      <c r="L4638" s="14">
        <v>0.0</v>
      </c>
    </row>
    <row r="4639">
      <c r="A4639" s="14">
        <v>64.0</v>
      </c>
      <c r="B4639" s="14">
        <v>0.0</v>
      </c>
      <c r="C4639" s="34">
        <v>13.02</v>
      </c>
      <c r="D4639" s="36">
        <v>45190.0</v>
      </c>
      <c r="E4639" s="24"/>
      <c r="F4639" s="14" t="s">
        <v>6012</v>
      </c>
      <c r="G4639" s="14">
        <v>203.44</v>
      </c>
      <c r="H4639" s="14">
        <v>0.0</v>
      </c>
      <c r="I4639" s="14" t="s">
        <v>6042</v>
      </c>
      <c r="J4639" s="14" t="s">
        <v>6012</v>
      </c>
      <c r="K4639" s="14">
        <v>13.02</v>
      </c>
      <c r="L4639" s="14">
        <v>0.0</v>
      </c>
    </row>
    <row r="4640">
      <c r="A4640" s="14">
        <v>4.0</v>
      </c>
      <c r="B4640" s="14">
        <v>1.0</v>
      </c>
      <c r="C4640" s="34">
        <v>3.0</v>
      </c>
      <c r="D4640" s="36">
        <v>45190.0</v>
      </c>
      <c r="E4640" s="24"/>
      <c r="F4640" s="14">
        <v>3.0</v>
      </c>
      <c r="G4640" s="14">
        <v>750.0</v>
      </c>
      <c r="H4640" s="14">
        <v>25.0</v>
      </c>
      <c r="I4640" s="14" t="s">
        <v>6064</v>
      </c>
      <c r="J4640" s="14">
        <v>0.0</v>
      </c>
      <c r="K4640" s="14" t="s">
        <v>6012</v>
      </c>
      <c r="L4640" s="14">
        <v>0.0</v>
      </c>
    </row>
    <row r="4641">
      <c r="A4641" s="14">
        <v>41.0</v>
      </c>
      <c r="B4641" s="14">
        <v>0.0</v>
      </c>
      <c r="C4641" s="34">
        <v>13.36</v>
      </c>
      <c r="D4641" s="36">
        <v>45190.0</v>
      </c>
      <c r="E4641" s="24"/>
      <c r="F4641" s="14" t="s">
        <v>6012</v>
      </c>
      <c r="G4641" s="14">
        <v>325.85</v>
      </c>
      <c r="H4641" s="14">
        <v>0.0</v>
      </c>
      <c r="I4641" s="14" t="s">
        <v>6059</v>
      </c>
      <c r="J4641" s="14" t="s">
        <v>6012</v>
      </c>
      <c r="K4641" s="14" t="s">
        <v>6012</v>
      </c>
      <c r="L4641" s="14">
        <v>0.0</v>
      </c>
    </row>
    <row r="4642">
      <c r="A4642" s="14">
        <v>86.0</v>
      </c>
      <c r="B4642" s="14">
        <v>0.0</v>
      </c>
      <c r="C4642" s="34">
        <v>12.76</v>
      </c>
      <c r="D4642" s="36">
        <v>45190.0</v>
      </c>
      <c r="E4642" s="24"/>
      <c r="F4642" s="14" t="s">
        <v>6012</v>
      </c>
      <c r="G4642" s="14">
        <v>148.37</v>
      </c>
      <c r="H4642" s="14">
        <v>0.0</v>
      </c>
      <c r="I4642" s="14" t="s">
        <v>6063</v>
      </c>
      <c r="J4642" s="14" t="s">
        <v>6012</v>
      </c>
      <c r="K4642" s="14" t="s">
        <v>6012</v>
      </c>
      <c r="L4642" s="14">
        <v>0.0</v>
      </c>
    </row>
    <row r="4643">
      <c r="A4643" s="14">
        <v>33.0</v>
      </c>
      <c r="B4643" s="14">
        <v>0.0</v>
      </c>
      <c r="C4643" s="34">
        <v>12.82</v>
      </c>
      <c r="D4643" s="36">
        <v>45190.0</v>
      </c>
      <c r="E4643" s="24"/>
      <c r="F4643" s="14" t="s">
        <v>6012</v>
      </c>
      <c r="G4643" s="14">
        <v>388.48</v>
      </c>
      <c r="H4643" s="14">
        <v>0.0</v>
      </c>
      <c r="I4643" s="14" t="s">
        <v>6057</v>
      </c>
      <c r="J4643" s="14" t="s">
        <v>6012</v>
      </c>
      <c r="K4643" s="14" t="s">
        <v>6012</v>
      </c>
      <c r="L4643" s="14">
        <v>0.0</v>
      </c>
    </row>
    <row r="4644">
      <c r="A4644" s="14">
        <v>58.0</v>
      </c>
      <c r="B4644" s="14">
        <v>0.0</v>
      </c>
      <c r="C4644" s="34">
        <v>13.08</v>
      </c>
      <c r="D4644" s="36">
        <v>45190.0</v>
      </c>
      <c r="E4644" s="24"/>
      <c r="F4644" s="14" t="s">
        <v>6012</v>
      </c>
      <c r="G4644" s="14">
        <v>225.52</v>
      </c>
      <c r="H4644" s="14">
        <v>0.0</v>
      </c>
      <c r="I4644" s="14" t="s">
        <v>6061</v>
      </c>
      <c r="J4644" s="14" t="s">
        <v>6012</v>
      </c>
      <c r="K4644" s="14" t="s">
        <v>6012</v>
      </c>
      <c r="L4644" s="14">
        <v>0.0</v>
      </c>
    </row>
    <row r="4645">
      <c r="A4645" s="14">
        <v>342.0</v>
      </c>
      <c r="B4645" s="14">
        <v>6.0</v>
      </c>
      <c r="C4645" s="34">
        <v>11.8</v>
      </c>
      <c r="D4645" s="36">
        <v>45190.0</v>
      </c>
      <c r="E4645" s="24"/>
      <c r="F4645" s="14">
        <v>1.97</v>
      </c>
      <c r="G4645" s="14">
        <v>34.5</v>
      </c>
      <c r="H4645" s="14">
        <v>1.75</v>
      </c>
      <c r="I4645" s="14" t="s">
        <v>6060</v>
      </c>
      <c r="J4645" s="14">
        <v>16.67</v>
      </c>
      <c r="K4645" s="14">
        <v>11.8</v>
      </c>
      <c r="L4645" s="14">
        <v>0.0</v>
      </c>
    </row>
    <row r="4646">
      <c r="A4646" s="14">
        <v>61.0</v>
      </c>
      <c r="B4646" s="14">
        <v>0.0</v>
      </c>
      <c r="C4646" s="34">
        <v>12.2</v>
      </c>
      <c r="D4646" s="36">
        <v>45190.0</v>
      </c>
      <c r="E4646" s="24"/>
      <c r="F4646" s="14" t="s">
        <v>6012</v>
      </c>
      <c r="G4646" s="14">
        <v>200.0</v>
      </c>
      <c r="H4646" s="14">
        <v>0.0</v>
      </c>
      <c r="I4646" s="14" t="s">
        <v>6054</v>
      </c>
      <c r="J4646" s="14" t="s">
        <v>6012</v>
      </c>
      <c r="K4646" s="14" t="s">
        <v>6012</v>
      </c>
      <c r="L4646" s="14">
        <v>0.0</v>
      </c>
    </row>
    <row r="4647">
      <c r="A4647" s="14">
        <v>27.0</v>
      </c>
      <c r="B4647" s="14">
        <v>0.0</v>
      </c>
      <c r="C4647" s="34">
        <v>10.53</v>
      </c>
      <c r="D4647" s="36">
        <v>45191.0</v>
      </c>
      <c r="E4647" s="24"/>
      <c r="F4647" s="14" t="s">
        <v>6012</v>
      </c>
      <c r="G4647" s="14">
        <v>390.0</v>
      </c>
      <c r="H4647" s="14">
        <v>0.0</v>
      </c>
      <c r="I4647" s="14" t="s">
        <v>6059</v>
      </c>
      <c r="J4647" s="14" t="s">
        <v>6012</v>
      </c>
      <c r="K4647" s="14" t="s">
        <v>6012</v>
      </c>
      <c r="L4647" s="14">
        <v>0.0</v>
      </c>
    </row>
    <row r="4648">
      <c r="A4648" s="14">
        <v>41.0</v>
      </c>
      <c r="B4648" s="14">
        <v>0.0</v>
      </c>
      <c r="C4648" s="34">
        <v>14.53</v>
      </c>
      <c r="D4648" s="36">
        <v>45191.0</v>
      </c>
      <c r="E4648" s="24"/>
      <c r="F4648" s="14" t="s">
        <v>6012</v>
      </c>
      <c r="G4648" s="14">
        <v>354.39</v>
      </c>
      <c r="H4648" s="14">
        <v>0.0</v>
      </c>
      <c r="I4648" s="14" t="s">
        <v>6061</v>
      </c>
      <c r="J4648" s="14" t="s">
        <v>6012</v>
      </c>
      <c r="K4648" s="14" t="s">
        <v>6012</v>
      </c>
      <c r="L4648" s="14">
        <v>0.0</v>
      </c>
    </row>
    <row r="4649">
      <c r="A4649" s="14">
        <v>8.0</v>
      </c>
      <c r="B4649" s="14">
        <v>3.0</v>
      </c>
      <c r="C4649" s="34">
        <v>6.0</v>
      </c>
      <c r="D4649" s="36">
        <v>45191.0</v>
      </c>
      <c r="E4649" s="24"/>
      <c r="F4649" s="14">
        <v>2.0</v>
      </c>
      <c r="G4649" s="14">
        <v>750.0</v>
      </c>
      <c r="H4649" s="14">
        <v>37.5</v>
      </c>
      <c r="I4649" s="14" t="s">
        <v>6064</v>
      </c>
      <c r="J4649" s="14">
        <v>0.0</v>
      </c>
      <c r="K4649" s="14" t="s">
        <v>6012</v>
      </c>
      <c r="L4649" s="14">
        <v>0.0</v>
      </c>
    </row>
    <row r="4650">
      <c r="A4650" s="14">
        <v>582.0</v>
      </c>
      <c r="B4650" s="14">
        <v>7.0</v>
      </c>
      <c r="C4650" s="34">
        <v>11.26</v>
      </c>
      <c r="D4650" s="36">
        <v>45191.0</v>
      </c>
      <c r="E4650" s="24"/>
      <c r="F4650" s="14">
        <v>1.61</v>
      </c>
      <c r="G4650" s="14">
        <v>19.35</v>
      </c>
      <c r="H4650" s="14">
        <v>1.2</v>
      </c>
      <c r="I4650" s="14" t="s">
        <v>6050</v>
      </c>
      <c r="J4650" s="14">
        <v>57.14</v>
      </c>
      <c r="K4650" s="14">
        <v>2.82</v>
      </c>
      <c r="L4650" s="14">
        <v>0.0</v>
      </c>
    </row>
    <row r="4651">
      <c r="A4651" s="14">
        <v>724.0</v>
      </c>
      <c r="B4651" s="14">
        <v>9.0</v>
      </c>
      <c r="C4651" s="34">
        <v>11.49</v>
      </c>
      <c r="D4651" s="36">
        <v>45191.0</v>
      </c>
      <c r="E4651" s="24"/>
      <c r="F4651" s="14">
        <v>1.28</v>
      </c>
      <c r="G4651" s="14">
        <v>15.87</v>
      </c>
      <c r="H4651" s="14">
        <v>1.24</v>
      </c>
      <c r="I4651" s="14" t="s">
        <v>6051</v>
      </c>
      <c r="J4651" s="14">
        <v>0.0</v>
      </c>
      <c r="K4651" s="14" t="s">
        <v>6012</v>
      </c>
      <c r="L4651" s="14">
        <v>0.0</v>
      </c>
    </row>
    <row r="4652">
      <c r="A4652" s="14">
        <v>24.0</v>
      </c>
      <c r="B4652" s="14">
        <v>0.0</v>
      </c>
      <c r="C4652" s="34">
        <v>11.23</v>
      </c>
      <c r="D4652" s="36">
        <v>45191.0</v>
      </c>
      <c r="E4652" s="24"/>
      <c r="F4652" s="14" t="s">
        <v>6012</v>
      </c>
      <c r="G4652" s="14">
        <v>467.92</v>
      </c>
      <c r="H4652" s="14">
        <v>0.0</v>
      </c>
      <c r="I4652" s="14" t="s">
        <v>6057</v>
      </c>
      <c r="J4652" s="14" t="s">
        <v>6012</v>
      </c>
      <c r="K4652" s="14" t="s">
        <v>6012</v>
      </c>
      <c r="L4652" s="14">
        <v>0.0</v>
      </c>
    </row>
    <row r="4653">
      <c r="A4653" s="14">
        <v>72.0</v>
      </c>
      <c r="B4653" s="14">
        <v>1.0</v>
      </c>
      <c r="C4653" s="34">
        <v>13.55</v>
      </c>
      <c r="D4653" s="36">
        <v>45191.0</v>
      </c>
      <c r="E4653" s="24"/>
      <c r="F4653" s="14">
        <v>13.55</v>
      </c>
      <c r="G4653" s="14">
        <v>188.19</v>
      </c>
      <c r="H4653" s="14">
        <v>1.39</v>
      </c>
      <c r="I4653" s="14" t="s">
        <v>6042</v>
      </c>
      <c r="J4653" s="14">
        <v>100.0</v>
      </c>
      <c r="K4653" s="14">
        <v>13.55</v>
      </c>
      <c r="L4653" s="14">
        <v>0.0</v>
      </c>
    </row>
    <row r="4654">
      <c r="A4654" s="14">
        <v>383.0</v>
      </c>
      <c r="B4654" s="14">
        <v>2.0</v>
      </c>
      <c r="C4654" s="34">
        <v>10.66</v>
      </c>
      <c r="D4654" s="36">
        <v>45191.0</v>
      </c>
      <c r="E4654" s="24"/>
      <c r="F4654" s="14">
        <v>5.33</v>
      </c>
      <c r="G4654" s="14">
        <v>27.83</v>
      </c>
      <c r="H4654" s="14">
        <v>0.52</v>
      </c>
      <c r="I4654" s="14" t="s">
        <v>6060</v>
      </c>
      <c r="J4654" s="14">
        <v>100.0</v>
      </c>
      <c r="K4654" s="14">
        <v>5.33</v>
      </c>
      <c r="L4654" s="14">
        <v>0.0</v>
      </c>
    </row>
    <row r="4655">
      <c r="A4655" s="14">
        <v>18.0</v>
      </c>
      <c r="B4655" s="14">
        <v>0.0</v>
      </c>
      <c r="C4655" s="34">
        <v>10.91</v>
      </c>
      <c r="D4655" s="36">
        <v>45191.0</v>
      </c>
      <c r="E4655" s="24"/>
      <c r="F4655" s="14" t="s">
        <v>6012</v>
      </c>
      <c r="G4655" s="14">
        <v>606.11</v>
      </c>
      <c r="H4655" s="14">
        <v>0.0</v>
      </c>
      <c r="I4655" s="14" t="s">
        <v>6054</v>
      </c>
      <c r="J4655" s="14" t="s">
        <v>6012</v>
      </c>
      <c r="K4655" s="14">
        <v>5.46</v>
      </c>
      <c r="L4655" s="14">
        <v>0.0</v>
      </c>
    </row>
    <row r="4656">
      <c r="A4656" s="14">
        <v>45.0</v>
      </c>
      <c r="B4656" s="14">
        <v>0.0</v>
      </c>
      <c r="C4656" s="34">
        <v>12.05</v>
      </c>
      <c r="D4656" s="36">
        <v>45191.0</v>
      </c>
      <c r="E4656" s="24"/>
      <c r="F4656" s="14" t="s">
        <v>6012</v>
      </c>
      <c r="G4656" s="14">
        <v>267.78</v>
      </c>
      <c r="H4656" s="14">
        <v>0.0</v>
      </c>
      <c r="I4656" s="14" t="s">
        <v>6063</v>
      </c>
      <c r="J4656" s="14" t="s">
        <v>6012</v>
      </c>
      <c r="K4656" s="14" t="s">
        <v>6012</v>
      </c>
      <c r="L4656" s="14">
        <v>0.0</v>
      </c>
    </row>
    <row r="4657">
      <c r="A4657" s="14">
        <v>74.0</v>
      </c>
      <c r="B4657" s="14">
        <v>0.0</v>
      </c>
      <c r="C4657" s="34">
        <v>11.89</v>
      </c>
      <c r="D4657" s="36">
        <v>45191.0</v>
      </c>
      <c r="E4657" s="24"/>
      <c r="F4657" s="14" t="s">
        <v>6012</v>
      </c>
      <c r="G4657" s="14">
        <v>160.68</v>
      </c>
      <c r="H4657" s="14">
        <v>0.0</v>
      </c>
      <c r="I4657" s="14" t="s">
        <v>6062</v>
      </c>
      <c r="J4657" s="14" t="s">
        <v>6012</v>
      </c>
      <c r="K4657" s="14" t="s">
        <v>6012</v>
      </c>
      <c r="L4657" s="14">
        <v>0.0</v>
      </c>
    </row>
    <row r="4658">
      <c r="A4658" s="14">
        <v>30.0</v>
      </c>
      <c r="B4658" s="14">
        <v>0.0</v>
      </c>
      <c r="C4658" s="34">
        <v>10.6</v>
      </c>
      <c r="D4658" s="36">
        <v>45191.0</v>
      </c>
      <c r="E4658" s="24"/>
      <c r="F4658" s="14" t="s">
        <v>6012</v>
      </c>
      <c r="G4658" s="14">
        <v>353.33</v>
      </c>
      <c r="H4658" s="14">
        <v>0.0</v>
      </c>
      <c r="I4658" s="14" t="s">
        <v>6058</v>
      </c>
      <c r="J4658" s="14" t="s">
        <v>6012</v>
      </c>
      <c r="K4658" s="14">
        <v>10.6</v>
      </c>
      <c r="L4658" s="14">
        <v>0.0</v>
      </c>
    </row>
    <row r="4659">
      <c r="A4659" s="14">
        <v>12.0</v>
      </c>
      <c r="B4659" s="14">
        <v>0.0</v>
      </c>
      <c r="C4659" s="34">
        <v>6.57</v>
      </c>
      <c r="D4659" s="36">
        <v>45192.0</v>
      </c>
      <c r="E4659" s="24"/>
      <c r="F4659" s="14" t="s">
        <v>6012</v>
      </c>
      <c r="G4659" s="14">
        <v>547.5</v>
      </c>
      <c r="H4659" s="14">
        <v>0.0</v>
      </c>
      <c r="I4659" s="14" t="s">
        <v>6059</v>
      </c>
      <c r="J4659" s="14" t="s">
        <v>6012</v>
      </c>
      <c r="K4659" s="14" t="s">
        <v>6012</v>
      </c>
      <c r="L4659" s="14">
        <v>0.0</v>
      </c>
    </row>
    <row r="4660">
      <c r="A4660" s="14">
        <v>21.0</v>
      </c>
      <c r="B4660" s="14">
        <v>0.0</v>
      </c>
      <c r="C4660" s="34">
        <v>11.6</v>
      </c>
      <c r="D4660" s="36">
        <v>45192.0</v>
      </c>
      <c r="E4660" s="24"/>
      <c r="F4660" s="14" t="s">
        <v>6012</v>
      </c>
      <c r="G4660" s="14">
        <v>552.38</v>
      </c>
      <c r="H4660" s="14">
        <v>0.0</v>
      </c>
      <c r="I4660" s="14" t="s">
        <v>6054</v>
      </c>
      <c r="J4660" s="14" t="s">
        <v>6012</v>
      </c>
      <c r="K4660" s="14" t="s">
        <v>6012</v>
      </c>
      <c r="L4660" s="14">
        <v>0.0</v>
      </c>
    </row>
    <row r="4661">
      <c r="A4661" s="14">
        <v>420.0</v>
      </c>
      <c r="B4661" s="14">
        <v>7.0</v>
      </c>
      <c r="C4661" s="34">
        <v>6.58</v>
      </c>
      <c r="D4661" s="36">
        <v>45192.0</v>
      </c>
      <c r="E4661" s="24"/>
      <c r="F4661" s="14">
        <v>0.94</v>
      </c>
      <c r="G4661" s="14">
        <v>15.67</v>
      </c>
      <c r="H4661" s="14">
        <v>1.67</v>
      </c>
      <c r="I4661" s="14" t="s">
        <v>6051</v>
      </c>
      <c r="J4661" s="14">
        <v>0.0</v>
      </c>
      <c r="K4661" s="14" t="s">
        <v>6012</v>
      </c>
      <c r="L4661" s="14">
        <v>0.0</v>
      </c>
    </row>
    <row r="4662">
      <c r="A4662" s="14">
        <v>149.0</v>
      </c>
      <c r="B4662" s="14">
        <v>0.0</v>
      </c>
      <c r="C4662" s="34">
        <v>5.16</v>
      </c>
      <c r="D4662" s="36">
        <v>45192.0</v>
      </c>
      <c r="E4662" s="24"/>
      <c r="F4662" s="14" t="s">
        <v>6012</v>
      </c>
      <c r="G4662" s="14">
        <v>34.63</v>
      </c>
      <c r="H4662" s="14">
        <v>0.0</v>
      </c>
      <c r="I4662" s="14" t="s">
        <v>6062</v>
      </c>
      <c r="J4662" s="14" t="s">
        <v>6012</v>
      </c>
      <c r="K4662" s="14" t="s">
        <v>6012</v>
      </c>
      <c r="L4662" s="14">
        <v>0.0</v>
      </c>
    </row>
    <row r="4663">
      <c r="A4663" s="14">
        <v>453.0</v>
      </c>
      <c r="B4663" s="14">
        <v>5.0</v>
      </c>
      <c r="C4663" s="34">
        <v>6.66</v>
      </c>
      <c r="D4663" s="36">
        <v>45192.0</v>
      </c>
      <c r="E4663" s="24"/>
      <c r="F4663" s="14">
        <v>1.33</v>
      </c>
      <c r="G4663" s="14">
        <v>14.7</v>
      </c>
      <c r="H4663" s="14">
        <v>1.1</v>
      </c>
      <c r="I4663" s="14" t="s">
        <v>6050</v>
      </c>
      <c r="J4663" s="14">
        <v>0.0</v>
      </c>
      <c r="K4663" s="14" t="s">
        <v>6012</v>
      </c>
      <c r="L4663" s="14">
        <v>0.0</v>
      </c>
    </row>
    <row r="4664">
      <c r="A4664" s="14">
        <v>144.0</v>
      </c>
      <c r="B4664" s="14">
        <v>1.0</v>
      </c>
      <c r="C4664" s="34">
        <v>6.67</v>
      </c>
      <c r="D4664" s="36">
        <v>45192.0</v>
      </c>
      <c r="E4664" s="24"/>
      <c r="F4664" s="14">
        <v>6.67</v>
      </c>
      <c r="G4664" s="14">
        <v>46.32</v>
      </c>
      <c r="H4664" s="14">
        <v>0.69</v>
      </c>
      <c r="I4664" s="14" t="s">
        <v>6042</v>
      </c>
      <c r="J4664" s="14">
        <v>0.0</v>
      </c>
      <c r="K4664" s="14" t="s">
        <v>6012</v>
      </c>
      <c r="L4664" s="14">
        <v>0.0</v>
      </c>
    </row>
    <row r="4665">
      <c r="A4665" s="14">
        <v>34.0</v>
      </c>
      <c r="B4665" s="14">
        <v>0.0</v>
      </c>
      <c r="C4665" s="34">
        <v>5.32</v>
      </c>
      <c r="D4665" s="36">
        <v>45192.0</v>
      </c>
      <c r="E4665" s="24"/>
      <c r="F4665" s="14" t="s">
        <v>6012</v>
      </c>
      <c r="G4665" s="14">
        <v>156.47</v>
      </c>
      <c r="H4665" s="14">
        <v>0.0</v>
      </c>
      <c r="I4665" s="14" t="s">
        <v>6063</v>
      </c>
      <c r="J4665" s="14" t="s">
        <v>6012</v>
      </c>
      <c r="K4665" s="14" t="s">
        <v>6012</v>
      </c>
      <c r="L4665" s="14">
        <v>0.0</v>
      </c>
    </row>
    <row r="4666">
      <c r="A4666" s="14">
        <v>32.0</v>
      </c>
      <c r="B4666" s="14">
        <v>1.0</v>
      </c>
      <c r="C4666" s="34">
        <v>3.25</v>
      </c>
      <c r="D4666" s="36">
        <v>45192.0</v>
      </c>
      <c r="E4666" s="24"/>
      <c r="F4666" s="14">
        <v>3.25</v>
      </c>
      <c r="G4666" s="14">
        <v>101.56</v>
      </c>
      <c r="H4666" s="14">
        <v>3.12</v>
      </c>
      <c r="I4666" s="14" t="s">
        <v>6061</v>
      </c>
      <c r="J4666" s="14">
        <v>0.0</v>
      </c>
      <c r="K4666" s="14" t="s">
        <v>6012</v>
      </c>
      <c r="L4666" s="14">
        <v>0.0</v>
      </c>
    </row>
    <row r="4667">
      <c r="A4667" s="14">
        <v>1.0</v>
      </c>
      <c r="B4667" s="14">
        <v>1.0</v>
      </c>
      <c r="C4667" s="34">
        <v>0.75</v>
      </c>
      <c r="D4667" s="36">
        <v>45192.0</v>
      </c>
      <c r="E4667" s="24"/>
      <c r="F4667" s="14">
        <v>0.75</v>
      </c>
      <c r="G4667" s="14">
        <v>750.0</v>
      </c>
      <c r="H4667" s="14">
        <v>100.0</v>
      </c>
      <c r="I4667" s="14" t="s">
        <v>6064</v>
      </c>
      <c r="J4667" s="14">
        <v>0.0</v>
      </c>
      <c r="K4667" s="14" t="s">
        <v>6012</v>
      </c>
      <c r="L4667" s="14">
        <v>0.0</v>
      </c>
    </row>
    <row r="4668">
      <c r="A4668" s="14">
        <v>26.0</v>
      </c>
      <c r="B4668" s="14">
        <v>0.0</v>
      </c>
      <c r="C4668" s="34">
        <v>5.48</v>
      </c>
      <c r="D4668" s="36">
        <v>45192.0</v>
      </c>
      <c r="E4668" s="24"/>
      <c r="F4668" s="14" t="s">
        <v>6012</v>
      </c>
      <c r="G4668" s="14">
        <v>210.77</v>
      </c>
      <c r="H4668" s="14">
        <v>0.0</v>
      </c>
      <c r="I4668" s="14" t="s">
        <v>6058</v>
      </c>
      <c r="J4668" s="14" t="s">
        <v>6012</v>
      </c>
      <c r="K4668" s="14" t="s">
        <v>6012</v>
      </c>
      <c r="L4668" s="14">
        <v>0.0</v>
      </c>
    </row>
    <row r="4669">
      <c r="A4669" s="14">
        <v>15.0</v>
      </c>
      <c r="B4669" s="14">
        <v>0.0</v>
      </c>
      <c r="C4669" s="34">
        <v>8.24</v>
      </c>
      <c r="D4669" s="36">
        <v>45192.0</v>
      </c>
      <c r="E4669" s="24"/>
      <c r="F4669" s="14" t="s">
        <v>6012</v>
      </c>
      <c r="G4669" s="14">
        <v>549.33</v>
      </c>
      <c r="H4669" s="14">
        <v>0.0</v>
      </c>
      <c r="I4669" s="14" t="s">
        <v>6057</v>
      </c>
      <c r="J4669" s="14" t="s">
        <v>6012</v>
      </c>
      <c r="K4669" s="14" t="s">
        <v>6012</v>
      </c>
      <c r="L4669" s="14">
        <v>0.0</v>
      </c>
    </row>
    <row r="4670">
      <c r="A4670" s="14">
        <v>199.0</v>
      </c>
      <c r="B4670" s="14">
        <v>0.0</v>
      </c>
      <c r="C4670" s="34">
        <v>8.1</v>
      </c>
      <c r="D4670" s="36">
        <v>45192.0</v>
      </c>
      <c r="E4670" s="24"/>
      <c r="F4670" s="14" t="s">
        <v>6012</v>
      </c>
      <c r="G4670" s="14">
        <v>40.7</v>
      </c>
      <c r="H4670" s="14">
        <v>0.0</v>
      </c>
      <c r="I4670" s="14" t="s">
        <v>6060</v>
      </c>
      <c r="J4670" s="14" t="s">
        <v>6012</v>
      </c>
      <c r="K4670" s="14" t="s">
        <v>6012</v>
      </c>
      <c r="L4670" s="14">
        <v>0.0</v>
      </c>
    </row>
    <row r="4671">
      <c r="A4671" s="14">
        <v>5.0</v>
      </c>
      <c r="B4671" s="14">
        <v>0.0</v>
      </c>
      <c r="C4671" s="34">
        <v>3.75</v>
      </c>
      <c r="D4671" s="36">
        <v>45193.0</v>
      </c>
      <c r="E4671" s="24"/>
      <c r="F4671" s="14" t="s">
        <v>6012</v>
      </c>
      <c r="G4671" s="14">
        <v>750.0</v>
      </c>
      <c r="H4671" s="14">
        <v>0.0</v>
      </c>
      <c r="I4671" s="14" t="s">
        <v>6064</v>
      </c>
      <c r="J4671" s="14" t="s">
        <v>6012</v>
      </c>
      <c r="K4671" s="14" t="s">
        <v>6012</v>
      </c>
      <c r="L4671" s="14">
        <v>0.0</v>
      </c>
    </row>
    <row r="4672">
      <c r="A4672" s="14">
        <v>22.0</v>
      </c>
      <c r="B4672" s="14">
        <v>0.0</v>
      </c>
      <c r="C4672" s="34">
        <v>3.42</v>
      </c>
      <c r="D4672" s="36">
        <v>45193.0</v>
      </c>
      <c r="E4672" s="24"/>
      <c r="F4672" s="14" t="s">
        <v>6012</v>
      </c>
      <c r="G4672" s="14">
        <v>155.45</v>
      </c>
      <c r="H4672" s="14">
        <v>0.0</v>
      </c>
      <c r="I4672" s="14" t="s">
        <v>6063</v>
      </c>
      <c r="J4672" s="14" t="s">
        <v>6012</v>
      </c>
      <c r="K4672" s="14">
        <v>3.42</v>
      </c>
      <c r="L4672" s="14">
        <v>0.0</v>
      </c>
    </row>
    <row r="4673">
      <c r="A4673" s="14">
        <v>388.0</v>
      </c>
      <c r="B4673" s="14">
        <v>5.0</v>
      </c>
      <c r="C4673" s="34">
        <v>6.72</v>
      </c>
      <c r="D4673" s="36">
        <v>45193.0</v>
      </c>
      <c r="E4673" s="24"/>
      <c r="F4673" s="14">
        <v>1.34</v>
      </c>
      <c r="G4673" s="14">
        <v>17.32</v>
      </c>
      <c r="H4673" s="14">
        <v>1.29</v>
      </c>
      <c r="I4673" s="14" t="s">
        <v>6050</v>
      </c>
      <c r="J4673" s="14">
        <v>40.0</v>
      </c>
      <c r="K4673" s="14">
        <v>3.36</v>
      </c>
      <c r="L4673" s="14">
        <v>0.0</v>
      </c>
    </row>
    <row r="4674">
      <c r="A4674" s="14">
        <v>14.0</v>
      </c>
      <c r="B4674" s="14">
        <v>0.0</v>
      </c>
      <c r="C4674" s="34">
        <v>1.14</v>
      </c>
      <c r="D4674" s="36">
        <v>45193.0</v>
      </c>
      <c r="E4674" s="24"/>
      <c r="F4674" s="14" t="s">
        <v>6012</v>
      </c>
      <c r="G4674" s="14">
        <v>81.43</v>
      </c>
      <c r="H4674" s="14">
        <v>0.0</v>
      </c>
      <c r="I4674" s="14" t="s">
        <v>6059</v>
      </c>
      <c r="J4674" s="14" t="s">
        <v>6012</v>
      </c>
      <c r="K4674" s="14" t="s">
        <v>6012</v>
      </c>
      <c r="L4674" s="14">
        <v>0.0</v>
      </c>
    </row>
    <row r="4675">
      <c r="A4675" s="14">
        <v>10.0</v>
      </c>
      <c r="B4675" s="14">
        <v>0.0</v>
      </c>
      <c r="C4675" s="34">
        <v>0.46</v>
      </c>
      <c r="D4675" s="36">
        <v>45193.0</v>
      </c>
      <c r="E4675" s="24"/>
      <c r="F4675" s="14" t="s">
        <v>6012</v>
      </c>
      <c r="G4675" s="14">
        <v>46.0</v>
      </c>
      <c r="H4675" s="14">
        <v>0.0</v>
      </c>
      <c r="I4675" s="14" t="s">
        <v>6057</v>
      </c>
      <c r="J4675" s="14" t="s">
        <v>6012</v>
      </c>
      <c r="K4675" s="14" t="s">
        <v>6012</v>
      </c>
      <c r="L4675" s="14">
        <v>0.0</v>
      </c>
    </row>
    <row r="4676">
      <c r="A4676" s="14">
        <v>13.0</v>
      </c>
      <c r="B4676" s="14">
        <v>0.0</v>
      </c>
      <c r="C4676" s="34">
        <v>0.99</v>
      </c>
      <c r="D4676" s="36">
        <v>45193.0</v>
      </c>
      <c r="E4676" s="24"/>
      <c r="F4676" s="14" t="s">
        <v>6012</v>
      </c>
      <c r="G4676" s="14">
        <v>76.15</v>
      </c>
      <c r="H4676" s="14">
        <v>0.0</v>
      </c>
      <c r="I4676" s="14" t="s">
        <v>6061</v>
      </c>
      <c r="J4676" s="14" t="s">
        <v>6012</v>
      </c>
      <c r="K4676" s="14">
        <v>0.99</v>
      </c>
      <c r="L4676" s="14">
        <v>0.0</v>
      </c>
    </row>
    <row r="4677">
      <c r="A4677" s="14">
        <v>102.0</v>
      </c>
      <c r="B4677" s="14">
        <v>0.0</v>
      </c>
      <c r="C4677" s="34">
        <v>5.36</v>
      </c>
      <c r="D4677" s="36">
        <v>45193.0</v>
      </c>
      <c r="E4677" s="24"/>
      <c r="F4677" s="14" t="s">
        <v>6012</v>
      </c>
      <c r="G4677" s="14">
        <v>52.55</v>
      </c>
      <c r="H4677" s="14">
        <v>0.0</v>
      </c>
      <c r="I4677" s="14" t="s">
        <v>6060</v>
      </c>
      <c r="J4677" s="14" t="s">
        <v>6012</v>
      </c>
      <c r="K4677" s="14">
        <v>5.36</v>
      </c>
      <c r="L4677" s="14">
        <v>0.0</v>
      </c>
    </row>
    <row r="4678">
      <c r="A4678" s="14">
        <v>19.0</v>
      </c>
      <c r="B4678" s="14">
        <v>0.0</v>
      </c>
      <c r="C4678" s="34">
        <v>4.67</v>
      </c>
      <c r="D4678" s="36">
        <v>45193.0</v>
      </c>
      <c r="E4678" s="24"/>
      <c r="F4678" s="14" t="s">
        <v>6012</v>
      </c>
      <c r="G4678" s="14">
        <v>245.79</v>
      </c>
      <c r="H4678" s="14">
        <v>0.0</v>
      </c>
      <c r="I4678" s="14" t="s">
        <v>6058</v>
      </c>
      <c r="J4678" s="14" t="s">
        <v>6012</v>
      </c>
      <c r="K4678" s="14">
        <v>4.67</v>
      </c>
      <c r="L4678" s="14">
        <v>0.0</v>
      </c>
    </row>
    <row r="4679">
      <c r="A4679" s="14">
        <v>44.0</v>
      </c>
      <c r="B4679" s="14">
        <v>0.0</v>
      </c>
      <c r="C4679" s="34">
        <v>4.3</v>
      </c>
      <c r="D4679" s="36">
        <v>45193.0</v>
      </c>
      <c r="E4679" s="24"/>
      <c r="F4679" s="14" t="s">
        <v>6012</v>
      </c>
      <c r="G4679" s="14">
        <v>97.73</v>
      </c>
      <c r="H4679" s="14">
        <v>0.0</v>
      </c>
      <c r="I4679" s="14" t="s">
        <v>6062</v>
      </c>
      <c r="J4679" s="14" t="s">
        <v>6012</v>
      </c>
      <c r="K4679" s="14">
        <v>4.3</v>
      </c>
      <c r="L4679" s="14">
        <v>0.0</v>
      </c>
    </row>
    <row r="4680">
      <c r="A4680" s="14">
        <v>52.0</v>
      </c>
      <c r="B4680" s="14">
        <v>0.0</v>
      </c>
      <c r="C4680" s="34">
        <v>3.55</v>
      </c>
      <c r="D4680" s="36">
        <v>45193.0</v>
      </c>
      <c r="E4680" s="24"/>
      <c r="F4680" s="14" t="s">
        <v>6012</v>
      </c>
      <c r="G4680" s="14">
        <v>68.27</v>
      </c>
      <c r="H4680" s="14">
        <v>0.0</v>
      </c>
      <c r="I4680" s="14" t="s">
        <v>6042</v>
      </c>
      <c r="J4680" s="14" t="s">
        <v>6012</v>
      </c>
      <c r="K4680" s="14" t="s">
        <v>6012</v>
      </c>
      <c r="L4680" s="14">
        <v>0.0</v>
      </c>
    </row>
    <row r="4681">
      <c r="A4681" s="14">
        <v>309.0</v>
      </c>
      <c r="B4681" s="14">
        <v>5.0</v>
      </c>
      <c r="C4681" s="34">
        <v>5.3</v>
      </c>
      <c r="D4681" s="36">
        <v>45193.0</v>
      </c>
      <c r="E4681" s="24"/>
      <c r="F4681" s="14">
        <v>1.06</v>
      </c>
      <c r="G4681" s="14">
        <v>17.15</v>
      </c>
      <c r="H4681" s="14">
        <v>1.62</v>
      </c>
      <c r="I4681" s="14" t="s">
        <v>6051</v>
      </c>
      <c r="J4681" s="14">
        <v>20.0</v>
      </c>
      <c r="K4681" s="14">
        <v>5.3</v>
      </c>
      <c r="L4681" s="14">
        <v>0.0</v>
      </c>
    </row>
    <row r="4682">
      <c r="A4682" s="14">
        <v>80.0</v>
      </c>
      <c r="B4682" s="14">
        <v>0.0</v>
      </c>
      <c r="C4682" s="34">
        <v>11.95</v>
      </c>
      <c r="D4682" s="36">
        <v>45194.0</v>
      </c>
      <c r="E4682" s="24"/>
      <c r="F4682" s="14" t="s">
        <v>6012</v>
      </c>
      <c r="G4682" s="14">
        <v>149.37</v>
      </c>
      <c r="H4682" s="14">
        <v>0.0</v>
      </c>
      <c r="I4682" s="14" t="s">
        <v>6063</v>
      </c>
      <c r="J4682" s="14" t="s">
        <v>6012</v>
      </c>
      <c r="K4682" s="14" t="s">
        <v>6012</v>
      </c>
      <c r="L4682" s="14">
        <v>0.0</v>
      </c>
    </row>
    <row r="4683">
      <c r="A4683" s="14">
        <v>40.0</v>
      </c>
      <c r="B4683" s="14">
        <v>1.0</v>
      </c>
      <c r="C4683" s="34">
        <v>11.74</v>
      </c>
      <c r="D4683" s="36">
        <v>45194.0</v>
      </c>
      <c r="E4683" s="24"/>
      <c r="F4683" s="14">
        <v>11.74</v>
      </c>
      <c r="G4683" s="14">
        <v>293.5</v>
      </c>
      <c r="H4683" s="14">
        <v>2.5</v>
      </c>
      <c r="I4683" s="14" t="s">
        <v>6057</v>
      </c>
      <c r="J4683" s="14">
        <v>0.0</v>
      </c>
      <c r="K4683" s="14" t="s">
        <v>6012</v>
      </c>
      <c r="L4683" s="14">
        <v>0.0</v>
      </c>
    </row>
    <row r="4684">
      <c r="A4684" s="14">
        <v>814.0</v>
      </c>
      <c r="B4684" s="14">
        <v>6.0</v>
      </c>
      <c r="C4684" s="34">
        <v>11.22</v>
      </c>
      <c r="D4684" s="36">
        <v>45194.0</v>
      </c>
      <c r="E4684" s="24"/>
      <c r="F4684" s="14">
        <v>1.87</v>
      </c>
      <c r="G4684" s="14">
        <v>13.78</v>
      </c>
      <c r="H4684" s="14">
        <v>0.74</v>
      </c>
      <c r="I4684" s="14" t="s">
        <v>6050</v>
      </c>
      <c r="J4684" s="14">
        <v>16.67</v>
      </c>
      <c r="K4684" s="14">
        <v>11.22</v>
      </c>
      <c r="L4684" s="14">
        <v>0.0</v>
      </c>
    </row>
    <row r="4685">
      <c r="A4685" s="14">
        <v>89.0</v>
      </c>
      <c r="B4685" s="14">
        <v>0.0</v>
      </c>
      <c r="C4685" s="34">
        <v>15.61</v>
      </c>
      <c r="D4685" s="36">
        <v>45194.0</v>
      </c>
      <c r="E4685" s="24"/>
      <c r="F4685" s="14" t="s">
        <v>6012</v>
      </c>
      <c r="G4685" s="14">
        <v>175.39</v>
      </c>
      <c r="H4685" s="14">
        <v>0.0</v>
      </c>
      <c r="I4685" s="14" t="s">
        <v>6042</v>
      </c>
      <c r="J4685" s="14" t="s">
        <v>6012</v>
      </c>
      <c r="K4685" s="14" t="s">
        <v>6012</v>
      </c>
      <c r="L4685" s="14">
        <v>0.0</v>
      </c>
    </row>
    <row r="4686">
      <c r="A4686" s="14">
        <v>103.0</v>
      </c>
      <c r="B4686" s="14">
        <v>0.0</v>
      </c>
      <c r="C4686" s="34">
        <v>11.64</v>
      </c>
      <c r="D4686" s="36">
        <v>45194.0</v>
      </c>
      <c r="E4686" s="24"/>
      <c r="F4686" s="14" t="s">
        <v>6012</v>
      </c>
      <c r="G4686" s="14">
        <v>113.01</v>
      </c>
      <c r="H4686" s="14">
        <v>0.0</v>
      </c>
      <c r="I4686" s="14" t="s">
        <v>6062</v>
      </c>
      <c r="J4686" s="14" t="s">
        <v>6012</v>
      </c>
      <c r="K4686" s="14" t="s">
        <v>6012</v>
      </c>
      <c r="L4686" s="14">
        <v>0.0</v>
      </c>
    </row>
    <row r="4687">
      <c r="A4687" s="14">
        <v>322.0</v>
      </c>
      <c r="B4687" s="14">
        <v>4.0</v>
      </c>
      <c r="C4687" s="34">
        <v>11.82</v>
      </c>
      <c r="D4687" s="36">
        <v>45194.0</v>
      </c>
      <c r="E4687" s="24"/>
      <c r="F4687" s="14">
        <v>2.96</v>
      </c>
      <c r="G4687" s="14">
        <v>36.71</v>
      </c>
      <c r="H4687" s="14">
        <v>1.24</v>
      </c>
      <c r="I4687" s="14" t="s">
        <v>6060</v>
      </c>
      <c r="J4687" s="14">
        <v>0.0</v>
      </c>
      <c r="K4687" s="14" t="s">
        <v>6012</v>
      </c>
      <c r="L4687" s="14">
        <v>0.0</v>
      </c>
    </row>
    <row r="4688">
      <c r="A4688" s="14">
        <v>739.0</v>
      </c>
      <c r="B4688" s="14">
        <v>11.0</v>
      </c>
      <c r="C4688" s="34">
        <v>10.37</v>
      </c>
      <c r="D4688" s="36">
        <v>45194.0</v>
      </c>
      <c r="E4688" s="24"/>
      <c r="F4688" s="14">
        <v>0.94</v>
      </c>
      <c r="G4688" s="14">
        <v>14.03</v>
      </c>
      <c r="H4688" s="14">
        <v>1.49</v>
      </c>
      <c r="I4688" s="14" t="s">
        <v>6051</v>
      </c>
      <c r="J4688" s="14">
        <v>9.09</v>
      </c>
      <c r="K4688" s="14">
        <v>10.37</v>
      </c>
      <c r="L4688" s="14">
        <v>0.0</v>
      </c>
    </row>
    <row r="4689">
      <c r="A4689" s="14">
        <v>103.0</v>
      </c>
      <c r="B4689" s="14">
        <v>0.0</v>
      </c>
      <c r="C4689" s="34">
        <v>14.96</v>
      </c>
      <c r="D4689" s="36">
        <v>45194.0</v>
      </c>
      <c r="E4689" s="24"/>
      <c r="F4689" s="14" t="s">
        <v>6012</v>
      </c>
      <c r="G4689" s="14">
        <v>145.24</v>
      </c>
      <c r="H4689" s="14">
        <v>0.0</v>
      </c>
      <c r="I4689" s="14" t="s">
        <v>6061</v>
      </c>
      <c r="J4689" s="14" t="s">
        <v>6012</v>
      </c>
      <c r="K4689" s="14" t="s">
        <v>6012</v>
      </c>
      <c r="L4689" s="14">
        <v>0.0</v>
      </c>
    </row>
    <row r="4690">
      <c r="A4690" s="14">
        <v>59.0</v>
      </c>
      <c r="B4690" s="14">
        <v>0.0</v>
      </c>
      <c r="C4690" s="34">
        <v>12.16</v>
      </c>
      <c r="D4690" s="36">
        <v>45194.0</v>
      </c>
      <c r="E4690" s="24"/>
      <c r="F4690" s="14" t="s">
        <v>6012</v>
      </c>
      <c r="G4690" s="14">
        <v>206.1</v>
      </c>
      <c r="H4690" s="14">
        <v>0.0</v>
      </c>
      <c r="I4690" s="14" t="s">
        <v>6058</v>
      </c>
      <c r="J4690" s="14" t="s">
        <v>6012</v>
      </c>
      <c r="K4690" s="14" t="s">
        <v>6012</v>
      </c>
      <c r="L4690" s="14">
        <v>0.0</v>
      </c>
    </row>
    <row r="4691">
      <c r="A4691" s="14">
        <v>46.0</v>
      </c>
      <c r="B4691" s="14">
        <v>1.0</v>
      </c>
      <c r="C4691" s="34">
        <v>15.0</v>
      </c>
      <c r="D4691" s="36">
        <v>45194.0</v>
      </c>
      <c r="E4691" s="24"/>
      <c r="F4691" s="14">
        <v>15.0</v>
      </c>
      <c r="G4691" s="14">
        <v>326.09</v>
      </c>
      <c r="H4691" s="14">
        <v>2.17</v>
      </c>
      <c r="I4691" s="14" t="s">
        <v>6059</v>
      </c>
      <c r="J4691" s="14">
        <v>0.0</v>
      </c>
      <c r="K4691" s="14" t="s">
        <v>6012</v>
      </c>
      <c r="L4691" s="14">
        <v>0.0</v>
      </c>
    </row>
    <row r="4692">
      <c r="A4692" s="14">
        <v>22.0</v>
      </c>
      <c r="B4692" s="14">
        <v>0.0</v>
      </c>
      <c r="C4692" s="34">
        <v>3.68</v>
      </c>
      <c r="D4692" s="36">
        <v>45194.0</v>
      </c>
      <c r="E4692" s="24"/>
      <c r="F4692" s="14" t="s">
        <v>6012</v>
      </c>
      <c r="G4692" s="14">
        <v>167.27</v>
      </c>
      <c r="H4692" s="14">
        <v>0.0</v>
      </c>
      <c r="I4692" s="14" t="s">
        <v>6054</v>
      </c>
      <c r="J4692" s="14" t="s">
        <v>6012</v>
      </c>
      <c r="K4692" s="14" t="s">
        <v>6012</v>
      </c>
      <c r="L4692" s="14">
        <v>0.0</v>
      </c>
    </row>
    <row r="4693">
      <c r="A4693" s="14">
        <v>8.0</v>
      </c>
      <c r="B4693" s="14">
        <v>6.0</v>
      </c>
      <c r="C4693" s="34">
        <v>6.0</v>
      </c>
      <c r="D4693" s="36">
        <v>45194.0</v>
      </c>
      <c r="E4693" s="24"/>
      <c r="F4693" s="14">
        <v>1.0</v>
      </c>
      <c r="G4693" s="14">
        <v>750.0</v>
      </c>
      <c r="H4693" s="14">
        <v>75.0</v>
      </c>
      <c r="I4693" s="14" t="s">
        <v>6064</v>
      </c>
      <c r="J4693" s="14">
        <v>0.0</v>
      </c>
      <c r="K4693" s="14" t="s">
        <v>6012</v>
      </c>
      <c r="L4693" s="14">
        <v>0.0</v>
      </c>
    </row>
    <row r="4694">
      <c r="A4694" s="14">
        <v>78.0</v>
      </c>
      <c r="B4694" s="14">
        <v>0.0</v>
      </c>
      <c r="C4694" s="34">
        <v>12.03</v>
      </c>
      <c r="D4694" s="36">
        <v>45195.0</v>
      </c>
      <c r="E4694" s="24"/>
      <c r="F4694" s="14" t="s">
        <v>6012</v>
      </c>
      <c r="G4694" s="14">
        <v>154.23</v>
      </c>
      <c r="H4694" s="14">
        <v>0.0</v>
      </c>
      <c r="I4694" s="14" t="s">
        <v>6058</v>
      </c>
      <c r="J4694" s="14" t="s">
        <v>6012</v>
      </c>
      <c r="K4694" s="14" t="s">
        <v>6012</v>
      </c>
      <c r="L4694" s="14">
        <v>0.0</v>
      </c>
    </row>
    <row r="4695">
      <c r="A4695" s="14">
        <v>29.0</v>
      </c>
      <c r="B4695" s="14">
        <v>0.0</v>
      </c>
      <c r="C4695" s="34">
        <v>12.8</v>
      </c>
      <c r="D4695" s="36">
        <v>45195.0</v>
      </c>
      <c r="E4695" s="24"/>
      <c r="F4695" s="14" t="s">
        <v>6012</v>
      </c>
      <c r="G4695" s="14">
        <v>441.38</v>
      </c>
      <c r="H4695" s="14">
        <v>0.0</v>
      </c>
      <c r="I4695" s="14" t="s">
        <v>6059</v>
      </c>
      <c r="J4695" s="14" t="s">
        <v>6012</v>
      </c>
      <c r="K4695" s="14" t="s">
        <v>6012</v>
      </c>
      <c r="L4695" s="14">
        <v>0.0</v>
      </c>
    </row>
    <row r="4696">
      <c r="A4696" s="14">
        <v>25.0</v>
      </c>
      <c r="B4696" s="14">
        <v>0.0</v>
      </c>
      <c r="C4696" s="34">
        <v>13.37</v>
      </c>
      <c r="D4696" s="36">
        <v>45195.0</v>
      </c>
      <c r="E4696" s="24"/>
      <c r="F4696" s="14" t="s">
        <v>6012</v>
      </c>
      <c r="G4696" s="14">
        <v>534.8</v>
      </c>
      <c r="H4696" s="14">
        <v>0.0</v>
      </c>
      <c r="I4696" s="14" t="s">
        <v>6057</v>
      </c>
      <c r="J4696" s="14" t="s">
        <v>6012</v>
      </c>
      <c r="K4696" s="14" t="s">
        <v>6012</v>
      </c>
      <c r="L4696" s="14">
        <v>0.0</v>
      </c>
    </row>
    <row r="4697">
      <c r="A4697" s="14">
        <v>816.0</v>
      </c>
      <c r="B4697" s="14">
        <v>7.0</v>
      </c>
      <c r="C4697" s="34">
        <v>12.37</v>
      </c>
      <c r="D4697" s="36">
        <v>45195.0</v>
      </c>
      <c r="E4697" s="24"/>
      <c r="F4697" s="14">
        <v>1.77</v>
      </c>
      <c r="G4697" s="14">
        <v>15.16</v>
      </c>
      <c r="H4697" s="14">
        <v>0.86</v>
      </c>
      <c r="I4697" s="14" t="s">
        <v>6051</v>
      </c>
      <c r="J4697" s="14">
        <v>0.0</v>
      </c>
      <c r="K4697" s="14" t="s">
        <v>6012</v>
      </c>
      <c r="L4697" s="14">
        <v>0.0</v>
      </c>
    </row>
    <row r="4698">
      <c r="A4698" s="14">
        <v>120.0</v>
      </c>
      <c r="B4698" s="14">
        <v>0.0</v>
      </c>
      <c r="C4698" s="34">
        <v>13.38</v>
      </c>
      <c r="D4698" s="36">
        <v>45195.0</v>
      </c>
      <c r="E4698" s="24"/>
      <c r="F4698" s="14" t="s">
        <v>6012</v>
      </c>
      <c r="G4698" s="14">
        <v>111.5</v>
      </c>
      <c r="H4698" s="14">
        <v>0.0</v>
      </c>
      <c r="I4698" s="14" t="s">
        <v>6063</v>
      </c>
      <c r="J4698" s="14" t="s">
        <v>6012</v>
      </c>
      <c r="K4698" s="14" t="s">
        <v>6012</v>
      </c>
      <c r="L4698" s="14">
        <v>0.0</v>
      </c>
    </row>
    <row r="4699">
      <c r="A4699" s="14">
        <v>4.0</v>
      </c>
      <c r="B4699" s="14">
        <v>5.0</v>
      </c>
      <c r="C4699" s="34">
        <v>3.0</v>
      </c>
      <c r="D4699" s="36">
        <v>45195.0</v>
      </c>
      <c r="E4699" s="24"/>
      <c r="F4699" s="14">
        <v>0.6</v>
      </c>
      <c r="G4699" s="14">
        <v>750.0</v>
      </c>
      <c r="H4699" s="14">
        <v>125.0</v>
      </c>
      <c r="I4699" s="14" t="s">
        <v>6064</v>
      </c>
      <c r="J4699" s="14">
        <v>0.0</v>
      </c>
      <c r="K4699" s="14" t="s">
        <v>6012</v>
      </c>
      <c r="L4699" s="14">
        <v>0.0</v>
      </c>
    </row>
    <row r="4700">
      <c r="A4700" s="14">
        <v>56.0</v>
      </c>
      <c r="B4700" s="14">
        <v>0.0</v>
      </c>
      <c r="C4700" s="34">
        <v>14.4</v>
      </c>
      <c r="D4700" s="36">
        <v>45195.0</v>
      </c>
      <c r="E4700" s="24"/>
      <c r="F4700" s="14" t="s">
        <v>6012</v>
      </c>
      <c r="G4700" s="14">
        <v>257.14</v>
      </c>
      <c r="H4700" s="14">
        <v>0.0</v>
      </c>
      <c r="I4700" s="14" t="s">
        <v>6061</v>
      </c>
      <c r="J4700" s="14" t="s">
        <v>6012</v>
      </c>
      <c r="K4700" s="14" t="s">
        <v>6012</v>
      </c>
      <c r="L4700" s="14">
        <v>0.0</v>
      </c>
    </row>
    <row r="4701">
      <c r="A4701" s="14">
        <v>237.0</v>
      </c>
      <c r="B4701" s="14">
        <v>1.0</v>
      </c>
      <c r="C4701" s="34">
        <v>12.94</v>
      </c>
      <c r="D4701" s="36">
        <v>45195.0</v>
      </c>
      <c r="E4701" s="24"/>
      <c r="F4701" s="14">
        <v>12.94</v>
      </c>
      <c r="G4701" s="14">
        <v>54.6</v>
      </c>
      <c r="H4701" s="14">
        <v>0.42</v>
      </c>
      <c r="I4701" s="14" t="s">
        <v>6042</v>
      </c>
      <c r="J4701" s="14">
        <v>100.0</v>
      </c>
      <c r="K4701" s="14">
        <v>12.94</v>
      </c>
      <c r="L4701" s="14">
        <v>0.0</v>
      </c>
    </row>
    <row r="4702">
      <c r="A4702" s="14">
        <v>233.0</v>
      </c>
      <c r="B4702" s="14">
        <v>1.0</v>
      </c>
      <c r="C4702" s="34">
        <v>13.47</v>
      </c>
      <c r="D4702" s="36">
        <v>45195.0</v>
      </c>
      <c r="E4702" s="24"/>
      <c r="F4702" s="14">
        <v>13.47</v>
      </c>
      <c r="G4702" s="14">
        <v>57.81</v>
      </c>
      <c r="H4702" s="14">
        <v>0.43</v>
      </c>
      <c r="I4702" s="14" t="s">
        <v>6060</v>
      </c>
      <c r="J4702" s="14">
        <v>0.0</v>
      </c>
      <c r="K4702" s="14" t="s">
        <v>6012</v>
      </c>
      <c r="L4702" s="14">
        <v>0.0</v>
      </c>
    </row>
    <row r="4703">
      <c r="A4703" s="14">
        <v>734.0</v>
      </c>
      <c r="B4703" s="14">
        <v>1.0</v>
      </c>
      <c r="C4703" s="34">
        <v>11.58</v>
      </c>
      <c r="D4703" s="36">
        <v>45195.0</v>
      </c>
      <c r="E4703" s="24"/>
      <c r="F4703" s="14">
        <v>11.58</v>
      </c>
      <c r="G4703" s="14">
        <v>15.78</v>
      </c>
      <c r="H4703" s="14">
        <v>0.14</v>
      </c>
      <c r="I4703" s="14" t="s">
        <v>6050</v>
      </c>
      <c r="J4703" s="14">
        <v>0.0</v>
      </c>
      <c r="K4703" s="14" t="s">
        <v>6012</v>
      </c>
      <c r="L4703" s="14">
        <v>0.0</v>
      </c>
    </row>
    <row r="4704">
      <c r="A4704" s="14">
        <v>162.0</v>
      </c>
      <c r="B4704" s="14">
        <v>0.0</v>
      </c>
      <c r="C4704" s="34">
        <v>13.01</v>
      </c>
      <c r="D4704" s="36">
        <v>45195.0</v>
      </c>
      <c r="E4704" s="24"/>
      <c r="F4704" s="14" t="s">
        <v>6012</v>
      </c>
      <c r="G4704" s="14">
        <v>80.31</v>
      </c>
      <c r="H4704" s="14">
        <v>0.0</v>
      </c>
      <c r="I4704" s="14" t="s">
        <v>6062</v>
      </c>
      <c r="J4704" s="14" t="s">
        <v>6012</v>
      </c>
      <c r="K4704" s="14" t="s">
        <v>6012</v>
      </c>
      <c r="L4704" s="14">
        <v>0.0</v>
      </c>
    </row>
    <row r="4705">
      <c r="A4705" s="14">
        <v>783.0</v>
      </c>
      <c r="B4705" s="14">
        <v>9.0</v>
      </c>
      <c r="C4705" s="34">
        <v>11.38</v>
      </c>
      <c r="D4705" s="36">
        <v>45196.0</v>
      </c>
      <c r="E4705" s="24"/>
      <c r="F4705" s="14">
        <v>1.26</v>
      </c>
      <c r="G4705" s="14">
        <v>14.53</v>
      </c>
      <c r="H4705" s="14">
        <v>1.15</v>
      </c>
      <c r="I4705" s="14" t="s">
        <v>6050</v>
      </c>
      <c r="J4705" s="14">
        <v>11.11</v>
      </c>
      <c r="K4705" s="14">
        <v>11.38</v>
      </c>
      <c r="L4705" s="14">
        <v>0.0</v>
      </c>
    </row>
    <row r="4706">
      <c r="A4706" s="14">
        <v>81.0</v>
      </c>
      <c r="B4706" s="14">
        <v>0.0</v>
      </c>
      <c r="C4706" s="34">
        <v>11.28</v>
      </c>
      <c r="D4706" s="36">
        <v>45196.0</v>
      </c>
      <c r="E4706" s="24"/>
      <c r="F4706" s="14" t="s">
        <v>6012</v>
      </c>
      <c r="G4706" s="14">
        <v>139.26</v>
      </c>
      <c r="H4706" s="14">
        <v>0.0</v>
      </c>
      <c r="I4706" s="14" t="s">
        <v>6062</v>
      </c>
      <c r="J4706" s="14" t="s">
        <v>6012</v>
      </c>
      <c r="K4706" s="14" t="s">
        <v>6012</v>
      </c>
      <c r="L4706" s="14">
        <v>0.0</v>
      </c>
    </row>
    <row r="4707">
      <c r="A4707" s="14">
        <v>1.0</v>
      </c>
      <c r="B4707" s="14">
        <v>2.0</v>
      </c>
      <c r="C4707" s="34">
        <v>0.75</v>
      </c>
      <c r="D4707" s="36">
        <v>45196.0</v>
      </c>
      <c r="E4707" s="24"/>
      <c r="F4707" s="14">
        <v>0.38</v>
      </c>
      <c r="G4707" s="14">
        <v>750.0</v>
      </c>
      <c r="H4707" s="14">
        <v>200.0</v>
      </c>
      <c r="I4707" s="14" t="s">
        <v>6064</v>
      </c>
      <c r="J4707" s="14">
        <v>0.0</v>
      </c>
      <c r="K4707" s="14" t="s">
        <v>6012</v>
      </c>
      <c r="L4707" s="14">
        <v>0.0</v>
      </c>
    </row>
    <row r="4708">
      <c r="A4708" s="14">
        <v>442.0</v>
      </c>
      <c r="B4708" s="14">
        <v>7.0</v>
      </c>
      <c r="C4708" s="34">
        <v>11.07</v>
      </c>
      <c r="D4708" s="36">
        <v>45196.0</v>
      </c>
      <c r="E4708" s="24"/>
      <c r="F4708" s="14">
        <v>1.58</v>
      </c>
      <c r="G4708" s="14">
        <v>25.05</v>
      </c>
      <c r="H4708" s="14">
        <v>1.58</v>
      </c>
      <c r="I4708" s="14" t="s">
        <v>6060</v>
      </c>
      <c r="J4708" s="14">
        <v>57.14</v>
      </c>
      <c r="K4708" s="14">
        <v>2.77</v>
      </c>
      <c r="L4708" s="14">
        <v>0.0</v>
      </c>
    </row>
    <row r="4709">
      <c r="A4709" s="14">
        <v>52.0</v>
      </c>
      <c r="B4709" s="14">
        <v>0.0</v>
      </c>
      <c r="C4709" s="34">
        <v>11.6</v>
      </c>
      <c r="D4709" s="36">
        <v>45196.0</v>
      </c>
      <c r="E4709" s="24"/>
      <c r="F4709" s="14" t="s">
        <v>6012</v>
      </c>
      <c r="G4709" s="14">
        <v>223.08</v>
      </c>
      <c r="H4709" s="14">
        <v>0.0</v>
      </c>
      <c r="I4709" s="14" t="s">
        <v>6061</v>
      </c>
      <c r="J4709" s="14" t="s">
        <v>6012</v>
      </c>
      <c r="K4709" s="14" t="s">
        <v>6012</v>
      </c>
      <c r="L4709" s="14">
        <v>0.0</v>
      </c>
    </row>
    <row r="4710">
      <c r="A4710" s="14">
        <v>100.0</v>
      </c>
      <c r="B4710" s="14">
        <v>1.0</v>
      </c>
      <c r="C4710" s="34">
        <v>13.19</v>
      </c>
      <c r="D4710" s="36">
        <v>45196.0</v>
      </c>
      <c r="E4710" s="24"/>
      <c r="F4710" s="14">
        <v>13.19</v>
      </c>
      <c r="G4710" s="14">
        <v>131.9</v>
      </c>
      <c r="H4710" s="14">
        <v>1.0</v>
      </c>
      <c r="I4710" s="14" t="s">
        <v>6063</v>
      </c>
      <c r="J4710" s="14">
        <v>0.0</v>
      </c>
      <c r="K4710" s="14" t="s">
        <v>6012</v>
      </c>
      <c r="L4710" s="14">
        <v>0.0</v>
      </c>
    </row>
    <row r="4711">
      <c r="A4711" s="14">
        <v>26.0</v>
      </c>
      <c r="B4711" s="14">
        <v>0.0</v>
      </c>
      <c r="C4711" s="34">
        <v>12.83</v>
      </c>
      <c r="D4711" s="36">
        <v>45196.0</v>
      </c>
      <c r="E4711" s="24"/>
      <c r="F4711" s="14" t="s">
        <v>6012</v>
      </c>
      <c r="G4711" s="14">
        <v>493.46</v>
      </c>
      <c r="H4711" s="14">
        <v>0.0</v>
      </c>
      <c r="I4711" s="14" t="s">
        <v>6057</v>
      </c>
      <c r="J4711" s="14" t="s">
        <v>6012</v>
      </c>
      <c r="K4711" s="14" t="s">
        <v>6012</v>
      </c>
      <c r="L4711" s="14">
        <v>0.0</v>
      </c>
    </row>
    <row r="4712">
      <c r="A4712" s="14">
        <v>23.0</v>
      </c>
      <c r="B4712" s="14">
        <v>1.0</v>
      </c>
      <c r="C4712" s="34">
        <v>12.15</v>
      </c>
      <c r="D4712" s="36">
        <v>45196.0</v>
      </c>
      <c r="E4712" s="24"/>
      <c r="F4712" s="14">
        <v>12.15</v>
      </c>
      <c r="G4712" s="14">
        <v>528.26</v>
      </c>
      <c r="H4712" s="14">
        <v>4.35</v>
      </c>
      <c r="I4712" s="14" t="s">
        <v>6059</v>
      </c>
      <c r="J4712" s="14">
        <v>0.0</v>
      </c>
      <c r="K4712" s="14" t="s">
        <v>6012</v>
      </c>
      <c r="L4712" s="14">
        <v>1.0</v>
      </c>
    </row>
    <row r="4713">
      <c r="A4713" s="14">
        <v>45.0</v>
      </c>
      <c r="B4713" s="14">
        <v>0.0</v>
      </c>
      <c r="C4713" s="34">
        <v>13.27</v>
      </c>
      <c r="D4713" s="36">
        <v>45196.0</v>
      </c>
      <c r="E4713" s="24"/>
      <c r="F4713" s="14" t="s">
        <v>6012</v>
      </c>
      <c r="G4713" s="14">
        <v>294.89</v>
      </c>
      <c r="H4713" s="14">
        <v>0.0</v>
      </c>
      <c r="I4713" s="14" t="s">
        <v>6058</v>
      </c>
      <c r="J4713" s="14" t="s">
        <v>6012</v>
      </c>
      <c r="K4713" s="14" t="s">
        <v>6012</v>
      </c>
      <c r="L4713" s="14">
        <v>0.0</v>
      </c>
    </row>
    <row r="4714">
      <c r="A4714" s="14">
        <v>60.0</v>
      </c>
      <c r="B4714" s="14">
        <v>1.0</v>
      </c>
      <c r="C4714" s="34">
        <v>13.24</v>
      </c>
      <c r="D4714" s="36">
        <v>45196.0</v>
      </c>
      <c r="E4714" s="24"/>
      <c r="F4714" s="14">
        <v>13.24</v>
      </c>
      <c r="G4714" s="14">
        <v>220.67</v>
      </c>
      <c r="H4714" s="14">
        <v>1.67</v>
      </c>
      <c r="I4714" s="14" t="s">
        <v>6042</v>
      </c>
      <c r="J4714" s="14">
        <v>0.0</v>
      </c>
      <c r="K4714" s="14" t="s">
        <v>6012</v>
      </c>
      <c r="L4714" s="14">
        <v>0.0</v>
      </c>
    </row>
    <row r="4715">
      <c r="A4715" s="14">
        <v>898.0</v>
      </c>
      <c r="B4715" s="14">
        <v>6.0</v>
      </c>
      <c r="C4715" s="34">
        <v>12.27</v>
      </c>
      <c r="D4715" s="36">
        <v>45196.0</v>
      </c>
      <c r="E4715" s="24"/>
      <c r="F4715" s="14">
        <v>2.04</v>
      </c>
      <c r="G4715" s="14">
        <v>13.66</v>
      </c>
      <c r="H4715" s="14">
        <v>0.67</v>
      </c>
      <c r="I4715" s="14" t="s">
        <v>6051</v>
      </c>
      <c r="J4715" s="14">
        <v>0.0</v>
      </c>
      <c r="K4715" s="14" t="s">
        <v>6012</v>
      </c>
      <c r="L4715" s="14">
        <v>0.0</v>
      </c>
    </row>
    <row r="4716">
      <c r="A4716" s="14">
        <v>57.0</v>
      </c>
      <c r="B4716" s="14">
        <v>2.0</v>
      </c>
      <c r="C4716" s="34">
        <v>14.59</v>
      </c>
      <c r="D4716" s="36">
        <v>45197.0</v>
      </c>
      <c r="E4716" s="24"/>
      <c r="F4716" s="14">
        <v>7.3</v>
      </c>
      <c r="G4716" s="14">
        <v>255.96</v>
      </c>
      <c r="H4716" s="14">
        <v>3.51</v>
      </c>
      <c r="I4716" s="14" t="s">
        <v>6063</v>
      </c>
      <c r="J4716" s="14">
        <v>50.0</v>
      </c>
      <c r="K4716" s="14">
        <v>14.59</v>
      </c>
      <c r="L4716" s="14">
        <v>0.0</v>
      </c>
    </row>
    <row r="4717">
      <c r="A4717" s="14">
        <v>25.0</v>
      </c>
      <c r="B4717" s="14">
        <v>0.0</v>
      </c>
      <c r="C4717" s="34">
        <v>11.94</v>
      </c>
      <c r="D4717" s="36">
        <v>45197.0</v>
      </c>
      <c r="E4717" s="24"/>
      <c r="F4717" s="14" t="s">
        <v>6012</v>
      </c>
      <c r="G4717" s="14">
        <v>477.6</v>
      </c>
      <c r="H4717" s="14">
        <v>0.0</v>
      </c>
      <c r="I4717" s="14" t="s">
        <v>6059</v>
      </c>
      <c r="J4717" s="14" t="s">
        <v>6012</v>
      </c>
      <c r="K4717" s="14" t="s">
        <v>6012</v>
      </c>
      <c r="L4717" s="14">
        <v>0.0</v>
      </c>
    </row>
    <row r="4718">
      <c r="A4718" s="14">
        <v>555.0</v>
      </c>
      <c r="B4718" s="14">
        <v>5.0</v>
      </c>
      <c r="C4718" s="34">
        <v>10.31</v>
      </c>
      <c r="D4718" s="36">
        <v>45197.0</v>
      </c>
      <c r="E4718" s="24"/>
      <c r="F4718" s="14">
        <v>2.06</v>
      </c>
      <c r="G4718" s="14">
        <v>18.58</v>
      </c>
      <c r="H4718" s="14">
        <v>0.9</v>
      </c>
      <c r="I4718" s="14" t="s">
        <v>6060</v>
      </c>
      <c r="J4718" s="14">
        <v>20.0</v>
      </c>
      <c r="K4718" s="14">
        <v>10.31</v>
      </c>
      <c r="L4718" s="14">
        <v>0.0</v>
      </c>
    </row>
    <row r="4719">
      <c r="A4719" s="14">
        <v>31.0</v>
      </c>
      <c r="B4719" s="14">
        <v>0.0</v>
      </c>
      <c r="C4719" s="34">
        <v>11.65</v>
      </c>
      <c r="D4719" s="36">
        <v>45197.0</v>
      </c>
      <c r="E4719" s="24"/>
      <c r="F4719" s="14" t="s">
        <v>6012</v>
      </c>
      <c r="G4719" s="14">
        <v>375.81</v>
      </c>
      <c r="H4719" s="14">
        <v>0.0</v>
      </c>
      <c r="I4719" s="14" t="s">
        <v>6057</v>
      </c>
      <c r="J4719" s="14" t="s">
        <v>6012</v>
      </c>
      <c r="K4719" s="14" t="s">
        <v>6012</v>
      </c>
      <c r="L4719" s="14">
        <v>0.0</v>
      </c>
    </row>
    <row r="4720">
      <c r="A4720" s="14">
        <v>730.0</v>
      </c>
      <c r="B4720" s="14">
        <v>8.0</v>
      </c>
      <c r="C4720" s="34">
        <v>12.56</v>
      </c>
      <c r="D4720" s="36">
        <v>45197.0</v>
      </c>
      <c r="E4720" s="24"/>
      <c r="F4720" s="14">
        <v>1.57</v>
      </c>
      <c r="G4720" s="14">
        <v>17.21</v>
      </c>
      <c r="H4720" s="14">
        <v>1.1</v>
      </c>
      <c r="I4720" s="14" t="s">
        <v>6051</v>
      </c>
      <c r="J4720" s="14">
        <v>0.0</v>
      </c>
      <c r="K4720" s="14" t="s">
        <v>6012</v>
      </c>
      <c r="L4720" s="14">
        <v>0.0</v>
      </c>
    </row>
    <row r="4721">
      <c r="A4721" s="14">
        <v>136.0</v>
      </c>
      <c r="B4721" s="14">
        <v>2.0</v>
      </c>
      <c r="C4721" s="34">
        <v>14.17</v>
      </c>
      <c r="D4721" s="36">
        <v>45197.0</v>
      </c>
      <c r="E4721" s="24"/>
      <c r="F4721" s="14">
        <v>7.08</v>
      </c>
      <c r="G4721" s="14">
        <v>104.19</v>
      </c>
      <c r="H4721" s="14">
        <v>1.47</v>
      </c>
      <c r="I4721" s="14" t="s">
        <v>6042</v>
      </c>
      <c r="J4721" s="14">
        <v>50.0</v>
      </c>
      <c r="K4721" s="14">
        <v>14.17</v>
      </c>
      <c r="L4721" s="14">
        <v>0.0</v>
      </c>
    </row>
    <row r="4722">
      <c r="A4722" s="14">
        <v>47.0</v>
      </c>
      <c r="B4722" s="14">
        <v>0.0</v>
      </c>
      <c r="C4722" s="34">
        <v>11.69</v>
      </c>
      <c r="D4722" s="36">
        <v>45197.0</v>
      </c>
      <c r="E4722" s="24"/>
      <c r="F4722" s="14" t="s">
        <v>6012</v>
      </c>
      <c r="G4722" s="14">
        <v>248.72</v>
      </c>
      <c r="H4722" s="14">
        <v>0.0</v>
      </c>
      <c r="I4722" s="14" t="s">
        <v>6061</v>
      </c>
      <c r="J4722" s="14" t="s">
        <v>6012</v>
      </c>
      <c r="K4722" s="14" t="s">
        <v>6012</v>
      </c>
      <c r="L4722" s="14">
        <v>0.0</v>
      </c>
    </row>
    <row r="4723">
      <c r="A4723" s="14">
        <v>36.0</v>
      </c>
      <c r="B4723" s="14">
        <v>0.0</v>
      </c>
      <c r="C4723" s="34">
        <v>11.02</v>
      </c>
      <c r="D4723" s="36">
        <v>45197.0</v>
      </c>
      <c r="E4723" s="24"/>
      <c r="F4723" s="14" t="s">
        <v>6012</v>
      </c>
      <c r="G4723" s="14">
        <v>306.11</v>
      </c>
      <c r="H4723" s="14">
        <v>0.0</v>
      </c>
      <c r="I4723" s="14" t="s">
        <v>6058</v>
      </c>
      <c r="J4723" s="14" t="s">
        <v>6012</v>
      </c>
      <c r="K4723" s="14" t="s">
        <v>6012</v>
      </c>
      <c r="L4723" s="14">
        <v>0.0</v>
      </c>
    </row>
    <row r="4724">
      <c r="A4724" s="14">
        <v>501.0</v>
      </c>
      <c r="B4724" s="14">
        <v>3.0</v>
      </c>
      <c r="C4724" s="34">
        <v>11.18</v>
      </c>
      <c r="D4724" s="36">
        <v>45197.0</v>
      </c>
      <c r="E4724" s="24"/>
      <c r="F4724" s="14">
        <v>3.73</v>
      </c>
      <c r="G4724" s="14">
        <v>22.32</v>
      </c>
      <c r="H4724" s="14">
        <v>0.6</v>
      </c>
      <c r="I4724" s="14" t="s">
        <v>6050</v>
      </c>
      <c r="J4724" s="14">
        <v>0.0</v>
      </c>
      <c r="K4724" s="14" t="s">
        <v>6012</v>
      </c>
      <c r="L4724" s="14">
        <v>0.0</v>
      </c>
    </row>
    <row r="4725">
      <c r="A4725" s="14">
        <v>79.0</v>
      </c>
      <c r="B4725" s="14">
        <v>1.0</v>
      </c>
      <c r="C4725" s="34">
        <v>11.43</v>
      </c>
      <c r="D4725" s="36">
        <v>45197.0</v>
      </c>
      <c r="E4725" s="24"/>
      <c r="F4725" s="14">
        <v>11.43</v>
      </c>
      <c r="G4725" s="14">
        <v>144.68</v>
      </c>
      <c r="H4725" s="14">
        <v>1.27</v>
      </c>
      <c r="I4725" s="14" t="s">
        <v>6062</v>
      </c>
      <c r="J4725" s="14">
        <v>0.0</v>
      </c>
      <c r="K4725" s="14" t="s">
        <v>6012</v>
      </c>
      <c r="L4725" s="14">
        <v>0.0</v>
      </c>
    </row>
    <row r="4726">
      <c r="A4726" s="14">
        <v>7.0</v>
      </c>
      <c r="B4726" s="14">
        <v>3.0</v>
      </c>
      <c r="C4726" s="34">
        <v>5.25</v>
      </c>
      <c r="D4726" s="36">
        <v>45197.0</v>
      </c>
      <c r="E4726" s="24"/>
      <c r="F4726" s="14">
        <v>1.75</v>
      </c>
      <c r="G4726" s="14">
        <v>750.0</v>
      </c>
      <c r="H4726" s="14">
        <v>42.86</v>
      </c>
      <c r="I4726" s="14" t="s">
        <v>6064</v>
      </c>
      <c r="J4726" s="14">
        <v>0.0</v>
      </c>
      <c r="K4726" s="14" t="s">
        <v>6012</v>
      </c>
      <c r="L4726" s="14">
        <v>0.0</v>
      </c>
    </row>
    <row r="4727">
      <c r="A4727" s="14">
        <v>92.0</v>
      </c>
      <c r="B4727" s="14">
        <v>0.0</v>
      </c>
      <c r="C4727" s="34">
        <v>10.6</v>
      </c>
      <c r="D4727" s="36">
        <v>45198.0</v>
      </c>
      <c r="E4727" s="24"/>
      <c r="F4727" s="14" t="s">
        <v>6012</v>
      </c>
      <c r="G4727" s="14">
        <v>115.22</v>
      </c>
      <c r="H4727" s="14">
        <v>0.0</v>
      </c>
      <c r="I4727" s="14" t="s">
        <v>6063</v>
      </c>
      <c r="J4727" s="14" t="s">
        <v>6012</v>
      </c>
      <c r="K4727" s="14">
        <v>10.6</v>
      </c>
      <c r="L4727" s="14">
        <v>0.0</v>
      </c>
    </row>
    <row r="4728">
      <c r="A4728" s="14">
        <v>514.0</v>
      </c>
      <c r="B4728" s="14">
        <v>4.0</v>
      </c>
      <c r="C4728" s="34">
        <v>10.08</v>
      </c>
      <c r="D4728" s="36">
        <v>45198.0</v>
      </c>
      <c r="E4728" s="24"/>
      <c r="F4728" s="14">
        <v>2.52</v>
      </c>
      <c r="G4728" s="14">
        <v>19.61</v>
      </c>
      <c r="H4728" s="14">
        <v>0.78</v>
      </c>
      <c r="I4728" s="14" t="s">
        <v>6060</v>
      </c>
      <c r="J4728" s="14">
        <v>50.0</v>
      </c>
      <c r="K4728" s="14">
        <v>5.04</v>
      </c>
      <c r="L4728" s="14">
        <v>0.0</v>
      </c>
    </row>
    <row r="4729">
      <c r="A4729" s="14">
        <v>62.0</v>
      </c>
      <c r="B4729" s="14">
        <v>0.0</v>
      </c>
      <c r="C4729" s="34">
        <v>10.29</v>
      </c>
      <c r="D4729" s="36">
        <v>45198.0</v>
      </c>
      <c r="E4729" s="24"/>
      <c r="F4729" s="14" t="s">
        <v>6012</v>
      </c>
      <c r="G4729" s="14">
        <v>165.97</v>
      </c>
      <c r="H4729" s="14">
        <v>0.0</v>
      </c>
      <c r="I4729" s="14" t="s">
        <v>6058</v>
      </c>
      <c r="J4729" s="14" t="s">
        <v>6012</v>
      </c>
      <c r="K4729" s="14" t="s">
        <v>6012</v>
      </c>
      <c r="L4729" s="14">
        <v>0.0</v>
      </c>
    </row>
    <row r="4730">
      <c r="A4730" s="14">
        <v>576.0</v>
      </c>
      <c r="B4730" s="14">
        <v>3.0</v>
      </c>
      <c r="C4730" s="34">
        <v>10.78</v>
      </c>
      <c r="D4730" s="36">
        <v>45198.0</v>
      </c>
      <c r="E4730" s="24"/>
      <c r="F4730" s="14">
        <v>3.59</v>
      </c>
      <c r="G4730" s="14">
        <v>18.72</v>
      </c>
      <c r="H4730" s="14">
        <v>0.52</v>
      </c>
      <c r="I4730" s="14" t="s">
        <v>6050</v>
      </c>
      <c r="J4730" s="14">
        <v>0.0</v>
      </c>
      <c r="K4730" s="14" t="s">
        <v>6012</v>
      </c>
      <c r="L4730" s="14">
        <v>0.0</v>
      </c>
    </row>
    <row r="4731">
      <c r="A4731" s="14">
        <v>43.0</v>
      </c>
      <c r="B4731" s="14">
        <v>0.0</v>
      </c>
      <c r="C4731" s="34">
        <v>10.66</v>
      </c>
      <c r="D4731" s="36">
        <v>45198.0</v>
      </c>
      <c r="E4731" s="24"/>
      <c r="F4731" s="14" t="s">
        <v>6012</v>
      </c>
      <c r="G4731" s="14">
        <v>247.91</v>
      </c>
      <c r="H4731" s="14">
        <v>0.0</v>
      </c>
      <c r="I4731" s="14" t="s">
        <v>6042</v>
      </c>
      <c r="J4731" s="14" t="s">
        <v>6012</v>
      </c>
      <c r="K4731" s="14" t="s">
        <v>6012</v>
      </c>
      <c r="L4731" s="14">
        <v>0.0</v>
      </c>
    </row>
    <row r="4732">
      <c r="A4732" s="14">
        <v>623.0</v>
      </c>
      <c r="B4732" s="14">
        <v>4.0</v>
      </c>
      <c r="C4732" s="34">
        <v>11.14</v>
      </c>
      <c r="D4732" s="36">
        <v>45198.0</v>
      </c>
      <c r="E4732" s="24"/>
      <c r="F4732" s="14">
        <v>2.78</v>
      </c>
      <c r="G4732" s="14">
        <v>17.88</v>
      </c>
      <c r="H4732" s="14">
        <v>0.64</v>
      </c>
      <c r="I4732" s="14" t="s">
        <v>6051</v>
      </c>
      <c r="J4732" s="14">
        <v>0.0</v>
      </c>
      <c r="K4732" s="14" t="s">
        <v>6012</v>
      </c>
      <c r="L4732" s="14">
        <v>0.0</v>
      </c>
    </row>
    <row r="4733">
      <c r="A4733" s="14">
        <v>132.0</v>
      </c>
      <c r="B4733" s="14">
        <v>0.0</v>
      </c>
      <c r="C4733" s="34">
        <v>10.28</v>
      </c>
      <c r="D4733" s="36">
        <v>45198.0</v>
      </c>
      <c r="E4733" s="24"/>
      <c r="F4733" s="14" t="s">
        <v>6012</v>
      </c>
      <c r="G4733" s="14">
        <v>77.88</v>
      </c>
      <c r="H4733" s="14">
        <v>0.0</v>
      </c>
      <c r="I4733" s="14" t="s">
        <v>6062</v>
      </c>
      <c r="J4733" s="14" t="s">
        <v>6012</v>
      </c>
      <c r="K4733" s="14" t="s">
        <v>6012</v>
      </c>
      <c r="L4733" s="14">
        <v>0.0</v>
      </c>
    </row>
    <row r="4734">
      <c r="A4734" s="14">
        <v>31.0</v>
      </c>
      <c r="B4734" s="14">
        <v>1.0</v>
      </c>
      <c r="C4734" s="34">
        <v>11.8</v>
      </c>
      <c r="D4734" s="36">
        <v>45198.0</v>
      </c>
      <c r="E4734" s="24"/>
      <c r="F4734" s="14">
        <v>11.8</v>
      </c>
      <c r="G4734" s="14">
        <v>380.65</v>
      </c>
      <c r="H4734" s="14">
        <v>3.23</v>
      </c>
      <c r="I4734" s="14" t="s">
        <v>6059</v>
      </c>
      <c r="J4734" s="14">
        <v>0.0</v>
      </c>
      <c r="K4734" s="14" t="s">
        <v>6012</v>
      </c>
      <c r="L4734" s="14">
        <v>0.0</v>
      </c>
    </row>
    <row r="4735">
      <c r="A4735" s="14">
        <v>26.0</v>
      </c>
      <c r="B4735" s="14">
        <v>0.0</v>
      </c>
      <c r="C4735" s="34">
        <v>10.61</v>
      </c>
      <c r="D4735" s="36">
        <v>45198.0</v>
      </c>
      <c r="E4735" s="24"/>
      <c r="F4735" s="14" t="s">
        <v>6012</v>
      </c>
      <c r="G4735" s="14">
        <v>408.08</v>
      </c>
      <c r="H4735" s="14">
        <v>0.0</v>
      </c>
      <c r="I4735" s="14" t="s">
        <v>6057</v>
      </c>
      <c r="J4735" s="14" t="s">
        <v>6012</v>
      </c>
      <c r="K4735" s="14">
        <v>10.61</v>
      </c>
      <c r="L4735" s="14">
        <v>0.0</v>
      </c>
    </row>
    <row r="4736">
      <c r="A4736" s="14">
        <v>5.0</v>
      </c>
      <c r="B4736" s="14">
        <v>3.0</v>
      </c>
      <c r="C4736" s="34">
        <v>3.75</v>
      </c>
      <c r="D4736" s="36">
        <v>45198.0</v>
      </c>
      <c r="E4736" s="24"/>
      <c r="F4736" s="14">
        <v>1.25</v>
      </c>
      <c r="G4736" s="14">
        <v>750.0</v>
      </c>
      <c r="H4736" s="14">
        <v>60.0</v>
      </c>
      <c r="I4736" s="14" t="s">
        <v>6064</v>
      </c>
      <c r="J4736" s="14">
        <v>0.0</v>
      </c>
      <c r="K4736" s="14" t="s">
        <v>6012</v>
      </c>
      <c r="L4736" s="14">
        <v>0.0</v>
      </c>
    </row>
    <row r="4737">
      <c r="A4737" s="14">
        <v>34.0</v>
      </c>
      <c r="B4737" s="14">
        <v>0.0</v>
      </c>
      <c r="C4737" s="34">
        <v>9.8</v>
      </c>
      <c r="D4737" s="36">
        <v>45198.0</v>
      </c>
      <c r="E4737" s="24"/>
      <c r="F4737" s="14" t="s">
        <v>6012</v>
      </c>
      <c r="G4737" s="14">
        <v>288.24</v>
      </c>
      <c r="H4737" s="14">
        <v>0.0</v>
      </c>
      <c r="I4737" s="14" t="s">
        <v>6061</v>
      </c>
      <c r="J4737" s="14" t="s">
        <v>6012</v>
      </c>
      <c r="K4737" s="14" t="s">
        <v>6012</v>
      </c>
      <c r="L4737" s="14">
        <v>0.0</v>
      </c>
    </row>
    <row r="4738">
      <c r="A4738" s="14">
        <v>15.0</v>
      </c>
      <c r="B4738" s="14">
        <v>0.0</v>
      </c>
      <c r="C4738" s="34">
        <v>5.11</v>
      </c>
      <c r="D4738" s="36">
        <v>45199.0</v>
      </c>
      <c r="E4738" s="24"/>
      <c r="F4738" s="14" t="s">
        <v>6012</v>
      </c>
      <c r="G4738" s="14">
        <v>340.67</v>
      </c>
      <c r="H4738" s="14">
        <v>0.0</v>
      </c>
      <c r="I4738" s="14" t="s">
        <v>6061</v>
      </c>
      <c r="J4738" s="14" t="s">
        <v>6012</v>
      </c>
      <c r="K4738" s="14" t="s">
        <v>6012</v>
      </c>
      <c r="L4738" s="14">
        <v>0.0</v>
      </c>
    </row>
    <row r="4739">
      <c r="A4739" s="14">
        <v>19.0</v>
      </c>
      <c r="B4739" s="14">
        <v>0.0</v>
      </c>
      <c r="C4739" s="34">
        <v>8.2</v>
      </c>
      <c r="D4739" s="36">
        <v>45199.0</v>
      </c>
      <c r="E4739" s="24"/>
      <c r="F4739" s="14" t="s">
        <v>6012</v>
      </c>
      <c r="G4739" s="14">
        <v>431.58</v>
      </c>
      <c r="H4739" s="14">
        <v>0.0</v>
      </c>
      <c r="I4739" s="14" t="s">
        <v>6057</v>
      </c>
      <c r="J4739" s="14" t="s">
        <v>6012</v>
      </c>
      <c r="K4739" s="14" t="s">
        <v>6012</v>
      </c>
      <c r="L4739" s="14">
        <v>0.0</v>
      </c>
    </row>
    <row r="4740">
      <c r="A4740" s="14">
        <v>401.0</v>
      </c>
      <c r="B4740" s="14">
        <v>4.0</v>
      </c>
      <c r="C4740" s="34">
        <v>7.27</v>
      </c>
      <c r="D4740" s="36">
        <v>45199.0</v>
      </c>
      <c r="E4740" s="24"/>
      <c r="F4740" s="14">
        <v>1.82</v>
      </c>
      <c r="G4740" s="14">
        <v>18.13</v>
      </c>
      <c r="H4740" s="14">
        <v>1.0</v>
      </c>
      <c r="I4740" s="14" t="s">
        <v>6050</v>
      </c>
      <c r="J4740" s="14">
        <v>0.0</v>
      </c>
      <c r="K4740" s="14" t="s">
        <v>6012</v>
      </c>
      <c r="L4740" s="14">
        <v>0.0</v>
      </c>
    </row>
    <row r="4741">
      <c r="A4741" s="14">
        <v>267.0</v>
      </c>
      <c r="B4741" s="14">
        <v>5.0</v>
      </c>
      <c r="C4741" s="34">
        <v>6.4</v>
      </c>
      <c r="D4741" s="36">
        <v>45199.0</v>
      </c>
      <c r="E4741" s="24"/>
      <c r="F4741" s="14">
        <v>1.28</v>
      </c>
      <c r="G4741" s="14">
        <v>23.97</v>
      </c>
      <c r="H4741" s="14">
        <v>1.87</v>
      </c>
      <c r="I4741" s="14" t="s">
        <v>6051</v>
      </c>
      <c r="J4741" s="14">
        <v>0.0</v>
      </c>
      <c r="K4741" s="14" t="s">
        <v>6012</v>
      </c>
      <c r="L4741" s="14">
        <v>0.0</v>
      </c>
    </row>
    <row r="4742">
      <c r="A4742" s="14">
        <v>2.0</v>
      </c>
      <c r="B4742" s="14">
        <v>1.0</v>
      </c>
      <c r="C4742" s="34">
        <v>1.5</v>
      </c>
      <c r="D4742" s="36">
        <v>45199.0</v>
      </c>
      <c r="E4742" s="24"/>
      <c r="F4742" s="14">
        <v>1.5</v>
      </c>
      <c r="G4742" s="14">
        <v>750.0</v>
      </c>
      <c r="H4742" s="14">
        <v>50.0</v>
      </c>
      <c r="I4742" s="14" t="s">
        <v>6064</v>
      </c>
      <c r="J4742" s="14">
        <v>0.0</v>
      </c>
      <c r="K4742" s="14" t="s">
        <v>6012</v>
      </c>
      <c r="L4742" s="14">
        <v>0.0</v>
      </c>
    </row>
    <row r="4743">
      <c r="A4743" s="14">
        <v>177.0</v>
      </c>
      <c r="B4743" s="14">
        <v>0.0</v>
      </c>
      <c r="C4743" s="34">
        <v>6.9</v>
      </c>
      <c r="D4743" s="36">
        <v>45199.0</v>
      </c>
      <c r="E4743" s="24"/>
      <c r="F4743" s="14" t="s">
        <v>6012</v>
      </c>
      <c r="G4743" s="14">
        <v>38.98</v>
      </c>
      <c r="H4743" s="14">
        <v>0.0</v>
      </c>
      <c r="I4743" s="14" t="s">
        <v>6060</v>
      </c>
      <c r="J4743" s="14" t="s">
        <v>6012</v>
      </c>
      <c r="K4743" s="14">
        <v>2.3</v>
      </c>
      <c r="L4743" s="14">
        <v>0.0</v>
      </c>
    </row>
    <row r="4744">
      <c r="A4744" s="14">
        <v>30.0</v>
      </c>
      <c r="B4744" s="14">
        <v>0.0</v>
      </c>
      <c r="C4744" s="34">
        <v>6.9</v>
      </c>
      <c r="D4744" s="36">
        <v>45199.0</v>
      </c>
      <c r="E4744" s="24"/>
      <c r="F4744" s="14" t="s">
        <v>6012</v>
      </c>
      <c r="G4744" s="14">
        <v>230.0</v>
      </c>
      <c r="H4744" s="14">
        <v>0.0</v>
      </c>
      <c r="I4744" s="14" t="s">
        <v>6062</v>
      </c>
      <c r="J4744" s="14" t="s">
        <v>6012</v>
      </c>
      <c r="K4744" s="14">
        <v>6.9</v>
      </c>
      <c r="L4744" s="14">
        <v>0.0</v>
      </c>
    </row>
    <row r="4745">
      <c r="A4745" s="14">
        <v>38.0</v>
      </c>
      <c r="B4745" s="14">
        <v>0.0</v>
      </c>
      <c r="C4745" s="34">
        <v>6.79</v>
      </c>
      <c r="D4745" s="36">
        <v>45199.0</v>
      </c>
      <c r="E4745" s="24"/>
      <c r="F4745" s="14" t="s">
        <v>6012</v>
      </c>
      <c r="G4745" s="14">
        <v>178.68</v>
      </c>
      <c r="H4745" s="14">
        <v>0.0</v>
      </c>
      <c r="I4745" s="14" t="s">
        <v>6042</v>
      </c>
      <c r="J4745" s="14" t="s">
        <v>6012</v>
      </c>
      <c r="K4745" s="14" t="s">
        <v>6012</v>
      </c>
      <c r="L4745" s="14">
        <v>0.0</v>
      </c>
    </row>
    <row r="4746">
      <c r="A4746" s="14">
        <v>31.0</v>
      </c>
      <c r="B4746" s="14">
        <v>0.0</v>
      </c>
      <c r="C4746" s="34">
        <v>4.43</v>
      </c>
      <c r="D4746" s="36">
        <v>45199.0</v>
      </c>
      <c r="E4746" s="24"/>
      <c r="F4746" s="14" t="s">
        <v>6012</v>
      </c>
      <c r="G4746" s="14">
        <v>142.9</v>
      </c>
      <c r="H4746" s="14">
        <v>0.0</v>
      </c>
      <c r="I4746" s="14" t="s">
        <v>6063</v>
      </c>
      <c r="J4746" s="14" t="s">
        <v>6012</v>
      </c>
      <c r="K4746" s="14" t="s">
        <v>6012</v>
      </c>
      <c r="L4746" s="14">
        <v>0.0</v>
      </c>
    </row>
    <row r="4747">
      <c r="A4747" s="14">
        <v>10.0</v>
      </c>
      <c r="B4747" s="14">
        <v>0.0</v>
      </c>
      <c r="C4747" s="34">
        <v>4.42</v>
      </c>
      <c r="D4747" s="36">
        <v>45199.0</v>
      </c>
      <c r="E4747" s="24"/>
      <c r="F4747" s="14" t="s">
        <v>6012</v>
      </c>
      <c r="G4747" s="14">
        <v>442.0</v>
      </c>
      <c r="H4747" s="14">
        <v>0.0</v>
      </c>
      <c r="I4747" s="14" t="s">
        <v>6059</v>
      </c>
      <c r="J4747" s="14" t="s">
        <v>6012</v>
      </c>
      <c r="K4747" s="14" t="s">
        <v>6012</v>
      </c>
      <c r="L4747" s="14">
        <v>0.0</v>
      </c>
    </row>
    <row r="4748">
      <c r="A4748" s="14">
        <v>17.0</v>
      </c>
      <c r="B4748" s="14">
        <v>0.0</v>
      </c>
      <c r="C4748" s="34">
        <v>7.07</v>
      </c>
      <c r="D4748" s="36">
        <v>45199.0</v>
      </c>
      <c r="E4748" s="24"/>
      <c r="F4748" s="14" t="s">
        <v>6012</v>
      </c>
      <c r="G4748" s="14">
        <v>415.88</v>
      </c>
      <c r="H4748" s="14">
        <v>0.0</v>
      </c>
      <c r="I4748" s="14" t="s">
        <v>6058</v>
      </c>
      <c r="J4748" s="14" t="s">
        <v>6012</v>
      </c>
      <c r="K4748" s="14" t="s">
        <v>6012</v>
      </c>
      <c r="L4748" s="14">
        <v>0.0</v>
      </c>
    </row>
    <row r="4749">
      <c r="A4749" s="14">
        <v>5.0</v>
      </c>
      <c r="B4749" s="14">
        <v>0.0</v>
      </c>
      <c r="C4749" s="34">
        <v>1.89</v>
      </c>
      <c r="D4749" s="36">
        <v>45200.0</v>
      </c>
      <c r="E4749" s="24"/>
      <c r="F4749" s="14" t="s">
        <v>6012</v>
      </c>
      <c r="G4749" s="14">
        <v>378.0</v>
      </c>
      <c r="H4749" s="14">
        <v>0.0</v>
      </c>
      <c r="I4749" s="14" t="s">
        <v>6059</v>
      </c>
      <c r="J4749" s="14" t="s">
        <v>6012</v>
      </c>
      <c r="K4749" s="14" t="s">
        <v>6012</v>
      </c>
      <c r="L4749" s="14">
        <v>0.0</v>
      </c>
    </row>
    <row r="4750">
      <c r="A4750" s="14">
        <v>397.0</v>
      </c>
      <c r="B4750" s="14">
        <v>0.0</v>
      </c>
      <c r="C4750" s="34">
        <v>6.35</v>
      </c>
      <c r="D4750" s="36">
        <v>45200.0</v>
      </c>
      <c r="E4750" s="24"/>
      <c r="F4750" s="14" t="s">
        <v>6012</v>
      </c>
      <c r="G4750" s="14">
        <v>15.99</v>
      </c>
      <c r="H4750" s="14">
        <v>0.0</v>
      </c>
      <c r="I4750" s="14" t="s">
        <v>6060</v>
      </c>
      <c r="J4750" s="14" t="s">
        <v>6012</v>
      </c>
      <c r="K4750" s="14" t="s">
        <v>6012</v>
      </c>
      <c r="L4750" s="14">
        <v>0.0</v>
      </c>
    </row>
    <row r="4751">
      <c r="A4751" s="14">
        <v>20.0</v>
      </c>
      <c r="B4751" s="14">
        <v>0.0</v>
      </c>
      <c r="C4751" s="34">
        <v>1.86</v>
      </c>
      <c r="D4751" s="36">
        <v>45200.0</v>
      </c>
      <c r="E4751" s="24"/>
      <c r="F4751" s="14" t="s">
        <v>6012</v>
      </c>
      <c r="G4751" s="14">
        <v>93.0</v>
      </c>
      <c r="H4751" s="14">
        <v>0.0</v>
      </c>
      <c r="I4751" s="14" t="s">
        <v>6063</v>
      </c>
      <c r="J4751" s="14" t="s">
        <v>6012</v>
      </c>
      <c r="K4751" s="14" t="s">
        <v>6012</v>
      </c>
      <c r="L4751" s="14">
        <v>0.0</v>
      </c>
    </row>
    <row r="4752">
      <c r="A4752" s="14">
        <v>14.0</v>
      </c>
      <c r="B4752" s="14">
        <v>0.0</v>
      </c>
      <c r="C4752" s="34">
        <v>1.6</v>
      </c>
      <c r="D4752" s="36">
        <v>45200.0</v>
      </c>
      <c r="E4752" s="24"/>
      <c r="F4752" s="14" t="s">
        <v>6012</v>
      </c>
      <c r="G4752" s="14">
        <v>114.29</v>
      </c>
      <c r="H4752" s="14">
        <v>0.0</v>
      </c>
      <c r="I4752" s="14" t="s">
        <v>6057</v>
      </c>
      <c r="J4752" s="14" t="s">
        <v>6012</v>
      </c>
      <c r="K4752" s="14" t="s">
        <v>6012</v>
      </c>
      <c r="L4752" s="14">
        <v>0.0</v>
      </c>
    </row>
    <row r="4753">
      <c r="A4753" s="14">
        <v>62.0</v>
      </c>
      <c r="B4753" s="14">
        <v>2.0</v>
      </c>
      <c r="C4753" s="34">
        <v>5.46</v>
      </c>
      <c r="D4753" s="36">
        <v>45200.0</v>
      </c>
      <c r="E4753" s="24"/>
      <c r="F4753" s="14">
        <v>2.73</v>
      </c>
      <c r="G4753" s="14">
        <v>88.06</v>
      </c>
      <c r="H4753" s="14">
        <v>3.23</v>
      </c>
      <c r="I4753" s="14" t="s">
        <v>6062</v>
      </c>
      <c r="J4753" s="14">
        <v>0.0</v>
      </c>
      <c r="K4753" s="14" t="s">
        <v>6012</v>
      </c>
      <c r="L4753" s="14">
        <v>0.0</v>
      </c>
    </row>
    <row r="4754">
      <c r="A4754" s="14">
        <v>21.0</v>
      </c>
      <c r="B4754" s="14">
        <v>0.0</v>
      </c>
      <c r="C4754" s="34">
        <v>2.44</v>
      </c>
      <c r="D4754" s="36">
        <v>45200.0</v>
      </c>
      <c r="E4754" s="24"/>
      <c r="F4754" s="14" t="s">
        <v>6012</v>
      </c>
      <c r="G4754" s="14">
        <v>116.19</v>
      </c>
      <c r="H4754" s="14">
        <v>0.0</v>
      </c>
      <c r="I4754" s="14" t="s">
        <v>6061</v>
      </c>
      <c r="J4754" s="14" t="s">
        <v>6012</v>
      </c>
      <c r="K4754" s="14" t="s">
        <v>6012</v>
      </c>
      <c r="L4754" s="14">
        <v>0.0</v>
      </c>
    </row>
    <row r="4755">
      <c r="A4755" s="14">
        <v>250.0</v>
      </c>
      <c r="B4755" s="14">
        <v>3.0</v>
      </c>
      <c r="C4755" s="34">
        <v>4.89</v>
      </c>
      <c r="D4755" s="36">
        <v>45200.0</v>
      </c>
      <c r="E4755" s="24"/>
      <c r="F4755" s="14">
        <v>1.63</v>
      </c>
      <c r="G4755" s="14">
        <v>19.56</v>
      </c>
      <c r="H4755" s="14">
        <v>1.2</v>
      </c>
      <c r="I4755" s="14" t="s">
        <v>6051</v>
      </c>
      <c r="J4755" s="14">
        <v>0.0</v>
      </c>
      <c r="K4755" s="14" t="s">
        <v>6012</v>
      </c>
      <c r="L4755" s="14">
        <v>0.0</v>
      </c>
    </row>
    <row r="4756">
      <c r="A4756" s="14">
        <v>96.0</v>
      </c>
      <c r="B4756" s="14">
        <v>2.0</v>
      </c>
      <c r="C4756" s="34">
        <v>3.59</v>
      </c>
      <c r="D4756" s="36">
        <v>45200.0</v>
      </c>
      <c r="E4756" s="24"/>
      <c r="F4756" s="14">
        <v>1.8</v>
      </c>
      <c r="G4756" s="14">
        <v>37.4</v>
      </c>
      <c r="H4756" s="14">
        <v>2.08</v>
      </c>
      <c r="I4756" s="14" t="s">
        <v>6042</v>
      </c>
      <c r="J4756" s="14">
        <v>0.0</v>
      </c>
      <c r="K4756" s="14" t="s">
        <v>6012</v>
      </c>
      <c r="L4756" s="14">
        <v>0.0</v>
      </c>
    </row>
    <row r="4757">
      <c r="A4757" s="14">
        <v>4.0</v>
      </c>
      <c r="B4757" s="14">
        <v>2.0</v>
      </c>
      <c r="C4757" s="34">
        <v>3.0</v>
      </c>
      <c r="D4757" s="36">
        <v>45200.0</v>
      </c>
      <c r="E4757" s="24"/>
      <c r="F4757" s="14">
        <v>1.5</v>
      </c>
      <c r="G4757" s="14">
        <v>750.0</v>
      </c>
      <c r="H4757" s="14">
        <v>50.0</v>
      </c>
      <c r="I4757" s="14" t="s">
        <v>6064</v>
      </c>
      <c r="J4757" s="14">
        <v>0.0</v>
      </c>
      <c r="K4757" s="14" t="s">
        <v>6012</v>
      </c>
      <c r="L4757" s="14">
        <v>0.0</v>
      </c>
    </row>
    <row r="4758">
      <c r="A4758" s="14">
        <v>584.0</v>
      </c>
      <c r="B4758" s="14">
        <v>7.0</v>
      </c>
      <c r="C4758" s="34">
        <v>6.59</v>
      </c>
      <c r="D4758" s="36">
        <v>45200.0</v>
      </c>
      <c r="E4758" s="24"/>
      <c r="F4758" s="14">
        <v>0.94</v>
      </c>
      <c r="G4758" s="14">
        <v>11.28</v>
      </c>
      <c r="H4758" s="14">
        <v>1.2</v>
      </c>
      <c r="I4758" s="14" t="s">
        <v>6050</v>
      </c>
      <c r="J4758" s="14">
        <v>0.0</v>
      </c>
      <c r="K4758" s="14" t="s">
        <v>6012</v>
      </c>
      <c r="L4758" s="14">
        <v>0.0</v>
      </c>
    </row>
    <row r="4759">
      <c r="A4759" s="14">
        <v>25.0</v>
      </c>
      <c r="B4759" s="14">
        <v>1.0</v>
      </c>
      <c r="C4759" s="34">
        <v>4.16</v>
      </c>
      <c r="D4759" s="36">
        <v>45200.0</v>
      </c>
      <c r="E4759" s="24"/>
      <c r="F4759" s="14">
        <v>4.16</v>
      </c>
      <c r="G4759" s="14">
        <v>166.4</v>
      </c>
      <c r="H4759" s="14">
        <v>4.0</v>
      </c>
      <c r="I4759" s="14" t="s">
        <v>6058</v>
      </c>
      <c r="J4759" s="14">
        <v>0.0</v>
      </c>
      <c r="K4759" s="14" t="s">
        <v>6012</v>
      </c>
      <c r="L4759" s="14">
        <v>0.0</v>
      </c>
    </row>
    <row r="4760">
      <c r="A4760" s="14">
        <v>97.0</v>
      </c>
      <c r="B4760" s="14">
        <v>0.0</v>
      </c>
      <c r="C4760" s="34">
        <v>16.06</v>
      </c>
      <c r="D4760" s="36">
        <v>45201.0</v>
      </c>
      <c r="E4760" s="24"/>
      <c r="F4760" s="14" t="s">
        <v>6012</v>
      </c>
      <c r="G4760" s="14">
        <v>165.57</v>
      </c>
      <c r="H4760" s="14">
        <v>0.0</v>
      </c>
      <c r="I4760" s="14" t="s">
        <v>6042</v>
      </c>
      <c r="J4760" s="14" t="s">
        <v>6012</v>
      </c>
      <c r="K4760" s="14">
        <v>16.06</v>
      </c>
      <c r="L4760" s="14">
        <v>0.0</v>
      </c>
    </row>
    <row r="4761">
      <c r="A4761" s="14">
        <v>5.0</v>
      </c>
      <c r="B4761" s="14">
        <v>4.0</v>
      </c>
      <c r="C4761" s="34">
        <v>3.75</v>
      </c>
      <c r="D4761" s="36">
        <v>45201.0</v>
      </c>
      <c r="E4761" s="24"/>
      <c r="F4761" s="14">
        <v>0.94</v>
      </c>
      <c r="G4761" s="14">
        <v>750.0</v>
      </c>
      <c r="H4761" s="14">
        <v>80.0</v>
      </c>
      <c r="I4761" s="14" t="s">
        <v>6064</v>
      </c>
      <c r="J4761" s="14">
        <v>0.0</v>
      </c>
      <c r="K4761" s="14" t="s">
        <v>6012</v>
      </c>
      <c r="L4761" s="14">
        <v>0.0</v>
      </c>
    </row>
    <row r="4762">
      <c r="A4762" s="14">
        <v>48.0</v>
      </c>
      <c r="B4762" s="14">
        <v>2.0</v>
      </c>
      <c r="C4762" s="34">
        <v>14.56</v>
      </c>
      <c r="D4762" s="36">
        <v>45201.0</v>
      </c>
      <c r="E4762" s="24"/>
      <c r="F4762" s="14">
        <v>7.28</v>
      </c>
      <c r="G4762" s="14">
        <v>303.33</v>
      </c>
      <c r="H4762" s="14">
        <v>4.17</v>
      </c>
      <c r="I4762" s="14" t="s">
        <v>6057</v>
      </c>
      <c r="J4762" s="14">
        <v>0.0</v>
      </c>
      <c r="K4762" s="14" t="s">
        <v>6012</v>
      </c>
      <c r="L4762" s="14">
        <v>0.0</v>
      </c>
    </row>
    <row r="4763">
      <c r="A4763" s="14">
        <v>66.0</v>
      </c>
      <c r="B4763" s="14">
        <v>1.0</v>
      </c>
      <c r="C4763" s="34">
        <v>11.84</v>
      </c>
      <c r="D4763" s="36">
        <v>45201.0</v>
      </c>
      <c r="E4763" s="24"/>
      <c r="F4763" s="14">
        <v>11.84</v>
      </c>
      <c r="G4763" s="14">
        <v>179.39</v>
      </c>
      <c r="H4763" s="14">
        <v>1.52</v>
      </c>
      <c r="I4763" s="14" t="s">
        <v>6058</v>
      </c>
      <c r="J4763" s="14">
        <v>100.0</v>
      </c>
      <c r="K4763" s="14">
        <v>11.84</v>
      </c>
      <c r="L4763" s="14">
        <v>0.0</v>
      </c>
    </row>
    <row r="4764">
      <c r="A4764" s="14">
        <v>96.0</v>
      </c>
      <c r="B4764" s="14">
        <v>2.0</v>
      </c>
      <c r="C4764" s="34">
        <v>10.8</v>
      </c>
      <c r="D4764" s="36">
        <v>45201.0</v>
      </c>
      <c r="E4764" s="24"/>
      <c r="F4764" s="14">
        <v>5.4</v>
      </c>
      <c r="G4764" s="14">
        <v>112.5</v>
      </c>
      <c r="H4764" s="14">
        <v>2.08</v>
      </c>
      <c r="I4764" s="14" t="s">
        <v>6063</v>
      </c>
      <c r="J4764" s="14">
        <v>0.0</v>
      </c>
      <c r="K4764" s="14" t="s">
        <v>6012</v>
      </c>
      <c r="L4764" s="14">
        <v>0.0</v>
      </c>
    </row>
    <row r="4765">
      <c r="A4765" s="14">
        <v>100.0</v>
      </c>
      <c r="B4765" s="14">
        <v>0.0</v>
      </c>
      <c r="C4765" s="34">
        <v>11.43</v>
      </c>
      <c r="D4765" s="36">
        <v>45201.0</v>
      </c>
      <c r="E4765" s="24"/>
      <c r="F4765" s="14" t="s">
        <v>6012</v>
      </c>
      <c r="G4765" s="14">
        <v>114.3</v>
      </c>
      <c r="H4765" s="14">
        <v>0.0</v>
      </c>
      <c r="I4765" s="14" t="s">
        <v>6062</v>
      </c>
      <c r="J4765" s="14" t="s">
        <v>6012</v>
      </c>
      <c r="K4765" s="14">
        <v>11.43</v>
      </c>
      <c r="L4765" s="14">
        <v>0.0</v>
      </c>
    </row>
    <row r="4766">
      <c r="A4766" s="14">
        <v>948.0</v>
      </c>
      <c r="B4766" s="14">
        <v>5.0</v>
      </c>
      <c r="C4766" s="34">
        <v>10.86</v>
      </c>
      <c r="D4766" s="36">
        <v>45201.0</v>
      </c>
      <c r="E4766" s="24"/>
      <c r="F4766" s="14">
        <v>2.17</v>
      </c>
      <c r="G4766" s="14">
        <v>11.46</v>
      </c>
      <c r="H4766" s="14">
        <v>0.53</v>
      </c>
      <c r="I4766" s="14" t="s">
        <v>6050</v>
      </c>
      <c r="J4766" s="14">
        <v>20.0</v>
      </c>
      <c r="K4766" s="14">
        <v>10.86</v>
      </c>
      <c r="L4766" s="14">
        <v>0.0</v>
      </c>
    </row>
    <row r="4767">
      <c r="A4767" s="14">
        <v>547.0</v>
      </c>
      <c r="B4767" s="14">
        <v>13.0</v>
      </c>
      <c r="C4767" s="34">
        <v>10.01</v>
      </c>
      <c r="D4767" s="36">
        <v>45201.0</v>
      </c>
      <c r="E4767" s="24"/>
      <c r="F4767" s="14">
        <v>0.77</v>
      </c>
      <c r="G4767" s="14">
        <v>18.3</v>
      </c>
      <c r="H4767" s="14">
        <v>2.38</v>
      </c>
      <c r="I4767" s="14" t="s">
        <v>6051</v>
      </c>
      <c r="J4767" s="14">
        <v>15.38</v>
      </c>
      <c r="K4767" s="14">
        <v>5.0</v>
      </c>
      <c r="L4767" s="14">
        <v>0.0</v>
      </c>
    </row>
    <row r="4768">
      <c r="A4768" s="14">
        <v>283.0</v>
      </c>
      <c r="B4768" s="14">
        <v>3.0</v>
      </c>
      <c r="C4768" s="34">
        <v>11.42</v>
      </c>
      <c r="D4768" s="36">
        <v>45201.0</v>
      </c>
      <c r="E4768" s="24"/>
      <c r="F4768" s="14">
        <v>3.81</v>
      </c>
      <c r="G4768" s="14">
        <v>40.35</v>
      </c>
      <c r="H4768" s="14">
        <v>1.06</v>
      </c>
      <c r="I4768" s="14" t="s">
        <v>6060</v>
      </c>
      <c r="J4768" s="14">
        <v>100.0</v>
      </c>
      <c r="K4768" s="14">
        <v>3.81</v>
      </c>
      <c r="L4768" s="14">
        <v>0.0</v>
      </c>
    </row>
    <row r="4769">
      <c r="A4769" s="14">
        <v>58.0</v>
      </c>
      <c r="B4769" s="14">
        <v>0.0</v>
      </c>
      <c r="C4769" s="34">
        <v>13.56</v>
      </c>
      <c r="D4769" s="36">
        <v>45201.0</v>
      </c>
      <c r="E4769" s="24"/>
      <c r="F4769" s="14" t="s">
        <v>6012</v>
      </c>
      <c r="G4769" s="14">
        <v>233.79</v>
      </c>
      <c r="H4769" s="14">
        <v>0.0</v>
      </c>
      <c r="I4769" s="14" t="s">
        <v>6061</v>
      </c>
      <c r="J4769" s="14" t="s">
        <v>6012</v>
      </c>
      <c r="K4769" s="14" t="s">
        <v>6012</v>
      </c>
      <c r="L4769" s="14">
        <v>0.0</v>
      </c>
    </row>
    <row r="4770">
      <c r="A4770" s="14">
        <v>29.0</v>
      </c>
      <c r="B4770" s="14">
        <v>1.0</v>
      </c>
      <c r="C4770" s="34">
        <v>10.4</v>
      </c>
      <c r="D4770" s="36">
        <v>45201.0</v>
      </c>
      <c r="E4770" s="24"/>
      <c r="F4770" s="14">
        <v>10.4</v>
      </c>
      <c r="G4770" s="14">
        <v>358.62</v>
      </c>
      <c r="H4770" s="14">
        <v>3.45</v>
      </c>
      <c r="I4770" s="14" t="s">
        <v>6059</v>
      </c>
      <c r="J4770" s="14">
        <v>0.0</v>
      </c>
      <c r="K4770" s="14" t="s">
        <v>6012</v>
      </c>
      <c r="L4770" s="14">
        <v>0.0</v>
      </c>
    </row>
    <row r="4771">
      <c r="A4771" s="14">
        <v>45.0</v>
      </c>
      <c r="B4771" s="14">
        <v>2.0</v>
      </c>
      <c r="C4771" s="34">
        <v>12.5</v>
      </c>
      <c r="D4771" s="36">
        <v>45202.0</v>
      </c>
      <c r="E4771" s="24"/>
      <c r="F4771" s="14">
        <v>6.25</v>
      </c>
      <c r="G4771" s="14">
        <v>277.78</v>
      </c>
      <c r="H4771" s="14">
        <v>4.44</v>
      </c>
      <c r="I4771" s="14" t="s">
        <v>6057</v>
      </c>
      <c r="J4771" s="14">
        <v>0.0</v>
      </c>
      <c r="K4771" s="14" t="s">
        <v>6012</v>
      </c>
      <c r="L4771" s="14">
        <v>0.0</v>
      </c>
    </row>
    <row r="4772">
      <c r="A4772" s="14">
        <v>835.0</v>
      </c>
      <c r="B4772" s="14">
        <v>7.0</v>
      </c>
      <c r="C4772" s="34">
        <v>11.79</v>
      </c>
      <c r="D4772" s="36">
        <v>45202.0</v>
      </c>
      <c r="E4772" s="24"/>
      <c r="F4772" s="14">
        <v>1.68</v>
      </c>
      <c r="G4772" s="14">
        <v>14.12</v>
      </c>
      <c r="H4772" s="14">
        <v>0.84</v>
      </c>
      <c r="I4772" s="14" t="s">
        <v>6051</v>
      </c>
      <c r="J4772" s="14">
        <v>0.0</v>
      </c>
      <c r="K4772" s="14" t="s">
        <v>6012</v>
      </c>
      <c r="L4772" s="14">
        <v>0.0</v>
      </c>
    </row>
    <row r="4773">
      <c r="A4773" s="14">
        <v>80.0</v>
      </c>
      <c r="B4773" s="14">
        <v>0.0</v>
      </c>
      <c r="C4773" s="34">
        <v>13.32</v>
      </c>
      <c r="D4773" s="36">
        <v>45202.0</v>
      </c>
      <c r="E4773" s="24"/>
      <c r="F4773" s="14" t="s">
        <v>6012</v>
      </c>
      <c r="G4773" s="14">
        <v>166.5</v>
      </c>
      <c r="H4773" s="14">
        <v>0.0</v>
      </c>
      <c r="I4773" s="14" t="s">
        <v>6061</v>
      </c>
      <c r="J4773" s="14" t="s">
        <v>6012</v>
      </c>
      <c r="K4773" s="14" t="s">
        <v>6012</v>
      </c>
      <c r="L4773" s="14">
        <v>0.0</v>
      </c>
    </row>
    <row r="4774">
      <c r="A4774" s="14">
        <v>74.0</v>
      </c>
      <c r="B4774" s="14">
        <v>0.0</v>
      </c>
      <c r="C4774" s="34">
        <v>12.74</v>
      </c>
      <c r="D4774" s="36">
        <v>45202.0</v>
      </c>
      <c r="E4774" s="24"/>
      <c r="F4774" s="14" t="s">
        <v>6012</v>
      </c>
      <c r="G4774" s="14">
        <v>172.16</v>
      </c>
      <c r="H4774" s="14">
        <v>0.0</v>
      </c>
      <c r="I4774" s="14" t="s">
        <v>6062</v>
      </c>
      <c r="J4774" s="14" t="s">
        <v>6012</v>
      </c>
      <c r="K4774" s="14" t="s">
        <v>6012</v>
      </c>
      <c r="L4774" s="14">
        <v>0.0</v>
      </c>
    </row>
    <row r="4775">
      <c r="A4775" s="14">
        <v>110.0</v>
      </c>
      <c r="B4775" s="14">
        <v>1.0</v>
      </c>
      <c r="C4775" s="34">
        <v>12.76</v>
      </c>
      <c r="D4775" s="36">
        <v>45202.0</v>
      </c>
      <c r="E4775" s="24"/>
      <c r="F4775" s="14">
        <v>12.76</v>
      </c>
      <c r="G4775" s="14">
        <v>116.0</v>
      </c>
      <c r="H4775" s="14">
        <v>0.91</v>
      </c>
      <c r="I4775" s="14" t="s">
        <v>6063</v>
      </c>
      <c r="J4775" s="14">
        <v>200.0</v>
      </c>
      <c r="K4775" s="14">
        <v>6.38</v>
      </c>
      <c r="L4775" s="14">
        <v>0.0</v>
      </c>
    </row>
    <row r="4776">
      <c r="A4776" s="14">
        <v>50.0</v>
      </c>
      <c r="B4776" s="14">
        <v>1.0</v>
      </c>
      <c r="C4776" s="34">
        <v>13.3</v>
      </c>
      <c r="D4776" s="36">
        <v>45202.0</v>
      </c>
      <c r="E4776" s="24"/>
      <c r="F4776" s="14">
        <v>13.3</v>
      </c>
      <c r="G4776" s="14">
        <v>266.0</v>
      </c>
      <c r="H4776" s="14">
        <v>2.0</v>
      </c>
      <c r="I4776" s="14" t="s">
        <v>6058</v>
      </c>
      <c r="J4776" s="14">
        <v>0.0</v>
      </c>
      <c r="K4776" s="14" t="s">
        <v>6012</v>
      </c>
      <c r="L4776" s="14">
        <v>0.0</v>
      </c>
    </row>
    <row r="4777">
      <c r="A4777" s="14">
        <v>251.0</v>
      </c>
      <c r="B4777" s="14">
        <v>3.0</v>
      </c>
      <c r="C4777" s="34">
        <v>13.7</v>
      </c>
      <c r="D4777" s="36">
        <v>45202.0</v>
      </c>
      <c r="E4777" s="24"/>
      <c r="F4777" s="14">
        <v>4.57</v>
      </c>
      <c r="G4777" s="14">
        <v>54.58</v>
      </c>
      <c r="H4777" s="14">
        <v>1.2</v>
      </c>
      <c r="I4777" s="14" t="s">
        <v>6042</v>
      </c>
      <c r="J4777" s="14">
        <v>0.0</v>
      </c>
      <c r="K4777" s="14" t="s">
        <v>6012</v>
      </c>
      <c r="L4777" s="14">
        <v>0.0</v>
      </c>
    </row>
    <row r="4778">
      <c r="A4778" s="14">
        <v>582.0</v>
      </c>
      <c r="B4778" s="14">
        <v>2.0</v>
      </c>
      <c r="C4778" s="34">
        <v>11.57</v>
      </c>
      <c r="D4778" s="36">
        <v>45202.0</v>
      </c>
      <c r="E4778" s="24"/>
      <c r="F4778" s="14">
        <v>5.78</v>
      </c>
      <c r="G4778" s="14">
        <v>19.88</v>
      </c>
      <c r="H4778" s="14">
        <v>0.34</v>
      </c>
      <c r="I4778" s="14" t="s">
        <v>6060</v>
      </c>
      <c r="J4778" s="14">
        <v>50.0</v>
      </c>
      <c r="K4778" s="14">
        <v>11.57</v>
      </c>
      <c r="L4778" s="14">
        <v>0.0</v>
      </c>
    </row>
    <row r="4779">
      <c r="A4779" s="14">
        <v>11.0</v>
      </c>
      <c r="B4779" s="14">
        <v>7.0</v>
      </c>
      <c r="C4779" s="34">
        <v>8.25</v>
      </c>
      <c r="D4779" s="36">
        <v>45202.0</v>
      </c>
      <c r="E4779" s="24"/>
      <c r="F4779" s="14">
        <v>1.18</v>
      </c>
      <c r="G4779" s="14">
        <v>750.0</v>
      </c>
      <c r="H4779" s="14">
        <v>63.64</v>
      </c>
      <c r="I4779" s="14" t="s">
        <v>6064</v>
      </c>
      <c r="J4779" s="14">
        <v>0.0</v>
      </c>
      <c r="K4779" s="14" t="s">
        <v>6012</v>
      </c>
      <c r="L4779" s="14">
        <v>0.0</v>
      </c>
    </row>
    <row r="4780">
      <c r="A4780" s="14">
        <v>828.0</v>
      </c>
      <c r="B4780" s="14">
        <v>7.0</v>
      </c>
      <c r="C4780" s="34">
        <v>11.67</v>
      </c>
      <c r="D4780" s="36">
        <v>45202.0</v>
      </c>
      <c r="E4780" s="24"/>
      <c r="F4780" s="14">
        <v>1.67</v>
      </c>
      <c r="G4780" s="14">
        <v>14.09</v>
      </c>
      <c r="H4780" s="14">
        <v>0.85</v>
      </c>
      <c r="I4780" s="14" t="s">
        <v>6050</v>
      </c>
      <c r="J4780" s="14">
        <v>0.0</v>
      </c>
      <c r="K4780" s="14" t="s">
        <v>6012</v>
      </c>
      <c r="L4780" s="14">
        <v>0.0</v>
      </c>
    </row>
    <row r="4781">
      <c r="A4781" s="14">
        <v>44.0</v>
      </c>
      <c r="B4781" s="14">
        <v>0.0</v>
      </c>
      <c r="C4781" s="34">
        <v>12.48</v>
      </c>
      <c r="D4781" s="36">
        <v>45202.0</v>
      </c>
      <c r="E4781" s="24"/>
      <c r="F4781" s="14" t="s">
        <v>6012</v>
      </c>
      <c r="G4781" s="14">
        <v>283.64</v>
      </c>
      <c r="H4781" s="14">
        <v>0.0</v>
      </c>
      <c r="I4781" s="14" t="s">
        <v>6059</v>
      </c>
      <c r="J4781" s="14" t="s">
        <v>6012</v>
      </c>
      <c r="K4781" s="14" t="s">
        <v>6012</v>
      </c>
      <c r="L4781" s="14">
        <v>0.0</v>
      </c>
    </row>
    <row r="4782">
      <c r="A4782" s="14">
        <v>82.0</v>
      </c>
      <c r="B4782" s="14">
        <v>1.0</v>
      </c>
      <c r="C4782" s="34">
        <v>12.22</v>
      </c>
      <c r="D4782" s="36">
        <v>45203.0</v>
      </c>
      <c r="E4782" s="24"/>
      <c r="F4782" s="14">
        <v>12.22</v>
      </c>
      <c r="G4782" s="14">
        <v>149.02</v>
      </c>
      <c r="H4782" s="14">
        <v>1.22</v>
      </c>
      <c r="I4782" s="14" t="s">
        <v>6042</v>
      </c>
      <c r="J4782" s="14">
        <v>0.0</v>
      </c>
      <c r="K4782" s="14" t="s">
        <v>6012</v>
      </c>
      <c r="L4782" s="14">
        <v>0.0</v>
      </c>
    </row>
    <row r="4783">
      <c r="A4783" s="14">
        <v>734.0</v>
      </c>
      <c r="B4783" s="14">
        <v>7.0</v>
      </c>
      <c r="C4783" s="34">
        <v>11.45</v>
      </c>
      <c r="D4783" s="36">
        <v>45203.0</v>
      </c>
      <c r="E4783" s="24"/>
      <c r="F4783" s="14">
        <v>1.64</v>
      </c>
      <c r="G4783" s="14">
        <v>15.6</v>
      </c>
      <c r="H4783" s="14">
        <v>0.95</v>
      </c>
      <c r="I4783" s="14" t="s">
        <v>6050</v>
      </c>
      <c r="J4783" s="14">
        <v>0.0</v>
      </c>
      <c r="K4783" s="14" t="s">
        <v>6012</v>
      </c>
      <c r="L4783" s="14">
        <v>0.0</v>
      </c>
    </row>
    <row r="4784">
      <c r="A4784" s="14">
        <v>817.0</v>
      </c>
      <c r="B4784" s="14">
        <v>7.0</v>
      </c>
      <c r="C4784" s="34">
        <v>12.12</v>
      </c>
      <c r="D4784" s="36">
        <v>45203.0</v>
      </c>
      <c r="E4784" s="24"/>
      <c r="F4784" s="14">
        <v>1.73</v>
      </c>
      <c r="G4784" s="14">
        <v>14.83</v>
      </c>
      <c r="H4784" s="14">
        <v>0.86</v>
      </c>
      <c r="I4784" s="14" t="s">
        <v>6051</v>
      </c>
      <c r="J4784" s="14">
        <v>14.29</v>
      </c>
      <c r="K4784" s="14">
        <v>12.12</v>
      </c>
      <c r="L4784" s="14">
        <v>0.0</v>
      </c>
    </row>
    <row r="4785">
      <c r="A4785" s="14">
        <v>10.0</v>
      </c>
      <c r="B4785" s="14">
        <v>3.0</v>
      </c>
      <c r="C4785" s="34">
        <v>7.5</v>
      </c>
      <c r="D4785" s="36">
        <v>45203.0</v>
      </c>
      <c r="E4785" s="24"/>
      <c r="F4785" s="14">
        <v>2.5</v>
      </c>
      <c r="G4785" s="14">
        <v>750.0</v>
      </c>
      <c r="H4785" s="14">
        <v>30.0</v>
      </c>
      <c r="I4785" s="14" t="s">
        <v>6064</v>
      </c>
      <c r="J4785" s="14">
        <v>0.0</v>
      </c>
      <c r="K4785" s="14" t="s">
        <v>6012</v>
      </c>
      <c r="L4785" s="14">
        <v>0.0</v>
      </c>
    </row>
    <row r="4786">
      <c r="A4786" s="14">
        <v>24.0</v>
      </c>
      <c r="B4786" s="14">
        <v>0.0</v>
      </c>
      <c r="C4786" s="34">
        <v>11.88</v>
      </c>
      <c r="D4786" s="36">
        <v>45203.0</v>
      </c>
      <c r="E4786" s="24"/>
      <c r="F4786" s="14" t="s">
        <v>6012</v>
      </c>
      <c r="G4786" s="14">
        <v>495.0</v>
      </c>
      <c r="H4786" s="14">
        <v>0.0</v>
      </c>
      <c r="I4786" s="14" t="s">
        <v>6057</v>
      </c>
      <c r="J4786" s="14" t="s">
        <v>6012</v>
      </c>
      <c r="K4786" s="14" t="s">
        <v>6012</v>
      </c>
      <c r="L4786" s="14">
        <v>0.0</v>
      </c>
    </row>
    <row r="4787">
      <c r="A4787" s="14">
        <v>46.0</v>
      </c>
      <c r="B4787" s="14">
        <v>0.0</v>
      </c>
      <c r="C4787" s="34">
        <v>11.77</v>
      </c>
      <c r="D4787" s="36">
        <v>45203.0</v>
      </c>
      <c r="E4787" s="24"/>
      <c r="F4787" s="14" t="s">
        <v>6012</v>
      </c>
      <c r="G4787" s="14">
        <v>255.87</v>
      </c>
      <c r="H4787" s="14">
        <v>0.0</v>
      </c>
      <c r="I4787" s="14" t="s">
        <v>6061</v>
      </c>
      <c r="J4787" s="14" t="s">
        <v>6012</v>
      </c>
      <c r="K4787" s="14" t="s">
        <v>6012</v>
      </c>
      <c r="L4787" s="14">
        <v>0.0</v>
      </c>
    </row>
    <row r="4788">
      <c r="A4788" s="14">
        <v>92.0</v>
      </c>
      <c r="B4788" s="14">
        <v>0.0</v>
      </c>
      <c r="C4788" s="34">
        <v>11.63</v>
      </c>
      <c r="D4788" s="36">
        <v>45203.0</v>
      </c>
      <c r="E4788" s="24"/>
      <c r="F4788" s="14" t="s">
        <v>6012</v>
      </c>
      <c r="G4788" s="14">
        <v>126.41</v>
      </c>
      <c r="H4788" s="14">
        <v>0.0</v>
      </c>
      <c r="I4788" s="14" t="s">
        <v>6058</v>
      </c>
      <c r="J4788" s="14" t="s">
        <v>6012</v>
      </c>
      <c r="K4788" s="14" t="s">
        <v>6012</v>
      </c>
      <c r="L4788" s="14">
        <v>0.0</v>
      </c>
    </row>
    <row r="4789">
      <c r="A4789" s="14">
        <v>94.0</v>
      </c>
      <c r="B4789" s="14">
        <v>0.0</v>
      </c>
      <c r="C4789" s="34">
        <v>11.84</v>
      </c>
      <c r="D4789" s="36">
        <v>45203.0</v>
      </c>
      <c r="E4789" s="24"/>
      <c r="F4789" s="14" t="s">
        <v>6012</v>
      </c>
      <c r="G4789" s="14">
        <v>125.96</v>
      </c>
      <c r="H4789" s="14">
        <v>0.0</v>
      </c>
      <c r="I4789" s="14" t="s">
        <v>6062</v>
      </c>
      <c r="J4789" s="14" t="s">
        <v>6012</v>
      </c>
      <c r="K4789" s="14" t="s">
        <v>6012</v>
      </c>
      <c r="L4789" s="14">
        <v>0.0</v>
      </c>
    </row>
    <row r="4790">
      <c r="A4790" s="14">
        <v>45.0</v>
      </c>
      <c r="B4790" s="14">
        <v>0.0</v>
      </c>
      <c r="C4790" s="34">
        <v>13.42</v>
      </c>
      <c r="D4790" s="36">
        <v>45203.0</v>
      </c>
      <c r="E4790" s="24"/>
      <c r="F4790" s="14" t="s">
        <v>6012</v>
      </c>
      <c r="G4790" s="14">
        <v>298.22</v>
      </c>
      <c r="H4790" s="14">
        <v>0.0</v>
      </c>
      <c r="I4790" s="14" t="s">
        <v>6059</v>
      </c>
      <c r="J4790" s="14" t="s">
        <v>6012</v>
      </c>
      <c r="K4790" s="14" t="s">
        <v>6012</v>
      </c>
      <c r="L4790" s="14">
        <v>0.0</v>
      </c>
    </row>
    <row r="4791">
      <c r="A4791" s="14">
        <v>520.0</v>
      </c>
      <c r="B4791" s="14">
        <v>1.0</v>
      </c>
      <c r="C4791" s="34">
        <v>11.3</v>
      </c>
      <c r="D4791" s="36">
        <v>45203.0</v>
      </c>
      <c r="E4791" s="24"/>
      <c r="F4791" s="14">
        <v>11.3</v>
      </c>
      <c r="G4791" s="14">
        <v>21.73</v>
      </c>
      <c r="H4791" s="14">
        <v>0.19</v>
      </c>
      <c r="I4791" s="14" t="s">
        <v>6060</v>
      </c>
      <c r="J4791" s="14">
        <v>0.0</v>
      </c>
      <c r="K4791" s="14" t="s">
        <v>6012</v>
      </c>
      <c r="L4791" s="14">
        <v>0.0</v>
      </c>
    </row>
    <row r="4792">
      <c r="A4792" s="14">
        <v>81.0</v>
      </c>
      <c r="B4792" s="14">
        <v>0.0</v>
      </c>
      <c r="C4792" s="34">
        <v>11.97</v>
      </c>
      <c r="D4792" s="36">
        <v>45203.0</v>
      </c>
      <c r="E4792" s="24"/>
      <c r="F4792" s="14" t="s">
        <v>6012</v>
      </c>
      <c r="G4792" s="14">
        <v>147.78</v>
      </c>
      <c r="H4792" s="14">
        <v>0.0</v>
      </c>
      <c r="I4792" s="14" t="s">
        <v>6063</v>
      </c>
      <c r="J4792" s="14" t="s">
        <v>6012</v>
      </c>
      <c r="K4792" s="14" t="s">
        <v>6012</v>
      </c>
      <c r="L4792" s="14">
        <v>0.0</v>
      </c>
    </row>
    <row r="4793">
      <c r="A4793" s="14">
        <v>32.0</v>
      </c>
      <c r="B4793" s="14">
        <v>0.0</v>
      </c>
      <c r="C4793" s="34">
        <v>10.73</v>
      </c>
      <c r="D4793" s="36">
        <v>45204.0</v>
      </c>
      <c r="E4793" s="24"/>
      <c r="F4793" s="14" t="s">
        <v>6012</v>
      </c>
      <c r="G4793" s="14">
        <v>335.31</v>
      </c>
      <c r="H4793" s="14">
        <v>0.0</v>
      </c>
      <c r="I4793" s="14" t="s">
        <v>6057</v>
      </c>
      <c r="J4793" s="14" t="s">
        <v>6012</v>
      </c>
      <c r="K4793" s="14" t="s">
        <v>6012</v>
      </c>
      <c r="L4793" s="14">
        <v>0.0</v>
      </c>
    </row>
    <row r="4794">
      <c r="A4794" s="14">
        <v>85.0</v>
      </c>
      <c r="B4794" s="14">
        <v>0.0</v>
      </c>
      <c r="C4794" s="34">
        <v>12.31</v>
      </c>
      <c r="D4794" s="36">
        <v>45204.0</v>
      </c>
      <c r="E4794" s="24"/>
      <c r="F4794" s="14" t="s">
        <v>6012</v>
      </c>
      <c r="G4794" s="14">
        <v>144.82</v>
      </c>
      <c r="H4794" s="14">
        <v>0.0</v>
      </c>
      <c r="I4794" s="14" t="s">
        <v>6042</v>
      </c>
      <c r="J4794" s="14" t="s">
        <v>6012</v>
      </c>
      <c r="K4794" s="14">
        <v>12.31</v>
      </c>
      <c r="L4794" s="14">
        <v>0.0</v>
      </c>
    </row>
    <row r="4795">
      <c r="A4795" s="14">
        <v>45.0</v>
      </c>
      <c r="B4795" s="14">
        <v>0.0</v>
      </c>
      <c r="C4795" s="34">
        <v>12.76</v>
      </c>
      <c r="D4795" s="36">
        <v>45204.0</v>
      </c>
      <c r="E4795" s="24"/>
      <c r="F4795" s="14" t="s">
        <v>6012</v>
      </c>
      <c r="G4795" s="14">
        <v>283.56</v>
      </c>
      <c r="H4795" s="14">
        <v>0.0</v>
      </c>
      <c r="I4795" s="14" t="s">
        <v>6061</v>
      </c>
      <c r="J4795" s="14" t="s">
        <v>6012</v>
      </c>
      <c r="K4795" s="14" t="s">
        <v>6012</v>
      </c>
      <c r="L4795" s="14">
        <v>0.0</v>
      </c>
    </row>
    <row r="4796">
      <c r="A4796" s="14">
        <v>89.0</v>
      </c>
      <c r="B4796" s="14">
        <v>2.0</v>
      </c>
      <c r="C4796" s="34">
        <v>12.18</v>
      </c>
      <c r="D4796" s="36">
        <v>45204.0</v>
      </c>
      <c r="E4796" s="24"/>
      <c r="F4796" s="14">
        <v>6.09</v>
      </c>
      <c r="G4796" s="14">
        <v>136.85</v>
      </c>
      <c r="H4796" s="14">
        <v>2.25</v>
      </c>
      <c r="I4796" s="14" t="s">
        <v>6063</v>
      </c>
      <c r="J4796" s="14">
        <v>0.0</v>
      </c>
      <c r="K4796" s="14" t="s">
        <v>6012</v>
      </c>
      <c r="L4796" s="14">
        <v>0.0</v>
      </c>
    </row>
    <row r="4797">
      <c r="A4797" s="14">
        <v>113.0</v>
      </c>
      <c r="B4797" s="14">
        <v>1.0</v>
      </c>
      <c r="C4797" s="34">
        <v>11.14</v>
      </c>
      <c r="D4797" s="36">
        <v>45204.0</v>
      </c>
      <c r="E4797" s="24"/>
      <c r="F4797" s="14">
        <v>11.14</v>
      </c>
      <c r="G4797" s="14">
        <v>98.58</v>
      </c>
      <c r="H4797" s="14">
        <v>0.88</v>
      </c>
      <c r="I4797" s="14" t="s">
        <v>6062</v>
      </c>
      <c r="J4797" s="14">
        <v>100.0</v>
      </c>
      <c r="K4797" s="14">
        <v>11.14</v>
      </c>
      <c r="L4797" s="14">
        <v>0.0</v>
      </c>
    </row>
    <row r="4798">
      <c r="A4798" s="14">
        <v>636.0</v>
      </c>
      <c r="B4798" s="14">
        <v>7.0</v>
      </c>
      <c r="C4798" s="34">
        <v>12.42</v>
      </c>
      <c r="D4798" s="36">
        <v>45204.0</v>
      </c>
      <c r="E4798" s="24"/>
      <c r="F4798" s="14">
        <v>1.77</v>
      </c>
      <c r="G4798" s="14">
        <v>19.53</v>
      </c>
      <c r="H4798" s="14">
        <v>1.1</v>
      </c>
      <c r="I4798" s="14" t="s">
        <v>6051</v>
      </c>
      <c r="J4798" s="14">
        <v>0.0</v>
      </c>
      <c r="K4798" s="14" t="s">
        <v>6012</v>
      </c>
      <c r="L4798" s="14">
        <v>0.0</v>
      </c>
    </row>
    <row r="4799">
      <c r="A4799" s="14">
        <v>527.0</v>
      </c>
      <c r="B4799" s="14">
        <v>1.0</v>
      </c>
      <c r="C4799" s="34">
        <v>11.61</v>
      </c>
      <c r="D4799" s="36">
        <v>45204.0</v>
      </c>
      <c r="E4799" s="24"/>
      <c r="F4799" s="14">
        <v>11.61</v>
      </c>
      <c r="G4799" s="14">
        <v>22.03</v>
      </c>
      <c r="H4799" s="14">
        <v>0.19</v>
      </c>
      <c r="I4799" s="14" t="s">
        <v>6060</v>
      </c>
      <c r="J4799" s="14">
        <v>100.0</v>
      </c>
      <c r="K4799" s="14">
        <v>11.61</v>
      </c>
      <c r="L4799" s="14">
        <v>0.0</v>
      </c>
    </row>
    <row r="4800">
      <c r="A4800" s="14">
        <v>675.0</v>
      </c>
      <c r="B4800" s="14">
        <v>4.0</v>
      </c>
      <c r="C4800" s="34">
        <v>11.76</v>
      </c>
      <c r="D4800" s="36">
        <v>45204.0</v>
      </c>
      <c r="E4800" s="24"/>
      <c r="F4800" s="14">
        <v>2.94</v>
      </c>
      <c r="G4800" s="14">
        <v>17.42</v>
      </c>
      <c r="H4800" s="14">
        <v>0.59</v>
      </c>
      <c r="I4800" s="14" t="s">
        <v>6050</v>
      </c>
      <c r="J4800" s="14">
        <v>25.0</v>
      </c>
      <c r="K4800" s="14">
        <v>11.76</v>
      </c>
      <c r="L4800" s="14">
        <v>0.0</v>
      </c>
    </row>
    <row r="4801">
      <c r="A4801" s="14">
        <v>3.0</v>
      </c>
      <c r="B4801" s="14">
        <v>4.0</v>
      </c>
      <c r="C4801" s="34">
        <v>2.25</v>
      </c>
      <c r="D4801" s="36">
        <v>45204.0</v>
      </c>
      <c r="E4801" s="24"/>
      <c r="F4801" s="14">
        <v>0.56</v>
      </c>
      <c r="G4801" s="14">
        <v>750.0</v>
      </c>
      <c r="H4801" s="14">
        <v>133.33</v>
      </c>
      <c r="I4801" s="14" t="s">
        <v>6064</v>
      </c>
      <c r="J4801" s="14">
        <v>0.0</v>
      </c>
      <c r="K4801" s="14" t="s">
        <v>6012</v>
      </c>
      <c r="L4801" s="14">
        <v>0.0</v>
      </c>
    </row>
    <row r="4802">
      <c r="A4802" s="14">
        <v>31.0</v>
      </c>
      <c r="B4802" s="14">
        <v>1.0</v>
      </c>
      <c r="C4802" s="34">
        <v>13.74</v>
      </c>
      <c r="D4802" s="36">
        <v>45204.0</v>
      </c>
      <c r="E4802" s="24"/>
      <c r="F4802" s="14">
        <v>13.74</v>
      </c>
      <c r="G4802" s="14">
        <v>443.23</v>
      </c>
      <c r="H4802" s="14">
        <v>3.23</v>
      </c>
      <c r="I4802" s="14" t="s">
        <v>6059</v>
      </c>
      <c r="J4802" s="14">
        <v>0.0</v>
      </c>
      <c r="K4802" s="14" t="s">
        <v>6012</v>
      </c>
      <c r="L4802" s="14">
        <v>0.0</v>
      </c>
    </row>
    <row r="4803">
      <c r="A4803" s="14">
        <v>102.0</v>
      </c>
      <c r="B4803" s="14">
        <v>0.0</v>
      </c>
      <c r="C4803" s="34">
        <v>10.6</v>
      </c>
      <c r="D4803" s="36">
        <v>45204.0</v>
      </c>
      <c r="E4803" s="24"/>
      <c r="F4803" s="14" t="s">
        <v>6012</v>
      </c>
      <c r="G4803" s="14">
        <v>103.92</v>
      </c>
      <c r="H4803" s="14">
        <v>0.0</v>
      </c>
      <c r="I4803" s="14" t="s">
        <v>6058</v>
      </c>
      <c r="J4803" s="14" t="s">
        <v>6012</v>
      </c>
      <c r="K4803" s="14" t="s">
        <v>6012</v>
      </c>
      <c r="L4803" s="14">
        <v>0.0</v>
      </c>
    </row>
    <row r="4804">
      <c r="A4804" s="14">
        <v>6.0</v>
      </c>
      <c r="B4804" s="14">
        <v>2.0</v>
      </c>
      <c r="C4804" s="34">
        <v>4.5</v>
      </c>
      <c r="D4804" s="36">
        <v>45205.0</v>
      </c>
      <c r="E4804" s="24"/>
      <c r="F4804" s="14">
        <v>2.25</v>
      </c>
      <c r="G4804" s="14">
        <v>750.0</v>
      </c>
      <c r="H4804" s="14">
        <v>33.33</v>
      </c>
      <c r="I4804" s="14" t="s">
        <v>6064</v>
      </c>
      <c r="J4804" s="14">
        <v>0.0</v>
      </c>
      <c r="K4804" s="14" t="s">
        <v>6012</v>
      </c>
      <c r="L4804" s="14">
        <v>0.0</v>
      </c>
    </row>
    <row r="4805">
      <c r="A4805" s="14">
        <v>698.0</v>
      </c>
      <c r="B4805" s="14">
        <v>6.0</v>
      </c>
      <c r="C4805" s="34">
        <v>11.13</v>
      </c>
      <c r="D4805" s="36">
        <v>45205.0</v>
      </c>
      <c r="E4805" s="24"/>
      <c r="F4805" s="14">
        <v>1.86</v>
      </c>
      <c r="G4805" s="14">
        <v>15.95</v>
      </c>
      <c r="H4805" s="14">
        <v>0.86</v>
      </c>
      <c r="I4805" s="14" t="s">
        <v>6050</v>
      </c>
      <c r="J4805" s="14">
        <v>33.33</v>
      </c>
      <c r="K4805" s="14">
        <v>5.56</v>
      </c>
      <c r="L4805" s="14">
        <v>0.0</v>
      </c>
    </row>
    <row r="4806">
      <c r="A4806" s="14">
        <v>29.0</v>
      </c>
      <c r="B4806" s="14">
        <v>0.0</v>
      </c>
      <c r="C4806" s="34">
        <v>14.8</v>
      </c>
      <c r="D4806" s="36">
        <v>45205.0</v>
      </c>
      <c r="E4806" s="24"/>
      <c r="F4806" s="14" t="s">
        <v>6012</v>
      </c>
      <c r="G4806" s="14">
        <v>510.34</v>
      </c>
      <c r="H4806" s="14">
        <v>0.0</v>
      </c>
      <c r="I4806" s="14" t="s">
        <v>6057</v>
      </c>
      <c r="J4806" s="14" t="s">
        <v>6012</v>
      </c>
      <c r="K4806" s="14" t="s">
        <v>6012</v>
      </c>
      <c r="L4806" s="14">
        <v>0.0</v>
      </c>
    </row>
    <row r="4807">
      <c r="A4807" s="14">
        <v>30.0</v>
      </c>
      <c r="B4807" s="14">
        <v>0.0</v>
      </c>
      <c r="C4807" s="34">
        <v>9.67</v>
      </c>
      <c r="D4807" s="36">
        <v>45205.0</v>
      </c>
      <c r="E4807" s="24"/>
      <c r="F4807" s="14" t="s">
        <v>6012</v>
      </c>
      <c r="G4807" s="14">
        <v>322.33</v>
      </c>
      <c r="H4807" s="14">
        <v>0.0</v>
      </c>
      <c r="I4807" s="14" t="s">
        <v>6061</v>
      </c>
      <c r="J4807" s="14" t="s">
        <v>6012</v>
      </c>
      <c r="K4807" s="14" t="s">
        <v>6012</v>
      </c>
      <c r="L4807" s="14">
        <v>0.0</v>
      </c>
    </row>
    <row r="4808">
      <c r="A4808" s="14">
        <v>129.0</v>
      </c>
      <c r="B4808" s="14">
        <v>0.0</v>
      </c>
      <c r="C4808" s="34">
        <v>10.94</v>
      </c>
      <c r="D4808" s="36">
        <v>45205.0</v>
      </c>
      <c r="E4808" s="24"/>
      <c r="F4808" s="14" t="s">
        <v>6012</v>
      </c>
      <c r="G4808" s="14">
        <v>84.81</v>
      </c>
      <c r="H4808" s="14">
        <v>0.0</v>
      </c>
      <c r="I4808" s="14" t="s">
        <v>6062</v>
      </c>
      <c r="J4808" s="14" t="s">
        <v>6012</v>
      </c>
      <c r="K4808" s="14" t="s">
        <v>6012</v>
      </c>
      <c r="L4808" s="14">
        <v>0.0</v>
      </c>
    </row>
    <row r="4809">
      <c r="A4809" s="14">
        <v>94.0</v>
      </c>
      <c r="B4809" s="14">
        <v>0.0</v>
      </c>
      <c r="C4809" s="34">
        <v>12.94</v>
      </c>
      <c r="D4809" s="36">
        <v>45205.0</v>
      </c>
      <c r="E4809" s="24"/>
      <c r="F4809" s="14" t="s">
        <v>6012</v>
      </c>
      <c r="G4809" s="14">
        <v>137.66</v>
      </c>
      <c r="H4809" s="14">
        <v>0.0</v>
      </c>
      <c r="I4809" s="14" t="s">
        <v>6063</v>
      </c>
      <c r="J4809" s="14" t="s">
        <v>6012</v>
      </c>
      <c r="K4809" s="14">
        <v>12.94</v>
      </c>
      <c r="L4809" s="14">
        <v>0.0</v>
      </c>
    </row>
    <row r="4810">
      <c r="A4810" s="14">
        <v>28.0</v>
      </c>
      <c r="B4810" s="14">
        <v>0.0</v>
      </c>
      <c r="C4810" s="34">
        <v>12.75</v>
      </c>
      <c r="D4810" s="36">
        <v>45205.0</v>
      </c>
      <c r="E4810" s="24"/>
      <c r="F4810" s="14" t="s">
        <v>6012</v>
      </c>
      <c r="G4810" s="14">
        <v>455.36</v>
      </c>
      <c r="H4810" s="14">
        <v>0.0</v>
      </c>
      <c r="I4810" s="14" t="s">
        <v>6059</v>
      </c>
      <c r="J4810" s="14" t="s">
        <v>6012</v>
      </c>
      <c r="K4810" s="14" t="s">
        <v>6012</v>
      </c>
      <c r="L4810" s="14">
        <v>0.0</v>
      </c>
    </row>
    <row r="4811">
      <c r="A4811" s="14">
        <v>748.0</v>
      </c>
      <c r="B4811" s="14">
        <v>7.0</v>
      </c>
      <c r="C4811" s="34">
        <v>11.54</v>
      </c>
      <c r="D4811" s="36">
        <v>45205.0</v>
      </c>
      <c r="E4811" s="24"/>
      <c r="F4811" s="14">
        <v>1.65</v>
      </c>
      <c r="G4811" s="14">
        <v>15.43</v>
      </c>
      <c r="H4811" s="14">
        <v>0.94</v>
      </c>
      <c r="I4811" s="14" t="s">
        <v>6051</v>
      </c>
      <c r="J4811" s="14">
        <v>0.0</v>
      </c>
      <c r="K4811" s="14" t="s">
        <v>6012</v>
      </c>
      <c r="L4811" s="14">
        <v>0.0</v>
      </c>
    </row>
    <row r="4812">
      <c r="A4812" s="14">
        <v>347.0</v>
      </c>
      <c r="B4812" s="14">
        <v>5.0</v>
      </c>
      <c r="C4812" s="34">
        <v>10.85</v>
      </c>
      <c r="D4812" s="36">
        <v>45205.0</v>
      </c>
      <c r="E4812" s="24"/>
      <c r="F4812" s="14">
        <v>2.17</v>
      </c>
      <c r="G4812" s="14">
        <v>31.27</v>
      </c>
      <c r="H4812" s="14">
        <v>1.44</v>
      </c>
      <c r="I4812" s="14" t="s">
        <v>6060</v>
      </c>
      <c r="J4812" s="14">
        <v>20.0</v>
      </c>
      <c r="K4812" s="14">
        <v>10.85</v>
      </c>
      <c r="L4812" s="14">
        <v>0.0</v>
      </c>
    </row>
    <row r="4813">
      <c r="A4813" s="14">
        <v>76.0</v>
      </c>
      <c r="B4813" s="14">
        <v>0.0</v>
      </c>
      <c r="C4813" s="34">
        <v>11.71</v>
      </c>
      <c r="D4813" s="36">
        <v>45205.0</v>
      </c>
      <c r="E4813" s="24"/>
      <c r="F4813" s="14" t="s">
        <v>6012</v>
      </c>
      <c r="G4813" s="14">
        <v>154.08</v>
      </c>
      <c r="H4813" s="14">
        <v>0.0</v>
      </c>
      <c r="I4813" s="14" t="s">
        <v>6042</v>
      </c>
      <c r="J4813" s="14" t="s">
        <v>6012</v>
      </c>
      <c r="K4813" s="14" t="s">
        <v>6012</v>
      </c>
      <c r="L4813" s="14">
        <v>0.0</v>
      </c>
    </row>
    <row r="4814">
      <c r="A4814" s="14">
        <v>26.0</v>
      </c>
      <c r="B4814" s="14">
        <v>1.0</v>
      </c>
      <c r="C4814" s="34">
        <v>15.0</v>
      </c>
      <c r="D4814" s="36">
        <v>45205.0</v>
      </c>
      <c r="E4814" s="24"/>
      <c r="F4814" s="14">
        <v>15.0</v>
      </c>
      <c r="G4814" s="14">
        <v>576.92</v>
      </c>
      <c r="H4814" s="14">
        <v>3.85</v>
      </c>
      <c r="I4814" s="14" t="s">
        <v>6058</v>
      </c>
      <c r="J4814" s="14">
        <v>0.0</v>
      </c>
      <c r="K4814" s="14" t="s">
        <v>6012</v>
      </c>
      <c r="L4814" s="14">
        <v>0.0</v>
      </c>
    </row>
    <row r="4815">
      <c r="A4815" s="14">
        <v>12.0</v>
      </c>
      <c r="B4815" s="14">
        <v>0.0</v>
      </c>
      <c r="C4815" s="34">
        <v>5.63</v>
      </c>
      <c r="D4815" s="36">
        <v>45206.0</v>
      </c>
      <c r="E4815" s="24"/>
      <c r="F4815" s="14" t="s">
        <v>6012</v>
      </c>
      <c r="G4815" s="14">
        <v>469.17</v>
      </c>
      <c r="H4815" s="14">
        <v>0.0</v>
      </c>
      <c r="I4815" s="14" t="s">
        <v>6059</v>
      </c>
      <c r="J4815" s="14" t="s">
        <v>6012</v>
      </c>
      <c r="K4815" s="14" t="s">
        <v>6012</v>
      </c>
      <c r="L4815" s="14">
        <v>0.0</v>
      </c>
    </row>
    <row r="4816">
      <c r="A4816" s="14">
        <v>388.0</v>
      </c>
      <c r="B4816" s="14">
        <v>4.0</v>
      </c>
      <c r="C4816" s="34">
        <v>6.67</v>
      </c>
      <c r="D4816" s="36">
        <v>45206.0</v>
      </c>
      <c r="E4816" s="24"/>
      <c r="F4816" s="14">
        <v>1.67</v>
      </c>
      <c r="G4816" s="14">
        <v>17.19</v>
      </c>
      <c r="H4816" s="14">
        <v>1.03</v>
      </c>
      <c r="I4816" s="14" t="s">
        <v>6051</v>
      </c>
      <c r="J4816" s="14">
        <v>0.0</v>
      </c>
      <c r="K4816" s="14" t="s">
        <v>6012</v>
      </c>
      <c r="L4816" s="14">
        <v>0.0</v>
      </c>
    </row>
    <row r="4817">
      <c r="A4817" s="14">
        <v>40.0</v>
      </c>
      <c r="B4817" s="14">
        <v>0.0</v>
      </c>
      <c r="C4817" s="34">
        <v>7.03</v>
      </c>
      <c r="D4817" s="36">
        <v>45206.0</v>
      </c>
      <c r="E4817" s="24"/>
      <c r="F4817" s="14" t="s">
        <v>6012</v>
      </c>
      <c r="G4817" s="14">
        <v>175.75</v>
      </c>
      <c r="H4817" s="14">
        <v>0.0</v>
      </c>
      <c r="I4817" s="14" t="s">
        <v>6042</v>
      </c>
      <c r="J4817" s="14" t="s">
        <v>6012</v>
      </c>
      <c r="K4817" s="14" t="s">
        <v>6012</v>
      </c>
      <c r="L4817" s="14">
        <v>0.0</v>
      </c>
    </row>
    <row r="4818">
      <c r="A4818" s="14">
        <v>19.0</v>
      </c>
      <c r="B4818" s="14">
        <v>1.0</v>
      </c>
      <c r="C4818" s="34">
        <v>7.29</v>
      </c>
      <c r="D4818" s="36">
        <v>45206.0</v>
      </c>
      <c r="E4818" s="24"/>
      <c r="F4818" s="14">
        <v>7.29</v>
      </c>
      <c r="G4818" s="14">
        <v>383.68</v>
      </c>
      <c r="H4818" s="14">
        <v>5.26</v>
      </c>
      <c r="I4818" s="14" t="s">
        <v>6061</v>
      </c>
      <c r="J4818" s="14">
        <v>0.0</v>
      </c>
      <c r="K4818" s="14" t="s">
        <v>6012</v>
      </c>
      <c r="L4818" s="14">
        <v>0.0</v>
      </c>
    </row>
    <row r="4819">
      <c r="A4819" s="14">
        <v>25.0</v>
      </c>
      <c r="B4819" s="14">
        <v>0.0</v>
      </c>
      <c r="C4819" s="34">
        <v>5.65</v>
      </c>
      <c r="D4819" s="36">
        <v>45206.0</v>
      </c>
      <c r="E4819" s="24"/>
      <c r="F4819" s="14" t="s">
        <v>6012</v>
      </c>
      <c r="G4819" s="14">
        <v>226.0</v>
      </c>
      <c r="H4819" s="14">
        <v>0.0</v>
      </c>
      <c r="I4819" s="14" t="s">
        <v>6063</v>
      </c>
      <c r="J4819" s="14" t="s">
        <v>6012</v>
      </c>
      <c r="K4819" s="14">
        <v>5.65</v>
      </c>
      <c r="L4819" s="14">
        <v>0.0</v>
      </c>
    </row>
    <row r="4820">
      <c r="A4820" s="14">
        <v>16.0</v>
      </c>
      <c r="B4820" s="14">
        <v>0.0</v>
      </c>
      <c r="C4820" s="34">
        <v>5.53</v>
      </c>
      <c r="D4820" s="36">
        <v>45206.0</v>
      </c>
      <c r="E4820" s="24"/>
      <c r="F4820" s="14" t="s">
        <v>6012</v>
      </c>
      <c r="G4820" s="14">
        <v>345.62</v>
      </c>
      <c r="H4820" s="14">
        <v>0.0</v>
      </c>
      <c r="I4820" s="14" t="s">
        <v>6057</v>
      </c>
      <c r="J4820" s="14" t="s">
        <v>6012</v>
      </c>
      <c r="K4820" s="14" t="s">
        <v>6012</v>
      </c>
      <c r="L4820" s="14">
        <v>0.0</v>
      </c>
    </row>
    <row r="4821">
      <c r="A4821" s="14">
        <v>111.0</v>
      </c>
      <c r="B4821" s="14">
        <v>1.0</v>
      </c>
      <c r="C4821" s="34">
        <v>7.41</v>
      </c>
      <c r="D4821" s="36">
        <v>45206.0</v>
      </c>
      <c r="E4821" s="24"/>
      <c r="F4821" s="14">
        <v>7.41</v>
      </c>
      <c r="G4821" s="14">
        <v>66.76</v>
      </c>
      <c r="H4821" s="14">
        <v>0.9</v>
      </c>
      <c r="I4821" s="14" t="s">
        <v>6060</v>
      </c>
      <c r="J4821" s="14">
        <v>100.0</v>
      </c>
      <c r="K4821" s="14">
        <v>7.41</v>
      </c>
      <c r="L4821" s="14">
        <v>0.0</v>
      </c>
    </row>
    <row r="4822">
      <c r="A4822" s="14">
        <v>29.0</v>
      </c>
      <c r="B4822" s="14">
        <v>0.0</v>
      </c>
      <c r="C4822" s="34">
        <v>4.89</v>
      </c>
      <c r="D4822" s="36">
        <v>45206.0</v>
      </c>
      <c r="E4822" s="24"/>
      <c r="F4822" s="14" t="s">
        <v>6012</v>
      </c>
      <c r="G4822" s="14">
        <v>168.62</v>
      </c>
      <c r="H4822" s="14">
        <v>0.0</v>
      </c>
      <c r="I4822" s="14" t="s">
        <v>6058</v>
      </c>
      <c r="J4822" s="14" t="s">
        <v>6012</v>
      </c>
      <c r="K4822" s="14">
        <v>4.89</v>
      </c>
      <c r="L4822" s="14">
        <v>0.0</v>
      </c>
    </row>
    <row r="4823">
      <c r="A4823" s="14">
        <v>495.0</v>
      </c>
      <c r="B4823" s="14">
        <v>4.0</v>
      </c>
      <c r="C4823" s="34">
        <v>6.93</v>
      </c>
      <c r="D4823" s="36">
        <v>45206.0</v>
      </c>
      <c r="E4823" s="24"/>
      <c r="F4823" s="14">
        <v>1.73</v>
      </c>
      <c r="G4823" s="14">
        <v>14.0</v>
      </c>
      <c r="H4823" s="14">
        <v>0.81</v>
      </c>
      <c r="I4823" s="14" t="s">
        <v>6050</v>
      </c>
      <c r="J4823" s="14">
        <v>25.0</v>
      </c>
      <c r="K4823" s="14">
        <v>6.93</v>
      </c>
      <c r="L4823" s="14">
        <v>0.0</v>
      </c>
    </row>
    <row r="4824">
      <c r="A4824" s="14">
        <v>52.0</v>
      </c>
      <c r="B4824" s="14">
        <v>0.0</v>
      </c>
      <c r="C4824" s="34">
        <v>6.94</v>
      </c>
      <c r="D4824" s="36">
        <v>45206.0</v>
      </c>
      <c r="E4824" s="24"/>
      <c r="F4824" s="14" t="s">
        <v>6012</v>
      </c>
      <c r="G4824" s="14">
        <v>133.46</v>
      </c>
      <c r="H4824" s="14">
        <v>0.0</v>
      </c>
      <c r="I4824" s="14" t="s">
        <v>6062</v>
      </c>
      <c r="J4824" s="14" t="s">
        <v>6012</v>
      </c>
      <c r="K4824" s="14" t="s">
        <v>6012</v>
      </c>
      <c r="L4824" s="14">
        <v>0.0</v>
      </c>
    </row>
    <row r="4825">
      <c r="A4825" s="14">
        <v>1.0</v>
      </c>
      <c r="B4825" s="14">
        <v>0.0</v>
      </c>
      <c r="C4825" s="34">
        <v>0.75</v>
      </c>
      <c r="D4825" s="36">
        <v>45206.0</v>
      </c>
      <c r="E4825" s="24"/>
      <c r="F4825" s="14" t="s">
        <v>6012</v>
      </c>
      <c r="G4825" s="14">
        <v>750.0</v>
      </c>
      <c r="H4825" s="14">
        <v>0.0</v>
      </c>
      <c r="I4825" s="14" t="s">
        <v>6064</v>
      </c>
      <c r="J4825" s="14" t="s">
        <v>6012</v>
      </c>
      <c r="K4825" s="14" t="s">
        <v>6012</v>
      </c>
      <c r="L4825" s="14">
        <v>0.0</v>
      </c>
    </row>
    <row r="4826">
      <c r="A4826" s="14">
        <v>42.0</v>
      </c>
      <c r="B4826" s="14">
        <v>0.0</v>
      </c>
      <c r="C4826" s="34">
        <v>3.7</v>
      </c>
      <c r="D4826" s="36">
        <v>45207.0</v>
      </c>
      <c r="E4826" s="24"/>
      <c r="F4826" s="14" t="s">
        <v>6012</v>
      </c>
      <c r="G4826" s="14">
        <v>88.1</v>
      </c>
      <c r="H4826" s="14">
        <v>0.0</v>
      </c>
      <c r="I4826" s="14" t="s">
        <v>6063</v>
      </c>
      <c r="J4826" s="14" t="s">
        <v>6012</v>
      </c>
      <c r="K4826" s="14" t="s">
        <v>6012</v>
      </c>
      <c r="L4826" s="14">
        <v>0.0</v>
      </c>
    </row>
    <row r="4827">
      <c r="A4827" s="14">
        <v>7.0</v>
      </c>
      <c r="B4827" s="14">
        <v>0.0</v>
      </c>
      <c r="C4827" s="34">
        <v>1.58</v>
      </c>
      <c r="D4827" s="36">
        <v>45207.0</v>
      </c>
      <c r="E4827" s="24"/>
      <c r="F4827" s="14" t="s">
        <v>6012</v>
      </c>
      <c r="G4827" s="14">
        <v>225.71</v>
      </c>
      <c r="H4827" s="14">
        <v>0.0</v>
      </c>
      <c r="I4827" s="14" t="s">
        <v>6059</v>
      </c>
      <c r="J4827" s="14" t="s">
        <v>6012</v>
      </c>
      <c r="K4827" s="14" t="s">
        <v>6012</v>
      </c>
      <c r="L4827" s="14">
        <v>0.0</v>
      </c>
    </row>
    <row r="4828">
      <c r="A4828" s="14">
        <v>749.0</v>
      </c>
      <c r="B4828" s="14">
        <v>6.0</v>
      </c>
      <c r="C4828" s="34">
        <v>6.2</v>
      </c>
      <c r="D4828" s="36">
        <v>45207.0</v>
      </c>
      <c r="E4828" s="24"/>
      <c r="F4828" s="14">
        <v>1.03</v>
      </c>
      <c r="G4828" s="14">
        <v>8.28</v>
      </c>
      <c r="H4828" s="14">
        <v>0.8</v>
      </c>
      <c r="I4828" s="14" t="s">
        <v>6050</v>
      </c>
      <c r="J4828" s="14">
        <v>16.67</v>
      </c>
      <c r="K4828" s="14">
        <v>6.2</v>
      </c>
      <c r="L4828" s="14">
        <v>0.0</v>
      </c>
    </row>
    <row r="4829">
      <c r="A4829" s="14">
        <v>19.0</v>
      </c>
      <c r="B4829" s="14">
        <v>0.0</v>
      </c>
      <c r="C4829" s="34">
        <v>2.74</v>
      </c>
      <c r="D4829" s="36">
        <v>45207.0</v>
      </c>
      <c r="E4829" s="24"/>
      <c r="F4829" s="14" t="s">
        <v>6012</v>
      </c>
      <c r="G4829" s="14">
        <v>144.21</v>
      </c>
      <c r="H4829" s="14">
        <v>0.0</v>
      </c>
      <c r="I4829" s="14" t="s">
        <v>6058</v>
      </c>
      <c r="J4829" s="14" t="s">
        <v>6012</v>
      </c>
      <c r="K4829" s="14">
        <v>2.74</v>
      </c>
      <c r="L4829" s="14">
        <v>0.0</v>
      </c>
    </row>
    <row r="4830">
      <c r="A4830" s="14">
        <v>26.0</v>
      </c>
      <c r="B4830" s="14">
        <v>0.0</v>
      </c>
      <c r="C4830" s="34">
        <v>1.63</v>
      </c>
      <c r="D4830" s="36">
        <v>45207.0</v>
      </c>
      <c r="E4830" s="24"/>
      <c r="F4830" s="14" t="s">
        <v>6012</v>
      </c>
      <c r="G4830" s="14">
        <v>62.69</v>
      </c>
      <c r="H4830" s="14">
        <v>0.0</v>
      </c>
      <c r="I4830" s="14" t="s">
        <v>6061</v>
      </c>
      <c r="J4830" s="14" t="s">
        <v>6012</v>
      </c>
      <c r="K4830" s="14" t="s">
        <v>6012</v>
      </c>
      <c r="L4830" s="14">
        <v>0.0</v>
      </c>
    </row>
    <row r="4831">
      <c r="A4831" s="14">
        <v>53.0</v>
      </c>
      <c r="B4831" s="14">
        <v>0.0</v>
      </c>
      <c r="C4831" s="34">
        <v>3.97</v>
      </c>
      <c r="D4831" s="36">
        <v>45207.0</v>
      </c>
      <c r="E4831" s="24"/>
      <c r="F4831" s="14" t="s">
        <v>6012</v>
      </c>
      <c r="G4831" s="14">
        <v>74.91</v>
      </c>
      <c r="H4831" s="14">
        <v>0.0</v>
      </c>
      <c r="I4831" s="14" t="s">
        <v>6042</v>
      </c>
      <c r="J4831" s="14" t="s">
        <v>6012</v>
      </c>
      <c r="K4831" s="14" t="s">
        <v>6012</v>
      </c>
      <c r="L4831" s="14">
        <v>0.0</v>
      </c>
    </row>
    <row r="4832">
      <c r="A4832" s="14">
        <v>79.0</v>
      </c>
      <c r="B4832" s="14">
        <v>1.0</v>
      </c>
      <c r="C4832" s="34">
        <v>4.97</v>
      </c>
      <c r="D4832" s="36">
        <v>45207.0</v>
      </c>
      <c r="E4832" s="24"/>
      <c r="F4832" s="14">
        <v>4.97</v>
      </c>
      <c r="G4832" s="14">
        <v>62.91</v>
      </c>
      <c r="H4832" s="14">
        <v>1.27</v>
      </c>
      <c r="I4832" s="14" t="s">
        <v>6062</v>
      </c>
      <c r="J4832" s="14">
        <v>0.0</v>
      </c>
      <c r="K4832" s="14" t="s">
        <v>6012</v>
      </c>
      <c r="L4832" s="14">
        <v>0.0</v>
      </c>
    </row>
    <row r="4833">
      <c r="A4833" s="14">
        <v>222.0</v>
      </c>
      <c r="B4833" s="14">
        <v>1.0</v>
      </c>
      <c r="C4833" s="34">
        <v>5.84</v>
      </c>
      <c r="D4833" s="36">
        <v>45207.0</v>
      </c>
      <c r="E4833" s="24"/>
      <c r="F4833" s="14">
        <v>5.84</v>
      </c>
      <c r="G4833" s="14">
        <v>26.31</v>
      </c>
      <c r="H4833" s="14">
        <v>0.45</v>
      </c>
      <c r="I4833" s="14" t="s">
        <v>6060</v>
      </c>
      <c r="J4833" s="14">
        <v>100.0</v>
      </c>
      <c r="K4833" s="14">
        <v>5.84</v>
      </c>
      <c r="L4833" s="14">
        <v>0.0</v>
      </c>
    </row>
    <row r="4834">
      <c r="A4834" s="14">
        <v>281.0</v>
      </c>
      <c r="B4834" s="14">
        <v>6.0</v>
      </c>
      <c r="C4834" s="34">
        <v>5.45</v>
      </c>
      <c r="D4834" s="36">
        <v>45207.0</v>
      </c>
      <c r="E4834" s="24"/>
      <c r="F4834" s="14">
        <v>0.91</v>
      </c>
      <c r="G4834" s="14">
        <v>19.4</v>
      </c>
      <c r="H4834" s="14">
        <v>2.14</v>
      </c>
      <c r="I4834" s="14" t="s">
        <v>6051</v>
      </c>
      <c r="J4834" s="14">
        <v>0.0</v>
      </c>
      <c r="K4834" s="14" t="s">
        <v>6012</v>
      </c>
      <c r="L4834" s="14">
        <v>0.0</v>
      </c>
    </row>
    <row r="4835">
      <c r="A4835" s="14">
        <v>2.0</v>
      </c>
      <c r="B4835" s="14">
        <v>0.0</v>
      </c>
      <c r="C4835" s="34">
        <v>1.5</v>
      </c>
      <c r="D4835" s="36">
        <v>45207.0</v>
      </c>
      <c r="E4835" s="24"/>
      <c r="F4835" s="14" t="s">
        <v>6012</v>
      </c>
      <c r="G4835" s="14">
        <v>750.0</v>
      </c>
      <c r="H4835" s="14">
        <v>0.0</v>
      </c>
      <c r="I4835" s="14" t="s">
        <v>6064</v>
      </c>
      <c r="J4835" s="14" t="s">
        <v>6012</v>
      </c>
      <c r="K4835" s="14" t="s">
        <v>6012</v>
      </c>
      <c r="L4835" s="14">
        <v>0.0</v>
      </c>
    </row>
    <row r="4836">
      <c r="A4836" s="14">
        <v>119.0</v>
      </c>
      <c r="B4836" s="14">
        <v>1.0</v>
      </c>
      <c r="C4836" s="34">
        <v>13.89</v>
      </c>
      <c r="D4836" s="36">
        <v>45208.0</v>
      </c>
      <c r="E4836" s="24"/>
      <c r="F4836" s="14">
        <v>13.89</v>
      </c>
      <c r="G4836" s="14">
        <v>116.72</v>
      </c>
      <c r="H4836" s="14">
        <v>0.84</v>
      </c>
      <c r="I4836" s="14" t="s">
        <v>6042</v>
      </c>
      <c r="J4836" s="14">
        <v>100.0</v>
      </c>
      <c r="K4836" s="14">
        <v>13.89</v>
      </c>
      <c r="L4836" s="14">
        <v>0.0</v>
      </c>
    </row>
    <row r="4837">
      <c r="A4837" s="14">
        <v>8.0</v>
      </c>
      <c r="B4837" s="14">
        <v>3.0</v>
      </c>
      <c r="C4837" s="34">
        <v>6.0</v>
      </c>
      <c r="D4837" s="36">
        <v>45208.0</v>
      </c>
      <c r="E4837" s="24"/>
      <c r="F4837" s="14">
        <v>2.0</v>
      </c>
      <c r="G4837" s="14">
        <v>750.0</v>
      </c>
      <c r="H4837" s="14">
        <v>37.5</v>
      </c>
      <c r="I4837" s="14" t="s">
        <v>6064</v>
      </c>
      <c r="J4837" s="14">
        <v>0.0</v>
      </c>
      <c r="K4837" s="14" t="s">
        <v>6012</v>
      </c>
      <c r="L4837" s="14">
        <v>0.0</v>
      </c>
    </row>
    <row r="4838">
      <c r="A4838" s="14">
        <v>56.0</v>
      </c>
      <c r="B4838" s="14">
        <v>2.0</v>
      </c>
      <c r="C4838" s="34">
        <v>11.86</v>
      </c>
      <c r="D4838" s="36">
        <v>45208.0</v>
      </c>
      <c r="E4838" s="24"/>
      <c r="F4838" s="14">
        <v>5.93</v>
      </c>
      <c r="G4838" s="14">
        <v>211.79</v>
      </c>
      <c r="H4838" s="14">
        <v>3.57</v>
      </c>
      <c r="I4838" s="14" t="s">
        <v>6061</v>
      </c>
      <c r="J4838" s="14">
        <v>0.0</v>
      </c>
      <c r="K4838" s="14" t="s">
        <v>6012</v>
      </c>
      <c r="L4838" s="14">
        <v>0.0</v>
      </c>
    </row>
    <row r="4839">
      <c r="A4839" s="14">
        <v>482.0</v>
      </c>
      <c r="B4839" s="14">
        <v>2.0</v>
      </c>
      <c r="C4839" s="34">
        <v>11.34</v>
      </c>
      <c r="D4839" s="36">
        <v>45208.0</v>
      </c>
      <c r="E4839" s="24"/>
      <c r="F4839" s="14">
        <v>5.67</v>
      </c>
      <c r="G4839" s="14">
        <v>23.53</v>
      </c>
      <c r="H4839" s="14">
        <v>0.41</v>
      </c>
      <c r="I4839" s="14" t="s">
        <v>6060</v>
      </c>
      <c r="J4839" s="14">
        <v>200.0</v>
      </c>
      <c r="K4839" s="14">
        <v>2.84</v>
      </c>
      <c r="L4839" s="14">
        <v>0.0</v>
      </c>
    </row>
    <row r="4840">
      <c r="A4840" s="14">
        <v>67.0</v>
      </c>
      <c r="B4840" s="14">
        <v>0.0</v>
      </c>
      <c r="C4840" s="34">
        <v>12.5</v>
      </c>
      <c r="D4840" s="36">
        <v>45208.0</v>
      </c>
      <c r="E4840" s="24"/>
      <c r="F4840" s="14" t="s">
        <v>6012</v>
      </c>
      <c r="G4840" s="14">
        <v>186.57</v>
      </c>
      <c r="H4840" s="14">
        <v>0.0</v>
      </c>
      <c r="I4840" s="14" t="s">
        <v>6058</v>
      </c>
      <c r="J4840" s="14" t="s">
        <v>6012</v>
      </c>
      <c r="K4840" s="14">
        <v>12.5</v>
      </c>
      <c r="L4840" s="14">
        <v>0.0</v>
      </c>
    </row>
    <row r="4841">
      <c r="A4841" s="14">
        <v>131.0</v>
      </c>
      <c r="B4841" s="14">
        <v>2.0</v>
      </c>
      <c r="C4841" s="34">
        <v>11.93</v>
      </c>
      <c r="D4841" s="36">
        <v>45208.0</v>
      </c>
      <c r="E4841" s="24"/>
      <c r="F4841" s="14">
        <v>5.96</v>
      </c>
      <c r="G4841" s="14">
        <v>91.07</v>
      </c>
      <c r="H4841" s="14">
        <v>1.53</v>
      </c>
      <c r="I4841" s="14" t="s">
        <v>6062</v>
      </c>
      <c r="J4841" s="14">
        <v>100.0</v>
      </c>
      <c r="K4841" s="14">
        <v>5.96</v>
      </c>
      <c r="L4841" s="14">
        <v>0.0</v>
      </c>
    </row>
    <row r="4842">
      <c r="A4842" s="14">
        <v>919.0</v>
      </c>
      <c r="B4842" s="14">
        <v>8.0</v>
      </c>
      <c r="C4842" s="34">
        <v>10.95</v>
      </c>
      <c r="D4842" s="36">
        <v>45208.0</v>
      </c>
      <c r="E4842" s="24"/>
      <c r="F4842" s="14">
        <v>1.37</v>
      </c>
      <c r="G4842" s="14">
        <v>11.92</v>
      </c>
      <c r="H4842" s="14">
        <v>0.87</v>
      </c>
      <c r="I4842" s="14" t="s">
        <v>6050</v>
      </c>
      <c r="J4842" s="14">
        <v>12.5</v>
      </c>
      <c r="K4842" s="14">
        <v>10.95</v>
      </c>
      <c r="L4842" s="14">
        <v>0.0</v>
      </c>
    </row>
    <row r="4843">
      <c r="A4843" s="14">
        <v>49.0</v>
      </c>
      <c r="B4843" s="14">
        <v>0.0</v>
      </c>
      <c r="C4843" s="34">
        <v>12.49</v>
      </c>
      <c r="D4843" s="36">
        <v>45208.0</v>
      </c>
      <c r="E4843" s="24"/>
      <c r="F4843" s="14" t="s">
        <v>6012</v>
      </c>
      <c r="G4843" s="14">
        <v>254.9</v>
      </c>
      <c r="H4843" s="14">
        <v>0.0</v>
      </c>
      <c r="I4843" s="14" t="s">
        <v>6057</v>
      </c>
      <c r="J4843" s="14" t="s">
        <v>6012</v>
      </c>
      <c r="K4843" s="14" t="s">
        <v>6012</v>
      </c>
      <c r="L4843" s="14">
        <v>0.0</v>
      </c>
    </row>
    <row r="4844">
      <c r="A4844" s="14">
        <v>39.0</v>
      </c>
      <c r="B4844" s="14">
        <v>0.0</v>
      </c>
      <c r="C4844" s="34">
        <v>13.42</v>
      </c>
      <c r="D4844" s="36">
        <v>45208.0</v>
      </c>
      <c r="E4844" s="24"/>
      <c r="F4844" s="14" t="s">
        <v>6012</v>
      </c>
      <c r="G4844" s="14">
        <v>344.1</v>
      </c>
      <c r="H4844" s="14">
        <v>0.0</v>
      </c>
      <c r="I4844" s="14" t="s">
        <v>6059</v>
      </c>
      <c r="J4844" s="14" t="s">
        <v>6012</v>
      </c>
      <c r="K4844" s="14" t="s">
        <v>6012</v>
      </c>
      <c r="L4844" s="14">
        <v>0.0</v>
      </c>
    </row>
    <row r="4845">
      <c r="A4845" s="14">
        <v>713.0</v>
      </c>
      <c r="B4845" s="14">
        <v>12.0</v>
      </c>
      <c r="C4845" s="34">
        <v>11.04</v>
      </c>
      <c r="D4845" s="36">
        <v>45208.0</v>
      </c>
      <c r="E4845" s="24"/>
      <c r="F4845" s="14">
        <v>0.92</v>
      </c>
      <c r="G4845" s="14">
        <v>15.48</v>
      </c>
      <c r="H4845" s="14">
        <v>1.68</v>
      </c>
      <c r="I4845" s="14" t="s">
        <v>6051</v>
      </c>
      <c r="J4845" s="14">
        <v>0.0</v>
      </c>
      <c r="K4845" s="14" t="s">
        <v>6012</v>
      </c>
      <c r="L4845" s="14">
        <v>0.0</v>
      </c>
    </row>
    <row r="4846">
      <c r="A4846" s="14">
        <v>76.0</v>
      </c>
      <c r="B4846" s="14">
        <v>0.0</v>
      </c>
      <c r="C4846" s="34">
        <v>12.18</v>
      </c>
      <c r="D4846" s="36">
        <v>45208.0</v>
      </c>
      <c r="E4846" s="24"/>
      <c r="F4846" s="14" t="s">
        <v>6012</v>
      </c>
      <c r="G4846" s="14">
        <v>160.26</v>
      </c>
      <c r="H4846" s="14">
        <v>0.0</v>
      </c>
      <c r="I4846" s="14" t="s">
        <v>6063</v>
      </c>
      <c r="J4846" s="14" t="s">
        <v>6012</v>
      </c>
      <c r="K4846" s="14" t="s">
        <v>6012</v>
      </c>
      <c r="L4846" s="14">
        <v>0.0</v>
      </c>
    </row>
    <row r="4847">
      <c r="A4847" s="14">
        <v>892.0</v>
      </c>
      <c r="B4847" s="14">
        <v>6.0</v>
      </c>
      <c r="C4847" s="34">
        <v>12.08</v>
      </c>
      <c r="D4847" s="36">
        <v>45209.0</v>
      </c>
      <c r="E4847" s="24"/>
      <c r="F4847" s="14">
        <v>2.01</v>
      </c>
      <c r="G4847" s="14">
        <v>13.54</v>
      </c>
      <c r="H4847" s="14">
        <v>0.67</v>
      </c>
      <c r="I4847" s="14" t="s">
        <v>6050</v>
      </c>
      <c r="J4847" s="14">
        <v>16.67</v>
      </c>
      <c r="K4847" s="14">
        <v>12.08</v>
      </c>
      <c r="L4847" s="14">
        <v>0.0</v>
      </c>
    </row>
    <row r="4848">
      <c r="A4848" s="14">
        <v>749.0</v>
      </c>
      <c r="B4848" s="14">
        <v>14.0</v>
      </c>
      <c r="C4848" s="34">
        <v>12.05</v>
      </c>
      <c r="D4848" s="36">
        <v>45209.0</v>
      </c>
      <c r="E4848" s="24"/>
      <c r="F4848" s="14">
        <v>0.86</v>
      </c>
      <c r="G4848" s="14">
        <v>16.09</v>
      </c>
      <c r="H4848" s="14">
        <v>1.87</v>
      </c>
      <c r="I4848" s="14" t="s">
        <v>6051</v>
      </c>
      <c r="J4848" s="14">
        <v>0.0</v>
      </c>
      <c r="K4848" s="14" t="s">
        <v>6012</v>
      </c>
      <c r="L4848" s="14">
        <v>0.0</v>
      </c>
    </row>
    <row r="4849">
      <c r="A4849" s="14">
        <v>11.0</v>
      </c>
      <c r="B4849" s="14">
        <v>8.0</v>
      </c>
      <c r="C4849" s="34">
        <v>8.25</v>
      </c>
      <c r="D4849" s="36">
        <v>45209.0</v>
      </c>
      <c r="E4849" s="24"/>
      <c r="F4849" s="14">
        <v>1.03</v>
      </c>
      <c r="G4849" s="14">
        <v>750.0</v>
      </c>
      <c r="H4849" s="14">
        <v>72.73</v>
      </c>
      <c r="I4849" s="14" t="s">
        <v>6064</v>
      </c>
      <c r="J4849" s="14">
        <v>0.0</v>
      </c>
      <c r="K4849" s="14" t="s">
        <v>6012</v>
      </c>
      <c r="L4849" s="14">
        <v>0.0</v>
      </c>
    </row>
    <row r="4850">
      <c r="A4850" s="14">
        <v>26.0</v>
      </c>
      <c r="B4850" s="14">
        <v>0.0</v>
      </c>
      <c r="C4850" s="34">
        <v>12.52</v>
      </c>
      <c r="D4850" s="36">
        <v>45209.0</v>
      </c>
      <c r="E4850" s="24"/>
      <c r="F4850" s="14" t="s">
        <v>6012</v>
      </c>
      <c r="G4850" s="14">
        <v>481.54</v>
      </c>
      <c r="H4850" s="14">
        <v>0.0</v>
      </c>
      <c r="I4850" s="14" t="s">
        <v>6057</v>
      </c>
      <c r="J4850" s="14" t="s">
        <v>6012</v>
      </c>
      <c r="K4850" s="14" t="s">
        <v>6012</v>
      </c>
      <c r="L4850" s="14">
        <v>0.0</v>
      </c>
    </row>
    <row r="4851">
      <c r="A4851" s="14">
        <v>87.0</v>
      </c>
      <c r="B4851" s="14">
        <v>0.0</v>
      </c>
      <c r="C4851" s="34">
        <v>12.65</v>
      </c>
      <c r="D4851" s="36">
        <v>45209.0</v>
      </c>
      <c r="E4851" s="24"/>
      <c r="F4851" s="14" t="s">
        <v>6012</v>
      </c>
      <c r="G4851" s="14">
        <v>145.4</v>
      </c>
      <c r="H4851" s="14">
        <v>0.0</v>
      </c>
      <c r="I4851" s="14" t="s">
        <v>6058</v>
      </c>
      <c r="J4851" s="14" t="s">
        <v>6012</v>
      </c>
      <c r="K4851" s="14" t="s">
        <v>6012</v>
      </c>
      <c r="L4851" s="14">
        <v>0.0</v>
      </c>
    </row>
    <row r="4852">
      <c r="A4852" s="14">
        <v>148.0</v>
      </c>
      <c r="B4852" s="14">
        <v>1.0</v>
      </c>
      <c r="C4852" s="34">
        <v>14.06</v>
      </c>
      <c r="D4852" s="36">
        <v>45209.0</v>
      </c>
      <c r="E4852" s="24"/>
      <c r="F4852" s="14">
        <v>14.06</v>
      </c>
      <c r="G4852" s="14">
        <v>95.0</v>
      </c>
      <c r="H4852" s="14">
        <v>0.68</v>
      </c>
      <c r="I4852" s="14" t="s">
        <v>6042</v>
      </c>
      <c r="J4852" s="14">
        <v>100.0</v>
      </c>
      <c r="K4852" s="14">
        <v>14.06</v>
      </c>
      <c r="L4852" s="14">
        <v>0.0</v>
      </c>
    </row>
    <row r="4853">
      <c r="A4853" s="14">
        <v>113.0</v>
      </c>
      <c r="B4853" s="14">
        <v>0.0</v>
      </c>
      <c r="C4853" s="34">
        <v>12.64</v>
      </c>
      <c r="D4853" s="36">
        <v>45209.0</v>
      </c>
      <c r="E4853" s="24"/>
      <c r="F4853" s="14" t="s">
        <v>6012</v>
      </c>
      <c r="G4853" s="14">
        <v>111.86</v>
      </c>
      <c r="H4853" s="14">
        <v>0.0</v>
      </c>
      <c r="I4853" s="14" t="s">
        <v>6062</v>
      </c>
      <c r="J4853" s="14" t="s">
        <v>6012</v>
      </c>
      <c r="K4853" s="14" t="s">
        <v>6012</v>
      </c>
      <c r="L4853" s="14">
        <v>0.0</v>
      </c>
    </row>
    <row r="4854">
      <c r="A4854" s="14">
        <v>99.0</v>
      </c>
      <c r="B4854" s="14">
        <v>0.0</v>
      </c>
      <c r="C4854" s="34">
        <v>13.01</v>
      </c>
      <c r="D4854" s="36">
        <v>45209.0</v>
      </c>
      <c r="E4854" s="24"/>
      <c r="F4854" s="14" t="s">
        <v>6012</v>
      </c>
      <c r="G4854" s="14">
        <v>131.41</v>
      </c>
      <c r="H4854" s="14">
        <v>0.0</v>
      </c>
      <c r="I4854" s="14" t="s">
        <v>6060</v>
      </c>
      <c r="J4854" s="14" t="s">
        <v>6012</v>
      </c>
      <c r="K4854" s="14">
        <v>13.01</v>
      </c>
      <c r="L4854" s="14">
        <v>0.0</v>
      </c>
    </row>
    <row r="4855">
      <c r="A4855" s="14">
        <v>36.0</v>
      </c>
      <c r="B4855" s="14">
        <v>0.0</v>
      </c>
      <c r="C4855" s="34">
        <v>15.0</v>
      </c>
      <c r="D4855" s="36">
        <v>45209.0</v>
      </c>
      <c r="E4855" s="24"/>
      <c r="F4855" s="14" t="s">
        <v>6012</v>
      </c>
      <c r="G4855" s="14">
        <v>416.67</v>
      </c>
      <c r="H4855" s="14">
        <v>0.0</v>
      </c>
      <c r="I4855" s="14" t="s">
        <v>6061</v>
      </c>
      <c r="J4855" s="14" t="s">
        <v>6012</v>
      </c>
      <c r="K4855" s="14">
        <v>15.0</v>
      </c>
      <c r="L4855" s="14">
        <v>0.0</v>
      </c>
    </row>
    <row r="4856">
      <c r="A4856" s="14">
        <v>78.0</v>
      </c>
      <c r="B4856" s="14">
        <v>0.0</v>
      </c>
      <c r="C4856" s="34">
        <v>13.52</v>
      </c>
      <c r="D4856" s="36">
        <v>45209.0</v>
      </c>
      <c r="E4856" s="24"/>
      <c r="F4856" s="14" t="s">
        <v>6012</v>
      </c>
      <c r="G4856" s="14">
        <v>173.33</v>
      </c>
      <c r="H4856" s="14">
        <v>0.0</v>
      </c>
      <c r="I4856" s="14" t="s">
        <v>6063</v>
      </c>
      <c r="J4856" s="14" t="s">
        <v>6012</v>
      </c>
      <c r="K4856" s="14">
        <v>13.52</v>
      </c>
      <c r="L4856" s="14">
        <v>0.0</v>
      </c>
    </row>
    <row r="4857">
      <c r="A4857" s="14">
        <v>39.0</v>
      </c>
      <c r="B4857" s="14">
        <v>0.0</v>
      </c>
      <c r="C4857" s="34">
        <v>13.08</v>
      </c>
      <c r="D4857" s="36">
        <v>45209.0</v>
      </c>
      <c r="E4857" s="24"/>
      <c r="F4857" s="14" t="s">
        <v>6012</v>
      </c>
      <c r="G4857" s="14">
        <v>335.38</v>
      </c>
      <c r="H4857" s="14">
        <v>0.0</v>
      </c>
      <c r="I4857" s="14" t="s">
        <v>6059</v>
      </c>
      <c r="J4857" s="14" t="s">
        <v>6012</v>
      </c>
      <c r="K4857" s="14" t="s">
        <v>6012</v>
      </c>
      <c r="L4857" s="14">
        <v>0.0</v>
      </c>
    </row>
    <row r="4858">
      <c r="A4858" s="14">
        <v>121.0</v>
      </c>
      <c r="B4858" s="14">
        <v>0.0</v>
      </c>
      <c r="C4858" s="34">
        <v>12.78</v>
      </c>
      <c r="D4858" s="36">
        <v>45210.0</v>
      </c>
      <c r="E4858" s="24"/>
      <c r="F4858" s="14" t="s">
        <v>6012</v>
      </c>
      <c r="G4858" s="14">
        <v>105.62</v>
      </c>
      <c r="H4858" s="14">
        <v>0.0</v>
      </c>
      <c r="I4858" s="14" t="s">
        <v>6042</v>
      </c>
      <c r="J4858" s="14" t="s">
        <v>6012</v>
      </c>
      <c r="K4858" s="14">
        <v>6.39</v>
      </c>
      <c r="L4858" s="14">
        <v>0.0</v>
      </c>
    </row>
    <row r="4859">
      <c r="A4859" s="14">
        <v>39.0</v>
      </c>
      <c r="B4859" s="14">
        <v>1.0</v>
      </c>
      <c r="C4859" s="34">
        <v>12.82</v>
      </c>
      <c r="D4859" s="36">
        <v>45210.0</v>
      </c>
      <c r="E4859" s="24"/>
      <c r="F4859" s="14">
        <v>12.82</v>
      </c>
      <c r="G4859" s="14">
        <v>328.72</v>
      </c>
      <c r="H4859" s="14">
        <v>2.56</v>
      </c>
      <c r="I4859" s="14" t="s">
        <v>6058</v>
      </c>
      <c r="J4859" s="14">
        <v>0.0</v>
      </c>
      <c r="K4859" s="14" t="s">
        <v>6012</v>
      </c>
      <c r="L4859" s="14">
        <v>0.0</v>
      </c>
    </row>
    <row r="4860">
      <c r="A4860" s="14">
        <v>90.0</v>
      </c>
      <c r="B4860" s="14">
        <v>0.0</v>
      </c>
      <c r="C4860" s="34">
        <v>11.72</v>
      </c>
      <c r="D4860" s="36">
        <v>45210.0</v>
      </c>
      <c r="E4860" s="24"/>
      <c r="F4860" s="14" t="s">
        <v>6012</v>
      </c>
      <c r="G4860" s="14">
        <v>130.22</v>
      </c>
      <c r="H4860" s="14">
        <v>0.0</v>
      </c>
      <c r="I4860" s="14" t="s">
        <v>6063</v>
      </c>
      <c r="J4860" s="14" t="s">
        <v>6012</v>
      </c>
      <c r="K4860" s="14" t="s">
        <v>6012</v>
      </c>
      <c r="L4860" s="14">
        <v>0.0</v>
      </c>
    </row>
    <row r="4861">
      <c r="A4861" s="14">
        <v>623.0</v>
      </c>
      <c r="B4861" s="14">
        <v>2.0</v>
      </c>
      <c r="C4861" s="34">
        <v>11.12</v>
      </c>
      <c r="D4861" s="36">
        <v>45210.0</v>
      </c>
      <c r="E4861" s="24"/>
      <c r="F4861" s="14">
        <v>5.56</v>
      </c>
      <c r="G4861" s="14">
        <v>17.85</v>
      </c>
      <c r="H4861" s="14">
        <v>0.32</v>
      </c>
      <c r="I4861" s="14" t="s">
        <v>6060</v>
      </c>
      <c r="J4861" s="14">
        <v>0.0</v>
      </c>
      <c r="K4861" s="14" t="s">
        <v>6012</v>
      </c>
      <c r="L4861" s="14">
        <v>0.0</v>
      </c>
    </row>
    <row r="4862">
      <c r="A4862" s="14">
        <v>73.0</v>
      </c>
      <c r="B4862" s="14">
        <v>1.0</v>
      </c>
      <c r="C4862" s="34">
        <v>11.65</v>
      </c>
      <c r="D4862" s="36">
        <v>45210.0</v>
      </c>
      <c r="E4862" s="24"/>
      <c r="F4862" s="14">
        <v>11.65</v>
      </c>
      <c r="G4862" s="14">
        <v>159.59</v>
      </c>
      <c r="H4862" s="14">
        <v>1.37</v>
      </c>
      <c r="I4862" s="14" t="s">
        <v>6061</v>
      </c>
      <c r="J4862" s="14">
        <v>0.0</v>
      </c>
      <c r="K4862" s="14" t="s">
        <v>6012</v>
      </c>
      <c r="L4862" s="14">
        <v>0.0</v>
      </c>
    </row>
    <row r="4863">
      <c r="A4863" s="14">
        <v>963.0</v>
      </c>
      <c r="B4863" s="14">
        <v>3.0</v>
      </c>
      <c r="C4863" s="34">
        <v>11.55</v>
      </c>
      <c r="D4863" s="36">
        <v>45210.0</v>
      </c>
      <c r="E4863" s="24"/>
      <c r="F4863" s="14">
        <v>3.85</v>
      </c>
      <c r="G4863" s="14">
        <v>11.99</v>
      </c>
      <c r="H4863" s="14">
        <v>0.31</v>
      </c>
      <c r="I4863" s="14" t="s">
        <v>6050</v>
      </c>
      <c r="J4863" s="14">
        <v>33.33</v>
      </c>
      <c r="K4863" s="14">
        <v>11.55</v>
      </c>
      <c r="L4863" s="14">
        <v>0.0</v>
      </c>
    </row>
    <row r="4864">
      <c r="A4864" s="14">
        <v>86.0</v>
      </c>
      <c r="B4864" s="14">
        <v>0.0</v>
      </c>
      <c r="C4864" s="34">
        <v>11.64</v>
      </c>
      <c r="D4864" s="36">
        <v>45210.0</v>
      </c>
      <c r="E4864" s="24"/>
      <c r="F4864" s="14" t="s">
        <v>6012</v>
      </c>
      <c r="G4864" s="14">
        <v>135.35</v>
      </c>
      <c r="H4864" s="14">
        <v>0.0</v>
      </c>
      <c r="I4864" s="14" t="s">
        <v>6062</v>
      </c>
      <c r="J4864" s="14" t="s">
        <v>6012</v>
      </c>
      <c r="K4864" s="14" t="s">
        <v>6012</v>
      </c>
      <c r="L4864" s="14">
        <v>0.0</v>
      </c>
    </row>
    <row r="4865">
      <c r="A4865" s="14">
        <v>42.0</v>
      </c>
      <c r="B4865" s="14">
        <v>0.0</v>
      </c>
      <c r="C4865" s="34">
        <v>13.81</v>
      </c>
      <c r="D4865" s="36">
        <v>45210.0</v>
      </c>
      <c r="E4865" s="24"/>
      <c r="F4865" s="14" t="s">
        <v>6012</v>
      </c>
      <c r="G4865" s="14">
        <v>328.81</v>
      </c>
      <c r="H4865" s="14">
        <v>0.0</v>
      </c>
      <c r="I4865" s="14" t="s">
        <v>6059</v>
      </c>
      <c r="J4865" s="14" t="s">
        <v>6012</v>
      </c>
      <c r="K4865" s="14" t="s">
        <v>6012</v>
      </c>
      <c r="L4865" s="14">
        <v>0.0</v>
      </c>
    </row>
    <row r="4866">
      <c r="A4866" s="14">
        <v>31.0</v>
      </c>
      <c r="B4866" s="14">
        <v>0.0</v>
      </c>
      <c r="C4866" s="34">
        <v>12.87</v>
      </c>
      <c r="D4866" s="36">
        <v>45210.0</v>
      </c>
      <c r="E4866" s="24"/>
      <c r="F4866" s="14" t="s">
        <v>6012</v>
      </c>
      <c r="G4866" s="14">
        <v>415.16</v>
      </c>
      <c r="H4866" s="14">
        <v>0.0</v>
      </c>
      <c r="I4866" s="14" t="s">
        <v>6057</v>
      </c>
      <c r="J4866" s="14" t="s">
        <v>6012</v>
      </c>
      <c r="K4866" s="14" t="s">
        <v>6012</v>
      </c>
      <c r="L4866" s="14">
        <v>0.0</v>
      </c>
    </row>
    <row r="4867">
      <c r="A4867" s="14">
        <v>5.0</v>
      </c>
      <c r="B4867" s="14">
        <v>4.0</v>
      </c>
      <c r="C4867" s="34">
        <v>3.75</v>
      </c>
      <c r="D4867" s="36">
        <v>45210.0</v>
      </c>
      <c r="E4867" s="24"/>
      <c r="F4867" s="14">
        <v>0.94</v>
      </c>
      <c r="G4867" s="14">
        <v>750.0</v>
      </c>
      <c r="H4867" s="14">
        <v>80.0</v>
      </c>
      <c r="I4867" s="14" t="s">
        <v>6064</v>
      </c>
      <c r="J4867" s="14">
        <v>0.0</v>
      </c>
      <c r="K4867" s="14" t="s">
        <v>6012</v>
      </c>
      <c r="L4867" s="14">
        <v>0.0</v>
      </c>
    </row>
    <row r="4868">
      <c r="A4868" s="14">
        <v>709.0</v>
      </c>
      <c r="B4868" s="14">
        <v>10.0</v>
      </c>
      <c r="C4868" s="34">
        <v>12.11</v>
      </c>
      <c r="D4868" s="36">
        <v>45210.0</v>
      </c>
      <c r="E4868" s="24"/>
      <c r="F4868" s="14">
        <v>1.21</v>
      </c>
      <c r="G4868" s="14">
        <v>17.08</v>
      </c>
      <c r="H4868" s="14">
        <v>1.41</v>
      </c>
      <c r="I4868" s="14" t="s">
        <v>6051</v>
      </c>
      <c r="J4868" s="14">
        <v>0.0</v>
      </c>
      <c r="K4868" s="14" t="s">
        <v>6012</v>
      </c>
      <c r="L4868" s="14">
        <v>0.0</v>
      </c>
    </row>
    <row r="4869">
      <c r="A4869" s="14">
        <v>117.0</v>
      </c>
      <c r="B4869" s="14">
        <v>2.0</v>
      </c>
      <c r="C4869" s="34">
        <v>12.36</v>
      </c>
      <c r="D4869" s="36">
        <v>45211.0</v>
      </c>
      <c r="E4869" s="24"/>
      <c r="F4869" s="14">
        <v>6.18</v>
      </c>
      <c r="G4869" s="14">
        <v>105.64</v>
      </c>
      <c r="H4869" s="14">
        <v>1.71</v>
      </c>
      <c r="I4869" s="14" t="s">
        <v>6063</v>
      </c>
      <c r="J4869" s="14">
        <v>0.0</v>
      </c>
      <c r="K4869" s="14" t="s">
        <v>6012</v>
      </c>
      <c r="L4869" s="14">
        <v>0.0</v>
      </c>
    </row>
    <row r="4870">
      <c r="A4870" s="14">
        <v>259.0</v>
      </c>
      <c r="B4870" s="14">
        <v>1.0</v>
      </c>
      <c r="C4870" s="34">
        <v>11.97</v>
      </c>
      <c r="D4870" s="36">
        <v>45211.0</v>
      </c>
      <c r="E4870" s="24"/>
      <c r="F4870" s="14">
        <v>11.97</v>
      </c>
      <c r="G4870" s="14">
        <v>46.22</v>
      </c>
      <c r="H4870" s="14">
        <v>0.39</v>
      </c>
      <c r="I4870" s="14" t="s">
        <v>6062</v>
      </c>
      <c r="J4870" s="14">
        <v>0.0</v>
      </c>
      <c r="K4870" s="14" t="s">
        <v>6012</v>
      </c>
      <c r="L4870" s="14">
        <v>0.0</v>
      </c>
    </row>
    <row r="4871">
      <c r="A4871" s="14">
        <v>23.0</v>
      </c>
      <c r="B4871" s="14">
        <v>0.0</v>
      </c>
      <c r="C4871" s="34">
        <v>12.16</v>
      </c>
      <c r="D4871" s="36">
        <v>45211.0</v>
      </c>
      <c r="E4871" s="24"/>
      <c r="F4871" s="14" t="s">
        <v>6012</v>
      </c>
      <c r="G4871" s="14">
        <v>528.7</v>
      </c>
      <c r="H4871" s="14">
        <v>0.0</v>
      </c>
      <c r="I4871" s="14" t="s">
        <v>6059</v>
      </c>
      <c r="J4871" s="14" t="s">
        <v>6012</v>
      </c>
      <c r="K4871" s="14" t="s">
        <v>6012</v>
      </c>
      <c r="L4871" s="14">
        <v>0.0</v>
      </c>
    </row>
    <row r="4872">
      <c r="A4872" s="14">
        <v>62.0</v>
      </c>
      <c r="B4872" s="14">
        <v>0.0</v>
      </c>
      <c r="C4872" s="34">
        <v>13.81</v>
      </c>
      <c r="D4872" s="36">
        <v>45211.0</v>
      </c>
      <c r="E4872" s="24"/>
      <c r="F4872" s="14" t="s">
        <v>6012</v>
      </c>
      <c r="G4872" s="14">
        <v>222.74</v>
      </c>
      <c r="H4872" s="14">
        <v>0.0</v>
      </c>
      <c r="I4872" s="14" t="s">
        <v>6042</v>
      </c>
      <c r="J4872" s="14" t="s">
        <v>6012</v>
      </c>
      <c r="K4872" s="14" t="s">
        <v>6012</v>
      </c>
      <c r="L4872" s="14">
        <v>0.0</v>
      </c>
    </row>
    <row r="4873">
      <c r="A4873" s="14">
        <v>3.0</v>
      </c>
      <c r="B4873" s="14">
        <v>2.0</v>
      </c>
      <c r="C4873" s="34">
        <v>2.25</v>
      </c>
      <c r="D4873" s="36">
        <v>45211.0</v>
      </c>
      <c r="E4873" s="24"/>
      <c r="F4873" s="14">
        <v>1.12</v>
      </c>
      <c r="G4873" s="14">
        <v>750.0</v>
      </c>
      <c r="H4873" s="14">
        <v>66.67</v>
      </c>
      <c r="I4873" s="14" t="s">
        <v>6064</v>
      </c>
      <c r="J4873" s="14">
        <v>0.0</v>
      </c>
      <c r="K4873" s="14" t="s">
        <v>6012</v>
      </c>
      <c r="L4873" s="14">
        <v>0.0</v>
      </c>
    </row>
    <row r="4874">
      <c r="A4874" s="14">
        <v>69.0</v>
      </c>
      <c r="B4874" s="14">
        <v>0.0</v>
      </c>
      <c r="C4874" s="34">
        <v>12.52</v>
      </c>
      <c r="D4874" s="36">
        <v>45211.0</v>
      </c>
      <c r="E4874" s="24"/>
      <c r="F4874" s="14" t="s">
        <v>6012</v>
      </c>
      <c r="G4874" s="14">
        <v>181.45</v>
      </c>
      <c r="H4874" s="14">
        <v>0.0</v>
      </c>
      <c r="I4874" s="14" t="s">
        <v>6061</v>
      </c>
      <c r="J4874" s="14" t="s">
        <v>6012</v>
      </c>
      <c r="K4874" s="14">
        <v>12.52</v>
      </c>
      <c r="L4874" s="14">
        <v>0.0</v>
      </c>
    </row>
    <row r="4875">
      <c r="A4875" s="14">
        <v>32.0</v>
      </c>
      <c r="B4875" s="14">
        <v>0.0</v>
      </c>
      <c r="C4875" s="34">
        <v>10.67</v>
      </c>
      <c r="D4875" s="36">
        <v>45211.0</v>
      </c>
      <c r="E4875" s="24"/>
      <c r="F4875" s="14" t="s">
        <v>6012</v>
      </c>
      <c r="G4875" s="14">
        <v>333.44</v>
      </c>
      <c r="H4875" s="14">
        <v>0.0</v>
      </c>
      <c r="I4875" s="14" t="s">
        <v>6058</v>
      </c>
      <c r="J4875" s="14" t="s">
        <v>6012</v>
      </c>
      <c r="K4875" s="14" t="s">
        <v>6012</v>
      </c>
      <c r="L4875" s="14">
        <v>0.0</v>
      </c>
    </row>
    <row r="4876">
      <c r="A4876" s="14">
        <v>29.0</v>
      </c>
      <c r="B4876" s="14">
        <v>0.0</v>
      </c>
      <c r="C4876" s="34">
        <v>11.37</v>
      </c>
      <c r="D4876" s="36">
        <v>45211.0</v>
      </c>
      <c r="E4876" s="24"/>
      <c r="F4876" s="14" t="s">
        <v>6012</v>
      </c>
      <c r="G4876" s="14">
        <v>392.07</v>
      </c>
      <c r="H4876" s="14">
        <v>0.0</v>
      </c>
      <c r="I4876" s="14" t="s">
        <v>6057</v>
      </c>
      <c r="J4876" s="14" t="s">
        <v>6012</v>
      </c>
      <c r="K4876" s="14" t="s">
        <v>6012</v>
      </c>
      <c r="L4876" s="14">
        <v>0.0</v>
      </c>
    </row>
    <row r="4877">
      <c r="A4877" s="14">
        <v>886.0</v>
      </c>
      <c r="B4877" s="14">
        <v>5.0</v>
      </c>
      <c r="C4877" s="34">
        <v>11.88</v>
      </c>
      <c r="D4877" s="36">
        <v>45211.0</v>
      </c>
      <c r="E4877" s="24"/>
      <c r="F4877" s="14">
        <v>2.38</v>
      </c>
      <c r="G4877" s="14">
        <v>13.41</v>
      </c>
      <c r="H4877" s="14">
        <v>0.56</v>
      </c>
      <c r="I4877" s="14" t="s">
        <v>6050</v>
      </c>
      <c r="J4877" s="14">
        <v>0.0</v>
      </c>
      <c r="K4877" s="14" t="s">
        <v>6012</v>
      </c>
      <c r="L4877" s="14">
        <v>0.0</v>
      </c>
    </row>
    <row r="4878">
      <c r="A4878" s="14">
        <v>606.0</v>
      </c>
      <c r="B4878" s="14">
        <v>5.0</v>
      </c>
      <c r="C4878" s="34">
        <v>12.3</v>
      </c>
      <c r="D4878" s="36">
        <v>45211.0</v>
      </c>
      <c r="E4878" s="24"/>
      <c r="F4878" s="14">
        <v>2.46</v>
      </c>
      <c r="G4878" s="14">
        <v>20.3</v>
      </c>
      <c r="H4878" s="14">
        <v>0.83</v>
      </c>
      <c r="I4878" s="14" t="s">
        <v>6051</v>
      </c>
      <c r="J4878" s="14">
        <v>0.0</v>
      </c>
      <c r="K4878" s="14" t="s">
        <v>6012</v>
      </c>
      <c r="L4878" s="14">
        <v>0.0</v>
      </c>
    </row>
    <row r="4879">
      <c r="A4879" s="14">
        <v>124.0</v>
      </c>
      <c r="B4879" s="14">
        <v>0.0</v>
      </c>
      <c r="C4879" s="34">
        <v>11.96</v>
      </c>
      <c r="D4879" s="36">
        <v>45211.0</v>
      </c>
      <c r="E4879" s="24"/>
      <c r="F4879" s="14" t="s">
        <v>6012</v>
      </c>
      <c r="G4879" s="14">
        <v>96.45</v>
      </c>
      <c r="H4879" s="14">
        <v>0.0</v>
      </c>
      <c r="I4879" s="14" t="s">
        <v>6060</v>
      </c>
      <c r="J4879" s="14" t="s">
        <v>6012</v>
      </c>
      <c r="K4879" s="14" t="s">
        <v>6012</v>
      </c>
      <c r="L4879" s="14">
        <v>0.0</v>
      </c>
    </row>
    <row r="4880">
      <c r="A4880" s="14">
        <v>18.0</v>
      </c>
      <c r="B4880" s="14">
        <v>1.0</v>
      </c>
      <c r="C4880" s="34">
        <v>10.82</v>
      </c>
      <c r="D4880" s="36">
        <v>45212.0</v>
      </c>
      <c r="E4880" s="24"/>
      <c r="F4880" s="14">
        <v>10.82</v>
      </c>
      <c r="G4880" s="14">
        <v>601.11</v>
      </c>
      <c r="H4880" s="14">
        <v>5.56</v>
      </c>
      <c r="I4880" s="14" t="s">
        <v>6059</v>
      </c>
      <c r="J4880" s="14">
        <v>0.0</v>
      </c>
      <c r="K4880" s="14" t="s">
        <v>6012</v>
      </c>
      <c r="L4880" s="14">
        <v>0.0</v>
      </c>
    </row>
    <row r="4881">
      <c r="A4881" s="14">
        <v>656.0</v>
      </c>
      <c r="B4881" s="14">
        <v>2.0</v>
      </c>
      <c r="C4881" s="34">
        <v>10.96</v>
      </c>
      <c r="D4881" s="36">
        <v>45212.0</v>
      </c>
      <c r="E4881" s="24"/>
      <c r="F4881" s="14">
        <v>5.48</v>
      </c>
      <c r="G4881" s="14">
        <v>16.71</v>
      </c>
      <c r="H4881" s="14">
        <v>0.3</v>
      </c>
      <c r="I4881" s="14" t="s">
        <v>6051</v>
      </c>
      <c r="J4881" s="14">
        <v>0.0</v>
      </c>
      <c r="K4881" s="14" t="s">
        <v>6012</v>
      </c>
      <c r="L4881" s="14">
        <v>0.0</v>
      </c>
    </row>
    <row r="4882">
      <c r="A4882" s="14">
        <v>72.0</v>
      </c>
      <c r="B4882" s="14">
        <v>0.0</v>
      </c>
      <c r="C4882" s="34">
        <v>11.96</v>
      </c>
      <c r="D4882" s="36">
        <v>45212.0</v>
      </c>
      <c r="E4882" s="24"/>
      <c r="F4882" s="14" t="s">
        <v>6012</v>
      </c>
      <c r="G4882" s="14">
        <v>166.11</v>
      </c>
      <c r="H4882" s="14">
        <v>0.0</v>
      </c>
      <c r="I4882" s="14" t="s">
        <v>6042</v>
      </c>
      <c r="J4882" s="14" t="s">
        <v>6012</v>
      </c>
      <c r="K4882" s="14" t="s">
        <v>6012</v>
      </c>
      <c r="L4882" s="14">
        <v>0.0</v>
      </c>
    </row>
    <row r="4883">
      <c r="A4883" s="14">
        <v>23.0</v>
      </c>
      <c r="B4883" s="14">
        <v>0.0</v>
      </c>
      <c r="C4883" s="34">
        <v>11.95</v>
      </c>
      <c r="D4883" s="36">
        <v>45212.0</v>
      </c>
      <c r="E4883" s="24"/>
      <c r="F4883" s="14" t="s">
        <v>6012</v>
      </c>
      <c r="G4883" s="14">
        <v>519.57</v>
      </c>
      <c r="H4883" s="14">
        <v>0.0</v>
      </c>
      <c r="I4883" s="14" t="s">
        <v>6057</v>
      </c>
      <c r="J4883" s="14" t="s">
        <v>6012</v>
      </c>
      <c r="K4883" s="14" t="s">
        <v>6012</v>
      </c>
      <c r="L4883" s="14">
        <v>0.0</v>
      </c>
    </row>
    <row r="4884">
      <c r="A4884" s="14">
        <v>841.0</v>
      </c>
      <c r="B4884" s="14">
        <v>5.0</v>
      </c>
      <c r="C4884" s="34">
        <v>10.84</v>
      </c>
      <c r="D4884" s="36">
        <v>45212.0</v>
      </c>
      <c r="E4884" s="24"/>
      <c r="F4884" s="14">
        <v>2.17</v>
      </c>
      <c r="G4884" s="14">
        <v>12.89</v>
      </c>
      <c r="H4884" s="14">
        <v>0.59</v>
      </c>
      <c r="I4884" s="14" t="s">
        <v>6050</v>
      </c>
      <c r="J4884" s="14">
        <v>0.0</v>
      </c>
      <c r="K4884" s="14" t="s">
        <v>6012</v>
      </c>
      <c r="L4884" s="14">
        <v>0.0</v>
      </c>
    </row>
    <row r="4885">
      <c r="A4885" s="14">
        <v>50.0</v>
      </c>
      <c r="B4885" s="14">
        <v>0.0</v>
      </c>
      <c r="C4885" s="34">
        <v>13.02</v>
      </c>
      <c r="D4885" s="36">
        <v>45212.0</v>
      </c>
      <c r="E4885" s="24"/>
      <c r="F4885" s="14" t="s">
        <v>6012</v>
      </c>
      <c r="G4885" s="14">
        <v>260.4</v>
      </c>
      <c r="H4885" s="14">
        <v>0.0</v>
      </c>
      <c r="I4885" s="14" t="s">
        <v>6062</v>
      </c>
      <c r="J4885" s="14" t="s">
        <v>6012</v>
      </c>
      <c r="K4885" s="14" t="s">
        <v>6012</v>
      </c>
      <c r="L4885" s="14">
        <v>0.0</v>
      </c>
    </row>
    <row r="4886">
      <c r="A4886" s="14">
        <v>3.0</v>
      </c>
      <c r="B4886" s="14">
        <v>1.0</v>
      </c>
      <c r="C4886" s="34">
        <v>2.25</v>
      </c>
      <c r="D4886" s="36">
        <v>45212.0</v>
      </c>
      <c r="E4886" s="24"/>
      <c r="F4886" s="14">
        <v>2.25</v>
      </c>
      <c r="G4886" s="14">
        <v>750.0</v>
      </c>
      <c r="H4886" s="14">
        <v>33.33</v>
      </c>
      <c r="I4886" s="14" t="s">
        <v>6064</v>
      </c>
      <c r="J4886" s="14">
        <v>0.0</v>
      </c>
      <c r="K4886" s="14" t="s">
        <v>6012</v>
      </c>
      <c r="L4886" s="14">
        <v>0.0</v>
      </c>
    </row>
    <row r="4887">
      <c r="A4887" s="14">
        <v>76.0</v>
      </c>
      <c r="B4887" s="14">
        <v>0.0</v>
      </c>
      <c r="C4887" s="34">
        <v>10.9</v>
      </c>
      <c r="D4887" s="36">
        <v>45212.0</v>
      </c>
      <c r="E4887" s="24"/>
      <c r="F4887" s="14" t="s">
        <v>6012</v>
      </c>
      <c r="G4887" s="14">
        <v>143.42</v>
      </c>
      <c r="H4887" s="14">
        <v>0.0</v>
      </c>
      <c r="I4887" s="14" t="s">
        <v>6063</v>
      </c>
      <c r="J4887" s="14" t="s">
        <v>6012</v>
      </c>
      <c r="K4887" s="14">
        <v>10.9</v>
      </c>
      <c r="L4887" s="14">
        <v>0.0</v>
      </c>
    </row>
    <row r="4888">
      <c r="A4888" s="14">
        <v>37.0</v>
      </c>
      <c r="B4888" s="14">
        <v>0.0</v>
      </c>
      <c r="C4888" s="34">
        <v>12.9</v>
      </c>
      <c r="D4888" s="36">
        <v>45212.0</v>
      </c>
      <c r="E4888" s="24"/>
      <c r="F4888" s="14" t="s">
        <v>6012</v>
      </c>
      <c r="G4888" s="14">
        <v>348.65</v>
      </c>
      <c r="H4888" s="14">
        <v>0.0</v>
      </c>
      <c r="I4888" s="14" t="s">
        <v>6061</v>
      </c>
      <c r="J4888" s="14" t="s">
        <v>6012</v>
      </c>
      <c r="K4888" s="14" t="s">
        <v>6012</v>
      </c>
      <c r="L4888" s="14">
        <v>0.0</v>
      </c>
    </row>
    <row r="4889">
      <c r="A4889" s="14">
        <v>445.0</v>
      </c>
      <c r="B4889" s="14">
        <v>2.0</v>
      </c>
      <c r="C4889" s="34">
        <v>11.13</v>
      </c>
      <c r="D4889" s="36">
        <v>45212.0</v>
      </c>
      <c r="E4889" s="24"/>
      <c r="F4889" s="14">
        <v>5.56</v>
      </c>
      <c r="G4889" s="14">
        <v>25.01</v>
      </c>
      <c r="H4889" s="14">
        <v>0.45</v>
      </c>
      <c r="I4889" s="14" t="s">
        <v>6060</v>
      </c>
      <c r="J4889" s="14">
        <v>0.0</v>
      </c>
      <c r="K4889" s="14" t="s">
        <v>6012</v>
      </c>
      <c r="L4889" s="14">
        <v>0.0</v>
      </c>
    </row>
    <row r="4890">
      <c r="A4890" s="14">
        <v>50.0</v>
      </c>
      <c r="B4890" s="14">
        <v>0.0</v>
      </c>
      <c r="C4890" s="34">
        <v>10.96</v>
      </c>
      <c r="D4890" s="36">
        <v>45212.0</v>
      </c>
      <c r="E4890" s="24"/>
      <c r="F4890" s="14" t="s">
        <v>6012</v>
      </c>
      <c r="G4890" s="14">
        <v>219.2</v>
      </c>
      <c r="H4890" s="14">
        <v>0.0</v>
      </c>
      <c r="I4890" s="14" t="s">
        <v>6058</v>
      </c>
      <c r="J4890" s="14" t="s">
        <v>6012</v>
      </c>
      <c r="K4890" s="14" t="s">
        <v>6012</v>
      </c>
      <c r="L4890" s="14">
        <v>0.0</v>
      </c>
    </row>
    <row r="4891">
      <c r="A4891" s="14">
        <v>18.0</v>
      </c>
      <c r="B4891" s="14">
        <v>0.0</v>
      </c>
      <c r="C4891" s="34">
        <v>8.98</v>
      </c>
      <c r="D4891" s="36">
        <v>45213.0</v>
      </c>
      <c r="E4891" s="24"/>
      <c r="F4891" s="14" t="s">
        <v>6012</v>
      </c>
      <c r="G4891" s="14">
        <v>498.89</v>
      </c>
      <c r="H4891" s="14">
        <v>0.0</v>
      </c>
      <c r="I4891" s="14" t="s">
        <v>6058</v>
      </c>
      <c r="J4891" s="14" t="s">
        <v>6012</v>
      </c>
      <c r="K4891" s="14" t="s">
        <v>6012</v>
      </c>
      <c r="L4891" s="14">
        <v>0.0</v>
      </c>
    </row>
    <row r="4892">
      <c r="A4892" s="14">
        <v>14.0</v>
      </c>
      <c r="B4892" s="14">
        <v>0.0</v>
      </c>
      <c r="C4892" s="34">
        <v>7.53</v>
      </c>
      <c r="D4892" s="36">
        <v>45213.0</v>
      </c>
      <c r="E4892" s="24"/>
      <c r="F4892" s="14" t="s">
        <v>6012</v>
      </c>
      <c r="G4892" s="14">
        <v>537.86</v>
      </c>
      <c r="H4892" s="14">
        <v>0.0</v>
      </c>
      <c r="I4892" s="14" t="s">
        <v>6042</v>
      </c>
      <c r="J4892" s="14" t="s">
        <v>6012</v>
      </c>
      <c r="K4892" s="14" t="s">
        <v>6012</v>
      </c>
      <c r="L4892" s="14">
        <v>0.0</v>
      </c>
    </row>
    <row r="4893">
      <c r="A4893" s="14">
        <v>404.0</v>
      </c>
      <c r="B4893" s="14">
        <v>5.0</v>
      </c>
      <c r="C4893" s="34">
        <v>6.62</v>
      </c>
      <c r="D4893" s="36">
        <v>45213.0</v>
      </c>
      <c r="E4893" s="24"/>
      <c r="F4893" s="14">
        <v>1.32</v>
      </c>
      <c r="G4893" s="14">
        <v>16.39</v>
      </c>
      <c r="H4893" s="14">
        <v>1.24</v>
      </c>
      <c r="I4893" s="14" t="s">
        <v>6050</v>
      </c>
      <c r="J4893" s="14">
        <v>40.0</v>
      </c>
      <c r="K4893" s="14">
        <v>3.31</v>
      </c>
      <c r="L4893" s="14">
        <v>0.0</v>
      </c>
    </row>
    <row r="4894">
      <c r="A4894" s="14">
        <v>58.0</v>
      </c>
      <c r="B4894" s="14">
        <v>1.0</v>
      </c>
      <c r="C4894" s="34">
        <v>6.32</v>
      </c>
      <c r="D4894" s="36">
        <v>45213.0</v>
      </c>
      <c r="E4894" s="24"/>
      <c r="F4894" s="14">
        <v>6.32</v>
      </c>
      <c r="G4894" s="14">
        <v>108.97</v>
      </c>
      <c r="H4894" s="14">
        <v>1.72</v>
      </c>
      <c r="I4894" s="14" t="s">
        <v>6060</v>
      </c>
      <c r="J4894" s="14">
        <v>200.0</v>
      </c>
      <c r="K4894" s="14">
        <v>3.16</v>
      </c>
      <c r="L4894" s="14">
        <v>0.0</v>
      </c>
    </row>
    <row r="4895">
      <c r="A4895" s="14">
        <v>19.0</v>
      </c>
      <c r="B4895" s="14">
        <v>0.0</v>
      </c>
      <c r="C4895" s="34">
        <v>8.8</v>
      </c>
      <c r="D4895" s="36">
        <v>45213.0</v>
      </c>
      <c r="E4895" s="24"/>
      <c r="F4895" s="14" t="s">
        <v>6012</v>
      </c>
      <c r="G4895" s="14">
        <v>463.16</v>
      </c>
      <c r="H4895" s="14">
        <v>0.0</v>
      </c>
      <c r="I4895" s="14" t="s">
        <v>6057</v>
      </c>
      <c r="J4895" s="14" t="s">
        <v>6012</v>
      </c>
      <c r="K4895" s="14" t="s">
        <v>6012</v>
      </c>
      <c r="L4895" s="14">
        <v>0.0</v>
      </c>
    </row>
    <row r="4896">
      <c r="A4896" s="14">
        <v>305.0</v>
      </c>
      <c r="B4896" s="14">
        <v>3.0</v>
      </c>
      <c r="C4896" s="34">
        <v>4.52</v>
      </c>
      <c r="D4896" s="36">
        <v>45213.0</v>
      </c>
      <c r="E4896" s="24"/>
      <c r="F4896" s="14">
        <v>1.51</v>
      </c>
      <c r="G4896" s="14">
        <v>14.82</v>
      </c>
      <c r="H4896" s="14">
        <v>0.98</v>
      </c>
      <c r="I4896" s="14" t="s">
        <v>6062</v>
      </c>
      <c r="J4896" s="14">
        <v>66.67</v>
      </c>
      <c r="K4896" s="14">
        <v>2.26</v>
      </c>
      <c r="L4896" s="14">
        <v>0.0</v>
      </c>
    </row>
    <row r="4897">
      <c r="A4897" s="14">
        <v>15.0</v>
      </c>
      <c r="B4897" s="14">
        <v>0.0</v>
      </c>
      <c r="C4897" s="34">
        <v>5.81</v>
      </c>
      <c r="D4897" s="36">
        <v>45213.0</v>
      </c>
      <c r="E4897" s="24"/>
      <c r="F4897" s="14" t="s">
        <v>6012</v>
      </c>
      <c r="G4897" s="14">
        <v>387.33</v>
      </c>
      <c r="H4897" s="14">
        <v>0.0</v>
      </c>
      <c r="I4897" s="14" t="s">
        <v>6063</v>
      </c>
      <c r="J4897" s="14" t="s">
        <v>6012</v>
      </c>
      <c r="K4897" s="14" t="s">
        <v>6012</v>
      </c>
      <c r="L4897" s="14">
        <v>0.0</v>
      </c>
    </row>
    <row r="4898">
      <c r="A4898" s="14">
        <v>14.0</v>
      </c>
      <c r="B4898" s="14">
        <v>0.0</v>
      </c>
      <c r="C4898" s="34">
        <v>6.07</v>
      </c>
      <c r="D4898" s="36">
        <v>45213.0</v>
      </c>
      <c r="E4898" s="24"/>
      <c r="F4898" s="14" t="s">
        <v>6012</v>
      </c>
      <c r="G4898" s="14">
        <v>433.57</v>
      </c>
      <c r="H4898" s="14">
        <v>0.0</v>
      </c>
      <c r="I4898" s="14" t="s">
        <v>6061</v>
      </c>
      <c r="J4898" s="14" t="s">
        <v>6012</v>
      </c>
      <c r="K4898" s="14" t="s">
        <v>6012</v>
      </c>
      <c r="L4898" s="14">
        <v>0.0</v>
      </c>
    </row>
    <row r="4899">
      <c r="A4899" s="14">
        <v>281.0</v>
      </c>
      <c r="B4899" s="14">
        <v>5.0</v>
      </c>
      <c r="C4899" s="34">
        <v>6.14</v>
      </c>
      <c r="D4899" s="36">
        <v>45213.0</v>
      </c>
      <c r="E4899" s="24"/>
      <c r="F4899" s="14">
        <v>1.23</v>
      </c>
      <c r="G4899" s="14">
        <v>21.85</v>
      </c>
      <c r="H4899" s="14">
        <v>1.78</v>
      </c>
      <c r="I4899" s="14" t="s">
        <v>6051</v>
      </c>
      <c r="J4899" s="14">
        <v>0.0</v>
      </c>
      <c r="K4899" s="14" t="s">
        <v>6012</v>
      </c>
      <c r="L4899" s="14">
        <v>0.0</v>
      </c>
    </row>
    <row r="4900">
      <c r="A4900" s="14">
        <v>14.0</v>
      </c>
      <c r="B4900" s="14">
        <v>0.0</v>
      </c>
      <c r="C4900" s="34">
        <v>4.45</v>
      </c>
      <c r="D4900" s="36">
        <v>45213.0</v>
      </c>
      <c r="E4900" s="24"/>
      <c r="F4900" s="14" t="s">
        <v>6012</v>
      </c>
      <c r="G4900" s="14">
        <v>317.86</v>
      </c>
      <c r="H4900" s="14">
        <v>0.0</v>
      </c>
      <c r="I4900" s="14" t="s">
        <v>6059</v>
      </c>
      <c r="J4900" s="14" t="s">
        <v>6012</v>
      </c>
      <c r="K4900" s="14" t="s">
        <v>6012</v>
      </c>
      <c r="L4900" s="14">
        <v>0.0</v>
      </c>
    </row>
    <row r="4901">
      <c r="A4901" s="14">
        <v>2.0</v>
      </c>
      <c r="B4901" s="14">
        <v>1.0</v>
      </c>
      <c r="C4901" s="34">
        <v>1.5</v>
      </c>
      <c r="D4901" s="36">
        <v>45213.0</v>
      </c>
      <c r="E4901" s="24"/>
      <c r="F4901" s="14">
        <v>1.5</v>
      </c>
      <c r="G4901" s="14">
        <v>750.0</v>
      </c>
      <c r="H4901" s="14">
        <v>50.0</v>
      </c>
      <c r="I4901" s="14" t="s">
        <v>6064</v>
      </c>
      <c r="J4901" s="14">
        <v>0.0</v>
      </c>
      <c r="K4901" s="14" t="s">
        <v>6012</v>
      </c>
      <c r="L4901" s="14">
        <v>0.0</v>
      </c>
    </row>
    <row r="4902">
      <c r="A4902" s="14">
        <v>10.0</v>
      </c>
      <c r="B4902" s="14">
        <v>0.0</v>
      </c>
      <c r="C4902" s="34">
        <v>3.51</v>
      </c>
      <c r="D4902" s="36">
        <v>45214.0</v>
      </c>
      <c r="E4902" s="24"/>
      <c r="F4902" s="14" t="s">
        <v>6012</v>
      </c>
      <c r="G4902" s="14">
        <v>351.0</v>
      </c>
      <c r="H4902" s="14">
        <v>0.0</v>
      </c>
      <c r="I4902" s="14" t="s">
        <v>6063</v>
      </c>
      <c r="J4902" s="14" t="s">
        <v>6012</v>
      </c>
      <c r="K4902" s="14" t="s">
        <v>6012</v>
      </c>
      <c r="L4902" s="14">
        <v>0.0</v>
      </c>
    </row>
    <row r="4903">
      <c r="A4903" s="14">
        <v>10.0</v>
      </c>
      <c r="B4903" s="14">
        <v>1.0</v>
      </c>
      <c r="C4903" s="34">
        <v>2.26</v>
      </c>
      <c r="D4903" s="36">
        <v>45214.0</v>
      </c>
      <c r="E4903" s="24"/>
      <c r="F4903" s="14">
        <v>2.26</v>
      </c>
      <c r="G4903" s="14">
        <v>226.0</v>
      </c>
      <c r="H4903" s="14">
        <v>10.0</v>
      </c>
      <c r="I4903" s="14" t="s">
        <v>6059</v>
      </c>
      <c r="J4903" s="14">
        <v>0.0</v>
      </c>
      <c r="K4903" s="14" t="s">
        <v>6012</v>
      </c>
      <c r="L4903" s="14">
        <v>0.0</v>
      </c>
    </row>
    <row r="4904">
      <c r="A4904" s="14">
        <v>41.0</v>
      </c>
      <c r="B4904" s="14">
        <v>0.0</v>
      </c>
      <c r="C4904" s="34">
        <v>1.42</v>
      </c>
      <c r="D4904" s="36">
        <v>45214.0</v>
      </c>
      <c r="E4904" s="24"/>
      <c r="F4904" s="14" t="s">
        <v>6012</v>
      </c>
      <c r="G4904" s="14">
        <v>34.63</v>
      </c>
      <c r="H4904" s="14">
        <v>0.0</v>
      </c>
      <c r="I4904" s="14" t="s">
        <v>6058</v>
      </c>
      <c r="J4904" s="14" t="s">
        <v>6012</v>
      </c>
      <c r="K4904" s="14" t="s">
        <v>6012</v>
      </c>
      <c r="L4904" s="14">
        <v>0.0</v>
      </c>
    </row>
    <row r="4905">
      <c r="A4905" s="14">
        <v>61.0</v>
      </c>
      <c r="B4905" s="14">
        <v>0.0</v>
      </c>
      <c r="C4905" s="34">
        <v>2.97</v>
      </c>
      <c r="D4905" s="36">
        <v>45214.0</v>
      </c>
      <c r="E4905" s="24"/>
      <c r="F4905" s="14" t="s">
        <v>6012</v>
      </c>
      <c r="G4905" s="14">
        <v>48.69</v>
      </c>
      <c r="H4905" s="14">
        <v>0.0</v>
      </c>
      <c r="I4905" s="14" t="s">
        <v>6042</v>
      </c>
      <c r="J4905" s="14" t="s">
        <v>6012</v>
      </c>
      <c r="K4905" s="14" t="s">
        <v>6012</v>
      </c>
      <c r="L4905" s="14">
        <v>0.0</v>
      </c>
    </row>
    <row r="4906">
      <c r="A4906" s="14">
        <v>482.0</v>
      </c>
      <c r="B4906" s="14">
        <v>4.0</v>
      </c>
      <c r="C4906" s="34">
        <v>6.08</v>
      </c>
      <c r="D4906" s="36">
        <v>45214.0</v>
      </c>
      <c r="E4906" s="24"/>
      <c r="F4906" s="14">
        <v>1.52</v>
      </c>
      <c r="G4906" s="14">
        <v>12.61</v>
      </c>
      <c r="H4906" s="14">
        <v>0.83</v>
      </c>
      <c r="I4906" s="14" t="s">
        <v>6050</v>
      </c>
      <c r="J4906" s="14">
        <v>0.0</v>
      </c>
      <c r="K4906" s="14" t="s">
        <v>6012</v>
      </c>
      <c r="L4906" s="14">
        <v>0.0</v>
      </c>
    </row>
    <row r="4907">
      <c r="A4907" s="14">
        <v>54.0</v>
      </c>
      <c r="B4907" s="14">
        <v>0.0</v>
      </c>
      <c r="C4907" s="34">
        <v>4.28</v>
      </c>
      <c r="D4907" s="36">
        <v>45214.0</v>
      </c>
      <c r="E4907" s="24"/>
      <c r="F4907" s="14" t="s">
        <v>6012</v>
      </c>
      <c r="G4907" s="14">
        <v>79.26</v>
      </c>
      <c r="H4907" s="14">
        <v>0.0</v>
      </c>
      <c r="I4907" s="14" t="s">
        <v>6062</v>
      </c>
      <c r="J4907" s="14" t="s">
        <v>6012</v>
      </c>
      <c r="K4907" s="14" t="s">
        <v>6012</v>
      </c>
      <c r="L4907" s="14">
        <v>0.0</v>
      </c>
    </row>
    <row r="4908">
      <c r="A4908" s="14">
        <v>235.0</v>
      </c>
      <c r="B4908" s="14">
        <v>7.0</v>
      </c>
      <c r="C4908" s="34">
        <v>5.4</v>
      </c>
      <c r="D4908" s="36">
        <v>45214.0</v>
      </c>
      <c r="E4908" s="24"/>
      <c r="F4908" s="14">
        <v>0.77</v>
      </c>
      <c r="G4908" s="14">
        <v>22.98</v>
      </c>
      <c r="H4908" s="14">
        <v>2.98</v>
      </c>
      <c r="I4908" s="14" t="s">
        <v>6051</v>
      </c>
      <c r="J4908" s="14">
        <v>0.0</v>
      </c>
      <c r="K4908" s="14" t="s">
        <v>6012</v>
      </c>
      <c r="L4908" s="14">
        <v>0.0</v>
      </c>
    </row>
    <row r="4909">
      <c r="A4909" s="14">
        <v>2.0</v>
      </c>
      <c r="B4909" s="14">
        <v>1.0</v>
      </c>
      <c r="C4909" s="34">
        <v>1.5</v>
      </c>
      <c r="D4909" s="36">
        <v>45214.0</v>
      </c>
      <c r="E4909" s="24"/>
      <c r="F4909" s="14">
        <v>1.5</v>
      </c>
      <c r="G4909" s="14">
        <v>750.0</v>
      </c>
      <c r="H4909" s="14">
        <v>50.0</v>
      </c>
      <c r="I4909" s="14" t="s">
        <v>6064</v>
      </c>
      <c r="J4909" s="14">
        <v>0.0</v>
      </c>
      <c r="K4909" s="14" t="s">
        <v>6012</v>
      </c>
      <c r="L4909" s="14">
        <v>0.0</v>
      </c>
    </row>
    <row r="4910">
      <c r="A4910" s="14">
        <v>45.0</v>
      </c>
      <c r="B4910" s="14">
        <v>0.0</v>
      </c>
      <c r="C4910" s="34">
        <v>5.12</v>
      </c>
      <c r="D4910" s="36">
        <v>45214.0</v>
      </c>
      <c r="E4910" s="24"/>
      <c r="F4910" s="14" t="s">
        <v>6012</v>
      </c>
      <c r="G4910" s="14">
        <v>113.78</v>
      </c>
      <c r="H4910" s="14">
        <v>0.0</v>
      </c>
      <c r="I4910" s="14" t="s">
        <v>6060</v>
      </c>
      <c r="J4910" s="14" t="s">
        <v>6012</v>
      </c>
      <c r="K4910" s="14" t="s">
        <v>6012</v>
      </c>
      <c r="L4910" s="14">
        <v>0.0</v>
      </c>
    </row>
    <row r="4911">
      <c r="A4911" s="14">
        <v>45.0</v>
      </c>
      <c r="B4911" s="14">
        <v>1.0</v>
      </c>
      <c r="C4911" s="34">
        <v>13.74</v>
      </c>
      <c r="D4911" s="36">
        <v>45215.0</v>
      </c>
      <c r="E4911" s="24"/>
      <c r="F4911" s="14">
        <v>13.74</v>
      </c>
      <c r="G4911" s="14">
        <v>305.33</v>
      </c>
      <c r="H4911" s="14">
        <v>2.22</v>
      </c>
      <c r="I4911" s="14" t="s">
        <v>6061</v>
      </c>
      <c r="J4911" s="14">
        <v>0.0</v>
      </c>
      <c r="K4911" s="14" t="s">
        <v>6012</v>
      </c>
      <c r="L4911" s="14">
        <v>0.0</v>
      </c>
    </row>
    <row r="4912">
      <c r="A4912" s="14">
        <v>866.0</v>
      </c>
      <c r="B4912" s="14">
        <v>7.0</v>
      </c>
      <c r="C4912" s="34">
        <v>11.11</v>
      </c>
      <c r="D4912" s="36">
        <v>45215.0</v>
      </c>
      <c r="E4912" s="24"/>
      <c r="F4912" s="14">
        <v>1.59</v>
      </c>
      <c r="G4912" s="14">
        <v>12.83</v>
      </c>
      <c r="H4912" s="14">
        <v>0.81</v>
      </c>
      <c r="I4912" s="14" t="s">
        <v>6050</v>
      </c>
      <c r="J4912" s="14">
        <v>0.0</v>
      </c>
      <c r="K4912" s="14" t="s">
        <v>6012</v>
      </c>
      <c r="L4912" s="14">
        <v>0.0</v>
      </c>
    </row>
    <row r="4913">
      <c r="A4913" s="14">
        <v>84.0</v>
      </c>
      <c r="B4913" s="14">
        <v>0.0</v>
      </c>
      <c r="C4913" s="34">
        <v>11.82</v>
      </c>
      <c r="D4913" s="36">
        <v>45215.0</v>
      </c>
      <c r="E4913" s="24"/>
      <c r="F4913" s="14" t="s">
        <v>6012</v>
      </c>
      <c r="G4913" s="14">
        <v>140.71</v>
      </c>
      <c r="H4913" s="14">
        <v>0.0</v>
      </c>
      <c r="I4913" s="14" t="s">
        <v>6058</v>
      </c>
      <c r="J4913" s="14" t="s">
        <v>6012</v>
      </c>
      <c r="K4913" s="14" t="s">
        <v>6012</v>
      </c>
      <c r="L4913" s="14">
        <v>0.0</v>
      </c>
    </row>
    <row r="4914">
      <c r="A4914" s="14">
        <v>363.0</v>
      </c>
      <c r="B4914" s="14">
        <v>4.0</v>
      </c>
      <c r="C4914" s="34">
        <v>11.49</v>
      </c>
      <c r="D4914" s="36">
        <v>45215.0</v>
      </c>
      <c r="E4914" s="24"/>
      <c r="F4914" s="14">
        <v>2.87</v>
      </c>
      <c r="G4914" s="14">
        <v>31.65</v>
      </c>
      <c r="H4914" s="14">
        <v>1.1</v>
      </c>
      <c r="I4914" s="14" t="s">
        <v>6060</v>
      </c>
      <c r="J4914" s="14">
        <v>25.0</v>
      </c>
      <c r="K4914" s="14">
        <v>11.49</v>
      </c>
      <c r="L4914" s="14">
        <v>0.0</v>
      </c>
    </row>
    <row r="4915">
      <c r="A4915" s="14">
        <v>104.0</v>
      </c>
      <c r="B4915" s="14">
        <v>0.0</v>
      </c>
      <c r="C4915" s="34">
        <v>13.15</v>
      </c>
      <c r="D4915" s="36">
        <v>45215.0</v>
      </c>
      <c r="E4915" s="24"/>
      <c r="F4915" s="14" t="s">
        <v>6012</v>
      </c>
      <c r="G4915" s="14">
        <v>126.44</v>
      </c>
      <c r="H4915" s="14">
        <v>0.0</v>
      </c>
      <c r="I4915" s="14" t="s">
        <v>6042</v>
      </c>
      <c r="J4915" s="14" t="s">
        <v>6012</v>
      </c>
      <c r="K4915" s="14" t="s">
        <v>6012</v>
      </c>
      <c r="L4915" s="14">
        <v>0.0</v>
      </c>
    </row>
    <row r="4916">
      <c r="A4916" s="14">
        <v>37.0</v>
      </c>
      <c r="B4916" s="14">
        <v>0.0</v>
      </c>
      <c r="C4916" s="34">
        <v>11.62</v>
      </c>
      <c r="D4916" s="36">
        <v>45215.0</v>
      </c>
      <c r="E4916" s="24"/>
      <c r="F4916" s="14" t="s">
        <v>6012</v>
      </c>
      <c r="G4916" s="14">
        <v>314.05</v>
      </c>
      <c r="H4916" s="14">
        <v>0.0</v>
      </c>
      <c r="I4916" s="14" t="s">
        <v>6059</v>
      </c>
      <c r="J4916" s="14" t="s">
        <v>6012</v>
      </c>
      <c r="K4916" s="14" t="s">
        <v>6012</v>
      </c>
      <c r="L4916" s="14">
        <v>0.0</v>
      </c>
    </row>
    <row r="4917">
      <c r="A4917" s="14">
        <v>25.0</v>
      </c>
      <c r="B4917" s="14">
        <v>0.0</v>
      </c>
      <c r="C4917" s="34">
        <v>12.27</v>
      </c>
      <c r="D4917" s="36">
        <v>45215.0</v>
      </c>
      <c r="E4917" s="24"/>
      <c r="F4917" s="14" t="s">
        <v>6012</v>
      </c>
      <c r="G4917" s="14">
        <v>490.8</v>
      </c>
      <c r="H4917" s="14">
        <v>0.0</v>
      </c>
      <c r="I4917" s="14" t="s">
        <v>6057</v>
      </c>
      <c r="J4917" s="14" t="s">
        <v>6012</v>
      </c>
      <c r="K4917" s="14" t="s">
        <v>6012</v>
      </c>
      <c r="L4917" s="14">
        <v>0.0</v>
      </c>
    </row>
    <row r="4918">
      <c r="A4918" s="14">
        <v>179.0</v>
      </c>
      <c r="B4918" s="14">
        <v>1.0</v>
      </c>
      <c r="C4918" s="34">
        <v>14.75</v>
      </c>
      <c r="D4918" s="36">
        <v>45215.0</v>
      </c>
      <c r="E4918" s="24"/>
      <c r="F4918" s="14">
        <v>14.75</v>
      </c>
      <c r="G4918" s="14">
        <v>82.4</v>
      </c>
      <c r="H4918" s="14">
        <v>0.56</v>
      </c>
      <c r="I4918" s="14" t="s">
        <v>6062</v>
      </c>
      <c r="J4918" s="14">
        <v>100.0</v>
      </c>
      <c r="K4918" s="14">
        <v>14.75</v>
      </c>
      <c r="L4918" s="14">
        <v>0.0</v>
      </c>
    </row>
    <row r="4919">
      <c r="A4919" s="14">
        <v>45.0</v>
      </c>
      <c r="B4919" s="14">
        <v>0.0</v>
      </c>
      <c r="C4919" s="34">
        <v>14.68</v>
      </c>
      <c r="D4919" s="36">
        <v>45215.0</v>
      </c>
      <c r="E4919" s="24"/>
      <c r="F4919" s="14" t="s">
        <v>6012</v>
      </c>
      <c r="G4919" s="14">
        <v>326.22</v>
      </c>
      <c r="H4919" s="14">
        <v>0.0</v>
      </c>
      <c r="I4919" s="14" t="s">
        <v>6063</v>
      </c>
      <c r="J4919" s="14" t="s">
        <v>6012</v>
      </c>
      <c r="K4919" s="14" t="s">
        <v>6012</v>
      </c>
      <c r="L4919" s="14">
        <v>0.0</v>
      </c>
    </row>
    <row r="4920">
      <c r="A4920" s="14">
        <v>9.0</v>
      </c>
      <c r="B4920" s="14">
        <v>5.0</v>
      </c>
      <c r="C4920" s="34">
        <v>6.75</v>
      </c>
      <c r="D4920" s="36">
        <v>45215.0</v>
      </c>
      <c r="E4920" s="24"/>
      <c r="F4920" s="14">
        <v>1.35</v>
      </c>
      <c r="G4920" s="14">
        <v>750.0</v>
      </c>
      <c r="H4920" s="14">
        <v>55.56</v>
      </c>
      <c r="I4920" s="14" t="s">
        <v>6064</v>
      </c>
      <c r="J4920" s="14">
        <v>0.0</v>
      </c>
      <c r="K4920" s="14" t="s">
        <v>6012</v>
      </c>
      <c r="L4920" s="14">
        <v>0.0</v>
      </c>
    </row>
    <row r="4921">
      <c r="A4921" s="14">
        <v>567.0</v>
      </c>
      <c r="B4921" s="14">
        <v>4.0</v>
      </c>
      <c r="C4921" s="34">
        <v>11.21</v>
      </c>
      <c r="D4921" s="36">
        <v>45215.0</v>
      </c>
      <c r="E4921" s="24"/>
      <c r="F4921" s="14">
        <v>2.8</v>
      </c>
      <c r="G4921" s="14">
        <v>19.77</v>
      </c>
      <c r="H4921" s="14">
        <v>0.71</v>
      </c>
      <c r="I4921" s="14" t="s">
        <v>6051</v>
      </c>
      <c r="J4921" s="14">
        <v>0.0</v>
      </c>
      <c r="K4921" s="14" t="s">
        <v>6012</v>
      </c>
      <c r="L4921" s="14">
        <v>0.0</v>
      </c>
    </row>
    <row r="4922">
      <c r="A4922" s="14">
        <v>26.0</v>
      </c>
      <c r="B4922" s="14">
        <v>1.0</v>
      </c>
      <c r="C4922" s="34">
        <v>12.14</v>
      </c>
      <c r="D4922" s="36">
        <v>45216.0</v>
      </c>
      <c r="E4922" s="24"/>
      <c r="F4922" s="14">
        <v>12.14</v>
      </c>
      <c r="G4922" s="14">
        <v>466.92</v>
      </c>
      <c r="H4922" s="14">
        <v>3.85</v>
      </c>
      <c r="I4922" s="14" t="s">
        <v>6061</v>
      </c>
      <c r="J4922" s="14">
        <v>100.0</v>
      </c>
      <c r="K4922" s="14">
        <v>12.14</v>
      </c>
      <c r="L4922" s="14">
        <v>0.0</v>
      </c>
    </row>
    <row r="4923">
      <c r="A4923" s="14">
        <v>52.0</v>
      </c>
      <c r="B4923" s="14">
        <v>0.0</v>
      </c>
      <c r="C4923" s="34">
        <v>12.35</v>
      </c>
      <c r="D4923" s="36">
        <v>45216.0</v>
      </c>
      <c r="E4923" s="24"/>
      <c r="F4923" s="14" t="s">
        <v>6012</v>
      </c>
      <c r="G4923" s="14">
        <v>237.5</v>
      </c>
      <c r="H4923" s="14">
        <v>0.0</v>
      </c>
      <c r="I4923" s="14" t="s">
        <v>6058</v>
      </c>
      <c r="J4923" s="14" t="s">
        <v>6012</v>
      </c>
      <c r="K4923" s="14" t="s">
        <v>6012</v>
      </c>
      <c r="L4923" s="14">
        <v>0.0</v>
      </c>
    </row>
    <row r="4924">
      <c r="A4924" s="14">
        <v>24.0</v>
      </c>
      <c r="B4924" s="14">
        <v>0.0</v>
      </c>
      <c r="C4924" s="34">
        <v>11.79</v>
      </c>
      <c r="D4924" s="36">
        <v>45216.0</v>
      </c>
      <c r="E4924" s="24"/>
      <c r="F4924" s="14" t="s">
        <v>6012</v>
      </c>
      <c r="G4924" s="14">
        <v>491.25</v>
      </c>
      <c r="H4924" s="14">
        <v>0.0</v>
      </c>
      <c r="I4924" s="14" t="s">
        <v>6059</v>
      </c>
      <c r="J4924" s="14" t="s">
        <v>6012</v>
      </c>
      <c r="K4924" s="14" t="s">
        <v>6012</v>
      </c>
      <c r="L4924" s="14">
        <v>0.0</v>
      </c>
    </row>
    <row r="4925">
      <c r="A4925" s="14">
        <v>254.0</v>
      </c>
      <c r="B4925" s="14">
        <v>1.0</v>
      </c>
      <c r="C4925" s="34">
        <v>11.64</v>
      </c>
      <c r="D4925" s="36">
        <v>45216.0</v>
      </c>
      <c r="E4925" s="24"/>
      <c r="F4925" s="14">
        <v>11.64</v>
      </c>
      <c r="G4925" s="14">
        <v>45.83</v>
      </c>
      <c r="H4925" s="14">
        <v>0.39</v>
      </c>
      <c r="I4925" s="14" t="s">
        <v>6060</v>
      </c>
      <c r="J4925" s="14">
        <v>200.0</v>
      </c>
      <c r="K4925" s="14">
        <v>5.82</v>
      </c>
      <c r="L4925" s="14">
        <v>0.0</v>
      </c>
    </row>
    <row r="4926">
      <c r="A4926" s="14">
        <v>11.0</v>
      </c>
      <c r="B4926" s="14">
        <v>2.0</v>
      </c>
      <c r="C4926" s="34">
        <v>8.25</v>
      </c>
      <c r="D4926" s="36">
        <v>45216.0</v>
      </c>
      <c r="E4926" s="24"/>
      <c r="F4926" s="14">
        <v>4.12</v>
      </c>
      <c r="G4926" s="14">
        <v>750.0</v>
      </c>
      <c r="H4926" s="14">
        <v>18.18</v>
      </c>
      <c r="I4926" s="14" t="s">
        <v>6064</v>
      </c>
      <c r="J4926" s="14">
        <v>0.0</v>
      </c>
      <c r="K4926" s="14" t="s">
        <v>6012</v>
      </c>
      <c r="L4926" s="14">
        <v>0.0</v>
      </c>
    </row>
    <row r="4927">
      <c r="A4927" s="14">
        <v>520.0</v>
      </c>
      <c r="B4927" s="14">
        <v>3.0</v>
      </c>
      <c r="C4927" s="34">
        <v>9.31</v>
      </c>
      <c r="D4927" s="36">
        <v>45216.0</v>
      </c>
      <c r="E4927" s="24"/>
      <c r="F4927" s="14">
        <v>3.1</v>
      </c>
      <c r="G4927" s="14">
        <v>17.9</v>
      </c>
      <c r="H4927" s="14">
        <v>0.58</v>
      </c>
      <c r="I4927" s="14" t="s">
        <v>6050</v>
      </c>
      <c r="J4927" s="14">
        <v>0.0</v>
      </c>
      <c r="K4927" s="14" t="s">
        <v>6012</v>
      </c>
      <c r="L4927" s="14">
        <v>0.0</v>
      </c>
    </row>
    <row r="4928">
      <c r="A4928" s="14">
        <v>54.0</v>
      </c>
      <c r="B4928" s="14">
        <v>0.0</v>
      </c>
      <c r="C4928" s="34">
        <v>11.33</v>
      </c>
      <c r="D4928" s="36">
        <v>45216.0</v>
      </c>
      <c r="E4928" s="24"/>
      <c r="F4928" s="14" t="s">
        <v>6012</v>
      </c>
      <c r="G4928" s="14">
        <v>209.81</v>
      </c>
      <c r="H4928" s="14">
        <v>0.0</v>
      </c>
      <c r="I4928" s="14" t="s">
        <v>6063</v>
      </c>
      <c r="J4928" s="14" t="s">
        <v>6012</v>
      </c>
      <c r="K4928" s="14" t="s">
        <v>6012</v>
      </c>
      <c r="L4928" s="14">
        <v>0.0</v>
      </c>
    </row>
    <row r="4929">
      <c r="A4929" s="14">
        <v>45.0</v>
      </c>
      <c r="B4929" s="14">
        <v>0.0</v>
      </c>
      <c r="C4929" s="34">
        <v>14.01</v>
      </c>
      <c r="D4929" s="36">
        <v>45216.0</v>
      </c>
      <c r="E4929" s="24"/>
      <c r="F4929" s="14" t="s">
        <v>6012</v>
      </c>
      <c r="G4929" s="14">
        <v>311.33</v>
      </c>
      <c r="H4929" s="14">
        <v>0.0</v>
      </c>
      <c r="I4929" s="14" t="s">
        <v>6057</v>
      </c>
      <c r="J4929" s="14" t="s">
        <v>6012</v>
      </c>
      <c r="K4929" s="14" t="s">
        <v>6012</v>
      </c>
      <c r="L4929" s="14">
        <v>0.0</v>
      </c>
    </row>
    <row r="4930">
      <c r="A4930" s="14">
        <v>409.0</v>
      </c>
      <c r="B4930" s="14">
        <v>1.0</v>
      </c>
      <c r="C4930" s="34">
        <v>10.65</v>
      </c>
      <c r="D4930" s="36">
        <v>45216.0</v>
      </c>
      <c r="E4930" s="24"/>
      <c r="F4930" s="14">
        <v>10.65</v>
      </c>
      <c r="G4930" s="14">
        <v>26.04</v>
      </c>
      <c r="H4930" s="14">
        <v>0.24</v>
      </c>
      <c r="I4930" s="14" t="s">
        <v>6062</v>
      </c>
      <c r="J4930" s="14">
        <v>200.0</v>
      </c>
      <c r="K4930" s="14">
        <v>5.32</v>
      </c>
      <c r="L4930" s="14">
        <v>0.0</v>
      </c>
    </row>
    <row r="4931">
      <c r="A4931" s="14">
        <v>87.0</v>
      </c>
      <c r="B4931" s="14">
        <v>0.0</v>
      </c>
      <c r="C4931" s="34">
        <v>14.73</v>
      </c>
      <c r="D4931" s="36">
        <v>45216.0</v>
      </c>
      <c r="E4931" s="24"/>
      <c r="F4931" s="14" t="s">
        <v>6012</v>
      </c>
      <c r="G4931" s="14">
        <v>169.31</v>
      </c>
      <c r="H4931" s="14">
        <v>0.0</v>
      </c>
      <c r="I4931" s="14" t="s">
        <v>6042</v>
      </c>
      <c r="J4931" s="14" t="s">
        <v>6012</v>
      </c>
      <c r="K4931" s="14" t="s">
        <v>6012</v>
      </c>
      <c r="L4931" s="14">
        <v>0.0</v>
      </c>
    </row>
    <row r="4932">
      <c r="A4932" s="14">
        <v>428.0</v>
      </c>
      <c r="B4932" s="14">
        <v>4.0</v>
      </c>
      <c r="C4932" s="34">
        <v>10.33</v>
      </c>
      <c r="D4932" s="36">
        <v>45216.0</v>
      </c>
      <c r="E4932" s="24"/>
      <c r="F4932" s="14">
        <v>2.58</v>
      </c>
      <c r="G4932" s="14">
        <v>24.14</v>
      </c>
      <c r="H4932" s="14">
        <v>0.93</v>
      </c>
      <c r="I4932" s="14" t="s">
        <v>6051</v>
      </c>
      <c r="J4932" s="14">
        <v>0.0</v>
      </c>
      <c r="K4932" s="14" t="s">
        <v>6012</v>
      </c>
      <c r="L4932" s="14">
        <v>0.0</v>
      </c>
    </row>
    <row r="4933">
      <c r="A4933" s="14">
        <v>82.0</v>
      </c>
      <c r="B4933" s="14">
        <v>0.0</v>
      </c>
      <c r="C4933" s="34">
        <v>8.22</v>
      </c>
      <c r="D4933" s="36">
        <v>45217.0</v>
      </c>
      <c r="E4933" s="24"/>
      <c r="F4933" s="14" t="s">
        <v>6012</v>
      </c>
      <c r="G4933" s="14">
        <v>100.24</v>
      </c>
      <c r="H4933" s="14">
        <v>0.0</v>
      </c>
      <c r="I4933" s="14" t="s">
        <v>6060</v>
      </c>
      <c r="J4933" s="14" t="s">
        <v>6012</v>
      </c>
      <c r="K4933" s="14">
        <v>8.22</v>
      </c>
      <c r="L4933" s="14">
        <v>0.0</v>
      </c>
    </row>
    <row r="4934">
      <c r="A4934" s="14">
        <v>27.0</v>
      </c>
      <c r="B4934" s="14">
        <v>1.0</v>
      </c>
      <c r="C4934" s="34">
        <v>10.16</v>
      </c>
      <c r="D4934" s="36">
        <v>45217.0</v>
      </c>
      <c r="E4934" s="24"/>
      <c r="F4934" s="14">
        <v>10.16</v>
      </c>
      <c r="G4934" s="14">
        <v>376.3</v>
      </c>
      <c r="H4934" s="14">
        <v>3.7</v>
      </c>
      <c r="I4934" s="14" t="s">
        <v>6059</v>
      </c>
      <c r="J4934" s="14">
        <v>0.0</v>
      </c>
      <c r="K4934" s="14" t="s">
        <v>6012</v>
      </c>
      <c r="L4934" s="14">
        <v>1.0</v>
      </c>
    </row>
    <row r="4935">
      <c r="A4935" s="14">
        <v>41.0</v>
      </c>
      <c r="B4935" s="14">
        <v>0.0</v>
      </c>
      <c r="C4935" s="34">
        <v>13.26</v>
      </c>
      <c r="D4935" s="36">
        <v>45217.0</v>
      </c>
      <c r="E4935" s="24"/>
      <c r="F4935" s="14" t="s">
        <v>6012</v>
      </c>
      <c r="G4935" s="14">
        <v>323.41</v>
      </c>
      <c r="H4935" s="14">
        <v>0.0</v>
      </c>
      <c r="I4935" s="14" t="s">
        <v>6063</v>
      </c>
      <c r="J4935" s="14" t="s">
        <v>6012</v>
      </c>
      <c r="K4935" s="14" t="s">
        <v>6012</v>
      </c>
      <c r="L4935" s="14">
        <v>0.0</v>
      </c>
    </row>
    <row r="4936">
      <c r="A4936" s="14">
        <v>313.0</v>
      </c>
      <c r="B4936" s="14">
        <v>3.0</v>
      </c>
      <c r="C4936" s="34">
        <v>6.57</v>
      </c>
      <c r="D4936" s="36">
        <v>45217.0</v>
      </c>
      <c r="E4936" s="24"/>
      <c r="F4936" s="14">
        <v>2.19</v>
      </c>
      <c r="G4936" s="14">
        <v>20.99</v>
      </c>
      <c r="H4936" s="14">
        <v>0.96</v>
      </c>
      <c r="I4936" s="14" t="s">
        <v>6051</v>
      </c>
      <c r="J4936" s="14">
        <v>0.0</v>
      </c>
      <c r="K4936" s="14" t="s">
        <v>6012</v>
      </c>
      <c r="L4936" s="14">
        <v>0.0</v>
      </c>
    </row>
    <row r="4937">
      <c r="A4937" s="14">
        <v>55.0</v>
      </c>
      <c r="B4937" s="14">
        <v>0.0</v>
      </c>
      <c r="C4937" s="34">
        <v>10.18</v>
      </c>
      <c r="D4937" s="36">
        <v>45217.0</v>
      </c>
      <c r="E4937" s="24"/>
      <c r="F4937" s="14" t="s">
        <v>6012</v>
      </c>
      <c r="G4937" s="14">
        <v>185.09</v>
      </c>
      <c r="H4937" s="14">
        <v>0.0</v>
      </c>
      <c r="I4937" s="14" t="s">
        <v>6042</v>
      </c>
      <c r="J4937" s="14" t="s">
        <v>6012</v>
      </c>
      <c r="K4937" s="14" t="s">
        <v>6012</v>
      </c>
      <c r="L4937" s="14">
        <v>0.0</v>
      </c>
    </row>
    <row r="4938">
      <c r="A4938" s="14">
        <v>42.0</v>
      </c>
      <c r="B4938" s="14">
        <v>0.0</v>
      </c>
      <c r="C4938" s="34">
        <v>9.43</v>
      </c>
      <c r="D4938" s="36">
        <v>45217.0</v>
      </c>
      <c r="E4938" s="24"/>
      <c r="F4938" s="14" t="s">
        <v>6012</v>
      </c>
      <c r="G4938" s="14">
        <v>224.52</v>
      </c>
      <c r="H4938" s="14">
        <v>0.0</v>
      </c>
      <c r="I4938" s="14" t="s">
        <v>6061</v>
      </c>
      <c r="J4938" s="14" t="s">
        <v>6012</v>
      </c>
      <c r="K4938" s="14" t="s">
        <v>6012</v>
      </c>
      <c r="L4938" s="14">
        <v>0.0</v>
      </c>
    </row>
    <row r="4939">
      <c r="A4939" s="14">
        <v>18.0</v>
      </c>
      <c r="B4939" s="14">
        <v>1.0</v>
      </c>
      <c r="C4939" s="34">
        <v>10.54</v>
      </c>
      <c r="D4939" s="36">
        <v>45217.0</v>
      </c>
      <c r="E4939" s="24"/>
      <c r="F4939" s="14">
        <v>10.54</v>
      </c>
      <c r="G4939" s="14">
        <v>585.56</v>
      </c>
      <c r="H4939" s="14">
        <v>5.56</v>
      </c>
      <c r="I4939" s="14" t="s">
        <v>6057</v>
      </c>
      <c r="J4939" s="14">
        <v>0.0</v>
      </c>
      <c r="K4939" s="14" t="s">
        <v>6012</v>
      </c>
      <c r="L4939" s="14">
        <v>0.0</v>
      </c>
    </row>
    <row r="4940">
      <c r="A4940" s="14">
        <v>97.0</v>
      </c>
      <c r="B4940" s="14">
        <v>0.0</v>
      </c>
      <c r="C4940" s="34">
        <v>10.82</v>
      </c>
      <c r="D4940" s="36">
        <v>45217.0</v>
      </c>
      <c r="E4940" s="24"/>
      <c r="F4940" s="14" t="s">
        <v>6012</v>
      </c>
      <c r="G4940" s="14">
        <v>111.55</v>
      </c>
      <c r="H4940" s="14">
        <v>0.0</v>
      </c>
      <c r="I4940" s="14" t="s">
        <v>6062</v>
      </c>
      <c r="J4940" s="14" t="s">
        <v>6012</v>
      </c>
      <c r="K4940" s="14" t="s">
        <v>6012</v>
      </c>
      <c r="L4940" s="14">
        <v>0.0</v>
      </c>
    </row>
    <row r="4941">
      <c r="A4941" s="14">
        <v>6.0</v>
      </c>
      <c r="B4941" s="14">
        <v>4.0</v>
      </c>
      <c r="C4941" s="34">
        <v>4.5</v>
      </c>
      <c r="D4941" s="36">
        <v>45217.0</v>
      </c>
      <c r="E4941" s="24"/>
      <c r="F4941" s="14">
        <v>1.12</v>
      </c>
      <c r="G4941" s="14">
        <v>750.0</v>
      </c>
      <c r="H4941" s="14">
        <v>66.67</v>
      </c>
      <c r="I4941" s="14" t="s">
        <v>6064</v>
      </c>
      <c r="J4941" s="14">
        <v>0.0</v>
      </c>
      <c r="K4941" s="14" t="s">
        <v>6012</v>
      </c>
      <c r="L4941" s="14">
        <v>0.0</v>
      </c>
    </row>
    <row r="4942">
      <c r="A4942" s="14">
        <v>28.0</v>
      </c>
      <c r="B4942" s="14">
        <v>0.0</v>
      </c>
      <c r="C4942" s="34">
        <v>0.46</v>
      </c>
      <c r="D4942" s="36">
        <v>45217.0</v>
      </c>
      <c r="E4942" s="24"/>
      <c r="F4942" s="14" t="s">
        <v>6012</v>
      </c>
      <c r="G4942" s="14">
        <v>16.43</v>
      </c>
      <c r="H4942" s="14">
        <v>0.0</v>
      </c>
      <c r="I4942" s="14" t="s">
        <v>6050</v>
      </c>
      <c r="J4942" s="14" t="s">
        <v>6012</v>
      </c>
      <c r="K4942" s="14" t="s">
        <v>6012</v>
      </c>
      <c r="L4942" s="14">
        <v>0.0</v>
      </c>
    </row>
    <row r="4943">
      <c r="A4943" s="14">
        <v>31.0</v>
      </c>
      <c r="B4943" s="14">
        <v>0.0</v>
      </c>
      <c r="C4943" s="34">
        <v>9.54</v>
      </c>
      <c r="D4943" s="36">
        <v>45217.0</v>
      </c>
      <c r="E4943" s="24"/>
      <c r="F4943" s="14" t="s">
        <v>6012</v>
      </c>
      <c r="G4943" s="14">
        <v>307.74</v>
      </c>
      <c r="H4943" s="14">
        <v>0.0</v>
      </c>
      <c r="I4943" s="14" t="s">
        <v>6058</v>
      </c>
      <c r="J4943" s="14" t="s">
        <v>6012</v>
      </c>
      <c r="K4943" s="14" t="s">
        <v>6012</v>
      </c>
      <c r="L4943" s="14">
        <v>0.0</v>
      </c>
    </row>
    <row r="4944">
      <c r="A4944" s="14">
        <v>14.0</v>
      </c>
      <c r="B4944" s="14">
        <v>0.0</v>
      </c>
      <c r="C4944" s="34">
        <v>8.93</v>
      </c>
      <c r="D4944" s="36">
        <v>45218.0</v>
      </c>
      <c r="E4944" s="24"/>
      <c r="F4944" s="14" t="s">
        <v>6012</v>
      </c>
      <c r="G4944" s="14">
        <v>637.86</v>
      </c>
      <c r="H4944" s="14">
        <v>0.0</v>
      </c>
      <c r="I4944" s="14" t="s">
        <v>6058</v>
      </c>
      <c r="J4944" s="14" t="s">
        <v>6012</v>
      </c>
      <c r="K4944" s="14" t="s">
        <v>6012</v>
      </c>
      <c r="L4944" s="14">
        <v>0.0</v>
      </c>
    </row>
    <row r="4945">
      <c r="A4945" s="14">
        <v>8.0</v>
      </c>
      <c r="B4945" s="14">
        <v>4.0</v>
      </c>
      <c r="C4945" s="34">
        <v>6.0</v>
      </c>
      <c r="D4945" s="36">
        <v>45218.0</v>
      </c>
      <c r="E4945" s="24"/>
      <c r="F4945" s="14">
        <v>1.5</v>
      </c>
      <c r="G4945" s="14">
        <v>750.0</v>
      </c>
      <c r="H4945" s="14">
        <v>50.0</v>
      </c>
      <c r="I4945" s="14" t="s">
        <v>6064</v>
      </c>
      <c r="J4945" s="14">
        <v>0.0</v>
      </c>
      <c r="K4945" s="14" t="s">
        <v>6012</v>
      </c>
      <c r="L4945" s="14">
        <v>0.0</v>
      </c>
    </row>
    <row r="4946">
      <c r="A4946" s="14">
        <v>23.0</v>
      </c>
      <c r="B4946" s="14">
        <v>0.0</v>
      </c>
      <c r="C4946" s="34">
        <v>10.04</v>
      </c>
      <c r="D4946" s="36">
        <v>45218.0</v>
      </c>
      <c r="E4946" s="24"/>
      <c r="F4946" s="14" t="s">
        <v>6012</v>
      </c>
      <c r="G4946" s="14">
        <v>436.52</v>
      </c>
      <c r="H4946" s="14">
        <v>0.0</v>
      </c>
      <c r="I4946" s="14" t="s">
        <v>6057</v>
      </c>
      <c r="J4946" s="14" t="s">
        <v>6012</v>
      </c>
      <c r="K4946" s="14" t="s">
        <v>6012</v>
      </c>
      <c r="L4946" s="14">
        <v>0.0</v>
      </c>
    </row>
    <row r="4947">
      <c r="A4947" s="14">
        <v>55.0</v>
      </c>
      <c r="B4947" s="14">
        <v>2.0</v>
      </c>
      <c r="C4947" s="34">
        <v>9.76</v>
      </c>
      <c r="D4947" s="36">
        <v>45218.0</v>
      </c>
      <c r="E4947" s="24"/>
      <c r="F4947" s="14">
        <v>4.88</v>
      </c>
      <c r="G4947" s="14">
        <v>177.45</v>
      </c>
      <c r="H4947" s="14">
        <v>3.64</v>
      </c>
      <c r="I4947" s="14" t="s">
        <v>6042</v>
      </c>
      <c r="J4947" s="14">
        <v>50.0</v>
      </c>
      <c r="K4947" s="14">
        <v>9.76</v>
      </c>
      <c r="L4947" s="14">
        <v>0.0</v>
      </c>
    </row>
    <row r="4948">
      <c r="A4948" s="14">
        <v>19.0</v>
      </c>
      <c r="B4948" s="14">
        <v>0.0</v>
      </c>
      <c r="C4948" s="34">
        <v>14.42</v>
      </c>
      <c r="D4948" s="36">
        <v>45218.0</v>
      </c>
      <c r="E4948" s="24"/>
      <c r="F4948" s="14" t="s">
        <v>6012</v>
      </c>
      <c r="G4948" s="14">
        <v>758.95</v>
      </c>
      <c r="H4948" s="14">
        <v>0.0</v>
      </c>
      <c r="I4948" s="14" t="s">
        <v>6059</v>
      </c>
      <c r="J4948" s="14" t="s">
        <v>6012</v>
      </c>
      <c r="K4948" s="14" t="s">
        <v>6012</v>
      </c>
      <c r="L4948" s="14">
        <v>0.0</v>
      </c>
    </row>
    <row r="4949">
      <c r="A4949" s="14">
        <v>478.0</v>
      </c>
      <c r="B4949" s="14">
        <v>2.0</v>
      </c>
      <c r="C4949" s="34">
        <v>12.12</v>
      </c>
      <c r="D4949" s="36">
        <v>45218.0</v>
      </c>
      <c r="E4949" s="24"/>
      <c r="F4949" s="14">
        <v>6.06</v>
      </c>
      <c r="G4949" s="14">
        <v>25.36</v>
      </c>
      <c r="H4949" s="14">
        <v>0.42</v>
      </c>
      <c r="I4949" s="14" t="s">
        <v>6051</v>
      </c>
      <c r="J4949" s="14">
        <v>0.0</v>
      </c>
      <c r="K4949" s="14" t="s">
        <v>6012</v>
      </c>
      <c r="L4949" s="14">
        <v>0.0</v>
      </c>
    </row>
    <row r="4950">
      <c r="A4950" s="14">
        <v>40.0</v>
      </c>
      <c r="B4950" s="14">
        <v>0.0</v>
      </c>
      <c r="C4950" s="34">
        <v>11.57</v>
      </c>
      <c r="D4950" s="36">
        <v>45218.0</v>
      </c>
      <c r="E4950" s="24"/>
      <c r="F4950" s="14" t="s">
        <v>6012</v>
      </c>
      <c r="G4950" s="14">
        <v>289.25</v>
      </c>
      <c r="H4950" s="14">
        <v>0.0</v>
      </c>
      <c r="I4950" s="14" t="s">
        <v>6061</v>
      </c>
      <c r="J4950" s="14" t="s">
        <v>6012</v>
      </c>
      <c r="K4950" s="14" t="s">
        <v>6012</v>
      </c>
      <c r="L4950" s="14">
        <v>0.0</v>
      </c>
    </row>
    <row r="4951">
      <c r="A4951" s="14">
        <v>49.0</v>
      </c>
      <c r="B4951" s="14">
        <v>0.0</v>
      </c>
      <c r="C4951" s="34">
        <v>10.5</v>
      </c>
      <c r="D4951" s="36">
        <v>45218.0</v>
      </c>
      <c r="E4951" s="24"/>
      <c r="F4951" s="14" t="s">
        <v>6012</v>
      </c>
      <c r="G4951" s="14">
        <v>214.29</v>
      </c>
      <c r="H4951" s="14">
        <v>0.0</v>
      </c>
      <c r="I4951" s="14" t="s">
        <v>6063</v>
      </c>
      <c r="J4951" s="14" t="s">
        <v>6012</v>
      </c>
      <c r="K4951" s="14" t="s">
        <v>6012</v>
      </c>
      <c r="L4951" s="14">
        <v>0.0</v>
      </c>
    </row>
    <row r="4952">
      <c r="A4952" s="14">
        <v>111.0</v>
      </c>
      <c r="B4952" s="14">
        <v>1.0</v>
      </c>
      <c r="C4952" s="34">
        <v>11.22</v>
      </c>
      <c r="D4952" s="36">
        <v>45218.0</v>
      </c>
      <c r="E4952" s="24"/>
      <c r="F4952" s="14">
        <v>11.22</v>
      </c>
      <c r="G4952" s="14">
        <v>101.08</v>
      </c>
      <c r="H4952" s="14">
        <v>0.9</v>
      </c>
      <c r="I4952" s="14" t="s">
        <v>6062</v>
      </c>
      <c r="J4952" s="14">
        <v>0.0</v>
      </c>
      <c r="K4952" s="14" t="s">
        <v>6012</v>
      </c>
      <c r="L4952" s="14">
        <v>0.0</v>
      </c>
    </row>
    <row r="4953">
      <c r="A4953" s="14">
        <v>614.0</v>
      </c>
      <c r="B4953" s="14">
        <v>2.0</v>
      </c>
      <c r="C4953" s="34">
        <v>12.43</v>
      </c>
      <c r="D4953" s="36">
        <v>45218.0</v>
      </c>
      <c r="E4953" s="24"/>
      <c r="F4953" s="14">
        <v>6.22</v>
      </c>
      <c r="G4953" s="14">
        <v>20.24</v>
      </c>
      <c r="H4953" s="14">
        <v>0.33</v>
      </c>
      <c r="I4953" s="14" t="s">
        <v>6050</v>
      </c>
      <c r="J4953" s="14">
        <v>0.0</v>
      </c>
      <c r="K4953" s="14" t="s">
        <v>6012</v>
      </c>
      <c r="L4953" s="14">
        <v>0.0</v>
      </c>
    </row>
    <row r="4954">
      <c r="A4954" s="14">
        <v>36.0</v>
      </c>
      <c r="B4954" s="14">
        <v>0.0</v>
      </c>
      <c r="C4954" s="34">
        <v>11.42</v>
      </c>
      <c r="D4954" s="36">
        <v>45218.0</v>
      </c>
      <c r="E4954" s="24"/>
      <c r="F4954" s="14" t="s">
        <v>6012</v>
      </c>
      <c r="G4954" s="14">
        <v>317.22</v>
      </c>
      <c r="H4954" s="14">
        <v>0.0</v>
      </c>
      <c r="I4954" s="14" t="s">
        <v>6060</v>
      </c>
      <c r="J4954" s="14" t="s">
        <v>6012</v>
      </c>
      <c r="K4954" s="14" t="s">
        <v>6012</v>
      </c>
      <c r="L4954" s="14">
        <v>0.0</v>
      </c>
    </row>
    <row r="4955">
      <c r="A4955" s="14">
        <v>75.0</v>
      </c>
      <c r="B4955" s="14">
        <v>0.0</v>
      </c>
      <c r="C4955" s="34">
        <v>10.72</v>
      </c>
      <c r="D4955" s="36">
        <v>45219.0</v>
      </c>
      <c r="E4955" s="24"/>
      <c r="F4955" s="14" t="s">
        <v>6012</v>
      </c>
      <c r="G4955" s="14">
        <v>142.93</v>
      </c>
      <c r="H4955" s="14">
        <v>0.0</v>
      </c>
      <c r="I4955" s="14" t="s">
        <v>6062</v>
      </c>
      <c r="J4955" s="14" t="s">
        <v>6012</v>
      </c>
      <c r="K4955" s="14" t="s">
        <v>6012</v>
      </c>
      <c r="L4955" s="14">
        <v>0.0</v>
      </c>
    </row>
    <row r="4956">
      <c r="A4956" s="14">
        <v>655.0</v>
      </c>
      <c r="B4956" s="14">
        <v>8.0</v>
      </c>
      <c r="C4956" s="34">
        <v>14.38</v>
      </c>
      <c r="D4956" s="36">
        <v>45219.0</v>
      </c>
      <c r="E4956" s="24"/>
      <c r="F4956" s="14">
        <v>1.8</v>
      </c>
      <c r="G4956" s="14">
        <v>21.95</v>
      </c>
      <c r="H4956" s="14">
        <v>1.22</v>
      </c>
      <c r="I4956" s="14" t="s">
        <v>6051</v>
      </c>
      <c r="J4956" s="14">
        <v>0.0</v>
      </c>
      <c r="K4956" s="14" t="s">
        <v>6012</v>
      </c>
      <c r="L4956" s="14">
        <v>0.0</v>
      </c>
    </row>
    <row r="4957">
      <c r="A4957" s="14">
        <v>42.0</v>
      </c>
      <c r="B4957" s="14">
        <v>0.0</v>
      </c>
      <c r="C4957" s="34">
        <v>14.35</v>
      </c>
      <c r="D4957" s="36">
        <v>45219.0</v>
      </c>
      <c r="E4957" s="24"/>
      <c r="F4957" s="14" t="s">
        <v>6012</v>
      </c>
      <c r="G4957" s="14">
        <v>341.67</v>
      </c>
      <c r="H4957" s="14">
        <v>0.0</v>
      </c>
      <c r="I4957" s="14" t="s">
        <v>6042</v>
      </c>
      <c r="J4957" s="14" t="s">
        <v>6012</v>
      </c>
      <c r="K4957" s="14">
        <v>14.35</v>
      </c>
      <c r="L4957" s="14">
        <v>0.0</v>
      </c>
    </row>
    <row r="4958">
      <c r="A4958" s="14">
        <v>23.0</v>
      </c>
      <c r="B4958" s="14">
        <v>0.0</v>
      </c>
      <c r="C4958" s="34">
        <v>15.0</v>
      </c>
      <c r="D4958" s="36">
        <v>45219.0</v>
      </c>
      <c r="E4958" s="24"/>
      <c r="F4958" s="14" t="s">
        <v>6012</v>
      </c>
      <c r="G4958" s="14">
        <v>652.17</v>
      </c>
      <c r="H4958" s="14">
        <v>0.0</v>
      </c>
      <c r="I4958" s="14" t="s">
        <v>6060</v>
      </c>
      <c r="J4958" s="14" t="s">
        <v>6012</v>
      </c>
      <c r="K4958" s="14" t="s">
        <v>6012</v>
      </c>
      <c r="L4958" s="14">
        <v>0.0</v>
      </c>
    </row>
    <row r="4959">
      <c r="A4959" s="14">
        <v>11.0</v>
      </c>
      <c r="B4959" s="14">
        <v>9.0</v>
      </c>
      <c r="C4959" s="34">
        <v>8.25</v>
      </c>
      <c r="D4959" s="36">
        <v>45219.0</v>
      </c>
      <c r="E4959" s="24"/>
      <c r="F4959" s="14">
        <v>0.92</v>
      </c>
      <c r="G4959" s="14">
        <v>750.0</v>
      </c>
      <c r="H4959" s="14">
        <v>81.82</v>
      </c>
      <c r="I4959" s="14" t="s">
        <v>6064</v>
      </c>
      <c r="J4959" s="14">
        <v>0.0</v>
      </c>
      <c r="K4959" s="14" t="s">
        <v>6012</v>
      </c>
      <c r="L4959" s="14">
        <v>0.0</v>
      </c>
    </row>
    <row r="4960">
      <c r="A4960" s="14">
        <v>15.0</v>
      </c>
      <c r="B4960" s="14">
        <v>1.0</v>
      </c>
      <c r="C4960" s="34">
        <v>15.0</v>
      </c>
      <c r="D4960" s="36">
        <v>45219.0</v>
      </c>
      <c r="E4960" s="24"/>
      <c r="F4960" s="14">
        <v>15.0</v>
      </c>
      <c r="G4960" s="14">
        <v>1000.0</v>
      </c>
      <c r="H4960" s="14">
        <v>6.67</v>
      </c>
      <c r="I4960" s="14" t="s">
        <v>6058</v>
      </c>
      <c r="J4960" s="14">
        <v>0.0</v>
      </c>
      <c r="K4960" s="14" t="s">
        <v>6012</v>
      </c>
      <c r="L4960" s="14">
        <v>1.0</v>
      </c>
    </row>
    <row r="4961">
      <c r="A4961" s="14">
        <v>26.0</v>
      </c>
      <c r="B4961" s="14">
        <v>0.0</v>
      </c>
      <c r="C4961" s="34">
        <v>14.85</v>
      </c>
      <c r="D4961" s="36">
        <v>45219.0</v>
      </c>
      <c r="E4961" s="24"/>
      <c r="F4961" s="14" t="s">
        <v>6012</v>
      </c>
      <c r="G4961" s="14">
        <v>571.15</v>
      </c>
      <c r="H4961" s="14">
        <v>0.0</v>
      </c>
      <c r="I4961" s="14" t="s">
        <v>6061</v>
      </c>
      <c r="J4961" s="14" t="s">
        <v>6012</v>
      </c>
      <c r="K4961" s="14" t="s">
        <v>6012</v>
      </c>
      <c r="L4961" s="14">
        <v>0.0</v>
      </c>
    </row>
    <row r="4962">
      <c r="A4962" s="14">
        <v>18.0</v>
      </c>
      <c r="B4962" s="14">
        <v>1.0</v>
      </c>
      <c r="C4962" s="34">
        <v>11.54</v>
      </c>
      <c r="D4962" s="36">
        <v>45219.0</v>
      </c>
      <c r="E4962" s="24"/>
      <c r="F4962" s="14">
        <v>11.54</v>
      </c>
      <c r="G4962" s="14">
        <v>641.11</v>
      </c>
      <c r="H4962" s="14">
        <v>5.56</v>
      </c>
      <c r="I4962" s="14" t="s">
        <v>6057</v>
      </c>
      <c r="J4962" s="14">
        <v>0.0</v>
      </c>
      <c r="K4962" s="14" t="s">
        <v>6012</v>
      </c>
      <c r="L4962" s="14">
        <v>0.0</v>
      </c>
    </row>
    <row r="4963">
      <c r="A4963" s="14">
        <v>913.0</v>
      </c>
      <c r="B4963" s="14">
        <v>7.0</v>
      </c>
      <c r="C4963" s="34">
        <v>15.0</v>
      </c>
      <c r="D4963" s="36">
        <v>45219.0</v>
      </c>
      <c r="E4963" s="24"/>
      <c r="F4963" s="14">
        <v>2.14</v>
      </c>
      <c r="G4963" s="14">
        <v>16.43</v>
      </c>
      <c r="H4963" s="14">
        <v>0.77</v>
      </c>
      <c r="I4963" s="14" t="s">
        <v>6050</v>
      </c>
      <c r="J4963" s="14">
        <v>0.0</v>
      </c>
      <c r="K4963" s="14" t="s">
        <v>6012</v>
      </c>
      <c r="L4963" s="14">
        <v>0.0</v>
      </c>
    </row>
    <row r="4964">
      <c r="A4964" s="14">
        <v>16.0</v>
      </c>
      <c r="B4964" s="14">
        <v>0.0</v>
      </c>
      <c r="C4964" s="34">
        <v>11.66</v>
      </c>
      <c r="D4964" s="36">
        <v>45219.0</v>
      </c>
      <c r="E4964" s="24"/>
      <c r="F4964" s="14" t="s">
        <v>6012</v>
      </c>
      <c r="G4964" s="14">
        <v>728.75</v>
      </c>
      <c r="H4964" s="14">
        <v>0.0</v>
      </c>
      <c r="I4964" s="14" t="s">
        <v>6059</v>
      </c>
      <c r="J4964" s="14" t="s">
        <v>6012</v>
      </c>
      <c r="K4964" s="14" t="s">
        <v>6012</v>
      </c>
      <c r="L4964" s="14">
        <v>0.0</v>
      </c>
    </row>
    <row r="4965">
      <c r="A4965" s="14">
        <v>30.0</v>
      </c>
      <c r="B4965" s="14">
        <v>0.0</v>
      </c>
      <c r="C4965" s="34">
        <v>13.49</v>
      </c>
      <c r="D4965" s="36">
        <v>45219.0</v>
      </c>
      <c r="E4965" s="24"/>
      <c r="F4965" s="14" t="s">
        <v>6012</v>
      </c>
      <c r="G4965" s="14">
        <v>449.67</v>
      </c>
      <c r="H4965" s="14">
        <v>0.0</v>
      </c>
      <c r="I4965" s="14" t="s">
        <v>6063</v>
      </c>
      <c r="J4965" s="14" t="s">
        <v>6012</v>
      </c>
      <c r="K4965" s="14" t="s">
        <v>6012</v>
      </c>
      <c r="L4965" s="14">
        <v>0.0</v>
      </c>
    </row>
    <row r="4966">
      <c r="A4966" s="14">
        <v>32.0</v>
      </c>
      <c r="B4966" s="14">
        <v>0.0</v>
      </c>
      <c r="C4966" s="34">
        <v>7.81</v>
      </c>
      <c r="D4966" s="36">
        <v>45220.0</v>
      </c>
      <c r="E4966" s="24"/>
      <c r="F4966" s="14" t="s">
        <v>6012</v>
      </c>
      <c r="G4966" s="14">
        <v>244.06</v>
      </c>
      <c r="H4966" s="14">
        <v>0.0</v>
      </c>
      <c r="I4966" s="14" t="s">
        <v>6062</v>
      </c>
      <c r="J4966" s="14" t="s">
        <v>6012</v>
      </c>
      <c r="K4966" s="14">
        <v>7.81</v>
      </c>
      <c r="L4966" s="14">
        <v>0.0</v>
      </c>
    </row>
    <row r="4967">
      <c r="A4967" s="14">
        <v>12.0</v>
      </c>
      <c r="B4967" s="14">
        <v>0.0</v>
      </c>
      <c r="C4967" s="34">
        <v>7.26</v>
      </c>
      <c r="D4967" s="36">
        <v>45220.0</v>
      </c>
      <c r="E4967" s="24"/>
      <c r="F4967" s="14" t="s">
        <v>6012</v>
      </c>
      <c r="G4967" s="14">
        <v>605.0</v>
      </c>
      <c r="H4967" s="14">
        <v>0.0</v>
      </c>
      <c r="I4967" s="14" t="s">
        <v>6059</v>
      </c>
      <c r="J4967" s="14" t="s">
        <v>6012</v>
      </c>
      <c r="K4967" s="14" t="s">
        <v>6012</v>
      </c>
      <c r="L4967" s="14">
        <v>0.0</v>
      </c>
    </row>
    <row r="4968">
      <c r="A4968" s="14">
        <v>5.0</v>
      </c>
      <c r="B4968" s="14">
        <v>2.0</v>
      </c>
      <c r="C4968" s="34">
        <v>3.75</v>
      </c>
      <c r="D4968" s="36">
        <v>45220.0</v>
      </c>
      <c r="E4968" s="24"/>
      <c r="F4968" s="14">
        <v>1.88</v>
      </c>
      <c r="G4968" s="14">
        <v>750.0</v>
      </c>
      <c r="H4968" s="14">
        <v>40.0</v>
      </c>
      <c r="I4968" s="14" t="s">
        <v>6064</v>
      </c>
      <c r="J4968" s="14">
        <v>0.0</v>
      </c>
      <c r="K4968" s="14" t="s">
        <v>6012</v>
      </c>
      <c r="L4968" s="14">
        <v>0.0</v>
      </c>
    </row>
    <row r="4969">
      <c r="A4969" s="14">
        <v>27.0</v>
      </c>
      <c r="B4969" s="14">
        <v>0.0</v>
      </c>
      <c r="C4969" s="34">
        <v>9.37</v>
      </c>
      <c r="D4969" s="36">
        <v>45220.0</v>
      </c>
      <c r="E4969" s="24"/>
      <c r="F4969" s="14" t="s">
        <v>6012</v>
      </c>
      <c r="G4969" s="14">
        <v>347.04</v>
      </c>
      <c r="H4969" s="14">
        <v>0.0</v>
      </c>
      <c r="I4969" s="14" t="s">
        <v>6042</v>
      </c>
      <c r="J4969" s="14" t="s">
        <v>6012</v>
      </c>
      <c r="K4969" s="14" t="s">
        <v>6012</v>
      </c>
      <c r="L4969" s="14">
        <v>0.0</v>
      </c>
    </row>
    <row r="4970">
      <c r="A4970" s="14">
        <v>366.0</v>
      </c>
      <c r="B4970" s="14">
        <v>11.0</v>
      </c>
      <c r="C4970" s="34">
        <v>8.34</v>
      </c>
      <c r="D4970" s="36">
        <v>45220.0</v>
      </c>
      <c r="E4970" s="24"/>
      <c r="F4970" s="14">
        <v>0.76</v>
      </c>
      <c r="G4970" s="14">
        <v>22.79</v>
      </c>
      <c r="H4970" s="14">
        <v>3.01</v>
      </c>
      <c r="I4970" s="14" t="s">
        <v>6051</v>
      </c>
      <c r="J4970" s="14">
        <v>9.09</v>
      </c>
      <c r="K4970" s="14">
        <v>8.34</v>
      </c>
      <c r="L4970" s="14">
        <v>0.0</v>
      </c>
    </row>
    <row r="4971">
      <c r="A4971" s="14">
        <v>13.0</v>
      </c>
      <c r="B4971" s="14">
        <v>0.0</v>
      </c>
      <c r="C4971" s="34">
        <v>6.43</v>
      </c>
      <c r="D4971" s="36">
        <v>45220.0</v>
      </c>
      <c r="E4971" s="24"/>
      <c r="F4971" s="14" t="s">
        <v>6012</v>
      </c>
      <c r="G4971" s="14">
        <v>494.62</v>
      </c>
      <c r="H4971" s="14">
        <v>0.0</v>
      </c>
      <c r="I4971" s="14" t="s">
        <v>6063</v>
      </c>
      <c r="J4971" s="14" t="s">
        <v>6012</v>
      </c>
      <c r="K4971" s="14" t="s">
        <v>6012</v>
      </c>
      <c r="L4971" s="14">
        <v>0.0</v>
      </c>
    </row>
    <row r="4972">
      <c r="A4972" s="14">
        <v>21.0</v>
      </c>
      <c r="B4972" s="14">
        <v>0.0</v>
      </c>
      <c r="C4972" s="34">
        <v>4.8</v>
      </c>
      <c r="D4972" s="36">
        <v>45220.0</v>
      </c>
      <c r="E4972" s="24"/>
      <c r="F4972" s="14" t="s">
        <v>6012</v>
      </c>
      <c r="G4972" s="14">
        <v>228.57</v>
      </c>
      <c r="H4972" s="14">
        <v>0.0</v>
      </c>
      <c r="I4972" s="14" t="s">
        <v>6061</v>
      </c>
      <c r="J4972" s="14" t="s">
        <v>6012</v>
      </c>
      <c r="K4972" s="14" t="s">
        <v>6012</v>
      </c>
      <c r="L4972" s="14">
        <v>0.0</v>
      </c>
    </row>
    <row r="4973">
      <c r="A4973" s="14">
        <v>635.0</v>
      </c>
      <c r="B4973" s="14">
        <v>2.0</v>
      </c>
      <c r="C4973" s="34">
        <v>10.81</v>
      </c>
      <c r="D4973" s="36">
        <v>45220.0</v>
      </c>
      <c r="E4973" s="24"/>
      <c r="F4973" s="14">
        <v>5.4</v>
      </c>
      <c r="G4973" s="14">
        <v>17.02</v>
      </c>
      <c r="H4973" s="14">
        <v>0.31</v>
      </c>
      <c r="I4973" s="14" t="s">
        <v>6050</v>
      </c>
      <c r="J4973" s="14">
        <v>0.0</v>
      </c>
      <c r="K4973" s="14" t="s">
        <v>6012</v>
      </c>
      <c r="L4973" s="14">
        <v>0.0</v>
      </c>
    </row>
    <row r="4974">
      <c r="A4974" s="14">
        <v>333.0</v>
      </c>
      <c r="B4974" s="14">
        <v>4.0</v>
      </c>
      <c r="C4974" s="34">
        <v>6.07</v>
      </c>
      <c r="D4974" s="36">
        <v>45220.0</v>
      </c>
      <c r="E4974" s="24"/>
      <c r="F4974" s="14">
        <v>1.52</v>
      </c>
      <c r="G4974" s="14">
        <v>18.23</v>
      </c>
      <c r="H4974" s="14">
        <v>1.2</v>
      </c>
      <c r="I4974" s="14" t="s">
        <v>6060</v>
      </c>
      <c r="J4974" s="14">
        <v>0.0</v>
      </c>
      <c r="K4974" s="14" t="s">
        <v>6012</v>
      </c>
      <c r="L4974" s="14">
        <v>0.0</v>
      </c>
    </row>
    <row r="4975">
      <c r="A4975" s="14">
        <v>15.0</v>
      </c>
      <c r="B4975" s="14">
        <v>0.0</v>
      </c>
      <c r="C4975" s="34">
        <v>8.04</v>
      </c>
      <c r="D4975" s="36">
        <v>45220.0</v>
      </c>
      <c r="E4975" s="24"/>
      <c r="F4975" s="14" t="s">
        <v>6012</v>
      </c>
      <c r="G4975" s="14">
        <v>536.0</v>
      </c>
      <c r="H4975" s="14">
        <v>0.0</v>
      </c>
      <c r="I4975" s="14" t="s">
        <v>6057</v>
      </c>
      <c r="J4975" s="14" t="s">
        <v>6012</v>
      </c>
      <c r="K4975" s="14" t="s">
        <v>6012</v>
      </c>
      <c r="L4975" s="14">
        <v>0.0</v>
      </c>
    </row>
    <row r="4976">
      <c r="A4976" s="14">
        <v>49.0</v>
      </c>
      <c r="B4976" s="14">
        <v>0.0</v>
      </c>
      <c r="C4976" s="34">
        <v>7.49</v>
      </c>
      <c r="D4976" s="36">
        <v>45220.0</v>
      </c>
      <c r="E4976" s="24"/>
      <c r="F4976" s="14" t="s">
        <v>6012</v>
      </c>
      <c r="G4976" s="14">
        <v>152.86</v>
      </c>
      <c r="H4976" s="14">
        <v>0.0</v>
      </c>
      <c r="I4976" s="14" t="s">
        <v>6058</v>
      </c>
      <c r="J4976" s="14" t="s">
        <v>6012</v>
      </c>
      <c r="K4976" s="14" t="s">
        <v>6012</v>
      </c>
      <c r="L4976" s="14">
        <v>0.0</v>
      </c>
    </row>
    <row r="4977">
      <c r="A4977" s="14">
        <v>6.0</v>
      </c>
      <c r="B4977" s="14">
        <v>2.0</v>
      </c>
      <c r="C4977" s="34">
        <v>4.5</v>
      </c>
      <c r="D4977" s="36">
        <v>45221.0</v>
      </c>
      <c r="E4977" s="24"/>
      <c r="F4977" s="14">
        <v>2.25</v>
      </c>
      <c r="G4977" s="14">
        <v>750.0</v>
      </c>
      <c r="H4977" s="14">
        <v>33.33</v>
      </c>
      <c r="I4977" s="14" t="s">
        <v>6064</v>
      </c>
      <c r="J4977" s="14">
        <v>0.0</v>
      </c>
      <c r="K4977" s="14" t="s">
        <v>6012</v>
      </c>
      <c r="L4977" s="14">
        <v>0.0</v>
      </c>
    </row>
    <row r="4978">
      <c r="A4978" s="14">
        <v>219.0</v>
      </c>
      <c r="B4978" s="14">
        <v>4.0</v>
      </c>
      <c r="C4978" s="34">
        <v>7.05</v>
      </c>
      <c r="D4978" s="36">
        <v>45221.0</v>
      </c>
      <c r="E4978" s="24"/>
      <c r="F4978" s="14">
        <v>1.76</v>
      </c>
      <c r="G4978" s="14">
        <v>32.19</v>
      </c>
      <c r="H4978" s="14">
        <v>1.83</v>
      </c>
      <c r="I4978" s="14" t="s">
        <v>6051</v>
      </c>
      <c r="J4978" s="14">
        <v>0.0</v>
      </c>
      <c r="K4978" s="14" t="s">
        <v>6012</v>
      </c>
      <c r="L4978" s="14">
        <v>0.0</v>
      </c>
    </row>
    <row r="4979">
      <c r="A4979" s="14">
        <v>7.0</v>
      </c>
      <c r="B4979" s="14">
        <v>0.0</v>
      </c>
      <c r="C4979" s="34">
        <v>0.31</v>
      </c>
      <c r="D4979" s="36">
        <v>45221.0</v>
      </c>
      <c r="E4979" s="24"/>
      <c r="F4979" s="14" t="s">
        <v>6012</v>
      </c>
      <c r="G4979" s="14">
        <v>44.29</v>
      </c>
      <c r="H4979" s="14">
        <v>0.0</v>
      </c>
      <c r="I4979" s="14" t="s">
        <v>6063</v>
      </c>
      <c r="J4979" s="14" t="s">
        <v>6012</v>
      </c>
      <c r="K4979" s="14" t="s">
        <v>6012</v>
      </c>
      <c r="L4979" s="14">
        <v>0.0</v>
      </c>
    </row>
    <row r="4980">
      <c r="A4980" s="14">
        <v>53.0</v>
      </c>
      <c r="B4980" s="14">
        <v>0.0</v>
      </c>
      <c r="C4980" s="34">
        <v>6.16</v>
      </c>
      <c r="D4980" s="36">
        <v>45221.0</v>
      </c>
      <c r="E4980" s="24"/>
      <c r="F4980" s="14" t="s">
        <v>6012</v>
      </c>
      <c r="G4980" s="14">
        <v>116.23</v>
      </c>
      <c r="H4980" s="14">
        <v>0.0</v>
      </c>
      <c r="I4980" s="14" t="s">
        <v>6060</v>
      </c>
      <c r="J4980" s="14" t="s">
        <v>6012</v>
      </c>
      <c r="K4980" s="14">
        <v>6.16</v>
      </c>
      <c r="L4980" s="14">
        <v>0.0</v>
      </c>
    </row>
    <row r="4981">
      <c r="A4981" s="14">
        <v>58.0</v>
      </c>
      <c r="B4981" s="14">
        <v>0.0</v>
      </c>
      <c r="C4981" s="34">
        <v>5.46</v>
      </c>
      <c r="D4981" s="36">
        <v>45221.0</v>
      </c>
      <c r="E4981" s="24"/>
      <c r="F4981" s="14" t="s">
        <v>6012</v>
      </c>
      <c r="G4981" s="14">
        <v>94.14</v>
      </c>
      <c r="H4981" s="14">
        <v>0.0</v>
      </c>
      <c r="I4981" s="14" t="s">
        <v>6042</v>
      </c>
      <c r="J4981" s="14" t="s">
        <v>6012</v>
      </c>
      <c r="K4981" s="14" t="s">
        <v>6012</v>
      </c>
      <c r="L4981" s="14">
        <v>0.0</v>
      </c>
    </row>
    <row r="4982">
      <c r="A4982" s="14">
        <v>918.0</v>
      </c>
      <c r="B4982" s="14">
        <v>8.0</v>
      </c>
      <c r="C4982" s="34">
        <v>10.88</v>
      </c>
      <c r="D4982" s="36">
        <v>45221.0</v>
      </c>
      <c r="E4982" s="24"/>
      <c r="F4982" s="14">
        <v>1.36</v>
      </c>
      <c r="G4982" s="14">
        <v>11.85</v>
      </c>
      <c r="H4982" s="14">
        <v>0.87</v>
      </c>
      <c r="I4982" s="14" t="s">
        <v>6050</v>
      </c>
      <c r="J4982" s="14">
        <v>0.0</v>
      </c>
      <c r="K4982" s="14" t="s">
        <v>6012</v>
      </c>
      <c r="L4982" s="14">
        <v>0.0</v>
      </c>
    </row>
    <row r="4983">
      <c r="A4983" s="14">
        <v>21.0</v>
      </c>
      <c r="B4983" s="14">
        <v>0.0</v>
      </c>
      <c r="C4983" s="34">
        <v>4.87</v>
      </c>
      <c r="D4983" s="36">
        <v>45221.0</v>
      </c>
      <c r="E4983" s="24"/>
      <c r="F4983" s="14" t="s">
        <v>6012</v>
      </c>
      <c r="G4983" s="14">
        <v>231.9</v>
      </c>
      <c r="H4983" s="14">
        <v>0.0</v>
      </c>
      <c r="I4983" s="14" t="s">
        <v>6058</v>
      </c>
      <c r="J4983" s="14" t="s">
        <v>6012</v>
      </c>
      <c r="K4983" s="14" t="s">
        <v>6012</v>
      </c>
      <c r="L4983" s="14">
        <v>0.0</v>
      </c>
    </row>
    <row r="4984">
      <c r="A4984" s="14">
        <v>202.0</v>
      </c>
      <c r="B4984" s="14">
        <v>1.0</v>
      </c>
      <c r="C4984" s="34">
        <v>4.03</v>
      </c>
      <c r="D4984" s="36">
        <v>45221.0</v>
      </c>
      <c r="E4984" s="24"/>
      <c r="F4984" s="14">
        <v>4.03</v>
      </c>
      <c r="G4984" s="14">
        <v>19.95</v>
      </c>
      <c r="H4984" s="14">
        <v>0.5</v>
      </c>
      <c r="I4984" s="14" t="s">
        <v>6062</v>
      </c>
      <c r="J4984" s="14">
        <v>0.0</v>
      </c>
      <c r="K4984" s="14" t="s">
        <v>6012</v>
      </c>
      <c r="L4984" s="14">
        <v>0.0</v>
      </c>
    </row>
    <row r="4985">
      <c r="A4985" s="14">
        <v>11.0</v>
      </c>
      <c r="B4985" s="14">
        <v>0.0</v>
      </c>
      <c r="C4985" s="34">
        <v>3.09</v>
      </c>
      <c r="D4985" s="36">
        <v>45221.0</v>
      </c>
      <c r="E4985" s="24"/>
      <c r="F4985" s="14" t="s">
        <v>6012</v>
      </c>
      <c r="G4985" s="14">
        <v>280.91</v>
      </c>
      <c r="H4985" s="14">
        <v>0.0</v>
      </c>
      <c r="I4985" s="14" t="s">
        <v>6059</v>
      </c>
      <c r="J4985" s="14" t="s">
        <v>6012</v>
      </c>
      <c r="K4985" s="14" t="s">
        <v>6012</v>
      </c>
      <c r="L4985" s="14">
        <v>0.0</v>
      </c>
    </row>
    <row r="4986">
      <c r="A4986" s="14">
        <v>14.0</v>
      </c>
      <c r="B4986" s="14">
        <v>0.0</v>
      </c>
      <c r="C4986" s="34">
        <v>3.47</v>
      </c>
      <c r="D4986" s="36">
        <v>45221.0</v>
      </c>
      <c r="E4986" s="24"/>
      <c r="F4986" s="14" t="s">
        <v>6012</v>
      </c>
      <c r="G4986" s="14">
        <v>247.86</v>
      </c>
      <c r="H4986" s="14">
        <v>0.0</v>
      </c>
      <c r="I4986" s="14" t="s">
        <v>6061</v>
      </c>
      <c r="J4986" s="14" t="s">
        <v>6012</v>
      </c>
      <c r="K4986" s="14" t="s">
        <v>6012</v>
      </c>
      <c r="L4986" s="14">
        <v>0.0</v>
      </c>
    </row>
    <row r="4987">
      <c r="A4987" s="14">
        <v>11.0</v>
      </c>
      <c r="B4987" s="14">
        <v>0.0</v>
      </c>
      <c r="C4987" s="34">
        <v>3.56</v>
      </c>
      <c r="D4987" s="36">
        <v>45221.0</v>
      </c>
      <c r="E4987" s="24"/>
      <c r="F4987" s="14" t="s">
        <v>6012</v>
      </c>
      <c r="G4987" s="14">
        <v>323.64</v>
      </c>
      <c r="H4987" s="14">
        <v>0.0</v>
      </c>
      <c r="I4987" s="14" t="s">
        <v>6057</v>
      </c>
      <c r="J4987" s="14" t="s">
        <v>6012</v>
      </c>
      <c r="K4987" s="14" t="s">
        <v>6012</v>
      </c>
      <c r="L4987" s="14">
        <v>0.0</v>
      </c>
    </row>
    <row r="4988">
      <c r="A4988" s="14">
        <v>56.0</v>
      </c>
      <c r="B4988" s="14">
        <v>1.0</v>
      </c>
      <c r="C4988" s="34">
        <v>12.67</v>
      </c>
      <c r="D4988" s="36">
        <v>45222.0</v>
      </c>
      <c r="E4988" s="24"/>
      <c r="F4988" s="14">
        <v>12.67</v>
      </c>
      <c r="G4988" s="14">
        <v>226.25</v>
      </c>
      <c r="H4988" s="14">
        <v>1.79</v>
      </c>
      <c r="I4988" s="14" t="s">
        <v>6061</v>
      </c>
      <c r="J4988" s="14">
        <v>0.0</v>
      </c>
      <c r="K4988" s="14" t="s">
        <v>6012</v>
      </c>
      <c r="L4988" s="14">
        <v>0.0</v>
      </c>
    </row>
    <row r="4989">
      <c r="A4989" s="14">
        <v>29.0</v>
      </c>
      <c r="B4989" s="14">
        <v>0.0</v>
      </c>
      <c r="C4989" s="34">
        <v>13.45</v>
      </c>
      <c r="D4989" s="36">
        <v>45222.0</v>
      </c>
      <c r="E4989" s="24"/>
      <c r="F4989" s="14" t="s">
        <v>6012</v>
      </c>
      <c r="G4989" s="14">
        <v>463.79</v>
      </c>
      <c r="H4989" s="14">
        <v>0.0</v>
      </c>
      <c r="I4989" s="14" t="s">
        <v>6059</v>
      </c>
      <c r="J4989" s="14" t="s">
        <v>6012</v>
      </c>
      <c r="K4989" s="14" t="s">
        <v>6012</v>
      </c>
      <c r="L4989" s="14">
        <v>0.0</v>
      </c>
    </row>
    <row r="4990">
      <c r="A4990" s="14">
        <v>58.0</v>
      </c>
      <c r="B4990" s="14">
        <v>1.0</v>
      </c>
      <c r="C4990" s="34">
        <v>14.88</v>
      </c>
      <c r="D4990" s="36">
        <v>45222.0</v>
      </c>
      <c r="E4990" s="24"/>
      <c r="F4990" s="14">
        <v>14.88</v>
      </c>
      <c r="G4990" s="14">
        <v>256.55</v>
      </c>
      <c r="H4990" s="14">
        <v>1.72</v>
      </c>
      <c r="I4990" s="14" t="s">
        <v>6042</v>
      </c>
      <c r="J4990" s="14">
        <v>0.0</v>
      </c>
      <c r="K4990" s="14" t="s">
        <v>6012</v>
      </c>
      <c r="L4990" s="14">
        <v>0.0</v>
      </c>
    </row>
    <row r="4991">
      <c r="A4991" s="14">
        <v>48.0</v>
      </c>
      <c r="B4991" s="14">
        <v>0.0</v>
      </c>
      <c r="C4991" s="34">
        <v>13.56</v>
      </c>
      <c r="D4991" s="36">
        <v>45222.0</v>
      </c>
      <c r="E4991" s="24"/>
      <c r="F4991" s="14" t="s">
        <v>6012</v>
      </c>
      <c r="G4991" s="14">
        <v>282.5</v>
      </c>
      <c r="H4991" s="14">
        <v>0.0</v>
      </c>
      <c r="I4991" s="14" t="s">
        <v>6063</v>
      </c>
      <c r="J4991" s="14" t="s">
        <v>6012</v>
      </c>
      <c r="K4991" s="14" t="s">
        <v>6012</v>
      </c>
      <c r="L4991" s="14">
        <v>0.0</v>
      </c>
    </row>
    <row r="4992">
      <c r="A4992" s="14">
        <v>474.0</v>
      </c>
      <c r="B4992" s="14">
        <v>6.0</v>
      </c>
      <c r="C4992" s="34">
        <v>10.99</v>
      </c>
      <c r="D4992" s="36">
        <v>45222.0</v>
      </c>
      <c r="E4992" s="24"/>
      <c r="F4992" s="14">
        <v>1.83</v>
      </c>
      <c r="G4992" s="14">
        <v>23.19</v>
      </c>
      <c r="H4992" s="14">
        <v>1.27</v>
      </c>
      <c r="I4992" s="14" t="s">
        <v>6051</v>
      </c>
      <c r="J4992" s="14">
        <v>16.67</v>
      </c>
      <c r="K4992" s="14">
        <v>10.99</v>
      </c>
      <c r="L4992" s="14">
        <v>0.0</v>
      </c>
    </row>
    <row r="4993">
      <c r="A4993" s="14">
        <v>127.0</v>
      </c>
      <c r="B4993" s="14">
        <v>0.0</v>
      </c>
      <c r="C4993" s="34">
        <v>11.38</v>
      </c>
      <c r="D4993" s="36">
        <v>45222.0</v>
      </c>
      <c r="E4993" s="24"/>
      <c r="F4993" s="14" t="s">
        <v>6012</v>
      </c>
      <c r="G4993" s="14">
        <v>89.61</v>
      </c>
      <c r="H4993" s="14">
        <v>0.0</v>
      </c>
      <c r="I4993" s="14" t="s">
        <v>6062</v>
      </c>
      <c r="J4993" s="14" t="s">
        <v>6012</v>
      </c>
      <c r="K4993" s="14">
        <v>3.79</v>
      </c>
      <c r="L4993" s="14">
        <v>0.0</v>
      </c>
    </row>
    <row r="4994">
      <c r="A4994" s="14">
        <v>325.0</v>
      </c>
      <c r="B4994" s="14">
        <v>4.0</v>
      </c>
      <c r="C4994" s="34">
        <v>11.99</v>
      </c>
      <c r="D4994" s="36">
        <v>45222.0</v>
      </c>
      <c r="E4994" s="24"/>
      <c r="F4994" s="14">
        <v>3.0</v>
      </c>
      <c r="G4994" s="14">
        <v>36.89</v>
      </c>
      <c r="H4994" s="14">
        <v>1.23</v>
      </c>
      <c r="I4994" s="14" t="s">
        <v>6060</v>
      </c>
      <c r="J4994" s="14">
        <v>25.0</v>
      </c>
      <c r="K4994" s="14">
        <v>11.99</v>
      </c>
      <c r="L4994" s="14">
        <v>0.0</v>
      </c>
    </row>
    <row r="4995">
      <c r="A4995" s="14">
        <v>37.0</v>
      </c>
      <c r="B4995" s="14">
        <v>2.0</v>
      </c>
      <c r="C4995" s="34">
        <v>13.2</v>
      </c>
      <c r="D4995" s="36">
        <v>45222.0</v>
      </c>
      <c r="E4995" s="24"/>
      <c r="F4995" s="14">
        <v>6.6</v>
      </c>
      <c r="G4995" s="14">
        <v>356.76</v>
      </c>
      <c r="H4995" s="14">
        <v>5.41</v>
      </c>
      <c r="I4995" s="14" t="s">
        <v>6058</v>
      </c>
      <c r="J4995" s="14">
        <v>0.0</v>
      </c>
      <c r="K4995" s="14" t="s">
        <v>6012</v>
      </c>
      <c r="L4995" s="14">
        <v>0.0</v>
      </c>
    </row>
    <row r="4996">
      <c r="A4996" s="14">
        <v>8.0</v>
      </c>
      <c r="B4996" s="14">
        <v>4.0</v>
      </c>
      <c r="C4996" s="34">
        <v>6.0</v>
      </c>
      <c r="D4996" s="36">
        <v>45222.0</v>
      </c>
      <c r="E4996" s="24"/>
      <c r="F4996" s="14">
        <v>1.5</v>
      </c>
      <c r="G4996" s="14">
        <v>750.0</v>
      </c>
      <c r="H4996" s="14">
        <v>50.0</v>
      </c>
      <c r="I4996" s="14" t="s">
        <v>6064</v>
      </c>
      <c r="J4996" s="14">
        <v>0.0</v>
      </c>
      <c r="K4996" s="14" t="s">
        <v>6012</v>
      </c>
      <c r="L4996" s="14">
        <v>0.0</v>
      </c>
    </row>
    <row r="4997">
      <c r="A4997" s="14">
        <v>43.0</v>
      </c>
      <c r="B4997" s="14">
        <v>0.0</v>
      </c>
      <c r="C4997" s="34">
        <v>14.44</v>
      </c>
      <c r="D4997" s="36">
        <v>45222.0</v>
      </c>
      <c r="E4997" s="24"/>
      <c r="F4997" s="14" t="s">
        <v>6012</v>
      </c>
      <c r="G4997" s="14">
        <v>335.81</v>
      </c>
      <c r="H4997" s="14">
        <v>0.0</v>
      </c>
      <c r="I4997" s="14" t="s">
        <v>6057</v>
      </c>
      <c r="J4997" s="14" t="s">
        <v>6012</v>
      </c>
      <c r="K4997" s="14" t="s">
        <v>6012</v>
      </c>
      <c r="L4997" s="14">
        <v>0.0</v>
      </c>
    </row>
    <row r="4998">
      <c r="A4998" s="14">
        <v>1307.0</v>
      </c>
      <c r="B4998" s="14">
        <v>3.0</v>
      </c>
      <c r="C4998" s="34">
        <v>10.67</v>
      </c>
      <c r="D4998" s="36">
        <v>45222.0</v>
      </c>
      <c r="E4998" s="24"/>
      <c r="F4998" s="14">
        <v>3.56</v>
      </c>
      <c r="G4998" s="14">
        <v>8.16</v>
      </c>
      <c r="H4998" s="14">
        <v>0.23</v>
      </c>
      <c r="I4998" s="14" t="s">
        <v>6050</v>
      </c>
      <c r="J4998" s="14">
        <v>0.0</v>
      </c>
      <c r="K4998" s="14" t="s">
        <v>6012</v>
      </c>
      <c r="L4998" s="14">
        <v>0.0</v>
      </c>
    </row>
    <row r="4999">
      <c r="A4999" s="14">
        <v>392.0</v>
      </c>
      <c r="B4999" s="14">
        <v>6.0</v>
      </c>
      <c r="C4999" s="34">
        <v>12.21</v>
      </c>
      <c r="D4999" s="36">
        <v>45223.0</v>
      </c>
      <c r="E4999" s="24"/>
      <c r="F4999" s="14">
        <v>2.04</v>
      </c>
      <c r="G4999" s="14">
        <v>31.15</v>
      </c>
      <c r="H4999" s="14">
        <v>1.53</v>
      </c>
      <c r="I4999" s="14" t="s">
        <v>6051</v>
      </c>
      <c r="J4999" s="14">
        <v>0.0</v>
      </c>
      <c r="K4999" s="14" t="s">
        <v>6012</v>
      </c>
      <c r="L4999" s="14">
        <v>0.0</v>
      </c>
    </row>
    <row r="5000">
      <c r="A5000" s="14">
        <v>56.0</v>
      </c>
      <c r="B5000" s="14">
        <v>0.0</v>
      </c>
      <c r="C5000" s="34">
        <v>14.89</v>
      </c>
      <c r="D5000" s="36">
        <v>45223.0</v>
      </c>
      <c r="E5000" s="24"/>
      <c r="F5000" s="14" t="s">
        <v>6012</v>
      </c>
      <c r="G5000" s="14">
        <v>265.89</v>
      </c>
      <c r="H5000" s="14">
        <v>0.0</v>
      </c>
      <c r="I5000" s="14" t="s">
        <v>6061</v>
      </c>
      <c r="J5000" s="14" t="s">
        <v>6012</v>
      </c>
      <c r="K5000" s="14" t="s">
        <v>6012</v>
      </c>
      <c r="L5000" s="14">
        <v>0.0</v>
      </c>
    </row>
    <row r="5001">
      <c r="A5001" s="14">
        <v>55.0</v>
      </c>
      <c r="B5001" s="14">
        <v>1.0</v>
      </c>
      <c r="C5001" s="34">
        <v>12.91</v>
      </c>
      <c r="D5001" s="36">
        <v>45223.0</v>
      </c>
      <c r="E5001" s="24"/>
      <c r="F5001" s="14">
        <v>12.91</v>
      </c>
      <c r="G5001" s="14">
        <v>234.73</v>
      </c>
      <c r="H5001" s="14">
        <v>1.82</v>
      </c>
      <c r="I5001" s="14" t="s">
        <v>6062</v>
      </c>
      <c r="J5001" s="14">
        <v>0.0</v>
      </c>
      <c r="K5001" s="14" t="s">
        <v>6012</v>
      </c>
      <c r="L5001" s="14">
        <v>0.0</v>
      </c>
    </row>
    <row r="5002">
      <c r="A5002" s="14">
        <v>77.0</v>
      </c>
      <c r="B5002" s="14">
        <v>0.0</v>
      </c>
      <c r="C5002" s="34">
        <v>12.45</v>
      </c>
      <c r="D5002" s="36">
        <v>45223.0</v>
      </c>
      <c r="E5002" s="24"/>
      <c r="F5002" s="14" t="s">
        <v>6012</v>
      </c>
      <c r="G5002" s="14">
        <v>161.69</v>
      </c>
      <c r="H5002" s="14">
        <v>0.0</v>
      </c>
      <c r="I5002" s="14" t="s">
        <v>6060</v>
      </c>
      <c r="J5002" s="14" t="s">
        <v>6012</v>
      </c>
      <c r="K5002" s="14" t="s">
        <v>6012</v>
      </c>
      <c r="L5002" s="14">
        <v>0.0</v>
      </c>
    </row>
    <row r="5003">
      <c r="A5003" s="14">
        <v>51.0</v>
      </c>
      <c r="B5003" s="14">
        <v>0.0</v>
      </c>
      <c r="C5003" s="34">
        <v>14.05</v>
      </c>
      <c r="D5003" s="36">
        <v>45223.0</v>
      </c>
      <c r="E5003" s="24"/>
      <c r="F5003" s="14" t="s">
        <v>6012</v>
      </c>
      <c r="G5003" s="14">
        <v>275.49</v>
      </c>
      <c r="H5003" s="14">
        <v>0.0</v>
      </c>
      <c r="I5003" s="14" t="s">
        <v>6042</v>
      </c>
      <c r="J5003" s="14" t="s">
        <v>6012</v>
      </c>
      <c r="K5003" s="14" t="s">
        <v>6012</v>
      </c>
      <c r="L5003" s="14">
        <v>0.0</v>
      </c>
    </row>
    <row r="5004">
      <c r="A5004" s="14">
        <v>5.0</v>
      </c>
      <c r="B5004" s="14">
        <v>3.0</v>
      </c>
      <c r="C5004" s="34">
        <v>3.75</v>
      </c>
      <c r="D5004" s="36">
        <v>45223.0</v>
      </c>
      <c r="E5004" s="24"/>
      <c r="F5004" s="14">
        <v>1.25</v>
      </c>
      <c r="G5004" s="14">
        <v>750.0</v>
      </c>
      <c r="H5004" s="14">
        <v>60.0</v>
      </c>
      <c r="I5004" s="14" t="s">
        <v>6064</v>
      </c>
      <c r="J5004" s="14">
        <v>0.0</v>
      </c>
      <c r="K5004" s="14" t="s">
        <v>6012</v>
      </c>
      <c r="L5004" s="14">
        <v>0.0</v>
      </c>
    </row>
    <row r="5005">
      <c r="A5005" s="14">
        <v>25.0</v>
      </c>
      <c r="B5005" s="14">
        <v>1.0</v>
      </c>
      <c r="C5005" s="34">
        <v>14.18</v>
      </c>
      <c r="D5005" s="36">
        <v>45223.0</v>
      </c>
      <c r="E5005" s="24"/>
      <c r="F5005" s="14">
        <v>14.18</v>
      </c>
      <c r="G5005" s="14">
        <v>567.2</v>
      </c>
      <c r="H5005" s="14">
        <v>4.0</v>
      </c>
      <c r="I5005" s="14" t="s">
        <v>6059</v>
      </c>
      <c r="J5005" s="14">
        <v>0.0</v>
      </c>
      <c r="K5005" s="14" t="s">
        <v>6012</v>
      </c>
      <c r="L5005" s="14">
        <v>0.0</v>
      </c>
    </row>
    <row r="5006">
      <c r="A5006" s="14">
        <v>37.0</v>
      </c>
      <c r="B5006" s="14">
        <v>0.0</v>
      </c>
      <c r="C5006" s="34">
        <v>13.04</v>
      </c>
      <c r="D5006" s="36">
        <v>45223.0</v>
      </c>
      <c r="E5006" s="24"/>
      <c r="F5006" s="14" t="s">
        <v>6012</v>
      </c>
      <c r="G5006" s="14">
        <v>352.43</v>
      </c>
      <c r="H5006" s="14">
        <v>0.0</v>
      </c>
      <c r="I5006" s="14" t="s">
        <v>6057</v>
      </c>
      <c r="J5006" s="14" t="s">
        <v>6012</v>
      </c>
      <c r="K5006" s="14" t="s">
        <v>6012</v>
      </c>
      <c r="L5006" s="14">
        <v>0.0</v>
      </c>
    </row>
    <row r="5007">
      <c r="A5007" s="14">
        <v>33.0</v>
      </c>
      <c r="B5007" s="14">
        <v>0.0</v>
      </c>
      <c r="C5007" s="34">
        <v>14.8</v>
      </c>
      <c r="D5007" s="36">
        <v>45223.0</v>
      </c>
      <c r="E5007" s="24"/>
      <c r="F5007" s="14" t="s">
        <v>6012</v>
      </c>
      <c r="G5007" s="14">
        <v>448.48</v>
      </c>
      <c r="H5007" s="14">
        <v>0.0</v>
      </c>
      <c r="I5007" s="14" t="s">
        <v>6058</v>
      </c>
      <c r="J5007" s="14" t="s">
        <v>6012</v>
      </c>
      <c r="K5007" s="14" t="s">
        <v>6012</v>
      </c>
      <c r="L5007" s="14">
        <v>0.0</v>
      </c>
    </row>
    <row r="5008">
      <c r="A5008" s="14">
        <v>1359.0</v>
      </c>
      <c r="B5008" s="14">
        <v>4.0</v>
      </c>
      <c r="C5008" s="34">
        <v>11.89</v>
      </c>
      <c r="D5008" s="36">
        <v>45223.0</v>
      </c>
      <c r="E5008" s="24"/>
      <c r="F5008" s="14">
        <v>2.97</v>
      </c>
      <c r="G5008" s="14">
        <v>8.75</v>
      </c>
      <c r="H5008" s="14">
        <v>0.29</v>
      </c>
      <c r="I5008" s="14" t="s">
        <v>6050</v>
      </c>
      <c r="J5008" s="14">
        <v>0.0</v>
      </c>
      <c r="K5008" s="14" t="s">
        <v>6012</v>
      </c>
      <c r="L5008" s="14">
        <v>0.0</v>
      </c>
    </row>
    <row r="5009">
      <c r="A5009" s="14">
        <v>34.0</v>
      </c>
      <c r="B5009" s="14">
        <v>0.0</v>
      </c>
      <c r="C5009" s="34">
        <v>13.47</v>
      </c>
      <c r="D5009" s="36">
        <v>45223.0</v>
      </c>
      <c r="E5009" s="24"/>
      <c r="F5009" s="14" t="s">
        <v>6012</v>
      </c>
      <c r="G5009" s="14">
        <v>396.18</v>
      </c>
      <c r="H5009" s="14">
        <v>0.0</v>
      </c>
      <c r="I5009" s="14" t="s">
        <v>6063</v>
      </c>
      <c r="J5009" s="14" t="s">
        <v>6012</v>
      </c>
      <c r="K5009" s="14" t="s">
        <v>6012</v>
      </c>
      <c r="L5009" s="14">
        <v>0.0</v>
      </c>
    </row>
    <row r="5010">
      <c r="A5010" s="14">
        <v>85.0</v>
      </c>
      <c r="B5010" s="14">
        <v>0.0</v>
      </c>
      <c r="C5010" s="34">
        <v>12.4</v>
      </c>
      <c r="D5010" s="36">
        <v>45224.0</v>
      </c>
      <c r="E5010" s="24"/>
      <c r="F5010" s="14" t="s">
        <v>6012</v>
      </c>
      <c r="G5010" s="14">
        <v>145.88</v>
      </c>
      <c r="H5010" s="14">
        <v>0.0</v>
      </c>
      <c r="I5010" s="14" t="s">
        <v>6042</v>
      </c>
      <c r="J5010" s="14" t="s">
        <v>6012</v>
      </c>
      <c r="K5010" s="14">
        <v>12.4</v>
      </c>
      <c r="L5010" s="14">
        <v>0.0</v>
      </c>
    </row>
    <row r="5011">
      <c r="A5011" s="14">
        <v>766.0</v>
      </c>
      <c r="B5011" s="14">
        <v>9.0</v>
      </c>
      <c r="C5011" s="34">
        <v>12.11</v>
      </c>
      <c r="D5011" s="36">
        <v>45224.0</v>
      </c>
      <c r="E5011" s="24"/>
      <c r="F5011" s="14">
        <v>1.35</v>
      </c>
      <c r="G5011" s="14">
        <v>15.81</v>
      </c>
      <c r="H5011" s="14">
        <v>1.17</v>
      </c>
      <c r="I5011" s="14" t="s">
        <v>6051</v>
      </c>
      <c r="J5011" s="14">
        <v>22.22</v>
      </c>
      <c r="K5011" s="14">
        <v>6.06</v>
      </c>
      <c r="L5011" s="14">
        <v>0.0</v>
      </c>
    </row>
    <row r="5012">
      <c r="A5012" s="14">
        <v>3.0</v>
      </c>
      <c r="B5012" s="14">
        <v>2.0</v>
      </c>
      <c r="C5012" s="34">
        <v>2.25</v>
      </c>
      <c r="D5012" s="36">
        <v>45224.0</v>
      </c>
      <c r="E5012" s="24"/>
      <c r="F5012" s="14">
        <v>1.12</v>
      </c>
      <c r="G5012" s="14">
        <v>750.0</v>
      </c>
      <c r="H5012" s="14">
        <v>66.67</v>
      </c>
      <c r="I5012" s="14" t="s">
        <v>6064</v>
      </c>
      <c r="J5012" s="14">
        <v>0.0</v>
      </c>
      <c r="K5012" s="14" t="s">
        <v>6012</v>
      </c>
      <c r="L5012" s="14">
        <v>0.0</v>
      </c>
    </row>
    <row r="5013">
      <c r="A5013" s="14">
        <v>65.0</v>
      </c>
      <c r="B5013" s="14">
        <v>0.0</v>
      </c>
      <c r="C5013" s="34">
        <v>13.75</v>
      </c>
      <c r="D5013" s="36">
        <v>45224.0</v>
      </c>
      <c r="E5013" s="24"/>
      <c r="F5013" s="14" t="s">
        <v>6012</v>
      </c>
      <c r="G5013" s="14">
        <v>211.54</v>
      </c>
      <c r="H5013" s="14">
        <v>0.0</v>
      </c>
      <c r="I5013" s="14" t="s">
        <v>6058</v>
      </c>
      <c r="J5013" s="14" t="s">
        <v>6012</v>
      </c>
      <c r="K5013" s="14" t="s">
        <v>6012</v>
      </c>
      <c r="L5013" s="14">
        <v>0.0</v>
      </c>
    </row>
    <row r="5014">
      <c r="A5014" s="14">
        <v>1315.0</v>
      </c>
      <c r="B5014" s="14">
        <v>3.0</v>
      </c>
      <c r="C5014" s="34">
        <v>11.59</v>
      </c>
      <c r="D5014" s="36">
        <v>45224.0</v>
      </c>
      <c r="E5014" s="24"/>
      <c r="F5014" s="14">
        <v>3.86</v>
      </c>
      <c r="G5014" s="14">
        <v>8.81</v>
      </c>
      <c r="H5014" s="14">
        <v>0.23</v>
      </c>
      <c r="I5014" s="14" t="s">
        <v>6050</v>
      </c>
      <c r="J5014" s="14">
        <v>0.0</v>
      </c>
      <c r="K5014" s="14" t="s">
        <v>6012</v>
      </c>
      <c r="L5014" s="14">
        <v>0.0</v>
      </c>
    </row>
    <row r="5015">
      <c r="A5015" s="14">
        <v>33.0</v>
      </c>
      <c r="B5015" s="14">
        <v>1.0</v>
      </c>
      <c r="C5015" s="34">
        <v>14.18</v>
      </c>
      <c r="D5015" s="36">
        <v>45224.0</v>
      </c>
      <c r="E5015" s="24"/>
      <c r="F5015" s="14">
        <v>14.18</v>
      </c>
      <c r="G5015" s="14">
        <v>429.7</v>
      </c>
      <c r="H5015" s="14">
        <v>3.03</v>
      </c>
      <c r="I5015" s="14" t="s">
        <v>6063</v>
      </c>
      <c r="J5015" s="14">
        <v>100.0</v>
      </c>
      <c r="K5015" s="14">
        <v>14.18</v>
      </c>
      <c r="L5015" s="14">
        <v>0.0</v>
      </c>
    </row>
    <row r="5016">
      <c r="A5016" s="14">
        <v>170.0</v>
      </c>
      <c r="B5016" s="14">
        <v>0.0</v>
      </c>
      <c r="C5016" s="34">
        <v>12.8</v>
      </c>
      <c r="D5016" s="36">
        <v>45224.0</v>
      </c>
      <c r="E5016" s="24"/>
      <c r="F5016" s="14" t="s">
        <v>6012</v>
      </c>
      <c r="G5016" s="14">
        <v>75.29</v>
      </c>
      <c r="H5016" s="14">
        <v>0.0</v>
      </c>
      <c r="I5016" s="14" t="s">
        <v>6060</v>
      </c>
      <c r="J5016" s="14" t="s">
        <v>6012</v>
      </c>
      <c r="K5016" s="14" t="s">
        <v>6012</v>
      </c>
      <c r="L5016" s="14">
        <v>0.0</v>
      </c>
    </row>
    <row r="5017">
      <c r="A5017" s="14">
        <v>71.0</v>
      </c>
      <c r="B5017" s="14">
        <v>0.0</v>
      </c>
      <c r="C5017" s="34">
        <v>12.09</v>
      </c>
      <c r="D5017" s="36">
        <v>45224.0</v>
      </c>
      <c r="E5017" s="24"/>
      <c r="F5017" s="14" t="s">
        <v>6012</v>
      </c>
      <c r="G5017" s="14">
        <v>170.28</v>
      </c>
      <c r="H5017" s="14">
        <v>0.0</v>
      </c>
      <c r="I5017" s="14" t="s">
        <v>6062</v>
      </c>
      <c r="J5017" s="14" t="s">
        <v>6012</v>
      </c>
      <c r="K5017" s="14" t="s">
        <v>6012</v>
      </c>
      <c r="L5017" s="14">
        <v>0.0</v>
      </c>
    </row>
    <row r="5018">
      <c r="A5018" s="14">
        <v>43.0</v>
      </c>
      <c r="B5018" s="14">
        <v>0.0</v>
      </c>
      <c r="C5018" s="34">
        <v>12.87</v>
      </c>
      <c r="D5018" s="36">
        <v>45224.0</v>
      </c>
      <c r="E5018" s="24"/>
      <c r="F5018" s="14" t="s">
        <v>6012</v>
      </c>
      <c r="G5018" s="14">
        <v>299.3</v>
      </c>
      <c r="H5018" s="14">
        <v>0.0</v>
      </c>
      <c r="I5018" s="14" t="s">
        <v>6061</v>
      </c>
      <c r="J5018" s="14" t="s">
        <v>6012</v>
      </c>
      <c r="K5018" s="14" t="s">
        <v>6012</v>
      </c>
      <c r="L5018" s="14">
        <v>0.0</v>
      </c>
    </row>
    <row r="5019">
      <c r="A5019" s="14">
        <v>33.0</v>
      </c>
      <c r="B5019" s="14">
        <v>0.0</v>
      </c>
      <c r="C5019" s="34">
        <v>12.0</v>
      </c>
      <c r="D5019" s="36">
        <v>45224.0</v>
      </c>
      <c r="E5019" s="24"/>
      <c r="F5019" s="14" t="s">
        <v>6012</v>
      </c>
      <c r="G5019" s="14">
        <v>363.64</v>
      </c>
      <c r="H5019" s="14">
        <v>0.0</v>
      </c>
      <c r="I5019" s="14" t="s">
        <v>6057</v>
      </c>
      <c r="J5019" s="14" t="s">
        <v>6012</v>
      </c>
      <c r="K5019" s="14" t="s">
        <v>6012</v>
      </c>
      <c r="L5019" s="14">
        <v>0.0</v>
      </c>
    </row>
    <row r="5020">
      <c r="A5020" s="14">
        <v>36.0</v>
      </c>
      <c r="B5020" s="14">
        <v>0.0</v>
      </c>
      <c r="C5020" s="34">
        <v>12.17</v>
      </c>
      <c r="D5020" s="36">
        <v>45224.0</v>
      </c>
      <c r="E5020" s="24"/>
      <c r="F5020" s="14" t="s">
        <v>6012</v>
      </c>
      <c r="G5020" s="14">
        <v>338.06</v>
      </c>
      <c r="H5020" s="14">
        <v>0.0</v>
      </c>
      <c r="I5020" s="14" t="s">
        <v>6059</v>
      </c>
      <c r="J5020" s="14" t="s">
        <v>6012</v>
      </c>
      <c r="K5020" s="14" t="s">
        <v>6012</v>
      </c>
      <c r="L5020" s="14">
        <v>0.0</v>
      </c>
    </row>
    <row r="5021">
      <c r="A5021" s="14">
        <v>315.0</v>
      </c>
      <c r="B5021" s="14">
        <v>0.0</v>
      </c>
      <c r="C5021" s="34">
        <v>18.0</v>
      </c>
      <c r="D5021" s="36">
        <v>45225.0</v>
      </c>
      <c r="E5021" s="24"/>
      <c r="F5021" s="14" t="s">
        <v>6012</v>
      </c>
      <c r="G5021" s="14">
        <v>57.14</v>
      </c>
      <c r="H5021" s="14">
        <v>0.0</v>
      </c>
      <c r="I5021" s="14" t="s">
        <v>6060</v>
      </c>
      <c r="J5021" s="14" t="s">
        <v>6012</v>
      </c>
      <c r="K5021" s="14" t="s">
        <v>6012</v>
      </c>
      <c r="L5021" s="14">
        <v>0.0</v>
      </c>
    </row>
    <row r="5022">
      <c r="A5022" s="14">
        <v>1046.0</v>
      </c>
      <c r="B5022" s="14">
        <v>4.0</v>
      </c>
      <c r="C5022" s="34">
        <v>11.98</v>
      </c>
      <c r="D5022" s="36">
        <v>45225.0</v>
      </c>
      <c r="E5022" s="24"/>
      <c r="F5022" s="14">
        <v>3.0</v>
      </c>
      <c r="G5022" s="14">
        <v>11.45</v>
      </c>
      <c r="H5022" s="14">
        <v>0.38</v>
      </c>
      <c r="I5022" s="14" t="s">
        <v>6050</v>
      </c>
      <c r="J5022" s="14">
        <v>0.0</v>
      </c>
      <c r="K5022" s="14" t="s">
        <v>6012</v>
      </c>
      <c r="L5022" s="14">
        <v>0.0</v>
      </c>
    </row>
    <row r="5023">
      <c r="A5023" s="14">
        <v>71.0</v>
      </c>
      <c r="B5023" s="14">
        <v>0.0</v>
      </c>
      <c r="C5023" s="34">
        <v>9.46</v>
      </c>
      <c r="D5023" s="36">
        <v>45225.0</v>
      </c>
      <c r="E5023" s="24"/>
      <c r="F5023" s="14" t="s">
        <v>6012</v>
      </c>
      <c r="G5023" s="14">
        <v>133.24</v>
      </c>
      <c r="H5023" s="14">
        <v>0.0</v>
      </c>
      <c r="I5023" s="14" t="s">
        <v>6058</v>
      </c>
      <c r="J5023" s="14" t="s">
        <v>6012</v>
      </c>
      <c r="K5023" s="14" t="s">
        <v>6012</v>
      </c>
      <c r="L5023" s="14">
        <v>0.0</v>
      </c>
    </row>
    <row r="5024">
      <c r="A5024" s="14">
        <v>671.0</v>
      </c>
      <c r="B5024" s="14">
        <v>7.0</v>
      </c>
      <c r="C5024" s="34">
        <v>12.1</v>
      </c>
      <c r="D5024" s="36">
        <v>45225.0</v>
      </c>
      <c r="E5024" s="24"/>
      <c r="F5024" s="14">
        <v>1.73</v>
      </c>
      <c r="G5024" s="14">
        <v>18.03</v>
      </c>
      <c r="H5024" s="14">
        <v>1.04</v>
      </c>
      <c r="I5024" s="14" t="s">
        <v>6051</v>
      </c>
      <c r="J5024" s="14">
        <v>0.0</v>
      </c>
      <c r="K5024" s="14" t="s">
        <v>6012</v>
      </c>
      <c r="L5024" s="14">
        <v>0.0</v>
      </c>
    </row>
    <row r="5025">
      <c r="A5025" s="14">
        <v>48.0</v>
      </c>
      <c r="B5025" s="14">
        <v>0.0</v>
      </c>
      <c r="C5025" s="34">
        <v>11.39</v>
      </c>
      <c r="D5025" s="36">
        <v>45225.0</v>
      </c>
      <c r="E5025" s="24"/>
      <c r="F5025" s="14" t="s">
        <v>6012</v>
      </c>
      <c r="G5025" s="14">
        <v>237.29</v>
      </c>
      <c r="H5025" s="14">
        <v>0.0</v>
      </c>
      <c r="I5025" s="14" t="s">
        <v>6062</v>
      </c>
      <c r="J5025" s="14" t="s">
        <v>6012</v>
      </c>
      <c r="K5025" s="14" t="s">
        <v>6012</v>
      </c>
      <c r="L5025" s="14">
        <v>0.0</v>
      </c>
    </row>
    <row r="5026">
      <c r="A5026" s="14">
        <v>29.0</v>
      </c>
      <c r="B5026" s="14">
        <v>0.0</v>
      </c>
      <c r="C5026" s="34">
        <v>13.82</v>
      </c>
      <c r="D5026" s="36">
        <v>45225.0</v>
      </c>
      <c r="E5026" s="24"/>
      <c r="F5026" s="14" t="s">
        <v>6012</v>
      </c>
      <c r="G5026" s="14">
        <v>476.55</v>
      </c>
      <c r="H5026" s="14">
        <v>0.0</v>
      </c>
      <c r="I5026" s="14" t="s">
        <v>6059</v>
      </c>
      <c r="J5026" s="14" t="s">
        <v>6012</v>
      </c>
      <c r="K5026" s="14" t="s">
        <v>6012</v>
      </c>
      <c r="L5026" s="14">
        <v>0.0</v>
      </c>
    </row>
    <row r="5027">
      <c r="A5027" s="14">
        <v>73.0</v>
      </c>
      <c r="B5027" s="14">
        <v>0.0</v>
      </c>
      <c r="C5027" s="34">
        <v>13.99</v>
      </c>
      <c r="D5027" s="36">
        <v>45225.0</v>
      </c>
      <c r="E5027" s="24"/>
      <c r="F5027" s="14" t="s">
        <v>6012</v>
      </c>
      <c r="G5027" s="14">
        <v>191.64</v>
      </c>
      <c r="H5027" s="14">
        <v>0.0</v>
      </c>
      <c r="I5027" s="14" t="s">
        <v>6042</v>
      </c>
      <c r="J5027" s="14" t="s">
        <v>6012</v>
      </c>
      <c r="K5027" s="14">
        <v>13.99</v>
      </c>
      <c r="L5027" s="14">
        <v>0.0</v>
      </c>
    </row>
    <row r="5028">
      <c r="A5028" s="14">
        <v>7.0</v>
      </c>
      <c r="B5028" s="14">
        <v>5.0</v>
      </c>
      <c r="C5028" s="34">
        <v>5.25</v>
      </c>
      <c r="D5028" s="36">
        <v>45225.0</v>
      </c>
      <c r="E5028" s="24"/>
      <c r="F5028" s="14">
        <v>1.05</v>
      </c>
      <c r="G5028" s="14">
        <v>750.0</v>
      </c>
      <c r="H5028" s="14">
        <v>71.43</v>
      </c>
      <c r="I5028" s="14" t="s">
        <v>6064</v>
      </c>
      <c r="J5028" s="14">
        <v>0.0</v>
      </c>
      <c r="K5028" s="14" t="s">
        <v>6012</v>
      </c>
      <c r="L5028" s="14">
        <v>0.0</v>
      </c>
    </row>
    <row r="5029">
      <c r="A5029" s="14">
        <v>47.0</v>
      </c>
      <c r="B5029" s="14">
        <v>0.0</v>
      </c>
      <c r="C5029" s="34">
        <v>11.59</v>
      </c>
      <c r="D5029" s="36">
        <v>45225.0</v>
      </c>
      <c r="E5029" s="24"/>
      <c r="F5029" s="14" t="s">
        <v>6012</v>
      </c>
      <c r="G5029" s="14">
        <v>246.6</v>
      </c>
      <c r="H5029" s="14">
        <v>0.0</v>
      </c>
      <c r="I5029" s="14" t="s">
        <v>6063</v>
      </c>
      <c r="J5029" s="14" t="s">
        <v>6012</v>
      </c>
      <c r="K5029" s="14" t="s">
        <v>6012</v>
      </c>
      <c r="L5029" s="14">
        <v>0.0</v>
      </c>
    </row>
    <row r="5030">
      <c r="A5030" s="14">
        <v>29.0</v>
      </c>
      <c r="B5030" s="14">
        <v>0.0</v>
      </c>
      <c r="C5030" s="34">
        <v>13.14</v>
      </c>
      <c r="D5030" s="36">
        <v>45225.0</v>
      </c>
      <c r="E5030" s="24"/>
      <c r="F5030" s="14" t="s">
        <v>6012</v>
      </c>
      <c r="G5030" s="14">
        <v>453.1</v>
      </c>
      <c r="H5030" s="14">
        <v>0.0</v>
      </c>
      <c r="I5030" s="14" t="s">
        <v>6061</v>
      </c>
      <c r="J5030" s="14" t="s">
        <v>6012</v>
      </c>
      <c r="K5030" s="14" t="s">
        <v>6012</v>
      </c>
      <c r="L5030" s="14">
        <v>0.0</v>
      </c>
    </row>
    <row r="5031">
      <c r="A5031" s="14">
        <v>26.0</v>
      </c>
      <c r="B5031" s="14">
        <v>1.0</v>
      </c>
      <c r="C5031" s="34">
        <v>12.5</v>
      </c>
      <c r="D5031" s="36">
        <v>45225.0</v>
      </c>
      <c r="E5031" s="24"/>
      <c r="F5031" s="14">
        <v>12.5</v>
      </c>
      <c r="G5031" s="14">
        <v>480.77</v>
      </c>
      <c r="H5031" s="14">
        <v>3.85</v>
      </c>
      <c r="I5031" s="14" t="s">
        <v>6057</v>
      </c>
      <c r="J5031" s="14">
        <v>0.0</v>
      </c>
      <c r="K5031" s="14" t="s">
        <v>6012</v>
      </c>
      <c r="L5031" s="14">
        <v>0.0</v>
      </c>
    </row>
    <row r="5032">
      <c r="A5032" s="14">
        <v>38.0</v>
      </c>
      <c r="B5032" s="14">
        <v>0.0</v>
      </c>
      <c r="C5032" s="34">
        <v>8.33</v>
      </c>
      <c r="D5032" s="36">
        <v>45226.0</v>
      </c>
      <c r="E5032" s="24"/>
      <c r="F5032" s="14" t="s">
        <v>6012</v>
      </c>
      <c r="G5032" s="14">
        <v>219.21</v>
      </c>
      <c r="H5032" s="14">
        <v>0.0</v>
      </c>
      <c r="I5032" s="14" t="s">
        <v>6061</v>
      </c>
      <c r="J5032" s="14" t="s">
        <v>6012</v>
      </c>
      <c r="K5032" s="14" t="s">
        <v>6012</v>
      </c>
      <c r="L5032" s="14">
        <v>0.0</v>
      </c>
    </row>
    <row r="5033">
      <c r="A5033" s="14">
        <v>185.0</v>
      </c>
      <c r="B5033" s="14">
        <v>1.0</v>
      </c>
      <c r="C5033" s="34">
        <v>18.0</v>
      </c>
      <c r="D5033" s="36">
        <v>45226.0</v>
      </c>
      <c r="E5033" s="24"/>
      <c r="F5033" s="14">
        <v>18.0</v>
      </c>
      <c r="G5033" s="14">
        <v>97.3</v>
      </c>
      <c r="H5033" s="14">
        <v>0.54</v>
      </c>
      <c r="I5033" s="14" t="s">
        <v>6060</v>
      </c>
      <c r="J5033" s="14">
        <v>0.0</v>
      </c>
      <c r="K5033" s="14" t="s">
        <v>6012</v>
      </c>
      <c r="L5033" s="14">
        <v>0.0</v>
      </c>
    </row>
    <row r="5034">
      <c r="A5034" s="14">
        <v>26.0</v>
      </c>
      <c r="B5034" s="14">
        <v>0.0</v>
      </c>
      <c r="C5034" s="34">
        <v>11.62</v>
      </c>
      <c r="D5034" s="36">
        <v>45226.0</v>
      </c>
      <c r="E5034" s="24"/>
      <c r="F5034" s="14" t="s">
        <v>6012</v>
      </c>
      <c r="G5034" s="14">
        <v>446.92</v>
      </c>
      <c r="H5034" s="14">
        <v>0.0</v>
      </c>
      <c r="I5034" s="14" t="s">
        <v>6063</v>
      </c>
      <c r="J5034" s="14" t="s">
        <v>6012</v>
      </c>
      <c r="K5034" s="14" t="s">
        <v>6012</v>
      </c>
      <c r="L5034" s="14">
        <v>0.0</v>
      </c>
    </row>
    <row r="5035">
      <c r="A5035" s="14">
        <v>782.0</v>
      </c>
      <c r="B5035" s="14">
        <v>3.0</v>
      </c>
      <c r="C5035" s="34">
        <v>10.98</v>
      </c>
      <c r="D5035" s="36">
        <v>45226.0</v>
      </c>
      <c r="E5035" s="24"/>
      <c r="F5035" s="14">
        <v>3.66</v>
      </c>
      <c r="G5035" s="14">
        <v>14.04</v>
      </c>
      <c r="H5035" s="14">
        <v>0.38</v>
      </c>
      <c r="I5035" s="14" t="s">
        <v>6050</v>
      </c>
      <c r="J5035" s="14">
        <v>33.33</v>
      </c>
      <c r="K5035" s="14">
        <v>10.98</v>
      </c>
      <c r="L5035" s="14">
        <v>0.0</v>
      </c>
    </row>
    <row r="5036">
      <c r="A5036" s="14">
        <v>5.0</v>
      </c>
      <c r="B5036" s="14">
        <v>4.0</v>
      </c>
      <c r="C5036" s="34">
        <v>3.75</v>
      </c>
      <c r="D5036" s="36">
        <v>45226.0</v>
      </c>
      <c r="E5036" s="24"/>
      <c r="F5036" s="14">
        <v>0.94</v>
      </c>
      <c r="G5036" s="14">
        <v>750.0</v>
      </c>
      <c r="H5036" s="14">
        <v>80.0</v>
      </c>
      <c r="I5036" s="14" t="s">
        <v>6064</v>
      </c>
      <c r="J5036" s="14">
        <v>0.0</v>
      </c>
      <c r="K5036" s="14" t="s">
        <v>6012</v>
      </c>
      <c r="L5036" s="14">
        <v>0.0</v>
      </c>
    </row>
    <row r="5037">
      <c r="A5037" s="14">
        <v>60.0</v>
      </c>
      <c r="B5037" s="14">
        <v>0.0</v>
      </c>
      <c r="C5037" s="34">
        <v>11.41</v>
      </c>
      <c r="D5037" s="36">
        <v>45226.0</v>
      </c>
      <c r="E5037" s="24"/>
      <c r="F5037" s="14" t="s">
        <v>6012</v>
      </c>
      <c r="G5037" s="14">
        <v>190.17</v>
      </c>
      <c r="H5037" s="14">
        <v>0.0</v>
      </c>
      <c r="I5037" s="14" t="s">
        <v>6062</v>
      </c>
      <c r="J5037" s="14" t="s">
        <v>6012</v>
      </c>
      <c r="K5037" s="14" t="s">
        <v>6012</v>
      </c>
      <c r="L5037" s="14">
        <v>0.0</v>
      </c>
    </row>
    <row r="5038">
      <c r="A5038" s="14">
        <v>22.0</v>
      </c>
      <c r="B5038" s="14">
        <v>0.0</v>
      </c>
      <c r="C5038" s="34">
        <v>10.2</v>
      </c>
      <c r="D5038" s="36">
        <v>45226.0</v>
      </c>
      <c r="E5038" s="24"/>
      <c r="F5038" s="14" t="s">
        <v>6012</v>
      </c>
      <c r="G5038" s="14">
        <v>463.64</v>
      </c>
      <c r="H5038" s="14">
        <v>0.0</v>
      </c>
      <c r="I5038" s="14" t="s">
        <v>6057</v>
      </c>
      <c r="J5038" s="14" t="s">
        <v>6012</v>
      </c>
      <c r="K5038" s="14" t="s">
        <v>6012</v>
      </c>
      <c r="L5038" s="14">
        <v>0.0</v>
      </c>
    </row>
    <row r="5039">
      <c r="A5039" s="14">
        <v>31.0</v>
      </c>
      <c r="B5039" s="14">
        <v>0.0</v>
      </c>
      <c r="C5039" s="34">
        <v>8.71</v>
      </c>
      <c r="D5039" s="36">
        <v>45226.0</v>
      </c>
      <c r="E5039" s="24"/>
      <c r="F5039" s="14" t="s">
        <v>6012</v>
      </c>
      <c r="G5039" s="14">
        <v>280.97</v>
      </c>
      <c r="H5039" s="14">
        <v>0.0</v>
      </c>
      <c r="I5039" s="14" t="s">
        <v>6059</v>
      </c>
      <c r="J5039" s="14" t="s">
        <v>6012</v>
      </c>
      <c r="K5039" s="14" t="s">
        <v>6012</v>
      </c>
      <c r="L5039" s="14">
        <v>0.0</v>
      </c>
    </row>
    <row r="5040">
      <c r="A5040" s="14">
        <v>61.0</v>
      </c>
      <c r="B5040" s="14">
        <v>0.0</v>
      </c>
      <c r="C5040" s="34">
        <v>11.24</v>
      </c>
      <c r="D5040" s="36">
        <v>45226.0</v>
      </c>
      <c r="E5040" s="24"/>
      <c r="F5040" s="14" t="s">
        <v>6012</v>
      </c>
      <c r="G5040" s="14">
        <v>184.26</v>
      </c>
      <c r="H5040" s="14">
        <v>0.0</v>
      </c>
      <c r="I5040" s="14" t="s">
        <v>6042</v>
      </c>
      <c r="J5040" s="14" t="s">
        <v>6012</v>
      </c>
      <c r="K5040" s="14" t="s">
        <v>6012</v>
      </c>
      <c r="L5040" s="14">
        <v>0.0</v>
      </c>
    </row>
    <row r="5041">
      <c r="A5041" s="14">
        <v>525.0</v>
      </c>
      <c r="B5041" s="14">
        <v>5.0</v>
      </c>
      <c r="C5041" s="34">
        <v>11.02</v>
      </c>
      <c r="D5041" s="36">
        <v>45226.0</v>
      </c>
      <c r="E5041" s="24"/>
      <c r="F5041" s="14">
        <v>2.2</v>
      </c>
      <c r="G5041" s="14">
        <v>20.99</v>
      </c>
      <c r="H5041" s="14">
        <v>0.95</v>
      </c>
      <c r="I5041" s="14" t="s">
        <v>6051</v>
      </c>
      <c r="J5041" s="14">
        <v>0.0</v>
      </c>
      <c r="K5041" s="14" t="s">
        <v>6012</v>
      </c>
      <c r="L5041" s="14">
        <v>0.0</v>
      </c>
    </row>
    <row r="5042">
      <c r="A5042" s="14">
        <v>27.0</v>
      </c>
      <c r="B5042" s="14">
        <v>0.0</v>
      </c>
      <c r="C5042" s="34">
        <v>9.72</v>
      </c>
      <c r="D5042" s="36">
        <v>45226.0</v>
      </c>
      <c r="E5042" s="24"/>
      <c r="F5042" s="14" t="s">
        <v>6012</v>
      </c>
      <c r="G5042" s="14">
        <v>360.0</v>
      </c>
      <c r="H5042" s="14">
        <v>0.0</v>
      </c>
      <c r="I5042" s="14" t="s">
        <v>6058</v>
      </c>
      <c r="J5042" s="14" t="s">
        <v>6012</v>
      </c>
      <c r="K5042" s="14" t="s">
        <v>6012</v>
      </c>
      <c r="L5042" s="14">
        <v>0.0</v>
      </c>
    </row>
    <row r="5043">
      <c r="A5043" s="14">
        <v>14.0</v>
      </c>
      <c r="B5043" s="14">
        <v>0.0</v>
      </c>
      <c r="C5043" s="34">
        <v>5.48</v>
      </c>
      <c r="D5043" s="36">
        <v>45227.0</v>
      </c>
      <c r="E5043" s="24"/>
      <c r="F5043" s="14" t="s">
        <v>6012</v>
      </c>
      <c r="G5043" s="14">
        <v>391.43</v>
      </c>
      <c r="H5043" s="14">
        <v>0.0</v>
      </c>
      <c r="I5043" s="14" t="s">
        <v>6061</v>
      </c>
      <c r="J5043" s="14" t="s">
        <v>6012</v>
      </c>
      <c r="K5043" s="14" t="s">
        <v>6012</v>
      </c>
      <c r="L5043" s="14">
        <v>0.0</v>
      </c>
    </row>
    <row r="5044">
      <c r="A5044" s="14">
        <v>19.0</v>
      </c>
      <c r="B5044" s="14">
        <v>0.0</v>
      </c>
      <c r="C5044" s="34">
        <v>4.47</v>
      </c>
      <c r="D5044" s="36">
        <v>45227.0</v>
      </c>
      <c r="E5044" s="24"/>
      <c r="F5044" s="14" t="s">
        <v>6012</v>
      </c>
      <c r="G5044" s="14">
        <v>235.26</v>
      </c>
      <c r="H5044" s="14">
        <v>0.0</v>
      </c>
      <c r="I5044" s="14" t="s">
        <v>6057</v>
      </c>
      <c r="J5044" s="14" t="s">
        <v>6012</v>
      </c>
      <c r="K5044" s="14" t="s">
        <v>6012</v>
      </c>
      <c r="L5044" s="14">
        <v>0.0</v>
      </c>
    </row>
    <row r="5045">
      <c r="A5045" s="14">
        <v>60.0</v>
      </c>
      <c r="B5045" s="14">
        <v>0.0</v>
      </c>
      <c r="C5045" s="34">
        <v>9.24</v>
      </c>
      <c r="D5045" s="36">
        <v>45227.0</v>
      </c>
      <c r="E5045" s="24"/>
      <c r="F5045" s="14" t="s">
        <v>6012</v>
      </c>
      <c r="G5045" s="14">
        <v>154.0</v>
      </c>
      <c r="H5045" s="14">
        <v>0.0</v>
      </c>
      <c r="I5045" s="14" t="s">
        <v>6062</v>
      </c>
      <c r="J5045" s="14" t="s">
        <v>6012</v>
      </c>
      <c r="K5045" s="14" t="s">
        <v>6012</v>
      </c>
      <c r="L5045" s="14">
        <v>0.0</v>
      </c>
    </row>
    <row r="5046">
      <c r="A5046" s="14">
        <v>123.0</v>
      </c>
      <c r="B5046" s="14">
        <v>0.0</v>
      </c>
      <c r="C5046" s="34">
        <v>12.07</v>
      </c>
      <c r="D5046" s="36">
        <v>45227.0</v>
      </c>
      <c r="E5046" s="24"/>
      <c r="F5046" s="14" t="s">
        <v>6012</v>
      </c>
      <c r="G5046" s="14">
        <v>98.13</v>
      </c>
      <c r="H5046" s="14">
        <v>0.0</v>
      </c>
      <c r="I5046" s="14" t="s">
        <v>6060</v>
      </c>
      <c r="J5046" s="14" t="s">
        <v>6012</v>
      </c>
      <c r="K5046" s="14" t="s">
        <v>6012</v>
      </c>
      <c r="L5046" s="14">
        <v>0.0</v>
      </c>
    </row>
    <row r="5047">
      <c r="A5047" s="14">
        <v>17.0</v>
      </c>
      <c r="B5047" s="14">
        <v>1.0</v>
      </c>
      <c r="C5047" s="34">
        <v>6.84</v>
      </c>
      <c r="D5047" s="36">
        <v>45227.0</v>
      </c>
      <c r="E5047" s="24"/>
      <c r="F5047" s="14">
        <v>6.84</v>
      </c>
      <c r="G5047" s="14">
        <v>402.35</v>
      </c>
      <c r="H5047" s="14">
        <v>5.88</v>
      </c>
      <c r="I5047" s="14" t="s">
        <v>6059</v>
      </c>
      <c r="J5047" s="14">
        <v>0.0</v>
      </c>
      <c r="K5047" s="14" t="s">
        <v>6012</v>
      </c>
      <c r="L5047" s="14">
        <v>0.0</v>
      </c>
    </row>
    <row r="5048">
      <c r="A5048" s="14">
        <v>25.0</v>
      </c>
      <c r="B5048" s="14">
        <v>0.0</v>
      </c>
      <c r="C5048" s="34">
        <v>5.22</v>
      </c>
      <c r="D5048" s="36">
        <v>45227.0</v>
      </c>
      <c r="E5048" s="24"/>
      <c r="F5048" s="14" t="s">
        <v>6012</v>
      </c>
      <c r="G5048" s="14">
        <v>208.8</v>
      </c>
      <c r="H5048" s="14">
        <v>0.0</v>
      </c>
      <c r="I5048" s="14" t="s">
        <v>6058</v>
      </c>
      <c r="J5048" s="14" t="s">
        <v>6012</v>
      </c>
      <c r="K5048" s="14" t="s">
        <v>6012</v>
      </c>
      <c r="L5048" s="14">
        <v>0.0</v>
      </c>
    </row>
    <row r="5049">
      <c r="A5049" s="14">
        <v>6.0</v>
      </c>
      <c r="B5049" s="14">
        <v>0.0</v>
      </c>
      <c r="C5049" s="34">
        <v>5.16</v>
      </c>
      <c r="D5049" s="36">
        <v>45227.0</v>
      </c>
      <c r="E5049" s="24"/>
      <c r="F5049" s="14" t="s">
        <v>6012</v>
      </c>
      <c r="G5049" s="14">
        <v>860.0</v>
      </c>
      <c r="H5049" s="14">
        <v>0.0</v>
      </c>
      <c r="I5049" s="14" t="s">
        <v>6063</v>
      </c>
      <c r="J5049" s="14" t="s">
        <v>6012</v>
      </c>
      <c r="K5049" s="14" t="s">
        <v>6012</v>
      </c>
      <c r="L5049" s="14">
        <v>0.0</v>
      </c>
    </row>
    <row r="5050">
      <c r="A5050" s="14">
        <v>33.0</v>
      </c>
      <c r="B5050" s="14">
        <v>0.0</v>
      </c>
      <c r="C5050" s="34">
        <v>6.17</v>
      </c>
      <c r="D5050" s="36">
        <v>45227.0</v>
      </c>
      <c r="E5050" s="24"/>
      <c r="F5050" s="14" t="s">
        <v>6012</v>
      </c>
      <c r="G5050" s="14">
        <v>186.97</v>
      </c>
      <c r="H5050" s="14">
        <v>0.0</v>
      </c>
      <c r="I5050" s="14" t="s">
        <v>6042</v>
      </c>
      <c r="J5050" s="14" t="s">
        <v>6012</v>
      </c>
      <c r="K5050" s="14" t="s">
        <v>6012</v>
      </c>
      <c r="L5050" s="14">
        <v>0.0</v>
      </c>
    </row>
    <row r="5051">
      <c r="A5051" s="14">
        <v>502.0</v>
      </c>
      <c r="B5051" s="14">
        <v>3.0</v>
      </c>
      <c r="C5051" s="34">
        <v>6.5</v>
      </c>
      <c r="D5051" s="36">
        <v>45227.0</v>
      </c>
      <c r="E5051" s="24"/>
      <c r="F5051" s="14">
        <v>2.17</v>
      </c>
      <c r="G5051" s="14">
        <v>12.95</v>
      </c>
      <c r="H5051" s="14">
        <v>0.6</v>
      </c>
      <c r="I5051" s="14" t="s">
        <v>6050</v>
      </c>
      <c r="J5051" s="14">
        <v>0.0</v>
      </c>
      <c r="K5051" s="14" t="s">
        <v>6012</v>
      </c>
      <c r="L5051" s="14">
        <v>0.0</v>
      </c>
    </row>
    <row r="5052">
      <c r="A5052" s="14">
        <v>2.0</v>
      </c>
      <c r="B5052" s="14">
        <v>0.0</v>
      </c>
      <c r="C5052" s="34">
        <v>1.5</v>
      </c>
      <c r="D5052" s="36">
        <v>45227.0</v>
      </c>
      <c r="E5052" s="24"/>
      <c r="F5052" s="14" t="s">
        <v>6012</v>
      </c>
      <c r="G5052" s="14">
        <v>750.0</v>
      </c>
      <c r="H5052" s="14">
        <v>0.0</v>
      </c>
      <c r="I5052" s="14" t="s">
        <v>6064</v>
      </c>
      <c r="J5052" s="14" t="s">
        <v>6012</v>
      </c>
      <c r="K5052" s="14" t="s">
        <v>6012</v>
      </c>
      <c r="L5052" s="14">
        <v>0.0</v>
      </c>
    </row>
    <row r="5053">
      <c r="A5053" s="14">
        <v>287.0</v>
      </c>
      <c r="B5053" s="14">
        <v>3.0</v>
      </c>
      <c r="C5053" s="34">
        <v>6.24</v>
      </c>
      <c r="D5053" s="36">
        <v>45227.0</v>
      </c>
      <c r="E5053" s="24"/>
      <c r="F5053" s="14">
        <v>2.08</v>
      </c>
      <c r="G5053" s="14">
        <v>21.74</v>
      </c>
      <c r="H5053" s="14">
        <v>1.05</v>
      </c>
      <c r="I5053" s="14" t="s">
        <v>6051</v>
      </c>
      <c r="J5053" s="14">
        <v>0.0</v>
      </c>
      <c r="K5053" s="14" t="s">
        <v>6012</v>
      </c>
      <c r="L5053" s="14">
        <v>0.0</v>
      </c>
    </row>
    <row r="5054">
      <c r="A5054" s="14">
        <v>644.0</v>
      </c>
      <c r="B5054" s="14">
        <v>1.0</v>
      </c>
      <c r="C5054" s="34">
        <v>6.39</v>
      </c>
      <c r="D5054" s="36">
        <v>45228.0</v>
      </c>
      <c r="E5054" s="24"/>
      <c r="F5054" s="14">
        <v>6.39</v>
      </c>
      <c r="G5054" s="14">
        <v>9.92</v>
      </c>
      <c r="H5054" s="14">
        <v>0.16</v>
      </c>
      <c r="I5054" s="14" t="s">
        <v>6050</v>
      </c>
      <c r="J5054" s="14">
        <v>100.0</v>
      </c>
      <c r="K5054" s="14">
        <v>6.39</v>
      </c>
      <c r="L5054" s="14">
        <v>0.0</v>
      </c>
    </row>
    <row r="5055">
      <c r="A5055" s="14">
        <v>189.0</v>
      </c>
      <c r="B5055" s="14">
        <v>4.0</v>
      </c>
      <c r="C5055" s="34">
        <v>11.78</v>
      </c>
      <c r="D5055" s="36">
        <v>45228.0</v>
      </c>
      <c r="E5055" s="24"/>
      <c r="F5055" s="14">
        <v>2.94</v>
      </c>
      <c r="G5055" s="14">
        <v>62.33</v>
      </c>
      <c r="H5055" s="14">
        <v>2.12</v>
      </c>
      <c r="I5055" s="14" t="s">
        <v>6060</v>
      </c>
      <c r="J5055" s="14">
        <v>25.0</v>
      </c>
      <c r="K5055" s="14">
        <v>11.78</v>
      </c>
      <c r="L5055" s="14">
        <v>0.0</v>
      </c>
    </row>
    <row r="5056">
      <c r="A5056" s="14">
        <v>10.0</v>
      </c>
      <c r="B5056" s="14">
        <v>0.0</v>
      </c>
      <c r="C5056" s="34">
        <v>2.62</v>
      </c>
      <c r="D5056" s="36">
        <v>45228.0</v>
      </c>
      <c r="E5056" s="24"/>
      <c r="F5056" s="14" t="s">
        <v>6012</v>
      </c>
      <c r="G5056" s="14">
        <v>262.0</v>
      </c>
      <c r="H5056" s="14">
        <v>0.0</v>
      </c>
      <c r="I5056" s="14" t="s">
        <v>6061</v>
      </c>
      <c r="J5056" s="14" t="s">
        <v>6012</v>
      </c>
      <c r="K5056" s="14" t="s">
        <v>6012</v>
      </c>
      <c r="L5056" s="14">
        <v>0.0</v>
      </c>
    </row>
    <row r="5057">
      <c r="A5057" s="14">
        <v>16.0</v>
      </c>
      <c r="B5057" s="14">
        <v>0.0</v>
      </c>
      <c r="C5057" s="34">
        <v>3.35</v>
      </c>
      <c r="D5057" s="36">
        <v>45228.0</v>
      </c>
      <c r="E5057" s="24"/>
      <c r="F5057" s="14" t="s">
        <v>6012</v>
      </c>
      <c r="G5057" s="14">
        <v>209.38</v>
      </c>
      <c r="H5057" s="14">
        <v>0.0</v>
      </c>
      <c r="I5057" s="14" t="s">
        <v>6057</v>
      </c>
      <c r="J5057" s="14" t="s">
        <v>6012</v>
      </c>
      <c r="K5057" s="14" t="s">
        <v>6012</v>
      </c>
      <c r="L5057" s="14">
        <v>0.0</v>
      </c>
    </row>
    <row r="5058">
      <c r="A5058" s="14">
        <v>58.0</v>
      </c>
      <c r="B5058" s="14">
        <v>0.0</v>
      </c>
      <c r="C5058" s="34">
        <v>1.58</v>
      </c>
      <c r="D5058" s="36">
        <v>45228.0</v>
      </c>
      <c r="E5058" s="24"/>
      <c r="F5058" s="14" t="s">
        <v>6012</v>
      </c>
      <c r="G5058" s="14">
        <v>27.24</v>
      </c>
      <c r="H5058" s="14">
        <v>0.0</v>
      </c>
      <c r="I5058" s="14" t="s">
        <v>6062</v>
      </c>
      <c r="J5058" s="14" t="s">
        <v>6012</v>
      </c>
      <c r="K5058" s="14">
        <v>1.58</v>
      </c>
      <c r="L5058" s="14">
        <v>0.0</v>
      </c>
    </row>
    <row r="5059">
      <c r="A5059" s="14">
        <v>1.0</v>
      </c>
      <c r="B5059" s="14">
        <v>1.0</v>
      </c>
      <c r="C5059" s="34">
        <v>0.75</v>
      </c>
      <c r="D5059" s="36">
        <v>45228.0</v>
      </c>
      <c r="E5059" s="24"/>
      <c r="F5059" s="14">
        <v>0.75</v>
      </c>
      <c r="G5059" s="14">
        <v>750.0</v>
      </c>
      <c r="H5059" s="14">
        <v>100.0</v>
      </c>
      <c r="I5059" s="14" t="s">
        <v>6064</v>
      </c>
      <c r="J5059" s="14">
        <v>0.0</v>
      </c>
      <c r="K5059" s="14" t="s">
        <v>6012</v>
      </c>
      <c r="L5059" s="14">
        <v>0.0</v>
      </c>
    </row>
    <row r="5060">
      <c r="A5060" s="14">
        <v>278.0</v>
      </c>
      <c r="B5060" s="14">
        <v>6.0</v>
      </c>
      <c r="C5060" s="34">
        <v>5.33</v>
      </c>
      <c r="D5060" s="36">
        <v>45228.0</v>
      </c>
      <c r="E5060" s="24"/>
      <c r="F5060" s="14">
        <v>0.89</v>
      </c>
      <c r="G5060" s="14">
        <v>19.17</v>
      </c>
      <c r="H5060" s="14">
        <v>2.16</v>
      </c>
      <c r="I5060" s="14" t="s">
        <v>6051</v>
      </c>
      <c r="J5060" s="14">
        <v>0.0</v>
      </c>
      <c r="K5060" s="14" t="s">
        <v>6012</v>
      </c>
      <c r="L5060" s="14">
        <v>0.0</v>
      </c>
    </row>
    <row r="5061">
      <c r="A5061" s="14">
        <v>40.0</v>
      </c>
      <c r="B5061" s="14">
        <v>0.0</v>
      </c>
      <c r="C5061" s="34">
        <v>4.27</v>
      </c>
      <c r="D5061" s="36">
        <v>45228.0</v>
      </c>
      <c r="E5061" s="24"/>
      <c r="F5061" s="14" t="s">
        <v>6012</v>
      </c>
      <c r="G5061" s="14">
        <v>106.75</v>
      </c>
      <c r="H5061" s="14">
        <v>0.0</v>
      </c>
      <c r="I5061" s="14" t="s">
        <v>6042</v>
      </c>
      <c r="J5061" s="14" t="s">
        <v>6012</v>
      </c>
      <c r="K5061" s="14" t="s">
        <v>6012</v>
      </c>
      <c r="L5061" s="14">
        <v>0.0</v>
      </c>
    </row>
    <row r="5062">
      <c r="A5062" s="14">
        <v>9.0</v>
      </c>
      <c r="B5062" s="14">
        <v>0.0</v>
      </c>
      <c r="C5062" s="34">
        <v>0.83</v>
      </c>
      <c r="D5062" s="36">
        <v>45228.0</v>
      </c>
      <c r="E5062" s="24"/>
      <c r="F5062" s="14" t="s">
        <v>6012</v>
      </c>
      <c r="G5062" s="14">
        <v>92.22</v>
      </c>
      <c r="H5062" s="14">
        <v>0.0</v>
      </c>
      <c r="I5062" s="14" t="s">
        <v>6059</v>
      </c>
      <c r="J5062" s="14" t="s">
        <v>6012</v>
      </c>
      <c r="K5062" s="14" t="s">
        <v>6012</v>
      </c>
      <c r="L5062" s="14">
        <v>0.0</v>
      </c>
    </row>
    <row r="5063">
      <c r="A5063" s="14">
        <v>22.0</v>
      </c>
      <c r="B5063" s="14">
        <v>0.0</v>
      </c>
      <c r="C5063" s="34">
        <v>3.85</v>
      </c>
      <c r="D5063" s="36">
        <v>45228.0</v>
      </c>
      <c r="E5063" s="24"/>
      <c r="F5063" s="14" t="s">
        <v>6012</v>
      </c>
      <c r="G5063" s="14">
        <v>175.0</v>
      </c>
      <c r="H5063" s="14">
        <v>0.0</v>
      </c>
      <c r="I5063" s="14" t="s">
        <v>6058</v>
      </c>
      <c r="J5063" s="14" t="s">
        <v>6012</v>
      </c>
      <c r="K5063" s="14" t="s">
        <v>6012</v>
      </c>
      <c r="L5063" s="14">
        <v>0.0</v>
      </c>
    </row>
    <row r="5064">
      <c r="A5064" s="14">
        <v>7.0</v>
      </c>
      <c r="B5064" s="14">
        <v>0.0</v>
      </c>
      <c r="C5064" s="34">
        <v>0.42</v>
      </c>
      <c r="D5064" s="36">
        <v>45228.0</v>
      </c>
      <c r="E5064" s="24"/>
      <c r="F5064" s="14" t="s">
        <v>6012</v>
      </c>
      <c r="G5064" s="14">
        <v>60.0</v>
      </c>
      <c r="H5064" s="14">
        <v>0.0</v>
      </c>
      <c r="I5064" s="14" t="s">
        <v>6063</v>
      </c>
      <c r="J5064" s="14" t="s">
        <v>6012</v>
      </c>
      <c r="K5064" s="14" t="s">
        <v>6012</v>
      </c>
      <c r="L5064" s="14">
        <v>0.0</v>
      </c>
    </row>
    <row r="5065">
      <c r="A5065" s="14">
        <v>64.0</v>
      </c>
      <c r="B5065" s="14">
        <v>0.0</v>
      </c>
      <c r="C5065" s="34">
        <v>13.09</v>
      </c>
      <c r="D5065" s="36">
        <v>45229.0</v>
      </c>
      <c r="E5065" s="24"/>
      <c r="F5065" s="14" t="s">
        <v>6012</v>
      </c>
      <c r="G5065" s="14">
        <v>204.53</v>
      </c>
      <c r="H5065" s="14">
        <v>0.0</v>
      </c>
      <c r="I5065" s="14" t="s">
        <v>6063</v>
      </c>
      <c r="J5065" s="14" t="s">
        <v>6012</v>
      </c>
      <c r="K5065" s="14" t="s">
        <v>6012</v>
      </c>
      <c r="L5065" s="14">
        <v>0.0</v>
      </c>
    </row>
    <row r="5066">
      <c r="A5066" s="14">
        <v>24.0</v>
      </c>
      <c r="B5066" s="14">
        <v>1.0</v>
      </c>
      <c r="C5066" s="34">
        <v>13.32</v>
      </c>
      <c r="D5066" s="36">
        <v>45229.0</v>
      </c>
      <c r="E5066" s="24"/>
      <c r="F5066" s="14">
        <v>13.32</v>
      </c>
      <c r="G5066" s="14">
        <v>555.0</v>
      </c>
      <c r="H5066" s="14">
        <v>4.17</v>
      </c>
      <c r="I5066" s="14" t="s">
        <v>6057</v>
      </c>
      <c r="J5066" s="14">
        <v>0.0</v>
      </c>
      <c r="K5066" s="14" t="s">
        <v>6012</v>
      </c>
      <c r="L5066" s="14">
        <v>0.0</v>
      </c>
    </row>
    <row r="5067">
      <c r="A5067" s="14">
        <v>8.0</v>
      </c>
      <c r="B5067" s="14">
        <v>4.0</v>
      </c>
      <c r="C5067" s="34">
        <v>6.0</v>
      </c>
      <c r="D5067" s="36">
        <v>45229.0</v>
      </c>
      <c r="E5067" s="24"/>
      <c r="F5067" s="14">
        <v>1.5</v>
      </c>
      <c r="G5067" s="14">
        <v>750.0</v>
      </c>
      <c r="H5067" s="14">
        <v>50.0</v>
      </c>
      <c r="I5067" s="14" t="s">
        <v>6064</v>
      </c>
      <c r="J5067" s="14">
        <v>0.0</v>
      </c>
      <c r="K5067" s="14" t="s">
        <v>6012</v>
      </c>
      <c r="L5067" s="14">
        <v>0.0</v>
      </c>
    </row>
    <row r="5068">
      <c r="A5068" s="14">
        <v>79.0</v>
      </c>
      <c r="B5068" s="14">
        <v>0.0</v>
      </c>
      <c r="C5068" s="34">
        <v>11.83</v>
      </c>
      <c r="D5068" s="36">
        <v>45229.0</v>
      </c>
      <c r="E5068" s="24"/>
      <c r="F5068" s="14" t="s">
        <v>6012</v>
      </c>
      <c r="G5068" s="14">
        <v>149.75</v>
      </c>
      <c r="H5068" s="14">
        <v>0.0</v>
      </c>
      <c r="I5068" s="14" t="s">
        <v>6061</v>
      </c>
      <c r="J5068" s="14" t="s">
        <v>6012</v>
      </c>
      <c r="K5068" s="14" t="s">
        <v>6012</v>
      </c>
      <c r="L5068" s="14">
        <v>0.0</v>
      </c>
    </row>
    <row r="5069">
      <c r="A5069" s="14">
        <v>500.0</v>
      </c>
      <c r="B5069" s="14">
        <v>8.0</v>
      </c>
      <c r="C5069" s="34">
        <v>10.98</v>
      </c>
      <c r="D5069" s="36">
        <v>45229.0</v>
      </c>
      <c r="E5069" s="24"/>
      <c r="F5069" s="14">
        <v>1.37</v>
      </c>
      <c r="G5069" s="14">
        <v>21.96</v>
      </c>
      <c r="H5069" s="14">
        <v>1.6</v>
      </c>
      <c r="I5069" s="14" t="s">
        <v>6051</v>
      </c>
      <c r="J5069" s="14">
        <v>12.5</v>
      </c>
      <c r="K5069" s="14">
        <v>10.98</v>
      </c>
      <c r="L5069" s="14">
        <v>0.0</v>
      </c>
    </row>
    <row r="5070">
      <c r="A5070" s="14">
        <v>118.0</v>
      </c>
      <c r="B5070" s="14">
        <v>0.0</v>
      </c>
      <c r="C5070" s="34">
        <v>11.89</v>
      </c>
      <c r="D5070" s="36">
        <v>45229.0</v>
      </c>
      <c r="E5070" s="24"/>
      <c r="F5070" s="14" t="s">
        <v>6012</v>
      </c>
      <c r="G5070" s="14">
        <v>100.76</v>
      </c>
      <c r="H5070" s="14">
        <v>0.0</v>
      </c>
      <c r="I5070" s="14" t="s">
        <v>6062</v>
      </c>
      <c r="J5070" s="14" t="s">
        <v>6012</v>
      </c>
      <c r="K5070" s="14" t="s">
        <v>6012</v>
      </c>
      <c r="L5070" s="14">
        <v>0.0</v>
      </c>
    </row>
    <row r="5071">
      <c r="A5071" s="14">
        <v>41.0</v>
      </c>
      <c r="B5071" s="14">
        <v>0.0</v>
      </c>
      <c r="C5071" s="34">
        <v>14.09</v>
      </c>
      <c r="D5071" s="36">
        <v>45229.0</v>
      </c>
      <c r="E5071" s="24"/>
      <c r="F5071" s="14" t="s">
        <v>6012</v>
      </c>
      <c r="G5071" s="14">
        <v>343.66</v>
      </c>
      <c r="H5071" s="14">
        <v>0.0</v>
      </c>
      <c r="I5071" s="14" t="s">
        <v>6058</v>
      </c>
      <c r="J5071" s="14" t="s">
        <v>6012</v>
      </c>
      <c r="K5071" s="14" t="s">
        <v>6012</v>
      </c>
      <c r="L5071" s="14">
        <v>0.0</v>
      </c>
    </row>
    <row r="5072">
      <c r="A5072" s="14">
        <v>30.0</v>
      </c>
      <c r="B5072" s="14">
        <v>1.0</v>
      </c>
      <c r="C5072" s="34">
        <v>14.04</v>
      </c>
      <c r="D5072" s="36">
        <v>45229.0</v>
      </c>
      <c r="E5072" s="24"/>
      <c r="F5072" s="14">
        <v>14.04</v>
      </c>
      <c r="G5072" s="14">
        <v>468.0</v>
      </c>
      <c r="H5072" s="14">
        <v>3.33</v>
      </c>
      <c r="I5072" s="14" t="s">
        <v>6059</v>
      </c>
      <c r="J5072" s="14">
        <v>0.0</v>
      </c>
      <c r="K5072" s="14" t="s">
        <v>6012</v>
      </c>
      <c r="L5072" s="14">
        <v>0.0</v>
      </c>
    </row>
    <row r="5073">
      <c r="A5073" s="14">
        <v>143.0</v>
      </c>
      <c r="B5073" s="14">
        <v>0.0</v>
      </c>
      <c r="C5073" s="34">
        <v>15.18</v>
      </c>
      <c r="D5073" s="36">
        <v>45229.0</v>
      </c>
      <c r="E5073" s="24"/>
      <c r="F5073" s="14" t="s">
        <v>6012</v>
      </c>
      <c r="G5073" s="14">
        <v>106.15</v>
      </c>
      <c r="H5073" s="14">
        <v>0.0</v>
      </c>
      <c r="I5073" s="14" t="s">
        <v>6060</v>
      </c>
      <c r="J5073" s="14" t="s">
        <v>6012</v>
      </c>
      <c r="K5073" s="14">
        <v>15.18</v>
      </c>
      <c r="L5073" s="14">
        <v>0.0</v>
      </c>
    </row>
    <row r="5074">
      <c r="A5074" s="14">
        <v>66.0</v>
      </c>
      <c r="B5074" s="14">
        <v>0.0</v>
      </c>
      <c r="C5074" s="34">
        <v>13.38</v>
      </c>
      <c r="D5074" s="36">
        <v>45229.0</v>
      </c>
      <c r="E5074" s="24"/>
      <c r="F5074" s="14" t="s">
        <v>6012</v>
      </c>
      <c r="G5074" s="14">
        <v>202.73</v>
      </c>
      <c r="H5074" s="14">
        <v>0.0</v>
      </c>
      <c r="I5074" s="14" t="s">
        <v>6042</v>
      </c>
      <c r="J5074" s="14" t="s">
        <v>6012</v>
      </c>
      <c r="K5074" s="14" t="s">
        <v>6012</v>
      </c>
      <c r="L5074" s="14">
        <v>0.0</v>
      </c>
    </row>
    <row r="5075">
      <c r="A5075" s="14">
        <v>991.0</v>
      </c>
      <c r="B5075" s="14">
        <v>2.0</v>
      </c>
      <c r="C5075" s="34">
        <v>11.75</v>
      </c>
      <c r="D5075" s="36">
        <v>45229.0</v>
      </c>
      <c r="E5075" s="24"/>
      <c r="F5075" s="14">
        <v>5.88</v>
      </c>
      <c r="G5075" s="14">
        <v>11.86</v>
      </c>
      <c r="H5075" s="14">
        <v>0.2</v>
      </c>
      <c r="I5075" s="14" t="s">
        <v>6050</v>
      </c>
      <c r="J5075" s="14">
        <v>0.0</v>
      </c>
      <c r="K5075" s="14" t="s">
        <v>6012</v>
      </c>
      <c r="L5075" s="14">
        <v>0.0</v>
      </c>
    </row>
    <row r="5076">
      <c r="A5076" s="14">
        <v>128.0</v>
      </c>
      <c r="B5076" s="14">
        <v>2.0</v>
      </c>
      <c r="C5076" s="34">
        <v>15.0</v>
      </c>
      <c r="D5076" s="36">
        <v>45230.0</v>
      </c>
      <c r="E5076" s="24"/>
      <c r="F5076" s="14">
        <v>7.5</v>
      </c>
      <c r="G5076" s="14">
        <v>117.19</v>
      </c>
      <c r="H5076" s="14">
        <v>1.56</v>
      </c>
      <c r="I5076" s="14" t="s">
        <v>6062</v>
      </c>
      <c r="J5076" s="14">
        <v>0.0</v>
      </c>
      <c r="K5076" s="14" t="s">
        <v>6012</v>
      </c>
      <c r="L5076" s="14">
        <v>0.0</v>
      </c>
    </row>
    <row r="5077">
      <c r="A5077" s="14">
        <v>365.0</v>
      </c>
      <c r="B5077" s="14">
        <v>2.0</v>
      </c>
      <c r="C5077" s="34">
        <v>13.52</v>
      </c>
      <c r="D5077" s="36">
        <v>45230.0</v>
      </c>
      <c r="E5077" s="24"/>
      <c r="F5077" s="14">
        <v>6.76</v>
      </c>
      <c r="G5077" s="14">
        <v>37.04</v>
      </c>
      <c r="H5077" s="14">
        <v>0.55</v>
      </c>
      <c r="I5077" s="14" t="s">
        <v>6060</v>
      </c>
      <c r="J5077" s="14">
        <v>0.0</v>
      </c>
      <c r="K5077" s="14" t="s">
        <v>6012</v>
      </c>
      <c r="L5077" s="14">
        <v>0.0</v>
      </c>
    </row>
    <row r="5078">
      <c r="A5078" s="14">
        <v>25.0</v>
      </c>
      <c r="B5078" s="14">
        <v>0.0</v>
      </c>
      <c r="C5078" s="34">
        <v>14.81</v>
      </c>
      <c r="D5078" s="36">
        <v>45230.0</v>
      </c>
      <c r="E5078" s="24"/>
      <c r="F5078" s="14" t="s">
        <v>6012</v>
      </c>
      <c r="G5078" s="14">
        <v>592.4</v>
      </c>
      <c r="H5078" s="14">
        <v>0.0</v>
      </c>
      <c r="I5078" s="14" t="s">
        <v>6061</v>
      </c>
      <c r="J5078" s="14" t="s">
        <v>6012</v>
      </c>
      <c r="K5078" s="14" t="s">
        <v>6012</v>
      </c>
      <c r="L5078" s="14">
        <v>0.0</v>
      </c>
    </row>
    <row r="5079">
      <c r="A5079" s="14">
        <v>31.0</v>
      </c>
      <c r="B5079" s="14">
        <v>0.0</v>
      </c>
      <c r="C5079" s="34">
        <v>14.03</v>
      </c>
      <c r="D5079" s="36">
        <v>45230.0</v>
      </c>
      <c r="E5079" s="24"/>
      <c r="F5079" s="14" t="s">
        <v>6012</v>
      </c>
      <c r="G5079" s="14">
        <v>452.58</v>
      </c>
      <c r="H5079" s="14">
        <v>0.0</v>
      </c>
      <c r="I5079" s="14" t="s">
        <v>6057</v>
      </c>
      <c r="J5079" s="14" t="s">
        <v>6012</v>
      </c>
      <c r="K5079" s="14" t="s">
        <v>6012</v>
      </c>
      <c r="L5079" s="14">
        <v>0.0</v>
      </c>
    </row>
    <row r="5080">
      <c r="A5080" s="14">
        <v>455.0</v>
      </c>
      <c r="B5080" s="14">
        <v>3.0</v>
      </c>
      <c r="C5080" s="34">
        <v>12.09</v>
      </c>
      <c r="D5080" s="36">
        <v>45230.0</v>
      </c>
      <c r="E5080" s="24"/>
      <c r="F5080" s="14">
        <v>4.03</v>
      </c>
      <c r="G5080" s="14">
        <v>26.57</v>
      </c>
      <c r="H5080" s="14">
        <v>0.66</v>
      </c>
      <c r="I5080" s="14" t="s">
        <v>6050</v>
      </c>
      <c r="J5080" s="14">
        <v>66.67</v>
      </c>
      <c r="K5080" s="14">
        <v>6.04</v>
      </c>
      <c r="L5080" s="14">
        <v>0.0</v>
      </c>
    </row>
    <row r="5081">
      <c r="A5081" s="14">
        <v>417.0</v>
      </c>
      <c r="B5081" s="14">
        <v>4.0</v>
      </c>
      <c r="C5081" s="34">
        <v>11.77</v>
      </c>
      <c r="D5081" s="36">
        <v>45230.0</v>
      </c>
      <c r="E5081" s="24"/>
      <c r="F5081" s="14">
        <v>2.94</v>
      </c>
      <c r="G5081" s="14">
        <v>28.23</v>
      </c>
      <c r="H5081" s="14">
        <v>0.96</v>
      </c>
      <c r="I5081" s="14" t="s">
        <v>6051</v>
      </c>
      <c r="J5081" s="14">
        <v>0.0</v>
      </c>
      <c r="K5081" s="14" t="s">
        <v>6012</v>
      </c>
      <c r="L5081" s="14">
        <v>0.0</v>
      </c>
    </row>
    <row r="5082">
      <c r="A5082" s="14">
        <v>104.0</v>
      </c>
      <c r="B5082" s="14">
        <v>0.0</v>
      </c>
      <c r="C5082" s="34">
        <v>13.44</v>
      </c>
      <c r="D5082" s="36">
        <v>45230.0</v>
      </c>
      <c r="E5082" s="24"/>
      <c r="F5082" s="14" t="s">
        <v>6012</v>
      </c>
      <c r="G5082" s="14">
        <v>129.23</v>
      </c>
      <c r="H5082" s="14">
        <v>0.0</v>
      </c>
      <c r="I5082" s="14" t="s">
        <v>6042</v>
      </c>
      <c r="J5082" s="14" t="s">
        <v>6012</v>
      </c>
      <c r="K5082" s="14" t="s">
        <v>6012</v>
      </c>
      <c r="L5082" s="14">
        <v>0.0</v>
      </c>
    </row>
    <row r="5083">
      <c r="A5083" s="14">
        <v>8.0</v>
      </c>
      <c r="B5083" s="14">
        <v>5.0</v>
      </c>
      <c r="C5083" s="34">
        <v>6.0</v>
      </c>
      <c r="D5083" s="36">
        <v>45230.0</v>
      </c>
      <c r="E5083" s="24"/>
      <c r="F5083" s="14">
        <v>1.2</v>
      </c>
      <c r="G5083" s="14">
        <v>750.0</v>
      </c>
      <c r="H5083" s="14">
        <v>62.5</v>
      </c>
      <c r="I5083" s="14" t="s">
        <v>6064</v>
      </c>
      <c r="J5083" s="14">
        <v>0.0</v>
      </c>
      <c r="K5083" s="14" t="s">
        <v>6012</v>
      </c>
      <c r="L5083" s="14">
        <v>0.0</v>
      </c>
    </row>
    <row r="5084">
      <c r="A5084" s="14">
        <v>43.0</v>
      </c>
      <c r="B5084" s="14">
        <v>0.0</v>
      </c>
      <c r="C5084" s="34">
        <v>14.32</v>
      </c>
      <c r="D5084" s="36">
        <v>45230.0</v>
      </c>
      <c r="E5084" s="24"/>
      <c r="F5084" s="14" t="s">
        <v>6012</v>
      </c>
      <c r="G5084" s="14">
        <v>333.02</v>
      </c>
      <c r="H5084" s="14">
        <v>0.0</v>
      </c>
      <c r="I5084" s="14" t="s">
        <v>6059</v>
      </c>
      <c r="J5084" s="14" t="s">
        <v>6012</v>
      </c>
      <c r="K5084" s="14" t="s">
        <v>6012</v>
      </c>
      <c r="L5084" s="14">
        <v>0.0</v>
      </c>
    </row>
    <row r="5085">
      <c r="A5085" s="14">
        <v>19.0</v>
      </c>
      <c r="B5085" s="14">
        <v>0.0</v>
      </c>
      <c r="C5085" s="34">
        <v>15.0</v>
      </c>
      <c r="D5085" s="36">
        <v>45230.0</v>
      </c>
      <c r="E5085" s="24"/>
      <c r="F5085" s="14" t="s">
        <v>6012</v>
      </c>
      <c r="G5085" s="14">
        <v>789.47</v>
      </c>
      <c r="H5085" s="14">
        <v>0.0</v>
      </c>
      <c r="I5085" s="14" t="s">
        <v>6058</v>
      </c>
      <c r="J5085" s="14" t="s">
        <v>6012</v>
      </c>
      <c r="K5085" s="14" t="s">
        <v>6012</v>
      </c>
      <c r="L5085" s="14">
        <v>0.0</v>
      </c>
    </row>
    <row r="5086">
      <c r="A5086" s="14">
        <v>29.0</v>
      </c>
      <c r="B5086" s="14">
        <v>1.0</v>
      </c>
      <c r="C5086" s="34">
        <v>14.99</v>
      </c>
      <c r="D5086" s="36">
        <v>45230.0</v>
      </c>
      <c r="E5086" s="24"/>
      <c r="F5086" s="14">
        <v>14.99</v>
      </c>
      <c r="G5086" s="14">
        <v>516.9</v>
      </c>
      <c r="H5086" s="14">
        <v>3.45</v>
      </c>
      <c r="I5086" s="14" t="s">
        <v>6063</v>
      </c>
      <c r="J5086" s="14">
        <v>0.0</v>
      </c>
      <c r="K5086" s="14" t="s">
        <v>6012</v>
      </c>
      <c r="L5086" s="14">
        <v>0.0</v>
      </c>
    </row>
    <row r="5087">
      <c r="A5087" s="14">
        <v>57.0</v>
      </c>
      <c r="B5087" s="14">
        <v>1.0</v>
      </c>
      <c r="C5087" s="34">
        <v>10.89</v>
      </c>
      <c r="D5087" s="36">
        <v>45231.0</v>
      </c>
      <c r="E5087" s="24"/>
      <c r="F5087" s="14">
        <v>10.89</v>
      </c>
      <c r="G5087" s="14">
        <v>191.05</v>
      </c>
      <c r="H5087" s="14">
        <v>1.75</v>
      </c>
      <c r="I5087" s="14" t="s">
        <v>6061</v>
      </c>
      <c r="J5087" s="14">
        <v>100.0</v>
      </c>
      <c r="K5087" s="14">
        <v>10.89</v>
      </c>
      <c r="L5087" s="14">
        <v>0.0</v>
      </c>
    </row>
    <row r="5088">
      <c r="A5088" s="14">
        <v>385.0</v>
      </c>
      <c r="B5088" s="14">
        <v>3.0</v>
      </c>
      <c r="C5088" s="34">
        <v>13.85</v>
      </c>
      <c r="D5088" s="36">
        <v>45231.0</v>
      </c>
      <c r="E5088" s="24"/>
      <c r="F5088" s="14">
        <v>4.62</v>
      </c>
      <c r="G5088" s="14">
        <v>35.97</v>
      </c>
      <c r="H5088" s="14">
        <v>0.78</v>
      </c>
      <c r="I5088" s="14" t="s">
        <v>6060</v>
      </c>
      <c r="J5088" s="14">
        <v>33.33</v>
      </c>
      <c r="K5088" s="14">
        <v>13.85</v>
      </c>
      <c r="L5088" s="14">
        <v>0.0</v>
      </c>
    </row>
    <row r="5089">
      <c r="A5089" s="14">
        <v>25.0</v>
      </c>
      <c r="B5089" s="14">
        <v>0.0</v>
      </c>
      <c r="C5089" s="34">
        <v>10.83</v>
      </c>
      <c r="D5089" s="36">
        <v>45231.0</v>
      </c>
      <c r="E5089" s="24"/>
      <c r="F5089" s="14" t="s">
        <v>6012</v>
      </c>
      <c r="G5089" s="14">
        <v>433.2</v>
      </c>
      <c r="H5089" s="14">
        <v>0.0</v>
      </c>
      <c r="I5089" s="14" t="s">
        <v>6059</v>
      </c>
      <c r="J5089" s="14" t="s">
        <v>6012</v>
      </c>
      <c r="K5089" s="14" t="s">
        <v>6012</v>
      </c>
      <c r="L5089" s="14">
        <v>0.0</v>
      </c>
    </row>
    <row r="5090">
      <c r="A5090" s="14">
        <v>636.0</v>
      </c>
      <c r="B5090" s="14">
        <v>9.0</v>
      </c>
      <c r="C5090" s="34">
        <v>11.21</v>
      </c>
      <c r="D5090" s="36">
        <v>45231.0</v>
      </c>
      <c r="E5090" s="24"/>
      <c r="F5090" s="14">
        <v>1.25</v>
      </c>
      <c r="G5090" s="14">
        <v>17.63</v>
      </c>
      <c r="H5090" s="14">
        <v>1.42</v>
      </c>
      <c r="I5090" s="14" t="s">
        <v>6051</v>
      </c>
      <c r="J5090" s="14">
        <v>22.22</v>
      </c>
      <c r="K5090" s="14">
        <v>5.6</v>
      </c>
      <c r="L5090" s="14">
        <v>0.0</v>
      </c>
    </row>
    <row r="5091">
      <c r="A5091" s="14">
        <v>14.0</v>
      </c>
      <c r="B5091" s="14">
        <v>6.0</v>
      </c>
      <c r="C5091" s="34">
        <v>10.5</v>
      </c>
      <c r="D5091" s="36">
        <v>45231.0</v>
      </c>
      <c r="E5091" s="24"/>
      <c r="F5091" s="14">
        <v>1.75</v>
      </c>
      <c r="G5091" s="14">
        <v>750.0</v>
      </c>
      <c r="H5091" s="14">
        <v>42.86</v>
      </c>
      <c r="I5091" s="14" t="s">
        <v>6064</v>
      </c>
      <c r="J5091" s="14">
        <v>0.0</v>
      </c>
      <c r="K5091" s="14" t="s">
        <v>6012</v>
      </c>
      <c r="L5091" s="14">
        <v>0.0</v>
      </c>
    </row>
    <row r="5092">
      <c r="A5092" s="14">
        <v>117.0</v>
      </c>
      <c r="B5092" s="14">
        <v>0.0</v>
      </c>
      <c r="C5092" s="34">
        <v>10.88</v>
      </c>
      <c r="D5092" s="36">
        <v>45231.0</v>
      </c>
      <c r="E5092" s="24"/>
      <c r="F5092" s="14" t="s">
        <v>6012</v>
      </c>
      <c r="G5092" s="14">
        <v>92.99</v>
      </c>
      <c r="H5092" s="14">
        <v>0.0</v>
      </c>
      <c r="I5092" s="14" t="s">
        <v>6058</v>
      </c>
      <c r="J5092" s="14" t="s">
        <v>6012</v>
      </c>
      <c r="K5092" s="14" t="s">
        <v>6012</v>
      </c>
      <c r="L5092" s="14">
        <v>0.0</v>
      </c>
    </row>
    <row r="5093">
      <c r="A5093" s="14">
        <v>830.0</v>
      </c>
      <c r="B5093" s="14">
        <v>4.0</v>
      </c>
      <c r="C5093" s="34">
        <v>11.49</v>
      </c>
      <c r="D5093" s="36">
        <v>45231.0</v>
      </c>
      <c r="E5093" s="24"/>
      <c r="F5093" s="14">
        <v>2.87</v>
      </c>
      <c r="G5093" s="14">
        <v>13.84</v>
      </c>
      <c r="H5093" s="14">
        <v>0.48</v>
      </c>
      <c r="I5093" s="14" t="s">
        <v>6050</v>
      </c>
      <c r="J5093" s="14">
        <v>50.0</v>
      </c>
      <c r="K5093" s="14">
        <v>5.74</v>
      </c>
      <c r="L5093" s="14">
        <v>0.0</v>
      </c>
    </row>
    <row r="5094">
      <c r="A5094" s="14">
        <v>187.0</v>
      </c>
      <c r="B5094" s="14">
        <v>0.0</v>
      </c>
      <c r="C5094" s="34">
        <v>10.15</v>
      </c>
      <c r="D5094" s="36">
        <v>45231.0</v>
      </c>
      <c r="E5094" s="24"/>
      <c r="F5094" s="14" t="s">
        <v>6012</v>
      </c>
      <c r="G5094" s="14">
        <v>54.28</v>
      </c>
      <c r="H5094" s="14">
        <v>0.0</v>
      </c>
      <c r="I5094" s="14" t="s">
        <v>6062</v>
      </c>
      <c r="J5094" s="14" t="s">
        <v>6012</v>
      </c>
      <c r="K5094" s="14" t="s">
        <v>6012</v>
      </c>
      <c r="L5094" s="14">
        <v>0.0</v>
      </c>
    </row>
    <row r="5095">
      <c r="A5095" s="14">
        <v>67.0</v>
      </c>
      <c r="B5095" s="14">
        <v>0.0</v>
      </c>
      <c r="C5095" s="34">
        <v>15.21</v>
      </c>
      <c r="D5095" s="36">
        <v>45231.0</v>
      </c>
      <c r="E5095" s="24"/>
      <c r="F5095" s="14" t="s">
        <v>6012</v>
      </c>
      <c r="G5095" s="14">
        <v>227.01</v>
      </c>
      <c r="H5095" s="14">
        <v>0.0</v>
      </c>
      <c r="I5095" s="14" t="s">
        <v>6042</v>
      </c>
      <c r="J5095" s="14" t="s">
        <v>6012</v>
      </c>
      <c r="K5095" s="14" t="s">
        <v>6012</v>
      </c>
      <c r="L5095" s="14">
        <v>0.0</v>
      </c>
    </row>
    <row r="5096">
      <c r="A5096" s="14">
        <v>24.0</v>
      </c>
      <c r="B5096" s="14">
        <v>0.0</v>
      </c>
      <c r="C5096" s="34">
        <v>11.54</v>
      </c>
      <c r="D5096" s="36">
        <v>45231.0</v>
      </c>
      <c r="E5096" s="24"/>
      <c r="F5096" s="14" t="s">
        <v>6012</v>
      </c>
      <c r="G5096" s="14">
        <v>480.83</v>
      </c>
      <c r="H5096" s="14">
        <v>0.0</v>
      </c>
      <c r="I5096" s="14" t="s">
        <v>6057</v>
      </c>
      <c r="J5096" s="14" t="s">
        <v>6012</v>
      </c>
      <c r="K5096" s="14" t="s">
        <v>6012</v>
      </c>
      <c r="L5096" s="14">
        <v>0.0</v>
      </c>
    </row>
    <row r="5097">
      <c r="A5097" s="14">
        <v>35.0</v>
      </c>
      <c r="B5097" s="14">
        <v>1.0</v>
      </c>
      <c r="C5097" s="34">
        <v>15.0</v>
      </c>
      <c r="D5097" s="36">
        <v>45231.0</v>
      </c>
      <c r="E5097" s="24"/>
      <c r="F5097" s="14">
        <v>15.0</v>
      </c>
      <c r="G5097" s="14">
        <v>428.57</v>
      </c>
      <c r="H5097" s="14">
        <v>2.86</v>
      </c>
      <c r="I5097" s="14" t="s">
        <v>6063</v>
      </c>
      <c r="J5097" s="14">
        <v>200.0</v>
      </c>
      <c r="K5097" s="14">
        <v>7.5</v>
      </c>
      <c r="L5097" s="14">
        <v>0.0</v>
      </c>
    </row>
    <row r="5098">
      <c r="A5098" s="14">
        <v>34.0</v>
      </c>
      <c r="B5098" s="14">
        <v>0.0</v>
      </c>
      <c r="C5098" s="34">
        <v>13.68</v>
      </c>
      <c r="D5098" s="36">
        <v>45232.0</v>
      </c>
      <c r="E5098" s="24"/>
      <c r="F5098" s="14" t="s">
        <v>6012</v>
      </c>
      <c r="G5098" s="14">
        <v>402.35</v>
      </c>
      <c r="H5098" s="14">
        <v>0.0</v>
      </c>
      <c r="I5098" s="14" t="s">
        <v>6061</v>
      </c>
      <c r="J5098" s="14" t="s">
        <v>6012</v>
      </c>
      <c r="K5098" s="14" t="s">
        <v>6012</v>
      </c>
      <c r="L5098" s="14">
        <v>0.0</v>
      </c>
    </row>
    <row r="5099">
      <c r="A5099" s="14">
        <v>730.0</v>
      </c>
      <c r="B5099" s="14">
        <v>4.0</v>
      </c>
      <c r="C5099" s="34">
        <v>11.69</v>
      </c>
      <c r="D5099" s="36">
        <v>45232.0</v>
      </c>
      <c r="E5099" s="24"/>
      <c r="F5099" s="14">
        <v>2.92</v>
      </c>
      <c r="G5099" s="14">
        <v>16.01</v>
      </c>
      <c r="H5099" s="14">
        <v>0.55</v>
      </c>
      <c r="I5099" s="14" t="s">
        <v>6050</v>
      </c>
      <c r="J5099" s="14">
        <v>25.0</v>
      </c>
      <c r="K5099" s="14">
        <v>11.69</v>
      </c>
      <c r="L5099" s="14">
        <v>0.0</v>
      </c>
    </row>
    <row r="5100">
      <c r="A5100" s="14">
        <v>17.0</v>
      </c>
      <c r="B5100" s="14">
        <v>0.0</v>
      </c>
      <c r="C5100" s="34">
        <v>11.99</v>
      </c>
      <c r="D5100" s="36">
        <v>45232.0</v>
      </c>
      <c r="E5100" s="24"/>
      <c r="F5100" s="14" t="s">
        <v>6012</v>
      </c>
      <c r="G5100" s="14">
        <v>705.29</v>
      </c>
      <c r="H5100" s="14">
        <v>0.0</v>
      </c>
      <c r="I5100" s="14" t="s">
        <v>6057</v>
      </c>
      <c r="J5100" s="14" t="s">
        <v>6012</v>
      </c>
      <c r="K5100" s="14" t="s">
        <v>6012</v>
      </c>
      <c r="L5100" s="14">
        <v>0.0</v>
      </c>
    </row>
    <row r="5101">
      <c r="A5101" s="14">
        <v>21.0</v>
      </c>
      <c r="B5101" s="14">
        <v>0.0</v>
      </c>
      <c r="C5101" s="34">
        <v>11.65</v>
      </c>
      <c r="D5101" s="36">
        <v>45232.0</v>
      </c>
      <c r="E5101" s="24"/>
      <c r="F5101" s="14" t="s">
        <v>6012</v>
      </c>
      <c r="G5101" s="14">
        <v>554.76</v>
      </c>
      <c r="H5101" s="14">
        <v>0.0</v>
      </c>
      <c r="I5101" s="14" t="s">
        <v>6059</v>
      </c>
      <c r="J5101" s="14" t="s">
        <v>6012</v>
      </c>
      <c r="K5101" s="14" t="s">
        <v>6012</v>
      </c>
      <c r="L5101" s="14">
        <v>0.0</v>
      </c>
    </row>
    <row r="5102">
      <c r="A5102" s="14">
        <v>28.0</v>
      </c>
      <c r="B5102" s="14">
        <v>0.0</v>
      </c>
      <c r="C5102" s="34">
        <v>10.73</v>
      </c>
      <c r="D5102" s="36">
        <v>45232.0</v>
      </c>
      <c r="E5102" s="24"/>
      <c r="F5102" s="14" t="s">
        <v>6012</v>
      </c>
      <c r="G5102" s="14">
        <v>383.21</v>
      </c>
      <c r="H5102" s="14">
        <v>0.0</v>
      </c>
      <c r="I5102" s="14" t="s">
        <v>6058</v>
      </c>
      <c r="J5102" s="14" t="s">
        <v>6012</v>
      </c>
      <c r="K5102" s="14" t="s">
        <v>6012</v>
      </c>
      <c r="L5102" s="14">
        <v>0.0</v>
      </c>
    </row>
    <row r="5103">
      <c r="A5103" s="14">
        <v>7.0</v>
      </c>
      <c r="B5103" s="14">
        <v>3.0</v>
      </c>
      <c r="C5103" s="34">
        <v>5.25</v>
      </c>
      <c r="D5103" s="36">
        <v>45232.0</v>
      </c>
      <c r="E5103" s="24"/>
      <c r="F5103" s="14">
        <v>1.75</v>
      </c>
      <c r="G5103" s="14">
        <v>750.0</v>
      </c>
      <c r="H5103" s="14">
        <v>42.86</v>
      </c>
      <c r="I5103" s="14" t="s">
        <v>6064</v>
      </c>
      <c r="J5103" s="14">
        <v>0.0</v>
      </c>
      <c r="K5103" s="14" t="s">
        <v>6012</v>
      </c>
      <c r="L5103" s="14">
        <v>0.0</v>
      </c>
    </row>
    <row r="5104">
      <c r="A5104" s="14">
        <v>88.0</v>
      </c>
      <c r="B5104" s="14">
        <v>0.0</v>
      </c>
      <c r="C5104" s="34">
        <v>12.07</v>
      </c>
      <c r="D5104" s="36">
        <v>45232.0</v>
      </c>
      <c r="E5104" s="24"/>
      <c r="F5104" s="14" t="s">
        <v>6012</v>
      </c>
      <c r="G5104" s="14">
        <v>137.16</v>
      </c>
      <c r="H5104" s="14">
        <v>0.0</v>
      </c>
      <c r="I5104" s="14" t="s">
        <v>6042</v>
      </c>
      <c r="J5104" s="14" t="s">
        <v>6012</v>
      </c>
      <c r="K5104" s="14" t="s">
        <v>6012</v>
      </c>
      <c r="L5104" s="14">
        <v>0.0</v>
      </c>
    </row>
    <row r="5105">
      <c r="A5105" s="14">
        <v>39.0</v>
      </c>
      <c r="B5105" s="14">
        <v>1.0</v>
      </c>
      <c r="C5105" s="34">
        <v>12.79</v>
      </c>
      <c r="D5105" s="36">
        <v>45232.0</v>
      </c>
      <c r="E5105" s="24"/>
      <c r="F5105" s="14">
        <v>12.79</v>
      </c>
      <c r="G5105" s="14">
        <v>327.95</v>
      </c>
      <c r="H5105" s="14">
        <v>2.56</v>
      </c>
      <c r="I5105" s="14" t="s">
        <v>6062</v>
      </c>
      <c r="J5105" s="14">
        <v>0.0</v>
      </c>
      <c r="K5105" s="14" t="s">
        <v>6012</v>
      </c>
      <c r="L5105" s="14">
        <v>0.0</v>
      </c>
    </row>
    <row r="5106">
      <c r="A5106" s="14">
        <v>39.0</v>
      </c>
      <c r="B5106" s="14">
        <v>0.0</v>
      </c>
      <c r="C5106" s="34">
        <v>15.0</v>
      </c>
      <c r="D5106" s="36">
        <v>45232.0</v>
      </c>
      <c r="E5106" s="24"/>
      <c r="F5106" s="14" t="s">
        <v>6012</v>
      </c>
      <c r="G5106" s="14">
        <v>384.62</v>
      </c>
      <c r="H5106" s="14">
        <v>0.0</v>
      </c>
      <c r="I5106" s="14" t="s">
        <v>6051</v>
      </c>
      <c r="J5106" s="14" t="s">
        <v>6012</v>
      </c>
      <c r="K5106" s="14" t="s">
        <v>6012</v>
      </c>
      <c r="L5106" s="14">
        <v>0.0</v>
      </c>
    </row>
    <row r="5107">
      <c r="A5107" s="14">
        <v>22.0</v>
      </c>
      <c r="B5107" s="14">
        <v>0.0</v>
      </c>
      <c r="C5107" s="34">
        <v>10.89</v>
      </c>
      <c r="D5107" s="36">
        <v>45232.0</v>
      </c>
      <c r="E5107" s="24"/>
      <c r="F5107" s="14" t="s">
        <v>6012</v>
      </c>
      <c r="G5107" s="14">
        <v>495.0</v>
      </c>
      <c r="H5107" s="14">
        <v>0.0</v>
      </c>
      <c r="I5107" s="14" t="s">
        <v>6063</v>
      </c>
      <c r="J5107" s="14" t="s">
        <v>6012</v>
      </c>
      <c r="K5107" s="14" t="s">
        <v>6012</v>
      </c>
      <c r="L5107" s="14">
        <v>0.0</v>
      </c>
    </row>
    <row r="5108">
      <c r="A5108" s="14">
        <v>84.0</v>
      </c>
      <c r="B5108" s="14">
        <v>0.0</v>
      </c>
      <c r="C5108" s="34">
        <v>14.01</v>
      </c>
      <c r="D5108" s="36">
        <v>45232.0</v>
      </c>
      <c r="E5108" s="24"/>
      <c r="F5108" s="14" t="s">
        <v>6012</v>
      </c>
      <c r="G5108" s="14">
        <v>166.79</v>
      </c>
      <c r="H5108" s="14">
        <v>0.0</v>
      </c>
      <c r="I5108" s="14" t="s">
        <v>6060</v>
      </c>
      <c r="J5108" s="14" t="s">
        <v>6012</v>
      </c>
      <c r="K5108" s="14" t="s">
        <v>6012</v>
      </c>
      <c r="L5108" s="14">
        <v>0.0</v>
      </c>
    </row>
    <row r="5109">
      <c r="A5109" s="14">
        <v>57.0</v>
      </c>
      <c r="B5109" s="14">
        <v>1.0</v>
      </c>
      <c r="C5109" s="34">
        <v>12.02</v>
      </c>
      <c r="D5109" s="36">
        <v>45233.0</v>
      </c>
      <c r="E5109" s="24"/>
      <c r="F5109" s="14">
        <v>12.02</v>
      </c>
      <c r="G5109" s="14">
        <v>210.88</v>
      </c>
      <c r="H5109" s="14">
        <v>1.75</v>
      </c>
      <c r="I5109" s="14" t="s">
        <v>6042</v>
      </c>
      <c r="J5109" s="14">
        <v>100.0</v>
      </c>
      <c r="K5109" s="14">
        <v>12.02</v>
      </c>
      <c r="L5109" s="14">
        <v>0.0</v>
      </c>
    </row>
    <row r="5110">
      <c r="A5110" s="14">
        <v>16.0</v>
      </c>
      <c r="B5110" s="14">
        <v>0.0</v>
      </c>
      <c r="C5110" s="34">
        <v>13.29</v>
      </c>
      <c r="D5110" s="36">
        <v>45233.0</v>
      </c>
      <c r="E5110" s="24"/>
      <c r="F5110" s="14" t="s">
        <v>6012</v>
      </c>
      <c r="G5110" s="14">
        <v>830.62</v>
      </c>
      <c r="H5110" s="14">
        <v>0.0</v>
      </c>
      <c r="I5110" s="14" t="s">
        <v>6057</v>
      </c>
      <c r="J5110" s="14" t="s">
        <v>6012</v>
      </c>
      <c r="K5110" s="14">
        <v>13.29</v>
      </c>
      <c r="L5110" s="14">
        <v>0.0</v>
      </c>
    </row>
    <row r="5111">
      <c r="A5111" s="14">
        <v>5.0</v>
      </c>
      <c r="B5111" s="14">
        <v>2.0</v>
      </c>
      <c r="C5111" s="34">
        <v>3.75</v>
      </c>
      <c r="D5111" s="36">
        <v>45233.0</v>
      </c>
      <c r="E5111" s="24"/>
      <c r="F5111" s="14">
        <v>1.88</v>
      </c>
      <c r="G5111" s="14">
        <v>750.0</v>
      </c>
      <c r="H5111" s="14">
        <v>40.0</v>
      </c>
      <c r="I5111" s="14" t="s">
        <v>6064</v>
      </c>
      <c r="J5111" s="14">
        <v>0.0</v>
      </c>
      <c r="K5111" s="14" t="s">
        <v>6012</v>
      </c>
      <c r="L5111" s="14">
        <v>0.0</v>
      </c>
    </row>
    <row r="5112">
      <c r="A5112" s="14">
        <v>38.0</v>
      </c>
      <c r="B5112" s="14">
        <v>0.0</v>
      </c>
      <c r="C5112" s="34">
        <v>9.39</v>
      </c>
      <c r="D5112" s="36">
        <v>45233.0</v>
      </c>
      <c r="E5112" s="24"/>
      <c r="F5112" s="14" t="s">
        <v>6012</v>
      </c>
      <c r="G5112" s="14">
        <v>247.11</v>
      </c>
      <c r="H5112" s="14">
        <v>0.0</v>
      </c>
      <c r="I5112" s="14" t="s">
        <v>6061</v>
      </c>
      <c r="J5112" s="14" t="s">
        <v>6012</v>
      </c>
      <c r="K5112" s="14" t="s">
        <v>6012</v>
      </c>
      <c r="L5112" s="14">
        <v>0.0</v>
      </c>
    </row>
    <row r="5113">
      <c r="A5113" s="14">
        <v>25.0</v>
      </c>
      <c r="B5113" s="14">
        <v>1.0</v>
      </c>
      <c r="C5113" s="34">
        <v>10.13</v>
      </c>
      <c r="D5113" s="36">
        <v>45233.0</v>
      </c>
      <c r="E5113" s="24"/>
      <c r="F5113" s="14">
        <v>10.13</v>
      </c>
      <c r="G5113" s="14">
        <v>405.2</v>
      </c>
      <c r="H5113" s="14">
        <v>4.0</v>
      </c>
      <c r="I5113" s="14" t="s">
        <v>6058</v>
      </c>
      <c r="J5113" s="14">
        <v>100.0</v>
      </c>
      <c r="K5113" s="14">
        <v>10.13</v>
      </c>
      <c r="L5113" s="14">
        <v>0.0</v>
      </c>
    </row>
    <row r="5114">
      <c r="A5114" s="14">
        <v>31.0</v>
      </c>
      <c r="B5114" s="14">
        <v>0.0</v>
      </c>
      <c r="C5114" s="34">
        <v>10.4</v>
      </c>
      <c r="D5114" s="36">
        <v>45233.0</v>
      </c>
      <c r="E5114" s="24"/>
      <c r="F5114" s="14" t="s">
        <v>6012</v>
      </c>
      <c r="G5114" s="14">
        <v>335.48</v>
      </c>
      <c r="H5114" s="14">
        <v>0.0</v>
      </c>
      <c r="I5114" s="14" t="s">
        <v>6063</v>
      </c>
      <c r="J5114" s="14" t="s">
        <v>6012</v>
      </c>
      <c r="K5114" s="14" t="s">
        <v>6012</v>
      </c>
      <c r="L5114" s="14">
        <v>0.0</v>
      </c>
    </row>
    <row r="5115">
      <c r="A5115" s="14">
        <v>81.0</v>
      </c>
      <c r="B5115" s="14">
        <v>0.0</v>
      </c>
      <c r="C5115" s="34">
        <v>12.65</v>
      </c>
      <c r="D5115" s="36">
        <v>45233.0</v>
      </c>
      <c r="E5115" s="24"/>
      <c r="F5115" s="14" t="s">
        <v>6012</v>
      </c>
      <c r="G5115" s="14">
        <v>156.17</v>
      </c>
      <c r="H5115" s="14">
        <v>0.0</v>
      </c>
      <c r="I5115" s="14" t="s">
        <v>6060</v>
      </c>
      <c r="J5115" s="14" t="s">
        <v>6012</v>
      </c>
      <c r="K5115" s="14">
        <v>4.22</v>
      </c>
      <c r="L5115" s="14">
        <v>0.0</v>
      </c>
    </row>
    <row r="5116">
      <c r="A5116" s="14">
        <v>35.0</v>
      </c>
      <c r="B5116" s="14">
        <v>0.0</v>
      </c>
      <c r="C5116" s="34">
        <v>9.59</v>
      </c>
      <c r="D5116" s="36">
        <v>45233.0</v>
      </c>
      <c r="E5116" s="24"/>
      <c r="F5116" s="14" t="s">
        <v>6012</v>
      </c>
      <c r="G5116" s="14">
        <v>274.0</v>
      </c>
      <c r="H5116" s="14">
        <v>0.0</v>
      </c>
      <c r="I5116" s="14" t="s">
        <v>6062</v>
      </c>
      <c r="J5116" s="14" t="s">
        <v>6012</v>
      </c>
      <c r="K5116" s="14">
        <v>9.59</v>
      </c>
      <c r="L5116" s="14">
        <v>0.0</v>
      </c>
    </row>
    <row r="5117">
      <c r="A5117" s="14">
        <v>587.0</v>
      </c>
      <c r="B5117" s="14">
        <v>1.0</v>
      </c>
      <c r="C5117" s="34">
        <v>10.09</v>
      </c>
      <c r="D5117" s="36">
        <v>45233.0</v>
      </c>
      <c r="E5117" s="24"/>
      <c r="F5117" s="14">
        <v>10.09</v>
      </c>
      <c r="G5117" s="14">
        <v>17.19</v>
      </c>
      <c r="H5117" s="14">
        <v>0.17</v>
      </c>
      <c r="I5117" s="14" t="s">
        <v>6051</v>
      </c>
      <c r="J5117" s="14">
        <v>0.0</v>
      </c>
      <c r="K5117" s="14" t="s">
        <v>6012</v>
      </c>
      <c r="L5117" s="14">
        <v>0.0</v>
      </c>
    </row>
    <row r="5118">
      <c r="A5118" s="14">
        <v>563.0</v>
      </c>
      <c r="B5118" s="14">
        <v>12.0</v>
      </c>
      <c r="C5118" s="34">
        <v>10.36</v>
      </c>
      <c r="D5118" s="36">
        <v>45233.0</v>
      </c>
      <c r="E5118" s="24"/>
      <c r="F5118" s="14">
        <v>0.86</v>
      </c>
      <c r="G5118" s="14">
        <v>18.4</v>
      </c>
      <c r="H5118" s="14">
        <v>2.13</v>
      </c>
      <c r="I5118" s="14" t="s">
        <v>6050</v>
      </c>
      <c r="J5118" s="14">
        <v>16.67</v>
      </c>
      <c r="K5118" s="14">
        <v>5.18</v>
      </c>
      <c r="L5118" s="14">
        <v>0.0</v>
      </c>
    </row>
    <row r="5119">
      <c r="A5119" s="14">
        <v>27.0</v>
      </c>
      <c r="B5119" s="14">
        <v>0.0</v>
      </c>
      <c r="C5119" s="34">
        <v>11.1</v>
      </c>
      <c r="D5119" s="36">
        <v>45233.0</v>
      </c>
      <c r="E5119" s="24"/>
      <c r="F5119" s="14" t="s">
        <v>6012</v>
      </c>
      <c r="G5119" s="14">
        <v>411.11</v>
      </c>
      <c r="H5119" s="14">
        <v>0.0</v>
      </c>
      <c r="I5119" s="14" t="s">
        <v>6059</v>
      </c>
      <c r="J5119" s="14" t="s">
        <v>6012</v>
      </c>
      <c r="K5119" s="14" t="s">
        <v>6012</v>
      </c>
      <c r="L5119" s="14">
        <v>0.0</v>
      </c>
    </row>
    <row r="5120">
      <c r="A5120" s="14">
        <v>19.0</v>
      </c>
      <c r="B5120" s="14">
        <v>1.0</v>
      </c>
      <c r="C5120" s="34">
        <v>8.6</v>
      </c>
      <c r="D5120" s="36">
        <v>45234.0</v>
      </c>
      <c r="E5120" s="24"/>
      <c r="F5120" s="14">
        <v>8.6</v>
      </c>
      <c r="G5120" s="14">
        <v>452.63</v>
      </c>
      <c r="H5120" s="14">
        <v>5.26</v>
      </c>
      <c r="I5120" s="14" t="s">
        <v>6061</v>
      </c>
      <c r="J5120" s="14">
        <v>0.0</v>
      </c>
      <c r="K5120" s="14" t="s">
        <v>6012</v>
      </c>
      <c r="L5120" s="14">
        <v>0.0</v>
      </c>
    </row>
    <row r="5121">
      <c r="A5121" s="14">
        <v>30.0</v>
      </c>
      <c r="B5121" s="14">
        <v>2.0</v>
      </c>
      <c r="C5121" s="34">
        <v>7.5</v>
      </c>
      <c r="D5121" s="36">
        <v>45234.0</v>
      </c>
      <c r="E5121" s="24"/>
      <c r="F5121" s="14">
        <v>3.75</v>
      </c>
      <c r="G5121" s="14">
        <v>250.0</v>
      </c>
      <c r="H5121" s="14">
        <v>6.67</v>
      </c>
      <c r="I5121" s="14" t="s">
        <v>6062</v>
      </c>
      <c r="J5121" s="14">
        <v>50.0</v>
      </c>
      <c r="K5121" s="14">
        <v>7.5</v>
      </c>
      <c r="L5121" s="14">
        <v>0.0</v>
      </c>
    </row>
    <row r="5122">
      <c r="A5122" s="14">
        <v>32.0</v>
      </c>
      <c r="B5122" s="14">
        <v>0.0</v>
      </c>
      <c r="C5122" s="34">
        <v>8.37</v>
      </c>
      <c r="D5122" s="36">
        <v>45234.0</v>
      </c>
      <c r="E5122" s="24"/>
      <c r="F5122" s="14" t="s">
        <v>6012</v>
      </c>
      <c r="G5122" s="14">
        <v>261.56</v>
      </c>
      <c r="H5122" s="14">
        <v>0.0</v>
      </c>
      <c r="I5122" s="14" t="s">
        <v>6042</v>
      </c>
      <c r="J5122" s="14" t="s">
        <v>6012</v>
      </c>
      <c r="K5122" s="14" t="s">
        <v>6012</v>
      </c>
      <c r="L5122" s="14">
        <v>0.0</v>
      </c>
    </row>
    <row r="5123">
      <c r="A5123" s="14">
        <v>9.0</v>
      </c>
      <c r="B5123" s="14">
        <v>0.0</v>
      </c>
      <c r="C5123" s="34">
        <v>4.08</v>
      </c>
      <c r="D5123" s="36">
        <v>45234.0</v>
      </c>
      <c r="E5123" s="24"/>
      <c r="F5123" s="14" t="s">
        <v>6012</v>
      </c>
      <c r="G5123" s="14">
        <v>453.33</v>
      </c>
      <c r="H5123" s="14">
        <v>0.0</v>
      </c>
      <c r="I5123" s="14" t="s">
        <v>6057</v>
      </c>
      <c r="J5123" s="14" t="s">
        <v>6012</v>
      </c>
      <c r="K5123" s="14" t="s">
        <v>6012</v>
      </c>
      <c r="L5123" s="14">
        <v>0.0</v>
      </c>
    </row>
    <row r="5124">
      <c r="A5124" s="14">
        <v>10.0</v>
      </c>
      <c r="B5124" s="14">
        <v>0.0</v>
      </c>
      <c r="C5124" s="34">
        <v>9.17</v>
      </c>
      <c r="D5124" s="36">
        <v>45234.0</v>
      </c>
      <c r="E5124" s="24"/>
      <c r="F5124" s="14" t="s">
        <v>6012</v>
      </c>
      <c r="G5124" s="14">
        <v>917.0</v>
      </c>
      <c r="H5124" s="14">
        <v>0.0</v>
      </c>
      <c r="I5124" s="14" t="s">
        <v>6058</v>
      </c>
      <c r="J5124" s="14" t="s">
        <v>6012</v>
      </c>
      <c r="K5124" s="14" t="s">
        <v>6012</v>
      </c>
      <c r="L5124" s="14">
        <v>0.0</v>
      </c>
    </row>
    <row r="5125">
      <c r="A5125" s="14">
        <v>5.0</v>
      </c>
      <c r="B5125" s="14">
        <v>2.0</v>
      </c>
      <c r="C5125" s="34">
        <v>3.75</v>
      </c>
      <c r="D5125" s="36">
        <v>45234.0</v>
      </c>
      <c r="E5125" s="24"/>
      <c r="F5125" s="14">
        <v>1.88</v>
      </c>
      <c r="G5125" s="14">
        <v>750.0</v>
      </c>
      <c r="H5125" s="14">
        <v>40.0</v>
      </c>
      <c r="I5125" s="14" t="s">
        <v>6064</v>
      </c>
      <c r="J5125" s="14">
        <v>0.0</v>
      </c>
      <c r="K5125" s="14" t="s">
        <v>6012</v>
      </c>
      <c r="L5125" s="14">
        <v>0.0</v>
      </c>
    </row>
    <row r="5126">
      <c r="A5126" s="14">
        <v>32.0</v>
      </c>
      <c r="B5126" s="14">
        <v>0.0</v>
      </c>
      <c r="C5126" s="34">
        <v>8.73</v>
      </c>
      <c r="D5126" s="36">
        <v>45234.0</v>
      </c>
      <c r="E5126" s="24"/>
      <c r="F5126" s="14" t="s">
        <v>6012</v>
      </c>
      <c r="G5126" s="14">
        <v>272.81</v>
      </c>
      <c r="H5126" s="14">
        <v>0.0</v>
      </c>
      <c r="I5126" s="14" t="s">
        <v>6060</v>
      </c>
      <c r="J5126" s="14" t="s">
        <v>6012</v>
      </c>
      <c r="K5126" s="14" t="s">
        <v>6012</v>
      </c>
      <c r="L5126" s="14">
        <v>0.0</v>
      </c>
    </row>
    <row r="5127">
      <c r="A5127" s="14">
        <v>548.0</v>
      </c>
      <c r="B5127" s="14">
        <v>4.0</v>
      </c>
      <c r="C5127" s="34">
        <v>6.34</v>
      </c>
      <c r="D5127" s="36">
        <v>45234.0</v>
      </c>
      <c r="E5127" s="24"/>
      <c r="F5127" s="14">
        <v>1.58</v>
      </c>
      <c r="G5127" s="14">
        <v>11.57</v>
      </c>
      <c r="H5127" s="14">
        <v>0.73</v>
      </c>
      <c r="I5127" s="14" t="s">
        <v>6050</v>
      </c>
      <c r="J5127" s="14">
        <v>0.0</v>
      </c>
      <c r="K5127" s="14" t="s">
        <v>6012</v>
      </c>
      <c r="L5127" s="14">
        <v>0.0</v>
      </c>
    </row>
    <row r="5128">
      <c r="A5128" s="14">
        <v>429.0</v>
      </c>
      <c r="B5128" s="14">
        <v>3.0</v>
      </c>
      <c r="C5128" s="34">
        <v>5.8</v>
      </c>
      <c r="D5128" s="36">
        <v>45234.0</v>
      </c>
      <c r="E5128" s="24"/>
      <c r="F5128" s="14">
        <v>1.93</v>
      </c>
      <c r="G5128" s="14">
        <v>13.52</v>
      </c>
      <c r="H5128" s="14">
        <v>0.7</v>
      </c>
      <c r="I5128" s="14" t="s">
        <v>6051</v>
      </c>
      <c r="J5128" s="14">
        <v>0.0</v>
      </c>
      <c r="K5128" s="14" t="s">
        <v>6012</v>
      </c>
      <c r="L5128" s="14">
        <v>0.0</v>
      </c>
    </row>
    <row r="5129">
      <c r="A5129" s="14">
        <v>13.0</v>
      </c>
      <c r="B5129" s="14">
        <v>0.0</v>
      </c>
      <c r="C5129" s="34">
        <v>4.11</v>
      </c>
      <c r="D5129" s="36">
        <v>45234.0</v>
      </c>
      <c r="E5129" s="24"/>
      <c r="F5129" s="14" t="s">
        <v>6012</v>
      </c>
      <c r="G5129" s="14">
        <v>316.15</v>
      </c>
      <c r="H5129" s="14">
        <v>0.0</v>
      </c>
      <c r="I5129" s="14" t="s">
        <v>6063</v>
      </c>
      <c r="J5129" s="14" t="s">
        <v>6012</v>
      </c>
      <c r="K5129" s="14" t="s">
        <v>6012</v>
      </c>
      <c r="L5129" s="14">
        <v>0.0</v>
      </c>
    </row>
    <row r="5130">
      <c r="A5130" s="14">
        <v>11.0</v>
      </c>
      <c r="B5130" s="14">
        <v>0.0</v>
      </c>
      <c r="C5130" s="34">
        <v>7.98</v>
      </c>
      <c r="D5130" s="36">
        <v>45234.0</v>
      </c>
      <c r="E5130" s="24"/>
      <c r="F5130" s="14" t="s">
        <v>6012</v>
      </c>
      <c r="G5130" s="14">
        <v>725.45</v>
      </c>
      <c r="H5130" s="14">
        <v>0.0</v>
      </c>
      <c r="I5130" s="14" t="s">
        <v>6059</v>
      </c>
      <c r="J5130" s="14" t="s">
        <v>6012</v>
      </c>
      <c r="K5130" s="14" t="s">
        <v>6012</v>
      </c>
      <c r="L5130" s="14">
        <v>0.0</v>
      </c>
    </row>
    <row r="5131">
      <c r="A5131" s="14">
        <v>28.0</v>
      </c>
      <c r="B5131" s="14">
        <v>0.0</v>
      </c>
      <c r="C5131" s="34">
        <v>2.51</v>
      </c>
      <c r="D5131" s="36">
        <v>45235.0</v>
      </c>
      <c r="E5131" s="24"/>
      <c r="F5131" s="14" t="s">
        <v>6012</v>
      </c>
      <c r="G5131" s="14">
        <v>89.64</v>
      </c>
      <c r="H5131" s="14">
        <v>0.0</v>
      </c>
      <c r="I5131" s="14" t="s">
        <v>6042</v>
      </c>
      <c r="J5131" s="14" t="s">
        <v>6012</v>
      </c>
      <c r="K5131" s="14" t="s">
        <v>6012</v>
      </c>
      <c r="L5131" s="14">
        <v>0.0</v>
      </c>
    </row>
    <row r="5132">
      <c r="A5132" s="14">
        <v>7.0</v>
      </c>
      <c r="B5132" s="14">
        <v>0.0</v>
      </c>
      <c r="C5132" s="34">
        <v>1.75</v>
      </c>
      <c r="D5132" s="36">
        <v>45235.0</v>
      </c>
      <c r="E5132" s="24"/>
      <c r="F5132" s="14" t="s">
        <v>6012</v>
      </c>
      <c r="G5132" s="14">
        <v>250.0</v>
      </c>
      <c r="H5132" s="14">
        <v>0.0</v>
      </c>
      <c r="I5132" s="14" t="s">
        <v>6057</v>
      </c>
      <c r="J5132" s="14" t="s">
        <v>6012</v>
      </c>
      <c r="K5132" s="14" t="s">
        <v>6012</v>
      </c>
      <c r="L5132" s="14">
        <v>0.0</v>
      </c>
    </row>
    <row r="5133">
      <c r="A5133" s="14">
        <v>68.0</v>
      </c>
      <c r="B5133" s="14">
        <v>1.0</v>
      </c>
      <c r="C5133" s="34">
        <v>3.08</v>
      </c>
      <c r="D5133" s="36">
        <v>45235.0</v>
      </c>
      <c r="E5133" s="24"/>
      <c r="F5133" s="14">
        <v>3.08</v>
      </c>
      <c r="G5133" s="14">
        <v>45.29</v>
      </c>
      <c r="H5133" s="14">
        <v>1.47</v>
      </c>
      <c r="I5133" s="14" t="s">
        <v>6062</v>
      </c>
      <c r="J5133" s="14">
        <v>0.0</v>
      </c>
      <c r="K5133" s="14" t="s">
        <v>6012</v>
      </c>
      <c r="L5133" s="14">
        <v>0.0</v>
      </c>
    </row>
    <row r="5134">
      <c r="A5134" s="14">
        <v>6.0</v>
      </c>
      <c r="B5134" s="14">
        <v>0.0</v>
      </c>
      <c r="C5134" s="34">
        <v>0.08</v>
      </c>
      <c r="D5134" s="36">
        <v>45235.0</v>
      </c>
      <c r="E5134" s="24"/>
      <c r="F5134" s="14" t="s">
        <v>6012</v>
      </c>
      <c r="G5134" s="14">
        <v>13.33</v>
      </c>
      <c r="H5134" s="14">
        <v>0.0</v>
      </c>
      <c r="I5134" s="14" t="s">
        <v>6059</v>
      </c>
      <c r="J5134" s="14" t="s">
        <v>6012</v>
      </c>
      <c r="K5134" s="14" t="s">
        <v>6012</v>
      </c>
      <c r="L5134" s="14">
        <v>0.0</v>
      </c>
    </row>
    <row r="5135">
      <c r="A5135" s="14">
        <v>14.0</v>
      </c>
      <c r="B5135" s="14">
        <v>0.0</v>
      </c>
      <c r="C5135" s="34">
        <v>0.8</v>
      </c>
      <c r="D5135" s="36">
        <v>45235.0</v>
      </c>
      <c r="E5135" s="24"/>
      <c r="F5135" s="14" t="s">
        <v>6012</v>
      </c>
      <c r="G5135" s="14">
        <v>57.14</v>
      </c>
      <c r="H5135" s="14">
        <v>0.0</v>
      </c>
      <c r="I5135" s="14" t="s">
        <v>6061</v>
      </c>
      <c r="J5135" s="14" t="s">
        <v>6012</v>
      </c>
      <c r="K5135" s="14" t="s">
        <v>6012</v>
      </c>
      <c r="L5135" s="14">
        <v>0.0</v>
      </c>
    </row>
    <row r="5136">
      <c r="A5136" s="14">
        <v>411.0</v>
      </c>
      <c r="B5136" s="14">
        <v>4.0</v>
      </c>
      <c r="C5136" s="34">
        <v>5.15</v>
      </c>
      <c r="D5136" s="36">
        <v>45235.0</v>
      </c>
      <c r="E5136" s="24"/>
      <c r="F5136" s="14">
        <v>1.29</v>
      </c>
      <c r="G5136" s="14">
        <v>12.53</v>
      </c>
      <c r="H5136" s="14">
        <v>0.97</v>
      </c>
      <c r="I5136" s="14" t="s">
        <v>6051</v>
      </c>
      <c r="J5136" s="14">
        <v>0.0</v>
      </c>
      <c r="K5136" s="14" t="s">
        <v>6012</v>
      </c>
      <c r="L5136" s="14">
        <v>0.0</v>
      </c>
    </row>
    <row r="5137">
      <c r="A5137" s="14">
        <v>1.0</v>
      </c>
      <c r="B5137" s="14">
        <v>1.0</v>
      </c>
      <c r="C5137" s="34">
        <v>0.75</v>
      </c>
      <c r="D5137" s="36">
        <v>45235.0</v>
      </c>
      <c r="E5137" s="24"/>
      <c r="F5137" s="14">
        <v>0.75</v>
      </c>
      <c r="G5137" s="14">
        <v>750.0</v>
      </c>
      <c r="H5137" s="14">
        <v>100.0</v>
      </c>
      <c r="I5137" s="14" t="s">
        <v>6064</v>
      </c>
      <c r="J5137" s="14">
        <v>0.0</v>
      </c>
      <c r="K5137" s="14" t="s">
        <v>6012</v>
      </c>
      <c r="L5137" s="14">
        <v>0.0</v>
      </c>
    </row>
    <row r="5138">
      <c r="A5138" s="14">
        <v>10.0</v>
      </c>
      <c r="B5138" s="14">
        <v>0.0</v>
      </c>
      <c r="C5138" s="34">
        <v>1.52</v>
      </c>
      <c r="D5138" s="36">
        <v>45235.0</v>
      </c>
      <c r="E5138" s="24"/>
      <c r="F5138" s="14" t="s">
        <v>6012</v>
      </c>
      <c r="G5138" s="14">
        <v>152.0</v>
      </c>
      <c r="H5138" s="14">
        <v>0.0</v>
      </c>
      <c r="I5138" s="14" t="s">
        <v>6063</v>
      </c>
      <c r="J5138" s="14" t="s">
        <v>6012</v>
      </c>
      <c r="K5138" s="14" t="s">
        <v>6012</v>
      </c>
      <c r="L5138" s="14">
        <v>0.0</v>
      </c>
    </row>
    <row r="5139">
      <c r="A5139" s="14">
        <v>472.0</v>
      </c>
      <c r="B5139" s="14">
        <v>9.0</v>
      </c>
      <c r="C5139" s="34">
        <v>6.28</v>
      </c>
      <c r="D5139" s="36">
        <v>45235.0</v>
      </c>
      <c r="E5139" s="24"/>
      <c r="F5139" s="14">
        <v>0.7</v>
      </c>
      <c r="G5139" s="14">
        <v>13.31</v>
      </c>
      <c r="H5139" s="14">
        <v>1.91</v>
      </c>
      <c r="I5139" s="14" t="s">
        <v>6050</v>
      </c>
      <c r="J5139" s="14">
        <v>33.33</v>
      </c>
      <c r="K5139" s="14">
        <v>2.09</v>
      </c>
      <c r="L5139" s="14">
        <v>0.0</v>
      </c>
    </row>
    <row r="5140">
      <c r="A5140" s="14">
        <v>51.0</v>
      </c>
      <c r="B5140" s="14">
        <v>0.0</v>
      </c>
      <c r="C5140" s="34">
        <v>6.06</v>
      </c>
      <c r="D5140" s="36">
        <v>45235.0</v>
      </c>
      <c r="E5140" s="24"/>
      <c r="F5140" s="14" t="s">
        <v>6012</v>
      </c>
      <c r="G5140" s="14">
        <v>118.82</v>
      </c>
      <c r="H5140" s="14">
        <v>0.0</v>
      </c>
      <c r="I5140" s="14" t="s">
        <v>6060</v>
      </c>
      <c r="J5140" s="14" t="s">
        <v>6012</v>
      </c>
      <c r="K5140" s="14" t="s">
        <v>6012</v>
      </c>
      <c r="L5140" s="14">
        <v>0.0</v>
      </c>
    </row>
    <row r="5141">
      <c r="A5141" s="14">
        <v>210.0</v>
      </c>
      <c r="B5141" s="14">
        <v>0.0</v>
      </c>
      <c r="C5141" s="34">
        <v>14.96</v>
      </c>
      <c r="D5141" s="36">
        <v>45236.0</v>
      </c>
      <c r="E5141" s="24"/>
      <c r="F5141" s="14" t="s">
        <v>6012</v>
      </c>
      <c r="G5141" s="14">
        <v>71.24</v>
      </c>
      <c r="H5141" s="14">
        <v>0.0</v>
      </c>
      <c r="I5141" s="14" t="s">
        <v>6060</v>
      </c>
      <c r="J5141" s="14" t="s">
        <v>6012</v>
      </c>
      <c r="K5141" s="14">
        <v>14.96</v>
      </c>
      <c r="L5141" s="14">
        <v>0.0</v>
      </c>
    </row>
    <row r="5142">
      <c r="A5142" s="14">
        <v>36.0</v>
      </c>
      <c r="B5142" s="14">
        <v>0.0</v>
      </c>
      <c r="C5142" s="34">
        <v>11.53</v>
      </c>
      <c r="D5142" s="36">
        <v>45236.0</v>
      </c>
      <c r="E5142" s="24"/>
      <c r="F5142" s="14" t="s">
        <v>6012</v>
      </c>
      <c r="G5142" s="14">
        <v>320.28</v>
      </c>
      <c r="H5142" s="14">
        <v>0.0</v>
      </c>
      <c r="I5142" s="14" t="s">
        <v>6057</v>
      </c>
      <c r="J5142" s="14" t="s">
        <v>6012</v>
      </c>
      <c r="K5142" s="14" t="s">
        <v>6012</v>
      </c>
      <c r="L5142" s="14">
        <v>0.0</v>
      </c>
    </row>
    <row r="5143">
      <c r="A5143" s="14">
        <v>65.0</v>
      </c>
      <c r="B5143" s="14">
        <v>1.0</v>
      </c>
      <c r="C5143" s="34">
        <v>14.66</v>
      </c>
      <c r="D5143" s="36">
        <v>45236.0</v>
      </c>
      <c r="E5143" s="24"/>
      <c r="F5143" s="14">
        <v>14.66</v>
      </c>
      <c r="G5143" s="14">
        <v>225.54</v>
      </c>
      <c r="H5143" s="14">
        <v>1.54</v>
      </c>
      <c r="I5143" s="14" t="s">
        <v>6058</v>
      </c>
      <c r="J5143" s="14">
        <v>0.0</v>
      </c>
      <c r="K5143" s="14" t="s">
        <v>6012</v>
      </c>
      <c r="L5143" s="14">
        <v>0.0</v>
      </c>
    </row>
    <row r="5144">
      <c r="A5144" s="14">
        <v>877.0</v>
      </c>
      <c r="B5144" s="14">
        <v>4.0</v>
      </c>
      <c r="C5144" s="34">
        <v>11.11</v>
      </c>
      <c r="D5144" s="36">
        <v>45236.0</v>
      </c>
      <c r="E5144" s="24"/>
      <c r="F5144" s="14">
        <v>2.78</v>
      </c>
      <c r="G5144" s="14">
        <v>12.67</v>
      </c>
      <c r="H5144" s="14">
        <v>0.46</v>
      </c>
      <c r="I5144" s="14" t="s">
        <v>6051</v>
      </c>
      <c r="J5144" s="14">
        <v>0.0</v>
      </c>
      <c r="K5144" s="14" t="s">
        <v>6012</v>
      </c>
      <c r="L5144" s="14">
        <v>0.0</v>
      </c>
    </row>
    <row r="5145">
      <c r="A5145" s="14">
        <v>24.0</v>
      </c>
      <c r="B5145" s="14">
        <v>0.0</v>
      </c>
      <c r="C5145" s="34">
        <v>12.89</v>
      </c>
      <c r="D5145" s="36">
        <v>45236.0</v>
      </c>
      <c r="E5145" s="24"/>
      <c r="F5145" s="14" t="s">
        <v>6012</v>
      </c>
      <c r="G5145" s="14">
        <v>537.08</v>
      </c>
      <c r="H5145" s="14">
        <v>0.0</v>
      </c>
      <c r="I5145" s="14" t="s">
        <v>6059</v>
      </c>
      <c r="J5145" s="14" t="s">
        <v>6012</v>
      </c>
      <c r="K5145" s="14" t="s">
        <v>6012</v>
      </c>
      <c r="L5145" s="14">
        <v>0.0</v>
      </c>
    </row>
    <row r="5146">
      <c r="A5146" s="14">
        <v>42.0</v>
      </c>
      <c r="B5146" s="14">
        <v>0.0</v>
      </c>
      <c r="C5146" s="34">
        <v>12.17</v>
      </c>
      <c r="D5146" s="36">
        <v>45236.0</v>
      </c>
      <c r="E5146" s="24"/>
      <c r="F5146" s="14" t="s">
        <v>6012</v>
      </c>
      <c r="G5146" s="14">
        <v>289.76</v>
      </c>
      <c r="H5146" s="14">
        <v>0.0</v>
      </c>
      <c r="I5146" s="14" t="s">
        <v>6063</v>
      </c>
      <c r="J5146" s="14" t="s">
        <v>6012</v>
      </c>
      <c r="K5146" s="14" t="s">
        <v>6012</v>
      </c>
      <c r="L5146" s="14">
        <v>0.0</v>
      </c>
    </row>
    <row r="5147">
      <c r="A5147" s="14">
        <v>168.0</v>
      </c>
      <c r="B5147" s="14">
        <v>0.0</v>
      </c>
      <c r="C5147" s="34">
        <v>12.45</v>
      </c>
      <c r="D5147" s="36">
        <v>45236.0</v>
      </c>
      <c r="E5147" s="24"/>
      <c r="F5147" s="14" t="s">
        <v>6012</v>
      </c>
      <c r="G5147" s="14">
        <v>74.11</v>
      </c>
      <c r="H5147" s="14">
        <v>0.0</v>
      </c>
      <c r="I5147" s="14" t="s">
        <v>6062</v>
      </c>
      <c r="J5147" s="14" t="s">
        <v>6012</v>
      </c>
      <c r="K5147" s="14">
        <v>12.45</v>
      </c>
      <c r="L5147" s="14">
        <v>0.0</v>
      </c>
    </row>
    <row r="5148">
      <c r="A5148" s="14">
        <v>7.0</v>
      </c>
      <c r="B5148" s="14">
        <v>3.0</v>
      </c>
      <c r="C5148" s="34">
        <v>5.25</v>
      </c>
      <c r="D5148" s="36">
        <v>45236.0</v>
      </c>
      <c r="E5148" s="24"/>
      <c r="F5148" s="14">
        <v>1.75</v>
      </c>
      <c r="G5148" s="14">
        <v>750.0</v>
      </c>
      <c r="H5148" s="14">
        <v>42.86</v>
      </c>
      <c r="I5148" s="14" t="s">
        <v>6064</v>
      </c>
      <c r="J5148" s="14">
        <v>0.0</v>
      </c>
      <c r="K5148" s="14" t="s">
        <v>6012</v>
      </c>
      <c r="L5148" s="14">
        <v>0.0</v>
      </c>
    </row>
    <row r="5149">
      <c r="A5149" s="14">
        <v>955.0</v>
      </c>
      <c r="B5149" s="14">
        <v>7.0</v>
      </c>
      <c r="C5149" s="34">
        <v>11.89</v>
      </c>
      <c r="D5149" s="36">
        <v>45236.0</v>
      </c>
      <c r="E5149" s="24"/>
      <c r="F5149" s="14">
        <v>1.7</v>
      </c>
      <c r="G5149" s="14">
        <v>12.45</v>
      </c>
      <c r="H5149" s="14">
        <v>0.73</v>
      </c>
      <c r="I5149" s="14" t="s">
        <v>6050</v>
      </c>
      <c r="J5149" s="14">
        <v>28.57</v>
      </c>
      <c r="K5149" s="14">
        <v>5.94</v>
      </c>
      <c r="L5149" s="14">
        <v>0.0</v>
      </c>
    </row>
    <row r="5150">
      <c r="A5150" s="14">
        <v>145.0</v>
      </c>
      <c r="B5150" s="14">
        <v>1.0</v>
      </c>
      <c r="C5150" s="34">
        <v>14.3</v>
      </c>
      <c r="D5150" s="36">
        <v>45236.0</v>
      </c>
      <c r="E5150" s="24"/>
      <c r="F5150" s="14">
        <v>14.3</v>
      </c>
      <c r="G5150" s="14">
        <v>98.62</v>
      </c>
      <c r="H5150" s="14">
        <v>0.69</v>
      </c>
      <c r="I5150" s="14" t="s">
        <v>6042</v>
      </c>
      <c r="J5150" s="14">
        <v>0.0</v>
      </c>
      <c r="K5150" s="14" t="s">
        <v>6012</v>
      </c>
      <c r="L5150" s="14">
        <v>0.0</v>
      </c>
    </row>
    <row r="5151">
      <c r="A5151" s="14">
        <v>62.0</v>
      </c>
      <c r="B5151" s="14">
        <v>0.0</v>
      </c>
      <c r="C5151" s="34">
        <v>12.55</v>
      </c>
      <c r="D5151" s="36">
        <v>45236.0</v>
      </c>
      <c r="E5151" s="24"/>
      <c r="F5151" s="14" t="s">
        <v>6012</v>
      </c>
      <c r="G5151" s="14">
        <v>202.42</v>
      </c>
      <c r="H5151" s="14">
        <v>0.0</v>
      </c>
      <c r="I5151" s="14" t="s">
        <v>6061</v>
      </c>
      <c r="J5151" s="14" t="s">
        <v>6012</v>
      </c>
      <c r="K5151" s="14" t="s">
        <v>6012</v>
      </c>
      <c r="L5151" s="14">
        <v>0.0</v>
      </c>
    </row>
    <row r="5152">
      <c r="A5152" s="14">
        <v>6.0</v>
      </c>
      <c r="B5152" s="14">
        <v>4.0</v>
      </c>
      <c r="C5152" s="34">
        <v>4.5</v>
      </c>
      <c r="D5152" s="36">
        <v>45237.0</v>
      </c>
      <c r="E5152" s="24"/>
      <c r="F5152" s="14">
        <v>1.12</v>
      </c>
      <c r="G5152" s="14">
        <v>750.0</v>
      </c>
      <c r="H5152" s="14">
        <v>66.67</v>
      </c>
      <c r="I5152" s="14" t="s">
        <v>6064</v>
      </c>
      <c r="J5152" s="14">
        <v>0.0</v>
      </c>
      <c r="K5152" s="14" t="s">
        <v>6012</v>
      </c>
      <c r="L5152" s="14">
        <v>0.0</v>
      </c>
    </row>
    <row r="5153">
      <c r="A5153" s="14">
        <v>806.0</v>
      </c>
      <c r="B5153" s="14">
        <v>3.0</v>
      </c>
      <c r="C5153" s="34">
        <v>12.27</v>
      </c>
      <c r="D5153" s="36">
        <v>45237.0</v>
      </c>
      <c r="E5153" s="24"/>
      <c r="F5153" s="14">
        <v>4.09</v>
      </c>
      <c r="G5153" s="14">
        <v>15.22</v>
      </c>
      <c r="H5153" s="14">
        <v>0.37</v>
      </c>
      <c r="I5153" s="14" t="s">
        <v>6051</v>
      </c>
      <c r="J5153" s="14">
        <v>0.0</v>
      </c>
      <c r="K5153" s="14" t="s">
        <v>6012</v>
      </c>
      <c r="L5153" s="14">
        <v>0.0</v>
      </c>
    </row>
    <row r="5154">
      <c r="A5154" s="14">
        <v>37.0</v>
      </c>
      <c r="B5154" s="14">
        <v>0.0</v>
      </c>
      <c r="C5154" s="34">
        <v>14.26</v>
      </c>
      <c r="D5154" s="36">
        <v>45237.0</v>
      </c>
      <c r="E5154" s="24"/>
      <c r="F5154" s="14" t="s">
        <v>6012</v>
      </c>
      <c r="G5154" s="14">
        <v>385.41</v>
      </c>
      <c r="H5154" s="14">
        <v>0.0</v>
      </c>
      <c r="I5154" s="14" t="s">
        <v>6057</v>
      </c>
      <c r="J5154" s="14" t="s">
        <v>6012</v>
      </c>
      <c r="K5154" s="14" t="s">
        <v>6012</v>
      </c>
      <c r="L5154" s="14">
        <v>0.0</v>
      </c>
    </row>
    <row r="5155">
      <c r="A5155" s="14">
        <v>57.0</v>
      </c>
      <c r="B5155" s="14">
        <v>0.0</v>
      </c>
      <c r="C5155" s="34">
        <v>13.76</v>
      </c>
      <c r="D5155" s="36">
        <v>45237.0</v>
      </c>
      <c r="E5155" s="24"/>
      <c r="F5155" s="14" t="s">
        <v>6012</v>
      </c>
      <c r="G5155" s="14">
        <v>241.4</v>
      </c>
      <c r="H5155" s="14">
        <v>0.0</v>
      </c>
      <c r="I5155" s="14" t="s">
        <v>6063</v>
      </c>
      <c r="J5155" s="14" t="s">
        <v>6012</v>
      </c>
      <c r="K5155" s="14" t="s">
        <v>6012</v>
      </c>
      <c r="L5155" s="14">
        <v>0.0</v>
      </c>
    </row>
    <row r="5156">
      <c r="A5156" s="14">
        <v>855.0</v>
      </c>
      <c r="B5156" s="14">
        <v>5.0</v>
      </c>
      <c r="C5156" s="34">
        <v>12.21</v>
      </c>
      <c r="D5156" s="36">
        <v>45237.0</v>
      </c>
      <c r="E5156" s="24"/>
      <c r="F5156" s="14">
        <v>2.44</v>
      </c>
      <c r="G5156" s="14">
        <v>14.28</v>
      </c>
      <c r="H5156" s="14">
        <v>0.58</v>
      </c>
      <c r="I5156" s="14" t="s">
        <v>6050</v>
      </c>
      <c r="J5156" s="14">
        <v>20.0</v>
      </c>
      <c r="K5156" s="14">
        <v>12.21</v>
      </c>
      <c r="L5156" s="14">
        <v>0.0</v>
      </c>
    </row>
    <row r="5157">
      <c r="A5157" s="14">
        <v>178.0</v>
      </c>
      <c r="B5157" s="14">
        <v>1.0</v>
      </c>
      <c r="C5157" s="34">
        <v>16.57</v>
      </c>
      <c r="D5157" s="36">
        <v>45237.0</v>
      </c>
      <c r="E5157" s="24"/>
      <c r="F5157" s="14">
        <v>16.57</v>
      </c>
      <c r="G5157" s="14">
        <v>93.09</v>
      </c>
      <c r="H5157" s="14">
        <v>0.56</v>
      </c>
      <c r="I5157" s="14" t="s">
        <v>6060</v>
      </c>
      <c r="J5157" s="14">
        <v>100.0</v>
      </c>
      <c r="K5157" s="14">
        <v>16.57</v>
      </c>
      <c r="L5157" s="14">
        <v>0.0</v>
      </c>
    </row>
    <row r="5158">
      <c r="A5158" s="14">
        <v>27.0</v>
      </c>
      <c r="B5158" s="14">
        <v>0.0</v>
      </c>
      <c r="C5158" s="34">
        <v>12.78</v>
      </c>
      <c r="D5158" s="36">
        <v>45237.0</v>
      </c>
      <c r="E5158" s="24"/>
      <c r="F5158" s="14" t="s">
        <v>6012</v>
      </c>
      <c r="G5158" s="14">
        <v>473.33</v>
      </c>
      <c r="H5158" s="14">
        <v>0.0</v>
      </c>
      <c r="I5158" s="14" t="s">
        <v>6058</v>
      </c>
      <c r="J5158" s="14" t="s">
        <v>6012</v>
      </c>
      <c r="K5158" s="14">
        <v>6.39</v>
      </c>
      <c r="L5158" s="14">
        <v>0.0</v>
      </c>
    </row>
    <row r="5159">
      <c r="A5159" s="14">
        <v>40.0</v>
      </c>
      <c r="B5159" s="14">
        <v>0.0</v>
      </c>
      <c r="C5159" s="34">
        <v>13.67</v>
      </c>
      <c r="D5159" s="36">
        <v>45237.0</v>
      </c>
      <c r="E5159" s="24"/>
      <c r="F5159" s="14" t="s">
        <v>6012</v>
      </c>
      <c r="G5159" s="14">
        <v>341.75</v>
      </c>
      <c r="H5159" s="14">
        <v>0.0</v>
      </c>
      <c r="I5159" s="14" t="s">
        <v>6061</v>
      </c>
      <c r="J5159" s="14" t="s">
        <v>6012</v>
      </c>
      <c r="K5159" s="14" t="s">
        <v>6012</v>
      </c>
      <c r="L5159" s="14">
        <v>0.0</v>
      </c>
    </row>
    <row r="5160">
      <c r="A5160" s="14">
        <v>96.0</v>
      </c>
      <c r="B5160" s="14">
        <v>0.0</v>
      </c>
      <c r="C5160" s="34">
        <v>13.58</v>
      </c>
      <c r="D5160" s="36">
        <v>45237.0</v>
      </c>
      <c r="E5160" s="24"/>
      <c r="F5160" s="14" t="s">
        <v>6012</v>
      </c>
      <c r="G5160" s="14">
        <v>141.46</v>
      </c>
      <c r="H5160" s="14">
        <v>0.0</v>
      </c>
      <c r="I5160" s="14" t="s">
        <v>6062</v>
      </c>
      <c r="J5160" s="14" t="s">
        <v>6012</v>
      </c>
      <c r="K5160" s="14">
        <v>13.58</v>
      </c>
      <c r="L5160" s="14">
        <v>0.0</v>
      </c>
    </row>
    <row r="5161">
      <c r="A5161" s="14">
        <v>23.0</v>
      </c>
      <c r="B5161" s="14">
        <v>0.0</v>
      </c>
      <c r="C5161" s="34">
        <v>13.11</v>
      </c>
      <c r="D5161" s="36">
        <v>45237.0</v>
      </c>
      <c r="E5161" s="24"/>
      <c r="F5161" s="14" t="s">
        <v>6012</v>
      </c>
      <c r="G5161" s="14">
        <v>570.0</v>
      </c>
      <c r="H5161" s="14">
        <v>0.0</v>
      </c>
      <c r="I5161" s="14" t="s">
        <v>6059</v>
      </c>
      <c r="J5161" s="14" t="s">
        <v>6012</v>
      </c>
      <c r="K5161" s="14" t="s">
        <v>6012</v>
      </c>
      <c r="L5161" s="14">
        <v>0.0</v>
      </c>
    </row>
    <row r="5162">
      <c r="A5162" s="14">
        <v>76.0</v>
      </c>
      <c r="B5162" s="14">
        <v>0.0</v>
      </c>
      <c r="C5162" s="34">
        <v>13.02</v>
      </c>
      <c r="D5162" s="36">
        <v>45237.0</v>
      </c>
      <c r="E5162" s="24"/>
      <c r="F5162" s="14" t="s">
        <v>6012</v>
      </c>
      <c r="G5162" s="14">
        <v>171.32</v>
      </c>
      <c r="H5162" s="14">
        <v>0.0</v>
      </c>
      <c r="I5162" s="14" t="s">
        <v>6042</v>
      </c>
      <c r="J5162" s="14" t="s">
        <v>6012</v>
      </c>
      <c r="K5162" s="14" t="s">
        <v>6012</v>
      </c>
      <c r="L5162" s="14">
        <v>0.0</v>
      </c>
    </row>
    <row r="5163">
      <c r="A5163" s="14">
        <v>1.0</v>
      </c>
      <c r="B5163" s="14">
        <v>3.0</v>
      </c>
      <c r="C5163" s="34">
        <v>0.75</v>
      </c>
      <c r="D5163" s="36">
        <v>45238.0</v>
      </c>
      <c r="E5163" s="24"/>
      <c r="F5163" s="14">
        <v>0.25</v>
      </c>
      <c r="G5163" s="14">
        <v>750.0</v>
      </c>
      <c r="H5163" s="14">
        <v>300.0</v>
      </c>
      <c r="I5163" s="14" t="s">
        <v>6064</v>
      </c>
      <c r="J5163" s="14">
        <v>0.0</v>
      </c>
      <c r="K5163" s="14" t="s">
        <v>6012</v>
      </c>
      <c r="L5163" s="14">
        <v>0.0</v>
      </c>
    </row>
    <row r="5164">
      <c r="A5164" s="14">
        <v>857.0</v>
      </c>
      <c r="B5164" s="14">
        <v>8.0</v>
      </c>
      <c r="C5164" s="34">
        <v>12.14</v>
      </c>
      <c r="D5164" s="36">
        <v>45238.0</v>
      </c>
      <c r="E5164" s="24"/>
      <c r="F5164" s="14">
        <v>1.52</v>
      </c>
      <c r="G5164" s="14">
        <v>14.17</v>
      </c>
      <c r="H5164" s="14">
        <v>0.93</v>
      </c>
      <c r="I5164" s="14" t="s">
        <v>6051</v>
      </c>
      <c r="J5164" s="14">
        <v>0.0</v>
      </c>
      <c r="K5164" s="14" t="s">
        <v>6012</v>
      </c>
      <c r="L5164" s="14">
        <v>0.0</v>
      </c>
    </row>
    <row r="5165">
      <c r="A5165" s="14">
        <v>117.0</v>
      </c>
      <c r="B5165" s="14">
        <v>0.0</v>
      </c>
      <c r="C5165" s="34">
        <v>15.72</v>
      </c>
      <c r="D5165" s="36">
        <v>45238.0</v>
      </c>
      <c r="E5165" s="24"/>
      <c r="F5165" s="14" t="s">
        <v>6012</v>
      </c>
      <c r="G5165" s="14">
        <v>134.36</v>
      </c>
      <c r="H5165" s="14">
        <v>0.0</v>
      </c>
      <c r="I5165" s="14" t="s">
        <v>6042</v>
      </c>
      <c r="J5165" s="14" t="s">
        <v>6012</v>
      </c>
      <c r="K5165" s="14" t="s">
        <v>6012</v>
      </c>
      <c r="L5165" s="14">
        <v>0.0</v>
      </c>
    </row>
    <row r="5166">
      <c r="A5166" s="14">
        <v>46.0</v>
      </c>
      <c r="B5166" s="14">
        <v>0.0</v>
      </c>
      <c r="C5166" s="34">
        <v>12.59</v>
      </c>
      <c r="D5166" s="36">
        <v>45238.0</v>
      </c>
      <c r="E5166" s="24"/>
      <c r="F5166" s="14" t="s">
        <v>6012</v>
      </c>
      <c r="G5166" s="14">
        <v>273.7</v>
      </c>
      <c r="H5166" s="14">
        <v>0.0</v>
      </c>
      <c r="I5166" s="14" t="s">
        <v>6063</v>
      </c>
      <c r="J5166" s="14" t="s">
        <v>6012</v>
      </c>
      <c r="K5166" s="14" t="s">
        <v>6012</v>
      </c>
      <c r="L5166" s="14">
        <v>0.0</v>
      </c>
    </row>
    <row r="5167">
      <c r="A5167" s="14">
        <v>28.0</v>
      </c>
      <c r="B5167" s="14">
        <v>1.0</v>
      </c>
      <c r="C5167" s="34">
        <v>13.46</v>
      </c>
      <c r="D5167" s="36">
        <v>45238.0</v>
      </c>
      <c r="E5167" s="24"/>
      <c r="F5167" s="14">
        <v>13.46</v>
      </c>
      <c r="G5167" s="14">
        <v>480.71</v>
      </c>
      <c r="H5167" s="14">
        <v>3.57</v>
      </c>
      <c r="I5167" s="14" t="s">
        <v>6061</v>
      </c>
      <c r="J5167" s="14">
        <v>0.0</v>
      </c>
      <c r="K5167" s="14" t="s">
        <v>6012</v>
      </c>
      <c r="L5167" s="14">
        <v>0.0</v>
      </c>
    </row>
    <row r="5168">
      <c r="A5168" s="14">
        <v>27.0</v>
      </c>
      <c r="B5168" s="14">
        <v>0.0</v>
      </c>
      <c r="C5168" s="34">
        <v>13.43</v>
      </c>
      <c r="D5168" s="36">
        <v>45238.0</v>
      </c>
      <c r="E5168" s="24"/>
      <c r="F5168" s="14" t="s">
        <v>6012</v>
      </c>
      <c r="G5168" s="14">
        <v>497.41</v>
      </c>
      <c r="H5168" s="14">
        <v>0.0</v>
      </c>
      <c r="I5168" s="14" t="s">
        <v>6059</v>
      </c>
      <c r="J5168" s="14" t="s">
        <v>6012</v>
      </c>
      <c r="K5168" s="14" t="s">
        <v>6012</v>
      </c>
      <c r="L5168" s="14">
        <v>0.0</v>
      </c>
    </row>
    <row r="5169">
      <c r="A5169" s="14">
        <v>40.0</v>
      </c>
      <c r="B5169" s="14">
        <v>0.0</v>
      </c>
      <c r="C5169" s="34">
        <v>12.77</v>
      </c>
      <c r="D5169" s="36">
        <v>45238.0</v>
      </c>
      <c r="E5169" s="24"/>
      <c r="F5169" s="14" t="s">
        <v>6012</v>
      </c>
      <c r="G5169" s="14">
        <v>319.25</v>
      </c>
      <c r="H5169" s="14">
        <v>0.0</v>
      </c>
      <c r="I5169" s="14" t="s">
        <v>6058</v>
      </c>
      <c r="J5169" s="14" t="s">
        <v>6012</v>
      </c>
      <c r="K5169" s="14" t="s">
        <v>6012</v>
      </c>
      <c r="L5169" s="14">
        <v>0.0</v>
      </c>
    </row>
    <row r="5170">
      <c r="A5170" s="14">
        <v>23.0</v>
      </c>
      <c r="B5170" s="14">
        <v>0.0</v>
      </c>
      <c r="C5170" s="34">
        <v>13.37</v>
      </c>
      <c r="D5170" s="36">
        <v>45238.0</v>
      </c>
      <c r="E5170" s="24"/>
      <c r="F5170" s="14" t="s">
        <v>6012</v>
      </c>
      <c r="G5170" s="14">
        <v>581.3</v>
      </c>
      <c r="H5170" s="14">
        <v>0.0</v>
      </c>
      <c r="I5170" s="14" t="s">
        <v>6057</v>
      </c>
      <c r="J5170" s="14" t="s">
        <v>6012</v>
      </c>
      <c r="K5170" s="14" t="s">
        <v>6012</v>
      </c>
      <c r="L5170" s="14">
        <v>0.0</v>
      </c>
    </row>
    <row r="5171">
      <c r="A5171" s="14">
        <v>93.0</v>
      </c>
      <c r="B5171" s="14">
        <v>0.0</v>
      </c>
      <c r="C5171" s="34">
        <v>13.39</v>
      </c>
      <c r="D5171" s="36">
        <v>45238.0</v>
      </c>
      <c r="E5171" s="24"/>
      <c r="F5171" s="14" t="s">
        <v>6012</v>
      </c>
      <c r="G5171" s="14">
        <v>143.98</v>
      </c>
      <c r="H5171" s="14">
        <v>0.0</v>
      </c>
      <c r="I5171" s="14" t="s">
        <v>6062</v>
      </c>
      <c r="J5171" s="14" t="s">
        <v>6012</v>
      </c>
      <c r="K5171" s="14">
        <v>13.39</v>
      </c>
      <c r="L5171" s="14">
        <v>0.0</v>
      </c>
    </row>
    <row r="5172">
      <c r="A5172" s="14">
        <v>837.0</v>
      </c>
      <c r="B5172" s="14">
        <v>4.0</v>
      </c>
      <c r="C5172" s="34">
        <v>12.71</v>
      </c>
      <c r="D5172" s="36">
        <v>45238.0</v>
      </c>
      <c r="E5172" s="24"/>
      <c r="F5172" s="14">
        <v>3.18</v>
      </c>
      <c r="G5172" s="14">
        <v>15.19</v>
      </c>
      <c r="H5172" s="14">
        <v>0.48</v>
      </c>
      <c r="I5172" s="14" t="s">
        <v>6050</v>
      </c>
      <c r="J5172" s="14">
        <v>25.0</v>
      </c>
      <c r="K5172" s="14">
        <v>12.71</v>
      </c>
      <c r="L5172" s="14">
        <v>0.0</v>
      </c>
    </row>
    <row r="5173">
      <c r="A5173" s="14">
        <v>181.0</v>
      </c>
      <c r="B5173" s="14">
        <v>2.0</v>
      </c>
      <c r="C5173" s="34">
        <v>14.81</v>
      </c>
      <c r="D5173" s="36">
        <v>45238.0</v>
      </c>
      <c r="E5173" s="24"/>
      <c r="F5173" s="14">
        <v>7.4</v>
      </c>
      <c r="G5173" s="14">
        <v>81.82</v>
      </c>
      <c r="H5173" s="14">
        <v>1.1</v>
      </c>
      <c r="I5173" s="14" t="s">
        <v>6060</v>
      </c>
      <c r="J5173" s="14">
        <v>0.0</v>
      </c>
      <c r="K5173" s="14" t="s">
        <v>6012</v>
      </c>
      <c r="L5173" s="14">
        <v>0.0</v>
      </c>
    </row>
    <row r="5174">
      <c r="A5174" s="14">
        <v>24.0</v>
      </c>
      <c r="B5174" s="14">
        <v>0.0</v>
      </c>
      <c r="C5174" s="34">
        <v>13.31</v>
      </c>
      <c r="D5174" s="36">
        <v>45239.0</v>
      </c>
      <c r="E5174" s="24"/>
      <c r="F5174" s="14" t="s">
        <v>6012</v>
      </c>
      <c r="G5174" s="14">
        <v>554.58</v>
      </c>
      <c r="H5174" s="14">
        <v>0.0</v>
      </c>
      <c r="I5174" s="14" t="s">
        <v>6059</v>
      </c>
      <c r="J5174" s="14" t="s">
        <v>6012</v>
      </c>
      <c r="K5174" s="14" t="s">
        <v>6012</v>
      </c>
      <c r="L5174" s="14">
        <v>0.0</v>
      </c>
    </row>
    <row r="5175">
      <c r="A5175" s="14">
        <v>744.0</v>
      </c>
      <c r="B5175" s="14">
        <v>5.0</v>
      </c>
      <c r="C5175" s="34">
        <v>12.46</v>
      </c>
      <c r="D5175" s="36">
        <v>45239.0</v>
      </c>
      <c r="E5175" s="24"/>
      <c r="F5175" s="14">
        <v>2.49</v>
      </c>
      <c r="G5175" s="14">
        <v>16.75</v>
      </c>
      <c r="H5175" s="14">
        <v>0.67</v>
      </c>
      <c r="I5175" s="14" t="s">
        <v>6051</v>
      </c>
      <c r="J5175" s="14">
        <v>20.0</v>
      </c>
      <c r="K5175" s="14">
        <v>12.46</v>
      </c>
      <c r="L5175" s="14">
        <v>0.0</v>
      </c>
    </row>
    <row r="5176">
      <c r="A5176" s="14">
        <v>102.0</v>
      </c>
      <c r="B5176" s="14">
        <v>0.0</v>
      </c>
      <c r="C5176" s="34">
        <v>10.52</v>
      </c>
      <c r="D5176" s="36">
        <v>45239.0</v>
      </c>
      <c r="E5176" s="24"/>
      <c r="F5176" s="14" t="s">
        <v>6012</v>
      </c>
      <c r="G5176" s="14">
        <v>103.14</v>
      </c>
      <c r="H5176" s="14">
        <v>0.0</v>
      </c>
      <c r="I5176" s="14" t="s">
        <v>6062</v>
      </c>
      <c r="J5176" s="14" t="s">
        <v>6012</v>
      </c>
      <c r="K5176" s="14">
        <v>5.26</v>
      </c>
      <c r="L5176" s="14">
        <v>0.0</v>
      </c>
    </row>
    <row r="5177">
      <c r="A5177" s="14">
        <v>63.0</v>
      </c>
      <c r="B5177" s="14">
        <v>0.0</v>
      </c>
      <c r="C5177" s="34">
        <v>13.36</v>
      </c>
      <c r="D5177" s="36">
        <v>45239.0</v>
      </c>
      <c r="E5177" s="24"/>
      <c r="F5177" s="14" t="s">
        <v>6012</v>
      </c>
      <c r="G5177" s="14">
        <v>212.06</v>
      </c>
      <c r="H5177" s="14">
        <v>0.0</v>
      </c>
      <c r="I5177" s="14" t="s">
        <v>6042</v>
      </c>
      <c r="J5177" s="14" t="s">
        <v>6012</v>
      </c>
      <c r="K5177" s="14" t="s">
        <v>6012</v>
      </c>
      <c r="L5177" s="14">
        <v>0.0</v>
      </c>
    </row>
    <row r="5178">
      <c r="A5178" s="14">
        <v>89.0</v>
      </c>
      <c r="B5178" s="14">
        <v>3.0</v>
      </c>
      <c r="C5178" s="34">
        <v>13.26</v>
      </c>
      <c r="D5178" s="36">
        <v>45239.0</v>
      </c>
      <c r="E5178" s="24"/>
      <c r="F5178" s="14">
        <v>4.42</v>
      </c>
      <c r="G5178" s="14">
        <v>148.99</v>
      </c>
      <c r="H5178" s="14">
        <v>3.37</v>
      </c>
      <c r="I5178" s="14" t="s">
        <v>6060</v>
      </c>
      <c r="J5178" s="14">
        <v>100.0</v>
      </c>
      <c r="K5178" s="14">
        <v>4.42</v>
      </c>
      <c r="L5178" s="14">
        <v>0.0</v>
      </c>
    </row>
    <row r="5179">
      <c r="A5179" s="14">
        <v>31.0</v>
      </c>
      <c r="B5179" s="14">
        <v>0.0</v>
      </c>
      <c r="C5179" s="34">
        <v>11.41</v>
      </c>
      <c r="D5179" s="36">
        <v>45239.0</v>
      </c>
      <c r="E5179" s="24"/>
      <c r="F5179" s="14" t="s">
        <v>6012</v>
      </c>
      <c r="G5179" s="14">
        <v>368.06</v>
      </c>
      <c r="H5179" s="14">
        <v>0.0</v>
      </c>
      <c r="I5179" s="14" t="s">
        <v>6057</v>
      </c>
      <c r="J5179" s="14" t="s">
        <v>6012</v>
      </c>
      <c r="K5179" s="14">
        <v>11.41</v>
      </c>
      <c r="L5179" s="14">
        <v>0.0</v>
      </c>
    </row>
    <row r="5180">
      <c r="A5180" s="14">
        <v>31.0</v>
      </c>
      <c r="B5180" s="14">
        <v>0.0</v>
      </c>
      <c r="C5180" s="34">
        <v>12.0</v>
      </c>
      <c r="D5180" s="36">
        <v>45239.0</v>
      </c>
      <c r="E5180" s="24"/>
      <c r="F5180" s="14" t="s">
        <v>6012</v>
      </c>
      <c r="G5180" s="14">
        <v>387.1</v>
      </c>
      <c r="H5180" s="14">
        <v>0.0</v>
      </c>
      <c r="I5180" s="14" t="s">
        <v>6061</v>
      </c>
      <c r="J5180" s="14" t="s">
        <v>6012</v>
      </c>
      <c r="K5180" s="14" t="s">
        <v>6012</v>
      </c>
      <c r="L5180" s="14">
        <v>0.0</v>
      </c>
    </row>
    <row r="5181">
      <c r="A5181" s="14">
        <v>42.0</v>
      </c>
      <c r="B5181" s="14">
        <v>1.0</v>
      </c>
      <c r="C5181" s="34">
        <v>11.51</v>
      </c>
      <c r="D5181" s="36">
        <v>45239.0</v>
      </c>
      <c r="E5181" s="24"/>
      <c r="F5181" s="14">
        <v>11.51</v>
      </c>
      <c r="G5181" s="14">
        <v>274.05</v>
      </c>
      <c r="H5181" s="14">
        <v>2.38</v>
      </c>
      <c r="I5181" s="14" t="s">
        <v>6058</v>
      </c>
      <c r="J5181" s="14">
        <v>100.0</v>
      </c>
      <c r="K5181" s="14">
        <v>11.51</v>
      </c>
      <c r="L5181" s="14">
        <v>0.0</v>
      </c>
    </row>
    <row r="5182">
      <c r="A5182" s="14">
        <v>3.0</v>
      </c>
      <c r="B5182" s="14">
        <v>4.0</v>
      </c>
      <c r="C5182" s="34">
        <v>2.25</v>
      </c>
      <c r="D5182" s="36">
        <v>45239.0</v>
      </c>
      <c r="E5182" s="24"/>
      <c r="F5182" s="14">
        <v>0.56</v>
      </c>
      <c r="G5182" s="14">
        <v>750.0</v>
      </c>
      <c r="H5182" s="14">
        <v>133.33</v>
      </c>
      <c r="I5182" s="14" t="s">
        <v>6064</v>
      </c>
      <c r="J5182" s="14">
        <v>0.0</v>
      </c>
      <c r="K5182" s="14" t="s">
        <v>6012</v>
      </c>
      <c r="L5182" s="14">
        <v>0.0</v>
      </c>
    </row>
    <row r="5183">
      <c r="A5183" s="14">
        <v>56.0</v>
      </c>
      <c r="B5183" s="14">
        <v>0.0</v>
      </c>
      <c r="C5183" s="34">
        <v>13.72</v>
      </c>
      <c r="D5183" s="36">
        <v>45239.0</v>
      </c>
      <c r="E5183" s="24"/>
      <c r="F5183" s="14" t="s">
        <v>6012</v>
      </c>
      <c r="G5183" s="14">
        <v>245.0</v>
      </c>
      <c r="H5183" s="14">
        <v>0.0</v>
      </c>
      <c r="I5183" s="14" t="s">
        <v>6063</v>
      </c>
      <c r="J5183" s="14" t="s">
        <v>6012</v>
      </c>
      <c r="K5183" s="14" t="s">
        <v>6012</v>
      </c>
      <c r="L5183" s="14">
        <v>0.0</v>
      </c>
    </row>
    <row r="5184">
      <c r="A5184" s="14">
        <v>722.0</v>
      </c>
      <c r="B5184" s="14">
        <v>7.0</v>
      </c>
      <c r="C5184" s="34">
        <v>11.63</v>
      </c>
      <c r="D5184" s="36">
        <v>45239.0</v>
      </c>
      <c r="E5184" s="24"/>
      <c r="F5184" s="14">
        <v>1.66</v>
      </c>
      <c r="G5184" s="14">
        <v>16.11</v>
      </c>
      <c r="H5184" s="14">
        <v>0.97</v>
      </c>
      <c r="I5184" s="14" t="s">
        <v>6050</v>
      </c>
      <c r="J5184" s="14">
        <v>14.29</v>
      </c>
      <c r="K5184" s="14">
        <v>11.63</v>
      </c>
      <c r="L5184" s="14">
        <v>0.0</v>
      </c>
    </row>
    <row r="5185">
      <c r="A5185" s="14">
        <v>34.0</v>
      </c>
      <c r="B5185" s="14">
        <v>0.0</v>
      </c>
      <c r="C5185" s="34">
        <v>9.93</v>
      </c>
      <c r="D5185" s="36">
        <v>45240.0</v>
      </c>
      <c r="E5185" s="24"/>
      <c r="F5185" s="14" t="s">
        <v>6012</v>
      </c>
      <c r="G5185" s="14">
        <v>292.06</v>
      </c>
      <c r="H5185" s="14">
        <v>0.0</v>
      </c>
      <c r="I5185" s="14" t="s">
        <v>6063</v>
      </c>
      <c r="J5185" s="14" t="s">
        <v>6012</v>
      </c>
      <c r="K5185" s="14" t="s">
        <v>6012</v>
      </c>
      <c r="L5185" s="14">
        <v>0.0</v>
      </c>
    </row>
    <row r="5186">
      <c r="A5186" s="14">
        <v>659.0</v>
      </c>
      <c r="B5186" s="14">
        <v>6.0</v>
      </c>
      <c r="C5186" s="34">
        <v>10.71</v>
      </c>
      <c r="D5186" s="36">
        <v>45240.0</v>
      </c>
      <c r="E5186" s="24"/>
      <c r="F5186" s="14">
        <v>1.78</v>
      </c>
      <c r="G5186" s="14">
        <v>16.25</v>
      </c>
      <c r="H5186" s="14">
        <v>0.91</v>
      </c>
      <c r="I5186" s="14" t="s">
        <v>6051</v>
      </c>
      <c r="J5186" s="14">
        <v>0.0</v>
      </c>
      <c r="K5186" s="14" t="s">
        <v>6012</v>
      </c>
      <c r="L5186" s="14">
        <v>0.0</v>
      </c>
    </row>
    <row r="5187">
      <c r="A5187" s="14">
        <v>5.0</v>
      </c>
      <c r="B5187" s="14">
        <v>2.0</v>
      </c>
      <c r="C5187" s="34">
        <v>3.75</v>
      </c>
      <c r="D5187" s="36">
        <v>45240.0</v>
      </c>
      <c r="E5187" s="24"/>
      <c r="F5187" s="14">
        <v>1.88</v>
      </c>
      <c r="G5187" s="14">
        <v>750.0</v>
      </c>
      <c r="H5187" s="14">
        <v>40.0</v>
      </c>
      <c r="I5187" s="14" t="s">
        <v>6064</v>
      </c>
      <c r="J5187" s="14">
        <v>0.0</v>
      </c>
      <c r="K5187" s="14" t="s">
        <v>6012</v>
      </c>
      <c r="L5187" s="14">
        <v>0.0</v>
      </c>
    </row>
    <row r="5188">
      <c r="A5188" s="14">
        <v>545.0</v>
      </c>
      <c r="B5188" s="14">
        <v>3.0</v>
      </c>
      <c r="C5188" s="34">
        <v>9.72</v>
      </c>
      <c r="D5188" s="36">
        <v>45240.0</v>
      </c>
      <c r="E5188" s="24"/>
      <c r="F5188" s="14">
        <v>3.24</v>
      </c>
      <c r="G5188" s="14">
        <v>17.83</v>
      </c>
      <c r="H5188" s="14">
        <v>0.55</v>
      </c>
      <c r="I5188" s="14" t="s">
        <v>6050</v>
      </c>
      <c r="J5188" s="14">
        <v>33.33</v>
      </c>
      <c r="K5188" s="14">
        <v>9.72</v>
      </c>
      <c r="L5188" s="14">
        <v>0.0</v>
      </c>
    </row>
    <row r="5189">
      <c r="A5189" s="14">
        <v>32.0</v>
      </c>
      <c r="B5189" s="14">
        <v>0.0</v>
      </c>
      <c r="C5189" s="34">
        <v>12.13</v>
      </c>
      <c r="D5189" s="36">
        <v>45240.0</v>
      </c>
      <c r="E5189" s="24"/>
      <c r="F5189" s="14" t="s">
        <v>6012</v>
      </c>
      <c r="G5189" s="14">
        <v>379.06</v>
      </c>
      <c r="H5189" s="14">
        <v>0.0</v>
      </c>
      <c r="I5189" s="14" t="s">
        <v>6058</v>
      </c>
      <c r="J5189" s="14" t="s">
        <v>6012</v>
      </c>
      <c r="K5189" s="14" t="s">
        <v>6012</v>
      </c>
      <c r="L5189" s="14">
        <v>0.0</v>
      </c>
    </row>
    <row r="5190">
      <c r="A5190" s="14">
        <v>162.0</v>
      </c>
      <c r="B5190" s="14">
        <v>0.0</v>
      </c>
      <c r="C5190" s="34">
        <v>9.38</v>
      </c>
      <c r="D5190" s="36">
        <v>45240.0</v>
      </c>
      <c r="E5190" s="24"/>
      <c r="F5190" s="14" t="s">
        <v>6012</v>
      </c>
      <c r="G5190" s="14">
        <v>57.9</v>
      </c>
      <c r="H5190" s="14">
        <v>0.0</v>
      </c>
      <c r="I5190" s="14" t="s">
        <v>6062</v>
      </c>
      <c r="J5190" s="14" t="s">
        <v>6012</v>
      </c>
      <c r="K5190" s="14" t="s">
        <v>6012</v>
      </c>
      <c r="L5190" s="14">
        <v>0.0</v>
      </c>
    </row>
    <row r="5191">
      <c r="A5191" s="14">
        <v>18.0</v>
      </c>
      <c r="B5191" s="14">
        <v>0.0</v>
      </c>
      <c r="C5191" s="34">
        <v>13.19</v>
      </c>
      <c r="D5191" s="36">
        <v>45240.0</v>
      </c>
      <c r="E5191" s="24"/>
      <c r="F5191" s="14" t="s">
        <v>6012</v>
      </c>
      <c r="G5191" s="14">
        <v>732.78</v>
      </c>
      <c r="H5191" s="14">
        <v>0.0</v>
      </c>
      <c r="I5191" s="14" t="s">
        <v>6057</v>
      </c>
      <c r="J5191" s="14" t="s">
        <v>6012</v>
      </c>
      <c r="K5191" s="14" t="s">
        <v>6012</v>
      </c>
      <c r="L5191" s="14">
        <v>0.0</v>
      </c>
    </row>
    <row r="5192">
      <c r="A5192" s="14">
        <v>38.0</v>
      </c>
      <c r="B5192" s="14">
        <v>0.0</v>
      </c>
      <c r="C5192" s="34">
        <v>10.26</v>
      </c>
      <c r="D5192" s="36">
        <v>45240.0</v>
      </c>
      <c r="E5192" s="24"/>
      <c r="F5192" s="14" t="s">
        <v>6012</v>
      </c>
      <c r="G5192" s="14">
        <v>270.0</v>
      </c>
      <c r="H5192" s="14">
        <v>0.0</v>
      </c>
      <c r="I5192" s="14" t="s">
        <v>6042</v>
      </c>
      <c r="J5192" s="14" t="s">
        <v>6012</v>
      </c>
      <c r="K5192" s="14" t="s">
        <v>6012</v>
      </c>
      <c r="L5192" s="14">
        <v>0.0</v>
      </c>
    </row>
    <row r="5193">
      <c r="A5193" s="14">
        <v>21.0</v>
      </c>
      <c r="B5193" s="14">
        <v>0.0</v>
      </c>
      <c r="C5193" s="34">
        <v>9.77</v>
      </c>
      <c r="D5193" s="36">
        <v>45240.0</v>
      </c>
      <c r="E5193" s="24"/>
      <c r="F5193" s="14" t="s">
        <v>6012</v>
      </c>
      <c r="G5193" s="14">
        <v>465.24</v>
      </c>
      <c r="H5193" s="14">
        <v>0.0</v>
      </c>
      <c r="I5193" s="14" t="s">
        <v>6059</v>
      </c>
      <c r="J5193" s="14" t="s">
        <v>6012</v>
      </c>
      <c r="K5193" s="14" t="s">
        <v>6012</v>
      </c>
      <c r="L5193" s="14">
        <v>0.0</v>
      </c>
    </row>
    <row r="5194">
      <c r="A5194" s="14">
        <v>34.0</v>
      </c>
      <c r="B5194" s="14">
        <v>0.0</v>
      </c>
      <c r="C5194" s="34">
        <v>13.93</v>
      </c>
      <c r="D5194" s="36">
        <v>45240.0</v>
      </c>
      <c r="E5194" s="24"/>
      <c r="F5194" s="14" t="s">
        <v>6012</v>
      </c>
      <c r="G5194" s="14">
        <v>409.71</v>
      </c>
      <c r="H5194" s="14">
        <v>0.0</v>
      </c>
      <c r="I5194" s="14" t="s">
        <v>6061</v>
      </c>
      <c r="J5194" s="14" t="s">
        <v>6012</v>
      </c>
      <c r="K5194" s="14" t="s">
        <v>6012</v>
      </c>
      <c r="L5194" s="14">
        <v>0.0</v>
      </c>
    </row>
    <row r="5195">
      <c r="A5195" s="14">
        <v>131.0</v>
      </c>
      <c r="B5195" s="14">
        <v>1.0</v>
      </c>
      <c r="C5195" s="34">
        <v>12.0</v>
      </c>
      <c r="D5195" s="36">
        <v>45240.0</v>
      </c>
      <c r="E5195" s="24"/>
      <c r="F5195" s="14">
        <v>12.0</v>
      </c>
      <c r="G5195" s="14">
        <v>91.6</v>
      </c>
      <c r="H5195" s="14">
        <v>0.76</v>
      </c>
      <c r="I5195" s="14" t="s">
        <v>6060</v>
      </c>
      <c r="J5195" s="14">
        <v>0.0</v>
      </c>
      <c r="K5195" s="14" t="s">
        <v>6012</v>
      </c>
      <c r="L5195" s="14">
        <v>0.0</v>
      </c>
    </row>
    <row r="5196">
      <c r="A5196" s="14">
        <v>12.0</v>
      </c>
      <c r="B5196" s="14">
        <v>0.0</v>
      </c>
      <c r="C5196" s="34">
        <v>6.72</v>
      </c>
      <c r="D5196" s="36">
        <v>45241.0</v>
      </c>
      <c r="E5196" s="24"/>
      <c r="F5196" s="14" t="s">
        <v>6012</v>
      </c>
      <c r="G5196" s="14">
        <v>560.0</v>
      </c>
      <c r="H5196" s="14">
        <v>0.0</v>
      </c>
      <c r="I5196" s="14" t="s">
        <v>6059</v>
      </c>
      <c r="J5196" s="14" t="s">
        <v>6012</v>
      </c>
      <c r="K5196" s="14" t="s">
        <v>6012</v>
      </c>
      <c r="L5196" s="14">
        <v>0.0</v>
      </c>
    </row>
    <row r="5197">
      <c r="A5197" s="14">
        <v>423.0</v>
      </c>
      <c r="B5197" s="14">
        <v>2.0</v>
      </c>
      <c r="C5197" s="34">
        <v>6.09</v>
      </c>
      <c r="D5197" s="36">
        <v>45241.0</v>
      </c>
      <c r="E5197" s="24"/>
      <c r="F5197" s="14">
        <v>3.04</v>
      </c>
      <c r="G5197" s="14">
        <v>14.4</v>
      </c>
      <c r="H5197" s="14">
        <v>0.47</v>
      </c>
      <c r="I5197" s="14" t="s">
        <v>6051</v>
      </c>
      <c r="J5197" s="14">
        <v>100.0</v>
      </c>
      <c r="K5197" s="14">
        <v>3.04</v>
      </c>
      <c r="L5197" s="14">
        <v>0.0</v>
      </c>
    </row>
    <row r="5198">
      <c r="A5198" s="14">
        <v>19.0</v>
      </c>
      <c r="B5198" s="14">
        <v>1.0</v>
      </c>
      <c r="C5198" s="34">
        <v>8.37</v>
      </c>
      <c r="D5198" s="36">
        <v>45241.0</v>
      </c>
      <c r="E5198" s="24"/>
      <c r="F5198" s="14">
        <v>8.37</v>
      </c>
      <c r="G5198" s="14">
        <v>440.53</v>
      </c>
      <c r="H5198" s="14">
        <v>5.26</v>
      </c>
      <c r="I5198" s="14" t="s">
        <v>6042</v>
      </c>
      <c r="J5198" s="14">
        <v>0.0</v>
      </c>
      <c r="K5198" s="14" t="s">
        <v>6012</v>
      </c>
      <c r="L5198" s="14">
        <v>0.0</v>
      </c>
    </row>
    <row r="5199">
      <c r="A5199" s="14">
        <v>12.0</v>
      </c>
      <c r="B5199" s="14">
        <v>0.0</v>
      </c>
      <c r="C5199" s="34">
        <v>4.48</v>
      </c>
      <c r="D5199" s="36">
        <v>45241.0</v>
      </c>
      <c r="E5199" s="24"/>
      <c r="F5199" s="14" t="s">
        <v>6012</v>
      </c>
      <c r="G5199" s="14">
        <v>373.33</v>
      </c>
      <c r="H5199" s="14">
        <v>0.0</v>
      </c>
      <c r="I5199" s="14" t="s">
        <v>6057</v>
      </c>
      <c r="J5199" s="14" t="s">
        <v>6012</v>
      </c>
      <c r="K5199" s="14" t="s">
        <v>6012</v>
      </c>
      <c r="L5199" s="14">
        <v>0.0</v>
      </c>
    </row>
    <row r="5200">
      <c r="A5200" s="14">
        <v>15.0</v>
      </c>
      <c r="B5200" s="14">
        <v>0.0</v>
      </c>
      <c r="C5200" s="34">
        <v>6.15</v>
      </c>
      <c r="D5200" s="36">
        <v>45241.0</v>
      </c>
      <c r="E5200" s="24"/>
      <c r="F5200" s="14" t="s">
        <v>6012</v>
      </c>
      <c r="G5200" s="14">
        <v>410.0</v>
      </c>
      <c r="H5200" s="14">
        <v>0.0</v>
      </c>
      <c r="I5200" s="14" t="s">
        <v>6058</v>
      </c>
      <c r="J5200" s="14" t="s">
        <v>6012</v>
      </c>
      <c r="K5200" s="14">
        <v>6.15</v>
      </c>
      <c r="L5200" s="14">
        <v>0.0</v>
      </c>
    </row>
    <row r="5201">
      <c r="A5201" s="14">
        <v>383.0</v>
      </c>
      <c r="B5201" s="14">
        <v>1.0</v>
      </c>
      <c r="C5201" s="34">
        <v>6.08</v>
      </c>
      <c r="D5201" s="36">
        <v>45241.0</v>
      </c>
      <c r="E5201" s="24"/>
      <c r="F5201" s="14">
        <v>6.08</v>
      </c>
      <c r="G5201" s="14">
        <v>15.87</v>
      </c>
      <c r="H5201" s="14">
        <v>0.26</v>
      </c>
      <c r="I5201" s="14" t="s">
        <v>6050</v>
      </c>
      <c r="J5201" s="14">
        <v>100.0</v>
      </c>
      <c r="K5201" s="14">
        <v>6.08</v>
      </c>
      <c r="L5201" s="14">
        <v>0.0</v>
      </c>
    </row>
    <row r="5202">
      <c r="A5202" s="14">
        <v>114.0</v>
      </c>
      <c r="B5202" s="14">
        <v>0.0</v>
      </c>
      <c r="C5202" s="34">
        <v>7.21</v>
      </c>
      <c r="D5202" s="36">
        <v>45241.0</v>
      </c>
      <c r="E5202" s="24"/>
      <c r="F5202" s="14" t="s">
        <v>6012</v>
      </c>
      <c r="G5202" s="14">
        <v>63.25</v>
      </c>
      <c r="H5202" s="14">
        <v>0.0</v>
      </c>
      <c r="I5202" s="14" t="s">
        <v>6060</v>
      </c>
      <c r="J5202" s="14" t="s">
        <v>6012</v>
      </c>
      <c r="K5202" s="14" t="s">
        <v>6012</v>
      </c>
      <c r="L5202" s="14">
        <v>0.0</v>
      </c>
    </row>
    <row r="5203">
      <c r="A5203" s="14">
        <v>3.0</v>
      </c>
      <c r="B5203" s="14">
        <v>3.0</v>
      </c>
      <c r="C5203" s="34">
        <v>2.25</v>
      </c>
      <c r="D5203" s="36">
        <v>45241.0</v>
      </c>
      <c r="E5203" s="24"/>
      <c r="F5203" s="14">
        <v>0.75</v>
      </c>
      <c r="G5203" s="14">
        <v>750.0</v>
      </c>
      <c r="H5203" s="14">
        <v>100.0</v>
      </c>
      <c r="I5203" s="14" t="s">
        <v>6064</v>
      </c>
      <c r="J5203" s="14">
        <v>0.0</v>
      </c>
      <c r="K5203" s="14" t="s">
        <v>6012</v>
      </c>
      <c r="L5203" s="14">
        <v>0.0</v>
      </c>
    </row>
    <row r="5204">
      <c r="A5204" s="14">
        <v>26.0</v>
      </c>
      <c r="B5204" s="14">
        <v>2.0</v>
      </c>
      <c r="C5204" s="34">
        <v>5.56</v>
      </c>
      <c r="D5204" s="36">
        <v>45241.0</v>
      </c>
      <c r="E5204" s="24"/>
      <c r="F5204" s="14">
        <v>2.78</v>
      </c>
      <c r="G5204" s="14">
        <v>213.85</v>
      </c>
      <c r="H5204" s="14">
        <v>7.69</v>
      </c>
      <c r="I5204" s="14" t="s">
        <v>6063</v>
      </c>
      <c r="J5204" s="14">
        <v>0.0</v>
      </c>
      <c r="K5204" s="14" t="s">
        <v>6012</v>
      </c>
      <c r="L5204" s="14">
        <v>0.0</v>
      </c>
    </row>
    <row r="5205">
      <c r="A5205" s="14">
        <v>20.0</v>
      </c>
      <c r="B5205" s="14">
        <v>0.0</v>
      </c>
      <c r="C5205" s="34">
        <v>3.18</v>
      </c>
      <c r="D5205" s="36">
        <v>45241.0</v>
      </c>
      <c r="E5205" s="24"/>
      <c r="F5205" s="14" t="s">
        <v>6012</v>
      </c>
      <c r="G5205" s="14">
        <v>159.0</v>
      </c>
      <c r="H5205" s="14">
        <v>0.0</v>
      </c>
      <c r="I5205" s="14" t="s">
        <v>6061</v>
      </c>
      <c r="J5205" s="14" t="s">
        <v>6012</v>
      </c>
      <c r="K5205" s="14" t="s">
        <v>6012</v>
      </c>
      <c r="L5205" s="14">
        <v>0.0</v>
      </c>
    </row>
    <row r="5206">
      <c r="A5206" s="14">
        <v>28.0</v>
      </c>
      <c r="B5206" s="14">
        <v>0.0</v>
      </c>
      <c r="C5206" s="34">
        <v>6.37</v>
      </c>
      <c r="D5206" s="36">
        <v>45241.0</v>
      </c>
      <c r="E5206" s="24"/>
      <c r="F5206" s="14" t="s">
        <v>6012</v>
      </c>
      <c r="G5206" s="14">
        <v>227.5</v>
      </c>
      <c r="H5206" s="14">
        <v>0.0</v>
      </c>
      <c r="I5206" s="14" t="s">
        <v>6062</v>
      </c>
      <c r="J5206" s="14" t="s">
        <v>6012</v>
      </c>
      <c r="K5206" s="14" t="s">
        <v>6012</v>
      </c>
      <c r="L5206" s="14">
        <v>0.0</v>
      </c>
    </row>
    <row r="5207">
      <c r="A5207" s="14">
        <v>19.0</v>
      </c>
      <c r="B5207" s="14">
        <v>0.0</v>
      </c>
      <c r="C5207" s="34">
        <v>2.27</v>
      </c>
      <c r="D5207" s="36">
        <v>45242.0</v>
      </c>
      <c r="E5207" s="24"/>
      <c r="F5207" s="14" t="s">
        <v>6012</v>
      </c>
      <c r="G5207" s="14">
        <v>119.47</v>
      </c>
      <c r="H5207" s="14">
        <v>0.0</v>
      </c>
      <c r="I5207" s="14" t="s">
        <v>6063</v>
      </c>
      <c r="J5207" s="14" t="s">
        <v>6012</v>
      </c>
      <c r="K5207" s="14">
        <v>2.27</v>
      </c>
      <c r="L5207" s="14">
        <v>0.0</v>
      </c>
    </row>
    <row r="5208">
      <c r="A5208" s="14">
        <v>302.0</v>
      </c>
      <c r="B5208" s="14">
        <v>2.0</v>
      </c>
      <c r="C5208" s="34">
        <v>5.22</v>
      </c>
      <c r="D5208" s="36">
        <v>45242.0</v>
      </c>
      <c r="E5208" s="24"/>
      <c r="F5208" s="14">
        <v>2.61</v>
      </c>
      <c r="G5208" s="14">
        <v>17.28</v>
      </c>
      <c r="H5208" s="14">
        <v>0.66</v>
      </c>
      <c r="I5208" s="14" t="s">
        <v>6051</v>
      </c>
      <c r="J5208" s="14">
        <v>150.0</v>
      </c>
      <c r="K5208" s="14">
        <v>1.74</v>
      </c>
      <c r="L5208" s="14">
        <v>0.0</v>
      </c>
    </row>
    <row r="5209">
      <c r="A5209" s="14">
        <v>16.0</v>
      </c>
      <c r="B5209" s="14">
        <v>0.0</v>
      </c>
      <c r="C5209" s="34">
        <v>1.97</v>
      </c>
      <c r="D5209" s="36">
        <v>45242.0</v>
      </c>
      <c r="E5209" s="24"/>
      <c r="F5209" s="14" t="s">
        <v>6012</v>
      </c>
      <c r="G5209" s="14">
        <v>123.12</v>
      </c>
      <c r="H5209" s="14">
        <v>0.0</v>
      </c>
      <c r="I5209" s="14" t="s">
        <v>6042</v>
      </c>
      <c r="J5209" s="14" t="s">
        <v>6012</v>
      </c>
      <c r="K5209" s="14">
        <v>1.97</v>
      </c>
      <c r="L5209" s="14">
        <v>0.0</v>
      </c>
    </row>
    <row r="5210">
      <c r="A5210" s="14">
        <v>9.0</v>
      </c>
      <c r="B5210" s="14">
        <v>0.0</v>
      </c>
      <c r="C5210" s="34">
        <v>1.76</v>
      </c>
      <c r="D5210" s="36">
        <v>45242.0</v>
      </c>
      <c r="E5210" s="24"/>
      <c r="F5210" s="14" t="s">
        <v>6012</v>
      </c>
      <c r="G5210" s="14">
        <v>195.56</v>
      </c>
      <c r="H5210" s="14">
        <v>0.0</v>
      </c>
      <c r="I5210" s="14" t="s">
        <v>6057</v>
      </c>
      <c r="J5210" s="14" t="s">
        <v>6012</v>
      </c>
      <c r="K5210" s="14" t="s">
        <v>6012</v>
      </c>
      <c r="L5210" s="14">
        <v>0.0</v>
      </c>
    </row>
    <row r="5211">
      <c r="A5211" s="14">
        <v>33.0</v>
      </c>
      <c r="B5211" s="14">
        <v>0.0</v>
      </c>
      <c r="C5211" s="34">
        <v>5.19</v>
      </c>
      <c r="D5211" s="36">
        <v>45242.0</v>
      </c>
      <c r="E5211" s="24"/>
      <c r="F5211" s="14" t="s">
        <v>6012</v>
      </c>
      <c r="G5211" s="14">
        <v>157.27</v>
      </c>
      <c r="H5211" s="14">
        <v>0.0</v>
      </c>
      <c r="I5211" s="14" t="s">
        <v>6060</v>
      </c>
      <c r="J5211" s="14" t="s">
        <v>6012</v>
      </c>
      <c r="K5211" s="14">
        <v>5.19</v>
      </c>
      <c r="L5211" s="14">
        <v>0.0</v>
      </c>
    </row>
    <row r="5212">
      <c r="A5212" s="14">
        <v>353.0</v>
      </c>
      <c r="B5212" s="14">
        <v>3.0</v>
      </c>
      <c r="C5212" s="34">
        <v>5.76</v>
      </c>
      <c r="D5212" s="36">
        <v>45242.0</v>
      </c>
      <c r="E5212" s="24"/>
      <c r="F5212" s="14">
        <v>1.92</v>
      </c>
      <c r="G5212" s="14">
        <v>16.32</v>
      </c>
      <c r="H5212" s="14">
        <v>0.85</v>
      </c>
      <c r="I5212" s="14" t="s">
        <v>6050</v>
      </c>
      <c r="J5212" s="14">
        <v>33.33</v>
      </c>
      <c r="K5212" s="14">
        <v>5.76</v>
      </c>
      <c r="L5212" s="14">
        <v>0.0</v>
      </c>
    </row>
    <row r="5213">
      <c r="A5213" s="14">
        <v>33.0</v>
      </c>
      <c r="B5213" s="14">
        <v>0.0</v>
      </c>
      <c r="C5213" s="34">
        <v>4.31</v>
      </c>
      <c r="D5213" s="36">
        <v>45242.0</v>
      </c>
      <c r="E5213" s="24"/>
      <c r="F5213" s="14" t="s">
        <v>6012</v>
      </c>
      <c r="G5213" s="14">
        <v>130.61</v>
      </c>
      <c r="H5213" s="14">
        <v>0.0</v>
      </c>
      <c r="I5213" s="14" t="s">
        <v>6062</v>
      </c>
      <c r="J5213" s="14" t="s">
        <v>6012</v>
      </c>
      <c r="K5213" s="14" t="s">
        <v>6012</v>
      </c>
      <c r="L5213" s="14">
        <v>0.0</v>
      </c>
    </row>
    <row r="5214">
      <c r="A5214" s="14">
        <v>1.0</v>
      </c>
      <c r="B5214" s="14">
        <v>1.0</v>
      </c>
      <c r="C5214" s="34">
        <v>0.75</v>
      </c>
      <c r="D5214" s="36">
        <v>45242.0</v>
      </c>
      <c r="E5214" s="24"/>
      <c r="F5214" s="14">
        <v>0.75</v>
      </c>
      <c r="G5214" s="14">
        <v>750.0</v>
      </c>
      <c r="H5214" s="14">
        <v>100.0</v>
      </c>
      <c r="I5214" s="14" t="s">
        <v>6064</v>
      </c>
      <c r="J5214" s="14">
        <v>0.0</v>
      </c>
      <c r="K5214" s="14" t="s">
        <v>6012</v>
      </c>
      <c r="L5214" s="14">
        <v>0.0</v>
      </c>
    </row>
    <row r="5215">
      <c r="A5215" s="14">
        <v>11.0</v>
      </c>
      <c r="B5215" s="14">
        <v>0.0</v>
      </c>
      <c r="C5215" s="34">
        <v>1.21</v>
      </c>
      <c r="D5215" s="36">
        <v>45242.0</v>
      </c>
      <c r="E5215" s="24"/>
      <c r="F5215" s="14" t="s">
        <v>6012</v>
      </c>
      <c r="G5215" s="14">
        <v>110.0</v>
      </c>
      <c r="H5215" s="14">
        <v>0.0</v>
      </c>
      <c r="I5215" s="14" t="s">
        <v>6061</v>
      </c>
      <c r="J5215" s="14" t="s">
        <v>6012</v>
      </c>
      <c r="K5215" s="14" t="s">
        <v>6012</v>
      </c>
      <c r="L5215" s="14">
        <v>0.0</v>
      </c>
    </row>
    <row r="5216">
      <c r="A5216" s="14">
        <v>8.0</v>
      </c>
      <c r="B5216" s="14">
        <v>0.0</v>
      </c>
      <c r="C5216" s="34">
        <v>0.77</v>
      </c>
      <c r="D5216" s="36">
        <v>45242.0</v>
      </c>
      <c r="E5216" s="24"/>
      <c r="F5216" s="14" t="s">
        <v>6012</v>
      </c>
      <c r="G5216" s="14">
        <v>96.25</v>
      </c>
      <c r="H5216" s="14">
        <v>0.0</v>
      </c>
      <c r="I5216" s="14" t="s">
        <v>6059</v>
      </c>
      <c r="J5216" s="14" t="s">
        <v>6012</v>
      </c>
      <c r="K5216" s="14" t="s">
        <v>6012</v>
      </c>
      <c r="L5216" s="14">
        <v>0.0</v>
      </c>
    </row>
    <row r="5217">
      <c r="A5217" s="14">
        <v>135.0</v>
      </c>
      <c r="B5217" s="14">
        <v>1.0</v>
      </c>
      <c r="C5217" s="34">
        <v>12.33</v>
      </c>
      <c r="D5217" s="36">
        <v>45243.0</v>
      </c>
      <c r="E5217" s="24"/>
      <c r="F5217" s="14">
        <v>12.33</v>
      </c>
      <c r="G5217" s="14">
        <v>91.33</v>
      </c>
      <c r="H5217" s="14">
        <v>0.74</v>
      </c>
      <c r="I5217" s="14" t="s">
        <v>6062</v>
      </c>
      <c r="J5217" s="14">
        <v>0.0</v>
      </c>
      <c r="K5217" s="14" t="s">
        <v>6012</v>
      </c>
      <c r="L5217" s="14">
        <v>0.0</v>
      </c>
    </row>
    <row r="5218">
      <c r="A5218" s="14">
        <v>539.0</v>
      </c>
      <c r="B5218" s="14">
        <v>5.0</v>
      </c>
      <c r="C5218" s="34">
        <v>12.28</v>
      </c>
      <c r="D5218" s="36">
        <v>45243.0</v>
      </c>
      <c r="E5218" s="24"/>
      <c r="F5218" s="14">
        <v>2.46</v>
      </c>
      <c r="G5218" s="14">
        <v>22.78</v>
      </c>
      <c r="H5218" s="14">
        <v>0.93</v>
      </c>
      <c r="I5218" s="14" t="s">
        <v>6050</v>
      </c>
      <c r="J5218" s="14">
        <v>20.0</v>
      </c>
      <c r="K5218" s="14">
        <v>12.28</v>
      </c>
      <c r="L5218" s="14">
        <v>0.0</v>
      </c>
    </row>
    <row r="5219">
      <c r="A5219" s="14">
        <v>573.0</v>
      </c>
      <c r="B5219" s="14">
        <v>6.0</v>
      </c>
      <c r="C5219" s="34">
        <v>11.32</v>
      </c>
      <c r="D5219" s="36">
        <v>45243.0</v>
      </c>
      <c r="E5219" s="24"/>
      <c r="F5219" s="14">
        <v>1.89</v>
      </c>
      <c r="G5219" s="14">
        <v>19.76</v>
      </c>
      <c r="H5219" s="14">
        <v>1.05</v>
      </c>
      <c r="I5219" s="14" t="s">
        <v>6051</v>
      </c>
      <c r="J5219" s="14">
        <v>0.0</v>
      </c>
      <c r="K5219" s="14" t="s">
        <v>6012</v>
      </c>
      <c r="L5219" s="14">
        <v>0.0</v>
      </c>
    </row>
    <row r="5220">
      <c r="A5220" s="14">
        <v>25.0</v>
      </c>
      <c r="B5220" s="14">
        <v>0.0</v>
      </c>
      <c r="C5220" s="34">
        <v>12.76</v>
      </c>
      <c r="D5220" s="36">
        <v>45243.0</v>
      </c>
      <c r="E5220" s="24"/>
      <c r="F5220" s="14" t="s">
        <v>6012</v>
      </c>
      <c r="G5220" s="14">
        <v>510.4</v>
      </c>
      <c r="H5220" s="14">
        <v>0.0</v>
      </c>
      <c r="I5220" s="14" t="s">
        <v>6057</v>
      </c>
      <c r="J5220" s="14" t="s">
        <v>6012</v>
      </c>
      <c r="K5220" s="14" t="s">
        <v>6012</v>
      </c>
      <c r="L5220" s="14">
        <v>0.0</v>
      </c>
    </row>
    <row r="5221">
      <c r="A5221" s="14">
        <v>52.0</v>
      </c>
      <c r="B5221" s="14">
        <v>0.0</v>
      </c>
      <c r="C5221" s="34">
        <v>14.01</v>
      </c>
      <c r="D5221" s="36">
        <v>45243.0</v>
      </c>
      <c r="E5221" s="24"/>
      <c r="F5221" s="14" t="s">
        <v>6012</v>
      </c>
      <c r="G5221" s="14">
        <v>269.42</v>
      </c>
      <c r="H5221" s="14">
        <v>0.0</v>
      </c>
      <c r="I5221" s="14" t="s">
        <v>6063</v>
      </c>
      <c r="J5221" s="14" t="s">
        <v>6012</v>
      </c>
      <c r="K5221" s="14" t="s">
        <v>6012</v>
      </c>
      <c r="L5221" s="14">
        <v>0.0</v>
      </c>
    </row>
    <row r="5222">
      <c r="A5222" s="14">
        <v>42.0</v>
      </c>
      <c r="B5222" s="14">
        <v>0.0</v>
      </c>
      <c r="C5222" s="34">
        <v>15.0</v>
      </c>
      <c r="D5222" s="36">
        <v>45243.0</v>
      </c>
      <c r="E5222" s="24"/>
      <c r="F5222" s="14" t="s">
        <v>6012</v>
      </c>
      <c r="G5222" s="14">
        <v>357.14</v>
      </c>
      <c r="H5222" s="14">
        <v>0.0</v>
      </c>
      <c r="I5222" s="14" t="s">
        <v>6058</v>
      </c>
      <c r="J5222" s="14" t="s">
        <v>6012</v>
      </c>
      <c r="K5222" s="14" t="s">
        <v>6012</v>
      </c>
      <c r="L5222" s="14">
        <v>0.0</v>
      </c>
    </row>
    <row r="5223">
      <c r="A5223" s="14">
        <v>281.0</v>
      </c>
      <c r="B5223" s="14">
        <v>2.0</v>
      </c>
      <c r="C5223" s="34">
        <v>14.33</v>
      </c>
      <c r="D5223" s="36">
        <v>45243.0</v>
      </c>
      <c r="E5223" s="24"/>
      <c r="F5223" s="14">
        <v>7.16</v>
      </c>
      <c r="G5223" s="14">
        <v>51.0</v>
      </c>
      <c r="H5223" s="14">
        <v>0.71</v>
      </c>
      <c r="I5223" s="14" t="s">
        <v>6060</v>
      </c>
      <c r="J5223" s="14">
        <v>50.0</v>
      </c>
      <c r="K5223" s="14">
        <v>14.33</v>
      </c>
      <c r="L5223" s="14">
        <v>0.0</v>
      </c>
    </row>
    <row r="5224">
      <c r="A5224" s="14">
        <v>39.0</v>
      </c>
      <c r="B5224" s="14">
        <v>0.0</v>
      </c>
      <c r="C5224" s="34">
        <v>13.99</v>
      </c>
      <c r="D5224" s="36">
        <v>45243.0</v>
      </c>
      <c r="E5224" s="24"/>
      <c r="F5224" s="14" t="s">
        <v>6012</v>
      </c>
      <c r="G5224" s="14">
        <v>358.72</v>
      </c>
      <c r="H5224" s="14">
        <v>0.0</v>
      </c>
      <c r="I5224" s="14" t="s">
        <v>6061</v>
      </c>
      <c r="J5224" s="14" t="s">
        <v>6012</v>
      </c>
      <c r="K5224" s="14" t="s">
        <v>6012</v>
      </c>
      <c r="L5224" s="14">
        <v>0.0</v>
      </c>
    </row>
    <row r="5225">
      <c r="A5225" s="14">
        <v>38.0</v>
      </c>
      <c r="B5225" s="14">
        <v>0.0</v>
      </c>
      <c r="C5225" s="34">
        <v>14.89</v>
      </c>
      <c r="D5225" s="36">
        <v>45243.0</v>
      </c>
      <c r="E5225" s="24"/>
      <c r="F5225" s="14" t="s">
        <v>6012</v>
      </c>
      <c r="G5225" s="14">
        <v>391.84</v>
      </c>
      <c r="H5225" s="14">
        <v>0.0</v>
      </c>
      <c r="I5225" s="14" t="s">
        <v>6059</v>
      </c>
      <c r="J5225" s="14" t="s">
        <v>6012</v>
      </c>
      <c r="K5225" s="14" t="s">
        <v>6012</v>
      </c>
      <c r="L5225" s="14">
        <v>0.0</v>
      </c>
    </row>
    <row r="5226">
      <c r="A5226" s="14">
        <v>142.0</v>
      </c>
      <c r="B5226" s="14">
        <v>0.0</v>
      </c>
      <c r="C5226" s="34">
        <v>13.43</v>
      </c>
      <c r="D5226" s="36">
        <v>45243.0</v>
      </c>
      <c r="E5226" s="24"/>
      <c r="F5226" s="14" t="s">
        <v>6012</v>
      </c>
      <c r="G5226" s="14">
        <v>94.58</v>
      </c>
      <c r="H5226" s="14">
        <v>0.0</v>
      </c>
      <c r="I5226" s="14" t="s">
        <v>6042</v>
      </c>
      <c r="J5226" s="14" t="s">
        <v>6012</v>
      </c>
      <c r="K5226" s="14" t="s">
        <v>6012</v>
      </c>
      <c r="L5226" s="14">
        <v>0.0</v>
      </c>
    </row>
    <row r="5227">
      <c r="A5227" s="14">
        <v>8.0</v>
      </c>
      <c r="B5227" s="14">
        <v>1.0</v>
      </c>
      <c r="C5227" s="34">
        <v>6.0</v>
      </c>
      <c r="D5227" s="36">
        <v>45243.0</v>
      </c>
      <c r="E5227" s="24"/>
      <c r="F5227" s="14">
        <v>6.0</v>
      </c>
      <c r="G5227" s="14">
        <v>750.0</v>
      </c>
      <c r="H5227" s="14">
        <v>12.5</v>
      </c>
      <c r="I5227" s="14" t="s">
        <v>6064</v>
      </c>
      <c r="J5227" s="14">
        <v>0.0</v>
      </c>
      <c r="K5227" s="14" t="s">
        <v>6012</v>
      </c>
      <c r="L5227" s="14">
        <v>0.0</v>
      </c>
    </row>
    <row r="5228">
      <c r="A5228" s="14">
        <v>109.0</v>
      </c>
      <c r="B5228" s="14">
        <v>0.0</v>
      </c>
      <c r="C5228" s="34">
        <v>14.3</v>
      </c>
      <c r="D5228" s="36">
        <v>45244.0</v>
      </c>
      <c r="E5228" s="24"/>
      <c r="F5228" s="14" t="s">
        <v>6012</v>
      </c>
      <c r="G5228" s="14">
        <v>131.19</v>
      </c>
      <c r="H5228" s="14">
        <v>0.0</v>
      </c>
      <c r="I5228" s="14" t="s">
        <v>6058</v>
      </c>
      <c r="J5228" s="14" t="s">
        <v>6012</v>
      </c>
      <c r="K5228" s="14" t="s">
        <v>6012</v>
      </c>
      <c r="L5228" s="14">
        <v>0.0</v>
      </c>
    </row>
    <row r="5229">
      <c r="A5229" s="14">
        <v>625.0</v>
      </c>
      <c r="B5229" s="14">
        <v>2.0</v>
      </c>
      <c r="C5229" s="34">
        <v>12.45</v>
      </c>
      <c r="D5229" s="36">
        <v>45244.0</v>
      </c>
      <c r="E5229" s="24"/>
      <c r="F5229" s="14">
        <v>6.22</v>
      </c>
      <c r="G5229" s="14">
        <v>19.92</v>
      </c>
      <c r="H5229" s="14">
        <v>0.32</v>
      </c>
      <c r="I5229" s="14" t="s">
        <v>6050</v>
      </c>
      <c r="J5229" s="14">
        <v>0.0</v>
      </c>
      <c r="K5229" s="14" t="s">
        <v>6012</v>
      </c>
      <c r="L5229" s="14">
        <v>0.0</v>
      </c>
    </row>
    <row r="5230">
      <c r="A5230" s="14">
        <v>41.0</v>
      </c>
      <c r="B5230" s="14">
        <v>0.0</v>
      </c>
      <c r="C5230" s="34">
        <v>14.24</v>
      </c>
      <c r="D5230" s="36">
        <v>45244.0</v>
      </c>
      <c r="E5230" s="24"/>
      <c r="F5230" s="14" t="s">
        <v>6012</v>
      </c>
      <c r="G5230" s="14">
        <v>347.32</v>
      </c>
      <c r="H5230" s="14">
        <v>0.0</v>
      </c>
      <c r="I5230" s="14" t="s">
        <v>6063</v>
      </c>
      <c r="J5230" s="14" t="s">
        <v>6012</v>
      </c>
      <c r="K5230" s="14" t="s">
        <v>6012</v>
      </c>
      <c r="L5230" s="14">
        <v>0.0</v>
      </c>
    </row>
    <row r="5231">
      <c r="A5231" s="14">
        <v>29.0</v>
      </c>
      <c r="B5231" s="14">
        <v>1.0</v>
      </c>
      <c r="C5231" s="34">
        <v>12.44</v>
      </c>
      <c r="D5231" s="36">
        <v>45244.0</v>
      </c>
      <c r="E5231" s="24"/>
      <c r="F5231" s="14">
        <v>12.44</v>
      </c>
      <c r="G5231" s="14">
        <v>428.97</v>
      </c>
      <c r="H5231" s="14">
        <v>3.45</v>
      </c>
      <c r="I5231" s="14" t="s">
        <v>6059</v>
      </c>
      <c r="J5231" s="14">
        <v>0.0</v>
      </c>
      <c r="K5231" s="14" t="s">
        <v>6012</v>
      </c>
      <c r="L5231" s="14">
        <v>0.0</v>
      </c>
    </row>
    <row r="5232">
      <c r="A5232" s="14">
        <v>415.0</v>
      </c>
      <c r="B5232" s="14">
        <v>3.0</v>
      </c>
      <c r="C5232" s="34">
        <v>15.16</v>
      </c>
      <c r="D5232" s="36">
        <v>45244.0</v>
      </c>
      <c r="E5232" s="24"/>
      <c r="F5232" s="14">
        <v>5.05</v>
      </c>
      <c r="G5232" s="14">
        <v>36.53</v>
      </c>
      <c r="H5232" s="14">
        <v>0.72</v>
      </c>
      <c r="I5232" s="14" t="s">
        <v>6060</v>
      </c>
      <c r="J5232" s="14">
        <v>0.0</v>
      </c>
      <c r="K5232" s="14" t="s">
        <v>6012</v>
      </c>
      <c r="L5232" s="14">
        <v>0.0</v>
      </c>
    </row>
    <row r="5233">
      <c r="A5233" s="14">
        <v>26.0</v>
      </c>
      <c r="B5233" s="14">
        <v>0.0</v>
      </c>
      <c r="C5233" s="34">
        <v>14.13</v>
      </c>
      <c r="D5233" s="36">
        <v>45244.0</v>
      </c>
      <c r="E5233" s="24"/>
      <c r="F5233" s="14" t="s">
        <v>6012</v>
      </c>
      <c r="G5233" s="14">
        <v>543.46</v>
      </c>
      <c r="H5233" s="14">
        <v>0.0</v>
      </c>
      <c r="I5233" s="14" t="s">
        <v>6057</v>
      </c>
      <c r="J5233" s="14" t="s">
        <v>6012</v>
      </c>
      <c r="K5233" s="14" t="s">
        <v>6012</v>
      </c>
      <c r="L5233" s="14">
        <v>0.0</v>
      </c>
    </row>
    <row r="5234">
      <c r="A5234" s="14">
        <v>3.0</v>
      </c>
      <c r="B5234" s="14">
        <v>3.0</v>
      </c>
      <c r="C5234" s="34">
        <v>2.25</v>
      </c>
      <c r="D5234" s="36">
        <v>45244.0</v>
      </c>
      <c r="E5234" s="24"/>
      <c r="F5234" s="14">
        <v>0.75</v>
      </c>
      <c r="G5234" s="14">
        <v>750.0</v>
      </c>
      <c r="H5234" s="14">
        <v>100.0</v>
      </c>
      <c r="I5234" s="14" t="s">
        <v>6064</v>
      </c>
      <c r="J5234" s="14">
        <v>0.0</v>
      </c>
      <c r="K5234" s="14" t="s">
        <v>6012</v>
      </c>
      <c r="L5234" s="14">
        <v>0.0</v>
      </c>
    </row>
    <row r="5235">
      <c r="A5235" s="14">
        <v>767.0</v>
      </c>
      <c r="B5235" s="14">
        <v>6.0</v>
      </c>
      <c r="C5235" s="34">
        <v>12.03</v>
      </c>
      <c r="D5235" s="36">
        <v>45244.0</v>
      </c>
      <c r="E5235" s="24"/>
      <c r="F5235" s="14">
        <v>2.0</v>
      </c>
      <c r="G5235" s="14">
        <v>15.68</v>
      </c>
      <c r="H5235" s="14">
        <v>0.78</v>
      </c>
      <c r="I5235" s="14" t="s">
        <v>6051</v>
      </c>
      <c r="J5235" s="14">
        <v>33.33</v>
      </c>
      <c r="K5235" s="14">
        <v>6.02</v>
      </c>
      <c r="L5235" s="14">
        <v>0.0</v>
      </c>
    </row>
    <row r="5236">
      <c r="A5236" s="14">
        <v>39.0</v>
      </c>
      <c r="B5236" s="14">
        <v>0.0</v>
      </c>
      <c r="C5236" s="34">
        <v>12.52</v>
      </c>
      <c r="D5236" s="36">
        <v>45244.0</v>
      </c>
      <c r="E5236" s="24"/>
      <c r="F5236" s="14" t="s">
        <v>6012</v>
      </c>
      <c r="G5236" s="14">
        <v>321.03</v>
      </c>
      <c r="H5236" s="14">
        <v>0.0</v>
      </c>
      <c r="I5236" s="14" t="s">
        <v>6061</v>
      </c>
      <c r="J5236" s="14" t="s">
        <v>6012</v>
      </c>
      <c r="K5236" s="14" t="s">
        <v>6012</v>
      </c>
      <c r="L5236" s="14">
        <v>0.0</v>
      </c>
    </row>
    <row r="5237">
      <c r="A5237" s="14">
        <v>116.0</v>
      </c>
      <c r="B5237" s="14">
        <v>1.0</v>
      </c>
      <c r="C5237" s="34">
        <v>13.18</v>
      </c>
      <c r="D5237" s="36">
        <v>45244.0</v>
      </c>
      <c r="E5237" s="24"/>
      <c r="F5237" s="14">
        <v>13.18</v>
      </c>
      <c r="G5237" s="14">
        <v>113.62</v>
      </c>
      <c r="H5237" s="14">
        <v>0.86</v>
      </c>
      <c r="I5237" s="14" t="s">
        <v>6042</v>
      </c>
      <c r="J5237" s="14">
        <v>0.0</v>
      </c>
      <c r="K5237" s="14" t="s">
        <v>6012</v>
      </c>
      <c r="L5237" s="14">
        <v>0.0</v>
      </c>
    </row>
    <row r="5238">
      <c r="A5238" s="14">
        <v>112.0</v>
      </c>
      <c r="B5238" s="14">
        <v>1.0</v>
      </c>
      <c r="C5238" s="34">
        <v>12.77</v>
      </c>
      <c r="D5238" s="36">
        <v>45244.0</v>
      </c>
      <c r="E5238" s="24"/>
      <c r="F5238" s="14">
        <v>12.77</v>
      </c>
      <c r="G5238" s="14">
        <v>114.02</v>
      </c>
      <c r="H5238" s="14">
        <v>0.89</v>
      </c>
      <c r="I5238" s="14" t="s">
        <v>6062</v>
      </c>
      <c r="J5238" s="14">
        <v>0.0</v>
      </c>
      <c r="K5238" s="14" t="s">
        <v>6012</v>
      </c>
      <c r="L5238" s="14">
        <v>0.0</v>
      </c>
    </row>
    <row r="5239">
      <c r="A5239" s="14">
        <v>20.0</v>
      </c>
      <c r="B5239" s="14">
        <v>0.0</v>
      </c>
      <c r="C5239" s="34">
        <v>15.0</v>
      </c>
      <c r="D5239" s="36">
        <v>45245.0</v>
      </c>
      <c r="E5239" s="24"/>
      <c r="F5239" s="14" t="s">
        <v>6012</v>
      </c>
      <c r="G5239" s="14">
        <v>750.0</v>
      </c>
      <c r="H5239" s="14">
        <v>0.0</v>
      </c>
      <c r="I5239" s="14" t="s">
        <v>6057</v>
      </c>
      <c r="J5239" s="14" t="s">
        <v>6012</v>
      </c>
      <c r="K5239" s="14" t="s">
        <v>6012</v>
      </c>
      <c r="L5239" s="14">
        <v>0.0</v>
      </c>
    </row>
    <row r="5240">
      <c r="A5240" s="14">
        <v>45.0</v>
      </c>
      <c r="B5240" s="14">
        <v>0.0</v>
      </c>
      <c r="C5240" s="34">
        <v>11.49</v>
      </c>
      <c r="D5240" s="36">
        <v>45245.0</v>
      </c>
      <c r="E5240" s="24"/>
      <c r="F5240" s="14" t="s">
        <v>6012</v>
      </c>
      <c r="G5240" s="14">
        <v>255.33</v>
      </c>
      <c r="H5240" s="14">
        <v>0.0</v>
      </c>
      <c r="I5240" s="14" t="s">
        <v>6061</v>
      </c>
      <c r="J5240" s="14" t="s">
        <v>6012</v>
      </c>
      <c r="K5240" s="14" t="s">
        <v>6012</v>
      </c>
      <c r="L5240" s="14">
        <v>0.0</v>
      </c>
    </row>
    <row r="5241">
      <c r="A5241" s="14">
        <v>30.0</v>
      </c>
      <c r="B5241" s="14">
        <v>0.0</v>
      </c>
      <c r="C5241" s="34">
        <v>15.0</v>
      </c>
      <c r="D5241" s="36">
        <v>45245.0</v>
      </c>
      <c r="E5241" s="24"/>
      <c r="F5241" s="14" t="s">
        <v>6012</v>
      </c>
      <c r="G5241" s="14">
        <v>500.0</v>
      </c>
      <c r="H5241" s="14">
        <v>0.0</v>
      </c>
      <c r="I5241" s="14" t="s">
        <v>6059</v>
      </c>
      <c r="J5241" s="14" t="s">
        <v>6012</v>
      </c>
      <c r="K5241" s="14" t="s">
        <v>6012</v>
      </c>
      <c r="L5241" s="14">
        <v>0.0</v>
      </c>
    </row>
    <row r="5242">
      <c r="A5242" s="14">
        <v>8.0</v>
      </c>
      <c r="B5242" s="14">
        <v>1.0</v>
      </c>
      <c r="C5242" s="34">
        <v>6.0</v>
      </c>
      <c r="D5242" s="36">
        <v>45245.0</v>
      </c>
      <c r="E5242" s="24"/>
      <c r="F5242" s="14">
        <v>6.0</v>
      </c>
      <c r="G5242" s="14">
        <v>750.0</v>
      </c>
      <c r="H5242" s="14">
        <v>12.5</v>
      </c>
      <c r="I5242" s="14" t="s">
        <v>6064</v>
      </c>
      <c r="J5242" s="14">
        <v>0.0</v>
      </c>
      <c r="K5242" s="14" t="s">
        <v>6012</v>
      </c>
      <c r="L5242" s="14">
        <v>0.0</v>
      </c>
    </row>
    <row r="5243">
      <c r="A5243" s="14">
        <v>151.0</v>
      </c>
      <c r="B5243" s="14">
        <v>0.0</v>
      </c>
      <c r="C5243" s="34">
        <v>12.7</v>
      </c>
      <c r="D5243" s="36">
        <v>45245.0</v>
      </c>
      <c r="E5243" s="24"/>
      <c r="F5243" s="14" t="s">
        <v>6012</v>
      </c>
      <c r="G5243" s="14">
        <v>84.11</v>
      </c>
      <c r="H5243" s="14">
        <v>0.0</v>
      </c>
      <c r="I5243" s="14" t="s">
        <v>6062</v>
      </c>
      <c r="J5243" s="14" t="s">
        <v>6012</v>
      </c>
      <c r="K5243" s="14" t="s">
        <v>6012</v>
      </c>
      <c r="L5243" s="14">
        <v>0.0</v>
      </c>
    </row>
    <row r="5244">
      <c r="A5244" s="14">
        <v>765.0</v>
      </c>
      <c r="B5244" s="14">
        <v>8.0</v>
      </c>
      <c r="C5244" s="34">
        <v>12.07</v>
      </c>
      <c r="D5244" s="36">
        <v>45245.0</v>
      </c>
      <c r="E5244" s="24"/>
      <c r="F5244" s="14">
        <v>1.51</v>
      </c>
      <c r="G5244" s="14">
        <v>15.78</v>
      </c>
      <c r="H5244" s="14">
        <v>1.05</v>
      </c>
      <c r="I5244" s="14" t="s">
        <v>6051</v>
      </c>
      <c r="J5244" s="14">
        <v>0.0</v>
      </c>
      <c r="K5244" s="14" t="s">
        <v>6012</v>
      </c>
      <c r="L5244" s="14">
        <v>0.0</v>
      </c>
    </row>
    <row r="5245">
      <c r="A5245" s="14">
        <v>626.0</v>
      </c>
      <c r="B5245" s="14">
        <v>4.0</v>
      </c>
      <c r="C5245" s="34">
        <v>12.92</v>
      </c>
      <c r="D5245" s="36">
        <v>45245.0</v>
      </c>
      <c r="E5245" s="24"/>
      <c r="F5245" s="14">
        <v>3.23</v>
      </c>
      <c r="G5245" s="14">
        <v>20.64</v>
      </c>
      <c r="H5245" s="14">
        <v>0.64</v>
      </c>
      <c r="I5245" s="14" t="s">
        <v>6050</v>
      </c>
      <c r="J5245" s="14">
        <v>75.0</v>
      </c>
      <c r="K5245" s="14">
        <v>4.31</v>
      </c>
      <c r="L5245" s="14">
        <v>0.0</v>
      </c>
    </row>
    <row r="5246">
      <c r="A5246" s="14">
        <v>72.0</v>
      </c>
      <c r="B5246" s="14">
        <v>1.0</v>
      </c>
      <c r="C5246" s="34">
        <v>14.69</v>
      </c>
      <c r="D5246" s="36">
        <v>45245.0</v>
      </c>
      <c r="E5246" s="24"/>
      <c r="F5246" s="14">
        <v>14.69</v>
      </c>
      <c r="G5246" s="14">
        <v>204.03</v>
      </c>
      <c r="H5246" s="14">
        <v>1.39</v>
      </c>
      <c r="I5246" s="14" t="s">
        <v>6042</v>
      </c>
      <c r="J5246" s="14">
        <v>100.0</v>
      </c>
      <c r="K5246" s="14">
        <v>14.69</v>
      </c>
      <c r="L5246" s="14">
        <v>0.0</v>
      </c>
    </row>
    <row r="5247">
      <c r="A5247" s="14">
        <v>32.0</v>
      </c>
      <c r="B5247" s="14">
        <v>1.0</v>
      </c>
      <c r="C5247" s="34">
        <v>12.8</v>
      </c>
      <c r="D5247" s="36">
        <v>45245.0</v>
      </c>
      <c r="E5247" s="24"/>
      <c r="F5247" s="14">
        <v>12.8</v>
      </c>
      <c r="G5247" s="14">
        <v>400.0</v>
      </c>
      <c r="H5247" s="14">
        <v>3.12</v>
      </c>
      <c r="I5247" s="14" t="s">
        <v>6058</v>
      </c>
      <c r="J5247" s="14">
        <v>0.0</v>
      </c>
      <c r="K5247" s="14" t="s">
        <v>6012</v>
      </c>
      <c r="L5247" s="14">
        <v>0.0</v>
      </c>
    </row>
    <row r="5248">
      <c r="A5248" s="14">
        <v>117.0</v>
      </c>
      <c r="B5248" s="14">
        <v>0.0</v>
      </c>
      <c r="C5248" s="34">
        <v>14.81</v>
      </c>
      <c r="D5248" s="36">
        <v>45245.0</v>
      </c>
      <c r="E5248" s="24"/>
      <c r="F5248" s="14" t="s">
        <v>6012</v>
      </c>
      <c r="G5248" s="14">
        <v>126.58</v>
      </c>
      <c r="H5248" s="14">
        <v>0.0</v>
      </c>
      <c r="I5248" s="14" t="s">
        <v>6060</v>
      </c>
      <c r="J5248" s="14" t="s">
        <v>6012</v>
      </c>
      <c r="K5248" s="14">
        <v>14.81</v>
      </c>
      <c r="L5248" s="14">
        <v>0.0</v>
      </c>
    </row>
    <row r="5249">
      <c r="A5249" s="14">
        <v>45.0</v>
      </c>
      <c r="B5249" s="14">
        <v>0.0</v>
      </c>
      <c r="C5249" s="34">
        <v>12.05</v>
      </c>
      <c r="D5249" s="36">
        <v>45245.0</v>
      </c>
      <c r="E5249" s="24"/>
      <c r="F5249" s="14" t="s">
        <v>6012</v>
      </c>
      <c r="G5249" s="14">
        <v>267.78</v>
      </c>
      <c r="H5249" s="14">
        <v>0.0</v>
      </c>
      <c r="I5249" s="14" t="s">
        <v>6063</v>
      </c>
      <c r="J5249" s="14" t="s">
        <v>6012</v>
      </c>
      <c r="K5249" s="14" t="s">
        <v>6012</v>
      </c>
      <c r="L5249" s="14">
        <v>0.0</v>
      </c>
    </row>
    <row r="5250">
      <c r="A5250" s="14">
        <v>68.0</v>
      </c>
      <c r="B5250" s="14">
        <v>1.0</v>
      </c>
      <c r="C5250" s="34">
        <v>9.76</v>
      </c>
      <c r="D5250" s="36">
        <v>45246.0</v>
      </c>
      <c r="E5250" s="24"/>
      <c r="F5250" s="14">
        <v>9.76</v>
      </c>
      <c r="G5250" s="14">
        <v>143.53</v>
      </c>
      <c r="H5250" s="14">
        <v>1.47</v>
      </c>
      <c r="I5250" s="14" t="s">
        <v>6057</v>
      </c>
      <c r="J5250" s="14">
        <v>0.0</v>
      </c>
      <c r="K5250" s="14" t="s">
        <v>6012</v>
      </c>
      <c r="L5250" s="14">
        <v>0.0</v>
      </c>
    </row>
    <row r="5251">
      <c r="A5251" s="14">
        <v>25.0</v>
      </c>
      <c r="B5251" s="14">
        <v>0.0</v>
      </c>
      <c r="C5251" s="34">
        <v>11.7</v>
      </c>
      <c r="D5251" s="36">
        <v>45246.0</v>
      </c>
      <c r="E5251" s="24"/>
      <c r="F5251" s="14" t="s">
        <v>6012</v>
      </c>
      <c r="G5251" s="14">
        <v>468.0</v>
      </c>
      <c r="H5251" s="14">
        <v>0.0</v>
      </c>
      <c r="I5251" s="14" t="s">
        <v>6059</v>
      </c>
      <c r="J5251" s="14" t="s">
        <v>6012</v>
      </c>
      <c r="K5251" s="14" t="s">
        <v>6012</v>
      </c>
      <c r="L5251" s="14">
        <v>0.0</v>
      </c>
    </row>
    <row r="5252">
      <c r="A5252" s="14">
        <v>27.0</v>
      </c>
      <c r="B5252" s="14">
        <v>0.0</v>
      </c>
      <c r="C5252" s="34">
        <v>12.26</v>
      </c>
      <c r="D5252" s="36">
        <v>45246.0</v>
      </c>
      <c r="E5252" s="24"/>
      <c r="F5252" s="14" t="s">
        <v>6012</v>
      </c>
      <c r="G5252" s="14">
        <v>454.07</v>
      </c>
      <c r="H5252" s="14">
        <v>0.0</v>
      </c>
      <c r="I5252" s="14" t="s">
        <v>6058</v>
      </c>
      <c r="J5252" s="14" t="s">
        <v>6012</v>
      </c>
      <c r="K5252" s="14" t="s">
        <v>6012</v>
      </c>
      <c r="L5252" s="14">
        <v>0.0</v>
      </c>
    </row>
    <row r="5253">
      <c r="A5253" s="14">
        <v>64.0</v>
      </c>
      <c r="B5253" s="14">
        <v>0.0</v>
      </c>
      <c r="C5253" s="34">
        <v>14.12</v>
      </c>
      <c r="D5253" s="36">
        <v>45246.0</v>
      </c>
      <c r="E5253" s="24"/>
      <c r="F5253" s="14" t="s">
        <v>6012</v>
      </c>
      <c r="G5253" s="14">
        <v>220.62</v>
      </c>
      <c r="H5253" s="14">
        <v>0.0</v>
      </c>
      <c r="I5253" s="14" t="s">
        <v>6062</v>
      </c>
      <c r="J5253" s="14" t="s">
        <v>6012</v>
      </c>
      <c r="K5253" s="14" t="s">
        <v>6012</v>
      </c>
      <c r="L5253" s="14">
        <v>0.0</v>
      </c>
    </row>
    <row r="5254">
      <c r="A5254" s="14">
        <v>613.0</v>
      </c>
      <c r="B5254" s="14">
        <v>2.0</v>
      </c>
      <c r="C5254" s="34">
        <v>11.06</v>
      </c>
      <c r="D5254" s="36">
        <v>45246.0</v>
      </c>
      <c r="E5254" s="24"/>
      <c r="F5254" s="14">
        <v>5.53</v>
      </c>
      <c r="G5254" s="14">
        <v>18.04</v>
      </c>
      <c r="H5254" s="14">
        <v>0.33</v>
      </c>
      <c r="I5254" s="14" t="s">
        <v>6050</v>
      </c>
      <c r="J5254" s="14">
        <v>50.0</v>
      </c>
      <c r="K5254" s="14">
        <v>11.06</v>
      </c>
      <c r="L5254" s="14">
        <v>0.0</v>
      </c>
    </row>
    <row r="5255">
      <c r="A5255" s="14">
        <v>346.0</v>
      </c>
      <c r="B5255" s="14">
        <v>3.0</v>
      </c>
      <c r="C5255" s="34">
        <v>14.12</v>
      </c>
      <c r="D5255" s="36">
        <v>45246.0</v>
      </c>
      <c r="E5255" s="24"/>
      <c r="F5255" s="14">
        <v>4.71</v>
      </c>
      <c r="G5255" s="14">
        <v>40.81</v>
      </c>
      <c r="H5255" s="14">
        <v>0.87</v>
      </c>
      <c r="I5255" s="14" t="s">
        <v>6060</v>
      </c>
      <c r="J5255" s="14">
        <v>66.67</v>
      </c>
      <c r="K5255" s="14">
        <v>7.06</v>
      </c>
      <c r="L5255" s="14">
        <v>0.0</v>
      </c>
    </row>
    <row r="5256">
      <c r="A5256" s="14">
        <v>769.0</v>
      </c>
      <c r="B5256" s="14">
        <v>3.0</v>
      </c>
      <c r="C5256" s="34">
        <v>12.35</v>
      </c>
      <c r="D5256" s="36">
        <v>45246.0</v>
      </c>
      <c r="E5256" s="24"/>
      <c r="F5256" s="14">
        <v>4.12</v>
      </c>
      <c r="G5256" s="14">
        <v>16.06</v>
      </c>
      <c r="H5256" s="14">
        <v>0.39</v>
      </c>
      <c r="I5256" s="14" t="s">
        <v>6051</v>
      </c>
      <c r="J5256" s="14">
        <v>66.67</v>
      </c>
      <c r="K5256" s="14">
        <v>6.18</v>
      </c>
      <c r="L5256" s="14">
        <v>0.0</v>
      </c>
    </row>
    <row r="5257">
      <c r="A5257" s="14">
        <v>53.0</v>
      </c>
      <c r="B5257" s="14">
        <v>0.0</v>
      </c>
      <c r="C5257" s="34">
        <v>12.79</v>
      </c>
      <c r="D5257" s="36">
        <v>45246.0</v>
      </c>
      <c r="E5257" s="24"/>
      <c r="F5257" s="14" t="s">
        <v>6012</v>
      </c>
      <c r="G5257" s="14">
        <v>241.32</v>
      </c>
      <c r="H5257" s="14">
        <v>0.0</v>
      </c>
      <c r="I5257" s="14" t="s">
        <v>6063</v>
      </c>
      <c r="J5257" s="14" t="s">
        <v>6012</v>
      </c>
      <c r="K5257" s="14" t="s">
        <v>6012</v>
      </c>
      <c r="L5257" s="14">
        <v>0.0</v>
      </c>
    </row>
    <row r="5258">
      <c r="A5258" s="14">
        <v>36.0</v>
      </c>
      <c r="B5258" s="14">
        <v>0.0</v>
      </c>
      <c r="C5258" s="34">
        <v>14.01</v>
      </c>
      <c r="D5258" s="36">
        <v>45246.0</v>
      </c>
      <c r="E5258" s="24"/>
      <c r="F5258" s="14" t="s">
        <v>6012</v>
      </c>
      <c r="G5258" s="14">
        <v>389.17</v>
      </c>
      <c r="H5258" s="14">
        <v>0.0</v>
      </c>
      <c r="I5258" s="14" t="s">
        <v>6061</v>
      </c>
      <c r="J5258" s="14" t="s">
        <v>6012</v>
      </c>
      <c r="K5258" s="14" t="s">
        <v>6012</v>
      </c>
      <c r="L5258" s="14">
        <v>0.0</v>
      </c>
    </row>
    <row r="5259">
      <c r="A5259" s="14">
        <v>32.0</v>
      </c>
      <c r="B5259" s="14">
        <v>0.0</v>
      </c>
      <c r="C5259" s="34">
        <v>13.25</v>
      </c>
      <c r="D5259" s="36">
        <v>45246.0</v>
      </c>
      <c r="E5259" s="24"/>
      <c r="F5259" s="14" t="s">
        <v>6012</v>
      </c>
      <c r="G5259" s="14">
        <v>414.06</v>
      </c>
      <c r="H5259" s="14">
        <v>0.0</v>
      </c>
      <c r="I5259" s="14" t="s">
        <v>6042</v>
      </c>
      <c r="J5259" s="14" t="s">
        <v>6012</v>
      </c>
      <c r="K5259" s="14" t="s">
        <v>6012</v>
      </c>
      <c r="L5259" s="14">
        <v>0.0</v>
      </c>
    </row>
    <row r="5260">
      <c r="A5260" s="14">
        <v>3.0</v>
      </c>
      <c r="B5260" s="14">
        <v>5.0</v>
      </c>
      <c r="C5260" s="34">
        <v>2.25</v>
      </c>
      <c r="D5260" s="36">
        <v>45246.0</v>
      </c>
      <c r="E5260" s="24"/>
      <c r="F5260" s="14">
        <v>0.45</v>
      </c>
      <c r="G5260" s="14">
        <v>750.0</v>
      </c>
      <c r="H5260" s="14">
        <v>166.67</v>
      </c>
      <c r="I5260" s="14" t="s">
        <v>6064</v>
      </c>
      <c r="J5260" s="14">
        <v>0.0</v>
      </c>
      <c r="K5260" s="14" t="s">
        <v>6012</v>
      </c>
      <c r="L5260" s="14">
        <v>0.0</v>
      </c>
    </row>
    <row r="5261">
      <c r="A5261" s="14">
        <v>646.0</v>
      </c>
      <c r="B5261" s="14">
        <v>4.0</v>
      </c>
      <c r="C5261" s="34">
        <v>10.74</v>
      </c>
      <c r="D5261" s="36">
        <v>45247.0</v>
      </c>
      <c r="E5261" s="24"/>
      <c r="F5261" s="14">
        <v>2.68</v>
      </c>
      <c r="G5261" s="14">
        <v>16.63</v>
      </c>
      <c r="H5261" s="14">
        <v>0.62</v>
      </c>
      <c r="I5261" s="14" t="s">
        <v>6051</v>
      </c>
      <c r="J5261" s="14">
        <v>0.0</v>
      </c>
      <c r="K5261" s="14" t="s">
        <v>6012</v>
      </c>
      <c r="L5261" s="14">
        <v>0.0</v>
      </c>
    </row>
    <row r="5262">
      <c r="A5262" s="14">
        <v>42.0</v>
      </c>
      <c r="B5262" s="14">
        <v>0.0</v>
      </c>
      <c r="C5262" s="34">
        <v>10.43</v>
      </c>
      <c r="D5262" s="36">
        <v>45247.0</v>
      </c>
      <c r="E5262" s="24"/>
      <c r="F5262" s="14" t="s">
        <v>6012</v>
      </c>
      <c r="G5262" s="14">
        <v>248.33</v>
      </c>
      <c r="H5262" s="14">
        <v>0.0</v>
      </c>
      <c r="I5262" s="14" t="s">
        <v>6063</v>
      </c>
      <c r="J5262" s="14" t="s">
        <v>6012</v>
      </c>
      <c r="K5262" s="14" t="s">
        <v>6012</v>
      </c>
      <c r="L5262" s="14">
        <v>0.0</v>
      </c>
    </row>
    <row r="5263">
      <c r="A5263" s="14">
        <v>35.0</v>
      </c>
      <c r="B5263" s="14">
        <v>1.0</v>
      </c>
      <c r="C5263" s="34">
        <v>10.25</v>
      </c>
      <c r="D5263" s="36">
        <v>45247.0</v>
      </c>
      <c r="E5263" s="24"/>
      <c r="F5263" s="14">
        <v>10.25</v>
      </c>
      <c r="G5263" s="14">
        <v>292.86</v>
      </c>
      <c r="H5263" s="14">
        <v>2.86</v>
      </c>
      <c r="I5263" s="14" t="s">
        <v>6058</v>
      </c>
      <c r="J5263" s="14">
        <v>0.0</v>
      </c>
      <c r="K5263" s="14" t="s">
        <v>6012</v>
      </c>
      <c r="L5263" s="14">
        <v>0.0</v>
      </c>
    </row>
    <row r="5264">
      <c r="A5264" s="14">
        <v>44.0</v>
      </c>
      <c r="B5264" s="14">
        <v>0.0</v>
      </c>
      <c r="C5264" s="34">
        <v>11.78</v>
      </c>
      <c r="D5264" s="36">
        <v>45247.0</v>
      </c>
      <c r="E5264" s="24"/>
      <c r="F5264" s="14" t="s">
        <v>6012</v>
      </c>
      <c r="G5264" s="14">
        <v>267.73</v>
      </c>
      <c r="H5264" s="14">
        <v>0.0</v>
      </c>
      <c r="I5264" s="14" t="s">
        <v>6061</v>
      </c>
      <c r="J5264" s="14" t="s">
        <v>6012</v>
      </c>
      <c r="K5264" s="14" t="s">
        <v>6012</v>
      </c>
      <c r="L5264" s="14">
        <v>0.0</v>
      </c>
    </row>
    <row r="5265">
      <c r="A5265" s="14">
        <v>49.0</v>
      </c>
      <c r="B5265" s="14">
        <v>1.0</v>
      </c>
      <c r="C5265" s="34">
        <v>11.51</v>
      </c>
      <c r="D5265" s="36">
        <v>45247.0</v>
      </c>
      <c r="E5265" s="24"/>
      <c r="F5265" s="14">
        <v>11.51</v>
      </c>
      <c r="G5265" s="14">
        <v>234.9</v>
      </c>
      <c r="H5265" s="14">
        <v>2.04</v>
      </c>
      <c r="I5265" s="14" t="s">
        <v>6042</v>
      </c>
      <c r="J5265" s="14">
        <v>0.0</v>
      </c>
      <c r="K5265" s="14" t="s">
        <v>6012</v>
      </c>
      <c r="L5265" s="14">
        <v>0.0</v>
      </c>
    </row>
    <row r="5266">
      <c r="A5266" s="14">
        <v>15.0</v>
      </c>
      <c r="B5266" s="14">
        <v>0.0</v>
      </c>
      <c r="C5266" s="34">
        <v>11.0</v>
      </c>
      <c r="D5266" s="36">
        <v>45247.0</v>
      </c>
      <c r="E5266" s="24"/>
      <c r="F5266" s="14" t="s">
        <v>6012</v>
      </c>
      <c r="G5266" s="14">
        <v>733.33</v>
      </c>
      <c r="H5266" s="14">
        <v>0.0</v>
      </c>
      <c r="I5266" s="14" t="s">
        <v>6057</v>
      </c>
      <c r="J5266" s="14" t="s">
        <v>6012</v>
      </c>
      <c r="K5266" s="14" t="s">
        <v>6012</v>
      </c>
      <c r="L5266" s="14">
        <v>0.0</v>
      </c>
    </row>
    <row r="5267">
      <c r="A5267" s="14">
        <v>3.0</v>
      </c>
      <c r="B5267" s="14">
        <v>0.0</v>
      </c>
      <c r="C5267" s="34">
        <v>2.37</v>
      </c>
      <c r="D5267" s="36">
        <v>45247.0</v>
      </c>
      <c r="E5267" s="24"/>
      <c r="F5267" s="14" t="s">
        <v>6012</v>
      </c>
      <c r="G5267" s="14">
        <v>790.0</v>
      </c>
      <c r="H5267" s="14">
        <v>0.0</v>
      </c>
      <c r="I5267" s="14" t="s">
        <v>6064</v>
      </c>
      <c r="J5267" s="14" t="s">
        <v>6012</v>
      </c>
      <c r="K5267" s="14" t="s">
        <v>6012</v>
      </c>
      <c r="L5267" s="14">
        <v>0.0</v>
      </c>
    </row>
    <row r="5268">
      <c r="A5268" s="14">
        <v>234.0</v>
      </c>
      <c r="B5268" s="14">
        <v>0.0</v>
      </c>
      <c r="C5268" s="34">
        <v>8.27</v>
      </c>
      <c r="D5268" s="36">
        <v>45247.0</v>
      </c>
      <c r="E5268" s="24"/>
      <c r="F5268" s="14" t="s">
        <v>6012</v>
      </c>
      <c r="G5268" s="14">
        <v>35.34</v>
      </c>
      <c r="H5268" s="14">
        <v>0.0</v>
      </c>
      <c r="I5268" s="14" t="s">
        <v>6062</v>
      </c>
      <c r="J5268" s="14" t="s">
        <v>6012</v>
      </c>
      <c r="K5268" s="14" t="s">
        <v>6012</v>
      </c>
      <c r="L5268" s="14">
        <v>0.0</v>
      </c>
    </row>
    <row r="5269">
      <c r="A5269" s="14">
        <v>218.0</v>
      </c>
      <c r="B5269" s="14">
        <v>1.0</v>
      </c>
      <c r="C5269" s="34">
        <v>11.92</v>
      </c>
      <c r="D5269" s="36">
        <v>45247.0</v>
      </c>
      <c r="E5269" s="24"/>
      <c r="F5269" s="14">
        <v>11.92</v>
      </c>
      <c r="G5269" s="14">
        <v>54.68</v>
      </c>
      <c r="H5269" s="14">
        <v>0.46</v>
      </c>
      <c r="I5269" s="14" t="s">
        <v>6060</v>
      </c>
      <c r="J5269" s="14">
        <v>200.0</v>
      </c>
      <c r="K5269" s="14">
        <v>5.96</v>
      </c>
      <c r="L5269" s="14">
        <v>0.0</v>
      </c>
    </row>
    <row r="5270">
      <c r="A5270" s="14">
        <v>581.0</v>
      </c>
      <c r="B5270" s="14">
        <v>2.0</v>
      </c>
      <c r="C5270" s="34">
        <v>9.6</v>
      </c>
      <c r="D5270" s="36">
        <v>45247.0</v>
      </c>
      <c r="E5270" s="24"/>
      <c r="F5270" s="14">
        <v>4.8</v>
      </c>
      <c r="G5270" s="14">
        <v>16.52</v>
      </c>
      <c r="H5270" s="14">
        <v>0.34</v>
      </c>
      <c r="I5270" s="14" t="s">
        <v>6050</v>
      </c>
      <c r="J5270" s="14">
        <v>0.0</v>
      </c>
      <c r="K5270" s="14" t="s">
        <v>6012</v>
      </c>
      <c r="L5270" s="14">
        <v>0.0</v>
      </c>
    </row>
    <row r="5271">
      <c r="A5271" s="14">
        <v>20.0</v>
      </c>
      <c r="B5271" s="14">
        <v>0.0</v>
      </c>
      <c r="C5271" s="34">
        <v>14.13</v>
      </c>
      <c r="D5271" s="36">
        <v>45247.0</v>
      </c>
      <c r="E5271" s="24"/>
      <c r="F5271" s="14" t="s">
        <v>6012</v>
      </c>
      <c r="G5271" s="14">
        <v>706.5</v>
      </c>
      <c r="H5271" s="14">
        <v>0.0</v>
      </c>
      <c r="I5271" s="14" t="s">
        <v>6059</v>
      </c>
      <c r="J5271" s="14" t="s">
        <v>6012</v>
      </c>
      <c r="K5271" s="14" t="s">
        <v>6012</v>
      </c>
      <c r="L5271" s="14">
        <v>0.0</v>
      </c>
    </row>
    <row r="5272">
      <c r="A5272" s="14">
        <v>15.0</v>
      </c>
      <c r="B5272" s="14">
        <v>0.0</v>
      </c>
      <c r="C5272" s="34">
        <v>6.21</v>
      </c>
      <c r="D5272" s="36">
        <v>45248.0</v>
      </c>
      <c r="E5272" s="24"/>
      <c r="F5272" s="14" t="s">
        <v>6012</v>
      </c>
      <c r="G5272" s="14">
        <v>414.0</v>
      </c>
      <c r="H5272" s="14">
        <v>0.0</v>
      </c>
      <c r="I5272" s="14" t="s">
        <v>6061</v>
      </c>
      <c r="J5272" s="14" t="s">
        <v>6012</v>
      </c>
      <c r="K5272" s="14" t="s">
        <v>6012</v>
      </c>
      <c r="L5272" s="14">
        <v>0.0</v>
      </c>
    </row>
    <row r="5273">
      <c r="A5273" s="14">
        <v>33.0</v>
      </c>
      <c r="B5273" s="14">
        <v>0.0</v>
      </c>
      <c r="C5273" s="34">
        <v>3.73</v>
      </c>
      <c r="D5273" s="36">
        <v>45248.0</v>
      </c>
      <c r="E5273" s="24"/>
      <c r="F5273" s="14" t="s">
        <v>6012</v>
      </c>
      <c r="G5273" s="14">
        <v>113.03</v>
      </c>
      <c r="H5273" s="14">
        <v>0.0</v>
      </c>
      <c r="I5273" s="14" t="s">
        <v>6058</v>
      </c>
      <c r="J5273" s="14" t="s">
        <v>6012</v>
      </c>
      <c r="K5273" s="14" t="s">
        <v>6012</v>
      </c>
      <c r="L5273" s="14">
        <v>0.0</v>
      </c>
    </row>
    <row r="5274">
      <c r="A5274" s="14">
        <v>25.0</v>
      </c>
      <c r="B5274" s="14">
        <v>0.0</v>
      </c>
      <c r="C5274" s="34">
        <v>8.52</v>
      </c>
      <c r="D5274" s="36">
        <v>45248.0</v>
      </c>
      <c r="E5274" s="24"/>
      <c r="F5274" s="14" t="s">
        <v>6012</v>
      </c>
      <c r="G5274" s="14">
        <v>340.8</v>
      </c>
      <c r="H5274" s="14">
        <v>0.0</v>
      </c>
      <c r="I5274" s="14" t="s">
        <v>6042</v>
      </c>
      <c r="J5274" s="14" t="s">
        <v>6012</v>
      </c>
      <c r="K5274" s="14" t="s">
        <v>6012</v>
      </c>
      <c r="L5274" s="14">
        <v>0.0</v>
      </c>
    </row>
    <row r="5275">
      <c r="A5275" s="14">
        <v>6.0</v>
      </c>
      <c r="B5275" s="14">
        <v>2.0</v>
      </c>
      <c r="C5275" s="34">
        <v>4.5</v>
      </c>
      <c r="D5275" s="36">
        <v>45248.0</v>
      </c>
      <c r="E5275" s="24"/>
      <c r="F5275" s="14">
        <v>2.25</v>
      </c>
      <c r="G5275" s="14">
        <v>750.0</v>
      </c>
      <c r="H5275" s="14">
        <v>33.33</v>
      </c>
      <c r="I5275" s="14" t="s">
        <v>6064</v>
      </c>
      <c r="J5275" s="14">
        <v>0.0</v>
      </c>
      <c r="K5275" s="14" t="s">
        <v>6012</v>
      </c>
      <c r="L5275" s="14">
        <v>0.0</v>
      </c>
    </row>
    <row r="5276">
      <c r="A5276" s="14">
        <v>47.0</v>
      </c>
      <c r="B5276" s="14">
        <v>1.0</v>
      </c>
      <c r="C5276" s="34">
        <v>7.97</v>
      </c>
      <c r="D5276" s="36">
        <v>45248.0</v>
      </c>
      <c r="E5276" s="24"/>
      <c r="F5276" s="14">
        <v>7.97</v>
      </c>
      <c r="G5276" s="14">
        <v>169.57</v>
      </c>
      <c r="H5276" s="14">
        <v>2.13</v>
      </c>
      <c r="I5276" s="14" t="s">
        <v>6060</v>
      </c>
      <c r="J5276" s="14">
        <v>0.0</v>
      </c>
      <c r="K5276" s="14" t="s">
        <v>6012</v>
      </c>
      <c r="L5276" s="14">
        <v>0.0</v>
      </c>
    </row>
    <row r="5277">
      <c r="A5277" s="14">
        <v>21.0</v>
      </c>
      <c r="B5277" s="14">
        <v>0.0</v>
      </c>
      <c r="C5277" s="34">
        <v>4.12</v>
      </c>
      <c r="D5277" s="36">
        <v>45248.0</v>
      </c>
      <c r="E5277" s="24"/>
      <c r="F5277" s="14" t="s">
        <v>6012</v>
      </c>
      <c r="G5277" s="14">
        <v>196.19</v>
      </c>
      <c r="H5277" s="14">
        <v>0.0</v>
      </c>
      <c r="I5277" s="14" t="s">
        <v>6063</v>
      </c>
      <c r="J5277" s="14" t="s">
        <v>6012</v>
      </c>
      <c r="K5277" s="14" t="s">
        <v>6012</v>
      </c>
      <c r="L5277" s="14">
        <v>0.0</v>
      </c>
    </row>
    <row r="5278">
      <c r="A5278" s="14">
        <v>7.0</v>
      </c>
      <c r="B5278" s="14">
        <v>0.0</v>
      </c>
      <c r="C5278" s="34">
        <v>1.53</v>
      </c>
      <c r="D5278" s="36">
        <v>45248.0</v>
      </c>
      <c r="E5278" s="24"/>
      <c r="F5278" s="14" t="s">
        <v>6012</v>
      </c>
      <c r="G5278" s="14">
        <v>218.57</v>
      </c>
      <c r="H5278" s="14">
        <v>0.0</v>
      </c>
      <c r="I5278" s="14" t="s">
        <v>6059</v>
      </c>
      <c r="J5278" s="14" t="s">
        <v>6012</v>
      </c>
      <c r="K5278" s="14" t="s">
        <v>6012</v>
      </c>
      <c r="L5278" s="14">
        <v>0.0</v>
      </c>
    </row>
    <row r="5279">
      <c r="A5279" s="14">
        <v>37.0</v>
      </c>
      <c r="B5279" s="14">
        <v>0.0</v>
      </c>
      <c r="C5279" s="34">
        <v>5.78</v>
      </c>
      <c r="D5279" s="36">
        <v>45248.0</v>
      </c>
      <c r="E5279" s="24"/>
      <c r="F5279" s="14" t="s">
        <v>6012</v>
      </c>
      <c r="G5279" s="14">
        <v>156.22</v>
      </c>
      <c r="H5279" s="14">
        <v>0.0</v>
      </c>
      <c r="I5279" s="14" t="s">
        <v>6062</v>
      </c>
      <c r="J5279" s="14" t="s">
        <v>6012</v>
      </c>
      <c r="K5279" s="14" t="s">
        <v>6012</v>
      </c>
      <c r="L5279" s="14">
        <v>0.0</v>
      </c>
    </row>
    <row r="5280">
      <c r="A5280" s="14">
        <v>10.0</v>
      </c>
      <c r="B5280" s="14">
        <v>1.0</v>
      </c>
      <c r="C5280" s="34">
        <v>4.96</v>
      </c>
      <c r="D5280" s="36">
        <v>45248.0</v>
      </c>
      <c r="E5280" s="24"/>
      <c r="F5280" s="14">
        <v>4.96</v>
      </c>
      <c r="G5280" s="14">
        <v>496.0</v>
      </c>
      <c r="H5280" s="14">
        <v>10.0</v>
      </c>
      <c r="I5280" s="14" t="s">
        <v>6057</v>
      </c>
      <c r="J5280" s="14">
        <v>0.0</v>
      </c>
      <c r="K5280" s="14" t="s">
        <v>6012</v>
      </c>
      <c r="L5280" s="14">
        <v>0.0</v>
      </c>
    </row>
    <row r="5281">
      <c r="A5281" s="14">
        <v>315.0</v>
      </c>
      <c r="B5281" s="14">
        <v>6.0</v>
      </c>
      <c r="C5281" s="34">
        <v>6.17</v>
      </c>
      <c r="D5281" s="36">
        <v>45248.0</v>
      </c>
      <c r="E5281" s="24"/>
      <c r="F5281" s="14">
        <v>1.03</v>
      </c>
      <c r="G5281" s="14">
        <v>19.59</v>
      </c>
      <c r="H5281" s="14">
        <v>1.9</v>
      </c>
      <c r="I5281" s="14" t="s">
        <v>6051</v>
      </c>
      <c r="J5281" s="14">
        <v>16.67</v>
      </c>
      <c r="K5281" s="14">
        <v>6.17</v>
      </c>
      <c r="L5281" s="14">
        <v>0.0</v>
      </c>
    </row>
    <row r="5282">
      <c r="A5282" s="14">
        <v>369.0</v>
      </c>
      <c r="B5282" s="14">
        <v>5.0</v>
      </c>
      <c r="C5282" s="34">
        <v>5.95</v>
      </c>
      <c r="D5282" s="36">
        <v>45248.0</v>
      </c>
      <c r="E5282" s="24"/>
      <c r="F5282" s="14">
        <v>1.19</v>
      </c>
      <c r="G5282" s="14">
        <v>16.12</v>
      </c>
      <c r="H5282" s="14">
        <v>1.36</v>
      </c>
      <c r="I5282" s="14" t="s">
        <v>6050</v>
      </c>
      <c r="J5282" s="14">
        <v>0.0</v>
      </c>
      <c r="K5282" s="14" t="s">
        <v>6012</v>
      </c>
      <c r="L5282" s="14">
        <v>0.0</v>
      </c>
    </row>
    <row r="5283">
      <c r="A5283" s="14">
        <v>16.0</v>
      </c>
      <c r="B5283" s="14">
        <v>0.0</v>
      </c>
      <c r="C5283" s="34">
        <v>2.39</v>
      </c>
      <c r="D5283" s="36">
        <v>45249.0</v>
      </c>
      <c r="E5283" s="24"/>
      <c r="F5283" s="14" t="s">
        <v>6012</v>
      </c>
      <c r="G5283" s="14">
        <v>149.38</v>
      </c>
      <c r="H5283" s="14">
        <v>0.0</v>
      </c>
      <c r="I5283" s="14" t="s">
        <v>6057</v>
      </c>
      <c r="J5283" s="14" t="s">
        <v>6012</v>
      </c>
      <c r="K5283" s="14" t="s">
        <v>6012</v>
      </c>
      <c r="L5283" s="14">
        <v>0.0</v>
      </c>
    </row>
    <row r="5284">
      <c r="A5284" s="14">
        <v>22.0</v>
      </c>
      <c r="B5284" s="14">
        <v>0.0</v>
      </c>
      <c r="C5284" s="34">
        <v>5.69</v>
      </c>
      <c r="D5284" s="36">
        <v>45249.0</v>
      </c>
      <c r="E5284" s="24"/>
      <c r="F5284" s="14" t="s">
        <v>6012</v>
      </c>
      <c r="G5284" s="14">
        <v>258.64</v>
      </c>
      <c r="H5284" s="14">
        <v>0.0</v>
      </c>
      <c r="I5284" s="14" t="s">
        <v>6060</v>
      </c>
      <c r="J5284" s="14" t="s">
        <v>6012</v>
      </c>
      <c r="K5284" s="14">
        <v>2.84</v>
      </c>
      <c r="L5284" s="14">
        <v>0.0</v>
      </c>
    </row>
    <row r="5285">
      <c r="A5285" s="14">
        <v>22.0</v>
      </c>
      <c r="B5285" s="14">
        <v>0.0</v>
      </c>
      <c r="C5285" s="34">
        <v>1.66</v>
      </c>
      <c r="D5285" s="36">
        <v>45249.0</v>
      </c>
      <c r="E5285" s="24"/>
      <c r="F5285" s="14" t="s">
        <v>6012</v>
      </c>
      <c r="G5285" s="14">
        <v>75.45</v>
      </c>
      <c r="H5285" s="14">
        <v>0.0</v>
      </c>
      <c r="I5285" s="14" t="s">
        <v>6058</v>
      </c>
      <c r="J5285" s="14" t="s">
        <v>6012</v>
      </c>
      <c r="K5285" s="14" t="s">
        <v>6012</v>
      </c>
      <c r="L5285" s="14">
        <v>0.0</v>
      </c>
    </row>
    <row r="5286">
      <c r="A5286" s="14">
        <v>426.0</v>
      </c>
      <c r="B5286" s="14">
        <v>1.0</v>
      </c>
      <c r="C5286" s="34">
        <v>5.74</v>
      </c>
      <c r="D5286" s="36">
        <v>45249.0</v>
      </c>
      <c r="E5286" s="24"/>
      <c r="F5286" s="14">
        <v>5.74</v>
      </c>
      <c r="G5286" s="14">
        <v>13.47</v>
      </c>
      <c r="H5286" s="14">
        <v>0.23</v>
      </c>
      <c r="I5286" s="14" t="s">
        <v>6050</v>
      </c>
      <c r="J5286" s="14">
        <v>0.0</v>
      </c>
      <c r="K5286" s="14" t="s">
        <v>6012</v>
      </c>
      <c r="L5286" s="14">
        <v>0.0</v>
      </c>
    </row>
    <row r="5287">
      <c r="A5287" s="14">
        <v>305.0</v>
      </c>
      <c r="B5287" s="14">
        <v>3.0</v>
      </c>
      <c r="C5287" s="34">
        <v>5.32</v>
      </c>
      <c r="D5287" s="36">
        <v>45249.0</v>
      </c>
      <c r="E5287" s="24"/>
      <c r="F5287" s="14">
        <v>1.77</v>
      </c>
      <c r="G5287" s="14">
        <v>17.44</v>
      </c>
      <c r="H5287" s="14">
        <v>0.98</v>
      </c>
      <c r="I5287" s="14" t="s">
        <v>6051</v>
      </c>
      <c r="J5287" s="14">
        <v>0.0</v>
      </c>
      <c r="K5287" s="14" t="s">
        <v>6012</v>
      </c>
      <c r="L5287" s="14">
        <v>0.0</v>
      </c>
    </row>
    <row r="5288">
      <c r="A5288" s="14">
        <v>8.0</v>
      </c>
      <c r="B5288" s="14">
        <v>0.0</v>
      </c>
      <c r="C5288" s="34">
        <v>2.42</v>
      </c>
      <c r="D5288" s="36">
        <v>45249.0</v>
      </c>
      <c r="E5288" s="24"/>
      <c r="F5288" s="14" t="s">
        <v>6012</v>
      </c>
      <c r="G5288" s="14">
        <v>302.5</v>
      </c>
      <c r="H5288" s="14">
        <v>0.0</v>
      </c>
      <c r="I5288" s="14" t="s">
        <v>6042</v>
      </c>
      <c r="J5288" s="14" t="s">
        <v>6012</v>
      </c>
      <c r="K5288" s="14" t="s">
        <v>6012</v>
      </c>
      <c r="L5288" s="14">
        <v>0.0</v>
      </c>
    </row>
    <row r="5289">
      <c r="A5289" s="14">
        <v>8.0</v>
      </c>
      <c r="B5289" s="14">
        <v>3.0</v>
      </c>
      <c r="C5289" s="34">
        <v>6.0</v>
      </c>
      <c r="D5289" s="36">
        <v>45249.0</v>
      </c>
      <c r="E5289" s="24"/>
      <c r="F5289" s="14">
        <v>2.0</v>
      </c>
      <c r="G5289" s="14">
        <v>750.0</v>
      </c>
      <c r="H5289" s="14">
        <v>37.5</v>
      </c>
      <c r="I5289" s="14" t="s">
        <v>6064</v>
      </c>
      <c r="J5289" s="14">
        <v>0.0</v>
      </c>
      <c r="K5289" s="14" t="s">
        <v>6012</v>
      </c>
      <c r="L5289" s="14">
        <v>0.0</v>
      </c>
    </row>
    <row r="5290">
      <c r="A5290" s="14">
        <v>6.0</v>
      </c>
      <c r="B5290" s="14">
        <v>1.0</v>
      </c>
      <c r="C5290" s="34">
        <v>0.31</v>
      </c>
      <c r="D5290" s="36">
        <v>45249.0</v>
      </c>
      <c r="E5290" s="24"/>
      <c r="F5290" s="14">
        <v>0.31</v>
      </c>
      <c r="G5290" s="14">
        <v>51.67</v>
      </c>
      <c r="H5290" s="14">
        <v>16.67</v>
      </c>
      <c r="I5290" s="14" t="s">
        <v>6059</v>
      </c>
      <c r="J5290" s="14">
        <v>0.0</v>
      </c>
      <c r="K5290" s="14" t="s">
        <v>6012</v>
      </c>
      <c r="L5290" s="14">
        <v>1.0</v>
      </c>
    </row>
    <row r="5291">
      <c r="A5291" s="14">
        <v>16.0</v>
      </c>
      <c r="B5291" s="14">
        <v>1.0</v>
      </c>
      <c r="C5291" s="34">
        <v>2.36</v>
      </c>
      <c r="D5291" s="36">
        <v>45249.0</v>
      </c>
      <c r="E5291" s="24"/>
      <c r="F5291" s="14">
        <v>2.36</v>
      </c>
      <c r="G5291" s="14">
        <v>147.5</v>
      </c>
      <c r="H5291" s="14">
        <v>6.25</v>
      </c>
      <c r="I5291" s="14" t="s">
        <v>6063</v>
      </c>
      <c r="J5291" s="14">
        <v>0.0</v>
      </c>
      <c r="K5291" s="14" t="s">
        <v>6012</v>
      </c>
      <c r="L5291" s="14">
        <v>0.0</v>
      </c>
    </row>
    <row r="5292">
      <c r="A5292" s="14">
        <v>26.0</v>
      </c>
      <c r="B5292" s="14">
        <v>0.0</v>
      </c>
      <c r="C5292" s="34">
        <v>4.03</v>
      </c>
      <c r="D5292" s="36">
        <v>45249.0</v>
      </c>
      <c r="E5292" s="24"/>
      <c r="F5292" s="14" t="s">
        <v>6012</v>
      </c>
      <c r="G5292" s="14">
        <v>155.0</v>
      </c>
      <c r="H5292" s="14">
        <v>0.0</v>
      </c>
      <c r="I5292" s="14" t="s">
        <v>6062</v>
      </c>
      <c r="J5292" s="14" t="s">
        <v>6012</v>
      </c>
      <c r="K5292" s="14" t="s">
        <v>6012</v>
      </c>
      <c r="L5292" s="14">
        <v>0.0</v>
      </c>
    </row>
    <row r="5293">
      <c r="A5293" s="14">
        <v>44.0</v>
      </c>
      <c r="B5293" s="14">
        <v>1.0</v>
      </c>
      <c r="C5293" s="34">
        <v>12.44</v>
      </c>
      <c r="D5293" s="36">
        <v>45250.0</v>
      </c>
      <c r="E5293" s="24"/>
      <c r="F5293" s="14">
        <v>12.44</v>
      </c>
      <c r="G5293" s="14">
        <v>282.73</v>
      </c>
      <c r="H5293" s="14">
        <v>2.27</v>
      </c>
      <c r="I5293" s="14" t="s">
        <v>6061</v>
      </c>
      <c r="J5293" s="14">
        <v>100.0</v>
      </c>
      <c r="K5293" s="14">
        <v>12.44</v>
      </c>
      <c r="L5293" s="14">
        <v>0.0</v>
      </c>
    </row>
    <row r="5294">
      <c r="A5294" s="14">
        <v>347.0</v>
      </c>
      <c r="B5294" s="14">
        <v>1.0</v>
      </c>
      <c r="C5294" s="34">
        <v>15.05</v>
      </c>
      <c r="D5294" s="36">
        <v>45250.0</v>
      </c>
      <c r="E5294" s="24"/>
      <c r="F5294" s="14">
        <v>15.05</v>
      </c>
      <c r="G5294" s="14">
        <v>43.37</v>
      </c>
      <c r="H5294" s="14">
        <v>0.29</v>
      </c>
      <c r="I5294" s="14" t="s">
        <v>6060</v>
      </c>
      <c r="J5294" s="14">
        <v>0.0</v>
      </c>
      <c r="K5294" s="14" t="s">
        <v>6012</v>
      </c>
      <c r="L5294" s="14">
        <v>0.0</v>
      </c>
    </row>
    <row r="5295">
      <c r="A5295" s="14">
        <v>646.0</v>
      </c>
      <c r="B5295" s="14">
        <v>3.0</v>
      </c>
      <c r="C5295" s="34">
        <v>11.93</v>
      </c>
      <c r="D5295" s="36">
        <v>45250.0</v>
      </c>
      <c r="E5295" s="24"/>
      <c r="F5295" s="14">
        <v>3.98</v>
      </c>
      <c r="G5295" s="14">
        <v>18.47</v>
      </c>
      <c r="H5295" s="14">
        <v>0.46</v>
      </c>
      <c r="I5295" s="14" t="s">
        <v>6050</v>
      </c>
      <c r="J5295" s="14">
        <v>0.0</v>
      </c>
      <c r="K5295" s="14" t="s">
        <v>6012</v>
      </c>
      <c r="L5295" s="14">
        <v>0.0</v>
      </c>
    </row>
    <row r="5296">
      <c r="A5296" s="14">
        <v>46.0</v>
      </c>
      <c r="B5296" s="14">
        <v>0.0</v>
      </c>
      <c r="C5296" s="34">
        <v>14.53</v>
      </c>
      <c r="D5296" s="36">
        <v>45250.0</v>
      </c>
      <c r="E5296" s="24"/>
      <c r="F5296" s="14" t="s">
        <v>6012</v>
      </c>
      <c r="G5296" s="14">
        <v>315.87</v>
      </c>
      <c r="H5296" s="14">
        <v>0.0</v>
      </c>
      <c r="I5296" s="14" t="s">
        <v>6062</v>
      </c>
      <c r="J5296" s="14" t="s">
        <v>6012</v>
      </c>
      <c r="K5296" s="14" t="s">
        <v>6012</v>
      </c>
      <c r="L5296" s="14">
        <v>0.0</v>
      </c>
    </row>
    <row r="5297">
      <c r="A5297" s="14">
        <v>34.0</v>
      </c>
      <c r="B5297" s="14">
        <v>0.0</v>
      </c>
      <c r="C5297" s="34">
        <v>12.44</v>
      </c>
      <c r="D5297" s="36">
        <v>45250.0</v>
      </c>
      <c r="E5297" s="24"/>
      <c r="F5297" s="14" t="s">
        <v>6012</v>
      </c>
      <c r="G5297" s="14">
        <v>365.88</v>
      </c>
      <c r="H5297" s="14">
        <v>0.0</v>
      </c>
      <c r="I5297" s="14" t="s">
        <v>6059</v>
      </c>
      <c r="J5297" s="14" t="s">
        <v>6012</v>
      </c>
      <c r="K5297" s="14" t="s">
        <v>6012</v>
      </c>
      <c r="L5297" s="14">
        <v>0.0</v>
      </c>
    </row>
    <row r="5298">
      <c r="A5298" s="14">
        <v>26.0</v>
      </c>
      <c r="B5298" s="14">
        <v>1.0</v>
      </c>
      <c r="C5298" s="34">
        <v>13.74</v>
      </c>
      <c r="D5298" s="36">
        <v>45250.0</v>
      </c>
      <c r="E5298" s="24"/>
      <c r="F5298" s="14">
        <v>13.74</v>
      </c>
      <c r="G5298" s="14">
        <v>528.46</v>
      </c>
      <c r="H5298" s="14">
        <v>3.85</v>
      </c>
      <c r="I5298" s="14" t="s">
        <v>6057</v>
      </c>
      <c r="J5298" s="14">
        <v>0.0</v>
      </c>
      <c r="K5298" s="14" t="s">
        <v>6012</v>
      </c>
      <c r="L5298" s="14">
        <v>0.0</v>
      </c>
    </row>
    <row r="5299">
      <c r="A5299" s="14">
        <v>60.0</v>
      </c>
      <c r="B5299" s="14">
        <v>0.0</v>
      </c>
      <c r="C5299" s="34">
        <v>14.53</v>
      </c>
      <c r="D5299" s="36">
        <v>45250.0</v>
      </c>
      <c r="E5299" s="24"/>
      <c r="F5299" s="14" t="s">
        <v>6012</v>
      </c>
      <c r="G5299" s="14">
        <v>242.17</v>
      </c>
      <c r="H5299" s="14">
        <v>0.0</v>
      </c>
      <c r="I5299" s="14" t="s">
        <v>6042</v>
      </c>
      <c r="J5299" s="14" t="s">
        <v>6012</v>
      </c>
      <c r="K5299" s="14" t="s">
        <v>6012</v>
      </c>
      <c r="L5299" s="14">
        <v>0.0</v>
      </c>
    </row>
    <row r="5300">
      <c r="A5300" s="14">
        <v>55.0</v>
      </c>
      <c r="B5300" s="14">
        <v>1.0</v>
      </c>
      <c r="C5300" s="34">
        <v>12.01</v>
      </c>
      <c r="D5300" s="36">
        <v>45250.0</v>
      </c>
      <c r="E5300" s="24"/>
      <c r="F5300" s="14">
        <v>12.01</v>
      </c>
      <c r="G5300" s="14">
        <v>218.36</v>
      </c>
      <c r="H5300" s="14">
        <v>1.82</v>
      </c>
      <c r="I5300" s="14" t="s">
        <v>6063</v>
      </c>
      <c r="J5300" s="14">
        <v>0.0</v>
      </c>
      <c r="K5300" s="14" t="s">
        <v>6012</v>
      </c>
      <c r="L5300" s="14">
        <v>0.0</v>
      </c>
    </row>
    <row r="5301">
      <c r="A5301" s="14">
        <v>12.0</v>
      </c>
      <c r="B5301" s="14">
        <v>9.0</v>
      </c>
      <c r="C5301" s="34">
        <v>9.75</v>
      </c>
      <c r="D5301" s="36">
        <v>45250.0</v>
      </c>
      <c r="E5301" s="24"/>
      <c r="F5301" s="14">
        <v>1.08</v>
      </c>
      <c r="G5301" s="14">
        <v>812.5</v>
      </c>
      <c r="H5301" s="14">
        <v>75.0</v>
      </c>
      <c r="I5301" s="14" t="s">
        <v>6064</v>
      </c>
      <c r="J5301" s="14">
        <v>0.0</v>
      </c>
      <c r="K5301" s="14" t="s">
        <v>6012</v>
      </c>
      <c r="L5301" s="14">
        <v>0.0</v>
      </c>
    </row>
    <row r="5302">
      <c r="A5302" s="14">
        <v>61.0</v>
      </c>
      <c r="B5302" s="14">
        <v>1.0</v>
      </c>
      <c r="C5302" s="34">
        <v>12.84</v>
      </c>
      <c r="D5302" s="36">
        <v>45250.0</v>
      </c>
      <c r="E5302" s="24"/>
      <c r="F5302" s="14">
        <v>12.84</v>
      </c>
      <c r="G5302" s="14">
        <v>210.49</v>
      </c>
      <c r="H5302" s="14">
        <v>1.64</v>
      </c>
      <c r="I5302" s="14" t="s">
        <v>6058</v>
      </c>
      <c r="J5302" s="14">
        <v>0.0</v>
      </c>
      <c r="K5302" s="14" t="s">
        <v>6012</v>
      </c>
      <c r="L5302" s="14">
        <v>0.0</v>
      </c>
    </row>
    <row r="5303">
      <c r="A5303" s="14">
        <v>563.0</v>
      </c>
      <c r="B5303" s="14">
        <v>4.0</v>
      </c>
      <c r="C5303" s="34">
        <v>11.19</v>
      </c>
      <c r="D5303" s="36">
        <v>45250.0</v>
      </c>
      <c r="E5303" s="24"/>
      <c r="F5303" s="14">
        <v>2.8</v>
      </c>
      <c r="G5303" s="14">
        <v>19.88</v>
      </c>
      <c r="H5303" s="14">
        <v>0.71</v>
      </c>
      <c r="I5303" s="14" t="s">
        <v>6051</v>
      </c>
      <c r="J5303" s="14">
        <v>0.0</v>
      </c>
      <c r="K5303" s="14" t="s">
        <v>6012</v>
      </c>
      <c r="L5303" s="14">
        <v>0.0</v>
      </c>
    </row>
    <row r="5304">
      <c r="A5304" s="14">
        <v>60.0</v>
      </c>
      <c r="B5304" s="14">
        <v>0.0</v>
      </c>
      <c r="C5304" s="34">
        <v>14.74</v>
      </c>
      <c r="D5304" s="36">
        <v>45251.0</v>
      </c>
      <c r="E5304" s="24"/>
      <c r="F5304" s="14" t="s">
        <v>6012</v>
      </c>
      <c r="G5304" s="14">
        <v>245.67</v>
      </c>
      <c r="H5304" s="14">
        <v>0.0</v>
      </c>
      <c r="I5304" s="14" t="s">
        <v>6061</v>
      </c>
      <c r="J5304" s="14" t="s">
        <v>6012</v>
      </c>
      <c r="K5304" s="14" t="s">
        <v>6012</v>
      </c>
      <c r="L5304" s="14">
        <v>0.0</v>
      </c>
    </row>
    <row r="5305">
      <c r="A5305" s="14">
        <v>683.0</v>
      </c>
      <c r="B5305" s="14">
        <v>5.0</v>
      </c>
      <c r="C5305" s="34">
        <v>11.85</v>
      </c>
      <c r="D5305" s="36">
        <v>45251.0</v>
      </c>
      <c r="E5305" s="24"/>
      <c r="F5305" s="14">
        <v>2.37</v>
      </c>
      <c r="G5305" s="14">
        <v>17.35</v>
      </c>
      <c r="H5305" s="14">
        <v>0.73</v>
      </c>
      <c r="I5305" s="14" t="s">
        <v>6051</v>
      </c>
      <c r="J5305" s="14">
        <v>0.0</v>
      </c>
      <c r="K5305" s="14" t="s">
        <v>6012</v>
      </c>
      <c r="L5305" s="14">
        <v>0.0</v>
      </c>
    </row>
    <row r="5306">
      <c r="A5306" s="14">
        <v>117.0</v>
      </c>
      <c r="B5306" s="14">
        <v>1.0</v>
      </c>
      <c r="C5306" s="34">
        <v>15.87</v>
      </c>
      <c r="D5306" s="36">
        <v>45251.0</v>
      </c>
      <c r="E5306" s="24"/>
      <c r="F5306" s="14">
        <v>15.87</v>
      </c>
      <c r="G5306" s="14">
        <v>135.64</v>
      </c>
      <c r="H5306" s="14">
        <v>0.85</v>
      </c>
      <c r="I5306" s="14" t="s">
        <v>6060</v>
      </c>
      <c r="J5306" s="14">
        <v>0.0</v>
      </c>
      <c r="K5306" s="14" t="s">
        <v>6012</v>
      </c>
      <c r="L5306" s="14">
        <v>0.0</v>
      </c>
    </row>
    <row r="5307">
      <c r="A5307" s="14">
        <v>13.0</v>
      </c>
      <c r="B5307" s="14">
        <v>6.0</v>
      </c>
      <c r="C5307" s="34">
        <v>9.75</v>
      </c>
      <c r="D5307" s="36">
        <v>45251.0</v>
      </c>
      <c r="E5307" s="24"/>
      <c r="F5307" s="14">
        <v>1.62</v>
      </c>
      <c r="G5307" s="14">
        <v>750.0</v>
      </c>
      <c r="H5307" s="14">
        <v>46.15</v>
      </c>
      <c r="I5307" s="14" t="s">
        <v>6064</v>
      </c>
      <c r="J5307" s="14">
        <v>0.0</v>
      </c>
      <c r="K5307" s="14" t="s">
        <v>6012</v>
      </c>
      <c r="L5307" s="14">
        <v>0.0</v>
      </c>
    </row>
    <row r="5308">
      <c r="A5308" s="14">
        <v>30.0</v>
      </c>
      <c r="B5308" s="14">
        <v>0.0</v>
      </c>
      <c r="C5308" s="34">
        <v>13.03</v>
      </c>
      <c r="D5308" s="36">
        <v>45251.0</v>
      </c>
      <c r="E5308" s="24"/>
      <c r="F5308" s="14" t="s">
        <v>6012</v>
      </c>
      <c r="G5308" s="14">
        <v>434.33</v>
      </c>
      <c r="H5308" s="14">
        <v>0.0</v>
      </c>
      <c r="I5308" s="14" t="s">
        <v>6058</v>
      </c>
      <c r="J5308" s="14" t="s">
        <v>6012</v>
      </c>
      <c r="K5308" s="14" t="s">
        <v>6012</v>
      </c>
      <c r="L5308" s="14">
        <v>0.0</v>
      </c>
    </row>
    <row r="5309">
      <c r="A5309" s="14">
        <v>19.0</v>
      </c>
      <c r="B5309" s="14">
        <v>0.0</v>
      </c>
      <c r="C5309" s="34">
        <v>15.0</v>
      </c>
      <c r="D5309" s="36">
        <v>45251.0</v>
      </c>
      <c r="E5309" s="24"/>
      <c r="F5309" s="14" t="s">
        <v>6012</v>
      </c>
      <c r="G5309" s="14">
        <v>789.47</v>
      </c>
      <c r="H5309" s="14">
        <v>0.0</v>
      </c>
      <c r="I5309" s="14" t="s">
        <v>6059</v>
      </c>
      <c r="J5309" s="14" t="s">
        <v>6012</v>
      </c>
      <c r="K5309" s="14" t="s">
        <v>6012</v>
      </c>
      <c r="L5309" s="14">
        <v>0.0</v>
      </c>
    </row>
    <row r="5310">
      <c r="A5310" s="14">
        <v>65.0</v>
      </c>
      <c r="B5310" s="14">
        <v>0.0</v>
      </c>
      <c r="C5310" s="34">
        <v>14.92</v>
      </c>
      <c r="D5310" s="36">
        <v>45251.0</v>
      </c>
      <c r="E5310" s="24"/>
      <c r="F5310" s="14" t="s">
        <v>6012</v>
      </c>
      <c r="G5310" s="14">
        <v>229.54</v>
      </c>
      <c r="H5310" s="14">
        <v>0.0</v>
      </c>
      <c r="I5310" s="14" t="s">
        <v>6063</v>
      </c>
      <c r="J5310" s="14" t="s">
        <v>6012</v>
      </c>
      <c r="K5310" s="14">
        <v>14.92</v>
      </c>
      <c r="L5310" s="14">
        <v>0.0</v>
      </c>
    </row>
    <row r="5311">
      <c r="A5311" s="14">
        <v>20.0</v>
      </c>
      <c r="B5311" s="14">
        <v>0.0</v>
      </c>
      <c r="C5311" s="34">
        <v>13.12</v>
      </c>
      <c r="D5311" s="36">
        <v>45251.0</v>
      </c>
      <c r="E5311" s="24"/>
      <c r="F5311" s="14" t="s">
        <v>6012</v>
      </c>
      <c r="G5311" s="14">
        <v>656.0</v>
      </c>
      <c r="H5311" s="14">
        <v>0.0</v>
      </c>
      <c r="I5311" s="14" t="s">
        <v>6057</v>
      </c>
      <c r="J5311" s="14" t="s">
        <v>6012</v>
      </c>
      <c r="K5311" s="14" t="s">
        <v>6012</v>
      </c>
      <c r="L5311" s="14">
        <v>0.0</v>
      </c>
    </row>
    <row r="5312">
      <c r="A5312" s="14">
        <v>70.0</v>
      </c>
      <c r="B5312" s="14">
        <v>1.0</v>
      </c>
      <c r="C5312" s="34">
        <v>12.7</v>
      </c>
      <c r="D5312" s="36">
        <v>45251.0</v>
      </c>
      <c r="E5312" s="24"/>
      <c r="F5312" s="14">
        <v>12.7</v>
      </c>
      <c r="G5312" s="14">
        <v>181.43</v>
      </c>
      <c r="H5312" s="14">
        <v>1.43</v>
      </c>
      <c r="I5312" s="14" t="s">
        <v>6062</v>
      </c>
      <c r="J5312" s="14">
        <v>0.0</v>
      </c>
      <c r="K5312" s="14" t="s">
        <v>6012</v>
      </c>
      <c r="L5312" s="14">
        <v>0.0</v>
      </c>
    </row>
    <row r="5313">
      <c r="A5313" s="14">
        <v>23.0</v>
      </c>
      <c r="B5313" s="14">
        <v>0.0</v>
      </c>
      <c r="C5313" s="34">
        <v>7.4</v>
      </c>
      <c r="D5313" s="36">
        <v>45251.0</v>
      </c>
      <c r="E5313" s="24"/>
      <c r="F5313" s="14" t="s">
        <v>6012</v>
      </c>
      <c r="G5313" s="14">
        <v>321.74</v>
      </c>
      <c r="H5313" s="14">
        <v>0.0</v>
      </c>
      <c r="I5313" s="14" t="s">
        <v>6042</v>
      </c>
      <c r="J5313" s="14" t="s">
        <v>6012</v>
      </c>
      <c r="K5313" s="14" t="s">
        <v>6012</v>
      </c>
      <c r="L5313" s="14">
        <v>0.0</v>
      </c>
    </row>
    <row r="5314">
      <c r="A5314" s="14">
        <v>770.0</v>
      </c>
      <c r="B5314" s="14">
        <v>2.0</v>
      </c>
      <c r="C5314" s="34">
        <v>12.13</v>
      </c>
      <c r="D5314" s="36">
        <v>45251.0</v>
      </c>
      <c r="E5314" s="24"/>
      <c r="F5314" s="14">
        <v>6.06</v>
      </c>
      <c r="G5314" s="14">
        <v>15.75</v>
      </c>
      <c r="H5314" s="14">
        <v>0.26</v>
      </c>
      <c r="I5314" s="14" t="s">
        <v>6050</v>
      </c>
      <c r="J5314" s="14">
        <v>0.0</v>
      </c>
      <c r="K5314" s="14" t="s">
        <v>6012</v>
      </c>
      <c r="L5314" s="14">
        <v>0.0</v>
      </c>
    </row>
    <row r="5315">
      <c r="A5315" s="14">
        <v>33.0</v>
      </c>
      <c r="B5315" s="14">
        <v>0.0</v>
      </c>
      <c r="C5315" s="34">
        <v>11.73</v>
      </c>
      <c r="D5315" s="36">
        <v>45252.0</v>
      </c>
      <c r="E5315" s="24"/>
      <c r="F5315" s="14" t="s">
        <v>6012</v>
      </c>
      <c r="G5315" s="14">
        <v>355.45</v>
      </c>
      <c r="H5315" s="14">
        <v>0.0</v>
      </c>
      <c r="I5315" s="14" t="s">
        <v>6057</v>
      </c>
      <c r="J5315" s="14" t="s">
        <v>6012</v>
      </c>
      <c r="K5315" s="14" t="s">
        <v>6012</v>
      </c>
      <c r="L5315" s="14">
        <v>0.0</v>
      </c>
    </row>
    <row r="5316">
      <c r="A5316" s="14">
        <v>64.0</v>
      </c>
      <c r="B5316" s="14">
        <v>0.0</v>
      </c>
      <c r="C5316" s="34">
        <v>14.22</v>
      </c>
      <c r="D5316" s="36">
        <v>45252.0</v>
      </c>
      <c r="E5316" s="24"/>
      <c r="F5316" s="14" t="s">
        <v>6012</v>
      </c>
      <c r="G5316" s="14">
        <v>222.19</v>
      </c>
      <c r="H5316" s="14">
        <v>0.0</v>
      </c>
      <c r="I5316" s="14" t="s">
        <v>6063</v>
      </c>
      <c r="J5316" s="14" t="s">
        <v>6012</v>
      </c>
      <c r="K5316" s="14" t="s">
        <v>6012</v>
      </c>
      <c r="L5316" s="14">
        <v>0.0</v>
      </c>
    </row>
    <row r="5317">
      <c r="A5317" s="14">
        <v>25.0</v>
      </c>
      <c r="B5317" s="14">
        <v>1.0</v>
      </c>
      <c r="C5317" s="34">
        <v>15.0</v>
      </c>
      <c r="D5317" s="36">
        <v>45252.0</v>
      </c>
      <c r="E5317" s="24"/>
      <c r="F5317" s="14">
        <v>15.0</v>
      </c>
      <c r="G5317" s="14">
        <v>600.0</v>
      </c>
      <c r="H5317" s="14">
        <v>4.0</v>
      </c>
      <c r="I5317" s="14" t="s">
        <v>6058</v>
      </c>
      <c r="J5317" s="14">
        <v>0.0</v>
      </c>
      <c r="K5317" s="14" t="s">
        <v>6012</v>
      </c>
      <c r="L5317" s="14">
        <v>0.0</v>
      </c>
    </row>
    <row r="5318">
      <c r="A5318" s="14">
        <v>981.0</v>
      </c>
      <c r="B5318" s="14">
        <v>4.0</v>
      </c>
      <c r="C5318" s="34">
        <v>12.62</v>
      </c>
      <c r="D5318" s="36">
        <v>45252.0</v>
      </c>
      <c r="E5318" s="24"/>
      <c r="F5318" s="14">
        <v>3.16</v>
      </c>
      <c r="G5318" s="14">
        <v>12.86</v>
      </c>
      <c r="H5318" s="14">
        <v>0.41</v>
      </c>
      <c r="I5318" s="14" t="s">
        <v>6050</v>
      </c>
      <c r="J5318" s="14">
        <v>0.0</v>
      </c>
      <c r="K5318" s="14" t="s">
        <v>6012</v>
      </c>
      <c r="L5318" s="14">
        <v>0.0</v>
      </c>
    </row>
    <row r="5319">
      <c r="A5319" s="14">
        <v>31.0</v>
      </c>
      <c r="B5319" s="14">
        <v>1.0</v>
      </c>
      <c r="C5319" s="34">
        <v>13.9</v>
      </c>
      <c r="D5319" s="36">
        <v>45252.0</v>
      </c>
      <c r="E5319" s="24"/>
      <c r="F5319" s="14">
        <v>13.9</v>
      </c>
      <c r="G5319" s="14">
        <v>448.39</v>
      </c>
      <c r="H5319" s="14">
        <v>3.23</v>
      </c>
      <c r="I5319" s="14" t="s">
        <v>6059</v>
      </c>
      <c r="J5319" s="14">
        <v>0.0</v>
      </c>
      <c r="K5319" s="14" t="s">
        <v>6012</v>
      </c>
      <c r="L5319" s="14">
        <v>0.0</v>
      </c>
    </row>
    <row r="5320">
      <c r="A5320" s="14">
        <v>81.0</v>
      </c>
      <c r="B5320" s="14">
        <v>1.0</v>
      </c>
      <c r="C5320" s="34">
        <v>15.76</v>
      </c>
      <c r="D5320" s="36">
        <v>45252.0</v>
      </c>
      <c r="E5320" s="24"/>
      <c r="F5320" s="14">
        <v>15.76</v>
      </c>
      <c r="G5320" s="14">
        <v>194.57</v>
      </c>
      <c r="H5320" s="14">
        <v>1.23</v>
      </c>
      <c r="I5320" s="14" t="s">
        <v>6060</v>
      </c>
      <c r="J5320" s="14">
        <v>0.0</v>
      </c>
      <c r="K5320" s="14" t="s">
        <v>6012</v>
      </c>
      <c r="L5320" s="14">
        <v>0.0</v>
      </c>
    </row>
    <row r="5321">
      <c r="A5321" s="14">
        <v>6.0</v>
      </c>
      <c r="B5321" s="14">
        <v>2.0</v>
      </c>
      <c r="C5321" s="34">
        <v>4.78</v>
      </c>
      <c r="D5321" s="36">
        <v>45252.0</v>
      </c>
      <c r="E5321" s="24"/>
      <c r="F5321" s="14">
        <v>2.39</v>
      </c>
      <c r="G5321" s="14">
        <v>796.67</v>
      </c>
      <c r="H5321" s="14">
        <v>33.33</v>
      </c>
      <c r="I5321" s="14" t="s">
        <v>6064</v>
      </c>
      <c r="J5321" s="14">
        <v>0.0</v>
      </c>
      <c r="K5321" s="14" t="s">
        <v>6012</v>
      </c>
      <c r="L5321" s="14">
        <v>0.0</v>
      </c>
    </row>
    <row r="5322">
      <c r="A5322" s="14">
        <v>795.0</v>
      </c>
      <c r="B5322" s="14">
        <v>6.0</v>
      </c>
      <c r="C5322" s="34">
        <v>12.23</v>
      </c>
      <c r="D5322" s="36">
        <v>45252.0</v>
      </c>
      <c r="E5322" s="24"/>
      <c r="F5322" s="14">
        <v>2.04</v>
      </c>
      <c r="G5322" s="14">
        <v>15.38</v>
      </c>
      <c r="H5322" s="14">
        <v>0.75</v>
      </c>
      <c r="I5322" s="14" t="s">
        <v>6051</v>
      </c>
      <c r="J5322" s="14">
        <v>0.0</v>
      </c>
      <c r="K5322" s="14" t="s">
        <v>6012</v>
      </c>
      <c r="L5322" s="14">
        <v>0.0</v>
      </c>
    </row>
    <row r="5323">
      <c r="A5323" s="14">
        <v>112.0</v>
      </c>
      <c r="B5323" s="14">
        <v>0.0</v>
      </c>
      <c r="C5323" s="34">
        <v>12.9</v>
      </c>
      <c r="D5323" s="36">
        <v>45252.0</v>
      </c>
      <c r="E5323" s="24"/>
      <c r="F5323" s="14" t="s">
        <v>6012</v>
      </c>
      <c r="G5323" s="14">
        <v>115.18</v>
      </c>
      <c r="H5323" s="14">
        <v>0.0</v>
      </c>
      <c r="I5323" s="14" t="s">
        <v>6062</v>
      </c>
      <c r="J5323" s="14" t="s">
        <v>6012</v>
      </c>
      <c r="K5323" s="14" t="s">
        <v>6012</v>
      </c>
      <c r="L5323" s="14">
        <v>0.0</v>
      </c>
    </row>
    <row r="5324">
      <c r="A5324" s="14">
        <v>65.0</v>
      </c>
      <c r="B5324" s="14">
        <v>1.0</v>
      </c>
      <c r="C5324" s="34">
        <v>13.98</v>
      </c>
      <c r="D5324" s="36">
        <v>45252.0</v>
      </c>
      <c r="E5324" s="24"/>
      <c r="F5324" s="14">
        <v>13.98</v>
      </c>
      <c r="G5324" s="14">
        <v>215.08</v>
      </c>
      <c r="H5324" s="14">
        <v>1.54</v>
      </c>
      <c r="I5324" s="14" t="s">
        <v>6061</v>
      </c>
      <c r="J5324" s="14">
        <v>0.0</v>
      </c>
      <c r="K5324" s="14" t="s">
        <v>6012</v>
      </c>
      <c r="L5324" s="14">
        <v>0.0</v>
      </c>
    </row>
    <row r="5325">
      <c r="A5325" s="14">
        <v>2.0</v>
      </c>
      <c r="B5325" s="14">
        <v>0.0</v>
      </c>
      <c r="C5325" s="34">
        <v>1.88</v>
      </c>
      <c r="D5325" s="36">
        <v>45253.0</v>
      </c>
      <c r="E5325" s="24"/>
      <c r="F5325" s="14" t="s">
        <v>6012</v>
      </c>
      <c r="G5325" s="14">
        <v>940.0</v>
      </c>
      <c r="H5325" s="14">
        <v>0.0</v>
      </c>
      <c r="I5325" s="14" t="s">
        <v>6064</v>
      </c>
      <c r="J5325" s="14" t="s">
        <v>6012</v>
      </c>
      <c r="K5325" s="14" t="s">
        <v>6012</v>
      </c>
      <c r="L5325" s="14">
        <v>0.0</v>
      </c>
    </row>
    <row r="5326">
      <c r="A5326" s="14">
        <v>98.0</v>
      </c>
      <c r="B5326" s="14">
        <v>1.0</v>
      </c>
      <c r="C5326" s="34">
        <v>10.55</v>
      </c>
      <c r="D5326" s="36">
        <v>45253.0</v>
      </c>
      <c r="E5326" s="24"/>
      <c r="F5326" s="14">
        <v>10.55</v>
      </c>
      <c r="G5326" s="14">
        <v>107.65</v>
      </c>
      <c r="H5326" s="14">
        <v>1.02</v>
      </c>
      <c r="I5326" s="14" t="s">
        <v>6058</v>
      </c>
      <c r="J5326" s="14">
        <v>0.0</v>
      </c>
      <c r="K5326" s="14" t="s">
        <v>6012</v>
      </c>
      <c r="L5326" s="14">
        <v>0.0</v>
      </c>
    </row>
    <row r="5327">
      <c r="A5327" s="14">
        <v>21.0</v>
      </c>
      <c r="B5327" s="14">
        <v>1.0</v>
      </c>
      <c r="C5327" s="34">
        <v>13.24</v>
      </c>
      <c r="D5327" s="36">
        <v>45253.0</v>
      </c>
      <c r="E5327" s="24"/>
      <c r="F5327" s="14">
        <v>13.24</v>
      </c>
      <c r="G5327" s="14">
        <v>630.48</v>
      </c>
      <c r="H5327" s="14">
        <v>4.76</v>
      </c>
      <c r="I5327" s="14" t="s">
        <v>6057</v>
      </c>
      <c r="J5327" s="14">
        <v>0.0</v>
      </c>
      <c r="K5327" s="14" t="s">
        <v>6012</v>
      </c>
      <c r="L5327" s="14">
        <v>0.0</v>
      </c>
    </row>
    <row r="5328">
      <c r="A5328" s="14">
        <v>127.0</v>
      </c>
      <c r="B5328" s="14">
        <v>1.0</v>
      </c>
      <c r="C5328" s="34">
        <v>12.87</v>
      </c>
      <c r="D5328" s="36">
        <v>45253.0</v>
      </c>
      <c r="E5328" s="24"/>
      <c r="F5328" s="14">
        <v>12.87</v>
      </c>
      <c r="G5328" s="14">
        <v>101.34</v>
      </c>
      <c r="H5328" s="14">
        <v>0.79</v>
      </c>
      <c r="I5328" s="14" t="s">
        <v>6060</v>
      </c>
      <c r="J5328" s="14">
        <v>100.0</v>
      </c>
      <c r="K5328" s="14">
        <v>12.87</v>
      </c>
      <c r="L5328" s="14">
        <v>0.0</v>
      </c>
    </row>
    <row r="5329">
      <c r="A5329" s="14">
        <v>694.0</v>
      </c>
      <c r="B5329" s="14">
        <v>8.0</v>
      </c>
      <c r="C5329" s="34">
        <v>11.77</v>
      </c>
      <c r="D5329" s="36">
        <v>45253.0</v>
      </c>
      <c r="E5329" s="24"/>
      <c r="F5329" s="14">
        <v>1.47</v>
      </c>
      <c r="G5329" s="14">
        <v>16.96</v>
      </c>
      <c r="H5329" s="14">
        <v>1.15</v>
      </c>
      <c r="I5329" s="14" t="s">
        <v>6051</v>
      </c>
      <c r="J5329" s="14">
        <v>12.5</v>
      </c>
      <c r="K5329" s="14">
        <v>11.77</v>
      </c>
      <c r="L5329" s="14">
        <v>0.0</v>
      </c>
    </row>
    <row r="5330">
      <c r="A5330" s="14">
        <v>50.0</v>
      </c>
      <c r="B5330" s="14">
        <v>1.0</v>
      </c>
      <c r="C5330" s="34">
        <v>15.0</v>
      </c>
      <c r="D5330" s="36">
        <v>45253.0</v>
      </c>
      <c r="E5330" s="24"/>
      <c r="F5330" s="14">
        <v>15.0</v>
      </c>
      <c r="G5330" s="14">
        <v>300.0</v>
      </c>
      <c r="H5330" s="14">
        <v>2.0</v>
      </c>
      <c r="I5330" s="14" t="s">
        <v>6063</v>
      </c>
      <c r="J5330" s="14">
        <v>0.0</v>
      </c>
      <c r="K5330" s="14" t="s">
        <v>6012</v>
      </c>
      <c r="L5330" s="14">
        <v>0.0</v>
      </c>
    </row>
    <row r="5331">
      <c r="A5331" s="14">
        <v>85.0</v>
      </c>
      <c r="B5331" s="14">
        <v>0.0</v>
      </c>
      <c r="C5331" s="34">
        <v>9.93</v>
      </c>
      <c r="D5331" s="36">
        <v>45253.0</v>
      </c>
      <c r="E5331" s="24"/>
      <c r="F5331" s="14" t="s">
        <v>6012</v>
      </c>
      <c r="G5331" s="14">
        <v>116.82</v>
      </c>
      <c r="H5331" s="14">
        <v>0.0</v>
      </c>
      <c r="I5331" s="14" t="s">
        <v>6062</v>
      </c>
      <c r="J5331" s="14" t="s">
        <v>6012</v>
      </c>
      <c r="K5331" s="14" t="s">
        <v>6012</v>
      </c>
      <c r="L5331" s="14">
        <v>0.0</v>
      </c>
    </row>
    <row r="5332">
      <c r="A5332" s="14">
        <v>44.0</v>
      </c>
      <c r="B5332" s="14">
        <v>1.0</v>
      </c>
      <c r="C5332" s="34">
        <v>11.83</v>
      </c>
      <c r="D5332" s="36">
        <v>45253.0</v>
      </c>
      <c r="E5332" s="24"/>
      <c r="F5332" s="14">
        <v>11.83</v>
      </c>
      <c r="G5332" s="14">
        <v>268.86</v>
      </c>
      <c r="H5332" s="14">
        <v>2.27</v>
      </c>
      <c r="I5332" s="14" t="s">
        <v>6061</v>
      </c>
      <c r="J5332" s="14">
        <v>0.0</v>
      </c>
      <c r="K5332" s="14" t="s">
        <v>6012</v>
      </c>
      <c r="L5332" s="14">
        <v>0.0</v>
      </c>
    </row>
    <row r="5333">
      <c r="A5333" s="14">
        <v>24.0</v>
      </c>
      <c r="B5333" s="14">
        <v>0.0</v>
      </c>
      <c r="C5333" s="34">
        <v>14.23</v>
      </c>
      <c r="D5333" s="36">
        <v>45253.0</v>
      </c>
      <c r="E5333" s="24"/>
      <c r="F5333" s="14" t="s">
        <v>6012</v>
      </c>
      <c r="G5333" s="14">
        <v>592.92</v>
      </c>
      <c r="H5333" s="14">
        <v>0.0</v>
      </c>
      <c r="I5333" s="14" t="s">
        <v>6059</v>
      </c>
      <c r="J5333" s="14" t="s">
        <v>6012</v>
      </c>
      <c r="K5333" s="14" t="s">
        <v>6012</v>
      </c>
      <c r="L5333" s="14">
        <v>0.0</v>
      </c>
    </row>
    <row r="5334">
      <c r="A5334" s="14">
        <v>782.0</v>
      </c>
      <c r="B5334" s="14">
        <v>2.0</v>
      </c>
      <c r="C5334" s="34">
        <v>11.14</v>
      </c>
      <c r="D5334" s="36">
        <v>45253.0</v>
      </c>
      <c r="E5334" s="24"/>
      <c r="F5334" s="14">
        <v>5.57</v>
      </c>
      <c r="G5334" s="14">
        <v>14.25</v>
      </c>
      <c r="H5334" s="14">
        <v>0.26</v>
      </c>
      <c r="I5334" s="14" t="s">
        <v>6050</v>
      </c>
      <c r="J5334" s="14">
        <v>0.0</v>
      </c>
      <c r="K5334" s="14" t="s">
        <v>6012</v>
      </c>
      <c r="L5334" s="14">
        <v>0.0</v>
      </c>
    </row>
    <row r="5335">
      <c r="A5335" s="14">
        <v>636.0</v>
      </c>
      <c r="B5335" s="14">
        <v>5.0</v>
      </c>
      <c r="C5335" s="34">
        <v>10.74</v>
      </c>
      <c r="D5335" s="36">
        <v>45254.0</v>
      </c>
      <c r="E5335" s="24"/>
      <c r="F5335" s="14">
        <v>2.15</v>
      </c>
      <c r="G5335" s="14">
        <v>16.89</v>
      </c>
      <c r="H5335" s="14">
        <v>0.79</v>
      </c>
      <c r="I5335" s="14" t="s">
        <v>6051</v>
      </c>
      <c r="J5335" s="14">
        <v>20.0</v>
      </c>
      <c r="K5335" s="14">
        <v>10.74</v>
      </c>
      <c r="L5335" s="14">
        <v>0.0</v>
      </c>
    </row>
    <row r="5336">
      <c r="A5336" s="14">
        <v>3.0</v>
      </c>
      <c r="B5336" s="14">
        <v>1.0</v>
      </c>
      <c r="C5336" s="34">
        <v>2.3</v>
      </c>
      <c r="D5336" s="36">
        <v>45254.0</v>
      </c>
      <c r="E5336" s="24"/>
      <c r="F5336" s="14">
        <v>2.3</v>
      </c>
      <c r="G5336" s="14">
        <v>766.67</v>
      </c>
      <c r="H5336" s="14">
        <v>33.33</v>
      </c>
      <c r="I5336" s="14" t="s">
        <v>6064</v>
      </c>
      <c r="J5336" s="14">
        <v>0.0</v>
      </c>
      <c r="K5336" s="14" t="s">
        <v>6012</v>
      </c>
      <c r="L5336" s="14">
        <v>0.0</v>
      </c>
    </row>
    <row r="5337">
      <c r="A5337" s="14">
        <v>30.0</v>
      </c>
      <c r="B5337" s="14">
        <v>0.0</v>
      </c>
      <c r="C5337" s="34">
        <v>9.56</v>
      </c>
      <c r="D5337" s="36">
        <v>45254.0</v>
      </c>
      <c r="E5337" s="24"/>
      <c r="F5337" s="14" t="s">
        <v>6012</v>
      </c>
      <c r="G5337" s="14">
        <v>318.67</v>
      </c>
      <c r="H5337" s="14">
        <v>0.0</v>
      </c>
      <c r="I5337" s="14" t="s">
        <v>6063</v>
      </c>
      <c r="J5337" s="14" t="s">
        <v>6012</v>
      </c>
      <c r="K5337" s="14" t="s">
        <v>6012</v>
      </c>
      <c r="L5337" s="14">
        <v>0.0</v>
      </c>
    </row>
    <row r="5338">
      <c r="A5338" s="14">
        <v>22.0</v>
      </c>
      <c r="B5338" s="14">
        <v>1.0</v>
      </c>
      <c r="C5338" s="34">
        <v>10.57</v>
      </c>
      <c r="D5338" s="36">
        <v>45254.0</v>
      </c>
      <c r="E5338" s="24"/>
      <c r="F5338" s="14">
        <v>10.57</v>
      </c>
      <c r="G5338" s="14">
        <v>480.45</v>
      </c>
      <c r="H5338" s="14">
        <v>4.55</v>
      </c>
      <c r="I5338" s="14" t="s">
        <v>6057</v>
      </c>
      <c r="J5338" s="14">
        <v>0.0</v>
      </c>
      <c r="K5338" s="14" t="s">
        <v>6012</v>
      </c>
      <c r="L5338" s="14">
        <v>0.0</v>
      </c>
    </row>
    <row r="5339">
      <c r="A5339" s="14">
        <v>130.0</v>
      </c>
      <c r="B5339" s="14">
        <v>0.0</v>
      </c>
      <c r="C5339" s="34">
        <v>10.51</v>
      </c>
      <c r="D5339" s="36">
        <v>45254.0</v>
      </c>
      <c r="E5339" s="24"/>
      <c r="F5339" s="14" t="s">
        <v>6012</v>
      </c>
      <c r="G5339" s="14">
        <v>80.85</v>
      </c>
      <c r="H5339" s="14">
        <v>0.0</v>
      </c>
      <c r="I5339" s="14" t="s">
        <v>6060</v>
      </c>
      <c r="J5339" s="14" t="s">
        <v>6012</v>
      </c>
      <c r="K5339" s="14">
        <v>10.51</v>
      </c>
      <c r="L5339" s="14">
        <v>0.0</v>
      </c>
    </row>
    <row r="5340">
      <c r="A5340" s="14">
        <v>33.0</v>
      </c>
      <c r="B5340" s="14">
        <v>0.0</v>
      </c>
      <c r="C5340" s="34">
        <v>10.35</v>
      </c>
      <c r="D5340" s="36">
        <v>45254.0</v>
      </c>
      <c r="E5340" s="24"/>
      <c r="F5340" s="14" t="s">
        <v>6012</v>
      </c>
      <c r="G5340" s="14">
        <v>313.64</v>
      </c>
      <c r="H5340" s="14">
        <v>0.0</v>
      </c>
      <c r="I5340" s="14" t="s">
        <v>6061</v>
      </c>
      <c r="J5340" s="14" t="s">
        <v>6012</v>
      </c>
      <c r="K5340" s="14" t="s">
        <v>6012</v>
      </c>
      <c r="L5340" s="14">
        <v>0.0</v>
      </c>
    </row>
    <row r="5341">
      <c r="A5341" s="14">
        <v>714.0</v>
      </c>
      <c r="B5341" s="14">
        <v>5.0</v>
      </c>
      <c r="C5341" s="34">
        <v>9.6</v>
      </c>
      <c r="D5341" s="36">
        <v>45254.0</v>
      </c>
      <c r="E5341" s="24"/>
      <c r="F5341" s="14">
        <v>1.92</v>
      </c>
      <c r="G5341" s="14">
        <v>13.45</v>
      </c>
      <c r="H5341" s="14">
        <v>0.7</v>
      </c>
      <c r="I5341" s="14" t="s">
        <v>6050</v>
      </c>
      <c r="J5341" s="14">
        <v>0.0</v>
      </c>
      <c r="K5341" s="14" t="s">
        <v>6012</v>
      </c>
      <c r="L5341" s="14">
        <v>0.0</v>
      </c>
    </row>
    <row r="5342">
      <c r="A5342" s="14">
        <v>22.0</v>
      </c>
      <c r="B5342" s="14">
        <v>0.0</v>
      </c>
      <c r="C5342" s="34">
        <v>10.06</v>
      </c>
      <c r="D5342" s="36">
        <v>45254.0</v>
      </c>
      <c r="E5342" s="24"/>
      <c r="F5342" s="14" t="s">
        <v>6012</v>
      </c>
      <c r="G5342" s="14">
        <v>457.27</v>
      </c>
      <c r="H5342" s="14">
        <v>0.0</v>
      </c>
      <c r="I5342" s="14" t="s">
        <v>6058</v>
      </c>
      <c r="J5342" s="14" t="s">
        <v>6012</v>
      </c>
      <c r="K5342" s="14" t="s">
        <v>6012</v>
      </c>
      <c r="L5342" s="14">
        <v>0.0</v>
      </c>
    </row>
    <row r="5343">
      <c r="A5343" s="14">
        <v>62.0</v>
      </c>
      <c r="B5343" s="14">
        <v>0.0</v>
      </c>
      <c r="C5343" s="34">
        <v>9.32</v>
      </c>
      <c r="D5343" s="36">
        <v>45254.0</v>
      </c>
      <c r="E5343" s="24"/>
      <c r="F5343" s="14" t="s">
        <v>6012</v>
      </c>
      <c r="G5343" s="14">
        <v>150.32</v>
      </c>
      <c r="H5343" s="14">
        <v>0.0</v>
      </c>
      <c r="I5343" s="14" t="s">
        <v>6062</v>
      </c>
      <c r="J5343" s="14" t="s">
        <v>6012</v>
      </c>
      <c r="K5343" s="14" t="s">
        <v>6012</v>
      </c>
      <c r="L5343" s="14">
        <v>0.0</v>
      </c>
    </row>
    <row r="5344">
      <c r="A5344" s="14">
        <v>0.0</v>
      </c>
      <c r="B5344" s="14">
        <v>0.0</v>
      </c>
      <c r="C5344" s="34"/>
      <c r="D5344" s="36">
        <v>45254.0</v>
      </c>
      <c r="E5344" s="24"/>
      <c r="F5344" s="14" t="s">
        <v>6012</v>
      </c>
      <c r="G5344" s="14" t="s">
        <v>6012</v>
      </c>
      <c r="H5344" s="14" t="s">
        <v>6012</v>
      </c>
      <c r="I5344" s="14" t="s">
        <v>6042</v>
      </c>
      <c r="J5344" s="14" t="s">
        <v>6012</v>
      </c>
      <c r="K5344" s="14" t="s">
        <v>6012</v>
      </c>
      <c r="L5344" s="14"/>
    </row>
    <row r="5345">
      <c r="A5345" s="14">
        <v>16.0</v>
      </c>
      <c r="B5345" s="14">
        <v>0.0</v>
      </c>
      <c r="C5345" s="34">
        <v>9.47</v>
      </c>
      <c r="D5345" s="36">
        <v>45254.0</v>
      </c>
      <c r="E5345" s="24"/>
      <c r="F5345" s="14" t="s">
        <v>6012</v>
      </c>
      <c r="G5345" s="14">
        <v>591.88</v>
      </c>
      <c r="H5345" s="14">
        <v>0.0</v>
      </c>
      <c r="I5345" s="14" t="s">
        <v>6059</v>
      </c>
      <c r="J5345" s="14" t="s">
        <v>6012</v>
      </c>
      <c r="K5345" s="14" t="s">
        <v>6012</v>
      </c>
      <c r="L5345" s="14">
        <v>0.0</v>
      </c>
    </row>
    <row r="5346">
      <c r="A5346" s="14">
        <v>6.0</v>
      </c>
      <c r="B5346" s="14">
        <v>0.0</v>
      </c>
      <c r="C5346" s="34">
        <v>5.26</v>
      </c>
      <c r="D5346" s="36">
        <v>45255.0</v>
      </c>
      <c r="E5346" s="24"/>
      <c r="F5346" s="14" t="s">
        <v>6012</v>
      </c>
      <c r="G5346" s="14">
        <v>876.67</v>
      </c>
      <c r="H5346" s="14">
        <v>0.0</v>
      </c>
      <c r="I5346" s="14" t="s">
        <v>6064</v>
      </c>
      <c r="J5346" s="14" t="s">
        <v>6012</v>
      </c>
      <c r="K5346" s="14" t="s">
        <v>6012</v>
      </c>
      <c r="L5346" s="14">
        <v>0.0</v>
      </c>
    </row>
    <row r="5347">
      <c r="A5347" s="14">
        <v>13.0</v>
      </c>
      <c r="B5347" s="14">
        <v>1.0</v>
      </c>
      <c r="C5347" s="34">
        <v>5.42</v>
      </c>
      <c r="D5347" s="36">
        <v>45255.0</v>
      </c>
      <c r="E5347" s="24"/>
      <c r="F5347" s="14">
        <v>5.42</v>
      </c>
      <c r="G5347" s="14">
        <v>416.92</v>
      </c>
      <c r="H5347" s="14">
        <v>7.69</v>
      </c>
      <c r="I5347" s="14" t="s">
        <v>6057</v>
      </c>
      <c r="J5347" s="14">
        <v>0.0</v>
      </c>
      <c r="K5347" s="14" t="s">
        <v>6012</v>
      </c>
      <c r="L5347" s="14">
        <v>0.0</v>
      </c>
    </row>
    <row r="5348">
      <c r="A5348" s="14">
        <v>18.0</v>
      </c>
      <c r="B5348" s="14">
        <v>0.0</v>
      </c>
      <c r="C5348" s="34">
        <v>6.66</v>
      </c>
      <c r="D5348" s="36">
        <v>45255.0</v>
      </c>
      <c r="E5348" s="24"/>
      <c r="F5348" s="14" t="s">
        <v>6012</v>
      </c>
      <c r="G5348" s="14">
        <v>370.0</v>
      </c>
      <c r="H5348" s="14">
        <v>0.0</v>
      </c>
      <c r="I5348" s="14" t="s">
        <v>6061</v>
      </c>
      <c r="J5348" s="14" t="s">
        <v>6012</v>
      </c>
      <c r="K5348" s="14" t="s">
        <v>6012</v>
      </c>
      <c r="L5348" s="14">
        <v>0.0</v>
      </c>
    </row>
    <row r="5349">
      <c r="A5349" s="14">
        <v>13.0</v>
      </c>
      <c r="B5349" s="14">
        <v>0.0</v>
      </c>
      <c r="C5349" s="34">
        <v>3.84</v>
      </c>
      <c r="D5349" s="36">
        <v>45255.0</v>
      </c>
      <c r="E5349" s="24"/>
      <c r="F5349" s="14" t="s">
        <v>6012</v>
      </c>
      <c r="G5349" s="14">
        <v>295.38</v>
      </c>
      <c r="H5349" s="14">
        <v>0.0</v>
      </c>
      <c r="I5349" s="14" t="s">
        <v>6063</v>
      </c>
      <c r="J5349" s="14" t="s">
        <v>6012</v>
      </c>
      <c r="K5349" s="14" t="s">
        <v>6012</v>
      </c>
      <c r="L5349" s="14">
        <v>0.0</v>
      </c>
    </row>
    <row r="5350">
      <c r="A5350" s="14">
        <v>33.0</v>
      </c>
      <c r="B5350" s="14">
        <v>0.0</v>
      </c>
      <c r="C5350" s="34">
        <v>5.78</v>
      </c>
      <c r="D5350" s="36">
        <v>45255.0</v>
      </c>
      <c r="E5350" s="24"/>
      <c r="F5350" s="14" t="s">
        <v>6012</v>
      </c>
      <c r="G5350" s="14">
        <v>175.15</v>
      </c>
      <c r="H5350" s="14">
        <v>0.0</v>
      </c>
      <c r="I5350" s="14" t="s">
        <v>6062</v>
      </c>
      <c r="J5350" s="14" t="s">
        <v>6012</v>
      </c>
      <c r="K5350" s="14" t="s">
        <v>6012</v>
      </c>
      <c r="L5350" s="14">
        <v>0.0</v>
      </c>
    </row>
    <row r="5351">
      <c r="A5351" s="14">
        <v>378.0</v>
      </c>
      <c r="B5351" s="14">
        <v>4.0</v>
      </c>
      <c r="C5351" s="34">
        <v>6.49</v>
      </c>
      <c r="D5351" s="36">
        <v>45255.0</v>
      </c>
      <c r="E5351" s="24"/>
      <c r="F5351" s="14">
        <v>1.62</v>
      </c>
      <c r="G5351" s="14">
        <v>17.17</v>
      </c>
      <c r="H5351" s="14">
        <v>1.06</v>
      </c>
      <c r="I5351" s="14" t="s">
        <v>6050</v>
      </c>
      <c r="J5351" s="14">
        <v>0.0</v>
      </c>
      <c r="K5351" s="14" t="s">
        <v>6012</v>
      </c>
      <c r="L5351" s="14">
        <v>0.0</v>
      </c>
    </row>
    <row r="5352">
      <c r="A5352" s="14">
        <v>345.0</v>
      </c>
      <c r="B5352" s="14">
        <v>3.0</v>
      </c>
      <c r="C5352" s="34">
        <v>6.7</v>
      </c>
      <c r="D5352" s="36">
        <v>45255.0</v>
      </c>
      <c r="E5352" s="24"/>
      <c r="F5352" s="14">
        <v>2.23</v>
      </c>
      <c r="G5352" s="14">
        <v>19.42</v>
      </c>
      <c r="H5352" s="14">
        <v>0.87</v>
      </c>
      <c r="I5352" s="14" t="s">
        <v>6051</v>
      </c>
      <c r="J5352" s="14">
        <v>0.0</v>
      </c>
      <c r="K5352" s="14" t="s">
        <v>6012</v>
      </c>
      <c r="L5352" s="14">
        <v>0.0</v>
      </c>
    </row>
    <row r="5353">
      <c r="A5353" s="14">
        <v>22.0</v>
      </c>
      <c r="B5353" s="14">
        <v>0.0</v>
      </c>
      <c r="C5353" s="34">
        <v>5.23</v>
      </c>
      <c r="D5353" s="36">
        <v>45255.0</v>
      </c>
      <c r="E5353" s="24"/>
      <c r="F5353" s="14" t="s">
        <v>6012</v>
      </c>
      <c r="G5353" s="14">
        <v>237.73</v>
      </c>
      <c r="H5353" s="14">
        <v>0.0</v>
      </c>
      <c r="I5353" s="14" t="s">
        <v>6058</v>
      </c>
      <c r="J5353" s="14" t="s">
        <v>6012</v>
      </c>
      <c r="K5353" s="14" t="s">
        <v>6012</v>
      </c>
      <c r="L5353" s="14">
        <v>0.0</v>
      </c>
    </row>
    <row r="5354">
      <c r="A5354" s="14">
        <v>5.0</v>
      </c>
      <c r="B5354" s="14">
        <v>0.0</v>
      </c>
      <c r="C5354" s="34">
        <v>4.96</v>
      </c>
      <c r="D5354" s="36">
        <v>45255.0</v>
      </c>
      <c r="E5354" s="24"/>
      <c r="F5354" s="14" t="s">
        <v>6012</v>
      </c>
      <c r="G5354" s="14">
        <v>992.0</v>
      </c>
      <c r="H5354" s="14">
        <v>0.0</v>
      </c>
      <c r="I5354" s="14" t="s">
        <v>6059</v>
      </c>
      <c r="J5354" s="14" t="s">
        <v>6012</v>
      </c>
      <c r="K5354" s="14" t="s">
        <v>6012</v>
      </c>
      <c r="L5354" s="14">
        <v>0.0</v>
      </c>
    </row>
    <row r="5355">
      <c r="A5355" s="14">
        <v>43.0</v>
      </c>
      <c r="B5355" s="14">
        <v>0.0</v>
      </c>
      <c r="C5355" s="34">
        <v>7.38</v>
      </c>
      <c r="D5355" s="36">
        <v>45255.0</v>
      </c>
      <c r="E5355" s="24"/>
      <c r="F5355" s="14" t="s">
        <v>6012</v>
      </c>
      <c r="G5355" s="14">
        <v>171.63</v>
      </c>
      <c r="H5355" s="14">
        <v>0.0</v>
      </c>
      <c r="I5355" s="14" t="s">
        <v>6060</v>
      </c>
      <c r="J5355" s="14" t="s">
        <v>6012</v>
      </c>
      <c r="K5355" s="14" t="s">
        <v>6012</v>
      </c>
      <c r="L5355" s="14">
        <v>0.0</v>
      </c>
    </row>
    <row r="5356">
      <c r="A5356" s="14">
        <v>9.0</v>
      </c>
      <c r="B5356" s="14">
        <v>0.0</v>
      </c>
      <c r="C5356" s="34">
        <v>2.18</v>
      </c>
      <c r="D5356" s="36">
        <v>45256.0</v>
      </c>
      <c r="E5356" s="24"/>
      <c r="F5356" s="14" t="s">
        <v>6012</v>
      </c>
      <c r="G5356" s="14">
        <v>242.22</v>
      </c>
      <c r="H5356" s="14">
        <v>0.0</v>
      </c>
      <c r="I5356" s="14" t="s">
        <v>6057</v>
      </c>
      <c r="J5356" s="14" t="s">
        <v>6012</v>
      </c>
      <c r="K5356" s="14" t="s">
        <v>6012</v>
      </c>
      <c r="L5356" s="14">
        <v>0.0</v>
      </c>
    </row>
    <row r="5357">
      <c r="A5357" s="14">
        <v>13.0</v>
      </c>
      <c r="B5357" s="14">
        <v>0.0</v>
      </c>
      <c r="C5357" s="34">
        <v>3.29</v>
      </c>
      <c r="D5357" s="36">
        <v>45256.0</v>
      </c>
      <c r="E5357" s="24"/>
      <c r="F5357" s="14" t="s">
        <v>6012</v>
      </c>
      <c r="G5357" s="14">
        <v>253.08</v>
      </c>
      <c r="H5357" s="14">
        <v>0.0</v>
      </c>
      <c r="I5357" s="14" t="s">
        <v>6058</v>
      </c>
      <c r="J5357" s="14" t="s">
        <v>6012</v>
      </c>
      <c r="K5357" s="14" t="s">
        <v>6012</v>
      </c>
      <c r="L5357" s="14">
        <v>0.0</v>
      </c>
    </row>
    <row r="5358">
      <c r="A5358" s="14">
        <v>34.0</v>
      </c>
      <c r="B5358" s="14">
        <v>0.0</v>
      </c>
      <c r="C5358" s="34">
        <v>4.84</v>
      </c>
      <c r="D5358" s="36">
        <v>45256.0</v>
      </c>
      <c r="E5358" s="24"/>
      <c r="F5358" s="14" t="s">
        <v>6012</v>
      </c>
      <c r="G5358" s="14">
        <v>142.35</v>
      </c>
      <c r="H5358" s="14">
        <v>0.0</v>
      </c>
      <c r="I5358" s="14" t="s">
        <v>6062</v>
      </c>
      <c r="J5358" s="14" t="s">
        <v>6012</v>
      </c>
      <c r="K5358" s="14" t="s">
        <v>6012</v>
      </c>
      <c r="L5358" s="14">
        <v>0.0</v>
      </c>
    </row>
    <row r="5359">
      <c r="A5359" s="14">
        <v>8.0</v>
      </c>
      <c r="B5359" s="14">
        <v>0.0</v>
      </c>
      <c r="C5359" s="34">
        <v>0.45</v>
      </c>
      <c r="D5359" s="36">
        <v>45256.0</v>
      </c>
      <c r="E5359" s="24"/>
      <c r="F5359" s="14" t="s">
        <v>6012</v>
      </c>
      <c r="G5359" s="14">
        <v>56.25</v>
      </c>
      <c r="H5359" s="14">
        <v>0.0</v>
      </c>
      <c r="I5359" s="14" t="s">
        <v>6063</v>
      </c>
      <c r="J5359" s="14" t="s">
        <v>6012</v>
      </c>
      <c r="K5359" s="14" t="s">
        <v>6012</v>
      </c>
      <c r="L5359" s="14">
        <v>0.0</v>
      </c>
    </row>
    <row r="5360">
      <c r="A5360" s="14">
        <v>41.0</v>
      </c>
      <c r="B5360" s="14">
        <v>0.0</v>
      </c>
      <c r="C5360" s="34">
        <v>6.56</v>
      </c>
      <c r="D5360" s="36">
        <v>45256.0</v>
      </c>
      <c r="E5360" s="24"/>
      <c r="F5360" s="14" t="s">
        <v>6012</v>
      </c>
      <c r="G5360" s="14">
        <v>160.0</v>
      </c>
      <c r="H5360" s="14">
        <v>0.0</v>
      </c>
      <c r="I5360" s="14" t="s">
        <v>6060</v>
      </c>
      <c r="J5360" s="14" t="s">
        <v>6012</v>
      </c>
      <c r="K5360" s="14" t="s">
        <v>6012</v>
      </c>
      <c r="L5360" s="14">
        <v>0.0</v>
      </c>
    </row>
    <row r="5361">
      <c r="A5361" s="14">
        <v>357.0</v>
      </c>
      <c r="B5361" s="14">
        <v>6.0</v>
      </c>
      <c r="C5361" s="34">
        <v>5.52</v>
      </c>
      <c r="D5361" s="36">
        <v>45256.0</v>
      </c>
      <c r="E5361" s="24"/>
      <c r="F5361" s="14">
        <v>0.92</v>
      </c>
      <c r="G5361" s="14">
        <v>15.46</v>
      </c>
      <c r="H5361" s="14">
        <v>1.68</v>
      </c>
      <c r="I5361" s="14" t="s">
        <v>6051</v>
      </c>
      <c r="J5361" s="14">
        <v>16.67</v>
      </c>
      <c r="K5361" s="14">
        <v>5.52</v>
      </c>
      <c r="L5361" s="14">
        <v>0.0</v>
      </c>
    </row>
    <row r="5362">
      <c r="A5362" s="14">
        <v>430.0</v>
      </c>
      <c r="B5362" s="14">
        <v>3.0</v>
      </c>
      <c r="C5362" s="34">
        <v>6.09</v>
      </c>
      <c r="D5362" s="36">
        <v>45256.0</v>
      </c>
      <c r="E5362" s="24"/>
      <c r="F5362" s="14">
        <v>2.03</v>
      </c>
      <c r="G5362" s="14">
        <v>14.16</v>
      </c>
      <c r="H5362" s="14">
        <v>0.7</v>
      </c>
      <c r="I5362" s="14" t="s">
        <v>6050</v>
      </c>
      <c r="J5362" s="14">
        <v>0.0</v>
      </c>
      <c r="K5362" s="14" t="s">
        <v>6012</v>
      </c>
      <c r="L5362" s="14">
        <v>0.0</v>
      </c>
    </row>
    <row r="5363">
      <c r="A5363" s="14">
        <v>2.0</v>
      </c>
      <c r="B5363" s="14">
        <v>3.0</v>
      </c>
      <c r="C5363" s="34">
        <v>1.5</v>
      </c>
      <c r="D5363" s="36">
        <v>45256.0</v>
      </c>
      <c r="E5363" s="24"/>
      <c r="F5363" s="14">
        <v>0.5</v>
      </c>
      <c r="G5363" s="14">
        <v>750.0</v>
      </c>
      <c r="H5363" s="14">
        <v>150.0</v>
      </c>
      <c r="I5363" s="14" t="s">
        <v>6064</v>
      </c>
      <c r="J5363" s="14">
        <v>0.0</v>
      </c>
      <c r="K5363" s="14" t="s">
        <v>6012</v>
      </c>
      <c r="L5363" s="14">
        <v>0.0</v>
      </c>
    </row>
    <row r="5364">
      <c r="A5364" s="14">
        <v>126.0</v>
      </c>
      <c r="B5364" s="14">
        <v>0.0</v>
      </c>
      <c r="C5364" s="34">
        <v>13.48</v>
      </c>
      <c r="D5364" s="36">
        <v>45257.0</v>
      </c>
      <c r="E5364" s="24"/>
      <c r="F5364" s="14" t="s">
        <v>6012</v>
      </c>
      <c r="G5364" s="14">
        <v>106.98</v>
      </c>
      <c r="H5364" s="14">
        <v>0.0</v>
      </c>
      <c r="I5364" s="14" t="s">
        <v>6062</v>
      </c>
      <c r="J5364" s="14" t="s">
        <v>6012</v>
      </c>
      <c r="K5364" s="14" t="s">
        <v>6012</v>
      </c>
      <c r="L5364" s="14">
        <v>0.0</v>
      </c>
    </row>
    <row r="5365">
      <c r="A5365" s="14">
        <v>61.0</v>
      </c>
      <c r="B5365" s="14">
        <v>0.0</v>
      </c>
      <c r="C5365" s="34">
        <v>13.32</v>
      </c>
      <c r="D5365" s="36">
        <v>45257.0</v>
      </c>
      <c r="E5365" s="24"/>
      <c r="F5365" s="14" t="s">
        <v>6012</v>
      </c>
      <c r="G5365" s="14">
        <v>218.36</v>
      </c>
      <c r="H5365" s="14">
        <v>0.0</v>
      </c>
      <c r="I5365" s="14" t="s">
        <v>6061</v>
      </c>
      <c r="J5365" s="14" t="s">
        <v>6012</v>
      </c>
      <c r="K5365" s="14" t="s">
        <v>6012</v>
      </c>
      <c r="L5365" s="14">
        <v>0.0</v>
      </c>
    </row>
    <row r="5366">
      <c r="A5366" s="14">
        <v>259.0</v>
      </c>
      <c r="B5366" s="14">
        <v>0.0</v>
      </c>
      <c r="C5366" s="34">
        <v>14.71</v>
      </c>
      <c r="D5366" s="36">
        <v>45257.0</v>
      </c>
      <c r="E5366" s="24"/>
      <c r="F5366" s="14" t="s">
        <v>6012</v>
      </c>
      <c r="G5366" s="14">
        <v>56.8</v>
      </c>
      <c r="H5366" s="14">
        <v>0.0</v>
      </c>
      <c r="I5366" s="14" t="s">
        <v>6060</v>
      </c>
      <c r="J5366" s="14" t="s">
        <v>6012</v>
      </c>
      <c r="K5366" s="14" t="s">
        <v>6012</v>
      </c>
      <c r="L5366" s="14">
        <v>0.0</v>
      </c>
    </row>
    <row r="5367">
      <c r="A5367" s="14">
        <v>47.0</v>
      </c>
      <c r="B5367" s="14">
        <v>1.0</v>
      </c>
      <c r="C5367" s="34">
        <v>14.47</v>
      </c>
      <c r="D5367" s="36">
        <v>45257.0</v>
      </c>
      <c r="E5367" s="24"/>
      <c r="F5367" s="14">
        <v>14.47</v>
      </c>
      <c r="G5367" s="14">
        <v>307.87</v>
      </c>
      <c r="H5367" s="14">
        <v>2.13</v>
      </c>
      <c r="I5367" s="14" t="s">
        <v>6058</v>
      </c>
      <c r="J5367" s="14">
        <v>0.0</v>
      </c>
      <c r="K5367" s="14" t="s">
        <v>6012</v>
      </c>
      <c r="L5367" s="14">
        <v>0.0</v>
      </c>
    </row>
    <row r="5368">
      <c r="A5368" s="14">
        <v>31.0</v>
      </c>
      <c r="B5368" s="14">
        <v>0.0</v>
      </c>
      <c r="C5368" s="34">
        <v>15.0</v>
      </c>
      <c r="D5368" s="36">
        <v>45257.0</v>
      </c>
      <c r="E5368" s="24"/>
      <c r="F5368" s="14" t="s">
        <v>6012</v>
      </c>
      <c r="G5368" s="14">
        <v>483.87</v>
      </c>
      <c r="H5368" s="14">
        <v>0.0</v>
      </c>
      <c r="I5368" s="14" t="s">
        <v>6057</v>
      </c>
      <c r="J5368" s="14" t="s">
        <v>6012</v>
      </c>
      <c r="K5368" s="14" t="s">
        <v>6012</v>
      </c>
      <c r="L5368" s="14">
        <v>0.0</v>
      </c>
    </row>
    <row r="5369">
      <c r="A5369" s="14">
        <v>779.0</v>
      </c>
      <c r="B5369" s="14">
        <v>5.0</v>
      </c>
      <c r="C5369" s="34">
        <v>11.84</v>
      </c>
      <c r="D5369" s="36">
        <v>45257.0</v>
      </c>
      <c r="E5369" s="24"/>
      <c r="F5369" s="14">
        <v>2.37</v>
      </c>
      <c r="G5369" s="14">
        <v>15.2</v>
      </c>
      <c r="H5369" s="14">
        <v>0.64</v>
      </c>
      <c r="I5369" s="14" t="s">
        <v>6050</v>
      </c>
      <c r="J5369" s="14">
        <v>0.0</v>
      </c>
      <c r="K5369" s="14" t="s">
        <v>6012</v>
      </c>
      <c r="L5369" s="14">
        <v>0.0</v>
      </c>
    </row>
    <row r="5370">
      <c r="A5370" s="14">
        <v>25.0</v>
      </c>
      <c r="B5370" s="14">
        <v>0.0</v>
      </c>
      <c r="C5370" s="34">
        <v>15.0</v>
      </c>
      <c r="D5370" s="36">
        <v>45257.0</v>
      </c>
      <c r="E5370" s="24"/>
      <c r="F5370" s="14" t="s">
        <v>6012</v>
      </c>
      <c r="G5370" s="14">
        <v>600.0</v>
      </c>
      <c r="H5370" s="14">
        <v>0.0</v>
      </c>
      <c r="I5370" s="14" t="s">
        <v>6059</v>
      </c>
      <c r="J5370" s="14" t="s">
        <v>6012</v>
      </c>
      <c r="K5370" s="14" t="s">
        <v>6012</v>
      </c>
      <c r="L5370" s="14">
        <v>0.0</v>
      </c>
    </row>
    <row r="5371">
      <c r="A5371" s="14">
        <v>11.0</v>
      </c>
      <c r="B5371" s="14">
        <v>6.0</v>
      </c>
      <c r="C5371" s="34">
        <v>9.17</v>
      </c>
      <c r="D5371" s="36">
        <v>45257.0</v>
      </c>
      <c r="E5371" s="24"/>
      <c r="F5371" s="14">
        <v>1.53</v>
      </c>
      <c r="G5371" s="14">
        <v>833.64</v>
      </c>
      <c r="H5371" s="14">
        <v>54.55</v>
      </c>
      <c r="I5371" s="14" t="s">
        <v>6064</v>
      </c>
      <c r="J5371" s="14">
        <v>0.0</v>
      </c>
      <c r="K5371" s="14" t="s">
        <v>6012</v>
      </c>
      <c r="L5371" s="14">
        <v>0.0</v>
      </c>
    </row>
    <row r="5372">
      <c r="A5372" s="14">
        <v>80.0</v>
      </c>
      <c r="B5372" s="14">
        <v>0.0</v>
      </c>
      <c r="C5372" s="34">
        <v>15.0</v>
      </c>
      <c r="D5372" s="36">
        <v>45257.0</v>
      </c>
      <c r="E5372" s="24"/>
      <c r="F5372" s="14" t="s">
        <v>6012</v>
      </c>
      <c r="G5372" s="14">
        <v>187.5</v>
      </c>
      <c r="H5372" s="14">
        <v>0.0</v>
      </c>
      <c r="I5372" s="14" t="s">
        <v>6063</v>
      </c>
      <c r="J5372" s="14" t="s">
        <v>6012</v>
      </c>
      <c r="K5372" s="14" t="s">
        <v>6012</v>
      </c>
      <c r="L5372" s="14">
        <v>0.0</v>
      </c>
    </row>
    <row r="5373">
      <c r="A5373" s="14">
        <v>735.0</v>
      </c>
      <c r="B5373" s="14">
        <v>9.0</v>
      </c>
      <c r="C5373" s="34">
        <v>11.43</v>
      </c>
      <c r="D5373" s="36">
        <v>45257.0</v>
      </c>
      <c r="E5373" s="24"/>
      <c r="F5373" s="14">
        <v>1.27</v>
      </c>
      <c r="G5373" s="14">
        <v>15.55</v>
      </c>
      <c r="H5373" s="14">
        <v>1.22</v>
      </c>
      <c r="I5373" s="14" t="s">
        <v>6051</v>
      </c>
      <c r="J5373" s="14">
        <v>0.0</v>
      </c>
      <c r="K5373" s="14" t="s">
        <v>6012</v>
      </c>
      <c r="L5373" s="14">
        <v>0.0</v>
      </c>
    </row>
    <row r="5374">
      <c r="A5374" s="14">
        <v>274.0</v>
      </c>
      <c r="B5374" s="14">
        <v>94.0</v>
      </c>
      <c r="C5374" s="34">
        <v>115.47</v>
      </c>
      <c r="D5374" s="36">
        <v>45258.0</v>
      </c>
      <c r="E5374" s="24"/>
      <c r="F5374" s="14">
        <v>1.23</v>
      </c>
      <c r="G5374" s="14">
        <v>421.42</v>
      </c>
      <c r="H5374" s="14">
        <v>34.31</v>
      </c>
      <c r="I5374" s="14" t="s">
        <v>6065</v>
      </c>
      <c r="J5374" s="14">
        <v>0.0</v>
      </c>
      <c r="K5374" s="14" t="s">
        <v>6012</v>
      </c>
      <c r="L5374" s="14">
        <v>3.0</v>
      </c>
    </row>
    <row r="5375">
      <c r="A5375" s="14">
        <v>61.0</v>
      </c>
      <c r="B5375" s="14">
        <v>0.0</v>
      </c>
      <c r="C5375" s="34">
        <v>17.7</v>
      </c>
      <c r="D5375" s="36">
        <v>45258.0</v>
      </c>
      <c r="E5375" s="24"/>
      <c r="F5375" s="14" t="s">
        <v>6012</v>
      </c>
      <c r="G5375" s="14">
        <v>290.16</v>
      </c>
      <c r="H5375" s="14">
        <v>0.0</v>
      </c>
      <c r="I5375" s="14" t="s">
        <v>6060</v>
      </c>
      <c r="J5375" s="14" t="s">
        <v>6012</v>
      </c>
      <c r="K5375" s="14" t="s">
        <v>6012</v>
      </c>
      <c r="L5375" s="14">
        <v>0.0</v>
      </c>
    </row>
    <row r="5376">
      <c r="A5376" s="14">
        <v>90.0</v>
      </c>
      <c r="B5376" s="14">
        <v>1.0</v>
      </c>
      <c r="C5376" s="34">
        <v>14.38</v>
      </c>
      <c r="D5376" s="36">
        <v>45258.0</v>
      </c>
      <c r="E5376" s="24"/>
      <c r="F5376" s="14">
        <v>14.38</v>
      </c>
      <c r="G5376" s="14">
        <v>159.78</v>
      </c>
      <c r="H5376" s="14">
        <v>1.11</v>
      </c>
      <c r="I5376" s="14" t="s">
        <v>6061</v>
      </c>
      <c r="J5376" s="14">
        <v>0.0</v>
      </c>
      <c r="K5376" s="14" t="s">
        <v>6012</v>
      </c>
      <c r="L5376" s="14">
        <v>0.0</v>
      </c>
    </row>
    <row r="5377">
      <c r="A5377" s="14">
        <v>116.0</v>
      </c>
      <c r="B5377" s="14">
        <v>0.0</v>
      </c>
      <c r="C5377" s="34">
        <v>12.53</v>
      </c>
      <c r="D5377" s="36">
        <v>45258.0</v>
      </c>
      <c r="E5377" s="24"/>
      <c r="F5377" s="14" t="s">
        <v>6012</v>
      </c>
      <c r="G5377" s="14">
        <v>108.02</v>
      </c>
      <c r="H5377" s="14">
        <v>0.0</v>
      </c>
      <c r="I5377" s="14" t="s">
        <v>6062</v>
      </c>
      <c r="J5377" s="14" t="s">
        <v>6012</v>
      </c>
      <c r="K5377" s="14" t="s">
        <v>6012</v>
      </c>
      <c r="L5377" s="14">
        <v>0.0</v>
      </c>
    </row>
    <row r="5378">
      <c r="A5378" s="14">
        <v>588.0</v>
      </c>
      <c r="B5378" s="14">
        <v>7.0</v>
      </c>
      <c r="C5378" s="34">
        <v>12.33</v>
      </c>
      <c r="D5378" s="36">
        <v>45258.0</v>
      </c>
      <c r="E5378" s="24"/>
      <c r="F5378" s="14">
        <v>1.76</v>
      </c>
      <c r="G5378" s="14">
        <v>20.97</v>
      </c>
      <c r="H5378" s="14">
        <v>1.19</v>
      </c>
      <c r="I5378" s="14" t="s">
        <v>6051</v>
      </c>
      <c r="J5378" s="14">
        <v>0.0</v>
      </c>
      <c r="K5378" s="14" t="s">
        <v>6012</v>
      </c>
      <c r="L5378" s="14">
        <v>0.0</v>
      </c>
    </row>
    <row r="5379">
      <c r="A5379" s="14">
        <v>39.0</v>
      </c>
      <c r="B5379" s="14">
        <v>0.0</v>
      </c>
      <c r="C5379" s="34">
        <v>13.37</v>
      </c>
      <c r="D5379" s="36">
        <v>45258.0</v>
      </c>
      <c r="E5379" s="24"/>
      <c r="F5379" s="14" t="s">
        <v>6012</v>
      </c>
      <c r="G5379" s="14">
        <v>342.82</v>
      </c>
      <c r="H5379" s="14">
        <v>0.0</v>
      </c>
      <c r="I5379" s="14" t="s">
        <v>6057</v>
      </c>
      <c r="J5379" s="14" t="s">
        <v>6012</v>
      </c>
      <c r="K5379" s="14" t="s">
        <v>6012</v>
      </c>
      <c r="L5379" s="14">
        <v>0.0</v>
      </c>
    </row>
    <row r="5380">
      <c r="A5380" s="14">
        <v>1026.0</v>
      </c>
      <c r="B5380" s="14">
        <v>3.0</v>
      </c>
      <c r="C5380" s="34">
        <v>12.37</v>
      </c>
      <c r="D5380" s="36">
        <v>45258.0</v>
      </c>
      <c r="E5380" s="24"/>
      <c r="F5380" s="14">
        <v>4.12</v>
      </c>
      <c r="G5380" s="14">
        <v>12.06</v>
      </c>
      <c r="H5380" s="14">
        <v>0.29</v>
      </c>
      <c r="I5380" s="14" t="s">
        <v>6050</v>
      </c>
      <c r="J5380" s="14">
        <v>0.0</v>
      </c>
      <c r="K5380" s="14" t="s">
        <v>6012</v>
      </c>
      <c r="L5380" s="14">
        <v>0.0</v>
      </c>
    </row>
    <row r="5381">
      <c r="A5381" s="14">
        <v>75.0</v>
      </c>
      <c r="B5381" s="14">
        <v>0.0</v>
      </c>
      <c r="C5381" s="34">
        <v>13.9</v>
      </c>
      <c r="D5381" s="36">
        <v>45258.0</v>
      </c>
      <c r="E5381" s="24"/>
      <c r="F5381" s="14" t="s">
        <v>6012</v>
      </c>
      <c r="G5381" s="14">
        <v>185.33</v>
      </c>
      <c r="H5381" s="14">
        <v>0.0</v>
      </c>
      <c r="I5381" s="14" t="s">
        <v>6063</v>
      </c>
      <c r="J5381" s="14" t="s">
        <v>6012</v>
      </c>
      <c r="K5381" s="14" t="s">
        <v>6012</v>
      </c>
      <c r="L5381" s="14">
        <v>0.0</v>
      </c>
    </row>
    <row r="5382">
      <c r="A5382" s="14">
        <v>3.0</v>
      </c>
      <c r="B5382" s="14">
        <v>7.0</v>
      </c>
      <c r="C5382" s="34">
        <v>2.25</v>
      </c>
      <c r="D5382" s="36">
        <v>45258.0</v>
      </c>
      <c r="E5382" s="24"/>
      <c r="F5382" s="14">
        <v>0.32</v>
      </c>
      <c r="G5382" s="14">
        <v>750.0</v>
      </c>
      <c r="H5382" s="14">
        <v>233.33</v>
      </c>
      <c r="I5382" s="14" t="s">
        <v>6064</v>
      </c>
      <c r="J5382" s="14">
        <v>0.0</v>
      </c>
      <c r="K5382" s="14" t="s">
        <v>6012</v>
      </c>
      <c r="L5382" s="14">
        <v>0.0</v>
      </c>
    </row>
    <row r="5383">
      <c r="A5383" s="14">
        <v>36.0</v>
      </c>
      <c r="B5383" s="14">
        <v>0.0</v>
      </c>
      <c r="C5383" s="34">
        <v>13.26</v>
      </c>
      <c r="D5383" s="36">
        <v>45258.0</v>
      </c>
      <c r="E5383" s="24"/>
      <c r="F5383" s="14" t="s">
        <v>6012</v>
      </c>
      <c r="G5383" s="14">
        <v>368.33</v>
      </c>
      <c r="H5383" s="14">
        <v>0.0</v>
      </c>
      <c r="I5383" s="14" t="s">
        <v>6059</v>
      </c>
      <c r="J5383" s="14" t="s">
        <v>6012</v>
      </c>
      <c r="K5383" s="14" t="s">
        <v>6012</v>
      </c>
      <c r="L5383" s="14">
        <v>0.0</v>
      </c>
    </row>
    <row r="5384">
      <c r="A5384" s="14">
        <v>62.0</v>
      </c>
      <c r="B5384" s="14">
        <v>0.0</v>
      </c>
      <c r="C5384" s="34">
        <v>14.29</v>
      </c>
      <c r="D5384" s="36">
        <v>45258.0</v>
      </c>
      <c r="E5384" s="24"/>
      <c r="F5384" s="14" t="s">
        <v>6012</v>
      </c>
      <c r="G5384" s="14">
        <v>230.48</v>
      </c>
      <c r="H5384" s="14">
        <v>0.0</v>
      </c>
      <c r="I5384" s="14" t="s">
        <v>6058</v>
      </c>
      <c r="J5384" s="14" t="s">
        <v>6012</v>
      </c>
      <c r="K5384" s="14" t="s">
        <v>6012</v>
      </c>
      <c r="L5384" s="14">
        <v>0.0</v>
      </c>
    </row>
    <row r="5385">
      <c r="A5385" s="14">
        <v>59.0</v>
      </c>
      <c r="B5385" s="14">
        <v>0.0</v>
      </c>
      <c r="C5385" s="34">
        <v>14.62</v>
      </c>
      <c r="D5385" s="36">
        <v>45259.0</v>
      </c>
      <c r="E5385" s="24"/>
      <c r="F5385" s="14" t="s">
        <v>6012</v>
      </c>
      <c r="G5385" s="14">
        <v>247.8</v>
      </c>
      <c r="H5385" s="14">
        <v>0.0</v>
      </c>
      <c r="I5385" s="14" t="s">
        <v>6060</v>
      </c>
      <c r="J5385" s="14" t="s">
        <v>6012</v>
      </c>
      <c r="K5385" s="14">
        <v>7.31</v>
      </c>
      <c r="L5385" s="14">
        <v>0.0</v>
      </c>
    </row>
    <row r="5386">
      <c r="A5386" s="14">
        <v>21.0</v>
      </c>
      <c r="B5386" s="14">
        <v>0.0</v>
      </c>
      <c r="C5386" s="34">
        <v>12.56</v>
      </c>
      <c r="D5386" s="36">
        <v>45259.0</v>
      </c>
      <c r="E5386" s="24"/>
      <c r="F5386" s="14" t="s">
        <v>6012</v>
      </c>
      <c r="G5386" s="14">
        <v>598.1</v>
      </c>
      <c r="H5386" s="14">
        <v>0.0</v>
      </c>
      <c r="I5386" s="14" t="s">
        <v>6057</v>
      </c>
      <c r="J5386" s="14" t="s">
        <v>6012</v>
      </c>
      <c r="K5386" s="14" t="s">
        <v>6012</v>
      </c>
      <c r="L5386" s="14">
        <v>0.0</v>
      </c>
    </row>
    <row r="5387">
      <c r="A5387" s="14">
        <v>100.0</v>
      </c>
      <c r="B5387" s="14">
        <v>2.0</v>
      </c>
      <c r="C5387" s="34">
        <v>13.03</v>
      </c>
      <c r="D5387" s="36">
        <v>45259.0</v>
      </c>
      <c r="E5387" s="24"/>
      <c r="F5387" s="14">
        <v>6.52</v>
      </c>
      <c r="G5387" s="14">
        <v>130.3</v>
      </c>
      <c r="H5387" s="14">
        <v>2.0</v>
      </c>
      <c r="I5387" s="14" t="s">
        <v>6061</v>
      </c>
      <c r="J5387" s="14">
        <v>50.0</v>
      </c>
      <c r="K5387" s="14">
        <v>13.03</v>
      </c>
      <c r="L5387" s="14">
        <v>0.0</v>
      </c>
    </row>
    <row r="5388">
      <c r="A5388" s="14">
        <v>18.0</v>
      </c>
      <c r="B5388" s="14">
        <v>0.0</v>
      </c>
      <c r="C5388" s="34">
        <v>15.0</v>
      </c>
      <c r="D5388" s="36">
        <v>45259.0</v>
      </c>
      <c r="E5388" s="24"/>
      <c r="F5388" s="14" t="s">
        <v>6012</v>
      </c>
      <c r="G5388" s="14">
        <v>833.33</v>
      </c>
      <c r="H5388" s="14">
        <v>0.0</v>
      </c>
      <c r="I5388" s="14" t="s">
        <v>6059</v>
      </c>
      <c r="J5388" s="14" t="s">
        <v>6012</v>
      </c>
      <c r="K5388" s="14" t="s">
        <v>6012</v>
      </c>
      <c r="L5388" s="14">
        <v>0.0</v>
      </c>
    </row>
    <row r="5389">
      <c r="A5389" s="14">
        <v>0.0</v>
      </c>
      <c r="B5389" s="14">
        <v>2.0</v>
      </c>
      <c r="C5389" s="34">
        <v>0.0</v>
      </c>
      <c r="D5389" s="36">
        <v>45259.0</v>
      </c>
      <c r="E5389" s="24"/>
      <c r="F5389" s="14">
        <v>0.0</v>
      </c>
      <c r="G5389" s="14" t="s">
        <v>6012</v>
      </c>
      <c r="H5389" s="14" t="s">
        <v>6012</v>
      </c>
      <c r="I5389" s="14" t="s">
        <v>6064</v>
      </c>
      <c r="J5389" s="14">
        <v>0.0</v>
      </c>
      <c r="K5389" s="14" t="s">
        <v>6012</v>
      </c>
      <c r="L5389" s="14">
        <v>0.0</v>
      </c>
    </row>
    <row r="5390">
      <c r="A5390" s="14">
        <v>58.0</v>
      </c>
      <c r="B5390" s="14">
        <v>0.0</v>
      </c>
      <c r="C5390" s="34">
        <v>14.54</v>
      </c>
      <c r="D5390" s="36">
        <v>45259.0</v>
      </c>
      <c r="E5390" s="24"/>
      <c r="F5390" s="14" t="s">
        <v>6012</v>
      </c>
      <c r="G5390" s="14">
        <v>250.69</v>
      </c>
      <c r="H5390" s="14">
        <v>0.0</v>
      </c>
      <c r="I5390" s="14" t="s">
        <v>6063</v>
      </c>
      <c r="J5390" s="14" t="s">
        <v>6012</v>
      </c>
      <c r="K5390" s="14" t="s">
        <v>6012</v>
      </c>
      <c r="L5390" s="14">
        <v>0.0</v>
      </c>
    </row>
    <row r="5391">
      <c r="A5391" s="14">
        <v>1180.0</v>
      </c>
      <c r="B5391" s="14">
        <v>7.0</v>
      </c>
      <c r="C5391" s="34">
        <v>12.52</v>
      </c>
      <c r="D5391" s="36">
        <v>45259.0</v>
      </c>
      <c r="E5391" s="24"/>
      <c r="F5391" s="14">
        <v>1.79</v>
      </c>
      <c r="G5391" s="14">
        <v>10.61</v>
      </c>
      <c r="H5391" s="14">
        <v>0.59</v>
      </c>
      <c r="I5391" s="14" t="s">
        <v>6050</v>
      </c>
      <c r="J5391" s="14">
        <v>28.57</v>
      </c>
      <c r="K5391" s="14">
        <v>6.26</v>
      </c>
      <c r="L5391" s="14">
        <v>0.0</v>
      </c>
    </row>
    <row r="5392">
      <c r="A5392" s="14">
        <v>142.0</v>
      </c>
      <c r="B5392" s="14">
        <v>0.0</v>
      </c>
      <c r="C5392" s="34">
        <v>12.06</v>
      </c>
      <c r="D5392" s="36">
        <v>45259.0</v>
      </c>
      <c r="E5392" s="24"/>
      <c r="F5392" s="14" t="s">
        <v>6012</v>
      </c>
      <c r="G5392" s="14">
        <v>84.93</v>
      </c>
      <c r="H5392" s="14">
        <v>0.0</v>
      </c>
      <c r="I5392" s="14" t="s">
        <v>6062</v>
      </c>
      <c r="J5392" s="14" t="s">
        <v>6012</v>
      </c>
      <c r="K5392" s="14" t="s">
        <v>6012</v>
      </c>
      <c r="L5392" s="14">
        <v>0.0</v>
      </c>
    </row>
    <row r="5393">
      <c r="A5393" s="14">
        <v>456.0</v>
      </c>
      <c r="B5393" s="14">
        <v>3.0</v>
      </c>
      <c r="C5393" s="34">
        <v>12.59</v>
      </c>
      <c r="D5393" s="36">
        <v>45259.0</v>
      </c>
      <c r="E5393" s="24"/>
      <c r="F5393" s="14">
        <v>4.2</v>
      </c>
      <c r="G5393" s="14">
        <v>27.61</v>
      </c>
      <c r="H5393" s="14">
        <v>0.66</v>
      </c>
      <c r="I5393" s="14" t="s">
        <v>6051</v>
      </c>
      <c r="J5393" s="14">
        <v>0.0</v>
      </c>
      <c r="K5393" s="14" t="s">
        <v>6012</v>
      </c>
      <c r="L5393" s="14">
        <v>0.0</v>
      </c>
    </row>
    <row r="5394">
      <c r="A5394" s="14">
        <v>26.0</v>
      </c>
      <c r="B5394" s="14">
        <v>2.0</v>
      </c>
      <c r="C5394" s="34">
        <v>11.76</v>
      </c>
      <c r="D5394" s="36">
        <v>45259.0</v>
      </c>
      <c r="E5394" s="24"/>
      <c r="F5394" s="14">
        <v>5.88</v>
      </c>
      <c r="G5394" s="14">
        <v>452.31</v>
      </c>
      <c r="H5394" s="14">
        <v>7.69</v>
      </c>
      <c r="I5394" s="14" t="s">
        <v>6058</v>
      </c>
      <c r="J5394" s="14">
        <v>50.0</v>
      </c>
      <c r="K5394" s="14">
        <v>11.76</v>
      </c>
      <c r="L5394" s="14">
        <v>0.0</v>
      </c>
    </row>
    <row r="5395">
      <c r="A5395" s="14">
        <v>296.0</v>
      </c>
      <c r="B5395" s="14">
        <v>159.0</v>
      </c>
      <c r="C5395" s="34">
        <v>114.15</v>
      </c>
      <c r="D5395" s="36">
        <v>45259.0</v>
      </c>
      <c r="E5395" s="24"/>
      <c r="F5395" s="14">
        <v>0.72</v>
      </c>
      <c r="G5395" s="14">
        <v>385.64</v>
      </c>
      <c r="H5395" s="14">
        <v>53.72</v>
      </c>
      <c r="I5395" s="14" t="s">
        <v>6065</v>
      </c>
      <c r="J5395" s="14">
        <v>0.0</v>
      </c>
      <c r="K5395" s="14" t="s">
        <v>6012</v>
      </c>
      <c r="L5395" s="14">
        <v>1.0</v>
      </c>
    </row>
    <row r="5396">
      <c r="A5396" s="14">
        <v>47.0</v>
      </c>
      <c r="B5396" s="14">
        <v>0.0</v>
      </c>
      <c r="C5396" s="34">
        <v>9.54</v>
      </c>
      <c r="D5396" s="36">
        <v>45260.0</v>
      </c>
      <c r="E5396" s="24"/>
      <c r="F5396" s="14" t="s">
        <v>6012</v>
      </c>
      <c r="G5396" s="14">
        <v>202.98</v>
      </c>
      <c r="H5396" s="14">
        <v>0.0</v>
      </c>
      <c r="I5396" s="14" t="s">
        <v>6063</v>
      </c>
      <c r="J5396" s="14" t="s">
        <v>6012</v>
      </c>
      <c r="K5396" s="14" t="s">
        <v>6012</v>
      </c>
      <c r="L5396" s="14">
        <v>0.0</v>
      </c>
    </row>
    <row r="5397">
      <c r="A5397" s="14">
        <v>0.0</v>
      </c>
      <c r="B5397" s="14">
        <v>1.0</v>
      </c>
      <c r="C5397" s="34">
        <v>0.0</v>
      </c>
      <c r="D5397" s="36">
        <v>45260.0</v>
      </c>
      <c r="E5397" s="24"/>
      <c r="F5397" s="14">
        <v>0.0</v>
      </c>
      <c r="G5397" s="14" t="s">
        <v>6012</v>
      </c>
      <c r="H5397" s="14" t="s">
        <v>6012</v>
      </c>
      <c r="I5397" s="14" t="s">
        <v>6064</v>
      </c>
      <c r="J5397" s="14">
        <v>0.0</v>
      </c>
      <c r="K5397" s="14" t="s">
        <v>6012</v>
      </c>
      <c r="L5397" s="14">
        <v>0.0</v>
      </c>
    </row>
    <row r="5398">
      <c r="A5398" s="14">
        <v>23.0</v>
      </c>
      <c r="B5398" s="14">
        <v>0.0</v>
      </c>
      <c r="C5398" s="34">
        <v>10.38</v>
      </c>
      <c r="D5398" s="36">
        <v>45260.0</v>
      </c>
      <c r="E5398" s="24"/>
      <c r="F5398" s="14" t="s">
        <v>6012</v>
      </c>
      <c r="G5398" s="14">
        <v>451.3</v>
      </c>
      <c r="H5398" s="14">
        <v>0.0</v>
      </c>
      <c r="I5398" s="14" t="s">
        <v>6059</v>
      </c>
      <c r="J5398" s="14" t="s">
        <v>6012</v>
      </c>
      <c r="K5398" s="14" t="s">
        <v>6012</v>
      </c>
      <c r="L5398" s="14">
        <v>0.0</v>
      </c>
    </row>
    <row r="5399">
      <c r="A5399" s="14">
        <v>63.0</v>
      </c>
      <c r="B5399" s="14">
        <v>0.0</v>
      </c>
      <c r="C5399" s="34">
        <v>17.97</v>
      </c>
      <c r="D5399" s="36">
        <v>45260.0</v>
      </c>
      <c r="E5399" s="24"/>
      <c r="F5399" s="14" t="s">
        <v>6012</v>
      </c>
      <c r="G5399" s="14">
        <v>285.24</v>
      </c>
      <c r="H5399" s="14">
        <v>0.0</v>
      </c>
      <c r="I5399" s="14" t="s">
        <v>6060</v>
      </c>
      <c r="J5399" s="14" t="s">
        <v>6012</v>
      </c>
      <c r="K5399" s="14" t="s">
        <v>6012</v>
      </c>
      <c r="L5399" s="14">
        <v>0.0</v>
      </c>
    </row>
    <row r="5400">
      <c r="A5400" s="14">
        <v>55.0</v>
      </c>
      <c r="B5400" s="14">
        <v>2.0</v>
      </c>
      <c r="C5400" s="34">
        <v>10.9</v>
      </c>
      <c r="D5400" s="36">
        <v>45260.0</v>
      </c>
      <c r="E5400" s="24"/>
      <c r="F5400" s="14">
        <v>5.45</v>
      </c>
      <c r="G5400" s="14">
        <v>198.18</v>
      </c>
      <c r="H5400" s="14">
        <v>3.64</v>
      </c>
      <c r="I5400" s="14" t="s">
        <v>6061</v>
      </c>
      <c r="J5400" s="14">
        <v>0.0</v>
      </c>
      <c r="K5400" s="14" t="s">
        <v>6012</v>
      </c>
      <c r="L5400" s="14">
        <v>0.0</v>
      </c>
    </row>
    <row r="5401">
      <c r="A5401" s="14">
        <v>995.0</v>
      </c>
      <c r="B5401" s="14">
        <v>6.0</v>
      </c>
      <c r="C5401" s="34">
        <v>121.73</v>
      </c>
      <c r="D5401" s="36">
        <v>45260.0</v>
      </c>
      <c r="E5401" s="24"/>
      <c r="F5401" s="14">
        <v>20.29</v>
      </c>
      <c r="G5401" s="14">
        <v>122.34</v>
      </c>
      <c r="H5401" s="14">
        <v>0.6</v>
      </c>
      <c r="I5401" s="14" t="s">
        <v>6066</v>
      </c>
      <c r="J5401" s="14">
        <v>16.67</v>
      </c>
      <c r="K5401" s="14">
        <v>121.73</v>
      </c>
      <c r="L5401" s="14">
        <v>1.0</v>
      </c>
    </row>
    <row r="5402">
      <c r="A5402" s="14">
        <v>1151.0</v>
      </c>
      <c r="B5402" s="14">
        <v>4.0</v>
      </c>
      <c r="C5402" s="34">
        <v>11.09</v>
      </c>
      <c r="D5402" s="36">
        <v>45260.0</v>
      </c>
      <c r="E5402" s="24"/>
      <c r="F5402" s="14">
        <v>2.77</v>
      </c>
      <c r="G5402" s="14">
        <v>9.64</v>
      </c>
      <c r="H5402" s="14">
        <v>0.35</v>
      </c>
      <c r="I5402" s="14" t="s">
        <v>6050</v>
      </c>
      <c r="J5402" s="14">
        <v>0.0</v>
      </c>
      <c r="K5402" s="14" t="s">
        <v>6012</v>
      </c>
      <c r="L5402" s="14">
        <v>0.0</v>
      </c>
    </row>
    <row r="5403">
      <c r="A5403" s="14">
        <v>23.0</v>
      </c>
      <c r="B5403" s="14">
        <v>0.0</v>
      </c>
      <c r="C5403" s="34">
        <v>13.21</v>
      </c>
      <c r="D5403" s="36">
        <v>45260.0</v>
      </c>
      <c r="E5403" s="24"/>
      <c r="F5403" s="14" t="s">
        <v>6012</v>
      </c>
      <c r="G5403" s="14">
        <v>574.35</v>
      </c>
      <c r="H5403" s="14">
        <v>0.0</v>
      </c>
      <c r="I5403" s="14" t="s">
        <v>6057</v>
      </c>
      <c r="J5403" s="14" t="s">
        <v>6012</v>
      </c>
      <c r="K5403" s="14" t="s">
        <v>6012</v>
      </c>
      <c r="L5403" s="14">
        <v>0.0</v>
      </c>
    </row>
    <row r="5404">
      <c r="A5404" s="14">
        <v>104.0</v>
      </c>
      <c r="B5404" s="14">
        <v>0.0</v>
      </c>
      <c r="C5404" s="34">
        <v>10.9</v>
      </c>
      <c r="D5404" s="36">
        <v>45260.0</v>
      </c>
      <c r="E5404" s="24"/>
      <c r="F5404" s="14" t="s">
        <v>6012</v>
      </c>
      <c r="G5404" s="14">
        <v>104.81</v>
      </c>
      <c r="H5404" s="14">
        <v>0.0</v>
      </c>
      <c r="I5404" s="14" t="s">
        <v>6062</v>
      </c>
      <c r="J5404" s="14" t="s">
        <v>6012</v>
      </c>
      <c r="K5404" s="14" t="s">
        <v>6012</v>
      </c>
      <c r="L5404" s="14">
        <v>0.0</v>
      </c>
    </row>
    <row r="5405">
      <c r="A5405" s="14">
        <v>36.0</v>
      </c>
      <c r="B5405" s="14">
        <v>0.0</v>
      </c>
      <c r="C5405" s="34">
        <v>11.1</v>
      </c>
      <c r="D5405" s="36">
        <v>45260.0</v>
      </c>
      <c r="E5405" s="24"/>
      <c r="F5405" s="14" t="s">
        <v>6012</v>
      </c>
      <c r="G5405" s="14">
        <v>308.33</v>
      </c>
      <c r="H5405" s="14">
        <v>0.0</v>
      </c>
      <c r="I5405" s="14" t="s">
        <v>6058</v>
      </c>
      <c r="J5405" s="14" t="s">
        <v>6012</v>
      </c>
      <c r="K5405" s="14" t="s">
        <v>6012</v>
      </c>
      <c r="L5405" s="14">
        <v>0.0</v>
      </c>
    </row>
    <row r="5406">
      <c r="A5406" s="14">
        <v>83.0</v>
      </c>
      <c r="B5406" s="14">
        <v>20.0</v>
      </c>
      <c r="C5406" s="34">
        <v>44.89</v>
      </c>
      <c r="D5406" s="36">
        <v>45260.0</v>
      </c>
      <c r="E5406" s="24"/>
      <c r="F5406" s="14">
        <v>2.24</v>
      </c>
      <c r="G5406" s="14">
        <v>540.84</v>
      </c>
      <c r="H5406" s="14">
        <v>24.1</v>
      </c>
      <c r="I5406" s="14" t="s">
        <v>6067</v>
      </c>
      <c r="J5406" s="14">
        <v>0.0</v>
      </c>
      <c r="K5406" s="14" t="s">
        <v>6012</v>
      </c>
      <c r="L5406" s="14">
        <v>1.0</v>
      </c>
    </row>
    <row r="5407">
      <c r="A5407" s="14">
        <v>552.0</v>
      </c>
      <c r="B5407" s="14">
        <v>8.0</v>
      </c>
      <c r="C5407" s="34">
        <v>11.09</v>
      </c>
      <c r="D5407" s="36">
        <v>45260.0</v>
      </c>
      <c r="E5407" s="24"/>
      <c r="F5407" s="14">
        <v>1.39</v>
      </c>
      <c r="G5407" s="14">
        <v>20.09</v>
      </c>
      <c r="H5407" s="14">
        <v>1.45</v>
      </c>
      <c r="I5407" s="14" t="s">
        <v>6051</v>
      </c>
      <c r="J5407" s="14">
        <v>0.0</v>
      </c>
      <c r="K5407" s="14" t="s">
        <v>6012</v>
      </c>
      <c r="L5407" s="14">
        <v>0.0</v>
      </c>
    </row>
    <row r="5408">
      <c r="A5408" s="14">
        <v>264.0</v>
      </c>
      <c r="B5408" s="14">
        <v>159.0</v>
      </c>
      <c r="C5408" s="34">
        <v>107.23</v>
      </c>
      <c r="D5408" s="36">
        <v>45260.0</v>
      </c>
      <c r="E5408" s="24"/>
      <c r="F5408" s="14">
        <v>0.67</v>
      </c>
      <c r="G5408" s="14">
        <v>406.17</v>
      </c>
      <c r="H5408" s="14">
        <v>60.23</v>
      </c>
      <c r="I5408" s="14" t="s">
        <v>6065</v>
      </c>
      <c r="J5408" s="14">
        <v>0.0</v>
      </c>
      <c r="K5408" s="14" t="s">
        <v>6012</v>
      </c>
      <c r="L5408" s="14">
        <v>2.0</v>
      </c>
    </row>
    <row r="5409">
      <c r="A5409" s="14">
        <v>420.0</v>
      </c>
      <c r="B5409" s="14">
        <v>5.0</v>
      </c>
      <c r="C5409" s="34">
        <v>10.44</v>
      </c>
      <c r="D5409" s="36">
        <v>45261.0</v>
      </c>
      <c r="E5409" s="24"/>
      <c r="F5409" s="14">
        <v>2.09</v>
      </c>
      <c r="G5409" s="14">
        <v>24.86</v>
      </c>
      <c r="H5409" s="14">
        <v>1.19</v>
      </c>
      <c r="I5409" s="14" t="s">
        <v>6051</v>
      </c>
      <c r="J5409" s="14">
        <v>0.0</v>
      </c>
      <c r="K5409" s="14" t="s">
        <v>6012</v>
      </c>
      <c r="L5409" s="14">
        <v>0.0</v>
      </c>
    </row>
    <row r="5410">
      <c r="A5410" s="14">
        <v>75.0</v>
      </c>
      <c r="B5410" s="14">
        <v>0.0</v>
      </c>
      <c r="C5410" s="34">
        <v>11.36</v>
      </c>
      <c r="D5410" s="36">
        <v>45261.0</v>
      </c>
      <c r="E5410" s="24"/>
      <c r="F5410" s="14" t="s">
        <v>6012</v>
      </c>
      <c r="G5410" s="14">
        <v>151.47</v>
      </c>
      <c r="H5410" s="14">
        <v>0.0</v>
      </c>
      <c r="I5410" s="14" t="s">
        <v>6063</v>
      </c>
      <c r="J5410" s="14" t="s">
        <v>6012</v>
      </c>
      <c r="K5410" s="14">
        <v>11.36</v>
      </c>
      <c r="L5410" s="14">
        <v>0.0</v>
      </c>
    </row>
    <row r="5411">
      <c r="A5411" s="14">
        <v>63.0</v>
      </c>
      <c r="B5411" s="14">
        <v>0.0</v>
      </c>
      <c r="C5411" s="34">
        <v>11.34</v>
      </c>
      <c r="D5411" s="36">
        <v>45261.0</v>
      </c>
      <c r="E5411" s="24"/>
      <c r="F5411" s="14" t="s">
        <v>6012</v>
      </c>
      <c r="G5411" s="14">
        <v>180.0</v>
      </c>
      <c r="H5411" s="14">
        <v>0.0</v>
      </c>
      <c r="I5411" s="14" t="s">
        <v>6061</v>
      </c>
      <c r="J5411" s="14" t="s">
        <v>6012</v>
      </c>
      <c r="K5411" s="14">
        <v>5.67</v>
      </c>
      <c r="L5411" s="14">
        <v>0.0</v>
      </c>
    </row>
    <row r="5412">
      <c r="A5412" s="14">
        <v>75.0</v>
      </c>
      <c r="B5412" s="14">
        <v>0.0</v>
      </c>
      <c r="C5412" s="34">
        <v>9.67</v>
      </c>
      <c r="D5412" s="36">
        <v>45261.0</v>
      </c>
      <c r="E5412" s="24"/>
      <c r="F5412" s="14" t="s">
        <v>6012</v>
      </c>
      <c r="G5412" s="14">
        <v>128.93</v>
      </c>
      <c r="H5412" s="14">
        <v>0.0</v>
      </c>
      <c r="I5412" s="14" t="s">
        <v>6062</v>
      </c>
      <c r="J5412" s="14" t="s">
        <v>6012</v>
      </c>
      <c r="K5412" s="14" t="s">
        <v>6012</v>
      </c>
      <c r="L5412" s="14">
        <v>0.0</v>
      </c>
    </row>
    <row r="5413">
      <c r="A5413" s="14">
        <v>22.0</v>
      </c>
      <c r="B5413" s="14">
        <v>0.0</v>
      </c>
      <c r="C5413" s="34">
        <v>7.82</v>
      </c>
      <c r="D5413" s="36">
        <v>45261.0</v>
      </c>
      <c r="E5413" s="24"/>
      <c r="F5413" s="14" t="s">
        <v>6012</v>
      </c>
      <c r="G5413" s="14">
        <v>355.45</v>
      </c>
      <c r="H5413" s="14">
        <v>0.0</v>
      </c>
      <c r="I5413" s="14" t="s">
        <v>6057</v>
      </c>
      <c r="J5413" s="14" t="s">
        <v>6012</v>
      </c>
      <c r="K5413" s="14" t="s">
        <v>6012</v>
      </c>
      <c r="L5413" s="14">
        <v>0.0</v>
      </c>
    </row>
    <row r="5414">
      <c r="A5414" s="14">
        <v>133.0</v>
      </c>
      <c r="B5414" s="14">
        <v>49.0</v>
      </c>
      <c r="C5414" s="34">
        <v>79.8</v>
      </c>
      <c r="D5414" s="36">
        <v>45261.0</v>
      </c>
      <c r="E5414" s="24"/>
      <c r="F5414" s="14">
        <v>1.63</v>
      </c>
      <c r="G5414" s="14">
        <v>600.0</v>
      </c>
      <c r="H5414" s="14">
        <v>36.84</v>
      </c>
      <c r="I5414" s="14" t="s">
        <v>6067</v>
      </c>
      <c r="J5414" s="14">
        <v>0.0</v>
      </c>
      <c r="K5414" s="14" t="s">
        <v>6012</v>
      </c>
      <c r="L5414" s="14">
        <v>5.0</v>
      </c>
    </row>
    <row r="5415">
      <c r="A5415" s="14">
        <v>0.0</v>
      </c>
      <c r="B5415" s="14">
        <v>21.0</v>
      </c>
      <c r="C5415" s="34">
        <v>0.0</v>
      </c>
      <c r="D5415" s="36">
        <v>45261.0</v>
      </c>
      <c r="E5415" s="24"/>
      <c r="F5415" s="14">
        <v>0.0</v>
      </c>
      <c r="G5415" s="14" t="s">
        <v>6012</v>
      </c>
      <c r="H5415" s="14" t="s">
        <v>6012</v>
      </c>
      <c r="I5415" s="14" t="s">
        <v>6065</v>
      </c>
      <c r="J5415" s="14">
        <v>0.0</v>
      </c>
      <c r="K5415" s="14" t="s">
        <v>6012</v>
      </c>
      <c r="L5415" s="14">
        <v>0.0</v>
      </c>
    </row>
    <row r="5416">
      <c r="A5416" s="14">
        <v>104.0</v>
      </c>
      <c r="B5416" s="14">
        <v>0.0</v>
      </c>
      <c r="C5416" s="34">
        <v>9.42</v>
      </c>
      <c r="D5416" s="36">
        <v>45261.0</v>
      </c>
      <c r="E5416" s="24"/>
      <c r="F5416" s="14" t="s">
        <v>6012</v>
      </c>
      <c r="G5416" s="14">
        <v>90.58</v>
      </c>
      <c r="H5416" s="14">
        <v>0.0</v>
      </c>
      <c r="I5416" s="14" t="s">
        <v>6060</v>
      </c>
      <c r="J5416" s="14" t="s">
        <v>6012</v>
      </c>
      <c r="K5416" s="14" t="s">
        <v>6012</v>
      </c>
      <c r="L5416" s="14">
        <v>0.0</v>
      </c>
    </row>
    <row r="5417">
      <c r="A5417" s="14">
        <v>603.0</v>
      </c>
      <c r="B5417" s="14">
        <v>9.0</v>
      </c>
      <c r="C5417" s="34">
        <v>116.73</v>
      </c>
      <c r="D5417" s="36">
        <v>45261.0</v>
      </c>
      <c r="E5417" s="24"/>
      <c r="F5417" s="14">
        <v>12.97</v>
      </c>
      <c r="G5417" s="14">
        <v>193.58</v>
      </c>
      <c r="H5417" s="14">
        <v>1.49</v>
      </c>
      <c r="I5417" s="14" t="s">
        <v>6066</v>
      </c>
      <c r="J5417" s="14">
        <v>11.11</v>
      </c>
      <c r="K5417" s="14">
        <v>116.73</v>
      </c>
      <c r="L5417" s="14">
        <v>1.0</v>
      </c>
    </row>
    <row r="5418">
      <c r="A5418" s="14">
        <v>27.0</v>
      </c>
      <c r="B5418" s="14">
        <v>2.0</v>
      </c>
      <c r="C5418" s="34">
        <v>12.0</v>
      </c>
      <c r="D5418" s="36">
        <v>45261.0</v>
      </c>
      <c r="E5418" s="24"/>
      <c r="F5418" s="14">
        <v>6.0</v>
      </c>
      <c r="G5418" s="14">
        <v>444.44</v>
      </c>
      <c r="H5418" s="14">
        <v>7.41</v>
      </c>
      <c r="I5418" s="14" t="s">
        <v>6058</v>
      </c>
      <c r="J5418" s="14">
        <v>0.0</v>
      </c>
      <c r="K5418" s="14" t="s">
        <v>6012</v>
      </c>
      <c r="L5418" s="14">
        <v>1.0</v>
      </c>
    </row>
    <row r="5419">
      <c r="A5419" s="14">
        <v>22.0</v>
      </c>
      <c r="B5419" s="14">
        <v>0.0</v>
      </c>
      <c r="C5419" s="34">
        <v>11.13</v>
      </c>
      <c r="D5419" s="36">
        <v>45261.0</v>
      </c>
      <c r="E5419" s="24"/>
      <c r="F5419" s="14" t="s">
        <v>6012</v>
      </c>
      <c r="G5419" s="14">
        <v>505.91</v>
      </c>
      <c r="H5419" s="14">
        <v>0.0</v>
      </c>
      <c r="I5419" s="14" t="s">
        <v>6059</v>
      </c>
      <c r="J5419" s="14" t="s">
        <v>6012</v>
      </c>
      <c r="K5419" s="14" t="s">
        <v>6012</v>
      </c>
      <c r="L5419" s="14">
        <v>0.0</v>
      </c>
    </row>
    <row r="5420">
      <c r="A5420" s="14">
        <v>1062.0</v>
      </c>
      <c r="B5420" s="14">
        <v>7.0</v>
      </c>
      <c r="C5420" s="34">
        <v>9.55</v>
      </c>
      <c r="D5420" s="36">
        <v>45261.0</v>
      </c>
      <c r="E5420" s="24"/>
      <c r="F5420" s="14">
        <v>1.36</v>
      </c>
      <c r="G5420" s="14">
        <v>8.99</v>
      </c>
      <c r="H5420" s="14">
        <v>0.66</v>
      </c>
      <c r="I5420" s="14" t="s">
        <v>6050</v>
      </c>
      <c r="J5420" s="14">
        <v>14.29</v>
      </c>
      <c r="K5420" s="14">
        <v>9.55</v>
      </c>
      <c r="L5420" s="14">
        <v>0.0</v>
      </c>
    </row>
    <row r="5421">
      <c r="A5421" s="14">
        <v>24.0</v>
      </c>
      <c r="B5421" s="14">
        <v>0.0</v>
      </c>
      <c r="C5421" s="34">
        <v>4.57</v>
      </c>
      <c r="D5421" s="36">
        <v>45262.0</v>
      </c>
      <c r="E5421" s="24"/>
      <c r="F5421" s="14" t="s">
        <v>6012</v>
      </c>
      <c r="G5421" s="14">
        <v>190.42</v>
      </c>
      <c r="H5421" s="14">
        <v>0.0</v>
      </c>
      <c r="I5421" s="14" t="s">
        <v>6058</v>
      </c>
      <c r="J5421" s="14" t="s">
        <v>6012</v>
      </c>
      <c r="K5421" s="14" t="s">
        <v>6012</v>
      </c>
      <c r="L5421" s="14">
        <v>0.0</v>
      </c>
    </row>
    <row r="5422">
      <c r="A5422" s="14">
        <v>970.0</v>
      </c>
      <c r="B5422" s="14">
        <v>4.0</v>
      </c>
      <c r="C5422" s="34">
        <v>6.28</v>
      </c>
      <c r="D5422" s="36">
        <v>45262.0</v>
      </c>
      <c r="E5422" s="24"/>
      <c r="F5422" s="14">
        <v>1.57</v>
      </c>
      <c r="G5422" s="14">
        <v>6.47</v>
      </c>
      <c r="H5422" s="14">
        <v>0.41</v>
      </c>
      <c r="I5422" s="14" t="s">
        <v>6050</v>
      </c>
      <c r="J5422" s="14">
        <v>25.0</v>
      </c>
      <c r="K5422" s="14">
        <v>6.28</v>
      </c>
      <c r="L5422" s="14">
        <v>0.0</v>
      </c>
    </row>
    <row r="5423">
      <c r="A5423" s="14">
        <v>38.0</v>
      </c>
      <c r="B5423" s="14">
        <v>0.0</v>
      </c>
      <c r="C5423" s="34">
        <v>5.71</v>
      </c>
      <c r="D5423" s="36">
        <v>45262.0</v>
      </c>
      <c r="E5423" s="24"/>
      <c r="F5423" s="14" t="s">
        <v>6012</v>
      </c>
      <c r="G5423" s="14">
        <v>150.26</v>
      </c>
      <c r="H5423" s="14">
        <v>0.0</v>
      </c>
      <c r="I5423" s="14" t="s">
        <v>6060</v>
      </c>
      <c r="J5423" s="14" t="s">
        <v>6012</v>
      </c>
      <c r="K5423" s="14" t="s">
        <v>6012</v>
      </c>
      <c r="L5423" s="14">
        <v>0.0</v>
      </c>
    </row>
    <row r="5424">
      <c r="A5424" s="14">
        <v>26.0</v>
      </c>
      <c r="B5424" s="14">
        <v>0.0</v>
      </c>
      <c r="C5424" s="34">
        <v>5.56</v>
      </c>
      <c r="D5424" s="36">
        <v>45262.0</v>
      </c>
      <c r="E5424" s="24"/>
      <c r="F5424" s="14" t="s">
        <v>6012</v>
      </c>
      <c r="G5424" s="14">
        <v>213.85</v>
      </c>
      <c r="H5424" s="14">
        <v>0.0</v>
      </c>
      <c r="I5424" s="14" t="s">
        <v>6061</v>
      </c>
      <c r="J5424" s="14" t="s">
        <v>6012</v>
      </c>
      <c r="K5424" s="14" t="s">
        <v>6012</v>
      </c>
      <c r="L5424" s="14">
        <v>0.0</v>
      </c>
    </row>
    <row r="5425">
      <c r="A5425" s="14">
        <v>10.0</v>
      </c>
      <c r="B5425" s="14">
        <v>0.0</v>
      </c>
      <c r="C5425" s="34">
        <v>4.24</v>
      </c>
      <c r="D5425" s="36">
        <v>45262.0</v>
      </c>
      <c r="E5425" s="24"/>
      <c r="F5425" s="14" t="s">
        <v>6012</v>
      </c>
      <c r="G5425" s="14">
        <v>424.0</v>
      </c>
      <c r="H5425" s="14">
        <v>0.0</v>
      </c>
      <c r="I5425" s="14" t="s">
        <v>6063</v>
      </c>
      <c r="J5425" s="14" t="s">
        <v>6012</v>
      </c>
      <c r="K5425" s="14" t="s">
        <v>6012</v>
      </c>
      <c r="L5425" s="14">
        <v>0.0</v>
      </c>
    </row>
    <row r="5426">
      <c r="A5426" s="14">
        <v>44.0</v>
      </c>
      <c r="B5426" s="14">
        <v>0.0</v>
      </c>
      <c r="C5426" s="34">
        <v>6.42</v>
      </c>
      <c r="D5426" s="36">
        <v>45262.0</v>
      </c>
      <c r="E5426" s="24"/>
      <c r="F5426" s="14" t="s">
        <v>6012</v>
      </c>
      <c r="G5426" s="14">
        <v>145.91</v>
      </c>
      <c r="H5426" s="14">
        <v>0.0</v>
      </c>
      <c r="I5426" s="14" t="s">
        <v>6062</v>
      </c>
      <c r="J5426" s="14" t="s">
        <v>6012</v>
      </c>
      <c r="K5426" s="14" t="s">
        <v>6012</v>
      </c>
      <c r="L5426" s="14">
        <v>0.0</v>
      </c>
    </row>
    <row r="5427">
      <c r="A5427" s="14">
        <v>0.0</v>
      </c>
      <c r="B5427" s="14">
        <v>8.0</v>
      </c>
      <c r="C5427" s="34">
        <v>0.0</v>
      </c>
      <c r="D5427" s="36">
        <v>45262.0</v>
      </c>
      <c r="E5427" s="24"/>
      <c r="F5427" s="14">
        <v>0.0</v>
      </c>
      <c r="G5427" s="14" t="s">
        <v>6012</v>
      </c>
      <c r="H5427" s="14" t="s">
        <v>6012</v>
      </c>
      <c r="I5427" s="14" t="s">
        <v>6065</v>
      </c>
      <c r="J5427" s="14">
        <v>0.0</v>
      </c>
      <c r="K5427" s="14" t="s">
        <v>6012</v>
      </c>
      <c r="L5427" s="14">
        <v>0.0</v>
      </c>
    </row>
    <row r="5428">
      <c r="A5428" s="14">
        <v>299.0</v>
      </c>
      <c r="B5428" s="14">
        <v>1.0</v>
      </c>
      <c r="C5428" s="34">
        <v>6.71</v>
      </c>
      <c r="D5428" s="36">
        <v>45262.0</v>
      </c>
      <c r="E5428" s="24"/>
      <c r="F5428" s="14">
        <v>6.71</v>
      </c>
      <c r="G5428" s="14">
        <v>22.44</v>
      </c>
      <c r="H5428" s="14">
        <v>0.33</v>
      </c>
      <c r="I5428" s="14" t="s">
        <v>6051</v>
      </c>
      <c r="J5428" s="14">
        <v>0.0</v>
      </c>
      <c r="K5428" s="14" t="s">
        <v>6012</v>
      </c>
      <c r="L5428" s="14">
        <v>0.0</v>
      </c>
    </row>
    <row r="5429">
      <c r="A5429" s="14">
        <v>12.0</v>
      </c>
      <c r="B5429" s="14">
        <v>0.0</v>
      </c>
      <c r="C5429" s="34">
        <v>5.1</v>
      </c>
      <c r="D5429" s="36">
        <v>45262.0</v>
      </c>
      <c r="E5429" s="24"/>
      <c r="F5429" s="14" t="s">
        <v>6012</v>
      </c>
      <c r="G5429" s="14">
        <v>425.0</v>
      </c>
      <c r="H5429" s="14">
        <v>0.0</v>
      </c>
      <c r="I5429" s="14" t="s">
        <v>6057</v>
      </c>
      <c r="J5429" s="14" t="s">
        <v>6012</v>
      </c>
      <c r="K5429" s="14" t="s">
        <v>6012</v>
      </c>
      <c r="L5429" s="14">
        <v>0.0</v>
      </c>
    </row>
    <row r="5430">
      <c r="A5430" s="14">
        <v>233.0</v>
      </c>
      <c r="B5430" s="14">
        <v>1.0</v>
      </c>
      <c r="C5430" s="34">
        <v>83.71</v>
      </c>
      <c r="D5430" s="36">
        <v>45262.0</v>
      </c>
      <c r="E5430" s="24"/>
      <c r="F5430" s="14">
        <v>83.71</v>
      </c>
      <c r="G5430" s="14">
        <v>359.27</v>
      </c>
      <c r="H5430" s="14">
        <v>0.43</v>
      </c>
      <c r="I5430" s="14" t="s">
        <v>6066</v>
      </c>
      <c r="J5430" s="14">
        <v>100.0</v>
      </c>
      <c r="K5430" s="14">
        <v>83.71</v>
      </c>
      <c r="L5430" s="14">
        <v>1.0</v>
      </c>
    </row>
    <row r="5431">
      <c r="A5431" s="14">
        <v>8.0</v>
      </c>
      <c r="B5431" s="14">
        <v>0.0</v>
      </c>
      <c r="C5431" s="34">
        <v>5.23</v>
      </c>
      <c r="D5431" s="36">
        <v>45262.0</v>
      </c>
      <c r="E5431" s="24"/>
      <c r="F5431" s="14" t="s">
        <v>6012</v>
      </c>
      <c r="G5431" s="14">
        <v>653.75</v>
      </c>
      <c r="H5431" s="14">
        <v>0.0</v>
      </c>
      <c r="I5431" s="14" t="s">
        <v>6059</v>
      </c>
      <c r="J5431" s="14" t="s">
        <v>6012</v>
      </c>
      <c r="K5431" s="14" t="s">
        <v>6012</v>
      </c>
      <c r="L5431" s="14">
        <v>0.0</v>
      </c>
    </row>
    <row r="5432">
      <c r="A5432" s="14">
        <v>75.0</v>
      </c>
      <c r="B5432" s="14">
        <v>42.0</v>
      </c>
      <c r="C5432" s="34">
        <v>44.24</v>
      </c>
      <c r="D5432" s="36">
        <v>45262.0</v>
      </c>
      <c r="E5432" s="24"/>
      <c r="F5432" s="14">
        <v>1.05</v>
      </c>
      <c r="G5432" s="14">
        <v>589.87</v>
      </c>
      <c r="H5432" s="14">
        <v>56.0</v>
      </c>
      <c r="I5432" s="14" t="s">
        <v>6067</v>
      </c>
      <c r="J5432" s="14">
        <v>0.0</v>
      </c>
      <c r="K5432" s="14" t="s">
        <v>6012</v>
      </c>
      <c r="L5432" s="14">
        <v>2.0</v>
      </c>
    </row>
    <row r="5433">
      <c r="A5433" s="14">
        <v>12.0</v>
      </c>
      <c r="B5433" s="14">
        <v>0.0</v>
      </c>
      <c r="C5433" s="34">
        <v>2.94</v>
      </c>
      <c r="D5433" s="36">
        <v>45263.0</v>
      </c>
      <c r="E5433" s="24"/>
      <c r="F5433" s="14" t="s">
        <v>6012</v>
      </c>
      <c r="G5433" s="14">
        <v>245.0</v>
      </c>
      <c r="H5433" s="14">
        <v>0.0</v>
      </c>
      <c r="I5433" s="14" t="s">
        <v>6057</v>
      </c>
      <c r="J5433" s="14" t="s">
        <v>6012</v>
      </c>
      <c r="K5433" s="14" t="s">
        <v>6012</v>
      </c>
      <c r="L5433" s="14">
        <v>0.0</v>
      </c>
    </row>
    <row r="5434">
      <c r="A5434" s="14">
        <v>239.0</v>
      </c>
      <c r="B5434" s="14">
        <v>2.0</v>
      </c>
      <c r="C5434" s="34">
        <v>5.41</v>
      </c>
      <c r="D5434" s="36">
        <v>45263.0</v>
      </c>
      <c r="E5434" s="24"/>
      <c r="F5434" s="14">
        <v>2.7</v>
      </c>
      <c r="G5434" s="14">
        <v>22.64</v>
      </c>
      <c r="H5434" s="14">
        <v>0.84</v>
      </c>
      <c r="I5434" s="14" t="s">
        <v>6051</v>
      </c>
      <c r="J5434" s="14">
        <v>50.0</v>
      </c>
      <c r="K5434" s="14">
        <v>5.41</v>
      </c>
      <c r="L5434" s="14">
        <v>0.0</v>
      </c>
    </row>
    <row r="5435">
      <c r="A5435" s="14">
        <v>74.0</v>
      </c>
      <c r="B5435" s="14">
        <v>28.0</v>
      </c>
      <c r="C5435" s="34">
        <v>48.75</v>
      </c>
      <c r="D5435" s="36">
        <v>45263.0</v>
      </c>
      <c r="E5435" s="24"/>
      <c r="F5435" s="14">
        <v>1.74</v>
      </c>
      <c r="G5435" s="14">
        <v>658.78</v>
      </c>
      <c r="H5435" s="14">
        <v>37.84</v>
      </c>
      <c r="I5435" s="14" t="s">
        <v>6067</v>
      </c>
      <c r="J5435" s="14">
        <v>0.0</v>
      </c>
      <c r="K5435" s="14" t="s">
        <v>6012</v>
      </c>
      <c r="L5435" s="14">
        <v>0.0</v>
      </c>
    </row>
    <row r="5436">
      <c r="A5436" s="14">
        <v>59.0</v>
      </c>
      <c r="B5436" s="14">
        <v>0.0</v>
      </c>
      <c r="C5436" s="34">
        <v>3.87</v>
      </c>
      <c r="D5436" s="36">
        <v>45263.0</v>
      </c>
      <c r="E5436" s="24"/>
      <c r="F5436" s="14" t="s">
        <v>6012</v>
      </c>
      <c r="G5436" s="14">
        <v>65.59</v>
      </c>
      <c r="H5436" s="14">
        <v>0.0</v>
      </c>
      <c r="I5436" s="14" t="s">
        <v>6060</v>
      </c>
      <c r="J5436" s="14" t="s">
        <v>6012</v>
      </c>
      <c r="K5436" s="14" t="s">
        <v>6012</v>
      </c>
      <c r="L5436" s="14">
        <v>0.0</v>
      </c>
    </row>
    <row r="5437">
      <c r="A5437" s="14">
        <v>601.0</v>
      </c>
      <c r="B5437" s="14">
        <v>4.0</v>
      </c>
      <c r="C5437" s="34">
        <v>6.35</v>
      </c>
      <c r="D5437" s="36">
        <v>45263.0</v>
      </c>
      <c r="E5437" s="24"/>
      <c r="F5437" s="14">
        <v>1.59</v>
      </c>
      <c r="G5437" s="14">
        <v>10.57</v>
      </c>
      <c r="H5437" s="14">
        <v>0.67</v>
      </c>
      <c r="I5437" s="14" t="s">
        <v>6050</v>
      </c>
      <c r="J5437" s="14">
        <v>0.0</v>
      </c>
      <c r="K5437" s="14" t="s">
        <v>6012</v>
      </c>
      <c r="L5437" s="14">
        <v>0.0</v>
      </c>
    </row>
    <row r="5438">
      <c r="A5438" s="14">
        <v>47.0</v>
      </c>
      <c r="B5438" s="14">
        <v>1.0</v>
      </c>
      <c r="C5438" s="34">
        <v>4.94</v>
      </c>
      <c r="D5438" s="36">
        <v>45263.0</v>
      </c>
      <c r="E5438" s="24"/>
      <c r="F5438" s="14">
        <v>4.94</v>
      </c>
      <c r="G5438" s="14">
        <v>105.11</v>
      </c>
      <c r="H5438" s="14">
        <v>2.13</v>
      </c>
      <c r="I5438" s="14" t="s">
        <v>6062</v>
      </c>
      <c r="J5438" s="14">
        <v>0.0</v>
      </c>
      <c r="K5438" s="14" t="s">
        <v>6012</v>
      </c>
      <c r="L5438" s="14">
        <v>0.0</v>
      </c>
    </row>
    <row r="5439">
      <c r="A5439" s="14">
        <v>0.0</v>
      </c>
      <c r="B5439" s="14">
        <v>3.0</v>
      </c>
      <c r="C5439" s="34">
        <v>0.0</v>
      </c>
      <c r="D5439" s="36">
        <v>45263.0</v>
      </c>
      <c r="E5439" s="24"/>
      <c r="F5439" s="14">
        <v>0.0</v>
      </c>
      <c r="G5439" s="14" t="s">
        <v>6012</v>
      </c>
      <c r="H5439" s="14" t="s">
        <v>6012</v>
      </c>
      <c r="I5439" s="14" t="s">
        <v>6065</v>
      </c>
      <c r="J5439" s="14">
        <v>0.0</v>
      </c>
      <c r="K5439" s="14" t="s">
        <v>6012</v>
      </c>
      <c r="L5439" s="14">
        <v>0.0</v>
      </c>
    </row>
    <row r="5440">
      <c r="A5440" s="14">
        <v>21.0</v>
      </c>
      <c r="B5440" s="14">
        <v>0.0</v>
      </c>
      <c r="C5440" s="34">
        <v>1.81</v>
      </c>
      <c r="D5440" s="36">
        <v>45263.0</v>
      </c>
      <c r="E5440" s="24"/>
      <c r="F5440" s="14" t="s">
        <v>6012</v>
      </c>
      <c r="G5440" s="14">
        <v>86.19</v>
      </c>
      <c r="H5440" s="14">
        <v>0.0</v>
      </c>
      <c r="I5440" s="14" t="s">
        <v>6058</v>
      </c>
      <c r="J5440" s="14" t="s">
        <v>6012</v>
      </c>
      <c r="K5440" s="14" t="s">
        <v>6012</v>
      </c>
      <c r="L5440" s="14">
        <v>0.0</v>
      </c>
    </row>
    <row r="5441">
      <c r="A5441" s="14">
        <v>209.0</v>
      </c>
      <c r="B5441" s="14">
        <v>2.0</v>
      </c>
      <c r="C5441" s="34">
        <v>77.83</v>
      </c>
      <c r="D5441" s="36">
        <v>45263.0</v>
      </c>
      <c r="E5441" s="24"/>
      <c r="F5441" s="14">
        <v>38.92</v>
      </c>
      <c r="G5441" s="14">
        <v>372.39</v>
      </c>
      <c r="H5441" s="14">
        <v>0.96</v>
      </c>
      <c r="I5441" s="14" t="s">
        <v>6066</v>
      </c>
      <c r="J5441" s="14">
        <v>0.0</v>
      </c>
      <c r="K5441" s="14" t="s">
        <v>6012</v>
      </c>
      <c r="L5441" s="14">
        <v>0.0</v>
      </c>
    </row>
    <row r="5442">
      <c r="A5442" s="14">
        <v>9.0</v>
      </c>
      <c r="B5442" s="14">
        <v>0.0</v>
      </c>
      <c r="C5442" s="34">
        <v>1.42</v>
      </c>
      <c r="D5442" s="36">
        <v>45263.0</v>
      </c>
      <c r="E5442" s="24"/>
      <c r="F5442" s="14" t="s">
        <v>6012</v>
      </c>
      <c r="G5442" s="14">
        <v>157.78</v>
      </c>
      <c r="H5442" s="14">
        <v>0.0</v>
      </c>
      <c r="I5442" s="14" t="s">
        <v>6063</v>
      </c>
      <c r="J5442" s="14" t="s">
        <v>6012</v>
      </c>
      <c r="K5442" s="14" t="s">
        <v>6012</v>
      </c>
      <c r="L5442" s="14">
        <v>0.0</v>
      </c>
    </row>
    <row r="5443">
      <c r="A5443" s="14">
        <v>29.0</v>
      </c>
      <c r="B5443" s="14">
        <v>0.0</v>
      </c>
      <c r="C5443" s="34">
        <v>1.47</v>
      </c>
      <c r="D5443" s="36">
        <v>45263.0</v>
      </c>
      <c r="E5443" s="24"/>
      <c r="F5443" s="14" t="s">
        <v>6012</v>
      </c>
      <c r="G5443" s="14">
        <v>50.69</v>
      </c>
      <c r="H5443" s="14">
        <v>0.0</v>
      </c>
      <c r="I5443" s="14" t="s">
        <v>6061</v>
      </c>
      <c r="J5443" s="14" t="s">
        <v>6012</v>
      </c>
      <c r="K5443" s="14" t="s">
        <v>6012</v>
      </c>
      <c r="L5443" s="14">
        <v>0.0</v>
      </c>
    </row>
    <row r="5444">
      <c r="A5444" s="14">
        <v>158.0</v>
      </c>
      <c r="B5444" s="14">
        <v>0.0</v>
      </c>
      <c r="C5444" s="34">
        <v>12.4</v>
      </c>
      <c r="D5444" s="36">
        <v>45264.0</v>
      </c>
      <c r="E5444" s="24"/>
      <c r="F5444" s="14" t="s">
        <v>6012</v>
      </c>
      <c r="G5444" s="14">
        <v>78.48</v>
      </c>
      <c r="H5444" s="14">
        <v>0.0</v>
      </c>
      <c r="I5444" s="14" t="s">
        <v>6061</v>
      </c>
      <c r="J5444" s="14" t="s">
        <v>6012</v>
      </c>
      <c r="K5444" s="14" t="s">
        <v>6012</v>
      </c>
      <c r="L5444" s="14">
        <v>0.0</v>
      </c>
    </row>
    <row r="5445">
      <c r="A5445" s="14">
        <v>34.0</v>
      </c>
      <c r="B5445" s="14">
        <v>0.0</v>
      </c>
      <c r="C5445" s="34">
        <v>13.74</v>
      </c>
      <c r="D5445" s="36">
        <v>45264.0</v>
      </c>
      <c r="E5445" s="24"/>
      <c r="F5445" s="14" t="s">
        <v>6012</v>
      </c>
      <c r="G5445" s="14">
        <v>404.12</v>
      </c>
      <c r="H5445" s="14">
        <v>0.0</v>
      </c>
      <c r="I5445" s="14" t="s">
        <v>6059</v>
      </c>
      <c r="J5445" s="14" t="s">
        <v>6012</v>
      </c>
      <c r="K5445" s="14" t="s">
        <v>6012</v>
      </c>
      <c r="L5445" s="14">
        <v>0.0</v>
      </c>
    </row>
    <row r="5446">
      <c r="A5446" s="14">
        <v>126.0</v>
      </c>
      <c r="B5446" s="14">
        <v>64.0</v>
      </c>
      <c r="C5446" s="34">
        <v>77.29</v>
      </c>
      <c r="D5446" s="36">
        <v>45264.0</v>
      </c>
      <c r="E5446" s="24"/>
      <c r="F5446" s="14">
        <v>1.21</v>
      </c>
      <c r="G5446" s="14">
        <v>613.41</v>
      </c>
      <c r="H5446" s="14">
        <v>50.79</v>
      </c>
      <c r="I5446" s="14" t="s">
        <v>6067</v>
      </c>
      <c r="J5446" s="14">
        <v>4.69</v>
      </c>
      <c r="K5446" s="14">
        <v>25.76</v>
      </c>
      <c r="L5446" s="14">
        <v>5.0</v>
      </c>
    </row>
    <row r="5447">
      <c r="A5447" s="14">
        <v>165.0</v>
      </c>
      <c r="B5447" s="14">
        <v>2.0</v>
      </c>
      <c r="C5447" s="34">
        <v>14.82</v>
      </c>
      <c r="D5447" s="36">
        <v>45264.0</v>
      </c>
      <c r="E5447" s="24"/>
      <c r="F5447" s="14">
        <v>7.41</v>
      </c>
      <c r="G5447" s="14">
        <v>89.82</v>
      </c>
      <c r="H5447" s="14">
        <v>1.21</v>
      </c>
      <c r="I5447" s="14" t="s">
        <v>6060</v>
      </c>
      <c r="J5447" s="14">
        <v>100.0</v>
      </c>
      <c r="K5447" s="14">
        <v>7.41</v>
      </c>
      <c r="L5447" s="14">
        <v>0.0</v>
      </c>
    </row>
    <row r="5448">
      <c r="A5448" s="14">
        <v>1010.0</v>
      </c>
      <c r="B5448" s="14">
        <v>2.0</v>
      </c>
      <c r="C5448" s="34">
        <v>11.8</v>
      </c>
      <c r="D5448" s="36">
        <v>45264.0</v>
      </c>
      <c r="E5448" s="24"/>
      <c r="F5448" s="14">
        <v>5.9</v>
      </c>
      <c r="G5448" s="14">
        <v>11.68</v>
      </c>
      <c r="H5448" s="14">
        <v>0.2</v>
      </c>
      <c r="I5448" s="14" t="s">
        <v>6050</v>
      </c>
      <c r="J5448" s="14">
        <v>100.0</v>
      </c>
      <c r="K5448" s="14">
        <v>5.9</v>
      </c>
      <c r="L5448" s="14">
        <v>0.0</v>
      </c>
    </row>
    <row r="5449">
      <c r="A5449" s="14">
        <v>83.0</v>
      </c>
      <c r="B5449" s="14">
        <v>0.0</v>
      </c>
      <c r="C5449" s="34">
        <v>12.7</v>
      </c>
      <c r="D5449" s="36">
        <v>45264.0</v>
      </c>
      <c r="E5449" s="24"/>
      <c r="F5449" s="14" t="s">
        <v>6012</v>
      </c>
      <c r="G5449" s="14">
        <v>153.01</v>
      </c>
      <c r="H5449" s="14">
        <v>0.0</v>
      </c>
      <c r="I5449" s="14" t="s">
        <v>6063</v>
      </c>
      <c r="J5449" s="14" t="s">
        <v>6012</v>
      </c>
      <c r="K5449" s="14" t="s">
        <v>6012</v>
      </c>
      <c r="L5449" s="14">
        <v>0.0</v>
      </c>
    </row>
    <row r="5450">
      <c r="A5450" s="14">
        <v>474.0</v>
      </c>
      <c r="B5450" s="14">
        <v>10.0</v>
      </c>
      <c r="C5450" s="34">
        <v>113.23</v>
      </c>
      <c r="D5450" s="36">
        <v>45264.0</v>
      </c>
      <c r="E5450" s="24"/>
      <c r="F5450" s="14">
        <v>11.32</v>
      </c>
      <c r="G5450" s="14">
        <v>238.88</v>
      </c>
      <c r="H5450" s="14">
        <v>2.11</v>
      </c>
      <c r="I5450" s="14" t="s">
        <v>6066</v>
      </c>
      <c r="J5450" s="14">
        <v>40.0</v>
      </c>
      <c r="K5450" s="14">
        <v>28.31</v>
      </c>
      <c r="L5450" s="14">
        <v>3.0</v>
      </c>
    </row>
    <row r="5451">
      <c r="A5451" s="14">
        <v>0.0</v>
      </c>
      <c r="B5451" s="14">
        <v>21.0</v>
      </c>
      <c r="C5451" s="34">
        <v>0.0</v>
      </c>
      <c r="D5451" s="36">
        <v>45264.0</v>
      </c>
      <c r="E5451" s="24"/>
      <c r="F5451" s="14">
        <v>0.0</v>
      </c>
      <c r="G5451" s="14" t="s">
        <v>6012</v>
      </c>
      <c r="H5451" s="14" t="s">
        <v>6012</v>
      </c>
      <c r="I5451" s="14" t="s">
        <v>6065</v>
      </c>
      <c r="J5451" s="14">
        <v>0.0</v>
      </c>
      <c r="K5451" s="14" t="s">
        <v>6012</v>
      </c>
      <c r="L5451" s="14">
        <v>0.0</v>
      </c>
    </row>
    <row r="5452">
      <c r="A5452" s="14">
        <v>62.0</v>
      </c>
      <c r="B5452" s="14">
        <v>0.0</v>
      </c>
      <c r="C5452" s="34">
        <v>12.1</v>
      </c>
      <c r="D5452" s="36">
        <v>45264.0</v>
      </c>
      <c r="E5452" s="24"/>
      <c r="F5452" s="14" t="s">
        <v>6012</v>
      </c>
      <c r="G5452" s="14">
        <v>195.16</v>
      </c>
      <c r="H5452" s="14">
        <v>0.0</v>
      </c>
      <c r="I5452" s="14" t="s">
        <v>6058</v>
      </c>
      <c r="J5452" s="14" t="s">
        <v>6012</v>
      </c>
      <c r="K5452" s="14">
        <v>12.1</v>
      </c>
      <c r="L5452" s="14">
        <v>0.0</v>
      </c>
    </row>
    <row r="5453">
      <c r="A5453" s="14">
        <v>23.0</v>
      </c>
      <c r="B5453" s="14">
        <v>0.0</v>
      </c>
      <c r="C5453" s="34">
        <v>12.85</v>
      </c>
      <c r="D5453" s="36">
        <v>45264.0</v>
      </c>
      <c r="E5453" s="24"/>
      <c r="F5453" s="14" t="s">
        <v>6012</v>
      </c>
      <c r="G5453" s="14">
        <v>558.7</v>
      </c>
      <c r="H5453" s="14">
        <v>0.0</v>
      </c>
      <c r="I5453" s="14" t="s">
        <v>6057</v>
      </c>
      <c r="J5453" s="14" t="s">
        <v>6012</v>
      </c>
      <c r="K5453" s="14" t="s">
        <v>6012</v>
      </c>
      <c r="L5453" s="14">
        <v>0.0</v>
      </c>
    </row>
    <row r="5454">
      <c r="A5454" s="14">
        <v>524.0</v>
      </c>
      <c r="B5454" s="14">
        <v>4.0</v>
      </c>
      <c r="C5454" s="34">
        <v>11.03</v>
      </c>
      <c r="D5454" s="36">
        <v>45264.0</v>
      </c>
      <c r="E5454" s="24"/>
      <c r="F5454" s="14">
        <v>2.76</v>
      </c>
      <c r="G5454" s="14">
        <v>21.05</v>
      </c>
      <c r="H5454" s="14">
        <v>0.76</v>
      </c>
      <c r="I5454" s="14" t="s">
        <v>6051</v>
      </c>
      <c r="J5454" s="14">
        <v>0.0</v>
      </c>
      <c r="K5454" s="14" t="s">
        <v>6012</v>
      </c>
      <c r="L5454" s="14">
        <v>0.0</v>
      </c>
    </row>
    <row r="5455">
      <c r="A5455" s="14">
        <v>112.0</v>
      </c>
      <c r="B5455" s="14">
        <v>0.0</v>
      </c>
      <c r="C5455" s="34">
        <v>11.97</v>
      </c>
      <c r="D5455" s="36">
        <v>45264.0</v>
      </c>
      <c r="E5455" s="24"/>
      <c r="F5455" s="14" t="s">
        <v>6012</v>
      </c>
      <c r="G5455" s="14">
        <v>106.88</v>
      </c>
      <c r="H5455" s="14">
        <v>0.0</v>
      </c>
      <c r="I5455" s="14" t="s">
        <v>6062</v>
      </c>
      <c r="J5455" s="14" t="s">
        <v>6012</v>
      </c>
      <c r="K5455" s="14" t="s">
        <v>6012</v>
      </c>
      <c r="L5455" s="14">
        <v>0.0</v>
      </c>
    </row>
    <row r="5456">
      <c r="A5456" s="14">
        <v>0.0</v>
      </c>
      <c r="B5456" s="14">
        <v>1.0</v>
      </c>
      <c r="C5456" s="34">
        <v>0.0</v>
      </c>
      <c r="D5456" s="36">
        <v>45265.0</v>
      </c>
      <c r="E5456" s="24"/>
      <c r="F5456" s="14">
        <v>0.0</v>
      </c>
      <c r="G5456" s="14" t="s">
        <v>6012</v>
      </c>
      <c r="H5456" s="14" t="s">
        <v>6012</v>
      </c>
      <c r="I5456" s="14" t="s">
        <v>6064</v>
      </c>
      <c r="J5456" s="14">
        <v>0.0</v>
      </c>
      <c r="K5456" s="14" t="s">
        <v>6012</v>
      </c>
      <c r="L5456" s="14">
        <v>0.0</v>
      </c>
    </row>
    <row r="5457">
      <c r="A5457" s="14">
        <v>82.0</v>
      </c>
      <c r="B5457" s="14">
        <v>0.0</v>
      </c>
      <c r="C5457" s="34">
        <v>14.39</v>
      </c>
      <c r="D5457" s="36">
        <v>45265.0</v>
      </c>
      <c r="E5457" s="24"/>
      <c r="F5457" s="14" t="s">
        <v>6012</v>
      </c>
      <c r="G5457" s="14">
        <v>175.49</v>
      </c>
      <c r="H5457" s="14">
        <v>0.0</v>
      </c>
      <c r="I5457" s="14" t="s">
        <v>6063</v>
      </c>
      <c r="J5457" s="14" t="s">
        <v>6012</v>
      </c>
      <c r="K5457" s="14" t="s">
        <v>6012</v>
      </c>
      <c r="L5457" s="14">
        <v>0.0</v>
      </c>
    </row>
    <row r="5458">
      <c r="A5458" s="14">
        <v>469.0</v>
      </c>
      <c r="B5458" s="14">
        <v>4.0</v>
      </c>
      <c r="C5458" s="34">
        <v>122.22</v>
      </c>
      <c r="D5458" s="36">
        <v>45265.0</v>
      </c>
      <c r="E5458" s="24"/>
      <c r="F5458" s="14">
        <v>30.56</v>
      </c>
      <c r="G5458" s="14">
        <v>260.6</v>
      </c>
      <c r="H5458" s="14">
        <v>0.85</v>
      </c>
      <c r="I5458" s="14" t="s">
        <v>6066</v>
      </c>
      <c r="J5458" s="14">
        <v>25.0</v>
      </c>
      <c r="K5458" s="14">
        <v>122.22</v>
      </c>
      <c r="L5458" s="14">
        <v>1.0</v>
      </c>
    </row>
    <row r="5459">
      <c r="A5459" s="14">
        <v>23.0</v>
      </c>
      <c r="B5459" s="14">
        <v>0.0</v>
      </c>
      <c r="C5459" s="34">
        <v>13.43</v>
      </c>
      <c r="D5459" s="36">
        <v>45265.0</v>
      </c>
      <c r="E5459" s="24"/>
      <c r="F5459" s="14" t="s">
        <v>6012</v>
      </c>
      <c r="G5459" s="14">
        <v>583.91</v>
      </c>
      <c r="H5459" s="14">
        <v>0.0</v>
      </c>
      <c r="I5459" s="14" t="s">
        <v>6057</v>
      </c>
      <c r="J5459" s="14" t="s">
        <v>6012</v>
      </c>
      <c r="K5459" s="14" t="s">
        <v>6012</v>
      </c>
      <c r="L5459" s="14">
        <v>0.0</v>
      </c>
    </row>
    <row r="5460">
      <c r="A5460" s="14">
        <v>31.0</v>
      </c>
      <c r="B5460" s="14">
        <v>0.0</v>
      </c>
      <c r="C5460" s="34">
        <v>12.77</v>
      </c>
      <c r="D5460" s="36">
        <v>45265.0</v>
      </c>
      <c r="E5460" s="24"/>
      <c r="F5460" s="14" t="s">
        <v>6012</v>
      </c>
      <c r="G5460" s="14">
        <v>411.94</v>
      </c>
      <c r="H5460" s="14">
        <v>0.0</v>
      </c>
      <c r="I5460" s="14" t="s">
        <v>6058</v>
      </c>
      <c r="J5460" s="14" t="s">
        <v>6012</v>
      </c>
      <c r="K5460" s="14" t="s">
        <v>6012</v>
      </c>
      <c r="L5460" s="14">
        <v>0.0</v>
      </c>
    </row>
    <row r="5461">
      <c r="A5461" s="14">
        <v>113.0</v>
      </c>
      <c r="B5461" s="14">
        <v>61.0</v>
      </c>
      <c r="C5461" s="34">
        <v>74.88</v>
      </c>
      <c r="D5461" s="36">
        <v>45265.0</v>
      </c>
      <c r="E5461" s="24"/>
      <c r="F5461" s="14">
        <v>1.23</v>
      </c>
      <c r="G5461" s="14">
        <v>662.65</v>
      </c>
      <c r="H5461" s="14">
        <v>53.98</v>
      </c>
      <c r="I5461" s="14" t="s">
        <v>6067</v>
      </c>
      <c r="J5461" s="14">
        <v>0.0</v>
      </c>
      <c r="K5461" s="14" t="s">
        <v>6012</v>
      </c>
      <c r="L5461" s="14">
        <v>3.0</v>
      </c>
    </row>
    <row r="5462">
      <c r="A5462" s="14">
        <v>47.0</v>
      </c>
      <c r="B5462" s="14">
        <v>0.0</v>
      </c>
      <c r="C5462" s="34">
        <v>11.82</v>
      </c>
      <c r="D5462" s="36">
        <v>45265.0</v>
      </c>
      <c r="E5462" s="24"/>
      <c r="F5462" s="14" t="s">
        <v>6012</v>
      </c>
      <c r="G5462" s="14">
        <v>251.49</v>
      </c>
      <c r="H5462" s="14">
        <v>0.0</v>
      </c>
      <c r="I5462" s="14" t="s">
        <v>6062</v>
      </c>
      <c r="J5462" s="14" t="s">
        <v>6012</v>
      </c>
      <c r="K5462" s="14" t="s">
        <v>6012</v>
      </c>
      <c r="L5462" s="14">
        <v>0.0</v>
      </c>
    </row>
    <row r="5463">
      <c r="A5463" s="14">
        <v>61.0</v>
      </c>
      <c r="B5463" s="14">
        <v>1.0</v>
      </c>
      <c r="C5463" s="34">
        <v>13.7</v>
      </c>
      <c r="D5463" s="36">
        <v>45265.0</v>
      </c>
      <c r="E5463" s="24"/>
      <c r="F5463" s="14">
        <v>13.7</v>
      </c>
      <c r="G5463" s="14">
        <v>224.59</v>
      </c>
      <c r="H5463" s="14">
        <v>1.64</v>
      </c>
      <c r="I5463" s="14" t="s">
        <v>6061</v>
      </c>
      <c r="J5463" s="14">
        <v>0.0</v>
      </c>
      <c r="K5463" s="14" t="s">
        <v>6012</v>
      </c>
      <c r="L5463" s="14">
        <v>0.0</v>
      </c>
    </row>
    <row r="5464">
      <c r="A5464" s="14">
        <v>0.0</v>
      </c>
      <c r="B5464" s="14">
        <v>19.0</v>
      </c>
      <c r="C5464" s="34">
        <v>0.0</v>
      </c>
      <c r="D5464" s="36">
        <v>45265.0</v>
      </c>
      <c r="E5464" s="24"/>
      <c r="F5464" s="14">
        <v>0.0</v>
      </c>
      <c r="G5464" s="14" t="s">
        <v>6012</v>
      </c>
      <c r="H5464" s="14" t="s">
        <v>6012</v>
      </c>
      <c r="I5464" s="14" t="s">
        <v>6065</v>
      </c>
      <c r="J5464" s="14">
        <v>0.0</v>
      </c>
      <c r="K5464" s="14" t="s">
        <v>6012</v>
      </c>
      <c r="L5464" s="14">
        <v>0.0</v>
      </c>
    </row>
    <row r="5465">
      <c r="A5465" s="14">
        <v>32.0</v>
      </c>
      <c r="B5465" s="14">
        <v>0.0</v>
      </c>
      <c r="C5465" s="34">
        <v>15.0</v>
      </c>
      <c r="D5465" s="36">
        <v>45265.0</v>
      </c>
      <c r="E5465" s="24"/>
      <c r="F5465" s="14" t="s">
        <v>6012</v>
      </c>
      <c r="G5465" s="14">
        <v>468.75</v>
      </c>
      <c r="H5465" s="14">
        <v>0.0</v>
      </c>
      <c r="I5465" s="14" t="s">
        <v>6059</v>
      </c>
      <c r="J5465" s="14" t="s">
        <v>6012</v>
      </c>
      <c r="K5465" s="14" t="s">
        <v>6012</v>
      </c>
      <c r="L5465" s="14">
        <v>0.0</v>
      </c>
    </row>
    <row r="5466">
      <c r="A5466" s="14">
        <v>899.0</v>
      </c>
      <c r="B5466" s="14">
        <v>5.0</v>
      </c>
      <c r="C5466" s="34">
        <v>11.77</v>
      </c>
      <c r="D5466" s="36">
        <v>45265.0</v>
      </c>
      <c r="E5466" s="24"/>
      <c r="F5466" s="14">
        <v>2.35</v>
      </c>
      <c r="G5466" s="14">
        <v>13.09</v>
      </c>
      <c r="H5466" s="14">
        <v>0.56</v>
      </c>
      <c r="I5466" s="14" t="s">
        <v>6050</v>
      </c>
      <c r="J5466" s="14">
        <v>0.0</v>
      </c>
      <c r="K5466" s="14" t="s">
        <v>6012</v>
      </c>
      <c r="L5466" s="14">
        <v>0.0</v>
      </c>
    </row>
    <row r="5467">
      <c r="A5467" s="14">
        <v>89.0</v>
      </c>
      <c r="B5467" s="14">
        <v>1.0</v>
      </c>
      <c r="C5467" s="34">
        <v>15.09</v>
      </c>
      <c r="D5467" s="36">
        <v>45265.0</v>
      </c>
      <c r="E5467" s="24"/>
      <c r="F5467" s="14">
        <v>15.09</v>
      </c>
      <c r="G5467" s="14">
        <v>169.55</v>
      </c>
      <c r="H5467" s="14">
        <v>1.12</v>
      </c>
      <c r="I5467" s="14" t="s">
        <v>6060</v>
      </c>
      <c r="J5467" s="14">
        <v>100.0</v>
      </c>
      <c r="K5467" s="14">
        <v>15.09</v>
      </c>
      <c r="L5467" s="14">
        <v>0.0</v>
      </c>
    </row>
    <row r="5468">
      <c r="A5468" s="14">
        <v>759.0</v>
      </c>
      <c r="B5468" s="14">
        <v>5.0</v>
      </c>
      <c r="C5468" s="34">
        <v>12.06</v>
      </c>
      <c r="D5468" s="36">
        <v>45265.0</v>
      </c>
      <c r="E5468" s="24"/>
      <c r="F5468" s="14">
        <v>2.41</v>
      </c>
      <c r="G5468" s="14">
        <v>15.89</v>
      </c>
      <c r="H5468" s="14">
        <v>0.66</v>
      </c>
      <c r="I5468" s="14" t="s">
        <v>6051</v>
      </c>
      <c r="J5468" s="14">
        <v>0.0</v>
      </c>
      <c r="K5468" s="14" t="s">
        <v>6012</v>
      </c>
      <c r="L5468" s="14">
        <v>0.0</v>
      </c>
    </row>
    <row r="5469">
      <c r="A5469" s="14">
        <v>87.0</v>
      </c>
      <c r="B5469" s="14">
        <v>1.0</v>
      </c>
      <c r="C5469" s="34">
        <v>11.94</v>
      </c>
      <c r="D5469" s="36">
        <v>45266.0</v>
      </c>
      <c r="E5469" s="24"/>
      <c r="F5469" s="14">
        <v>11.94</v>
      </c>
      <c r="G5469" s="14">
        <v>137.24</v>
      </c>
      <c r="H5469" s="14">
        <v>1.15</v>
      </c>
      <c r="I5469" s="14" t="s">
        <v>6062</v>
      </c>
      <c r="J5469" s="14">
        <v>0.0</v>
      </c>
      <c r="K5469" s="14" t="s">
        <v>6012</v>
      </c>
      <c r="L5469" s="14">
        <v>0.0</v>
      </c>
    </row>
    <row r="5470">
      <c r="A5470" s="14">
        <v>29.0</v>
      </c>
      <c r="B5470" s="14">
        <v>1.0</v>
      </c>
      <c r="C5470" s="34">
        <v>12.44</v>
      </c>
      <c r="D5470" s="36">
        <v>45266.0</v>
      </c>
      <c r="E5470" s="24"/>
      <c r="F5470" s="14">
        <v>12.44</v>
      </c>
      <c r="G5470" s="14">
        <v>428.97</v>
      </c>
      <c r="H5470" s="14">
        <v>3.45</v>
      </c>
      <c r="I5470" s="14" t="s">
        <v>6058</v>
      </c>
      <c r="J5470" s="14">
        <v>0.0</v>
      </c>
      <c r="K5470" s="14" t="s">
        <v>6012</v>
      </c>
      <c r="L5470" s="14">
        <v>0.0</v>
      </c>
    </row>
    <row r="5471">
      <c r="A5471" s="14">
        <v>982.0</v>
      </c>
      <c r="B5471" s="14">
        <v>3.0</v>
      </c>
      <c r="C5471" s="34">
        <v>11.74</v>
      </c>
      <c r="D5471" s="36">
        <v>45266.0</v>
      </c>
      <c r="E5471" s="24"/>
      <c r="F5471" s="14">
        <v>3.91</v>
      </c>
      <c r="G5471" s="14">
        <v>11.96</v>
      </c>
      <c r="H5471" s="14">
        <v>0.31</v>
      </c>
      <c r="I5471" s="14" t="s">
        <v>6050</v>
      </c>
      <c r="J5471" s="14">
        <v>0.0</v>
      </c>
      <c r="K5471" s="14" t="s">
        <v>6012</v>
      </c>
      <c r="L5471" s="14">
        <v>0.0</v>
      </c>
    </row>
    <row r="5472">
      <c r="A5472" s="14">
        <v>68.0</v>
      </c>
      <c r="B5472" s="14">
        <v>0.0</v>
      </c>
      <c r="C5472" s="34">
        <v>12.05</v>
      </c>
      <c r="D5472" s="36">
        <v>45266.0</v>
      </c>
      <c r="E5472" s="24"/>
      <c r="F5472" s="14" t="s">
        <v>6012</v>
      </c>
      <c r="G5472" s="14">
        <v>177.21</v>
      </c>
      <c r="H5472" s="14">
        <v>0.0</v>
      </c>
      <c r="I5472" s="14" t="s">
        <v>6061</v>
      </c>
      <c r="J5472" s="14" t="s">
        <v>6012</v>
      </c>
      <c r="K5472" s="14" t="s">
        <v>6012</v>
      </c>
      <c r="L5472" s="14">
        <v>0.0</v>
      </c>
    </row>
    <row r="5473">
      <c r="A5473" s="14">
        <v>84.0</v>
      </c>
      <c r="B5473" s="14">
        <v>1.0</v>
      </c>
      <c r="C5473" s="34">
        <v>12.66</v>
      </c>
      <c r="D5473" s="36">
        <v>45266.0</v>
      </c>
      <c r="E5473" s="24"/>
      <c r="F5473" s="14">
        <v>12.66</v>
      </c>
      <c r="G5473" s="14">
        <v>150.71</v>
      </c>
      <c r="H5473" s="14">
        <v>1.19</v>
      </c>
      <c r="I5473" s="14" t="s">
        <v>6063</v>
      </c>
      <c r="J5473" s="14">
        <v>0.0</v>
      </c>
      <c r="K5473" s="14" t="s">
        <v>6012</v>
      </c>
      <c r="L5473" s="14">
        <v>0.0</v>
      </c>
    </row>
    <row r="5474">
      <c r="A5474" s="14">
        <v>862.0</v>
      </c>
      <c r="B5474" s="14">
        <v>8.0</v>
      </c>
      <c r="C5474" s="34">
        <v>12.29</v>
      </c>
      <c r="D5474" s="36">
        <v>45266.0</v>
      </c>
      <c r="E5474" s="24"/>
      <c r="F5474" s="14">
        <v>1.54</v>
      </c>
      <c r="G5474" s="14">
        <v>14.26</v>
      </c>
      <c r="H5474" s="14">
        <v>0.93</v>
      </c>
      <c r="I5474" s="14" t="s">
        <v>6051</v>
      </c>
      <c r="J5474" s="14">
        <v>0.0</v>
      </c>
      <c r="K5474" s="14" t="s">
        <v>6012</v>
      </c>
      <c r="L5474" s="14">
        <v>0.0</v>
      </c>
    </row>
    <row r="5475">
      <c r="A5475" s="14">
        <v>24.0</v>
      </c>
      <c r="B5475" s="14">
        <v>0.0</v>
      </c>
      <c r="C5475" s="34">
        <v>12.82</v>
      </c>
      <c r="D5475" s="36">
        <v>45266.0</v>
      </c>
      <c r="E5475" s="24"/>
      <c r="F5475" s="14" t="s">
        <v>6012</v>
      </c>
      <c r="G5475" s="14">
        <v>534.17</v>
      </c>
      <c r="H5475" s="14">
        <v>0.0</v>
      </c>
      <c r="I5475" s="14" t="s">
        <v>6059</v>
      </c>
      <c r="J5475" s="14" t="s">
        <v>6012</v>
      </c>
      <c r="K5475" s="14" t="s">
        <v>6012</v>
      </c>
      <c r="L5475" s="14">
        <v>0.0</v>
      </c>
    </row>
    <row r="5476">
      <c r="A5476" s="14">
        <v>0.0</v>
      </c>
      <c r="B5476" s="14">
        <v>7.0</v>
      </c>
      <c r="C5476" s="34">
        <v>0.0</v>
      </c>
      <c r="D5476" s="36">
        <v>45266.0</v>
      </c>
      <c r="E5476" s="24"/>
      <c r="F5476" s="14">
        <v>0.0</v>
      </c>
      <c r="G5476" s="14" t="s">
        <v>6012</v>
      </c>
      <c r="H5476" s="14" t="s">
        <v>6012</v>
      </c>
      <c r="I5476" s="14" t="s">
        <v>6065</v>
      </c>
      <c r="J5476" s="14">
        <v>0.0</v>
      </c>
      <c r="K5476" s="14" t="s">
        <v>6012</v>
      </c>
      <c r="L5476" s="14">
        <v>0.0</v>
      </c>
    </row>
    <row r="5477">
      <c r="A5477" s="14">
        <v>337.0</v>
      </c>
      <c r="B5477" s="14">
        <v>5.0</v>
      </c>
      <c r="C5477" s="34">
        <v>122.48</v>
      </c>
      <c r="D5477" s="36">
        <v>45266.0</v>
      </c>
      <c r="E5477" s="24"/>
      <c r="F5477" s="14">
        <v>24.5</v>
      </c>
      <c r="G5477" s="14">
        <v>363.44</v>
      </c>
      <c r="H5477" s="14">
        <v>1.48</v>
      </c>
      <c r="I5477" s="14" t="s">
        <v>6066</v>
      </c>
      <c r="J5477" s="14">
        <v>20.0</v>
      </c>
      <c r="K5477" s="14">
        <v>122.48</v>
      </c>
      <c r="L5477" s="14">
        <v>1.0</v>
      </c>
    </row>
    <row r="5478">
      <c r="A5478" s="14">
        <v>149.0</v>
      </c>
      <c r="B5478" s="14">
        <v>0.0</v>
      </c>
      <c r="C5478" s="34">
        <v>14.59</v>
      </c>
      <c r="D5478" s="36">
        <v>45266.0</v>
      </c>
      <c r="E5478" s="24"/>
      <c r="F5478" s="14" t="s">
        <v>6012</v>
      </c>
      <c r="G5478" s="14">
        <v>97.92</v>
      </c>
      <c r="H5478" s="14">
        <v>0.0</v>
      </c>
      <c r="I5478" s="14" t="s">
        <v>6060</v>
      </c>
      <c r="J5478" s="14" t="s">
        <v>6012</v>
      </c>
      <c r="K5478" s="14" t="s">
        <v>6012</v>
      </c>
      <c r="L5478" s="14">
        <v>0.0</v>
      </c>
    </row>
    <row r="5479">
      <c r="A5479" s="14">
        <v>27.0</v>
      </c>
      <c r="B5479" s="14">
        <v>0.0</v>
      </c>
      <c r="C5479" s="34">
        <v>12.76</v>
      </c>
      <c r="D5479" s="36">
        <v>45266.0</v>
      </c>
      <c r="E5479" s="24"/>
      <c r="F5479" s="14" t="s">
        <v>6012</v>
      </c>
      <c r="G5479" s="14">
        <v>472.59</v>
      </c>
      <c r="H5479" s="14">
        <v>0.0</v>
      </c>
      <c r="I5479" s="14" t="s">
        <v>6057</v>
      </c>
      <c r="J5479" s="14" t="s">
        <v>6012</v>
      </c>
      <c r="K5479" s="14" t="s">
        <v>6012</v>
      </c>
      <c r="L5479" s="14">
        <v>0.0</v>
      </c>
    </row>
    <row r="5480">
      <c r="A5480" s="14">
        <v>125.0</v>
      </c>
      <c r="B5480" s="14">
        <v>68.0</v>
      </c>
      <c r="C5480" s="34">
        <v>81.37</v>
      </c>
      <c r="D5480" s="36">
        <v>45266.0</v>
      </c>
      <c r="E5480" s="24"/>
      <c r="F5480" s="14">
        <v>1.2</v>
      </c>
      <c r="G5480" s="14">
        <v>650.96</v>
      </c>
      <c r="H5480" s="14">
        <v>54.4</v>
      </c>
      <c r="I5480" s="14" t="s">
        <v>6067</v>
      </c>
      <c r="J5480" s="14">
        <v>1.47</v>
      </c>
      <c r="K5480" s="14">
        <v>81.37</v>
      </c>
      <c r="L5480" s="14">
        <v>1.0</v>
      </c>
    </row>
    <row r="5481">
      <c r="A5481" s="14">
        <v>779.0</v>
      </c>
      <c r="B5481" s="14">
        <v>6.0</v>
      </c>
      <c r="C5481" s="34">
        <v>11.61</v>
      </c>
      <c r="D5481" s="36">
        <v>45267.0</v>
      </c>
      <c r="E5481" s="24"/>
      <c r="F5481" s="14">
        <v>1.93</v>
      </c>
      <c r="G5481" s="14">
        <v>14.9</v>
      </c>
      <c r="H5481" s="14">
        <v>0.77</v>
      </c>
      <c r="I5481" s="14" t="s">
        <v>6051</v>
      </c>
      <c r="J5481" s="14">
        <v>16.67</v>
      </c>
      <c r="K5481" s="14">
        <v>11.61</v>
      </c>
      <c r="L5481" s="14">
        <v>0.0</v>
      </c>
    </row>
    <row r="5482">
      <c r="A5482" s="14">
        <v>17.0</v>
      </c>
      <c r="B5482" s="14">
        <v>0.0</v>
      </c>
      <c r="C5482" s="34">
        <v>11.58</v>
      </c>
      <c r="D5482" s="36">
        <v>45267.0</v>
      </c>
      <c r="E5482" s="24"/>
      <c r="F5482" s="14" t="s">
        <v>6012</v>
      </c>
      <c r="G5482" s="14">
        <v>681.18</v>
      </c>
      <c r="H5482" s="14">
        <v>0.0</v>
      </c>
      <c r="I5482" s="14" t="s">
        <v>6057</v>
      </c>
      <c r="J5482" s="14" t="s">
        <v>6012</v>
      </c>
      <c r="K5482" s="14" t="s">
        <v>6012</v>
      </c>
      <c r="L5482" s="14">
        <v>0.0</v>
      </c>
    </row>
    <row r="5483">
      <c r="A5483" s="14">
        <v>18.0</v>
      </c>
      <c r="B5483" s="14">
        <v>0.0</v>
      </c>
      <c r="C5483" s="34">
        <v>10.71</v>
      </c>
      <c r="D5483" s="36">
        <v>45267.0</v>
      </c>
      <c r="E5483" s="24"/>
      <c r="F5483" s="14" t="s">
        <v>6012</v>
      </c>
      <c r="G5483" s="14">
        <v>595.0</v>
      </c>
      <c r="H5483" s="14">
        <v>0.0</v>
      </c>
      <c r="I5483" s="14" t="s">
        <v>6059</v>
      </c>
      <c r="J5483" s="14" t="s">
        <v>6012</v>
      </c>
      <c r="K5483" s="14" t="s">
        <v>6012</v>
      </c>
      <c r="L5483" s="14">
        <v>0.0</v>
      </c>
    </row>
    <row r="5484">
      <c r="A5484" s="14">
        <v>0.0</v>
      </c>
      <c r="B5484" s="14">
        <v>4.0</v>
      </c>
      <c r="C5484" s="34">
        <v>0.0</v>
      </c>
      <c r="D5484" s="36">
        <v>45267.0</v>
      </c>
      <c r="E5484" s="24"/>
      <c r="F5484" s="14">
        <v>0.0</v>
      </c>
      <c r="G5484" s="14" t="s">
        <v>6012</v>
      </c>
      <c r="H5484" s="14" t="s">
        <v>6012</v>
      </c>
      <c r="I5484" s="14" t="s">
        <v>6065</v>
      </c>
      <c r="J5484" s="14">
        <v>0.0</v>
      </c>
      <c r="K5484" s="14" t="s">
        <v>6012</v>
      </c>
      <c r="L5484" s="14">
        <v>0.0</v>
      </c>
    </row>
    <row r="5485">
      <c r="A5485" s="14">
        <v>101.0</v>
      </c>
      <c r="B5485" s="14">
        <v>0.0</v>
      </c>
      <c r="C5485" s="34">
        <v>14.3</v>
      </c>
      <c r="D5485" s="36">
        <v>45267.0</v>
      </c>
      <c r="E5485" s="24"/>
      <c r="F5485" s="14" t="s">
        <v>6012</v>
      </c>
      <c r="G5485" s="14">
        <v>141.58</v>
      </c>
      <c r="H5485" s="14">
        <v>0.0</v>
      </c>
      <c r="I5485" s="14" t="s">
        <v>6060</v>
      </c>
      <c r="J5485" s="14" t="s">
        <v>6012</v>
      </c>
      <c r="K5485" s="14">
        <v>14.3</v>
      </c>
      <c r="L5485" s="14">
        <v>0.0</v>
      </c>
    </row>
    <row r="5486">
      <c r="A5486" s="14">
        <v>24.0</v>
      </c>
      <c r="B5486" s="14">
        <v>2.0</v>
      </c>
      <c r="C5486" s="34">
        <v>13.7</v>
      </c>
      <c r="D5486" s="36">
        <v>45267.0</v>
      </c>
      <c r="E5486" s="24"/>
      <c r="F5486" s="14">
        <v>6.85</v>
      </c>
      <c r="G5486" s="14">
        <v>570.83</v>
      </c>
      <c r="H5486" s="14">
        <v>8.33</v>
      </c>
      <c r="I5486" s="14" t="s">
        <v>6058</v>
      </c>
      <c r="J5486" s="14">
        <v>0.0</v>
      </c>
      <c r="K5486" s="14" t="s">
        <v>6012</v>
      </c>
      <c r="L5486" s="14">
        <v>0.0</v>
      </c>
    </row>
    <row r="5487">
      <c r="A5487" s="14">
        <v>87.0</v>
      </c>
      <c r="B5487" s="14">
        <v>0.0</v>
      </c>
      <c r="C5487" s="34">
        <v>12.07</v>
      </c>
      <c r="D5487" s="36">
        <v>45267.0</v>
      </c>
      <c r="E5487" s="24"/>
      <c r="F5487" s="14" t="s">
        <v>6012</v>
      </c>
      <c r="G5487" s="14">
        <v>138.74</v>
      </c>
      <c r="H5487" s="14">
        <v>0.0</v>
      </c>
      <c r="I5487" s="14" t="s">
        <v>6063</v>
      </c>
      <c r="J5487" s="14" t="s">
        <v>6012</v>
      </c>
      <c r="K5487" s="14" t="s">
        <v>6012</v>
      </c>
      <c r="L5487" s="14">
        <v>0.0</v>
      </c>
    </row>
    <row r="5488">
      <c r="A5488" s="14">
        <v>75.0</v>
      </c>
      <c r="B5488" s="14">
        <v>0.0</v>
      </c>
      <c r="C5488" s="34">
        <v>12.45</v>
      </c>
      <c r="D5488" s="36">
        <v>45267.0</v>
      </c>
      <c r="E5488" s="24"/>
      <c r="F5488" s="14" t="s">
        <v>6012</v>
      </c>
      <c r="G5488" s="14">
        <v>166.0</v>
      </c>
      <c r="H5488" s="14">
        <v>0.0</v>
      </c>
      <c r="I5488" s="14" t="s">
        <v>6062</v>
      </c>
      <c r="J5488" s="14" t="s">
        <v>6012</v>
      </c>
      <c r="K5488" s="14" t="s">
        <v>6012</v>
      </c>
      <c r="L5488" s="14">
        <v>0.0</v>
      </c>
    </row>
    <row r="5489">
      <c r="A5489" s="14">
        <v>54.0</v>
      </c>
      <c r="B5489" s="14">
        <v>0.0</v>
      </c>
      <c r="C5489" s="34">
        <v>13.04</v>
      </c>
      <c r="D5489" s="36">
        <v>45267.0</v>
      </c>
      <c r="E5489" s="24"/>
      <c r="F5489" s="14" t="s">
        <v>6012</v>
      </c>
      <c r="G5489" s="14">
        <v>241.48</v>
      </c>
      <c r="H5489" s="14">
        <v>0.0</v>
      </c>
      <c r="I5489" s="14" t="s">
        <v>6061</v>
      </c>
      <c r="J5489" s="14" t="s">
        <v>6012</v>
      </c>
      <c r="K5489" s="14">
        <v>13.04</v>
      </c>
      <c r="L5489" s="14">
        <v>0.0</v>
      </c>
    </row>
    <row r="5490">
      <c r="A5490" s="14">
        <v>995.0</v>
      </c>
      <c r="B5490" s="14">
        <v>4.0</v>
      </c>
      <c r="C5490" s="34">
        <v>11.87</v>
      </c>
      <c r="D5490" s="36">
        <v>45267.0</v>
      </c>
      <c r="E5490" s="24"/>
      <c r="F5490" s="14">
        <v>2.97</v>
      </c>
      <c r="G5490" s="14">
        <v>11.93</v>
      </c>
      <c r="H5490" s="14">
        <v>0.4</v>
      </c>
      <c r="I5490" s="14" t="s">
        <v>6050</v>
      </c>
      <c r="J5490" s="14">
        <v>0.0</v>
      </c>
      <c r="K5490" s="14" t="s">
        <v>6012</v>
      </c>
      <c r="L5490" s="14">
        <v>0.0</v>
      </c>
    </row>
    <row r="5491">
      <c r="A5491" s="14">
        <v>359.0</v>
      </c>
      <c r="B5491" s="14">
        <v>5.0</v>
      </c>
      <c r="C5491" s="34">
        <v>114.36</v>
      </c>
      <c r="D5491" s="36">
        <v>45267.0</v>
      </c>
      <c r="E5491" s="24"/>
      <c r="F5491" s="14">
        <v>22.87</v>
      </c>
      <c r="G5491" s="14">
        <v>318.55</v>
      </c>
      <c r="H5491" s="14">
        <v>1.39</v>
      </c>
      <c r="I5491" s="14" t="s">
        <v>6066</v>
      </c>
      <c r="J5491" s="14">
        <v>0.0</v>
      </c>
      <c r="K5491" s="14" t="s">
        <v>6012</v>
      </c>
      <c r="L5491" s="14">
        <v>2.0</v>
      </c>
    </row>
    <row r="5492">
      <c r="A5492" s="14">
        <v>99.0</v>
      </c>
      <c r="B5492" s="14">
        <v>42.0</v>
      </c>
      <c r="C5492" s="34">
        <v>63.53</v>
      </c>
      <c r="D5492" s="36">
        <v>45267.0</v>
      </c>
      <c r="E5492" s="24"/>
      <c r="F5492" s="14">
        <v>1.51</v>
      </c>
      <c r="G5492" s="14">
        <v>641.72</v>
      </c>
      <c r="H5492" s="14">
        <v>42.42</v>
      </c>
      <c r="I5492" s="14" t="s">
        <v>6067</v>
      </c>
      <c r="J5492" s="14">
        <v>0.0</v>
      </c>
      <c r="K5492" s="14" t="s">
        <v>6012</v>
      </c>
      <c r="L5492" s="14">
        <v>3.0</v>
      </c>
    </row>
    <row r="5493">
      <c r="A5493" s="14">
        <v>0.0</v>
      </c>
      <c r="B5493" s="14">
        <v>8.0</v>
      </c>
      <c r="C5493" s="34">
        <v>0.0</v>
      </c>
      <c r="D5493" s="36">
        <v>45268.0</v>
      </c>
      <c r="E5493" s="24"/>
      <c r="F5493" s="14">
        <v>0.0</v>
      </c>
      <c r="G5493" s="14" t="s">
        <v>6012</v>
      </c>
      <c r="H5493" s="14" t="s">
        <v>6012</v>
      </c>
      <c r="I5493" s="14" t="s">
        <v>6065</v>
      </c>
      <c r="J5493" s="14">
        <v>0.0</v>
      </c>
      <c r="K5493" s="14" t="s">
        <v>6012</v>
      </c>
      <c r="L5493" s="14">
        <v>0.0</v>
      </c>
    </row>
    <row r="5494">
      <c r="A5494" s="14">
        <v>81.0</v>
      </c>
      <c r="B5494" s="14">
        <v>0.0</v>
      </c>
      <c r="C5494" s="34">
        <v>14.0</v>
      </c>
      <c r="D5494" s="36">
        <v>45268.0</v>
      </c>
      <c r="E5494" s="24"/>
      <c r="F5494" s="14" t="s">
        <v>6012</v>
      </c>
      <c r="G5494" s="14">
        <v>172.84</v>
      </c>
      <c r="H5494" s="14">
        <v>0.0</v>
      </c>
      <c r="I5494" s="14" t="s">
        <v>6060</v>
      </c>
      <c r="J5494" s="14" t="s">
        <v>6012</v>
      </c>
      <c r="K5494" s="14" t="s">
        <v>6012</v>
      </c>
      <c r="L5494" s="14">
        <v>0.0</v>
      </c>
    </row>
    <row r="5495">
      <c r="A5495" s="14">
        <v>72.0</v>
      </c>
      <c r="B5495" s="14">
        <v>1.0</v>
      </c>
      <c r="C5495" s="34">
        <v>11.85</v>
      </c>
      <c r="D5495" s="36">
        <v>45268.0</v>
      </c>
      <c r="E5495" s="24"/>
      <c r="F5495" s="14">
        <v>11.85</v>
      </c>
      <c r="G5495" s="14">
        <v>164.58</v>
      </c>
      <c r="H5495" s="14">
        <v>1.39</v>
      </c>
      <c r="I5495" s="14" t="s">
        <v>6061</v>
      </c>
      <c r="J5495" s="14">
        <v>100.0</v>
      </c>
      <c r="K5495" s="14">
        <v>11.85</v>
      </c>
      <c r="L5495" s="14">
        <v>0.0</v>
      </c>
    </row>
    <row r="5496">
      <c r="A5496" s="14">
        <v>97.0</v>
      </c>
      <c r="B5496" s="14">
        <v>48.0</v>
      </c>
      <c r="C5496" s="34">
        <v>57.37</v>
      </c>
      <c r="D5496" s="36">
        <v>45268.0</v>
      </c>
      <c r="E5496" s="24"/>
      <c r="F5496" s="14">
        <v>1.2</v>
      </c>
      <c r="G5496" s="14">
        <v>591.44</v>
      </c>
      <c r="H5496" s="14">
        <v>49.48</v>
      </c>
      <c r="I5496" s="14" t="s">
        <v>6067</v>
      </c>
      <c r="J5496" s="14">
        <v>0.0</v>
      </c>
      <c r="K5496" s="14" t="s">
        <v>6012</v>
      </c>
      <c r="L5496" s="14">
        <v>4.0</v>
      </c>
    </row>
    <row r="5497">
      <c r="A5497" s="14">
        <v>13.0</v>
      </c>
      <c r="B5497" s="14">
        <v>0.0</v>
      </c>
      <c r="C5497" s="34">
        <v>11.27</v>
      </c>
      <c r="D5497" s="36">
        <v>45268.0</v>
      </c>
      <c r="E5497" s="24"/>
      <c r="F5497" s="14" t="s">
        <v>6012</v>
      </c>
      <c r="G5497" s="14">
        <v>866.92</v>
      </c>
      <c r="H5497" s="14">
        <v>0.0</v>
      </c>
      <c r="I5497" s="14" t="s">
        <v>6059</v>
      </c>
      <c r="J5497" s="14" t="s">
        <v>6012</v>
      </c>
      <c r="K5497" s="14" t="s">
        <v>6012</v>
      </c>
      <c r="L5497" s="14">
        <v>0.0</v>
      </c>
    </row>
    <row r="5498">
      <c r="A5498" s="14">
        <v>803.0</v>
      </c>
      <c r="B5498" s="14">
        <v>3.0</v>
      </c>
      <c r="C5498" s="34">
        <v>10.21</v>
      </c>
      <c r="D5498" s="36">
        <v>45268.0</v>
      </c>
      <c r="E5498" s="24"/>
      <c r="F5498" s="14">
        <v>3.4</v>
      </c>
      <c r="G5498" s="14">
        <v>12.71</v>
      </c>
      <c r="H5498" s="14">
        <v>0.37</v>
      </c>
      <c r="I5498" s="14" t="s">
        <v>6050</v>
      </c>
      <c r="J5498" s="14">
        <v>33.33</v>
      </c>
      <c r="K5498" s="14">
        <v>10.21</v>
      </c>
      <c r="L5498" s="14">
        <v>0.0</v>
      </c>
    </row>
    <row r="5499">
      <c r="A5499" s="14">
        <v>371.0</v>
      </c>
      <c r="B5499" s="14">
        <v>2.0</v>
      </c>
      <c r="C5499" s="34">
        <v>107.68</v>
      </c>
      <c r="D5499" s="36">
        <v>45268.0</v>
      </c>
      <c r="E5499" s="24"/>
      <c r="F5499" s="14">
        <v>53.84</v>
      </c>
      <c r="G5499" s="14">
        <v>290.24</v>
      </c>
      <c r="H5499" s="14">
        <v>0.54</v>
      </c>
      <c r="I5499" s="14" t="s">
        <v>6066</v>
      </c>
      <c r="J5499" s="14">
        <v>0.0</v>
      </c>
      <c r="K5499" s="14" t="s">
        <v>6012</v>
      </c>
      <c r="L5499" s="14">
        <v>0.0</v>
      </c>
    </row>
    <row r="5500">
      <c r="A5500" s="14">
        <v>819.0</v>
      </c>
      <c r="B5500" s="14">
        <v>7.0</v>
      </c>
      <c r="C5500" s="34">
        <v>10.76</v>
      </c>
      <c r="D5500" s="36">
        <v>45268.0</v>
      </c>
      <c r="E5500" s="24"/>
      <c r="F5500" s="14">
        <v>1.54</v>
      </c>
      <c r="G5500" s="14">
        <v>13.14</v>
      </c>
      <c r="H5500" s="14">
        <v>0.85</v>
      </c>
      <c r="I5500" s="14" t="s">
        <v>6051</v>
      </c>
      <c r="J5500" s="14">
        <v>0.0</v>
      </c>
      <c r="K5500" s="14" t="s">
        <v>6012</v>
      </c>
      <c r="L5500" s="14">
        <v>0.0</v>
      </c>
    </row>
    <row r="5501">
      <c r="A5501" s="14">
        <v>53.0</v>
      </c>
      <c r="B5501" s="14">
        <v>0.0</v>
      </c>
      <c r="C5501" s="34">
        <v>8.54</v>
      </c>
      <c r="D5501" s="36">
        <v>45268.0</v>
      </c>
      <c r="E5501" s="24"/>
      <c r="F5501" s="14" t="s">
        <v>6012</v>
      </c>
      <c r="G5501" s="14">
        <v>161.13</v>
      </c>
      <c r="H5501" s="14">
        <v>0.0</v>
      </c>
      <c r="I5501" s="14" t="s">
        <v>6063</v>
      </c>
      <c r="J5501" s="14" t="s">
        <v>6012</v>
      </c>
      <c r="K5501" s="14">
        <v>8.54</v>
      </c>
      <c r="L5501" s="14">
        <v>0.0</v>
      </c>
    </row>
    <row r="5502">
      <c r="A5502" s="14">
        <v>23.0</v>
      </c>
      <c r="B5502" s="14">
        <v>0.0</v>
      </c>
      <c r="C5502" s="34">
        <v>9.43</v>
      </c>
      <c r="D5502" s="36">
        <v>45268.0</v>
      </c>
      <c r="E5502" s="24"/>
      <c r="F5502" s="14" t="s">
        <v>6012</v>
      </c>
      <c r="G5502" s="14">
        <v>410.0</v>
      </c>
      <c r="H5502" s="14">
        <v>0.0</v>
      </c>
      <c r="I5502" s="14" t="s">
        <v>6057</v>
      </c>
      <c r="J5502" s="14" t="s">
        <v>6012</v>
      </c>
      <c r="K5502" s="14" t="s">
        <v>6012</v>
      </c>
      <c r="L5502" s="14">
        <v>0.0</v>
      </c>
    </row>
    <row r="5503">
      <c r="A5503" s="14">
        <v>0.0</v>
      </c>
      <c r="B5503" s="14">
        <v>1.0</v>
      </c>
      <c r="C5503" s="34">
        <v>0.0</v>
      </c>
      <c r="D5503" s="36">
        <v>45268.0</v>
      </c>
      <c r="E5503" s="24"/>
      <c r="F5503" s="14">
        <v>0.0</v>
      </c>
      <c r="G5503" s="14" t="s">
        <v>6012</v>
      </c>
      <c r="H5503" s="14" t="s">
        <v>6012</v>
      </c>
      <c r="I5503" s="14" t="s">
        <v>6064</v>
      </c>
      <c r="J5503" s="14">
        <v>0.0</v>
      </c>
      <c r="K5503" s="14" t="s">
        <v>6012</v>
      </c>
      <c r="L5503" s="14">
        <v>0.0</v>
      </c>
    </row>
    <row r="5504">
      <c r="A5504" s="14">
        <v>53.0</v>
      </c>
      <c r="B5504" s="14">
        <v>2.0</v>
      </c>
      <c r="C5504" s="34">
        <v>10.57</v>
      </c>
      <c r="D5504" s="36">
        <v>45268.0</v>
      </c>
      <c r="E5504" s="24"/>
      <c r="F5504" s="14">
        <v>5.28</v>
      </c>
      <c r="G5504" s="14">
        <v>199.43</v>
      </c>
      <c r="H5504" s="14">
        <v>3.77</v>
      </c>
      <c r="I5504" s="14" t="s">
        <v>6062</v>
      </c>
      <c r="J5504" s="14">
        <v>50.0</v>
      </c>
      <c r="K5504" s="14">
        <v>10.57</v>
      </c>
      <c r="L5504" s="14">
        <v>0.0</v>
      </c>
    </row>
    <row r="5505">
      <c r="A5505" s="14">
        <v>41.0</v>
      </c>
      <c r="B5505" s="14">
        <v>1.0</v>
      </c>
      <c r="C5505" s="34">
        <v>10.38</v>
      </c>
      <c r="D5505" s="36">
        <v>45268.0</v>
      </c>
      <c r="E5505" s="24"/>
      <c r="F5505" s="14">
        <v>10.38</v>
      </c>
      <c r="G5505" s="14">
        <v>253.17</v>
      </c>
      <c r="H5505" s="14">
        <v>2.44</v>
      </c>
      <c r="I5505" s="14" t="s">
        <v>6058</v>
      </c>
      <c r="J5505" s="14">
        <v>0.0</v>
      </c>
      <c r="K5505" s="14" t="s">
        <v>6012</v>
      </c>
      <c r="L5505" s="14">
        <v>0.0</v>
      </c>
    </row>
    <row r="5506">
      <c r="A5506" s="14">
        <v>43.0</v>
      </c>
      <c r="B5506" s="14">
        <v>17.0</v>
      </c>
      <c r="C5506" s="34">
        <v>29.44</v>
      </c>
      <c r="D5506" s="36">
        <v>45269.0</v>
      </c>
      <c r="E5506" s="24"/>
      <c r="F5506" s="14">
        <v>1.73</v>
      </c>
      <c r="G5506" s="14">
        <v>684.65</v>
      </c>
      <c r="H5506" s="14">
        <v>39.53</v>
      </c>
      <c r="I5506" s="14" t="s">
        <v>6067</v>
      </c>
      <c r="J5506" s="14">
        <v>0.0</v>
      </c>
      <c r="K5506" s="14" t="s">
        <v>6012</v>
      </c>
      <c r="L5506" s="14">
        <v>1.0</v>
      </c>
    </row>
    <row r="5507">
      <c r="A5507" s="14">
        <v>180.0</v>
      </c>
      <c r="B5507" s="14">
        <v>0.0</v>
      </c>
      <c r="C5507" s="34">
        <v>64.17</v>
      </c>
      <c r="D5507" s="36">
        <v>45269.0</v>
      </c>
      <c r="E5507" s="24"/>
      <c r="F5507" s="14" t="s">
        <v>6012</v>
      </c>
      <c r="G5507" s="14">
        <v>356.5</v>
      </c>
      <c r="H5507" s="14">
        <v>0.0</v>
      </c>
      <c r="I5507" s="14" t="s">
        <v>6066</v>
      </c>
      <c r="J5507" s="14" t="s">
        <v>6012</v>
      </c>
      <c r="K5507" s="14">
        <v>64.17</v>
      </c>
      <c r="L5507" s="14">
        <v>0.0</v>
      </c>
    </row>
    <row r="5508">
      <c r="A5508" s="14">
        <v>13.0</v>
      </c>
      <c r="B5508" s="14">
        <v>0.0</v>
      </c>
      <c r="C5508" s="34">
        <v>5.15</v>
      </c>
      <c r="D5508" s="36">
        <v>45269.0</v>
      </c>
      <c r="E5508" s="24"/>
      <c r="F5508" s="14" t="s">
        <v>6012</v>
      </c>
      <c r="G5508" s="14">
        <v>396.15</v>
      </c>
      <c r="H5508" s="14">
        <v>0.0</v>
      </c>
      <c r="I5508" s="14" t="s">
        <v>6058</v>
      </c>
      <c r="J5508" s="14" t="s">
        <v>6012</v>
      </c>
      <c r="K5508" s="14">
        <v>5.15</v>
      </c>
      <c r="L5508" s="14">
        <v>0.0</v>
      </c>
    </row>
    <row r="5509">
      <c r="A5509" s="14">
        <v>27.0</v>
      </c>
      <c r="B5509" s="14">
        <v>0.0</v>
      </c>
      <c r="C5509" s="34">
        <v>6.35</v>
      </c>
      <c r="D5509" s="36">
        <v>45269.0</v>
      </c>
      <c r="E5509" s="24"/>
      <c r="F5509" s="14" t="s">
        <v>6012</v>
      </c>
      <c r="G5509" s="14">
        <v>235.19</v>
      </c>
      <c r="H5509" s="14">
        <v>0.0</v>
      </c>
      <c r="I5509" s="14" t="s">
        <v>6062</v>
      </c>
      <c r="J5509" s="14" t="s">
        <v>6012</v>
      </c>
      <c r="K5509" s="14">
        <v>6.35</v>
      </c>
      <c r="L5509" s="14">
        <v>0.0</v>
      </c>
    </row>
    <row r="5510">
      <c r="A5510" s="14">
        <v>26.0</v>
      </c>
      <c r="B5510" s="14">
        <v>0.0</v>
      </c>
      <c r="C5510" s="34">
        <v>7.68</v>
      </c>
      <c r="D5510" s="36">
        <v>45269.0</v>
      </c>
      <c r="E5510" s="24"/>
      <c r="F5510" s="14" t="s">
        <v>6012</v>
      </c>
      <c r="G5510" s="14">
        <v>295.38</v>
      </c>
      <c r="H5510" s="14">
        <v>0.0</v>
      </c>
      <c r="I5510" s="14" t="s">
        <v>6063</v>
      </c>
      <c r="J5510" s="14" t="s">
        <v>6012</v>
      </c>
      <c r="K5510" s="14" t="s">
        <v>6012</v>
      </c>
      <c r="L5510" s="14">
        <v>0.0</v>
      </c>
    </row>
    <row r="5511">
      <c r="A5511" s="14">
        <v>9.0</v>
      </c>
      <c r="B5511" s="14">
        <v>0.0</v>
      </c>
      <c r="C5511" s="34">
        <v>6.88</v>
      </c>
      <c r="D5511" s="36">
        <v>45269.0</v>
      </c>
      <c r="E5511" s="24"/>
      <c r="F5511" s="14" t="s">
        <v>6012</v>
      </c>
      <c r="G5511" s="14">
        <v>764.44</v>
      </c>
      <c r="H5511" s="14">
        <v>0.0</v>
      </c>
      <c r="I5511" s="14" t="s">
        <v>6057</v>
      </c>
      <c r="J5511" s="14" t="s">
        <v>6012</v>
      </c>
      <c r="K5511" s="14" t="s">
        <v>6012</v>
      </c>
      <c r="L5511" s="14">
        <v>0.0</v>
      </c>
    </row>
    <row r="5512">
      <c r="A5512" s="14">
        <v>0.0</v>
      </c>
      <c r="B5512" s="14">
        <v>2.0</v>
      </c>
      <c r="C5512" s="34">
        <v>0.0</v>
      </c>
      <c r="D5512" s="36">
        <v>45269.0</v>
      </c>
      <c r="E5512" s="24"/>
      <c r="F5512" s="14">
        <v>0.0</v>
      </c>
      <c r="G5512" s="14" t="s">
        <v>6012</v>
      </c>
      <c r="H5512" s="14" t="s">
        <v>6012</v>
      </c>
      <c r="I5512" s="14" t="s">
        <v>6065</v>
      </c>
      <c r="J5512" s="14">
        <v>0.0</v>
      </c>
      <c r="K5512" s="14" t="s">
        <v>6012</v>
      </c>
      <c r="L5512" s="14">
        <v>0.0</v>
      </c>
    </row>
    <row r="5513">
      <c r="A5513" s="14">
        <v>420.0</v>
      </c>
      <c r="B5513" s="14">
        <v>4.0</v>
      </c>
      <c r="C5513" s="34">
        <v>6.8</v>
      </c>
      <c r="D5513" s="36">
        <v>45269.0</v>
      </c>
      <c r="E5513" s="24"/>
      <c r="F5513" s="14">
        <v>1.7</v>
      </c>
      <c r="G5513" s="14">
        <v>16.19</v>
      </c>
      <c r="H5513" s="14">
        <v>0.95</v>
      </c>
      <c r="I5513" s="14" t="s">
        <v>6051</v>
      </c>
      <c r="J5513" s="14">
        <v>0.0</v>
      </c>
      <c r="K5513" s="14" t="s">
        <v>6012</v>
      </c>
      <c r="L5513" s="14">
        <v>0.0</v>
      </c>
    </row>
    <row r="5514">
      <c r="A5514" s="14">
        <v>15.0</v>
      </c>
      <c r="B5514" s="14">
        <v>0.0</v>
      </c>
      <c r="C5514" s="34">
        <v>6.46</v>
      </c>
      <c r="D5514" s="36">
        <v>45269.0</v>
      </c>
      <c r="E5514" s="24"/>
      <c r="F5514" s="14" t="s">
        <v>6012</v>
      </c>
      <c r="G5514" s="14">
        <v>430.67</v>
      </c>
      <c r="H5514" s="14">
        <v>0.0</v>
      </c>
      <c r="I5514" s="14" t="s">
        <v>6059</v>
      </c>
      <c r="J5514" s="14" t="s">
        <v>6012</v>
      </c>
      <c r="K5514" s="14" t="s">
        <v>6012</v>
      </c>
      <c r="L5514" s="14">
        <v>0.0</v>
      </c>
    </row>
    <row r="5515">
      <c r="A5515" s="14">
        <v>15.0</v>
      </c>
      <c r="B5515" s="14">
        <v>0.0</v>
      </c>
      <c r="C5515" s="34">
        <v>6.32</v>
      </c>
      <c r="D5515" s="36">
        <v>45269.0</v>
      </c>
      <c r="E5515" s="24"/>
      <c r="F5515" s="14" t="s">
        <v>6012</v>
      </c>
      <c r="G5515" s="14">
        <v>421.33</v>
      </c>
      <c r="H5515" s="14">
        <v>0.0</v>
      </c>
      <c r="I5515" s="14" t="s">
        <v>6061</v>
      </c>
      <c r="J5515" s="14" t="s">
        <v>6012</v>
      </c>
      <c r="K5515" s="14" t="s">
        <v>6012</v>
      </c>
      <c r="L5515" s="14">
        <v>0.0</v>
      </c>
    </row>
    <row r="5516">
      <c r="A5516" s="14">
        <v>95.0</v>
      </c>
      <c r="B5516" s="14">
        <v>0.0</v>
      </c>
      <c r="C5516" s="34">
        <v>6.86</v>
      </c>
      <c r="D5516" s="36">
        <v>45269.0</v>
      </c>
      <c r="E5516" s="24"/>
      <c r="F5516" s="14" t="s">
        <v>6012</v>
      </c>
      <c r="G5516" s="14">
        <v>72.21</v>
      </c>
      <c r="H5516" s="14">
        <v>0.0</v>
      </c>
      <c r="I5516" s="14" t="s">
        <v>6060</v>
      </c>
      <c r="J5516" s="14" t="s">
        <v>6012</v>
      </c>
      <c r="K5516" s="14">
        <v>3.43</v>
      </c>
      <c r="L5516" s="14">
        <v>0.0</v>
      </c>
    </row>
    <row r="5517">
      <c r="A5517" s="14">
        <v>588.0</v>
      </c>
      <c r="B5517" s="14">
        <v>3.0</v>
      </c>
      <c r="C5517" s="34">
        <v>6.22</v>
      </c>
      <c r="D5517" s="36">
        <v>45269.0</v>
      </c>
      <c r="E5517" s="24"/>
      <c r="F5517" s="14">
        <v>2.07</v>
      </c>
      <c r="G5517" s="14">
        <v>10.58</v>
      </c>
      <c r="H5517" s="14">
        <v>0.51</v>
      </c>
      <c r="I5517" s="14" t="s">
        <v>6050</v>
      </c>
      <c r="J5517" s="14">
        <v>33.33</v>
      </c>
      <c r="K5517" s="14">
        <v>6.22</v>
      </c>
      <c r="L5517" s="14">
        <v>0.0</v>
      </c>
    </row>
    <row r="5518">
      <c r="A5518" s="14">
        <v>83.0</v>
      </c>
      <c r="B5518" s="14">
        <v>2.0</v>
      </c>
      <c r="C5518" s="34">
        <v>55.86</v>
      </c>
      <c r="D5518" s="36">
        <v>45270.0</v>
      </c>
      <c r="E5518" s="24"/>
      <c r="F5518" s="14">
        <v>27.93</v>
      </c>
      <c r="G5518" s="14">
        <v>673.01</v>
      </c>
      <c r="H5518" s="14">
        <v>2.41</v>
      </c>
      <c r="I5518" s="14" t="s">
        <v>6066</v>
      </c>
      <c r="J5518" s="14">
        <v>0.0</v>
      </c>
      <c r="K5518" s="14" t="s">
        <v>6012</v>
      </c>
      <c r="L5518" s="14">
        <v>0.0</v>
      </c>
    </row>
    <row r="5519">
      <c r="A5519" s="14">
        <v>53.0</v>
      </c>
      <c r="B5519" s="14">
        <v>0.0</v>
      </c>
      <c r="C5519" s="34">
        <v>4.34</v>
      </c>
      <c r="D5519" s="36">
        <v>45270.0</v>
      </c>
      <c r="E5519" s="24"/>
      <c r="F5519" s="14" t="s">
        <v>6012</v>
      </c>
      <c r="G5519" s="14">
        <v>81.89</v>
      </c>
      <c r="H5519" s="14">
        <v>0.0</v>
      </c>
      <c r="I5519" s="14" t="s">
        <v>6060</v>
      </c>
      <c r="J5519" s="14" t="s">
        <v>6012</v>
      </c>
      <c r="K5519" s="14" t="s">
        <v>6012</v>
      </c>
      <c r="L5519" s="14">
        <v>0.0</v>
      </c>
    </row>
    <row r="5520">
      <c r="A5520" s="14">
        <v>56.0</v>
      </c>
      <c r="B5520" s="14">
        <v>20.0</v>
      </c>
      <c r="C5520" s="34">
        <v>34.36</v>
      </c>
      <c r="D5520" s="36">
        <v>45270.0</v>
      </c>
      <c r="E5520" s="24"/>
      <c r="F5520" s="14">
        <v>1.72</v>
      </c>
      <c r="G5520" s="14">
        <v>613.57</v>
      </c>
      <c r="H5520" s="14">
        <v>35.71</v>
      </c>
      <c r="I5520" s="14" t="s">
        <v>6067</v>
      </c>
      <c r="J5520" s="14">
        <v>5.0</v>
      </c>
      <c r="K5520" s="14">
        <v>34.36</v>
      </c>
      <c r="L5520" s="14">
        <v>2.0</v>
      </c>
    </row>
    <row r="5521">
      <c r="A5521" s="14">
        <v>363.0</v>
      </c>
      <c r="B5521" s="14">
        <v>4.0</v>
      </c>
      <c r="C5521" s="34">
        <v>5.45</v>
      </c>
      <c r="D5521" s="36">
        <v>45270.0</v>
      </c>
      <c r="E5521" s="24"/>
      <c r="F5521" s="14">
        <v>1.36</v>
      </c>
      <c r="G5521" s="14">
        <v>15.01</v>
      </c>
      <c r="H5521" s="14">
        <v>1.1</v>
      </c>
      <c r="I5521" s="14" t="s">
        <v>6051</v>
      </c>
      <c r="J5521" s="14">
        <v>0.0</v>
      </c>
      <c r="K5521" s="14" t="s">
        <v>6012</v>
      </c>
      <c r="L5521" s="14">
        <v>0.0</v>
      </c>
    </row>
    <row r="5522">
      <c r="A5522" s="14">
        <v>9.0</v>
      </c>
      <c r="B5522" s="14">
        <v>0.0</v>
      </c>
      <c r="C5522" s="34">
        <v>0.64</v>
      </c>
      <c r="D5522" s="36">
        <v>45270.0</v>
      </c>
      <c r="E5522" s="24"/>
      <c r="F5522" s="14" t="s">
        <v>6012</v>
      </c>
      <c r="G5522" s="14">
        <v>71.11</v>
      </c>
      <c r="H5522" s="14">
        <v>0.0</v>
      </c>
      <c r="I5522" s="14" t="s">
        <v>6061</v>
      </c>
      <c r="J5522" s="14" t="s">
        <v>6012</v>
      </c>
      <c r="K5522" s="14" t="s">
        <v>6012</v>
      </c>
      <c r="L5522" s="14">
        <v>0.0</v>
      </c>
    </row>
    <row r="5523">
      <c r="A5523" s="14">
        <v>10.0</v>
      </c>
      <c r="B5523" s="14">
        <v>0.0</v>
      </c>
      <c r="C5523" s="34">
        <v>3.46</v>
      </c>
      <c r="D5523" s="36">
        <v>45270.0</v>
      </c>
      <c r="E5523" s="24"/>
      <c r="F5523" s="14" t="s">
        <v>6012</v>
      </c>
      <c r="G5523" s="14">
        <v>346.0</v>
      </c>
      <c r="H5523" s="14">
        <v>0.0</v>
      </c>
      <c r="I5523" s="14" t="s">
        <v>6058</v>
      </c>
      <c r="J5523" s="14" t="s">
        <v>6012</v>
      </c>
      <c r="K5523" s="14" t="s">
        <v>6012</v>
      </c>
      <c r="L5523" s="14">
        <v>0.0</v>
      </c>
    </row>
    <row r="5524">
      <c r="A5524" s="14">
        <v>14.0</v>
      </c>
      <c r="B5524" s="14">
        <v>0.0</v>
      </c>
      <c r="C5524" s="34">
        <v>4.9</v>
      </c>
      <c r="D5524" s="36">
        <v>45270.0</v>
      </c>
      <c r="E5524" s="24"/>
      <c r="F5524" s="14" t="s">
        <v>6012</v>
      </c>
      <c r="G5524" s="14">
        <v>350.0</v>
      </c>
      <c r="H5524" s="14">
        <v>0.0</v>
      </c>
      <c r="I5524" s="14" t="s">
        <v>6062</v>
      </c>
      <c r="J5524" s="14" t="s">
        <v>6012</v>
      </c>
      <c r="K5524" s="14" t="s">
        <v>6012</v>
      </c>
      <c r="L5524" s="14">
        <v>0.0</v>
      </c>
    </row>
    <row r="5525">
      <c r="A5525" s="14">
        <v>583.0</v>
      </c>
      <c r="B5525" s="14">
        <v>6.0</v>
      </c>
      <c r="C5525" s="34">
        <v>6.39</v>
      </c>
      <c r="D5525" s="36">
        <v>45270.0</v>
      </c>
      <c r="E5525" s="24"/>
      <c r="F5525" s="14">
        <v>1.06</v>
      </c>
      <c r="G5525" s="14">
        <v>10.96</v>
      </c>
      <c r="H5525" s="14">
        <v>1.03</v>
      </c>
      <c r="I5525" s="14" t="s">
        <v>6050</v>
      </c>
      <c r="J5525" s="14">
        <v>50.0</v>
      </c>
      <c r="K5525" s="14">
        <v>2.13</v>
      </c>
      <c r="L5525" s="14">
        <v>0.0</v>
      </c>
    </row>
    <row r="5526">
      <c r="A5526" s="14">
        <v>0.0</v>
      </c>
      <c r="B5526" s="14">
        <v>2.0</v>
      </c>
      <c r="C5526" s="34">
        <v>0.0</v>
      </c>
      <c r="D5526" s="36">
        <v>45270.0</v>
      </c>
      <c r="E5526" s="24"/>
      <c r="F5526" s="14">
        <v>0.0</v>
      </c>
      <c r="G5526" s="14" t="s">
        <v>6012</v>
      </c>
      <c r="H5526" s="14" t="s">
        <v>6012</v>
      </c>
      <c r="I5526" s="14" t="s">
        <v>6065</v>
      </c>
      <c r="J5526" s="14">
        <v>0.0</v>
      </c>
      <c r="K5526" s="14" t="s">
        <v>6012</v>
      </c>
      <c r="L5526" s="14">
        <v>0.0</v>
      </c>
    </row>
    <row r="5527">
      <c r="A5527" s="14">
        <v>13.0</v>
      </c>
      <c r="B5527" s="14">
        <v>0.0</v>
      </c>
      <c r="C5527" s="34">
        <v>3.07</v>
      </c>
      <c r="D5527" s="36">
        <v>45270.0</v>
      </c>
      <c r="E5527" s="24"/>
      <c r="F5527" s="14" t="s">
        <v>6012</v>
      </c>
      <c r="G5527" s="14">
        <v>236.15</v>
      </c>
      <c r="H5527" s="14">
        <v>0.0</v>
      </c>
      <c r="I5527" s="14" t="s">
        <v>6057</v>
      </c>
      <c r="J5527" s="14" t="s">
        <v>6012</v>
      </c>
      <c r="K5527" s="14" t="s">
        <v>6012</v>
      </c>
      <c r="L5527" s="14">
        <v>0.0</v>
      </c>
    </row>
    <row r="5528">
      <c r="A5528" s="14">
        <v>13.0</v>
      </c>
      <c r="B5528" s="14">
        <v>0.0</v>
      </c>
      <c r="C5528" s="34">
        <v>1.96</v>
      </c>
      <c r="D5528" s="36">
        <v>45270.0</v>
      </c>
      <c r="E5528" s="24"/>
      <c r="F5528" s="14" t="s">
        <v>6012</v>
      </c>
      <c r="G5528" s="14">
        <v>150.77</v>
      </c>
      <c r="H5528" s="14">
        <v>0.0</v>
      </c>
      <c r="I5528" s="14" t="s">
        <v>6063</v>
      </c>
      <c r="J5528" s="14" t="s">
        <v>6012</v>
      </c>
      <c r="K5528" s="14" t="s">
        <v>6012</v>
      </c>
      <c r="L5528" s="14">
        <v>0.0</v>
      </c>
    </row>
    <row r="5529">
      <c r="A5529" s="14">
        <v>37.0</v>
      </c>
      <c r="B5529" s="14">
        <v>0.0</v>
      </c>
      <c r="C5529" s="34">
        <v>5.2</v>
      </c>
      <c r="D5529" s="36">
        <v>45271.0</v>
      </c>
      <c r="E5529" s="24"/>
      <c r="F5529" s="14" t="s">
        <v>6012</v>
      </c>
      <c r="G5529" s="14">
        <v>140.54</v>
      </c>
      <c r="H5529" s="14">
        <v>0.0</v>
      </c>
      <c r="I5529" s="14" t="s">
        <v>6061</v>
      </c>
      <c r="J5529" s="14" t="s">
        <v>6012</v>
      </c>
      <c r="K5529" s="14" t="s">
        <v>6012</v>
      </c>
      <c r="L5529" s="14">
        <v>0.0</v>
      </c>
    </row>
    <row r="5530">
      <c r="A5530" s="14">
        <v>370.0</v>
      </c>
      <c r="B5530" s="14">
        <v>3.0</v>
      </c>
      <c r="C5530" s="34">
        <v>6.17</v>
      </c>
      <c r="D5530" s="36">
        <v>45271.0</v>
      </c>
      <c r="E5530" s="24"/>
      <c r="F5530" s="14">
        <v>2.06</v>
      </c>
      <c r="G5530" s="14">
        <v>16.68</v>
      </c>
      <c r="H5530" s="14">
        <v>0.81</v>
      </c>
      <c r="I5530" s="14" t="s">
        <v>6051</v>
      </c>
      <c r="J5530" s="14">
        <v>0.0</v>
      </c>
      <c r="K5530" s="14" t="s">
        <v>6012</v>
      </c>
      <c r="L5530" s="14">
        <v>0.0</v>
      </c>
    </row>
    <row r="5531">
      <c r="A5531" s="14">
        <v>0.0</v>
      </c>
      <c r="B5531" s="14">
        <v>3.0</v>
      </c>
      <c r="C5531" s="34">
        <v>0.0</v>
      </c>
      <c r="D5531" s="36">
        <v>45271.0</v>
      </c>
      <c r="E5531" s="24"/>
      <c r="F5531" s="14">
        <v>0.0</v>
      </c>
      <c r="G5531" s="14" t="s">
        <v>6012</v>
      </c>
      <c r="H5531" s="14" t="s">
        <v>6012</v>
      </c>
      <c r="I5531" s="14" t="s">
        <v>6065</v>
      </c>
      <c r="J5531" s="14">
        <v>0.0</v>
      </c>
      <c r="K5531" s="14" t="s">
        <v>6012</v>
      </c>
      <c r="L5531" s="14">
        <v>0.0</v>
      </c>
    </row>
    <row r="5532">
      <c r="A5532" s="14">
        <v>42.0</v>
      </c>
      <c r="B5532" s="14">
        <v>1.0</v>
      </c>
      <c r="C5532" s="34">
        <v>7.71</v>
      </c>
      <c r="D5532" s="36">
        <v>45271.0</v>
      </c>
      <c r="E5532" s="24"/>
      <c r="F5532" s="14">
        <v>7.71</v>
      </c>
      <c r="G5532" s="14">
        <v>183.57</v>
      </c>
      <c r="H5532" s="14">
        <v>2.38</v>
      </c>
      <c r="I5532" s="14" t="s">
        <v>6062</v>
      </c>
      <c r="J5532" s="14">
        <v>0.0</v>
      </c>
      <c r="K5532" s="14" t="s">
        <v>6012</v>
      </c>
      <c r="L5532" s="14">
        <v>0.0</v>
      </c>
    </row>
    <row r="5533">
      <c r="A5533" s="14">
        <v>23.0</v>
      </c>
      <c r="B5533" s="14">
        <v>0.0</v>
      </c>
      <c r="C5533" s="34">
        <v>13.08</v>
      </c>
      <c r="D5533" s="36">
        <v>45271.0</v>
      </c>
      <c r="E5533" s="24"/>
      <c r="F5533" s="14" t="s">
        <v>6012</v>
      </c>
      <c r="G5533" s="14">
        <v>568.7</v>
      </c>
      <c r="H5533" s="14">
        <v>0.0</v>
      </c>
      <c r="I5533" s="14" t="s">
        <v>6057</v>
      </c>
      <c r="J5533" s="14" t="s">
        <v>6012</v>
      </c>
      <c r="K5533" s="14" t="s">
        <v>6012</v>
      </c>
      <c r="L5533" s="14">
        <v>0.0</v>
      </c>
    </row>
    <row r="5534">
      <c r="A5534" s="14">
        <v>97.0</v>
      </c>
      <c r="B5534" s="14">
        <v>53.0</v>
      </c>
      <c r="C5534" s="34">
        <v>60.2</v>
      </c>
      <c r="D5534" s="36">
        <v>45271.0</v>
      </c>
      <c r="E5534" s="24"/>
      <c r="F5534" s="14">
        <v>1.14</v>
      </c>
      <c r="G5534" s="14">
        <v>620.62</v>
      </c>
      <c r="H5534" s="14">
        <v>54.64</v>
      </c>
      <c r="I5534" s="14" t="s">
        <v>6067</v>
      </c>
      <c r="J5534" s="14">
        <v>1.89</v>
      </c>
      <c r="K5534" s="14">
        <v>60.2</v>
      </c>
      <c r="L5534" s="14">
        <v>2.0</v>
      </c>
    </row>
    <row r="5535">
      <c r="A5535" s="14">
        <v>23.0</v>
      </c>
      <c r="B5535" s="14">
        <v>0.0</v>
      </c>
      <c r="C5535" s="34">
        <v>13.53</v>
      </c>
      <c r="D5535" s="36">
        <v>45271.0</v>
      </c>
      <c r="E5535" s="24"/>
      <c r="F5535" s="14" t="s">
        <v>6012</v>
      </c>
      <c r="G5535" s="14">
        <v>588.26</v>
      </c>
      <c r="H5535" s="14">
        <v>0.0</v>
      </c>
      <c r="I5535" s="14" t="s">
        <v>6059</v>
      </c>
      <c r="J5535" s="14" t="s">
        <v>6012</v>
      </c>
      <c r="K5535" s="14" t="s">
        <v>6012</v>
      </c>
      <c r="L5535" s="14">
        <v>0.0</v>
      </c>
    </row>
    <row r="5536">
      <c r="A5536" s="14">
        <v>689.0</v>
      </c>
      <c r="B5536" s="14">
        <v>1.0</v>
      </c>
      <c r="C5536" s="34">
        <v>7.19</v>
      </c>
      <c r="D5536" s="36">
        <v>45271.0</v>
      </c>
      <c r="E5536" s="24"/>
      <c r="F5536" s="14">
        <v>7.19</v>
      </c>
      <c r="G5536" s="14">
        <v>10.44</v>
      </c>
      <c r="H5536" s="14">
        <v>0.15</v>
      </c>
      <c r="I5536" s="14" t="s">
        <v>6050</v>
      </c>
      <c r="J5536" s="14">
        <v>0.0</v>
      </c>
      <c r="K5536" s="14" t="s">
        <v>6012</v>
      </c>
      <c r="L5536" s="14">
        <v>0.0</v>
      </c>
    </row>
    <row r="5537">
      <c r="A5537" s="14">
        <v>175.0</v>
      </c>
      <c r="B5537" s="14">
        <v>2.0</v>
      </c>
      <c r="C5537" s="34">
        <v>53.88</v>
      </c>
      <c r="D5537" s="36">
        <v>45271.0</v>
      </c>
      <c r="E5537" s="24"/>
      <c r="F5537" s="14">
        <v>26.94</v>
      </c>
      <c r="G5537" s="14">
        <v>307.89</v>
      </c>
      <c r="H5537" s="14">
        <v>1.14</v>
      </c>
      <c r="I5537" s="14" t="s">
        <v>6066</v>
      </c>
      <c r="J5537" s="14">
        <v>50.0</v>
      </c>
      <c r="K5537" s="14">
        <v>53.88</v>
      </c>
      <c r="L5537" s="14">
        <v>1.0</v>
      </c>
    </row>
    <row r="5538">
      <c r="A5538" s="14">
        <v>0.0</v>
      </c>
      <c r="B5538" s="14">
        <v>1.0</v>
      </c>
      <c r="C5538" s="34">
        <v>0.0</v>
      </c>
      <c r="D5538" s="36">
        <v>45271.0</v>
      </c>
      <c r="E5538" s="24"/>
      <c r="F5538" s="14">
        <v>0.0</v>
      </c>
      <c r="G5538" s="14" t="s">
        <v>6012</v>
      </c>
      <c r="H5538" s="14" t="s">
        <v>6012</v>
      </c>
      <c r="I5538" s="14" t="s">
        <v>6064</v>
      </c>
      <c r="J5538" s="14">
        <v>0.0</v>
      </c>
      <c r="K5538" s="14" t="s">
        <v>6012</v>
      </c>
      <c r="L5538" s="14">
        <v>0.0</v>
      </c>
    </row>
    <row r="5539">
      <c r="A5539" s="14">
        <v>69.0</v>
      </c>
      <c r="B5539" s="14">
        <v>0.0</v>
      </c>
      <c r="C5539" s="34">
        <v>8.93</v>
      </c>
      <c r="D5539" s="36">
        <v>45271.0</v>
      </c>
      <c r="E5539" s="24"/>
      <c r="F5539" s="14" t="s">
        <v>6012</v>
      </c>
      <c r="G5539" s="14">
        <v>129.42</v>
      </c>
      <c r="H5539" s="14">
        <v>0.0</v>
      </c>
      <c r="I5539" s="14" t="s">
        <v>6060</v>
      </c>
      <c r="J5539" s="14" t="s">
        <v>6012</v>
      </c>
      <c r="K5539" s="14" t="s">
        <v>6012</v>
      </c>
      <c r="L5539" s="14">
        <v>0.0</v>
      </c>
    </row>
    <row r="5540">
      <c r="A5540" s="14">
        <v>51.0</v>
      </c>
      <c r="B5540" s="14">
        <v>0.0</v>
      </c>
      <c r="C5540" s="34">
        <v>13.39</v>
      </c>
      <c r="D5540" s="36">
        <v>45271.0</v>
      </c>
      <c r="E5540" s="24"/>
      <c r="F5540" s="14" t="s">
        <v>6012</v>
      </c>
      <c r="G5540" s="14">
        <v>262.55</v>
      </c>
      <c r="H5540" s="14">
        <v>0.0</v>
      </c>
      <c r="I5540" s="14" t="s">
        <v>6058</v>
      </c>
      <c r="J5540" s="14" t="s">
        <v>6012</v>
      </c>
      <c r="K5540" s="14" t="s">
        <v>6012</v>
      </c>
      <c r="L5540" s="14">
        <v>0.0</v>
      </c>
    </row>
    <row r="5541">
      <c r="A5541" s="14">
        <v>20.0</v>
      </c>
      <c r="B5541" s="14">
        <v>0.0</v>
      </c>
      <c r="C5541" s="34">
        <v>2.93</v>
      </c>
      <c r="D5541" s="36">
        <v>45271.0</v>
      </c>
      <c r="E5541" s="24"/>
      <c r="F5541" s="14" t="s">
        <v>6012</v>
      </c>
      <c r="G5541" s="14">
        <v>146.5</v>
      </c>
      <c r="H5541" s="14">
        <v>0.0</v>
      </c>
      <c r="I5541" s="14" t="s">
        <v>6063</v>
      </c>
      <c r="J5541" s="14" t="s">
        <v>6012</v>
      </c>
      <c r="K5541" s="14" t="s">
        <v>6012</v>
      </c>
      <c r="L5541" s="14">
        <v>0.0</v>
      </c>
    </row>
    <row r="5542">
      <c r="A5542" s="14">
        <v>26.0</v>
      </c>
      <c r="B5542" s="14">
        <v>0.0</v>
      </c>
      <c r="C5542" s="34">
        <v>13.0</v>
      </c>
      <c r="D5542" s="36">
        <v>45272.0</v>
      </c>
      <c r="E5542" s="24"/>
      <c r="F5542" s="14" t="s">
        <v>6012</v>
      </c>
      <c r="G5542" s="14">
        <v>500.0</v>
      </c>
      <c r="H5542" s="14">
        <v>0.0</v>
      </c>
      <c r="I5542" s="14" t="s">
        <v>6059</v>
      </c>
      <c r="J5542" s="14" t="s">
        <v>6012</v>
      </c>
      <c r="K5542" s="14">
        <v>13.0</v>
      </c>
      <c r="L5542" s="14">
        <v>0.0</v>
      </c>
    </row>
    <row r="5543">
      <c r="A5543" s="14">
        <v>26.0</v>
      </c>
      <c r="B5543" s="14">
        <v>1.0</v>
      </c>
      <c r="C5543" s="34">
        <v>13.25</v>
      </c>
      <c r="D5543" s="36">
        <v>45272.0</v>
      </c>
      <c r="E5543" s="24"/>
      <c r="F5543" s="14">
        <v>13.25</v>
      </c>
      <c r="G5543" s="14">
        <v>509.62</v>
      </c>
      <c r="H5543" s="14">
        <v>3.85</v>
      </c>
      <c r="I5543" s="14" t="s">
        <v>6057</v>
      </c>
      <c r="J5543" s="14">
        <v>0.0</v>
      </c>
      <c r="K5543" s="14" t="s">
        <v>6012</v>
      </c>
      <c r="L5543" s="14">
        <v>0.0</v>
      </c>
    </row>
    <row r="5544">
      <c r="A5544" s="14">
        <v>30.0</v>
      </c>
      <c r="B5544" s="14">
        <v>0.0</v>
      </c>
      <c r="C5544" s="34">
        <v>15.0</v>
      </c>
      <c r="D5544" s="36">
        <v>45272.0</v>
      </c>
      <c r="E5544" s="24"/>
      <c r="F5544" s="14" t="s">
        <v>6012</v>
      </c>
      <c r="G5544" s="14">
        <v>500.0</v>
      </c>
      <c r="H5544" s="14">
        <v>0.0</v>
      </c>
      <c r="I5544" s="14" t="s">
        <v>6058</v>
      </c>
      <c r="J5544" s="14" t="s">
        <v>6012</v>
      </c>
      <c r="K5544" s="14" t="s">
        <v>6012</v>
      </c>
      <c r="L5544" s="14">
        <v>0.0</v>
      </c>
    </row>
    <row r="5545">
      <c r="A5545" s="14">
        <v>216.0</v>
      </c>
      <c r="B5545" s="14">
        <v>144.0</v>
      </c>
      <c r="C5545" s="34">
        <v>119.4</v>
      </c>
      <c r="D5545" s="36">
        <v>45272.0</v>
      </c>
      <c r="E5545" s="24"/>
      <c r="F5545" s="14">
        <v>0.83</v>
      </c>
      <c r="G5545" s="14">
        <v>552.78</v>
      </c>
      <c r="H5545" s="14">
        <v>66.67</v>
      </c>
      <c r="I5545" s="14" t="s">
        <v>6067</v>
      </c>
      <c r="J5545" s="14">
        <v>1.39</v>
      </c>
      <c r="K5545" s="14">
        <v>59.7</v>
      </c>
      <c r="L5545" s="14">
        <v>11.0</v>
      </c>
    </row>
    <row r="5546">
      <c r="A5546" s="14">
        <v>0.0</v>
      </c>
      <c r="B5546" s="14">
        <v>0.0</v>
      </c>
      <c r="C5546" s="34"/>
      <c r="D5546" s="36">
        <v>45272.0</v>
      </c>
      <c r="E5546" s="24"/>
      <c r="F5546" s="14" t="s">
        <v>6012</v>
      </c>
      <c r="G5546" s="14" t="s">
        <v>6012</v>
      </c>
      <c r="H5546" s="14" t="s">
        <v>6012</v>
      </c>
      <c r="I5546" s="14" t="s">
        <v>6066</v>
      </c>
      <c r="J5546" s="14" t="s">
        <v>6012</v>
      </c>
      <c r="K5546" s="14" t="s">
        <v>6012</v>
      </c>
      <c r="L5546" s="14"/>
    </row>
    <row r="5547">
      <c r="A5547" s="14">
        <v>0.0</v>
      </c>
      <c r="B5547" s="14">
        <v>0.0</v>
      </c>
      <c r="C5547" s="34"/>
      <c r="D5547" s="36">
        <v>45272.0</v>
      </c>
      <c r="E5547" s="24"/>
      <c r="F5547" s="14" t="s">
        <v>6012</v>
      </c>
      <c r="G5547" s="14" t="s">
        <v>6012</v>
      </c>
      <c r="H5547" s="14" t="s">
        <v>6012</v>
      </c>
      <c r="I5547" s="14" t="s">
        <v>6062</v>
      </c>
      <c r="J5547" s="14" t="s">
        <v>6012</v>
      </c>
      <c r="K5547" s="14" t="s">
        <v>6012</v>
      </c>
      <c r="L5547" s="14"/>
    </row>
    <row r="5548">
      <c r="A5548" s="14">
        <v>0.0</v>
      </c>
      <c r="B5548" s="14">
        <v>3.0</v>
      </c>
      <c r="C5548" s="34">
        <v>0.0</v>
      </c>
      <c r="D5548" s="36">
        <v>45272.0</v>
      </c>
      <c r="E5548" s="24"/>
      <c r="F5548" s="14">
        <v>0.0</v>
      </c>
      <c r="G5548" s="14" t="s">
        <v>6012</v>
      </c>
      <c r="H5548" s="14" t="s">
        <v>6012</v>
      </c>
      <c r="I5548" s="14" t="s">
        <v>6065</v>
      </c>
      <c r="J5548" s="14">
        <v>0.0</v>
      </c>
      <c r="K5548" s="14" t="s">
        <v>6012</v>
      </c>
      <c r="L5548" s="14">
        <v>0.0</v>
      </c>
    </row>
    <row r="5549">
      <c r="A5549" s="14">
        <v>0.0</v>
      </c>
      <c r="B5549" s="14">
        <v>1.0</v>
      </c>
      <c r="C5549" s="34">
        <v>0.0</v>
      </c>
      <c r="D5549" s="36">
        <v>45273.0</v>
      </c>
      <c r="E5549" s="24"/>
      <c r="F5549" s="14">
        <v>0.0</v>
      </c>
      <c r="G5549" s="14" t="s">
        <v>6012</v>
      </c>
      <c r="H5549" s="14" t="s">
        <v>6012</v>
      </c>
      <c r="I5549" s="14" t="s">
        <v>6064</v>
      </c>
      <c r="J5549" s="14">
        <v>0.0</v>
      </c>
      <c r="K5549" s="14" t="s">
        <v>6012</v>
      </c>
      <c r="L5549" s="14">
        <v>0.0</v>
      </c>
    </row>
    <row r="5550">
      <c r="A5550" s="14">
        <v>31.0</v>
      </c>
      <c r="B5550" s="14">
        <v>1.0</v>
      </c>
      <c r="C5550" s="34">
        <v>14.44</v>
      </c>
      <c r="D5550" s="36">
        <v>45273.0</v>
      </c>
      <c r="E5550" s="24"/>
      <c r="F5550" s="14">
        <v>14.44</v>
      </c>
      <c r="G5550" s="14">
        <v>465.81</v>
      </c>
      <c r="H5550" s="14">
        <v>3.23</v>
      </c>
      <c r="I5550" s="14" t="s">
        <v>6059</v>
      </c>
      <c r="J5550" s="14">
        <v>0.0</v>
      </c>
      <c r="K5550" s="14" t="s">
        <v>6012</v>
      </c>
      <c r="L5550" s="14">
        <v>0.0</v>
      </c>
    </row>
    <row r="5551">
      <c r="A5551" s="14">
        <v>130.0</v>
      </c>
      <c r="B5551" s="14">
        <v>65.0</v>
      </c>
      <c r="C5551" s="34">
        <v>79.84</v>
      </c>
      <c r="D5551" s="36">
        <v>45273.0</v>
      </c>
      <c r="E5551" s="24"/>
      <c r="F5551" s="14">
        <v>1.23</v>
      </c>
      <c r="G5551" s="14">
        <v>614.15</v>
      </c>
      <c r="H5551" s="14">
        <v>50.0</v>
      </c>
      <c r="I5551" s="14" t="s">
        <v>6067</v>
      </c>
      <c r="J5551" s="14">
        <v>0.0</v>
      </c>
      <c r="K5551" s="14" t="s">
        <v>6012</v>
      </c>
      <c r="L5551" s="14">
        <v>4.0</v>
      </c>
    </row>
    <row r="5552">
      <c r="A5552" s="14">
        <v>20.0</v>
      </c>
      <c r="B5552" s="14">
        <v>0.0</v>
      </c>
      <c r="C5552" s="34">
        <v>12.91</v>
      </c>
      <c r="D5552" s="36">
        <v>45273.0</v>
      </c>
      <c r="E5552" s="24"/>
      <c r="F5552" s="14" t="s">
        <v>6012</v>
      </c>
      <c r="G5552" s="14">
        <v>645.5</v>
      </c>
      <c r="H5552" s="14">
        <v>0.0</v>
      </c>
      <c r="I5552" s="14" t="s">
        <v>6057</v>
      </c>
      <c r="J5552" s="14" t="s">
        <v>6012</v>
      </c>
      <c r="K5552" s="14" t="s">
        <v>6012</v>
      </c>
      <c r="L5552" s="14">
        <v>0.0</v>
      </c>
    </row>
    <row r="5553">
      <c r="A5553" s="14">
        <v>0.0</v>
      </c>
      <c r="B5553" s="14">
        <v>3.0</v>
      </c>
      <c r="C5553" s="34">
        <v>0.0</v>
      </c>
      <c r="D5553" s="36">
        <v>45273.0</v>
      </c>
      <c r="E5553" s="24"/>
      <c r="F5553" s="14">
        <v>0.0</v>
      </c>
      <c r="G5553" s="14" t="s">
        <v>6012</v>
      </c>
      <c r="H5553" s="14" t="s">
        <v>6012</v>
      </c>
      <c r="I5553" s="14" t="s">
        <v>6065</v>
      </c>
      <c r="J5553" s="14">
        <v>0.0</v>
      </c>
      <c r="K5553" s="14" t="s">
        <v>6012</v>
      </c>
      <c r="L5553" s="14">
        <v>0.0</v>
      </c>
    </row>
    <row r="5554">
      <c r="A5554" s="14">
        <v>50.0</v>
      </c>
      <c r="B5554" s="14">
        <v>0.0</v>
      </c>
      <c r="C5554" s="34">
        <v>11.85</v>
      </c>
      <c r="D5554" s="36">
        <v>45273.0</v>
      </c>
      <c r="E5554" s="24"/>
      <c r="F5554" s="14" t="s">
        <v>6012</v>
      </c>
      <c r="G5554" s="14">
        <v>237.0</v>
      </c>
      <c r="H5554" s="14">
        <v>0.0</v>
      </c>
      <c r="I5554" s="14" t="s">
        <v>6058</v>
      </c>
      <c r="J5554" s="14" t="s">
        <v>6012</v>
      </c>
      <c r="K5554" s="14" t="s">
        <v>6012</v>
      </c>
      <c r="L5554" s="14">
        <v>0.0</v>
      </c>
    </row>
    <row r="5555">
      <c r="A5555" s="14">
        <v>94.0</v>
      </c>
      <c r="B5555" s="14">
        <v>53.0</v>
      </c>
      <c r="C5555" s="34">
        <v>60.48</v>
      </c>
      <c r="D5555" s="36">
        <v>45274.0</v>
      </c>
      <c r="E5555" s="24"/>
      <c r="F5555" s="14">
        <v>1.14</v>
      </c>
      <c r="G5555" s="14">
        <v>643.4</v>
      </c>
      <c r="H5555" s="14">
        <v>56.38</v>
      </c>
      <c r="I5555" s="14" t="s">
        <v>6067</v>
      </c>
      <c r="J5555" s="14">
        <v>3.77</v>
      </c>
      <c r="K5555" s="14">
        <v>30.24</v>
      </c>
      <c r="L5555" s="14">
        <v>1.0</v>
      </c>
    </row>
    <row r="5556">
      <c r="A5556" s="14">
        <v>18.0</v>
      </c>
      <c r="B5556" s="14">
        <v>1.0</v>
      </c>
      <c r="C5556" s="34">
        <v>12.06</v>
      </c>
      <c r="D5556" s="36">
        <v>45274.0</v>
      </c>
      <c r="E5556" s="24"/>
      <c r="F5556" s="14">
        <v>12.06</v>
      </c>
      <c r="G5556" s="14">
        <v>670.0</v>
      </c>
      <c r="H5556" s="14">
        <v>5.56</v>
      </c>
      <c r="I5556" s="14" t="s">
        <v>6057</v>
      </c>
      <c r="J5556" s="14">
        <v>0.0</v>
      </c>
      <c r="K5556" s="14" t="s">
        <v>6012</v>
      </c>
      <c r="L5556" s="14">
        <v>0.0</v>
      </c>
    </row>
    <row r="5557">
      <c r="A5557" s="14">
        <v>33.0</v>
      </c>
      <c r="B5557" s="14">
        <v>0.0</v>
      </c>
      <c r="C5557" s="34">
        <v>11.07</v>
      </c>
      <c r="D5557" s="36">
        <v>45274.0</v>
      </c>
      <c r="E5557" s="24"/>
      <c r="F5557" s="14" t="s">
        <v>6012</v>
      </c>
      <c r="G5557" s="14">
        <v>335.45</v>
      </c>
      <c r="H5557" s="14">
        <v>0.0</v>
      </c>
      <c r="I5557" s="14" t="s">
        <v>6058</v>
      </c>
      <c r="J5557" s="14" t="s">
        <v>6012</v>
      </c>
      <c r="K5557" s="14">
        <v>11.07</v>
      </c>
      <c r="L5557" s="14">
        <v>0.0</v>
      </c>
    </row>
    <row r="5558">
      <c r="A5558" s="14">
        <v>0.0</v>
      </c>
      <c r="B5558" s="14">
        <v>0.0</v>
      </c>
      <c r="C5558" s="34"/>
      <c r="D5558" s="36">
        <v>45274.0</v>
      </c>
      <c r="E5558" s="24"/>
      <c r="F5558" s="14" t="s">
        <v>6012</v>
      </c>
      <c r="G5558" s="14" t="s">
        <v>6012</v>
      </c>
      <c r="H5558" s="14" t="s">
        <v>6012</v>
      </c>
      <c r="I5558" s="14" t="s">
        <v>6066</v>
      </c>
      <c r="J5558" s="14" t="s">
        <v>6012</v>
      </c>
      <c r="K5558" s="14" t="s">
        <v>6012</v>
      </c>
      <c r="L5558" s="14"/>
    </row>
    <row r="5559">
      <c r="A5559" s="14">
        <v>0.0</v>
      </c>
      <c r="B5559" s="14">
        <v>0.0</v>
      </c>
      <c r="C5559" s="34"/>
      <c r="D5559" s="36">
        <v>45274.0</v>
      </c>
      <c r="E5559" s="24"/>
      <c r="F5559" s="14" t="s">
        <v>6012</v>
      </c>
      <c r="G5559" s="14" t="s">
        <v>6012</v>
      </c>
      <c r="H5559" s="14" t="s">
        <v>6012</v>
      </c>
      <c r="I5559" s="14" t="s">
        <v>6050</v>
      </c>
      <c r="J5559" s="14" t="s">
        <v>6012</v>
      </c>
      <c r="K5559" s="14" t="s">
        <v>6012</v>
      </c>
      <c r="L5559" s="14"/>
    </row>
    <row r="5560">
      <c r="A5560" s="14">
        <v>0.0</v>
      </c>
      <c r="B5560" s="14">
        <v>5.0</v>
      </c>
      <c r="C5560" s="34">
        <v>0.0</v>
      </c>
      <c r="D5560" s="36">
        <v>45274.0</v>
      </c>
      <c r="E5560" s="24"/>
      <c r="F5560" s="14">
        <v>0.0</v>
      </c>
      <c r="G5560" s="14" t="s">
        <v>6012</v>
      </c>
      <c r="H5560" s="14" t="s">
        <v>6012</v>
      </c>
      <c r="I5560" s="14" t="s">
        <v>6065</v>
      </c>
      <c r="J5560" s="14">
        <v>0.0</v>
      </c>
      <c r="K5560" s="14" t="s">
        <v>6012</v>
      </c>
      <c r="L5560" s="14">
        <v>0.0</v>
      </c>
    </row>
    <row r="5561">
      <c r="A5561" s="14">
        <v>27.0</v>
      </c>
      <c r="B5561" s="14">
        <v>0.0</v>
      </c>
      <c r="C5561" s="34">
        <v>11.03</v>
      </c>
      <c r="D5561" s="36">
        <v>45274.0</v>
      </c>
      <c r="E5561" s="24"/>
      <c r="F5561" s="14" t="s">
        <v>6012</v>
      </c>
      <c r="G5561" s="14">
        <v>408.52</v>
      </c>
      <c r="H5561" s="14">
        <v>0.0</v>
      </c>
      <c r="I5561" s="14" t="s">
        <v>6059</v>
      </c>
      <c r="J5561" s="14" t="s">
        <v>6012</v>
      </c>
      <c r="K5561" s="14" t="s">
        <v>6012</v>
      </c>
      <c r="L5561" s="14">
        <v>0.0</v>
      </c>
    </row>
    <row r="5562">
      <c r="A5562" s="14">
        <v>0.0</v>
      </c>
      <c r="B5562" s="14">
        <v>0.0</v>
      </c>
      <c r="C5562" s="34"/>
      <c r="D5562" s="36">
        <v>45275.0</v>
      </c>
      <c r="E5562" s="24"/>
      <c r="F5562" s="14" t="s">
        <v>6012</v>
      </c>
      <c r="G5562" s="14" t="s">
        <v>6012</v>
      </c>
      <c r="H5562" s="14" t="s">
        <v>6012</v>
      </c>
      <c r="I5562" s="14" t="s">
        <v>6066</v>
      </c>
      <c r="J5562" s="14" t="s">
        <v>6012</v>
      </c>
      <c r="K5562" s="14" t="s">
        <v>6012</v>
      </c>
      <c r="L5562" s="14"/>
    </row>
    <row r="5563">
      <c r="A5563" s="14">
        <v>14.0</v>
      </c>
      <c r="B5563" s="14">
        <v>0.0</v>
      </c>
      <c r="C5563" s="34">
        <v>9.53</v>
      </c>
      <c r="D5563" s="36">
        <v>45275.0</v>
      </c>
      <c r="E5563" s="24"/>
      <c r="F5563" s="14" t="s">
        <v>6012</v>
      </c>
      <c r="G5563" s="14">
        <v>680.71</v>
      </c>
      <c r="H5563" s="14">
        <v>0.0</v>
      </c>
      <c r="I5563" s="14" t="s">
        <v>6057</v>
      </c>
      <c r="J5563" s="14" t="s">
        <v>6012</v>
      </c>
      <c r="K5563" s="14" t="s">
        <v>6012</v>
      </c>
      <c r="L5563" s="14">
        <v>0.0</v>
      </c>
    </row>
    <row r="5564">
      <c r="A5564" s="14">
        <v>35.0</v>
      </c>
      <c r="B5564" s="14">
        <v>1.0</v>
      </c>
      <c r="C5564" s="34">
        <v>9.35</v>
      </c>
      <c r="D5564" s="36">
        <v>45275.0</v>
      </c>
      <c r="E5564" s="24"/>
      <c r="F5564" s="14">
        <v>9.35</v>
      </c>
      <c r="G5564" s="14">
        <v>267.14</v>
      </c>
      <c r="H5564" s="14">
        <v>2.86</v>
      </c>
      <c r="I5564" s="14" t="s">
        <v>6058</v>
      </c>
      <c r="J5564" s="14">
        <v>0.0</v>
      </c>
      <c r="K5564" s="14" t="s">
        <v>6012</v>
      </c>
      <c r="L5564" s="14">
        <v>0.0</v>
      </c>
    </row>
    <row r="5565">
      <c r="A5565" s="14">
        <v>0.0</v>
      </c>
      <c r="B5565" s="14">
        <v>4.0</v>
      </c>
      <c r="C5565" s="34">
        <v>0.0</v>
      </c>
      <c r="D5565" s="36">
        <v>45275.0</v>
      </c>
      <c r="E5565" s="24"/>
      <c r="F5565" s="14">
        <v>0.0</v>
      </c>
      <c r="G5565" s="14" t="s">
        <v>6012</v>
      </c>
      <c r="H5565" s="14" t="s">
        <v>6012</v>
      </c>
      <c r="I5565" s="14" t="s">
        <v>6065</v>
      </c>
      <c r="J5565" s="14">
        <v>0.0</v>
      </c>
      <c r="K5565" s="14" t="s">
        <v>6012</v>
      </c>
      <c r="L5565" s="14">
        <v>0.0</v>
      </c>
    </row>
    <row r="5566">
      <c r="A5566" s="14">
        <v>122.0</v>
      </c>
      <c r="B5566" s="14">
        <v>59.0</v>
      </c>
      <c r="C5566" s="34">
        <v>77.63</v>
      </c>
      <c r="D5566" s="36">
        <v>45275.0</v>
      </c>
      <c r="E5566" s="24"/>
      <c r="F5566" s="14">
        <v>1.32</v>
      </c>
      <c r="G5566" s="14">
        <v>636.31</v>
      </c>
      <c r="H5566" s="14">
        <v>48.36</v>
      </c>
      <c r="I5566" s="14" t="s">
        <v>6067</v>
      </c>
      <c r="J5566" s="14">
        <v>0.0</v>
      </c>
      <c r="K5566" s="14" t="s">
        <v>6012</v>
      </c>
      <c r="L5566" s="14">
        <v>2.0</v>
      </c>
    </row>
    <row r="5567">
      <c r="A5567" s="14">
        <v>19.0</v>
      </c>
      <c r="B5567" s="14">
        <v>0.0</v>
      </c>
      <c r="C5567" s="34">
        <v>9.33</v>
      </c>
      <c r="D5567" s="36">
        <v>45275.0</v>
      </c>
      <c r="E5567" s="24"/>
      <c r="F5567" s="14" t="s">
        <v>6012</v>
      </c>
      <c r="G5567" s="14">
        <v>491.05</v>
      </c>
      <c r="H5567" s="14">
        <v>0.0</v>
      </c>
      <c r="I5567" s="14" t="s">
        <v>6059</v>
      </c>
      <c r="J5567" s="14" t="s">
        <v>6012</v>
      </c>
      <c r="K5567" s="14" t="s">
        <v>6012</v>
      </c>
      <c r="L5567" s="14">
        <v>0.0</v>
      </c>
    </row>
    <row r="5568">
      <c r="A5568" s="14">
        <v>62.0</v>
      </c>
      <c r="B5568" s="14">
        <v>34.0</v>
      </c>
      <c r="C5568" s="34">
        <v>37.65</v>
      </c>
      <c r="D5568" s="36">
        <v>45276.0</v>
      </c>
      <c r="E5568" s="24"/>
      <c r="F5568" s="14">
        <v>1.11</v>
      </c>
      <c r="G5568" s="14">
        <v>607.26</v>
      </c>
      <c r="H5568" s="14">
        <v>54.84</v>
      </c>
      <c r="I5568" s="14" t="s">
        <v>6067</v>
      </c>
      <c r="J5568" s="14">
        <v>0.0</v>
      </c>
      <c r="K5568" s="14" t="s">
        <v>6012</v>
      </c>
      <c r="L5568" s="14">
        <v>0.0</v>
      </c>
    </row>
    <row r="5569">
      <c r="A5569" s="14">
        <v>15.0</v>
      </c>
      <c r="B5569" s="14">
        <v>0.0</v>
      </c>
      <c r="C5569" s="34">
        <v>6.53</v>
      </c>
      <c r="D5569" s="36">
        <v>45276.0</v>
      </c>
      <c r="E5569" s="24"/>
      <c r="F5569" s="14" t="s">
        <v>6012</v>
      </c>
      <c r="G5569" s="14">
        <v>435.33</v>
      </c>
      <c r="H5569" s="14">
        <v>0.0</v>
      </c>
      <c r="I5569" s="14" t="s">
        <v>6059</v>
      </c>
      <c r="J5569" s="14" t="s">
        <v>6012</v>
      </c>
      <c r="K5569" s="14" t="s">
        <v>6012</v>
      </c>
      <c r="L5569" s="14">
        <v>0.0</v>
      </c>
    </row>
    <row r="5570">
      <c r="A5570" s="14">
        <v>0.0</v>
      </c>
      <c r="B5570" s="14">
        <v>2.0</v>
      </c>
      <c r="C5570" s="34">
        <v>0.0</v>
      </c>
      <c r="D5570" s="36">
        <v>45276.0</v>
      </c>
      <c r="E5570" s="24"/>
      <c r="F5570" s="14">
        <v>0.0</v>
      </c>
      <c r="G5570" s="14" t="s">
        <v>6012</v>
      </c>
      <c r="H5570" s="14" t="s">
        <v>6012</v>
      </c>
      <c r="I5570" s="14" t="s">
        <v>6065</v>
      </c>
      <c r="J5570" s="14">
        <v>0.0</v>
      </c>
      <c r="K5570" s="14" t="s">
        <v>6012</v>
      </c>
      <c r="L5570" s="14">
        <v>0.0</v>
      </c>
    </row>
    <row r="5571">
      <c r="A5571" s="14">
        <v>9.0</v>
      </c>
      <c r="B5571" s="14">
        <v>0.0</v>
      </c>
      <c r="C5571" s="34">
        <v>6.33</v>
      </c>
      <c r="D5571" s="36">
        <v>45276.0</v>
      </c>
      <c r="E5571" s="24"/>
      <c r="F5571" s="14" t="s">
        <v>6012</v>
      </c>
      <c r="G5571" s="14">
        <v>703.33</v>
      </c>
      <c r="H5571" s="14">
        <v>0.0</v>
      </c>
      <c r="I5571" s="14" t="s">
        <v>6057</v>
      </c>
      <c r="J5571" s="14" t="s">
        <v>6012</v>
      </c>
      <c r="K5571" s="14" t="s">
        <v>6012</v>
      </c>
      <c r="L5571" s="14">
        <v>0.0</v>
      </c>
    </row>
    <row r="5572">
      <c r="A5572" s="14">
        <v>16.0</v>
      </c>
      <c r="B5572" s="14">
        <v>0.0</v>
      </c>
      <c r="C5572" s="34">
        <v>6.68</v>
      </c>
      <c r="D5572" s="36">
        <v>45276.0</v>
      </c>
      <c r="E5572" s="24"/>
      <c r="F5572" s="14" t="s">
        <v>6012</v>
      </c>
      <c r="G5572" s="14">
        <v>417.5</v>
      </c>
      <c r="H5572" s="14">
        <v>0.0</v>
      </c>
      <c r="I5572" s="14" t="s">
        <v>6058</v>
      </c>
      <c r="J5572" s="14" t="s">
        <v>6012</v>
      </c>
      <c r="K5572" s="14" t="s">
        <v>6012</v>
      </c>
      <c r="L5572" s="14">
        <v>0.0</v>
      </c>
    </row>
    <row r="5573">
      <c r="A5573" s="14">
        <v>14.0</v>
      </c>
      <c r="B5573" s="14">
        <v>1.0</v>
      </c>
      <c r="C5573" s="34">
        <v>2.84</v>
      </c>
      <c r="D5573" s="36">
        <v>45277.0</v>
      </c>
      <c r="E5573" s="24"/>
      <c r="F5573" s="14">
        <v>2.84</v>
      </c>
      <c r="G5573" s="14">
        <v>202.86</v>
      </c>
      <c r="H5573" s="14">
        <v>7.14</v>
      </c>
      <c r="I5573" s="14" t="s">
        <v>6057</v>
      </c>
      <c r="J5573" s="14">
        <v>0.0</v>
      </c>
      <c r="K5573" s="14" t="s">
        <v>6012</v>
      </c>
      <c r="L5573" s="14">
        <v>0.0</v>
      </c>
    </row>
    <row r="5574">
      <c r="A5574" s="14">
        <v>6.0</v>
      </c>
      <c r="B5574" s="14">
        <v>0.0</v>
      </c>
      <c r="C5574" s="34">
        <v>2.14</v>
      </c>
      <c r="D5574" s="36">
        <v>45277.0</v>
      </c>
      <c r="E5574" s="24"/>
      <c r="F5574" s="14" t="s">
        <v>6012</v>
      </c>
      <c r="G5574" s="14">
        <v>356.67</v>
      </c>
      <c r="H5574" s="14">
        <v>0.0</v>
      </c>
      <c r="I5574" s="14" t="s">
        <v>6059</v>
      </c>
      <c r="J5574" s="14" t="s">
        <v>6012</v>
      </c>
      <c r="K5574" s="14" t="s">
        <v>6012</v>
      </c>
      <c r="L5574" s="14">
        <v>0.0</v>
      </c>
    </row>
    <row r="5575">
      <c r="A5575" s="14">
        <v>24.0</v>
      </c>
      <c r="B5575" s="14">
        <v>0.0</v>
      </c>
      <c r="C5575" s="34">
        <v>2.66</v>
      </c>
      <c r="D5575" s="36">
        <v>45277.0</v>
      </c>
      <c r="E5575" s="24"/>
      <c r="F5575" s="14" t="s">
        <v>6012</v>
      </c>
      <c r="G5575" s="14">
        <v>110.83</v>
      </c>
      <c r="H5575" s="14">
        <v>0.0</v>
      </c>
      <c r="I5575" s="14" t="s">
        <v>6058</v>
      </c>
      <c r="J5575" s="14" t="s">
        <v>6012</v>
      </c>
      <c r="K5575" s="14" t="s">
        <v>6012</v>
      </c>
      <c r="L5575" s="14">
        <v>0.0</v>
      </c>
    </row>
    <row r="5576">
      <c r="A5576" s="14">
        <v>33.0</v>
      </c>
      <c r="B5576" s="14">
        <v>18.0</v>
      </c>
      <c r="C5576" s="34">
        <v>20.18</v>
      </c>
      <c r="D5576" s="36">
        <v>45277.0</v>
      </c>
      <c r="E5576" s="24"/>
      <c r="F5576" s="14">
        <v>1.12</v>
      </c>
      <c r="G5576" s="14">
        <v>611.52</v>
      </c>
      <c r="H5576" s="14">
        <v>54.55</v>
      </c>
      <c r="I5576" s="14" t="s">
        <v>6067</v>
      </c>
      <c r="J5576" s="14">
        <v>0.0</v>
      </c>
      <c r="K5576" s="14" t="s">
        <v>6012</v>
      </c>
      <c r="L5576" s="14">
        <v>0.0</v>
      </c>
    </row>
    <row r="5577">
      <c r="A5577" s="14">
        <v>0.0</v>
      </c>
      <c r="B5577" s="14">
        <v>2.0</v>
      </c>
      <c r="C5577" s="34">
        <v>0.0</v>
      </c>
      <c r="D5577" s="36">
        <v>45277.0</v>
      </c>
      <c r="E5577" s="24"/>
      <c r="F5577" s="14">
        <v>0.0</v>
      </c>
      <c r="G5577" s="14" t="s">
        <v>6012</v>
      </c>
      <c r="H5577" s="14" t="s">
        <v>6012</v>
      </c>
      <c r="I5577" s="14" t="s">
        <v>6065</v>
      </c>
      <c r="J5577" s="14">
        <v>0.0</v>
      </c>
      <c r="K5577" s="14" t="s">
        <v>6012</v>
      </c>
      <c r="L5577" s="14">
        <v>0.0</v>
      </c>
    </row>
    <row r="5578">
      <c r="A5578" s="14">
        <v>77.0</v>
      </c>
      <c r="B5578" s="14">
        <v>51.0</v>
      </c>
      <c r="C5578" s="34">
        <v>49.0</v>
      </c>
      <c r="D5578" s="36">
        <v>45278.0</v>
      </c>
      <c r="E5578" s="24"/>
      <c r="F5578" s="14">
        <v>0.96</v>
      </c>
      <c r="G5578" s="14">
        <v>636.36</v>
      </c>
      <c r="H5578" s="14">
        <v>66.23</v>
      </c>
      <c r="I5578" s="14" t="s">
        <v>6067</v>
      </c>
      <c r="J5578" s="14">
        <v>0.0</v>
      </c>
      <c r="K5578" s="14" t="s">
        <v>6012</v>
      </c>
      <c r="L5578" s="14">
        <v>1.0</v>
      </c>
    </row>
    <row r="5579">
      <c r="A5579" s="14">
        <v>108.0</v>
      </c>
      <c r="B5579" s="14">
        <v>0.0</v>
      </c>
      <c r="C5579" s="34">
        <v>12.55</v>
      </c>
      <c r="D5579" s="36">
        <v>45278.0</v>
      </c>
      <c r="E5579" s="24"/>
      <c r="F5579" s="14" t="s">
        <v>6012</v>
      </c>
      <c r="G5579" s="14">
        <v>116.2</v>
      </c>
      <c r="H5579" s="14">
        <v>0.0</v>
      </c>
      <c r="I5579" s="14" t="s">
        <v>6058</v>
      </c>
      <c r="J5579" s="14" t="s">
        <v>6012</v>
      </c>
      <c r="K5579" s="14" t="s">
        <v>6012</v>
      </c>
      <c r="L5579" s="14">
        <v>0.0</v>
      </c>
    </row>
    <row r="5580">
      <c r="A5580" s="14">
        <v>28.0</v>
      </c>
      <c r="B5580" s="14">
        <v>0.0</v>
      </c>
      <c r="C5580" s="34">
        <v>15.0</v>
      </c>
      <c r="D5580" s="36">
        <v>45278.0</v>
      </c>
      <c r="E5580" s="24"/>
      <c r="F5580" s="14" t="s">
        <v>6012</v>
      </c>
      <c r="G5580" s="14">
        <v>535.71</v>
      </c>
      <c r="H5580" s="14">
        <v>0.0</v>
      </c>
      <c r="I5580" s="14" t="s">
        <v>6057</v>
      </c>
      <c r="J5580" s="14" t="s">
        <v>6012</v>
      </c>
      <c r="K5580" s="14" t="s">
        <v>6012</v>
      </c>
      <c r="L5580" s="14">
        <v>0.0</v>
      </c>
    </row>
    <row r="5581">
      <c r="A5581" s="14">
        <v>0.0</v>
      </c>
      <c r="B5581" s="14">
        <v>2.0</v>
      </c>
      <c r="C5581" s="34">
        <v>0.0</v>
      </c>
      <c r="D5581" s="36">
        <v>45278.0</v>
      </c>
      <c r="E5581" s="24"/>
      <c r="F5581" s="14">
        <v>0.0</v>
      </c>
      <c r="G5581" s="14" t="s">
        <v>6012</v>
      </c>
      <c r="H5581" s="14" t="s">
        <v>6012</v>
      </c>
      <c r="I5581" s="14" t="s">
        <v>6065</v>
      </c>
      <c r="J5581" s="14">
        <v>0.0</v>
      </c>
      <c r="K5581" s="14" t="s">
        <v>6012</v>
      </c>
      <c r="L5581" s="14">
        <v>0.0</v>
      </c>
    </row>
    <row r="5582">
      <c r="A5582" s="14">
        <v>42.0</v>
      </c>
      <c r="B5582" s="14">
        <v>0.0</v>
      </c>
      <c r="C5582" s="34">
        <v>11.96</v>
      </c>
      <c r="D5582" s="36">
        <v>45278.0</v>
      </c>
      <c r="E5582" s="24"/>
      <c r="F5582" s="14" t="s">
        <v>6012</v>
      </c>
      <c r="G5582" s="14">
        <v>284.76</v>
      </c>
      <c r="H5582" s="14">
        <v>0.0</v>
      </c>
      <c r="I5582" s="14" t="s">
        <v>6059</v>
      </c>
      <c r="J5582" s="14" t="s">
        <v>6012</v>
      </c>
      <c r="K5582" s="14" t="s">
        <v>6012</v>
      </c>
      <c r="L5582" s="14">
        <v>0.0</v>
      </c>
    </row>
    <row r="5583">
      <c r="A5583" s="14">
        <v>0.0</v>
      </c>
      <c r="B5583" s="14">
        <v>1.0</v>
      </c>
      <c r="C5583" s="34">
        <v>0.0</v>
      </c>
      <c r="D5583" s="36">
        <v>45278.0</v>
      </c>
      <c r="E5583" s="24"/>
      <c r="F5583" s="14">
        <v>0.0</v>
      </c>
      <c r="G5583" s="14" t="s">
        <v>6012</v>
      </c>
      <c r="H5583" s="14" t="s">
        <v>6012</v>
      </c>
      <c r="I5583" s="14" t="s">
        <v>6064</v>
      </c>
      <c r="J5583" s="14">
        <v>0.0</v>
      </c>
      <c r="K5583" s="14" t="s">
        <v>6012</v>
      </c>
      <c r="L5583" s="14">
        <v>0.0</v>
      </c>
    </row>
    <row r="5584">
      <c r="A5584" s="14">
        <v>59.0</v>
      </c>
      <c r="B5584" s="14">
        <v>0.0</v>
      </c>
      <c r="C5584" s="34">
        <v>14.0</v>
      </c>
      <c r="D5584" s="36">
        <v>45279.0</v>
      </c>
      <c r="E5584" s="24"/>
      <c r="F5584" s="14" t="s">
        <v>6012</v>
      </c>
      <c r="G5584" s="14">
        <v>237.29</v>
      </c>
      <c r="H5584" s="14">
        <v>0.0</v>
      </c>
      <c r="I5584" s="14" t="s">
        <v>6058</v>
      </c>
      <c r="J5584" s="14" t="s">
        <v>6012</v>
      </c>
      <c r="K5584" s="14" t="s">
        <v>6012</v>
      </c>
      <c r="L5584" s="14">
        <v>0.0</v>
      </c>
    </row>
    <row r="5585">
      <c r="A5585" s="14">
        <v>0.0</v>
      </c>
      <c r="B5585" s="14">
        <v>2.0</v>
      </c>
      <c r="C5585" s="34">
        <v>0.0</v>
      </c>
      <c r="D5585" s="36">
        <v>45279.0</v>
      </c>
      <c r="E5585" s="24"/>
      <c r="F5585" s="14">
        <v>0.0</v>
      </c>
      <c r="G5585" s="14" t="s">
        <v>6012</v>
      </c>
      <c r="H5585" s="14" t="s">
        <v>6012</v>
      </c>
      <c r="I5585" s="14" t="s">
        <v>6065</v>
      </c>
      <c r="J5585" s="14">
        <v>0.0</v>
      </c>
      <c r="K5585" s="14" t="s">
        <v>6012</v>
      </c>
      <c r="L5585" s="14">
        <v>0.0</v>
      </c>
    </row>
    <row r="5586">
      <c r="A5586" s="14">
        <v>36.0</v>
      </c>
      <c r="B5586" s="14">
        <v>0.0</v>
      </c>
      <c r="C5586" s="34">
        <v>13.84</v>
      </c>
      <c r="D5586" s="36">
        <v>45279.0</v>
      </c>
      <c r="E5586" s="24"/>
      <c r="F5586" s="14" t="s">
        <v>6012</v>
      </c>
      <c r="G5586" s="14">
        <v>384.44</v>
      </c>
      <c r="H5586" s="14">
        <v>0.0</v>
      </c>
      <c r="I5586" s="14" t="s">
        <v>6059</v>
      </c>
      <c r="J5586" s="14" t="s">
        <v>6012</v>
      </c>
      <c r="K5586" s="14" t="s">
        <v>6012</v>
      </c>
      <c r="L5586" s="14">
        <v>0.0</v>
      </c>
    </row>
    <row r="5587">
      <c r="A5587" s="14">
        <v>62.0</v>
      </c>
      <c r="B5587" s="14">
        <v>48.0</v>
      </c>
      <c r="C5587" s="34">
        <v>40.7</v>
      </c>
      <c r="D5587" s="36">
        <v>45279.0</v>
      </c>
      <c r="E5587" s="24"/>
      <c r="F5587" s="14">
        <v>0.85</v>
      </c>
      <c r="G5587" s="14">
        <v>656.45</v>
      </c>
      <c r="H5587" s="14">
        <v>77.42</v>
      </c>
      <c r="I5587" s="14" t="s">
        <v>6067</v>
      </c>
      <c r="J5587" s="14">
        <v>10.42</v>
      </c>
      <c r="K5587" s="14">
        <v>8.14</v>
      </c>
      <c r="L5587" s="14">
        <v>2.0</v>
      </c>
    </row>
    <row r="5588">
      <c r="A5588" s="14">
        <v>28.0</v>
      </c>
      <c r="B5588" s="14">
        <v>0.0</v>
      </c>
      <c r="C5588" s="34">
        <v>13.63</v>
      </c>
      <c r="D5588" s="36">
        <v>45279.0</v>
      </c>
      <c r="E5588" s="24"/>
      <c r="F5588" s="14" t="s">
        <v>6012</v>
      </c>
      <c r="G5588" s="14">
        <v>486.79</v>
      </c>
      <c r="H5588" s="14">
        <v>0.0</v>
      </c>
      <c r="I5588" s="14" t="s">
        <v>6057</v>
      </c>
      <c r="J5588" s="14" t="s">
        <v>6012</v>
      </c>
      <c r="K5588" s="14" t="s">
        <v>6012</v>
      </c>
      <c r="L5588" s="14">
        <v>0.0</v>
      </c>
    </row>
    <row r="5589">
      <c r="A5589" s="14">
        <v>47.0</v>
      </c>
      <c r="B5589" s="14">
        <v>42.0</v>
      </c>
      <c r="C5589" s="34">
        <v>31.58</v>
      </c>
      <c r="D5589" s="36">
        <v>45280.0</v>
      </c>
      <c r="E5589" s="24"/>
      <c r="F5589" s="14">
        <v>0.75</v>
      </c>
      <c r="G5589" s="14">
        <v>671.91</v>
      </c>
      <c r="H5589" s="14">
        <v>89.36</v>
      </c>
      <c r="I5589" s="14" t="s">
        <v>6067</v>
      </c>
      <c r="J5589" s="14">
        <v>0.0</v>
      </c>
      <c r="K5589" s="14" t="s">
        <v>6012</v>
      </c>
      <c r="L5589" s="14">
        <v>2.0</v>
      </c>
    </row>
    <row r="5590">
      <c r="A5590" s="14">
        <v>20.0</v>
      </c>
      <c r="B5590" s="14">
        <v>0.0</v>
      </c>
      <c r="C5590" s="34">
        <v>12.31</v>
      </c>
      <c r="D5590" s="36">
        <v>45280.0</v>
      </c>
      <c r="E5590" s="24"/>
      <c r="F5590" s="14" t="s">
        <v>6012</v>
      </c>
      <c r="G5590" s="14">
        <v>615.5</v>
      </c>
      <c r="H5590" s="14">
        <v>0.0</v>
      </c>
      <c r="I5590" s="14" t="s">
        <v>6059</v>
      </c>
      <c r="J5590" s="14" t="s">
        <v>6012</v>
      </c>
      <c r="K5590" s="14" t="s">
        <v>6012</v>
      </c>
      <c r="L5590" s="14">
        <v>0.0</v>
      </c>
    </row>
    <row r="5591">
      <c r="A5591" s="14">
        <v>43.0</v>
      </c>
      <c r="B5591" s="14">
        <v>0.0</v>
      </c>
      <c r="C5591" s="34">
        <v>11.75</v>
      </c>
      <c r="D5591" s="36">
        <v>45280.0</v>
      </c>
      <c r="E5591" s="24"/>
      <c r="F5591" s="14" t="s">
        <v>6012</v>
      </c>
      <c r="G5591" s="14">
        <v>273.26</v>
      </c>
      <c r="H5591" s="14">
        <v>0.0</v>
      </c>
      <c r="I5591" s="14" t="s">
        <v>6058</v>
      </c>
      <c r="J5591" s="14" t="s">
        <v>6012</v>
      </c>
      <c r="K5591" s="14" t="s">
        <v>6012</v>
      </c>
      <c r="L5591" s="14">
        <v>0.0</v>
      </c>
    </row>
    <row r="5592">
      <c r="A5592" s="14">
        <v>27.0</v>
      </c>
      <c r="B5592" s="14">
        <v>0.0</v>
      </c>
      <c r="C5592" s="34">
        <v>13.23</v>
      </c>
      <c r="D5592" s="36">
        <v>45280.0</v>
      </c>
      <c r="E5592" s="24"/>
      <c r="F5592" s="14" t="s">
        <v>6012</v>
      </c>
      <c r="G5592" s="14">
        <v>490.0</v>
      </c>
      <c r="H5592" s="14">
        <v>0.0</v>
      </c>
      <c r="I5592" s="14" t="s">
        <v>6057</v>
      </c>
      <c r="J5592" s="14" t="s">
        <v>6012</v>
      </c>
      <c r="K5592" s="14" t="s">
        <v>6012</v>
      </c>
      <c r="L5592" s="14">
        <v>0.0</v>
      </c>
    </row>
    <row r="5593">
      <c r="A5593" s="14">
        <v>0.0</v>
      </c>
      <c r="B5593" s="14">
        <v>2.0</v>
      </c>
      <c r="C5593" s="34">
        <v>0.0</v>
      </c>
      <c r="D5593" s="36">
        <v>45280.0</v>
      </c>
      <c r="E5593" s="24"/>
      <c r="F5593" s="14">
        <v>0.0</v>
      </c>
      <c r="G5593" s="14" t="s">
        <v>6012</v>
      </c>
      <c r="H5593" s="14" t="s">
        <v>6012</v>
      </c>
      <c r="I5593" s="14" t="s">
        <v>6065</v>
      </c>
      <c r="J5593" s="14">
        <v>0.0</v>
      </c>
      <c r="K5593" s="14" t="s">
        <v>6012</v>
      </c>
      <c r="L5593" s="14">
        <v>0.0</v>
      </c>
    </row>
    <row r="5594">
      <c r="A5594" s="14">
        <v>46.0</v>
      </c>
      <c r="B5594" s="14">
        <v>0.0</v>
      </c>
      <c r="C5594" s="34">
        <v>12.2</v>
      </c>
      <c r="D5594" s="36">
        <v>45281.0</v>
      </c>
      <c r="E5594" s="24"/>
      <c r="F5594" s="14" t="s">
        <v>6012</v>
      </c>
      <c r="G5594" s="14">
        <v>265.22</v>
      </c>
      <c r="H5594" s="14">
        <v>0.0</v>
      </c>
      <c r="I5594" s="14" t="s">
        <v>6058</v>
      </c>
      <c r="J5594" s="14" t="s">
        <v>6012</v>
      </c>
      <c r="K5594" s="14" t="s">
        <v>6012</v>
      </c>
      <c r="L5594" s="14">
        <v>0.0</v>
      </c>
    </row>
    <row r="5595">
      <c r="A5595" s="14">
        <v>31.0</v>
      </c>
      <c r="B5595" s="14">
        <v>0.0</v>
      </c>
      <c r="C5595" s="34">
        <v>11.91</v>
      </c>
      <c r="D5595" s="36">
        <v>45281.0</v>
      </c>
      <c r="E5595" s="24"/>
      <c r="F5595" s="14" t="s">
        <v>6012</v>
      </c>
      <c r="G5595" s="14">
        <v>384.19</v>
      </c>
      <c r="H5595" s="14">
        <v>0.0</v>
      </c>
      <c r="I5595" s="14" t="s">
        <v>6059</v>
      </c>
      <c r="J5595" s="14" t="s">
        <v>6012</v>
      </c>
      <c r="K5595" s="14" t="s">
        <v>6012</v>
      </c>
      <c r="L5595" s="14">
        <v>0.0</v>
      </c>
    </row>
    <row r="5596">
      <c r="A5596" s="14">
        <v>14.0</v>
      </c>
      <c r="B5596" s="14">
        <v>0.0</v>
      </c>
      <c r="C5596" s="34">
        <v>10.69</v>
      </c>
      <c r="D5596" s="36">
        <v>45281.0</v>
      </c>
      <c r="E5596" s="24"/>
      <c r="F5596" s="14" t="s">
        <v>6012</v>
      </c>
      <c r="G5596" s="14">
        <v>763.57</v>
      </c>
      <c r="H5596" s="14">
        <v>0.0</v>
      </c>
      <c r="I5596" s="14" t="s">
        <v>6057</v>
      </c>
      <c r="J5596" s="14" t="s">
        <v>6012</v>
      </c>
      <c r="K5596" s="14" t="s">
        <v>6012</v>
      </c>
      <c r="L5596" s="14">
        <v>0.0</v>
      </c>
    </row>
    <row r="5597">
      <c r="A5597" s="14">
        <v>0.0</v>
      </c>
      <c r="B5597" s="14">
        <v>3.0</v>
      </c>
      <c r="C5597" s="34">
        <v>0.0</v>
      </c>
      <c r="D5597" s="36">
        <v>45281.0</v>
      </c>
      <c r="E5597" s="24"/>
      <c r="F5597" s="14">
        <v>0.0</v>
      </c>
      <c r="G5597" s="14" t="s">
        <v>6012</v>
      </c>
      <c r="H5597" s="14" t="s">
        <v>6012</v>
      </c>
      <c r="I5597" s="14" t="s">
        <v>6065</v>
      </c>
      <c r="J5597" s="14">
        <v>0.0</v>
      </c>
      <c r="K5597" s="14" t="s">
        <v>6012</v>
      </c>
      <c r="L5597" s="14">
        <v>0.0</v>
      </c>
    </row>
    <row r="5598">
      <c r="A5598" s="14">
        <v>65.0</v>
      </c>
      <c r="B5598" s="14">
        <v>36.0</v>
      </c>
      <c r="C5598" s="34">
        <v>40.58</v>
      </c>
      <c r="D5598" s="36">
        <v>45281.0</v>
      </c>
      <c r="E5598" s="24"/>
      <c r="F5598" s="14">
        <v>1.13</v>
      </c>
      <c r="G5598" s="14">
        <v>624.31</v>
      </c>
      <c r="H5598" s="14">
        <v>55.38</v>
      </c>
      <c r="I5598" s="14" t="s">
        <v>6067</v>
      </c>
      <c r="J5598" s="14">
        <v>5.56</v>
      </c>
      <c r="K5598" s="14">
        <v>20.29</v>
      </c>
      <c r="L5598" s="14">
        <v>4.0</v>
      </c>
    </row>
    <row r="5599">
      <c r="A5599" s="14">
        <v>18.0</v>
      </c>
      <c r="B5599" s="14">
        <v>0.0</v>
      </c>
      <c r="C5599" s="34">
        <v>10.14</v>
      </c>
      <c r="D5599" s="36">
        <v>45282.0</v>
      </c>
      <c r="E5599" s="24"/>
      <c r="F5599" s="14" t="s">
        <v>6012</v>
      </c>
      <c r="G5599" s="14">
        <v>563.33</v>
      </c>
      <c r="H5599" s="14">
        <v>0.0</v>
      </c>
      <c r="I5599" s="14" t="s">
        <v>6057</v>
      </c>
      <c r="J5599" s="14" t="s">
        <v>6012</v>
      </c>
      <c r="K5599" s="14" t="s">
        <v>6012</v>
      </c>
      <c r="L5599" s="14">
        <v>0.0</v>
      </c>
    </row>
    <row r="5600">
      <c r="A5600" s="14">
        <v>63.0</v>
      </c>
      <c r="B5600" s="14">
        <v>33.0</v>
      </c>
      <c r="C5600" s="34">
        <v>41.35</v>
      </c>
      <c r="D5600" s="36">
        <v>45282.0</v>
      </c>
      <c r="E5600" s="24"/>
      <c r="F5600" s="14">
        <v>1.25</v>
      </c>
      <c r="G5600" s="14">
        <v>656.35</v>
      </c>
      <c r="H5600" s="14">
        <v>52.38</v>
      </c>
      <c r="I5600" s="14" t="s">
        <v>6067</v>
      </c>
      <c r="J5600" s="14">
        <v>0.0</v>
      </c>
      <c r="K5600" s="14" t="s">
        <v>6012</v>
      </c>
      <c r="L5600" s="14">
        <v>1.0</v>
      </c>
    </row>
    <row r="5601">
      <c r="A5601" s="14">
        <v>45.0</v>
      </c>
      <c r="B5601" s="14">
        <v>0.0</v>
      </c>
      <c r="C5601" s="34">
        <v>10.72</v>
      </c>
      <c r="D5601" s="36">
        <v>45282.0</v>
      </c>
      <c r="E5601" s="24"/>
      <c r="F5601" s="14" t="s">
        <v>6012</v>
      </c>
      <c r="G5601" s="14">
        <v>238.22</v>
      </c>
      <c r="H5601" s="14">
        <v>0.0</v>
      </c>
      <c r="I5601" s="14" t="s">
        <v>6058</v>
      </c>
      <c r="J5601" s="14" t="s">
        <v>6012</v>
      </c>
      <c r="K5601" s="14">
        <v>10.72</v>
      </c>
      <c r="L5601" s="14">
        <v>0.0</v>
      </c>
    </row>
    <row r="5602">
      <c r="A5602" s="14">
        <v>18.0</v>
      </c>
      <c r="B5602" s="14">
        <v>0.0</v>
      </c>
      <c r="C5602" s="34">
        <v>13.97</v>
      </c>
      <c r="D5602" s="36">
        <v>45282.0</v>
      </c>
      <c r="E5602" s="24"/>
      <c r="F5602" s="14" t="s">
        <v>6012</v>
      </c>
      <c r="G5602" s="14">
        <v>776.11</v>
      </c>
      <c r="H5602" s="14">
        <v>0.0</v>
      </c>
      <c r="I5602" s="14" t="s">
        <v>6059</v>
      </c>
      <c r="J5602" s="14" t="s">
        <v>6012</v>
      </c>
      <c r="K5602" s="14" t="s">
        <v>6012</v>
      </c>
      <c r="L5602" s="14">
        <v>0.0</v>
      </c>
    </row>
    <row r="5603">
      <c r="A5603" s="14">
        <v>12.0</v>
      </c>
      <c r="B5603" s="14">
        <v>0.0</v>
      </c>
      <c r="C5603" s="34">
        <v>8.2</v>
      </c>
      <c r="D5603" s="36">
        <v>45283.0</v>
      </c>
      <c r="E5603" s="24"/>
      <c r="F5603" s="14" t="s">
        <v>6012</v>
      </c>
      <c r="G5603" s="14">
        <v>683.33</v>
      </c>
      <c r="H5603" s="14">
        <v>0.0</v>
      </c>
      <c r="I5603" s="14" t="s">
        <v>6058</v>
      </c>
      <c r="J5603" s="14" t="s">
        <v>6012</v>
      </c>
      <c r="K5603" s="14" t="s">
        <v>6012</v>
      </c>
      <c r="L5603" s="14">
        <v>0.0</v>
      </c>
    </row>
    <row r="5604">
      <c r="A5604" s="14">
        <v>44.0</v>
      </c>
      <c r="B5604" s="14">
        <v>24.0</v>
      </c>
      <c r="C5604" s="34">
        <v>29.42</v>
      </c>
      <c r="D5604" s="36">
        <v>45283.0</v>
      </c>
      <c r="E5604" s="24"/>
      <c r="F5604" s="14">
        <v>1.23</v>
      </c>
      <c r="G5604" s="14">
        <v>668.64</v>
      </c>
      <c r="H5604" s="14">
        <v>54.55</v>
      </c>
      <c r="I5604" s="14" t="s">
        <v>6067</v>
      </c>
      <c r="J5604" s="14">
        <v>0.0</v>
      </c>
      <c r="K5604" s="14" t="s">
        <v>6012</v>
      </c>
      <c r="L5604" s="14">
        <v>0.0</v>
      </c>
    </row>
    <row r="5605">
      <c r="A5605" s="14">
        <v>19.0</v>
      </c>
      <c r="B5605" s="14">
        <v>0.0</v>
      </c>
      <c r="C5605" s="34">
        <v>4.42</v>
      </c>
      <c r="D5605" s="36">
        <v>45283.0</v>
      </c>
      <c r="E5605" s="24"/>
      <c r="F5605" s="14" t="s">
        <v>6012</v>
      </c>
      <c r="G5605" s="14">
        <v>232.63</v>
      </c>
      <c r="H5605" s="14">
        <v>0.0</v>
      </c>
      <c r="I5605" s="14" t="s">
        <v>6057</v>
      </c>
      <c r="J5605" s="14" t="s">
        <v>6012</v>
      </c>
      <c r="K5605" s="14" t="s">
        <v>6012</v>
      </c>
      <c r="L5605" s="14">
        <v>0.0</v>
      </c>
    </row>
    <row r="5606">
      <c r="A5606" s="14">
        <v>0.0</v>
      </c>
      <c r="B5606" s="14">
        <v>1.0</v>
      </c>
      <c r="C5606" s="34">
        <v>0.0</v>
      </c>
      <c r="D5606" s="36">
        <v>45283.0</v>
      </c>
      <c r="E5606" s="24"/>
      <c r="F5606" s="14">
        <v>0.0</v>
      </c>
      <c r="G5606" s="14" t="s">
        <v>6012</v>
      </c>
      <c r="H5606" s="14" t="s">
        <v>6012</v>
      </c>
      <c r="I5606" s="14" t="s">
        <v>6065</v>
      </c>
      <c r="J5606" s="14">
        <v>0.0</v>
      </c>
      <c r="K5606" s="14" t="s">
        <v>6012</v>
      </c>
      <c r="L5606" s="14">
        <v>0.0</v>
      </c>
    </row>
    <row r="5607">
      <c r="A5607" s="14">
        <v>12.0</v>
      </c>
      <c r="B5607" s="14">
        <v>0.0</v>
      </c>
      <c r="C5607" s="34">
        <v>4.99</v>
      </c>
      <c r="D5607" s="36">
        <v>45283.0</v>
      </c>
      <c r="E5607" s="24"/>
      <c r="F5607" s="14" t="s">
        <v>6012</v>
      </c>
      <c r="G5607" s="14">
        <v>415.83</v>
      </c>
      <c r="H5607" s="14">
        <v>0.0</v>
      </c>
      <c r="I5607" s="14" t="s">
        <v>6059</v>
      </c>
      <c r="J5607" s="14" t="s">
        <v>6012</v>
      </c>
      <c r="K5607" s="14" t="s">
        <v>6012</v>
      </c>
      <c r="L5607" s="14">
        <v>0.0</v>
      </c>
    </row>
    <row r="5608">
      <c r="A5608" s="14">
        <v>5.0</v>
      </c>
      <c r="B5608" s="14">
        <v>0.0</v>
      </c>
      <c r="C5608" s="34">
        <v>2.89</v>
      </c>
      <c r="D5608" s="36">
        <v>45284.0</v>
      </c>
      <c r="E5608" s="24"/>
      <c r="F5608" s="14" t="s">
        <v>6012</v>
      </c>
      <c r="G5608" s="14">
        <v>578.0</v>
      </c>
      <c r="H5608" s="14">
        <v>0.0</v>
      </c>
      <c r="I5608" s="14" t="s">
        <v>6057</v>
      </c>
      <c r="J5608" s="14" t="s">
        <v>6012</v>
      </c>
      <c r="K5608" s="14" t="s">
        <v>6012</v>
      </c>
      <c r="L5608" s="14">
        <v>0.0</v>
      </c>
    </row>
    <row r="5609">
      <c r="A5609" s="14">
        <v>9.0</v>
      </c>
      <c r="B5609" s="14">
        <v>0.0</v>
      </c>
      <c r="C5609" s="34">
        <v>1.02</v>
      </c>
      <c r="D5609" s="36">
        <v>45284.0</v>
      </c>
      <c r="E5609" s="24"/>
      <c r="F5609" s="14" t="s">
        <v>6012</v>
      </c>
      <c r="G5609" s="14">
        <v>113.33</v>
      </c>
      <c r="H5609" s="14">
        <v>0.0</v>
      </c>
      <c r="I5609" s="14" t="s">
        <v>6059</v>
      </c>
      <c r="J5609" s="14" t="s">
        <v>6012</v>
      </c>
      <c r="K5609" s="14" t="s">
        <v>6012</v>
      </c>
      <c r="L5609" s="14">
        <v>0.0</v>
      </c>
    </row>
    <row r="5610">
      <c r="A5610" s="14">
        <v>11.0</v>
      </c>
      <c r="B5610" s="14">
        <v>0.0</v>
      </c>
      <c r="C5610" s="34">
        <v>0.58</v>
      </c>
      <c r="D5610" s="36">
        <v>45284.0</v>
      </c>
      <c r="E5610" s="24"/>
      <c r="F5610" s="14" t="s">
        <v>6012</v>
      </c>
      <c r="G5610" s="14">
        <v>52.73</v>
      </c>
      <c r="H5610" s="14">
        <v>0.0</v>
      </c>
      <c r="I5610" s="14" t="s">
        <v>6058</v>
      </c>
      <c r="J5610" s="14" t="s">
        <v>6012</v>
      </c>
      <c r="K5610" s="14" t="s">
        <v>6012</v>
      </c>
      <c r="L5610" s="14">
        <v>0.0</v>
      </c>
    </row>
    <row r="5611">
      <c r="A5611" s="14">
        <v>32.0</v>
      </c>
      <c r="B5611" s="14">
        <v>17.0</v>
      </c>
      <c r="C5611" s="34">
        <v>20.07</v>
      </c>
      <c r="D5611" s="36">
        <v>45284.0</v>
      </c>
      <c r="E5611" s="24"/>
      <c r="F5611" s="14">
        <v>1.18</v>
      </c>
      <c r="G5611" s="14">
        <v>627.19</v>
      </c>
      <c r="H5611" s="14">
        <v>53.12</v>
      </c>
      <c r="I5611" s="14" t="s">
        <v>6067</v>
      </c>
      <c r="J5611" s="14">
        <v>5.88</v>
      </c>
      <c r="K5611" s="14">
        <v>20.07</v>
      </c>
      <c r="L5611" s="14">
        <v>3.0</v>
      </c>
    </row>
    <row r="5612">
      <c r="A5612" s="14">
        <v>25.0</v>
      </c>
      <c r="B5612" s="14">
        <v>0.0</v>
      </c>
      <c r="C5612" s="34">
        <v>12.12</v>
      </c>
      <c r="D5612" s="36">
        <v>45285.0</v>
      </c>
      <c r="E5612" s="24"/>
      <c r="F5612" s="14" t="s">
        <v>6012</v>
      </c>
      <c r="G5612" s="14">
        <v>484.8</v>
      </c>
      <c r="H5612" s="14">
        <v>0.0</v>
      </c>
      <c r="I5612" s="14" t="s">
        <v>6057</v>
      </c>
      <c r="J5612" s="14" t="s">
        <v>6012</v>
      </c>
      <c r="K5612" s="14" t="s">
        <v>6012</v>
      </c>
      <c r="L5612" s="14">
        <v>0.0</v>
      </c>
    </row>
    <row r="5613">
      <c r="A5613" s="14">
        <v>41.0</v>
      </c>
      <c r="B5613" s="14">
        <v>1.0</v>
      </c>
      <c r="C5613" s="34">
        <v>12.91</v>
      </c>
      <c r="D5613" s="36">
        <v>45285.0</v>
      </c>
      <c r="E5613" s="24"/>
      <c r="F5613" s="14">
        <v>12.91</v>
      </c>
      <c r="G5613" s="14">
        <v>314.88</v>
      </c>
      <c r="H5613" s="14">
        <v>2.44</v>
      </c>
      <c r="I5613" s="14" t="s">
        <v>6058</v>
      </c>
      <c r="J5613" s="14">
        <v>0.0</v>
      </c>
      <c r="K5613" s="14" t="s">
        <v>6012</v>
      </c>
      <c r="L5613" s="14">
        <v>0.0</v>
      </c>
    </row>
    <row r="5614">
      <c r="A5614" s="14">
        <v>6.0</v>
      </c>
      <c r="B5614" s="14">
        <v>8.0</v>
      </c>
      <c r="C5614" s="34">
        <v>4.1</v>
      </c>
      <c r="D5614" s="36">
        <v>45285.0</v>
      </c>
      <c r="E5614" s="24"/>
      <c r="F5614" s="14">
        <v>0.51</v>
      </c>
      <c r="G5614" s="14">
        <v>683.33</v>
      </c>
      <c r="H5614" s="14">
        <v>133.33</v>
      </c>
      <c r="I5614" s="14" t="s">
        <v>6067</v>
      </c>
      <c r="J5614" s="14">
        <v>0.0</v>
      </c>
      <c r="K5614" s="14" t="s">
        <v>6012</v>
      </c>
      <c r="L5614" s="14">
        <v>1.0</v>
      </c>
    </row>
    <row r="5615">
      <c r="A5615" s="14">
        <v>20.0</v>
      </c>
      <c r="B5615" s="14">
        <v>0.0</v>
      </c>
      <c r="C5615" s="34">
        <v>15.0</v>
      </c>
      <c r="D5615" s="36">
        <v>45285.0</v>
      </c>
      <c r="E5615" s="24"/>
      <c r="F5615" s="14" t="s">
        <v>6012</v>
      </c>
      <c r="G5615" s="14">
        <v>750.0</v>
      </c>
      <c r="H5615" s="14">
        <v>0.0</v>
      </c>
      <c r="I5615" s="14" t="s">
        <v>6059</v>
      </c>
      <c r="J5615" s="14" t="s">
        <v>6012</v>
      </c>
      <c r="K5615" s="14" t="s">
        <v>6012</v>
      </c>
      <c r="L5615" s="14">
        <v>0.0</v>
      </c>
    </row>
    <row r="5616">
      <c r="A5616" s="14">
        <v>21.0</v>
      </c>
      <c r="B5616" s="14">
        <v>1.0</v>
      </c>
      <c r="C5616" s="34">
        <v>12.46</v>
      </c>
      <c r="D5616" s="36">
        <v>45286.0</v>
      </c>
      <c r="E5616" s="24"/>
      <c r="F5616" s="14">
        <v>12.46</v>
      </c>
      <c r="G5616" s="14">
        <v>593.33</v>
      </c>
      <c r="H5616" s="14">
        <v>4.76</v>
      </c>
      <c r="I5616" s="14" t="s">
        <v>6057</v>
      </c>
      <c r="J5616" s="14">
        <v>100.0</v>
      </c>
      <c r="K5616" s="14">
        <v>12.46</v>
      </c>
      <c r="L5616" s="14">
        <v>0.0</v>
      </c>
    </row>
    <row r="5617">
      <c r="A5617" s="14">
        <v>20.0</v>
      </c>
      <c r="B5617" s="14">
        <v>0.0</v>
      </c>
      <c r="C5617" s="34">
        <v>13.7</v>
      </c>
      <c r="D5617" s="36">
        <v>45286.0</v>
      </c>
      <c r="E5617" s="24"/>
      <c r="F5617" s="14" t="s">
        <v>6012</v>
      </c>
      <c r="G5617" s="14">
        <v>685.0</v>
      </c>
      <c r="H5617" s="14">
        <v>0.0</v>
      </c>
      <c r="I5617" s="14" t="s">
        <v>6059</v>
      </c>
      <c r="J5617" s="14" t="s">
        <v>6012</v>
      </c>
      <c r="K5617" s="14" t="s">
        <v>6012</v>
      </c>
      <c r="L5617" s="14">
        <v>0.0</v>
      </c>
    </row>
    <row r="5618">
      <c r="A5618" s="14">
        <v>34.0</v>
      </c>
      <c r="B5618" s="14">
        <v>0.0</v>
      </c>
      <c r="C5618" s="34">
        <v>13.47</v>
      </c>
      <c r="D5618" s="36">
        <v>45286.0</v>
      </c>
      <c r="E5618" s="24"/>
      <c r="F5618" s="14" t="s">
        <v>6012</v>
      </c>
      <c r="G5618" s="14">
        <v>396.18</v>
      </c>
      <c r="H5618" s="14">
        <v>0.0</v>
      </c>
      <c r="I5618" s="14" t="s">
        <v>6058</v>
      </c>
      <c r="J5618" s="14" t="s">
        <v>6012</v>
      </c>
      <c r="K5618" s="14" t="s">
        <v>6012</v>
      </c>
      <c r="L5618" s="14">
        <v>0.0</v>
      </c>
    </row>
    <row r="5619">
      <c r="A5619" s="14">
        <v>0.0</v>
      </c>
      <c r="B5619" s="14">
        <v>12.0</v>
      </c>
      <c r="C5619" s="34">
        <v>0.0</v>
      </c>
      <c r="D5619" s="36">
        <v>45286.0</v>
      </c>
      <c r="E5619" s="24"/>
      <c r="F5619" s="14">
        <v>0.0</v>
      </c>
      <c r="G5619" s="14" t="s">
        <v>6012</v>
      </c>
      <c r="H5619" s="14" t="s">
        <v>6012</v>
      </c>
      <c r="I5619" s="14" t="s">
        <v>6067</v>
      </c>
      <c r="J5619" s="14">
        <v>0.0</v>
      </c>
      <c r="K5619" s="14" t="s">
        <v>6012</v>
      </c>
      <c r="L5619" s="14">
        <v>0.0</v>
      </c>
    </row>
    <row r="5620">
      <c r="A5620" s="14">
        <v>0.0</v>
      </c>
      <c r="B5620" s="14">
        <v>1.0</v>
      </c>
      <c r="C5620" s="34">
        <v>0.0</v>
      </c>
      <c r="D5620" s="36">
        <v>45286.0</v>
      </c>
      <c r="E5620" s="24"/>
      <c r="F5620" s="14">
        <v>0.0</v>
      </c>
      <c r="G5620" s="14" t="s">
        <v>6012</v>
      </c>
      <c r="H5620" s="14" t="s">
        <v>6012</v>
      </c>
      <c r="I5620" s="14" t="s">
        <v>6065</v>
      </c>
      <c r="J5620" s="14">
        <v>0.0</v>
      </c>
      <c r="K5620" s="14" t="s">
        <v>6012</v>
      </c>
      <c r="L5620" s="14">
        <v>0.0</v>
      </c>
    </row>
    <row r="5621">
      <c r="A5621" s="14">
        <v>0.0</v>
      </c>
      <c r="B5621" s="14">
        <v>10.0</v>
      </c>
      <c r="C5621" s="34">
        <v>0.0</v>
      </c>
      <c r="D5621" s="36">
        <v>45287.0</v>
      </c>
      <c r="E5621" s="24"/>
      <c r="F5621" s="14">
        <v>0.0</v>
      </c>
      <c r="G5621" s="14" t="s">
        <v>6012</v>
      </c>
      <c r="H5621" s="14" t="s">
        <v>6012</v>
      </c>
      <c r="I5621" s="14" t="s">
        <v>6067</v>
      </c>
      <c r="J5621" s="14">
        <v>0.0</v>
      </c>
      <c r="K5621" s="14" t="s">
        <v>6012</v>
      </c>
      <c r="L5621" s="14">
        <v>0.0</v>
      </c>
    </row>
    <row r="5622">
      <c r="A5622" s="14">
        <v>27.0</v>
      </c>
      <c r="B5622" s="14">
        <v>0.0</v>
      </c>
      <c r="C5622" s="34">
        <v>11.59</v>
      </c>
      <c r="D5622" s="36">
        <v>45287.0</v>
      </c>
      <c r="E5622" s="24"/>
      <c r="F5622" s="14" t="s">
        <v>6012</v>
      </c>
      <c r="G5622" s="14">
        <v>429.26</v>
      </c>
      <c r="H5622" s="14">
        <v>0.0</v>
      </c>
      <c r="I5622" s="14" t="s">
        <v>6058</v>
      </c>
      <c r="J5622" s="14" t="s">
        <v>6012</v>
      </c>
      <c r="K5622" s="14" t="s">
        <v>6012</v>
      </c>
      <c r="L5622" s="14">
        <v>0.0</v>
      </c>
    </row>
    <row r="5623">
      <c r="A5623" s="14">
        <v>23.0</v>
      </c>
      <c r="B5623" s="14">
        <v>0.0</v>
      </c>
      <c r="C5623" s="34">
        <v>14.86</v>
      </c>
      <c r="D5623" s="36">
        <v>45287.0</v>
      </c>
      <c r="E5623" s="24"/>
      <c r="F5623" s="14" t="s">
        <v>6012</v>
      </c>
      <c r="G5623" s="14">
        <v>646.09</v>
      </c>
      <c r="H5623" s="14">
        <v>0.0</v>
      </c>
      <c r="I5623" s="14" t="s">
        <v>6057</v>
      </c>
      <c r="J5623" s="14" t="s">
        <v>6012</v>
      </c>
      <c r="K5623" s="14" t="s">
        <v>6012</v>
      </c>
      <c r="L5623" s="14">
        <v>0.0</v>
      </c>
    </row>
    <row r="5624">
      <c r="A5624" s="14">
        <v>25.0</v>
      </c>
      <c r="B5624" s="14">
        <v>0.0</v>
      </c>
      <c r="C5624" s="34">
        <v>11.98</v>
      </c>
      <c r="D5624" s="36">
        <v>45287.0</v>
      </c>
      <c r="E5624" s="24"/>
      <c r="F5624" s="14" t="s">
        <v>6012</v>
      </c>
      <c r="G5624" s="14">
        <v>479.2</v>
      </c>
      <c r="H5624" s="14">
        <v>0.0</v>
      </c>
      <c r="I5624" s="14" t="s">
        <v>6059</v>
      </c>
      <c r="J5624" s="14" t="s">
        <v>6012</v>
      </c>
      <c r="K5624" s="14" t="s">
        <v>6012</v>
      </c>
      <c r="L5624" s="14">
        <v>0.0</v>
      </c>
    </row>
    <row r="5625">
      <c r="A5625" s="14">
        <v>21.0</v>
      </c>
      <c r="B5625" s="14">
        <v>0.0</v>
      </c>
      <c r="C5625" s="34">
        <v>12.3</v>
      </c>
      <c r="D5625" s="36">
        <v>45288.0</v>
      </c>
      <c r="E5625" s="24"/>
      <c r="F5625" s="14" t="s">
        <v>6012</v>
      </c>
      <c r="G5625" s="14">
        <v>585.71</v>
      </c>
      <c r="H5625" s="14">
        <v>0.0</v>
      </c>
      <c r="I5625" s="14" t="s">
        <v>6059</v>
      </c>
      <c r="J5625" s="14" t="s">
        <v>6012</v>
      </c>
      <c r="K5625" s="14" t="s">
        <v>6012</v>
      </c>
      <c r="L5625" s="14">
        <v>0.0</v>
      </c>
    </row>
    <row r="5626">
      <c r="A5626" s="14">
        <v>0.0</v>
      </c>
      <c r="B5626" s="14">
        <v>1.0</v>
      </c>
      <c r="C5626" s="34">
        <v>0.0</v>
      </c>
      <c r="D5626" s="36">
        <v>45288.0</v>
      </c>
      <c r="E5626" s="24"/>
      <c r="F5626" s="14">
        <v>0.0</v>
      </c>
      <c r="G5626" s="14" t="s">
        <v>6012</v>
      </c>
      <c r="H5626" s="14" t="s">
        <v>6012</v>
      </c>
      <c r="I5626" s="14" t="s">
        <v>6065</v>
      </c>
      <c r="J5626" s="14">
        <v>0.0</v>
      </c>
      <c r="K5626" s="14" t="s">
        <v>6012</v>
      </c>
      <c r="L5626" s="14">
        <v>0.0</v>
      </c>
    </row>
    <row r="5627">
      <c r="A5627" s="14">
        <v>40.0</v>
      </c>
      <c r="B5627" s="14">
        <v>3.0</v>
      </c>
      <c r="C5627" s="34">
        <v>13.56</v>
      </c>
      <c r="D5627" s="36">
        <v>45288.0</v>
      </c>
      <c r="E5627" s="24"/>
      <c r="F5627" s="14">
        <v>4.52</v>
      </c>
      <c r="G5627" s="14">
        <v>339.0</v>
      </c>
      <c r="H5627" s="14">
        <v>7.5</v>
      </c>
      <c r="I5627" s="14" t="s">
        <v>6058</v>
      </c>
      <c r="J5627" s="14">
        <v>0.0</v>
      </c>
      <c r="K5627" s="14" t="s">
        <v>6012</v>
      </c>
      <c r="L5627" s="14">
        <v>0.0</v>
      </c>
    </row>
    <row r="5628">
      <c r="A5628" s="14">
        <v>16.0</v>
      </c>
      <c r="B5628" s="14">
        <v>0.0</v>
      </c>
      <c r="C5628" s="34">
        <v>13.69</v>
      </c>
      <c r="D5628" s="36">
        <v>45288.0</v>
      </c>
      <c r="E5628" s="24"/>
      <c r="F5628" s="14" t="s">
        <v>6012</v>
      </c>
      <c r="G5628" s="14">
        <v>855.62</v>
      </c>
      <c r="H5628" s="14">
        <v>0.0</v>
      </c>
      <c r="I5628" s="14" t="s">
        <v>6057</v>
      </c>
      <c r="J5628" s="14" t="s">
        <v>6012</v>
      </c>
      <c r="K5628" s="14" t="s">
        <v>6012</v>
      </c>
      <c r="L5628" s="14">
        <v>0.0</v>
      </c>
    </row>
    <row r="5629">
      <c r="A5629" s="14">
        <v>0.0</v>
      </c>
      <c r="B5629" s="14">
        <v>6.0</v>
      </c>
      <c r="C5629" s="34">
        <v>0.0</v>
      </c>
      <c r="D5629" s="36">
        <v>45288.0</v>
      </c>
      <c r="E5629" s="24"/>
      <c r="F5629" s="14">
        <v>0.0</v>
      </c>
      <c r="G5629" s="14" t="s">
        <v>6012</v>
      </c>
      <c r="H5629" s="14" t="s">
        <v>6012</v>
      </c>
      <c r="I5629" s="14" t="s">
        <v>6067</v>
      </c>
      <c r="J5629" s="14">
        <v>0.0</v>
      </c>
      <c r="K5629" s="14" t="s">
        <v>6012</v>
      </c>
      <c r="L5629" s="14">
        <v>0.0</v>
      </c>
    </row>
    <row r="5630">
      <c r="A5630" s="14">
        <v>0.0</v>
      </c>
      <c r="B5630" s="14">
        <v>2.0</v>
      </c>
      <c r="C5630" s="34">
        <v>0.0</v>
      </c>
      <c r="D5630" s="36">
        <v>45289.0</v>
      </c>
      <c r="E5630" s="24"/>
      <c r="F5630" s="14">
        <v>0.0</v>
      </c>
      <c r="G5630" s="14" t="s">
        <v>6012</v>
      </c>
      <c r="H5630" s="14" t="s">
        <v>6012</v>
      </c>
      <c r="I5630" s="14" t="s">
        <v>6067</v>
      </c>
      <c r="J5630" s="14">
        <v>0.0</v>
      </c>
      <c r="K5630" s="14" t="s">
        <v>6012</v>
      </c>
      <c r="L5630" s="14">
        <v>0.0</v>
      </c>
    </row>
    <row r="5631">
      <c r="A5631" s="14">
        <v>24.0</v>
      </c>
      <c r="B5631" s="14">
        <v>0.0</v>
      </c>
      <c r="C5631" s="34">
        <v>9.86</v>
      </c>
      <c r="D5631" s="36">
        <v>45289.0</v>
      </c>
      <c r="E5631" s="24"/>
      <c r="F5631" s="14" t="s">
        <v>6012</v>
      </c>
      <c r="G5631" s="14">
        <v>410.83</v>
      </c>
      <c r="H5631" s="14">
        <v>0.0</v>
      </c>
      <c r="I5631" s="14" t="s">
        <v>6058</v>
      </c>
      <c r="J5631" s="14" t="s">
        <v>6012</v>
      </c>
      <c r="K5631" s="14" t="s">
        <v>6012</v>
      </c>
      <c r="L5631" s="14">
        <v>0.0</v>
      </c>
    </row>
    <row r="5632">
      <c r="A5632" s="14">
        <v>18.0</v>
      </c>
      <c r="B5632" s="14">
        <v>1.0</v>
      </c>
      <c r="C5632" s="34">
        <v>9.56</v>
      </c>
      <c r="D5632" s="36">
        <v>45289.0</v>
      </c>
      <c r="E5632" s="24"/>
      <c r="F5632" s="14">
        <v>9.56</v>
      </c>
      <c r="G5632" s="14">
        <v>531.11</v>
      </c>
      <c r="H5632" s="14">
        <v>5.56</v>
      </c>
      <c r="I5632" s="14" t="s">
        <v>6057</v>
      </c>
      <c r="J5632" s="14">
        <v>0.0</v>
      </c>
      <c r="K5632" s="14" t="s">
        <v>6012</v>
      </c>
      <c r="L5632" s="14">
        <v>0.0</v>
      </c>
    </row>
    <row r="5633">
      <c r="A5633" s="14">
        <v>17.0</v>
      </c>
      <c r="B5633" s="14">
        <v>2.0</v>
      </c>
      <c r="C5633" s="34">
        <v>10.15</v>
      </c>
      <c r="D5633" s="36">
        <v>45289.0</v>
      </c>
      <c r="E5633" s="24"/>
      <c r="F5633" s="14">
        <v>5.08</v>
      </c>
      <c r="G5633" s="14">
        <v>597.06</v>
      </c>
      <c r="H5633" s="14">
        <v>11.76</v>
      </c>
      <c r="I5633" s="14" t="s">
        <v>6059</v>
      </c>
      <c r="J5633" s="14">
        <v>0.0</v>
      </c>
      <c r="K5633" s="14" t="s">
        <v>6012</v>
      </c>
      <c r="L5633" s="14">
        <v>0.0</v>
      </c>
    </row>
    <row r="5634">
      <c r="A5634" s="14">
        <v>33.0</v>
      </c>
      <c r="B5634" s="14">
        <v>0.0</v>
      </c>
      <c r="C5634" s="34">
        <v>5.41</v>
      </c>
      <c r="D5634" s="36">
        <v>45290.0</v>
      </c>
      <c r="E5634" s="24"/>
      <c r="F5634" s="14" t="s">
        <v>6012</v>
      </c>
      <c r="G5634" s="14">
        <v>163.94</v>
      </c>
      <c r="H5634" s="14">
        <v>0.0</v>
      </c>
      <c r="I5634" s="14" t="s">
        <v>6058</v>
      </c>
      <c r="J5634" s="14" t="s">
        <v>6012</v>
      </c>
      <c r="K5634" s="14" t="s">
        <v>6012</v>
      </c>
      <c r="L5634" s="14">
        <v>0.0</v>
      </c>
    </row>
    <row r="5635">
      <c r="A5635" s="14">
        <v>14.0</v>
      </c>
      <c r="B5635" s="14">
        <v>0.0</v>
      </c>
      <c r="C5635" s="34">
        <v>4.81</v>
      </c>
      <c r="D5635" s="36">
        <v>45290.0</v>
      </c>
      <c r="E5635" s="24"/>
      <c r="F5635" s="14" t="s">
        <v>6012</v>
      </c>
      <c r="G5635" s="14">
        <v>343.57</v>
      </c>
      <c r="H5635" s="14">
        <v>0.0</v>
      </c>
      <c r="I5635" s="14" t="s">
        <v>6057</v>
      </c>
      <c r="J5635" s="14" t="s">
        <v>6012</v>
      </c>
      <c r="K5635" s="14" t="s">
        <v>6012</v>
      </c>
      <c r="L5635" s="14">
        <v>0.0</v>
      </c>
    </row>
    <row r="5636">
      <c r="A5636" s="14">
        <v>15.0</v>
      </c>
      <c r="B5636" s="14">
        <v>0.0</v>
      </c>
      <c r="C5636" s="34">
        <v>5.32</v>
      </c>
      <c r="D5636" s="36">
        <v>45290.0</v>
      </c>
      <c r="E5636" s="24"/>
      <c r="F5636" s="14" t="s">
        <v>6012</v>
      </c>
      <c r="G5636" s="14">
        <v>354.67</v>
      </c>
      <c r="H5636" s="14">
        <v>0.0</v>
      </c>
      <c r="I5636" s="14" t="s">
        <v>6059</v>
      </c>
      <c r="J5636" s="14" t="s">
        <v>6012</v>
      </c>
      <c r="K5636" s="14" t="s">
        <v>6012</v>
      </c>
      <c r="L5636" s="14">
        <v>0.0</v>
      </c>
    </row>
    <row r="5637">
      <c r="A5637" s="14">
        <v>0.0</v>
      </c>
      <c r="B5637" s="14">
        <v>2.0</v>
      </c>
      <c r="C5637" s="34">
        <v>0.0</v>
      </c>
      <c r="D5637" s="36">
        <v>45290.0</v>
      </c>
      <c r="E5637" s="24"/>
      <c r="F5637" s="14">
        <v>0.0</v>
      </c>
      <c r="G5637" s="14" t="s">
        <v>6012</v>
      </c>
      <c r="H5637" s="14" t="s">
        <v>6012</v>
      </c>
      <c r="I5637" s="14" t="s">
        <v>6067</v>
      </c>
      <c r="J5637" s="14">
        <v>0.0</v>
      </c>
      <c r="K5637" s="14" t="s">
        <v>6012</v>
      </c>
      <c r="L5637" s="14">
        <v>0.0</v>
      </c>
    </row>
    <row r="5638">
      <c r="A5638" s="14">
        <v>12.0</v>
      </c>
      <c r="B5638" s="14">
        <v>0.0</v>
      </c>
      <c r="C5638" s="34">
        <v>3.2</v>
      </c>
      <c r="D5638" s="36">
        <v>45291.0</v>
      </c>
      <c r="E5638" s="24"/>
      <c r="F5638" s="14" t="s">
        <v>6012</v>
      </c>
      <c r="G5638" s="14">
        <v>266.67</v>
      </c>
      <c r="H5638" s="14">
        <v>0.0</v>
      </c>
      <c r="I5638" s="14" t="s">
        <v>6058</v>
      </c>
      <c r="J5638" s="14" t="s">
        <v>6012</v>
      </c>
      <c r="K5638" s="14" t="s">
        <v>6012</v>
      </c>
      <c r="L5638" s="14">
        <v>0.0</v>
      </c>
    </row>
    <row r="5639">
      <c r="A5639" s="14">
        <v>7.0</v>
      </c>
      <c r="B5639" s="14">
        <v>0.0</v>
      </c>
      <c r="C5639" s="34">
        <v>1.55</v>
      </c>
      <c r="D5639" s="36">
        <v>45291.0</v>
      </c>
      <c r="E5639" s="24"/>
      <c r="F5639" s="14" t="s">
        <v>6012</v>
      </c>
      <c r="G5639" s="14">
        <v>221.43</v>
      </c>
      <c r="H5639" s="14">
        <v>0.0</v>
      </c>
      <c r="I5639" s="14" t="s">
        <v>6059</v>
      </c>
      <c r="J5639" s="14" t="s">
        <v>6012</v>
      </c>
      <c r="K5639" s="14" t="s">
        <v>6012</v>
      </c>
      <c r="L5639" s="14">
        <v>0.0</v>
      </c>
    </row>
    <row r="5640">
      <c r="A5640" s="14">
        <v>10.0</v>
      </c>
      <c r="B5640" s="14">
        <v>0.0</v>
      </c>
      <c r="C5640" s="34">
        <v>2.5</v>
      </c>
      <c r="D5640" s="36">
        <v>45291.0</v>
      </c>
      <c r="E5640" s="24"/>
      <c r="F5640" s="14" t="s">
        <v>6012</v>
      </c>
      <c r="G5640" s="14">
        <v>250.0</v>
      </c>
      <c r="H5640" s="14">
        <v>0.0</v>
      </c>
      <c r="I5640" s="14" t="s">
        <v>6057</v>
      </c>
      <c r="J5640" s="14" t="s">
        <v>6012</v>
      </c>
      <c r="K5640" s="14" t="s">
        <v>6012</v>
      </c>
      <c r="L5640" s="14">
        <v>0.0</v>
      </c>
    </row>
    <row r="5641">
      <c r="A5641" s="14">
        <v>0.0</v>
      </c>
      <c r="B5641" s="14">
        <v>4.0</v>
      </c>
      <c r="C5641" s="34">
        <v>0.0</v>
      </c>
      <c r="D5641" s="36">
        <v>45291.0</v>
      </c>
      <c r="E5641" s="24"/>
      <c r="F5641" s="14">
        <v>0.0</v>
      </c>
      <c r="G5641" s="14" t="s">
        <v>6012</v>
      </c>
      <c r="H5641" s="14" t="s">
        <v>6012</v>
      </c>
      <c r="I5641" s="14" t="s">
        <v>6067</v>
      </c>
      <c r="J5641" s="14">
        <v>0.0</v>
      </c>
      <c r="K5641" s="14" t="s">
        <v>6012</v>
      </c>
      <c r="L5641" s="14">
        <v>0.0</v>
      </c>
    </row>
    <row r="5642">
      <c r="A5642" s="14">
        <v>0.0</v>
      </c>
      <c r="B5642" s="14">
        <v>3.0</v>
      </c>
      <c r="C5642" s="34">
        <v>0.0</v>
      </c>
      <c r="D5642" s="36">
        <v>45292.0</v>
      </c>
      <c r="E5642" s="24"/>
      <c r="F5642" s="14">
        <v>0.0</v>
      </c>
      <c r="G5642" s="14" t="s">
        <v>6012</v>
      </c>
      <c r="H5642" s="14" t="s">
        <v>6012</v>
      </c>
      <c r="I5642" s="14" t="s">
        <v>6067</v>
      </c>
      <c r="J5642" s="14">
        <v>0.0</v>
      </c>
      <c r="K5642" s="14" t="s">
        <v>6012</v>
      </c>
      <c r="L5642" s="14">
        <v>1.0</v>
      </c>
    </row>
    <row r="5643">
      <c r="A5643" s="14">
        <v>37.0</v>
      </c>
      <c r="B5643" s="14">
        <v>0.0</v>
      </c>
      <c r="C5643" s="34">
        <v>15.0</v>
      </c>
      <c r="D5643" s="36">
        <v>45292.0</v>
      </c>
      <c r="E5643" s="24"/>
      <c r="F5643" s="14" t="s">
        <v>6012</v>
      </c>
      <c r="G5643" s="14">
        <v>405.41</v>
      </c>
      <c r="H5643" s="14">
        <v>0.0</v>
      </c>
      <c r="I5643" s="14" t="s">
        <v>6059</v>
      </c>
      <c r="J5643" s="14" t="s">
        <v>6012</v>
      </c>
      <c r="K5643" s="14" t="s">
        <v>6012</v>
      </c>
      <c r="L5643" s="14">
        <v>0.0</v>
      </c>
    </row>
    <row r="5644">
      <c r="A5644" s="14">
        <v>19.0</v>
      </c>
      <c r="B5644" s="14">
        <v>0.0</v>
      </c>
      <c r="C5644" s="34">
        <v>13.31</v>
      </c>
      <c r="D5644" s="36">
        <v>45292.0</v>
      </c>
      <c r="E5644" s="24"/>
      <c r="F5644" s="14" t="s">
        <v>6012</v>
      </c>
      <c r="G5644" s="14">
        <v>700.53</v>
      </c>
      <c r="H5644" s="14">
        <v>0.0</v>
      </c>
      <c r="I5644" s="14" t="s">
        <v>6057</v>
      </c>
      <c r="J5644" s="14" t="s">
        <v>6012</v>
      </c>
      <c r="K5644" s="14" t="s">
        <v>6012</v>
      </c>
      <c r="L5644" s="14">
        <v>0.0</v>
      </c>
    </row>
    <row r="5645">
      <c r="A5645" s="14">
        <v>73.0</v>
      </c>
      <c r="B5645" s="14">
        <v>0.0</v>
      </c>
      <c r="C5645" s="34">
        <v>12.4</v>
      </c>
      <c r="D5645" s="36">
        <v>45292.0</v>
      </c>
      <c r="E5645" s="24"/>
      <c r="F5645" s="14" t="s">
        <v>6012</v>
      </c>
      <c r="G5645" s="14">
        <v>169.86</v>
      </c>
      <c r="H5645" s="14">
        <v>0.0</v>
      </c>
      <c r="I5645" s="14" t="s">
        <v>6058</v>
      </c>
      <c r="J5645" s="14" t="s">
        <v>6012</v>
      </c>
      <c r="K5645" s="14" t="s">
        <v>6012</v>
      </c>
      <c r="L5645" s="14">
        <v>0.0</v>
      </c>
    </row>
    <row r="5646">
      <c r="A5646" s="14">
        <v>0.0</v>
      </c>
      <c r="B5646" s="14">
        <v>22.0</v>
      </c>
      <c r="C5646" s="34">
        <v>0.0</v>
      </c>
      <c r="D5646" s="36">
        <v>45293.0</v>
      </c>
      <c r="E5646" s="24"/>
      <c r="F5646" s="14">
        <v>0.0</v>
      </c>
      <c r="G5646" s="14" t="s">
        <v>6012</v>
      </c>
      <c r="H5646" s="14" t="s">
        <v>6012</v>
      </c>
      <c r="I5646" s="14" t="s">
        <v>6067</v>
      </c>
      <c r="J5646" s="14">
        <v>4.55</v>
      </c>
      <c r="K5646" s="14">
        <v>0.0</v>
      </c>
      <c r="L5646" s="14">
        <v>3.0</v>
      </c>
    </row>
    <row r="5647">
      <c r="A5647" s="14">
        <v>36.0</v>
      </c>
      <c r="B5647" s="14">
        <v>1.0</v>
      </c>
      <c r="C5647" s="34">
        <v>11.41</v>
      </c>
      <c r="D5647" s="36">
        <v>45293.0</v>
      </c>
      <c r="E5647" s="24"/>
      <c r="F5647" s="14">
        <v>11.41</v>
      </c>
      <c r="G5647" s="14">
        <v>316.94</v>
      </c>
      <c r="H5647" s="14">
        <v>2.78</v>
      </c>
      <c r="I5647" s="14" t="s">
        <v>6058</v>
      </c>
      <c r="J5647" s="14">
        <v>100.0</v>
      </c>
      <c r="K5647" s="14">
        <v>11.41</v>
      </c>
      <c r="L5647" s="14">
        <v>0.0</v>
      </c>
    </row>
    <row r="5648">
      <c r="A5648" s="14">
        <v>21.0</v>
      </c>
      <c r="B5648" s="14">
        <v>0.0</v>
      </c>
      <c r="C5648" s="34">
        <v>8.53</v>
      </c>
      <c r="D5648" s="36">
        <v>45293.0</v>
      </c>
      <c r="E5648" s="24"/>
      <c r="F5648" s="14" t="s">
        <v>6012</v>
      </c>
      <c r="G5648" s="14">
        <v>406.19</v>
      </c>
      <c r="H5648" s="14">
        <v>0.0</v>
      </c>
      <c r="I5648" s="14" t="s">
        <v>6059</v>
      </c>
      <c r="J5648" s="14" t="s">
        <v>6012</v>
      </c>
      <c r="K5648" s="14" t="s">
        <v>6012</v>
      </c>
      <c r="L5648" s="14">
        <v>0.0</v>
      </c>
    </row>
    <row r="5649">
      <c r="A5649" s="14">
        <v>16.0</v>
      </c>
      <c r="B5649" s="14">
        <v>0.0</v>
      </c>
      <c r="C5649" s="34">
        <v>10.34</v>
      </c>
      <c r="D5649" s="36">
        <v>45293.0</v>
      </c>
      <c r="E5649" s="24"/>
      <c r="F5649" s="14" t="s">
        <v>6012</v>
      </c>
      <c r="G5649" s="14">
        <v>646.25</v>
      </c>
      <c r="H5649" s="14">
        <v>0.0</v>
      </c>
      <c r="I5649" s="14" t="s">
        <v>6057</v>
      </c>
      <c r="J5649" s="14" t="s">
        <v>6012</v>
      </c>
      <c r="K5649" s="14" t="s">
        <v>6012</v>
      </c>
      <c r="L5649" s="14">
        <v>0.0</v>
      </c>
    </row>
    <row r="5650">
      <c r="A5650" s="14">
        <v>0.0</v>
      </c>
      <c r="B5650" s="14">
        <v>0.0</v>
      </c>
      <c r="C5650" s="34"/>
      <c r="D5650" s="36">
        <v>45294.0</v>
      </c>
      <c r="E5650" s="24"/>
      <c r="F5650" s="14" t="s">
        <v>6012</v>
      </c>
      <c r="G5650" s="14" t="s">
        <v>6012</v>
      </c>
      <c r="H5650" s="14" t="s">
        <v>6012</v>
      </c>
      <c r="I5650" s="14" t="s">
        <v>6059</v>
      </c>
      <c r="J5650" s="14" t="s">
        <v>6012</v>
      </c>
      <c r="K5650" s="14" t="s">
        <v>6012</v>
      </c>
      <c r="L5650" s="14"/>
    </row>
    <row r="5651">
      <c r="A5651" s="14">
        <v>0.0</v>
      </c>
      <c r="B5651" s="14">
        <v>12.0</v>
      </c>
      <c r="C5651" s="34">
        <v>0.0</v>
      </c>
      <c r="D5651" s="36">
        <v>45294.0</v>
      </c>
      <c r="E5651" s="24"/>
      <c r="F5651" s="14">
        <v>0.0</v>
      </c>
      <c r="G5651" s="14" t="s">
        <v>6012</v>
      </c>
      <c r="H5651" s="14" t="s">
        <v>6012</v>
      </c>
      <c r="I5651" s="14" t="s">
        <v>6067</v>
      </c>
      <c r="J5651" s="14">
        <v>8.33</v>
      </c>
      <c r="K5651" s="14">
        <v>0.0</v>
      </c>
      <c r="L5651" s="14">
        <v>1.0</v>
      </c>
    </row>
    <row r="5652">
      <c r="A5652" s="14">
        <v>43.0</v>
      </c>
      <c r="B5652" s="14">
        <v>24.0</v>
      </c>
      <c r="C5652" s="34">
        <v>34.25</v>
      </c>
      <c r="D5652" s="36">
        <v>45295.0</v>
      </c>
      <c r="E5652" s="24"/>
      <c r="F5652" s="14">
        <v>1.43</v>
      </c>
      <c r="G5652" s="14">
        <v>796.51</v>
      </c>
      <c r="H5652" s="14">
        <v>55.81</v>
      </c>
      <c r="I5652" s="14" t="s">
        <v>6067</v>
      </c>
      <c r="J5652" s="14">
        <v>0.0</v>
      </c>
      <c r="K5652" s="14" t="s">
        <v>6012</v>
      </c>
      <c r="L5652" s="14">
        <v>0.0</v>
      </c>
    </row>
    <row r="5653">
      <c r="A5653" s="14">
        <v>65.0</v>
      </c>
      <c r="B5653" s="14">
        <v>30.0</v>
      </c>
      <c r="C5653" s="34">
        <v>51.9</v>
      </c>
      <c r="D5653" s="36">
        <v>45296.0</v>
      </c>
      <c r="E5653" s="24"/>
      <c r="F5653" s="14">
        <v>1.73</v>
      </c>
      <c r="G5653" s="14">
        <v>798.46</v>
      </c>
      <c r="H5653" s="14">
        <v>46.15</v>
      </c>
      <c r="I5653" s="14" t="s">
        <v>6067</v>
      </c>
      <c r="J5653" s="14">
        <v>0.0</v>
      </c>
      <c r="K5653" s="14" t="s">
        <v>6012</v>
      </c>
      <c r="L5653" s="14">
        <v>0.0</v>
      </c>
    </row>
    <row r="5654">
      <c r="A5654" s="14">
        <v>33.0</v>
      </c>
      <c r="B5654" s="14">
        <v>11.0</v>
      </c>
      <c r="C5654" s="34">
        <v>24.94</v>
      </c>
      <c r="D5654" s="36">
        <v>45297.0</v>
      </c>
      <c r="E5654" s="24"/>
      <c r="F5654" s="14">
        <v>2.27</v>
      </c>
      <c r="G5654" s="14">
        <v>755.76</v>
      </c>
      <c r="H5654" s="14">
        <v>33.33</v>
      </c>
      <c r="I5654" s="14" t="s">
        <v>6067</v>
      </c>
      <c r="J5654" s="14">
        <v>0.0</v>
      </c>
      <c r="K5654" s="14" t="s">
        <v>6012</v>
      </c>
      <c r="L5654" s="14">
        <v>0.0</v>
      </c>
    </row>
    <row r="5655">
      <c r="A5655" s="14">
        <v>24.0</v>
      </c>
      <c r="B5655" s="14">
        <v>14.0</v>
      </c>
      <c r="C5655" s="34">
        <v>15.79</v>
      </c>
      <c r="D5655" s="36">
        <v>45298.0</v>
      </c>
      <c r="E5655" s="24"/>
      <c r="F5655" s="14">
        <v>1.13</v>
      </c>
      <c r="G5655" s="14">
        <v>657.92</v>
      </c>
      <c r="H5655" s="14">
        <v>58.33</v>
      </c>
      <c r="I5655" s="14" t="s">
        <v>6067</v>
      </c>
      <c r="J5655" s="14">
        <v>0.0</v>
      </c>
      <c r="K5655" s="14" t="s">
        <v>6012</v>
      </c>
      <c r="L5655" s="14">
        <v>1.0</v>
      </c>
    </row>
    <row r="5656">
      <c r="A5656" s="14">
        <v>60.0</v>
      </c>
      <c r="B5656" s="14">
        <v>34.0</v>
      </c>
      <c r="C5656" s="34">
        <v>38.08</v>
      </c>
      <c r="D5656" s="36">
        <v>45299.0</v>
      </c>
      <c r="E5656" s="24"/>
      <c r="F5656" s="14">
        <v>1.12</v>
      </c>
      <c r="G5656" s="14">
        <v>634.67</v>
      </c>
      <c r="H5656" s="14">
        <v>56.67</v>
      </c>
      <c r="I5656" s="14" t="s">
        <v>6067</v>
      </c>
      <c r="J5656" s="14">
        <v>0.0</v>
      </c>
      <c r="K5656" s="14" t="s">
        <v>6012</v>
      </c>
      <c r="L5656" s="14">
        <v>0.0</v>
      </c>
    </row>
    <row r="5657">
      <c r="A5657" s="14">
        <v>61.0</v>
      </c>
      <c r="B5657" s="14">
        <v>41.0</v>
      </c>
      <c r="C5657" s="34">
        <v>40.51</v>
      </c>
      <c r="D5657" s="36">
        <v>45300.0</v>
      </c>
      <c r="E5657" s="24"/>
      <c r="F5657" s="14">
        <v>0.99</v>
      </c>
      <c r="G5657" s="14">
        <v>664.1</v>
      </c>
      <c r="H5657" s="14">
        <v>67.21</v>
      </c>
      <c r="I5657" s="14" t="s">
        <v>6067</v>
      </c>
      <c r="J5657" s="14">
        <v>0.0</v>
      </c>
      <c r="K5657" s="14" t="s">
        <v>6012</v>
      </c>
      <c r="L5657" s="14">
        <v>0.0</v>
      </c>
    </row>
    <row r="5658">
      <c r="A5658" s="14">
        <v>0.0</v>
      </c>
      <c r="B5658" s="14">
        <v>1.0</v>
      </c>
      <c r="C5658" s="34">
        <v>0.0</v>
      </c>
      <c r="D5658" s="36">
        <v>45300.0</v>
      </c>
      <c r="E5658" s="24"/>
      <c r="F5658" s="14">
        <v>0.0</v>
      </c>
      <c r="G5658" s="14" t="s">
        <v>6012</v>
      </c>
      <c r="H5658" s="14" t="s">
        <v>6012</v>
      </c>
      <c r="I5658" s="14" t="s">
        <v>6065</v>
      </c>
      <c r="J5658" s="14">
        <v>0.0</v>
      </c>
      <c r="K5658" s="14" t="s">
        <v>6012</v>
      </c>
      <c r="L5658" s="14">
        <v>0.0</v>
      </c>
    </row>
    <row r="5659">
      <c r="A5659" s="14">
        <v>229.0</v>
      </c>
      <c r="B5659" s="14">
        <v>93.0</v>
      </c>
      <c r="C5659" s="34">
        <v>144.39</v>
      </c>
      <c r="D5659" s="36">
        <v>45301.0</v>
      </c>
      <c r="E5659" s="24"/>
      <c r="F5659" s="14">
        <v>1.55</v>
      </c>
      <c r="G5659" s="14">
        <v>630.52</v>
      </c>
      <c r="H5659" s="14">
        <v>40.61</v>
      </c>
      <c r="I5659" s="14" t="s">
        <v>6067</v>
      </c>
      <c r="J5659" s="14">
        <v>2.15</v>
      </c>
      <c r="K5659" s="14">
        <v>72.19</v>
      </c>
      <c r="L5659" s="14">
        <v>1.0</v>
      </c>
    </row>
    <row r="5660">
      <c r="A5660" s="14">
        <v>0.0</v>
      </c>
      <c r="B5660" s="14">
        <v>1.0</v>
      </c>
      <c r="C5660" s="34">
        <v>0.0</v>
      </c>
      <c r="D5660" s="36">
        <v>45301.0</v>
      </c>
      <c r="E5660" s="24"/>
      <c r="F5660" s="14">
        <v>0.0</v>
      </c>
      <c r="G5660" s="14" t="s">
        <v>6012</v>
      </c>
      <c r="H5660" s="14" t="s">
        <v>6012</v>
      </c>
      <c r="I5660" s="14" t="s">
        <v>6065</v>
      </c>
      <c r="J5660" s="14">
        <v>0.0</v>
      </c>
      <c r="K5660" s="14" t="s">
        <v>6012</v>
      </c>
      <c r="L5660" s="14">
        <v>0.0</v>
      </c>
    </row>
    <row r="5661">
      <c r="A5661" s="14">
        <v>167.0</v>
      </c>
      <c r="B5661" s="14">
        <v>95.0</v>
      </c>
      <c r="C5661" s="34">
        <v>106.2</v>
      </c>
      <c r="D5661" s="36">
        <v>45302.0</v>
      </c>
      <c r="E5661" s="24"/>
      <c r="F5661" s="14">
        <v>1.12</v>
      </c>
      <c r="G5661" s="14">
        <v>635.93</v>
      </c>
      <c r="H5661" s="14">
        <v>56.89</v>
      </c>
      <c r="I5661" s="14" t="s">
        <v>6067</v>
      </c>
      <c r="J5661" s="14">
        <v>1.05</v>
      </c>
      <c r="K5661" s="14">
        <v>106.2</v>
      </c>
      <c r="L5661" s="14">
        <v>4.0</v>
      </c>
    </row>
    <row r="5662">
      <c r="A5662" s="14">
        <v>222.0</v>
      </c>
      <c r="B5662" s="14">
        <v>111.0</v>
      </c>
      <c r="C5662" s="34">
        <v>145.87</v>
      </c>
      <c r="D5662" s="36">
        <v>45303.0</v>
      </c>
      <c r="E5662" s="24"/>
      <c r="F5662" s="14">
        <v>1.31</v>
      </c>
      <c r="G5662" s="14">
        <v>657.07</v>
      </c>
      <c r="H5662" s="14">
        <v>50.0</v>
      </c>
      <c r="I5662" s="14" t="s">
        <v>6067</v>
      </c>
      <c r="J5662" s="14">
        <v>1.8</v>
      </c>
      <c r="K5662" s="14">
        <v>72.94</v>
      </c>
      <c r="L5662" s="14">
        <v>3.0</v>
      </c>
    </row>
    <row r="5663">
      <c r="A5663" s="14">
        <v>150.0</v>
      </c>
      <c r="B5663" s="14">
        <v>67.0</v>
      </c>
      <c r="C5663" s="34">
        <v>98.3</v>
      </c>
      <c r="D5663" s="36">
        <v>45304.0</v>
      </c>
      <c r="E5663" s="24"/>
      <c r="F5663" s="14">
        <v>1.47</v>
      </c>
      <c r="G5663" s="14">
        <v>655.33</v>
      </c>
      <c r="H5663" s="14">
        <v>44.67</v>
      </c>
      <c r="I5663" s="14" t="s">
        <v>6067</v>
      </c>
      <c r="J5663" s="14">
        <v>1.49</v>
      </c>
      <c r="K5663" s="14">
        <v>98.3</v>
      </c>
      <c r="L5663" s="14">
        <v>4.0</v>
      </c>
    </row>
    <row r="5664">
      <c r="A5664" s="14">
        <v>98.0</v>
      </c>
      <c r="B5664" s="14">
        <v>42.0</v>
      </c>
      <c r="C5664" s="34">
        <v>63.87</v>
      </c>
      <c r="D5664" s="36">
        <v>45305.0</v>
      </c>
      <c r="E5664" s="24"/>
      <c r="F5664" s="14">
        <v>1.52</v>
      </c>
      <c r="G5664" s="14">
        <v>651.73</v>
      </c>
      <c r="H5664" s="14">
        <v>42.86</v>
      </c>
      <c r="I5664" s="14" t="s">
        <v>6067</v>
      </c>
      <c r="J5664" s="14">
        <v>0.0</v>
      </c>
      <c r="K5664" s="14" t="s">
        <v>6012</v>
      </c>
      <c r="L5664" s="14">
        <v>2.0</v>
      </c>
    </row>
    <row r="5665">
      <c r="A5665" s="14">
        <v>117.0</v>
      </c>
      <c r="B5665" s="14">
        <v>62.0</v>
      </c>
      <c r="C5665" s="34">
        <v>77.34</v>
      </c>
      <c r="D5665" s="36">
        <v>45306.0</v>
      </c>
      <c r="E5665" s="24"/>
      <c r="F5665" s="14">
        <v>1.25</v>
      </c>
      <c r="G5665" s="14">
        <v>661.03</v>
      </c>
      <c r="H5665" s="14">
        <v>52.99</v>
      </c>
      <c r="I5665" s="14" t="s">
        <v>6067</v>
      </c>
      <c r="J5665" s="14">
        <v>1.61</v>
      </c>
      <c r="K5665" s="14">
        <v>77.34</v>
      </c>
      <c r="L5665" s="14">
        <v>1.0</v>
      </c>
    </row>
    <row r="5666">
      <c r="A5666" s="14">
        <v>174.0</v>
      </c>
      <c r="B5666" s="14">
        <v>118.0</v>
      </c>
      <c r="C5666" s="34">
        <v>118.08</v>
      </c>
      <c r="D5666" s="36">
        <v>45307.0</v>
      </c>
      <c r="E5666" s="24"/>
      <c r="F5666" s="14">
        <v>1.0</v>
      </c>
      <c r="G5666" s="14">
        <v>678.62</v>
      </c>
      <c r="H5666" s="14">
        <v>67.82</v>
      </c>
      <c r="I5666" s="14" t="s">
        <v>6067</v>
      </c>
      <c r="J5666" s="14">
        <v>0.85</v>
      </c>
      <c r="K5666" s="14">
        <v>118.08</v>
      </c>
      <c r="L5666" s="14">
        <v>5.0</v>
      </c>
    </row>
    <row r="5667">
      <c r="A5667" s="14">
        <v>157.0</v>
      </c>
      <c r="B5667" s="14">
        <v>88.0</v>
      </c>
      <c r="C5667" s="34">
        <v>98.18</v>
      </c>
      <c r="D5667" s="36">
        <v>45308.0</v>
      </c>
      <c r="E5667" s="24"/>
      <c r="F5667" s="14">
        <v>1.12</v>
      </c>
      <c r="G5667" s="14">
        <v>625.35</v>
      </c>
      <c r="H5667" s="14">
        <v>56.05</v>
      </c>
      <c r="I5667" s="14" t="s">
        <v>6067</v>
      </c>
      <c r="J5667" s="14">
        <v>0.0</v>
      </c>
      <c r="K5667" s="14" t="s">
        <v>6012</v>
      </c>
      <c r="L5667" s="14">
        <v>2.0</v>
      </c>
    </row>
    <row r="5668">
      <c r="A5668" s="14">
        <v>158.0</v>
      </c>
      <c r="B5668" s="14">
        <v>80.0</v>
      </c>
      <c r="C5668" s="34">
        <v>107.16</v>
      </c>
      <c r="D5668" s="36">
        <v>45309.0</v>
      </c>
      <c r="E5668" s="24"/>
      <c r="F5668" s="14">
        <v>1.34</v>
      </c>
      <c r="G5668" s="14">
        <v>678.23</v>
      </c>
      <c r="H5668" s="14">
        <v>50.63</v>
      </c>
      <c r="I5668" s="14" t="s">
        <v>6067</v>
      </c>
      <c r="J5668" s="14">
        <v>1.25</v>
      </c>
      <c r="K5668" s="14">
        <v>107.16</v>
      </c>
      <c r="L5668" s="14">
        <v>4.0</v>
      </c>
    </row>
    <row r="5669">
      <c r="A5669" s="14">
        <v>120.0</v>
      </c>
      <c r="B5669" s="14">
        <v>68.0</v>
      </c>
      <c r="C5669" s="34">
        <v>82.36</v>
      </c>
      <c r="D5669" s="36">
        <v>45310.0</v>
      </c>
      <c r="E5669" s="24"/>
      <c r="F5669" s="14">
        <v>1.21</v>
      </c>
      <c r="G5669" s="14">
        <v>686.33</v>
      </c>
      <c r="H5669" s="14">
        <v>56.67</v>
      </c>
      <c r="I5669" s="14" t="s">
        <v>6067</v>
      </c>
      <c r="J5669" s="14">
        <v>1.47</v>
      </c>
      <c r="K5669" s="14">
        <v>82.36</v>
      </c>
      <c r="L5669" s="14">
        <v>4.0</v>
      </c>
    </row>
    <row r="5670">
      <c r="A5670" s="14">
        <v>106.0</v>
      </c>
      <c r="B5670" s="14">
        <v>48.0</v>
      </c>
      <c r="C5670" s="34">
        <v>70.11</v>
      </c>
      <c r="D5670" s="36">
        <v>45311.0</v>
      </c>
      <c r="E5670" s="24"/>
      <c r="F5670" s="14">
        <v>1.46</v>
      </c>
      <c r="G5670" s="14">
        <v>661.42</v>
      </c>
      <c r="H5670" s="14">
        <v>45.28</v>
      </c>
      <c r="I5670" s="14" t="s">
        <v>6067</v>
      </c>
      <c r="J5670" s="14">
        <v>0.0</v>
      </c>
      <c r="K5670" s="14" t="s">
        <v>6012</v>
      </c>
      <c r="L5670" s="14">
        <v>1.0</v>
      </c>
    </row>
    <row r="5671">
      <c r="A5671" s="14">
        <v>104.0</v>
      </c>
      <c r="B5671" s="14">
        <v>48.0</v>
      </c>
      <c r="C5671" s="34">
        <v>66.68</v>
      </c>
      <c r="D5671" s="36">
        <v>45312.0</v>
      </c>
      <c r="E5671" s="24"/>
      <c r="F5671" s="14">
        <v>1.39</v>
      </c>
      <c r="G5671" s="14">
        <v>641.15</v>
      </c>
      <c r="H5671" s="14">
        <v>46.15</v>
      </c>
      <c r="I5671" s="14" t="s">
        <v>6067</v>
      </c>
      <c r="J5671" s="14">
        <v>0.0</v>
      </c>
      <c r="K5671" s="14" t="s">
        <v>6012</v>
      </c>
      <c r="L5671" s="14">
        <v>2.0</v>
      </c>
    </row>
    <row r="5672">
      <c r="A5672" s="14">
        <v>132.0</v>
      </c>
      <c r="B5672" s="14">
        <v>98.0</v>
      </c>
      <c r="C5672" s="34">
        <v>86.56</v>
      </c>
      <c r="D5672" s="36">
        <v>45313.0</v>
      </c>
      <c r="E5672" s="24"/>
      <c r="F5672" s="14">
        <v>0.88</v>
      </c>
      <c r="G5672" s="14">
        <v>655.76</v>
      </c>
      <c r="H5672" s="14">
        <v>74.24</v>
      </c>
      <c r="I5672" s="14" t="s">
        <v>6067</v>
      </c>
      <c r="J5672" s="14">
        <v>0.0</v>
      </c>
      <c r="K5672" s="14" t="s">
        <v>6012</v>
      </c>
      <c r="L5672" s="14">
        <v>1.0</v>
      </c>
    </row>
    <row r="5673">
      <c r="A5673" s="14">
        <v>131.0</v>
      </c>
      <c r="B5673" s="14">
        <v>71.0</v>
      </c>
      <c r="C5673" s="34">
        <v>92.8</v>
      </c>
      <c r="D5673" s="36">
        <v>45314.0</v>
      </c>
      <c r="E5673" s="24"/>
      <c r="F5673" s="14">
        <v>1.31</v>
      </c>
      <c r="G5673" s="14">
        <v>708.4</v>
      </c>
      <c r="H5673" s="14">
        <v>54.2</v>
      </c>
      <c r="I5673" s="14" t="s">
        <v>6067</v>
      </c>
      <c r="J5673" s="14">
        <v>0.0</v>
      </c>
      <c r="K5673" s="14" t="s">
        <v>6012</v>
      </c>
      <c r="L5673" s="14">
        <v>4.0</v>
      </c>
    </row>
    <row r="5674">
      <c r="A5674" s="14">
        <v>118.0</v>
      </c>
      <c r="B5674" s="14">
        <v>76.0</v>
      </c>
      <c r="C5674" s="34">
        <v>75.12</v>
      </c>
      <c r="D5674" s="36">
        <v>45315.0</v>
      </c>
      <c r="E5674" s="24"/>
      <c r="F5674" s="14">
        <v>0.99</v>
      </c>
      <c r="G5674" s="14">
        <v>636.61</v>
      </c>
      <c r="H5674" s="14">
        <v>64.41</v>
      </c>
      <c r="I5674" s="14" t="s">
        <v>6067</v>
      </c>
      <c r="J5674" s="14">
        <v>0.0</v>
      </c>
      <c r="K5674" s="14" t="s">
        <v>6012</v>
      </c>
      <c r="L5674" s="14">
        <v>3.0</v>
      </c>
    </row>
    <row r="5675">
      <c r="A5675" s="14">
        <v>0.0</v>
      </c>
      <c r="B5675" s="14">
        <v>1.0</v>
      </c>
      <c r="C5675" s="34">
        <v>0.0</v>
      </c>
      <c r="D5675" s="36">
        <v>45316.0</v>
      </c>
      <c r="E5675" s="24"/>
      <c r="F5675" s="14">
        <v>0.0</v>
      </c>
      <c r="G5675" s="14" t="s">
        <v>6012</v>
      </c>
      <c r="H5675" s="14" t="s">
        <v>6012</v>
      </c>
      <c r="I5675" s="14" t="s">
        <v>6064</v>
      </c>
      <c r="J5675" s="14">
        <v>0.0</v>
      </c>
      <c r="K5675" s="14" t="s">
        <v>6012</v>
      </c>
      <c r="L5675" s="14">
        <v>0.0</v>
      </c>
    </row>
    <row r="5676">
      <c r="A5676" s="14">
        <v>108.0</v>
      </c>
      <c r="B5676" s="14">
        <v>58.0</v>
      </c>
      <c r="C5676" s="34">
        <v>73.14</v>
      </c>
      <c r="D5676" s="36">
        <v>45316.0</v>
      </c>
      <c r="E5676" s="24"/>
      <c r="F5676" s="14">
        <v>1.26</v>
      </c>
      <c r="G5676" s="14">
        <v>677.22</v>
      </c>
      <c r="H5676" s="14">
        <v>53.7</v>
      </c>
      <c r="I5676" s="14" t="s">
        <v>6067</v>
      </c>
      <c r="J5676" s="14">
        <v>1.72</v>
      </c>
      <c r="K5676" s="14">
        <v>73.14</v>
      </c>
      <c r="L5676" s="14">
        <v>0.0</v>
      </c>
    </row>
    <row r="5677">
      <c r="A5677" s="14">
        <v>74.0</v>
      </c>
      <c r="B5677" s="14">
        <v>39.0</v>
      </c>
      <c r="C5677" s="34">
        <v>48.15</v>
      </c>
      <c r="D5677" s="36">
        <v>45317.0</v>
      </c>
      <c r="E5677" s="24"/>
      <c r="F5677" s="14">
        <v>1.23</v>
      </c>
      <c r="G5677" s="14">
        <v>650.68</v>
      </c>
      <c r="H5677" s="14">
        <v>52.7</v>
      </c>
      <c r="I5677" s="14" t="s">
        <v>6067</v>
      </c>
      <c r="J5677" s="14">
        <v>2.56</v>
      </c>
      <c r="K5677" s="14">
        <v>48.15</v>
      </c>
      <c r="L5677" s="14">
        <v>1.0</v>
      </c>
    </row>
    <row r="5678">
      <c r="A5678" s="14">
        <v>65.0</v>
      </c>
      <c r="B5678" s="14">
        <v>28.0</v>
      </c>
      <c r="C5678" s="34">
        <v>42.86</v>
      </c>
      <c r="D5678" s="36">
        <v>45318.0</v>
      </c>
      <c r="E5678" s="24"/>
      <c r="F5678" s="14">
        <v>1.53</v>
      </c>
      <c r="G5678" s="14">
        <v>659.38</v>
      </c>
      <c r="H5678" s="14">
        <v>43.08</v>
      </c>
      <c r="I5678" s="14" t="s">
        <v>6067</v>
      </c>
      <c r="J5678" s="14">
        <v>0.0</v>
      </c>
      <c r="K5678" s="14" t="s">
        <v>6012</v>
      </c>
      <c r="L5678" s="14">
        <v>1.0</v>
      </c>
    </row>
    <row r="5679">
      <c r="A5679" s="14">
        <v>71.0</v>
      </c>
      <c r="B5679" s="14">
        <v>35.0</v>
      </c>
      <c r="C5679" s="34">
        <v>49.25</v>
      </c>
      <c r="D5679" s="36">
        <v>45319.0</v>
      </c>
      <c r="E5679" s="24"/>
      <c r="F5679" s="14">
        <v>1.41</v>
      </c>
      <c r="G5679" s="14">
        <v>693.66</v>
      </c>
      <c r="H5679" s="14">
        <v>49.3</v>
      </c>
      <c r="I5679" s="14" t="s">
        <v>6067</v>
      </c>
      <c r="J5679" s="14">
        <v>0.0</v>
      </c>
      <c r="K5679" s="14" t="s">
        <v>6012</v>
      </c>
      <c r="L5679" s="14">
        <v>1.0</v>
      </c>
    </row>
    <row r="5680">
      <c r="A5680" s="14">
        <v>92.0</v>
      </c>
      <c r="B5680" s="14">
        <v>76.0</v>
      </c>
      <c r="C5680" s="34">
        <v>56.88</v>
      </c>
      <c r="D5680" s="36">
        <v>45320.0</v>
      </c>
      <c r="E5680" s="24"/>
      <c r="F5680" s="14">
        <v>0.75</v>
      </c>
      <c r="G5680" s="14">
        <v>618.26</v>
      </c>
      <c r="H5680" s="14">
        <v>82.61</v>
      </c>
      <c r="I5680" s="14" t="s">
        <v>6067</v>
      </c>
      <c r="J5680" s="14">
        <v>0.0</v>
      </c>
      <c r="K5680" s="14" t="s">
        <v>6012</v>
      </c>
      <c r="L5680" s="14">
        <v>5.0</v>
      </c>
    </row>
    <row r="5681">
      <c r="A5681" s="14">
        <v>126.0</v>
      </c>
      <c r="B5681" s="14">
        <v>55.0</v>
      </c>
      <c r="C5681" s="34">
        <v>79.35</v>
      </c>
      <c r="D5681" s="36">
        <v>45321.0</v>
      </c>
      <c r="E5681" s="24"/>
      <c r="F5681" s="14">
        <v>1.44</v>
      </c>
      <c r="G5681" s="14">
        <v>629.76</v>
      </c>
      <c r="H5681" s="14">
        <v>43.65</v>
      </c>
      <c r="I5681" s="14" t="s">
        <v>6067</v>
      </c>
      <c r="J5681" s="14">
        <v>1.82</v>
      </c>
      <c r="K5681" s="14">
        <v>79.35</v>
      </c>
      <c r="L5681" s="14">
        <v>1.0</v>
      </c>
    </row>
    <row r="5682">
      <c r="A5682" s="14">
        <v>132.0</v>
      </c>
      <c r="B5682" s="14">
        <v>64.0</v>
      </c>
      <c r="C5682" s="34">
        <v>85.19</v>
      </c>
      <c r="D5682" s="36">
        <v>45322.0</v>
      </c>
      <c r="E5682" s="24"/>
      <c r="F5682" s="14">
        <v>1.33</v>
      </c>
      <c r="G5682" s="14">
        <v>645.38</v>
      </c>
      <c r="H5682" s="14">
        <v>48.48</v>
      </c>
      <c r="I5682" s="14" t="s">
        <v>6067</v>
      </c>
      <c r="J5682" s="14">
        <v>0.0</v>
      </c>
      <c r="K5682" s="14" t="s">
        <v>6012</v>
      </c>
      <c r="L5682" s="14">
        <v>2.0</v>
      </c>
    </row>
    <row r="5683">
      <c r="A5683" s="14">
        <v>124.0</v>
      </c>
      <c r="B5683" s="14">
        <v>81.0</v>
      </c>
      <c r="C5683" s="34">
        <v>81.94</v>
      </c>
      <c r="D5683" s="36">
        <v>45323.0</v>
      </c>
      <c r="E5683" s="24"/>
      <c r="F5683" s="14">
        <v>1.01</v>
      </c>
      <c r="G5683" s="14">
        <v>660.81</v>
      </c>
      <c r="H5683" s="14">
        <v>65.32</v>
      </c>
      <c r="I5683" s="14" t="s">
        <v>6067</v>
      </c>
      <c r="J5683" s="14">
        <v>0.0</v>
      </c>
      <c r="K5683" s="14" t="s">
        <v>6012</v>
      </c>
      <c r="L5683" s="14">
        <v>1.0</v>
      </c>
    </row>
    <row r="5684">
      <c r="A5684" s="14">
        <v>105.0</v>
      </c>
      <c r="B5684" s="14">
        <v>70.0</v>
      </c>
      <c r="C5684" s="34">
        <v>65.88</v>
      </c>
      <c r="D5684" s="36">
        <v>45324.0</v>
      </c>
      <c r="E5684" s="24"/>
      <c r="F5684" s="14">
        <v>0.94</v>
      </c>
      <c r="G5684" s="14">
        <v>627.43</v>
      </c>
      <c r="H5684" s="14">
        <v>66.67</v>
      </c>
      <c r="I5684" s="14" t="s">
        <v>6067</v>
      </c>
      <c r="J5684" s="14">
        <v>0.0</v>
      </c>
      <c r="K5684" s="14" t="s">
        <v>6012</v>
      </c>
      <c r="L5684" s="14">
        <v>1.0</v>
      </c>
    </row>
    <row r="5685">
      <c r="A5685" s="14">
        <v>76.0</v>
      </c>
      <c r="B5685" s="14">
        <v>43.0</v>
      </c>
      <c r="C5685" s="34">
        <v>49.77</v>
      </c>
      <c r="D5685" s="36">
        <v>45325.0</v>
      </c>
      <c r="E5685" s="24"/>
      <c r="F5685" s="14">
        <v>1.16</v>
      </c>
      <c r="G5685" s="14">
        <v>654.87</v>
      </c>
      <c r="H5685" s="14">
        <v>56.58</v>
      </c>
      <c r="I5685" s="14" t="s">
        <v>6067</v>
      </c>
      <c r="J5685" s="14">
        <v>0.0</v>
      </c>
      <c r="K5685" s="14" t="s">
        <v>6012</v>
      </c>
      <c r="L5685" s="14">
        <v>3.0</v>
      </c>
    </row>
    <row r="5686">
      <c r="A5686" s="14">
        <v>79.0</v>
      </c>
      <c r="B5686" s="14">
        <v>39.0</v>
      </c>
      <c r="C5686" s="34">
        <v>51.6</v>
      </c>
      <c r="D5686" s="36">
        <v>45326.0</v>
      </c>
      <c r="E5686" s="24"/>
      <c r="F5686" s="14">
        <v>1.32</v>
      </c>
      <c r="G5686" s="14">
        <v>653.16</v>
      </c>
      <c r="H5686" s="14">
        <v>49.37</v>
      </c>
      <c r="I5686" s="14" t="s">
        <v>6067</v>
      </c>
      <c r="J5686" s="14">
        <v>0.0</v>
      </c>
      <c r="K5686" s="14" t="s">
        <v>6012</v>
      </c>
      <c r="L5686" s="14">
        <v>1.0</v>
      </c>
    </row>
    <row r="5687">
      <c r="A5687" s="14">
        <v>116.0</v>
      </c>
      <c r="B5687" s="14">
        <v>75.0</v>
      </c>
      <c r="C5687" s="34">
        <v>75.78</v>
      </c>
      <c r="D5687" s="36">
        <v>45327.0</v>
      </c>
      <c r="E5687" s="24"/>
      <c r="F5687" s="14">
        <v>1.01</v>
      </c>
      <c r="G5687" s="14">
        <v>653.28</v>
      </c>
      <c r="H5687" s="14">
        <v>64.66</v>
      </c>
      <c r="I5687" s="14" t="s">
        <v>6067</v>
      </c>
      <c r="J5687" s="14">
        <v>1.33</v>
      </c>
      <c r="K5687" s="14">
        <v>75.78</v>
      </c>
      <c r="L5687" s="14">
        <v>0.0</v>
      </c>
    </row>
    <row r="5688">
      <c r="A5688" s="14">
        <v>98.0</v>
      </c>
      <c r="B5688" s="14">
        <v>70.0</v>
      </c>
      <c r="C5688" s="34">
        <v>69.88</v>
      </c>
      <c r="D5688" s="36">
        <v>45328.0</v>
      </c>
      <c r="E5688" s="24"/>
      <c r="F5688" s="14">
        <v>1.0</v>
      </c>
      <c r="G5688" s="14">
        <v>713.06</v>
      </c>
      <c r="H5688" s="14">
        <v>71.43</v>
      </c>
      <c r="I5688" s="14" t="s">
        <v>6067</v>
      </c>
      <c r="J5688" s="14">
        <v>0.0</v>
      </c>
      <c r="K5688" s="14" t="s">
        <v>6012</v>
      </c>
      <c r="L5688" s="14">
        <v>0.0</v>
      </c>
    </row>
    <row r="5689">
      <c r="A5689" s="14">
        <v>60.0</v>
      </c>
      <c r="B5689" s="14">
        <v>48.0</v>
      </c>
      <c r="C5689" s="34">
        <v>37.08</v>
      </c>
      <c r="D5689" s="36">
        <v>45329.0</v>
      </c>
      <c r="E5689" s="24"/>
      <c r="F5689" s="14">
        <v>0.77</v>
      </c>
      <c r="G5689" s="14">
        <v>618.0</v>
      </c>
      <c r="H5689" s="14">
        <v>80.0</v>
      </c>
      <c r="I5689" s="14" t="s">
        <v>6067</v>
      </c>
      <c r="J5689" s="14">
        <v>0.0</v>
      </c>
      <c r="K5689" s="14" t="s">
        <v>6012</v>
      </c>
      <c r="L5689" s="14">
        <v>0.0</v>
      </c>
    </row>
    <row r="5690">
      <c r="A5690" s="14">
        <v>70.0</v>
      </c>
      <c r="B5690" s="14">
        <v>46.0</v>
      </c>
      <c r="C5690" s="34">
        <v>48.29</v>
      </c>
      <c r="D5690" s="36">
        <v>45330.0</v>
      </c>
      <c r="E5690" s="24"/>
      <c r="F5690" s="14">
        <v>1.05</v>
      </c>
      <c r="G5690" s="14">
        <v>689.86</v>
      </c>
      <c r="H5690" s="14">
        <v>65.71</v>
      </c>
      <c r="I5690" s="14" t="s">
        <v>6067</v>
      </c>
      <c r="J5690" s="14">
        <v>2.17</v>
      </c>
      <c r="K5690" s="14">
        <v>48.29</v>
      </c>
      <c r="L5690" s="14">
        <v>2.0</v>
      </c>
    </row>
    <row r="5691">
      <c r="A5691" s="14">
        <v>53.0</v>
      </c>
      <c r="B5691" s="14">
        <v>34.0</v>
      </c>
      <c r="C5691" s="34">
        <v>37.74</v>
      </c>
      <c r="D5691" s="36">
        <v>45331.0</v>
      </c>
      <c r="E5691" s="24"/>
      <c r="F5691" s="14">
        <v>1.11</v>
      </c>
      <c r="G5691" s="14">
        <v>712.08</v>
      </c>
      <c r="H5691" s="14">
        <v>64.15</v>
      </c>
      <c r="I5691" s="14" t="s">
        <v>6067</v>
      </c>
      <c r="J5691" s="14">
        <v>0.0</v>
      </c>
      <c r="K5691" s="14" t="s">
        <v>6012</v>
      </c>
      <c r="L5691" s="14">
        <v>2.0</v>
      </c>
    </row>
    <row r="5692">
      <c r="A5692" s="14">
        <v>45.0</v>
      </c>
      <c r="B5692" s="14">
        <v>24.0</v>
      </c>
      <c r="C5692" s="34">
        <v>32.1</v>
      </c>
      <c r="D5692" s="36">
        <v>45332.0</v>
      </c>
      <c r="E5692" s="24"/>
      <c r="F5692" s="14">
        <v>1.34</v>
      </c>
      <c r="G5692" s="14">
        <v>713.33</v>
      </c>
      <c r="H5692" s="14">
        <v>53.33</v>
      </c>
      <c r="I5692" s="14" t="s">
        <v>6067</v>
      </c>
      <c r="J5692" s="14">
        <v>0.0</v>
      </c>
      <c r="K5692" s="14" t="s">
        <v>6012</v>
      </c>
      <c r="L5692" s="14">
        <v>1.0</v>
      </c>
    </row>
    <row r="5693">
      <c r="A5693" s="14">
        <v>30.0</v>
      </c>
      <c r="B5693" s="14">
        <v>15.0</v>
      </c>
      <c r="C5693" s="34">
        <v>20.26</v>
      </c>
      <c r="D5693" s="36">
        <v>45333.0</v>
      </c>
      <c r="E5693" s="24"/>
      <c r="F5693" s="14">
        <v>1.35</v>
      </c>
      <c r="G5693" s="14">
        <v>675.33</v>
      </c>
      <c r="H5693" s="14">
        <v>50.0</v>
      </c>
      <c r="I5693" s="14" t="s">
        <v>6067</v>
      </c>
      <c r="J5693" s="14">
        <v>0.0</v>
      </c>
      <c r="K5693" s="14" t="s">
        <v>6012</v>
      </c>
      <c r="L5693" s="14">
        <v>0.0</v>
      </c>
    </row>
    <row r="5694">
      <c r="A5694" s="14">
        <v>59.0</v>
      </c>
      <c r="B5694" s="14">
        <v>39.0</v>
      </c>
      <c r="C5694" s="34">
        <v>35.65</v>
      </c>
      <c r="D5694" s="36">
        <v>45334.0</v>
      </c>
      <c r="E5694" s="24"/>
      <c r="F5694" s="14">
        <v>0.91</v>
      </c>
      <c r="G5694" s="14">
        <v>604.24</v>
      </c>
      <c r="H5694" s="14">
        <v>66.1</v>
      </c>
      <c r="I5694" s="14" t="s">
        <v>6067</v>
      </c>
      <c r="J5694" s="14">
        <v>0.0</v>
      </c>
      <c r="K5694" s="14" t="s">
        <v>6012</v>
      </c>
      <c r="L5694" s="14">
        <v>0.0</v>
      </c>
    </row>
    <row r="5695">
      <c r="A5695" s="14">
        <v>32.0</v>
      </c>
      <c r="B5695" s="14">
        <v>35.0</v>
      </c>
      <c r="C5695" s="34">
        <v>21.85</v>
      </c>
      <c r="D5695" s="36">
        <v>45335.0</v>
      </c>
      <c r="E5695" s="24"/>
      <c r="F5695" s="14">
        <v>0.62</v>
      </c>
      <c r="G5695" s="14">
        <v>682.81</v>
      </c>
      <c r="H5695" s="14">
        <v>109.38</v>
      </c>
      <c r="I5695" s="14" t="s">
        <v>6067</v>
      </c>
      <c r="J5695" s="14">
        <v>2.86</v>
      </c>
      <c r="K5695" s="14">
        <v>21.85</v>
      </c>
      <c r="L5695" s="14">
        <v>2.0</v>
      </c>
    </row>
    <row r="5696">
      <c r="A5696" s="14">
        <v>16.0</v>
      </c>
      <c r="B5696" s="14">
        <v>2.0</v>
      </c>
      <c r="C5696" s="34">
        <v>9.43</v>
      </c>
      <c r="D5696" s="36">
        <v>45335.0</v>
      </c>
      <c r="E5696" s="24"/>
      <c r="F5696" s="14">
        <v>4.72</v>
      </c>
      <c r="G5696" s="14">
        <v>589.38</v>
      </c>
      <c r="H5696" s="14">
        <v>12.5</v>
      </c>
      <c r="I5696" s="14" t="s">
        <v>6068</v>
      </c>
      <c r="J5696" s="14">
        <v>0.0</v>
      </c>
      <c r="K5696" s="14" t="s">
        <v>6012</v>
      </c>
      <c r="L5696" s="14">
        <v>0.0</v>
      </c>
    </row>
    <row r="5697">
      <c r="A5697" s="14">
        <v>32.0</v>
      </c>
      <c r="B5697" s="14">
        <v>19.0</v>
      </c>
      <c r="C5697" s="34">
        <v>21.41</v>
      </c>
      <c r="D5697" s="36">
        <v>45336.0</v>
      </c>
      <c r="E5697" s="24"/>
      <c r="F5697" s="14">
        <v>1.13</v>
      </c>
      <c r="G5697" s="14">
        <v>669.06</v>
      </c>
      <c r="H5697" s="14">
        <v>59.38</v>
      </c>
      <c r="I5697" s="14" t="s">
        <v>6067</v>
      </c>
      <c r="J5697" s="14">
        <v>0.0</v>
      </c>
      <c r="K5697" s="14" t="s">
        <v>6012</v>
      </c>
      <c r="L5697" s="14">
        <v>0.0</v>
      </c>
    </row>
    <row r="5698">
      <c r="A5698" s="14">
        <v>19.0</v>
      </c>
      <c r="B5698" s="14">
        <v>4.0</v>
      </c>
      <c r="C5698" s="34">
        <v>12.85</v>
      </c>
      <c r="D5698" s="36">
        <v>45336.0</v>
      </c>
      <c r="E5698" s="24"/>
      <c r="F5698" s="14">
        <v>3.21</v>
      </c>
      <c r="G5698" s="14">
        <v>676.32</v>
      </c>
      <c r="H5698" s="14">
        <v>21.05</v>
      </c>
      <c r="I5698" s="14" t="s">
        <v>6068</v>
      </c>
      <c r="J5698" s="14">
        <v>0.0</v>
      </c>
      <c r="K5698" s="14" t="s">
        <v>6012</v>
      </c>
      <c r="L5698" s="14">
        <v>1.0</v>
      </c>
    </row>
    <row r="5699">
      <c r="A5699" s="14">
        <v>46.0</v>
      </c>
      <c r="B5699" s="14">
        <v>28.0</v>
      </c>
      <c r="C5699" s="34">
        <v>29.16</v>
      </c>
      <c r="D5699" s="36">
        <v>45337.0</v>
      </c>
      <c r="E5699" s="24"/>
      <c r="F5699" s="14">
        <v>1.04</v>
      </c>
      <c r="G5699" s="14">
        <v>633.91</v>
      </c>
      <c r="H5699" s="14">
        <v>60.87</v>
      </c>
      <c r="I5699" s="14" t="s">
        <v>6067</v>
      </c>
      <c r="J5699" s="14">
        <v>0.0</v>
      </c>
      <c r="K5699" s="14" t="s">
        <v>6012</v>
      </c>
      <c r="L5699" s="14">
        <v>1.0</v>
      </c>
    </row>
    <row r="5700">
      <c r="A5700" s="14">
        <v>19.0</v>
      </c>
      <c r="B5700" s="14">
        <v>12.0</v>
      </c>
      <c r="C5700" s="34">
        <v>12.4</v>
      </c>
      <c r="D5700" s="36">
        <v>45337.0</v>
      </c>
      <c r="E5700" s="24"/>
      <c r="F5700" s="14">
        <v>1.03</v>
      </c>
      <c r="G5700" s="14">
        <v>652.63</v>
      </c>
      <c r="H5700" s="14">
        <v>63.16</v>
      </c>
      <c r="I5700" s="14" t="s">
        <v>6068</v>
      </c>
      <c r="J5700" s="14">
        <v>0.0</v>
      </c>
      <c r="K5700" s="14" t="s">
        <v>6012</v>
      </c>
      <c r="L5700" s="14">
        <v>0.0</v>
      </c>
    </row>
    <row r="5701">
      <c r="A5701" s="14">
        <v>13.0</v>
      </c>
      <c r="B5701" s="14">
        <v>6.0</v>
      </c>
      <c r="C5701" s="34">
        <v>8.72</v>
      </c>
      <c r="D5701" s="36">
        <v>45338.0</v>
      </c>
      <c r="E5701" s="24"/>
      <c r="F5701" s="14">
        <v>1.45</v>
      </c>
      <c r="G5701" s="14">
        <v>670.77</v>
      </c>
      <c r="H5701" s="14">
        <v>46.15</v>
      </c>
      <c r="I5701" s="14" t="s">
        <v>6068</v>
      </c>
      <c r="J5701" s="14">
        <v>0.0</v>
      </c>
      <c r="K5701" s="14" t="s">
        <v>6012</v>
      </c>
      <c r="L5701" s="14">
        <v>0.0</v>
      </c>
    </row>
    <row r="5702">
      <c r="A5702" s="14">
        <v>38.0</v>
      </c>
      <c r="B5702" s="14">
        <v>26.0</v>
      </c>
      <c r="C5702" s="34">
        <v>24.15</v>
      </c>
      <c r="D5702" s="36">
        <v>45338.0</v>
      </c>
      <c r="E5702" s="24"/>
      <c r="F5702" s="14">
        <v>0.93</v>
      </c>
      <c r="G5702" s="14">
        <v>635.53</v>
      </c>
      <c r="H5702" s="14">
        <v>68.42</v>
      </c>
      <c r="I5702" s="14" t="s">
        <v>6067</v>
      </c>
      <c r="J5702" s="14">
        <v>0.0</v>
      </c>
      <c r="K5702" s="14" t="s">
        <v>6012</v>
      </c>
      <c r="L5702" s="14">
        <v>0.0</v>
      </c>
    </row>
    <row r="5703">
      <c r="A5703" s="14">
        <v>23.0</v>
      </c>
      <c r="B5703" s="14">
        <v>10.0</v>
      </c>
      <c r="C5703" s="34">
        <v>16.99</v>
      </c>
      <c r="D5703" s="36">
        <v>45339.0</v>
      </c>
      <c r="E5703" s="24"/>
      <c r="F5703" s="14">
        <v>1.7</v>
      </c>
      <c r="G5703" s="14">
        <v>738.7</v>
      </c>
      <c r="H5703" s="14">
        <v>43.48</v>
      </c>
      <c r="I5703" s="14" t="s">
        <v>6067</v>
      </c>
      <c r="J5703" s="14">
        <v>0.0</v>
      </c>
      <c r="K5703" s="14" t="s">
        <v>6012</v>
      </c>
      <c r="L5703" s="14">
        <v>1.0</v>
      </c>
    </row>
    <row r="5704">
      <c r="A5704" s="14">
        <v>16.0</v>
      </c>
      <c r="B5704" s="14">
        <v>4.0</v>
      </c>
      <c r="C5704" s="34">
        <v>11.73</v>
      </c>
      <c r="D5704" s="36">
        <v>45339.0</v>
      </c>
      <c r="E5704" s="24"/>
      <c r="F5704" s="14">
        <v>2.93</v>
      </c>
      <c r="G5704" s="14">
        <v>733.12</v>
      </c>
      <c r="H5704" s="14">
        <v>25.0</v>
      </c>
      <c r="I5704" s="14" t="s">
        <v>6068</v>
      </c>
      <c r="J5704" s="14">
        <v>0.0</v>
      </c>
      <c r="K5704" s="14" t="s">
        <v>6012</v>
      </c>
      <c r="L5704" s="14">
        <v>0.0</v>
      </c>
    </row>
    <row r="5705">
      <c r="A5705" s="14">
        <v>9.0</v>
      </c>
      <c r="B5705" s="14">
        <v>5.0</v>
      </c>
      <c r="C5705" s="34">
        <v>6.2</v>
      </c>
      <c r="D5705" s="36">
        <v>45340.0</v>
      </c>
      <c r="E5705" s="24"/>
      <c r="F5705" s="14">
        <v>1.24</v>
      </c>
      <c r="G5705" s="14">
        <v>688.89</v>
      </c>
      <c r="H5705" s="14">
        <v>55.56</v>
      </c>
      <c r="I5705" s="14" t="s">
        <v>6068</v>
      </c>
      <c r="J5705" s="14">
        <v>0.0</v>
      </c>
      <c r="K5705" s="14" t="s">
        <v>6012</v>
      </c>
      <c r="L5705" s="14">
        <v>0.0</v>
      </c>
    </row>
    <row r="5706">
      <c r="A5706" s="14">
        <v>22.0</v>
      </c>
      <c r="B5706" s="14">
        <v>7.0</v>
      </c>
      <c r="C5706" s="34">
        <v>13.99</v>
      </c>
      <c r="D5706" s="36">
        <v>45340.0</v>
      </c>
      <c r="E5706" s="24"/>
      <c r="F5706" s="14">
        <v>2.0</v>
      </c>
      <c r="G5706" s="14">
        <v>635.91</v>
      </c>
      <c r="H5706" s="14">
        <v>31.82</v>
      </c>
      <c r="I5706" s="14" t="s">
        <v>6067</v>
      </c>
      <c r="J5706" s="14">
        <v>0.0</v>
      </c>
      <c r="K5706" s="14" t="s">
        <v>6012</v>
      </c>
      <c r="L5706" s="14">
        <v>2.0</v>
      </c>
    </row>
    <row r="5707">
      <c r="A5707" s="14">
        <v>20.0</v>
      </c>
      <c r="B5707" s="14">
        <v>8.0</v>
      </c>
      <c r="C5707" s="34">
        <v>14.34</v>
      </c>
      <c r="D5707" s="36">
        <v>45341.0</v>
      </c>
      <c r="E5707" s="24"/>
      <c r="F5707" s="14">
        <v>1.79</v>
      </c>
      <c r="G5707" s="14">
        <v>717.0</v>
      </c>
      <c r="H5707" s="14">
        <v>40.0</v>
      </c>
      <c r="I5707" s="14" t="s">
        <v>6068</v>
      </c>
      <c r="J5707" s="14">
        <v>0.0</v>
      </c>
      <c r="K5707" s="14" t="s">
        <v>6012</v>
      </c>
      <c r="L5707" s="14">
        <v>0.0</v>
      </c>
    </row>
    <row r="5708">
      <c r="A5708" s="14">
        <v>26.0</v>
      </c>
      <c r="B5708" s="14">
        <v>30.0</v>
      </c>
      <c r="C5708" s="34">
        <v>16.89</v>
      </c>
      <c r="D5708" s="36">
        <v>45341.0</v>
      </c>
      <c r="E5708" s="24"/>
      <c r="F5708" s="14">
        <v>0.56</v>
      </c>
      <c r="G5708" s="14">
        <v>649.62</v>
      </c>
      <c r="H5708" s="14">
        <v>115.38</v>
      </c>
      <c r="I5708" s="14" t="s">
        <v>6067</v>
      </c>
      <c r="J5708" s="14">
        <v>0.0</v>
      </c>
      <c r="K5708" s="14" t="s">
        <v>6012</v>
      </c>
      <c r="L5708" s="14">
        <v>0.0</v>
      </c>
    </row>
    <row r="5709">
      <c r="A5709" s="14">
        <v>36.0</v>
      </c>
      <c r="B5709" s="14">
        <v>20.0</v>
      </c>
      <c r="C5709" s="34">
        <v>28.62</v>
      </c>
      <c r="D5709" s="36">
        <v>45342.0</v>
      </c>
      <c r="E5709" s="24"/>
      <c r="F5709" s="14">
        <v>1.43</v>
      </c>
      <c r="G5709" s="14">
        <v>795.0</v>
      </c>
      <c r="H5709" s="14">
        <v>55.56</v>
      </c>
      <c r="I5709" s="14" t="s">
        <v>6067</v>
      </c>
      <c r="J5709" s="14">
        <v>5.0</v>
      </c>
      <c r="K5709" s="14">
        <v>28.62</v>
      </c>
      <c r="L5709" s="14">
        <v>3.0</v>
      </c>
    </row>
    <row r="5710">
      <c r="A5710" s="14">
        <v>17.0</v>
      </c>
      <c r="B5710" s="14">
        <v>6.0</v>
      </c>
      <c r="C5710" s="34">
        <v>11.75</v>
      </c>
      <c r="D5710" s="36">
        <v>45342.0</v>
      </c>
      <c r="E5710" s="24"/>
      <c r="F5710" s="14">
        <v>1.96</v>
      </c>
      <c r="G5710" s="14">
        <v>691.18</v>
      </c>
      <c r="H5710" s="14">
        <v>35.29</v>
      </c>
      <c r="I5710" s="14" t="s">
        <v>6068</v>
      </c>
      <c r="J5710" s="14">
        <v>0.0</v>
      </c>
      <c r="K5710" s="14" t="s">
        <v>6012</v>
      </c>
      <c r="L5710" s="14">
        <v>0.0</v>
      </c>
    </row>
    <row r="5711">
      <c r="A5711" s="14">
        <v>31.0</v>
      </c>
      <c r="B5711" s="14">
        <v>29.0</v>
      </c>
      <c r="C5711" s="34">
        <v>27.08</v>
      </c>
      <c r="D5711" s="36">
        <v>45343.0</v>
      </c>
      <c r="E5711" s="24"/>
      <c r="F5711" s="14">
        <v>0.93</v>
      </c>
      <c r="G5711" s="14">
        <v>873.55</v>
      </c>
      <c r="H5711" s="14">
        <v>93.55</v>
      </c>
      <c r="I5711" s="14" t="s">
        <v>6067</v>
      </c>
      <c r="J5711" s="14">
        <v>3.45</v>
      </c>
      <c r="K5711" s="14">
        <v>27.08</v>
      </c>
      <c r="L5711" s="14">
        <v>1.0</v>
      </c>
    </row>
    <row r="5712">
      <c r="A5712" s="14">
        <v>20.0</v>
      </c>
      <c r="B5712" s="14">
        <v>12.0</v>
      </c>
      <c r="C5712" s="34">
        <v>13.45</v>
      </c>
      <c r="D5712" s="36">
        <v>45343.0</v>
      </c>
      <c r="E5712" s="24"/>
      <c r="F5712" s="14">
        <v>1.12</v>
      </c>
      <c r="G5712" s="14">
        <v>672.5</v>
      </c>
      <c r="H5712" s="14">
        <v>60.0</v>
      </c>
      <c r="I5712" s="14" t="s">
        <v>6068</v>
      </c>
      <c r="J5712" s="14">
        <v>0.0</v>
      </c>
      <c r="K5712" s="14" t="s">
        <v>6012</v>
      </c>
      <c r="L5712" s="14">
        <v>0.0</v>
      </c>
    </row>
    <row r="5713">
      <c r="A5713" s="14">
        <v>223.0</v>
      </c>
      <c r="B5713" s="14">
        <v>99.0</v>
      </c>
      <c r="C5713" s="34">
        <v>117.87</v>
      </c>
      <c r="D5713" s="36">
        <v>45344.0</v>
      </c>
      <c r="E5713" s="24"/>
      <c r="F5713" s="14">
        <v>1.19</v>
      </c>
      <c r="G5713" s="14">
        <v>528.57</v>
      </c>
      <c r="H5713" s="14">
        <v>44.39</v>
      </c>
      <c r="I5713" s="14" t="s">
        <v>6069</v>
      </c>
      <c r="J5713" s="14">
        <v>1.01</v>
      </c>
      <c r="K5713" s="14">
        <v>117.87</v>
      </c>
      <c r="L5713" s="14">
        <v>3.0</v>
      </c>
    </row>
    <row r="5714">
      <c r="A5714" s="14">
        <v>35.0</v>
      </c>
      <c r="B5714" s="14">
        <v>19.0</v>
      </c>
      <c r="C5714" s="34">
        <v>28.89</v>
      </c>
      <c r="D5714" s="36">
        <v>45344.0</v>
      </c>
      <c r="E5714" s="24"/>
      <c r="F5714" s="14">
        <v>1.52</v>
      </c>
      <c r="G5714" s="14">
        <v>825.43</v>
      </c>
      <c r="H5714" s="14">
        <v>54.29</v>
      </c>
      <c r="I5714" s="14" t="s">
        <v>6067</v>
      </c>
      <c r="J5714" s="14">
        <v>0.0</v>
      </c>
      <c r="K5714" s="14" t="s">
        <v>6012</v>
      </c>
      <c r="L5714" s="14">
        <v>1.0</v>
      </c>
    </row>
    <row r="5715">
      <c r="A5715" s="14">
        <v>21.0</v>
      </c>
      <c r="B5715" s="14">
        <v>8.0</v>
      </c>
      <c r="C5715" s="34">
        <v>15.85</v>
      </c>
      <c r="D5715" s="36">
        <v>45344.0</v>
      </c>
      <c r="E5715" s="24"/>
      <c r="F5715" s="14">
        <v>1.98</v>
      </c>
      <c r="G5715" s="14">
        <v>754.76</v>
      </c>
      <c r="H5715" s="14">
        <v>38.1</v>
      </c>
      <c r="I5715" s="14" t="s">
        <v>6068</v>
      </c>
      <c r="J5715" s="14">
        <v>0.0</v>
      </c>
      <c r="K5715" s="14" t="s">
        <v>6012</v>
      </c>
      <c r="L5715" s="14">
        <v>0.0</v>
      </c>
    </row>
    <row r="5716">
      <c r="A5716" s="14">
        <v>37.0</v>
      </c>
      <c r="B5716" s="14">
        <v>23.0</v>
      </c>
      <c r="C5716" s="34">
        <v>26.82</v>
      </c>
      <c r="D5716" s="36">
        <v>45345.0</v>
      </c>
      <c r="E5716" s="24"/>
      <c r="F5716" s="14">
        <v>1.17</v>
      </c>
      <c r="G5716" s="14">
        <v>724.86</v>
      </c>
      <c r="H5716" s="14">
        <v>62.16</v>
      </c>
      <c r="I5716" s="14" t="s">
        <v>6067</v>
      </c>
      <c r="J5716" s="14">
        <v>0.0</v>
      </c>
      <c r="K5716" s="14" t="s">
        <v>6012</v>
      </c>
      <c r="L5716" s="14">
        <v>0.0</v>
      </c>
    </row>
    <row r="5717">
      <c r="A5717" s="14">
        <v>11.0</v>
      </c>
      <c r="B5717" s="14">
        <v>2.0</v>
      </c>
      <c r="C5717" s="34">
        <v>10.68</v>
      </c>
      <c r="D5717" s="36">
        <v>45345.0</v>
      </c>
      <c r="E5717" s="24"/>
      <c r="F5717" s="14">
        <v>5.34</v>
      </c>
      <c r="G5717" s="14">
        <v>970.91</v>
      </c>
      <c r="H5717" s="14">
        <v>18.18</v>
      </c>
      <c r="I5717" s="14" t="s">
        <v>6068</v>
      </c>
      <c r="J5717" s="14">
        <v>0.0</v>
      </c>
      <c r="K5717" s="14" t="s">
        <v>6012</v>
      </c>
      <c r="L5717" s="14">
        <v>0.0</v>
      </c>
    </row>
    <row r="5718">
      <c r="A5718" s="14">
        <v>200.0</v>
      </c>
      <c r="B5718" s="14">
        <v>98.0</v>
      </c>
      <c r="C5718" s="34">
        <v>112.5</v>
      </c>
      <c r="D5718" s="36">
        <v>45345.0</v>
      </c>
      <c r="E5718" s="24"/>
      <c r="F5718" s="14">
        <v>1.15</v>
      </c>
      <c r="G5718" s="14">
        <v>562.5</v>
      </c>
      <c r="H5718" s="14">
        <v>49.0</v>
      </c>
      <c r="I5718" s="14" t="s">
        <v>6069</v>
      </c>
      <c r="J5718" s="14">
        <v>1.02</v>
      </c>
      <c r="K5718" s="14">
        <v>112.5</v>
      </c>
      <c r="L5718" s="14">
        <v>1.0</v>
      </c>
    </row>
    <row r="5719">
      <c r="A5719" s="14">
        <v>14.0</v>
      </c>
      <c r="B5719" s="14">
        <v>5.0</v>
      </c>
      <c r="C5719" s="34">
        <v>11.35</v>
      </c>
      <c r="D5719" s="36">
        <v>45346.0</v>
      </c>
      <c r="E5719" s="24"/>
      <c r="F5719" s="14">
        <v>2.27</v>
      </c>
      <c r="G5719" s="14">
        <v>810.71</v>
      </c>
      <c r="H5719" s="14">
        <v>35.71</v>
      </c>
      <c r="I5719" s="14" t="s">
        <v>6068</v>
      </c>
      <c r="J5719" s="14">
        <v>0.0</v>
      </c>
      <c r="K5719" s="14" t="s">
        <v>6012</v>
      </c>
      <c r="L5719" s="14">
        <v>0.0</v>
      </c>
    </row>
    <row r="5720">
      <c r="A5720" s="14">
        <v>20.0</v>
      </c>
      <c r="B5720" s="14">
        <v>7.0</v>
      </c>
      <c r="C5720" s="34">
        <v>16.54</v>
      </c>
      <c r="D5720" s="36">
        <v>45346.0</v>
      </c>
      <c r="E5720" s="24"/>
      <c r="F5720" s="14">
        <v>2.36</v>
      </c>
      <c r="G5720" s="14">
        <v>827.0</v>
      </c>
      <c r="H5720" s="14">
        <v>35.0</v>
      </c>
      <c r="I5720" s="14" t="s">
        <v>6067</v>
      </c>
      <c r="J5720" s="14">
        <v>0.0</v>
      </c>
      <c r="K5720" s="14" t="s">
        <v>6012</v>
      </c>
      <c r="L5720" s="14">
        <v>1.0</v>
      </c>
    </row>
    <row r="5721">
      <c r="A5721" s="14">
        <v>151.0</v>
      </c>
      <c r="B5721" s="14">
        <v>65.0</v>
      </c>
      <c r="C5721" s="34">
        <v>89.0</v>
      </c>
      <c r="D5721" s="36">
        <v>45346.0</v>
      </c>
      <c r="E5721" s="24"/>
      <c r="F5721" s="14">
        <v>1.37</v>
      </c>
      <c r="G5721" s="14">
        <v>589.4</v>
      </c>
      <c r="H5721" s="14">
        <v>43.05</v>
      </c>
      <c r="I5721" s="14" t="s">
        <v>6069</v>
      </c>
      <c r="J5721" s="14">
        <v>1.54</v>
      </c>
      <c r="K5721" s="14">
        <v>89.0</v>
      </c>
      <c r="L5721" s="14">
        <v>1.0</v>
      </c>
    </row>
    <row r="5722">
      <c r="A5722" s="14">
        <v>21.0</v>
      </c>
      <c r="B5722" s="14">
        <v>7.0</v>
      </c>
      <c r="C5722" s="34">
        <v>15.91</v>
      </c>
      <c r="D5722" s="36">
        <v>45347.0</v>
      </c>
      <c r="E5722" s="24"/>
      <c r="F5722" s="14">
        <v>2.27</v>
      </c>
      <c r="G5722" s="14">
        <v>757.62</v>
      </c>
      <c r="H5722" s="14">
        <v>33.33</v>
      </c>
      <c r="I5722" s="14" t="s">
        <v>6067</v>
      </c>
      <c r="J5722" s="14">
        <v>0.0</v>
      </c>
      <c r="K5722" s="14" t="s">
        <v>6012</v>
      </c>
      <c r="L5722" s="14">
        <v>0.0</v>
      </c>
    </row>
    <row r="5723">
      <c r="A5723" s="14">
        <v>145.0</v>
      </c>
      <c r="B5723" s="14">
        <v>77.0</v>
      </c>
      <c r="C5723" s="34">
        <v>80.63</v>
      </c>
      <c r="D5723" s="36">
        <v>45347.0</v>
      </c>
      <c r="E5723" s="24"/>
      <c r="F5723" s="14">
        <v>1.05</v>
      </c>
      <c r="G5723" s="14">
        <v>556.07</v>
      </c>
      <c r="H5723" s="14">
        <v>53.1</v>
      </c>
      <c r="I5723" s="14" t="s">
        <v>6069</v>
      </c>
      <c r="J5723" s="14">
        <v>0.0</v>
      </c>
      <c r="K5723" s="14" t="s">
        <v>6012</v>
      </c>
      <c r="L5723" s="14">
        <v>1.0</v>
      </c>
    </row>
    <row r="5724">
      <c r="A5724" s="14">
        <v>7.0</v>
      </c>
      <c r="B5724" s="14">
        <v>4.0</v>
      </c>
      <c r="C5724" s="34">
        <v>6.29</v>
      </c>
      <c r="D5724" s="36">
        <v>45347.0</v>
      </c>
      <c r="E5724" s="24"/>
      <c r="F5724" s="14">
        <v>1.57</v>
      </c>
      <c r="G5724" s="14">
        <v>898.57</v>
      </c>
      <c r="H5724" s="14">
        <v>57.14</v>
      </c>
      <c r="I5724" s="14" t="s">
        <v>6068</v>
      </c>
      <c r="J5724" s="14">
        <v>0.0</v>
      </c>
      <c r="K5724" s="14" t="s">
        <v>6012</v>
      </c>
      <c r="L5724" s="14">
        <v>0.0</v>
      </c>
    </row>
    <row r="5725">
      <c r="A5725" s="14">
        <v>19.0</v>
      </c>
      <c r="B5725" s="14">
        <v>9.0</v>
      </c>
      <c r="C5725" s="34">
        <v>11.95</v>
      </c>
      <c r="D5725" s="36">
        <v>45348.0</v>
      </c>
      <c r="E5725" s="24"/>
      <c r="F5725" s="14">
        <v>1.33</v>
      </c>
      <c r="G5725" s="14">
        <v>628.95</v>
      </c>
      <c r="H5725" s="14">
        <v>47.37</v>
      </c>
      <c r="I5725" s="14" t="s">
        <v>6068</v>
      </c>
      <c r="J5725" s="14">
        <v>0.0</v>
      </c>
      <c r="K5725" s="14" t="s">
        <v>6012</v>
      </c>
      <c r="L5725" s="14">
        <v>0.0</v>
      </c>
    </row>
    <row r="5726">
      <c r="A5726" s="14">
        <v>170.0</v>
      </c>
      <c r="B5726" s="14">
        <v>128.0</v>
      </c>
      <c r="C5726" s="34">
        <v>103.8</v>
      </c>
      <c r="D5726" s="36">
        <v>45348.0</v>
      </c>
      <c r="E5726" s="24"/>
      <c r="F5726" s="14">
        <v>0.81</v>
      </c>
      <c r="G5726" s="14">
        <v>610.59</v>
      </c>
      <c r="H5726" s="14">
        <v>75.29</v>
      </c>
      <c r="I5726" s="14" t="s">
        <v>6069</v>
      </c>
      <c r="J5726" s="14">
        <v>0.0</v>
      </c>
      <c r="K5726" s="14" t="s">
        <v>6012</v>
      </c>
      <c r="L5726" s="14">
        <v>3.0</v>
      </c>
    </row>
    <row r="5727">
      <c r="A5727" s="14">
        <v>39.0</v>
      </c>
      <c r="B5727" s="14">
        <v>24.0</v>
      </c>
      <c r="C5727" s="34">
        <v>31.89</v>
      </c>
      <c r="D5727" s="36">
        <v>45348.0</v>
      </c>
      <c r="E5727" s="24"/>
      <c r="F5727" s="14">
        <v>1.33</v>
      </c>
      <c r="G5727" s="14">
        <v>817.69</v>
      </c>
      <c r="H5727" s="14">
        <v>61.54</v>
      </c>
      <c r="I5727" s="14" t="s">
        <v>6067</v>
      </c>
      <c r="J5727" s="14">
        <v>0.0</v>
      </c>
      <c r="K5727" s="14" t="s">
        <v>6012</v>
      </c>
      <c r="L5727" s="14">
        <v>0.0</v>
      </c>
    </row>
    <row r="5728">
      <c r="A5728" s="14">
        <v>17.0</v>
      </c>
      <c r="B5728" s="14">
        <v>6.0</v>
      </c>
      <c r="C5728" s="34">
        <v>13.99</v>
      </c>
      <c r="D5728" s="36">
        <v>45349.0</v>
      </c>
      <c r="E5728" s="24"/>
      <c r="F5728" s="14">
        <v>2.33</v>
      </c>
      <c r="G5728" s="14">
        <v>822.94</v>
      </c>
      <c r="H5728" s="14">
        <v>35.29</v>
      </c>
      <c r="I5728" s="14" t="s">
        <v>6068</v>
      </c>
      <c r="J5728" s="14">
        <v>0.0</v>
      </c>
      <c r="K5728" s="14" t="s">
        <v>6012</v>
      </c>
      <c r="L5728" s="14">
        <v>0.0</v>
      </c>
    </row>
    <row r="5729">
      <c r="A5729" s="14">
        <v>181.0</v>
      </c>
      <c r="B5729" s="14">
        <v>131.0</v>
      </c>
      <c r="C5729" s="34">
        <v>113.97</v>
      </c>
      <c r="D5729" s="36">
        <v>45349.0</v>
      </c>
      <c r="E5729" s="24"/>
      <c r="F5729" s="14">
        <v>0.87</v>
      </c>
      <c r="G5729" s="14">
        <v>629.67</v>
      </c>
      <c r="H5729" s="14">
        <v>72.38</v>
      </c>
      <c r="I5729" s="14" t="s">
        <v>6069</v>
      </c>
      <c r="J5729" s="14">
        <v>0.0</v>
      </c>
      <c r="K5729" s="14" t="s">
        <v>6012</v>
      </c>
      <c r="L5729" s="14">
        <v>0.0</v>
      </c>
    </row>
    <row r="5730">
      <c r="A5730" s="14">
        <v>34.0</v>
      </c>
      <c r="B5730" s="14">
        <v>17.0</v>
      </c>
      <c r="C5730" s="34">
        <v>28.69</v>
      </c>
      <c r="D5730" s="36">
        <v>45349.0</v>
      </c>
      <c r="E5730" s="24"/>
      <c r="F5730" s="14">
        <v>1.69</v>
      </c>
      <c r="G5730" s="14">
        <v>843.82</v>
      </c>
      <c r="H5730" s="14">
        <v>50.0</v>
      </c>
      <c r="I5730" s="14" t="s">
        <v>6067</v>
      </c>
      <c r="J5730" s="14">
        <v>0.0</v>
      </c>
      <c r="K5730" s="14" t="s">
        <v>6012</v>
      </c>
      <c r="L5730" s="14">
        <v>0.0</v>
      </c>
    </row>
    <row r="5731">
      <c r="A5731" s="14">
        <v>7.0</v>
      </c>
      <c r="B5731" s="14">
        <v>4.0</v>
      </c>
      <c r="C5731" s="34">
        <v>5.7</v>
      </c>
      <c r="D5731" s="36">
        <v>45350.0</v>
      </c>
      <c r="E5731" s="24"/>
      <c r="F5731" s="14">
        <v>1.42</v>
      </c>
      <c r="G5731" s="14">
        <v>814.29</v>
      </c>
      <c r="H5731" s="14">
        <v>57.14</v>
      </c>
      <c r="I5731" s="14" t="s">
        <v>6068</v>
      </c>
      <c r="J5731" s="14">
        <v>0.0</v>
      </c>
      <c r="K5731" s="14" t="s">
        <v>6012</v>
      </c>
      <c r="L5731" s="14">
        <v>0.0</v>
      </c>
    </row>
    <row r="5732">
      <c r="A5732" s="14">
        <v>164.0</v>
      </c>
      <c r="B5732" s="14">
        <v>104.0</v>
      </c>
      <c r="C5732" s="34">
        <v>114.97</v>
      </c>
      <c r="D5732" s="36">
        <v>45350.0</v>
      </c>
      <c r="E5732" s="24"/>
      <c r="F5732" s="14">
        <v>1.11</v>
      </c>
      <c r="G5732" s="14">
        <v>701.04</v>
      </c>
      <c r="H5732" s="14">
        <v>63.41</v>
      </c>
      <c r="I5732" s="14" t="s">
        <v>6069</v>
      </c>
      <c r="J5732" s="14">
        <v>0.0</v>
      </c>
      <c r="K5732" s="14" t="s">
        <v>6012</v>
      </c>
      <c r="L5732" s="14">
        <v>2.0</v>
      </c>
    </row>
    <row r="5733">
      <c r="A5733" s="14">
        <v>23.0</v>
      </c>
      <c r="B5733" s="14">
        <v>18.0</v>
      </c>
      <c r="C5733" s="34">
        <v>18.95</v>
      </c>
      <c r="D5733" s="36">
        <v>45350.0</v>
      </c>
      <c r="E5733" s="24"/>
      <c r="F5733" s="14">
        <v>1.05</v>
      </c>
      <c r="G5733" s="14">
        <v>823.91</v>
      </c>
      <c r="H5733" s="14">
        <v>78.26</v>
      </c>
      <c r="I5733" s="14" t="s">
        <v>6067</v>
      </c>
      <c r="J5733" s="14">
        <v>0.0</v>
      </c>
      <c r="K5733" s="14" t="s">
        <v>6012</v>
      </c>
      <c r="L5733" s="14">
        <v>0.0</v>
      </c>
    </row>
    <row r="5734">
      <c r="A5734" s="14">
        <v>16.0</v>
      </c>
      <c r="B5734" s="14">
        <v>6.0</v>
      </c>
      <c r="C5734" s="34">
        <v>11.78</v>
      </c>
      <c r="D5734" s="36">
        <v>45351.0</v>
      </c>
      <c r="E5734" s="24"/>
      <c r="F5734" s="14">
        <v>1.96</v>
      </c>
      <c r="G5734" s="14">
        <v>736.25</v>
      </c>
      <c r="H5734" s="14">
        <v>37.5</v>
      </c>
      <c r="I5734" s="14" t="s">
        <v>6068</v>
      </c>
      <c r="J5734" s="14">
        <v>0.0</v>
      </c>
      <c r="K5734" s="14" t="s">
        <v>6012</v>
      </c>
      <c r="L5734" s="14">
        <v>0.0</v>
      </c>
    </row>
    <row r="5735">
      <c r="A5735" s="14">
        <v>23.0</v>
      </c>
      <c r="B5735" s="14">
        <v>9.0</v>
      </c>
      <c r="C5735" s="34">
        <v>17.27</v>
      </c>
      <c r="D5735" s="36">
        <v>45351.0</v>
      </c>
      <c r="E5735" s="24"/>
      <c r="F5735" s="14">
        <v>1.92</v>
      </c>
      <c r="G5735" s="14">
        <v>750.87</v>
      </c>
      <c r="H5735" s="14">
        <v>39.13</v>
      </c>
      <c r="I5735" s="14" t="s">
        <v>6067</v>
      </c>
      <c r="J5735" s="14">
        <v>0.0</v>
      </c>
      <c r="K5735" s="14" t="s">
        <v>6012</v>
      </c>
      <c r="L5735" s="14">
        <v>0.0</v>
      </c>
    </row>
    <row r="5736">
      <c r="A5736" s="14">
        <v>156.0</v>
      </c>
      <c r="B5736" s="14">
        <v>111.0</v>
      </c>
      <c r="C5736" s="34">
        <v>108.56</v>
      </c>
      <c r="D5736" s="36">
        <v>45351.0</v>
      </c>
      <c r="E5736" s="24"/>
      <c r="F5736" s="14">
        <v>0.98</v>
      </c>
      <c r="G5736" s="14">
        <v>695.9</v>
      </c>
      <c r="H5736" s="14">
        <v>71.15</v>
      </c>
      <c r="I5736" s="14" t="s">
        <v>6069</v>
      </c>
      <c r="J5736" s="14">
        <v>0.0</v>
      </c>
      <c r="K5736" s="14" t="s">
        <v>6012</v>
      </c>
      <c r="L5736" s="14">
        <v>1.0</v>
      </c>
    </row>
    <row r="5737">
      <c r="A5737" s="14">
        <v>20.0</v>
      </c>
      <c r="B5737" s="14">
        <v>15.0</v>
      </c>
      <c r="C5737" s="34">
        <v>16.39</v>
      </c>
      <c r="D5737" s="36">
        <v>45352.0</v>
      </c>
      <c r="E5737" s="24"/>
      <c r="F5737" s="14">
        <v>1.09</v>
      </c>
      <c r="G5737" s="14">
        <v>819.5</v>
      </c>
      <c r="H5737" s="14">
        <v>75.0</v>
      </c>
      <c r="I5737" s="14" t="s">
        <v>6067</v>
      </c>
      <c r="J5737" s="14">
        <v>0.0</v>
      </c>
      <c r="K5737" s="14" t="s">
        <v>6012</v>
      </c>
      <c r="L5737" s="14">
        <v>0.0</v>
      </c>
    </row>
    <row r="5738">
      <c r="A5738" s="14">
        <v>153.0</v>
      </c>
      <c r="B5738" s="14">
        <v>85.0</v>
      </c>
      <c r="C5738" s="34">
        <v>103.16</v>
      </c>
      <c r="D5738" s="36">
        <v>45352.0</v>
      </c>
      <c r="E5738" s="24"/>
      <c r="F5738" s="14">
        <v>1.21</v>
      </c>
      <c r="G5738" s="14">
        <v>674.25</v>
      </c>
      <c r="H5738" s="14">
        <v>55.56</v>
      </c>
      <c r="I5738" s="14" t="s">
        <v>6069</v>
      </c>
      <c r="J5738" s="14">
        <v>0.0</v>
      </c>
      <c r="K5738" s="14" t="s">
        <v>6012</v>
      </c>
      <c r="L5738" s="14">
        <v>0.0</v>
      </c>
    </row>
    <row r="5739">
      <c r="A5739" s="14">
        <v>12.0</v>
      </c>
      <c r="B5739" s="14">
        <v>6.0</v>
      </c>
      <c r="C5739" s="34">
        <v>9.83</v>
      </c>
      <c r="D5739" s="36">
        <v>45352.0</v>
      </c>
      <c r="E5739" s="24"/>
      <c r="F5739" s="14">
        <v>1.64</v>
      </c>
      <c r="G5739" s="14">
        <v>819.17</v>
      </c>
      <c r="H5739" s="14">
        <v>50.0</v>
      </c>
      <c r="I5739" s="14" t="s">
        <v>6068</v>
      </c>
      <c r="J5739" s="14">
        <v>0.0</v>
      </c>
      <c r="K5739" s="14" t="s">
        <v>6012</v>
      </c>
      <c r="L5739" s="14">
        <v>0.0</v>
      </c>
    </row>
    <row r="5740">
      <c r="A5740" s="14">
        <v>16.0</v>
      </c>
      <c r="B5740" s="14">
        <v>2.0</v>
      </c>
      <c r="C5740" s="34">
        <v>15.61</v>
      </c>
      <c r="D5740" s="36">
        <v>45353.0</v>
      </c>
      <c r="E5740" s="24"/>
      <c r="F5740" s="14">
        <v>7.8</v>
      </c>
      <c r="G5740" s="14">
        <v>975.62</v>
      </c>
      <c r="H5740" s="14">
        <v>12.5</v>
      </c>
      <c r="I5740" s="14" t="s">
        <v>6068</v>
      </c>
      <c r="J5740" s="14">
        <v>0.0</v>
      </c>
      <c r="K5740" s="14" t="s">
        <v>6012</v>
      </c>
      <c r="L5740" s="14">
        <v>0.0</v>
      </c>
    </row>
    <row r="5741">
      <c r="A5741" s="14">
        <v>14.0</v>
      </c>
      <c r="B5741" s="14">
        <v>6.0</v>
      </c>
      <c r="C5741" s="34">
        <v>13.8</v>
      </c>
      <c r="D5741" s="36">
        <v>45353.0</v>
      </c>
      <c r="E5741" s="24"/>
      <c r="F5741" s="14">
        <v>2.3</v>
      </c>
      <c r="G5741" s="14">
        <v>985.71</v>
      </c>
      <c r="H5741" s="14">
        <v>42.86</v>
      </c>
      <c r="I5741" s="14" t="s">
        <v>6067</v>
      </c>
      <c r="J5741" s="14">
        <v>0.0</v>
      </c>
      <c r="K5741" s="14" t="s">
        <v>6012</v>
      </c>
      <c r="L5741" s="14">
        <v>0.0</v>
      </c>
    </row>
    <row r="5742">
      <c r="A5742" s="14">
        <v>113.0</v>
      </c>
      <c r="B5742" s="14">
        <v>63.0</v>
      </c>
      <c r="C5742" s="34">
        <v>78.53</v>
      </c>
      <c r="D5742" s="36">
        <v>45353.0</v>
      </c>
      <c r="E5742" s="24"/>
      <c r="F5742" s="14">
        <v>1.25</v>
      </c>
      <c r="G5742" s="14">
        <v>694.96</v>
      </c>
      <c r="H5742" s="14">
        <v>55.75</v>
      </c>
      <c r="I5742" s="14" t="s">
        <v>6069</v>
      </c>
      <c r="J5742" s="14">
        <v>0.0</v>
      </c>
      <c r="K5742" s="14" t="s">
        <v>6012</v>
      </c>
      <c r="L5742" s="14">
        <v>0.0</v>
      </c>
    </row>
    <row r="5743">
      <c r="A5743" s="14">
        <v>7.0</v>
      </c>
      <c r="B5743" s="14">
        <v>3.0</v>
      </c>
      <c r="C5743" s="34">
        <v>4.46</v>
      </c>
      <c r="D5743" s="36">
        <v>45354.0</v>
      </c>
      <c r="E5743" s="24"/>
      <c r="F5743" s="14">
        <v>1.49</v>
      </c>
      <c r="G5743" s="14">
        <v>637.14</v>
      </c>
      <c r="H5743" s="14">
        <v>42.86</v>
      </c>
      <c r="I5743" s="14" t="s">
        <v>6068</v>
      </c>
      <c r="J5743" s="14">
        <v>0.0</v>
      </c>
      <c r="K5743" s="14" t="s">
        <v>6012</v>
      </c>
      <c r="L5743" s="14">
        <v>0.0</v>
      </c>
    </row>
    <row r="5744">
      <c r="A5744" s="14">
        <v>20.0</v>
      </c>
      <c r="B5744" s="14">
        <v>8.0</v>
      </c>
      <c r="C5744" s="34">
        <v>16.74</v>
      </c>
      <c r="D5744" s="36">
        <v>45354.0</v>
      </c>
      <c r="E5744" s="24"/>
      <c r="F5744" s="14">
        <v>2.09</v>
      </c>
      <c r="G5744" s="14">
        <v>837.0</v>
      </c>
      <c r="H5744" s="14">
        <v>40.0</v>
      </c>
      <c r="I5744" s="14" t="s">
        <v>6067</v>
      </c>
      <c r="J5744" s="14">
        <v>0.0</v>
      </c>
      <c r="K5744" s="14" t="s">
        <v>6012</v>
      </c>
      <c r="L5744" s="14">
        <v>1.0</v>
      </c>
    </row>
    <row r="5745">
      <c r="A5745" s="14">
        <v>111.0</v>
      </c>
      <c r="B5745" s="14">
        <v>55.0</v>
      </c>
      <c r="C5745" s="34">
        <v>77.01</v>
      </c>
      <c r="D5745" s="36">
        <v>45354.0</v>
      </c>
      <c r="E5745" s="24"/>
      <c r="F5745" s="14">
        <v>1.4</v>
      </c>
      <c r="G5745" s="14">
        <v>693.78</v>
      </c>
      <c r="H5745" s="14">
        <v>49.55</v>
      </c>
      <c r="I5745" s="14" t="s">
        <v>6069</v>
      </c>
      <c r="J5745" s="14">
        <v>0.0</v>
      </c>
      <c r="K5745" s="14" t="s">
        <v>6012</v>
      </c>
      <c r="L5745" s="14">
        <v>0.0</v>
      </c>
    </row>
    <row r="5746">
      <c r="A5746" s="14">
        <v>30.0</v>
      </c>
      <c r="B5746" s="14">
        <v>12.0</v>
      </c>
      <c r="C5746" s="34">
        <v>22.95</v>
      </c>
      <c r="D5746" s="36">
        <v>45355.0</v>
      </c>
      <c r="E5746" s="24"/>
      <c r="F5746" s="14">
        <v>1.91</v>
      </c>
      <c r="G5746" s="14">
        <v>765.0</v>
      </c>
      <c r="H5746" s="14">
        <v>40.0</v>
      </c>
      <c r="I5746" s="14" t="s">
        <v>6067</v>
      </c>
      <c r="J5746" s="14">
        <v>8.33</v>
      </c>
      <c r="K5746" s="14">
        <v>22.95</v>
      </c>
      <c r="L5746" s="14">
        <v>0.0</v>
      </c>
    </row>
    <row r="5747">
      <c r="A5747" s="14">
        <v>9.0</v>
      </c>
      <c r="B5747" s="14">
        <v>6.0</v>
      </c>
      <c r="C5747" s="34">
        <v>8.65</v>
      </c>
      <c r="D5747" s="36">
        <v>45355.0</v>
      </c>
      <c r="E5747" s="24"/>
      <c r="F5747" s="14">
        <v>1.44</v>
      </c>
      <c r="G5747" s="14">
        <v>961.11</v>
      </c>
      <c r="H5747" s="14">
        <v>66.67</v>
      </c>
      <c r="I5747" s="14" t="s">
        <v>6068</v>
      </c>
      <c r="J5747" s="14">
        <v>0.0</v>
      </c>
      <c r="K5747" s="14" t="s">
        <v>6012</v>
      </c>
      <c r="L5747" s="14">
        <v>0.0</v>
      </c>
    </row>
    <row r="5748">
      <c r="A5748" s="14">
        <v>158.0</v>
      </c>
      <c r="B5748" s="14">
        <v>120.0</v>
      </c>
      <c r="C5748" s="34">
        <v>104.31</v>
      </c>
      <c r="D5748" s="36">
        <v>45355.0</v>
      </c>
      <c r="E5748" s="24"/>
      <c r="F5748" s="14">
        <v>0.87</v>
      </c>
      <c r="G5748" s="14">
        <v>660.19</v>
      </c>
      <c r="H5748" s="14">
        <v>75.95</v>
      </c>
      <c r="I5748" s="14" t="s">
        <v>6069</v>
      </c>
      <c r="J5748" s="14">
        <v>0.0</v>
      </c>
      <c r="K5748" s="14" t="s">
        <v>6012</v>
      </c>
      <c r="L5748" s="14">
        <v>1.0</v>
      </c>
    </row>
    <row r="5749">
      <c r="A5749" s="14">
        <v>6.0</v>
      </c>
      <c r="B5749" s="14">
        <v>7.0</v>
      </c>
      <c r="C5749" s="34">
        <v>4.32</v>
      </c>
      <c r="D5749" s="36">
        <v>45356.0</v>
      </c>
      <c r="E5749" s="24"/>
      <c r="F5749" s="14">
        <v>0.62</v>
      </c>
      <c r="G5749" s="14">
        <v>720.0</v>
      </c>
      <c r="H5749" s="14">
        <v>116.67</v>
      </c>
      <c r="I5749" s="14" t="s">
        <v>6068</v>
      </c>
      <c r="J5749" s="14">
        <v>0.0</v>
      </c>
      <c r="K5749" s="14" t="s">
        <v>6012</v>
      </c>
      <c r="L5749" s="14">
        <v>0.0</v>
      </c>
    </row>
    <row r="5750">
      <c r="A5750" s="14">
        <v>17.0</v>
      </c>
      <c r="B5750" s="14">
        <v>7.0</v>
      </c>
      <c r="C5750" s="34">
        <v>14.5</v>
      </c>
      <c r="D5750" s="36">
        <v>45356.0</v>
      </c>
      <c r="E5750" s="24"/>
      <c r="F5750" s="14">
        <v>2.07</v>
      </c>
      <c r="G5750" s="14">
        <v>852.94</v>
      </c>
      <c r="H5750" s="14">
        <v>41.18</v>
      </c>
      <c r="I5750" s="14" t="s">
        <v>6067</v>
      </c>
      <c r="J5750" s="14">
        <v>0.0</v>
      </c>
      <c r="K5750" s="14" t="s">
        <v>6012</v>
      </c>
      <c r="L5750" s="14">
        <v>1.0</v>
      </c>
    </row>
    <row r="5751">
      <c r="A5751" s="14">
        <v>169.0</v>
      </c>
      <c r="B5751" s="14">
        <v>100.0</v>
      </c>
      <c r="C5751" s="34">
        <v>116.58</v>
      </c>
      <c r="D5751" s="36">
        <v>45356.0</v>
      </c>
      <c r="E5751" s="24"/>
      <c r="F5751" s="14">
        <v>1.17</v>
      </c>
      <c r="G5751" s="14">
        <v>689.82</v>
      </c>
      <c r="H5751" s="14">
        <v>59.17</v>
      </c>
      <c r="I5751" s="14" t="s">
        <v>6069</v>
      </c>
      <c r="J5751" s="14">
        <v>1.0</v>
      </c>
      <c r="K5751" s="14">
        <v>116.58</v>
      </c>
      <c r="L5751" s="14">
        <v>3.0</v>
      </c>
    </row>
    <row r="5752">
      <c r="A5752" s="14">
        <v>183.0</v>
      </c>
      <c r="B5752" s="14">
        <v>76.0</v>
      </c>
      <c r="C5752" s="34">
        <v>119.13</v>
      </c>
      <c r="D5752" s="36">
        <v>45357.0</v>
      </c>
      <c r="E5752" s="24"/>
      <c r="F5752" s="14">
        <v>1.57</v>
      </c>
      <c r="G5752" s="14">
        <v>650.98</v>
      </c>
      <c r="H5752" s="14">
        <v>41.53</v>
      </c>
      <c r="I5752" s="14" t="s">
        <v>6070</v>
      </c>
      <c r="J5752" s="14">
        <v>0.0</v>
      </c>
      <c r="K5752" s="14" t="s">
        <v>6012</v>
      </c>
      <c r="L5752" s="14">
        <v>0.0</v>
      </c>
    </row>
    <row r="5753">
      <c r="A5753" s="14">
        <v>15.0</v>
      </c>
      <c r="B5753" s="14">
        <v>13.0</v>
      </c>
      <c r="C5753" s="34">
        <v>13.4</v>
      </c>
      <c r="D5753" s="36">
        <v>45357.0</v>
      </c>
      <c r="E5753" s="24"/>
      <c r="F5753" s="14">
        <v>1.03</v>
      </c>
      <c r="G5753" s="14">
        <v>893.33</v>
      </c>
      <c r="H5753" s="14">
        <v>86.67</v>
      </c>
      <c r="I5753" s="14" t="s">
        <v>6067</v>
      </c>
      <c r="J5753" s="14">
        <v>0.0</v>
      </c>
      <c r="K5753" s="14" t="s">
        <v>6012</v>
      </c>
      <c r="L5753" s="14">
        <v>0.0</v>
      </c>
    </row>
    <row r="5754">
      <c r="A5754" s="14">
        <v>3.0</v>
      </c>
      <c r="B5754" s="14">
        <v>1.0</v>
      </c>
      <c r="C5754" s="34">
        <v>2.28</v>
      </c>
      <c r="D5754" s="36">
        <v>45357.0</v>
      </c>
      <c r="E5754" s="24"/>
      <c r="F5754" s="14">
        <v>2.28</v>
      </c>
      <c r="G5754" s="14">
        <v>760.0</v>
      </c>
      <c r="H5754" s="14">
        <v>33.33</v>
      </c>
      <c r="I5754" s="14" t="s">
        <v>6068</v>
      </c>
      <c r="J5754" s="14">
        <v>0.0</v>
      </c>
      <c r="K5754" s="14" t="s">
        <v>6012</v>
      </c>
      <c r="L5754" s="14">
        <v>0.0</v>
      </c>
    </row>
    <row r="5755">
      <c r="A5755" s="14">
        <v>54.0</v>
      </c>
      <c r="B5755" s="14">
        <v>59.0</v>
      </c>
      <c r="C5755" s="34">
        <v>39.75</v>
      </c>
      <c r="D5755" s="36">
        <v>45357.0</v>
      </c>
      <c r="E5755" s="24"/>
      <c r="F5755" s="14">
        <v>0.67</v>
      </c>
      <c r="G5755" s="14">
        <v>736.11</v>
      </c>
      <c r="H5755" s="14">
        <v>109.26</v>
      </c>
      <c r="I5755" s="14" t="s">
        <v>6069</v>
      </c>
      <c r="J5755" s="14">
        <v>0.0</v>
      </c>
      <c r="K5755" s="14" t="s">
        <v>6012</v>
      </c>
      <c r="L5755" s="14">
        <v>0.0</v>
      </c>
    </row>
    <row r="5756">
      <c r="A5756" s="14">
        <v>0.0</v>
      </c>
      <c r="B5756" s="14">
        <v>27.0</v>
      </c>
      <c r="C5756" s="34">
        <v>0.0</v>
      </c>
      <c r="D5756" s="36">
        <v>45358.0</v>
      </c>
      <c r="E5756" s="24"/>
      <c r="F5756" s="14">
        <v>0.0</v>
      </c>
      <c r="G5756" s="14" t="s">
        <v>6012</v>
      </c>
      <c r="H5756" s="14" t="s">
        <v>6012</v>
      </c>
      <c r="I5756" s="14" t="s">
        <v>6069</v>
      </c>
      <c r="J5756" s="14">
        <v>0.0</v>
      </c>
      <c r="K5756" s="14" t="s">
        <v>6012</v>
      </c>
      <c r="L5756" s="14">
        <v>0.0</v>
      </c>
    </row>
    <row r="5757">
      <c r="A5757" s="14">
        <v>22.0</v>
      </c>
      <c r="B5757" s="14">
        <v>16.0</v>
      </c>
      <c r="C5757" s="34">
        <v>17.52</v>
      </c>
      <c r="D5757" s="36">
        <v>45358.0</v>
      </c>
      <c r="E5757" s="24"/>
      <c r="F5757" s="14">
        <v>1.1</v>
      </c>
      <c r="G5757" s="14">
        <v>796.36</v>
      </c>
      <c r="H5757" s="14">
        <v>72.73</v>
      </c>
      <c r="I5757" s="14" t="s">
        <v>6067</v>
      </c>
      <c r="J5757" s="14">
        <v>0.0</v>
      </c>
      <c r="K5757" s="14" t="s">
        <v>6012</v>
      </c>
      <c r="L5757" s="14">
        <v>1.0</v>
      </c>
    </row>
    <row r="5758">
      <c r="A5758" s="14">
        <v>172.0</v>
      </c>
      <c r="B5758" s="14">
        <v>87.0</v>
      </c>
      <c r="C5758" s="34">
        <v>113.96</v>
      </c>
      <c r="D5758" s="36">
        <v>45358.0</v>
      </c>
      <c r="E5758" s="24"/>
      <c r="F5758" s="14">
        <v>1.31</v>
      </c>
      <c r="G5758" s="14">
        <v>662.56</v>
      </c>
      <c r="H5758" s="14">
        <v>50.58</v>
      </c>
      <c r="I5758" s="14" t="s">
        <v>6070</v>
      </c>
      <c r="J5758" s="14">
        <v>0.0</v>
      </c>
      <c r="K5758" s="14" t="s">
        <v>6012</v>
      </c>
      <c r="L5758" s="14">
        <v>0.0</v>
      </c>
    </row>
    <row r="5759">
      <c r="A5759" s="14">
        <v>7.0</v>
      </c>
      <c r="B5759" s="14">
        <v>5.0</v>
      </c>
      <c r="C5759" s="34">
        <v>4.59</v>
      </c>
      <c r="D5759" s="36">
        <v>45358.0</v>
      </c>
      <c r="E5759" s="24"/>
      <c r="F5759" s="14">
        <v>0.92</v>
      </c>
      <c r="G5759" s="14">
        <v>655.71</v>
      </c>
      <c r="H5759" s="14">
        <v>71.43</v>
      </c>
      <c r="I5759" s="14" t="s">
        <v>6068</v>
      </c>
      <c r="J5759" s="14">
        <v>0.0</v>
      </c>
      <c r="K5759" s="14" t="s">
        <v>6012</v>
      </c>
      <c r="L5759" s="14">
        <v>0.0</v>
      </c>
    </row>
    <row r="5760">
      <c r="A5760" s="14">
        <v>2.0</v>
      </c>
      <c r="B5760" s="14">
        <v>2.0</v>
      </c>
      <c r="C5760" s="34">
        <v>2.1</v>
      </c>
      <c r="D5760" s="36">
        <v>45359.0</v>
      </c>
      <c r="E5760" s="24"/>
      <c r="F5760" s="14">
        <v>1.05</v>
      </c>
      <c r="G5760" s="14">
        <v>1050.0</v>
      </c>
      <c r="H5760" s="14">
        <v>100.0</v>
      </c>
      <c r="I5760" s="14" t="s">
        <v>6068</v>
      </c>
      <c r="J5760" s="14">
        <v>0.0</v>
      </c>
      <c r="K5760" s="14" t="s">
        <v>6012</v>
      </c>
      <c r="L5760" s="14">
        <v>0.0</v>
      </c>
    </row>
    <row r="5761">
      <c r="A5761" s="14">
        <v>161.0</v>
      </c>
      <c r="B5761" s="14">
        <v>86.0</v>
      </c>
      <c r="C5761" s="34">
        <v>106.34</v>
      </c>
      <c r="D5761" s="36">
        <v>45359.0</v>
      </c>
      <c r="E5761" s="24"/>
      <c r="F5761" s="14">
        <v>1.24</v>
      </c>
      <c r="G5761" s="14">
        <v>660.5</v>
      </c>
      <c r="H5761" s="14">
        <v>53.42</v>
      </c>
      <c r="I5761" s="14" t="s">
        <v>6070</v>
      </c>
      <c r="J5761" s="14">
        <v>0.0</v>
      </c>
      <c r="K5761" s="14" t="s">
        <v>6012</v>
      </c>
      <c r="L5761" s="14">
        <v>1.0</v>
      </c>
    </row>
    <row r="5762">
      <c r="A5762" s="14">
        <v>0.0</v>
      </c>
      <c r="B5762" s="14">
        <v>20.0</v>
      </c>
      <c r="C5762" s="34">
        <v>0.0</v>
      </c>
      <c r="D5762" s="36">
        <v>45359.0</v>
      </c>
      <c r="E5762" s="24"/>
      <c r="F5762" s="14">
        <v>0.0</v>
      </c>
      <c r="G5762" s="14" t="s">
        <v>6012</v>
      </c>
      <c r="H5762" s="14" t="s">
        <v>6012</v>
      </c>
      <c r="I5762" s="14" t="s">
        <v>6069</v>
      </c>
      <c r="J5762" s="14">
        <v>5.0</v>
      </c>
      <c r="K5762" s="14">
        <v>0.0</v>
      </c>
      <c r="L5762" s="14">
        <v>1.0</v>
      </c>
    </row>
    <row r="5763">
      <c r="A5763" s="14">
        <v>8.0</v>
      </c>
      <c r="B5763" s="14">
        <v>8.0</v>
      </c>
      <c r="C5763" s="34">
        <v>6.81</v>
      </c>
      <c r="D5763" s="36">
        <v>45359.0</v>
      </c>
      <c r="E5763" s="24"/>
      <c r="F5763" s="14">
        <v>0.85</v>
      </c>
      <c r="G5763" s="14">
        <v>851.25</v>
      </c>
      <c r="H5763" s="14">
        <v>100.0</v>
      </c>
      <c r="I5763" s="14" t="s">
        <v>6067</v>
      </c>
      <c r="J5763" s="14">
        <v>0.0</v>
      </c>
      <c r="K5763" s="14" t="s">
        <v>6012</v>
      </c>
      <c r="L5763" s="14">
        <v>0.0</v>
      </c>
    </row>
    <row r="5764">
      <c r="A5764" s="14">
        <v>0.0</v>
      </c>
      <c r="B5764" s="14">
        <v>3.0</v>
      </c>
      <c r="C5764" s="34">
        <v>0.0</v>
      </c>
      <c r="D5764" s="36">
        <v>45360.0</v>
      </c>
      <c r="E5764" s="24"/>
      <c r="F5764" s="14">
        <v>0.0</v>
      </c>
      <c r="G5764" s="14" t="s">
        <v>6012</v>
      </c>
      <c r="H5764" s="14" t="s">
        <v>6012</v>
      </c>
      <c r="I5764" s="14" t="s">
        <v>6069</v>
      </c>
      <c r="J5764" s="14">
        <v>0.0</v>
      </c>
      <c r="K5764" s="14" t="s">
        <v>6012</v>
      </c>
      <c r="L5764" s="14">
        <v>0.0</v>
      </c>
    </row>
    <row r="5765">
      <c r="A5765" s="14">
        <v>3.0</v>
      </c>
      <c r="B5765" s="14">
        <v>3.0</v>
      </c>
      <c r="C5765" s="34">
        <v>2.3</v>
      </c>
      <c r="D5765" s="36">
        <v>45360.0</v>
      </c>
      <c r="E5765" s="24"/>
      <c r="F5765" s="14">
        <v>0.77</v>
      </c>
      <c r="G5765" s="14">
        <v>766.67</v>
      </c>
      <c r="H5765" s="14">
        <v>100.0</v>
      </c>
      <c r="I5765" s="14" t="s">
        <v>6068</v>
      </c>
      <c r="J5765" s="14">
        <v>0.0</v>
      </c>
      <c r="K5765" s="14" t="s">
        <v>6012</v>
      </c>
      <c r="L5765" s="14">
        <v>0.0</v>
      </c>
    </row>
    <row r="5766">
      <c r="A5766" s="14">
        <v>121.0</v>
      </c>
      <c r="B5766" s="14">
        <v>67.0</v>
      </c>
      <c r="C5766" s="34">
        <v>82.02</v>
      </c>
      <c r="D5766" s="36">
        <v>45360.0</v>
      </c>
      <c r="E5766" s="24"/>
      <c r="F5766" s="14">
        <v>1.22</v>
      </c>
      <c r="G5766" s="14">
        <v>677.85</v>
      </c>
      <c r="H5766" s="14">
        <v>55.37</v>
      </c>
      <c r="I5766" s="14" t="s">
        <v>6070</v>
      </c>
      <c r="J5766" s="14">
        <v>0.0</v>
      </c>
      <c r="K5766" s="14" t="s">
        <v>6012</v>
      </c>
      <c r="L5766" s="14">
        <v>0.0</v>
      </c>
    </row>
    <row r="5767">
      <c r="A5767" s="14">
        <v>13.0</v>
      </c>
      <c r="B5767" s="14">
        <v>4.0</v>
      </c>
      <c r="C5767" s="34">
        <v>11.52</v>
      </c>
      <c r="D5767" s="36">
        <v>45360.0</v>
      </c>
      <c r="E5767" s="24"/>
      <c r="F5767" s="14">
        <v>2.88</v>
      </c>
      <c r="G5767" s="14">
        <v>886.15</v>
      </c>
      <c r="H5767" s="14">
        <v>30.77</v>
      </c>
      <c r="I5767" s="14" t="s">
        <v>6067</v>
      </c>
      <c r="J5767" s="14">
        <v>0.0</v>
      </c>
      <c r="K5767" s="14" t="s">
        <v>6012</v>
      </c>
      <c r="L5767" s="14">
        <v>0.0</v>
      </c>
    </row>
    <row r="5768">
      <c r="A5768" s="14">
        <v>1.0</v>
      </c>
      <c r="B5768" s="14">
        <v>0.0</v>
      </c>
      <c r="C5768" s="34">
        <v>1.15</v>
      </c>
      <c r="D5768" s="36">
        <v>45361.0</v>
      </c>
      <c r="E5768" s="24"/>
      <c r="F5768" s="14" t="s">
        <v>6012</v>
      </c>
      <c r="G5768" s="14">
        <v>1150.0</v>
      </c>
      <c r="H5768" s="14">
        <v>0.0</v>
      </c>
      <c r="I5768" s="14" t="s">
        <v>6068</v>
      </c>
      <c r="J5768" s="14" t="s">
        <v>6012</v>
      </c>
      <c r="K5768" s="14" t="s">
        <v>6012</v>
      </c>
      <c r="L5768" s="14">
        <v>0.0</v>
      </c>
    </row>
    <row r="5769">
      <c r="A5769" s="14">
        <v>0.0</v>
      </c>
      <c r="B5769" s="14">
        <v>5.0</v>
      </c>
      <c r="C5769" s="34">
        <v>0.0</v>
      </c>
      <c r="D5769" s="36">
        <v>45361.0</v>
      </c>
      <c r="E5769" s="24"/>
      <c r="F5769" s="14">
        <v>0.0</v>
      </c>
      <c r="G5769" s="14" t="s">
        <v>6012</v>
      </c>
      <c r="H5769" s="14" t="s">
        <v>6012</v>
      </c>
      <c r="I5769" s="14" t="s">
        <v>6069</v>
      </c>
      <c r="J5769" s="14">
        <v>0.0</v>
      </c>
      <c r="K5769" s="14" t="s">
        <v>6012</v>
      </c>
      <c r="L5769" s="14">
        <v>0.0</v>
      </c>
    </row>
    <row r="5770">
      <c r="A5770" s="14">
        <v>26.0</v>
      </c>
      <c r="B5770" s="14">
        <v>13.0</v>
      </c>
      <c r="C5770" s="34">
        <v>21.04</v>
      </c>
      <c r="D5770" s="36">
        <v>45361.0</v>
      </c>
      <c r="E5770" s="24"/>
      <c r="F5770" s="14">
        <v>1.62</v>
      </c>
      <c r="G5770" s="14">
        <v>809.23</v>
      </c>
      <c r="H5770" s="14">
        <v>50.0</v>
      </c>
      <c r="I5770" s="14" t="s">
        <v>6067</v>
      </c>
      <c r="J5770" s="14">
        <v>0.0</v>
      </c>
      <c r="K5770" s="14" t="s">
        <v>6012</v>
      </c>
      <c r="L5770" s="14">
        <v>0.0</v>
      </c>
    </row>
    <row r="5771">
      <c r="A5771" s="14">
        <v>105.0</v>
      </c>
      <c r="B5771" s="14">
        <v>47.0</v>
      </c>
      <c r="C5771" s="34">
        <v>78.55</v>
      </c>
      <c r="D5771" s="36">
        <v>45361.0</v>
      </c>
      <c r="E5771" s="24"/>
      <c r="F5771" s="14">
        <v>1.67</v>
      </c>
      <c r="G5771" s="14">
        <v>748.1</v>
      </c>
      <c r="H5771" s="14">
        <v>44.76</v>
      </c>
      <c r="I5771" s="14" t="s">
        <v>6070</v>
      </c>
      <c r="J5771" s="14">
        <v>2.13</v>
      </c>
      <c r="K5771" s="14">
        <v>78.55</v>
      </c>
      <c r="L5771" s="14">
        <v>1.0</v>
      </c>
    </row>
    <row r="5772">
      <c r="A5772" s="14">
        <v>4.0</v>
      </c>
      <c r="B5772" s="14">
        <v>0.0</v>
      </c>
      <c r="C5772" s="34">
        <v>2.96</v>
      </c>
      <c r="D5772" s="36">
        <v>45362.0</v>
      </c>
      <c r="E5772" s="24"/>
      <c r="F5772" s="14" t="s">
        <v>6012</v>
      </c>
      <c r="G5772" s="14">
        <v>740.0</v>
      </c>
      <c r="H5772" s="14">
        <v>0.0</v>
      </c>
      <c r="I5772" s="14" t="s">
        <v>6068</v>
      </c>
      <c r="J5772" s="14" t="s">
        <v>6012</v>
      </c>
      <c r="K5772" s="14" t="s">
        <v>6012</v>
      </c>
      <c r="L5772" s="14">
        <v>0.0</v>
      </c>
    </row>
    <row r="5773">
      <c r="A5773" s="14">
        <v>144.0</v>
      </c>
      <c r="B5773" s="14">
        <v>74.0</v>
      </c>
      <c r="C5773" s="34">
        <v>108.21</v>
      </c>
      <c r="D5773" s="36">
        <v>45362.0</v>
      </c>
      <c r="E5773" s="24"/>
      <c r="F5773" s="14">
        <v>1.46</v>
      </c>
      <c r="G5773" s="14">
        <v>751.46</v>
      </c>
      <c r="H5773" s="14">
        <v>51.39</v>
      </c>
      <c r="I5773" s="14" t="s">
        <v>6069</v>
      </c>
      <c r="J5773" s="14">
        <v>0.0</v>
      </c>
      <c r="K5773" s="14" t="s">
        <v>6012</v>
      </c>
      <c r="L5773" s="14">
        <v>1.0</v>
      </c>
    </row>
    <row r="5774">
      <c r="A5774" s="14">
        <v>43.0</v>
      </c>
      <c r="B5774" s="14">
        <v>20.0</v>
      </c>
      <c r="C5774" s="34">
        <v>30.79</v>
      </c>
      <c r="D5774" s="36">
        <v>45362.0</v>
      </c>
      <c r="E5774" s="24"/>
      <c r="F5774" s="14">
        <v>1.54</v>
      </c>
      <c r="G5774" s="14">
        <v>716.05</v>
      </c>
      <c r="H5774" s="14">
        <v>46.51</v>
      </c>
      <c r="I5774" s="14" t="s">
        <v>6067</v>
      </c>
      <c r="J5774" s="14">
        <v>0.0</v>
      </c>
      <c r="K5774" s="14" t="s">
        <v>6012</v>
      </c>
      <c r="L5774" s="14">
        <v>0.0</v>
      </c>
    </row>
    <row r="5775">
      <c r="A5775" s="14">
        <v>62.0</v>
      </c>
      <c r="B5775" s="14">
        <v>77.0</v>
      </c>
      <c r="C5775" s="34">
        <v>42.75</v>
      </c>
      <c r="D5775" s="36">
        <v>45362.0</v>
      </c>
      <c r="E5775" s="24"/>
      <c r="F5775" s="14">
        <v>0.56</v>
      </c>
      <c r="G5775" s="14">
        <v>689.52</v>
      </c>
      <c r="H5775" s="14">
        <v>124.19</v>
      </c>
      <c r="I5775" s="14" t="s">
        <v>6070</v>
      </c>
      <c r="J5775" s="14">
        <v>0.0</v>
      </c>
      <c r="K5775" s="14" t="s">
        <v>6012</v>
      </c>
      <c r="L5775" s="14">
        <v>1.0</v>
      </c>
    </row>
    <row r="5776">
      <c r="A5776" s="14">
        <v>170.0</v>
      </c>
      <c r="B5776" s="14">
        <v>80.0</v>
      </c>
      <c r="C5776" s="34">
        <v>116.37</v>
      </c>
      <c r="D5776" s="36">
        <v>45363.0</v>
      </c>
      <c r="E5776" s="24"/>
      <c r="F5776" s="14">
        <v>1.45</v>
      </c>
      <c r="G5776" s="14">
        <v>684.53</v>
      </c>
      <c r="H5776" s="14">
        <v>47.06</v>
      </c>
      <c r="I5776" s="14" t="s">
        <v>6069</v>
      </c>
      <c r="J5776" s="14">
        <v>0.0</v>
      </c>
      <c r="K5776" s="14" t="s">
        <v>6012</v>
      </c>
      <c r="L5776" s="14">
        <v>0.0</v>
      </c>
    </row>
    <row r="5777">
      <c r="A5777" s="14">
        <v>3.0</v>
      </c>
      <c r="B5777" s="14">
        <v>2.0</v>
      </c>
      <c r="C5777" s="34">
        <v>1.65</v>
      </c>
      <c r="D5777" s="36">
        <v>45363.0</v>
      </c>
      <c r="E5777" s="24"/>
      <c r="F5777" s="14">
        <v>0.82</v>
      </c>
      <c r="G5777" s="14">
        <v>550.0</v>
      </c>
      <c r="H5777" s="14">
        <v>66.67</v>
      </c>
      <c r="I5777" s="14" t="s">
        <v>6068</v>
      </c>
      <c r="J5777" s="14">
        <v>0.0</v>
      </c>
      <c r="K5777" s="14" t="s">
        <v>6012</v>
      </c>
      <c r="L5777" s="14">
        <v>1.0</v>
      </c>
    </row>
    <row r="5778">
      <c r="A5778" s="14">
        <v>42.0</v>
      </c>
      <c r="B5778" s="14">
        <v>26.0</v>
      </c>
      <c r="C5778" s="34">
        <v>32.18</v>
      </c>
      <c r="D5778" s="36">
        <v>45363.0</v>
      </c>
      <c r="E5778" s="24"/>
      <c r="F5778" s="14">
        <v>1.24</v>
      </c>
      <c r="G5778" s="14">
        <v>766.19</v>
      </c>
      <c r="H5778" s="14">
        <v>61.9</v>
      </c>
      <c r="I5778" s="14" t="s">
        <v>6067</v>
      </c>
      <c r="J5778" s="14">
        <v>0.0</v>
      </c>
      <c r="K5778" s="14" t="s">
        <v>6012</v>
      </c>
      <c r="L5778" s="14">
        <v>0.0</v>
      </c>
    </row>
    <row r="5779">
      <c r="A5779" s="14">
        <v>0.0</v>
      </c>
      <c r="B5779" s="14">
        <v>17.0</v>
      </c>
      <c r="C5779" s="34">
        <v>0.0</v>
      </c>
      <c r="D5779" s="36">
        <v>45363.0</v>
      </c>
      <c r="E5779" s="24"/>
      <c r="F5779" s="14">
        <v>0.0</v>
      </c>
      <c r="G5779" s="14" t="s">
        <v>6012</v>
      </c>
      <c r="H5779" s="14" t="s">
        <v>6012</v>
      </c>
      <c r="I5779" s="14" t="s">
        <v>6070</v>
      </c>
      <c r="J5779" s="14">
        <v>0.0</v>
      </c>
      <c r="K5779" s="14" t="s">
        <v>6012</v>
      </c>
      <c r="L5779" s="14">
        <v>1.0</v>
      </c>
    </row>
    <row r="5780">
      <c r="A5780" s="14">
        <v>0.0</v>
      </c>
      <c r="B5780" s="14">
        <v>13.0</v>
      </c>
      <c r="C5780" s="34">
        <v>0.0</v>
      </c>
      <c r="D5780" s="36">
        <v>45364.0</v>
      </c>
      <c r="E5780" s="24"/>
      <c r="F5780" s="14">
        <v>0.0</v>
      </c>
      <c r="G5780" s="14" t="s">
        <v>6012</v>
      </c>
      <c r="H5780" s="14" t="s">
        <v>6012</v>
      </c>
      <c r="I5780" s="14" t="s">
        <v>6070</v>
      </c>
      <c r="J5780" s="14">
        <v>0.0</v>
      </c>
      <c r="K5780" s="14" t="s">
        <v>6012</v>
      </c>
      <c r="L5780" s="14">
        <v>0.0</v>
      </c>
    </row>
    <row r="5781">
      <c r="A5781" s="14">
        <v>58.0</v>
      </c>
      <c r="B5781" s="14">
        <v>29.0</v>
      </c>
      <c r="C5781" s="34">
        <v>44.11</v>
      </c>
      <c r="D5781" s="36">
        <v>45364.0</v>
      </c>
      <c r="E5781" s="24"/>
      <c r="F5781" s="14">
        <v>1.52</v>
      </c>
      <c r="G5781" s="14">
        <v>760.52</v>
      </c>
      <c r="H5781" s="14">
        <v>50.0</v>
      </c>
      <c r="I5781" s="14" t="s">
        <v>6067</v>
      </c>
      <c r="J5781" s="14">
        <v>0.0</v>
      </c>
      <c r="K5781" s="14" t="s">
        <v>6012</v>
      </c>
      <c r="L5781" s="14">
        <v>0.0</v>
      </c>
    </row>
    <row r="5782">
      <c r="A5782" s="14">
        <v>1.0</v>
      </c>
      <c r="B5782" s="14">
        <v>3.0</v>
      </c>
      <c r="C5782" s="34">
        <v>0.55</v>
      </c>
      <c r="D5782" s="36">
        <v>45364.0</v>
      </c>
      <c r="E5782" s="24"/>
      <c r="F5782" s="14">
        <v>0.18</v>
      </c>
      <c r="G5782" s="14">
        <v>550.0</v>
      </c>
      <c r="H5782" s="14">
        <v>300.0</v>
      </c>
      <c r="I5782" s="14" t="s">
        <v>6068</v>
      </c>
      <c r="J5782" s="14">
        <v>33.33</v>
      </c>
      <c r="K5782" s="14">
        <v>0.55</v>
      </c>
      <c r="L5782" s="14">
        <v>0.0</v>
      </c>
    </row>
    <row r="5783">
      <c r="A5783" s="14">
        <v>154.0</v>
      </c>
      <c r="B5783" s="14">
        <v>89.0</v>
      </c>
      <c r="C5783" s="34">
        <v>109.59</v>
      </c>
      <c r="D5783" s="36">
        <v>45364.0</v>
      </c>
      <c r="E5783" s="24"/>
      <c r="F5783" s="14">
        <v>1.23</v>
      </c>
      <c r="G5783" s="14">
        <v>711.62</v>
      </c>
      <c r="H5783" s="14">
        <v>57.79</v>
      </c>
      <c r="I5783" s="14" t="s">
        <v>6069</v>
      </c>
      <c r="J5783" s="14">
        <v>0.0</v>
      </c>
      <c r="K5783" s="14" t="s">
        <v>6012</v>
      </c>
      <c r="L5783" s="14">
        <v>2.0</v>
      </c>
    </row>
    <row r="5784">
      <c r="A5784" s="14">
        <v>4.0</v>
      </c>
      <c r="B5784" s="14">
        <v>3.0</v>
      </c>
      <c r="C5784" s="34">
        <v>3.75</v>
      </c>
      <c r="D5784" s="36">
        <v>45365.0</v>
      </c>
      <c r="E5784" s="24"/>
      <c r="F5784" s="14">
        <v>1.25</v>
      </c>
      <c r="G5784" s="14">
        <v>937.5</v>
      </c>
      <c r="H5784" s="14">
        <v>75.0</v>
      </c>
      <c r="I5784" s="14" t="s">
        <v>6068</v>
      </c>
      <c r="J5784" s="14">
        <v>0.0</v>
      </c>
      <c r="K5784" s="14" t="s">
        <v>6012</v>
      </c>
      <c r="L5784" s="14">
        <v>0.0</v>
      </c>
    </row>
    <row r="5785">
      <c r="A5785" s="14">
        <v>146.0</v>
      </c>
      <c r="B5785" s="14">
        <v>84.0</v>
      </c>
      <c r="C5785" s="34">
        <v>111.41</v>
      </c>
      <c r="D5785" s="36">
        <v>45365.0</v>
      </c>
      <c r="E5785" s="24"/>
      <c r="F5785" s="14">
        <v>1.33</v>
      </c>
      <c r="G5785" s="14">
        <v>763.08</v>
      </c>
      <c r="H5785" s="14">
        <v>57.53</v>
      </c>
      <c r="I5785" s="14" t="s">
        <v>6069</v>
      </c>
      <c r="J5785" s="14">
        <v>0.0</v>
      </c>
      <c r="K5785" s="14" t="s">
        <v>6012</v>
      </c>
      <c r="L5785" s="14">
        <v>0.0</v>
      </c>
    </row>
    <row r="5786">
      <c r="A5786" s="14">
        <v>58.0</v>
      </c>
      <c r="B5786" s="14">
        <v>36.0</v>
      </c>
      <c r="C5786" s="34">
        <v>43.5</v>
      </c>
      <c r="D5786" s="36">
        <v>45365.0</v>
      </c>
      <c r="E5786" s="24"/>
      <c r="F5786" s="14">
        <v>1.21</v>
      </c>
      <c r="G5786" s="14">
        <v>750.0</v>
      </c>
      <c r="H5786" s="14">
        <v>62.07</v>
      </c>
      <c r="I5786" s="14" t="s">
        <v>6067</v>
      </c>
      <c r="J5786" s="14">
        <v>0.0</v>
      </c>
      <c r="K5786" s="14" t="s">
        <v>6012</v>
      </c>
      <c r="L5786" s="14">
        <v>0.0</v>
      </c>
    </row>
    <row r="5787">
      <c r="A5787" s="14">
        <v>0.0</v>
      </c>
      <c r="B5787" s="14">
        <v>8.0</v>
      </c>
      <c r="C5787" s="34">
        <v>0.0</v>
      </c>
      <c r="D5787" s="36">
        <v>45365.0</v>
      </c>
      <c r="E5787" s="24"/>
      <c r="F5787" s="14">
        <v>0.0</v>
      </c>
      <c r="G5787" s="14" t="s">
        <v>6012</v>
      </c>
      <c r="H5787" s="14" t="s">
        <v>6012</v>
      </c>
      <c r="I5787" s="14" t="s">
        <v>6070</v>
      </c>
      <c r="J5787" s="14">
        <v>0.0</v>
      </c>
      <c r="K5787" s="14" t="s">
        <v>6012</v>
      </c>
      <c r="L5787" s="14">
        <v>0.0</v>
      </c>
    </row>
    <row r="5788">
      <c r="A5788" s="14">
        <v>53.0</v>
      </c>
      <c r="B5788" s="14">
        <v>24.0</v>
      </c>
      <c r="C5788" s="34">
        <v>33.39</v>
      </c>
      <c r="D5788" s="36">
        <v>45366.0</v>
      </c>
      <c r="E5788" s="24"/>
      <c r="F5788" s="14">
        <v>1.39</v>
      </c>
      <c r="G5788" s="14">
        <v>630.0</v>
      </c>
      <c r="H5788" s="14">
        <v>45.28</v>
      </c>
      <c r="I5788" s="14" t="s">
        <v>6071</v>
      </c>
      <c r="J5788" s="14">
        <v>0.0</v>
      </c>
      <c r="K5788" s="14" t="s">
        <v>6012</v>
      </c>
      <c r="L5788" s="14">
        <v>1.0</v>
      </c>
    </row>
    <row r="5789">
      <c r="A5789" s="14">
        <v>153.0</v>
      </c>
      <c r="B5789" s="14">
        <v>79.0</v>
      </c>
      <c r="C5789" s="34">
        <v>111.19</v>
      </c>
      <c r="D5789" s="36">
        <v>45366.0</v>
      </c>
      <c r="E5789" s="24"/>
      <c r="F5789" s="14">
        <v>1.41</v>
      </c>
      <c r="G5789" s="14">
        <v>726.73</v>
      </c>
      <c r="H5789" s="14">
        <v>51.63</v>
      </c>
      <c r="I5789" s="14" t="s">
        <v>6069</v>
      </c>
      <c r="J5789" s="14">
        <v>1.27</v>
      </c>
      <c r="K5789" s="14">
        <v>111.19</v>
      </c>
      <c r="L5789" s="14">
        <v>2.0</v>
      </c>
    </row>
    <row r="5790">
      <c r="A5790" s="14">
        <v>0.0</v>
      </c>
      <c r="B5790" s="14">
        <v>5.0</v>
      </c>
      <c r="C5790" s="34">
        <v>0.0</v>
      </c>
      <c r="D5790" s="36">
        <v>45366.0</v>
      </c>
      <c r="E5790" s="24"/>
      <c r="F5790" s="14">
        <v>0.0</v>
      </c>
      <c r="G5790" s="14" t="s">
        <v>6012</v>
      </c>
      <c r="H5790" s="14" t="s">
        <v>6012</v>
      </c>
      <c r="I5790" s="14" t="s">
        <v>6070</v>
      </c>
      <c r="J5790" s="14">
        <v>0.0</v>
      </c>
      <c r="K5790" s="14" t="s">
        <v>6012</v>
      </c>
      <c r="L5790" s="14">
        <v>0.0</v>
      </c>
    </row>
    <row r="5791">
      <c r="A5791" s="14">
        <v>4.0</v>
      </c>
      <c r="B5791" s="14">
        <v>2.0</v>
      </c>
      <c r="C5791" s="34">
        <v>2.43</v>
      </c>
      <c r="D5791" s="36">
        <v>45366.0</v>
      </c>
      <c r="E5791" s="24"/>
      <c r="F5791" s="14">
        <v>1.22</v>
      </c>
      <c r="G5791" s="14">
        <v>607.5</v>
      </c>
      <c r="H5791" s="14">
        <v>50.0</v>
      </c>
      <c r="I5791" s="14" t="s">
        <v>6068</v>
      </c>
      <c r="J5791" s="14">
        <v>0.0</v>
      </c>
      <c r="K5791" s="14" t="s">
        <v>6012</v>
      </c>
      <c r="L5791" s="14">
        <v>0.0</v>
      </c>
    </row>
    <row r="5792">
      <c r="A5792" s="14">
        <v>120.0</v>
      </c>
      <c r="B5792" s="14">
        <v>47.0</v>
      </c>
      <c r="C5792" s="34">
        <v>90.69</v>
      </c>
      <c r="D5792" s="36">
        <v>45366.0</v>
      </c>
      <c r="E5792" s="24"/>
      <c r="F5792" s="14">
        <v>1.93</v>
      </c>
      <c r="G5792" s="14">
        <v>755.75</v>
      </c>
      <c r="H5792" s="14">
        <v>39.17</v>
      </c>
      <c r="I5792" s="14" t="s">
        <v>6067</v>
      </c>
      <c r="J5792" s="14">
        <v>0.0</v>
      </c>
      <c r="K5792" s="14" t="s">
        <v>6012</v>
      </c>
      <c r="L5792" s="14">
        <v>1.0</v>
      </c>
    </row>
    <row r="5793">
      <c r="A5793" s="14">
        <v>184.0</v>
      </c>
      <c r="B5793" s="14">
        <v>69.0</v>
      </c>
      <c r="C5793" s="34">
        <v>131.63</v>
      </c>
      <c r="D5793" s="36">
        <v>45366.0</v>
      </c>
      <c r="E5793" s="24"/>
      <c r="F5793" s="14">
        <v>1.91</v>
      </c>
      <c r="G5793" s="14">
        <v>715.38</v>
      </c>
      <c r="H5793" s="14">
        <v>37.5</v>
      </c>
      <c r="I5793" s="14" t="s">
        <v>6072</v>
      </c>
      <c r="J5793" s="14">
        <v>0.0</v>
      </c>
      <c r="K5793" s="14" t="s">
        <v>6012</v>
      </c>
      <c r="L5793" s="14">
        <v>1.0</v>
      </c>
    </row>
    <row r="5794">
      <c r="A5794" s="14">
        <v>126.0</v>
      </c>
      <c r="B5794" s="14">
        <v>61.0</v>
      </c>
      <c r="C5794" s="34">
        <v>87.51</v>
      </c>
      <c r="D5794" s="36">
        <v>45367.0</v>
      </c>
      <c r="E5794" s="24"/>
      <c r="F5794" s="14">
        <v>1.43</v>
      </c>
      <c r="G5794" s="14">
        <v>694.52</v>
      </c>
      <c r="H5794" s="14">
        <v>48.41</v>
      </c>
      <c r="I5794" s="14" t="s">
        <v>6072</v>
      </c>
      <c r="J5794" s="14">
        <v>0.0</v>
      </c>
      <c r="K5794" s="14" t="s">
        <v>6012</v>
      </c>
      <c r="L5794" s="14">
        <v>2.0</v>
      </c>
    </row>
    <row r="5795">
      <c r="A5795" s="14">
        <v>76.0</v>
      </c>
      <c r="B5795" s="14">
        <v>21.0</v>
      </c>
      <c r="C5795" s="34">
        <v>57.47</v>
      </c>
      <c r="D5795" s="36">
        <v>45367.0</v>
      </c>
      <c r="E5795" s="24"/>
      <c r="F5795" s="14">
        <v>2.74</v>
      </c>
      <c r="G5795" s="14">
        <v>756.18</v>
      </c>
      <c r="H5795" s="14">
        <v>27.63</v>
      </c>
      <c r="I5795" s="14" t="s">
        <v>6071</v>
      </c>
      <c r="J5795" s="14">
        <v>0.0</v>
      </c>
      <c r="K5795" s="14" t="s">
        <v>6012</v>
      </c>
      <c r="L5795" s="14">
        <v>1.0</v>
      </c>
    </row>
    <row r="5796">
      <c r="A5796" s="14">
        <v>4.0</v>
      </c>
      <c r="B5796" s="14">
        <v>1.0</v>
      </c>
      <c r="C5796" s="34">
        <v>3.89</v>
      </c>
      <c r="D5796" s="36">
        <v>45367.0</v>
      </c>
      <c r="E5796" s="24"/>
      <c r="F5796" s="14">
        <v>3.89</v>
      </c>
      <c r="G5796" s="14">
        <v>972.5</v>
      </c>
      <c r="H5796" s="14">
        <v>25.0</v>
      </c>
      <c r="I5796" s="14" t="s">
        <v>6068</v>
      </c>
      <c r="J5796" s="14">
        <v>0.0</v>
      </c>
      <c r="K5796" s="14" t="s">
        <v>6012</v>
      </c>
      <c r="L5796" s="14">
        <v>0.0</v>
      </c>
    </row>
    <row r="5797">
      <c r="A5797" s="14">
        <v>118.0</v>
      </c>
      <c r="B5797" s="14">
        <v>66.0</v>
      </c>
      <c r="C5797" s="34">
        <v>74.25</v>
      </c>
      <c r="D5797" s="36">
        <v>45367.0</v>
      </c>
      <c r="E5797" s="24"/>
      <c r="F5797" s="14">
        <v>1.12</v>
      </c>
      <c r="G5797" s="14">
        <v>629.24</v>
      </c>
      <c r="H5797" s="14">
        <v>55.93</v>
      </c>
      <c r="I5797" s="14" t="s">
        <v>6069</v>
      </c>
      <c r="J5797" s="14">
        <v>0.0</v>
      </c>
      <c r="K5797" s="14" t="s">
        <v>6012</v>
      </c>
      <c r="L5797" s="14">
        <v>2.0</v>
      </c>
    </row>
    <row r="5798">
      <c r="A5798" s="14">
        <v>122.0</v>
      </c>
      <c r="B5798" s="14">
        <v>50.0</v>
      </c>
      <c r="C5798" s="34">
        <v>93.78</v>
      </c>
      <c r="D5798" s="36">
        <v>45367.0</v>
      </c>
      <c r="E5798" s="24"/>
      <c r="F5798" s="14">
        <v>1.88</v>
      </c>
      <c r="G5798" s="14">
        <v>768.69</v>
      </c>
      <c r="H5798" s="14">
        <v>40.98</v>
      </c>
      <c r="I5798" s="14" t="s">
        <v>6067</v>
      </c>
      <c r="J5798" s="14">
        <v>0.0</v>
      </c>
      <c r="K5798" s="14" t="s">
        <v>6012</v>
      </c>
      <c r="L5798" s="14">
        <v>2.0</v>
      </c>
    </row>
    <row r="5799">
      <c r="A5799" s="14">
        <v>0.0</v>
      </c>
      <c r="B5799" s="14">
        <v>5.0</v>
      </c>
      <c r="C5799" s="34">
        <v>0.0</v>
      </c>
      <c r="D5799" s="36">
        <v>45367.0</v>
      </c>
      <c r="E5799" s="24"/>
      <c r="F5799" s="14">
        <v>0.0</v>
      </c>
      <c r="G5799" s="14" t="s">
        <v>6012</v>
      </c>
      <c r="H5799" s="14" t="s">
        <v>6012</v>
      </c>
      <c r="I5799" s="14" t="s">
        <v>6070</v>
      </c>
      <c r="J5799" s="14">
        <v>0.0</v>
      </c>
      <c r="K5799" s="14" t="s">
        <v>6012</v>
      </c>
      <c r="L5799" s="14">
        <v>0.0</v>
      </c>
    </row>
    <row r="5800">
      <c r="A5800" s="14">
        <v>0.0</v>
      </c>
      <c r="B5800" s="14">
        <v>1.0</v>
      </c>
      <c r="C5800" s="34">
        <v>0.0</v>
      </c>
      <c r="D5800" s="36">
        <v>45368.0</v>
      </c>
      <c r="E5800" s="24"/>
      <c r="F5800" s="14">
        <v>0.0</v>
      </c>
      <c r="G5800" s="14" t="s">
        <v>6012</v>
      </c>
      <c r="H5800" s="14" t="s">
        <v>6012</v>
      </c>
      <c r="I5800" s="14" t="s">
        <v>6070</v>
      </c>
      <c r="J5800" s="14">
        <v>0.0</v>
      </c>
      <c r="K5800" s="14" t="s">
        <v>6012</v>
      </c>
      <c r="L5800" s="14">
        <v>0.0</v>
      </c>
    </row>
    <row r="5801">
      <c r="A5801" s="14">
        <v>180.0</v>
      </c>
      <c r="B5801" s="14">
        <v>67.0</v>
      </c>
      <c r="C5801" s="34">
        <v>139.19</v>
      </c>
      <c r="D5801" s="36">
        <v>45368.0</v>
      </c>
      <c r="E5801" s="24"/>
      <c r="F5801" s="14">
        <v>2.08</v>
      </c>
      <c r="G5801" s="14">
        <v>773.28</v>
      </c>
      <c r="H5801" s="14">
        <v>37.22</v>
      </c>
      <c r="I5801" s="14" t="s">
        <v>6067</v>
      </c>
      <c r="J5801" s="14">
        <v>1.49</v>
      </c>
      <c r="K5801" s="14">
        <v>139.19</v>
      </c>
      <c r="L5801" s="14">
        <v>3.0</v>
      </c>
    </row>
    <row r="5802">
      <c r="A5802" s="14">
        <v>3.0</v>
      </c>
      <c r="B5802" s="14">
        <v>0.0</v>
      </c>
      <c r="C5802" s="34">
        <v>1.6</v>
      </c>
      <c r="D5802" s="36">
        <v>45368.0</v>
      </c>
      <c r="E5802" s="24"/>
      <c r="F5802" s="14" t="s">
        <v>6012</v>
      </c>
      <c r="G5802" s="14">
        <v>533.33</v>
      </c>
      <c r="H5802" s="14">
        <v>0.0</v>
      </c>
      <c r="I5802" s="14" t="s">
        <v>6068</v>
      </c>
      <c r="J5802" s="14" t="s">
        <v>6012</v>
      </c>
      <c r="K5802" s="14" t="s">
        <v>6012</v>
      </c>
      <c r="L5802" s="14">
        <v>0.0</v>
      </c>
    </row>
    <row r="5803">
      <c r="A5803" s="14">
        <v>66.0</v>
      </c>
      <c r="B5803" s="14">
        <v>36.0</v>
      </c>
      <c r="C5803" s="34">
        <v>42.73</v>
      </c>
      <c r="D5803" s="36">
        <v>45368.0</v>
      </c>
      <c r="E5803" s="24"/>
      <c r="F5803" s="14">
        <v>1.19</v>
      </c>
      <c r="G5803" s="14">
        <v>647.42</v>
      </c>
      <c r="H5803" s="14">
        <v>54.55</v>
      </c>
      <c r="I5803" s="14" t="s">
        <v>6071</v>
      </c>
      <c r="J5803" s="14">
        <v>0.0</v>
      </c>
      <c r="K5803" s="14" t="s">
        <v>6012</v>
      </c>
      <c r="L5803" s="14">
        <v>3.0</v>
      </c>
    </row>
    <row r="5804">
      <c r="A5804" s="14">
        <v>104.0</v>
      </c>
      <c r="B5804" s="14">
        <v>57.0</v>
      </c>
      <c r="C5804" s="34">
        <v>68.98</v>
      </c>
      <c r="D5804" s="36">
        <v>45368.0</v>
      </c>
      <c r="E5804" s="24"/>
      <c r="F5804" s="14">
        <v>1.21</v>
      </c>
      <c r="G5804" s="14">
        <v>663.27</v>
      </c>
      <c r="H5804" s="14">
        <v>54.81</v>
      </c>
      <c r="I5804" s="14" t="s">
        <v>6069</v>
      </c>
      <c r="J5804" s="14">
        <v>0.0</v>
      </c>
      <c r="K5804" s="14" t="s">
        <v>6012</v>
      </c>
      <c r="L5804" s="14">
        <v>0.0</v>
      </c>
    </row>
    <row r="5805">
      <c r="A5805" s="14">
        <v>127.0</v>
      </c>
      <c r="B5805" s="14">
        <v>76.0</v>
      </c>
      <c r="C5805" s="34">
        <v>80.8</v>
      </c>
      <c r="D5805" s="36">
        <v>45368.0</v>
      </c>
      <c r="E5805" s="24"/>
      <c r="F5805" s="14">
        <v>1.06</v>
      </c>
      <c r="G5805" s="14">
        <v>636.22</v>
      </c>
      <c r="H5805" s="14">
        <v>59.84</v>
      </c>
      <c r="I5805" s="14" t="s">
        <v>6072</v>
      </c>
      <c r="J5805" s="14">
        <v>1.32</v>
      </c>
      <c r="K5805" s="14">
        <v>80.8</v>
      </c>
      <c r="L5805" s="14">
        <v>0.0</v>
      </c>
    </row>
    <row r="5806">
      <c r="A5806" s="14">
        <v>160.0</v>
      </c>
      <c r="B5806" s="14">
        <v>109.0</v>
      </c>
      <c r="C5806" s="34">
        <v>109.3</v>
      </c>
      <c r="D5806" s="36">
        <v>45369.0</v>
      </c>
      <c r="E5806" s="24"/>
      <c r="F5806" s="14">
        <v>1.0</v>
      </c>
      <c r="G5806" s="14">
        <v>683.12</v>
      </c>
      <c r="H5806" s="14">
        <v>68.12</v>
      </c>
      <c r="I5806" s="14" t="s">
        <v>6072</v>
      </c>
      <c r="J5806" s="14">
        <v>0.92</v>
      </c>
      <c r="K5806" s="14">
        <v>109.3</v>
      </c>
      <c r="L5806" s="14">
        <v>0.0</v>
      </c>
    </row>
    <row r="5807">
      <c r="A5807" s="14">
        <v>161.0</v>
      </c>
      <c r="B5807" s="14">
        <v>108.0</v>
      </c>
      <c r="C5807" s="34">
        <v>108.23</v>
      </c>
      <c r="D5807" s="36">
        <v>45369.0</v>
      </c>
      <c r="E5807" s="24"/>
      <c r="F5807" s="14">
        <v>1.0</v>
      </c>
      <c r="G5807" s="14">
        <v>672.24</v>
      </c>
      <c r="H5807" s="14">
        <v>67.08</v>
      </c>
      <c r="I5807" s="14" t="s">
        <v>6069</v>
      </c>
      <c r="J5807" s="14">
        <v>0.0</v>
      </c>
      <c r="K5807" s="14" t="s">
        <v>6012</v>
      </c>
      <c r="L5807" s="14">
        <v>0.0</v>
      </c>
    </row>
    <row r="5808">
      <c r="A5808" s="14">
        <v>110.0</v>
      </c>
      <c r="B5808" s="14">
        <v>59.0</v>
      </c>
      <c r="C5808" s="34">
        <v>81.39</v>
      </c>
      <c r="D5808" s="36">
        <v>45369.0</v>
      </c>
      <c r="E5808" s="24"/>
      <c r="F5808" s="14">
        <v>1.38</v>
      </c>
      <c r="G5808" s="14">
        <v>739.91</v>
      </c>
      <c r="H5808" s="14">
        <v>53.64</v>
      </c>
      <c r="I5808" s="14" t="s">
        <v>6071</v>
      </c>
      <c r="J5808" s="14">
        <v>1.69</v>
      </c>
      <c r="K5808" s="14">
        <v>81.39</v>
      </c>
      <c r="L5808" s="14">
        <v>1.0</v>
      </c>
    </row>
    <row r="5809">
      <c r="A5809" s="14">
        <v>0.0</v>
      </c>
      <c r="B5809" s="14">
        <v>8.0</v>
      </c>
      <c r="C5809" s="34">
        <v>0.0</v>
      </c>
      <c r="D5809" s="36">
        <v>45369.0</v>
      </c>
      <c r="E5809" s="24"/>
      <c r="F5809" s="14">
        <v>0.0</v>
      </c>
      <c r="G5809" s="14" t="s">
        <v>6012</v>
      </c>
      <c r="H5809" s="14" t="s">
        <v>6012</v>
      </c>
      <c r="I5809" s="14" t="s">
        <v>6070</v>
      </c>
      <c r="J5809" s="14">
        <v>0.0</v>
      </c>
      <c r="K5809" s="14" t="s">
        <v>6012</v>
      </c>
      <c r="L5809" s="14">
        <v>0.0</v>
      </c>
    </row>
    <row r="5810">
      <c r="A5810" s="14">
        <v>147.0</v>
      </c>
      <c r="B5810" s="14">
        <v>98.0</v>
      </c>
      <c r="C5810" s="34">
        <v>109.16</v>
      </c>
      <c r="D5810" s="36">
        <v>45369.0</v>
      </c>
      <c r="E5810" s="24"/>
      <c r="F5810" s="14">
        <v>1.11</v>
      </c>
      <c r="G5810" s="14">
        <v>742.59</v>
      </c>
      <c r="H5810" s="14">
        <v>66.67</v>
      </c>
      <c r="I5810" s="14" t="s">
        <v>6067</v>
      </c>
      <c r="J5810" s="14">
        <v>0.0</v>
      </c>
      <c r="K5810" s="14" t="s">
        <v>6012</v>
      </c>
      <c r="L5810" s="14">
        <v>2.0</v>
      </c>
    </row>
    <row r="5811">
      <c r="A5811" s="14">
        <v>25.0</v>
      </c>
      <c r="B5811" s="14">
        <v>6.0</v>
      </c>
      <c r="C5811" s="34">
        <v>15.95</v>
      </c>
      <c r="D5811" s="36">
        <v>45369.0</v>
      </c>
      <c r="E5811" s="24"/>
      <c r="F5811" s="14">
        <v>2.66</v>
      </c>
      <c r="G5811" s="14">
        <v>638.0</v>
      </c>
      <c r="H5811" s="14">
        <v>24.0</v>
      </c>
      <c r="I5811" s="14" t="s">
        <v>6068</v>
      </c>
      <c r="J5811" s="14">
        <v>0.0</v>
      </c>
      <c r="K5811" s="14" t="s">
        <v>6012</v>
      </c>
      <c r="L5811" s="14">
        <v>0.0</v>
      </c>
    </row>
    <row r="5812">
      <c r="A5812" s="14">
        <v>167.0</v>
      </c>
      <c r="B5812" s="14">
        <v>103.0</v>
      </c>
      <c r="C5812" s="34">
        <v>110.02</v>
      </c>
      <c r="D5812" s="36">
        <v>45370.0</v>
      </c>
      <c r="E5812" s="24"/>
      <c r="F5812" s="14">
        <v>1.07</v>
      </c>
      <c r="G5812" s="14">
        <v>658.8</v>
      </c>
      <c r="H5812" s="14">
        <v>61.68</v>
      </c>
      <c r="I5812" s="14" t="s">
        <v>6072</v>
      </c>
      <c r="J5812" s="14">
        <v>0.0</v>
      </c>
      <c r="K5812" s="14" t="s">
        <v>6012</v>
      </c>
      <c r="L5812" s="14">
        <v>4.0</v>
      </c>
    </row>
    <row r="5813">
      <c r="A5813" s="14">
        <v>126.0</v>
      </c>
      <c r="B5813" s="14">
        <v>59.0</v>
      </c>
      <c r="C5813" s="34">
        <v>92.67</v>
      </c>
      <c r="D5813" s="36">
        <v>45370.0</v>
      </c>
      <c r="E5813" s="24"/>
      <c r="F5813" s="14">
        <v>1.57</v>
      </c>
      <c r="G5813" s="14">
        <v>735.48</v>
      </c>
      <c r="H5813" s="14">
        <v>46.83</v>
      </c>
      <c r="I5813" s="14" t="s">
        <v>6071</v>
      </c>
      <c r="J5813" s="14">
        <v>1.69</v>
      </c>
      <c r="K5813" s="14">
        <v>92.67</v>
      </c>
      <c r="L5813" s="14">
        <v>3.0</v>
      </c>
    </row>
    <row r="5814">
      <c r="A5814" s="14">
        <v>28.0</v>
      </c>
      <c r="B5814" s="14">
        <v>10.0</v>
      </c>
      <c r="C5814" s="34">
        <v>18.49</v>
      </c>
      <c r="D5814" s="36">
        <v>45370.0</v>
      </c>
      <c r="E5814" s="24"/>
      <c r="F5814" s="14">
        <v>1.85</v>
      </c>
      <c r="G5814" s="14">
        <v>660.36</v>
      </c>
      <c r="H5814" s="14">
        <v>35.71</v>
      </c>
      <c r="I5814" s="14" t="s">
        <v>6068</v>
      </c>
      <c r="J5814" s="14">
        <v>0.0</v>
      </c>
      <c r="K5814" s="14" t="s">
        <v>6012</v>
      </c>
      <c r="L5814" s="14">
        <v>0.0</v>
      </c>
    </row>
    <row r="5815">
      <c r="A5815" s="14">
        <v>147.0</v>
      </c>
      <c r="B5815" s="14">
        <v>85.0</v>
      </c>
      <c r="C5815" s="34">
        <v>110.11</v>
      </c>
      <c r="D5815" s="36">
        <v>45370.0</v>
      </c>
      <c r="E5815" s="24"/>
      <c r="F5815" s="14">
        <v>1.3</v>
      </c>
      <c r="G5815" s="14">
        <v>749.05</v>
      </c>
      <c r="H5815" s="14">
        <v>57.82</v>
      </c>
      <c r="I5815" s="14" t="s">
        <v>6067</v>
      </c>
      <c r="J5815" s="14">
        <v>0.0</v>
      </c>
      <c r="K5815" s="14" t="s">
        <v>6012</v>
      </c>
      <c r="L5815" s="14">
        <v>6.0</v>
      </c>
    </row>
    <row r="5816">
      <c r="A5816" s="14">
        <v>0.0</v>
      </c>
      <c r="B5816" s="14">
        <v>9.0</v>
      </c>
      <c r="C5816" s="34">
        <v>0.0</v>
      </c>
      <c r="D5816" s="36">
        <v>45370.0</v>
      </c>
      <c r="E5816" s="24"/>
      <c r="F5816" s="14">
        <v>0.0</v>
      </c>
      <c r="G5816" s="14" t="s">
        <v>6012</v>
      </c>
      <c r="H5816" s="14" t="s">
        <v>6012</v>
      </c>
      <c r="I5816" s="14" t="s">
        <v>6070</v>
      </c>
      <c r="J5816" s="14">
        <v>0.0</v>
      </c>
      <c r="K5816" s="14" t="s">
        <v>6012</v>
      </c>
      <c r="L5816" s="14">
        <v>0.0</v>
      </c>
    </row>
    <row r="5817">
      <c r="A5817" s="14">
        <v>152.0</v>
      </c>
      <c r="B5817" s="14">
        <v>89.0</v>
      </c>
      <c r="C5817" s="34">
        <v>110.67</v>
      </c>
      <c r="D5817" s="36">
        <v>45370.0</v>
      </c>
      <c r="E5817" s="24"/>
      <c r="F5817" s="14">
        <v>1.24</v>
      </c>
      <c r="G5817" s="14">
        <v>728.09</v>
      </c>
      <c r="H5817" s="14">
        <v>58.55</v>
      </c>
      <c r="I5817" s="14" t="s">
        <v>6069</v>
      </c>
      <c r="J5817" s="14">
        <v>0.0</v>
      </c>
      <c r="K5817" s="14" t="s">
        <v>6012</v>
      </c>
      <c r="L5817" s="14">
        <v>1.0</v>
      </c>
    </row>
    <row r="5818">
      <c r="A5818" s="14">
        <v>0.0</v>
      </c>
      <c r="B5818" s="14">
        <v>1.0</v>
      </c>
      <c r="C5818" s="34">
        <v>0.0</v>
      </c>
      <c r="D5818" s="36">
        <v>45371.0</v>
      </c>
      <c r="E5818" s="24"/>
      <c r="F5818" s="14">
        <v>0.0</v>
      </c>
      <c r="G5818" s="14" t="s">
        <v>6012</v>
      </c>
      <c r="H5818" s="14" t="s">
        <v>6012</v>
      </c>
      <c r="I5818" s="14" t="s">
        <v>6070</v>
      </c>
      <c r="J5818" s="14">
        <v>0.0</v>
      </c>
      <c r="K5818" s="14" t="s">
        <v>6012</v>
      </c>
      <c r="L5818" s="14">
        <v>0.0</v>
      </c>
    </row>
    <row r="5819">
      <c r="A5819" s="14">
        <v>152.0</v>
      </c>
      <c r="B5819" s="14">
        <v>87.0</v>
      </c>
      <c r="C5819" s="34">
        <v>115.41</v>
      </c>
      <c r="D5819" s="36">
        <v>45371.0</v>
      </c>
      <c r="E5819" s="24"/>
      <c r="F5819" s="14">
        <v>1.33</v>
      </c>
      <c r="G5819" s="14">
        <v>759.28</v>
      </c>
      <c r="H5819" s="14">
        <v>57.24</v>
      </c>
      <c r="I5819" s="14" t="s">
        <v>6067</v>
      </c>
      <c r="J5819" s="14">
        <v>2.3</v>
      </c>
      <c r="K5819" s="14">
        <v>57.7</v>
      </c>
      <c r="L5819" s="14">
        <v>1.0</v>
      </c>
    </row>
    <row r="5820">
      <c r="A5820" s="14">
        <v>156.0</v>
      </c>
      <c r="B5820" s="14">
        <v>103.0</v>
      </c>
      <c r="C5820" s="34">
        <v>115.42</v>
      </c>
      <c r="D5820" s="36">
        <v>45371.0</v>
      </c>
      <c r="E5820" s="24"/>
      <c r="F5820" s="14">
        <v>1.12</v>
      </c>
      <c r="G5820" s="14">
        <v>739.87</v>
      </c>
      <c r="H5820" s="14">
        <v>66.03</v>
      </c>
      <c r="I5820" s="14" t="s">
        <v>6069</v>
      </c>
      <c r="J5820" s="14">
        <v>0.0</v>
      </c>
      <c r="K5820" s="14" t="s">
        <v>6012</v>
      </c>
      <c r="L5820" s="14">
        <v>1.0</v>
      </c>
    </row>
    <row r="5821">
      <c r="A5821" s="14">
        <v>139.0</v>
      </c>
      <c r="B5821" s="14">
        <v>72.0</v>
      </c>
      <c r="C5821" s="34">
        <v>93.94</v>
      </c>
      <c r="D5821" s="36">
        <v>45371.0</v>
      </c>
      <c r="E5821" s="24"/>
      <c r="F5821" s="14">
        <v>1.3</v>
      </c>
      <c r="G5821" s="14">
        <v>675.83</v>
      </c>
      <c r="H5821" s="14">
        <v>51.8</v>
      </c>
      <c r="I5821" s="14" t="s">
        <v>6071</v>
      </c>
      <c r="J5821" s="14">
        <v>4.17</v>
      </c>
      <c r="K5821" s="14">
        <v>31.31</v>
      </c>
      <c r="L5821" s="14">
        <v>2.0</v>
      </c>
    </row>
    <row r="5822">
      <c r="A5822" s="14">
        <v>26.0</v>
      </c>
      <c r="B5822" s="14">
        <v>14.0</v>
      </c>
      <c r="C5822" s="34">
        <v>18.75</v>
      </c>
      <c r="D5822" s="36">
        <v>45371.0</v>
      </c>
      <c r="E5822" s="24"/>
      <c r="F5822" s="14">
        <v>1.34</v>
      </c>
      <c r="G5822" s="14">
        <v>721.15</v>
      </c>
      <c r="H5822" s="14">
        <v>53.85</v>
      </c>
      <c r="I5822" s="14" t="s">
        <v>6068</v>
      </c>
      <c r="J5822" s="14">
        <v>0.0</v>
      </c>
      <c r="K5822" s="14" t="s">
        <v>6012</v>
      </c>
      <c r="L5822" s="14">
        <v>1.0</v>
      </c>
    </row>
    <row r="5823">
      <c r="A5823" s="14">
        <v>188.0</v>
      </c>
      <c r="B5823" s="14">
        <v>101.0</v>
      </c>
      <c r="C5823" s="34">
        <v>144.6</v>
      </c>
      <c r="D5823" s="36">
        <v>45371.0</v>
      </c>
      <c r="E5823" s="24"/>
      <c r="F5823" s="14">
        <v>1.43</v>
      </c>
      <c r="G5823" s="14">
        <v>769.15</v>
      </c>
      <c r="H5823" s="14">
        <v>53.72</v>
      </c>
      <c r="I5823" s="14" t="s">
        <v>6072</v>
      </c>
      <c r="J5823" s="14">
        <v>0.0</v>
      </c>
      <c r="K5823" s="14" t="s">
        <v>6012</v>
      </c>
      <c r="L5823" s="14">
        <v>0.0</v>
      </c>
    </row>
    <row r="5824">
      <c r="A5824" s="14">
        <v>27.0</v>
      </c>
      <c r="B5824" s="14">
        <v>5.0</v>
      </c>
      <c r="C5824" s="34">
        <v>19.8</v>
      </c>
      <c r="D5824" s="36">
        <v>45372.0</v>
      </c>
      <c r="E5824" s="24"/>
      <c r="F5824" s="14">
        <v>3.96</v>
      </c>
      <c r="G5824" s="14">
        <v>733.33</v>
      </c>
      <c r="H5824" s="14">
        <v>18.52</v>
      </c>
      <c r="I5824" s="14" t="s">
        <v>6068</v>
      </c>
      <c r="J5824" s="14">
        <v>0.0</v>
      </c>
      <c r="K5824" s="14" t="s">
        <v>6012</v>
      </c>
      <c r="L5824" s="14">
        <v>1.0</v>
      </c>
    </row>
    <row r="5825">
      <c r="A5825" s="14">
        <v>166.0</v>
      </c>
      <c r="B5825" s="14">
        <v>85.0</v>
      </c>
      <c r="C5825" s="34">
        <v>110.74</v>
      </c>
      <c r="D5825" s="36">
        <v>45372.0</v>
      </c>
      <c r="E5825" s="24"/>
      <c r="F5825" s="14">
        <v>1.3</v>
      </c>
      <c r="G5825" s="14">
        <v>667.11</v>
      </c>
      <c r="H5825" s="14">
        <v>51.2</v>
      </c>
      <c r="I5825" s="14" t="s">
        <v>6067</v>
      </c>
      <c r="J5825" s="14">
        <v>0.0</v>
      </c>
      <c r="K5825" s="14" t="s">
        <v>6012</v>
      </c>
      <c r="L5825" s="14">
        <v>1.0</v>
      </c>
    </row>
    <row r="5826">
      <c r="A5826" s="14">
        <v>0.0</v>
      </c>
      <c r="B5826" s="14">
        <v>1.0</v>
      </c>
      <c r="C5826" s="34">
        <v>0.0</v>
      </c>
      <c r="D5826" s="36">
        <v>45372.0</v>
      </c>
      <c r="E5826" s="24"/>
      <c r="F5826" s="14">
        <v>0.0</v>
      </c>
      <c r="G5826" s="14" t="s">
        <v>6012</v>
      </c>
      <c r="H5826" s="14" t="s">
        <v>6012</v>
      </c>
      <c r="I5826" s="14" t="s">
        <v>6070</v>
      </c>
      <c r="J5826" s="14">
        <v>0.0</v>
      </c>
      <c r="K5826" s="14" t="s">
        <v>6012</v>
      </c>
      <c r="L5826" s="14">
        <v>0.0</v>
      </c>
    </row>
    <row r="5827">
      <c r="A5827" s="14">
        <v>140.0</v>
      </c>
      <c r="B5827" s="14">
        <v>92.0</v>
      </c>
      <c r="C5827" s="34">
        <v>110.27</v>
      </c>
      <c r="D5827" s="36">
        <v>45372.0</v>
      </c>
      <c r="E5827" s="24"/>
      <c r="F5827" s="14">
        <v>1.2</v>
      </c>
      <c r="G5827" s="14">
        <v>787.64</v>
      </c>
      <c r="H5827" s="14">
        <v>65.71</v>
      </c>
      <c r="I5827" s="14" t="s">
        <v>6072</v>
      </c>
      <c r="J5827" s="14">
        <v>1.09</v>
      </c>
      <c r="K5827" s="14">
        <v>110.27</v>
      </c>
      <c r="L5827" s="14">
        <v>1.0</v>
      </c>
    </row>
    <row r="5828">
      <c r="A5828" s="14">
        <v>118.0</v>
      </c>
      <c r="B5828" s="14">
        <v>70.0</v>
      </c>
      <c r="C5828" s="34">
        <v>84.54</v>
      </c>
      <c r="D5828" s="36">
        <v>45372.0</v>
      </c>
      <c r="E5828" s="24"/>
      <c r="F5828" s="14">
        <v>1.21</v>
      </c>
      <c r="G5828" s="14">
        <v>716.44</v>
      </c>
      <c r="H5828" s="14">
        <v>59.32</v>
      </c>
      <c r="I5828" s="14" t="s">
        <v>6071</v>
      </c>
      <c r="J5828" s="14">
        <v>1.43</v>
      </c>
      <c r="K5828" s="14">
        <v>84.54</v>
      </c>
      <c r="L5828" s="14">
        <v>1.0</v>
      </c>
    </row>
    <row r="5829">
      <c r="A5829" s="14">
        <v>146.0</v>
      </c>
      <c r="B5829" s="14">
        <v>105.0</v>
      </c>
      <c r="C5829" s="34">
        <v>113.05</v>
      </c>
      <c r="D5829" s="36">
        <v>45372.0</v>
      </c>
      <c r="E5829" s="24"/>
      <c r="F5829" s="14">
        <v>1.08</v>
      </c>
      <c r="G5829" s="14">
        <v>774.32</v>
      </c>
      <c r="H5829" s="14">
        <v>71.92</v>
      </c>
      <c r="I5829" s="14" t="s">
        <v>6069</v>
      </c>
      <c r="J5829" s="14">
        <v>0.0</v>
      </c>
      <c r="K5829" s="14" t="s">
        <v>6012</v>
      </c>
      <c r="L5829" s="14">
        <v>1.0</v>
      </c>
    </row>
    <row r="5830">
      <c r="A5830" s="14">
        <v>133.0</v>
      </c>
      <c r="B5830" s="14">
        <v>77.0</v>
      </c>
      <c r="C5830" s="34">
        <v>101.4</v>
      </c>
      <c r="D5830" s="36">
        <v>45373.0</v>
      </c>
      <c r="E5830" s="24"/>
      <c r="F5830" s="14">
        <v>1.32</v>
      </c>
      <c r="G5830" s="14">
        <v>762.41</v>
      </c>
      <c r="H5830" s="14">
        <v>57.89</v>
      </c>
      <c r="I5830" s="14" t="s">
        <v>6072</v>
      </c>
      <c r="J5830" s="14">
        <v>0.0</v>
      </c>
      <c r="K5830" s="14" t="s">
        <v>6012</v>
      </c>
      <c r="L5830" s="14">
        <v>0.0</v>
      </c>
    </row>
    <row r="5831">
      <c r="A5831" s="14">
        <v>26.0</v>
      </c>
      <c r="B5831" s="14">
        <v>11.0</v>
      </c>
      <c r="C5831" s="34">
        <v>18.95</v>
      </c>
      <c r="D5831" s="36">
        <v>45373.0</v>
      </c>
      <c r="E5831" s="24"/>
      <c r="F5831" s="14">
        <v>1.72</v>
      </c>
      <c r="G5831" s="14">
        <v>728.85</v>
      </c>
      <c r="H5831" s="14">
        <v>42.31</v>
      </c>
      <c r="I5831" s="14" t="s">
        <v>6068</v>
      </c>
      <c r="J5831" s="14">
        <v>0.0</v>
      </c>
      <c r="K5831" s="14" t="s">
        <v>6012</v>
      </c>
      <c r="L5831" s="14">
        <v>0.0</v>
      </c>
    </row>
    <row r="5832">
      <c r="A5832" s="14">
        <v>150.0</v>
      </c>
      <c r="B5832" s="14">
        <v>88.0</v>
      </c>
      <c r="C5832" s="34">
        <v>108.79</v>
      </c>
      <c r="D5832" s="36">
        <v>45373.0</v>
      </c>
      <c r="E5832" s="24"/>
      <c r="F5832" s="14">
        <v>1.24</v>
      </c>
      <c r="G5832" s="14">
        <v>725.27</v>
      </c>
      <c r="H5832" s="14">
        <v>58.67</v>
      </c>
      <c r="I5832" s="14" t="s">
        <v>6069</v>
      </c>
      <c r="J5832" s="14">
        <v>2.27</v>
      </c>
      <c r="K5832" s="14">
        <v>54.4</v>
      </c>
      <c r="L5832" s="14">
        <v>1.0</v>
      </c>
    </row>
    <row r="5833">
      <c r="A5833" s="14">
        <v>136.0</v>
      </c>
      <c r="B5833" s="14">
        <v>83.0</v>
      </c>
      <c r="C5833" s="34">
        <v>95.5</v>
      </c>
      <c r="D5833" s="36">
        <v>45373.0</v>
      </c>
      <c r="E5833" s="24"/>
      <c r="F5833" s="14">
        <v>1.15</v>
      </c>
      <c r="G5833" s="14">
        <v>702.21</v>
      </c>
      <c r="H5833" s="14">
        <v>61.03</v>
      </c>
      <c r="I5833" s="14" t="s">
        <v>6067</v>
      </c>
      <c r="J5833" s="14">
        <v>1.2</v>
      </c>
      <c r="K5833" s="14">
        <v>95.5</v>
      </c>
      <c r="L5833" s="14">
        <v>3.0</v>
      </c>
    </row>
    <row r="5834">
      <c r="A5834" s="14">
        <v>0.0</v>
      </c>
      <c r="B5834" s="14">
        <v>1.0</v>
      </c>
      <c r="C5834" s="34">
        <v>0.0</v>
      </c>
      <c r="D5834" s="36">
        <v>45373.0</v>
      </c>
      <c r="E5834" s="24"/>
      <c r="F5834" s="14">
        <v>0.0</v>
      </c>
      <c r="G5834" s="14" t="s">
        <v>6012</v>
      </c>
      <c r="H5834" s="14" t="s">
        <v>6012</v>
      </c>
      <c r="I5834" s="14" t="s">
        <v>6070</v>
      </c>
      <c r="J5834" s="14">
        <v>0.0</v>
      </c>
      <c r="K5834" s="14" t="s">
        <v>6012</v>
      </c>
      <c r="L5834" s="14">
        <v>0.0</v>
      </c>
    </row>
    <row r="5835">
      <c r="A5835" s="14">
        <v>88.0</v>
      </c>
      <c r="B5835" s="14">
        <v>58.0</v>
      </c>
      <c r="C5835" s="34">
        <v>62.75</v>
      </c>
      <c r="D5835" s="36">
        <v>45373.0</v>
      </c>
      <c r="E5835" s="24"/>
      <c r="F5835" s="14">
        <v>1.08</v>
      </c>
      <c r="G5835" s="14">
        <v>713.07</v>
      </c>
      <c r="H5835" s="14">
        <v>65.91</v>
      </c>
      <c r="I5835" s="14" t="s">
        <v>6071</v>
      </c>
      <c r="J5835" s="14">
        <v>0.0</v>
      </c>
      <c r="K5835" s="14" t="s">
        <v>6012</v>
      </c>
      <c r="L5835" s="14">
        <v>3.0</v>
      </c>
    </row>
    <row r="5836">
      <c r="A5836" s="14">
        <v>64.0</v>
      </c>
      <c r="B5836" s="14">
        <v>28.0</v>
      </c>
      <c r="C5836" s="34">
        <v>40.96</v>
      </c>
      <c r="D5836" s="36">
        <v>45374.0</v>
      </c>
      <c r="E5836" s="24"/>
      <c r="F5836" s="14">
        <v>1.46</v>
      </c>
      <c r="G5836" s="14">
        <v>640.0</v>
      </c>
      <c r="H5836" s="14">
        <v>43.75</v>
      </c>
      <c r="I5836" s="14" t="s">
        <v>6071</v>
      </c>
      <c r="J5836" s="14">
        <v>3.57</v>
      </c>
      <c r="K5836" s="14">
        <v>40.96</v>
      </c>
      <c r="L5836" s="14">
        <v>4.0</v>
      </c>
    </row>
    <row r="5837">
      <c r="A5837" s="14">
        <v>140.0</v>
      </c>
      <c r="B5837" s="14">
        <v>62.0</v>
      </c>
      <c r="C5837" s="34">
        <v>102.5</v>
      </c>
      <c r="D5837" s="36">
        <v>45374.0</v>
      </c>
      <c r="E5837" s="24"/>
      <c r="F5837" s="14">
        <v>1.65</v>
      </c>
      <c r="G5837" s="14">
        <v>732.14</v>
      </c>
      <c r="H5837" s="14">
        <v>44.29</v>
      </c>
      <c r="I5837" s="14" t="s">
        <v>6072</v>
      </c>
      <c r="J5837" s="14">
        <v>0.0</v>
      </c>
      <c r="K5837" s="14" t="s">
        <v>6012</v>
      </c>
      <c r="L5837" s="14">
        <v>2.0</v>
      </c>
    </row>
    <row r="5838">
      <c r="A5838" s="14">
        <v>111.0</v>
      </c>
      <c r="B5838" s="14">
        <v>62.0</v>
      </c>
      <c r="C5838" s="34">
        <v>77.1</v>
      </c>
      <c r="D5838" s="36">
        <v>45374.0</v>
      </c>
      <c r="E5838" s="24"/>
      <c r="F5838" s="14">
        <v>1.24</v>
      </c>
      <c r="G5838" s="14">
        <v>694.59</v>
      </c>
      <c r="H5838" s="14">
        <v>55.86</v>
      </c>
      <c r="I5838" s="14" t="s">
        <v>6069</v>
      </c>
      <c r="J5838" s="14">
        <v>1.61</v>
      </c>
      <c r="K5838" s="14">
        <v>77.1</v>
      </c>
      <c r="L5838" s="14">
        <v>1.0</v>
      </c>
    </row>
    <row r="5839">
      <c r="A5839" s="14">
        <v>19.0</v>
      </c>
      <c r="B5839" s="14">
        <v>5.0</v>
      </c>
      <c r="C5839" s="34">
        <v>12.88</v>
      </c>
      <c r="D5839" s="36">
        <v>45374.0</v>
      </c>
      <c r="E5839" s="24"/>
      <c r="F5839" s="14">
        <v>2.58</v>
      </c>
      <c r="G5839" s="14">
        <v>677.89</v>
      </c>
      <c r="H5839" s="14">
        <v>26.32</v>
      </c>
      <c r="I5839" s="14" t="s">
        <v>6068</v>
      </c>
      <c r="J5839" s="14">
        <v>20.0</v>
      </c>
      <c r="K5839" s="14">
        <v>12.88</v>
      </c>
      <c r="L5839" s="14">
        <v>0.0</v>
      </c>
    </row>
    <row r="5840">
      <c r="A5840" s="14">
        <v>0.0</v>
      </c>
      <c r="B5840" s="14">
        <v>2.0</v>
      </c>
      <c r="C5840" s="34">
        <v>0.0</v>
      </c>
      <c r="D5840" s="36">
        <v>45374.0</v>
      </c>
      <c r="E5840" s="24"/>
      <c r="F5840" s="14">
        <v>0.0</v>
      </c>
      <c r="G5840" s="14" t="s">
        <v>6012</v>
      </c>
      <c r="H5840" s="14" t="s">
        <v>6012</v>
      </c>
      <c r="I5840" s="14" t="s">
        <v>6070</v>
      </c>
      <c r="J5840" s="14">
        <v>0.0</v>
      </c>
      <c r="K5840" s="14" t="s">
        <v>6012</v>
      </c>
      <c r="L5840" s="14">
        <v>0.0</v>
      </c>
    </row>
    <row r="5841">
      <c r="A5841" s="14">
        <v>119.0</v>
      </c>
      <c r="B5841" s="14">
        <v>48.0</v>
      </c>
      <c r="C5841" s="34">
        <v>82.56</v>
      </c>
      <c r="D5841" s="36">
        <v>45374.0</v>
      </c>
      <c r="E5841" s="24"/>
      <c r="F5841" s="14">
        <v>1.72</v>
      </c>
      <c r="G5841" s="14">
        <v>693.78</v>
      </c>
      <c r="H5841" s="14">
        <v>40.34</v>
      </c>
      <c r="I5841" s="14" t="s">
        <v>6067</v>
      </c>
      <c r="J5841" s="14">
        <v>0.0</v>
      </c>
      <c r="K5841" s="14" t="s">
        <v>6012</v>
      </c>
      <c r="L5841" s="14">
        <v>2.0</v>
      </c>
    </row>
    <row r="5842">
      <c r="A5842" s="14">
        <v>106.0</v>
      </c>
      <c r="B5842" s="14">
        <v>55.0</v>
      </c>
      <c r="C5842" s="34">
        <v>66.74</v>
      </c>
      <c r="D5842" s="36">
        <v>45375.0</v>
      </c>
      <c r="E5842" s="24"/>
      <c r="F5842" s="14">
        <v>1.21</v>
      </c>
      <c r="G5842" s="14">
        <v>629.62</v>
      </c>
      <c r="H5842" s="14">
        <v>51.89</v>
      </c>
      <c r="I5842" s="14" t="s">
        <v>6069</v>
      </c>
      <c r="J5842" s="14">
        <v>0.0</v>
      </c>
      <c r="K5842" s="14" t="s">
        <v>6012</v>
      </c>
      <c r="L5842" s="14">
        <v>1.0</v>
      </c>
    </row>
    <row r="5843">
      <c r="A5843" s="14">
        <v>86.0</v>
      </c>
      <c r="B5843" s="14">
        <v>36.0</v>
      </c>
      <c r="C5843" s="34">
        <v>57.02</v>
      </c>
      <c r="D5843" s="36">
        <v>45375.0</v>
      </c>
      <c r="E5843" s="24"/>
      <c r="F5843" s="14">
        <v>1.58</v>
      </c>
      <c r="G5843" s="14">
        <v>663.02</v>
      </c>
      <c r="H5843" s="14">
        <v>41.86</v>
      </c>
      <c r="I5843" s="14" t="s">
        <v>6071</v>
      </c>
      <c r="J5843" s="14">
        <v>2.78</v>
      </c>
      <c r="K5843" s="14">
        <v>57.02</v>
      </c>
      <c r="L5843" s="14">
        <v>1.0</v>
      </c>
    </row>
    <row r="5844">
      <c r="A5844" s="14">
        <v>51.0</v>
      </c>
      <c r="B5844" s="14">
        <v>36.0</v>
      </c>
      <c r="C5844" s="34">
        <v>21.91</v>
      </c>
      <c r="D5844" s="36">
        <v>45375.0</v>
      </c>
      <c r="E5844" s="24"/>
      <c r="F5844" s="14">
        <v>0.61</v>
      </c>
      <c r="G5844" s="14">
        <v>429.61</v>
      </c>
      <c r="H5844" s="14">
        <v>70.59</v>
      </c>
      <c r="I5844" s="14" t="s">
        <v>6072</v>
      </c>
      <c r="J5844" s="14">
        <v>0.0</v>
      </c>
      <c r="K5844" s="14" t="s">
        <v>6012</v>
      </c>
      <c r="L5844" s="14">
        <v>0.0</v>
      </c>
    </row>
    <row r="5845">
      <c r="A5845" s="14">
        <v>18.0</v>
      </c>
      <c r="B5845" s="14">
        <v>5.0</v>
      </c>
      <c r="C5845" s="34">
        <v>10.29</v>
      </c>
      <c r="D5845" s="36">
        <v>45375.0</v>
      </c>
      <c r="E5845" s="24"/>
      <c r="F5845" s="14">
        <v>2.06</v>
      </c>
      <c r="G5845" s="14">
        <v>571.67</v>
      </c>
      <c r="H5845" s="14">
        <v>27.78</v>
      </c>
      <c r="I5845" s="14" t="s">
        <v>6068</v>
      </c>
      <c r="J5845" s="14">
        <v>0.0</v>
      </c>
      <c r="K5845" s="14" t="s">
        <v>6012</v>
      </c>
      <c r="L5845" s="14">
        <v>0.0</v>
      </c>
    </row>
    <row r="5846">
      <c r="A5846" s="14">
        <v>0.0</v>
      </c>
      <c r="B5846" s="14">
        <v>1.0</v>
      </c>
      <c r="C5846" s="34">
        <v>0.0</v>
      </c>
      <c r="D5846" s="36">
        <v>45375.0</v>
      </c>
      <c r="E5846" s="24"/>
      <c r="F5846" s="14">
        <v>0.0</v>
      </c>
      <c r="G5846" s="14" t="s">
        <v>6012</v>
      </c>
      <c r="H5846" s="14" t="s">
        <v>6012</v>
      </c>
      <c r="I5846" s="14" t="s">
        <v>6070</v>
      </c>
      <c r="J5846" s="14">
        <v>0.0</v>
      </c>
      <c r="K5846" s="14" t="s">
        <v>6012</v>
      </c>
      <c r="L5846" s="14">
        <v>0.0</v>
      </c>
    </row>
    <row r="5847">
      <c r="A5847" s="14">
        <v>105.0</v>
      </c>
      <c r="B5847" s="14">
        <v>58.0</v>
      </c>
      <c r="C5847" s="34">
        <v>74.88</v>
      </c>
      <c r="D5847" s="36">
        <v>45375.0</v>
      </c>
      <c r="E5847" s="24"/>
      <c r="F5847" s="14">
        <v>1.29</v>
      </c>
      <c r="G5847" s="14">
        <v>713.14</v>
      </c>
      <c r="H5847" s="14">
        <v>55.24</v>
      </c>
      <c r="I5847" s="14" t="s">
        <v>6067</v>
      </c>
      <c r="J5847" s="14">
        <v>0.0</v>
      </c>
      <c r="K5847" s="14" t="s">
        <v>6012</v>
      </c>
      <c r="L5847" s="14">
        <v>1.0</v>
      </c>
    </row>
    <row r="5848">
      <c r="A5848" s="14">
        <v>27.0</v>
      </c>
      <c r="B5848" s="14">
        <v>12.0</v>
      </c>
      <c r="C5848" s="34">
        <v>17.27</v>
      </c>
      <c r="D5848" s="36">
        <v>45376.0</v>
      </c>
      <c r="E5848" s="24"/>
      <c r="F5848" s="14">
        <v>1.44</v>
      </c>
      <c r="G5848" s="14">
        <v>639.63</v>
      </c>
      <c r="H5848" s="14">
        <v>44.44</v>
      </c>
      <c r="I5848" s="14" t="s">
        <v>6068</v>
      </c>
      <c r="J5848" s="14">
        <v>0.0</v>
      </c>
      <c r="K5848" s="14" t="s">
        <v>6012</v>
      </c>
      <c r="L5848" s="14">
        <v>0.0</v>
      </c>
    </row>
    <row r="5849">
      <c r="A5849" s="14">
        <v>191.0</v>
      </c>
      <c r="B5849" s="14">
        <v>112.0</v>
      </c>
      <c r="C5849" s="34">
        <v>132.08</v>
      </c>
      <c r="D5849" s="36">
        <v>45376.0</v>
      </c>
      <c r="E5849" s="24"/>
      <c r="F5849" s="14">
        <v>1.18</v>
      </c>
      <c r="G5849" s="14">
        <v>691.52</v>
      </c>
      <c r="H5849" s="14">
        <v>58.64</v>
      </c>
      <c r="I5849" s="14" t="s">
        <v>6072</v>
      </c>
      <c r="J5849" s="14">
        <v>0.0</v>
      </c>
      <c r="K5849" s="14" t="s">
        <v>6012</v>
      </c>
      <c r="L5849" s="14">
        <v>0.0</v>
      </c>
    </row>
    <row r="5850">
      <c r="A5850" s="14">
        <v>115.0</v>
      </c>
      <c r="B5850" s="14">
        <v>66.0</v>
      </c>
      <c r="C5850" s="34">
        <v>79.78</v>
      </c>
      <c r="D5850" s="36">
        <v>45376.0</v>
      </c>
      <c r="E5850" s="24"/>
      <c r="F5850" s="14">
        <v>1.21</v>
      </c>
      <c r="G5850" s="14">
        <v>693.74</v>
      </c>
      <c r="H5850" s="14">
        <v>57.39</v>
      </c>
      <c r="I5850" s="14" t="s">
        <v>6071</v>
      </c>
      <c r="J5850" s="14">
        <v>1.52</v>
      </c>
      <c r="K5850" s="14">
        <v>79.78</v>
      </c>
      <c r="L5850" s="14">
        <v>2.0</v>
      </c>
    </row>
    <row r="5851">
      <c r="A5851" s="14">
        <v>0.0</v>
      </c>
      <c r="B5851" s="14">
        <v>2.0</v>
      </c>
      <c r="C5851" s="34">
        <v>0.0</v>
      </c>
      <c r="D5851" s="36">
        <v>45376.0</v>
      </c>
      <c r="E5851" s="24"/>
      <c r="F5851" s="14">
        <v>0.0</v>
      </c>
      <c r="G5851" s="14" t="s">
        <v>6012</v>
      </c>
      <c r="H5851" s="14" t="s">
        <v>6012</v>
      </c>
      <c r="I5851" s="14" t="s">
        <v>6070</v>
      </c>
      <c r="J5851" s="14">
        <v>0.0</v>
      </c>
      <c r="K5851" s="14" t="s">
        <v>6012</v>
      </c>
      <c r="L5851" s="14">
        <v>0.0</v>
      </c>
    </row>
    <row r="5852">
      <c r="A5852" s="14">
        <v>154.0</v>
      </c>
      <c r="B5852" s="14">
        <v>86.0</v>
      </c>
      <c r="C5852" s="34">
        <v>107.21</v>
      </c>
      <c r="D5852" s="36">
        <v>45376.0</v>
      </c>
      <c r="E5852" s="24"/>
      <c r="F5852" s="14">
        <v>1.25</v>
      </c>
      <c r="G5852" s="14">
        <v>696.17</v>
      </c>
      <c r="H5852" s="14">
        <v>55.84</v>
      </c>
      <c r="I5852" s="14" t="s">
        <v>6069</v>
      </c>
      <c r="J5852" s="14">
        <v>1.16</v>
      </c>
      <c r="K5852" s="14">
        <v>107.21</v>
      </c>
      <c r="L5852" s="14">
        <v>1.0</v>
      </c>
    </row>
    <row r="5853">
      <c r="A5853" s="14">
        <v>158.0</v>
      </c>
      <c r="B5853" s="14">
        <v>96.0</v>
      </c>
      <c r="C5853" s="34">
        <v>116.79</v>
      </c>
      <c r="D5853" s="36">
        <v>45376.0</v>
      </c>
      <c r="E5853" s="24"/>
      <c r="F5853" s="14">
        <v>1.22</v>
      </c>
      <c r="G5853" s="14">
        <v>739.18</v>
      </c>
      <c r="H5853" s="14">
        <v>60.76</v>
      </c>
      <c r="I5853" s="14" t="s">
        <v>6067</v>
      </c>
      <c r="J5853" s="14">
        <v>0.0</v>
      </c>
      <c r="K5853" s="14" t="s">
        <v>6012</v>
      </c>
      <c r="L5853" s="14">
        <v>2.0</v>
      </c>
    </row>
    <row r="5854">
      <c r="A5854" s="14">
        <v>0.0</v>
      </c>
      <c r="B5854" s="14">
        <v>2.0</v>
      </c>
      <c r="C5854" s="34">
        <v>0.0</v>
      </c>
      <c r="D5854" s="36">
        <v>45377.0</v>
      </c>
      <c r="E5854" s="24"/>
      <c r="F5854" s="14">
        <v>0.0</v>
      </c>
      <c r="G5854" s="14" t="s">
        <v>6012</v>
      </c>
      <c r="H5854" s="14" t="s">
        <v>6012</v>
      </c>
      <c r="I5854" s="14" t="s">
        <v>6070</v>
      </c>
      <c r="J5854" s="14">
        <v>0.0</v>
      </c>
      <c r="K5854" s="14" t="s">
        <v>6012</v>
      </c>
      <c r="L5854" s="14">
        <v>0.0</v>
      </c>
    </row>
    <row r="5855">
      <c r="A5855" s="14">
        <v>194.0</v>
      </c>
      <c r="B5855" s="14">
        <v>120.0</v>
      </c>
      <c r="C5855" s="34">
        <v>150.0</v>
      </c>
      <c r="D5855" s="36">
        <v>45377.0</v>
      </c>
      <c r="E5855" s="24"/>
      <c r="F5855" s="14">
        <v>1.25</v>
      </c>
      <c r="G5855" s="14">
        <v>773.2</v>
      </c>
      <c r="H5855" s="14">
        <v>61.86</v>
      </c>
      <c r="I5855" s="14" t="s">
        <v>6072</v>
      </c>
      <c r="J5855" s="14">
        <v>0.0</v>
      </c>
      <c r="K5855" s="14" t="s">
        <v>6012</v>
      </c>
      <c r="L5855" s="14">
        <v>0.0</v>
      </c>
    </row>
    <row r="5856">
      <c r="A5856" s="14">
        <v>117.0</v>
      </c>
      <c r="B5856" s="14">
        <v>85.0</v>
      </c>
      <c r="C5856" s="34">
        <v>76.62</v>
      </c>
      <c r="D5856" s="36">
        <v>45377.0</v>
      </c>
      <c r="E5856" s="24"/>
      <c r="F5856" s="14">
        <v>0.9</v>
      </c>
      <c r="G5856" s="14">
        <v>654.87</v>
      </c>
      <c r="H5856" s="14">
        <v>72.65</v>
      </c>
      <c r="I5856" s="14" t="s">
        <v>6071</v>
      </c>
      <c r="J5856" s="14">
        <v>2.35</v>
      </c>
      <c r="K5856" s="14">
        <v>38.31</v>
      </c>
      <c r="L5856" s="14">
        <v>4.0</v>
      </c>
    </row>
    <row r="5857">
      <c r="A5857" s="14">
        <v>158.0</v>
      </c>
      <c r="B5857" s="14">
        <v>87.0</v>
      </c>
      <c r="C5857" s="34">
        <v>109.5</v>
      </c>
      <c r="D5857" s="36">
        <v>45377.0</v>
      </c>
      <c r="E5857" s="24"/>
      <c r="F5857" s="14">
        <v>1.26</v>
      </c>
      <c r="G5857" s="14">
        <v>693.04</v>
      </c>
      <c r="H5857" s="14">
        <v>55.06</v>
      </c>
      <c r="I5857" s="14" t="s">
        <v>6067</v>
      </c>
      <c r="J5857" s="14">
        <v>0.0</v>
      </c>
      <c r="K5857" s="14" t="s">
        <v>6012</v>
      </c>
      <c r="L5857" s="14">
        <v>3.0</v>
      </c>
    </row>
    <row r="5858">
      <c r="A5858" s="14">
        <v>160.0</v>
      </c>
      <c r="B5858" s="14">
        <v>89.0</v>
      </c>
      <c r="C5858" s="34">
        <v>117.09</v>
      </c>
      <c r="D5858" s="36">
        <v>45377.0</v>
      </c>
      <c r="E5858" s="24"/>
      <c r="F5858" s="14">
        <v>1.32</v>
      </c>
      <c r="G5858" s="14">
        <v>731.81</v>
      </c>
      <c r="H5858" s="14">
        <v>55.62</v>
      </c>
      <c r="I5858" s="14" t="s">
        <v>6069</v>
      </c>
      <c r="J5858" s="14">
        <v>0.0</v>
      </c>
      <c r="K5858" s="14" t="s">
        <v>6012</v>
      </c>
      <c r="L5858" s="14">
        <v>0.0</v>
      </c>
    </row>
    <row r="5859">
      <c r="A5859" s="14">
        <v>19.0</v>
      </c>
      <c r="B5859" s="14">
        <v>7.0</v>
      </c>
      <c r="C5859" s="34">
        <v>15.49</v>
      </c>
      <c r="D5859" s="36">
        <v>45377.0</v>
      </c>
      <c r="E5859" s="24"/>
      <c r="F5859" s="14">
        <v>2.21</v>
      </c>
      <c r="G5859" s="14">
        <v>815.26</v>
      </c>
      <c r="H5859" s="14">
        <v>36.84</v>
      </c>
      <c r="I5859" s="14" t="s">
        <v>6068</v>
      </c>
      <c r="J5859" s="14">
        <v>0.0</v>
      </c>
      <c r="K5859" s="14" t="s">
        <v>6012</v>
      </c>
      <c r="L5859" s="14">
        <v>0.0</v>
      </c>
    </row>
    <row r="5860">
      <c r="A5860" s="14">
        <v>168.0</v>
      </c>
      <c r="B5860" s="14">
        <v>86.0</v>
      </c>
      <c r="C5860" s="34">
        <v>114.83</v>
      </c>
      <c r="D5860" s="36">
        <v>45378.0</v>
      </c>
      <c r="E5860" s="24"/>
      <c r="F5860" s="14">
        <v>1.34</v>
      </c>
      <c r="G5860" s="14">
        <v>683.51</v>
      </c>
      <c r="H5860" s="14">
        <v>51.19</v>
      </c>
      <c r="I5860" s="14" t="s">
        <v>6067</v>
      </c>
      <c r="J5860" s="14">
        <v>0.0</v>
      </c>
      <c r="K5860" s="14" t="s">
        <v>6012</v>
      </c>
      <c r="L5860" s="14">
        <v>1.0</v>
      </c>
    </row>
    <row r="5861">
      <c r="A5861" s="14">
        <v>147.0</v>
      </c>
      <c r="B5861" s="14">
        <v>102.0</v>
      </c>
      <c r="C5861" s="34">
        <v>108.79</v>
      </c>
      <c r="D5861" s="36">
        <v>45378.0</v>
      </c>
      <c r="E5861" s="24"/>
      <c r="F5861" s="14">
        <v>1.07</v>
      </c>
      <c r="G5861" s="14">
        <v>740.07</v>
      </c>
      <c r="H5861" s="14">
        <v>69.39</v>
      </c>
      <c r="I5861" s="14" t="s">
        <v>6069</v>
      </c>
      <c r="J5861" s="14">
        <v>0.0</v>
      </c>
      <c r="K5861" s="14" t="s">
        <v>6012</v>
      </c>
      <c r="L5861" s="14">
        <v>1.0</v>
      </c>
    </row>
    <row r="5862">
      <c r="A5862" s="14">
        <v>11.0</v>
      </c>
      <c r="B5862" s="14">
        <v>8.0</v>
      </c>
      <c r="C5862" s="34">
        <v>7.53</v>
      </c>
      <c r="D5862" s="36">
        <v>45378.0</v>
      </c>
      <c r="E5862" s="24"/>
      <c r="F5862" s="14">
        <v>0.94</v>
      </c>
      <c r="G5862" s="14">
        <v>684.55</v>
      </c>
      <c r="H5862" s="14">
        <v>72.73</v>
      </c>
      <c r="I5862" s="14" t="s">
        <v>6068</v>
      </c>
      <c r="J5862" s="14">
        <v>0.0</v>
      </c>
      <c r="K5862" s="14" t="s">
        <v>6012</v>
      </c>
      <c r="L5862" s="14">
        <v>0.0</v>
      </c>
    </row>
    <row r="5863">
      <c r="A5863" s="14">
        <v>153.0</v>
      </c>
      <c r="B5863" s="14">
        <v>103.0</v>
      </c>
      <c r="C5863" s="34">
        <v>114.68</v>
      </c>
      <c r="D5863" s="36">
        <v>45378.0</v>
      </c>
      <c r="E5863" s="24"/>
      <c r="F5863" s="14">
        <v>1.11</v>
      </c>
      <c r="G5863" s="14">
        <v>749.54</v>
      </c>
      <c r="H5863" s="14">
        <v>67.32</v>
      </c>
      <c r="I5863" s="14" t="s">
        <v>6072</v>
      </c>
      <c r="J5863" s="14">
        <v>0.0</v>
      </c>
      <c r="K5863" s="14" t="s">
        <v>6012</v>
      </c>
      <c r="L5863" s="14">
        <v>0.0</v>
      </c>
    </row>
    <row r="5864">
      <c r="A5864" s="14">
        <v>78.0</v>
      </c>
      <c r="B5864" s="14">
        <v>60.0</v>
      </c>
      <c r="C5864" s="34">
        <v>54.01</v>
      </c>
      <c r="D5864" s="36">
        <v>45378.0</v>
      </c>
      <c r="E5864" s="24"/>
      <c r="F5864" s="14">
        <v>0.9</v>
      </c>
      <c r="G5864" s="14">
        <v>692.44</v>
      </c>
      <c r="H5864" s="14">
        <v>76.92</v>
      </c>
      <c r="I5864" s="14" t="s">
        <v>6071</v>
      </c>
      <c r="J5864" s="14">
        <v>3.33</v>
      </c>
      <c r="K5864" s="14">
        <v>27.0</v>
      </c>
      <c r="L5864" s="14">
        <v>4.0</v>
      </c>
    </row>
    <row r="5865">
      <c r="A5865" s="14">
        <v>0.0</v>
      </c>
      <c r="B5865" s="14">
        <v>5.0</v>
      </c>
      <c r="C5865" s="34">
        <v>0.0</v>
      </c>
      <c r="D5865" s="36">
        <v>45378.0</v>
      </c>
      <c r="E5865" s="24"/>
      <c r="F5865" s="14">
        <v>0.0</v>
      </c>
      <c r="G5865" s="14" t="s">
        <v>6012</v>
      </c>
      <c r="H5865" s="14" t="s">
        <v>6012</v>
      </c>
      <c r="I5865" s="14" t="s">
        <v>6070</v>
      </c>
      <c r="J5865" s="14">
        <v>0.0</v>
      </c>
      <c r="K5865" s="14" t="s">
        <v>6012</v>
      </c>
      <c r="L5865" s="14">
        <v>0.0</v>
      </c>
    </row>
    <row r="5866">
      <c r="A5866" s="14">
        <v>10.0</v>
      </c>
      <c r="B5866" s="14">
        <v>6.0</v>
      </c>
      <c r="C5866" s="34">
        <v>6.1</v>
      </c>
      <c r="D5866" s="36">
        <v>45379.0</v>
      </c>
      <c r="E5866" s="24"/>
      <c r="F5866" s="14">
        <v>1.02</v>
      </c>
      <c r="G5866" s="14">
        <v>610.0</v>
      </c>
      <c r="H5866" s="14">
        <v>60.0</v>
      </c>
      <c r="I5866" s="14" t="s">
        <v>6068</v>
      </c>
      <c r="J5866" s="14">
        <v>0.0</v>
      </c>
      <c r="K5866" s="14" t="s">
        <v>6012</v>
      </c>
      <c r="L5866" s="14">
        <v>0.0</v>
      </c>
    </row>
    <row r="5867">
      <c r="A5867" s="14">
        <v>137.0</v>
      </c>
      <c r="B5867" s="14">
        <v>83.0</v>
      </c>
      <c r="C5867" s="34">
        <v>105.1</v>
      </c>
      <c r="D5867" s="36">
        <v>45379.0</v>
      </c>
      <c r="E5867" s="24"/>
      <c r="F5867" s="14">
        <v>1.27</v>
      </c>
      <c r="G5867" s="14">
        <v>767.15</v>
      </c>
      <c r="H5867" s="14">
        <v>60.58</v>
      </c>
      <c r="I5867" s="14" t="s">
        <v>6067</v>
      </c>
      <c r="J5867" s="14">
        <v>2.41</v>
      </c>
      <c r="K5867" s="14">
        <v>52.55</v>
      </c>
      <c r="L5867" s="14">
        <v>3.0</v>
      </c>
    </row>
    <row r="5868">
      <c r="A5868" s="14">
        <v>155.0</v>
      </c>
      <c r="B5868" s="14">
        <v>93.0</v>
      </c>
      <c r="C5868" s="34">
        <v>116.2</v>
      </c>
      <c r="D5868" s="36">
        <v>45379.0</v>
      </c>
      <c r="E5868" s="24"/>
      <c r="F5868" s="14">
        <v>1.25</v>
      </c>
      <c r="G5868" s="14">
        <v>749.68</v>
      </c>
      <c r="H5868" s="14">
        <v>60.0</v>
      </c>
      <c r="I5868" s="14" t="s">
        <v>6069</v>
      </c>
      <c r="J5868" s="14">
        <v>1.08</v>
      </c>
      <c r="K5868" s="14">
        <v>116.2</v>
      </c>
      <c r="L5868" s="14">
        <v>0.0</v>
      </c>
    </row>
    <row r="5869">
      <c r="A5869" s="14">
        <v>65.0</v>
      </c>
      <c r="B5869" s="14">
        <v>37.0</v>
      </c>
      <c r="C5869" s="34">
        <v>44.53</v>
      </c>
      <c r="D5869" s="36">
        <v>45379.0</v>
      </c>
      <c r="E5869" s="24"/>
      <c r="F5869" s="14">
        <v>1.2</v>
      </c>
      <c r="G5869" s="14">
        <v>685.08</v>
      </c>
      <c r="H5869" s="14">
        <v>56.92</v>
      </c>
      <c r="I5869" s="14" t="s">
        <v>6071</v>
      </c>
      <c r="J5869" s="14">
        <v>0.0</v>
      </c>
      <c r="K5869" s="14" t="s">
        <v>6012</v>
      </c>
      <c r="L5869" s="14">
        <v>4.0</v>
      </c>
    </row>
    <row r="5870">
      <c r="A5870" s="14">
        <v>167.0</v>
      </c>
      <c r="B5870" s="14">
        <v>93.0</v>
      </c>
      <c r="C5870" s="34">
        <v>137.11</v>
      </c>
      <c r="D5870" s="36">
        <v>45379.0</v>
      </c>
      <c r="E5870" s="24"/>
      <c r="F5870" s="14">
        <v>1.47</v>
      </c>
      <c r="G5870" s="14">
        <v>821.02</v>
      </c>
      <c r="H5870" s="14">
        <v>55.69</v>
      </c>
      <c r="I5870" s="14" t="s">
        <v>6072</v>
      </c>
      <c r="J5870" s="14">
        <v>1.08</v>
      </c>
      <c r="K5870" s="14">
        <v>137.11</v>
      </c>
      <c r="L5870" s="14">
        <v>1.0</v>
      </c>
    </row>
    <row r="5871">
      <c r="A5871" s="14">
        <v>65.0</v>
      </c>
      <c r="B5871" s="14">
        <v>34.0</v>
      </c>
      <c r="C5871" s="34">
        <v>47.05</v>
      </c>
      <c r="D5871" s="36">
        <v>45380.0</v>
      </c>
      <c r="E5871" s="24"/>
      <c r="F5871" s="14">
        <v>1.38</v>
      </c>
      <c r="G5871" s="14">
        <v>723.85</v>
      </c>
      <c r="H5871" s="14">
        <v>52.31</v>
      </c>
      <c r="I5871" s="14" t="s">
        <v>6071</v>
      </c>
      <c r="J5871" s="14">
        <v>8.82</v>
      </c>
      <c r="K5871" s="14">
        <v>15.68</v>
      </c>
      <c r="L5871" s="14">
        <v>2.0</v>
      </c>
    </row>
    <row r="5872">
      <c r="A5872" s="14">
        <v>138.0</v>
      </c>
      <c r="B5872" s="14">
        <v>66.0</v>
      </c>
      <c r="C5872" s="34">
        <v>94.47</v>
      </c>
      <c r="D5872" s="36">
        <v>45380.0</v>
      </c>
      <c r="E5872" s="24"/>
      <c r="F5872" s="14">
        <v>1.43</v>
      </c>
      <c r="G5872" s="14">
        <v>684.57</v>
      </c>
      <c r="H5872" s="14">
        <v>47.83</v>
      </c>
      <c r="I5872" s="14" t="s">
        <v>6067</v>
      </c>
      <c r="J5872" s="14">
        <v>0.0</v>
      </c>
      <c r="K5872" s="14" t="s">
        <v>6012</v>
      </c>
      <c r="L5872" s="14">
        <v>1.0</v>
      </c>
    </row>
    <row r="5873">
      <c r="A5873" s="14">
        <v>94.0</v>
      </c>
      <c r="B5873" s="14">
        <v>58.0</v>
      </c>
      <c r="C5873" s="34">
        <v>76.12</v>
      </c>
      <c r="D5873" s="36">
        <v>45380.0</v>
      </c>
      <c r="E5873" s="24"/>
      <c r="F5873" s="14">
        <v>1.31</v>
      </c>
      <c r="G5873" s="14">
        <v>809.79</v>
      </c>
      <c r="H5873" s="14">
        <v>61.7</v>
      </c>
      <c r="I5873" s="14" t="s">
        <v>6072</v>
      </c>
      <c r="J5873" s="14">
        <v>1.72</v>
      </c>
      <c r="K5873" s="14">
        <v>76.12</v>
      </c>
      <c r="L5873" s="14">
        <v>1.0</v>
      </c>
    </row>
    <row r="5874">
      <c r="A5874" s="14">
        <v>10.0</v>
      </c>
      <c r="B5874" s="14">
        <v>7.0</v>
      </c>
      <c r="C5874" s="34">
        <v>6.4</v>
      </c>
      <c r="D5874" s="36">
        <v>45380.0</v>
      </c>
      <c r="E5874" s="24"/>
      <c r="F5874" s="14">
        <v>0.91</v>
      </c>
      <c r="G5874" s="14">
        <v>640.0</v>
      </c>
      <c r="H5874" s="14">
        <v>70.0</v>
      </c>
      <c r="I5874" s="14" t="s">
        <v>6068</v>
      </c>
      <c r="J5874" s="14">
        <v>14.29</v>
      </c>
      <c r="K5874" s="14">
        <v>6.4</v>
      </c>
      <c r="L5874" s="14">
        <v>0.0</v>
      </c>
    </row>
    <row r="5875">
      <c r="A5875" s="14">
        <v>129.0</v>
      </c>
      <c r="B5875" s="14">
        <v>84.0</v>
      </c>
      <c r="C5875" s="34">
        <v>94.64</v>
      </c>
      <c r="D5875" s="36">
        <v>45380.0</v>
      </c>
      <c r="E5875" s="24"/>
      <c r="F5875" s="14">
        <v>1.13</v>
      </c>
      <c r="G5875" s="14">
        <v>733.64</v>
      </c>
      <c r="H5875" s="14">
        <v>65.12</v>
      </c>
      <c r="I5875" s="14" t="s">
        <v>6069</v>
      </c>
      <c r="J5875" s="14">
        <v>0.0</v>
      </c>
      <c r="K5875" s="14" t="s">
        <v>6012</v>
      </c>
      <c r="L5875" s="14">
        <v>2.0</v>
      </c>
    </row>
    <row r="5876">
      <c r="A5876" s="14">
        <v>52.0</v>
      </c>
      <c r="B5876" s="14">
        <v>18.0</v>
      </c>
      <c r="C5876" s="34">
        <v>34.0</v>
      </c>
      <c r="D5876" s="36">
        <v>45381.0</v>
      </c>
      <c r="E5876" s="24"/>
      <c r="F5876" s="14">
        <v>1.89</v>
      </c>
      <c r="G5876" s="14">
        <v>653.85</v>
      </c>
      <c r="H5876" s="14">
        <v>34.62</v>
      </c>
      <c r="I5876" s="14" t="s">
        <v>6071</v>
      </c>
      <c r="J5876" s="14">
        <v>0.0</v>
      </c>
      <c r="K5876" s="14" t="s">
        <v>6012</v>
      </c>
      <c r="L5876" s="14">
        <v>0.0</v>
      </c>
    </row>
    <row r="5877">
      <c r="A5877" s="14">
        <v>6.0</v>
      </c>
      <c r="B5877" s="14">
        <v>2.0</v>
      </c>
      <c r="C5877" s="34">
        <v>4.55</v>
      </c>
      <c r="D5877" s="36">
        <v>45381.0</v>
      </c>
      <c r="E5877" s="24"/>
      <c r="F5877" s="14">
        <v>2.28</v>
      </c>
      <c r="G5877" s="14">
        <v>758.33</v>
      </c>
      <c r="H5877" s="14">
        <v>33.33</v>
      </c>
      <c r="I5877" s="14" t="s">
        <v>6068</v>
      </c>
      <c r="J5877" s="14">
        <v>0.0</v>
      </c>
      <c r="K5877" s="14" t="s">
        <v>6012</v>
      </c>
      <c r="L5877" s="14">
        <v>0.0</v>
      </c>
    </row>
    <row r="5878">
      <c r="A5878" s="14">
        <v>109.0</v>
      </c>
      <c r="B5878" s="14">
        <v>40.0</v>
      </c>
      <c r="C5878" s="34">
        <v>78.84</v>
      </c>
      <c r="D5878" s="36">
        <v>45381.0</v>
      </c>
      <c r="E5878" s="24"/>
      <c r="F5878" s="14">
        <v>1.97</v>
      </c>
      <c r="G5878" s="14">
        <v>723.3</v>
      </c>
      <c r="H5878" s="14">
        <v>36.7</v>
      </c>
      <c r="I5878" s="14" t="s">
        <v>6067</v>
      </c>
      <c r="J5878" s="14">
        <v>2.5</v>
      </c>
      <c r="K5878" s="14">
        <v>78.84</v>
      </c>
      <c r="L5878" s="14">
        <v>0.0</v>
      </c>
    </row>
    <row r="5879">
      <c r="A5879" s="14">
        <v>83.0</v>
      </c>
      <c r="B5879" s="14">
        <v>52.0</v>
      </c>
      <c r="C5879" s="34">
        <v>65.95</v>
      </c>
      <c r="D5879" s="36">
        <v>45381.0</v>
      </c>
      <c r="E5879" s="24"/>
      <c r="F5879" s="14">
        <v>1.27</v>
      </c>
      <c r="G5879" s="14">
        <v>794.58</v>
      </c>
      <c r="H5879" s="14">
        <v>62.65</v>
      </c>
      <c r="I5879" s="14" t="s">
        <v>6072</v>
      </c>
      <c r="J5879" s="14">
        <v>0.0</v>
      </c>
      <c r="K5879" s="14" t="s">
        <v>6012</v>
      </c>
      <c r="L5879" s="14">
        <v>1.0</v>
      </c>
    </row>
    <row r="5880">
      <c r="A5880" s="14">
        <v>115.0</v>
      </c>
      <c r="B5880" s="14">
        <v>58.0</v>
      </c>
      <c r="C5880" s="34">
        <v>74.57</v>
      </c>
      <c r="D5880" s="36">
        <v>45381.0</v>
      </c>
      <c r="E5880" s="24"/>
      <c r="F5880" s="14">
        <v>1.29</v>
      </c>
      <c r="G5880" s="14">
        <v>648.43</v>
      </c>
      <c r="H5880" s="14">
        <v>50.43</v>
      </c>
      <c r="I5880" s="14" t="s">
        <v>6069</v>
      </c>
      <c r="J5880" s="14">
        <v>0.0</v>
      </c>
      <c r="K5880" s="14" t="s">
        <v>6012</v>
      </c>
      <c r="L5880" s="14">
        <v>1.0</v>
      </c>
    </row>
    <row r="5881">
      <c r="A5881" s="14">
        <v>47.0</v>
      </c>
      <c r="B5881" s="14">
        <v>20.0</v>
      </c>
      <c r="C5881" s="34">
        <v>36.25</v>
      </c>
      <c r="D5881" s="36">
        <v>45382.0</v>
      </c>
      <c r="E5881" s="24"/>
      <c r="F5881" s="14">
        <v>1.81</v>
      </c>
      <c r="G5881" s="14">
        <v>771.28</v>
      </c>
      <c r="H5881" s="14">
        <v>42.55</v>
      </c>
      <c r="I5881" s="14" t="s">
        <v>6071</v>
      </c>
      <c r="J5881" s="14">
        <v>0.0</v>
      </c>
      <c r="K5881" s="14" t="s">
        <v>6012</v>
      </c>
      <c r="L5881" s="14">
        <v>2.0</v>
      </c>
    </row>
    <row r="5882">
      <c r="A5882" s="14">
        <v>8.0</v>
      </c>
      <c r="B5882" s="14">
        <v>2.0</v>
      </c>
      <c r="C5882" s="34">
        <v>6.06</v>
      </c>
      <c r="D5882" s="36">
        <v>45382.0</v>
      </c>
      <c r="E5882" s="24"/>
      <c r="F5882" s="14">
        <v>3.03</v>
      </c>
      <c r="G5882" s="14">
        <v>757.5</v>
      </c>
      <c r="H5882" s="14">
        <v>25.0</v>
      </c>
      <c r="I5882" s="14" t="s">
        <v>6068</v>
      </c>
      <c r="J5882" s="14">
        <v>0.0</v>
      </c>
      <c r="K5882" s="14" t="s">
        <v>6012</v>
      </c>
      <c r="L5882" s="14">
        <v>0.0</v>
      </c>
    </row>
    <row r="5883">
      <c r="A5883" s="14">
        <v>51.0</v>
      </c>
      <c r="B5883" s="14">
        <v>21.0</v>
      </c>
      <c r="C5883" s="34">
        <v>24.06</v>
      </c>
      <c r="D5883" s="36">
        <v>45382.0</v>
      </c>
      <c r="E5883" s="24"/>
      <c r="F5883" s="14">
        <v>1.15</v>
      </c>
      <c r="G5883" s="14">
        <v>471.76</v>
      </c>
      <c r="H5883" s="14">
        <v>41.18</v>
      </c>
      <c r="I5883" s="14" t="s">
        <v>6072</v>
      </c>
      <c r="J5883" s="14">
        <v>4.76</v>
      </c>
      <c r="K5883" s="14">
        <v>24.06</v>
      </c>
      <c r="L5883" s="14">
        <v>0.0</v>
      </c>
    </row>
    <row r="5884">
      <c r="A5884" s="14">
        <v>105.0</v>
      </c>
      <c r="B5884" s="14">
        <v>43.0</v>
      </c>
      <c r="C5884" s="34">
        <v>68.85</v>
      </c>
      <c r="D5884" s="36">
        <v>45382.0</v>
      </c>
      <c r="E5884" s="24"/>
      <c r="F5884" s="14">
        <v>1.6</v>
      </c>
      <c r="G5884" s="14">
        <v>655.71</v>
      </c>
      <c r="H5884" s="14">
        <v>40.95</v>
      </c>
      <c r="I5884" s="14" t="s">
        <v>6067</v>
      </c>
      <c r="J5884" s="14">
        <v>0.0</v>
      </c>
      <c r="K5884" s="14" t="s">
        <v>6012</v>
      </c>
      <c r="L5884" s="14">
        <v>3.0</v>
      </c>
    </row>
    <row r="5885">
      <c r="A5885" s="14">
        <v>128.0</v>
      </c>
      <c r="B5885" s="14">
        <v>57.0</v>
      </c>
      <c r="C5885" s="34">
        <v>81.5</v>
      </c>
      <c r="D5885" s="36">
        <v>45382.0</v>
      </c>
      <c r="E5885" s="24"/>
      <c r="F5885" s="14">
        <v>1.43</v>
      </c>
      <c r="G5885" s="14">
        <v>636.72</v>
      </c>
      <c r="H5885" s="14">
        <v>44.53</v>
      </c>
      <c r="I5885" s="14" t="s">
        <v>6069</v>
      </c>
      <c r="J5885" s="14">
        <v>1.75</v>
      </c>
      <c r="K5885" s="14">
        <v>81.5</v>
      </c>
      <c r="L5885" s="14">
        <v>1.0</v>
      </c>
    </row>
    <row r="5886">
      <c r="A5886" s="14">
        <v>10.0</v>
      </c>
      <c r="B5886" s="14">
        <v>3.0</v>
      </c>
      <c r="C5886" s="34">
        <v>6.23</v>
      </c>
      <c r="D5886" s="36">
        <v>45383.0</v>
      </c>
      <c r="E5886" s="24"/>
      <c r="F5886" s="14">
        <v>2.08</v>
      </c>
      <c r="G5886" s="14">
        <v>623.0</v>
      </c>
      <c r="H5886" s="14">
        <v>30.0</v>
      </c>
      <c r="I5886" s="14" t="s">
        <v>6068</v>
      </c>
      <c r="J5886" s="14">
        <v>0.0</v>
      </c>
      <c r="K5886" s="14" t="s">
        <v>6012</v>
      </c>
      <c r="L5886" s="14">
        <v>0.0</v>
      </c>
    </row>
    <row r="5887">
      <c r="A5887" s="14">
        <v>97.0</v>
      </c>
      <c r="B5887" s="14">
        <v>78.0</v>
      </c>
      <c r="C5887" s="34">
        <v>65.31</v>
      </c>
      <c r="D5887" s="36">
        <v>45383.0</v>
      </c>
      <c r="E5887" s="24"/>
      <c r="F5887" s="14">
        <v>0.84</v>
      </c>
      <c r="G5887" s="14">
        <v>673.3</v>
      </c>
      <c r="H5887" s="14">
        <v>80.41</v>
      </c>
      <c r="I5887" s="14" t="s">
        <v>6071</v>
      </c>
      <c r="J5887" s="14">
        <v>0.0</v>
      </c>
      <c r="K5887" s="14" t="s">
        <v>6012</v>
      </c>
      <c r="L5887" s="14">
        <v>0.0</v>
      </c>
    </row>
    <row r="5888">
      <c r="A5888" s="14">
        <v>140.0</v>
      </c>
      <c r="B5888" s="14">
        <v>94.0</v>
      </c>
      <c r="C5888" s="34">
        <v>97.13</v>
      </c>
      <c r="D5888" s="36">
        <v>45383.0</v>
      </c>
      <c r="E5888" s="24"/>
      <c r="F5888" s="14">
        <v>1.03</v>
      </c>
      <c r="G5888" s="14">
        <v>693.79</v>
      </c>
      <c r="H5888" s="14">
        <v>67.14</v>
      </c>
      <c r="I5888" s="14" t="s">
        <v>6067</v>
      </c>
      <c r="J5888" s="14">
        <v>0.0</v>
      </c>
      <c r="K5888" s="14" t="s">
        <v>6012</v>
      </c>
      <c r="L5888" s="14">
        <v>2.0</v>
      </c>
    </row>
    <row r="5889">
      <c r="A5889" s="14">
        <v>164.0</v>
      </c>
      <c r="B5889" s="14">
        <v>108.0</v>
      </c>
      <c r="C5889" s="34">
        <v>119.86</v>
      </c>
      <c r="D5889" s="36">
        <v>45383.0</v>
      </c>
      <c r="E5889" s="24"/>
      <c r="F5889" s="14">
        <v>1.11</v>
      </c>
      <c r="G5889" s="14">
        <v>730.85</v>
      </c>
      <c r="H5889" s="14">
        <v>65.85</v>
      </c>
      <c r="I5889" s="14" t="s">
        <v>6072</v>
      </c>
      <c r="J5889" s="14">
        <v>0.0</v>
      </c>
      <c r="K5889" s="14" t="s">
        <v>6012</v>
      </c>
      <c r="L5889" s="14">
        <v>2.0</v>
      </c>
    </row>
    <row r="5890">
      <c r="A5890" s="14">
        <v>157.0</v>
      </c>
      <c r="B5890" s="14">
        <v>129.0</v>
      </c>
      <c r="C5890" s="34">
        <v>112.54</v>
      </c>
      <c r="D5890" s="36">
        <v>45383.0</v>
      </c>
      <c r="E5890" s="24"/>
      <c r="F5890" s="14">
        <v>0.87</v>
      </c>
      <c r="G5890" s="14">
        <v>716.82</v>
      </c>
      <c r="H5890" s="14">
        <v>82.17</v>
      </c>
      <c r="I5890" s="14" t="s">
        <v>6069</v>
      </c>
      <c r="J5890" s="14">
        <v>0.78</v>
      </c>
      <c r="K5890" s="14">
        <v>112.54</v>
      </c>
      <c r="L5890" s="14">
        <v>1.0</v>
      </c>
    </row>
    <row r="5891">
      <c r="A5891" s="14">
        <v>4.0</v>
      </c>
      <c r="B5891" s="14">
        <v>7.0</v>
      </c>
      <c r="C5891" s="34">
        <v>1.7</v>
      </c>
      <c r="D5891" s="36">
        <v>45384.0</v>
      </c>
      <c r="E5891" s="24"/>
      <c r="F5891" s="14">
        <v>0.24</v>
      </c>
      <c r="G5891" s="14">
        <v>425.0</v>
      </c>
      <c r="H5891" s="14">
        <v>175.0</v>
      </c>
      <c r="I5891" s="14" t="s">
        <v>6068</v>
      </c>
      <c r="J5891" s="14">
        <v>0.0</v>
      </c>
      <c r="K5891" s="14" t="s">
        <v>6012</v>
      </c>
      <c r="L5891" s="14">
        <v>0.0</v>
      </c>
    </row>
    <row r="5892">
      <c r="A5892" s="14">
        <v>156.0</v>
      </c>
      <c r="B5892" s="14">
        <v>76.0</v>
      </c>
      <c r="C5892" s="34">
        <v>105.34</v>
      </c>
      <c r="D5892" s="36">
        <v>45384.0</v>
      </c>
      <c r="E5892" s="24"/>
      <c r="F5892" s="14">
        <v>1.39</v>
      </c>
      <c r="G5892" s="14">
        <v>675.26</v>
      </c>
      <c r="H5892" s="14">
        <v>48.72</v>
      </c>
      <c r="I5892" s="14" t="s">
        <v>6067</v>
      </c>
      <c r="J5892" s="14">
        <v>2.63</v>
      </c>
      <c r="K5892" s="14">
        <v>52.67</v>
      </c>
      <c r="L5892" s="14">
        <v>4.0</v>
      </c>
    </row>
    <row r="5893">
      <c r="A5893" s="14">
        <v>0.0</v>
      </c>
      <c r="B5893" s="14">
        <v>1.0</v>
      </c>
      <c r="C5893" s="34">
        <v>0.0</v>
      </c>
      <c r="D5893" s="36">
        <v>45384.0</v>
      </c>
      <c r="E5893" s="24"/>
      <c r="F5893" s="14">
        <v>0.0</v>
      </c>
      <c r="G5893" s="14" t="s">
        <v>6012</v>
      </c>
      <c r="H5893" s="14" t="s">
        <v>6012</v>
      </c>
      <c r="I5893" s="14" t="s">
        <v>6070</v>
      </c>
      <c r="J5893" s="14">
        <v>0.0</v>
      </c>
      <c r="K5893" s="14" t="s">
        <v>6012</v>
      </c>
      <c r="L5893" s="14">
        <v>0.0</v>
      </c>
    </row>
    <row r="5894">
      <c r="A5894" s="14">
        <v>61.0</v>
      </c>
      <c r="B5894" s="14">
        <v>43.0</v>
      </c>
      <c r="C5894" s="34">
        <v>44.17</v>
      </c>
      <c r="D5894" s="36">
        <v>45384.0</v>
      </c>
      <c r="E5894" s="24"/>
      <c r="F5894" s="14">
        <v>1.03</v>
      </c>
      <c r="G5894" s="14">
        <v>724.1</v>
      </c>
      <c r="H5894" s="14">
        <v>70.49</v>
      </c>
      <c r="I5894" s="14" t="s">
        <v>6071</v>
      </c>
      <c r="J5894" s="14">
        <v>2.33</v>
      </c>
      <c r="K5894" s="14">
        <v>44.17</v>
      </c>
      <c r="L5894" s="14">
        <v>4.0</v>
      </c>
    </row>
    <row r="5895">
      <c r="A5895" s="14">
        <v>155.0</v>
      </c>
      <c r="B5895" s="14">
        <v>97.0</v>
      </c>
      <c r="C5895" s="34">
        <v>112.98</v>
      </c>
      <c r="D5895" s="36">
        <v>45384.0</v>
      </c>
      <c r="E5895" s="24"/>
      <c r="F5895" s="14">
        <v>1.16</v>
      </c>
      <c r="G5895" s="14">
        <v>728.9</v>
      </c>
      <c r="H5895" s="14">
        <v>62.58</v>
      </c>
      <c r="I5895" s="14" t="s">
        <v>6069</v>
      </c>
      <c r="J5895" s="14">
        <v>0.0</v>
      </c>
      <c r="K5895" s="14" t="s">
        <v>6012</v>
      </c>
      <c r="L5895" s="14">
        <v>2.0</v>
      </c>
    </row>
    <row r="5896">
      <c r="A5896" s="14">
        <v>171.0</v>
      </c>
      <c r="B5896" s="14">
        <v>93.0</v>
      </c>
      <c r="C5896" s="34">
        <v>131.83</v>
      </c>
      <c r="D5896" s="36">
        <v>45384.0</v>
      </c>
      <c r="E5896" s="24"/>
      <c r="F5896" s="14">
        <v>1.42</v>
      </c>
      <c r="G5896" s="14">
        <v>770.94</v>
      </c>
      <c r="H5896" s="14">
        <v>54.39</v>
      </c>
      <c r="I5896" s="14" t="s">
        <v>6072</v>
      </c>
      <c r="J5896" s="14">
        <v>0.0</v>
      </c>
      <c r="K5896" s="14" t="s">
        <v>6012</v>
      </c>
      <c r="L5896" s="14">
        <v>1.0</v>
      </c>
    </row>
    <row r="5897">
      <c r="A5897" s="14">
        <v>50.0</v>
      </c>
      <c r="B5897" s="14">
        <v>36.0</v>
      </c>
      <c r="C5897" s="34">
        <v>32.46</v>
      </c>
      <c r="D5897" s="36">
        <v>45385.0</v>
      </c>
      <c r="E5897" s="24"/>
      <c r="F5897" s="14">
        <v>0.9</v>
      </c>
      <c r="G5897" s="14">
        <v>649.2</v>
      </c>
      <c r="H5897" s="14">
        <v>72.0</v>
      </c>
      <c r="I5897" s="14" t="s">
        <v>6071</v>
      </c>
      <c r="J5897" s="14">
        <v>2.78</v>
      </c>
      <c r="K5897" s="14">
        <v>32.46</v>
      </c>
      <c r="L5897" s="14">
        <v>1.0</v>
      </c>
    </row>
    <row r="5898">
      <c r="A5898" s="14">
        <v>153.0</v>
      </c>
      <c r="B5898" s="14">
        <v>83.0</v>
      </c>
      <c r="C5898" s="34">
        <v>109.73</v>
      </c>
      <c r="D5898" s="36">
        <v>45385.0</v>
      </c>
      <c r="E5898" s="24"/>
      <c r="F5898" s="14">
        <v>1.32</v>
      </c>
      <c r="G5898" s="14">
        <v>717.19</v>
      </c>
      <c r="H5898" s="14">
        <v>54.25</v>
      </c>
      <c r="I5898" s="14" t="s">
        <v>6067</v>
      </c>
      <c r="J5898" s="14">
        <v>0.0</v>
      </c>
      <c r="K5898" s="14" t="s">
        <v>6012</v>
      </c>
      <c r="L5898" s="14">
        <v>1.0</v>
      </c>
    </row>
    <row r="5899">
      <c r="A5899" s="14">
        <v>7.0</v>
      </c>
      <c r="B5899" s="14">
        <v>4.0</v>
      </c>
      <c r="C5899" s="34">
        <v>4.93</v>
      </c>
      <c r="D5899" s="36">
        <v>45385.0</v>
      </c>
      <c r="E5899" s="24"/>
      <c r="F5899" s="14">
        <v>1.23</v>
      </c>
      <c r="G5899" s="14">
        <v>704.29</v>
      </c>
      <c r="H5899" s="14">
        <v>57.14</v>
      </c>
      <c r="I5899" s="14" t="s">
        <v>6068</v>
      </c>
      <c r="J5899" s="14">
        <v>0.0</v>
      </c>
      <c r="K5899" s="14" t="s">
        <v>6012</v>
      </c>
      <c r="L5899" s="14">
        <v>0.0</v>
      </c>
    </row>
    <row r="5900">
      <c r="A5900" s="14">
        <v>0.0</v>
      </c>
      <c r="B5900" s="14">
        <v>2.0</v>
      </c>
      <c r="C5900" s="34">
        <v>0.0</v>
      </c>
      <c r="D5900" s="36">
        <v>45385.0</v>
      </c>
      <c r="E5900" s="24"/>
      <c r="F5900" s="14">
        <v>0.0</v>
      </c>
      <c r="G5900" s="14" t="s">
        <v>6012</v>
      </c>
      <c r="H5900" s="14" t="s">
        <v>6012</v>
      </c>
      <c r="I5900" s="14" t="s">
        <v>6070</v>
      </c>
      <c r="J5900" s="14">
        <v>0.0</v>
      </c>
      <c r="K5900" s="14" t="s">
        <v>6012</v>
      </c>
      <c r="L5900" s="14">
        <v>0.0</v>
      </c>
    </row>
    <row r="5901">
      <c r="A5901" s="14">
        <v>180.0</v>
      </c>
      <c r="B5901" s="14">
        <v>100.0</v>
      </c>
      <c r="C5901" s="34">
        <v>139.59</v>
      </c>
      <c r="D5901" s="36">
        <v>45385.0</v>
      </c>
      <c r="E5901" s="24"/>
      <c r="F5901" s="14">
        <v>1.4</v>
      </c>
      <c r="G5901" s="14">
        <v>775.5</v>
      </c>
      <c r="H5901" s="14">
        <v>55.56</v>
      </c>
      <c r="I5901" s="14" t="s">
        <v>6072</v>
      </c>
      <c r="J5901" s="14">
        <v>0.0</v>
      </c>
      <c r="K5901" s="14" t="s">
        <v>6012</v>
      </c>
      <c r="L5901" s="14">
        <v>0.0</v>
      </c>
    </row>
    <row r="5902">
      <c r="A5902" s="14">
        <v>156.0</v>
      </c>
      <c r="B5902" s="14">
        <v>109.0</v>
      </c>
      <c r="C5902" s="34">
        <v>113.13</v>
      </c>
      <c r="D5902" s="36">
        <v>45385.0</v>
      </c>
      <c r="E5902" s="24"/>
      <c r="F5902" s="14">
        <v>1.04</v>
      </c>
      <c r="G5902" s="14">
        <v>725.19</v>
      </c>
      <c r="H5902" s="14">
        <v>69.87</v>
      </c>
      <c r="I5902" s="14" t="s">
        <v>6069</v>
      </c>
      <c r="J5902" s="14">
        <v>0.0</v>
      </c>
      <c r="K5902" s="14" t="s">
        <v>6012</v>
      </c>
      <c r="L5902" s="14">
        <v>1.0</v>
      </c>
    </row>
    <row r="5903">
      <c r="A5903" s="14">
        <v>131.0</v>
      </c>
      <c r="B5903" s="14">
        <v>84.0</v>
      </c>
      <c r="C5903" s="34">
        <v>98.89</v>
      </c>
      <c r="D5903" s="36">
        <v>45386.0</v>
      </c>
      <c r="E5903" s="24"/>
      <c r="F5903" s="14">
        <v>1.18</v>
      </c>
      <c r="G5903" s="14">
        <v>754.89</v>
      </c>
      <c r="H5903" s="14">
        <v>64.12</v>
      </c>
      <c r="I5903" s="14" t="s">
        <v>6069</v>
      </c>
      <c r="J5903" s="14">
        <v>0.0</v>
      </c>
      <c r="K5903" s="14" t="s">
        <v>6012</v>
      </c>
      <c r="L5903" s="14">
        <v>1.0</v>
      </c>
    </row>
    <row r="5904">
      <c r="A5904" s="14">
        <v>122.0</v>
      </c>
      <c r="B5904" s="14">
        <v>96.0</v>
      </c>
      <c r="C5904" s="34">
        <v>99.29</v>
      </c>
      <c r="D5904" s="36">
        <v>45386.0</v>
      </c>
      <c r="E5904" s="24"/>
      <c r="F5904" s="14">
        <v>1.03</v>
      </c>
      <c r="G5904" s="14">
        <v>813.85</v>
      </c>
      <c r="H5904" s="14">
        <v>78.69</v>
      </c>
      <c r="I5904" s="14" t="s">
        <v>6072</v>
      </c>
      <c r="J5904" s="14">
        <v>0.0</v>
      </c>
      <c r="K5904" s="14" t="s">
        <v>6012</v>
      </c>
      <c r="L5904" s="14">
        <v>0.0</v>
      </c>
    </row>
    <row r="5905">
      <c r="A5905" s="14">
        <v>133.0</v>
      </c>
      <c r="B5905" s="14">
        <v>60.0</v>
      </c>
      <c r="C5905" s="34">
        <v>94.08</v>
      </c>
      <c r="D5905" s="36">
        <v>45386.0</v>
      </c>
      <c r="E5905" s="24"/>
      <c r="F5905" s="14">
        <v>1.57</v>
      </c>
      <c r="G5905" s="14">
        <v>707.37</v>
      </c>
      <c r="H5905" s="14">
        <v>45.11</v>
      </c>
      <c r="I5905" s="14" t="s">
        <v>6067</v>
      </c>
      <c r="J5905" s="14">
        <v>1.67</v>
      </c>
      <c r="K5905" s="14">
        <v>94.08</v>
      </c>
      <c r="L5905" s="14">
        <v>2.0</v>
      </c>
    </row>
    <row r="5906">
      <c r="A5906" s="14">
        <v>43.0</v>
      </c>
      <c r="B5906" s="14">
        <v>31.0</v>
      </c>
      <c r="C5906" s="34">
        <v>28.55</v>
      </c>
      <c r="D5906" s="36">
        <v>45386.0</v>
      </c>
      <c r="E5906" s="24"/>
      <c r="F5906" s="14">
        <v>0.92</v>
      </c>
      <c r="G5906" s="14">
        <v>663.95</v>
      </c>
      <c r="H5906" s="14">
        <v>72.09</v>
      </c>
      <c r="I5906" s="14" t="s">
        <v>6071</v>
      </c>
      <c r="J5906" s="14">
        <v>3.23</v>
      </c>
      <c r="K5906" s="14">
        <v>28.55</v>
      </c>
      <c r="L5906" s="14">
        <v>0.0</v>
      </c>
    </row>
    <row r="5907">
      <c r="A5907" s="14">
        <v>0.0</v>
      </c>
      <c r="B5907" s="14">
        <v>1.0</v>
      </c>
      <c r="C5907" s="34">
        <v>0.0</v>
      </c>
      <c r="D5907" s="36">
        <v>45386.0</v>
      </c>
      <c r="E5907" s="24"/>
      <c r="F5907" s="14">
        <v>0.0</v>
      </c>
      <c r="G5907" s="14" t="s">
        <v>6012</v>
      </c>
      <c r="H5907" s="14" t="s">
        <v>6012</v>
      </c>
      <c r="I5907" s="14" t="s">
        <v>6070</v>
      </c>
      <c r="J5907" s="14">
        <v>0.0</v>
      </c>
      <c r="K5907" s="14" t="s">
        <v>6012</v>
      </c>
      <c r="L5907" s="14">
        <v>0.0</v>
      </c>
    </row>
    <row r="5908">
      <c r="A5908" s="14">
        <v>10.0</v>
      </c>
      <c r="B5908" s="14">
        <v>5.0</v>
      </c>
      <c r="C5908" s="34">
        <v>7.05</v>
      </c>
      <c r="D5908" s="36">
        <v>45386.0</v>
      </c>
      <c r="E5908" s="24"/>
      <c r="F5908" s="14">
        <v>1.41</v>
      </c>
      <c r="G5908" s="14">
        <v>705.0</v>
      </c>
      <c r="H5908" s="14">
        <v>50.0</v>
      </c>
      <c r="I5908" s="14" t="s">
        <v>6068</v>
      </c>
      <c r="J5908" s="14">
        <v>0.0</v>
      </c>
      <c r="K5908" s="14" t="s">
        <v>6012</v>
      </c>
      <c r="L5908" s="14">
        <v>0.0</v>
      </c>
    </row>
    <row r="5909">
      <c r="A5909" s="14">
        <v>116.0</v>
      </c>
      <c r="B5909" s="14">
        <v>80.0</v>
      </c>
      <c r="C5909" s="34">
        <v>86.67</v>
      </c>
      <c r="D5909" s="36">
        <v>45387.0</v>
      </c>
      <c r="E5909" s="24"/>
      <c r="F5909" s="14">
        <v>1.08</v>
      </c>
      <c r="G5909" s="14">
        <v>747.16</v>
      </c>
      <c r="H5909" s="14">
        <v>68.97</v>
      </c>
      <c r="I5909" s="14" t="s">
        <v>6072</v>
      </c>
      <c r="J5909" s="14">
        <v>0.0</v>
      </c>
      <c r="K5909" s="14" t="s">
        <v>6012</v>
      </c>
      <c r="L5909" s="14">
        <v>1.0</v>
      </c>
    </row>
    <row r="5910">
      <c r="A5910" s="14">
        <v>34.0</v>
      </c>
      <c r="B5910" s="14">
        <v>24.0</v>
      </c>
      <c r="C5910" s="34">
        <v>27.34</v>
      </c>
      <c r="D5910" s="36">
        <v>45387.0</v>
      </c>
      <c r="E5910" s="24"/>
      <c r="F5910" s="14">
        <v>1.14</v>
      </c>
      <c r="G5910" s="14">
        <v>804.12</v>
      </c>
      <c r="H5910" s="14">
        <v>70.59</v>
      </c>
      <c r="I5910" s="14" t="s">
        <v>6071</v>
      </c>
      <c r="J5910" s="14">
        <v>8.33</v>
      </c>
      <c r="K5910" s="14">
        <v>13.67</v>
      </c>
      <c r="L5910" s="14">
        <v>2.0</v>
      </c>
    </row>
    <row r="5911">
      <c r="A5911" s="14">
        <v>122.0</v>
      </c>
      <c r="B5911" s="14">
        <v>63.0</v>
      </c>
      <c r="C5911" s="34">
        <v>85.56</v>
      </c>
      <c r="D5911" s="36">
        <v>45387.0</v>
      </c>
      <c r="E5911" s="24"/>
      <c r="F5911" s="14">
        <v>1.36</v>
      </c>
      <c r="G5911" s="14">
        <v>701.31</v>
      </c>
      <c r="H5911" s="14">
        <v>51.64</v>
      </c>
      <c r="I5911" s="14" t="s">
        <v>6067</v>
      </c>
      <c r="J5911" s="14">
        <v>0.0</v>
      </c>
      <c r="K5911" s="14" t="s">
        <v>6012</v>
      </c>
      <c r="L5911" s="14">
        <v>1.0</v>
      </c>
    </row>
    <row r="5912">
      <c r="A5912" s="14">
        <v>145.0</v>
      </c>
      <c r="B5912" s="14">
        <v>84.0</v>
      </c>
      <c r="C5912" s="34">
        <v>105.77</v>
      </c>
      <c r="D5912" s="36">
        <v>45387.0</v>
      </c>
      <c r="E5912" s="24"/>
      <c r="F5912" s="14">
        <v>1.26</v>
      </c>
      <c r="G5912" s="14">
        <v>729.45</v>
      </c>
      <c r="H5912" s="14">
        <v>57.93</v>
      </c>
      <c r="I5912" s="14" t="s">
        <v>6069</v>
      </c>
      <c r="J5912" s="14">
        <v>0.0</v>
      </c>
      <c r="K5912" s="14" t="s">
        <v>6012</v>
      </c>
      <c r="L5912" s="14">
        <v>2.0</v>
      </c>
    </row>
    <row r="5913">
      <c r="A5913" s="14">
        <v>2.0</v>
      </c>
      <c r="B5913" s="14">
        <v>3.0</v>
      </c>
      <c r="C5913" s="34">
        <v>1.97</v>
      </c>
      <c r="D5913" s="36">
        <v>45387.0</v>
      </c>
      <c r="E5913" s="24"/>
      <c r="F5913" s="14">
        <v>0.66</v>
      </c>
      <c r="G5913" s="14">
        <v>985.0</v>
      </c>
      <c r="H5913" s="14">
        <v>150.0</v>
      </c>
      <c r="I5913" s="14" t="s">
        <v>6068</v>
      </c>
      <c r="J5913" s="14">
        <v>0.0</v>
      </c>
      <c r="K5913" s="14" t="s">
        <v>6012</v>
      </c>
      <c r="L5913" s="14">
        <v>0.0</v>
      </c>
    </row>
    <row r="5914">
      <c r="A5914" s="14">
        <v>0.0</v>
      </c>
      <c r="B5914" s="14">
        <v>1.0</v>
      </c>
      <c r="C5914" s="34">
        <v>0.0</v>
      </c>
      <c r="D5914" s="36">
        <v>45387.0</v>
      </c>
      <c r="E5914" s="24"/>
      <c r="F5914" s="14">
        <v>0.0</v>
      </c>
      <c r="G5914" s="14" t="s">
        <v>6012</v>
      </c>
      <c r="H5914" s="14" t="s">
        <v>6012</v>
      </c>
      <c r="I5914" s="14" t="s">
        <v>6064</v>
      </c>
      <c r="J5914" s="14">
        <v>0.0</v>
      </c>
      <c r="K5914" s="14" t="s">
        <v>6012</v>
      </c>
      <c r="L5914" s="14">
        <v>0.0</v>
      </c>
    </row>
    <row r="5915">
      <c r="A5915" s="14">
        <v>128.0</v>
      </c>
      <c r="B5915" s="14">
        <v>69.0</v>
      </c>
      <c r="C5915" s="34">
        <v>87.07</v>
      </c>
      <c r="D5915" s="36">
        <v>45388.0</v>
      </c>
      <c r="E5915" s="24"/>
      <c r="F5915" s="14">
        <v>1.26</v>
      </c>
      <c r="G5915" s="14">
        <v>680.23</v>
      </c>
      <c r="H5915" s="14">
        <v>53.91</v>
      </c>
      <c r="I5915" s="14" t="s">
        <v>6069</v>
      </c>
      <c r="J5915" s="14">
        <v>0.0</v>
      </c>
      <c r="K5915" s="14" t="s">
        <v>6012</v>
      </c>
      <c r="L5915" s="14">
        <v>2.0</v>
      </c>
    </row>
    <row r="5916">
      <c r="A5916" s="14">
        <v>101.0</v>
      </c>
      <c r="B5916" s="14">
        <v>35.0</v>
      </c>
      <c r="C5916" s="34">
        <v>75.58</v>
      </c>
      <c r="D5916" s="36">
        <v>45388.0</v>
      </c>
      <c r="E5916" s="24"/>
      <c r="F5916" s="14">
        <v>2.16</v>
      </c>
      <c r="G5916" s="14">
        <v>748.32</v>
      </c>
      <c r="H5916" s="14">
        <v>34.65</v>
      </c>
      <c r="I5916" s="14" t="s">
        <v>6067</v>
      </c>
      <c r="J5916" s="14">
        <v>0.0</v>
      </c>
      <c r="K5916" s="14" t="s">
        <v>6012</v>
      </c>
      <c r="L5916" s="14">
        <v>2.0</v>
      </c>
    </row>
    <row r="5917">
      <c r="A5917" s="14">
        <v>30.0</v>
      </c>
      <c r="B5917" s="14">
        <v>13.0</v>
      </c>
      <c r="C5917" s="34">
        <v>23.58</v>
      </c>
      <c r="D5917" s="36">
        <v>45388.0</v>
      </c>
      <c r="E5917" s="24"/>
      <c r="F5917" s="14">
        <v>1.81</v>
      </c>
      <c r="G5917" s="14">
        <v>786.0</v>
      </c>
      <c r="H5917" s="14">
        <v>43.33</v>
      </c>
      <c r="I5917" s="14" t="s">
        <v>6071</v>
      </c>
      <c r="J5917" s="14">
        <v>0.0</v>
      </c>
      <c r="K5917" s="14" t="s">
        <v>6012</v>
      </c>
      <c r="L5917" s="14">
        <v>1.0</v>
      </c>
    </row>
    <row r="5918">
      <c r="A5918" s="14">
        <v>92.0</v>
      </c>
      <c r="B5918" s="14">
        <v>45.0</v>
      </c>
      <c r="C5918" s="34">
        <v>67.46</v>
      </c>
      <c r="D5918" s="36">
        <v>45388.0</v>
      </c>
      <c r="E5918" s="24"/>
      <c r="F5918" s="14">
        <v>1.5</v>
      </c>
      <c r="G5918" s="14">
        <v>733.26</v>
      </c>
      <c r="H5918" s="14">
        <v>48.91</v>
      </c>
      <c r="I5918" s="14" t="s">
        <v>6072</v>
      </c>
      <c r="J5918" s="14">
        <v>0.0</v>
      </c>
      <c r="K5918" s="14" t="s">
        <v>6012</v>
      </c>
      <c r="L5918" s="14">
        <v>0.0</v>
      </c>
    </row>
    <row r="5919">
      <c r="A5919" s="14">
        <v>1.0</v>
      </c>
      <c r="B5919" s="14">
        <v>0.0</v>
      </c>
      <c r="C5919" s="34">
        <v>0.75</v>
      </c>
      <c r="D5919" s="36">
        <v>45388.0</v>
      </c>
      <c r="E5919" s="24"/>
      <c r="F5919" s="14" t="s">
        <v>6012</v>
      </c>
      <c r="G5919" s="14">
        <v>750.0</v>
      </c>
      <c r="H5919" s="14">
        <v>0.0</v>
      </c>
      <c r="I5919" s="14" t="s">
        <v>6068</v>
      </c>
      <c r="J5919" s="14" t="s">
        <v>6012</v>
      </c>
      <c r="K5919" s="14" t="s">
        <v>6012</v>
      </c>
      <c r="L5919" s="14">
        <v>0.0</v>
      </c>
    </row>
    <row r="5920">
      <c r="A5920" s="14">
        <v>95.0</v>
      </c>
      <c r="B5920" s="14">
        <v>34.0</v>
      </c>
      <c r="C5920" s="34">
        <v>69.12</v>
      </c>
      <c r="D5920" s="36">
        <v>45389.0</v>
      </c>
      <c r="E5920" s="24"/>
      <c r="F5920" s="14">
        <v>2.03</v>
      </c>
      <c r="G5920" s="14">
        <v>727.58</v>
      </c>
      <c r="H5920" s="14">
        <v>35.79</v>
      </c>
      <c r="I5920" s="14" t="s">
        <v>6067</v>
      </c>
      <c r="J5920" s="14">
        <v>0.0</v>
      </c>
      <c r="K5920" s="14" t="s">
        <v>6012</v>
      </c>
      <c r="L5920" s="14">
        <v>1.0</v>
      </c>
    </row>
    <row r="5921">
      <c r="A5921" s="14">
        <v>36.0</v>
      </c>
      <c r="B5921" s="14">
        <v>17.0</v>
      </c>
      <c r="C5921" s="34">
        <v>24.4</v>
      </c>
      <c r="D5921" s="36">
        <v>45389.0</v>
      </c>
      <c r="E5921" s="24"/>
      <c r="F5921" s="14">
        <v>1.44</v>
      </c>
      <c r="G5921" s="14">
        <v>677.78</v>
      </c>
      <c r="H5921" s="14">
        <v>47.22</v>
      </c>
      <c r="I5921" s="14" t="s">
        <v>6071</v>
      </c>
      <c r="J5921" s="14">
        <v>0.0</v>
      </c>
      <c r="K5921" s="14" t="s">
        <v>6012</v>
      </c>
      <c r="L5921" s="14">
        <v>2.0</v>
      </c>
    </row>
    <row r="5922">
      <c r="A5922" s="14">
        <v>2.0</v>
      </c>
      <c r="B5922" s="14">
        <v>1.0</v>
      </c>
      <c r="C5922" s="34">
        <v>1.8</v>
      </c>
      <c r="D5922" s="36">
        <v>45389.0</v>
      </c>
      <c r="E5922" s="24"/>
      <c r="F5922" s="14">
        <v>1.8</v>
      </c>
      <c r="G5922" s="14">
        <v>900.0</v>
      </c>
      <c r="H5922" s="14">
        <v>50.0</v>
      </c>
      <c r="I5922" s="14" t="s">
        <v>6068</v>
      </c>
      <c r="J5922" s="14">
        <v>0.0</v>
      </c>
      <c r="K5922" s="14" t="s">
        <v>6012</v>
      </c>
      <c r="L5922" s="14">
        <v>0.0</v>
      </c>
    </row>
    <row r="5923">
      <c r="A5923" s="14">
        <v>104.0</v>
      </c>
      <c r="B5923" s="14">
        <v>51.0</v>
      </c>
      <c r="C5923" s="34">
        <v>69.62</v>
      </c>
      <c r="D5923" s="36">
        <v>45389.0</v>
      </c>
      <c r="E5923" s="24"/>
      <c r="F5923" s="14">
        <v>1.37</v>
      </c>
      <c r="G5923" s="14">
        <v>669.42</v>
      </c>
      <c r="H5923" s="14">
        <v>49.04</v>
      </c>
      <c r="I5923" s="14" t="s">
        <v>6069</v>
      </c>
      <c r="J5923" s="14">
        <v>0.0</v>
      </c>
      <c r="K5923" s="14" t="s">
        <v>6012</v>
      </c>
      <c r="L5923" s="14">
        <v>1.0</v>
      </c>
    </row>
    <row r="5924">
      <c r="A5924" s="14">
        <v>94.0</v>
      </c>
      <c r="B5924" s="14">
        <v>44.0</v>
      </c>
      <c r="C5924" s="34">
        <v>55.3</v>
      </c>
      <c r="D5924" s="36">
        <v>45389.0</v>
      </c>
      <c r="E5924" s="24"/>
      <c r="F5924" s="14">
        <v>1.26</v>
      </c>
      <c r="G5924" s="14">
        <v>588.3</v>
      </c>
      <c r="H5924" s="14">
        <v>46.81</v>
      </c>
      <c r="I5924" s="14" t="s">
        <v>6072</v>
      </c>
      <c r="J5924" s="14">
        <v>0.0</v>
      </c>
      <c r="K5924" s="14" t="s">
        <v>6012</v>
      </c>
      <c r="L5924" s="14">
        <v>0.0</v>
      </c>
    </row>
    <row r="5925">
      <c r="A5925" s="14">
        <v>7.0</v>
      </c>
      <c r="B5925" s="14">
        <v>4.0</v>
      </c>
      <c r="C5925" s="34">
        <v>4.46</v>
      </c>
      <c r="D5925" s="36">
        <v>45390.0</v>
      </c>
      <c r="E5925" s="24"/>
      <c r="F5925" s="14">
        <v>1.12</v>
      </c>
      <c r="G5925" s="14">
        <v>637.14</v>
      </c>
      <c r="H5925" s="14">
        <v>57.14</v>
      </c>
      <c r="I5925" s="14" t="s">
        <v>6068</v>
      </c>
      <c r="J5925" s="14">
        <v>0.0</v>
      </c>
      <c r="K5925" s="14" t="s">
        <v>6012</v>
      </c>
      <c r="L5925" s="14">
        <v>0.0</v>
      </c>
    </row>
    <row r="5926">
      <c r="A5926" s="14">
        <v>145.0</v>
      </c>
      <c r="B5926" s="14">
        <v>90.0</v>
      </c>
      <c r="C5926" s="34">
        <v>111.6</v>
      </c>
      <c r="D5926" s="36">
        <v>45390.0</v>
      </c>
      <c r="E5926" s="24"/>
      <c r="F5926" s="14">
        <v>1.24</v>
      </c>
      <c r="G5926" s="14">
        <v>769.66</v>
      </c>
      <c r="H5926" s="14">
        <v>62.07</v>
      </c>
      <c r="I5926" s="14" t="s">
        <v>6072</v>
      </c>
      <c r="J5926" s="14">
        <v>0.0</v>
      </c>
      <c r="K5926" s="14" t="s">
        <v>6012</v>
      </c>
      <c r="L5926" s="14">
        <v>0.0</v>
      </c>
    </row>
    <row r="5927">
      <c r="A5927" s="14">
        <v>146.0</v>
      </c>
      <c r="B5927" s="14">
        <v>100.0</v>
      </c>
      <c r="C5927" s="34">
        <v>105.11</v>
      </c>
      <c r="D5927" s="36">
        <v>45390.0</v>
      </c>
      <c r="E5927" s="24"/>
      <c r="F5927" s="14">
        <v>1.05</v>
      </c>
      <c r="G5927" s="14">
        <v>719.93</v>
      </c>
      <c r="H5927" s="14">
        <v>68.49</v>
      </c>
      <c r="I5927" s="14" t="s">
        <v>6069</v>
      </c>
      <c r="J5927" s="14">
        <v>0.0</v>
      </c>
      <c r="K5927" s="14" t="s">
        <v>6012</v>
      </c>
      <c r="L5927" s="14">
        <v>1.0</v>
      </c>
    </row>
    <row r="5928">
      <c r="A5928" s="14">
        <v>147.0</v>
      </c>
      <c r="B5928" s="14">
        <v>90.0</v>
      </c>
      <c r="C5928" s="34">
        <v>103.85</v>
      </c>
      <c r="D5928" s="36">
        <v>45390.0</v>
      </c>
      <c r="E5928" s="24"/>
      <c r="F5928" s="14">
        <v>1.15</v>
      </c>
      <c r="G5928" s="14">
        <v>706.46</v>
      </c>
      <c r="H5928" s="14">
        <v>61.22</v>
      </c>
      <c r="I5928" s="14" t="s">
        <v>6067</v>
      </c>
      <c r="J5928" s="14">
        <v>1.11</v>
      </c>
      <c r="K5928" s="14">
        <v>103.85</v>
      </c>
      <c r="L5928" s="14">
        <v>2.0</v>
      </c>
    </row>
    <row r="5929">
      <c r="A5929" s="14">
        <v>44.0</v>
      </c>
      <c r="B5929" s="14">
        <v>29.0</v>
      </c>
      <c r="C5929" s="34">
        <v>29.15</v>
      </c>
      <c r="D5929" s="36">
        <v>45390.0</v>
      </c>
      <c r="E5929" s="24"/>
      <c r="F5929" s="14">
        <v>1.01</v>
      </c>
      <c r="G5929" s="14">
        <v>662.5</v>
      </c>
      <c r="H5929" s="14">
        <v>65.91</v>
      </c>
      <c r="I5929" s="14" t="s">
        <v>6071</v>
      </c>
      <c r="J5929" s="14">
        <v>3.45</v>
      </c>
      <c r="K5929" s="14">
        <v>29.15</v>
      </c>
      <c r="L5929" s="14">
        <v>0.0</v>
      </c>
    </row>
    <row r="5930">
      <c r="A5930" s="14">
        <v>157.0</v>
      </c>
      <c r="B5930" s="14">
        <v>102.0</v>
      </c>
      <c r="C5930" s="34">
        <v>110.94</v>
      </c>
      <c r="D5930" s="36">
        <v>45391.0</v>
      </c>
      <c r="E5930" s="24"/>
      <c r="F5930" s="14">
        <v>1.09</v>
      </c>
      <c r="G5930" s="14">
        <v>706.62</v>
      </c>
      <c r="H5930" s="14">
        <v>64.97</v>
      </c>
      <c r="I5930" s="14" t="s">
        <v>6072</v>
      </c>
      <c r="J5930" s="14">
        <v>0.0</v>
      </c>
      <c r="K5930" s="14" t="s">
        <v>6012</v>
      </c>
      <c r="L5930" s="14">
        <v>1.0</v>
      </c>
    </row>
    <row r="5931">
      <c r="A5931" s="14">
        <v>9.0</v>
      </c>
      <c r="B5931" s="14">
        <v>2.0</v>
      </c>
      <c r="C5931" s="34">
        <v>6.65</v>
      </c>
      <c r="D5931" s="36">
        <v>45391.0</v>
      </c>
      <c r="E5931" s="24"/>
      <c r="F5931" s="14">
        <v>3.32</v>
      </c>
      <c r="G5931" s="14">
        <v>738.89</v>
      </c>
      <c r="H5931" s="14">
        <v>22.22</v>
      </c>
      <c r="I5931" s="14" t="s">
        <v>6068</v>
      </c>
      <c r="J5931" s="14">
        <v>0.0</v>
      </c>
      <c r="K5931" s="14" t="s">
        <v>6012</v>
      </c>
      <c r="L5931" s="14">
        <v>0.0</v>
      </c>
    </row>
    <row r="5932">
      <c r="A5932" s="14">
        <v>157.0</v>
      </c>
      <c r="B5932" s="14">
        <v>101.0</v>
      </c>
      <c r="C5932" s="34">
        <v>111.35</v>
      </c>
      <c r="D5932" s="36">
        <v>45391.0</v>
      </c>
      <c r="E5932" s="24"/>
      <c r="F5932" s="14">
        <v>1.1</v>
      </c>
      <c r="G5932" s="14">
        <v>709.24</v>
      </c>
      <c r="H5932" s="14">
        <v>64.33</v>
      </c>
      <c r="I5932" s="14" t="s">
        <v>6069</v>
      </c>
      <c r="J5932" s="14">
        <v>2.97</v>
      </c>
      <c r="K5932" s="14">
        <v>37.12</v>
      </c>
      <c r="L5932" s="14">
        <v>0.0</v>
      </c>
    </row>
    <row r="5933">
      <c r="A5933" s="14">
        <v>123.0</v>
      </c>
      <c r="B5933" s="14">
        <v>73.0</v>
      </c>
      <c r="C5933" s="34">
        <v>84.03</v>
      </c>
      <c r="D5933" s="36">
        <v>45391.0</v>
      </c>
      <c r="E5933" s="24"/>
      <c r="F5933" s="14">
        <v>1.15</v>
      </c>
      <c r="G5933" s="14">
        <v>683.17</v>
      </c>
      <c r="H5933" s="14">
        <v>59.35</v>
      </c>
      <c r="I5933" s="14" t="s">
        <v>6067</v>
      </c>
      <c r="J5933" s="14">
        <v>0.0</v>
      </c>
      <c r="K5933" s="14" t="s">
        <v>6012</v>
      </c>
      <c r="L5933" s="14">
        <v>2.0</v>
      </c>
    </row>
    <row r="5934">
      <c r="A5934" s="14">
        <v>38.0</v>
      </c>
      <c r="B5934" s="14">
        <v>29.0</v>
      </c>
      <c r="C5934" s="34">
        <v>27.81</v>
      </c>
      <c r="D5934" s="36">
        <v>45391.0</v>
      </c>
      <c r="E5934" s="24"/>
      <c r="F5934" s="14">
        <v>0.96</v>
      </c>
      <c r="G5934" s="14">
        <v>731.84</v>
      </c>
      <c r="H5934" s="14">
        <v>76.32</v>
      </c>
      <c r="I5934" s="14" t="s">
        <v>6071</v>
      </c>
      <c r="J5934" s="14">
        <v>3.45</v>
      </c>
      <c r="K5934" s="14">
        <v>27.81</v>
      </c>
      <c r="L5934" s="14">
        <v>2.0</v>
      </c>
    </row>
    <row r="5935">
      <c r="A5935" s="14">
        <v>3492.0</v>
      </c>
      <c r="B5935" s="14">
        <v>68.0</v>
      </c>
      <c r="C5935" s="34">
        <v>111.04</v>
      </c>
      <c r="D5935" s="36">
        <v>45392.0</v>
      </c>
      <c r="E5935" s="24"/>
      <c r="F5935" s="14">
        <v>1.63</v>
      </c>
      <c r="G5935" s="14">
        <v>31.8</v>
      </c>
      <c r="H5935" s="14">
        <v>1.95</v>
      </c>
      <c r="I5935" s="14" t="s">
        <v>6073</v>
      </c>
      <c r="J5935" s="14">
        <v>5.88</v>
      </c>
      <c r="K5935" s="14">
        <v>27.76</v>
      </c>
      <c r="L5935" s="14">
        <v>0.0</v>
      </c>
    </row>
    <row r="5936">
      <c r="A5936" s="14">
        <v>3.0</v>
      </c>
      <c r="B5936" s="14">
        <v>2.0</v>
      </c>
      <c r="C5936" s="34">
        <v>2.5</v>
      </c>
      <c r="D5936" s="36">
        <v>45392.0</v>
      </c>
      <c r="E5936" s="24"/>
      <c r="F5936" s="14">
        <v>1.25</v>
      </c>
      <c r="G5936" s="14">
        <v>833.33</v>
      </c>
      <c r="H5936" s="14">
        <v>66.67</v>
      </c>
      <c r="I5936" s="14" t="s">
        <v>6068</v>
      </c>
      <c r="J5936" s="14">
        <v>0.0</v>
      </c>
      <c r="K5936" s="14" t="s">
        <v>6012</v>
      </c>
      <c r="L5936" s="14">
        <v>0.0</v>
      </c>
    </row>
    <row r="5937">
      <c r="A5937" s="14">
        <v>102.0</v>
      </c>
      <c r="B5937" s="14">
        <v>53.0</v>
      </c>
      <c r="C5937" s="34">
        <v>70.68</v>
      </c>
      <c r="D5937" s="36">
        <v>45392.0</v>
      </c>
      <c r="E5937" s="24"/>
      <c r="F5937" s="14">
        <v>1.33</v>
      </c>
      <c r="G5937" s="14">
        <v>692.94</v>
      </c>
      <c r="H5937" s="14">
        <v>51.96</v>
      </c>
      <c r="I5937" s="14" t="s">
        <v>6067</v>
      </c>
      <c r="J5937" s="14">
        <v>0.0</v>
      </c>
      <c r="K5937" s="14" t="s">
        <v>6012</v>
      </c>
      <c r="L5937" s="14">
        <v>2.0</v>
      </c>
    </row>
    <row r="5938">
      <c r="A5938" s="14">
        <v>16.0</v>
      </c>
      <c r="B5938" s="14">
        <v>18.0</v>
      </c>
      <c r="C5938" s="34">
        <v>11.87</v>
      </c>
      <c r="D5938" s="36">
        <v>45392.0</v>
      </c>
      <c r="E5938" s="24"/>
      <c r="F5938" s="14">
        <v>0.66</v>
      </c>
      <c r="G5938" s="14">
        <v>741.88</v>
      </c>
      <c r="H5938" s="14">
        <v>112.5</v>
      </c>
      <c r="I5938" s="14" t="s">
        <v>6071</v>
      </c>
      <c r="J5938" s="14">
        <v>0.0</v>
      </c>
      <c r="K5938" s="14" t="s">
        <v>6012</v>
      </c>
      <c r="L5938" s="14">
        <v>0.0</v>
      </c>
    </row>
    <row r="5939">
      <c r="A5939" s="14">
        <v>158.0</v>
      </c>
      <c r="B5939" s="14">
        <v>87.0</v>
      </c>
      <c r="C5939" s="34">
        <v>110.47</v>
      </c>
      <c r="D5939" s="36">
        <v>45392.0</v>
      </c>
      <c r="E5939" s="24"/>
      <c r="F5939" s="14">
        <v>1.27</v>
      </c>
      <c r="G5939" s="14">
        <v>699.18</v>
      </c>
      <c r="H5939" s="14">
        <v>55.06</v>
      </c>
      <c r="I5939" s="14" t="s">
        <v>6069</v>
      </c>
      <c r="J5939" s="14">
        <v>0.0</v>
      </c>
      <c r="K5939" s="14" t="s">
        <v>6012</v>
      </c>
      <c r="L5939" s="14">
        <v>0.0</v>
      </c>
    </row>
    <row r="5940">
      <c r="A5940" s="14">
        <v>0.0</v>
      </c>
      <c r="B5940" s="14">
        <v>1.0</v>
      </c>
      <c r="C5940" s="34">
        <v>0.0</v>
      </c>
      <c r="D5940" s="36">
        <v>45392.0</v>
      </c>
      <c r="E5940" s="24"/>
      <c r="F5940" s="14">
        <v>0.0</v>
      </c>
      <c r="G5940" s="14" t="s">
        <v>6012</v>
      </c>
      <c r="H5940" s="14" t="s">
        <v>6012</v>
      </c>
      <c r="I5940" s="14" t="s">
        <v>6065</v>
      </c>
      <c r="J5940" s="14">
        <v>0.0</v>
      </c>
      <c r="K5940" s="14" t="s">
        <v>6012</v>
      </c>
      <c r="L5940" s="14">
        <v>0.0</v>
      </c>
    </row>
    <row r="5941">
      <c r="A5941" s="14">
        <v>148.0</v>
      </c>
      <c r="B5941" s="14">
        <v>88.0</v>
      </c>
      <c r="C5941" s="34">
        <v>108.95</v>
      </c>
      <c r="D5941" s="36">
        <v>45392.0</v>
      </c>
      <c r="E5941" s="24"/>
      <c r="F5941" s="14">
        <v>1.24</v>
      </c>
      <c r="G5941" s="14">
        <v>736.15</v>
      </c>
      <c r="H5941" s="14">
        <v>59.46</v>
      </c>
      <c r="I5941" s="14" t="s">
        <v>6072</v>
      </c>
      <c r="J5941" s="14">
        <v>1.14</v>
      </c>
      <c r="K5941" s="14">
        <v>108.95</v>
      </c>
      <c r="L5941" s="14">
        <v>2.0</v>
      </c>
    </row>
    <row r="5942">
      <c r="A5942" s="14">
        <v>25.0</v>
      </c>
      <c r="B5942" s="14">
        <v>19.0</v>
      </c>
      <c r="C5942" s="34">
        <v>16.15</v>
      </c>
      <c r="D5942" s="36">
        <v>45393.0</v>
      </c>
      <c r="E5942" s="24"/>
      <c r="F5942" s="14">
        <v>0.85</v>
      </c>
      <c r="G5942" s="14">
        <v>646.0</v>
      </c>
      <c r="H5942" s="14">
        <v>76.0</v>
      </c>
      <c r="I5942" s="14" t="s">
        <v>6071</v>
      </c>
      <c r="J5942" s="14">
        <v>0.0</v>
      </c>
      <c r="K5942" s="14" t="s">
        <v>6012</v>
      </c>
      <c r="L5942" s="14">
        <v>0.0</v>
      </c>
    </row>
    <row r="5943">
      <c r="A5943" s="14">
        <v>152.0</v>
      </c>
      <c r="B5943" s="14">
        <v>86.0</v>
      </c>
      <c r="C5943" s="34">
        <v>108.82</v>
      </c>
      <c r="D5943" s="36">
        <v>45393.0</v>
      </c>
      <c r="E5943" s="24"/>
      <c r="F5943" s="14">
        <v>1.27</v>
      </c>
      <c r="G5943" s="14">
        <v>715.92</v>
      </c>
      <c r="H5943" s="14">
        <v>56.58</v>
      </c>
      <c r="I5943" s="14" t="s">
        <v>6072</v>
      </c>
      <c r="J5943" s="14">
        <v>1.16</v>
      </c>
      <c r="K5943" s="14">
        <v>108.82</v>
      </c>
      <c r="L5943" s="14">
        <v>0.0</v>
      </c>
    </row>
    <row r="5944">
      <c r="A5944" s="14">
        <v>7.0</v>
      </c>
      <c r="B5944" s="14">
        <v>0.0</v>
      </c>
      <c r="C5944" s="34">
        <v>4.85</v>
      </c>
      <c r="D5944" s="36">
        <v>45393.0</v>
      </c>
      <c r="E5944" s="24"/>
      <c r="F5944" s="14" t="s">
        <v>6012</v>
      </c>
      <c r="G5944" s="14">
        <v>692.86</v>
      </c>
      <c r="H5944" s="14">
        <v>0.0</v>
      </c>
      <c r="I5944" s="14" t="s">
        <v>6068</v>
      </c>
      <c r="J5944" s="14" t="s">
        <v>6012</v>
      </c>
      <c r="K5944" s="14" t="s">
        <v>6012</v>
      </c>
      <c r="L5944" s="14">
        <v>0.0</v>
      </c>
    </row>
    <row r="5945">
      <c r="A5945" s="14">
        <v>147.0</v>
      </c>
      <c r="B5945" s="14">
        <v>94.0</v>
      </c>
      <c r="C5945" s="34">
        <v>105.98</v>
      </c>
      <c r="D5945" s="36">
        <v>45393.0</v>
      </c>
      <c r="E5945" s="24"/>
      <c r="F5945" s="14">
        <v>1.13</v>
      </c>
      <c r="G5945" s="14">
        <v>720.95</v>
      </c>
      <c r="H5945" s="14">
        <v>63.95</v>
      </c>
      <c r="I5945" s="14" t="s">
        <v>6069</v>
      </c>
      <c r="J5945" s="14">
        <v>0.0</v>
      </c>
      <c r="K5945" s="14" t="s">
        <v>6012</v>
      </c>
      <c r="L5945" s="14">
        <v>2.0</v>
      </c>
    </row>
    <row r="5946">
      <c r="A5946" s="14">
        <v>3686.0</v>
      </c>
      <c r="B5946" s="14">
        <v>85.0</v>
      </c>
      <c r="C5946" s="34">
        <v>111.77</v>
      </c>
      <c r="D5946" s="36">
        <v>45393.0</v>
      </c>
      <c r="E5946" s="24"/>
      <c r="F5946" s="14">
        <v>1.31</v>
      </c>
      <c r="G5946" s="14">
        <v>30.32</v>
      </c>
      <c r="H5946" s="14">
        <v>2.31</v>
      </c>
      <c r="I5946" s="14" t="s">
        <v>6073</v>
      </c>
      <c r="J5946" s="14">
        <v>3.53</v>
      </c>
      <c r="K5946" s="14">
        <v>37.26</v>
      </c>
      <c r="L5946" s="14">
        <v>0.0</v>
      </c>
    </row>
    <row r="5947">
      <c r="A5947" s="14">
        <v>119.0</v>
      </c>
      <c r="B5947" s="14">
        <v>60.0</v>
      </c>
      <c r="C5947" s="34">
        <v>85.94</v>
      </c>
      <c r="D5947" s="36">
        <v>45393.0</v>
      </c>
      <c r="E5947" s="24"/>
      <c r="F5947" s="14">
        <v>1.43</v>
      </c>
      <c r="G5947" s="14">
        <v>722.18</v>
      </c>
      <c r="H5947" s="14">
        <v>50.42</v>
      </c>
      <c r="I5947" s="14" t="s">
        <v>6067</v>
      </c>
      <c r="J5947" s="14">
        <v>0.0</v>
      </c>
      <c r="K5947" s="14" t="s">
        <v>6012</v>
      </c>
      <c r="L5947" s="14">
        <v>1.0</v>
      </c>
    </row>
    <row r="5948">
      <c r="A5948" s="14">
        <v>78.0</v>
      </c>
      <c r="B5948" s="14">
        <v>47.0</v>
      </c>
      <c r="C5948" s="34">
        <v>56.13</v>
      </c>
      <c r="D5948" s="36">
        <v>45394.0</v>
      </c>
      <c r="E5948" s="24"/>
      <c r="F5948" s="14">
        <v>1.19</v>
      </c>
      <c r="G5948" s="14">
        <v>719.62</v>
      </c>
      <c r="H5948" s="14">
        <v>60.26</v>
      </c>
      <c r="I5948" s="14" t="s">
        <v>6067</v>
      </c>
      <c r="J5948" s="14">
        <v>0.0</v>
      </c>
      <c r="K5948" s="14" t="s">
        <v>6012</v>
      </c>
      <c r="L5948" s="14">
        <v>0.0</v>
      </c>
    </row>
    <row r="5949">
      <c r="A5949" s="14">
        <v>19.0</v>
      </c>
      <c r="B5949" s="14">
        <v>15.0</v>
      </c>
      <c r="C5949" s="34">
        <v>14.18</v>
      </c>
      <c r="D5949" s="36">
        <v>45394.0</v>
      </c>
      <c r="E5949" s="24"/>
      <c r="F5949" s="14">
        <v>0.95</v>
      </c>
      <c r="G5949" s="14">
        <v>746.32</v>
      </c>
      <c r="H5949" s="14">
        <v>78.95</v>
      </c>
      <c r="I5949" s="14" t="s">
        <v>6071</v>
      </c>
      <c r="J5949" s="14">
        <v>0.0</v>
      </c>
      <c r="K5949" s="14" t="s">
        <v>6012</v>
      </c>
      <c r="L5949" s="14">
        <v>0.0</v>
      </c>
    </row>
    <row r="5950">
      <c r="A5950" s="14">
        <v>148.0</v>
      </c>
      <c r="B5950" s="14">
        <v>92.0</v>
      </c>
      <c r="C5950" s="34">
        <v>107.97</v>
      </c>
      <c r="D5950" s="36">
        <v>45394.0</v>
      </c>
      <c r="E5950" s="24"/>
      <c r="F5950" s="14">
        <v>1.17</v>
      </c>
      <c r="G5950" s="14">
        <v>729.53</v>
      </c>
      <c r="H5950" s="14">
        <v>62.16</v>
      </c>
      <c r="I5950" s="14" t="s">
        <v>6069</v>
      </c>
      <c r="J5950" s="14">
        <v>0.0</v>
      </c>
      <c r="K5950" s="14" t="s">
        <v>6012</v>
      </c>
      <c r="L5950" s="14">
        <v>1.0</v>
      </c>
    </row>
    <row r="5951">
      <c r="A5951" s="14">
        <v>3997.0</v>
      </c>
      <c r="B5951" s="14">
        <v>80.0</v>
      </c>
      <c r="C5951" s="34">
        <v>115.98</v>
      </c>
      <c r="D5951" s="36">
        <v>45394.0</v>
      </c>
      <c r="E5951" s="24"/>
      <c r="F5951" s="14">
        <v>1.45</v>
      </c>
      <c r="G5951" s="14">
        <v>29.02</v>
      </c>
      <c r="H5951" s="14">
        <v>2.0</v>
      </c>
      <c r="I5951" s="14" t="s">
        <v>6073</v>
      </c>
      <c r="J5951" s="14">
        <v>1.25</v>
      </c>
      <c r="K5951" s="14">
        <v>115.98</v>
      </c>
      <c r="L5951" s="14">
        <v>0.0</v>
      </c>
    </row>
    <row r="5952">
      <c r="A5952" s="14">
        <v>4.0</v>
      </c>
      <c r="B5952" s="14">
        <v>4.0</v>
      </c>
      <c r="C5952" s="34">
        <v>3.55</v>
      </c>
      <c r="D5952" s="36">
        <v>45394.0</v>
      </c>
      <c r="E5952" s="24"/>
      <c r="F5952" s="14">
        <v>0.89</v>
      </c>
      <c r="G5952" s="14">
        <v>887.5</v>
      </c>
      <c r="H5952" s="14">
        <v>100.0</v>
      </c>
      <c r="I5952" s="14" t="s">
        <v>6068</v>
      </c>
      <c r="J5952" s="14">
        <v>0.0</v>
      </c>
      <c r="K5952" s="14" t="s">
        <v>6012</v>
      </c>
      <c r="L5952" s="14">
        <v>0.0</v>
      </c>
    </row>
    <row r="5953">
      <c r="A5953" s="14">
        <v>131.0</v>
      </c>
      <c r="B5953" s="14">
        <v>83.0</v>
      </c>
      <c r="C5953" s="34">
        <v>107.46</v>
      </c>
      <c r="D5953" s="36">
        <v>45394.0</v>
      </c>
      <c r="E5953" s="24"/>
      <c r="F5953" s="14">
        <v>1.29</v>
      </c>
      <c r="G5953" s="14">
        <v>820.31</v>
      </c>
      <c r="H5953" s="14">
        <v>63.36</v>
      </c>
      <c r="I5953" s="14" t="s">
        <v>6072</v>
      </c>
      <c r="J5953" s="14">
        <v>0.0</v>
      </c>
      <c r="K5953" s="14" t="s">
        <v>6012</v>
      </c>
      <c r="L5953" s="14">
        <v>1.0</v>
      </c>
    </row>
    <row r="5954">
      <c r="A5954" s="14">
        <v>13.0</v>
      </c>
      <c r="B5954" s="14">
        <v>7.0</v>
      </c>
      <c r="C5954" s="34">
        <v>9.27</v>
      </c>
      <c r="D5954" s="36">
        <v>45395.0</v>
      </c>
      <c r="E5954" s="24"/>
      <c r="F5954" s="14">
        <v>1.32</v>
      </c>
      <c r="G5954" s="14">
        <v>713.08</v>
      </c>
      <c r="H5954" s="14">
        <v>53.85</v>
      </c>
      <c r="I5954" s="14" t="s">
        <v>6071</v>
      </c>
      <c r="J5954" s="14">
        <v>0.0</v>
      </c>
      <c r="K5954" s="14" t="s">
        <v>6012</v>
      </c>
      <c r="L5954" s="14">
        <v>1.0</v>
      </c>
    </row>
    <row r="5955">
      <c r="A5955" s="14">
        <v>108.0</v>
      </c>
      <c r="B5955" s="14">
        <v>53.0</v>
      </c>
      <c r="C5955" s="34">
        <v>78.56</v>
      </c>
      <c r="D5955" s="36">
        <v>45395.0</v>
      </c>
      <c r="E5955" s="24"/>
      <c r="F5955" s="14">
        <v>1.48</v>
      </c>
      <c r="G5955" s="14">
        <v>727.41</v>
      </c>
      <c r="H5955" s="14">
        <v>49.07</v>
      </c>
      <c r="I5955" s="14" t="s">
        <v>6072</v>
      </c>
      <c r="J5955" s="14">
        <v>0.0</v>
      </c>
      <c r="K5955" s="14" t="s">
        <v>6012</v>
      </c>
      <c r="L5955" s="14">
        <v>0.0</v>
      </c>
    </row>
    <row r="5956">
      <c r="A5956" s="14">
        <v>39.0</v>
      </c>
      <c r="B5956" s="14">
        <v>12.0</v>
      </c>
      <c r="C5956" s="34">
        <v>29.31</v>
      </c>
      <c r="D5956" s="36">
        <v>45395.0</v>
      </c>
      <c r="E5956" s="24"/>
      <c r="F5956" s="14">
        <v>2.44</v>
      </c>
      <c r="G5956" s="14">
        <v>751.54</v>
      </c>
      <c r="H5956" s="14">
        <v>30.77</v>
      </c>
      <c r="I5956" s="14" t="s">
        <v>6067</v>
      </c>
      <c r="J5956" s="14">
        <v>0.0</v>
      </c>
      <c r="K5956" s="14" t="s">
        <v>6012</v>
      </c>
      <c r="L5956" s="14">
        <v>0.0</v>
      </c>
    </row>
    <row r="5957">
      <c r="A5957" s="14">
        <v>3113.0</v>
      </c>
      <c r="B5957" s="14">
        <v>72.0</v>
      </c>
      <c r="C5957" s="34">
        <v>68.99</v>
      </c>
      <c r="D5957" s="36">
        <v>45395.0</v>
      </c>
      <c r="E5957" s="24"/>
      <c r="F5957" s="14">
        <v>0.96</v>
      </c>
      <c r="G5957" s="14">
        <v>22.16</v>
      </c>
      <c r="H5957" s="14">
        <v>2.31</v>
      </c>
      <c r="I5957" s="14" t="s">
        <v>6073</v>
      </c>
      <c r="J5957" s="14">
        <v>5.56</v>
      </c>
      <c r="K5957" s="14">
        <v>17.25</v>
      </c>
      <c r="L5957" s="14">
        <v>0.0</v>
      </c>
    </row>
    <row r="5958">
      <c r="A5958" s="14">
        <v>3.0</v>
      </c>
      <c r="B5958" s="14">
        <v>0.0</v>
      </c>
      <c r="C5958" s="34">
        <v>2.15</v>
      </c>
      <c r="D5958" s="36">
        <v>45395.0</v>
      </c>
      <c r="E5958" s="24"/>
      <c r="F5958" s="14" t="s">
        <v>6012</v>
      </c>
      <c r="G5958" s="14">
        <v>716.67</v>
      </c>
      <c r="H5958" s="14">
        <v>0.0</v>
      </c>
      <c r="I5958" s="14" t="s">
        <v>6068</v>
      </c>
      <c r="J5958" s="14" t="s">
        <v>6012</v>
      </c>
      <c r="K5958" s="14" t="s">
        <v>6012</v>
      </c>
      <c r="L5958" s="14">
        <v>0.0</v>
      </c>
    </row>
    <row r="5959">
      <c r="A5959" s="14">
        <v>106.0</v>
      </c>
      <c r="B5959" s="14">
        <v>51.0</v>
      </c>
      <c r="C5959" s="34">
        <v>73.52</v>
      </c>
      <c r="D5959" s="36">
        <v>45395.0</v>
      </c>
      <c r="E5959" s="24"/>
      <c r="F5959" s="14">
        <v>1.44</v>
      </c>
      <c r="G5959" s="14">
        <v>693.58</v>
      </c>
      <c r="H5959" s="14">
        <v>48.11</v>
      </c>
      <c r="I5959" s="14" t="s">
        <v>6069</v>
      </c>
      <c r="J5959" s="14">
        <v>0.0</v>
      </c>
      <c r="K5959" s="14" t="s">
        <v>6012</v>
      </c>
      <c r="L5959" s="14">
        <v>0.0</v>
      </c>
    </row>
    <row r="5960">
      <c r="A5960" s="14">
        <v>33.0</v>
      </c>
      <c r="B5960" s="14">
        <v>22.0</v>
      </c>
      <c r="C5960" s="34">
        <v>24.53</v>
      </c>
      <c r="D5960" s="36">
        <v>45396.0</v>
      </c>
      <c r="E5960" s="24"/>
      <c r="F5960" s="14">
        <v>1.12</v>
      </c>
      <c r="G5960" s="14">
        <v>743.33</v>
      </c>
      <c r="H5960" s="14">
        <v>66.67</v>
      </c>
      <c r="I5960" s="14" t="s">
        <v>6067</v>
      </c>
      <c r="J5960" s="14">
        <v>0.0</v>
      </c>
      <c r="K5960" s="14" t="s">
        <v>6012</v>
      </c>
      <c r="L5960" s="14">
        <v>2.0</v>
      </c>
    </row>
    <row r="5961">
      <c r="A5961" s="14">
        <v>23.0</v>
      </c>
      <c r="B5961" s="14">
        <v>11.0</v>
      </c>
      <c r="C5961" s="34">
        <v>20.48</v>
      </c>
      <c r="D5961" s="36">
        <v>45396.0</v>
      </c>
      <c r="E5961" s="24"/>
      <c r="F5961" s="14">
        <v>1.86</v>
      </c>
      <c r="G5961" s="14">
        <v>890.43</v>
      </c>
      <c r="H5961" s="14">
        <v>47.83</v>
      </c>
      <c r="I5961" s="14" t="s">
        <v>6071</v>
      </c>
      <c r="J5961" s="14">
        <v>9.09</v>
      </c>
      <c r="K5961" s="14">
        <v>20.48</v>
      </c>
      <c r="L5961" s="14">
        <v>1.0</v>
      </c>
    </row>
    <row r="5962">
      <c r="A5962" s="14">
        <v>2985.0</v>
      </c>
      <c r="B5962" s="14">
        <v>55.0</v>
      </c>
      <c r="C5962" s="34">
        <v>67.78</v>
      </c>
      <c r="D5962" s="36">
        <v>45396.0</v>
      </c>
      <c r="E5962" s="24"/>
      <c r="F5962" s="14">
        <v>1.23</v>
      </c>
      <c r="G5962" s="14">
        <v>22.71</v>
      </c>
      <c r="H5962" s="14">
        <v>1.84</v>
      </c>
      <c r="I5962" s="14" t="s">
        <v>6073</v>
      </c>
      <c r="J5962" s="14">
        <v>3.64</v>
      </c>
      <c r="K5962" s="14">
        <v>33.89</v>
      </c>
      <c r="L5962" s="14">
        <v>0.0</v>
      </c>
    </row>
    <row r="5963">
      <c r="A5963" s="14">
        <v>101.0</v>
      </c>
      <c r="B5963" s="14">
        <v>56.0</v>
      </c>
      <c r="C5963" s="34">
        <v>73.67</v>
      </c>
      <c r="D5963" s="36">
        <v>45396.0</v>
      </c>
      <c r="E5963" s="24"/>
      <c r="F5963" s="14">
        <v>1.32</v>
      </c>
      <c r="G5963" s="14">
        <v>729.41</v>
      </c>
      <c r="H5963" s="14">
        <v>55.45</v>
      </c>
      <c r="I5963" s="14" t="s">
        <v>6072</v>
      </c>
      <c r="J5963" s="14">
        <v>0.0</v>
      </c>
      <c r="K5963" s="14" t="s">
        <v>6012</v>
      </c>
      <c r="L5963" s="14">
        <v>0.0</v>
      </c>
    </row>
    <row r="5964">
      <c r="A5964" s="14">
        <v>2.0</v>
      </c>
      <c r="B5964" s="14">
        <v>0.0</v>
      </c>
      <c r="C5964" s="34">
        <v>1.25</v>
      </c>
      <c r="D5964" s="36">
        <v>45396.0</v>
      </c>
      <c r="E5964" s="24"/>
      <c r="F5964" s="14" t="s">
        <v>6012</v>
      </c>
      <c r="G5964" s="14">
        <v>625.0</v>
      </c>
      <c r="H5964" s="14">
        <v>0.0</v>
      </c>
      <c r="I5964" s="14" t="s">
        <v>6068</v>
      </c>
      <c r="J5964" s="14" t="s">
        <v>6012</v>
      </c>
      <c r="K5964" s="14" t="s">
        <v>6012</v>
      </c>
      <c r="L5964" s="14">
        <v>0.0</v>
      </c>
    </row>
    <row r="5965">
      <c r="A5965" s="14">
        <v>119.0</v>
      </c>
      <c r="B5965" s="14">
        <v>58.0</v>
      </c>
      <c r="C5965" s="34">
        <v>83.56</v>
      </c>
      <c r="D5965" s="36">
        <v>45396.0</v>
      </c>
      <c r="E5965" s="24"/>
      <c r="F5965" s="14">
        <v>1.44</v>
      </c>
      <c r="G5965" s="14">
        <v>702.18</v>
      </c>
      <c r="H5965" s="14">
        <v>48.74</v>
      </c>
      <c r="I5965" s="14" t="s">
        <v>6069</v>
      </c>
      <c r="J5965" s="14">
        <v>0.0</v>
      </c>
      <c r="K5965" s="14" t="s">
        <v>6012</v>
      </c>
      <c r="L5965" s="14">
        <v>1.0</v>
      </c>
    </row>
    <row r="5966">
      <c r="A5966" s="14">
        <v>88.0</v>
      </c>
      <c r="B5966" s="14">
        <v>46.0</v>
      </c>
      <c r="C5966" s="34">
        <v>58.54</v>
      </c>
      <c r="D5966" s="36">
        <v>45397.0</v>
      </c>
      <c r="E5966" s="24"/>
      <c r="F5966" s="14">
        <v>1.27</v>
      </c>
      <c r="G5966" s="14">
        <v>665.23</v>
      </c>
      <c r="H5966" s="14">
        <v>52.27</v>
      </c>
      <c r="I5966" s="14" t="s">
        <v>6067</v>
      </c>
      <c r="J5966" s="14">
        <v>0.0</v>
      </c>
      <c r="K5966" s="14" t="s">
        <v>6012</v>
      </c>
      <c r="L5966" s="14">
        <v>2.0</v>
      </c>
    </row>
    <row r="5967">
      <c r="A5967" s="14">
        <v>141.0</v>
      </c>
      <c r="B5967" s="14">
        <v>86.0</v>
      </c>
      <c r="C5967" s="34">
        <v>108.39</v>
      </c>
      <c r="D5967" s="36">
        <v>45397.0</v>
      </c>
      <c r="E5967" s="24"/>
      <c r="F5967" s="14">
        <v>1.26</v>
      </c>
      <c r="G5967" s="14">
        <v>768.72</v>
      </c>
      <c r="H5967" s="14">
        <v>60.99</v>
      </c>
      <c r="I5967" s="14" t="s">
        <v>6072</v>
      </c>
      <c r="J5967" s="14">
        <v>0.0</v>
      </c>
      <c r="K5967" s="14" t="s">
        <v>6012</v>
      </c>
      <c r="L5967" s="14">
        <v>1.0</v>
      </c>
    </row>
    <row r="5968">
      <c r="A5968" s="14">
        <v>23.0</v>
      </c>
      <c r="B5968" s="14">
        <v>18.0</v>
      </c>
      <c r="C5968" s="34">
        <v>17.72</v>
      </c>
      <c r="D5968" s="36">
        <v>45397.0</v>
      </c>
      <c r="E5968" s="24"/>
      <c r="F5968" s="14">
        <v>0.98</v>
      </c>
      <c r="G5968" s="14">
        <v>770.43</v>
      </c>
      <c r="H5968" s="14">
        <v>78.26</v>
      </c>
      <c r="I5968" s="14" t="s">
        <v>6071</v>
      </c>
      <c r="J5968" s="14">
        <v>0.0</v>
      </c>
      <c r="K5968" s="14" t="s">
        <v>6012</v>
      </c>
      <c r="L5968" s="14">
        <v>0.0</v>
      </c>
    </row>
    <row r="5969">
      <c r="A5969" s="14">
        <v>8.0</v>
      </c>
      <c r="B5969" s="14">
        <v>3.0</v>
      </c>
      <c r="C5969" s="34">
        <v>6.11</v>
      </c>
      <c r="D5969" s="36">
        <v>45397.0</v>
      </c>
      <c r="E5969" s="24"/>
      <c r="F5969" s="14">
        <v>2.04</v>
      </c>
      <c r="G5969" s="14">
        <v>763.75</v>
      </c>
      <c r="H5969" s="14">
        <v>37.5</v>
      </c>
      <c r="I5969" s="14" t="s">
        <v>6068</v>
      </c>
      <c r="J5969" s="14">
        <v>0.0</v>
      </c>
      <c r="K5969" s="14" t="s">
        <v>6012</v>
      </c>
      <c r="L5969" s="14">
        <v>0.0</v>
      </c>
    </row>
    <row r="5970">
      <c r="A5970" s="14">
        <v>148.0</v>
      </c>
      <c r="B5970" s="14">
        <v>115.0</v>
      </c>
      <c r="C5970" s="34">
        <v>107.94</v>
      </c>
      <c r="D5970" s="36">
        <v>45397.0</v>
      </c>
      <c r="E5970" s="24"/>
      <c r="F5970" s="14">
        <v>0.94</v>
      </c>
      <c r="G5970" s="14">
        <v>729.32</v>
      </c>
      <c r="H5970" s="14">
        <v>77.7</v>
      </c>
      <c r="I5970" s="14" t="s">
        <v>6069</v>
      </c>
      <c r="J5970" s="14">
        <v>0.0</v>
      </c>
      <c r="K5970" s="14" t="s">
        <v>6012</v>
      </c>
      <c r="L5970" s="14">
        <v>2.0</v>
      </c>
    </row>
    <row r="5971">
      <c r="A5971" s="14">
        <v>1238.0</v>
      </c>
      <c r="B5971" s="14">
        <v>21.0</v>
      </c>
      <c r="C5971" s="34">
        <v>35.86</v>
      </c>
      <c r="D5971" s="36">
        <v>45397.0</v>
      </c>
      <c r="E5971" s="24"/>
      <c r="F5971" s="14">
        <v>1.71</v>
      </c>
      <c r="G5971" s="14">
        <v>28.97</v>
      </c>
      <c r="H5971" s="14">
        <v>1.7</v>
      </c>
      <c r="I5971" s="14" t="s">
        <v>6073</v>
      </c>
      <c r="J5971" s="14">
        <v>9.52</v>
      </c>
      <c r="K5971" s="14">
        <v>17.93</v>
      </c>
      <c r="L5971" s="14">
        <v>0.0</v>
      </c>
    </row>
    <row r="5972">
      <c r="A5972" s="14">
        <v>21.0</v>
      </c>
      <c r="B5972" s="14">
        <v>14.0</v>
      </c>
      <c r="C5972" s="34">
        <v>16.67</v>
      </c>
      <c r="D5972" s="36">
        <v>45398.0</v>
      </c>
      <c r="E5972" s="24"/>
      <c r="F5972" s="14">
        <v>1.19</v>
      </c>
      <c r="G5972" s="14">
        <v>793.81</v>
      </c>
      <c r="H5972" s="14">
        <v>66.67</v>
      </c>
      <c r="I5972" s="14" t="s">
        <v>6071</v>
      </c>
      <c r="J5972" s="14">
        <v>0.0</v>
      </c>
      <c r="K5972" s="14" t="s">
        <v>6012</v>
      </c>
      <c r="L5972" s="14">
        <v>0.0</v>
      </c>
    </row>
    <row r="5973">
      <c r="A5973" s="14">
        <v>8.0</v>
      </c>
      <c r="B5973" s="14">
        <v>2.0</v>
      </c>
      <c r="C5973" s="34">
        <v>6.66</v>
      </c>
      <c r="D5973" s="36">
        <v>45398.0</v>
      </c>
      <c r="E5973" s="24"/>
      <c r="F5973" s="14">
        <v>3.33</v>
      </c>
      <c r="G5973" s="14">
        <v>832.5</v>
      </c>
      <c r="H5973" s="14">
        <v>25.0</v>
      </c>
      <c r="I5973" s="14" t="s">
        <v>6068</v>
      </c>
      <c r="J5973" s="14">
        <v>0.0</v>
      </c>
      <c r="K5973" s="14" t="s">
        <v>6012</v>
      </c>
      <c r="L5973" s="14">
        <v>0.0</v>
      </c>
    </row>
    <row r="5974">
      <c r="A5974" s="14">
        <v>152.0</v>
      </c>
      <c r="B5974" s="14">
        <v>89.0</v>
      </c>
      <c r="C5974" s="34">
        <v>111.19</v>
      </c>
      <c r="D5974" s="36">
        <v>45398.0</v>
      </c>
      <c r="E5974" s="24"/>
      <c r="F5974" s="14">
        <v>1.25</v>
      </c>
      <c r="G5974" s="14">
        <v>731.51</v>
      </c>
      <c r="H5974" s="14">
        <v>58.55</v>
      </c>
      <c r="I5974" s="14" t="s">
        <v>6072</v>
      </c>
      <c r="J5974" s="14">
        <v>0.0</v>
      </c>
      <c r="K5974" s="14" t="s">
        <v>6012</v>
      </c>
      <c r="L5974" s="14">
        <v>1.0</v>
      </c>
    </row>
    <row r="5975">
      <c r="A5975" s="14">
        <v>154.0</v>
      </c>
      <c r="B5975" s="14">
        <v>94.0</v>
      </c>
      <c r="C5975" s="34">
        <v>109.31</v>
      </c>
      <c r="D5975" s="36">
        <v>45398.0</v>
      </c>
      <c r="E5975" s="24"/>
      <c r="F5975" s="14">
        <v>1.16</v>
      </c>
      <c r="G5975" s="14">
        <v>709.81</v>
      </c>
      <c r="H5975" s="14">
        <v>61.04</v>
      </c>
      <c r="I5975" s="14" t="s">
        <v>6069</v>
      </c>
      <c r="J5975" s="14">
        <v>1.06</v>
      </c>
      <c r="K5975" s="14">
        <v>109.31</v>
      </c>
      <c r="L5975" s="14">
        <v>2.0</v>
      </c>
    </row>
    <row r="5976">
      <c r="A5976" s="14">
        <v>0.0</v>
      </c>
      <c r="B5976" s="14">
        <v>0.0</v>
      </c>
      <c r="C5976" s="34"/>
      <c r="D5976" s="36">
        <v>45398.0</v>
      </c>
      <c r="E5976" s="24"/>
      <c r="F5976" s="14" t="s">
        <v>6012</v>
      </c>
      <c r="G5976" s="14" t="s">
        <v>6012</v>
      </c>
      <c r="H5976" s="14" t="s">
        <v>6012</v>
      </c>
      <c r="I5976" s="14" t="s">
        <v>6073</v>
      </c>
      <c r="J5976" s="14" t="s">
        <v>6012</v>
      </c>
      <c r="K5976" s="14" t="s">
        <v>6012</v>
      </c>
      <c r="L5976" s="14"/>
    </row>
    <row r="5977">
      <c r="A5977" s="14">
        <v>60.0</v>
      </c>
      <c r="B5977" s="14">
        <v>52.0</v>
      </c>
      <c r="C5977" s="34">
        <v>41.36</v>
      </c>
      <c r="D5977" s="36">
        <v>45398.0</v>
      </c>
      <c r="E5977" s="24"/>
      <c r="F5977" s="14">
        <v>0.8</v>
      </c>
      <c r="G5977" s="14">
        <v>689.33</v>
      </c>
      <c r="H5977" s="14">
        <v>86.67</v>
      </c>
      <c r="I5977" s="14" t="s">
        <v>6067</v>
      </c>
      <c r="J5977" s="14">
        <v>3.85</v>
      </c>
      <c r="K5977" s="14">
        <v>20.68</v>
      </c>
      <c r="L5977" s="14">
        <v>3.0</v>
      </c>
    </row>
    <row r="5978">
      <c r="A5978" s="14">
        <v>134.0</v>
      </c>
      <c r="B5978" s="14">
        <v>87.0</v>
      </c>
      <c r="C5978" s="34">
        <v>101.37</v>
      </c>
      <c r="D5978" s="36">
        <v>45399.0</v>
      </c>
      <c r="E5978" s="24"/>
      <c r="F5978" s="14">
        <v>1.17</v>
      </c>
      <c r="G5978" s="14">
        <v>756.49</v>
      </c>
      <c r="H5978" s="14">
        <v>64.93</v>
      </c>
      <c r="I5978" s="14" t="s">
        <v>6069</v>
      </c>
      <c r="J5978" s="14">
        <v>0.0</v>
      </c>
      <c r="K5978" s="14" t="s">
        <v>6012</v>
      </c>
      <c r="L5978" s="14">
        <v>0.0</v>
      </c>
    </row>
    <row r="5979">
      <c r="A5979" s="14">
        <v>65.0</v>
      </c>
      <c r="B5979" s="14">
        <v>33.0</v>
      </c>
      <c r="C5979" s="34">
        <v>47.32</v>
      </c>
      <c r="D5979" s="36">
        <v>45399.0</v>
      </c>
      <c r="E5979" s="24"/>
      <c r="F5979" s="14">
        <v>1.43</v>
      </c>
      <c r="G5979" s="14">
        <v>728.0</v>
      </c>
      <c r="H5979" s="14">
        <v>50.77</v>
      </c>
      <c r="I5979" s="14" t="s">
        <v>6067</v>
      </c>
      <c r="J5979" s="14">
        <v>0.0</v>
      </c>
      <c r="K5979" s="14" t="s">
        <v>6012</v>
      </c>
      <c r="L5979" s="14">
        <v>0.0</v>
      </c>
    </row>
    <row r="5980">
      <c r="A5980" s="14">
        <v>140.0</v>
      </c>
      <c r="B5980" s="14">
        <v>104.0</v>
      </c>
      <c r="C5980" s="34">
        <v>109.18</v>
      </c>
      <c r="D5980" s="36">
        <v>45399.0</v>
      </c>
      <c r="E5980" s="24"/>
      <c r="F5980" s="14">
        <v>1.05</v>
      </c>
      <c r="G5980" s="14">
        <v>779.86</v>
      </c>
      <c r="H5980" s="14">
        <v>74.29</v>
      </c>
      <c r="I5980" s="14" t="s">
        <v>6072</v>
      </c>
      <c r="J5980" s="14">
        <v>0.0</v>
      </c>
      <c r="K5980" s="14" t="s">
        <v>6012</v>
      </c>
      <c r="L5980" s="14">
        <v>1.0</v>
      </c>
    </row>
    <row r="5981">
      <c r="A5981" s="14">
        <v>0.0</v>
      </c>
      <c r="B5981" s="14">
        <v>0.0</v>
      </c>
      <c r="C5981" s="34"/>
      <c r="D5981" s="36">
        <v>45399.0</v>
      </c>
      <c r="E5981" s="24"/>
      <c r="F5981" s="14" t="s">
        <v>6012</v>
      </c>
      <c r="G5981" s="14" t="s">
        <v>6012</v>
      </c>
      <c r="H5981" s="14" t="s">
        <v>6012</v>
      </c>
      <c r="I5981" s="14" t="s">
        <v>6073</v>
      </c>
      <c r="J5981" s="14" t="s">
        <v>6012</v>
      </c>
      <c r="K5981" s="14" t="s">
        <v>6012</v>
      </c>
      <c r="L5981" s="14"/>
    </row>
    <row r="5982">
      <c r="A5982" s="14">
        <v>7.0</v>
      </c>
      <c r="B5982" s="14">
        <v>5.0</v>
      </c>
      <c r="C5982" s="34">
        <v>6.14</v>
      </c>
      <c r="D5982" s="36">
        <v>45399.0</v>
      </c>
      <c r="E5982" s="24"/>
      <c r="F5982" s="14">
        <v>1.23</v>
      </c>
      <c r="G5982" s="14">
        <v>877.14</v>
      </c>
      <c r="H5982" s="14">
        <v>71.43</v>
      </c>
      <c r="I5982" s="14" t="s">
        <v>6068</v>
      </c>
      <c r="J5982" s="14">
        <v>0.0</v>
      </c>
      <c r="K5982" s="14" t="s">
        <v>6012</v>
      </c>
      <c r="L5982" s="14">
        <v>1.0</v>
      </c>
    </row>
    <row r="5983">
      <c r="A5983" s="14">
        <v>17.0</v>
      </c>
      <c r="B5983" s="14">
        <v>13.0</v>
      </c>
      <c r="C5983" s="34">
        <v>11.95</v>
      </c>
      <c r="D5983" s="36">
        <v>45399.0</v>
      </c>
      <c r="E5983" s="24"/>
      <c r="F5983" s="14">
        <v>0.92</v>
      </c>
      <c r="G5983" s="14">
        <v>702.94</v>
      </c>
      <c r="H5983" s="14">
        <v>76.47</v>
      </c>
      <c r="I5983" s="14" t="s">
        <v>6071</v>
      </c>
      <c r="J5983" s="14">
        <v>0.0</v>
      </c>
      <c r="K5983" s="14" t="s">
        <v>6012</v>
      </c>
      <c r="L5983" s="14">
        <v>0.0</v>
      </c>
    </row>
    <row r="5984">
      <c r="A5984" s="14">
        <v>145.0</v>
      </c>
      <c r="B5984" s="14">
        <v>91.0</v>
      </c>
      <c r="C5984" s="34">
        <v>111.28</v>
      </c>
      <c r="D5984" s="36">
        <v>45400.0</v>
      </c>
      <c r="E5984" s="24"/>
      <c r="F5984" s="14">
        <v>1.22</v>
      </c>
      <c r="G5984" s="14">
        <v>767.45</v>
      </c>
      <c r="H5984" s="14">
        <v>62.76</v>
      </c>
      <c r="I5984" s="14" t="s">
        <v>6072</v>
      </c>
      <c r="J5984" s="14">
        <v>0.0</v>
      </c>
      <c r="K5984" s="14" t="s">
        <v>6012</v>
      </c>
      <c r="L5984" s="14">
        <v>1.0</v>
      </c>
    </row>
    <row r="5985">
      <c r="A5985" s="14">
        <v>131.0</v>
      </c>
      <c r="B5985" s="14">
        <v>103.0</v>
      </c>
      <c r="C5985" s="34">
        <v>101.01</v>
      </c>
      <c r="D5985" s="36">
        <v>45400.0</v>
      </c>
      <c r="E5985" s="24"/>
      <c r="F5985" s="14">
        <v>0.98</v>
      </c>
      <c r="G5985" s="14">
        <v>771.07</v>
      </c>
      <c r="H5985" s="14">
        <v>78.63</v>
      </c>
      <c r="I5985" s="14" t="s">
        <v>6069</v>
      </c>
      <c r="J5985" s="14">
        <v>0.97</v>
      </c>
      <c r="K5985" s="14">
        <v>101.01</v>
      </c>
      <c r="L5985" s="14">
        <v>5.0</v>
      </c>
    </row>
    <row r="5986">
      <c r="A5986" s="14">
        <v>62.0</v>
      </c>
      <c r="B5986" s="14">
        <v>38.0</v>
      </c>
      <c r="C5986" s="34">
        <v>43.02</v>
      </c>
      <c r="D5986" s="36">
        <v>45400.0</v>
      </c>
      <c r="E5986" s="24"/>
      <c r="F5986" s="14">
        <v>1.13</v>
      </c>
      <c r="G5986" s="14">
        <v>693.87</v>
      </c>
      <c r="H5986" s="14">
        <v>61.29</v>
      </c>
      <c r="I5986" s="14" t="s">
        <v>6067</v>
      </c>
      <c r="J5986" s="14">
        <v>2.63</v>
      </c>
      <c r="K5986" s="14">
        <v>43.02</v>
      </c>
      <c r="L5986" s="14">
        <v>1.0</v>
      </c>
    </row>
    <row r="5987">
      <c r="A5987" s="14">
        <v>0.0</v>
      </c>
      <c r="B5987" s="14">
        <v>2.0</v>
      </c>
      <c r="C5987" s="34">
        <v>0.0</v>
      </c>
      <c r="D5987" s="36">
        <v>45400.0</v>
      </c>
      <c r="E5987" s="24"/>
      <c r="F5987" s="14">
        <v>0.0</v>
      </c>
      <c r="G5987" s="14" t="s">
        <v>6012</v>
      </c>
      <c r="H5987" s="14" t="s">
        <v>6012</v>
      </c>
      <c r="I5987" s="14" t="s">
        <v>6068</v>
      </c>
      <c r="J5987" s="14">
        <v>0.0</v>
      </c>
      <c r="K5987" s="14" t="s">
        <v>6012</v>
      </c>
      <c r="L5987" s="14">
        <v>0.0</v>
      </c>
    </row>
    <row r="5988">
      <c r="A5988" s="14">
        <v>20.0</v>
      </c>
      <c r="B5988" s="14">
        <v>15.0</v>
      </c>
      <c r="C5988" s="34">
        <v>13.9</v>
      </c>
      <c r="D5988" s="36">
        <v>45400.0</v>
      </c>
      <c r="E5988" s="24"/>
      <c r="F5988" s="14">
        <v>0.93</v>
      </c>
      <c r="G5988" s="14">
        <v>695.0</v>
      </c>
      <c r="H5988" s="14">
        <v>75.0</v>
      </c>
      <c r="I5988" s="14" t="s">
        <v>6071</v>
      </c>
      <c r="J5988" s="14">
        <v>6.67</v>
      </c>
      <c r="K5988" s="14">
        <v>13.9</v>
      </c>
      <c r="L5988" s="14">
        <v>0.0</v>
      </c>
    </row>
    <row r="5989">
      <c r="A5989" s="14">
        <v>0.0</v>
      </c>
      <c r="B5989" s="14">
        <v>0.0</v>
      </c>
      <c r="C5989" s="34"/>
      <c r="D5989" s="36">
        <v>45400.0</v>
      </c>
      <c r="E5989" s="24"/>
      <c r="F5989" s="14" t="s">
        <v>6012</v>
      </c>
      <c r="G5989" s="14" t="s">
        <v>6012</v>
      </c>
      <c r="H5989" s="14" t="s">
        <v>6012</v>
      </c>
      <c r="I5989" s="14" t="s">
        <v>6073</v>
      </c>
      <c r="J5989" s="14" t="s">
        <v>6012</v>
      </c>
      <c r="K5989" s="14" t="s">
        <v>6012</v>
      </c>
      <c r="L5989" s="14"/>
    </row>
    <row r="5990">
      <c r="A5990" s="14">
        <v>18.0</v>
      </c>
      <c r="B5990" s="14">
        <v>13.0</v>
      </c>
      <c r="C5990" s="34">
        <v>13.58</v>
      </c>
      <c r="D5990" s="36">
        <v>45401.0</v>
      </c>
      <c r="E5990" s="24"/>
      <c r="F5990" s="14">
        <v>1.04</v>
      </c>
      <c r="G5990" s="14">
        <v>754.44</v>
      </c>
      <c r="H5990" s="14">
        <v>72.22</v>
      </c>
      <c r="I5990" s="14" t="s">
        <v>6071</v>
      </c>
      <c r="J5990" s="14">
        <v>7.69</v>
      </c>
      <c r="K5990" s="14">
        <v>13.58</v>
      </c>
      <c r="L5990" s="14">
        <v>1.0</v>
      </c>
    </row>
    <row r="5991">
      <c r="A5991" s="14">
        <v>0.0</v>
      </c>
      <c r="B5991" s="14">
        <v>0.0</v>
      </c>
      <c r="C5991" s="34"/>
      <c r="D5991" s="36">
        <v>45401.0</v>
      </c>
      <c r="E5991" s="24"/>
      <c r="F5991" s="14" t="s">
        <v>6012</v>
      </c>
      <c r="G5991" s="14" t="s">
        <v>6012</v>
      </c>
      <c r="H5991" s="14" t="s">
        <v>6012</v>
      </c>
      <c r="I5991" s="14" t="s">
        <v>6073</v>
      </c>
      <c r="J5991" s="14" t="s">
        <v>6012</v>
      </c>
      <c r="K5991" s="14" t="s">
        <v>6012</v>
      </c>
      <c r="L5991" s="14"/>
    </row>
    <row r="5992">
      <c r="A5992" s="14">
        <v>129.0</v>
      </c>
      <c r="B5992" s="14">
        <v>68.0</v>
      </c>
      <c r="C5992" s="34">
        <v>106.94</v>
      </c>
      <c r="D5992" s="36">
        <v>45401.0</v>
      </c>
      <c r="E5992" s="24"/>
      <c r="F5992" s="14">
        <v>1.57</v>
      </c>
      <c r="G5992" s="14">
        <v>828.99</v>
      </c>
      <c r="H5992" s="14">
        <v>52.71</v>
      </c>
      <c r="I5992" s="14" t="s">
        <v>6072</v>
      </c>
      <c r="J5992" s="14">
        <v>0.0</v>
      </c>
      <c r="K5992" s="14" t="s">
        <v>6012</v>
      </c>
      <c r="L5992" s="14">
        <v>0.0</v>
      </c>
    </row>
    <row r="5993">
      <c r="A5993" s="14">
        <v>48.0</v>
      </c>
      <c r="B5993" s="14">
        <v>33.0</v>
      </c>
      <c r="C5993" s="34">
        <v>38.91</v>
      </c>
      <c r="D5993" s="36">
        <v>45401.0</v>
      </c>
      <c r="E5993" s="24"/>
      <c r="F5993" s="14">
        <v>1.18</v>
      </c>
      <c r="G5993" s="14">
        <v>810.62</v>
      </c>
      <c r="H5993" s="14">
        <v>68.75</v>
      </c>
      <c r="I5993" s="14" t="s">
        <v>6067</v>
      </c>
      <c r="J5993" s="14">
        <v>3.03</v>
      </c>
      <c r="K5993" s="14">
        <v>38.91</v>
      </c>
      <c r="L5993" s="14">
        <v>1.0</v>
      </c>
    </row>
    <row r="5994">
      <c r="A5994" s="14">
        <v>1.0</v>
      </c>
      <c r="B5994" s="14">
        <v>0.0</v>
      </c>
      <c r="C5994" s="34">
        <v>1.0</v>
      </c>
      <c r="D5994" s="36">
        <v>45401.0</v>
      </c>
      <c r="E5994" s="24"/>
      <c r="F5994" s="14" t="s">
        <v>6012</v>
      </c>
      <c r="G5994" s="14">
        <v>1000.0</v>
      </c>
      <c r="H5994" s="14">
        <v>0.0</v>
      </c>
      <c r="I5994" s="14" t="s">
        <v>6068</v>
      </c>
      <c r="J5994" s="14" t="s">
        <v>6012</v>
      </c>
      <c r="K5994" s="14" t="s">
        <v>6012</v>
      </c>
      <c r="L5994" s="14">
        <v>0.0</v>
      </c>
    </row>
    <row r="5995">
      <c r="A5995" s="14">
        <v>133.0</v>
      </c>
      <c r="B5995" s="14">
        <v>98.0</v>
      </c>
      <c r="C5995" s="34">
        <v>101.33</v>
      </c>
      <c r="D5995" s="36">
        <v>45401.0</v>
      </c>
      <c r="E5995" s="24"/>
      <c r="F5995" s="14">
        <v>1.03</v>
      </c>
      <c r="G5995" s="14">
        <v>761.88</v>
      </c>
      <c r="H5995" s="14">
        <v>73.68</v>
      </c>
      <c r="I5995" s="14" t="s">
        <v>6069</v>
      </c>
      <c r="J5995" s="14">
        <v>0.0</v>
      </c>
      <c r="K5995" s="14" t="s">
        <v>6012</v>
      </c>
      <c r="L5995" s="14">
        <v>1.0</v>
      </c>
    </row>
    <row r="5996">
      <c r="A5996" s="14">
        <v>0.0</v>
      </c>
      <c r="B5996" s="14">
        <v>0.0</v>
      </c>
      <c r="C5996" s="34"/>
      <c r="D5996" s="36">
        <v>45402.0</v>
      </c>
      <c r="E5996" s="24"/>
      <c r="F5996" s="14" t="s">
        <v>6012</v>
      </c>
      <c r="G5996" s="14" t="s">
        <v>6012</v>
      </c>
      <c r="H5996" s="14" t="s">
        <v>6012</v>
      </c>
      <c r="I5996" s="14" t="s">
        <v>6073</v>
      </c>
      <c r="J5996" s="14" t="s">
        <v>6012</v>
      </c>
      <c r="K5996" s="14" t="s">
        <v>6012</v>
      </c>
      <c r="L5996" s="14"/>
    </row>
    <row r="5997">
      <c r="A5997" s="14">
        <v>95.0</v>
      </c>
      <c r="B5997" s="14">
        <v>46.0</v>
      </c>
      <c r="C5997" s="34">
        <v>80.83</v>
      </c>
      <c r="D5997" s="36">
        <v>45402.0</v>
      </c>
      <c r="E5997" s="24"/>
      <c r="F5997" s="14">
        <v>1.76</v>
      </c>
      <c r="G5997" s="14">
        <v>850.84</v>
      </c>
      <c r="H5997" s="14">
        <v>48.42</v>
      </c>
      <c r="I5997" s="14" t="s">
        <v>6072</v>
      </c>
      <c r="J5997" s="14">
        <v>0.0</v>
      </c>
      <c r="K5997" s="14" t="s">
        <v>6012</v>
      </c>
      <c r="L5997" s="14">
        <v>0.0</v>
      </c>
    </row>
    <row r="5998">
      <c r="A5998" s="14">
        <v>25.0</v>
      </c>
      <c r="B5998" s="14">
        <v>9.0</v>
      </c>
      <c r="C5998" s="34">
        <v>22.96</v>
      </c>
      <c r="D5998" s="36">
        <v>45402.0</v>
      </c>
      <c r="E5998" s="24"/>
      <c r="F5998" s="14">
        <v>2.55</v>
      </c>
      <c r="G5998" s="14">
        <v>918.4</v>
      </c>
      <c r="H5998" s="14">
        <v>36.0</v>
      </c>
      <c r="I5998" s="14" t="s">
        <v>6067</v>
      </c>
      <c r="J5998" s="14">
        <v>0.0</v>
      </c>
      <c r="K5998" s="14" t="s">
        <v>6012</v>
      </c>
      <c r="L5998" s="14">
        <v>1.0</v>
      </c>
    </row>
    <row r="5999">
      <c r="A5999" s="14">
        <v>122.0</v>
      </c>
      <c r="B5999" s="14">
        <v>47.0</v>
      </c>
      <c r="C5999" s="34">
        <v>88.03</v>
      </c>
      <c r="D5999" s="36">
        <v>45402.0</v>
      </c>
      <c r="E5999" s="24"/>
      <c r="F5999" s="14">
        <v>1.87</v>
      </c>
      <c r="G5999" s="14">
        <v>721.56</v>
      </c>
      <c r="H5999" s="14">
        <v>38.52</v>
      </c>
      <c r="I5999" s="14" t="s">
        <v>6069</v>
      </c>
      <c r="J5999" s="14">
        <v>0.0</v>
      </c>
      <c r="K5999" s="14" t="s">
        <v>6012</v>
      </c>
      <c r="L5999" s="14">
        <v>0.0</v>
      </c>
    </row>
    <row r="6000">
      <c r="A6000" s="14">
        <v>9.0</v>
      </c>
      <c r="B6000" s="14">
        <v>6.0</v>
      </c>
      <c r="C6000" s="34">
        <v>8.59</v>
      </c>
      <c r="D6000" s="36">
        <v>45402.0</v>
      </c>
      <c r="E6000" s="24"/>
      <c r="F6000" s="14">
        <v>1.43</v>
      </c>
      <c r="G6000" s="14">
        <v>954.44</v>
      </c>
      <c r="H6000" s="14">
        <v>66.67</v>
      </c>
      <c r="I6000" s="14" t="s">
        <v>6071</v>
      </c>
      <c r="J6000" s="14">
        <v>0.0</v>
      </c>
      <c r="K6000" s="14" t="s">
        <v>6012</v>
      </c>
      <c r="L6000" s="14">
        <v>0.0</v>
      </c>
    </row>
    <row r="6001">
      <c r="A6001" s="14">
        <v>3.0</v>
      </c>
      <c r="B6001" s="14">
        <v>1.0</v>
      </c>
      <c r="C6001" s="34">
        <v>2.75</v>
      </c>
      <c r="D6001" s="36">
        <v>45402.0</v>
      </c>
      <c r="E6001" s="24"/>
      <c r="F6001" s="14">
        <v>2.75</v>
      </c>
      <c r="G6001" s="14">
        <v>916.67</v>
      </c>
      <c r="H6001" s="14">
        <v>33.33</v>
      </c>
      <c r="I6001" s="14" t="s">
        <v>6068</v>
      </c>
      <c r="J6001" s="14">
        <v>0.0</v>
      </c>
      <c r="K6001" s="14" t="s">
        <v>6012</v>
      </c>
      <c r="L6001" s="14">
        <v>0.0</v>
      </c>
    </row>
    <row r="6002">
      <c r="A6002" s="14">
        <v>115.0</v>
      </c>
      <c r="B6002" s="14">
        <v>44.0</v>
      </c>
      <c r="C6002" s="34">
        <v>91.01</v>
      </c>
      <c r="D6002" s="36">
        <v>45403.0</v>
      </c>
      <c r="E6002" s="24"/>
      <c r="F6002" s="14">
        <v>2.07</v>
      </c>
      <c r="G6002" s="14">
        <v>791.39</v>
      </c>
      <c r="H6002" s="14">
        <v>38.26</v>
      </c>
      <c r="I6002" s="14" t="s">
        <v>6069</v>
      </c>
      <c r="J6002" s="14">
        <v>2.27</v>
      </c>
      <c r="K6002" s="14">
        <v>91.01</v>
      </c>
      <c r="L6002" s="14">
        <v>1.0</v>
      </c>
    </row>
    <row r="6003">
      <c r="A6003" s="14">
        <v>4.0</v>
      </c>
      <c r="B6003" s="14">
        <v>0.0</v>
      </c>
      <c r="C6003" s="34">
        <v>2.08</v>
      </c>
      <c r="D6003" s="36">
        <v>45403.0</v>
      </c>
      <c r="E6003" s="24"/>
      <c r="F6003" s="14" t="s">
        <v>6012</v>
      </c>
      <c r="G6003" s="14">
        <v>520.0</v>
      </c>
      <c r="H6003" s="14">
        <v>0.0</v>
      </c>
      <c r="I6003" s="14" t="s">
        <v>6068</v>
      </c>
      <c r="J6003" s="14" t="s">
        <v>6012</v>
      </c>
      <c r="K6003" s="14" t="s">
        <v>6012</v>
      </c>
      <c r="L6003" s="14">
        <v>0.0</v>
      </c>
    </row>
    <row r="6004">
      <c r="A6004" s="14">
        <v>16.0</v>
      </c>
      <c r="B6004" s="14">
        <v>6.0</v>
      </c>
      <c r="C6004" s="34">
        <v>14.4</v>
      </c>
      <c r="D6004" s="36">
        <v>45403.0</v>
      </c>
      <c r="E6004" s="24"/>
      <c r="F6004" s="14">
        <v>2.4</v>
      </c>
      <c r="G6004" s="14">
        <v>900.0</v>
      </c>
      <c r="H6004" s="14">
        <v>37.5</v>
      </c>
      <c r="I6004" s="14" t="s">
        <v>6071</v>
      </c>
      <c r="J6004" s="14">
        <v>0.0</v>
      </c>
      <c r="K6004" s="14" t="s">
        <v>6012</v>
      </c>
      <c r="L6004" s="14">
        <v>0.0</v>
      </c>
    </row>
    <row r="6005">
      <c r="A6005" s="14">
        <v>31.0</v>
      </c>
      <c r="B6005" s="14">
        <v>15.0</v>
      </c>
      <c r="C6005" s="34">
        <v>23.37</v>
      </c>
      <c r="D6005" s="36">
        <v>45403.0</v>
      </c>
      <c r="E6005" s="24"/>
      <c r="F6005" s="14">
        <v>1.56</v>
      </c>
      <c r="G6005" s="14">
        <v>753.87</v>
      </c>
      <c r="H6005" s="14">
        <v>48.39</v>
      </c>
      <c r="I6005" s="14" t="s">
        <v>6067</v>
      </c>
      <c r="J6005" s="14">
        <v>0.0</v>
      </c>
      <c r="K6005" s="14" t="s">
        <v>6012</v>
      </c>
      <c r="L6005" s="14">
        <v>1.0</v>
      </c>
    </row>
    <row r="6006">
      <c r="A6006" s="14">
        <v>97.0</v>
      </c>
      <c r="B6006" s="14">
        <v>42.0</v>
      </c>
      <c r="C6006" s="34">
        <v>72.19</v>
      </c>
      <c r="D6006" s="36">
        <v>45403.0</v>
      </c>
      <c r="E6006" s="24"/>
      <c r="F6006" s="14">
        <v>1.72</v>
      </c>
      <c r="G6006" s="14">
        <v>744.23</v>
      </c>
      <c r="H6006" s="14">
        <v>43.3</v>
      </c>
      <c r="I6006" s="14" t="s">
        <v>6072</v>
      </c>
      <c r="J6006" s="14">
        <v>0.0</v>
      </c>
      <c r="K6006" s="14" t="s">
        <v>6012</v>
      </c>
      <c r="L6006" s="14">
        <v>0.0</v>
      </c>
    </row>
    <row r="6007">
      <c r="A6007" s="14">
        <v>4.0</v>
      </c>
      <c r="B6007" s="14">
        <v>1.0</v>
      </c>
      <c r="C6007" s="34">
        <v>3.41</v>
      </c>
      <c r="D6007" s="36">
        <v>45404.0</v>
      </c>
      <c r="E6007" s="24"/>
      <c r="F6007" s="14">
        <v>3.41</v>
      </c>
      <c r="G6007" s="14">
        <v>852.5</v>
      </c>
      <c r="H6007" s="14">
        <v>25.0</v>
      </c>
      <c r="I6007" s="14" t="s">
        <v>6068</v>
      </c>
      <c r="J6007" s="14">
        <v>0.0</v>
      </c>
      <c r="K6007" s="14" t="s">
        <v>6012</v>
      </c>
      <c r="L6007" s="14">
        <v>0.0</v>
      </c>
    </row>
    <row r="6008">
      <c r="A6008" s="14">
        <v>20.0</v>
      </c>
      <c r="B6008" s="14">
        <v>11.0</v>
      </c>
      <c r="C6008" s="34">
        <v>12.77</v>
      </c>
      <c r="D6008" s="36">
        <v>45404.0</v>
      </c>
      <c r="E6008" s="24"/>
      <c r="F6008" s="14">
        <v>1.16</v>
      </c>
      <c r="G6008" s="14">
        <v>638.5</v>
      </c>
      <c r="H6008" s="14">
        <v>55.0</v>
      </c>
      <c r="I6008" s="14" t="s">
        <v>6071</v>
      </c>
      <c r="J6008" s="14">
        <v>0.0</v>
      </c>
      <c r="K6008" s="14" t="s">
        <v>6012</v>
      </c>
      <c r="L6008" s="14">
        <v>0.0</v>
      </c>
    </row>
    <row r="6009">
      <c r="A6009" s="14">
        <v>137.0</v>
      </c>
      <c r="B6009" s="14">
        <v>106.0</v>
      </c>
      <c r="C6009" s="34">
        <v>109.34</v>
      </c>
      <c r="D6009" s="36">
        <v>45404.0</v>
      </c>
      <c r="E6009" s="24"/>
      <c r="F6009" s="14">
        <v>1.03</v>
      </c>
      <c r="G6009" s="14">
        <v>798.1</v>
      </c>
      <c r="H6009" s="14">
        <v>77.37</v>
      </c>
      <c r="I6009" s="14" t="s">
        <v>6069</v>
      </c>
      <c r="J6009" s="14">
        <v>0.0</v>
      </c>
      <c r="K6009" s="14" t="s">
        <v>6012</v>
      </c>
      <c r="L6009" s="14">
        <v>0.0</v>
      </c>
    </row>
    <row r="6010">
      <c r="A6010" s="14">
        <v>40.0</v>
      </c>
      <c r="B6010" s="14">
        <v>33.0</v>
      </c>
      <c r="C6010" s="34">
        <v>29.44</v>
      </c>
      <c r="D6010" s="36">
        <v>45404.0</v>
      </c>
      <c r="E6010" s="24"/>
      <c r="F6010" s="14">
        <v>0.89</v>
      </c>
      <c r="G6010" s="14">
        <v>736.0</v>
      </c>
      <c r="H6010" s="14">
        <v>82.5</v>
      </c>
      <c r="I6010" s="14" t="s">
        <v>6067</v>
      </c>
      <c r="J6010" s="14">
        <v>3.03</v>
      </c>
      <c r="K6010" s="14">
        <v>29.44</v>
      </c>
      <c r="L6010" s="14">
        <v>1.0</v>
      </c>
    </row>
    <row r="6011">
      <c r="A6011" s="14">
        <v>132.0</v>
      </c>
      <c r="B6011" s="14">
        <v>98.0</v>
      </c>
      <c r="C6011" s="34">
        <v>109.78</v>
      </c>
      <c r="D6011" s="36">
        <v>45404.0</v>
      </c>
      <c r="E6011" s="24"/>
      <c r="F6011" s="14">
        <v>1.12</v>
      </c>
      <c r="G6011" s="14">
        <v>831.67</v>
      </c>
      <c r="H6011" s="14">
        <v>74.24</v>
      </c>
      <c r="I6011" s="14" t="s">
        <v>6072</v>
      </c>
      <c r="J6011" s="14">
        <v>1.02</v>
      </c>
      <c r="K6011" s="14">
        <v>109.78</v>
      </c>
      <c r="L6011" s="14">
        <v>1.0</v>
      </c>
    </row>
    <row r="6012">
      <c r="A6012" s="14">
        <v>134.0</v>
      </c>
      <c r="B6012" s="14">
        <v>91.0</v>
      </c>
      <c r="C6012" s="34">
        <v>102.32</v>
      </c>
      <c r="D6012" s="36">
        <v>45405.0</v>
      </c>
      <c r="E6012" s="24"/>
      <c r="F6012" s="14">
        <v>1.12</v>
      </c>
      <c r="G6012" s="14">
        <v>763.58</v>
      </c>
      <c r="H6012" s="14">
        <v>67.91</v>
      </c>
      <c r="I6012" s="14" t="s">
        <v>6069</v>
      </c>
      <c r="J6012" s="14">
        <v>0.0</v>
      </c>
      <c r="K6012" s="14" t="s">
        <v>6012</v>
      </c>
      <c r="L6012" s="14">
        <v>3.0</v>
      </c>
    </row>
    <row r="6013">
      <c r="A6013" s="14">
        <v>8.0</v>
      </c>
      <c r="B6013" s="14">
        <v>3.0</v>
      </c>
      <c r="C6013" s="34">
        <v>5.73</v>
      </c>
      <c r="D6013" s="36">
        <v>45405.0</v>
      </c>
      <c r="E6013" s="24"/>
      <c r="F6013" s="14">
        <v>1.91</v>
      </c>
      <c r="G6013" s="14">
        <v>716.25</v>
      </c>
      <c r="H6013" s="14">
        <v>37.5</v>
      </c>
      <c r="I6013" s="14" t="s">
        <v>6068</v>
      </c>
      <c r="J6013" s="14">
        <v>0.0</v>
      </c>
      <c r="K6013" s="14" t="s">
        <v>6012</v>
      </c>
      <c r="L6013" s="14">
        <v>0.0</v>
      </c>
    </row>
    <row r="6014">
      <c r="A6014" s="14">
        <v>31.0</v>
      </c>
      <c r="B6014" s="14">
        <v>26.0</v>
      </c>
      <c r="C6014" s="34">
        <v>21.55</v>
      </c>
      <c r="D6014" s="36">
        <v>45405.0</v>
      </c>
      <c r="E6014" s="24"/>
      <c r="F6014" s="14">
        <v>0.83</v>
      </c>
      <c r="G6014" s="14">
        <v>695.16</v>
      </c>
      <c r="H6014" s="14">
        <v>83.87</v>
      </c>
      <c r="I6014" s="14" t="s">
        <v>6067</v>
      </c>
      <c r="J6014" s="14">
        <v>0.0</v>
      </c>
      <c r="K6014" s="14" t="s">
        <v>6012</v>
      </c>
      <c r="L6014" s="14">
        <v>2.0</v>
      </c>
    </row>
    <row r="6015">
      <c r="A6015" s="14">
        <v>128.0</v>
      </c>
      <c r="B6015" s="14">
        <v>79.0</v>
      </c>
      <c r="C6015" s="34">
        <v>109.92</v>
      </c>
      <c r="D6015" s="36">
        <v>45405.0</v>
      </c>
      <c r="E6015" s="24"/>
      <c r="F6015" s="14">
        <v>1.39</v>
      </c>
      <c r="G6015" s="14">
        <v>858.75</v>
      </c>
      <c r="H6015" s="14">
        <v>61.72</v>
      </c>
      <c r="I6015" s="14" t="s">
        <v>6072</v>
      </c>
      <c r="J6015" s="14">
        <v>0.0</v>
      </c>
      <c r="K6015" s="14" t="s">
        <v>6012</v>
      </c>
      <c r="L6015" s="14">
        <v>0.0</v>
      </c>
    </row>
    <row r="6016">
      <c r="A6016" s="14">
        <v>13.0</v>
      </c>
      <c r="B6016" s="14">
        <v>7.0</v>
      </c>
      <c r="C6016" s="34">
        <v>10.34</v>
      </c>
      <c r="D6016" s="36">
        <v>45405.0</v>
      </c>
      <c r="E6016" s="24"/>
      <c r="F6016" s="14">
        <v>1.48</v>
      </c>
      <c r="G6016" s="14">
        <v>795.38</v>
      </c>
      <c r="H6016" s="14">
        <v>53.85</v>
      </c>
      <c r="I6016" s="14" t="s">
        <v>6071</v>
      </c>
      <c r="J6016" s="14">
        <v>0.0</v>
      </c>
      <c r="K6016" s="14" t="s">
        <v>6012</v>
      </c>
      <c r="L6016" s="14">
        <v>0.0</v>
      </c>
    </row>
    <row r="6017">
      <c r="A6017" s="14">
        <v>31.0</v>
      </c>
      <c r="B6017" s="14">
        <v>23.0</v>
      </c>
      <c r="C6017" s="34">
        <v>25.77</v>
      </c>
      <c r="D6017" s="36">
        <v>45406.0</v>
      </c>
      <c r="E6017" s="24"/>
      <c r="F6017" s="14">
        <v>1.12</v>
      </c>
      <c r="G6017" s="14">
        <v>831.29</v>
      </c>
      <c r="H6017" s="14">
        <v>74.19</v>
      </c>
      <c r="I6017" s="14" t="s">
        <v>6067</v>
      </c>
      <c r="J6017" s="14">
        <v>0.0</v>
      </c>
      <c r="K6017" s="14" t="s">
        <v>6012</v>
      </c>
      <c r="L6017" s="14">
        <v>0.0</v>
      </c>
    </row>
    <row r="6018">
      <c r="A6018" s="14">
        <v>8.0</v>
      </c>
      <c r="B6018" s="14">
        <v>4.0</v>
      </c>
      <c r="C6018" s="34">
        <v>6.04</v>
      </c>
      <c r="D6018" s="36">
        <v>45406.0</v>
      </c>
      <c r="E6018" s="24"/>
      <c r="F6018" s="14">
        <v>1.51</v>
      </c>
      <c r="G6018" s="14">
        <v>755.0</v>
      </c>
      <c r="H6018" s="14">
        <v>50.0</v>
      </c>
      <c r="I6018" s="14" t="s">
        <v>6071</v>
      </c>
      <c r="J6018" s="14">
        <v>0.0</v>
      </c>
      <c r="K6018" s="14" t="s">
        <v>6012</v>
      </c>
      <c r="L6018" s="14">
        <v>0.0</v>
      </c>
    </row>
    <row r="6019">
      <c r="A6019" s="14">
        <v>4.0</v>
      </c>
      <c r="B6019" s="14">
        <v>4.0</v>
      </c>
      <c r="C6019" s="34">
        <v>2.4</v>
      </c>
      <c r="D6019" s="36">
        <v>45406.0</v>
      </c>
      <c r="E6019" s="24"/>
      <c r="F6019" s="14">
        <v>0.6</v>
      </c>
      <c r="G6019" s="14">
        <v>600.0</v>
      </c>
      <c r="H6019" s="14">
        <v>100.0</v>
      </c>
      <c r="I6019" s="14" t="s">
        <v>6068</v>
      </c>
      <c r="J6019" s="14">
        <v>0.0</v>
      </c>
      <c r="K6019" s="14" t="s">
        <v>6012</v>
      </c>
      <c r="L6019" s="14">
        <v>0.0</v>
      </c>
    </row>
    <row r="6020">
      <c r="A6020" s="14">
        <v>132.0</v>
      </c>
      <c r="B6020" s="14">
        <v>70.0</v>
      </c>
      <c r="C6020" s="34">
        <v>100.96</v>
      </c>
      <c r="D6020" s="36">
        <v>45406.0</v>
      </c>
      <c r="E6020" s="24"/>
      <c r="F6020" s="14">
        <v>1.44</v>
      </c>
      <c r="G6020" s="14">
        <v>764.85</v>
      </c>
      <c r="H6020" s="14">
        <v>53.03</v>
      </c>
      <c r="I6020" s="14" t="s">
        <v>6069</v>
      </c>
      <c r="J6020" s="14">
        <v>2.86</v>
      </c>
      <c r="K6020" s="14">
        <v>50.48</v>
      </c>
      <c r="L6020" s="14">
        <v>0.0</v>
      </c>
    </row>
    <row r="6021">
      <c r="A6021" s="14">
        <v>129.0</v>
      </c>
      <c r="B6021" s="14">
        <v>69.0</v>
      </c>
      <c r="C6021" s="34">
        <v>108.41</v>
      </c>
      <c r="D6021" s="36">
        <v>45406.0</v>
      </c>
      <c r="E6021" s="24"/>
      <c r="F6021" s="14">
        <v>1.57</v>
      </c>
      <c r="G6021" s="14">
        <v>840.39</v>
      </c>
      <c r="H6021" s="14">
        <v>53.49</v>
      </c>
      <c r="I6021" s="14" t="s">
        <v>6072</v>
      </c>
      <c r="J6021" s="14">
        <v>0.0</v>
      </c>
      <c r="K6021" s="14" t="s">
        <v>6012</v>
      </c>
      <c r="L6021" s="14">
        <v>1.0</v>
      </c>
    </row>
    <row r="6022">
      <c r="A6022" s="14">
        <v>129.0</v>
      </c>
      <c r="B6022" s="14">
        <v>78.0</v>
      </c>
      <c r="C6022" s="34">
        <v>103.61</v>
      </c>
      <c r="D6022" s="36">
        <v>45407.0</v>
      </c>
      <c r="E6022" s="24"/>
      <c r="F6022" s="14">
        <v>1.33</v>
      </c>
      <c r="G6022" s="14">
        <v>803.18</v>
      </c>
      <c r="H6022" s="14">
        <v>60.47</v>
      </c>
      <c r="I6022" s="14" t="s">
        <v>6069</v>
      </c>
      <c r="J6022" s="14">
        <v>0.0</v>
      </c>
      <c r="K6022" s="14" t="s">
        <v>6012</v>
      </c>
      <c r="L6022" s="14">
        <v>1.0</v>
      </c>
    </row>
    <row r="6023">
      <c r="A6023" s="14">
        <v>12.0</v>
      </c>
      <c r="B6023" s="14">
        <v>9.0</v>
      </c>
      <c r="C6023" s="34">
        <v>9.67</v>
      </c>
      <c r="D6023" s="36">
        <v>45407.0</v>
      </c>
      <c r="E6023" s="24"/>
      <c r="F6023" s="14">
        <v>1.07</v>
      </c>
      <c r="G6023" s="14">
        <v>805.83</v>
      </c>
      <c r="H6023" s="14">
        <v>75.0</v>
      </c>
      <c r="I6023" s="14" t="s">
        <v>6071</v>
      </c>
      <c r="J6023" s="14">
        <v>0.0</v>
      </c>
      <c r="K6023" s="14" t="s">
        <v>6012</v>
      </c>
      <c r="L6023" s="14">
        <v>0.0</v>
      </c>
    </row>
    <row r="6024">
      <c r="A6024" s="14">
        <v>143.0</v>
      </c>
      <c r="B6024" s="14">
        <v>81.0</v>
      </c>
      <c r="C6024" s="34">
        <v>112.94</v>
      </c>
      <c r="D6024" s="36">
        <v>45407.0</v>
      </c>
      <c r="E6024" s="24"/>
      <c r="F6024" s="14">
        <v>1.39</v>
      </c>
      <c r="G6024" s="14">
        <v>789.79</v>
      </c>
      <c r="H6024" s="14">
        <v>56.64</v>
      </c>
      <c r="I6024" s="14" t="s">
        <v>6072</v>
      </c>
      <c r="J6024" s="14">
        <v>0.0</v>
      </c>
      <c r="K6024" s="14" t="s">
        <v>6012</v>
      </c>
      <c r="L6024" s="14">
        <v>0.0</v>
      </c>
    </row>
    <row r="6025">
      <c r="A6025" s="14">
        <v>4.0</v>
      </c>
      <c r="B6025" s="14">
        <v>0.0</v>
      </c>
      <c r="C6025" s="34">
        <v>2.15</v>
      </c>
      <c r="D6025" s="36">
        <v>45407.0</v>
      </c>
      <c r="E6025" s="24"/>
      <c r="F6025" s="14" t="s">
        <v>6012</v>
      </c>
      <c r="G6025" s="14">
        <v>537.5</v>
      </c>
      <c r="H6025" s="14">
        <v>0.0</v>
      </c>
      <c r="I6025" s="14" t="s">
        <v>6068</v>
      </c>
      <c r="J6025" s="14" t="s">
        <v>6012</v>
      </c>
      <c r="K6025" s="14" t="s">
        <v>6012</v>
      </c>
      <c r="L6025" s="14">
        <v>0.0</v>
      </c>
    </row>
    <row r="6026">
      <c r="A6026" s="14">
        <v>22.0</v>
      </c>
      <c r="B6026" s="14">
        <v>17.0</v>
      </c>
      <c r="C6026" s="34">
        <v>13.74</v>
      </c>
      <c r="D6026" s="36">
        <v>45407.0</v>
      </c>
      <c r="E6026" s="24"/>
      <c r="F6026" s="14">
        <v>0.81</v>
      </c>
      <c r="G6026" s="14">
        <v>624.55</v>
      </c>
      <c r="H6026" s="14">
        <v>77.27</v>
      </c>
      <c r="I6026" s="14" t="s">
        <v>6067</v>
      </c>
      <c r="J6026" s="14">
        <v>5.88</v>
      </c>
      <c r="K6026" s="14">
        <v>13.74</v>
      </c>
      <c r="L6026" s="14">
        <v>1.0</v>
      </c>
    </row>
    <row r="6027">
      <c r="A6027" s="14">
        <v>27.0</v>
      </c>
      <c r="B6027" s="14">
        <v>19.0</v>
      </c>
      <c r="C6027" s="34">
        <v>22.96</v>
      </c>
      <c r="D6027" s="36">
        <v>45408.0</v>
      </c>
      <c r="E6027" s="24"/>
      <c r="F6027" s="14">
        <v>1.21</v>
      </c>
      <c r="G6027" s="14">
        <v>850.37</v>
      </c>
      <c r="H6027" s="14">
        <v>70.37</v>
      </c>
      <c r="I6027" s="14" t="s">
        <v>6067</v>
      </c>
      <c r="J6027" s="14">
        <v>0.0</v>
      </c>
      <c r="K6027" s="14" t="s">
        <v>6012</v>
      </c>
      <c r="L6027" s="14">
        <v>0.0</v>
      </c>
    </row>
    <row r="6028">
      <c r="A6028" s="14">
        <v>115.0</v>
      </c>
      <c r="B6028" s="14">
        <v>60.0</v>
      </c>
      <c r="C6028" s="34">
        <v>87.43</v>
      </c>
      <c r="D6028" s="36">
        <v>45408.0</v>
      </c>
      <c r="E6028" s="24"/>
      <c r="F6028" s="14">
        <v>1.46</v>
      </c>
      <c r="G6028" s="14">
        <v>760.26</v>
      </c>
      <c r="H6028" s="14">
        <v>52.17</v>
      </c>
      <c r="I6028" s="14" t="s">
        <v>6069</v>
      </c>
      <c r="J6028" s="14">
        <v>0.0</v>
      </c>
      <c r="K6028" s="14" t="s">
        <v>6012</v>
      </c>
      <c r="L6028" s="14">
        <v>1.0</v>
      </c>
    </row>
    <row r="6029">
      <c r="A6029" s="14">
        <v>6.0</v>
      </c>
      <c r="B6029" s="14">
        <v>2.0</v>
      </c>
      <c r="C6029" s="34">
        <v>4.2</v>
      </c>
      <c r="D6029" s="36">
        <v>45408.0</v>
      </c>
      <c r="E6029" s="24"/>
      <c r="F6029" s="14">
        <v>2.1</v>
      </c>
      <c r="G6029" s="14">
        <v>700.0</v>
      </c>
      <c r="H6029" s="14">
        <v>33.33</v>
      </c>
      <c r="I6029" s="14" t="s">
        <v>6071</v>
      </c>
      <c r="J6029" s="14">
        <v>0.0</v>
      </c>
      <c r="K6029" s="14" t="s">
        <v>6012</v>
      </c>
      <c r="L6029" s="14">
        <v>0.0</v>
      </c>
    </row>
    <row r="6030">
      <c r="A6030" s="14">
        <v>135.0</v>
      </c>
      <c r="B6030" s="14">
        <v>85.0</v>
      </c>
      <c r="C6030" s="34">
        <v>106.15</v>
      </c>
      <c r="D6030" s="36">
        <v>45408.0</v>
      </c>
      <c r="E6030" s="24"/>
      <c r="F6030" s="14">
        <v>1.25</v>
      </c>
      <c r="G6030" s="14">
        <v>786.3</v>
      </c>
      <c r="H6030" s="14">
        <v>62.96</v>
      </c>
      <c r="I6030" s="14" t="s">
        <v>6072</v>
      </c>
      <c r="J6030" s="14">
        <v>0.0</v>
      </c>
      <c r="K6030" s="14" t="s">
        <v>6012</v>
      </c>
      <c r="L6030" s="14">
        <v>1.0</v>
      </c>
    </row>
    <row r="6031">
      <c r="A6031" s="14">
        <v>4.0</v>
      </c>
      <c r="B6031" s="14">
        <v>1.0</v>
      </c>
      <c r="C6031" s="34">
        <v>3.73</v>
      </c>
      <c r="D6031" s="36">
        <v>45408.0</v>
      </c>
      <c r="E6031" s="24"/>
      <c r="F6031" s="14">
        <v>3.73</v>
      </c>
      <c r="G6031" s="14">
        <v>932.5</v>
      </c>
      <c r="H6031" s="14">
        <v>25.0</v>
      </c>
      <c r="I6031" s="14" t="s">
        <v>6068</v>
      </c>
      <c r="J6031" s="14">
        <v>0.0</v>
      </c>
      <c r="K6031" s="14" t="s">
        <v>6012</v>
      </c>
      <c r="L6031" s="14">
        <v>0.0</v>
      </c>
    </row>
    <row r="6032">
      <c r="A6032" s="14">
        <v>12.0</v>
      </c>
      <c r="B6032" s="14">
        <v>4.0</v>
      </c>
      <c r="C6032" s="34">
        <v>8.1</v>
      </c>
      <c r="D6032" s="36">
        <v>45409.0</v>
      </c>
      <c r="E6032" s="24"/>
      <c r="F6032" s="14">
        <v>2.02</v>
      </c>
      <c r="G6032" s="14">
        <v>675.0</v>
      </c>
      <c r="H6032" s="14">
        <v>33.33</v>
      </c>
      <c r="I6032" s="14" t="s">
        <v>6071</v>
      </c>
      <c r="J6032" s="14">
        <v>0.0</v>
      </c>
      <c r="K6032" s="14" t="s">
        <v>6012</v>
      </c>
      <c r="L6032" s="14">
        <v>0.0</v>
      </c>
    </row>
    <row r="6033">
      <c r="A6033" s="14">
        <v>93.0</v>
      </c>
      <c r="B6033" s="14">
        <v>34.0</v>
      </c>
      <c r="C6033" s="34">
        <v>71.51</v>
      </c>
      <c r="D6033" s="36">
        <v>45409.0</v>
      </c>
      <c r="E6033" s="24"/>
      <c r="F6033" s="14">
        <v>2.1</v>
      </c>
      <c r="G6033" s="14">
        <v>768.92</v>
      </c>
      <c r="H6033" s="14">
        <v>36.56</v>
      </c>
      <c r="I6033" s="14" t="s">
        <v>6069</v>
      </c>
      <c r="J6033" s="14">
        <v>0.0</v>
      </c>
      <c r="K6033" s="14" t="s">
        <v>6012</v>
      </c>
      <c r="L6033" s="14">
        <v>0.0</v>
      </c>
    </row>
    <row r="6034">
      <c r="A6034" s="14">
        <v>1.0</v>
      </c>
      <c r="B6034" s="14">
        <v>0.0</v>
      </c>
      <c r="C6034" s="34">
        <v>0.89</v>
      </c>
      <c r="D6034" s="36">
        <v>45409.0</v>
      </c>
      <c r="E6034" s="24"/>
      <c r="F6034" s="14" t="s">
        <v>6012</v>
      </c>
      <c r="G6034" s="14">
        <v>890.0</v>
      </c>
      <c r="H6034" s="14">
        <v>0.0</v>
      </c>
      <c r="I6034" s="14" t="s">
        <v>6068</v>
      </c>
      <c r="J6034" s="14" t="s">
        <v>6012</v>
      </c>
      <c r="K6034" s="14" t="s">
        <v>6012</v>
      </c>
      <c r="L6034" s="14">
        <v>0.0</v>
      </c>
    </row>
    <row r="6035">
      <c r="A6035" s="14">
        <v>97.0</v>
      </c>
      <c r="B6035" s="14">
        <v>40.0</v>
      </c>
      <c r="C6035" s="34">
        <v>81.76</v>
      </c>
      <c r="D6035" s="36">
        <v>45409.0</v>
      </c>
      <c r="E6035" s="24"/>
      <c r="F6035" s="14">
        <v>2.04</v>
      </c>
      <c r="G6035" s="14">
        <v>842.89</v>
      </c>
      <c r="H6035" s="14">
        <v>41.24</v>
      </c>
      <c r="I6035" s="14" t="s">
        <v>6072</v>
      </c>
      <c r="J6035" s="14">
        <v>0.0</v>
      </c>
      <c r="K6035" s="14" t="s">
        <v>6012</v>
      </c>
      <c r="L6035" s="14">
        <v>2.0</v>
      </c>
    </row>
    <row r="6036">
      <c r="A6036" s="14">
        <v>18.0</v>
      </c>
      <c r="B6036" s="14">
        <v>4.0</v>
      </c>
      <c r="C6036" s="34">
        <v>13.58</v>
      </c>
      <c r="D6036" s="36">
        <v>45409.0</v>
      </c>
      <c r="E6036" s="24"/>
      <c r="F6036" s="14">
        <v>3.4</v>
      </c>
      <c r="G6036" s="14">
        <v>754.44</v>
      </c>
      <c r="H6036" s="14">
        <v>22.22</v>
      </c>
      <c r="I6036" s="14" t="s">
        <v>6067</v>
      </c>
      <c r="J6036" s="14">
        <v>0.0</v>
      </c>
      <c r="K6036" s="14" t="s">
        <v>6012</v>
      </c>
      <c r="L6036" s="14">
        <v>0.0</v>
      </c>
    </row>
    <row r="6037">
      <c r="A6037" s="14">
        <v>1.0</v>
      </c>
      <c r="B6037" s="14">
        <v>0.0</v>
      </c>
      <c r="C6037" s="34">
        <v>0.7</v>
      </c>
      <c r="D6037" s="36">
        <v>45410.0</v>
      </c>
      <c r="E6037" s="24"/>
      <c r="F6037" s="14" t="s">
        <v>6012</v>
      </c>
      <c r="G6037" s="14">
        <v>700.0</v>
      </c>
      <c r="H6037" s="14">
        <v>0.0</v>
      </c>
      <c r="I6037" s="14" t="s">
        <v>6068</v>
      </c>
      <c r="J6037" s="14" t="s">
        <v>6012</v>
      </c>
      <c r="K6037" s="14" t="s">
        <v>6012</v>
      </c>
      <c r="L6037" s="14">
        <v>0.0</v>
      </c>
    </row>
    <row r="6038">
      <c r="A6038" s="14">
        <v>5.0</v>
      </c>
      <c r="B6038" s="14">
        <v>3.0</v>
      </c>
      <c r="C6038" s="34">
        <v>2.63</v>
      </c>
      <c r="D6038" s="36">
        <v>45410.0</v>
      </c>
      <c r="E6038" s="24"/>
      <c r="F6038" s="14">
        <v>0.88</v>
      </c>
      <c r="G6038" s="14">
        <v>526.0</v>
      </c>
      <c r="H6038" s="14">
        <v>60.0</v>
      </c>
      <c r="I6038" s="14" t="s">
        <v>6071</v>
      </c>
      <c r="J6038" s="14">
        <v>0.0</v>
      </c>
      <c r="K6038" s="14" t="s">
        <v>6012</v>
      </c>
      <c r="L6038" s="14">
        <v>0.0</v>
      </c>
    </row>
    <row r="6039">
      <c r="A6039" s="14">
        <v>124.0</v>
      </c>
      <c r="B6039" s="14">
        <v>48.0</v>
      </c>
      <c r="C6039" s="34">
        <v>95.62</v>
      </c>
      <c r="D6039" s="36">
        <v>45410.0</v>
      </c>
      <c r="E6039" s="24"/>
      <c r="F6039" s="14">
        <v>1.99</v>
      </c>
      <c r="G6039" s="14">
        <v>771.13</v>
      </c>
      <c r="H6039" s="14">
        <v>38.71</v>
      </c>
      <c r="I6039" s="14" t="s">
        <v>6069</v>
      </c>
      <c r="J6039" s="14">
        <v>0.0</v>
      </c>
      <c r="K6039" s="14" t="s">
        <v>6012</v>
      </c>
      <c r="L6039" s="14">
        <v>0.0</v>
      </c>
    </row>
    <row r="6040">
      <c r="A6040" s="14">
        <v>92.0</v>
      </c>
      <c r="B6040" s="14">
        <v>36.0</v>
      </c>
      <c r="C6040" s="34">
        <v>71.04</v>
      </c>
      <c r="D6040" s="36">
        <v>45410.0</v>
      </c>
      <c r="E6040" s="24"/>
      <c r="F6040" s="14">
        <v>1.97</v>
      </c>
      <c r="G6040" s="14">
        <v>772.17</v>
      </c>
      <c r="H6040" s="14">
        <v>39.13</v>
      </c>
      <c r="I6040" s="14" t="s">
        <v>6072</v>
      </c>
      <c r="J6040" s="14">
        <v>0.0</v>
      </c>
      <c r="K6040" s="14" t="s">
        <v>6012</v>
      </c>
      <c r="L6040" s="14">
        <v>0.0</v>
      </c>
    </row>
    <row r="6041">
      <c r="A6041" s="14">
        <v>24.0</v>
      </c>
      <c r="B6041" s="14">
        <v>8.0</v>
      </c>
      <c r="C6041" s="34">
        <v>18.49</v>
      </c>
      <c r="D6041" s="36">
        <v>45410.0</v>
      </c>
      <c r="E6041" s="24"/>
      <c r="F6041" s="14">
        <v>2.31</v>
      </c>
      <c r="G6041" s="14">
        <v>770.42</v>
      </c>
      <c r="H6041" s="14">
        <v>33.33</v>
      </c>
      <c r="I6041" s="14" t="s">
        <v>6067</v>
      </c>
      <c r="J6041" s="14">
        <v>0.0</v>
      </c>
      <c r="K6041" s="14" t="s">
        <v>6012</v>
      </c>
      <c r="L6041" s="14">
        <v>0.0</v>
      </c>
    </row>
    <row r="6042">
      <c r="A6042" s="14">
        <v>7.0</v>
      </c>
      <c r="B6042" s="14">
        <v>8.0</v>
      </c>
      <c r="C6042" s="34">
        <v>3.86</v>
      </c>
      <c r="D6042" s="36">
        <v>45411.0</v>
      </c>
      <c r="E6042" s="24"/>
      <c r="F6042" s="14">
        <v>0.48</v>
      </c>
      <c r="G6042" s="14">
        <v>551.43</v>
      </c>
      <c r="H6042" s="14">
        <v>114.29</v>
      </c>
      <c r="I6042" s="14" t="s">
        <v>6071</v>
      </c>
      <c r="J6042" s="14">
        <v>0.0</v>
      </c>
      <c r="K6042" s="14" t="s">
        <v>6012</v>
      </c>
      <c r="L6042" s="14">
        <v>0.0</v>
      </c>
    </row>
    <row r="6043">
      <c r="A6043" s="14">
        <v>2.0</v>
      </c>
      <c r="B6043" s="14">
        <v>0.0</v>
      </c>
      <c r="C6043" s="34">
        <v>1.1</v>
      </c>
      <c r="D6043" s="36">
        <v>45411.0</v>
      </c>
      <c r="E6043" s="24"/>
      <c r="F6043" s="14" t="s">
        <v>6012</v>
      </c>
      <c r="G6043" s="14">
        <v>550.0</v>
      </c>
      <c r="H6043" s="14">
        <v>0.0</v>
      </c>
      <c r="I6043" s="14" t="s">
        <v>6068</v>
      </c>
      <c r="J6043" s="14" t="s">
        <v>6012</v>
      </c>
      <c r="K6043" s="14" t="s">
        <v>6012</v>
      </c>
      <c r="L6043" s="14">
        <v>0.0</v>
      </c>
    </row>
    <row r="6044">
      <c r="A6044" s="14">
        <v>29.0</v>
      </c>
      <c r="B6044" s="14">
        <v>17.0</v>
      </c>
      <c r="C6044" s="34">
        <v>24.55</v>
      </c>
      <c r="D6044" s="36">
        <v>45411.0</v>
      </c>
      <c r="E6044" s="24"/>
      <c r="F6044" s="14">
        <v>1.44</v>
      </c>
      <c r="G6044" s="14">
        <v>846.55</v>
      </c>
      <c r="H6044" s="14">
        <v>58.62</v>
      </c>
      <c r="I6044" s="14" t="s">
        <v>6067</v>
      </c>
      <c r="J6044" s="14">
        <v>0.0</v>
      </c>
      <c r="K6044" s="14" t="s">
        <v>6012</v>
      </c>
      <c r="L6044" s="14">
        <v>0.0</v>
      </c>
    </row>
    <row r="6045">
      <c r="A6045" s="14">
        <v>140.0</v>
      </c>
      <c r="B6045" s="14">
        <v>92.0</v>
      </c>
      <c r="C6045" s="34">
        <v>110.22</v>
      </c>
      <c r="D6045" s="36">
        <v>45411.0</v>
      </c>
      <c r="E6045" s="24"/>
      <c r="F6045" s="14">
        <v>1.2</v>
      </c>
      <c r="G6045" s="14">
        <v>787.29</v>
      </c>
      <c r="H6045" s="14">
        <v>65.71</v>
      </c>
      <c r="I6045" s="14" t="s">
        <v>6072</v>
      </c>
      <c r="J6045" s="14">
        <v>2.17</v>
      </c>
      <c r="K6045" s="14">
        <v>55.11</v>
      </c>
      <c r="L6045" s="14">
        <v>1.0</v>
      </c>
    </row>
    <row r="6046">
      <c r="A6046" s="14">
        <v>137.0</v>
      </c>
      <c r="B6046" s="14">
        <v>109.0</v>
      </c>
      <c r="C6046" s="34">
        <v>103.61</v>
      </c>
      <c r="D6046" s="36">
        <v>45411.0</v>
      </c>
      <c r="E6046" s="24"/>
      <c r="F6046" s="14">
        <v>0.95</v>
      </c>
      <c r="G6046" s="14">
        <v>756.28</v>
      </c>
      <c r="H6046" s="14">
        <v>79.56</v>
      </c>
      <c r="I6046" s="14" t="s">
        <v>6069</v>
      </c>
      <c r="J6046" s="14">
        <v>0.0</v>
      </c>
      <c r="K6046" s="14" t="s">
        <v>6012</v>
      </c>
      <c r="L6046" s="14">
        <v>0.0</v>
      </c>
    </row>
    <row r="6047">
      <c r="A6047" s="14">
        <v>20.0</v>
      </c>
      <c r="B6047" s="14">
        <v>18.0</v>
      </c>
      <c r="C6047" s="34">
        <v>15.85</v>
      </c>
      <c r="D6047" s="36">
        <v>45412.0</v>
      </c>
      <c r="E6047" s="24"/>
      <c r="F6047" s="14">
        <v>0.88</v>
      </c>
      <c r="G6047" s="14">
        <v>792.5</v>
      </c>
      <c r="H6047" s="14">
        <v>90.0</v>
      </c>
      <c r="I6047" s="14" t="s">
        <v>6071</v>
      </c>
      <c r="J6047" s="14">
        <v>0.0</v>
      </c>
      <c r="K6047" s="14" t="s">
        <v>6012</v>
      </c>
      <c r="L6047" s="14">
        <v>0.0</v>
      </c>
    </row>
    <row r="6048">
      <c r="A6048" s="14">
        <v>4.0</v>
      </c>
      <c r="B6048" s="14">
        <v>0.0</v>
      </c>
      <c r="C6048" s="34">
        <v>4.07</v>
      </c>
      <c r="D6048" s="36">
        <v>45412.0</v>
      </c>
      <c r="E6048" s="24"/>
      <c r="F6048" s="14" t="s">
        <v>6012</v>
      </c>
      <c r="G6048" s="14">
        <v>1017.5</v>
      </c>
      <c r="H6048" s="14">
        <v>0.0</v>
      </c>
      <c r="I6048" s="14" t="s">
        <v>6068</v>
      </c>
      <c r="J6048" s="14" t="s">
        <v>6012</v>
      </c>
      <c r="K6048" s="14" t="s">
        <v>6012</v>
      </c>
      <c r="L6048" s="14">
        <v>0.0</v>
      </c>
    </row>
    <row r="6049">
      <c r="A6049" s="14">
        <v>0.0</v>
      </c>
      <c r="B6049" s="14">
        <v>0.0</v>
      </c>
      <c r="C6049" s="34"/>
      <c r="D6049" s="36">
        <v>45412.0</v>
      </c>
      <c r="E6049" s="24"/>
      <c r="F6049" s="14" t="s">
        <v>6012</v>
      </c>
      <c r="G6049" s="14" t="s">
        <v>6012</v>
      </c>
      <c r="H6049" s="14" t="s">
        <v>6012</v>
      </c>
      <c r="I6049" s="14" t="s">
        <v>6073</v>
      </c>
      <c r="J6049" s="14" t="s">
        <v>6012</v>
      </c>
      <c r="K6049" s="14" t="s">
        <v>6012</v>
      </c>
      <c r="L6049" s="14"/>
    </row>
    <row r="6050">
      <c r="A6050" s="14">
        <v>164.0</v>
      </c>
      <c r="B6050" s="14">
        <v>90.0</v>
      </c>
      <c r="C6050" s="34">
        <v>112.62</v>
      </c>
      <c r="D6050" s="36">
        <v>45412.0</v>
      </c>
      <c r="E6050" s="24"/>
      <c r="F6050" s="14">
        <v>1.25</v>
      </c>
      <c r="G6050" s="14">
        <v>686.71</v>
      </c>
      <c r="H6050" s="14">
        <v>54.88</v>
      </c>
      <c r="I6050" s="14" t="s">
        <v>6072</v>
      </c>
      <c r="J6050" s="14">
        <v>0.0</v>
      </c>
      <c r="K6050" s="14" t="s">
        <v>6012</v>
      </c>
      <c r="L6050" s="14">
        <v>0.0</v>
      </c>
    </row>
    <row r="6051">
      <c r="A6051" s="14">
        <v>118.0</v>
      </c>
      <c r="B6051" s="14">
        <v>79.0</v>
      </c>
      <c r="C6051" s="34">
        <v>88.44</v>
      </c>
      <c r="D6051" s="36">
        <v>45412.0</v>
      </c>
      <c r="E6051" s="24"/>
      <c r="F6051" s="14">
        <v>1.12</v>
      </c>
      <c r="G6051" s="14">
        <v>749.49</v>
      </c>
      <c r="H6051" s="14">
        <v>66.95</v>
      </c>
      <c r="I6051" s="14" t="s">
        <v>6069</v>
      </c>
      <c r="J6051" s="14">
        <v>0.0</v>
      </c>
      <c r="K6051" s="14" t="s">
        <v>6012</v>
      </c>
      <c r="L6051" s="14">
        <v>1.0</v>
      </c>
    </row>
    <row r="6052">
      <c r="A6052" s="14">
        <v>31.0</v>
      </c>
      <c r="B6052" s="14">
        <v>20.0</v>
      </c>
      <c r="C6052" s="34">
        <v>22.2</v>
      </c>
      <c r="D6052" s="36">
        <v>45412.0</v>
      </c>
      <c r="E6052" s="24"/>
      <c r="F6052" s="14">
        <v>1.11</v>
      </c>
      <c r="G6052" s="14">
        <v>716.13</v>
      </c>
      <c r="H6052" s="14">
        <v>64.52</v>
      </c>
      <c r="I6052" s="14" t="s">
        <v>6067</v>
      </c>
      <c r="J6052" s="14">
        <v>0.0</v>
      </c>
      <c r="K6052" s="14" t="s">
        <v>6012</v>
      </c>
      <c r="L6052" s="14">
        <v>0.0</v>
      </c>
    </row>
    <row r="6053">
      <c r="A6053" s="14">
        <v>24.0</v>
      </c>
      <c r="B6053" s="14">
        <v>24.0</v>
      </c>
      <c r="C6053" s="34">
        <v>18.15</v>
      </c>
      <c r="D6053" s="36">
        <v>45413.0</v>
      </c>
      <c r="E6053" s="24"/>
      <c r="F6053" s="14">
        <v>0.76</v>
      </c>
      <c r="G6053" s="14">
        <v>756.25</v>
      </c>
      <c r="H6053" s="14">
        <v>100.0</v>
      </c>
      <c r="I6053" s="14" t="s">
        <v>6067</v>
      </c>
      <c r="J6053" s="14">
        <v>0.0</v>
      </c>
      <c r="K6053" s="14" t="s">
        <v>6012</v>
      </c>
      <c r="L6053" s="14">
        <v>2.0</v>
      </c>
    </row>
    <row r="6054">
      <c r="A6054" s="14">
        <v>1.0</v>
      </c>
      <c r="B6054" s="14">
        <v>1.0</v>
      </c>
      <c r="C6054" s="34">
        <v>1.5</v>
      </c>
      <c r="D6054" s="36">
        <v>45413.0</v>
      </c>
      <c r="E6054" s="24"/>
      <c r="F6054" s="14">
        <v>1.5</v>
      </c>
      <c r="G6054" s="14">
        <v>1500.0</v>
      </c>
      <c r="H6054" s="14">
        <v>100.0</v>
      </c>
      <c r="I6054" s="14" t="s">
        <v>6068</v>
      </c>
      <c r="J6054" s="14">
        <v>0.0</v>
      </c>
      <c r="K6054" s="14" t="s">
        <v>6012</v>
      </c>
      <c r="L6054" s="14">
        <v>0.0</v>
      </c>
    </row>
    <row r="6055">
      <c r="A6055" s="14">
        <v>116.0</v>
      </c>
      <c r="B6055" s="14">
        <v>63.0</v>
      </c>
      <c r="C6055" s="34">
        <v>88.03</v>
      </c>
      <c r="D6055" s="36">
        <v>45413.0</v>
      </c>
      <c r="E6055" s="24"/>
      <c r="F6055" s="14">
        <v>1.4</v>
      </c>
      <c r="G6055" s="14">
        <v>758.88</v>
      </c>
      <c r="H6055" s="14">
        <v>54.31</v>
      </c>
      <c r="I6055" s="14" t="s">
        <v>6069</v>
      </c>
      <c r="J6055" s="14">
        <v>1.59</v>
      </c>
      <c r="K6055" s="14">
        <v>88.03</v>
      </c>
      <c r="L6055" s="14">
        <v>1.0</v>
      </c>
    </row>
    <row r="6056">
      <c r="A6056" s="14">
        <v>135.0</v>
      </c>
      <c r="B6056" s="14">
        <v>92.0</v>
      </c>
      <c r="C6056" s="34">
        <v>101.0</v>
      </c>
      <c r="D6056" s="36">
        <v>45413.0</v>
      </c>
      <c r="E6056" s="24"/>
      <c r="F6056" s="14">
        <v>1.1</v>
      </c>
      <c r="G6056" s="14">
        <v>748.15</v>
      </c>
      <c r="H6056" s="14">
        <v>68.15</v>
      </c>
      <c r="I6056" s="14" t="s">
        <v>6072</v>
      </c>
      <c r="J6056" s="14">
        <v>0.0</v>
      </c>
      <c r="K6056" s="14" t="s">
        <v>6012</v>
      </c>
      <c r="L6056" s="14">
        <v>0.0</v>
      </c>
    </row>
    <row r="6057">
      <c r="A6057" s="14">
        <v>8.0</v>
      </c>
      <c r="B6057" s="14">
        <v>6.0</v>
      </c>
      <c r="C6057" s="34">
        <v>5.75</v>
      </c>
      <c r="D6057" s="36">
        <v>45413.0</v>
      </c>
      <c r="E6057" s="24"/>
      <c r="F6057" s="14">
        <v>0.96</v>
      </c>
      <c r="G6057" s="14">
        <v>718.75</v>
      </c>
      <c r="H6057" s="14">
        <v>75.0</v>
      </c>
      <c r="I6057" s="14" t="s">
        <v>6071</v>
      </c>
      <c r="J6057" s="14">
        <v>0.0</v>
      </c>
      <c r="K6057" s="14" t="s">
        <v>6012</v>
      </c>
      <c r="L6057" s="14">
        <v>1.0</v>
      </c>
    </row>
    <row r="6058">
      <c r="A6058" s="14">
        <v>137.0</v>
      </c>
      <c r="B6058" s="14">
        <v>76.0</v>
      </c>
      <c r="C6058" s="34">
        <v>107.09</v>
      </c>
      <c r="D6058" s="36">
        <v>45414.0</v>
      </c>
      <c r="E6058" s="24"/>
      <c r="F6058" s="14">
        <v>1.41</v>
      </c>
      <c r="G6058" s="14">
        <v>781.68</v>
      </c>
      <c r="H6058" s="14">
        <v>55.47</v>
      </c>
      <c r="I6058" s="14" t="s">
        <v>6072</v>
      </c>
      <c r="J6058" s="14">
        <v>0.0</v>
      </c>
      <c r="K6058" s="14" t="s">
        <v>6012</v>
      </c>
      <c r="L6058" s="14">
        <v>0.0</v>
      </c>
    </row>
    <row r="6059">
      <c r="A6059" s="14">
        <v>110.0</v>
      </c>
      <c r="B6059" s="14">
        <v>79.0</v>
      </c>
      <c r="C6059" s="34">
        <v>80.99</v>
      </c>
      <c r="D6059" s="36">
        <v>45414.0</v>
      </c>
      <c r="E6059" s="24"/>
      <c r="F6059" s="14">
        <v>1.03</v>
      </c>
      <c r="G6059" s="14">
        <v>736.27</v>
      </c>
      <c r="H6059" s="14">
        <v>71.82</v>
      </c>
      <c r="I6059" s="14" t="s">
        <v>6069</v>
      </c>
      <c r="J6059" s="14">
        <v>0.0</v>
      </c>
      <c r="K6059" s="14" t="s">
        <v>6012</v>
      </c>
      <c r="L6059" s="14">
        <v>1.0</v>
      </c>
    </row>
    <row r="6060">
      <c r="A6060" s="14">
        <v>2.0</v>
      </c>
      <c r="B6060" s="14">
        <v>2.0</v>
      </c>
      <c r="C6060" s="34">
        <v>1.11</v>
      </c>
      <c r="D6060" s="36">
        <v>45414.0</v>
      </c>
      <c r="E6060" s="24"/>
      <c r="F6060" s="14">
        <v>0.56</v>
      </c>
      <c r="G6060" s="14">
        <v>555.0</v>
      </c>
      <c r="H6060" s="14">
        <v>100.0</v>
      </c>
      <c r="I6060" s="14" t="s">
        <v>6068</v>
      </c>
      <c r="J6060" s="14">
        <v>0.0</v>
      </c>
      <c r="K6060" s="14" t="s">
        <v>6012</v>
      </c>
      <c r="L6060" s="14">
        <v>0.0</v>
      </c>
    </row>
    <row r="6061">
      <c r="A6061" s="14">
        <v>11.0</v>
      </c>
      <c r="B6061" s="14">
        <v>9.0</v>
      </c>
      <c r="C6061" s="34">
        <v>7.68</v>
      </c>
      <c r="D6061" s="36">
        <v>45414.0</v>
      </c>
      <c r="E6061" s="24"/>
      <c r="F6061" s="14">
        <v>0.85</v>
      </c>
      <c r="G6061" s="14">
        <v>698.18</v>
      </c>
      <c r="H6061" s="14">
        <v>81.82</v>
      </c>
      <c r="I6061" s="14" t="s">
        <v>6071</v>
      </c>
      <c r="J6061" s="14">
        <v>0.0</v>
      </c>
      <c r="K6061" s="14" t="s">
        <v>6012</v>
      </c>
      <c r="L6061" s="14">
        <v>0.0</v>
      </c>
    </row>
    <row r="6062">
      <c r="A6062" s="14">
        <v>25.0</v>
      </c>
      <c r="B6062" s="14">
        <v>13.0</v>
      </c>
      <c r="C6062" s="34">
        <v>19.17</v>
      </c>
      <c r="D6062" s="36">
        <v>45414.0</v>
      </c>
      <c r="E6062" s="24"/>
      <c r="F6062" s="14">
        <v>1.47</v>
      </c>
      <c r="G6062" s="14">
        <v>766.8</v>
      </c>
      <c r="H6062" s="14">
        <v>52.0</v>
      </c>
      <c r="I6062" s="14" t="s">
        <v>6067</v>
      </c>
      <c r="J6062" s="14">
        <v>0.0</v>
      </c>
      <c r="K6062" s="14" t="s">
        <v>6012</v>
      </c>
      <c r="L6062" s="14">
        <v>0.0</v>
      </c>
    </row>
    <row r="6063">
      <c r="A6063" s="14">
        <v>28.0</v>
      </c>
      <c r="B6063" s="14">
        <v>23.0</v>
      </c>
      <c r="C6063" s="34">
        <v>19.81</v>
      </c>
      <c r="D6063" s="36">
        <v>45415.0</v>
      </c>
      <c r="E6063" s="24"/>
      <c r="F6063" s="14">
        <v>0.86</v>
      </c>
      <c r="G6063" s="14">
        <v>707.5</v>
      </c>
      <c r="H6063" s="14">
        <v>82.14</v>
      </c>
      <c r="I6063" s="14" t="s">
        <v>6067</v>
      </c>
      <c r="J6063" s="14">
        <v>0.0</v>
      </c>
      <c r="K6063" s="14" t="s">
        <v>6012</v>
      </c>
      <c r="L6063" s="14">
        <v>0.0</v>
      </c>
    </row>
    <row r="6064">
      <c r="A6064" s="14">
        <v>2.0</v>
      </c>
      <c r="B6064" s="14">
        <v>3.0</v>
      </c>
      <c r="C6064" s="34">
        <v>1.8</v>
      </c>
      <c r="D6064" s="36">
        <v>45415.0</v>
      </c>
      <c r="E6064" s="24"/>
      <c r="F6064" s="14">
        <v>0.6</v>
      </c>
      <c r="G6064" s="14">
        <v>900.0</v>
      </c>
      <c r="H6064" s="14">
        <v>150.0</v>
      </c>
      <c r="I6064" s="14" t="s">
        <v>6068</v>
      </c>
      <c r="J6064" s="14">
        <v>0.0</v>
      </c>
      <c r="K6064" s="14" t="s">
        <v>6012</v>
      </c>
      <c r="L6064" s="14">
        <v>0.0</v>
      </c>
    </row>
    <row r="6065">
      <c r="A6065" s="14">
        <v>9.0</v>
      </c>
      <c r="B6065" s="14">
        <v>6.0</v>
      </c>
      <c r="C6065" s="34">
        <v>7.2</v>
      </c>
      <c r="D6065" s="36">
        <v>45415.0</v>
      </c>
      <c r="E6065" s="24"/>
      <c r="F6065" s="14">
        <v>1.2</v>
      </c>
      <c r="G6065" s="14">
        <v>800.0</v>
      </c>
      <c r="H6065" s="14">
        <v>66.67</v>
      </c>
      <c r="I6065" s="14" t="s">
        <v>6071</v>
      </c>
      <c r="J6065" s="14">
        <v>16.67</v>
      </c>
      <c r="K6065" s="14">
        <v>7.2</v>
      </c>
      <c r="L6065" s="14">
        <v>0.0</v>
      </c>
    </row>
    <row r="6066">
      <c r="A6066" s="14">
        <v>122.0</v>
      </c>
      <c r="B6066" s="14">
        <v>77.0</v>
      </c>
      <c r="C6066" s="34">
        <v>85.37</v>
      </c>
      <c r="D6066" s="36">
        <v>45415.0</v>
      </c>
      <c r="E6066" s="24"/>
      <c r="F6066" s="14">
        <v>1.11</v>
      </c>
      <c r="G6066" s="14">
        <v>699.75</v>
      </c>
      <c r="H6066" s="14">
        <v>63.11</v>
      </c>
      <c r="I6066" s="14" t="s">
        <v>6072</v>
      </c>
      <c r="J6066" s="14">
        <v>0.0</v>
      </c>
      <c r="K6066" s="14" t="s">
        <v>6012</v>
      </c>
      <c r="L6066" s="14">
        <v>5.0</v>
      </c>
    </row>
    <row r="6067">
      <c r="A6067" s="14">
        <v>71.0</v>
      </c>
      <c r="B6067" s="14">
        <v>47.0</v>
      </c>
      <c r="C6067" s="34">
        <v>55.31</v>
      </c>
      <c r="D6067" s="36">
        <v>45415.0</v>
      </c>
      <c r="E6067" s="24"/>
      <c r="F6067" s="14">
        <v>1.18</v>
      </c>
      <c r="G6067" s="14">
        <v>779.01</v>
      </c>
      <c r="H6067" s="14">
        <v>66.2</v>
      </c>
      <c r="I6067" s="14" t="s">
        <v>6069</v>
      </c>
      <c r="J6067" s="14">
        <v>0.0</v>
      </c>
      <c r="K6067" s="14" t="s">
        <v>6012</v>
      </c>
      <c r="L6067" s="14">
        <v>0.0</v>
      </c>
    </row>
    <row r="6068">
      <c r="A6068" s="14">
        <v>11.0</v>
      </c>
      <c r="B6068" s="14">
        <v>2.0</v>
      </c>
      <c r="C6068" s="34">
        <v>8.5</v>
      </c>
      <c r="D6068" s="36">
        <v>45416.0</v>
      </c>
      <c r="E6068" s="24"/>
      <c r="F6068" s="14">
        <v>4.25</v>
      </c>
      <c r="G6068" s="14">
        <v>772.73</v>
      </c>
      <c r="H6068" s="14">
        <v>18.18</v>
      </c>
      <c r="I6068" s="14" t="s">
        <v>6067</v>
      </c>
      <c r="J6068" s="14">
        <v>0.0</v>
      </c>
      <c r="K6068" s="14" t="s">
        <v>6012</v>
      </c>
      <c r="L6068" s="14">
        <v>0.0</v>
      </c>
    </row>
    <row r="6069">
      <c r="A6069" s="14">
        <v>8.0</v>
      </c>
      <c r="B6069" s="14">
        <v>2.0</v>
      </c>
      <c r="C6069" s="34">
        <v>6.64</v>
      </c>
      <c r="D6069" s="36">
        <v>45416.0</v>
      </c>
      <c r="E6069" s="24"/>
      <c r="F6069" s="14">
        <v>3.32</v>
      </c>
      <c r="G6069" s="14">
        <v>830.0</v>
      </c>
      <c r="H6069" s="14">
        <v>25.0</v>
      </c>
      <c r="I6069" s="14" t="s">
        <v>6071</v>
      </c>
      <c r="J6069" s="14">
        <v>0.0</v>
      </c>
      <c r="K6069" s="14" t="s">
        <v>6012</v>
      </c>
      <c r="L6069" s="14">
        <v>0.0</v>
      </c>
    </row>
    <row r="6070">
      <c r="A6070" s="14">
        <v>73.0</v>
      </c>
      <c r="B6070" s="14">
        <v>32.0</v>
      </c>
      <c r="C6070" s="34">
        <v>53.39</v>
      </c>
      <c r="D6070" s="36">
        <v>45416.0</v>
      </c>
      <c r="E6070" s="24"/>
      <c r="F6070" s="14">
        <v>1.67</v>
      </c>
      <c r="G6070" s="14">
        <v>731.37</v>
      </c>
      <c r="H6070" s="14">
        <v>43.84</v>
      </c>
      <c r="I6070" s="14" t="s">
        <v>6069</v>
      </c>
      <c r="J6070" s="14">
        <v>0.0</v>
      </c>
      <c r="K6070" s="14" t="s">
        <v>6012</v>
      </c>
      <c r="L6070" s="14">
        <v>2.0</v>
      </c>
    </row>
    <row r="6071">
      <c r="A6071" s="14">
        <v>119.0</v>
      </c>
      <c r="B6071" s="14">
        <v>49.0</v>
      </c>
      <c r="C6071" s="34">
        <v>85.6</v>
      </c>
      <c r="D6071" s="36">
        <v>45416.0</v>
      </c>
      <c r="E6071" s="24"/>
      <c r="F6071" s="14">
        <v>1.75</v>
      </c>
      <c r="G6071" s="14">
        <v>719.33</v>
      </c>
      <c r="H6071" s="14">
        <v>41.18</v>
      </c>
      <c r="I6071" s="14" t="s">
        <v>6072</v>
      </c>
      <c r="J6071" s="14">
        <v>0.0</v>
      </c>
      <c r="K6071" s="14" t="s">
        <v>6012</v>
      </c>
      <c r="L6071" s="14">
        <v>0.0</v>
      </c>
    </row>
    <row r="6072">
      <c r="A6072" s="14">
        <v>2.0</v>
      </c>
      <c r="B6072" s="14">
        <v>1.0</v>
      </c>
      <c r="C6072" s="34">
        <v>1.75</v>
      </c>
      <c r="D6072" s="36">
        <v>45416.0</v>
      </c>
      <c r="E6072" s="24"/>
      <c r="F6072" s="14">
        <v>1.75</v>
      </c>
      <c r="G6072" s="14">
        <v>875.0</v>
      </c>
      <c r="H6072" s="14">
        <v>50.0</v>
      </c>
      <c r="I6072" s="14" t="s">
        <v>6068</v>
      </c>
      <c r="J6072" s="14">
        <v>0.0</v>
      </c>
      <c r="K6072" s="14" t="s">
        <v>6012</v>
      </c>
      <c r="L6072" s="14">
        <v>0.0</v>
      </c>
    </row>
    <row r="6073">
      <c r="A6073" s="14">
        <v>4.0</v>
      </c>
      <c r="B6073" s="14">
        <v>1.0</v>
      </c>
      <c r="C6073" s="34">
        <v>3.47</v>
      </c>
      <c r="D6073" s="36">
        <v>45417.0</v>
      </c>
      <c r="E6073" s="24"/>
      <c r="F6073" s="14">
        <v>3.47</v>
      </c>
      <c r="G6073" s="14">
        <v>867.5</v>
      </c>
      <c r="H6073" s="14">
        <v>25.0</v>
      </c>
      <c r="I6073" s="14" t="s">
        <v>6068</v>
      </c>
      <c r="J6073" s="14">
        <v>0.0</v>
      </c>
      <c r="K6073" s="14" t="s">
        <v>6012</v>
      </c>
      <c r="L6073" s="14">
        <v>0.0</v>
      </c>
    </row>
    <row r="6074">
      <c r="A6074" s="14">
        <v>20.0</v>
      </c>
      <c r="B6074" s="14">
        <v>7.0</v>
      </c>
      <c r="C6074" s="34">
        <v>13.31</v>
      </c>
      <c r="D6074" s="36">
        <v>45417.0</v>
      </c>
      <c r="E6074" s="24"/>
      <c r="F6074" s="14">
        <v>1.9</v>
      </c>
      <c r="G6074" s="14">
        <v>665.5</v>
      </c>
      <c r="H6074" s="14">
        <v>35.0</v>
      </c>
      <c r="I6074" s="14" t="s">
        <v>6067</v>
      </c>
      <c r="J6074" s="14">
        <v>0.0</v>
      </c>
      <c r="K6074" s="14" t="s">
        <v>6012</v>
      </c>
      <c r="L6074" s="14">
        <v>0.0</v>
      </c>
    </row>
    <row r="6075">
      <c r="A6075" s="14">
        <v>7.0</v>
      </c>
      <c r="B6075" s="14">
        <v>2.0</v>
      </c>
      <c r="C6075" s="34">
        <v>6.56</v>
      </c>
      <c r="D6075" s="36">
        <v>45417.0</v>
      </c>
      <c r="E6075" s="24"/>
      <c r="F6075" s="14">
        <v>3.28</v>
      </c>
      <c r="G6075" s="14">
        <v>937.14</v>
      </c>
      <c r="H6075" s="14">
        <v>28.57</v>
      </c>
      <c r="I6075" s="14" t="s">
        <v>6071</v>
      </c>
      <c r="J6075" s="14">
        <v>0.0</v>
      </c>
      <c r="K6075" s="14" t="s">
        <v>6012</v>
      </c>
      <c r="L6075" s="14">
        <v>0.0</v>
      </c>
    </row>
    <row r="6076">
      <c r="A6076" s="14">
        <v>111.0</v>
      </c>
      <c r="B6076" s="14">
        <v>61.0</v>
      </c>
      <c r="C6076" s="34">
        <v>79.63</v>
      </c>
      <c r="D6076" s="36">
        <v>45417.0</v>
      </c>
      <c r="E6076" s="24"/>
      <c r="F6076" s="14">
        <v>1.31</v>
      </c>
      <c r="G6076" s="14">
        <v>717.39</v>
      </c>
      <c r="H6076" s="14">
        <v>54.95</v>
      </c>
      <c r="I6076" s="14" t="s">
        <v>6069</v>
      </c>
      <c r="J6076" s="14">
        <v>0.0</v>
      </c>
      <c r="K6076" s="14" t="s">
        <v>6012</v>
      </c>
      <c r="L6076" s="14">
        <v>0.0</v>
      </c>
    </row>
    <row r="6077">
      <c r="A6077" s="14">
        <v>136.0</v>
      </c>
      <c r="B6077" s="14">
        <v>43.0</v>
      </c>
      <c r="C6077" s="34">
        <v>92.24</v>
      </c>
      <c r="D6077" s="36">
        <v>45417.0</v>
      </c>
      <c r="E6077" s="24"/>
      <c r="F6077" s="14">
        <v>2.15</v>
      </c>
      <c r="G6077" s="14">
        <v>678.24</v>
      </c>
      <c r="H6077" s="14">
        <v>31.62</v>
      </c>
      <c r="I6077" s="14" t="s">
        <v>6072</v>
      </c>
      <c r="J6077" s="14">
        <v>2.33</v>
      </c>
      <c r="K6077" s="14">
        <v>92.24</v>
      </c>
      <c r="L6077" s="14">
        <v>1.0</v>
      </c>
    </row>
    <row r="6078">
      <c r="A6078" s="14">
        <v>12.0</v>
      </c>
      <c r="B6078" s="14">
        <v>11.0</v>
      </c>
      <c r="C6078" s="34">
        <v>9.1</v>
      </c>
      <c r="D6078" s="36">
        <v>45418.0</v>
      </c>
      <c r="E6078" s="24"/>
      <c r="F6078" s="14">
        <v>0.83</v>
      </c>
      <c r="G6078" s="14">
        <v>758.33</v>
      </c>
      <c r="H6078" s="14">
        <v>91.67</v>
      </c>
      <c r="I6078" s="14" t="s">
        <v>6071</v>
      </c>
      <c r="J6078" s="14">
        <v>0.0</v>
      </c>
      <c r="K6078" s="14" t="s">
        <v>6012</v>
      </c>
      <c r="L6078" s="14">
        <v>0.0</v>
      </c>
    </row>
    <row r="6079">
      <c r="A6079" s="14">
        <v>3.0</v>
      </c>
      <c r="B6079" s="14">
        <v>1.0</v>
      </c>
      <c r="C6079" s="34">
        <v>2.1</v>
      </c>
      <c r="D6079" s="36">
        <v>45418.0</v>
      </c>
      <c r="E6079" s="24"/>
      <c r="F6079" s="14">
        <v>2.1</v>
      </c>
      <c r="G6079" s="14">
        <v>700.0</v>
      </c>
      <c r="H6079" s="14">
        <v>33.33</v>
      </c>
      <c r="I6079" s="14" t="s">
        <v>6068</v>
      </c>
      <c r="J6079" s="14">
        <v>0.0</v>
      </c>
      <c r="K6079" s="14" t="s">
        <v>6012</v>
      </c>
      <c r="L6079" s="14">
        <v>0.0</v>
      </c>
    </row>
    <row r="6080">
      <c r="A6080" s="14">
        <v>121.0</v>
      </c>
      <c r="B6080" s="14">
        <v>75.0</v>
      </c>
      <c r="C6080" s="34">
        <v>88.01</v>
      </c>
      <c r="D6080" s="36">
        <v>45418.0</v>
      </c>
      <c r="E6080" s="24"/>
      <c r="F6080" s="14">
        <v>1.17</v>
      </c>
      <c r="G6080" s="14">
        <v>727.36</v>
      </c>
      <c r="H6080" s="14">
        <v>61.98</v>
      </c>
      <c r="I6080" s="14" t="s">
        <v>6069</v>
      </c>
      <c r="J6080" s="14">
        <v>0.0</v>
      </c>
      <c r="K6080" s="14" t="s">
        <v>6012</v>
      </c>
      <c r="L6080" s="14">
        <v>1.0</v>
      </c>
    </row>
    <row r="6081">
      <c r="A6081" s="14">
        <v>151.0</v>
      </c>
      <c r="B6081" s="14">
        <v>92.0</v>
      </c>
      <c r="C6081" s="34">
        <v>105.88</v>
      </c>
      <c r="D6081" s="36">
        <v>45418.0</v>
      </c>
      <c r="E6081" s="24"/>
      <c r="F6081" s="14">
        <v>1.15</v>
      </c>
      <c r="G6081" s="14">
        <v>701.19</v>
      </c>
      <c r="H6081" s="14">
        <v>60.93</v>
      </c>
      <c r="I6081" s="14" t="s">
        <v>6072</v>
      </c>
      <c r="J6081" s="14">
        <v>0.0</v>
      </c>
      <c r="K6081" s="14" t="s">
        <v>6012</v>
      </c>
      <c r="L6081" s="14">
        <v>0.0</v>
      </c>
    </row>
    <row r="6082">
      <c r="A6082" s="14">
        <v>41.0</v>
      </c>
      <c r="B6082" s="14">
        <v>23.0</v>
      </c>
      <c r="C6082" s="34">
        <v>31.87</v>
      </c>
      <c r="D6082" s="36">
        <v>45418.0</v>
      </c>
      <c r="E6082" s="24"/>
      <c r="F6082" s="14">
        <v>1.39</v>
      </c>
      <c r="G6082" s="14">
        <v>777.32</v>
      </c>
      <c r="H6082" s="14">
        <v>56.1</v>
      </c>
      <c r="I6082" s="14" t="s">
        <v>6067</v>
      </c>
      <c r="J6082" s="14">
        <v>4.35</v>
      </c>
      <c r="K6082" s="14">
        <v>31.87</v>
      </c>
      <c r="L6082" s="14">
        <v>1.0</v>
      </c>
    </row>
    <row r="6083">
      <c r="A6083" s="14">
        <v>0.0</v>
      </c>
      <c r="B6083" s="14">
        <v>0.0</v>
      </c>
      <c r="C6083" s="34"/>
      <c r="D6083" s="36">
        <v>45418.0</v>
      </c>
      <c r="E6083" s="24"/>
      <c r="F6083" s="14" t="s">
        <v>6012</v>
      </c>
      <c r="G6083" s="14" t="s">
        <v>6012</v>
      </c>
      <c r="H6083" s="14" t="s">
        <v>6012</v>
      </c>
      <c r="I6083" s="14" t="s">
        <v>6073</v>
      </c>
      <c r="J6083" s="14" t="s">
        <v>6012</v>
      </c>
      <c r="K6083" s="14" t="s">
        <v>6012</v>
      </c>
      <c r="L6083" s="14"/>
    </row>
    <row r="6084">
      <c r="A6084" s="14">
        <v>1980.0</v>
      </c>
      <c r="B6084" s="14">
        <v>10.0</v>
      </c>
      <c r="C6084" s="34">
        <v>57.55</v>
      </c>
      <c r="D6084" s="36">
        <v>45419.0</v>
      </c>
      <c r="E6084" s="24"/>
      <c r="F6084" s="14">
        <v>5.76</v>
      </c>
      <c r="G6084" s="14">
        <v>29.07</v>
      </c>
      <c r="H6084" s="14">
        <v>0.51</v>
      </c>
      <c r="I6084" s="14" t="s">
        <v>6074</v>
      </c>
      <c r="J6084" s="14">
        <v>20.0</v>
      </c>
      <c r="K6084" s="14">
        <v>28.78</v>
      </c>
      <c r="L6084" s="14">
        <v>0.0</v>
      </c>
    </row>
    <row r="6085">
      <c r="A6085" s="14">
        <v>153.0</v>
      </c>
      <c r="B6085" s="14">
        <v>98.0</v>
      </c>
      <c r="C6085" s="34">
        <v>109.66</v>
      </c>
      <c r="D6085" s="36">
        <v>45419.0</v>
      </c>
      <c r="E6085" s="24"/>
      <c r="F6085" s="14">
        <v>1.12</v>
      </c>
      <c r="G6085" s="14">
        <v>716.73</v>
      </c>
      <c r="H6085" s="14">
        <v>64.05</v>
      </c>
      <c r="I6085" s="14" t="s">
        <v>6072</v>
      </c>
      <c r="J6085" s="14">
        <v>0.0</v>
      </c>
      <c r="K6085" s="14" t="s">
        <v>6012</v>
      </c>
      <c r="L6085" s="14">
        <v>0.0</v>
      </c>
    </row>
    <row r="6086">
      <c r="A6086" s="14">
        <v>104.0</v>
      </c>
      <c r="B6086" s="14">
        <v>40.0</v>
      </c>
      <c r="C6086" s="34">
        <v>65.26</v>
      </c>
      <c r="D6086" s="36">
        <v>45419.0</v>
      </c>
      <c r="E6086" s="24"/>
      <c r="F6086" s="14">
        <v>1.63</v>
      </c>
      <c r="G6086" s="14">
        <v>627.5</v>
      </c>
      <c r="H6086" s="14">
        <v>38.46</v>
      </c>
      <c r="I6086" s="14" t="s">
        <v>6071</v>
      </c>
      <c r="J6086" s="14">
        <v>0.0</v>
      </c>
      <c r="K6086" s="14" t="s">
        <v>6012</v>
      </c>
      <c r="L6086" s="14">
        <v>0.0</v>
      </c>
    </row>
    <row r="6087">
      <c r="A6087" s="14">
        <v>43.0</v>
      </c>
      <c r="B6087" s="14">
        <v>26.0</v>
      </c>
      <c r="C6087" s="34">
        <v>33.39</v>
      </c>
      <c r="D6087" s="36">
        <v>45419.0</v>
      </c>
      <c r="E6087" s="24"/>
      <c r="F6087" s="14">
        <v>1.28</v>
      </c>
      <c r="G6087" s="14">
        <v>776.51</v>
      </c>
      <c r="H6087" s="14">
        <v>60.47</v>
      </c>
      <c r="I6087" s="14" t="s">
        <v>6067</v>
      </c>
      <c r="J6087" s="14">
        <v>0.0</v>
      </c>
      <c r="K6087" s="14" t="s">
        <v>6012</v>
      </c>
      <c r="L6087" s="14">
        <v>1.0</v>
      </c>
    </row>
    <row r="6088">
      <c r="A6088" s="14">
        <v>6.0</v>
      </c>
      <c r="B6088" s="14">
        <v>2.0</v>
      </c>
      <c r="C6088" s="34">
        <v>5.43</v>
      </c>
      <c r="D6088" s="36">
        <v>45419.0</v>
      </c>
      <c r="E6088" s="24"/>
      <c r="F6088" s="14">
        <v>2.72</v>
      </c>
      <c r="G6088" s="14">
        <v>905.0</v>
      </c>
      <c r="H6088" s="14">
        <v>33.33</v>
      </c>
      <c r="I6088" s="14" t="s">
        <v>6068</v>
      </c>
      <c r="J6088" s="14">
        <v>0.0</v>
      </c>
      <c r="K6088" s="14" t="s">
        <v>6012</v>
      </c>
      <c r="L6088" s="14">
        <v>0.0</v>
      </c>
    </row>
    <row r="6089">
      <c r="A6089" s="14">
        <v>0.0</v>
      </c>
      <c r="B6089" s="14">
        <v>0.0</v>
      </c>
      <c r="C6089" s="34"/>
      <c r="D6089" s="36">
        <v>45419.0</v>
      </c>
      <c r="E6089" s="24"/>
      <c r="F6089" s="14" t="s">
        <v>6012</v>
      </c>
      <c r="G6089" s="14" t="s">
        <v>6012</v>
      </c>
      <c r="H6089" s="14" t="s">
        <v>6012</v>
      </c>
      <c r="I6089" s="14" t="s">
        <v>6073</v>
      </c>
      <c r="J6089" s="14" t="s">
        <v>6012</v>
      </c>
      <c r="K6089" s="14" t="s">
        <v>6012</v>
      </c>
      <c r="L6089" s="14"/>
    </row>
    <row r="6090">
      <c r="A6090" s="14">
        <v>173.0</v>
      </c>
      <c r="B6090" s="14">
        <v>99.0</v>
      </c>
      <c r="C6090" s="34">
        <v>113.63</v>
      </c>
      <c r="D6090" s="36">
        <v>45419.0</v>
      </c>
      <c r="E6090" s="24"/>
      <c r="F6090" s="14">
        <v>1.15</v>
      </c>
      <c r="G6090" s="14">
        <v>656.82</v>
      </c>
      <c r="H6090" s="14">
        <v>57.23</v>
      </c>
      <c r="I6090" s="14" t="s">
        <v>6069</v>
      </c>
      <c r="J6090" s="14">
        <v>1.01</v>
      </c>
      <c r="K6090" s="14">
        <v>113.63</v>
      </c>
      <c r="L6090" s="14">
        <v>2.0</v>
      </c>
    </row>
    <row r="6091">
      <c r="A6091" s="14">
        <v>102.0</v>
      </c>
      <c r="B6091" s="14">
        <v>55.0</v>
      </c>
      <c r="C6091" s="34">
        <v>66.19</v>
      </c>
      <c r="D6091" s="36">
        <v>45420.0</v>
      </c>
      <c r="E6091" s="24"/>
      <c r="F6091" s="14">
        <v>1.2</v>
      </c>
      <c r="G6091" s="14">
        <v>648.92</v>
      </c>
      <c r="H6091" s="14">
        <v>53.92</v>
      </c>
      <c r="I6091" s="14" t="s">
        <v>6071</v>
      </c>
      <c r="J6091" s="14">
        <v>3.64</v>
      </c>
      <c r="K6091" s="14">
        <v>33.1</v>
      </c>
      <c r="L6091" s="14">
        <v>3.0</v>
      </c>
    </row>
    <row r="6092">
      <c r="A6092" s="14">
        <v>19.0</v>
      </c>
      <c r="B6092" s="14">
        <v>11.0</v>
      </c>
      <c r="C6092" s="34">
        <v>12.42</v>
      </c>
      <c r="D6092" s="36">
        <v>45420.0</v>
      </c>
      <c r="E6092" s="24"/>
      <c r="F6092" s="14">
        <v>1.13</v>
      </c>
      <c r="G6092" s="14">
        <v>653.68</v>
      </c>
      <c r="H6092" s="14">
        <v>57.89</v>
      </c>
      <c r="I6092" s="14" t="s">
        <v>6067</v>
      </c>
      <c r="J6092" s="14">
        <v>9.09</v>
      </c>
      <c r="K6092" s="14">
        <v>12.42</v>
      </c>
      <c r="L6092" s="14">
        <v>0.0</v>
      </c>
    </row>
    <row r="6093">
      <c r="A6093" s="14">
        <v>2502.0</v>
      </c>
      <c r="B6093" s="14">
        <v>12.0</v>
      </c>
      <c r="C6093" s="34">
        <v>57.38</v>
      </c>
      <c r="D6093" s="36">
        <v>45420.0</v>
      </c>
      <c r="E6093" s="24"/>
      <c r="F6093" s="14">
        <v>4.78</v>
      </c>
      <c r="G6093" s="14">
        <v>22.93</v>
      </c>
      <c r="H6093" s="14">
        <v>0.48</v>
      </c>
      <c r="I6093" s="14" t="s">
        <v>6074</v>
      </c>
      <c r="J6093" s="14">
        <v>41.67</v>
      </c>
      <c r="K6093" s="14">
        <v>11.48</v>
      </c>
      <c r="L6093" s="14">
        <v>0.0</v>
      </c>
    </row>
    <row r="6094">
      <c r="A6094" s="14">
        <v>0.0</v>
      </c>
      <c r="B6094" s="14">
        <v>0.0</v>
      </c>
      <c r="C6094" s="34"/>
      <c r="D6094" s="36">
        <v>45420.0</v>
      </c>
      <c r="E6094" s="24"/>
      <c r="F6094" s="14" t="s">
        <v>6012</v>
      </c>
      <c r="G6094" s="14" t="s">
        <v>6012</v>
      </c>
      <c r="H6094" s="14" t="s">
        <v>6012</v>
      </c>
      <c r="I6094" s="14" t="s">
        <v>6073</v>
      </c>
      <c r="J6094" s="14" t="s">
        <v>6012</v>
      </c>
      <c r="K6094" s="14" t="s">
        <v>6012</v>
      </c>
      <c r="L6094" s="14"/>
    </row>
    <row r="6095">
      <c r="A6095" s="14">
        <v>169.0</v>
      </c>
      <c r="B6095" s="14">
        <v>98.0</v>
      </c>
      <c r="C6095" s="34">
        <v>117.57</v>
      </c>
      <c r="D6095" s="36">
        <v>45420.0</v>
      </c>
      <c r="E6095" s="24"/>
      <c r="F6095" s="14">
        <v>1.2</v>
      </c>
      <c r="G6095" s="14">
        <v>695.68</v>
      </c>
      <c r="H6095" s="14">
        <v>57.99</v>
      </c>
      <c r="I6095" s="14" t="s">
        <v>6069</v>
      </c>
      <c r="J6095" s="14">
        <v>1.02</v>
      </c>
      <c r="K6095" s="14">
        <v>117.57</v>
      </c>
      <c r="L6095" s="14">
        <v>3.0</v>
      </c>
    </row>
    <row r="6096">
      <c r="A6096" s="14">
        <v>3.0</v>
      </c>
      <c r="B6096" s="14">
        <v>1.0</v>
      </c>
      <c r="C6096" s="34">
        <v>1.66</v>
      </c>
      <c r="D6096" s="36">
        <v>45420.0</v>
      </c>
      <c r="E6096" s="24"/>
      <c r="F6096" s="14">
        <v>1.66</v>
      </c>
      <c r="G6096" s="14">
        <v>553.33</v>
      </c>
      <c r="H6096" s="14">
        <v>33.33</v>
      </c>
      <c r="I6096" s="14" t="s">
        <v>6068</v>
      </c>
      <c r="J6096" s="14">
        <v>0.0</v>
      </c>
      <c r="K6096" s="14" t="s">
        <v>6012</v>
      </c>
      <c r="L6096" s="14">
        <v>0.0</v>
      </c>
    </row>
    <row r="6097">
      <c r="A6097" s="14">
        <v>100.0</v>
      </c>
      <c r="B6097" s="14">
        <v>64.0</v>
      </c>
      <c r="C6097" s="34">
        <v>78.0</v>
      </c>
      <c r="D6097" s="36">
        <v>45420.0</v>
      </c>
      <c r="E6097" s="24"/>
      <c r="F6097" s="14">
        <v>1.22</v>
      </c>
      <c r="G6097" s="14">
        <v>780.0</v>
      </c>
      <c r="H6097" s="14">
        <v>64.0</v>
      </c>
      <c r="I6097" s="14" t="s">
        <v>6072</v>
      </c>
      <c r="J6097" s="14">
        <v>0.0</v>
      </c>
      <c r="K6097" s="14" t="s">
        <v>6012</v>
      </c>
      <c r="L6097" s="14">
        <v>0.0</v>
      </c>
    </row>
    <row r="6098">
      <c r="A6098" s="14">
        <v>103.0</v>
      </c>
      <c r="B6098" s="14">
        <v>49.0</v>
      </c>
      <c r="C6098" s="34">
        <v>70.35</v>
      </c>
      <c r="D6098" s="36">
        <v>45421.0</v>
      </c>
      <c r="E6098" s="24"/>
      <c r="F6098" s="14">
        <v>1.44</v>
      </c>
      <c r="G6098" s="14">
        <v>683.01</v>
      </c>
      <c r="H6098" s="14">
        <v>47.57</v>
      </c>
      <c r="I6098" s="14" t="s">
        <v>6071</v>
      </c>
      <c r="J6098" s="14">
        <v>0.0</v>
      </c>
      <c r="K6098" s="14" t="s">
        <v>6012</v>
      </c>
      <c r="L6098" s="14">
        <v>0.0</v>
      </c>
    </row>
    <row r="6099">
      <c r="A6099" s="14">
        <v>2752.0</v>
      </c>
      <c r="B6099" s="14">
        <v>10.0</v>
      </c>
      <c r="C6099" s="34">
        <v>55.46</v>
      </c>
      <c r="D6099" s="36">
        <v>45421.0</v>
      </c>
      <c r="E6099" s="24"/>
      <c r="F6099" s="14">
        <v>5.55</v>
      </c>
      <c r="G6099" s="14">
        <v>20.15</v>
      </c>
      <c r="H6099" s="14">
        <v>0.36</v>
      </c>
      <c r="I6099" s="14" t="s">
        <v>6074</v>
      </c>
      <c r="J6099" s="14">
        <v>70.0</v>
      </c>
      <c r="K6099" s="14">
        <v>7.92</v>
      </c>
      <c r="L6099" s="14">
        <v>0.0</v>
      </c>
    </row>
    <row r="6100">
      <c r="A6100" s="14">
        <v>119.0</v>
      </c>
      <c r="B6100" s="14">
        <v>60.0</v>
      </c>
      <c r="C6100" s="34">
        <v>99.68</v>
      </c>
      <c r="D6100" s="36">
        <v>45421.0</v>
      </c>
      <c r="E6100" s="24"/>
      <c r="F6100" s="14">
        <v>1.66</v>
      </c>
      <c r="G6100" s="14">
        <v>837.65</v>
      </c>
      <c r="H6100" s="14">
        <v>50.42</v>
      </c>
      <c r="I6100" s="14" t="s">
        <v>6072</v>
      </c>
      <c r="J6100" s="14">
        <v>3.33</v>
      </c>
      <c r="K6100" s="14">
        <v>49.84</v>
      </c>
      <c r="L6100" s="14">
        <v>2.0</v>
      </c>
    </row>
    <row r="6101">
      <c r="A6101" s="14">
        <v>160.0</v>
      </c>
      <c r="B6101" s="14">
        <v>89.0</v>
      </c>
      <c r="C6101" s="34">
        <v>113.76</v>
      </c>
      <c r="D6101" s="36">
        <v>45421.0</v>
      </c>
      <c r="E6101" s="24"/>
      <c r="F6101" s="14">
        <v>1.28</v>
      </c>
      <c r="G6101" s="14">
        <v>711.0</v>
      </c>
      <c r="H6101" s="14">
        <v>55.62</v>
      </c>
      <c r="I6101" s="14" t="s">
        <v>6069</v>
      </c>
      <c r="J6101" s="14">
        <v>2.25</v>
      </c>
      <c r="K6101" s="14">
        <v>56.88</v>
      </c>
      <c r="L6101" s="14">
        <v>1.0</v>
      </c>
    </row>
    <row r="6102">
      <c r="A6102" s="14">
        <v>23.0</v>
      </c>
      <c r="B6102" s="14">
        <v>20.0</v>
      </c>
      <c r="C6102" s="34">
        <v>17.65</v>
      </c>
      <c r="D6102" s="36">
        <v>45421.0</v>
      </c>
      <c r="E6102" s="24"/>
      <c r="F6102" s="14">
        <v>0.88</v>
      </c>
      <c r="G6102" s="14">
        <v>767.39</v>
      </c>
      <c r="H6102" s="14">
        <v>86.96</v>
      </c>
      <c r="I6102" s="14" t="s">
        <v>6067</v>
      </c>
      <c r="J6102" s="14">
        <v>0.0</v>
      </c>
      <c r="K6102" s="14" t="s">
        <v>6012</v>
      </c>
      <c r="L6102" s="14">
        <v>0.0</v>
      </c>
    </row>
    <row r="6103">
      <c r="A6103" s="14">
        <v>2.0</v>
      </c>
      <c r="B6103" s="14">
        <v>1.0</v>
      </c>
      <c r="C6103" s="34">
        <v>1.1</v>
      </c>
      <c r="D6103" s="36">
        <v>45421.0</v>
      </c>
      <c r="E6103" s="24"/>
      <c r="F6103" s="14">
        <v>1.1</v>
      </c>
      <c r="G6103" s="14">
        <v>550.0</v>
      </c>
      <c r="H6103" s="14">
        <v>50.0</v>
      </c>
      <c r="I6103" s="14" t="s">
        <v>6068</v>
      </c>
      <c r="J6103" s="14">
        <v>0.0</v>
      </c>
      <c r="K6103" s="14" t="s">
        <v>6012</v>
      </c>
      <c r="L6103" s="14">
        <v>0.0</v>
      </c>
    </row>
    <row r="6104">
      <c r="A6104" s="14">
        <v>2.0</v>
      </c>
      <c r="B6104" s="14">
        <v>3.0</v>
      </c>
      <c r="C6104" s="34">
        <v>1.86</v>
      </c>
      <c r="D6104" s="36">
        <v>45422.0</v>
      </c>
      <c r="E6104" s="24"/>
      <c r="F6104" s="14">
        <v>0.62</v>
      </c>
      <c r="G6104" s="14">
        <v>930.0</v>
      </c>
      <c r="H6104" s="14">
        <v>150.0</v>
      </c>
      <c r="I6104" s="14" t="s">
        <v>6068</v>
      </c>
      <c r="J6104" s="14">
        <v>0.0</v>
      </c>
      <c r="K6104" s="14" t="s">
        <v>6012</v>
      </c>
      <c r="L6104" s="14">
        <v>0.0</v>
      </c>
    </row>
    <row r="6105">
      <c r="A6105" s="14">
        <v>2593.0</v>
      </c>
      <c r="B6105" s="14">
        <v>13.0</v>
      </c>
      <c r="C6105" s="34">
        <v>61.37</v>
      </c>
      <c r="D6105" s="36">
        <v>45422.0</v>
      </c>
      <c r="E6105" s="24"/>
      <c r="F6105" s="14">
        <v>4.72</v>
      </c>
      <c r="G6105" s="14">
        <v>23.67</v>
      </c>
      <c r="H6105" s="14">
        <v>0.5</v>
      </c>
      <c r="I6105" s="14" t="s">
        <v>6074</v>
      </c>
      <c r="J6105" s="14">
        <v>46.15</v>
      </c>
      <c r="K6105" s="14">
        <v>10.23</v>
      </c>
      <c r="L6105" s="14">
        <v>0.0</v>
      </c>
    </row>
    <row r="6106">
      <c r="A6106" s="14">
        <v>13.0</v>
      </c>
      <c r="B6106" s="14">
        <v>7.0</v>
      </c>
      <c r="C6106" s="34">
        <v>8.15</v>
      </c>
      <c r="D6106" s="36">
        <v>45422.0</v>
      </c>
      <c r="E6106" s="24"/>
      <c r="F6106" s="14">
        <v>1.16</v>
      </c>
      <c r="G6106" s="14">
        <v>626.92</v>
      </c>
      <c r="H6106" s="14">
        <v>53.85</v>
      </c>
      <c r="I6106" s="14" t="s">
        <v>6067</v>
      </c>
      <c r="J6106" s="14">
        <v>0.0</v>
      </c>
      <c r="K6106" s="14" t="s">
        <v>6012</v>
      </c>
      <c r="L6106" s="14">
        <v>0.0</v>
      </c>
    </row>
    <row r="6107">
      <c r="A6107" s="14">
        <v>158.0</v>
      </c>
      <c r="B6107" s="14">
        <v>90.0</v>
      </c>
      <c r="C6107" s="34">
        <v>109.46</v>
      </c>
      <c r="D6107" s="36">
        <v>45422.0</v>
      </c>
      <c r="E6107" s="24"/>
      <c r="F6107" s="14">
        <v>1.22</v>
      </c>
      <c r="G6107" s="14">
        <v>692.78</v>
      </c>
      <c r="H6107" s="14">
        <v>56.96</v>
      </c>
      <c r="I6107" s="14" t="s">
        <v>6069</v>
      </c>
      <c r="J6107" s="14">
        <v>0.0</v>
      </c>
      <c r="K6107" s="14" t="s">
        <v>6012</v>
      </c>
      <c r="L6107" s="14">
        <v>1.0</v>
      </c>
    </row>
    <row r="6108">
      <c r="A6108" s="14">
        <v>131.0</v>
      </c>
      <c r="B6108" s="14">
        <v>73.0</v>
      </c>
      <c r="C6108" s="34">
        <v>106.77</v>
      </c>
      <c r="D6108" s="36">
        <v>45422.0</v>
      </c>
      <c r="E6108" s="24"/>
      <c r="F6108" s="14">
        <v>1.46</v>
      </c>
      <c r="G6108" s="14">
        <v>815.04</v>
      </c>
      <c r="H6108" s="14">
        <v>55.73</v>
      </c>
      <c r="I6108" s="14" t="s">
        <v>6072</v>
      </c>
      <c r="J6108" s="14">
        <v>1.37</v>
      </c>
      <c r="K6108" s="14">
        <v>106.77</v>
      </c>
      <c r="L6108" s="14">
        <v>1.0</v>
      </c>
    </row>
    <row r="6109">
      <c r="A6109" s="14">
        <v>70.0</v>
      </c>
      <c r="B6109" s="14">
        <v>38.0</v>
      </c>
      <c r="C6109" s="34">
        <v>42.45</v>
      </c>
      <c r="D6109" s="36">
        <v>45422.0</v>
      </c>
      <c r="E6109" s="24"/>
      <c r="F6109" s="14">
        <v>1.12</v>
      </c>
      <c r="G6109" s="14">
        <v>606.43</v>
      </c>
      <c r="H6109" s="14">
        <v>54.29</v>
      </c>
      <c r="I6109" s="14" t="s">
        <v>6071</v>
      </c>
      <c r="J6109" s="14">
        <v>0.0</v>
      </c>
      <c r="K6109" s="14" t="s">
        <v>6012</v>
      </c>
      <c r="L6109" s="14">
        <v>1.0</v>
      </c>
    </row>
    <row r="6110">
      <c r="A6110" s="14">
        <v>60.0</v>
      </c>
      <c r="B6110" s="14">
        <v>28.0</v>
      </c>
      <c r="C6110" s="34">
        <v>37.52</v>
      </c>
      <c r="D6110" s="36">
        <v>45423.0</v>
      </c>
      <c r="E6110" s="24"/>
      <c r="F6110" s="14">
        <v>1.34</v>
      </c>
      <c r="G6110" s="14">
        <v>625.33</v>
      </c>
      <c r="H6110" s="14">
        <v>46.67</v>
      </c>
      <c r="I6110" s="14" t="s">
        <v>6071</v>
      </c>
      <c r="J6110" s="14">
        <v>0.0</v>
      </c>
      <c r="K6110" s="14" t="s">
        <v>6012</v>
      </c>
      <c r="L6110" s="14">
        <v>1.0</v>
      </c>
    </row>
    <row r="6111">
      <c r="A6111" s="14">
        <v>113.0</v>
      </c>
      <c r="B6111" s="14">
        <v>62.0</v>
      </c>
      <c r="C6111" s="34">
        <v>82.3</v>
      </c>
      <c r="D6111" s="36">
        <v>45423.0</v>
      </c>
      <c r="E6111" s="24"/>
      <c r="F6111" s="14">
        <v>1.33</v>
      </c>
      <c r="G6111" s="14">
        <v>728.32</v>
      </c>
      <c r="H6111" s="14">
        <v>54.87</v>
      </c>
      <c r="I6111" s="14" t="s">
        <v>6069</v>
      </c>
      <c r="J6111" s="14">
        <v>1.61</v>
      </c>
      <c r="K6111" s="14">
        <v>82.3</v>
      </c>
      <c r="L6111" s="14">
        <v>1.0</v>
      </c>
    </row>
    <row r="6112">
      <c r="A6112" s="14">
        <v>15.0</v>
      </c>
      <c r="B6112" s="14">
        <v>7.0</v>
      </c>
      <c r="C6112" s="34">
        <v>10.48</v>
      </c>
      <c r="D6112" s="36">
        <v>45423.0</v>
      </c>
      <c r="E6112" s="24"/>
      <c r="F6112" s="14">
        <v>1.5</v>
      </c>
      <c r="G6112" s="14">
        <v>698.67</v>
      </c>
      <c r="H6112" s="14">
        <v>46.67</v>
      </c>
      <c r="I6112" s="14" t="s">
        <v>6067</v>
      </c>
      <c r="J6112" s="14">
        <v>0.0</v>
      </c>
      <c r="K6112" s="14" t="s">
        <v>6012</v>
      </c>
      <c r="L6112" s="14">
        <v>0.0</v>
      </c>
    </row>
    <row r="6113">
      <c r="A6113" s="14">
        <v>5.0</v>
      </c>
      <c r="B6113" s="14">
        <v>2.0</v>
      </c>
      <c r="C6113" s="34">
        <v>3.6</v>
      </c>
      <c r="D6113" s="36">
        <v>45423.0</v>
      </c>
      <c r="E6113" s="24"/>
      <c r="F6113" s="14">
        <v>1.8</v>
      </c>
      <c r="G6113" s="14">
        <v>720.0</v>
      </c>
      <c r="H6113" s="14">
        <v>40.0</v>
      </c>
      <c r="I6113" s="14" t="s">
        <v>6068</v>
      </c>
      <c r="J6113" s="14">
        <v>0.0</v>
      </c>
      <c r="K6113" s="14" t="s">
        <v>6012</v>
      </c>
      <c r="L6113" s="14">
        <v>0.0</v>
      </c>
    </row>
    <row r="6114">
      <c r="A6114" s="14">
        <v>115.0</v>
      </c>
      <c r="B6114" s="14">
        <v>46.0</v>
      </c>
      <c r="C6114" s="34">
        <v>90.24</v>
      </c>
      <c r="D6114" s="36">
        <v>45423.0</v>
      </c>
      <c r="E6114" s="24"/>
      <c r="F6114" s="14">
        <v>1.96</v>
      </c>
      <c r="G6114" s="14">
        <v>784.7</v>
      </c>
      <c r="H6114" s="14">
        <v>40.0</v>
      </c>
      <c r="I6114" s="14" t="s">
        <v>6072</v>
      </c>
      <c r="J6114" s="14">
        <v>0.0</v>
      </c>
      <c r="K6114" s="14" t="s">
        <v>6012</v>
      </c>
      <c r="L6114" s="14">
        <v>0.0</v>
      </c>
    </row>
    <row r="6115">
      <c r="A6115" s="14">
        <v>1885.0</v>
      </c>
      <c r="B6115" s="14">
        <v>11.0</v>
      </c>
      <c r="C6115" s="34">
        <v>35.22</v>
      </c>
      <c r="D6115" s="36">
        <v>45423.0</v>
      </c>
      <c r="E6115" s="24"/>
      <c r="F6115" s="14">
        <v>3.2</v>
      </c>
      <c r="G6115" s="14">
        <v>18.68</v>
      </c>
      <c r="H6115" s="14">
        <v>0.58</v>
      </c>
      <c r="I6115" s="14" t="s">
        <v>6074</v>
      </c>
      <c r="J6115" s="14">
        <v>90.91</v>
      </c>
      <c r="K6115" s="14">
        <v>3.52</v>
      </c>
      <c r="L6115" s="14">
        <v>0.0</v>
      </c>
    </row>
    <row r="6116">
      <c r="A6116" s="14">
        <v>17.0</v>
      </c>
      <c r="B6116" s="14">
        <v>11.0</v>
      </c>
      <c r="C6116" s="34">
        <v>14.21</v>
      </c>
      <c r="D6116" s="36">
        <v>45424.0</v>
      </c>
      <c r="E6116" s="24"/>
      <c r="F6116" s="14">
        <v>1.29</v>
      </c>
      <c r="G6116" s="14">
        <v>835.88</v>
      </c>
      <c r="H6116" s="14">
        <v>64.71</v>
      </c>
      <c r="I6116" s="14" t="s">
        <v>6067</v>
      </c>
      <c r="J6116" s="14">
        <v>0.0</v>
      </c>
      <c r="K6116" s="14" t="s">
        <v>6012</v>
      </c>
      <c r="L6116" s="14">
        <v>0.0</v>
      </c>
    </row>
    <row r="6117">
      <c r="A6117" s="14">
        <v>109.0</v>
      </c>
      <c r="B6117" s="14">
        <v>44.0</v>
      </c>
      <c r="C6117" s="34">
        <v>75.27</v>
      </c>
      <c r="D6117" s="36">
        <v>45424.0</v>
      </c>
      <c r="E6117" s="24"/>
      <c r="F6117" s="14">
        <v>1.71</v>
      </c>
      <c r="G6117" s="14">
        <v>690.55</v>
      </c>
      <c r="H6117" s="14">
        <v>40.37</v>
      </c>
      <c r="I6117" s="14" t="s">
        <v>6069</v>
      </c>
      <c r="J6117" s="14">
        <v>0.0</v>
      </c>
      <c r="K6117" s="14" t="s">
        <v>6012</v>
      </c>
      <c r="L6117" s="14">
        <v>0.0</v>
      </c>
    </row>
    <row r="6118">
      <c r="A6118" s="14">
        <v>67.0</v>
      </c>
      <c r="B6118" s="14">
        <v>32.0</v>
      </c>
      <c r="C6118" s="34">
        <v>45.28</v>
      </c>
      <c r="D6118" s="36">
        <v>45424.0</v>
      </c>
      <c r="E6118" s="24"/>
      <c r="F6118" s="14">
        <v>1.42</v>
      </c>
      <c r="G6118" s="14">
        <v>675.82</v>
      </c>
      <c r="H6118" s="14">
        <v>47.76</v>
      </c>
      <c r="I6118" s="14" t="s">
        <v>6071</v>
      </c>
      <c r="J6118" s="14">
        <v>0.0</v>
      </c>
      <c r="K6118" s="14" t="s">
        <v>6012</v>
      </c>
      <c r="L6118" s="14">
        <v>1.0</v>
      </c>
    </row>
    <row r="6119">
      <c r="A6119" s="14">
        <v>116.0</v>
      </c>
      <c r="B6119" s="14">
        <v>44.0</v>
      </c>
      <c r="C6119" s="34">
        <v>90.48</v>
      </c>
      <c r="D6119" s="36">
        <v>45424.0</v>
      </c>
      <c r="E6119" s="24"/>
      <c r="F6119" s="14">
        <v>2.06</v>
      </c>
      <c r="G6119" s="14">
        <v>780.0</v>
      </c>
      <c r="H6119" s="14">
        <v>37.93</v>
      </c>
      <c r="I6119" s="14" t="s">
        <v>6072</v>
      </c>
      <c r="J6119" s="14">
        <v>0.0</v>
      </c>
      <c r="K6119" s="14" t="s">
        <v>6012</v>
      </c>
      <c r="L6119" s="14">
        <v>1.0</v>
      </c>
    </row>
    <row r="6120">
      <c r="A6120" s="14">
        <v>1689.0</v>
      </c>
      <c r="B6120" s="14">
        <v>5.0</v>
      </c>
      <c r="C6120" s="34">
        <v>33.02</v>
      </c>
      <c r="D6120" s="36">
        <v>45424.0</v>
      </c>
      <c r="E6120" s="24"/>
      <c r="F6120" s="14">
        <v>6.6</v>
      </c>
      <c r="G6120" s="14">
        <v>19.55</v>
      </c>
      <c r="H6120" s="14">
        <v>0.3</v>
      </c>
      <c r="I6120" s="14" t="s">
        <v>6074</v>
      </c>
      <c r="J6120" s="14">
        <v>60.0</v>
      </c>
      <c r="K6120" s="14">
        <v>11.01</v>
      </c>
      <c r="L6120" s="14">
        <v>0.0</v>
      </c>
    </row>
    <row r="6121">
      <c r="A6121" s="14">
        <v>3.0</v>
      </c>
      <c r="B6121" s="14">
        <v>2.0</v>
      </c>
      <c r="C6121" s="34">
        <v>2.67</v>
      </c>
      <c r="D6121" s="36">
        <v>45424.0</v>
      </c>
      <c r="E6121" s="24"/>
      <c r="F6121" s="14">
        <v>1.34</v>
      </c>
      <c r="G6121" s="14">
        <v>890.0</v>
      </c>
      <c r="H6121" s="14">
        <v>66.67</v>
      </c>
      <c r="I6121" s="14" t="s">
        <v>6068</v>
      </c>
      <c r="J6121" s="14">
        <v>0.0</v>
      </c>
      <c r="K6121" s="14" t="s">
        <v>6012</v>
      </c>
      <c r="L6121" s="14">
        <v>0.0</v>
      </c>
    </row>
    <row r="6122">
      <c r="A6122" s="14">
        <v>3341.0</v>
      </c>
      <c r="B6122" s="14">
        <v>14.0</v>
      </c>
      <c r="C6122" s="34">
        <v>56.56</v>
      </c>
      <c r="D6122" s="36">
        <v>45425.0</v>
      </c>
      <c r="E6122" s="24"/>
      <c r="F6122" s="14">
        <v>4.04</v>
      </c>
      <c r="G6122" s="14">
        <v>16.93</v>
      </c>
      <c r="H6122" s="14">
        <v>0.42</v>
      </c>
      <c r="I6122" s="14" t="s">
        <v>6074</v>
      </c>
      <c r="J6122" s="14">
        <v>50.0</v>
      </c>
      <c r="K6122" s="14">
        <v>8.08</v>
      </c>
      <c r="L6122" s="14">
        <v>0.0</v>
      </c>
    </row>
    <row r="6123">
      <c r="A6123" s="14">
        <v>136.0</v>
      </c>
      <c r="B6123" s="14">
        <v>97.0</v>
      </c>
      <c r="C6123" s="34">
        <v>109.23</v>
      </c>
      <c r="D6123" s="36">
        <v>45425.0</v>
      </c>
      <c r="E6123" s="24"/>
      <c r="F6123" s="14">
        <v>1.13</v>
      </c>
      <c r="G6123" s="14">
        <v>803.16</v>
      </c>
      <c r="H6123" s="14">
        <v>71.32</v>
      </c>
      <c r="I6123" s="14" t="s">
        <v>6072</v>
      </c>
      <c r="J6123" s="14">
        <v>2.06</v>
      </c>
      <c r="K6123" s="14">
        <v>54.62</v>
      </c>
      <c r="L6123" s="14">
        <v>0.0</v>
      </c>
    </row>
    <row r="6124">
      <c r="A6124" s="14">
        <v>91.0</v>
      </c>
      <c r="B6124" s="14">
        <v>49.0</v>
      </c>
      <c r="C6124" s="34">
        <v>59.65</v>
      </c>
      <c r="D6124" s="36">
        <v>45425.0</v>
      </c>
      <c r="E6124" s="24"/>
      <c r="F6124" s="14">
        <v>1.22</v>
      </c>
      <c r="G6124" s="14">
        <v>655.49</v>
      </c>
      <c r="H6124" s="14">
        <v>53.85</v>
      </c>
      <c r="I6124" s="14" t="s">
        <v>6071</v>
      </c>
      <c r="J6124" s="14">
        <v>0.0</v>
      </c>
      <c r="K6124" s="14" t="s">
        <v>6012</v>
      </c>
      <c r="L6124" s="14">
        <v>1.0</v>
      </c>
    </row>
    <row r="6125">
      <c r="A6125" s="14">
        <v>152.0</v>
      </c>
      <c r="B6125" s="14">
        <v>108.0</v>
      </c>
      <c r="C6125" s="34">
        <v>109.38</v>
      </c>
      <c r="D6125" s="36">
        <v>45425.0</v>
      </c>
      <c r="E6125" s="24"/>
      <c r="F6125" s="14">
        <v>1.01</v>
      </c>
      <c r="G6125" s="14">
        <v>719.61</v>
      </c>
      <c r="H6125" s="14">
        <v>71.05</v>
      </c>
      <c r="I6125" s="14" t="s">
        <v>6069</v>
      </c>
      <c r="J6125" s="14">
        <v>0.93</v>
      </c>
      <c r="K6125" s="14">
        <v>109.38</v>
      </c>
      <c r="L6125" s="14">
        <v>0.0</v>
      </c>
    </row>
    <row r="6126">
      <c r="A6126" s="14">
        <v>18.0</v>
      </c>
      <c r="B6126" s="14">
        <v>12.0</v>
      </c>
      <c r="C6126" s="34">
        <v>13.62</v>
      </c>
      <c r="D6126" s="36">
        <v>45425.0</v>
      </c>
      <c r="E6126" s="24"/>
      <c r="F6126" s="14">
        <v>1.14</v>
      </c>
      <c r="G6126" s="14">
        <v>756.67</v>
      </c>
      <c r="H6126" s="14">
        <v>66.67</v>
      </c>
      <c r="I6126" s="14" t="s">
        <v>6067</v>
      </c>
      <c r="J6126" s="14">
        <v>0.0</v>
      </c>
      <c r="K6126" s="14" t="s">
        <v>6012</v>
      </c>
      <c r="L6126" s="14">
        <v>1.0</v>
      </c>
    </row>
    <row r="6127">
      <c r="A6127" s="14">
        <v>2.0</v>
      </c>
      <c r="B6127" s="14">
        <v>1.0</v>
      </c>
      <c r="C6127" s="34">
        <v>1.85</v>
      </c>
      <c r="D6127" s="36">
        <v>45425.0</v>
      </c>
      <c r="E6127" s="24"/>
      <c r="F6127" s="14">
        <v>1.85</v>
      </c>
      <c r="G6127" s="14">
        <v>925.0</v>
      </c>
      <c r="H6127" s="14">
        <v>50.0</v>
      </c>
      <c r="I6127" s="14" t="s">
        <v>6068</v>
      </c>
      <c r="J6127" s="14">
        <v>0.0</v>
      </c>
      <c r="K6127" s="14" t="s">
        <v>6012</v>
      </c>
      <c r="L6127" s="14">
        <v>0.0</v>
      </c>
    </row>
    <row r="6128">
      <c r="A6128" s="14">
        <v>3.0</v>
      </c>
      <c r="B6128" s="14">
        <v>0.0</v>
      </c>
      <c r="C6128" s="34">
        <v>1.91</v>
      </c>
      <c r="D6128" s="36">
        <v>45426.0</v>
      </c>
      <c r="E6128" s="24"/>
      <c r="F6128" s="14" t="s">
        <v>6012</v>
      </c>
      <c r="G6128" s="14">
        <v>636.67</v>
      </c>
      <c r="H6128" s="14">
        <v>0.0</v>
      </c>
      <c r="I6128" s="14" t="s">
        <v>6068</v>
      </c>
      <c r="J6128" s="14" t="s">
        <v>6012</v>
      </c>
      <c r="K6128" s="14" t="s">
        <v>6012</v>
      </c>
      <c r="L6128" s="14">
        <v>0.0</v>
      </c>
    </row>
    <row r="6129">
      <c r="A6129" s="14">
        <v>3403.0</v>
      </c>
      <c r="B6129" s="14">
        <v>16.0</v>
      </c>
      <c r="C6129" s="34">
        <v>60.79</v>
      </c>
      <c r="D6129" s="36">
        <v>45426.0</v>
      </c>
      <c r="E6129" s="24"/>
      <c r="F6129" s="14">
        <v>3.8</v>
      </c>
      <c r="G6129" s="14">
        <v>17.86</v>
      </c>
      <c r="H6129" s="14">
        <v>0.47</v>
      </c>
      <c r="I6129" s="14" t="s">
        <v>6074</v>
      </c>
      <c r="J6129" s="14">
        <v>56.25</v>
      </c>
      <c r="K6129" s="14">
        <v>6.75</v>
      </c>
      <c r="L6129" s="14">
        <v>0.0</v>
      </c>
    </row>
    <row r="6130">
      <c r="A6130" s="14">
        <v>124.0</v>
      </c>
      <c r="B6130" s="14">
        <v>84.0</v>
      </c>
      <c r="C6130" s="34">
        <v>97.8</v>
      </c>
      <c r="D6130" s="36">
        <v>45426.0</v>
      </c>
      <c r="E6130" s="24"/>
      <c r="F6130" s="14">
        <v>1.16</v>
      </c>
      <c r="G6130" s="14">
        <v>788.71</v>
      </c>
      <c r="H6130" s="14">
        <v>67.74</v>
      </c>
      <c r="I6130" s="14" t="s">
        <v>6072</v>
      </c>
      <c r="J6130" s="14">
        <v>0.0</v>
      </c>
      <c r="K6130" s="14" t="s">
        <v>6012</v>
      </c>
      <c r="L6130" s="14">
        <v>1.0</v>
      </c>
    </row>
    <row r="6131">
      <c r="A6131" s="14">
        <v>18.0</v>
      </c>
      <c r="B6131" s="14">
        <v>10.0</v>
      </c>
      <c r="C6131" s="34">
        <v>13.7</v>
      </c>
      <c r="D6131" s="36">
        <v>45426.0</v>
      </c>
      <c r="E6131" s="24"/>
      <c r="F6131" s="14">
        <v>1.37</v>
      </c>
      <c r="G6131" s="14">
        <v>761.11</v>
      </c>
      <c r="H6131" s="14">
        <v>55.56</v>
      </c>
      <c r="I6131" s="14" t="s">
        <v>6067</v>
      </c>
      <c r="J6131" s="14">
        <v>0.0</v>
      </c>
      <c r="K6131" s="14" t="s">
        <v>6012</v>
      </c>
      <c r="L6131" s="14">
        <v>0.0</v>
      </c>
    </row>
    <row r="6132">
      <c r="A6132" s="14">
        <v>124.0</v>
      </c>
      <c r="B6132" s="14">
        <v>63.0</v>
      </c>
      <c r="C6132" s="34">
        <v>80.63</v>
      </c>
      <c r="D6132" s="36">
        <v>45426.0</v>
      </c>
      <c r="E6132" s="24"/>
      <c r="F6132" s="14">
        <v>1.28</v>
      </c>
      <c r="G6132" s="14">
        <v>650.24</v>
      </c>
      <c r="H6132" s="14">
        <v>50.81</v>
      </c>
      <c r="I6132" s="14" t="s">
        <v>6071</v>
      </c>
      <c r="J6132" s="14">
        <v>4.76</v>
      </c>
      <c r="K6132" s="14">
        <v>26.88</v>
      </c>
      <c r="L6132" s="14">
        <v>2.0</v>
      </c>
    </row>
    <row r="6133">
      <c r="A6133" s="14">
        <v>160.0</v>
      </c>
      <c r="B6133" s="14">
        <v>115.0</v>
      </c>
      <c r="C6133" s="34">
        <v>113.55</v>
      </c>
      <c r="D6133" s="36">
        <v>45426.0</v>
      </c>
      <c r="E6133" s="24"/>
      <c r="F6133" s="14">
        <v>0.99</v>
      </c>
      <c r="G6133" s="14">
        <v>709.69</v>
      </c>
      <c r="H6133" s="14">
        <v>71.88</v>
      </c>
      <c r="I6133" s="14" t="s">
        <v>6069</v>
      </c>
      <c r="J6133" s="14">
        <v>0.0</v>
      </c>
      <c r="K6133" s="14" t="s">
        <v>6012</v>
      </c>
      <c r="L6133" s="14">
        <v>1.0</v>
      </c>
    </row>
    <row r="6134">
      <c r="A6134" s="14">
        <v>110.0</v>
      </c>
      <c r="B6134" s="14">
        <v>68.0</v>
      </c>
      <c r="C6134" s="34">
        <v>86.97</v>
      </c>
      <c r="D6134" s="36">
        <v>45427.0</v>
      </c>
      <c r="E6134" s="24"/>
      <c r="F6134" s="14">
        <v>1.28</v>
      </c>
      <c r="G6134" s="14">
        <v>790.64</v>
      </c>
      <c r="H6134" s="14">
        <v>61.82</v>
      </c>
      <c r="I6134" s="14" t="s">
        <v>6072</v>
      </c>
      <c r="J6134" s="14">
        <v>0.0</v>
      </c>
      <c r="K6134" s="14" t="s">
        <v>6012</v>
      </c>
      <c r="L6134" s="14">
        <v>0.0</v>
      </c>
    </row>
    <row r="6135">
      <c r="A6135" s="14">
        <v>71.0</v>
      </c>
      <c r="B6135" s="14">
        <v>38.0</v>
      </c>
      <c r="C6135" s="34">
        <v>48.64</v>
      </c>
      <c r="D6135" s="36">
        <v>45427.0</v>
      </c>
      <c r="E6135" s="24"/>
      <c r="F6135" s="14">
        <v>1.28</v>
      </c>
      <c r="G6135" s="14">
        <v>685.07</v>
      </c>
      <c r="H6135" s="14">
        <v>53.52</v>
      </c>
      <c r="I6135" s="14" t="s">
        <v>6071</v>
      </c>
      <c r="J6135" s="14">
        <v>0.0</v>
      </c>
      <c r="K6135" s="14" t="s">
        <v>6012</v>
      </c>
      <c r="L6135" s="14">
        <v>2.0</v>
      </c>
    </row>
    <row r="6136">
      <c r="A6136" s="14">
        <v>3075.0</v>
      </c>
      <c r="B6136" s="14">
        <v>10.0</v>
      </c>
      <c r="C6136" s="34">
        <v>60.14</v>
      </c>
      <c r="D6136" s="36">
        <v>45427.0</v>
      </c>
      <c r="E6136" s="24"/>
      <c r="F6136" s="14">
        <v>6.01</v>
      </c>
      <c r="G6136" s="14">
        <v>19.56</v>
      </c>
      <c r="H6136" s="14">
        <v>0.33</v>
      </c>
      <c r="I6136" s="14" t="s">
        <v>6074</v>
      </c>
      <c r="J6136" s="14">
        <v>40.0</v>
      </c>
      <c r="K6136" s="14">
        <v>15.04</v>
      </c>
      <c r="L6136" s="14">
        <v>0.0</v>
      </c>
    </row>
    <row r="6137">
      <c r="A6137" s="14">
        <v>1.0</v>
      </c>
      <c r="B6137" s="14">
        <v>0.0</v>
      </c>
      <c r="C6137" s="34">
        <v>1.0</v>
      </c>
      <c r="D6137" s="36">
        <v>45427.0</v>
      </c>
      <c r="E6137" s="24"/>
      <c r="F6137" s="14" t="s">
        <v>6012</v>
      </c>
      <c r="G6137" s="14">
        <v>1000.0</v>
      </c>
      <c r="H6137" s="14">
        <v>0.0</v>
      </c>
      <c r="I6137" s="14" t="s">
        <v>6068</v>
      </c>
      <c r="J6137" s="14" t="s">
        <v>6012</v>
      </c>
      <c r="K6137" s="14" t="s">
        <v>6012</v>
      </c>
      <c r="L6137" s="14">
        <v>0.0</v>
      </c>
    </row>
    <row r="6138">
      <c r="A6138" s="14">
        <v>20.0</v>
      </c>
      <c r="B6138" s="14">
        <v>15.0</v>
      </c>
      <c r="C6138" s="34">
        <v>13.4</v>
      </c>
      <c r="D6138" s="36">
        <v>45427.0</v>
      </c>
      <c r="E6138" s="24"/>
      <c r="F6138" s="14">
        <v>0.89</v>
      </c>
      <c r="G6138" s="14">
        <v>670.0</v>
      </c>
      <c r="H6138" s="14">
        <v>75.0</v>
      </c>
      <c r="I6138" s="14" t="s">
        <v>6067</v>
      </c>
      <c r="J6138" s="14">
        <v>0.0</v>
      </c>
      <c r="K6138" s="14" t="s">
        <v>6012</v>
      </c>
      <c r="L6138" s="14">
        <v>0.0</v>
      </c>
    </row>
    <row r="6139">
      <c r="A6139" s="14">
        <v>155.0</v>
      </c>
      <c r="B6139" s="14">
        <v>89.0</v>
      </c>
      <c r="C6139" s="34">
        <v>114.34</v>
      </c>
      <c r="D6139" s="36">
        <v>45427.0</v>
      </c>
      <c r="E6139" s="24"/>
      <c r="F6139" s="14">
        <v>1.28</v>
      </c>
      <c r="G6139" s="14">
        <v>737.68</v>
      </c>
      <c r="H6139" s="14">
        <v>57.42</v>
      </c>
      <c r="I6139" s="14" t="s">
        <v>6069</v>
      </c>
      <c r="J6139" s="14">
        <v>0.0</v>
      </c>
      <c r="K6139" s="14" t="s">
        <v>6012</v>
      </c>
      <c r="L6139" s="14">
        <v>0.0</v>
      </c>
    </row>
    <row r="6140">
      <c r="A6140" s="14">
        <v>91.0</v>
      </c>
      <c r="B6140" s="14">
        <v>39.0</v>
      </c>
      <c r="C6140" s="34">
        <v>57.18</v>
      </c>
      <c r="D6140" s="36">
        <v>45428.0</v>
      </c>
      <c r="E6140" s="24"/>
      <c r="F6140" s="14">
        <v>1.47</v>
      </c>
      <c r="G6140" s="14">
        <v>628.35</v>
      </c>
      <c r="H6140" s="14">
        <v>42.86</v>
      </c>
      <c r="I6140" s="14" t="s">
        <v>6071</v>
      </c>
      <c r="J6140" s="14">
        <v>0.0</v>
      </c>
      <c r="K6140" s="14" t="s">
        <v>6012</v>
      </c>
      <c r="L6140" s="14">
        <v>1.0</v>
      </c>
    </row>
    <row r="6141">
      <c r="A6141" s="14">
        <v>3273.0</v>
      </c>
      <c r="B6141" s="14">
        <v>15.0</v>
      </c>
      <c r="C6141" s="34">
        <v>59.95</v>
      </c>
      <c r="D6141" s="36">
        <v>45428.0</v>
      </c>
      <c r="E6141" s="24"/>
      <c r="F6141" s="14">
        <v>4.0</v>
      </c>
      <c r="G6141" s="14">
        <v>18.32</v>
      </c>
      <c r="H6141" s="14">
        <v>0.46</v>
      </c>
      <c r="I6141" s="14" t="s">
        <v>6074</v>
      </c>
      <c r="J6141" s="14">
        <v>46.67</v>
      </c>
      <c r="K6141" s="14">
        <v>8.56</v>
      </c>
      <c r="L6141" s="14">
        <v>0.0</v>
      </c>
    </row>
    <row r="6142">
      <c r="A6142" s="14">
        <v>16.0</v>
      </c>
      <c r="B6142" s="14">
        <v>8.0</v>
      </c>
      <c r="C6142" s="34">
        <v>10.84</v>
      </c>
      <c r="D6142" s="36">
        <v>45428.0</v>
      </c>
      <c r="E6142" s="24"/>
      <c r="F6142" s="14">
        <v>1.36</v>
      </c>
      <c r="G6142" s="14">
        <v>677.5</v>
      </c>
      <c r="H6142" s="14">
        <v>50.0</v>
      </c>
      <c r="I6142" s="14" t="s">
        <v>6067</v>
      </c>
      <c r="J6142" s="14">
        <v>0.0</v>
      </c>
      <c r="K6142" s="14" t="s">
        <v>6012</v>
      </c>
      <c r="L6142" s="14">
        <v>0.0</v>
      </c>
    </row>
    <row r="6143">
      <c r="A6143" s="14">
        <v>168.0</v>
      </c>
      <c r="B6143" s="14">
        <v>94.0</v>
      </c>
      <c r="C6143" s="34">
        <v>113.44</v>
      </c>
      <c r="D6143" s="36">
        <v>45428.0</v>
      </c>
      <c r="E6143" s="24"/>
      <c r="F6143" s="14">
        <v>1.21</v>
      </c>
      <c r="G6143" s="14">
        <v>675.24</v>
      </c>
      <c r="H6143" s="14">
        <v>55.95</v>
      </c>
      <c r="I6143" s="14" t="s">
        <v>6069</v>
      </c>
      <c r="J6143" s="14">
        <v>1.06</v>
      </c>
      <c r="K6143" s="14">
        <v>113.44</v>
      </c>
      <c r="L6143" s="14">
        <v>2.0</v>
      </c>
    </row>
    <row r="6144">
      <c r="A6144" s="14">
        <v>128.0</v>
      </c>
      <c r="B6144" s="14">
        <v>60.0</v>
      </c>
      <c r="C6144" s="34">
        <v>93.47</v>
      </c>
      <c r="D6144" s="36">
        <v>45428.0</v>
      </c>
      <c r="E6144" s="24"/>
      <c r="F6144" s="14">
        <v>1.56</v>
      </c>
      <c r="G6144" s="14">
        <v>730.23</v>
      </c>
      <c r="H6144" s="14">
        <v>46.88</v>
      </c>
      <c r="I6144" s="14" t="s">
        <v>6072</v>
      </c>
      <c r="J6144" s="14">
        <v>0.0</v>
      </c>
      <c r="K6144" s="14" t="s">
        <v>6012</v>
      </c>
      <c r="L6144" s="14">
        <v>0.0</v>
      </c>
    </row>
    <row r="6145">
      <c r="A6145" s="14">
        <v>2.0</v>
      </c>
      <c r="B6145" s="14">
        <v>1.0</v>
      </c>
      <c r="C6145" s="34">
        <v>1.65</v>
      </c>
      <c r="D6145" s="36">
        <v>45428.0</v>
      </c>
      <c r="E6145" s="24"/>
      <c r="F6145" s="14">
        <v>1.65</v>
      </c>
      <c r="G6145" s="14">
        <v>825.0</v>
      </c>
      <c r="H6145" s="14">
        <v>50.0</v>
      </c>
      <c r="I6145" s="14" t="s">
        <v>6068</v>
      </c>
      <c r="J6145" s="14">
        <v>0.0</v>
      </c>
      <c r="K6145" s="14" t="s">
        <v>6012</v>
      </c>
      <c r="L6145" s="14">
        <v>1.0</v>
      </c>
    </row>
    <row r="6146">
      <c r="A6146" s="14">
        <v>153.0</v>
      </c>
      <c r="B6146" s="14">
        <v>97.0</v>
      </c>
      <c r="C6146" s="34">
        <v>104.15</v>
      </c>
      <c r="D6146" s="36">
        <v>45429.0</v>
      </c>
      <c r="E6146" s="24"/>
      <c r="F6146" s="14">
        <v>1.07</v>
      </c>
      <c r="G6146" s="14">
        <v>680.72</v>
      </c>
      <c r="H6146" s="14">
        <v>63.4</v>
      </c>
      <c r="I6146" s="14" t="s">
        <v>6069</v>
      </c>
      <c r="J6146" s="14">
        <v>0.0</v>
      </c>
      <c r="K6146" s="14" t="s">
        <v>6012</v>
      </c>
      <c r="L6146" s="14">
        <v>2.0</v>
      </c>
    </row>
    <row r="6147">
      <c r="A6147" s="14">
        <v>72.0</v>
      </c>
      <c r="B6147" s="14">
        <v>35.0</v>
      </c>
      <c r="C6147" s="34">
        <v>45.83</v>
      </c>
      <c r="D6147" s="36">
        <v>45429.0</v>
      </c>
      <c r="E6147" s="24"/>
      <c r="F6147" s="14">
        <v>1.31</v>
      </c>
      <c r="G6147" s="14">
        <v>636.53</v>
      </c>
      <c r="H6147" s="14">
        <v>48.61</v>
      </c>
      <c r="I6147" s="14" t="s">
        <v>6071</v>
      </c>
      <c r="J6147" s="14">
        <v>0.0</v>
      </c>
      <c r="K6147" s="14" t="s">
        <v>6012</v>
      </c>
      <c r="L6147" s="14">
        <v>0.0</v>
      </c>
    </row>
    <row r="6148">
      <c r="A6148" s="14">
        <v>3.0</v>
      </c>
      <c r="B6148" s="14">
        <v>1.0</v>
      </c>
      <c r="C6148" s="34">
        <v>2.15</v>
      </c>
      <c r="D6148" s="36">
        <v>45429.0</v>
      </c>
      <c r="E6148" s="24"/>
      <c r="F6148" s="14">
        <v>2.15</v>
      </c>
      <c r="G6148" s="14">
        <v>716.67</v>
      </c>
      <c r="H6148" s="14">
        <v>33.33</v>
      </c>
      <c r="I6148" s="14" t="s">
        <v>6068</v>
      </c>
      <c r="J6148" s="14">
        <v>0.0</v>
      </c>
      <c r="K6148" s="14" t="s">
        <v>6012</v>
      </c>
      <c r="L6148" s="14">
        <v>0.0</v>
      </c>
    </row>
    <row r="6149">
      <c r="A6149" s="14">
        <v>107.0</v>
      </c>
      <c r="B6149" s="14">
        <v>57.0</v>
      </c>
      <c r="C6149" s="34">
        <v>80.67</v>
      </c>
      <c r="D6149" s="36">
        <v>45429.0</v>
      </c>
      <c r="E6149" s="24"/>
      <c r="F6149" s="14">
        <v>1.42</v>
      </c>
      <c r="G6149" s="14">
        <v>753.93</v>
      </c>
      <c r="H6149" s="14">
        <v>53.27</v>
      </c>
      <c r="I6149" s="14" t="s">
        <v>6072</v>
      </c>
      <c r="J6149" s="14">
        <v>0.0</v>
      </c>
      <c r="K6149" s="14" t="s">
        <v>6012</v>
      </c>
      <c r="L6149" s="14">
        <v>0.0</v>
      </c>
    </row>
    <row r="6150">
      <c r="A6150" s="14">
        <v>19.0</v>
      </c>
      <c r="B6150" s="14">
        <v>10.0</v>
      </c>
      <c r="C6150" s="34">
        <v>12.6</v>
      </c>
      <c r="D6150" s="36">
        <v>45429.0</v>
      </c>
      <c r="E6150" s="24"/>
      <c r="F6150" s="14">
        <v>1.26</v>
      </c>
      <c r="G6150" s="14">
        <v>663.16</v>
      </c>
      <c r="H6150" s="14">
        <v>52.63</v>
      </c>
      <c r="I6150" s="14" t="s">
        <v>6067</v>
      </c>
      <c r="J6150" s="14">
        <v>0.0</v>
      </c>
      <c r="K6150" s="14" t="s">
        <v>6012</v>
      </c>
      <c r="L6150" s="14">
        <v>1.0</v>
      </c>
    </row>
    <row r="6151">
      <c r="A6151" s="14">
        <v>2861.0</v>
      </c>
      <c r="B6151" s="14">
        <v>14.0</v>
      </c>
      <c r="C6151" s="34">
        <v>54.37</v>
      </c>
      <c r="D6151" s="36">
        <v>45429.0</v>
      </c>
      <c r="E6151" s="24"/>
      <c r="F6151" s="14">
        <v>3.88</v>
      </c>
      <c r="G6151" s="14">
        <v>19.0</v>
      </c>
      <c r="H6151" s="14">
        <v>0.49</v>
      </c>
      <c r="I6151" s="14" t="s">
        <v>6074</v>
      </c>
      <c r="J6151" s="14">
        <v>42.86</v>
      </c>
      <c r="K6151" s="14">
        <v>9.06</v>
      </c>
      <c r="L6151" s="14">
        <v>0.0</v>
      </c>
    </row>
    <row r="6152">
      <c r="A6152" s="14">
        <v>114.0</v>
      </c>
      <c r="B6152" s="14">
        <v>49.0</v>
      </c>
      <c r="C6152" s="34">
        <v>76.62</v>
      </c>
      <c r="D6152" s="36">
        <v>45430.0</v>
      </c>
      <c r="E6152" s="24"/>
      <c r="F6152" s="14">
        <v>1.56</v>
      </c>
      <c r="G6152" s="14">
        <v>672.11</v>
      </c>
      <c r="H6152" s="14">
        <v>42.98</v>
      </c>
      <c r="I6152" s="14" t="s">
        <v>6069</v>
      </c>
      <c r="J6152" s="14">
        <v>2.04</v>
      </c>
      <c r="K6152" s="14">
        <v>76.62</v>
      </c>
      <c r="L6152" s="14">
        <v>1.0</v>
      </c>
    </row>
    <row r="6153">
      <c r="A6153" s="14">
        <v>2.0</v>
      </c>
      <c r="B6153" s="14">
        <v>1.0</v>
      </c>
      <c r="C6153" s="34">
        <v>0.95</v>
      </c>
      <c r="D6153" s="36">
        <v>45430.0</v>
      </c>
      <c r="E6153" s="24"/>
      <c r="F6153" s="14">
        <v>0.95</v>
      </c>
      <c r="G6153" s="14">
        <v>475.0</v>
      </c>
      <c r="H6153" s="14">
        <v>50.0</v>
      </c>
      <c r="I6153" s="14" t="s">
        <v>6068</v>
      </c>
      <c r="J6153" s="14">
        <v>0.0</v>
      </c>
      <c r="K6153" s="14" t="s">
        <v>6012</v>
      </c>
      <c r="L6153" s="14">
        <v>0.0</v>
      </c>
    </row>
    <row r="6154">
      <c r="A6154" s="14">
        <v>1785.0</v>
      </c>
      <c r="B6154" s="14">
        <v>12.0</v>
      </c>
      <c r="C6154" s="34">
        <v>30.38</v>
      </c>
      <c r="D6154" s="36">
        <v>45430.0</v>
      </c>
      <c r="E6154" s="24"/>
      <c r="F6154" s="14">
        <v>2.53</v>
      </c>
      <c r="G6154" s="14">
        <v>17.02</v>
      </c>
      <c r="H6154" s="14">
        <v>0.67</v>
      </c>
      <c r="I6154" s="14" t="s">
        <v>6074</v>
      </c>
      <c r="J6154" s="14">
        <v>83.33</v>
      </c>
      <c r="K6154" s="14">
        <v>3.04</v>
      </c>
      <c r="L6154" s="14">
        <v>0.0</v>
      </c>
    </row>
    <row r="6155">
      <c r="A6155" s="14">
        <v>62.0</v>
      </c>
      <c r="B6155" s="14">
        <v>25.0</v>
      </c>
      <c r="C6155" s="34">
        <v>38.95</v>
      </c>
      <c r="D6155" s="36">
        <v>45430.0</v>
      </c>
      <c r="E6155" s="24"/>
      <c r="F6155" s="14">
        <v>1.56</v>
      </c>
      <c r="G6155" s="14">
        <v>628.23</v>
      </c>
      <c r="H6155" s="14">
        <v>40.32</v>
      </c>
      <c r="I6155" s="14" t="s">
        <v>6071</v>
      </c>
      <c r="J6155" s="14">
        <v>0.0</v>
      </c>
      <c r="K6155" s="14" t="s">
        <v>6012</v>
      </c>
      <c r="L6155" s="14">
        <v>0.0</v>
      </c>
    </row>
    <row r="6156">
      <c r="A6156" s="14">
        <v>83.0</v>
      </c>
      <c r="B6156" s="14">
        <v>33.0</v>
      </c>
      <c r="C6156" s="34">
        <v>60.49</v>
      </c>
      <c r="D6156" s="36">
        <v>45430.0</v>
      </c>
      <c r="E6156" s="24"/>
      <c r="F6156" s="14">
        <v>1.83</v>
      </c>
      <c r="G6156" s="14">
        <v>728.8</v>
      </c>
      <c r="H6156" s="14">
        <v>39.76</v>
      </c>
      <c r="I6156" s="14" t="s">
        <v>6072</v>
      </c>
      <c r="J6156" s="14">
        <v>0.0</v>
      </c>
      <c r="K6156" s="14" t="s">
        <v>6012</v>
      </c>
      <c r="L6156" s="14">
        <v>0.0</v>
      </c>
    </row>
    <row r="6157">
      <c r="A6157" s="14">
        <v>25.0</v>
      </c>
      <c r="B6157" s="14">
        <v>9.0</v>
      </c>
      <c r="C6157" s="34">
        <v>21.22</v>
      </c>
      <c r="D6157" s="36">
        <v>45430.0</v>
      </c>
      <c r="E6157" s="24"/>
      <c r="F6157" s="14">
        <v>2.36</v>
      </c>
      <c r="G6157" s="14">
        <v>848.8</v>
      </c>
      <c r="H6157" s="14">
        <v>36.0</v>
      </c>
      <c r="I6157" s="14" t="s">
        <v>6067</v>
      </c>
      <c r="J6157" s="14">
        <v>0.0</v>
      </c>
      <c r="K6157" s="14" t="s">
        <v>6012</v>
      </c>
      <c r="L6157" s="14">
        <v>1.0</v>
      </c>
    </row>
    <row r="6158">
      <c r="A6158" s="14">
        <v>112.0</v>
      </c>
      <c r="B6158" s="14">
        <v>45.0</v>
      </c>
      <c r="C6158" s="34">
        <v>81.51</v>
      </c>
      <c r="D6158" s="36">
        <v>45431.0</v>
      </c>
      <c r="E6158" s="24"/>
      <c r="F6158" s="14">
        <v>1.81</v>
      </c>
      <c r="G6158" s="14">
        <v>727.77</v>
      </c>
      <c r="H6158" s="14">
        <v>40.18</v>
      </c>
      <c r="I6158" s="14" t="s">
        <v>6072</v>
      </c>
      <c r="J6158" s="14">
        <v>2.22</v>
      </c>
      <c r="K6158" s="14">
        <v>81.51</v>
      </c>
      <c r="L6158" s="14">
        <v>0.0</v>
      </c>
    </row>
    <row r="6159">
      <c r="A6159" s="14">
        <v>79.0</v>
      </c>
      <c r="B6159" s="14">
        <v>43.0</v>
      </c>
      <c r="C6159" s="34">
        <v>54.83</v>
      </c>
      <c r="D6159" s="36">
        <v>45431.0</v>
      </c>
      <c r="E6159" s="24"/>
      <c r="F6159" s="14">
        <v>1.28</v>
      </c>
      <c r="G6159" s="14">
        <v>694.05</v>
      </c>
      <c r="H6159" s="14">
        <v>54.43</v>
      </c>
      <c r="I6159" s="14" t="s">
        <v>6071</v>
      </c>
      <c r="J6159" s="14">
        <v>0.0</v>
      </c>
      <c r="K6159" s="14" t="s">
        <v>6012</v>
      </c>
      <c r="L6159" s="14">
        <v>1.0</v>
      </c>
    </row>
    <row r="6160">
      <c r="A6160" s="14">
        <v>2.0</v>
      </c>
      <c r="B6160" s="14">
        <v>0.0</v>
      </c>
      <c r="C6160" s="34">
        <v>1.6</v>
      </c>
      <c r="D6160" s="36">
        <v>45431.0</v>
      </c>
      <c r="E6160" s="24"/>
      <c r="F6160" s="14" t="s">
        <v>6012</v>
      </c>
      <c r="G6160" s="14">
        <v>800.0</v>
      </c>
      <c r="H6160" s="14">
        <v>0.0</v>
      </c>
      <c r="I6160" s="14" t="s">
        <v>6068</v>
      </c>
      <c r="J6160" s="14" t="s">
        <v>6012</v>
      </c>
      <c r="K6160" s="14" t="s">
        <v>6012</v>
      </c>
      <c r="L6160" s="14">
        <v>0.0</v>
      </c>
    </row>
    <row r="6161">
      <c r="A6161" s="14">
        <v>1665.0</v>
      </c>
      <c r="B6161" s="14">
        <v>4.0</v>
      </c>
      <c r="C6161" s="34">
        <v>27.81</v>
      </c>
      <c r="D6161" s="36">
        <v>45431.0</v>
      </c>
      <c r="E6161" s="24"/>
      <c r="F6161" s="14">
        <v>6.95</v>
      </c>
      <c r="G6161" s="14">
        <v>16.7</v>
      </c>
      <c r="H6161" s="14">
        <v>0.24</v>
      </c>
      <c r="I6161" s="14" t="s">
        <v>6074</v>
      </c>
      <c r="J6161" s="14">
        <v>50.0</v>
      </c>
      <c r="K6161" s="14">
        <v>13.9</v>
      </c>
      <c r="L6161" s="14">
        <v>0.0</v>
      </c>
    </row>
    <row r="6162">
      <c r="A6162" s="14">
        <v>102.0</v>
      </c>
      <c r="B6162" s="14">
        <v>43.0</v>
      </c>
      <c r="C6162" s="34">
        <v>68.52</v>
      </c>
      <c r="D6162" s="36">
        <v>45431.0</v>
      </c>
      <c r="E6162" s="24"/>
      <c r="F6162" s="14">
        <v>1.59</v>
      </c>
      <c r="G6162" s="14">
        <v>671.76</v>
      </c>
      <c r="H6162" s="14">
        <v>42.16</v>
      </c>
      <c r="I6162" s="14" t="s">
        <v>6069</v>
      </c>
      <c r="J6162" s="14">
        <v>2.33</v>
      </c>
      <c r="K6162" s="14">
        <v>68.52</v>
      </c>
      <c r="L6162" s="14">
        <v>1.0</v>
      </c>
    </row>
    <row r="6163">
      <c r="A6163" s="14">
        <v>26.0</v>
      </c>
      <c r="B6163" s="14">
        <v>11.0</v>
      </c>
      <c r="C6163" s="34">
        <v>17.94</v>
      </c>
      <c r="D6163" s="36">
        <v>45431.0</v>
      </c>
      <c r="E6163" s="24"/>
      <c r="F6163" s="14">
        <v>1.63</v>
      </c>
      <c r="G6163" s="14">
        <v>690.0</v>
      </c>
      <c r="H6163" s="14">
        <v>42.31</v>
      </c>
      <c r="I6163" s="14" t="s">
        <v>6067</v>
      </c>
      <c r="J6163" s="14">
        <v>0.0</v>
      </c>
      <c r="K6163" s="14" t="s">
        <v>6012</v>
      </c>
      <c r="L6163" s="14">
        <v>0.0</v>
      </c>
    </row>
    <row r="6164">
      <c r="A6164" s="14">
        <v>3058.0</v>
      </c>
      <c r="B6164" s="14">
        <v>10.0</v>
      </c>
      <c r="C6164" s="34">
        <v>55.43</v>
      </c>
      <c r="D6164" s="36">
        <v>45432.0</v>
      </c>
      <c r="E6164" s="24"/>
      <c r="F6164" s="14">
        <v>5.54</v>
      </c>
      <c r="G6164" s="14">
        <v>18.13</v>
      </c>
      <c r="H6164" s="14">
        <v>0.33</v>
      </c>
      <c r="I6164" s="14" t="s">
        <v>6074</v>
      </c>
      <c r="J6164" s="14">
        <v>80.0</v>
      </c>
      <c r="K6164" s="14">
        <v>6.93</v>
      </c>
      <c r="L6164" s="14">
        <v>0.0</v>
      </c>
    </row>
    <row r="6165">
      <c r="A6165" s="14">
        <v>0.0</v>
      </c>
      <c r="B6165" s="14">
        <v>1.0</v>
      </c>
      <c r="C6165" s="34">
        <v>0.0</v>
      </c>
      <c r="D6165" s="36">
        <v>45432.0</v>
      </c>
      <c r="E6165" s="24"/>
      <c r="F6165" s="14">
        <v>0.0</v>
      </c>
      <c r="G6165" s="14" t="s">
        <v>6012</v>
      </c>
      <c r="H6165" s="14" t="s">
        <v>6012</v>
      </c>
      <c r="I6165" s="14" t="s">
        <v>6068</v>
      </c>
      <c r="J6165" s="14">
        <v>0.0</v>
      </c>
      <c r="K6165" s="14" t="s">
        <v>6012</v>
      </c>
      <c r="L6165" s="14">
        <v>0.0</v>
      </c>
    </row>
    <row r="6166">
      <c r="A6166" s="14">
        <v>161.0</v>
      </c>
      <c r="B6166" s="14">
        <v>107.0</v>
      </c>
      <c r="C6166" s="34">
        <v>106.85</v>
      </c>
      <c r="D6166" s="36">
        <v>45432.0</v>
      </c>
      <c r="E6166" s="24"/>
      <c r="F6166" s="14">
        <v>1.0</v>
      </c>
      <c r="G6166" s="14">
        <v>663.66</v>
      </c>
      <c r="H6166" s="14">
        <v>66.46</v>
      </c>
      <c r="I6166" s="14" t="s">
        <v>6072</v>
      </c>
      <c r="J6166" s="14">
        <v>0.0</v>
      </c>
      <c r="K6166" s="14" t="s">
        <v>6012</v>
      </c>
      <c r="L6166" s="14">
        <v>1.0</v>
      </c>
    </row>
    <row r="6167">
      <c r="A6167" s="14">
        <v>126.0</v>
      </c>
      <c r="B6167" s="14">
        <v>80.0</v>
      </c>
      <c r="C6167" s="34">
        <v>76.69</v>
      </c>
      <c r="D6167" s="36">
        <v>45432.0</v>
      </c>
      <c r="E6167" s="24"/>
      <c r="F6167" s="14">
        <v>0.96</v>
      </c>
      <c r="G6167" s="14">
        <v>608.65</v>
      </c>
      <c r="H6167" s="14">
        <v>63.49</v>
      </c>
      <c r="I6167" s="14" t="s">
        <v>6071</v>
      </c>
      <c r="J6167" s="14">
        <v>1.25</v>
      </c>
      <c r="K6167" s="14">
        <v>76.69</v>
      </c>
      <c r="L6167" s="14">
        <v>4.0</v>
      </c>
    </row>
    <row r="6168">
      <c r="A6168" s="14">
        <v>163.0</v>
      </c>
      <c r="B6168" s="14">
        <v>115.0</v>
      </c>
      <c r="C6168" s="34">
        <v>105.53</v>
      </c>
      <c r="D6168" s="36">
        <v>45432.0</v>
      </c>
      <c r="E6168" s="24"/>
      <c r="F6168" s="14">
        <v>0.92</v>
      </c>
      <c r="G6168" s="14">
        <v>647.42</v>
      </c>
      <c r="H6168" s="14">
        <v>70.55</v>
      </c>
      <c r="I6168" s="14" t="s">
        <v>6069</v>
      </c>
      <c r="J6168" s="14">
        <v>0.87</v>
      </c>
      <c r="K6168" s="14">
        <v>105.53</v>
      </c>
      <c r="L6168" s="14">
        <v>2.0</v>
      </c>
    </row>
    <row r="6169">
      <c r="A6169" s="14">
        <v>54.0</v>
      </c>
      <c r="B6169" s="14">
        <v>26.0</v>
      </c>
      <c r="C6169" s="34">
        <v>35.28</v>
      </c>
      <c r="D6169" s="36">
        <v>45432.0</v>
      </c>
      <c r="E6169" s="24"/>
      <c r="F6169" s="14">
        <v>1.36</v>
      </c>
      <c r="G6169" s="14">
        <v>653.33</v>
      </c>
      <c r="H6169" s="14">
        <v>48.15</v>
      </c>
      <c r="I6169" s="14" t="s">
        <v>6067</v>
      </c>
      <c r="J6169" s="14">
        <v>3.85</v>
      </c>
      <c r="K6169" s="14">
        <v>35.28</v>
      </c>
      <c r="L6169" s="14">
        <v>1.0</v>
      </c>
    </row>
    <row r="6170">
      <c r="A6170" s="14">
        <v>2.0</v>
      </c>
      <c r="B6170" s="14">
        <v>1.0</v>
      </c>
      <c r="C6170" s="34">
        <v>1.35</v>
      </c>
      <c r="D6170" s="36">
        <v>45433.0</v>
      </c>
      <c r="E6170" s="24"/>
      <c r="F6170" s="14">
        <v>1.35</v>
      </c>
      <c r="G6170" s="14">
        <v>675.0</v>
      </c>
      <c r="H6170" s="14">
        <v>50.0</v>
      </c>
      <c r="I6170" s="14" t="s">
        <v>6068</v>
      </c>
      <c r="J6170" s="14">
        <v>0.0</v>
      </c>
      <c r="K6170" s="14" t="s">
        <v>6012</v>
      </c>
      <c r="L6170" s="14">
        <v>0.0</v>
      </c>
    </row>
    <row r="6171">
      <c r="A6171" s="14">
        <v>133.0</v>
      </c>
      <c r="B6171" s="14">
        <v>74.0</v>
      </c>
      <c r="C6171" s="34">
        <v>92.35</v>
      </c>
      <c r="D6171" s="36">
        <v>45433.0</v>
      </c>
      <c r="E6171" s="24"/>
      <c r="F6171" s="14">
        <v>1.25</v>
      </c>
      <c r="G6171" s="14">
        <v>694.36</v>
      </c>
      <c r="H6171" s="14">
        <v>55.64</v>
      </c>
      <c r="I6171" s="14" t="s">
        <v>6072</v>
      </c>
      <c r="J6171" s="14">
        <v>1.35</v>
      </c>
      <c r="K6171" s="14">
        <v>92.35</v>
      </c>
      <c r="L6171" s="14">
        <v>0.0</v>
      </c>
    </row>
    <row r="6172">
      <c r="A6172" s="14">
        <v>162.0</v>
      </c>
      <c r="B6172" s="14">
        <v>99.0</v>
      </c>
      <c r="C6172" s="34">
        <v>111.7</v>
      </c>
      <c r="D6172" s="36">
        <v>45433.0</v>
      </c>
      <c r="E6172" s="24"/>
      <c r="F6172" s="14">
        <v>1.13</v>
      </c>
      <c r="G6172" s="14">
        <v>689.51</v>
      </c>
      <c r="H6172" s="14">
        <v>61.11</v>
      </c>
      <c r="I6172" s="14" t="s">
        <v>6069</v>
      </c>
      <c r="J6172" s="14">
        <v>1.01</v>
      </c>
      <c r="K6172" s="14">
        <v>111.7</v>
      </c>
      <c r="L6172" s="14">
        <v>0.0</v>
      </c>
    </row>
    <row r="6173">
      <c r="A6173" s="14">
        <v>84.0</v>
      </c>
      <c r="B6173" s="14">
        <v>56.0</v>
      </c>
      <c r="C6173" s="34">
        <v>55.87</v>
      </c>
      <c r="D6173" s="36">
        <v>45433.0</v>
      </c>
      <c r="E6173" s="24"/>
      <c r="F6173" s="14">
        <v>1.0</v>
      </c>
      <c r="G6173" s="14">
        <v>665.12</v>
      </c>
      <c r="H6173" s="14">
        <v>66.67</v>
      </c>
      <c r="I6173" s="14" t="s">
        <v>6071</v>
      </c>
      <c r="J6173" s="14">
        <v>5.36</v>
      </c>
      <c r="K6173" s="14">
        <v>18.62</v>
      </c>
      <c r="L6173" s="14">
        <v>1.0</v>
      </c>
    </row>
    <row r="6174">
      <c r="A6174" s="14">
        <v>3204.0</v>
      </c>
      <c r="B6174" s="14">
        <v>6.0</v>
      </c>
      <c r="C6174" s="34">
        <v>59.88</v>
      </c>
      <c r="D6174" s="36">
        <v>45433.0</v>
      </c>
      <c r="E6174" s="24"/>
      <c r="F6174" s="14">
        <v>9.98</v>
      </c>
      <c r="G6174" s="14">
        <v>18.69</v>
      </c>
      <c r="H6174" s="14">
        <v>0.19</v>
      </c>
      <c r="I6174" s="14" t="s">
        <v>6074</v>
      </c>
      <c r="J6174" s="14">
        <v>100.0</v>
      </c>
      <c r="K6174" s="14">
        <v>9.98</v>
      </c>
      <c r="L6174" s="14">
        <v>0.0</v>
      </c>
    </row>
    <row r="6175">
      <c r="A6175" s="14">
        <v>44.0</v>
      </c>
      <c r="B6175" s="14">
        <v>16.0</v>
      </c>
      <c r="C6175" s="34">
        <v>29.17</v>
      </c>
      <c r="D6175" s="36">
        <v>45433.0</v>
      </c>
      <c r="E6175" s="24"/>
      <c r="F6175" s="14">
        <v>1.82</v>
      </c>
      <c r="G6175" s="14">
        <v>662.95</v>
      </c>
      <c r="H6175" s="14">
        <v>36.36</v>
      </c>
      <c r="I6175" s="14" t="s">
        <v>6067</v>
      </c>
      <c r="J6175" s="14">
        <v>6.25</v>
      </c>
      <c r="K6175" s="14">
        <v>29.17</v>
      </c>
      <c r="L6175" s="14">
        <v>0.0</v>
      </c>
    </row>
    <row r="6176">
      <c r="A6176" s="14">
        <v>3181.0</v>
      </c>
      <c r="B6176" s="14">
        <v>11.0</v>
      </c>
      <c r="C6176" s="34">
        <v>59.77</v>
      </c>
      <c r="D6176" s="36">
        <v>45434.0</v>
      </c>
      <c r="E6176" s="24"/>
      <c r="F6176" s="14">
        <v>5.43</v>
      </c>
      <c r="G6176" s="14">
        <v>18.79</v>
      </c>
      <c r="H6176" s="14">
        <v>0.35</v>
      </c>
      <c r="I6176" s="14" t="s">
        <v>6074</v>
      </c>
      <c r="J6176" s="14">
        <v>27.27</v>
      </c>
      <c r="K6176" s="14">
        <v>19.92</v>
      </c>
      <c r="L6176" s="14">
        <v>0.0</v>
      </c>
    </row>
    <row r="6177">
      <c r="A6177" s="14">
        <v>121.0</v>
      </c>
      <c r="B6177" s="14">
        <v>80.0</v>
      </c>
      <c r="C6177" s="34">
        <v>80.68</v>
      </c>
      <c r="D6177" s="36">
        <v>45434.0</v>
      </c>
      <c r="E6177" s="24"/>
      <c r="F6177" s="14">
        <v>1.01</v>
      </c>
      <c r="G6177" s="14">
        <v>666.78</v>
      </c>
      <c r="H6177" s="14">
        <v>66.12</v>
      </c>
      <c r="I6177" s="14" t="s">
        <v>6072</v>
      </c>
      <c r="J6177" s="14">
        <v>0.0</v>
      </c>
      <c r="K6177" s="14" t="s">
        <v>6012</v>
      </c>
      <c r="L6177" s="14">
        <v>0.0</v>
      </c>
    </row>
    <row r="6178">
      <c r="A6178" s="14">
        <v>55.0</v>
      </c>
      <c r="B6178" s="14">
        <v>33.0</v>
      </c>
      <c r="C6178" s="34">
        <v>35.37</v>
      </c>
      <c r="D6178" s="36">
        <v>45434.0</v>
      </c>
      <c r="E6178" s="24"/>
      <c r="F6178" s="14">
        <v>1.07</v>
      </c>
      <c r="G6178" s="14">
        <v>643.09</v>
      </c>
      <c r="H6178" s="14">
        <v>60.0</v>
      </c>
      <c r="I6178" s="14" t="s">
        <v>6067</v>
      </c>
      <c r="J6178" s="14">
        <v>0.0</v>
      </c>
      <c r="K6178" s="14" t="s">
        <v>6012</v>
      </c>
      <c r="L6178" s="14">
        <v>2.0</v>
      </c>
    </row>
    <row r="6179">
      <c r="A6179" s="14">
        <v>169.0</v>
      </c>
      <c r="B6179" s="14">
        <v>92.0</v>
      </c>
      <c r="C6179" s="34">
        <v>112.2</v>
      </c>
      <c r="D6179" s="36">
        <v>45434.0</v>
      </c>
      <c r="E6179" s="24"/>
      <c r="F6179" s="14">
        <v>1.22</v>
      </c>
      <c r="G6179" s="14">
        <v>663.91</v>
      </c>
      <c r="H6179" s="14">
        <v>54.44</v>
      </c>
      <c r="I6179" s="14" t="s">
        <v>6069</v>
      </c>
      <c r="J6179" s="14">
        <v>0.0</v>
      </c>
      <c r="K6179" s="14" t="s">
        <v>6012</v>
      </c>
      <c r="L6179" s="14">
        <v>0.0</v>
      </c>
    </row>
    <row r="6180">
      <c r="A6180" s="14">
        <v>87.0</v>
      </c>
      <c r="B6180" s="14">
        <v>49.0</v>
      </c>
      <c r="C6180" s="34">
        <v>54.7</v>
      </c>
      <c r="D6180" s="36">
        <v>45434.0</v>
      </c>
      <c r="E6180" s="24"/>
      <c r="F6180" s="14">
        <v>1.12</v>
      </c>
      <c r="G6180" s="14">
        <v>628.74</v>
      </c>
      <c r="H6180" s="14">
        <v>56.32</v>
      </c>
      <c r="I6180" s="14" t="s">
        <v>6071</v>
      </c>
      <c r="J6180" s="14">
        <v>0.0</v>
      </c>
      <c r="K6180" s="14" t="s">
        <v>6012</v>
      </c>
      <c r="L6180" s="14">
        <v>0.0</v>
      </c>
    </row>
    <row r="6181">
      <c r="A6181" s="14">
        <v>3148.0</v>
      </c>
      <c r="B6181" s="14">
        <v>8.0</v>
      </c>
      <c r="C6181" s="34">
        <v>60.35</v>
      </c>
      <c r="D6181" s="36">
        <v>45435.0</v>
      </c>
      <c r="E6181" s="24"/>
      <c r="F6181" s="14">
        <v>7.54</v>
      </c>
      <c r="G6181" s="14">
        <v>19.17</v>
      </c>
      <c r="H6181" s="14">
        <v>0.25</v>
      </c>
      <c r="I6181" s="14" t="s">
        <v>6074</v>
      </c>
      <c r="J6181" s="14">
        <v>12.5</v>
      </c>
      <c r="K6181" s="14">
        <v>60.35</v>
      </c>
      <c r="L6181" s="14">
        <v>0.0</v>
      </c>
    </row>
    <row r="6182">
      <c r="A6182" s="14">
        <v>1.0</v>
      </c>
      <c r="B6182" s="14">
        <v>1.0</v>
      </c>
      <c r="C6182" s="34">
        <v>0.35</v>
      </c>
      <c r="D6182" s="36">
        <v>45435.0</v>
      </c>
      <c r="E6182" s="24"/>
      <c r="F6182" s="14">
        <v>0.35</v>
      </c>
      <c r="G6182" s="14">
        <v>350.0</v>
      </c>
      <c r="H6182" s="14">
        <v>100.0</v>
      </c>
      <c r="I6182" s="14" t="s">
        <v>6068</v>
      </c>
      <c r="J6182" s="14">
        <v>0.0</v>
      </c>
      <c r="K6182" s="14" t="s">
        <v>6012</v>
      </c>
      <c r="L6182" s="14">
        <v>0.0</v>
      </c>
    </row>
    <row r="6183">
      <c r="A6183" s="14">
        <v>105.0</v>
      </c>
      <c r="B6183" s="14">
        <v>65.0</v>
      </c>
      <c r="C6183" s="34">
        <v>76.76</v>
      </c>
      <c r="D6183" s="36">
        <v>45435.0</v>
      </c>
      <c r="E6183" s="24"/>
      <c r="F6183" s="14">
        <v>1.18</v>
      </c>
      <c r="G6183" s="14">
        <v>731.05</v>
      </c>
      <c r="H6183" s="14">
        <v>61.9</v>
      </c>
      <c r="I6183" s="14" t="s">
        <v>6072</v>
      </c>
      <c r="J6183" s="14">
        <v>0.0</v>
      </c>
      <c r="K6183" s="14" t="s">
        <v>6012</v>
      </c>
      <c r="L6183" s="14">
        <v>0.0</v>
      </c>
    </row>
    <row r="6184">
      <c r="A6184" s="14">
        <v>39.0</v>
      </c>
      <c r="B6184" s="14">
        <v>22.0</v>
      </c>
      <c r="C6184" s="34">
        <v>25.84</v>
      </c>
      <c r="D6184" s="36">
        <v>45435.0</v>
      </c>
      <c r="E6184" s="24"/>
      <c r="F6184" s="14">
        <v>1.17</v>
      </c>
      <c r="G6184" s="14">
        <v>662.56</v>
      </c>
      <c r="H6184" s="14">
        <v>56.41</v>
      </c>
      <c r="I6184" s="14" t="s">
        <v>6067</v>
      </c>
      <c r="J6184" s="14">
        <v>4.55</v>
      </c>
      <c r="K6184" s="14">
        <v>25.84</v>
      </c>
      <c r="L6184" s="14">
        <v>3.0</v>
      </c>
    </row>
    <row r="6185">
      <c r="A6185" s="14">
        <v>80.0</v>
      </c>
      <c r="B6185" s="14">
        <v>49.0</v>
      </c>
      <c r="C6185" s="34">
        <v>57.28</v>
      </c>
      <c r="D6185" s="36">
        <v>45435.0</v>
      </c>
      <c r="E6185" s="24"/>
      <c r="F6185" s="14">
        <v>1.17</v>
      </c>
      <c r="G6185" s="14">
        <v>716.0</v>
      </c>
      <c r="H6185" s="14">
        <v>61.25</v>
      </c>
      <c r="I6185" s="14" t="s">
        <v>6071</v>
      </c>
      <c r="J6185" s="14">
        <v>2.04</v>
      </c>
      <c r="K6185" s="14">
        <v>57.28</v>
      </c>
      <c r="L6185" s="14">
        <v>6.0</v>
      </c>
    </row>
    <row r="6186">
      <c r="A6186" s="14">
        <v>175.0</v>
      </c>
      <c r="B6186" s="14">
        <v>96.0</v>
      </c>
      <c r="C6186" s="34">
        <v>116.5</v>
      </c>
      <c r="D6186" s="36">
        <v>45435.0</v>
      </c>
      <c r="E6186" s="24"/>
      <c r="F6186" s="14">
        <v>1.21</v>
      </c>
      <c r="G6186" s="14">
        <v>665.71</v>
      </c>
      <c r="H6186" s="14">
        <v>54.86</v>
      </c>
      <c r="I6186" s="14" t="s">
        <v>6069</v>
      </c>
      <c r="J6186" s="14">
        <v>1.04</v>
      </c>
      <c r="K6186" s="14">
        <v>116.5</v>
      </c>
      <c r="L6186" s="14">
        <v>2.0</v>
      </c>
    </row>
    <row r="6187">
      <c r="A6187" s="14">
        <v>65.0</v>
      </c>
      <c r="B6187" s="14">
        <v>35.0</v>
      </c>
      <c r="C6187" s="34">
        <v>45.76</v>
      </c>
      <c r="D6187" s="36">
        <v>45436.0</v>
      </c>
      <c r="E6187" s="24"/>
      <c r="F6187" s="14">
        <v>1.31</v>
      </c>
      <c r="G6187" s="14">
        <v>704.0</v>
      </c>
      <c r="H6187" s="14">
        <v>53.85</v>
      </c>
      <c r="I6187" s="14" t="s">
        <v>6071</v>
      </c>
      <c r="J6187" s="14">
        <v>0.0</v>
      </c>
      <c r="K6187" s="14" t="s">
        <v>6012</v>
      </c>
      <c r="L6187" s="14">
        <v>2.0</v>
      </c>
    </row>
    <row r="6188">
      <c r="A6188" s="14">
        <v>39.0</v>
      </c>
      <c r="B6188" s="14">
        <v>17.0</v>
      </c>
      <c r="C6188" s="34">
        <v>31.76</v>
      </c>
      <c r="D6188" s="36">
        <v>45436.0</v>
      </c>
      <c r="E6188" s="24"/>
      <c r="F6188" s="14">
        <v>1.87</v>
      </c>
      <c r="G6188" s="14">
        <v>814.36</v>
      </c>
      <c r="H6188" s="14">
        <v>43.59</v>
      </c>
      <c r="I6188" s="14" t="s">
        <v>6067</v>
      </c>
      <c r="J6188" s="14">
        <v>0.0</v>
      </c>
      <c r="K6188" s="14" t="s">
        <v>6012</v>
      </c>
      <c r="L6188" s="14">
        <v>0.0</v>
      </c>
    </row>
    <row r="6189">
      <c r="A6189" s="14">
        <v>76.0</v>
      </c>
      <c r="B6189" s="14">
        <v>49.0</v>
      </c>
      <c r="C6189" s="34">
        <v>51.49</v>
      </c>
      <c r="D6189" s="36">
        <v>45436.0</v>
      </c>
      <c r="E6189" s="24"/>
      <c r="F6189" s="14">
        <v>1.05</v>
      </c>
      <c r="G6189" s="14">
        <v>677.5</v>
      </c>
      <c r="H6189" s="14">
        <v>64.47</v>
      </c>
      <c r="I6189" s="14" t="s">
        <v>6072</v>
      </c>
      <c r="J6189" s="14">
        <v>0.0</v>
      </c>
      <c r="K6189" s="14" t="s">
        <v>6012</v>
      </c>
      <c r="L6189" s="14">
        <v>0.0</v>
      </c>
    </row>
    <row r="6190">
      <c r="A6190" s="14">
        <v>2435.0</v>
      </c>
      <c r="B6190" s="14">
        <v>6.0</v>
      </c>
      <c r="C6190" s="34">
        <v>55.36</v>
      </c>
      <c r="D6190" s="36">
        <v>45436.0</v>
      </c>
      <c r="E6190" s="24"/>
      <c r="F6190" s="14">
        <v>9.23</v>
      </c>
      <c r="G6190" s="14">
        <v>22.74</v>
      </c>
      <c r="H6190" s="14">
        <v>0.25</v>
      </c>
      <c r="I6190" s="14" t="s">
        <v>6074</v>
      </c>
      <c r="J6190" s="14">
        <v>83.33</v>
      </c>
      <c r="K6190" s="14">
        <v>11.07</v>
      </c>
      <c r="L6190" s="14">
        <v>0.0</v>
      </c>
    </row>
    <row r="6191">
      <c r="A6191" s="14">
        <v>2.0</v>
      </c>
      <c r="B6191" s="14">
        <v>0.0</v>
      </c>
      <c r="C6191" s="34">
        <v>1.75</v>
      </c>
      <c r="D6191" s="36">
        <v>45436.0</v>
      </c>
      <c r="E6191" s="24"/>
      <c r="F6191" s="14" t="s">
        <v>6012</v>
      </c>
      <c r="G6191" s="14">
        <v>875.0</v>
      </c>
      <c r="H6191" s="14">
        <v>0.0</v>
      </c>
      <c r="I6191" s="14" t="s">
        <v>6068</v>
      </c>
      <c r="J6191" s="14" t="s">
        <v>6012</v>
      </c>
      <c r="K6191" s="14" t="s">
        <v>6012</v>
      </c>
      <c r="L6191" s="14">
        <v>0.0</v>
      </c>
    </row>
    <row r="6192">
      <c r="A6192" s="14">
        <v>154.0</v>
      </c>
      <c r="B6192" s="14">
        <v>77.0</v>
      </c>
      <c r="C6192" s="34">
        <v>105.6</v>
      </c>
      <c r="D6192" s="36">
        <v>45436.0</v>
      </c>
      <c r="E6192" s="24"/>
      <c r="F6192" s="14">
        <v>1.37</v>
      </c>
      <c r="G6192" s="14">
        <v>685.71</v>
      </c>
      <c r="H6192" s="14">
        <v>50.0</v>
      </c>
      <c r="I6192" s="14" t="s">
        <v>6069</v>
      </c>
      <c r="J6192" s="14">
        <v>0.0</v>
      </c>
      <c r="K6192" s="14" t="s">
        <v>6012</v>
      </c>
      <c r="L6192" s="14">
        <v>2.0</v>
      </c>
    </row>
    <row r="6193">
      <c r="A6193" s="14">
        <v>93.0</v>
      </c>
      <c r="B6193" s="14">
        <v>36.0</v>
      </c>
      <c r="C6193" s="34">
        <v>66.63</v>
      </c>
      <c r="D6193" s="36">
        <v>45437.0</v>
      </c>
      <c r="E6193" s="24"/>
      <c r="F6193" s="14">
        <v>1.85</v>
      </c>
      <c r="G6193" s="14">
        <v>716.45</v>
      </c>
      <c r="H6193" s="14">
        <v>38.71</v>
      </c>
      <c r="I6193" s="14" t="s">
        <v>6072</v>
      </c>
      <c r="J6193" s="14">
        <v>0.0</v>
      </c>
      <c r="K6193" s="14" t="s">
        <v>6012</v>
      </c>
      <c r="L6193" s="14">
        <v>0.0</v>
      </c>
    </row>
    <row r="6194">
      <c r="A6194" s="14">
        <v>52.0</v>
      </c>
      <c r="B6194" s="14">
        <v>19.0</v>
      </c>
      <c r="C6194" s="34">
        <v>32.83</v>
      </c>
      <c r="D6194" s="36">
        <v>45437.0</v>
      </c>
      <c r="E6194" s="24"/>
      <c r="F6194" s="14">
        <v>1.73</v>
      </c>
      <c r="G6194" s="14">
        <v>631.35</v>
      </c>
      <c r="H6194" s="14">
        <v>36.54</v>
      </c>
      <c r="I6194" s="14" t="s">
        <v>6071</v>
      </c>
      <c r="J6194" s="14">
        <v>0.0</v>
      </c>
      <c r="K6194" s="14" t="s">
        <v>6012</v>
      </c>
      <c r="L6194" s="14">
        <v>2.0</v>
      </c>
    </row>
    <row r="6195">
      <c r="A6195" s="14">
        <v>1757.0</v>
      </c>
      <c r="B6195" s="14">
        <v>3.0</v>
      </c>
      <c r="C6195" s="34">
        <v>33.51</v>
      </c>
      <c r="D6195" s="36">
        <v>45437.0</v>
      </c>
      <c r="E6195" s="24"/>
      <c r="F6195" s="14">
        <v>11.17</v>
      </c>
      <c r="G6195" s="14">
        <v>19.07</v>
      </c>
      <c r="H6195" s="14">
        <v>0.17</v>
      </c>
      <c r="I6195" s="14" t="s">
        <v>6074</v>
      </c>
      <c r="J6195" s="14">
        <v>33.33</v>
      </c>
      <c r="K6195" s="14">
        <v>33.51</v>
      </c>
      <c r="L6195" s="14">
        <v>0.0</v>
      </c>
    </row>
    <row r="6196">
      <c r="A6196" s="14">
        <v>2.0</v>
      </c>
      <c r="B6196" s="14">
        <v>1.0</v>
      </c>
      <c r="C6196" s="34">
        <v>0.92</v>
      </c>
      <c r="D6196" s="36">
        <v>45437.0</v>
      </c>
      <c r="E6196" s="24"/>
      <c r="F6196" s="14">
        <v>0.92</v>
      </c>
      <c r="G6196" s="14">
        <v>460.0</v>
      </c>
      <c r="H6196" s="14">
        <v>50.0</v>
      </c>
      <c r="I6196" s="14" t="s">
        <v>6068</v>
      </c>
      <c r="J6196" s="14">
        <v>0.0</v>
      </c>
      <c r="K6196" s="14" t="s">
        <v>6012</v>
      </c>
      <c r="L6196" s="14">
        <v>0.0</v>
      </c>
    </row>
    <row r="6197">
      <c r="A6197" s="14">
        <v>40.0</v>
      </c>
      <c r="B6197" s="14">
        <v>17.0</v>
      </c>
      <c r="C6197" s="34">
        <v>29.43</v>
      </c>
      <c r="D6197" s="36">
        <v>45437.0</v>
      </c>
      <c r="E6197" s="24"/>
      <c r="F6197" s="14">
        <v>1.73</v>
      </c>
      <c r="G6197" s="14">
        <v>735.75</v>
      </c>
      <c r="H6197" s="14">
        <v>42.5</v>
      </c>
      <c r="I6197" s="14" t="s">
        <v>6067</v>
      </c>
      <c r="J6197" s="14">
        <v>0.0</v>
      </c>
      <c r="K6197" s="14" t="s">
        <v>6012</v>
      </c>
      <c r="L6197" s="14">
        <v>0.0</v>
      </c>
    </row>
    <row r="6198">
      <c r="A6198" s="14">
        <v>117.0</v>
      </c>
      <c r="B6198" s="14">
        <v>56.0</v>
      </c>
      <c r="C6198" s="34">
        <v>77.88</v>
      </c>
      <c r="D6198" s="36">
        <v>45437.0</v>
      </c>
      <c r="E6198" s="24"/>
      <c r="F6198" s="14">
        <v>1.39</v>
      </c>
      <c r="G6198" s="14">
        <v>665.64</v>
      </c>
      <c r="H6198" s="14">
        <v>47.86</v>
      </c>
      <c r="I6198" s="14" t="s">
        <v>6069</v>
      </c>
      <c r="J6198" s="14">
        <v>0.0</v>
      </c>
      <c r="K6198" s="14" t="s">
        <v>6012</v>
      </c>
      <c r="L6198" s="14">
        <v>0.0</v>
      </c>
    </row>
    <row r="6199">
      <c r="A6199" s="14">
        <v>1515.0</v>
      </c>
      <c r="B6199" s="14">
        <v>4.0</v>
      </c>
      <c r="C6199" s="34">
        <v>25.7</v>
      </c>
      <c r="D6199" s="36">
        <v>45438.0</v>
      </c>
      <c r="E6199" s="24"/>
      <c r="F6199" s="14">
        <v>6.42</v>
      </c>
      <c r="G6199" s="14">
        <v>16.96</v>
      </c>
      <c r="H6199" s="14">
        <v>0.26</v>
      </c>
      <c r="I6199" s="14" t="s">
        <v>6074</v>
      </c>
      <c r="J6199" s="14">
        <v>50.0</v>
      </c>
      <c r="K6199" s="14">
        <v>12.85</v>
      </c>
      <c r="L6199" s="14">
        <v>0.0</v>
      </c>
    </row>
    <row r="6200">
      <c r="A6200" s="14">
        <v>41.0</v>
      </c>
      <c r="B6200" s="14">
        <v>22.0</v>
      </c>
      <c r="C6200" s="34">
        <v>30.12</v>
      </c>
      <c r="D6200" s="36">
        <v>45438.0</v>
      </c>
      <c r="E6200" s="24"/>
      <c r="F6200" s="14">
        <v>1.37</v>
      </c>
      <c r="G6200" s="14">
        <v>734.63</v>
      </c>
      <c r="H6200" s="14">
        <v>53.66</v>
      </c>
      <c r="I6200" s="14" t="s">
        <v>6067</v>
      </c>
      <c r="J6200" s="14">
        <v>0.0</v>
      </c>
      <c r="K6200" s="14" t="s">
        <v>6012</v>
      </c>
      <c r="L6200" s="14">
        <v>1.0</v>
      </c>
    </row>
    <row r="6201">
      <c r="A6201" s="14">
        <v>2.0</v>
      </c>
      <c r="B6201" s="14">
        <v>0.0</v>
      </c>
      <c r="C6201" s="34">
        <v>2.0</v>
      </c>
      <c r="D6201" s="36">
        <v>45438.0</v>
      </c>
      <c r="E6201" s="24"/>
      <c r="F6201" s="14" t="s">
        <v>6012</v>
      </c>
      <c r="G6201" s="14">
        <v>1000.0</v>
      </c>
      <c r="H6201" s="14">
        <v>0.0</v>
      </c>
      <c r="I6201" s="14" t="s">
        <v>6068</v>
      </c>
      <c r="J6201" s="14" t="s">
        <v>6012</v>
      </c>
      <c r="K6201" s="14" t="s">
        <v>6012</v>
      </c>
      <c r="L6201" s="14">
        <v>0.0</v>
      </c>
    </row>
    <row r="6202">
      <c r="A6202" s="14">
        <v>116.0</v>
      </c>
      <c r="B6202" s="14">
        <v>50.0</v>
      </c>
      <c r="C6202" s="34">
        <v>70.59</v>
      </c>
      <c r="D6202" s="36">
        <v>45438.0</v>
      </c>
      <c r="E6202" s="24"/>
      <c r="F6202" s="14">
        <v>1.41</v>
      </c>
      <c r="G6202" s="14">
        <v>608.53</v>
      </c>
      <c r="H6202" s="14">
        <v>43.1</v>
      </c>
      <c r="I6202" s="14" t="s">
        <v>6069</v>
      </c>
      <c r="J6202" s="14">
        <v>0.0</v>
      </c>
      <c r="K6202" s="14" t="s">
        <v>6012</v>
      </c>
      <c r="L6202" s="14">
        <v>1.0</v>
      </c>
    </row>
    <row r="6203">
      <c r="A6203" s="14">
        <v>59.0</v>
      </c>
      <c r="B6203" s="14">
        <v>26.0</v>
      </c>
      <c r="C6203" s="34">
        <v>42.67</v>
      </c>
      <c r="D6203" s="36">
        <v>45438.0</v>
      </c>
      <c r="E6203" s="24"/>
      <c r="F6203" s="14">
        <v>1.64</v>
      </c>
      <c r="G6203" s="14">
        <v>723.22</v>
      </c>
      <c r="H6203" s="14">
        <v>44.07</v>
      </c>
      <c r="I6203" s="14" t="s">
        <v>6071</v>
      </c>
      <c r="J6203" s="14">
        <v>3.85</v>
      </c>
      <c r="K6203" s="14">
        <v>42.67</v>
      </c>
      <c r="L6203" s="14">
        <v>0.0</v>
      </c>
    </row>
    <row r="6204">
      <c r="A6204" s="14">
        <v>87.0</v>
      </c>
      <c r="B6204" s="14">
        <v>36.0</v>
      </c>
      <c r="C6204" s="34">
        <v>63.65</v>
      </c>
      <c r="D6204" s="36">
        <v>45438.0</v>
      </c>
      <c r="E6204" s="24"/>
      <c r="F6204" s="14">
        <v>1.77</v>
      </c>
      <c r="G6204" s="14">
        <v>731.61</v>
      </c>
      <c r="H6204" s="14">
        <v>41.38</v>
      </c>
      <c r="I6204" s="14" t="s">
        <v>6072</v>
      </c>
      <c r="J6204" s="14">
        <v>0.0</v>
      </c>
      <c r="K6204" s="14" t="s">
        <v>6012</v>
      </c>
      <c r="L6204" s="14">
        <v>0.0</v>
      </c>
    </row>
    <row r="6205">
      <c r="A6205" s="14">
        <v>153.0</v>
      </c>
      <c r="B6205" s="14">
        <v>61.0</v>
      </c>
      <c r="C6205" s="34">
        <v>104.79</v>
      </c>
      <c r="D6205" s="36">
        <v>45439.0</v>
      </c>
      <c r="E6205" s="24"/>
      <c r="F6205" s="14">
        <v>1.72</v>
      </c>
      <c r="G6205" s="14">
        <v>684.9</v>
      </c>
      <c r="H6205" s="14">
        <v>39.87</v>
      </c>
      <c r="I6205" s="14" t="s">
        <v>6072</v>
      </c>
      <c r="J6205" s="14">
        <v>0.0</v>
      </c>
      <c r="K6205" s="14" t="s">
        <v>6012</v>
      </c>
      <c r="L6205" s="14">
        <v>0.0</v>
      </c>
    </row>
    <row r="6206">
      <c r="A6206" s="14">
        <v>3062.0</v>
      </c>
      <c r="B6206" s="14">
        <v>16.0</v>
      </c>
      <c r="C6206" s="34">
        <v>56.77</v>
      </c>
      <c r="D6206" s="36">
        <v>45439.0</v>
      </c>
      <c r="E6206" s="24"/>
      <c r="F6206" s="14">
        <v>3.55</v>
      </c>
      <c r="G6206" s="14">
        <v>18.54</v>
      </c>
      <c r="H6206" s="14">
        <v>0.52</v>
      </c>
      <c r="I6206" s="14" t="s">
        <v>6074</v>
      </c>
      <c r="J6206" s="14">
        <v>25.0</v>
      </c>
      <c r="K6206" s="14">
        <v>14.19</v>
      </c>
      <c r="L6206" s="14">
        <v>0.0</v>
      </c>
    </row>
    <row r="6207">
      <c r="A6207" s="14">
        <v>4.0</v>
      </c>
      <c r="B6207" s="14">
        <v>1.0</v>
      </c>
      <c r="C6207" s="34">
        <v>2.6</v>
      </c>
      <c r="D6207" s="36">
        <v>45439.0</v>
      </c>
      <c r="E6207" s="24"/>
      <c r="F6207" s="14">
        <v>2.6</v>
      </c>
      <c r="G6207" s="14">
        <v>650.0</v>
      </c>
      <c r="H6207" s="14">
        <v>25.0</v>
      </c>
      <c r="I6207" s="14" t="s">
        <v>6068</v>
      </c>
      <c r="J6207" s="14">
        <v>0.0</v>
      </c>
      <c r="K6207" s="14" t="s">
        <v>6012</v>
      </c>
      <c r="L6207" s="14">
        <v>0.0</v>
      </c>
    </row>
    <row r="6208">
      <c r="A6208" s="14">
        <v>166.0</v>
      </c>
      <c r="B6208" s="14">
        <v>82.0</v>
      </c>
      <c r="C6208" s="34">
        <v>108.86</v>
      </c>
      <c r="D6208" s="36">
        <v>45439.0</v>
      </c>
      <c r="E6208" s="24"/>
      <c r="F6208" s="14">
        <v>1.33</v>
      </c>
      <c r="G6208" s="14">
        <v>655.78</v>
      </c>
      <c r="H6208" s="14">
        <v>49.4</v>
      </c>
      <c r="I6208" s="14" t="s">
        <v>6069</v>
      </c>
      <c r="J6208" s="14">
        <v>0.0</v>
      </c>
      <c r="K6208" s="14" t="s">
        <v>6012</v>
      </c>
      <c r="L6208" s="14">
        <v>1.0</v>
      </c>
    </row>
    <row r="6209">
      <c r="A6209" s="14">
        <v>86.0</v>
      </c>
      <c r="B6209" s="14">
        <v>41.0</v>
      </c>
      <c r="C6209" s="34">
        <v>57.74</v>
      </c>
      <c r="D6209" s="36">
        <v>45439.0</v>
      </c>
      <c r="E6209" s="24"/>
      <c r="F6209" s="14">
        <v>1.41</v>
      </c>
      <c r="G6209" s="14">
        <v>671.4</v>
      </c>
      <c r="H6209" s="14">
        <v>47.67</v>
      </c>
      <c r="I6209" s="14" t="s">
        <v>6071</v>
      </c>
      <c r="J6209" s="14">
        <v>0.0</v>
      </c>
      <c r="K6209" s="14" t="s">
        <v>6012</v>
      </c>
      <c r="L6209" s="14">
        <v>1.0</v>
      </c>
    </row>
    <row r="6210">
      <c r="A6210" s="14">
        <v>64.0</v>
      </c>
      <c r="B6210" s="14">
        <v>27.0</v>
      </c>
      <c r="C6210" s="34">
        <v>48.34</v>
      </c>
      <c r="D6210" s="36">
        <v>45439.0</v>
      </c>
      <c r="E6210" s="24"/>
      <c r="F6210" s="14">
        <v>1.79</v>
      </c>
      <c r="G6210" s="14">
        <v>755.31</v>
      </c>
      <c r="H6210" s="14">
        <v>42.19</v>
      </c>
      <c r="I6210" s="14" t="s">
        <v>6067</v>
      </c>
      <c r="J6210" s="14">
        <v>0.0</v>
      </c>
      <c r="K6210" s="14" t="s">
        <v>6012</v>
      </c>
      <c r="L6210" s="14">
        <v>1.0</v>
      </c>
    </row>
    <row r="6211">
      <c r="A6211" s="14">
        <v>157.0</v>
      </c>
      <c r="B6211" s="14">
        <v>116.0</v>
      </c>
      <c r="C6211" s="34">
        <v>103.0</v>
      </c>
      <c r="D6211" s="36">
        <v>45440.0</v>
      </c>
      <c r="E6211" s="24"/>
      <c r="F6211" s="14">
        <v>0.89</v>
      </c>
      <c r="G6211" s="14">
        <v>656.05</v>
      </c>
      <c r="H6211" s="14">
        <v>73.89</v>
      </c>
      <c r="I6211" s="14" t="s">
        <v>6072</v>
      </c>
      <c r="J6211" s="14">
        <v>0.0</v>
      </c>
      <c r="K6211" s="14" t="s">
        <v>6012</v>
      </c>
      <c r="L6211" s="14">
        <v>2.0</v>
      </c>
    </row>
    <row r="6212">
      <c r="A6212" s="14">
        <v>54.0</v>
      </c>
      <c r="B6212" s="14">
        <v>35.0</v>
      </c>
      <c r="C6212" s="34">
        <v>34.37</v>
      </c>
      <c r="D6212" s="36">
        <v>45440.0</v>
      </c>
      <c r="E6212" s="24"/>
      <c r="F6212" s="14">
        <v>0.98</v>
      </c>
      <c r="G6212" s="14">
        <v>636.48</v>
      </c>
      <c r="H6212" s="14">
        <v>64.81</v>
      </c>
      <c r="I6212" s="14" t="s">
        <v>6067</v>
      </c>
      <c r="J6212" s="14">
        <v>5.71</v>
      </c>
      <c r="K6212" s="14">
        <v>17.18</v>
      </c>
      <c r="L6212" s="14">
        <v>1.0</v>
      </c>
    </row>
    <row r="6213">
      <c r="A6213" s="14">
        <v>165.0</v>
      </c>
      <c r="B6213" s="14">
        <v>116.0</v>
      </c>
      <c r="C6213" s="34">
        <v>110.69</v>
      </c>
      <c r="D6213" s="36">
        <v>45440.0</v>
      </c>
      <c r="E6213" s="24"/>
      <c r="F6213" s="14">
        <v>0.95</v>
      </c>
      <c r="G6213" s="14">
        <v>670.85</v>
      </c>
      <c r="H6213" s="14">
        <v>70.3</v>
      </c>
      <c r="I6213" s="14" t="s">
        <v>6069</v>
      </c>
      <c r="J6213" s="14">
        <v>0.0</v>
      </c>
      <c r="K6213" s="14" t="s">
        <v>6012</v>
      </c>
      <c r="L6213" s="14">
        <v>2.0</v>
      </c>
    </row>
    <row r="6214">
      <c r="A6214" s="14">
        <v>101.0</v>
      </c>
      <c r="B6214" s="14">
        <v>61.0</v>
      </c>
      <c r="C6214" s="34">
        <v>67.62</v>
      </c>
      <c r="D6214" s="36">
        <v>45440.0</v>
      </c>
      <c r="E6214" s="24"/>
      <c r="F6214" s="14">
        <v>1.11</v>
      </c>
      <c r="G6214" s="14">
        <v>669.5</v>
      </c>
      <c r="H6214" s="14">
        <v>60.4</v>
      </c>
      <c r="I6214" s="14" t="s">
        <v>6071</v>
      </c>
      <c r="J6214" s="14">
        <v>1.64</v>
      </c>
      <c r="K6214" s="14">
        <v>67.62</v>
      </c>
      <c r="L6214" s="14">
        <v>4.0</v>
      </c>
    </row>
    <row r="6215">
      <c r="A6215" s="14">
        <v>3179.0</v>
      </c>
      <c r="B6215" s="14">
        <v>14.0</v>
      </c>
      <c r="C6215" s="34">
        <v>59.88</v>
      </c>
      <c r="D6215" s="36">
        <v>45440.0</v>
      </c>
      <c r="E6215" s="24"/>
      <c r="F6215" s="14">
        <v>4.28</v>
      </c>
      <c r="G6215" s="14">
        <v>18.84</v>
      </c>
      <c r="H6215" s="14">
        <v>0.44</v>
      </c>
      <c r="I6215" s="14" t="s">
        <v>6074</v>
      </c>
      <c r="J6215" s="14">
        <v>71.43</v>
      </c>
      <c r="K6215" s="14">
        <v>5.99</v>
      </c>
      <c r="L6215" s="14">
        <v>0.0</v>
      </c>
    </row>
    <row r="6216">
      <c r="A6216" s="14">
        <v>5.0</v>
      </c>
      <c r="B6216" s="14">
        <v>2.0</v>
      </c>
      <c r="C6216" s="34">
        <v>2.1</v>
      </c>
      <c r="D6216" s="36">
        <v>45440.0</v>
      </c>
      <c r="E6216" s="24"/>
      <c r="F6216" s="14">
        <v>1.05</v>
      </c>
      <c r="G6216" s="14">
        <v>420.0</v>
      </c>
      <c r="H6216" s="14">
        <v>40.0</v>
      </c>
      <c r="I6216" s="14" t="s">
        <v>6068</v>
      </c>
      <c r="J6216" s="14">
        <v>0.0</v>
      </c>
      <c r="K6216" s="14" t="s">
        <v>6012</v>
      </c>
      <c r="L6216" s="14">
        <v>1.0</v>
      </c>
    </row>
    <row r="6217">
      <c r="A6217" s="14">
        <v>160.0</v>
      </c>
      <c r="B6217" s="14">
        <v>106.0</v>
      </c>
      <c r="C6217" s="34">
        <v>106.89</v>
      </c>
      <c r="D6217" s="36">
        <v>45441.0</v>
      </c>
      <c r="E6217" s="24"/>
      <c r="F6217" s="14">
        <v>1.01</v>
      </c>
      <c r="G6217" s="14">
        <v>668.06</v>
      </c>
      <c r="H6217" s="14">
        <v>66.25</v>
      </c>
      <c r="I6217" s="14" t="s">
        <v>6072</v>
      </c>
      <c r="J6217" s="14">
        <v>0.94</v>
      </c>
      <c r="K6217" s="14">
        <v>106.89</v>
      </c>
      <c r="L6217" s="14">
        <v>1.0</v>
      </c>
    </row>
    <row r="6218">
      <c r="A6218" s="14">
        <v>120.0</v>
      </c>
      <c r="B6218" s="14">
        <v>50.0</v>
      </c>
      <c r="C6218" s="34">
        <v>91.47</v>
      </c>
      <c r="D6218" s="36">
        <v>45441.0</v>
      </c>
      <c r="E6218" s="24"/>
      <c r="F6218" s="14">
        <v>1.83</v>
      </c>
      <c r="G6218" s="14">
        <v>762.25</v>
      </c>
      <c r="H6218" s="14">
        <v>41.67</v>
      </c>
      <c r="I6218" s="14" t="s">
        <v>6071</v>
      </c>
      <c r="J6218" s="14">
        <v>0.0</v>
      </c>
      <c r="K6218" s="14" t="s">
        <v>6012</v>
      </c>
      <c r="L6218" s="14">
        <v>0.0</v>
      </c>
    </row>
    <row r="6219">
      <c r="A6219" s="14">
        <v>168.0</v>
      </c>
      <c r="B6219" s="14">
        <v>93.0</v>
      </c>
      <c r="C6219" s="34">
        <v>115.41</v>
      </c>
      <c r="D6219" s="36">
        <v>45441.0</v>
      </c>
      <c r="E6219" s="24"/>
      <c r="F6219" s="14">
        <v>1.24</v>
      </c>
      <c r="G6219" s="14">
        <v>686.96</v>
      </c>
      <c r="H6219" s="14">
        <v>55.36</v>
      </c>
      <c r="I6219" s="14" t="s">
        <v>6069</v>
      </c>
      <c r="J6219" s="14">
        <v>0.0</v>
      </c>
      <c r="K6219" s="14" t="s">
        <v>6012</v>
      </c>
      <c r="L6219" s="14">
        <v>0.0</v>
      </c>
    </row>
    <row r="6220">
      <c r="A6220" s="14">
        <v>93.0</v>
      </c>
      <c r="B6220" s="14">
        <v>34.0</v>
      </c>
      <c r="C6220" s="34">
        <v>63.3</v>
      </c>
      <c r="D6220" s="36">
        <v>45441.0</v>
      </c>
      <c r="E6220" s="24"/>
      <c r="F6220" s="14">
        <v>1.86</v>
      </c>
      <c r="G6220" s="14">
        <v>680.65</v>
      </c>
      <c r="H6220" s="14">
        <v>36.56</v>
      </c>
      <c r="I6220" s="14" t="s">
        <v>6067</v>
      </c>
      <c r="J6220" s="14">
        <v>0.0</v>
      </c>
      <c r="K6220" s="14" t="s">
        <v>6012</v>
      </c>
      <c r="L6220" s="14">
        <v>0.0</v>
      </c>
    </row>
    <row r="6221">
      <c r="A6221" s="14">
        <v>3089.0</v>
      </c>
      <c r="B6221" s="14">
        <v>15.0</v>
      </c>
      <c r="C6221" s="34">
        <v>60.66</v>
      </c>
      <c r="D6221" s="36">
        <v>45441.0</v>
      </c>
      <c r="E6221" s="24"/>
      <c r="F6221" s="14">
        <v>4.04</v>
      </c>
      <c r="G6221" s="14">
        <v>19.64</v>
      </c>
      <c r="H6221" s="14">
        <v>0.49</v>
      </c>
      <c r="I6221" s="14" t="s">
        <v>6074</v>
      </c>
      <c r="J6221" s="14">
        <v>13.33</v>
      </c>
      <c r="K6221" s="14">
        <v>30.33</v>
      </c>
      <c r="L6221" s="14">
        <v>0.0</v>
      </c>
    </row>
    <row r="6222">
      <c r="A6222" s="14">
        <v>6.0</v>
      </c>
      <c r="B6222" s="14">
        <v>2.0</v>
      </c>
      <c r="C6222" s="34">
        <v>4.0</v>
      </c>
      <c r="D6222" s="36">
        <v>45441.0</v>
      </c>
      <c r="E6222" s="24"/>
      <c r="F6222" s="14">
        <v>2.0</v>
      </c>
      <c r="G6222" s="14">
        <v>666.67</v>
      </c>
      <c r="H6222" s="14">
        <v>33.33</v>
      </c>
      <c r="I6222" s="14" t="s">
        <v>6068</v>
      </c>
      <c r="J6222" s="14">
        <v>0.0</v>
      </c>
      <c r="K6222" s="14" t="s">
        <v>6012</v>
      </c>
      <c r="L6222" s="14">
        <v>0.0</v>
      </c>
    </row>
    <row r="6223">
      <c r="A6223" s="14">
        <v>121.0</v>
      </c>
      <c r="B6223" s="14">
        <v>52.0</v>
      </c>
      <c r="C6223" s="34">
        <v>90.32</v>
      </c>
      <c r="D6223" s="36">
        <v>45442.0</v>
      </c>
      <c r="E6223" s="24"/>
      <c r="F6223" s="14">
        <v>1.74</v>
      </c>
      <c r="G6223" s="14">
        <v>746.45</v>
      </c>
      <c r="H6223" s="14">
        <v>42.98</v>
      </c>
      <c r="I6223" s="14" t="s">
        <v>6067</v>
      </c>
      <c r="J6223" s="14">
        <v>0.0</v>
      </c>
      <c r="K6223" s="14" t="s">
        <v>6012</v>
      </c>
      <c r="L6223" s="14">
        <v>0.0</v>
      </c>
    </row>
    <row r="6224">
      <c r="A6224" s="14">
        <v>168.0</v>
      </c>
      <c r="B6224" s="14">
        <v>103.0</v>
      </c>
      <c r="C6224" s="34">
        <v>108.41</v>
      </c>
      <c r="D6224" s="36">
        <v>45442.0</v>
      </c>
      <c r="E6224" s="24"/>
      <c r="F6224" s="14">
        <v>1.05</v>
      </c>
      <c r="G6224" s="14">
        <v>645.3</v>
      </c>
      <c r="H6224" s="14">
        <v>61.31</v>
      </c>
      <c r="I6224" s="14" t="s">
        <v>6069</v>
      </c>
      <c r="J6224" s="14">
        <v>1.94</v>
      </c>
      <c r="K6224" s="14">
        <v>54.2</v>
      </c>
      <c r="L6224" s="14">
        <v>3.0</v>
      </c>
    </row>
    <row r="6225">
      <c r="A6225" s="14">
        <v>14.0</v>
      </c>
      <c r="B6225" s="14">
        <v>7.0</v>
      </c>
      <c r="C6225" s="34">
        <v>10.04</v>
      </c>
      <c r="D6225" s="36">
        <v>45442.0</v>
      </c>
      <c r="E6225" s="24"/>
      <c r="F6225" s="14">
        <v>1.43</v>
      </c>
      <c r="G6225" s="14">
        <v>717.14</v>
      </c>
      <c r="H6225" s="14">
        <v>50.0</v>
      </c>
      <c r="I6225" s="14" t="s">
        <v>6068</v>
      </c>
      <c r="J6225" s="14">
        <v>0.0</v>
      </c>
      <c r="K6225" s="14" t="s">
        <v>6012</v>
      </c>
      <c r="L6225" s="14">
        <v>0.0</v>
      </c>
    </row>
    <row r="6226">
      <c r="A6226" s="14">
        <v>3083.0</v>
      </c>
      <c r="B6226" s="14">
        <v>13.0</v>
      </c>
      <c r="C6226" s="34">
        <v>60.34</v>
      </c>
      <c r="D6226" s="36">
        <v>45442.0</v>
      </c>
      <c r="E6226" s="24"/>
      <c r="F6226" s="14">
        <v>4.64</v>
      </c>
      <c r="G6226" s="14">
        <v>19.57</v>
      </c>
      <c r="H6226" s="14">
        <v>0.42</v>
      </c>
      <c r="I6226" s="14" t="s">
        <v>6074</v>
      </c>
      <c r="J6226" s="14">
        <v>53.85</v>
      </c>
      <c r="K6226" s="14">
        <v>8.62</v>
      </c>
      <c r="L6226" s="14">
        <v>0.0</v>
      </c>
    </row>
    <row r="6227">
      <c r="A6227" s="14">
        <v>136.0</v>
      </c>
      <c r="B6227" s="14">
        <v>87.0</v>
      </c>
      <c r="C6227" s="34">
        <v>98.47</v>
      </c>
      <c r="D6227" s="36">
        <v>45442.0</v>
      </c>
      <c r="E6227" s="24"/>
      <c r="F6227" s="14">
        <v>1.13</v>
      </c>
      <c r="G6227" s="14">
        <v>724.04</v>
      </c>
      <c r="H6227" s="14">
        <v>63.97</v>
      </c>
      <c r="I6227" s="14" t="s">
        <v>6071</v>
      </c>
      <c r="J6227" s="14">
        <v>1.15</v>
      </c>
      <c r="K6227" s="14">
        <v>98.47</v>
      </c>
      <c r="L6227" s="14">
        <v>4.0</v>
      </c>
    </row>
    <row r="6228">
      <c r="A6228" s="14">
        <v>119.0</v>
      </c>
      <c r="B6228" s="14">
        <v>82.0</v>
      </c>
      <c r="C6228" s="34">
        <v>81.61</v>
      </c>
      <c r="D6228" s="36">
        <v>45442.0</v>
      </c>
      <c r="E6228" s="24"/>
      <c r="F6228" s="14">
        <v>1.0</v>
      </c>
      <c r="G6228" s="14">
        <v>685.8</v>
      </c>
      <c r="H6228" s="14">
        <v>68.91</v>
      </c>
      <c r="I6228" s="14" t="s">
        <v>6072</v>
      </c>
      <c r="J6228" s="14">
        <v>1.22</v>
      </c>
      <c r="K6228" s="14">
        <v>81.61</v>
      </c>
      <c r="L6228" s="14">
        <v>1.0</v>
      </c>
    </row>
    <row r="6229">
      <c r="A6229" s="14">
        <v>155.0</v>
      </c>
      <c r="B6229" s="14">
        <v>75.0</v>
      </c>
      <c r="C6229" s="34">
        <v>106.73</v>
      </c>
      <c r="D6229" s="36">
        <v>45443.0</v>
      </c>
      <c r="E6229" s="24"/>
      <c r="F6229" s="14">
        <v>1.42</v>
      </c>
      <c r="G6229" s="14">
        <v>688.58</v>
      </c>
      <c r="H6229" s="14">
        <v>48.39</v>
      </c>
      <c r="I6229" s="14" t="s">
        <v>6069</v>
      </c>
      <c r="J6229" s="14">
        <v>1.33</v>
      </c>
      <c r="K6229" s="14">
        <v>106.73</v>
      </c>
      <c r="L6229" s="14">
        <v>1.0</v>
      </c>
    </row>
    <row r="6230">
      <c r="A6230" s="14">
        <v>2.0</v>
      </c>
      <c r="B6230" s="14">
        <v>0.0</v>
      </c>
      <c r="C6230" s="34">
        <v>1.11</v>
      </c>
      <c r="D6230" s="36">
        <v>45443.0</v>
      </c>
      <c r="E6230" s="24"/>
      <c r="F6230" s="14" t="s">
        <v>6012</v>
      </c>
      <c r="G6230" s="14">
        <v>555.0</v>
      </c>
      <c r="H6230" s="14">
        <v>0.0</v>
      </c>
      <c r="I6230" s="14" t="s">
        <v>6068</v>
      </c>
      <c r="J6230" s="14" t="s">
        <v>6012</v>
      </c>
      <c r="K6230" s="14" t="s">
        <v>6012</v>
      </c>
      <c r="L6230" s="14">
        <v>0.0</v>
      </c>
    </row>
    <row r="6231">
      <c r="A6231" s="14">
        <v>58.0</v>
      </c>
      <c r="B6231" s="14">
        <v>43.0</v>
      </c>
      <c r="C6231" s="34">
        <v>38.52</v>
      </c>
      <c r="D6231" s="36">
        <v>45443.0</v>
      </c>
      <c r="E6231" s="24"/>
      <c r="F6231" s="14">
        <v>0.9</v>
      </c>
      <c r="G6231" s="14">
        <v>664.14</v>
      </c>
      <c r="H6231" s="14">
        <v>74.14</v>
      </c>
      <c r="I6231" s="14" t="s">
        <v>6071</v>
      </c>
      <c r="J6231" s="14">
        <v>2.33</v>
      </c>
      <c r="K6231" s="14">
        <v>38.52</v>
      </c>
      <c r="L6231" s="14">
        <v>1.0</v>
      </c>
    </row>
    <row r="6232">
      <c r="A6232" s="14">
        <v>93.0</v>
      </c>
      <c r="B6232" s="14">
        <v>59.0</v>
      </c>
      <c r="C6232" s="34">
        <v>62.21</v>
      </c>
      <c r="D6232" s="36">
        <v>45443.0</v>
      </c>
      <c r="E6232" s="24"/>
      <c r="F6232" s="14">
        <v>1.05</v>
      </c>
      <c r="G6232" s="14">
        <v>668.92</v>
      </c>
      <c r="H6232" s="14">
        <v>63.44</v>
      </c>
      <c r="I6232" s="14" t="s">
        <v>6072</v>
      </c>
      <c r="J6232" s="14">
        <v>1.69</v>
      </c>
      <c r="K6232" s="14">
        <v>62.21</v>
      </c>
      <c r="L6232" s="14">
        <v>0.0</v>
      </c>
    </row>
    <row r="6233">
      <c r="A6233" s="14">
        <v>2817.0</v>
      </c>
      <c r="B6233" s="14">
        <v>15.0</v>
      </c>
      <c r="C6233" s="34">
        <v>53.67</v>
      </c>
      <c r="D6233" s="36">
        <v>45443.0</v>
      </c>
      <c r="E6233" s="24"/>
      <c r="F6233" s="14">
        <v>3.58</v>
      </c>
      <c r="G6233" s="14">
        <v>19.05</v>
      </c>
      <c r="H6233" s="14">
        <v>0.53</v>
      </c>
      <c r="I6233" s="14" t="s">
        <v>6074</v>
      </c>
      <c r="J6233" s="14">
        <v>20.0</v>
      </c>
      <c r="K6233" s="14">
        <v>17.89</v>
      </c>
      <c r="L6233" s="14">
        <v>0.0</v>
      </c>
    </row>
    <row r="6234">
      <c r="A6234" s="14">
        <v>61.0</v>
      </c>
      <c r="B6234" s="14">
        <v>35.0</v>
      </c>
      <c r="C6234" s="34">
        <v>44.47</v>
      </c>
      <c r="D6234" s="36">
        <v>45443.0</v>
      </c>
      <c r="E6234" s="24"/>
      <c r="F6234" s="14">
        <v>1.27</v>
      </c>
      <c r="G6234" s="14">
        <v>729.02</v>
      </c>
      <c r="H6234" s="14">
        <v>57.38</v>
      </c>
      <c r="I6234" s="14" t="s">
        <v>6067</v>
      </c>
      <c r="J6234" s="14">
        <v>2.86</v>
      </c>
      <c r="K6234" s="14">
        <v>44.47</v>
      </c>
      <c r="L6234" s="14">
        <v>0.0</v>
      </c>
    </row>
    <row r="6235">
      <c r="A6235" s="14">
        <v>71.0</v>
      </c>
      <c r="B6235" s="14">
        <v>18.0</v>
      </c>
      <c r="C6235" s="34">
        <v>49.26</v>
      </c>
      <c r="D6235" s="36">
        <v>45444.0</v>
      </c>
      <c r="E6235" s="24"/>
      <c r="F6235" s="14">
        <v>2.74</v>
      </c>
      <c r="G6235" s="14">
        <v>693.8</v>
      </c>
      <c r="H6235" s="14">
        <v>25.35</v>
      </c>
      <c r="I6235" s="14" t="s">
        <v>6071</v>
      </c>
      <c r="J6235" s="14">
        <v>0.0</v>
      </c>
      <c r="K6235" s="14" t="s">
        <v>6012</v>
      </c>
      <c r="L6235" s="14">
        <v>0.0</v>
      </c>
    </row>
    <row r="6236">
      <c r="A6236" s="14">
        <v>1847.0</v>
      </c>
      <c r="B6236" s="14">
        <v>11.0</v>
      </c>
      <c r="C6236" s="34">
        <v>30.28</v>
      </c>
      <c r="D6236" s="36">
        <v>45444.0</v>
      </c>
      <c r="E6236" s="24"/>
      <c r="F6236" s="14">
        <v>2.75</v>
      </c>
      <c r="G6236" s="14">
        <v>16.39</v>
      </c>
      <c r="H6236" s="14">
        <v>0.6</v>
      </c>
      <c r="I6236" s="14" t="s">
        <v>6074</v>
      </c>
      <c r="J6236" s="14">
        <v>54.55</v>
      </c>
      <c r="K6236" s="14">
        <v>5.05</v>
      </c>
      <c r="L6236" s="14">
        <v>0.0</v>
      </c>
    </row>
    <row r="6237">
      <c r="A6237" s="14">
        <v>86.0</v>
      </c>
      <c r="B6237" s="14">
        <v>28.0</v>
      </c>
      <c r="C6237" s="34">
        <v>64.73</v>
      </c>
      <c r="D6237" s="36">
        <v>45444.0</v>
      </c>
      <c r="E6237" s="24"/>
      <c r="F6237" s="14">
        <v>2.31</v>
      </c>
      <c r="G6237" s="14">
        <v>752.67</v>
      </c>
      <c r="H6237" s="14">
        <v>32.56</v>
      </c>
      <c r="I6237" s="14" t="s">
        <v>6072</v>
      </c>
      <c r="J6237" s="14">
        <v>0.0</v>
      </c>
      <c r="K6237" s="14" t="s">
        <v>6012</v>
      </c>
      <c r="L6237" s="14">
        <v>2.0</v>
      </c>
    </row>
    <row r="6238">
      <c r="A6238" s="14">
        <v>33.0</v>
      </c>
      <c r="B6238" s="14">
        <v>12.0</v>
      </c>
      <c r="C6238" s="34">
        <v>22.61</v>
      </c>
      <c r="D6238" s="36">
        <v>45444.0</v>
      </c>
      <c r="E6238" s="24"/>
      <c r="F6238" s="14">
        <v>1.88</v>
      </c>
      <c r="G6238" s="14">
        <v>685.15</v>
      </c>
      <c r="H6238" s="14">
        <v>36.36</v>
      </c>
      <c r="I6238" s="14" t="s">
        <v>6067</v>
      </c>
      <c r="J6238" s="14">
        <v>0.0</v>
      </c>
      <c r="K6238" s="14" t="s">
        <v>6012</v>
      </c>
      <c r="L6238" s="14">
        <v>1.0</v>
      </c>
    </row>
    <row r="6239">
      <c r="A6239" s="14">
        <v>112.0</v>
      </c>
      <c r="B6239" s="14">
        <v>41.0</v>
      </c>
      <c r="C6239" s="34">
        <v>76.32</v>
      </c>
      <c r="D6239" s="36">
        <v>45444.0</v>
      </c>
      <c r="E6239" s="24"/>
      <c r="F6239" s="14">
        <v>1.86</v>
      </c>
      <c r="G6239" s="14">
        <v>681.43</v>
      </c>
      <c r="H6239" s="14">
        <v>36.61</v>
      </c>
      <c r="I6239" s="14" t="s">
        <v>6069</v>
      </c>
      <c r="J6239" s="14">
        <v>0.0</v>
      </c>
      <c r="K6239" s="14" t="s">
        <v>6012</v>
      </c>
      <c r="L6239" s="14">
        <v>0.0</v>
      </c>
    </row>
    <row r="6240">
      <c r="A6240" s="14">
        <v>90.0</v>
      </c>
      <c r="B6240" s="14">
        <v>32.0</v>
      </c>
      <c r="C6240" s="34">
        <v>63.59</v>
      </c>
      <c r="D6240" s="36">
        <v>45445.0</v>
      </c>
      <c r="E6240" s="24"/>
      <c r="F6240" s="14">
        <v>1.99</v>
      </c>
      <c r="G6240" s="14">
        <v>706.56</v>
      </c>
      <c r="H6240" s="14">
        <v>35.56</v>
      </c>
      <c r="I6240" s="14" t="s">
        <v>6072</v>
      </c>
      <c r="J6240" s="14">
        <v>0.0</v>
      </c>
      <c r="K6240" s="14" t="s">
        <v>6012</v>
      </c>
      <c r="L6240" s="14">
        <v>1.0</v>
      </c>
    </row>
    <row r="6241">
      <c r="A6241" s="14">
        <v>1.0</v>
      </c>
      <c r="B6241" s="14">
        <v>0.0</v>
      </c>
      <c r="C6241" s="34">
        <v>1.0</v>
      </c>
      <c r="D6241" s="36">
        <v>45445.0</v>
      </c>
      <c r="E6241" s="24"/>
      <c r="F6241" s="14" t="s">
        <v>6012</v>
      </c>
      <c r="G6241" s="14">
        <v>1000.0</v>
      </c>
      <c r="H6241" s="14">
        <v>0.0</v>
      </c>
      <c r="I6241" s="14" t="s">
        <v>6068</v>
      </c>
      <c r="J6241" s="14" t="s">
        <v>6012</v>
      </c>
      <c r="K6241" s="14" t="s">
        <v>6012</v>
      </c>
      <c r="L6241" s="14">
        <v>0.0</v>
      </c>
    </row>
    <row r="6242">
      <c r="A6242" s="14">
        <v>45.0</v>
      </c>
      <c r="B6242" s="14">
        <v>19.0</v>
      </c>
      <c r="C6242" s="34">
        <v>33.14</v>
      </c>
      <c r="D6242" s="36">
        <v>45445.0</v>
      </c>
      <c r="E6242" s="24"/>
      <c r="F6242" s="14">
        <v>1.74</v>
      </c>
      <c r="G6242" s="14">
        <v>736.44</v>
      </c>
      <c r="H6242" s="14">
        <v>42.22</v>
      </c>
      <c r="I6242" s="14" t="s">
        <v>6067</v>
      </c>
      <c r="J6242" s="14">
        <v>0.0</v>
      </c>
      <c r="K6242" s="14" t="s">
        <v>6012</v>
      </c>
      <c r="L6242" s="14">
        <v>0.0</v>
      </c>
    </row>
    <row r="6243">
      <c r="A6243" s="14">
        <v>54.0</v>
      </c>
      <c r="B6243" s="14">
        <v>25.0</v>
      </c>
      <c r="C6243" s="34">
        <v>34.29</v>
      </c>
      <c r="D6243" s="36">
        <v>45445.0</v>
      </c>
      <c r="E6243" s="24"/>
      <c r="F6243" s="14">
        <v>1.37</v>
      </c>
      <c r="G6243" s="14">
        <v>635.0</v>
      </c>
      <c r="H6243" s="14">
        <v>46.3</v>
      </c>
      <c r="I6243" s="14" t="s">
        <v>6071</v>
      </c>
      <c r="J6243" s="14">
        <v>0.0</v>
      </c>
      <c r="K6243" s="14" t="s">
        <v>6012</v>
      </c>
      <c r="L6243" s="14">
        <v>1.0</v>
      </c>
    </row>
    <row r="6244">
      <c r="A6244" s="14">
        <v>1710.0</v>
      </c>
      <c r="B6244" s="14">
        <v>9.0</v>
      </c>
      <c r="C6244" s="34">
        <v>28.4</v>
      </c>
      <c r="D6244" s="36">
        <v>45445.0</v>
      </c>
      <c r="E6244" s="24"/>
      <c r="F6244" s="14">
        <v>3.16</v>
      </c>
      <c r="G6244" s="14">
        <v>16.61</v>
      </c>
      <c r="H6244" s="14">
        <v>0.53</v>
      </c>
      <c r="I6244" s="14" t="s">
        <v>6074</v>
      </c>
      <c r="J6244" s="14">
        <v>88.89</v>
      </c>
      <c r="K6244" s="14">
        <v>3.55</v>
      </c>
      <c r="L6244" s="14">
        <v>0.0</v>
      </c>
    </row>
    <row r="6245">
      <c r="A6245" s="14">
        <v>112.0</v>
      </c>
      <c r="B6245" s="14">
        <v>60.0</v>
      </c>
      <c r="C6245" s="34">
        <v>73.58</v>
      </c>
      <c r="D6245" s="36">
        <v>45445.0</v>
      </c>
      <c r="E6245" s="24"/>
      <c r="F6245" s="14">
        <v>1.23</v>
      </c>
      <c r="G6245" s="14">
        <v>656.96</v>
      </c>
      <c r="H6245" s="14">
        <v>53.57</v>
      </c>
      <c r="I6245" s="14" t="s">
        <v>6069</v>
      </c>
      <c r="J6245" s="14">
        <v>0.0</v>
      </c>
      <c r="K6245" s="14" t="s">
        <v>6012</v>
      </c>
      <c r="L6245" s="14">
        <v>2.0</v>
      </c>
    </row>
    <row r="6246">
      <c r="A6246" s="14">
        <v>2990.0</v>
      </c>
      <c r="B6246" s="14">
        <v>11.0</v>
      </c>
      <c r="C6246" s="34">
        <v>54.84</v>
      </c>
      <c r="D6246" s="36">
        <v>45446.0</v>
      </c>
      <c r="E6246" s="24"/>
      <c r="F6246" s="14">
        <v>4.99</v>
      </c>
      <c r="G6246" s="14">
        <v>18.34</v>
      </c>
      <c r="H6246" s="14">
        <v>0.37</v>
      </c>
      <c r="I6246" s="14" t="s">
        <v>6074</v>
      </c>
      <c r="J6246" s="14">
        <v>81.82</v>
      </c>
      <c r="K6246" s="14">
        <v>6.09</v>
      </c>
      <c r="L6246" s="14">
        <v>0.0</v>
      </c>
    </row>
    <row r="6247">
      <c r="A6247" s="14">
        <v>5.0</v>
      </c>
      <c r="B6247" s="14">
        <v>3.0</v>
      </c>
      <c r="C6247" s="34">
        <v>4.2</v>
      </c>
      <c r="D6247" s="36">
        <v>45446.0</v>
      </c>
      <c r="E6247" s="24"/>
      <c r="F6247" s="14">
        <v>1.4</v>
      </c>
      <c r="G6247" s="14">
        <v>840.0</v>
      </c>
      <c r="H6247" s="14">
        <v>60.0</v>
      </c>
      <c r="I6247" s="14" t="s">
        <v>6068</v>
      </c>
      <c r="J6247" s="14">
        <v>0.0</v>
      </c>
      <c r="K6247" s="14" t="s">
        <v>6012</v>
      </c>
      <c r="L6247" s="14">
        <v>0.0</v>
      </c>
    </row>
    <row r="6248">
      <c r="A6248" s="14">
        <v>157.0</v>
      </c>
      <c r="B6248" s="14">
        <v>122.0</v>
      </c>
      <c r="C6248" s="34">
        <v>110.69</v>
      </c>
      <c r="D6248" s="36">
        <v>45446.0</v>
      </c>
      <c r="E6248" s="24"/>
      <c r="F6248" s="14">
        <v>0.91</v>
      </c>
      <c r="G6248" s="14">
        <v>705.03</v>
      </c>
      <c r="H6248" s="14">
        <v>77.71</v>
      </c>
      <c r="I6248" s="14" t="s">
        <v>6069</v>
      </c>
      <c r="J6248" s="14">
        <v>2.46</v>
      </c>
      <c r="K6248" s="14">
        <v>36.9</v>
      </c>
      <c r="L6248" s="14">
        <v>1.0</v>
      </c>
    </row>
    <row r="6249">
      <c r="A6249" s="14">
        <v>121.0</v>
      </c>
      <c r="B6249" s="14">
        <v>77.0</v>
      </c>
      <c r="C6249" s="34">
        <v>85.73</v>
      </c>
      <c r="D6249" s="36">
        <v>45446.0</v>
      </c>
      <c r="E6249" s="24"/>
      <c r="F6249" s="14">
        <v>1.11</v>
      </c>
      <c r="G6249" s="14">
        <v>708.51</v>
      </c>
      <c r="H6249" s="14">
        <v>63.64</v>
      </c>
      <c r="I6249" s="14" t="s">
        <v>6072</v>
      </c>
      <c r="J6249" s="14">
        <v>1.3</v>
      </c>
      <c r="K6249" s="14">
        <v>85.73</v>
      </c>
      <c r="L6249" s="14">
        <v>2.0</v>
      </c>
    </row>
    <row r="6250">
      <c r="A6250" s="14">
        <v>86.0</v>
      </c>
      <c r="B6250" s="14">
        <v>65.0</v>
      </c>
      <c r="C6250" s="34">
        <v>56.0</v>
      </c>
      <c r="D6250" s="36">
        <v>45446.0</v>
      </c>
      <c r="E6250" s="24"/>
      <c r="F6250" s="14">
        <v>0.86</v>
      </c>
      <c r="G6250" s="14">
        <v>651.16</v>
      </c>
      <c r="H6250" s="14">
        <v>75.58</v>
      </c>
      <c r="I6250" s="14" t="s">
        <v>6071</v>
      </c>
      <c r="J6250" s="14">
        <v>3.08</v>
      </c>
      <c r="K6250" s="14">
        <v>28.0</v>
      </c>
      <c r="L6250" s="14">
        <v>5.0</v>
      </c>
    </row>
    <row r="6251">
      <c r="A6251" s="14">
        <v>82.0</v>
      </c>
      <c r="B6251" s="14">
        <v>43.0</v>
      </c>
      <c r="C6251" s="34">
        <v>55.97</v>
      </c>
      <c r="D6251" s="36">
        <v>45446.0</v>
      </c>
      <c r="E6251" s="24"/>
      <c r="F6251" s="14">
        <v>1.3</v>
      </c>
      <c r="G6251" s="14">
        <v>682.56</v>
      </c>
      <c r="H6251" s="14">
        <v>52.44</v>
      </c>
      <c r="I6251" s="14" t="s">
        <v>6067</v>
      </c>
      <c r="J6251" s="14">
        <v>0.0</v>
      </c>
      <c r="K6251" s="14" t="s">
        <v>6012</v>
      </c>
      <c r="L6251" s="14">
        <v>1.0</v>
      </c>
    </row>
    <row r="6252">
      <c r="A6252" s="14">
        <v>94.0</v>
      </c>
      <c r="B6252" s="14">
        <v>65.0</v>
      </c>
      <c r="C6252" s="34">
        <v>66.96</v>
      </c>
      <c r="D6252" s="36">
        <v>45447.0</v>
      </c>
      <c r="E6252" s="24"/>
      <c r="F6252" s="14">
        <v>1.03</v>
      </c>
      <c r="G6252" s="14">
        <v>712.34</v>
      </c>
      <c r="H6252" s="14">
        <v>69.15</v>
      </c>
      <c r="I6252" s="14" t="s">
        <v>6071</v>
      </c>
      <c r="J6252" s="14">
        <v>1.54</v>
      </c>
      <c r="K6252" s="14">
        <v>66.96</v>
      </c>
      <c r="L6252" s="14">
        <v>1.0</v>
      </c>
    </row>
    <row r="6253">
      <c r="A6253" s="14">
        <v>92.0</v>
      </c>
      <c r="B6253" s="14">
        <v>56.0</v>
      </c>
      <c r="C6253" s="34">
        <v>60.96</v>
      </c>
      <c r="D6253" s="36">
        <v>45447.0</v>
      </c>
      <c r="E6253" s="24"/>
      <c r="F6253" s="14">
        <v>1.09</v>
      </c>
      <c r="G6253" s="14">
        <v>662.61</v>
      </c>
      <c r="H6253" s="14">
        <v>60.87</v>
      </c>
      <c r="I6253" s="14" t="s">
        <v>6067</v>
      </c>
      <c r="J6253" s="14">
        <v>0.0</v>
      </c>
      <c r="K6253" s="14" t="s">
        <v>6012</v>
      </c>
      <c r="L6253" s="14">
        <v>0.0</v>
      </c>
    </row>
    <row r="6254">
      <c r="A6254" s="14">
        <v>3024.0</v>
      </c>
      <c r="B6254" s="14">
        <v>12.0</v>
      </c>
      <c r="C6254" s="34">
        <v>60.62</v>
      </c>
      <c r="D6254" s="36">
        <v>45447.0</v>
      </c>
      <c r="E6254" s="24"/>
      <c r="F6254" s="14">
        <v>5.05</v>
      </c>
      <c r="G6254" s="14">
        <v>20.05</v>
      </c>
      <c r="H6254" s="14">
        <v>0.4</v>
      </c>
      <c r="I6254" s="14" t="s">
        <v>6074</v>
      </c>
      <c r="J6254" s="14">
        <v>91.67</v>
      </c>
      <c r="K6254" s="14">
        <v>5.51</v>
      </c>
      <c r="L6254" s="14">
        <v>0.0</v>
      </c>
    </row>
    <row r="6255">
      <c r="A6255" s="14">
        <v>4.0</v>
      </c>
      <c r="B6255" s="14">
        <v>0.0</v>
      </c>
      <c r="C6255" s="34">
        <v>2.0</v>
      </c>
      <c r="D6255" s="36">
        <v>45447.0</v>
      </c>
      <c r="E6255" s="24"/>
      <c r="F6255" s="14" t="s">
        <v>6012</v>
      </c>
      <c r="G6255" s="14">
        <v>500.0</v>
      </c>
      <c r="H6255" s="14">
        <v>0.0</v>
      </c>
      <c r="I6255" s="14" t="s">
        <v>6068</v>
      </c>
      <c r="J6255" s="14" t="s">
        <v>6012</v>
      </c>
      <c r="K6255" s="14" t="s">
        <v>6012</v>
      </c>
      <c r="L6255" s="14">
        <v>0.0</v>
      </c>
    </row>
    <row r="6256">
      <c r="A6256" s="14">
        <v>168.0</v>
      </c>
      <c r="B6256" s="14">
        <v>87.0</v>
      </c>
      <c r="C6256" s="34">
        <v>110.75</v>
      </c>
      <c r="D6256" s="36">
        <v>45447.0</v>
      </c>
      <c r="E6256" s="24"/>
      <c r="F6256" s="14">
        <v>1.27</v>
      </c>
      <c r="G6256" s="14">
        <v>659.23</v>
      </c>
      <c r="H6256" s="14">
        <v>51.79</v>
      </c>
      <c r="I6256" s="14" t="s">
        <v>6069</v>
      </c>
      <c r="J6256" s="14">
        <v>2.3</v>
      </c>
      <c r="K6256" s="14">
        <v>55.38</v>
      </c>
      <c r="L6256" s="14">
        <v>1.0</v>
      </c>
    </row>
    <row r="6257">
      <c r="A6257" s="14">
        <v>131.0</v>
      </c>
      <c r="B6257" s="14">
        <v>94.0</v>
      </c>
      <c r="C6257" s="34">
        <v>88.68</v>
      </c>
      <c r="D6257" s="36">
        <v>45447.0</v>
      </c>
      <c r="E6257" s="24"/>
      <c r="F6257" s="14">
        <v>0.94</v>
      </c>
      <c r="G6257" s="14">
        <v>676.95</v>
      </c>
      <c r="H6257" s="14">
        <v>71.76</v>
      </c>
      <c r="I6257" s="14" t="s">
        <v>6072</v>
      </c>
      <c r="J6257" s="14">
        <v>0.0</v>
      </c>
      <c r="K6257" s="14" t="s">
        <v>6012</v>
      </c>
      <c r="L6257" s="14">
        <v>1.0</v>
      </c>
    </row>
    <row r="6258">
      <c r="A6258" s="14">
        <v>7.0</v>
      </c>
      <c r="B6258" s="14">
        <v>2.0</v>
      </c>
      <c r="C6258" s="34">
        <v>3.77</v>
      </c>
      <c r="D6258" s="36">
        <v>45448.0</v>
      </c>
      <c r="E6258" s="24"/>
      <c r="F6258" s="14">
        <v>1.88</v>
      </c>
      <c r="G6258" s="14">
        <v>538.57</v>
      </c>
      <c r="H6258" s="14">
        <v>28.57</v>
      </c>
      <c r="I6258" s="14" t="s">
        <v>6068</v>
      </c>
      <c r="J6258" s="14">
        <v>0.0</v>
      </c>
      <c r="K6258" s="14" t="s">
        <v>6012</v>
      </c>
      <c r="L6258" s="14">
        <v>0.0</v>
      </c>
    </row>
    <row r="6259">
      <c r="A6259" s="14">
        <v>2490.0</v>
      </c>
      <c r="B6259" s="14">
        <v>10.0</v>
      </c>
      <c r="C6259" s="34">
        <v>60.3</v>
      </c>
      <c r="D6259" s="36">
        <v>45448.0</v>
      </c>
      <c r="E6259" s="24"/>
      <c r="F6259" s="14">
        <v>6.03</v>
      </c>
      <c r="G6259" s="14">
        <v>24.22</v>
      </c>
      <c r="H6259" s="14">
        <v>0.4</v>
      </c>
      <c r="I6259" s="14" t="s">
        <v>6074</v>
      </c>
      <c r="J6259" s="14">
        <v>90.0</v>
      </c>
      <c r="K6259" s="14">
        <v>6.7</v>
      </c>
      <c r="L6259" s="14">
        <v>0.0</v>
      </c>
    </row>
    <row r="6260">
      <c r="A6260" s="14">
        <v>173.0</v>
      </c>
      <c r="B6260" s="14">
        <v>83.0</v>
      </c>
      <c r="C6260" s="34">
        <v>121.37</v>
      </c>
      <c r="D6260" s="36">
        <v>45448.0</v>
      </c>
      <c r="E6260" s="24"/>
      <c r="F6260" s="14">
        <v>1.46</v>
      </c>
      <c r="G6260" s="14">
        <v>701.56</v>
      </c>
      <c r="H6260" s="14">
        <v>47.98</v>
      </c>
      <c r="I6260" s="14" t="s">
        <v>6072</v>
      </c>
      <c r="J6260" s="14">
        <v>2.41</v>
      </c>
      <c r="K6260" s="14">
        <v>60.68</v>
      </c>
      <c r="L6260" s="14">
        <v>1.0</v>
      </c>
    </row>
    <row r="6261">
      <c r="A6261" s="14">
        <v>154.0</v>
      </c>
      <c r="B6261" s="14">
        <v>63.0</v>
      </c>
      <c r="C6261" s="34">
        <v>103.68</v>
      </c>
      <c r="D6261" s="36">
        <v>45448.0</v>
      </c>
      <c r="E6261" s="24"/>
      <c r="F6261" s="14">
        <v>1.65</v>
      </c>
      <c r="G6261" s="14">
        <v>673.25</v>
      </c>
      <c r="H6261" s="14">
        <v>40.91</v>
      </c>
      <c r="I6261" s="14" t="s">
        <v>6071</v>
      </c>
      <c r="J6261" s="14">
        <v>0.0</v>
      </c>
      <c r="K6261" s="14" t="s">
        <v>6012</v>
      </c>
      <c r="L6261" s="14">
        <v>3.0</v>
      </c>
    </row>
    <row r="6262">
      <c r="A6262" s="14">
        <v>136.0</v>
      </c>
      <c r="B6262" s="14">
        <v>71.0</v>
      </c>
      <c r="C6262" s="34">
        <v>98.08</v>
      </c>
      <c r="D6262" s="36">
        <v>45448.0</v>
      </c>
      <c r="E6262" s="24"/>
      <c r="F6262" s="14">
        <v>1.38</v>
      </c>
      <c r="G6262" s="14">
        <v>721.18</v>
      </c>
      <c r="H6262" s="14">
        <v>52.21</v>
      </c>
      <c r="I6262" s="14" t="s">
        <v>6067</v>
      </c>
      <c r="J6262" s="14">
        <v>2.82</v>
      </c>
      <c r="K6262" s="14">
        <v>49.04</v>
      </c>
      <c r="L6262" s="14">
        <v>1.0</v>
      </c>
    </row>
    <row r="6263">
      <c r="A6263" s="14">
        <v>147.0</v>
      </c>
      <c r="B6263" s="14">
        <v>99.0</v>
      </c>
      <c r="C6263" s="34">
        <v>110.9</v>
      </c>
      <c r="D6263" s="36">
        <v>45448.0</v>
      </c>
      <c r="E6263" s="24"/>
      <c r="F6263" s="14">
        <v>1.12</v>
      </c>
      <c r="G6263" s="14">
        <v>754.42</v>
      </c>
      <c r="H6263" s="14">
        <v>67.35</v>
      </c>
      <c r="I6263" s="14" t="s">
        <v>6069</v>
      </c>
      <c r="J6263" s="14">
        <v>0.0</v>
      </c>
      <c r="K6263" s="14" t="s">
        <v>6012</v>
      </c>
      <c r="L6263" s="14">
        <v>1.0</v>
      </c>
    </row>
    <row r="6264">
      <c r="A6264" s="14">
        <v>97.0</v>
      </c>
      <c r="B6264" s="14">
        <v>54.0</v>
      </c>
      <c r="C6264" s="34">
        <v>66.62</v>
      </c>
      <c r="D6264" s="36">
        <v>45449.0</v>
      </c>
      <c r="E6264" s="24"/>
      <c r="F6264" s="14">
        <v>1.23</v>
      </c>
      <c r="G6264" s="14">
        <v>686.8</v>
      </c>
      <c r="H6264" s="14">
        <v>55.67</v>
      </c>
      <c r="I6264" s="14" t="s">
        <v>6067</v>
      </c>
      <c r="J6264" s="14">
        <v>0.0</v>
      </c>
      <c r="K6264" s="14" t="s">
        <v>6012</v>
      </c>
      <c r="L6264" s="14">
        <v>0.0</v>
      </c>
    </row>
    <row r="6265">
      <c r="A6265" s="14">
        <v>108.0</v>
      </c>
      <c r="B6265" s="14">
        <v>65.0</v>
      </c>
      <c r="C6265" s="34">
        <v>75.42</v>
      </c>
      <c r="D6265" s="36">
        <v>45449.0</v>
      </c>
      <c r="E6265" s="24"/>
      <c r="F6265" s="14">
        <v>1.16</v>
      </c>
      <c r="G6265" s="14">
        <v>698.33</v>
      </c>
      <c r="H6265" s="14">
        <v>60.19</v>
      </c>
      <c r="I6265" s="14" t="s">
        <v>6071</v>
      </c>
      <c r="J6265" s="14">
        <v>7.69</v>
      </c>
      <c r="K6265" s="14">
        <v>15.08</v>
      </c>
      <c r="L6265" s="14">
        <v>1.0</v>
      </c>
    </row>
    <row r="6266">
      <c r="A6266" s="14">
        <v>2535.0</v>
      </c>
      <c r="B6266" s="14">
        <v>6.0</v>
      </c>
      <c r="C6266" s="34">
        <v>60.88</v>
      </c>
      <c r="D6266" s="36">
        <v>45449.0</v>
      </c>
      <c r="E6266" s="24"/>
      <c r="F6266" s="14">
        <v>10.15</v>
      </c>
      <c r="G6266" s="14">
        <v>24.02</v>
      </c>
      <c r="H6266" s="14">
        <v>0.24</v>
      </c>
      <c r="I6266" s="14" t="s">
        <v>6074</v>
      </c>
      <c r="J6266" s="14">
        <v>100.0</v>
      </c>
      <c r="K6266" s="14">
        <v>10.15</v>
      </c>
      <c r="L6266" s="14">
        <v>0.0</v>
      </c>
    </row>
    <row r="6267">
      <c r="A6267" s="14">
        <v>8.0</v>
      </c>
      <c r="B6267" s="14">
        <v>1.0</v>
      </c>
      <c r="C6267" s="34">
        <v>4.91</v>
      </c>
      <c r="D6267" s="36">
        <v>45449.0</v>
      </c>
      <c r="E6267" s="24"/>
      <c r="F6267" s="14">
        <v>4.91</v>
      </c>
      <c r="G6267" s="14">
        <v>613.75</v>
      </c>
      <c r="H6267" s="14">
        <v>12.5</v>
      </c>
      <c r="I6267" s="14" t="s">
        <v>6068</v>
      </c>
      <c r="J6267" s="14">
        <v>0.0</v>
      </c>
      <c r="K6267" s="14" t="s">
        <v>6012</v>
      </c>
      <c r="L6267" s="14">
        <v>0.0</v>
      </c>
    </row>
    <row r="6268">
      <c r="A6268" s="14">
        <v>165.0</v>
      </c>
      <c r="B6268" s="14">
        <v>100.0</v>
      </c>
      <c r="C6268" s="34">
        <v>113.03</v>
      </c>
      <c r="D6268" s="36">
        <v>45449.0</v>
      </c>
      <c r="E6268" s="24"/>
      <c r="F6268" s="14">
        <v>1.13</v>
      </c>
      <c r="G6268" s="14">
        <v>685.03</v>
      </c>
      <c r="H6268" s="14">
        <v>60.61</v>
      </c>
      <c r="I6268" s="14" t="s">
        <v>6069</v>
      </c>
      <c r="J6268" s="14">
        <v>0.0</v>
      </c>
      <c r="K6268" s="14" t="s">
        <v>6012</v>
      </c>
      <c r="L6268" s="14">
        <v>2.0</v>
      </c>
    </row>
    <row r="6269">
      <c r="A6269" s="14">
        <v>180.0</v>
      </c>
      <c r="B6269" s="14">
        <v>95.0</v>
      </c>
      <c r="C6269" s="34">
        <v>124.1</v>
      </c>
      <c r="D6269" s="36">
        <v>45449.0</v>
      </c>
      <c r="E6269" s="24"/>
      <c r="F6269" s="14">
        <v>1.31</v>
      </c>
      <c r="G6269" s="14">
        <v>689.44</v>
      </c>
      <c r="H6269" s="14">
        <v>52.78</v>
      </c>
      <c r="I6269" s="14" t="s">
        <v>6072</v>
      </c>
      <c r="J6269" s="14">
        <v>0.0</v>
      </c>
      <c r="K6269" s="14" t="s">
        <v>6012</v>
      </c>
      <c r="L6269" s="14">
        <v>1.0</v>
      </c>
    </row>
    <row r="6270">
      <c r="A6270" s="14">
        <v>87.0</v>
      </c>
      <c r="B6270" s="14">
        <v>53.0</v>
      </c>
      <c r="C6270" s="34">
        <v>65.99</v>
      </c>
      <c r="D6270" s="36">
        <v>45450.0</v>
      </c>
      <c r="E6270" s="24"/>
      <c r="F6270" s="14">
        <v>1.25</v>
      </c>
      <c r="G6270" s="14">
        <v>758.51</v>
      </c>
      <c r="H6270" s="14">
        <v>60.92</v>
      </c>
      <c r="I6270" s="14" t="s">
        <v>6071</v>
      </c>
      <c r="J6270" s="14">
        <v>0.0</v>
      </c>
      <c r="K6270" s="14" t="s">
        <v>6012</v>
      </c>
      <c r="L6270" s="14">
        <v>1.0</v>
      </c>
    </row>
    <row r="6271">
      <c r="A6271" s="14">
        <v>79.0</v>
      </c>
      <c r="B6271" s="14">
        <v>29.0</v>
      </c>
      <c r="C6271" s="34">
        <v>59.73</v>
      </c>
      <c r="D6271" s="36">
        <v>45450.0</v>
      </c>
      <c r="E6271" s="24"/>
      <c r="F6271" s="14">
        <v>2.06</v>
      </c>
      <c r="G6271" s="14">
        <v>756.08</v>
      </c>
      <c r="H6271" s="14">
        <v>36.71</v>
      </c>
      <c r="I6271" s="14" t="s">
        <v>6067</v>
      </c>
      <c r="J6271" s="14">
        <v>3.45</v>
      </c>
      <c r="K6271" s="14">
        <v>59.73</v>
      </c>
      <c r="L6271" s="14">
        <v>1.0</v>
      </c>
    </row>
    <row r="6272">
      <c r="A6272" s="14">
        <v>2370.0</v>
      </c>
      <c r="B6272" s="14">
        <v>9.0</v>
      </c>
      <c r="C6272" s="34">
        <v>54.28</v>
      </c>
      <c r="D6272" s="36">
        <v>45450.0</v>
      </c>
      <c r="E6272" s="24"/>
      <c r="F6272" s="14">
        <v>6.03</v>
      </c>
      <c r="G6272" s="14">
        <v>22.9</v>
      </c>
      <c r="H6272" s="14">
        <v>0.38</v>
      </c>
      <c r="I6272" s="14" t="s">
        <v>6074</v>
      </c>
      <c r="J6272" s="14">
        <v>11.11</v>
      </c>
      <c r="K6272" s="14">
        <v>54.28</v>
      </c>
      <c r="L6272" s="14">
        <v>0.0</v>
      </c>
    </row>
    <row r="6273">
      <c r="A6273" s="14">
        <v>154.0</v>
      </c>
      <c r="B6273" s="14">
        <v>89.0</v>
      </c>
      <c r="C6273" s="34">
        <v>104.27</v>
      </c>
      <c r="D6273" s="36">
        <v>45450.0</v>
      </c>
      <c r="E6273" s="24"/>
      <c r="F6273" s="14">
        <v>1.17</v>
      </c>
      <c r="G6273" s="14">
        <v>677.08</v>
      </c>
      <c r="H6273" s="14">
        <v>57.79</v>
      </c>
      <c r="I6273" s="14" t="s">
        <v>6069</v>
      </c>
      <c r="J6273" s="14">
        <v>0.0</v>
      </c>
      <c r="K6273" s="14" t="s">
        <v>6012</v>
      </c>
      <c r="L6273" s="14">
        <v>0.0</v>
      </c>
    </row>
    <row r="6274">
      <c r="A6274" s="14">
        <v>140.0</v>
      </c>
      <c r="B6274" s="14">
        <v>56.0</v>
      </c>
      <c r="C6274" s="34">
        <v>97.42</v>
      </c>
      <c r="D6274" s="36">
        <v>45450.0</v>
      </c>
      <c r="E6274" s="24"/>
      <c r="F6274" s="14">
        <v>1.74</v>
      </c>
      <c r="G6274" s="14">
        <v>695.86</v>
      </c>
      <c r="H6274" s="14">
        <v>40.0</v>
      </c>
      <c r="I6274" s="14" t="s">
        <v>6072</v>
      </c>
      <c r="J6274" s="14">
        <v>1.79</v>
      </c>
      <c r="K6274" s="14">
        <v>97.42</v>
      </c>
      <c r="L6274" s="14">
        <v>1.0</v>
      </c>
    </row>
    <row r="6275">
      <c r="A6275" s="14">
        <v>3.0</v>
      </c>
      <c r="B6275" s="14">
        <v>3.0</v>
      </c>
      <c r="C6275" s="34">
        <v>1.5</v>
      </c>
      <c r="D6275" s="36">
        <v>45450.0</v>
      </c>
      <c r="E6275" s="24"/>
      <c r="F6275" s="14">
        <v>0.5</v>
      </c>
      <c r="G6275" s="14">
        <v>500.0</v>
      </c>
      <c r="H6275" s="14">
        <v>100.0</v>
      </c>
      <c r="I6275" s="14" t="s">
        <v>6068</v>
      </c>
      <c r="J6275" s="14">
        <v>0.0</v>
      </c>
      <c r="K6275" s="14" t="s">
        <v>6012</v>
      </c>
      <c r="L6275" s="14">
        <v>0.0</v>
      </c>
    </row>
    <row r="6276">
      <c r="A6276" s="14">
        <v>6.0</v>
      </c>
      <c r="B6276" s="14">
        <v>3.0</v>
      </c>
      <c r="C6276" s="34">
        <v>3.82</v>
      </c>
      <c r="D6276" s="36">
        <v>45451.0</v>
      </c>
      <c r="E6276" s="24"/>
      <c r="F6276" s="14">
        <v>1.27</v>
      </c>
      <c r="G6276" s="14">
        <v>636.67</v>
      </c>
      <c r="H6276" s="14">
        <v>50.0</v>
      </c>
      <c r="I6276" s="14" t="s">
        <v>6068</v>
      </c>
      <c r="J6276" s="14">
        <v>0.0</v>
      </c>
      <c r="K6276" s="14" t="s">
        <v>6012</v>
      </c>
      <c r="L6276" s="14">
        <v>0.0</v>
      </c>
    </row>
    <row r="6277">
      <c r="A6277" s="14">
        <v>61.0</v>
      </c>
      <c r="B6277" s="14">
        <v>24.0</v>
      </c>
      <c r="C6277" s="34">
        <v>44.99</v>
      </c>
      <c r="D6277" s="36">
        <v>45451.0</v>
      </c>
      <c r="E6277" s="24"/>
      <c r="F6277" s="14">
        <v>1.87</v>
      </c>
      <c r="G6277" s="14">
        <v>737.54</v>
      </c>
      <c r="H6277" s="14">
        <v>39.34</v>
      </c>
      <c r="I6277" s="14" t="s">
        <v>6067</v>
      </c>
      <c r="J6277" s="14">
        <v>0.0</v>
      </c>
      <c r="K6277" s="14" t="s">
        <v>6012</v>
      </c>
      <c r="L6277" s="14">
        <v>0.0</v>
      </c>
    </row>
    <row r="6278">
      <c r="A6278" s="14">
        <v>40.0</v>
      </c>
      <c r="B6278" s="14">
        <v>23.0</v>
      </c>
      <c r="C6278" s="34">
        <v>29.31</v>
      </c>
      <c r="D6278" s="36">
        <v>45451.0</v>
      </c>
      <c r="E6278" s="24"/>
      <c r="F6278" s="14">
        <v>1.27</v>
      </c>
      <c r="G6278" s="14">
        <v>732.75</v>
      </c>
      <c r="H6278" s="14">
        <v>57.5</v>
      </c>
      <c r="I6278" s="14" t="s">
        <v>6071</v>
      </c>
      <c r="J6278" s="14">
        <v>4.35</v>
      </c>
      <c r="K6278" s="14">
        <v>29.31</v>
      </c>
      <c r="L6278" s="14">
        <v>1.0</v>
      </c>
    </row>
    <row r="6279">
      <c r="A6279" s="14">
        <v>1604.0</v>
      </c>
      <c r="B6279" s="14">
        <v>5.0</v>
      </c>
      <c r="C6279" s="34">
        <v>30.43</v>
      </c>
      <c r="D6279" s="36">
        <v>45451.0</v>
      </c>
      <c r="E6279" s="24"/>
      <c r="F6279" s="14">
        <v>6.09</v>
      </c>
      <c r="G6279" s="14">
        <v>18.97</v>
      </c>
      <c r="H6279" s="14">
        <v>0.31</v>
      </c>
      <c r="I6279" s="14" t="s">
        <v>6074</v>
      </c>
      <c r="J6279" s="14">
        <v>60.0</v>
      </c>
      <c r="K6279" s="14">
        <v>10.14</v>
      </c>
      <c r="L6279" s="14">
        <v>0.0</v>
      </c>
    </row>
    <row r="6280">
      <c r="A6280" s="14">
        <v>114.0</v>
      </c>
      <c r="B6280" s="14">
        <v>45.0</v>
      </c>
      <c r="C6280" s="34">
        <v>77.61</v>
      </c>
      <c r="D6280" s="36">
        <v>45451.0</v>
      </c>
      <c r="E6280" s="24"/>
      <c r="F6280" s="14">
        <v>1.72</v>
      </c>
      <c r="G6280" s="14">
        <v>680.79</v>
      </c>
      <c r="H6280" s="14">
        <v>39.47</v>
      </c>
      <c r="I6280" s="14" t="s">
        <v>6069</v>
      </c>
      <c r="J6280" s="14">
        <v>0.0</v>
      </c>
      <c r="K6280" s="14" t="s">
        <v>6012</v>
      </c>
      <c r="L6280" s="14">
        <v>0.0</v>
      </c>
    </row>
    <row r="6281">
      <c r="A6281" s="14">
        <v>94.0</v>
      </c>
      <c r="B6281" s="14">
        <v>44.0</v>
      </c>
      <c r="C6281" s="34">
        <v>63.46</v>
      </c>
      <c r="D6281" s="36">
        <v>45451.0</v>
      </c>
      <c r="E6281" s="24"/>
      <c r="F6281" s="14">
        <v>1.44</v>
      </c>
      <c r="G6281" s="14">
        <v>675.11</v>
      </c>
      <c r="H6281" s="14">
        <v>46.81</v>
      </c>
      <c r="I6281" s="14" t="s">
        <v>6072</v>
      </c>
      <c r="J6281" s="14">
        <v>0.0</v>
      </c>
      <c r="K6281" s="14" t="s">
        <v>6012</v>
      </c>
      <c r="L6281" s="14">
        <v>0.0</v>
      </c>
    </row>
    <row r="6282">
      <c r="A6282" s="14">
        <v>143.0</v>
      </c>
      <c r="B6282" s="14">
        <v>51.0</v>
      </c>
      <c r="C6282" s="34">
        <v>99.02</v>
      </c>
      <c r="D6282" s="36">
        <v>45452.0</v>
      </c>
      <c r="E6282" s="24"/>
      <c r="F6282" s="14">
        <v>1.94</v>
      </c>
      <c r="G6282" s="14">
        <v>692.45</v>
      </c>
      <c r="H6282" s="14">
        <v>35.66</v>
      </c>
      <c r="I6282" s="14" t="s">
        <v>6072</v>
      </c>
      <c r="J6282" s="14">
        <v>1.96</v>
      </c>
      <c r="K6282" s="14">
        <v>99.02</v>
      </c>
      <c r="L6282" s="14">
        <v>1.0</v>
      </c>
    </row>
    <row r="6283">
      <c r="A6283" s="14">
        <v>75.0</v>
      </c>
      <c r="B6283" s="14">
        <v>25.0</v>
      </c>
      <c r="C6283" s="34">
        <v>51.75</v>
      </c>
      <c r="D6283" s="36">
        <v>45452.0</v>
      </c>
      <c r="E6283" s="24"/>
      <c r="F6283" s="14">
        <v>2.07</v>
      </c>
      <c r="G6283" s="14">
        <v>690.0</v>
      </c>
      <c r="H6283" s="14">
        <v>33.33</v>
      </c>
      <c r="I6283" s="14" t="s">
        <v>6071</v>
      </c>
      <c r="J6283" s="14">
        <v>0.0</v>
      </c>
      <c r="K6283" s="14" t="s">
        <v>6012</v>
      </c>
      <c r="L6283" s="14">
        <v>0.0</v>
      </c>
    </row>
    <row r="6284">
      <c r="A6284" s="14">
        <v>3.0</v>
      </c>
      <c r="B6284" s="14">
        <v>0.0</v>
      </c>
      <c r="C6284" s="34">
        <v>1.4</v>
      </c>
      <c r="D6284" s="36">
        <v>45452.0</v>
      </c>
      <c r="E6284" s="24"/>
      <c r="F6284" s="14" t="s">
        <v>6012</v>
      </c>
      <c r="G6284" s="14">
        <v>466.67</v>
      </c>
      <c r="H6284" s="14">
        <v>0.0</v>
      </c>
      <c r="I6284" s="14" t="s">
        <v>6068</v>
      </c>
      <c r="J6284" s="14" t="s">
        <v>6012</v>
      </c>
      <c r="K6284" s="14" t="s">
        <v>6012</v>
      </c>
      <c r="L6284" s="14">
        <v>0.0</v>
      </c>
    </row>
    <row r="6285">
      <c r="A6285" s="14">
        <v>120.0</v>
      </c>
      <c r="B6285" s="14">
        <v>55.0</v>
      </c>
      <c r="C6285" s="34">
        <v>72.75</v>
      </c>
      <c r="D6285" s="36">
        <v>45452.0</v>
      </c>
      <c r="E6285" s="24"/>
      <c r="F6285" s="14">
        <v>1.32</v>
      </c>
      <c r="G6285" s="14">
        <v>606.25</v>
      </c>
      <c r="H6285" s="14">
        <v>45.83</v>
      </c>
      <c r="I6285" s="14" t="s">
        <v>6069</v>
      </c>
      <c r="J6285" s="14">
        <v>0.0</v>
      </c>
      <c r="K6285" s="14" t="s">
        <v>6012</v>
      </c>
      <c r="L6285" s="14">
        <v>0.0</v>
      </c>
    </row>
    <row r="6286">
      <c r="A6286" s="14">
        <v>62.0</v>
      </c>
      <c r="B6286" s="14">
        <v>19.0</v>
      </c>
      <c r="C6286" s="34">
        <v>43.76</v>
      </c>
      <c r="D6286" s="36">
        <v>45452.0</v>
      </c>
      <c r="E6286" s="24"/>
      <c r="F6286" s="14">
        <v>2.3</v>
      </c>
      <c r="G6286" s="14">
        <v>705.81</v>
      </c>
      <c r="H6286" s="14">
        <v>30.65</v>
      </c>
      <c r="I6286" s="14" t="s">
        <v>6067</v>
      </c>
      <c r="J6286" s="14">
        <v>0.0</v>
      </c>
      <c r="K6286" s="14" t="s">
        <v>6012</v>
      </c>
      <c r="L6286" s="14">
        <v>1.0</v>
      </c>
    </row>
    <row r="6287">
      <c r="A6287" s="14">
        <v>962.0</v>
      </c>
      <c r="B6287" s="14">
        <v>4.0</v>
      </c>
      <c r="C6287" s="34">
        <v>28.65</v>
      </c>
      <c r="D6287" s="36">
        <v>45452.0</v>
      </c>
      <c r="E6287" s="24"/>
      <c r="F6287" s="14">
        <v>7.16</v>
      </c>
      <c r="G6287" s="14">
        <v>29.78</v>
      </c>
      <c r="H6287" s="14">
        <v>0.42</v>
      </c>
      <c r="I6287" s="14" t="s">
        <v>6074</v>
      </c>
      <c r="J6287" s="14">
        <v>50.0</v>
      </c>
      <c r="K6287" s="14">
        <v>14.32</v>
      </c>
      <c r="L6287" s="14">
        <v>0.0</v>
      </c>
    </row>
    <row r="6288">
      <c r="A6288" s="14">
        <v>146.0</v>
      </c>
      <c r="B6288" s="14">
        <v>99.0</v>
      </c>
      <c r="C6288" s="34">
        <v>108.79</v>
      </c>
      <c r="D6288" s="36">
        <v>45453.0</v>
      </c>
      <c r="E6288" s="24"/>
      <c r="F6288" s="14">
        <v>1.1</v>
      </c>
      <c r="G6288" s="14">
        <v>745.14</v>
      </c>
      <c r="H6288" s="14">
        <v>67.81</v>
      </c>
      <c r="I6288" s="14" t="s">
        <v>6071</v>
      </c>
      <c r="J6288" s="14">
        <v>2.02</v>
      </c>
      <c r="K6288" s="14">
        <v>54.4</v>
      </c>
      <c r="L6288" s="14">
        <v>6.0</v>
      </c>
    </row>
    <row r="6289">
      <c r="A6289" s="14">
        <v>19.0</v>
      </c>
      <c r="B6289" s="14">
        <v>8.0</v>
      </c>
      <c r="C6289" s="34">
        <v>11.57</v>
      </c>
      <c r="D6289" s="36">
        <v>45453.0</v>
      </c>
      <c r="E6289" s="24"/>
      <c r="F6289" s="14">
        <v>1.45</v>
      </c>
      <c r="G6289" s="14">
        <v>608.95</v>
      </c>
      <c r="H6289" s="14">
        <v>42.11</v>
      </c>
      <c r="I6289" s="14" t="s">
        <v>6068</v>
      </c>
      <c r="J6289" s="14">
        <v>0.0</v>
      </c>
      <c r="K6289" s="14" t="s">
        <v>6012</v>
      </c>
      <c r="L6289" s="14">
        <v>1.0</v>
      </c>
    </row>
    <row r="6290">
      <c r="A6290" s="14">
        <v>167.0</v>
      </c>
      <c r="B6290" s="14">
        <v>139.0</v>
      </c>
      <c r="C6290" s="34">
        <v>107.6</v>
      </c>
      <c r="D6290" s="36">
        <v>45453.0</v>
      </c>
      <c r="E6290" s="24"/>
      <c r="F6290" s="14">
        <v>0.77</v>
      </c>
      <c r="G6290" s="14">
        <v>644.31</v>
      </c>
      <c r="H6290" s="14">
        <v>83.23</v>
      </c>
      <c r="I6290" s="14" t="s">
        <v>6069</v>
      </c>
      <c r="J6290" s="14">
        <v>0.0</v>
      </c>
      <c r="K6290" s="14" t="s">
        <v>6012</v>
      </c>
      <c r="L6290" s="14">
        <v>2.0</v>
      </c>
    </row>
    <row r="6291">
      <c r="A6291" s="14">
        <v>135.0</v>
      </c>
      <c r="B6291" s="14">
        <v>73.0</v>
      </c>
      <c r="C6291" s="34">
        <v>93.98</v>
      </c>
      <c r="D6291" s="36">
        <v>45453.0</v>
      </c>
      <c r="E6291" s="24"/>
      <c r="F6291" s="14">
        <v>1.29</v>
      </c>
      <c r="G6291" s="14">
        <v>696.15</v>
      </c>
      <c r="H6291" s="14">
        <v>54.07</v>
      </c>
      <c r="I6291" s="14" t="s">
        <v>6067</v>
      </c>
      <c r="J6291" s="14">
        <v>0.0</v>
      </c>
      <c r="K6291" s="14" t="s">
        <v>6012</v>
      </c>
      <c r="L6291" s="14">
        <v>2.0</v>
      </c>
    </row>
    <row r="6292">
      <c r="A6292" s="14">
        <v>158.0</v>
      </c>
      <c r="B6292" s="14">
        <v>109.0</v>
      </c>
      <c r="C6292" s="34">
        <v>107.48</v>
      </c>
      <c r="D6292" s="36">
        <v>45453.0</v>
      </c>
      <c r="E6292" s="24"/>
      <c r="F6292" s="14">
        <v>0.99</v>
      </c>
      <c r="G6292" s="14">
        <v>680.25</v>
      </c>
      <c r="H6292" s="14">
        <v>68.99</v>
      </c>
      <c r="I6292" s="14" t="s">
        <v>6072</v>
      </c>
      <c r="J6292" s="14">
        <v>0.0</v>
      </c>
      <c r="K6292" s="14" t="s">
        <v>6012</v>
      </c>
      <c r="L6292" s="14">
        <v>1.0</v>
      </c>
    </row>
    <row r="6293">
      <c r="A6293" s="14">
        <v>2605.0</v>
      </c>
      <c r="B6293" s="14">
        <v>10.0</v>
      </c>
      <c r="C6293" s="34">
        <v>54.29</v>
      </c>
      <c r="D6293" s="36">
        <v>45453.0</v>
      </c>
      <c r="E6293" s="24"/>
      <c r="F6293" s="14">
        <v>5.43</v>
      </c>
      <c r="G6293" s="14">
        <v>20.84</v>
      </c>
      <c r="H6293" s="14">
        <v>0.38</v>
      </c>
      <c r="I6293" s="14" t="s">
        <v>6074</v>
      </c>
      <c r="J6293" s="14">
        <v>10.0</v>
      </c>
      <c r="K6293" s="14">
        <v>54.29</v>
      </c>
      <c r="L6293" s="14">
        <v>0.0</v>
      </c>
    </row>
    <row r="6294">
      <c r="A6294" s="14">
        <v>2676.0</v>
      </c>
      <c r="B6294" s="14">
        <v>9.0</v>
      </c>
      <c r="C6294" s="34">
        <v>60.54</v>
      </c>
      <c r="D6294" s="36">
        <v>45454.0</v>
      </c>
      <c r="E6294" s="24"/>
      <c r="F6294" s="14">
        <v>6.73</v>
      </c>
      <c r="G6294" s="14">
        <v>22.62</v>
      </c>
      <c r="H6294" s="14">
        <v>0.34</v>
      </c>
      <c r="I6294" s="14" t="s">
        <v>6074</v>
      </c>
      <c r="J6294" s="14">
        <v>33.33</v>
      </c>
      <c r="K6294" s="14">
        <v>20.18</v>
      </c>
      <c r="L6294" s="14">
        <v>0.0</v>
      </c>
    </row>
    <row r="6295">
      <c r="A6295" s="14">
        <v>164.0</v>
      </c>
      <c r="B6295" s="14">
        <v>103.0</v>
      </c>
      <c r="C6295" s="34">
        <v>112.65</v>
      </c>
      <c r="D6295" s="36">
        <v>45454.0</v>
      </c>
      <c r="E6295" s="24"/>
      <c r="F6295" s="14">
        <v>1.09</v>
      </c>
      <c r="G6295" s="14">
        <v>686.89</v>
      </c>
      <c r="H6295" s="14">
        <v>62.8</v>
      </c>
      <c r="I6295" s="14" t="s">
        <v>6069</v>
      </c>
      <c r="J6295" s="14">
        <v>0.97</v>
      </c>
      <c r="K6295" s="14">
        <v>112.65</v>
      </c>
      <c r="L6295" s="14">
        <v>2.0</v>
      </c>
    </row>
    <row r="6296">
      <c r="A6296" s="14">
        <v>7.0</v>
      </c>
      <c r="B6296" s="14">
        <v>3.0</v>
      </c>
      <c r="C6296" s="34">
        <v>5.83</v>
      </c>
      <c r="D6296" s="36">
        <v>45454.0</v>
      </c>
      <c r="E6296" s="24"/>
      <c r="F6296" s="14">
        <v>1.94</v>
      </c>
      <c r="G6296" s="14">
        <v>832.86</v>
      </c>
      <c r="H6296" s="14">
        <v>42.86</v>
      </c>
      <c r="I6296" s="14" t="s">
        <v>6068</v>
      </c>
      <c r="J6296" s="14">
        <v>0.0</v>
      </c>
      <c r="K6296" s="14" t="s">
        <v>6012</v>
      </c>
      <c r="L6296" s="14">
        <v>0.0</v>
      </c>
    </row>
    <row r="6297">
      <c r="A6297" s="14">
        <v>158.0</v>
      </c>
      <c r="B6297" s="14">
        <v>95.0</v>
      </c>
      <c r="C6297" s="34">
        <v>112.42</v>
      </c>
      <c r="D6297" s="36">
        <v>45454.0</v>
      </c>
      <c r="E6297" s="24"/>
      <c r="F6297" s="14">
        <v>1.18</v>
      </c>
      <c r="G6297" s="14">
        <v>711.52</v>
      </c>
      <c r="H6297" s="14">
        <v>60.13</v>
      </c>
      <c r="I6297" s="14" t="s">
        <v>6072</v>
      </c>
      <c r="J6297" s="14">
        <v>0.0</v>
      </c>
      <c r="K6297" s="14" t="s">
        <v>6012</v>
      </c>
      <c r="L6297" s="14">
        <v>0.0</v>
      </c>
    </row>
    <row r="6298">
      <c r="A6298" s="14">
        <v>130.0</v>
      </c>
      <c r="B6298" s="14">
        <v>54.0</v>
      </c>
      <c r="C6298" s="34">
        <v>95.71</v>
      </c>
      <c r="D6298" s="36">
        <v>45454.0</v>
      </c>
      <c r="E6298" s="24"/>
      <c r="F6298" s="14">
        <v>1.77</v>
      </c>
      <c r="G6298" s="14">
        <v>736.23</v>
      </c>
      <c r="H6298" s="14">
        <v>41.54</v>
      </c>
      <c r="I6298" s="14" t="s">
        <v>6067</v>
      </c>
      <c r="J6298" s="14">
        <v>0.0</v>
      </c>
      <c r="K6298" s="14" t="s">
        <v>6012</v>
      </c>
      <c r="L6298" s="14">
        <v>1.0</v>
      </c>
    </row>
    <row r="6299">
      <c r="A6299" s="14">
        <v>130.0</v>
      </c>
      <c r="B6299" s="14">
        <v>72.0</v>
      </c>
      <c r="C6299" s="34">
        <v>88.99</v>
      </c>
      <c r="D6299" s="36">
        <v>45454.0</v>
      </c>
      <c r="E6299" s="24"/>
      <c r="F6299" s="14">
        <v>1.24</v>
      </c>
      <c r="G6299" s="14">
        <v>684.54</v>
      </c>
      <c r="H6299" s="14">
        <v>55.38</v>
      </c>
      <c r="I6299" s="14" t="s">
        <v>6071</v>
      </c>
      <c r="J6299" s="14">
        <v>4.17</v>
      </c>
      <c r="K6299" s="14">
        <v>29.66</v>
      </c>
      <c r="L6299" s="14">
        <v>3.0</v>
      </c>
    </row>
    <row r="6300">
      <c r="A6300" s="14">
        <v>64.0</v>
      </c>
      <c r="B6300" s="14">
        <v>44.0</v>
      </c>
      <c r="C6300" s="34">
        <v>57.64</v>
      </c>
      <c r="D6300" s="36">
        <v>45455.0</v>
      </c>
      <c r="E6300" s="24"/>
      <c r="F6300" s="14">
        <v>1.31</v>
      </c>
      <c r="G6300" s="14">
        <v>900.62</v>
      </c>
      <c r="H6300" s="14">
        <v>68.75</v>
      </c>
      <c r="I6300" s="14" t="s">
        <v>6067</v>
      </c>
      <c r="J6300" s="14">
        <v>0.0</v>
      </c>
      <c r="K6300" s="14" t="s">
        <v>6012</v>
      </c>
      <c r="L6300" s="14">
        <v>2.0</v>
      </c>
    </row>
    <row r="6301">
      <c r="A6301" s="14">
        <v>121.0</v>
      </c>
      <c r="B6301" s="14">
        <v>65.0</v>
      </c>
      <c r="C6301" s="34">
        <v>80.56</v>
      </c>
      <c r="D6301" s="36">
        <v>45455.0</v>
      </c>
      <c r="E6301" s="24"/>
      <c r="F6301" s="14">
        <v>1.24</v>
      </c>
      <c r="G6301" s="14">
        <v>665.79</v>
      </c>
      <c r="H6301" s="14">
        <v>53.72</v>
      </c>
      <c r="I6301" s="14" t="s">
        <v>6072</v>
      </c>
      <c r="J6301" s="14">
        <v>1.54</v>
      </c>
      <c r="K6301" s="14">
        <v>80.56</v>
      </c>
      <c r="L6301" s="14">
        <v>1.0</v>
      </c>
    </row>
    <row r="6302">
      <c r="A6302" s="14">
        <v>3162.0</v>
      </c>
      <c r="B6302" s="14">
        <v>16.0</v>
      </c>
      <c r="C6302" s="34">
        <v>60.57</v>
      </c>
      <c r="D6302" s="36">
        <v>45455.0</v>
      </c>
      <c r="E6302" s="24"/>
      <c r="F6302" s="14">
        <v>3.79</v>
      </c>
      <c r="G6302" s="14">
        <v>19.16</v>
      </c>
      <c r="H6302" s="14">
        <v>0.51</v>
      </c>
      <c r="I6302" s="14" t="s">
        <v>6074</v>
      </c>
      <c r="J6302" s="14">
        <v>37.5</v>
      </c>
      <c r="K6302" s="14">
        <v>10.1</v>
      </c>
      <c r="L6302" s="14">
        <v>0.0</v>
      </c>
    </row>
    <row r="6303">
      <c r="A6303" s="14">
        <v>157.0</v>
      </c>
      <c r="B6303" s="14">
        <v>101.0</v>
      </c>
      <c r="C6303" s="34">
        <v>110.71</v>
      </c>
      <c r="D6303" s="36">
        <v>45455.0</v>
      </c>
      <c r="E6303" s="24"/>
      <c r="F6303" s="14">
        <v>1.1</v>
      </c>
      <c r="G6303" s="14">
        <v>705.16</v>
      </c>
      <c r="H6303" s="14">
        <v>64.33</v>
      </c>
      <c r="I6303" s="14" t="s">
        <v>6069</v>
      </c>
      <c r="J6303" s="14">
        <v>0.0</v>
      </c>
      <c r="K6303" s="14" t="s">
        <v>6012</v>
      </c>
      <c r="L6303" s="14">
        <v>0.0</v>
      </c>
    </row>
    <row r="6304">
      <c r="A6304" s="14">
        <v>85.0</v>
      </c>
      <c r="B6304" s="14">
        <v>47.0</v>
      </c>
      <c r="C6304" s="34">
        <v>62.67</v>
      </c>
      <c r="D6304" s="36">
        <v>45455.0</v>
      </c>
      <c r="E6304" s="24"/>
      <c r="F6304" s="14">
        <v>1.33</v>
      </c>
      <c r="G6304" s="14">
        <v>737.29</v>
      </c>
      <c r="H6304" s="14">
        <v>55.29</v>
      </c>
      <c r="I6304" s="14" t="s">
        <v>6071</v>
      </c>
      <c r="J6304" s="14">
        <v>4.26</v>
      </c>
      <c r="K6304" s="14">
        <v>31.34</v>
      </c>
      <c r="L6304" s="14">
        <v>1.0</v>
      </c>
    </row>
    <row r="6305">
      <c r="A6305" s="14">
        <v>38.0</v>
      </c>
      <c r="B6305" s="14">
        <v>41.0</v>
      </c>
      <c r="C6305" s="34">
        <v>27.51</v>
      </c>
      <c r="D6305" s="36">
        <v>45456.0</v>
      </c>
      <c r="E6305" s="24"/>
      <c r="F6305" s="14">
        <v>0.67</v>
      </c>
      <c r="G6305" s="14">
        <v>723.95</v>
      </c>
      <c r="H6305" s="14">
        <v>107.89</v>
      </c>
      <c r="I6305" s="14" t="s">
        <v>6071</v>
      </c>
      <c r="J6305" s="14">
        <v>2.44</v>
      </c>
      <c r="K6305" s="14">
        <v>27.51</v>
      </c>
      <c r="L6305" s="14">
        <v>3.0</v>
      </c>
    </row>
    <row r="6306">
      <c r="A6306" s="14">
        <v>150.0</v>
      </c>
      <c r="B6306" s="14">
        <v>94.0</v>
      </c>
      <c r="C6306" s="34">
        <v>109.79</v>
      </c>
      <c r="D6306" s="36">
        <v>45456.0</v>
      </c>
      <c r="E6306" s="24"/>
      <c r="F6306" s="14">
        <v>1.17</v>
      </c>
      <c r="G6306" s="14">
        <v>731.93</v>
      </c>
      <c r="H6306" s="14">
        <v>62.67</v>
      </c>
      <c r="I6306" s="14" t="s">
        <v>6069</v>
      </c>
      <c r="J6306" s="14">
        <v>1.06</v>
      </c>
      <c r="K6306" s="14">
        <v>109.79</v>
      </c>
      <c r="L6306" s="14">
        <v>3.0</v>
      </c>
    </row>
    <row r="6307">
      <c r="A6307" s="14">
        <v>114.0</v>
      </c>
      <c r="B6307" s="14">
        <v>70.0</v>
      </c>
      <c r="C6307" s="34">
        <v>81.2</v>
      </c>
      <c r="D6307" s="36">
        <v>45456.0</v>
      </c>
      <c r="E6307" s="24"/>
      <c r="F6307" s="14">
        <v>1.16</v>
      </c>
      <c r="G6307" s="14">
        <v>712.28</v>
      </c>
      <c r="H6307" s="14">
        <v>61.4</v>
      </c>
      <c r="I6307" s="14" t="s">
        <v>6072</v>
      </c>
      <c r="J6307" s="14">
        <v>1.43</v>
      </c>
      <c r="K6307" s="14">
        <v>81.2</v>
      </c>
      <c r="L6307" s="14">
        <v>1.0</v>
      </c>
    </row>
    <row r="6308">
      <c r="A6308" s="14">
        <v>3034.0</v>
      </c>
      <c r="B6308" s="14">
        <v>8.0</v>
      </c>
      <c r="C6308" s="34">
        <v>60.67</v>
      </c>
      <c r="D6308" s="36">
        <v>45456.0</v>
      </c>
      <c r="E6308" s="24"/>
      <c r="F6308" s="14">
        <v>7.58</v>
      </c>
      <c r="G6308" s="14">
        <v>20.0</v>
      </c>
      <c r="H6308" s="14">
        <v>0.26</v>
      </c>
      <c r="I6308" s="14" t="s">
        <v>6074</v>
      </c>
      <c r="J6308" s="14">
        <v>87.5</v>
      </c>
      <c r="K6308" s="14">
        <v>8.67</v>
      </c>
      <c r="L6308" s="14">
        <v>0.0</v>
      </c>
    </row>
    <row r="6309">
      <c r="A6309" s="14">
        <v>0.0</v>
      </c>
      <c r="B6309" s="14">
        <v>3.0</v>
      </c>
      <c r="C6309" s="34">
        <v>0.0</v>
      </c>
      <c r="D6309" s="36">
        <v>45456.0</v>
      </c>
      <c r="E6309" s="24"/>
      <c r="F6309" s="14">
        <v>0.0</v>
      </c>
      <c r="G6309" s="14" t="s">
        <v>6012</v>
      </c>
      <c r="H6309" s="14" t="s">
        <v>6012</v>
      </c>
      <c r="I6309" s="14" t="s">
        <v>6068</v>
      </c>
      <c r="J6309" s="14">
        <v>0.0</v>
      </c>
      <c r="K6309" s="14" t="s">
        <v>6012</v>
      </c>
      <c r="L6309" s="14">
        <v>1.0</v>
      </c>
    </row>
    <row r="6310">
      <c r="A6310" s="14">
        <v>46.0</v>
      </c>
      <c r="B6310" s="14">
        <v>37.0</v>
      </c>
      <c r="C6310" s="34">
        <v>36.21</v>
      </c>
      <c r="D6310" s="36">
        <v>45456.0</v>
      </c>
      <c r="E6310" s="24"/>
      <c r="F6310" s="14">
        <v>0.98</v>
      </c>
      <c r="G6310" s="14">
        <v>787.17</v>
      </c>
      <c r="H6310" s="14">
        <v>80.43</v>
      </c>
      <c r="I6310" s="14" t="s">
        <v>6067</v>
      </c>
      <c r="J6310" s="14">
        <v>2.7</v>
      </c>
      <c r="K6310" s="14">
        <v>36.21</v>
      </c>
      <c r="L6310" s="14">
        <v>1.0</v>
      </c>
    </row>
    <row r="6311">
      <c r="A6311" s="14">
        <v>25.0</v>
      </c>
      <c r="B6311" s="14">
        <v>20.0</v>
      </c>
      <c r="C6311" s="34">
        <v>19.2</v>
      </c>
      <c r="D6311" s="36">
        <v>45457.0</v>
      </c>
      <c r="E6311" s="24"/>
      <c r="F6311" s="14">
        <v>0.96</v>
      </c>
      <c r="G6311" s="14">
        <v>768.0</v>
      </c>
      <c r="H6311" s="14">
        <v>80.0</v>
      </c>
      <c r="I6311" s="14" t="s">
        <v>6067</v>
      </c>
      <c r="J6311" s="14">
        <v>0.0</v>
      </c>
      <c r="K6311" s="14" t="s">
        <v>6012</v>
      </c>
      <c r="L6311" s="14">
        <v>0.0</v>
      </c>
    </row>
    <row r="6312">
      <c r="A6312" s="14">
        <v>2745.0</v>
      </c>
      <c r="B6312" s="14">
        <v>15.0</v>
      </c>
      <c r="C6312" s="34">
        <v>54.11</v>
      </c>
      <c r="D6312" s="36">
        <v>45457.0</v>
      </c>
      <c r="E6312" s="24"/>
      <c r="F6312" s="14">
        <v>3.61</v>
      </c>
      <c r="G6312" s="14">
        <v>19.71</v>
      </c>
      <c r="H6312" s="14">
        <v>0.55</v>
      </c>
      <c r="I6312" s="14" t="s">
        <v>6074</v>
      </c>
      <c r="J6312" s="14">
        <v>40.0</v>
      </c>
      <c r="K6312" s="14">
        <v>9.02</v>
      </c>
      <c r="L6312" s="14">
        <v>0.0</v>
      </c>
    </row>
    <row r="6313">
      <c r="A6313" s="14">
        <v>139.0</v>
      </c>
      <c r="B6313" s="14">
        <v>74.0</v>
      </c>
      <c r="C6313" s="34">
        <v>108.99</v>
      </c>
      <c r="D6313" s="36">
        <v>45457.0</v>
      </c>
      <c r="E6313" s="24"/>
      <c r="F6313" s="14">
        <v>1.47</v>
      </c>
      <c r="G6313" s="14">
        <v>784.1</v>
      </c>
      <c r="H6313" s="14">
        <v>53.24</v>
      </c>
      <c r="I6313" s="14" t="s">
        <v>6069</v>
      </c>
      <c r="J6313" s="14">
        <v>1.35</v>
      </c>
      <c r="K6313" s="14">
        <v>108.99</v>
      </c>
      <c r="L6313" s="14">
        <v>0.0</v>
      </c>
    </row>
    <row r="6314">
      <c r="A6314" s="14">
        <v>64.0</v>
      </c>
      <c r="B6314" s="14">
        <v>52.0</v>
      </c>
      <c r="C6314" s="34">
        <v>47.32</v>
      </c>
      <c r="D6314" s="36">
        <v>45457.0</v>
      </c>
      <c r="E6314" s="24"/>
      <c r="F6314" s="14">
        <v>0.91</v>
      </c>
      <c r="G6314" s="14">
        <v>739.38</v>
      </c>
      <c r="H6314" s="14">
        <v>81.25</v>
      </c>
      <c r="I6314" s="14" t="s">
        <v>6072</v>
      </c>
      <c r="J6314" s="14">
        <v>0.0</v>
      </c>
      <c r="K6314" s="14" t="s">
        <v>6012</v>
      </c>
      <c r="L6314" s="14">
        <v>0.0</v>
      </c>
    </row>
    <row r="6315">
      <c r="A6315" s="14">
        <v>39.0</v>
      </c>
      <c r="B6315" s="14">
        <v>32.0</v>
      </c>
      <c r="C6315" s="34">
        <v>29.79</v>
      </c>
      <c r="D6315" s="36">
        <v>45457.0</v>
      </c>
      <c r="E6315" s="24"/>
      <c r="F6315" s="14">
        <v>0.93</v>
      </c>
      <c r="G6315" s="14">
        <v>763.85</v>
      </c>
      <c r="H6315" s="14">
        <v>82.05</v>
      </c>
      <c r="I6315" s="14" t="s">
        <v>6071</v>
      </c>
      <c r="J6315" s="14">
        <v>0.0</v>
      </c>
      <c r="K6315" s="14" t="s">
        <v>6012</v>
      </c>
      <c r="L6315" s="14">
        <v>0.0</v>
      </c>
    </row>
    <row r="6316">
      <c r="A6316" s="14">
        <v>0.0</v>
      </c>
      <c r="B6316" s="14">
        <v>1.0</v>
      </c>
      <c r="C6316" s="34">
        <v>0.0</v>
      </c>
      <c r="D6316" s="36">
        <v>45457.0</v>
      </c>
      <c r="E6316" s="24"/>
      <c r="F6316" s="14">
        <v>0.0</v>
      </c>
      <c r="G6316" s="14" t="s">
        <v>6012</v>
      </c>
      <c r="H6316" s="14" t="s">
        <v>6012</v>
      </c>
      <c r="I6316" s="14" t="s">
        <v>6068</v>
      </c>
      <c r="J6316" s="14">
        <v>0.0</v>
      </c>
      <c r="K6316" s="14" t="s">
        <v>6012</v>
      </c>
      <c r="L6316" s="14">
        <v>0.0</v>
      </c>
    </row>
    <row r="6317">
      <c r="A6317" s="14">
        <v>29.0</v>
      </c>
      <c r="B6317" s="14">
        <v>17.0</v>
      </c>
      <c r="C6317" s="34">
        <v>21.35</v>
      </c>
      <c r="D6317" s="36">
        <v>45458.0</v>
      </c>
      <c r="E6317" s="24"/>
      <c r="F6317" s="14">
        <v>1.26</v>
      </c>
      <c r="G6317" s="14">
        <v>736.21</v>
      </c>
      <c r="H6317" s="14">
        <v>58.62</v>
      </c>
      <c r="I6317" s="14" t="s">
        <v>6072</v>
      </c>
      <c r="J6317" s="14">
        <v>0.0</v>
      </c>
      <c r="K6317" s="14" t="s">
        <v>6012</v>
      </c>
      <c r="L6317" s="14">
        <v>0.0</v>
      </c>
    </row>
    <row r="6318">
      <c r="A6318" s="14">
        <v>61.0</v>
      </c>
      <c r="B6318" s="14">
        <v>33.0</v>
      </c>
      <c r="C6318" s="34">
        <v>47.51</v>
      </c>
      <c r="D6318" s="36">
        <v>45458.0</v>
      </c>
      <c r="E6318" s="24"/>
      <c r="F6318" s="14">
        <v>1.44</v>
      </c>
      <c r="G6318" s="14">
        <v>778.85</v>
      </c>
      <c r="H6318" s="14">
        <v>54.1</v>
      </c>
      <c r="I6318" s="14" t="s">
        <v>6069</v>
      </c>
      <c r="J6318" s="14">
        <v>0.0</v>
      </c>
      <c r="K6318" s="14" t="s">
        <v>6012</v>
      </c>
      <c r="L6318" s="14">
        <v>0.0</v>
      </c>
    </row>
    <row r="6319">
      <c r="A6319" s="14">
        <v>7.0</v>
      </c>
      <c r="B6319" s="14">
        <v>6.0</v>
      </c>
      <c r="C6319" s="34">
        <v>4.68</v>
      </c>
      <c r="D6319" s="36">
        <v>45458.0</v>
      </c>
      <c r="E6319" s="24"/>
      <c r="F6319" s="14">
        <v>0.78</v>
      </c>
      <c r="G6319" s="14">
        <v>668.57</v>
      </c>
      <c r="H6319" s="14">
        <v>85.71</v>
      </c>
      <c r="I6319" s="14" t="s">
        <v>6067</v>
      </c>
      <c r="J6319" s="14">
        <v>0.0</v>
      </c>
      <c r="K6319" s="14" t="s">
        <v>6012</v>
      </c>
      <c r="L6319" s="14">
        <v>0.0</v>
      </c>
    </row>
    <row r="6320">
      <c r="A6320" s="14">
        <v>15.0</v>
      </c>
      <c r="B6320" s="14">
        <v>11.0</v>
      </c>
      <c r="C6320" s="34">
        <v>11.3</v>
      </c>
      <c r="D6320" s="36">
        <v>45458.0</v>
      </c>
      <c r="E6320" s="24"/>
      <c r="F6320" s="14">
        <v>1.03</v>
      </c>
      <c r="G6320" s="14">
        <v>753.33</v>
      </c>
      <c r="H6320" s="14">
        <v>73.33</v>
      </c>
      <c r="I6320" s="14" t="s">
        <v>6071</v>
      </c>
      <c r="J6320" s="14">
        <v>0.0</v>
      </c>
      <c r="K6320" s="14" t="s">
        <v>6012</v>
      </c>
      <c r="L6320" s="14">
        <v>2.0</v>
      </c>
    </row>
    <row r="6321">
      <c r="A6321" s="14">
        <v>1686.0</v>
      </c>
      <c r="B6321" s="14">
        <v>6.0</v>
      </c>
      <c r="C6321" s="34">
        <v>30.93</v>
      </c>
      <c r="D6321" s="36">
        <v>45458.0</v>
      </c>
      <c r="E6321" s="24"/>
      <c r="F6321" s="14">
        <v>5.16</v>
      </c>
      <c r="G6321" s="14">
        <v>18.35</v>
      </c>
      <c r="H6321" s="14">
        <v>0.36</v>
      </c>
      <c r="I6321" s="14" t="s">
        <v>6074</v>
      </c>
      <c r="J6321" s="14">
        <v>66.67</v>
      </c>
      <c r="K6321" s="14">
        <v>7.73</v>
      </c>
      <c r="L6321" s="14">
        <v>0.0</v>
      </c>
    </row>
    <row r="6322">
      <c r="A6322" s="14">
        <v>1.0</v>
      </c>
      <c r="B6322" s="14">
        <v>0.0</v>
      </c>
      <c r="C6322" s="34">
        <v>0.5</v>
      </c>
      <c r="D6322" s="36">
        <v>45459.0</v>
      </c>
      <c r="E6322" s="24"/>
      <c r="F6322" s="14" t="s">
        <v>6012</v>
      </c>
      <c r="G6322" s="14">
        <v>500.0</v>
      </c>
      <c r="H6322" s="14">
        <v>0.0</v>
      </c>
      <c r="I6322" s="14" t="s">
        <v>6068</v>
      </c>
      <c r="J6322" s="14" t="s">
        <v>6012</v>
      </c>
      <c r="K6322" s="14" t="s">
        <v>6012</v>
      </c>
      <c r="L6322" s="14">
        <v>0.0</v>
      </c>
    </row>
    <row r="6323">
      <c r="A6323" s="14">
        <v>18.0</v>
      </c>
      <c r="B6323" s="14">
        <v>8.0</v>
      </c>
      <c r="C6323" s="34">
        <v>13.46</v>
      </c>
      <c r="D6323" s="36">
        <v>45459.0</v>
      </c>
      <c r="E6323" s="24"/>
      <c r="F6323" s="14">
        <v>1.68</v>
      </c>
      <c r="G6323" s="14">
        <v>747.78</v>
      </c>
      <c r="H6323" s="14">
        <v>44.44</v>
      </c>
      <c r="I6323" s="14" t="s">
        <v>6067</v>
      </c>
      <c r="J6323" s="14">
        <v>0.0</v>
      </c>
      <c r="K6323" s="14" t="s">
        <v>6012</v>
      </c>
      <c r="L6323" s="14">
        <v>0.0</v>
      </c>
    </row>
    <row r="6324">
      <c r="A6324" s="14">
        <v>123.0</v>
      </c>
      <c r="B6324" s="14">
        <v>48.0</v>
      </c>
      <c r="C6324" s="34">
        <v>91.7</v>
      </c>
      <c r="D6324" s="36">
        <v>45459.0</v>
      </c>
      <c r="E6324" s="24"/>
      <c r="F6324" s="14">
        <v>1.91</v>
      </c>
      <c r="G6324" s="14">
        <v>745.53</v>
      </c>
      <c r="H6324" s="14">
        <v>39.02</v>
      </c>
      <c r="I6324" s="14" t="s">
        <v>6069</v>
      </c>
      <c r="J6324" s="14">
        <v>0.0</v>
      </c>
      <c r="K6324" s="14" t="s">
        <v>6012</v>
      </c>
      <c r="L6324" s="14">
        <v>0.0</v>
      </c>
    </row>
    <row r="6325">
      <c r="A6325" s="14">
        <v>27.0</v>
      </c>
      <c r="B6325" s="14">
        <v>13.0</v>
      </c>
      <c r="C6325" s="34">
        <v>23.26</v>
      </c>
      <c r="D6325" s="36">
        <v>45459.0</v>
      </c>
      <c r="E6325" s="24"/>
      <c r="F6325" s="14">
        <v>1.79</v>
      </c>
      <c r="G6325" s="14">
        <v>861.48</v>
      </c>
      <c r="H6325" s="14">
        <v>48.15</v>
      </c>
      <c r="I6325" s="14" t="s">
        <v>6071</v>
      </c>
      <c r="J6325" s="14">
        <v>0.0</v>
      </c>
      <c r="K6325" s="14" t="s">
        <v>6012</v>
      </c>
      <c r="L6325" s="14">
        <v>2.0</v>
      </c>
    </row>
    <row r="6326">
      <c r="A6326" s="14">
        <v>1479.0</v>
      </c>
      <c r="B6326" s="14">
        <v>1.0</v>
      </c>
      <c r="C6326" s="34">
        <v>28.89</v>
      </c>
      <c r="D6326" s="36">
        <v>45459.0</v>
      </c>
      <c r="E6326" s="24"/>
      <c r="F6326" s="14">
        <v>28.89</v>
      </c>
      <c r="G6326" s="14">
        <v>19.53</v>
      </c>
      <c r="H6326" s="14">
        <v>0.07</v>
      </c>
      <c r="I6326" s="14" t="s">
        <v>6074</v>
      </c>
      <c r="J6326" s="14">
        <v>200.0</v>
      </c>
      <c r="K6326" s="14">
        <v>14.44</v>
      </c>
      <c r="L6326" s="14">
        <v>0.0</v>
      </c>
    </row>
    <row r="6327">
      <c r="A6327" s="14">
        <v>76.0</v>
      </c>
      <c r="B6327" s="14">
        <v>26.0</v>
      </c>
      <c r="C6327" s="34">
        <v>54.26</v>
      </c>
      <c r="D6327" s="36">
        <v>45459.0</v>
      </c>
      <c r="E6327" s="24"/>
      <c r="F6327" s="14">
        <v>2.09</v>
      </c>
      <c r="G6327" s="14">
        <v>713.95</v>
      </c>
      <c r="H6327" s="14">
        <v>34.21</v>
      </c>
      <c r="I6327" s="14" t="s">
        <v>6072</v>
      </c>
      <c r="J6327" s="14">
        <v>0.0</v>
      </c>
      <c r="K6327" s="14" t="s">
        <v>6012</v>
      </c>
      <c r="L6327" s="14">
        <v>0.0</v>
      </c>
    </row>
    <row r="6328">
      <c r="A6328" s="14">
        <v>71.0</v>
      </c>
      <c r="B6328" s="14">
        <v>34.0</v>
      </c>
      <c r="C6328" s="34">
        <v>51.86</v>
      </c>
      <c r="D6328" s="36">
        <v>45460.0</v>
      </c>
      <c r="E6328" s="24"/>
      <c r="F6328" s="14">
        <v>1.53</v>
      </c>
      <c r="G6328" s="14">
        <v>730.42</v>
      </c>
      <c r="H6328" s="14">
        <v>47.89</v>
      </c>
      <c r="I6328" s="14" t="s">
        <v>6071</v>
      </c>
      <c r="J6328" s="14">
        <v>0.0</v>
      </c>
      <c r="K6328" s="14" t="s">
        <v>6012</v>
      </c>
      <c r="L6328" s="14">
        <v>0.0</v>
      </c>
    </row>
    <row r="6329">
      <c r="A6329" s="14">
        <v>2891.0</v>
      </c>
      <c r="B6329" s="14">
        <v>10.0</v>
      </c>
      <c r="C6329" s="34">
        <v>54.53</v>
      </c>
      <c r="D6329" s="36">
        <v>45460.0</v>
      </c>
      <c r="E6329" s="24"/>
      <c r="F6329" s="14">
        <v>5.45</v>
      </c>
      <c r="G6329" s="14">
        <v>18.86</v>
      </c>
      <c r="H6329" s="14">
        <v>0.35</v>
      </c>
      <c r="I6329" s="14" t="s">
        <v>6074</v>
      </c>
      <c r="J6329" s="14">
        <v>0.0</v>
      </c>
      <c r="K6329" s="14" t="s">
        <v>6012</v>
      </c>
      <c r="L6329" s="14">
        <v>0.0</v>
      </c>
    </row>
    <row r="6330">
      <c r="A6330" s="14">
        <v>3.0</v>
      </c>
      <c r="B6330" s="14">
        <v>2.0</v>
      </c>
      <c r="C6330" s="34">
        <v>2.46</v>
      </c>
      <c r="D6330" s="36">
        <v>45460.0</v>
      </c>
      <c r="E6330" s="24"/>
      <c r="F6330" s="14">
        <v>1.23</v>
      </c>
      <c r="G6330" s="14">
        <v>820.0</v>
      </c>
      <c r="H6330" s="14">
        <v>66.67</v>
      </c>
      <c r="I6330" s="14" t="s">
        <v>6068</v>
      </c>
      <c r="J6330" s="14">
        <v>0.0</v>
      </c>
      <c r="K6330" s="14" t="s">
        <v>6012</v>
      </c>
      <c r="L6330" s="14">
        <v>0.0</v>
      </c>
    </row>
    <row r="6331">
      <c r="A6331" s="14">
        <v>149.0</v>
      </c>
      <c r="B6331" s="14">
        <v>92.0</v>
      </c>
      <c r="C6331" s="34">
        <v>105.61</v>
      </c>
      <c r="D6331" s="36">
        <v>45460.0</v>
      </c>
      <c r="E6331" s="24"/>
      <c r="F6331" s="14">
        <v>1.15</v>
      </c>
      <c r="G6331" s="14">
        <v>708.79</v>
      </c>
      <c r="H6331" s="14">
        <v>61.74</v>
      </c>
      <c r="I6331" s="14" t="s">
        <v>6072</v>
      </c>
      <c r="J6331" s="14">
        <v>0.0</v>
      </c>
      <c r="K6331" s="14" t="s">
        <v>6012</v>
      </c>
      <c r="L6331" s="14">
        <v>1.0</v>
      </c>
    </row>
    <row r="6332">
      <c r="A6332" s="14">
        <v>72.0</v>
      </c>
      <c r="B6332" s="14">
        <v>39.0</v>
      </c>
      <c r="C6332" s="34">
        <v>48.66</v>
      </c>
      <c r="D6332" s="36">
        <v>45460.0</v>
      </c>
      <c r="E6332" s="24"/>
      <c r="F6332" s="14">
        <v>1.25</v>
      </c>
      <c r="G6332" s="14">
        <v>675.83</v>
      </c>
      <c r="H6332" s="14">
        <v>54.17</v>
      </c>
      <c r="I6332" s="14" t="s">
        <v>6067</v>
      </c>
      <c r="J6332" s="14">
        <v>0.0</v>
      </c>
      <c r="K6332" s="14" t="s">
        <v>6012</v>
      </c>
      <c r="L6332" s="14">
        <v>3.0</v>
      </c>
    </row>
    <row r="6333">
      <c r="A6333" s="14">
        <v>135.0</v>
      </c>
      <c r="B6333" s="14">
        <v>88.0</v>
      </c>
      <c r="C6333" s="34">
        <v>104.35</v>
      </c>
      <c r="D6333" s="36">
        <v>45460.0</v>
      </c>
      <c r="E6333" s="24"/>
      <c r="F6333" s="14">
        <v>1.19</v>
      </c>
      <c r="G6333" s="14">
        <v>772.96</v>
      </c>
      <c r="H6333" s="14">
        <v>65.19</v>
      </c>
      <c r="I6333" s="14" t="s">
        <v>6069</v>
      </c>
      <c r="J6333" s="14">
        <v>0.0</v>
      </c>
      <c r="K6333" s="14" t="s">
        <v>6012</v>
      </c>
      <c r="L6333" s="14">
        <v>0.0</v>
      </c>
    </row>
    <row r="6334">
      <c r="A6334" s="14">
        <v>147.0</v>
      </c>
      <c r="B6334" s="14">
        <v>95.0</v>
      </c>
      <c r="C6334" s="34">
        <v>103.16</v>
      </c>
      <c r="D6334" s="36">
        <v>45461.0</v>
      </c>
      <c r="E6334" s="24"/>
      <c r="F6334" s="14">
        <v>1.09</v>
      </c>
      <c r="G6334" s="14">
        <v>701.77</v>
      </c>
      <c r="H6334" s="14">
        <v>64.63</v>
      </c>
      <c r="I6334" s="14" t="s">
        <v>6072</v>
      </c>
      <c r="J6334" s="14">
        <v>0.0</v>
      </c>
      <c r="K6334" s="14" t="s">
        <v>6012</v>
      </c>
      <c r="L6334" s="14">
        <v>1.0</v>
      </c>
    </row>
    <row r="6335">
      <c r="A6335" s="14">
        <v>2093.0</v>
      </c>
      <c r="B6335" s="14">
        <v>9.0</v>
      </c>
      <c r="C6335" s="34">
        <v>55.58</v>
      </c>
      <c r="D6335" s="36">
        <v>45461.0</v>
      </c>
      <c r="E6335" s="24"/>
      <c r="F6335" s="14">
        <v>6.18</v>
      </c>
      <c r="G6335" s="14">
        <v>26.56</v>
      </c>
      <c r="H6335" s="14">
        <v>0.43</v>
      </c>
      <c r="I6335" s="14" t="s">
        <v>6074</v>
      </c>
      <c r="J6335" s="14">
        <v>33.33</v>
      </c>
      <c r="K6335" s="14">
        <v>18.53</v>
      </c>
      <c r="L6335" s="14">
        <v>0.0</v>
      </c>
    </row>
    <row r="6336">
      <c r="A6336" s="14">
        <v>89.0</v>
      </c>
      <c r="B6336" s="14">
        <v>46.0</v>
      </c>
      <c r="C6336" s="34">
        <v>64.38</v>
      </c>
      <c r="D6336" s="36">
        <v>45461.0</v>
      </c>
      <c r="E6336" s="24"/>
      <c r="F6336" s="14">
        <v>1.4</v>
      </c>
      <c r="G6336" s="14">
        <v>723.37</v>
      </c>
      <c r="H6336" s="14">
        <v>51.69</v>
      </c>
      <c r="I6336" s="14" t="s">
        <v>6067</v>
      </c>
      <c r="J6336" s="14">
        <v>2.17</v>
      </c>
      <c r="K6336" s="14">
        <v>64.38</v>
      </c>
      <c r="L6336" s="14">
        <v>1.0</v>
      </c>
    </row>
    <row r="6337">
      <c r="A6337" s="14">
        <v>73.0</v>
      </c>
      <c r="B6337" s="14">
        <v>37.0</v>
      </c>
      <c r="C6337" s="34">
        <v>52.98</v>
      </c>
      <c r="D6337" s="36">
        <v>45461.0</v>
      </c>
      <c r="E6337" s="24"/>
      <c r="F6337" s="14">
        <v>1.43</v>
      </c>
      <c r="G6337" s="14">
        <v>725.75</v>
      </c>
      <c r="H6337" s="14">
        <v>50.68</v>
      </c>
      <c r="I6337" s="14" t="s">
        <v>6071</v>
      </c>
      <c r="J6337" s="14">
        <v>2.7</v>
      </c>
      <c r="K6337" s="14">
        <v>52.98</v>
      </c>
      <c r="L6337" s="14">
        <v>0.0</v>
      </c>
    </row>
    <row r="6338">
      <c r="A6338" s="14">
        <v>158.0</v>
      </c>
      <c r="B6338" s="14">
        <v>112.0</v>
      </c>
      <c r="C6338" s="34">
        <v>112.91</v>
      </c>
      <c r="D6338" s="36">
        <v>45461.0</v>
      </c>
      <c r="E6338" s="24"/>
      <c r="F6338" s="14">
        <v>1.01</v>
      </c>
      <c r="G6338" s="14">
        <v>714.62</v>
      </c>
      <c r="H6338" s="14">
        <v>70.89</v>
      </c>
      <c r="I6338" s="14" t="s">
        <v>6069</v>
      </c>
      <c r="J6338" s="14">
        <v>0.0</v>
      </c>
      <c r="K6338" s="14" t="s">
        <v>6012</v>
      </c>
      <c r="L6338" s="14">
        <v>0.0</v>
      </c>
    </row>
    <row r="6339">
      <c r="A6339" s="14">
        <v>11.0</v>
      </c>
      <c r="B6339" s="14">
        <v>1.0</v>
      </c>
      <c r="C6339" s="34">
        <v>5.98</v>
      </c>
      <c r="D6339" s="36">
        <v>45461.0</v>
      </c>
      <c r="E6339" s="24"/>
      <c r="F6339" s="14">
        <v>5.98</v>
      </c>
      <c r="G6339" s="14">
        <v>543.64</v>
      </c>
      <c r="H6339" s="14">
        <v>9.09</v>
      </c>
      <c r="I6339" s="14" t="s">
        <v>6068</v>
      </c>
      <c r="J6339" s="14">
        <v>0.0</v>
      </c>
      <c r="K6339" s="14" t="s">
        <v>6012</v>
      </c>
      <c r="L6339" s="14">
        <v>0.0</v>
      </c>
    </row>
    <row r="6340">
      <c r="A6340" s="14">
        <v>52.0</v>
      </c>
      <c r="B6340" s="14">
        <v>27.0</v>
      </c>
      <c r="C6340" s="34">
        <v>37.81</v>
      </c>
      <c r="D6340" s="36">
        <v>45462.0</v>
      </c>
      <c r="E6340" s="24"/>
      <c r="F6340" s="14">
        <v>1.4</v>
      </c>
      <c r="G6340" s="14">
        <v>727.12</v>
      </c>
      <c r="H6340" s="14">
        <v>51.92</v>
      </c>
      <c r="I6340" s="14" t="s">
        <v>6071</v>
      </c>
      <c r="J6340" s="14">
        <v>0.0</v>
      </c>
      <c r="K6340" s="14" t="s">
        <v>6012</v>
      </c>
      <c r="L6340" s="14">
        <v>0.0</v>
      </c>
    </row>
    <row r="6341">
      <c r="A6341" s="14">
        <v>158.0</v>
      </c>
      <c r="B6341" s="14">
        <v>94.0</v>
      </c>
      <c r="C6341" s="34">
        <v>112.62</v>
      </c>
      <c r="D6341" s="36">
        <v>45462.0</v>
      </c>
      <c r="E6341" s="24"/>
      <c r="F6341" s="14">
        <v>1.2</v>
      </c>
      <c r="G6341" s="14">
        <v>712.78</v>
      </c>
      <c r="H6341" s="14">
        <v>59.49</v>
      </c>
      <c r="I6341" s="14" t="s">
        <v>6069</v>
      </c>
      <c r="J6341" s="14">
        <v>0.0</v>
      </c>
      <c r="K6341" s="14" t="s">
        <v>6012</v>
      </c>
      <c r="L6341" s="14">
        <v>2.0</v>
      </c>
    </row>
    <row r="6342">
      <c r="A6342" s="14">
        <v>1291.0</v>
      </c>
      <c r="B6342" s="14">
        <v>3.0</v>
      </c>
      <c r="C6342" s="34">
        <v>55.73</v>
      </c>
      <c r="D6342" s="36">
        <v>45462.0</v>
      </c>
      <c r="E6342" s="24"/>
      <c r="F6342" s="14">
        <v>18.58</v>
      </c>
      <c r="G6342" s="14">
        <v>43.17</v>
      </c>
      <c r="H6342" s="14">
        <v>0.23</v>
      </c>
      <c r="I6342" s="14" t="s">
        <v>6074</v>
      </c>
      <c r="J6342" s="14">
        <v>100.0</v>
      </c>
      <c r="K6342" s="14">
        <v>18.58</v>
      </c>
      <c r="L6342" s="14">
        <v>0.0</v>
      </c>
    </row>
    <row r="6343">
      <c r="A6343" s="14">
        <v>63.0</v>
      </c>
      <c r="B6343" s="14">
        <v>25.0</v>
      </c>
      <c r="C6343" s="34">
        <v>46.95</v>
      </c>
      <c r="D6343" s="36">
        <v>45462.0</v>
      </c>
      <c r="E6343" s="24"/>
      <c r="F6343" s="14">
        <v>1.88</v>
      </c>
      <c r="G6343" s="14">
        <v>745.24</v>
      </c>
      <c r="H6343" s="14">
        <v>39.68</v>
      </c>
      <c r="I6343" s="14" t="s">
        <v>6067</v>
      </c>
      <c r="J6343" s="14">
        <v>0.0</v>
      </c>
      <c r="K6343" s="14" t="s">
        <v>6012</v>
      </c>
      <c r="L6343" s="14">
        <v>0.0</v>
      </c>
    </row>
    <row r="6344">
      <c r="A6344" s="14">
        <v>17.0</v>
      </c>
      <c r="B6344" s="14">
        <v>8.0</v>
      </c>
      <c r="C6344" s="34">
        <v>13.76</v>
      </c>
      <c r="D6344" s="36">
        <v>45462.0</v>
      </c>
      <c r="E6344" s="24"/>
      <c r="F6344" s="14">
        <v>1.72</v>
      </c>
      <c r="G6344" s="14">
        <v>809.41</v>
      </c>
      <c r="H6344" s="14">
        <v>47.06</v>
      </c>
      <c r="I6344" s="14" t="s">
        <v>6068</v>
      </c>
      <c r="J6344" s="14">
        <v>0.0</v>
      </c>
      <c r="K6344" s="14" t="s">
        <v>6012</v>
      </c>
      <c r="L6344" s="14">
        <v>0.0</v>
      </c>
    </row>
    <row r="6345">
      <c r="A6345" s="14">
        <v>136.0</v>
      </c>
      <c r="B6345" s="14">
        <v>84.0</v>
      </c>
      <c r="C6345" s="34">
        <v>97.66</v>
      </c>
      <c r="D6345" s="36">
        <v>45462.0</v>
      </c>
      <c r="E6345" s="24"/>
      <c r="F6345" s="14">
        <v>1.16</v>
      </c>
      <c r="G6345" s="14">
        <v>718.09</v>
      </c>
      <c r="H6345" s="14">
        <v>61.76</v>
      </c>
      <c r="I6345" s="14" t="s">
        <v>6072</v>
      </c>
      <c r="J6345" s="14">
        <v>0.0</v>
      </c>
      <c r="K6345" s="14" t="s">
        <v>6012</v>
      </c>
      <c r="L6345" s="14">
        <v>0.0</v>
      </c>
    </row>
    <row r="6346">
      <c r="A6346" s="14">
        <v>88.0</v>
      </c>
      <c r="B6346" s="14">
        <v>50.0</v>
      </c>
      <c r="C6346" s="34">
        <v>66.33</v>
      </c>
      <c r="D6346" s="36">
        <v>45463.0</v>
      </c>
      <c r="E6346" s="24"/>
      <c r="F6346" s="14">
        <v>1.33</v>
      </c>
      <c r="G6346" s="14">
        <v>753.75</v>
      </c>
      <c r="H6346" s="14">
        <v>56.82</v>
      </c>
      <c r="I6346" s="14" t="s">
        <v>6067</v>
      </c>
      <c r="J6346" s="14">
        <v>0.0</v>
      </c>
      <c r="K6346" s="14" t="s">
        <v>6012</v>
      </c>
      <c r="L6346" s="14">
        <v>0.0</v>
      </c>
    </row>
    <row r="6347">
      <c r="A6347" s="14">
        <v>148.0</v>
      </c>
      <c r="B6347" s="14">
        <v>101.0</v>
      </c>
      <c r="C6347" s="34">
        <v>112.62</v>
      </c>
      <c r="D6347" s="36">
        <v>45463.0</v>
      </c>
      <c r="E6347" s="24"/>
      <c r="F6347" s="14">
        <v>1.12</v>
      </c>
      <c r="G6347" s="14">
        <v>760.95</v>
      </c>
      <c r="H6347" s="14">
        <v>68.24</v>
      </c>
      <c r="I6347" s="14" t="s">
        <v>6069</v>
      </c>
      <c r="J6347" s="14">
        <v>0.0</v>
      </c>
      <c r="K6347" s="14" t="s">
        <v>6012</v>
      </c>
      <c r="L6347" s="14">
        <v>0.0</v>
      </c>
    </row>
    <row r="6348">
      <c r="A6348" s="14">
        <v>95.0</v>
      </c>
      <c r="B6348" s="14">
        <v>48.0</v>
      </c>
      <c r="C6348" s="34">
        <v>68.84</v>
      </c>
      <c r="D6348" s="36">
        <v>45463.0</v>
      </c>
      <c r="E6348" s="24"/>
      <c r="F6348" s="14">
        <v>1.43</v>
      </c>
      <c r="G6348" s="14">
        <v>724.63</v>
      </c>
      <c r="H6348" s="14">
        <v>50.53</v>
      </c>
      <c r="I6348" s="14" t="s">
        <v>6071</v>
      </c>
      <c r="J6348" s="14">
        <v>2.08</v>
      </c>
      <c r="K6348" s="14">
        <v>68.84</v>
      </c>
      <c r="L6348" s="14">
        <v>3.0</v>
      </c>
    </row>
    <row r="6349">
      <c r="A6349" s="14">
        <v>18.0</v>
      </c>
      <c r="B6349" s="14">
        <v>8.0</v>
      </c>
      <c r="C6349" s="34">
        <v>13.46</v>
      </c>
      <c r="D6349" s="36">
        <v>45463.0</v>
      </c>
      <c r="E6349" s="24"/>
      <c r="F6349" s="14">
        <v>1.68</v>
      </c>
      <c r="G6349" s="14">
        <v>747.78</v>
      </c>
      <c r="H6349" s="14">
        <v>44.44</v>
      </c>
      <c r="I6349" s="14" t="s">
        <v>6068</v>
      </c>
      <c r="J6349" s="14">
        <v>0.0</v>
      </c>
      <c r="K6349" s="14" t="s">
        <v>6012</v>
      </c>
      <c r="L6349" s="14">
        <v>0.0</v>
      </c>
    </row>
    <row r="6350">
      <c r="A6350" s="14">
        <v>1451.0</v>
      </c>
      <c r="B6350" s="14">
        <v>5.0</v>
      </c>
      <c r="C6350" s="34">
        <v>55.91</v>
      </c>
      <c r="D6350" s="36">
        <v>45463.0</v>
      </c>
      <c r="E6350" s="24"/>
      <c r="F6350" s="14">
        <v>11.18</v>
      </c>
      <c r="G6350" s="14">
        <v>38.53</v>
      </c>
      <c r="H6350" s="14">
        <v>0.34</v>
      </c>
      <c r="I6350" s="14" t="s">
        <v>6074</v>
      </c>
      <c r="J6350" s="14">
        <v>20.0</v>
      </c>
      <c r="K6350" s="14">
        <v>55.91</v>
      </c>
      <c r="L6350" s="14">
        <v>0.0</v>
      </c>
    </row>
    <row r="6351">
      <c r="A6351" s="14">
        <v>161.0</v>
      </c>
      <c r="B6351" s="14">
        <v>88.0</v>
      </c>
      <c r="C6351" s="34">
        <v>112.99</v>
      </c>
      <c r="D6351" s="36">
        <v>45463.0</v>
      </c>
      <c r="E6351" s="24"/>
      <c r="F6351" s="14">
        <v>1.28</v>
      </c>
      <c r="G6351" s="14">
        <v>701.8</v>
      </c>
      <c r="H6351" s="14">
        <v>54.66</v>
      </c>
      <c r="I6351" s="14" t="s">
        <v>6072</v>
      </c>
      <c r="J6351" s="14">
        <v>1.14</v>
      </c>
      <c r="K6351" s="14">
        <v>112.99</v>
      </c>
      <c r="L6351" s="14">
        <v>0.0</v>
      </c>
    </row>
    <row r="6352">
      <c r="A6352" s="14">
        <v>25.0</v>
      </c>
      <c r="B6352" s="14">
        <v>9.0</v>
      </c>
      <c r="C6352" s="34">
        <v>18.47</v>
      </c>
      <c r="D6352" s="36">
        <v>45464.0</v>
      </c>
      <c r="E6352" s="24"/>
      <c r="F6352" s="14">
        <v>2.05</v>
      </c>
      <c r="G6352" s="14">
        <v>738.8</v>
      </c>
      <c r="H6352" s="14">
        <v>36.0</v>
      </c>
      <c r="I6352" s="14" t="s">
        <v>6068</v>
      </c>
      <c r="J6352" s="14">
        <v>0.0</v>
      </c>
      <c r="K6352" s="14" t="s">
        <v>6012</v>
      </c>
      <c r="L6352" s="14">
        <v>0.0</v>
      </c>
    </row>
    <row r="6353">
      <c r="A6353" s="14">
        <v>1617.0</v>
      </c>
      <c r="B6353" s="14">
        <v>5.0</v>
      </c>
      <c r="C6353" s="34">
        <v>53.37</v>
      </c>
      <c r="D6353" s="36">
        <v>45464.0</v>
      </c>
      <c r="E6353" s="24"/>
      <c r="F6353" s="14">
        <v>10.67</v>
      </c>
      <c r="G6353" s="14">
        <v>33.01</v>
      </c>
      <c r="H6353" s="14">
        <v>0.31</v>
      </c>
      <c r="I6353" s="14" t="s">
        <v>6074</v>
      </c>
      <c r="J6353" s="14">
        <v>0.0</v>
      </c>
      <c r="K6353" s="14" t="s">
        <v>6012</v>
      </c>
      <c r="L6353" s="14">
        <v>0.0</v>
      </c>
    </row>
    <row r="6354">
      <c r="A6354" s="14">
        <v>132.0</v>
      </c>
      <c r="B6354" s="14">
        <v>68.0</v>
      </c>
      <c r="C6354" s="34">
        <v>95.36</v>
      </c>
      <c r="D6354" s="36">
        <v>45464.0</v>
      </c>
      <c r="E6354" s="24"/>
      <c r="F6354" s="14">
        <v>1.4</v>
      </c>
      <c r="G6354" s="14">
        <v>722.42</v>
      </c>
      <c r="H6354" s="14">
        <v>51.52</v>
      </c>
      <c r="I6354" s="14" t="s">
        <v>6072</v>
      </c>
      <c r="J6354" s="14">
        <v>0.0</v>
      </c>
      <c r="K6354" s="14" t="s">
        <v>6012</v>
      </c>
      <c r="L6354" s="14">
        <v>1.0</v>
      </c>
    </row>
    <row r="6355">
      <c r="A6355" s="14">
        <v>113.0</v>
      </c>
      <c r="B6355" s="14">
        <v>52.0</v>
      </c>
      <c r="C6355" s="34">
        <v>85.62</v>
      </c>
      <c r="D6355" s="36">
        <v>45464.0</v>
      </c>
      <c r="E6355" s="24"/>
      <c r="F6355" s="14">
        <v>1.65</v>
      </c>
      <c r="G6355" s="14">
        <v>757.7</v>
      </c>
      <c r="H6355" s="14">
        <v>46.02</v>
      </c>
      <c r="I6355" s="14" t="s">
        <v>6067</v>
      </c>
      <c r="J6355" s="14">
        <v>0.0</v>
      </c>
      <c r="K6355" s="14" t="s">
        <v>6012</v>
      </c>
      <c r="L6355" s="14">
        <v>1.0</v>
      </c>
    </row>
    <row r="6356">
      <c r="A6356" s="14">
        <v>135.0</v>
      </c>
      <c r="B6356" s="14">
        <v>71.0</v>
      </c>
      <c r="C6356" s="34">
        <v>95.08</v>
      </c>
      <c r="D6356" s="36">
        <v>45464.0</v>
      </c>
      <c r="E6356" s="24"/>
      <c r="F6356" s="14">
        <v>1.34</v>
      </c>
      <c r="G6356" s="14">
        <v>704.3</v>
      </c>
      <c r="H6356" s="14">
        <v>52.59</v>
      </c>
      <c r="I6356" s="14" t="s">
        <v>6069</v>
      </c>
      <c r="J6356" s="14">
        <v>1.41</v>
      </c>
      <c r="K6356" s="14">
        <v>95.08</v>
      </c>
      <c r="L6356" s="14">
        <v>0.0</v>
      </c>
    </row>
    <row r="6357">
      <c r="A6357" s="14">
        <v>118.0</v>
      </c>
      <c r="B6357" s="14">
        <v>53.0</v>
      </c>
      <c r="C6357" s="34">
        <v>83.3</v>
      </c>
      <c r="D6357" s="36">
        <v>45464.0</v>
      </c>
      <c r="E6357" s="24"/>
      <c r="F6357" s="14">
        <v>1.57</v>
      </c>
      <c r="G6357" s="14">
        <v>705.93</v>
      </c>
      <c r="H6357" s="14">
        <v>44.92</v>
      </c>
      <c r="I6357" s="14" t="s">
        <v>6071</v>
      </c>
      <c r="J6357" s="14">
        <v>0.0</v>
      </c>
      <c r="K6357" s="14" t="s">
        <v>6012</v>
      </c>
      <c r="L6357" s="14">
        <v>1.0</v>
      </c>
    </row>
    <row r="6358">
      <c r="A6358" s="14">
        <v>88.0</v>
      </c>
      <c r="B6358" s="14">
        <v>27.0</v>
      </c>
      <c r="C6358" s="34">
        <v>59.32</v>
      </c>
      <c r="D6358" s="36">
        <v>45465.0</v>
      </c>
      <c r="E6358" s="24"/>
      <c r="F6358" s="14">
        <v>2.2</v>
      </c>
      <c r="G6358" s="14">
        <v>674.09</v>
      </c>
      <c r="H6358" s="14">
        <v>30.68</v>
      </c>
      <c r="I6358" s="14" t="s">
        <v>6067</v>
      </c>
      <c r="J6358" s="14">
        <v>0.0</v>
      </c>
      <c r="K6358" s="14" t="s">
        <v>6012</v>
      </c>
      <c r="L6358" s="14">
        <v>1.0</v>
      </c>
    </row>
    <row r="6359">
      <c r="A6359" s="14">
        <v>103.0</v>
      </c>
      <c r="B6359" s="14">
        <v>59.0</v>
      </c>
      <c r="C6359" s="34">
        <v>71.1</v>
      </c>
      <c r="D6359" s="36">
        <v>45465.0</v>
      </c>
      <c r="E6359" s="24"/>
      <c r="F6359" s="14">
        <v>1.21</v>
      </c>
      <c r="G6359" s="14">
        <v>690.29</v>
      </c>
      <c r="H6359" s="14">
        <v>57.28</v>
      </c>
      <c r="I6359" s="14" t="s">
        <v>6069</v>
      </c>
      <c r="J6359" s="14">
        <v>0.0</v>
      </c>
      <c r="K6359" s="14" t="s">
        <v>6012</v>
      </c>
      <c r="L6359" s="14">
        <v>0.0</v>
      </c>
    </row>
    <row r="6360">
      <c r="A6360" s="14">
        <v>29.0</v>
      </c>
      <c r="B6360" s="14">
        <v>4.0</v>
      </c>
      <c r="C6360" s="34">
        <v>18.49</v>
      </c>
      <c r="D6360" s="36">
        <v>45465.0</v>
      </c>
      <c r="E6360" s="24"/>
      <c r="F6360" s="14">
        <v>4.62</v>
      </c>
      <c r="G6360" s="14">
        <v>637.59</v>
      </c>
      <c r="H6360" s="14">
        <v>13.79</v>
      </c>
      <c r="I6360" s="14" t="s">
        <v>6068</v>
      </c>
      <c r="J6360" s="14">
        <v>0.0</v>
      </c>
      <c r="K6360" s="14" t="s">
        <v>6012</v>
      </c>
      <c r="L6360" s="14">
        <v>0.0</v>
      </c>
    </row>
    <row r="6361">
      <c r="A6361" s="14">
        <v>90.0</v>
      </c>
      <c r="B6361" s="14">
        <v>36.0</v>
      </c>
      <c r="C6361" s="34">
        <v>65.72</v>
      </c>
      <c r="D6361" s="36">
        <v>45465.0</v>
      </c>
      <c r="E6361" s="24"/>
      <c r="F6361" s="14">
        <v>1.83</v>
      </c>
      <c r="G6361" s="14">
        <v>730.22</v>
      </c>
      <c r="H6361" s="14">
        <v>40.0</v>
      </c>
      <c r="I6361" s="14" t="s">
        <v>6071</v>
      </c>
      <c r="J6361" s="14">
        <v>0.0</v>
      </c>
      <c r="K6361" s="14" t="s">
        <v>6012</v>
      </c>
      <c r="L6361" s="14">
        <v>1.0</v>
      </c>
    </row>
    <row r="6362">
      <c r="A6362" s="14">
        <v>115.0</v>
      </c>
      <c r="B6362" s="14">
        <v>39.0</v>
      </c>
      <c r="C6362" s="34">
        <v>70.74</v>
      </c>
      <c r="D6362" s="36">
        <v>45465.0</v>
      </c>
      <c r="E6362" s="24"/>
      <c r="F6362" s="14">
        <v>1.81</v>
      </c>
      <c r="G6362" s="14">
        <v>615.13</v>
      </c>
      <c r="H6362" s="14">
        <v>33.91</v>
      </c>
      <c r="I6362" s="14" t="s">
        <v>6072</v>
      </c>
      <c r="J6362" s="14">
        <v>0.0</v>
      </c>
      <c r="K6362" s="14" t="s">
        <v>6012</v>
      </c>
      <c r="L6362" s="14">
        <v>0.0</v>
      </c>
    </row>
    <row r="6363">
      <c r="A6363" s="14">
        <v>968.0</v>
      </c>
      <c r="B6363" s="14">
        <v>3.0</v>
      </c>
      <c r="C6363" s="34">
        <v>38.65</v>
      </c>
      <c r="D6363" s="36">
        <v>45465.0</v>
      </c>
      <c r="E6363" s="24"/>
      <c r="F6363" s="14">
        <v>12.88</v>
      </c>
      <c r="G6363" s="14">
        <v>39.93</v>
      </c>
      <c r="H6363" s="14">
        <v>0.31</v>
      </c>
      <c r="I6363" s="14" t="s">
        <v>6074</v>
      </c>
      <c r="J6363" s="14">
        <v>33.33</v>
      </c>
      <c r="K6363" s="14">
        <v>38.65</v>
      </c>
      <c r="L6363" s="14">
        <v>0.0</v>
      </c>
    </row>
    <row r="6364">
      <c r="A6364" s="14">
        <v>12.0</v>
      </c>
      <c r="B6364" s="14">
        <v>2.0</v>
      </c>
      <c r="C6364" s="34">
        <v>8.02</v>
      </c>
      <c r="D6364" s="36">
        <v>45466.0</v>
      </c>
      <c r="E6364" s="24"/>
      <c r="F6364" s="14">
        <v>4.01</v>
      </c>
      <c r="G6364" s="14">
        <v>668.33</v>
      </c>
      <c r="H6364" s="14">
        <v>16.67</v>
      </c>
      <c r="I6364" s="14" t="s">
        <v>6068</v>
      </c>
      <c r="J6364" s="14">
        <v>0.0</v>
      </c>
      <c r="K6364" s="14" t="s">
        <v>6012</v>
      </c>
      <c r="L6364" s="14">
        <v>0.0</v>
      </c>
    </row>
    <row r="6365">
      <c r="A6365" s="14">
        <v>80.0</v>
      </c>
      <c r="B6365" s="14">
        <v>30.0</v>
      </c>
      <c r="C6365" s="34">
        <v>54.19</v>
      </c>
      <c r="D6365" s="36">
        <v>45466.0</v>
      </c>
      <c r="E6365" s="24"/>
      <c r="F6365" s="14">
        <v>1.81</v>
      </c>
      <c r="G6365" s="14">
        <v>677.38</v>
      </c>
      <c r="H6365" s="14">
        <v>37.5</v>
      </c>
      <c r="I6365" s="14" t="s">
        <v>6071</v>
      </c>
      <c r="J6365" s="14">
        <v>0.0</v>
      </c>
      <c r="K6365" s="14" t="s">
        <v>6012</v>
      </c>
      <c r="L6365" s="14">
        <v>1.0</v>
      </c>
    </row>
    <row r="6366">
      <c r="A6366" s="14">
        <v>77.0</v>
      </c>
      <c r="B6366" s="14">
        <v>20.0</v>
      </c>
      <c r="C6366" s="34">
        <v>60.24</v>
      </c>
      <c r="D6366" s="36">
        <v>45466.0</v>
      </c>
      <c r="E6366" s="24"/>
      <c r="F6366" s="14">
        <v>3.01</v>
      </c>
      <c r="G6366" s="14">
        <v>782.34</v>
      </c>
      <c r="H6366" s="14">
        <v>25.97</v>
      </c>
      <c r="I6366" s="14" t="s">
        <v>6067</v>
      </c>
      <c r="J6366" s="14">
        <v>0.0</v>
      </c>
      <c r="K6366" s="14" t="s">
        <v>6012</v>
      </c>
      <c r="L6366" s="14">
        <v>2.0</v>
      </c>
    </row>
    <row r="6367">
      <c r="A6367" s="14">
        <v>97.0</v>
      </c>
      <c r="B6367" s="14">
        <v>38.0</v>
      </c>
      <c r="C6367" s="34">
        <v>64.07</v>
      </c>
      <c r="D6367" s="36">
        <v>45466.0</v>
      </c>
      <c r="E6367" s="24"/>
      <c r="F6367" s="14">
        <v>1.69</v>
      </c>
      <c r="G6367" s="14">
        <v>660.52</v>
      </c>
      <c r="H6367" s="14">
        <v>39.18</v>
      </c>
      <c r="I6367" s="14" t="s">
        <v>6072</v>
      </c>
      <c r="J6367" s="14">
        <v>0.0</v>
      </c>
      <c r="K6367" s="14" t="s">
        <v>6012</v>
      </c>
      <c r="L6367" s="14">
        <v>0.0</v>
      </c>
    </row>
    <row r="6368">
      <c r="A6368" s="14">
        <v>83.0</v>
      </c>
      <c r="B6368" s="14">
        <v>46.0</v>
      </c>
      <c r="C6368" s="34">
        <v>63.66</v>
      </c>
      <c r="D6368" s="36">
        <v>45466.0</v>
      </c>
      <c r="E6368" s="24"/>
      <c r="F6368" s="14">
        <v>1.38</v>
      </c>
      <c r="G6368" s="14">
        <v>766.99</v>
      </c>
      <c r="H6368" s="14">
        <v>55.42</v>
      </c>
      <c r="I6368" s="14" t="s">
        <v>6069</v>
      </c>
      <c r="J6368" s="14">
        <v>0.0</v>
      </c>
      <c r="K6368" s="14" t="s">
        <v>6012</v>
      </c>
      <c r="L6368" s="14">
        <v>1.0</v>
      </c>
    </row>
    <row r="6369">
      <c r="A6369" s="14">
        <v>838.0</v>
      </c>
      <c r="B6369" s="14">
        <v>3.0</v>
      </c>
      <c r="C6369" s="34">
        <v>36.23</v>
      </c>
      <c r="D6369" s="36">
        <v>45466.0</v>
      </c>
      <c r="E6369" s="24"/>
      <c r="F6369" s="14">
        <v>12.08</v>
      </c>
      <c r="G6369" s="14">
        <v>43.23</v>
      </c>
      <c r="H6369" s="14">
        <v>0.36</v>
      </c>
      <c r="I6369" s="14" t="s">
        <v>6074</v>
      </c>
      <c r="J6369" s="14">
        <v>33.33</v>
      </c>
      <c r="K6369" s="14">
        <v>36.23</v>
      </c>
      <c r="L6369" s="14">
        <v>0.0</v>
      </c>
    </row>
    <row r="6370">
      <c r="A6370" s="14">
        <v>113.0</v>
      </c>
      <c r="B6370" s="14">
        <v>76.0</v>
      </c>
      <c r="C6370" s="34">
        <v>77.3</v>
      </c>
      <c r="D6370" s="36">
        <v>45467.0</v>
      </c>
      <c r="E6370" s="24"/>
      <c r="F6370" s="14">
        <v>1.02</v>
      </c>
      <c r="G6370" s="14">
        <v>684.07</v>
      </c>
      <c r="H6370" s="14">
        <v>67.26</v>
      </c>
      <c r="I6370" s="14" t="s">
        <v>6071</v>
      </c>
      <c r="J6370" s="14">
        <v>1.32</v>
      </c>
      <c r="K6370" s="14">
        <v>77.3</v>
      </c>
      <c r="L6370" s="14">
        <v>5.0</v>
      </c>
    </row>
    <row r="6371">
      <c r="A6371" s="14">
        <v>50.0</v>
      </c>
      <c r="B6371" s="14">
        <v>16.0</v>
      </c>
      <c r="C6371" s="34">
        <v>37.87</v>
      </c>
      <c r="D6371" s="36">
        <v>45467.0</v>
      </c>
      <c r="E6371" s="24"/>
      <c r="F6371" s="14">
        <v>2.37</v>
      </c>
      <c r="G6371" s="14">
        <v>757.4</v>
      </c>
      <c r="H6371" s="14">
        <v>32.0</v>
      </c>
      <c r="I6371" s="14" t="s">
        <v>6068</v>
      </c>
      <c r="J6371" s="14">
        <v>0.0</v>
      </c>
      <c r="K6371" s="14" t="s">
        <v>6012</v>
      </c>
      <c r="L6371" s="14">
        <v>0.0</v>
      </c>
    </row>
    <row r="6372">
      <c r="A6372" s="14">
        <v>110.0</v>
      </c>
      <c r="B6372" s="14">
        <v>67.0</v>
      </c>
      <c r="C6372" s="34">
        <v>77.47</v>
      </c>
      <c r="D6372" s="36">
        <v>45467.0</v>
      </c>
      <c r="E6372" s="24"/>
      <c r="F6372" s="14">
        <v>1.16</v>
      </c>
      <c r="G6372" s="14">
        <v>704.27</v>
      </c>
      <c r="H6372" s="14">
        <v>60.91</v>
      </c>
      <c r="I6372" s="14" t="s">
        <v>6067</v>
      </c>
      <c r="J6372" s="14">
        <v>1.49</v>
      </c>
      <c r="K6372" s="14">
        <v>77.47</v>
      </c>
      <c r="L6372" s="14">
        <v>1.0</v>
      </c>
    </row>
    <row r="6373">
      <c r="A6373" s="14">
        <v>1756.0</v>
      </c>
      <c r="B6373" s="14">
        <v>5.0</v>
      </c>
      <c r="C6373" s="34">
        <v>55.0</v>
      </c>
      <c r="D6373" s="36">
        <v>45467.0</v>
      </c>
      <c r="E6373" s="24"/>
      <c r="F6373" s="14">
        <v>11.0</v>
      </c>
      <c r="G6373" s="14">
        <v>31.32</v>
      </c>
      <c r="H6373" s="14">
        <v>0.28</v>
      </c>
      <c r="I6373" s="14" t="s">
        <v>6074</v>
      </c>
      <c r="J6373" s="14">
        <v>20.0</v>
      </c>
      <c r="K6373" s="14">
        <v>55.0</v>
      </c>
      <c r="L6373" s="14">
        <v>0.0</v>
      </c>
    </row>
    <row r="6374">
      <c r="A6374" s="14">
        <v>110.0</v>
      </c>
      <c r="B6374" s="14">
        <v>102.0</v>
      </c>
      <c r="C6374" s="34">
        <v>77.68</v>
      </c>
      <c r="D6374" s="36">
        <v>45467.0</v>
      </c>
      <c r="E6374" s="24"/>
      <c r="F6374" s="14">
        <v>0.76</v>
      </c>
      <c r="G6374" s="14">
        <v>706.18</v>
      </c>
      <c r="H6374" s="14">
        <v>92.73</v>
      </c>
      <c r="I6374" s="14" t="s">
        <v>6072</v>
      </c>
      <c r="J6374" s="14">
        <v>0.0</v>
      </c>
      <c r="K6374" s="14" t="s">
        <v>6012</v>
      </c>
      <c r="L6374" s="14">
        <v>0.0</v>
      </c>
    </row>
    <row r="6375">
      <c r="A6375" s="14">
        <v>107.0</v>
      </c>
      <c r="B6375" s="14">
        <v>81.0</v>
      </c>
      <c r="C6375" s="34">
        <v>77.23</v>
      </c>
      <c r="D6375" s="36">
        <v>45467.0</v>
      </c>
      <c r="E6375" s="24"/>
      <c r="F6375" s="14">
        <v>0.95</v>
      </c>
      <c r="G6375" s="14">
        <v>721.78</v>
      </c>
      <c r="H6375" s="14">
        <v>75.7</v>
      </c>
      <c r="I6375" s="14" t="s">
        <v>6069</v>
      </c>
      <c r="J6375" s="14">
        <v>0.0</v>
      </c>
      <c r="K6375" s="14" t="s">
        <v>6012</v>
      </c>
      <c r="L6375" s="14">
        <v>0.0</v>
      </c>
    </row>
    <row r="6376">
      <c r="A6376" s="14">
        <v>107.0</v>
      </c>
      <c r="B6376" s="14">
        <v>54.0</v>
      </c>
      <c r="C6376" s="34">
        <v>73.19</v>
      </c>
      <c r="D6376" s="36">
        <v>45468.0</v>
      </c>
      <c r="E6376" s="24"/>
      <c r="F6376" s="14">
        <v>1.36</v>
      </c>
      <c r="G6376" s="14">
        <v>684.02</v>
      </c>
      <c r="H6376" s="14">
        <v>50.47</v>
      </c>
      <c r="I6376" s="14" t="s">
        <v>6067</v>
      </c>
      <c r="J6376" s="14">
        <v>3.7</v>
      </c>
      <c r="K6376" s="14">
        <v>36.6</v>
      </c>
      <c r="L6376" s="14">
        <v>3.0</v>
      </c>
    </row>
    <row r="6377">
      <c r="A6377" s="14">
        <v>31.0</v>
      </c>
      <c r="B6377" s="14">
        <v>17.0</v>
      </c>
      <c r="C6377" s="34">
        <v>21.22</v>
      </c>
      <c r="D6377" s="36">
        <v>45468.0</v>
      </c>
      <c r="E6377" s="24"/>
      <c r="F6377" s="14">
        <v>1.25</v>
      </c>
      <c r="G6377" s="14">
        <v>684.52</v>
      </c>
      <c r="H6377" s="14">
        <v>54.84</v>
      </c>
      <c r="I6377" s="14" t="s">
        <v>6068</v>
      </c>
      <c r="J6377" s="14">
        <v>0.0</v>
      </c>
      <c r="K6377" s="14" t="s">
        <v>6012</v>
      </c>
      <c r="L6377" s="14">
        <v>0.0</v>
      </c>
    </row>
    <row r="6378">
      <c r="A6378" s="14">
        <v>116.0</v>
      </c>
      <c r="B6378" s="14">
        <v>55.0</v>
      </c>
      <c r="C6378" s="34">
        <v>78.33</v>
      </c>
      <c r="D6378" s="36">
        <v>45468.0</v>
      </c>
      <c r="E6378" s="24"/>
      <c r="F6378" s="14">
        <v>1.42</v>
      </c>
      <c r="G6378" s="14">
        <v>675.26</v>
      </c>
      <c r="H6378" s="14">
        <v>47.41</v>
      </c>
      <c r="I6378" s="14" t="s">
        <v>6069</v>
      </c>
      <c r="J6378" s="14">
        <v>0.0</v>
      </c>
      <c r="K6378" s="14" t="s">
        <v>6012</v>
      </c>
      <c r="L6378" s="14">
        <v>0.0</v>
      </c>
    </row>
    <row r="6379">
      <c r="A6379" s="14">
        <v>1828.0</v>
      </c>
      <c r="B6379" s="14">
        <v>10.0</v>
      </c>
      <c r="C6379" s="34">
        <v>56.21</v>
      </c>
      <c r="D6379" s="36">
        <v>45468.0</v>
      </c>
      <c r="E6379" s="24"/>
      <c r="F6379" s="14">
        <v>5.62</v>
      </c>
      <c r="G6379" s="14">
        <v>30.75</v>
      </c>
      <c r="H6379" s="14">
        <v>0.55</v>
      </c>
      <c r="I6379" s="14" t="s">
        <v>6074</v>
      </c>
      <c r="J6379" s="14">
        <v>40.0</v>
      </c>
      <c r="K6379" s="14">
        <v>14.05</v>
      </c>
      <c r="L6379" s="14">
        <v>0.0</v>
      </c>
    </row>
    <row r="6380">
      <c r="A6380" s="14">
        <v>114.0</v>
      </c>
      <c r="B6380" s="14">
        <v>62.0</v>
      </c>
      <c r="C6380" s="34">
        <v>79.61</v>
      </c>
      <c r="D6380" s="36">
        <v>45468.0</v>
      </c>
      <c r="E6380" s="24"/>
      <c r="F6380" s="14">
        <v>1.28</v>
      </c>
      <c r="G6380" s="14">
        <v>698.33</v>
      </c>
      <c r="H6380" s="14">
        <v>54.39</v>
      </c>
      <c r="I6380" s="14" t="s">
        <v>6072</v>
      </c>
      <c r="J6380" s="14">
        <v>1.61</v>
      </c>
      <c r="K6380" s="14">
        <v>79.61</v>
      </c>
      <c r="L6380" s="14">
        <v>0.0</v>
      </c>
    </row>
    <row r="6381">
      <c r="A6381" s="14">
        <v>104.0</v>
      </c>
      <c r="B6381" s="14">
        <v>50.0</v>
      </c>
      <c r="C6381" s="34">
        <v>76.94</v>
      </c>
      <c r="D6381" s="36">
        <v>45468.0</v>
      </c>
      <c r="E6381" s="24"/>
      <c r="F6381" s="14">
        <v>1.54</v>
      </c>
      <c r="G6381" s="14">
        <v>739.81</v>
      </c>
      <c r="H6381" s="14">
        <v>48.08</v>
      </c>
      <c r="I6381" s="14" t="s">
        <v>6071</v>
      </c>
      <c r="J6381" s="14">
        <v>0.0</v>
      </c>
      <c r="K6381" s="14" t="s">
        <v>6012</v>
      </c>
      <c r="L6381" s="14">
        <v>0.0</v>
      </c>
    </row>
    <row r="6382">
      <c r="A6382" s="14">
        <v>91.0</v>
      </c>
      <c r="B6382" s="14">
        <v>48.0</v>
      </c>
      <c r="C6382" s="34">
        <v>69.34</v>
      </c>
      <c r="D6382" s="36">
        <v>45469.0</v>
      </c>
      <c r="E6382" s="24"/>
      <c r="F6382" s="14">
        <v>1.44</v>
      </c>
      <c r="G6382" s="14">
        <v>761.98</v>
      </c>
      <c r="H6382" s="14">
        <v>52.75</v>
      </c>
      <c r="I6382" s="14" t="s">
        <v>6071</v>
      </c>
      <c r="J6382" s="14">
        <v>2.08</v>
      </c>
      <c r="K6382" s="14">
        <v>69.34</v>
      </c>
      <c r="L6382" s="14">
        <v>2.0</v>
      </c>
    </row>
    <row r="6383">
      <c r="A6383" s="14">
        <v>71.0</v>
      </c>
      <c r="B6383" s="14">
        <v>47.0</v>
      </c>
      <c r="C6383" s="34">
        <v>54.99</v>
      </c>
      <c r="D6383" s="36">
        <v>45469.0</v>
      </c>
      <c r="E6383" s="24"/>
      <c r="F6383" s="14">
        <v>1.17</v>
      </c>
      <c r="G6383" s="14">
        <v>774.51</v>
      </c>
      <c r="H6383" s="14">
        <v>66.2</v>
      </c>
      <c r="I6383" s="14" t="s">
        <v>6067</v>
      </c>
      <c r="J6383" s="14">
        <v>0.0</v>
      </c>
      <c r="K6383" s="14" t="s">
        <v>6012</v>
      </c>
      <c r="L6383" s="14">
        <v>0.0</v>
      </c>
    </row>
    <row r="6384">
      <c r="A6384" s="14">
        <v>109.0</v>
      </c>
      <c r="B6384" s="14">
        <v>80.0</v>
      </c>
      <c r="C6384" s="34">
        <v>79.09</v>
      </c>
      <c r="D6384" s="36">
        <v>45469.0</v>
      </c>
      <c r="E6384" s="24"/>
      <c r="F6384" s="14">
        <v>0.99</v>
      </c>
      <c r="G6384" s="14">
        <v>725.6</v>
      </c>
      <c r="H6384" s="14">
        <v>73.39</v>
      </c>
      <c r="I6384" s="14" t="s">
        <v>6069</v>
      </c>
      <c r="J6384" s="14">
        <v>0.0</v>
      </c>
      <c r="K6384" s="14" t="s">
        <v>6012</v>
      </c>
      <c r="L6384" s="14">
        <v>2.0</v>
      </c>
    </row>
    <row r="6385">
      <c r="A6385" s="14">
        <v>1316.0</v>
      </c>
      <c r="B6385" s="14">
        <v>6.0</v>
      </c>
      <c r="C6385" s="34">
        <v>55.9</v>
      </c>
      <c r="D6385" s="36">
        <v>45469.0</v>
      </c>
      <c r="E6385" s="24"/>
      <c r="F6385" s="14">
        <v>9.32</v>
      </c>
      <c r="G6385" s="14">
        <v>42.48</v>
      </c>
      <c r="H6385" s="14">
        <v>0.46</v>
      </c>
      <c r="I6385" s="14" t="s">
        <v>6074</v>
      </c>
      <c r="J6385" s="14">
        <v>100.0</v>
      </c>
      <c r="K6385" s="14">
        <v>9.32</v>
      </c>
      <c r="L6385" s="14">
        <v>0.0</v>
      </c>
    </row>
    <row r="6386">
      <c r="A6386" s="14">
        <v>111.0</v>
      </c>
      <c r="B6386" s="14">
        <v>70.0</v>
      </c>
      <c r="C6386" s="34">
        <v>78.08</v>
      </c>
      <c r="D6386" s="36">
        <v>45469.0</v>
      </c>
      <c r="E6386" s="24"/>
      <c r="F6386" s="14">
        <v>1.12</v>
      </c>
      <c r="G6386" s="14">
        <v>703.42</v>
      </c>
      <c r="H6386" s="14">
        <v>63.06</v>
      </c>
      <c r="I6386" s="14" t="s">
        <v>6072</v>
      </c>
      <c r="J6386" s="14">
        <v>0.0</v>
      </c>
      <c r="K6386" s="14" t="s">
        <v>6012</v>
      </c>
      <c r="L6386" s="14">
        <v>1.0</v>
      </c>
    </row>
    <row r="6387">
      <c r="A6387" s="14">
        <v>36.0</v>
      </c>
      <c r="B6387" s="14">
        <v>14.0</v>
      </c>
      <c r="C6387" s="34">
        <v>22.67</v>
      </c>
      <c r="D6387" s="36">
        <v>45469.0</v>
      </c>
      <c r="E6387" s="24"/>
      <c r="F6387" s="14">
        <v>1.62</v>
      </c>
      <c r="G6387" s="14">
        <v>629.72</v>
      </c>
      <c r="H6387" s="14">
        <v>38.89</v>
      </c>
      <c r="I6387" s="14" t="s">
        <v>6068</v>
      </c>
      <c r="J6387" s="14">
        <v>0.0</v>
      </c>
      <c r="K6387" s="14" t="s">
        <v>6012</v>
      </c>
      <c r="L6387" s="14">
        <v>0.0</v>
      </c>
    </row>
    <row r="6388">
      <c r="A6388" s="14">
        <v>27.0</v>
      </c>
      <c r="B6388" s="14">
        <v>39.0</v>
      </c>
      <c r="C6388" s="34">
        <v>18.94</v>
      </c>
      <c r="D6388" s="36">
        <v>45470.0</v>
      </c>
      <c r="E6388" s="24"/>
      <c r="F6388" s="14">
        <v>0.49</v>
      </c>
      <c r="G6388" s="14">
        <v>701.48</v>
      </c>
      <c r="H6388" s="14">
        <v>144.44</v>
      </c>
      <c r="I6388" s="14" t="s">
        <v>6072</v>
      </c>
      <c r="J6388" s="14">
        <v>0.0</v>
      </c>
      <c r="K6388" s="14" t="s">
        <v>6012</v>
      </c>
      <c r="L6388" s="14">
        <v>1.0</v>
      </c>
    </row>
    <row r="6389">
      <c r="A6389" s="14">
        <v>289.0</v>
      </c>
      <c r="B6389" s="14">
        <v>0.0</v>
      </c>
      <c r="C6389" s="34">
        <v>18.65</v>
      </c>
      <c r="D6389" s="36">
        <v>45470.0</v>
      </c>
      <c r="E6389" s="24"/>
      <c r="F6389" s="14" t="s">
        <v>6012</v>
      </c>
      <c r="G6389" s="14">
        <v>64.53</v>
      </c>
      <c r="H6389" s="14">
        <v>0.0</v>
      </c>
      <c r="I6389" s="14" t="s">
        <v>6074</v>
      </c>
      <c r="J6389" s="14" t="s">
        <v>6012</v>
      </c>
      <c r="K6389" s="14">
        <v>18.65</v>
      </c>
      <c r="L6389" s="14">
        <v>0.0</v>
      </c>
    </row>
    <row r="6390">
      <c r="A6390" s="14">
        <v>26.0</v>
      </c>
      <c r="B6390" s="14">
        <v>41.0</v>
      </c>
      <c r="C6390" s="34">
        <v>18.69</v>
      </c>
      <c r="D6390" s="36">
        <v>45470.0</v>
      </c>
      <c r="E6390" s="24"/>
      <c r="F6390" s="14">
        <v>0.46</v>
      </c>
      <c r="G6390" s="14">
        <v>718.85</v>
      </c>
      <c r="H6390" s="14">
        <v>157.69</v>
      </c>
      <c r="I6390" s="14" t="s">
        <v>6069</v>
      </c>
      <c r="J6390" s="14">
        <v>0.0</v>
      </c>
      <c r="K6390" s="14" t="s">
        <v>6012</v>
      </c>
      <c r="L6390" s="14">
        <v>0.0</v>
      </c>
    </row>
    <row r="6391">
      <c r="A6391" s="14">
        <v>14.0</v>
      </c>
      <c r="B6391" s="14">
        <v>15.0</v>
      </c>
      <c r="C6391" s="34">
        <v>11.2</v>
      </c>
      <c r="D6391" s="36">
        <v>45470.0</v>
      </c>
      <c r="E6391" s="24"/>
      <c r="F6391" s="14">
        <v>0.75</v>
      </c>
      <c r="G6391" s="14">
        <v>800.0</v>
      </c>
      <c r="H6391" s="14">
        <v>107.14</v>
      </c>
      <c r="I6391" s="14" t="s">
        <v>6068</v>
      </c>
      <c r="J6391" s="14">
        <v>0.0</v>
      </c>
      <c r="K6391" s="14" t="s">
        <v>6012</v>
      </c>
      <c r="L6391" s="14">
        <v>1.0</v>
      </c>
    </row>
    <row r="6392">
      <c r="A6392" s="14">
        <v>30.0</v>
      </c>
      <c r="B6392" s="14">
        <v>36.0</v>
      </c>
      <c r="C6392" s="34">
        <v>21.82</v>
      </c>
      <c r="D6392" s="36">
        <v>45470.0</v>
      </c>
      <c r="E6392" s="24"/>
      <c r="F6392" s="14">
        <v>0.61</v>
      </c>
      <c r="G6392" s="14">
        <v>727.33</v>
      </c>
      <c r="H6392" s="14">
        <v>120.0</v>
      </c>
      <c r="I6392" s="14" t="s">
        <v>6071</v>
      </c>
      <c r="J6392" s="14">
        <v>0.0</v>
      </c>
      <c r="K6392" s="14" t="s">
        <v>6012</v>
      </c>
      <c r="L6392" s="14">
        <v>1.0</v>
      </c>
    </row>
    <row r="6393">
      <c r="A6393" s="14">
        <v>26.0</v>
      </c>
      <c r="B6393" s="14">
        <v>17.0</v>
      </c>
      <c r="C6393" s="34">
        <v>22.2</v>
      </c>
      <c r="D6393" s="36">
        <v>45470.0</v>
      </c>
      <c r="E6393" s="24"/>
      <c r="F6393" s="14">
        <v>1.31</v>
      </c>
      <c r="G6393" s="14">
        <v>853.85</v>
      </c>
      <c r="H6393" s="14">
        <v>65.38</v>
      </c>
      <c r="I6393" s="14" t="s">
        <v>6067</v>
      </c>
      <c r="J6393" s="14">
        <v>0.0</v>
      </c>
      <c r="K6393" s="14" t="s">
        <v>6012</v>
      </c>
      <c r="L6393" s="14">
        <v>1.0</v>
      </c>
    </row>
    <row r="6394">
      <c r="A6394" s="14">
        <v>0.0</v>
      </c>
      <c r="B6394" s="14">
        <v>0.0</v>
      </c>
      <c r="C6394" s="34"/>
      <c r="D6394" s="36">
        <v>45471.0</v>
      </c>
      <c r="E6394" s="24"/>
      <c r="F6394" s="14" t="s">
        <v>6012</v>
      </c>
      <c r="G6394" s="14" t="s">
        <v>6012</v>
      </c>
      <c r="H6394" s="14" t="s">
        <v>6012</v>
      </c>
      <c r="I6394" s="14" t="s">
        <v>6074</v>
      </c>
      <c r="J6394" s="14" t="s">
        <v>6012</v>
      </c>
      <c r="K6394" s="14" t="s">
        <v>6012</v>
      </c>
      <c r="L6394" s="14"/>
    </row>
    <row r="6395">
      <c r="A6395" s="14">
        <v>0.0</v>
      </c>
      <c r="B6395" s="14">
        <v>18.0</v>
      </c>
      <c r="C6395" s="34">
        <v>0.0</v>
      </c>
      <c r="D6395" s="36">
        <v>45471.0</v>
      </c>
      <c r="E6395" s="24"/>
      <c r="F6395" s="14">
        <v>0.0</v>
      </c>
      <c r="G6395" s="14" t="s">
        <v>6012</v>
      </c>
      <c r="H6395" s="14" t="s">
        <v>6012</v>
      </c>
      <c r="I6395" s="14" t="s">
        <v>6071</v>
      </c>
      <c r="J6395" s="14">
        <v>0.0</v>
      </c>
      <c r="K6395" s="14" t="s">
        <v>6012</v>
      </c>
      <c r="L6395" s="14">
        <v>1.0</v>
      </c>
    </row>
    <row r="6396">
      <c r="A6396" s="14">
        <v>0.0</v>
      </c>
      <c r="B6396" s="14">
        <v>15.0</v>
      </c>
      <c r="C6396" s="34">
        <v>0.0</v>
      </c>
      <c r="D6396" s="36">
        <v>45471.0</v>
      </c>
      <c r="E6396" s="24"/>
      <c r="F6396" s="14">
        <v>0.0</v>
      </c>
      <c r="G6396" s="14" t="s">
        <v>6012</v>
      </c>
      <c r="H6396" s="14" t="s">
        <v>6012</v>
      </c>
      <c r="I6396" s="14" t="s">
        <v>6069</v>
      </c>
      <c r="J6396" s="14">
        <v>0.0</v>
      </c>
      <c r="K6396" s="14" t="s">
        <v>6012</v>
      </c>
      <c r="L6396" s="14">
        <v>0.0</v>
      </c>
    </row>
    <row r="6397">
      <c r="A6397" s="14">
        <v>0.0</v>
      </c>
      <c r="B6397" s="14">
        <v>6.0</v>
      </c>
      <c r="C6397" s="34">
        <v>0.0</v>
      </c>
      <c r="D6397" s="36">
        <v>45471.0</v>
      </c>
      <c r="E6397" s="24"/>
      <c r="F6397" s="14">
        <v>0.0</v>
      </c>
      <c r="G6397" s="14" t="s">
        <v>6012</v>
      </c>
      <c r="H6397" s="14" t="s">
        <v>6012</v>
      </c>
      <c r="I6397" s="14" t="s">
        <v>6068</v>
      </c>
      <c r="J6397" s="14">
        <v>0.0</v>
      </c>
      <c r="K6397" s="14" t="s">
        <v>6012</v>
      </c>
      <c r="L6397" s="14">
        <v>0.0</v>
      </c>
    </row>
    <row r="6398">
      <c r="A6398" s="14">
        <v>0.0</v>
      </c>
      <c r="B6398" s="14">
        <v>18.0</v>
      </c>
      <c r="C6398" s="34">
        <v>0.0</v>
      </c>
      <c r="D6398" s="36">
        <v>45471.0</v>
      </c>
      <c r="E6398" s="24"/>
      <c r="F6398" s="14">
        <v>0.0</v>
      </c>
      <c r="G6398" s="14" t="s">
        <v>6012</v>
      </c>
      <c r="H6398" s="14" t="s">
        <v>6012</v>
      </c>
      <c r="I6398" s="14" t="s">
        <v>6072</v>
      </c>
      <c r="J6398" s="14">
        <v>0.0</v>
      </c>
      <c r="K6398" s="14" t="s">
        <v>6012</v>
      </c>
      <c r="L6398" s="14">
        <v>0.0</v>
      </c>
    </row>
    <row r="6399">
      <c r="A6399" s="14">
        <v>0.0</v>
      </c>
      <c r="B6399" s="14">
        <v>11.0</v>
      </c>
      <c r="C6399" s="34">
        <v>0.0</v>
      </c>
      <c r="D6399" s="36">
        <v>45471.0</v>
      </c>
      <c r="E6399" s="24"/>
      <c r="F6399" s="14">
        <v>0.0</v>
      </c>
      <c r="G6399" s="14" t="s">
        <v>6012</v>
      </c>
      <c r="H6399" s="14" t="s">
        <v>6012</v>
      </c>
      <c r="I6399" s="14" t="s">
        <v>6067</v>
      </c>
      <c r="J6399" s="14">
        <v>9.09</v>
      </c>
      <c r="K6399" s="14">
        <v>0.0</v>
      </c>
      <c r="L6399" s="14">
        <v>0.0</v>
      </c>
    </row>
    <row r="6400">
      <c r="A6400" s="14">
        <v>0.0</v>
      </c>
      <c r="B6400" s="14">
        <v>5.0</v>
      </c>
      <c r="C6400" s="34">
        <v>0.0</v>
      </c>
      <c r="D6400" s="36">
        <v>45472.0</v>
      </c>
      <c r="E6400" s="24"/>
      <c r="F6400" s="14">
        <v>0.0</v>
      </c>
      <c r="G6400" s="14" t="s">
        <v>6012</v>
      </c>
      <c r="H6400" s="14" t="s">
        <v>6012</v>
      </c>
      <c r="I6400" s="14" t="s">
        <v>6067</v>
      </c>
      <c r="J6400" s="14">
        <v>0.0</v>
      </c>
      <c r="K6400" s="14" t="s">
        <v>6012</v>
      </c>
      <c r="L6400" s="14">
        <v>0.0</v>
      </c>
    </row>
    <row r="6401">
      <c r="A6401" s="14">
        <v>0.0</v>
      </c>
      <c r="B6401" s="14">
        <v>4.0</v>
      </c>
      <c r="C6401" s="34">
        <v>0.0</v>
      </c>
      <c r="D6401" s="36">
        <v>45472.0</v>
      </c>
      <c r="E6401" s="24"/>
      <c r="F6401" s="14">
        <v>0.0</v>
      </c>
      <c r="G6401" s="14" t="s">
        <v>6012</v>
      </c>
      <c r="H6401" s="14" t="s">
        <v>6012</v>
      </c>
      <c r="I6401" s="14" t="s">
        <v>6069</v>
      </c>
      <c r="J6401" s="14">
        <v>0.0</v>
      </c>
      <c r="K6401" s="14" t="s">
        <v>6012</v>
      </c>
      <c r="L6401" s="14">
        <v>0.0</v>
      </c>
    </row>
    <row r="6402">
      <c r="A6402" s="14">
        <v>0.0</v>
      </c>
      <c r="B6402" s="14">
        <v>5.0</v>
      </c>
      <c r="C6402" s="34">
        <v>0.0</v>
      </c>
      <c r="D6402" s="36">
        <v>45472.0</v>
      </c>
      <c r="E6402" s="24"/>
      <c r="F6402" s="14">
        <v>0.0</v>
      </c>
      <c r="G6402" s="14" t="s">
        <v>6012</v>
      </c>
      <c r="H6402" s="14" t="s">
        <v>6012</v>
      </c>
      <c r="I6402" s="14" t="s">
        <v>6071</v>
      </c>
      <c r="J6402" s="14">
        <v>0.0</v>
      </c>
      <c r="K6402" s="14" t="s">
        <v>6012</v>
      </c>
      <c r="L6402" s="14">
        <v>0.0</v>
      </c>
    </row>
    <row r="6403">
      <c r="A6403" s="14">
        <v>0.0</v>
      </c>
      <c r="B6403" s="14">
        <v>3.0</v>
      </c>
      <c r="C6403" s="34">
        <v>0.0</v>
      </c>
      <c r="D6403" s="36">
        <v>45472.0</v>
      </c>
      <c r="E6403" s="24"/>
      <c r="F6403" s="14">
        <v>0.0</v>
      </c>
      <c r="G6403" s="14" t="s">
        <v>6012</v>
      </c>
      <c r="H6403" s="14" t="s">
        <v>6012</v>
      </c>
      <c r="I6403" s="14" t="s">
        <v>6072</v>
      </c>
      <c r="J6403" s="14">
        <v>0.0</v>
      </c>
      <c r="K6403" s="14" t="s">
        <v>6012</v>
      </c>
      <c r="L6403" s="14">
        <v>0.0</v>
      </c>
    </row>
    <row r="6404">
      <c r="A6404" s="14">
        <v>0.0</v>
      </c>
      <c r="B6404" s="14">
        <v>7.0</v>
      </c>
      <c r="C6404" s="34">
        <v>0.0</v>
      </c>
      <c r="D6404" s="36">
        <v>45473.0</v>
      </c>
      <c r="E6404" s="24"/>
      <c r="F6404" s="14">
        <v>0.0</v>
      </c>
      <c r="G6404" s="14" t="s">
        <v>6012</v>
      </c>
      <c r="H6404" s="14" t="s">
        <v>6012</v>
      </c>
      <c r="I6404" s="14" t="s">
        <v>6067</v>
      </c>
      <c r="J6404" s="14">
        <v>0.0</v>
      </c>
      <c r="K6404" s="14" t="s">
        <v>6012</v>
      </c>
      <c r="L6404" s="14">
        <v>0.0</v>
      </c>
    </row>
    <row r="6405">
      <c r="A6405" s="14">
        <v>0.0</v>
      </c>
      <c r="B6405" s="14">
        <v>1.0</v>
      </c>
      <c r="C6405" s="34">
        <v>0.0</v>
      </c>
      <c r="D6405" s="36">
        <v>45473.0</v>
      </c>
      <c r="E6405" s="24"/>
      <c r="F6405" s="14">
        <v>0.0</v>
      </c>
      <c r="G6405" s="14" t="s">
        <v>6012</v>
      </c>
      <c r="H6405" s="14" t="s">
        <v>6012</v>
      </c>
      <c r="I6405" s="14" t="s">
        <v>6069</v>
      </c>
      <c r="J6405" s="14">
        <v>0.0</v>
      </c>
      <c r="K6405" s="14" t="s">
        <v>6012</v>
      </c>
      <c r="L6405" s="14">
        <v>0.0</v>
      </c>
    </row>
    <row r="6406">
      <c r="A6406" s="14">
        <v>0.0</v>
      </c>
      <c r="B6406" s="14">
        <v>2.0</v>
      </c>
      <c r="C6406" s="34">
        <v>0.0</v>
      </c>
      <c r="D6406" s="36">
        <v>45473.0</v>
      </c>
      <c r="E6406" s="24"/>
      <c r="F6406" s="14">
        <v>0.0</v>
      </c>
      <c r="G6406" s="14" t="s">
        <v>6012</v>
      </c>
      <c r="H6406" s="14" t="s">
        <v>6012</v>
      </c>
      <c r="I6406" s="14" t="s">
        <v>6071</v>
      </c>
      <c r="J6406" s="14">
        <v>0.0</v>
      </c>
      <c r="K6406" s="14" t="s">
        <v>6012</v>
      </c>
      <c r="L6406" s="14">
        <v>0.0</v>
      </c>
    </row>
    <row r="6407">
      <c r="A6407" s="14">
        <v>0.0</v>
      </c>
      <c r="B6407" s="14">
        <v>1.0</v>
      </c>
      <c r="C6407" s="34">
        <v>0.0</v>
      </c>
      <c r="D6407" s="36">
        <v>45473.0</v>
      </c>
      <c r="E6407" s="24"/>
      <c r="F6407" s="14">
        <v>0.0</v>
      </c>
      <c r="G6407" s="14" t="s">
        <v>6012</v>
      </c>
      <c r="H6407" s="14" t="s">
        <v>6012</v>
      </c>
      <c r="I6407" s="14" t="s">
        <v>6068</v>
      </c>
      <c r="J6407" s="14">
        <v>0.0</v>
      </c>
      <c r="K6407" s="14" t="s">
        <v>6012</v>
      </c>
      <c r="L6407" s="14">
        <v>0.0</v>
      </c>
    </row>
    <row r="6408">
      <c r="A6408" s="14">
        <v>0.0</v>
      </c>
      <c r="B6408" s="14">
        <v>1.0</v>
      </c>
      <c r="C6408" s="34">
        <v>0.0</v>
      </c>
      <c r="D6408" s="36">
        <v>45473.0</v>
      </c>
      <c r="E6408" s="24"/>
      <c r="F6408" s="14">
        <v>0.0</v>
      </c>
      <c r="G6408" s="14" t="s">
        <v>6012</v>
      </c>
      <c r="H6408" s="14" t="s">
        <v>6012</v>
      </c>
      <c r="I6408" s="14" t="s">
        <v>6072</v>
      </c>
      <c r="J6408" s="14">
        <v>0.0</v>
      </c>
      <c r="K6408" s="14" t="s">
        <v>6012</v>
      </c>
      <c r="L6408" s="14">
        <v>0.0</v>
      </c>
    </row>
    <row r="6409">
      <c r="A6409" s="14">
        <v>0.0</v>
      </c>
      <c r="B6409" s="14">
        <v>0.0</v>
      </c>
      <c r="C6409" s="34">
        <v>0.0</v>
      </c>
      <c r="D6409" s="36">
        <v>45474.0</v>
      </c>
      <c r="E6409" s="24"/>
      <c r="F6409" s="14" t="s">
        <v>6012</v>
      </c>
      <c r="G6409" s="14" t="s">
        <v>6012</v>
      </c>
      <c r="H6409" s="14" t="s">
        <v>6012</v>
      </c>
      <c r="I6409" s="14" t="s">
        <v>6071</v>
      </c>
      <c r="J6409" s="14" t="s">
        <v>6012</v>
      </c>
      <c r="K6409" s="14" t="s">
        <v>6012</v>
      </c>
      <c r="L6409" s="14">
        <v>1.0</v>
      </c>
    </row>
    <row r="6410">
      <c r="A6410" s="14">
        <v>0.0</v>
      </c>
      <c r="B6410" s="14">
        <v>0.0</v>
      </c>
      <c r="C6410" s="34">
        <v>0.0</v>
      </c>
      <c r="D6410" s="36">
        <v>45478.0</v>
      </c>
      <c r="E6410" s="24"/>
      <c r="F6410" s="14" t="s">
        <v>6012</v>
      </c>
      <c r="G6410" s="14" t="s">
        <v>6012</v>
      </c>
      <c r="H6410" s="14" t="s">
        <v>6012</v>
      </c>
      <c r="I6410" s="14" t="s">
        <v>6067</v>
      </c>
      <c r="J6410" s="14" t="s">
        <v>6012</v>
      </c>
      <c r="K6410" s="14" t="s">
        <v>6012</v>
      </c>
      <c r="L6410" s="14">
        <v>1.0</v>
      </c>
    </row>
    <row r="6411">
      <c r="A6411" s="14">
        <v>0.0</v>
      </c>
      <c r="B6411" s="14">
        <v>0.0</v>
      </c>
      <c r="C6411" s="34">
        <v>0.0</v>
      </c>
      <c r="D6411" s="36">
        <v>45483.0</v>
      </c>
      <c r="E6411" s="24"/>
      <c r="F6411" s="14" t="s">
        <v>6012</v>
      </c>
      <c r="G6411" s="14" t="s">
        <v>6012</v>
      </c>
      <c r="H6411" s="14" t="s">
        <v>6012</v>
      </c>
      <c r="I6411" s="14" t="s">
        <v>6072</v>
      </c>
      <c r="J6411" s="14" t="s">
        <v>6012</v>
      </c>
      <c r="K6411" s="14" t="s">
        <v>6012</v>
      </c>
      <c r="L6411" s="14">
        <v>1.0</v>
      </c>
    </row>
    <row r="6412">
      <c r="A6412" s="14">
        <v>0.0</v>
      </c>
      <c r="B6412" s="14">
        <v>0.0</v>
      </c>
      <c r="C6412" s="34">
        <v>0.0</v>
      </c>
      <c r="D6412" s="36">
        <v>45488.0</v>
      </c>
      <c r="E6412" s="24"/>
      <c r="F6412" s="14" t="s">
        <v>6012</v>
      </c>
      <c r="G6412" s="14" t="s">
        <v>6012</v>
      </c>
      <c r="H6412" s="14" t="s">
        <v>6012</v>
      </c>
      <c r="I6412" s="14" t="s">
        <v>6067</v>
      </c>
      <c r="J6412" s="14" t="s">
        <v>6012</v>
      </c>
      <c r="K6412" s="14" t="s">
        <v>6012</v>
      </c>
      <c r="L6412" s="14">
        <v>1.0</v>
      </c>
    </row>
    <row r="6413">
      <c r="A6413" s="14">
        <v>187.0</v>
      </c>
      <c r="B6413" s="14">
        <v>0.0</v>
      </c>
      <c r="C6413" s="34">
        <v>20.93</v>
      </c>
      <c r="D6413" s="36">
        <v>45520.0</v>
      </c>
      <c r="E6413" s="24"/>
      <c r="F6413" s="14" t="s">
        <v>6012</v>
      </c>
      <c r="G6413" s="14">
        <v>111.93</v>
      </c>
      <c r="H6413" s="14">
        <v>0.0</v>
      </c>
      <c r="I6413" s="14" t="s">
        <v>6075</v>
      </c>
      <c r="J6413" s="14" t="s">
        <v>6012</v>
      </c>
      <c r="K6413" s="14" t="s">
        <v>6012</v>
      </c>
      <c r="L6413" s="14">
        <v>0.0</v>
      </c>
    </row>
    <row r="6414">
      <c r="A6414" s="14">
        <v>30.0</v>
      </c>
      <c r="B6414" s="14">
        <v>0.0</v>
      </c>
      <c r="C6414" s="34">
        <v>16.14</v>
      </c>
      <c r="D6414" s="36">
        <v>45521.0</v>
      </c>
      <c r="E6414" s="24"/>
      <c r="F6414" s="14" t="s">
        <v>6012</v>
      </c>
      <c r="G6414" s="14">
        <v>538.0</v>
      </c>
      <c r="H6414" s="14">
        <v>0.0</v>
      </c>
      <c r="I6414" s="14" t="s">
        <v>6075</v>
      </c>
      <c r="J6414" s="14" t="s">
        <v>6012</v>
      </c>
      <c r="K6414" s="14" t="s">
        <v>6012</v>
      </c>
      <c r="L6414" s="14">
        <v>0.0</v>
      </c>
    </row>
    <row r="6415">
      <c r="A6415" s="14">
        <v>23.0</v>
      </c>
      <c r="B6415" s="14">
        <v>0.0</v>
      </c>
      <c r="C6415" s="34">
        <v>12.52</v>
      </c>
      <c r="D6415" s="36">
        <v>45522.0</v>
      </c>
      <c r="E6415" s="24"/>
      <c r="F6415" s="14" t="s">
        <v>6012</v>
      </c>
      <c r="G6415" s="14">
        <v>544.35</v>
      </c>
      <c r="H6415" s="14">
        <v>0.0</v>
      </c>
      <c r="I6415" s="14" t="s">
        <v>6075</v>
      </c>
      <c r="J6415" s="14" t="s">
        <v>6012</v>
      </c>
      <c r="K6415" s="14" t="s">
        <v>6012</v>
      </c>
      <c r="L6415" s="14">
        <v>0.0</v>
      </c>
    </row>
    <row r="6416">
      <c r="A6416" s="14">
        <v>58.0</v>
      </c>
      <c r="B6416" s="14">
        <v>0.0</v>
      </c>
      <c r="C6416" s="34">
        <v>25.43</v>
      </c>
      <c r="D6416" s="36">
        <v>45523.0</v>
      </c>
      <c r="E6416" s="24"/>
      <c r="F6416" s="14" t="s">
        <v>6012</v>
      </c>
      <c r="G6416" s="14">
        <v>438.45</v>
      </c>
      <c r="H6416" s="14">
        <v>0.0</v>
      </c>
      <c r="I6416" s="14" t="s">
        <v>6075</v>
      </c>
      <c r="J6416" s="14" t="s">
        <v>6012</v>
      </c>
      <c r="K6416" s="14" t="s">
        <v>6012</v>
      </c>
      <c r="L6416" s="14">
        <v>0.0</v>
      </c>
    </row>
    <row r="6417">
      <c r="A6417" s="14">
        <v>42.0</v>
      </c>
      <c r="B6417" s="14">
        <v>0.0</v>
      </c>
      <c r="C6417" s="34">
        <v>24.51</v>
      </c>
      <c r="D6417" s="36">
        <v>45524.0</v>
      </c>
      <c r="E6417" s="24"/>
      <c r="F6417" s="14" t="s">
        <v>6012</v>
      </c>
      <c r="G6417" s="14">
        <v>583.57</v>
      </c>
      <c r="H6417" s="14">
        <v>0.0</v>
      </c>
      <c r="I6417" s="14" t="s">
        <v>6075</v>
      </c>
      <c r="J6417" s="14" t="s">
        <v>6012</v>
      </c>
      <c r="K6417" s="14" t="s">
        <v>6012</v>
      </c>
      <c r="L6417" s="14">
        <v>0.0</v>
      </c>
    </row>
    <row r="6418">
      <c r="A6418" s="14">
        <v>47.0</v>
      </c>
      <c r="B6418" s="14">
        <v>0.0</v>
      </c>
      <c r="C6418" s="34">
        <v>30.0</v>
      </c>
      <c r="D6418" s="36">
        <v>45525.0</v>
      </c>
      <c r="E6418" s="24"/>
      <c r="F6418" s="14" t="s">
        <v>6012</v>
      </c>
      <c r="G6418" s="14">
        <v>638.3</v>
      </c>
      <c r="H6418" s="14">
        <v>0.0</v>
      </c>
      <c r="I6418" s="14" t="s">
        <v>6075</v>
      </c>
      <c r="J6418" s="14" t="s">
        <v>6012</v>
      </c>
      <c r="K6418" s="14" t="s">
        <v>6012</v>
      </c>
      <c r="L6418" s="14">
        <v>0.0</v>
      </c>
    </row>
    <row r="6419">
      <c r="A6419" s="14">
        <v>43.0</v>
      </c>
      <c r="B6419" s="14">
        <v>0.0</v>
      </c>
      <c r="C6419" s="34">
        <v>23.76</v>
      </c>
      <c r="D6419" s="36">
        <v>45526.0</v>
      </c>
      <c r="E6419" s="24"/>
      <c r="F6419" s="14" t="s">
        <v>6012</v>
      </c>
      <c r="G6419" s="14">
        <v>552.56</v>
      </c>
      <c r="H6419" s="14">
        <v>0.0</v>
      </c>
      <c r="I6419" s="14" t="s">
        <v>6075</v>
      </c>
      <c r="J6419" s="14" t="s">
        <v>6012</v>
      </c>
      <c r="K6419" s="14" t="s">
        <v>6012</v>
      </c>
      <c r="L6419" s="14">
        <v>0.0</v>
      </c>
    </row>
    <row r="6420">
      <c r="A6420" s="14">
        <v>57.0</v>
      </c>
      <c r="B6420" s="14">
        <v>0.0</v>
      </c>
      <c r="C6420" s="34">
        <v>23.99</v>
      </c>
      <c r="D6420" s="36">
        <v>45527.0</v>
      </c>
      <c r="E6420" s="24"/>
      <c r="F6420" s="14" t="s">
        <v>6012</v>
      </c>
      <c r="G6420" s="14">
        <v>420.88</v>
      </c>
      <c r="H6420" s="14">
        <v>0.0</v>
      </c>
      <c r="I6420" s="14" t="s">
        <v>6075</v>
      </c>
      <c r="J6420" s="14" t="s">
        <v>6012</v>
      </c>
      <c r="K6420" s="14" t="s">
        <v>6012</v>
      </c>
      <c r="L6420" s="14">
        <v>0.0</v>
      </c>
    </row>
    <row r="6421">
      <c r="A6421" s="14">
        <v>23.0</v>
      </c>
      <c r="B6421" s="14">
        <v>0.0</v>
      </c>
      <c r="C6421" s="34">
        <v>23.54</v>
      </c>
      <c r="D6421" s="36">
        <v>45528.0</v>
      </c>
      <c r="E6421" s="24"/>
      <c r="F6421" s="14" t="s">
        <v>6012</v>
      </c>
      <c r="G6421" s="14">
        <v>1023.48</v>
      </c>
      <c r="H6421" s="14">
        <v>0.0</v>
      </c>
      <c r="I6421" s="14" t="s">
        <v>6075</v>
      </c>
      <c r="J6421" s="14" t="s">
        <v>6012</v>
      </c>
      <c r="K6421" s="14" t="s">
        <v>6012</v>
      </c>
      <c r="L6421" s="14">
        <v>0.0</v>
      </c>
    </row>
    <row r="6422">
      <c r="A6422" s="14">
        <v>32.0</v>
      </c>
      <c r="B6422" s="14">
        <v>0.0</v>
      </c>
      <c r="C6422" s="34">
        <v>16.93</v>
      </c>
      <c r="D6422" s="36">
        <v>45529.0</v>
      </c>
      <c r="E6422" s="24"/>
      <c r="F6422" s="14" t="s">
        <v>6012</v>
      </c>
      <c r="G6422" s="14">
        <v>529.06</v>
      </c>
      <c r="H6422" s="14">
        <v>0.0</v>
      </c>
      <c r="I6422" s="14" t="s">
        <v>6075</v>
      </c>
      <c r="J6422" s="14" t="s">
        <v>6012</v>
      </c>
      <c r="K6422" s="14" t="s">
        <v>6012</v>
      </c>
      <c r="L6422" s="14">
        <v>0.0</v>
      </c>
    </row>
    <row r="6423">
      <c r="A6423" s="14">
        <v>216.0</v>
      </c>
      <c r="B6423" s="14">
        <v>1.0</v>
      </c>
      <c r="C6423" s="34">
        <v>21.93</v>
      </c>
      <c r="D6423" s="36">
        <v>45530.0</v>
      </c>
      <c r="E6423" s="24"/>
      <c r="F6423" s="14">
        <v>21.93</v>
      </c>
      <c r="G6423" s="14">
        <v>101.53</v>
      </c>
      <c r="H6423" s="14">
        <v>0.46</v>
      </c>
      <c r="I6423" s="14" t="s">
        <v>6076</v>
      </c>
      <c r="J6423" s="14">
        <v>0.0</v>
      </c>
      <c r="K6423" s="14" t="s">
        <v>6012</v>
      </c>
      <c r="L6423" s="14">
        <v>0.0</v>
      </c>
    </row>
    <row r="6424">
      <c r="A6424" s="14">
        <v>1397.0</v>
      </c>
      <c r="B6424" s="14">
        <v>2.0</v>
      </c>
      <c r="C6424" s="34">
        <v>34.66</v>
      </c>
      <c r="D6424" s="36">
        <v>45530.0</v>
      </c>
      <c r="E6424" s="24"/>
      <c r="F6424" s="14">
        <v>17.33</v>
      </c>
      <c r="G6424" s="14">
        <v>24.81</v>
      </c>
      <c r="H6424" s="14">
        <v>0.14</v>
      </c>
      <c r="I6424" s="14" t="s">
        <v>6077</v>
      </c>
      <c r="J6424" s="14">
        <v>0.0</v>
      </c>
      <c r="K6424" s="14" t="s">
        <v>6012</v>
      </c>
      <c r="L6424" s="14">
        <v>0.0</v>
      </c>
    </row>
    <row r="6425">
      <c r="A6425" s="14">
        <v>7.0</v>
      </c>
      <c r="B6425" s="14">
        <v>0.0</v>
      </c>
      <c r="C6425" s="34">
        <v>6.84</v>
      </c>
      <c r="D6425" s="36">
        <v>45530.0</v>
      </c>
      <c r="E6425" s="24"/>
      <c r="F6425" s="14" t="s">
        <v>6012</v>
      </c>
      <c r="G6425" s="14">
        <v>977.14</v>
      </c>
      <c r="H6425" s="14">
        <v>0.0</v>
      </c>
      <c r="I6425" s="14" t="s">
        <v>6075</v>
      </c>
      <c r="J6425" s="14" t="s">
        <v>6012</v>
      </c>
      <c r="K6425" s="14" t="s">
        <v>6012</v>
      </c>
      <c r="L6425" s="14">
        <v>0.0</v>
      </c>
    </row>
    <row r="6426">
      <c r="A6426" s="14">
        <v>851.0</v>
      </c>
      <c r="B6426" s="14">
        <v>6.0</v>
      </c>
      <c r="C6426" s="34">
        <v>35.81</v>
      </c>
      <c r="D6426" s="36">
        <v>45531.0</v>
      </c>
      <c r="E6426" s="24"/>
      <c r="F6426" s="14">
        <v>5.97</v>
      </c>
      <c r="G6426" s="14">
        <v>42.08</v>
      </c>
      <c r="H6426" s="14">
        <v>0.71</v>
      </c>
      <c r="I6426" s="14" t="s">
        <v>6077</v>
      </c>
      <c r="J6426" s="14">
        <v>33.33</v>
      </c>
      <c r="K6426" s="14">
        <v>17.9</v>
      </c>
      <c r="L6426" s="14">
        <v>0.0</v>
      </c>
    </row>
    <row r="6427">
      <c r="A6427" s="14">
        <v>84.0</v>
      </c>
      <c r="B6427" s="14">
        <v>0.0</v>
      </c>
      <c r="C6427" s="34">
        <v>24.43</v>
      </c>
      <c r="D6427" s="36">
        <v>45531.0</v>
      </c>
      <c r="E6427" s="24"/>
      <c r="F6427" s="14" t="s">
        <v>6012</v>
      </c>
      <c r="G6427" s="14">
        <v>290.83</v>
      </c>
      <c r="H6427" s="14">
        <v>0.0</v>
      </c>
      <c r="I6427" s="14" t="s">
        <v>6076</v>
      </c>
      <c r="J6427" s="14" t="s">
        <v>6012</v>
      </c>
      <c r="K6427" s="14" t="s">
        <v>6012</v>
      </c>
      <c r="L6427" s="14">
        <v>0.0</v>
      </c>
    </row>
    <row r="6428">
      <c r="A6428" s="14">
        <v>67.0</v>
      </c>
      <c r="B6428" s="14">
        <v>0.0</v>
      </c>
      <c r="C6428" s="34">
        <v>27.54</v>
      </c>
      <c r="D6428" s="36">
        <v>45532.0</v>
      </c>
      <c r="E6428" s="24"/>
      <c r="F6428" s="14" t="s">
        <v>6012</v>
      </c>
      <c r="G6428" s="14">
        <v>411.04</v>
      </c>
      <c r="H6428" s="14">
        <v>0.0</v>
      </c>
      <c r="I6428" s="14" t="s">
        <v>6076</v>
      </c>
      <c r="J6428" s="14" t="s">
        <v>6012</v>
      </c>
      <c r="K6428" s="14" t="s">
        <v>6012</v>
      </c>
      <c r="L6428" s="14">
        <v>0.0</v>
      </c>
    </row>
    <row r="6429">
      <c r="A6429" s="14">
        <v>939.0</v>
      </c>
      <c r="B6429" s="14">
        <v>8.0</v>
      </c>
      <c r="C6429" s="34">
        <v>36.03</v>
      </c>
      <c r="D6429" s="36">
        <v>45532.0</v>
      </c>
      <c r="E6429" s="24"/>
      <c r="F6429" s="14">
        <v>4.5</v>
      </c>
      <c r="G6429" s="14">
        <v>38.37</v>
      </c>
      <c r="H6429" s="14">
        <v>0.85</v>
      </c>
      <c r="I6429" s="14" t="s">
        <v>6077</v>
      </c>
      <c r="J6429" s="14">
        <v>0.0</v>
      </c>
      <c r="K6429" s="14" t="s">
        <v>6012</v>
      </c>
      <c r="L6429" s="14">
        <v>0.0</v>
      </c>
    </row>
    <row r="6430">
      <c r="A6430" s="14">
        <v>51.0</v>
      </c>
      <c r="B6430" s="14">
        <v>0.0</v>
      </c>
      <c r="C6430" s="34">
        <v>25.09</v>
      </c>
      <c r="D6430" s="36">
        <v>45533.0</v>
      </c>
      <c r="E6430" s="24"/>
      <c r="F6430" s="14" t="s">
        <v>6012</v>
      </c>
      <c r="G6430" s="14">
        <v>491.96</v>
      </c>
      <c r="H6430" s="14">
        <v>0.0</v>
      </c>
      <c r="I6430" s="14" t="s">
        <v>6076</v>
      </c>
      <c r="J6430" s="14" t="s">
        <v>6012</v>
      </c>
      <c r="K6430" s="14" t="s">
        <v>6012</v>
      </c>
      <c r="L6430" s="14">
        <v>0.0</v>
      </c>
    </row>
    <row r="6431">
      <c r="A6431" s="14">
        <v>286.0</v>
      </c>
      <c r="B6431" s="14">
        <v>4.0</v>
      </c>
      <c r="C6431" s="34">
        <v>42.0</v>
      </c>
      <c r="D6431" s="36">
        <v>45533.0</v>
      </c>
      <c r="E6431" s="24"/>
      <c r="F6431" s="14">
        <v>10.5</v>
      </c>
      <c r="G6431" s="14">
        <v>146.85</v>
      </c>
      <c r="H6431" s="14">
        <v>1.4</v>
      </c>
      <c r="I6431" s="14" t="s">
        <v>6077</v>
      </c>
      <c r="J6431" s="14">
        <v>0.0</v>
      </c>
      <c r="K6431" s="14" t="s">
        <v>6012</v>
      </c>
      <c r="L6431" s="14">
        <v>0.0</v>
      </c>
    </row>
    <row r="6432">
      <c r="A6432" s="14">
        <v>877.0</v>
      </c>
      <c r="B6432" s="14">
        <v>1.0</v>
      </c>
      <c r="C6432" s="34">
        <v>36.09</v>
      </c>
      <c r="D6432" s="36">
        <v>45534.0</v>
      </c>
      <c r="E6432" s="24"/>
      <c r="F6432" s="14">
        <v>36.09</v>
      </c>
      <c r="G6432" s="14">
        <v>41.15</v>
      </c>
      <c r="H6432" s="14">
        <v>0.11</v>
      </c>
      <c r="I6432" s="14" t="s">
        <v>6077</v>
      </c>
      <c r="J6432" s="14">
        <v>0.0</v>
      </c>
      <c r="K6432" s="14" t="s">
        <v>6012</v>
      </c>
      <c r="L6432" s="14">
        <v>0.0</v>
      </c>
    </row>
    <row r="6433">
      <c r="A6433" s="14">
        <v>53.0</v>
      </c>
      <c r="B6433" s="14">
        <v>0.0</v>
      </c>
      <c r="C6433" s="34">
        <v>21.85</v>
      </c>
      <c r="D6433" s="36">
        <v>45534.0</v>
      </c>
      <c r="E6433" s="24"/>
      <c r="F6433" s="14" t="s">
        <v>6012</v>
      </c>
      <c r="G6433" s="14">
        <v>412.26</v>
      </c>
      <c r="H6433" s="14">
        <v>0.0</v>
      </c>
      <c r="I6433" s="14" t="s">
        <v>6076</v>
      </c>
      <c r="J6433" s="14" t="s">
        <v>6012</v>
      </c>
      <c r="K6433" s="14" t="s">
        <v>6012</v>
      </c>
      <c r="L6433" s="14">
        <v>0.0</v>
      </c>
    </row>
    <row r="6434">
      <c r="A6434" s="14">
        <v>317.0</v>
      </c>
      <c r="B6434" s="14">
        <v>2.0</v>
      </c>
      <c r="C6434" s="34">
        <v>21.25</v>
      </c>
      <c r="D6434" s="36">
        <v>45535.0</v>
      </c>
      <c r="E6434" s="24"/>
      <c r="F6434" s="14">
        <v>10.62</v>
      </c>
      <c r="G6434" s="14">
        <v>67.03</v>
      </c>
      <c r="H6434" s="14">
        <v>0.63</v>
      </c>
      <c r="I6434" s="14" t="s">
        <v>6077</v>
      </c>
      <c r="J6434" s="14">
        <v>0.0</v>
      </c>
      <c r="K6434" s="14" t="s">
        <v>6012</v>
      </c>
      <c r="L6434" s="14">
        <v>0.0</v>
      </c>
    </row>
    <row r="6435">
      <c r="A6435" s="14">
        <v>24.0</v>
      </c>
      <c r="B6435" s="14">
        <v>1.0</v>
      </c>
      <c r="C6435" s="34">
        <v>11.62</v>
      </c>
      <c r="D6435" s="36">
        <v>45535.0</v>
      </c>
      <c r="E6435" s="24"/>
      <c r="F6435" s="14">
        <v>11.62</v>
      </c>
      <c r="G6435" s="14">
        <v>484.17</v>
      </c>
      <c r="H6435" s="14">
        <v>4.17</v>
      </c>
      <c r="I6435" s="14" t="s">
        <v>6076</v>
      </c>
      <c r="J6435" s="14">
        <v>0.0</v>
      </c>
      <c r="K6435" s="14" t="s">
        <v>6012</v>
      </c>
      <c r="L6435" s="14">
        <v>0.0</v>
      </c>
    </row>
    <row r="6436">
      <c r="A6436" s="14">
        <v>20.0</v>
      </c>
      <c r="B6436" s="14">
        <v>0.0</v>
      </c>
      <c r="C6436" s="34">
        <v>7.54</v>
      </c>
      <c r="D6436" s="36">
        <v>45536.0</v>
      </c>
      <c r="E6436" s="24"/>
      <c r="F6436" s="14" t="s">
        <v>6012</v>
      </c>
      <c r="G6436" s="14">
        <v>377.0</v>
      </c>
      <c r="H6436" s="14">
        <v>0.0</v>
      </c>
      <c r="I6436" s="14" t="s">
        <v>6076</v>
      </c>
      <c r="J6436" s="14" t="s">
        <v>6012</v>
      </c>
      <c r="K6436" s="14" t="s">
        <v>6012</v>
      </c>
      <c r="L6436" s="14">
        <v>0.0</v>
      </c>
    </row>
    <row r="6437">
      <c r="A6437" s="14">
        <v>135.0</v>
      </c>
      <c r="B6437" s="14">
        <v>1.0</v>
      </c>
      <c r="C6437" s="34">
        <v>18.16</v>
      </c>
      <c r="D6437" s="36">
        <v>45536.0</v>
      </c>
      <c r="E6437" s="24"/>
      <c r="F6437" s="14">
        <v>18.16</v>
      </c>
      <c r="G6437" s="14">
        <v>134.52</v>
      </c>
      <c r="H6437" s="14">
        <v>0.74</v>
      </c>
      <c r="I6437" s="14" t="s">
        <v>6077</v>
      </c>
      <c r="J6437" s="14">
        <v>0.0</v>
      </c>
      <c r="K6437" s="14" t="s">
        <v>6012</v>
      </c>
      <c r="L6437" s="14">
        <v>0.0</v>
      </c>
    </row>
    <row r="6438">
      <c r="A6438" s="14">
        <v>973.0</v>
      </c>
      <c r="B6438" s="14">
        <v>3.0</v>
      </c>
      <c r="C6438" s="34">
        <v>35.39</v>
      </c>
      <c r="D6438" s="36">
        <v>45537.0</v>
      </c>
      <c r="E6438" s="24"/>
      <c r="F6438" s="14">
        <v>11.8</v>
      </c>
      <c r="G6438" s="14">
        <v>36.37</v>
      </c>
      <c r="H6438" s="14">
        <v>0.31</v>
      </c>
      <c r="I6438" s="14" t="s">
        <v>6077</v>
      </c>
      <c r="J6438" s="14">
        <v>0.0</v>
      </c>
      <c r="K6438" s="14" t="s">
        <v>6012</v>
      </c>
      <c r="L6438" s="14">
        <v>0.0</v>
      </c>
    </row>
    <row r="6439">
      <c r="A6439" s="14">
        <v>46.0</v>
      </c>
      <c r="B6439" s="14">
        <v>0.0</v>
      </c>
      <c r="C6439" s="34">
        <v>23.7</v>
      </c>
      <c r="D6439" s="36">
        <v>45537.0</v>
      </c>
      <c r="E6439" s="24"/>
      <c r="F6439" s="14" t="s">
        <v>6012</v>
      </c>
      <c r="G6439" s="14">
        <v>515.22</v>
      </c>
      <c r="H6439" s="14">
        <v>0.0</v>
      </c>
      <c r="I6439" s="14" t="s">
        <v>6076</v>
      </c>
      <c r="J6439" s="14" t="s">
        <v>6012</v>
      </c>
      <c r="K6439" s="14" t="s">
        <v>6012</v>
      </c>
      <c r="L6439" s="14">
        <v>0.0</v>
      </c>
    </row>
    <row r="6440">
      <c r="A6440" s="14">
        <v>1290.0</v>
      </c>
      <c r="B6440" s="14">
        <v>4.0</v>
      </c>
      <c r="C6440" s="34">
        <v>45.11</v>
      </c>
      <c r="D6440" s="36">
        <v>45538.0</v>
      </c>
      <c r="E6440" s="24"/>
      <c r="F6440" s="14">
        <v>11.28</v>
      </c>
      <c r="G6440" s="14">
        <v>34.97</v>
      </c>
      <c r="H6440" s="14">
        <v>0.31</v>
      </c>
      <c r="I6440" s="14" t="s">
        <v>6078</v>
      </c>
      <c r="J6440" s="14">
        <v>25.0</v>
      </c>
      <c r="K6440" s="14">
        <v>45.11</v>
      </c>
      <c r="L6440" s="14">
        <v>0.0</v>
      </c>
    </row>
    <row r="6441">
      <c r="A6441" s="14">
        <v>852.0</v>
      </c>
      <c r="B6441" s="14">
        <v>2.0</v>
      </c>
      <c r="C6441" s="34">
        <v>36.33</v>
      </c>
      <c r="D6441" s="36">
        <v>45538.0</v>
      </c>
      <c r="E6441" s="24"/>
      <c r="F6441" s="14">
        <v>18.16</v>
      </c>
      <c r="G6441" s="14">
        <v>42.64</v>
      </c>
      <c r="H6441" s="14">
        <v>0.23</v>
      </c>
      <c r="I6441" s="14" t="s">
        <v>6077</v>
      </c>
      <c r="J6441" s="14">
        <v>50.0</v>
      </c>
      <c r="K6441" s="14">
        <v>36.33</v>
      </c>
      <c r="L6441" s="14">
        <v>0.0</v>
      </c>
    </row>
    <row r="6442">
      <c r="A6442" s="14">
        <v>51.0</v>
      </c>
      <c r="B6442" s="14">
        <v>0.0</v>
      </c>
      <c r="C6442" s="34">
        <v>23.19</v>
      </c>
      <c r="D6442" s="36">
        <v>45538.0</v>
      </c>
      <c r="E6442" s="24"/>
      <c r="F6442" s="14" t="s">
        <v>6012</v>
      </c>
      <c r="G6442" s="14">
        <v>454.71</v>
      </c>
      <c r="H6442" s="14">
        <v>0.0</v>
      </c>
      <c r="I6442" s="14" t="s">
        <v>6076</v>
      </c>
      <c r="J6442" s="14" t="s">
        <v>6012</v>
      </c>
      <c r="K6442" s="14" t="s">
        <v>6012</v>
      </c>
      <c r="L6442" s="14">
        <v>0.0</v>
      </c>
    </row>
    <row r="6443">
      <c r="A6443" s="14">
        <v>501.0</v>
      </c>
      <c r="B6443" s="14">
        <v>2.0</v>
      </c>
      <c r="C6443" s="34">
        <v>38.18</v>
      </c>
      <c r="D6443" s="36">
        <v>45539.0</v>
      </c>
      <c r="E6443" s="24"/>
      <c r="F6443" s="14">
        <v>19.09</v>
      </c>
      <c r="G6443" s="14">
        <v>76.21</v>
      </c>
      <c r="H6443" s="14">
        <v>0.4</v>
      </c>
      <c r="I6443" s="14" t="s">
        <v>6077</v>
      </c>
      <c r="J6443" s="14">
        <v>50.0</v>
      </c>
      <c r="K6443" s="14">
        <v>38.18</v>
      </c>
      <c r="L6443" s="14">
        <v>0.0</v>
      </c>
    </row>
    <row r="6444">
      <c r="A6444" s="14">
        <v>57.0</v>
      </c>
      <c r="B6444" s="14">
        <v>0.0</v>
      </c>
      <c r="C6444" s="34">
        <v>24.89</v>
      </c>
      <c r="D6444" s="36">
        <v>45539.0</v>
      </c>
      <c r="E6444" s="24"/>
      <c r="F6444" s="14" t="s">
        <v>6012</v>
      </c>
      <c r="G6444" s="14">
        <v>436.67</v>
      </c>
      <c r="H6444" s="14">
        <v>0.0</v>
      </c>
      <c r="I6444" s="14" t="s">
        <v>6076</v>
      </c>
      <c r="J6444" s="14" t="s">
        <v>6012</v>
      </c>
      <c r="K6444" s="14" t="s">
        <v>6012</v>
      </c>
      <c r="L6444" s="14">
        <v>0.0</v>
      </c>
    </row>
    <row r="6445">
      <c r="A6445" s="14">
        <v>1210.0</v>
      </c>
      <c r="B6445" s="14">
        <v>7.0</v>
      </c>
      <c r="C6445" s="34">
        <v>45.5</v>
      </c>
      <c r="D6445" s="36">
        <v>45539.0</v>
      </c>
      <c r="E6445" s="24"/>
      <c r="F6445" s="14">
        <v>6.5</v>
      </c>
      <c r="G6445" s="14">
        <v>37.6</v>
      </c>
      <c r="H6445" s="14">
        <v>0.58</v>
      </c>
      <c r="I6445" s="14" t="s">
        <v>6078</v>
      </c>
      <c r="J6445" s="14">
        <v>0.0</v>
      </c>
      <c r="K6445" s="14" t="s">
        <v>6012</v>
      </c>
      <c r="L6445" s="14">
        <v>0.0</v>
      </c>
    </row>
    <row r="6446">
      <c r="A6446" s="14">
        <v>1180.0</v>
      </c>
      <c r="B6446" s="14">
        <v>3.0</v>
      </c>
      <c r="C6446" s="34">
        <v>48.38</v>
      </c>
      <c r="D6446" s="36">
        <v>45540.0</v>
      </c>
      <c r="E6446" s="24"/>
      <c r="F6446" s="14">
        <v>16.13</v>
      </c>
      <c r="G6446" s="14">
        <v>41.0</v>
      </c>
      <c r="H6446" s="14">
        <v>0.25</v>
      </c>
      <c r="I6446" s="14" t="s">
        <v>6078</v>
      </c>
      <c r="J6446" s="14">
        <v>33.33</v>
      </c>
      <c r="K6446" s="14">
        <v>48.38</v>
      </c>
      <c r="L6446" s="14">
        <v>0.0</v>
      </c>
    </row>
    <row r="6447">
      <c r="A6447" s="14">
        <v>179.0</v>
      </c>
      <c r="B6447" s="14">
        <v>1.0</v>
      </c>
      <c r="C6447" s="34">
        <v>40.97</v>
      </c>
      <c r="D6447" s="36">
        <v>45540.0</v>
      </c>
      <c r="E6447" s="24"/>
      <c r="F6447" s="14">
        <v>40.97</v>
      </c>
      <c r="G6447" s="14">
        <v>228.88</v>
      </c>
      <c r="H6447" s="14">
        <v>0.56</v>
      </c>
      <c r="I6447" s="14" t="s">
        <v>6077</v>
      </c>
      <c r="J6447" s="14">
        <v>100.0</v>
      </c>
      <c r="K6447" s="14">
        <v>40.97</v>
      </c>
      <c r="L6447" s="14">
        <v>0.0</v>
      </c>
    </row>
    <row r="6448">
      <c r="A6448" s="14">
        <v>49.0</v>
      </c>
      <c r="B6448" s="14">
        <v>1.0</v>
      </c>
      <c r="C6448" s="34">
        <v>27.11</v>
      </c>
      <c r="D6448" s="36">
        <v>45540.0</v>
      </c>
      <c r="E6448" s="24"/>
      <c r="F6448" s="14">
        <v>27.11</v>
      </c>
      <c r="G6448" s="14">
        <v>553.27</v>
      </c>
      <c r="H6448" s="14">
        <v>2.04</v>
      </c>
      <c r="I6448" s="14" t="s">
        <v>6076</v>
      </c>
      <c r="J6448" s="14">
        <v>0.0</v>
      </c>
      <c r="K6448" s="14" t="s">
        <v>6012</v>
      </c>
      <c r="L6448" s="14">
        <v>0.0</v>
      </c>
    </row>
    <row r="6449">
      <c r="A6449" s="14">
        <v>892.0</v>
      </c>
      <c r="B6449" s="14">
        <v>2.0</v>
      </c>
      <c r="C6449" s="34">
        <v>43.58</v>
      </c>
      <c r="D6449" s="36">
        <v>45541.0</v>
      </c>
      <c r="E6449" s="24"/>
      <c r="F6449" s="14">
        <v>21.79</v>
      </c>
      <c r="G6449" s="14">
        <v>48.86</v>
      </c>
      <c r="H6449" s="14">
        <v>0.22</v>
      </c>
      <c r="I6449" s="14" t="s">
        <v>6078</v>
      </c>
      <c r="J6449" s="14">
        <v>0.0</v>
      </c>
      <c r="K6449" s="14" t="s">
        <v>6012</v>
      </c>
      <c r="L6449" s="14">
        <v>0.0</v>
      </c>
    </row>
    <row r="6450">
      <c r="A6450" s="14">
        <v>647.0</v>
      </c>
      <c r="B6450" s="14">
        <v>3.0</v>
      </c>
      <c r="C6450" s="34">
        <v>35.95</v>
      </c>
      <c r="D6450" s="36">
        <v>45541.0</v>
      </c>
      <c r="E6450" s="24"/>
      <c r="F6450" s="14">
        <v>11.98</v>
      </c>
      <c r="G6450" s="14">
        <v>55.56</v>
      </c>
      <c r="H6450" s="14">
        <v>0.46</v>
      </c>
      <c r="I6450" s="14" t="s">
        <v>6077</v>
      </c>
      <c r="J6450" s="14">
        <v>0.0</v>
      </c>
      <c r="K6450" s="14" t="s">
        <v>6012</v>
      </c>
      <c r="L6450" s="14">
        <v>0.0</v>
      </c>
    </row>
    <row r="6451">
      <c r="A6451" s="14">
        <v>52.0</v>
      </c>
      <c r="B6451" s="14">
        <v>0.0</v>
      </c>
      <c r="C6451" s="34">
        <v>20.69</v>
      </c>
      <c r="D6451" s="36">
        <v>45541.0</v>
      </c>
      <c r="E6451" s="24"/>
      <c r="F6451" s="14" t="s">
        <v>6012</v>
      </c>
      <c r="G6451" s="14">
        <v>397.88</v>
      </c>
      <c r="H6451" s="14">
        <v>0.0</v>
      </c>
      <c r="I6451" s="14" t="s">
        <v>6076</v>
      </c>
      <c r="J6451" s="14" t="s">
        <v>6012</v>
      </c>
      <c r="K6451" s="14" t="s">
        <v>6012</v>
      </c>
      <c r="L6451" s="14">
        <v>0.0</v>
      </c>
    </row>
    <row r="6452">
      <c r="A6452" s="14">
        <v>1869.0</v>
      </c>
      <c r="B6452" s="14">
        <v>10.0</v>
      </c>
      <c r="C6452" s="34">
        <v>18.82</v>
      </c>
      <c r="D6452" s="36">
        <v>45541.0</v>
      </c>
      <c r="E6452" s="24"/>
      <c r="F6452" s="14">
        <v>1.88</v>
      </c>
      <c r="G6452" s="14">
        <v>10.07</v>
      </c>
      <c r="H6452" s="14">
        <v>0.54</v>
      </c>
      <c r="I6452" s="14" t="s">
        <v>6079</v>
      </c>
      <c r="J6452" s="14">
        <v>0.0</v>
      </c>
      <c r="K6452" s="14" t="s">
        <v>6012</v>
      </c>
      <c r="L6452" s="14">
        <v>0.0</v>
      </c>
    </row>
    <row r="6453">
      <c r="A6453" s="14">
        <v>2357.0</v>
      </c>
      <c r="B6453" s="14">
        <v>13.0</v>
      </c>
      <c r="C6453" s="34">
        <v>13.42</v>
      </c>
      <c r="D6453" s="36">
        <v>45542.0</v>
      </c>
      <c r="E6453" s="24"/>
      <c r="F6453" s="14">
        <v>1.03</v>
      </c>
      <c r="G6453" s="14">
        <v>5.69</v>
      </c>
      <c r="H6453" s="14">
        <v>0.55</v>
      </c>
      <c r="I6453" s="14" t="s">
        <v>6079</v>
      </c>
      <c r="J6453" s="14">
        <v>0.0</v>
      </c>
      <c r="K6453" s="14" t="s">
        <v>6012</v>
      </c>
      <c r="L6453" s="14">
        <v>0.0</v>
      </c>
    </row>
    <row r="6454">
      <c r="A6454" s="14">
        <v>159.0</v>
      </c>
      <c r="B6454" s="14">
        <v>0.0</v>
      </c>
      <c r="C6454" s="34">
        <v>25.88</v>
      </c>
      <c r="D6454" s="36">
        <v>45542.0</v>
      </c>
      <c r="E6454" s="24"/>
      <c r="F6454" s="14" t="s">
        <v>6012</v>
      </c>
      <c r="G6454" s="14">
        <v>162.77</v>
      </c>
      <c r="H6454" s="14">
        <v>0.0</v>
      </c>
      <c r="I6454" s="14" t="s">
        <v>6078</v>
      </c>
      <c r="J6454" s="14" t="s">
        <v>6012</v>
      </c>
      <c r="K6454" s="14" t="s">
        <v>6012</v>
      </c>
      <c r="L6454" s="14">
        <v>0.0</v>
      </c>
    </row>
    <row r="6455">
      <c r="A6455" s="14">
        <v>30.0</v>
      </c>
      <c r="B6455" s="14">
        <v>0.0</v>
      </c>
      <c r="C6455" s="34">
        <v>11.59</v>
      </c>
      <c r="D6455" s="36">
        <v>45542.0</v>
      </c>
      <c r="E6455" s="24"/>
      <c r="F6455" s="14" t="s">
        <v>6012</v>
      </c>
      <c r="G6455" s="14">
        <v>386.33</v>
      </c>
      <c r="H6455" s="14">
        <v>0.0</v>
      </c>
      <c r="I6455" s="14" t="s">
        <v>6076</v>
      </c>
      <c r="J6455" s="14" t="s">
        <v>6012</v>
      </c>
      <c r="K6455" s="14" t="s">
        <v>6012</v>
      </c>
      <c r="L6455" s="14">
        <v>0.0</v>
      </c>
    </row>
    <row r="6456">
      <c r="A6456" s="14">
        <v>250.0</v>
      </c>
      <c r="B6456" s="14">
        <v>2.0</v>
      </c>
      <c r="C6456" s="34">
        <v>20.18</v>
      </c>
      <c r="D6456" s="36">
        <v>45542.0</v>
      </c>
      <c r="E6456" s="24"/>
      <c r="F6456" s="14">
        <v>10.09</v>
      </c>
      <c r="G6456" s="14">
        <v>80.72</v>
      </c>
      <c r="H6456" s="14">
        <v>0.8</v>
      </c>
      <c r="I6456" s="14" t="s">
        <v>6077</v>
      </c>
      <c r="J6456" s="14">
        <v>0.0</v>
      </c>
      <c r="K6456" s="14" t="s">
        <v>6012</v>
      </c>
      <c r="L6456" s="14">
        <v>0.0</v>
      </c>
    </row>
    <row r="6457">
      <c r="A6457" s="14">
        <v>132.0</v>
      </c>
      <c r="B6457" s="14">
        <v>3.0</v>
      </c>
      <c r="C6457" s="34">
        <v>17.0</v>
      </c>
      <c r="D6457" s="36">
        <v>45543.0</v>
      </c>
      <c r="E6457" s="24"/>
      <c r="F6457" s="14">
        <v>5.67</v>
      </c>
      <c r="G6457" s="14">
        <v>128.79</v>
      </c>
      <c r="H6457" s="14">
        <v>2.27</v>
      </c>
      <c r="I6457" s="14" t="s">
        <v>6077</v>
      </c>
      <c r="J6457" s="14">
        <v>33.33</v>
      </c>
      <c r="K6457" s="14">
        <v>17.0</v>
      </c>
      <c r="L6457" s="14">
        <v>0.0</v>
      </c>
    </row>
    <row r="6458">
      <c r="A6458" s="14">
        <v>118.0</v>
      </c>
      <c r="B6458" s="14">
        <v>0.0</v>
      </c>
      <c r="C6458" s="34">
        <v>23.64</v>
      </c>
      <c r="D6458" s="36">
        <v>45543.0</v>
      </c>
      <c r="E6458" s="24"/>
      <c r="F6458" s="14" t="s">
        <v>6012</v>
      </c>
      <c r="G6458" s="14">
        <v>200.34</v>
      </c>
      <c r="H6458" s="14">
        <v>0.0</v>
      </c>
      <c r="I6458" s="14" t="s">
        <v>6078</v>
      </c>
      <c r="J6458" s="14" t="s">
        <v>6012</v>
      </c>
      <c r="K6458" s="14" t="s">
        <v>6012</v>
      </c>
      <c r="L6458" s="14">
        <v>0.0</v>
      </c>
    </row>
    <row r="6459">
      <c r="A6459" s="14">
        <v>1651.0</v>
      </c>
      <c r="B6459" s="14">
        <v>8.0</v>
      </c>
      <c r="C6459" s="34">
        <v>12.74</v>
      </c>
      <c r="D6459" s="36">
        <v>45543.0</v>
      </c>
      <c r="E6459" s="24"/>
      <c r="F6459" s="14">
        <v>1.59</v>
      </c>
      <c r="G6459" s="14">
        <v>7.72</v>
      </c>
      <c r="H6459" s="14">
        <v>0.48</v>
      </c>
      <c r="I6459" s="14" t="s">
        <v>6079</v>
      </c>
      <c r="J6459" s="14">
        <v>0.0</v>
      </c>
      <c r="K6459" s="14" t="s">
        <v>6012</v>
      </c>
      <c r="L6459" s="14">
        <v>0.0</v>
      </c>
    </row>
    <row r="6460">
      <c r="A6460" s="14">
        <v>16.0</v>
      </c>
      <c r="B6460" s="14">
        <v>0.0</v>
      </c>
      <c r="C6460" s="34">
        <v>8.83</v>
      </c>
      <c r="D6460" s="36">
        <v>45543.0</v>
      </c>
      <c r="E6460" s="24"/>
      <c r="F6460" s="14" t="s">
        <v>6012</v>
      </c>
      <c r="G6460" s="14">
        <v>551.88</v>
      </c>
      <c r="H6460" s="14">
        <v>0.0</v>
      </c>
      <c r="I6460" s="14" t="s">
        <v>6076</v>
      </c>
      <c r="J6460" s="14" t="s">
        <v>6012</v>
      </c>
      <c r="K6460" s="14" t="s">
        <v>6012</v>
      </c>
      <c r="L6460" s="14">
        <v>0.0</v>
      </c>
    </row>
    <row r="6461">
      <c r="A6461" s="14">
        <v>370.0</v>
      </c>
      <c r="B6461" s="14">
        <v>1.0</v>
      </c>
      <c r="C6461" s="34">
        <v>43.4</v>
      </c>
      <c r="D6461" s="36">
        <v>45544.0</v>
      </c>
      <c r="E6461" s="24"/>
      <c r="F6461" s="14">
        <v>43.4</v>
      </c>
      <c r="G6461" s="14">
        <v>117.3</v>
      </c>
      <c r="H6461" s="14">
        <v>0.27</v>
      </c>
      <c r="I6461" s="14" t="s">
        <v>6078</v>
      </c>
      <c r="J6461" s="14">
        <v>0.0</v>
      </c>
      <c r="K6461" s="14" t="s">
        <v>6012</v>
      </c>
      <c r="L6461" s="14">
        <v>0.0</v>
      </c>
    </row>
    <row r="6462">
      <c r="A6462" s="14">
        <v>2054.0</v>
      </c>
      <c r="B6462" s="14">
        <v>10.0</v>
      </c>
      <c r="C6462" s="34">
        <v>16.34</v>
      </c>
      <c r="D6462" s="36">
        <v>45544.0</v>
      </c>
      <c r="E6462" s="24"/>
      <c r="F6462" s="14">
        <v>1.63</v>
      </c>
      <c r="G6462" s="14">
        <v>7.96</v>
      </c>
      <c r="H6462" s="14">
        <v>0.49</v>
      </c>
      <c r="I6462" s="14" t="s">
        <v>6079</v>
      </c>
      <c r="J6462" s="14">
        <v>0.0</v>
      </c>
      <c r="K6462" s="14" t="s">
        <v>6012</v>
      </c>
      <c r="L6462" s="14">
        <v>0.0</v>
      </c>
    </row>
    <row r="6463">
      <c r="A6463" s="14">
        <v>802.0</v>
      </c>
      <c r="B6463" s="14">
        <v>3.0</v>
      </c>
      <c r="C6463" s="34">
        <v>35.38</v>
      </c>
      <c r="D6463" s="36">
        <v>45544.0</v>
      </c>
      <c r="E6463" s="24"/>
      <c r="F6463" s="14">
        <v>11.79</v>
      </c>
      <c r="G6463" s="14">
        <v>44.11</v>
      </c>
      <c r="H6463" s="14">
        <v>0.37</v>
      </c>
      <c r="I6463" s="14" t="s">
        <v>6077</v>
      </c>
      <c r="J6463" s="14">
        <v>0.0</v>
      </c>
      <c r="K6463" s="14" t="s">
        <v>6012</v>
      </c>
      <c r="L6463" s="14">
        <v>0.0</v>
      </c>
    </row>
    <row r="6464">
      <c r="A6464" s="14">
        <v>50.0</v>
      </c>
      <c r="B6464" s="14">
        <v>1.0</v>
      </c>
      <c r="C6464" s="34">
        <v>22.54</v>
      </c>
      <c r="D6464" s="36">
        <v>45544.0</v>
      </c>
      <c r="E6464" s="24"/>
      <c r="F6464" s="14">
        <v>22.54</v>
      </c>
      <c r="G6464" s="14">
        <v>450.8</v>
      </c>
      <c r="H6464" s="14">
        <v>2.0</v>
      </c>
      <c r="I6464" s="14" t="s">
        <v>6076</v>
      </c>
      <c r="J6464" s="14">
        <v>0.0</v>
      </c>
      <c r="K6464" s="14" t="s">
        <v>6012</v>
      </c>
      <c r="L6464" s="14">
        <v>0.0</v>
      </c>
    </row>
    <row r="6465">
      <c r="A6465" s="14">
        <v>865.0</v>
      </c>
      <c r="B6465" s="14">
        <v>4.0</v>
      </c>
      <c r="C6465" s="34">
        <v>50.08</v>
      </c>
      <c r="D6465" s="36">
        <v>45545.0</v>
      </c>
      <c r="E6465" s="24"/>
      <c r="F6465" s="14">
        <v>12.52</v>
      </c>
      <c r="G6465" s="14">
        <v>57.9</v>
      </c>
      <c r="H6465" s="14">
        <v>0.46</v>
      </c>
      <c r="I6465" s="14" t="s">
        <v>6078</v>
      </c>
      <c r="J6465" s="14">
        <v>25.0</v>
      </c>
      <c r="K6465" s="14">
        <v>50.08</v>
      </c>
      <c r="L6465" s="14">
        <v>0.0</v>
      </c>
    </row>
    <row r="6466">
      <c r="A6466" s="14">
        <v>64.0</v>
      </c>
      <c r="B6466" s="14">
        <v>1.0</v>
      </c>
      <c r="C6466" s="34">
        <v>27.95</v>
      </c>
      <c r="D6466" s="36">
        <v>45545.0</v>
      </c>
      <c r="E6466" s="24"/>
      <c r="F6466" s="14">
        <v>27.95</v>
      </c>
      <c r="G6466" s="14">
        <v>436.72</v>
      </c>
      <c r="H6466" s="14">
        <v>1.56</v>
      </c>
      <c r="I6466" s="14" t="s">
        <v>6076</v>
      </c>
      <c r="J6466" s="14">
        <v>0.0</v>
      </c>
      <c r="K6466" s="14" t="s">
        <v>6012</v>
      </c>
      <c r="L6466" s="14">
        <v>0.0</v>
      </c>
    </row>
    <row r="6467">
      <c r="A6467" s="14">
        <v>429.0</v>
      </c>
      <c r="B6467" s="14">
        <v>1.0</v>
      </c>
      <c r="C6467" s="34">
        <v>39.13</v>
      </c>
      <c r="D6467" s="36">
        <v>45545.0</v>
      </c>
      <c r="E6467" s="24"/>
      <c r="F6467" s="14">
        <v>39.13</v>
      </c>
      <c r="G6467" s="14">
        <v>91.21</v>
      </c>
      <c r="H6467" s="14">
        <v>0.23</v>
      </c>
      <c r="I6467" s="14" t="s">
        <v>6077</v>
      </c>
      <c r="J6467" s="14">
        <v>100.0</v>
      </c>
      <c r="K6467" s="14">
        <v>39.13</v>
      </c>
      <c r="L6467" s="14">
        <v>0.0</v>
      </c>
    </row>
    <row r="6468">
      <c r="A6468" s="14">
        <v>1130.0</v>
      </c>
      <c r="B6468" s="14">
        <v>11.0</v>
      </c>
      <c r="C6468" s="34">
        <v>17.79</v>
      </c>
      <c r="D6468" s="36">
        <v>45545.0</v>
      </c>
      <c r="E6468" s="24"/>
      <c r="F6468" s="14">
        <v>1.62</v>
      </c>
      <c r="G6468" s="14">
        <v>15.74</v>
      </c>
      <c r="H6468" s="14">
        <v>0.97</v>
      </c>
      <c r="I6468" s="14" t="s">
        <v>6079</v>
      </c>
      <c r="J6468" s="14">
        <v>0.0</v>
      </c>
      <c r="K6468" s="14" t="s">
        <v>6012</v>
      </c>
      <c r="L6468" s="14">
        <v>0.0</v>
      </c>
    </row>
    <row r="6469">
      <c r="A6469" s="14">
        <v>927.0</v>
      </c>
      <c r="B6469" s="14">
        <v>6.0</v>
      </c>
      <c r="C6469" s="34">
        <v>49.06</v>
      </c>
      <c r="D6469" s="36">
        <v>45546.0</v>
      </c>
      <c r="E6469" s="24"/>
      <c r="F6469" s="14">
        <v>8.18</v>
      </c>
      <c r="G6469" s="14">
        <v>52.92</v>
      </c>
      <c r="H6469" s="14">
        <v>0.65</v>
      </c>
      <c r="I6469" s="14" t="s">
        <v>6078</v>
      </c>
      <c r="J6469" s="14">
        <v>33.33</v>
      </c>
      <c r="K6469" s="14">
        <v>24.53</v>
      </c>
      <c r="L6469" s="14">
        <v>0.0</v>
      </c>
    </row>
    <row r="6470">
      <c r="A6470" s="14">
        <v>705.0</v>
      </c>
      <c r="B6470" s="14">
        <v>3.0</v>
      </c>
      <c r="C6470" s="34">
        <v>34.56</v>
      </c>
      <c r="D6470" s="36">
        <v>45546.0</v>
      </c>
      <c r="E6470" s="24"/>
      <c r="F6470" s="14">
        <v>11.52</v>
      </c>
      <c r="G6470" s="14">
        <v>49.02</v>
      </c>
      <c r="H6470" s="14">
        <v>0.43</v>
      </c>
      <c r="I6470" s="14" t="s">
        <v>6077</v>
      </c>
      <c r="J6470" s="14">
        <v>0.0</v>
      </c>
      <c r="K6470" s="14" t="s">
        <v>6012</v>
      </c>
      <c r="L6470" s="14">
        <v>0.0</v>
      </c>
    </row>
    <row r="6471">
      <c r="A6471" s="14">
        <v>1568.0</v>
      </c>
      <c r="B6471" s="14">
        <v>7.0</v>
      </c>
      <c r="C6471" s="34">
        <v>17.59</v>
      </c>
      <c r="D6471" s="36">
        <v>45546.0</v>
      </c>
      <c r="E6471" s="24"/>
      <c r="F6471" s="14">
        <v>2.51</v>
      </c>
      <c r="G6471" s="14">
        <v>11.22</v>
      </c>
      <c r="H6471" s="14">
        <v>0.45</v>
      </c>
      <c r="I6471" s="14" t="s">
        <v>6079</v>
      </c>
      <c r="J6471" s="14">
        <v>14.29</v>
      </c>
      <c r="K6471" s="14">
        <v>17.59</v>
      </c>
      <c r="L6471" s="14">
        <v>0.0</v>
      </c>
    </row>
    <row r="6472">
      <c r="A6472" s="14">
        <v>39.0</v>
      </c>
      <c r="B6472" s="14">
        <v>0.0</v>
      </c>
      <c r="C6472" s="34">
        <v>10.06</v>
      </c>
      <c r="D6472" s="36">
        <v>45546.0</v>
      </c>
      <c r="E6472" s="24"/>
      <c r="F6472" s="14" t="s">
        <v>6012</v>
      </c>
      <c r="G6472" s="14">
        <v>257.95</v>
      </c>
      <c r="H6472" s="14">
        <v>0.0</v>
      </c>
      <c r="I6472" s="14" t="s">
        <v>6076</v>
      </c>
      <c r="J6472" s="14" t="s">
        <v>6012</v>
      </c>
      <c r="K6472" s="14">
        <v>10.06</v>
      </c>
      <c r="L6472" s="14">
        <v>0.0</v>
      </c>
    </row>
    <row r="6473">
      <c r="A6473" s="14">
        <v>2232.0</v>
      </c>
      <c r="B6473" s="14">
        <v>17.0</v>
      </c>
      <c r="C6473" s="34">
        <v>18.01</v>
      </c>
      <c r="D6473" s="36">
        <v>45547.0</v>
      </c>
      <c r="E6473" s="24"/>
      <c r="F6473" s="14">
        <v>1.06</v>
      </c>
      <c r="G6473" s="14">
        <v>8.07</v>
      </c>
      <c r="H6473" s="14">
        <v>0.76</v>
      </c>
      <c r="I6473" s="14" t="s">
        <v>6079</v>
      </c>
      <c r="J6473" s="14">
        <v>0.0</v>
      </c>
      <c r="K6473" s="14" t="s">
        <v>6012</v>
      </c>
      <c r="L6473" s="14">
        <v>0.0</v>
      </c>
    </row>
    <row r="6474">
      <c r="A6474" s="14">
        <v>1023.0</v>
      </c>
      <c r="B6474" s="14">
        <v>4.0</v>
      </c>
      <c r="C6474" s="34">
        <v>40.39</v>
      </c>
      <c r="D6474" s="36">
        <v>45547.0</v>
      </c>
      <c r="E6474" s="24"/>
      <c r="F6474" s="14">
        <v>10.1</v>
      </c>
      <c r="G6474" s="14">
        <v>39.48</v>
      </c>
      <c r="H6474" s="14">
        <v>0.39</v>
      </c>
      <c r="I6474" s="14" t="s">
        <v>6077</v>
      </c>
      <c r="J6474" s="14">
        <v>0.0</v>
      </c>
      <c r="K6474" s="14" t="s">
        <v>6012</v>
      </c>
      <c r="L6474" s="14">
        <v>0.0</v>
      </c>
    </row>
    <row r="6475">
      <c r="A6475" s="14">
        <v>682.0</v>
      </c>
      <c r="B6475" s="14">
        <v>4.0</v>
      </c>
      <c r="C6475" s="34">
        <v>24.03</v>
      </c>
      <c r="D6475" s="36">
        <v>45547.0</v>
      </c>
      <c r="E6475" s="24"/>
      <c r="F6475" s="14">
        <v>6.01</v>
      </c>
      <c r="G6475" s="14">
        <v>35.23</v>
      </c>
      <c r="H6475" s="14">
        <v>0.59</v>
      </c>
      <c r="I6475" s="14" t="s">
        <v>6076</v>
      </c>
      <c r="J6475" s="14">
        <v>0.0</v>
      </c>
      <c r="K6475" s="14" t="s">
        <v>6012</v>
      </c>
      <c r="L6475" s="14">
        <v>0.0</v>
      </c>
    </row>
    <row r="6476">
      <c r="A6476" s="14">
        <v>1117.0</v>
      </c>
      <c r="B6476" s="14">
        <v>5.0</v>
      </c>
      <c r="C6476" s="34">
        <v>49.7</v>
      </c>
      <c r="D6476" s="36">
        <v>45547.0</v>
      </c>
      <c r="E6476" s="24"/>
      <c r="F6476" s="14">
        <v>9.94</v>
      </c>
      <c r="G6476" s="14">
        <v>44.49</v>
      </c>
      <c r="H6476" s="14">
        <v>0.45</v>
      </c>
      <c r="I6476" s="14" t="s">
        <v>6078</v>
      </c>
      <c r="J6476" s="14">
        <v>0.0</v>
      </c>
      <c r="K6476" s="14" t="s">
        <v>6012</v>
      </c>
      <c r="L6476" s="14">
        <v>0.0</v>
      </c>
    </row>
    <row r="6477">
      <c r="A6477" s="14">
        <v>355.0</v>
      </c>
      <c r="B6477" s="14">
        <v>1.0</v>
      </c>
      <c r="C6477" s="34">
        <v>37.98</v>
      </c>
      <c r="D6477" s="36">
        <v>45548.0</v>
      </c>
      <c r="E6477" s="24"/>
      <c r="F6477" s="14">
        <v>37.98</v>
      </c>
      <c r="G6477" s="14">
        <v>106.99</v>
      </c>
      <c r="H6477" s="14">
        <v>0.28</v>
      </c>
      <c r="I6477" s="14" t="s">
        <v>6077</v>
      </c>
      <c r="J6477" s="14">
        <v>100.0</v>
      </c>
      <c r="K6477" s="14">
        <v>37.98</v>
      </c>
      <c r="L6477" s="14">
        <v>0.0</v>
      </c>
    </row>
    <row r="6478">
      <c r="A6478" s="14">
        <v>2033.0</v>
      </c>
      <c r="B6478" s="14">
        <v>14.0</v>
      </c>
      <c r="C6478" s="34">
        <v>16.32</v>
      </c>
      <c r="D6478" s="36">
        <v>45548.0</v>
      </c>
      <c r="E6478" s="24"/>
      <c r="F6478" s="14">
        <v>1.17</v>
      </c>
      <c r="G6478" s="14">
        <v>8.03</v>
      </c>
      <c r="H6478" s="14">
        <v>0.69</v>
      </c>
      <c r="I6478" s="14" t="s">
        <v>6079</v>
      </c>
      <c r="J6478" s="14">
        <v>0.0</v>
      </c>
      <c r="K6478" s="14" t="s">
        <v>6012</v>
      </c>
      <c r="L6478" s="14">
        <v>0.0</v>
      </c>
    </row>
    <row r="6479">
      <c r="A6479" s="14">
        <v>827.0</v>
      </c>
      <c r="B6479" s="14">
        <v>6.0</v>
      </c>
      <c r="C6479" s="34">
        <v>22.89</v>
      </c>
      <c r="D6479" s="36">
        <v>45548.0</v>
      </c>
      <c r="E6479" s="24"/>
      <c r="F6479" s="14">
        <v>3.82</v>
      </c>
      <c r="G6479" s="14">
        <v>27.68</v>
      </c>
      <c r="H6479" s="14">
        <v>0.73</v>
      </c>
      <c r="I6479" s="14" t="s">
        <v>6076</v>
      </c>
      <c r="J6479" s="14">
        <v>0.0</v>
      </c>
      <c r="K6479" s="14" t="s">
        <v>6012</v>
      </c>
      <c r="L6479" s="14">
        <v>0.0</v>
      </c>
    </row>
    <row r="6480">
      <c r="A6480" s="14">
        <v>1126.0</v>
      </c>
      <c r="B6480" s="14">
        <v>1.0</v>
      </c>
      <c r="C6480" s="34">
        <v>44.11</v>
      </c>
      <c r="D6480" s="36">
        <v>45548.0</v>
      </c>
      <c r="E6480" s="24"/>
      <c r="F6480" s="14">
        <v>44.11</v>
      </c>
      <c r="G6480" s="14">
        <v>39.17</v>
      </c>
      <c r="H6480" s="14">
        <v>0.09</v>
      </c>
      <c r="I6480" s="14" t="s">
        <v>6078</v>
      </c>
      <c r="J6480" s="14">
        <v>0.0</v>
      </c>
      <c r="K6480" s="14" t="s">
        <v>6012</v>
      </c>
      <c r="L6480" s="14">
        <v>0.0</v>
      </c>
    </row>
    <row r="6481">
      <c r="A6481" s="14">
        <v>189.0</v>
      </c>
      <c r="B6481" s="14">
        <v>1.0</v>
      </c>
      <c r="C6481" s="34">
        <v>17.01</v>
      </c>
      <c r="D6481" s="36">
        <v>45549.0</v>
      </c>
      <c r="E6481" s="24"/>
      <c r="F6481" s="14">
        <v>17.01</v>
      </c>
      <c r="G6481" s="14">
        <v>90.0</v>
      </c>
      <c r="H6481" s="14">
        <v>0.53</v>
      </c>
      <c r="I6481" s="14" t="s">
        <v>6076</v>
      </c>
      <c r="J6481" s="14">
        <v>100.0</v>
      </c>
      <c r="K6481" s="14">
        <v>17.01</v>
      </c>
      <c r="L6481" s="14">
        <v>0.0</v>
      </c>
    </row>
    <row r="6482">
      <c r="A6482" s="14">
        <v>86.0</v>
      </c>
      <c r="B6482" s="14">
        <v>0.0</v>
      </c>
      <c r="C6482" s="34">
        <v>19.8</v>
      </c>
      <c r="D6482" s="36">
        <v>45549.0</v>
      </c>
      <c r="E6482" s="24"/>
      <c r="F6482" s="14" t="s">
        <v>6012</v>
      </c>
      <c r="G6482" s="14">
        <v>230.23</v>
      </c>
      <c r="H6482" s="14">
        <v>0.0</v>
      </c>
      <c r="I6482" s="14" t="s">
        <v>6077</v>
      </c>
      <c r="J6482" s="14" t="s">
        <v>6012</v>
      </c>
      <c r="K6482" s="14">
        <v>9.9</v>
      </c>
      <c r="L6482" s="14">
        <v>0.0</v>
      </c>
    </row>
    <row r="6483">
      <c r="A6483" s="14">
        <v>295.0</v>
      </c>
      <c r="B6483" s="14">
        <v>3.0</v>
      </c>
      <c r="C6483" s="34">
        <v>25.54</v>
      </c>
      <c r="D6483" s="36">
        <v>45549.0</v>
      </c>
      <c r="E6483" s="24"/>
      <c r="F6483" s="14">
        <v>8.51</v>
      </c>
      <c r="G6483" s="14">
        <v>86.58</v>
      </c>
      <c r="H6483" s="14">
        <v>1.02</v>
      </c>
      <c r="I6483" s="14" t="s">
        <v>6078</v>
      </c>
      <c r="J6483" s="14">
        <v>0.0</v>
      </c>
      <c r="K6483" s="14" t="s">
        <v>6012</v>
      </c>
      <c r="L6483" s="14">
        <v>0.0</v>
      </c>
    </row>
    <row r="6484">
      <c r="A6484" s="14">
        <v>1427.0</v>
      </c>
      <c r="B6484" s="14">
        <v>12.0</v>
      </c>
      <c r="C6484" s="34">
        <v>9.87</v>
      </c>
      <c r="D6484" s="36">
        <v>45549.0</v>
      </c>
      <c r="E6484" s="24"/>
      <c r="F6484" s="14">
        <v>0.82</v>
      </c>
      <c r="G6484" s="14">
        <v>6.92</v>
      </c>
      <c r="H6484" s="14">
        <v>0.84</v>
      </c>
      <c r="I6484" s="14" t="s">
        <v>6079</v>
      </c>
      <c r="J6484" s="14">
        <v>8.33</v>
      </c>
      <c r="K6484" s="14">
        <v>9.87</v>
      </c>
      <c r="L6484" s="14">
        <v>0.0</v>
      </c>
    </row>
    <row r="6485">
      <c r="A6485" s="14">
        <v>122.0</v>
      </c>
      <c r="B6485" s="14">
        <v>0.0</v>
      </c>
      <c r="C6485" s="34">
        <v>16.76</v>
      </c>
      <c r="D6485" s="36">
        <v>45550.0</v>
      </c>
      <c r="E6485" s="24"/>
      <c r="F6485" s="14" t="s">
        <v>6012</v>
      </c>
      <c r="G6485" s="14">
        <v>137.38</v>
      </c>
      <c r="H6485" s="14">
        <v>0.0</v>
      </c>
      <c r="I6485" s="14" t="s">
        <v>6077</v>
      </c>
      <c r="J6485" s="14" t="s">
        <v>6012</v>
      </c>
      <c r="K6485" s="14" t="s">
        <v>6012</v>
      </c>
      <c r="L6485" s="14">
        <v>0.0</v>
      </c>
    </row>
    <row r="6486">
      <c r="A6486" s="14">
        <v>1485.0</v>
      </c>
      <c r="B6486" s="14">
        <v>10.0</v>
      </c>
      <c r="C6486" s="34">
        <v>9.08</v>
      </c>
      <c r="D6486" s="36">
        <v>45550.0</v>
      </c>
      <c r="E6486" s="24"/>
      <c r="F6486" s="14">
        <v>0.91</v>
      </c>
      <c r="G6486" s="14">
        <v>6.11</v>
      </c>
      <c r="H6486" s="14">
        <v>0.67</v>
      </c>
      <c r="I6486" s="14" t="s">
        <v>6079</v>
      </c>
      <c r="J6486" s="14">
        <v>0.0</v>
      </c>
      <c r="K6486" s="14" t="s">
        <v>6012</v>
      </c>
      <c r="L6486" s="14">
        <v>0.0</v>
      </c>
    </row>
    <row r="6487">
      <c r="A6487" s="14">
        <v>126.0</v>
      </c>
      <c r="B6487" s="14">
        <v>2.0</v>
      </c>
      <c r="C6487" s="34">
        <v>24.0</v>
      </c>
      <c r="D6487" s="36">
        <v>45550.0</v>
      </c>
      <c r="E6487" s="24"/>
      <c r="F6487" s="14">
        <v>12.0</v>
      </c>
      <c r="G6487" s="14">
        <v>190.48</v>
      </c>
      <c r="H6487" s="14">
        <v>1.59</v>
      </c>
      <c r="I6487" s="14" t="s">
        <v>6078</v>
      </c>
      <c r="J6487" s="14">
        <v>0.0</v>
      </c>
      <c r="K6487" s="14" t="s">
        <v>6012</v>
      </c>
      <c r="L6487" s="14">
        <v>0.0</v>
      </c>
    </row>
    <row r="6488">
      <c r="A6488" s="14">
        <v>133.0</v>
      </c>
      <c r="B6488" s="14">
        <v>1.0</v>
      </c>
      <c r="C6488" s="34">
        <v>15.52</v>
      </c>
      <c r="D6488" s="36">
        <v>45550.0</v>
      </c>
      <c r="E6488" s="24"/>
      <c r="F6488" s="14">
        <v>15.52</v>
      </c>
      <c r="G6488" s="14">
        <v>116.69</v>
      </c>
      <c r="H6488" s="14">
        <v>0.75</v>
      </c>
      <c r="I6488" s="14" t="s">
        <v>6076</v>
      </c>
      <c r="J6488" s="14">
        <v>0.0</v>
      </c>
      <c r="K6488" s="14" t="s">
        <v>6012</v>
      </c>
      <c r="L6488" s="14">
        <v>0.0</v>
      </c>
    </row>
    <row r="6489">
      <c r="A6489" s="14">
        <v>2398.0</v>
      </c>
      <c r="B6489" s="14">
        <v>18.0</v>
      </c>
      <c r="C6489" s="34">
        <v>16.26</v>
      </c>
      <c r="D6489" s="36">
        <v>45551.0</v>
      </c>
      <c r="E6489" s="24"/>
      <c r="F6489" s="14">
        <v>0.9</v>
      </c>
      <c r="G6489" s="14">
        <v>6.78</v>
      </c>
      <c r="H6489" s="14">
        <v>0.75</v>
      </c>
      <c r="I6489" s="14" t="s">
        <v>6079</v>
      </c>
      <c r="J6489" s="14">
        <v>0.0</v>
      </c>
      <c r="K6489" s="14" t="s">
        <v>6012</v>
      </c>
      <c r="L6489" s="14">
        <v>0.0</v>
      </c>
    </row>
    <row r="6490">
      <c r="A6490" s="14">
        <v>518.0</v>
      </c>
      <c r="B6490" s="14">
        <v>0.0</v>
      </c>
      <c r="C6490" s="34">
        <v>34.18</v>
      </c>
      <c r="D6490" s="36">
        <v>45551.0</v>
      </c>
      <c r="E6490" s="24"/>
      <c r="F6490" s="14" t="s">
        <v>6012</v>
      </c>
      <c r="G6490" s="14">
        <v>65.98</v>
      </c>
      <c r="H6490" s="14">
        <v>0.0</v>
      </c>
      <c r="I6490" s="14" t="s">
        <v>6077</v>
      </c>
      <c r="J6490" s="14" t="s">
        <v>6012</v>
      </c>
      <c r="K6490" s="14" t="s">
        <v>6012</v>
      </c>
      <c r="L6490" s="14">
        <v>0.0</v>
      </c>
    </row>
    <row r="6491">
      <c r="A6491" s="14">
        <v>477.0</v>
      </c>
      <c r="B6491" s="14">
        <v>5.0</v>
      </c>
      <c r="C6491" s="34">
        <v>21.67</v>
      </c>
      <c r="D6491" s="36">
        <v>45551.0</v>
      </c>
      <c r="E6491" s="24"/>
      <c r="F6491" s="14">
        <v>4.33</v>
      </c>
      <c r="G6491" s="14">
        <v>45.43</v>
      </c>
      <c r="H6491" s="14">
        <v>1.05</v>
      </c>
      <c r="I6491" s="14" t="s">
        <v>6076</v>
      </c>
      <c r="J6491" s="14">
        <v>0.0</v>
      </c>
      <c r="K6491" s="14" t="s">
        <v>6012</v>
      </c>
      <c r="L6491" s="14">
        <v>0.0</v>
      </c>
    </row>
    <row r="6492">
      <c r="A6492" s="14">
        <v>348.0</v>
      </c>
      <c r="B6492" s="14">
        <v>1.0</v>
      </c>
      <c r="C6492" s="34">
        <v>42.29</v>
      </c>
      <c r="D6492" s="36">
        <v>45551.0</v>
      </c>
      <c r="E6492" s="24"/>
      <c r="F6492" s="14">
        <v>42.29</v>
      </c>
      <c r="G6492" s="14">
        <v>121.52</v>
      </c>
      <c r="H6492" s="14">
        <v>0.29</v>
      </c>
      <c r="I6492" s="14" t="s">
        <v>6078</v>
      </c>
      <c r="J6492" s="14">
        <v>0.0</v>
      </c>
      <c r="K6492" s="14" t="s">
        <v>6012</v>
      </c>
      <c r="L6492" s="14">
        <v>0.0</v>
      </c>
    </row>
    <row r="6493">
      <c r="A6493" s="14">
        <v>267.0</v>
      </c>
      <c r="B6493" s="14">
        <v>2.0</v>
      </c>
      <c r="C6493" s="34">
        <v>26.12</v>
      </c>
      <c r="D6493" s="36">
        <v>45552.0</v>
      </c>
      <c r="E6493" s="24"/>
      <c r="F6493" s="14">
        <v>13.06</v>
      </c>
      <c r="G6493" s="14">
        <v>97.83</v>
      </c>
      <c r="H6493" s="14">
        <v>0.75</v>
      </c>
      <c r="I6493" s="14" t="s">
        <v>6076</v>
      </c>
      <c r="J6493" s="14">
        <v>0.0</v>
      </c>
      <c r="K6493" s="14" t="s">
        <v>6012</v>
      </c>
      <c r="L6493" s="14">
        <v>0.0</v>
      </c>
    </row>
    <row r="6494">
      <c r="A6494" s="14">
        <v>677.0</v>
      </c>
      <c r="B6494" s="14">
        <v>1.0</v>
      </c>
      <c r="C6494" s="34">
        <v>39.31</v>
      </c>
      <c r="D6494" s="36">
        <v>45552.0</v>
      </c>
      <c r="E6494" s="24"/>
      <c r="F6494" s="14">
        <v>39.31</v>
      </c>
      <c r="G6494" s="14">
        <v>58.06</v>
      </c>
      <c r="H6494" s="14">
        <v>0.15</v>
      </c>
      <c r="I6494" s="14" t="s">
        <v>6077</v>
      </c>
      <c r="J6494" s="14">
        <v>0.0</v>
      </c>
      <c r="K6494" s="14" t="s">
        <v>6012</v>
      </c>
      <c r="L6494" s="14">
        <v>0.0</v>
      </c>
    </row>
    <row r="6495">
      <c r="A6495" s="14">
        <v>1784.0</v>
      </c>
      <c r="B6495" s="14">
        <v>12.0</v>
      </c>
      <c r="C6495" s="34">
        <v>17.7</v>
      </c>
      <c r="D6495" s="36">
        <v>45552.0</v>
      </c>
      <c r="E6495" s="24"/>
      <c r="F6495" s="14">
        <v>1.48</v>
      </c>
      <c r="G6495" s="14">
        <v>9.92</v>
      </c>
      <c r="H6495" s="14">
        <v>0.67</v>
      </c>
      <c r="I6495" s="14" t="s">
        <v>6079</v>
      </c>
      <c r="J6495" s="14">
        <v>16.67</v>
      </c>
      <c r="K6495" s="14">
        <v>8.85</v>
      </c>
      <c r="L6495" s="14">
        <v>0.0</v>
      </c>
    </row>
    <row r="6496">
      <c r="A6496" s="14">
        <v>1047.0</v>
      </c>
      <c r="B6496" s="14">
        <v>2.0</v>
      </c>
      <c r="C6496" s="34">
        <v>48.35</v>
      </c>
      <c r="D6496" s="36">
        <v>45552.0</v>
      </c>
      <c r="E6496" s="24"/>
      <c r="F6496" s="14">
        <v>24.18</v>
      </c>
      <c r="G6496" s="14">
        <v>46.18</v>
      </c>
      <c r="H6496" s="14">
        <v>0.19</v>
      </c>
      <c r="I6496" s="14" t="s">
        <v>6078</v>
      </c>
      <c r="J6496" s="14">
        <v>0.0</v>
      </c>
      <c r="K6496" s="14" t="s">
        <v>6012</v>
      </c>
      <c r="L6496" s="14">
        <v>0.0</v>
      </c>
    </row>
    <row r="6497">
      <c r="A6497" s="14">
        <v>721.0</v>
      </c>
      <c r="B6497" s="14">
        <v>4.0</v>
      </c>
      <c r="C6497" s="34">
        <v>38.62</v>
      </c>
      <c r="D6497" s="36">
        <v>45553.0</v>
      </c>
      <c r="E6497" s="24"/>
      <c r="F6497" s="14">
        <v>9.65</v>
      </c>
      <c r="G6497" s="14">
        <v>53.56</v>
      </c>
      <c r="H6497" s="14">
        <v>0.55</v>
      </c>
      <c r="I6497" s="14" t="s">
        <v>6077</v>
      </c>
      <c r="J6497" s="14">
        <v>0.0</v>
      </c>
      <c r="K6497" s="14" t="s">
        <v>6012</v>
      </c>
      <c r="L6497" s="14">
        <v>0.0</v>
      </c>
    </row>
    <row r="6498">
      <c r="A6498" s="14">
        <v>224.0</v>
      </c>
      <c r="B6498" s="14">
        <v>1.0</v>
      </c>
      <c r="C6498" s="34">
        <v>24.4</v>
      </c>
      <c r="D6498" s="36">
        <v>45553.0</v>
      </c>
      <c r="E6498" s="24"/>
      <c r="F6498" s="14">
        <v>24.4</v>
      </c>
      <c r="G6498" s="14">
        <v>108.93</v>
      </c>
      <c r="H6498" s="14">
        <v>0.45</v>
      </c>
      <c r="I6498" s="14" t="s">
        <v>6076</v>
      </c>
      <c r="J6498" s="14">
        <v>0.0</v>
      </c>
      <c r="K6498" s="14" t="s">
        <v>6012</v>
      </c>
      <c r="L6498" s="14">
        <v>0.0</v>
      </c>
    </row>
    <row r="6499">
      <c r="A6499" s="14">
        <v>727.0</v>
      </c>
      <c r="B6499" s="14">
        <v>2.0</v>
      </c>
      <c r="C6499" s="34">
        <v>49.01</v>
      </c>
      <c r="D6499" s="36">
        <v>45553.0</v>
      </c>
      <c r="E6499" s="24"/>
      <c r="F6499" s="14">
        <v>24.5</v>
      </c>
      <c r="G6499" s="14">
        <v>67.41</v>
      </c>
      <c r="H6499" s="14">
        <v>0.28</v>
      </c>
      <c r="I6499" s="14" t="s">
        <v>6078</v>
      </c>
      <c r="J6499" s="14">
        <v>0.0</v>
      </c>
      <c r="K6499" s="14" t="s">
        <v>6012</v>
      </c>
      <c r="L6499" s="14">
        <v>0.0</v>
      </c>
    </row>
    <row r="6500">
      <c r="A6500" s="14">
        <v>2080.0</v>
      </c>
      <c r="B6500" s="14">
        <v>16.0</v>
      </c>
      <c r="C6500" s="34">
        <v>17.86</v>
      </c>
      <c r="D6500" s="36">
        <v>45553.0</v>
      </c>
      <c r="E6500" s="24"/>
      <c r="F6500" s="14">
        <v>1.12</v>
      </c>
      <c r="G6500" s="14">
        <v>8.59</v>
      </c>
      <c r="H6500" s="14">
        <v>0.77</v>
      </c>
      <c r="I6500" s="14" t="s">
        <v>6079</v>
      </c>
      <c r="J6500" s="14">
        <v>6.25</v>
      </c>
      <c r="K6500" s="14">
        <v>17.86</v>
      </c>
      <c r="L6500" s="14">
        <v>0.0</v>
      </c>
    </row>
    <row r="6501">
      <c r="A6501" s="14">
        <v>450.0</v>
      </c>
      <c r="B6501" s="14">
        <v>5.0</v>
      </c>
      <c r="C6501" s="34">
        <v>23.09</v>
      </c>
      <c r="D6501" s="36">
        <v>45554.0</v>
      </c>
      <c r="E6501" s="24"/>
      <c r="F6501" s="14">
        <v>4.62</v>
      </c>
      <c r="G6501" s="14">
        <v>51.31</v>
      </c>
      <c r="H6501" s="14">
        <v>1.11</v>
      </c>
      <c r="I6501" s="14" t="s">
        <v>6076</v>
      </c>
      <c r="J6501" s="14">
        <v>0.0</v>
      </c>
      <c r="K6501" s="14" t="s">
        <v>6012</v>
      </c>
      <c r="L6501" s="14">
        <v>0.0</v>
      </c>
    </row>
    <row r="6502">
      <c r="A6502" s="14">
        <v>931.0</v>
      </c>
      <c r="B6502" s="14">
        <v>1.0</v>
      </c>
      <c r="C6502" s="34">
        <v>49.7</v>
      </c>
      <c r="D6502" s="36">
        <v>45554.0</v>
      </c>
      <c r="E6502" s="24"/>
      <c r="F6502" s="14">
        <v>49.7</v>
      </c>
      <c r="G6502" s="14">
        <v>53.38</v>
      </c>
      <c r="H6502" s="14">
        <v>0.11</v>
      </c>
      <c r="I6502" s="14" t="s">
        <v>6078</v>
      </c>
      <c r="J6502" s="14">
        <v>200.0</v>
      </c>
      <c r="K6502" s="14">
        <v>24.85</v>
      </c>
      <c r="L6502" s="14">
        <v>0.0</v>
      </c>
    </row>
    <row r="6503">
      <c r="A6503" s="14">
        <v>1939.0</v>
      </c>
      <c r="B6503" s="14">
        <v>13.0</v>
      </c>
      <c r="C6503" s="34">
        <v>18.1</v>
      </c>
      <c r="D6503" s="36">
        <v>45554.0</v>
      </c>
      <c r="E6503" s="24"/>
      <c r="F6503" s="14">
        <v>1.39</v>
      </c>
      <c r="G6503" s="14">
        <v>9.33</v>
      </c>
      <c r="H6503" s="14">
        <v>0.67</v>
      </c>
      <c r="I6503" s="14" t="s">
        <v>6079</v>
      </c>
      <c r="J6503" s="14">
        <v>0.0</v>
      </c>
      <c r="K6503" s="14" t="s">
        <v>6012</v>
      </c>
      <c r="L6503" s="14">
        <v>0.0</v>
      </c>
    </row>
    <row r="6504">
      <c r="A6504" s="14">
        <v>445.0</v>
      </c>
      <c r="B6504" s="14">
        <v>2.0</v>
      </c>
      <c r="C6504" s="34">
        <v>40.73</v>
      </c>
      <c r="D6504" s="36">
        <v>45554.0</v>
      </c>
      <c r="E6504" s="24"/>
      <c r="F6504" s="14">
        <v>20.36</v>
      </c>
      <c r="G6504" s="14">
        <v>91.53</v>
      </c>
      <c r="H6504" s="14">
        <v>0.45</v>
      </c>
      <c r="I6504" s="14" t="s">
        <v>6077</v>
      </c>
      <c r="J6504" s="14">
        <v>50.0</v>
      </c>
      <c r="K6504" s="14">
        <v>40.73</v>
      </c>
      <c r="L6504" s="14">
        <v>0.0</v>
      </c>
    </row>
    <row r="6505">
      <c r="A6505" s="14">
        <v>821.0</v>
      </c>
      <c r="B6505" s="14">
        <v>1.0</v>
      </c>
      <c r="C6505" s="34">
        <v>44.66</v>
      </c>
      <c r="D6505" s="36">
        <v>45555.0</v>
      </c>
      <c r="E6505" s="24"/>
      <c r="F6505" s="14">
        <v>44.66</v>
      </c>
      <c r="G6505" s="14">
        <v>54.4</v>
      </c>
      <c r="H6505" s="14">
        <v>0.12</v>
      </c>
      <c r="I6505" s="14" t="s">
        <v>6078</v>
      </c>
      <c r="J6505" s="14">
        <v>0.0</v>
      </c>
      <c r="K6505" s="14" t="s">
        <v>6012</v>
      </c>
      <c r="L6505" s="14">
        <v>0.0</v>
      </c>
    </row>
    <row r="6506">
      <c r="A6506" s="14">
        <v>1711.0</v>
      </c>
      <c r="B6506" s="14">
        <v>6.0</v>
      </c>
      <c r="C6506" s="34">
        <v>16.3</v>
      </c>
      <c r="D6506" s="36">
        <v>45555.0</v>
      </c>
      <c r="E6506" s="24"/>
      <c r="F6506" s="14">
        <v>2.72</v>
      </c>
      <c r="G6506" s="14">
        <v>9.53</v>
      </c>
      <c r="H6506" s="14">
        <v>0.35</v>
      </c>
      <c r="I6506" s="14" t="s">
        <v>6079</v>
      </c>
      <c r="J6506" s="14">
        <v>0.0</v>
      </c>
      <c r="K6506" s="14" t="s">
        <v>6012</v>
      </c>
      <c r="L6506" s="14">
        <v>0.0</v>
      </c>
    </row>
    <row r="6507">
      <c r="A6507" s="14">
        <v>453.0</v>
      </c>
      <c r="B6507" s="14">
        <v>2.0</v>
      </c>
      <c r="C6507" s="34">
        <v>34.88</v>
      </c>
      <c r="D6507" s="36">
        <v>45555.0</v>
      </c>
      <c r="E6507" s="24"/>
      <c r="F6507" s="14">
        <v>17.44</v>
      </c>
      <c r="G6507" s="14">
        <v>77.0</v>
      </c>
      <c r="H6507" s="14">
        <v>0.44</v>
      </c>
      <c r="I6507" s="14" t="s">
        <v>6077</v>
      </c>
      <c r="J6507" s="14">
        <v>0.0</v>
      </c>
      <c r="K6507" s="14" t="s">
        <v>6012</v>
      </c>
      <c r="L6507" s="14">
        <v>0.0</v>
      </c>
    </row>
    <row r="6508">
      <c r="A6508" s="14">
        <v>356.0</v>
      </c>
      <c r="B6508" s="14">
        <v>1.0</v>
      </c>
      <c r="C6508" s="34">
        <v>20.25</v>
      </c>
      <c r="D6508" s="36">
        <v>45555.0</v>
      </c>
      <c r="E6508" s="24"/>
      <c r="F6508" s="14">
        <v>20.25</v>
      </c>
      <c r="G6508" s="14">
        <v>56.88</v>
      </c>
      <c r="H6508" s="14">
        <v>0.28</v>
      </c>
      <c r="I6508" s="14" t="s">
        <v>6076</v>
      </c>
      <c r="J6508" s="14">
        <v>100.0</v>
      </c>
      <c r="K6508" s="14">
        <v>20.25</v>
      </c>
      <c r="L6508" s="14">
        <v>0.0</v>
      </c>
    </row>
    <row r="6509">
      <c r="A6509" s="14">
        <v>1164.0</v>
      </c>
      <c r="B6509" s="14">
        <v>6.0</v>
      </c>
      <c r="C6509" s="34">
        <v>9.78</v>
      </c>
      <c r="D6509" s="36">
        <v>45556.0</v>
      </c>
      <c r="E6509" s="24"/>
      <c r="F6509" s="14">
        <v>1.63</v>
      </c>
      <c r="G6509" s="14">
        <v>8.4</v>
      </c>
      <c r="H6509" s="14">
        <v>0.52</v>
      </c>
      <c r="I6509" s="14" t="s">
        <v>6079</v>
      </c>
      <c r="J6509" s="14">
        <v>16.67</v>
      </c>
      <c r="K6509" s="14">
        <v>9.78</v>
      </c>
      <c r="L6509" s="14">
        <v>0.0</v>
      </c>
    </row>
    <row r="6510">
      <c r="A6510" s="14">
        <v>335.0</v>
      </c>
      <c r="B6510" s="14">
        <v>5.0</v>
      </c>
      <c r="C6510" s="34">
        <v>25.67</v>
      </c>
      <c r="D6510" s="36">
        <v>45556.0</v>
      </c>
      <c r="E6510" s="24"/>
      <c r="F6510" s="14">
        <v>5.13</v>
      </c>
      <c r="G6510" s="14">
        <v>76.63</v>
      </c>
      <c r="H6510" s="14">
        <v>1.49</v>
      </c>
      <c r="I6510" s="14" t="s">
        <v>6078</v>
      </c>
      <c r="J6510" s="14">
        <v>0.0</v>
      </c>
      <c r="K6510" s="14" t="s">
        <v>6012</v>
      </c>
      <c r="L6510" s="14">
        <v>0.0</v>
      </c>
    </row>
    <row r="6511">
      <c r="A6511" s="14">
        <v>201.0</v>
      </c>
      <c r="B6511" s="14">
        <v>0.0</v>
      </c>
      <c r="C6511" s="34">
        <v>19.5</v>
      </c>
      <c r="D6511" s="36">
        <v>45556.0</v>
      </c>
      <c r="E6511" s="24"/>
      <c r="F6511" s="14" t="s">
        <v>6012</v>
      </c>
      <c r="G6511" s="14">
        <v>97.01</v>
      </c>
      <c r="H6511" s="14">
        <v>0.0</v>
      </c>
      <c r="I6511" s="14" t="s">
        <v>6077</v>
      </c>
      <c r="J6511" s="14" t="s">
        <v>6012</v>
      </c>
      <c r="K6511" s="14" t="s">
        <v>6012</v>
      </c>
      <c r="L6511" s="14">
        <v>0.0</v>
      </c>
    </row>
    <row r="6512">
      <c r="A6512" s="14">
        <v>234.0</v>
      </c>
      <c r="B6512" s="14">
        <v>1.0</v>
      </c>
      <c r="C6512" s="34">
        <v>12.98</v>
      </c>
      <c r="D6512" s="36">
        <v>45556.0</v>
      </c>
      <c r="E6512" s="24"/>
      <c r="F6512" s="14">
        <v>12.98</v>
      </c>
      <c r="G6512" s="14">
        <v>55.47</v>
      </c>
      <c r="H6512" s="14">
        <v>0.43</v>
      </c>
      <c r="I6512" s="14" t="s">
        <v>6076</v>
      </c>
      <c r="J6512" s="14">
        <v>100.0</v>
      </c>
      <c r="K6512" s="14">
        <v>12.98</v>
      </c>
      <c r="L6512" s="14">
        <v>0.0</v>
      </c>
    </row>
    <row r="6513">
      <c r="A6513" s="14">
        <v>113.0</v>
      </c>
      <c r="B6513" s="14">
        <v>3.0</v>
      </c>
      <c r="C6513" s="34">
        <v>11.49</v>
      </c>
      <c r="D6513" s="36">
        <v>45557.0</v>
      </c>
      <c r="E6513" s="24"/>
      <c r="F6513" s="14">
        <v>3.83</v>
      </c>
      <c r="G6513" s="14">
        <v>101.68</v>
      </c>
      <c r="H6513" s="14">
        <v>2.65</v>
      </c>
      <c r="I6513" s="14" t="s">
        <v>6076</v>
      </c>
      <c r="J6513" s="14">
        <v>33.33</v>
      </c>
      <c r="K6513" s="14">
        <v>11.49</v>
      </c>
      <c r="L6513" s="14">
        <v>0.0</v>
      </c>
    </row>
    <row r="6514">
      <c r="A6514" s="14">
        <v>127.0</v>
      </c>
      <c r="B6514" s="14">
        <v>0.0</v>
      </c>
      <c r="C6514" s="34">
        <v>16.78</v>
      </c>
      <c r="D6514" s="36">
        <v>45557.0</v>
      </c>
      <c r="E6514" s="24"/>
      <c r="F6514" s="14" t="s">
        <v>6012</v>
      </c>
      <c r="G6514" s="14">
        <v>132.13</v>
      </c>
      <c r="H6514" s="14">
        <v>0.0</v>
      </c>
      <c r="I6514" s="14" t="s">
        <v>6077</v>
      </c>
      <c r="J6514" s="14" t="s">
        <v>6012</v>
      </c>
      <c r="K6514" s="14" t="s">
        <v>6012</v>
      </c>
      <c r="L6514" s="14">
        <v>0.0</v>
      </c>
    </row>
    <row r="6515">
      <c r="A6515" s="14">
        <v>136.0</v>
      </c>
      <c r="B6515" s="14">
        <v>0.0</v>
      </c>
      <c r="C6515" s="34">
        <v>23.13</v>
      </c>
      <c r="D6515" s="36">
        <v>45557.0</v>
      </c>
      <c r="E6515" s="24"/>
      <c r="F6515" s="14" t="s">
        <v>6012</v>
      </c>
      <c r="G6515" s="14">
        <v>170.07</v>
      </c>
      <c r="H6515" s="14">
        <v>0.0</v>
      </c>
      <c r="I6515" s="14" t="s">
        <v>6078</v>
      </c>
      <c r="J6515" s="14" t="s">
        <v>6012</v>
      </c>
      <c r="K6515" s="14" t="s">
        <v>6012</v>
      </c>
      <c r="L6515" s="14">
        <v>0.0</v>
      </c>
    </row>
    <row r="6516">
      <c r="A6516" s="14">
        <v>1236.0</v>
      </c>
      <c r="B6516" s="14">
        <v>7.0</v>
      </c>
      <c r="C6516" s="34">
        <v>9.0</v>
      </c>
      <c r="D6516" s="36">
        <v>45557.0</v>
      </c>
      <c r="E6516" s="24"/>
      <c r="F6516" s="14">
        <v>1.29</v>
      </c>
      <c r="G6516" s="14">
        <v>7.28</v>
      </c>
      <c r="H6516" s="14">
        <v>0.57</v>
      </c>
      <c r="I6516" s="14" t="s">
        <v>6079</v>
      </c>
      <c r="J6516" s="14">
        <v>28.57</v>
      </c>
      <c r="K6516" s="14">
        <v>4.5</v>
      </c>
      <c r="L6516" s="14">
        <v>0.0</v>
      </c>
    </row>
    <row r="6517">
      <c r="A6517" s="14">
        <v>447.0</v>
      </c>
      <c r="B6517" s="14">
        <v>4.0</v>
      </c>
      <c r="C6517" s="34">
        <v>22.49</v>
      </c>
      <c r="D6517" s="36">
        <v>45558.0</v>
      </c>
      <c r="E6517" s="24"/>
      <c r="F6517" s="14">
        <v>5.62</v>
      </c>
      <c r="G6517" s="14">
        <v>50.31</v>
      </c>
      <c r="H6517" s="14">
        <v>0.89</v>
      </c>
      <c r="I6517" s="14" t="s">
        <v>6076</v>
      </c>
      <c r="J6517" s="14">
        <v>50.0</v>
      </c>
      <c r="K6517" s="14">
        <v>11.24</v>
      </c>
      <c r="L6517" s="14">
        <v>0.0</v>
      </c>
    </row>
    <row r="6518">
      <c r="A6518" s="14">
        <v>2141.0</v>
      </c>
      <c r="B6518" s="14">
        <v>12.0</v>
      </c>
      <c r="C6518" s="34">
        <v>16.45</v>
      </c>
      <c r="D6518" s="36">
        <v>45558.0</v>
      </c>
      <c r="E6518" s="24"/>
      <c r="F6518" s="14">
        <v>1.37</v>
      </c>
      <c r="G6518" s="14">
        <v>7.68</v>
      </c>
      <c r="H6518" s="14">
        <v>0.56</v>
      </c>
      <c r="I6518" s="14" t="s">
        <v>6079</v>
      </c>
      <c r="J6518" s="14">
        <v>8.33</v>
      </c>
      <c r="K6518" s="14">
        <v>16.45</v>
      </c>
      <c r="L6518" s="14">
        <v>0.0</v>
      </c>
    </row>
    <row r="6519">
      <c r="A6519" s="14">
        <v>690.0</v>
      </c>
      <c r="B6519" s="14">
        <v>4.0</v>
      </c>
      <c r="C6519" s="34">
        <v>43.0</v>
      </c>
      <c r="D6519" s="36">
        <v>45558.0</v>
      </c>
      <c r="E6519" s="24"/>
      <c r="F6519" s="14">
        <v>10.75</v>
      </c>
      <c r="G6519" s="14">
        <v>62.32</v>
      </c>
      <c r="H6519" s="14">
        <v>0.58</v>
      </c>
      <c r="I6519" s="14" t="s">
        <v>6078</v>
      </c>
      <c r="J6519" s="14">
        <v>0.0</v>
      </c>
      <c r="K6519" s="14" t="s">
        <v>6012</v>
      </c>
      <c r="L6519" s="14">
        <v>0.0</v>
      </c>
    </row>
    <row r="6520">
      <c r="A6520" s="14">
        <v>398.0</v>
      </c>
      <c r="B6520" s="14">
        <v>2.0</v>
      </c>
      <c r="C6520" s="34">
        <v>35.05</v>
      </c>
      <c r="D6520" s="36">
        <v>45558.0</v>
      </c>
      <c r="E6520" s="24"/>
      <c r="F6520" s="14">
        <v>17.52</v>
      </c>
      <c r="G6520" s="14">
        <v>88.07</v>
      </c>
      <c r="H6520" s="14">
        <v>0.5</v>
      </c>
      <c r="I6520" s="14" t="s">
        <v>6077</v>
      </c>
      <c r="J6520" s="14">
        <v>0.0</v>
      </c>
      <c r="K6520" s="14" t="s">
        <v>6012</v>
      </c>
      <c r="L6520" s="14">
        <v>0.0</v>
      </c>
    </row>
    <row r="6521">
      <c r="A6521" s="14">
        <v>590.0</v>
      </c>
      <c r="B6521" s="14">
        <v>8.0</v>
      </c>
      <c r="C6521" s="34">
        <v>24.44</v>
      </c>
      <c r="D6521" s="36">
        <v>45559.0</v>
      </c>
      <c r="E6521" s="24"/>
      <c r="F6521" s="14">
        <v>3.06</v>
      </c>
      <c r="G6521" s="14">
        <v>41.42</v>
      </c>
      <c r="H6521" s="14">
        <v>1.36</v>
      </c>
      <c r="I6521" s="14" t="s">
        <v>6076</v>
      </c>
      <c r="J6521" s="14">
        <v>25.0</v>
      </c>
      <c r="K6521" s="14">
        <v>12.22</v>
      </c>
      <c r="L6521" s="14">
        <v>0.0</v>
      </c>
    </row>
    <row r="6522">
      <c r="A6522" s="14">
        <v>729.0</v>
      </c>
      <c r="B6522" s="14">
        <v>6.0</v>
      </c>
      <c r="C6522" s="34">
        <v>38.06</v>
      </c>
      <c r="D6522" s="36">
        <v>45559.0</v>
      </c>
      <c r="E6522" s="24"/>
      <c r="F6522" s="14">
        <v>6.34</v>
      </c>
      <c r="G6522" s="14">
        <v>52.21</v>
      </c>
      <c r="H6522" s="14">
        <v>0.82</v>
      </c>
      <c r="I6522" s="14" t="s">
        <v>6077</v>
      </c>
      <c r="J6522" s="14">
        <v>0.0</v>
      </c>
      <c r="K6522" s="14" t="s">
        <v>6012</v>
      </c>
      <c r="L6522" s="14">
        <v>0.0</v>
      </c>
    </row>
    <row r="6523">
      <c r="A6523" s="14">
        <v>562.0</v>
      </c>
      <c r="B6523" s="14">
        <v>2.0</v>
      </c>
      <c r="C6523" s="34">
        <v>47.26</v>
      </c>
      <c r="D6523" s="36">
        <v>45559.0</v>
      </c>
      <c r="E6523" s="24"/>
      <c r="F6523" s="14">
        <v>23.63</v>
      </c>
      <c r="G6523" s="14">
        <v>84.09</v>
      </c>
      <c r="H6523" s="14">
        <v>0.36</v>
      </c>
      <c r="I6523" s="14" t="s">
        <v>6078</v>
      </c>
      <c r="J6523" s="14">
        <v>0.0</v>
      </c>
      <c r="K6523" s="14" t="s">
        <v>6012</v>
      </c>
      <c r="L6523" s="14">
        <v>0.0</v>
      </c>
    </row>
    <row r="6524">
      <c r="A6524" s="14">
        <v>2583.0</v>
      </c>
      <c r="B6524" s="14">
        <v>14.0</v>
      </c>
      <c r="C6524" s="34">
        <v>17.79</v>
      </c>
      <c r="D6524" s="36">
        <v>45559.0</v>
      </c>
      <c r="E6524" s="24"/>
      <c r="F6524" s="14">
        <v>1.27</v>
      </c>
      <c r="G6524" s="14">
        <v>6.89</v>
      </c>
      <c r="H6524" s="14">
        <v>0.54</v>
      </c>
      <c r="I6524" s="14" t="s">
        <v>6079</v>
      </c>
      <c r="J6524" s="14">
        <v>0.0</v>
      </c>
      <c r="K6524" s="14" t="s">
        <v>6012</v>
      </c>
      <c r="L6524" s="14">
        <v>0.0</v>
      </c>
    </row>
    <row r="6525">
      <c r="A6525" s="14">
        <v>2051.0</v>
      </c>
      <c r="B6525" s="14">
        <v>9.0</v>
      </c>
      <c r="C6525" s="34">
        <v>17.8</v>
      </c>
      <c r="D6525" s="36">
        <v>45560.0</v>
      </c>
      <c r="E6525" s="24"/>
      <c r="F6525" s="14">
        <v>1.98</v>
      </c>
      <c r="G6525" s="14">
        <v>8.68</v>
      </c>
      <c r="H6525" s="14">
        <v>0.44</v>
      </c>
      <c r="I6525" s="14" t="s">
        <v>6079</v>
      </c>
      <c r="J6525" s="14">
        <v>0.0</v>
      </c>
      <c r="K6525" s="14" t="s">
        <v>6012</v>
      </c>
      <c r="L6525" s="14">
        <v>0.0</v>
      </c>
    </row>
    <row r="6526">
      <c r="A6526" s="14">
        <v>878.0</v>
      </c>
      <c r="B6526" s="14">
        <v>4.0</v>
      </c>
      <c r="C6526" s="34">
        <v>38.66</v>
      </c>
      <c r="D6526" s="36">
        <v>45560.0</v>
      </c>
      <c r="E6526" s="24"/>
      <c r="F6526" s="14">
        <v>9.66</v>
      </c>
      <c r="G6526" s="14">
        <v>44.03</v>
      </c>
      <c r="H6526" s="14">
        <v>0.46</v>
      </c>
      <c r="I6526" s="14" t="s">
        <v>6077</v>
      </c>
      <c r="J6526" s="14">
        <v>0.0</v>
      </c>
      <c r="K6526" s="14" t="s">
        <v>6012</v>
      </c>
      <c r="L6526" s="14">
        <v>0.0</v>
      </c>
    </row>
    <row r="6527">
      <c r="A6527" s="14">
        <v>636.0</v>
      </c>
      <c r="B6527" s="14">
        <v>1.0</v>
      </c>
      <c r="C6527" s="34">
        <v>23.28</v>
      </c>
      <c r="D6527" s="36">
        <v>45560.0</v>
      </c>
      <c r="E6527" s="24"/>
      <c r="F6527" s="14">
        <v>23.28</v>
      </c>
      <c r="G6527" s="14">
        <v>36.6</v>
      </c>
      <c r="H6527" s="14">
        <v>0.16</v>
      </c>
      <c r="I6527" s="14" t="s">
        <v>6076</v>
      </c>
      <c r="J6527" s="14">
        <v>0.0</v>
      </c>
      <c r="K6527" s="14" t="s">
        <v>6012</v>
      </c>
      <c r="L6527" s="14">
        <v>0.0</v>
      </c>
    </row>
    <row r="6528">
      <c r="A6528" s="14">
        <v>441.0</v>
      </c>
      <c r="B6528" s="14">
        <v>1.0</v>
      </c>
      <c r="C6528" s="34">
        <v>48.92</v>
      </c>
      <c r="D6528" s="36">
        <v>45560.0</v>
      </c>
      <c r="E6528" s="24"/>
      <c r="F6528" s="14">
        <v>48.92</v>
      </c>
      <c r="G6528" s="14">
        <v>110.93</v>
      </c>
      <c r="H6528" s="14">
        <v>0.23</v>
      </c>
      <c r="I6528" s="14" t="s">
        <v>6078</v>
      </c>
      <c r="J6528" s="14">
        <v>0.0</v>
      </c>
      <c r="K6528" s="14" t="s">
        <v>6012</v>
      </c>
      <c r="L6528" s="14">
        <v>0.0</v>
      </c>
    </row>
    <row r="6529">
      <c r="A6529" s="14">
        <v>563.0</v>
      </c>
      <c r="B6529" s="14">
        <v>4.0</v>
      </c>
      <c r="C6529" s="34">
        <v>23.26</v>
      </c>
      <c r="D6529" s="36">
        <v>45561.0</v>
      </c>
      <c r="E6529" s="24"/>
      <c r="F6529" s="14">
        <v>5.82</v>
      </c>
      <c r="G6529" s="14">
        <v>41.31</v>
      </c>
      <c r="H6529" s="14">
        <v>0.71</v>
      </c>
      <c r="I6529" s="14" t="s">
        <v>6076</v>
      </c>
      <c r="J6529" s="14">
        <v>50.0</v>
      </c>
      <c r="K6529" s="14">
        <v>11.63</v>
      </c>
      <c r="L6529" s="14">
        <v>0.0</v>
      </c>
    </row>
    <row r="6530">
      <c r="A6530" s="14">
        <v>1288.0</v>
      </c>
      <c r="B6530" s="14">
        <v>4.0</v>
      </c>
      <c r="C6530" s="34">
        <v>58.39</v>
      </c>
      <c r="D6530" s="36">
        <v>45561.0</v>
      </c>
      <c r="E6530" s="24"/>
      <c r="F6530" s="14">
        <v>14.6</v>
      </c>
      <c r="G6530" s="14">
        <v>45.33</v>
      </c>
      <c r="H6530" s="14">
        <v>0.31</v>
      </c>
      <c r="I6530" s="14" t="s">
        <v>6078</v>
      </c>
      <c r="J6530" s="14">
        <v>0.0</v>
      </c>
      <c r="K6530" s="14" t="s">
        <v>6012</v>
      </c>
      <c r="L6530" s="14">
        <v>0.0</v>
      </c>
    </row>
    <row r="6531">
      <c r="A6531" s="14">
        <v>683.0</v>
      </c>
      <c r="B6531" s="14">
        <v>3.0</v>
      </c>
      <c r="C6531" s="34">
        <v>39.86</v>
      </c>
      <c r="D6531" s="36">
        <v>45561.0</v>
      </c>
      <c r="E6531" s="24"/>
      <c r="F6531" s="14">
        <v>13.29</v>
      </c>
      <c r="G6531" s="14">
        <v>58.36</v>
      </c>
      <c r="H6531" s="14">
        <v>0.44</v>
      </c>
      <c r="I6531" s="14" t="s">
        <v>6077</v>
      </c>
      <c r="J6531" s="14">
        <v>0.0</v>
      </c>
      <c r="K6531" s="14" t="s">
        <v>6012</v>
      </c>
      <c r="L6531" s="14">
        <v>0.0</v>
      </c>
    </row>
    <row r="6532">
      <c r="A6532" s="14">
        <v>2027.0</v>
      </c>
      <c r="B6532" s="14">
        <v>8.0</v>
      </c>
      <c r="C6532" s="34">
        <v>17.76</v>
      </c>
      <c r="D6532" s="36">
        <v>45561.0</v>
      </c>
      <c r="E6532" s="24"/>
      <c r="F6532" s="14">
        <v>2.22</v>
      </c>
      <c r="G6532" s="14">
        <v>8.76</v>
      </c>
      <c r="H6532" s="14">
        <v>0.39</v>
      </c>
      <c r="I6532" s="14" t="s">
        <v>6079</v>
      </c>
      <c r="J6532" s="14">
        <v>0.0</v>
      </c>
      <c r="K6532" s="14" t="s">
        <v>6012</v>
      </c>
      <c r="L6532" s="14">
        <v>0.0</v>
      </c>
    </row>
    <row r="6533">
      <c r="A6533" s="14">
        <v>737.0</v>
      </c>
      <c r="B6533" s="14">
        <v>4.0</v>
      </c>
      <c r="C6533" s="34">
        <v>57.79</v>
      </c>
      <c r="D6533" s="36">
        <v>45562.0</v>
      </c>
      <c r="E6533" s="24"/>
      <c r="F6533" s="14">
        <v>14.45</v>
      </c>
      <c r="G6533" s="14">
        <v>78.41</v>
      </c>
      <c r="H6533" s="14">
        <v>0.54</v>
      </c>
      <c r="I6533" s="14" t="s">
        <v>6078</v>
      </c>
      <c r="J6533" s="14">
        <v>0.0</v>
      </c>
      <c r="K6533" s="14" t="s">
        <v>6012</v>
      </c>
      <c r="L6533" s="14">
        <v>0.0</v>
      </c>
    </row>
    <row r="6534">
      <c r="A6534" s="14">
        <v>364.0</v>
      </c>
      <c r="B6534" s="14">
        <v>1.0</v>
      </c>
      <c r="C6534" s="34">
        <v>35.33</v>
      </c>
      <c r="D6534" s="36">
        <v>45562.0</v>
      </c>
      <c r="E6534" s="24"/>
      <c r="F6534" s="14">
        <v>35.33</v>
      </c>
      <c r="G6534" s="14">
        <v>97.06</v>
      </c>
      <c r="H6534" s="14">
        <v>0.27</v>
      </c>
      <c r="I6534" s="14" t="s">
        <v>6077</v>
      </c>
      <c r="J6534" s="14">
        <v>0.0</v>
      </c>
      <c r="K6534" s="14" t="s">
        <v>6012</v>
      </c>
      <c r="L6534" s="14">
        <v>0.0</v>
      </c>
    </row>
    <row r="6535">
      <c r="A6535" s="14">
        <v>1693.0</v>
      </c>
      <c r="B6535" s="14">
        <v>13.0</v>
      </c>
      <c r="C6535" s="34">
        <v>16.26</v>
      </c>
      <c r="D6535" s="36">
        <v>45562.0</v>
      </c>
      <c r="E6535" s="24"/>
      <c r="F6535" s="14">
        <v>1.25</v>
      </c>
      <c r="G6535" s="14">
        <v>9.6</v>
      </c>
      <c r="H6535" s="14">
        <v>0.77</v>
      </c>
      <c r="I6535" s="14" t="s">
        <v>6079</v>
      </c>
      <c r="J6535" s="14">
        <v>7.69</v>
      </c>
      <c r="K6535" s="14">
        <v>16.26</v>
      </c>
      <c r="L6535" s="14">
        <v>0.0</v>
      </c>
    </row>
    <row r="6536">
      <c r="A6536" s="14">
        <v>380.0</v>
      </c>
      <c r="B6536" s="14">
        <v>4.0</v>
      </c>
      <c r="C6536" s="34">
        <v>22.37</v>
      </c>
      <c r="D6536" s="36">
        <v>45562.0</v>
      </c>
      <c r="E6536" s="24"/>
      <c r="F6536" s="14">
        <v>5.59</v>
      </c>
      <c r="G6536" s="14">
        <v>58.87</v>
      </c>
      <c r="H6536" s="14">
        <v>1.05</v>
      </c>
      <c r="I6536" s="14" t="s">
        <v>6076</v>
      </c>
      <c r="J6536" s="14">
        <v>125.0</v>
      </c>
      <c r="K6536" s="14">
        <v>4.47</v>
      </c>
      <c r="L6536" s="14">
        <v>0.0</v>
      </c>
    </row>
    <row r="6537">
      <c r="A6537" s="14">
        <v>1155.0</v>
      </c>
      <c r="B6537" s="14">
        <v>7.0</v>
      </c>
      <c r="C6537" s="34">
        <v>9.81</v>
      </c>
      <c r="D6537" s="36">
        <v>45563.0</v>
      </c>
      <c r="E6537" s="24"/>
      <c r="F6537" s="14">
        <v>1.4</v>
      </c>
      <c r="G6537" s="14">
        <v>8.49</v>
      </c>
      <c r="H6537" s="14">
        <v>0.61</v>
      </c>
      <c r="I6537" s="14" t="s">
        <v>6079</v>
      </c>
      <c r="J6537" s="14">
        <v>0.0</v>
      </c>
      <c r="K6537" s="14" t="s">
        <v>6012</v>
      </c>
      <c r="L6537" s="14">
        <v>0.0</v>
      </c>
    </row>
    <row r="6538">
      <c r="A6538" s="14">
        <v>143.0</v>
      </c>
      <c r="B6538" s="14">
        <v>1.0</v>
      </c>
      <c r="C6538" s="34">
        <v>19.67</v>
      </c>
      <c r="D6538" s="36">
        <v>45563.0</v>
      </c>
      <c r="E6538" s="24"/>
      <c r="F6538" s="14">
        <v>19.67</v>
      </c>
      <c r="G6538" s="14">
        <v>137.55</v>
      </c>
      <c r="H6538" s="14">
        <v>0.7</v>
      </c>
      <c r="I6538" s="14" t="s">
        <v>6077</v>
      </c>
      <c r="J6538" s="14">
        <v>0.0</v>
      </c>
      <c r="K6538" s="14" t="s">
        <v>6012</v>
      </c>
      <c r="L6538" s="14">
        <v>0.0</v>
      </c>
    </row>
    <row r="6539">
      <c r="A6539" s="14">
        <v>236.0</v>
      </c>
      <c r="B6539" s="14">
        <v>1.0</v>
      </c>
      <c r="C6539" s="34">
        <v>12.37</v>
      </c>
      <c r="D6539" s="36">
        <v>45563.0</v>
      </c>
      <c r="E6539" s="24"/>
      <c r="F6539" s="14">
        <v>12.37</v>
      </c>
      <c r="G6539" s="14">
        <v>52.42</v>
      </c>
      <c r="H6539" s="14">
        <v>0.42</v>
      </c>
      <c r="I6539" s="14" t="s">
        <v>6076</v>
      </c>
      <c r="J6539" s="14">
        <v>0.0</v>
      </c>
      <c r="K6539" s="14" t="s">
        <v>6012</v>
      </c>
      <c r="L6539" s="14">
        <v>0.0</v>
      </c>
    </row>
    <row r="6540">
      <c r="A6540" s="14">
        <v>355.0</v>
      </c>
      <c r="B6540" s="14">
        <v>2.0</v>
      </c>
      <c r="C6540" s="34">
        <v>33.16</v>
      </c>
      <c r="D6540" s="36">
        <v>45563.0</v>
      </c>
      <c r="E6540" s="24"/>
      <c r="F6540" s="14">
        <v>16.58</v>
      </c>
      <c r="G6540" s="14">
        <v>93.41</v>
      </c>
      <c r="H6540" s="14">
        <v>0.56</v>
      </c>
      <c r="I6540" s="14" t="s">
        <v>6078</v>
      </c>
      <c r="J6540" s="14">
        <v>0.0</v>
      </c>
      <c r="K6540" s="14" t="s">
        <v>6012</v>
      </c>
      <c r="L6540" s="14">
        <v>0.0</v>
      </c>
    </row>
    <row r="6541">
      <c r="A6541" s="14">
        <v>76.0</v>
      </c>
      <c r="B6541" s="14">
        <v>0.0</v>
      </c>
      <c r="C6541" s="34">
        <v>11.71</v>
      </c>
      <c r="D6541" s="36">
        <v>45564.0</v>
      </c>
      <c r="E6541" s="24"/>
      <c r="F6541" s="14" t="s">
        <v>6012</v>
      </c>
      <c r="G6541" s="14">
        <v>154.08</v>
      </c>
      <c r="H6541" s="14">
        <v>0.0</v>
      </c>
      <c r="I6541" s="14" t="s">
        <v>6076</v>
      </c>
      <c r="J6541" s="14" t="s">
        <v>6012</v>
      </c>
      <c r="K6541" s="14" t="s">
        <v>6012</v>
      </c>
      <c r="L6541" s="14">
        <v>0.0</v>
      </c>
    </row>
    <row r="6542">
      <c r="A6542" s="14">
        <v>174.0</v>
      </c>
      <c r="B6542" s="14">
        <v>0.0</v>
      </c>
      <c r="C6542" s="34">
        <v>29.22</v>
      </c>
      <c r="D6542" s="36">
        <v>45564.0</v>
      </c>
      <c r="E6542" s="24"/>
      <c r="F6542" s="14" t="s">
        <v>6012</v>
      </c>
      <c r="G6542" s="14">
        <v>167.93</v>
      </c>
      <c r="H6542" s="14">
        <v>0.0</v>
      </c>
      <c r="I6542" s="14" t="s">
        <v>6078</v>
      </c>
      <c r="J6542" s="14" t="s">
        <v>6012</v>
      </c>
      <c r="K6542" s="14">
        <v>9.74</v>
      </c>
      <c r="L6542" s="14">
        <v>0.0</v>
      </c>
    </row>
    <row r="6543">
      <c r="A6543" s="14">
        <v>645.0</v>
      </c>
      <c r="B6543" s="14">
        <v>4.0</v>
      </c>
      <c r="C6543" s="34">
        <v>9.13</v>
      </c>
      <c r="D6543" s="36">
        <v>45564.0</v>
      </c>
      <c r="E6543" s="24"/>
      <c r="F6543" s="14">
        <v>2.28</v>
      </c>
      <c r="G6543" s="14">
        <v>14.16</v>
      </c>
      <c r="H6543" s="14">
        <v>0.62</v>
      </c>
      <c r="I6543" s="14" t="s">
        <v>6079</v>
      </c>
      <c r="J6543" s="14">
        <v>0.0</v>
      </c>
      <c r="K6543" s="14" t="s">
        <v>6012</v>
      </c>
      <c r="L6543" s="14">
        <v>0.0</v>
      </c>
    </row>
    <row r="6544">
      <c r="A6544" s="14">
        <v>110.0</v>
      </c>
      <c r="B6544" s="14">
        <v>1.0</v>
      </c>
      <c r="C6544" s="34">
        <v>17.37</v>
      </c>
      <c r="D6544" s="36">
        <v>45564.0</v>
      </c>
      <c r="E6544" s="24"/>
      <c r="F6544" s="14">
        <v>17.37</v>
      </c>
      <c r="G6544" s="14">
        <v>157.91</v>
      </c>
      <c r="H6544" s="14">
        <v>0.91</v>
      </c>
      <c r="I6544" s="14" t="s">
        <v>6077</v>
      </c>
      <c r="J6544" s="14">
        <v>300.0</v>
      </c>
      <c r="K6544" s="14">
        <v>5.79</v>
      </c>
      <c r="L6544" s="14">
        <v>0.0</v>
      </c>
    </row>
    <row r="6545">
      <c r="A6545" s="14">
        <v>478.0</v>
      </c>
      <c r="B6545" s="14">
        <v>1.0</v>
      </c>
      <c r="C6545" s="34">
        <v>18.62</v>
      </c>
      <c r="D6545" s="36">
        <v>45565.0</v>
      </c>
      <c r="E6545" s="24"/>
      <c r="F6545" s="14">
        <v>18.62</v>
      </c>
      <c r="G6545" s="14">
        <v>38.95</v>
      </c>
      <c r="H6545" s="14">
        <v>0.21</v>
      </c>
      <c r="I6545" s="14" t="s">
        <v>6080</v>
      </c>
      <c r="J6545" s="14">
        <v>0.0</v>
      </c>
      <c r="K6545" s="14" t="s">
        <v>6012</v>
      </c>
      <c r="L6545" s="14">
        <v>0.0</v>
      </c>
    </row>
    <row r="6546">
      <c r="A6546" s="14">
        <v>186.0</v>
      </c>
      <c r="B6546" s="14">
        <v>3.0</v>
      </c>
      <c r="C6546" s="34">
        <v>35.29</v>
      </c>
      <c r="D6546" s="36">
        <v>45565.0</v>
      </c>
      <c r="E6546" s="24"/>
      <c r="F6546" s="14">
        <v>11.76</v>
      </c>
      <c r="G6546" s="14">
        <v>189.73</v>
      </c>
      <c r="H6546" s="14">
        <v>1.61</v>
      </c>
      <c r="I6546" s="14" t="s">
        <v>6077</v>
      </c>
      <c r="J6546" s="14">
        <v>0.0</v>
      </c>
      <c r="K6546" s="14" t="s">
        <v>6012</v>
      </c>
      <c r="L6546" s="14">
        <v>0.0</v>
      </c>
    </row>
    <row r="6547">
      <c r="A6547" s="14">
        <v>1548.0</v>
      </c>
      <c r="B6547" s="14">
        <v>9.0</v>
      </c>
      <c r="C6547" s="34">
        <v>16.18</v>
      </c>
      <c r="D6547" s="36">
        <v>45565.0</v>
      </c>
      <c r="E6547" s="24"/>
      <c r="F6547" s="14">
        <v>1.8</v>
      </c>
      <c r="G6547" s="14">
        <v>10.45</v>
      </c>
      <c r="H6547" s="14">
        <v>0.58</v>
      </c>
      <c r="I6547" s="14" t="s">
        <v>6079</v>
      </c>
      <c r="J6547" s="14">
        <v>11.11</v>
      </c>
      <c r="K6547" s="14">
        <v>16.18</v>
      </c>
      <c r="L6547" s="14">
        <v>0.0</v>
      </c>
    </row>
    <row r="6548">
      <c r="A6548" s="14">
        <v>1349.0</v>
      </c>
      <c r="B6548" s="14">
        <v>4.0</v>
      </c>
      <c r="C6548" s="34">
        <v>42.41</v>
      </c>
      <c r="D6548" s="36">
        <v>45565.0</v>
      </c>
      <c r="E6548" s="24"/>
      <c r="F6548" s="14">
        <v>10.6</v>
      </c>
      <c r="G6548" s="14">
        <v>31.44</v>
      </c>
      <c r="H6548" s="14">
        <v>0.3</v>
      </c>
      <c r="I6548" s="14" t="s">
        <v>6078</v>
      </c>
      <c r="J6548" s="14">
        <v>0.0</v>
      </c>
      <c r="K6548" s="14" t="s">
        <v>6012</v>
      </c>
      <c r="L6548" s="14">
        <v>0.0</v>
      </c>
    </row>
    <row r="6549">
      <c r="A6549" s="14">
        <v>181.0</v>
      </c>
      <c r="B6549" s="14">
        <v>2.0</v>
      </c>
      <c r="C6549" s="34">
        <v>21.51</v>
      </c>
      <c r="D6549" s="36">
        <v>45565.0</v>
      </c>
      <c r="E6549" s="24"/>
      <c r="F6549" s="14">
        <v>10.76</v>
      </c>
      <c r="G6549" s="14">
        <v>118.84</v>
      </c>
      <c r="H6549" s="14">
        <v>1.1</v>
      </c>
      <c r="I6549" s="14" t="s">
        <v>6076</v>
      </c>
      <c r="J6549" s="14">
        <v>0.0</v>
      </c>
      <c r="K6549" s="14" t="s">
        <v>6012</v>
      </c>
      <c r="L6549" s="14">
        <v>0.0</v>
      </c>
    </row>
    <row r="6550">
      <c r="A6550" s="14">
        <v>887.0</v>
      </c>
      <c r="B6550" s="14">
        <v>5.0</v>
      </c>
      <c r="C6550" s="34">
        <v>47.36</v>
      </c>
      <c r="D6550" s="36">
        <v>45566.0</v>
      </c>
      <c r="E6550" s="24"/>
      <c r="F6550" s="14">
        <v>9.47</v>
      </c>
      <c r="G6550" s="14">
        <v>53.39</v>
      </c>
      <c r="H6550" s="14">
        <v>0.56</v>
      </c>
      <c r="I6550" s="14" t="s">
        <v>6078</v>
      </c>
      <c r="J6550" s="14">
        <v>40.0</v>
      </c>
      <c r="K6550" s="14">
        <v>23.68</v>
      </c>
      <c r="L6550" s="14">
        <v>0.0</v>
      </c>
    </row>
    <row r="6551">
      <c r="A6551" s="14">
        <v>148.0</v>
      </c>
      <c r="B6551" s="14">
        <v>0.0</v>
      </c>
      <c r="C6551" s="34">
        <v>22.77</v>
      </c>
      <c r="D6551" s="36">
        <v>45566.0</v>
      </c>
      <c r="E6551" s="24"/>
      <c r="F6551" s="14" t="s">
        <v>6012</v>
      </c>
      <c r="G6551" s="14">
        <v>153.85</v>
      </c>
      <c r="H6551" s="14">
        <v>0.0</v>
      </c>
      <c r="I6551" s="14" t="s">
        <v>6080</v>
      </c>
      <c r="J6551" s="14" t="s">
        <v>6012</v>
      </c>
      <c r="K6551" s="14" t="s">
        <v>6012</v>
      </c>
      <c r="L6551" s="14">
        <v>0.0</v>
      </c>
    </row>
    <row r="6552">
      <c r="A6552" s="14">
        <v>828.0</v>
      </c>
      <c r="B6552" s="14">
        <v>8.0</v>
      </c>
      <c r="C6552" s="34">
        <v>24.43</v>
      </c>
      <c r="D6552" s="36">
        <v>45566.0</v>
      </c>
      <c r="E6552" s="24"/>
      <c r="F6552" s="14">
        <v>3.05</v>
      </c>
      <c r="G6552" s="14">
        <v>29.5</v>
      </c>
      <c r="H6552" s="14">
        <v>0.97</v>
      </c>
      <c r="I6552" s="14" t="s">
        <v>6076</v>
      </c>
      <c r="J6552" s="14">
        <v>12.5</v>
      </c>
      <c r="K6552" s="14">
        <v>24.43</v>
      </c>
      <c r="L6552" s="14">
        <v>0.0</v>
      </c>
    </row>
    <row r="6553">
      <c r="A6553" s="14">
        <v>1034.0</v>
      </c>
      <c r="B6553" s="14">
        <v>6.0</v>
      </c>
      <c r="C6553" s="34">
        <v>37.19</v>
      </c>
      <c r="D6553" s="36">
        <v>45566.0</v>
      </c>
      <c r="E6553" s="24"/>
      <c r="F6553" s="14">
        <v>6.2</v>
      </c>
      <c r="G6553" s="14">
        <v>35.97</v>
      </c>
      <c r="H6553" s="14">
        <v>0.58</v>
      </c>
      <c r="I6553" s="14" t="s">
        <v>6077</v>
      </c>
      <c r="J6553" s="14">
        <v>16.67</v>
      </c>
      <c r="K6553" s="14">
        <v>37.19</v>
      </c>
      <c r="L6553" s="14">
        <v>0.0</v>
      </c>
    </row>
    <row r="6554">
      <c r="A6554" s="14">
        <v>2871.0</v>
      </c>
      <c r="B6554" s="14">
        <v>15.0</v>
      </c>
      <c r="C6554" s="34">
        <v>17.56</v>
      </c>
      <c r="D6554" s="36">
        <v>45566.0</v>
      </c>
      <c r="E6554" s="24"/>
      <c r="F6554" s="14">
        <v>1.17</v>
      </c>
      <c r="G6554" s="14">
        <v>6.12</v>
      </c>
      <c r="H6554" s="14">
        <v>0.52</v>
      </c>
      <c r="I6554" s="14" t="s">
        <v>6079</v>
      </c>
      <c r="J6554" s="14">
        <v>0.0</v>
      </c>
      <c r="K6554" s="14" t="s">
        <v>6012</v>
      </c>
      <c r="L6554" s="14">
        <v>0.0</v>
      </c>
    </row>
    <row r="6555">
      <c r="A6555" s="14">
        <v>148.0</v>
      </c>
      <c r="B6555" s="14">
        <v>1.0</v>
      </c>
      <c r="C6555" s="34">
        <v>22.55</v>
      </c>
      <c r="D6555" s="36">
        <v>45567.0</v>
      </c>
      <c r="E6555" s="24"/>
      <c r="F6555" s="14">
        <v>22.55</v>
      </c>
      <c r="G6555" s="14">
        <v>152.36</v>
      </c>
      <c r="H6555" s="14">
        <v>0.68</v>
      </c>
      <c r="I6555" s="14" t="s">
        <v>6080</v>
      </c>
      <c r="J6555" s="14">
        <v>0.0</v>
      </c>
      <c r="K6555" s="14" t="s">
        <v>6012</v>
      </c>
      <c r="L6555" s="14">
        <v>0.0</v>
      </c>
    </row>
    <row r="6556">
      <c r="A6556" s="14">
        <v>708.0</v>
      </c>
      <c r="B6556" s="14">
        <v>2.0</v>
      </c>
      <c r="C6556" s="34">
        <v>49.08</v>
      </c>
      <c r="D6556" s="36">
        <v>45567.0</v>
      </c>
      <c r="E6556" s="24"/>
      <c r="F6556" s="14">
        <v>24.54</v>
      </c>
      <c r="G6556" s="14">
        <v>69.32</v>
      </c>
      <c r="H6556" s="14">
        <v>0.28</v>
      </c>
      <c r="I6556" s="14" t="s">
        <v>6078</v>
      </c>
      <c r="J6556" s="14">
        <v>0.0</v>
      </c>
      <c r="K6556" s="14" t="s">
        <v>6012</v>
      </c>
      <c r="L6556" s="14">
        <v>0.0</v>
      </c>
    </row>
    <row r="6557">
      <c r="A6557" s="14">
        <v>733.0</v>
      </c>
      <c r="B6557" s="14">
        <v>3.0</v>
      </c>
      <c r="C6557" s="34">
        <v>39.54</v>
      </c>
      <c r="D6557" s="36">
        <v>45567.0</v>
      </c>
      <c r="E6557" s="24"/>
      <c r="F6557" s="14">
        <v>13.18</v>
      </c>
      <c r="G6557" s="14">
        <v>53.94</v>
      </c>
      <c r="H6557" s="14">
        <v>0.41</v>
      </c>
      <c r="I6557" s="14" t="s">
        <v>6077</v>
      </c>
      <c r="J6557" s="14">
        <v>0.0</v>
      </c>
      <c r="K6557" s="14" t="s">
        <v>6012</v>
      </c>
      <c r="L6557" s="14">
        <v>0.0</v>
      </c>
    </row>
    <row r="6558">
      <c r="A6558" s="14">
        <v>513.0</v>
      </c>
      <c r="B6558" s="14">
        <v>1.0</v>
      </c>
      <c r="C6558" s="34">
        <v>23.52</v>
      </c>
      <c r="D6558" s="36">
        <v>45567.0</v>
      </c>
      <c r="E6558" s="24"/>
      <c r="F6558" s="14">
        <v>23.52</v>
      </c>
      <c r="G6558" s="14">
        <v>45.85</v>
      </c>
      <c r="H6558" s="14">
        <v>0.19</v>
      </c>
      <c r="I6558" s="14" t="s">
        <v>6076</v>
      </c>
      <c r="J6558" s="14">
        <v>0.0</v>
      </c>
      <c r="K6558" s="14" t="s">
        <v>6012</v>
      </c>
      <c r="L6558" s="14">
        <v>0.0</v>
      </c>
    </row>
    <row r="6559">
      <c r="A6559" s="14">
        <v>1876.0</v>
      </c>
      <c r="B6559" s="14">
        <v>8.0</v>
      </c>
      <c r="C6559" s="34">
        <v>17.93</v>
      </c>
      <c r="D6559" s="36">
        <v>45567.0</v>
      </c>
      <c r="E6559" s="24"/>
      <c r="F6559" s="14">
        <v>2.24</v>
      </c>
      <c r="G6559" s="14">
        <v>9.56</v>
      </c>
      <c r="H6559" s="14">
        <v>0.43</v>
      </c>
      <c r="I6559" s="14" t="s">
        <v>6079</v>
      </c>
      <c r="J6559" s="14">
        <v>0.0</v>
      </c>
      <c r="K6559" s="14" t="s">
        <v>6012</v>
      </c>
      <c r="L6559" s="14">
        <v>0.0</v>
      </c>
    </row>
    <row r="6560">
      <c r="A6560" s="14">
        <v>605.0</v>
      </c>
      <c r="B6560" s="14">
        <v>3.0</v>
      </c>
      <c r="C6560" s="34">
        <v>23.58</v>
      </c>
      <c r="D6560" s="36">
        <v>45568.0</v>
      </c>
      <c r="E6560" s="24"/>
      <c r="F6560" s="14">
        <v>7.86</v>
      </c>
      <c r="G6560" s="14">
        <v>38.98</v>
      </c>
      <c r="H6560" s="14">
        <v>0.5</v>
      </c>
      <c r="I6560" s="14" t="s">
        <v>6076</v>
      </c>
      <c r="J6560" s="14">
        <v>0.0</v>
      </c>
      <c r="K6560" s="14" t="s">
        <v>6012</v>
      </c>
      <c r="L6560" s="14">
        <v>0.0</v>
      </c>
    </row>
    <row r="6561">
      <c r="A6561" s="14">
        <v>874.0</v>
      </c>
      <c r="B6561" s="14">
        <v>1.0</v>
      </c>
      <c r="C6561" s="34">
        <v>39.05</v>
      </c>
      <c r="D6561" s="36">
        <v>45568.0</v>
      </c>
      <c r="E6561" s="24"/>
      <c r="F6561" s="14">
        <v>39.05</v>
      </c>
      <c r="G6561" s="14">
        <v>44.68</v>
      </c>
      <c r="H6561" s="14">
        <v>0.11</v>
      </c>
      <c r="I6561" s="14" t="s">
        <v>6077</v>
      </c>
      <c r="J6561" s="14">
        <v>0.0</v>
      </c>
      <c r="K6561" s="14" t="s">
        <v>6012</v>
      </c>
      <c r="L6561" s="14">
        <v>0.0</v>
      </c>
    </row>
    <row r="6562">
      <c r="A6562" s="14">
        <v>813.0</v>
      </c>
      <c r="B6562" s="14">
        <v>6.0</v>
      </c>
      <c r="C6562" s="34">
        <v>49.98</v>
      </c>
      <c r="D6562" s="36">
        <v>45568.0</v>
      </c>
      <c r="E6562" s="24"/>
      <c r="F6562" s="14">
        <v>8.33</v>
      </c>
      <c r="G6562" s="14">
        <v>61.48</v>
      </c>
      <c r="H6562" s="14">
        <v>0.74</v>
      </c>
      <c r="I6562" s="14" t="s">
        <v>6078</v>
      </c>
      <c r="J6562" s="14">
        <v>0.0</v>
      </c>
      <c r="K6562" s="14" t="s">
        <v>6012</v>
      </c>
      <c r="L6562" s="14">
        <v>0.0</v>
      </c>
    </row>
    <row r="6563">
      <c r="A6563" s="14">
        <v>157.0</v>
      </c>
      <c r="B6563" s="14">
        <v>0.0</v>
      </c>
      <c r="C6563" s="34">
        <v>21.66</v>
      </c>
      <c r="D6563" s="36">
        <v>45568.0</v>
      </c>
      <c r="E6563" s="24"/>
      <c r="F6563" s="14" t="s">
        <v>6012</v>
      </c>
      <c r="G6563" s="14">
        <v>137.96</v>
      </c>
      <c r="H6563" s="14">
        <v>0.0</v>
      </c>
      <c r="I6563" s="14" t="s">
        <v>6080</v>
      </c>
      <c r="J6563" s="14" t="s">
        <v>6012</v>
      </c>
      <c r="K6563" s="14" t="s">
        <v>6012</v>
      </c>
      <c r="L6563" s="14">
        <v>0.0</v>
      </c>
    </row>
    <row r="6564">
      <c r="A6564" s="14">
        <v>1996.0</v>
      </c>
      <c r="B6564" s="14">
        <v>7.0</v>
      </c>
      <c r="C6564" s="34">
        <v>17.87</v>
      </c>
      <c r="D6564" s="36">
        <v>45568.0</v>
      </c>
      <c r="E6564" s="24"/>
      <c r="F6564" s="14">
        <v>2.55</v>
      </c>
      <c r="G6564" s="14">
        <v>8.95</v>
      </c>
      <c r="H6564" s="14">
        <v>0.35</v>
      </c>
      <c r="I6564" s="14" t="s">
        <v>6079</v>
      </c>
      <c r="J6564" s="14">
        <v>14.29</v>
      </c>
      <c r="K6564" s="14">
        <v>17.87</v>
      </c>
      <c r="L6564" s="14">
        <v>0.0</v>
      </c>
    </row>
    <row r="6565">
      <c r="A6565" s="14">
        <v>342.0</v>
      </c>
      <c r="B6565" s="14">
        <v>1.0</v>
      </c>
      <c r="C6565" s="34">
        <v>21.1</v>
      </c>
      <c r="D6565" s="36">
        <v>45569.0</v>
      </c>
      <c r="E6565" s="24"/>
      <c r="F6565" s="14">
        <v>21.1</v>
      </c>
      <c r="G6565" s="14">
        <v>61.7</v>
      </c>
      <c r="H6565" s="14">
        <v>0.29</v>
      </c>
      <c r="I6565" s="14" t="s">
        <v>6076</v>
      </c>
      <c r="J6565" s="14">
        <v>100.0</v>
      </c>
      <c r="K6565" s="14">
        <v>21.1</v>
      </c>
      <c r="L6565" s="14">
        <v>0.0</v>
      </c>
    </row>
    <row r="6566">
      <c r="A6566" s="14">
        <v>732.0</v>
      </c>
      <c r="B6566" s="14">
        <v>5.0</v>
      </c>
      <c r="C6566" s="34">
        <v>34.93</v>
      </c>
      <c r="D6566" s="36">
        <v>45569.0</v>
      </c>
      <c r="E6566" s="24"/>
      <c r="F6566" s="14">
        <v>6.99</v>
      </c>
      <c r="G6566" s="14">
        <v>47.72</v>
      </c>
      <c r="H6566" s="14">
        <v>0.68</v>
      </c>
      <c r="I6566" s="14" t="s">
        <v>6077</v>
      </c>
      <c r="J6566" s="14">
        <v>0.0</v>
      </c>
      <c r="K6566" s="14" t="s">
        <v>6012</v>
      </c>
      <c r="L6566" s="14">
        <v>0.0</v>
      </c>
    </row>
    <row r="6567">
      <c r="A6567" s="14">
        <v>348.0</v>
      </c>
      <c r="B6567" s="14">
        <v>1.0</v>
      </c>
      <c r="C6567" s="34">
        <v>45.4</v>
      </c>
      <c r="D6567" s="36">
        <v>45569.0</v>
      </c>
      <c r="E6567" s="24"/>
      <c r="F6567" s="14">
        <v>45.4</v>
      </c>
      <c r="G6567" s="14">
        <v>130.46</v>
      </c>
      <c r="H6567" s="14">
        <v>0.29</v>
      </c>
      <c r="I6567" s="14" t="s">
        <v>6078</v>
      </c>
      <c r="J6567" s="14">
        <v>100.0</v>
      </c>
      <c r="K6567" s="14">
        <v>45.4</v>
      </c>
      <c r="L6567" s="14">
        <v>0.0</v>
      </c>
    </row>
    <row r="6568">
      <c r="A6568" s="14">
        <v>1773.0</v>
      </c>
      <c r="B6568" s="14">
        <v>7.0</v>
      </c>
      <c r="C6568" s="34">
        <v>16.57</v>
      </c>
      <c r="D6568" s="36">
        <v>45569.0</v>
      </c>
      <c r="E6568" s="24"/>
      <c r="F6568" s="14">
        <v>2.37</v>
      </c>
      <c r="G6568" s="14">
        <v>9.35</v>
      </c>
      <c r="H6568" s="14">
        <v>0.39</v>
      </c>
      <c r="I6568" s="14" t="s">
        <v>6079</v>
      </c>
      <c r="J6568" s="14">
        <v>0.0</v>
      </c>
      <c r="K6568" s="14" t="s">
        <v>6012</v>
      </c>
      <c r="L6568" s="14">
        <v>0.0</v>
      </c>
    </row>
    <row r="6569">
      <c r="A6569" s="14">
        <v>229.0</v>
      </c>
      <c r="B6569" s="14">
        <v>2.0</v>
      </c>
      <c r="C6569" s="34">
        <v>21.48</v>
      </c>
      <c r="D6569" s="36">
        <v>45569.0</v>
      </c>
      <c r="E6569" s="24"/>
      <c r="F6569" s="14">
        <v>10.74</v>
      </c>
      <c r="G6569" s="14">
        <v>93.8</v>
      </c>
      <c r="H6569" s="14">
        <v>0.87</v>
      </c>
      <c r="I6569" s="14" t="s">
        <v>6080</v>
      </c>
      <c r="J6569" s="14">
        <v>0.0</v>
      </c>
      <c r="K6569" s="14" t="s">
        <v>6012</v>
      </c>
      <c r="L6569" s="14">
        <v>0.0</v>
      </c>
    </row>
    <row r="6570">
      <c r="A6570" s="14">
        <v>170.0</v>
      </c>
      <c r="B6570" s="14">
        <v>0.0</v>
      </c>
      <c r="C6570" s="34">
        <v>21.55</v>
      </c>
      <c r="D6570" s="36">
        <v>45570.0</v>
      </c>
      <c r="E6570" s="24"/>
      <c r="F6570" s="14" t="s">
        <v>6012</v>
      </c>
      <c r="G6570" s="14">
        <v>126.76</v>
      </c>
      <c r="H6570" s="14">
        <v>0.0</v>
      </c>
      <c r="I6570" s="14" t="s">
        <v>6077</v>
      </c>
      <c r="J6570" s="14" t="s">
        <v>6012</v>
      </c>
      <c r="K6570" s="14" t="s">
        <v>6012</v>
      </c>
      <c r="L6570" s="14">
        <v>0.0</v>
      </c>
    </row>
    <row r="6571">
      <c r="A6571" s="14">
        <v>271.0</v>
      </c>
      <c r="B6571" s="14">
        <v>2.0</v>
      </c>
      <c r="C6571" s="34">
        <v>26.06</v>
      </c>
      <c r="D6571" s="36">
        <v>45570.0</v>
      </c>
      <c r="E6571" s="24"/>
      <c r="F6571" s="14">
        <v>13.03</v>
      </c>
      <c r="G6571" s="14">
        <v>96.16</v>
      </c>
      <c r="H6571" s="14">
        <v>0.74</v>
      </c>
      <c r="I6571" s="14" t="s">
        <v>6078</v>
      </c>
      <c r="J6571" s="14">
        <v>0.0</v>
      </c>
      <c r="K6571" s="14" t="s">
        <v>6012</v>
      </c>
      <c r="L6571" s="14">
        <v>0.0</v>
      </c>
    </row>
    <row r="6572">
      <c r="A6572" s="14">
        <v>91.0</v>
      </c>
      <c r="B6572" s="14">
        <v>0.0</v>
      </c>
      <c r="C6572" s="34">
        <v>13.56</v>
      </c>
      <c r="D6572" s="36">
        <v>45570.0</v>
      </c>
      <c r="E6572" s="24"/>
      <c r="F6572" s="14" t="s">
        <v>6012</v>
      </c>
      <c r="G6572" s="14">
        <v>149.01</v>
      </c>
      <c r="H6572" s="14">
        <v>0.0</v>
      </c>
      <c r="I6572" s="14" t="s">
        <v>6076</v>
      </c>
      <c r="J6572" s="14" t="s">
        <v>6012</v>
      </c>
      <c r="K6572" s="14" t="s">
        <v>6012</v>
      </c>
      <c r="L6572" s="14">
        <v>0.0</v>
      </c>
    </row>
    <row r="6573">
      <c r="A6573" s="14">
        <v>82.0</v>
      </c>
      <c r="B6573" s="14">
        <v>1.0</v>
      </c>
      <c r="C6573" s="34">
        <v>12.15</v>
      </c>
      <c r="D6573" s="36">
        <v>45570.0</v>
      </c>
      <c r="E6573" s="24"/>
      <c r="F6573" s="14">
        <v>12.15</v>
      </c>
      <c r="G6573" s="14">
        <v>148.17</v>
      </c>
      <c r="H6573" s="14">
        <v>1.22</v>
      </c>
      <c r="I6573" s="14" t="s">
        <v>6080</v>
      </c>
      <c r="J6573" s="14">
        <v>0.0</v>
      </c>
      <c r="K6573" s="14" t="s">
        <v>6012</v>
      </c>
      <c r="L6573" s="14">
        <v>0.0</v>
      </c>
    </row>
    <row r="6574">
      <c r="A6574" s="14">
        <v>943.0</v>
      </c>
      <c r="B6574" s="14">
        <v>3.0</v>
      </c>
      <c r="C6574" s="34">
        <v>9.77</v>
      </c>
      <c r="D6574" s="36">
        <v>45570.0</v>
      </c>
      <c r="E6574" s="24"/>
      <c r="F6574" s="14">
        <v>3.26</v>
      </c>
      <c r="G6574" s="14">
        <v>10.36</v>
      </c>
      <c r="H6574" s="14">
        <v>0.32</v>
      </c>
      <c r="I6574" s="14" t="s">
        <v>6079</v>
      </c>
      <c r="J6574" s="14">
        <v>0.0</v>
      </c>
      <c r="K6574" s="14" t="s">
        <v>6012</v>
      </c>
      <c r="L6574" s="14">
        <v>0.0</v>
      </c>
    </row>
    <row r="6575">
      <c r="A6575" s="14">
        <v>34.0</v>
      </c>
      <c r="B6575" s="14">
        <v>0.0</v>
      </c>
      <c r="C6575" s="34">
        <v>11.37</v>
      </c>
      <c r="D6575" s="36">
        <v>45571.0</v>
      </c>
      <c r="E6575" s="24"/>
      <c r="F6575" s="14" t="s">
        <v>6012</v>
      </c>
      <c r="G6575" s="14">
        <v>334.41</v>
      </c>
      <c r="H6575" s="14">
        <v>0.0</v>
      </c>
      <c r="I6575" s="14" t="s">
        <v>6080</v>
      </c>
      <c r="J6575" s="14" t="s">
        <v>6012</v>
      </c>
      <c r="K6575" s="14" t="s">
        <v>6012</v>
      </c>
      <c r="L6575" s="14">
        <v>0.0</v>
      </c>
    </row>
    <row r="6576">
      <c r="A6576" s="14">
        <v>156.0</v>
      </c>
      <c r="B6576" s="14">
        <v>2.0</v>
      </c>
      <c r="C6576" s="34">
        <v>19.71</v>
      </c>
      <c r="D6576" s="36">
        <v>45571.0</v>
      </c>
      <c r="E6576" s="24"/>
      <c r="F6576" s="14">
        <v>9.86</v>
      </c>
      <c r="G6576" s="14">
        <v>126.35</v>
      </c>
      <c r="H6576" s="14">
        <v>1.28</v>
      </c>
      <c r="I6576" s="14" t="s">
        <v>6078</v>
      </c>
      <c r="J6576" s="14">
        <v>0.0</v>
      </c>
      <c r="K6576" s="14" t="s">
        <v>6012</v>
      </c>
      <c r="L6576" s="14">
        <v>0.0</v>
      </c>
    </row>
    <row r="6577">
      <c r="A6577" s="14">
        <v>100.0</v>
      </c>
      <c r="B6577" s="14">
        <v>3.0</v>
      </c>
      <c r="C6577" s="34">
        <v>16.43</v>
      </c>
      <c r="D6577" s="36">
        <v>45571.0</v>
      </c>
      <c r="E6577" s="24"/>
      <c r="F6577" s="14">
        <v>5.48</v>
      </c>
      <c r="G6577" s="14">
        <v>164.3</v>
      </c>
      <c r="H6577" s="14">
        <v>3.0</v>
      </c>
      <c r="I6577" s="14" t="s">
        <v>6077</v>
      </c>
      <c r="J6577" s="14">
        <v>33.33</v>
      </c>
      <c r="K6577" s="14">
        <v>16.43</v>
      </c>
      <c r="L6577" s="14">
        <v>0.0</v>
      </c>
    </row>
    <row r="6578">
      <c r="A6578" s="14">
        <v>67.0</v>
      </c>
      <c r="B6578" s="14">
        <v>0.0</v>
      </c>
      <c r="C6578" s="34">
        <v>12.15</v>
      </c>
      <c r="D6578" s="36">
        <v>45571.0</v>
      </c>
      <c r="E6578" s="24"/>
      <c r="F6578" s="14" t="s">
        <v>6012</v>
      </c>
      <c r="G6578" s="14">
        <v>181.34</v>
      </c>
      <c r="H6578" s="14">
        <v>0.0</v>
      </c>
      <c r="I6578" s="14" t="s">
        <v>6076</v>
      </c>
      <c r="J6578" s="14" t="s">
        <v>6012</v>
      </c>
      <c r="K6578" s="14" t="s">
        <v>6012</v>
      </c>
      <c r="L6578" s="14">
        <v>0.0</v>
      </c>
    </row>
    <row r="6579">
      <c r="A6579" s="14">
        <v>759.0</v>
      </c>
      <c r="B6579" s="14">
        <v>6.0</v>
      </c>
      <c r="C6579" s="34">
        <v>9.12</v>
      </c>
      <c r="D6579" s="36">
        <v>45571.0</v>
      </c>
      <c r="E6579" s="24"/>
      <c r="F6579" s="14">
        <v>1.52</v>
      </c>
      <c r="G6579" s="14">
        <v>12.02</v>
      </c>
      <c r="H6579" s="14">
        <v>0.79</v>
      </c>
      <c r="I6579" s="14" t="s">
        <v>6079</v>
      </c>
      <c r="J6579" s="14">
        <v>0.0</v>
      </c>
      <c r="K6579" s="14" t="s">
        <v>6012</v>
      </c>
      <c r="L6579" s="14">
        <v>0.0</v>
      </c>
    </row>
    <row r="6580">
      <c r="A6580" s="14">
        <v>1635.0</v>
      </c>
      <c r="B6580" s="14">
        <v>9.0</v>
      </c>
      <c r="C6580" s="34">
        <v>17.05</v>
      </c>
      <c r="D6580" s="36">
        <v>45572.0</v>
      </c>
      <c r="E6580" s="24"/>
      <c r="F6580" s="14">
        <v>1.89</v>
      </c>
      <c r="G6580" s="14">
        <v>10.43</v>
      </c>
      <c r="H6580" s="14">
        <v>0.55</v>
      </c>
      <c r="I6580" s="14" t="s">
        <v>6079</v>
      </c>
      <c r="J6580" s="14">
        <v>0.0</v>
      </c>
      <c r="K6580" s="14" t="s">
        <v>6012</v>
      </c>
      <c r="L6580" s="14">
        <v>0.0</v>
      </c>
    </row>
    <row r="6581">
      <c r="A6581" s="14">
        <v>389.0</v>
      </c>
      <c r="B6581" s="14">
        <v>4.0</v>
      </c>
      <c r="C6581" s="34">
        <v>36.88</v>
      </c>
      <c r="D6581" s="36">
        <v>45572.0</v>
      </c>
      <c r="E6581" s="24"/>
      <c r="F6581" s="14">
        <v>9.22</v>
      </c>
      <c r="G6581" s="14">
        <v>94.81</v>
      </c>
      <c r="H6581" s="14">
        <v>1.03</v>
      </c>
      <c r="I6581" s="14" t="s">
        <v>6077</v>
      </c>
      <c r="J6581" s="14">
        <v>25.0</v>
      </c>
      <c r="K6581" s="14">
        <v>36.88</v>
      </c>
      <c r="L6581" s="14">
        <v>0.0</v>
      </c>
    </row>
    <row r="6582">
      <c r="A6582" s="14">
        <v>459.0</v>
      </c>
      <c r="B6582" s="14">
        <v>1.0</v>
      </c>
      <c r="C6582" s="34">
        <v>45.76</v>
      </c>
      <c r="D6582" s="36">
        <v>45572.0</v>
      </c>
      <c r="E6582" s="24"/>
      <c r="F6582" s="14">
        <v>45.76</v>
      </c>
      <c r="G6582" s="14">
        <v>99.69</v>
      </c>
      <c r="H6582" s="14">
        <v>0.22</v>
      </c>
      <c r="I6582" s="14" t="s">
        <v>6078</v>
      </c>
      <c r="J6582" s="14">
        <v>200.0</v>
      </c>
      <c r="K6582" s="14">
        <v>22.88</v>
      </c>
      <c r="L6582" s="14">
        <v>0.0</v>
      </c>
    </row>
    <row r="6583">
      <c r="A6583" s="14">
        <v>276.0</v>
      </c>
      <c r="B6583" s="14">
        <v>3.0</v>
      </c>
      <c r="C6583" s="34">
        <v>23.74</v>
      </c>
      <c r="D6583" s="36">
        <v>45572.0</v>
      </c>
      <c r="E6583" s="24"/>
      <c r="F6583" s="14">
        <v>7.91</v>
      </c>
      <c r="G6583" s="14">
        <v>86.01</v>
      </c>
      <c r="H6583" s="14">
        <v>1.09</v>
      </c>
      <c r="I6583" s="14" t="s">
        <v>6076</v>
      </c>
      <c r="J6583" s="14">
        <v>33.33</v>
      </c>
      <c r="K6583" s="14">
        <v>23.74</v>
      </c>
      <c r="L6583" s="14">
        <v>0.0</v>
      </c>
    </row>
    <row r="6584">
      <c r="A6584" s="14">
        <v>150.0</v>
      </c>
      <c r="B6584" s="14">
        <v>1.0</v>
      </c>
      <c r="C6584" s="34">
        <v>19.94</v>
      </c>
      <c r="D6584" s="36">
        <v>45572.0</v>
      </c>
      <c r="E6584" s="24"/>
      <c r="F6584" s="14">
        <v>19.94</v>
      </c>
      <c r="G6584" s="14">
        <v>132.93</v>
      </c>
      <c r="H6584" s="14">
        <v>0.67</v>
      </c>
      <c r="I6584" s="14" t="s">
        <v>6080</v>
      </c>
      <c r="J6584" s="14">
        <v>0.0</v>
      </c>
      <c r="K6584" s="14" t="s">
        <v>6012</v>
      </c>
      <c r="L6584" s="14">
        <v>0.0</v>
      </c>
    </row>
    <row r="6585">
      <c r="A6585" s="14">
        <v>881.0</v>
      </c>
      <c r="B6585" s="14">
        <v>5.0</v>
      </c>
      <c r="C6585" s="34">
        <v>39.03</v>
      </c>
      <c r="D6585" s="36">
        <v>45573.0</v>
      </c>
      <c r="E6585" s="24"/>
      <c r="F6585" s="14">
        <v>7.81</v>
      </c>
      <c r="G6585" s="14">
        <v>44.3</v>
      </c>
      <c r="H6585" s="14">
        <v>0.57</v>
      </c>
      <c r="I6585" s="14" t="s">
        <v>6077</v>
      </c>
      <c r="J6585" s="14">
        <v>20.0</v>
      </c>
      <c r="K6585" s="14">
        <v>39.03</v>
      </c>
      <c r="L6585" s="14">
        <v>0.0</v>
      </c>
    </row>
    <row r="6586">
      <c r="A6586" s="14">
        <v>497.0</v>
      </c>
      <c r="B6586" s="14">
        <v>5.0</v>
      </c>
      <c r="C6586" s="34">
        <v>25.85</v>
      </c>
      <c r="D6586" s="36">
        <v>45573.0</v>
      </c>
      <c r="E6586" s="24"/>
      <c r="F6586" s="14">
        <v>5.17</v>
      </c>
      <c r="G6586" s="14">
        <v>52.01</v>
      </c>
      <c r="H6586" s="14">
        <v>1.01</v>
      </c>
      <c r="I6586" s="14" t="s">
        <v>6076</v>
      </c>
      <c r="J6586" s="14">
        <v>40.0</v>
      </c>
      <c r="K6586" s="14">
        <v>12.92</v>
      </c>
      <c r="L6586" s="14">
        <v>0.0</v>
      </c>
    </row>
    <row r="6587">
      <c r="A6587" s="14">
        <v>1263.0</v>
      </c>
      <c r="B6587" s="14">
        <v>3.0</v>
      </c>
      <c r="C6587" s="34">
        <v>49.13</v>
      </c>
      <c r="D6587" s="36">
        <v>45573.0</v>
      </c>
      <c r="E6587" s="24"/>
      <c r="F6587" s="14">
        <v>16.38</v>
      </c>
      <c r="G6587" s="14">
        <v>38.9</v>
      </c>
      <c r="H6587" s="14">
        <v>0.24</v>
      </c>
      <c r="I6587" s="14" t="s">
        <v>6078</v>
      </c>
      <c r="J6587" s="14">
        <v>0.0</v>
      </c>
      <c r="K6587" s="14" t="s">
        <v>6012</v>
      </c>
      <c r="L6587" s="14">
        <v>0.0</v>
      </c>
    </row>
    <row r="6588">
      <c r="A6588" s="14">
        <v>64.0</v>
      </c>
      <c r="B6588" s="14">
        <v>0.0</v>
      </c>
      <c r="C6588" s="34">
        <v>22.83</v>
      </c>
      <c r="D6588" s="36">
        <v>45573.0</v>
      </c>
      <c r="E6588" s="24"/>
      <c r="F6588" s="14" t="s">
        <v>6012</v>
      </c>
      <c r="G6588" s="14">
        <v>356.72</v>
      </c>
      <c r="H6588" s="14">
        <v>0.0</v>
      </c>
      <c r="I6588" s="14" t="s">
        <v>6080</v>
      </c>
      <c r="J6588" s="14" t="s">
        <v>6012</v>
      </c>
      <c r="K6588" s="14" t="s">
        <v>6012</v>
      </c>
      <c r="L6588" s="14">
        <v>0.0</v>
      </c>
    </row>
    <row r="6589">
      <c r="A6589" s="14">
        <v>2005.0</v>
      </c>
      <c r="B6589" s="14">
        <v>18.0</v>
      </c>
      <c r="C6589" s="34">
        <v>17.85</v>
      </c>
      <c r="D6589" s="36">
        <v>45573.0</v>
      </c>
      <c r="E6589" s="24"/>
      <c r="F6589" s="14">
        <v>0.99</v>
      </c>
      <c r="G6589" s="14">
        <v>8.9</v>
      </c>
      <c r="H6589" s="14">
        <v>0.9</v>
      </c>
      <c r="I6589" s="14" t="s">
        <v>6079</v>
      </c>
      <c r="J6589" s="14">
        <v>0.0</v>
      </c>
      <c r="K6589" s="14" t="s">
        <v>6012</v>
      </c>
      <c r="L6589" s="14">
        <v>0.0</v>
      </c>
    </row>
    <row r="6590">
      <c r="A6590" s="14">
        <v>933.0</v>
      </c>
      <c r="B6590" s="14">
        <v>3.0</v>
      </c>
      <c r="C6590" s="34">
        <v>47.63</v>
      </c>
      <c r="D6590" s="36">
        <v>45574.0</v>
      </c>
      <c r="E6590" s="24"/>
      <c r="F6590" s="14">
        <v>15.88</v>
      </c>
      <c r="G6590" s="14">
        <v>51.05</v>
      </c>
      <c r="H6590" s="14">
        <v>0.32</v>
      </c>
      <c r="I6590" s="14" t="s">
        <v>6078</v>
      </c>
      <c r="J6590" s="14">
        <v>100.0</v>
      </c>
      <c r="K6590" s="14">
        <v>15.88</v>
      </c>
      <c r="L6590" s="14">
        <v>0.0</v>
      </c>
    </row>
    <row r="6591">
      <c r="A6591" s="14">
        <v>2121.0</v>
      </c>
      <c r="B6591" s="14">
        <v>15.0</v>
      </c>
      <c r="C6591" s="34">
        <v>17.61</v>
      </c>
      <c r="D6591" s="36">
        <v>45574.0</v>
      </c>
      <c r="E6591" s="24"/>
      <c r="F6591" s="14">
        <v>1.17</v>
      </c>
      <c r="G6591" s="14">
        <v>8.3</v>
      </c>
      <c r="H6591" s="14">
        <v>0.71</v>
      </c>
      <c r="I6591" s="14" t="s">
        <v>6079</v>
      </c>
      <c r="J6591" s="14">
        <v>6.67</v>
      </c>
      <c r="K6591" s="14">
        <v>17.61</v>
      </c>
      <c r="L6591" s="14">
        <v>0.0</v>
      </c>
    </row>
    <row r="6592">
      <c r="A6592" s="14">
        <v>418.0</v>
      </c>
      <c r="B6592" s="14">
        <v>0.0</v>
      </c>
      <c r="C6592" s="34">
        <v>23.7</v>
      </c>
      <c r="D6592" s="36">
        <v>45574.0</v>
      </c>
      <c r="E6592" s="24"/>
      <c r="F6592" s="14" t="s">
        <v>6012</v>
      </c>
      <c r="G6592" s="14">
        <v>56.7</v>
      </c>
      <c r="H6592" s="14">
        <v>0.0</v>
      </c>
      <c r="I6592" s="14" t="s">
        <v>6076</v>
      </c>
      <c r="J6592" s="14" t="s">
        <v>6012</v>
      </c>
      <c r="K6592" s="14" t="s">
        <v>6012</v>
      </c>
      <c r="L6592" s="14">
        <v>0.0</v>
      </c>
    </row>
    <row r="6593">
      <c r="A6593" s="14">
        <v>771.0</v>
      </c>
      <c r="B6593" s="14">
        <v>2.0</v>
      </c>
      <c r="C6593" s="34">
        <v>37.59</v>
      </c>
      <c r="D6593" s="36">
        <v>45574.0</v>
      </c>
      <c r="E6593" s="24"/>
      <c r="F6593" s="14">
        <v>18.8</v>
      </c>
      <c r="G6593" s="14">
        <v>48.75</v>
      </c>
      <c r="H6593" s="14">
        <v>0.26</v>
      </c>
      <c r="I6593" s="14" t="s">
        <v>6077</v>
      </c>
      <c r="J6593" s="14">
        <v>200.0</v>
      </c>
      <c r="K6593" s="14">
        <v>9.4</v>
      </c>
      <c r="L6593" s="14">
        <v>0.0</v>
      </c>
    </row>
    <row r="6594">
      <c r="A6594" s="14">
        <v>69.0</v>
      </c>
      <c r="B6594" s="14">
        <v>2.0</v>
      </c>
      <c r="C6594" s="34">
        <v>22.36</v>
      </c>
      <c r="D6594" s="36">
        <v>45574.0</v>
      </c>
      <c r="E6594" s="24"/>
      <c r="F6594" s="14">
        <v>11.18</v>
      </c>
      <c r="G6594" s="14">
        <v>324.06</v>
      </c>
      <c r="H6594" s="14">
        <v>2.9</v>
      </c>
      <c r="I6594" s="14" t="s">
        <v>6080</v>
      </c>
      <c r="J6594" s="14">
        <v>0.0</v>
      </c>
      <c r="K6594" s="14" t="s">
        <v>6012</v>
      </c>
      <c r="L6594" s="14">
        <v>0.0</v>
      </c>
    </row>
    <row r="6595">
      <c r="A6595" s="14">
        <v>1869.0</v>
      </c>
      <c r="B6595" s="14">
        <v>13.0</v>
      </c>
      <c r="C6595" s="34">
        <v>17.58</v>
      </c>
      <c r="D6595" s="36">
        <v>45575.0</v>
      </c>
      <c r="E6595" s="24"/>
      <c r="F6595" s="14">
        <v>1.35</v>
      </c>
      <c r="G6595" s="14">
        <v>9.41</v>
      </c>
      <c r="H6595" s="14">
        <v>0.7</v>
      </c>
      <c r="I6595" s="14" t="s">
        <v>6079</v>
      </c>
      <c r="J6595" s="14">
        <v>0.0</v>
      </c>
      <c r="K6595" s="14" t="s">
        <v>6012</v>
      </c>
      <c r="L6595" s="14">
        <v>0.0</v>
      </c>
    </row>
    <row r="6596">
      <c r="A6596" s="14">
        <v>827.0</v>
      </c>
      <c r="B6596" s="14">
        <v>3.0</v>
      </c>
      <c r="C6596" s="34">
        <v>45.25</v>
      </c>
      <c r="D6596" s="36">
        <v>45575.0</v>
      </c>
      <c r="E6596" s="24"/>
      <c r="F6596" s="14">
        <v>15.08</v>
      </c>
      <c r="G6596" s="14">
        <v>54.72</v>
      </c>
      <c r="H6596" s="14">
        <v>0.36</v>
      </c>
      <c r="I6596" s="14" t="s">
        <v>6078</v>
      </c>
      <c r="J6596" s="14">
        <v>0.0</v>
      </c>
      <c r="K6596" s="14" t="s">
        <v>6012</v>
      </c>
      <c r="L6596" s="14">
        <v>0.0</v>
      </c>
    </row>
    <row r="6597">
      <c r="A6597" s="14">
        <v>60.0</v>
      </c>
      <c r="B6597" s="14">
        <v>1.0</v>
      </c>
      <c r="C6597" s="34">
        <v>22.24</v>
      </c>
      <c r="D6597" s="36">
        <v>45575.0</v>
      </c>
      <c r="E6597" s="24"/>
      <c r="F6597" s="14">
        <v>22.24</v>
      </c>
      <c r="G6597" s="14">
        <v>370.67</v>
      </c>
      <c r="H6597" s="14">
        <v>1.67</v>
      </c>
      <c r="I6597" s="14" t="s">
        <v>6080</v>
      </c>
      <c r="J6597" s="14">
        <v>0.0</v>
      </c>
      <c r="K6597" s="14" t="s">
        <v>6012</v>
      </c>
      <c r="L6597" s="14">
        <v>0.0</v>
      </c>
    </row>
    <row r="6598">
      <c r="A6598" s="14">
        <v>244.0</v>
      </c>
      <c r="B6598" s="14">
        <v>0.0</v>
      </c>
      <c r="C6598" s="34">
        <v>23.17</v>
      </c>
      <c r="D6598" s="36">
        <v>45575.0</v>
      </c>
      <c r="E6598" s="24"/>
      <c r="F6598" s="14" t="s">
        <v>6012</v>
      </c>
      <c r="G6598" s="14">
        <v>94.96</v>
      </c>
      <c r="H6598" s="14">
        <v>0.0</v>
      </c>
      <c r="I6598" s="14" t="s">
        <v>6076</v>
      </c>
      <c r="J6598" s="14" t="s">
        <v>6012</v>
      </c>
      <c r="K6598" s="14" t="s">
        <v>6012</v>
      </c>
      <c r="L6598" s="14">
        <v>0.0</v>
      </c>
    </row>
    <row r="6599">
      <c r="A6599" s="14">
        <v>765.0</v>
      </c>
      <c r="B6599" s="14">
        <v>2.0</v>
      </c>
      <c r="C6599" s="34">
        <v>40.63</v>
      </c>
      <c r="D6599" s="36">
        <v>45575.0</v>
      </c>
      <c r="E6599" s="24"/>
      <c r="F6599" s="14">
        <v>20.32</v>
      </c>
      <c r="G6599" s="14">
        <v>53.11</v>
      </c>
      <c r="H6599" s="14">
        <v>0.26</v>
      </c>
      <c r="I6599" s="14" t="s">
        <v>6077</v>
      </c>
      <c r="J6599" s="14">
        <v>0.0</v>
      </c>
      <c r="K6599" s="14" t="s">
        <v>6012</v>
      </c>
      <c r="L6599" s="14">
        <v>0.0</v>
      </c>
    </row>
    <row r="6600">
      <c r="A6600" s="14">
        <v>1331.0</v>
      </c>
      <c r="B6600" s="14">
        <v>9.0</v>
      </c>
      <c r="C6600" s="34">
        <v>16.22</v>
      </c>
      <c r="D6600" s="36">
        <v>45576.0</v>
      </c>
      <c r="E6600" s="24"/>
      <c r="F6600" s="14">
        <v>1.8</v>
      </c>
      <c r="G6600" s="14">
        <v>12.19</v>
      </c>
      <c r="H6600" s="14">
        <v>0.68</v>
      </c>
      <c r="I6600" s="14" t="s">
        <v>6079</v>
      </c>
      <c r="J6600" s="14">
        <v>0.0</v>
      </c>
      <c r="K6600" s="14" t="s">
        <v>6012</v>
      </c>
      <c r="L6600" s="14">
        <v>0.0</v>
      </c>
    </row>
    <row r="6601">
      <c r="A6601" s="14">
        <v>182.0</v>
      </c>
      <c r="B6601" s="14">
        <v>0.0</v>
      </c>
      <c r="C6601" s="34">
        <v>21.67</v>
      </c>
      <c r="D6601" s="36">
        <v>45576.0</v>
      </c>
      <c r="E6601" s="24"/>
      <c r="F6601" s="14" t="s">
        <v>6012</v>
      </c>
      <c r="G6601" s="14">
        <v>119.07</v>
      </c>
      <c r="H6601" s="14">
        <v>0.0</v>
      </c>
      <c r="I6601" s="14" t="s">
        <v>6076</v>
      </c>
      <c r="J6601" s="14" t="s">
        <v>6012</v>
      </c>
      <c r="K6601" s="14" t="s">
        <v>6012</v>
      </c>
      <c r="L6601" s="14">
        <v>0.0</v>
      </c>
    </row>
    <row r="6602">
      <c r="A6602" s="14">
        <v>322.0</v>
      </c>
      <c r="B6602" s="14">
        <v>0.0</v>
      </c>
      <c r="C6602" s="34">
        <v>39.13</v>
      </c>
      <c r="D6602" s="36">
        <v>45576.0</v>
      </c>
      <c r="E6602" s="24"/>
      <c r="F6602" s="14" t="s">
        <v>6012</v>
      </c>
      <c r="G6602" s="14">
        <v>121.52</v>
      </c>
      <c r="H6602" s="14">
        <v>0.0</v>
      </c>
      <c r="I6602" s="14" t="s">
        <v>6078</v>
      </c>
      <c r="J6602" s="14" t="s">
        <v>6012</v>
      </c>
      <c r="K6602" s="14" t="s">
        <v>6012</v>
      </c>
      <c r="L6602" s="14">
        <v>0.0</v>
      </c>
    </row>
    <row r="6603">
      <c r="A6603" s="14">
        <v>738.0</v>
      </c>
      <c r="B6603" s="14">
        <v>3.0</v>
      </c>
      <c r="C6603" s="34">
        <v>33.39</v>
      </c>
      <c r="D6603" s="36">
        <v>45576.0</v>
      </c>
      <c r="E6603" s="24"/>
      <c r="F6603" s="14">
        <v>11.13</v>
      </c>
      <c r="G6603" s="14">
        <v>45.24</v>
      </c>
      <c r="H6603" s="14">
        <v>0.41</v>
      </c>
      <c r="I6603" s="14" t="s">
        <v>6077</v>
      </c>
      <c r="J6603" s="14">
        <v>0.0</v>
      </c>
      <c r="K6603" s="14" t="s">
        <v>6012</v>
      </c>
      <c r="L6603" s="14">
        <v>0.0</v>
      </c>
    </row>
    <row r="6604">
      <c r="A6604" s="14">
        <v>52.0</v>
      </c>
      <c r="B6604" s="14">
        <v>0.0</v>
      </c>
      <c r="C6604" s="34">
        <v>21.27</v>
      </c>
      <c r="D6604" s="36">
        <v>45576.0</v>
      </c>
      <c r="E6604" s="24"/>
      <c r="F6604" s="14" t="s">
        <v>6012</v>
      </c>
      <c r="G6604" s="14">
        <v>409.04</v>
      </c>
      <c r="H6604" s="14">
        <v>0.0</v>
      </c>
      <c r="I6604" s="14" t="s">
        <v>6080</v>
      </c>
      <c r="J6604" s="14" t="s">
        <v>6012</v>
      </c>
      <c r="K6604" s="14" t="s">
        <v>6012</v>
      </c>
      <c r="L6604" s="14">
        <v>0.0</v>
      </c>
    </row>
    <row r="6605">
      <c r="A6605" s="14">
        <v>240.0</v>
      </c>
      <c r="B6605" s="14">
        <v>1.0</v>
      </c>
      <c r="C6605" s="34">
        <v>20.48</v>
      </c>
      <c r="D6605" s="36">
        <v>45577.0</v>
      </c>
      <c r="E6605" s="24"/>
      <c r="F6605" s="14">
        <v>20.48</v>
      </c>
      <c r="G6605" s="14">
        <v>85.33</v>
      </c>
      <c r="H6605" s="14">
        <v>0.42</v>
      </c>
      <c r="I6605" s="14" t="s">
        <v>6077</v>
      </c>
      <c r="J6605" s="14">
        <v>0.0</v>
      </c>
      <c r="K6605" s="14" t="s">
        <v>6012</v>
      </c>
      <c r="L6605" s="14">
        <v>0.0</v>
      </c>
    </row>
    <row r="6606">
      <c r="A6606" s="14">
        <v>1261.0</v>
      </c>
      <c r="B6606" s="14">
        <v>7.0</v>
      </c>
      <c r="C6606" s="34">
        <v>9.7</v>
      </c>
      <c r="D6606" s="36">
        <v>45577.0</v>
      </c>
      <c r="E6606" s="24"/>
      <c r="F6606" s="14">
        <v>1.39</v>
      </c>
      <c r="G6606" s="14">
        <v>7.69</v>
      </c>
      <c r="H6606" s="14">
        <v>0.56</v>
      </c>
      <c r="I6606" s="14" t="s">
        <v>6079</v>
      </c>
      <c r="J6606" s="14">
        <v>0.0</v>
      </c>
      <c r="K6606" s="14" t="s">
        <v>6012</v>
      </c>
      <c r="L6606" s="14">
        <v>0.0</v>
      </c>
    </row>
    <row r="6607">
      <c r="A6607" s="14">
        <v>298.0</v>
      </c>
      <c r="B6607" s="14">
        <v>1.0</v>
      </c>
      <c r="C6607" s="34">
        <v>29.46</v>
      </c>
      <c r="D6607" s="36">
        <v>45577.0</v>
      </c>
      <c r="E6607" s="24"/>
      <c r="F6607" s="14">
        <v>29.46</v>
      </c>
      <c r="G6607" s="14">
        <v>98.86</v>
      </c>
      <c r="H6607" s="14">
        <v>0.34</v>
      </c>
      <c r="I6607" s="14" t="s">
        <v>6078</v>
      </c>
      <c r="J6607" s="14">
        <v>0.0</v>
      </c>
      <c r="K6607" s="14" t="s">
        <v>6012</v>
      </c>
      <c r="L6607" s="14">
        <v>0.0</v>
      </c>
    </row>
    <row r="6608">
      <c r="A6608" s="14">
        <v>24.0</v>
      </c>
      <c r="B6608" s="14">
        <v>0.0</v>
      </c>
      <c r="C6608" s="34">
        <v>11.31</v>
      </c>
      <c r="D6608" s="36">
        <v>45577.0</v>
      </c>
      <c r="E6608" s="24"/>
      <c r="F6608" s="14" t="s">
        <v>6012</v>
      </c>
      <c r="G6608" s="14">
        <v>471.25</v>
      </c>
      <c r="H6608" s="14">
        <v>0.0</v>
      </c>
      <c r="I6608" s="14" t="s">
        <v>6080</v>
      </c>
      <c r="J6608" s="14" t="s">
        <v>6012</v>
      </c>
      <c r="K6608" s="14" t="s">
        <v>6012</v>
      </c>
      <c r="L6608" s="14">
        <v>0.0</v>
      </c>
    </row>
    <row r="6609">
      <c r="A6609" s="14">
        <v>47.0</v>
      </c>
      <c r="B6609" s="14">
        <v>0.0</v>
      </c>
      <c r="C6609" s="34">
        <v>13.47</v>
      </c>
      <c r="D6609" s="36">
        <v>45577.0</v>
      </c>
      <c r="E6609" s="24"/>
      <c r="F6609" s="14" t="s">
        <v>6012</v>
      </c>
      <c r="G6609" s="14">
        <v>286.6</v>
      </c>
      <c r="H6609" s="14">
        <v>0.0</v>
      </c>
      <c r="I6609" s="14" t="s">
        <v>6076</v>
      </c>
      <c r="J6609" s="14" t="s">
        <v>6012</v>
      </c>
      <c r="K6609" s="14" t="s">
        <v>6012</v>
      </c>
      <c r="L6609" s="14">
        <v>0.0</v>
      </c>
    </row>
    <row r="6610">
      <c r="A6610" s="14">
        <v>565.0</v>
      </c>
      <c r="B6610" s="14">
        <v>4.0</v>
      </c>
      <c r="C6610" s="34">
        <v>8.99</v>
      </c>
      <c r="D6610" s="36">
        <v>45578.0</v>
      </c>
      <c r="E6610" s="24"/>
      <c r="F6610" s="14">
        <v>2.25</v>
      </c>
      <c r="G6610" s="14">
        <v>15.91</v>
      </c>
      <c r="H6610" s="14">
        <v>0.71</v>
      </c>
      <c r="I6610" s="14" t="s">
        <v>6079</v>
      </c>
      <c r="J6610" s="14">
        <v>0.0</v>
      </c>
      <c r="K6610" s="14" t="s">
        <v>6012</v>
      </c>
      <c r="L6610" s="14">
        <v>0.0</v>
      </c>
    </row>
    <row r="6611">
      <c r="A6611" s="14">
        <v>20.0</v>
      </c>
      <c r="B6611" s="14">
        <v>1.0</v>
      </c>
      <c r="C6611" s="34">
        <v>12.55</v>
      </c>
      <c r="D6611" s="36">
        <v>45578.0</v>
      </c>
      <c r="E6611" s="24"/>
      <c r="F6611" s="14">
        <v>12.55</v>
      </c>
      <c r="G6611" s="14">
        <v>627.5</v>
      </c>
      <c r="H6611" s="14">
        <v>5.0</v>
      </c>
      <c r="I6611" s="14" t="s">
        <v>6080</v>
      </c>
      <c r="J6611" s="14">
        <v>0.0</v>
      </c>
      <c r="K6611" s="14" t="s">
        <v>6012</v>
      </c>
      <c r="L6611" s="14">
        <v>0.0</v>
      </c>
    </row>
    <row r="6612">
      <c r="A6612" s="14">
        <v>133.0</v>
      </c>
      <c r="B6612" s="14">
        <v>0.0</v>
      </c>
      <c r="C6612" s="34">
        <v>23.64</v>
      </c>
      <c r="D6612" s="36">
        <v>45578.0</v>
      </c>
      <c r="E6612" s="24"/>
      <c r="F6612" s="14" t="s">
        <v>6012</v>
      </c>
      <c r="G6612" s="14">
        <v>177.74</v>
      </c>
      <c r="H6612" s="14">
        <v>0.0</v>
      </c>
      <c r="I6612" s="14" t="s">
        <v>6078</v>
      </c>
      <c r="J6612" s="14" t="s">
        <v>6012</v>
      </c>
      <c r="K6612" s="14">
        <v>23.64</v>
      </c>
      <c r="L6612" s="14">
        <v>0.0</v>
      </c>
    </row>
    <row r="6613">
      <c r="A6613" s="14">
        <v>99.0</v>
      </c>
      <c r="B6613" s="14">
        <v>1.0</v>
      </c>
      <c r="C6613" s="34">
        <v>15.96</v>
      </c>
      <c r="D6613" s="36">
        <v>45578.0</v>
      </c>
      <c r="E6613" s="24"/>
      <c r="F6613" s="14">
        <v>15.96</v>
      </c>
      <c r="G6613" s="14">
        <v>161.21</v>
      </c>
      <c r="H6613" s="14">
        <v>1.01</v>
      </c>
      <c r="I6613" s="14" t="s">
        <v>6077</v>
      </c>
      <c r="J6613" s="14">
        <v>0.0</v>
      </c>
      <c r="K6613" s="14" t="s">
        <v>6012</v>
      </c>
      <c r="L6613" s="14">
        <v>0.0</v>
      </c>
    </row>
    <row r="6614">
      <c r="A6614" s="14">
        <v>48.0</v>
      </c>
      <c r="B6614" s="14">
        <v>0.0</v>
      </c>
      <c r="C6614" s="34">
        <v>8.4</v>
      </c>
      <c r="D6614" s="36">
        <v>45578.0</v>
      </c>
      <c r="E6614" s="24"/>
      <c r="F6614" s="14" t="s">
        <v>6012</v>
      </c>
      <c r="G6614" s="14">
        <v>175.0</v>
      </c>
      <c r="H6614" s="14">
        <v>0.0</v>
      </c>
      <c r="I6614" s="14" t="s">
        <v>6076</v>
      </c>
      <c r="J6614" s="14" t="s">
        <v>6012</v>
      </c>
      <c r="K6614" s="14" t="s">
        <v>6012</v>
      </c>
      <c r="L6614" s="14">
        <v>0.0</v>
      </c>
    </row>
    <row r="6615">
      <c r="A6615" s="14">
        <v>117.0</v>
      </c>
      <c r="B6615" s="14">
        <v>0.0</v>
      </c>
      <c r="C6615" s="34">
        <v>37.32</v>
      </c>
      <c r="D6615" s="36">
        <v>45579.0</v>
      </c>
      <c r="E6615" s="24"/>
      <c r="F6615" s="14" t="s">
        <v>6012</v>
      </c>
      <c r="G6615" s="14">
        <v>318.97</v>
      </c>
      <c r="H6615" s="14">
        <v>0.0</v>
      </c>
      <c r="I6615" s="14" t="s">
        <v>6077</v>
      </c>
      <c r="J6615" s="14" t="s">
        <v>6012</v>
      </c>
      <c r="K6615" s="14" t="s">
        <v>6012</v>
      </c>
      <c r="L6615" s="14">
        <v>0.0</v>
      </c>
    </row>
    <row r="6616">
      <c r="A6616" s="14">
        <v>1332.0</v>
      </c>
      <c r="B6616" s="14">
        <v>6.0</v>
      </c>
      <c r="C6616" s="34">
        <v>17.03</v>
      </c>
      <c r="D6616" s="36">
        <v>45579.0</v>
      </c>
      <c r="E6616" s="24"/>
      <c r="F6616" s="14">
        <v>2.84</v>
      </c>
      <c r="G6616" s="14">
        <v>12.79</v>
      </c>
      <c r="H6616" s="14">
        <v>0.45</v>
      </c>
      <c r="I6616" s="14" t="s">
        <v>6079</v>
      </c>
      <c r="J6616" s="14">
        <v>0.0</v>
      </c>
      <c r="K6616" s="14" t="s">
        <v>6012</v>
      </c>
      <c r="L6616" s="14">
        <v>0.0</v>
      </c>
    </row>
    <row r="6617">
      <c r="A6617" s="14">
        <v>29.0</v>
      </c>
      <c r="B6617" s="14">
        <v>0.0</v>
      </c>
      <c r="C6617" s="34">
        <v>21.91</v>
      </c>
      <c r="D6617" s="36">
        <v>45579.0</v>
      </c>
      <c r="E6617" s="24"/>
      <c r="F6617" s="14" t="s">
        <v>6012</v>
      </c>
      <c r="G6617" s="14">
        <v>755.52</v>
      </c>
      <c r="H6617" s="14">
        <v>0.0</v>
      </c>
      <c r="I6617" s="14" t="s">
        <v>6080</v>
      </c>
      <c r="J6617" s="14" t="s">
        <v>6012</v>
      </c>
      <c r="K6617" s="14" t="s">
        <v>6012</v>
      </c>
      <c r="L6617" s="14">
        <v>0.0</v>
      </c>
    </row>
    <row r="6618">
      <c r="A6618" s="14">
        <v>58.0</v>
      </c>
      <c r="B6618" s="14">
        <v>0.0</v>
      </c>
      <c r="C6618" s="34">
        <v>25.68</v>
      </c>
      <c r="D6618" s="36">
        <v>45579.0</v>
      </c>
      <c r="E6618" s="24"/>
      <c r="F6618" s="14" t="s">
        <v>6012</v>
      </c>
      <c r="G6618" s="14">
        <v>442.76</v>
      </c>
      <c r="H6618" s="14">
        <v>0.0</v>
      </c>
      <c r="I6618" s="14" t="s">
        <v>6076</v>
      </c>
      <c r="J6618" s="14" t="s">
        <v>6012</v>
      </c>
      <c r="K6618" s="14">
        <v>25.68</v>
      </c>
      <c r="L6618" s="14">
        <v>0.0</v>
      </c>
    </row>
    <row r="6619">
      <c r="A6619" s="14">
        <v>189.0</v>
      </c>
      <c r="B6619" s="14">
        <v>2.0</v>
      </c>
      <c r="C6619" s="34">
        <v>46.66</v>
      </c>
      <c r="D6619" s="36">
        <v>45579.0</v>
      </c>
      <c r="E6619" s="24"/>
      <c r="F6619" s="14">
        <v>23.33</v>
      </c>
      <c r="G6619" s="14">
        <v>246.88</v>
      </c>
      <c r="H6619" s="14">
        <v>1.06</v>
      </c>
      <c r="I6619" s="14" t="s">
        <v>6078</v>
      </c>
      <c r="J6619" s="14">
        <v>0.0</v>
      </c>
      <c r="K6619" s="14" t="s">
        <v>6012</v>
      </c>
      <c r="L6619" s="14">
        <v>0.0</v>
      </c>
    </row>
    <row r="6620">
      <c r="A6620" s="14">
        <v>959.0</v>
      </c>
      <c r="B6620" s="14">
        <v>5.0</v>
      </c>
      <c r="C6620" s="34">
        <v>49.66</v>
      </c>
      <c r="D6620" s="36">
        <v>45580.0</v>
      </c>
      <c r="E6620" s="24"/>
      <c r="F6620" s="14">
        <v>9.93</v>
      </c>
      <c r="G6620" s="14">
        <v>51.78</v>
      </c>
      <c r="H6620" s="14">
        <v>0.52</v>
      </c>
      <c r="I6620" s="14" t="s">
        <v>6078</v>
      </c>
      <c r="J6620" s="14">
        <v>20.0</v>
      </c>
      <c r="K6620" s="14">
        <v>49.66</v>
      </c>
      <c r="L6620" s="14">
        <v>0.0</v>
      </c>
    </row>
    <row r="6621">
      <c r="A6621" s="14">
        <v>403.0</v>
      </c>
      <c r="B6621" s="14">
        <v>1.0</v>
      </c>
      <c r="C6621" s="34">
        <v>40.83</v>
      </c>
      <c r="D6621" s="36">
        <v>45580.0</v>
      </c>
      <c r="E6621" s="24"/>
      <c r="F6621" s="14">
        <v>40.83</v>
      </c>
      <c r="G6621" s="14">
        <v>101.32</v>
      </c>
      <c r="H6621" s="14">
        <v>0.25</v>
      </c>
      <c r="I6621" s="14" t="s">
        <v>6077</v>
      </c>
      <c r="J6621" s="14">
        <v>100.0</v>
      </c>
      <c r="K6621" s="14">
        <v>40.83</v>
      </c>
      <c r="L6621" s="14">
        <v>0.0</v>
      </c>
    </row>
    <row r="6622">
      <c r="A6622" s="14">
        <v>1549.0</v>
      </c>
      <c r="B6622" s="14">
        <v>10.0</v>
      </c>
      <c r="C6622" s="34">
        <v>18.04</v>
      </c>
      <c r="D6622" s="36">
        <v>45580.0</v>
      </c>
      <c r="E6622" s="24"/>
      <c r="F6622" s="14">
        <v>1.8</v>
      </c>
      <c r="G6622" s="14">
        <v>11.65</v>
      </c>
      <c r="H6622" s="14">
        <v>0.65</v>
      </c>
      <c r="I6622" s="14" t="s">
        <v>6079</v>
      </c>
      <c r="J6622" s="14">
        <v>20.0</v>
      </c>
      <c r="K6622" s="14">
        <v>9.02</v>
      </c>
      <c r="L6622" s="14">
        <v>0.0</v>
      </c>
    </row>
    <row r="6623">
      <c r="A6623" s="14">
        <v>47.0</v>
      </c>
      <c r="B6623" s="14">
        <v>0.0</v>
      </c>
      <c r="C6623" s="34">
        <v>21.89</v>
      </c>
      <c r="D6623" s="36">
        <v>45580.0</v>
      </c>
      <c r="E6623" s="24"/>
      <c r="F6623" s="14" t="s">
        <v>6012</v>
      </c>
      <c r="G6623" s="14">
        <v>465.74</v>
      </c>
      <c r="H6623" s="14">
        <v>0.0</v>
      </c>
      <c r="I6623" s="14" t="s">
        <v>6080</v>
      </c>
      <c r="J6623" s="14" t="s">
        <v>6012</v>
      </c>
      <c r="K6623" s="14" t="s">
        <v>6012</v>
      </c>
      <c r="L6623" s="14">
        <v>0.0</v>
      </c>
    </row>
    <row r="6624">
      <c r="A6624" s="14">
        <v>151.0</v>
      </c>
      <c r="B6624" s="14">
        <v>1.0</v>
      </c>
      <c r="C6624" s="34">
        <v>26.46</v>
      </c>
      <c r="D6624" s="36">
        <v>45580.0</v>
      </c>
      <c r="E6624" s="24"/>
      <c r="F6624" s="14">
        <v>26.46</v>
      </c>
      <c r="G6624" s="14">
        <v>175.23</v>
      </c>
      <c r="H6624" s="14">
        <v>0.66</v>
      </c>
      <c r="I6624" s="14" t="s">
        <v>6076</v>
      </c>
      <c r="J6624" s="14">
        <v>0.0</v>
      </c>
      <c r="K6624" s="14" t="s">
        <v>6012</v>
      </c>
      <c r="L6624" s="14">
        <v>0.0</v>
      </c>
    </row>
    <row r="6625">
      <c r="A6625" s="14">
        <v>2198.0</v>
      </c>
      <c r="B6625" s="14">
        <v>14.0</v>
      </c>
      <c r="C6625" s="34">
        <v>17.89</v>
      </c>
      <c r="D6625" s="36">
        <v>45581.0</v>
      </c>
      <c r="E6625" s="24"/>
      <c r="F6625" s="14">
        <v>1.28</v>
      </c>
      <c r="G6625" s="14">
        <v>8.14</v>
      </c>
      <c r="H6625" s="14">
        <v>0.64</v>
      </c>
      <c r="I6625" s="14" t="s">
        <v>6079</v>
      </c>
      <c r="J6625" s="14">
        <v>0.0</v>
      </c>
      <c r="K6625" s="14" t="s">
        <v>6012</v>
      </c>
      <c r="L6625" s="14">
        <v>0.0</v>
      </c>
    </row>
    <row r="6626">
      <c r="A6626" s="14">
        <v>59.0</v>
      </c>
      <c r="B6626" s="14">
        <v>0.0</v>
      </c>
      <c r="C6626" s="34">
        <v>19.71</v>
      </c>
      <c r="D6626" s="36">
        <v>45581.0</v>
      </c>
      <c r="E6626" s="24"/>
      <c r="F6626" s="14" t="s">
        <v>6012</v>
      </c>
      <c r="G6626" s="14">
        <v>334.07</v>
      </c>
      <c r="H6626" s="14">
        <v>0.0</v>
      </c>
      <c r="I6626" s="14" t="s">
        <v>6080</v>
      </c>
      <c r="J6626" s="14" t="s">
        <v>6012</v>
      </c>
      <c r="K6626" s="14" t="s">
        <v>6012</v>
      </c>
      <c r="L6626" s="14">
        <v>0.0</v>
      </c>
    </row>
    <row r="6627">
      <c r="A6627" s="14">
        <v>1107.0</v>
      </c>
      <c r="B6627" s="14">
        <v>6.0</v>
      </c>
      <c r="C6627" s="34">
        <v>47.55</v>
      </c>
      <c r="D6627" s="36">
        <v>45581.0</v>
      </c>
      <c r="E6627" s="24"/>
      <c r="F6627" s="14">
        <v>7.92</v>
      </c>
      <c r="G6627" s="14">
        <v>42.95</v>
      </c>
      <c r="H6627" s="14">
        <v>0.54</v>
      </c>
      <c r="I6627" s="14" t="s">
        <v>6078</v>
      </c>
      <c r="J6627" s="14">
        <v>0.0</v>
      </c>
      <c r="K6627" s="14" t="s">
        <v>6012</v>
      </c>
      <c r="L6627" s="14">
        <v>0.0</v>
      </c>
    </row>
    <row r="6628">
      <c r="A6628" s="14">
        <v>610.0</v>
      </c>
      <c r="B6628" s="14">
        <v>2.0</v>
      </c>
      <c r="C6628" s="34">
        <v>37.55</v>
      </c>
      <c r="D6628" s="36">
        <v>45581.0</v>
      </c>
      <c r="E6628" s="24"/>
      <c r="F6628" s="14">
        <v>18.77</v>
      </c>
      <c r="G6628" s="14">
        <v>61.56</v>
      </c>
      <c r="H6628" s="14">
        <v>0.33</v>
      </c>
      <c r="I6628" s="14" t="s">
        <v>6077</v>
      </c>
      <c r="J6628" s="14">
        <v>0.0</v>
      </c>
      <c r="K6628" s="14" t="s">
        <v>6012</v>
      </c>
      <c r="L6628" s="14">
        <v>0.0</v>
      </c>
    </row>
    <row r="6629">
      <c r="A6629" s="14">
        <v>361.0</v>
      </c>
      <c r="B6629" s="14">
        <v>0.0</v>
      </c>
      <c r="C6629" s="34">
        <v>22.72</v>
      </c>
      <c r="D6629" s="36">
        <v>45581.0</v>
      </c>
      <c r="E6629" s="24"/>
      <c r="F6629" s="14" t="s">
        <v>6012</v>
      </c>
      <c r="G6629" s="14">
        <v>62.94</v>
      </c>
      <c r="H6629" s="14">
        <v>0.0</v>
      </c>
      <c r="I6629" s="14" t="s">
        <v>6076</v>
      </c>
      <c r="J6629" s="14" t="s">
        <v>6012</v>
      </c>
      <c r="K6629" s="14" t="s">
        <v>6012</v>
      </c>
      <c r="L6629" s="14">
        <v>0.0</v>
      </c>
    </row>
    <row r="6630">
      <c r="A6630" s="14">
        <v>608.0</v>
      </c>
      <c r="B6630" s="14">
        <v>2.0</v>
      </c>
      <c r="C6630" s="34">
        <v>48.99</v>
      </c>
      <c r="D6630" s="36">
        <v>45582.0</v>
      </c>
      <c r="E6630" s="24"/>
      <c r="F6630" s="14">
        <v>24.5</v>
      </c>
      <c r="G6630" s="14">
        <v>80.58</v>
      </c>
      <c r="H6630" s="14">
        <v>0.33</v>
      </c>
      <c r="I6630" s="14" t="s">
        <v>6078</v>
      </c>
      <c r="J6630" s="14">
        <v>50.0</v>
      </c>
      <c r="K6630" s="14">
        <v>48.99</v>
      </c>
      <c r="L6630" s="14">
        <v>0.0</v>
      </c>
    </row>
    <row r="6631">
      <c r="A6631" s="14">
        <v>1056.0</v>
      </c>
      <c r="B6631" s="14">
        <v>6.0</v>
      </c>
      <c r="C6631" s="34">
        <v>38.38</v>
      </c>
      <c r="D6631" s="36">
        <v>45582.0</v>
      </c>
      <c r="E6631" s="24"/>
      <c r="F6631" s="14">
        <v>6.4</v>
      </c>
      <c r="G6631" s="14">
        <v>36.34</v>
      </c>
      <c r="H6631" s="14">
        <v>0.57</v>
      </c>
      <c r="I6631" s="14" t="s">
        <v>6077</v>
      </c>
      <c r="J6631" s="14">
        <v>16.67</v>
      </c>
      <c r="K6631" s="14">
        <v>38.38</v>
      </c>
      <c r="L6631" s="14">
        <v>0.0</v>
      </c>
    </row>
    <row r="6632">
      <c r="A6632" s="14">
        <v>533.0</v>
      </c>
      <c r="B6632" s="14">
        <v>2.0</v>
      </c>
      <c r="C6632" s="34">
        <v>22.57</v>
      </c>
      <c r="D6632" s="36">
        <v>45582.0</v>
      </c>
      <c r="E6632" s="24"/>
      <c r="F6632" s="14">
        <v>11.28</v>
      </c>
      <c r="G6632" s="14">
        <v>42.35</v>
      </c>
      <c r="H6632" s="14">
        <v>0.38</v>
      </c>
      <c r="I6632" s="14" t="s">
        <v>6076</v>
      </c>
      <c r="J6632" s="14">
        <v>0.0</v>
      </c>
      <c r="K6632" s="14" t="s">
        <v>6012</v>
      </c>
      <c r="L6632" s="14">
        <v>0.0</v>
      </c>
    </row>
    <row r="6633">
      <c r="A6633" s="14">
        <v>2025.0</v>
      </c>
      <c r="B6633" s="14">
        <v>8.0</v>
      </c>
      <c r="C6633" s="34">
        <v>17.83</v>
      </c>
      <c r="D6633" s="36">
        <v>45582.0</v>
      </c>
      <c r="E6633" s="24"/>
      <c r="F6633" s="14">
        <v>2.23</v>
      </c>
      <c r="G6633" s="14">
        <v>8.8</v>
      </c>
      <c r="H6633" s="14">
        <v>0.4</v>
      </c>
      <c r="I6633" s="14" t="s">
        <v>6079</v>
      </c>
      <c r="J6633" s="14">
        <v>0.0</v>
      </c>
      <c r="K6633" s="14" t="s">
        <v>6012</v>
      </c>
      <c r="L6633" s="14">
        <v>0.0</v>
      </c>
    </row>
    <row r="6634">
      <c r="A6634" s="14">
        <v>59.0</v>
      </c>
      <c r="B6634" s="14">
        <v>0.0</v>
      </c>
      <c r="C6634" s="34">
        <v>20.71</v>
      </c>
      <c r="D6634" s="36">
        <v>45582.0</v>
      </c>
      <c r="E6634" s="24"/>
      <c r="F6634" s="14" t="s">
        <v>6012</v>
      </c>
      <c r="G6634" s="14">
        <v>351.02</v>
      </c>
      <c r="H6634" s="14">
        <v>0.0</v>
      </c>
      <c r="I6634" s="14" t="s">
        <v>6080</v>
      </c>
      <c r="J6634" s="14" t="s">
        <v>6012</v>
      </c>
      <c r="K6634" s="14" t="s">
        <v>6012</v>
      </c>
      <c r="L6634" s="14">
        <v>0.0</v>
      </c>
    </row>
    <row r="6635">
      <c r="A6635" s="14">
        <v>53.0</v>
      </c>
      <c r="B6635" s="14">
        <v>0.0</v>
      </c>
      <c r="C6635" s="34">
        <v>19.96</v>
      </c>
      <c r="D6635" s="36">
        <v>45583.0</v>
      </c>
      <c r="E6635" s="24"/>
      <c r="F6635" s="14" t="s">
        <v>6012</v>
      </c>
      <c r="G6635" s="14">
        <v>376.6</v>
      </c>
      <c r="H6635" s="14">
        <v>0.0</v>
      </c>
      <c r="I6635" s="14" t="s">
        <v>6080</v>
      </c>
      <c r="J6635" s="14" t="s">
        <v>6012</v>
      </c>
      <c r="K6635" s="14" t="s">
        <v>6012</v>
      </c>
      <c r="L6635" s="14">
        <v>0.0</v>
      </c>
    </row>
    <row r="6636">
      <c r="A6636" s="14">
        <v>348.0</v>
      </c>
      <c r="B6636" s="14">
        <v>2.0</v>
      </c>
      <c r="C6636" s="34">
        <v>20.62</v>
      </c>
      <c r="D6636" s="36">
        <v>45583.0</v>
      </c>
      <c r="E6636" s="24"/>
      <c r="F6636" s="14">
        <v>10.31</v>
      </c>
      <c r="G6636" s="14">
        <v>59.25</v>
      </c>
      <c r="H6636" s="14">
        <v>0.57</v>
      </c>
      <c r="I6636" s="14" t="s">
        <v>6076</v>
      </c>
      <c r="J6636" s="14">
        <v>50.0</v>
      </c>
      <c r="K6636" s="14">
        <v>20.62</v>
      </c>
      <c r="L6636" s="14">
        <v>0.0</v>
      </c>
    </row>
    <row r="6637">
      <c r="A6637" s="14">
        <v>218.0</v>
      </c>
      <c r="B6637" s="14">
        <v>4.0</v>
      </c>
      <c r="C6637" s="34">
        <v>36.07</v>
      </c>
      <c r="D6637" s="36">
        <v>45583.0</v>
      </c>
      <c r="E6637" s="24"/>
      <c r="F6637" s="14">
        <v>9.02</v>
      </c>
      <c r="G6637" s="14">
        <v>165.46</v>
      </c>
      <c r="H6637" s="14">
        <v>1.83</v>
      </c>
      <c r="I6637" s="14" t="s">
        <v>6078</v>
      </c>
      <c r="J6637" s="14">
        <v>50.0</v>
      </c>
      <c r="K6637" s="14">
        <v>18.04</v>
      </c>
      <c r="L6637" s="14">
        <v>0.0</v>
      </c>
    </row>
    <row r="6638">
      <c r="A6638" s="14">
        <v>1697.0</v>
      </c>
      <c r="B6638" s="14">
        <v>9.0</v>
      </c>
      <c r="C6638" s="34">
        <v>15.9</v>
      </c>
      <c r="D6638" s="36">
        <v>45583.0</v>
      </c>
      <c r="E6638" s="24"/>
      <c r="F6638" s="14">
        <v>1.77</v>
      </c>
      <c r="G6638" s="14">
        <v>9.37</v>
      </c>
      <c r="H6638" s="14">
        <v>0.53</v>
      </c>
      <c r="I6638" s="14" t="s">
        <v>6079</v>
      </c>
      <c r="J6638" s="14">
        <v>11.11</v>
      </c>
      <c r="K6638" s="14">
        <v>15.9</v>
      </c>
      <c r="L6638" s="14">
        <v>0.0</v>
      </c>
    </row>
    <row r="6639">
      <c r="A6639" s="14">
        <v>737.0</v>
      </c>
      <c r="B6639" s="14">
        <v>6.0</v>
      </c>
      <c r="C6639" s="34">
        <v>33.57</v>
      </c>
      <c r="D6639" s="36">
        <v>45583.0</v>
      </c>
      <c r="E6639" s="24"/>
      <c r="F6639" s="14">
        <v>5.6</v>
      </c>
      <c r="G6639" s="14">
        <v>45.55</v>
      </c>
      <c r="H6639" s="14">
        <v>0.81</v>
      </c>
      <c r="I6639" s="14" t="s">
        <v>6077</v>
      </c>
      <c r="J6639" s="14">
        <v>33.33</v>
      </c>
      <c r="K6639" s="14">
        <v>16.78</v>
      </c>
      <c r="L6639" s="14">
        <v>0.0</v>
      </c>
    </row>
    <row r="6640">
      <c r="A6640" s="14">
        <v>400.0</v>
      </c>
      <c r="B6640" s="14">
        <v>1.0</v>
      </c>
      <c r="C6640" s="34">
        <v>20.09</v>
      </c>
      <c r="D6640" s="36">
        <v>45584.0</v>
      </c>
      <c r="E6640" s="24"/>
      <c r="F6640" s="14">
        <v>20.09</v>
      </c>
      <c r="G6640" s="14">
        <v>50.22</v>
      </c>
      <c r="H6640" s="14">
        <v>0.25</v>
      </c>
      <c r="I6640" s="14" t="s">
        <v>6077</v>
      </c>
      <c r="J6640" s="14">
        <v>100.0</v>
      </c>
      <c r="K6640" s="14">
        <v>20.09</v>
      </c>
      <c r="L6640" s="14">
        <v>0.0</v>
      </c>
    </row>
    <row r="6641">
      <c r="A6641" s="14">
        <v>146.0</v>
      </c>
      <c r="B6641" s="14">
        <v>1.0</v>
      </c>
      <c r="C6641" s="34">
        <v>28.31</v>
      </c>
      <c r="D6641" s="36">
        <v>45584.0</v>
      </c>
      <c r="E6641" s="24"/>
      <c r="F6641" s="14">
        <v>28.31</v>
      </c>
      <c r="G6641" s="14">
        <v>193.9</v>
      </c>
      <c r="H6641" s="14">
        <v>0.68</v>
      </c>
      <c r="I6641" s="14" t="s">
        <v>6078</v>
      </c>
      <c r="J6641" s="14">
        <v>100.0</v>
      </c>
      <c r="K6641" s="14">
        <v>28.31</v>
      </c>
      <c r="L6641" s="14">
        <v>0.0</v>
      </c>
    </row>
    <row r="6642">
      <c r="A6642" s="14">
        <v>1067.0</v>
      </c>
      <c r="B6642" s="14">
        <v>4.0</v>
      </c>
      <c r="C6642" s="34">
        <v>9.5</v>
      </c>
      <c r="D6642" s="36">
        <v>45584.0</v>
      </c>
      <c r="E6642" s="24"/>
      <c r="F6642" s="14">
        <v>2.38</v>
      </c>
      <c r="G6642" s="14">
        <v>8.9</v>
      </c>
      <c r="H6642" s="14">
        <v>0.37</v>
      </c>
      <c r="I6642" s="14" t="s">
        <v>6079</v>
      </c>
      <c r="J6642" s="14">
        <v>0.0</v>
      </c>
      <c r="K6642" s="14" t="s">
        <v>6012</v>
      </c>
      <c r="L6642" s="14">
        <v>0.0</v>
      </c>
    </row>
    <row r="6643">
      <c r="A6643" s="14">
        <v>102.0</v>
      </c>
      <c r="B6643" s="14">
        <v>0.0</v>
      </c>
      <c r="C6643" s="34">
        <v>12.8</v>
      </c>
      <c r="D6643" s="36">
        <v>45584.0</v>
      </c>
      <c r="E6643" s="24"/>
      <c r="F6643" s="14" t="s">
        <v>6012</v>
      </c>
      <c r="G6643" s="14">
        <v>125.49</v>
      </c>
      <c r="H6643" s="14">
        <v>0.0</v>
      </c>
      <c r="I6643" s="14" t="s">
        <v>6076</v>
      </c>
      <c r="J6643" s="14" t="s">
        <v>6012</v>
      </c>
      <c r="K6643" s="14" t="s">
        <v>6012</v>
      </c>
      <c r="L6643" s="14">
        <v>0.0</v>
      </c>
    </row>
    <row r="6644">
      <c r="A6644" s="14">
        <v>18.0</v>
      </c>
      <c r="B6644" s="14">
        <v>1.0</v>
      </c>
      <c r="C6644" s="34">
        <v>11.76</v>
      </c>
      <c r="D6644" s="36">
        <v>45584.0</v>
      </c>
      <c r="E6644" s="24"/>
      <c r="F6644" s="14">
        <v>11.76</v>
      </c>
      <c r="G6644" s="14">
        <v>653.33</v>
      </c>
      <c r="H6644" s="14">
        <v>5.56</v>
      </c>
      <c r="I6644" s="14" t="s">
        <v>6080</v>
      </c>
      <c r="J6644" s="14">
        <v>0.0</v>
      </c>
      <c r="K6644" s="14" t="s">
        <v>6012</v>
      </c>
      <c r="L6644" s="14">
        <v>0.0</v>
      </c>
    </row>
    <row r="6645">
      <c r="A6645" s="14">
        <v>106.0</v>
      </c>
      <c r="B6645" s="14">
        <v>1.0</v>
      </c>
      <c r="C6645" s="34">
        <v>16.26</v>
      </c>
      <c r="D6645" s="36">
        <v>45585.0</v>
      </c>
      <c r="E6645" s="24"/>
      <c r="F6645" s="14">
        <v>16.26</v>
      </c>
      <c r="G6645" s="14">
        <v>153.4</v>
      </c>
      <c r="H6645" s="14">
        <v>0.94</v>
      </c>
      <c r="I6645" s="14" t="s">
        <v>6077</v>
      </c>
      <c r="J6645" s="14">
        <v>0.0</v>
      </c>
      <c r="K6645" s="14" t="s">
        <v>6012</v>
      </c>
      <c r="L6645" s="14">
        <v>0.0</v>
      </c>
    </row>
    <row r="6646">
      <c r="A6646" s="14">
        <v>875.0</v>
      </c>
      <c r="B6646" s="14">
        <v>4.0</v>
      </c>
      <c r="C6646" s="34">
        <v>8.81</v>
      </c>
      <c r="D6646" s="36">
        <v>45585.0</v>
      </c>
      <c r="E6646" s="24"/>
      <c r="F6646" s="14">
        <v>2.2</v>
      </c>
      <c r="G6646" s="14">
        <v>10.07</v>
      </c>
      <c r="H6646" s="14">
        <v>0.46</v>
      </c>
      <c r="I6646" s="14" t="s">
        <v>6079</v>
      </c>
      <c r="J6646" s="14">
        <v>0.0</v>
      </c>
      <c r="K6646" s="14" t="s">
        <v>6012</v>
      </c>
      <c r="L6646" s="14">
        <v>0.0</v>
      </c>
    </row>
    <row r="6647">
      <c r="A6647" s="14">
        <v>107.0</v>
      </c>
      <c r="B6647" s="14">
        <v>1.0</v>
      </c>
      <c r="C6647" s="34">
        <v>22.76</v>
      </c>
      <c r="D6647" s="36">
        <v>45585.0</v>
      </c>
      <c r="E6647" s="24"/>
      <c r="F6647" s="14">
        <v>22.76</v>
      </c>
      <c r="G6647" s="14">
        <v>212.71</v>
      </c>
      <c r="H6647" s="14">
        <v>0.93</v>
      </c>
      <c r="I6647" s="14" t="s">
        <v>6078</v>
      </c>
      <c r="J6647" s="14">
        <v>0.0</v>
      </c>
      <c r="K6647" s="14" t="s">
        <v>6012</v>
      </c>
      <c r="L6647" s="14">
        <v>0.0</v>
      </c>
    </row>
    <row r="6648">
      <c r="A6648" s="14">
        <v>33.0</v>
      </c>
      <c r="B6648" s="14">
        <v>0.0</v>
      </c>
      <c r="C6648" s="34">
        <v>9.15</v>
      </c>
      <c r="D6648" s="36">
        <v>45585.0</v>
      </c>
      <c r="E6648" s="24"/>
      <c r="F6648" s="14" t="s">
        <v>6012</v>
      </c>
      <c r="G6648" s="14">
        <v>277.27</v>
      </c>
      <c r="H6648" s="14">
        <v>0.0</v>
      </c>
      <c r="I6648" s="14" t="s">
        <v>6076</v>
      </c>
      <c r="J6648" s="14" t="s">
        <v>6012</v>
      </c>
      <c r="K6648" s="14" t="s">
        <v>6012</v>
      </c>
      <c r="L6648" s="14">
        <v>0.0</v>
      </c>
    </row>
    <row r="6649">
      <c r="A6649" s="14">
        <v>17.0</v>
      </c>
      <c r="B6649" s="14">
        <v>0.0</v>
      </c>
      <c r="C6649" s="34">
        <v>9.94</v>
      </c>
      <c r="D6649" s="36">
        <v>45585.0</v>
      </c>
      <c r="E6649" s="24"/>
      <c r="F6649" s="14" t="s">
        <v>6012</v>
      </c>
      <c r="G6649" s="14">
        <v>584.71</v>
      </c>
      <c r="H6649" s="14">
        <v>0.0</v>
      </c>
      <c r="I6649" s="14" t="s">
        <v>6080</v>
      </c>
      <c r="J6649" s="14" t="s">
        <v>6012</v>
      </c>
      <c r="K6649" s="14" t="s">
        <v>6012</v>
      </c>
      <c r="L6649" s="14">
        <v>0.0</v>
      </c>
    </row>
    <row r="6650">
      <c r="A6650" s="14">
        <v>575.0</v>
      </c>
      <c r="B6650" s="14">
        <v>7.0</v>
      </c>
      <c r="C6650" s="34">
        <v>45.94</v>
      </c>
      <c r="D6650" s="36">
        <v>45586.0</v>
      </c>
      <c r="E6650" s="24"/>
      <c r="F6650" s="14">
        <v>6.56</v>
      </c>
      <c r="G6650" s="14">
        <v>79.9</v>
      </c>
      <c r="H6650" s="14">
        <v>1.22</v>
      </c>
      <c r="I6650" s="14" t="s">
        <v>6078</v>
      </c>
      <c r="J6650" s="14">
        <v>0.0</v>
      </c>
      <c r="K6650" s="14" t="s">
        <v>6012</v>
      </c>
      <c r="L6650" s="14">
        <v>0.0</v>
      </c>
    </row>
    <row r="6651">
      <c r="A6651" s="14">
        <v>43.0</v>
      </c>
      <c r="B6651" s="14">
        <v>0.0</v>
      </c>
      <c r="C6651" s="34">
        <v>19.17</v>
      </c>
      <c r="D6651" s="36">
        <v>45586.0</v>
      </c>
      <c r="E6651" s="24"/>
      <c r="F6651" s="14" t="s">
        <v>6012</v>
      </c>
      <c r="G6651" s="14">
        <v>445.81</v>
      </c>
      <c r="H6651" s="14">
        <v>0.0</v>
      </c>
      <c r="I6651" s="14" t="s">
        <v>6080</v>
      </c>
      <c r="J6651" s="14" t="s">
        <v>6012</v>
      </c>
      <c r="K6651" s="14" t="s">
        <v>6012</v>
      </c>
      <c r="L6651" s="14">
        <v>0.0</v>
      </c>
    </row>
    <row r="6652">
      <c r="A6652" s="14">
        <v>384.0</v>
      </c>
      <c r="B6652" s="14">
        <v>0.0</v>
      </c>
      <c r="C6652" s="34">
        <v>23.12</v>
      </c>
      <c r="D6652" s="36">
        <v>45586.0</v>
      </c>
      <c r="E6652" s="24"/>
      <c r="F6652" s="14" t="s">
        <v>6012</v>
      </c>
      <c r="G6652" s="14">
        <v>60.21</v>
      </c>
      <c r="H6652" s="14">
        <v>0.0</v>
      </c>
      <c r="I6652" s="14" t="s">
        <v>6076</v>
      </c>
      <c r="J6652" s="14" t="s">
        <v>6012</v>
      </c>
      <c r="K6652" s="14" t="s">
        <v>6012</v>
      </c>
      <c r="L6652" s="14">
        <v>0.0</v>
      </c>
    </row>
    <row r="6653">
      <c r="A6653" s="14">
        <v>435.0</v>
      </c>
      <c r="B6653" s="14">
        <v>2.0</v>
      </c>
      <c r="C6653" s="34">
        <v>36.1</v>
      </c>
      <c r="D6653" s="36">
        <v>45586.0</v>
      </c>
      <c r="E6653" s="24"/>
      <c r="F6653" s="14">
        <v>18.05</v>
      </c>
      <c r="G6653" s="14">
        <v>82.99</v>
      </c>
      <c r="H6653" s="14">
        <v>0.46</v>
      </c>
      <c r="I6653" s="14" t="s">
        <v>6077</v>
      </c>
      <c r="J6653" s="14">
        <v>0.0</v>
      </c>
      <c r="K6653" s="14" t="s">
        <v>6012</v>
      </c>
      <c r="L6653" s="14">
        <v>0.0</v>
      </c>
    </row>
    <row r="6654">
      <c r="A6654" s="14">
        <v>1969.0</v>
      </c>
      <c r="B6654" s="14">
        <v>16.0</v>
      </c>
      <c r="C6654" s="34">
        <v>17.12</v>
      </c>
      <c r="D6654" s="36">
        <v>45586.0</v>
      </c>
      <c r="E6654" s="24"/>
      <c r="F6654" s="14">
        <v>1.07</v>
      </c>
      <c r="G6654" s="14">
        <v>8.69</v>
      </c>
      <c r="H6654" s="14">
        <v>0.81</v>
      </c>
      <c r="I6654" s="14" t="s">
        <v>6079</v>
      </c>
      <c r="J6654" s="14">
        <v>0.0</v>
      </c>
      <c r="K6654" s="14" t="s">
        <v>6012</v>
      </c>
      <c r="L6654" s="14">
        <v>0.0</v>
      </c>
    </row>
    <row r="6655">
      <c r="A6655" s="14">
        <v>883.0</v>
      </c>
      <c r="B6655" s="14">
        <v>4.0</v>
      </c>
      <c r="C6655" s="34">
        <v>49.06</v>
      </c>
      <c r="D6655" s="36">
        <v>45587.0</v>
      </c>
      <c r="E6655" s="24"/>
      <c r="F6655" s="14">
        <v>12.26</v>
      </c>
      <c r="G6655" s="14">
        <v>55.56</v>
      </c>
      <c r="H6655" s="14">
        <v>0.45</v>
      </c>
      <c r="I6655" s="14" t="s">
        <v>6078</v>
      </c>
      <c r="J6655" s="14">
        <v>0.0</v>
      </c>
      <c r="K6655" s="14" t="s">
        <v>6012</v>
      </c>
      <c r="L6655" s="14">
        <v>0.0</v>
      </c>
    </row>
    <row r="6656">
      <c r="A6656" s="14">
        <v>37.0</v>
      </c>
      <c r="B6656" s="14">
        <v>0.0</v>
      </c>
      <c r="C6656" s="34">
        <v>17.57</v>
      </c>
      <c r="D6656" s="36">
        <v>45587.0</v>
      </c>
      <c r="E6656" s="24"/>
      <c r="F6656" s="14" t="s">
        <v>6012</v>
      </c>
      <c r="G6656" s="14">
        <v>474.86</v>
      </c>
      <c r="H6656" s="14">
        <v>0.0</v>
      </c>
      <c r="I6656" s="14" t="s">
        <v>6080</v>
      </c>
      <c r="J6656" s="14" t="s">
        <v>6012</v>
      </c>
      <c r="K6656" s="14" t="s">
        <v>6012</v>
      </c>
      <c r="L6656" s="14">
        <v>0.0</v>
      </c>
    </row>
    <row r="6657">
      <c r="A6657" s="14">
        <v>514.0</v>
      </c>
      <c r="B6657" s="14">
        <v>3.0</v>
      </c>
      <c r="C6657" s="34">
        <v>24.44</v>
      </c>
      <c r="D6657" s="36">
        <v>45587.0</v>
      </c>
      <c r="E6657" s="24"/>
      <c r="F6657" s="14">
        <v>8.15</v>
      </c>
      <c r="G6657" s="14">
        <v>47.55</v>
      </c>
      <c r="H6657" s="14">
        <v>0.58</v>
      </c>
      <c r="I6657" s="14" t="s">
        <v>6076</v>
      </c>
      <c r="J6657" s="14">
        <v>0.0</v>
      </c>
      <c r="K6657" s="14" t="s">
        <v>6012</v>
      </c>
      <c r="L6657" s="14">
        <v>0.0</v>
      </c>
    </row>
    <row r="6658">
      <c r="A6658" s="14">
        <v>727.0</v>
      </c>
      <c r="B6658" s="14">
        <v>2.0</v>
      </c>
      <c r="C6658" s="34">
        <v>39.95</v>
      </c>
      <c r="D6658" s="36">
        <v>45587.0</v>
      </c>
      <c r="E6658" s="24"/>
      <c r="F6658" s="14">
        <v>19.98</v>
      </c>
      <c r="G6658" s="14">
        <v>54.95</v>
      </c>
      <c r="H6658" s="14">
        <v>0.28</v>
      </c>
      <c r="I6658" s="14" t="s">
        <v>6077</v>
      </c>
      <c r="J6658" s="14">
        <v>0.0</v>
      </c>
      <c r="K6658" s="14" t="s">
        <v>6012</v>
      </c>
      <c r="L6658" s="14">
        <v>0.0</v>
      </c>
    </row>
    <row r="6659">
      <c r="A6659" s="14">
        <v>1649.0</v>
      </c>
      <c r="B6659" s="14">
        <v>10.0</v>
      </c>
      <c r="C6659" s="34">
        <v>18.72</v>
      </c>
      <c r="D6659" s="36">
        <v>45587.0</v>
      </c>
      <c r="E6659" s="24"/>
      <c r="F6659" s="14">
        <v>1.87</v>
      </c>
      <c r="G6659" s="14">
        <v>11.35</v>
      </c>
      <c r="H6659" s="14">
        <v>0.61</v>
      </c>
      <c r="I6659" s="14" t="s">
        <v>6079</v>
      </c>
      <c r="J6659" s="14">
        <v>0.0</v>
      </c>
      <c r="K6659" s="14" t="s">
        <v>6012</v>
      </c>
      <c r="L6659" s="14">
        <v>0.0</v>
      </c>
    </row>
    <row r="6660">
      <c r="A6660" s="14">
        <v>1166.0</v>
      </c>
      <c r="B6660" s="14">
        <v>10.0</v>
      </c>
      <c r="C6660" s="34">
        <v>19.28</v>
      </c>
      <c r="D6660" s="36">
        <v>45588.0</v>
      </c>
      <c r="E6660" s="24"/>
      <c r="F6660" s="14">
        <v>1.93</v>
      </c>
      <c r="G6660" s="14">
        <v>16.54</v>
      </c>
      <c r="H6660" s="14">
        <v>0.86</v>
      </c>
      <c r="I6660" s="14" t="s">
        <v>6079</v>
      </c>
      <c r="J6660" s="14">
        <v>0.0</v>
      </c>
      <c r="K6660" s="14" t="s">
        <v>6012</v>
      </c>
      <c r="L6660" s="14">
        <v>0.0</v>
      </c>
    </row>
    <row r="6661">
      <c r="A6661" s="14">
        <v>34.0</v>
      </c>
      <c r="B6661" s="14">
        <v>1.0</v>
      </c>
      <c r="C6661" s="34">
        <v>11.08</v>
      </c>
      <c r="D6661" s="36">
        <v>45588.0</v>
      </c>
      <c r="E6661" s="24"/>
      <c r="F6661" s="14">
        <v>11.08</v>
      </c>
      <c r="G6661" s="14">
        <v>325.88</v>
      </c>
      <c r="H6661" s="14">
        <v>2.94</v>
      </c>
      <c r="I6661" s="14" t="s">
        <v>6080</v>
      </c>
      <c r="J6661" s="14">
        <v>0.0</v>
      </c>
      <c r="K6661" s="14" t="s">
        <v>6012</v>
      </c>
      <c r="L6661" s="14">
        <v>0.0</v>
      </c>
    </row>
    <row r="6662">
      <c r="A6662" s="14">
        <v>917.0</v>
      </c>
      <c r="B6662" s="14">
        <v>3.0</v>
      </c>
      <c r="C6662" s="34">
        <v>38.84</v>
      </c>
      <c r="D6662" s="36">
        <v>45588.0</v>
      </c>
      <c r="E6662" s="24"/>
      <c r="F6662" s="14">
        <v>12.95</v>
      </c>
      <c r="G6662" s="14">
        <v>42.36</v>
      </c>
      <c r="H6662" s="14">
        <v>0.33</v>
      </c>
      <c r="I6662" s="14" t="s">
        <v>6077</v>
      </c>
      <c r="J6662" s="14">
        <v>0.0</v>
      </c>
      <c r="K6662" s="14" t="s">
        <v>6012</v>
      </c>
      <c r="L6662" s="14">
        <v>0.0</v>
      </c>
    </row>
    <row r="6663">
      <c r="A6663" s="14">
        <v>418.0</v>
      </c>
      <c r="B6663" s="14">
        <v>1.0</v>
      </c>
      <c r="C6663" s="34">
        <v>49.19</v>
      </c>
      <c r="D6663" s="36">
        <v>45588.0</v>
      </c>
      <c r="E6663" s="24"/>
      <c r="F6663" s="14">
        <v>49.19</v>
      </c>
      <c r="G6663" s="14">
        <v>117.68</v>
      </c>
      <c r="H6663" s="14">
        <v>0.24</v>
      </c>
      <c r="I6663" s="14" t="s">
        <v>6078</v>
      </c>
      <c r="J6663" s="14">
        <v>100.0</v>
      </c>
      <c r="K6663" s="14">
        <v>49.19</v>
      </c>
      <c r="L6663" s="14">
        <v>0.0</v>
      </c>
    </row>
    <row r="6664">
      <c r="A6664" s="14">
        <v>183.0</v>
      </c>
      <c r="B6664" s="14">
        <v>1.0</v>
      </c>
      <c r="C6664" s="34">
        <v>24.22</v>
      </c>
      <c r="D6664" s="36">
        <v>45588.0</v>
      </c>
      <c r="E6664" s="24"/>
      <c r="F6664" s="14">
        <v>24.22</v>
      </c>
      <c r="G6664" s="14">
        <v>132.35</v>
      </c>
      <c r="H6664" s="14">
        <v>0.55</v>
      </c>
      <c r="I6664" s="14" t="s">
        <v>6076</v>
      </c>
      <c r="J6664" s="14">
        <v>0.0</v>
      </c>
      <c r="K6664" s="14" t="s">
        <v>6012</v>
      </c>
      <c r="L6664" s="14">
        <v>0.0</v>
      </c>
    </row>
    <row r="6665">
      <c r="A6665" s="14">
        <v>1409.0</v>
      </c>
      <c r="B6665" s="14">
        <v>10.0</v>
      </c>
      <c r="C6665" s="34">
        <v>17.26</v>
      </c>
      <c r="D6665" s="36">
        <v>45589.0</v>
      </c>
      <c r="E6665" s="24"/>
      <c r="F6665" s="14">
        <v>1.73</v>
      </c>
      <c r="G6665" s="14">
        <v>12.25</v>
      </c>
      <c r="H6665" s="14">
        <v>0.71</v>
      </c>
      <c r="I6665" s="14" t="s">
        <v>6079</v>
      </c>
      <c r="J6665" s="14">
        <v>30.0</v>
      </c>
      <c r="K6665" s="14">
        <v>5.75</v>
      </c>
      <c r="L6665" s="14">
        <v>0.0</v>
      </c>
    </row>
    <row r="6666">
      <c r="A6666" s="14">
        <v>0.0</v>
      </c>
      <c r="B6666" s="14">
        <v>0.0</v>
      </c>
      <c r="C6666" s="34"/>
      <c r="D6666" s="36">
        <v>45589.0</v>
      </c>
      <c r="E6666" s="24"/>
      <c r="F6666" s="14" t="s">
        <v>6012</v>
      </c>
      <c r="G6666" s="14" t="s">
        <v>6012</v>
      </c>
      <c r="H6666" s="14" t="s">
        <v>6012</v>
      </c>
      <c r="I6666" s="14" t="s">
        <v>6080</v>
      </c>
      <c r="J6666" s="14" t="s">
        <v>6012</v>
      </c>
      <c r="K6666" s="14" t="s">
        <v>6012</v>
      </c>
      <c r="L6666" s="14"/>
    </row>
    <row r="6667">
      <c r="A6667" s="14">
        <v>468.0</v>
      </c>
      <c r="B6667" s="14">
        <v>0.0</v>
      </c>
      <c r="C6667" s="34">
        <v>42.58</v>
      </c>
      <c r="D6667" s="36">
        <v>45589.0</v>
      </c>
      <c r="E6667" s="24"/>
      <c r="F6667" s="14" t="s">
        <v>6012</v>
      </c>
      <c r="G6667" s="14">
        <v>90.98</v>
      </c>
      <c r="H6667" s="14">
        <v>0.0</v>
      </c>
      <c r="I6667" s="14" t="s">
        <v>6078</v>
      </c>
      <c r="J6667" s="14" t="s">
        <v>6012</v>
      </c>
      <c r="K6667" s="14">
        <v>42.58</v>
      </c>
      <c r="L6667" s="14">
        <v>0.0</v>
      </c>
    </row>
    <row r="6668">
      <c r="A6668" s="14">
        <v>819.0</v>
      </c>
      <c r="B6668" s="14">
        <v>4.0</v>
      </c>
      <c r="C6668" s="34">
        <v>38.72</v>
      </c>
      <c r="D6668" s="36">
        <v>45589.0</v>
      </c>
      <c r="E6668" s="24"/>
      <c r="F6668" s="14">
        <v>9.68</v>
      </c>
      <c r="G6668" s="14">
        <v>47.28</v>
      </c>
      <c r="H6668" s="14">
        <v>0.49</v>
      </c>
      <c r="I6668" s="14" t="s">
        <v>6077</v>
      </c>
      <c r="J6668" s="14">
        <v>25.0</v>
      </c>
      <c r="K6668" s="14">
        <v>38.72</v>
      </c>
      <c r="L6668" s="14">
        <v>0.0</v>
      </c>
    </row>
    <row r="6669">
      <c r="A6669" s="14">
        <v>143.0</v>
      </c>
      <c r="B6669" s="14">
        <v>2.0</v>
      </c>
      <c r="C6669" s="34">
        <v>24.65</v>
      </c>
      <c r="D6669" s="36">
        <v>45589.0</v>
      </c>
      <c r="E6669" s="24"/>
      <c r="F6669" s="14">
        <v>12.32</v>
      </c>
      <c r="G6669" s="14">
        <v>172.38</v>
      </c>
      <c r="H6669" s="14">
        <v>1.4</v>
      </c>
      <c r="I6669" s="14" t="s">
        <v>6076</v>
      </c>
      <c r="J6669" s="14">
        <v>100.0</v>
      </c>
      <c r="K6669" s="14">
        <v>12.32</v>
      </c>
      <c r="L6669" s="14">
        <v>0.0</v>
      </c>
    </row>
    <row r="6670">
      <c r="A6670" s="14">
        <v>1138.0</v>
      </c>
      <c r="B6670" s="14">
        <v>7.0</v>
      </c>
      <c r="C6670" s="34">
        <v>15.56</v>
      </c>
      <c r="D6670" s="36">
        <v>45590.0</v>
      </c>
      <c r="E6670" s="24"/>
      <c r="F6670" s="14">
        <v>2.22</v>
      </c>
      <c r="G6670" s="14">
        <v>13.67</v>
      </c>
      <c r="H6670" s="14">
        <v>0.62</v>
      </c>
      <c r="I6670" s="14" t="s">
        <v>6079</v>
      </c>
      <c r="J6670" s="14">
        <v>0.0</v>
      </c>
      <c r="K6670" s="14" t="s">
        <v>6012</v>
      </c>
      <c r="L6670" s="14">
        <v>0.0</v>
      </c>
    </row>
    <row r="6671">
      <c r="A6671" s="14">
        <v>340.0</v>
      </c>
      <c r="B6671" s="14">
        <v>1.0</v>
      </c>
      <c r="C6671" s="34">
        <v>39.96</v>
      </c>
      <c r="D6671" s="36">
        <v>45590.0</v>
      </c>
      <c r="E6671" s="24"/>
      <c r="F6671" s="14">
        <v>39.96</v>
      </c>
      <c r="G6671" s="14">
        <v>117.53</v>
      </c>
      <c r="H6671" s="14">
        <v>0.29</v>
      </c>
      <c r="I6671" s="14" t="s">
        <v>6078</v>
      </c>
      <c r="J6671" s="14">
        <v>0.0</v>
      </c>
      <c r="K6671" s="14" t="s">
        <v>6012</v>
      </c>
      <c r="L6671" s="14">
        <v>0.0</v>
      </c>
    </row>
    <row r="6672">
      <c r="A6672" s="14">
        <v>310.0</v>
      </c>
      <c r="B6672" s="14">
        <v>3.0</v>
      </c>
      <c r="C6672" s="34">
        <v>33.76</v>
      </c>
      <c r="D6672" s="36">
        <v>45590.0</v>
      </c>
      <c r="E6672" s="24"/>
      <c r="F6672" s="14">
        <v>11.25</v>
      </c>
      <c r="G6672" s="14">
        <v>108.9</v>
      </c>
      <c r="H6672" s="14">
        <v>0.97</v>
      </c>
      <c r="I6672" s="14" t="s">
        <v>6077</v>
      </c>
      <c r="J6672" s="14">
        <v>33.33</v>
      </c>
      <c r="K6672" s="14">
        <v>33.76</v>
      </c>
      <c r="L6672" s="14">
        <v>0.0</v>
      </c>
    </row>
    <row r="6673">
      <c r="A6673" s="14">
        <v>54.0</v>
      </c>
      <c r="B6673" s="14">
        <v>0.0</v>
      </c>
      <c r="C6673" s="34">
        <v>19.5</v>
      </c>
      <c r="D6673" s="36">
        <v>45590.0</v>
      </c>
      <c r="E6673" s="24"/>
      <c r="F6673" s="14" t="s">
        <v>6012</v>
      </c>
      <c r="G6673" s="14">
        <v>361.11</v>
      </c>
      <c r="H6673" s="14">
        <v>0.0</v>
      </c>
      <c r="I6673" s="14" t="s">
        <v>6076</v>
      </c>
      <c r="J6673" s="14" t="s">
        <v>6012</v>
      </c>
      <c r="K6673" s="14" t="s">
        <v>6012</v>
      </c>
      <c r="L6673" s="14">
        <v>0.0</v>
      </c>
    </row>
    <row r="6674">
      <c r="A6674" s="14">
        <v>567.0</v>
      </c>
      <c r="B6674" s="14">
        <v>3.0</v>
      </c>
      <c r="C6674" s="34">
        <v>9.68</v>
      </c>
      <c r="D6674" s="36">
        <v>45591.0</v>
      </c>
      <c r="E6674" s="24"/>
      <c r="F6674" s="14">
        <v>3.23</v>
      </c>
      <c r="G6674" s="14">
        <v>17.07</v>
      </c>
      <c r="H6674" s="14">
        <v>0.53</v>
      </c>
      <c r="I6674" s="14" t="s">
        <v>6079</v>
      </c>
      <c r="J6674" s="14">
        <v>0.0</v>
      </c>
      <c r="K6674" s="14" t="s">
        <v>6012</v>
      </c>
      <c r="L6674" s="14">
        <v>0.0</v>
      </c>
    </row>
    <row r="6675">
      <c r="A6675" s="14">
        <v>69.0</v>
      </c>
      <c r="B6675" s="14">
        <v>0.0</v>
      </c>
      <c r="C6675" s="34">
        <v>13.58</v>
      </c>
      <c r="D6675" s="36">
        <v>45591.0</v>
      </c>
      <c r="E6675" s="24"/>
      <c r="F6675" s="14" t="s">
        <v>6012</v>
      </c>
      <c r="G6675" s="14">
        <v>196.81</v>
      </c>
      <c r="H6675" s="14">
        <v>0.0</v>
      </c>
      <c r="I6675" s="14" t="s">
        <v>6076</v>
      </c>
      <c r="J6675" s="14" t="s">
        <v>6012</v>
      </c>
      <c r="K6675" s="14" t="s">
        <v>6012</v>
      </c>
      <c r="L6675" s="14">
        <v>0.0</v>
      </c>
    </row>
    <row r="6676">
      <c r="A6676" s="14">
        <v>135.0</v>
      </c>
      <c r="B6676" s="14">
        <v>0.0</v>
      </c>
      <c r="C6676" s="34">
        <v>22.87</v>
      </c>
      <c r="D6676" s="36">
        <v>45591.0</v>
      </c>
      <c r="E6676" s="24"/>
      <c r="F6676" s="14" t="s">
        <v>6012</v>
      </c>
      <c r="G6676" s="14">
        <v>169.41</v>
      </c>
      <c r="H6676" s="14">
        <v>0.0</v>
      </c>
      <c r="I6676" s="14" t="s">
        <v>6077</v>
      </c>
      <c r="J6676" s="14" t="s">
        <v>6012</v>
      </c>
      <c r="K6676" s="14" t="s">
        <v>6012</v>
      </c>
      <c r="L6676" s="14">
        <v>0.0</v>
      </c>
    </row>
    <row r="6677">
      <c r="A6677" s="14">
        <v>214.0</v>
      </c>
      <c r="B6677" s="14">
        <v>1.0</v>
      </c>
      <c r="C6677" s="34">
        <v>29.4</v>
      </c>
      <c r="D6677" s="36">
        <v>45591.0</v>
      </c>
      <c r="E6677" s="24"/>
      <c r="F6677" s="14">
        <v>29.4</v>
      </c>
      <c r="G6677" s="14">
        <v>137.38</v>
      </c>
      <c r="H6677" s="14">
        <v>0.47</v>
      </c>
      <c r="I6677" s="14" t="s">
        <v>6078</v>
      </c>
      <c r="J6677" s="14">
        <v>0.0</v>
      </c>
      <c r="K6677" s="14" t="s">
        <v>6012</v>
      </c>
      <c r="L6677" s="14">
        <v>0.0</v>
      </c>
    </row>
    <row r="6678">
      <c r="A6678" s="14">
        <v>115.0</v>
      </c>
      <c r="B6678" s="14">
        <v>0.0</v>
      </c>
      <c r="C6678" s="34">
        <v>12.59</v>
      </c>
      <c r="D6678" s="36">
        <v>45592.0</v>
      </c>
      <c r="E6678" s="24"/>
      <c r="F6678" s="14" t="s">
        <v>6012</v>
      </c>
      <c r="G6678" s="14">
        <v>109.48</v>
      </c>
      <c r="H6678" s="14">
        <v>0.0</v>
      </c>
      <c r="I6678" s="14" t="s">
        <v>6077</v>
      </c>
      <c r="J6678" s="14" t="s">
        <v>6012</v>
      </c>
      <c r="K6678" s="14" t="s">
        <v>6012</v>
      </c>
      <c r="L6678" s="14">
        <v>0.0</v>
      </c>
    </row>
    <row r="6679">
      <c r="A6679" s="14">
        <v>149.0</v>
      </c>
      <c r="B6679" s="14">
        <v>1.0</v>
      </c>
      <c r="C6679" s="34">
        <v>23.87</v>
      </c>
      <c r="D6679" s="36">
        <v>45592.0</v>
      </c>
      <c r="E6679" s="24"/>
      <c r="F6679" s="14">
        <v>23.87</v>
      </c>
      <c r="G6679" s="14">
        <v>160.2</v>
      </c>
      <c r="H6679" s="14">
        <v>0.67</v>
      </c>
      <c r="I6679" s="14" t="s">
        <v>6078</v>
      </c>
      <c r="J6679" s="14">
        <v>0.0</v>
      </c>
      <c r="K6679" s="14" t="s">
        <v>6012</v>
      </c>
      <c r="L6679" s="14">
        <v>0.0</v>
      </c>
    </row>
    <row r="6680">
      <c r="A6680" s="14">
        <v>713.0</v>
      </c>
      <c r="B6680" s="14">
        <v>5.0</v>
      </c>
      <c r="C6680" s="34">
        <v>7.38</v>
      </c>
      <c r="D6680" s="36">
        <v>45592.0</v>
      </c>
      <c r="E6680" s="24"/>
      <c r="F6680" s="14">
        <v>1.48</v>
      </c>
      <c r="G6680" s="14">
        <v>10.35</v>
      </c>
      <c r="H6680" s="14">
        <v>0.7</v>
      </c>
      <c r="I6680" s="14" t="s">
        <v>6079</v>
      </c>
      <c r="J6680" s="14">
        <v>0.0</v>
      </c>
      <c r="K6680" s="14" t="s">
        <v>6012</v>
      </c>
      <c r="L6680" s="14">
        <v>0.0</v>
      </c>
    </row>
    <row r="6681">
      <c r="A6681" s="14">
        <v>53.0</v>
      </c>
      <c r="B6681" s="14">
        <v>0.0</v>
      </c>
      <c r="C6681" s="34">
        <v>10.49</v>
      </c>
      <c r="D6681" s="36">
        <v>45592.0</v>
      </c>
      <c r="E6681" s="24"/>
      <c r="F6681" s="14" t="s">
        <v>6012</v>
      </c>
      <c r="G6681" s="14">
        <v>197.92</v>
      </c>
      <c r="H6681" s="14">
        <v>0.0</v>
      </c>
      <c r="I6681" s="14" t="s">
        <v>6076</v>
      </c>
      <c r="J6681" s="14" t="s">
        <v>6012</v>
      </c>
      <c r="K6681" s="14" t="s">
        <v>6012</v>
      </c>
      <c r="L6681" s="14">
        <v>0.0</v>
      </c>
    </row>
    <row r="6682">
      <c r="A6682" s="14">
        <v>622.0</v>
      </c>
      <c r="B6682" s="14">
        <v>2.0</v>
      </c>
      <c r="C6682" s="34">
        <v>45.34</v>
      </c>
      <c r="D6682" s="36">
        <v>45593.0</v>
      </c>
      <c r="E6682" s="24"/>
      <c r="F6682" s="14">
        <v>22.67</v>
      </c>
      <c r="G6682" s="14">
        <v>72.89</v>
      </c>
      <c r="H6682" s="14">
        <v>0.32</v>
      </c>
      <c r="I6682" s="14" t="s">
        <v>6078</v>
      </c>
      <c r="J6682" s="14">
        <v>0.0</v>
      </c>
      <c r="K6682" s="14" t="s">
        <v>6012</v>
      </c>
      <c r="L6682" s="14">
        <v>0.0</v>
      </c>
    </row>
    <row r="6683">
      <c r="A6683" s="14">
        <v>477.0</v>
      </c>
      <c r="B6683" s="14">
        <v>1.0</v>
      </c>
      <c r="C6683" s="34">
        <v>23.45</v>
      </c>
      <c r="D6683" s="36">
        <v>45593.0</v>
      </c>
      <c r="E6683" s="24"/>
      <c r="F6683" s="14">
        <v>23.45</v>
      </c>
      <c r="G6683" s="14">
        <v>49.16</v>
      </c>
      <c r="H6683" s="14">
        <v>0.21</v>
      </c>
      <c r="I6683" s="14" t="s">
        <v>6076</v>
      </c>
      <c r="J6683" s="14">
        <v>0.0</v>
      </c>
      <c r="K6683" s="14" t="s">
        <v>6012</v>
      </c>
      <c r="L6683" s="14">
        <v>0.0</v>
      </c>
    </row>
    <row r="6684">
      <c r="A6684" s="14">
        <v>747.0</v>
      </c>
      <c r="B6684" s="14">
        <v>6.0</v>
      </c>
      <c r="C6684" s="34">
        <v>35.7</v>
      </c>
      <c r="D6684" s="36">
        <v>45593.0</v>
      </c>
      <c r="E6684" s="24"/>
      <c r="F6684" s="14">
        <v>5.95</v>
      </c>
      <c r="G6684" s="14">
        <v>47.79</v>
      </c>
      <c r="H6684" s="14">
        <v>0.8</v>
      </c>
      <c r="I6684" s="14" t="s">
        <v>6077</v>
      </c>
      <c r="J6684" s="14">
        <v>0.0</v>
      </c>
      <c r="K6684" s="14" t="s">
        <v>6012</v>
      </c>
      <c r="L6684" s="14">
        <v>0.0</v>
      </c>
    </row>
    <row r="6685">
      <c r="A6685" s="14">
        <v>2293.0</v>
      </c>
      <c r="B6685" s="14">
        <v>17.0</v>
      </c>
      <c r="C6685" s="34">
        <v>16.91</v>
      </c>
      <c r="D6685" s="36">
        <v>45593.0</v>
      </c>
      <c r="E6685" s="24"/>
      <c r="F6685" s="14">
        <v>0.99</v>
      </c>
      <c r="G6685" s="14">
        <v>7.37</v>
      </c>
      <c r="H6685" s="14">
        <v>0.74</v>
      </c>
      <c r="I6685" s="14" t="s">
        <v>6079</v>
      </c>
      <c r="J6685" s="14">
        <v>0.0</v>
      </c>
      <c r="K6685" s="14" t="s">
        <v>6012</v>
      </c>
      <c r="L6685" s="14">
        <v>0.0</v>
      </c>
    </row>
    <row r="6686">
      <c r="A6686" s="14">
        <v>1885.0</v>
      </c>
      <c r="B6686" s="14">
        <v>11.0</v>
      </c>
      <c r="C6686" s="34">
        <v>18.28</v>
      </c>
      <c r="D6686" s="36">
        <v>45594.0</v>
      </c>
      <c r="E6686" s="24"/>
      <c r="F6686" s="14">
        <v>1.66</v>
      </c>
      <c r="G6686" s="14">
        <v>9.7</v>
      </c>
      <c r="H6686" s="14">
        <v>0.58</v>
      </c>
      <c r="I6686" s="14" t="s">
        <v>6079</v>
      </c>
      <c r="J6686" s="14">
        <v>9.09</v>
      </c>
      <c r="K6686" s="14">
        <v>18.28</v>
      </c>
      <c r="L6686" s="14">
        <v>0.0</v>
      </c>
    </row>
    <row r="6687">
      <c r="A6687" s="14">
        <v>399.0</v>
      </c>
      <c r="B6687" s="14">
        <v>4.0</v>
      </c>
      <c r="C6687" s="34">
        <v>25.05</v>
      </c>
      <c r="D6687" s="36">
        <v>45594.0</v>
      </c>
      <c r="E6687" s="24"/>
      <c r="F6687" s="14">
        <v>6.26</v>
      </c>
      <c r="G6687" s="14">
        <v>62.78</v>
      </c>
      <c r="H6687" s="14">
        <v>1.0</v>
      </c>
      <c r="I6687" s="14" t="s">
        <v>6076</v>
      </c>
      <c r="J6687" s="14">
        <v>0.0</v>
      </c>
      <c r="K6687" s="14" t="s">
        <v>6012</v>
      </c>
      <c r="L6687" s="14">
        <v>0.0</v>
      </c>
    </row>
    <row r="6688">
      <c r="A6688" s="14">
        <v>702.0</v>
      </c>
      <c r="B6688" s="14">
        <v>3.0</v>
      </c>
      <c r="C6688" s="34">
        <v>38.93</v>
      </c>
      <c r="D6688" s="36">
        <v>45594.0</v>
      </c>
      <c r="E6688" s="24"/>
      <c r="F6688" s="14">
        <v>12.98</v>
      </c>
      <c r="G6688" s="14">
        <v>55.46</v>
      </c>
      <c r="H6688" s="14">
        <v>0.43</v>
      </c>
      <c r="I6688" s="14" t="s">
        <v>6077</v>
      </c>
      <c r="J6688" s="14">
        <v>0.0</v>
      </c>
      <c r="K6688" s="14" t="s">
        <v>6012</v>
      </c>
      <c r="L6688" s="14">
        <v>0.0</v>
      </c>
    </row>
    <row r="6689">
      <c r="A6689" s="14">
        <v>719.0</v>
      </c>
      <c r="B6689" s="14">
        <v>1.0</v>
      </c>
      <c r="C6689" s="34">
        <v>48.57</v>
      </c>
      <c r="D6689" s="36">
        <v>45594.0</v>
      </c>
      <c r="E6689" s="24"/>
      <c r="F6689" s="14">
        <v>48.57</v>
      </c>
      <c r="G6689" s="14">
        <v>67.55</v>
      </c>
      <c r="H6689" s="14">
        <v>0.14</v>
      </c>
      <c r="I6689" s="14" t="s">
        <v>6078</v>
      </c>
      <c r="J6689" s="14">
        <v>0.0</v>
      </c>
      <c r="K6689" s="14" t="s">
        <v>6012</v>
      </c>
      <c r="L6689" s="14">
        <v>0.0</v>
      </c>
    </row>
    <row r="6690">
      <c r="A6690" s="14">
        <v>719.0</v>
      </c>
      <c r="B6690" s="14">
        <v>1.0</v>
      </c>
      <c r="C6690" s="34">
        <v>38.91</v>
      </c>
      <c r="D6690" s="36">
        <v>45595.0</v>
      </c>
      <c r="E6690" s="24"/>
      <c r="F6690" s="14">
        <v>38.91</v>
      </c>
      <c r="G6690" s="14">
        <v>54.12</v>
      </c>
      <c r="H6690" s="14">
        <v>0.14</v>
      </c>
      <c r="I6690" s="14" t="s">
        <v>6077</v>
      </c>
      <c r="J6690" s="14">
        <v>0.0</v>
      </c>
      <c r="K6690" s="14" t="s">
        <v>6012</v>
      </c>
      <c r="L6690" s="14">
        <v>0.0</v>
      </c>
    </row>
    <row r="6691">
      <c r="A6691" s="14">
        <v>242.0</v>
      </c>
      <c r="B6691" s="14">
        <v>2.0</v>
      </c>
      <c r="C6691" s="34">
        <v>24.72</v>
      </c>
      <c r="D6691" s="36">
        <v>45595.0</v>
      </c>
      <c r="E6691" s="24"/>
      <c r="F6691" s="14">
        <v>12.36</v>
      </c>
      <c r="G6691" s="14">
        <v>102.15</v>
      </c>
      <c r="H6691" s="14">
        <v>0.83</v>
      </c>
      <c r="I6691" s="14" t="s">
        <v>6076</v>
      </c>
      <c r="J6691" s="14">
        <v>0.0</v>
      </c>
      <c r="K6691" s="14" t="s">
        <v>6012</v>
      </c>
      <c r="L6691" s="14">
        <v>0.0</v>
      </c>
    </row>
    <row r="6692">
      <c r="A6692" s="14">
        <v>523.0</v>
      </c>
      <c r="B6692" s="14">
        <v>2.0</v>
      </c>
      <c r="C6692" s="34">
        <v>49.18</v>
      </c>
      <c r="D6692" s="36">
        <v>45595.0</v>
      </c>
      <c r="E6692" s="24"/>
      <c r="F6692" s="14">
        <v>24.59</v>
      </c>
      <c r="G6692" s="14">
        <v>94.03</v>
      </c>
      <c r="H6692" s="14">
        <v>0.38</v>
      </c>
      <c r="I6692" s="14" t="s">
        <v>6078</v>
      </c>
      <c r="J6692" s="14">
        <v>0.0</v>
      </c>
      <c r="K6692" s="14" t="s">
        <v>6012</v>
      </c>
      <c r="L6692" s="14">
        <v>0.0</v>
      </c>
    </row>
    <row r="6693">
      <c r="A6693" s="14">
        <v>1878.0</v>
      </c>
      <c r="B6693" s="14">
        <v>8.0</v>
      </c>
      <c r="C6693" s="34">
        <v>17.6</v>
      </c>
      <c r="D6693" s="36">
        <v>45595.0</v>
      </c>
      <c r="E6693" s="24"/>
      <c r="F6693" s="14">
        <v>2.2</v>
      </c>
      <c r="G6693" s="14">
        <v>9.37</v>
      </c>
      <c r="H6693" s="14">
        <v>0.43</v>
      </c>
      <c r="I6693" s="14" t="s">
        <v>6079</v>
      </c>
      <c r="J6693" s="14">
        <v>0.0</v>
      </c>
      <c r="K6693" s="14" t="s">
        <v>6012</v>
      </c>
      <c r="L6693" s="14">
        <v>0.0</v>
      </c>
    </row>
    <row r="6694">
      <c r="A6694" s="14">
        <v>1500.0</v>
      </c>
      <c r="B6694" s="14">
        <v>8.0</v>
      </c>
      <c r="C6694" s="34">
        <v>17.53</v>
      </c>
      <c r="D6694" s="36">
        <v>45596.0</v>
      </c>
      <c r="E6694" s="24"/>
      <c r="F6694" s="14">
        <v>2.19</v>
      </c>
      <c r="G6694" s="14">
        <v>11.69</v>
      </c>
      <c r="H6694" s="14">
        <v>0.53</v>
      </c>
      <c r="I6694" s="14" t="s">
        <v>6079</v>
      </c>
      <c r="J6694" s="14">
        <v>0.0</v>
      </c>
      <c r="K6694" s="14" t="s">
        <v>6012</v>
      </c>
      <c r="L6694" s="14">
        <v>0.0</v>
      </c>
    </row>
    <row r="6695">
      <c r="A6695" s="14">
        <v>246.0</v>
      </c>
      <c r="B6695" s="14">
        <v>0.0</v>
      </c>
      <c r="C6695" s="34">
        <v>24.26</v>
      </c>
      <c r="D6695" s="36">
        <v>45596.0</v>
      </c>
      <c r="E6695" s="24"/>
      <c r="F6695" s="14" t="s">
        <v>6012</v>
      </c>
      <c r="G6695" s="14">
        <v>98.62</v>
      </c>
      <c r="H6695" s="14">
        <v>0.0</v>
      </c>
      <c r="I6695" s="14" t="s">
        <v>6076</v>
      </c>
      <c r="J6695" s="14" t="s">
        <v>6012</v>
      </c>
      <c r="K6695" s="14" t="s">
        <v>6012</v>
      </c>
      <c r="L6695" s="14">
        <v>0.0</v>
      </c>
    </row>
    <row r="6696">
      <c r="A6696" s="14">
        <v>526.0</v>
      </c>
      <c r="B6696" s="14">
        <v>2.0</v>
      </c>
      <c r="C6696" s="34">
        <v>49.45</v>
      </c>
      <c r="D6696" s="36">
        <v>45596.0</v>
      </c>
      <c r="E6696" s="24"/>
      <c r="F6696" s="14">
        <v>24.72</v>
      </c>
      <c r="G6696" s="14">
        <v>94.01</v>
      </c>
      <c r="H6696" s="14">
        <v>0.38</v>
      </c>
      <c r="I6696" s="14" t="s">
        <v>6078</v>
      </c>
      <c r="J6696" s="14">
        <v>0.0</v>
      </c>
      <c r="K6696" s="14" t="s">
        <v>6012</v>
      </c>
      <c r="L6696" s="14">
        <v>0.0</v>
      </c>
    </row>
    <row r="6697">
      <c r="A6697" s="14">
        <v>681.0</v>
      </c>
      <c r="B6697" s="14">
        <v>2.0</v>
      </c>
      <c r="C6697" s="34">
        <v>39.64</v>
      </c>
      <c r="D6697" s="36">
        <v>45596.0</v>
      </c>
      <c r="E6697" s="24"/>
      <c r="F6697" s="14">
        <v>19.82</v>
      </c>
      <c r="G6697" s="14">
        <v>58.21</v>
      </c>
      <c r="H6697" s="14">
        <v>0.29</v>
      </c>
      <c r="I6697" s="14" t="s">
        <v>6077</v>
      </c>
      <c r="J6697" s="14">
        <v>0.0</v>
      </c>
      <c r="K6697" s="14" t="s">
        <v>6012</v>
      </c>
      <c r="L6697" s="14">
        <v>0.0</v>
      </c>
    </row>
    <row r="6698">
      <c r="A6698" s="14">
        <v>545.0</v>
      </c>
      <c r="B6698" s="14">
        <v>5.0</v>
      </c>
      <c r="C6698" s="34">
        <v>42.48</v>
      </c>
      <c r="D6698" s="36">
        <v>45597.0</v>
      </c>
      <c r="E6698" s="24"/>
      <c r="F6698" s="14">
        <v>8.5</v>
      </c>
      <c r="G6698" s="14">
        <v>77.94</v>
      </c>
      <c r="H6698" s="14">
        <v>0.92</v>
      </c>
      <c r="I6698" s="14" t="s">
        <v>6078</v>
      </c>
      <c r="J6698" s="14">
        <v>0.0</v>
      </c>
      <c r="K6698" s="14" t="s">
        <v>6012</v>
      </c>
      <c r="L6698" s="14">
        <v>0.0</v>
      </c>
    </row>
    <row r="6699">
      <c r="A6699" s="14">
        <v>233.0</v>
      </c>
      <c r="B6699" s="14">
        <v>1.0</v>
      </c>
      <c r="C6699" s="34">
        <v>21.97</v>
      </c>
      <c r="D6699" s="36">
        <v>45597.0</v>
      </c>
      <c r="E6699" s="24"/>
      <c r="F6699" s="14">
        <v>21.97</v>
      </c>
      <c r="G6699" s="14">
        <v>94.29</v>
      </c>
      <c r="H6699" s="14">
        <v>0.43</v>
      </c>
      <c r="I6699" s="14" t="s">
        <v>6076</v>
      </c>
      <c r="J6699" s="14">
        <v>0.0</v>
      </c>
      <c r="K6699" s="14" t="s">
        <v>6012</v>
      </c>
      <c r="L6699" s="14">
        <v>0.0</v>
      </c>
    </row>
    <row r="6700">
      <c r="A6700" s="14">
        <v>1574.0</v>
      </c>
      <c r="B6700" s="14">
        <v>6.0</v>
      </c>
      <c r="C6700" s="34">
        <v>16.06</v>
      </c>
      <c r="D6700" s="36">
        <v>45597.0</v>
      </c>
      <c r="E6700" s="24"/>
      <c r="F6700" s="14">
        <v>2.68</v>
      </c>
      <c r="G6700" s="14">
        <v>10.2</v>
      </c>
      <c r="H6700" s="14">
        <v>0.38</v>
      </c>
      <c r="I6700" s="14" t="s">
        <v>6079</v>
      </c>
      <c r="J6700" s="14">
        <v>0.0</v>
      </c>
      <c r="K6700" s="14" t="s">
        <v>6012</v>
      </c>
      <c r="L6700" s="14">
        <v>0.0</v>
      </c>
    </row>
    <row r="6701">
      <c r="A6701" s="14">
        <v>797.0</v>
      </c>
      <c r="B6701" s="14">
        <v>4.0</v>
      </c>
      <c r="C6701" s="34">
        <v>33.99</v>
      </c>
      <c r="D6701" s="36">
        <v>45597.0</v>
      </c>
      <c r="E6701" s="24"/>
      <c r="F6701" s="14">
        <v>8.5</v>
      </c>
      <c r="G6701" s="14">
        <v>42.65</v>
      </c>
      <c r="H6701" s="14">
        <v>0.5</v>
      </c>
      <c r="I6701" s="14" t="s">
        <v>6077</v>
      </c>
      <c r="J6701" s="14">
        <v>0.0</v>
      </c>
      <c r="K6701" s="14" t="s">
        <v>6012</v>
      </c>
      <c r="L6701" s="14">
        <v>0.0</v>
      </c>
    </row>
    <row r="6702">
      <c r="A6702" s="14">
        <v>1094.0</v>
      </c>
      <c r="B6702" s="14">
        <v>3.0</v>
      </c>
      <c r="C6702" s="34">
        <v>9.77</v>
      </c>
      <c r="D6702" s="36">
        <v>45598.0</v>
      </c>
      <c r="E6702" s="24"/>
      <c r="F6702" s="14">
        <v>3.26</v>
      </c>
      <c r="G6702" s="14">
        <v>8.93</v>
      </c>
      <c r="H6702" s="14">
        <v>0.27</v>
      </c>
      <c r="I6702" s="14" t="s">
        <v>6079</v>
      </c>
      <c r="J6702" s="14">
        <v>0.0</v>
      </c>
      <c r="K6702" s="14" t="s">
        <v>6012</v>
      </c>
      <c r="L6702" s="14">
        <v>0.0</v>
      </c>
    </row>
    <row r="6703">
      <c r="A6703" s="14">
        <v>227.0</v>
      </c>
      <c r="B6703" s="14">
        <v>1.0</v>
      </c>
      <c r="C6703" s="34">
        <v>24.49</v>
      </c>
      <c r="D6703" s="36">
        <v>45598.0</v>
      </c>
      <c r="E6703" s="24"/>
      <c r="F6703" s="14">
        <v>24.49</v>
      </c>
      <c r="G6703" s="14">
        <v>107.89</v>
      </c>
      <c r="H6703" s="14">
        <v>0.44</v>
      </c>
      <c r="I6703" s="14" t="s">
        <v>6078</v>
      </c>
      <c r="J6703" s="14">
        <v>0.0</v>
      </c>
      <c r="K6703" s="14" t="s">
        <v>6012</v>
      </c>
      <c r="L6703" s="14">
        <v>0.0</v>
      </c>
    </row>
    <row r="6704">
      <c r="A6704" s="14">
        <v>212.0</v>
      </c>
      <c r="B6704" s="14">
        <v>1.0</v>
      </c>
      <c r="C6704" s="34">
        <v>20.52</v>
      </c>
      <c r="D6704" s="36">
        <v>45598.0</v>
      </c>
      <c r="E6704" s="24"/>
      <c r="F6704" s="14">
        <v>20.52</v>
      </c>
      <c r="G6704" s="14">
        <v>96.79</v>
      </c>
      <c r="H6704" s="14">
        <v>0.47</v>
      </c>
      <c r="I6704" s="14" t="s">
        <v>6077</v>
      </c>
      <c r="J6704" s="14">
        <v>0.0</v>
      </c>
      <c r="K6704" s="14" t="s">
        <v>6012</v>
      </c>
      <c r="L6704" s="14">
        <v>0.0</v>
      </c>
    </row>
    <row r="6705">
      <c r="A6705" s="14">
        <v>89.0</v>
      </c>
      <c r="B6705" s="14">
        <v>1.0</v>
      </c>
      <c r="C6705" s="34">
        <v>10.76</v>
      </c>
      <c r="D6705" s="36">
        <v>45598.0</v>
      </c>
      <c r="E6705" s="24"/>
      <c r="F6705" s="14">
        <v>10.76</v>
      </c>
      <c r="G6705" s="14">
        <v>120.9</v>
      </c>
      <c r="H6705" s="14">
        <v>1.12</v>
      </c>
      <c r="I6705" s="14" t="s">
        <v>6076</v>
      </c>
      <c r="J6705" s="14">
        <v>0.0</v>
      </c>
      <c r="K6705" s="14" t="s">
        <v>6012</v>
      </c>
      <c r="L6705" s="14">
        <v>0.0</v>
      </c>
    </row>
    <row r="6706">
      <c r="A6706" s="14">
        <v>76.0</v>
      </c>
      <c r="B6706" s="14">
        <v>1.0</v>
      </c>
      <c r="C6706" s="34">
        <v>9.73</v>
      </c>
      <c r="D6706" s="36">
        <v>45599.0</v>
      </c>
      <c r="E6706" s="24"/>
      <c r="F6706" s="14">
        <v>9.73</v>
      </c>
      <c r="G6706" s="14">
        <v>128.03</v>
      </c>
      <c r="H6706" s="14">
        <v>1.32</v>
      </c>
      <c r="I6706" s="14" t="s">
        <v>6076</v>
      </c>
      <c r="J6706" s="14">
        <v>0.0</v>
      </c>
      <c r="K6706" s="14" t="s">
        <v>6012</v>
      </c>
      <c r="L6706" s="14">
        <v>0.0</v>
      </c>
    </row>
    <row r="6707">
      <c r="A6707" s="14">
        <v>812.0</v>
      </c>
      <c r="B6707" s="14">
        <v>4.0</v>
      </c>
      <c r="C6707" s="34">
        <v>8.82</v>
      </c>
      <c r="D6707" s="36">
        <v>45599.0</v>
      </c>
      <c r="E6707" s="24"/>
      <c r="F6707" s="14">
        <v>2.2</v>
      </c>
      <c r="G6707" s="14">
        <v>10.86</v>
      </c>
      <c r="H6707" s="14">
        <v>0.49</v>
      </c>
      <c r="I6707" s="14" t="s">
        <v>6079</v>
      </c>
      <c r="J6707" s="14">
        <v>0.0</v>
      </c>
      <c r="K6707" s="14" t="s">
        <v>6012</v>
      </c>
      <c r="L6707" s="14">
        <v>0.0</v>
      </c>
    </row>
    <row r="6708">
      <c r="A6708" s="14">
        <v>107.0</v>
      </c>
      <c r="B6708" s="14">
        <v>0.0</v>
      </c>
      <c r="C6708" s="34">
        <v>16.31</v>
      </c>
      <c r="D6708" s="36">
        <v>45599.0</v>
      </c>
      <c r="E6708" s="24"/>
      <c r="F6708" s="14" t="s">
        <v>6012</v>
      </c>
      <c r="G6708" s="14">
        <v>152.43</v>
      </c>
      <c r="H6708" s="14">
        <v>0.0</v>
      </c>
      <c r="I6708" s="14" t="s">
        <v>6077</v>
      </c>
      <c r="J6708" s="14" t="s">
        <v>6012</v>
      </c>
      <c r="K6708" s="14">
        <v>16.31</v>
      </c>
      <c r="L6708" s="14">
        <v>0.0</v>
      </c>
    </row>
    <row r="6709">
      <c r="A6709" s="14">
        <v>149.0</v>
      </c>
      <c r="B6709" s="14">
        <v>1.0</v>
      </c>
      <c r="C6709" s="34">
        <v>20.49</v>
      </c>
      <c r="D6709" s="36">
        <v>45599.0</v>
      </c>
      <c r="E6709" s="24"/>
      <c r="F6709" s="14">
        <v>20.49</v>
      </c>
      <c r="G6709" s="14">
        <v>137.52</v>
      </c>
      <c r="H6709" s="14">
        <v>0.67</v>
      </c>
      <c r="I6709" s="14" t="s">
        <v>6078</v>
      </c>
      <c r="J6709" s="14">
        <v>100.0</v>
      </c>
      <c r="K6709" s="14">
        <v>20.49</v>
      </c>
      <c r="L6709" s="14">
        <v>0.0</v>
      </c>
    </row>
    <row r="6710">
      <c r="A6710" s="14">
        <v>629.0</v>
      </c>
      <c r="B6710" s="14">
        <v>6.0</v>
      </c>
      <c r="C6710" s="34">
        <v>46.83</v>
      </c>
      <c r="D6710" s="36">
        <v>45600.0</v>
      </c>
      <c r="E6710" s="24"/>
      <c r="F6710" s="14">
        <v>7.8</v>
      </c>
      <c r="G6710" s="14">
        <v>74.45</v>
      </c>
      <c r="H6710" s="14">
        <v>0.95</v>
      </c>
      <c r="I6710" s="14" t="s">
        <v>6078</v>
      </c>
      <c r="J6710" s="14">
        <v>0.0</v>
      </c>
      <c r="K6710" s="14" t="s">
        <v>6012</v>
      </c>
      <c r="L6710" s="14">
        <v>0.0</v>
      </c>
    </row>
    <row r="6711">
      <c r="A6711" s="14">
        <v>575.0</v>
      </c>
      <c r="B6711" s="14">
        <v>4.0</v>
      </c>
      <c r="C6711" s="34">
        <v>24.14</v>
      </c>
      <c r="D6711" s="36">
        <v>45600.0</v>
      </c>
      <c r="E6711" s="24"/>
      <c r="F6711" s="14">
        <v>6.04</v>
      </c>
      <c r="G6711" s="14">
        <v>41.98</v>
      </c>
      <c r="H6711" s="14">
        <v>0.7</v>
      </c>
      <c r="I6711" s="14" t="s">
        <v>6076</v>
      </c>
      <c r="J6711" s="14">
        <v>0.0</v>
      </c>
      <c r="K6711" s="14" t="s">
        <v>6012</v>
      </c>
      <c r="L6711" s="14">
        <v>0.0</v>
      </c>
    </row>
    <row r="6712">
      <c r="A6712" s="14">
        <v>1963.0</v>
      </c>
      <c r="B6712" s="14">
        <v>9.0</v>
      </c>
      <c r="C6712" s="34">
        <v>17.4</v>
      </c>
      <c r="D6712" s="36">
        <v>45600.0</v>
      </c>
      <c r="E6712" s="24"/>
      <c r="F6712" s="14">
        <v>1.93</v>
      </c>
      <c r="G6712" s="14">
        <v>8.86</v>
      </c>
      <c r="H6712" s="14">
        <v>0.46</v>
      </c>
      <c r="I6712" s="14" t="s">
        <v>6079</v>
      </c>
      <c r="J6712" s="14">
        <v>0.0</v>
      </c>
      <c r="K6712" s="14" t="s">
        <v>6012</v>
      </c>
      <c r="L6712" s="14">
        <v>0.0</v>
      </c>
    </row>
    <row r="6713">
      <c r="A6713" s="14">
        <v>730.0</v>
      </c>
      <c r="B6713" s="14">
        <v>1.0</v>
      </c>
      <c r="C6713" s="34">
        <v>37.08</v>
      </c>
      <c r="D6713" s="36">
        <v>45600.0</v>
      </c>
      <c r="E6713" s="24"/>
      <c r="F6713" s="14">
        <v>37.08</v>
      </c>
      <c r="G6713" s="14">
        <v>50.79</v>
      </c>
      <c r="H6713" s="14">
        <v>0.14</v>
      </c>
      <c r="I6713" s="14" t="s">
        <v>6077</v>
      </c>
      <c r="J6713" s="14">
        <v>0.0</v>
      </c>
      <c r="K6713" s="14" t="s">
        <v>6012</v>
      </c>
      <c r="L6713" s="14">
        <v>0.0</v>
      </c>
    </row>
    <row r="6714">
      <c r="A6714" s="14">
        <v>515.0</v>
      </c>
      <c r="B6714" s="14">
        <v>2.0</v>
      </c>
      <c r="C6714" s="34">
        <v>24.88</v>
      </c>
      <c r="D6714" s="36">
        <v>45601.0</v>
      </c>
      <c r="E6714" s="24"/>
      <c r="F6714" s="14">
        <v>12.44</v>
      </c>
      <c r="G6714" s="14">
        <v>48.31</v>
      </c>
      <c r="H6714" s="14">
        <v>0.39</v>
      </c>
      <c r="I6714" s="14" t="s">
        <v>6076</v>
      </c>
      <c r="J6714" s="14">
        <v>0.0</v>
      </c>
      <c r="K6714" s="14" t="s">
        <v>6012</v>
      </c>
      <c r="L6714" s="14">
        <v>0.0</v>
      </c>
    </row>
    <row r="6715">
      <c r="A6715" s="14">
        <v>1883.0</v>
      </c>
      <c r="B6715" s="14">
        <v>8.0</v>
      </c>
      <c r="C6715" s="34">
        <v>18.09</v>
      </c>
      <c r="D6715" s="36">
        <v>45601.0</v>
      </c>
      <c r="E6715" s="24"/>
      <c r="F6715" s="14">
        <v>2.26</v>
      </c>
      <c r="G6715" s="14">
        <v>9.61</v>
      </c>
      <c r="H6715" s="14">
        <v>0.42</v>
      </c>
      <c r="I6715" s="14" t="s">
        <v>6079</v>
      </c>
      <c r="J6715" s="14">
        <v>12.5</v>
      </c>
      <c r="K6715" s="14">
        <v>18.09</v>
      </c>
      <c r="L6715" s="14">
        <v>0.0</v>
      </c>
    </row>
    <row r="6716">
      <c r="A6716" s="14">
        <v>1129.0</v>
      </c>
      <c r="B6716" s="14">
        <v>2.0</v>
      </c>
      <c r="C6716" s="34">
        <v>38.61</v>
      </c>
      <c r="D6716" s="36">
        <v>45601.0</v>
      </c>
      <c r="E6716" s="24"/>
      <c r="F6716" s="14">
        <v>19.3</v>
      </c>
      <c r="G6716" s="14">
        <v>34.2</v>
      </c>
      <c r="H6716" s="14">
        <v>0.18</v>
      </c>
      <c r="I6716" s="14" t="s">
        <v>6077</v>
      </c>
      <c r="J6716" s="14">
        <v>50.0</v>
      </c>
      <c r="K6716" s="14">
        <v>38.61</v>
      </c>
      <c r="L6716" s="14">
        <v>0.0</v>
      </c>
    </row>
    <row r="6717">
      <c r="A6717" s="14">
        <v>602.0</v>
      </c>
      <c r="B6717" s="14">
        <v>1.0</v>
      </c>
      <c r="C6717" s="34">
        <v>48.81</v>
      </c>
      <c r="D6717" s="36">
        <v>45601.0</v>
      </c>
      <c r="E6717" s="24"/>
      <c r="F6717" s="14">
        <v>48.81</v>
      </c>
      <c r="G6717" s="14">
        <v>81.08</v>
      </c>
      <c r="H6717" s="14">
        <v>0.17</v>
      </c>
      <c r="I6717" s="14" t="s">
        <v>6078</v>
      </c>
      <c r="J6717" s="14">
        <v>0.0</v>
      </c>
      <c r="K6717" s="14" t="s">
        <v>6012</v>
      </c>
      <c r="L6717" s="14">
        <v>0.0</v>
      </c>
    </row>
    <row r="6718">
      <c r="A6718" s="14">
        <v>975.0</v>
      </c>
      <c r="B6718" s="14">
        <v>4.0</v>
      </c>
      <c r="C6718" s="34">
        <v>48.63</v>
      </c>
      <c r="D6718" s="36">
        <v>45602.0</v>
      </c>
      <c r="E6718" s="24"/>
      <c r="F6718" s="14">
        <v>12.16</v>
      </c>
      <c r="G6718" s="14">
        <v>49.88</v>
      </c>
      <c r="H6718" s="14">
        <v>0.41</v>
      </c>
      <c r="I6718" s="14" t="s">
        <v>6078</v>
      </c>
      <c r="J6718" s="14">
        <v>0.0</v>
      </c>
      <c r="K6718" s="14" t="s">
        <v>6012</v>
      </c>
      <c r="L6718" s="14">
        <v>0.0</v>
      </c>
    </row>
    <row r="6719">
      <c r="A6719" s="14">
        <v>418.0</v>
      </c>
      <c r="B6719" s="14">
        <v>2.0</v>
      </c>
      <c r="C6719" s="34">
        <v>23.45</v>
      </c>
      <c r="D6719" s="36">
        <v>45602.0</v>
      </c>
      <c r="E6719" s="24"/>
      <c r="F6719" s="14">
        <v>11.72</v>
      </c>
      <c r="G6719" s="14">
        <v>56.1</v>
      </c>
      <c r="H6719" s="14">
        <v>0.48</v>
      </c>
      <c r="I6719" s="14" t="s">
        <v>6076</v>
      </c>
      <c r="J6719" s="14">
        <v>0.0</v>
      </c>
      <c r="K6719" s="14" t="s">
        <v>6012</v>
      </c>
      <c r="L6719" s="14">
        <v>0.0</v>
      </c>
    </row>
    <row r="6720">
      <c r="A6720" s="14">
        <v>752.0</v>
      </c>
      <c r="B6720" s="14">
        <v>1.0</v>
      </c>
      <c r="C6720" s="34">
        <v>39.3</v>
      </c>
      <c r="D6720" s="36">
        <v>45602.0</v>
      </c>
      <c r="E6720" s="24"/>
      <c r="F6720" s="14">
        <v>39.3</v>
      </c>
      <c r="G6720" s="14">
        <v>52.26</v>
      </c>
      <c r="H6720" s="14">
        <v>0.13</v>
      </c>
      <c r="I6720" s="14" t="s">
        <v>6077</v>
      </c>
      <c r="J6720" s="14">
        <v>0.0</v>
      </c>
      <c r="K6720" s="14" t="s">
        <v>6012</v>
      </c>
      <c r="L6720" s="14">
        <v>0.0</v>
      </c>
    </row>
    <row r="6721">
      <c r="A6721" s="14">
        <v>1790.0</v>
      </c>
      <c r="B6721" s="14">
        <v>5.0</v>
      </c>
      <c r="C6721" s="34">
        <v>17.73</v>
      </c>
      <c r="D6721" s="36">
        <v>45602.0</v>
      </c>
      <c r="E6721" s="24"/>
      <c r="F6721" s="14">
        <v>3.55</v>
      </c>
      <c r="G6721" s="14">
        <v>9.91</v>
      </c>
      <c r="H6721" s="14">
        <v>0.28</v>
      </c>
      <c r="I6721" s="14" t="s">
        <v>6079</v>
      </c>
      <c r="J6721" s="14">
        <v>0.0</v>
      </c>
      <c r="K6721" s="14" t="s">
        <v>6012</v>
      </c>
      <c r="L6721" s="14">
        <v>0.0</v>
      </c>
    </row>
    <row r="6722">
      <c r="A6722" s="14">
        <v>529.0</v>
      </c>
      <c r="B6722" s="14">
        <v>1.0</v>
      </c>
      <c r="C6722" s="34">
        <v>22.02</v>
      </c>
      <c r="D6722" s="36">
        <v>45602.0</v>
      </c>
      <c r="E6722" s="24"/>
      <c r="F6722" s="14">
        <v>22.02</v>
      </c>
      <c r="G6722" s="14">
        <v>41.63</v>
      </c>
      <c r="H6722" s="14">
        <v>0.19</v>
      </c>
      <c r="I6722" s="14" t="s">
        <v>6081</v>
      </c>
      <c r="J6722" s="14">
        <v>0.0</v>
      </c>
      <c r="K6722" s="14" t="s">
        <v>6012</v>
      </c>
      <c r="L6722" s="14">
        <v>0.0</v>
      </c>
    </row>
    <row r="6723">
      <c r="A6723" s="14">
        <v>963.0</v>
      </c>
      <c r="B6723" s="14">
        <v>3.0</v>
      </c>
      <c r="C6723" s="34">
        <v>48.22</v>
      </c>
      <c r="D6723" s="36">
        <v>45603.0</v>
      </c>
      <c r="E6723" s="24"/>
      <c r="F6723" s="14">
        <v>16.07</v>
      </c>
      <c r="G6723" s="14">
        <v>50.07</v>
      </c>
      <c r="H6723" s="14">
        <v>0.31</v>
      </c>
      <c r="I6723" s="14" t="s">
        <v>6078</v>
      </c>
      <c r="J6723" s="14">
        <v>0.0</v>
      </c>
      <c r="K6723" s="14" t="s">
        <v>6012</v>
      </c>
      <c r="L6723" s="14">
        <v>0.0</v>
      </c>
    </row>
    <row r="6724">
      <c r="A6724" s="14">
        <v>611.0</v>
      </c>
      <c r="B6724" s="14">
        <v>6.0</v>
      </c>
      <c r="C6724" s="34">
        <v>23.58</v>
      </c>
      <c r="D6724" s="36">
        <v>45603.0</v>
      </c>
      <c r="E6724" s="24"/>
      <c r="F6724" s="14">
        <v>3.93</v>
      </c>
      <c r="G6724" s="14">
        <v>38.59</v>
      </c>
      <c r="H6724" s="14">
        <v>0.98</v>
      </c>
      <c r="I6724" s="14" t="s">
        <v>6076</v>
      </c>
      <c r="J6724" s="14">
        <v>16.67</v>
      </c>
      <c r="K6724" s="14">
        <v>23.58</v>
      </c>
      <c r="L6724" s="14">
        <v>0.0</v>
      </c>
    </row>
    <row r="6725">
      <c r="A6725" s="14">
        <v>141.0</v>
      </c>
      <c r="B6725" s="14">
        <v>0.0</v>
      </c>
      <c r="C6725" s="34">
        <v>21.71</v>
      </c>
      <c r="D6725" s="36">
        <v>45603.0</v>
      </c>
      <c r="E6725" s="24"/>
      <c r="F6725" s="14" t="s">
        <v>6012</v>
      </c>
      <c r="G6725" s="14">
        <v>153.97</v>
      </c>
      <c r="H6725" s="14">
        <v>0.0</v>
      </c>
      <c r="I6725" s="14" t="s">
        <v>6081</v>
      </c>
      <c r="J6725" s="14" t="s">
        <v>6012</v>
      </c>
      <c r="K6725" s="14" t="s">
        <v>6012</v>
      </c>
      <c r="L6725" s="14">
        <v>0.0</v>
      </c>
    </row>
    <row r="6726">
      <c r="A6726" s="14">
        <v>997.0</v>
      </c>
      <c r="B6726" s="14">
        <v>3.0</v>
      </c>
      <c r="C6726" s="34">
        <v>38.94</v>
      </c>
      <c r="D6726" s="36">
        <v>45603.0</v>
      </c>
      <c r="E6726" s="24"/>
      <c r="F6726" s="14">
        <v>12.98</v>
      </c>
      <c r="G6726" s="14">
        <v>39.06</v>
      </c>
      <c r="H6726" s="14">
        <v>0.3</v>
      </c>
      <c r="I6726" s="14" t="s">
        <v>6077</v>
      </c>
      <c r="J6726" s="14">
        <v>0.0</v>
      </c>
      <c r="K6726" s="14" t="s">
        <v>6012</v>
      </c>
      <c r="L6726" s="14">
        <v>0.0</v>
      </c>
    </row>
    <row r="6727">
      <c r="A6727" s="14">
        <v>1446.0</v>
      </c>
      <c r="B6727" s="14">
        <v>9.0</v>
      </c>
      <c r="C6727" s="34">
        <v>17.54</v>
      </c>
      <c r="D6727" s="36">
        <v>45603.0</v>
      </c>
      <c r="E6727" s="24"/>
      <c r="F6727" s="14">
        <v>1.95</v>
      </c>
      <c r="G6727" s="14">
        <v>12.13</v>
      </c>
      <c r="H6727" s="14">
        <v>0.62</v>
      </c>
      <c r="I6727" s="14" t="s">
        <v>6079</v>
      </c>
      <c r="J6727" s="14">
        <v>0.0</v>
      </c>
      <c r="K6727" s="14" t="s">
        <v>6012</v>
      </c>
      <c r="L6727" s="14">
        <v>0.0</v>
      </c>
    </row>
    <row r="6728">
      <c r="A6728" s="14">
        <v>292.0</v>
      </c>
      <c r="B6728" s="14">
        <v>3.0</v>
      </c>
      <c r="C6728" s="34">
        <v>21.75</v>
      </c>
      <c r="D6728" s="36">
        <v>45604.0</v>
      </c>
      <c r="E6728" s="24"/>
      <c r="F6728" s="14">
        <v>7.25</v>
      </c>
      <c r="G6728" s="14">
        <v>74.49</v>
      </c>
      <c r="H6728" s="14">
        <v>1.03</v>
      </c>
      <c r="I6728" s="14" t="s">
        <v>6076</v>
      </c>
      <c r="J6728" s="14">
        <v>0.0</v>
      </c>
      <c r="K6728" s="14" t="s">
        <v>6012</v>
      </c>
      <c r="L6728" s="14">
        <v>0.0</v>
      </c>
    </row>
    <row r="6729">
      <c r="A6729" s="14">
        <v>122.0</v>
      </c>
      <c r="B6729" s="14">
        <v>1.0</v>
      </c>
      <c r="C6729" s="34">
        <v>21.93</v>
      </c>
      <c r="D6729" s="36">
        <v>45604.0</v>
      </c>
      <c r="E6729" s="24"/>
      <c r="F6729" s="14">
        <v>21.93</v>
      </c>
      <c r="G6729" s="14">
        <v>179.75</v>
      </c>
      <c r="H6729" s="14">
        <v>0.82</v>
      </c>
      <c r="I6729" s="14" t="s">
        <v>6081</v>
      </c>
      <c r="J6729" s="14">
        <v>0.0</v>
      </c>
      <c r="K6729" s="14" t="s">
        <v>6012</v>
      </c>
      <c r="L6729" s="14">
        <v>0.0</v>
      </c>
    </row>
    <row r="6730">
      <c r="A6730" s="14">
        <v>2022.0</v>
      </c>
      <c r="B6730" s="14">
        <v>13.0</v>
      </c>
      <c r="C6730" s="34">
        <v>15.78</v>
      </c>
      <c r="D6730" s="36">
        <v>45604.0</v>
      </c>
      <c r="E6730" s="24"/>
      <c r="F6730" s="14">
        <v>1.21</v>
      </c>
      <c r="G6730" s="14">
        <v>7.8</v>
      </c>
      <c r="H6730" s="14">
        <v>0.64</v>
      </c>
      <c r="I6730" s="14" t="s">
        <v>6079</v>
      </c>
      <c r="J6730" s="14">
        <v>0.0</v>
      </c>
      <c r="K6730" s="14" t="s">
        <v>6012</v>
      </c>
      <c r="L6730" s="14">
        <v>0.0</v>
      </c>
    </row>
    <row r="6731">
      <c r="A6731" s="14">
        <v>863.0</v>
      </c>
      <c r="B6731" s="14">
        <v>5.0</v>
      </c>
      <c r="C6731" s="34">
        <v>33.24</v>
      </c>
      <c r="D6731" s="36">
        <v>45604.0</v>
      </c>
      <c r="E6731" s="24"/>
      <c r="F6731" s="14">
        <v>6.65</v>
      </c>
      <c r="G6731" s="14">
        <v>38.52</v>
      </c>
      <c r="H6731" s="14">
        <v>0.58</v>
      </c>
      <c r="I6731" s="14" t="s">
        <v>6077</v>
      </c>
      <c r="J6731" s="14">
        <v>0.0</v>
      </c>
      <c r="K6731" s="14" t="s">
        <v>6012</v>
      </c>
      <c r="L6731" s="14">
        <v>0.0</v>
      </c>
    </row>
    <row r="6732">
      <c r="A6732" s="14">
        <v>877.0</v>
      </c>
      <c r="B6732" s="14">
        <v>2.0</v>
      </c>
      <c r="C6732" s="34">
        <v>41.83</v>
      </c>
      <c r="D6732" s="36">
        <v>45604.0</v>
      </c>
      <c r="E6732" s="24"/>
      <c r="F6732" s="14">
        <v>20.92</v>
      </c>
      <c r="G6732" s="14">
        <v>47.7</v>
      </c>
      <c r="H6732" s="14">
        <v>0.23</v>
      </c>
      <c r="I6732" s="14" t="s">
        <v>6078</v>
      </c>
      <c r="J6732" s="14">
        <v>0.0</v>
      </c>
      <c r="K6732" s="14" t="s">
        <v>6012</v>
      </c>
      <c r="L6732" s="14">
        <v>0.0</v>
      </c>
    </row>
    <row r="6733">
      <c r="A6733" s="14">
        <v>58.0</v>
      </c>
      <c r="B6733" s="14">
        <v>1.0</v>
      </c>
      <c r="C6733" s="34">
        <v>16.61</v>
      </c>
      <c r="D6733" s="36">
        <v>45605.0</v>
      </c>
      <c r="E6733" s="24"/>
      <c r="F6733" s="14">
        <v>16.61</v>
      </c>
      <c r="G6733" s="14">
        <v>286.38</v>
      </c>
      <c r="H6733" s="14">
        <v>1.72</v>
      </c>
      <c r="I6733" s="14" t="s">
        <v>6081</v>
      </c>
      <c r="J6733" s="14">
        <v>0.0</v>
      </c>
      <c r="K6733" s="14" t="s">
        <v>6012</v>
      </c>
      <c r="L6733" s="14">
        <v>0.0</v>
      </c>
    </row>
    <row r="6734">
      <c r="A6734" s="14">
        <v>1067.0</v>
      </c>
      <c r="B6734" s="14">
        <v>7.0</v>
      </c>
      <c r="C6734" s="34">
        <v>9.71</v>
      </c>
      <c r="D6734" s="36">
        <v>45605.0</v>
      </c>
      <c r="E6734" s="24"/>
      <c r="F6734" s="14">
        <v>1.39</v>
      </c>
      <c r="G6734" s="14">
        <v>9.1</v>
      </c>
      <c r="H6734" s="14">
        <v>0.66</v>
      </c>
      <c r="I6734" s="14" t="s">
        <v>6079</v>
      </c>
      <c r="J6734" s="14">
        <v>0.0</v>
      </c>
      <c r="K6734" s="14" t="s">
        <v>6012</v>
      </c>
      <c r="L6734" s="14">
        <v>0.0</v>
      </c>
    </row>
    <row r="6735">
      <c r="A6735" s="14">
        <v>106.0</v>
      </c>
      <c r="B6735" s="14">
        <v>0.0</v>
      </c>
      <c r="C6735" s="34">
        <v>11.78</v>
      </c>
      <c r="D6735" s="36">
        <v>45605.0</v>
      </c>
      <c r="E6735" s="24"/>
      <c r="F6735" s="14" t="s">
        <v>6012</v>
      </c>
      <c r="G6735" s="14">
        <v>111.13</v>
      </c>
      <c r="H6735" s="14">
        <v>0.0</v>
      </c>
      <c r="I6735" s="14" t="s">
        <v>6076</v>
      </c>
      <c r="J6735" s="14" t="s">
        <v>6012</v>
      </c>
      <c r="K6735" s="14" t="s">
        <v>6012</v>
      </c>
      <c r="L6735" s="14">
        <v>0.0</v>
      </c>
    </row>
    <row r="6736">
      <c r="A6736" s="14">
        <v>234.0</v>
      </c>
      <c r="B6736" s="14">
        <v>2.0</v>
      </c>
      <c r="C6736" s="34">
        <v>20.01</v>
      </c>
      <c r="D6736" s="36">
        <v>45605.0</v>
      </c>
      <c r="E6736" s="24"/>
      <c r="F6736" s="14">
        <v>10.01</v>
      </c>
      <c r="G6736" s="14">
        <v>85.51</v>
      </c>
      <c r="H6736" s="14">
        <v>0.85</v>
      </c>
      <c r="I6736" s="14" t="s">
        <v>6077</v>
      </c>
      <c r="J6736" s="14">
        <v>50.0</v>
      </c>
      <c r="K6736" s="14">
        <v>20.01</v>
      </c>
      <c r="L6736" s="14">
        <v>0.0</v>
      </c>
    </row>
    <row r="6737">
      <c r="A6737" s="14">
        <v>543.0</v>
      </c>
      <c r="B6737" s="14">
        <v>2.0</v>
      </c>
      <c r="C6737" s="34">
        <v>24.63</v>
      </c>
      <c r="D6737" s="36">
        <v>45605.0</v>
      </c>
      <c r="E6737" s="24"/>
      <c r="F6737" s="14">
        <v>12.32</v>
      </c>
      <c r="G6737" s="14">
        <v>45.36</v>
      </c>
      <c r="H6737" s="14">
        <v>0.37</v>
      </c>
      <c r="I6737" s="14" t="s">
        <v>6078</v>
      </c>
      <c r="J6737" s="14">
        <v>50.0</v>
      </c>
      <c r="K6737" s="14">
        <v>24.63</v>
      </c>
      <c r="L6737" s="14">
        <v>0.0</v>
      </c>
    </row>
    <row r="6738">
      <c r="A6738" s="14">
        <v>40.0</v>
      </c>
      <c r="B6738" s="14">
        <v>0.0</v>
      </c>
      <c r="C6738" s="34">
        <v>7.32</v>
      </c>
      <c r="D6738" s="36">
        <v>45606.0</v>
      </c>
      <c r="E6738" s="24"/>
      <c r="F6738" s="14" t="s">
        <v>6012</v>
      </c>
      <c r="G6738" s="14">
        <v>183.0</v>
      </c>
      <c r="H6738" s="14">
        <v>0.0</v>
      </c>
      <c r="I6738" s="14" t="s">
        <v>6081</v>
      </c>
      <c r="J6738" s="14" t="s">
        <v>6012</v>
      </c>
      <c r="K6738" s="14" t="s">
        <v>6012</v>
      </c>
      <c r="L6738" s="14">
        <v>0.0</v>
      </c>
    </row>
    <row r="6739">
      <c r="A6739" s="14">
        <v>916.0</v>
      </c>
      <c r="B6739" s="14">
        <v>2.0</v>
      </c>
      <c r="C6739" s="34">
        <v>8.74</v>
      </c>
      <c r="D6739" s="36">
        <v>45606.0</v>
      </c>
      <c r="E6739" s="24"/>
      <c r="F6739" s="14">
        <v>4.37</v>
      </c>
      <c r="G6739" s="14">
        <v>9.54</v>
      </c>
      <c r="H6739" s="14">
        <v>0.22</v>
      </c>
      <c r="I6739" s="14" t="s">
        <v>6079</v>
      </c>
      <c r="J6739" s="14">
        <v>0.0</v>
      </c>
      <c r="K6739" s="14" t="s">
        <v>6012</v>
      </c>
      <c r="L6739" s="14">
        <v>0.0</v>
      </c>
    </row>
    <row r="6740">
      <c r="A6740" s="14">
        <v>258.0</v>
      </c>
      <c r="B6740" s="14">
        <v>1.0</v>
      </c>
      <c r="C6740" s="34">
        <v>16.82</v>
      </c>
      <c r="D6740" s="36">
        <v>45606.0</v>
      </c>
      <c r="E6740" s="24"/>
      <c r="F6740" s="14">
        <v>16.82</v>
      </c>
      <c r="G6740" s="14">
        <v>65.19</v>
      </c>
      <c r="H6740" s="14">
        <v>0.39</v>
      </c>
      <c r="I6740" s="14" t="s">
        <v>6077</v>
      </c>
      <c r="J6740" s="14">
        <v>0.0</v>
      </c>
      <c r="K6740" s="14" t="s">
        <v>6012</v>
      </c>
      <c r="L6740" s="14">
        <v>0.0</v>
      </c>
    </row>
    <row r="6741">
      <c r="A6741" s="14">
        <v>308.0</v>
      </c>
      <c r="B6741" s="14">
        <v>0.0</v>
      </c>
      <c r="C6741" s="34">
        <v>21.05</v>
      </c>
      <c r="D6741" s="36">
        <v>45606.0</v>
      </c>
      <c r="E6741" s="24"/>
      <c r="F6741" s="14" t="s">
        <v>6012</v>
      </c>
      <c r="G6741" s="14">
        <v>68.34</v>
      </c>
      <c r="H6741" s="14">
        <v>0.0</v>
      </c>
      <c r="I6741" s="14" t="s">
        <v>6078</v>
      </c>
      <c r="J6741" s="14" t="s">
        <v>6012</v>
      </c>
      <c r="K6741" s="14" t="s">
        <v>6012</v>
      </c>
      <c r="L6741" s="14">
        <v>0.0</v>
      </c>
    </row>
    <row r="6742">
      <c r="A6742" s="14">
        <v>47.0</v>
      </c>
      <c r="B6742" s="14">
        <v>0.0</v>
      </c>
      <c r="C6742" s="34">
        <v>10.42</v>
      </c>
      <c r="D6742" s="36">
        <v>45606.0</v>
      </c>
      <c r="E6742" s="24"/>
      <c r="F6742" s="14" t="s">
        <v>6012</v>
      </c>
      <c r="G6742" s="14">
        <v>221.7</v>
      </c>
      <c r="H6742" s="14">
        <v>0.0</v>
      </c>
      <c r="I6742" s="14" t="s">
        <v>6076</v>
      </c>
      <c r="J6742" s="14" t="s">
        <v>6012</v>
      </c>
      <c r="K6742" s="14" t="s">
        <v>6012</v>
      </c>
      <c r="L6742" s="14">
        <v>0.0</v>
      </c>
    </row>
    <row r="6743">
      <c r="A6743" s="14">
        <v>633.0</v>
      </c>
      <c r="B6743" s="14">
        <v>1.0</v>
      </c>
      <c r="C6743" s="34">
        <v>23.62</v>
      </c>
      <c r="D6743" s="36">
        <v>45607.0</v>
      </c>
      <c r="E6743" s="24"/>
      <c r="F6743" s="14">
        <v>23.62</v>
      </c>
      <c r="G6743" s="14">
        <v>37.31</v>
      </c>
      <c r="H6743" s="14">
        <v>0.16</v>
      </c>
      <c r="I6743" s="14" t="s">
        <v>6076</v>
      </c>
      <c r="J6743" s="14">
        <v>0.0</v>
      </c>
      <c r="K6743" s="14" t="s">
        <v>6012</v>
      </c>
      <c r="L6743" s="14">
        <v>0.0</v>
      </c>
    </row>
    <row r="6744">
      <c r="A6744" s="14">
        <v>264.0</v>
      </c>
      <c r="B6744" s="14">
        <v>3.0</v>
      </c>
      <c r="C6744" s="34">
        <v>4.12</v>
      </c>
      <c r="D6744" s="36">
        <v>45607.0</v>
      </c>
      <c r="E6744" s="24"/>
      <c r="F6744" s="14">
        <v>1.37</v>
      </c>
      <c r="G6744" s="14">
        <v>15.61</v>
      </c>
      <c r="H6744" s="14">
        <v>1.14</v>
      </c>
      <c r="I6744" s="14" t="s">
        <v>6079</v>
      </c>
      <c r="J6744" s="14">
        <v>0.0</v>
      </c>
      <c r="K6744" s="14" t="s">
        <v>6012</v>
      </c>
      <c r="L6744" s="14">
        <v>0.0</v>
      </c>
    </row>
    <row r="6745">
      <c r="A6745" s="14">
        <v>45.0</v>
      </c>
      <c r="B6745" s="14">
        <v>1.0</v>
      </c>
      <c r="C6745" s="34">
        <v>20.75</v>
      </c>
      <c r="D6745" s="36">
        <v>45607.0</v>
      </c>
      <c r="E6745" s="24"/>
      <c r="F6745" s="14">
        <v>20.75</v>
      </c>
      <c r="G6745" s="14">
        <v>461.11</v>
      </c>
      <c r="H6745" s="14">
        <v>2.22</v>
      </c>
      <c r="I6745" s="14" t="s">
        <v>6082</v>
      </c>
      <c r="J6745" s="14">
        <v>0.0</v>
      </c>
      <c r="K6745" s="14" t="s">
        <v>6012</v>
      </c>
      <c r="L6745" s="14">
        <v>0.0</v>
      </c>
    </row>
    <row r="6746">
      <c r="A6746" s="14">
        <v>1102.0</v>
      </c>
      <c r="B6746" s="14">
        <v>3.0</v>
      </c>
      <c r="C6746" s="34">
        <v>36.57</v>
      </c>
      <c r="D6746" s="36">
        <v>45607.0</v>
      </c>
      <c r="E6746" s="24"/>
      <c r="F6746" s="14">
        <v>12.19</v>
      </c>
      <c r="G6746" s="14">
        <v>33.19</v>
      </c>
      <c r="H6746" s="14">
        <v>0.27</v>
      </c>
      <c r="I6746" s="14" t="s">
        <v>6077</v>
      </c>
      <c r="J6746" s="14">
        <v>0.0</v>
      </c>
      <c r="K6746" s="14" t="s">
        <v>6012</v>
      </c>
      <c r="L6746" s="14">
        <v>0.0</v>
      </c>
    </row>
    <row r="6747">
      <c r="A6747" s="14">
        <v>776.0</v>
      </c>
      <c r="B6747" s="14">
        <v>4.0</v>
      </c>
      <c r="C6747" s="34">
        <v>46.78</v>
      </c>
      <c r="D6747" s="36">
        <v>45607.0</v>
      </c>
      <c r="E6747" s="24"/>
      <c r="F6747" s="14">
        <v>11.7</v>
      </c>
      <c r="G6747" s="14">
        <v>60.28</v>
      </c>
      <c r="H6747" s="14">
        <v>0.52</v>
      </c>
      <c r="I6747" s="14" t="s">
        <v>6078</v>
      </c>
      <c r="J6747" s="14">
        <v>25.0</v>
      </c>
      <c r="K6747" s="14">
        <v>46.78</v>
      </c>
      <c r="L6747" s="14">
        <v>0.0</v>
      </c>
    </row>
    <row r="6748">
      <c r="A6748" s="14">
        <v>87.0</v>
      </c>
      <c r="B6748" s="14">
        <v>0.0</v>
      </c>
      <c r="C6748" s="34">
        <v>19.71</v>
      </c>
      <c r="D6748" s="36">
        <v>45607.0</v>
      </c>
      <c r="E6748" s="24"/>
      <c r="F6748" s="14" t="s">
        <v>6012</v>
      </c>
      <c r="G6748" s="14">
        <v>226.55</v>
      </c>
      <c r="H6748" s="14">
        <v>0.0</v>
      </c>
      <c r="I6748" s="14" t="s">
        <v>6081</v>
      </c>
      <c r="J6748" s="14" t="s">
        <v>6012</v>
      </c>
      <c r="K6748" s="14" t="s">
        <v>6012</v>
      </c>
      <c r="L6748" s="14">
        <v>0.0</v>
      </c>
    </row>
    <row r="6749">
      <c r="A6749" s="14">
        <v>77.0</v>
      </c>
      <c r="B6749" s="14">
        <v>1.0</v>
      </c>
      <c r="C6749" s="34">
        <v>10.14</v>
      </c>
      <c r="D6749" s="36">
        <v>45608.0</v>
      </c>
      <c r="E6749" s="24"/>
      <c r="F6749" s="14">
        <v>10.14</v>
      </c>
      <c r="G6749" s="14">
        <v>131.69</v>
      </c>
      <c r="H6749" s="14">
        <v>1.3</v>
      </c>
      <c r="I6749" s="14" t="s">
        <v>6081</v>
      </c>
      <c r="J6749" s="14">
        <v>0.0</v>
      </c>
      <c r="K6749" s="14" t="s">
        <v>6012</v>
      </c>
      <c r="L6749" s="14">
        <v>0.0</v>
      </c>
    </row>
    <row r="6750">
      <c r="A6750" s="14">
        <v>151.0</v>
      </c>
      <c r="B6750" s="14">
        <v>2.0</v>
      </c>
      <c r="C6750" s="34">
        <v>9.21</v>
      </c>
      <c r="D6750" s="36">
        <v>45608.0</v>
      </c>
      <c r="E6750" s="24"/>
      <c r="F6750" s="14">
        <v>4.61</v>
      </c>
      <c r="G6750" s="14">
        <v>60.99</v>
      </c>
      <c r="H6750" s="14">
        <v>1.32</v>
      </c>
      <c r="I6750" s="14" t="s">
        <v>6076</v>
      </c>
      <c r="J6750" s="14">
        <v>150.0</v>
      </c>
      <c r="K6750" s="14">
        <v>3.07</v>
      </c>
      <c r="L6750" s="14">
        <v>0.0</v>
      </c>
    </row>
    <row r="6751">
      <c r="A6751" s="14">
        <v>221.0</v>
      </c>
      <c r="B6751" s="14">
        <v>4.0</v>
      </c>
      <c r="C6751" s="34">
        <v>16.17</v>
      </c>
      <c r="D6751" s="36">
        <v>45608.0</v>
      </c>
      <c r="E6751" s="24"/>
      <c r="F6751" s="14">
        <v>4.04</v>
      </c>
      <c r="G6751" s="14">
        <v>73.17</v>
      </c>
      <c r="H6751" s="14">
        <v>1.81</v>
      </c>
      <c r="I6751" s="14" t="s">
        <v>6078</v>
      </c>
      <c r="J6751" s="14">
        <v>0.0</v>
      </c>
      <c r="K6751" s="14" t="s">
        <v>6012</v>
      </c>
      <c r="L6751" s="14">
        <v>0.0</v>
      </c>
    </row>
    <row r="6752">
      <c r="A6752" s="14">
        <v>214.0</v>
      </c>
      <c r="B6752" s="14">
        <v>0.0</v>
      </c>
      <c r="C6752" s="34">
        <v>12.6</v>
      </c>
      <c r="D6752" s="36">
        <v>45608.0</v>
      </c>
      <c r="E6752" s="24"/>
      <c r="F6752" s="14" t="s">
        <v>6012</v>
      </c>
      <c r="G6752" s="14">
        <v>58.88</v>
      </c>
      <c r="H6752" s="14">
        <v>0.0</v>
      </c>
      <c r="I6752" s="14" t="s">
        <v>6077</v>
      </c>
      <c r="J6752" s="14" t="s">
        <v>6012</v>
      </c>
      <c r="K6752" s="14" t="s">
        <v>6012</v>
      </c>
      <c r="L6752" s="14">
        <v>0.0</v>
      </c>
    </row>
    <row r="6753">
      <c r="A6753" s="14">
        <v>108.0</v>
      </c>
      <c r="B6753" s="14">
        <v>0.0</v>
      </c>
      <c r="C6753" s="34">
        <v>22.17</v>
      </c>
      <c r="D6753" s="36">
        <v>45608.0</v>
      </c>
      <c r="E6753" s="24"/>
      <c r="F6753" s="14" t="s">
        <v>6012</v>
      </c>
      <c r="G6753" s="14">
        <v>205.28</v>
      </c>
      <c r="H6753" s="14">
        <v>0.0</v>
      </c>
      <c r="I6753" s="14" t="s">
        <v>6082</v>
      </c>
      <c r="J6753" s="14" t="s">
        <v>6012</v>
      </c>
      <c r="K6753" s="14" t="s">
        <v>6012</v>
      </c>
      <c r="L6753" s="14">
        <v>0.0</v>
      </c>
    </row>
    <row r="6754">
      <c r="A6754" s="14">
        <v>118.0</v>
      </c>
      <c r="B6754" s="14">
        <v>1.0</v>
      </c>
      <c r="C6754" s="34">
        <v>22.79</v>
      </c>
      <c r="D6754" s="36">
        <v>45609.0</v>
      </c>
      <c r="E6754" s="24"/>
      <c r="F6754" s="14">
        <v>22.79</v>
      </c>
      <c r="G6754" s="14">
        <v>193.14</v>
      </c>
      <c r="H6754" s="14">
        <v>0.85</v>
      </c>
      <c r="I6754" s="14" t="s">
        <v>6082</v>
      </c>
      <c r="J6754" s="14">
        <v>0.0</v>
      </c>
      <c r="K6754" s="14" t="s">
        <v>6012</v>
      </c>
      <c r="L6754" s="14">
        <v>0.0</v>
      </c>
    </row>
    <row r="6755">
      <c r="A6755" s="14">
        <v>100.0</v>
      </c>
      <c r="B6755" s="14">
        <v>0.0</v>
      </c>
      <c r="C6755" s="34">
        <v>22.49</v>
      </c>
      <c r="D6755" s="36">
        <v>45610.0</v>
      </c>
      <c r="E6755" s="24"/>
      <c r="F6755" s="14" t="s">
        <v>6012</v>
      </c>
      <c r="G6755" s="14">
        <v>224.9</v>
      </c>
      <c r="H6755" s="14">
        <v>0.0</v>
      </c>
      <c r="I6755" s="14" t="s">
        <v>6082</v>
      </c>
      <c r="J6755" s="14" t="s">
        <v>6012</v>
      </c>
      <c r="K6755" s="14" t="s">
        <v>6012</v>
      </c>
      <c r="L6755" s="14">
        <v>0.0</v>
      </c>
    </row>
    <row r="6756">
      <c r="A6756" s="14">
        <v>94.0</v>
      </c>
      <c r="B6756" s="14">
        <v>2.0</v>
      </c>
      <c r="C6756" s="34">
        <v>19.81</v>
      </c>
      <c r="D6756" s="36">
        <v>45611.0</v>
      </c>
      <c r="E6756" s="24"/>
      <c r="F6756" s="14">
        <v>9.9</v>
      </c>
      <c r="G6756" s="14">
        <v>210.74</v>
      </c>
      <c r="H6756" s="14">
        <v>2.13</v>
      </c>
      <c r="I6756" s="14" t="s">
        <v>6082</v>
      </c>
      <c r="J6756" s="14">
        <v>0.0</v>
      </c>
      <c r="K6756" s="14" t="s">
        <v>6012</v>
      </c>
      <c r="L6756" s="14">
        <v>0.0</v>
      </c>
    </row>
    <row r="6757">
      <c r="A6757" s="14">
        <v>46.0</v>
      </c>
      <c r="B6757" s="14">
        <v>0.0</v>
      </c>
      <c r="C6757" s="34">
        <v>10.54</v>
      </c>
      <c r="D6757" s="36">
        <v>45612.0</v>
      </c>
      <c r="E6757" s="24"/>
      <c r="F6757" s="14" t="s">
        <v>6012</v>
      </c>
      <c r="G6757" s="14">
        <v>229.13</v>
      </c>
      <c r="H6757" s="14">
        <v>0.0</v>
      </c>
      <c r="I6757" s="14" t="s">
        <v>6082</v>
      </c>
      <c r="J6757" s="14" t="s">
        <v>6012</v>
      </c>
      <c r="K6757" s="14" t="s">
        <v>6012</v>
      </c>
      <c r="L6757" s="14">
        <v>0.0</v>
      </c>
    </row>
    <row r="6758">
      <c r="A6758" s="14">
        <v>24.0</v>
      </c>
      <c r="B6758" s="14">
        <v>0.0</v>
      </c>
      <c r="C6758" s="34">
        <v>7.45</v>
      </c>
      <c r="D6758" s="36">
        <v>45613.0</v>
      </c>
      <c r="E6758" s="24"/>
      <c r="F6758" s="14" t="s">
        <v>6012</v>
      </c>
      <c r="G6758" s="14">
        <v>310.42</v>
      </c>
      <c r="H6758" s="14">
        <v>0.0</v>
      </c>
      <c r="I6758" s="14" t="s">
        <v>6082</v>
      </c>
      <c r="J6758" s="14" t="s">
        <v>6012</v>
      </c>
      <c r="K6758" s="14" t="s">
        <v>6012</v>
      </c>
      <c r="L6758" s="14">
        <v>0.0</v>
      </c>
    </row>
    <row r="6759">
      <c r="A6759" s="14">
        <v>88.0</v>
      </c>
      <c r="B6759" s="14">
        <v>0.0</v>
      </c>
      <c r="C6759" s="34">
        <v>21.86</v>
      </c>
      <c r="D6759" s="36">
        <v>45614.0</v>
      </c>
      <c r="E6759" s="24"/>
      <c r="F6759" s="14" t="s">
        <v>6012</v>
      </c>
      <c r="G6759" s="14">
        <v>248.41</v>
      </c>
      <c r="H6759" s="14">
        <v>0.0</v>
      </c>
      <c r="I6759" s="14" t="s">
        <v>6082</v>
      </c>
      <c r="J6759" s="14" t="s">
        <v>6012</v>
      </c>
      <c r="K6759" s="14" t="s">
        <v>6012</v>
      </c>
      <c r="L6759" s="14">
        <v>0.0</v>
      </c>
    </row>
    <row r="6760">
      <c r="A6760" s="14">
        <v>111.0</v>
      </c>
      <c r="B6760" s="14">
        <v>0.0</v>
      </c>
      <c r="C6760" s="34">
        <v>22.0</v>
      </c>
      <c r="D6760" s="36">
        <v>45615.0</v>
      </c>
      <c r="E6760" s="24"/>
      <c r="F6760" s="14" t="s">
        <v>6012</v>
      </c>
      <c r="G6760" s="14">
        <v>198.2</v>
      </c>
      <c r="H6760" s="14">
        <v>0.0</v>
      </c>
      <c r="I6760" s="14" t="s">
        <v>6082</v>
      </c>
      <c r="J6760" s="14" t="s">
        <v>6012</v>
      </c>
      <c r="K6760" s="14" t="s">
        <v>6012</v>
      </c>
      <c r="L6760" s="14">
        <v>0.0</v>
      </c>
    </row>
    <row r="6761">
      <c r="A6761" s="14">
        <v>87.0</v>
      </c>
      <c r="B6761" s="14">
        <v>0.0</v>
      </c>
      <c r="C6761" s="34">
        <v>23.96</v>
      </c>
      <c r="D6761" s="36">
        <v>45616.0</v>
      </c>
      <c r="E6761" s="24"/>
      <c r="F6761" s="14" t="s">
        <v>6012</v>
      </c>
      <c r="G6761" s="14">
        <v>275.4</v>
      </c>
      <c r="H6761" s="14">
        <v>0.0</v>
      </c>
      <c r="I6761" s="14" t="s">
        <v>6082</v>
      </c>
      <c r="J6761" s="14" t="s">
        <v>6012</v>
      </c>
      <c r="K6761" s="14" t="s">
        <v>6012</v>
      </c>
      <c r="L6761" s="14">
        <v>0.0</v>
      </c>
    </row>
    <row r="6762">
      <c r="A6762" s="14">
        <v>106.0</v>
      </c>
      <c r="B6762" s="14">
        <v>2.0</v>
      </c>
      <c r="C6762" s="34">
        <v>20.96</v>
      </c>
      <c r="D6762" s="36">
        <v>45617.0</v>
      </c>
      <c r="E6762" s="24"/>
      <c r="F6762" s="14">
        <v>10.48</v>
      </c>
      <c r="G6762" s="14">
        <v>197.74</v>
      </c>
      <c r="H6762" s="14">
        <v>1.89</v>
      </c>
      <c r="I6762" s="14" t="s">
        <v>6082</v>
      </c>
      <c r="J6762" s="14">
        <v>0.0</v>
      </c>
      <c r="K6762" s="14" t="s">
        <v>6012</v>
      </c>
      <c r="L6762" s="14">
        <v>0.0</v>
      </c>
    </row>
    <row r="6763">
      <c r="A6763" s="14">
        <v>103.0</v>
      </c>
      <c r="B6763" s="14">
        <v>0.0</v>
      </c>
      <c r="C6763" s="34">
        <v>20.25</v>
      </c>
      <c r="D6763" s="36">
        <v>45618.0</v>
      </c>
      <c r="E6763" s="24"/>
      <c r="F6763" s="14" t="s">
        <v>6012</v>
      </c>
      <c r="G6763" s="14">
        <v>196.6</v>
      </c>
      <c r="H6763" s="14">
        <v>0.0</v>
      </c>
      <c r="I6763" s="14" t="s">
        <v>6082</v>
      </c>
      <c r="J6763" s="14" t="s">
        <v>6012</v>
      </c>
      <c r="K6763" s="14" t="s">
        <v>6012</v>
      </c>
      <c r="L6763" s="14">
        <v>0.0</v>
      </c>
    </row>
    <row r="6764">
      <c r="A6764" s="14">
        <v>59.0</v>
      </c>
      <c r="B6764" s="14">
        <v>0.0</v>
      </c>
      <c r="C6764" s="34">
        <v>10.44</v>
      </c>
      <c r="D6764" s="36">
        <v>45619.0</v>
      </c>
      <c r="E6764" s="24"/>
      <c r="F6764" s="14" t="s">
        <v>6012</v>
      </c>
      <c r="G6764" s="14">
        <v>176.95</v>
      </c>
      <c r="H6764" s="14">
        <v>0.0</v>
      </c>
      <c r="I6764" s="14" t="s">
        <v>6082</v>
      </c>
      <c r="J6764" s="14" t="s">
        <v>6012</v>
      </c>
      <c r="K6764" s="14" t="s">
        <v>6012</v>
      </c>
      <c r="L6764" s="14">
        <v>0.0</v>
      </c>
    </row>
    <row r="6765">
      <c r="A6765" s="14">
        <v>22.0</v>
      </c>
      <c r="B6765" s="14">
        <v>0.0</v>
      </c>
      <c r="C6765" s="34">
        <v>6.46</v>
      </c>
      <c r="D6765" s="36">
        <v>45620.0</v>
      </c>
      <c r="E6765" s="24"/>
      <c r="F6765" s="14" t="s">
        <v>6012</v>
      </c>
      <c r="G6765" s="14">
        <v>293.64</v>
      </c>
      <c r="H6765" s="14">
        <v>0.0</v>
      </c>
      <c r="I6765" s="14" t="s">
        <v>6082</v>
      </c>
      <c r="J6765" s="14" t="s">
        <v>6012</v>
      </c>
      <c r="K6765" s="14" t="s">
        <v>6012</v>
      </c>
      <c r="L6765" s="14">
        <v>0.0</v>
      </c>
    </row>
    <row r="6766">
      <c r="A6766" s="14">
        <v>93.0</v>
      </c>
      <c r="B6766" s="14">
        <v>0.0</v>
      </c>
      <c r="C6766" s="34">
        <v>27.0</v>
      </c>
      <c r="D6766" s="36">
        <v>45621.0</v>
      </c>
      <c r="E6766" s="24"/>
      <c r="F6766" s="14" t="s">
        <v>6012</v>
      </c>
      <c r="G6766" s="14">
        <v>290.32</v>
      </c>
      <c r="H6766" s="14">
        <v>0.0</v>
      </c>
      <c r="I6766" s="14" t="s">
        <v>6082</v>
      </c>
      <c r="J6766" s="14" t="s">
        <v>6012</v>
      </c>
      <c r="K6766" s="14" t="s">
        <v>6012</v>
      </c>
      <c r="L6766" s="14">
        <v>0.0</v>
      </c>
    </row>
    <row r="6767">
      <c r="A6767" s="14">
        <v>1089.0</v>
      </c>
      <c r="B6767" s="14">
        <v>4.0</v>
      </c>
      <c r="C6767" s="34">
        <v>26.83</v>
      </c>
      <c r="D6767" s="36">
        <v>45622.0</v>
      </c>
      <c r="E6767" s="24"/>
      <c r="F6767" s="14">
        <v>6.71</v>
      </c>
      <c r="G6767" s="14">
        <v>24.64</v>
      </c>
      <c r="H6767" s="14">
        <v>0.37</v>
      </c>
      <c r="I6767" s="14" t="s">
        <v>6078</v>
      </c>
      <c r="J6767" s="14">
        <v>0.0</v>
      </c>
      <c r="K6767" s="14" t="s">
        <v>6012</v>
      </c>
      <c r="L6767" s="14">
        <v>0.0</v>
      </c>
    </row>
    <row r="6768">
      <c r="A6768" s="14">
        <v>100.0</v>
      </c>
      <c r="B6768" s="14">
        <v>3.0</v>
      </c>
      <c r="C6768" s="34">
        <v>21.51</v>
      </c>
      <c r="D6768" s="36">
        <v>45622.0</v>
      </c>
      <c r="E6768" s="24"/>
      <c r="F6768" s="14">
        <v>7.17</v>
      </c>
      <c r="G6768" s="14">
        <v>215.1</v>
      </c>
      <c r="H6768" s="14">
        <v>3.0</v>
      </c>
      <c r="I6768" s="14" t="s">
        <v>6082</v>
      </c>
      <c r="J6768" s="14">
        <v>0.0</v>
      </c>
      <c r="K6768" s="14" t="s">
        <v>6012</v>
      </c>
      <c r="L6768" s="14">
        <v>0.0</v>
      </c>
    </row>
    <row r="6769">
      <c r="A6769" s="14">
        <v>710.0</v>
      </c>
      <c r="B6769" s="14">
        <v>3.0</v>
      </c>
      <c r="C6769" s="34">
        <v>18.5</v>
      </c>
      <c r="D6769" s="36">
        <v>45622.0</v>
      </c>
      <c r="E6769" s="24"/>
      <c r="F6769" s="14">
        <v>6.17</v>
      </c>
      <c r="G6769" s="14">
        <v>26.06</v>
      </c>
      <c r="H6769" s="14">
        <v>0.42</v>
      </c>
      <c r="I6769" s="14" t="s">
        <v>6083</v>
      </c>
      <c r="J6769" s="14">
        <v>0.0</v>
      </c>
      <c r="K6769" s="14" t="s">
        <v>6012</v>
      </c>
      <c r="L6769" s="14">
        <v>0.0</v>
      </c>
    </row>
    <row r="6770">
      <c r="A6770" s="14">
        <v>1296.0</v>
      </c>
      <c r="B6770" s="14">
        <v>6.0</v>
      </c>
      <c r="C6770" s="34">
        <v>26.77</v>
      </c>
      <c r="D6770" s="36">
        <v>45623.0</v>
      </c>
      <c r="E6770" s="24"/>
      <c r="F6770" s="14">
        <v>4.46</v>
      </c>
      <c r="G6770" s="14">
        <v>20.66</v>
      </c>
      <c r="H6770" s="14">
        <v>0.46</v>
      </c>
      <c r="I6770" s="14" t="s">
        <v>6078</v>
      </c>
      <c r="J6770" s="14">
        <v>0.0</v>
      </c>
      <c r="K6770" s="14" t="s">
        <v>6012</v>
      </c>
      <c r="L6770" s="14">
        <v>0.0</v>
      </c>
    </row>
    <row r="6771">
      <c r="A6771" s="14">
        <v>90.0</v>
      </c>
      <c r="B6771" s="14">
        <v>0.0</v>
      </c>
      <c r="C6771" s="34">
        <v>19.1</v>
      </c>
      <c r="D6771" s="36">
        <v>45623.0</v>
      </c>
      <c r="E6771" s="24"/>
      <c r="F6771" s="14" t="s">
        <v>6012</v>
      </c>
      <c r="G6771" s="14">
        <v>212.22</v>
      </c>
      <c r="H6771" s="14">
        <v>0.0</v>
      </c>
      <c r="I6771" s="14" t="s">
        <v>6082</v>
      </c>
      <c r="J6771" s="14" t="s">
        <v>6012</v>
      </c>
      <c r="K6771" s="14" t="s">
        <v>6012</v>
      </c>
      <c r="L6771" s="14">
        <v>0.0</v>
      </c>
    </row>
    <row r="6772">
      <c r="A6772" s="14">
        <v>670.0</v>
      </c>
      <c r="B6772" s="14">
        <v>0.0</v>
      </c>
      <c r="C6772" s="34">
        <v>18.39</v>
      </c>
      <c r="D6772" s="36">
        <v>45623.0</v>
      </c>
      <c r="E6772" s="24"/>
      <c r="F6772" s="14" t="s">
        <v>6012</v>
      </c>
      <c r="G6772" s="14">
        <v>27.45</v>
      </c>
      <c r="H6772" s="14">
        <v>0.0</v>
      </c>
      <c r="I6772" s="14" t="s">
        <v>6083</v>
      </c>
      <c r="J6772" s="14" t="s">
        <v>6012</v>
      </c>
      <c r="K6772" s="14" t="s">
        <v>6012</v>
      </c>
      <c r="L6772" s="14">
        <v>0.0</v>
      </c>
    </row>
    <row r="6773">
      <c r="A6773" s="14">
        <v>555.0</v>
      </c>
      <c r="B6773" s="14">
        <v>2.0</v>
      </c>
      <c r="C6773" s="34">
        <v>18.1</v>
      </c>
      <c r="D6773" s="36">
        <v>45624.0</v>
      </c>
      <c r="E6773" s="24"/>
      <c r="F6773" s="14">
        <v>9.05</v>
      </c>
      <c r="G6773" s="14">
        <v>32.61</v>
      </c>
      <c r="H6773" s="14">
        <v>0.36</v>
      </c>
      <c r="I6773" s="14" t="s">
        <v>6083</v>
      </c>
      <c r="J6773" s="14">
        <v>50.0</v>
      </c>
      <c r="K6773" s="14">
        <v>18.1</v>
      </c>
      <c r="L6773" s="14">
        <v>0.0</v>
      </c>
    </row>
    <row r="6774">
      <c r="A6774" s="14">
        <v>921.0</v>
      </c>
      <c r="B6774" s="14">
        <v>4.0</v>
      </c>
      <c r="C6774" s="34">
        <v>26.26</v>
      </c>
      <c r="D6774" s="36">
        <v>45624.0</v>
      </c>
      <c r="E6774" s="24"/>
      <c r="F6774" s="14">
        <v>6.56</v>
      </c>
      <c r="G6774" s="14">
        <v>28.51</v>
      </c>
      <c r="H6774" s="14">
        <v>0.43</v>
      </c>
      <c r="I6774" s="14" t="s">
        <v>6078</v>
      </c>
      <c r="J6774" s="14">
        <v>0.0</v>
      </c>
      <c r="K6774" s="14" t="s">
        <v>6012</v>
      </c>
      <c r="L6774" s="14">
        <v>0.0</v>
      </c>
    </row>
    <row r="6775">
      <c r="A6775" s="14">
        <v>81.0</v>
      </c>
      <c r="B6775" s="14">
        <v>0.0</v>
      </c>
      <c r="C6775" s="34">
        <v>19.35</v>
      </c>
      <c r="D6775" s="36">
        <v>45624.0</v>
      </c>
      <c r="E6775" s="24"/>
      <c r="F6775" s="14" t="s">
        <v>6012</v>
      </c>
      <c r="G6775" s="14">
        <v>238.89</v>
      </c>
      <c r="H6775" s="14">
        <v>0.0</v>
      </c>
      <c r="I6775" s="14" t="s">
        <v>6082</v>
      </c>
      <c r="J6775" s="14" t="s">
        <v>6012</v>
      </c>
      <c r="K6775" s="14" t="s">
        <v>6012</v>
      </c>
      <c r="L6775" s="14">
        <v>0.0</v>
      </c>
    </row>
    <row r="6776">
      <c r="A6776" s="14">
        <v>487.0</v>
      </c>
      <c r="B6776" s="14">
        <v>2.0</v>
      </c>
      <c r="C6776" s="34">
        <v>29.51</v>
      </c>
      <c r="D6776" s="36">
        <v>45625.0</v>
      </c>
      <c r="E6776" s="24"/>
      <c r="F6776" s="14">
        <v>14.76</v>
      </c>
      <c r="G6776" s="14">
        <v>60.6</v>
      </c>
      <c r="H6776" s="14">
        <v>0.41</v>
      </c>
      <c r="I6776" s="14" t="s">
        <v>6078</v>
      </c>
      <c r="J6776" s="14">
        <v>0.0</v>
      </c>
      <c r="K6776" s="14" t="s">
        <v>6012</v>
      </c>
      <c r="L6776" s="14">
        <v>0.0</v>
      </c>
    </row>
    <row r="6777">
      <c r="A6777" s="14">
        <v>65.0</v>
      </c>
      <c r="B6777" s="14">
        <v>0.0</v>
      </c>
      <c r="C6777" s="34">
        <v>22.14</v>
      </c>
      <c r="D6777" s="36">
        <v>45625.0</v>
      </c>
      <c r="E6777" s="24"/>
      <c r="F6777" s="14" t="s">
        <v>6012</v>
      </c>
      <c r="G6777" s="14">
        <v>340.62</v>
      </c>
      <c r="H6777" s="14">
        <v>0.0</v>
      </c>
      <c r="I6777" s="14" t="s">
        <v>6082</v>
      </c>
      <c r="J6777" s="14" t="s">
        <v>6012</v>
      </c>
      <c r="K6777" s="14" t="s">
        <v>6012</v>
      </c>
      <c r="L6777" s="14">
        <v>0.0</v>
      </c>
    </row>
    <row r="6778">
      <c r="A6778" s="14">
        <v>315.0</v>
      </c>
      <c r="B6778" s="14">
        <v>2.0</v>
      </c>
      <c r="C6778" s="34">
        <v>20.18</v>
      </c>
      <c r="D6778" s="36">
        <v>45625.0</v>
      </c>
      <c r="E6778" s="24"/>
      <c r="F6778" s="14">
        <v>10.09</v>
      </c>
      <c r="G6778" s="14">
        <v>64.06</v>
      </c>
      <c r="H6778" s="14">
        <v>0.63</v>
      </c>
      <c r="I6778" s="14" t="s">
        <v>6083</v>
      </c>
      <c r="J6778" s="14">
        <v>0.0</v>
      </c>
      <c r="K6778" s="14" t="s">
        <v>6012</v>
      </c>
      <c r="L6778" s="14">
        <v>0.0</v>
      </c>
    </row>
    <row r="6779">
      <c r="A6779" s="14">
        <v>202.0</v>
      </c>
      <c r="B6779" s="14">
        <v>3.0</v>
      </c>
      <c r="C6779" s="34">
        <v>11.26</v>
      </c>
      <c r="D6779" s="36">
        <v>45626.0</v>
      </c>
      <c r="E6779" s="24"/>
      <c r="F6779" s="14">
        <v>3.75</v>
      </c>
      <c r="G6779" s="14">
        <v>55.74</v>
      </c>
      <c r="H6779" s="14">
        <v>1.49</v>
      </c>
      <c r="I6779" s="14" t="s">
        <v>6083</v>
      </c>
      <c r="J6779" s="14">
        <v>0.0</v>
      </c>
      <c r="K6779" s="14" t="s">
        <v>6012</v>
      </c>
      <c r="L6779" s="14">
        <v>0.0</v>
      </c>
    </row>
    <row r="6780">
      <c r="A6780" s="14">
        <v>262.0</v>
      </c>
      <c r="B6780" s="14">
        <v>0.0</v>
      </c>
      <c r="C6780" s="34">
        <v>16.16</v>
      </c>
      <c r="D6780" s="36">
        <v>45626.0</v>
      </c>
      <c r="E6780" s="24"/>
      <c r="F6780" s="14" t="s">
        <v>6012</v>
      </c>
      <c r="G6780" s="14">
        <v>61.68</v>
      </c>
      <c r="H6780" s="14">
        <v>0.0</v>
      </c>
      <c r="I6780" s="14" t="s">
        <v>6078</v>
      </c>
      <c r="J6780" s="14" t="s">
        <v>6012</v>
      </c>
      <c r="K6780" s="14" t="s">
        <v>6012</v>
      </c>
      <c r="L6780" s="14">
        <v>0.0</v>
      </c>
    </row>
    <row r="6781">
      <c r="A6781" s="14">
        <v>38.0</v>
      </c>
      <c r="B6781" s="14">
        <v>0.0</v>
      </c>
      <c r="C6781" s="34">
        <v>9.69</v>
      </c>
      <c r="D6781" s="36">
        <v>45626.0</v>
      </c>
      <c r="E6781" s="24"/>
      <c r="F6781" s="14" t="s">
        <v>6012</v>
      </c>
      <c r="G6781" s="14">
        <v>255.0</v>
      </c>
      <c r="H6781" s="14">
        <v>0.0</v>
      </c>
      <c r="I6781" s="14" t="s">
        <v>6082</v>
      </c>
      <c r="J6781" s="14" t="s">
        <v>6012</v>
      </c>
      <c r="K6781" s="14" t="s">
        <v>6012</v>
      </c>
      <c r="L6781" s="14">
        <v>0.0</v>
      </c>
    </row>
    <row r="6782">
      <c r="A6782" s="14">
        <v>121.0</v>
      </c>
      <c r="B6782" s="14">
        <v>1.0</v>
      </c>
      <c r="C6782" s="34">
        <v>9.57</v>
      </c>
      <c r="D6782" s="36">
        <v>45627.0</v>
      </c>
      <c r="E6782" s="24"/>
      <c r="F6782" s="14">
        <v>9.57</v>
      </c>
      <c r="G6782" s="14">
        <v>79.09</v>
      </c>
      <c r="H6782" s="14">
        <v>0.83</v>
      </c>
      <c r="I6782" s="14" t="s">
        <v>6083</v>
      </c>
      <c r="J6782" s="14">
        <v>0.0</v>
      </c>
      <c r="K6782" s="14" t="s">
        <v>6012</v>
      </c>
      <c r="L6782" s="14">
        <v>0.0</v>
      </c>
    </row>
    <row r="6783">
      <c r="A6783" s="14">
        <v>39.0</v>
      </c>
      <c r="B6783" s="14">
        <v>0.0</v>
      </c>
      <c r="C6783" s="34">
        <v>7.21</v>
      </c>
      <c r="D6783" s="36">
        <v>45627.0</v>
      </c>
      <c r="E6783" s="24"/>
      <c r="F6783" s="14" t="s">
        <v>6012</v>
      </c>
      <c r="G6783" s="14">
        <v>184.87</v>
      </c>
      <c r="H6783" s="14">
        <v>0.0</v>
      </c>
      <c r="I6783" s="14" t="s">
        <v>6082</v>
      </c>
      <c r="J6783" s="14" t="s">
        <v>6012</v>
      </c>
      <c r="K6783" s="14" t="s">
        <v>6012</v>
      </c>
      <c r="L6783" s="14">
        <v>0.0</v>
      </c>
    </row>
    <row r="6784">
      <c r="A6784" s="14">
        <v>262.0</v>
      </c>
      <c r="B6784" s="14">
        <v>1.0</v>
      </c>
      <c r="C6784" s="34">
        <v>14.47</v>
      </c>
      <c r="D6784" s="36">
        <v>45627.0</v>
      </c>
      <c r="E6784" s="24"/>
      <c r="F6784" s="14">
        <v>14.47</v>
      </c>
      <c r="G6784" s="14">
        <v>55.23</v>
      </c>
      <c r="H6784" s="14">
        <v>0.38</v>
      </c>
      <c r="I6784" s="14" t="s">
        <v>6078</v>
      </c>
      <c r="J6784" s="14">
        <v>0.0</v>
      </c>
      <c r="K6784" s="14" t="s">
        <v>6012</v>
      </c>
      <c r="L6784" s="14">
        <v>0.0</v>
      </c>
    </row>
    <row r="6785">
      <c r="A6785" s="14">
        <v>148.0</v>
      </c>
      <c r="B6785" s="14">
        <v>2.0</v>
      </c>
      <c r="C6785" s="34">
        <v>20.55</v>
      </c>
      <c r="D6785" s="36">
        <v>45628.0</v>
      </c>
      <c r="E6785" s="24"/>
      <c r="F6785" s="14">
        <v>10.28</v>
      </c>
      <c r="G6785" s="14">
        <v>138.85</v>
      </c>
      <c r="H6785" s="14">
        <v>1.35</v>
      </c>
      <c r="I6785" s="14" t="s">
        <v>6082</v>
      </c>
      <c r="J6785" s="14">
        <v>0.0</v>
      </c>
      <c r="K6785" s="14" t="s">
        <v>6012</v>
      </c>
      <c r="L6785" s="14">
        <v>0.0</v>
      </c>
    </row>
    <row r="6786">
      <c r="A6786" s="14">
        <v>613.0</v>
      </c>
      <c r="B6786" s="14">
        <v>0.0</v>
      </c>
      <c r="C6786" s="34">
        <v>17.86</v>
      </c>
      <c r="D6786" s="36">
        <v>45628.0</v>
      </c>
      <c r="E6786" s="24"/>
      <c r="F6786" s="14" t="s">
        <v>6012</v>
      </c>
      <c r="G6786" s="14">
        <v>29.14</v>
      </c>
      <c r="H6786" s="14">
        <v>0.0</v>
      </c>
      <c r="I6786" s="14" t="s">
        <v>6083</v>
      </c>
      <c r="J6786" s="14" t="s">
        <v>6012</v>
      </c>
      <c r="K6786" s="14" t="s">
        <v>6012</v>
      </c>
      <c r="L6786" s="14">
        <v>0.0</v>
      </c>
    </row>
    <row r="6787">
      <c r="A6787" s="14">
        <v>658.0</v>
      </c>
      <c r="B6787" s="14">
        <v>4.0</v>
      </c>
      <c r="C6787" s="34">
        <v>22.33</v>
      </c>
      <c r="D6787" s="36">
        <v>45628.0</v>
      </c>
      <c r="E6787" s="24"/>
      <c r="F6787" s="14">
        <v>5.58</v>
      </c>
      <c r="G6787" s="14">
        <v>33.94</v>
      </c>
      <c r="H6787" s="14">
        <v>0.61</v>
      </c>
      <c r="I6787" s="14" t="s">
        <v>6078</v>
      </c>
      <c r="J6787" s="14">
        <v>0.0</v>
      </c>
      <c r="K6787" s="14" t="s">
        <v>6012</v>
      </c>
      <c r="L6787" s="14">
        <v>0.0</v>
      </c>
    </row>
    <row r="6788">
      <c r="A6788" s="14">
        <v>240.0</v>
      </c>
      <c r="B6788" s="14">
        <v>2.0</v>
      </c>
      <c r="C6788" s="34">
        <v>22.59</v>
      </c>
      <c r="D6788" s="36">
        <v>45629.0</v>
      </c>
      <c r="E6788" s="24"/>
      <c r="F6788" s="14">
        <v>11.3</v>
      </c>
      <c r="G6788" s="14">
        <v>94.12</v>
      </c>
      <c r="H6788" s="14">
        <v>0.83</v>
      </c>
      <c r="I6788" s="14" t="s">
        <v>6078</v>
      </c>
      <c r="J6788" s="14">
        <v>0.0</v>
      </c>
      <c r="K6788" s="14" t="s">
        <v>6012</v>
      </c>
      <c r="L6788" s="14">
        <v>0.0</v>
      </c>
    </row>
    <row r="6789">
      <c r="A6789" s="14">
        <v>167.0</v>
      </c>
      <c r="B6789" s="14">
        <v>0.0</v>
      </c>
      <c r="C6789" s="34">
        <v>18.47</v>
      </c>
      <c r="D6789" s="36">
        <v>45629.0</v>
      </c>
      <c r="E6789" s="24"/>
      <c r="F6789" s="14" t="s">
        <v>6012</v>
      </c>
      <c r="G6789" s="14">
        <v>110.6</v>
      </c>
      <c r="H6789" s="14">
        <v>0.0</v>
      </c>
      <c r="I6789" s="14" t="s">
        <v>6083</v>
      </c>
      <c r="J6789" s="14" t="s">
        <v>6012</v>
      </c>
      <c r="K6789" s="14" t="s">
        <v>6012</v>
      </c>
      <c r="L6789" s="14">
        <v>0.0</v>
      </c>
    </row>
    <row r="6790">
      <c r="A6790" s="14">
        <v>153.0</v>
      </c>
      <c r="B6790" s="14">
        <v>1.0</v>
      </c>
      <c r="C6790" s="34">
        <v>23.11</v>
      </c>
      <c r="D6790" s="36">
        <v>45629.0</v>
      </c>
      <c r="E6790" s="24"/>
      <c r="F6790" s="14">
        <v>23.11</v>
      </c>
      <c r="G6790" s="14">
        <v>151.05</v>
      </c>
      <c r="H6790" s="14">
        <v>0.65</v>
      </c>
      <c r="I6790" s="14" t="s">
        <v>6082</v>
      </c>
      <c r="J6790" s="14">
        <v>0.0</v>
      </c>
      <c r="K6790" s="14" t="s">
        <v>6012</v>
      </c>
      <c r="L6790" s="14">
        <v>0.0</v>
      </c>
    </row>
    <row r="6791">
      <c r="A6791" s="14">
        <v>139.0</v>
      </c>
      <c r="B6791" s="14">
        <v>2.0</v>
      </c>
      <c r="C6791" s="34">
        <v>22.97</v>
      </c>
      <c r="D6791" s="36">
        <v>45630.0</v>
      </c>
      <c r="E6791" s="24"/>
      <c r="F6791" s="14">
        <v>11.48</v>
      </c>
      <c r="G6791" s="14">
        <v>165.25</v>
      </c>
      <c r="H6791" s="14">
        <v>1.44</v>
      </c>
      <c r="I6791" s="14" t="s">
        <v>6082</v>
      </c>
      <c r="J6791" s="14">
        <v>0.0</v>
      </c>
      <c r="K6791" s="14" t="s">
        <v>6012</v>
      </c>
      <c r="L6791" s="14">
        <v>0.0</v>
      </c>
    </row>
    <row r="6792">
      <c r="A6792" s="14">
        <v>202.0</v>
      </c>
      <c r="B6792" s="14">
        <v>2.0</v>
      </c>
      <c r="C6792" s="34">
        <v>22.92</v>
      </c>
      <c r="D6792" s="36">
        <v>45630.0</v>
      </c>
      <c r="E6792" s="24"/>
      <c r="F6792" s="14">
        <v>11.46</v>
      </c>
      <c r="G6792" s="14">
        <v>113.47</v>
      </c>
      <c r="H6792" s="14">
        <v>0.99</v>
      </c>
      <c r="I6792" s="14" t="s">
        <v>6078</v>
      </c>
      <c r="J6792" s="14">
        <v>50.0</v>
      </c>
      <c r="K6792" s="14">
        <v>22.92</v>
      </c>
      <c r="L6792" s="14">
        <v>0.0</v>
      </c>
    </row>
    <row r="6793">
      <c r="A6793" s="14">
        <v>195.0</v>
      </c>
      <c r="B6793" s="14">
        <v>0.0</v>
      </c>
      <c r="C6793" s="34">
        <v>18.21</v>
      </c>
      <c r="D6793" s="36">
        <v>45630.0</v>
      </c>
      <c r="E6793" s="24"/>
      <c r="F6793" s="14" t="s">
        <v>6012</v>
      </c>
      <c r="G6793" s="14">
        <v>93.38</v>
      </c>
      <c r="H6793" s="14">
        <v>0.0</v>
      </c>
      <c r="I6793" s="14" t="s">
        <v>6083</v>
      </c>
      <c r="J6793" s="14" t="s">
        <v>6012</v>
      </c>
      <c r="K6793" s="14">
        <v>18.21</v>
      </c>
      <c r="L6793" s="14">
        <v>0.0</v>
      </c>
    </row>
    <row r="6794">
      <c r="A6794" s="14">
        <v>177.0</v>
      </c>
      <c r="B6794" s="14">
        <v>3.0</v>
      </c>
      <c r="C6794" s="34">
        <v>25.07</v>
      </c>
      <c r="D6794" s="36">
        <v>45631.0</v>
      </c>
      <c r="E6794" s="24"/>
      <c r="F6794" s="14">
        <v>8.36</v>
      </c>
      <c r="G6794" s="14">
        <v>141.64</v>
      </c>
      <c r="H6794" s="14">
        <v>1.69</v>
      </c>
      <c r="I6794" s="14" t="s">
        <v>6078</v>
      </c>
      <c r="J6794" s="14">
        <v>0.0</v>
      </c>
      <c r="K6794" s="14" t="s">
        <v>6012</v>
      </c>
      <c r="L6794" s="14">
        <v>0.0</v>
      </c>
    </row>
    <row r="6795">
      <c r="A6795" s="14">
        <v>151.0</v>
      </c>
      <c r="B6795" s="14">
        <v>0.0</v>
      </c>
      <c r="C6795" s="34">
        <v>19.55</v>
      </c>
      <c r="D6795" s="36">
        <v>45631.0</v>
      </c>
      <c r="E6795" s="24"/>
      <c r="F6795" s="14" t="s">
        <v>6012</v>
      </c>
      <c r="G6795" s="14">
        <v>129.47</v>
      </c>
      <c r="H6795" s="14">
        <v>0.0</v>
      </c>
      <c r="I6795" s="14" t="s">
        <v>6082</v>
      </c>
      <c r="J6795" s="14" t="s">
        <v>6012</v>
      </c>
      <c r="K6795" s="14" t="s">
        <v>6012</v>
      </c>
      <c r="L6795" s="14">
        <v>0.0</v>
      </c>
    </row>
    <row r="6796">
      <c r="A6796" s="14">
        <v>173.0</v>
      </c>
      <c r="B6796" s="14">
        <v>0.0</v>
      </c>
      <c r="C6796" s="34">
        <v>19.56</v>
      </c>
      <c r="D6796" s="36">
        <v>45631.0</v>
      </c>
      <c r="E6796" s="24"/>
      <c r="F6796" s="14" t="s">
        <v>6012</v>
      </c>
      <c r="G6796" s="14">
        <v>113.06</v>
      </c>
      <c r="H6796" s="14">
        <v>0.0</v>
      </c>
      <c r="I6796" s="14" t="s">
        <v>6083</v>
      </c>
      <c r="J6796" s="14" t="s">
        <v>6012</v>
      </c>
      <c r="K6796" s="14" t="s">
        <v>6012</v>
      </c>
      <c r="L6796" s="14">
        <v>0.0</v>
      </c>
    </row>
    <row r="6797">
      <c r="A6797" s="14">
        <v>146.0</v>
      </c>
      <c r="B6797" s="14">
        <v>0.0</v>
      </c>
      <c r="C6797" s="34">
        <v>20.65</v>
      </c>
      <c r="D6797" s="36">
        <v>45632.0</v>
      </c>
      <c r="E6797" s="24"/>
      <c r="F6797" s="14" t="s">
        <v>6012</v>
      </c>
      <c r="G6797" s="14">
        <v>141.44</v>
      </c>
      <c r="H6797" s="14">
        <v>0.0</v>
      </c>
      <c r="I6797" s="14" t="s">
        <v>6082</v>
      </c>
      <c r="J6797" s="14" t="s">
        <v>6012</v>
      </c>
      <c r="K6797" s="14" t="s">
        <v>6012</v>
      </c>
      <c r="L6797" s="14">
        <v>0.0</v>
      </c>
    </row>
    <row r="6798">
      <c r="A6798" s="14">
        <v>169.0</v>
      </c>
      <c r="B6798" s="14">
        <v>1.0</v>
      </c>
      <c r="C6798" s="34">
        <v>22.78</v>
      </c>
      <c r="D6798" s="36">
        <v>45632.0</v>
      </c>
      <c r="E6798" s="24"/>
      <c r="F6798" s="14">
        <v>22.78</v>
      </c>
      <c r="G6798" s="14">
        <v>134.79</v>
      </c>
      <c r="H6798" s="14">
        <v>0.59</v>
      </c>
      <c r="I6798" s="14" t="s">
        <v>6078</v>
      </c>
      <c r="J6798" s="14">
        <v>0.0</v>
      </c>
      <c r="K6798" s="14" t="s">
        <v>6012</v>
      </c>
      <c r="L6798" s="14">
        <v>0.0</v>
      </c>
    </row>
    <row r="6799">
      <c r="A6799" s="14">
        <v>141.0</v>
      </c>
      <c r="B6799" s="14">
        <v>1.0</v>
      </c>
      <c r="C6799" s="34">
        <v>17.95</v>
      </c>
      <c r="D6799" s="36">
        <v>45632.0</v>
      </c>
      <c r="E6799" s="24"/>
      <c r="F6799" s="14">
        <v>17.95</v>
      </c>
      <c r="G6799" s="14">
        <v>127.3</v>
      </c>
      <c r="H6799" s="14">
        <v>0.71</v>
      </c>
      <c r="I6799" s="14" t="s">
        <v>6083</v>
      </c>
      <c r="J6799" s="14">
        <v>0.0</v>
      </c>
      <c r="K6799" s="14" t="s">
        <v>6012</v>
      </c>
      <c r="L6799" s="14">
        <v>0.0</v>
      </c>
    </row>
    <row r="6800">
      <c r="A6800" s="14">
        <v>51.0</v>
      </c>
      <c r="B6800" s="14">
        <v>1.0</v>
      </c>
      <c r="C6800" s="34">
        <v>10.59</v>
      </c>
      <c r="D6800" s="36">
        <v>45633.0</v>
      </c>
      <c r="E6800" s="24"/>
      <c r="F6800" s="14">
        <v>10.59</v>
      </c>
      <c r="G6800" s="14">
        <v>207.65</v>
      </c>
      <c r="H6800" s="14">
        <v>1.96</v>
      </c>
      <c r="I6800" s="14" t="s">
        <v>6082</v>
      </c>
      <c r="J6800" s="14">
        <v>0.0</v>
      </c>
      <c r="K6800" s="14" t="s">
        <v>6012</v>
      </c>
      <c r="L6800" s="14">
        <v>0.0</v>
      </c>
    </row>
    <row r="6801">
      <c r="A6801" s="14">
        <v>81.0</v>
      </c>
      <c r="B6801" s="14">
        <v>0.0</v>
      </c>
      <c r="C6801" s="34">
        <v>13.8</v>
      </c>
      <c r="D6801" s="36">
        <v>45633.0</v>
      </c>
      <c r="E6801" s="24"/>
      <c r="F6801" s="14" t="s">
        <v>6012</v>
      </c>
      <c r="G6801" s="14">
        <v>170.37</v>
      </c>
      <c r="H6801" s="14">
        <v>0.0</v>
      </c>
      <c r="I6801" s="14" t="s">
        <v>6078</v>
      </c>
      <c r="J6801" s="14" t="s">
        <v>6012</v>
      </c>
      <c r="K6801" s="14" t="s">
        <v>6012</v>
      </c>
      <c r="L6801" s="14">
        <v>0.0</v>
      </c>
    </row>
    <row r="6802">
      <c r="A6802" s="14">
        <v>63.0</v>
      </c>
      <c r="B6802" s="14">
        <v>0.0</v>
      </c>
      <c r="C6802" s="34">
        <v>11.54</v>
      </c>
      <c r="D6802" s="36">
        <v>45633.0</v>
      </c>
      <c r="E6802" s="24"/>
      <c r="F6802" s="14" t="s">
        <v>6012</v>
      </c>
      <c r="G6802" s="14">
        <v>183.17</v>
      </c>
      <c r="H6802" s="14">
        <v>0.0</v>
      </c>
      <c r="I6802" s="14" t="s">
        <v>6083</v>
      </c>
      <c r="J6802" s="14" t="s">
        <v>6012</v>
      </c>
      <c r="K6802" s="14" t="s">
        <v>6012</v>
      </c>
      <c r="L6802" s="14">
        <v>0.0</v>
      </c>
    </row>
    <row r="6803">
      <c r="A6803" s="14">
        <v>44.0</v>
      </c>
      <c r="B6803" s="14">
        <v>0.0</v>
      </c>
      <c r="C6803" s="34">
        <v>10.51</v>
      </c>
      <c r="D6803" s="36">
        <v>45634.0</v>
      </c>
      <c r="E6803" s="24"/>
      <c r="F6803" s="14" t="s">
        <v>6012</v>
      </c>
      <c r="G6803" s="14">
        <v>238.86</v>
      </c>
      <c r="H6803" s="14">
        <v>0.0</v>
      </c>
      <c r="I6803" s="14" t="s">
        <v>6078</v>
      </c>
      <c r="J6803" s="14" t="s">
        <v>6012</v>
      </c>
      <c r="K6803" s="14" t="s">
        <v>6012</v>
      </c>
      <c r="L6803" s="14">
        <v>0.0</v>
      </c>
    </row>
    <row r="6804">
      <c r="A6804" s="14">
        <v>53.0</v>
      </c>
      <c r="B6804" s="14">
        <v>0.0</v>
      </c>
      <c r="C6804" s="34">
        <v>8.41</v>
      </c>
      <c r="D6804" s="36">
        <v>45634.0</v>
      </c>
      <c r="E6804" s="24"/>
      <c r="F6804" s="14" t="s">
        <v>6012</v>
      </c>
      <c r="G6804" s="14">
        <v>158.68</v>
      </c>
      <c r="H6804" s="14">
        <v>0.0</v>
      </c>
      <c r="I6804" s="14" t="s">
        <v>6083</v>
      </c>
      <c r="J6804" s="14" t="s">
        <v>6012</v>
      </c>
      <c r="K6804" s="14" t="s">
        <v>6012</v>
      </c>
      <c r="L6804" s="14">
        <v>0.0</v>
      </c>
    </row>
    <row r="6805">
      <c r="A6805" s="14">
        <v>47.0</v>
      </c>
      <c r="B6805" s="14">
        <v>1.0</v>
      </c>
      <c r="C6805" s="34">
        <v>8.58</v>
      </c>
      <c r="D6805" s="36">
        <v>45634.0</v>
      </c>
      <c r="E6805" s="24"/>
      <c r="F6805" s="14">
        <v>8.58</v>
      </c>
      <c r="G6805" s="14">
        <v>182.55</v>
      </c>
      <c r="H6805" s="14">
        <v>2.13</v>
      </c>
      <c r="I6805" s="14" t="s">
        <v>6082</v>
      </c>
      <c r="J6805" s="14">
        <v>0.0</v>
      </c>
      <c r="K6805" s="14" t="s">
        <v>6012</v>
      </c>
      <c r="L6805" s="14">
        <v>0.0</v>
      </c>
    </row>
    <row r="6806">
      <c r="A6806" s="14">
        <v>187.0</v>
      </c>
      <c r="B6806" s="14">
        <v>0.0</v>
      </c>
      <c r="C6806" s="34">
        <v>23.39</v>
      </c>
      <c r="D6806" s="36">
        <v>45635.0</v>
      </c>
      <c r="E6806" s="24"/>
      <c r="F6806" s="14" t="s">
        <v>6012</v>
      </c>
      <c r="G6806" s="14">
        <v>125.08</v>
      </c>
      <c r="H6806" s="14">
        <v>0.0</v>
      </c>
      <c r="I6806" s="14" t="s">
        <v>6078</v>
      </c>
      <c r="J6806" s="14" t="s">
        <v>6012</v>
      </c>
      <c r="K6806" s="14" t="s">
        <v>6012</v>
      </c>
      <c r="L6806" s="14">
        <v>0.0</v>
      </c>
    </row>
    <row r="6807">
      <c r="A6807" s="14">
        <v>151.0</v>
      </c>
      <c r="B6807" s="14">
        <v>1.0</v>
      </c>
      <c r="C6807" s="34">
        <v>18.72</v>
      </c>
      <c r="D6807" s="36">
        <v>45635.0</v>
      </c>
      <c r="E6807" s="24"/>
      <c r="F6807" s="14">
        <v>18.72</v>
      </c>
      <c r="G6807" s="14">
        <v>123.97</v>
      </c>
      <c r="H6807" s="14">
        <v>0.66</v>
      </c>
      <c r="I6807" s="14" t="s">
        <v>6083</v>
      </c>
      <c r="J6807" s="14">
        <v>0.0</v>
      </c>
      <c r="K6807" s="14" t="s">
        <v>6012</v>
      </c>
      <c r="L6807" s="14">
        <v>0.0</v>
      </c>
    </row>
    <row r="6808">
      <c r="A6808" s="14">
        <v>113.0</v>
      </c>
      <c r="B6808" s="14">
        <v>2.0</v>
      </c>
      <c r="C6808" s="34">
        <v>20.33</v>
      </c>
      <c r="D6808" s="36">
        <v>45635.0</v>
      </c>
      <c r="E6808" s="24"/>
      <c r="F6808" s="14">
        <v>10.16</v>
      </c>
      <c r="G6808" s="14">
        <v>179.91</v>
      </c>
      <c r="H6808" s="14">
        <v>1.77</v>
      </c>
      <c r="I6808" s="14" t="s">
        <v>6082</v>
      </c>
      <c r="J6808" s="14">
        <v>0.0</v>
      </c>
      <c r="K6808" s="14" t="s">
        <v>6012</v>
      </c>
      <c r="L6808" s="14">
        <v>0.0</v>
      </c>
    </row>
    <row r="6809">
      <c r="A6809" s="14">
        <v>131.0</v>
      </c>
      <c r="B6809" s="14">
        <v>0.0</v>
      </c>
      <c r="C6809" s="34">
        <v>24.18</v>
      </c>
      <c r="D6809" s="36">
        <v>45636.0</v>
      </c>
      <c r="E6809" s="24"/>
      <c r="F6809" s="14" t="s">
        <v>6012</v>
      </c>
      <c r="G6809" s="14">
        <v>184.58</v>
      </c>
      <c r="H6809" s="14">
        <v>0.0</v>
      </c>
      <c r="I6809" s="14" t="s">
        <v>6082</v>
      </c>
      <c r="J6809" s="14" t="s">
        <v>6012</v>
      </c>
      <c r="K6809" s="14" t="s">
        <v>6012</v>
      </c>
      <c r="L6809" s="14">
        <v>0.0</v>
      </c>
    </row>
    <row r="6810">
      <c r="A6810" s="14">
        <v>153.0</v>
      </c>
      <c r="B6810" s="14">
        <v>0.0</v>
      </c>
      <c r="C6810" s="34">
        <v>20.6</v>
      </c>
      <c r="D6810" s="36">
        <v>45636.0</v>
      </c>
      <c r="E6810" s="24"/>
      <c r="F6810" s="14" t="s">
        <v>6012</v>
      </c>
      <c r="G6810" s="14">
        <v>134.64</v>
      </c>
      <c r="H6810" s="14">
        <v>0.0</v>
      </c>
      <c r="I6810" s="14" t="s">
        <v>6083</v>
      </c>
      <c r="J6810" s="14" t="s">
        <v>6012</v>
      </c>
      <c r="K6810" s="14" t="s">
        <v>6012</v>
      </c>
      <c r="L6810" s="14">
        <v>0.0</v>
      </c>
    </row>
    <row r="6811">
      <c r="A6811" s="14">
        <v>177.0</v>
      </c>
      <c r="B6811" s="14">
        <v>2.0</v>
      </c>
      <c r="C6811" s="34">
        <v>25.73</v>
      </c>
      <c r="D6811" s="36">
        <v>45636.0</v>
      </c>
      <c r="E6811" s="24"/>
      <c r="F6811" s="14">
        <v>12.86</v>
      </c>
      <c r="G6811" s="14">
        <v>145.37</v>
      </c>
      <c r="H6811" s="14">
        <v>1.13</v>
      </c>
      <c r="I6811" s="14" t="s">
        <v>6078</v>
      </c>
      <c r="J6811" s="14">
        <v>0.0</v>
      </c>
      <c r="K6811" s="14" t="s">
        <v>6012</v>
      </c>
      <c r="L6811" s="14">
        <v>0.0</v>
      </c>
    </row>
    <row r="6812">
      <c r="A6812" s="14">
        <v>144.0</v>
      </c>
      <c r="B6812" s="14">
        <v>0.0</v>
      </c>
      <c r="C6812" s="34">
        <v>19.01</v>
      </c>
      <c r="D6812" s="36">
        <v>45637.0</v>
      </c>
      <c r="E6812" s="24"/>
      <c r="F6812" s="14" t="s">
        <v>6012</v>
      </c>
      <c r="G6812" s="14">
        <v>132.01</v>
      </c>
      <c r="H6812" s="14">
        <v>0.0</v>
      </c>
      <c r="I6812" s="14" t="s">
        <v>6083</v>
      </c>
      <c r="J6812" s="14" t="s">
        <v>6012</v>
      </c>
      <c r="K6812" s="14" t="s">
        <v>6012</v>
      </c>
      <c r="L6812" s="14">
        <v>0.0</v>
      </c>
    </row>
    <row r="6813">
      <c r="A6813" s="14">
        <v>129.0</v>
      </c>
      <c r="B6813" s="14">
        <v>1.0</v>
      </c>
      <c r="C6813" s="34">
        <v>23.43</v>
      </c>
      <c r="D6813" s="36">
        <v>45637.0</v>
      </c>
      <c r="E6813" s="24"/>
      <c r="F6813" s="14">
        <v>23.43</v>
      </c>
      <c r="G6813" s="14">
        <v>181.63</v>
      </c>
      <c r="H6813" s="14">
        <v>0.78</v>
      </c>
      <c r="I6813" s="14" t="s">
        <v>6082</v>
      </c>
      <c r="J6813" s="14">
        <v>0.0</v>
      </c>
      <c r="K6813" s="14" t="s">
        <v>6012</v>
      </c>
      <c r="L6813" s="14">
        <v>0.0</v>
      </c>
    </row>
    <row r="6814">
      <c r="A6814" s="14">
        <v>175.0</v>
      </c>
      <c r="B6814" s="14">
        <v>0.0</v>
      </c>
      <c r="C6814" s="34">
        <v>24.2</v>
      </c>
      <c r="D6814" s="36">
        <v>45637.0</v>
      </c>
      <c r="E6814" s="24"/>
      <c r="F6814" s="14" t="s">
        <v>6012</v>
      </c>
      <c r="G6814" s="14">
        <v>138.29</v>
      </c>
      <c r="H6814" s="14">
        <v>0.0</v>
      </c>
      <c r="I6814" s="14" t="s">
        <v>6078</v>
      </c>
      <c r="J6814" s="14" t="s">
        <v>6012</v>
      </c>
      <c r="K6814" s="14" t="s">
        <v>6012</v>
      </c>
      <c r="L6814" s="14">
        <v>0.0</v>
      </c>
    </row>
    <row r="6815">
      <c r="A6815" s="14">
        <v>88.0</v>
      </c>
      <c r="B6815" s="14">
        <v>1.0</v>
      </c>
      <c r="C6815" s="34">
        <v>20.08</v>
      </c>
      <c r="D6815" s="36">
        <v>45638.0</v>
      </c>
      <c r="E6815" s="24"/>
      <c r="F6815" s="14">
        <v>20.08</v>
      </c>
      <c r="G6815" s="14">
        <v>228.18</v>
      </c>
      <c r="H6815" s="14">
        <v>1.14</v>
      </c>
      <c r="I6815" s="14" t="s">
        <v>6083</v>
      </c>
      <c r="J6815" s="14">
        <v>0.0</v>
      </c>
      <c r="K6815" s="14" t="s">
        <v>6012</v>
      </c>
      <c r="L6815" s="14">
        <v>0.0</v>
      </c>
    </row>
    <row r="6816">
      <c r="A6816" s="14">
        <v>97.0</v>
      </c>
      <c r="B6816" s="14">
        <v>0.0</v>
      </c>
      <c r="C6816" s="34">
        <v>22.34</v>
      </c>
      <c r="D6816" s="36">
        <v>45638.0</v>
      </c>
      <c r="E6816" s="24"/>
      <c r="F6816" s="14" t="s">
        <v>6012</v>
      </c>
      <c r="G6816" s="14">
        <v>230.31</v>
      </c>
      <c r="H6816" s="14">
        <v>0.0</v>
      </c>
      <c r="I6816" s="14" t="s">
        <v>6078</v>
      </c>
      <c r="J6816" s="14" t="s">
        <v>6012</v>
      </c>
      <c r="K6816" s="14" t="s">
        <v>6012</v>
      </c>
      <c r="L6816" s="14">
        <v>0.0</v>
      </c>
    </row>
    <row r="6817">
      <c r="A6817" s="14">
        <v>60.0</v>
      </c>
      <c r="B6817" s="14">
        <v>0.0</v>
      </c>
      <c r="C6817" s="34">
        <v>20.56</v>
      </c>
      <c r="D6817" s="36">
        <v>45638.0</v>
      </c>
      <c r="E6817" s="24"/>
      <c r="F6817" s="14" t="s">
        <v>6012</v>
      </c>
      <c r="G6817" s="14">
        <v>342.67</v>
      </c>
      <c r="H6817" s="14">
        <v>0.0</v>
      </c>
      <c r="I6817" s="14" t="s">
        <v>6082</v>
      </c>
      <c r="J6817" s="14" t="s">
        <v>6012</v>
      </c>
      <c r="K6817" s="14" t="s">
        <v>6012</v>
      </c>
      <c r="L6817" s="14">
        <v>0.0</v>
      </c>
    </row>
    <row r="6818">
      <c r="A6818" s="14">
        <v>114.0</v>
      </c>
      <c r="B6818" s="14">
        <v>1.0</v>
      </c>
      <c r="C6818" s="34">
        <v>21.24</v>
      </c>
      <c r="D6818" s="36">
        <v>45639.0</v>
      </c>
      <c r="E6818" s="24"/>
      <c r="F6818" s="14">
        <v>21.24</v>
      </c>
      <c r="G6818" s="14">
        <v>186.32</v>
      </c>
      <c r="H6818" s="14">
        <v>0.88</v>
      </c>
      <c r="I6818" s="14" t="s">
        <v>6078</v>
      </c>
      <c r="J6818" s="14">
        <v>0.0</v>
      </c>
      <c r="K6818" s="14" t="s">
        <v>6012</v>
      </c>
      <c r="L6818" s="14">
        <v>0.0</v>
      </c>
    </row>
    <row r="6819">
      <c r="A6819" s="14">
        <v>92.0</v>
      </c>
      <c r="B6819" s="14">
        <v>0.0</v>
      </c>
      <c r="C6819" s="34">
        <v>22.07</v>
      </c>
      <c r="D6819" s="36">
        <v>45639.0</v>
      </c>
      <c r="E6819" s="24"/>
      <c r="F6819" s="14" t="s">
        <v>6012</v>
      </c>
      <c r="G6819" s="14">
        <v>239.89</v>
      </c>
      <c r="H6819" s="14">
        <v>0.0</v>
      </c>
      <c r="I6819" s="14" t="s">
        <v>6082</v>
      </c>
      <c r="J6819" s="14" t="s">
        <v>6012</v>
      </c>
      <c r="K6819" s="14" t="s">
        <v>6012</v>
      </c>
      <c r="L6819" s="14">
        <v>0.0</v>
      </c>
    </row>
    <row r="6820">
      <c r="A6820" s="14">
        <v>83.0</v>
      </c>
      <c r="B6820" s="14">
        <v>0.0</v>
      </c>
      <c r="C6820" s="34">
        <v>15.95</v>
      </c>
      <c r="D6820" s="36">
        <v>45639.0</v>
      </c>
      <c r="E6820" s="24"/>
      <c r="F6820" s="14" t="s">
        <v>6012</v>
      </c>
      <c r="G6820" s="14">
        <v>192.17</v>
      </c>
      <c r="H6820" s="14">
        <v>0.0</v>
      </c>
      <c r="I6820" s="14" t="s">
        <v>6083</v>
      </c>
      <c r="J6820" s="14" t="s">
        <v>6012</v>
      </c>
      <c r="K6820" s="14" t="s">
        <v>6012</v>
      </c>
      <c r="L6820" s="14">
        <v>0.0</v>
      </c>
    </row>
    <row r="6821">
      <c r="A6821" s="14">
        <v>60.0</v>
      </c>
      <c r="B6821" s="14">
        <v>0.0</v>
      </c>
      <c r="C6821" s="34">
        <v>13.74</v>
      </c>
      <c r="D6821" s="36">
        <v>45640.0</v>
      </c>
      <c r="E6821" s="24"/>
      <c r="F6821" s="14" t="s">
        <v>6012</v>
      </c>
      <c r="G6821" s="14">
        <v>229.0</v>
      </c>
      <c r="H6821" s="14">
        <v>0.0</v>
      </c>
      <c r="I6821" s="14" t="s">
        <v>6078</v>
      </c>
      <c r="J6821" s="14" t="s">
        <v>6012</v>
      </c>
      <c r="K6821" s="14" t="s">
        <v>6012</v>
      </c>
      <c r="L6821" s="14">
        <v>0.0</v>
      </c>
    </row>
    <row r="6822">
      <c r="A6822" s="14">
        <v>50.0</v>
      </c>
      <c r="B6822" s="14">
        <v>0.0</v>
      </c>
      <c r="C6822" s="34">
        <v>10.14</v>
      </c>
      <c r="D6822" s="36">
        <v>45640.0</v>
      </c>
      <c r="E6822" s="24"/>
      <c r="F6822" s="14" t="s">
        <v>6012</v>
      </c>
      <c r="G6822" s="14">
        <v>202.8</v>
      </c>
      <c r="H6822" s="14">
        <v>0.0</v>
      </c>
      <c r="I6822" s="14" t="s">
        <v>6082</v>
      </c>
      <c r="J6822" s="14" t="s">
        <v>6012</v>
      </c>
      <c r="K6822" s="14" t="s">
        <v>6012</v>
      </c>
      <c r="L6822" s="14">
        <v>0.0</v>
      </c>
    </row>
    <row r="6823">
      <c r="A6823" s="14">
        <v>54.0</v>
      </c>
      <c r="B6823" s="14">
        <v>1.0</v>
      </c>
      <c r="C6823" s="34">
        <v>11.21</v>
      </c>
      <c r="D6823" s="36">
        <v>45640.0</v>
      </c>
      <c r="E6823" s="24"/>
      <c r="F6823" s="14">
        <v>11.21</v>
      </c>
      <c r="G6823" s="14">
        <v>207.59</v>
      </c>
      <c r="H6823" s="14">
        <v>1.85</v>
      </c>
      <c r="I6823" s="14" t="s">
        <v>6083</v>
      </c>
      <c r="J6823" s="14">
        <v>0.0</v>
      </c>
      <c r="K6823" s="14" t="s">
        <v>6012</v>
      </c>
      <c r="L6823" s="14">
        <v>0.0</v>
      </c>
    </row>
    <row r="6824">
      <c r="A6824" s="14">
        <v>21.0</v>
      </c>
      <c r="B6824" s="14">
        <v>0.0</v>
      </c>
      <c r="C6824" s="34">
        <v>5.29</v>
      </c>
      <c r="D6824" s="36">
        <v>45641.0</v>
      </c>
      <c r="E6824" s="24"/>
      <c r="F6824" s="14" t="s">
        <v>6012</v>
      </c>
      <c r="G6824" s="14">
        <v>251.9</v>
      </c>
      <c r="H6824" s="14">
        <v>0.0</v>
      </c>
      <c r="I6824" s="14" t="s">
        <v>6082</v>
      </c>
      <c r="J6824" s="14" t="s">
        <v>6012</v>
      </c>
      <c r="K6824" s="14" t="s">
        <v>6012</v>
      </c>
      <c r="L6824" s="14">
        <v>0.0</v>
      </c>
    </row>
    <row r="6825">
      <c r="A6825" s="14">
        <v>47.0</v>
      </c>
      <c r="B6825" s="14">
        <v>1.0</v>
      </c>
      <c r="C6825" s="34">
        <v>6.43</v>
      </c>
      <c r="D6825" s="36">
        <v>45641.0</v>
      </c>
      <c r="E6825" s="24"/>
      <c r="F6825" s="14">
        <v>6.43</v>
      </c>
      <c r="G6825" s="14">
        <v>136.81</v>
      </c>
      <c r="H6825" s="14">
        <v>2.13</v>
      </c>
      <c r="I6825" s="14" t="s">
        <v>6083</v>
      </c>
      <c r="J6825" s="14">
        <v>0.0</v>
      </c>
      <c r="K6825" s="14" t="s">
        <v>6012</v>
      </c>
      <c r="L6825" s="14">
        <v>0.0</v>
      </c>
    </row>
    <row r="6826">
      <c r="A6826" s="14">
        <v>37.0</v>
      </c>
      <c r="B6826" s="14">
        <v>0.0</v>
      </c>
      <c r="C6826" s="34">
        <v>9.36</v>
      </c>
      <c r="D6826" s="36">
        <v>45641.0</v>
      </c>
      <c r="E6826" s="24"/>
      <c r="F6826" s="14" t="s">
        <v>6012</v>
      </c>
      <c r="G6826" s="14">
        <v>252.97</v>
      </c>
      <c r="H6826" s="14">
        <v>0.0</v>
      </c>
      <c r="I6826" s="14" t="s">
        <v>6078</v>
      </c>
      <c r="J6826" s="14" t="s">
        <v>6012</v>
      </c>
      <c r="K6826" s="14" t="s">
        <v>6012</v>
      </c>
      <c r="L6826" s="14">
        <v>0.0</v>
      </c>
    </row>
    <row r="6827">
      <c r="A6827" s="14">
        <v>108.0</v>
      </c>
      <c r="B6827" s="14">
        <v>1.0</v>
      </c>
      <c r="C6827" s="34">
        <v>18.94</v>
      </c>
      <c r="D6827" s="36">
        <v>45642.0</v>
      </c>
      <c r="E6827" s="24"/>
      <c r="F6827" s="14">
        <v>18.94</v>
      </c>
      <c r="G6827" s="14">
        <v>175.37</v>
      </c>
      <c r="H6827" s="14">
        <v>0.93</v>
      </c>
      <c r="I6827" s="14" t="s">
        <v>6083</v>
      </c>
      <c r="J6827" s="14">
        <v>0.0</v>
      </c>
      <c r="K6827" s="14" t="s">
        <v>6012</v>
      </c>
      <c r="L6827" s="14">
        <v>0.0</v>
      </c>
    </row>
    <row r="6828">
      <c r="A6828" s="14">
        <v>247.0</v>
      </c>
      <c r="B6828" s="14">
        <v>0.0</v>
      </c>
      <c r="C6828" s="34">
        <v>23.29</v>
      </c>
      <c r="D6828" s="36">
        <v>45642.0</v>
      </c>
      <c r="E6828" s="24"/>
      <c r="F6828" s="14" t="s">
        <v>6012</v>
      </c>
      <c r="G6828" s="14">
        <v>94.29</v>
      </c>
      <c r="H6828" s="14">
        <v>0.0</v>
      </c>
      <c r="I6828" s="14" t="s">
        <v>6078</v>
      </c>
      <c r="J6828" s="14" t="s">
        <v>6012</v>
      </c>
      <c r="K6828" s="14" t="s">
        <v>6012</v>
      </c>
      <c r="L6828" s="14">
        <v>0.0</v>
      </c>
    </row>
    <row r="6829">
      <c r="A6829" s="14">
        <v>113.0</v>
      </c>
      <c r="B6829" s="14">
        <v>0.0</v>
      </c>
      <c r="C6829" s="34">
        <v>20.52</v>
      </c>
      <c r="D6829" s="36">
        <v>45642.0</v>
      </c>
      <c r="E6829" s="24"/>
      <c r="F6829" s="14" t="s">
        <v>6012</v>
      </c>
      <c r="G6829" s="14">
        <v>181.59</v>
      </c>
      <c r="H6829" s="14">
        <v>0.0</v>
      </c>
      <c r="I6829" s="14" t="s">
        <v>6082</v>
      </c>
      <c r="J6829" s="14" t="s">
        <v>6012</v>
      </c>
      <c r="K6829" s="14" t="s">
        <v>6012</v>
      </c>
      <c r="L6829" s="14">
        <v>0.0</v>
      </c>
    </row>
    <row r="6830">
      <c r="A6830" s="14">
        <v>106.0</v>
      </c>
      <c r="B6830" s="14">
        <v>0.0</v>
      </c>
      <c r="C6830" s="34">
        <v>25.07</v>
      </c>
      <c r="D6830" s="36">
        <v>45643.0</v>
      </c>
      <c r="E6830" s="24"/>
      <c r="F6830" s="14" t="s">
        <v>6012</v>
      </c>
      <c r="G6830" s="14">
        <v>236.51</v>
      </c>
      <c r="H6830" s="14">
        <v>0.0</v>
      </c>
      <c r="I6830" s="14" t="s">
        <v>6082</v>
      </c>
      <c r="J6830" s="14" t="s">
        <v>6012</v>
      </c>
      <c r="K6830" s="14" t="s">
        <v>6012</v>
      </c>
      <c r="L6830" s="14">
        <v>0.0</v>
      </c>
    </row>
    <row r="6831">
      <c r="A6831" s="14">
        <v>135.0</v>
      </c>
      <c r="B6831" s="14">
        <v>0.0</v>
      </c>
      <c r="C6831" s="34">
        <v>20.63</v>
      </c>
      <c r="D6831" s="36">
        <v>45643.0</v>
      </c>
      <c r="E6831" s="24"/>
      <c r="F6831" s="14" t="s">
        <v>6012</v>
      </c>
      <c r="G6831" s="14">
        <v>152.81</v>
      </c>
      <c r="H6831" s="14">
        <v>0.0</v>
      </c>
      <c r="I6831" s="14" t="s">
        <v>6083</v>
      </c>
      <c r="J6831" s="14" t="s">
        <v>6012</v>
      </c>
      <c r="K6831" s="14" t="s">
        <v>6012</v>
      </c>
      <c r="L6831" s="14">
        <v>0.0</v>
      </c>
    </row>
    <row r="6832">
      <c r="A6832" s="14">
        <v>171.0</v>
      </c>
      <c r="B6832" s="14">
        <v>2.0</v>
      </c>
      <c r="C6832" s="34">
        <v>26.17</v>
      </c>
      <c r="D6832" s="36">
        <v>45643.0</v>
      </c>
      <c r="E6832" s="24"/>
      <c r="F6832" s="14">
        <v>13.08</v>
      </c>
      <c r="G6832" s="14">
        <v>153.04</v>
      </c>
      <c r="H6832" s="14">
        <v>1.17</v>
      </c>
      <c r="I6832" s="14" t="s">
        <v>6078</v>
      </c>
      <c r="J6832" s="14">
        <v>50.0</v>
      </c>
      <c r="K6832" s="14">
        <v>26.17</v>
      </c>
      <c r="L6832" s="14">
        <v>0.0</v>
      </c>
    </row>
    <row r="6833">
      <c r="A6833" s="14">
        <v>118.0</v>
      </c>
      <c r="B6833" s="14">
        <v>1.0</v>
      </c>
      <c r="C6833" s="34">
        <v>23.67</v>
      </c>
      <c r="D6833" s="36">
        <v>45644.0</v>
      </c>
      <c r="E6833" s="24"/>
      <c r="F6833" s="14">
        <v>23.67</v>
      </c>
      <c r="G6833" s="14">
        <v>200.59</v>
      </c>
      <c r="H6833" s="14">
        <v>0.85</v>
      </c>
      <c r="I6833" s="14" t="s">
        <v>6078</v>
      </c>
      <c r="J6833" s="14">
        <v>0.0</v>
      </c>
      <c r="K6833" s="14" t="s">
        <v>6012</v>
      </c>
      <c r="L6833" s="14">
        <v>0.0</v>
      </c>
    </row>
    <row r="6834">
      <c r="A6834" s="14">
        <v>130.0</v>
      </c>
      <c r="B6834" s="14">
        <v>0.0</v>
      </c>
      <c r="C6834" s="34">
        <v>24.74</v>
      </c>
      <c r="D6834" s="36">
        <v>45644.0</v>
      </c>
      <c r="E6834" s="24"/>
      <c r="F6834" s="14" t="s">
        <v>6012</v>
      </c>
      <c r="G6834" s="14">
        <v>190.31</v>
      </c>
      <c r="H6834" s="14">
        <v>0.0</v>
      </c>
      <c r="I6834" s="14" t="s">
        <v>6082</v>
      </c>
      <c r="J6834" s="14" t="s">
        <v>6012</v>
      </c>
      <c r="K6834" s="14" t="s">
        <v>6012</v>
      </c>
      <c r="L6834" s="14">
        <v>0.0</v>
      </c>
    </row>
    <row r="6835">
      <c r="A6835" s="14">
        <v>102.0</v>
      </c>
      <c r="B6835" s="14">
        <v>0.0</v>
      </c>
      <c r="C6835" s="34">
        <v>19.06</v>
      </c>
      <c r="D6835" s="36">
        <v>45644.0</v>
      </c>
      <c r="E6835" s="24"/>
      <c r="F6835" s="14" t="s">
        <v>6012</v>
      </c>
      <c r="G6835" s="14">
        <v>186.86</v>
      </c>
      <c r="H6835" s="14">
        <v>0.0</v>
      </c>
      <c r="I6835" s="14" t="s">
        <v>6083</v>
      </c>
      <c r="J6835" s="14" t="s">
        <v>6012</v>
      </c>
      <c r="K6835" s="14" t="s">
        <v>6012</v>
      </c>
      <c r="L6835" s="14">
        <v>0.0</v>
      </c>
    </row>
    <row r="6836">
      <c r="A6836" s="14">
        <v>113.0</v>
      </c>
      <c r="B6836" s="14">
        <v>0.0</v>
      </c>
      <c r="C6836" s="34">
        <v>18.39</v>
      </c>
      <c r="D6836" s="36">
        <v>45645.0</v>
      </c>
      <c r="E6836" s="24"/>
      <c r="F6836" s="14" t="s">
        <v>6012</v>
      </c>
      <c r="G6836" s="14">
        <v>162.74</v>
      </c>
      <c r="H6836" s="14">
        <v>0.0</v>
      </c>
      <c r="I6836" s="14" t="s">
        <v>6083</v>
      </c>
      <c r="J6836" s="14" t="s">
        <v>6012</v>
      </c>
      <c r="K6836" s="14" t="s">
        <v>6012</v>
      </c>
      <c r="L6836" s="14">
        <v>0.0</v>
      </c>
    </row>
    <row r="6837">
      <c r="A6837" s="14">
        <v>78.0</v>
      </c>
      <c r="B6837" s="14">
        <v>1.0</v>
      </c>
      <c r="C6837" s="34">
        <v>20.79</v>
      </c>
      <c r="D6837" s="36">
        <v>45645.0</v>
      </c>
      <c r="E6837" s="24"/>
      <c r="F6837" s="14">
        <v>20.79</v>
      </c>
      <c r="G6837" s="14">
        <v>266.54</v>
      </c>
      <c r="H6837" s="14">
        <v>1.28</v>
      </c>
      <c r="I6837" s="14" t="s">
        <v>6082</v>
      </c>
      <c r="J6837" s="14">
        <v>0.0</v>
      </c>
      <c r="K6837" s="14" t="s">
        <v>6012</v>
      </c>
      <c r="L6837" s="14">
        <v>0.0</v>
      </c>
    </row>
    <row r="6838">
      <c r="A6838" s="14">
        <v>122.0</v>
      </c>
      <c r="B6838" s="14">
        <v>0.0</v>
      </c>
      <c r="C6838" s="34">
        <v>23.85</v>
      </c>
      <c r="D6838" s="36">
        <v>45645.0</v>
      </c>
      <c r="E6838" s="24"/>
      <c r="F6838" s="14" t="s">
        <v>6012</v>
      </c>
      <c r="G6838" s="14">
        <v>195.49</v>
      </c>
      <c r="H6838" s="14">
        <v>0.0</v>
      </c>
      <c r="I6838" s="14" t="s">
        <v>6078</v>
      </c>
      <c r="J6838" s="14" t="s">
        <v>6012</v>
      </c>
      <c r="K6838" s="14" t="s">
        <v>6012</v>
      </c>
      <c r="L6838" s="14">
        <v>0.0</v>
      </c>
    </row>
    <row r="6839">
      <c r="A6839" s="14">
        <v>137.0</v>
      </c>
      <c r="B6839" s="14">
        <v>0.0</v>
      </c>
      <c r="C6839" s="34">
        <v>21.66</v>
      </c>
      <c r="D6839" s="36">
        <v>45646.0</v>
      </c>
      <c r="E6839" s="24"/>
      <c r="F6839" s="14" t="s">
        <v>6012</v>
      </c>
      <c r="G6839" s="14">
        <v>158.1</v>
      </c>
      <c r="H6839" s="14">
        <v>0.0</v>
      </c>
      <c r="I6839" s="14" t="s">
        <v>6078</v>
      </c>
      <c r="J6839" s="14" t="s">
        <v>6012</v>
      </c>
      <c r="K6839" s="14" t="s">
        <v>6012</v>
      </c>
      <c r="L6839" s="14">
        <v>0.0</v>
      </c>
    </row>
    <row r="6840">
      <c r="A6840" s="14">
        <v>89.0</v>
      </c>
      <c r="B6840" s="14">
        <v>0.0</v>
      </c>
      <c r="C6840" s="34">
        <v>16.99</v>
      </c>
      <c r="D6840" s="36">
        <v>45646.0</v>
      </c>
      <c r="E6840" s="24"/>
      <c r="F6840" s="14" t="s">
        <v>6012</v>
      </c>
      <c r="G6840" s="14">
        <v>190.9</v>
      </c>
      <c r="H6840" s="14">
        <v>0.0</v>
      </c>
      <c r="I6840" s="14" t="s">
        <v>6083</v>
      </c>
      <c r="J6840" s="14" t="s">
        <v>6012</v>
      </c>
      <c r="K6840" s="14" t="s">
        <v>6012</v>
      </c>
      <c r="L6840" s="14">
        <v>0.0</v>
      </c>
    </row>
    <row r="6841">
      <c r="A6841" s="14">
        <v>67.0</v>
      </c>
      <c r="B6841" s="14">
        <v>1.0</v>
      </c>
      <c r="C6841" s="34">
        <v>18.4</v>
      </c>
      <c r="D6841" s="36">
        <v>45646.0</v>
      </c>
      <c r="E6841" s="24"/>
      <c r="F6841" s="14">
        <v>18.4</v>
      </c>
      <c r="G6841" s="14">
        <v>274.63</v>
      </c>
      <c r="H6841" s="14">
        <v>1.49</v>
      </c>
      <c r="I6841" s="14" t="s">
        <v>6082</v>
      </c>
      <c r="J6841" s="14">
        <v>0.0</v>
      </c>
      <c r="K6841" s="14" t="s">
        <v>6012</v>
      </c>
      <c r="L6841" s="14">
        <v>0.0</v>
      </c>
    </row>
    <row r="6842">
      <c r="A6842" s="14">
        <v>50.0</v>
      </c>
      <c r="B6842" s="14">
        <v>0.0</v>
      </c>
      <c r="C6842" s="34">
        <v>9.7</v>
      </c>
      <c r="D6842" s="36">
        <v>45647.0</v>
      </c>
      <c r="E6842" s="24"/>
      <c r="F6842" s="14" t="s">
        <v>6012</v>
      </c>
      <c r="G6842" s="14">
        <v>194.0</v>
      </c>
      <c r="H6842" s="14">
        <v>0.0</v>
      </c>
      <c r="I6842" s="14" t="s">
        <v>6082</v>
      </c>
      <c r="J6842" s="14" t="s">
        <v>6012</v>
      </c>
      <c r="K6842" s="14" t="s">
        <v>6012</v>
      </c>
      <c r="L6842" s="14">
        <v>0.0</v>
      </c>
    </row>
    <row r="6843">
      <c r="A6843" s="14">
        <v>51.0</v>
      </c>
      <c r="B6843" s="14">
        <v>0.0</v>
      </c>
      <c r="C6843" s="34">
        <v>12.14</v>
      </c>
      <c r="D6843" s="36">
        <v>45647.0</v>
      </c>
      <c r="E6843" s="24"/>
      <c r="F6843" s="14" t="s">
        <v>6012</v>
      </c>
      <c r="G6843" s="14">
        <v>238.04</v>
      </c>
      <c r="H6843" s="14">
        <v>0.0</v>
      </c>
      <c r="I6843" s="14" t="s">
        <v>6078</v>
      </c>
      <c r="J6843" s="14" t="s">
        <v>6012</v>
      </c>
      <c r="K6843" s="14" t="s">
        <v>6012</v>
      </c>
      <c r="L6843" s="14">
        <v>0.0</v>
      </c>
    </row>
    <row r="6844">
      <c r="A6844" s="14">
        <v>38.0</v>
      </c>
      <c r="B6844" s="14">
        <v>0.0</v>
      </c>
      <c r="C6844" s="34">
        <v>10.85</v>
      </c>
      <c r="D6844" s="36">
        <v>45647.0</v>
      </c>
      <c r="E6844" s="24"/>
      <c r="F6844" s="14" t="s">
        <v>6012</v>
      </c>
      <c r="G6844" s="14">
        <v>285.53</v>
      </c>
      <c r="H6844" s="14">
        <v>0.0</v>
      </c>
      <c r="I6844" s="14" t="s">
        <v>6083</v>
      </c>
      <c r="J6844" s="14" t="s">
        <v>6012</v>
      </c>
      <c r="K6844" s="14" t="s">
        <v>6012</v>
      </c>
      <c r="L6844" s="14">
        <v>0.0</v>
      </c>
    </row>
    <row r="6845">
      <c r="A6845" s="14">
        <v>45.0</v>
      </c>
      <c r="B6845" s="14">
        <v>0.0</v>
      </c>
      <c r="C6845" s="34">
        <v>9.22</v>
      </c>
      <c r="D6845" s="36">
        <v>45648.0</v>
      </c>
      <c r="E6845" s="24"/>
      <c r="F6845" s="14" t="s">
        <v>6012</v>
      </c>
      <c r="G6845" s="14">
        <v>204.89</v>
      </c>
      <c r="H6845" s="14">
        <v>0.0</v>
      </c>
      <c r="I6845" s="14" t="s">
        <v>6078</v>
      </c>
      <c r="J6845" s="14" t="s">
        <v>6012</v>
      </c>
      <c r="K6845" s="14" t="s">
        <v>6012</v>
      </c>
      <c r="L6845" s="14">
        <v>0.0</v>
      </c>
    </row>
    <row r="6846">
      <c r="A6846" s="14">
        <v>33.0</v>
      </c>
      <c r="B6846" s="14">
        <v>1.0</v>
      </c>
      <c r="C6846" s="34">
        <v>6.78</v>
      </c>
      <c r="D6846" s="36">
        <v>45648.0</v>
      </c>
      <c r="E6846" s="24"/>
      <c r="F6846" s="14">
        <v>6.78</v>
      </c>
      <c r="G6846" s="14">
        <v>205.45</v>
      </c>
      <c r="H6846" s="14">
        <v>3.03</v>
      </c>
      <c r="I6846" s="14" t="s">
        <v>6082</v>
      </c>
      <c r="J6846" s="14">
        <v>0.0</v>
      </c>
      <c r="K6846" s="14" t="s">
        <v>6012</v>
      </c>
      <c r="L6846" s="14">
        <v>0.0</v>
      </c>
    </row>
    <row r="6847">
      <c r="A6847" s="14">
        <v>40.0</v>
      </c>
      <c r="B6847" s="14">
        <v>1.0</v>
      </c>
      <c r="C6847" s="34">
        <v>7.14</v>
      </c>
      <c r="D6847" s="36">
        <v>45648.0</v>
      </c>
      <c r="E6847" s="24"/>
      <c r="F6847" s="14">
        <v>7.14</v>
      </c>
      <c r="G6847" s="14">
        <v>178.5</v>
      </c>
      <c r="H6847" s="14">
        <v>2.5</v>
      </c>
      <c r="I6847" s="14" t="s">
        <v>6083</v>
      </c>
      <c r="J6847" s="14">
        <v>0.0</v>
      </c>
      <c r="K6847" s="14" t="s">
        <v>6012</v>
      </c>
      <c r="L6847" s="14">
        <v>0.0</v>
      </c>
    </row>
    <row r="6848">
      <c r="A6848" s="14">
        <v>86.0</v>
      </c>
      <c r="B6848" s="14">
        <v>1.0</v>
      </c>
      <c r="C6848" s="34">
        <v>22.0</v>
      </c>
      <c r="D6848" s="36">
        <v>45649.0</v>
      </c>
      <c r="E6848" s="24"/>
      <c r="F6848" s="14">
        <v>22.0</v>
      </c>
      <c r="G6848" s="14">
        <v>255.81</v>
      </c>
      <c r="H6848" s="14">
        <v>1.16</v>
      </c>
      <c r="I6848" s="14" t="s">
        <v>6082</v>
      </c>
      <c r="J6848" s="14">
        <v>0.0</v>
      </c>
      <c r="K6848" s="14" t="s">
        <v>6012</v>
      </c>
      <c r="L6848" s="14">
        <v>0.0</v>
      </c>
    </row>
    <row r="6849">
      <c r="A6849" s="14">
        <v>136.0</v>
      </c>
      <c r="B6849" s="14">
        <v>1.0</v>
      </c>
      <c r="C6849" s="34">
        <v>23.86</v>
      </c>
      <c r="D6849" s="36">
        <v>45649.0</v>
      </c>
      <c r="E6849" s="24"/>
      <c r="F6849" s="14">
        <v>23.86</v>
      </c>
      <c r="G6849" s="14">
        <v>175.44</v>
      </c>
      <c r="H6849" s="14">
        <v>0.74</v>
      </c>
      <c r="I6849" s="14" t="s">
        <v>6078</v>
      </c>
      <c r="J6849" s="14">
        <v>0.0</v>
      </c>
      <c r="K6849" s="14" t="s">
        <v>6012</v>
      </c>
      <c r="L6849" s="14">
        <v>0.0</v>
      </c>
    </row>
    <row r="6850">
      <c r="A6850" s="14">
        <v>113.0</v>
      </c>
      <c r="B6850" s="14">
        <v>1.0</v>
      </c>
      <c r="C6850" s="34">
        <v>18.67</v>
      </c>
      <c r="D6850" s="36">
        <v>45649.0</v>
      </c>
      <c r="E6850" s="24"/>
      <c r="F6850" s="14">
        <v>18.67</v>
      </c>
      <c r="G6850" s="14">
        <v>165.22</v>
      </c>
      <c r="H6850" s="14">
        <v>0.88</v>
      </c>
      <c r="I6850" s="14" t="s">
        <v>6083</v>
      </c>
      <c r="J6850" s="14">
        <v>0.0</v>
      </c>
      <c r="K6850" s="14" t="s">
        <v>6012</v>
      </c>
      <c r="L6850" s="14">
        <v>0.0</v>
      </c>
    </row>
    <row r="6851">
      <c r="A6851" s="14">
        <v>83.0</v>
      </c>
      <c r="B6851" s="14">
        <v>0.0</v>
      </c>
      <c r="C6851" s="34">
        <v>26.9</v>
      </c>
      <c r="D6851" s="36">
        <v>45650.0</v>
      </c>
      <c r="E6851" s="24"/>
      <c r="F6851" s="14" t="s">
        <v>6012</v>
      </c>
      <c r="G6851" s="14">
        <v>324.1</v>
      </c>
      <c r="H6851" s="14">
        <v>0.0</v>
      </c>
      <c r="I6851" s="14" t="s">
        <v>6082</v>
      </c>
      <c r="J6851" s="14" t="s">
        <v>6012</v>
      </c>
      <c r="K6851" s="14" t="s">
        <v>6012</v>
      </c>
      <c r="L6851" s="14">
        <v>0.0</v>
      </c>
    </row>
    <row r="6852">
      <c r="A6852" s="14">
        <v>166.0</v>
      </c>
      <c r="B6852" s="14">
        <v>0.0</v>
      </c>
      <c r="C6852" s="34">
        <v>25.79</v>
      </c>
      <c r="D6852" s="36">
        <v>45650.0</v>
      </c>
      <c r="E6852" s="24"/>
      <c r="F6852" s="14" t="s">
        <v>6012</v>
      </c>
      <c r="G6852" s="14">
        <v>155.36</v>
      </c>
      <c r="H6852" s="14">
        <v>0.0</v>
      </c>
      <c r="I6852" s="14" t="s">
        <v>6078</v>
      </c>
      <c r="J6852" s="14" t="s">
        <v>6012</v>
      </c>
      <c r="K6852" s="14" t="s">
        <v>6012</v>
      </c>
      <c r="L6852" s="14">
        <v>0.0</v>
      </c>
    </row>
    <row r="6853">
      <c r="A6853" s="14">
        <v>1297.0</v>
      </c>
      <c r="B6853" s="14">
        <v>14.0</v>
      </c>
      <c r="C6853" s="34">
        <v>22.88</v>
      </c>
      <c r="D6853" s="36">
        <v>45650.0</v>
      </c>
      <c r="E6853" s="24"/>
      <c r="F6853" s="14">
        <v>1.63</v>
      </c>
      <c r="G6853" s="14">
        <v>17.64</v>
      </c>
      <c r="H6853" s="14">
        <v>1.08</v>
      </c>
      <c r="I6853" s="14" t="s">
        <v>6084</v>
      </c>
      <c r="J6853" s="14">
        <v>21.43</v>
      </c>
      <c r="K6853" s="14">
        <v>7.63</v>
      </c>
      <c r="L6853" s="14">
        <v>0.0</v>
      </c>
    </row>
    <row r="6854">
      <c r="A6854" s="14">
        <v>89.0</v>
      </c>
      <c r="B6854" s="14">
        <v>1.0</v>
      </c>
      <c r="C6854" s="34">
        <v>20.87</v>
      </c>
      <c r="D6854" s="36">
        <v>45650.0</v>
      </c>
      <c r="E6854" s="24"/>
      <c r="F6854" s="14">
        <v>20.87</v>
      </c>
      <c r="G6854" s="14">
        <v>234.49</v>
      </c>
      <c r="H6854" s="14">
        <v>1.12</v>
      </c>
      <c r="I6854" s="14" t="s">
        <v>6083</v>
      </c>
      <c r="J6854" s="14">
        <v>0.0</v>
      </c>
      <c r="K6854" s="14" t="s">
        <v>6012</v>
      </c>
      <c r="L6854" s="14">
        <v>0.0</v>
      </c>
    </row>
    <row r="6855">
      <c r="A6855" s="14">
        <v>65.0</v>
      </c>
      <c r="B6855" s="14">
        <v>0.0</v>
      </c>
      <c r="C6855" s="34">
        <v>24.29</v>
      </c>
      <c r="D6855" s="36">
        <v>45651.0</v>
      </c>
      <c r="E6855" s="24"/>
      <c r="F6855" s="14" t="s">
        <v>6012</v>
      </c>
      <c r="G6855" s="14">
        <v>373.69</v>
      </c>
      <c r="H6855" s="14">
        <v>0.0</v>
      </c>
      <c r="I6855" s="14" t="s">
        <v>6078</v>
      </c>
      <c r="J6855" s="14" t="s">
        <v>6012</v>
      </c>
      <c r="K6855" s="14" t="s">
        <v>6012</v>
      </c>
      <c r="L6855" s="14">
        <v>0.0</v>
      </c>
    </row>
    <row r="6856">
      <c r="A6856" s="14">
        <v>1303.0</v>
      </c>
      <c r="B6856" s="14">
        <v>8.0</v>
      </c>
      <c r="C6856" s="34">
        <v>22.99</v>
      </c>
      <c r="D6856" s="36">
        <v>45651.0</v>
      </c>
      <c r="E6856" s="24"/>
      <c r="F6856" s="14">
        <v>2.87</v>
      </c>
      <c r="G6856" s="14">
        <v>17.64</v>
      </c>
      <c r="H6856" s="14">
        <v>0.61</v>
      </c>
      <c r="I6856" s="14" t="s">
        <v>6084</v>
      </c>
      <c r="J6856" s="14">
        <v>25.0</v>
      </c>
      <c r="K6856" s="14">
        <v>11.5</v>
      </c>
      <c r="L6856" s="14">
        <v>0.0</v>
      </c>
    </row>
    <row r="6857">
      <c r="A6857" s="14">
        <v>59.0</v>
      </c>
      <c r="B6857" s="14">
        <v>0.0</v>
      </c>
      <c r="C6857" s="34">
        <v>21.05</v>
      </c>
      <c r="D6857" s="36">
        <v>45651.0</v>
      </c>
      <c r="E6857" s="24"/>
      <c r="F6857" s="14" t="s">
        <v>6012</v>
      </c>
      <c r="G6857" s="14">
        <v>356.78</v>
      </c>
      <c r="H6857" s="14">
        <v>0.0</v>
      </c>
      <c r="I6857" s="14" t="s">
        <v>6083</v>
      </c>
      <c r="J6857" s="14" t="s">
        <v>6012</v>
      </c>
      <c r="K6857" s="14" t="s">
        <v>6012</v>
      </c>
      <c r="L6857" s="14">
        <v>0.0</v>
      </c>
    </row>
    <row r="6858">
      <c r="A6858" s="14">
        <v>54.0</v>
      </c>
      <c r="B6858" s="14">
        <v>1.0</v>
      </c>
      <c r="C6858" s="34">
        <v>23.82</v>
      </c>
      <c r="D6858" s="36">
        <v>45651.0</v>
      </c>
      <c r="E6858" s="24"/>
      <c r="F6858" s="14">
        <v>23.82</v>
      </c>
      <c r="G6858" s="14">
        <v>441.11</v>
      </c>
      <c r="H6858" s="14">
        <v>1.85</v>
      </c>
      <c r="I6858" s="14" t="s">
        <v>6082</v>
      </c>
      <c r="J6858" s="14">
        <v>0.0</v>
      </c>
      <c r="K6858" s="14" t="s">
        <v>6012</v>
      </c>
      <c r="L6858" s="14">
        <v>0.0</v>
      </c>
    </row>
    <row r="6859">
      <c r="A6859" s="14">
        <v>104.0</v>
      </c>
      <c r="B6859" s="14">
        <v>1.0</v>
      </c>
      <c r="C6859" s="34">
        <v>22.89</v>
      </c>
      <c r="D6859" s="36">
        <v>45652.0</v>
      </c>
      <c r="E6859" s="24"/>
      <c r="F6859" s="14">
        <v>22.89</v>
      </c>
      <c r="G6859" s="14">
        <v>220.1</v>
      </c>
      <c r="H6859" s="14">
        <v>0.96</v>
      </c>
      <c r="I6859" s="14" t="s">
        <v>6078</v>
      </c>
      <c r="J6859" s="14">
        <v>0.0</v>
      </c>
      <c r="K6859" s="14" t="s">
        <v>6012</v>
      </c>
      <c r="L6859" s="14">
        <v>0.0</v>
      </c>
    </row>
    <row r="6860">
      <c r="A6860" s="14">
        <v>584.0</v>
      </c>
      <c r="B6860" s="14">
        <v>5.0</v>
      </c>
      <c r="C6860" s="34">
        <v>10.2</v>
      </c>
      <c r="D6860" s="36">
        <v>45652.0</v>
      </c>
      <c r="E6860" s="24"/>
      <c r="F6860" s="14">
        <v>2.04</v>
      </c>
      <c r="G6860" s="14">
        <v>17.47</v>
      </c>
      <c r="H6860" s="14">
        <v>0.86</v>
      </c>
      <c r="I6860" s="14" t="s">
        <v>6084</v>
      </c>
      <c r="J6860" s="14">
        <v>60.0</v>
      </c>
      <c r="K6860" s="14">
        <v>3.4</v>
      </c>
      <c r="L6860" s="14">
        <v>0.0</v>
      </c>
    </row>
    <row r="6861">
      <c r="A6861" s="14">
        <v>59.0</v>
      </c>
      <c r="B6861" s="14">
        <v>0.0</v>
      </c>
      <c r="C6861" s="34">
        <v>18.29</v>
      </c>
      <c r="D6861" s="36">
        <v>45652.0</v>
      </c>
      <c r="E6861" s="24"/>
      <c r="F6861" s="14" t="s">
        <v>6012</v>
      </c>
      <c r="G6861" s="14">
        <v>310.0</v>
      </c>
      <c r="H6861" s="14">
        <v>0.0</v>
      </c>
      <c r="I6861" s="14" t="s">
        <v>6083</v>
      </c>
      <c r="J6861" s="14" t="s">
        <v>6012</v>
      </c>
      <c r="K6861" s="14" t="s">
        <v>6012</v>
      </c>
      <c r="L6861" s="14">
        <v>0.0</v>
      </c>
    </row>
    <row r="6862">
      <c r="A6862" s="14">
        <v>48.0</v>
      </c>
      <c r="B6862" s="14">
        <v>0.0</v>
      </c>
      <c r="C6862" s="34">
        <v>18.97</v>
      </c>
      <c r="D6862" s="36">
        <v>45652.0</v>
      </c>
      <c r="E6862" s="24"/>
      <c r="F6862" s="14" t="s">
        <v>6012</v>
      </c>
      <c r="G6862" s="14">
        <v>395.21</v>
      </c>
      <c r="H6862" s="14">
        <v>0.0</v>
      </c>
      <c r="I6862" s="14" t="s">
        <v>6082</v>
      </c>
      <c r="J6862" s="14" t="s">
        <v>6012</v>
      </c>
      <c r="K6862" s="14" t="s">
        <v>6012</v>
      </c>
      <c r="L6862" s="14">
        <v>0.0</v>
      </c>
    </row>
    <row r="6863">
      <c r="A6863" s="14">
        <v>98.0</v>
      </c>
      <c r="B6863" s="14">
        <v>1.0</v>
      </c>
      <c r="C6863" s="34">
        <v>20.33</v>
      </c>
      <c r="D6863" s="36">
        <v>45653.0</v>
      </c>
      <c r="E6863" s="24"/>
      <c r="F6863" s="14">
        <v>20.33</v>
      </c>
      <c r="G6863" s="14">
        <v>207.45</v>
      </c>
      <c r="H6863" s="14">
        <v>1.02</v>
      </c>
      <c r="I6863" s="14" t="s">
        <v>6078</v>
      </c>
      <c r="J6863" s="14">
        <v>0.0</v>
      </c>
      <c r="K6863" s="14" t="s">
        <v>6012</v>
      </c>
      <c r="L6863" s="14">
        <v>0.0</v>
      </c>
    </row>
    <row r="6864">
      <c r="A6864" s="14">
        <v>68.0</v>
      </c>
      <c r="B6864" s="14">
        <v>0.0</v>
      </c>
      <c r="C6864" s="34">
        <v>17.77</v>
      </c>
      <c r="D6864" s="36">
        <v>45653.0</v>
      </c>
      <c r="E6864" s="24"/>
      <c r="F6864" s="14" t="s">
        <v>6012</v>
      </c>
      <c r="G6864" s="14">
        <v>261.32</v>
      </c>
      <c r="H6864" s="14">
        <v>0.0</v>
      </c>
      <c r="I6864" s="14" t="s">
        <v>6083</v>
      </c>
      <c r="J6864" s="14" t="s">
        <v>6012</v>
      </c>
      <c r="K6864" s="14" t="s">
        <v>6012</v>
      </c>
      <c r="L6864" s="14">
        <v>0.0</v>
      </c>
    </row>
    <row r="6865">
      <c r="A6865" s="14">
        <v>45.0</v>
      </c>
      <c r="B6865" s="14">
        <v>0.0</v>
      </c>
      <c r="C6865" s="34">
        <v>17.23</v>
      </c>
      <c r="D6865" s="36">
        <v>45653.0</v>
      </c>
      <c r="E6865" s="24"/>
      <c r="F6865" s="14" t="s">
        <v>6012</v>
      </c>
      <c r="G6865" s="14">
        <v>382.89</v>
      </c>
      <c r="H6865" s="14">
        <v>0.0</v>
      </c>
      <c r="I6865" s="14" t="s">
        <v>6082</v>
      </c>
      <c r="J6865" s="14" t="s">
        <v>6012</v>
      </c>
      <c r="K6865" s="14" t="s">
        <v>6012</v>
      </c>
      <c r="L6865" s="14">
        <v>0.0</v>
      </c>
    </row>
    <row r="6866">
      <c r="A6866" s="14">
        <v>1101.0</v>
      </c>
      <c r="B6866" s="14">
        <v>7.0</v>
      </c>
      <c r="C6866" s="34">
        <v>25.03</v>
      </c>
      <c r="D6866" s="36">
        <v>45653.0</v>
      </c>
      <c r="E6866" s="24"/>
      <c r="F6866" s="14">
        <v>3.58</v>
      </c>
      <c r="G6866" s="14">
        <v>22.73</v>
      </c>
      <c r="H6866" s="14">
        <v>0.64</v>
      </c>
      <c r="I6866" s="14" t="s">
        <v>6084</v>
      </c>
      <c r="J6866" s="14">
        <v>14.29</v>
      </c>
      <c r="K6866" s="14">
        <v>25.03</v>
      </c>
      <c r="L6866" s="14">
        <v>0.0</v>
      </c>
    </row>
    <row r="6867">
      <c r="A6867" s="14">
        <v>41.0</v>
      </c>
      <c r="B6867" s="14">
        <v>0.0</v>
      </c>
      <c r="C6867" s="34">
        <v>9.58</v>
      </c>
      <c r="D6867" s="36">
        <v>45654.0</v>
      </c>
      <c r="E6867" s="24"/>
      <c r="F6867" s="14" t="s">
        <v>6012</v>
      </c>
      <c r="G6867" s="14">
        <v>233.66</v>
      </c>
      <c r="H6867" s="14">
        <v>0.0</v>
      </c>
      <c r="I6867" s="14" t="s">
        <v>6082</v>
      </c>
      <c r="J6867" s="14" t="s">
        <v>6012</v>
      </c>
      <c r="K6867" s="14" t="s">
        <v>6012</v>
      </c>
      <c r="L6867" s="14">
        <v>0.0</v>
      </c>
    </row>
    <row r="6868">
      <c r="A6868" s="14">
        <v>51.0</v>
      </c>
      <c r="B6868" s="14">
        <v>0.0</v>
      </c>
      <c r="C6868" s="34">
        <v>8.84</v>
      </c>
      <c r="D6868" s="36">
        <v>45654.0</v>
      </c>
      <c r="E6868" s="24"/>
      <c r="F6868" s="14" t="s">
        <v>6012</v>
      </c>
      <c r="G6868" s="14">
        <v>173.33</v>
      </c>
      <c r="H6868" s="14">
        <v>0.0</v>
      </c>
      <c r="I6868" s="14" t="s">
        <v>6083</v>
      </c>
      <c r="J6868" s="14" t="s">
        <v>6012</v>
      </c>
      <c r="K6868" s="14" t="s">
        <v>6012</v>
      </c>
      <c r="L6868" s="14">
        <v>0.0</v>
      </c>
    </row>
    <row r="6869">
      <c r="A6869" s="14">
        <v>57.0</v>
      </c>
      <c r="B6869" s="14">
        <v>0.0</v>
      </c>
      <c r="C6869" s="34">
        <v>13.86</v>
      </c>
      <c r="D6869" s="36">
        <v>45654.0</v>
      </c>
      <c r="E6869" s="24"/>
      <c r="F6869" s="14" t="s">
        <v>6012</v>
      </c>
      <c r="G6869" s="14">
        <v>243.16</v>
      </c>
      <c r="H6869" s="14">
        <v>0.0</v>
      </c>
      <c r="I6869" s="14" t="s">
        <v>6078</v>
      </c>
      <c r="J6869" s="14" t="s">
        <v>6012</v>
      </c>
      <c r="K6869" s="14" t="s">
        <v>6012</v>
      </c>
      <c r="L6869" s="14">
        <v>0.0</v>
      </c>
    </row>
    <row r="6870">
      <c r="A6870" s="14">
        <v>252.0</v>
      </c>
      <c r="B6870" s="14">
        <v>0.0</v>
      </c>
      <c r="C6870" s="34">
        <v>19.41</v>
      </c>
      <c r="D6870" s="36">
        <v>45654.0</v>
      </c>
      <c r="E6870" s="24"/>
      <c r="F6870" s="14" t="s">
        <v>6012</v>
      </c>
      <c r="G6870" s="14">
        <v>77.02</v>
      </c>
      <c r="H6870" s="14">
        <v>0.0</v>
      </c>
      <c r="I6870" s="14" t="s">
        <v>6084</v>
      </c>
      <c r="J6870" s="14" t="s">
        <v>6012</v>
      </c>
      <c r="K6870" s="14" t="s">
        <v>6012</v>
      </c>
      <c r="L6870" s="14">
        <v>0.0</v>
      </c>
    </row>
    <row r="6871">
      <c r="A6871" s="14">
        <v>43.0</v>
      </c>
      <c r="B6871" s="14">
        <v>0.0</v>
      </c>
      <c r="C6871" s="34">
        <v>8.98</v>
      </c>
      <c r="D6871" s="36">
        <v>45655.0</v>
      </c>
      <c r="E6871" s="24"/>
      <c r="F6871" s="14" t="s">
        <v>6012</v>
      </c>
      <c r="G6871" s="14">
        <v>208.84</v>
      </c>
      <c r="H6871" s="14">
        <v>0.0</v>
      </c>
      <c r="I6871" s="14" t="s">
        <v>6078</v>
      </c>
      <c r="J6871" s="14" t="s">
        <v>6012</v>
      </c>
      <c r="K6871" s="14" t="s">
        <v>6012</v>
      </c>
      <c r="L6871" s="14">
        <v>0.0</v>
      </c>
    </row>
    <row r="6872">
      <c r="A6872" s="14">
        <v>43.0</v>
      </c>
      <c r="B6872" s="14">
        <v>1.0</v>
      </c>
      <c r="C6872" s="34">
        <v>6.51</v>
      </c>
      <c r="D6872" s="36">
        <v>45655.0</v>
      </c>
      <c r="E6872" s="24"/>
      <c r="F6872" s="14">
        <v>6.51</v>
      </c>
      <c r="G6872" s="14">
        <v>151.4</v>
      </c>
      <c r="H6872" s="14">
        <v>2.33</v>
      </c>
      <c r="I6872" s="14" t="s">
        <v>6083</v>
      </c>
      <c r="J6872" s="14">
        <v>0.0</v>
      </c>
      <c r="K6872" s="14" t="s">
        <v>6012</v>
      </c>
      <c r="L6872" s="14">
        <v>0.0</v>
      </c>
    </row>
    <row r="6873">
      <c r="A6873" s="14">
        <v>35.0</v>
      </c>
      <c r="B6873" s="14">
        <v>1.0</v>
      </c>
      <c r="C6873" s="34">
        <v>7.5</v>
      </c>
      <c r="D6873" s="36">
        <v>45655.0</v>
      </c>
      <c r="E6873" s="24"/>
      <c r="F6873" s="14">
        <v>7.5</v>
      </c>
      <c r="G6873" s="14">
        <v>214.29</v>
      </c>
      <c r="H6873" s="14">
        <v>2.86</v>
      </c>
      <c r="I6873" s="14" t="s">
        <v>6082</v>
      </c>
      <c r="J6873" s="14">
        <v>0.0</v>
      </c>
      <c r="K6873" s="14" t="s">
        <v>6012</v>
      </c>
      <c r="L6873" s="14">
        <v>0.0</v>
      </c>
    </row>
    <row r="6874">
      <c r="A6874" s="14">
        <v>56.0</v>
      </c>
      <c r="B6874" s="14">
        <v>2.0</v>
      </c>
      <c r="C6874" s="34">
        <v>8.81</v>
      </c>
      <c r="D6874" s="36">
        <v>45655.0</v>
      </c>
      <c r="E6874" s="24"/>
      <c r="F6874" s="14">
        <v>4.4</v>
      </c>
      <c r="G6874" s="14">
        <v>157.32</v>
      </c>
      <c r="H6874" s="14">
        <v>3.57</v>
      </c>
      <c r="I6874" s="14" t="s">
        <v>6084</v>
      </c>
      <c r="J6874" s="14">
        <v>0.0</v>
      </c>
      <c r="K6874" s="14" t="s">
        <v>6012</v>
      </c>
      <c r="L6874" s="14">
        <v>0.0</v>
      </c>
    </row>
    <row r="6875">
      <c r="A6875" s="14">
        <v>109.0</v>
      </c>
      <c r="B6875" s="14">
        <v>0.0</v>
      </c>
      <c r="C6875" s="34">
        <v>19.73</v>
      </c>
      <c r="D6875" s="36">
        <v>45656.0</v>
      </c>
      <c r="E6875" s="24"/>
      <c r="F6875" s="14" t="s">
        <v>6012</v>
      </c>
      <c r="G6875" s="14">
        <v>181.01</v>
      </c>
      <c r="H6875" s="14">
        <v>0.0</v>
      </c>
      <c r="I6875" s="14" t="s">
        <v>6083</v>
      </c>
      <c r="J6875" s="14" t="s">
        <v>6012</v>
      </c>
      <c r="K6875" s="14" t="s">
        <v>6012</v>
      </c>
      <c r="L6875" s="14">
        <v>0.0</v>
      </c>
    </row>
    <row r="6876">
      <c r="A6876" s="14">
        <v>95.0</v>
      </c>
      <c r="B6876" s="14">
        <v>0.0</v>
      </c>
      <c r="C6876" s="34">
        <v>20.96</v>
      </c>
      <c r="D6876" s="36">
        <v>45656.0</v>
      </c>
      <c r="E6876" s="24"/>
      <c r="F6876" s="14" t="s">
        <v>6012</v>
      </c>
      <c r="G6876" s="14">
        <v>220.63</v>
      </c>
      <c r="H6876" s="14">
        <v>0.0</v>
      </c>
      <c r="I6876" s="14" t="s">
        <v>6082</v>
      </c>
      <c r="J6876" s="14" t="s">
        <v>6012</v>
      </c>
      <c r="K6876" s="14" t="s">
        <v>6012</v>
      </c>
      <c r="L6876" s="14">
        <v>0.0</v>
      </c>
    </row>
    <row r="6877">
      <c r="A6877" s="14">
        <v>102.0</v>
      </c>
      <c r="B6877" s="14">
        <v>0.0</v>
      </c>
      <c r="C6877" s="34">
        <v>22.69</v>
      </c>
      <c r="D6877" s="36">
        <v>45656.0</v>
      </c>
      <c r="E6877" s="24"/>
      <c r="F6877" s="14" t="s">
        <v>6012</v>
      </c>
      <c r="G6877" s="14">
        <v>222.45</v>
      </c>
      <c r="H6877" s="14">
        <v>0.0</v>
      </c>
      <c r="I6877" s="14" t="s">
        <v>6078</v>
      </c>
      <c r="J6877" s="14" t="s">
        <v>6012</v>
      </c>
      <c r="K6877" s="14" t="s">
        <v>6012</v>
      </c>
      <c r="L6877" s="14">
        <v>0.0</v>
      </c>
    </row>
    <row r="6878">
      <c r="A6878" s="14">
        <v>397.0</v>
      </c>
      <c r="B6878" s="14">
        <v>0.0</v>
      </c>
      <c r="C6878" s="34">
        <v>19.55</v>
      </c>
      <c r="D6878" s="36">
        <v>45656.0</v>
      </c>
      <c r="E6878" s="24"/>
      <c r="F6878" s="14" t="s">
        <v>6012</v>
      </c>
      <c r="G6878" s="14">
        <v>49.24</v>
      </c>
      <c r="H6878" s="14">
        <v>0.0</v>
      </c>
      <c r="I6878" s="14" t="s">
        <v>6084</v>
      </c>
      <c r="J6878" s="14" t="s">
        <v>6012</v>
      </c>
      <c r="K6878" s="14">
        <v>19.55</v>
      </c>
      <c r="L6878" s="14">
        <v>0.0</v>
      </c>
    </row>
    <row r="6879">
      <c r="A6879" s="14">
        <v>95.0</v>
      </c>
      <c r="B6879" s="14">
        <v>1.0</v>
      </c>
      <c r="C6879" s="34">
        <v>19.89</v>
      </c>
      <c r="D6879" s="36">
        <v>45657.0</v>
      </c>
      <c r="E6879" s="24"/>
      <c r="F6879" s="14">
        <v>19.89</v>
      </c>
      <c r="G6879" s="14">
        <v>209.37</v>
      </c>
      <c r="H6879" s="14">
        <v>1.05</v>
      </c>
      <c r="I6879" s="14" t="s">
        <v>6083</v>
      </c>
      <c r="J6879" s="14">
        <v>0.0</v>
      </c>
      <c r="K6879" s="14" t="s">
        <v>6012</v>
      </c>
      <c r="L6879" s="14">
        <v>0.0</v>
      </c>
    </row>
    <row r="6880">
      <c r="A6880" s="14">
        <v>307.0</v>
      </c>
      <c r="B6880" s="14">
        <v>1.0</v>
      </c>
      <c r="C6880" s="34">
        <v>21.16</v>
      </c>
      <c r="D6880" s="36">
        <v>45657.0</v>
      </c>
      <c r="E6880" s="24"/>
      <c r="F6880" s="14">
        <v>21.16</v>
      </c>
      <c r="G6880" s="14">
        <v>68.93</v>
      </c>
      <c r="H6880" s="14">
        <v>0.33</v>
      </c>
      <c r="I6880" s="14" t="s">
        <v>6084</v>
      </c>
      <c r="J6880" s="14">
        <v>100.0</v>
      </c>
      <c r="K6880" s="14">
        <v>21.16</v>
      </c>
      <c r="L6880" s="14">
        <v>0.0</v>
      </c>
    </row>
    <row r="6881">
      <c r="A6881" s="14">
        <v>124.0</v>
      </c>
      <c r="B6881" s="14">
        <v>0.0</v>
      </c>
      <c r="C6881" s="34">
        <v>25.3</v>
      </c>
      <c r="D6881" s="36">
        <v>45657.0</v>
      </c>
      <c r="E6881" s="24"/>
      <c r="F6881" s="14" t="s">
        <v>6012</v>
      </c>
      <c r="G6881" s="14">
        <v>204.03</v>
      </c>
      <c r="H6881" s="14">
        <v>0.0</v>
      </c>
      <c r="I6881" s="14" t="s">
        <v>6078</v>
      </c>
      <c r="J6881" s="14" t="s">
        <v>6012</v>
      </c>
      <c r="K6881" s="14" t="s">
        <v>6012</v>
      </c>
      <c r="L6881" s="14">
        <v>0.0</v>
      </c>
    </row>
    <row r="6882">
      <c r="A6882" s="14">
        <v>87.0</v>
      </c>
      <c r="B6882" s="14">
        <v>2.0</v>
      </c>
      <c r="C6882" s="34">
        <v>22.34</v>
      </c>
      <c r="D6882" s="36">
        <v>45657.0</v>
      </c>
      <c r="E6882" s="24"/>
      <c r="F6882" s="14">
        <v>11.17</v>
      </c>
      <c r="G6882" s="14">
        <v>256.78</v>
      </c>
      <c r="H6882" s="14">
        <v>2.3</v>
      </c>
      <c r="I6882" s="14" t="s">
        <v>6082</v>
      </c>
      <c r="J6882" s="14">
        <v>0.0</v>
      </c>
      <c r="K6882" s="14" t="s">
        <v>6012</v>
      </c>
      <c r="L6882" s="14">
        <v>0.0</v>
      </c>
    </row>
    <row r="6883">
      <c r="A6883" s="14">
        <v>109.0</v>
      </c>
      <c r="B6883" s="14">
        <v>1.0</v>
      </c>
      <c r="C6883" s="34">
        <v>21.72</v>
      </c>
      <c r="D6883" s="36">
        <v>45658.0</v>
      </c>
      <c r="E6883" s="24"/>
      <c r="F6883" s="14">
        <v>21.72</v>
      </c>
      <c r="G6883" s="14">
        <v>199.27</v>
      </c>
      <c r="H6883" s="14">
        <v>0.92</v>
      </c>
      <c r="I6883" s="14" t="s">
        <v>6082</v>
      </c>
      <c r="J6883" s="14">
        <v>0.0</v>
      </c>
      <c r="K6883" s="14" t="s">
        <v>6012</v>
      </c>
      <c r="L6883" s="14">
        <v>0.0</v>
      </c>
    </row>
    <row r="6884">
      <c r="A6884" s="14">
        <v>90.0</v>
      </c>
      <c r="B6884" s="14">
        <v>2.0</v>
      </c>
      <c r="C6884" s="34">
        <v>22.1</v>
      </c>
      <c r="D6884" s="36">
        <v>45658.0</v>
      </c>
      <c r="E6884" s="24"/>
      <c r="F6884" s="14">
        <v>11.05</v>
      </c>
      <c r="G6884" s="14">
        <v>245.56</v>
      </c>
      <c r="H6884" s="14">
        <v>2.22</v>
      </c>
      <c r="I6884" s="14" t="s">
        <v>6078</v>
      </c>
      <c r="J6884" s="14">
        <v>0.0</v>
      </c>
      <c r="K6884" s="14" t="s">
        <v>6012</v>
      </c>
      <c r="L6884" s="14">
        <v>0.0</v>
      </c>
    </row>
    <row r="6885">
      <c r="A6885" s="14">
        <v>540.0</v>
      </c>
      <c r="B6885" s="14">
        <v>2.0</v>
      </c>
      <c r="C6885" s="34">
        <v>20.66</v>
      </c>
      <c r="D6885" s="36">
        <v>45658.0</v>
      </c>
      <c r="E6885" s="24"/>
      <c r="F6885" s="14">
        <v>10.33</v>
      </c>
      <c r="G6885" s="14">
        <v>38.26</v>
      </c>
      <c r="H6885" s="14">
        <v>0.37</v>
      </c>
      <c r="I6885" s="14" t="s">
        <v>6084</v>
      </c>
      <c r="J6885" s="14">
        <v>50.0</v>
      </c>
      <c r="K6885" s="14">
        <v>20.66</v>
      </c>
      <c r="L6885" s="14">
        <v>0.0</v>
      </c>
    </row>
    <row r="6886">
      <c r="A6886" s="14">
        <v>69.0</v>
      </c>
      <c r="B6886" s="14">
        <v>0.0</v>
      </c>
      <c r="C6886" s="34">
        <v>18.24</v>
      </c>
      <c r="D6886" s="36">
        <v>45658.0</v>
      </c>
      <c r="E6886" s="24"/>
      <c r="F6886" s="14" t="s">
        <v>6012</v>
      </c>
      <c r="G6886" s="14">
        <v>264.35</v>
      </c>
      <c r="H6886" s="14">
        <v>0.0</v>
      </c>
      <c r="I6886" s="14" t="s">
        <v>6083</v>
      </c>
      <c r="J6886" s="14" t="s">
        <v>6012</v>
      </c>
      <c r="K6886" s="14" t="s">
        <v>6012</v>
      </c>
      <c r="L6886" s="14">
        <v>0.0</v>
      </c>
    </row>
    <row r="6887">
      <c r="A6887" s="14">
        <v>707.0</v>
      </c>
      <c r="B6887" s="14">
        <v>2.0</v>
      </c>
      <c r="C6887" s="34">
        <v>20.13</v>
      </c>
      <c r="D6887" s="36">
        <v>45659.0</v>
      </c>
      <c r="E6887" s="24"/>
      <c r="F6887" s="14">
        <v>10.06</v>
      </c>
      <c r="G6887" s="14">
        <v>28.47</v>
      </c>
      <c r="H6887" s="14">
        <v>0.28</v>
      </c>
      <c r="I6887" s="14" t="s">
        <v>6084</v>
      </c>
      <c r="J6887" s="14">
        <v>50.0</v>
      </c>
      <c r="K6887" s="14">
        <v>20.13</v>
      </c>
      <c r="L6887" s="14">
        <v>0.0</v>
      </c>
    </row>
    <row r="6888">
      <c r="A6888" s="14">
        <v>285.0</v>
      </c>
      <c r="B6888" s="14">
        <v>2.0</v>
      </c>
      <c r="C6888" s="34">
        <v>16.05</v>
      </c>
      <c r="D6888" s="36">
        <v>45659.0</v>
      </c>
      <c r="E6888" s="24"/>
      <c r="F6888" s="14">
        <v>8.02</v>
      </c>
      <c r="G6888" s="14">
        <v>56.32</v>
      </c>
      <c r="H6888" s="14">
        <v>0.7</v>
      </c>
      <c r="I6888" s="14" t="s">
        <v>6083</v>
      </c>
      <c r="J6888" s="14">
        <v>0.0</v>
      </c>
      <c r="K6888" s="14" t="s">
        <v>6012</v>
      </c>
      <c r="L6888" s="14">
        <v>0.0</v>
      </c>
    </row>
    <row r="6889">
      <c r="A6889" s="14">
        <v>142.0</v>
      </c>
      <c r="B6889" s="14">
        <v>1.0</v>
      </c>
      <c r="C6889" s="34">
        <v>23.5</v>
      </c>
      <c r="D6889" s="36">
        <v>45659.0</v>
      </c>
      <c r="E6889" s="24"/>
      <c r="F6889" s="14">
        <v>23.5</v>
      </c>
      <c r="G6889" s="14">
        <v>165.49</v>
      </c>
      <c r="H6889" s="14">
        <v>0.7</v>
      </c>
      <c r="I6889" s="14" t="s">
        <v>6082</v>
      </c>
      <c r="J6889" s="14">
        <v>0.0</v>
      </c>
      <c r="K6889" s="14" t="s">
        <v>6012</v>
      </c>
      <c r="L6889" s="14">
        <v>0.0</v>
      </c>
    </row>
    <row r="6890">
      <c r="A6890" s="14">
        <v>352.0</v>
      </c>
      <c r="B6890" s="14">
        <v>2.0</v>
      </c>
      <c r="C6890" s="34">
        <v>20.66</v>
      </c>
      <c r="D6890" s="36">
        <v>45659.0</v>
      </c>
      <c r="E6890" s="24"/>
      <c r="F6890" s="14">
        <v>10.33</v>
      </c>
      <c r="G6890" s="14">
        <v>58.69</v>
      </c>
      <c r="H6890" s="14">
        <v>0.57</v>
      </c>
      <c r="I6890" s="14" t="s">
        <v>6078</v>
      </c>
      <c r="J6890" s="14">
        <v>0.0</v>
      </c>
      <c r="K6890" s="14" t="s">
        <v>6012</v>
      </c>
      <c r="L6890" s="14">
        <v>0.0</v>
      </c>
    </row>
    <row r="6891">
      <c r="A6891" s="14">
        <v>107.0</v>
      </c>
      <c r="B6891" s="14">
        <v>1.0</v>
      </c>
      <c r="C6891" s="34">
        <v>19.56</v>
      </c>
      <c r="D6891" s="36">
        <v>45660.0</v>
      </c>
      <c r="E6891" s="24"/>
      <c r="F6891" s="14">
        <v>19.56</v>
      </c>
      <c r="G6891" s="14">
        <v>182.8</v>
      </c>
      <c r="H6891" s="14">
        <v>0.93</v>
      </c>
      <c r="I6891" s="14" t="s">
        <v>6082</v>
      </c>
      <c r="J6891" s="14">
        <v>0.0</v>
      </c>
      <c r="K6891" s="14" t="s">
        <v>6012</v>
      </c>
      <c r="L6891" s="14">
        <v>0.0</v>
      </c>
    </row>
    <row r="6892">
      <c r="A6892" s="14">
        <v>131.0</v>
      </c>
      <c r="B6892" s="14">
        <v>0.0</v>
      </c>
      <c r="C6892" s="34">
        <v>16.04</v>
      </c>
      <c r="D6892" s="36">
        <v>45660.0</v>
      </c>
      <c r="E6892" s="24"/>
      <c r="F6892" s="14" t="s">
        <v>6012</v>
      </c>
      <c r="G6892" s="14">
        <v>122.44</v>
      </c>
      <c r="H6892" s="14">
        <v>0.0</v>
      </c>
      <c r="I6892" s="14" t="s">
        <v>6083</v>
      </c>
      <c r="J6892" s="14" t="s">
        <v>6012</v>
      </c>
      <c r="K6892" s="14" t="s">
        <v>6012</v>
      </c>
      <c r="L6892" s="14">
        <v>0.0</v>
      </c>
    </row>
    <row r="6893">
      <c r="A6893" s="14">
        <v>152.0</v>
      </c>
      <c r="B6893" s="14">
        <v>0.0</v>
      </c>
      <c r="C6893" s="34">
        <v>21.34</v>
      </c>
      <c r="D6893" s="36">
        <v>45660.0</v>
      </c>
      <c r="E6893" s="24"/>
      <c r="F6893" s="14" t="s">
        <v>6012</v>
      </c>
      <c r="G6893" s="14">
        <v>140.39</v>
      </c>
      <c r="H6893" s="14">
        <v>0.0</v>
      </c>
      <c r="I6893" s="14" t="s">
        <v>6078</v>
      </c>
      <c r="J6893" s="14" t="s">
        <v>6012</v>
      </c>
      <c r="K6893" s="14" t="s">
        <v>6012</v>
      </c>
      <c r="L6893" s="14">
        <v>0.0</v>
      </c>
    </row>
    <row r="6894">
      <c r="A6894" s="14">
        <v>635.0</v>
      </c>
      <c r="B6894" s="14">
        <v>2.0</v>
      </c>
      <c r="C6894" s="34">
        <v>19.99</v>
      </c>
      <c r="D6894" s="36">
        <v>45660.0</v>
      </c>
      <c r="E6894" s="24"/>
      <c r="F6894" s="14">
        <v>9.99</v>
      </c>
      <c r="G6894" s="14">
        <v>31.48</v>
      </c>
      <c r="H6894" s="14">
        <v>0.31</v>
      </c>
      <c r="I6894" s="14" t="s">
        <v>6084</v>
      </c>
      <c r="J6894" s="14">
        <v>0.0</v>
      </c>
      <c r="K6894" s="14" t="s">
        <v>6012</v>
      </c>
      <c r="L6894" s="14">
        <v>0.0</v>
      </c>
    </row>
    <row r="6895">
      <c r="A6895" s="14">
        <v>66.0</v>
      </c>
      <c r="B6895" s="14">
        <v>0.0</v>
      </c>
      <c r="C6895" s="34">
        <v>12.0</v>
      </c>
      <c r="D6895" s="36">
        <v>45661.0</v>
      </c>
      <c r="E6895" s="24"/>
      <c r="F6895" s="14" t="s">
        <v>6012</v>
      </c>
      <c r="G6895" s="14">
        <v>181.82</v>
      </c>
      <c r="H6895" s="14">
        <v>0.0</v>
      </c>
      <c r="I6895" s="14" t="s">
        <v>6082</v>
      </c>
      <c r="J6895" s="14" t="s">
        <v>6012</v>
      </c>
      <c r="K6895" s="14" t="s">
        <v>6012</v>
      </c>
      <c r="L6895" s="14">
        <v>0.0</v>
      </c>
    </row>
    <row r="6896">
      <c r="A6896" s="14">
        <v>172.0</v>
      </c>
      <c r="B6896" s="14">
        <v>1.0</v>
      </c>
      <c r="C6896" s="34">
        <v>12.46</v>
      </c>
      <c r="D6896" s="36">
        <v>45661.0</v>
      </c>
      <c r="E6896" s="24"/>
      <c r="F6896" s="14">
        <v>12.46</v>
      </c>
      <c r="G6896" s="14">
        <v>72.44</v>
      </c>
      <c r="H6896" s="14">
        <v>0.58</v>
      </c>
      <c r="I6896" s="14" t="s">
        <v>6084</v>
      </c>
      <c r="J6896" s="14">
        <v>100.0</v>
      </c>
      <c r="K6896" s="14">
        <v>12.46</v>
      </c>
      <c r="L6896" s="14">
        <v>0.0</v>
      </c>
    </row>
    <row r="6897">
      <c r="A6897" s="14">
        <v>68.0</v>
      </c>
      <c r="B6897" s="14">
        <v>0.0</v>
      </c>
      <c r="C6897" s="34">
        <v>13.55</v>
      </c>
      <c r="D6897" s="36">
        <v>45661.0</v>
      </c>
      <c r="E6897" s="24"/>
      <c r="F6897" s="14" t="s">
        <v>6012</v>
      </c>
      <c r="G6897" s="14">
        <v>199.26</v>
      </c>
      <c r="H6897" s="14">
        <v>0.0</v>
      </c>
      <c r="I6897" s="14" t="s">
        <v>6083</v>
      </c>
      <c r="J6897" s="14" t="s">
        <v>6012</v>
      </c>
      <c r="K6897" s="14" t="s">
        <v>6012</v>
      </c>
      <c r="L6897" s="14">
        <v>0.0</v>
      </c>
    </row>
    <row r="6898">
      <c r="A6898" s="14">
        <v>79.0</v>
      </c>
      <c r="B6898" s="14">
        <v>0.0</v>
      </c>
      <c r="C6898" s="34">
        <v>14.87</v>
      </c>
      <c r="D6898" s="36">
        <v>45661.0</v>
      </c>
      <c r="E6898" s="24"/>
      <c r="F6898" s="14" t="s">
        <v>6012</v>
      </c>
      <c r="G6898" s="14">
        <v>188.23</v>
      </c>
      <c r="H6898" s="14">
        <v>0.0</v>
      </c>
      <c r="I6898" s="14" t="s">
        <v>6078</v>
      </c>
      <c r="J6898" s="14" t="s">
        <v>6012</v>
      </c>
      <c r="K6898" s="14" t="s">
        <v>6012</v>
      </c>
      <c r="L6898" s="14">
        <v>0.0</v>
      </c>
    </row>
    <row r="6899">
      <c r="A6899" s="14">
        <v>24.0</v>
      </c>
      <c r="B6899" s="14">
        <v>0.0</v>
      </c>
      <c r="C6899" s="34">
        <v>5.92</v>
      </c>
      <c r="D6899" s="36">
        <v>45662.0</v>
      </c>
      <c r="E6899" s="24"/>
      <c r="F6899" s="14" t="s">
        <v>6012</v>
      </c>
      <c r="G6899" s="14">
        <v>246.67</v>
      </c>
      <c r="H6899" s="14">
        <v>0.0</v>
      </c>
      <c r="I6899" s="14" t="s">
        <v>6082</v>
      </c>
      <c r="J6899" s="14" t="s">
        <v>6012</v>
      </c>
      <c r="K6899" s="14" t="s">
        <v>6012</v>
      </c>
      <c r="L6899" s="14">
        <v>0.0</v>
      </c>
    </row>
    <row r="6900">
      <c r="A6900" s="14">
        <v>29.0</v>
      </c>
      <c r="B6900" s="14">
        <v>0.0</v>
      </c>
      <c r="C6900" s="34">
        <v>8.5</v>
      </c>
      <c r="D6900" s="36">
        <v>45662.0</v>
      </c>
      <c r="E6900" s="24"/>
      <c r="F6900" s="14" t="s">
        <v>6012</v>
      </c>
      <c r="G6900" s="14">
        <v>293.1</v>
      </c>
      <c r="H6900" s="14">
        <v>0.0</v>
      </c>
      <c r="I6900" s="14" t="s">
        <v>6083</v>
      </c>
      <c r="J6900" s="14" t="s">
        <v>6012</v>
      </c>
      <c r="K6900" s="14" t="s">
        <v>6012</v>
      </c>
      <c r="L6900" s="14">
        <v>0.0</v>
      </c>
    </row>
    <row r="6901">
      <c r="A6901" s="14">
        <v>64.0</v>
      </c>
      <c r="B6901" s="14">
        <v>0.0</v>
      </c>
      <c r="C6901" s="34">
        <v>13.04</v>
      </c>
      <c r="D6901" s="36">
        <v>45662.0</v>
      </c>
      <c r="E6901" s="24"/>
      <c r="F6901" s="14" t="s">
        <v>6012</v>
      </c>
      <c r="G6901" s="14">
        <v>203.75</v>
      </c>
      <c r="H6901" s="14">
        <v>0.0</v>
      </c>
      <c r="I6901" s="14" t="s">
        <v>6078</v>
      </c>
      <c r="J6901" s="14" t="s">
        <v>6012</v>
      </c>
      <c r="K6901" s="14" t="s">
        <v>6012</v>
      </c>
      <c r="L6901" s="14">
        <v>0.0</v>
      </c>
    </row>
    <row r="6902">
      <c r="A6902" s="14">
        <v>125.0</v>
      </c>
      <c r="B6902" s="14">
        <v>0.0</v>
      </c>
      <c r="C6902" s="34">
        <v>10.3</v>
      </c>
      <c r="D6902" s="36">
        <v>45662.0</v>
      </c>
      <c r="E6902" s="24"/>
      <c r="F6902" s="14" t="s">
        <v>6012</v>
      </c>
      <c r="G6902" s="14">
        <v>82.4</v>
      </c>
      <c r="H6902" s="14">
        <v>0.0</v>
      </c>
      <c r="I6902" s="14" t="s">
        <v>6084</v>
      </c>
      <c r="J6902" s="14" t="s">
        <v>6012</v>
      </c>
      <c r="K6902" s="14" t="s">
        <v>6012</v>
      </c>
      <c r="L6902" s="14">
        <v>0.0</v>
      </c>
    </row>
    <row r="6903">
      <c r="A6903" s="14">
        <v>124.0</v>
      </c>
      <c r="B6903" s="14">
        <v>2.0</v>
      </c>
      <c r="C6903" s="34">
        <v>21.77</v>
      </c>
      <c r="D6903" s="36">
        <v>45663.0</v>
      </c>
      <c r="E6903" s="24"/>
      <c r="F6903" s="14">
        <v>10.88</v>
      </c>
      <c r="G6903" s="14">
        <v>175.56</v>
      </c>
      <c r="H6903" s="14">
        <v>1.61</v>
      </c>
      <c r="I6903" s="14" t="s">
        <v>6082</v>
      </c>
      <c r="J6903" s="14">
        <v>0.0</v>
      </c>
      <c r="K6903" s="14" t="s">
        <v>6012</v>
      </c>
      <c r="L6903" s="14">
        <v>0.0</v>
      </c>
    </row>
    <row r="6904">
      <c r="A6904" s="14">
        <v>187.0</v>
      </c>
      <c r="B6904" s="14">
        <v>0.0</v>
      </c>
      <c r="C6904" s="34">
        <v>17.94</v>
      </c>
      <c r="D6904" s="36">
        <v>45663.0</v>
      </c>
      <c r="E6904" s="24"/>
      <c r="F6904" s="14" t="s">
        <v>6012</v>
      </c>
      <c r="G6904" s="14">
        <v>95.94</v>
      </c>
      <c r="H6904" s="14">
        <v>0.0</v>
      </c>
      <c r="I6904" s="14" t="s">
        <v>6083</v>
      </c>
      <c r="J6904" s="14" t="s">
        <v>6012</v>
      </c>
      <c r="K6904" s="14" t="s">
        <v>6012</v>
      </c>
      <c r="L6904" s="14">
        <v>0.0</v>
      </c>
    </row>
    <row r="6905">
      <c r="A6905" s="14">
        <v>778.0</v>
      </c>
      <c r="B6905" s="14">
        <v>1.0</v>
      </c>
      <c r="C6905" s="34">
        <v>19.88</v>
      </c>
      <c r="D6905" s="36">
        <v>45663.0</v>
      </c>
      <c r="E6905" s="24"/>
      <c r="F6905" s="14">
        <v>19.88</v>
      </c>
      <c r="G6905" s="14">
        <v>25.55</v>
      </c>
      <c r="H6905" s="14">
        <v>0.13</v>
      </c>
      <c r="I6905" s="14" t="s">
        <v>6084</v>
      </c>
      <c r="J6905" s="14">
        <v>0.0</v>
      </c>
      <c r="K6905" s="14" t="s">
        <v>6012</v>
      </c>
      <c r="L6905" s="14">
        <v>0.0</v>
      </c>
    </row>
    <row r="6906">
      <c r="A6906" s="14">
        <v>155.0</v>
      </c>
      <c r="B6906" s="14">
        <v>0.0</v>
      </c>
      <c r="C6906" s="34">
        <v>23.03</v>
      </c>
      <c r="D6906" s="36">
        <v>45663.0</v>
      </c>
      <c r="E6906" s="24"/>
      <c r="F6906" s="14" t="s">
        <v>6012</v>
      </c>
      <c r="G6906" s="14">
        <v>148.58</v>
      </c>
      <c r="H6906" s="14">
        <v>0.0</v>
      </c>
      <c r="I6906" s="14" t="s">
        <v>6078</v>
      </c>
      <c r="J6906" s="14" t="s">
        <v>6012</v>
      </c>
      <c r="K6906" s="14" t="s">
        <v>6012</v>
      </c>
      <c r="L6906" s="14">
        <v>0.0</v>
      </c>
    </row>
    <row r="6907">
      <c r="A6907" s="14">
        <v>137.0</v>
      </c>
      <c r="B6907" s="14">
        <v>3.0</v>
      </c>
      <c r="C6907" s="34">
        <v>24.82</v>
      </c>
      <c r="D6907" s="36">
        <v>45664.0</v>
      </c>
      <c r="E6907" s="24"/>
      <c r="F6907" s="14">
        <v>8.27</v>
      </c>
      <c r="G6907" s="14">
        <v>181.17</v>
      </c>
      <c r="H6907" s="14">
        <v>2.19</v>
      </c>
      <c r="I6907" s="14" t="s">
        <v>6078</v>
      </c>
      <c r="J6907" s="14">
        <v>0.0</v>
      </c>
      <c r="K6907" s="14" t="s">
        <v>6012</v>
      </c>
      <c r="L6907" s="14">
        <v>0.0</v>
      </c>
    </row>
    <row r="6908">
      <c r="A6908" s="14">
        <v>176.0</v>
      </c>
      <c r="B6908" s="14">
        <v>0.0</v>
      </c>
      <c r="C6908" s="34">
        <v>19.97</v>
      </c>
      <c r="D6908" s="36">
        <v>45664.0</v>
      </c>
      <c r="E6908" s="24"/>
      <c r="F6908" s="14" t="s">
        <v>6012</v>
      </c>
      <c r="G6908" s="14">
        <v>113.47</v>
      </c>
      <c r="H6908" s="14">
        <v>0.0</v>
      </c>
      <c r="I6908" s="14" t="s">
        <v>6083</v>
      </c>
      <c r="J6908" s="14" t="s">
        <v>6012</v>
      </c>
      <c r="K6908" s="14" t="s">
        <v>6012</v>
      </c>
      <c r="L6908" s="14">
        <v>0.0</v>
      </c>
    </row>
    <row r="6909">
      <c r="A6909" s="14">
        <v>470.0</v>
      </c>
      <c r="B6909" s="14">
        <v>1.0</v>
      </c>
      <c r="C6909" s="34">
        <v>21.77</v>
      </c>
      <c r="D6909" s="36">
        <v>45664.0</v>
      </c>
      <c r="E6909" s="24"/>
      <c r="F6909" s="14">
        <v>21.77</v>
      </c>
      <c r="G6909" s="14">
        <v>46.32</v>
      </c>
      <c r="H6909" s="14">
        <v>0.21</v>
      </c>
      <c r="I6909" s="14" t="s">
        <v>6084</v>
      </c>
      <c r="J6909" s="14">
        <v>0.0</v>
      </c>
      <c r="K6909" s="14" t="s">
        <v>6012</v>
      </c>
      <c r="L6909" s="14">
        <v>0.0</v>
      </c>
    </row>
    <row r="6910">
      <c r="A6910" s="14">
        <v>163.0</v>
      </c>
      <c r="B6910" s="14">
        <v>3.0</v>
      </c>
      <c r="C6910" s="34">
        <v>24.19</v>
      </c>
      <c r="D6910" s="36">
        <v>45664.0</v>
      </c>
      <c r="E6910" s="24"/>
      <c r="F6910" s="14">
        <v>8.06</v>
      </c>
      <c r="G6910" s="14">
        <v>148.4</v>
      </c>
      <c r="H6910" s="14">
        <v>1.84</v>
      </c>
      <c r="I6910" s="14" t="s">
        <v>6082</v>
      </c>
      <c r="J6910" s="14">
        <v>0.0</v>
      </c>
      <c r="K6910" s="14" t="s">
        <v>6012</v>
      </c>
      <c r="L6910" s="14">
        <v>0.0</v>
      </c>
    </row>
    <row r="6911">
      <c r="A6911" s="14">
        <v>148.0</v>
      </c>
      <c r="B6911" s="14">
        <v>0.0</v>
      </c>
      <c r="C6911" s="34">
        <v>18.03</v>
      </c>
      <c r="D6911" s="36">
        <v>45665.0</v>
      </c>
      <c r="E6911" s="24"/>
      <c r="F6911" s="14" t="s">
        <v>6012</v>
      </c>
      <c r="G6911" s="14">
        <v>121.82</v>
      </c>
      <c r="H6911" s="14">
        <v>0.0</v>
      </c>
      <c r="I6911" s="14" t="s">
        <v>6083</v>
      </c>
      <c r="J6911" s="14" t="s">
        <v>6012</v>
      </c>
      <c r="K6911" s="14" t="s">
        <v>6012</v>
      </c>
      <c r="L6911" s="14">
        <v>0.0</v>
      </c>
    </row>
    <row r="6912">
      <c r="A6912" s="14">
        <v>528.0</v>
      </c>
      <c r="B6912" s="14">
        <v>3.0</v>
      </c>
      <c r="C6912" s="34">
        <v>20.5</v>
      </c>
      <c r="D6912" s="36">
        <v>45665.0</v>
      </c>
      <c r="E6912" s="24"/>
      <c r="F6912" s="14">
        <v>6.83</v>
      </c>
      <c r="G6912" s="14">
        <v>38.83</v>
      </c>
      <c r="H6912" s="14">
        <v>0.57</v>
      </c>
      <c r="I6912" s="14" t="s">
        <v>6084</v>
      </c>
      <c r="J6912" s="14">
        <v>0.0</v>
      </c>
      <c r="K6912" s="14" t="s">
        <v>6012</v>
      </c>
      <c r="L6912" s="14">
        <v>0.0</v>
      </c>
    </row>
    <row r="6913">
      <c r="A6913" s="14">
        <v>110.0</v>
      </c>
      <c r="B6913" s="14">
        <v>0.0</v>
      </c>
      <c r="C6913" s="34">
        <v>22.93</v>
      </c>
      <c r="D6913" s="36">
        <v>45665.0</v>
      </c>
      <c r="E6913" s="24"/>
      <c r="F6913" s="14" t="s">
        <v>6012</v>
      </c>
      <c r="G6913" s="14">
        <v>208.45</v>
      </c>
      <c r="H6913" s="14">
        <v>0.0</v>
      </c>
      <c r="I6913" s="14" t="s">
        <v>6078</v>
      </c>
      <c r="J6913" s="14" t="s">
        <v>6012</v>
      </c>
      <c r="K6913" s="14" t="s">
        <v>6012</v>
      </c>
      <c r="L6913" s="14">
        <v>0.0</v>
      </c>
    </row>
    <row r="6914">
      <c r="A6914" s="14">
        <v>94.0</v>
      </c>
      <c r="B6914" s="14">
        <v>2.0</v>
      </c>
      <c r="C6914" s="34">
        <v>20.78</v>
      </c>
      <c r="D6914" s="36">
        <v>45665.0</v>
      </c>
      <c r="E6914" s="24"/>
      <c r="F6914" s="14">
        <v>10.39</v>
      </c>
      <c r="G6914" s="14">
        <v>221.06</v>
      </c>
      <c r="H6914" s="14">
        <v>2.13</v>
      </c>
      <c r="I6914" s="14" t="s">
        <v>6082</v>
      </c>
      <c r="J6914" s="14">
        <v>0.0</v>
      </c>
      <c r="K6914" s="14" t="s">
        <v>6012</v>
      </c>
      <c r="L6914" s="14">
        <v>0.0</v>
      </c>
    </row>
    <row r="6915">
      <c r="A6915" s="14">
        <v>82.0</v>
      </c>
      <c r="B6915" s="14">
        <v>0.0</v>
      </c>
      <c r="C6915" s="34">
        <v>22.01</v>
      </c>
      <c r="D6915" s="36">
        <v>45666.0</v>
      </c>
      <c r="E6915" s="24"/>
      <c r="F6915" s="14" t="s">
        <v>6012</v>
      </c>
      <c r="G6915" s="14">
        <v>268.41</v>
      </c>
      <c r="H6915" s="14">
        <v>0.0</v>
      </c>
      <c r="I6915" s="14" t="s">
        <v>6082</v>
      </c>
      <c r="J6915" s="14" t="s">
        <v>6012</v>
      </c>
      <c r="K6915" s="14" t="s">
        <v>6012</v>
      </c>
      <c r="L6915" s="14">
        <v>0.0</v>
      </c>
    </row>
    <row r="6916">
      <c r="A6916" s="14">
        <v>137.0</v>
      </c>
      <c r="B6916" s="14">
        <v>1.0</v>
      </c>
      <c r="C6916" s="34">
        <v>23.28</v>
      </c>
      <c r="D6916" s="36">
        <v>45666.0</v>
      </c>
      <c r="E6916" s="24"/>
      <c r="F6916" s="14">
        <v>23.28</v>
      </c>
      <c r="G6916" s="14">
        <v>169.93</v>
      </c>
      <c r="H6916" s="14">
        <v>0.73</v>
      </c>
      <c r="I6916" s="14" t="s">
        <v>6078</v>
      </c>
      <c r="J6916" s="14">
        <v>0.0</v>
      </c>
      <c r="K6916" s="14" t="s">
        <v>6012</v>
      </c>
      <c r="L6916" s="14">
        <v>0.0</v>
      </c>
    </row>
    <row r="6917">
      <c r="A6917" s="14">
        <v>148.0</v>
      </c>
      <c r="B6917" s="14">
        <v>0.0</v>
      </c>
      <c r="C6917" s="34">
        <v>18.94</v>
      </c>
      <c r="D6917" s="36">
        <v>45666.0</v>
      </c>
      <c r="E6917" s="24"/>
      <c r="F6917" s="14" t="s">
        <v>6012</v>
      </c>
      <c r="G6917" s="14">
        <v>127.97</v>
      </c>
      <c r="H6917" s="14">
        <v>0.0</v>
      </c>
      <c r="I6917" s="14" t="s">
        <v>6083</v>
      </c>
      <c r="J6917" s="14" t="s">
        <v>6012</v>
      </c>
      <c r="K6917" s="14" t="s">
        <v>6012</v>
      </c>
      <c r="L6917" s="14">
        <v>0.0</v>
      </c>
    </row>
    <row r="6918">
      <c r="A6918" s="14">
        <v>598.0</v>
      </c>
      <c r="B6918" s="14">
        <v>2.0</v>
      </c>
      <c r="C6918" s="34">
        <v>20.32</v>
      </c>
      <c r="D6918" s="36">
        <v>45666.0</v>
      </c>
      <c r="E6918" s="24"/>
      <c r="F6918" s="14">
        <v>10.16</v>
      </c>
      <c r="G6918" s="14">
        <v>33.98</v>
      </c>
      <c r="H6918" s="14">
        <v>0.33</v>
      </c>
      <c r="I6918" s="14" t="s">
        <v>6084</v>
      </c>
      <c r="J6918" s="14">
        <v>0.0</v>
      </c>
      <c r="K6918" s="14" t="s">
        <v>6012</v>
      </c>
      <c r="L6918" s="14">
        <v>0.0</v>
      </c>
    </row>
    <row r="6919">
      <c r="A6919" s="14">
        <v>99.0</v>
      </c>
      <c r="B6919" s="14">
        <v>1.0</v>
      </c>
      <c r="C6919" s="34">
        <v>16.86</v>
      </c>
      <c r="D6919" s="36">
        <v>45667.0</v>
      </c>
      <c r="E6919" s="24"/>
      <c r="F6919" s="14">
        <v>16.86</v>
      </c>
      <c r="G6919" s="14">
        <v>170.3</v>
      </c>
      <c r="H6919" s="14">
        <v>1.01</v>
      </c>
      <c r="I6919" s="14" t="s">
        <v>6083</v>
      </c>
      <c r="J6919" s="14">
        <v>0.0</v>
      </c>
      <c r="K6919" s="14" t="s">
        <v>6012</v>
      </c>
      <c r="L6919" s="14">
        <v>0.0</v>
      </c>
    </row>
    <row r="6920">
      <c r="A6920" s="14">
        <v>108.0</v>
      </c>
      <c r="B6920" s="14">
        <v>0.0</v>
      </c>
      <c r="C6920" s="34">
        <v>16.29</v>
      </c>
      <c r="D6920" s="36">
        <v>45667.0</v>
      </c>
      <c r="E6920" s="24"/>
      <c r="F6920" s="14" t="s">
        <v>6012</v>
      </c>
      <c r="G6920" s="14">
        <v>150.83</v>
      </c>
      <c r="H6920" s="14">
        <v>0.0</v>
      </c>
      <c r="I6920" s="14" t="s">
        <v>6082</v>
      </c>
      <c r="J6920" s="14" t="s">
        <v>6012</v>
      </c>
      <c r="K6920" s="14" t="s">
        <v>6012</v>
      </c>
      <c r="L6920" s="14">
        <v>0.0</v>
      </c>
    </row>
    <row r="6921">
      <c r="A6921" s="14">
        <v>293.0</v>
      </c>
      <c r="B6921" s="14">
        <v>1.0</v>
      </c>
      <c r="C6921" s="34">
        <v>20.05</v>
      </c>
      <c r="D6921" s="36">
        <v>45667.0</v>
      </c>
      <c r="E6921" s="24"/>
      <c r="F6921" s="14">
        <v>20.05</v>
      </c>
      <c r="G6921" s="14">
        <v>68.43</v>
      </c>
      <c r="H6921" s="14">
        <v>0.34</v>
      </c>
      <c r="I6921" s="14" t="s">
        <v>6084</v>
      </c>
      <c r="J6921" s="14">
        <v>0.0</v>
      </c>
      <c r="K6921" s="14" t="s">
        <v>6012</v>
      </c>
      <c r="L6921" s="14">
        <v>0.0</v>
      </c>
    </row>
    <row r="6922">
      <c r="A6922" s="14">
        <v>106.0</v>
      </c>
      <c r="B6922" s="14">
        <v>0.0</v>
      </c>
      <c r="C6922" s="34">
        <v>20.17</v>
      </c>
      <c r="D6922" s="36">
        <v>45667.0</v>
      </c>
      <c r="E6922" s="24"/>
      <c r="F6922" s="14" t="s">
        <v>6012</v>
      </c>
      <c r="G6922" s="14">
        <v>190.28</v>
      </c>
      <c r="H6922" s="14">
        <v>0.0</v>
      </c>
      <c r="I6922" s="14" t="s">
        <v>6078</v>
      </c>
      <c r="J6922" s="14" t="s">
        <v>6012</v>
      </c>
      <c r="K6922" s="14" t="s">
        <v>6012</v>
      </c>
      <c r="L6922" s="14">
        <v>0.0</v>
      </c>
    </row>
    <row r="6923">
      <c r="A6923" s="14">
        <v>34.0</v>
      </c>
      <c r="B6923" s="14">
        <v>0.0</v>
      </c>
      <c r="C6923" s="34">
        <v>11.55</v>
      </c>
      <c r="D6923" s="36">
        <v>45668.0</v>
      </c>
      <c r="E6923" s="24"/>
      <c r="F6923" s="14" t="s">
        <v>6012</v>
      </c>
      <c r="G6923" s="14">
        <v>339.71</v>
      </c>
      <c r="H6923" s="14">
        <v>0.0</v>
      </c>
      <c r="I6923" s="14" t="s">
        <v>6083</v>
      </c>
      <c r="J6923" s="14" t="s">
        <v>6012</v>
      </c>
      <c r="K6923" s="14" t="s">
        <v>6012</v>
      </c>
      <c r="L6923" s="14">
        <v>0.0</v>
      </c>
    </row>
    <row r="6924">
      <c r="A6924" s="14">
        <v>136.0</v>
      </c>
      <c r="B6924" s="14">
        <v>0.0</v>
      </c>
      <c r="C6924" s="34">
        <v>12.15</v>
      </c>
      <c r="D6924" s="36">
        <v>45668.0</v>
      </c>
      <c r="E6924" s="24"/>
      <c r="F6924" s="14" t="s">
        <v>6012</v>
      </c>
      <c r="G6924" s="14">
        <v>89.34</v>
      </c>
      <c r="H6924" s="14">
        <v>0.0</v>
      </c>
      <c r="I6924" s="14" t="s">
        <v>6084</v>
      </c>
      <c r="J6924" s="14" t="s">
        <v>6012</v>
      </c>
      <c r="K6924" s="14" t="s">
        <v>6012</v>
      </c>
      <c r="L6924" s="14">
        <v>0.0</v>
      </c>
    </row>
    <row r="6925">
      <c r="A6925" s="14">
        <v>40.0</v>
      </c>
      <c r="B6925" s="14">
        <v>1.0</v>
      </c>
      <c r="C6925" s="34">
        <v>15.7</v>
      </c>
      <c r="D6925" s="36">
        <v>45668.0</v>
      </c>
      <c r="E6925" s="24"/>
      <c r="F6925" s="14">
        <v>15.7</v>
      </c>
      <c r="G6925" s="14">
        <v>392.5</v>
      </c>
      <c r="H6925" s="14">
        <v>2.5</v>
      </c>
      <c r="I6925" s="14" t="s">
        <v>6078</v>
      </c>
      <c r="J6925" s="14">
        <v>0.0</v>
      </c>
      <c r="K6925" s="14" t="s">
        <v>6012</v>
      </c>
      <c r="L6925" s="14">
        <v>0.0</v>
      </c>
    </row>
    <row r="6926">
      <c r="A6926" s="14">
        <v>88.0</v>
      </c>
      <c r="B6926" s="14">
        <v>0.0</v>
      </c>
      <c r="C6926" s="34">
        <v>12.5</v>
      </c>
      <c r="D6926" s="36">
        <v>45668.0</v>
      </c>
      <c r="E6926" s="24"/>
      <c r="F6926" s="14" t="s">
        <v>6012</v>
      </c>
      <c r="G6926" s="14">
        <v>142.05</v>
      </c>
      <c r="H6926" s="14">
        <v>0.0</v>
      </c>
      <c r="I6926" s="14" t="s">
        <v>6082</v>
      </c>
      <c r="J6926" s="14" t="s">
        <v>6012</v>
      </c>
      <c r="K6926" s="14" t="s">
        <v>6012</v>
      </c>
      <c r="L6926" s="14">
        <v>0.0</v>
      </c>
    </row>
    <row r="6927">
      <c r="A6927" s="14">
        <v>40.0</v>
      </c>
      <c r="B6927" s="14">
        <v>1.0</v>
      </c>
      <c r="C6927" s="34">
        <v>8.46</v>
      </c>
      <c r="D6927" s="36">
        <v>45669.0</v>
      </c>
      <c r="E6927" s="24"/>
      <c r="F6927" s="14">
        <v>8.46</v>
      </c>
      <c r="G6927" s="14">
        <v>211.5</v>
      </c>
      <c r="H6927" s="14">
        <v>2.5</v>
      </c>
      <c r="I6927" s="14" t="s">
        <v>6082</v>
      </c>
      <c r="J6927" s="14">
        <v>0.0</v>
      </c>
      <c r="K6927" s="14" t="s">
        <v>6012</v>
      </c>
      <c r="L6927" s="14">
        <v>0.0</v>
      </c>
    </row>
    <row r="6928">
      <c r="A6928" s="14">
        <v>25.0</v>
      </c>
      <c r="B6928" s="14">
        <v>0.0</v>
      </c>
      <c r="C6928" s="34">
        <v>8.71</v>
      </c>
      <c r="D6928" s="36">
        <v>45669.0</v>
      </c>
      <c r="E6928" s="24"/>
      <c r="F6928" s="14" t="s">
        <v>6012</v>
      </c>
      <c r="G6928" s="14">
        <v>348.4</v>
      </c>
      <c r="H6928" s="14">
        <v>0.0</v>
      </c>
      <c r="I6928" s="14" t="s">
        <v>6083</v>
      </c>
      <c r="J6928" s="14" t="s">
        <v>6012</v>
      </c>
      <c r="K6928" s="14" t="s">
        <v>6012</v>
      </c>
      <c r="L6928" s="14">
        <v>0.0</v>
      </c>
    </row>
    <row r="6929">
      <c r="A6929" s="14">
        <v>119.0</v>
      </c>
      <c r="B6929" s="14">
        <v>0.0</v>
      </c>
      <c r="C6929" s="34">
        <v>9.58</v>
      </c>
      <c r="D6929" s="36">
        <v>45669.0</v>
      </c>
      <c r="E6929" s="24"/>
      <c r="F6929" s="14" t="s">
        <v>6012</v>
      </c>
      <c r="G6929" s="14">
        <v>80.5</v>
      </c>
      <c r="H6929" s="14">
        <v>0.0</v>
      </c>
      <c r="I6929" s="14" t="s">
        <v>6084</v>
      </c>
      <c r="J6929" s="14" t="s">
        <v>6012</v>
      </c>
      <c r="K6929" s="14" t="s">
        <v>6012</v>
      </c>
      <c r="L6929" s="14">
        <v>0.0</v>
      </c>
    </row>
    <row r="6930">
      <c r="A6930" s="14">
        <v>23.0</v>
      </c>
      <c r="B6930" s="14">
        <v>0.0</v>
      </c>
      <c r="C6930" s="34">
        <v>10.07</v>
      </c>
      <c r="D6930" s="36">
        <v>45669.0</v>
      </c>
      <c r="E6930" s="24"/>
      <c r="F6930" s="14" t="s">
        <v>6012</v>
      </c>
      <c r="G6930" s="14">
        <v>437.83</v>
      </c>
      <c r="H6930" s="14">
        <v>0.0</v>
      </c>
      <c r="I6930" s="14" t="s">
        <v>6078</v>
      </c>
      <c r="J6930" s="14" t="s">
        <v>6012</v>
      </c>
      <c r="K6930" s="14" t="s">
        <v>6012</v>
      </c>
      <c r="L6930" s="14">
        <v>0.0</v>
      </c>
    </row>
    <row r="6931">
      <c r="A6931" s="14">
        <v>51.0</v>
      </c>
      <c r="B6931" s="14">
        <v>0.0</v>
      </c>
      <c r="C6931" s="34">
        <v>22.09</v>
      </c>
      <c r="D6931" s="36">
        <v>45670.0</v>
      </c>
      <c r="E6931" s="24"/>
      <c r="F6931" s="14" t="s">
        <v>6012</v>
      </c>
      <c r="G6931" s="14">
        <v>433.14</v>
      </c>
      <c r="H6931" s="14">
        <v>0.0</v>
      </c>
      <c r="I6931" s="14" t="s">
        <v>6078</v>
      </c>
      <c r="J6931" s="14" t="s">
        <v>6012</v>
      </c>
      <c r="K6931" s="14" t="s">
        <v>6012</v>
      </c>
      <c r="L6931" s="14">
        <v>0.0</v>
      </c>
    </row>
    <row r="6932">
      <c r="A6932" s="14">
        <v>405.0</v>
      </c>
      <c r="B6932" s="14">
        <v>3.0</v>
      </c>
      <c r="C6932" s="34">
        <v>19.15</v>
      </c>
      <c r="D6932" s="36">
        <v>45670.0</v>
      </c>
      <c r="E6932" s="24"/>
      <c r="F6932" s="14">
        <v>6.38</v>
      </c>
      <c r="G6932" s="14">
        <v>47.28</v>
      </c>
      <c r="H6932" s="14">
        <v>0.74</v>
      </c>
      <c r="I6932" s="14" t="s">
        <v>6084</v>
      </c>
      <c r="J6932" s="14">
        <v>33.33</v>
      </c>
      <c r="K6932" s="14">
        <v>19.15</v>
      </c>
      <c r="L6932" s="14">
        <v>0.0</v>
      </c>
    </row>
    <row r="6933">
      <c r="A6933" s="14">
        <v>108.0</v>
      </c>
      <c r="B6933" s="14">
        <v>1.0</v>
      </c>
      <c r="C6933" s="34">
        <v>21.69</v>
      </c>
      <c r="D6933" s="36">
        <v>45670.0</v>
      </c>
      <c r="E6933" s="24"/>
      <c r="F6933" s="14">
        <v>21.69</v>
      </c>
      <c r="G6933" s="14">
        <v>200.83</v>
      </c>
      <c r="H6933" s="14">
        <v>0.93</v>
      </c>
      <c r="I6933" s="14" t="s">
        <v>6082</v>
      </c>
      <c r="J6933" s="14">
        <v>0.0</v>
      </c>
      <c r="K6933" s="14" t="s">
        <v>6012</v>
      </c>
      <c r="L6933" s="14">
        <v>0.0</v>
      </c>
    </row>
    <row r="6934">
      <c r="A6934" s="14">
        <v>42.0</v>
      </c>
      <c r="B6934" s="14">
        <v>0.0</v>
      </c>
      <c r="C6934" s="34">
        <v>17.87</v>
      </c>
      <c r="D6934" s="36">
        <v>45670.0</v>
      </c>
      <c r="E6934" s="24"/>
      <c r="F6934" s="14" t="s">
        <v>6012</v>
      </c>
      <c r="G6934" s="14">
        <v>425.48</v>
      </c>
      <c r="H6934" s="14">
        <v>0.0</v>
      </c>
      <c r="I6934" s="14" t="s">
        <v>6083</v>
      </c>
      <c r="J6934" s="14" t="s">
        <v>6012</v>
      </c>
      <c r="K6934" s="14" t="s">
        <v>6012</v>
      </c>
      <c r="L6934" s="14">
        <v>0.0</v>
      </c>
    </row>
    <row r="6935">
      <c r="A6935" s="14">
        <v>70.0</v>
      </c>
      <c r="B6935" s="14">
        <v>0.0</v>
      </c>
      <c r="C6935" s="34">
        <v>19.58</v>
      </c>
      <c r="D6935" s="36">
        <v>45671.0</v>
      </c>
      <c r="E6935" s="24"/>
      <c r="F6935" s="14" t="s">
        <v>6012</v>
      </c>
      <c r="G6935" s="14">
        <v>279.71</v>
      </c>
      <c r="H6935" s="14">
        <v>0.0</v>
      </c>
      <c r="I6935" s="14" t="s">
        <v>6083</v>
      </c>
      <c r="J6935" s="14" t="s">
        <v>6012</v>
      </c>
      <c r="K6935" s="14" t="s">
        <v>6012</v>
      </c>
      <c r="L6935" s="14">
        <v>0.0</v>
      </c>
    </row>
    <row r="6936">
      <c r="A6936" s="14">
        <v>56.0</v>
      </c>
      <c r="B6936" s="14">
        <v>0.0</v>
      </c>
      <c r="C6936" s="34">
        <v>24.25</v>
      </c>
      <c r="D6936" s="36">
        <v>45671.0</v>
      </c>
      <c r="E6936" s="24"/>
      <c r="F6936" s="14" t="s">
        <v>6012</v>
      </c>
      <c r="G6936" s="14">
        <v>433.04</v>
      </c>
      <c r="H6936" s="14">
        <v>0.0</v>
      </c>
      <c r="I6936" s="14" t="s">
        <v>6078</v>
      </c>
      <c r="J6936" s="14" t="s">
        <v>6012</v>
      </c>
      <c r="K6936" s="14" t="s">
        <v>6012</v>
      </c>
      <c r="L6936" s="14">
        <v>0.0</v>
      </c>
    </row>
    <row r="6937">
      <c r="A6937" s="14">
        <v>159.0</v>
      </c>
      <c r="B6937" s="14">
        <v>0.0</v>
      </c>
      <c r="C6937" s="34">
        <v>21.27</v>
      </c>
      <c r="D6937" s="36">
        <v>45671.0</v>
      </c>
      <c r="E6937" s="24"/>
      <c r="F6937" s="14" t="s">
        <v>6012</v>
      </c>
      <c r="G6937" s="14">
        <v>133.77</v>
      </c>
      <c r="H6937" s="14">
        <v>0.0</v>
      </c>
      <c r="I6937" s="14" t="s">
        <v>6082</v>
      </c>
      <c r="J6937" s="14" t="s">
        <v>6012</v>
      </c>
      <c r="K6937" s="14" t="s">
        <v>6012</v>
      </c>
      <c r="L6937" s="14">
        <v>0.0</v>
      </c>
    </row>
    <row r="6938">
      <c r="A6938" s="14">
        <v>615.0</v>
      </c>
      <c r="B6938" s="14">
        <v>0.0</v>
      </c>
      <c r="C6938" s="34">
        <v>19.81</v>
      </c>
      <c r="D6938" s="36">
        <v>45671.0</v>
      </c>
      <c r="E6938" s="24"/>
      <c r="F6938" s="14" t="s">
        <v>6012</v>
      </c>
      <c r="G6938" s="14">
        <v>32.21</v>
      </c>
      <c r="H6938" s="14">
        <v>0.0</v>
      </c>
      <c r="I6938" s="14" t="s">
        <v>6084</v>
      </c>
      <c r="J6938" s="14" t="s">
        <v>6012</v>
      </c>
      <c r="K6938" s="14">
        <v>19.81</v>
      </c>
      <c r="L6938" s="14">
        <v>0.0</v>
      </c>
    </row>
    <row r="6939">
      <c r="A6939" s="14">
        <v>71.0</v>
      </c>
      <c r="B6939" s="14">
        <v>0.0</v>
      </c>
      <c r="C6939" s="34">
        <v>23.84</v>
      </c>
      <c r="D6939" s="36">
        <v>45672.0</v>
      </c>
      <c r="E6939" s="24"/>
      <c r="F6939" s="14" t="s">
        <v>6012</v>
      </c>
      <c r="G6939" s="14">
        <v>335.77</v>
      </c>
      <c r="H6939" s="14">
        <v>0.0</v>
      </c>
      <c r="I6939" s="14" t="s">
        <v>6078</v>
      </c>
      <c r="J6939" s="14" t="s">
        <v>6012</v>
      </c>
      <c r="K6939" s="14" t="s">
        <v>6012</v>
      </c>
      <c r="L6939" s="14">
        <v>0.0</v>
      </c>
    </row>
    <row r="6940">
      <c r="A6940" s="14">
        <v>195.0</v>
      </c>
      <c r="B6940" s="14">
        <v>1.0</v>
      </c>
      <c r="C6940" s="34">
        <v>19.79</v>
      </c>
      <c r="D6940" s="36">
        <v>45672.0</v>
      </c>
      <c r="E6940" s="24"/>
      <c r="F6940" s="14">
        <v>19.79</v>
      </c>
      <c r="G6940" s="14">
        <v>101.49</v>
      </c>
      <c r="H6940" s="14">
        <v>0.51</v>
      </c>
      <c r="I6940" s="14" t="s">
        <v>6082</v>
      </c>
      <c r="J6940" s="14">
        <v>0.0</v>
      </c>
      <c r="K6940" s="14" t="s">
        <v>6012</v>
      </c>
      <c r="L6940" s="14">
        <v>0.0</v>
      </c>
    </row>
    <row r="6941">
      <c r="A6941" s="14">
        <v>356.0</v>
      </c>
      <c r="B6941" s="14">
        <v>0.0</v>
      </c>
      <c r="C6941" s="34">
        <v>21.07</v>
      </c>
      <c r="D6941" s="36">
        <v>45672.0</v>
      </c>
      <c r="E6941" s="24"/>
      <c r="F6941" s="14" t="s">
        <v>6012</v>
      </c>
      <c r="G6941" s="14">
        <v>59.19</v>
      </c>
      <c r="H6941" s="14">
        <v>0.0</v>
      </c>
      <c r="I6941" s="14" t="s">
        <v>6084</v>
      </c>
      <c r="J6941" s="14" t="s">
        <v>6012</v>
      </c>
      <c r="K6941" s="14" t="s">
        <v>6012</v>
      </c>
      <c r="L6941" s="14">
        <v>0.0</v>
      </c>
    </row>
    <row r="6942">
      <c r="A6942" s="14">
        <v>57.0</v>
      </c>
      <c r="B6942" s="14">
        <v>0.0</v>
      </c>
      <c r="C6942" s="34">
        <v>20.03</v>
      </c>
      <c r="D6942" s="36">
        <v>45672.0</v>
      </c>
      <c r="E6942" s="24"/>
      <c r="F6942" s="14" t="s">
        <v>6012</v>
      </c>
      <c r="G6942" s="14">
        <v>351.4</v>
      </c>
      <c r="H6942" s="14">
        <v>0.0</v>
      </c>
      <c r="I6942" s="14" t="s">
        <v>6083</v>
      </c>
      <c r="J6942" s="14" t="s">
        <v>6012</v>
      </c>
      <c r="K6942" s="14" t="s">
        <v>6012</v>
      </c>
      <c r="L6942" s="14">
        <v>0.0</v>
      </c>
    </row>
    <row r="6943">
      <c r="A6943" s="14">
        <v>229.0</v>
      </c>
      <c r="B6943" s="14">
        <v>1.0</v>
      </c>
      <c r="C6943" s="34">
        <v>22.85</v>
      </c>
      <c r="D6943" s="36">
        <v>45673.0</v>
      </c>
      <c r="E6943" s="24"/>
      <c r="F6943" s="14">
        <v>22.85</v>
      </c>
      <c r="G6943" s="14">
        <v>99.78</v>
      </c>
      <c r="H6943" s="14">
        <v>0.44</v>
      </c>
      <c r="I6943" s="14" t="s">
        <v>6084</v>
      </c>
      <c r="J6943" s="14">
        <v>0.0</v>
      </c>
      <c r="K6943" s="14" t="s">
        <v>6012</v>
      </c>
      <c r="L6943" s="14">
        <v>0.0</v>
      </c>
    </row>
    <row r="6944">
      <c r="A6944" s="14">
        <v>47.0</v>
      </c>
      <c r="B6944" s="14">
        <v>0.0</v>
      </c>
      <c r="C6944" s="34">
        <v>19.91</v>
      </c>
      <c r="D6944" s="36">
        <v>45673.0</v>
      </c>
      <c r="E6944" s="24"/>
      <c r="F6944" s="14" t="s">
        <v>6012</v>
      </c>
      <c r="G6944" s="14">
        <v>423.62</v>
      </c>
      <c r="H6944" s="14">
        <v>0.0</v>
      </c>
      <c r="I6944" s="14" t="s">
        <v>6083</v>
      </c>
      <c r="J6944" s="14" t="s">
        <v>6012</v>
      </c>
      <c r="K6944" s="14" t="s">
        <v>6012</v>
      </c>
      <c r="L6944" s="14">
        <v>0.0</v>
      </c>
    </row>
    <row r="6945">
      <c r="A6945" s="14">
        <v>60.0</v>
      </c>
      <c r="B6945" s="14">
        <v>1.0</v>
      </c>
      <c r="C6945" s="34">
        <v>23.7</v>
      </c>
      <c r="D6945" s="36">
        <v>45673.0</v>
      </c>
      <c r="E6945" s="24"/>
      <c r="F6945" s="14">
        <v>23.7</v>
      </c>
      <c r="G6945" s="14">
        <v>395.0</v>
      </c>
      <c r="H6945" s="14">
        <v>1.67</v>
      </c>
      <c r="I6945" s="14" t="s">
        <v>6078</v>
      </c>
      <c r="J6945" s="14">
        <v>0.0</v>
      </c>
      <c r="K6945" s="14" t="s">
        <v>6012</v>
      </c>
      <c r="L6945" s="14">
        <v>0.0</v>
      </c>
    </row>
    <row r="6946">
      <c r="A6946" s="14">
        <v>136.0</v>
      </c>
      <c r="B6946" s="14">
        <v>1.0</v>
      </c>
      <c r="C6946" s="34">
        <v>24.01</v>
      </c>
      <c r="D6946" s="36">
        <v>45673.0</v>
      </c>
      <c r="E6946" s="24"/>
      <c r="F6946" s="14">
        <v>24.01</v>
      </c>
      <c r="G6946" s="14">
        <v>176.54</v>
      </c>
      <c r="H6946" s="14">
        <v>0.74</v>
      </c>
      <c r="I6946" s="14" t="s">
        <v>6082</v>
      </c>
      <c r="J6946" s="14">
        <v>0.0</v>
      </c>
      <c r="K6946" s="14" t="s">
        <v>6012</v>
      </c>
      <c r="L6946" s="14">
        <v>0.0</v>
      </c>
    </row>
    <row r="6947">
      <c r="A6947" s="14">
        <v>248.0</v>
      </c>
      <c r="B6947" s="14">
        <v>3.0</v>
      </c>
      <c r="C6947" s="34">
        <v>20.4</v>
      </c>
      <c r="D6947" s="36">
        <v>45674.0</v>
      </c>
      <c r="E6947" s="24"/>
      <c r="F6947" s="14">
        <v>6.8</v>
      </c>
      <c r="G6947" s="14">
        <v>82.26</v>
      </c>
      <c r="H6947" s="14">
        <v>1.21</v>
      </c>
      <c r="I6947" s="14" t="s">
        <v>6084</v>
      </c>
      <c r="J6947" s="14">
        <v>66.67</v>
      </c>
      <c r="K6947" s="14">
        <v>10.2</v>
      </c>
      <c r="L6947" s="14">
        <v>0.0</v>
      </c>
    </row>
    <row r="6948">
      <c r="A6948" s="14">
        <v>85.0</v>
      </c>
      <c r="B6948" s="14">
        <v>1.0</v>
      </c>
      <c r="C6948" s="34">
        <v>19.8</v>
      </c>
      <c r="D6948" s="36">
        <v>45674.0</v>
      </c>
      <c r="E6948" s="24"/>
      <c r="F6948" s="14">
        <v>19.8</v>
      </c>
      <c r="G6948" s="14">
        <v>232.94</v>
      </c>
      <c r="H6948" s="14">
        <v>1.18</v>
      </c>
      <c r="I6948" s="14" t="s">
        <v>6082</v>
      </c>
      <c r="J6948" s="14">
        <v>0.0</v>
      </c>
      <c r="K6948" s="14" t="s">
        <v>6012</v>
      </c>
      <c r="L6948" s="14">
        <v>0.0</v>
      </c>
    </row>
    <row r="6949">
      <c r="A6949" s="14">
        <v>51.0</v>
      </c>
      <c r="B6949" s="14">
        <v>0.0</v>
      </c>
      <c r="C6949" s="34">
        <v>21.35</v>
      </c>
      <c r="D6949" s="36">
        <v>45674.0</v>
      </c>
      <c r="E6949" s="24"/>
      <c r="F6949" s="14" t="s">
        <v>6012</v>
      </c>
      <c r="G6949" s="14">
        <v>418.63</v>
      </c>
      <c r="H6949" s="14">
        <v>0.0</v>
      </c>
      <c r="I6949" s="14" t="s">
        <v>6078</v>
      </c>
      <c r="J6949" s="14" t="s">
        <v>6012</v>
      </c>
      <c r="K6949" s="14" t="s">
        <v>6012</v>
      </c>
      <c r="L6949" s="14">
        <v>0.0</v>
      </c>
    </row>
    <row r="6950">
      <c r="A6950" s="14">
        <v>37.0</v>
      </c>
      <c r="B6950" s="14">
        <v>0.0</v>
      </c>
      <c r="C6950" s="34">
        <v>16.6</v>
      </c>
      <c r="D6950" s="36">
        <v>45674.0</v>
      </c>
      <c r="E6950" s="24"/>
      <c r="F6950" s="14" t="s">
        <v>6012</v>
      </c>
      <c r="G6950" s="14">
        <v>448.65</v>
      </c>
      <c r="H6950" s="14">
        <v>0.0</v>
      </c>
      <c r="I6950" s="14" t="s">
        <v>6083</v>
      </c>
      <c r="J6950" s="14" t="s">
        <v>6012</v>
      </c>
      <c r="K6950" s="14" t="s">
        <v>6012</v>
      </c>
      <c r="L6950" s="14">
        <v>0.0</v>
      </c>
    </row>
    <row r="6951">
      <c r="A6951" s="14">
        <v>83.0</v>
      </c>
      <c r="B6951" s="14">
        <v>1.0</v>
      </c>
      <c r="C6951" s="34">
        <v>11.57</v>
      </c>
      <c r="D6951" s="36">
        <v>45675.0</v>
      </c>
      <c r="E6951" s="24"/>
      <c r="F6951" s="14">
        <v>11.57</v>
      </c>
      <c r="G6951" s="14">
        <v>139.4</v>
      </c>
      <c r="H6951" s="14">
        <v>1.2</v>
      </c>
      <c r="I6951" s="14" t="s">
        <v>6082</v>
      </c>
      <c r="J6951" s="14">
        <v>0.0</v>
      </c>
      <c r="K6951" s="14" t="s">
        <v>6012</v>
      </c>
      <c r="L6951" s="14">
        <v>0.0</v>
      </c>
    </row>
    <row r="6952">
      <c r="A6952" s="14">
        <v>184.0</v>
      </c>
      <c r="B6952" s="14">
        <v>0.0</v>
      </c>
      <c r="C6952" s="34">
        <v>11.81</v>
      </c>
      <c r="D6952" s="36">
        <v>45675.0</v>
      </c>
      <c r="E6952" s="24"/>
      <c r="F6952" s="14" t="s">
        <v>6012</v>
      </c>
      <c r="G6952" s="14">
        <v>64.18</v>
      </c>
      <c r="H6952" s="14">
        <v>0.0</v>
      </c>
      <c r="I6952" s="14" t="s">
        <v>6084</v>
      </c>
      <c r="J6952" s="14" t="s">
        <v>6012</v>
      </c>
      <c r="K6952" s="14" t="s">
        <v>6012</v>
      </c>
      <c r="L6952" s="14">
        <v>0.0</v>
      </c>
    </row>
    <row r="6953">
      <c r="A6953" s="14">
        <v>30.0</v>
      </c>
      <c r="B6953" s="14">
        <v>0.0</v>
      </c>
      <c r="C6953" s="34">
        <v>10.97</v>
      </c>
      <c r="D6953" s="36">
        <v>45675.0</v>
      </c>
      <c r="E6953" s="24"/>
      <c r="F6953" s="14" t="s">
        <v>6012</v>
      </c>
      <c r="G6953" s="14">
        <v>365.67</v>
      </c>
      <c r="H6953" s="14">
        <v>0.0</v>
      </c>
      <c r="I6953" s="14" t="s">
        <v>6083</v>
      </c>
      <c r="J6953" s="14" t="s">
        <v>6012</v>
      </c>
      <c r="K6953" s="14" t="s">
        <v>6012</v>
      </c>
      <c r="L6953" s="14">
        <v>0.0</v>
      </c>
    </row>
    <row r="6954">
      <c r="A6954" s="14">
        <v>36.0</v>
      </c>
      <c r="B6954" s="14">
        <v>1.0</v>
      </c>
      <c r="C6954" s="34">
        <v>14.74</v>
      </c>
      <c r="D6954" s="36">
        <v>45675.0</v>
      </c>
      <c r="E6954" s="24"/>
      <c r="F6954" s="14">
        <v>14.74</v>
      </c>
      <c r="G6954" s="14">
        <v>409.44</v>
      </c>
      <c r="H6954" s="14">
        <v>2.78</v>
      </c>
      <c r="I6954" s="14" t="s">
        <v>6078</v>
      </c>
      <c r="J6954" s="14">
        <v>0.0</v>
      </c>
      <c r="K6954" s="14" t="s">
        <v>6012</v>
      </c>
      <c r="L6954" s="14">
        <v>0.0</v>
      </c>
    </row>
    <row r="6955">
      <c r="A6955" s="14">
        <v>56.0</v>
      </c>
      <c r="B6955" s="14">
        <v>0.0</v>
      </c>
      <c r="C6955" s="34">
        <v>7.87</v>
      </c>
      <c r="D6955" s="36">
        <v>45676.0</v>
      </c>
      <c r="E6955" s="24"/>
      <c r="F6955" s="14" t="s">
        <v>6012</v>
      </c>
      <c r="G6955" s="14">
        <v>140.54</v>
      </c>
      <c r="H6955" s="14">
        <v>0.0</v>
      </c>
      <c r="I6955" s="14" t="s">
        <v>6082</v>
      </c>
      <c r="J6955" s="14" t="s">
        <v>6012</v>
      </c>
      <c r="K6955" s="14" t="s">
        <v>6012</v>
      </c>
      <c r="L6955" s="14">
        <v>0.0</v>
      </c>
    </row>
    <row r="6956">
      <c r="A6956" s="14">
        <v>20.0</v>
      </c>
      <c r="B6956" s="14">
        <v>0.0</v>
      </c>
      <c r="C6956" s="34">
        <v>7.04</v>
      </c>
      <c r="D6956" s="36">
        <v>45676.0</v>
      </c>
      <c r="E6956" s="24"/>
      <c r="F6956" s="14" t="s">
        <v>6012</v>
      </c>
      <c r="G6956" s="14">
        <v>352.0</v>
      </c>
      <c r="H6956" s="14">
        <v>0.0</v>
      </c>
      <c r="I6956" s="14" t="s">
        <v>6083</v>
      </c>
      <c r="J6956" s="14" t="s">
        <v>6012</v>
      </c>
      <c r="K6956" s="14" t="s">
        <v>6012</v>
      </c>
      <c r="L6956" s="14">
        <v>0.0</v>
      </c>
    </row>
    <row r="6957">
      <c r="A6957" s="14">
        <v>22.0</v>
      </c>
      <c r="B6957" s="14">
        <v>0.0</v>
      </c>
      <c r="C6957" s="34">
        <v>10.03</v>
      </c>
      <c r="D6957" s="36">
        <v>45676.0</v>
      </c>
      <c r="E6957" s="24"/>
      <c r="F6957" s="14" t="s">
        <v>6012</v>
      </c>
      <c r="G6957" s="14">
        <v>455.91</v>
      </c>
      <c r="H6957" s="14">
        <v>0.0</v>
      </c>
      <c r="I6957" s="14" t="s">
        <v>6078</v>
      </c>
      <c r="J6957" s="14" t="s">
        <v>6012</v>
      </c>
      <c r="K6957" s="14" t="s">
        <v>6012</v>
      </c>
      <c r="L6957" s="14">
        <v>0.0</v>
      </c>
    </row>
    <row r="6958">
      <c r="A6958" s="14">
        <v>118.0</v>
      </c>
      <c r="B6958" s="14">
        <v>1.0</v>
      </c>
      <c r="C6958" s="34">
        <v>9.14</v>
      </c>
      <c r="D6958" s="36">
        <v>45676.0</v>
      </c>
      <c r="E6958" s="24"/>
      <c r="F6958" s="14">
        <v>9.14</v>
      </c>
      <c r="G6958" s="14">
        <v>77.46</v>
      </c>
      <c r="H6958" s="14">
        <v>0.85</v>
      </c>
      <c r="I6958" s="14" t="s">
        <v>6084</v>
      </c>
      <c r="J6958" s="14">
        <v>0.0</v>
      </c>
      <c r="K6958" s="14" t="s">
        <v>6012</v>
      </c>
      <c r="L6958" s="14">
        <v>0.0</v>
      </c>
    </row>
    <row r="6959">
      <c r="A6959" s="14">
        <v>117.0</v>
      </c>
      <c r="B6959" s="14">
        <v>0.0</v>
      </c>
      <c r="C6959" s="34">
        <v>19.71</v>
      </c>
      <c r="D6959" s="36">
        <v>45677.0</v>
      </c>
      <c r="E6959" s="24"/>
      <c r="F6959" s="14" t="s">
        <v>6012</v>
      </c>
      <c r="G6959" s="14">
        <v>168.46</v>
      </c>
      <c r="H6959" s="14">
        <v>0.0</v>
      </c>
      <c r="I6959" s="14" t="s">
        <v>6082</v>
      </c>
      <c r="J6959" s="14" t="s">
        <v>6012</v>
      </c>
      <c r="K6959" s="14" t="s">
        <v>6012</v>
      </c>
      <c r="L6959" s="14">
        <v>0.0</v>
      </c>
    </row>
    <row r="6960">
      <c r="A6960" s="14">
        <v>62.0</v>
      </c>
      <c r="B6960" s="14">
        <v>0.0</v>
      </c>
      <c r="C6960" s="34">
        <v>24.49</v>
      </c>
      <c r="D6960" s="36">
        <v>45677.0</v>
      </c>
      <c r="E6960" s="24"/>
      <c r="F6960" s="14" t="s">
        <v>6012</v>
      </c>
      <c r="G6960" s="14">
        <v>395.0</v>
      </c>
      <c r="H6960" s="14">
        <v>0.0</v>
      </c>
      <c r="I6960" s="14" t="s">
        <v>6078</v>
      </c>
      <c r="J6960" s="14" t="s">
        <v>6012</v>
      </c>
      <c r="K6960" s="14" t="s">
        <v>6012</v>
      </c>
      <c r="L6960" s="14">
        <v>0.0</v>
      </c>
    </row>
    <row r="6961">
      <c r="A6961" s="14">
        <v>101.0</v>
      </c>
      <c r="B6961" s="14">
        <v>0.0</v>
      </c>
      <c r="C6961" s="34">
        <v>20.29</v>
      </c>
      <c r="D6961" s="36">
        <v>45677.0</v>
      </c>
      <c r="E6961" s="24"/>
      <c r="F6961" s="14" t="s">
        <v>6012</v>
      </c>
      <c r="G6961" s="14">
        <v>200.89</v>
      </c>
      <c r="H6961" s="14">
        <v>0.0</v>
      </c>
      <c r="I6961" s="14" t="s">
        <v>6083</v>
      </c>
      <c r="J6961" s="14" t="s">
        <v>6012</v>
      </c>
      <c r="K6961" s="14" t="s">
        <v>6012</v>
      </c>
      <c r="L6961" s="14">
        <v>0.0</v>
      </c>
    </row>
    <row r="6962">
      <c r="A6962" s="14">
        <v>430.0</v>
      </c>
      <c r="B6962" s="14">
        <v>1.0</v>
      </c>
      <c r="C6962" s="34">
        <v>20.07</v>
      </c>
      <c r="D6962" s="36">
        <v>45677.0</v>
      </c>
      <c r="E6962" s="24"/>
      <c r="F6962" s="14">
        <v>20.07</v>
      </c>
      <c r="G6962" s="14">
        <v>46.67</v>
      </c>
      <c r="H6962" s="14">
        <v>0.23</v>
      </c>
      <c r="I6962" s="14" t="s">
        <v>6084</v>
      </c>
      <c r="J6962" s="14">
        <v>0.0</v>
      </c>
      <c r="K6962" s="14" t="s">
        <v>6012</v>
      </c>
      <c r="L6962" s="14">
        <v>0.0</v>
      </c>
    </row>
    <row r="6963">
      <c r="A6963" s="14">
        <v>60.0</v>
      </c>
      <c r="B6963" s="14">
        <v>1.0</v>
      </c>
      <c r="C6963" s="34">
        <v>19.04</v>
      </c>
      <c r="D6963" s="36">
        <v>45678.0</v>
      </c>
      <c r="E6963" s="24"/>
      <c r="F6963" s="14">
        <v>19.04</v>
      </c>
      <c r="G6963" s="14">
        <v>317.33</v>
      </c>
      <c r="H6963" s="14">
        <v>1.67</v>
      </c>
      <c r="I6963" s="14" t="s">
        <v>6083</v>
      </c>
      <c r="J6963" s="14">
        <v>0.0</v>
      </c>
      <c r="K6963" s="14" t="s">
        <v>6012</v>
      </c>
      <c r="L6963" s="14">
        <v>0.0</v>
      </c>
    </row>
    <row r="6964">
      <c r="A6964" s="14">
        <v>1628.0</v>
      </c>
      <c r="B6964" s="14">
        <v>6.0</v>
      </c>
      <c r="C6964" s="34">
        <v>20.65</v>
      </c>
      <c r="D6964" s="36">
        <v>45678.0</v>
      </c>
      <c r="E6964" s="24"/>
      <c r="F6964" s="14">
        <v>3.44</v>
      </c>
      <c r="G6964" s="14">
        <v>12.68</v>
      </c>
      <c r="H6964" s="14">
        <v>0.37</v>
      </c>
      <c r="I6964" s="14" t="s">
        <v>6085</v>
      </c>
      <c r="J6964" s="14">
        <v>0.0</v>
      </c>
      <c r="K6964" s="14" t="s">
        <v>6012</v>
      </c>
      <c r="L6964" s="14">
        <v>0.0</v>
      </c>
    </row>
    <row r="6965">
      <c r="A6965" s="14">
        <v>205.0</v>
      </c>
      <c r="B6965" s="14">
        <v>0.0</v>
      </c>
      <c r="C6965" s="34">
        <v>11.71</v>
      </c>
      <c r="D6965" s="36">
        <v>45678.0</v>
      </c>
      <c r="E6965" s="24"/>
      <c r="F6965" s="14" t="s">
        <v>6012</v>
      </c>
      <c r="G6965" s="14">
        <v>57.12</v>
      </c>
      <c r="H6965" s="14">
        <v>0.0</v>
      </c>
      <c r="I6965" s="14" t="s">
        <v>6084</v>
      </c>
      <c r="J6965" s="14" t="s">
        <v>6012</v>
      </c>
      <c r="K6965" s="14" t="s">
        <v>6012</v>
      </c>
      <c r="L6965" s="14">
        <v>0.0</v>
      </c>
    </row>
    <row r="6966">
      <c r="A6966" s="14">
        <v>134.0</v>
      </c>
      <c r="B6966" s="14">
        <v>0.0</v>
      </c>
      <c r="C6966" s="34">
        <v>22.43</v>
      </c>
      <c r="D6966" s="36">
        <v>45678.0</v>
      </c>
      <c r="E6966" s="24"/>
      <c r="F6966" s="14" t="s">
        <v>6012</v>
      </c>
      <c r="G6966" s="14">
        <v>167.39</v>
      </c>
      <c r="H6966" s="14">
        <v>0.0</v>
      </c>
      <c r="I6966" s="14" t="s">
        <v>6082</v>
      </c>
      <c r="J6966" s="14" t="s">
        <v>6012</v>
      </c>
      <c r="K6966" s="14" t="s">
        <v>6012</v>
      </c>
      <c r="L6966" s="14">
        <v>0.0</v>
      </c>
    </row>
    <row r="6967">
      <c r="A6967" s="14">
        <v>59.0</v>
      </c>
      <c r="B6967" s="14">
        <v>0.0</v>
      </c>
      <c r="C6967" s="34">
        <v>23.49</v>
      </c>
      <c r="D6967" s="36">
        <v>45678.0</v>
      </c>
      <c r="E6967" s="24"/>
      <c r="F6967" s="14" t="s">
        <v>6012</v>
      </c>
      <c r="G6967" s="14">
        <v>398.14</v>
      </c>
      <c r="H6967" s="14">
        <v>0.0</v>
      </c>
      <c r="I6967" s="14" t="s">
        <v>6078</v>
      </c>
      <c r="J6967" s="14" t="s">
        <v>6012</v>
      </c>
      <c r="K6967" s="14" t="s">
        <v>6012</v>
      </c>
      <c r="L6967" s="14">
        <v>0.0</v>
      </c>
    </row>
    <row r="6968">
      <c r="A6968" s="14">
        <v>145.0</v>
      </c>
      <c r="B6968" s="14">
        <v>3.0</v>
      </c>
      <c r="C6968" s="34">
        <v>20.76</v>
      </c>
      <c r="D6968" s="36">
        <v>45679.0</v>
      </c>
      <c r="E6968" s="24"/>
      <c r="F6968" s="14">
        <v>6.92</v>
      </c>
      <c r="G6968" s="14">
        <v>143.17</v>
      </c>
      <c r="H6968" s="14">
        <v>2.07</v>
      </c>
      <c r="I6968" s="14" t="s">
        <v>6082</v>
      </c>
      <c r="J6968" s="14">
        <v>0.0</v>
      </c>
      <c r="K6968" s="14" t="s">
        <v>6012</v>
      </c>
      <c r="L6968" s="14">
        <v>0.0</v>
      </c>
    </row>
    <row r="6969">
      <c r="A6969" s="14">
        <v>57.0</v>
      </c>
      <c r="B6969" s="14">
        <v>0.0</v>
      </c>
      <c r="C6969" s="34">
        <v>22.32</v>
      </c>
      <c r="D6969" s="36">
        <v>45679.0</v>
      </c>
      <c r="E6969" s="24"/>
      <c r="F6969" s="14" t="s">
        <v>6012</v>
      </c>
      <c r="G6969" s="14">
        <v>391.58</v>
      </c>
      <c r="H6969" s="14">
        <v>0.0</v>
      </c>
      <c r="I6969" s="14" t="s">
        <v>6078</v>
      </c>
      <c r="J6969" s="14" t="s">
        <v>6012</v>
      </c>
      <c r="K6969" s="14" t="s">
        <v>6012</v>
      </c>
      <c r="L6969" s="14">
        <v>0.0</v>
      </c>
    </row>
    <row r="6970">
      <c r="A6970" s="14">
        <v>51.0</v>
      </c>
      <c r="B6970" s="14">
        <v>0.0</v>
      </c>
      <c r="C6970" s="34">
        <v>10.17</v>
      </c>
      <c r="D6970" s="36">
        <v>45679.0</v>
      </c>
      <c r="E6970" s="24"/>
      <c r="F6970" s="14" t="s">
        <v>6012</v>
      </c>
      <c r="G6970" s="14">
        <v>199.41</v>
      </c>
      <c r="H6970" s="14">
        <v>0.0</v>
      </c>
      <c r="I6970" s="14" t="s">
        <v>6083</v>
      </c>
      <c r="J6970" s="14" t="s">
        <v>6012</v>
      </c>
      <c r="K6970" s="14" t="s">
        <v>6012</v>
      </c>
      <c r="L6970" s="14">
        <v>0.0</v>
      </c>
    </row>
    <row r="6971">
      <c r="A6971" s="14">
        <v>1156.0</v>
      </c>
      <c r="B6971" s="14">
        <v>4.0</v>
      </c>
      <c r="C6971" s="34">
        <v>20.79</v>
      </c>
      <c r="D6971" s="36">
        <v>45679.0</v>
      </c>
      <c r="E6971" s="24"/>
      <c r="F6971" s="14">
        <v>5.2</v>
      </c>
      <c r="G6971" s="14">
        <v>17.98</v>
      </c>
      <c r="H6971" s="14">
        <v>0.35</v>
      </c>
      <c r="I6971" s="14" t="s">
        <v>6085</v>
      </c>
      <c r="J6971" s="14">
        <v>0.0</v>
      </c>
      <c r="K6971" s="14" t="s">
        <v>6012</v>
      </c>
      <c r="L6971" s="14">
        <v>0.0</v>
      </c>
    </row>
    <row r="6972">
      <c r="A6972" s="14">
        <v>330.0</v>
      </c>
      <c r="B6972" s="14">
        <v>0.0</v>
      </c>
      <c r="C6972" s="34">
        <v>21.61</v>
      </c>
      <c r="D6972" s="36">
        <v>45680.0</v>
      </c>
      <c r="E6972" s="24"/>
      <c r="F6972" s="14" t="s">
        <v>6012</v>
      </c>
      <c r="G6972" s="14">
        <v>65.48</v>
      </c>
      <c r="H6972" s="14">
        <v>0.0</v>
      </c>
      <c r="I6972" s="14" t="s">
        <v>6085</v>
      </c>
      <c r="J6972" s="14" t="s">
        <v>6012</v>
      </c>
      <c r="K6972" s="14" t="s">
        <v>6012</v>
      </c>
      <c r="L6972" s="14">
        <v>0.0</v>
      </c>
    </row>
    <row r="6973">
      <c r="A6973" s="14">
        <v>135.0</v>
      </c>
      <c r="B6973" s="14">
        <v>1.0</v>
      </c>
      <c r="C6973" s="34">
        <v>22.16</v>
      </c>
      <c r="D6973" s="36">
        <v>45680.0</v>
      </c>
      <c r="E6973" s="24"/>
      <c r="F6973" s="14">
        <v>22.16</v>
      </c>
      <c r="G6973" s="14">
        <v>164.15</v>
      </c>
      <c r="H6973" s="14">
        <v>0.74</v>
      </c>
      <c r="I6973" s="14" t="s">
        <v>6082</v>
      </c>
      <c r="J6973" s="14">
        <v>0.0</v>
      </c>
      <c r="K6973" s="14" t="s">
        <v>6012</v>
      </c>
      <c r="L6973" s="14">
        <v>0.0</v>
      </c>
    </row>
    <row r="6974">
      <c r="A6974" s="14">
        <v>426.0</v>
      </c>
      <c r="B6974" s="14">
        <v>1.0</v>
      </c>
      <c r="C6974" s="34">
        <v>24.2</v>
      </c>
      <c r="D6974" s="36">
        <v>45680.0</v>
      </c>
      <c r="E6974" s="24"/>
      <c r="F6974" s="14">
        <v>24.2</v>
      </c>
      <c r="G6974" s="14">
        <v>56.81</v>
      </c>
      <c r="H6974" s="14">
        <v>0.23</v>
      </c>
      <c r="I6974" s="14" t="s">
        <v>6086</v>
      </c>
      <c r="J6974" s="14">
        <v>0.0</v>
      </c>
      <c r="K6974" s="14" t="s">
        <v>6012</v>
      </c>
      <c r="L6974" s="14">
        <v>0.0</v>
      </c>
    </row>
    <row r="6975">
      <c r="A6975" s="14">
        <v>63.0</v>
      </c>
      <c r="B6975" s="14">
        <v>0.0</v>
      </c>
      <c r="C6975" s="34">
        <v>26.03</v>
      </c>
      <c r="D6975" s="36">
        <v>45680.0</v>
      </c>
      <c r="E6975" s="24"/>
      <c r="F6975" s="14" t="s">
        <v>6012</v>
      </c>
      <c r="G6975" s="14">
        <v>413.17</v>
      </c>
      <c r="H6975" s="14">
        <v>0.0</v>
      </c>
      <c r="I6975" s="14" t="s">
        <v>6078</v>
      </c>
      <c r="J6975" s="14" t="s">
        <v>6012</v>
      </c>
      <c r="K6975" s="14" t="s">
        <v>6012</v>
      </c>
      <c r="L6975" s="14">
        <v>0.0</v>
      </c>
    </row>
    <row r="6976">
      <c r="A6976" s="14">
        <v>55.0</v>
      </c>
      <c r="B6976" s="14">
        <v>1.0</v>
      </c>
      <c r="C6976" s="34">
        <v>20.54</v>
      </c>
      <c r="D6976" s="36">
        <v>45681.0</v>
      </c>
      <c r="E6976" s="24"/>
      <c r="F6976" s="14">
        <v>20.54</v>
      </c>
      <c r="G6976" s="14">
        <v>373.45</v>
      </c>
      <c r="H6976" s="14">
        <v>1.82</v>
      </c>
      <c r="I6976" s="14" t="s">
        <v>6078</v>
      </c>
      <c r="J6976" s="14">
        <v>0.0</v>
      </c>
      <c r="K6976" s="14" t="s">
        <v>6012</v>
      </c>
      <c r="L6976" s="14">
        <v>0.0</v>
      </c>
    </row>
    <row r="6977">
      <c r="A6977" s="14">
        <v>142.0</v>
      </c>
      <c r="B6977" s="14">
        <v>0.0</v>
      </c>
      <c r="C6977" s="34">
        <v>23.74</v>
      </c>
      <c r="D6977" s="36">
        <v>45681.0</v>
      </c>
      <c r="E6977" s="24"/>
      <c r="F6977" s="14" t="s">
        <v>6012</v>
      </c>
      <c r="G6977" s="14">
        <v>167.18</v>
      </c>
      <c r="H6977" s="14">
        <v>0.0</v>
      </c>
      <c r="I6977" s="14" t="s">
        <v>6086</v>
      </c>
      <c r="J6977" s="14" t="s">
        <v>6012</v>
      </c>
      <c r="K6977" s="14" t="s">
        <v>6012</v>
      </c>
      <c r="L6977" s="14">
        <v>0.0</v>
      </c>
    </row>
    <row r="6978">
      <c r="A6978" s="14">
        <v>73.0</v>
      </c>
      <c r="B6978" s="14">
        <v>0.0</v>
      </c>
      <c r="C6978" s="34">
        <v>20.02</v>
      </c>
      <c r="D6978" s="36">
        <v>45681.0</v>
      </c>
      <c r="E6978" s="24"/>
      <c r="F6978" s="14" t="s">
        <v>6012</v>
      </c>
      <c r="G6978" s="14">
        <v>274.25</v>
      </c>
      <c r="H6978" s="14">
        <v>0.0</v>
      </c>
      <c r="I6978" s="14" t="s">
        <v>6082</v>
      </c>
      <c r="J6978" s="14" t="s">
        <v>6012</v>
      </c>
      <c r="K6978" s="14" t="s">
        <v>6012</v>
      </c>
      <c r="L6978" s="14">
        <v>0.0</v>
      </c>
    </row>
    <row r="6979">
      <c r="A6979" s="14">
        <v>221.0</v>
      </c>
      <c r="B6979" s="14">
        <v>1.0</v>
      </c>
      <c r="C6979" s="34">
        <v>22.03</v>
      </c>
      <c r="D6979" s="36">
        <v>45681.0</v>
      </c>
      <c r="E6979" s="24"/>
      <c r="F6979" s="14">
        <v>22.03</v>
      </c>
      <c r="G6979" s="14">
        <v>99.68</v>
      </c>
      <c r="H6979" s="14">
        <v>0.45</v>
      </c>
      <c r="I6979" s="14" t="s">
        <v>6085</v>
      </c>
      <c r="J6979" s="14">
        <v>0.0</v>
      </c>
      <c r="K6979" s="14" t="s">
        <v>6012</v>
      </c>
      <c r="L6979" s="14">
        <v>0.0</v>
      </c>
    </row>
    <row r="6980">
      <c r="A6980" s="14">
        <v>92.0</v>
      </c>
      <c r="B6980" s="14">
        <v>0.0</v>
      </c>
      <c r="C6980" s="34">
        <v>17.0</v>
      </c>
      <c r="D6980" s="36">
        <v>45682.0</v>
      </c>
      <c r="E6980" s="24"/>
      <c r="F6980" s="14" t="s">
        <v>6012</v>
      </c>
      <c r="G6980" s="14">
        <v>184.78</v>
      </c>
      <c r="H6980" s="14">
        <v>0.0</v>
      </c>
      <c r="I6980" s="14" t="s">
        <v>6086</v>
      </c>
      <c r="J6980" s="14" t="s">
        <v>6012</v>
      </c>
      <c r="K6980" s="14" t="s">
        <v>6012</v>
      </c>
      <c r="L6980" s="14">
        <v>0.0</v>
      </c>
    </row>
    <row r="6981">
      <c r="A6981" s="14">
        <v>88.0</v>
      </c>
      <c r="B6981" s="14">
        <v>1.0</v>
      </c>
      <c r="C6981" s="34">
        <v>12.72</v>
      </c>
      <c r="D6981" s="36">
        <v>45682.0</v>
      </c>
      <c r="E6981" s="24"/>
      <c r="F6981" s="14">
        <v>12.72</v>
      </c>
      <c r="G6981" s="14">
        <v>144.55</v>
      </c>
      <c r="H6981" s="14">
        <v>1.14</v>
      </c>
      <c r="I6981" s="14" t="s">
        <v>6082</v>
      </c>
      <c r="J6981" s="14">
        <v>0.0</v>
      </c>
      <c r="K6981" s="14" t="s">
        <v>6012</v>
      </c>
      <c r="L6981" s="14">
        <v>0.0</v>
      </c>
    </row>
    <row r="6982">
      <c r="A6982" s="14">
        <v>101.0</v>
      </c>
      <c r="B6982" s="14">
        <v>0.0</v>
      </c>
      <c r="C6982" s="34">
        <v>13.55</v>
      </c>
      <c r="D6982" s="36">
        <v>45682.0</v>
      </c>
      <c r="E6982" s="24"/>
      <c r="F6982" s="14" t="s">
        <v>6012</v>
      </c>
      <c r="G6982" s="14">
        <v>134.16</v>
      </c>
      <c r="H6982" s="14">
        <v>0.0</v>
      </c>
      <c r="I6982" s="14" t="s">
        <v>6085</v>
      </c>
      <c r="J6982" s="14" t="s">
        <v>6012</v>
      </c>
      <c r="K6982" s="14" t="s">
        <v>6012</v>
      </c>
      <c r="L6982" s="14">
        <v>0.0</v>
      </c>
    </row>
    <row r="6983">
      <c r="A6983" s="14">
        <v>27.0</v>
      </c>
      <c r="B6983" s="14">
        <v>0.0</v>
      </c>
      <c r="C6983" s="34">
        <v>13.22</v>
      </c>
      <c r="D6983" s="36">
        <v>45682.0</v>
      </c>
      <c r="E6983" s="24"/>
      <c r="F6983" s="14" t="s">
        <v>6012</v>
      </c>
      <c r="G6983" s="14">
        <v>489.63</v>
      </c>
      <c r="H6983" s="14">
        <v>0.0</v>
      </c>
      <c r="I6983" s="14" t="s">
        <v>6078</v>
      </c>
      <c r="J6983" s="14" t="s">
        <v>6012</v>
      </c>
      <c r="K6983" s="14" t="s">
        <v>6012</v>
      </c>
      <c r="L6983" s="14">
        <v>0.0</v>
      </c>
    </row>
    <row r="6984">
      <c r="A6984" s="14">
        <v>25.0</v>
      </c>
      <c r="B6984" s="14">
        <v>0.0</v>
      </c>
      <c r="C6984" s="34">
        <v>9.91</v>
      </c>
      <c r="D6984" s="36">
        <v>45683.0</v>
      </c>
      <c r="E6984" s="24"/>
      <c r="F6984" s="14" t="s">
        <v>6012</v>
      </c>
      <c r="G6984" s="14">
        <v>396.4</v>
      </c>
      <c r="H6984" s="14">
        <v>0.0</v>
      </c>
      <c r="I6984" s="14" t="s">
        <v>6078</v>
      </c>
      <c r="J6984" s="14" t="s">
        <v>6012</v>
      </c>
      <c r="K6984" s="14" t="s">
        <v>6012</v>
      </c>
      <c r="L6984" s="14">
        <v>0.0</v>
      </c>
    </row>
    <row r="6985">
      <c r="A6985" s="14">
        <v>38.0</v>
      </c>
      <c r="B6985" s="14">
        <v>0.0</v>
      </c>
      <c r="C6985" s="34">
        <v>8.2</v>
      </c>
      <c r="D6985" s="36">
        <v>45683.0</v>
      </c>
      <c r="E6985" s="24"/>
      <c r="F6985" s="14" t="s">
        <v>6012</v>
      </c>
      <c r="G6985" s="14">
        <v>215.79</v>
      </c>
      <c r="H6985" s="14">
        <v>0.0</v>
      </c>
      <c r="I6985" s="14" t="s">
        <v>6082</v>
      </c>
      <c r="J6985" s="14" t="s">
        <v>6012</v>
      </c>
      <c r="K6985" s="14" t="s">
        <v>6012</v>
      </c>
      <c r="L6985" s="14">
        <v>0.0</v>
      </c>
    </row>
    <row r="6986">
      <c r="A6986" s="14">
        <v>85.0</v>
      </c>
      <c r="B6986" s="14">
        <v>1.0</v>
      </c>
      <c r="C6986" s="34">
        <v>9.37</v>
      </c>
      <c r="D6986" s="36">
        <v>45683.0</v>
      </c>
      <c r="E6986" s="24"/>
      <c r="F6986" s="14">
        <v>9.37</v>
      </c>
      <c r="G6986" s="14">
        <v>110.24</v>
      </c>
      <c r="H6986" s="14">
        <v>1.18</v>
      </c>
      <c r="I6986" s="14" t="s">
        <v>6085</v>
      </c>
      <c r="J6986" s="14">
        <v>0.0</v>
      </c>
      <c r="K6986" s="14" t="s">
        <v>6012</v>
      </c>
      <c r="L6986" s="14">
        <v>0.0</v>
      </c>
    </row>
    <row r="6987">
      <c r="A6987" s="14">
        <v>46.0</v>
      </c>
      <c r="B6987" s="14">
        <v>0.0</v>
      </c>
      <c r="C6987" s="34">
        <v>13.06</v>
      </c>
      <c r="D6987" s="36">
        <v>45683.0</v>
      </c>
      <c r="E6987" s="24"/>
      <c r="F6987" s="14" t="s">
        <v>6012</v>
      </c>
      <c r="G6987" s="14">
        <v>283.91</v>
      </c>
      <c r="H6987" s="14">
        <v>0.0</v>
      </c>
      <c r="I6987" s="14" t="s">
        <v>6086</v>
      </c>
      <c r="J6987" s="14" t="s">
        <v>6012</v>
      </c>
      <c r="K6987" s="14" t="s">
        <v>6012</v>
      </c>
      <c r="L6987" s="14">
        <v>0.0</v>
      </c>
    </row>
    <row r="6988">
      <c r="A6988" s="14">
        <v>53.0</v>
      </c>
      <c r="B6988" s="14">
        <v>1.0</v>
      </c>
      <c r="C6988" s="34">
        <v>21.91</v>
      </c>
      <c r="D6988" s="36">
        <v>45684.0</v>
      </c>
      <c r="E6988" s="24"/>
      <c r="F6988" s="14">
        <v>21.91</v>
      </c>
      <c r="G6988" s="14">
        <v>413.4</v>
      </c>
      <c r="H6988" s="14">
        <v>1.89</v>
      </c>
      <c r="I6988" s="14" t="s">
        <v>6086</v>
      </c>
      <c r="J6988" s="14">
        <v>0.0</v>
      </c>
      <c r="K6988" s="14" t="s">
        <v>6012</v>
      </c>
      <c r="L6988" s="14">
        <v>0.0</v>
      </c>
    </row>
    <row r="6989">
      <c r="A6989" s="14">
        <v>151.0</v>
      </c>
      <c r="B6989" s="14">
        <v>1.0</v>
      </c>
      <c r="C6989" s="34">
        <v>19.29</v>
      </c>
      <c r="D6989" s="36">
        <v>45684.0</v>
      </c>
      <c r="E6989" s="24"/>
      <c r="F6989" s="14">
        <v>19.29</v>
      </c>
      <c r="G6989" s="14">
        <v>127.75</v>
      </c>
      <c r="H6989" s="14">
        <v>0.66</v>
      </c>
      <c r="I6989" s="14" t="s">
        <v>6085</v>
      </c>
      <c r="J6989" s="14">
        <v>0.0</v>
      </c>
      <c r="K6989" s="14" t="s">
        <v>6012</v>
      </c>
      <c r="L6989" s="14">
        <v>0.0</v>
      </c>
    </row>
    <row r="6990">
      <c r="A6990" s="14">
        <v>46.0</v>
      </c>
      <c r="B6990" s="14">
        <v>0.0</v>
      </c>
      <c r="C6990" s="34">
        <v>18.36</v>
      </c>
      <c r="D6990" s="36">
        <v>45684.0</v>
      </c>
      <c r="E6990" s="24"/>
      <c r="F6990" s="14" t="s">
        <v>6012</v>
      </c>
      <c r="G6990" s="14">
        <v>399.13</v>
      </c>
      <c r="H6990" s="14">
        <v>0.0</v>
      </c>
      <c r="I6990" s="14" t="s">
        <v>6082</v>
      </c>
      <c r="J6990" s="14" t="s">
        <v>6012</v>
      </c>
      <c r="K6990" s="14" t="s">
        <v>6012</v>
      </c>
      <c r="L6990" s="14">
        <v>0.0</v>
      </c>
    </row>
    <row r="6991">
      <c r="A6991" s="14">
        <v>42.0</v>
      </c>
      <c r="B6991" s="14">
        <v>0.0</v>
      </c>
      <c r="C6991" s="34">
        <v>23.42</v>
      </c>
      <c r="D6991" s="36">
        <v>45684.0</v>
      </c>
      <c r="E6991" s="24"/>
      <c r="F6991" s="14" t="s">
        <v>6012</v>
      </c>
      <c r="G6991" s="14">
        <v>557.62</v>
      </c>
      <c r="H6991" s="14">
        <v>0.0</v>
      </c>
      <c r="I6991" s="14" t="s">
        <v>6078</v>
      </c>
      <c r="J6991" s="14" t="s">
        <v>6012</v>
      </c>
      <c r="K6991" s="14" t="s">
        <v>6012</v>
      </c>
      <c r="L6991" s="14">
        <v>0.0</v>
      </c>
    </row>
    <row r="6992">
      <c r="A6992" s="14">
        <v>42.0</v>
      </c>
      <c r="B6992" s="14">
        <v>0.0</v>
      </c>
      <c r="C6992" s="34">
        <v>14.18</v>
      </c>
      <c r="D6992" s="36">
        <v>45685.0</v>
      </c>
      <c r="E6992" s="24"/>
      <c r="F6992" s="14" t="s">
        <v>6012</v>
      </c>
      <c r="G6992" s="14">
        <v>337.62</v>
      </c>
      <c r="H6992" s="14">
        <v>0.0</v>
      </c>
      <c r="I6992" s="14" t="s">
        <v>6078</v>
      </c>
      <c r="J6992" s="14" t="s">
        <v>6012</v>
      </c>
      <c r="K6992" s="14" t="s">
        <v>6012</v>
      </c>
      <c r="L6992" s="14">
        <v>0.0</v>
      </c>
    </row>
    <row r="6993">
      <c r="A6993" s="14">
        <v>96.0</v>
      </c>
      <c r="B6993" s="14">
        <v>0.0</v>
      </c>
      <c r="C6993" s="34">
        <v>25.48</v>
      </c>
      <c r="D6993" s="36">
        <v>45685.0</v>
      </c>
      <c r="E6993" s="24"/>
      <c r="F6993" s="14" t="s">
        <v>6012</v>
      </c>
      <c r="G6993" s="14">
        <v>265.42</v>
      </c>
      <c r="H6993" s="14">
        <v>0.0</v>
      </c>
      <c r="I6993" s="14" t="s">
        <v>6086</v>
      </c>
      <c r="J6993" s="14" t="s">
        <v>6012</v>
      </c>
      <c r="K6993" s="14" t="s">
        <v>6012</v>
      </c>
      <c r="L6993" s="14">
        <v>0.0</v>
      </c>
    </row>
    <row r="6994">
      <c r="A6994" s="14">
        <v>393.0</v>
      </c>
      <c r="B6994" s="14">
        <v>1.0</v>
      </c>
      <c r="C6994" s="34">
        <v>21.03</v>
      </c>
      <c r="D6994" s="36">
        <v>45685.0</v>
      </c>
      <c r="E6994" s="24"/>
      <c r="F6994" s="14">
        <v>21.03</v>
      </c>
      <c r="G6994" s="14">
        <v>53.51</v>
      </c>
      <c r="H6994" s="14">
        <v>0.25</v>
      </c>
      <c r="I6994" s="14" t="s">
        <v>6085</v>
      </c>
      <c r="J6994" s="14">
        <v>0.0</v>
      </c>
      <c r="K6994" s="14" t="s">
        <v>6012</v>
      </c>
      <c r="L6994" s="14">
        <v>0.0</v>
      </c>
    </row>
    <row r="6995">
      <c r="A6995" s="14">
        <v>131.0</v>
      </c>
      <c r="B6995" s="14">
        <v>0.0</v>
      </c>
      <c r="C6995" s="34">
        <v>22.08</v>
      </c>
      <c r="D6995" s="36">
        <v>45685.0</v>
      </c>
      <c r="E6995" s="24"/>
      <c r="F6995" s="14" t="s">
        <v>6012</v>
      </c>
      <c r="G6995" s="14">
        <v>168.55</v>
      </c>
      <c r="H6995" s="14">
        <v>0.0</v>
      </c>
      <c r="I6995" s="14" t="s">
        <v>6082</v>
      </c>
      <c r="J6995" s="14" t="s">
        <v>6012</v>
      </c>
      <c r="K6995" s="14" t="s">
        <v>6012</v>
      </c>
      <c r="L6995" s="14">
        <v>0.0</v>
      </c>
    </row>
    <row r="6996">
      <c r="A6996" s="14">
        <v>104.0</v>
      </c>
      <c r="B6996" s="14">
        <v>1.0</v>
      </c>
      <c r="C6996" s="34">
        <v>23.03</v>
      </c>
      <c r="D6996" s="36">
        <v>45686.0</v>
      </c>
      <c r="E6996" s="24"/>
      <c r="F6996" s="14">
        <v>23.03</v>
      </c>
      <c r="G6996" s="14">
        <v>221.44</v>
      </c>
      <c r="H6996" s="14">
        <v>0.96</v>
      </c>
      <c r="I6996" s="14" t="s">
        <v>6086</v>
      </c>
      <c r="J6996" s="14">
        <v>0.0</v>
      </c>
      <c r="K6996" s="14" t="s">
        <v>6012</v>
      </c>
      <c r="L6996" s="14">
        <v>0.0</v>
      </c>
    </row>
    <row r="6997">
      <c r="A6997" s="14">
        <v>589.0</v>
      </c>
      <c r="B6997" s="14">
        <v>0.0</v>
      </c>
      <c r="C6997" s="34">
        <v>21.43</v>
      </c>
      <c r="D6997" s="36">
        <v>45686.0</v>
      </c>
      <c r="E6997" s="24"/>
      <c r="F6997" s="14" t="s">
        <v>6012</v>
      </c>
      <c r="G6997" s="14">
        <v>36.38</v>
      </c>
      <c r="H6997" s="14">
        <v>0.0</v>
      </c>
      <c r="I6997" s="14" t="s">
        <v>6085</v>
      </c>
      <c r="J6997" s="14" t="s">
        <v>6012</v>
      </c>
      <c r="K6997" s="14" t="s">
        <v>6012</v>
      </c>
      <c r="L6997" s="14">
        <v>0.0</v>
      </c>
    </row>
    <row r="6998">
      <c r="A6998" s="14">
        <v>138.0</v>
      </c>
      <c r="B6998" s="14">
        <v>0.0</v>
      </c>
      <c r="C6998" s="34">
        <v>23.57</v>
      </c>
      <c r="D6998" s="36">
        <v>45686.0</v>
      </c>
      <c r="E6998" s="24"/>
      <c r="F6998" s="14" t="s">
        <v>6012</v>
      </c>
      <c r="G6998" s="14">
        <v>170.8</v>
      </c>
      <c r="H6998" s="14">
        <v>0.0</v>
      </c>
      <c r="I6998" s="14" t="s">
        <v>6082</v>
      </c>
      <c r="J6998" s="14" t="s">
        <v>6012</v>
      </c>
      <c r="K6998" s="14" t="s">
        <v>6012</v>
      </c>
      <c r="L6998" s="14">
        <v>0.0</v>
      </c>
    </row>
    <row r="6999">
      <c r="A6999" s="14">
        <v>0.0</v>
      </c>
      <c r="B6999" s="14">
        <v>0.0</v>
      </c>
      <c r="C6999" s="34"/>
      <c r="D6999" s="36">
        <v>45686.0</v>
      </c>
      <c r="E6999" s="24"/>
      <c r="F6999" s="14" t="s">
        <v>6012</v>
      </c>
      <c r="G6999" s="14" t="s">
        <v>6012</v>
      </c>
      <c r="H6999" s="14" t="s">
        <v>6012</v>
      </c>
      <c r="I6999" s="14" t="s">
        <v>6078</v>
      </c>
      <c r="J6999" s="14" t="s">
        <v>6012</v>
      </c>
      <c r="K6999" s="14" t="s">
        <v>6012</v>
      </c>
      <c r="L6999" s="14"/>
    </row>
    <row r="7000">
      <c r="A7000" s="14">
        <v>336.0</v>
      </c>
      <c r="B7000" s="14">
        <v>1.0</v>
      </c>
      <c r="C7000" s="34">
        <v>20.91</v>
      </c>
      <c r="D7000" s="36">
        <v>45687.0</v>
      </c>
      <c r="E7000" s="24"/>
      <c r="F7000" s="14">
        <v>20.91</v>
      </c>
      <c r="G7000" s="14">
        <v>62.23</v>
      </c>
      <c r="H7000" s="14">
        <v>0.3</v>
      </c>
      <c r="I7000" s="14" t="s">
        <v>6085</v>
      </c>
      <c r="J7000" s="14">
        <v>0.0</v>
      </c>
      <c r="K7000" s="14" t="s">
        <v>6012</v>
      </c>
      <c r="L7000" s="14">
        <v>0.0</v>
      </c>
    </row>
    <row r="7001">
      <c r="A7001" s="14">
        <v>120.0</v>
      </c>
      <c r="B7001" s="14">
        <v>2.0</v>
      </c>
      <c r="C7001" s="34">
        <v>21.87</v>
      </c>
      <c r="D7001" s="36">
        <v>45687.0</v>
      </c>
      <c r="E7001" s="24"/>
      <c r="F7001" s="14">
        <v>10.94</v>
      </c>
      <c r="G7001" s="14">
        <v>182.25</v>
      </c>
      <c r="H7001" s="14">
        <v>1.67</v>
      </c>
      <c r="I7001" s="14" t="s">
        <v>6082</v>
      </c>
      <c r="J7001" s="14">
        <v>0.0</v>
      </c>
      <c r="K7001" s="14" t="s">
        <v>6012</v>
      </c>
      <c r="L7001" s="14">
        <v>0.0</v>
      </c>
    </row>
    <row r="7002">
      <c r="A7002" s="14">
        <v>110.0</v>
      </c>
      <c r="B7002" s="14">
        <v>1.0</v>
      </c>
      <c r="C7002" s="34">
        <v>22.7</v>
      </c>
      <c r="D7002" s="36">
        <v>45687.0</v>
      </c>
      <c r="E7002" s="24"/>
      <c r="F7002" s="14">
        <v>22.7</v>
      </c>
      <c r="G7002" s="14">
        <v>206.36</v>
      </c>
      <c r="H7002" s="14">
        <v>0.91</v>
      </c>
      <c r="I7002" s="14" t="s">
        <v>6086</v>
      </c>
      <c r="J7002" s="14">
        <v>0.0</v>
      </c>
      <c r="K7002" s="14" t="s">
        <v>6012</v>
      </c>
      <c r="L7002" s="14">
        <v>0.0</v>
      </c>
    </row>
    <row r="7003">
      <c r="A7003" s="14">
        <v>189.0</v>
      </c>
      <c r="B7003" s="14">
        <v>1.0</v>
      </c>
      <c r="C7003" s="34">
        <v>18.69</v>
      </c>
      <c r="D7003" s="36">
        <v>45688.0</v>
      </c>
      <c r="E7003" s="24"/>
      <c r="F7003" s="14">
        <v>18.69</v>
      </c>
      <c r="G7003" s="14">
        <v>98.89</v>
      </c>
      <c r="H7003" s="14">
        <v>0.53</v>
      </c>
      <c r="I7003" s="14" t="s">
        <v>6085</v>
      </c>
      <c r="J7003" s="14">
        <v>0.0</v>
      </c>
      <c r="K7003" s="14" t="s">
        <v>6012</v>
      </c>
      <c r="L7003" s="14">
        <v>0.0</v>
      </c>
    </row>
    <row r="7004">
      <c r="A7004" s="14">
        <v>92.0</v>
      </c>
      <c r="B7004" s="14">
        <v>0.0</v>
      </c>
      <c r="C7004" s="34">
        <v>21.04</v>
      </c>
      <c r="D7004" s="36">
        <v>45688.0</v>
      </c>
      <c r="E7004" s="24"/>
      <c r="F7004" s="14" t="s">
        <v>6012</v>
      </c>
      <c r="G7004" s="14">
        <v>228.7</v>
      </c>
      <c r="H7004" s="14">
        <v>0.0</v>
      </c>
      <c r="I7004" s="14" t="s">
        <v>6086</v>
      </c>
      <c r="J7004" s="14" t="s">
        <v>6012</v>
      </c>
      <c r="K7004" s="14" t="s">
        <v>6012</v>
      </c>
      <c r="L7004" s="14">
        <v>0.0</v>
      </c>
    </row>
    <row r="7005">
      <c r="A7005" s="14">
        <v>118.0</v>
      </c>
      <c r="B7005" s="14">
        <v>0.0</v>
      </c>
      <c r="C7005" s="34">
        <v>22.41</v>
      </c>
      <c r="D7005" s="36">
        <v>45688.0</v>
      </c>
      <c r="E7005" s="24"/>
      <c r="F7005" s="14" t="s">
        <v>6012</v>
      </c>
      <c r="G7005" s="14">
        <v>189.92</v>
      </c>
      <c r="H7005" s="14">
        <v>0.0</v>
      </c>
      <c r="I7005" s="14" t="s">
        <v>6082</v>
      </c>
      <c r="J7005" s="14" t="s">
        <v>6012</v>
      </c>
      <c r="K7005" s="14" t="s">
        <v>6012</v>
      </c>
      <c r="L7005" s="14">
        <v>0.0</v>
      </c>
    </row>
    <row r="7006">
      <c r="A7006" s="14">
        <v>73.0</v>
      </c>
      <c r="B7006" s="14">
        <v>0.0</v>
      </c>
      <c r="C7006" s="34">
        <v>11.63</v>
      </c>
      <c r="D7006" s="36">
        <v>45689.0</v>
      </c>
      <c r="E7006" s="24"/>
      <c r="F7006" s="14" t="s">
        <v>6012</v>
      </c>
      <c r="G7006" s="14">
        <v>159.32</v>
      </c>
      <c r="H7006" s="14">
        <v>0.0</v>
      </c>
      <c r="I7006" s="14" t="s">
        <v>6082</v>
      </c>
      <c r="J7006" s="14" t="s">
        <v>6012</v>
      </c>
      <c r="K7006" s="14" t="s">
        <v>6012</v>
      </c>
      <c r="L7006" s="14">
        <v>0.0</v>
      </c>
    </row>
    <row r="7007">
      <c r="A7007" s="14">
        <v>63.0</v>
      </c>
      <c r="B7007" s="14">
        <v>1.0</v>
      </c>
      <c r="C7007" s="34">
        <v>12.39</v>
      </c>
      <c r="D7007" s="36">
        <v>45689.0</v>
      </c>
      <c r="E7007" s="24"/>
      <c r="F7007" s="14">
        <v>12.39</v>
      </c>
      <c r="G7007" s="14">
        <v>196.67</v>
      </c>
      <c r="H7007" s="14">
        <v>1.59</v>
      </c>
      <c r="I7007" s="14" t="s">
        <v>6086</v>
      </c>
      <c r="J7007" s="14">
        <v>0.0</v>
      </c>
      <c r="K7007" s="14" t="s">
        <v>6012</v>
      </c>
      <c r="L7007" s="14">
        <v>0.0</v>
      </c>
    </row>
    <row r="7008">
      <c r="A7008" s="14">
        <v>178.0</v>
      </c>
      <c r="B7008" s="14">
        <v>0.0</v>
      </c>
      <c r="C7008" s="34">
        <v>14.42</v>
      </c>
      <c r="D7008" s="36">
        <v>45689.0</v>
      </c>
      <c r="E7008" s="24"/>
      <c r="F7008" s="14" t="s">
        <v>6012</v>
      </c>
      <c r="G7008" s="14">
        <v>81.01</v>
      </c>
      <c r="H7008" s="14">
        <v>0.0</v>
      </c>
      <c r="I7008" s="14" t="s">
        <v>6085</v>
      </c>
      <c r="J7008" s="14" t="s">
        <v>6012</v>
      </c>
      <c r="K7008" s="14" t="s">
        <v>6012</v>
      </c>
      <c r="L7008" s="14">
        <v>0.0</v>
      </c>
    </row>
    <row r="7009">
      <c r="A7009" s="14">
        <v>39.0</v>
      </c>
      <c r="B7009" s="14">
        <v>0.0</v>
      </c>
      <c r="C7009" s="34">
        <v>6.08</v>
      </c>
      <c r="D7009" s="36">
        <v>45690.0</v>
      </c>
      <c r="E7009" s="24"/>
      <c r="F7009" s="14" t="s">
        <v>6012</v>
      </c>
      <c r="G7009" s="14">
        <v>155.9</v>
      </c>
      <c r="H7009" s="14">
        <v>0.0</v>
      </c>
      <c r="I7009" s="14" t="s">
        <v>6082</v>
      </c>
      <c r="J7009" s="14" t="s">
        <v>6012</v>
      </c>
      <c r="K7009" s="14" t="s">
        <v>6012</v>
      </c>
      <c r="L7009" s="14">
        <v>0.0</v>
      </c>
    </row>
    <row r="7010">
      <c r="A7010" s="14">
        <v>107.0</v>
      </c>
      <c r="B7010" s="14">
        <v>0.0</v>
      </c>
      <c r="C7010" s="34">
        <v>10.23</v>
      </c>
      <c r="D7010" s="36">
        <v>45690.0</v>
      </c>
      <c r="E7010" s="24"/>
      <c r="F7010" s="14" t="s">
        <v>6012</v>
      </c>
      <c r="G7010" s="14">
        <v>95.61</v>
      </c>
      <c r="H7010" s="14">
        <v>0.0</v>
      </c>
      <c r="I7010" s="14" t="s">
        <v>6085</v>
      </c>
      <c r="J7010" s="14" t="s">
        <v>6012</v>
      </c>
      <c r="K7010" s="14" t="s">
        <v>6012</v>
      </c>
      <c r="L7010" s="14">
        <v>0.0</v>
      </c>
    </row>
    <row r="7011">
      <c r="A7011" s="14">
        <v>56.0</v>
      </c>
      <c r="B7011" s="14">
        <v>0.0</v>
      </c>
      <c r="C7011" s="34">
        <v>9.95</v>
      </c>
      <c r="D7011" s="36">
        <v>45690.0</v>
      </c>
      <c r="E7011" s="24"/>
      <c r="F7011" s="14" t="s">
        <v>6012</v>
      </c>
      <c r="G7011" s="14">
        <v>177.68</v>
      </c>
      <c r="H7011" s="14">
        <v>0.0</v>
      </c>
      <c r="I7011" s="14" t="s">
        <v>6086</v>
      </c>
      <c r="J7011" s="14" t="s">
        <v>6012</v>
      </c>
      <c r="K7011" s="14" t="s">
        <v>6012</v>
      </c>
      <c r="L7011" s="14">
        <v>0.0</v>
      </c>
    </row>
    <row r="7012">
      <c r="A7012" s="14">
        <v>164.0</v>
      </c>
      <c r="B7012" s="14">
        <v>1.0</v>
      </c>
      <c r="C7012" s="34">
        <v>19.79</v>
      </c>
      <c r="D7012" s="36">
        <v>45691.0</v>
      </c>
      <c r="E7012" s="24"/>
      <c r="F7012" s="14">
        <v>19.79</v>
      </c>
      <c r="G7012" s="14">
        <v>120.67</v>
      </c>
      <c r="H7012" s="14">
        <v>0.61</v>
      </c>
      <c r="I7012" s="14" t="s">
        <v>6082</v>
      </c>
      <c r="J7012" s="14">
        <v>0.0</v>
      </c>
      <c r="K7012" s="14" t="s">
        <v>6012</v>
      </c>
      <c r="L7012" s="14">
        <v>0.0</v>
      </c>
    </row>
    <row r="7013">
      <c r="A7013" s="14">
        <v>333.0</v>
      </c>
      <c r="B7013" s="14">
        <v>1.0</v>
      </c>
      <c r="C7013" s="34">
        <v>18.74</v>
      </c>
      <c r="D7013" s="36">
        <v>45691.0</v>
      </c>
      <c r="E7013" s="24"/>
      <c r="F7013" s="14">
        <v>18.74</v>
      </c>
      <c r="G7013" s="14">
        <v>56.28</v>
      </c>
      <c r="H7013" s="14">
        <v>0.3</v>
      </c>
      <c r="I7013" s="14" t="s">
        <v>6085</v>
      </c>
      <c r="J7013" s="14">
        <v>0.0</v>
      </c>
      <c r="K7013" s="14" t="s">
        <v>6012</v>
      </c>
      <c r="L7013" s="14">
        <v>0.0</v>
      </c>
    </row>
    <row r="7014">
      <c r="A7014" s="14">
        <v>98.0</v>
      </c>
      <c r="B7014" s="14">
        <v>0.0</v>
      </c>
      <c r="C7014" s="34">
        <v>21.73</v>
      </c>
      <c r="D7014" s="36">
        <v>45691.0</v>
      </c>
      <c r="E7014" s="24"/>
      <c r="F7014" s="14" t="s">
        <v>6012</v>
      </c>
      <c r="G7014" s="14">
        <v>221.73</v>
      </c>
      <c r="H7014" s="14">
        <v>0.0</v>
      </c>
      <c r="I7014" s="14" t="s">
        <v>6086</v>
      </c>
      <c r="J7014" s="14" t="s">
        <v>6012</v>
      </c>
      <c r="K7014" s="14" t="s">
        <v>6012</v>
      </c>
      <c r="L7014" s="14">
        <v>0.0</v>
      </c>
    </row>
    <row r="7015">
      <c r="A7015" s="14">
        <v>130.0</v>
      </c>
      <c r="B7015" s="14">
        <v>1.0</v>
      </c>
      <c r="C7015" s="34">
        <v>21.72</v>
      </c>
      <c r="D7015" s="36">
        <v>45692.0</v>
      </c>
      <c r="E7015" s="24"/>
      <c r="F7015" s="14">
        <v>21.72</v>
      </c>
      <c r="G7015" s="14">
        <v>167.08</v>
      </c>
      <c r="H7015" s="14">
        <v>0.77</v>
      </c>
      <c r="I7015" s="14" t="s">
        <v>6086</v>
      </c>
      <c r="J7015" s="14">
        <v>0.0</v>
      </c>
      <c r="K7015" s="14" t="s">
        <v>6012</v>
      </c>
      <c r="L7015" s="14">
        <v>0.0</v>
      </c>
    </row>
    <row r="7016">
      <c r="A7016" s="14">
        <v>274.0</v>
      </c>
      <c r="B7016" s="14">
        <v>1.0</v>
      </c>
      <c r="C7016" s="34">
        <v>22.88</v>
      </c>
      <c r="D7016" s="36">
        <v>45692.0</v>
      </c>
      <c r="E7016" s="24"/>
      <c r="F7016" s="14">
        <v>22.88</v>
      </c>
      <c r="G7016" s="14">
        <v>83.5</v>
      </c>
      <c r="H7016" s="14">
        <v>0.36</v>
      </c>
      <c r="I7016" s="14" t="s">
        <v>6085</v>
      </c>
      <c r="J7016" s="14">
        <v>0.0</v>
      </c>
      <c r="K7016" s="14" t="s">
        <v>6012</v>
      </c>
      <c r="L7016" s="14">
        <v>0.0</v>
      </c>
    </row>
    <row r="7017">
      <c r="A7017" s="14">
        <v>340.0</v>
      </c>
      <c r="B7017" s="14">
        <v>1.0</v>
      </c>
      <c r="C7017" s="34">
        <v>19.68</v>
      </c>
      <c r="D7017" s="36">
        <v>45692.0</v>
      </c>
      <c r="E7017" s="24"/>
      <c r="F7017" s="14">
        <v>19.68</v>
      </c>
      <c r="G7017" s="14">
        <v>57.88</v>
      </c>
      <c r="H7017" s="14">
        <v>0.29</v>
      </c>
      <c r="I7017" s="14" t="s">
        <v>6082</v>
      </c>
      <c r="J7017" s="14">
        <v>0.0</v>
      </c>
      <c r="K7017" s="14" t="s">
        <v>6012</v>
      </c>
      <c r="L7017" s="14">
        <v>0.0</v>
      </c>
    </row>
    <row r="7018">
      <c r="A7018" s="14">
        <v>219.0</v>
      </c>
      <c r="B7018" s="14">
        <v>2.0</v>
      </c>
      <c r="C7018" s="34">
        <v>22.44</v>
      </c>
      <c r="D7018" s="36">
        <v>45693.0</v>
      </c>
      <c r="E7018" s="24"/>
      <c r="F7018" s="14">
        <v>11.22</v>
      </c>
      <c r="G7018" s="14">
        <v>102.47</v>
      </c>
      <c r="H7018" s="14">
        <v>0.91</v>
      </c>
      <c r="I7018" s="14" t="s">
        <v>6085</v>
      </c>
      <c r="J7018" s="14">
        <v>0.0</v>
      </c>
      <c r="K7018" s="14" t="s">
        <v>6012</v>
      </c>
      <c r="L7018" s="14">
        <v>0.0</v>
      </c>
    </row>
    <row r="7019">
      <c r="A7019" s="14">
        <v>141.0</v>
      </c>
      <c r="B7019" s="14">
        <v>1.0</v>
      </c>
      <c r="C7019" s="34">
        <v>24.22</v>
      </c>
      <c r="D7019" s="36">
        <v>45693.0</v>
      </c>
      <c r="E7019" s="24"/>
      <c r="F7019" s="14">
        <v>24.22</v>
      </c>
      <c r="G7019" s="14">
        <v>171.77</v>
      </c>
      <c r="H7019" s="14">
        <v>0.71</v>
      </c>
      <c r="I7019" s="14" t="s">
        <v>6086</v>
      </c>
      <c r="J7019" s="14">
        <v>0.0</v>
      </c>
      <c r="K7019" s="14" t="s">
        <v>6012</v>
      </c>
      <c r="L7019" s="14">
        <v>0.0</v>
      </c>
    </row>
    <row r="7020">
      <c r="A7020" s="14">
        <v>136.0</v>
      </c>
      <c r="B7020" s="14">
        <v>0.0</v>
      </c>
      <c r="C7020" s="34">
        <v>22.79</v>
      </c>
      <c r="D7020" s="36">
        <v>45693.0</v>
      </c>
      <c r="E7020" s="24"/>
      <c r="F7020" s="14" t="s">
        <v>6012</v>
      </c>
      <c r="G7020" s="14">
        <v>167.57</v>
      </c>
      <c r="H7020" s="14">
        <v>0.0</v>
      </c>
      <c r="I7020" s="14" t="s">
        <v>6082</v>
      </c>
      <c r="J7020" s="14" t="s">
        <v>6012</v>
      </c>
      <c r="K7020" s="14" t="s">
        <v>6012</v>
      </c>
      <c r="L7020" s="14">
        <v>0.0</v>
      </c>
    </row>
    <row r="7021">
      <c r="A7021" s="14">
        <v>145.0</v>
      </c>
      <c r="B7021" s="14">
        <v>1.0</v>
      </c>
      <c r="C7021" s="34">
        <v>21.55</v>
      </c>
      <c r="D7021" s="36">
        <v>45694.0</v>
      </c>
      <c r="E7021" s="24"/>
      <c r="F7021" s="14">
        <v>21.55</v>
      </c>
      <c r="G7021" s="14">
        <v>148.62</v>
      </c>
      <c r="H7021" s="14">
        <v>0.69</v>
      </c>
      <c r="I7021" s="14" t="s">
        <v>6086</v>
      </c>
      <c r="J7021" s="14">
        <v>0.0</v>
      </c>
      <c r="K7021" s="14" t="s">
        <v>6012</v>
      </c>
      <c r="L7021" s="14">
        <v>0.0</v>
      </c>
    </row>
    <row r="7022">
      <c r="A7022" s="14">
        <v>184.0</v>
      </c>
      <c r="B7022" s="14">
        <v>1.0</v>
      </c>
      <c r="C7022" s="34">
        <v>21.35</v>
      </c>
      <c r="D7022" s="36">
        <v>45694.0</v>
      </c>
      <c r="E7022" s="24"/>
      <c r="F7022" s="14">
        <v>21.35</v>
      </c>
      <c r="G7022" s="14">
        <v>116.03</v>
      </c>
      <c r="H7022" s="14">
        <v>0.54</v>
      </c>
      <c r="I7022" s="14" t="s">
        <v>6082</v>
      </c>
      <c r="J7022" s="14">
        <v>0.0</v>
      </c>
      <c r="K7022" s="14" t="s">
        <v>6012</v>
      </c>
      <c r="L7022" s="14">
        <v>0.0</v>
      </c>
    </row>
    <row r="7023">
      <c r="A7023" s="14">
        <v>239.0</v>
      </c>
      <c r="B7023" s="14">
        <v>0.0</v>
      </c>
      <c r="C7023" s="34">
        <v>21.51</v>
      </c>
      <c r="D7023" s="36">
        <v>45694.0</v>
      </c>
      <c r="E7023" s="24"/>
      <c r="F7023" s="14" t="s">
        <v>6012</v>
      </c>
      <c r="G7023" s="14">
        <v>90.0</v>
      </c>
      <c r="H7023" s="14">
        <v>0.0</v>
      </c>
      <c r="I7023" s="14" t="s">
        <v>6085</v>
      </c>
      <c r="J7023" s="14" t="s">
        <v>6012</v>
      </c>
      <c r="K7023" s="14" t="s">
        <v>6012</v>
      </c>
      <c r="L7023" s="14">
        <v>0.0</v>
      </c>
    </row>
    <row r="7024">
      <c r="A7024" s="14">
        <v>159.0</v>
      </c>
      <c r="B7024" s="14">
        <v>0.0</v>
      </c>
      <c r="C7024" s="34">
        <v>21.1</v>
      </c>
      <c r="D7024" s="36">
        <v>45695.0</v>
      </c>
      <c r="E7024" s="24"/>
      <c r="F7024" s="14" t="s">
        <v>6012</v>
      </c>
      <c r="G7024" s="14">
        <v>132.7</v>
      </c>
      <c r="H7024" s="14">
        <v>0.0</v>
      </c>
      <c r="I7024" s="14" t="s">
        <v>6086</v>
      </c>
      <c r="J7024" s="14" t="s">
        <v>6012</v>
      </c>
      <c r="K7024" s="14" t="s">
        <v>6012</v>
      </c>
      <c r="L7024" s="14">
        <v>0.0</v>
      </c>
    </row>
    <row r="7025">
      <c r="A7025" s="14">
        <v>214.0</v>
      </c>
      <c r="B7025" s="14">
        <v>6.0</v>
      </c>
      <c r="C7025" s="34">
        <v>19.5</v>
      </c>
      <c r="D7025" s="36">
        <v>45695.0</v>
      </c>
      <c r="E7025" s="24"/>
      <c r="F7025" s="14">
        <v>3.25</v>
      </c>
      <c r="G7025" s="14">
        <v>91.12</v>
      </c>
      <c r="H7025" s="14">
        <v>2.8</v>
      </c>
      <c r="I7025" s="14" t="s">
        <v>6085</v>
      </c>
      <c r="J7025" s="14">
        <v>0.0</v>
      </c>
      <c r="K7025" s="14" t="s">
        <v>6012</v>
      </c>
      <c r="L7025" s="14">
        <v>0.0</v>
      </c>
    </row>
    <row r="7026">
      <c r="A7026" s="14">
        <v>106.0</v>
      </c>
      <c r="B7026" s="14">
        <v>1.0</v>
      </c>
      <c r="C7026" s="34">
        <v>21.46</v>
      </c>
      <c r="D7026" s="36">
        <v>45695.0</v>
      </c>
      <c r="E7026" s="24"/>
      <c r="F7026" s="14">
        <v>21.46</v>
      </c>
      <c r="G7026" s="14">
        <v>202.45</v>
      </c>
      <c r="H7026" s="14">
        <v>0.94</v>
      </c>
      <c r="I7026" s="14" t="s">
        <v>6082</v>
      </c>
      <c r="J7026" s="14">
        <v>0.0</v>
      </c>
      <c r="K7026" s="14" t="s">
        <v>6012</v>
      </c>
      <c r="L7026" s="14">
        <v>0.0</v>
      </c>
    </row>
    <row r="7027">
      <c r="A7027" s="14">
        <v>128.0</v>
      </c>
      <c r="B7027" s="14">
        <v>0.0</v>
      </c>
      <c r="C7027" s="34">
        <v>12.02</v>
      </c>
      <c r="D7027" s="36">
        <v>45696.0</v>
      </c>
      <c r="E7027" s="24"/>
      <c r="F7027" s="14" t="s">
        <v>6012</v>
      </c>
      <c r="G7027" s="14">
        <v>93.91</v>
      </c>
      <c r="H7027" s="14">
        <v>0.0</v>
      </c>
      <c r="I7027" s="14" t="s">
        <v>6085</v>
      </c>
      <c r="J7027" s="14" t="s">
        <v>6012</v>
      </c>
      <c r="K7027" s="14" t="s">
        <v>6012</v>
      </c>
      <c r="L7027" s="14">
        <v>0.0</v>
      </c>
    </row>
    <row r="7028">
      <c r="A7028" s="14">
        <v>84.0</v>
      </c>
      <c r="B7028" s="14">
        <v>0.0</v>
      </c>
      <c r="C7028" s="34">
        <v>15.14</v>
      </c>
      <c r="D7028" s="36">
        <v>45696.0</v>
      </c>
      <c r="E7028" s="24"/>
      <c r="F7028" s="14" t="s">
        <v>6012</v>
      </c>
      <c r="G7028" s="14">
        <v>180.24</v>
      </c>
      <c r="H7028" s="14">
        <v>0.0</v>
      </c>
      <c r="I7028" s="14" t="s">
        <v>6086</v>
      </c>
      <c r="J7028" s="14" t="s">
        <v>6012</v>
      </c>
      <c r="K7028" s="14" t="s">
        <v>6012</v>
      </c>
      <c r="L7028" s="14">
        <v>0.0</v>
      </c>
    </row>
    <row r="7029">
      <c r="A7029" s="14">
        <v>102.0</v>
      </c>
      <c r="B7029" s="14">
        <v>0.0</v>
      </c>
      <c r="C7029" s="34">
        <v>12.04</v>
      </c>
      <c r="D7029" s="36">
        <v>45696.0</v>
      </c>
      <c r="E7029" s="24"/>
      <c r="F7029" s="14" t="s">
        <v>6012</v>
      </c>
      <c r="G7029" s="14">
        <v>118.04</v>
      </c>
      <c r="H7029" s="14">
        <v>0.0</v>
      </c>
      <c r="I7029" s="14" t="s">
        <v>6082</v>
      </c>
      <c r="J7029" s="14" t="s">
        <v>6012</v>
      </c>
      <c r="K7029" s="14" t="s">
        <v>6012</v>
      </c>
      <c r="L7029" s="14">
        <v>0.0</v>
      </c>
    </row>
    <row r="7030">
      <c r="A7030" s="14">
        <v>47.0</v>
      </c>
      <c r="B7030" s="14">
        <v>0.0</v>
      </c>
      <c r="C7030" s="34">
        <v>8.89</v>
      </c>
      <c r="D7030" s="36">
        <v>45697.0</v>
      </c>
      <c r="E7030" s="24"/>
      <c r="F7030" s="14" t="s">
        <v>6012</v>
      </c>
      <c r="G7030" s="14">
        <v>189.15</v>
      </c>
      <c r="H7030" s="14">
        <v>0.0</v>
      </c>
      <c r="I7030" s="14" t="s">
        <v>6082</v>
      </c>
      <c r="J7030" s="14" t="s">
        <v>6012</v>
      </c>
      <c r="K7030" s="14" t="s">
        <v>6012</v>
      </c>
      <c r="L7030" s="14">
        <v>0.0</v>
      </c>
    </row>
    <row r="7031">
      <c r="A7031" s="14">
        <v>102.0</v>
      </c>
      <c r="B7031" s="14">
        <v>1.0</v>
      </c>
      <c r="C7031" s="34">
        <v>8.91</v>
      </c>
      <c r="D7031" s="36">
        <v>45697.0</v>
      </c>
      <c r="E7031" s="24"/>
      <c r="F7031" s="14">
        <v>8.91</v>
      </c>
      <c r="G7031" s="14">
        <v>87.35</v>
      </c>
      <c r="H7031" s="14">
        <v>0.98</v>
      </c>
      <c r="I7031" s="14" t="s">
        <v>6085</v>
      </c>
      <c r="J7031" s="14">
        <v>0.0</v>
      </c>
      <c r="K7031" s="14" t="s">
        <v>6012</v>
      </c>
      <c r="L7031" s="14">
        <v>0.0</v>
      </c>
    </row>
    <row r="7032">
      <c r="A7032" s="14">
        <v>34.0</v>
      </c>
      <c r="B7032" s="14">
        <v>0.0</v>
      </c>
      <c r="C7032" s="34">
        <v>10.93</v>
      </c>
      <c r="D7032" s="36">
        <v>45697.0</v>
      </c>
      <c r="E7032" s="24"/>
      <c r="F7032" s="14" t="s">
        <v>6012</v>
      </c>
      <c r="G7032" s="14">
        <v>321.47</v>
      </c>
      <c r="H7032" s="14">
        <v>0.0</v>
      </c>
      <c r="I7032" s="14" t="s">
        <v>6086</v>
      </c>
      <c r="J7032" s="14" t="s">
        <v>6012</v>
      </c>
      <c r="K7032" s="14" t="s">
        <v>6012</v>
      </c>
      <c r="L7032" s="14">
        <v>0.0</v>
      </c>
    </row>
    <row r="7033">
      <c r="A7033" s="14">
        <v>145.0</v>
      </c>
      <c r="B7033" s="14">
        <v>0.0</v>
      </c>
      <c r="C7033" s="34">
        <v>21.06</v>
      </c>
      <c r="D7033" s="36">
        <v>45698.0</v>
      </c>
      <c r="E7033" s="24"/>
      <c r="F7033" s="14" t="s">
        <v>6012</v>
      </c>
      <c r="G7033" s="14">
        <v>145.24</v>
      </c>
      <c r="H7033" s="14">
        <v>0.0</v>
      </c>
      <c r="I7033" s="14" t="s">
        <v>6086</v>
      </c>
      <c r="J7033" s="14" t="s">
        <v>6012</v>
      </c>
      <c r="K7033" s="14" t="s">
        <v>6012</v>
      </c>
      <c r="L7033" s="14">
        <v>0.0</v>
      </c>
    </row>
    <row r="7034">
      <c r="A7034" s="14">
        <v>97.0</v>
      </c>
      <c r="B7034" s="14">
        <v>2.0</v>
      </c>
      <c r="C7034" s="34">
        <v>20.08</v>
      </c>
      <c r="D7034" s="36">
        <v>45698.0</v>
      </c>
      <c r="E7034" s="24"/>
      <c r="F7034" s="14">
        <v>10.04</v>
      </c>
      <c r="G7034" s="14">
        <v>207.01</v>
      </c>
      <c r="H7034" s="14">
        <v>2.06</v>
      </c>
      <c r="I7034" s="14" t="s">
        <v>6082</v>
      </c>
      <c r="J7034" s="14">
        <v>0.0</v>
      </c>
      <c r="K7034" s="14" t="s">
        <v>6012</v>
      </c>
      <c r="L7034" s="14">
        <v>0.0</v>
      </c>
    </row>
    <row r="7035">
      <c r="A7035" s="14">
        <v>181.0</v>
      </c>
      <c r="B7035" s="14">
        <v>0.0</v>
      </c>
      <c r="C7035" s="34">
        <v>18.45</v>
      </c>
      <c r="D7035" s="36">
        <v>45698.0</v>
      </c>
      <c r="E7035" s="24"/>
      <c r="F7035" s="14" t="s">
        <v>6012</v>
      </c>
      <c r="G7035" s="14">
        <v>101.93</v>
      </c>
      <c r="H7035" s="14">
        <v>0.0</v>
      </c>
      <c r="I7035" s="14" t="s">
        <v>6085</v>
      </c>
      <c r="J7035" s="14" t="s">
        <v>6012</v>
      </c>
      <c r="K7035" s="14" t="s">
        <v>6012</v>
      </c>
      <c r="L7035" s="14">
        <v>0.0</v>
      </c>
    </row>
    <row r="7036">
      <c r="A7036" s="14">
        <v>307.0</v>
      </c>
      <c r="B7036" s="14">
        <v>1.0</v>
      </c>
      <c r="C7036" s="34">
        <v>20.38</v>
      </c>
      <c r="D7036" s="36">
        <v>45699.0</v>
      </c>
      <c r="E7036" s="24"/>
      <c r="F7036" s="14">
        <v>20.38</v>
      </c>
      <c r="G7036" s="14">
        <v>66.38</v>
      </c>
      <c r="H7036" s="14">
        <v>0.33</v>
      </c>
      <c r="I7036" s="14" t="s">
        <v>6082</v>
      </c>
      <c r="J7036" s="14">
        <v>0.0</v>
      </c>
      <c r="K7036" s="14" t="s">
        <v>6012</v>
      </c>
      <c r="L7036" s="14">
        <v>0.0</v>
      </c>
    </row>
    <row r="7037">
      <c r="A7037" s="14">
        <v>278.0</v>
      </c>
      <c r="B7037" s="14">
        <v>0.0</v>
      </c>
      <c r="C7037" s="34">
        <v>21.75</v>
      </c>
      <c r="D7037" s="36">
        <v>45699.0</v>
      </c>
      <c r="E7037" s="24"/>
      <c r="F7037" s="14" t="s">
        <v>6012</v>
      </c>
      <c r="G7037" s="14">
        <v>78.24</v>
      </c>
      <c r="H7037" s="14">
        <v>0.0</v>
      </c>
      <c r="I7037" s="14" t="s">
        <v>6085</v>
      </c>
      <c r="J7037" s="14" t="s">
        <v>6012</v>
      </c>
      <c r="K7037" s="14" t="s">
        <v>6012</v>
      </c>
      <c r="L7037" s="14">
        <v>0.0</v>
      </c>
    </row>
    <row r="7038">
      <c r="A7038" s="14">
        <v>132.0</v>
      </c>
      <c r="B7038" s="14">
        <v>1.0</v>
      </c>
      <c r="C7038" s="34">
        <v>23.7</v>
      </c>
      <c r="D7038" s="36">
        <v>45699.0</v>
      </c>
      <c r="E7038" s="24"/>
      <c r="F7038" s="14">
        <v>23.7</v>
      </c>
      <c r="G7038" s="14">
        <v>179.55</v>
      </c>
      <c r="H7038" s="14">
        <v>0.76</v>
      </c>
      <c r="I7038" s="14" t="s">
        <v>6086</v>
      </c>
      <c r="J7038" s="14">
        <v>0.0</v>
      </c>
      <c r="K7038" s="14" t="s">
        <v>6012</v>
      </c>
      <c r="L7038" s="14">
        <v>0.0</v>
      </c>
    </row>
    <row r="7039">
      <c r="A7039" s="14">
        <v>205.0</v>
      </c>
      <c r="B7039" s="14">
        <v>1.0</v>
      </c>
      <c r="C7039" s="34">
        <v>36.16</v>
      </c>
      <c r="D7039" s="36">
        <v>45700.0</v>
      </c>
      <c r="E7039" s="24"/>
      <c r="F7039" s="14">
        <v>36.16</v>
      </c>
      <c r="G7039" s="14">
        <v>176.39</v>
      </c>
      <c r="H7039" s="14">
        <v>0.49</v>
      </c>
      <c r="I7039" s="14" t="s">
        <v>6087</v>
      </c>
      <c r="J7039" s="14">
        <v>0.0</v>
      </c>
      <c r="K7039" s="14" t="s">
        <v>6012</v>
      </c>
      <c r="L7039" s="14">
        <v>0.0</v>
      </c>
    </row>
    <row r="7040">
      <c r="A7040" s="14">
        <v>143.0</v>
      </c>
      <c r="B7040" s="14">
        <v>1.0</v>
      </c>
      <c r="C7040" s="34">
        <v>21.33</v>
      </c>
      <c r="D7040" s="36">
        <v>45700.0</v>
      </c>
      <c r="E7040" s="24"/>
      <c r="F7040" s="14">
        <v>21.33</v>
      </c>
      <c r="G7040" s="14">
        <v>149.16</v>
      </c>
      <c r="H7040" s="14">
        <v>0.7</v>
      </c>
      <c r="I7040" s="14" t="s">
        <v>6082</v>
      </c>
      <c r="J7040" s="14">
        <v>0.0</v>
      </c>
      <c r="K7040" s="14" t="s">
        <v>6012</v>
      </c>
      <c r="L7040" s="14">
        <v>0.0</v>
      </c>
    </row>
    <row r="7041">
      <c r="A7041" s="14">
        <v>157.0</v>
      </c>
      <c r="B7041" s="14">
        <v>0.0</v>
      </c>
      <c r="C7041" s="34">
        <v>21.73</v>
      </c>
      <c r="D7041" s="36">
        <v>45700.0</v>
      </c>
      <c r="E7041" s="24"/>
      <c r="F7041" s="14" t="s">
        <v>6012</v>
      </c>
      <c r="G7041" s="14">
        <v>138.41</v>
      </c>
      <c r="H7041" s="14">
        <v>0.0</v>
      </c>
      <c r="I7041" s="14" t="s">
        <v>6085</v>
      </c>
      <c r="J7041" s="14" t="s">
        <v>6012</v>
      </c>
      <c r="K7041" s="14" t="s">
        <v>6012</v>
      </c>
      <c r="L7041" s="14">
        <v>0.0</v>
      </c>
    </row>
    <row r="7042">
      <c r="A7042" s="14">
        <v>0.0</v>
      </c>
      <c r="B7042" s="14">
        <v>0.0</v>
      </c>
      <c r="C7042" s="34">
        <v>28.76</v>
      </c>
      <c r="D7042" s="36">
        <v>45700.0</v>
      </c>
      <c r="E7042" s="24"/>
      <c r="F7042" s="14" t="s">
        <v>6012</v>
      </c>
      <c r="G7042" s="14" t="s">
        <v>6012</v>
      </c>
      <c r="H7042" s="14" t="s">
        <v>6012</v>
      </c>
      <c r="I7042" s="14" t="s">
        <v>6088</v>
      </c>
      <c r="J7042" s="14" t="s">
        <v>6012</v>
      </c>
      <c r="K7042" s="14" t="s">
        <v>6012</v>
      </c>
      <c r="L7042" s="14">
        <v>0.0</v>
      </c>
    </row>
    <row r="7043">
      <c r="A7043" s="14">
        <v>139.0</v>
      </c>
      <c r="B7043" s="14">
        <v>0.0</v>
      </c>
      <c r="C7043" s="34">
        <v>23.34</v>
      </c>
      <c r="D7043" s="36">
        <v>45700.0</v>
      </c>
      <c r="E7043" s="24"/>
      <c r="F7043" s="14" t="s">
        <v>6012</v>
      </c>
      <c r="G7043" s="14">
        <v>167.91</v>
      </c>
      <c r="H7043" s="14">
        <v>0.0</v>
      </c>
      <c r="I7043" s="14" t="s">
        <v>6086</v>
      </c>
      <c r="J7043" s="14" t="s">
        <v>6012</v>
      </c>
      <c r="K7043" s="14" t="s">
        <v>6012</v>
      </c>
      <c r="L7043" s="14">
        <v>0.0</v>
      </c>
    </row>
    <row r="7044">
      <c r="A7044" s="14">
        <v>131.0</v>
      </c>
      <c r="B7044" s="14">
        <v>2.0</v>
      </c>
      <c r="C7044" s="34">
        <v>37.66</v>
      </c>
      <c r="D7044" s="36">
        <v>45700.0</v>
      </c>
      <c r="E7044" s="24"/>
      <c r="F7044" s="14">
        <v>18.83</v>
      </c>
      <c r="G7044" s="14">
        <v>287.48</v>
      </c>
      <c r="H7044" s="14">
        <v>1.53</v>
      </c>
      <c r="I7044" s="14" t="s">
        <v>6089</v>
      </c>
      <c r="J7044" s="14">
        <v>0.0</v>
      </c>
      <c r="K7044" s="14" t="s">
        <v>6012</v>
      </c>
      <c r="L7044" s="14">
        <v>0.0</v>
      </c>
    </row>
    <row r="7045">
      <c r="A7045" s="14">
        <v>182.0</v>
      </c>
      <c r="B7045" s="14">
        <v>0.0</v>
      </c>
      <c r="C7045" s="34">
        <v>22.36</v>
      </c>
      <c r="D7045" s="36">
        <v>45701.0</v>
      </c>
      <c r="E7045" s="24"/>
      <c r="F7045" s="14" t="s">
        <v>6012</v>
      </c>
      <c r="G7045" s="14">
        <v>122.86</v>
      </c>
      <c r="H7045" s="14">
        <v>0.0</v>
      </c>
      <c r="I7045" s="14" t="s">
        <v>6086</v>
      </c>
      <c r="J7045" s="14" t="s">
        <v>6012</v>
      </c>
      <c r="K7045" s="14" t="s">
        <v>6012</v>
      </c>
      <c r="L7045" s="14">
        <v>0.0</v>
      </c>
    </row>
    <row r="7046">
      <c r="A7046" s="14">
        <v>216.0</v>
      </c>
      <c r="B7046" s="14">
        <v>2.0</v>
      </c>
      <c r="C7046" s="34">
        <v>20.82</v>
      </c>
      <c r="D7046" s="36">
        <v>45701.0</v>
      </c>
      <c r="E7046" s="24"/>
      <c r="F7046" s="14">
        <v>10.41</v>
      </c>
      <c r="G7046" s="14">
        <v>96.39</v>
      </c>
      <c r="H7046" s="14">
        <v>0.93</v>
      </c>
      <c r="I7046" s="14" t="s">
        <v>6082</v>
      </c>
      <c r="J7046" s="14">
        <v>0.0</v>
      </c>
      <c r="K7046" s="14" t="s">
        <v>6012</v>
      </c>
      <c r="L7046" s="14">
        <v>0.0</v>
      </c>
    </row>
    <row r="7047">
      <c r="A7047" s="14">
        <v>0.0</v>
      </c>
      <c r="B7047" s="14">
        <v>0.0</v>
      </c>
      <c r="C7047" s="34">
        <v>36.38</v>
      </c>
      <c r="D7047" s="36">
        <v>45701.0</v>
      </c>
      <c r="E7047" s="24"/>
      <c r="F7047" s="14" t="s">
        <v>6012</v>
      </c>
      <c r="G7047" s="14" t="s">
        <v>6012</v>
      </c>
      <c r="H7047" s="14" t="s">
        <v>6012</v>
      </c>
      <c r="I7047" s="14" t="s">
        <v>6088</v>
      </c>
      <c r="J7047" s="14" t="s">
        <v>6012</v>
      </c>
      <c r="K7047" s="14" t="s">
        <v>6012</v>
      </c>
      <c r="L7047" s="14">
        <v>0.0</v>
      </c>
    </row>
    <row r="7048">
      <c r="A7048" s="14">
        <v>221.0</v>
      </c>
      <c r="B7048" s="14">
        <v>1.0</v>
      </c>
      <c r="C7048" s="34">
        <v>20.74</v>
      </c>
      <c r="D7048" s="36">
        <v>45701.0</v>
      </c>
      <c r="E7048" s="24"/>
      <c r="F7048" s="14">
        <v>20.74</v>
      </c>
      <c r="G7048" s="14">
        <v>93.85</v>
      </c>
      <c r="H7048" s="14">
        <v>0.45</v>
      </c>
      <c r="I7048" s="14" t="s">
        <v>6085</v>
      </c>
      <c r="J7048" s="14">
        <v>0.0</v>
      </c>
      <c r="K7048" s="14" t="s">
        <v>6012</v>
      </c>
      <c r="L7048" s="14">
        <v>0.0</v>
      </c>
    </row>
    <row r="7049">
      <c r="A7049" s="14">
        <v>133.0</v>
      </c>
      <c r="B7049" s="14">
        <v>1.0</v>
      </c>
      <c r="C7049" s="34">
        <v>36.12</v>
      </c>
      <c r="D7049" s="36">
        <v>45701.0</v>
      </c>
      <c r="E7049" s="24"/>
      <c r="F7049" s="14">
        <v>36.12</v>
      </c>
      <c r="G7049" s="14">
        <v>271.58</v>
      </c>
      <c r="H7049" s="14">
        <v>0.75</v>
      </c>
      <c r="I7049" s="14" t="s">
        <v>6087</v>
      </c>
      <c r="J7049" s="14">
        <v>0.0</v>
      </c>
      <c r="K7049" s="14" t="s">
        <v>6012</v>
      </c>
      <c r="L7049" s="14">
        <v>0.0</v>
      </c>
    </row>
    <row r="7050">
      <c r="A7050" s="14">
        <v>81.0</v>
      </c>
      <c r="B7050" s="14">
        <v>0.0</v>
      </c>
      <c r="C7050" s="34">
        <v>37.16</v>
      </c>
      <c r="D7050" s="36">
        <v>45701.0</v>
      </c>
      <c r="E7050" s="24"/>
      <c r="F7050" s="14" t="s">
        <v>6012</v>
      </c>
      <c r="G7050" s="14">
        <v>458.77</v>
      </c>
      <c r="H7050" s="14">
        <v>0.0</v>
      </c>
      <c r="I7050" s="14" t="s">
        <v>6089</v>
      </c>
      <c r="J7050" s="14" t="s">
        <v>6012</v>
      </c>
      <c r="K7050" s="14" t="s">
        <v>6012</v>
      </c>
      <c r="L7050" s="14">
        <v>0.0</v>
      </c>
    </row>
    <row r="7051">
      <c r="A7051" s="14">
        <v>60.0</v>
      </c>
      <c r="B7051" s="14">
        <v>0.0</v>
      </c>
      <c r="C7051" s="34">
        <v>35.53</v>
      </c>
      <c r="D7051" s="36">
        <v>45702.0</v>
      </c>
      <c r="E7051" s="24"/>
      <c r="F7051" s="14" t="s">
        <v>6012</v>
      </c>
      <c r="G7051" s="14">
        <v>592.17</v>
      </c>
      <c r="H7051" s="14">
        <v>0.0</v>
      </c>
      <c r="I7051" s="14" t="s">
        <v>6089</v>
      </c>
      <c r="J7051" s="14" t="s">
        <v>6012</v>
      </c>
      <c r="K7051" s="14" t="s">
        <v>6012</v>
      </c>
      <c r="L7051" s="14">
        <v>0.0</v>
      </c>
    </row>
    <row r="7052">
      <c r="A7052" s="14">
        <v>112.0</v>
      </c>
      <c r="B7052" s="14">
        <v>2.0</v>
      </c>
      <c r="C7052" s="34">
        <v>35.64</v>
      </c>
      <c r="D7052" s="36">
        <v>45702.0</v>
      </c>
      <c r="E7052" s="24"/>
      <c r="F7052" s="14">
        <v>17.82</v>
      </c>
      <c r="G7052" s="14">
        <v>318.21</v>
      </c>
      <c r="H7052" s="14">
        <v>1.79</v>
      </c>
      <c r="I7052" s="14" t="s">
        <v>6087</v>
      </c>
      <c r="J7052" s="14">
        <v>0.0</v>
      </c>
      <c r="K7052" s="14" t="s">
        <v>6012</v>
      </c>
      <c r="L7052" s="14">
        <v>0.0</v>
      </c>
    </row>
    <row r="7053">
      <c r="A7053" s="14">
        <v>194.0</v>
      </c>
      <c r="B7053" s="14">
        <v>3.0</v>
      </c>
      <c r="C7053" s="34">
        <v>20.72</v>
      </c>
      <c r="D7053" s="36">
        <v>45702.0</v>
      </c>
      <c r="E7053" s="24"/>
      <c r="F7053" s="14">
        <v>6.91</v>
      </c>
      <c r="G7053" s="14">
        <v>106.8</v>
      </c>
      <c r="H7053" s="14">
        <v>1.55</v>
      </c>
      <c r="I7053" s="14" t="s">
        <v>6082</v>
      </c>
      <c r="J7053" s="14">
        <v>0.0</v>
      </c>
      <c r="K7053" s="14" t="s">
        <v>6012</v>
      </c>
      <c r="L7053" s="14">
        <v>0.0</v>
      </c>
    </row>
    <row r="7054">
      <c r="A7054" s="14">
        <v>327.0</v>
      </c>
      <c r="B7054" s="14">
        <v>1.0</v>
      </c>
      <c r="C7054" s="34">
        <v>21.25</v>
      </c>
      <c r="D7054" s="36">
        <v>45702.0</v>
      </c>
      <c r="E7054" s="24"/>
      <c r="F7054" s="14">
        <v>21.25</v>
      </c>
      <c r="G7054" s="14">
        <v>64.98</v>
      </c>
      <c r="H7054" s="14">
        <v>0.31</v>
      </c>
      <c r="I7054" s="14" t="s">
        <v>6085</v>
      </c>
      <c r="J7054" s="14">
        <v>0.0</v>
      </c>
      <c r="K7054" s="14" t="s">
        <v>6012</v>
      </c>
      <c r="L7054" s="14">
        <v>0.0</v>
      </c>
    </row>
    <row r="7055">
      <c r="A7055" s="14">
        <v>0.0</v>
      </c>
      <c r="B7055" s="14">
        <v>0.0</v>
      </c>
      <c r="C7055" s="34">
        <v>37.21</v>
      </c>
      <c r="D7055" s="36">
        <v>45702.0</v>
      </c>
      <c r="E7055" s="24"/>
      <c r="F7055" s="14" t="s">
        <v>6012</v>
      </c>
      <c r="G7055" s="14" t="s">
        <v>6012</v>
      </c>
      <c r="H7055" s="14" t="s">
        <v>6012</v>
      </c>
      <c r="I7055" s="14" t="s">
        <v>6088</v>
      </c>
      <c r="J7055" s="14" t="s">
        <v>6012</v>
      </c>
      <c r="K7055" s="14" t="s">
        <v>6012</v>
      </c>
      <c r="L7055" s="14">
        <v>0.0</v>
      </c>
    </row>
    <row r="7056">
      <c r="A7056" s="14">
        <v>136.0</v>
      </c>
      <c r="B7056" s="14">
        <v>2.0</v>
      </c>
      <c r="C7056" s="34">
        <v>22.91</v>
      </c>
      <c r="D7056" s="36">
        <v>45702.0</v>
      </c>
      <c r="E7056" s="24"/>
      <c r="F7056" s="14">
        <v>11.46</v>
      </c>
      <c r="G7056" s="14">
        <v>168.46</v>
      </c>
      <c r="H7056" s="14">
        <v>1.47</v>
      </c>
      <c r="I7056" s="14" t="s">
        <v>6086</v>
      </c>
      <c r="J7056" s="14">
        <v>0.0</v>
      </c>
      <c r="K7056" s="14" t="s">
        <v>6012</v>
      </c>
      <c r="L7056" s="14">
        <v>0.0</v>
      </c>
    </row>
    <row r="7057">
      <c r="A7057" s="14">
        <v>65.0</v>
      </c>
      <c r="B7057" s="14">
        <v>1.0</v>
      </c>
      <c r="C7057" s="34">
        <v>25.15</v>
      </c>
      <c r="D7057" s="36">
        <v>45703.0</v>
      </c>
      <c r="E7057" s="24"/>
      <c r="F7057" s="14">
        <v>25.15</v>
      </c>
      <c r="G7057" s="14">
        <v>386.92</v>
      </c>
      <c r="H7057" s="14">
        <v>1.54</v>
      </c>
      <c r="I7057" s="14" t="s">
        <v>6087</v>
      </c>
      <c r="J7057" s="14">
        <v>0.0</v>
      </c>
      <c r="K7057" s="14" t="s">
        <v>6012</v>
      </c>
      <c r="L7057" s="14">
        <v>0.0</v>
      </c>
    </row>
    <row r="7058">
      <c r="A7058" s="14">
        <v>0.0</v>
      </c>
      <c r="B7058" s="14">
        <v>0.0</v>
      </c>
      <c r="C7058" s="34">
        <v>18.46</v>
      </c>
      <c r="D7058" s="36">
        <v>45703.0</v>
      </c>
      <c r="E7058" s="24"/>
      <c r="F7058" s="14" t="s">
        <v>6012</v>
      </c>
      <c r="G7058" s="14" t="s">
        <v>6012</v>
      </c>
      <c r="H7058" s="14" t="s">
        <v>6012</v>
      </c>
      <c r="I7058" s="14" t="s">
        <v>6088</v>
      </c>
      <c r="J7058" s="14" t="s">
        <v>6012</v>
      </c>
      <c r="K7058" s="14" t="s">
        <v>6012</v>
      </c>
      <c r="L7058" s="14">
        <v>0.0</v>
      </c>
    </row>
    <row r="7059">
      <c r="A7059" s="14">
        <v>178.0</v>
      </c>
      <c r="B7059" s="14">
        <v>0.0</v>
      </c>
      <c r="C7059" s="34">
        <v>13.05</v>
      </c>
      <c r="D7059" s="36">
        <v>45703.0</v>
      </c>
      <c r="E7059" s="24"/>
      <c r="F7059" s="14" t="s">
        <v>6012</v>
      </c>
      <c r="G7059" s="14">
        <v>73.31</v>
      </c>
      <c r="H7059" s="14">
        <v>0.0</v>
      </c>
      <c r="I7059" s="14" t="s">
        <v>6085</v>
      </c>
      <c r="J7059" s="14" t="s">
        <v>6012</v>
      </c>
      <c r="K7059" s="14" t="s">
        <v>6012</v>
      </c>
      <c r="L7059" s="14">
        <v>0.0</v>
      </c>
    </row>
    <row r="7060">
      <c r="A7060" s="14">
        <v>81.0</v>
      </c>
      <c r="B7060" s="14">
        <v>0.0</v>
      </c>
      <c r="C7060" s="34">
        <v>15.12</v>
      </c>
      <c r="D7060" s="36">
        <v>45703.0</v>
      </c>
      <c r="E7060" s="24"/>
      <c r="F7060" s="14" t="s">
        <v>6012</v>
      </c>
      <c r="G7060" s="14">
        <v>186.67</v>
      </c>
      <c r="H7060" s="14">
        <v>0.0</v>
      </c>
      <c r="I7060" s="14" t="s">
        <v>6086</v>
      </c>
      <c r="J7060" s="14" t="s">
        <v>6012</v>
      </c>
      <c r="K7060" s="14" t="s">
        <v>6012</v>
      </c>
      <c r="L7060" s="14">
        <v>0.0</v>
      </c>
    </row>
    <row r="7061">
      <c r="A7061" s="14">
        <v>40.0</v>
      </c>
      <c r="B7061" s="14">
        <v>1.0</v>
      </c>
      <c r="C7061" s="34">
        <v>24.48</v>
      </c>
      <c r="D7061" s="36">
        <v>45703.0</v>
      </c>
      <c r="E7061" s="24"/>
      <c r="F7061" s="14">
        <v>24.48</v>
      </c>
      <c r="G7061" s="14">
        <v>612.0</v>
      </c>
      <c r="H7061" s="14">
        <v>2.5</v>
      </c>
      <c r="I7061" s="14" t="s">
        <v>6089</v>
      </c>
      <c r="J7061" s="14">
        <v>0.0</v>
      </c>
      <c r="K7061" s="14" t="s">
        <v>6012</v>
      </c>
      <c r="L7061" s="14">
        <v>0.0</v>
      </c>
    </row>
    <row r="7062">
      <c r="A7062" s="14">
        <v>135.0</v>
      </c>
      <c r="B7062" s="14">
        <v>0.0</v>
      </c>
      <c r="C7062" s="34">
        <v>14.35</v>
      </c>
      <c r="D7062" s="36">
        <v>45703.0</v>
      </c>
      <c r="E7062" s="24"/>
      <c r="F7062" s="14" t="s">
        <v>6012</v>
      </c>
      <c r="G7062" s="14">
        <v>106.3</v>
      </c>
      <c r="H7062" s="14">
        <v>0.0</v>
      </c>
      <c r="I7062" s="14" t="s">
        <v>6082</v>
      </c>
      <c r="J7062" s="14" t="s">
        <v>6012</v>
      </c>
      <c r="K7062" s="14" t="s">
        <v>6012</v>
      </c>
      <c r="L7062" s="14">
        <v>0.0</v>
      </c>
    </row>
    <row r="7063">
      <c r="A7063" s="14">
        <v>50.0</v>
      </c>
      <c r="B7063" s="14">
        <v>1.0</v>
      </c>
      <c r="C7063" s="34">
        <v>16.93</v>
      </c>
      <c r="D7063" s="36">
        <v>45704.0</v>
      </c>
      <c r="E7063" s="24"/>
      <c r="F7063" s="14">
        <v>16.93</v>
      </c>
      <c r="G7063" s="14">
        <v>338.6</v>
      </c>
      <c r="H7063" s="14">
        <v>2.0</v>
      </c>
      <c r="I7063" s="14" t="s">
        <v>6087</v>
      </c>
      <c r="J7063" s="14">
        <v>0.0</v>
      </c>
      <c r="K7063" s="14" t="s">
        <v>6012</v>
      </c>
      <c r="L7063" s="14">
        <v>0.0</v>
      </c>
    </row>
    <row r="7064">
      <c r="A7064" s="14">
        <v>28.0</v>
      </c>
      <c r="B7064" s="14">
        <v>0.0</v>
      </c>
      <c r="C7064" s="34">
        <v>15.17</v>
      </c>
      <c r="D7064" s="36">
        <v>45704.0</v>
      </c>
      <c r="E7064" s="24"/>
      <c r="F7064" s="14" t="s">
        <v>6012</v>
      </c>
      <c r="G7064" s="14">
        <v>541.79</v>
      </c>
      <c r="H7064" s="14">
        <v>0.0</v>
      </c>
      <c r="I7064" s="14" t="s">
        <v>6089</v>
      </c>
      <c r="J7064" s="14" t="s">
        <v>6012</v>
      </c>
      <c r="K7064" s="14" t="s">
        <v>6012</v>
      </c>
      <c r="L7064" s="14">
        <v>0.0</v>
      </c>
    </row>
    <row r="7065">
      <c r="A7065" s="14">
        <v>51.0</v>
      </c>
      <c r="B7065" s="14">
        <v>0.0</v>
      </c>
      <c r="C7065" s="34">
        <v>7.5</v>
      </c>
      <c r="D7065" s="36">
        <v>45704.0</v>
      </c>
      <c r="E7065" s="24"/>
      <c r="F7065" s="14" t="s">
        <v>6012</v>
      </c>
      <c r="G7065" s="14">
        <v>147.06</v>
      </c>
      <c r="H7065" s="14">
        <v>0.0</v>
      </c>
      <c r="I7065" s="14" t="s">
        <v>6082</v>
      </c>
      <c r="J7065" s="14" t="s">
        <v>6012</v>
      </c>
      <c r="K7065" s="14" t="s">
        <v>6012</v>
      </c>
      <c r="L7065" s="14">
        <v>0.0</v>
      </c>
    </row>
    <row r="7066">
      <c r="A7066" s="14">
        <v>30.0</v>
      </c>
      <c r="B7066" s="14">
        <v>0.0</v>
      </c>
      <c r="C7066" s="34">
        <v>8.01</v>
      </c>
      <c r="D7066" s="36">
        <v>45704.0</v>
      </c>
      <c r="E7066" s="24"/>
      <c r="F7066" s="14" t="s">
        <v>6012</v>
      </c>
      <c r="G7066" s="14">
        <v>267.0</v>
      </c>
      <c r="H7066" s="14">
        <v>0.0</v>
      </c>
      <c r="I7066" s="14" t="s">
        <v>6086</v>
      </c>
      <c r="J7066" s="14" t="s">
        <v>6012</v>
      </c>
      <c r="K7066" s="14" t="s">
        <v>6012</v>
      </c>
      <c r="L7066" s="14">
        <v>0.0</v>
      </c>
    </row>
    <row r="7067">
      <c r="A7067" s="14">
        <v>0.0</v>
      </c>
      <c r="B7067" s="14">
        <v>0.0</v>
      </c>
      <c r="C7067" s="34">
        <v>21.41</v>
      </c>
      <c r="D7067" s="36">
        <v>45704.0</v>
      </c>
      <c r="E7067" s="24"/>
      <c r="F7067" s="14" t="s">
        <v>6012</v>
      </c>
      <c r="G7067" s="14" t="s">
        <v>6012</v>
      </c>
      <c r="H7067" s="14" t="s">
        <v>6012</v>
      </c>
      <c r="I7067" s="14" t="s">
        <v>6088</v>
      </c>
      <c r="J7067" s="14" t="s">
        <v>6012</v>
      </c>
      <c r="K7067" s="14" t="s">
        <v>6012</v>
      </c>
      <c r="L7067" s="14">
        <v>0.0</v>
      </c>
    </row>
    <row r="7068">
      <c r="A7068" s="14">
        <v>83.0</v>
      </c>
      <c r="B7068" s="14">
        <v>1.0</v>
      </c>
      <c r="C7068" s="34">
        <v>9.03</v>
      </c>
      <c r="D7068" s="36">
        <v>45704.0</v>
      </c>
      <c r="E7068" s="24"/>
      <c r="F7068" s="14">
        <v>9.03</v>
      </c>
      <c r="G7068" s="14">
        <v>108.8</v>
      </c>
      <c r="H7068" s="14">
        <v>1.2</v>
      </c>
      <c r="I7068" s="14" t="s">
        <v>6085</v>
      </c>
      <c r="J7068" s="14">
        <v>0.0</v>
      </c>
      <c r="K7068" s="14" t="s">
        <v>6012</v>
      </c>
      <c r="L7068" s="14">
        <v>0.0</v>
      </c>
    </row>
    <row r="7069">
      <c r="A7069" s="14">
        <v>0.0</v>
      </c>
      <c r="B7069" s="14">
        <v>0.0</v>
      </c>
      <c r="C7069" s="34">
        <v>24.69</v>
      </c>
      <c r="D7069" s="36">
        <v>45705.0</v>
      </c>
      <c r="E7069" s="24"/>
      <c r="F7069" s="14" t="s">
        <v>6012</v>
      </c>
      <c r="G7069" s="14" t="s">
        <v>6012</v>
      </c>
      <c r="H7069" s="14" t="s">
        <v>6012</v>
      </c>
      <c r="I7069" s="14" t="s">
        <v>6088</v>
      </c>
      <c r="J7069" s="14" t="s">
        <v>6012</v>
      </c>
      <c r="K7069" s="14" t="s">
        <v>6012</v>
      </c>
      <c r="L7069" s="14">
        <v>0.0</v>
      </c>
    </row>
    <row r="7070">
      <c r="A7070" s="14">
        <v>105.0</v>
      </c>
      <c r="B7070" s="14">
        <v>0.0</v>
      </c>
      <c r="C7070" s="34">
        <v>19.92</v>
      </c>
      <c r="D7070" s="36">
        <v>45705.0</v>
      </c>
      <c r="E7070" s="24"/>
      <c r="F7070" s="14" t="s">
        <v>6012</v>
      </c>
      <c r="G7070" s="14">
        <v>189.71</v>
      </c>
      <c r="H7070" s="14">
        <v>0.0</v>
      </c>
      <c r="I7070" s="14" t="s">
        <v>6082</v>
      </c>
      <c r="J7070" s="14" t="s">
        <v>6012</v>
      </c>
      <c r="K7070" s="14" t="s">
        <v>6012</v>
      </c>
      <c r="L7070" s="14">
        <v>0.0</v>
      </c>
    </row>
    <row r="7071">
      <c r="A7071" s="14">
        <v>174.0</v>
      </c>
      <c r="B7071" s="14">
        <v>1.0</v>
      </c>
      <c r="C7071" s="34">
        <v>31.06</v>
      </c>
      <c r="D7071" s="36">
        <v>45705.0</v>
      </c>
      <c r="E7071" s="24"/>
      <c r="F7071" s="14">
        <v>31.06</v>
      </c>
      <c r="G7071" s="14">
        <v>178.51</v>
      </c>
      <c r="H7071" s="14">
        <v>0.57</v>
      </c>
      <c r="I7071" s="14" t="s">
        <v>6090</v>
      </c>
      <c r="J7071" s="14">
        <v>0.0</v>
      </c>
      <c r="K7071" s="14" t="s">
        <v>6012</v>
      </c>
      <c r="L7071" s="14">
        <v>0.0</v>
      </c>
    </row>
    <row r="7072">
      <c r="A7072" s="14">
        <v>100.0</v>
      </c>
      <c r="B7072" s="14">
        <v>0.0</v>
      </c>
      <c r="C7072" s="34">
        <v>19.62</v>
      </c>
      <c r="D7072" s="36">
        <v>45705.0</v>
      </c>
      <c r="E7072" s="24"/>
      <c r="F7072" s="14" t="s">
        <v>6012</v>
      </c>
      <c r="G7072" s="14">
        <v>196.2</v>
      </c>
      <c r="H7072" s="14">
        <v>0.0</v>
      </c>
      <c r="I7072" s="14" t="s">
        <v>6086</v>
      </c>
      <c r="J7072" s="14" t="s">
        <v>6012</v>
      </c>
      <c r="K7072" s="14" t="s">
        <v>6012</v>
      </c>
      <c r="L7072" s="14">
        <v>0.0</v>
      </c>
    </row>
    <row r="7073">
      <c r="A7073" s="14">
        <v>77.0</v>
      </c>
      <c r="B7073" s="14">
        <v>0.0</v>
      </c>
      <c r="C7073" s="34">
        <v>6.57</v>
      </c>
      <c r="D7073" s="36">
        <v>45705.0</v>
      </c>
      <c r="E7073" s="24"/>
      <c r="F7073" s="14" t="s">
        <v>6012</v>
      </c>
      <c r="G7073" s="14">
        <v>85.32</v>
      </c>
      <c r="H7073" s="14">
        <v>0.0</v>
      </c>
      <c r="I7073" s="14" t="s">
        <v>6085</v>
      </c>
      <c r="J7073" s="14" t="s">
        <v>6012</v>
      </c>
      <c r="K7073" s="14" t="s">
        <v>6012</v>
      </c>
      <c r="L7073" s="14">
        <v>0.0</v>
      </c>
    </row>
    <row r="7074">
      <c r="A7074" s="14">
        <v>65.0</v>
      </c>
      <c r="B7074" s="14">
        <v>2.0</v>
      </c>
      <c r="C7074" s="34">
        <v>28.99</v>
      </c>
      <c r="D7074" s="36">
        <v>45705.0</v>
      </c>
      <c r="E7074" s="24"/>
      <c r="F7074" s="14">
        <v>14.5</v>
      </c>
      <c r="G7074" s="14">
        <v>446.0</v>
      </c>
      <c r="H7074" s="14">
        <v>3.08</v>
      </c>
      <c r="I7074" s="14" t="s">
        <v>6087</v>
      </c>
      <c r="J7074" s="14">
        <v>0.0</v>
      </c>
      <c r="K7074" s="14" t="s">
        <v>6012</v>
      </c>
      <c r="L7074" s="14">
        <v>0.0</v>
      </c>
    </row>
    <row r="7075">
      <c r="A7075" s="14">
        <v>19.0</v>
      </c>
      <c r="B7075" s="14">
        <v>0.0</v>
      </c>
      <c r="C7075" s="34">
        <v>8.87</v>
      </c>
      <c r="D7075" s="36">
        <v>45705.0</v>
      </c>
      <c r="E7075" s="24"/>
      <c r="F7075" s="14" t="s">
        <v>6012</v>
      </c>
      <c r="G7075" s="14">
        <v>466.84</v>
      </c>
      <c r="H7075" s="14">
        <v>0.0</v>
      </c>
      <c r="I7075" s="14" t="s">
        <v>6089</v>
      </c>
      <c r="J7075" s="14" t="s">
        <v>6012</v>
      </c>
      <c r="K7075" s="14" t="s">
        <v>6012</v>
      </c>
      <c r="L7075" s="14">
        <v>0.0</v>
      </c>
    </row>
    <row r="7076">
      <c r="A7076" s="14">
        <v>0.0</v>
      </c>
      <c r="B7076" s="14">
        <v>0.0</v>
      </c>
      <c r="C7076" s="34">
        <v>34.85</v>
      </c>
      <c r="D7076" s="36">
        <v>45706.0</v>
      </c>
      <c r="E7076" s="24"/>
      <c r="F7076" s="14" t="s">
        <v>6012</v>
      </c>
      <c r="G7076" s="14" t="s">
        <v>6012</v>
      </c>
      <c r="H7076" s="14" t="s">
        <v>6012</v>
      </c>
      <c r="I7076" s="14" t="s">
        <v>6088</v>
      </c>
      <c r="J7076" s="14" t="s">
        <v>6012</v>
      </c>
      <c r="K7076" s="14" t="s">
        <v>6012</v>
      </c>
      <c r="L7076" s="14">
        <v>0.0</v>
      </c>
    </row>
    <row r="7077">
      <c r="A7077" s="14">
        <v>130.0</v>
      </c>
      <c r="B7077" s="14">
        <v>0.0</v>
      </c>
      <c r="C7077" s="34">
        <v>22.17</v>
      </c>
      <c r="D7077" s="36">
        <v>45706.0</v>
      </c>
      <c r="E7077" s="24"/>
      <c r="F7077" s="14" t="s">
        <v>6012</v>
      </c>
      <c r="G7077" s="14">
        <v>170.54</v>
      </c>
      <c r="H7077" s="14">
        <v>0.0</v>
      </c>
      <c r="I7077" s="14" t="s">
        <v>6086</v>
      </c>
      <c r="J7077" s="14" t="s">
        <v>6012</v>
      </c>
      <c r="K7077" s="14" t="s">
        <v>6012</v>
      </c>
      <c r="L7077" s="14">
        <v>0.0</v>
      </c>
    </row>
    <row r="7078">
      <c r="A7078" s="14">
        <v>121.0</v>
      </c>
      <c r="B7078" s="14">
        <v>1.0</v>
      </c>
      <c r="C7078" s="34">
        <v>20.89</v>
      </c>
      <c r="D7078" s="36">
        <v>45706.0</v>
      </c>
      <c r="E7078" s="24"/>
      <c r="F7078" s="14">
        <v>20.89</v>
      </c>
      <c r="G7078" s="14">
        <v>172.64</v>
      </c>
      <c r="H7078" s="14">
        <v>0.83</v>
      </c>
      <c r="I7078" s="14" t="s">
        <v>6082</v>
      </c>
      <c r="J7078" s="14">
        <v>0.0</v>
      </c>
      <c r="K7078" s="14" t="s">
        <v>6012</v>
      </c>
      <c r="L7078" s="14">
        <v>0.0</v>
      </c>
    </row>
    <row r="7079">
      <c r="A7079" s="14">
        <v>127.0</v>
      </c>
      <c r="B7079" s="14">
        <v>0.0</v>
      </c>
      <c r="C7079" s="34">
        <v>36.3</v>
      </c>
      <c r="D7079" s="36">
        <v>45706.0</v>
      </c>
      <c r="E7079" s="24"/>
      <c r="F7079" s="14" t="s">
        <v>6012</v>
      </c>
      <c r="G7079" s="14">
        <v>285.83</v>
      </c>
      <c r="H7079" s="14">
        <v>0.0</v>
      </c>
      <c r="I7079" s="14" t="s">
        <v>6087</v>
      </c>
      <c r="J7079" s="14" t="s">
        <v>6012</v>
      </c>
      <c r="K7079" s="14" t="s">
        <v>6012</v>
      </c>
      <c r="L7079" s="14">
        <v>0.0</v>
      </c>
    </row>
    <row r="7080">
      <c r="A7080" s="14">
        <v>100.0</v>
      </c>
      <c r="B7080" s="14">
        <v>1.0</v>
      </c>
      <c r="C7080" s="34">
        <v>33.6</v>
      </c>
      <c r="D7080" s="36">
        <v>45706.0</v>
      </c>
      <c r="E7080" s="24"/>
      <c r="F7080" s="14">
        <v>33.6</v>
      </c>
      <c r="G7080" s="14">
        <v>336.0</v>
      </c>
      <c r="H7080" s="14">
        <v>1.0</v>
      </c>
      <c r="I7080" s="14" t="s">
        <v>6090</v>
      </c>
      <c r="J7080" s="14">
        <v>0.0</v>
      </c>
      <c r="K7080" s="14" t="s">
        <v>6012</v>
      </c>
      <c r="L7080" s="14">
        <v>0.0</v>
      </c>
    </row>
    <row r="7081">
      <c r="A7081" s="14">
        <v>149.0</v>
      </c>
      <c r="B7081" s="14">
        <v>1.0</v>
      </c>
      <c r="C7081" s="34">
        <v>21.29</v>
      </c>
      <c r="D7081" s="36">
        <v>45707.0</v>
      </c>
      <c r="E7081" s="24"/>
      <c r="F7081" s="14">
        <v>21.29</v>
      </c>
      <c r="G7081" s="14">
        <v>142.89</v>
      </c>
      <c r="H7081" s="14">
        <v>0.67</v>
      </c>
      <c r="I7081" s="14" t="s">
        <v>6082</v>
      </c>
      <c r="J7081" s="14">
        <v>0.0</v>
      </c>
      <c r="K7081" s="14" t="s">
        <v>6012</v>
      </c>
      <c r="L7081" s="14">
        <v>0.0</v>
      </c>
    </row>
    <row r="7082">
      <c r="A7082" s="14">
        <v>81.0</v>
      </c>
      <c r="B7082" s="14">
        <v>0.0</v>
      </c>
      <c r="C7082" s="34">
        <v>35.16</v>
      </c>
      <c r="D7082" s="36">
        <v>45707.0</v>
      </c>
      <c r="E7082" s="24"/>
      <c r="F7082" s="14" t="s">
        <v>6012</v>
      </c>
      <c r="G7082" s="14">
        <v>434.07</v>
      </c>
      <c r="H7082" s="14">
        <v>0.0</v>
      </c>
      <c r="I7082" s="14" t="s">
        <v>6087</v>
      </c>
      <c r="J7082" s="14" t="s">
        <v>6012</v>
      </c>
      <c r="K7082" s="14" t="s">
        <v>6012</v>
      </c>
      <c r="L7082" s="14">
        <v>0.0</v>
      </c>
    </row>
    <row r="7083">
      <c r="A7083" s="14">
        <v>132.0</v>
      </c>
      <c r="B7083" s="14">
        <v>0.0</v>
      </c>
      <c r="C7083" s="34">
        <v>22.5</v>
      </c>
      <c r="D7083" s="36">
        <v>45707.0</v>
      </c>
      <c r="E7083" s="24"/>
      <c r="F7083" s="14" t="s">
        <v>6012</v>
      </c>
      <c r="G7083" s="14">
        <v>170.45</v>
      </c>
      <c r="H7083" s="14">
        <v>0.0</v>
      </c>
      <c r="I7083" s="14" t="s">
        <v>6086</v>
      </c>
      <c r="J7083" s="14" t="s">
        <v>6012</v>
      </c>
      <c r="K7083" s="14" t="s">
        <v>6012</v>
      </c>
      <c r="L7083" s="14">
        <v>0.0</v>
      </c>
    </row>
    <row r="7084">
      <c r="A7084" s="14">
        <v>0.0</v>
      </c>
      <c r="B7084" s="14">
        <v>0.0</v>
      </c>
      <c r="C7084" s="34">
        <v>30.63</v>
      </c>
      <c r="D7084" s="36">
        <v>45707.0</v>
      </c>
      <c r="E7084" s="24"/>
      <c r="F7084" s="14" t="s">
        <v>6012</v>
      </c>
      <c r="G7084" s="14" t="s">
        <v>6012</v>
      </c>
      <c r="H7084" s="14" t="s">
        <v>6012</v>
      </c>
      <c r="I7084" s="14" t="s">
        <v>6088</v>
      </c>
      <c r="J7084" s="14" t="s">
        <v>6012</v>
      </c>
      <c r="K7084" s="14" t="s">
        <v>6012</v>
      </c>
      <c r="L7084" s="14">
        <v>1.0</v>
      </c>
    </row>
    <row r="7085">
      <c r="A7085" s="14">
        <v>99.0</v>
      </c>
      <c r="B7085" s="14">
        <v>1.0</v>
      </c>
      <c r="C7085" s="34">
        <v>34.47</v>
      </c>
      <c r="D7085" s="36">
        <v>45707.0</v>
      </c>
      <c r="E7085" s="24"/>
      <c r="F7085" s="14">
        <v>34.47</v>
      </c>
      <c r="G7085" s="14">
        <v>348.18</v>
      </c>
      <c r="H7085" s="14">
        <v>1.01</v>
      </c>
      <c r="I7085" s="14" t="s">
        <v>6090</v>
      </c>
      <c r="J7085" s="14">
        <v>0.0</v>
      </c>
      <c r="K7085" s="14" t="s">
        <v>6012</v>
      </c>
      <c r="L7085" s="14">
        <v>0.0</v>
      </c>
    </row>
    <row r="7086">
      <c r="A7086" s="14">
        <v>143.0</v>
      </c>
      <c r="B7086" s="14">
        <v>0.0</v>
      </c>
      <c r="C7086" s="34">
        <v>20.9</v>
      </c>
      <c r="D7086" s="36">
        <v>45708.0</v>
      </c>
      <c r="E7086" s="24"/>
      <c r="F7086" s="14" t="s">
        <v>6012</v>
      </c>
      <c r="G7086" s="14">
        <v>146.15</v>
      </c>
      <c r="H7086" s="14">
        <v>0.0</v>
      </c>
      <c r="I7086" s="14" t="s">
        <v>6082</v>
      </c>
      <c r="J7086" s="14" t="s">
        <v>6012</v>
      </c>
      <c r="K7086" s="14" t="s">
        <v>6012</v>
      </c>
      <c r="L7086" s="14">
        <v>0.0</v>
      </c>
    </row>
    <row r="7087">
      <c r="A7087" s="14">
        <v>71.0</v>
      </c>
      <c r="B7087" s="14">
        <v>2.0</v>
      </c>
      <c r="C7087" s="34">
        <v>35.96</v>
      </c>
      <c r="D7087" s="36">
        <v>45708.0</v>
      </c>
      <c r="E7087" s="24"/>
      <c r="F7087" s="14">
        <v>17.98</v>
      </c>
      <c r="G7087" s="14">
        <v>506.48</v>
      </c>
      <c r="H7087" s="14">
        <v>2.82</v>
      </c>
      <c r="I7087" s="14" t="s">
        <v>6087</v>
      </c>
      <c r="J7087" s="14">
        <v>0.0</v>
      </c>
      <c r="K7087" s="14" t="s">
        <v>6012</v>
      </c>
      <c r="L7087" s="14">
        <v>0.0</v>
      </c>
    </row>
    <row r="7088">
      <c r="A7088" s="14">
        <v>0.0</v>
      </c>
      <c r="B7088" s="14">
        <v>0.0</v>
      </c>
      <c r="C7088" s="34">
        <v>23.32</v>
      </c>
      <c r="D7088" s="36">
        <v>45708.0</v>
      </c>
      <c r="E7088" s="24"/>
      <c r="F7088" s="14" t="s">
        <v>6012</v>
      </c>
      <c r="G7088" s="14" t="s">
        <v>6012</v>
      </c>
      <c r="H7088" s="14" t="s">
        <v>6012</v>
      </c>
      <c r="I7088" s="14" t="s">
        <v>6088</v>
      </c>
      <c r="J7088" s="14" t="s">
        <v>6012</v>
      </c>
      <c r="K7088" s="14" t="s">
        <v>6012</v>
      </c>
      <c r="L7088" s="14">
        <v>0.0</v>
      </c>
    </row>
    <row r="7089">
      <c r="A7089" s="14">
        <v>98.0</v>
      </c>
      <c r="B7089" s="14">
        <v>2.0</v>
      </c>
      <c r="C7089" s="34">
        <v>37.24</v>
      </c>
      <c r="D7089" s="36">
        <v>45708.0</v>
      </c>
      <c r="E7089" s="24"/>
      <c r="F7089" s="14">
        <v>18.62</v>
      </c>
      <c r="G7089" s="14">
        <v>380.0</v>
      </c>
      <c r="H7089" s="14">
        <v>2.04</v>
      </c>
      <c r="I7089" s="14" t="s">
        <v>6090</v>
      </c>
      <c r="J7089" s="14">
        <v>0.0</v>
      </c>
      <c r="K7089" s="14" t="s">
        <v>6012</v>
      </c>
      <c r="L7089" s="14">
        <v>0.0</v>
      </c>
    </row>
    <row r="7090">
      <c r="A7090" s="14">
        <v>124.0</v>
      </c>
      <c r="B7090" s="14">
        <v>0.0</v>
      </c>
      <c r="C7090" s="34">
        <v>23.51</v>
      </c>
      <c r="D7090" s="36">
        <v>45708.0</v>
      </c>
      <c r="E7090" s="24"/>
      <c r="F7090" s="14" t="s">
        <v>6012</v>
      </c>
      <c r="G7090" s="14">
        <v>189.6</v>
      </c>
      <c r="H7090" s="14">
        <v>0.0</v>
      </c>
      <c r="I7090" s="14" t="s">
        <v>6086</v>
      </c>
      <c r="J7090" s="14" t="s">
        <v>6012</v>
      </c>
      <c r="K7090" s="14" t="s">
        <v>6012</v>
      </c>
      <c r="L7090" s="14">
        <v>0.0</v>
      </c>
    </row>
    <row r="7091">
      <c r="A7091" s="14">
        <v>0.0</v>
      </c>
      <c r="B7091" s="14">
        <v>0.0</v>
      </c>
      <c r="C7091" s="34">
        <v>16.7</v>
      </c>
      <c r="D7091" s="36">
        <v>45709.0</v>
      </c>
      <c r="E7091" s="24"/>
      <c r="F7091" s="14" t="s">
        <v>6012</v>
      </c>
      <c r="G7091" s="14" t="s">
        <v>6012</v>
      </c>
      <c r="H7091" s="14" t="s">
        <v>6012</v>
      </c>
      <c r="I7091" s="14" t="s">
        <v>6088</v>
      </c>
      <c r="J7091" s="14" t="s">
        <v>6012</v>
      </c>
      <c r="K7091" s="14" t="s">
        <v>6012</v>
      </c>
      <c r="L7091" s="14">
        <v>0.0</v>
      </c>
    </row>
    <row r="7092">
      <c r="A7092" s="14">
        <v>173.0</v>
      </c>
      <c r="B7092" s="14">
        <v>0.0</v>
      </c>
      <c r="C7092" s="34">
        <v>21.48</v>
      </c>
      <c r="D7092" s="36">
        <v>45709.0</v>
      </c>
      <c r="E7092" s="24"/>
      <c r="F7092" s="14" t="s">
        <v>6012</v>
      </c>
      <c r="G7092" s="14">
        <v>124.16</v>
      </c>
      <c r="H7092" s="14">
        <v>0.0</v>
      </c>
      <c r="I7092" s="14" t="s">
        <v>6082</v>
      </c>
      <c r="J7092" s="14" t="s">
        <v>6012</v>
      </c>
      <c r="K7092" s="14">
        <v>3.58</v>
      </c>
      <c r="L7092" s="14">
        <v>0.0</v>
      </c>
    </row>
    <row r="7093">
      <c r="A7093" s="14">
        <v>86.0</v>
      </c>
      <c r="B7093" s="14">
        <v>1.0</v>
      </c>
      <c r="C7093" s="34">
        <v>36.63</v>
      </c>
      <c r="D7093" s="36">
        <v>45709.0</v>
      </c>
      <c r="E7093" s="24"/>
      <c r="F7093" s="14">
        <v>36.63</v>
      </c>
      <c r="G7093" s="14">
        <v>425.93</v>
      </c>
      <c r="H7093" s="14">
        <v>1.16</v>
      </c>
      <c r="I7093" s="14" t="s">
        <v>6087</v>
      </c>
      <c r="J7093" s="14">
        <v>0.0</v>
      </c>
      <c r="K7093" s="14" t="s">
        <v>6012</v>
      </c>
      <c r="L7093" s="14">
        <v>0.0</v>
      </c>
    </row>
    <row r="7094">
      <c r="A7094" s="14">
        <v>117.0</v>
      </c>
      <c r="B7094" s="14">
        <v>2.0</v>
      </c>
      <c r="C7094" s="34">
        <v>23.52</v>
      </c>
      <c r="D7094" s="36">
        <v>45709.0</v>
      </c>
      <c r="E7094" s="24"/>
      <c r="F7094" s="14">
        <v>11.76</v>
      </c>
      <c r="G7094" s="14">
        <v>201.03</v>
      </c>
      <c r="H7094" s="14">
        <v>1.71</v>
      </c>
      <c r="I7094" s="14" t="s">
        <v>6086</v>
      </c>
      <c r="J7094" s="14">
        <v>100.0</v>
      </c>
      <c r="K7094" s="14">
        <v>11.76</v>
      </c>
      <c r="L7094" s="14">
        <v>0.0</v>
      </c>
    </row>
    <row r="7095">
      <c r="A7095" s="14">
        <v>94.0</v>
      </c>
      <c r="B7095" s="14">
        <v>0.0</v>
      </c>
      <c r="C7095" s="34">
        <v>36.53</v>
      </c>
      <c r="D7095" s="36">
        <v>45709.0</v>
      </c>
      <c r="E7095" s="24"/>
      <c r="F7095" s="14" t="s">
        <v>6012</v>
      </c>
      <c r="G7095" s="14">
        <v>388.62</v>
      </c>
      <c r="H7095" s="14">
        <v>0.0</v>
      </c>
      <c r="I7095" s="14" t="s">
        <v>6090</v>
      </c>
      <c r="J7095" s="14" t="s">
        <v>6012</v>
      </c>
      <c r="K7095" s="14" t="s">
        <v>6012</v>
      </c>
      <c r="L7095" s="14">
        <v>0.0</v>
      </c>
    </row>
    <row r="7096">
      <c r="A7096" s="14">
        <v>0.0</v>
      </c>
      <c r="B7096" s="14">
        <v>0.0</v>
      </c>
      <c r="C7096" s="34">
        <v>11.84</v>
      </c>
      <c r="D7096" s="36">
        <v>45710.0</v>
      </c>
      <c r="E7096" s="24"/>
      <c r="F7096" s="14" t="s">
        <v>6012</v>
      </c>
      <c r="G7096" s="14" t="s">
        <v>6012</v>
      </c>
      <c r="H7096" s="14" t="s">
        <v>6012</v>
      </c>
      <c r="I7096" s="14" t="s">
        <v>6088</v>
      </c>
      <c r="J7096" s="14" t="s">
        <v>6012</v>
      </c>
      <c r="K7096" s="14" t="s">
        <v>6012</v>
      </c>
      <c r="L7096" s="14">
        <v>0.0</v>
      </c>
    </row>
    <row r="7097">
      <c r="A7097" s="14">
        <v>56.0</v>
      </c>
      <c r="B7097" s="14">
        <v>0.0</v>
      </c>
      <c r="C7097" s="34">
        <v>22.75</v>
      </c>
      <c r="D7097" s="36">
        <v>45710.0</v>
      </c>
      <c r="E7097" s="24"/>
      <c r="F7097" s="14" t="s">
        <v>6012</v>
      </c>
      <c r="G7097" s="14">
        <v>406.25</v>
      </c>
      <c r="H7097" s="14">
        <v>0.0</v>
      </c>
      <c r="I7097" s="14" t="s">
        <v>6087</v>
      </c>
      <c r="J7097" s="14" t="s">
        <v>6012</v>
      </c>
      <c r="K7097" s="14" t="s">
        <v>6012</v>
      </c>
      <c r="L7097" s="14">
        <v>0.0</v>
      </c>
    </row>
    <row r="7098">
      <c r="A7098" s="14">
        <v>82.0</v>
      </c>
      <c r="B7098" s="14">
        <v>0.0</v>
      </c>
      <c r="C7098" s="34">
        <v>16.03</v>
      </c>
      <c r="D7098" s="36">
        <v>45710.0</v>
      </c>
      <c r="E7098" s="24"/>
      <c r="F7098" s="14" t="s">
        <v>6012</v>
      </c>
      <c r="G7098" s="14">
        <v>195.49</v>
      </c>
      <c r="H7098" s="14">
        <v>0.0</v>
      </c>
      <c r="I7098" s="14" t="s">
        <v>6086</v>
      </c>
      <c r="J7098" s="14" t="s">
        <v>6012</v>
      </c>
      <c r="K7098" s="14" t="s">
        <v>6012</v>
      </c>
      <c r="L7098" s="14">
        <v>0.0</v>
      </c>
    </row>
    <row r="7099">
      <c r="A7099" s="14">
        <v>111.0</v>
      </c>
      <c r="B7099" s="14">
        <v>0.0</v>
      </c>
      <c r="C7099" s="34">
        <v>13.7</v>
      </c>
      <c r="D7099" s="36">
        <v>45710.0</v>
      </c>
      <c r="E7099" s="24"/>
      <c r="F7099" s="14" t="s">
        <v>6012</v>
      </c>
      <c r="G7099" s="14">
        <v>123.42</v>
      </c>
      <c r="H7099" s="14">
        <v>0.0</v>
      </c>
      <c r="I7099" s="14" t="s">
        <v>6082</v>
      </c>
      <c r="J7099" s="14" t="s">
        <v>6012</v>
      </c>
      <c r="K7099" s="14">
        <v>4.57</v>
      </c>
      <c r="L7099" s="14">
        <v>0.0</v>
      </c>
    </row>
    <row r="7100">
      <c r="A7100" s="14">
        <v>55.0</v>
      </c>
      <c r="B7100" s="14">
        <v>0.0</v>
      </c>
      <c r="C7100" s="34">
        <v>22.22</v>
      </c>
      <c r="D7100" s="36">
        <v>45710.0</v>
      </c>
      <c r="E7100" s="24"/>
      <c r="F7100" s="14" t="s">
        <v>6012</v>
      </c>
      <c r="G7100" s="14">
        <v>404.0</v>
      </c>
      <c r="H7100" s="14">
        <v>0.0</v>
      </c>
      <c r="I7100" s="14" t="s">
        <v>6090</v>
      </c>
      <c r="J7100" s="14" t="s">
        <v>6012</v>
      </c>
      <c r="K7100" s="14" t="s">
        <v>6012</v>
      </c>
      <c r="L7100" s="14">
        <v>0.0</v>
      </c>
    </row>
    <row r="7101">
      <c r="A7101" s="14">
        <v>0.0</v>
      </c>
      <c r="B7101" s="14">
        <v>0.0</v>
      </c>
      <c r="C7101" s="34"/>
      <c r="D7101" s="36">
        <v>45711.0</v>
      </c>
      <c r="E7101" s="24"/>
      <c r="F7101" s="14" t="s">
        <v>6012</v>
      </c>
      <c r="G7101" s="14" t="s">
        <v>6012</v>
      </c>
      <c r="H7101" s="14" t="s">
        <v>6012</v>
      </c>
      <c r="I7101" s="14" t="s">
        <v>6089</v>
      </c>
      <c r="J7101" s="14" t="s">
        <v>6012</v>
      </c>
      <c r="K7101" s="14" t="s">
        <v>6012</v>
      </c>
      <c r="L7101" s="14"/>
    </row>
    <row r="7102">
      <c r="A7102" s="14">
        <v>35.0</v>
      </c>
      <c r="B7102" s="14">
        <v>0.0</v>
      </c>
      <c r="C7102" s="34">
        <v>19.55</v>
      </c>
      <c r="D7102" s="36">
        <v>45711.0</v>
      </c>
      <c r="E7102" s="24"/>
      <c r="F7102" s="14" t="s">
        <v>6012</v>
      </c>
      <c r="G7102" s="14">
        <v>558.57</v>
      </c>
      <c r="H7102" s="14">
        <v>0.0</v>
      </c>
      <c r="I7102" s="14" t="s">
        <v>6087</v>
      </c>
      <c r="J7102" s="14" t="s">
        <v>6012</v>
      </c>
      <c r="K7102" s="14">
        <v>19.55</v>
      </c>
      <c r="L7102" s="14">
        <v>0.0</v>
      </c>
    </row>
    <row r="7103">
      <c r="A7103" s="14">
        <v>44.0</v>
      </c>
      <c r="B7103" s="14">
        <v>0.0</v>
      </c>
      <c r="C7103" s="34">
        <v>14.28</v>
      </c>
      <c r="D7103" s="36">
        <v>45711.0</v>
      </c>
      <c r="E7103" s="24"/>
      <c r="F7103" s="14" t="s">
        <v>6012</v>
      </c>
      <c r="G7103" s="14">
        <v>324.55</v>
      </c>
      <c r="H7103" s="14">
        <v>0.0</v>
      </c>
      <c r="I7103" s="14" t="s">
        <v>6082</v>
      </c>
      <c r="J7103" s="14" t="s">
        <v>6012</v>
      </c>
      <c r="K7103" s="14" t="s">
        <v>6012</v>
      </c>
      <c r="L7103" s="14">
        <v>0.0</v>
      </c>
    </row>
    <row r="7104">
      <c r="A7104" s="14">
        <v>41.0</v>
      </c>
      <c r="B7104" s="14">
        <v>0.0</v>
      </c>
      <c r="C7104" s="34">
        <v>12.72</v>
      </c>
      <c r="D7104" s="36">
        <v>45711.0</v>
      </c>
      <c r="E7104" s="24"/>
      <c r="F7104" s="14" t="s">
        <v>6012</v>
      </c>
      <c r="G7104" s="14">
        <v>310.24</v>
      </c>
      <c r="H7104" s="14">
        <v>0.0</v>
      </c>
      <c r="I7104" s="14" t="s">
        <v>6086</v>
      </c>
      <c r="J7104" s="14" t="s">
        <v>6012</v>
      </c>
      <c r="K7104" s="14">
        <v>6.36</v>
      </c>
      <c r="L7104" s="14">
        <v>0.0</v>
      </c>
    </row>
    <row r="7105">
      <c r="A7105" s="14">
        <v>0.0</v>
      </c>
      <c r="B7105" s="14">
        <v>0.0</v>
      </c>
      <c r="C7105" s="34">
        <v>0.6</v>
      </c>
      <c r="D7105" s="36">
        <v>45711.0</v>
      </c>
      <c r="E7105" s="24"/>
      <c r="F7105" s="14" t="s">
        <v>6012</v>
      </c>
      <c r="G7105" s="14" t="s">
        <v>6012</v>
      </c>
      <c r="H7105" s="14" t="s">
        <v>6012</v>
      </c>
      <c r="I7105" s="14" t="s">
        <v>6088</v>
      </c>
      <c r="J7105" s="14" t="s">
        <v>6012</v>
      </c>
      <c r="K7105" s="14">
        <v>0.6</v>
      </c>
      <c r="L7105" s="14">
        <v>0.0</v>
      </c>
    </row>
    <row r="7106">
      <c r="A7106" s="14">
        <v>33.0</v>
      </c>
      <c r="B7106" s="14">
        <v>0.0</v>
      </c>
      <c r="C7106" s="34">
        <v>19.42</v>
      </c>
      <c r="D7106" s="36">
        <v>45711.0</v>
      </c>
      <c r="E7106" s="24"/>
      <c r="F7106" s="14" t="s">
        <v>6012</v>
      </c>
      <c r="G7106" s="14">
        <v>588.48</v>
      </c>
      <c r="H7106" s="14">
        <v>0.0</v>
      </c>
      <c r="I7106" s="14" t="s">
        <v>6090</v>
      </c>
      <c r="J7106" s="14" t="s">
        <v>6012</v>
      </c>
      <c r="K7106" s="14" t="s">
        <v>6012</v>
      </c>
      <c r="L7106" s="14">
        <v>0.0</v>
      </c>
    </row>
    <row r="7107">
      <c r="A7107" s="14">
        <v>129.0</v>
      </c>
      <c r="B7107" s="14">
        <v>0.0</v>
      </c>
      <c r="C7107" s="34">
        <v>20.87</v>
      </c>
      <c r="D7107" s="36">
        <v>45712.0</v>
      </c>
      <c r="E7107" s="24"/>
      <c r="F7107" s="14" t="s">
        <v>6012</v>
      </c>
      <c r="G7107" s="14">
        <v>161.78</v>
      </c>
      <c r="H7107" s="14">
        <v>0.0</v>
      </c>
      <c r="I7107" s="14" t="s">
        <v>6086</v>
      </c>
      <c r="J7107" s="14" t="s">
        <v>6012</v>
      </c>
      <c r="K7107" s="14">
        <v>0.99</v>
      </c>
      <c r="L7107" s="14">
        <v>0.0</v>
      </c>
    </row>
    <row r="7108">
      <c r="A7108" s="14">
        <v>0.0</v>
      </c>
      <c r="B7108" s="14">
        <v>0.0</v>
      </c>
      <c r="C7108" s="34"/>
      <c r="D7108" s="36">
        <v>45712.0</v>
      </c>
      <c r="E7108" s="24"/>
      <c r="F7108" s="14" t="s">
        <v>6012</v>
      </c>
      <c r="G7108" s="14" t="s">
        <v>6012</v>
      </c>
      <c r="H7108" s="14" t="s">
        <v>6012</v>
      </c>
      <c r="I7108" s="14" t="s">
        <v>6089</v>
      </c>
      <c r="J7108" s="14" t="s">
        <v>6012</v>
      </c>
      <c r="K7108" s="14" t="s">
        <v>6012</v>
      </c>
      <c r="L7108" s="14"/>
    </row>
    <row r="7109">
      <c r="A7109" s="14">
        <v>0.0</v>
      </c>
      <c r="B7109" s="14">
        <v>0.0</v>
      </c>
      <c r="C7109" s="34">
        <v>16.56</v>
      </c>
      <c r="D7109" s="36">
        <v>45712.0</v>
      </c>
      <c r="E7109" s="24"/>
      <c r="F7109" s="14" t="s">
        <v>6012</v>
      </c>
      <c r="G7109" s="14" t="s">
        <v>6012</v>
      </c>
      <c r="H7109" s="14" t="s">
        <v>6012</v>
      </c>
      <c r="I7109" s="14" t="s">
        <v>6088</v>
      </c>
      <c r="J7109" s="14" t="s">
        <v>6012</v>
      </c>
      <c r="K7109" s="14">
        <v>4.14</v>
      </c>
      <c r="L7109" s="14">
        <v>0.0</v>
      </c>
    </row>
    <row r="7110">
      <c r="A7110" s="14">
        <v>69.0</v>
      </c>
      <c r="B7110" s="14">
        <v>1.0</v>
      </c>
      <c r="C7110" s="34">
        <v>31.68</v>
      </c>
      <c r="D7110" s="36">
        <v>45712.0</v>
      </c>
      <c r="E7110" s="24"/>
      <c r="F7110" s="14">
        <v>31.68</v>
      </c>
      <c r="G7110" s="14">
        <v>459.13</v>
      </c>
      <c r="H7110" s="14">
        <v>1.45</v>
      </c>
      <c r="I7110" s="14" t="s">
        <v>6087</v>
      </c>
      <c r="J7110" s="14">
        <v>600.0</v>
      </c>
      <c r="K7110" s="14">
        <v>5.28</v>
      </c>
      <c r="L7110" s="14">
        <v>0.0</v>
      </c>
    </row>
    <row r="7111">
      <c r="A7111" s="14">
        <v>72.0</v>
      </c>
      <c r="B7111" s="14">
        <v>0.0</v>
      </c>
      <c r="C7111" s="34">
        <v>31.71</v>
      </c>
      <c r="D7111" s="36">
        <v>45712.0</v>
      </c>
      <c r="E7111" s="24"/>
      <c r="F7111" s="14" t="s">
        <v>6012</v>
      </c>
      <c r="G7111" s="14">
        <v>440.42</v>
      </c>
      <c r="H7111" s="14">
        <v>0.0</v>
      </c>
      <c r="I7111" s="14" t="s">
        <v>6090</v>
      </c>
      <c r="J7111" s="14" t="s">
        <v>6012</v>
      </c>
      <c r="K7111" s="14">
        <v>6.34</v>
      </c>
      <c r="L7111" s="14">
        <v>0.0</v>
      </c>
    </row>
    <row r="7112">
      <c r="A7112" s="14">
        <v>748.0</v>
      </c>
      <c r="B7112" s="14">
        <v>26.0</v>
      </c>
      <c r="C7112" s="34">
        <v>19.64</v>
      </c>
      <c r="D7112" s="36">
        <v>45712.0</v>
      </c>
      <c r="E7112" s="24"/>
      <c r="F7112" s="14">
        <v>0.76</v>
      </c>
      <c r="G7112" s="14">
        <v>26.26</v>
      </c>
      <c r="H7112" s="14">
        <v>3.48</v>
      </c>
      <c r="I7112" s="14" t="s">
        <v>6091</v>
      </c>
      <c r="J7112" s="14">
        <v>0.0</v>
      </c>
      <c r="K7112" s="14" t="s">
        <v>6012</v>
      </c>
      <c r="L7112" s="14">
        <v>0.0</v>
      </c>
    </row>
    <row r="7113">
      <c r="A7113" s="14">
        <v>125.0</v>
      </c>
      <c r="B7113" s="14">
        <v>0.0</v>
      </c>
      <c r="C7113" s="34">
        <v>19.01</v>
      </c>
      <c r="D7113" s="36">
        <v>45712.0</v>
      </c>
      <c r="E7113" s="24"/>
      <c r="F7113" s="14" t="s">
        <v>6012</v>
      </c>
      <c r="G7113" s="14">
        <v>152.08</v>
      </c>
      <c r="H7113" s="14">
        <v>0.0</v>
      </c>
      <c r="I7113" s="14" t="s">
        <v>6082</v>
      </c>
      <c r="J7113" s="14" t="s">
        <v>6012</v>
      </c>
      <c r="K7113" s="14">
        <v>0.66</v>
      </c>
      <c r="L7113" s="14">
        <v>0.0</v>
      </c>
    </row>
    <row r="7114">
      <c r="A7114" s="14">
        <v>0.0</v>
      </c>
      <c r="B7114" s="14">
        <v>0.0</v>
      </c>
      <c r="C7114" s="34">
        <v>26.87</v>
      </c>
      <c r="D7114" s="36">
        <v>45713.0</v>
      </c>
      <c r="E7114" s="24"/>
      <c r="F7114" s="14" t="s">
        <v>6012</v>
      </c>
      <c r="G7114" s="14" t="s">
        <v>6012</v>
      </c>
      <c r="H7114" s="14" t="s">
        <v>6012</v>
      </c>
      <c r="I7114" s="14" t="s">
        <v>6088</v>
      </c>
      <c r="J7114" s="14" t="s">
        <v>6012</v>
      </c>
      <c r="K7114" s="14">
        <v>13.44</v>
      </c>
      <c r="L7114" s="14">
        <v>0.0</v>
      </c>
    </row>
    <row r="7115">
      <c r="A7115" s="14">
        <v>120.0</v>
      </c>
      <c r="B7115" s="14">
        <v>1.0</v>
      </c>
      <c r="C7115" s="34">
        <v>22.76</v>
      </c>
      <c r="D7115" s="36">
        <v>45713.0</v>
      </c>
      <c r="E7115" s="24"/>
      <c r="F7115" s="14">
        <v>22.76</v>
      </c>
      <c r="G7115" s="14">
        <v>189.67</v>
      </c>
      <c r="H7115" s="14">
        <v>0.83</v>
      </c>
      <c r="I7115" s="14" t="s">
        <v>6082</v>
      </c>
      <c r="J7115" s="14">
        <v>4700.0</v>
      </c>
      <c r="K7115" s="14">
        <v>0.48</v>
      </c>
      <c r="L7115" s="14">
        <v>0.0</v>
      </c>
    </row>
    <row r="7116">
      <c r="A7116" s="14">
        <v>90.0</v>
      </c>
      <c r="B7116" s="14">
        <v>1.0</v>
      </c>
      <c r="C7116" s="34">
        <v>37.56</v>
      </c>
      <c r="D7116" s="36">
        <v>45713.0</v>
      </c>
      <c r="E7116" s="24"/>
      <c r="F7116" s="14">
        <v>37.56</v>
      </c>
      <c r="G7116" s="14">
        <v>417.33</v>
      </c>
      <c r="H7116" s="14">
        <v>1.11</v>
      </c>
      <c r="I7116" s="14" t="s">
        <v>6087</v>
      </c>
      <c r="J7116" s="14">
        <v>300.0</v>
      </c>
      <c r="K7116" s="14">
        <v>12.52</v>
      </c>
      <c r="L7116" s="14">
        <v>0.0</v>
      </c>
    </row>
    <row r="7117">
      <c r="A7117" s="14">
        <v>248.0</v>
      </c>
      <c r="B7117" s="14">
        <v>10.0</v>
      </c>
      <c r="C7117" s="34">
        <v>22.35</v>
      </c>
      <c r="D7117" s="36">
        <v>45713.0</v>
      </c>
      <c r="E7117" s="24"/>
      <c r="F7117" s="14">
        <v>2.24</v>
      </c>
      <c r="G7117" s="14">
        <v>90.12</v>
      </c>
      <c r="H7117" s="14">
        <v>4.03</v>
      </c>
      <c r="I7117" s="14" t="s">
        <v>6091</v>
      </c>
      <c r="J7117" s="14">
        <v>0.0</v>
      </c>
      <c r="K7117" s="14" t="s">
        <v>6012</v>
      </c>
      <c r="L7117" s="14">
        <v>0.0</v>
      </c>
    </row>
    <row r="7118">
      <c r="A7118" s="14">
        <v>80.0</v>
      </c>
      <c r="B7118" s="14">
        <v>0.0</v>
      </c>
      <c r="C7118" s="34">
        <v>38.04</v>
      </c>
      <c r="D7118" s="36">
        <v>45713.0</v>
      </c>
      <c r="E7118" s="24"/>
      <c r="F7118" s="14" t="s">
        <v>6012</v>
      </c>
      <c r="G7118" s="14">
        <v>475.5</v>
      </c>
      <c r="H7118" s="14">
        <v>0.0</v>
      </c>
      <c r="I7118" s="14" t="s">
        <v>6090</v>
      </c>
      <c r="J7118" s="14" t="s">
        <v>6012</v>
      </c>
      <c r="K7118" s="14">
        <v>38.04</v>
      </c>
      <c r="L7118" s="14">
        <v>0.0</v>
      </c>
    </row>
    <row r="7119">
      <c r="A7119" s="14">
        <v>129.0</v>
      </c>
      <c r="B7119" s="14">
        <v>1.0</v>
      </c>
      <c r="C7119" s="34">
        <v>23.99</v>
      </c>
      <c r="D7119" s="36">
        <v>45713.0</v>
      </c>
      <c r="E7119" s="24"/>
      <c r="F7119" s="14">
        <v>23.99</v>
      </c>
      <c r="G7119" s="14">
        <v>185.97</v>
      </c>
      <c r="H7119" s="14">
        <v>0.78</v>
      </c>
      <c r="I7119" s="14" t="s">
        <v>6086</v>
      </c>
      <c r="J7119" s="14">
        <v>1600.0</v>
      </c>
      <c r="K7119" s="14">
        <v>1.5</v>
      </c>
      <c r="L7119" s="14">
        <v>0.0</v>
      </c>
    </row>
    <row r="7120">
      <c r="A7120" s="14">
        <v>0.0</v>
      </c>
      <c r="B7120" s="14">
        <v>0.0</v>
      </c>
      <c r="C7120" s="34"/>
      <c r="D7120" s="36">
        <v>45713.0</v>
      </c>
      <c r="E7120" s="24"/>
      <c r="F7120" s="14" t="s">
        <v>6012</v>
      </c>
      <c r="G7120" s="14" t="s">
        <v>6012</v>
      </c>
      <c r="H7120" s="14" t="s">
        <v>6012</v>
      </c>
      <c r="I7120" s="14" t="s">
        <v>6089</v>
      </c>
      <c r="J7120" s="14" t="s">
        <v>6012</v>
      </c>
      <c r="K7120" s="14" t="s">
        <v>6012</v>
      </c>
      <c r="L7120" s="14"/>
    </row>
    <row r="7121">
      <c r="A7121" s="14">
        <v>248.0</v>
      </c>
      <c r="B7121" s="14">
        <v>7.0</v>
      </c>
      <c r="C7121" s="34">
        <v>21.74</v>
      </c>
      <c r="D7121" s="36">
        <v>45714.0</v>
      </c>
      <c r="E7121" s="24"/>
      <c r="F7121" s="14">
        <v>3.11</v>
      </c>
      <c r="G7121" s="14">
        <v>87.66</v>
      </c>
      <c r="H7121" s="14">
        <v>2.82</v>
      </c>
      <c r="I7121" s="14" t="s">
        <v>6091</v>
      </c>
      <c r="J7121" s="14">
        <v>0.0</v>
      </c>
      <c r="K7121" s="14" t="s">
        <v>6012</v>
      </c>
      <c r="L7121" s="14">
        <v>0.0</v>
      </c>
    </row>
    <row r="7122">
      <c r="A7122" s="14">
        <v>94.0</v>
      </c>
      <c r="B7122" s="14">
        <v>0.0</v>
      </c>
      <c r="C7122" s="34">
        <v>39.6</v>
      </c>
      <c r="D7122" s="36">
        <v>45714.0</v>
      </c>
      <c r="E7122" s="24"/>
      <c r="F7122" s="14" t="s">
        <v>6012</v>
      </c>
      <c r="G7122" s="14">
        <v>421.28</v>
      </c>
      <c r="H7122" s="14">
        <v>0.0</v>
      </c>
      <c r="I7122" s="14" t="s">
        <v>6087</v>
      </c>
      <c r="J7122" s="14" t="s">
        <v>6012</v>
      </c>
      <c r="K7122" s="14">
        <v>6.6</v>
      </c>
      <c r="L7122" s="14">
        <v>0.0</v>
      </c>
    </row>
    <row r="7123">
      <c r="A7123" s="14">
        <v>92.0</v>
      </c>
      <c r="B7123" s="14">
        <v>0.0</v>
      </c>
      <c r="C7123" s="34">
        <v>39.28</v>
      </c>
      <c r="D7123" s="36">
        <v>45714.0</v>
      </c>
      <c r="E7123" s="24"/>
      <c r="F7123" s="14" t="s">
        <v>6012</v>
      </c>
      <c r="G7123" s="14">
        <v>426.96</v>
      </c>
      <c r="H7123" s="14">
        <v>0.0</v>
      </c>
      <c r="I7123" s="14" t="s">
        <v>6090</v>
      </c>
      <c r="J7123" s="14" t="s">
        <v>6012</v>
      </c>
      <c r="K7123" s="14">
        <v>9.82</v>
      </c>
      <c r="L7123" s="14">
        <v>0.0</v>
      </c>
    </row>
    <row r="7124">
      <c r="A7124" s="14">
        <v>128.0</v>
      </c>
      <c r="B7124" s="14">
        <v>1.0</v>
      </c>
      <c r="C7124" s="34">
        <v>25.69</v>
      </c>
      <c r="D7124" s="36">
        <v>45714.0</v>
      </c>
      <c r="E7124" s="24"/>
      <c r="F7124" s="14">
        <v>25.69</v>
      </c>
      <c r="G7124" s="14">
        <v>200.7</v>
      </c>
      <c r="H7124" s="14">
        <v>0.78</v>
      </c>
      <c r="I7124" s="14" t="s">
        <v>6086</v>
      </c>
      <c r="J7124" s="14">
        <v>1600.0</v>
      </c>
      <c r="K7124" s="14">
        <v>1.61</v>
      </c>
      <c r="L7124" s="14">
        <v>0.0</v>
      </c>
    </row>
    <row r="7125">
      <c r="A7125" s="14">
        <v>0.0</v>
      </c>
      <c r="B7125" s="14">
        <v>0.0</v>
      </c>
      <c r="C7125" s="34"/>
      <c r="D7125" s="36">
        <v>45714.0</v>
      </c>
      <c r="E7125" s="24"/>
      <c r="F7125" s="14" t="s">
        <v>6012</v>
      </c>
      <c r="G7125" s="14" t="s">
        <v>6012</v>
      </c>
      <c r="H7125" s="14" t="s">
        <v>6012</v>
      </c>
      <c r="I7125" s="14" t="s">
        <v>6089</v>
      </c>
      <c r="J7125" s="14" t="s">
        <v>6012</v>
      </c>
      <c r="K7125" s="14" t="s">
        <v>6012</v>
      </c>
      <c r="L7125" s="14"/>
    </row>
    <row r="7126">
      <c r="A7126" s="14">
        <v>0.0</v>
      </c>
      <c r="B7126" s="14">
        <v>0.0</v>
      </c>
      <c r="C7126" s="34">
        <v>26.54</v>
      </c>
      <c r="D7126" s="36">
        <v>45714.0</v>
      </c>
      <c r="E7126" s="24"/>
      <c r="F7126" s="14" t="s">
        <v>6012</v>
      </c>
      <c r="G7126" s="14" t="s">
        <v>6012</v>
      </c>
      <c r="H7126" s="14" t="s">
        <v>6012</v>
      </c>
      <c r="I7126" s="14" t="s">
        <v>6088</v>
      </c>
      <c r="J7126" s="14" t="s">
        <v>6012</v>
      </c>
      <c r="K7126" s="14">
        <v>8.85</v>
      </c>
      <c r="L7126" s="14">
        <v>0.0</v>
      </c>
    </row>
    <row r="7127">
      <c r="A7127" s="14">
        <v>200.0</v>
      </c>
      <c r="B7127" s="14">
        <v>1.0</v>
      </c>
      <c r="C7127" s="34">
        <v>23.25</v>
      </c>
      <c r="D7127" s="36">
        <v>45714.0</v>
      </c>
      <c r="E7127" s="24"/>
      <c r="F7127" s="14">
        <v>23.25</v>
      </c>
      <c r="G7127" s="14">
        <v>116.25</v>
      </c>
      <c r="H7127" s="14">
        <v>0.5</v>
      </c>
      <c r="I7127" s="14" t="s">
        <v>6082</v>
      </c>
      <c r="J7127" s="14">
        <v>2500.0</v>
      </c>
      <c r="K7127" s="14">
        <v>0.93</v>
      </c>
      <c r="L7127" s="14">
        <v>0.0</v>
      </c>
    </row>
    <row r="7128">
      <c r="A7128" s="14">
        <v>164.0</v>
      </c>
      <c r="B7128" s="14">
        <v>2.0</v>
      </c>
      <c r="C7128" s="34">
        <v>21.99</v>
      </c>
      <c r="D7128" s="36">
        <v>45715.0</v>
      </c>
      <c r="E7128" s="24"/>
      <c r="F7128" s="14">
        <v>11.0</v>
      </c>
      <c r="G7128" s="14">
        <v>134.09</v>
      </c>
      <c r="H7128" s="14">
        <v>1.22</v>
      </c>
      <c r="I7128" s="14" t="s">
        <v>6082</v>
      </c>
      <c r="J7128" s="14">
        <v>1000.0</v>
      </c>
      <c r="K7128" s="14">
        <v>1.1</v>
      </c>
      <c r="L7128" s="14">
        <v>0.0</v>
      </c>
    </row>
    <row r="7129">
      <c r="A7129" s="14">
        <v>0.0</v>
      </c>
      <c r="B7129" s="14">
        <v>0.0</v>
      </c>
      <c r="C7129" s="34">
        <v>23.1</v>
      </c>
      <c r="D7129" s="36">
        <v>45715.0</v>
      </c>
      <c r="E7129" s="24"/>
      <c r="F7129" s="14" t="s">
        <v>6012</v>
      </c>
      <c r="G7129" s="14" t="s">
        <v>6012</v>
      </c>
      <c r="H7129" s="14" t="s">
        <v>6012</v>
      </c>
      <c r="I7129" s="14" t="s">
        <v>6088</v>
      </c>
      <c r="J7129" s="14" t="s">
        <v>6012</v>
      </c>
      <c r="K7129" s="14">
        <v>1.65</v>
      </c>
      <c r="L7129" s="14">
        <v>0.0</v>
      </c>
    </row>
    <row r="7130">
      <c r="A7130" s="14">
        <v>90.0</v>
      </c>
      <c r="B7130" s="14">
        <v>0.0</v>
      </c>
      <c r="C7130" s="34">
        <v>39.5</v>
      </c>
      <c r="D7130" s="36">
        <v>45715.0</v>
      </c>
      <c r="E7130" s="24"/>
      <c r="F7130" s="14" t="s">
        <v>6012</v>
      </c>
      <c r="G7130" s="14">
        <v>438.89</v>
      </c>
      <c r="H7130" s="14">
        <v>0.0</v>
      </c>
      <c r="I7130" s="14" t="s">
        <v>6087</v>
      </c>
      <c r="J7130" s="14" t="s">
        <v>6012</v>
      </c>
      <c r="K7130" s="14">
        <v>3.95</v>
      </c>
      <c r="L7130" s="14">
        <v>0.0</v>
      </c>
    </row>
    <row r="7131">
      <c r="A7131" s="14">
        <v>160.0</v>
      </c>
      <c r="B7131" s="14">
        <v>5.0</v>
      </c>
      <c r="C7131" s="34">
        <v>22.34</v>
      </c>
      <c r="D7131" s="36">
        <v>45715.0</v>
      </c>
      <c r="E7131" s="24"/>
      <c r="F7131" s="14">
        <v>4.47</v>
      </c>
      <c r="G7131" s="14">
        <v>139.62</v>
      </c>
      <c r="H7131" s="14">
        <v>3.12</v>
      </c>
      <c r="I7131" s="14" t="s">
        <v>6091</v>
      </c>
      <c r="J7131" s="14">
        <v>0.0</v>
      </c>
      <c r="K7131" s="14" t="s">
        <v>6012</v>
      </c>
      <c r="L7131" s="14">
        <v>0.0</v>
      </c>
    </row>
    <row r="7132">
      <c r="A7132" s="14">
        <v>121.0</v>
      </c>
      <c r="B7132" s="14">
        <v>0.0</v>
      </c>
      <c r="C7132" s="34">
        <v>39.66</v>
      </c>
      <c r="D7132" s="36">
        <v>45715.0</v>
      </c>
      <c r="E7132" s="24"/>
      <c r="F7132" s="14" t="s">
        <v>6012</v>
      </c>
      <c r="G7132" s="14">
        <v>327.77</v>
      </c>
      <c r="H7132" s="14">
        <v>0.0</v>
      </c>
      <c r="I7132" s="14" t="s">
        <v>6090</v>
      </c>
      <c r="J7132" s="14" t="s">
        <v>6012</v>
      </c>
      <c r="K7132" s="14">
        <v>7.93</v>
      </c>
      <c r="L7132" s="14">
        <v>0.0</v>
      </c>
    </row>
    <row r="7133">
      <c r="A7133" s="14">
        <v>0.0</v>
      </c>
      <c r="B7133" s="14">
        <v>0.0</v>
      </c>
      <c r="C7133" s="34"/>
      <c r="D7133" s="36">
        <v>45715.0</v>
      </c>
      <c r="E7133" s="24"/>
      <c r="F7133" s="14" t="s">
        <v>6012</v>
      </c>
      <c r="G7133" s="14" t="s">
        <v>6012</v>
      </c>
      <c r="H7133" s="14" t="s">
        <v>6012</v>
      </c>
      <c r="I7133" s="14" t="s">
        <v>6089</v>
      </c>
      <c r="J7133" s="14" t="s">
        <v>6012</v>
      </c>
      <c r="K7133" s="14" t="s">
        <v>6012</v>
      </c>
      <c r="L7133" s="14"/>
    </row>
    <row r="7134">
      <c r="A7134" s="14">
        <v>141.0</v>
      </c>
      <c r="B7134" s="14">
        <v>0.0</v>
      </c>
      <c r="C7134" s="34">
        <v>26.83</v>
      </c>
      <c r="D7134" s="36">
        <v>45715.0</v>
      </c>
      <c r="E7134" s="24"/>
      <c r="F7134" s="14" t="s">
        <v>6012</v>
      </c>
      <c r="G7134" s="14">
        <v>190.28</v>
      </c>
      <c r="H7134" s="14">
        <v>0.0</v>
      </c>
      <c r="I7134" s="14" t="s">
        <v>6086</v>
      </c>
      <c r="J7134" s="14" t="s">
        <v>6012</v>
      </c>
      <c r="K7134" s="14">
        <v>1.68</v>
      </c>
      <c r="L7134" s="14">
        <v>0.0</v>
      </c>
    </row>
    <row r="7135">
      <c r="A7135" s="14">
        <v>0.0</v>
      </c>
      <c r="B7135" s="14">
        <v>0.0</v>
      </c>
      <c r="C7135" s="34">
        <v>20.39</v>
      </c>
      <c r="D7135" s="36">
        <v>45716.0</v>
      </c>
      <c r="E7135" s="24"/>
      <c r="F7135" s="14" t="s">
        <v>6012</v>
      </c>
      <c r="G7135" s="14" t="s">
        <v>6012</v>
      </c>
      <c r="H7135" s="14" t="s">
        <v>6012</v>
      </c>
      <c r="I7135" s="14" t="s">
        <v>6088</v>
      </c>
      <c r="J7135" s="14" t="s">
        <v>6012</v>
      </c>
      <c r="K7135" s="14">
        <v>2.91</v>
      </c>
      <c r="L7135" s="14">
        <v>0.0</v>
      </c>
    </row>
    <row r="7136">
      <c r="A7136" s="14">
        <v>86.0</v>
      </c>
      <c r="B7136" s="14">
        <v>0.0</v>
      </c>
      <c r="C7136" s="34">
        <v>39.19</v>
      </c>
      <c r="D7136" s="36">
        <v>45716.0</v>
      </c>
      <c r="E7136" s="24"/>
      <c r="F7136" s="14" t="s">
        <v>6012</v>
      </c>
      <c r="G7136" s="14">
        <v>455.7</v>
      </c>
      <c r="H7136" s="14">
        <v>0.0</v>
      </c>
      <c r="I7136" s="14" t="s">
        <v>6087</v>
      </c>
      <c r="J7136" s="14" t="s">
        <v>6012</v>
      </c>
      <c r="K7136" s="14">
        <v>6.53</v>
      </c>
      <c r="L7136" s="14">
        <v>0.0</v>
      </c>
    </row>
    <row r="7137">
      <c r="A7137" s="14">
        <v>104.0</v>
      </c>
      <c r="B7137" s="14">
        <v>2.0</v>
      </c>
      <c r="C7137" s="34">
        <v>23.55</v>
      </c>
      <c r="D7137" s="36">
        <v>45716.0</v>
      </c>
      <c r="E7137" s="24"/>
      <c r="F7137" s="14">
        <v>11.78</v>
      </c>
      <c r="G7137" s="14">
        <v>226.44</v>
      </c>
      <c r="H7137" s="14">
        <v>1.92</v>
      </c>
      <c r="I7137" s="14" t="s">
        <v>6086</v>
      </c>
      <c r="J7137" s="14">
        <v>1400.0</v>
      </c>
      <c r="K7137" s="14">
        <v>0.84</v>
      </c>
      <c r="L7137" s="14">
        <v>0.0</v>
      </c>
    </row>
    <row r="7138">
      <c r="A7138" s="14">
        <v>75.0</v>
      </c>
      <c r="B7138" s="14">
        <v>1.0</v>
      </c>
      <c r="C7138" s="34">
        <v>38.99</v>
      </c>
      <c r="D7138" s="36">
        <v>45716.0</v>
      </c>
      <c r="E7138" s="24"/>
      <c r="F7138" s="14">
        <v>38.99</v>
      </c>
      <c r="G7138" s="14">
        <v>519.87</v>
      </c>
      <c r="H7138" s="14">
        <v>1.33</v>
      </c>
      <c r="I7138" s="14" t="s">
        <v>6090</v>
      </c>
      <c r="J7138" s="14">
        <v>600.0</v>
      </c>
      <c r="K7138" s="14">
        <v>6.5</v>
      </c>
      <c r="L7138" s="14">
        <v>0.0</v>
      </c>
    </row>
    <row r="7139">
      <c r="A7139" s="14">
        <v>169.0</v>
      </c>
      <c r="B7139" s="14">
        <v>0.0</v>
      </c>
      <c r="C7139" s="34">
        <v>22.76</v>
      </c>
      <c r="D7139" s="36">
        <v>45716.0</v>
      </c>
      <c r="E7139" s="24"/>
      <c r="F7139" s="14" t="s">
        <v>6012</v>
      </c>
      <c r="G7139" s="14">
        <v>134.67</v>
      </c>
      <c r="H7139" s="14">
        <v>0.0</v>
      </c>
      <c r="I7139" s="14" t="s">
        <v>6082</v>
      </c>
      <c r="J7139" s="14" t="s">
        <v>6012</v>
      </c>
      <c r="K7139" s="14">
        <v>0.56</v>
      </c>
      <c r="L7139" s="14">
        <v>0.0</v>
      </c>
    </row>
    <row r="7140">
      <c r="A7140" s="14">
        <v>0.0</v>
      </c>
      <c r="B7140" s="14">
        <v>0.0</v>
      </c>
      <c r="C7140" s="34"/>
      <c r="D7140" s="36">
        <v>45716.0</v>
      </c>
      <c r="E7140" s="24"/>
      <c r="F7140" s="14" t="s">
        <v>6012</v>
      </c>
      <c r="G7140" s="14" t="s">
        <v>6012</v>
      </c>
      <c r="H7140" s="14" t="s">
        <v>6012</v>
      </c>
      <c r="I7140" s="14" t="s">
        <v>6089</v>
      </c>
      <c r="J7140" s="14" t="s">
        <v>6012</v>
      </c>
      <c r="K7140" s="14" t="s">
        <v>6012</v>
      </c>
      <c r="L7140" s="14"/>
    </row>
    <row r="7141">
      <c r="A7141" s="14">
        <v>125.0</v>
      </c>
      <c r="B7141" s="14">
        <v>8.0</v>
      </c>
      <c r="C7141" s="34">
        <v>21.14</v>
      </c>
      <c r="D7141" s="36">
        <v>45716.0</v>
      </c>
      <c r="E7141" s="24"/>
      <c r="F7141" s="14">
        <v>2.64</v>
      </c>
      <c r="G7141" s="14">
        <v>169.12</v>
      </c>
      <c r="H7141" s="14">
        <v>6.4</v>
      </c>
      <c r="I7141" s="14" t="s">
        <v>6091</v>
      </c>
      <c r="J7141" s="14">
        <v>0.0</v>
      </c>
      <c r="K7141" s="14" t="s">
        <v>6012</v>
      </c>
      <c r="L7141" s="14">
        <v>0.0</v>
      </c>
    </row>
    <row r="7142">
      <c r="A7142" s="14">
        <v>52.0</v>
      </c>
      <c r="B7142" s="14">
        <v>0.0</v>
      </c>
      <c r="C7142" s="34">
        <v>21.24</v>
      </c>
      <c r="D7142" s="36">
        <v>45717.0</v>
      </c>
      <c r="E7142" s="24"/>
      <c r="F7142" s="14" t="s">
        <v>6012</v>
      </c>
      <c r="G7142" s="14">
        <v>408.46</v>
      </c>
      <c r="H7142" s="14">
        <v>0.0</v>
      </c>
      <c r="I7142" s="14" t="s">
        <v>6087</v>
      </c>
      <c r="J7142" s="14" t="s">
        <v>6012</v>
      </c>
      <c r="K7142" s="14">
        <v>5.31</v>
      </c>
      <c r="L7142" s="14">
        <v>0.0</v>
      </c>
    </row>
    <row r="7143">
      <c r="A7143" s="14">
        <v>87.0</v>
      </c>
      <c r="B7143" s="14">
        <v>0.0</v>
      </c>
      <c r="C7143" s="34">
        <v>14.41</v>
      </c>
      <c r="D7143" s="36">
        <v>45717.0</v>
      </c>
      <c r="E7143" s="24"/>
      <c r="F7143" s="14" t="s">
        <v>6012</v>
      </c>
      <c r="G7143" s="14">
        <v>165.63</v>
      </c>
      <c r="H7143" s="14">
        <v>0.0</v>
      </c>
      <c r="I7143" s="14" t="s">
        <v>6086</v>
      </c>
      <c r="J7143" s="14" t="s">
        <v>6012</v>
      </c>
      <c r="K7143" s="14">
        <v>1.31</v>
      </c>
      <c r="L7143" s="14">
        <v>0.0</v>
      </c>
    </row>
    <row r="7144">
      <c r="A7144" s="14">
        <v>0.0</v>
      </c>
      <c r="B7144" s="14">
        <v>0.0</v>
      </c>
      <c r="C7144" s="34"/>
      <c r="D7144" s="36">
        <v>45717.0</v>
      </c>
      <c r="E7144" s="24"/>
      <c r="F7144" s="14" t="s">
        <v>6012</v>
      </c>
      <c r="G7144" s="14" t="s">
        <v>6012</v>
      </c>
      <c r="H7144" s="14" t="s">
        <v>6012</v>
      </c>
      <c r="I7144" s="14" t="s">
        <v>6089</v>
      </c>
      <c r="J7144" s="14" t="s">
        <v>6012</v>
      </c>
      <c r="K7144" s="14" t="s">
        <v>6012</v>
      </c>
      <c r="L7144" s="14"/>
    </row>
    <row r="7145">
      <c r="A7145" s="14">
        <v>95.0</v>
      </c>
      <c r="B7145" s="14">
        <v>2.0</v>
      </c>
      <c r="C7145" s="34">
        <v>14.16</v>
      </c>
      <c r="D7145" s="36">
        <v>45717.0</v>
      </c>
      <c r="E7145" s="24"/>
      <c r="F7145" s="14">
        <v>7.08</v>
      </c>
      <c r="G7145" s="14">
        <v>149.05</v>
      </c>
      <c r="H7145" s="14">
        <v>2.11</v>
      </c>
      <c r="I7145" s="14" t="s">
        <v>6091</v>
      </c>
      <c r="J7145" s="14">
        <v>0.0</v>
      </c>
      <c r="K7145" s="14" t="s">
        <v>6012</v>
      </c>
      <c r="L7145" s="14">
        <v>0.0</v>
      </c>
    </row>
    <row r="7146">
      <c r="A7146" s="14">
        <v>0.0</v>
      </c>
      <c r="B7146" s="14">
        <v>0.0</v>
      </c>
      <c r="C7146" s="34">
        <v>6.31</v>
      </c>
      <c r="D7146" s="36">
        <v>45717.0</v>
      </c>
      <c r="E7146" s="24"/>
      <c r="F7146" s="14" t="s">
        <v>6012</v>
      </c>
      <c r="G7146" s="14" t="s">
        <v>6012</v>
      </c>
      <c r="H7146" s="14" t="s">
        <v>6012</v>
      </c>
      <c r="I7146" s="14" t="s">
        <v>6088</v>
      </c>
      <c r="J7146" s="14" t="s">
        <v>6012</v>
      </c>
      <c r="K7146" s="14">
        <v>1.58</v>
      </c>
      <c r="L7146" s="14">
        <v>0.0</v>
      </c>
    </row>
    <row r="7147">
      <c r="A7147" s="14">
        <v>129.0</v>
      </c>
      <c r="B7147" s="14">
        <v>0.0</v>
      </c>
      <c r="C7147" s="34">
        <v>13.2</v>
      </c>
      <c r="D7147" s="36">
        <v>45717.0</v>
      </c>
      <c r="E7147" s="24"/>
      <c r="F7147" s="14" t="s">
        <v>6012</v>
      </c>
      <c r="G7147" s="14">
        <v>102.33</v>
      </c>
      <c r="H7147" s="14">
        <v>0.0</v>
      </c>
      <c r="I7147" s="14" t="s">
        <v>6082</v>
      </c>
      <c r="J7147" s="14" t="s">
        <v>6012</v>
      </c>
      <c r="K7147" s="14">
        <v>4.4</v>
      </c>
      <c r="L7147" s="14">
        <v>0.0</v>
      </c>
    </row>
    <row r="7148">
      <c r="A7148" s="14">
        <v>55.0</v>
      </c>
      <c r="B7148" s="14">
        <v>0.0</v>
      </c>
      <c r="C7148" s="34">
        <v>22.2</v>
      </c>
      <c r="D7148" s="36">
        <v>45717.0</v>
      </c>
      <c r="E7148" s="24"/>
      <c r="F7148" s="14" t="s">
        <v>6012</v>
      </c>
      <c r="G7148" s="14">
        <v>403.64</v>
      </c>
      <c r="H7148" s="14">
        <v>0.0</v>
      </c>
      <c r="I7148" s="14" t="s">
        <v>6090</v>
      </c>
      <c r="J7148" s="14" t="s">
        <v>6012</v>
      </c>
      <c r="K7148" s="14">
        <v>4.44</v>
      </c>
      <c r="L7148" s="14">
        <v>0.0</v>
      </c>
    </row>
    <row r="7149">
      <c r="A7149" s="14">
        <v>49.0</v>
      </c>
      <c r="B7149" s="14">
        <v>0.0</v>
      </c>
      <c r="C7149" s="34">
        <v>8.97</v>
      </c>
      <c r="D7149" s="36">
        <v>45718.0</v>
      </c>
      <c r="E7149" s="24"/>
      <c r="F7149" s="14" t="s">
        <v>6012</v>
      </c>
      <c r="G7149" s="14">
        <v>183.06</v>
      </c>
      <c r="H7149" s="14">
        <v>0.0</v>
      </c>
      <c r="I7149" s="14" t="s">
        <v>6082</v>
      </c>
      <c r="J7149" s="14" t="s">
        <v>6012</v>
      </c>
      <c r="K7149" s="14">
        <v>2.99</v>
      </c>
      <c r="L7149" s="14">
        <v>0.0</v>
      </c>
    </row>
    <row r="7150">
      <c r="A7150" s="14">
        <v>0.0</v>
      </c>
      <c r="B7150" s="14">
        <v>0.0</v>
      </c>
      <c r="C7150" s="34">
        <v>6.53</v>
      </c>
      <c r="D7150" s="36">
        <v>45718.0</v>
      </c>
      <c r="E7150" s="24"/>
      <c r="F7150" s="14" t="s">
        <v>6012</v>
      </c>
      <c r="G7150" s="14" t="s">
        <v>6012</v>
      </c>
      <c r="H7150" s="14" t="s">
        <v>6012</v>
      </c>
      <c r="I7150" s="14" t="s">
        <v>6088</v>
      </c>
      <c r="J7150" s="14" t="s">
        <v>6012</v>
      </c>
      <c r="K7150" s="14" t="s">
        <v>6012</v>
      </c>
      <c r="L7150" s="14">
        <v>0.0</v>
      </c>
    </row>
    <row r="7151">
      <c r="A7151" s="14">
        <v>34.0</v>
      </c>
      <c r="B7151" s="14">
        <v>0.0</v>
      </c>
      <c r="C7151" s="34">
        <v>15.23</v>
      </c>
      <c r="D7151" s="36">
        <v>45718.0</v>
      </c>
      <c r="E7151" s="24"/>
      <c r="F7151" s="14" t="s">
        <v>6012</v>
      </c>
      <c r="G7151" s="14">
        <v>447.94</v>
      </c>
      <c r="H7151" s="14">
        <v>0.0</v>
      </c>
      <c r="I7151" s="14" t="s">
        <v>6090</v>
      </c>
      <c r="J7151" s="14" t="s">
        <v>6012</v>
      </c>
      <c r="K7151" s="14" t="s">
        <v>6012</v>
      </c>
      <c r="L7151" s="14">
        <v>0.0</v>
      </c>
    </row>
    <row r="7152">
      <c r="A7152" s="14">
        <v>36.0</v>
      </c>
      <c r="B7152" s="14">
        <v>0.0</v>
      </c>
      <c r="C7152" s="34">
        <v>15.07</v>
      </c>
      <c r="D7152" s="36">
        <v>45718.0</v>
      </c>
      <c r="E7152" s="24"/>
      <c r="F7152" s="14" t="s">
        <v>6012</v>
      </c>
      <c r="G7152" s="14">
        <v>418.61</v>
      </c>
      <c r="H7152" s="14">
        <v>0.0</v>
      </c>
      <c r="I7152" s="14" t="s">
        <v>6087</v>
      </c>
      <c r="J7152" s="14" t="s">
        <v>6012</v>
      </c>
      <c r="K7152" s="14" t="s">
        <v>6012</v>
      </c>
      <c r="L7152" s="14">
        <v>0.0</v>
      </c>
    </row>
    <row r="7153">
      <c r="A7153" s="14">
        <v>67.0</v>
      </c>
      <c r="B7153" s="14">
        <v>0.0</v>
      </c>
      <c r="C7153" s="34">
        <v>10.81</v>
      </c>
      <c r="D7153" s="36">
        <v>45718.0</v>
      </c>
      <c r="E7153" s="24"/>
      <c r="F7153" s="14" t="s">
        <v>6012</v>
      </c>
      <c r="G7153" s="14">
        <v>161.34</v>
      </c>
      <c r="H7153" s="14">
        <v>0.0</v>
      </c>
      <c r="I7153" s="14" t="s">
        <v>6086</v>
      </c>
      <c r="J7153" s="14" t="s">
        <v>6012</v>
      </c>
      <c r="K7153" s="14">
        <v>2.7</v>
      </c>
      <c r="L7153" s="14">
        <v>0.0</v>
      </c>
    </row>
    <row r="7154">
      <c r="A7154" s="14">
        <v>94.0</v>
      </c>
      <c r="B7154" s="14">
        <v>5.0</v>
      </c>
      <c r="C7154" s="34">
        <v>11.63</v>
      </c>
      <c r="D7154" s="36">
        <v>45718.0</v>
      </c>
      <c r="E7154" s="24"/>
      <c r="F7154" s="14">
        <v>2.33</v>
      </c>
      <c r="G7154" s="14">
        <v>123.72</v>
      </c>
      <c r="H7154" s="14">
        <v>5.32</v>
      </c>
      <c r="I7154" s="14" t="s">
        <v>6091</v>
      </c>
      <c r="J7154" s="14">
        <v>0.0</v>
      </c>
      <c r="K7154" s="14" t="s">
        <v>6012</v>
      </c>
      <c r="L7154" s="14">
        <v>0.0</v>
      </c>
    </row>
    <row r="7155">
      <c r="A7155" s="14">
        <v>264.0</v>
      </c>
      <c r="B7155" s="14">
        <v>2.0</v>
      </c>
      <c r="C7155" s="34">
        <v>22.2</v>
      </c>
      <c r="D7155" s="36">
        <v>45719.0</v>
      </c>
      <c r="E7155" s="24"/>
      <c r="F7155" s="14">
        <v>11.1</v>
      </c>
      <c r="G7155" s="14">
        <v>84.09</v>
      </c>
      <c r="H7155" s="14">
        <v>0.76</v>
      </c>
      <c r="I7155" s="14" t="s">
        <v>6092</v>
      </c>
      <c r="J7155" s="14">
        <v>0.0</v>
      </c>
      <c r="K7155" s="14" t="s">
        <v>6012</v>
      </c>
      <c r="L7155" s="14">
        <v>0.0</v>
      </c>
    </row>
    <row r="7156">
      <c r="A7156" s="14">
        <v>64.0</v>
      </c>
      <c r="B7156" s="14">
        <v>0.0</v>
      </c>
      <c r="C7156" s="34">
        <v>10.47</v>
      </c>
      <c r="D7156" s="36">
        <v>45719.0</v>
      </c>
      <c r="E7156" s="24"/>
      <c r="F7156" s="14" t="s">
        <v>6012</v>
      </c>
      <c r="G7156" s="14">
        <v>163.59</v>
      </c>
      <c r="H7156" s="14">
        <v>0.0</v>
      </c>
      <c r="I7156" s="14" t="s">
        <v>6082</v>
      </c>
      <c r="J7156" s="14" t="s">
        <v>6012</v>
      </c>
      <c r="K7156" s="14">
        <v>0.21</v>
      </c>
      <c r="L7156" s="14">
        <v>0.0</v>
      </c>
    </row>
    <row r="7157">
      <c r="A7157" s="14">
        <v>643.0</v>
      </c>
      <c r="B7157" s="14">
        <v>4.0</v>
      </c>
      <c r="C7157" s="34">
        <v>19.68</v>
      </c>
      <c r="D7157" s="36">
        <v>45719.0</v>
      </c>
      <c r="E7157" s="24"/>
      <c r="F7157" s="14">
        <v>4.92</v>
      </c>
      <c r="G7157" s="14">
        <v>30.61</v>
      </c>
      <c r="H7157" s="14">
        <v>0.62</v>
      </c>
      <c r="I7157" s="14" t="s">
        <v>6093</v>
      </c>
      <c r="J7157" s="14">
        <v>0.0</v>
      </c>
      <c r="K7157" s="14" t="s">
        <v>6012</v>
      </c>
      <c r="L7157" s="14">
        <v>0.0</v>
      </c>
    </row>
    <row r="7158">
      <c r="A7158" s="14">
        <v>0.0</v>
      </c>
      <c r="B7158" s="14">
        <v>0.0</v>
      </c>
      <c r="C7158" s="34"/>
      <c r="D7158" s="36">
        <v>45719.0</v>
      </c>
      <c r="E7158" s="24"/>
      <c r="F7158" s="14" t="s">
        <v>6012</v>
      </c>
      <c r="G7158" s="14" t="s">
        <v>6012</v>
      </c>
      <c r="H7158" s="14" t="s">
        <v>6012</v>
      </c>
      <c r="I7158" s="14" t="s">
        <v>6089</v>
      </c>
      <c r="J7158" s="14" t="s">
        <v>6012</v>
      </c>
      <c r="K7158" s="14" t="s">
        <v>6012</v>
      </c>
      <c r="L7158" s="14"/>
    </row>
    <row r="7159">
      <c r="A7159" s="14">
        <v>89.0</v>
      </c>
      <c r="B7159" s="14">
        <v>4.0</v>
      </c>
      <c r="C7159" s="34">
        <v>22.11</v>
      </c>
      <c r="D7159" s="36">
        <v>45719.0</v>
      </c>
      <c r="E7159" s="24"/>
      <c r="F7159" s="14">
        <v>5.53</v>
      </c>
      <c r="G7159" s="14">
        <v>248.43</v>
      </c>
      <c r="H7159" s="14">
        <v>4.49</v>
      </c>
      <c r="I7159" s="14" t="s">
        <v>6091</v>
      </c>
      <c r="J7159" s="14">
        <v>0.0</v>
      </c>
      <c r="K7159" s="14" t="s">
        <v>6012</v>
      </c>
      <c r="L7159" s="14">
        <v>0.0</v>
      </c>
    </row>
    <row r="7160">
      <c r="A7160" s="14">
        <v>61.0</v>
      </c>
      <c r="B7160" s="14">
        <v>0.0</v>
      </c>
      <c r="C7160" s="34">
        <v>31.55</v>
      </c>
      <c r="D7160" s="36">
        <v>45719.0</v>
      </c>
      <c r="E7160" s="24"/>
      <c r="F7160" s="14" t="s">
        <v>6012</v>
      </c>
      <c r="G7160" s="14">
        <v>517.21</v>
      </c>
      <c r="H7160" s="14">
        <v>0.0</v>
      </c>
      <c r="I7160" s="14" t="s">
        <v>6090</v>
      </c>
      <c r="J7160" s="14" t="s">
        <v>6012</v>
      </c>
      <c r="K7160" s="14">
        <v>7.89</v>
      </c>
      <c r="L7160" s="14">
        <v>0.0</v>
      </c>
    </row>
    <row r="7161">
      <c r="A7161" s="14">
        <v>0.0</v>
      </c>
      <c r="B7161" s="14">
        <v>0.0</v>
      </c>
      <c r="C7161" s="34">
        <v>18.28</v>
      </c>
      <c r="D7161" s="36">
        <v>45719.0</v>
      </c>
      <c r="E7161" s="24"/>
      <c r="F7161" s="14" t="s">
        <v>6012</v>
      </c>
      <c r="G7161" s="14" t="s">
        <v>6012</v>
      </c>
      <c r="H7161" s="14" t="s">
        <v>6012</v>
      </c>
      <c r="I7161" s="14" t="s">
        <v>6088</v>
      </c>
      <c r="J7161" s="14" t="s">
        <v>6012</v>
      </c>
      <c r="K7161" s="14">
        <v>4.57</v>
      </c>
      <c r="L7161" s="14">
        <v>0.0</v>
      </c>
    </row>
    <row r="7162">
      <c r="A7162" s="14">
        <v>52.0</v>
      </c>
      <c r="B7162" s="14">
        <v>0.0</v>
      </c>
      <c r="C7162" s="34">
        <v>8.69</v>
      </c>
      <c r="D7162" s="36">
        <v>45719.0</v>
      </c>
      <c r="E7162" s="24"/>
      <c r="F7162" s="14" t="s">
        <v>6012</v>
      </c>
      <c r="G7162" s="14">
        <v>167.12</v>
      </c>
      <c r="H7162" s="14">
        <v>0.0</v>
      </c>
      <c r="I7162" s="14" t="s">
        <v>6086</v>
      </c>
      <c r="J7162" s="14" t="s">
        <v>6012</v>
      </c>
      <c r="K7162" s="14">
        <v>0.62</v>
      </c>
      <c r="L7162" s="14">
        <v>0.0</v>
      </c>
    </row>
    <row r="7163">
      <c r="A7163" s="14">
        <v>61.0</v>
      </c>
      <c r="B7163" s="14">
        <v>0.0</v>
      </c>
      <c r="C7163" s="34">
        <v>31.33</v>
      </c>
      <c r="D7163" s="36">
        <v>45719.0</v>
      </c>
      <c r="E7163" s="24"/>
      <c r="F7163" s="14" t="s">
        <v>6012</v>
      </c>
      <c r="G7163" s="14">
        <v>513.61</v>
      </c>
      <c r="H7163" s="14">
        <v>0.0</v>
      </c>
      <c r="I7163" s="14" t="s">
        <v>6087</v>
      </c>
      <c r="J7163" s="14" t="s">
        <v>6012</v>
      </c>
      <c r="K7163" s="14">
        <v>7.83</v>
      </c>
      <c r="L7163" s="14">
        <v>0.0</v>
      </c>
    </row>
    <row r="7164">
      <c r="A7164" s="14">
        <v>0.0</v>
      </c>
      <c r="B7164" s="14">
        <v>0.0</v>
      </c>
      <c r="C7164" s="34"/>
      <c r="D7164" s="36">
        <v>45720.0</v>
      </c>
      <c r="E7164" s="24"/>
      <c r="F7164" s="14" t="s">
        <v>6012</v>
      </c>
      <c r="G7164" s="14" t="s">
        <v>6012</v>
      </c>
      <c r="H7164" s="14" t="s">
        <v>6012</v>
      </c>
      <c r="I7164" s="14" t="s">
        <v>6086</v>
      </c>
      <c r="J7164" s="14" t="s">
        <v>6012</v>
      </c>
      <c r="K7164" s="14" t="s">
        <v>6012</v>
      </c>
      <c r="L7164" s="14"/>
    </row>
    <row r="7165">
      <c r="A7165" s="14">
        <v>0.0</v>
      </c>
      <c r="B7165" s="14">
        <v>0.0</v>
      </c>
      <c r="C7165" s="34">
        <v>16.57</v>
      </c>
      <c r="D7165" s="36">
        <v>45720.0</v>
      </c>
      <c r="E7165" s="24"/>
      <c r="F7165" s="14" t="s">
        <v>6012</v>
      </c>
      <c r="G7165" s="14" t="s">
        <v>6012</v>
      </c>
      <c r="H7165" s="14" t="s">
        <v>6012</v>
      </c>
      <c r="I7165" s="14" t="s">
        <v>6088</v>
      </c>
      <c r="J7165" s="14" t="s">
        <v>6012</v>
      </c>
      <c r="K7165" s="14">
        <v>8.28</v>
      </c>
      <c r="L7165" s="14">
        <v>0.0</v>
      </c>
    </row>
    <row r="7166">
      <c r="A7166" s="14">
        <v>0.0</v>
      </c>
      <c r="B7166" s="14">
        <v>0.0</v>
      </c>
      <c r="C7166" s="34"/>
      <c r="D7166" s="36">
        <v>45720.0</v>
      </c>
      <c r="E7166" s="24"/>
      <c r="F7166" s="14" t="s">
        <v>6012</v>
      </c>
      <c r="G7166" s="14" t="s">
        <v>6012</v>
      </c>
      <c r="H7166" s="14" t="s">
        <v>6012</v>
      </c>
      <c r="I7166" s="14" t="s">
        <v>6082</v>
      </c>
      <c r="J7166" s="14" t="s">
        <v>6012</v>
      </c>
      <c r="K7166" s="14" t="s">
        <v>6012</v>
      </c>
      <c r="L7166" s="14"/>
    </row>
    <row r="7167">
      <c r="A7167" s="14">
        <v>1607.0</v>
      </c>
      <c r="B7167" s="14">
        <v>32.0</v>
      </c>
      <c r="C7167" s="34">
        <v>19.84</v>
      </c>
      <c r="D7167" s="36">
        <v>45720.0</v>
      </c>
      <c r="E7167" s="24"/>
      <c r="F7167" s="14">
        <v>0.62</v>
      </c>
      <c r="G7167" s="14">
        <v>12.35</v>
      </c>
      <c r="H7167" s="14">
        <v>1.99</v>
      </c>
      <c r="I7167" s="14" t="s">
        <v>6094</v>
      </c>
      <c r="J7167" s="14">
        <v>0.0</v>
      </c>
      <c r="K7167" s="14" t="s">
        <v>6012</v>
      </c>
      <c r="L7167" s="14">
        <v>0.0</v>
      </c>
    </row>
    <row r="7168">
      <c r="A7168" s="14">
        <v>79.0</v>
      </c>
      <c r="B7168" s="14">
        <v>0.0</v>
      </c>
      <c r="C7168" s="34">
        <v>37.12</v>
      </c>
      <c r="D7168" s="36">
        <v>45720.0</v>
      </c>
      <c r="E7168" s="24"/>
      <c r="F7168" s="14" t="s">
        <v>6012</v>
      </c>
      <c r="G7168" s="14">
        <v>469.87</v>
      </c>
      <c r="H7168" s="14">
        <v>0.0</v>
      </c>
      <c r="I7168" s="14" t="s">
        <v>6087</v>
      </c>
      <c r="J7168" s="14" t="s">
        <v>6012</v>
      </c>
      <c r="K7168" s="14">
        <v>12.37</v>
      </c>
      <c r="L7168" s="14">
        <v>0.0</v>
      </c>
    </row>
    <row r="7169">
      <c r="A7169" s="14">
        <v>212.0</v>
      </c>
      <c r="B7169" s="14">
        <v>1.0</v>
      </c>
      <c r="C7169" s="34">
        <v>21.76</v>
      </c>
      <c r="D7169" s="36">
        <v>45720.0</v>
      </c>
      <c r="E7169" s="24"/>
      <c r="F7169" s="14">
        <v>21.76</v>
      </c>
      <c r="G7169" s="14">
        <v>102.64</v>
      </c>
      <c r="H7169" s="14">
        <v>0.47</v>
      </c>
      <c r="I7169" s="14" t="s">
        <v>6093</v>
      </c>
      <c r="J7169" s="14">
        <v>0.0</v>
      </c>
      <c r="K7169" s="14" t="s">
        <v>6012</v>
      </c>
      <c r="L7169" s="14">
        <v>0.0</v>
      </c>
    </row>
    <row r="7170">
      <c r="A7170" s="14">
        <v>0.0</v>
      </c>
      <c r="B7170" s="14">
        <v>0.0</v>
      </c>
      <c r="C7170" s="34"/>
      <c r="D7170" s="36">
        <v>45720.0</v>
      </c>
      <c r="E7170" s="24"/>
      <c r="F7170" s="14" t="s">
        <v>6012</v>
      </c>
      <c r="G7170" s="14" t="s">
        <v>6012</v>
      </c>
      <c r="H7170" s="14" t="s">
        <v>6012</v>
      </c>
      <c r="I7170" s="14" t="s">
        <v>6089</v>
      </c>
      <c r="J7170" s="14" t="s">
        <v>6012</v>
      </c>
      <c r="K7170" s="14" t="s">
        <v>6012</v>
      </c>
      <c r="L7170" s="14"/>
    </row>
    <row r="7171">
      <c r="A7171" s="14">
        <v>167.0</v>
      </c>
      <c r="B7171" s="14">
        <v>9.0</v>
      </c>
      <c r="C7171" s="34">
        <v>21.81</v>
      </c>
      <c r="D7171" s="36">
        <v>45720.0</v>
      </c>
      <c r="E7171" s="24"/>
      <c r="F7171" s="14">
        <v>2.42</v>
      </c>
      <c r="G7171" s="14">
        <v>130.6</v>
      </c>
      <c r="H7171" s="14">
        <v>5.39</v>
      </c>
      <c r="I7171" s="14" t="s">
        <v>6091</v>
      </c>
      <c r="J7171" s="14">
        <v>0.0</v>
      </c>
      <c r="K7171" s="14" t="s">
        <v>6012</v>
      </c>
      <c r="L7171" s="14">
        <v>0.0</v>
      </c>
    </row>
    <row r="7172">
      <c r="A7172" s="14">
        <v>102.0</v>
      </c>
      <c r="B7172" s="14">
        <v>0.0</v>
      </c>
      <c r="C7172" s="34">
        <v>26.58</v>
      </c>
      <c r="D7172" s="36">
        <v>45720.0</v>
      </c>
      <c r="E7172" s="24"/>
      <c r="F7172" s="14" t="s">
        <v>6012</v>
      </c>
      <c r="G7172" s="14">
        <v>260.59</v>
      </c>
      <c r="H7172" s="14">
        <v>0.0</v>
      </c>
      <c r="I7172" s="14" t="s">
        <v>6092</v>
      </c>
      <c r="J7172" s="14" t="s">
        <v>6012</v>
      </c>
      <c r="K7172" s="14" t="s">
        <v>6012</v>
      </c>
      <c r="L7172" s="14">
        <v>0.0</v>
      </c>
    </row>
    <row r="7173">
      <c r="A7173" s="14">
        <v>69.0</v>
      </c>
      <c r="B7173" s="14">
        <v>0.0</v>
      </c>
      <c r="C7173" s="34">
        <v>37.28</v>
      </c>
      <c r="D7173" s="36">
        <v>45720.0</v>
      </c>
      <c r="E7173" s="24"/>
      <c r="F7173" s="14" t="s">
        <v>6012</v>
      </c>
      <c r="G7173" s="14">
        <v>540.29</v>
      </c>
      <c r="H7173" s="14">
        <v>0.0</v>
      </c>
      <c r="I7173" s="14" t="s">
        <v>6090</v>
      </c>
      <c r="J7173" s="14" t="s">
        <v>6012</v>
      </c>
      <c r="K7173" s="14">
        <v>18.64</v>
      </c>
      <c r="L7173" s="14">
        <v>0.0</v>
      </c>
    </row>
    <row r="7174">
      <c r="A7174" s="14">
        <v>0.0</v>
      </c>
      <c r="B7174" s="14">
        <v>0.0</v>
      </c>
      <c r="C7174" s="34"/>
      <c r="D7174" s="36">
        <v>45721.0</v>
      </c>
      <c r="E7174" s="24"/>
      <c r="F7174" s="14" t="s">
        <v>6012</v>
      </c>
      <c r="G7174" s="14" t="s">
        <v>6012</v>
      </c>
      <c r="H7174" s="14" t="s">
        <v>6012</v>
      </c>
      <c r="I7174" s="14" t="s">
        <v>6086</v>
      </c>
      <c r="J7174" s="14" t="s">
        <v>6012</v>
      </c>
      <c r="K7174" s="14" t="s">
        <v>6012</v>
      </c>
      <c r="L7174" s="14"/>
    </row>
    <row r="7175">
      <c r="A7175" s="14">
        <v>0.0</v>
      </c>
      <c r="B7175" s="14">
        <v>0.0</v>
      </c>
      <c r="C7175" s="34"/>
      <c r="D7175" s="36">
        <v>45721.0</v>
      </c>
      <c r="E7175" s="24"/>
      <c r="F7175" s="14" t="s">
        <v>6012</v>
      </c>
      <c r="G7175" s="14" t="s">
        <v>6012</v>
      </c>
      <c r="H7175" s="14" t="s">
        <v>6012</v>
      </c>
      <c r="I7175" s="14" t="s">
        <v>6089</v>
      </c>
      <c r="J7175" s="14" t="s">
        <v>6012</v>
      </c>
      <c r="K7175" s="14" t="s">
        <v>6012</v>
      </c>
      <c r="L7175" s="14"/>
    </row>
    <row r="7176">
      <c r="A7176" s="14">
        <v>181.0</v>
      </c>
      <c r="B7176" s="14">
        <v>6.0</v>
      </c>
      <c r="C7176" s="34">
        <v>5.63</v>
      </c>
      <c r="D7176" s="36">
        <v>45721.0</v>
      </c>
      <c r="E7176" s="24"/>
      <c r="F7176" s="14">
        <v>0.94</v>
      </c>
      <c r="G7176" s="14">
        <v>31.1</v>
      </c>
      <c r="H7176" s="14">
        <v>3.31</v>
      </c>
      <c r="I7176" s="14" t="s">
        <v>6094</v>
      </c>
      <c r="J7176" s="14">
        <v>0.0</v>
      </c>
      <c r="K7176" s="14" t="s">
        <v>6012</v>
      </c>
      <c r="L7176" s="14">
        <v>0.0</v>
      </c>
    </row>
    <row r="7177">
      <c r="A7177" s="14">
        <v>110.0</v>
      </c>
      <c r="B7177" s="14">
        <v>0.0</v>
      </c>
      <c r="C7177" s="34">
        <v>24.9</v>
      </c>
      <c r="D7177" s="36">
        <v>45721.0</v>
      </c>
      <c r="E7177" s="24"/>
      <c r="F7177" s="14" t="s">
        <v>6012</v>
      </c>
      <c r="G7177" s="14">
        <v>226.36</v>
      </c>
      <c r="H7177" s="14">
        <v>0.0</v>
      </c>
      <c r="I7177" s="14" t="s">
        <v>6092</v>
      </c>
      <c r="J7177" s="14" t="s">
        <v>6012</v>
      </c>
      <c r="K7177" s="14" t="s">
        <v>6012</v>
      </c>
      <c r="L7177" s="14">
        <v>0.0</v>
      </c>
    </row>
    <row r="7178">
      <c r="A7178" s="14">
        <v>0.0</v>
      </c>
      <c r="B7178" s="14">
        <v>0.0</v>
      </c>
      <c r="C7178" s="34">
        <v>8.56</v>
      </c>
      <c r="D7178" s="36">
        <v>45721.0</v>
      </c>
      <c r="E7178" s="24"/>
      <c r="F7178" s="14" t="s">
        <v>6012</v>
      </c>
      <c r="G7178" s="14" t="s">
        <v>6012</v>
      </c>
      <c r="H7178" s="14" t="s">
        <v>6012</v>
      </c>
      <c r="I7178" s="14" t="s">
        <v>6088</v>
      </c>
      <c r="J7178" s="14" t="s">
        <v>6012</v>
      </c>
      <c r="K7178" s="14">
        <v>0.39</v>
      </c>
      <c r="L7178" s="14">
        <v>1.0</v>
      </c>
    </row>
    <row r="7179">
      <c r="A7179" s="14">
        <v>0.0</v>
      </c>
      <c r="B7179" s="14">
        <v>0.0</v>
      </c>
      <c r="C7179" s="34"/>
      <c r="D7179" s="36">
        <v>45721.0</v>
      </c>
      <c r="E7179" s="24"/>
      <c r="F7179" s="14" t="s">
        <v>6012</v>
      </c>
      <c r="G7179" s="14" t="s">
        <v>6012</v>
      </c>
      <c r="H7179" s="14" t="s">
        <v>6012</v>
      </c>
      <c r="I7179" s="14" t="s">
        <v>6082</v>
      </c>
      <c r="J7179" s="14" t="s">
        <v>6012</v>
      </c>
      <c r="K7179" s="14" t="s">
        <v>6012</v>
      </c>
      <c r="L7179" s="14"/>
    </row>
    <row r="7180">
      <c r="A7180" s="14">
        <v>110.0</v>
      </c>
      <c r="B7180" s="14">
        <v>0.0</v>
      </c>
      <c r="C7180" s="34">
        <v>36.79</v>
      </c>
      <c r="D7180" s="36">
        <v>45721.0</v>
      </c>
      <c r="E7180" s="24"/>
      <c r="F7180" s="14" t="s">
        <v>6012</v>
      </c>
      <c r="G7180" s="14">
        <v>334.45</v>
      </c>
      <c r="H7180" s="14">
        <v>0.0</v>
      </c>
      <c r="I7180" s="14" t="s">
        <v>6087</v>
      </c>
      <c r="J7180" s="14" t="s">
        <v>6012</v>
      </c>
      <c r="K7180" s="14">
        <v>2.3</v>
      </c>
      <c r="L7180" s="14">
        <v>0.0</v>
      </c>
    </row>
    <row r="7181">
      <c r="A7181" s="14">
        <v>162.0</v>
      </c>
      <c r="B7181" s="14">
        <v>2.0</v>
      </c>
      <c r="C7181" s="34">
        <v>25.85</v>
      </c>
      <c r="D7181" s="36">
        <v>45721.0</v>
      </c>
      <c r="E7181" s="24"/>
      <c r="F7181" s="14">
        <v>12.92</v>
      </c>
      <c r="G7181" s="14">
        <v>159.57</v>
      </c>
      <c r="H7181" s="14">
        <v>1.23</v>
      </c>
      <c r="I7181" s="14" t="s">
        <v>6093</v>
      </c>
      <c r="J7181" s="14">
        <v>0.0</v>
      </c>
      <c r="K7181" s="14" t="s">
        <v>6012</v>
      </c>
      <c r="L7181" s="14">
        <v>0.0</v>
      </c>
    </row>
    <row r="7182">
      <c r="A7182" s="14">
        <v>111.0</v>
      </c>
      <c r="B7182" s="14">
        <v>4.0</v>
      </c>
      <c r="C7182" s="34">
        <v>22.03</v>
      </c>
      <c r="D7182" s="36">
        <v>45721.0</v>
      </c>
      <c r="E7182" s="24"/>
      <c r="F7182" s="14">
        <v>5.51</v>
      </c>
      <c r="G7182" s="14">
        <v>198.47</v>
      </c>
      <c r="H7182" s="14">
        <v>3.6</v>
      </c>
      <c r="I7182" s="14" t="s">
        <v>6091</v>
      </c>
      <c r="J7182" s="14">
        <v>0.0</v>
      </c>
      <c r="K7182" s="14" t="s">
        <v>6012</v>
      </c>
      <c r="L7182" s="14">
        <v>0.0</v>
      </c>
    </row>
    <row r="7183">
      <c r="A7183" s="14">
        <v>65.0</v>
      </c>
      <c r="B7183" s="14">
        <v>0.0</v>
      </c>
      <c r="C7183" s="34">
        <v>35.55</v>
      </c>
      <c r="D7183" s="36">
        <v>45721.0</v>
      </c>
      <c r="E7183" s="24"/>
      <c r="F7183" s="14" t="s">
        <v>6012</v>
      </c>
      <c r="G7183" s="14">
        <v>546.92</v>
      </c>
      <c r="H7183" s="14">
        <v>0.0</v>
      </c>
      <c r="I7183" s="14" t="s">
        <v>6090</v>
      </c>
      <c r="J7183" s="14" t="s">
        <v>6012</v>
      </c>
      <c r="K7183" s="14">
        <v>1.98</v>
      </c>
      <c r="L7183" s="14">
        <v>0.0</v>
      </c>
    </row>
    <row r="7184">
      <c r="A7184" s="14">
        <v>217.0</v>
      </c>
      <c r="B7184" s="14">
        <v>1.0</v>
      </c>
      <c r="C7184" s="34">
        <v>26.97</v>
      </c>
      <c r="D7184" s="36">
        <v>45722.0</v>
      </c>
      <c r="E7184" s="24"/>
      <c r="F7184" s="14">
        <v>26.97</v>
      </c>
      <c r="G7184" s="14">
        <v>124.29</v>
      </c>
      <c r="H7184" s="14">
        <v>0.46</v>
      </c>
      <c r="I7184" s="14" t="s">
        <v>6093</v>
      </c>
      <c r="J7184" s="14">
        <v>0.0</v>
      </c>
      <c r="K7184" s="14" t="s">
        <v>6012</v>
      </c>
      <c r="L7184" s="14">
        <v>0.0</v>
      </c>
    </row>
    <row r="7185">
      <c r="A7185" s="14">
        <v>0.0</v>
      </c>
      <c r="B7185" s="14">
        <v>0.0</v>
      </c>
      <c r="C7185" s="34">
        <v>12.49</v>
      </c>
      <c r="D7185" s="36">
        <v>45722.0</v>
      </c>
      <c r="E7185" s="24"/>
      <c r="F7185" s="14" t="s">
        <v>6012</v>
      </c>
      <c r="G7185" s="14" t="s">
        <v>6012</v>
      </c>
      <c r="H7185" s="14" t="s">
        <v>6012</v>
      </c>
      <c r="I7185" s="14" t="s">
        <v>6088</v>
      </c>
      <c r="J7185" s="14" t="s">
        <v>6012</v>
      </c>
      <c r="K7185" s="14">
        <v>6.24</v>
      </c>
      <c r="L7185" s="14">
        <v>0.0</v>
      </c>
    </row>
    <row r="7186">
      <c r="A7186" s="14">
        <v>0.0</v>
      </c>
      <c r="B7186" s="14">
        <v>0.0</v>
      </c>
      <c r="C7186" s="34"/>
      <c r="D7186" s="36">
        <v>45722.0</v>
      </c>
      <c r="E7186" s="24"/>
      <c r="F7186" s="14" t="s">
        <v>6012</v>
      </c>
      <c r="G7186" s="14" t="s">
        <v>6012</v>
      </c>
      <c r="H7186" s="14" t="s">
        <v>6012</v>
      </c>
      <c r="I7186" s="14" t="s">
        <v>6082</v>
      </c>
      <c r="J7186" s="14" t="s">
        <v>6012</v>
      </c>
      <c r="K7186" s="14" t="s">
        <v>6012</v>
      </c>
      <c r="L7186" s="14"/>
    </row>
    <row r="7187">
      <c r="A7187" s="14">
        <v>252.0</v>
      </c>
      <c r="B7187" s="14">
        <v>5.0</v>
      </c>
      <c r="C7187" s="34">
        <v>26.66</v>
      </c>
      <c r="D7187" s="36">
        <v>45722.0</v>
      </c>
      <c r="E7187" s="24"/>
      <c r="F7187" s="14">
        <v>5.33</v>
      </c>
      <c r="G7187" s="14">
        <v>105.79</v>
      </c>
      <c r="H7187" s="14">
        <v>1.98</v>
      </c>
      <c r="I7187" s="14" t="s">
        <v>6091</v>
      </c>
      <c r="J7187" s="14">
        <v>0.0</v>
      </c>
      <c r="K7187" s="14" t="s">
        <v>6012</v>
      </c>
      <c r="L7187" s="14">
        <v>0.0</v>
      </c>
    </row>
    <row r="7188">
      <c r="A7188" s="14">
        <v>107.0</v>
      </c>
      <c r="B7188" s="14">
        <v>0.0</v>
      </c>
      <c r="C7188" s="34">
        <v>45.0</v>
      </c>
      <c r="D7188" s="36">
        <v>45722.0</v>
      </c>
      <c r="E7188" s="24"/>
      <c r="F7188" s="14" t="s">
        <v>6012</v>
      </c>
      <c r="G7188" s="14">
        <v>420.56</v>
      </c>
      <c r="H7188" s="14">
        <v>0.0</v>
      </c>
      <c r="I7188" s="14" t="s">
        <v>6090</v>
      </c>
      <c r="J7188" s="14" t="s">
        <v>6012</v>
      </c>
      <c r="K7188" s="14" t="s">
        <v>6012</v>
      </c>
      <c r="L7188" s="14">
        <v>0.0</v>
      </c>
    </row>
    <row r="7189">
      <c r="A7189" s="14">
        <v>0.0</v>
      </c>
      <c r="B7189" s="14">
        <v>0.0</v>
      </c>
      <c r="C7189" s="34"/>
      <c r="D7189" s="36">
        <v>45722.0</v>
      </c>
      <c r="E7189" s="24"/>
      <c r="F7189" s="14" t="s">
        <v>6012</v>
      </c>
      <c r="G7189" s="14" t="s">
        <v>6012</v>
      </c>
      <c r="H7189" s="14" t="s">
        <v>6012</v>
      </c>
      <c r="I7189" s="14" t="s">
        <v>6089</v>
      </c>
      <c r="J7189" s="14" t="s">
        <v>6012</v>
      </c>
      <c r="K7189" s="14" t="s">
        <v>6012</v>
      </c>
      <c r="L7189" s="14"/>
    </row>
    <row r="7190">
      <c r="A7190" s="14">
        <v>106.0</v>
      </c>
      <c r="B7190" s="14">
        <v>1.0</v>
      </c>
      <c r="C7190" s="34">
        <v>44.21</v>
      </c>
      <c r="D7190" s="36">
        <v>45722.0</v>
      </c>
      <c r="E7190" s="24"/>
      <c r="F7190" s="14">
        <v>44.21</v>
      </c>
      <c r="G7190" s="14">
        <v>417.08</v>
      </c>
      <c r="H7190" s="14">
        <v>0.94</v>
      </c>
      <c r="I7190" s="14" t="s">
        <v>6087</v>
      </c>
      <c r="J7190" s="14">
        <v>100.0</v>
      </c>
      <c r="K7190" s="14">
        <v>44.21</v>
      </c>
      <c r="L7190" s="14">
        <v>0.0</v>
      </c>
    </row>
    <row r="7191">
      <c r="A7191" s="14">
        <v>0.0</v>
      </c>
      <c r="B7191" s="14">
        <v>0.0</v>
      </c>
      <c r="C7191" s="34"/>
      <c r="D7191" s="36">
        <v>45722.0</v>
      </c>
      <c r="E7191" s="24"/>
      <c r="F7191" s="14" t="s">
        <v>6012</v>
      </c>
      <c r="G7191" s="14" t="s">
        <v>6012</v>
      </c>
      <c r="H7191" s="14" t="s">
        <v>6012</v>
      </c>
      <c r="I7191" s="14" t="s">
        <v>6086</v>
      </c>
      <c r="J7191" s="14" t="s">
        <v>6012</v>
      </c>
      <c r="K7191" s="14" t="s">
        <v>6012</v>
      </c>
      <c r="L7191" s="14"/>
    </row>
    <row r="7192">
      <c r="A7192" s="14">
        <v>171.0</v>
      </c>
      <c r="B7192" s="14">
        <v>2.0</v>
      </c>
      <c r="C7192" s="34">
        <v>31.8</v>
      </c>
      <c r="D7192" s="36">
        <v>45722.0</v>
      </c>
      <c r="E7192" s="24"/>
      <c r="F7192" s="14">
        <v>15.9</v>
      </c>
      <c r="G7192" s="14">
        <v>185.96</v>
      </c>
      <c r="H7192" s="14">
        <v>1.17</v>
      </c>
      <c r="I7192" s="14" t="s">
        <v>6092</v>
      </c>
      <c r="J7192" s="14">
        <v>0.0</v>
      </c>
      <c r="K7192" s="14" t="s">
        <v>6012</v>
      </c>
      <c r="L7192" s="14">
        <v>0.0</v>
      </c>
    </row>
    <row r="7193">
      <c r="A7193" s="14">
        <v>159.0</v>
      </c>
      <c r="B7193" s="14">
        <v>0.0</v>
      </c>
      <c r="C7193" s="34">
        <v>31.38</v>
      </c>
      <c r="D7193" s="36">
        <v>45723.0</v>
      </c>
      <c r="E7193" s="24"/>
      <c r="F7193" s="14" t="s">
        <v>6012</v>
      </c>
      <c r="G7193" s="14">
        <v>197.36</v>
      </c>
      <c r="H7193" s="14">
        <v>0.0</v>
      </c>
      <c r="I7193" s="14" t="s">
        <v>6092</v>
      </c>
      <c r="J7193" s="14" t="s">
        <v>6012</v>
      </c>
      <c r="K7193" s="14" t="s">
        <v>6012</v>
      </c>
      <c r="L7193" s="14">
        <v>0.0</v>
      </c>
    </row>
    <row r="7194">
      <c r="A7194" s="14">
        <v>111.0</v>
      </c>
      <c r="B7194" s="14">
        <v>0.0</v>
      </c>
      <c r="C7194" s="34">
        <v>28.58</v>
      </c>
      <c r="D7194" s="36">
        <v>45723.0</v>
      </c>
      <c r="E7194" s="24"/>
      <c r="F7194" s="14" t="s">
        <v>6012</v>
      </c>
      <c r="G7194" s="14">
        <v>257.48</v>
      </c>
      <c r="H7194" s="14">
        <v>0.0</v>
      </c>
      <c r="I7194" s="14" t="s">
        <v>6090</v>
      </c>
      <c r="J7194" s="14" t="s">
        <v>6012</v>
      </c>
      <c r="K7194" s="14">
        <v>7.14</v>
      </c>
      <c r="L7194" s="14">
        <v>0.0</v>
      </c>
    </row>
    <row r="7195">
      <c r="A7195" s="14">
        <v>0.0</v>
      </c>
      <c r="B7195" s="14">
        <v>0.0</v>
      </c>
      <c r="C7195" s="34"/>
      <c r="D7195" s="36">
        <v>45723.0</v>
      </c>
      <c r="E7195" s="24"/>
      <c r="F7195" s="14" t="s">
        <v>6012</v>
      </c>
      <c r="G7195" s="14" t="s">
        <v>6012</v>
      </c>
      <c r="H7195" s="14" t="s">
        <v>6012</v>
      </c>
      <c r="I7195" s="14" t="s">
        <v>6089</v>
      </c>
      <c r="J7195" s="14" t="s">
        <v>6012</v>
      </c>
      <c r="K7195" s="14" t="s">
        <v>6012</v>
      </c>
      <c r="L7195" s="14"/>
    </row>
    <row r="7196">
      <c r="A7196" s="14">
        <v>0.0</v>
      </c>
      <c r="B7196" s="14">
        <v>0.0</v>
      </c>
      <c r="C7196" s="34">
        <v>15.0</v>
      </c>
      <c r="D7196" s="36">
        <v>45723.0</v>
      </c>
      <c r="E7196" s="24"/>
      <c r="F7196" s="14" t="s">
        <v>6012</v>
      </c>
      <c r="G7196" s="14" t="s">
        <v>6012</v>
      </c>
      <c r="H7196" s="14" t="s">
        <v>6012</v>
      </c>
      <c r="I7196" s="14" t="s">
        <v>6064</v>
      </c>
      <c r="J7196" s="14" t="s">
        <v>6012</v>
      </c>
      <c r="K7196" s="14" t="s">
        <v>6012</v>
      </c>
      <c r="L7196" s="14">
        <v>0.0</v>
      </c>
    </row>
    <row r="7197">
      <c r="A7197" s="14">
        <v>0.0</v>
      </c>
      <c r="B7197" s="14">
        <v>0.0</v>
      </c>
      <c r="C7197" s="34">
        <v>4.16</v>
      </c>
      <c r="D7197" s="36">
        <v>45723.0</v>
      </c>
      <c r="E7197" s="24"/>
      <c r="F7197" s="14" t="s">
        <v>6012</v>
      </c>
      <c r="G7197" s="14" t="s">
        <v>6012</v>
      </c>
      <c r="H7197" s="14" t="s">
        <v>6012</v>
      </c>
      <c r="I7197" s="14" t="s">
        <v>6088</v>
      </c>
      <c r="J7197" s="14" t="s">
        <v>6012</v>
      </c>
      <c r="K7197" s="14">
        <v>0.59</v>
      </c>
      <c r="L7197" s="14">
        <v>0.0</v>
      </c>
    </row>
    <row r="7198">
      <c r="A7198" s="14">
        <v>199.0</v>
      </c>
      <c r="B7198" s="14">
        <v>1.0</v>
      </c>
      <c r="C7198" s="34">
        <v>27.8</v>
      </c>
      <c r="D7198" s="36">
        <v>45723.0</v>
      </c>
      <c r="E7198" s="24"/>
      <c r="F7198" s="14">
        <v>27.8</v>
      </c>
      <c r="G7198" s="14">
        <v>139.7</v>
      </c>
      <c r="H7198" s="14">
        <v>0.5</v>
      </c>
      <c r="I7198" s="14" t="s">
        <v>6093</v>
      </c>
      <c r="J7198" s="14">
        <v>0.0</v>
      </c>
      <c r="K7198" s="14" t="s">
        <v>6012</v>
      </c>
      <c r="L7198" s="14">
        <v>0.0</v>
      </c>
    </row>
    <row r="7199">
      <c r="A7199" s="14">
        <v>101.0</v>
      </c>
      <c r="B7199" s="14">
        <v>1.0</v>
      </c>
      <c r="C7199" s="34">
        <v>28.55</v>
      </c>
      <c r="D7199" s="36">
        <v>45723.0</v>
      </c>
      <c r="E7199" s="24"/>
      <c r="F7199" s="14">
        <v>28.55</v>
      </c>
      <c r="G7199" s="14">
        <v>282.67</v>
      </c>
      <c r="H7199" s="14">
        <v>0.99</v>
      </c>
      <c r="I7199" s="14" t="s">
        <v>6087</v>
      </c>
      <c r="J7199" s="14">
        <v>300.0</v>
      </c>
      <c r="K7199" s="14">
        <v>9.52</v>
      </c>
      <c r="L7199" s="14">
        <v>0.0</v>
      </c>
    </row>
    <row r="7200">
      <c r="A7200" s="14">
        <v>156.0</v>
      </c>
      <c r="B7200" s="14">
        <v>7.0</v>
      </c>
      <c r="C7200" s="34">
        <v>26.52</v>
      </c>
      <c r="D7200" s="36">
        <v>45723.0</v>
      </c>
      <c r="E7200" s="24"/>
      <c r="F7200" s="14">
        <v>3.79</v>
      </c>
      <c r="G7200" s="14">
        <v>170.0</v>
      </c>
      <c r="H7200" s="14">
        <v>4.49</v>
      </c>
      <c r="I7200" s="14" t="s">
        <v>6091</v>
      </c>
      <c r="J7200" s="14">
        <v>0.0</v>
      </c>
      <c r="K7200" s="14" t="s">
        <v>6012</v>
      </c>
      <c r="L7200" s="14">
        <v>0.0</v>
      </c>
    </row>
    <row r="7201">
      <c r="A7201" s="14">
        <v>0.0</v>
      </c>
      <c r="B7201" s="14">
        <v>0.0</v>
      </c>
      <c r="C7201" s="34"/>
      <c r="D7201" s="36">
        <v>45723.0</v>
      </c>
      <c r="E7201" s="24"/>
      <c r="F7201" s="14" t="s">
        <v>6012</v>
      </c>
      <c r="G7201" s="14" t="s">
        <v>6012</v>
      </c>
      <c r="H7201" s="14" t="s">
        <v>6012</v>
      </c>
      <c r="I7201" s="14" t="s">
        <v>6086</v>
      </c>
      <c r="J7201" s="14" t="s">
        <v>6012</v>
      </c>
      <c r="K7201" s="14" t="s">
        <v>6012</v>
      </c>
      <c r="L7201" s="14"/>
    </row>
    <row r="7202">
      <c r="A7202" s="14">
        <v>0.0</v>
      </c>
      <c r="B7202" s="14">
        <v>0.0</v>
      </c>
      <c r="C7202" s="34"/>
      <c r="D7202" s="36">
        <v>45723.0</v>
      </c>
      <c r="E7202" s="24"/>
      <c r="F7202" s="14" t="s">
        <v>6012</v>
      </c>
      <c r="G7202" s="14" t="s">
        <v>6012</v>
      </c>
      <c r="H7202" s="14" t="s">
        <v>6012</v>
      </c>
      <c r="I7202" s="14" t="s">
        <v>6082</v>
      </c>
      <c r="J7202" s="14" t="s">
        <v>6012</v>
      </c>
      <c r="K7202" s="14" t="s">
        <v>6012</v>
      </c>
      <c r="L7202" s="14"/>
    </row>
    <row r="7203">
      <c r="A7203" s="14">
        <v>53.0</v>
      </c>
      <c r="B7203" s="14">
        <v>0.0</v>
      </c>
      <c r="C7203" s="34">
        <v>10.94</v>
      </c>
      <c r="D7203" s="36">
        <v>45724.0</v>
      </c>
      <c r="E7203" s="24"/>
      <c r="F7203" s="14" t="s">
        <v>6012</v>
      </c>
      <c r="G7203" s="14">
        <v>206.42</v>
      </c>
      <c r="H7203" s="14">
        <v>0.0</v>
      </c>
      <c r="I7203" s="14" t="s">
        <v>6093</v>
      </c>
      <c r="J7203" s="14" t="s">
        <v>6012</v>
      </c>
      <c r="K7203" s="14" t="s">
        <v>6012</v>
      </c>
      <c r="L7203" s="14">
        <v>0.0</v>
      </c>
    </row>
    <row r="7204">
      <c r="A7204" s="14">
        <v>0.0</v>
      </c>
      <c r="B7204" s="14">
        <v>0.0</v>
      </c>
      <c r="C7204" s="34"/>
      <c r="D7204" s="36">
        <v>45724.0</v>
      </c>
      <c r="E7204" s="24"/>
      <c r="F7204" s="14" t="s">
        <v>6012</v>
      </c>
      <c r="G7204" s="14" t="s">
        <v>6012</v>
      </c>
      <c r="H7204" s="14" t="s">
        <v>6012</v>
      </c>
      <c r="I7204" s="14" t="s">
        <v>6086</v>
      </c>
      <c r="J7204" s="14" t="s">
        <v>6012</v>
      </c>
      <c r="K7204" s="14" t="s">
        <v>6012</v>
      </c>
      <c r="L7204" s="14"/>
    </row>
    <row r="7205">
      <c r="A7205" s="14">
        <v>0.0</v>
      </c>
      <c r="B7205" s="14">
        <v>0.0</v>
      </c>
      <c r="C7205" s="34">
        <v>9.25</v>
      </c>
      <c r="D7205" s="36">
        <v>45724.0</v>
      </c>
      <c r="E7205" s="24"/>
      <c r="F7205" s="14" t="s">
        <v>6012</v>
      </c>
      <c r="G7205" s="14" t="s">
        <v>6012</v>
      </c>
      <c r="H7205" s="14" t="s">
        <v>6012</v>
      </c>
      <c r="I7205" s="14" t="s">
        <v>6088</v>
      </c>
      <c r="J7205" s="14" t="s">
        <v>6012</v>
      </c>
      <c r="K7205" s="14">
        <v>1.85</v>
      </c>
      <c r="L7205" s="14">
        <v>0.0</v>
      </c>
    </row>
    <row r="7206">
      <c r="A7206" s="14">
        <v>64.0</v>
      </c>
      <c r="B7206" s="14">
        <v>1.0</v>
      </c>
      <c r="C7206" s="34">
        <v>13.83</v>
      </c>
      <c r="D7206" s="36">
        <v>45724.0</v>
      </c>
      <c r="E7206" s="24"/>
      <c r="F7206" s="14">
        <v>13.83</v>
      </c>
      <c r="G7206" s="14">
        <v>216.09</v>
      </c>
      <c r="H7206" s="14">
        <v>1.56</v>
      </c>
      <c r="I7206" s="14" t="s">
        <v>6091</v>
      </c>
      <c r="J7206" s="14">
        <v>0.0</v>
      </c>
      <c r="K7206" s="14" t="s">
        <v>6012</v>
      </c>
      <c r="L7206" s="14">
        <v>0.0</v>
      </c>
    </row>
    <row r="7207">
      <c r="A7207" s="14">
        <v>0.0</v>
      </c>
      <c r="B7207" s="14">
        <v>0.0</v>
      </c>
      <c r="C7207" s="34">
        <v>15.0</v>
      </c>
      <c r="D7207" s="36">
        <v>45724.0</v>
      </c>
      <c r="E7207" s="24"/>
      <c r="F7207" s="14" t="s">
        <v>6012</v>
      </c>
      <c r="G7207" s="14" t="s">
        <v>6012</v>
      </c>
      <c r="H7207" s="14" t="s">
        <v>6012</v>
      </c>
      <c r="I7207" s="14" t="s">
        <v>6064</v>
      </c>
      <c r="J7207" s="14" t="s">
        <v>6012</v>
      </c>
      <c r="K7207" s="14" t="s">
        <v>6012</v>
      </c>
      <c r="L7207" s="14">
        <v>0.0</v>
      </c>
    </row>
    <row r="7208">
      <c r="A7208" s="14">
        <v>59.0</v>
      </c>
      <c r="B7208" s="14">
        <v>0.0</v>
      </c>
      <c r="C7208" s="34">
        <v>20.88</v>
      </c>
      <c r="D7208" s="36">
        <v>45724.0</v>
      </c>
      <c r="E7208" s="24"/>
      <c r="F7208" s="14" t="s">
        <v>6012</v>
      </c>
      <c r="G7208" s="14">
        <v>353.9</v>
      </c>
      <c r="H7208" s="14">
        <v>0.0</v>
      </c>
      <c r="I7208" s="14" t="s">
        <v>6087</v>
      </c>
      <c r="J7208" s="14" t="s">
        <v>6012</v>
      </c>
      <c r="K7208" s="14">
        <v>4.18</v>
      </c>
      <c r="L7208" s="14">
        <v>0.0</v>
      </c>
    </row>
    <row r="7209">
      <c r="A7209" s="14">
        <v>88.0</v>
      </c>
      <c r="B7209" s="14">
        <v>0.0</v>
      </c>
      <c r="C7209" s="34">
        <v>8.78</v>
      </c>
      <c r="D7209" s="36">
        <v>45724.0</v>
      </c>
      <c r="E7209" s="24"/>
      <c r="F7209" s="14" t="s">
        <v>6012</v>
      </c>
      <c r="G7209" s="14">
        <v>99.77</v>
      </c>
      <c r="H7209" s="14">
        <v>0.0</v>
      </c>
      <c r="I7209" s="14" t="s">
        <v>6092</v>
      </c>
      <c r="J7209" s="14" t="s">
        <v>6012</v>
      </c>
      <c r="K7209" s="14" t="s">
        <v>6012</v>
      </c>
      <c r="L7209" s="14">
        <v>0.0</v>
      </c>
    </row>
    <row r="7210">
      <c r="A7210" s="14">
        <v>0.0</v>
      </c>
      <c r="B7210" s="14">
        <v>0.0</v>
      </c>
      <c r="C7210" s="34"/>
      <c r="D7210" s="36">
        <v>45724.0</v>
      </c>
      <c r="E7210" s="24"/>
      <c r="F7210" s="14" t="s">
        <v>6012</v>
      </c>
      <c r="G7210" s="14" t="s">
        <v>6012</v>
      </c>
      <c r="H7210" s="14" t="s">
        <v>6012</v>
      </c>
      <c r="I7210" s="14" t="s">
        <v>6089</v>
      </c>
      <c r="J7210" s="14" t="s">
        <v>6012</v>
      </c>
      <c r="K7210" s="14" t="s">
        <v>6012</v>
      </c>
      <c r="L7210" s="14"/>
    </row>
    <row r="7211">
      <c r="A7211" s="14">
        <v>61.0</v>
      </c>
      <c r="B7211" s="14">
        <v>0.0</v>
      </c>
      <c r="C7211" s="34">
        <v>21.25</v>
      </c>
      <c r="D7211" s="36">
        <v>45724.0</v>
      </c>
      <c r="E7211" s="24"/>
      <c r="F7211" s="14" t="s">
        <v>6012</v>
      </c>
      <c r="G7211" s="14">
        <v>348.36</v>
      </c>
      <c r="H7211" s="14">
        <v>0.0</v>
      </c>
      <c r="I7211" s="14" t="s">
        <v>6090</v>
      </c>
      <c r="J7211" s="14" t="s">
        <v>6012</v>
      </c>
      <c r="K7211" s="14">
        <v>5.31</v>
      </c>
      <c r="L7211" s="14">
        <v>0.0</v>
      </c>
    </row>
    <row r="7212">
      <c r="A7212" s="14">
        <v>0.0</v>
      </c>
      <c r="B7212" s="14">
        <v>0.0</v>
      </c>
      <c r="C7212" s="34"/>
      <c r="D7212" s="36">
        <v>45724.0</v>
      </c>
      <c r="E7212" s="24"/>
      <c r="F7212" s="14" t="s">
        <v>6012</v>
      </c>
      <c r="G7212" s="14" t="s">
        <v>6012</v>
      </c>
      <c r="H7212" s="14" t="s">
        <v>6012</v>
      </c>
      <c r="I7212" s="14" t="s">
        <v>6082</v>
      </c>
      <c r="J7212" s="14" t="s">
        <v>6012</v>
      </c>
      <c r="K7212" s="14" t="s">
        <v>6012</v>
      </c>
      <c r="L7212" s="14"/>
    </row>
    <row r="7213">
      <c r="A7213" s="14">
        <v>0.0</v>
      </c>
      <c r="B7213" s="14">
        <v>0.0</v>
      </c>
      <c r="C7213" s="34"/>
      <c r="D7213" s="36">
        <v>45725.0</v>
      </c>
      <c r="E7213" s="24"/>
      <c r="F7213" s="14" t="s">
        <v>6012</v>
      </c>
      <c r="G7213" s="14" t="s">
        <v>6012</v>
      </c>
      <c r="H7213" s="14" t="s">
        <v>6012</v>
      </c>
      <c r="I7213" s="14" t="s">
        <v>6089</v>
      </c>
      <c r="J7213" s="14" t="s">
        <v>6012</v>
      </c>
      <c r="K7213" s="14" t="s">
        <v>6012</v>
      </c>
      <c r="L7213" s="14"/>
    </row>
    <row r="7214">
      <c r="A7214" s="14">
        <v>0.0</v>
      </c>
      <c r="B7214" s="14">
        <v>0.0</v>
      </c>
      <c r="C7214" s="34">
        <v>4.62</v>
      </c>
      <c r="D7214" s="36">
        <v>45725.0</v>
      </c>
      <c r="E7214" s="24"/>
      <c r="F7214" s="14" t="s">
        <v>6012</v>
      </c>
      <c r="G7214" s="14" t="s">
        <v>6012</v>
      </c>
      <c r="H7214" s="14" t="s">
        <v>6012</v>
      </c>
      <c r="I7214" s="14" t="s">
        <v>6088</v>
      </c>
      <c r="J7214" s="14" t="s">
        <v>6012</v>
      </c>
      <c r="K7214" s="14">
        <v>1.54</v>
      </c>
      <c r="L7214" s="14">
        <v>0.0</v>
      </c>
    </row>
    <row r="7215">
      <c r="A7215" s="14">
        <v>0.0</v>
      </c>
      <c r="B7215" s="14">
        <v>0.0</v>
      </c>
      <c r="C7215" s="34"/>
      <c r="D7215" s="36">
        <v>45725.0</v>
      </c>
      <c r="E7215" s="24"/>
      <c r="F7215" s="14" t="s">
        <v>6012</v>
      </c>
      <c r="G7215" s="14" t="s">
        <v>6012</v>
      </c>
      <c r="H7215" s="14" t="s">
        <v>6012</v>
      </c>
      <c r="I7215" s="14" t="s">
        <v>6082</v>
      </c>
      <c r="J7215" s="14" t="s">
        <v>6012</v>
      </c>
      <c r="K7215" s="14" t="s">
        <v>6012</v>
      </c>
      <c r="L7215" s="14"/>
    </row>
    <row r="7216">
      <c r="A7216" s="14">
        <v>39.0</v>
      </c>
      <c r="B7216" s="14">
        <v>0.0</v>
      </c>
      <c r="C7216" s="34">
        <v>18.5</v>
      </c>
      <c r="D7216" s="36">
        <v>45725.0</v>
      </c>
      <c r="E7216" s="24"/>
      <c r="F7216" s="14" t="s">
        <v>6012</v>
      </c>
      <c r="G7216" s="14">
        <v>474.36</v>
      </c>
      <c r="H7216" s="14">
        <v>0.0</v>
      </c>
      <c r="I7216" s="14" t="s">
        <v>6090</v>
      </c>
      <c r="J7216" s="14" t="s">
        <v>6012</v>
      </c>
      <c r="K7216" s="14">
        <v>9.25</v>
      </c>
      <c r="L7216" s="14">
        <v>0.0</v>
      </c>
    </row>
    <row r="7217">
      <c r="A7217" s="14">
        <v>0.0</v>
      </c>
      <c r="B7217" s="14">
        <v>0.0</v>
      </c>
      <c r="C7217" s="34">
        <v>15.0</v>
      </c>
      <c r="D7217" s="36">
        <v>45725.0</v>
      </c>
      <c r="E7217" s="24"/>
      <c r="F7217" s="14" t="s">
        <v>6012</v>
      </c>
      <c r="G7217" s="14" t="s">
        <v>6012</v>
      </c>
      <c r="H7217" s="14" t="s">
        <v>6012</v>
      </c>
      <c r="I7217" s="14" t="s">
        <v>6064</v>
      </c>
      <c r="J7217" s="14" t="s">
        <v>6012</v>
      </c>
      <c r="K7217" s="14" t="s">
        <v>6012</v>
      </c>
      <c r="L7217" s="14">
        <v>0.0</v>
      </c>
    </row>
    <row r="7218">
      <c r="A7218" s="14">
        <v>35.0</v>
      </c>
      <c r="B7218" s="14">
        <v>1.0</v>
      </c>
      <c r="C7218" s="34">
        <v>18.63</v>
      </c>
      <c r="D7218" s="36">
        <v>45725.0</v>
      </c>
      <c r="E7218" s="24"/>
      <c r="F7218" s="14">
        <v>18.63</v>
      </c>
      <c r="G7218" s="14">
        <v>532.29</v>
      </c>
      <c r="H7218" s="14">
        <v>2.86</v>
      </c>
      <c r="I7218" s="14" t="s">
        <v>6087</v>
      </c>
      <c r="J7218" s="14">
        <v>300.0</v>
      </c>
      <c r="K7218" s="14">
        <v>6.21</v>
      </c>
      <c r="L7218" s="14">
        <v>0.0</v>
      </c>
    </row>
    <row r="7219">
      <c r="A7219" s="14">
        <v>0.0</v>
      </c>
      <c r="B7219" s="14">
        <v>0.0</v>
      </c>
      <c r="C7219" s="34"/>
      <c r="D7219" s="36">
        <v>45725.0</v>
      </c>
      <c r="E7219" s="24"/>
      <c r="F7219" s="14" t="s">
        <v>6012</v>
      </c>
      <c r="G7219" s="14" t="s">
        <v>6012</v>
      </c>
      <c r="H7219" s="14" t="s">
        <v>6012</v>
      </c>
      <c r="I7219" s="14" t="s">
        <v>6086</v>
      </c>
      <c r="J7219" s="14" t="s">
        <v>6012</v>
      </c>
      <c r="K7219" s="14" t="s">
        <v>6012</v>
      </c>
      <c r="L7219" s="14"/>
    </row>
    <row r="7220">
      <c r="A7220" s="14">
        <v>4.0</v>
      </c>
      <c r="B7220" s="14">
        <v>0.0</v>
      </c>
      <c r="C7220" s="34">
        <v>0.04</v>
      </c>
      <c r="D7220" s="36">
        <v>45725.0</v>
      </c>
      <c r="E7220" s="24"/>
      <c r="F7220" s="14" t="s">
        <v>6012</v>
      </c>
      <c r="G7220" s="14">
        <v>10.0</v>
      </c>
      <c r="H7220" s="14">
        <v>0.0</v>
      </c>
      <c r="I7220" s="14" t="s">
        <v>6091</v>
      </c>
      <c r="J7220" s="14" t="s">
        <v>6012</v>
      </c>
      <c r="K7220" s="14" t="s">
        <v>6012</v>
      </c>
      <c r="L7220" s="14">
        <v>0.0</v>
      </c>
    </row>
    <row r="7221">
      <c r="A7221" s="14">
        <v>7.0</v>
      </c>
      <c r="B7221" s="14">
        <v>0.0</v>
      </c>
      <c r="C7221" s="34">
        <v>2.76</v>
      </c>
      <c r="D7221" s="36">
        <v>45725.0</v>
      </c>
      <c r="E7221" s="24"/>
      <c r="F7221" s="14" t="s">
        <v>6012</v>
      </c>
      <c r="G7221" s="14">
        <v>394.29</v>
      </c>
      <c r="H7221" s="14">
        <v>0.0</v>
      </c>
      <c r="I7221" s="14" t="s">
        <v>6092</v>
      </c>
      <c r="J7221" s="14" t="s">
        <v>6012</v>
      </c>
      <c r="K7221" s="14" t="s">
        <v>6012</v>
      </c>
      <c r="L7221" s="14">
        <v>0.0</v>
      </c>
    </row>
    <row r="7222">
      <c r="A7222" s="14">
        <v>0.0</v>
      </c>
      <c r="B7222" s="14">
        <v>0.0</v>
      </c>
      <c r="C7222" s="34"/>
      <c r="D7222" s="36">
        <v>45726.0</v>
      </c>
      <c r="E7222" s="24"/>
      <c r="F7222" s="14" t="s">
        <v>6012</v>
      </c>
      <c r="G7222" s="14" t="s">
        <v>6012</v>
      </c>
      <c r="H7222" s="14" t="s">
        <v>6012</v>
      </c>
      <c r="I7222" s="14" t="s">
        <v>6082</v>
      </c>
      <c r="J7222" s="14" t="s">
        <v>6012</v>
      </c>
      <c r="K7222" s="14" t="s">
        <v>6012</v>
      </c>
      <c r="L7222" s="14"/>
    </row>
    <row r="7223">
      <c r="A7223" s="14">
        <v>0.0</v>
      </c>
      <c r="B7223" s="14">
        <v>0.0</v>
      </c>
      <c r="C7223" s="34"/>
      <c r="D7223" s="36">
        <v>45726.0</v>
      </c>
      <c r="E7223" s="24"/>
      <c r="F7223" s="14" t="s">
        <v>6012</v>
      </c>
      <c r="G7223" s="14" t="s">
        <v>6012</v>
      </c>
      <c r="H7223" s="14" t="s">
        <v>6012</v>
      </c>
      <c r="I7223" s="14" t="s">
        <v>6089</v>
      </c>
      <c r="J7223" s="14" t="s">
        <v>6012</v>
      </c>
      <c r="K7223" s="14" t="s">
        <v>6012</v>
      </c>
      <c r="L7223" s="14"/>
    </row>
    <row r="7224">
      <c r="A7224" s="14">
        <v>0.0</v>
      </c>
      <c r="B7224" s="14">
        <v>0.0</v>
      </c>
      <c r="C7224" s="34">
        <v>12.06</v>
      </c>
      <c r="D7224" s="36">
        <v>45726.0</v>
      </c>
      <c r="E7224" s="24"/>
      <c r="F7224" s="14" t="s">
        <v>6012</v>
      </c>
      <c r="G7224" s="14" t="s">
        <v>6012</v>
      </c>
      <c r="H7224" s="14" t="s">
        <v>6012</v>
      </c>
      <c r="I7224" s="14" t="s">
        <v>6064</v>
      </c>
      <c r="J7224" s="14" t="s">
        <v>6012</v>
      </c>
      <c r="K7224" s="14" t="s">
        <v>6012</v>
      </c>
      <c r="L7224" s="14">
        <v>0.0</v>
      </c>
    </row>
    <row r="7225">
      <c r="A7225" s="14">
        <v>111.0</v>
      </c>
      <c r="B7225" s="14">
        <v>0.0</v>
      </c>
      <c r="C7225" s="34">
        <v>23.26</v>
      </c>
      <c r="D7225" s="36">
        <v>45726.0</v>
      </c>
      <c r="E7225" s="24"/>
      <c r="F7225" s="14" t="s">
        <v>6012</v>
      </c>
      <c r="G7225" s="14">
        <v>209.55</v>
      </c>
      <c r="H7225" s="14">
        <v>0.0</v>
      </c>
      <c r="I7225" s="14" t="s">
        <v>6092</v>
      </c>
      <c r="J7225" s="14" t="s">
        <v>6012</v>
      </c>
      <c r="K7225" s="14" t="s">
        <v>6012</v>
      </c>
      <c r="L7225" s="14">
        <v>0.0</v>
      </c>
    </row>
    <row r="7226">
      <c r="A7226" s="14">
        <v>0.0</v>
      </c>
      <c r="B7226" s="14">
        <v>0.0</v>
      </c>
      <c r="C7226" s="34">
        <v>7.51</v>
      </c>
      <c r="D7226" s="36">
        <v>45726.0</v>
      </c>
      <c r="E7226" s="24"/>
      <c r="F7226" s="14" t="s">
        <v>6012</v>
      </c>
      <c r="G7226" s="14" t="s">
        <v>6012</v>
      </c>
      <c r="H7226" s="14" t="s">
        <v>6012</v>
      </c>
      <c r="I7226" s="14" t="s">
        <v>6088</v>
      </c>
      <c r="J7226" s="14" t="s">
        <v>6012</v>
      </c>
      <c r="K7226" s="14">
        <v>1.07</v>
      </c>
      <c r="L7226" s="14">
        <v>0.0</v>
      </c>
    </row>
    <row r="7227">
      <c r="A7227" s="14">
        <v>45.0</v>
      </c>
      <c r="B7227" s="14">
        <v>0.0</v>
      </c>
      <c r="C7227" s="34">
        <v>17.27</v>
      </c>
      <c r="D7227" s="36">
        <v>45726.0</v>
      </c>
      <c r="E7227" s="24"/>
      <c r="F7227" s="14" t="s">
        <v>6012</v>
      </c>
      <c r="G7227" s="14">
        <v>383.78</v>
      </c>
      <c r="H7227" s="14">
        <v>0.0</v>
      </c>
      <c r="I7227" s="14" t="s">
        <v>6090</v>
      </c>
      <c r="J7227" s="14" t="s">
        <v>6012</v>
      </c>
      <c r="K7227" s="14">
        <v>2.16</v>
      </c>
      <c r="L7227" s="14">
        <v>0.0</v>
      </c>
    </row>
    <row r="7228">
      <c r="A7228" s="14">
        <v>50.0</v>
      </c>
      <c r="B7228" s="14">
        <v>1.0</v>
      </c>
      <c r="C7228" s="34">
        <v>20.46</v>
      </c>
      <c r="D7228" s="36">
        <v>45726.0</v>
      </c>
      <c r="E7228" s="24"/>
      <c r="F7228" s="14">
        <v>20.46</v>
      </c>
      <c r="G7228" s="14">
        <v>409.2</v>
      </c>
      <c r="H7228" s="14">
        <v>2.0</v>
      </c>
      <c r="I7228" s="14" t="s">
        <v>6087</v>
      </c>
      <c r="J7228" s="14">
        <v>800.0</v>
      </c>
      <c r="K7228" s="14">
        <v>2.56</v>
      </c>
      <c r="L7228" s="14">
        <v>0.0</v>
      </c>
    </row>
    <row r="7229">
      <c r="A7229" s="14">
        <v>0.0</v>
      </c>
      <c r="B7229" s="14">
        <v>0.0</v>
      </c>
      <c r="C7229" s="34"/>
      <c r="D7229" s="36">
        <v>45726.0</v>
      </c>
      <c r="E7229" s="24"/>
      <c r="F7229" s="14" t="s">
        <v>6012</v>
      </c>
      <c r="G7229" s="14" t="s">
        <v>6012</v>
      </c>
      <c r="H7229" s="14" t="s">
        <v>6012</v>
      </c>
      <c r="I7229" s="14" t="s">
        <v>6086</v>
      </c>
      <c r="J7229" s="14" t="s">
        <v>6012</v>
      </c>
      <c r="K7229" s="14" t="s">
        <v>6012</v>
      </c>
      <c r="L7229" s="14"/>
    </row>
    <row r="7230">
      <c r="A7230" s="14">
        <v>210.0</v>
      </c>
      <c r="B7230" s="14">
        <v>0.0</v>
      </c>
      <c r="C7230" s="34">
        <v>21.29</v>
      </c>
      <c r="D7230" s="36">
        <v>45726.0</v>
      </c>
      <c r="E7230" s="24"/>
      <c r="F7230" s="14" t="s">
        <v>6012</v>
      </c>
      <c r="G7230" s="14">
        <v>101.38</v>
      </c>
      <c r="H7230" s="14">
        <v>0.0</v>
      </c>
      <c r="I7230" s="14" t="s">
        <v>6093</v>
      </c>
      <c r="J7230" s="14" t="s">
        <v>6012</v>
      </c>
      <c r="K7230" s="14" t="s">
        <v>6012</v>
      </c>
      <c r="L7230" s="14">
        <v>0.0</v>
      </c>
    </row>
    <row r="7231">
      <c r="A7231" s="14">
        <v>141.0</v>
      </c>
      <c r="B7231" s="14">
        <v>4.0</v>
      </c>
      <c r="C7231" s="34">
        <v>21.64</v>
      </c>
      <c r="D7231" s="36">
        <v>45726.0</v>
      </c>
      <c r="E7231" s="24"/>
      <c r="F7231" s="14">
        <v>5.41</v>
      </c>
      <c r="G7231" s="14">
        <v>153.48</v>
      </c>
      <c r="H7231" s="14">
        <v>2.84</v>
      </c>
      <c r="I7231" s="14" t="s">
        <v>6091</v>
      </c>
      <c r="J7231" s="14">
        <v>0.0</v>
      </c>
      <c r="K7231" s="14" t="s">
        <v>6012</v>
      </c>
      <c r="L7231" s="14">
        <v>0.0</v>
      </c>
    </row>
    <row r="7232">
      <c r="A7232" s="14">
        <v>102.0</v>
      </c>
      <c r="B7232" s="14">
        <v>0.0</v>
      </c>
      <c r="C7232" s="34">
        <v>28.22</v>
      </c>
      <c r="D7232" s="36">
        <v>45727.0</v>
      </c>
      <c r="E7232" s="24"/>
      <c r="F7232" s="14" t="s">
        <v>6012</v>
      </c>
      <c r="G7232" s="14">
        <v>276.67</v>
      </c>
      <c r="H7232" s="14">
        <v>0.0</v>
      </c>
      <c r="I7232" s="14" t="s">
        <v>6092</v>
      </c>
      <c r="J7232" s="14" t="s">
        <v>6012</v>
      </c>
      <c r="K7232" s="14" t="s">
        <v>6012</v>
      </c>
      <c r="L7232" s="14">
        <v>0.0</v>
      </c>
    </row>
    <row r="7233">
      <c r="A7233" s="14">
        <v>0.0</v>
      </c>
      <c r="B7233" s="14">
        <v>0.0</v>
      </c>
      <c r="C7233" s="34"/>
      <c r="D7233" s="36">
        <v>45727.0</v>
      </c>
      <c r="E7233" s="24"/>
      <c r="F7233" s="14" t="s">
        <v>6012</v>
      </c>
      <c r="G7233" s="14" t="s">
        <v>6012</v>
      </c>
      <c r="H7233" s="14" t="s">
        <v>6012</v>
      </c>
      <c r="I7233" s="14" t="s">
        <v>6086</v>
      </c>
      <c r="J7233" s="14" t="s">
        <v>6012</v>
      </c>
      <c r="K7233" s="14" t="s">
        <v>6012</v>
      </c>
      <c r="L7233" s="14"/>
    </row>
    <row r="7234">
      <c r="A7234" s="14">
        <v>0.0</v>
      </c>
      <c r="B7234" s="14">
        <v>0.0</v>
      </c>
      <c r="C7234" s="34">
        <v>9.72</v>
      </c>
      <c r="D7234" s="36">
        <v>45727.0</v>
      </c>
      <c r="E7234" s="24"/>
      <c r="F7234" s="14" t="s">
        <v>6012</v>
      </c>
      <c r="G7234" s="14" t="s">
        <v>6012</v>
      </c>
      <c r="H7234" s="14" t="s">
        <v>6012</v>
      </c>
      <c r="I7234" s="14" t="s">
        <v>6088</v>
      </c>
      <c r="J7234" s="14" t="s">
        <v>6012</v>
      </c>
      <c r="K7234" s="14">
        <v>1.08</v>
      </c>
      <c r="L7234" s="14">
        <v>1.0</v>
      </c>
    </row>
    <row r="7235">
      <c r="A7235" s="14">
        <v>0.0</v>
      </c>
      <c r="B7235" s="14">
        <v>0.0</v>
      </c>
      <c r="C7235" s="34"/>
      <c r="D7235" s="36">
        <v>45727.0</v>
      </c>
      <c r="E7235" s="24"/>
      <c r="F7235" s="14" t="s">
        <v>6012</v>
      </c>
      <c r="G7235" s="14" t="s">
        <v>6012</v>
      </c>
      <c r="H7235" s="14" t="s">
        <v>6012</v>
      </c>
      <c r="I7235" s="14" t="s">
        <v>6082</v>
      </c>
      <c r="J7235" s="14" t="s">
        <v>6012</v>
      </c>
      <c r="K7235" s="14" t="s">
        <v>6012</v>
      </c>
      <c r="L7235" s="14"/>
    </row>
    <row r="7236">
      <c r="A7236" s="14">
        <v>0.0</v>
      </c>
      <c r="B7236" s="14">
        <v>0.0</v>
      </c>
      <c r="C7236" s="34"/>
      <c r="D7236" s="36">
        <v>45727.0</v>
      </c>
      <c r="E7236" s="24"/>
      <c r="F7236" s="14" t="s">
        <v>6012</v>
      </c>
      <c r="G7236" s="14" t="s">
        <v>6012</v>
      </c>
      <c r="H7236" s="14" t="s">
        <v>6012</v>
      </c>
      <c r="I7236" s="14" t="s">
        <v>6090</v>
      </c>
      <c r="J7236" s="14" t="s">
        <v>6012</v>
      </c>
      <c r="K7236" s="14" t="s">
        <v>6012</v>
      </c>
      <c r="L7236" s="14"/>
    </row>
    <row r="7237">
      <c r="A7237" s="14">
        <v>225.0</v>
      </c>
      <c r="B7237" s="14">
        <v>0.0</v>
      </c>
      <c r="C7237" s="34">
        <v>23.91</v>
      </c>
      <c r="D7237" s="36">
        <v>45727.0</v>
      </c>
      <c r="E7237" s="24"/>
      <c r="F7237" s="14" t="s">
        <v>6012</v>
      </c>
      <c r="G7237" s="14">
        <v>106.27</v>
      </c>
      <c r="H7237" s="14">
        <v>0.0</v>
      </c>
      <c r="I7237" s="14" t="s">
        <v>6093</v>
      </c>
      <c r="J7237" s="14" t="s">
        <v>6012</v>
      </c>
      <c r="K7237" s="14" t="s">
        <v>6012</v>
      </c>
      <c r="L7237" s="14">
        <v>0.0</v>
      </c>
    </row>
    <row r="7238">
      <c r="A7238" s="14">
        <v>211.0</v>
      </c>
      <c r="B7238" s="14">
        <v>10.0</v>
      </c>
      <c r="C7238" s="34">
        <v>30.92</v>
      </c>
      <c r="D7238" s="36">
        <v>45727.0</v>
      </c>
      <c r="E7238" s="24"/>
      <c r="F7238" s="14">
        <v>3.09</v>
      </c>
      <c r="G7238" s="14">
        <v>146.54</v>
      </c>
      <c r="H7238" s="14">
        <v>4.74</v>
      </c>
      <c r="I7238" s="14" t="s">
        <v>6091</v>
      </c>
      <c r="J7238" s="14">
        <v>0.0</v>
      </c>
      <c r="K7238" s="14" t="s">
        <v>6012</v>
      </c>
      <c r="L7238" s="14">
        <v>0.0</v>
      </c>
    </row>
    <row r="7239">
      <c r="A7239" s="14">
        <v>0.0</v>
      </c>
      <c r="B7239" s="14">
        <v>0.0</v>
      </c>
      <c r="C7239" s="34">
        <v>13.25</v>
      </c>
      <c r="D7239" s="36">
        <v>45727.0</v>
      </c>
      <c r="E7239" s="24"/>
      <c r="F7239" s="14" t="s">
        <v>6012</v>
      </c>
      <c r="G7239" s="14" t="s">
        <v>6012</v>
      </c>
      <c r="H7239" s="14" t="s">
        <v>6012</v>
      </c>
      <c r="I7239" s="14" t="s">
        <v>6064</v>
      </c>
      <c r="J7239" s="14" t="s">
        <v>6012</v>
      </c>
      <c r="K7239" s="14" t="s">
        <v>6012</v>
      </c>
      <c r="L7239" s="14">
        <v>0.0</v>
      </c>
    </row>
    <row r="7240">
      <c r="A7240" s="14">
        <v>90.0</v>
      </c>
      <c r="B7240" s="14">
        <v>1.0</v>
      </c>
      <c r="C7240" s="34">
        <v>25.74</v>
      </c>
      <c r="D7240" s="36">
        <v>45727.0</v>
      </c>
      <c r="E7240" s="24"/>
      <c r="F7240" s="14">
        <v>25.74</v>
      </c>
      <c r="G7240" s="14">
        <v>286.0</v>
      </c>
      <c r="H7240" s="14">
        <v>1.11</v>
      </c>
      <c r="I7240" s="14" t="s">
        <v>6087</v>
      </c>
      <c r="J7240" s="14">
        <v>400.0</v>
      </c>
      <c r="K7240" s="14">
        <v>6.44</v>
      </c>
      <c r="L7240" s="14">
        <v>0.0</v>
      </c>
    </row>
    <row r="7241">
      <c r="A7241" s="14">
        <v>232.0</v>
      </c>
      <c r="B7241" s="14">
        <v>0.0</v>
      </c>
      <c r="C7241" s="34">
        <v>22.28</v>
      </c>
      <c r="D7241" s="36">
        <v>45728.0</v>
      </c>
      <c r="E7241" s="24"/>
      <c r="F7241" s="14" t="s">
        <v>6012</v>
      </c>
      <c r="G7241" s="14">
        <v>96.03</v>
      </c>
      <c r="H7241" s="14">
        <v>0.0</v>
      </c>
      <c r="I7241" s="14" t="s">
        <v>6093</v>
      </c>
      <c r="J7241" s="14" t="s">
        <v>6012</v>
      </c>
      <c r="K7241" s="14" t="s">
        <v>6012</v>
      </c>
      <c r="L7241" s="14">
        <v>0.0</v>
      </c>
    </row>
    <row r="7242">
      <c r="A7242" s="14">
        <v>119.0</v>
      </c>
      <c r="B7242" s="14">
        <v>1.0</v>
      </c>
      <c r="C7242" s="34">
        <v>25.71</v>
      </c>
      <c r="D7242" s="36">
        <v>45728.0</v>
      </c>
      <c r="E7242" s="24"/>
      <c r="F7242" s="14">
        <v>25.71</v>
      </c>
      <c r="G7242" s="14">
        <v>216.05</v>
      </c>
      <c r="H7242" s="14">
        <v>0.84</v>
      </c>
      <c r="I7242" s="14" t="s">
        <v>6092</v>
      </c>
      <c r="J7242" s="14">
        <v>0.0</v>
      </c>
      <c r="K7242" s="14" t="s">
        <v>6012</v>
      </c>
      <c r="L7242" s="14">
        <v>0.0</v>
      </c>
    </row>
    <row r="7243">
      <c r="A7243" s="14">
        <v>0.0</v>
      </c>
      <c r="B7243" s="14">
        <v>0.0</v>
      </c>
      <c r="C7243" s="34">
        <v>11.94</v>
      </c>
      <c r="D7243" s="36">
        <v>45728.0</v>
      </c>
      <c r="E7243" s="24"/>
      <c r="F7243" s="14" t="s">
        <v>6012</v>
      </c>
      <c r="G7243" s="14" t="s">
        <v>6012</v>
      </c>
      <c r="H7243" s="14" t="s">
        <v>6012</v>
      </c>
      <c r="I7243" s="14" t="s">
        <v>6064</v>
      </c>
      <c r="J7243" s="14" t="s">
        <v>6012</v>
      </c>
      <c r="K7243" s="14" t="s">
        <v>6012</v>
      </c>
      <c r="L7243" s="14">
        <v>0.0</v>
      </c>
    </row>
    <row r="7244">
      <c r="A7244" s="14">
        <v>0.0</v>
      </c>
      <c r="B7244" s="14">
        <v>0.0</v>
      </c>
      <c r="C7244" s="34"/>
      <c r="D7244" s="36">
        <v>45728.0</v>
      </c>
      <c r="E7244" s="24"/>
      <c r="F7244" s="14" t="s">
        <v>6012</v>
      </c>
      <c r="G7244" s="14" t="s">
        <v>6012</v>
      </c>
      <c r="H7244" s="14" t="s">
        <v>6012</v>
      </c>
      <c r="I7244" s="14" t="s">
        <v>6089</v>
      </c>
      <c r="J7244" s="14" t="s">
        <v>6012</v>
      </c>
      <c r="K7244" s="14" t="s">
        <v>6012</v>
      </c>
      <c r="L7244" s="14"/>
    </row>
    <row r="7245">
      <c r="A7245" s="14">
        <v>237.0</v>
      </c>
      <c r="B7245" s="14">
        <v>7.0</v>
      </c>
      <c r="C7245" s="34">
        <v>31.04</v>
      </c>
      <c r="D7245" s="36">
        <v>45728.0</v>
      </c>
      <c r="E7245" s="24"/>
      <c r="F7245" s="14">
        <v>4.43</v>
      </c>
      <c r="G7245" s="14">
        <v>130.97</v>
      </c>
      <c r="H7245" s="14">
        <v>2.95</v>
      </c>
      <c r="I7245" s="14" t="s">
        <v>6091</v>
      </c>
      <c r="J7245" s="14">
        <v>0.0</v>
      </c>
      <c r="K7245" s="14" t="s">
        <v>6012</v>
      </c>
      <c r="L7245" s="14">
        <v>0.0</v>
      </c>
    </row>
    <row r="7246">
      <c r="A7246" s="14">
        <v>0.0</v>
      </c>
      <c r="B7246" s="14">
        <v>0.0</v>
      </c>
      <c r="C7246" s="34"/>
      <c r="D7246" s="36">
        <v>45728.0</v>
      </c>
      <c r="E7246" s="24"/>
      <c r="F7246" s="14" t="s">
        <v>6012</v>
      </c>
      <c r="G7246" s="14" t="s">
        <v>6012</v>
      </c>
      <c r="H7246" s="14" t="s">
        <v>6012</v>
      </c>
      <c r="I7246" s="14" t="s">
        <v>6086</v>
      </c>
      <c r="J7246" s="14" t="s">
        <v>6012</v>
      </c>
      <c r="K7246" s="14" t="s">
        <v>6012</v>
      </c>
      <c r="L7246" s="14"/>
    </row>
    <row r="7247">
      <c r="A7247" s="14">
        <v>71.0</v>
      </c>
      <c r="B7247" s="14">
        <v>0.0</v>
      </c>
      <c r="C7247" s="34">
        <v>23.09</v>
      </c>
      <c r="D7247" s="36">
        <v>45728.0</v>
      </c>
      <c r="E7247" s="24"/>
      <c r="F7247" s="14" t="s">
        <v>6012</v>
      </c>
      <c r="G7247" s="14">
        <v>325.21</v>
      </c>
      <c r="H7247" s="14">
        <v>0.0</v>
      </c>
      <c r="I7247" s="14" t="s">
        <v>6087</v>
      </c>
      <c r="J7247" s="14" t="s">
        <v>6012</v>
      </c>
      <c r="K7247" s="14">
        <v>0.86</v>
      </c>
      <c r="L7247" s="14">
        <v>0.0</v>
      </c>
    </row>
    <row r="7248">
      <c r="A7248" s="14">
        <v>0.0</v>
      </c>
      <c r="B7248" s="14">
        <v>0.0</v>
      </c>
      <c r="C7248" s="34"/>
      <c r="D7248" s="36">
        <v>45728.0</v>
      </c>
      <c r="E7248" s="24"/>
      <c r="F7248" s="14" t="s">
        <v>6012</v>
      </c>
      <c r="G7248" s="14" t="s">
        <v>6012</v>
      </c>
      <c r="H7248" s="14" t="s">
        <v>6012</v>
      </c>
      <c r="I7248" s="14" t="s">
        <v>6090</v>
      </c>
      <c r="J7248" s="14" t="s">
        <v>6012</v>
      </c>
      <c r="K7248" s="14" t="s">
        <v>6012</v>
      </c>
      <c r="L7248" s="14"/>
    </row>
    <row r="7249">
      <c r="A7249" s="14">
        <v>0.0</v>
      </c>
      <c r="B7249" s="14">
        <v>0.0</v>
      </c>
      <c r="C7249" s="34"/>
      <c r="D7249" s="36">
        <v>45728.0</v>
      </c>
      <c r="E7249" s="24"/>
      <c r="F7249" s="14" t="s">
        <v>6012</v>
      </c>
      <c r="G7249" s="14" t="s">
        <v>6012</v>
      </c>
      <c r="H7249" s="14" t="s">
        <v>6012</v>
      </c>
      <c r="I7249" s="14" t="s">
        <v>6082</v>
      </c>
      <c r="J7249" s="14" t="s">
        <v>6012</v>
      </c>
      <c r="K7249" s="14" t="s">
        <v>6012</v>
      </c>
      <c r="L7249" s="14"/>
    </row>
    <row r="7250">
      <c r="A7250" s="14">
        <v>0.0</v>
      </c>
      <c r="B7250" s="14">
        <v>0.0</v>
      </c>
      <c r="C7250" s="34">
        <v>7.69</v>
      </c>
      <c r="D7250" s="36">
        <v>45728.0</v>
      </c>
      <c r="E7250" s="24"/>
      <c r="F7250" s="14" t="s">
        <v>6012</v>
      </c>
      <c r="G7250" s="14" t="s">
        <v>6012</v>
      </c>
      <c r="H7250" s="14" t="s">
        <v>6012</v>
      </c>
      <c r="I7250" s="14" t="s">
        <v>6088</v>
      </c>
      <c r="J7250" s="14" t="s">
        <v>6012</v>
      </c>
      <c r="K7250" s="14">
        <v>0.26</v>
      </c>
      <c r="L7250" s="14">
        <v>0.0</v>
      </c>
    </row>
    <row r="7251">
      <c r="A7251" s="14">
        <v>0.0</v>
      </c>
      <c r="B7251" s="14">
        <v>0.0</v>
      </c>
      <c r="C7251" s="34"/>
      <c r="D7251" s="36">
        <v>45729.0</v>
      </c>
      <c r="E7251" s="24"/>
      <c r="F7251" s="14" t="s">
        <v>6012</v>
      </c>
      <c r="G7251" s="14" t="s">
        <v>6012</v>
      </c>
      <c r="H7251" s="14" t="s">
        <v>6012</v>
      </c>
      <c r="I7251" s="14" t="s">
        <v>6090</v>
      </c>
      <c r="J7251" s="14" t="s">
        <v>6012</v>
      </c>
      <c r="K7251" s="14" t="s">
        <v>6012</v>
      </c>
      <c r="L7251" s="14"/>
    </row>
    <row r="7252">
      <c r="A7252" s="14">
        <v>0.0</v>
      </c>
      <c r="B7252" s="14">
        <v>0.0</v>
      </c>
      <c r="C7252" s="34">
        <v>8.1</v>
      </c>
      <c r="D7252" s="36">
        <v>45729.0</v>
      </c>
      <c r="E7252" s="24"/>
      <c r="F7252" s="14" t="s">
        <v>6012</v>
      </c>
      <c r="G7252" s="14" t="s">
        <v>6012</v>
      </c>
      <c r="H7252" s="14" t="s">
        <v>6012</v>
      </c>
      <c r="I7252" s="14" t="s">
        <v>6088</v>
      </c>
      <c r="J7252" s="14" t="s">
        <v>6012</v>
      </c>
      <c r="K7252" s="14">
        <v>1.35</v>
      </c>
      <c r="L7252" s="14">
        <v>0.0</v>
      </c>
    </row>
    <row r="7253">
      <c r="A7253" s="14">
        <v>103.0</v>
      </c>
      <c r="B7253" s="14">
        <v>0.0</v>
      </c>
      <c r="C7253" s="34">
        <v>25.95</v>
      </c>
      <c r="D7253" s="36">
        <v>45729.0</v>
      </c>
      <c r="E7253" s="24"/>
      <c r="F7253" s="14" t="s">
        <v>6012</v>
      </c>
      <c r="G7253" s="14">
        <v>251.94</v>
      </c>
      <c r="H7253" s="14">
        <v>0.0</v>
      </c>
      <c r="I7253" s="14" t="s">
        <v>6092</v>
      </c>
      <c r="J7253" s="14" t="s">
        <v>6012</v>
      </c>
      <c r="K7253" s="14" t="s">
        <v>6012</v>
      </c>
      <c r="L7253" s="14">
        <v>0.0</v>
      </c>
    </row>
    <row r="7254">
      <c r="A7254" s="14">
        <v>208.0</v>
      </c>
      <c r="B7254" s="14">
        <v>6.0</v>
      </c>
      <c r="C7254" s="34">
        <v>30.95</v>
      </c>
      <c r="D7254" s="36">
        <v>45729.0</v>
      </c>
      <c r="E7254" s="24"/>
      <c r="F7254" s="14">
        <v>5.16</v>
      </c>
      <c r="G7254" s="14">
        <v>148.8</v>
      </c>
      <c r="H7254" s="14">
        <v>2.88</v>
      </c>
      <c r="I7254" s="14" t="s">
        <v>6091</v>
      </c>
      <c r="J7254" s="14">
        <v>0.0</v>
      </c>
      <c r="K7254" s="14" t="s">
        <v>6012</v>
      </c>
      <c r="L7254" s="14">
        <v>0.0</v>
      </c>
    </row>
    <row r="7255">
      <c r="A7255" s="14">
        <v>214.0</v>
      </c>
      <c r="B7255" s="14">
        <v>1.0</v>
      </c>
      <c r="C7255" s="34">
        <v>22.26</v>
      </c>
      <c r="D7255" s="36">
        <v>45729.0</v>
      </c>
      <c r="E7255" s="24"/>
      <c r="F7255" s="14">
        <v>22.26</v>
      </c>
      <c r="G7255" s="14">
        <v>104.02</v>
      </c>
      <c r="H7255" s="14">
        <v>0.47</v>
      </c>
      <c r="I7255" s="14" t="s">
        <v>6093</v>
      </c>
      <c r="J7255" s="14">
        <v>0.0</v>
      </c>
      <c r="K7255" s="14" t="s">
        <v>6012</v>
      </c>
      <c r="L7255" s="14">
        <v>0.0</v>
      </c>
    </row>
    <row r="7256">
      <c r="A7256" s="14">
        <v>0.0</v>
      </c>
      <c r="B7256" s="14">
        <v>0.0</v>
      </c>
      <c r="C7256" s="34"/>
      <c r="D7256" s="36">
        <v>45729.0</v>
      </c>
      <c r="E7256" s="24"/>
      <c r="F7256" s="14" t="s">
        <v>6012</v>
      </c>
      <c r="G7256" s="14" t="s">
        <v>6012</v>
      </c>
      <c r="H7256" s="14" t="s">
        <v>6012</v>
      </c>
      <c r="I7256" s="14" t="s">
        <v>6082</v>
      </c>
      <c r="J7256" s="14" t="s">
        <v>6012</v>
      </c>
      <c r="K7256" s="14" t="s">
        <v>6012</v>
      </c>
      <c r="L7256" s="14"/>
    </row>
    <row r="7257">
      <c r="A7257" s="14">
        <v>75.0</v>
      </c>
      <c r="B7257" s="14">
        <v>0.0</v>
      </c>
      <c r="C7257" s="34">
        <v>22.67</v>
      </c>
      <c r="D7257" s="36">
        <v>45729.0</v>
      </c>
      <c r="E7257" s="24"/>
      <c r="F7257" s="14" t="s">
        <v>6012</v>
      </c>
      <c r="G7257" s="14">
        <v>302.27</v>
      </c>
      <c r="H7257" s="14">
        <v>0.0</v>
      </c>
      <c r="I7257" s="14" t="s">
        <v>6087</v>
      </c>
      <c r="J7257" s="14" t="s">
        <v>6012</v>
      </c>
      <c r="K7257" s="14">
        <v>5.67</v>
      </c>
      <c r="L7257" s="14">
        <v>0.0</v>
      </c>
    </row>
    <row r="7258">
      <c r="A7258" s="14">
        <v>0.0</v>
      </c>
      <c r="B7258" s="14">
        <v>0.0</v>
      </c>
      <c r="C7258" s="34"/>
      <c r="D7258" s="36">
        <v>45729.0</v>
      </c>
      <c r="E7258" s="24"/>
      <c r="F7258" s="14" t="s">
        <v>6012</v>
      </c>
      <c r="G7258" s="14" t="s">
        <v>6012</v>
      </c>
      <c r="H7258" s="14" t="s">
        <v>6012</v>
      </c>
      <c r="I7258" s="14" t="s">
        <v>6089</v>
      </c>
      <c r="J7258" s="14" t="s">
        <v>6012</v>
      </c>
      <c r="K7258" s="14" t="s">
        <v>6012</v>
      </c>
      <c r="L7258" s="14"/>
    </row>
    <row r="7259">
      <c r="A7259" s="14">
        <v>0.0</v>
      </c>
      <c r="B7259" s="14">
        <v>0.0</v>
      </c>
      <c r="C7259" s="34"/>
      <c r="D7259" s="36">
        <v>45729.0</v>
      </c>
      <c r="E7259" s="24"/>
      <c r="F7259" s="14" t="s">
        <v>6012</v>
      </c>
      <c r="G7259" s="14" t="s">
        <v>6012</v>
      </c>
      <c r="H7259" s="14" t="s">
        <v>6012</v>
      </c>
      <c r="I7259" s="14" t="s">
        <v>6086</v>
      </c>
      <c r="J7259" s="14" t="s">
        <v>6012</v>
      </c>
      <c r="K7259" s="14" t="s">
        <v>6012</v>
      </c>
      <c r="L7259" s="14"/>
    </row>
    <row r="7260">
      <c r="A7260" s="14">
        <v>0.0</v>
      </c>
      <c r="B7260" s="14">
        <v>0.0</v>
      </c>
      <c r="C7260" s="34">
        <v>11.97</v>
      </c>
      <c r="D7260" s="36">
        <v>45729.0</v>
      </c>
      <c r="E7260" s="24"/>
      <c r="F7260" s="14" t="s">
        <v>6012</v>
      </c>
      <c r="G7260" s="14" t="s">
        <v>6012</v>
      </c>
      <c r="H7260" s="14" t="s">
        <v>6012</v>
      </c>
      <c r="I7260" s="14" t="s">
        <v>6064</v>
      </c>
      <c r="J7260" s="14" t="s">
        <v>6012</v>
      </c>
      <c r="K7260" s="14" t="s">
        <v>6012</v>
      </c>
      <c r="L7260" s="14">
        <v>0.0</v>
      </c>
    </row>
    <row r="7261">
      <c r="A7261" s="14">
        <v>0.0</v>
      </c>
      <c r="B7261" s="14">
        <v>0.0</v>
      </c>
      <c r="C7261" s="34"/>
      <c r="D7261" s="36">
        <v>45730.0</v>
      </c>
      <c r="E7261" s="24"/>
      <c r="F7261" s="14" t="s">
        <v>6012</v>
      </c>
      <c r="G7261" s="14" t="s">
        <v>6012</v>
      </c>
      <c r="H7261" s="14" t="s">
        <v>6012</v>
      </c>
      <c r="I7261" s="14" t="s">
        <v>6082</v>
      </c>
      <c r="J7261" s="14" t="s">
        <v>6012</v>
      </c>
      <c r="K7261" s="14" t="s">
        <v>6012</v>
      </c>
      <c r="L7261" s="14"/>
    </row>
    <row r="7262">
      <c r="A7262" s="14">
        <v>0.0</v>
      </c>
      <c r="B7262" s="14">
        <v>0.0</v>
      </c>
      <c r="C7262" s="34">
        <v>10.4</v>
      </c>
      <c r="D7262" s="36">
        <v>45730.0</v>
      </c>
      <c r="E7262" s="24"/>
      <c r="F7262" s="14" t="s">
        <v>6012</v>
      </c>
      <c r="G7262" s="14" t="s">
        <v>6012</v>
      </c>
      <c r="H7262" s="14" t="s">
        <v>6012</v>
      </c>
      <c r="I7262" s="14" t="s">
        <v>6064</v>
      </c>
      <c r="J7262" s="14" t="s">
        <v>6012</v>
      </c>
      <c r="K7262" s="14" t="s">
        <v>6012</v>
      </c>
      <c r="L7262" s="14">
        <v>0.0</v>
      </c>
    </row>
    <row r="7263">
      <c r="A7263" s="14">
        <v>0.0</v>
      </c>
      <c r="B7263" s="14">
        <v>0.0</v>
      </c>
      <c r="C7263" s="34"/>
      <c r="D7263" s="36">
        <v>45730.0</v>
      </c>
      <c r="E7263" s="24"/>
      <c r="F7263" s="14" t="s">
        <v>6012</v>
      </c>
      <c r="G7263" s="14" t="s">
        <v>6012</v>
      </c>
      <c r="H7263" s="14" t="s">
        <v>6012</v>
      </c>
      <c r="I7263" s="14" t="s">
        <v>6089</v>
      </c>
      <c r="J7263" s="14" t="s">
        <v>6012</v>
      </c>
      <c r="K7263" s="14" t="s">
        <v>6012</v>
      </c>
      <c r="L7263" s="14"/>
    </row>
    <row r="7264">
      <c r="A7264" s="14">
        <v>202.0</v>
      </c>
      <c r="B7264" s="14">
        <v>1.0</v>
      </c>
      <c r="C7264" s="34">
        <v>21.85</v>
      </c>
      <c r="D7264" s="36">
        <v>45730.0</v>
      </c>
      <c r="E7264" s="24"/>
      <c r="F7264" s="14">
        <v>21.85</v>
      </c>
      <c r="G7264" s="14">
        <v>108.17</v>
      </c>
      <c r="H7264" s="14">
        <v>0.5</v>
      </c>
      <c r="I7264" s="14" t="s">
        <v>6093</v>
      </c>
      <c r="J7264" s="14">
        <v>0.0</v>
      </c>
      <c r="K7264" s="14" t="s">
        <v>6012</v>
      </c>
      <c r="L7264" s="14">
        <v>0.0</v>
      </c>
    </row>
    <row r="7265">
      <c r="A7265" s="14">
        <v>0.0</v>
      </c>
      <c r="B7265" s="14">
        <v>0.0</v>
      </c>
      <c r="C7265" s="34"/>
      <c r="D7265" s="36">
        <v>45730.0</v>
      </c>
      <c r="E7265" s="24"/>
      <c r="F7265" s="14" t="s">
        <v>6012</v>
      </c>
      <c r="G7265" s="14" t="s">
        <v>6012</v>
      </c>
      <c r="H7265" s="14" t="s">
        <v>6012</v>
      </c>
      <c r="I7265" s="14" t="s">
        <v>6090</v>
      </c>
      <c r="J7265" s="14" t="s">
        <v>6012</v>
      </c>
      <c r="K7265" s="14" t="s">
        <v>6012</v>
      </c>
      <c r="L7265" s="14"/>
    </row>
    <row r="7266">
      <c r="A7266" s="14">
        <v>57.0</v>
      </c>
      <c r="B7266" s="14">
        <v>0.0</v>
      </c>
      <c r="C7266" s="34">
        <v>21.56</v>
      </c>
      <c r="D7266" s="36">
        <v>45730.0</v>
      </c>
      <c r="E7266" s="24"/>
      <c r="F7266" s="14" t="s">
        <v>6012</v>
      </c>
      <c r="G7266" s="14">
        <v>378.25</v>
      </c>
      <c r="H7266" s="14">
        <v>0.0</v>
      </c>
      <c r="I7266" s="14" t="s">
        <v>6087</v>
      </c>
      <c r="J7266" s="14" t="s">
        <v>6012</v>
      </c>
      <c r="K7266" s="14">
        <v>10.78</v>
      </c>
      <c r="L7266" s="14">
        <v>0.0</v>
      </c>
    </row>
    <row r="7267">
      <c r="A7267" s="14">
        <v>0.0</v>
      </c>
      <c r="B7267" s="14">
        <v>0.0</v>
      </c>
      <c r="C7267" s="34"/>
      <c r="D7267" s="36">
        <v>45730.0</v>
      </c>
      <c r="E7267" s="24"/>
      <c r="F7267" s="14" t="s">
        <v>6012</v>
      </c>
      <c r="G7267" s="14" t="s">
        <v>6012</v>
      </c>
      <c r="H7267" s="14" t="s">
        <v>6012</v>
      </c>
      <c r="I7267" s="14" t="s">
        <v>6086</v>
      </c>
      <c r="J7267" s="14" t="s">
        <v>6012</v>
      </c>
      <c r="K7267" s="14" t="s">
        <v>6012</v>
      </c>
      <c r="L7267" s="14"/>
    </row>
    <row r="7268">
      <c r="A7268" s="14">
        <v>108.0</v>
      </c>
      <c r="B7268" s="14">
        <v>0.0</v>
      </c>
      <c r="C7268" s="34">
        <v>24.5</v>
      </c>
      <c r="D7268" s="36">
        <v>45730.0</v>
      </c>
      <c r="E7268" s="24"/>
      <c r="F7268" s="14" t="s">
        <v>6012</v>
      </c>
      <c r="G7268" s="14">
        <v>226.85</v>
      </c>
      <c r="H7268" s="14">
        <v>0.0</v>
      </c>
      <c r="I7268" s="14" t="s">
        <v>6092</v>
      </c>
      <c r="J7268" s="14" t="s">
        <v>6012</v>
      </c>
      <c r="K7268" s="14" t="s">
        <v>6012</v>
      </c>
      <c r="L7268" s="14">
        <v>0.0</v>
      </c>
    </row>
    <row r="7269">
      <c r="A7269" s="14">
        <v>244.0</v>
      </c>
      <c r="B7269" s="14">
        <v>10.0</v>
      </c>
      <c r="C7269" s="34">
        <v>29.14</v>
      </c>
      <c r="D7269" s="36">
        <v>45730.0</v>
      </c>
      <c r="E7269" s="24"/>
      <c r="F7269" s="14">
        <v>2.91</v>
      </c>
      <c r="G7269" s="14">
        <v>119.43</v>
      </c>
      <c r="H7269" s="14">
        <v>4.1</v>
      </c>
      <c r="I7269" s="14" t="s">
        <v>6091</v>
      </c>
      <c r="J7269" s="14">
        <v>0.0</v>
      </c>
      <c r="K7269" s="14" t="s">
        <v>6012</v>
      </c>
      <c r="L7269" s="14">
        <v>0.0</v>
      </c>
    </row>
    <row r="7270">
      <c r="A7270" s="14">
        <v>0.0</v>
      </c>
      <c r="B7270" s="14">
        <v>0.0</v>
      </c>
      <c r="C7270" s="34">
        <v>2.76</v>
      </c>
      <c r="D7270" s="36">
        <v>45730.0</v>
      </c>
      <c r="E7270" s="24"/>
      <c r="F7270" s="14" t="s">
        <v>6012</v>
      </c>
      <c r="G7270" s="14" t="s">
        <v>6012</v>
      </c>
      <c r="H7270" s="14" t="s">
        <v>6012</v>
      </c>
      <c r="I7270" s="14" t="s">
        <v>6088</v>
      </c>
      <c r="J7270" s="14" t="s">
        <v>6012</v>
      </c>
      <c r="K7270" s="14">
        <v>0.92</v>
      </c>
      <c r="L7270" s="14">
        <v>0.0</v>
      </c>
    </row>
    <row r="7271">
      <c r="A7271" s="14">
        <v>0.0</v>
      </c>
      <c r="B7271" s="14">
        <v>0.0</v>
      </c>
      <c r="C7271" s="34"/>
      <c r="D7271" s="36">
        <v>45731.0</v>
      </c>
      <c r="E7271" s="24"/>
      <c r="F7271" s="14" t="s">
        <v>6012</v>
      </c>
      <c r="G7271" s="14" t="s">
        <v>6012</v>
      </c>
      <c r="H7271" s="14" t="s">
        <v>6012</v>
      </c>
      <c r="I7271" s="14" t="s">
        <v>6082</v>
      </c>
      <c r="J7271" s="14" t="s">
        <v>6012</v>
      </c>
      <c r="K7271" s="14" t="s">
        <v>6012</v>
      </c>
      <c r="L7271" s="14"/>
    </row>
    <row r="7272">
      <c r="A7272" s="14">
        <v>47.0</v>
      </c>
      <c r="B7272" s="14">
        <v>0.0</v>
      </c>
      <c r="C7272" s="34">
        <v>11.27</v>
      </c>
      <c r="D7272" s="36">
        <v>45731.0</v>
      </c>
      <c r="E7272" s="24"/>
      <c r="F7272" s="14" t="s">
        <v>6012</v>
      </c>
      <c r="G7272" s="14">
        <v>239.79</v>
      </c>
      <c r="H7272" s="14">
        <v>0.0</v>
      </c>
      <c r="I7272" s="14" t="s">
        <v>6087</v>
      </c>
      <c r="J7272" s="14" t="s">
        <v>6012</v>
      </c>
      <c r="K7272" s="14">
        <v>11.27</v>
      </c>
      <c r="L7272" s="14">
        <v>0.0</v>
      </c>
    </row>
    <row r="7273">
      <c r="A7273" s="14">
        <v>0.0</v>
      </c>
      <c r="B7273" s="14">
        <v>0.0</v>
      </c>
      <c r="C7273" s="34"/>
      <c r="D7273" s="36">
        <v>45731.0</v>
      </c>
      <c r="E7273" s="24"/>
      <c r="F7273" s="14" t="s">
        <v>6012</v>
      </c>
      <c r="G7273" s="14" t="s">
        <v>6012</v>
      </c>
      <c r="H7273" s="14" t="s">
        <v>6012</v>
      </c>
      <c r="I7273" s="14" t="s">
        <v>6090</v>
      </c>
      <c r="J7273" s="14" t="s">
        <v>6012</v>
      </c>
      <c r="K7273" s="14" t="s">
        <v>6012</v>
      </c>
      <c r="L7273" s="14"/>
    </row>
    <row r="7274">
      <c r="A7274" s="14">
        <v>0.0</v>
      </c>
      <c r="B7274" s="14">
        <v>0.0</v>
      </c>
      <c r="C7274" s="34">
        <v>4.84</v>
      </c>
      <c r="D7274" s="36">
        <v>45731.0</v>
      </c>
      <c r="E7274" s="24"/>
      <c r="F7274" s="14" t="s">
        <v>6012</v>
      </c>
      <c r="G7274" s="14" t="s">
        <v>6012</v>
      </c>
      <c r="H7274" s="14" t="s">
        <v>6012</v>
      </c>
      <c r="I7274" s="14" t="s">
        <v>6088</v>
      </c>
      <c r="J7274" s="14" t="s">
        <v>6012</v>
      </c>
      <c r="K7274" s="14">
        <v>1.61</v>
      </c>
      <c r="L7274" s="14">
        <v>0.0</v>
      </c>
    </row>
    <row r="7275">
      <c r="A7275" s="14">
        <v>0.0</v>
      </c>
      <c r="B7275" s="14">
        <v>0.0</v>
      </c>
      <c r="C7275" s="34"/>
      <c r="D7275" s="36">
        <v>45731.0</v>
      </c>
      <c r="E7275" s="24"/>
      <c r="F7275" s="14" t="s">
        <v>6012</v>
      </c>
      <c r="G7275" s="14" t="s">
        <v>6012</v>
      </c>
      <c r="H7275" s="14" t="s">
        <v>6012</v>
      </c>
      <c r="I7275" s="14" t="s">
        <v>6086</v>
      </c>
      <c r="J7275" s="14" t="s">
        <v>6012</v>
      </c>
      <c r="K7275" s="14" t="s">
        <v>6012</v>
      </c>
      <c r="L7275" s="14"/>
    </row>
    <row r="7276">
      <c r="A7276" s="14">
        <v>0.0</v>
      </c>
      <c r="B7276" s="14">
        <v>0.0</v>
      </c>
      <c r="C7276" s="34">
        <v>7.76</v>
      </c>
      <c r="D7276" s="36">
        <v>45731.0</v>
      </c>
      <c r="E7276" s="24"/>
      <c r="F7276" s="14" t="s">
        <v>6012</v>
      </c>
      <c r="G7276" s="14" t="s">
        <v>6012</v>
      </c>
      <c r="H7276" s="14" t="s">
        <v>6012</v>
      </c>
      <c r="I7276" s="14" t="s">
        <v>6064</v>
      </c>
      <c r="J7276" s="14" t="s">
        <v>6012</v>
      </c>
      <c r="K7276" s="14" t="s">
        <v>6012</v>
      </c>
      <c r="L7276" s="14">
        <v>0.0</v>
      </c>
    </row>
    <row r="7277">
      <c r="A7277" s="14">
        <v>137.0</v>
      </c>
      <c r="B7277" s="14">
        <v>3.0</v>
      </c>
      <c r="C7277" s="34">
        <v>16.1</v>
      </c>
      <c r="D7277" s="36">
        <v>45731.0</v>
      </c>
      <c r="E7277" s="24"/>
      <c r="F7277" s="14">
        <v>5.37</v>
      </c>
      <c r="G7277" s="14">
        <v>117.52</v>
      </c>
      <c r="H7277" s="14">
        <v>2.19</v>
      </c>
      <c r="I7277" s="14" t="s">
        <v>6091</v>
      </c>
      <c r="J7277" s="14">
        <v>0.0</v>
      </c>
      <c r="K7277" s="14" t="s">
        <v>6012</v>
      </c>
      <c r="L7277" s="14">
        <v>0.0</v>
      </c>
    </row>
    <row r="7278">
      <c r="A7278" s="14">
        <v>99.0</v>
      </c>
      <c r="B7278" s="14">
        <v>0.0</v>
      </c>
      <c r="C7278" s="34">
        <v>12.22</v>
      </c>
      <c r="D7278" s="36">
        <v>45731.0</v>
      </c>
      <c r="E7278" s="24"/>
      <c r="F7278" s="14" t="s">
        <v>6012</v>
      </c>
      <c r="G7278" s="14">
        <v>123.43</v>
      </c>
      <c r="H7278" s="14">
        <v>0.0</v>
      </c>
      <c r="I7278" s="14" t="s">
        <v>6093</v>
      </c>
      <c r="J7278" s="14" t="s">
        <v>6012</v>
      </c>
      <c r="K7278" s="14" t="s">
        <v>6012</v>
      </c>
      <c r="L7278" s="14">
        <v>0.0</v>
      </c>
    </row>
    <row r="7279">
      <c r="A7279" s="14">
        <v>44.0</v>
      </c>
      <c r="B7279" s="14">
        <v>1.0</v>
      </c>
      <c r="C7279" s="34">
        <v>13.23</v>
      </c>
      <c r="D7279" s="36">
        <v>45731.0</v>
      </c>
      <c r="E7279" s="24"/>
      <c r="F7279" s="14">
        <v>13.23</v>
      </c>
      <c r="G7279" s="14">
        <v>300.68</v>
      </c>
      <c r="H7279" s="14">
        <v>2.27</v>
      </c>
      <c r="I7279" s="14" t="s">
        <v>6092</v>
      </c>
      <c r="J7279" s="14">
        <v>0.0</v>
      </c>
      <c r="K7279" s="14" t="s">
        <v>6012</v>
      </c>
      <c r="L7279" s="14">
        <v>0.0</v>
      </c>
    </row>
    <row r="7280">
      <c r="A7280" s="14">
        <v>0.0</v>
      </c>
      <c r="B7280" s="14">
        <v>0.0</v>
      </c>
      <c r="C7280" s="34"/>
      <c r="D7280" s="36">
        <v>45732.0</v>
      </c>
      <c r="E7280" s="24"/>
      <c r="F7280" s="14" t="s">
        <v>6012</v>
      </c>
      <c r="G7280" s="14" t="s">
        <v>6012</v>
      </c>
      <c r="H7280" s="14" t="s">
        <v>6012</v>
      </c>
      <c r="I7280" s="14" t="s">
        <v>6082</v>
      </c>
      <c r="J7280" s="14" t="s">
        <v>6012</v>
      </c>
      <c r="K7280" s="14" t="s">
        <v>6012</v>
      </c>
      <c r="L7280" s="14"/>
    </row>
    <row r="7281">
      <c r="A7281" s="14">
        <v>0.0</v>
      </c>
      <c r="B7281" s="14">
        <v>0.0</v>
      </c>
      <c r="C7281" s="34"/>
      <c r="D7281" s="36">
        <v>45732.0</v>
      </c>
      <c r="E7281" s="24"/>
      <c r="F7281" s="14" t="s">
        <v>6012</v>
      </c>
      <c r="G7281" s="14" t="s">
        <v>6012</v>
      </c>
      <c r="H7281" s="14" t="s">
        <v>6012</v>
      </c>
      <c r="I7281" s="14" t="s">
        <v>6089</v>
      </c>
      <c r="J7281" s="14" t="s">
        <v>6012</v>
      </c>
      <c r="K7281" s="14" t="s">
        <v>6012</v>
      </c>
      <c r="L7281" s="14"/>
    </row>
    <row r="7282">
      <c r="A7282" s="14">
        <v>0.0</v>
      </c>
      <c r="B7282" s="14">
        <v>0.0</v>
      </c>
      <c r="C7282" s="34">
        <v>2.86</v>
      </c>
      <c r="D7282" s="36">
        <v>45732.0</v>
      </c>
      <c r="E7282" s="24"/>
      <c r="F7282" s="14" t="s">
        <v>6012</v>
      </c>
      <c r="G7282" s="14" t="s">
        <v>6012</v>
      </c>
      <c r="H7282" s="14" t="s">
        <v>6012</v>
      </c>
      <c r="I7282" s="14" t="s">
        <v>6088</v>
      </c>
      <c r="J7282" s="14" t="s">
        <v>6012</v>
      </c>
      <c r="K7282" s="14">
        <v>0.95</v>
      </c>
      <c r="L7282" s="14">
        <v>0.0</v>
      </c>
    </row>
    <row r="7283">
      <c r="A7283" s="14">
        <v>0.0</v>
      </c>
      <c r="B7283" s="14">
        <v>0.0</v>
      </c>
      <c r="C7283" s="34"/>
      <c r="D7283" s="36">
        <v>45732.0</v>
      </c>
      <c r="E7283" s="24"/>
      <c r="F7283" s="14" t="s">
        <v>6012</v>
      </c>
      <c r="G7283" s="14" t="s">
        <v>6012</v>
      </c>
      <c r="H7283" s="14" t="s">
        <v>6012</v>
      </c>
      <c r="I7283" s="14" t="s">
        <v>6090</v>
      </c>
      <c r="J7283" s="14" t="s">
        <v>6012</v>
      </c>
      <c r="K7283" s="14" t="s">
        <v>6012</v>
      </c>
      <c r="L7283" s="14"/>
    </row>
    <row r="7284">
      <c r="A7284" s="14">
        <v>0.0</v>
      </c>
      <c r="B7284" s="14">
        <v>0.0</v>
      </c>
      <c r="C7284" s="34">
        <v>2.62</v>
      </c>
      <c r="D7284" s="36">
        <v>45732.0</v>
      </c>
      <c r="E7284" s="24"/>
      <c r="F7284" s="14" t="s">
        <v>6012</v>
      </c>
      <c r="G7284" s="14" t="s">
        <v>6012</v>
      </c>
      <c r="H7284" s="14" t="s">
        <v>6012</v>
      </c>
      <c r="I7284" s="14" t="s">
        <v>6064</v>
      </c>
      <c r="J7284" s="14" t="s">
        <v>6012</v>
      </c>
      <c r="K7284" s="14" t="s">
        <v>6012</v>
      </c>
      <c r="L7284" s="14">
        <v>0.0</v>
      </c>
    </row>
    <row r="7285">
      <c r="A7285" s="14">
        <v>22.0</v>
      </c>
      <c r="B7285" s="14">
        <v>0.0</v>
      </c>
      <c r="C7285" s="34">
        <v>8.21</v>
      </c>
      <c r="D7285" s="36">
        <v>45732.0</v>
      </c>
      <c r="E7285" s="24"/>
      <c r="F7285" s="14" t="s">
        <v>6012</v>
      </c>
      <c r="G7285" s="14">
        <v>373.18</v>
      </c>
      <c r="H7285" s="14">
        <v>0.0</v>
      </c>
      <c r="I7285" s="14" t="s">
        <v>6087</v>
      </c>
      <c r="J7285" s="14" t="s">
        <v>6012</v>
      </c>
      <c r="K7285" s="14">
        <v>2.74</v>
      </c>
      <c r="L7285" s="14">
        <v>0.0</v>
      </c>
    </row>
    <row r="7286">
      <c r="A7286" s="14">
        <v>68.0</v>
      </c>
      <c r="B7286" s="14">
        <v>0.0</v>
      </c>
      <c r="C7286" s="34">
        <v>9.19</v>
      </c>
      <c r="D7286" s="36">
        <v>45732.0</v>
      </c>
      <c r="E7286" s="24"/>
      <c r="F7286" s="14" t="s">
        <v>6012</v>
      </c>
      <c r="G7286" s="14">
        <v>135.15</v>
      </c>
      <c r="H7286" s="14">
        <v>0.0</v>
      </c>
      <c r="I7286" s="14" t="s">
        <v>6093</v>
      </c>
      <c r="J7286" s="14" t="s">
        <v>6012</v>
      </c>
      <c r="K7286" s="14" t="s">
        <v>6012</v>
      </c>
      <c r="L7286" s="14">
        <v>0.0</v>
      </c>
    </row>
    <row r="7287">
      <c r="A7287" s="14">
        <v>0.0</v>
      </c>
      <c r="B7287" s="14">
        <v>0.0</v>
      </c>
      <c r="C7287" s="34"/>
      <c r="D7287" s="36">
        <v>45732.0</v>
      </c>
      <c r="E7287" s="24"/>
      <c r="F7287" s="14" t="s">
        <v>6012</v>
      </c>
      <c r="G7287" s="14" t="s">
        <v>6012</v>
      </c>
      <c r="H7287" s="14" t="s">
        <v>6012</v>
      </c>
      <c r="I7287" s="14" t="s">
        <v>6086</v>
      </c>
      <c r="J7287" s="14" t="s">
        <v>6012</v>
      </c>
      <c r="K7287" s="14" t="s">
        <v>6012</v>
      </c>
      <c r="L7287" s="14"/>
    </row>
    <row r="7288">
      <c r="A7288" s="14">
        <v>26.0</v>
      </c>
      <c r="B7288" s="14">
        <v>0.0</v>
      </c>
      <c r="C7288" s="34">
        <v>7.53</v>
      </c>
      <c r="D7288" s="36">
        <v>45732.0</v>
      </c>
      <c r="E7288" s="24"/>
      <c r="F7288" s="14" t="s">
        <v>6012</v>
      </c>
      <c r="G7288" s="14">
        <v>289.62</v>
      </c>
      <c r="H7288" s="14">
        <v>0.0</v>
      </c>
      <c r="I7288" s="14" t="s">
        <v>6092</v>
      </c>
      <c r="J7288" s="14" t="s">
        <v>6012</v>
      </c>
      <c r="K7288" s="14" t="s">
        <v>6012</v>
      </c>
      <c r="L7288" s="14">
        <v>0.0</v>
      </c>
    </row>
    <row r="7289">
      <c r="A7289" s="14">
        <v>115.0</v>
      </c>
      <c r="B7289" s="14">
        <v>8.0</v>
      </c>
      <c r="C7289" s="34">
        <v>13.75</v>
      </c>
      <c r="D7289" s="36">
        <v>45732.0</v>
      </c>
      <c r="E7289" s="24"/>
      <c r="F7289" s="14">
        <v>1.72</v>
      </c>
      <c r="G7289" s="14">
        <v>119.57</v>
      </c>
      <c r="H7289" s="14">
        <v>6.96</v>
      </c>
      <c r="I7289" s="14" t="s">
        <v>6091</v>
      </c>
      <c r="J7289" s="14">
        <v>0.0</v>
      </c>
      <c r="K7289" s="14" t="s">
        <v>6012</v>
      </c>
      <c r="L7289" s="14">
        <v>0.0</v>
      </c>
    </row>
    <row r="7290">
      <c r="A7290" s="14">
        <v>0.0</v>
      </c>
      <c r="B7290" s="14">
        <v>0.0</v>
      </c>
      <c r="C7290" s="34"/>
      <c r="D7290" s="36">
        <v>45733.0</v>
      </c>
      <c r="E7290" s="24"/>
      <c r="F7290" s="14" t="s">
        <v>6012</v>
      </c>
      <c r="G7290" s="14" t="s">
        <v>6012</v>
      </c>
      <c r="H7290" s="14" t="s">
        <v>6012</v>
      </c>
      <c r="I7290" s="14" t="s">
        <v>6090</v>
      </c>
      <c r="J7290" s="14" t="s">
        <v>6012</v>
      </c>
      <c r="K7290" s="14" t="s">
        <v>6012</v>
      </c>
      <c r="L7290" s="14"/>
    </row>
    <row r="7291">
      <c r="A7291" s="14">
        <v>0.0</v>
      </c>
      <c r="B7291" s="14">
        <v>0.0</v>
      </c>
      <c r="C7291" s="34"/>
      <c r="D7291" s="36">
        <v>45733.0</v>
      </c>
      <c r="E7291" s="24"/>
      <c r="F7291" s="14" t="s">
        <v>6012</v>
      </c>
      <c r="G7291" s="14" t="s">
        <v>6012</v>
      </c>
      <c r="H7291" s="14" t="s">
        <v>6012</v>
      </c>
      <c r="I7291" s="14" t="s">
        <v>6089</v>
      </c>
      <c r="J7291" s="14" t="s">
        <v>6012</v>
      </c>
      <c r="K7291" s="14" t="s">
        <v>6012</v>
      </c>
      <c r="L7291" s="14"/>
    </row>
    <row r="7292">
      <c r="A7292" s="14">
        <v>1527.0</v>
      </c>
      <c r="B7292" s="14">
        <v>22.0</v>
      </c>
      <c r="C7292" s="34">
        <v>21.61</v>
      </c>
      <c r="D7292" s="36">
        <v>45733.0</v>
      </c>
      <c r="E7292" s="24"/>
      <c r="F7292" s="14">
        <v>0.98</v>
      </c>
      <c r="G7292" s="14">
        <v>14.15</v>
      </c>
      <c r="H7292" s="14">
        <v>1.44</v>
      </c>
      <c r="I7292" s="14" t="s">
        <v>6094</v>
      </c>
      <c r="J7292" s="14">
        <v>0.0</v>
      </c>
      <c r="K7292" s="14" t="s">
        <v>6012</v>
      </c>
      <c r="L7292" s="14">
        <v>0.0</v>
      </c>
    </row>
    <row r="7293">
      <c r="A7293" s="14">
        <v>0.0</v>
      </c>
      <c r="B7293" s="14">
        <v>0.0</v>
      </c>
      <c r="C7293" s="34"/>
      <c r="D7293" s="36">
        <v>45733.0</v>
      </c>
      <c r="E7293" s="24"/>
      <c r="F7293" s="14" t="s">
        <v>6012</v>
      </c>
      <c r="G7293" s="14" t="s">
        <v>6012</v>
      </c>
      <c r="H7293" s="14" t="s">
        <v>6012</v>
      </c>
      <c r="I7293" s="14" t="s">
        <v>6082</v>
      </c>
      <c r="J7293" s="14" t="s">
        <v>6012</v>
      </c>
      <c r="K7293" s="14" t="s">
        <v>6012</v>
      </c>
      <c r="L7293" s="14"/>
    </row>
    <row r="7294">
      <c r="A7294" s="14">
        <v>63.0</v>
      </c>
      <c r="B7294" s="14">
        <v>0.0</v>
      </c>
      <c r="C7294" s="34">
        <v>19.35</v>
      </c>
      <c r="D7294" s="36">
        <v>45733.0</v>
      </c>
      <c r="E7294" s="24"/>
      <c r="F7294" s="14" t="s">
        <v>6012</v>
      </c>
      <c r="G7294" s="14">
        <v>307.14</v>
      </c>
      <c r="H7294" s="14">
        <v>0.0</v>
      </c>
      <c r="I7294" s="14" t="s">
        <v>6087</v>
      </c>
      <c r="J7294" s="14" t="s">
        <v>6012</v>
      </c>
      <c r="K7294" s="14">
        <v>2.76</v>
      </c>
      <c r="L7294" s="14">
        <v>0.0</v>
      </c>
    </row>
    <row r="7295">
      <c r="A7295" s="14">
        <v>173.0</v>
      </c>
      <c r="B7295" s="14">
        <v>1.0</v>
      </c>
      <c r="C7295" s="34">
        <v>19.28</v>
      </c>
      <c r="D7295" s="36">
        <v>45733.0</v>
      </c>
      <c r="E7295" s="24"/>
      <c r="F7295" s="14">
        <v>19.28</v>
      </c>
      <c r="G7295" s="14">
        <v>111.45</v>
      </c>
      <c r="H7295" s="14">
        <v>0.58</v>
      </c>
      <c r="I7295" s="14" t="s">
        <v>6093</v>
      </c>
      <c r="J7295" s="14">
        <v>0.0</v>
      </c>
      <c r="K7295" s="14" t="s">
        <v>6012</v>
      </c>
      <c r="L7295" s="14">
        <v>0.0</v>
      </c>
    </row>
    <row r="7296">
      <c r="A7296" s="14">
        <v>0.0</v>
      </c>
      <c r="B7296" s="14">
        <v>0.0</v>
      </c>
      <c r="C7296" s="34">
        <v>10.77</v>
      </c>
      <c r="D7296" s="36">
        <v>45733.0</v>
      </c>
      <c r="E7296" s="24"/>
      <c r="F7296" s="14" t="s">
        <v>6012</v>
      </c>
      <c r="G7296" s="14" t="s">
        <v>6012</v>
      </c>
      <c r="H7296" s="14" t="s">
        <v>6012</v>
      </c>
      <c r="I7296" s="14" t="s">
        <v>6064</v>
      </c>
      <c r="J7296" s="14" t="s">
        <v>6012</v>
      </c>
      <c r="K7296" s="14" t="s">
        <v>6012</v>
      </c>
      <c r="L7296" s="14">
        <v>0.0</v>
      </c>
    </row>
    <row r="7297">
      <c r="A7297" s="14">
        <v>374.0</v>
      </c>
      <c r="B7297" s="14">
        <v>9.0</v>
      </c>
      <c r="C7297" s="34">
        <v>23.66</v>
      </c>
      <c r="D7297" s="36">
        <v>45733.0</v>
      </c>
      <c r="E7297" s="24"/>
      <c r="F7297" s="14">
        <v>2.63</v>
      </c>
      <c r="G7297" s="14">
        <v>63.26</v>
      </c>
      <c r="H7297" s="14">
        <v>2.41</v>
      </c>
      <c r="I7297" s="14" t="s">
        <v>6091</v>
      </c>
      <c r="J7297" s="14">
        <v>0.0</v>
      </c>
      <c r="K7297" s="14" t="s">
        <v>6012</v>
      </c>
      <c r="L7297" s="14">
        <v>0.0</v>
      </c>
    </row>
    <row r="7298">
      <c r="A7298" s="14">
        <v>0.0</v>
      </c>
      <c r="B7298" s="14">
        <v>0.0</v>
      </c>
      <c r="C7298" s="34"/>
      <c r="D7298" s="36">
        <v>45733.0</v>
      </c>
      <c r="E7298" s="24"/>
      <c r="F7298" s="14" t="s">
        <v>6012</v>
      </c>
      <c r="G7298" s="14" t="s">
        <v>6012</v>
      </c>
      <c r="H7298" s="14" t="s">
        <v>6012</v>
      </c>
      <c r="I7298" s="14" t="s">
        <v>6086</v>
      </c>
      <c r="J7298" s="14" t="s">
        <v>6012</v>
      </c>
      <c r="K7298" s="14" t="s">
        <v>6012</v>
      </c>
      <c r="L7298" s="14"/>
    </row>
    <row r="7299">
      <c r="A7299" s="14">
        <v>86.0</v>
      </c>
      <c r="B7299" s="14">
        <v>2.0</v>
      </c>
      <c r="C7299" s="34">
        <v>24.21</v>
      </c>
      <c r="D7299" s="36">
        <v>45733.0</v>
      </c>
      <c r="E7299" s="24"/>
      <c r="F7299" s="14">
        <v>12.1</v>
      </c>
      <c r="G7299" s="14">
        <v>281.51</v>
      </c>
      <c r="H7299" s="14">
        <v>2.33</v>
      </c>
      <c r="I7299" s="14" t="s">
        <v>6092</v>
      </c>
      <c r="J7299" s="14">
        <v>0.0</v>
      </c>
      <c r="K7299" s="14" t="s">
        <v>6012</v>
      </c>
      <c r="L7299" s="14">
        <v>0.0</v>
      </c>
    </row>
    <row r="7300">
      <c r="A7300" s="14">
        <v>0.0</v>
      </c>
      <c r="B7300" s="14">
        <v>0.0</v>
      </c>
      <c r="C7300" s="34">
        <v>10.57</v>
      </c>
      <c r="D7300" s="36">
        <v>45733.0</v>
      </c>
      <c r="E7300" s="24"/>
      <c r="F7300" s="14" t="s">
        <v>6012</v>
      </c>
      <c r="G7300" s="14" t="s">
        <v>6012</v>
      </c>
      <c r="H7300" s="14" t="s">
        <v>6012</v>
      </c>
      <c r="I7300" s="14" t="s">
        <v>6088</v>
      </c>
      <c r="J7300" s="14" t="s">
        <v>6012</v>
      </c>
      <c r="K7300" s="14">
        <v>0.81</v>
      </c>
      <c r="L7300" s="14">
        <v>1.0</v>
      </c>
    </row>
    <row r="7301">
      <c r="A7301" s="14">
        <v>0.0</v>
      </c>
      <c r="B7301" s="14">
        <v>0.0</v>
      </c>
      <c r="C7301" s="34"/>
      <c r="D7301" s="36">
        <v>45734.0</v>
      </c>
      <c r="E7301" s="24"/>
      <c r="F7301" s="14" t="s">
        <v>6012</v>
      </c>
      <c r="G7301" s="14" t="s">
        <v>6012</v>
      </c>
      <c r="H7301" s="14" t="s">
        <v>6012</v>
      </c>
      <c r="I7301" s="14" t="s">
        <v>6082</v>
      </c>
      <c r="J7301" s="14" t="s">
        <v>6012</v>
      </c>
      <c r="K7301" s="14" t="s">
        <v>6012</v>
      </c>
      <c r="L7301" s="14"/>
    </row>
    <row r="7302">
      <c r="A7302" s="14">
        <v>69.0</v>
      </c>
      <c r="B7302" s="14">
        <v>0.0</v>
      </c>
      <c r="C7302" s="34">
        <v>23.73</v>
      </c>
      <c r="D7302" s="36">
        <v>45734.0</v>
      </c>
      <c r="E7302" s="24"/>
      <c r="F7302" s="14" t="s">
        <v>6012</v>
      </c>
      <c r="G7302" s="14">
        <v>343.91</v>
      </c>
      <c r="H7302" s="14">
        <v>0.0</v>
      </c>
      <c r="I7302" s="14" t="s">
        <v>6087</v>
      </c>
      <c r="J7302" s="14" t="s">
        <v>6012</v>
      </c>
      <c r="K7302" s="14">
        <v>1.08</v>
      </c>
      <c r="L7302" s="14">
        <v>0.0</v>
      </c>
    </row>
    <row r="7303">
      <c r="A7303" s="14">
        <v>0.0</v>
      </c>
      <c r="B7303" s="14">
        <v>0.0</v>
      </c>
      <c r="C7303" s="34"/>
      <c r="D7303" s="36">
        <v>45734.0</v>
      </c>
      <c r="E7303" s="24"/>
      <c r="F7303" s="14" t="s">
        <v>6012</v>
      </c>
      <c r="G7303" s="14" t="s">
        <v>6012</v>
      </c>
      <c r="H7303" s="14" t="s">
        <v>6012</v>
      </c>
      <c r="I7303" s="14" t="s">
        <v>6090</v>
      </c>
      <c r="J7303" s="14" t="s">
        <v>6012</v>
      </c>
      <c r="K7303" s="14" t="s">
        <v>6012</v>
      </c>
      <c r="L7303" s="14"/>
    </row>
    <row r="7304">
      <c r="A7304" s="14">
        <v>96.0</v>
      </c>
      <c r="B7304" s="14">
        <v>1.0</v>
      </c>
      <c r="C7304" s="34">
        <v>25.03</v>
      </c>
      <c r="D7304" s="36">
        <v>45734.0</v>
      </c>
      <c r="E7304" s="24"/>
      <c r="F7304" s="14">
        <v>25.03</v>
      </c>
      <c r="G7304" s="14">
        <v>260.73</v>
      </c>
      <c r="H7304" s="14">
        <v>1.04</v>
      </c>
      <c r="I7304" s="14" t="s">
        <v>6092</v>
      </c>
      <c r="J7304" s="14">
        <v>0.0</v>
      </c>
      <c r="K7304" s="14" t="s">
        <v>6012</v>
      </c>
      <c r="L7304" s="14">
        <v>0.0</v>
      </c>
    </row>
    <row r="7305">
      <c r="A7305" s="14">
        <v>0.0</v>
      </c>
      <c r="B7305" s="14">
        <v>0.0</v>
      </c>
      <c r="C7305" s="34"/>
      <c r="D7305" s="36">
        <v>45734.0</v>
      </c>
      <c r="E7305" s="24"/>
      <c r="F7305" s="14" t="s">
        <v>6012</v>
      </c>
      <c r="G7305" s="14" t="s">
        <v>6012</v>
      </c>
      <c r="H7305" s="14" t="s">
        <v>6012</v>
      </c>
      <c r="I7305" s="14" t="s">
        <v>6089</v>
      </c>
      <c r="J7305" s="14" t="s">
        <v>6012</v>
      </c>
      <c r="K7305" s="14" t="s">
        <v>6012</v>
      </c>
      <c r="L7305" s="14"/>
    </row>
    <row r="7306">
      <c r="A7306" s="14">
        <v>909.0</v>
      </c>
      <c r="B7306" s="14">
        <v>19.0</v>
      </c>
      <c r="C7306" s="34">
        <v>23.5</v>
      </c>
      <c r="D7306" s="36">
        <v>45734.0</v>
      </c>
      <c r="E7306" s="24"/>
      <c r="F7306" s="14">
        <v>1.24</v>
      </c>
      <c r="G7306" s="14">
        <v>25.85</v>
      </c>
      <c r="H7306" s="14">
        <v>2.09</v>
      </c>
      <c r="I7306" s="14" t="s">
        <v>6094</v>
      </c>
      <c r="J7306" s="14">
        <v>0.0</v>
      </c>
      <c r="K7306" s="14" t="s">
        <v>6012</v>
      </c>
      <c r="L7306" s="14">
        <v>0.0</v>
      </c>
    </row>
    <row r="7307">
      <c r="A7307" s="14">
        <v>219.0</v>
      </c>
      <c r="B7307" s="14">
        <v>0.0</v>
      </c>
      <c r="C7307" s="34">
        <v>22.27</v>
      </c>
      <c r="D7307" s="36">
        <v>45734.0</v>
      </c>
      <c r="E7307" s="24"/>
      <c r="F7307" s="14" t="s">
        <v>6012</v>
      </c>
      <c r="G7307" s="14">
        <v>101.69</v>
      </c>
      <c r="H7307" s="14">
        <v>0.0</v>
      </c>
      <c r="I7307" s="14" t="s">
        <v>6093</v>
      </c>
      <c r="J7307" s="14" t="s">
        <v>6012</v>
      </c>
      <c r="K7307" s="14" t="s">
        <v>6012</v>
      </c>
      <c r="L7307" s="14">
        <v>0.0</v>
      </c>
    </row>
    <row r="7308">
      <c r="A7308" s="14">
        <v>0.0</v>
      </c>
      <c r="B7308" s="14">
        <v>0.0</v>
      </c>
      <c r="C7308" s="34"/>
      <c r="D7308" s="36">
        <v>45734.0</v>
      </c>
      <c r="E7308" s="24"/>
      <c r="F7308" s="14" t="s">
        <v>6012</v>
      </c>
      <c r="G7308" s="14" t="s">
        <v>6012</v>
      </c>
      <c r="H7308" s="14" t="s">
        <v>6012</v>
      </c>
      <c r="I7308" s="14" t="s">
        <v>6086</v>
      </c>
      <c r="J7308" s="14" t="s">
        <v>6012</v>
      </c>
      <c r="K7308" s="14" t="s">
        <v>6012</v>
      </c>
      <c r="L7308" s="14"/>
    </row>
    <row r="7309">
      <c r="A7309" s="14">
        <v>0.0</v>
      </c>
      <c r="B7309" s="14">
        <v>0.0</v>
      </c>
      <c r="C7309" s="34">
        <v>12.32</v>
      </c>
      <c r="D7309" s="36">
        <v>45734.0</v>
      </c>
      <c r="E7309" s="24"/>
      <c r="F7309" s="14" t="s">
        <v>6012</v>
      </c>
      <c r="G7309" s="14" t="s">
        <v>6012</v>
      </c>
      <c r="H7309" s="14" t="s">
        <v>6012</v>
      </c>
      <c r="I7309" s="14" t="s">
        <v>6064</v>
      </c>
      <c r="J7309" s="14" t="s">
        <v>6012</v>
      </c>
      <c r="K7309" s="14" t="s">
        <v>6012</v>
      </c>
      <c r="L7309" s="14">
        <v>0.0</v>
      </c>
    </row>
    <row r="7310">
      <c r="A7310" s="14">
        <v>251.0</v>
      </c>
      <c r="B7310" s="14">
        <v>15.0</v>
      </c>
      <c r="C7310" s="34">
        <v>28.21</v>
      </c>
      <c r="D7310" s="36">
        <v>45734.0</v>
      </c>
      <c r="E7310" s="24"/>
      <c r="F7310" s="14">
        <v>1.88</v>
      </c>
      <c r="G7310" s="14">
        <v>112.39</v>
      </c>
      <c r="H7310" s="14">
        <v>5.98</v>
      </c>
      <c r="I7310" s="14" t="s">
        <v>6091</v>
      </c>
      <c r="J7310" s="14">
        <v>0.0</v>
      </c>
      <c r="K7310" s="14" t="s">
        <v>6012</v>
      </c>
      <c r="L7310" s="14">
        <v>0.0</v>
      </c>
    </row>
    <row r="7311">
      <c r="A7311" s="14">
        <v>0.0</v>
      </c>
      <c r="B7311" s="14">
        <v>0.0</v>
      </c>
      <c r="C7311" s="34">
        <v>8.25</v>
      </c>
      <c r="D7311" s="36">
        <v>45734.0</v>
      </c>
      <c r="E7311" s="24"/>
      <c r="F7311" s="14" t="s">
        <v>6012</v>
      </c>
      <c r="G7311" s="14" t="s">
        <v>6012</v>
      </c>
      <c r="H7311" s="14" t="s">
        <v>6012</v>
      </c>
      <c r="I7311" s="14" t="s">
        <v>6088</v>
      </c>
      <c r="J7311" s="14" t="s">
        <v>6012</v>
      </c>
      <c r="K7311" s="14">
        <v>0.29</v>
      </c>
      <c r="L7311" s="14">
        <v>0.0</v>
      </c>
    </row>
    <row r="7312">
      <c r="A7312" s="14">
        <v>0.0</v>
      </c>
      <c r="B7312" s="14">
        <v>0.0</v>
      </c>
      <c r="C7312" s="34"/>
      <c r="D7312" s="36">
        <v>45735.0</v>
      </c>
      <c r="E7312" s="24"/>
      <c r="F7312" s="14" t="s">
        <v>6012</v>
      </c>
      <c r="G7312" s="14" t="s">
        <v>6012</v>
      </c>
      <c r="H7312" s="14" t="s">
        <v>6012</v>
      </c>
      <c r="I7312" s="14" t="s">
        <v>6089</v>
      </c>
      <c r="J7312" s="14" t="s">
        <v>6012</v>
      </c>
      <c r="K7312" s="14" t="s">
        <v>6012</v>
      </c>
      <c r="L7312" s="14"/>
    </row>
    <row r="7313">
      <c r="A7313" s="14">
        <v>0.0</v>
      </c>
      <c r="B7313" s="14">
        <v>0.0</v>
      </c>
      <c r="C7313" s="34"/>
      <c r="D7313" s="36">
        <v>45735.0</v>
      </c>
      <c r="E7313" s="24"/>
      <c r="F7313" s="14" t="s">
        <v>6012</v>
      </c>
      <c r="G7313" s="14" t="s">
        <v>6012</v>
      </c>
      <c r="H7313" s="14" t="s">
        <v>6012</v>
      </c>
      <c r="I7313" s="14" t="s">
        <v>6090</v>
      </c>
      <c r="J7313" s="14" t="s">
        <v>6012</v>
      </c>
      <c r="K7313" s="14" t="s">
        <v>6012</v>
      </c>
      <c r="L7313" s="14"/>
    </row>
    <row r="7314">
      <c r="A7314" s="14">
        <v>215.0</v>
      </c>
      <c r="B7314" s="14">
        <v>3.0</v>
      </c>
      <c r="C7314" s="34">
        <v>21.87</v>
      </c>
      <c r="D7314" s="36">
        <v>45735.0</v>
      </c>
      <c r="E7314" s="24"/>
      <c r="F7314" s="14">
        <v>7.29</v>
      </c>
      <c r="G7314" s="14">
        <v>101.72</v>
      </c>
      <c r="H7314" s="14">
        <v>1.4</v>
      </c>
      <c r="I7314" s="14" t="s">
        <v>6093</v>
      </c>
      <c r="J7314" s="14">
        <v>0.0</v>
      </c>
      <c r="K7314" s="14" t="s">
        <v>6012</v>
      </c>
      <c r="L7314" s="14">
        <v>0.0</v>
      </c>
    </row>
    <row r="7315">
      <c r="A7315" s="14">
        <v>0.0</v>
      </c>
      <c r="B7315" s="14">
        <v>0.0</v>
      </c>
      <c r="C7315" s="34"/>
      <c r="D7315" s="36">
        <v>45735.0</v>
      </c>
      <c r="E7315" s="24"/>
      <c r="F7315" s="14" t="s">
        <v>6012</v>
      </c>
      <c r="G7315" s="14" t="s">
        <v>6012</v>
      </c>
      <c r="H7315" s="14" t="s">
        <v>6012</v>
      </c>
      <c r="I7315" s="14" t="s">
        <v>6086</v>
      </c>
      <c r="J7315" s="14" t="s">
        <v>6012</v>
      </c>
      <c r="K7315" s="14" t="s">
        <v>6012</v>
      </c>
      <c r="L7315" s="14"/>
    </row>
    <row r="7316">
      <c r="A7316" s="14">
        <v>605.0</v>
      </c>
      <c r="B7316" s="14">
        <v>15.0</v>
      </c>
      <c r="C7316" s="34">
        <v>25.69</v>
      </c>
      <c r="D7316" s="36">
        <v>45735.0</v>
      </c>
      <c r="E7316" s="24"/>
      <c r="F7316" s="14">
        <v>1.71</v>
      </c>
      <c r="G7316" s="14">
        <v>42.46</v>
      </c>
      <c r="H7316" s="14">
        <v>2.48</v>
      </c>
      <c r="I7316" s="14" t="s">
        <v>6091</v>
      </c>
      <c r="J7316" s="14">
        <v>0.0</v>
      </c>
      <c r="K7316" s="14" t="s">
        <v>6012</v>
      </c>
      <c r="L7316" s="14">
        <v>0.0</v>
      </c>
    </row>
    <row r="7317">
      <c r="A7317" s="14">
        <v>0.0</v>
      </c>
      <c r="B7317" s="14">
        <v>0.0</v>
      </c>
      <c r="C7317" s="34">
        <v>11.67</v>
      </c>
      <c r="D7317" s="36">
        <v>45735.0</v>
      </c>
      <c r="E7317" s="24"/>
      <c r="F7317" s="14" t="s">
        <v>6012</v>
      </c>
      <c r="G7317" s="14" t="s">
        <v>6012</v>
      </c>
      <c r="H7317" s="14" t="s">
        <v>6012</v>
      </c>
      <c r="I7317" s="14" t="s">
        <v>6064</v>
      </c>
      <c r="J7317" s="14" t="s">
        <v>6012</v>
      </c>
      <c r="K7317" s="14" t="s">
        <v>6012</v>
      </c>
      <c r="L7317" s="14">
        <v>0.0</v>
      </c>
    </row>
    <row r="7318">
      <c r="A7318" s="14">
        <v>877.0</v>
      </c>
      <c r="B7318" s="14">
        <v>15.0</v>
      </c>
      <c r="C7318" s="34">
        <v>24.31</v>
      </c>
      <c r="D7318" s="36">
        <v>45735.0</v>
      </c>
      <c r="E7318" s="24"/>
      <c r="F7318" s="14">
        <v>1.62</v>
      </c>
      <c r="G7318" s="14">
        <v>27.72</v>
      </c>
      <c r="H7318" s="14">
        <v>1.71</v>
      </c>
      <c r="I7318" s="14" t="s">
        <v>6094</v>
      </c>
      <c r="J7318" s="14">
        <v>0.0</v>
      </c>
      <c r="K7318" s="14" t="s">
        <v>6012</v>
      </c>
      <c r="L7318" s="14">
        <v>0.0</v>
      </c>
    </row>
    <row r="7319">
      <c r="A7319" s="14">
        <v>121.0</v>
      </c>
      <c r="B7319" s="14">
        <v>0.0</v>
      </c>
      <c r="C7319" s="34">
        <v>21.54</v>
      </c>
      <c r="D7319" s="36">
        <v>45735.0</v>
      </c>
      <c r="E7319" s="24"/>
      <c r="F7319" s="14" t="s">
        <v>6012</v>
      </c>
      <c r="G7319" s="14">
        <v>178.02</v>
      </c>
      <c r="H7319" s="14">
        <v>0.0</v>
      </c>
      <c r="I7319" s="14" t="s">
        <v>6087</v>
      </c>
      <c r="J7319" s="14" t="s">
        <v>6012</v>
      </c>
      <c r="K7319" s="14">
        <v>0.86</v>
      </c>
      <c r="L7319" s="14">
        <v>0.0</v>
      </c>
    </row>
    <row r="7320">
      <c r="A7320" s="14">
        <v>0.0</v>
      </c>
      <c r="B7320" s="14">
        <v>0.0</v>
      </c>
      <c r="C7320" s="34"/>
      <c r="D7320" s="36">
        <v>45735.0</v>
      </c>
      <c r="E7320" s="24"/>
      <c r="F7320" s="14" t="s">
        <v>6012</v>
      </c>
      <c r="G7320" s="14" t="s">
        <v>6012</v>
      </c>
      <c r="H7320" s="14" t="s">
        <v>6012</v>
      </c>
      <c r="I7320" s="14" t="s">
        <v>6082</v>
      </c>
      <c r="J7320" s="14" t="s">
        <v>6012</v>
      </c>
      <c r="K7320" s="14" t="s">
        <v>6012</v>
      </c>
      <c r="L7320" s="14"/>
    </row>
    <row r="7321">
      <c r="A7321" s="14">
        <v>0.0</v>
      </c>
      <c r="B7321" s="14">
        <v>0.0</v>
      </c>
      <c r="C7321" s="34">
        <v>7.65</v>
      </c>
      <c r="D7321" s="36">
        <v>45735.0</v>
      </c>
      <c r="E7321" s="24"/>
      <c r="F7321" s="14" t="s">
        <v>6012</v>
      </c>
      <c r="G7321" s="14" t="s">
        <v>6012</v>
      </c>
      <c r="H7321" s="14" t="s">
        <v>6012</v>
      </c>
      <c r="I7321" s="14" t="s">
        <v>6088</v>
      </c>
      <c r="J7321" s="14" t="s">
        <v>6012</v>
      </c>
      <c r="K7321" s="14">
        <v>0.27</v>
      </c>
      <c r="L7321" s="14">
        <v>0.0</v>
      </c>
    </row>
    <row r="7322">
      <c r="A7322" s="14">
        <v>225.0</v>
      </c>
      <c r="B7322" s="14">
        <v>4.0</v>
      </c>
      <c r="C7322" s="34">
        <v>24.83</v>
      </c>
      <c r="D7322" s="36">
        <v>45735.0</v>
      </c>
      <c r="E7322" s="24"/>
      <c r="F7322" s="14">
        <v>6.21</v>
      </c>
      <c r="G7322" s="14">
        <v>110.36</v>
      </c>
      <c r="H7322" s="14">
        <v>1.78</v>
      </c>
      <c r="I7322" s="14" t="s">
        <v>6092</v>
      </c>
      <c r="J7322" s="14">
        <v>0.0</v>
      </c>
      <c r="K7322" s="14" t="s">
        <v>6012</v>
      </c>
      <c r="L7322" s="14">
        <v>0.0</v>
      </c>
    </row>
    <row r="7323">
      <c r="A7323" s="14">
        <v>931.0</v>
      </c>
      <c r="B7323" s="14">
        <v>9.0</v>
      </c>
      <c r="C7323" s="34">
        <v>24.04</v>
      </c>
      <c r="D7323" s="36">
        <v>45736.0</v>
      </c>
      <c r="E7323" s="24"/>
      <c r="F7323" s="14">
        <v>2.67</v>
      </c>
      <c r="G7323" s="14">
        <v>25.82</v>
      </c>
      <c r="H7323" s="14">
        <v>0.97</v>
      </c>
      <c r="I7323" s="14" t="s">
        <v>6094</v>
      </c>
      <c r="J7323" s="14">
        <v>0.0</v>
      </c>
      <c r="K7323" s="14" t="s">
        <v>6012</v>
      </c>
      <c r="L7323" s="14">
        <v>0.0</v>
      </c>
    </row>
    <row r="7324">
      <c r="A7324" s="14">
        <v>0.0</v>
      </c>
      <c r="B7324" s="14">
        <v>0.0</v>
      </c>
      <c r="C7324" s="34">
        <v>14.44</v>
      </c>
      <c r="D7324" s="36">
        <v>45736.0</v>
      </c>
      <c r="E7324" s="24"/>
      <c r="F7324" s="14" t="s">
        <v>6012</v>
      </c>
      <c r="G7324" s="14" t="s">
        <v>6012</v>
      </c>
      <c r="H7324" s="14" t="s">
        <v>6012</v>
      </c>
      <c r="I7324" s="14" t="s">
        <v>6088</v>
      </c>
      <c r="J7324" s="14" t="s">
        <v>6012</v>
      </c>
      <c r="K7324" s="14">
        <v>0.48</v>
      </c>
      <c r="L7324" s="14">
        <v>0.0</v>
      </c>
    </row>
    <row r="7325">
      <c r="A7325" s="14">
        <v>0.0</v>
      </c>
      <c r="B7325" s="14">
        <v>0.0</v>
      </c>
      <c r="C7325" s="34"/>
      <c r="D7325" s="36">
        <v>45736.0</v>
      </c>
      <c r="E7325" s="24"/>
      <c r="F7325" s="14" t="s">
        <v>6012</v>
      </c>
      <c r="G7325" s="14" t="s">
        <v>6012</v>
      </c>
      <c r="H7325" s="14" t="s">
        <v>6012</v>
      </c>
      <c r="I7325" s="14" t="s">
        <v>6082</v>
      </c>
      <c r="J7325" s="14" t="s">
        <v>6012</v>
      </c>
      <c r="K7325" s="14" t="s">
        <v>6012</v>
      </c>
      <c r="L7325" s="14"/>
    </row>
    <row r="7326">
      <c r="A7326" s="14">
        <v>0.0</v>
      </c>
      <c r="B7326" s="14">
        <v>0.0</v>
      </c>
      <c r="C7326" s="34"/>
      <c r="D7326" s="36">
        <v>45736.0</v>
      </c>
      <c r="E7326" s="24"/>
      <c r="F7326" s="14" t="s">
        <v>6012</v>
      </c>
      <c r="G7326" s="14" t="s">
        <v>6012</v>
      </c>
      <c r="H7326" s="14" t="s">
        <v>6012</v>
      </c>
      <c r="I7326" s="14" t="s">
        <v>6090</v>
      </c>
      <c r="J7326" s="14" t="s">
        <v>6012</v>
      </c>
      <c r="K7326" s="14" t="s">
        <v>6012</v>
      </c>
      <c r="L7326" s="14"/>
    </row>
    <row r="7327">
      <c r="A7327" s="14">
        <v>0.0</v>
      </c>
      <c r="B7327" s="14">
        <v>0.0</v>
      </c>
      <c r="C7327" s="34"/>
      <c r="D7327" s="36">
        <v>45736.0</v>
      </c>
      <c r="E7327" s="24"/>
      <c r="F7327" s="14" t="s">
        <v>6012</v>
      </c>
      <c r="G7327" s="14" t="s">
        <v>6012</v>
      </c>
      <c r="H7327" s="14" t="s">
        <v>6012</v>
      </c>
      <c r="I7327" s="14" t="s">
        <v>6089</v>
      </c>
      <c r="J7327" s="14" t="s">
        <v>6012</v>
      </c>
      <c r="K7327" s="14" t="s">
        <v>6012</v>
      </c>
      <c r="L7327" s="14"/>
    </row>
    <row r="7328">
      <c r="A7328" s="14">
        <v>0.0</v>
      </c>
      <c r="B7328" s="14">
        <v>0.0</v>
      </c>
      <c r="C7328" s="34">
        <v>12.41</v>
      </c>
      <c r="D7328" s="36">
        <v>45736.0</v>
      </c>
      <c r="E7328" s="24"/>
      <c r="F7328" s="14" t="s">
        <v>6012</v>
      </c>
      <c r="G7328" s="14" t="s">
        <v>6012</v>
      </c>
      <c r="H7328" s="14" t="s">
        <v>6012</v>
      </c>
      <c r="I7328" s="14" t="s">
        <v>6064</v>
      </c>
      <c r="J7328" s="14" t="s">
        <v>6012</v>
      </c>
      <c r="K7328" s="14" t="s">
        <v>6012</v>
      </c>
      <c r="L7328" s="14">
        <v>0.0</v>
      </c>
    </row>
    <row r="7329">
      <c r="A7329" s="14">
        <v>237.0</v>
      </c>
      <c r="B7329" s="14">
        <v>11.0</v>
      </c>
      <c r="C7329" s="34">
        <v>26.2</v>
      </c>
      <c r="D7329" s="36">
        <v>45736.0</v>
      </c>
      <c r="E7329" s="24"/>
      <c r="F7329" s="14">
        <v>2.38</v>
      </c>
      <c r="G7329" s="14">
        <v>110.55</v>
      </c>
      <c r="H7329" s="14">
        <v>4.64</v>
      </c>
      <c r="I7329" s="14" t="s">
        <v>6091</v>
      </c>
      <c r="J7329" s="14">
        <v>0.0</v>
      </c>
      <c r="K7329" s="14" t="s">
        <v>6012</v>
      </c>
      <c r="L7329" s="14">
        <v>0.0</v>
      </c>
    </row>
    <row r="7330">
      <c r="A7330" s="14">
        <v>136.0</v>
      </c>
      <c r="B7330" s="14">
        <v>0.0</v>
      </c>
      <c r="C7330" s="34">
        <v>23.32</v>
      </c>
      <c r="D7330" s="36">
        <v>45736.0</v>
      </c>
      <c r="E7330" s="24"/>
      <c r="F7330" s="14" t="s">
        <v>6012</v>
      </c>
      <c r="G7330" s="14">
        <v>171.47</v>
      </c>
      <c r="H7330" s="14">
        <v>0.0</v>
      </c>
      <c r="I7330" s="14" t="s">
        <v>6087</v>
      </c>
      <c r="J7330" s="14" t="s">
        <v>6012</v>
      </c>
      <c r="K7330" s="14">
        <v>0.9</v>
      </c>
      <c r="L7330" s="14">
        <v>0.0</v>
      </c>
    </row>
    <row r="7331">
      <c r="A7331" s="14">
        <v>117.0</v>
      </c>
      <c r="B7331" s="14">
        <v>1.0</v>
      </c>
      <c r="C7331" s="34">
        <v>25.86</v>
      </c>
      <c r="D7331" s="36">
        <v>45736.0</v>
      </c>
      <c r="E7331" s="24"/>
      <c r="F7331" s="14">
        <v>25.86</v>
      </c>
      <c r="G7331" s="14">
        <v>221.03</v>
      </c>
      <c r="H7331" s="14">
        <v>0.85</v>
      </c>
      <c r="I7331" s="14" t="s">
        <v>6092</v>
      </c>
      <c r="J7331" s="14">
        <v>0.0</v>
      </c>
      <c r="K7331" s="14" t="s">
        <v>6012</v>
      </c>
      <c r="L7331" s="14">
        <v>0.0</v>
      </c>
    </row>
    <row r="7332">
      <c r="A7332" s="14">
        <v>427.0</v>
      </c>
      <c r="B7332" s="14">
        <v>1.0</v>
      </c>
      <c r="C7332" s="34">
        <v>22.44</v>
      </c>
      <c r="D7332" s="36">
        <v>45736.0</v>
      </c>
      <c r="E7332" s="24"/>
      <c r="F7332" s="14">
        <v>22.44</v>
      </c>
      <c r="G7332" s="14">
        <v>52.55</v>
      </c>
      <c r="H7332" s="14">
        <v>0.23</v>
      </c>
      <c r="I7332" s="14" t="s">
        <v>6093</v>
      </c>
      <c r="J7332" s="14">
        <v>0.0</v>
      </c>
      <c r="K7332" s="14" t="s">
        <v>6012</v>
      </c>
      <c r="L7332" s="14">
        <v>0.0</v>
      </c>
    </row>
    <row r="7333">
      <c r="A7333" s="14">
        <v>0.0</v>
      </c>
      <c r="B7333" s="14">
        <v>0.0</v>
      </c>
      <c r="C7333" s="34"/>
      <c r="D7333" s="36">
        <v>45736.0</v>
      </c>
      <c r="E7333" s="24"/>
      <c r="F7333" s="14" t="s">
        <v>6012</v>
      </c>
      <c r="G7333" s="14" t="s">
        <v>6012</v>
      </c>
      <c r="H7333" s="14" t="s">
        <v>6012</v>
      </c>
      <c r="I7333" s="14" t="s">
        <v>6086</v>
      </c>
      <c r="J7333" s="14" t="s">
        <v>6012</v>
      </c>
      <c r="K7333" s="14" t="s">
        <v>6012</v>
      </c>
      <c r="L7333" s="14"/>
    </row>
    <row r="7334">
      <c r="A7334" s="14">
        <v>82.0</v>
      </c>
      <c r="B7334" s="14">
        <v>1.0</v>
      </c>
      <c r="C7334" s="34">
        <v>21.9</v>
      </c>
      <c r="D7334" s="36">
        <v>45737.0</v>
      </c>
      <c r="E7334" s="24"/>
      <c r="F7334" s="14">
        <v>21.9</v>
      </c>
      <c r="G7334" s="14">
        <v>267.07</v>
      </c>
      <c r="H7334" s="14">
        <v>1.22</v>
      </c>
      <c r="I7334" s="14" t="s">
        <v>6087</v>
      </c>
      <c r="J7334" s="14">
        <v>1900.0</v>
      </c>
      <c r="K7334" s="14">
        <v>1.15</v>
      </c>
      <c r="L7334" s="14">
        <v>0.0</v>
      </c>
    </row>
    <row r="7335">
      <c r="A7335" s="14">
        <v>0.0</v>
      </c>
      <c r="B7335" s="14">
        <v>0.0</v>
      </c>
      <c r="C7335" s="34"/>
      <c r="D7335" s="36">
        <v>45737.0</v>
      </c>
      <c r="E7335" s="24"/>
      <c r="F7335" s="14" t="s">
        <v>6012</v>
      </c>
      <c r="G7335" s="14" t="s">
        <v>6012</v>
      </c>
      <c r="H7335" s="14" t="s">
        <v>6012</v>
      </c>
      <c r="I7335" s="14" t="s">
        <v>6090</v>
      </c>
      <c r="J7335" s="14" t="s">
        <v>6012</v>
      </c>
      <c r="K7335" s="14" t="s">
        <v>6012</v>
      </c>
      <c r="L7335" s="14"/>
    </row>
    <row r="7336">
      <c r="A7336" s="14">
        <v>0.0</v>
      </c>
      <c r="B7336" s="14">
        <v>0.0</v>
      </c>
      <c r="C7336" s="34">
        <v>10.62</v>
      </c>
      <c r="D7336" s="36">
        <v>45737.0</v>
      </c>
      <c r="E7336" s="24"/>
      <c r="F7336" s="14" t="s">
        <v>6012</v>
      </c>
      <c r="G7336" s="14" t="s">
        <v>6012</v>
      </c>
      <c r="H7336" s="14" t="s">
        <v>6012</v>
      </c>
      <c r="I7336" s="14" t="s">
        <v>6088</v>
      </c>
      <c r="J7336" s="14" t="s">
        <v>6012</v>
      </c>
      <c r="K7336" s="14">
        <v>0.48</v>
      </c>
      <c r="L7336" s="14">
        <v>0.0</v>
      </c>
    </row>
    <row r="7337">
      <c r="A7337" s="14">
        <v>0.0</v>
      </c>
      <c r="B7337" s="14">
        <v>0.0</v>
      </c>
      <c r="C7337" s="34"/>
      <c r="D7337" s="36">
        <v>45737.0</v>
      </c>
      <c r="E7337" s="24"/>
      <c r="F7337" s="14" t="s">
        <v>6012</v>
      </c>
      <c r="G7337" s="14" t="s">
        <v>6012</v>
      </c>
      <c r="H7337" s="14" t="s">
        <v>6012</v>
      </c>
      <c r="I7337" s="14" t="s">
        <v>6086</v>
      </c>
      <c r="J7337" s="14" t="s">
        <v>6012</v>
      </c>
      <c r="K7337" s="14" t="s">
        <v>6012</v>
      </c>
      <c r="L7337" s="14"/>
    </row>
    <row r="7338">
      <c r="A7338" s="14">
        <v>0.0</v>
      </c>
      <c r="B7338" s="14">
        <v>0.0</v>
      </c>
      <c r="C7338" s="34"/>
      <c r="D7338" s="36">
        <v>45737.0</v>
      </c>
      <c r="E7338" s="24"/>
      <c r="F7338" s="14" t="s">
        <v>6012</v>
      </c>
      <c r="G7338" s="14" t="s">
        <v>6012</v>
      </c>
      <c r="H7338" s="14" t="s">
        <v>6012</v>
      </c>
      <c r="I7338" s="14" t="s">
        <v>6089</v>
      </c>
      <c r="J7338" s="14" t="s">
        <v>6012</v>
      </c>
      <c r="K7338" s="14" t="s">
        <v>6012</v>
      </c>
      <c r="L7338" s="14"/>
    </row>
    <row r="7339">
      <c r="A7339" s="14">
        <v>116.0</v>
      </c>
      <c r="B7339" s="14">
        <v>0.0</v>
      </c>
      <c r="C7339" s="34">
        <v>22.52</v>
      </c>
      <c r="D7339" s="36">
        <v>45737.0</v>
      </c>
      <c r="E7339" s="24"/>
      <c r="F7339" s="14" t="s">
        <v>6012</v>
      </c>
      <c r="G7339" s="14">
        <v>194.14</v>
      </c>
      <c r="H7339" s="14">
        <v>0.0</v>
      </c>
      <c r="I7339" s="14" t="s">
        <v>6092</v>
      </c>
      <c r="J7339" s="14" t="s">
        <v>6012</v>
      </c>
      <c r="K7339" s="14" t="s">
        <v>6012</v>
      </c>
      <c r="L7339" s="14">
        <v>0.0</v>
      </c>
    </row>
    <row r="7340">
      <c r="A7340" s="14">
        <v>401.0</v>
      </c>
      <c r="B7340" s="14">
        <v>3.0</v>
      </c>
      <c r="C7340" s="34">
        <v>22.67</v>
      </c>
      <c r="D7340" s="36">
        <v>45737.0</v>
      </c>
      <c r="E7340" s="24"/>
      <c r="F7340" s="14">
        <v>7.56</v>
      </c>
      <c r="G7340" s="14">
        <v>56.53</v>
      </c>
      <c r="H7340" s="14">
        <v>0.75</v>
      </c>
      <c r="I7340" s="14" t="s">
        <v>6094</v>
      </c>
      <c r="J7340" s="14">
        <v>0.0</v>
      </c>
      <c r="K7340" s="14" t="s">
        <v>6012</v>
      </c>
      <c r="L7340" s="14">
        <v>0.0</v>
      </c>
    </row>
    <row r="7341">
      <c r="A7341" s="14">
        <v>0.0</v>
      </c>
      <c r="B7341" s="14">
        <v>0.0</v>
      </c>
      <c r="C7341" s="34">
        <v>11.29</v>
      </c>
      <c r="D7341" s="36">
        <v>45737.0</v>
      </c>
      <c r="E7341" s="24"/>
      <c r="F7341" s="14" t="s">
        <v>6012</v>
      </c>
      <c r="G7341" s="14" t="s">
        <v>6012</v>
      </c>
      <c r="H7341" s="14" t="s">
        <v>6012</v>
      </c>
      <c r="I7341" s="14" t="s">
        <v>6064</v>
      </c>
      <c r="J7341" s="14" t="s">
        <v>6012</v>
      </c>
      <c r="K7341" s="14" t="s">
        <v>6012</v>
      </c>
      <c r="L7341" s="14">
        <v>0.0</v>
      </c>
    </row>
    <row r="7342">
      <c r="A7342" s="14">
        <v>0.0</v>
      </c>
      <c r="B7342" s="14">
        <v>0.0</v>
      </c>
      <c r="C7342" s="34"/>
      <c r="D7342" s="36">
        <v>45737.0</v>
      </c>
      <c r="E7342" s="24"/>
      <c r="F7342" s="14" t="s">
        <v>6012</v>
      </c>
      <c r="G7342" s="14" t="s">
        <v>6012</v>
      </c>
      <c r="H7342" s="14" t="s">
        <v>6012</v>
      </c>
      <c r="I7342" s="14" t="s">
        <v>6082</v>
      </c>
      <c r="J7342" s="14" t="s">
        <v>6012</v>
      </c>
      <c r="K7342" s="14" t="s">
        <v>6012</v>
      </c>
      <c r="L7342" s="14"/>
    </row>
    <row r="7343">
      <c r="A7343" s="14">
        <v>306.0</v>
      </c>
      <c r="B7343" s="14">
        <v>5.0</v>
      </c>
      <c r="C7343" s="34">
        <v>26.25</v>
      </c>
      <c r="D7343" s="36">
        <v>45737.0</v>
      </c>
      <c r="E7343" s="24"/>
      <c r="F7343" s="14">
        <v>5.25</v>
      </c>
      <c r="G7343" s="14">
        <v>85.78</v>
      </c>
      <c r="H7343" s="14">
        <v>1.63</v>
      </c>
      <c r="I7343" s="14" t="s">
        <v>6091</v>
      </c>
      <c r="J7343" s="14">
        <v>0.0</v>
      </c>
      <c r="K7343" s="14" t="s">
        <v>6012</v>
      </c>
      <c r="L7343" s="14">
        <v>0.0</v>
      </c>
    </row>
    <row r="7344">
      <c r="A7344" s="14">
        <v>301.0</v>
      </c>
      <c r="B7344" s="14">
        <v>1.0</v>
      </c>
      <c r="C7344" s="34">
        <v>20.69</v>
      </c>
      <c r="D7344" s="36">
        <v>45737.0</v>
      </c>
      <c r="E7344" s="24"/>
      <c r="F7344" s="14">
        <v>20.69</v>
      </c>
      <c r="G7344" s="14">
        <v>68.74</v>
      </c>
      <c r="H7344" s="14">
        <v>0.33</v>
      </c>
      <c r="I7344" s="14" t="s">
        <v>6093</v>
      </c>
      <c r="J7344" s="14">
        <v>0.0</v>
      </c>
      <c r="K7344" s="14" t="s">
        <v>6012</v>
      </c>
      <c r="L7344" s="14">
        <v>0.0</v>
      </c>
    </row>
    <row r="7345">
      <c r="A7345" s="14">
        <v>0.0</v>
      </c>
      <c r="B7345" s="14">
        <v>0.0</v>
      </c>
      <c r="C7345" s="34"/>
      <c r="D7345" s="36">
        <v>45738.0</v>
      </c>
      <c r="E7345" s="24"/>
      <c r="F7345" s="14" t="s">
        <v>6012</v>
      </c>
      <c r="G7345" s="14" t="s">
        <v>6012</v>
      </c>
      <c r="H7345" s="14" t="s">
        <v>6012</v>
      </c>
      <c r="I7345" s="14" t="s">
        <v>6086</v>
      </c>
      <c r="J7345" s="14" t="s">
        <v>6012</v>
      </c>
      <c r="K7345" s="14" t="s">
        <v>6012</v>
      </c>
      <c r="L7345" s="14"/>
    </row>
    <row r="7346">
      <c r="A7346" s="14">
        <v>55.0</v>
      </c>
      <c r="B7346" s="14">
        <v>1.0</v>
      </c>
      <c r="C7346" s="34">
        <v>13.54</v>
      </c>
      <c r="D7346" s="36">
        <v>45738.0</v>
      </c>
      <c r="E7346" s="24"/>
      <c r="F7346" s="14">
        <v>13.54</v>
      </c>
      <c r="G7346" s="14">
        <v>246.18</v>
      </c>
      <c r="H7346" s="14">
        <v>1.82</v>
      </c>
      <c r="I7346" s="14" t="s">
        <v>6087</v>
      </c>
      <c r="J7346" s="14">
        <v>1200.0</v>
      </c>
      <c r="K7346" s="14">
        <v>1.13</v>
      </c>
      <c r="L7346" s="14">
        <v>0.0</v>
      </c>
    </row>
    <row r="7347">
      <c r="A7347" s="14">
        <v>0.0</v>
      </c>
      <c r="B7347" s="14">
        <v>0.0</v>
      </c>
      <c r="C7347" s="34">
        <v>8.45</v>
      </c>
      <c r="D7347" s="36">
        <v>45738.0</v>
      </c>
      <c r="E7347" s="24"/>
      <c r="F7347" s="14" t="s">
        <v>6012</v>
      </c>
      <c r="G7347" s="14" t="s">
        <v>6012</v>
      </c>
      <c r="H7347" s="14" t="s">
        <v>6012</v>
      </c>
      <c r="I7347" s="14" t="s">
        <v>6088</v>
      </c>
      <c r="J7347" s="14" t="s">
        <v>6012</v>
      </c>
      <c r="K7347" s="14">
        <v>4.22</v>
      </c>
      <c r="L7347" s="14">
        <v>0.0</v>
      </c>
    </row>
    <row r="7348">
      <c r="A7348" s="14">
        <v>0.0</v>
      </c>
      <c r="B7348" s="14">
        <v>0.0</v>
      </c>
      <c r="C7348" s="34">
        <v>6.88</v>
      </c>
      <c r="D7348" s="36">
        <v>45738.0</v>
      </c>
      <c r="E7348" s="24"/>
      <c r="F7348" s="14" t="s">
        <v>6012</v>
      </c>
      <c r="G7348" s="14" t="s">
        <v>6012</v>
      </c>
      <c r="H7348" s="14" t="s">
        <v>6012</v>
      </c>
      <c r="I7348" s="14" t="s">
        <v>6064</v>
      </c>
      <c r="J7348" s="14" t="s">
        <v>6012</v>
      </c>
      <c r="K7348" s="14" t="s">
        <v>6012</v>
      </c>
      <c r="L7348" s="14">
        <v>0.0</v>
      </c>
    </row>
    <row r="7349">
      <c r="A7349" s="14">
        <v>511.0</v>
      </c>
      <c r="B7349" s="14">
        <v>3.0</v>
      </c>
      <c r="C7349" s="34">
        <v>15.97</v>
      </c>
      <c r="D7349" s="36">
        <v>45738.0</v>
      </c>
      <c r="E7349" s="24"/>
      <c r="F7349" s="14">
        <v>5.32</v>
      </c>
      <c r="G7349" s="14">
        <v>31.25</v>
      </c>
      <c r="H7349" s="14">
        <v>0.59</v>
      </c>
      <c r="I7349" s="14" t="s">
        <v>6094</v>
      </c>
      <c r="J7349" s="14">
        <v>0.0</v>
      </c>
      <c r="K7349" s="14" t="s">
        <v>6012</v>
      </c>
      <c r="L7349" s="14">
        <v>0.0</v>
      </c>
    </row>
    <row r="7350">
      <c r="A7350" s="14">
        <v>88.0</v>
      </c>
      <c r="B7350" s="14">
        <v>1.0</v>
      </c>
      <c r="C7350" s="34">
        <v>16.77</v>
      </c>
      <c r="D7350" s="36">
        <v>45738.0</v>
      </c>
      <c r="E7350" s="24"/>
      <c r="F7350" s="14">
        <v>16.77</v>
      </c>
      <c r="G7350" s="14">
        <v>190.57</v>
      </c>
      <c r="H7350" s="14">
        <v>1.14</v>
      </c>
      <c r="I7350" s="14" t="s">
        <v>6092</v>
      </c>
      <c r="J7350" s="14">
        <v>0.0</v>
      </c>
      <c r="K7350" s="14" t="s">
        <v>6012</v>
      </c>
      <c r="L7350" s="14">
        <v>0.0</v>
      </c>
    </row>
    <row r="7351">
      <c r="A7351" s="14">
        <v>155.0</v>
      </c>
      <c r="B7351" s="14">
        <v>6.0</v>
      </c>
      <c r="C7351" s="34">
        <v>16.39</v>
      </c>
      <c r="D7351" s="36">
        <v>45738.0</v>
      </c>
      <c r="E7351" s="24"/>
      <c r="F7351" s="14">
        <v>2.73</v>
      </c>
      <c r="G7351" s="14">
        <v>105.74</v>
      </c>
      <c r="H7351" s="14">
        <v>3.87</v>
      </c>
      <c r="I7351" s="14" t="s">
        <v>6091</v>
      </c>
      <c r="J7351" s="14">
        <v>0.0</v>
      </c>
      <c r="K7351" s="14" t="s">
        <v>6012</v>
      </c>
      <c r="L7351" s="14">
        <v>0.0</v>
      </c>
    </row>
    <row r="7352">
      <c r="A7352" s="14">
        <v>0.0</v>
      </c>
      <c r="B7352" s="14">
        <v>0.0</v>
      </c>
      <c r="C7352" s="34"/>
      <c r="D7352" s="36">
        <v>45738.0</v>
      </c>
      <c r="E7352" s="24"/>
      <c r="F7352" s="14" t="s">
        <v>6012</v>
      </c>
      <c r="G7352" s="14" t="s">
        <v>6012</v>
      </c>
      <c r="H7352" s="14" t="s">
        <v>6012</v>
      </c>
      <c r="I7352" s="14" t="s">
        <v>6090</v>
      </c>
      <c r="J7352" s="14" t="s">
        <v>6012</v>
      </c>
      <c r="K7352" s="14" t="s">
        <v>6012</v>
      </c>
      <c r="L7352" s="14"/>
    </row>
    <row r="7353">
      <c r="A7353" s="14">
        <v>0.0</v>
      </c>
      <c r="B7353" s="14">
        <v>0.0</v>
      </c>
      <c r="C7353" s="34"/>
      <c r="D7353" s="36">
        <v>45738.0</v>
      </c>
      <c r="E7353" s="24"/>
      <c r="F7353" s="14" t="s">
        <v>6012</v>
      </c>
      <c r="G7353" s="14" t="s">
        <v>6012</v>
      </c>
      <c r="H7353" s="14" t="s">
        <v>6012</v>
      </c>
      <c r="I7353" s="14" t="s">
        <v>6089</v>
      </c>
      <c r="J7353" s="14" t="s">
        <v>6012</v>
      </c>
      <c r="K7353" s="14" t="s">
        <v>6012</v>
      </c>
      <c r="L7353" s="14"/>
    </row>
    <row r="7354">
      <c r="A7354" s="14">
        <v>0.0</v>
      </c>
      <c r="B7354" s="14">
        <v>0.0</v>
      </c>
      <c r="C7354" s="34"/>
      <c r="D7354" s="36">
        <v>45738.0</v>
      </c>
      <c r="E7354" s="24"/>
      <c r="F7354" s="14" t="s">
        <v>6012</v>
      </c>
      <c r="G7354" s="14" t="s">
        <v>6012</v>
      </c>
      <c r="H7354" s="14" t="s">
        <v>6012</v>
      </c>
      <c r="I7354" s="14" t="s">
        <v>6082</v>
      </c>
      <c r="J7354" s="14" t="s">
        <v>6012</v>
      </c>
      <c r="K7354" s="14" t="s">
        <v>6012</v>
      </c>
      <c r="L7354" s="14"/>
    </row>
    <row r="7355">
      <c r="A7355" s="14">
        <v>122.0</v>
      </c>
      <c r="B7355" s="14">
        <v>0.0</v>
      </c>
      <c r="C7355" s="34">
        <v>15.09</v>
      </c>
      <c r="D7355" s="36">
        <v>45738.0</v>
      </c>
      <c r="E7355" s="24"/>
      <c r="F7355" s="14" t="s">
        <v>6012</v>
      </c>
      <c r="G7355" s="14">
        <v>123.69</v>
      </c>
      <c r="H7355" s="14">
        <v>0.0</v>
      </c>
      <c r="I7355" s="14" t="s">
        <v>6093</v>
      </c>
      <c r="J7355" s="14" t="s">
        <v>6012</v>
      </c>
      <c r="K7355" s="14" t="s">
        <v>6012</v>
      </c>
      <c r="L7355" s="14">
        <v>0.0</v>
      </c>
    </row>
    <row r="7356">
      <c r="A7356" s="14">
        <v>151.0</v>
      </c>
      <c r="B7356" s="14">
        <v>4.0</v>
      </c>
      <c r="C7356" s="34">
        <v>12.56</v>
      </c>
      <c r="D7356" s="36">
        <v>45739.0</v>
      </c>
      <c r="E7356" s="24"/>
      <c r="F7356" s="14">
        <v>3.14</v>
      </c>
      <c r="G7356" s="14">
        <v>83.18</v>
      </c>
      <c r="H7356" s="14">
        <v>2.65</v>
      </c>
      <c r="I7356" s="14" t="s">
        <v>6091</v>
      </c>
      <c r="J7356" s="14">
        <v>0.0</v>
      </c>
      <c r="K7356" s="14" t="s">
        <v>6012</v>
      </c>
      <c r="L7356" s="14">
        <v>0.0</v>
      </c>
    </row>
    <row r="7357">
      <c r="A7357" s="14">
        <v>116.0</v>
      </c>
      <c r="B7357" s="14">
        <v>0.0</v>
      </c>
      <c r="C7357" s="34">
        <v>10.78</v>
      </c>
      <c r="D7357" s="36">
        <v>45739.0</v>
      </c>
      <c r="E7357" s="24"/>
      <c r="F7357" s="14" t="s">
        <v>6012</v>
      </c>
      <c r="G7357" s="14">
        <v>92.93</v>
      </c>
      <c r="H7357" s="14">
        <v>0.0</v>
      </c>
      <c r="I7357" s="14" t="s">
        <v>6093</v>
      </c>
      <c r="J7357" s="14" t="s">
        <v>6012</v>
      </c>
      <c r="K7357" s="14" t="s">
        <v>6012</v>
      </c>
      <c r="L7357" s="14">
        <v>0.0</v>
      </c>
    </row>
    <row r="7358">
      <c r="A7358" s="14">
        <v>0.0</v>
      </c>
      <c r="B7358" s="14">
        <v>0.0</v>
      </c>
      <c r="C7358" s="34">
        <v>7.22</v>
      </c>
      <c r="D7358" s="36">
        <v>45739.0</v>
      </c>
      <c r="E7358" s="24"/>
      <c r="F7358" s="14" t="s">
        <v>6012</v>
      </c>
      <c r="G7358" s="14" t="s">
        <v>6012</v>
      </c>
      <c r="H7358" s="14" t="s">
        <v>6012</v>
      </c>
      <c r="I7358" s="14" t="s">
        <v>6088</v>
      </c>
      <c r="J7358" s="14" t="s">
        <v>6012</v>
      </c>
      <c r="K7358" s="14">
        <v>3.61</v>
      </c>
      <c r="L7358" s="14">
        <v>0.0</v>
      </c>
    </row>
    <row r="7359">
      <c r="A7359" s="14">
        <v>542.0</v>
      </c>
      <c r="B7359" s="14">
        <v>7.0</v>
      </c>
      <c r="C7359" s="34">
        <v>16.84</v>
      </c>
      <c r="D7359" s="36">
        <v>45739.0</v>
      </c>
      <c r="E7359" s="24"/>
      <c r="F7359" s="14">
        <v>2.41</v>
      </c>
      <c r="G7359" s="14">
        <v>31.07</v>
      </c>
      <c r="H7359" s="14">
        <v>1.29</v>
      </c>
      <c r="I7359" s="14" t="s">
        <v>6094</v>
      </c>
      <c r="J7359" s="14">
        <v>0.0</v>
      </c>
      <c r="K7359" s="14" t="s">
        <v>6012</v>
      </c>
      <c r="L7359" s="14">
        <v>0.0</v>
      </c>
    </row>
    <row r="7360">
      <c r="A7360" s="14">
        <v>69.0</v>
      </c>
      <c r="B7360" s="14">
        <v>0.0</v>
      </c>
      <c r="C7360" s="34">
        <v>8.93</v>
      </c>
      <c r="D7360" s="36">
        <v>45739.0</v>
      </c>
      <c r="E7360" s="24"/>
      <c r="F7360" s="14" t="s">
        <v>6012</v>
      </c>
      <c r="G7360" s="14">
        <v>129.42</v>
      </c>
      <c r="H7360" s="14">
        <v>0.0</v>
      </c>
      <c r="I7360" s="14" t="s">
        <v>6092</v>
      </c>
      <c r="J7360" s="14" t="s">
        <v>6012</v>
      </c>
      <c r="K7360" s="14" t="s">
        <v>6012</v>
      </c>
      <c r="L7360" s="14">
        <v>0.0</v>
      </c>
    </row>
    <row r="7361">
      <c r="A7361" s="14">
        <v>0.0</v>
      </c>
      <c r="B7361" s="14">
        <v>0.0</v>
      </c>
      <c r="C7361" s="34"/>
      <c r="D7361" s="36">
        <v>45739.0</v>
      </c>
      <c r="E7361" s="24"/>
      <c r="F7361" s="14" t="s">
        <v>6012</v>
      </c>
      <c r="G7361" s="14" t="s">
        <v>6012</v>
      </c>
      <c r="H7361" s="14" t="s">
        <v>6012</v>
      </c>
      <c r="I7361" s="14" t="s">
        <v>6082</v>
      </c>
      <c r="J7361" s="14" t="s">
        <v>6012</v>
      </c>
      <c r="K7361" s="14" t="s">
        <v>6012</v>
      </c>
      <c r="L7361" s="14"/>
    </row>
    <row r="7362">
      <c r="A7362" s="14">
        <v>0.0</v>
      </c>
      <c r="B7362" s="14">
        <v>0.0</v>
      </c>
      <c r="C7362" s="34"/>
      <c r="D7362" s="36">
        <v>45739.0</v>
      </c>
      <c r="E7362" s="24"/>
      <c r="F7362" s="14" t="s">
        <v>6012</v>
      </c>
      <c r="G7362" s="14" t="s">
        <v>6012</v>
      </c>
      <c r="H7362" s="14" t="s">
        <v>6012</v>
      </c>
      <c r="I7362" s="14" t="s">
        <v>6090</v>
      </c>
      <c r="J7362" s="14" t="s">
        <v>6012</v>
      </c>
      <c r="K7362" s="14" t="s">
        <v>6012</v>
      </c>
      <c r="L7362" s="14"/>
    </row>
    <row r="7363">
      <c r="A7363" s="14">
        <v>0.0</v>
      </c>
      <c r="B7363" s="14">
        <v>0.0</v>
      </c>
      <c r="C7363" s="34">
        <v>4.66</v>
      </c>
      <c r="D7363" s="36">
        <v>45739.0</v>
      </c>
      <c r="E7363" s="24"/>
      <c r="F7363" s="14" t="s">
        <v>6012</v>
      </c>
      <c r="G7363" s="14" t="s">
        <v>6012</v>
      </c>
      <c r="H7363" s="14" t="s">
        <v>6012</v>
      </c>
      <c r="I7363" s="14" t="s">
        <v>6064</v>
      </c>
      <c r="J7363" s="14" t="s">
        <v>6012</v>
      </c>
      <c r="K7363" s="14" t="s">
        <v>6012</v>
      </c>
      <c r="L7363" s="14">
        <v>1.0</v>
      </c>
    </row>
    <row r="7364">
      <c r="A7364" s="14">
        <v>32.0</v>
      </c>
      <c r="B7364" s="14">
        <v>0.0</v>
      </c>
      <c r="C7364" s="34">
        <v>8.77</v>
      </c>
      <c r="D7364" s="36">
        <v>45739.0</v>
      </c>
      <c r="E7364" s="24"/>
      <c r="F7364" s="14" t="s">
        <v>6012</v>
      </c>
      <c r="G7364" s="14">
        <v>274.06</v>
      </c>
      <c r="H7364" s="14">
        <v>0.0</v>
      </c>
      <c r="I7364" s="14" t="s">
        <v>6087</v>
      </c>
      <c r="J7364" s="14" t="s">
        <v>6012</v>
      </c>
      <c r="K7364" s="14">
        <v>2.19</v>
      </c>
      <c r="L7364" s="14">
        <v>0.0</v>
      </c>
    </row>
    <row r="7365">
      <c r="A7365" s="14">
        <v>0.0</v>
      </c>
      <c r="B7365" s="14">
        <v>0.0</v>
      </c>
      <c r="C7365" s="34"/>
      <c r="D7365" s="36">
        <v>45739.0</v>
      </c>
      <c r="E7365" s="24"/>
      <c r="F7365" s="14" t="s">
        <v>6012</v>
      </c>
      <c r="G7365" s="14" t="s">
        <v>6012</v>
      </c>
      <c r="H7365" s="14" t="s">
        <v>6012</v>
      </c>
      <c r="I7365" s="14" t="s">
        <v>6086</v>
      </c>
      <c r="J7365" s="14" t="s">
        <v>6012</v>
      </c>
      <c r="K7365" s="14" t="s">
        <v>6012</v>
      </c>
      <c r="L7365" s="14"/>
    </row>
    <row r="7366">
      <c r="A7366" s="14">
        <v>95.0</v>
      </c>
      <c r="B7366" s="14">
        <v>1.0</v>
      </c>
      <c r="C7366" s="34">
        <v>23.07</v>
      </c>
      <c r="D7366" s="36">
        <v>45740.0</v>
      </c>
      <c r="E7366" s="24"/>
      <c r="F7366" s="14">
        <v>23.07</v>
      </c>
      <c r="G7366" s="14">
        <v>242.84</v>
      </c>
      <c r="H7366" s="14">
        <v>1.05</v>
      </c>
      <c r="I7366" s="14" t="s">
        <v>6092</v>
      </c>
      <c r="J7366" s="14">
        <v>0.0</v>
      </c>
      <c r="K7366" s="14" t="s">
        <v>6012</v>
      </c>
      <c r="L7366" s="14">
        <v>0.0</v>
      </c>
    </row>
    <row r="7367">
      <c r="A7367" s="14">
        <v>0.0</v>
      </c>
      <c r="B7367" s="14">
        <v>0.0</v>
      </c>
      <c r="C7367" s="34">
        <v>10.68</v>
      </c>
      <c r="D7367" s="36">
        <v>45740.0</v>
      </c>
      <c r="E7367" s="24"/>
      <c r="F7367" s="14" t="s">
        <v>6012</v>
      </c>
      <c r="G7367" s="14" t="s">
        <v>6012</v>
      </c>
      <c r="H7367" s="14" t="s">
        <v>6012</v>
      </c>
      <c r="I7367" s="14" t="s">
        <v>6088</v>
      </c>
      <c r="J7367" s="14" t="s">
        <v>6012</v>
      </c>
      <c r="K7367" s="14">
        <v>0.76</v>
      </c>
      <c r="L7367" s="14">
        <v>0.0</v>
      </c>
    </row>
    <row r="7368">
      <c r="A7368" s="14">
        <v>0.0</v>
      </c>
      <c r="B7368" s="14">
        <v>0.0</v>
      </c>
      <c r="C7368" s="34"/>
      <c r="D7368" s="36">
        <v>45740.0</v>
      </c>
      <c r="E7368" s="24"/>
      <c r="F7368" s="14" t="s">
        <v>6012</v>
      </c>
      <c r="G7368" s="14" t="s">
        <v>6012</v>
      </c>
      <c r="H7368" s="14" t="s">
        <v>6012</v>
      </c>
      <c r="I7368" s="14" t="s">
        <v>6089</v>
      </c>
      <c r="J7368" s="14" t="s">
        <v>6012</v>
      </c>
      <c r="K7368" s="14" t="s">
        <v>6012</v>
      </c>
      <c r="L7368" s="14"/>
    </row>
    <row r="7369">
      <c r="A7369" s="14">
        <v>0.0</v>
      </c>
      <c r="B7369" s="14">
        <v>0.0</v>
      </c>
      <c r="C7369" s="34"/>
      <c r="D7369" s="36">
        <v>45740.0</v>
      </c>
      <c r="E7369" s="24"/>
      <c r="F7369" s="14" t="s">
        <v>6012</v>
      </c>
      <c r="G7369" s="14" t="s">
        <v>6012</v>
      </c>
      <c r="H7369" s="14" t="s">
        <v>6012</v>
      </c>
      <c r="I7369" s="14" t="s">
        <v>6086</v>
      </c>
      <c r="J7369" s="14" t="s">
        <v>6012</v>
      </c>
      <c r="K7369" s="14" t="s">
        <v>6012</v>
      </c>
      <c r="L7369" s="14"/>
    </row>
    <row r="7370">
      <c r="A7370" s="14">
        <v>197.0</v>
      </c>
      <c r="B7370" s="14">
        <v>9.0</v>
      </c>
      <c r="C7370" s="34">
        <v>25.4</v>
      </c>
      <c r="D7370" s="36">
        <v>45740.0</v>
      </c>
      <c r="E7370" s="24"/>
      <c r="F7370" s="14">
        <v>2.82</v>
      </c>
      <c r="G7370" s="14">
        <v>128.93</v>
      </c>
      <c r="H7370" s="14">
        <v>4.57</v>
      </c>
      <c r="I7370" s="14" t="s">
        <v>6091</v>
      </c>
      <c r="J7370" s="14">
        <v>0.0</v>
      </c>
      <c r="K7370" s="14" t="s">
        <v>6012</v>
      </c>
      <c r="L7370" s="14">
        <v>0.0</v>
      </c>
    </row>
    <row r="7371">
      <c r="A7371" s="14">
        <v>0.0</v>
      </c>
      <c r="B7371" s="14">
        <v>0.0</v>
      </c>
      <c r="C7371" s="34">
        <v>12.29</v>
      </c>
      <c r="D7371" s="36">
        <v>45740.0</v>
      </c>
      <c r="E7371" s="24"/>
      <c r="F7371" s="14" t="s">
        <v>6012</v>
      </c>
      <c r="G7371" s="14" t="s">
        <v>6012</v>
      </c>
      <c r="H7371" s="14" t="s">
        <v>6012</v>
      </c>
      <c r="I7371" s="14" t="s">
        <v>6064</v>
      </c>
      <c r="J7371" s="14" t="s">
        <v>6012</v>
      </c>
      <c r="K7371" s="14" t="s">
        <v>6012</v>
      </c>
      <c r="L7371" s="14">
        <v>0.0</v>
      </c>
    </row>
    <row r="7372">
      <c r="A7372" s="14">
        <v>0.0</v>
      </c>
      <c r="B7372" s="14">
        <v>0.0</v>
      </c>
      <c r="C7372" s="34"/>
      <c r="D7372" s="36">
        <v>45740.0</v>
      </c>
      <c r="E7372" s="24"/>
      <c r="F7372" s="14" t="s">
        <v>6012</v>
      </c>
      <c r="G7372" s="14" t="s">
        <v>6012</v>
      </c>
      <c r="H7372" s="14" t="s">
        <v>6012</v>
      </c>
      <c r="I7372" s="14" t="s">
        <v>6090</v>
      </c>
      <c r="J7372" s="14" t="s">
        <v>6012</v>
      </c>
      <c r="K7372" s="14" t="s">
        <v>6012</v>
      </c>
      <c r="L7372" s="14"/>
    </row>
    <row r="7373">
      <c r="A7373" s="14">
        <v>72.0</v>
      </c>
      <c r="B7373" s="14">
        <v>0.0</v>
      </c>
      <c r="C7373" s="34">
        <v>20.92</v>
      </c>
      <c r="D7373" s="36">
        <v>45740.0</v>
      </c>
      <c r="E7373" s="24"/>
      <c r="F7373" s="14" t="s">
        <v>6012</v>
      </c>
      <c r="G7373" s="14">
        <v>290.56</v>
      </c>
      <c r="H7373" s="14">
        <v>0.0</v>
      </c>
      <c r="I7373" s="14" t="s">
        <v>6087</v>
      </c>
      <c r="J7373" s="14" t="s">
        <v>6012</v>
      </c>
      <c r="K7373" s="14">
        <v>1.49</v>
      </c>
      <c r="L7373" s="14">
        <v>0.0</v>
      </c>
    </row>
    <row r="7374">
      <c r="A7374" s="14">
        <v>531.0</v>
      </c>
      <c r="B7374" s="14">
        <v>10.0</v>
      </c>
      <c r="C7374" s="34">
        <v>23.12</v>
      </c>
      <c r="D7374" s="36">
        <v>45740.0</v>
      </c>
      <c r="E7374" s="24"/>
      <c r="F7374" s="14">
        <v>2.31</v>
      </c>
      <c r="G7374" s="14">
        <v>43.54</v>
      </c>
      <c r="H7374" s="14">
        <v>1.88</v>
      </c>
      <c r="I7374" s="14" t="s">
        <v>6094</v>
      </c>
      <c r="J7374" s="14">
        <v>0.0</v>
      </c>
      <c r="K7374" s="14" t="s">
        <v>6012</v>
      </c>
      <c r="L7374" s="14">
        <v>0.0</v>
      </c>
    </row>
    <row r="7375">
      <c r="A7375" s="14">
        <v>386.0</v>
      </c>
      <c r="B7375" s="14">
        <v>2.0</v>
      </c>
      <c r="C7375" s="34">
        <v>20.9</v>
      </c>
      <c r="D7375" s="36">
        <v>45740.0</v>
      </c>
      <c r="E7375" s="24"/>
      <c r="F7375" s="14">
        <v>10.45</v>
      </c>
      <c r="G7375" s="14">
        <v>54.15</v>
      </c>
      <c r="H7375" s="14">
        <v>0.52</v>
      </c>
      <c r="I7375" s="14" t="s">
        <v>6093</v>
      </c>
      <c r="J7375" s="14">
        <v>0.0</v>
      </c>
      <c r="K7375" s="14" t="s">
        <v>6012</v>
      </c>
      <c r="L7375" s="14">
        <v>0.0</v>
      </c>
    </row>
    <row r="7376">
      <c r="A7376" s="14">
        <v>0.0</v>
      </c>
      <c r="B7376" s="14">
        <v>0.0</v>
      </c>
      <c r="C7376" s="34"/>
      <c r="D7376" s="36">
        <v>45740.0</v>
      </c>
      <c r="E7376" s="24"/>
      <c r="F7376" s="14" t="s">
        <v>6012</v>
      </c>
      <c r="G7376" s="14" t="s">
        <v>6012</v>
      </c>
      <c r="H7376" s="14" t="s">
        <v>6012</v>
      </c>
      <c r="I7376" s="14" t="s">
        <v>6082</v>
      </c>
      <c r="J7376" s="14" t="s">
        <v>6012</v>
      </c>
      <c r="K7376" s="14" t="s">
        <v>6012</v>
      </c>
      <c r="L7376" s="14"/>
    </row>
    <row r="7377">
      <c r="A7377" s="14">
        <v>193.0</v>
      </c>
      <c r="B7377" s="14">
        <v>1.0</v>
      </c>
      <c r="C7377" s="34">
        <v>22.0</v>
      </c>
      <c r="D7377" s="36">
        <v>45741.0</v>
      </c>
      <c r="E7377" s="24"/>
      <c r="F7377" s="14">
        <v>22.0</v>
      </c>
      <c r="G7377" s="14">
        <v>113.99</v>
      </c>
      <c r="H7377" s="14">
        <v>0.52</v>
      </c>
      <c r="I7377" s="14" t="s">
        <v>6093</v>
      </c>
      <c r="J7377" s="14">
        <v>0.0</v>
      </c>
      <c r="K7377" s="14" t="s">
        <v>6012</v>
      </c>
      <c r="L7377" s="14">
        <v>0.0</v>
      </c>
    </row>
    <row r="7378">
      <c r="A7378" s="14">
        <v>0.0</v>
      </c>
      <c r="B7378" s="14">
        <v>0.0</v>
      </c>
      <c r="C7378" s="34">
        <v>12.62</v>
      </c>
      <c r="D7378" s="36">
        <v>45741.0</v>
      </c>
      <c r="E7378" s="24"/>
      <c r="F7378" s="14" t="s">
        <v>6012</v>
      </c>
      <c r="G7378" s="14" t="s">
        <v>6012</v>
      </c>
      <c r="H7378" s="14" t="s">
        <v>6012</v>
      </c>
      <c r="I7378" s="14" t="s">
        <v>6064</v>
      </c>
      <c r="J7378" s="14" t="s">
        <v>6012</v>
      </c>
      <c r="K7378" s="14" t="s">
        <v>6012</v>
      </c>
      <c r="L7378" s="14">
        <v>0.0</v>
      </c>
    </row>
    <row r="7379">
      <c r="A7379" s="14">
        <v>0.0</v>
      </c>
      <c r="B7379" s="14">
        <v>0.0</v>
      </c>
      <c r="C7379" s="34"/>
      <c r="D7379" s="36">
        <v>45741.0</v>
      </c>
      <c r="E7379" s="24"/>
      <c r="F7379" s="14" t="s">
        <v>6012</v>
      </c>
      <c r="G7379" s="14" t="s">
        <v>6012</v>
      </c>
      <c r="H7379" s="14" t="s">
        <v>6012</v>
      </c>
      <c r="I7379" s="14" t="s">
        <v>6090</v>
      </c>
      <c r="J7379" s="14" t="s">
        <v>6012</v>
      </c>
      <c r="K7379" s="14" t="s">
        <v>6012</v>
      </c>
      <c r="L7379" s="14"/>
    </row>
    <row r="7380">
      <c r="A7380" s="14">
        <v>0.0</v>
      </c>
      <c r="B7380" s="14">
        <v>0.0</v>
      </c>
      <c r="C7380" s="34"/>
      <c r="D7380" s="36">
        <v>45741.0</v>
      </c>
      <c r="E7380" s="24"/>
      <c r="F7380" s="14" t="s">
        <v>6012</v>
      </c>
      <c r="G7380" s="14" t="s">
        <v>6012</v>
      </c>
      <c r="H7380" s="14" t="s">
        <v>6012</v>
      </c>
      <c r="I7380" s="14" t="s">
        <v>6082</v>
      </c>
      <c r="J7380" s="14" t="s">
        <v>6012</v>
      </c>
      <c r="K7380" s="14" t="s">
        <v>6012</v>
      </c>
      <c r="L7380" s="14"/>
    </row>
    <row r="7381">
      <c r="A7381" s="14">
        <v>0.0</v>
      </c>
      <c r="B7381" s="14">
        <v>0.0</v>
      </c>
      <c r="C7381" s="34">
        <v>11.18</v>
      </c>
      <c r="D7381" s="36">
        <v>45741.0</v>
      </c>
      <c r="E7381" s="24"/>
      <c r="F7381" s="14" t="s">
        <v>6012</v>
      </c>
      <c r="G7381" s="14" t="s">
        <v>6012</v>
      </c>
      <c r="H7381" s="14" t="s">
        <v>6012</v>
      </c>
      <c r="I7381" s="14" t="s">
        <v>6088</v>
      </c>
      <c r="J7381" s="14" t="s">
        <v>6012</v>
      </c>
      <c r="K7381" s="14">
        <v>0.7</v>
      </c>
      <c r="L7381" s="14">
        <v>0.0</v>
      </c>
    </row>
    <row r="7382">
      <c r="A7382" s="14">
        <v>82.0</v>
      </c>
      <c r="B7382" s="14">
        <v>0.0</v>
      </c>
      <c r="C7382" s="34">
        <v>22.39</v>
      </c>
      <c r="D7382" s="36">
        <v>45741.0</v>
      </c>
      <c r="E7382" s="24"/>
      <c r="F7382" s="14" t="s">
        <v>6012</v>
      </c>
      <c r="G7382" s="14">
        <v>273.05</v>
      </c>
      <c r="H7382" s="14">
        <v>0.0</v>
      </c>
      <c r="I7382" s="14" t="s">
        <v>6087</v>
      </c>
      <c r="J7382" s="14" t="s">
        <v>6012</v>
      </c>
      <c r="K7382" s="14">
        <v>1.87</v>
      </c>
      <c r="L7382" s="14">
        <v>0.0</v>
      </c>
    </row>
    <row r="7383">
      <c r="A7383" s="14">
        <v>988.0</v>
      </c>
      <c r="B7383" s="14">
        <v>17.0</v>
      </c>
      <c r="C7383" s="34">
        <v>24.15</v>
      </c>
      <c r="D7383" s="36">
        <v>45741.0</v>
      </c>
      <c r="E7383" s="24"/>
      <c r="F7383" s="14">
        <v>1.42</v>
      </c>
      <c r="G7383" s="14">
        <v>24.44</v>
      </c>
      <c r="H7383" s="14">
        <v>1.72</v>
      </c>
      <c r="I7383" s="14" t="s">
        <v>6094</v>
      </c>
      <c r="J7383" s="14">
        <v>0.0</v>
      </c>
      <c r="K7383" s="14" t="s">
        <v>6012</v>
      </c>
      <c r="L7383" s="14">
        <v>0.0</v>
      </c>
    </row>
    <row r="7384">
      <c r="A7384" s="14">
        <v>0.0</v>
      </c>
      <c r="B7384" s="14">
        <v>0.0</v>
      </c>
      <c r="C7384" s="34"/>
      <c r="D7384" s="36">
        <v>45741.0</v>
      </c>
      <c r="E7384" s="24"/>
      <c r="F7384" s="14" t="s">
        <v>6012</v>
      </c>
      <c r="G7384" s="14" t="s">
        <v>6012</v>
      </c>
      <c r="H7384" s="14" t="s">
        <v>6012</v>
      </c>
      <c r="I7384" s="14" t="s">
        <v>6086</v>
      </c>
      <c r="J7384" s="14" t="s">
        <v>6012</v>
      </c>
      <c r="K7384" s="14" t="s">
        <v>6012</v>
      </c>
      <c r="L7384" s="14"/>
    </row>
    <row r="7385">
      <c r="A7385" s="14">
        <v>128.0</v>
      </c>
      <c r="B7385" s="14">
        <v>0.0</v>
      </c>
      <c r="C7385" s="34">
        <v>24.93</v>
      </c>
      <c r="D7385" s="36">
        <v>45741.0</v>
      </c>
      <c r="E7385" s="24"/>
      <c r="F7385" s="14" t="s">
        <v>6012</v>
      </c>
      <c r="G7385" s="14">
        <v>194.77</v>
      </c>
      <c r="H7385" s="14">
        <v>0.0</v>
      </c>
      <c r="I7385" s="14" t="s">
        <v>6092</v>
      </c>
      <c r="J7385" s="14" t="s">
        <v>6012</v>
      </c>
      <c r="K7385" s="14" t="s">
        <v>6012</v>
      </c>
      <c r="L7385" s="14">
        <v>0.0</v>
      </c>
    </row>
    <row r="7386">
      <c r="A7386" s="14">
        <v>241.0</v>
      </c>
      <c r="B7386" s="14">
        <v>9.0</v>
      </c>
      <c r="C7386" s="34">
        <v>25.9</v>
      </c>
      <c r="D7386" s="36">
        <v>45741.0</v>
      </c>
      <c r="E7386" s="24"/>
      <c r="F7386" s="14">
        <v>2.88</v>
      </c>
      <c r="G7386" s="14">
        <v>107.47</v>
      </c>
      <c r="H7386" s="14">
        <v>3.73</v>
      </c>
      <c r="I7386" s="14" t="s">
        <v>6091</v>
      </c>
      <c r="J7386" s="14">
        <v>0.0</v>
      </c>
      <c r="K7386" s="14" t="s">
        <v>6012</v>
      </c>
      <c r="L7386" s="14">
        <v>0.0</v>
      </c>
    </row>
    <row r="7387">
      <c r="A7387" s="14">
        <v>0.0</v>
      </c>
      <c r="B7387" s="14">
        <v>0.0</v>
      </c>
      <c r="C7387" s="34"/>
      <c r="D7387" s="36">
        <v>45741.0</v>
      </c>
      <c r="E7387" s="24"/>
      <c r="F7387" s="14" t="s">
        <v>6012</v>
      </c>
      <c r="G7387" s="14" t="s">
        <v>6012</v>
      </c>
      <c r="H7387" s="14" t="s">
        <v>6012</v>
      </c>
      <c r="I7387" s="14" t="s">
        <v>6089</v>
      </c>
      <c r="J7387" s="14" t="s">
        <v>6012</v>
      </c>
      <c r="K7387" s="14" t="s">
        <v>6012</v>
      </c>
      <c r="L7387" s="14"/>
    </row>
    <row r="7388">
      <c r="A7388" s="14">
        <v>0.0</v>
      </c>
      <c r="B7388" s="14">
        <v>0.0</v>
      </c>
      <c r="C7388" s="34"/>
      <c r="D7388" s="36">
        <v>45742.0</v>
      </c>
      <c r="E7388" s="24"/>
      <c r="F7388" s="14" t="s">
        <v>6012</v>
      </c>
      <c r="G7388" s="14" t="s">
        <v>6012</v>
      </c>
      <c r="H7388" s="14" t="s">
        <v>6012</v>
      </c>
      <c r="I7388" s="14" t="s">
        <v>6082</v>
      </c>
      <c r="J7388" s="14" t="s">
        <v>6012</v>
      </c>
      <c r="K7388" s="14" t="s">
        <v>6012</v>
      </c>
      <c r="L7388" s="14"/>
    </row>
    <row r="7389">
      <c r="A7389" s="14">
        <v>107.0</v>
      </c>
      <c r="B7389" s="14">
        <v>1.0</v>
      </c>
      <c r="C7389" s="34">
        <v>24.0</v>
      </c>
      <c r="D7389" s="36">
        <v>45742.0</v>
      </c>
      <c r="E7389" s="24"/>
      <c r="F7389" s="14">
        <v>24.0</v>
      </c>
      <c r="G7389" s="14">
        <v>224.3</v>
      </c>
      <c r="H7389" s="14">
        <v>0.93</v>
      </c>
      <c r="I7389" s="14" t="s">
        <v>6092</v>
      </c>
      <c r="J7389" s="14">
        <v>0.0</v>
      </c>
      <c r="K7389" s="14" t="s">
        <v>6012</v>
      </c>
      <c r="L7389" s="14">
        <v>0.0</v>
      </c>
    </row>
    <row r="7390">
      <c r="A7390" s="14">
        <v>0.0</v>
      </c>
      <c r="B7390" s="14">
        <v>0.0</v>
      </c>
      <c r="C7390" s="34"/>
      <c r="D7390" s="36">
        <v>45742.0</v>
      </c>
      <c r="E7390" s="24"/>
      <c r="F7390" s="14" t="s">
        <v>6012</v>
      </c>
      <c r="G7390" s="14" t="s">
        <v>6012</v>
      </c>
      <c r="H7390" s="14" t="s">
        <v>6012</v>
      </c>
      <c r="I7390" s="14" t="s">
        <v>6090</v>
      </c>
      <c r="J7390" s="14" t="s">
        <v>6012</v>
      </c>
      <c r="K7390" s="14" t="s">
        <v>6012</v>
      </c>
      <c r="L7390" s="14"/>
    </row>
    <row r="7391">
      <c r="A7391" s="14">
        <v>363.0</v>
      </c>
      <c r="B7391" s="14">
        <v>14.0</v>
      </c>
      <c r="C7391" s="34">
        <v>25.48</v>
      </c>
      <c r="D7391" s="36">
        <v>45742.0</v>
      </c>
      <c r="E7391" s="24"/>
      <c r="F7391" s="14">
        <v>1.82</v>
      </c>
      <c r="G7391" s="14">
        <v>70.19</v>
      </c>
      <c r="H7391" s="14">
        <v>3.86</v>
      </c>
      <c r="I7391" s="14" t="s">
        <v>6091</v>
      </c>
      <c r="J7391" s="14">
        <v>0.0</v>
      </c>
      <c r="K7391" s="14" t="s">
        <v>6012</v>
      </c>
      <c r="L7391" s="14">
        <v>0.0</v>
      </c>
    </row>
    <row r="7392">
      <c r="A7392" s="14">
        <v>60.0</v>
      </c>
      <c r="B7392" s="14">
        <v>0.0</v>
      </c>
      <c r="C7392" s="34">
        <v>22.27</v>
      </c>
      <c r="D7392" s="36">
        <v>45742.0</v>
      </c>
      <c r="E7392" s="24"/>
      <c r="F7392" s="14" t="s">
        <v>6012</v>
      </c>
      <c r="G7392" s="14">
        <v>371.17</v>
      </c>
      <c r="H7392" s="14">
        <v>0.0</v>
      </c>
      <c r="I7392" s="14" t="s">
        <v>6087</v>
      </c>
      <c r="J7392" s="14" t="s">
        <v>6012</v>
      </c>
      <c r="K7392" s="14">
        <v>0.8</v>
      </c>
      <c r="L7392" s="14">
        <v>0.0</v>
      </c>
    </row>
    <row r="7393">
      <c r="A7393" s="14">
        <v>0.0</v>
      </c>
      <c r="B7393" s="14">
        <v>0.0</v>
      </c>
      <c r="C7393" s="34">
        <v>11.36</v>
      </c>
      <c r="D7393" s="36">
        <v>45742.0</v>
      </c>
      <c r="E7393" s="24"/>
      <c r="F7393" s="14" t="s">
        <v>6012</v>
      </c>
      <c r="G7393" s="14" t="s">
        <v>6012</v>
      </c>
      <c r="H7393" s="14" t="s">
        <v>6012</v>
      </c>
      <c r="I7393" s="14" t="s">
        <v>6064</v>
      </c>
      <c r="J7393" s="14" t="s">
        <v>6012</v>
      </c>
      <c r="K7393" s="14" t="s">
        <v>6012</v>
      </c>
      <c r="L7393" s="14">
        <v>0.0</v>
      </c>
    </row>
    <row r="7394">
      <c r="A7394" s="14">
        <v>180.0</v>
      </c>
      <c r="B7394" s="14">
        <v>0.0</v>
      </c>
      <c r="C7394" s="34">
        <v>21.74</v>
      </c>
      <c r="D7394" s="36">
        <v>45742.0</v>
      </c>
      <c r="E7394" s="24"/>
      <c r="F7394" s="14" t="s">
        <v>6012</v>
      </c>
      <c r="G7394" s="14">
        <v>120.78</v>
      </c>
      <c r="H7394" s="14">
        <v>0.0</v>
      </c>
      <c r="I7394" s="14" t="s">
        <v>6093</v>
      </c>
      <c r="J7394" s="14" t="s">
        <v>6012</v>
      </c>
      <c r="K7394" s="14" t="s">
        <v>6012</v>
      </c>
      <c r="L7394" s="14">
        <v>0.0</v>
      </c>
    </row>
    <row r="7395">
      <c r="A7395" s="14">
        <v>553.0</v>
      </c>
      <c r="B7395" s="14">
        <v>9.0</v>
      </c>
      <c r="C7395" s="34">
        <v>24.44</v>
      </c>
      <c r="D7395" s="36">
        <v>45742.0</v>
      </c>
      <c r="E7395" s="24"/>
      <c r="F7395" s="14">
        <v>2.72</v>
      </c>
      <c r="G7395" s="14">
        <v>44.2</v>
      </c>
      <c r="H7395" s="14">
        <v>1.63</v>
      </c>
      <c r="I7395" s="14" t="s">
        <v>6094</v>
      </c>
      <c r="J7395" s="14">
        <v>0.0</v>
      </c>
      <c r="K7395" s="14" t="s">
        <v>6012</v>
      </c>
      <c r="L7395" s="14">
        <v>0.0</v>
      </c>
    </row>
    <row r="7396">
      <c r="A7396" s="14">
        <v>0.0</v>
      </c>
      <c r="B7396" s="14">
        <v>0.0</v>
      </c>
      <c r="C7396" s="34"/>
      <c r="D7396" s="36">
        <v>45742.0</v>
      </c>
      <c r="E7396" s="24"/>
      <c r="F7396" s="14" t="s">
        <v>6012</v>
      </c>
      <c r="G7396" s="14" t="s">
        <v>6012</v>
      </c>
      <c r="H7396" s="14" t="s">
        <v>6012</v>
      </c>
      <c r="I7396" s="14" t="s">
        <v>6086</v>
      </c>
      <c r="J7396" s="14" t="s">
        <v>6012</v>
      </c>
      <c r="K7396" s="14" t="s">
        <v>6012</v>
      </c>
      <c r="L7396" s="14"/>
    </row>
    <row r="7397">
      <c r="A7397" s="14">
        <v>0.0</v>
      </c>
      <c r="B7397" s="14">
        <v>0.0</v>
      </c>
      <c r="C7397" s="34"/>
      <c r="D7397" s="36">
        <v>45742.0</v>
      </c>
      <c r="E7397" s="24"/>
      <c r="F7397" s="14" t="s">
        <v>6012</v>
      </c>
      <c r="G7397" s="14" t="s">
        <v>6012</v>
      </c>
      <c r="H7397" s="14" t="s">
        <v>6012</v>
      </c>
      <c r="I7397" s="14" t="s">
        <v>6089</v>
      </c>
      <c r="J7397" s="14" t="s">
        <v>6012</v>
      </c>
      <c r="K7397" s="14" t="s">
        <v>6012</v>
      </c>
      <c r="L7397" s="14"/>
    </row>
    <row r="7398">
      <c r="A7398" s="14">
        <v>0.0</v>
      </c>
      <c r="B7398" s="14">
        <v>0.0</v>
      </c>
      <c r="C7398" s="34">
        <v>10.44</v>
      </c>
      <c r="D7398" s="36">
        <v>45742.0</v>
      </c>
      <c r="E7398" s="24"/>
      <c r="F7398" s="14" t="s">
        <v>6012</v>
      </c>
      <c r="G7398" s="14" t="s">
        <v>6012</v>
      </c>
      <c r="H7398" s="14" t="s">
        <v>6012</v>
      </c>
      <c r="I7398" s="14" t="s">
        <v>6088</v>
      </c>
      <c r="J7398" s="14" t="s">
        <v>6012</v>
      </c>
      <c r="K7398" s="14">
        <v>0.31</v>
      </c>
      <c r="L7398" s="14">
        <v>0.0</v>
      </c>
    </row>
    <row r="7399">
      <c r="A7399" s="14">
        <v>126.0</v>
      </c>
      <c r="B7399" s="14">
        <v>2.0</v>
      </c>
      <c r="C7399" s="34">
        <v>23.98</v>
      </c>
      <c r="D7399" s="36">
        <v>45743.0</v>
      </c>
      <c r="E7399" s="24"/>
      <c r="F7399" s="14">
        <v>11.99</v>
      </c>
      <c r="G7399" s="14">
        <v>190.32</v>
      </c>
      <c r="H7399" s="14">
        <v>1.59</v>
      </c>
      <c r="I7399" s="14" t="s">
        <v>6092</v>
      </c>
      <c r="J7399" s="14">
        <v>0.0</v>
      </c>
      <c r="K7399" s="14" t="s">
        <v>6012</v>
      </c>
      <c r="L7399" s="14">
        <v>0.0</v>
      </c>
    </row>
    <row r="7400">
      <c r="A7400" s="14">
        <v>180.0</v>
      </c>
      <c r="B7400" s="14">
        <v>3.0</v>
      </c>
      <c r="C7400" s="34">
        <v>21.34</v>
      </c>
      <c r="D7400" s="36">
        <v>45743.0</v>
      </c>
      <c r="E7400" s="24"/>
      <c r="F7400" s="14">
        <v>7.11</v>
      </c>
      <c r="G7400" s="14">
        <v>118.56</v>
      </c>
      <c r="H7400" s="14">
        <v>1.67</v>
      </c>
      <c r="I7400" s="14" t="s">
        <v>6093</v>
      </c>
      <c r="J7400" s="14">
        <v>0.0</v>
      </c>
      <c r="K7400" s="14" t="s">
        <v>6012</v>
      </c>
      <c r="L7400" s="14">
        <v>0.0</v>
      </c>
    </row>
    <row r="7401">
      <c r="A7401" s="14">
        <v>281.0</v>
      </c>
      <c r="B7401" s="14">
        <v>13.0</v>
      </c>
      <c r="C7401" s="34">
        <v>26.18</v>
      </c>
      <c r="D7401" s="36">
        <v>45743.0</v>
      </c>
      <c r="E7401" s="24"/>
      <c r="F7401" s="14">
        <v>2.01</v>
      </c>
      <c r="G7401" s="14">
        <v>93.17</v>
      </c>
      <c r="H7401" s="14">
        <v>4.63</v>
      </c>
      <c r="I7401" s="14" t="s">
        <v>6091</v>
      </c>
      <c r="J7401" s="14">
        <v>0.0</v>
      </c>
      <c r="K7401" s="14" t="s">
        <v>6012</v>
      </c>
      <c r="L7401" s="14">
        <v>0.0</v>
      </c>
    </row>
    <row r="7402">
      <c r="A7402" s="14">
        <v>67.0</v>
      </c>
      <c r="B7402" s="14">
        <v>1.0</v>
      </c>
      <c r="C7402" s="34">
        <v>21.36</v>
      </c>
      <c r="D7402" s="36">
        <v>45743.0</v>
      </c>
      <c r="E7402" s="24"/>
      <c r="F7402" s="14">
        <v>21.36</v>
      </c>
      <c r="G7402" s="14">
        <v>318.81</v>
      </c>
      <c r="H7402" s="14">
        <v>1.49</v>
      </c>
      <c r="I7402" s="14" t="s">
        <v>6087</v>
      </c>
      <c r="J7402" s="14">
        <v>600.0</v>
      </c>
      <c r="K7402" s="14">
        <v>3.56</v>
      </c>
      <c r="L7402" s="14">
        <v>0.0</v>
      </c>
    </row>
    <row r="7403">
      <c r="A7403" s="14">
        <v>0.0</v>
      </c>
      <c r="B7403" s="14">
        <v>0.0</v>
      </c>
      <c r="C7403" s="34"/>
      <c r="D7403" s="36">
        <v>45743.0</v>
      </c>
      <c r="E7403" s="24"/>
      <c r="F7403" s="14" t="s">
        <v>6012</v>
      </c>
      <c r="G7403" s="14" t="s">
        <v>6012</v>
      </c>
      <c r="H7403" s="14" t="s">
        <v>6012</v>
      </c>
      <c r="I7403" s="14" t="s">
        <v>6086</v>
      </c>
      <c r="J7403" s="14" t="s">
        <v>6012</v>
      </c>
      <c r="K7403" s="14" t="s">
        <v>6012</v>
      </c>
      <c r="L7403" s="14"/>
    </row>
    <row r="7404">
      <c r="A7404" s="14">
        <v>0.0</v>
      </c>
      <c r="B7404" s="14">
        <v>0.0</v>
      </c>
      <c r="C7404" s="34"/>
      <c r="D7404" s="36">
        <v>45743.0</v>
      </c>
      <c r="E7404" s="24"/>
      <c r="F7404" s="14" t="s">
        <v>6012</v>
      </c>
      <c r="G7404" s="14" t="s">
        <v>6012</v>
      </c>
      <c r="H7404" s="14" t="s">
        <v>6012</v>
      </c>
      <c r="I7404" s="14" t="s">
        <v>6090</v>
      </c>
      <c r="J7404" s="14" t="s">
        <v>6012</v>
      </c>
      <c r="K7404" s="14" t="s">
        <v>6012</v>
      </c>
      <c r="L7404" s="14"/>
    </row>
    <row r="7405">
      <c r="A7405" s="14">
        <v>0.0</v>
      </c>
      <c r="B7405" s="14">
        <v>0.0</v>
      </c>
      <c r="C7405" s="34">
        <v>13.07</v>
      </c>
      <c r="D7405" s="36">
        <v>45743.0</v>
      </c>
      <c r="E7405" s="24"/>
      <c r="F7405" s="14" t="s">
        <v>6012</v>
      </c>
      <c r="G7405" s="14" t="s">
        <v>6012</v>
      </c>
      <c r="H7405" s="14" t="s">
        <v>6012</v>
      </c>
      <c r="I7405" s="14" t="s">
        <v>6088</v>
      </c>
      <c r="J7405" s="14" t="s">
        <v>6012</v>
      </c>
      <c r="K7405" s="14">
        <v>1.01</v>
      </c>
      <c r="L7405" s="14">
        <v>0.0</v>
      </c>
    </row>
    <row r="7406">
      <c r="A7406" s="14">
        <v>0.0</v>
      </c>
      <c r="B7406" s="14">
        <v>0.0</v>
      </c>
      <c r="C7406" s="34">
        <v>11.94</v>
      </c>
      <c r="D7406" s="36">
        <v>45743.0</v>
      </c>
      <c r="E7406" s="24"/>
      <c r="F7406" s="14" t="s">
        <v>6012</v>
      </c>
      <c r="G7406" s="14" t="s">
        <v>6012</v>
      </c>
      <c r="H7406" s="14" t="s">
        <v>6012</v>
      </c>
      <c r="I7406" s="14" t="s">
        <v>6064</v>
      </c>
      <c r="J7406" s="14" t="s">
        <v>6012</v>
      </c>
      <c r="K7406" s="14" t="s">
        <v>6012</v>
      </c>
      <c r="L7406" s="14">
        <v>0.0</v>
      </c>
    </row>
    <row r="7407">
      <c r="A7407" s="14">
        <v>0.0</v>
      </c>
      <c r="B7407" s="14">
        <v>0.0</v>
      </c>
      <c r="C7407" s="34"/>
      <c r="D7407" s="36">
        <v>45743.0</v>
      </c>
      <c r="E7407" s="24"/>
      <c r="F7407" s="14" t="s">
        <v>6012</v>
      </c>
      <c r="G7407" s="14" t="s">
        <v>6012</v>
      </c>
      <c r="H7407" s="14" t="s">
        <v>6012</v>
      </c>
      <c r="I7407" s="14" t="s">
        <v>6089</v>
      </c>
      <c r="J7407" s="14" t="s">
        <v>6012</v>
      </c>
      <c r="K7407" s="14" t="s">
        <v>6012</v>
      </c>
      <c r="L7407" s="14"/>
    </row>
    <row r="7408">
      <c r="A7408" s="14">
        <v>0.0</v>
      </c>
      <c r="B7408" s="14">
        <v>0.0</v>
      </c>
      <c r="C7408" s="34"/>
      <c r="D7408" s="36">
        <v>45743.0</v>
      </c>
      <c r="E7408" s="24"/>
      <c r="F7408" s="14" t="s">
        <v>6012</v>
      </c>
      <c r="G7408" s="14" t="s">
        <v>6012</v>
      </c>
      <c r="H7408" s="14" t="s">
        <v>6012</v>
      </c>
      <c r="I7408" s="14" t="s">
        <v>6082</v>
      </c>
      <c r="J7408" s="14" t="s">
        <v>6012</v>
      </c>
      <c r="K7408" s="14" t="s">
        <v>6012</v>
      </c>
      <c r="L7408" s="14"/>
    </row>
    <row r="7409">
      <c r="A7409" s="14">
        <v>333.0</v>
      </c>
      <c r="B7409" s="14">
        <v>6.0</v>
      </c>
      <c r="C7409" s="34">
        <v>23.78</v>
      </c>
      <c r="D7409" s="36">
        <v>45743.0</v>
      </c>
      <c r="E7409" s="24"/>
      <c r="F7409" s="14">
        <v>3.96</v>
      </c>
      <c r="G7409" s="14">
        <v>71.41</v>
      </c>
      <c r="H7409" s="14">
        <v>1.8</v>
      </c>
      <c r="I7409" s="14" t="s">
        <v>6094</v>
      </c>
      <c r="J7409" s="14">
        <v>0.0</v>
      </c>
      <c r="K7409" s="14" t="s">
        <v>6012</v>
      </c>
      <c r="L7409" s="14">
        <v>0.0</v>
      </c>
    </row>
    <row r="7410">
      <c r="A7410" s="14">
        <v>339.0</v>
      </c>
      <c r="B7410" s="14">
        <v>13.0</v>
      </c>
      <c r="C7410" s="34">
        <v>25.44</v>
      </c>
      <c r="D7410" s="36">
        <v>45744.0</v>
      </c>
      <c r="E7410" s="24"/>
      <c r="F7410" s="14">
        <v>1.96</v>
      </c>
      <c r="G7410" s="14">
        <v>75.04</v>
      </c>
      <c r="H7410" s="14">
        <v>3.83</v>
      </c>
      <c r="I7410" s="14" t="s">
        <v>6091</v>
      </c>
      <c r="J7410" s="14">
        <v>0.0</v>
      </c>
      <c r="K7410" s="14" t="s">
        <v>6012</v>
      </c>
      <c r="L7410" s="14">
        <v>0.0</v>
      </c>
    </row>
    <row r="7411">
      <c r="A7411" s="14">
        <v>207.0</v>
      </c>
      <c r="B7411" s="14">
        <v>1.0</v>
      </c>
      <c r="C7411" s="34">
        <v>21.31</v>
      </c>
      <c r="D7411" s="36">
        <v>45744.0</v>
      </c>
      <c r="E7411" s="24"/>
      <c r="F7411" s="14">
        <v>21.31</v>
      </c>
      <c r="G7411" s="14">
        <v>102.95</v>
      </c>
      <c r="H7411" s="14">
        <v>0.48</v>
      </c>
      <c r="I7411" s="14" t="s">
        <v>6093</v>
      </c>
      <c r="J7411" s="14">
        <v>0.0</v>
      </c>
      <c r="K7411" s="14" t="s">
        <v>6012</v>
      </c>
      <c r="L7411" s="14">
        <v>0.0</v>
      </c>
    </row>
    <row r="7412">
      <c r="A7412" s="14">
        <v>0.0</v>
      </c>
      <c r="B7412" s="14">
        <v>0.0</v>
      </c>
      <c r="C7412" s="34">
        <v>10.31</v>
      </c>
      <c r="D7412" s="36">
        <v>45744.0</v>
      </c>
      <c r="E7412" s="24"/>
      <c r="F7412" s="14" t="s">
        <v>6012</v>
      </c>
      <c r="G7412" s="14" t="s">
        <v>6012</v>
      </c>
      <c r="H7412" s="14" t="s">
        <v>6012</v>
      </c>
      <c r="I7412" s="14" t="s">
        <v>6088</v>
      </c>
      <c r="J7412" s="14" t="s">
        <v>6012</v>
      </c>
      <c r="K7412" s="14">
        <v>0.74</v>
      </c>
      <c r="L7412" s="14">
        <v>0.0</v>
      </c>
    </row>
    <row r="7413">
      <c r="A7413" s="14">
        <v>77.0</v>
      </c>
      <c r="B7413" s="14">
        <v>0.0</v>
      </c>
      <c r="C7413" s="34">
        <v>20.01</v>
      </c>
      <c r="D7413" s="36">
        <v>45744.0</v>
      </c>
      <c r="E7413" s="24"/>
      <c r="F7413" s="14" t="s">
        <v>6012</v>
      </c>
      <c r="G7413" s="14">
        <v>259.87</v>
      </c>
      <c r="H7413" s="14">
        <v>0.0</v>
      </c>
      <c r="I7413" s="14" t="s">
        <v>6087</v>
      </c>
      <c r="J7413" s="14" t="s">
        <v>6012</v>
      </c>
      <c r="K7413" s="14">
        <v>1.54</v>
      </c>
      <c r="L7413" s="14">
        <v>0.0</v>
      </c>
    </row>
    <row r="7414">
      <c r="A7414" s="14">
        <v>0.0</v>
      </c>
      <c r="B7414" s="14">
        <v>0.0</v>
      </c>
      <c r="C7414" s="34">
        <v>11.43</v>
      </c>
      <c r="D7414" s="36">
        <v>45744.0</v>
      </c>
      <c r="E7414" s="24"/>
      <c r="F7414" s="14" t="s">
        <v>6012</v>
      </c>
      <c r="G7414" s="14" t="s">
        <v>6012</v>
      </c>
      <c r="H7414" s="14" t="s">
        <v>6012</v>
      </c>
      <c r="I7414" s="14" t="s">
        <v>6064</v>
      </c>
      <c r="J7414" s="14" t="s">
        <v>6012</v>
      </c>
      <c r="K7414" s="14" t="s">
        <v>6012</v>
      </c>
      <c r="L7414" s="14">
        <v>0.0</v>
      </c>
    </row>
    <row r="7415">
      <c r="A7415" s="14">
        <v>0.0</v>
      </c>
      <c r="B7415" s="14">
        <v>0.0</v>
      </c>
      <c r="C7415" s="34"/>
      <c r="D7415" s="36">
        <v>45744.0</v>
      </c>
      <c r="E7415" s="24"/>
      <c r="F7415" s="14" t="s">
        <v>6012</v>
      </c>
      <c r="G7415" s="14" t="s">
        <v>6012</v>
      </c>
      <c r="H7415" s="14" t="s">
        <v>6012</v>
      </c>
      <c r="I7415" s="14" t="s">
        <v>6082</v>
      </c>
      <c r="J7415" s="14" t="s">
        <v>6012</v>
      </c>
      <c r="K7415" s="14" t="s">
        <v>6012</v>
      </c>
      <c r="L7415" s="14"/>
    </row>
    <row r="7416">
      <c r="A7416" s="14">
        <v>0.0</v>
      </c>
      <c r="B7416" s="14">
        <v>0.0</v>
      </c>
      <c r="C7416" s="34"/>
      <c r="D7416" s="36">
        <v>45744.0</v>
      </c>
      <c r="E7416" s="24"/>
      <c r="F7416" s="14" t="s">
        <v>6012</v>
      </c>
      <c r="G7416" s="14" t="s">
        <v>6012</v>
      </c>
      <c r="H7416" s="14" t="s">
        <v>6012</v>
      </c>
      <c r="I7416" s="14" t="s">
        <v>6090</v>
      </c>
      <c r="J7416" s="14" t="s">
        <v>6012</v>
      </c>
      <c r="K7416" s="14" t="s">
        <v>6012</v>
      </c>
      <c r="L7416" s="14"/>
    </row>
    <row r="7417">
      <c r="A7417" s="14">
        <v>0.0</v>
      </c>
      <c r="B7417" s="14">
        <v>0.0</v>
      </c>
      <c r="C7417" s="34"/>
      <c r="D7417" s="36">
        <v>45744.0</v>
      </c>
      <c r="E7417" s="24"/>
      <c r="F7417" s="14" t="s">
        <v>6012</v>
      </c>
      <c r="G7417" s="14" t="s">
        <v>6012</v>
      </c>
      <c r="H7417" s="14" t="s">
        <v>6012</v>
      </c>
      <c r="I7417" s="14" t="s">
        <v>6089</v>
      </c>
      <c r="J7417" s="14" t="s">
        <v>6012</v>
      </c>
      <c r="K7417" s="14" t="s">
        <v>6012</v>
      </c>
      <c r="L7417" s="14"/>
    </row>
    <row r="7418">
      <c r="A7418" s="14">
        <v>0.0</v>
      </c>
      <c r="B7418" s="14">
        <v>0.0</v>
      </c>
      <c r="C7418" s="34"/>
      <c r="D7418" s="36">
        <v>45744.0</v>
      </c>
      <c r="E7418" s="24"/>
      <c r="F7418" s="14" t="s">
        <v>6012</v>
      </c>
      <c r="G7418" s="14" t="s">
        <v>6012</v>
      </c>
      <c r="H7418" s="14" t="s">
        <v>6012</v>
      </c>
      <c r="I7418" s="14" t="s">
        <v>6086</v>
      </c>
      <c r="J7418" s="14" t="s">
        <v>6012</v>
      </c>
      <c r="K7418" s="14" t="s">
        <v>6012</v>
      </c>
      <c r="L7418" s="14"/>
    </row>
    <row r="7419">
      <c r="A7419" s="14">
        <v>108.0</v>
      </c>
      <c r="B7419" s="14">
        <v>3.0</v>
      </c>
      <c r="C7419" s="34">
        <v>22.87</v>
      </c>
      <c r="D7419" s="36">
        <v>45744.0</v>
      </c>
      <c r="E7419" s="24"/>
      <c r="F7419" s="14">
        <v>7.62</v>
      </c>
      <c r="G7419" s="14">
        <v>211.76</v>
      </c>
      <c r="H7419" s="14">
        <v>2.78</v>
      </c>
      <c r="I7419" s="14" t="s">
        <v>6092</v>
      </c>
      <c r="J7419" s="14">
        <v>0.0</v>
      </c>
      <c r="K7419" s="14" t="s">
        <v>6012</v>
      </c>
      <c r="L7419" s="14">
        <v>0.0</v>
      </c>
    </row>
    <row r="7420">
      <c r="A7420" s="14">
        <v>417.0</v>
      </c>
      <c r="B7420" s="14">
        <v>5.0</v>
      </c>
      <c r="C7420" s="34">
        <v>22.61</v>
      </c>
      <c r="D7420" s="36">
        <v>45744.0</v>
      </c>
      <c r="E7420" s="24"/>
      <c r="F7420" s="14">
        <v>4.52</v>
      </c>
      <c r="G7420" s="14">
        <v>54.22</v>
      </c>
      <c r="H7420" s="14">
        <v>1.2</v>
      </c>
      <c r="I7420" s="14" t="s">
        <v>6094</v>
      </c>
      <c r="J7420" s="14">
        <v>0.0</v>
      </c>
      <c r="K7420" s="14" t="s">
        <v>6012</v>
      </c>
      <c r="L7420" s="14">
        <v>0.0</v>
      </c>
    </row>
    <row r="7421">
      <c r="A7421" s="14">
        <v>0.0</v>
      </c>
      <c r="B7421" s="14">
        <v>0.0</v>
      </c>
      <c r="C7421" s="34">
        <v>7.44</v>
      </c>
      <c r="D7421" s="36">
        <v>45745.0</v>
      </c>
      <c r="E7421" s="24"/>
      <c r="F7421" s="14" t="s">
        <v>6012</v>
      </c>
      <c r="G7421" s="14" t="s">
        <v>6012</v>
      </c>
      <c r="H7421" s="14" t="s">
        <v>6012</v>
      </c>
      <c r="I7421" s="14" t="s">
        <v>6088</v>
      </c>
      <c r="J7421" s="14" t="s">
        <v>6012</v>
      </c>
      <c r="K7421" s="14">
        <v>1.06</v>
      </c>
      <c r="L7421" s="14">
        <v>0.0</v>
      </c>
    </row>
    <row r="7422">
      <c r="A7422" s="14">
        <v>60.0</v>
      </c>
      <c r="B7422" s="14">
        <v>1.0</v>
      </c>
      <c r="C7422" s="34">
        <v>16.97</v>
      </c>
      <c r="D7422" s="36">
        <v>45745.0</v>
      </c>
      <c r="E7422" s="24"/>
      <c r="F7422" s="14">
        <v>16.97</v>
      </c>
      <c r="G7422" s="14">
        <v>282.83</v>
      </c>
      <c r="H7422" s="14">
        <v>1.67</v>
      </c>
      <c r="I7422" s="14" t="s">
        <v>6092</v>
      </c>
      <c r="J7422" s="14">
        <v>0.0</v>
      </c>
      <c r="K7422" s="14" t="s">
        <v>6012</v>
      </c>
      <c r="L7422" s="14">
        <v>0.0</v>
      </c>
    </row>
    <row r="7423">
      <c r="A7423" s="14">
        <v>0.0</v>
      </c>
      <c r="B7423" s="14">
        <v>0.0</v>
      </c>
      <c r="C7423" s="34"/>
      <c r="D7423" s="36">
        <v>45745.0</v>
      </c>
      <c r="E7423" s="24"/>
      <c r="F7423" s="14" t="s">
        <v>6012</v>
      </c>
      <c r="G7423" s="14" t="s">
        <v>6012</v>
      </c>
      <c r="H7423" s="14" t="s">
        <v>6012</v>
      </c>
      <c r="I7423" s="14" t="s">
        <v>6090</v>
      </c>
      <c r="J7423" s="14" t="s">
        <v>6012</v>
      </c>
      <c r="K7423" s="14" t="s">
        <v>6012</v>
      </c>
      <c r="L7423" s="14"/>
    </row>
    <row r="7424">
      <c r="A7424" s="14">
        <v>283.0</v>
      </c>
      <c r="B7424" s="14">
        <v>5.0</v>
      </c>
      <c r="C7424" s="34">
        <v>16.02</v>
      </c>
      <c r="D7424" s="36">
        <v>45745.0</v>
      </c>
      <c r="E7424" s="24"/>
      <c r="F7424" s="14">
        <v>3.2</v>
      </c>
      <c r="G7424" s="14">
        <v>56.61</v>
      </c>
      <c r="H7424" s="14">
        <v>1.77</v>
      </c>
      <c r="I7424" s="14" t="s">
        <v>6094</v>
      </c>
      <c r="J7424" s="14">
        <v>0.0</v>
      </c>
      <c r="K7424" s="14" t="s">
        <v>6012</v>
      </c>
      <c r="L7424" s="14">
        <v>0.0</v>
      </c>
    </row>
    <row r="7425">
      <c r="A7425" s="14">
        <v>41.0</v>
      </c>
      <c r="B7425" s="14">
        <v>1.0</v>
      </c>
      <c r="C7425" s="34">
        <v>14.21</v>
      </c>
      <c r="D7425" s="36">
        <v>45745.0</v>
      </c>
      <c r="E7425" s="24"/>
      <c r="F7425" s="14">
        <v>14.21</v>
      </c>
      <c r="G7425" s="14">
        <v>346.59</v>
      </c>
      <c r="H7425" s="14">
        <v>2.44</v>
      </c>
      <c r="I7425" s="14" t="s">
        <v>6087</v>
      </c>
      <c r="J7425" s="14">
        <v>200.0</v>
      </c>
      <c r="K7425" s="14">
        <v>7.1</v>
      </c>
      <c r="L7425" s="14">
        <v>0.0</v>
      </c>
    </row>
    <row r="7426">
      <c r="A7426" s="14">
        <v>0.0</v>
      </c>
      <c r="B7426" s="14">
        <v>0.0</v>
      </c>
      <c r="C7426" s="34">
        <v>6.76</v>
      </c>
      <c r="D7426" s="36">
        <v>45745.0</v>
      </c>
      <c r="E7426" s="24"/>
      <c r="F7426" s="14" t="s">
        <v>6012</v>
      </c>
      <c r="G7426" s="14" t="s">
        <v>6012</v>
      </c>
      <c r="H7426" s="14" t="s">
        <v>6012</v>
      </c>
      <c r="I7426" s="14" t="s">
        <v>6064</v>
      </c>
      <c r="J7426" s="14" t="s">
        <v>6012</v>
      </c>
      <c r="K7426" s="14" t="s">
        <v>6012</v>
      </c>
      <c r="L7426" s="14">
        <v>0.0</v>
      </c>
    </row>
    <row r="7427">
      <c r="A7427" s="14">
        <v>0.0</v>
      </c>
      <c r="B7427" s="14">
        <v>0.0</v>
      </c>
      <c r="C7427" s="34"/>
      <c r="D7427" s="36">
        <v>45745.0</v>
      </c>
      <c r="E7427" s="24"/>
      <c r="F7427" s="14" t="s">
        <v>6012</v>
      </c>
      <c r="G7427" s="14" t="s">
        <v>6012</v>
      </c>
      <c r="H7427" s="14" t="s">
        <v>6012</v>
      </c>
      <c r="I7427" s="14" t="s">
        <v>6086</v>
      </c>
      <c r="J7427" s="14" t="s">
        <v>6012</v>
      </c>
      <c r="K7427" s="14" t="s">
        <v>6012</v>
      </c>
      <c r="L7427" s="14"/>
    </row>
    <row r="7428">
      <c r="A7428" s="14">
        <v>196.0</v>
      </c>
      <c r="B7428" s="14">
        <v>8.0</v>
      </c>
      <c r="C7428" s="34">
        <v>17.37</v>
      </c>
      <c r="D7428" s="36">
        <v>45745.0</v>
      </c>
      <c r="E7428" s="24"/>
      <c r="F7428" s="14">
        <v>2.17</v>
      </c>
      <c r="G7428" s="14">
        <v>88.62</v>
      </c>
      <c r="H7428" s="14">
        <v>4.08</v>
      </c>
      <c r="I7428" s="14" t="s">
        <v>6091</v>
      </c>
      <c r="J7428" s="14">
        <v>0.0</v>
      </c>
      <c r="K7428" s="14" t="s">
        <v>6012</v>
      </c>
      <c r="L7428" s="14">
        <v>0.0</v>
      </c>
    </row>
    <row r="7429">
      <c r="A7429" s="14">
        <v>0.0</v>
      </c>
      <c r="B7429" s="14">
        <v>0.0</v>
      </c>
      <c r="C7429" s="34"/>
      <c r="D7429" s="36">
        <v>45745.0</v>
      </c>
      <c r="E7429" s="24"/>
      <c r="F7429" s="14" t="s">
        <v>6012</v>
      </c>
      <c r="G7429" s="14" t="s">
        <v>6012</v>
      </c>
      <c r="H7429" s="14" t="s">
        <v>6012</v>
      </c>
      <c r="I7429" s="14" t="s">
        <v>6082</v>
      </c>
      <c r="J7429" s="14" t="s">
        <v>6012</v>
      </c>
      <c r="K7429" s="14" t="s">
        <v>6012</v>
      </c>
      <c r="L7429" s="14"/>
    </row>
    <row r="7430">
      <c r="A7430" s="14">
        <v>153.0</v>
      </c>
      <c r="B7430" s="14">
        <v>1.0</v>
      </c>
      <c r="C7430" s="34">
        <v>13.75</v>
      </c>
      <c r="D7430" s="36">
        <v>45745.0</v>
      </c>
      <c r="E7430" s="24"/>
      <c r="F7430" s="14">
        <v>13.75</v>
      </c>
      <c r="G7430" s="14">
        <v>89.87</v>
      </c>
      <c r="H7430" s="14">
        <v>0.65</v>
      </c>
      <c r="I7430" s="14" t="s">
        <v>6093</v>
      </c>
      <c r="J7430" s="14">
        <v>0.0</v>
      </c>
      <c r="K7430" s="14" t="s">
        <v>6012</v>
      </c>
      <c r="L7430" s="14">
        <v>0.0</v>
      </c>
    </row>
    <row r="7431">
      <c r="A7431" s="14">
        <v>0.0</v>
      </c>
      <c r="B7431" s="14">
        <v>0.0</v>
      </c>
      <c r="C7431" s="34"/>
      <c r="D7431" s="36">
        <v>45746.0</v>
      </c>
      <c r="E7431" s="24"/>
      <c r="F7431" s="14" t="s">
        <v>6012</v>
      </c>
      <c r="G7431" s="14" t="s">
        <v>6012</v>
      </c>
      <c r="H7431" s="14" t="s">
        <v>6012</v>
      </c>
      <c r="I7431" s="14" t="s">
        <v>6086</v>
      </c>
      <c r="J7431" s="14" t="s">
        <v>6012</v>
      </c>
      <c r="K7431" s="14" t="s">
        <v>6012</v>
      </c>
      <c r="L7431" s="14"/>
    </row>
    <row r="7432">
      <c r="A7432" s="14">
        <v>187.0</v>
      </c>
      <c r="B7432" s="14">
        <v>6.0</v>
      </c>
      <c r="C7432" s="34">
        <v>14.89</v>
      </c>
      <c r="D7432" s="36">
        <v>45746.0</v>
      </c>
      <c r="E7432" s="24"/>
      <c r="F7432" s="14">
        <v>2.48</v>
      </c>
      <c r="G7432" s="14">
        <v>79.63</v>
      </c>
      <c r="H7432" s="14">
        <v>3.21</v>
      </c>
      <c r="I7432" s="14" t="s">
        <v>6094</v>
      </c>
      <c r="J7432" s="14">
        <v>0.0</v>
      </c>
      <c r="K7432" s="14" t="s">
        <v>6012</v>
      </c>
      <c r="L7432" s="14">
        <v>0.0</v>
      </c>
    </row>
    <row r="7433">
      <c r="A7433" s="14">
        <v>153.0</v>
      </c>
      <c r="B7433" s="14">
        <v>5.0</v>
      </c>
      <c r="C7433" s="34">
        <v>13.83</v>
      </c>
      <c r="D7433" s="36">
        <v>45746.0</v>
      </c>
      <c r="E7433" s="24"/>
      <c r="F7433" s="14">
        <v>2.77</v>
      </c>
      <c r="G7433" s="14">
        <v>90.39</v>
      </c>
      <c r="H7433" s="14">
        <v>3.27</v>
      </c>
      <c r="I7433" s="14" t="s">
        <v>6091</v>
      </c>
      <c r="J7433" s="14">
        <v>0.0</v>
      </c>
      <c r="K7433" s="14" t="s">
        <v>6012</v>
      </c>
      <c r="L7433" s="14">
        <v>0.0</v>
      </c>
    </row>
    <row r="7434">
      <c r="A7434" s="14">
        <v>0.0</v>
      </c>
      <c r="B7434" s="14">
        <v>0.0</v>
      </c>
      <c r="C7434" s="34">
        <v>3.6</v>
      </c>
      <c r="D7434" s="36">
        <v>45746.0</v>
      </c>
      <c r="E7434" s="24"/>
      <c r="F7434" s="14" t="s">
        <v>6012</v>
      </c>
      <c r="G7434" s="14" t="s">
        <v>6012</v>
      </c>
      <c r="H7434" s="14" t="s">
        <v>6012</v>
      </c>
      <c r="I7434" s="14" t="s">
        <v>6064</v>
      </c>
      <c r="J7434" s="14" t="s">
        <v>6012</v>
      </c>
      <c r="K7434" s="14" t="s">
        <v>6012</v>
      </c>
      <c r="L7434" s="14">
        <v>0.0</v>
      </c>
    </row>
    <row r="7435">
      <c r="A7435" s="14">
        <v>0.0</v>
      </c>
      <c r="B7435" s="14">
        <v>0.0</v>
      </c>
      <c r="C7435" s="34"/>
      <c r="D7435" s="36">
        <v>45746.0</v>
      </c>
      <c r="E7435" s="24"/>
      <c r="F7435" s="14" t="s">
        <v>6012</v>
      </c>
      <c r="G7435" s="14" t="s">
        <v>6012</v>
      </c>
      <c r="H7435" s="14" t="s">
        <v>6012</v>
      </c>
      <c r="I7435" s="14" t="s">
        <v>6082</v>
      </c>
      <c r="J7435" s="14" t="s">
        <v>6012</v>
      </c>
      <c r="K7435" s="14" t="s">
        <v>6012</v>
      </c>
      <c r="L7435" s="14"/>
    </row>
    <row r="7436">
      <c r="A7436" s="14">
        <v>81.0</v>
      </c>
      <c r="B7436" s="14">
        <v>0.0</v>
      </c>
      <c r="C7436" s="34">
        <v>11.96</v>
      </c>
      <c r="D7436" s="36">
        <v>45746.0</v>
      </c>
      <c r="E7436" s="24"/>
      <c r="F7436" s="14" t="s">
        <v>6012</v>
      </c>
      <c r="G7436" s="14">
        <v>147.65</v>
      </c>
      <c r="H7436" s="14">
        <v>0.0</v>
      </c>
      <c r="I7436" s="14" t="s">
        <v>6093</v>
      </c>
      <c r="J7436" s="14" t="s">
        <v>6012</v>
      </c>
      <c r="K7436" s="14" t="s">
        <v>6012</v>
      </c>
      <c r="L7436" s="14">
        <v>0.0</v>
      </c>
    </row>
    <row r="7437">
      <c r="A7437" s="14">
        <v>40.0</v>
      </c>
      <c r="B7437" s="14">
        <v>0.0</v>
      </c>
      <c r="C7437" s="34">
        <v>11.84</v>
      </c>
      <c r="D7437" s="36">
        <v>45746.0</v>
      </c>
      <c r="E7437" s="24"/>
      <c r="F7437" s="14" t="s">
        <v>6012</v>
      </c>
      <c r="G7437" s="14">
        <v>296.0</v>
      </c>
      <c r="H7437" s="14">
        <v>0.0</v>
      </c>
      <c r="I7437" s="14" t="s">
        <v>6087</v>
      </c>
      <c r="J7437" s="14" t="s">
        <v>6012</v>
      </c>
      <c r="K7437" s="14" t="s">
        <v>6012</v>
      </c>
      <c r="L7437" s="14">
        <v>0.0</v>
      </c>
    </row>
    <row r="7438">
      <c r="A7438" s="14">
        <v>0.0</v>
      </c>
      <c r="B7438" s="14">
        <v>0.0</v>
      </c>
      <c r="C7438" s="34">
        <v>6.57</v>
      </c>
      <c r="D7438" s="36">
        <v>45746.0</v>
      </c>
      <c r="E7438" s="24"/>
      <c r="F7438" s="14" t="s">
        <v>6012</v>
      </c>
      <c r="G7438" s="14" t="s">
        <v>6012</v>
      </c>
      <c r="H7438" s="14" t="s">
        <v>6012</v>
      </c>
      <c r="I7438" s="14" t="s">
        <v>6088</v>
      </c>
      <c r="J7438" s="14" t="s">
        <v>6012</v>
      </c>
      <c r="K7438" s="14">
        <v>1.1</v>
      </c>
      <c r="L7438" s="14">
        <v>0.0</v>
      </c>
    </row>
    <row r="7439">
      <c r="A7439" s="14">
        <v>33.0</v>
      </c>
      <c r="B7439" s="14">
        <v>0.0</v>
      </c>
      <c r="C7439" s="34">
        <v>12.58</v>
      </c>
      <c r="D7439" s="36">
        <v>45746.0</v>
      </c>
      <c r="E7439" s="24"/>
      <c r="F7439" s="14" t="s">
        <v>6012</v>
      </c>
      <c r="G7439" s="14">
        <v>381.21</v>
      </c>
      <c r="H7439" s="14">
        <v>0.0</v>
      </c>
      <c r="I7439" s="14" t="s">
        <v>6092</v>
      </c>
      <c r="J7439" s="14" t="s">
        <v>6012</v>
      </c>
      <c r="K7439" s="14" t="s">
        <v>6012</v>
      </c>
      <c r="L7439" s="14">
        <v>0.0</v>
      </c>
    </row>
    <row r="7440">
      <c r="A7440" s="14">
        <v>0.0</v>
      </c>
      <c r="B7440" s="14">
        <v>0.0</v>
      </c>
      <c r="C7440" s="34"/>
      <c r="D7440" s="36">
        <v>45747.0</v>
      </c>
      <c r="E7440" s="24"/>
      <c r="F7440" s="14" t="s">
        <v>6012</v>
      </c>
      <c r="G7440" s="14" t="s">
        <v>6012</v>
      </c>
      <c r="H7440" s="14" t="s">
        <v>6012</v>
      </c>
      <c r="I7440" s="14" t="s">
        <v>6089</v>
      </c>
      <c r="J7440" s="14" t="s">
        <v>6012</v>
      </c>
      <c r="K7440" s="14" t="s">
        <v>6012</v>
      </c>
      <c r="L7440" s="14"/>
    </row>
    <row r="7441">
      <c r="A7441" s="14">
        <v>230.0</v>
      </c>
      <c r="B7441" s="14">
        <v>0.0</v>
      </c>
      <c r="C7441" s="34">
        <v>20.58</v>
      </c>
      <c r="D7441" s="36">
        <v>45747.0</v>
      </c>
      <c r="E7441" s="24"/>
      <c r="F7441" s="14" t="s">
        <v>6012</v>
      </c>
      <c r="G7441" s="14">
        <v>89.48</v>
      </c>
      <c r="H7441" s="14">
        <v>0.0</v>
      </c>
      <c r="I7441" s="14" t="s">
        <v>6093</v>
      </c>
      <c r="J7441" s="14" t="s">
        <v>6012</v>
      </c>
      <c r="K7441" s="14" t="s">
        <v>6012</v>
      </c>
      <c r="L7441" s="14">
        <v>0.0</v>
      </c>
    </row>
    <row r="7442">
      <c r="A7442" s="14">
        <v>0.0</v>
      </c>
      <c r="B7442" s="14">
        <v>0.0</v>
      </c>
      <c r="C7442" s="34"/>
      <c r="D7442" s="36">
        <v>45747.0</v>
      </c>
      <c r="E7442" s="24"/>
      <c r="F7442" s="14" t="s">
        <v>6012</v>
      </c>
      <c r="G7442" s="14" t="s">
        <v>6012</v>
      </c>
      <c r="H7442" s="14" t="s">
        <v>6012</v>
      </c>
      <c r="I7442" s="14" t="s">
        <v>6082</v>
      </c>
      <c r="J7442" s="14" t="s">
        <v>6012</v>
      </c>
      <c r="K7442" s="14" t="s">
        <v>6012</v>
      </c>
      <c r="L7442" s="14"/>
    </row>
    <row r="7443">
      <c r="A7443" s="14">
        <v>0.0</v>
      </c>
      <c r="B7443" s="14">
        <v>0.0</v>
      </c>
      <c r="C7443" s="34">
        <v>10.51</v>
      </c>
      <c r="D7443" s="36">
        <v>45747.0</v>
      </c>
      <c r="E7443" s="24"/>
      <c r="F7443" s="14" t="s">
        <v>6012</v>
      </c>
      <c r="G7443" s="14" t="s">
        <v>6012</v>
      </c>
      <c r="H7443" s="14" t="s">
        <v>6012</v>
      </c>
      <c r="I7443" s="14" t="s">
        <v>6088</v>
      </c>
      <c r="J7443" s="14" t="s">
        <v>6012</v>
      </c>
      <c r="K7443" s="14">
        <v>0.88</v>
      </c>
      <c r="L7443" s="14">
        <v>0.0</v>
      </c>
    </row>
    <row r="7444">
      <c r="A7444" s="14">
        <v>68.0</v>
      </c>
      <c r="B7444" s="14">
        <v>0.0</v>
      </c>
      <c r="C7444" s="34">
        <v>21.27</v>
      </c>
      <c r="D7444" s="36">
        <v>45747.0</v>
      </c>
      <c r="E7444" s="24"/>
      <c r="F7444" s="14" t="s">
        <v>6012</v>
      </c>
      <c r="G7444" s="14">
        <v>312.79</v>
      </c>
      <c r="H7444" s="14">
        <v>0.0</v>
      </c>
      <c r="I7444" s="14" t="s">
        <v>6087</v>
      </c>
      <c r="J7444" s="14" t="s">
        <v>6012</v>
      </c>
      <c r="K7444" s="14">
        <v>1.52</v>
      </c>
      <c r="L7444" s="14">
        <v>0.0</v>
      </c>
    </row>
    <row r="7445">
      <c r="A7445" s="14">
        <v>233.0</v>
      </c>
      <c r="B7445" s="14">
        <v>10.0</v>
      </c>
      <c r="C7445" s="34">
        <v>24.59</v>
      </c>
      <c r="D7445" s="36">
        <v>45747.0</v>
      </c>
      <c r="E7445" s="24"/>
      <c r="F7445" s="14">
        <v>2.46</v>
      </c>
      <c r="G7445" s="14">
        <v>105.54</v>
      </c>
      <c r="H7445" s="14">
        <v>4.29</v>
      </c>
      <c r="I7445" s="14" t="s">
        <v>6091</v>
      </c>
      <c r="J7445" s="14">
        <v>0.0</v>
      </c>
      <c r="K7445" s="14" t="s">
        <v>6012</v>
      </c>
      <c r="L7445" s="14">
        <v>0.0</v>
      </c>
    </row>
    <row r="7446">
      <c r="A7446" s="14">
        <v>0.0</v>
      </c>
      <c r="B7446" s="14">
        <v>0.0</v>
      </c>
      <c r="C7446" s="34">
        <v>11.8</v>
      </c>
      <c r="D7446" s="36">
        <v>45747.0</v>
      </c>
      <c r="E7446" s="24"/>
      <c r="F7446" s="14" t="s">
        <v>6012</v>
      </c>
      <c r="G7446" s="14" t="s">
        <v>6012</v>
      </c>
      <c r="H7446" s="14" t="s">
        <v>6012</v>
      </c>
      <c r="I7446" s="14" t="s">
        <v>6064</v>
      </c>
      <c r="J7446" s="14" t="s">
        <v>6012</v>
      </c>
      <c r="K7446" s="14" t="s">
        <v>6012</v>
      </c>
      <c r="L7446" s="14">
        <v>0.0</v>
      </c>
    </row>
    <row r="7447">
      <c r="A7447" s="14">
        <v>0.0</v>
      </c>
      <c r="B7447" s="14">
        <v>0.0</v>
      </c>
      <c r="C7447" s="34"/>
      <c r="D7447" s="36">
        <v>45747.0</v>
      </c>
      <c r="E7447" s="24"/>
      <c r="F7447" s="14" t="s">
        <v>6012</v>
      </c>
      <c r="G7447" s="14" t="s">
        <v>6012</v>
      </c>
      <c r="H7447" s="14" t="s">
        <v>6012</v>
      </c>
      <c r="I7447" s="14" t="s">
        <v>6090</v>
      </c>
      <c r="J7447" s="14" t="s">
        <v>6012</v>
      </c>
      <c r="K7447" s="14" t="s">
        <v>6012</v>
      </c>
      <c r="L7447" s="14"/>
    </row>
    <row r="7448">
      <c r="A7448" s="14">
        <v>282.0</v>
      </c>
      <c r="B7448" s="14">
        <v>5.0</v>
      </c>
      <c r="C7448" s="34">
        <v>21.35</v>
      </c>
      <c r="D7448" s="36">
        <v>45747.0</v>
      </c>
      <c r="E7448" s="24"/>
      <c r="F7448" s="14">
        <v>4.27</v>
      </c>
      <c r="G7448" s="14">
        <v>75.71</v>
      </c>
      <c r="H7448" s="14">
        <v>1.77</v>
      </c>
      <c r="I7448" s="14" t="s">
        <v>6094</v>
      </c>
      <c r="J7448" s="14">
        <v>0.0</v>
      </c>
      <c r="K7448" s="14" t="s">
        <v>6012</v>
      </c>
      <c r="L7448" s="14">
        <v>0.0</v>
      </c>
    </row>
    <row r="7449">
      <c r="A7449" s="14">
        <v>109.0</v>
      </c>
      <c r="B7449" s="14">
        <v>0.0</v>
      </c>
      <c r="C7449" s="34">
        <v>23.34</v>
      </c>
      <c r="D7449" s="36">
        <v>45747.0</v>
      </c>
      <c r="E7449" s="24"/>
      <c r="F7449" s="14" t="s">
        <v>6012</v>
      </c>
      <c r="G7449" s="14">
        <v>214.13</v>
      </c>
      <c r="H7449" s="14">
        <v>0.0</v>
      </c>
      <c r="I7449" s="14" t="s">
        <v>6092</v>
      </c>
      <c r="J7449" s="14" t="s">
        <v>6012</v>
      </c>
      <c r="K7449" s="14" t="s">
        <v>6012</v>
      </c>
      <c r="L7449" s="14">
        <v>0.0</v>
      </c>
    </row>
    <row r="7450">
      <c r="A7450" s="14">
        <v>0.0</v>
      </c>
      <c r="B7450" s="14">
        <v>0.0</v>
      </c>
      <c r="C7450" s="34"/>
      <c r="D7450" s="36">
        <v>45747.0</v>
      </c>
      <c r="E7450" s="24"/>
      <c r="F7450" s="14" t="s">
        <v>6012</v>
      </c>
      <c r="G7450" s="14" t="s">
        <v>6012</v>
      </c>
      <c r="H7450" s="14" t="s">
        <v>6012</v>
      </c>
      <c r="I7450" s="14" t="s">
        <v>6086</v>
      </c>
      <c r="J7450" s="14" t="s">
        <v>6012</v>
      </c>
      <c r="K7450" s="14" t="s">
        <v>6012</v>
      </c>
      <c r="L7450" s="14"/>
    </row>
    <row r="7451">
      <c r="A7451" s="14">
        <v>142.0</v>
      </c>
      <c r="B7451" s="14">
        <v>3.0</v>
      </c>
      <c r="C7451" s="34">
        <v>24.92</v>
      </c>
      <c r="D7451" s="36">
        <v>45748.0</v>
      </c>
      <c r="E7451" s="24"/>
      <c r="F7451" s="14">
        <v>8.31</v>
      </c>
      <c r="G7451" s="14">
        <v>175.49</v>
      </c>
      <c r="H7451" s="14">
        <v>2.11</v>
      </c>
      <c r="I7451" s="14" t="s">
        <v>6092</v>
      </c>
      <c r="J7451" s="14">
        <v>0.0</v>
      </c>
      <c r="K7451" s="14" t="s">
        <v>6012</v>
      </c>
      <c r="L7451" s="14">
        <v>0.0</v>
      </c>
    </row>
    <row r="7452">
      <c r="A7452" s="14">
        <v>0.0</v>
      </c>
      <c r="B7452" s="14">
        <v>0.0</v>
      </c>
      <c r="C7452" s="34"/>
      <c r="D7452" s="36">
        <v>45748.0</v>
      </c>
      <c r="E7452" s="24"/>
      <c r="F7452" s="14" t="s">
        <v>6012</v>
      </c>
      <c r="G7452" s="14" t="s">
        <v>6012</v>
      </c>
      <c r="H7452" s="14" t="s">
        <v>6012</v>
      </c>
      <c r="I7452" s="14" t="s">
        <v>6089</v>
      </c>
      <c r="J7452" s="14" t="s">
        <v>6012</v>
      </c>
      <c r="K7452" s="14" t="s">
        <v>6012</v>
      </c>
      <c r="L7452" s="14"/>
    </row>
    <row r="7453">
      <c r="A7453" s="14">
        <v>87.0</v>
      </c>
      <c r="B7453" s="14">
        <v>0.0</v>
      </c>
      <c r="C7453" s="34">
        <v>22.56</v>
      </c>
      <c r="D7453" s="36">
        <v>45748.0</v>
      </c>
      <c r="E7453" s="24"/>
      <c r="F7453" s="14" t="s">
        <v>6012</v>
      </c>
      <c r="G7453" s="14">
        <v>259.31</v>
      </c>
      <c r="H7453" s="14">
        <v>0.0</v>
      </c>
      <c r="I7453" s="14" t="s">
        <v>6087</v>
      </c>
      <c r="J7453" s="14" t="s">
        <v>6012</v>
      </c>
      <c r="K7453" s="14">
        <v>1.33</v>
      </c>
      <c r="L7453" s="14">
        <v>0.0</v>
      </c>
    </row>
    <row r="7454">
      <c r="A7454" s="14">
        <v>467.0</v>
      </c>
      <c r="B7454" s="14">
        <v>13.0</v>
      </c>
      <c r="C7454" s="34">
        <v>21.5</v>
      </c>
      <c r="D7454" s="36">
        <v>45748.0</v>
      </c>
      <c r="E7454" s="24"/>
      <c r="F7454" s="14">
        <v>1.65</v>
      </c>
      <c r="G7454" s="14">
        <v>46.04</v>
      </c>
      <c r="H7454" s="14">
        <v>2.78</v>
      </c>
      <c r="I7454" s="14" t="s">
        <v>6094</v>
      </c>
      <c r="J7454" s="14">
        <v>0.0</v>
      </c>
      <c r="K7454" s="14" t="s">
        <v>6012</v>
      </c>
      <c r="L7454" s="14">
        <v>0.0</v>
      </c>
    </row>
    <row r="7455">
      <c r="A7455" s="14">
        <v>264.0</v>
      </c>
      <c r="B7455" s="14">
        <v>0.0</v>
      </c>
      <c r="C7455" s="34">
        <v>21.26</v>
      </c>
      <c r="D7455" s="36">
        <v>45748.0</v>
      </c>
      <c r="E7455" s="24"/>
      <c r="F7455" s="14" t="s">
        <v>6012</v>
      </c>
      <c r="G7455" s="14">
        <v>80.53</v>
      </c>
      <c r="H7455" s="14">
        <v>0.0</v>
      </c>
      <c r="I7455" s="14" t="s">
        <v>6093</v>
      </c>
      <c r="J7455" s="14" t="s">
        <v>6012</v>
      </c>
      <c r="K7455" s="14" t="s">
        <v>6012</v>
      </c>
      <c r="L7455" s="14">
        <v>0.0</v>
      </c>
    </row>
    <row r="7456">
      <c r="A7456" s="14">
        <v>0.0</v>
      </c>
      <c r="B7456" s="14">
        <v>0.0</v>
      </c>
      <c r="C7456" s="34"/>
      <c r="D7456" s="36">
        <v>45748.0</v>
      </c>
      <c r="E7456" s="24"/>
      <c r="F7456" s="14" t="s">
        <v>6012</v>
      </c>
      <c r="G7456" s="14" t="s">
        <v>6012</v>
      </c>
      <c r="H7456" s="14" t="s">
        <v>6012</v>
      </c>
      <c r="I7456" s="14" t="s">
        <v>6086</v>
      </c>
      <c r="J7456" s="14" t="s">
        <v>6012</v>
      </c>
      <c r="K7456" s="14" t="s">
        <v>6012</v>
      </c>
      <c r="L7456" s="14"/>
    </row>
    <row r="7457">
      <c r="A7457" s="14">
        <v>0.0</v>
      </c>
      <c r="B7457" s="14">
        <v>0.0</v>
      </c>
      <c r="C7457" s="34"/>
      <c r="D7457" s="36">
        <v>45748.0</v>
      </c>
      <c r="E7457" s="24"/>
      <c r="F7457" s="14" t="s">
        <v>6012</v>
      </c>
      <c r="G7457" s="14" t="s">
        <v>6012</v>
      </c>
      <c r="H7457" s="14" t="s">
        <v>6012</v>
      </c>
      <c r="I7457" s="14" t="s">
        <v>6090</v>
      </c>
      <c r="J7457" s="14" t="s">
        <v>6012</v>
      </c>
      <c r="K7457" s="14" t="s">
        <v>6012</v>
      </c>
      <c r="L7457" s="14"/>
    </row>
    <row r="7458">
      <c r="A7458" s="14">
        <v>0.0</v>
      </c>
      <c r="B7458" s="14">
        <v>0.0</v>
      </c>
      <c r="C7458" s="34">
        <v>11.85</v>
      </c>
      <c r="D7458" s="36">
        <v>45748.0</v>
      </c>
      <c r="E7458" s="24"/>
      <c r="F7458" s="14" t="s">
        <v>6012</v>
      </c>
      <c r="G7458" s="14" t="s">
        <v>6012</v>
      </c>
      <c r="H7458" s="14" t="s">
        <v>6012</v>
      </c>
      <c r="I7458" s="14" t="s">
        <v>6064</v>
      </c>
      <c r="J7458" s="14" t="s">
        <v>6012</v>
      </c>
      <c r="K7458" s="14" t="s">
        <v>6012</v>
      </c>
      <c r="L7458" s="14">
        <v>0.0</v>
      </c>
    </row>
    <row r="7459">
      <c r="A7459" s="14">
        <v>0.0</v>
      </c>
      <c r="B7459" s="14">
        <v>0.0</v>
      </c>
      <c r="C7459" s="34"/>
      <c r="D7459" s="36">
        <v>45748.0</v>
      </c>
      <c r="E7459" s="24"/>
      <c r="F7459" s="14" t="s">
        <v>6012</v>
      </c>
      <c r="G7459" s="14" t="s">
        <v>6012</v>
      </c>
      <c r="H7459" s="14" t="s">
        <v>6012</v>
      </c>
      <c r="I7459" s="14" t="s">
        <v>6082</v>
      </c>
      <c r="J7459" s="14" t="s">
        <v>6012</v>
      </c>
      <c r="K7459" s="14" t="s">
        <v>6012</v>
      </c>
      <c r="L7459" s="14"/>
    </row>
    <row r="7460">
      <c r="A7460" s="14">
        <v>451.0</v>
      </c>
      <c r="B7460" s="14">
        <v>16.0</v>
      </c>
      <c r="C7460" s="34">
        <v>25.65</v>
      </c>
      <c r="D7460" s="36">
        <v>45748.0</v>
      </c>
      <c r="E7460" s="24"/>
      <c r="F7460" s="14">
        <v>1.6</v>
      </c>
      <c r="G7460" s="14">
        <v>56.87</v>
      </c>
      <c r="H7460" s="14">
        <v>3.55</v>
      </c>
      <c r="I7460" s="14" t="s">
        <v>6091</v>
      </c>
      <c r="J7460" s="14">
        <v>0.0</v>
      </c>
      <c r="K7460" s="14" t="s">
        <v>6012</v>
      </c>
      <c r="L7460" s="14">
        <v>0.0</v>
      </c>
    </row>
    <row r="7461">
      <c r="A7461" s="14">
        <v>0.0</v>
      </c>
      <c r="B7461" s="14">
        <v>0.0</v>
      </c>
      <c r="C7461" s="34">
        <v>11.13</v>
      </c>
      <c r="D7461" s="36">
        <v>45748.0</v>
      </c>
      <c r="E7461" s="24"/>
      <c r="F7461" s="14" t="s">
        <v>6012</v>
      </c>
      <c r="G7461" s="14" t="s">
        <v>6012</v>
      </c>
      <c r="H7461" s="14" t="s">
        <v>6012</v>
      </c>
      <c r="I7461" s="14" t="s">
        <v>6088</v>
      </c>
      <c r="J7461" s="14" t="s">
        <v>6012</v>
      </c>
      <c r="K7461" s="14">
        <v>0.7</v>
      </c>
      <c r="L7461" s="14">
        <v>0.0</v>
      </c>
    </row>
    <row r="7462">
      <c r="A7462" s="14">
        <v>77.0</v>
      </c>
      <c r="B7462" s="14">
        <v>0.0</v>
      </c>
      <c r="C7462" s="34">
        <v>22.24</v>
      </c>
      <c r="D7462" s="36">
        <v>45749.0</v>
      </c>
      <c r="E7462" s="24"/>
      <c r="F7462" s="14" t="s">
        <v>6012</v>
      </c>
      <c r="G7462" s="14">
        <v>288.83</v>
      </c>
      <c r="H7462" s="14">
        <v>0.0</v>
      </c>
      <c r="I7462" s="14" t="s">
        <v>6087</v>
      </c>
      <c r="J7462" s="14" t="s">
        <v>6012</v>
      </c>
      <c r="K7462" s="14">
        <v>3.71</v>
      </c>
      <c r="L7462" s="14">
        <v>0.0</v>
      </c>
    </row>
    <row r="7463">
      <c r="A7463" s="14">
        <v>101.0</v>
      </c>
      <c r="B7463" s="14">
        <v>0.0</v>
      </c>
      <c r="C7463" s="34">
        <v>25.37</v>
      </c>
      <c r="D7463" s="36">
        <v>45749.0</v>
      </c>
      <c r="E7463" s="24"/>
      <c r="F7463" s="14" t="s">
        <v>6012</v>
      </c>
      <c r="G7463" s="14">
        <v>251.19</v>
      </c>
      <c r="H7463" s="14">
        <v>0.0</v>
      </c>
      <c r="I7463" s="14" t="s">
        <v>6092</v>
      </c>
      <c r="J7463" s="14" t="s">
        <v>6012</v>
      </c>
      <c r="K7463" s="14" t="s">
        <v>6012</v>
      </c>
      <c r="L7463" s="14">
        <v>0.0</v>
      </c>
    </row>
    <row r="7464">
      <c r="A7464" s="14">
        <v>0.0</v>
      </c>
      <c r="B7464" s="14">
        <v>0.0</v>
      </c>
      <c r="C7464" s="34">
        <v>11.75</v>
      </c>
      <c r="D7464" s="36">
        <v>45749.0</v>
      </c>
      <c r="E7464" s="24"/>
      <c r="F7464" s="14" t="s">
        <v>6012</v>
      </c>
      <c r="G7464" s="14" t="s">
        <v>6012</v>
      </c>
      <c r="H7464" s="14" t="s">
        <v>6012</v>
      </c>
      <c r="I7464" s="14" t="s">
        <v>6064</v>
      </c>
      <c r="J7464" s="14" t="s">
        <v>6012</v>
      </c>
      <c r="K7464" s="14" t="s">
        <v>6012</v>
      </c>
      <c r="L7464" s="14">
        <v>0.0</v>
      </c>
    </row>
    <row r="7465">
      <c r="A7465" s="14">
        <v>0.0</v>
      </c>
      <c r="B7465" s="14">
        <v>0.0</v>
      </c>
      <c r="C7465" s="34"/>
      <c r="D7465" s="36">
        <v>45749.0</v>
      </c>
      <c r="E7465" s="24"/>
      <c r="F7465" s="14" t="s">
        <v>6012</v>
      </c>
      <c r="G7465" s="14" t="s">
        <v>6012</v>
      </c>
      <c r="H7465" s="14" t="s">
        <v>6012</v>
      </c>
      <c r="I7465" s="14" t="s">
        <v>6089</v>
      </c>
      <c r="J7465" s="14" t="s">
        <v>6012</v>
      </c>
      <c r="K7465" s="14" t="s">
        <v>6012</v>
      </c>
      <c r="L7465" s="14"/>
    </row>
    <row r="7466">
      <c r="A7466" s="14">
        <v>0.0</v>
      </c>
      <c r="B7466" s="14">
        <v>0.0</v>
      </c>
      <c r="C7466" s="34"/>
      <c r="D7466" s="36">
        <v>45749.0</v>
      </c>
      <c r="E7466" s="24"/>
      <c r="F7466" s="14" t="s">
        <v>6012</v>
      </c>
      <c r="G7466" s="14" t="s">
        <v>6012</v>
      </c>
      <c r="H7466" s="14" t="s">
        <v>6012</v>
      </c>
      <c r="I7466" s="14" t="s">
        <v>6082</v>
      </c>
      <c r="J7466" s="14" t="s">
        <v>6012</v>
      </c>
      <c r="K7466" s="14" t="s">
        <v>6012</v>
      </c>
      <c r="L7466" s="14"/>
    </row>
    <row r="7467">
      <c r="A7467" s="14">
        <v>0.0</v>
      </c>
      <c r="B7467" s="14">
        <v>0.0</v>
      </c>
      <c r="C7467" s="34">
        <v>11.2</v>
      </c>
      <c r="D7467" s="36">
        <v>45749.0</v>
      </c>
      <c r="E7467" s="24"/>
      <c r="F7467" s="14" t="s">
        <v>6012</v>
      </c>
      <c r="G7467" s="14" t="s">
        <v>6012</v>
      </c>
      <c r="H7467" s="14" t="s">
        <v>6012</v>
      </c>
      <c r="I7467" s="14" t="s">
        <v>6088</v>
      </c>
      <c r="J7467" s="14" t="s">
        <v>6012</v>
      </c>
      <c r="K7467" s="14">
        <v>0.93</v>
      </c>
      <c r="L7467" s="14">
        <v>1.0</v>
      </c>
    </row>
    <row r="7468">
      <c r="A7468" s="14">
        <v>0.0</v>
      </c>
      <c r="B7468" s="14">
        <v>0.0</v>
      </c>
      <c r="C7468" s="34"/>
      <c r="D7468" s="36">
        <v>45749.0</v>
      </c>
      <c r="E7468" s="24"/>
      <c r="F7468" s="14" t="s">
        <v>6012</v>
      </c>
      <c r="G7468" s="14" t="s">
        <v>6012</v>
      </c>
      <c r="H7468" s="14" t="s">
        <v>6012</v>
      </c>
      <c r="I7468" s="14" t="s">
        <v>6090</v>
      </c>
      <c r="J7468" s="14" t="s">
        <v>6012</v>
      </c>
      <c r="K7468" s="14" t="s">
        <v>6012</v>
      </c>
      <c r="L7468" s="14"/>
    </row>
    <row r="7469">
      <c r="A7469" s="14">
        <v>285.0</v>
      </c>
      <c r="B7469" s="14">
        <v>1.0</v>
      </c>
      <c r="C7469" s="34">
        <v>22.06</v>
      </c>
      <c r="D7469" s="36">
        <v>45749.0</v>
      </c>
      <c r="E7469" s="24"/>
      <c r="F7469" s="14">
        <v>22.06</v>
      </c>
      <c r="G7469" s="14">
        <v>77.4</v>
      </c>
      <c r="H7469" s="14">
        <v>0.35</v>
      </c>
      <c r="I7469" s="14" t="s">
        <v>6093</v>
      </c>
      <c r="J7469" s="14">
        <v>0.0</v>
      </c>
      <c r="K7469" s="14" t="s">
        <v>6012</v>
      </c>
      <c r="L7469" s="14">
        <v>0.0</v>
      </c>
    </row>
    <row r="7470">
      <c r="A7470" s="14">
        <v>0.0</v>
      </c>
      <c r="B7470" s="14">
        <v>0.0</v>
      </c>
      <c r="C7470" s="34"/>
      <c r="D7470" s="36">
        <v>45749.0</v>
      </c>
      <c r="E7470" s="24"/>
      <c r="F7470" s="14" t="s">
        <v>6012</v>
      </c>
      <c r="G7470" s="14" t="s">
        <v>6012</v>
      </c>
      <c r="H7470" s="14" t="s">
        <v>6012</v>
      </c>
      <c r="I7470" s="14" t="s">
        <v>6086</v>
      </c>
      <c r="J7470" s="14" t="s">
        <v>6012</v>
      </c>
      <c r="K7470" s="14" t="s">
        <v>6012</v>
      </c>
      <c r="L7470" s="14"/>
    </row>
    <row r="7471">
      <c r="A7471" s="14">
        <v>374.0</v>
      </c>
      <c r="B7471" s="14">
        <v>14.0</v>
      </c>
      <c r="C7471" s="34">
        <v>26.71</v>
      </c>
      <c r="D7471" s="36">
        <v>45749.0</v>
      </c>
      <c r="E7471" s="24"/>
      <c r="F7471" s="14">
        <v>1.91</v>
      </c>
      <c r="G7471" s="14">
        <v>71.42</v>
      </c>
      <c r="H7471" s="14">
        <v>3.74</v>
      </c>
      <c r="I7471" s="14" t="s">
        <v>6091</v>
      </c>
      <c r="J7471" s="14">
        <v>0.0</v>
      </c>
      <c r="K7471" s="14" t="s">
        <v>6012</v>
      </c>
      <c r="L7471" s="14">
        <v>0.0</v>
      </c>
    </row>
    <row r="7472">
      <c r="A7472" s="14">
        <v>0.0</v>
      </c>
      <c r="B7472" s="14">
        <v>0.0</v>
      </c>
      <c r="C7472" s="34"/>
      <c r="D7472" s="36">
        <v>45750.0</v>
      </c>
      <c r="E7472" s="24"/>
      <c r="F7472" s="14" t="s">
        <v>6012</v>
      </c>
      <c r="G7472" s="14" t="s">
        <v>6012</v>
      </c>
      <c r="H7472" s="14" t="s">
        <v>6012</v>
      </c>
      <c r="I7472" s="14" t="s">
        <v>6082</v>
      </c>
      <c r="J7472" s="14" t="s">
        <v>6012</v>
      </c>
      <c r="K7472" s="14" t="s">
        <v>6012</v>
      </c>
      <c r="L7472" s="14"/>
    </row>
    <row r="7473">
      <c r="A7473" s="14">
        <v>0.0</v>
      </c>
      <c r="B7473" s="14">
        <v>0.0</v>
      </c>
      <c r="C7473" s="34"/>
      <c r="D7473" s="36">
        <v>45750.0</v>
      </c>
      <c r="E7473" s="24"/>
      <c r="F7473" s="14" t="s">
        <v>6012</v>
      </c>
      <c r="G7473" s="14" t="s">
        <v>6012</v>
      </c>
      <c r="H7473" s="14" t="s">
        <v>6012</v>
      </c>
      <c r="I7473" s="14" t="s">
        <v>6086</v>
      </c>
      <c r="J7473" s="14" t="s">
        <v>6012</v>
      </c>
      <c r="K7473" s="14" t="s">
        <v>6012</v>
      </c>
      <c r="L7473" s="14"/>
    </row>
    <row r="7474">
      <c r="A7474" s="14">
        <v>196.0</v>
      </c>
      <c r="B7474" s="14">
        <v>2.0</v>
      </c>
      <c r="C7474" s="34">
        <v>23.91</v>
      </c>
      <c r="D7474" s="36">
        <v>45750.0</v>
      </c>
      <c r="E7474" s="24"/>
      <c r="F7474" s="14">
        <v>11.96</v>
      </c>
      <c r="G7474" s="14">
        <v>121.99</v>
      </c>
      <c r="H7474" s="14">
        <v>1.02</v>
      </c>
      <c r="I7474" s="14" t="s">
        <v>6093</v>
      </c>
      <c r="J7474" s="14">
        <v>0.0</v>
      </c>
      <c r="K7474" s="14" t="s">
        <v>6012</v>
      </c>
      <c r="L7474" s="14">
        <v>0.0</v>
      </c>
    </row>
    <row r="7475">
      <c r="A7475" s="14">
        <v>0.0</v>
      </c>
      <c r="B7475" s="14">
        <v>0.0</v>
      </c>
      <c r="C7475" s="34">
        <v>12.51</v>
      </c>
      <c r="D7475" s="36">
        <v>45750.0</v>
      </c>
      <c r="E7475" s="24"/>
      <c r="F7475" s="14" t="s">
        <v>6012</v>
      </c>
      <c r="G7475" s="14" t="s">
        <v>6012</v>
      </c>
      <c r="H7475" s="14" t="s">
        <v>6012</v>
      </c>
      <c r="I7475" s="14" t="s">
        <v>6064</v>
      </c>
      <c r="J7475" s="14" t="s">
        <v>6012</v>
      </c>
      <c r="K7475" s="14" t="s">
        <v>6012</v>
      </c>
      <c r="L7475" s="14">
        <v>0.0</v>
      </c>
    </row>
    <row r="7476">
      <c r="A7476" s="14">
        <v>0.0</v>
      </c>
      <c r="B7476" s="14">
        <v>0.0</v>
      </c>
      <c r="C7476" s="34"/>
      <c r="D7476" s="36">
        <v>45750.0</v>
      </c>
      <c r="E7476" s="24"/>
      <c r="F7476" s="14" t="s">
        <v>6012</v>
      </c>
      <c r="G7476" s="14" t="s">
        <v>6012</v>
      </c>
      <c r="H7476" s="14" t="s">
        <v>6012</v>
      </c>
      <c r="I7476" s="14" t="s">
        <v>6090</v>
      </c>
      <c r="J7476" s="14" t="s">
        <v>6012</v>
      </c>
      <c r="K7476" s="14" t="s">
        <v>6012</v>
      </c>
      <c r="L7476" s="14"/>
    </row>
    <row r="7477">
      <c r="A7477" s="14">
        <v>0.0</v>
      </c>
      <c r="B7477" s="14">
        <v>0.0</v>
      </c>
      <c r="C7477" s="34"/>
      <c r="D7477" s="36">
        <v>45750.0</v>
      </c>
      <c r="E7477" s="24"/>
      <c r="F7477" s="14" t="s">
        <v>6012</v>
      </c>
      <c r="G7477" s="14" t="s">
        <v>6012</v>
      </c>
      <c r="H7477" s="14" t="s">
        <v>6012</v>
      </c>
      <c r="I7477" s="14" t="s">
        <v>6089</v>
      </c>
      <c r="J7477" s="14" t="s">
        <v>6012</v>
      </c>
      <c r="K7477" s="14" t="s">
        <v>6012</v>
      </c>
      <c r="L7477" s="14"/>
    </row>
    <row r="7478">
      <c r="A7478" s="14">
        <v>0.0</v>
      </c>
      <c r="B7478" s="14">
        <v>0.0</v>
      </c>
      <c r="C7478" s="34">
        <v>11.88</v>
      </c>
      <c r="D7478" s="36">
        <v>45750.0</v>
      </c>
      <c r="E7478" s="24"/>
      <c r="F7478" s="14" t="s">
        <v>6012</v>
      </c>
      <c r="G7478" s="14" t="s">
        <v>6012</v>
      </c>
      <c r="H7478" s="14" t="s">
        <v>6012</v>
      </c>
      <c r="I7478" s="14" t="s">
        <v>6088</v>
      </c>
      <c r="J7478" s="14" t="s">
        <v>6012</v>
      </c>
      <c r="K7478" s="14">
        <v>1.08</v>
      </c>
      <c r="L7478" s="14">
        <v>0.0</v>
      </c>
    </row>
    <row r="7479">
      <c r="A7479" s="14">
        <v>99.0</v>
      </c>
      <c r="B7479" s="14">
        <v>2.0</v>
      </c>
      <c r="C7479" s="34">
        <v>23.69</v>
      </c>
      <c r="D7479" s="36">
        <v>45750.0</v>
      </c>
      <c r="E7479" s="24"/>
      <c r="F7479" s="14">
        <v>11.84</v>
      </c>
      <c r="G7479" s="14">
        <v>239.29</v>
      </c>
      <c r="H7479" s="14">
        <v>2.02</v>
      </c>
      <c r="I7479" s="14" t="s">
        <v>6092</v>
      </c>
      <c r="J7479" s="14">
        <v>0.0</v>
      </c>
      <c r="K7479" s="14" t="s">
        <v>6012</v>
      </c>
      <c r="L7479" s="14">
        <v>0.0</v>
      </c>
    </row>
    <row r="7480">
      <c r="A7480" s="14">
        <v>570.0</v>
      </c>
      <c r="B7480" s="14">
        <v>16.0</v>
      </c>
      <c r="C7480" s="34">
        <v>25.62</v>
      </c>
      <c r="D7480" s="36">
        <v>45750.0</v>
      </c>
      <c r="E7480" s="24"/>
      <c r="F7480" s="14">
        <v>1.6</v>
      </c>
      <c r="G7480" s="14">
        <v>44.95</v>
      </c>
      <c r="H7480" s="14">
        <v>2.81</v>
      </c>
      <c r="I7480" s="14" t="s">
        <v>6091</v>
      </c>
      <c r="J7480" s="14">
        <v>0.0</v>
      </c>
      <c r="K7480" s="14" t="s">
        <v>6012</v>
      </c>
      <c r="L7480" s="14">
        <v>0.0</v>
      </c>
    </row>
    <row r="7481">
      <c r="A7481" s="14">
        <v>76.0</v>
      </c>
      <c r="B7481" s="14">
        <v>0.0</v>
      </c>
      <c r="C7481" s="34">
        <v>21.67</v>
      </c>
      <c r="D7481" s="36">
        <v>45750.0</v>
      </c>
      <c r="E7481" s="24"/>
      <c r="F7481" s="14" t="s">
        <v>6012</v>
      </c>
      <c r="G7481" s="14">
        <v>285.13</v>
      </c>
      <c r="H7481" s="14">
        <v>0.0</v>
      </c>
      <c r="I7481" s="14" t="s">
        <v>6087</v>
      </c>
      <c r="J7481" s="14" t="s">
        <v>6012</v>
      </c>
      <c r="K7481" s="14">
        <v>5.42</v>
      </c>
      <c r="L7481" s="14">
        <v>0.0</v>
      </c>
    </row>
    <row r="7482">
      <c r="A7482" s="14">
        <v>64.0</v>
      </c>
      <c r="B7482" s="14">
        <v>0.0</v>
      </c>
      <c r="C7482" s="34">
        <v>19.59</v>
      </c>
      <c r="D7482" s="36">
        <v>45751.0</v>
      </c>
      <c r="E7482" s="24"/>
      <c r="F7482" s="14" t="s">
        <v>6012</v>
      </c>
      <c r="G7482" s="14">
        <v>306.09</v>
      </c>
      <c r="H7482" s="14">
        <v>0.0</v>
      </c>
      <c r="I7482" s="14" t="s">
        <v>6087</v>
      </c>
      <c r="J7482" s="14" t="s">
        <v>6012</v>
      </c>
      <c r="K7482" s="14">
        <v>2.45</v>
      </c>
      <c r="L7482" s="14">
        <v>0.0</v>
      </c>
    </row>
    <row r="7483">
      <c r="A7483" s="14">
        <v>0.0</v>
      </c>
      <c r="B7483" s="14">
        <v>0.0</v>
      </c>
      <c r="C7483" s="34"/>
      <c r="D7483" s="36">
        <v>45751.0</v>
      </c>
      <c r="E7483" s="24"/>
      <c r="F7483" s="14" t="s">
        <v>6012</v>
      </c>
      <c r="G7483" s="14" t="s">
        <v>6012</v>
      </c>
      <c r="H7483" s="14" t="s">
        <v>6012</v>
      </c>
      <c r="I7483" s="14" t="s">
        <v>6089</v>
      </c>
      <c r="J7483" s="14" t="s">
        <v>6012</v>
      </c>
      <c r="K7483" s="14" t="s">
        <v>6012</v>
      </c>
      <c r="L7483" s="14"/>
    </row>
    <row r="7484">
      <c r="A7484" s="14">
        <v>0.0</v>
      </c>
      <c r="B7484" s="14">
        <v>0.0</v>
      </c>
      <c r="C7484" s="34">
        <v>10.15</v>
      </c>
      <c r="D7484" s="36">
        <v>45751.0</v>
      </c>
      <c r="E7484" s="24"/>
      <c r="F7484" s="14" t="s">
        <v>6012</v>
      </c>
      <c r="G7484" s="14" t="s">
        <v>6012</v>
      </c>
      <c r="H7484" s="14" t="s">
        <v>6012</v>
      </c>
      <c r="I7484" s="14" t="s">
        <v>6064</v>
      </c>
      <c r="J7484" s="14" t="s">
        <v>6012</v>
      </c>
      <c r="K7484" s="14" t="s">
        <v>6012</v>
      </c>
      <c r="L7484" s="14">
        <v>0.0</v>
      </c>
    </row>
    <row r="7485">
      <c r="A7485" s="14">
        <v>0.0</v>
      </c>
      <c r="B7485" s="14">
        <v>0.0</v>
      </c>
      <c r="C7485" s="34">
        <v>10.51</v>
      </c>
      <c r="D7485" s="36">
        <v>45751.0</v>
      </c>
      <c r="E7485" s="24"/>
      <c r="F7485" s="14" t="s">
        <v>6012</v>
      </c>
      <c r="G7485" s="14" t="s">
        <v>6012</v>
      </c>
      <c r="H7485" s="14" t="s">
        <v>6012</v>
      </c>
      <c r="I7485" s="14" t="s">
        <v>6088</v>
      </c>
      <c r="J7485" s="14" t="s">
        <v>6012</v>
      </c>
      <c r="K7485" s="14">
        <v>1.31</v>
      </c>
      <c r="L7485" s="14">
        <v>0.0</v>
      </c>
    </row>
    <row r="7486">
      <c r="A7486" s="14">
        <v>156.0</v>
      </c>
      <c r="B7486" s="14">
        <v>0.0</v>
      </c>
      <c r="C7486" s="34">
        <v>19.01</v>
      </c>
      <c r="D7486" s="36">
        <v>45751.0</v>
      </c>
      <c r="E7486" s="24"/>
      <c r="F7486" s="14" t="s">
        <v>6012</v>
      </c>
      <c r="G7486" s="14">
        <v>121.86</v>
      </c>
      <c r="H7486" s="14">
        <v>0.0</v>
      </c>
      <c r="I7486" s="14" t="s">
        <v>6093</v>
      </c>
      <c r="J7486" s="14" t="s">
        <v>6012</v>
      </c>
      <c r="K7486" s="14" t="s">
        <v>6012</v>
      </c>
      <c r="L7486" s="14">
        <v>0.0</v>
      </c>
    </row>
    <row r="7487">
      <c r="A7487" s="14">
        <v>0.0</v>
      </c>
      <c r="B7487" s="14">
        <v>0.0</v>
      </c>
      <c r="C7487" s="34"/>
      <c r="D7487" s="36">
        <v>45751.0</v>
      </c>
      <c r="E7487" s="24"/>
      <c r="F7487" s="14" t="s">
        <v>6012</v>
      </c>
      <c r="G7487" s="14" t="s">
        <v>6012</v>
      </c>
      <c r="H7487" s="14" t="s">
        <v>6012</v>
      </c>
      <c r="I7487" s="14" t="s">
        <v>6082</v>
      </c>
      <c r="J7487" s="14" t="s">
        <v>6012</v>
      </c>
      <c r="K7487" s="14" t="s">
        <v>6012</v>
      </c>
      <c r="L7487" s="14"/>
    </row>
    <row r="7488">
      <c r="A7488" s="14">
        <v>0.0</v>
      </c>
      <c r="B7488" s="14">
        <v>0.0</v>
      </c>
      <c r="C7488" s="34"/>
      <c r="D7488" s="36">
        <v>45751.0</v>
      </c>
      <c r="E7488" s="24"/>
      <c r="F7488" s="14" t="s">
        <v>6012</v>
      </c>
      <c r="G7488" s="14" t="s">
        <v>6012</v>
      </c>
      <c r="H7488" s="14" t="s">
        <v>6012</v>
      </c>
      <c r="I7488" s="14" t="s">
        <v>6090</v>
      </c>
      <c r="J7488" s="14" t="s">
        <v>6012</v>
      </c>
      <c r="K7488" s="14" t="s">
        <v>6012</v>
      </c>
      <c r="L7488" s="14"/>
    </row>
    <row r="7489">
      <c r="A7489" s="14">
        <v>93.0</v>
      </c>
      <c r="B7489" s="14">
        <v>1.0</v>
      </c>
      <c r="C7489" s="34">
        <v>22.65</v>
      </c>
      <c r="D7489" s="36">
        <v>45751.0</v>
      </c>
      <c r="E7489" s="24"/>
      <c r="F7489" s="14">
        <v>22.65</v>
      </c>
      <c r="G7489" s="14">
        <v>243.55</v>
      </c>
      <c r="H7489" s="14">
        <v>1.08</v>
      </c>
      <c r="I7489" s="14" t="s">
        <v>6092</v>
      </c>
      <c r="J7489" s="14">
        <v>0.0</v>
      </c>
      <c r="K7489" s="14" t="s">
        <v>6012</v>
      </c>
      <c r="L7489" s="14">
        <v>0.0</v>
      </c>
    </row>
    <row r="7490">
      <c r="A7490" s="14">
        <v>479.0</v>
      </c>
      <c r="B7490" s="14">
        <v>12.0</v>
      </c>
      <c r="C7490" s="34">
        <v>24.33</v>
      </c>
      <c r="D7490" s="36">
        <v>45751.0</v>
      </c>
      <c r="E7490" s="24"/>
      <c r="F7490" s="14">
        <v>2.03</v>
      </c>
      <c r="G7490" s="14">
        <v>50.79</v>
      </c>
      <c r="H7490" s="14">
        <v>2.51</v>
      </c>
      <c r="I7490" s="14" t="s">
        <v>6091</v>
      </c>
      <c r="J7490" s="14">
        <v>0.0</v>
      </c>
      <c r="K7490" s="14" t="s">
        <v>6012</v>
      </c>
      <c r="L7490" s="14">
        <v>0.0</v>
      </c>
    </row>
    <row r="7491">
      <c r="A7491" s="14">
        <v>0.0</v>
      </c>
      <c r="B7491" s="14">
        <v>0.0</v>
      </c>
      <c r="C7491" s="34"/>
      <c r="D7491" s="36">
        <v>45751.0</v>
      </c>
      <c r="E7491" s="24"/>
      <c r="F7491" s="14" t="s">
        <v>6012</v>
      </c>
      <c r="G7491" s="14" t="s">
        <v>6012</v>
      </c>
      <c r="H7491" s="14" t="s">
        <v>6012</v>
      </c>
      <c r="I7491" s="14" t="s">
        <v>6086</v>
      </c>
      <c r="J7491" s="14" t="s">
        <v>6012</v>
      </c>
      <c r="K7491" s="14" t="s">
        <v>6012</v>
      </c>
      <c r="L7491" s="14"/>
    </row>
    <row r="7492">
      <c r="A7492" s="14">
        <v>58.0</v>
      </c>
      <c r="B7492" s="14">
        <v>0.0</v>
      </c>
      <c r="C7492" s="34">
        <v>15.92</v>
      </c>
      <c r="D7492" s="36">
        <v>45752.0</v>
      </c>
      <c r="E7492" s="24"/>
      <c r="F7492" s="14" t="s">
        <v>6012</v>
      </c>
      <c r="G7492" s="14">
        <v>274.48</v>
      </c>
      <c r="H7492" s="14">
        <v>0.0</v>
      </c>
      <c r="I7492" s="14" t="s">
        <v>6092</v>
      </c>
      <c r="J7492" s="14" t="s">
        <v>6012</v>
      </c>
      <c r="K7492" s="14" t="s">
        <v>6012</v>
      </c>
      <c r="L7492" s="14">
        <v>0.0</v>
      </c>
    </row>
    <row r="7493">
      <c r="A7493" s="14">
        <v>0.0</v>
      </c>
      <c r="B7493" s="14">
        <v>0.0</v>
      </c>
      <c r="C7493" s="34">
        <v>7.05</v>
      </c>
      <c r="D7493" s="36">
        <v>45752.0</v>
      </c>
      <c r="E7493" s="24"/>
      <c r="F7493" s="14" t="s">
        <v>6012</v>
      </c>
      <c r="G7493" s="14" t="s">
        <v>6012</v>
      </c>
      <c r="H7493" s="14" t="s">
        <v>6012</v>
      </c>
      <c r="I7493" s="14" t="s">
        <v>6064</v>
      </c>
      <c r="J7493" s="14" t="s">
        <v>6012</v>
      </c>
      <c r="K7493" s="14" t="s">
        <v>6012</v>
      </c>
      <c r="L7493" s="14">
        <v>0.0</v>
      </c>
    </row>
    <row r="7494">
      <c r="A7494" s="14">
        <v>0.0</v>
      </c>
      <c r="B7494" s="14">
        <v>0.0</v>
      </c>
      <c r="C7494" s="34">
        <v>6.8</v>
      </c>
      <c r="D7494" s="36">
        <v>45752.0</v>
      </c>
      <c r="E7494" s="24"/>
      <c r="F7494" s="14" t="s">
        <v>6012</v>
      </c>
      <c r="G7494" s="14" t="s">
        <v>6012</v>
      </c>
      <c r="H7494" s="14" t="s">
        <v>6012</v>
      </c>
      <c r="I7494" s="14" t="s">
        <v>6088</v>
      </c>
      <c r="J7494" s="14" t="s">
        <v>6012</v>
      </c>
      <c r="K7494" s="14">
        <v>3.4</v>
      </c>
      <c r="L7494" s="14">
        <v>0.0</v>
      </c>
    </row>
    <row r="7495">
      <c r="A7495" s="14">
        <v>38.0</v>
      </c>
      <c r="B7495" s="14">
        <v>0.0</v>
      </c>
      <c r="C7495" s="34">
        <v>14.19</v>
      </c>
      <c r="D7495" s="36">
        <v>45752.0</v>
      </c>
      <c r="E7495" s="24"/>
      <c r="F7495" s="14" t="s">
        <v>6012</v>
      </c>
      <c r="G7495" s="14">
        <v>373.42</v>
      </c>
      <c r="H7495" s="14">
        <v>0.0</v>
      </c>
      <c r="I7495" s="14" t="s">
        <v>6087</v>
      </c>
      <c r="J7495" s="14" t="s">
        <v>6012</v>
      </c>
      <c r="K7495" s="14">
        <v>7.1</v>
      </c>
      <c r="L7495" s="14">
        <v>0.0</v>
      </c>
    </row>
    <row r="7496">
      <c r="A7496" s="14">
        <v>527.0</v>
      </c>
      <c r="B7496" s="14">
        <v>9.0</v>
      </c>
      <c r="C7496" s="34">
        <v>16.87</v>
      </c>
      <c r="D7496" s="36">
        <v>45752.0</v>
      </c>
      <c r="E7496" s="24"/>
      <c r="F7496" s="14">
        <v>1.87</v>
      </c>
      <c r="G7496" s="14">
        <v>32.01</v>
      </c>
      <c r="H7496" s="14">
        <v>1.71</v>
      </c>
      <c r="I7496" s="14" t="s">
        <v>6091</v>
      </c>
      <c r="J7496" s="14">
        <v>0.0</v>
      </c>
      <c r="K7496" s="14" t="s">
        <v>6012</v>
      </c>
      <c r="L7496" s="14">
        <v>0.0</v>
      </c>
    </row>
    <row r="7497">
      <c r="A7497" s="14">
        <v>0.0</v>
      </c>
      <c r="B7497" s="14">
        <v>0.0</v>
      </c>
      <c r="C7497" s="34"/>
      <c r="D7497" s="36">
        <v>45752.0</v>
      </c>
      <c r="E7497" s="24"/>
      <c r="F7497" s="14" t="s">
        <v>6012</v>
      </c>
      <c r="G7497" s="14" t="s">
        <v>6012</v>
      </c>
      <c r="H7497" s="14" t="s">
        <v>6012</v>
      </c>
      <c r="I7497" s="14" t="s">
        <v>6082</v>
      </c>
      <c r="J7497" s="14" t="s">
        <v>6012</v>
      </c>
      <c r="K7497" s="14" t="s">
        <v>6012</v>
      </c>
      <c r="L7497" s="14"/>
    </row>
    <row r="7498">
      <c r="A7498" s="14">
        <v>0.0</v>
      </c>
      <c r="B7498" s="14">
        <v>0.0</v>
      </c>
      <c r="C7498" s="34"/>
      <c r="D7498" s="36">
        <v>45752.0</v>
      </c>
      <c r="E7498" s="24"/>
      <c r="F7498" s="14" t="s">
        <v>6012</v>
      </c>
      <c r="G7498" s="14" t="s">
        <v>6012</v>
      </c>
      <c r="H7498" s="14" t="s">
        <v>6012</v>
      </c>
      <c r="I7498" s="14" t="s">
        <v>6090</v>
      </c>
      <c r="J7498" s="14" t="s">
        <v>6012</v>
      </c>
      <c r="K7498" s="14" t="s">
        <v>6012</v>
      </c>
      <c r="L7498" s="14"/>
    </row>
    <row r="7499">
      <c r="A7499" s="14">
        <v>0.0</v>
      </c>
      <c r="B7499" s="14">
        <v>0.0</v>
      </c>
      <c r="C7499" s="34"/>
      <c r="D7499" s="36">
        <v>45752.0</v>
      </c>
      <c r="E7499" s="24"/>
      <c r="F7499" s="14" t="s">
        <v>6012</v>
      </c>
      <c r="G7499" s="14" t="s">
        <v>6012</v>
      </c>
      <c r="H7499" s="14" t="s">
        <v>6012</v>
      </c>
      <c r="I7499" s="14" t="s">
        <v>6086</v>
      </c>
      <c r="J7499" s="14" t="s">
        <v>6012</v>
      </c>
      <c r="K7499" s="14" t="s">
        <v>6012</v>
      </c>
      <c r="L7499" s="14"/>
    </row>
    <row r="7500">
      <c r="A7500" s="14">
        <v>137.0</v>
      </c>
      <c r="B7500" s="14">
        <v>0.0</v>
      </c>
      <c r="C7500" s="34">
        <v>14.3</v>
      </c>
      <c r="D7500" s="36">
        <v>45752.0</v>
      </c>
      <c r="E7500" s="24"/>
      <c r="F7500" s="14" t="s">
        <v>6012</v>
      </c>
      <c r="G7500" s="14">
        <v>104.38</v>
      </c>
      <c r="H7500" s="14">
        <v>0.0</v>
      </c>
      <c r="I7500" s="14" t="s">
        <v>6093</v>
      </c>
      <c r="J7500" s="14" t="s">
        <v>6012</v>
      </c>
      <c r="K7500" s="14" t="s">
        <v>6012</v>
      </c>
      <c r="L7500" s="14">
        <v>0.0</v>
      </c>
    </row>
    <row r="7501">
      <c r="A7501" s="14">
        <v>0.0</v>
      </c>
      <c r="B7501" s="14">
        <v>0.0</v>
      </c>
      <c r="C7501" s="34"/>
      <c r="D7501" s="36">
        <v>45753.0</v>
      </c>
      <c r="E7501" s="24"/>
      <c r="F7501" s="14" t="s">
        <v>6012</v>
      </c>
      <c r="G7501" s="14" t="s">
        <v>6012</v>
      </c>
      <c r="H7501" s="14" t="s">
        <v>6012</v>
      </c>
      <c r="I7501" s="14" t="s">
        <v>6086</v>
      </c>
      <c r="J7501" s="14" t="s">
        <v>6012</v>
      </c>
      <c r="K7501" s="14" t="s">
        <v>6012</v>
      </c>
      <c r="L7501" s="14"/>
    </row>
    <row r="7502">
      <c r="A7502" s="14">
        <v>0.0</v>
      </c>
      <c r="B7502" s="14">
        <v>0.0</v>
      </c>
      <c r="C7502" s="34"/>
      <c r="D7502" s="36">
        <v>45753.0</v>
      </c>
      <c r="E7502" s="24"/>
      <c r="F7502" s="14" t="s">
        <v>6012</v>
      </c>
      <c r="G7502" s="14" t="s">
        <v>6012</v>
      </c>
      <c r="H7502" s="14" t="s">
        <v>6012</v>
      </c>
      <c r="I7502" s="14" t="s">
        <v>6082</v>
      </c>
      <c r="J7502" s="14" t="s">
        <v>6012</v>
      </c>
      <c r="K7502" s="14" t="s">
        <v>6012</v>
      </c>
      <c r="L7502" s="14"/>
    </row>
    <row r="7503">
      <c r="A7503" s="14">
        <v>0.0</v>
      </c>
      <c r="B7503" s="14">
        <v>0.0</v>
      </c>
      <c r="C7503" s="34"/>
      <c r="D7503" s="36">
        <v>45753.0</v>
      </c>
      <c r="E7503" s="24"/>
      <c r="F7503" s="14" t="s">
        <v>6012</v>
      </c>
      <c r="G7503" s="14" t="s">
        <v>6012</v>
      </c>
      <c r="H7503" s="14" t="s">
        <v>6012</v>
      </c>
      <c r="I7503" s="14" t="s">
        <v>6090</v>
      </c>
      <c r="J7503" s="14" t="s">
        <v>6012</v>
      </c>
      <c r="K7503" s="14" t="s">
        <v>6012</v>
      </c>
      <c r="L7503" s="14"/>
    </row>
    <row r="7504">
      <c r="A7504" s="14">
        <v>0.0</v>
      </c>
      <c r="B7504" s="14">
        <v>0.0</v>
      </c>
      <c r="C7504" s="34">
        <v>5.26</v>
      </c>
      <c r="D7504" s="36">
        <v>45753.0</v>
      </c>
      <c r="E7504" s="24"/>
      <c r="F7504" s="14" t="s">
        <v>6012</v>
      </c>
      <c r="G7504" s="14" t="s">
        <v>6012</v>
      </c>
      <c r="H7504" s="14" t="s">
        <v>6012</v>
      </c>
      <c r="I7504" s="14" t="s">
        <v>6088</v>
      </c>
      <c r="J7504" s="14" t="s">
        <v>6012</v>
      </c>
      <c r="K7504" s="14">
        <v>2.63</v>
      </c>
      <c r="L7504" s="14">
        <v>0.0</v>
      </c>
    </row>
    <row r="7505">
      <c r="A7505" s="14">
        <v>87.0</v>
      </c>
      <c r="B7505" s="14">
        <v>0.0</v>
      </c>
      <c r="C7505" s="34">
        <v>11.88</v>
      </c>
      <c r="D7505" s="36">
        <v>45753.0</v>
      </c>
      <c r="E7505" s="24"/>
      <c r="F7505" s="14" t="s">
        <v>6012</v>
      </c>
      <c r="G7505" s="14">
        <v>136.55</v>
      </c>
      <c r="H7505" s="14">
        <v>0.0</v>
      </c>
      <c r="I7505" s="14" t="s">
        <v>6093</v>
      </c>
      <c r="J7505" s="14" t="s">
        <v>6012</v>
      </c>
      <c r="K7505" s="14" t="s">
        <v>6012</v>
      </c>
      <c r="L7505" s="14">
        <v>0.0</v>
      </c>
    </row>
    <row r="7506">
      <c r="A7506" s="14">
        <v>31.0</v>
      </c>
      <c r="B7506" s="14">
        <v>1.0</v>
      </c>
      <c r="C7506" s="34">
        <v>11.48</v>
      </c>
      <c r="D7506" s="36">
        <v>45753.0</v>
      </c>
      <c r="E7506" s="24"/>
      <c r="F7506" s="14">
        <v>11.48</v>
      </c>
      <c r="G7506" s="14">
        <v>370.32</v>
      </c>
      <c r="H7506" s="14">
        <v>3.23</v>
      </c>
      <c r="I7506" s="14" t="s">
        <v>6087</v>
      </c>
      <c r="J7506" s="14">
        <v>400.0</v>
      </c>
      <c r="K7506" s="14">
        <v>2.87</v>
      </c>
      <c r="L7506" s="14">
        <v>0.0</v>
      </c>
    </row>
    <row r="7507">
      <c r="A7507" s="14">
        <v>0.0</v>
      </c>
      <c r="B7507" s="14">
        <v>0.0</v>
      </c>
      <c r="C7507" s="34">
        <v>4.89</v>
      </c>
      <c r="D7507" s="36">
        <v>45753.0</v>
      </c>
      <c r="E7507" s="24"/>
      <c r="F7507" s="14" t="s">
        <v>6012</v>
      </c>
      <c r="G7507" s="14" t="s">
        <v>6012</v>
      </c>
      <c r="H7507" s="14" t="s">
        <v>6012</v>
      </c>
      <c r="I7507" s="14" t="s">
        <v>6064</v>
      </c>
      <c r="J7507" s="14" t="s">
        <v>6012</v>
      </c>
      <c r="K7507" s="14" t="s">
        <v>6012</v>
      </c>
      <c r="L7507" s="14">
        <v>0.0</v>
      </c>
    </row>
    <row r="7508">
      <c r="A7508" s="14">
        <v>0.0</v>
      </c>
      <c r="B7508" s="14">
        <v>0.0</v>
      </c>
      <c r="C7508" s="34"/>
      <c r="D7508" s="36">
        <v>45753.0</v>
      </c>
      <c r="E7508" s="24"/>
      <c r="F7508" s="14" t="s">
        <v>6012</v>
      </c>
      <c r="G7508" s="14" t="s">
        <v>6012</v>
      </c>
      <c r="H7508" s="14" t="s">
        <v>6012</v>
      </c>
      <c r="I7508" s="14" t="s">
        <v>6089</v>
      </c>
      <c r="J7508" s="14" t="s">
        <v>6012</v>
      </c>
      <c r="K7508" s="14" t="s">
        <v>6012</v>
      </c>
      <c r="L7508" s="14"/>
    </row>
    <row r="7509">
      <c r="A7509" s="14">
        <v>465.0</v>
      </c>
      <c r="B7509" s="14">
        <v>5.0</v>
      </c>
      <c r="C7509" s="34">
        <v>15.83</v>
      </c>
      <c r="D7509" s="36">
        <v>45753.0</v>
      </c>
      <c r="E7509" s="24"/>
      <c r="F7509" s="14">
        <v>3.17</v>
      </c>
      <c r="G7509" s="14">
        <v>34.04</v>
      </c>
      <c r="H7509" s="14">
        <v>1.08</v>
      </c>
      <c r="I7509" s="14" t="s">
        <v>6091</v>
      </c>
      <c r="J7509" s="14">
        <v>0.0</v>
      </c>
      <c r="K7509" s="14" t="s">
        <v>6012</v>
      </c>
      <c r="L7509" s="14">
        <v>0.0</v>
      </c>
    </row>
    <row r="7510">
      <c r="A7510" s="14">
        <v>45.0</v>
      </c>
      <c r="B7510" s="14">
        <v>1.0</v>
      </c>
      <c r="C7510" s="34">
        <v>12.51</v>
      </c>
      <c r="D7510" s="36">
        <v>45753.0</v>
      </c>
      <c r="E7510" s="24"/>
      <c r="F7510" s="14">
        <v>12.51</v>
      </c>
      <c r="G7510" s="14">
        <v>278.0</v>
      </c>
      <c r="H7510" s="14">
        <v>2.22</v>
      </c>
      <c r="I7510" s="14" t="s">
        <v>6092</v>
      </c>
      <c r="J7510" s="14">
        <v>0.0</v>
      </c>
      <c r="K7510" s="14" t="s">
        <v>6012</v>
      </c>
      <c r="L7510" s="14">
        <v>0.0</v>
      </c>
    </row>
    <row r="7511">
      <c r="A7511" s="14">
        <v>0.0</v>
      </c>
      <c r="B7511" s="14">
        <v>0.0</v>
      </c>
      <c r="C7511" s="34"/>
      <c r="D7511" s="36">
        <v>45754.0</v>
      </c>
      <c r="E7511" s="24"/>
      <c r="F7511" s="14" t="s">
        <v>6012</v>
      </c>
      <c r="G7511" s="14" t="s">
        <v>6012</v>
      </c>
      <c r="H7511" s="14" t="s">
        <v>6012</v>
      </c>
      <c r="I7511" s="14" t="s">
        <v>6086</v>
      </c>
      <c r="J7511" s="14" t="s">
        <v>6012</v>
      </c>
      <c r="K7511" s="14" t="s">
        <v>6012</v>
      </c>
      <c r="L7511" s="14"/>
    </row>
    <row r="7512">
      <c r="A7512" s="14">
        <v>724.0</v>
      </c>
      <c r="B7512" s="14">
        <v>5.0</v>
      </c>
      <c r="C7512" s="34">
        <v>24.78</v>
      </c>
      <c r="D7512" s="36">
        <v>45754.0</v>
      </c>
      <c r="E7512" s="24"/>
      <c r="F7512" s="14">
        <v>4.96</v>
      </c>
      <c r="G7512" s="14">
        <v>34.23</v>
      </c>
      <c r="H7512" s="14">
        <v>0.69</v>
      </c>
      <c r="I7512" s="14" t="s">
        <v>6091</v>
      </c>
      <c r="J7512" s="14">
        <v>0.0</v>
      </c>
      <c r="K7512" s="14" t="s">
        <v>6012</v>
      </c>
      <c r="L7512" s="14">
        <v>0.0</v>
      </c>
    </row>
    <row r="7513">
      <c r="A7513" s="14">
        <v>0.0</v>
      </c>
      <c r="B7513" s="14">
        <v>0.0</v>
      </c>
      <c r="C7513" s="34">
        <v>11.59</v>
      </c>
      <c r="D7513" s="36">
        <v>45754.0</v>
      </c>
      <c r="E7513" s="24"/>
      <c r="F7513" s="14" t="s">
        <v>6012</v>
      </c>
      <c r="G7513" s="14" t="s">
        <v>6012</v>
      </c>
      <c r="H7513" s="14" t="s">
        <v>6012</v>
      </c>
      <c r="I7513" s="14" t="s">
        <v>6064</v>
      </c>
      <c r="J7513" s="14" t="s">
        <v>6012</v>
      </c>
      <c r="K7513" s="14" t="s">
        <v>6012</v>
      </c>
      <c r="L7513" s="14">
        <v>0.0</v>
      </c>
    </row>
    <row r="7514">
      <c r="A7514" s="14">
        <v>0.0</v>
      </c>
      <c r="B7514" s="14">
        <v>0.0</v>
      </c>
      <c r="C7514" s="34"/>
      <c r="D7514" s="36">
        <v>45754.0</v>
      </c>
      <c r="E7514" s="24"/>
      <c r="F7514" s="14" t="s">
        <v>6012</v>
      </c>
      <c r="G7514" s="14" t="s">
        <v>6012</v>
      </c>
      <c r="H7514" s="14" t="s">
        <v>6012</v>
      </c>
      <c r="I7514" s="14" t="s">
        <v>6090</v>
      </c>
      <c r="J7514" s="14" t="s">
        <v>6012</v>
      </c>
      <c r="K7514" s="14" t="s">
        <v>6012</v>
      </c>
      <c r="L7514" s="14"/>
    </row>
    <row r="7515">
      <c r="A7515" s="14">
        <v>69.0</v>
      </c>
      <c r="B7515" s="14">
        <v>0.0</v>
      </c>
      <c r="C7515" s="34">
        <v>21.86</v>
      </c>
      <c r="D7515" s="36">
        <v>45754.0</v>
      </c>
      <c r="E7515" s="24"/>
      <c r="F7515" s="14" t="s">
        <v>6012</v>
      </c>
      <c r="G7515" s="14">
        <v>316.81</v>
      </c>
      <c r="H7515" s="14">
        <v>0.0</v>
      </c>
      <c r="I7515" s="14" t="s">
        <v>6087</v>
      </c>
      <c r="J7515" s="14" t="s">
        <v>6012</v>
      </c>
      <c r="K7515" s="14">
        <v>1.21</v>
      </c>
      <c r="L7515" s="14">
        <v>0.0</v>
      </c>
    </row>
    <row r="7516">
      <c r="A7516" s="14">
        <v>0.0</v>
      </c>
      <c r="B7516" s="14">
        <v>0.0</v>
      </c>
      <c r="C7516" s="34"/>
      <c r="D7516" s="36">
        <v>45754.0</v>
      </c>
      <c r="E7516" s="24"/>
      <c r="F7516" s="14" t="s">
        <v>6012</v>
      </c>
      <c r="G7516" s="14" t="s">
        <v>6012</v>
      </c>
      <c r="H7516" s="14" t="s">
        <v>6012</v>
      </c>
      <c r="I7516" s="14" t="s">
        <v>6089</v>
      </c>
      <c r="J7516" s="14" t="s">
        <v>6012</v>
      </c>
      <c r="K7516" s="14" t="s">
        <v>6012</v>
      </c>
      <c r="L7516" s="14"/>
    </row>
    <row r="7517">
      <c r="A7517" s="14">
        <v>75.0</v>
      </c>
      <c r="B7517" s="14">
        <v>0.0</v>
      </c>
      <c r="C7517" s="34">
        <v>25.3</v>
      </c>
      <c r="D7517" s="36">
        <v>45754.0</v>
      </c>
      <c r="E7517" s="24"/>
      <c r="F7517" s="14" t="s">
        <v>6012</v>
      </c>
      <c r="G7517" s="14">
        <v>337.33</v>
      </c>
      <c r="H7517" s="14">
        <v>0.0</v>
      </c>
      <c r="I7517" s="14" t="s">
        <v>6092</v>
      </c>
      <c r="J7517" s="14" t="s">
        <v>6012</v>
      </c>
      <c r="K7517" s="14" t="s">
        <v>6012</v>
      </c>
      <c r="L7517" s="14">
        <v>0.0</v>
      </c>
    </row>
    <row r="7518">
      <c r="A7518" s="14">
        <v>146.0</v>
      </c>
      <c r="B7518" s="14">
        <v>0.0</v>
      </c>
      <c r="C7518" s="34">
        <v>23.65</v>
      </c>
      <c r="D7518" s="36">
        <v>45754.0</v>
      </c>
      <c r="E7518" s="24"/>
      <c r="F7518" s="14" t="s">
        <v>6012</v>
      </c>
      <c r="G7518" s="14">
        <v>161.99</v>
      </c>
      <c r="H7518" s="14">
        <v>0.0</v>
      </c>
      <c r="I7518" s="14" t="s">
        <v>6093</v>
      </c>
      <c r="J7518" s="14" t="s">
        <v>6012</v>
      </c>
      <c r="K7518" s="14" t="s">
        <v>6012</v>
      </c>
      <c r="L7518" s="14">
        <v>0.0</v>
      </c>
    </row>
    <row r="7519">
      <c r="A7519" s="14">
        <v>0.0</v>
      </c>
      <c r="B7519" s="14">
        <v>0.0</v>
      </c>
      <c r="C7519" s="34">
        <v>10.84</v>
      </c>
      <c r="D7519" s="36">
        <v>45754.0</v>
      </c>
      <c r="E7519" s="24"/>
      <c r="F7519" s="14" t="s">
        <v>6012</v>
      </c>
      <c r="G7519" s="14" t="s">
        <v>6012</v>
      </c>
      <c r="H7519" s="14" t="s">
        <v>6012</v>
      </c>
      <c r="I7519" s="14" t="s">
        <v>6088</v>
      </c>
      <c r="J7519" s="14" t="s">
        <v>6012</v>
      </c>
      <c r="K7519" s="14">
        <v>0.6</v>
      </c>
      <c r="L7519" s="14">
        <v>0.0</v>
      </c>
    </row>
    <row r="7520">
      <c r="A7520" s="14">
        <v>0.0</v>
      </c>
      <c r="B7520" s="14">
        <v>0.0</v>
      </c>
      <c r="C7520" s="34"/>
      <c r="D7520" s="36">
        <v>45754.0</v>
      </c>
      <c r="E7520" s="24"/>
      <c r="F7520" s="14" t="s">
        <v>6012</v>
      </c>
      <c r="G7520" s="14" t="s">
        <v>6012</v>
      </c>
      <c r="H7520" s="14" t="s">
        <v>6012</v>
      </c>
      <c r="I7520" s="14" t="s">
        <v>6082</v>
      </c>
      <c r="J7520" s="14" t="s">
        <v>6012</v>
      </c>
      <c r="K7520" s="14" t="s">
        <v>6012</v>
      </c>
      <c r="L7520" s="14"/>
    </row>
    <row r="7521">
      <c r="A7521" s="14">
        <v>682.0</v>
      </c>
      <c r="B7521" s="14">
        <v>11.0</v>
      </c>
      <c r="C7521" s="34">
        <v>27.03</v>
      </c>
      <c r="D7521" s="36">
        <v>45755.0</v>
      </c>
      <c r="E7521" s="24"/>
      <c r="F7521" s="14">
        <v>2.46</v>
      </c>
      <c r="G7521" s="14">
        <v>39.63</v>
      </c>
      <c r="H7521" s="14">
        <v>1.61</v>
      </c>
      <c r="I7521" s="14" t="s">
        <v>6091</v>
      </c>
      <c r="J7521" s="14">
        <v>0.0</v>
      </c>
      <c r="K7521" s="14" t="s">
        <v>6012</v>
      </c>
      <c r="L7521" s="14">
        <v>0.0</v>
      </c>
    </row>
    <row r="7522">
      <c r="A7522" s="14">
        <v>98.0</v>
      </c>
      <c r="B7522" s="14">
        <v>0.0</v>
      </c>
      <c r="C7522" s="34">
        <v>25.32</v>
      </c>
      <c r="D7522" s="36">
        <v>45755.0</v>
      </c>
      <c r="E7522" s="24"/>
      <c r="F7522" s="14" t="s">
        <v>6012</v>
      </c>
      <c r="G7522" s="14">
        <v>258.37</v>
      </c>
      <c r="H7522" s="14">
        <v>0.0</v>
      </c>
      <c r="I7522" s="14" t="s">
        <v>6092</v>
      </c>
      <c r="J7522" s="14" t="s">
        <v>6012</v>
      </c>
      <c r="K7522" s="14" t="s">
        <v>6012</v>
      </c>
      <c r="L7522" s="14">
        <v>0.0</v>
      </c>
    </row>
    <row r="7523">
      <c r="A7523" s="14">
        <v>0.0</v>
      </c>
      <c r="B7523" s="14">
        <v>0.0</v>
      </c>
      <c r="C7523" s="34"/>
      <c r="D7523" s="36">
        <v>45755.0</v>
      </c>
      <c r="E7523" s="24"/>
      <c r="F7523" s="14" t="s">
        <v>6012</v>
      </c>
      <c r="G7523" s="14" t="s">
        <v>6012</v>
      </c>
      <c r="H7523" s="14" t="s">
        <v>6012</v>
      </c>
      <c r="I7523" s="14" t="s">
        <v>6089</v>
      </c>
      <c r="J7523" s="14" t="s">
        <v>6012</v>
      </c>
      <c r="K7523" s="14" t="s">
        <v>6012</v>
      </c>
      <c r="L7523" s="14"/>
    </row>
    <row r="7524">
      <c r="A7524" s="14">
        <v>72.0</v>
      </c>
      <c r="B7524" s="14">
        <v>0.0</v>
      </c>
      <c r="C7524" s="34">
        <v>22.36</v>
      </c>
      <c r="D7524" s="36">
        <v>45755.0</v>
      </c>
      <c r="E7524" s="24"/>
      <c r="F7524" s="14" t="s">
        <v>6012</v>
      </c>
      <c r="G7524" s="14">
        <v>310.56</v>
      </c>
      <c r="H7524" s="14">
        <v>0.0</v>
      </c>
      <c r="I7524" s="14" t="s">
        <v>6087</v>
      </c>
      <c r="J7524" s="14" t="s">
        <v>6012</v>
      </c>
      <c r="K7524" s="14">
        <v>3.73</v>
      </c>
      <c r="L7524" s="14">
        <v>0.0</v>
      </c>
    </row>
    <row r="7525">
      <c r="A7525" s="14">
        <v>0.0</v>
      </c>
      <c r="B7525" s="14">
        <v>0.0</v>
      </c>
      <c r="C7525" s="34"/>
      <c r="D7525" s="36">
        <v>45755.0</v>
      </c>
      <c r="E7525" s="24"/>
      <c r="F7525" s="14" t="s">
        <v>6012</v>
      </c>
      <c r="G7525" s="14" t="s">
        <v>6012</v>
      </c>
      <c r="H7525" s="14" t="s">
        <v>6012</v>
      </c>
      <c r="I7525" s="14" t="s">
        <v>6082</v>
      </c>
      <c r="J7525" s="14" t="s">
        <v>6012</v>
      </c>
      <c r="K7525" s="14" t="s">
        <v>6012</v>
      </c>
      <c r="L7525" s="14"/>
    </row>
    <row r="7526">
      <c r="A7526" s="14">
        <v>0.0</v>
      </c>
      <c r="B7526" s="14">
        <v>0.0</v>
      </c>
      <c r="C7526" s="34"/>
      <c r="D7526" s="36">
        <v>45755.0</v>
      </c>
      <c r="E7526" s="24"/>
      <c r="F7526" s="14" t="s">
        <v>6012</v>
      </c>
      <c r="G7526" s="14" t="s">
        <v>6012</v>
      </c>
      <c r="H7526" s="14" t="s">
        <v>6012</v>
      </c>
      <c r="I7526" s="14" t="s">
        <v>6090</v>
      </c>
      <c r="J7526" s="14" t="s">
        <v>6012</v>
      </c>
      <c r="K7526" s="14" t="s">
        <v>6012</v>
      </c>
      <c r="L7526" s="14"/>
    </row>
    <row r="7527">
      <c r="A7527" s="14">
        <v>0.0</v>
      </c>
      <c r="B7527" s="14">
        <v>0.0</v>
      </c>
      <c r="C7527" s="34"/>
      <c r="D7527" s="36">
        <v>45755.0</v>
      </c>
      <c r="E7527" s="24"/>
      <c r="F7527" s="14" t="s">
        <v>6012</v>
      </c>
      <c r="G7527" s="14" t="s">
        <v>6012</v>
      </c>
      <c r="H7527" s="14" t="s">
        <v>6012</v>
      </c>
      <c r="I7527" s="14" t="s">
        <v>6086</v>
      </c>
      <c r="J7527" s="14" t="s">
        <v>6012</v>
      </c>
      <c r="K7527" s="14" t="s">
        <v>6012</v>
      </c>
      <c r="L7527" s="14"/>
    </row>
    <row r="7528">
      <c r="A7528" s="14">
        <v>169.0</v>
      </c>
      <c r="B7528" s="14">
        <v>0.0</v>
      </c>
      <c r="C7528" s="34">
        <v>22.42</v>
      </c>
      <c r="D7528" s="36">
        <v>45755.0</v>
      </c>
      <c r="E7528" s="24"/>
      <c r="F7528" s="14" t="s">
        <v>6012</v>
      </c>
      <c r="G7528" s="14">
        <v>132.66</v>
      </c>
      <c r="H7528" s="14">
        <v>0.0</v>
      </c>
      <c r="I7528" s="14" t="s">
        <v>6093</v>
      </c>
      <c r="J7528" s="14" t="s">
        <v>6012</v>
      </c>
      <c r="K7528" s="14" t="s">
        <v>6012</v>
      </c>
      <c r="L7528" s="14">
        <v>0.0</v>
      </c>
    </row>
    <row r="7529">
      <c r="A7529" s="14">
        <v>0.0</v>
      </c>
      <c r="B7529" s="14">
        <v>0.0</v>
      </c>
      <c r="C7529" s="34">
        <v>12.62</v>
      </c>
      <c r="D7529" s="36">
        <v>45755.0</v>
      </c>
      <c r="E7529" s="24"/>
      <c r="F7529" s="14" t="s">
        <v>6012</v>
      </c>
      <c r="G7529" s="14" t="s">
        <v>6012</v>
      </c>
      <c r="H7529" s="14" t="s">
        <v>6012</v>
      </c>
      <c r="I7529" s="14" t="s">
        <v>6088</v>
      </c>
      <c r="J7529" s="14" t="s">
        <v>6012</v>
      </c>
      <c r="K7529" s="14">
        <v>3.16</v>
      </c>
      <c r="L7529" s="14">
        <v>0.0</v>
      </c>
    </row>
    <row r="7530">
      <c r="A7530" s="14">
        <v>0.0</v>
      </c>
      <c r="B7530" s="14">
        <v>0.0</v>
      </c>
      <c r="C7530" s="34">
        <v>11.81</v>
      </c>
      <c r="D7530" s="36">
        <v>45755.0</v>
      </c>
      <c r="E7530" s="24"/>
      <c r="F7530" s="14" t="s">
        <v>6012</v>
      </c>
      <c r="G7530" s="14" t="s">
        <v>6012</v>
      </c>
      <c r="H7530" s="14" t="s">
        <v>6012</v>
      </c>
      <c r="I7530" s="14" t="s">
        <v>6064</v>
      </c>
      <c r="J7530" s="14" t="s">
        <v>6012</v>
      </c>
      <c r="K7530" s="14" t="s">
        <v>6012</v>
      </c>
      <c r="L7530" s="14">
        <v>0.0</v>
      </c>
    </row>
    <row r="7531">
      <c r="A7531" s="14">
        <v>0.0</v>
      </c>
      <c r="B7531" s="14">
        <v>0.0</v>
      </c>
      <c r="C7531" s="34"/>
      <c r="D7531" s="36">
        <v>45756.0</v>
      </c>
      <c r="E7531" s="24"/>
      <c r="F7531" s="14" t="s">
        <v>6012</v>
      </c>
      <c r="G7531" s="14" t="s">
        <v>6012</v>
      </c>
      <c r="H7531" s="14" t="s">
        <v>6012</v>
      </c>
      <c r="I7531" s="14" t="s">
        <v>6086</v>
      </c>
      <c r="J7531" s="14" t="s">
        <v>6012</v>
      </c>
      <c r="K7531" s="14" t="s">
        <v>6012</v>
      </c>
      <c r="L7531" s="14"/>
    </row>
    <row r="7532">
      <c r="A7532" s="14">
        <v>0.0</v>
      </c>
      <c r="B7532" s="14">
        <v>0.0</v>
      </c>
      <c r="C7532" s="34">
        <v>11.77</v>
      </c>
      <c r="D7532" s="36">
        <v>45756.0</v>
      </c>
      <c r="E7532" s="24"/>
      <c r="F7532" s="14" t="s">
        <v>6012</v>
      </c>
      <c r="G7532" s="14" t="s">
        <v>6012</v>
      </c>
      <c r="H7532" s="14" t="s">
        <v>6012</v>
      </c>
      <c r="I7532" s="14" t="s">
        <v>6064</v>
      </c>
      <c r="J7532" s="14" t="s">
        <v>6012</v>
      </c>
      <c r="K7532" s="14" t="s">
        <v>6012</v>
      </c>
      <c r="L7532" s="14">
        <v>1.0</v>
      </c>
    </row>
    <row r="7533">
      <c r="A7533" s="14">
        <v>0.0</v>
      </c>
      <c r="B7533" s="14">
        <v>0.0</v>
      </c>
      <c r="C7533" s="34"/>
      <c r="D7533" s="36">
        <v>45756.0</v>
      </c>
      <c r="E7533" s="24"/>
      <c r="F7533" s="14" t="s">
        <v>6012</v>
      </c>
      <c r="G7533" s="14" t="s">
        <v>6012</v>
      </c>
      <c r="H7533" s="14" t="s">
        <v>6012</v>
      </c>
      <c r="I7533" s="14" t="s">
        <v>6088</v>
      </c>
      <c r="J7533" s="14" t="s">
        <v>6012</v>
      </c>
      <c r="K7533" s="14" t="s">
        <v>6012</v>
      </c>
      <c r="L7533" s="14"/>
    </row>
    <row r="7534">
      <c r="A7534" s="14">
        <v>946.0</v>
      </c>
      <c r="B7534" s="14">
        <v>21.0</v>
      </c>
      <c r="C7534" s="34">
        <v>25.87</v>
      </c>
      <c r="D7534" s="36">
        <v>45756.0</v>
      </c>
      <c r="E7534" s="24"/>
      <c r="F7534" s="14">
        <v>1.23</v>
      </c>
      <c r="G7534" s="14">
        <v>27.35</v>
      </c>
      <c r="H7534" s="14">
        <v>2.22</v>
      </c>
      <c r="I7534" s="14" t="s">
        <v>6091</v>
      </c>
      <c r="J7534" s="14">
        <v>0.0</v>
      </c>
      <c r="K7534" s="14" t="s">
        <v>6012</v>
      </c>
      <c r="L7534" s="14">
        <v>0.0</v>
      </c>
    </row>
    <row r="7535">
      <c r="A7535" s="14">
        <v>0.0</v>
      </c>
      <c r="B7535" s="14">
        <v>0.0</v>
      </c>
      <c r="C7535" s="34"/>
      <c r="D7535" s="36">
        <v>45756.0</v>
      </c>
      <c r="E7535" s="24"/>
      <c r="F7535" s="14" t="s">
        <v>6012</v>
      </c>
      <c r="G7535" s="14" t="s">
        <v>6012</v>
      </c>
      <c r="H7535" s="14" t="s">
        <v>6012</v>
      </c>
      <c r="I7535" s="14" t="s">
        <v>6082</v>
      </c>
      <c r="J7535" s="14" t="s">
        <v>6012</v>
      </c>
      <c r="K7535" s="14" t="s">
        <v>6012</v>
      </c>
      <c r="L7535" s="14"/>
    </row>
    <row r="7536">
      <c r="A7536" s="14">
        <v>321.0</v>
      </c>
      <c r="B7536" s="14">
        <v>1.0</v>
      </c>
      <c r="C7536" s="34">
        <v>21.1</v>
      </c>
      <c r="D7536" s="36">
        <v>45756.0</v>
      </c>
      <c r="E7536" s="24"/>
      <c r="F7536" s="14">
        <v>21.1</v>
      </c>
      <c r="G7536" s="14">
        <v>65.73</v>
      </c>
      <c r="H7536" s="14">
        <v>0.31</v>
      </c>
      <c r="I7536" s="14" t="s">
        <v>6093</v>
      </c>
      <c r="J7536" s="14">
        <v>0.0</v>
      </c>
      <c r="K7536" s="14" t="s">
        <v>6012</v>
      </c>
      <c r="L7536" s="14">
        <v>0.0</v>
      </c>
    </row>
    <row r="7537">
      <c r="A7537" s="14">
        <v>129.0</v>
      </c>
      <c r="B7537" s="14">
        <v>1.0</v>
      </c>
      <c r="C7537" s="34">
        <v>23.99</v>
      </c>
      <c r="D7537" s="36">
        <v>45756.0</v>
      </c>
      <c r="E7537" s="24"/>
      <c r="F7537" s="14">
        <v>23.99</v>
      </c>
      <c r="G7537" s="14">
        <v>185.97</v>
      </c>
      <c r="H7537" s="14">
        <v>0.78</v>
      </c>
      <c r="I7537" s="14" t="s">
        <v>6092</v>
      </c>
      <c r="J7537" s="14">
        <v>0.0</v>
      </c>
      <c r="K7537" s="14" t="s">
        <v>6012</v>
      </c>
      <c r="L7537" s="14">
        <v>0.0</v>
      </c>
    </row>
    <row r="7538">
      <c r="A7538" s="14">
        <v>0.0</v>
      </c>
      <c r="B7538" s="14">
        <v>0.0</v>
      </c>
      <c r="C7538" s="34"/>
      <c r="D7538" s="36">
        <v>45756.0</v>
      </c>
      <c r="E7538" s="24"/>
      <c r="F7538" s="14" t="s">
        <v>6012</v>
      </c>
      <c r="G7538" s="14" t="s">
        <v>6012</v>
      </c>
      <c r="H7538" s="14" t="s">
        <v>6012</v>
      </c>
      <c r="I7538" s="14" t="s">
        <v>6090</v>
      </c>
      <c r="J7538" s="14" t="s">
        <v>6012</v>
      </c>
      <c r="K7538" s="14" t="s">
        <v>6012</v>
      </c>
      <c r="L7538" s="14"/>
    </row>
    <row r="7539">
      <c r="A7539" s="14">
        <v>0.0</v>
      </c>
      <c r="B7539" s="14">
        <v>0.0</v>
      </c>
      <c r="C7539" s="34"/>
      <c r="D7539" s="36">
        <v>45756.0</v>
      </c>
      <c r="E7539" s="24"/>
      <c r="F7539" s="14" t="s">
        <v>6012</v>
      </c>
      <c r="G7539" s="14" t="s">
        <v>6012</v>
      </c>
      <c r="H7539" s="14" t="s">
        <v>6012</v>
      </c>
      <c r="I7539" s="14" t="s">
        <v>6089</v>
      </c>
      <c r="J7539" s="14" t="s">
        <v>6012</v>
      </c>
      <c r="K7539" s="14" t="s">
        <v>6012</v>
      </c>
      <c r="L7539" s="14"/>
    </row>
    <row r="7540">
      <c r="A7540" s="14">
        <v>69.0</v>
      </c>
      <c r="B7540" s="14">
        <v>0.0</v>
      </c>
      <c r="C7540" s="34">
        <v>24.28</v>
      </c>
      <c r="D7540" s="36">
        <v>45756.0</v>
      </c>
      <c r="E7540" s="24"/>
      <c r="F7540" s="14" t="s">
        <v>6012</v>
      </c>
      <c r="G7540" s="14">
        <v>351.88</v>
      </c>
      <c r="H7540" s="14">
        <v>0.0</v>
      </c>
      <c r="I7540" s="14" t="s">
        <v>6087</v>
      </c>
      <c r="J7540" s="14" t="s">
        <v>6012</v>
      </c>
      <c r="K7540" s="14">
        <v>2.43</v>
      </c>
      <c r="L7540" s="14">
        <v>0.0</v>
      </c>
    </row>
    <row r="7541">
      <c r="A7541" s="14">
        <v>0.0</v>
      </c>
      <c r="B7541" s="14">
        <v>0.0</v>
      </c>
      <c r="C7541" s="34"/>
      <c r="D7541" s="36">
        <v>45757.0</v>
      </c>
      <c r="E7541" s="24"/>
      <c r="F7541" s="14" t="s">
        <v>6012</v>
      </c>
      <c r="G7541" s="14" t="s">
        <v>6012</v>
      </c>
      <c r="H7541" s="14" t="s">
        <v>6012</v>
      </c>
      <c r="I7541" s="14" t="s">
        <v>6089</v>
      </c>
      <c r="J7541" s="14" t="s">
        <v>6012</v>
      </c>
      <c r="K7541" s="14" t="s">
        <v>6012</v>
      </c>
      <c r="L7541" s="14"/>
    </row>
    <row r="7542">
      <c r="A7542" s="14">
        <v>0.0</v>
      </c>
      <c r="B7542" s="14">
        <v>0.0</v>
      </c>
      <c r="C7542" s="34"/>
      <c r="D7542" s="36">
        <v>45757.0</v>
      </c>
      <c r="E7542" s="24"/>
      <c r="F7542" s="14" t="s">
        <v>6012</v>
      </c>
      <c r="G7542" s="14" t="s">
        <v>6012</v>
      </c>
      <c r="H7542" s="14" t="s">
        <v>6012</v>
      </c>
      <c r="I7542" s="14" t="s">
        <v>6090</v>
      </c>
      <c r="J7542" s="14" t="s">
        <v>6012</v>
      </c>
      <c r="K7542" s="14" t="s">
        <v>6012</v>
      </c>
      <c r="L7542" s="14"/>
    </row>
    <row r="7543">
      <c r="A7543" s="14">
        <v>1159.0</v>
      </c>
      <c r="B7543" s="14">
        <v>22.0</v>
      </c>
      <c r="C7543" s="34">
        <v>25.71</v>
      </c>
      <c r="D7543" s="36">
        <v>45757.0</v>
      </c>
      <c r="E7543" s="24"/>
      <c r="F7543" s="14">
        <v>1.17</v>
      </c>
      <c r="G7543" s="14">
        <v>22.18</v>
      </c>
      <c r="H7543" s="14">
        <v>1.9</v>
      </c>
      <c r="I7543" s="14" t="s">
        <v>6091</v>
      </c>
      <c r="J7543" s="14">
        <v>0.0</v>
      </c>
      <c r="K7543" s="14" t="s">
        <v>6012</v>
      </c>
      <c r="L7543" s="14">
        <v>0.0</v>
      </c>
    </row>
    <row r="7544">
      <c r="A7544" s="14">
        <v>57.0</v>
      </c>
      <c r="B7544" s="14">
        <v>0.0</v>
      </c>
      <c r="C7544" s="34">
        <v>23.5</v>
      </c>
      <c r="D7544" s="36">
        <v>45757.0</v>
      </c>
      <c r="E7544" s="24"/>
      <c r="F7544" s="14" t="s">
        <v>6012</v>
      </c>
      <c r="G7544" s="14">
        <v>412.28</v>
      </c>
      <c r="H7544" s="14">
        <v>0.0</v>
      </c>
      <c r="I7544" s="14" t="s">
        <v>6087</v>
      </c>
      <c r="J7544" s="14" t="s">
        <v>6012</v>
      </c>
      <c r="K7544" s="14">
        <v>5.88</v>
      </c>
      <c r="L7544" s="14">
        <v>0.0</v>
      </c>
    </row>
    <row r="7545">
      <c r="A7545" s="14">
        <v>0.0</v>
      </c>
      <c r="B7545" s="14">
        <v>0.0</v>
      </c>
      <c r="C7545" s="34"/>
      <c r="D7545" s="36">
        <v>45757.0</v>
      </c>
      <c r="E7545" s="24"/>
      <c r="F7545" s="14" t="s">
        <v>6012</v>
      </c>
      <c r="G7545" s="14" t="s">
        <v>6012</v>
      </c>
      <c r="H7545" s="14" t="s">
        <v>6012</v>
      </c>
      <c r="I7545" s="14" t="s">
        <v>6088</v>
      </c>
      <c r="J7545" s="14" t="s">
        <v>6012</v>
      </c>
      <c r="K7545" s="14" t="s">
        <v>6012</v>
      </c>
      <c r="L7545" s="14"/>
    </row>
    <row r="7546">
      <c r="A7546" s="14">
        <v>0.0</v>
      </c>
      <c r="B7546" s="14">
        <v>0.0</v>
      </c>
      <c r="C7546" s="34"/>
      <c r="D7546" s="36">
        <v>45757.0</v>
      </c>
      <c r="E7546" s="24"/>
      <c r="F7546" s="14" t="s">
        <v>6012</v>
      </c>
      <c r="G7546" s="14" t="s">
        <v>6012</v>
      </c>
      <c r="H7546" s="14" t="s">
        <v>6012</v>
      </c>
      <c r="I7546" s="14" t="s">
        <v>6086</v>
      </c>
      <c r="J7546" s="14" t="s">
        <v>6012</v>
      </c>
      <c r="K7546" s="14" t="s">
        <v>6012</v>
      </c>
      <c r="L7546" s="14"/>
    </row>
    <row r="7547">
      <c r="A7547" s="14">
        <v>1695.0</v>
      </c>
      <c r="B7547" s="14">
        <v>44.0</v>
      </c>
      <c r="C7547" s="34">
        <v>26.6</v>
      </c>
      <c r="D7547" s="36">
        <v>45757.0</v>
      </c>
      <c r="E7547" s="24"/>
      <c r="F7547" s="14">
        <v>0.6</v>
      </c>
      <c r="G7547" s="14">
        <v>15.69</v>
      </c>
      <c r="H7547" s="14">
        <v>2.6</v>
      </c>
      <c r="I7547" s="14" t="s">
        <v>6094</v>
      </c>
      <c r="J7547" s="14">
        <v>0.0</v>
      </c>
      <c r="K7547" s="14" t="s">
        <v>6012</v>
      </c>
      <c r="L7547" s="14">
        <v>0.0</v>
      </c>
    </row>
    <row r="7548">
      <c r="A7548" s="14">
        <v>0.0</v>
      </c>
      <c r="B7548" s="14">
        <v>0.0</v>
      </c>
      <c r="C7548" s="34">
        <v>4.21</v>
      </c>
      <c r="D7548" s="36">
        <v>45757.0</v>
      </c>
      <c r="E7548" s="24"/>
      <c r="F7548" s="14" t="s">
        <v>6012</v>
      </c>
      <c r="G7548" s="14" t="s">
        <v>6012</v>
      </c>
      <c r="H7548" s="14" t="s">
        <v>6012</v>
      </c>
      <c r="I7548" s="14" t="s">
        <v>6064</v>
      </c>
      <c r="J7548" s="14" t="s">
        <v>6012</v>
      </c>
      <c r="K7548" s="14" t="s">
        <v>6012</v>
      </c>
      <c r="L7548" s="14">
        <v>0.0</v>
      </c>
    </row>
    <row r="7549">
      <c r="A7549" s="14">
        <v>202.0</v>
      </c>
      <c r="B7549" s="14">
        <v>2.0</v>
      </c>
      <c r="C7549" s="34">
        <v>21.64</v>
      </c>
      <c r="D7549" s="36">
        <v>45757.0</v>
      </c>
      <c r="E7549" s="24"/>
      <c r="F7549" s="14">
        <v>10.82</v>
      </c>
      <c r="G7549" s="14">
        <v>107.13</v>
      </c>
      <c r="H7549" s="14">
        <v>0.99</v>
      </c>
      <c r="I7549" s="14" t="s">
        <v>6093</v>
      </c>
      <c r="J7549" s="14">
        <v>0.0</v>
      </c>
      <c r="K7549" s="14" t="s">
        <v>6012</v>
      </c>
      <c r="L7549" s="14">
        <v>0.0</v>
      </c>
    </row>
    <row r="7550">
      <c r="A7550" s="14">
        <v>86.0</v>
      </c>
      <c r="B7550" s="14">
        <v>0.0</v>
      </c>
      <c r="C7550" s="34">
        <v>26.93</v>
      </c>
      <c r="D7550" s="36">
        <v>45757.0</v>
      </c>
      <c r="E7550" s="24"/>
      <c r="F7550" s="14" t="s">
        <v>6012</v>
      </c>
      <c r="G7550" s="14">
        <v>313.14</v>
      </c>
      <c r="H7550" s="14">
        <v>0.0</v>
      </c>
      <c r="I7550" s="14" t="s">
        <v>6092</v>
      </c>
      <c r="J7550" s="14" t="s">
        <v>6012</v>
      </c>
      <c r="K7550" s="14" t="s">
        <v>6012</v>
      </c>
      <c r="L7550" s="14">
        <v>0.0</v>
      </c>
    </row>
    <row r="7551">
      <c r="A7551" s="14">
        <v>0.0</v>
      </c>
      <c r="B7551" s="14">
        <v>0.0</v>
      </c>
      <c r="C7551" s="34"/>
      <c r="D7551" s="36">
        <v>45757.0</v>
      </c>
      <c r="E7551" s="24"/>
      <c r="F7551" s="14" t="s">
        <v>6012</v>
      </c>
      <c r="G7551" s="14" t="s">
        <v>6012</v>
      </c>
      <c r="H7551" s="14" t="s">
        <v>6012</v>
      </c>
      <c r="I7551" s="14" t="s">
        <v>6082</v>
      </c>
      <c r="J7551" s="14" t="s">
        <v>6012</v>
      </c>
      <c r="K7551" s="14" t="s">
        <v>6012</v>
      </c>
      <c r="L7551" s="14"/>
    </row>
    <row r="7552">
      <c r="A7552" s="14">
        <v>92.0</v>
      </c>
      <c r="B7552" s="14">
        <v>2.0</v>
      </c>
      <c r="C7552" s="34">
        <v>21.01</v>
      </c>
      <c r="D7552" s="36">
        <v>45758.0</v>
      </c>
      <c r="E7552" s="24"/>
      <c r="F7552" s="14">
        <v>10.5</v>
      </c>
      <c r="G7552" s="14">
        <v>228.37</v>
      </c>
      <c r="H7552" s="14">
        <v>2.17</v>
      </c>
      <c r="I7552" s="14" t="s">
        <v>6092</v>
      </c>
      <c r="J7552" s="14">
        <v>0.0</v>
      </c>
      <c r="K7552" s="14" t="s">
        <v>6012</v>
      </c>
      <c r="L7552" s="14">
        <v>0.0</v>
      </c>
    </row>
    <row r="7553">
      <c r="A7553" s="14">
        <v>0.0</v>
      </c>
      <c r="B7553" s="14">
        <v>0.0</v>
      </c>
      <c r="C7553" s="34"/>
      <c r="D7553" s="36">
        <v>45758.0</v>
      </c>
      <c r="E7553" s="24"/>
      <c r="F7553" s="14" t="s">
        <v>6012</v>
      </c>
      <c r="G7553" s="14" t="s">
        <v>6012</v>
      </c>
      <c r="H7553" s="14" t="s">
        <v>6012</v>
      </c>
      <c r="I7553" s="14" t="s">
        <v>6082</v>
      </c>
      <c r="J7553" s="14" t="s">
        <v>6012</v>
      </c>
      <c r="K7553" s="14" t="s">
        <v>6012</v>
      </c>
      <c r="L7553" s="14"/>
    </row>
    <row r="7554">
      <c r="A7554" s="14">
        <v>184.0</v>
      </c>
      <c r="B7554" s="14">
        <v>1.0</v>
      </c>
      <c r="C7554" s="34">
        <v>20.35</v>
      </c>
      <c r="D7554" s="36">
        <v>45758.0</v>
      </c>
      <c r="E7554" s="24"/>
      <c r="F7554" s="14">
        <v>20.35</v>
      </c>
      <c r="G7554" s="14">
        <v>110.6</v>
      </c>
      <c r="H7554" s="14">
        <v>0.54</v>
      </c>
      <c r="I7554" s="14" t="s">
        <v>6093</v>
      </c>
      <c r="J7554" s="14">
        <v>0.0</v>
      </c>
      <c r="K7554" s="14" t="s">
        <v>6012</v>
      </c>
      <c r="L7554" s="14">
        <v>0.0</v>
      </c>
    </row>
    <row r="7555">
      <c r="A7555" s="14">
        <v>0.0</v>
      </c>
      <c r="B7555" s="14">
        <v>0.0</v>
      </c>
      <c r="C7555" s="34"/>
      <c r="D7555" s="36">
        <v>45758.0</v>
      </c>
      <c r="E7555" s="24"/>
      <c r="F7555" s="14" t="s">
        <v>6012</v>
      </c>
      <c r="G7555" s="14" t="s">
        <v>6012</v>
      </c>
      <c r="H7555" s="14" t="s">
        <v>6012</v>
      </c>
      <c r="I7555" s="14" t="s">
        <v>6090</v>
      </c>
      <c r="J7555" s="14" t="s">
        <v>6012</v>
      </c>
      <c r="K7555" s="14" t="s">
        <v>6012</v>
      </c>
      <c r="L7555" s="14"/>
    </row>
    <row r="7556">
      <c r="A7556" s="14">
        <v>0.0</v>
      </c>
      <c r="B7556" s="14">
        <v>0.0</v>
      </c>
      <c r="C7556" s="34"/>
      <c r="D7556" s="36">
        <v>45758.0</v>
      </c>
      <c r="E7556" s="24"/>
      <c r="F7556" s="14" t="s">
        <v>6012</v>
      </c>
      <c r="G7556" s="14" t="s">
        <v>6012</v>
      </c>
      <c r="H7556" s="14" t="s">
        <v>6012</v>
      </c>
      <c r="I7556" s="14" t="s">
        <v>6086</v>
      </c>
      <c r="J7556" s="14" t="s">
        <v>6012</v>
      </c>
      <c r="K7556" s="14" t="s">
        <v>6012</v>
      </c>
      <c r="L7556" s="14"/>
    </row>
    <row r="7557">
      <c r="A7557" s="14">
        <v>690.0</v>
      </c>
      <c r="B7557" s="14">
        <v>9.0</v>
      </c>
      <c r="C7557" s="34">
        <v>23.96</v>
      </c>
      <c r="D7557" s="36">
        <v>45758.0</v>
      </c>
      <c r="E7557" s="24"/>
      <c r="F7557" s="14">
        <v>2.66</v>
      </c>
      <c r="G7557" s="14">
        <v>34.72</v>
      </c>
      <c r="H7557" s="14">
        <v>1.3</v>
      </c>
      <c r="I7557" s="14" t="s">
        <v>6091</v>
      </c>
      <c r="J7557" s="14">
        <v>0.0</v>
      </c>
      <c r="K7557" s="14" t="s">
        <v>6012</v>
      </c>
      <c r="L7557" s="14">
        <v>0.0</v>
      </c>
    </row>
    <row r="7558">
      <c r="A7558" s="14">
        <v>992.0</v>
      </c>
      <c r="B7558" s="14">
        <v>13.0</v>
      </c>
      <c r="C7558" s="34">
        <v>25.52</v>
      </c>
      <c r="D7558" s="36">
        <v>45758.0</v>
      </c>
      <c r="E7558" s="24"/>
      <c r="F7558" s="14">
        <v>1.96</v>
      </c>
      <c r="G7558" s="14">
        <v>25.73</v>
      </c>
      <c r="H7558" s="14">
        <v>1.31</v>
      </c>
      <c r="I7558" s="14" t="s">
        <v>6094</v>
      </c>
      <c r="J7558" s="14">
        <v>0.0</v>
      </c>
      <c r="K7558" s="14" t="s">
        <v>6012</v>
      </c>
      <c r="L7558" s="14">
        <v>0.0</v>
      </c>
    </row>
    <row r="7559">
      <c r="A7559" s="14">
        <v>0.0</v>
      </c>
      <c r="B7559" s="14">
        <v>0.0</v>
      </c>
      <c r="C7559" s="34"/>
      <c r="D7559" s="36">
        <v>45758.0</v>
      </c>
      <c r="E7559" s="24"/>
      <c r="F7559" s="14" t="s">
        <v>6012</v>
      </c>
      <c r="G7559" s="14" t="s">
        <v>6012</v>
      </c>
      <c r="H7559" s="14" t="s">
        <v>6012</v>
      </c>
      <c r="I7559" s="14" t="s">
        <v>6088</v>
      </c>
      <c r="J7559" s="14" t="s">
        <v>6012</v>
      </c>
      <c r="K7559" s="14" t="s">
        <v>6012</v>
      </c>
      <c r="L7559" s="14"/>
    </row>
    <row r="7560">
      <c r="A7560" s="14">
        <v>48.0</v>
      </c>
      <c r="B7560" s="14">
        <v>0.0</v>
      </c>
      <c r="C7560" s="34">
        <v>19.14</v>
      </c>
      <c r="D7560" s="36">
        <v>45758.0</v>
      </c>
      <c r="E7560" s="24"/>
      <c r="F7560" s="14" t="s">
        <v>6012</v>
      </c>
      <c r="G7560" s="14">
        <v>398.75</v>
      </c>
      <c r="H7560" s="14">
        <v>0.0</v>
      </c>
      <c r="I7560" s="14" t="s">
        <v>6087</v>
      </c>
      <c r="J7560" s="14" t="s">
        <v>6012</v>
      </c>
      <c r="K7560" s="14">
        <v>4.78</v>
      </c>
      <c r="L7560" s="14">
        <v>0.0</v>
      </c>
    </row>
    <row r="7561">
      <c r="A7561" s="14">
        <v>125.0</v>
      </c>
      <c r="B7561" s="14">
        <v>7.0</v>
      </c>
      <c r="C7561" s="34">
        <v>17.8</v>
      </c>
      <c r="D7561" s="36">
        <v>45759.0</v>
      </c>
      <c r="E7561" s="24"/>
      <c r="F7561" s="14">
        <v>2.54</v>
      </c>
      <c r="G7561" s="14">
        <v>142.4</v>
      </c>
      <c r="H7561" s="14">
        <v>5.6</v>
      </c>
      <c r="I7561" s="14" t="s">
        <v>6094</v>
      </c>
      <c r="J7561" s="14">
        <v>0.0</v>
      </c>
      <c r="K7561" s="14" t="s">
        <v>6012</v>
      </c>
      <c r="L7561" s="14">
        <v>0.0</v>
      </c>
    </row>
    <row r="7562">
      <c r="A7562" s="14">
        <v>420.0</v>
      </c>
      <c r="B7562" s="14">
        <v>4.0</v>
      </c>
      <c r="C7562" s="34">
        <v>18.6</v>
      </c>
      <c r="D7562" s="36">
        <v>45759.0</v>
      </c>
      <c r="E7562" s="24"/>
      <c r="F7562" s="14">
        <v>4.65</v>
      </c>
      <c r="G7562" s="14">
        <v>44.29</v>
      </c>
      <c r="H7562" s="14">
        <v>0.95</v>
      </c>
      <c r="I7562" s="14" t="s">
        <v>6091</v>
      </c>
      <c r="J7562" s="14">
        <v>0.0</v>
      </c>
      <c r="K7562" s="14" t="s">
        <v>6012</v>
      </c>
      <c r="L7562" s="14">
        <v>0.0</v>
      </c>
    </row>
    <row r="7563">
      <c r="A7563" s="14">
        <v>59.0</v>
      </c>
      <c r="B7563" s="14">
        <v>0.0</v>
      </c>
      <c r="C7563" s="34">
        <v>15.24</v>
      </c>
      <c r="D7563" s="36">
        <v>45759.0</v>
      </c>
      <c r="E7563" s="24"/>
      <c r="F7563" s="14" t="s">
        <v>6012</v>
      </c>
      <c r="G7563" s="14">
        <v>258.31</v>
      </c>
      <c r="H7563" s="14">
        <v>0.0</v>
      </c>
      <c r="I7563" s="14" t="s">
        <v>6092</v>
      </c>
      <c r="J7563" s="14" t="s">
        <v>6012</v>
      </c>
      <c r="K7563" s="14" t="s">
        <v>6012</v>
      </c>
      <c r="L7563" s="14">
        <v>0.0</v>
      </c>
    </row>
    <row r="7564">
      <c r="A7564" s="14">
        <v>38.0</v>
      </c>
      <c r="B7564" s="14">
        <v>0.0</v>
      </c>
      <c r="C7564" s="34">
        <v>13.03</v>
      </c>
      <c r="D7564" s="36">
        <v>45759.0</v>
      </c>
      <c r="E7564" s="24"/>
      <c r="F7564" s="14" t="s">
        <v>6012</v>
      </c>
      <c r="G7564" s="14">
        <v>342.89</v>
      </c>
      <c r="H7564" s="14">
        <v>0.0</v>
      </c>
      <c r="I7564" s="14" t="s">
        <v>6087</v>
      </c>
      <c r="J7564" s="14" t="s">
        <v>6012</v>
      </c>
      <c r="K7564" s="14" t="s">
        <v>6012</v>
      </c>
      <c r="L7564" s="14">
        <v>0.0</v>
      </c>
    </row>
    <row r="7565">
      <c r="A7565" s="14">
        <v>76.0</v>
      </c>
      <c r="B7565" s="14">
        <v>1.0</v>
      </c>
      <c r="C7565" s="34">
        <v>13.47</v>
      </c>
      <c r="D7565" s="36">
        <v>45759.0</v>
      </c>
      <c r="E7565" s="24"/>
      <c r="F7565" s="14">
        <v>13.47</v>
      </c>
      <c r="G7565" s="14">
        <v>177.24</v>
      </c>
      <c r="H7565" s="14">
        <v>1.32</v>
      </c>
      <c r="I7565" s="14" t="s">
        <v>6093</v>
      </c>
      <c r="J7565" s="14">
        <v>0.0</v>
      </c>
      <c r="K7565" s="14" t="s">
        <v>6012</v>
      </c>
      <c r="L7565" s="14">
        <v>0.0</v>
      </c>
    </row>
    <row r="7566">
      <c r="A7566" s="14">
        <v>532.0</v>
      </c>
      <c r="B7566" s="14">
        <v>12.0</v>
      </c>
      <c r="C7566" s="34">
        <v>15.28</v>
      </c>
      <c r="D7566" s="36">
        <v>45760.0</v>
      </c>
      <c r="E7566" s="24"/>
      <c r="F7566" s="14">
        <v>1.27</v>
      </c>
      <c r="G7566" s="14">
        <v>28.72</v>
      </c>
      <c r="H7566" s="14">
        <v>2.26</v>
      </c>
      <c r="I7566" s="14" t="s">
        <v>6094</v>
      </c>
      <c r="J7566" s="14">
        <v>0.0</v>
      </c>
      <c r="K7566" s="14" t="s">
        <v>6012</v>
      </c>
      <c r="L7566" s="14">
        <v>0.0</v>
      </c>
    </row>
    <row r="7567">
      <c r="A7567" s="14">
        <v>479.0</v>
      </c>
      <c r="B7567" s="14">
        <v>5.0</v>
      </c>
      <c r="C7567" s="34">
        <v>13.65</v>
      </c>
      <c r="D7567" s="36">
        <v>45760.0</v>
      </c>
      <c r="E7567" s="24"/>
      <c r="F7567" s="14">
        <v>2.73</v>
      </c>
      <c r="G7567" s="14">
        <v>28.5</v>
      </c>
      <c r="H7567" s="14">
        <v>1.04</v>
      </c>
      <c r="I7567" s="14" t="s">
        <v>6091</v>
      </c>
      <c r="J7567" s="14">
        <v>0.0</v>
      </c>
      <c r="K7567" s="14" t="s">
        <v>6012</v>
      </c>
      <c r="L7567" s="14">
        <v>0.0</v>
      </c>
    </row>
    <row r="7568">
      <c r="A7568" s="14">
        <v>24.0</v>
      </c>
      <c r="B7568" s="14">
        <v>1.0</v>
      </c>
      <c r="C7568" s="34">
        <v>8.83</v>
      </c>
      <c r="D7568" s="36">
        <v>45760.0</v>
      </c>
      <c r="E7568" s="24"/>
      <c r="F7568" s="14">
        <v>8.83</v>
      </c>
      <c r="G7568" s="14">
        <v>367.92</v>
      </c>
      <c r="H7568" s="14">
        <v>4.17</v>
      </c>
      <c r="I7568" s="14" t="s">
        <v>6087</v>
      </c>
      <c r="J7568" s="14">
        <v>0.0</v>
      </c>
      <c r="K7568" s="14" t="s">
        <v>6012</v>
      </c>
      <c r="L7568" s="14">
        <v>0.0</v>
      </c>
    </row>
    <row r="7569">
      <c r="A7569" s="14">
        <v>66.0</v>
      </c>
      <c r="B7569" s="14">
        <v>0.0</v>
      </c>
      <c r="C7569" s="34">
        <v>10.37</v>
      </c>
      <c r="D7569" s="36">
        <v>45760.0</v>
      </c>
      <c r="E7569" s="24"/>
      <c r="F7569" s="14" t="s">
        <v>6012</v>
      </c>
      <c r="G7569" s="14">
        <v>157.12</v>
      </c>
      <c r="H7569" s="14">
        <v>0.0</v>
      </c>
      <c r="I7569" s="14" t="s">
        <v>6093</v>
      </c>
      <c r="J7569" s="14" t="s">
        <v>6012</v>
      </c>
      <c r="K7569" s="14" t="s">
        <v>6012</v>
      </c>
      <c r="L7569" s="14">
        <v>0.0</v>
      </c>
    </row>
    <row r="7570">
      <c r="A7570" s="14">
        <v>33.0</v>
      </c>
      <c r="B7570" s="14">
        <v>0.0</v>
      </c>
      <c r="C7570" s="34">
        <v>10.61</v>
      </c>
      <c r="D7570" s="36">
        <v>45760.0</v>
      </c>
      <c r="E7570" s="24"/>
      <c r="F7570" s="14" t="s">
        <v>6012</v>
      </c>
      <c r="G7570" s="14">
        <v>321.52</v>
      </c>
      <c r="H7570" s="14">
        <v>0.0</v>
      </c>
      <c r="I7570" s="14" t="s">
        <v>6092</v>
      </c>
      <c r="J7570" s="14" t="s">
        <v>6012</v>
      </c>
      <c r="K7570" s="14" t="s">
        <v>6012</v>
      </c>
      <c r="L7570" s="14">
        <v>0.0</v>
      </c>
    </row>
    <row r="7571">
      <c r="A7571" s="14">
        <v>134.0</v>
      </c>
      <c r="B7571" s="14">
        <v>0.0</v>
      </c>
      <c r="C7571" s="34">
        <v>23.7</v>
      </c>
      <c r="D7571" s="36">
        <v>45761.0</v>
      </c>
      <c r="E7571" s="24"/>
      <c r="F7571" s="14" t="s">
        <v>6012</v>
      </c>
      <c r="G7571" s="14">
        <v>176.87</v>
      </c>
      <c r="H7571" s="14">
        <v>0.0</v>
      </c>
      <c r="I7571" s="14" t="s">
        <v>6092</v>
      </c>
      <c r="J7571" s="14" t="s">
        <v>6012</v>
      </c>
      <c r="K7571" s="14" t="s">
        <v>6012</v>
      </c>
      <c r="L7571" s="14">
        <v>0.0</v>
      </c>
    </row>
    <row r="7572">
      <c r="A7572" s="14">
        <v>63.0</v>
      </c>
      <c r="B7572" s="14">
        <v>0.0</v>
      </c>
      <c r="C7572" s="34">
        <v>22.67</v>
      </c>
      <c r="D7572" s="36">
        <v>45761.0</v>
      </c>
      <c r="E7572" s="24"/>
      <c r="F7572" s="14" t="s">
        <v>6012</v>
      </c>
      <c r="G7572" s="14">
        <v>359.84</v>
      </c>
      <c r="H7572" s="14">
        <v>0.0</v>
      </c>
      <c r="I7572" s="14" t="s">
        <v>6087</v>
      </c>
      <c r="J7572" s="14" t="s">
        <v>6012</v>
      </c>
      <c r="K7572" s="14" t="s">
        <v>6012</v>
      </c>
      <c r="L7572" s="14">
        <v>0.0</v>
      </c>
    </row>
    <row r="7573">
      <c r="A7573" s="14">
        <v>168.0</v>
      </c>
      <c r="B7573" s="14">
        <v>0.0</v>
      </c>
      <c r="C7573" s="34">
        <v>21.19</v>
      </c>
      <c r="D7573" s="36">
        <v>45761.0</v>
      </c>
      <c r="E7573" s="24"/>
      <c r="F7573" s="14" t="s">
        <v>6012</v>
      </c>
      <c r="G7573" s="14">
        <v>126.13</v>
      </c>
      <c r="H7573" s="14">
        <v>0.0</v>
      </c>
      <c r="I7573" s="14" t="s">
        <v>6093</v>
      </c>
      <c r="J7573" s="14" t="s">
        <v>6012</v>
      </c>
      <c r="K7573" s="14" t="s">
        <v>6012</v>
      </c>
      <c r="L7573" s="14">
        <v>0.0</v>
      </c>
    </row>
    <row r="7574">
      <c r="A7574" s="14">
        <v>414.0</v>
      </c>
      <c r="B7574" s="14">
        <v>16.0</v>
      </c>
      <c r="C7574" s="34">
        <v>24.72</v>
      </c>
      <c r="D7574" s="36">
        <v>45761.0</v>
      </c>
      <c r="E7574" s="24"/>
      <c r="F7574" s="14">
        <v>1.54</v>
      </c>
      <c r="G7574" s="14">
        <v>59.71</v>
      </c>
      <c r="H7574" s="14">
        <v>3.86</v>
      </c>
      <c r="I7574" s="14" t="s">
        <v>6094</v>
      </c>
      <c r="J7574" s="14">
        <v>0.0</v>
      </c>
      <c r="K7574" s="14" t="s">
        <v>6012</v>
      </c>
      <c r="L7574" s="14">
        <v>0.0</v>
      </c>
    </row>
    <row r="7575">
      <c r="A7575" s="14">
        <v>769.0</v>
      </c>
      <c r="B7575" s="14">
        <v>9.0</v>
      </c>
      <c r="C7575" s="34">
        <v>25.19</v>
      </c>
      <c r="D7575" s="36">
        <v>45761.0</v>
      </c>
      <c r="E7575" s="24"/>
      <c r="F7575" s="14">
        <v>2.8</v>
      </c>
      <c r="G7575" s="14">
        <v>32.76</v>
      </c>
      <c r="H7575" s="14">
        <v>1.17</v>
      </c>
      <c r="I7575" s="14" t="s">
        <v>6091</v>
      </c>
      <c r="J7575" s="14">
        <v>0.0</v>
      </c>
      <c r="K7575" s="14" t="s">
        <v>6012</v>
      </c>
      <c r="L7575" s="14">
        <v>0.0</v>
      </c>
    </row>
    <row r="7576">
      <c r="A7576" s="14">
        <v>68.0</v>
      </c>
      <c r="B7576" s="14">
        <v>0.0</v>
      </c>
      <c r="C7576" s="34">
        <v>23.39</v>
      </c>
      <c r="D7576" s="36">
        <v>45762.0</v>
      </c>
      <c r="E7576" s="24"/>
      <c r="F7576" s="14" t="s">
        <v>6012</v>
      </c>
      <c r="G7576" s="14">
        <v>343.97</v>
      </c>
      <c r="H7576" s="14">
        <v>0.0</v>
      </c>
      <c r="I7576" s="14" t="s">
        <v>6087</v>
      </c>
      <c r="J7576" s="14" t="s">
        <v>6012</v>
      </c>
      <c r="K7576" s="14" t="s">
        <v>6012</v>
      </c>
      <c r="L7576" s="14">
        <v>0.0</v>
      </c>
    </row>
    <row r="7577">
      <c r="A7577" s="14">
        <v>585.0</v>
      </c>
      <c r="B7577" s="14">
        <v>10.0</v>
      </c>
      <c r="C7577" s="34">
        <v>29.34</v>
      </c>
      <c r="D7577" s="36">
        <v>45762.0</v>
      </c>
      <c r="E7577" s="24"/>
      <c r="F7577" s="14">
        <v>2.93</v>
      </c>
      <c r="G7577" s="14">
        <v>50.15</v>
      </c>
      <c r="H7577" s="14">
        <v>1.71</v>
      </c>
      <c r="I7577" s="14" t="s">
        <v>6091</v>
      </c>
      <c r="J7577" s="14">
        <v>0.0</v>
      </c>
      <c r="K7577" s="14" t="s">
        <v>6012</v>
      </c>
      <c r="L7577" s="14">
        <v>0.0</v>
      </c>
    </row>
    <row r="7578">
      <c r="A7578" s="14">
        <v>795.0</v>
      </c>
      <c r="B7578" s="14">
        <v>14.0</v>
      </c>
      <c r="C7578" s="34">
        <v>23.65</v>
      </c>
      <c r="D7578" s="36">
        <v>45762.0</v>
      </c>
      <c r="E7578" s="24"/>
      <c r="F7578" s="14">
        <v>1.69</v>
      </c>
      <c r="G7578" s="14">
        <v>29.75</v>
      </c>
      <c r="H7578" s="14">
        <v>1.76</v>
      </c>
      <c r="I7578" s="14" t="s">
        <v>6094</v>
      </c>
      <c r="J7578" s="14">
        <v>0.0</v>
      </c>
      <c r="K7578" s="14" t="s">
        <v>6012</v>
      </c>
      <c r="L7578" s="14">
        <v>0.0</v>
      </c>
    </row>
    <row r="7579">
      <c r="A7579" s="14">
        <v>155.0</v>
      </c>
      <c r="B7579" s="14">
        <v>0.0</v>
      </c>
      <c r="C7579" s="34">
        <v>24.36</v>
      </c>
      <c r="D7579" s="36">
        <v>45762.0</v>
      </c>
      <c r="E7579" s="24"/>
      <c r="F7579" s="14" t="s">
        <v>6012</v>
      </c>
      <c r="G7579" s="14">
        <v>157.16</v>
      </c>
      <c r="H7579" s="14">
        <v>0.0</v>
      </c>
      <c r="I7579" s="14" t="s">
        <v>6093</v>
      </c>
      <c r="J7579" s="14" t="s">
        <v>6012</v>
      </c>
      <c r="K7579" s="14" t="s">
        <v>6012</v>
      </c>
      <c r="L7579" s="14">
        <v>0.0</v>
      </c>
    </row>
    <row r="7580">
      <c r="A7580" s="14">
        <v>94.0</v>
      </c>
      <c r="B7580" s="14">
        <v>1.0</v>
      </c>
      <c r="C7580" s="34">
        <v>26.74</v>
      </c>
      <c r="D7580" s="36">
        <v>45762.0</v>
      </c>
      <c r="E7580" s="24"/>
      <c r="F7580" s="14">
        <v>26.74</v>
      </c>
      <c r="G7580" s="14">
        <v>284.47</v>
      </c>
      <c r="H7580" s="14">
        <v>1.06</v>
      </c>
      <c r="I7580" s="14" t="s">
        <v>6092</v>
      </c>
      <c r="J7580" s="14">
        <v>0.0</v>
      </c>
      <c r="K7580" s="14" t="s">
        <v>6012</v>
      </c>
      <c r="L7580" s="14">
        <v>0.0</v>
      </c>
    </row>
    <row r="7581">
      <c r="A7581" s="14">
        <v>211.0</v>
      </c>
      <c r="B7581" s="14">
        <v>2.0</v>
      </c>
      <c r="C7581" s="34">
        <v>22.42</v>
      </c>
      <c r="D7581" s="36">
        <v>45763.0</v>
      </c>
      <c r="E7581" s="24"/>
      <c r="F7581" s="14">
        <v>11.21</v>
      </c>
      <c r="G7581" s="14">
        <v>106.26</v>
      </c>
      <c r="H7581" s="14">
        <v>0.95</v>
      </c>
      <c r="I7581" s="14" t="s">
        <v>6093</v>
      </c>
      <c r="J7581" s="14">
        <v>0.0</v>
      </c>
      <c r="K7581" s="14" t="s">
        <v>6012</v>
      </c>
      <c r="L7581" s="14">
        <v>0.0</v>
      </c>
    </row>
    <row r="7582">
      <c r="A7582" s="14">
        <v>391.0</v>
      </c>
      <c r="B7582" s="14">
        <v>3.0</v>
      </c>
      <c r="C7582" s="34">
        <v>23.84</v>
      </c>
      <c r="D7582" s="36">
        <v>45763.0</v>
      </c>
      <c r="E7582" s="24"/>
      <c r="F7582" s="14">
        <v>7.95</v>
      </c>
      <c r="G7582" s="14">
        <v>60.97</v>
      </c>
      <c r="H7582" s="14">
        <v>0.77</v>
      </c>
      <c r="I7582" s="14" t="s">
        <v>6094</v>
      </c>
      <c r="J7582" s="14">
        <v>0.0</v>
      </c>
      <c r="K7582" s="14" t="s">
        <v>6012</v>
      </c>
      <c r="L7582" s="14">
        <v>0.0</v>
      </c>
    </row>
    <row r="7583">
      <c r="A7583" s="14">
        <v>104.0</v>
      </c>
      <c r="B7583" s="14">
        <v>0.0</v>
      </c>
      <c r="C7583" s="34">
        <v>26.43</v>
      </c>
      <c r="D7583" s="36">
        <v>45763.0</v>
      </c>
      <c r="E7583" s="24"/>
      <c r="F7583" s="14" t="s">
        <v>6012</v>
      </c>
      <c r="G7583" s="14">
        <v>254.13</v>
      </c>
      <c r="H7583" s="14">
        <v>0.0</v>
      </c>
      <c r="I7583" s="14" t="s">
        <v>6092</v>
      </c>
      <c r="J7583" s="14" t="s">
        <v>6012</v>
      </c>
      <c r="K7583" s="14" t="s">
        <v>6012</v>
      </c>
      <c r="L7583" s="14">
        <v>0.0</v>
      </c>
    </row>
    <row r="7584">
      <c r="A7584" s="14">
        <v>768.0</v>
      </c>
      <c r="B7584" s="14">
        <v>13.0</v>
      </c>
      <c r="C7584" s="34">
        <v>26.4</v>
      </c>
      <c r="D7584" s="36">
        <v>45763.0</v>
      </c>
      <c r="E7584" s="24"/>
      <c r="F7584" s="14">
        <v>2.03</v>
      </c>
      <c r="G7584" s="14">
        <v>34.37</v>
      </c>
      <c r="H7584" s="14">
        <v>1.69</v>
      </c>
      <c r="I7584" s="14" t="s">
        <v>6091</v>
      </c>
      <c r="J7584" s="14">
        <v>0.0</v>
      </c>
      <c r="K7584" s="14" t="s">
        <v>6012</v>
      </c>
      <c r="L7584" s="14">
        <v>0.0</v>
      </c>
    </row>
    <row r="7585">
      <c r="A7585" s="14">
        <v>64.0</v>
      </c>
      <c r="B7585" s="14">
        <v>0.0</v>
      </c>
      <c r="C7585" s="34">
        <v>25.06</v>
      </c>
      <c r="D7585" s="36">
        <v>45763.0</v>
      </c>
      <c r="E7585" s="24"/>
      <c r="F7585" s="14" t="s">
        <v>6012</v>
      </c>
      <c r="G7585" s="14">
        <v>391.56</v>
      </c>
      <c r="H7585" s="14">
        <v>0.0</v>
      </c>
      <c r="I7585" s="14" t="s">
        <v>6087</v>
      </c>
      <c r="J7585" s="14" t="s">
        <v>6012</v>
      </c>
      <c r="K7585" s="14" t="s">
        <v>6012</v>
      </c>
      <c r="L7585" s="14">
        <v>0.0</v>
      </c>
    </row>
    <row r="7586">
      <c r="A7586" s="14">
        <v>597.0</v>
      </c>
      <c r="B7586" s="14">
        <v>13.0</v>
      </c>
      <c r="C7586" s="34">
        <v>23.66</v>
      </c>
      <c r="D7586" s="36">
        <v>45764.0</v>
      </c>
      <c r="E7586" s="24"/>
      <c r="F7586" s="14">
        <v>1.82</v>
      </c>
      <c r="G7586" s="14">
        <v>39.63</v>
      </c>
      <c r="H7586" s="14">
        <v>2.18</v>
      </c>
      <c r="I7586" s="14" t="s">
        <v>6094</v>
      </c>
      <c r="J7586" s="14">
        <v>0.0</v>
      </c>
      <c r="K7586" s="14" t="s">
        <v>6012</v>
      </c>
      <c r="L7586" s="14">
        <v>0.0</v>
      </c>
    </row>
    <row r="7587">
      <c r="A7587" s="14">
        <v>1108.0</v>
      </c>
      <c r="B7587" s="14">
        <v>9.0</v>
      </c>
      <c r="C7587" s="34">
        <v>26.15</v>
      </c>
      <c r="D7587" s="36">
        <v>45764.0</v>
      </c>
      <c r="E7587" s="24"/>
      <c r="F7587" s="14">
        <v>2.91</v>
      </c>
      <c r="G7587" s="14">
        <v>23.6</v>
      </c>
      <c r="H7587" s="14">
        <v>0.81</v>
      </c>
      <c r="I7587" s="14" t="s">
        <v>6091</v>
      </c>
      <c r="J7587" s="14">
        <v>0.0</v>
      </c>
      <c r="K7587" s="14" t="s">
        <v>6012</v>
      </c>
      <c r="L7587" s="14">
        <v>0.0</v>
      </c>
    </row>
    <row r="7588">
      <c r="A7588" s="14">
        <v>187.0</v>
      </c>
      <c r="B7588" s="14">
        <v>2.0</v>
      </c>
      <c r="C7588" s="34">
        <v>22.26</v>
      </c>
      <c r="D7588" s="36">
        <v>45764.0</v>
      </c>
      <c r="E7588" s="24"/>
      <c r="F7588" s="14">
        <v>11.13</v>
      </c>
      <c r="G7588" s="14">
        <v>119.04</v>
      </c>
      <c r="H7588" s="14">
        <v>1.07</v>
      </c>
      <c r="I7588" s="14" t="s">
        <v>6093</v>
      </c>
      <c r="J7588" s="14">
        <v>0.0</v>
      </c>
      <c r="K7588" s="14" t="s">
        <v>6012</v>
      </c>
      <c r="L7588" s="14">
        <v>0.0</v>
      </c>
    </row>
    <row r="7589">
      <c r="A7589" s="14">
        <v>58.0</v>
      </c>
      <c r="B7589" s="14">
        <v>0.0</v>
      </c>
      <c r="C7589" s="34">
        <v>23.05</v>
      </c>
      <c r="D7589" s="36">
        <v>45764.0</v>
      </c>
      <c r="E7589" s="24"/>
      <c r="F7589" s="14" t="s">
        <v>6012</v>
      </c>
      <c r="G7589" s="14">
        <v>397.41</v>
      </c>
      <c r="H7589" s="14">
        <v>0.0</v>
      </c>
      <c r="I7589" s="14" t="s">
        <v>6087</v>
      </c>
      <c r="J7589" s="14" t="s">
        <v>6012</v>
      </c>
      <c r="K7589" s="14" t="s">
        <v>6012</v>
      </c>
      <c r="L7589" s="14">
        <v>0.0</v>
      </c>
    </row>
    <row r="7590">
      <c r="A7590" s="14">
        <v>91.0</v>
      </c>
      <c r="B7590" s="14">
        <v>2.0</v>
      </c>
      <c r="C7590" s="34">
        <v>25.43</v>
      </c>
      <c r="D7590" s="36">
        <v>45764.0</v>
      </c>
      <c r="E7590" s="24"/>
      <c r="F7590" s="14">
        <v>12.72</v>
      </c>
      <c r="G7590" s="14">
        <v>279.45</v>
      </c>
      <c r="H7590" s="14">
        <v>2.2</v>
      </c>
      <c r="I7590" s="14" t="s">
        <v>6092</v>
      </c>
      <c r="J7590" s="14">
        <v>0.0</v>
      </c>
      <c r="K7590" s="14" t="s">
        <v>6012</v>
      </c>
      <c r="L7590" s="14">
        <v>0.0</v>
      </c>
    </row>
    <row r="7591">
      <c r="A7591" s="14">
        <v>173.0</v>
      </c>
      <c r="B7591" s="14">
        <v>1.0</v>
      </c>
      <c r="C7591" s="34">
        <v>22.77</v>
      </c>
      <c r="D7591" s="36">
        <v>45765.0</v>
      </c>
      <c r="E7591" s="24"/>
      <c r="F7591" s="14">
        <v>22.77</v>
      </c>
      <c r="G7591" s="14">
        <v>131.62</v>
      </c>
      <c r="H7591" s="14">
        <v>0.58</v>
      </c>
      <c r="I7591" s="14" t="s">
        <v>6093</v>
      </c>
      <c r="J7591" s="14">
        <v>0.0</v>
      </c>
      <c r="K7591" s="14" t="s">
        <v>6012</v>
      </c>
      <c r="L7591" s="14">
        <v>0.0</v>
      </c>
    </row>
    <row r="7592">
      <c r="A7592" s="14">
        <v>90.0</v>
      </c>
      <c r="B7592" s="14">
        <v>0.0</v>
      </c>
      <c r="C7592" s="34">
        <v>22.96</v>
      </c>
      <c r="D7592" s="36">
        <v>45765.0</v>
      </c>
      <c r="E7592" s="24"/>
      <c r="F7592" s="14" t="s">
        <v>6012</v>
      </c>
      <c r="G7592" s="14">
        <v>255.11</v>
      </c>
      <c r="H7592" s="14">
        <v>0.0</v>
      </c>
      <c r="I7592" s="14" t="s">
        <v>6092</v>
      </c>
      <c r="J7592" s="14" t="s">
        <v>6012</v>
      </c>
      <c r="K7592" s="14" t="s">
        <v>6012</v>
      </c>
      <c r="L7592" s="14">
        <v>0.0</v>
      </c>
    </row>
    <row r="7593">
      <c r="A7593" s="14">
        <v>47.0</v>
      </c>
      <c r="B7593" s="14">
        <v>0.0</v>
      </c>
      <c r="C7593" s="34">
        <v>21.33</v>
      </c>
      <c r="D7593" s="36">
        <v>45765.0</v>
      </c>
      <c r="E7593" s="24"/>
      <c r="F7593" s="14" t="s">
        <v>6012</v>
      </c>
      <c r="G7593" s="14">
        <v>453.83</v>
      </c>
      <c r="H7593" s="14">
        <v>0.0</v>
      </c>
      <c r="I7593" s="14" t="s">
        <v>6087</v>
      </c>
      <c r="J7593" s="14" t="s">
        <v>6012</v>
      </c>
      <c r="K7593" s="14" t="s">
        <v>6012</v>
      </c>
      <c r="L7593" s="14">
        <v>0.0</v>
      </c>
    </row>
    <row r="7594">
      <c r="A7594" s="14">
        <v>379.0</v>
      </c>
      <c r="B7594" s="14">
        <v>8.0</v>
      </c>
      <c r="C7594" s="34">
        <v>22.87</v>
      </c>
      <c r="D7594" s="36">
        <v>45765.0</v>
      </c>
      <c r="E7594" s="24"/>
      <c r="F7594" s="14">
        <v>2.86</v>
      </c>
      <c r="G7594" s="14">
        <v>60.34</v>
      </c>
      <c r="H7594" s="14">
        <v>2.11</v>
      </c>
      <c r="I7594" s="14" t="s">
        <v>6094</v>
      </c>
      <c r="J7594" s="14">
        <v>0.0</v>
      </c>
      <c r="K7594" s="14" t="s">
        <v>6012</v>
      </c>
      <c r="L7594" s="14">
        <v>0.0</v>
      </c>
    </row>
    <row r="7595">
      <c r="A7595" s="14">
        <v>662.0</v>
      </c>
      <c r="B7595" s="14">
        <v>3.0</v>
      </c>
      <c r="C7595" s="34">
        <v>26.01</v>
      </c>
      <c r="D7595" s="36">
        <v>45765.0</v>
      </c>
      <c r="E7595" s="24"/>
      <c r="F7595" s="14">
        <v>8.67</v>
      </c>
      <c r="G7595" s="14">
        <v>39.29</v>
      </c>
      <c r="H7595" s="14">
        <v>0.45</v>
      </c>
      <c r="I7595" s="14" t="s">
        <v>6091</v>
      </c>
      <c r="J7595" s="14">
        <v>0.0</v>
      </c>
      <c r="K7595" s="14" t="s">
        <v>6012</v>
      </c>
      <c r="L7595" s="14">
        <v>0.0</v>
      </c>
    </row>
    <row r="7596">
      <c r="A7596" s="14">
        <v>81.0</v>
      </c>
      <c r="B7596" s="14">
        <v>0.0</v>
      </c>
      <c r="C7596" s="34">
        <v>11.06</v>
      </c>
      <c r="D7596" s="36">
        <v>45766.0</v>
      </c>
      <c r="E7596" s="24"/>
      <c r="F7596" s="14" t="s">
        <v>6012</v>
      </c>
      <c r="G7596" s="14">
        <v>136.54</v>
      </c>
      <c r="H7596" s="14">
        <v>0.0</v>
      </c>
      <c r="I7596" s="14" t="s">
        <v>6093</v>
      </c>
      <c r="J7596" s="14" t="s">
        <v>6012</v>
      </c>
      <c r="K7596" s="14" t="s">
        <v>6012</v>
      </c>
      <c r="L7596" s="14">
        <v>0.0</v>
      </c>
    </row>
    <row r="7597">
      <c r="A7597" s="14">
        <v>31.0</v>
      </c>
      <c r="B7597" s="14">
        <v>0.0</v>
      </c>
      <c r="C7597" s="34">
        <v>12.23</v>
      </c>
      <c r="D7597" s="36">
        <v>45766.0</v>
      </c>
      <c r="E7597" s="24"/>
      <c r="F7597" s="14" t="s">
        <v>6012</v>
      </c>
      <c r="G7597" s="14">
        <v>394.52</v>
      </c>
      <c r="H7597" s="14">
        <v>0.0</v>
      </c>
      <c r="I7597" s="14" t="s">
        <v>6087</v>
      </c>
      <c r="J7597" s="14" t="s">
        <v>6012</v>
      </c>
      <c r="K7597" s="14" t="s">
        <v>6012</v>
      </c>
      <c r="L7597" s="14">
        <v>0.0</v>
      </c>
    </row>
    <row r="7598">
      <c r="A7598" s="14">
        <v>287.0</v>
      </c>
      <c r="B7598" s="14">
        <v>4.0</v>
      </c>
      <c r="C7598" s="34">
        <v>14.49</v>
      </c>
      <c r="D7598" s="36">
        <v>45766.0</v>
      </c>
      <c r="E7598" s="24"/>
      <c r="F7598" s="14">
        <v>3.62</v>
      </c>
      <c r="G7598" s="14">
        <v>50.49</v>
      </c>
      <c r="H7598" s="14">
        <v>1.39</v>
      </c>
      <c r="I7598" s="14" t="s">
        <v>6091</v>
      </c>
      <c r="J7598" s="14">
        <v>0.0</v>
      </c>
      <c r="K7598" s="14" t="s">
        <v>6012</v>
      </c>
      <c r="L7598" s="14">
        <v>0.0</v>
      </c>
    </row>
    <row r="7599">
      <c r="A7599" s="14">
        <v>57.0</v>
      </c>
      <c r="B7599" s="14">
        <v>0.0</v>
      </c>
      <c r="C7599" s="34">
        <v>13.31</v>
      </c>
      <c r="D7599" s="36">
        <v>45766.0</v>
      </c>
      <c r="E7599" s="24"/>
      <c r="F7599" s="14" t="s">
        <v>6012</v>
      </c>
      <c r="G7599" s="14">
        <v>233.51</v>
      </c>
      <c r="H7599" s="14">
        <v>0.0</v>
      </c>
      <c r="I7599" s="14" t="s">
        <v>6092</v>
      </c>
      <c r="J7599" s="14" t="s">
        <v>6012</v>
      </c>
      <c r="K7599" s="14" t="s">
        <v>6012</v>
      </c>
      <c r="L7599" s="14">
        <v>0.0</v>
      </c>
    </row>
    <row r="7600">
      <c r="A7600" s="14">
        <v>207.0</v>
      </c>
      <c r="B7600" s="14">
        <v>8.0</v>
      </c>
      <c r="C7600" s="34">
        <v>16.09</v>
      </c>
      <c r="D7600" s="36">
        <v>45766.0</v>
      </c>
      <c r="E7600" s="24"/>
      <c r="F7600" s="14">
        <v>2.01</v>
      </c>
      <c r="G7600" s="14">
        <v>77.73</v>
      </c>
      <c r="H7600" s="14">
        <v>3.86</v>
      </c>
      <c r="I7600" s="14" t="s">
        <v>6094</v>
      </c>
      <c r="J7600" s="14">
        <v>0.0</v>
      </c>
      <c r="K7600" s="14" t="s">
        <v>6012</v>
      </c>
      <c r="L7600" s="14">
        <v>0.0</v>
      </c>
    </row>
    <row r="7601">
      <c r="A7601" s="14">
        <v>292.0</v>
      </c>
      <c r="B7601" s="14">
        <v>5.0</v>
      </c>
      <c r="C7601" s="34">
        <v>12.02</v>
      </c>
      <c r="D7601" s="36">
        <v>45767.0</v>
      </c>
      <c r="E7601" s="24"/>
      <c r="F7601" s="14">
        <v>2.4</v>
      </c>
      <c r="G7601" s="14">
        <v>41.16</v>
      </c>
      <c r="H7601" s="14">
        <v>1.71</v>
      </c>
      <c r="I7601" s="14" t="s">
        <v>6091</v>
      </c>
      <c r="J7601" s="14">
        <v>0.0</v>
      </c>
      <c r="K7601" s="14" t="s">
        <v>6012</v>
      </c>
      <c r="L7601" s="14">
        <v>0.0</v>
      </c>
    </row>
    <row r="7602">
      <c r="A7602" s="14">
        <v>66.0</v>
      </c>
      <c r="B7602" s="14">
        <v>0.0</v>
      </c>
      <c r="C7602" s="34">
        <v>8.94</v>
      </c>
      <c r="D7602" s="36">
        <v>45767.0</v>
      </c>
      <c r="E7602" s="24"/>
      <c r="F7602" s="14" t="s">
        <v>6012</v>
      </c>
      <c r="G7602" s="14">
        <v>135.45</v>
      </c>
      <c r="H7602" s="14">
        <v>0.0</v>
      </c>
      <c r="I7602" s="14" t="s">
        <v>6093</v>
      </c>
      <c r="J7602" s="14" t="s">
        <v>6012</v>
      </c>
      <c r="K7602" s="14" t="s">
        <v>6012</v>
      </c>
      <c r="L7602" s="14">
        <v>0.0</v>
      </c>
    </row>
    <row r="7603">
      <c r="A7603" s="14">
        <v>16.0</v>
      </c>
      <c r="B7603" s="14">
        <v>0.0</v>
      </c>
      <c r="C7603" s="34">
        <v>5.27</v>
      </c>
      <c r="D7603" s="36">
        <v>45767.0</v>
      </c>
      <c r="E7603" s="24"/>
      <c r="F7603" s="14" t="s">
        <v>6012</v>
      </c>
      <c r="G7603" s="14">
        <v>329.38</v>
      </c>
      <c r="H7603" s="14">
        <v>0.0</v>
      </c>
      <c r="I7603" s="14" t="s">
        <v>6087</v>
      </c>
      <c r="J7603" s="14" t="s">
        <v>6012</v>
      </c>
      <c r="K7603" s="14" t="s">
        <v>6012</v>
      </c>
      <c r="L7603" s="14">
        <v>0.0</v>
      </c>
    </row>
    <row r="7604">
      <c r="A7604" s="14">
        <v>201.0</v>
      </c>
      <c r="B7604" s="14">
        <v>3.0</v>
      </c>
      <c r="C7604" s="34">
        <v>14.27</v>
      </c>
      <c r="D7604" s="36">
        <v>45767.0</v>
      </c>
      <c r="E7604" s="24"/>
      <c r="F7604" s="14">
        <v>4.76</v>
      </c>
      <c r="G7604" s="14">
        <v>71.0</v>
      </c>
      <c r="H7604" s="14">
        <v>1.49</v>
      </c>
      <c r="I7604" s="14" t="s">
        <v>6094</v>
      </c>
      <c r="J7604" s="14">
        <v>0.0</v>
      </c>
      <c r="K7604" s="14" t="s">
        <v>6012</v>
      </c>
      <c r="L7604" s="14">
        <v>0.0</v>
      </c>
    </row>
    <row r="7605">
      <c r="A7605" s="14">
        <v>30.0</v>
      </c>
      <c r="B7605" s="14">
        <v>0.0</v>
      </c>
      <c r="C7605" s="34">
        <v>9.83</v>
      </c>
      <c r="D7605" s="36">
        <v>45767.0</v>
      </c>
      <c r="E7605" s="24"/>
      <c r="F7605" s="14" t="s">
        <v>6012</v>
      </c>
      <c r="G7605" s="14">
        <v>327.67</v>
      </c>
      <c r="H7605" s="14">
        <v>0.0</v>
      </c>
      <c r="I7605" s="14" t="s">
        <v>6092</v>
      </c>
      <c r="J7605" s="14" t="s">
        <v>6012</v>
      </c>
      <c r="K7605" s="14" t="s">
        <v>6012</v>
      </c>
      <c r="L7605" s="14">
        <v>0.0</v>
      </c>
    </row>
    <row r="7606">
      <c r="A7606" s="14">
        <v>147.0</v>
      </c>
      <c r="B7606" s="14">
        <v>1.0</v>
      </c>
      <c r="C7606" s="34">
        <v>20.52</v>
      </c>
      <c r="D7606" s="36">
        <v>45768.0</v>
      </c>
      <c r="E7606" s="24"/>
      <c r="F7606" s="14">
        <v>20.52</v>
      </c>
      <c r="G7606" s="14">
        <v>139.59</v>
      </c>
      <c r="H7606" s="14">
        <v>0.68</v>
      </c>
      <c r="I7606" s="14" t="s">
        <v>6093</v>
      </c>
      <c r="J7606" s="14">
        <v>0.0</v>
      </c>
      <c r="K7606" s="14" t="s">
        <v>6012</v>
      </c>
      <c r="L7606" s="14">
        <v>0.0</v>
      </c>
    </row>
    <row r="7607">
      <c r="A7607" s="14">
        <v>50.0</v>
      </c>
      <c r="B7607" s="14">
        <v>0.0</v>
      </c>
      <c r="C7607" s="34">
        <v>21.43</v>
      </c>
      <c r="D7607" s="36">
        <v>45768.0</v>
      </c>
      <c r="E7607" s="24"/>
      <c r="F7607" s="14" t="s">
        <v>6012</v>
      </c>
      <c r="G7607" s="14">
        <v>428.6</v>
      </c>
      <c r="H7607" s="14">
        <v>0.0</v>
      </c>
      <c r="I7607" s="14" t="s">
        <v>6087</v>
      </c>
      <c r="J7607" s="14" t="s">
        <v>6012</v>
      </c>
      <c r="K7607" s="14" t="s">
        <v>6012</v>
      </c>
      <c r="L7607" s="14">
        <v>0.0</v>
      </c>
    </row>
    <row r="7608">
      <c r="A7608" s="14">
        <v>108.0</v>
      </c>
      <c r="B7608" s="14">
        <v>1.0</v>
      </c>
      <c r="C7608" s="34">
        <v>24.27</v>
      </c>
      <c r="D7608" s="36">
        <v>45768.0</v>
      </c>
      <c r="E7608" s="24"/>
      <c r="F7608" s="14">
        <v>24.27</v>
      </c>
      <c r="G7608" s="14">
        <v>224.72</v>
      </c>
      <c r="H7608" s="14">
        <v>0.93</v>
      </c>
      <c r="I7608" s="14" t="s">
        <v>6092</v>
      </c>
      <c r="J7608" s="14">
        <v>0.0</v>
      </c>
      <c r="K7608" s="14" t="s">
        <v>6012</v>
      </c>
      <c r="L7608" s="14">
        <v>0.0</v>
      </c>
    </row>
    <row r="7609">
      <c r="A7609" s="14">
        <v>654.0</v>
      </c>
      <c r="B7609" s="14">
        <v>8.0</v>
      </c>
      <c r="C7609" s="34">
        <v>24.52</v>
      </c>
      <c r="D7609" s="36">
        <v>45768.0</v>
      </c>
      <c r="E7609" s="24"/>
      <c r="F7609" s="14">
        <v>3.06</v>
      </c>
      <c r="G7609" s="14">
        <v>37.49</v>
      </c>
      <c r="H7609" s="14">
        <v>1.22</v>
      </c>
      <c r="I7609" s="14" t="s">
        <v>6091</v>
      </c>
      <c r="J7609" s="14">
        <v>0.0</v>
      </c>
      <c r="K7609" s="14" t="s">
        <v>6012</v>
      </c>
      <c r="L7609" s="14">
        <v>0.0</v>
      </c>
    </row>
    <row r="7610">
      <c r="A7610" s="14">
        <v>344.0</v>
      </c>
      <c r="B7610" s="14">
        <v>6.0</v>
      </c>
      <c r="C7610" s="34">
        <v>23.23</v>
      </c>
      <c r="D7610" s="36">
        <v>45768.0</v>
      </c>
      <c r="E7610" s="24"/>
      <c r="F7610" s="14">
        <v>3.87</v>
      </c>
      <c r="G7610" s="14">
        <v>67.53</v>
      </c>
      <c r="H7610" s="14">
        <v>1.74</v>
      </c>
      <c r="I7610" s="14" t="s">
        <v>6094</v>
      </c>
      <c r="J7610" s="14">
        <v>0.0</v>
      </c>
      <c r="K7610" s="14" t="s">
        <v>6012</v>
      </c>
      <c r="L7610" s="14">
        <v>0.0</v>
      </c>
    </row>
    <row r="7611">
      <c r="A7611" s="14">
        <v>833.0</v>
      </c>
      <c r="B7611" s="14">
        <v>10.0</v>
      </c>
      <c r="C7611" s="34">
        <v>27.29</v>
      </c>
      <c r="D7611" s="36">
        <v>45769.0</v>
      </c>
      <c r="E7611" s="24"/>
      <c r="F7611" s="14">
        <v>2.73</v>
      </c>
      <c r="G7611" s="14">
        <v>32.76</v>
      </c>
      <c r="H7611" s="14">
        <v>1.2</v>
      </c>
      <c r="I7611" s="14" t="s">
        <v>6091</v>
      </c>
      <c r="J7611" s="14">
        <v>0.0</v>
      </c>
      <c r="K7611" s="14" t="s">
        <v>6012</v>
      </c>
      <c r="L7611" s="14">
        <v>0.0</v>
      </c>
    </row>
    <row r="7612">
      <c r="A7612" s="14">
        <v>89.0</v>
      </c>
      <c r="B7612" s="14">
        <v>0.0</v>
      </c>
      <c r="C7612" s="34">
        <v>25.3</v>
      </c>
      <c r="D7612" s="36">
        <v>45769.0</v>
      </c>
      <c r="E7612" s="24"/>
      <c r="F7612" s="14" t="s">
        <v>6012</v>
      </c>
      <c r="G7612" s="14">
        <v>284.27</v>
      </c>
      <c r="H7612" s="14">
        <v>0.0</v>
      </c>
      <c r="I7612" s="14" t="s">
        <v>6087</v>
      </c>
      <c r="J7612" s="14" t="s">
        <v>6012</v>
      </c>
      <c r="K7612" s="14" t="s">
        <v>6012</v>
      </c>
      <c r="L7612" s="14">
        <v>0.0</v>
      </c>
    </row>
    <row r="7613">
      <c r="A7613" s="14">
        <v>213.0</v>
      </c>
      <c r="B7613" s="14">
        <v>1.0</v>
      </c>
      <c r="C7613" s="34">
        <v>23.41</v>
      </c>
      <c r="D7613" s="36">
        <v>45769.0</v>
      </c>
      <c r="E7613" s="24"/>
      <c r="F7613" s="14">
        <v>23.41</v>
      </c>
      <c r="G7613" s="14">
        <v>109.91</v>
      </c>
      <c r="H7613" s="14">
        <v>0.47</v>
      </c>
      <c r="I7613" s="14" t="s">
        <v>6093</v>
      </c>
      <c r="J7613" s="14">
        <v>0.0</v>
      </c>
      <c r="K7613" s="14" t="s">
        <v>6012</v>
      </c>
      <c r="L7613" s="14">
        <v>0.0</v>
      </c>
    </row>
    <row r="7614">
      <c r="A7614" s="14">
        <v>59.0</v>
      </c>
      <c r="B7614" s="14">
        <v>2.0</v>
      </c>
      <c r="C7614" s="34">
        <v>10.91</v>
      </c>
      <c r="D7614" s="36">
        <v>45769.0</v>
      </c>
      <c r="E7614" s="24"/>
      <c r="F7614" s="14">
        <v>5.46</v>
      </c>
      <c r="G7614" s="14">
        <v>184.92</v>
      </c>
      <c r="H7614" s="14">
        <v>3.39</v>
      </c>
      <c r="I7614" s="14" t="s">
        <v>6092</v>
      </c>
      <c r="J7614" s="14">
        <v>0.0</v>
      </c>
      <c r="K7614" s="14" t="s">
        <v>6012</v>
      </c>
      <c r="L7614" s="14">
        <v>0.0</v>
      </c>
    </row>
    <row r="7615">
      <c r="A7615" s="14">
        <v>762.0</v>
      </c>
      <c r="B7615" s="14">
        <v>11.0</v>
      </c>
      <c r="C7615" s="34">
        <v>25.12</v>
      </c>
      <c r="D7615" s="36">
        <v>45769.0</v>
      </c>
      <c r="E7615" s="24"/>
      <c r="F7615" s="14">
        <v>2.28</v>
      </c>
      <c r="G7615" s="14">
        <v>32.97</v>
      </c>
      <c r="H7615" s="14">
        <v>1.44</v>
      </c>
      <c r="I7615" s="14" t="s">
        <v>6094</v>
      </c>
      <c r="J7615" s="14">
        <v>0.0</v>
      </c>
      <c r="K7615" s="14" t="s">
        <v>6012</v>
      </c>
      <c r="L7615" s="14">
        <v>0.0</v>
      </c>
    </row>
    <row r="7616">
      <c r="A7616" s="14">
        <v>696.0</v>
      </c>
      <c r="B7616" s="14">
        <v>11.0</v>
      </c>
      <c r="C7616" s="34">
        <v>26.7</v>
      </c>
      <c r="D7616" s="36">
        <v>45770.0</v>
      </c>
      <c r="E7616" s="24"/>
      <c r="F7616" s="14">
        <v>2.43</v>
      </c>
      <c r="G7616" s="14">
        <v>38.36</v>
      </c>
      <c r="H7616" s="14">
        <v>1.58</v>
      </c>
      <c r="I7616" s="14" t="s">
        <v>6091</v>
      </c>
      <c r="J7616" s="14">
        <v>0.0</v>
      </c>
      <c r="K7616" s="14" t="s">
        <v>6012</v>
      </c>
      <c r="L7616" s="14">
        <v>0.0</v>
      </c>
    </row>
    <row r="7617">
      <c r="A7617" s="14">
        <v>879.0</v>
      </c>
      <c r="B7617" s="14">
        <v>20.0</v>
      </c>
      <c r="C7617" s="34">
        <v>25.19</v>
      </c>
      <c r="D7617" s="36">
        <v>45770.0</v>
      </c>
      <c r="E7617" s="24"/>
      <c r="F7617" s="14">
        <v>1.26</v>
      </c>
      <c r="G7617" s="14">
        <v>28.66</v>
      </c>
      <c r="H7617" s="14">
        <v>2.28</v>
      </c>
      <c r="I7617" s="14" t="s">
        <v>6094</v>
      </c>
      <c r="J7617" s="14">
        <v>0.0</v>
      </c>
      <c r="K7617" s="14" t="s">
        <v>6012</v>
      </c>
      <c r="L7617" s="14">
        <v>0.0</v>
      </c>
    </row>
    <row r="7618">
      <c r="A7618" s="14">
        <v>90.0</v>
      </c>
      <c r="B7618" s="14">
        <v>1.0</v>
      </c>
      <c r="C7618" s="34">
        <v>22.95</v>
      </c>
      <c r="D7618" s="36">
        <v>45770.0</v>
      </c>
      <c r="E7618" s="24"/>
      <c r="F7618" s="14">
        <v>22.95</v>
      </c>
      <c r="G7618" s="14">
        <v>255.0</v>
      </c>
      <c r="H7618" s="14">
        <v>1.11</v>
      </c>
      <c r="I7618" s="14" t="s">
        <v>6087</v>
      </c>
      <c r="J7618" s="14">
        <v>0.0</v>
      </c>
      <c r="K7618" s="14" t="s">
        <v>6012</v>
      </c>
      <c r="L7618" s="14">
        <v>0.0</v>
      </c>
    </row>
    <row r="7619">
      <c r="A7619" s="14">
        <v>183.0</v>
      </c>
      <c r="B7619" s="14">
        <v>0.0</v>
      </c>
      <c r="C7619" s="34">
        <v>22.82</v>
      </c>
      <c r="D7619" s="36">
        <v>45770.0</v>
      </c>
      <c r="E7619" s="24"/>
      <c r="F7619" s="14" t="s">
        <v>6012</v>
      </c>
      <c r="G7619" s="14">
        <v>124.7</v>
      </c>
      <c r="H7619" s="14">
        <v>0.0</v>
      </c>
      <c r="I7619" s="14" t="s">
        <v>6093</v>
      </c>
      <c r="J7619" s="14" t="s">
        <v>6012</v>
      </c>
      <c r="K7619" s="14" t="s">
        <v>6012</v>
      </c>
      <c r="L7619" s="14">
        <v>0.0</v>
      </c>
    </row>
    <row r="7620">
      <c r="A7620" s="14">
        <v>70.0</v>
      </c>
      <c r="B7620" s="14">
        <v>1.0</v>
      </c>
      <c r="C7620" s="34">
        <v>23.84</v>
      </c>
      <c r="D7620" s="36">
        <v>45771.0</v>
      </c>
      <c r="E7620" s="24"/>
      <c r="F7620" s="14">
        <v>23.84</v>
      </c>
      <c r="G7620" s="14">
        <v>340.57</v>
      </c>
      <c r="H7620" s="14">
        <v>1.43</v>
      </c>
      <c r="I7620" s="14" t="s">
        <v>6087</v>
      </c>
      <c r="J7620" s="14">
        <v>0.0</v>
      </c>
      <c r="K7620" s="14" t="s">
        <v>6012</v>
      </c>
      <c r="L7620" s="14">
        <v>0.0</v>
      </c>
    </row>
    <row r="7621">
      <c r="A7621" s="14">
        <v>172.0</v>
      </c>
      <c r="B7621" s="14">
        <v>0.0</v>
      </c>
      <c r="C7621" s="34">
        <v>23.1</v>
      </c>
      <c r="D7621" s="36">
        <v>45771.0</v>
      </c>
      <c r="E7621" s="24"/>
      <c r="F7621" s="14" t="s">
        <v>6012</v>
      </c>
      <c r="G7621" s="14">
        <v>134.3</v>
      </c>
      <c r="H7621" s="14">
        <v>0.0</v>
      </c>
      <c r="I7621" s="14" t="s">
        <v>6093</v>
      </c>
      <c r="J7621" s="14" t="s">
        <v>6012</v>
      </c>
      <c r="K7621" s="14" t="s">
        <v>6012</v>
      </c>
      <c r="L7621" s="14">
        <v>0.0</v>
      </c>
    </row>
    <row r="7622">
      <c r="A7622" s="14">
        <v>786.0</v>
      </c>
      <c r="B7622" s="14">
        <v>16.0</v>
      </c>
      <c r="C7622" s="34">
        <v>25.02</v>
      </c>
      <c r="D7622" s="36">
        <v>45771.0</v>
      </c>
      <c r="E7622" s="24"/>
      <c r="F7622" s="14">
        <v>1.56</v>
      </c>
      <c r="G7622" s="14">
        <v>31.83</v>
      </c>
      <c r="H7622" s="14">
        <v>2.04</v>
      </c>
      <c r="I7622" s="14" t="s">
        <v>6094</v>
      </c>
      <c r="J7622" s="14">
        <v>0.0</v>
      </c>
      <c r="K7622" s="14" t="s">
        <v>6012</v>
      </c>
      <c r="L7622" s="14">
        <v>0.0</v>
      </c>
    </row>
    <row r="7623">
      <c r="A7623" s="14">
        <v>1099.0</v>
      </c>
      <c r="B7623" s="14">
        <v>19.0</v>
      </c>
      <c r="C7623" s="34">
        <v>27.06</v>
      </c>
      <c r="D7623" s="36">
        <v>45771.0</v>
      </c>
      <c r="E7623" s="24"/>
      <c r="F7623" s="14">
        <v>1.42</v>
      </c>
      <c r="G7623" s="14">
        <v>24.62</v>
      </c>
      <c r="H7623" s="14">
        <v>1.73</v>
      </c>
      <c r="I7623" s="14" t="s">
        <v>6091</v>
      </c>
      <c r="J7623" s="14">
        <v>0.0</v>
      </c>
      <c r="K7623" s="14" t="s">
        <v>6012</v>
      </c>
      <c r="L7623" s="14">
        <v>0.0</v>
      </c>
    </row>
    <row r="7624">
      <c r="A7624" s="14">
        <v>289.0</v>
      </c>
      <c r="B7624" s="14">
        <v>6.0</v>
      </c>
      <c r="C7624" s="34">
        <v>24.27</v>
      </c>
      <c r="D7624" s="36">
        <v>45772.0</v>
      </c>
      <c r="E7624" s="24"/>
      <c r="F7624" s="14">
        <v>4.04</v>
      </c>
      <c r="G7624" s="14">
        <v>83.98</v>
      </c>
      <c r="H7624" s="14">
        <v>2.08</v>
      </c>
      <c r="I7624" s="14" t="s">
        <v>6094</v>
      </c>
      <c r="J7624" s="14">
        <v>0.0</v>
      </c>
      <c r="K7624" s="14" t="s">
        <v>6012</v>
      </c>
      <c r="L7624" s="14">
        <v>0.0</v>
      </c>
    </row>
    <row r="7625">
      <c r="A7625" s="14">
        <v>17.0</v>
      </c>
      <c r="B7625" s="14">
        <v>1.0</v>
      </c>
      <c r="C7625" s="34">
        <v>7.72</v>
      </c>
      <c r="D7625" s="36">
        <v>45772.0</v>
      </c>
      <c r="E7625" s="24"/>
      <c r="F7625" s="14">
        <v>7.72</v>
      </c>
      <c r="G7625" s="14">
        <v>454.12</v>
      </c>
      <c r="H7625" s="14">
        <v>5.88</v>
      </c>
      <c r="I7625" s="14" t="s">
        <v>6087</v>
      </c>
      <c r="J7625" s="14">
        <v>0.0</v>
      </c>
      <c r="K7625" s="14" t="s">
        <v>6012</v>
      </c>
      <c r="L7625" s="14">
        <v>0.0</v>
      </c>
    </row>
    <row r="7626">
      <c r="A7626" s="14">
        <v>288.0</v>
      </c>
      <c r="B7626" s="14">
        <v>10.0</v>
      </c>
      <c r="C7626" s="34">
        <v>27.07</v>
      </c>
      <c r="D7626" s="36">
        <v>45772.0</v>
      </c>
      <c r="E7626" s="24"/>
      <c r="F7626" s="14">
        <v>2.71</v>
      </c>
      <c r="G7626" s="14">
        <v>93.99</v>
      </c>
      <c r="H7626" s="14">
        <v>3.47</v>
      </c>
      <c r="I7626" s="14" t="s">
        <v>6091</v>
      </c>
      <c r="J7626" s="14">
        <v>0.0</v>
      </c>
      <c r="K7626" s="14" t="s">
        <v>6012</v>
      </c>
      <c r="L7626" s="14">
        <v>0.0</v>
      </c>
    </row>
    <row r="7627">
      <c r="A7627" s="14">
        <v>99.0</v>
      </c>
      <c r="B7627" s="14">
        <v>1.0</v>
      </c>
      <c r="C7627" s="34">
        <v>21.49</v>
      </c>
      <c r="D7627" s="36">
        <v>45772.0</v>
      </c>
      <c r="E7627" s="24"/>
      <c r="F7627" s="14">
        <v>21.49</v>
      </c>
      <c r="G7627" s="14">
        <v>217.07</v>
      </c>
      <c r="H7627" s="14">
        <v>1.01</v>
      </c>
      <c r="I7627" s="14" t="s">
        <v>6093</v>
      </c>
      <c r="J7627" s="14">
        <v>0.0</v>
      </c>
      <c r="K7627" s="14" t="s">
        <v>6012</v>
      </c>
      <c r="L7627" s="14">
        <v>0.0</v>
      </c>
    </row>
    <row r="7628">
      <c r="A7628" s="14">
        <v>255.0</v>
      </c>
      <c r="B7628" s="14">
        <v>3.0</v>
      </c>
      <c r="C7628" s="34">
        <v>17.22</v>
      </c>
      <c r="D7628" s="36">
        <v>45773.0</v>
      </c>
      <c r="E7628" s="24"/>
      <c r="F7628" s="14">
        <v>5.74</v>
      </c>
      <c r="G7628" s="14">
        <v>67.53</v>
      </c>
      <c r="H7628" s="14">
        <v>1.18</v>
      </c>
      <c r="I7628" s="14" t="s">
        <v>6091</v>
      </c>
      <c r="J7628" s="14">
        <v>0.0</v>
      </c>
      <c r="K7628" s="14" t="s">
        <v>6012</v>
      </c>
      <c r="L7628" s="14">
        <v>0.0</v>
      </c>
    </row>
    <row r="7629">
      <c r="A7629" s="14">
        <v>94.0</v>
      </c>
      <c r="B7629" s="14">
        <v>0.0</v>
      </c>
      <c r="C7629" s="34">
        <v>12.77</v>
      </c>
      <c r="D7629" s="36">
        <v>45773.0</v>
      </c>
      <c r="E7629" s="24"/>
      <c r="F7629" s="14" t="s">
        <v>6012</v>
      </c>
      <c r="G7629" s="14">
        <v>135.85</v>
      </c>
      <c r="H7629" s="14">
        <v>0.0</v>
      </c>
      <c r="I7629" s="14" t="s">
        <v>6093</v>
      </c>
      <c r="J7629" s="14" t="s">
        <v>6012</v>
      </c>
      <c r="K7629" s="14" t="s">
        <v>6012</v>
      </c>
      <c r="L7629" s="14">
        <v>0.0</v>
      </c>
    </row>
    <row r="7630">
      <c r="A7630" s="14">
        <v>0.0</v>
      </c>
      <c r="B7630" s="14">
        <v>0.0</v>
      </c>
      <c r="C7630" s="34"/>
      <c r="D7630" s="36">
        <v>45773.0</v>
      </c>
      <c r="E7630" s="24"/>
      <c r="F7630" s="14" t="s">
        <v>6012</v>
      </c>
      <c r="G7630" s="14" t="s">
        <v>6012</v>
      </c>
      <c r="H7630" s="14" t="s">
        <v>6012</v>
      </c>
      <c r="I7630" s="14" t="s">
        <v>6087</v>
      </c>
      <c r="J7630" s="14" t="s">
        <v>6012</v>
      </c>
      <c r="K7630" s="14" t="s">
        <v>6012</v>
      </c>
      <c r="L7630" s="14"/>
    </row>
    <row r="7631">
      <c r="A7631" s="14">
        <v>114.0</v>
      </c>
      <c r="B7631" s="14">
        <v>2.0</v>
      </c>
      <c r="C7631" s="34">
        <v>15.47</v>
      </c>
      <c r="D7631" s="36">
        <v>45773.0</v>
      </c>
      <c r="E7631" s="24"/>
      <c r="F7631" s="14">
        <v>7.74</v>
      </c>
      <c r="G7631" s="14">
        <v>135.7</v>
      </c>
      <c r="H7631" s="14">
        <v>1.75</v>
      </c>
      <c r="I7631" s="14" t="s">
        <v>6094</v>
      </c>
      <c r="J7631" s="14">
        <v>0.0</v>
      </c>
      <c r="K7631" s="14" t="s">
        <v>6012</v>
      </c>
      <c r="L7631" s="14">
        <v>0.0</v>
      </c>
    </row>
    <row r="7632">
      <c r="A7632" s="14">
        <v>232.0</v>
      </c>
      <c r="B7632" s="14">
        <v>4.0</v>
      </c>
      <c r="C7632" s="34">
        <v>10.5</v>
      </c>
      <c r="D7632" s="36">
        <v>45774.0</v>
      </c>
      <c r="E7632" s="24"/>
      <c r="F7632" s="14">
        <v>2.62</v>
      </c>
      <c r="G7632" s="14">
        <v>45.26</v>
      </c>
      <c r="H7632" s="14">
        <v>1.72</v>
      </c>
      <c r="I7632" s="14" t="s">
        <v>6094</v>
      </c>
      <c r="J7632" s="14">
        <v>0.0</v>
      </c>
      <c r="K7632" s="14" t="s">
        <v>6012</v>
      </c>
      <c r="L7632" s="14">
        <v>0.0</v>
      </c>
    </row>
    <row r="7633">
      <c r="A7633" s="14">
        <v>57.0</v>
      </c>
      <c r="B7633" s="14">
        <v>1.0</v>
      </c>
      <c r="C7633" s="34">
        <v>8.89</v>
      </c>
      <c r="D7633" s="36">
        <v>45774.0</v>
      </c>
      <c r="E7633" s="24"/>
      <c r="F7633" s="14">
        <v>8.89</v>
      </c>
      <c r="G7633" s="14">
        <v>155.96</v>
      </c>
      <c r="H7633" s="14">
        <v>1.75</v>
      </c>
      <c r="I7633" s="14" t="s">
        <v>6093</v>
      </c>
      <c r="J7633" s="14">
        <v>0.0</v>
      </c>
      <c r="K7633" s="14" t="s">
        <v>6012</v>
      </c>
      <c r="L7633" s="14">
        <v>0.0</v>
      </c>
    </row>
    <row r="7634">
      <c r="A7634" s="14">
        <v>138.0</v>
      </c>
      <c r="B7634" s="14">
        <v>2.0</v>
      </c>
      <c r="C7634" s="34">
        <v>9.74</v>
      </c>
      <c r="D7634" s="36">
        <v>45774.0</v>
      </c>
      <c r="E7634" s="24"/>
      <c r="F7634" s="14">
        <v>4.87</v>
      </c>
      <c r="G7634" s="14">
        <v>70.58</v>
      </c>
      <c r="H7634" s="14">
        <v>1.45</v>
      </c>
      <c r="I7634" s="14" t="s">
        <v>6091</v>
      </c>
      <c r="J7634" s="14">
        <v>0.0</v>
      </c>
      <c r="K7634" s="14" t="s">
        <v>6012</v>
      </c>
      <c r="L7634" s="14">
        <v>0.0</v>
      </c>
    </row>
    <row r="7635">
      <c r="A7635" s="14">
        <v>714.0</v>
      </c>
      <c r="B7635" s="14">
        <v>10.0</v>
      </c>
      <c r="C7635" s="34">
        <v>24.59</v>
      </c>
      <c r="D7635" s="36">
        <v>45775.0</v>
      </c>
      <c r="E7635" s="24"/>
      <c r="F7635" s="14">
        <v>2.46</v>
      </c>
      <c r="G7635" s="14">
        <v>34.44</v>
      </c>
      <c r="H7635" s="14">
        <v>1.4</v>
      </c>
      <c r="I7635" s="14" t="s">
        <v>6094</v>
      </c>
      <c r="J7635" s="14">
        <v>0.0</v>
      </c>
      <c r="K7635" s="14" t="s">
        <v>6012</v>
      </c>
      <c r="L7635" s="14">
        <v>0.0</v>
      </c>
    </row>
    <row r="7636">
      <c r="A7636" s="14">
        <v>1422.0</v>
      </c>
      <c r="B7636" s="14">
        <v>29.0</v>
      </c>
      <c r="C7636" s="34">
        <v>26.36</v>
      </c>
      <c r="D7636" s="36">
        <v>45775.0</v>
      </c>
      <c r="E7636" s="24"/>
      <c r="F7636" s="14">
        <v>0.91</v>
      </c>
      <c r="G7636" s="14">
        <v>18.54</v>
      </c>
      <c r="H7636" s="14">
        <v>2.04</v>
      </c>
      <c r="I7636" s="14" t="s">
        <v>6091</v>
      </c>
      <c r="J7636" s="14">
        <v>0.0</v>
      </c>
      <c r="K7636" s="14" t="s">
        <v>6012</v>
      </c>
      <c r="L7636" s="14">
        <v>0.0</v>
      </c>
    </row>
    <row r="7637">
      <c r="A7637" s="14">
        <v>129.0</v>
      </c>
      <c r="B7637" s="14">
        <v>0.0</v>
      </c>
      <c r="C7637" s="34">
        <v>22.28</v>
      </c>
      <c r="D7637" s="36">
        <v>45775.0</v>
      </c>
      <c r="E7637" s="24"/>
      <c r="F7637" s="14" t="s">
        <v>6012</v>
      </c>
      <c r="G7637" s="14">
        <v>172.71</v>
      </c>
      <c r="H7637" s="14">
        <v>0.0</v>
      </c>
      <c r="I7637" s="14" t="s">
        <v>6093</v>
      </c>
      <c r="J7637" s="14" t="s">
        <v>6012</v>
      </c>
      <c r="K7637" s="14" t="s">
        <v>6012</v>
      </c>
      <c r="L7637" s="14">
        <v>0.0</v>
      </c>
    </row>
    <row r="7638">
      <c r="A7638" s="14">
        <v>331.0</v>
      </c>
      <c r="B7638" s="14">
        <v>11.0</v>
      </c>
      <c r="C7638" s="34">
        <v>26.36</v>
      </c>
      <c r="D7638" s="36">
        <v>45776.0</v>
      </c>
      <c r="E7638" s="24"/>
      <c r="F7638" s="14">
        <v>2.4</v>
      </c>
      <c r="G7638" s="14">
        <v>79.64</v>
      </c>
      <c r="H7638" s="14">
        <v>3.32</v>
      </c>
      <c r="I7638" s="14" t="s">
        <v>6094</v>
      </c>
      <c r="J7638" s="14">
        <v>0.0</v>
      </c>
      <c r="K7638" s="14" t="s">
        <v>6012</v>
      </c>
      <c r="L7638" s="14">
        <v>0.0</v>
      </c>
    </row>
    <row r="7639">
      <c r="A7639" s="14">
        <v>593.0</v>
      </c>
      <c r="B7639" s="14">
        <v>19.0</v>
      </c>
      <c r="C7639" s="34">
        <v>27.32</v>
      </c>
      <c r="D7639" s="36">
        <v>45776.0</v>
      </c>
      <c r="E7639" s="24"/>
      <c r="F7639" s="14">
        <v>1.44</v>
      </c>
      <c r="G7639" s="14">
        <v>46.07</v>
      </c>
      <c r="H7639" s="14">
        <v>3.2</v>
      </c>
      <c r="I7639" s="14" t="s">
        <v>6091</v>
      </c>
      <c r="J7639" s="14">
        <v>0.0</v>
      </c>
      <c r="K7639" s="14" t="s">
        <v>6012</v>
      </c>
      <c r="L7639" s="14">
        <v>0.0</v>
      </c>
    </row>
    <row r="7640">
      <c r="A7640" s="14">
        <v>143.0</v>
      </c>
      <c r="B7640" s="14">
        <v>1.0</v>
      </c>
      <c r="C7640" s="34">
        <v>22.99</v>
      </c>
      <c r="D7640" s="36">
        <v>45776.0</v>
      </c>
      <c r="E7640" s="24"/>
      <c r="F7640" s="14">
        <v>22.99</v>
      </c>
      <c r="G7640" s="14">
        <v>160.77</v>
      </c>
      <c r="H7640" s="14">
        <v>0.7</v>
      </c>
      <c r="I7640" s="14" t="s">
        <v>6093</v>
      </c>
      <c r="J7640" s="14">
        <v>0.0</v>
      </c>
      <c r="K7640" s="14" t="s">
        <v>6012</v>
      </c>
      <c r="L7640" s="14">
        <v>0.0</v>
      </c>
    </row>
    <row r="7641">
      <c r="A7641" s="14">
        <v>748.0</v>
      </c>
      <c r="B7641" s="14">
        <v>16.0</v>
      </c>
      <c r="C7641" s="34">
        <v>26.86</v>
      </c>
      <c r="D7641" s="36">
        <v>45777.0</v>
      </c>
      <c r="E7641" s="24"/>
      <c r="F7641" s="14">
        <v>1.68</v>
      </c>
      <c r="G7641" s="14">
        <v>35.91</v>
      </c>
      <c r="H7641" s="14">
        <v>2.14</v>
      </c>
      <c r="I7641" s="14" t="s">
        <v>6091</v>
      </c>
      <c r="J7641" s="14">
        <v>0.0</v>
      </c>
      <c r="K7641" s="14" t="s">
        <v>6012</v>
      </c>
      <c r="L7641" s="14">
        <v>0.0</v>
      </c>
    </row>
    <row r="7642">
      <c r="A7642" s="14">
        <v>869.0</v>
      </c>
      <c r="B7642" s="14">
        <v>16.0</v>
      </c>
      <c r="C7642" s="34">
        <v>25.01</v>
      </c>
      <c r="D7642" s="36">
        <v>45777.0</v>
      </c>
      <c r="E7642" s="24"/>
      <c r="F7642" s="14">
        <v>1.56</v>
      </c>
      <c r="G7642" s="14">
        <v>28.78</v>
      </c>
      <c r="H7642" s="14">
        <v>1.84</v>
      </c>
      <c r="I7642" s="14" t="s">
        <v>6094</v>
      </c>
      <c r="J7642" s="14">
        <v>0.0</v>
      </c>
      <c r="K7642" s="14" t="s">
        <v>6012</v>
      </c>
      <c r="L7642" s="14">
        <v>0.0</v>
      </c>
    </row>
    <row r="7643">
      <c r="A7643" s="14">
        <v>217.0</v>
      </c>
      <c r="B7643" s="14">
        <v>1.0</v>
      </c>
      <c r="C7643" s="34">
        <v>22.89</v>
      </c>
      <c r="D7643" s="36">
        <v>45777.0</v>
      </c>
      <c r="E7643" s="24"/>
      <c r="F7643" s="14">
        <v>22.89</v>
      </c>
      <c r="G7643" s="14">
        <v>105.48</v>
      </c>
      <c r="H7643" s="14">
        <v>0.46</v>
      </c>
      <c r="I7643" s="14" t="s">
        <v>6093</v>
      </c>
      <c r="J7643" s="14">
        <v>0.0</v>
      </c>
      <c r="K7643" s="14" t="s">
        <v>6012</v>
      </c>
      <c r="L7643" s="14">
        <v>0.0</v>
      </c>
    </row>
    <row r="7644">
      <c r="A7644" s="14">
        <v>203.0</v>
      </c>
      <c r="B7644" s="14">
        <v>3.0</v>
      </c>
      <c r="C7644" s="34">
        <v>22.01</v>
      </c>
      <c r="D7644" s="36">
        <v>45778.0</v>
      </c>
      <c r="E7644" s="24"/>
      <c r="F7644" s="14">
        <v>7.34</v>
      </c>
      <c r="G7644" s="14">
        <v>108.42</v>
      </c>
      <c r="H7644" s="14">
        <v>1.48</v>
      </c>
      <c r="I7644" s="14" t="s">
        <v>6093</v>
      </c>
      <c r="J7644" s="14">
        <v>0.0</v>
      </c>
      <c r="K7644" s="14" t="s">
        <v>6012</v>
      </c>
      <c r="L7644" s="14">
        <v>0.0</v>
      </c>
    </row>
    <row r="7645">
      <c r="A7645" s="14">
        <v>501.0</v>
      </c>
      <c r="B7645" s="14">
        <v>13.0</v>
      </c>
      <c r="C7645" s="34">
        <v>24.62</v>
      </c>
      <c r="D7645" s="36">
        <v>45778.0</v>
      </c>
      <c r="E7645" s="24"/>
      <c r="F7645" s="14">
        <v>1.89</v>
      </c>
      <c r="G7645" s="14">
        <v>49.14</v>
      </c>
      <c r="H7645" s="14">
        <v>2.59</v>
      </c>
      <c r="I7645" s="14" t="s">
        <v>6094</v>
      </c>
      <c r="J7645" s="14">
        <v>0.0</v>
      </c>
      <c r="K7645" s="14" t="s">
        <v>6012</v>
      </c>
      <c r="L7645" s="14">
        <v>0.0</v>
      </c>
    </row>
    <row r="7646">
      <c r="A7646" s="14">
        <v>1144.0</v>
      </c>
      <c r="B7646" s="14">
        <v>15.0</v>
      </c>
      <c r="C7646" s="34">
        <v>26.12</v>
      </c>
      <c r="D7646" s="36">
        <v>45778.0</v>
      </c>
      <c r="E7646" s="24"/>
      <c r="F7646" s="14">
        <v>1.74</v>
      </c>
      <c r="G7646" s="14">
        <v>22.83</v>
      </c>
      <c r="H7646" s="14">
        <v>1.31</v>
      </c>
      <c r="I7646" s="14" t="s">
        <v>6091</v>
      </c>
      <c r="J7646" s="14">
        <v>0.0</v>
      </c>
      <c r="K7646" s="14" t="s">
        <v>6012</v>
      </c>
      <c r="L7646" s="14">
        <v>0.0</v>
      </c>
    </row>
    <row r="7647">
      <c r="A7647" s="14">
        <v>489.0</v>
      </c>
      <c r="B7647" s="14">
        <v>12.0</v>
      </c>
      <c r="C7647" s="34">
        <v>23.44</v>
      </c>
      <c r="D7647" s="36">
        <v>45779.0</v>
      </c>
      <c r="E7647" s="24"/>
      <c r="F7647" s="14">
        <v>1.95</v>
      </c>
      <c r="G7647" s="14">
        <v>47.93</v>
      </c>
      <c r="H7647" s="14">
        <v>2.45</v>
      </c>
      <c r="I7647" s="14" t="s">
        <v>6094</v>
      </c>
      <c r="J7647" s="14">
        <v>0.0</v>
      </c>
      <c r="K7647" s="14" t="s">
        <v>6012</v>
      </c>
      <c r="L7647" s="14">
        <v>0.0</v>
      </c>
    </row>
    <row r="7648">
      <c r="A7648" s="14">
        <v>627.0</v>
      </c>
      <c r="B7648" s="14">
        <v>15.0</v>
      </c>
      <c r="C7648" s="34">
        <v>25.96</v>
      </c>
      <c r="D7648" s="36">
        <v>45779.0</v>
      </c>
      <c r="E7648" s="24"/>
      <c r="F7648" s="14">
        <v>1.73</v>
      </c>
      <c r="G7648" s="14">
        <v>41.4</v>
      </c>
      <c r="H7648" s="14">
        <v>2.39</v>
      </c>
      <c r="I7648" s="14" t="s">
        <v>6091</v>
      </c>
      <c r="J7648" s="14">
        <v>0.0</v>
      </c>
      <c r="K7648" s="14" t="s">
        <v>6012</v>
      </c>
      <c r="L7648" s="14">
        <v>0.0</v>
      </c>
    </row>
    <row r="7649">
      <c r="A7649" s="14">
        <v>214.0</v>
      </c>
      <c r="B7649" s="14">
        <v>1.0</v>
      </c>
      <c r="C7649" s="34">
        <v>21.01</v>
      </c>
      <c r="D7649" s="36">
        <v>45779.0</v>
      </c>
      <c r="E7649" s="24"/>
      <c r="F7649" s="14">
        <v>21.01</v>
      </c>
      <c r="G7649" s="14">
        <v>98.18</v>
      </c>
      <c r="H7649" s="14">
        <v>0.47</v>
      </c>
      <c r="I7649" s="14" t="s">
        <v>6093</v>
      </c>
      <c r="J7649" s="14">
        <v>0.0</v>
      </c>
      <c r="K7649" s="14" t="s">
        <v>6012</v>
      </c>
      <c r="L7649" s="14">
        <v>0.0</v>
      </c>
    </row>
    <row r="7650">
      <c r="A7650" s="14">
        <v>30.0</v>
      </c>
      <c r="B7650" s="14">
        <v>2.0</v>
      </c>
      <c r="C7650" s="34">
        <v>11.01</v>
      </c>
      <c r="D7650" s="36">
        <v>45780.0</v>
      </c>
      <c r="E7650" s="24"/>
      <c r="F7650" s="14">
        <v>5.5</v>
      </c>
      <c r="G7650" s="14">
        <v>367.0</v>
      </c>
      <c r="H7650" s="14">
        <v>6.67</v>
      </c>
      <c r="I7650" s="14" t="s">
        <v>6095</v>
      </c>
      <c r="J7650" s="14">
        <v>0.0</v>
      </c>
      <c r="K7650" s="14" t="s">
        <v>6012</v>
      </c>
      <c r="L7650" s="14">
        <v>0.0</v>
      </c>
    </row>
    <row r="7651">
      <c r="A7651" s="14">
        <v>306.0</v>
      </c>
      <c r="B7651" s="14">
        <v>5.0</v>
      </c>
      <c r="C7651" s="34">
        <v>15.53</v>
      </c>
      <c r="D7651" s="36">
        <v>45780.0</v>
      </c>
      <c r="E7651" s="24"/>
      <c r="F7651" s="14">
        <v>3.11</v>
      </c>
      <c r="G7651" s="14">
        <v>50.75</v>
      </c>
      <c r="H7651" s="14">
        <v>1.63</v>
      </c>
      <c r="I7651" s="14" t="s">
        <v>6091</v>
      </c>
      <c r="J7651" s="14">
        <v>0.0</v>
      </c>
      <c r="K7651" s="14" t="s">
        <v>6012</v>
      </c>
      <c r="L7651" s="14">
        <v>0.0</v>
      </c>
    </row>
    <row r="7652">
      <c r="A7652" s="14">
        <v>226.0</v>
      </c>
      <c r="B7652" s="14">
        <v>4.0</v>
      </c>
      <c r="C7652" s="34">
        <v>13.45</v>
      </c>
      <c r="D7652" s="36">
        <v>45780.0</v>
      </c>
      <c r="E7652" s="24"/>
      <c r="F7652" s="14">
        <v>3.36</v>
      </c>
      <c r="G7652" s="14">
        <v>59.51</v>
      </c>
      <c r="H7652" s="14">
        <v>1.77</v>
      </c>
      <c r="I7652" s="14" t="s">
        <v>6094</v>
      </c>
      <c r="J7652" s="14">
        <v>0.0</v>
      </c>
      <c r="K7652" s="14" t="s">
        <v>6012</v>
      </c>
      <c r="L7652" s="14">
        <v>0.0</v>
      </c>
    </row>
    <row r="7653">
      <c r="A7653" s="14">
        <v>109.0</v>
      </c>
      <c r="B7653" s="14">
        <v>0.0</v>
      </c>
      <c r="C7653" s="34">
        <v>12.72</v>
      </c>
      <c r="D7653" s="36">
        <v>45780.0</v>
      </c>
      <c r="E7653" s="24"/>
      <c r="F7653" s="14" t="s">
        <v>6012</v>
      </c>
      <c r="G7653" s="14">
        <v>116.7</v>
      </c>
      <c r="H7653" s="14">
        <v>0.0</v>
      </c>
      <c r="I7653" s="14" t="s">
        <v>6093</v>
      </c>
      <c r="J7653" s="14" t="s">
        <v>6012</v>
      </c>
      <c r="K7653" s="14" t="s">
        <v>6012</v>
      </c>
      <c r="L7653" s="14">
        <v>0.0</v>
      </c>
    </row>
    <row r="7654">
      <c r="A7654" s="14">
        <v>131.0</v>
      </c>
      <c r="B7654" s="14">
        <v>0.0</v>
      </c>
      <c r="C7654" s="34">
        <v>43.36</v>
      </c>
      <c r="D7654" s="36">
        <v>45780.0</v>
      </c>
      <c r="E7654" s="24"/>
      <c r="F7654" s="14" t="s">
        <v>6012</v>
      </c>
      <c r="G7654" s="14">
        <v>330.99</v>
      </c>
      <c r="H7654" s="14">
        <v>0.0</v>
      </c>
      <c r="I7654" s="14" t="s">
        <v>6087</v>
      </c>
      <c r="J7654" s="14" t="s">
        <v>6012</v>
      </c>
      <c r="K7654" s="14" t="s">
        <v>6012</v>
      </c>
      <c r="L7654" s="14">
        <v>0.0</v>
      </c>
    </row>
    <row r="7655">
      <c r="A7655" s="14">
        <v>209.0</v>
      </c>
      <c r="B7655" s="14">
        <v>2.0</v>
      </c>
      <c r="C7655" s="34">
        <v>11.45</v>
      </c>
      <c r="D7655" s="36">
        <v>45781.0</v>
      </c>
      <c r="E7655" s="24"/>
      <c r="F7655" s="14">
        <v>5.72</v>
      </c>
      <c r="G7655" s="14">
        <v>54.78</v>
      </c>
      <c r="H7655" s="14">
        <v>0.96</v>
      </c>
      <c r="I7655" s="14" t="s">
        <v>6091</v>
      </c>
      <c r="J7655" s="14">
        <v>0.0</v>
      </c>
      <c r="K7655" s="14" t="s">
        <v>6012</v>
      </c>
      <c r="L7655" s="14">
        <v>0.0</v>
      </c>
    </row>
    <row r="7656">
      <c r="A7656" s="14">
        <v>91.0</v>
      </c>
      <c r="B7656" s="14">
        <v>1.0</v>
      </c>
      <c r="C7656" s="34">
        <v>36.64</v>
      </c>
      <c r="D7656" s="36">
        <v>45781.0</v>
      </c>
      <c r="E7656" s="24"/>
      <c r="F7656" s="14">
        <v>36.64</v>
      </c>
      <c r="G7656" s="14">
        <v>402.64</v>
      </c>
      <c r="H7656" s="14">
        <v>1.1</v>
      </c>
      <c r="I7656" s="14" t="s">
        <v>6087</v>
      </c>
      <c r="J7656" s="14">
        <v>0.0</v>
      </c>
      <c r="K7656" s="14" t="s">
        <v>6012</v>
      </c>
      <c r="L7656" s="14">
        <v>0.0</v>
      </c>
    </row>
    <row r="7657">
      <c r="A7657" s="14">
        <v>12.0</v>
      </c>
      <c r="B7657" s="14">
        <v>0.0</v>
      </c>
      <c r="C7657" s="34">
        <v>9.35</v>
      </c>
      <c r="D7657" s="36">
        <v>45781.0</v>
      </c>
      <c r="E7657" s="24"/>
      <c r="F7657" s="14" t="s">
        <v>6012</v>
      </c>
      <c r="G7657" s="14">
        <v>779.17</v>
      </c>
      <c r="H7657" s="14">
        <v>0.0</v>
      </c>
      <c r="I7657" s="14" t="s">
        <v>6095</v>
      </c>
      <c r="J7657" s="14" t="s">
        <v>6012</v>
      </c>
      <c r="K7657" s="14" t="s">
        <v>6012</v>
      </c>
      <c r="L7657" s="14">
        <v>0.0</v>
      </c>
    </row>
    <row r="7658">
      <c r="A7658" s="14">
        <v>176.0</v>
      </c>
      <c r="B7658" s="14">
        <v>5.0</v>
      </c>
      <c r="C7658" s="34">
        <v>11.58</v>
      </c>
      <c r="D7658" s="36">
        <v>45781.0</v>
      </c>
      <c r="E7658" s="24"/>
      <c r="F7658" s="14">
        <v>2.32</v>
      </c>
      <c r="G7658" s="14">
        <v>65.8</v>
      </c>
      <c r="H7658" s="14">
        <v>2.84</v>
      </c>
      <c r="I7658" s="14" t="s">
        <v>6094</v>
      </c>
      <c r="J7658" s="14">
        <v>0.0</v>
      </c>
      <c r="K7658" s="14" t="s">
        <v>6012</v>
      </c>
      <c r="L7658" s="14">
        <v>0.0</v>
      </c>
    </row>
    <row r="7659">
      <c r="A7659" s="14">
        <v>62.0</v>
      </c>
      <c r="B7659" s="14">
        <v>0.0</v>
      </c>
      <c r="C7659" s="34">
        <v>9.1</v>
      </c>
      <c r="D7659" s="36">
        <v>45781.0</v>
      </c>
      <c r="E7659" s="24"/>
      <c r="F7659" s="14" t="s">
        <v>6012</v>
      </c>
      <c r="G7659" s="14">
        <v>146.77</v>
      </c>
      <c r="H7659" s="14">
        <v>0.0</v>
      </c>
      <c r="I7659" s="14" t="s">
        <v>6093</v>
      </c>
      <c r="J7659" s="14" t="s">
        <v>6012</v>
      </c>
      <c r="K7659" s="14" t="s">
        <v>6012</v>
      </c>
      <c r="L7659" s="14">
        <v>0.0</v>
      </c>
    </row>
    <row r="7660">
      <c r="A7660" s="14">
        <v>306.0</v>
      </c>
      <c r="B7660" s="14">
        <v>0.0</v>
      </c>
      <c r="C7660" s="34">
        <v>21.53</v>
      </c>
      <c r="D7660" s="36">
        <v>45782.0</v>
      </c>
      <c r="E7660" s="24"/>
      <c r="F7660" s="14" t="s">
        <v>6012</v>
      </c>
      <c r="G7660" s="14">
        <v>70.36</v>
      </c>
      <c r="H7660" s="14">
        <v>0.0</v>
      </c>
      <c r="I7660" s="14" t="s">
        <v>6093</v>
      </c>
      <c r="J7660" s="14" t="s">
        <v>6012</v>
      </c>
      <c r="K7660" s="14" t="s">
        <v>6012</v>
      </c>
      <c r="L7660" s="14">
        <v>0.0</v>
      </c>
    </row>
    <row r="7661">
      <c r="A7661" s="14">
        <v>110.0</v>
      </c>
      <c r="B7661" s="14">
        <v>0.0</v>
      </c>
      <c r="C7661" s="34">
        <v>46.77</v>
      </c>
      <c r="D7661" s="36">
        <v>45782.0</v>
      </c>
      <c r="E7661" s="24"/>
      <c r="F7661" s="14" t="s">
        <v>6012</v>
      </c>
      <c r="G7661" s="14">
        <v>425.18</v>
      </c>
      <c r="H7661" s="14">
        <v>0.0</v>
      </c>
      <c r="I7661" s="14" t="s">
        <v>6087</v>
      </c>
      <c r="J7661" s="14" t="s">
        <v>6012</v>
      </c>
      <c r="K7661" s="14" t="s">
        <v>6012</v>
      </c>
      <c r="L7661" s="14">
        <v>0.0</v>
      </c>
    </row>
    <row r="7662">
      <c r="A7662" s="14">
        <v>405.0</v>
      </c>
      <c r="B7662" s="14">
        <v>8.0</v>
      </c>
      <c r="C7662" s="34">
        <v>26.48</v>
      </c>
      <c r="D7662" s="36">
        <v>45782.0</v>
      </c>
      <c r="E7662" s="24"/>
      <c r="F7662" s="14">
        <v>3.31</v>
      </c>
      <c r="G7662" s="14">
        <v>65.38</v>
      </c>
      <c r="H7662" s="14">
        <v>1.98</v>
      </c>
      <c r="I7662" s="14" t="s">
        <v>6091</v>
      </c>
      <c r="J7662" s="14">
        <v>0.0</v>
      </c>
      <c r="K7662" s="14" t="s">
        <v>6012</v>
      </c>
      <c r="L7662" s="14">
        <v>0.0</v>
      </c>
    </row>
    <row r="7663">
      <c r="A7663" s="14">
        <v>964.0</v>
      </c>
      <c r="B7663" s="14">
        <v>19.0</v>
      </c>
      <c r="C7663" s="34">
        <v>23.6</v>
      </c>
      <c r="D7663" s="36">
        <v>45782.0</v>
      </c>
      <c r="E7663" s="24"/>
      <c r="F7663" s="14">
        <v>1.24</v>
      </c>
      <c r="G7663" s="14">
        <v>24.48</v>
      </c>
      <c r="H7663" s="14">
        <v>1.97</v>
      </c>
      <c r="I7663" s="14" t="s">
        <v>6094</v>
      </c>
      <c r="J7663" s="14">
        <v>0.0</v>
      </c>
      <c r="K7663" s="14" t="s">
        <v>6012</v>
      </c>
      <c r="L7663" s="14">
        <v>0.0</v>
      </c>
    </row>
    <row r="7664">
      <c r="A7664" s="14">
        <v>22.0</v>
      </c>
      <c r="B7664" s="14">
        <v>1.0</v>
      </c>
      <c r="C7664" s="34">
        <v>13.31</v>
      </c>
      <c r="D7664" s="36">
        <v>45782.0</v>
      </c>
      <c r="E7664" s="24"/>
      <c r="F7664" s="14">
        <v>13.31</v>
      </c>
      <c r="G7664" s="14">
        <v>605.0</v>
      </c>
      <c r="H7664" s="14">
        <v>4.55</v>
      </c>
      <c r="I7664" s="14" t="s">
        <v>6095</v>
      </c>
      <c r="J7664" s="14">
        <v>0.0</v>
      </c>
      <c r="K7664" s="14" t="s">
        <v>6012</v>
      </c>
      <c r="L7664" s="14">
        <v>0.0</v>
      </c>
    </row>
    <row r="7665">
      <c r="A7665" s="14">
        <v>777.0</v>
      </c>
      <c r="B7665" s="14">
        <v>12.0</v>
      </c>
      <c r="C7665" s="34">
        <v>27.53</v>
      </c>
      <c r="D7665" s="36">
        <v>45783.0</v>
      </c>
      <c r="E7665" s="24"/>
      <c r="F7665" s="14">
        <v>2.29</v>
      </c>
      <c r="G7665" s="14">
        <v>35.43</v>
      </c>
      <c r="H7665" s="14">
        <v>1.54</v>
      </c>
      <c r="I7665" s="14" t="s">
        <v>6091</v>
      </c>
      <c r="J7665" s="14">
        <v>0.0</v>
      </c>
      <c r="K7665" s="14" t="s">
        <v>6012</v>
      </c>
      <c r="L7665" s="14">
        <v>0.0</v>
      </c>
    </row>
    <row r="7666">
      <c r="A7666" s="14">
        <v>30.0</v>
      </c>
      <c r="B7666" s="14">
        <v>0.0</v>
      </c>
      <c r="C7666" s="34">
        <v>12.03</v>
      </c>
      <c r="D7666" s="36">
        <v>45783.0</v>
      </c>
      <c r="E7666" s="24"/>
      <c r="F7666" s="14" t="s">
        <v>6012</v>
      </c>
      <c r="G7666" s="14">
        <v>401.0</v>
      </c>
      <c r="H7666" s="14">
        <v>0.0</v>
      </c>
      <c r="I7666" s="14" t="s">
        <v>6095</v>
      </c>
      <c r="J7666" s="14" t="s">
        <v>6012</v>
      </c>
      <c r="K7666" s="14" t="s">
        <v>6012</v>
      </c>
      <c r="L7666" s="14">
        <v>0.0</v>
      </c>
    </row>
    <row r="7667">
      <c r="A7667" s="14">
        <v>115.0</v>
      </c>
      <c r="B7667" s="14">
        <v>0.0</v>
      </c>
      <c r="C7667" s="34">
        <v>47.79</v>
      </c>
      <c r="D7667" s="36">
        <v>45783.0</v>
      </c>
      <c r="E7667" s="24"/>
      <c r="F7667" s="14" t="s">
        <v>6012</v>
      </c>
      <c r="G7667" s="14">
        <v>415.57</v>
      </c>
      <c r="H7667" s="14">
        <v>0.0</v>
      </c>
      <c r="I7667" s="14" t="s">
        <v>6087</v>
      </c>
      <c r="J7667" s="14" t="s">
        <v>6012</v>
      </c>
      <c r="K7667" s="14" t="s">
        <v>6012</v>
      </c>
      <c r="L7667" s="14">
        <v>0.0</v>
      </c>
    </row>
    <row r="7668">
      <c r="A7668" s="14">
        <v>713.0</v>
      </c>
      <c r="B7668" s="14">
        <v>9.0</v>
      </c>
      <c r="C7668" s="34">
        <v>25.68</v>
      </c>
      <c r="D7668" s="36">
        <v>45783.0</v>
      </c>
      <c r="E7668" s="24"/>
      <c r="F7668" s="14">
        <v>2.85</v>
      </c>
      <c r="G7668" s="14">
        <v>36.02</v>
      </c>
      <c r="H7668" s="14">
        <v>1.26</v>
      </c>
      <c r="I7668" s="14" t="s">
        <v>6094</v>
      </c>
      <c r="J7668" s="14">
        <v>0.0</v>
      </c>
      <c r="K7668" s="14" t="s">
        <v>6012</v>
      </c>
      <c r="L7668" s="14">
        <v>0.0</v>
      </c>
    </row>
    <row r="7669">
      <c r="A7669" s="14">
        <v>285.0</v>
      </c>
      <c r="B7669" s="14">
        <v>1.0</v>
      </c>
      <c r="C7669" s="34">
        <v>22.84</v>
      </c>
      <c r="D7669" s="36">
        <v>45783.0</v>
      </c>
      <c r="E7669" s="24"/>
      <c r="F7669" s="14">
        <v>22.84</v>
      </c>
      <c r="G7669" s="14">
        <v>80.14</v>
      </c>
      <c r="H7669" s="14">
        <v>0.35</v>
      </c>
      <c r="I7669" s="14" t="s">
        <v>6093</v>
      </c>
      <c r="J7669" s="14">
        <v>0.0</v>
      </c>
      <c r="K7669" s="14" t="s">
        <v>6012</v>
      </c>
      <c r="L7669" s="14">
        <v>0.0</v>
      </c>
    </row>
    <row r="7670">
      <c r="A7670" s="14">
        <v>124.0</v>
      </c>
      <c r="B7670" s="14">
        <v>1.0</v>
      </c>
      <c r="C7670" s="34">
        <v>47.5</v>
      </c>
      <c r="D7670" s="36">
        <v>45784.0</v>
      </c>
      <c r="E7670" s="24"/>
      <c r="F7670" s="14">
        <v>47.5</v>
      </c>
      <c r="G7670" s="14">
        <v>383.06</v>
      </c>
      <c r="H7670" s="14">
        <v>0.81</v>
      </c>
      <c r="I7670" s="14" t="s">
        <v>6087</v>
      </c>
      <c r="J7670" s="14">
        <v>0.0</v>
      </c>
      <c r="K7670" s="14" t="s">
        <v>6012</v>
      </c>
      <c r="L7670" s="14">
        <v>0.0</v>
      </c>
    </row>
    <row r="7671">
      <c r="A7671" s="14">
        <v>182.0</v>
      </c>
      <c r="B7671" s="14">
        <v>1.0</v>
      </c>
      <c r="C7671" s="34">
        <v>23.19</v>
      </c>
      <c r="D7671" s="36">
        <v>45784.0</v>
      </c>
      <c r="E7671" s="24"/>
      <c r="F7671" s="14">
        <v>23.19</v>
      </c>
      <c r="G7671" s="14">
        <v>127.42</v>
      </c>
      <c r="H7671" s="14">
        <v>0.55</v>
      </c>
      <c r="I7671" s="14" t="s">
        <v>6093</v>
      </c>
      <c r="J7671" s="14">
        <v>0.0</v>
      </c>
      <c r="K7671" s="14" t="s">
        <v>6012</v>
      </c>
      <c r="L7671" s="14">
        <v>0.0</v>
      </c>
    </row>
    <row r="7672">
      <c r="A7672" s="14">
        <v>1046.0</v>
      </c>
      <c r="B7672" s="14">
        <v>19.0</v>
      </c>
      <c r="C7672" s="34">
        <v>25.12</v>
      </c>
      <c r="D7672" s="36">
        <v>45784.0</v>
      </c>
      <c r="E7672" s="24"/>
      <c r="F7672" s="14">
        <v>1.32</v>
      </c>
      <c r="G7672" s="14">
        <v>24.02</v>
      </c>
      <c r="H7672" s="14">
        <v>1.82</v>
      </c>
      <c r="I7672" s="14" t="s">
        <v>6094</v>
      </c>
      <c r="J7672" s="14">
        <v>0.0</v>
      </c>
      <c r="K7672" s="14" t="s">
        <v>6012</v>
      </c>
      <c r="L7672" s="14">
        <v>0.0</v>
      </c>
    </row>
    <row r="7673">
      <c r="A7673" s="14">
        <v>1314.0</v>
      </c>
      <c r="B7673" s="14">
        <v>19.0</v>
      </c>
      <c r="C7673" s="34">
        <v>26.42</v>
      </c>
      <c r="D7673" s="36">
        <v>45784.0</v>
      </c>
      <c r="E7673" s="24"/>
      <c r="F7673" s="14">
        <v>1.39</v>
      </c>
      <c r="G7673" s="14">
        <v>20.11</v>
      </c>
      <c r="H7673" s="14">
        <v>1.45</v>
      </c>
      <c r="I7673" s="14" t="s">
        <v>6091</v>
      </c>
      <c r="J7673" s="14">
        <v>0.0</v>
      </c>
      <c r="K7673" s="14" t="s">
        <v>6012</v>
      </c>
      <c r="L7673" s="14">
        <v>0.0</v>
      </c>
    </row>
    <row r="7674">
      <c r="A7674" s="14">
        <v>39.0</v>
      </c>
      <c r="B7674" s="14">
        <v>1.0</v>
      </c>
      <c r="C7674" s="34">
        <v>10.81</v>
      </c>
      <c r="D7674" s="36">
        <v>45784.0</v>
      </c>
      <c r="E7674" s="24"/>
      <c r="F7674" s="14">
        <v>10.81</v>
      </c>
      <c r="G7674" s="14">
        <v>277.18</v>
      </c>
      <c r="H7674" s="14">
        <v>2.56</v>
      </c>
      <c r="I7674" s="14" t="s">
        <v>6095</v>
      </c>
      <c r="J7674" s="14">
        <v>0.0</v>
      </c>
      <c r="K7674" s="14" t="s">
        <v>6012</v>
      </c>
      <c r="L7674" s="14">
        <v>0.0</v>
      </c>
    </row>
    <row r="7675">
      <c r="A7675" s="14">
        <v>907.0</v>
      </c>
      <c r="B7675" s="14">
        <v>24.0</v>
      </c>
      <c r="C7675" s="34">
        <v>25.61</v>
      </c>
      <c r="D7675" s="36">
        <v>45785.0</v>
      </c>
      <c r="E7675" s="24"/>
      <c r="F7675" s="14">
        <v>1.07</v>
      </c>
      <c r="G7675" s="14">
        <v>28.24</v>
      </c>
      <c r="H7675" s="14">
        <v>2.65</v>
      </c>
      <c r="I7675" s="14" t="s">
        <v>6094</v>
      </c>
      <c r="J7675" s="14">
        <v>0.0</v>
      </c>
      <c r="K7675" s="14" t="s">
        <v>6012</v>
      </c>
      <c r="L7675" s="14">
        <v>0.0</v>
      </c>
    </row>
    <row r="7676">
      <c r="A7676" s="14">
        <v>70.0</v>
      </c>
      <c r="B7676" s="14">
        <v>2.0</v>
      </c>
      <c r="C7676" s="34">
        <v>20.93</v>
      </c>
      <c r="D7676" s="36">
        <v>45785.0</v>
      </c>
      <c r="E7676" s="24"/>
      <c r="F7676" s="14">
        <v>10.46</v>
      </c>
      <c r="G7676" s="14">
        <v>299.0</v>
      </c>
      <c r="H7676" s="14">
        <v>2.86</v>
      </c>
      <c r="I7676" s="14" t="s">
        <v>6087</v>
      </c>
      <c r="J7676" s="14">
        <v>0.0</v>
      </c>
      <c r="K7676" s="14" t="s">
        <v>6012</v>
      </c>
      <c r="L7676" s="14">
        <v>0.0</v>
      </c>
    </row>
    <row r="7677">
      <c r="A7677" s="14">
        <v>21.0</v>
      </c>
      <c r="B7677" s="14">
        <v>0.0</v>
      </c>
      <c r="C7677" s="34">
        <v>9.49</v>
      </c>
      <c r="D7677" s="36">
        <v>45785.0</v>
      </c>
      <c r="E7677" s="24"/>
      <c r="F7677" s="14" t="s">
        <v>6012</v>
      </c>
      <c r="G7677" s="14">
        <v>451.9</v>
      </c>
      <c r="H7677" s="14">
        <v>0.0</v>
      </c>
      <c r="I7677" s="14" t="s">
        <v>6095</v>
      </c>
      <c r="J7677" s="14" t="s">
        <v>6012</v>
      </c>
      <c r="K7677" s="14" t="s">
        <v>6012</v>
      </c>
      <c r="L7677" s="14">
        <v>0.0</v>
      </c>
    </row>
    <row r="7678">
      <c r="A7678" s="14">
        <v>243.0</v>
      </c>
      <c r="B7678" s="14">
        <v>0.0</v>
      </c>
      <c r="C7678" s="34">
        <v>22.49</v>
      </c>
      <c r="D7678" s="36">
        <v>45785.0</v>
      </c>
      <c r="E7678" s="24"/>
      <c r="F7678" s="14" t="s">
        <v>6012</v>
      </c>
      <c r="G7678" s="14">
        <v>92.55</v>
      </c>
      <c r="H7678" s="14">
        <v>0.0</v>
      </c>
      <c r="I7678" s="14" t="s">
        <v>6093</v>
      </c>
      <c r="J7678" s="14" t="s">
        <v>6012</v>
      </c>
      <c r="K7678" s="14" t="s">
        <v>6012</v>
      </c>
      <c r="L7678" s="14">
        <v>0.0</v>
      </c>
    </row>
    <row r="7679">
      <c r="A7679" s="14">
        <v>951.0</v>
      </c>
      <c r="B7679" s="14">
        <v>8.0</v>
      </c>
      <c r="C7679" s="34">
        <v>27.79</v>
      </c>
      <c r="D7679" s="36">
        <v>45785.0</v>
      </c>
      <c r="E7679" s="24"/>
      <c r="F7679" s="14">
        <v>3.47</v>
      </c>
      <c r="G7679" s="14">
        <v>29.22</v>
      </c>
      <c r="H7679" s="14">
        <v>0.84</v>
      </c>
      <c r="I7679" s="14" t="s">
        <v>6091</v>
      </c>
      <c r="J7679" s="14">
        <v>0.0</v>
      </c>
      <c r="K7679" s="14" t="s">
        <v>6012</v>
      </c>
      <c r="L7679" s="14">
        <v>0.0</v>
      </c>
    </row>
    <row r="7680">
      <c r="A7680" s="14">
        <v>1265.0</v>
      </c>
      <c r="B7680" s="14">
        <v>9.0</v>
      </c>
      <c r="C7680" s="34">
        <v>22.3</v>
      </c>
      <c r="D7680" s="36">
        <v>45786.0</v>
      </c>
      <c r="E7680" s="24"/>
      <c r="F7680" s="14">
        <v>2.48</v>
      </c>
      <c r="G7680" s="14">
        <v>17.63</v>
      </c>
      <c r="H7680" s="14">
        <v>0.71</v>
      </c>
      <c r="I7680" s="14" t="s">
        <v>6091</v>
      </c>
      <c r="J7680" s="14">
        <v>0.0</v>
      </c>
      <c r="K7680" s="14" t="s">
        <v>6012</v>
      </c>
      <c r="L7680" s="14">
        <v>0.0</v>
      </c>
    </row>
    <row r="7681">
      <c r="A7681" s="14">
        <v>210.0</v>
      </c>
      <c r="B7681" s="14">
        <v>0.0</v>
      </c>
      <c r="C7681" s="34">
        <v>18.76</v>
      </c>
      <c r="D7681" s="36">
        <v>45786.0</v>
      </c>
      <c r="E7681" s="24"/>
      <c r="F7681" s="14" t="s">
        <v>6012</v>
      </c>
      <c r="G7681" s="14">
        <v>89.33</v>
      </c>
      <c r="H7681" s="14">
        <v>0.0</v>
      </c>
      <c r="I7681" s="14" t="s">
        <v>6093</v>
      </c>
      <c r="J7681" s="14" t="s">
        <v>6012</v>
      </c>
      <c r="K7681" s="14" t="s">
        <v>6012</v>
      </c>
      <c r="L7681" s="14">
        <v>0.0</v>
      </c>
    </row>
    <row r="7682">
      <c r="A7682" s="14">
        <v>639.0</v>
      </c>
      <c r="B7682" s="14">
        <v>12.0</v>
      </c>
      <c r="C7682" s="34">
        <v>20.63</v>
      </c>
      <c r="D7682" s="36">
        <v>45786.0</v>
      </c>
      <c r="E7682" s="24"/>
      <c r="F7682" s="14">
        <v>1.72</v>
      </c>
      <c r="G7682" s="14">
        <v>32.28</v>
      </c>
      <c r="H7682" s="14">
        <v>1.88</v>
      </c>
      <c r="I7682" s="14" t="s">
        <v>6094</v>
      </c>
      <c r="J7682" s="14">
        <v>0.0</v>
      </c>
      <c r="K7682" s="14" t="s">
        <v>6012</v>
      </c>
      <c r="L7682" s="14">
        <v>0.0</v>
      </c>
    </row>
    <row r="7683">
      <c r="A7683" s="14">
        <v>125.0</v>
      </c>
      <c r="B7683" s="14">
        <v>0.0</v>
      </c>
      <c r="C7683" s="34">
        <v>13.31</v>
      </c>
      <c r="D7683" s="36">
        <v>45787.0</v>
      </c>
      <c r="E7683" s="24"/>
      <c r="F7683" s="14" t="s">
        <v>6012</v>
      </c>
      <c r="G7683" s="14">
        <v>106.48</v>
      </c>
      <c r="H7683" s="14">
        <v>0.0</v>
      </c>
      <c r="I7683" s="14" t="s">
        <v>6093</v>
      </c>
      <c r="J7683" s="14" t="s">
        <v>6012</v>
      </c>
      <c r="K7683" s="14" t="s">
        <v>6012</v>
      </c>
      <c r="L7683" s="14">
        <v>0.0</v>
      </c>
    </row>
    <row r="7684">
      <c r="A7684" s="14">
        <v>280.0</v>
      </c>
      <c r="B7684" s="14">
        <v>10.0</v>
      </c>
      <c r="C7684" s="34">
        <v>14.86</v>
      </c>
      <c r="D7684" s="36">
        <v>45787.0</v>
      </c>
      <c r="E7684" s="24"/>
      <c r="F7684" s="14">
        <v>1.49</v>
      </c>
      <c r="G7684" s="14">
        <v>53.07</v>
      </c>
      <c r="H7684" s="14">
        <v>3.57</v>
      </c>
      <c r="I7684" s="14" t="s">
        <v>6094</v>
      </c>
      <c r="J7684" s="14">
        <v>0.0</v>
      </c>
      <c r="K7684" s="14" t="s">
        <v>6012</v>
      </c>
      <c r="L7684" s="14">
        <v>0.0</v>
      </c>
    </row>
    <row r="7685">
      <c r="A7685" s="14">
        <v>602.0</v>
      </c>
      <c r="B7685" s="14">
        <v>14.0</v>
      </c>
      <c r="C7685" s="34">
        <v>15.36</v>
      </c>
      <c r="D7685" s="36">
        <v>45787.0</v>
      </c>
      <c r="E7685" s="24"/>
      <c r="F7685" s="14">
        <v>1.1</v>
      </c>
      <c r="G7685" s="14">
        <v>25.51</v>
      </c>
      <c r="H7685" s="14">
        <v>2.33</v>
      </c>
      <c r="I7685" s="14" t="s">
        <v>6091</v>
      </c>
      <c r="J7685" s="14">
        <v>0.0</v>
      </c>
      <c r="K7685" s="14" t="s">
        <v>6012</v>
      </c>
      <c r="L7685" s="14">
        <v>0.0</v>
      </c>
    </row>
    <row r="7686">
      <c r="A7686" s="14">
        <v>73.0</v>
      </c>
      <c r="B7686" s="14">
        <v>0.0</v>
      </c>
      <c r="C7686" s="34">
        <v>10.88</v>
      </c>
      <c r="D7686" s="36">
        <v>45788.0</v>
      </c>
      <c r="E7686" s="24"/>
      <c r="F7686" s="14" t="s">
        <v>6012</v>
      </c>
      <c r="G7686" s="14">
        <v>149.04</v>
      </c>
      <c r="H7686" s="14">
        <v>0.0</v>
      </c>
      <c r="I7686" s="14" t="s">
        <v>6093</v>
      </c>
      <c r="J7686" s="14" t="s">
        <v>6012</v>
      </c>
      <c r="K7686" s="14" t="s">
        <v>6012</v>
      </c>
      <c r="L7686" s="14">
        <v>0.0</v>
      </c>
    </row>
    <row r="7687">
      <c r="A7687" s="14">
        <v>334.0</v>
      </c>
      <c r="B7687" s="14">
        <v>6.0</v>
      </c>
      <c r="C7687" s="34">
        <v>13.56</v>
      </c>
      <c r="D7687" s="36">
        <v>45788.0</v>
      </c>
      <c r="E7687" s="24"/>
      <c r="F7687" s="14">
        <v>2.26</v>
      </c>
      <c r="G7687" s="14">
        <v>40.6</v>
      </c>
      <c r="H7687" s="14">
        <v>1.8</v>
      </c>
      <c r="I7687" s="14" t="s">
        <v>6094</v>
      </c>
      <c r="J7687" s="14">
        <v>0.0</v>
      </c>
      <c r="K7687" s="14" t="s">
        <v>6012</v>
      </c>
      <c r="L7687" s="14">
        <v>0.0</v>
      </c>
    </row>
    <row r="7688">
      <c r="A7688" s="14">
        <v>382.0</v>
      </c>
      <c r="B7688" s="14">
        <v>3.0</v>
      </c>
      <c r="C7688" s="34">
        <v>13.72</v>
      </c>
      <c r="D7688" s="36">
        <v>45788.0</v>
      </c>
      <c r="E7688" s="24"/>
      <c r="F7688" s="14">
        <v>4.57</v>
      </c>
      <c r="G7688" s="14">
        <v>35.92</v>
      </c>
      <c r="H7688" s="14">
        <v>0.79</v>
      </c>
      <c r="I7688" s="14" t="s">
        <v>6091</v>
      </c>
      <c r="J7688" s="14">
        <v>0.0</v>
      </c>
      <c r="K7688" s="14" t="s">
        <v>6012</v>
      </c>
      <c r="L7688" s="14">
        <v>0.0</v>
      </c>
    </row>
    <row r="7689">
      <c r="A7689" s="14">
        <v>1123.0</v>
      </c>
      <c r="B7689" s="14">
        <v>13.0</v>
      </c>
      <c r="C7689" s="34">
        <v>25.09</v>
      </c>
      <c r="D7689" s="36">
        <v>45789.0</v>
      </c>
      <c r="E7689" s="24"/>
      <c r="F7689" s="14">
        <v>1.93</v>
      </c>
      <c r="G7689" s="14">
        <v>22.34</v>
      </c>
      <c r="H7689" s="14">
        <v>1.16</v>
      </c>
      <c r="I7689" s="14" t="s">
        <v>6091</v>
      </c>
      <c r="J7689" s="14">
        <v>0.0</v>
      </c>
      <c r="K7689" s="14" t="s">
        <v>6012</v>
      </c>
      <c r="L7689" s="14">
        <v>0.0</v>
      </c>
    </row>
    <row r="7690">
      <c r="A7690" s="14">
        <v>138.0</v>
      </c>
      <c r="B7690" s="14">
        <v>1.0</v>
      </c>
      <c r="C7690" s="34">
        <v>21.46</v>
      </c>
      <c r="D7690" s="36">
        <v>45789.0</v>
      </c>
      <c r="E7690" s="24"/>
      <c r="F7690" s="14">
        <v>21.46</v>
      </c>
      <c r="G7690" s="14">
        <v>155.51</v>
      </c>
      <c r="H7690" s="14">
        <v>0.72</v>
      </c>
      <c r="I7690" s="14" t="s">
        <v>6093</v>
      </c>
      <c r="J7690" s="14">
        <v>0.0</v>
      </c>
      <c r="K7690" s="14" t="s">
        <v>6012</v>
      </c>
      <c r="L7690" s="14">
        <v>0.0</v>
      </c>
    </row>
    <row r="7691">
      <c r="A7691" s="14">
        <v>376.0</v>
      </c>
      <c r="B7691" s="14">
        <v>7.0</v>
      </c>
      <c r="C7691" s="34">
        <v>22.96</v>
      </c>
      <c r="D7691" s="36">
        <v>45789.0</v>
      </c>
      <c r="E7691" s="24"/>
      <c r="F7691" s="14">
        <v>3.28</v>
      </c>
      <c r="G7691" s="14">
        <v>61.06</v>
      </c>
      <c r="H7691" s="14">
        <v>1.86</v>
      </c>
      <c r="I7691" s="14" t="s">
        <v>6094</v>
      </c>
      <c r="J7691" s="14">
        <v>0.0</v>
      </c>
      <c r="K7691" s="14" t="s">
        <v>6012</v>
      </c>
      <c r="L7691" s="14">
        <v>0.0</v>
      </c>
    </row>
    <row r="7692">
      <c r="A7692" s="14">
        <v>1369.0</v>
      </c>
      <c r="B7692" s="14">
        <v>25.0</v>
      </c>
      <c r="C7692" s="34">
        <v>25.4</v>
      </c>
      <c r="D7692" s="36">
        <v>45790.0</v>
      </c>
      <c r="E7692" s="24"/>
      <c r="F7692" s="14">
        <v>1.02</v>
      </c>
      <c r="G7692" s="14">
        <v>18.55</v>
      </c>
      <c r="H7692" s="14">
        <v>1.83</v>
      </c>
      <c r="I7692" s="14" t="s">
        <v>6091</v>
      </c>
      <c r="J7692" s="14">
        <v>0.0</v>
      </c>
      <c r="K7692" s="14" t="s">
        <v>6012</v>
      </c>
      <c r="L7692" s="14">
        <v>0.0</v>
      </c>
    </row>
    <row r="7693">
      <c r="A7693" s="14">
        <v>132.0</v>
      </c>
      <c r="B7693" s="14">
        <v>1.0</v>
      </c>
      <c r="C7693" s="34">
        <v>21.75</v>
      </c>
      <c r="D7693" s="36">
        <v>45790.0</v>
      </c>
      <c r="E7693" s="24"/>
      <c r="F7693" s="14">
        <v>21.75</v>
      </c>
      <c r="G7693" s="14">
        <v>164.77</v>
      </c>
      <c r="H7693" s="14">
        <v>0.76</v>
      </c>
      <c r="I7693" s="14" t="s">
        <v>6093</v>
      </c>
      <c r="J7693" s="14">
        <v>0.0</v>
      </c>
      <c r="K7693" s="14" t="s">
        <v>6012</v>
      </c>
      <c r="L7693" s="14">
        <v>0.0</v>
      </c>
    </row>
    <row r="7694">
      <c r="A7694" s="14">
        <v>1064.0</v>
      </c>
      <c r="B7694" s="14">
        <v>21.0</v>
      </c>
      <c r="C7694" s="34">
        <v>23.86</v>
      </c>
      <c r="D7694" s="36">
        <v>45790.0</v>
      </c>
      <c r="E7694" s="24"/>
      <c r="F7694" s="14">
        <v>1.14</v>
      </c>
      <c r="G7694" s="14">
        <v>22.42</v>
      </c>
      <c r="H7694" s="14">
        <v>1.97</v>
      </c>
      <c r="I7694" s="14" t="s">
        <v>6094</v>
      </c>
      <c r="J7694" s="14">
        <v>0.0</v>
      </c>
      <c r="K7694" s="14" t="s">
        <v>6012</v>
      </c>
      <c r="L7694" s="14">
        <v>0.0</v>
      </c>
    </row>
    <row r="7695">
      <c r="A7695" s="14">
        <v>750.0</v>
      </c>
      <c r="B7695" s="14">
        <v>9.0</v>
      </c>
      <c r="C7695" s="34">
        <v>27.19</v>
      </c>
      <c r="D7695" s="36">
        <v>45791.0</v>
      </c>
      <c r="E7695" s="24"/>
      <c r="F7695" s="14">
        <v>3.02</v>
      </c>
      <c r="G7695" s="14">
        <v>36.25</v>
      </c>
      <c r="H7695" s="14">
        <v>1.2</v>
      </c>
      <c r="I7695" s="14" t="s">
        <v>6091</v>
      </c>
      <c r="J7695" s="14">
        <v>0.0</v>
      </c>
      <c r="K7695" s="14" t="s">
        <v>6012</v>
      </c>
      <c r="L7695" s="14">
        <v>0.0</v>
      </c>
    </row>
    <row r="7696">
      <c r="A7696" s="14">
        <v>151.0</v>
      </c>
      <c r="B7696" s="14">
        <v>0.0</v>
      </c>
      <c r="C7696" s="34">
        <v>23.99</v>
      </c>
      <c r="D7696" s="36">
        <v>45791.0</v>
      </c>
      <c r="E7696" s="24"/>
      <c r="F7696" s="14" t="s">
        <v>6012</v>
      </c>
      <c r="G7696" s="14">
        <v>158.87</v>
      </c>
      <c r="H7696" s="14">
        <v>0.0</v>
      </c>
      <c r="I7696" s="14" t="s">
        <v>6093</v>
      </c>
      <c r="J7696" s="14" t="s">
        <v>6012</v>
      </c>
      <c r="K7696" s="14" t="s">
        <v>6012</v>
      </c>
      <c r="L7696" s="14">
        <v>0.0</v>
      </c>
    </row>
    <row r="7697">
      <c r="A7697" s="14">
        <v>602.0</v>
      </c>
      <c r="B7697" s="14">
        <v>20.0</v>
      </c>
      <c r="C7697" s="34">
        <v>25.83</v>
      </c>
      <c r="D7697" s="36">
        <v>45791.0</v>
      </c>
      <c r="E7697" s="24"/>
      <c r="F7697" s="14">
        <v>1.29</v>
      </c>
      <c r="G7697" s="14">
        <v>42.91</v>
      </c>
      <c r="H7697" s="14">
        <v>3.32</v>
      </c>
      <c r="I7697" s="14" t="s">
        <v>6094</v>
      </c>
      <c r="J7697" s="14">
        <v>0.0</v>
      </c>
      <c r="K7697" s="14" t="s">
        <v>6012</v>
      </c>
      <c r="L7697" s="14">
        <v>0.0</v>
      </c>
    </row>
    <row r="7698">
      <c r="A7698" s="14">
        <v>664.0</v>
      </c>
      <c r="B7698" s="14">
        <v>6.0</v>
      </c>
      <c r="C7698" s="34">
        <v>29.95</v>
      </c>
      <c r="D7698" s="36">
        <v>45792.0</v>
      </c>
      <c r="E7698" s="24"/>
      <c r="F7698" s="14">
        <v>4.99</v>
      </c>
      <c r="G7698" s="14">
        <v>45.11</v>
      </c>
      <c r="H7698" s="14">
        <v>0.9</v>
      </c>
      <c r="I7698" s="14" t="s">
        <v>6091</v>
      </c>
      <c r="J7698" s="14">
        <v>0.0</v>
      </c>
      <c r="K7698" s="14" t="s">
        <v>6012</v>
      </c>
      <c r="L7698" s="14">
        <v>0.0</v>
      </c>
    </row>
    <row r="7699">
      <c r="A7699" s="14">
        <v>602.0</v>
      </c>
      <c r="B7699" s="14">
        <v>5.0</v>
      </c>
      <c r="C7699" s="34">
        <v>26.72</v>
      </c>
      <c r="D7699" s="36">
        <v>45792.0</v>
      </c>
      <c r="E7699" s="24"/>
      <c r="F7699" s="14">
        <v>5.34</v>
      </c>
      <c r="G7699" s="14">
        <v>44.39</v>
      </c>
      <c r="H7699" s="14">
        <v>0.83</v>
      </c>
      <c r="I7699" s="14" t="s">
        <v>6094</v>
      </c>
      <c r="J7699" s="14">
        <v>0.0</v>
      </c>
      <c r="K7699" s="14" t="s">
        <v>6012</v>
      </c>
      <c r="L7699" s="14">
        <v>0.0</v>
      </c>
    </row>
    <row r="7700">
      <c r="A7700" s="14">
        <v>104.0</v>
      </c>
      <c r="B7700" s="14">
        <v>0.0</v>
      </c>
      <c r="C7700" s="34">
        <v>23.76</v>
      </c>
      <c r="D7700" s="36">
        <v>45792.0</v>
      </c>
      <c r="E7700" s="24"/>
      <c r="F7700" s="14" t="s">
        <v>6012</v>
      </c>
      <c r="G7700" s="14">
        <v>228.46</v>
      </c>
      <c r="H7700" s="14">
        <v>0.0</v>
      </c>
      <c r="I7700" s="14" t="s">
        <v>6093</v>
      </c>
      <c r="J7700" s="14" t="s">
        <v>6012</v>
      </c>
      <c r="K7700" s="14" t="s">
        <v>6012</v>
      </c>
      <c r="L7700" s="14">
        <v>0.0</v>
      </c>
    </row>
    <row r="7701">
      <c r="A7701" s="14">
        <v>661.0</v>
      </c>
      <c r="B7701" s="14">
        <v>9.0</v>
      </c>
      <c r="C7701" s="34">
        <v>26.04</v>
      </c>
      <c r="D7701" s="36">
        <v>45793.0</v>
      </c>
      <c r="E7701" s="24"/>
      <c r="F7701" s="14">
        <v>2.89</v>
      </c>
      <c r="G7701" s="14">
        <v>39.39</v>
      </c>
      <c r="H7701" s="14">
        <v>1.36</v>
      </c>
      <c r="I7701" s="14" t="s">
        <v>6091</v>
      </c>
      <c r="J7701" s="14">
        <v>0.0</v>
      </c>
      <c r="K7701" s="14" t="s">
        <v>6012</v>
      </c>
      <c r="L7701" s="14">
        <v>0.0</v>
      </c>
    </row>
    <row r="7702">
      <c r="A7702" s="14">
        <v>1147.0</v>
      </c>
      <c r="B7702" s="14">
        <v>29.0</v>
      </c>
      <c r="C7702" s="34">
        <v>23.87</v>
      </c>
      <c r="D7702" s="36">
        <v>45793.0</v>
      </c>
      <c r="E7702" s="24"/>
      <c r="F7702" s="14">
        <v>0.82</v>
      </c>
      <c r="G7702" s="14">
        <v>20.81</v>
      </c>
      <c r="H7702" s="14">
        <v>2.53</v>
      </c>
      <c r="I7702" s="14" t="s">
        <v>6094</v>
      </c>
      <c r="J7702" s="14">
        <v>0.0</v>
      </c>
      <c r="K7702" s="14" t="s">
        <v>6012</v>
      </c>
      <c r="L7702" s="14">
        <v>0.0</v>
      </c>
    </row>
    <row r="7703">
      <c r="A7703" s="14">
        <v>193.0</v>
      </c>
      <c r="B7703" s="14">
        <v>2.0</v>
      </c>
      <c r="C7703" s="34">
        <v>21.06</v>
      </c>
      <c r="D7703" s="36">
        <v>45793.0</v>
      </c>
      <c r="E7703" s="24"/>
      <c r="F7703" s="14">
        <v>10.53</v>
      </c>
      <c r="G7703" s="14">
        <v>109.12</v>
      </c>
      <c r="H7703" s="14">
        <v>1.04</v>
      </c>
      <c r="I7703" s="14" t="s">
        <v>6093</v>
      </c>
      <c r="J7703" s="14">
        <v>0.0</v>
      </c>
      <c r="K7703" s="14" t="s">
        <v>6012</v>
      </c>
      <c r="L7703" s="14">
        <v>0.0</v>
      </c>
    </row>
    <row r="7704">
      <c r="A7704" s="14">
        <v>313.0</v>
      </c>
      <c r="B7704" s="14">
        <v>10.0</v>
      </c>
      <c r="C7704" s="34">
        <v>15.0</v>
      </c>
      <c r="D7704" s="36">
        <v>45794.0</v>
      </c>
      <c r="E7704" s="24"/>
      <c r="F7704" s="14">
        <v>1.5</v>
      </c>
      <c r="G7704" s="14">
        <v>47.92</v>
      </c>
      <c r="H7704" s="14">
        <v>3.19</v>
      </c>
      <c r="I7704" s="14" t="s">
        <v>6091</v>
      </c>
      <c r="J7704" s="14">
        <v>0.0</v>
      </c>
      <c r="K7704" s="14" t="s">
        <v>6012</v>
      </c>
      <c r="L7704" s="14">
        <v>0.0</v>
      </c>
    </row>
    <row r="7705">
      <c r="A7705" s="14">
        <v>105.0</v>
      </c>
      <c r="B7705" s="14">
        <v>1.0</v>
      </c>
      <c r="C7705" s="34">
        <v>11.94</v>
      </c>
      <c r="D7705" s="36">
        <v>45794.0</v>
      </c>
      <c r="E7705" s="24"/>
      <c r="F7705" s="14">
        <v>11.94</v>
      </c>
      <c r="G7705" s="14">
        <v>113.71</v>
      </c>
      <c r="H7705" s="14">
        <v>0.95</v>
      </c>
      <c r="I7705" s="14" t="s">
        <v>6093</v>
      </c>
      <c r="J7705" s="14">
        <v>0.0</v>
      </c>
      <c r="K7705" s="14" t="s">
        <v>6012</v>
      </c>
      <c r="L7705" s="14">
        <v>0.0</v>
      </c>
    </row>
    <row r="7706">
      <c r="A7706" s="14">
        <v>264.0</v>
      </c>
      <c r="B7706" s="14">
        <v>11.0</v>
      </c>
      <c r="C7706" s="34">
        <v>13.99</v>
      </c>
      <c r="D7706" s="36">
        <v>45794.0</v>
      </c>
      <c r="E7706" s="24"/>
      <c r="F7706" s="14">
        <v>1.27</v>
      </c>
      <c r="G7706" s="14">
        <v>52.99</v>
      </c>
      <c r="H7706" s="14">
        <v>4.17</v>
      </c>
      <c r="I7706" s="14" t="s">
        <v>6094</v>
      </c>
      <c r="J7706" s="14">
        <v>0.0</v>
      </c>
      <c r="K7706" s="14" t="s">
        <v>6012</v>
      </c>
      <c r="L7706" s="14">
        <v>0.0</v>
      </c>
    </row>
    <row r="7707">
      <c r="A7707" s="14">
        <v>109.0</v>
      </c>
      <c r="B7707" s="14">
        <v>3.0</v>
      </c>
      <c r="C7707" s="34">
        <v>11.87</v>
      </c>
      <c r="D7707" s="36">
        <v>45795.0</v>
      </c>
      <c r="E7707" s="24"/>
      <c r="F7707" s="14">
        <v>3.96</v>
      </c>
      <c r="G7707" s="14">
        <v>108.9</v>
      </c>
      <c r="H7707" s="14">
        <v>2.75</v>
      </c>
      <c r="I7707" s="14" t="s">
        <v>6094</v>
      </c>
      <c r="J7707" s="14">
        <v>0.0</v>
      </c>
      <c r="K7707" s="14" t="s">
        <v>6012</v>
      </c>
      <c r="L7707" s="14">
        <v>0.0</v>
      </c>
    </row>
    <row r="7708">
      <c r="A7708" s="14">
        <v>122.0</v>
      </c>
      <c r="B7708" s="14">
        <v>4.0</v>
      </c>
      <c r="C7708" s="34">
        <v>10.93</v>
      </c>
      <c r="D7708" s="36">
        <v>45795.0</v>
      </c>
      <c r="E7708" s="24"/>
      <c r="F7708" s="14">
        <v>2.73</v>
      </c>
      <c r="G7708" s="14">
        <v>89.59</v>
      </c>
      <c r="H7708" s="14">
        <v>3.28</v>
      </c>
      <c r="I7708" s="14" t="s">
        <v>6091</v>
      </c>
      <c r="J7708" s="14">
        <v>0.0</v>
      </c>
      <c r="K7708" s="14" t="s">
        <v>6012</v>
      </c>
      <c r="L7708" s="14">
        <v>0.0</v>
      </c>
    </row>
    <row r="7709">
      <c r="A7709" s="14">
        <v>68.0</v>
      </c>
      <c r="B7709" s="14">
        <v>1.0</v>
      </c>
      <c r="C7709" s="34">
        <v>9.04</v>
      </c>
      <c r="D7709" s="36">
        <v>45795.0</v>
      </c>
      <c r="E7709" s="24"/>
      <c r="F7709" s="14">
        <v>9.04</v>
      </c>
      <c r="G7709" s="14">
        <v>132.94</v>
      </c>
      <c r="H7709" s="14">
        <v>1.47</v>
      </c>
      <c r="I7709" s="14" t="s">
        <v>6093</v>
      </c>
      <c r="J7709" s="14">
        <v>0.0</v>
      </c>
      <c r="K7709" s="14" t="s">
        <v>6012</v>
      </c>
      <c r="L7709" s="14">
        <v>0.0</v>
      </c>
    </row>
    <row r="7710">
      <c r="A7710" s="14">
        <v>812.0</v>
      </c>
      <c r="B7710" s="14">
        <v>19.0</v>
      </c>
      <c r="C7710" s="34">
        <v>23.56</v>
      </c>
      <c r="D7710" s="36">
        <v>45796.0</v>
      </c>
      <c r="E7710" s="24"/>
      <c r="F7710" s="14">
        <v>1.24</v>
      </c>
      <c r="G7710" s="14">
        <v>29.01</v>
      </c>
      <c r="H7710" s="14">
        <v>2.34</v>
      </c>
      <c r="I7710" s="14" t="s">
        <v>6094</v>
      </c>
      <c r="J7710" s="14">
        <v>0.0</v>
      </c>
      <c r="K7710" s="14" t="s">
        <v>6012</v>
      </c>
      <c r="L7710" s="14">
        <v>0.0</v>
      </c>
    </row>
    <row r="7711">
      <c r="A7711" s="14">
        <v>159.0</v>
      </c>
      <c r="B7711" s="14">
        <v>0.0</v>
      </c>
      <c r="C7711" s="34">
        <v>21.92</v>
      </c>
      <c r="D7711" s="36">
        <v>45796.0</v>
      </c>
      <c r="E7711" s="24"/>
      <c r="F7711" s="14" t="s">
        <v>6012</v>
      </c>
      <c r="G7711" s="14">
        <v>137.86</v>
      </c>
      <c r="H7711" s="14">
        <v>0.0</v>
      </c>
      <c r="I7711" s="14" t="s">
        <v>6093</v>
      </c>
      <c r="J7711" s="14" t="s">
        <v>6012</v>
      </c>
      <c r="K7711" s="14" t="s">
        <v>6012</v>
      </c>
      <c r="L7711" s="14">
        <v>0.0</v>
      </c>
    </row>
    <row r="7712">
      <c r="A7712" s="14">
        <v>736.0</v>
      </c>
      <c r="B7712" s="14">
        <v>15.0</v>
      </c>
      <c r="C7712" s="34">
        <v>26.01</v>
      </c>
      <c r="D7712" s="36">
        <v>45796.0</v>
      </c>
      <c r="E7712" s="24"/>
      <c r="F7712" s="14">
        <v>1.73</v>
      </c>
      <c r="G7712" s="14">
        <v>35.34</v>
      </c>
      <c r="H7712" s="14">
        <v>2.04</v>
      </c>
      <c r="I7712" s="14" t="s">
        <v>6091</v>
      </c>
      <c r="J7712" s="14">
        <v>0.0</v>
      </c>
      <c r="K7712" s="14" t="s">
        <v>6012</v>
      </c>
      <c r="L7712" s="14">
        <v>0.0</v>
      </c>
    </row>
    <row r="7713">
      <c r="A7713" s="14">
        <v>577.0</v>
      </c>
      <c r="B7713" s="14">
        <v>14.0</v>
      </c>
      <c r="C7713" s="34">
        <v>25.13</v>
      </c>
      <c r="D7713" s="36">
        <v>45797.0</v>
      </c>
      <c r="E7713" s="24"/>
      <c r="F7713" s="14">
        <v>1.8</v>
      </c>
      <c r="G7713" s="14">
        <v>43.55</v>
      </c>
      <c r="H7713" s="14">
        <v>2.43</v>
      </c>
      <c r="I7713" s="14" t="s">
        <v>6094</v>
      </c>
      <c r="J7713" s="14">
        <v>0.0</v>
      </c>
      <c r="K7713" s="14" t="s">
        <v>6012</v>
      </c>
      <c r="L7713" s="14">
        <v>0.0</v>
      </c>
    </row>
    <row r="7714">
      <c r="A7714" s="14">
        <v>610.0</v>
      </c>
      <c r="B7714" s="14">
        <v>18.0</v>
      </c>
      <c r="C7714" s="34">
        <v>26.33</v>
      </c>
      <c r="D7714" s="36">
        <v>45797.0</v>
      </c>
      <c r="E7714" s="24"/>
      <c r="F7714" s="14">
        <v>1.46</v>
      </c>
      <c r="G7714" s="14">
        <v>43.16</v>
      </c>
      <c r="H7714" s="14">
        <v>2.95</v>
      </c>
      <c r="I7714" s="14" t="s">
        <v>6091</v>
      </c>
      <c r="J7714" s="14">
        <v>0.0</v>
      </c>
      <c r="K7714" s="14" t="s">
        <v>6012</v>
      </c>
      <c r="L7714" s="14">
        <v>0.0</v>
      </c>
    </row>
    <row r="7715">
      <c r="A7715" s="14">
        <v>189.0</v>
      </c>
      <c r="B7715" s="14">
        <v>1.0</v>
      </c>
      <c r="C7715" s="34">
        <v>22.39</v>
      </c>
      <c r="D7715" s="36">
        <v>45797.0</v>
      </c>
      <c r="E7715" s="24"/>
      <c r="F7715" s="14">
        <v>22.39</v>
      </c>
      <c r="G7715" s="14">
        <v>118.47</v>
      </c>
      <c r="H7715" s="14">
        <v>0.53</v>
      </c>
      <c r="I7715" s="14" t="s">
        <v>6093</v>
      </c>
      <c r="J7715" s="14">
        <v>0.0</v>
      </c>
      <c r="K7715" s="14" t="s">
        <v>6012</v>
      </c>
      <c r="L7715" s="14">
        <v>0.0</v>
      </c>
    </row>
    <row r="7716">
      <c r="A7716" s="14">
        <v>423.0</v>
      </c>
      <c r="B7716" s="14">
        <v>17.0</v>
      </c>
      <c r="C7716" s="34">
        <v>28.69</v>
      </c>
      <c r="D7716" s="36">
        <v>45798.0</v>
      </c>
      <c r="E7716" s="24"/>
      <c r="F7716" s="14">
        <v>1.69</v>
      </c>
      <c r="G7716" s="14">
        <v>67.83</v>
      </c>
      <c r="H7716" s="14">
        <v>4.02</v>
      </c>
      <c r="I7716" s="14" t="s">
        <v>6091</v>
      </c>
      <c r="J7716" s="14">
        <v>0.0</v>
      </c>
      <c r="K7716" s="14" t="s">
        <v>6012</v>
      </c>
      <c r="L7716" s="14">
        <v>0.0</v>
      </c>
    </row>
    <row r="7717">
      <c r="A7717" s="14">
        <v>905.0</v>
      </c>
      <c r="B7717" s="14">
        <v>17.0</v>
      </c>
      <c r="C7717" s="34">
        <v>25.47</v>
      </c>
      <c r="D7717" s="36">
        <v>45798.0</v>
      </c>
      <c r="E7717" s="24"/>
      <c r="F7717" s="14">
        <v>1.5</v>
      </c>
      <c r="G7717" s="14">
        <v>28.14</v>
      </c>
      <c r="H7717" s="14">
        <v>1.88</v>
      </c>
      <c r="I7717" s="14" t="s">
        <v>6094</v>
      </c>
      <c r="J7717" s="14">
        <v>0.0</v>
      </c>
      <c r="K7717" s="14" t="s">
        <v>6012</v>
      </c>
      <c r="L7717" s="14">
        <v>0.0</v>
      </c>
    </row>
    <row r="7718">
      <c r="A7718" s="14">
        <v>148.0</v>
      </c>
      <c r="B7718" s="14">
        <v>0.0</v>
      </c>
      <c r="C7718" s="34">
        <v>24.51</v>
      </c>
      <c r="D7718" s="36">
        <v>45798.0</v>
      </c>
      <c r="E7718" s="24"/>
      <c r="F7718" s="14" t="s">
        <v>6012</v>
      </c>
      <c r="G7718" s="14">
        <v>165.61</v>
      </c>
      <c r="H7718" s="14">
        <v>0.0</v>
      </c>
      <c r="I7718" s="14" t="s">
        <v>6093</v>
      </c>
      <c r="J7718" s="14" t="s">
        <v>6012</v>
      </c>
      <c r="K7718" s="14" t="s">
        <v>6012</v>
      </c>
      <c r="L7718" s="14">
        <v>0.0</v>
      </c>
    </row>
    <row r="7719">
      <c r="A7719" s="14">
        <v>178.0</v>
      </c>
      <c r="B7719" s="14">
        <v>0.0</v>
      </c>
      <c r="C7719" s="34">
        <v>23.91</v>
      </c>
      <c r="D7719" s="36">
        <v>45799.0</v>
      </c>
      <c r="E7719" s="24"/>
      <c r="F7719" s="14" t="s">
        <v>6012</v>
      </c>
      <c r="G7719" s="14">
        <v>134.33</v>
      </c>
      <c r="H7719" s="14">
        <v>0.0</v>
      </c>
      <c r="I7719" s="14" t="s">
        <v>6093</v>
      </c>
      <c r="J7719" s="14" t="s">
        <v>6012</v>
      </c>
      <c r="K7719" s="14" t="s">
        <v>6012</v>
      </c>
      <c r="L7719" s="14">
        <v>0.0</v>
      </c>
    </row>
    <row r="7720">
      <c r="A7720" s="14">
        <v>472.0</v>
      </c>
      <c r="B7720" s="14">
        <v>22.0</v>
      </c>
      <c r="C7720" s="34">
        <v>27.57</v>
      </c>
      <c r="D7720" s="36">
        <v>45799.0</v>
      </c>
      <c r="E7720" s="24"/>
      <c r="F7720" s="14">
        <v>1.25</v>
      </c>
      <c r="G7720" s="14">
        <v>58.41</v>
      </c>
      <c r="H7720" s="14">
        <v>4.66</v>
      </c>
      <c r="I7720" s="14" t="s">
        <v>6091</v>
      </c>
      <c r="J7720" s="14">
        <v>0.0</v>
      </c>
      <c r="K7720" s="14" t="s">
        <v>6012</v>
      </c>
      <c r="L7720" s="14">
        <v>0.0</v>
      </c>
    </row>
    <row r="7721">
      <c r="A7721" s="14">
        <v>708.0</v>
      </c>
      <c r="B7721" s="14">
        <v>16.0</v>
      </c>
      <c r="C7721" s="34">
        <v>26.0</v>
      </c>
      <c r="D7721" s="36">
        <v>45799.0</v>
      </c>
      <c r="E7721" s="24"/>
      <c r="F7721" s="14">
        <v>1.62</v>
      </c>
      <c r="G7721" s="14">
        <v>36.72</v>
      </c>
      <c r="H7721" s="14">
        <v>2.26</v>
      </c>
      <c r="I7721" s="14" t="s">
        <v>6094</v>
      </c>
      <c r="J7721" s="14">
        <v>0.0</v>
      </c>
      <c r="K7721" s="14" t="s">
        <v>6012</v>
      </c>
      <c r="L7721" s="14">
        <v>0.0</v>
      </c>
    </row>
    <row r="7722">
      <c r="A7722" s="14">
        <v>139.0</v>
      </c>
      <c r="B7722" s="14">
        <v>0.0</v>
      </c>
      <c r="C7722" s="34">
        <v>21.35</v>
      </c>
      <c r="D7722" s="36">
        <v>45800.0</v>
      </c>
      <c r="E7722" s="24"/>
      <c r="F7722" s="14" t="s">
        <v>6012</v>
      </c>
      <c r="G7722" s="14">
        <v>153.6</v>
      </c>
      <c r="H7722" s="14">
        <v>0.0</v>
      </c>
      <c r="I7722" s="14" t="s">
        <v>6093</v>
      </c>
      <c r="J7722" s="14" t="s">
        <v>6012</v>
      </c>
      <c r="K7722" s="14" t="s">
        <v>6012</v>
      </c>
      <c r="L7722" s="14">
        <v>0.0</v>
      </c>
    </row>
    <row r="7723">
      <c r="A7723" s="14">
        <v>792.0</v>
      </c>
      <c r="B7723" s="14">
        <v>11.0</v>
      </c>
      <c r="C7723" s="34">
        <v>23.51</v>
      </c>
      <c r="D7723" s="36">
        <v>45800.0</v>
      </c>
      <c r="E7723" s="24"/>
      <c r="F7723" s="14">
        <v>2.14</v>
      </c>
      <c r="G7723" s="14">
        <v>29.68</v>
      </c>
      <c r="H7723" s="14">
        <v>1.39</v>
      </c>
      <c r="I7723" s="14" t="s">
        <v>6094</v>
      </c>
      <c r="J7723" s="14">
        <v>0.0</v>
      </c>
      <c r="K7723" s="14" t="s">
        <v>6012</v>
      </c>
      <c r="L7723" s="14">
        <v>0.0</v>
      </c>
    </row>
    <row r="7724">
      <c r="A7724" s="14">
        <v>306.0</v>
      </c>
      <c r="B7724" s="14">
        <v>16.0</v>
      </c>
      <c r="C7724" s="34">
        <v>25.49</v>
      </c>
      <c r="D7724" s="36">
        <v>45800.0</v>
      </c>
      <c r="E7724" s="24"/>
      <c r="F7724" s="14">
        <v>1.59</v>
      </c>
      <c r="G7724" s="14">
        <v>83.3</v>
      </c>
      <c r="H7724" s="14">
        <v>5.23</v>
      </c>
      <c r="I7724" s="14" t="s">
        <v>6091</v>
      </c>
      <c r="J7724" s="14">
        <v>0.0</v>
      </c>
      <c r="K7724" s="14" t="s">
        <v>6012</v>
      </c>
      <c r="L7724" s="14">
        <v>0.0</v>
      </c>
    </row>
    <row r="7725">
      <c r="A7725" s="14">
        <v>76.0</v>
      </c>
      <c r="B7725" s="14">
        <v>0.0</v>
      </c>
      <c r="C7725" s="34">
        <v>11.34</v>
      </c>
      <c r="D7725" s="36">
        <v>45801.0</v>
      </c>
      <c r="E7725" s="24"/>
      <c r="F7725" s="14" t="s">
        <v>6012</v>
      </c>
      <c r="G7725" s="14">
        <v>149.21</v>
      </c>
      <c r="H7725" s="14">
        <v>0.0</v>
      </c>
      <c r="I7725" s="14" t="s">
        <v>6093</v>
      </c>
      <c r="J7725" s="14" t="s">
        <v>6012</v>
      </c>
      <c r="K7725" s="14" t="s">
        <v>6012</v>
      </c>
      <c r="L7725" s="14">
        <v>0.0</v>
      </c>
    </row>
    <row r="7726">
      <c r="A7726" s="14">
        <v>163.0</v>
      </c>
      <c r="B7726" s="14">
        <v>6.0</v>
      </c>
      <c r="C7726" s="34">
        <v>14.42</v>
      </c>
      <c r="D7726" s="36">
        <v>45801.0</v>
      </c>
      <c r="E7726" s="24"/>
      <c r="F7726" s="14">
        <v>2.4</v>
      </c>
      <c r="G7726" s="14">
        <v>88.47</v>
      </c>
      <c r="H7726" s="14">
        <v>3.68</v>
      </c>
      <c r="I7726" s="14" t="s">
        <v>6091</v>
      </c>
      <c r="J7726" s="14">
        <v>0.0</v>
      </c>
      <c r="K7726" s="14" t="s">
        <v>6012</v>
      </c>
      <c r="L7726" s="14">
        <v>0.0</v>
      </c>
    </row>
    <row r="7727">
      <c r="A7727" s="14">
        <v>269.0</v>
      </c>
      <c r="B7727" s="14">
        <v>5.0</v>
      </c>
      <c r="C7727" s="34">
        <v>13.74</v>
      </c>
      <c r="D7727" s="36">
        <v>45801.0</v>
      </c>
      <c r="E7727" s="24"/>
      <c r="F7727" s="14">
        <v>2.75</v>
      </c>
      <c r="G7727" s="14">
        <v>51.08</v>
      </c>
      <c r="H7727" s="14">
        <v>1.86</v>
      </c>
      <c r="I7727" s="14" t="s">
        <v>6094</v>
      </c>
      <c r="J7727" s="14">
        <v>0.0</v>
      </c>
      <c r="K7727" s="14" t="s">
        <v>6012</v>
      </c>
      <c r="L7727" s="14">
        <v>0.0</v>
      </c>
    </row>
    <row r="7728">
      <c r="A7728" s="14">
        <v>195.0</v>
      </c>
      <c r="B7728" s="14">
        <v>3.0</v>
      </c>
      <c r="C7728" s="34">
        <v>11.69</v>
      </c>
      <c r="D7728" s="36">
        <v>45802.0</v>
      </c>
      <c r="E7728" s="24"/>
      <c r="F7728" s="14">
        <v>3.9</v>
      </c>
      <c r="G7728" s="14">
        <v>59.95</v>
      </c>
      <c r="H7728" s="14">
        <v>1.54</v>
      </c>
      <c r="I7728" s="14" t="s">
        <v>6094</v>
      </c>
      <c r="J7728" s="14">
        <v>0.0</v>
      </c>
      <c r="K7728" s="14" t="s">
        <v>6012</v>
      </c>
      <c r="L7728" s="14">
        <v>0.0</v>
      </c>
    </row>
    <row r="7729">
      <c r="A7729" s="14">
        <v>126.0</v>
      </c>
      <c r="B7729" s="14">
        <v>3.0</v>
      </c>
      <c r="C7729" s="34">
        <v>11.09</v>
      </c>
      <c r="D7729" s="36">
        <v>45802.0</v>
      </c>
      <c r="E7729" s="24"/>
      <c r="F7729" s="14">
        <v>3.7</v>
      </c>
      <c r="G7729" s="14">
        <v>88.02</v>
      </c>
      <c r="H7729" s="14">
        <v>2.38</v>
      </c>
      <c r="I7729" s="14" t="s">
        <v>6091</v>
      </c>
      <c r="J7729" s="14">
        <v>0.0</v>
      </c>
      <c r="K7729" s="14" t="s">
        <v>6012</v>
      </c>
      <c r="L7729" s="14">
        <v>0.0</v>
      </c>
    </row>
    <row r="7730">
      <c r="A7730" s="14">
        <v>53.0</v>
      </c>
      <c r="B7730" s="14">
        <v>1.0</v>
      </c>
      <c r="C7730" s="34">
        <v>7.58</v>
      </c>
      <c r="D7730" s="36">
        <v>45802.0</v>
      </c>
      <c r="E7730" s="24"/>
      <c r="F7730" s="14">
        <v>7.58</v>
      </c>
      <c r="G7730" s="14">
        <v>143.02</v>
      </c>
      <c r="H7730" s="14">
        <v>1.89</v>
      </c>
      <c r="I7730" s="14" t="s">
        <v>6093</v>
      </c>
      <c r="J7730" s="14">
        <v>0.0</v>
      </c>
      <c r="K7730" s="14" t="s">
        <v>6012</v>
      </c>
      <c r="L7730" s="14">
        <v>0.0</v>
      </c>
    </row>
    <row r="7731">
      <c r="A7731" s="14">
        <v>253.0</v>
      </c>
      <c r="B7731" s="14">
        <v>9.0</v>
      </c>
      <c r="C7731" s="34">
        <v>26.76</v>
      </c>
      <c r="D7731" s="36">
        <v>45803.0</v>
      </c>
      <c r="E7731" s="24"/>
      <c r="F7731" s="14">
        <v>2.97</v>
      </c>
      <c r="G7731" s="14">
        <v>105.77</v>
      </c>
      <c r="H7731" s="14">
        <v>3.56</v>
      </c>
      <c r="I7731" s="14" t="s">
        <v>6091</v>
      </c>
      <c r="J7731" s="14">
        <v>0.0</v>
      </c>
      <c r="K7731" s="14" t="s">
        <v>6012</v>
      </c>
      <c r="L7731" s="14">
        <v>0.0</v>
      </c>
    </row>
    <row r="7732">
      <c r="A7732" s="14">
        <v>130.0</v>
      </c>
      <c r="B7732" s="14">
        <v>0.0</v>
      </c>
      <c r="C7732" s="34">
        <v>24.32</v>
      </c>
      <c r="D7732" s="36">
        <v>45803.0</v>
      </c>
      <c r="E7732" s="24"/>
      <c r="F7732" s="14" t="s">
        <v>6012</v>
      </c>
      <c r="G7732" s="14">
        <v>187.08</v>
      </c>
      <c r="H7732" s="14">
        <v>0.0</v>
      </c>
      <c r="I7732" s="14" t="s">
        <v>6093</v>
      </c>
      <c r="J7732" s="14" t="s">
        <v>6012</v>
      </c>
      <c r="K7732" s="14" t="s">
        <v>6012</v>
      </c>
      <c r="L7732" s="14">
        <v>0.0</v>
      </c>
    </row>
    <row r="7733">
      <c r="A7733" s="14">
        <v>747.0</v>
      </c>
      <c r="B7733" s="14">
        <v>17.0</v>
      </c>
      <c r="C7733" s="34">
        <v>24.6</v>
      </c>
      <c r="D7733" s="36">
        <v>45803.0</v>
      </c>
      <c r="E7733" s="24"/>
      <c r="F7733" s="14">
        <v>1.45</v>
      </c>
      <c r="G7733" s="14">
        <v>32.93</v>
      </c>
      <c r="H7733" s="14">
        <v>2.28</v>
      </c>
      <c r="I7733" s="14" t="s">
        <v>6094</v>
      </c>
      <c r="J7733" s="14">
        <v>0.0</v>
      </c>
      <c r="K7733" s="14" t="s">
        <v>6012</v>
      </c>
      <c r="L7733" s="14">
        <v>0.0</v>
      </c>
    </row>
    <row r="7734">
      <c r="A7734" s="14">
        <v>774.0</v>
      </c>
      <c r="B7734" s="14">
        <v>17.0</v>
      </c>
      <c r="C7734" s="34">
        <v>25.06</v>
      </c>
      <c r="D7734" s="36">
        <v>45804.0</v>
      </c>
      <c r="E7734" s="24"/>
      <c r="F7734" s="14">
        <v>1.47</v>
      </c>
      <c r="G7734" s="14">
        <v>32.38</v>
      </c>
      <c r="H7734" s="14">
        <v>2.2</v>
      </c>
      <c r="I7734" s="14" t="s">
        <v>6094</v>
      </c>
      <c r="J7734" s="14">
        <v>0.0</v>
      </c>
      <c r="K7734" s="14" t="s">
        <v>6012</v>
      </c>
      <c r="L7734" s="14">
        <v>0.0</v>
      </c>
    </row>
    <row r="7735">
      <c r="A7735" s="14">
        <v>126.0</v>
      </c>
      <c r="B7735" s="14">
        <v>0.0</v>
      </c>
      <c r="C7735" s="34">
        <v>22.88</v>
      </c>
      <c r="D7735" s="36">
        <v>45804.0</v>
      </c>
      <c r="E7735" s="24"/>
      <c r="F7735" s="14" t="s">
        <v>6012</v>
      </c>
      <c r="G7735" s="14">
        <v>181.59</v>
      </c>
      <c r="H7735" s="14">
        <v>0.0</v>
      </c>
      <c r="I7735" s="14" t="s">
        <v>6093</v>
      </c>
      <c r="J7735" s="14" t="s">
        <v>6012</v>
      </c>
      <c r="K7735" s="14" t="s">
        <v>6012</v>
      </c>
      <c r="L7735" s="14">
        <v>0.0</v>
      </c>
    </row>
    <row r="7736">
      <c r="A7736" s="14">
        <v>224.0</v>
      </c>
      <c r="B7736" s="14">
        <v>9.0</v>
      </c>
      <c r="C7736" s="34">
        <v>27.55</v>
      </c>
      <c r="D7736" s="36">
        <v>45804.0</v>
      </c>
      <c r="E7736" s="24"/>
      <c r="F7736" s="14">
        <v>3.06</v>
      </c>
      <c r="G7736" s="14">
        <v>122.99</v>
      </c>
      <c r="H7736" s="14">
        <v>4.02</v>
      </c>
      <c r="I7736" s="14" t="s">
        <v>6091</v>
      </c>
      <c r="J7736" s="14">
        <v>0.0</v>
      </c>
      <c r="K7736" s="14" t="s">
        <v>6012</v>
      </c>
      <c r="L7736" s="14">
        <v>0.0</v>
      </c>
    </row>
    <row r="7737">
      <c r="A7737" s="14">
        <v>623.0</v>
      </c>
      <c r="B7737" s="14">
        <v>12.0</v>
      </c>
      <c r="C7737" s="34">
        <v>25.77</v>
      </c>
      <c r="D7737" s="36">
        <v>45805.0</v>
      </c>
      <c r="E7737" s="24"/>
      <c r="F7737" s="14">
        <v>2.15</v>
      </c>
      <c r="G7737" s="14">
        <v>41.36</v>
      </c>
      <c r="H7737" s="14">
        <v>1.93</v>
      </c>
      <c r="I7737" s="14" t="s">
        <v>6094</v>
      </c>
      <c r="J7737" s="14">
        <v>0.0</v>
      </c>
      <c r="K7737" s="14" t="s">
        <v>6012</v>
      </c>
      <c r="L7737" s="14">
        <v>0.0</v>
      </c>
    </row>
    <row r="7738">
      <c r="A7738" s="14">
        <v>118.0</v>
      </c>
      <c r="B7738" s="14">
        <v>1.0</v>
      </c>
      <c r="C7738" s="34">
        <v>24.24</v>
      </c>
      <c r="D7738" s="36">
        <v>45805.0</v>
      </c>
      <c r="E7738" s="24"/>
      <c r="F7738" s="14">
        <v>24.24</v>
      </c>
      <c r="G7738" s="14">
        <v>205.42</v>
      </c>
      <c r="H7738" s="14">
        <v>0.85</v>
      </c>
      <c r="I7738" s="14" t="s">
        <v>6093</v>
      </c>
      <c r="J7738" s="14">
        <v>0.0</v>
      </c>
      <c r="K7738" s="14" t="s">
        <v>6012</v>
      </c>
      <c r="L7738" s="14">
        <v>0.0</v>
      </c>
    </row>
    <row r="7739">
      <c r="A7739" s="14">
        <v>250.0</v>
      </c>
      <c r="B7739" s="14">
        <v>4.0</v>
      </c>
      <c r="C7739" s="34">
        <v>27.54</v>
      </c>
      <c r="D7739" s="36">
        <v>45805.0</v>
      </c>
      <c r="E7739" s="24"/>
      <c r="F7739" s="14">
        <v>6.88</v>
      </c>
      <c r="G7739" s="14">
        <v>110.16</v>
      </c>
      <c r="H7739" s="14">
        <v>1.6</v>
      </c>
      <c r="I7739" s="14" t="s">
        <v>6091</v>
      </c>
      <c r="J7739" s="14">
        <v>0.0</v>
      </c>
      <c r="K7739" s="14" t="s">
        <v>6012</v>
      </c>
      <c r="L7739" s="14">
        <v>0.0</v>
      </c>
    </row>
    <row r="7740">
      <c r="A7740" s="14">
        <v>631.0</v>
      </c>
      <c r="B7740" s="14">
        <v>21.0</v>
      </c>
      <c r="C7740" s="34">
        <v>26.3</v>
      </c>
      <c r="D7740" s="36">
        <v>45806.0</v>
      </c>
      <c r="E7740" s="24"/>
      <c r="F7740" s="14">
        <v>1.25</v>
      </c>
      <c r="G7740" s="14">
        <v>41.68</v>
      </c>
      <c r="H7740" s="14">
        <v>3.33</v>
      </c>
      <c r="I7740" s="14" t="s">
        <v>6094</v>
      </c>
      <c r="J7740" s="14">
        <v>0.0</v>
      </c>
      <c r="K7740" s="14" t="s">
        <v>6012</v>
      </c>
      <c r="L7740" s="14">
        <v>0.0</v>
      </c>
    </row>
    <row r="7741">
      <c r="A7741" s="14">
        <v>608.0</v>
      </c>
      <c r="B7741" s="14">
        <v>13.0</v>
      </c>
      <c r="C7741" s="34">
        <v>24.46</v>
      </c>
      <c r="D7741" s="36">
        <v>45806.0</v>
      </c>
      <c r="E7741" s="24"/>
      <c r="F7741" s="14">
        <v>1.88</v>
      </c>
      <c r="G7741" s="14">
        <v>40.23</v>
      </c>
      <c r="H7741" s="14">
        <v>2.14</v>
      </c>
      <c r="I7741" s="14" t="s">
        <v>6096</v>
      </c>
      <c r="J7741" s="14">
        <v>0.0</v>
      </c>
      <c r="K7741" s="14" t="s">
        <v>6012</v>
      </c>
      <c r="L7741" s="14">
        <v>0.0</v>
      </c>
    </row>
    <row r="7742">
      <c r="A7742" s="14">
        <v>301.0</v>
      </c>
      <c r="B7742" s="14">
        <v>13.0</v>
      </c>
      <c r="C7742" s="34">
        <v>30.61</v>
      </c>
      <c r="D7742" s="36">
        <v>45806.0</v>
      </c>
      <c r="E7742" s="24"/>
      <c r="F7742" s="14">
        <v>2.35</v>
      </c>
      <c r="G7742" s="14">
        <v>101.69</v>
      </c>
      <c r="H7742" s="14">
        <v>4.32</v>
      </c>
      <c r="I7742" s="14" t="s">
        <v>6091</v>
      </c>
      <c r="J7742" s="14">
        <v>0.0</v>
      </c>
      <c r="K7742" s="14" t="s">
        <v>6012</v>
      </c>
      <c r="L7742" s="14">
        <v>0.0</v>
      </c>
    </row>
    <row r="7743">
      <c r="A7743" s="14">
        <v>92.0</v>
      </c>
      <c r="B7743" s="14">
        <v>0.0</v>
      </c>
      <c r="C7743" s="34">
        <v>12.88</v>
      </c>
      <c r="D7743" s="36">
        <v>45806.0</v>
      </c>
      <c r="E7743" s="24"/>
      <c r="F7743" s="14" t="s">
        <v>6012</v>
      </c>
      <c r="G7743" s="14">
        <v>140.0</v>
      </c>
      <c r="H7743" s="14">
        <v>0.0</v>
      </c>
      <c r="I7743" s="14" t="s">
        <v>6093</v>
      </c>
      <c r="J7743" s="14" t="s">
        <v>6012</v>
      </c>
      <c r="K7743" s="14" t="s">
        <v>6012</v>
      </c>
      <c r="L7743" s="14">
        <v>0.0</v>
      </c>
    </row>
    <row r="7744">
      <c r="A7744" s="14">
        <v>292.0</v>
      </c>
      <c r="B7744" s="14">
        <v>12.0</v>
      </c>
      <c r="C7744" s="34">
        <v>25.85</v>
      </c>
      <c r="D7744" s="36">
        <v>45807.0</v>
      </c>
      <c r="E7744" s="24"/>
      <c r="F7744" s="14">
        <v>2.15</v>
      </c>
      <c r="G7744" s="14">
        <v>88.53</v>
      </c>
      <c r="H7744" s="14">
        <v>4.11</v>
      </c>
      <c r="I7744" s="14" t="s">
        <v>6091</v>
      </c>
      <c r="J7744" s="14">
        <v>0.0</v>
      </c>
      <c r="K7744" s="14" t="s">
        <v>6012</v>
      </c>
      <c r="L7744" s="14">
        <v>0.0</v>
      </c>
    </row>
    <row r="7745">
      <c r="A7745" s="14">
        <v>404.0</v>
      </c>
      <c r="B7745" s="14">
        <v>11.0</v>
      </c>
      <c r="C7745" s="34">
        <v>24.43</v>
      </c>
      <c r="D7745" s="36">
        <v>45807.0</v>
      </c>
      <c r="E7745" s="24"/>
      <c r="F7745" s="14">
        <v>2.22</v>
      </c>
      <c r="G7745" s="14">
        <v>60.47</v>
      </c>
      <c r="H7745" s="14">
        <v>2.72</v>
      </c>
      <c r="I7745" s="14" t="s">
        <v>6096</v>
      </c>
      <c r="J7745" s="14">
        <v>0.0</v>
      </c>
      <c r="K7745" s="14" t="s">
        <v>6012</v>
      </c>
      <c r="L7745" s="14">
        <v>0.0</v>
      </c>
    </row>
    <row r="7746">
      <c r="A7746" s="14">
        <v>351.0</v>
      </c>
      <c r="B7746" s="14">
        <v>7.0</v>
      </c>
      <c r="C7746" s="34">
        <v>26.12</v>
      </c>
      <c r="D7746" s="36">
        <v>45807.0</v>
      </c>
      <c r="E7746" s="24"/>
      <c r="F7746" s="14">
        <v>3.73</v>
      </c>
      <c r="G7746" s="14">
        <v>74.42</v>
      </c>
      <c r="H7746" s="14">
        <v>1.99</v>
      </c>
      <c r="I7746" s="14" t="s">
        <v>6094</v>
      </c>
      <c r="J7746" s="14">
        <v>0.0</v>
      </c>
      <c r="K7746" s="14" t="s">
        <v>6012</v>
      </c>
      <c r="L7746" s="14">
        <v>0.0</v>
      </c>
    </row>
    <row r="7747">
      <c r="A7747" s="14">
        <v>236.0</v>
      </c>
      <c r="B7747" s="14">
        <v>6.0</v>
      </c>
      <c r="C7747" s="34">
        <v>15.88</v>
      </c>
      <c r="D7747" s="36">
        <v>45808.0</v>
      </c>
      <c r="E7747" s="24"/>
      <c r="F7747" s="14">
        <v>2.65</v>
      </c>
      <c r="G7747" s="14">
        <v>67.29</v>
      </c>
      <c r="H7747" s="14">
        <v>2.54</v>
      </c>
      <c r="I7747" s="14" t="s">
        <v>6096</v>
      </c>
      <c r="J7747" s="14">
        <v>0.0</v>
      </c>
      <c r="K7747" s="14" t="s">
        <v>6012</v>
      </c>
      <c r="L7747" s="14">
        <v>0.0</v>
      </c>
    </row>
    <row r="7748">
      <c r="A7748" s="14">
        <v>189.0</v>
      </c>
      <c r="B7748" s="14">
        <v>3.0</v>
      </c>
      <c r="C7748" s="34">
        <v>12.35</v>
      </c>
      <c r="D7748" s="36">
        <v>45808.0</v>
      </c>
      <c r="E7748" s="24"/>
      <c r="F7748" s="14">
        <v>4.12</v>
      </c>
      <c r="G7748" s="14">
        <v>65.34</v>
      </c>
      <c r="H7748" s="14">
        <v>1.59</v>
      </c>
      <c r="I7748" s="14" t="s">
        <v>6094</v>
      </c>
      <c r="J7748" s="14">
        <v>0.0</v>
      </c>
      <c r="K7748" s="14" t="s">
        <v>6012</v>
      </c>
      <c r="L7748" s="14">
        <v>0.0</v>
      </c>
    </row>
    <row r="7749">
      <c r="A7749" s="14">
        <v>141.0</v>
      </c>
      <c r="B7749" s="14">
        <v>3.0</v>
      </c>
      <c r="C7749" s="34">
        <v>13.33</v>
      </c>
      <c r="D7749" s="36">
        <v>45808.0</v>
      </c>
      <c r="E7749" s="24"/>
      <c r="F7749" s="14">
        <v>4.44</v>
      </c>
      <c r="G7749" s="14">
        <v>94.54</v>
      </c>
      <c r="H7749" s="14">
        <v>2.13</v>
      </c>
      <c r="I7749" s="14" t="s">
        <v>6091</v>
      </c>
      <c r="J7749" s="14">
        <v>0.0</v>
      </c>
      <c r="K7749" s="14" t="s">
        <v>6012</v>
      </c>
      <c r="L7749" s="14">
        <v>0.0</v>
      </c>
    </row>
    <row r="7750">
      <c r="A7750" s="14">
        <v>114.0</v>
      </c>
      <c r="B7750" s="14">
        <v>6.0</v>
      </c>
      <c r="C7750" s="34">
        <v>10.54</v>
      </c>
      <c r="D7750" s="36">
        <v>45809.0</v>
      </c>
      <c r="E7750" s="24"/>
      <c r="F7750" s="14">
        <v>1.76</v>
      </c>
      <c r="G7750" s="14">
        <v>92.46</v>
      </c>
      <c r="H7750" s="14">
        <v>5.26</v>
      </c>
      <c r="I7750" s="14" t="s">
        <v>6096</v>
      </c>
      <c r="J7750" s="14">
        <v>0.0</v>
      </c>
      <c r="K7750" s="14" t="s">
        <v>6012</v>
      </c>
      <c r="L7750" s="14">
        <v>0.0</v>
      </c>
    </row>
    <row r="7751">
      <c r="A7751" s="14">
        <v>209.0</v>
      </c>
      <c r="B7751" s="14">
        <v>3.0</v>
      </c>
      <c r="C7751" s="34">
        <v>8.9</v>
      </c>
      <c r="D7751" s="36">
        <v>45809.0</v>
      </c>
      <c r="E7751" s="24"/>
      <c r="F7751" s="14">
        <v>2.97</v>
      </c>
      <c r="G7751" s="14">
        <v>42.58</v>
      </c>
      <c r="H7751" s="14">
        <v>1.44</v>
      </c>
      <c r="I7751" s="14" t="s">
        <v>6094</v>
      </c>
      <c r="J7751" s="14">
        <v>0.0</v>
      </c>
      <c r="K7751" s="14" t="s">
        <v>6012</v>
      </c>
      <c r="L7751" s="14">
        <v>0.0</v>
      </c>
    </row>
    <row r="7752">
      <c r="A7752" s="14">
        <v>74.0</v>
      </c>
      <c r="B7752" s="14">
        <v>3.0</v>
      </c>
      <c r="C7752" s="34">
        <v>7.96</v>
      </c>
      <c r="D7752" s="36">
        <v>45809.0</v>
      </c>
      <c r="E7752" s="24"/>
      <c r="F7752" s="14">
        <v>2.65</v>
      </c>
      <c r="G7752" s="14">
        <v>107.57</v>
      </c>
      <c r="H7752" s="14">
        <v>4.05</v>
      </c>
      <c r="I7752" s="14" t="s">
        <v>6091</v>
      </c>
      <c r="J7752" s="14">
        <v>0.0</v>
      </c>
      <c r="K7752" s="14" t="s">
        <v>6012</v>
      </c>
      <c r="L7752" s="14">
        <v>0.0</v>
      </c>
    </row>
    <row r="7753">
      <c r="A7753" s="14">
        <v>203.0</v>
      </c>
      <c r="B7753" s="14">
        <v>5.0</v>
      </c>
      <c r="C7753" s="34">
        <v>20.1</v>
      </c>
      <c r="D7753" s="36">
        <v>45810.0</v>
      </c>
      <c r="E7753" s="24"/>
      <c r="F7753" s="14">
        <v>4.02</v>
      </c>
      <c r="G7753" s="14">
        <v>99.01</v>
      </c>
      <c r="H7753" s="14">
        <v>2.46</v>
      </c>
      <c r="I7753" s="14" t="s">
        <v>6096</v>
      </c>
      <c r="J7753" s="14">
        <v>0.0</v>
      </c>
      <c r="K7753" s="14" t="s">
        <v>6012</v>
      </c>
      <c r="L7753" s="14">
        <v>0.0</v>
      </c>
    </row>
    <row r="7754">
      <c r="A7754" s="14">
        <v>208.0</v>
      </c>
      <c r="B7754" s="14">
        <v>5.0</v>
      </c>
      <c r="C7754" s="34">
        <v>24.62</v>
      </c>
      <c r="D7754" s="36">
        <v>45810.0</v>
      </c>
      <c r="E7754" s="24"/>
      <c r="F7754" s="14">
        <v>4.92</v>
      </c>
      <c r="G7754" s="14">
        <v>118.37</v>
      </c>
      <c r="H7754" s="14">
        <v>2.4</v>
      </c>
      <c r="I7754" s="14" t="s">
        <v>6091</v>
      </c>
      <c r="J7754" s="14">
        <v>0.0</v>
      </c>
      <c r="K7754" s="14" t="s">
        <v>6012</v>
      </c>
      <c r="L7754" s="14">
        <v>0.0</v>
      </c>
    </row>
    <row r="7755">
      <c r="A7755" s="14">
        <v>774.0</v>
      </c>
      <c r="B7755" s="14">
        <v>20.0</v>
      </c>
      <c r="C7755" s="34">
        <v>22.71</v>
      </c>
      <c r="D7755" s="36">
        <v>45810.0</v>
      </c>
      <c r="E7755" s="24"/>
      <c r="F7755" s="14">
        <v>1.14</v>
      </c>
      <c r="G7755" s="14">
        <v>29.34</v>
      </c>
      <c r="H7755" s="14">
        <v>2.58</v>
      </c>
      <c r="I7755" s="14" t="s">
        <v>6094</v>
      </c>
      <c r="J7755" s="14">
        <v>0.0</v>
      </c>
      <c r="K7755" s="14" t="s">
        <v>6012</v>
      </c>
      <c r="L7755" s="14">
        <v>0.0</v>
      </c>
    </row>
    <row r="7756">
      <c r="A7756" s="14">
        <v>244.0</v>
      </c>
      <c r="B7756" s="14">
        <v>3.0</v>
      </c>
      <c r="C7756" s="34">
        <v>24.62</v>
      </c>
      <c r="D7756" s="36">
        <v>45811.0</v>
      </c>
      <c r="E7756" s="24"/>
      <c r="F7756" s="14">
        <v>8.21</v>
      </c>
      <c r="G7756" s="14">
        <v>100.9</v>
      </c>
      <c r="H7756" s="14">
        <v>1.23</v>
      </c>
      <c r="I7756" s="14" t="s">
        <v>6096</v>
      </c>
      <c r="J7756" s="14">
        <v>0.0</v>
      </c>
      <c r="K7756" s="14" t="s">
        <v>6012</v>
      </c>
      <c r="L7756" s="14">
        <v>0.0</v>
      </c>
    </row>
    <row r="7757">
      <c r="A7757" s="14">
        <v>213.0</v>
      </c>
      <c r="B7757" s="14">
        <v>5.0</v>
      </c>
      <c r="C7757" s="34">
        <v>29.55</v>
      </c>
      <c r="D7757" s="36">
        <v>45811.0</v>
      </c>
      <c r="E7757" s="24"/>
      <c r="F7757" s="14">
        <v>5.91</v>
      </c>
      <c r="G7757" s="14">
        <v>138.73</v>
      </c>
      <c r="H7757" s="14">
        <v>2.35</v>
      </c>
      <c r="I7757" s="14" t="s">
        <v>6091</v>
      </c>
      <c r="J7757" s="14">
        <v>0.0</v>
      </c>
      <c r="K7757" s="14" t="s">
        <v>6012</v>
      </c>
      <c r="L7757" s="14">
        <v>0.0</v>
      </c>
    </row>
    <row r="7758">
      <c r="A7758" s="14">
        <v>849.0</v>
      </c>
      <c r="B7758" s="14">
        <v>14.0</v>
      </c>
      <c r="C7758" s="34">
        <v>26.46</v>
      </c>
      <c r="D7758" s="36">
        <v>45811.0</v>
      </c>
      <c r="E7758" s="24"/>
      <c r="F7758" s="14">
        <v>1.89</v>
      </c>
      <c r="G7758" s="14">
        <v>31.17</v>
      </c>
      <c r="H7758" s="14">
        <v>1.65</v>
      </c>
      <c r="I7758" s="14" t="s">
        <v>6094</v>
      </c>
      <c r="J7758" s="14">
        <v>0.0</v>
      </c>
      <c r="K7758" s="14" t="s">
        <v>6012</v>
      </c>
      <c r="L7758" s="14">
        <v>0.0</v>
      </c>
    </row>
    <row r="7759">
      <c r="A7759" s="14">
        <v>953.0</v>
      </c>
      <c r="B7759" s="14">
        <v>19.0</v>
      </c>
      <c r="C7759" s="34">
        <v>26.3</v>
      </c>
      <c r="D7759" s="36">
        <v>45812.0</v>
      </c>
      <c r="E7759" s="24"/>
      <c r="F7759" s="14">
        <v>1.38</v>
      </c>
      <c r="G7759" s="14">
        <v>27.6</v>
      </c>
      <c r="H7759" s="14">
        <v>1.99</v>
      </c>
      <c r="I7759" s="14" t="s">
        <v>6094</v>
      </c>
      <c r="J7759" s="14">
        <v>0.0</v>
      </c>
      <c r="K7759" s="14" t="s">
        <v>6012</v>
      </c>
      <c r="L7759" s="14">
        <v>0.0</v>
      </c>
    </row>
    <row r="7760">
      <c r="A7760" s="14">
        <v>205.0</v>
      </c>
      <c r="B7760" s="14">
        <v>5.0</v>
      </c>
      <c r="C7760" s="34">
        <v>24.72</v>
      </c>
      <c r="D7760" s="36">
        <v>45812.0</v>
      </c>
      <c r="E7760" s="24"/>
      <c r="F7760" s="14">
        <v>4.94</v>
      </c>
      <c r="G7760" s="14">
        <v>120.59</v>
      </c>
      <c r="H7760" s="14">
        <v>2.44</v>
      </c>
      <c r="I7760" s="14" t="s">
        <v>6096</v>
      </c>
      <c r="J7760" s="14">
        <v>0.0</v>
      </c>
      <c r="K7760" s="14" t="s">
        <v>6012</v>
      </c>
      <c r="L7760" s="14">
        <v>0.0</v>
      </c>
    </row>
    <row r="7761">
      <c r="A7761" s="14">
        <v>304.0</v>
      </c>
      <c r="B7761" s="14">
        <v>9.0</v>
      </c>
      <c r="C7761" s="34">
        <v>29.53</v>
      </c>
      <c r="D7761" s="36">
        <v>45812.0</v>
      </c>
      <c r="E7761" s="24"/>
      <c r="F7761" s="14">
        <v>3.28</v>
      </c>
      <c r="G7761" s="14">
        <v>97.14</v>
      </c>
      <c r="H7761" s="14">
        <v>2.96</v>
      </c>
      <c r="I7761" s="14" t="s">
        <v>6091</v>
      </c>
      <c r="J7761" s="14">
        <v>0.0</v>
      </c>
      <c r="K7761" s="14" t="s">
        <v>6012</v>
      </c>
      <c r="L7761" s="14">
        <v>0.0</v>
      </c>
    </row>
    <row r="7762">
      <c r="A7762" s="14">
        <v>235.0</v>
      </c>
      <c r="B7762" s="14">
        <v>8.0</v>
      </c>
      <c r="C7762" s="34">
        <v>28.06</v>
      </c>
      <c r="D7762" s="36">
        <v>45813.0</v>
      </c>
      <c r="E7762" s="24"/>
      <c r="F7762" s="14">
        <v>3.51</v>
      </c>
      <c r="G7762" s="14">
        <v>119.4</v>
      </c>
      <c r="H7762" s="14">
        <v>3.4</v>
      </c>
      <c r="I7762" s="14" t="s">
        <v>6091</v>
      </c>
      <c r="J7762" s="14">
        <v>0.0</v>
      </c>
      <c r="K7762" s="14" t="s">
        <v>6012</v>
      </c>
      <c r="L7762" s="14">
        <v>0.0</v>
      </c>
    </row>
    <row r="7763">
      <c r="A7763" s="14">
        <v>1049.0</v>
      </c>
      <c r="B7763" s="14">
        <v>19.0</v>
      </c>
      <c r="C7763" s="34">
        <v>25.71</v>
      </c>
      <c r="D7763" s="36">
        <v>45813.0</v>
      </c>
      <c r="E7763" s="24"/>
      <c r="F7763" s="14">
        <v>1.35</v>
      </c>
      <c r="G7763" s="14">
        <v>24.51</v>
      </c>
      <c r="H7763" s="14">
        <v>1.81</v>
      </c>
      <c r="I7763" s="14" t="s">
        <v>6094</v>
      </c>
      <c r="J7763" s="14">
        <v>0.0</v>
      </c>
      <c r="K7763" s="14" t="s">
        <v>6012</v>
      </c>
      <c r="L7763" s="14">
        <v>0.0</v>
      </c>
    </row>
    <row r="7764">
      <c r="A7764" s="14">
        <v>192.0</v>
      </c>
      <c r="B7764" s="14">
        <v>1.0</v>
      </c>
      <c r="C7764" s="34">
        <v>23.49</v>
      </c>
      <c r="D7764" s="36">
        <v>45813.0</v>
      </c>
      <c r="E7764" s="24"/>
      <c r="F7764" s="14">
        <v>23.49</v>
      </c>
      <c r="G7764" s="14">
        <v>122.34</v>
      </c>
      <c r="H7764" s="14">
        <v>0.52</v>
      </c>
      <c r="I7764" s="14" t="s">
        <v>6096</v>
      </c>
      <c r="J7764" s="14">
        <v>0.0</v>
      </c>
      <c r="K7764" s="14" t="s">
        <v>6012</v>
      </c>
      <c r="L7764" s="14">
        <v>0.0</v>
      </c>
    </row>
    <row r="7765">
      <c r="A7765" s="14">
        <v>868.0</v>
      </c>
      <c r="B7765" s="14">
        <v>16.0</v>
      </c>
      <c r="C7765" s="34">
        <v>23.28</v>
      </c>
      <c r="D7765" s="36">
        <v>45814.0</v>
      </c>
      <c r="E7765" s="24"/>
      <c r="F7765" s="14">
        <v>1.46</v>
      </c>
      <c r="G7765" s="14">
        <v>26.82</v>
      </c>
      <c r="H7765" s="14">
        <v>1.84</v>
      </c>
      <c r="I7765" s="14" t="s">
        <v>6094</v>
      </c>
      <c r="J7765" s="14">
        <v>0.0</v>
      </c>
      <c r="K7765" s="14" t="s">
        <v>6012</v>
      </c>
      <c r="L7765" s="14">
        <v>0.0</v>
      </c>
    </row>
    <row r="7766">
      <c r="A7766" s="14">
        <v>225.0</v>
      </c>
      <c r="B7766" s="14">
        <v>5.0</v>
      </c>
      <c r="C7766" s="34">
        <v>23.09</v>
      </c>
      <c r="D7766" s="36">
        <v>45814.0</v>
      </c>
      <c r="E7766" s="24"/>
      <c r="F7766" s="14">
        <v>4.62</v>
      </c>
      <c r="G7766" s="14">
        <v>102.62</v>
      </c>
      <c r="H7766" s="14">
        <v>2.22</v>
      </c>
      <c r="I7766" s="14" t="s">
        <v>6096</v>
      </c>
      <c r="J7766" s="14">
        <v>0.0</v>
      </c>
      <c r="K7766" s="14" t="s">
        <v>6012</v>
      </c>
      <c r="L7766" s="14">
        <v>0.0</v>
      </c>
    </row>
    <row r="7767">
      <c r="A7767" s="14">
        <v>257.0</v>
      </c>
      <c r="B7767" s="14">
        <v>10.0</v>
      </c>
      <c r="C7767" s="34">
        <v>23.9</v>
      </c>
      <c r="D7767" s="36">
        <v>45814.0</v>
      </c>
      <c r="E7767" s="24"/>
      <c r="F7767" s="14">
        <v>2.39</v>
      </c>
      <c r="G7767" s="14">
        <v>93.0</v>
      </c>
      <c r="H7767" s="14">
        <v>3.89</v>
      </c>
      <c r="I7767" s="14" t="s">
        <v>6091</v>
      </c>
      <c r="J7767" s="14">
        <v>0.0</v>
      </c>
      <c r="K7767" s="14" t="s">
        <v>6012</v>
      </c>
      <c r="L7767" s="14">
        <v>0.0</v>
      </c>
    </row>
    <row r="7768">
      <c r="A7768" s="14">
        <v>100.0</v>
      </c>
      <c r="B7768" s="14">
        <v>3.0</v>
      </c>
      <c r="C7768" s="34">
        <v>10.18</v>
      </c>
      <c r="D7768" s="36">
        <v>45815.0</v>
      </c>
      <c r="E7768" s="24"/>
      <c r="F7768" s="14">
        <v>3.39</v>
      </c>
      <c r="G7768" s="14">
        <v>101.8</v>
      </c>
      <c r="H7768" s="14">
        <v>3.0</v>
      </c>
      <c r="I7768" s="14" t="s">
        <v>6096</v>
      </c>
      <c r="J7768" s="14">
        <v>0.0</v>
      </c>
      <c r="K7768" s="14" t="s">
        <v>6012</v>
      </c>
      <c r="L7768" s="14">
        <v>0.0</v>
      </c>
    </row>
    <row r="7769">
      <c r="A7769" s="14">
        <v>119.0</v>
      </c>
      <c r="B7769" s="14">
        <v>2.0</v>
      </c>
      <c r="C7769" s="34">
        <v>14.68</v>
      </c>
      <c r="D7769" s="36">
        <v>45815.0</v>
      </c>
      <c r="E7769" s="24"/>
      <c r="F7769" s="14">
        <v>7.34</v>
      </c>
      <c r="G7769" s="14">
        <v>123.36</v>
      </c>
      <c r="H7769" s="14">
        <v>1.68</v>
      </c>
      <c r="I7769" s="14" t="s">
        <v>6091</v>
      </c>
      <c r="J7769" s="14">
        <v>0.0</v>
      </c>
      <c r="K7769" s="14" t="s">
        <v>6012</v>
      </c>
      <c r="L7769" s="14">
        <v>0.0</v>
      </c>
    </row>
    <row r="7770">
      <c r="A7770" s="14">
        <v>334.0</v>
      </c>
      <c r="B7770" s="14">
        <v>2.0</v>
      </c>
      <c r="C7770" s="34">
        <v>13.39</v>
      </c>
      <c r="D7770" s="36">
        <v>45815.0</v>
      </c>
      <c r="E7770" s="24"/>
      <c r="F7770" s="14">
        <v>6.7</v>
      </c>
      <c r="G7770" s="14">
        <v>40.09</v>
      </c>
      <c r="H7770" s="14">
        <v>0.6</v>
      </c>
      <c r="I7770" s="14" t="s">
        <v>6094</v>
      </c>
      <c r="J7770" s="14">
        <v>0.0</v>
      </c>
      <c r="K7770" s="14" t="s">
        <v>6012</v>
      </c>
      <c r="L7770" s="14">
        <v>0.0</v>
      </c>
    </row>
    <row r="7771">
      <c r="A7771" s="14">
        <v>238.0</v>
      </c>
      <c r="B7771" s="14">
        <v>6.0</v>
      </c>
      <c r="C7771" s="34">
        <v>11.25</v>
      </c>
      <c r="D7771" s="36">
        <v>45816.0</v>
      </c>
      <c r="E7771" s="24"/>
      <c r="F7771" s="14">
        <v>1.88</v>
      </c>
      <c r="G7771" s="14">
        <v>47.27</v>
      </c>
      <c r="H7771" s="14">
        <v>2.52</v>
      </c>
      <c r="I7771" s="14" t="s">
        <v>6094</v>
      </c>
      <c r="J7771" s="14">
        <v>0.0</v>
      </c>
      <c r="K7771" s="14" t="s">
        <v>6012</v>
      </c>
      <c r="L7771" s="14">
        <v>0.0</v>
      </c>
    </row>
    <row r="7772">
      <c r="A7772" s="14">
        <v>66.0</v>
      </c>
      <c r="B7772" s="14">
        <v>0.0</v>
      </c>
      <c r="C7772" s="34">
        <v>9.26</v>
      </c>
      <c r="D7772" s="36">
        <v>45816.0</v>
      </c>
      <c r="E7772" s="24"/>
      <c r="F7772" s="14" t="s">
        <v>6012</v>
      </c>
      <c r="G7772" s="14">
        <v>140.3</v>
      </c>
      <c r="H7772" s="14">
        <v>0.0</v>
      </c>
      <c r="I7772" s="14" t="s">
        <v>6091</v>
      </c>
      <c r="J7772" s="14" t="s">
        <v>6012</v>
      </c>
      <c r="K7772" s="14" t="s">
        <v>6012</v>
      </c>
      <c r="L7772" s="14">
        <v>0.0</v>
      </c>
    </row>
    <row r="7773">
      <c r="A7773" s="14">
        <v>57.0</v>
      </c>
      <c r="B7773" s="14">
        <v>1.0</v>
      </c>
      <c r="C7773" s="34">
        <v>6.8</v>
      </c>
      <c r="D7773" s="36">
        <v>45816.0</v>
      </c>
      <c r="E7773" s="24"/>
      <c r="F7773" s="14">
        <v>6.8</v>
      </c>
      <c r="G7773" s="14">
        <v>119.3</v>
      </c>
      <c r="H7773" s="14">
        <v>1.75</v>
      </c>
      <c r="I7773" s="14" t="s">
        <v>6096</v>
      </c>
      <c r="J7773" s="14">
        <v>0.0</v>
      </c>
      <c r="K7773" s="14" t="s">
        <v>6012</v>
      </c>
      <c r="L7773" s="14">
        <v>0.0</v>
      </c>
    </row>
    <row r="7774">
      <c r="A7774" s="14">
        <v>187.0</v>
      </c>
      <c r="B7774" s="14">
        <v>2.0</v>
      </c>
      <c r="C7774" s="34">
        <v>19.54</v>
      </c>
      <c r="D7774" s="36">
        <v>45817.0</v>
      </c>
      <c r="E7774" s="24"/>
      <c r="F7774" s="14">
        <v>9.77</v>
      </c>
      <c r="G7774" s="14">
        <v>104.49</v>
      </c>
      <c r="H7774" s="14">
        <v>1.07</v>
      </c>
      <c r="I7774" s="14" t="s">
        <v>6096</v>
      </c>
      <c r="J7774" s="14">
        <v>0.0</v>
      </c>
      <c r="K7774" s="14" t="s">
        <v>6012</v>
      </c>
      <c r="L7774" s="14">
        <v>0.0</v>
      </c>
    </row>
    <row r="7775">
      <c r="A7775" s="14">
        <v>158.0</v>
      </c>
      <c r="B7775" s="14">
        <v>4.0</v>
      </c>
      <c r="C7775" s="34">
        <v>24.73</v>
      </c>
      <c r="D7775" s="36">
        <v>45817.0</v>
      </c>
      <c r="E7775" s="24"/>
      <c r="F7775" s="14">
        <v>6.18</v>
      </c>
      <c r="G7775" s="14">
        <v>156.52</v>
      </c>
      <c r="H7775" s="14">
        <v>2.53</v>
      </c>
      <c r="I7775" s="14" t="s">
        <v>6091</v>
      </c>
      <c r="J7775" s="14">
        <v>0.0</v>
      </c>
      <c r="K7775" s="14" t="s">
        <v>6012</v>
      </c>
      <c r="L7775" s="14">
        <v>0.0</v>
      </c>
    </row>
    <row r="7776">
      <c r="A7776" s="14">
        <v>711.0</v>
      </c>
      <c r="B7776" s="14">
        <v>10.0</v>
      </c>
      <c r="C7776" s="34">
        <v>22.09</v>
      </c>
      <c r="D7776" s="36">
        <v>45817.0</v>
      </c>
      <c r="E7776" s="24"/>
      <c r="F7776" s="14">
        <v>2.21</v>
      </c>
      <c r="G7776" s="14">
        <v>31.07</v>
      </c>
      <c r="H7776" s="14">
        <v>1.41</v>
      </c>
      <c r="I7776" s="14" t="s">
        <v>6094</v>
      </c>
      <c r="J7776" s="14">
        <v>0.0</v>
      </c>
      <c r="K7776" s="14" t="s">
        <v>6012</v>
      </c>
      <c r="L7776" s="14">
        <v>0.0</v>
      </c>
    </row>
    <row r="7777">
      <c r="A7777" s="14">
        <v>320.0</v>
      </c>
      <c r="B7777" s="14">
        <v>5.0</v>
      </c>
      <c r="C7777" s="34">
        <v>24.41</v>
      </c>
      <c r="D7777" s="36">
        <v>45818.0</v>
      </c>
      <c r="E7777" s="24"/>
      <c r="F7777" s="14">
        <v>4.88</v>
      </c>
      <c r="G7777" s="14">
        <v>76.28</v>
      </c>
      <c r="H7777" s="14">
        <v>1.56</v>
      </c>
      <c r="I7777" s="14" t="s">
        <v>6096</v>
      </c>
      <c r="J7777" s="14">
        <v>0.0</v>
      </c>
      <c r="K7777" s="14" t="s">
        <v>6012</v>
      </c>
      <c r="L7777" s="14">
        <v>0.0</v>
      </c>
    </row>
    <row r="7778">
      <c r="A7778" s="14">
        <v>215.0</v>
      </c>
      <c r="B7778" s="14">
        <v>6.0</v>
      </c>
      <c r="C7778" s="34">
        <v>30.18</v>
      </c>
      <c r="D7778" s="36">
        <v>45818.0</v>
      </c>
      <c r="E7778" s="24"/>
      <c r="F7778" s="14">
        <v>5.03</v>
      </c>
      <c r="G7778" s="14">
        <v>140.37</v>
      </c>
      <c r="H7778" s="14">
        <v>2.79</v>
      </c>
      <c r="I7778" s="14" t="s">
        <v>6091</v>
      </c>
      <c r="J7778" s="14">
        <v>0.0</v>
      </c>
      <c r="K7778" s="14" t="s">
        <v>6012</v>
      </c>
      <c r="L7778" s="14">
        <v>0.0</v>
      </c>
    </row>
    <row r="7779">
      <c r="A7779" s="14">
        <v>931.0</v>
      </c>
      <c r="B7779" s="14">
        <v>22.0</v>
      </c>
      <c r="C7779" s="34">
        <v>27.07</v>
      </c>
      <c r="D7779" s="36">
        <v>45818.0</v>
      </c>
      <c r="E7779" s="24"/>
      <c r="F7779" s="14">
        <v>1.23</v>
      </c>
      <c r="G7779" s="14">
        <v>29.08</v>
      </c>
      <c r="H7779" s="14">
        <v>2.36</v>
      </c>
      <c r="I7779" s="14" t="s">
        <v>6094</v>
      </c>
      <c r="J7779" s="14">
        <v>0.0</v>
      </c>
      <c r="K7779" s="14" t="s">
        <v>6012</v>
      </c>
      <c r="L7779" s="14">
        <v>0.0</v>
      </c>
    </row>
    <row r="7780">
      <c r="A7780" s="14">
        <v>0.0</v>
      </c>
      <c r="B7780" s="14">
        <v>0.0</v>
      </c>
      <c r="C7780" s="34">
        <v>0.0</v>
      </c>
      <c r="D7780" s="36">
        <v>45818.0</v>
      </c>
      <c r="E7780" s="24"/>
      <c r="F7780" s="14" t="s">
        <v>6012</v>
      </c>
      <c r="G7780" s="14" t="s">
        <v>6012</v>
      </c>
      <c r="H7780" s="14" t="s">
        <v>6012</v>
      </c>
      <c r="I7780" s="14" t="s">
        <v>6067</v>
      </c>
      <c r="J7780" s="14" t="s">
        <v>6012</v>
      </c>
      <c r="K7780" s="14" t="s">
        <v>6012</v>
      </c>
      <c r="L7780" s="14">
        <v>1.0</v>
      </c>
    </row>
    <row r="7781">
      <c r="A7781" s="14">
        <v>856.0</v>
      </c>
      <c r="B7781" s="14">
        <v>16.0</v>
      </c>
      <c r="C7781" s="34">
        <v>26.22</v>
      </c>
      <c r="D7781" s="36">
        <v>45819.0</v>
      </c>
      <c r="E7781" s="24"/>
      <c r="F7781" s="14">
        <v>1.64</v>
      </c>
      <c r="G7781" s="14">
        <v>30.63</v>
      </c>
      <c r="H7781" s="14">
        <v>1.87</v>
      </c>
      <c r="I7781" s="14" t="s">
        <v>6094</v>
      </c>
      <c r="J7781" s="14">
        <v>0.0</v>
      </c>
      <c r="K7781" s="14" t="s">
        <v>6012</v>
      </c>
      <c r="L7781" s="14">
        <v>0.0</v>
      </c>
    </row>
    <row r="7782">
      <c r="A7782" s="14">
        <v>238.0</v>
      </c>
      <c r="B7782" s="14">
        <v>5.0</v>
      </c>
      <c r="C7782" s="34">
        <v>23.64</v>
      </c>
      <c r="D7782" s="36">
        <v>45819.0</v>
      </c>
      <c r="E7782" s="24"/>
      <c r="F7782" s="14">
        <v>4.73</v>
      </c>
      <c r="G7782" s="14">
        <v>99.33</v>
      </c>
      <c r="H7782" s="14">
        <v>2.1</v>
      </c>
      <c r="I7782" s="14" t="s">
        <v>6096</v>
      </c>
      <c r="J7782" s="14">
        <v>0.0</v>
      </c>
      <c r="K7782" s="14" t="s">
        <v>6012</v>
      </c>
      <c r="L7782" s="14">
        <v>0.0</v>
      </c>
    </row>
    <row r="7783">
      <c r="A7783" s="14">
        <v>230.0</v>
      </c>
      <c r="B7783" s="14">
        <v>4.0</v>
      </c>
      <c r="C7783" s="34">
        <v>27.87</v>
      </c>
      <c r="D7783" s="36">
        <v>45819.0</v>
      </c>
      <c r="E7783" s="24"/>
      <c r="F7783" s="14">
        <v>6.97</v>
      </c>
      <c r="G7783" s="14">
        <v>121.17</v>
      </c>
      <c r="H7783" s="14">
        <v>1.74</v>
      </c>
      <c r="I7783" s="14" t="s">
        <v>6091</v>
      </c>
      <c r="J7783" s="14">
        <v>0.0</v>
      </c>
      <c r="K7783" s="14" t="s">
        <v>6012</v>
      </c>
      <c r="L7783" s="14">
        <v>0.0</v>
      </c>
    </row>
    <row r="7784">
      <c r="A7784" s="14">
        <v>939.0</v>
      </c>
      <c r="B7784" s="14">
        <v>19.0</v>
      </c>
      <c r="C7784" s="34">
        <v>25.34</v>
      </c>
      <c r="D7784" s="36">
        <v>45820.0</v>
      </c>
      <c r="E7784" s="24"/>
      <c r="F7784" s="14">
        <v>1.33</v>
      </c>
      <c r="G7784" s="14">
        <v>26.99</v>
      </c>
      <c r="H7784" s="14">
        <v>2.02</v>
      </c>
      <c r="I7784" s="14" t="s">
        <v>6094</v>
      </c>
      <c r="J7784" s="14">
        <v>0.0</v>
      </c>
      <c r="K7784" s="14" t="s">
        <v>6012</v>
      </c>
      <c r="L7784" s="14">
        <v>0.0</v>
      </c>
    </row>
    <row r="7785">
      <c r="A7785" s="14">
        <v>172.0</v>
      </c>
      <c r="B7785" s="14">
        <v>4.0</v>
      </c>
      <c r="C7785" s="34">
        <v>24.37</v>
      </c>
      <c r="D7785" s="36">
        <v>45820.0</v>
      </c>
      <c r="E7785" s="24"/>
      <c r="F7785" s="14">
        <v>6.09</v>
      </c>
      <c r="G7785" s="14">
        <v>141.69</v>
      </c>
      <c r="H7785" s="14">
        <v>2.33</v>
      </c>
      <c r="I7785" s="14" t="s">
        <v>6096</v>
      </c>
      <c r="J7785" s="14">
        <v>0.0</v>
      </c>
      <c r="K7785" s="14" t="s">
        <v>6012</v>
      </c>
      <c r="L7785" s="14">
        <v>0.0</v>
      </c>
    </row>
    <row r="7786">
      <c r="A7786" s="14">
        <v>248.0</v>
      </c>
      <c r="B7786" s="14">
        <v>9.0</v>
      </c>
      <c r="C7786" s="34">
        <v>27.24</v>
      </c>
      <c r="D7786" s="36">
        <v>45820.0</v>
      </c>
      <c r="E7786" s="24"/>
      <c r="F7786" s="14">
        <v>3.03</v>
      </c>
      <c r="G7786" s="14">
        <v>109.84</v>
      </c>
      <c r="H7786" s="14">
        <v>3.63</v>
      </c>
      <c r="I7786" s="14" t="s">
        <v>6091</v>
      </c>
      <c r="J7786" s="14">
        <v>0.0</v>
      </c>
      <c r="K7786" s="14" t="s">
        <v>6012</v>
      </c>
      <c r="L7786" s="14">
        <v>0.0</v>
      </c>
    </row>
    <row r="7787">
      <c r="A7787" s="14">
        <v>774.0</v>
      </c>
      <c r="B7787" s="14">
        <v>19.0</v>
      </c>
      <c r="C7787" s="34">
        <v>22.92</v>
      </c>
      <c r="D7787" s="36">
        <v>45821.0</v>
      </c>
      <c r="E7787" s="24"/>
      <c r="F7787" s="14">
        <v>1.21</v>
      </c>
      <c r="G7787" s="14">
        <v>29.61</v>
      </c>
      <c r="H7787" s="14">
        <v>2.45</v>
      </c>
      <c r="I7787" s="14" t="s">
        <v>6094</v>
      </c>
      <c r="J7787" s="14">
        <v>0.0</v>
      </c>
      <c r="K7787" s="14" t="s">
        <v>6012</v>
      </c>
      <c r="L7787" s="14">
        <v>0.0</v>
      </c>
    </row>
    <row r="7788">
      <c r="A7788" s="14">
        <v>206.0</v>
      </c>
      <c r="B7788" s="14">
        <v>6.0</v>
      </c>
      <c r="C7788" s="34">
        <v>20.48</v>
      </c>
      <c r="D7788" s="36">
        <v>45821.0</v>
      </c>
      <c r="E7788" s="24"/>
      <c r="F7788" s="14">
        <v>3.41</v>
      </c>
      <c r="G7788" s="14">
        <v>99.42</v>
      </c>
      <c r="H7788" s="14">
        <v>2.91</v>
      </c>
      <c r="I7788" s="14" t="s">
        <v>6096</v>
      </c>
      <c r="J7788" s="14">
        <v>0.0</v>
      </c>
      <c r="K7788" s="14" t="s">
        <v>6012</v>
      </c>
      <c r="L7788" s="14">
        <v>0.0</v>
      </c>
    </row>
    <row r="7789">
      <c r="A7789" s="14">
        <v>556.0</v>
      </c>
      <c r="B7789" s="14">
        <v>3.0</v>
      </c>
      <c r="C7789" s="34">
        <v>24.12</v>
      </c>
      <c r="D7789" s="36">
        <v>45821.0</v>
      </c>
      <c r="E7789" s="24"/>
      <c r="F7789" s="14">
        <v>8.04</v>
      </c>
      <c r="G7789" s="14">
        <v>43.38</v>
      </c>
      <c r="H7789" s="14">
        <v>0.54</v>
      </c>
      <c r="I7789" s="14" t="s">
        <v>6091</v>
      </c>
      <c r="J7789" s="14">
        <v>0.0</v>
      </c>
      <c r="K7789" s="14" t="s">
        <v>6012</v>
      </c>
      <c r="L7789" s="14">
        <v>0.0</v>
      </c>
    </row>
    <row r="7790">
      <c r="A7790" s="14">
        <v>238.0</v>
      </c>
      <c r="B7790" s="14">
        <v>8.0</v>
      </c>
      <c r="C7790" s="34">
        <v>13.75</v>
      </c>
      <c r="D7790" s="36">
        <v>45822.0</v>
      </c>
      <c r="E7790" s="24"/>
      <c r="F7790" s="14">
        <v>1.72</v>
      </c>
      <c r="G7790" s="14">
        <v>57.77</v>
      </c>
      <c r="H7790" s="14">
        <v>3.36</v>
      </c>
      <c r="I7790" s="14" t="s">
        <v>6094</v>
      </c>
      <c r="J7790" s="14">
        <v>0.0</v>
      </c>
      <c r="K7790" s="14" t="s">
        <v>6012</v>
      </c>
      <c r="L7790" s="14">
        <v>0.0</v>
      </c>
    </row>
    <row r="7791">
      <c r="A7791" s="14">
        <v>126.0</v>
      </c>
      <c r="B7791" s="14">
        <v>2.0</v>
      </c>
      <c r="C7791" s="34">
        <v>7.54</v>
      </c>
      <c r="D7791" s="36">
        <v>45822.0</v>
      </c>
      <c r="E7791" s="24"/>
      <c r="F7791" s="14">
        <v>3.77</v>
      </c>
      <c r="G7791" s="14">
        <v>59.84</v>
      </c>
      <c r="H7791" s="14">
        <v>1.59</v>
      </c>
      <c r="I7791" s="14" t="s">
        <v>6097</v>
      </c>
      <c r="J7791" s="14">
        <v>0.0</v>
      </c>
      <c r="K7791" s="14" t="s">
        <v>6012</v>
      </c>
      <c r="L7791" s="14">
        <v>0.0</v>
      </c>
    </row>
    <row r="7792">
      <c r="A7792" s="14">
        <v>115.0</v>
      </c>
      <c r="B7792" s="14">
        <v>0.0</v>
      </c>
      <c r="C7792" s="34">
        <v>15.3</v>
      </c>
      <c r="D7792" s="36">
        <v>45822.0</v>
      </c>
      <c r="E7792" s="24"/>
      <c r="F7792" s="14" t="s">
        <v>6012</v>
      </c>
      <c r="G7792" s="14">
        <v>133.04</v>
      </c>
      <c r="H7792" s="14">
        <v>0.0</v>
      </c>
      <c r="I7792" s="14" t="s">
        <v>6091</v>
      </c>
      <c r="J7792" s="14" t="s">
        <v>6012</v>
      </c>
      <c r="K7792" s="14" t="s">
        <v>6012</v>
      </c>
      <c r="L7792" s="14">
        <v>0.0</v>
      </c>
    </row>
    <row r="7793">
      <c r="A7793" s="14">
        <v>99.0</v>
      </c>
      <c r="B7793" s="14">
        <v>3.0</v>
      </c>
      <c r="C7793" s="34">
        <v>12.96</v>
      </c>
      <c r="D7793" s="36">
        <v>45822.0</v>
      </c>
      <c r="E7793" s="24"/>
      <c r="F7793" s="14">
        <v>4.32</v>
      </c>
      <c r="G7793" s="14">
        <v>130.91</v>
      </c>
      <c r="H7793" s="14">
        <v>3.03</v>
      </c>
      <c r="I7793" s="14" t="s">
        <v>6096</v>
      </c>
      <c r="J7793" s="14">
        <v>0.0</v>
      </c>
      <c r="K7793" s="14" t="s">
        <v>6012</v>
      </c>
      <c r="L7793" s="14">
        <v>0.0</v>
      </c>
    </row>
    <row r="7794">
      <c r="A7794" s="14">
        <v>196.0</v>
      </c>
      <c r="B7794" s="14">
        <v>4.0</v>
      </c>
      <c r="C7794" s="34">
        <v>11.71</v>
      </c>
      <c r="D7794" s="36">
        <v>45823.0</v>
      </c>
      <c r="E7794" s="24"/>
      <c r="F7794" s="14">
        <v>2.93</v>
      </c>
      <c r="G7794" s="14">
        <v>59.74</v>
      </c>
      <c r="H7794" s="14">
        <v>2.04</v>
      </c>
      <c r="I7794" s="14" t="s">
        <v>6094</v>
      </c>
      <c r="J7794" s="14">
        <v>0.0</v>
      </c>
      <c r="K7794" s="14" t="s">
        <v>6012</v>
      </c>
      <c r="L7794" s="14">
        <v>0.0</v>
      </c>
    </row>
    <row r="7795">
      <c r="A7795" s="14">
        <v>50.0</v>
      </c>
      <c r="B7795" s="14">
        <v>1.0</v>
      </c>
      <c r="C7795" s="34">
        <v>7.6</v>
      </c>
      <c r="D7795" s="36">
        <v>45823.0</v>
      </c>
      <c r="E7795" s="24"/>
      <c r="F7795" s="14">
        <v>7.6</v>
      </c>
      <c r="G7795" s="14">
        <v>152.0</v>
      </c>
      <c r="H7795" s="14">
        <v>2.0</v>
      </c>
      <c r="I7795" s="14" t="s">
        <v>6096</v>
      </c>
      <c r="J7795" s="14">
        <v>0.0</v>
      </c>
      <c r="K7795" s="14" t="s">
        <v>6012</v>
      </c>
      <c r="L7795" s="14">
        <v>0.0</v>
      </c>
    </row>
    <row r="7796">
      <c r="A7796" s="14">
        <v>180.0</v>
      </c>
      <c r="B7796" s="14">
        <v>2.0</v>
      </c>
      <c r="C7796" s="34">
        <v>28.5</v>
      </c>
      <c r="D7796" s="36">
        <v>45823.0</v>
      </c>
      <c r="E7796" s="24"/>
      <c r="F7796" s="14">
        <v>14.25</v>
      </c>
      <c r="G7796" s="14">
        <v>158.33</v>
      </c>
      <c r="H7796" s="14">
        <v>1.11</v>
      </c>
      <c r="I7796" s="14" t="s">
        <v>6097</v>
      </c>
      <c r="J7796" s="14">
        <v>0.0</v>
      </c>
      <c r="K7796" s="14" t="s">
        <v>6012</v>
      </c>
      <c r="L7796" s="14">
        <v>0.0</v>
      </c>
    </row>
    <row r="7797">
      <c r="A7797" s="14">
        <v>188.0</v>
      </c>
      <c r="B7797" s="14">
        <v>1.0</v>
      </c>
      <c r="C7797" s="34">
        <v>10.08</v>
      </c>
      <c r="D7797" s="36">
        <v>45823.0</v>
      </c>
      <c r="E7797" s="24"/>
      <c r="F7797" s="14">
        <v>10.08</v>
      </c>
      <c r="G7797" s="14">
        <v>53.62</v>
      </c>
      <c r="H7797" s="14">
        <v>0.53</v>
      </c>
      <c r="I7797" s="14" t="s">
        <v>6091</v>
      </c>
      <c r="J7797" s="14">
        <v>0.0</v>
      </c>
      <c r="K7797" s="14" t="s">
        <v>6012</v>
      </c>
      <c r="L7797" s="14">
        <v>0.0</v>
      </c>
    </row>
    <row r="7798">
      <c r="A7798" s="14">
        <v>159.0</v>
      </c>
      <c r="B7798" s="14">
        <v>7.0</v>
      </c>
      <c r="C7798" s="34">
        <v>20.41</v>
      </c>
      <c r="D7798" s="36">
        <v>45824.0</v>
      </c>
      <c r="E7798" s="24"/>
      <c r="F7798" s="14">
        <v>2.92</v>
      </c>
      <c r="G7798" s="14">
        <v>128.36</v>
      </c>
      <c r="H7798" s="14">
        <v>4.4</v>
      </c>
      <c r="I7798" s="14" t="s">
        <v>6096</v>
      </c>
      <c r="J7798" s="14">
        <v>0.0</v>
      </c>
      <c r="K7798" s="14" t="s">
        <v>6012</v>
      </c>
      <c r="L7798" s="14">
        <v>0.0</v>
      </c>
    </row>
    <row r="7799">
      <c r="A7799" s="14">
        <v>845.0</v>
      </c>
      <c r="B7799" s="14">
        <v>19.0</v>
      </c>
      <c r="C7799" s="34">
        <v>22.88</v>
      </c>
      <c r="D7799" s="36">
        <v>45824.0</v>
      </c>
      <c r="E7799" s="24"/>
      <c r="F7799" s="14">
        <v>1.2</v>
      </c>
      <c r="G7799" s="14">
        <v>27.08</v>
      </c>
      <c r="H7799" s="14">
        <v>2.25</v>
      </c>
      <c r="I7799" s="14" t="s">
        <v>6094</v>
      </c>
      <c r="J7799" s="14">
        <v>0.0</v>
      </c>
      <c r="K7799" s="14" t="s">
        <v>6012</v>
      </c>
      <c r="L7799" s="14">
        <v>0.0</v>
      </c>
    </row>
    <row r="7800">
      <c r="A7800" s="14">
        <v>73.0</v>
      </c>
      <c r="B7800" s="14">
        <v>2.0</v>
      </c>
      <c r="C7800" s="34">
        <v>21.08</v>
      </c>
      <c r="D7800" s="36">
        <v>45824.0</v>
      </c>
      <c r="E7800" s="24"/>
      <c r="F7800" s="14">
        <v>10.54</v>
      </c>
      <c r="G7800" s="14">
        <v>288.77</v>
      </c>
      <c r="H7800" s="14">
        <v>2.74</v>
      </c>
      <c r="I7800" s="14" t="s">
        <v>6097</v>
      </c>
      <c r="J7800" s="14">
        <v>0.0</v>
      </c>
      <c r="K7800" s="14" t="s">
        <v>6012</v>
      </c>
      <c r="L7800" s="14">
        <v>0.0</v>
      </c>
    </row>
    <row r="7801">
      <c r="A7801" s="14">
        <v>693.0</v>
      </c>
      <c r="B7801" s="14">
        <v>3.0</v>
      </c>
      <c r="C7801" s="34">
        <v>24.58</v>
      </c>
      <c r="D7801" s="36">
        <v>45824.0</v>
      </c>
      <c r="E7801" s="24"/>
      <c r="F7801" s="14">
        <v>8.19</v>
      </c>
      <c r="G7801" s="14">
        <v>35.47</v>
      </c>
      <c r="H7801" s="14">
        <v>0.43</v>
      </c>
      <c r="I7801" s="14" t="s">
        <v>6091</v>
      </c>
      <c r="J7801" s="14">
        <v>0.0</v>
      </c>
      <c r="K7801" s="14" t="s">
        <v>6012</v>
      </c>
      <c r="L7801" s="14">
        <v>0.0</v>
      </c>
    </row>
    <row r="7802">
      <c r="A7802" s="14">
        <v>60.0</v>
      </c>
      <c r="B7802" s="14">
        <v>0.0</v>
      </c>
      <c r="C7802" s="34">
        <v>24.15</v>
      </c>
      <c r="D7802" s="36">
        <v>45825.0</v>
      </c>
      <c r="E7802" s="24"/>
      <c r="F7802" s="14" t="s">
        <v>6012</v>
      </c>
      <c r="G7802" s="14">
        <v>402.5</v>
      </c>
      <c r="H7802" s="14">
        <v>0.0</v>
      </c>
      <c r="I7802" s="14" t="s">
        <v>6097</v>
      </c>
      <c r="J7802" s="14" t="s">
        <v>6012</v>
      </c>
      <c r="K7802" s="14" t="s">
        <v>6012</v>
      </c>
      <c r="L7802" s="14">
        <v>0.0</v>
      </c>
    </row>
    <row r="7803">
      <c r="A7803" s="14">
        <v>857.0</v>
      </c>
      <c r="B7803" s="14">
        <v>19.0</v>
      </c>
      <c r="C7803" s="34">
        <v>25.96</v>
      </c>
      <c r="D7803" s="36">
        <v>45825.0</v>
      </c>
      <c r="E7803" s="24"/>
      <c r="F7803" s="14">
        <v>1.37</v>
      </c>
      <c r="G7803" s="14">
        <v>30.29</v>
      </c>
      <c r="H7803" s="14">
        <v>2.22</v>
      </c>
      <c r="I7803" s="14" t="s">
        <v>6094</v>
      </c>
      <c r="J7803" s="14">
        <v>0.0</v>
      </c>
      <c r="K7803" s="14" t="s">
        <v>6012</v>
      </c>
      <c r="L7803" s="14">
        <v>0.0</v>
      </c>
    </row>
    <row r="7804">
      <c r="A7804" s="14">
        <v>168.0</v>
      </c>
      <c r="B7804" s="14">
        <v>2.0</v>
      </c>
      <c r="C7804" s="34">
        <v>25.03</v>
      </c>
      <c r="D7804" s="36">
        <v>45825.0</v>
      </c>
      <c r="E7804" s="24"/>
      <c r="F7804" s="14">
        <v>12.52</v>
      </c>
      <c r="G7804" s="14">
        <v>148.99</v>
      </c>
      <c r="H7804" s="14">
        <v>1.19</v>
      </c>
      <c r="I7804" s="14" t="s">
        <v>6096</v>
      </c>
      <c r="J7804" s="14">
        <v>0.0</v>
      </c>
      <c r="K7804" s="14" t="s">
        <v>6012</v>
      </c>
      <c r="L7804" s="14">
        <v>0.0</v>
      </c>
    </row>
    <row r="7805">
      <c r="A7805" s="14">
        <v>748.0</v>
      </c>
      <c r="B7805" s="14">
        <v>3.0</v>
      </c>
      <c r="C7805" s="34">
        <v>28.07</v>
      </c>
      <c r="D7805" s="36">
        <v>45825.0</v>
      </c>
      <c r="E7805" s="24"/>
      <c r="F7805" s="14">
        <v>9.36</v>
      </c>
      <c r="G7805" s="14">
        <v>37.53</v>
      </c>
      <c r="H7805" s="14">
        <v>0.4</v>
      </c>
      <c r="I7805" s="14" t="s">
        <v>6091</v>
      </c>
      <c r="J7805" s="14">
        <v>0.0</v>
      </c>
      <c r="K7805" s="14" t="s">
        <v>6012</v>
      </c>
      <c r="L7805" s="14">
        <v>0.0</v>
      </c>
    </row>
    <row r="7806">
      <c r="A7806" s="14">
        <v>807.0</v>
      </c>
      <c r="B7806" s="14">
        <v>16.0</v>
      </c>
      <c r="C7806" s="34">
        <v>25.85</v>
      </c>
      <c r="D7806" s="36">
        <v>45826.0</v>
      </c>
      <c r="E7806" s="24"/>
      <c r="F7806" s="14">
        <v>1.62</v>
      </c>
      <c r="G7806" s="14">
        <v>32.03</v>
      </c>
      <c r="H7806" s="14">
        <v>1.98</v>
      </c>
      <c r="I7806" s="14" t="s">
        <v>6094</v>
      </c>
      <c r="J7806" s="14">
        <v>0.0</v>
      </c>
      <c r="K7806" s="14" t="s">
        <v>6012</v>
      </c>
      <c r="L7806" s="14">
        <v>0.0</v>
      </c>
    </row>
    <row r="7807">
      <c r="A7807" s="14">
        <v>247.0</v>
      </c>
      <c r="B7807" s="14">
        <v>6.0</v>
      </c>
      <c r="C7807" s="34">
        <v>25.23</v>
      </c>
      <c r="D7807" s="36">
        <v>45826.0</v>
      </c>
      <c r="E7807" s="24"/>
      <c r="F7807" s="14">
        <v>4.2</v>
      </c>
      <c r="G7807" s="14">
        <v>102.15</v>
      </c>
      <c r="H7807" s="14">
        <v>2.43</v>
      </c>
      <c r="I7807" s="14" t="s">
        <v>6096</v>
      </c>
      <c r="J7807" s="14">
        <v>0.0</v>
      </c>
      <c r="K7807" s="14" t="s">
        <v>6012</v>
      </c>
      <c r="L7807" s="14">
        <v>0.0</v>
      </c>
    </row>
    <row r="7808">
      <c r="A7808" s="14">
        <v>844.0</v>
      </c>
      <c r="B7808" s="14">
        <v>4.0</v>
      </c>
      <c r="C7808" s="34">
        <v>28.5</v>
      </c>
      <c r="D7808" s="36">
        <v>45826.0</v>
      </c>
      <c r="E7808" s="24"/>
      <c r="F7808" s="14">
        <v>7.12</v>
      </c>
      <c r="G7808" s="14">
        <v>33.77</v>
      </c>
      <c r="H7808" s="14">
        <v>0.47</v>
      </c>
      <c r="I7808" s="14" t="s">
        <v>6091</v>
      </c>
      <c r="J7808" s="14">
        <v>0.0</v>
      </c>
      <c r="K7808" s="14" t="s">
        <v>6012</v>
      </c>
      <c r="L7808" s="14">
        <v>0.0</v>
      </c>
    </row>
    <row r="7809">
      <c r="A7809" s="14">
        <v>51.0</v>
      </c>
      <c r="B7809" s="14">
        <v>1.0</v>
      </c>
      <c r="C7809" s="34">
        <v>24.42</v>
      </c>
      <c r="D7809" s="36">
        <v>45826.0</v>
      </c>
      <c r="E7809" s="24"/>
      <c r="F7809" s="14">
        <v>24.42</v>
      </c>
      <c r="G7809" s="14">
        <v>478.82</v>
      </c>
      <c r="H7809" s="14">
        <v>1.96</v>
      </c>
      <c r="I7809" s="14" t="s">
        <v>6097</v>
      </c>
      <c r="J7809" s="14">
        <v>0.0</v>
      </c>
      <c r="K7809" s="14" t="s">
        <v>6012</v>
      </c>
      <c r="L7809" s="14">
        <v>0.0</v>
      </c>
    </row>
    <row r="7810">
      <c r="A7810" s="14">
        <v>140.0</v>
      </c>
      <c r="B7810" s="14">
        <v>1.0</v>
      </c>
      <c r="C7810" s="34">
        <v>9.92</v>
      </c>
      <c r="D7810" s="36">
        <v>45827.0</v>
      </c>
      <c r="E7810" s="24"/>
      <c r="F7810" s="14">
        <v>9.92</v>
      </c>
      <c r="G7810" s="14">
        <v>70.86</v>
      </c>
      <c r="H7810" s="14">
        <v>0.71</v>
      </c>
      <c r="I7810" s="14" t="s">
        <v>6096</v>
      </c>
      <c r="J7810" s="14">
        <v>0.0</v>
      </c>
      <c r="K7810" s="14" t="s">
        <v>6012</v>
      </c>
      <c r="L7810" s="14">
        <v>0.0</v>
      </c>
    </row>
    <row r="7811">
      <c r="A7811" s="14">
        <v>56.0</v>
      </c>
      <c r="B7811" s="14">
        <v>1.0</v>
      </c>
      <c r="C7811" s="34">
        <v>26.32</v>
      </c>
      <c r="D7811" s="36">
        <v>45827.0</v>
      </c>
      <c r="E7811" s="24"/>
      <c r="F7811" s="14">
        <v>26.32</v>
      </c>
      <c r="G7811" s="14">
        <v>470.0</v>
      </c>
      <c r="H7811" s="14">
        <v>1.79</v>
      </c>
      <c r="I7811" s="14" t="s">
        <v>6097</v>
      </c>
      <c r="J7811" s="14">
        <v>0.0</v>
      </c>
      <c r="K7811" s="14" t="s">
        <v>6012</v>
      </c>
      <c r="L7811" s="14">
        <v>0.0</v>
      </c>
    </row>
    <row r="7812">
      <c r="A7812" s="14">
        <v>968.0</v>
      </c>
      <c r="B7812" s="14">
        <v>18.0</v>
      </c>
      <c r="C7812" s="34">
        <v>25.74</v>
      </c>
      <c r="D7812" s="36">
        <v>45827.0</v>
      </c>
      <c r="E7812" s="24"/>
      <c r="F7812" s="14">
        <v>1.43</v>
      </c>
      <c r="G7812" s="14">
        <v>26.59</v>
      </c>
      <c r="H7812" s="14">
        <v>1.86</v>
      </c>
      <c r="I7812" s="14" t="s">
        <v>6094</v>
      </c>
      <c r="J7812" s="14">
        <v>0.0</v>
      </c>
      <c r="K7812" s="14" t="s">
        <v>6012</v>
      </c>
      <c r="L7812" s="14">
        <v>0.0</v>
      </c>
    </row>
    <row r="7813">
      <c r="A7813" s="14">
        <v>1783.0</v>
      </c>
      <c r="B7813" s="14">
        <v>5.0</v>
      </c>
      <c r="C7813" s="34">
        <v>27.3</v>
      </c>
      <c r="D7813" s="36">
        <v>45827.0</v>
      </c>
      <c r="E7813" s="24"/>
      <c r="F7813" s="14">
        <v>5.46</v>
      </c>
      <c r="G7813" s="14">
        <v>15.31</v>
      </c>
      <c r="H7813" s="14">
        <v>0.28</v>
      </c>
      <c r="I7813" s="14" t="s">
        <v>6091</v>
      </c>
      <c r="J7813" s="14">
        <v>0.0</v>
      </c>
      <c r="K7813" s="14" t="s">
        <v>6012</v>
      </c>
      <c r="L7813" s="14">
        <v>0.0</v>
      </c>
    </row>
    <row r="7814">
      <c r="A7814" s="14">
        <v>838.0</v>
      </c>
      <c r="B7814" s="14">
        <v>8.0</v>
      </c>
      <c r="C7814" s="34">
        <v>25.33</v>
      </c>
      <c r="D7814" s="36">
        <v>45828.0</v>
      </c>
      <c r="E7814" s="24"/>
      <c r="F7814" s="14">
        <v>3.17</v>
      </c>
      <c r="G7814" s="14">
        <v>30.23</v>
      </c>
      <c r="H7814" s="14">
        <v>0.95</v>
      </c>
      <c r="I7814" s="14" t="s">
        <v>6091</v>
      </c>
      <c r="J7814" s="14">
        <v>0.0</v>
      </c>
      <c r="K7814" s="14" t="s">
        <v>6012</v>
      </c>
      <c r="L7814" s="14">
        <v>0.0</v>
      </c>
    </row>
    <row r="7815">
      <c r="A7815" s="14">
        <v>39.0</v>
      </c>
      <c r="B7815" s="14">
        <v>2.0</v>
      </c>
      <c r="C7815" s="34">
        <v>21.13</v>
      </c>
      <c r="D7815" s="36">
        <v>45828.0</v>
      </c>
      <c r="E7815" s="24"/>
      <c r="F7815" s="14">
        <v>10.56</v>
      </c>
      <c r="G7815" s="14">
        <v>541.79</v>
      </c>
      <c r="H7815" s="14">
        <v>5.13</v>
      </c>
      <c r="I7815" s="14" t="s">
        <v>6097</v>
      </c>
      <c r="J7815" s="14">
        <v>0.0</v>
      </c>
      <c r="K7815" s="14" t="s">
        <v>6012</v>
      </c>
      <c r="L7815" s="14">
        <v>0.0</v>
      </c>
    </row>
    <row r="7816">
      <c r="A7816" s="14">
        <v>741.0</v>
      </c>
      <c r="B7816" s="14">
        <v>6.0</v>
      </c>
      <c r="C7816" s="34">
        <v>23.28</v>
      </c>
      <c r="D7816" s="36">
        <v>45828.0</v>
      </c>
      <c r="E7816" s="24"/>
      <c r="F7816" s="14">
        <v>3.88</v>
      </c>
      <c r="G7816" s="14">
        <v>31.42</v>
      </c>
      <c r="H7816" s="14">
        <v>0.81</v>
      </c>
      <c r="I7816" s="14" t="s">
        <v>6094</v>
      </c>
      <c r="J7816" s="14">
        <v>0.0</v>
      </c>
      <c r="K7816" s="14" t="s">
        <v>6012</v>
      </c>
      <c r="L7816" s="14">
        <v>0.0</v>
      </c>
    </row>
    <row r="7817">
      <c r="A7817" s="14">
        <v>226.0</v>
      </c>
      <c r="B7817" s="14">
        <v>2.0</v>
      </c>
      <c r="C7817" s="34">
        <v>13.96</v>
      </c>
      <c r="D7817" s="36">
        <v>45829.0</v>
      </c>
      <c r="E7817" s="24"/>
      <c r="F7817" s="14">
        <v>6.98</v>
      </c>
      <c r="G7817" s="14">
        <v>61.77</v>
      </c>
      <c r="H7817" s="14">
        <v>0.88</v>
      </c>
      <c r="I7817" s="14" t="s">
        <v>6094</v>
      </c>
      <c r="J7817" s="14">
        <v>0.0</v>
      </c>
      <c r="K7817" s="14" t="s">
        <v>6012</v>
      </c>
      <c r="L7817" s="14">
        <v>0.0</v>
      </c>
    </row>
    <row r="7818">
      <c r="A7818" s="14">
        <v>446.0</v>
      </c>
      <c r="B7818" s="14">
        <v>3.0</v>
      </c>
      <c r="C7818" s="34">
        <v>14.51</v>
      </c>
      <c r="D7818" s="36">
        <v>45829.0</v>
      </c>
      <c r="E7818" s="24"/>
      <c r="F7818" s="14">
        <v>4.84</v>
      </c>
      <c r="G7818" s="14">
        <v>32.53</v>
      </c>
      <c r="H7818" s="14">
        <v>0.67</v>
      </c>
      <c r="I7818" s="14" t="s">
        <v>6091</v>
      </c>
      <c r="J7818" s="14">
        <v>0.0</v>
      </c>
      <c r="K7818" s="14" t="s">
        <v>6012</v>
      </c>
      <c r="L7818" s="14">
        <v>0.0</v>
      </c>
    </row>
    <row r="7819">
      <c r="A7819" s="14">
        <v>22.0</v>
      </c>
      <c r="B7819" s="14">
        <v>0.0</v>
      </c>
      <c r="C7819" s="34">
        <v>12.69</v>
      </c>
      <c r="D7819" s="36">
        <v>45829.0</v>
      </c>
      <c r="E7819" s="24"/>
      <c r="F7819" s="14" t="s">
        <v>6012</v>
      </c>
      <c r="G7819" s="14">
        <v>576.82</v>
      </c>
      <c r="H7819" s="14">
        <v>0.0</v>
      </c>
      <c r="I7819" s="14" t="s">
        <v>6097</v>
      </c>
      <c r="J7819" s="14" t="s">
        <v>6012</v>
      </c>
      <c r="K7819" s="14" t="s">
        <v>6012</v>
      </c>
      <c r="L7819" s="14">
        <v>0.0</v>
      </c>
    </row>
    <row r="7820">
      <c r="A7820" s="14">
        <v>472.0</v>
      </c>
      <c r="B7820" s="14">
        <v>1.0</v>
      </c>
      <c r="C7820" s="34">
        <v>11.07</v>
      </c>
      <c r="D7820" s="36">
        <v>45830.0</v>
      </c>
      <c r="E7820" s="24"/>
      <c r="F7820" s="14">
        <v>11.07</v>
      </c>
      <c r="G7820" s="14">
        <v>23.45</v>
      </c>
      <c r="H7820" s="14">
        <v>0.21</v>
      </c>
      <c r="I7820" s="14" t="s">
        <v>6091</v>
      </c>
      <c r="J7820" s="14">
        <v>0.0</v>
      </c>
      <c r="K7820" s="14" t="s">
        <v>6012</v>
      </c>
      <c r="L7820" s="14">
        <v>0.0</v>
      </c>
    </row>
    <row r="7821">
      <c r="A7821" s="14">
        <v>167.0</v>
      </c>
      <c r="B7821" s="14">
        <v>5.0</v>
      </c>
      <c r="C7821" s="34">
        <v>11.43</v>
      </c>
      <c r="D7821" s="36">
        <v>45830.0</v>
      </c>
      <c r="E7821" s="24"/>
      <c r="F7821" s="14">
        <v>2.29</v>
      </c>
      <c r="G7821" s="14">
        <v>68.44</v>
      </c>
      <c r="H7821" s="14">
        <v>2.99</v>
      </c>
      <c r="I7821" s="14" t="s">
        <v>6094</v>
      </c>
      <c r="J7821" s="14">
        <v>0.0</v>
      </c>
      <c r="K7821" s="14" t="s">
        <v>6012</v>
      </c>
      <c r="L7821" s="14">
        <v>0.0</v>
      </c>
    </row>
    <row r="7822">
      <c r="A7822" s="14">
        <v>10.0</v>
      </c>
      <c r="B7822" s="14">
        <v>1.0</v>
      </c>
      <c r="C7822" s="34">
        <v>3.21</v>
      </c>
      <c r="D7822" s="36">
        <v>45830.0</v>
      </c>
      <c r="E7822" s="24"/>
      <c r="F7822" s="14">
        <v>3.21</v>
      </c>
      <c r="G7822" s="14">
        <v>321.0</v>
      </c>
      <c r="H7822" s="14">
        <v>10.0</v>
      </c>
      <c r="I7822" s="14" t="s">
        <v>6097</v>
      </c>
      <c r="J7822" s="14">
        <v>0.0</v>
      </c>
      <c r="K7822" s="14" t="s">
        <v>6012</v>
      </c>
      <c r="L7822" s="14">
        <v>0.0</v>
      </c>
    </row>
    <row r="7823">
      <c r="A7823" s="14">
        <v>1934.0</v>
      </c>
      <c r="B7823" s="14">
        <v>2.0</v>
      </c>
      <c r="C7823" s="34">
        <v>24.76</v>
      </c>
      <c r="D7823" s="36">
        <v>45831.0</v>
      </c>
      <c r="E7823" s="24"/>
      <c r="F7823" s="14">
        <v>12.38</v>
      </c>
      <c r="G7823" s="14">
        <v>12.8</v>
      </c>
      <c r="H7823" s="14">
        <v>0.1</v>
      </c>
      <c r="I7823" s="14" t="s">
        <v>6091</v>
      </c>
      <c r="J7823" s="14">
        <v>0.0</v>
      </c>
      <c r="K7823" s="14" t="s">
        <v>6012</v>
      </c>
      <c r="L7823" s="14">
        <v>0.0</v>
      </c>
    </row>
    <row r="7824">
      <c r="A7824" s="14">
        <v>39.0</v>
      </c>
      <c r="B7824" s="14">
        <v>0.0</v>
      </c>
      <c r="C7824" s="34">
        <v>23.35</v>
      </c>
      <c r="D7824" s="36">
        <v>45831.0</v>
      </c>
      <c r="E7824" s="24"/>
      <c r="F7824" s="14" t="s">
        <v>6012</v>
      </c>
      <c r="G7824" s="14">
        <v>598.72</v>
      </c>
      <c r="H7824" s="14">
        <v>0.0</v>
      </c>
      <c r="I7824" s="14" t="s">
        <v>6097</v>
      </c>
      <c r="J7824" s="14" t="s">
        <v>6012</v>
      </c>
      <c r="K7824" s="14" t="s">
        <v>6012</v>
      </c>
      <c r="L7824" s="14">
        <v>0.0</v>
      </c>
    </row>
    <row r="7825">
      <c r="A7825" s="14">
        <v>899.0</v>
      </c>
      <c r="B7825" s="14">
        <v>18.0</v>
      </c>
      <c r="C7825" s="34">
        <v>23.96</v>
      </c>
      <c r="D7825" s="36">
        <v>45831.0</v>
      </c>
      <c r="E7825" s="24"/>
      <c r="F7825" s="14">
        <v>1.33</v>
      </c>
      <c r="G7825" s="14">
        <v>26.65</v>
      </c>
      <c r="H7825" s="14">
        <v>2.0</v>
      </c>
      <c r="I7825" s="14" t="s">
        <v>6094</v>
      </c>
      <c r="J7825" s="14">
        <v>0.0</v>
      </c>
      <c r="K7825" s="14" t="s">
        <v>6012</v>
      </c>
      <c r="L7825" s="14">
        <v>0.0</v>
      </c>
    </row>
    <row r="7826">
      <c r="A7826" s="14">
        <v>747.0</v>
      </c>
      <c r="B7826" s="14">
        <v>19.0</v>
      </c>
      <c r="C7826" s="34">
        <v>26.55</v>
      </c>
      <c r="D7826" s="36">
        <v>45832.0</v>
      </c>
      <c r="E7826" s="24"/>
      <c r="F7826" s="14">
        <v>1.4</v>
      </c>
      <c r="G7826" s="14">
        <v>35.54</v>
      </c>
      <c r="H7826" s="14">
        <v>2.54</v>
      </c>
      <c r="I7826" s="14" t="s">
        <v>6094</v>
      </c>
      <c r="J7826" s="14">
        <v>0.0</v>
      </c>
      <c r="K7826" s="14" t="s">
        <v>6012</v>
      </c>
      <c r="L7826" s="14">
        <v>0.0</v>
      </c>
    </row>
    <row r="7827">
      <c r="A7827" s="14">
        <v>2120.0</v>
      </c>
      <c r="B7827" s="14">
        <v>3.0</v>
      </c>
      <c r="C7827" s="34">
        <v>28.36</v>
      </c>
      <c r="D7827" s="36">
        <v>45832.0</v>
      </c>
      <c r="E7827" s="24"/>
      <c r="F7827" s="14">
        <v>9.45</v>
      </c>
      <c r="G7827" s="14">
        <v>13.38</v>
      </c>
      <c r="H7827" s="14">
        <v>0.14</v>
      </c>
      <c r="I7827" s="14" t="s">
        <v>6091</v>
      </c>
      <c r="J7827" s="14">
        <v>0.0</v>
      </c>
      <c r="K7827" s="14" t="s">
        <v>6012</v>
      </c>
      <c r="L7827" s="14">
        <v>0.0</v>
      </c>
    </row>
    <row r="7828">
      <c r="A7828" s="14">
        <v>36.0</v>
      </c>
      <c r="B7828" s="14">
        <v>0.0</v>
      </c>
      <c r="C7828" s="34">
        <v>27.42</v>
      </c>
      <c r="D7828" s="36">
        <v>45832.0</v>
      </c>
      <c r="E7828" s="24"/>
      <c r="F7828" s="14" t="s">
        <v>6012</v>
      </c>
      <c r="G7828" s="14">
        <v>761.67</v>
      </c>
      <c r="H7828" s="14">
        <v>0.0</v>
      </c>
      <c r="I7828" s="14" t="s">
        <v>6097</v>
      </c>
      <c r="J7828" s="14" t="s">
        <v>6012</v>
      </c>
      <c r="K7828" s="14" t="s">
        <v>6012</v>
      </c>
      <c r="L7828" s="14">
        <v>0.0</v>
      </c>
    </row>
    <row r="7829">
      <c r="A7829" s="14">
        <v>49.0</v>
      </c>
      <c r="B7829" s="14">
        <v>1.0</v>
      </c>
      <c r="C7829" s="34">
        <v>27.3</v>
      </c>
      <c r="D7829" s="36">
        <v>45833.0</v>
      </c>
      <c r="E7829" s="24"/>
      <c r="F7829" s="14">
        <v>27.3</v>
      </c>
      <c r="G7829" s="14">
        <v>557.14</v>
      </c>
      <c r="H7829" s="14">
        <v>2.04</v>
      </c>
      <c r="I7829" s="14" t="s">
        <v>6097</v>
      </c>
      <c r="J7829" s="14">
        <v>0.0</v>
      </c>
      <c r="K7829" s="14" t="s">
        <v>6012</v>
      </c>
      <c r="L7829" s="14">
        <v>0.0</v>
      </c>
    </row>
    <row r="7830">
      <c r="A7830" s="14">
        <v>240.0</v>
      </c>
      <c r="B7830" s="14">
        <v>2.0</v>
      </c>
      <c r="C7830" s="34">
        <v>9.84</v>
      </c>
      <c r="D7830" s="36">
        <v>45833.0</v>
      </c>
      <c r="E7830" s="24"/>
      <c r="F7830" s="14">
        <v>4.92</v>
      </c>
      <c r="G7830" s="14">
        <v>41.0</v>
      </c>
      <c r="H7830" s="14">
        <v>0.83</v>
      </c>
      <c r="I7830" s="14" t="s">
        <v>6094</v>
      </c>
      <c r="J7830" s="14">
        <v>0.0</v>
      </c>
      <c r="K7830" s="14" t="s">
        <v>6012</v>
      </c>
      <c r="L7830" s="14">
        <v>0.0</v>
      </c>
    </row>
    <row r="7831">
      <c r="A7831" s="14">
        <v>1273.0</v>
      </c>
      <c r="B7831" s="14">
        <v>3.0</v>
      </c>
      <c r="C7831" s="34">
        <v>29.86</v>
      </c>
      <c r="D7831" s="36">
        <v>45833.0</v>
      </c>
      <c r="E7831" s="24"/>
      <c r="F7831" s="14">
        <v>9.95</v>
      </c>
      <c r="G7831" s="14">
        <v>23.46</v>
      </c>
      <c r="H7831" s="14">
        <v>0.24</v>
      </c>
      <c r="I7831" s="14" t="s">
        <v>6091</v>
      </c>
      <c r="J7831" s="14">
        <v>0.0</v>
      </c>
      <c r="K7831" s="14" t="s">
        <v>6012</v>
      </c>
      <c r="L7831" s="14">
        <v>0.0</v>
      </c>
    </row>
    <row r="7832">
      <c r="A7832" s="14">
        <v>34.0</v>
      </c>
      <c r="B7832" s="14">
        <v>0.0</v>
      </c>
      <c r="C7832" s="34">
        <v>28.5</v>
      </c>
      <c r="D7832" s="36">
        <v>45834.0</v>
      </c>
      <c r="E7832" s="24"/>
      <c r="F7832" s="14" t="s">
        <v>6012</v>
      </c>
      <c r="G7832" s="14">
        <v>838.24</v>
      </c>
      <c r="H7832" s="14">
        <v>0.0</v>
      </c>
      <c r="I7832" s="14" t="s">
        <v>6097</v>
      </c>
      <c r="J7832" s="14" t="s">
        <v>6012</v>
      </c>
      <c r="K7832" s="14" t="s">
        <v>6012</v>
      </c>
      <c r="L7832" s="14">
        <v>0.0</v>
      </c>
    </row>
    <row r="7833">
      <c r="A7833" s="14">
        <v>1493.0</v>
      </c>
      <c r="B7833" s="14">
        <v>9.0</v>
      </c>
      <c r="C7833" s="34">
        <v>25.93</v>
      </c>
      <c r="D7833" s="36">
        <v>45834.0</v>
      </c>
      <c r="E7833" s="24"/>
      <c r="F7833" s="14">
        <v>2.88</v>
      </c>
      <c r="G7833" s="14">
        <v>17.37</v>
      </c>
      <c r="H7833" s="14">
        <v>0.6</v>
      </c>
      <c r="I7833" s="14" t="s">
        <v>6091</v>
      </c>
      <c r="J7833" s="14">
        <v>0.0</v>
      </c>
      <c r="K7833" s="14" t="s">
        <v>6012</v>
      </c>
      <c r="L7833" s="14">
        <v>0.0</v>
      </c>
    </row>
    <row r="7834">
      <c r="A7834" s="14">
        <v>24.0</v>
      </c>
      <c r="B7834" s="14">
        <v>1.0</v>
      </c>
      <c r="C7834" s="34">
        <v>20.11</v>
      </c>
      <c r="D7834" s="36">
        <v>45835.0</v>
      </c>
      <c r="E7834" s="24"/>
      <c r="F7834" s="14">
        <v>20.11</v>
      </c>
      <c r="G7834" s="14">
        <v>837.92</v>
      </c>
      <c r="H7834" s="14">
        <v>4.17</v>
      </c>
      <c r="I7834" s="14" t="s">
        <v>6097</v>
      </c>
      <c r="J7834" s="14">
        <v>0.0</v>
      </c>
      <c r="K7834" s="14" t="s">
        <v>6012</v>
      </c>
      <c r="L7834" s="14">
        <v>0.0</v>
      </c>
    </row>
    <row r="7835">
      <c r="A7835" s="14">
        <v>1454.0</v>
      </c>
      <c r="B7835" s="14">
        <v>0.0</v>
      </c>
      <c r="C7835" s="34">
        <v>24.28</v>
      </c>
      <c r="D7835" s="36">
        <v>45835.0</v>
      </c>
      <c r="E7835" s="24"/>
      <c r="F7835" s="14" t="s">
        <v>6012</v>
      </c>
      <c r="G7835" s="14">
        <v>16.7</v>
      </c>
      <c r="H7835" s="14">
        <v>0.0</v>
      </c>
      <c r="I7835" s="14" t="s">
        <v>6091</v>
      </c>
      <c r="J7835" s="14" t="s">
        <v>6012</v>
      </c>
      <c r="K7835" s="14" t="s">
        <v>6012</v>
      </c>
      <c r="L7835" s="14">
        <v>0.0</v>
      </c>
    </row>
    <row r="7836">
      <c r="A7836" s="14">
        <v>657.0</v>
      </c>
      <c r="B7836" s="14">
        <v>0.0</v>
      </c>
      <c r="C7836" s="34">
        <v>14.34</v>
      </c>
      <c r="D7836" s="36">
        <v>45836.0</v>
      </c>
      <c r="E7836" s="24"/>
      <c r="F7836" s="14" t="s">
        <v>6012</v>
      </c>
      <c r="G7836" s="14">
        <v>21.83</v>
      </c>
      <c r="H7836" s="14">
        <v>0.0</v>
      </c>
      <c r="I7836" s="14" t="s">
        <v>6091</v>
      </c>
      <c r="J7836" s="14" t="s">
        <v>6012</v>
      </c>
      <c r="K7836" s="14" t="s">
        <v>6012</v>
      </c>
      <c r="L7836" s="14">
        <v>0.0</v>
      </c>
    </row>
    <row r="7837">
      <c r="A7837" s="14">
        <v>9.0</v>
      </c>
      <c r="B7837" s="14">
        <v>1.0</v>
      </c>
      <c r="C7837" s="34">
        <v>6.32</v>
      </c>
      <c r="D7837" s="36">
        <v>45836.0</v>
      </c>
      <c r="E7837" s="24"/>
      <c r="F7837" s="14">
        <v>6.32</v>
      </c>
      <c r="G7837" s="14">
        <v>702.22</v>
      </c>
      <c r="H7837" s="14">
        <v>11.11</v>
      </c>
      <c r="I7837" s="14" t="s">
        <v>6097</v>
      </c>
      <c r="J7837" s="14">
        <v>0.0</v>
      </c>
      <c r="K7837" s="14" t="s">
        <v>6012</v>
      </c>
      <c r="L7837" s="14">
        <v>0.0</v>
      </c>
    </row>
    <row r="7838">
      <c r="A7838" s="14">
        <v>685.0</v>
      </c>
      <c r="B7838" s="14">
        <v>2.0</v>
      </c>
      <c r="C7838" s="34">
        <v>12.07</v>
      </c>
      <c r="D7838" s="36">
        <v>45837.0</v>
      </c>
      <c r="E7838" s="24"/>
      <c r="F7838" s="14">
        <v>6.04</v>
      </c>
      <c r="G7838" s="14">
        <v>17.62</v>
      </c>
      <c r="H7838" s="14">
        <v>0.29</v>
      </c>
      <c r="I7838" s="14" t="s">
        <v>6091</v>
      </c>
      <c r="J7838" s="14">
        <v>0.0</v>
      </c>
      <c r="K7838" s="14" t="s">
        <v>6012</v>
      </c>
      <c r="L7838" s="14">
        <v>0.0</v>
      </c>
    </row>
    <row r="7839">
      <c r="A7839" s="14">
        <v>22.0</v>
      </c>
      <c r="B7839" s="14">
        <v>0.0</v>
      </c>
      <c r="C7839" s="34">
        <v>28.5</v>
      </c>
      <c r="D7839" s="36">
        <v>45838.0</v>
      </c>
      <c r="E7839" s="24"/>
      <c r="F7839" s="14" t="s">
        <v>6012</v>
      </c>
      <c r="G7839" s="14">
        <v>1295.45</v>
      </c>
      <c r="H7839" s="14">
        <v>0.0</v>
      </c>
      <c r="I7839" s="14" t="s">
        <v>6097</v>
      </c>
      <c r="J7839" s="14" t="s">
        <v>6012</v>
      </c>
      <c r="K7839" s="14" t="s">
        <v>6012</v>
      </c>
      <c r="L7839" s="14">
        <v>0.0</v>
      </c>
    </row>
    <row r="7840">
      <c r="A7840" s="14">
        <v>2029.0</v>
      </c>
      <c r="B7840" s="14">
        <v>3.0</v>
      </c>
      <c r="C7840" s="34">
        <v>26.11</v>
      </c>
      <c r="D7840" s="36">
        <v>45838.0</v>
      </c>
      <c r="E7840" s="24"/>
      <c r="F7840" s="14">
        <v>8.7</v>
      </c>
      <c r="G7840" s="14">
        <v>12.87</v>
      </c>
      <c r="H7840" s="14">
        <v>0.15</v>
      </c>
      <c r="I7840" s="14" t="s">
        <v>6091</v>
      </c>
      <c r="J7840" s="14">
        <v>0.0</v>
      </c>
      <c r="K7840" s="14" t="s">
        <v>6012</v>
      </c>
      <c r="L7840" s="14">
        <v>0.0</v>
      </c>
    </row>
    <row r="7841">
      <c r="A7841" s="14">
        <v>2651.0</v>
      </c>
      <c r="B7841" s="14">
        <v>6.0</v>
      </c>
      <c r="C7841" s="34">
        <v>28.13</v>
      </c>
      <c r="D7841" s="36">
        <v>45839.0</v>
      </c>
      <c r="E7841" s="24"/>
      <c r="F7841" s="14">
        <v>4.69</v>
      </c>
      <c r="G7841" s="14">
        <v>10.61</v>
      </c>
      <c r="H7841" s="14">
        <v>0.23</v>
      </c>
      <c r="I7841" s="14" t="s">
        <v>6091</v>
      </c>
      <c r="J7841" s="14">
        <v>0.0</v>
      </c>
      <c r="K7841" s="14" t="s">
        <v>6012</v>
      </c>
      <c r="L7841" s="14">
        <v>0.0</v>
      </c>
    </row>
    <row r="7842">
      <c r="A7842" s="14">
        <v>29.0</v>
      </c>
      <c r="B7842" s="14">
        <v>0.0</v>
      </c>
      <c r="C7842" s="34">
        <v>28.5</v>
      </c>
      <c r="D7842" s="36">
        <v>45839.0</v>
      </c>
      <c r="E7842" s="24"/>
      <c r="F7842" s="14" t="s">
        <v>6012</v>
      </c>
      <c r="G7842" s="14">
        <v>982.76</v>
      </c>
      <c r="H7842" s="14">
        <v>0.0</v>
      </c>
      <c r="I7842" s="14" t="s">
        <v>6097</v>
      </c>
      <c r="J7842" s="14" t="s">
        <v>6012</v>
      </c>
      <c r="K7842" s="14" t="s">
        <v>6012</v>
      </c>
      <c r="L7842" s="14">
        <v>0.0</v>
      </c>
    </row>
    <row r="7843">
      <c r="A7843" s="14">
        <v>1847.0</v>
      </c>
      <c r="B7843" s="14">
        <v>10.0</v>
      </c>
      <c r="C7843" s="34">
        <v>27.83</v>
      </c>
      <c r="D7843" s="36">
        <v>45840.0</v>
      </c>
      <c r="E7843" s="24"/>
      <c r="F7843" s="14">
        <v>2.78</v>
      </c>
      <c r="G7843" s="14">
        <v>15.07</v>
      </c>
      <c r="H7843" s="14">
        <v>0.54</v>
      </c>
      <c r="I7843" s="14" t="s">
        <v>6091</v>
      </c>
      <c r="J7843" s="14">
        <v>0.0</v>
      </c>
      <c r="K7843" s="14" t="s">
        <v>6012</v>
      </c>
      <c r="L7843" s="14">
        <v>0.0</v>
      </c>
    </row>
    <row r="7844">
      <c r="A7844" s="14">
        <v>26.0</v>
      </c>
      <c r="B7844" s="14">
        <v>0.0</v>
      </c>
      <c r="C7844" s="34">
        <v>28.15</v>
      </c>
      <c r="D7844" s="36">
        <v>45840.0</v>
      </c>
      <c r="E7844" s="24"/>
      <c r="F7844" s="14" t="s">
        <v>6012</v>
      </c>
      <c r="G7844" s="14">
        <v>1082.69</v>
      </c>
      <c r="H7844" s="14">
        <v>0.0</v>
      </c>
      <c r="I7844" s="14" t="s">
        <v>6097</v>
      </c>
      <c r="J7844" s="14" t="s">
        <v>6012</v>
      </c>
      <c r="K7844" s="14" t="s">
        <v>6012</v>
      </c>
      <c r="L7844" s="14">
        <v>0.0</v>
      </c>
    </row>
    <row r="7845">
      <c r="A7845" s="14">
        <v>1551.0</v>
      </c>
      <c r="B7845" s="14">
        <v>6.0</v>
      </c>
      <c r="C7845" s="34">
        <v>26.47</v>
      </c>
      <c r="D7845" s="36">
        <v>45841.0</v>
      </c>
      <c r="E7845" s="24"/>
      <c r="F7845" s="14">
        <v>4.41</v>
      </c>
      <c r="G7845" s="14">
        <v>17.07</v>
      </c>
      <c r="H7845" s="14">
        <v>0.39</v>
      </c>
      <c r="I7845" s="14" t="s">
        <v>6091</v>
      </c>
      <c r="J7845" s="14">
        <v>0.0</v>
      </c>
      <c r="K7845" s="14" t="s">
        <v>6012</v>
      </c>
      <c r="L7845" s="14">
        <v>0.0</v>
      </c>
    </row>
    <row r="7846">
      <c r="A7846" s="14">
        <v>18.0</v>
      </c>
      <c r="B7846" s="14">
        <v>1.0</v>
      </c>
      <c r="C7846" s="34">
        <v>26.27</v>
      </c>
      <c r="D7846" s="36">
        <v>45841.0</v>
      </c>
      <c r="E7846" s="24"/>
      <c r="F7846" s="14">
        <v>26.27</v>
      </c>
      <c r="G7846" s="14">
        <v>1459.44</v>
      </c>
      <c r="H7846" s="14">
        <v>5.56</v>
      </c>
      <c r="I7846" s="14" t="s">
        <v>6097</v>
      </c>
      <c r="J7846" s="14">
        <v>0.0</v>
      </c>
      <c r="K7846" s="14" t="s">
        <v>6012</v>
      </c>
      <c r="L7846" s="14">
        <v>0.0</v>
      </c>
    </row>
    <row r="7847">
      <c r="A7847" s="14">
        <v>1159.0</v>
      </c>
      <c r="B7847" s="14">
        <v>4.0</v>
      </c>
      <c r="C7847" s="34">
        <v>24.71</v>
      </c>
      <c r="D7847" s="36">
        <v>45842.0</v>
      </c>
      <c r="E7847" s="24"/>
      <c r="F7847" s="14">
        <v>6.18</v>
      </c>
      <c r="G7847" s="14">
        <v>21.32</v>
      </c>
      <c r="H7847" s="14">
        <v>0.35</v>
      </c>
      <c r="I7847" s="14" t="s">
        <v>6091</v>
      </c>
      <c r="J7847" s="14">
        <v>0.0</v>
      </c>
      <c r="K7847" s="14" t="s">
        <v>6012</v>
      </c>
      <c r="L7847" s="14">
        <v>0.0</v>
      </c>
    </row>
    <row r="7848">
      <c r="A7848" s="14">
        <v>14.0</v>
      </c>
      <c r="B7848" s="14">
        <v>0.0</v>
      </c>
      <c r="C7848" s="34">
        <v>21.58</v>
      </c>
      <c r="D7848" s="36">
        <v>45842.0</v>
      </c>
      <c r="E7848" s="24"/>
      <c r="F7848" s="14" t="s">
        <v>6012</v>
      </c>
      <c r="G7848" s="14">
        <v>1541.43</v>
      </c>
      <c r="H7848" s="14">
        <v>0.0</v>
      </c>
      <c r="I7848" s="14" t="s">
        <v>6097</v>
      </c>
      <c r="J7848" s="14" t="s">
        <v>6012</v>
      </c>
      <c r="K7848" s="14" t="s">
        <v>6012</v>
      </c>
      <c r="L7848" s="14">
        <v>0.0</v>
      </c>
    </row>
    <row r="7849">
      <c r="A7849" s="14">
        <v>549.0</v>
      </c>
      <c r="B7849" s="14">
        <v>5.0</v>
      </c>
      <c r="C7849" s="34">
        <v>14.56</v>
      </c>
      <c r="D7849" s="36">
        <v>45843.0</v>
      </c>
      <c r="E7849" s="24"/>
      <c r="F7849" s="14">
        <v>2.91</v>
      </c>
      <c r="G7849" s="14">
        <v>26.52</v>
      </c>
      <c r="H7849" s="14">
        <v>0.91</v>
      </c>
      <c r="I7849" s="14" t="s">
        <v>6091</v>
      </c>
      <c r="J7849" s="14">
        <v>0.0</v>
      </c>
      <c r="K7849" s="14" t="s">
        <v>6012</v>
      </c>
      <c r="L7849" s="14">
        <v>0.0</v>
      </c>
    </row>
    <row r="7850">
      <c r="A7850" s="14">
        <v>547.0</v>
      </c>
      <c r="B7850" s="14">
        <v>2.0</v>
      </c>
      <c r="C7850" s="34">
        <v>11.79</v>
      </c>
      <c r="D7850" s="36">
        <v>45844.0</v>
      </c>
      <c r="E7850" s="24"/>
      <c r="F7850" s="14">
        <v>5.9</v>
      </c>
      <c r="G7850" s="14">
        <v>21.55</v>
      </c>
      <c r="H7850" s="14">
        <v>0.37</v>
      </c>
      <c r="I7850" s="14" t="s">
        <v>6091</v>
      </c>
      <c r="J7850" s="14">
        <v>0.0</v>
      </c>
      <c r="K7850" s="14" t="s">
        <v>6012</v>
      </c>
      <c r="L7850" s="14">
        <v>0.0</v>
      </c>
    </row>
    <row r="7851">
      <c r="A7851" s="14">
        <v>667.0</v>
      </c>
      <c r="B7851" s="14">
        <v>3.0</v>
      </c>
      <c r="C7851" s="34">
        <v>27.98</v>
      </c>
      <c r="D7851" s="36">
        <v>45845.0</v>
      </c>
      <c r="E7851" s="24"/>
      <c r="F7851" s="14">
        <v>9.33</v>
      </c>
      <c r="G7851" s="14">
        <v>41.95</v>
      </c>
      <c r="H7851" s="14">
        <v>0.45</v>
      </c>
      <c r="I7851" s="14" t="s">
        <v>6091</v>
      </c>
      <c r="J7851" s="14">
        <v>0.0</v>
      </c>
      <c r="K7851" s="14" t="s">
        <v>6012</v>
      </c>
      <c r="L7851" s="14">
        <v>0.0</v>
      </c>
    </row>
    <row r="7852">
      <c r="A7852" s="14">
        <v>21.0</v>
      </c>
      <c r="B7852" s="14">
        <v>1.0</v>
      </c>
      <c r="C7852" s="34">
        <v>28.5</v>
      </c>
      <c r="D7852" s="36">
        <v>45845.0</v>
      </c>
      <c r="E7852" s="24"/>
      <c r="F7852" s="14">
        <v>28.5</v>
      </c>
      <c r="G7852" s="14">
        <v>1357.14</v>
      </c>
      <c r="H7852" s="14">
        <v>4.76</v>
      </c>
      <c r="I7852" s="14" t="s">
        <v>6097</v>
      </c>
      <c r="J7852" s="14">
        <v>0.0</v>
      </c>
      <c r="K7852" s="14" t="s">
        <v>6012</v>
      </c>
      <c r="L7852" s="14">
        <v>0.0</v>
      </c>
    </row>
    <row r="7853">
      <c r="A7853" s="14">
        <v>19.0</v>
      </c>
      <c r="B7853" s="14">
        <v>0.0</v>
      </c>
      <c r="C7853" s="34">
        <v>28.5</v>
      </c>
      <c r="D7853" s="36">
        <v>45846.0</v>
      </c>
      <c r="E7853" s="24"/>
      <c r="F7853" s="14" t="s">
        <v>6012</v>
      </c>
      <c r="G7853" s="14">
        <v>1500.0</v>
      </c>
      <c r="H7853" s="14">
        <v>0.0</v>
      </c>
      <c r="I7853" s="14" t="s">
        <v>6097</v>
      </c>
      <c r="J7853" s="14" t="s">
        <v>6012</v>
      </c>
      <c r="K7853" s="14" t="s">
        <v>6012</v>
      </c>
      <c r="L7853" s="14">
        <v>0.0</v>
      </c>
    </row>
    <row r="7854">
      <c r="A7854" s="14">
        <v>341.0</v>
      </c>
      <c r="B7854" s="14">
        <v>8.0</v>
      </c>
      <c r="C7854" s="34">
        <v>30.6</v>
      </c>
      <c r="D7854" s="36">
        <v>45846.0</v>
      </c>
      <c r="E7854" s="24"/>
      <c r="F7854" s="14">
        <v>3.82</v>
      </c>
      <c r="G7854" s="14">
        <v>89.74</v>
      </c>
      <c r="H7854" s="14">
        <v>2.35</v>
      </c>
      <c r="I7854" s="14" t="s">
        <v>6091</v>
      </c>
      <c r="J7854" s="14">
        <v>0.0</v>
      </c>
      <c r="K7854" s="14" t="s">
        <v>6012</v>
      </c>
      <c r="L7854" s="14">
        <v>0.0</v>
      </c>
    </row>
    <row r="7855">
      <c r="A7855" s="14">
        <v>14.0</v>
      </c>
      <c r="B7855" s="14">
        <v>0.0</v>
      </c>
      <c r="C7855" s="34">
        <v>28.5</v>
      </c>
      <c r="D7855" s="36">
        <v>45847.0</v>
      </c>
      <c r="E7855" s="24"/>
      <c r="F7855" s="14" t="s">
        <v>6012</v>
      </c>
      <c r="G7855" s="14">
        <v>2035.71</v>
      </c>
      <c r="H7855" s="14">
        <v>0.0</v>
      </c>
      <c r="I7855" s="14" t="s">
        <v>6097</v>
      </c>
      <c r="J7855" s="14" t="s">
        <v>6012</v>
      </c>
      <c r="K7855" s="14" t="s">
        <v>6012</v>
      </c>
      <c r="L7855" s="14">
        <v>0.0</v>
      </c>
    </row>
    <row r="7856">
      <c r="A7856" s="14">
        <v>321.0</v>
      </c>
      <c r="B7856" s="14">
        <v>3.0</v>
      </c>
      <c r="C7856" s="34">
        <v>29.92</v>
      </c>
      <c r="D7856" s="36">
        <v>45847.0</v>
      </c>
      <c r="E7856" s="24"/>
      <c r="F7856" s="14">
        <v>9.97</v>
      </c>
      <c r="G7856" s="14">
        <v>93.21</v>
      </c>
      <c r="H7856" s="14">
        <v>0.93</v>
      </c>
      <c r="I7856" s="14" t="s">
        <v>6091</v>
      </c>
      <c r="J7856" s="14">
        <v>0.0</v>
      </c>
      <c r="K7856" s="14" t="s">
        <v>6012</v>
      </c>
      <c r="L7856" s="14">
        <v>0.0</v>
      </c>
    </row>
    <row r="7857">
      <c r="A7857" s="14">
        <v>19.0</v>
      </c>
      <c r="B7857" s="14">
        <v>0.0</v>
      </c>
      <c r="C7857" s="34">
        <v>28.5</v>
      </c>
      <c r="D7857" s="36">
        <v>45848.0</v>
      </c>
      <c r="E7857" s="24"/>
      <c r="F7857" s="14" t="s">
        <v>6012</v>
      </c>
      <c r="G7857" s="14">
        <v>1500.0</v>
      </c>
      <c r="H7857" s="14">
        <v>0.0</v>
      </c>
      <c r="I7857" s="14" t="s">
        <v>6097</v>
      </c>
      <c r="J7857" s="14" t="s">
        <v>6012</v>
      </c>
      <c r="K7857" s="14" t="s">
        <v>6012</v>
      </c>
      <c r="L7857" s="14">
        <v>0.0</v>
      </c>
    </row>
    <row r="7858">
      <c r="A7858" s="14">
        <v>366.0</v>
      </c>
      <c r="B7858" s="14">
        <v>6.0</v>
      </c>
      <c r="C7858" s="34">
        <v>26.99</v>
      </c>
      <c r="D7858" s="36">
        <v>45848.0</v>
      </c>
      <c r="E7858" s="24"/>
      <c r="F7858" s="14">
        <v>4.5</v>
      </c>
      <c r="G7858" s="14">
        <v>73.74</v>
      </c>
      <c r="H7858" s="14">
        <v>1.64</v>
      </c>
      <c r="I7858" s="14" t="s">
        <v>6091</v>
      </c>
      <c r="J7858" s="14">
        <v>0.0</v>
      </c>
      <c r="K7858" s="14" t="s">
        <v>6012</v>
      </c>
      <c r="L7858" s="14">
        <v>0.0</v>
      </c>
    </row>
    <row r="7859">
      <c r="A7859" s="14">
        <v>17.0</v>
      </c>
      <c r="B7859" s="14">
        <v>0.0</v>
      </c>
      <c r="C7859" s="34">
        <v>19.0</v>
      </c>
      <c r="D7859" s="36">
        <v>45849.0</v>
      </c>
      <c r="E7859" s="24"/>
      <c r="F7859" s="14" t="s">
        <v>6012</v>
      </c>
      <c r="G7859" s="14">
        <v>1117.65</v>
      </c>
      <c r="H7859" s="14">
        <v>0.0</v>
      </c>
      <c r="I7859" s="14" t="s">
        <v>6097</v>
      </c>
      <c r="J7859" s="14" t="s">
        <v>6012</v>
      </c>
      <c r="K7859" s="14" t="s">
        <v>6012</v>
      </c>
      <c r="L7859" s="14">
        <v>0.0</v>
      </c>
    </row>
    <row r="7860">
      <c r="A7860" s="14">
        <v>338.0</v>
      </c>
      <c r="B7860" s="14">
        <v>3.0</v>
      </c>
      <c r="C7860" s="34">
        <v>24.61</v>
      </c>
      <c r="D7860" s="36">
        <v>45849.0</v>
      </c>
      <c r="E7860" s="24"/>
      <c r="F7860" s="14">
        <v>8.2</v>
      </c>
      <c r="G7860" s="14">
        <v>72.81</v>
      </c>
      <c r="H7860" s="14">
        <v>0.89</v>
      </c>
      <c r="I7860" s="14" t="s">
        <v>6091</v>
      </c>
      <c r="J7860" s="14">
        <v>0.0</v>
      </c>
      <c r="K7860" s="14" t="s">
        <v>6012</v>
      </c>
      <c r="L7860" s="14">
        <v>0.0</v>
      </c>
    </row>
    <row r="7861">
      <c r="A7861" s="14">
        <v>269.0</v>
      </c>
      <c r="B7861" s="14">
        <v>6.0</v>
      </c>
      <c r="C7861" s="34">
        <v>16.5</v>
      </c>
      <c r="D7861" s="36">
        <v>45850.0</v>
      </c>
      <c r="E7861" s="24"/>
      <c r="F7861" s="14">
        <v>2.75</v>
      </c>
      <c r="G7861" s="14">
        <v>61.34</v>
      </c>
      <c r="H7861" s="14">
        <v>2.23</v>
      </c>
      <c r="I7861" s="14" t="s">
        <v>6091</v>
      </c>
      <c r="J7861" s="14">
        <v>0.0</v>
      </c>
      <c r="K7861" s="14" t="s">
        <v>6012</v>
      </c>
      <c r="L7861" s="14">
        <v>0.0</v>
      </c>
    </row>
    <row r="7862">
      <c r="A7862" s="14">
        <v>56.0</v>
      </c>
      <c r="B7862" s="14">
        <v>1.0</v>
      </c>
      <c r="C7862" s="34">
        <v>3.0</v>
      </c>
      <c r="D7862" s="36">
        <v>45851.0</v>
      </c>
      <c r="E7862" s="24"/>
      <c r="F7862" s="14">
        <v>3.0</v>
      </c>
      <c r="G7862" s="14">
        <v>53.57</v>
      </c>
      <c r="H7862" s="14">
        <v>1.79</v>
      </c>
      <c r="I7862" s="14" t="s">
        <v>6091</v>
      </c>
      <c r="J7862" s="14">
        <v>0.0</v>
      </c>
      <c r="K7862" s="14" t="s">
        <v>6012</v>
      </c>
      <c r="L7862" s="14">
        <v>0.0</v>
      </c>
    </row>
    <row r="7863">
      <c r="A7863" s="14">
        <v>356.0</v>
      </c>
      <c r="B7863" s="14">
        <v>6.0</v>
      </c>
      <c r="C7863" s="34">
        <v>26.63</v>
      </c>
      <c r="D7863" s="36">
        <v>45852.0</v>
      </c>
      <c r="E7863" s="24"/>
      <c r="F7863" s="14">
        <v>4.44</v>
      </c>
      <c r="G7863" s="14">
        <v>74.8</v>
      </c>
      <c r="H7863" s="14">
        <v>1.69</v>
      </c>
      <c r="I7863" s="14" t="s">
        <v>6091</v>
      </c>
      <c r="J7863" s="14">
        <v>0.0</v>
      </c>
      <c r="K7863" s="14" t="s">
        <v>6012</v>
      </c>
      <c r="L7863" s="14">
        <v>0.0</v>
      </c>
    </row>
    <row r="7864">
      <c r="A7864" s="14">
        <v>912.0</v>
      </c>
      <c r="B7864" s="14">
        <v>15.0</v>
      </c>
      <c r="C7864" s="34">
        <v>20.64</v>
      </c>
      <c r="D7864" s="36">
        <v>45852.0</v>
      </c>
      <c r="E7864" s="24"/>
      <c r="F7864" s="14">
        <v>1.38</v>
      </c>
      <c r="G7864" s="14">
        <v>22.63</v>
      </c>
      <c r="H7864" s="14">
        <v>1.64</v>
      </c>
      <c r="I7864" s="14" t="s">
        <v>6098</v>
      </c>
      <c r="J7864" s="14">
        <v>0.0</v>
      </c>
      <c r="K7864" s="14" t="s">
        <v>6012</v>
      </c>
      <c r="L7864" s="14">
        <v>0.0</v>
      </c>
    </row>
    <row r="7865">
      <c r="A7865" s="14">
        <v>18.0</v>
      </c>
      <c r="B7865" s="14">
        <v>1.0</v>
      </c>
      <c r="C7865" s="34">
        <v>28.5</v>
      </c>
      <c r="D7865" s="36">
        <v>45852.0</v>
      </c>
      <c r="E7865" s="24"/>
      <c r="F7865" s="14">
        <v>28.5</v>
      </c>
      <c r="G7865" s="14">
        <v>1583.33</v>
      </c>
      <c r="H7865" s="14">
        <v>5.56</v>
      </c>
      <c r="I7865" s="14" t="s">
        <v>6097</v>
      </c>
      <c r="J7865" s="14">
        <v>0.0</v>
      </c>
      <c r="K7865" s="14" t="s">
        <v>6012</v>
      </c>
      <c r="L7865" s="14">
        <v>0.0</v>
      </c>
    </row>
    <row r="7866">
      <c r="A7866" s="14">
        <v>749.0</v>
      </c>
      <c r="B7866" s="14">
        <v>23.0</v>
      </c>
      <c r="C7866" s="34">
        <v>23.88</v>
      </c>
      <c r="D7866" s="36">
        <v>45853.0</v>
      </c>
      <c r="E7866" s="24"/>
      <c r="F7866" s="14">
        <v>1.04</v>
      </c>
      <c r="G7866" s="14">
        <v>31.88</v>
      </c>
      <c r="H7866" s="14">
        <v>3.07</v>
      </c>
      <c r="I7866" s="14" t="s">
        <v>6098</v>
      </c>
      <c r="J7866" s="14">
        <v>0.0</v>
      </c>
      <c r="K7866" s="14" t="s">
        <v>6012</v>
      </c>
      <c r="L7866" s="14">
        <v>0.0</v>
      </c>
    </row>
    <row r="7867">
      <c r="A7867" s="14">
        <v>357.0</v>
      </c>
      <c r="B7867" s="14">
        <v>8.0</v>
      </c>
      <c r="C7867" s="34">
        <v>31.24</v>
      </c>
      <c r="D7867" s="36">
        <v>45853.0</v>
      </c>
      <c r="E7867" s="24"/>
      <c r="F7867" s="14">
        <v>3.9</v>
      </c>
      <c r="G7867" s="14">
        <v>87.51</v>
      </c>
      <c r="H7867" s="14">
        <v>2.24</v>
      </c>
      <c r="I7867" s="14" t="s">
        <v>6091</v>
      </c>
      <c r="J7867" s="14">
        <v>0.0</v>
      </c>
      <c r="K7867" s="14" t="s">
        <v>6012</v>
      </c>
      <c r="L7867" s="14">
        <v>0.0</v>
      </c>
    </row>
    <row r="7868">
      <c r="A7868" s="14">
        <v>16.0</v>
      </c>
      <c r="B7868" s="14">
        <v>0.0</v>
      </c>
      <c r="C7868" s="34">
        <v>28.5</v>
      </c>
      <c r="D7868" s="36">
        <v>45853.0</v>
      </c>
      <c r="E7868" s="24"/>
      <c r="F7868" s="14" t="s">
        <v>6012</v>
      </c>
      <c r="G7868" s="14">
        <v>1781.25</v>
      </c>
      <c r="H7868" s="14">
        <v>0.0</v>
      </c>
      <c r="I7868" s="14" t="s">
        <v>6097</v>
      </c>
      <c r="J7868" s="14" t="s">
        <v>6012</v>
      </c>
      <c r="K7868" s="14" t="s">
        <v>6012</v>
      </c>
      <c r="L7868" s="14">
        <v>0.0</v>
      </c>
    </row>
    <row r="7869">
      <c r="A7869" s="14">
        <v>447.0</v>
      </c>
      <c r="B7869" s="14">
        <v>7.0</v>
      </c>
      <c r="C7869" s="34">
        <v>24.08</v>
      </c>
      <c r="D7869" s="36">
        <v>45854.0</v>
      </c>
      <c r="E7869" s="24"/>
      <c r="F7869" s="14">
        <v>3.44</v>
      </c>
      <c r="G7869" s="14">
        <v>53.87</v>
      </c>
      <c r="H7869" s="14">
        <v>1.57</v>
      </c>
      <c r="I7869" s="14" t="s">
        <v>6098</v>
      </c>
      <c r="J7869" s="14">
        <v>0.0</v>
      </c>
      <c r="K7869" s="14" t="s">
        <v>6012</v>
      </c>
      <c r="L7869" s="14">
        <v>0.0</v>
      </c>
    </row>
    <row r="7870">
      <c r="A7870" s="14">
        <v>372.0</v>
      </c>
      <c r="B7870" s="14">
        <v>11.0</v>
      </c>
      <c r="C7870" s="34">
        <v>28.3</v>
      </c>
      <c r="D7870" s="36">
        <v>45854.0</v>
      </c>
      <c r="E7870" s="24"/>
      <c r="F7870" s="14">
        <v>2.57</v>
      </c>
      <c r="G7870" s="14">
        <v>76.08</v>
      </c>
      <c r="H7870" s="14">
        <v>2.96</v>
      </c>
      <c r="I7870" s="14" t="s">
        <v>6091</v>
      </c>
      <c r="J7870" s="14">
        <v>0.0</v>
      </c>
      <c r="K7870" s="14" t="s">
        <v>6012</v>
      </c>
      <c r="L7870" s="14">
        <v>0.0</v>
      </c>
    </row>
    <row r="7871">
      <c r="A7871" s="14">
        <v>20.0</v>
      </c>
      <c r="B7871" s="14">
        <v>0.0</v>
      </c>
      <c r="C7871" s="34">
        <v>28.5</v>
      </c>
      <c r="D7871" s="36">
        <v>45854.0</v>
      </c>
      <c r="E7871" s="24"/>
      <c r="F7871" s="14" t="s">
        <v>6012</v>
      </c>
      <c r="G7871" s="14">
        <v>1425.0</v>
      </c>
      <c r="H7871" s="14">
        <v>0.0</v>
      </c>
      <c r="I7871" s="14" t="s">
        <v>6097</v>
      </c>
      <c r="J7871" s="14" t="s">
        <v>6012</v>
      </c>
      <c r="K7871" s="14" t="s">
        <v>6012</v>
      </c>
      <c r="L7871" s="14">
        <v>0.0</v>
      </c>
    </row>
    <row r="7872">
      <c r="A7872" s="14">
        <v>391.0</v>
      </c>
      <c r="B7872" s="14">
        <v>10.0</v>
      </c>
      <c r="C7872" s="34">
        <v>23.26</v>
      </c>
      <c r="D7872" s="36">
        <v>45855.0</v>
      </c>
      <c r="E7872" s="24"/>
      <c r="F7872" s="14">
        <v>2.33</v>
      </c>
      <c r="G7872" s="14">
        <v>59.49</v>
      </c>
      <c r="H7872" s="14">
        <v>2.56</v>
      </c>
      <c r="I7872" s="14" t="s">
        <v>6098</v>
      </c>
      <c r="J7872" s="14">
        <v>0.0</v>
      </c>
      <c r="K7872" s="14" t="s">
        <v>6012</v>
      </c>
      <c r="L7872" s="14">
        <v>0.0</v>
      </c>
    </row>
    <row r="7873">
      <c r="A7873" s="14">
        <v>17.0</v>
      </c>
      <c r="B7873" s="14">
        <v>0.0</v>
      </c>
      <c r="C7873" s="34">
        <v>27.42</v>
      </c>
      <c r="D7873" s="36">
        <v>45855.0</v>
      </c>
      <c r="E7873" s="24"/>
      <c r="F7873" s="14" t="s">
        <v>6012</v>
      </c>
      <c r="G7873" s="14">
        <v>1612.94</v>
      </c>
      <c r="H7873" s="14">
        <v>0.0</v>
      </c>
      <c r="I7873" s="14" t="s">
        <v>6097</v>
      </c>
      <c r="J7873" s="14" t="s">
        <v>6012</v>
      </c>
      <c r="K7873" s="14" t="s">
        <v>6012</v>
      </c>
      <c r="L7873" s="14">
        <v>0.0</v>
      </c>
    </row>
    <row r="7874">
      <c r="A7874" s="14">
        <v>255.0</v>
      </c>
      <c r="B7874" s="14">
        <v>6.0</v>
      </c>
      <c r="C7874" s="34">
        <v>26.5</v>
      </c>
      <c r="D7874" s="36">
        <v>45855.0</v>
      </c>
      <c r="E7874" s="24"/>
      <c r="F7874" s="14">
        <v>4.42</v>
      </c>
      <c r="G7874" s="14">
        <v>103.92</v>
      </c>
      <c r="H7874" s="14">
        <v>2.35</v>
      </c>
      <c r="I7874" s="14" t="s">
        <v>6091</v>
      </c>
      <c r="J7874" s="14">
        <v>0.0</v>
      </c>
      <c r="K7874" s="14" t="s">
        <v>6012</v>
      </c>
      <c r="L7874" s="14">
        <v>0.0</v>
      </c>
    </row>
    <row r="7875">
      <c r="A7875" s="14">
        <v>300.0</v>
      </c>
      <c r="B7875" s="14">
        <v>11.0</v>
      </c>
      <c r="C7875" s="34">
        <v>20.17</v>
      </c>
      <c r="D7875" s="36">
        <v>45856.0</v>
      </c>
      <c r="E7875" s="24"/>
      <c r="F7875" s="14">
        <v>1.83</v>
      </c>
      <c r="G7875" s="14">
        <v>67.23</v>
      </c>
      <c r="H7875" s="14">
        <v>3.67</v>
      </c>
      <c r="I7875" s="14" t="s">
        <v>6098</v>
      </c>
      <c r="J7875" s="14">
        <v>0.0</v>
      </c>
      <c r="K7875" s="14" t="s">
        <v>6012</v>
      </c>
      <c r="L7875" s="14">
        <v>0.0</v>
      </c>
    </row>
    <row r="7876">
      <c r="A7876" s="14">
        <v>249.0</v>
      </c>
      <c r="B7876" s="14">
        <v>4.0</v>
      </c>
      <c r="C7876" s="34">
        <v>22.72</v>
      </c>
      <c r="D7876" s="36">
        <v>45856.0</v>
      </c>
      <c r="E7876" s="24"/>
      <c r="F7876" s="14">
        <v>5.68</v>
      </c>
      <c r="G7876" s="14">
        <v>91.24</v>
      </c>
      <c r="H7876" s="14">
        <v>1.61</v>
      </c>
      <c r="I7876" s="14" t="s">
        <v>6091</v>
      </c>
      <c r="J7876" s="14">
        <v>0.0</v>
      </c>
      <c r="K7876" s="14" t="s">
        <v>6012</v>
      </c>
      <c r="L7876" s="14">
        <v>0.0</v>
      </c>
    </row>
    <row r="7877">
      <c r="A7877" s="14">
        <v>9.0</v>
      </c>
      <c r="B7877" s="14">
        <v>0.0</v>
      </c>
      <c r="C7877" s="34">
        <v>15.99</v>
      </c>
      <c r="D7877" s="36">
        <v>45856.0</v>
      </c>
      <c r="E7877" s="24"/>
      <c r="F7877" s="14" t="s">
        <v>6012</v>
      </c>
      <c r="G7877" s="14">
        <v>1776.67</v>
      </c>
      <c r="H7877" s="14">
        <v>0.0</v>
      </c>
      <c r="I7877" s="14" t="s">
        <v>6097</v>
      </c>
      <c r="J7877" s="14" t="s">
        <v>6012</v>
      </c>
      <c r="K7877" s="14" t="s">
        <v>6012</v>
      </c>
      <c r="L7877" s="14">
        <v>0.0</v>
      </c>
    </row>
    <row r="7878">
      <c r="A7878" s="14">
        <v>166.0</v>
      </c>
      <c r="B7878" s="14">
        <v>4.0</v>
      </c>
      <c r="C7878" s="34">
        <v>12.09</v>
      </c>
      <c r="D7878" s="36">
        <v>45857.0</v>
      </c>
      <c r="E7878" s="24"/>
      <c r="F7878" s="14">
        <v>3.02</v>
      </c>
      <c r="G7878" s="14">
        <v>72.83</v>
      </c>
      <c r="H7878" s="14">
        <v>2.41</v>
      </c>
      <c r="I7878" s="14" t="s">
        <v>6098</v>
      </c>
      <c r="J7878" s="14">
        <v>0.0</v>
      </c>
      <c r="K7878" s="14" t="s">
        <v>6012</v>
      </c>
      <c r="L7878" s="14">
        <v>0.0</v>
      </c>
    </row>
    <row r="7879">
      <c r="A7879" s="14">
        <v>130.0</v>
      </c>
      <c r="B7879" s="14">
        <v>1.0</v>
      </c>
      <c r="C7879" s="34">
        <v>13.6</v>
      </c>
      <c r="D7879" s="36">
        <v>45857.0</v>
      </c>
      <c r="E7879" s="24"/>
      <c r="F7879" s="14">
        <v>13.6</v>
      </c>
      <c r="G7879" s="14">
        <v>104.62</v>
      </c>
      <c r="H7879" s="14">
        <v>0.77</v>
      </c>
      <c r="I7879" s="14" t="s">
        <v>6091</v>
      </c>
      <c r="J7879" s="14">
        <v>0.0</v>
      </c>
      <c r="K7879" s="14" t="s">
        <v>6012</v>
      </c>
      <c r="L7879" s="14">
        <v>0.0</v>
      </c>
    </row>
    <row r="7880">
      <c r="A7880" s="14">
        <v>130.0</v>
      </c>
      <c r="B7880" s="14">
        <v>0.0</v>
      </c>
      <c r="C7880" s="34">
        <v>9.93</v>
      </c>
      <c r="D7880" s="36">
        <v>45858.0</v>
      </c>
      <c r="E7880" s="24"/>
      <c r="F7880" s="14" t="s">
        <v>6012</v>
      </c>
      <c r="G7880" s="14">
        <v>76.38</v>
      </c>
      <c r="H7880" s="14">
        <v>0.0</v>
      </c>
      <c r="I7880" s="14" t="s">
        <v>6098</v>
      </c>
      <c r="J7880" s="14" t="s">
        <v>6012</v>
      </c>
      <c r="K7880" s="14" t="s">
        <v>6012</v>
      </c>
      <c r="L7880" s="14">
        <v>0.0</v>
      </c>
    </row>
    <row r="7881">
      <c r="A7881" s="14">
        <v>113.0</v>
      </c>
      <c r="B7881" s="14">
        <v>2.0</v>
      </c>
      <c r="C7881" s="34">
        <v>10.61</v>
      </c>
      <c r="D7881" s="36">
        <v>45858.0</v>
      </c>
      <c r="E7881" s="24"/>
      <c r="F7881" s="14">
        <v>5.3</v>
      </c>
      <c r="G7881" s="14">
        <v>93.89</v>
      </c>
      <c r="H7881" s="14">
        <v>1.77</v>
      </c>
      <c r="I7881" s="14" t="s">
        <v>6091</v>
      </c>
      <c r="J7881" s="14">
        <v>0.0</v>
      </c>
      <c r="K7881" s="14" t="s">
        <v>6012</v>
      </c>
      <c r="L7881" s="14">
        <v>0.0</v>
      </c>
    </row>
    <row r="7882">
      <c r="A7882" s="14">
        <v>248.0</v>
      </c>
      <c r="B7882" s="14">
        <v>2.0</v>
      </c>
      <c r="C7882" s="34">
        <v>28.07</v>
      </c>
      <c r="D7882" s="36">
        <v>45859.0</v>
      </c>
      <c r="E7882" s="24"/>
      <c r="F7882" s="14">
        <v>14.04</v>
      </c>
      <c r="G7882" s="14">
        <v>113.19</v>
      </c>
      <c r="H7882" s="14">
        <v>0.81</v>
      </c>
      <c r="I7882" s="14" t="s">
        <v>6091</v>
      </c>
      <c r="J7882" s="14">
        <v>0.0</v>
      </c>
      <c r="K7882" s="14" t="s">
        <v>6012</v>
      </c>
      <c r="L7882" s="14">
        <v>0.0</v>
      </c>
    </row>
    <row r="7883">
      <c r="A7883" s="14">
        <v>152.0</v>
      </c>
      <c r="B7883" s="14">
        <v>5.0</v>
      </c>
      <c r="C7883" s="34">
        <v>14.68</v>
      </c>
      <c r="D7883" s="36">
        <v>45859.0</v>
      </c>
      <c r="E7883" s="24"/>
      <c r="F7883" s="14">
        <v>2.94</v>
      </c>
      <c r="G7883" s="14">
        <v>96.58</v>
      </c>
      <c r="H7883" s="14">
        <v>3.29</v>
      </c>
      <c r="I7883" s="14" t="s">
        <v>6098</v>
      </c>
      <c r="J7883" s="14">
        <v>0.0</v>
      </c>
      <c r="K7883" s="14" t="s">
        <v>6012</v>
      </c>
      <c r="L7883" s="14">
        <v>0.0</v>
      </c>
    </row>
    <row r="7884">
      <c r="A7884" s="14">
        <v>792.0</v>
      </c>
      <c r="B7884" s="14">
        <v>3.0</v>
      </c>
      <c r="C7884" s="34">
        <v>21.33</v>
      </c>
      <c r="D7884" s="36">
        <v>45859.0</v>
      </c>
      <c r="E7884" s="24"/>
      <c r="F7884" s="14">
        <v>7.11</v>
      </c>
      <c r="G7884" s="14">
        <v>26.93</v>
      </c>
      <c r="H7884" s="14">
        <v>0.38</v>
      </c>
      <c r="I7884" s="14" t="s">
        <v>6099</v>
      </c>
      <c r="J7884" s="14">
        <v>0.0</v>
      </c>
      <c r="K7884" s="14" t="s">
        <v>6012</v>
      </c>
      <c r="L7884" s="14">
        <v>0.0</v>
      </c>
    </row>
    <row r="7885">
      <c r="A7885" s="14">
        <v>303.0</v>
      </c>
      <c r="B7885" s="14">
        <v>10.0</v>
      </c>
      <c r="C7885" s="34">
        <v>30.99</v>
      </c>
      <c r="D7885" s="36">
        <v>45860.0</v>
      </c>
      <c r="E7885" s="24"/>
      <c r="F7885" s="14">
        <v>3.1</v>
      </c>
      <c r="G7885" s="14">
        <v>102.28</v>
      </c>
      <c r="H7885" s="14">
        <v>3.3</v>
      </c>
      <c r="I7885" s="14" t="s">
        <v>6091</v>
      </c>
      <c r="J7885" s="14">
        <v>0.0</v>
      </c>
      <c r="K7885" s="14" t="s">
        <v>6012</v>
      </c>
      <c r="L7885" s="14">
        <v>0.0</v>
      </c>
    </row>
    <row r="7886">
      <c r="A7886" s="14">
        <v>298.0</v>
      </c>
      <c r="B7886" s="14">
        <v>0.0</v>
      </c>
      <c r="C7886" s="34">
        <v>22.56</v>
      </c>
      <c r="D7886" s="36">
        <v>45860.0</v>
      </c>
      <c r="E7886" s="24"/>
      <c r="F7886" s="14" t="s">
        <v>6012</v>
      </c>
      <c r="G7886" s="14">
        <v>75.7</v>
      </c>
      <c r="H7886" s="14">
        <v>0.0</v>
      </c>
      <c r="I7886" s="14" t="s">
        <v>6099</v>
      </c>
      <c r="J7886" s="14" t="s">
        <v>6012</v>
      </c>
      <c r="K7886" s="14" t="s">
        <v>6012</v>
      </c>
      <c r="L7886" s="14">
        <v>0.0</v>
      </c>
    </row>
    <row r="7887">
      <c r="A7887" s="14">
        <v>355.0</v>
      </c>
      <c r="B7887" s="14">
        <v>2.0</v>
      </c>
      <c r="C7887" s="34">
        <v>24.06</v>
      </c>
      <c r="D7887" s="36">
        <v>45861.0</v>
      </c>
      <c r="E7887" s="24"/>
      <c r="F7887" s="14">
        <v>12.03</v>
      </c>
      <c r="G7887" s="14">
        <v>67.77</v>
      </c>
      <c r="H7887" s="14">
        <v>0.56</v>
      </c>
      <c r="I7887" s="14" t="s">
        <v>6099</v>
      </c>
      <c r="J7887" s="14">
        <v>0.0</v>
      </c>
      <c r="K7887" s="14" t="s">
        <v>6012</v>
      </c>
      <c r="L7887" s="14">
        <v>0.0</v>
      </c>
    </row>
    <row r="7888">
      <c r="A7888" s="14">
        <v>239.0</v>
      </c>
      <c r="B7888" s="14">
        <v>2.0</v>
      </c>
      <c r="C7888" s="34">
        <v>27.24</v>
      </c>
      <c r="D7888" s="36">
        <v>45861.0</v>
      </c>
      <c r="E7888" s="24"/>
      <c r="F7888" s="14">
        <v>13.62</v>
      </c>
      <c r="G7888" s="14">
        <v>113.97</v>
      </c>
      <c r="H7888" s="14">
        <v>0.84</v>
      </c>
      <c r="I7888" s="14" t="s">
        <v>6091</v>
      </c>
      <c r="J7888" s="14">
        <v>0.0</v>
      </c>
      <c r="K7888" s="14" t="s">
        <v>6012</v>
      </c>
      <c r="L7888" s="14">
        <v>0.0</v>
      </c>
    </row>
    <row r="7889">
      <c r="A7889" s="14">
        <v>299.0</v>
      </c>
      <c r="B7889" s="14">
        <v>1.0</v>
      </c>
      <c r="C7889" s="34">
        <v>23.31</v>
      </c>
      <c r="D7889" s="36">
        <v>45862.0</v>
      </c>
      <c r="E7889" s="24"/>
      <c r="F7889" s="14">
        <v>23.31</v>
      </c>
      <c r="G7889" s="14">
        <v>77.96</v>
      </c>
      <c r="H7889" s="14">
        <v>0.33</v>
      </c>
      <c r="I7889" s="14" t="s">
        <v>6099</v>
      </c>
      <c r="J7889" s="14">
        <v>0.0</v>
      </c>
      <c r="K7889" s="14" t="s">
        <v>6012</v>
      </c>
      <c r="L7889" s="14">
        <v>0.0</v>
      </c>
    </row>
    <row r="7890">
      <c r="A7890" s="14">
        <v>358.0</v>
      </c>
      <c r="B7890" s="14">
        <v>7.0</v>
      </c>
      <c r="C7890" s="34">
        <v>27.47</v>
      </c>
      <c r="D7890" s="36">
        <v>45862.0</v>
      </c>
      <c r="E7890" s="24"/>
      <c r="F7890" s="14">
        <v>3.92</v>
      </c>
      <c r="G7890" s="14">
        <v>76.73</v>
      </c>
      <c r="H7890" s="14">
        <v>1.96</v>
      </c>
      <c r="I7890" s="14" t="s">
        <v>6091</v>
      </c>
      <c r="J7890" s="14">
        <v>0.0</v>
      </c>
      <c r="K7890" s="14" t="s">
        <v>6012</v>
      </c>
      <c r="L7890" s="14">
        <v>0.0</v>
      </c>
    </row>
    <row r="7891">
      <c r="A7891" s="14">
        <v>551.0</v>
      </c>
      <c r="B7891" s="14">
        <v>0.0</v>
      </c>
      <c r="C7891" s="34">
        <v>23.89</v>
      </c>
      <c r="D7891" s="36">
        <v>45862.0</v>
      </c>
      <c r="E7891" s="24"/>
      <c r="F7891" s="14" t="s">
        <v>6012</v>
      </c>
      <c r="G7891" s="14">
        <v>43.36</v>
      </c>
      <c r="H7891" s="14">
        <v>0.0</v>
      </c>
      <c r="I7891" s="14" t="s">
        <v>6100</v>
      </c>
      <c r="J7891" s="14" t="s">
        <v>6012</v>
      </c>
      <c r="K7891" s="14" t="s">
        <v>6012</v>
      </c>
      <c r="L7891" s="14">
        <v>0.0</v>
      </c>
    </row>
    <row r="7892">
      <c r="A7892" s="14">
        <v>192.0</v>
      </c>
      <c r="B7892" s="14">
        <v>4.0</v>
      </c>
      <c r="C7892" s="34">
        <v>22.63</v>
      </c>
      <c r="D7892" s="36">
        <v>45863.0</v>
      </c>
      <c r="E7892" s="24"/>
      <c r="F7892" s="14">
        <v>5.66</v>
      </c>
      <c r="G7892" s="14">
        <v>117.86</v>
      </c>
      <c r="H7892" s="14">
        <v>2.08</v>
      </c>
      <c r="I7892" s="14" t="s">
        <v>6091</v>
      </c>
      <c r="J7892" s="14">
        <v>0.0</v>
      </c>
      <c r="K7892" s="14" t="s">
        <v>6012</v>
      </c>
      <c r="L7892" s="14">
        <v>0.0</v>
      </c>
    </row>
    <row r="7893">
      <c r="A7893" s="14">
        <v>227.0</v>
      </c>
      <c r="B7893" s="14">
        <v>0.0</v>
      </c>
      <c r="C7893" s="34">
        <v>22.05</v>
      </c>
      <c r="D7893" s="36">
        <v>45863.0</v>
      </c>
      <c r="E7893" s="24"/>
      <c r="F7893" s="14" t="s">
        <v>6012</v>
      </c>
      <c r="G7893" s="14">
        <v>97.14</v>
      </c>
      <c r="H7893" s="14">
        <v>0.0</v>
      </c>
      <c r="I7893" s="14" t="s">
        <v>6100</v>
      </c>
      <c r="J7893" s="14" t="s">
        <v>6012</v>
      </c>
      <c r="K7893" s="14" t="s">
        <v>6012</v>
      </c>
      <c r="L7893" s="14">
        <v>0.0</v>
      </c>
    </row>
    <row r="7894">
      <c r="A7894" s="14">
        <v>203.0</v>
      </c>
      <c r="B7894" s="14">
        <v>0.0</v>
      </c>
      <c r="C7894" s="34">
        <v>20.81</v>
      </c>
      <c r="D7894" s="36">
        <v>45863.0</v>
      </c>
      <c r="E7894" s="24"/>
      <c r="F7894" s="14" t="s">
        <v>6012</v>
      </c>
      <c r="G7894" s="14">
        <v>102.51</v>
      </c>
      <c r="H7894" s="14">
        <v>0.0</v>
      </c>
      <c r="I7894" s="14" t="s">
        <v>6099</v>
      </c>
      <c r="J7894" s="14" t="s">
        <v>6012</v>
      </c>
      <c r="K7894" s="14" t="s">
        <v>6012</v>
      </c>
      <c r="L7894" s="14">
        <v>0.0</v>
      </c>
    </row>
    <row r="7895">
      <c r="A7895" s="14">
        <v>107.0</v>
      </c>
      <c r="B7895" s="14">
        <v>0.0</v>
      </c>
      <c r="C7895" s="34">
        <v>12.14</v>
      </c>
      <c r="D7895" s="36">
        <v>45864.0</v>
      </c>
      <c r="E7895" s="24"/>
      <c r="F7895" s="14" t="s">
        <v>6012</v>
      </c>
      <c r="G7895" s="14">
        <v>113.46</v>
      </c>
      <c r="H7895" s="14">
        <v>0.0</v>
      </c>
      <c r="I7895" s="14" t="s">
        <v>6099</v>
      </c>
      <c r="J7895" s="14" t="s">
        <v>6012</v>
      </c>
      <c r="K7895" s="14" t="s">
        <v>6012</v>
      </c>
      <c r="L7895" s="14">
        <v>0.0</v>
      </c>
    </row>
    <row r="7896">
      <c r="A7896" s="14">
        <v>155.0</v>
      </c>
      <c r="B7896" s="14">
        <v>0.0</v>
      </c>
      <c r="C7896" s="34">
        <v>16.63</v>
      </c>
      <c r="D7896" s="36">
        <v>45864.0</v>
      </c>
      <c r="E7896" s="24"/>
      <c r="F7896" s="14" t="s">
        <v>6012</v>
      </c>
      <c r="G7896" s="14">
        <v>107.29</v>
      </c>
      <c r="H7896" s="14">
        <v>0.0</v>
      </c>
      <c r="I7896" s="14" t="s">
        <v>6100</v>
      </c>
      <c r="J7896" s="14" t="s">
        <v>6012</v>
      </c>
      <c r="K7896" s="14" t="s">
        <v>6012</v>
      </c>
      <c r="L7896" s="14">
        <v>0.0</v>
      </c>
    </row>
    <row r="7897">
      <c r="A7897" s="14">
        <v>99.0</v>
      </c>
      <c r="B7897" s="14">
        <v>1.0</v>
      </c>
      <c r="C7897" s="34">
        <v>12.99</v>
      </c>
      <c r="D7897" s="36">
        <v>45864.0</v>
      </c>
      <c r="E7897" s="24"/>
      <c r="F7897" s="14">
        <v>12.99</v>
      </c>
      <c r="G7897" s="14">
        <v>131.21</v>
      </c>
      <c r="H7897" s="14">
        <v>1.01</v>
      </c>
      <c r="I7897" s="14" t="s">
        <v>6091</v>
      </c>
      <c r="J7897" s="14">
        <v>0.0</v>
      </c>
      <c r="K7897" s="14" t="s">
        <v>6012</v>
      </c>
      <c r="L7897" s="14">
        <v>0.0</v>
      </c>
    </row>
    <row r="7898">
      <c r="A7898" s="14">
        <v>105.0</v>
      </c>
      <c r="B7898" s="14">
        <v>0.0</v>
      </c>
      <c r="C7898" s="34">
        <v>13.69</v>
      </c>
      <c r="D7898" s="36">
        <v>45865.0</v>
      </c>
      <c r="E7898" s="24"/>
      <c r="F7898" s="14" t="s">
        <v>6012</v>
      </c>
      <c r="G7898" s="14">
        <v>130.38</v>
      </c>
      <c r="H7898" s="14">
        <v>0.0</v>
      </c>
      <c r="I7898" s="14" t="s">
        <v>6100</v>
      </c>
      <c r="J7898" s="14" t="s">
        <v>6012</v>
      </c>
      <c r="K7898" s="14" t="s">
        <v>6012</v>
      </c>
      <c r="L7898" s="14">
        <v>0.0</v>
      </c>
    </row>
    <row r="7899">
      <c r="A7899" s="14">
        <v>106.0</v>
      </c>
      <c r="B7899" s="14">
        <v>1.0</v>
      </c>
      <c r="C7899" s="34">
        <v>9.84</v>
      </c>
      <c r="D7899" s="36">
        <v>45865.0</v>
      </c>
      <c r="E7899" s="24"/>
      <c r="F7899" s="14">
        <v>9.84</v>
      </c>
      <c r="G7899" s="14">
        <v>92.83</v>
      </c>
      <c r="H7899" s="14">
        <v>0.94</v>
      </c>
      <c r="I7899" s="14" t="s">
        <v>6099</v>
      </c>
      <c r="J7899" s="14">
        <v>0.0</v>
      </c>
      <c r="K7899" s="14" t="s">
        <v>6012</v>
      </c>
      <c r="L7899" s="14">
        <v>0.0</v>
      </c>
    </row>
    <row r="7900">
      <c r="A7900" s="14">
        <v>77.0</v>
      </c>
      <c r="B7900" s="14">
        <v>1.0</v>
      </c>
      <c r="C7900" s="34">
        <v>10.21</v>
      </c>
      <c r="D7900" s="36">
        <v>45865.0</v>
      </c>
      <c r="E7900" s="24"/>
      <c r="F7900" s="14">
        <v>10.21</v>
      </c>
      <c r="G7900" s="14">
        <v>132.6</v>
      </c>
      <c r="H7900" s="14">
        <v>1.3</v>
      </c>
      <c r="I7900" s="14" t="s">
        <v>6091</v>
      </c>
      <c r="J7900" s="14">
        <v>0.0</v>
      </c>
      <c r="K7900" s="14" t="s">
        <v>6012</v>
      </c>
      <c r="L7900" s="14">
        <v>0.0</v>
      </c>
    </row>
    <row r="7901">
      <c r="A7901" s="14">
        <v>122.0</v>
      </c>
      <c r="B7901" s="14">
        <v>0.0</v>
      </c>
      <c r="C7901" s="34">
        <v>23.52</v>
      </c>
      <c r="D7901" s="36">
        <v>45866.0</v>
      </c>
      <c r="E7901" s="24"/>
      <c r="F7901" s="14" t="s">
        <v>6012</v>
      </c>
      <c r="G7901" s="14">
        <v>192.79</v>
      </c>
      <c r="H7901" s="14">
        <v>0.0</v>
      </c>
      <c r="I7901" s="14" t="s">
        <v>6100</v>
      </c>
      <c r="J7901" s="14" t="s">
        <v>6012</v>
      </c>
      <c r="K7901" s="14" t="s">
        <v>6012</v>
      </c>
      <c r="L7901" s="14">
        <v>0.0</v>
      </c>
    </row>
    <row r="7902">
      <c r="A7902" s="14">
        <v>144.0</v>
      </c>
      <c r="B7902" s="14">
        <v>0.0</v>
      </c>
      <c r="C7902" s="34">
        <v>24.11</v>
      </c>
      <c r="D7902" s="36">
        <v>45866.0</v>
      </c>
      <c r="E7902" s="24"/>
      <c r="F7902" s="14" t="s">
        <v>6012</v>
      </c>
      <c r="G7902" s="14">
        <v>167.43</v>
      </c>
      <c r="H7902" s="14">
        <v>0.0</v>
      </c>
      <c r="I7902" s="14" t="s">
        <v>6099</v>
      </c>
      <c r="J7902" s="14" t="s">
        <v>6012</v>
      </c>
      <c r="K7902" s="14" t="s">
        <v>6012</v>
      </c>
      <c r="L7902" s="14">
        <v>0.0</v>
      </c>
    </row>
    <row r="7903">
      <c r="A7903" s="14">
        <v>289.0</v>
      </c>
      <c r="B7903" s="14">
        <v>7.0</v>
      </c>
      <c r="C7903" s="34">
        <v>28.11</v>
      </c>
      <c r="D7903" s="36">
        <v>45866.0</v>
      </c>
      <c r="E7903" s="24"/>
      <c r="F7903" s="14">
        <v>4.02</v>
      </c>
      <c r="G7903" s="14">
        <v>97.27</v>
      </c>
      <c r="H7903" s="14">
        <v>2.42</v>
      </c>
      <c r="I7903" s="14" t="s">
        <v>6091</v>
      </c>
      <c r="J7903" s="14">
        <v>0.0</v>
      </c>
      <c r="K7903" s="14" t="s">
        <v>6012</v>
      </c>
      <c r="L7903" s="14">
        <v>0.0</v>
      </c>
    </row>
    <row r="7904">
      <c r="A7904" s="14">
        <v>204.0</v>
      </c>
      <c r="B7904" s="14">
        <v>1.0</v>
      </c>
      <c r="C7904" s="34">
        <v>25.51</v>
      </c>
      <c r="D7904" s="36">
        <v>45867.0</v>
      </c>
      <c r="E7904" s="24"/>
      <c r="F7904" s="14">
        <v>25.51</v>
      </c>
      <c r="G7904" s="14">
        <v>125.05</v>
      </c>
      <c r="H7904" s="14">
        <v>0.49</v>
      </c>
      <c r="I7904" s="14" t="s">
        <v>6100</v>
      </c>
      <c r="J7904" s="14">
        <v>0.0</v>
      </c>
      <c r="K7904" s="14" t="s">
        <v>6012</v>
      </c>
      <c r="L7904" s="14">
        <v>0.0</v>
      </c>
    </row>
    <row r="7905">
      <c r="A7905" s="14">
        <v>235.0</v>
      </c>
      <c r="B7905" s="14">
        <v>8.0</v>
      </c>
      <c r="C7905" s="34">
        <v>31.36</v>
      </c>
      <c r="D7905" s="36">
        <v>45867.0</v>
      </c>
      <c r="E7905" s="24"/>
      <c r="F7905" s="14">
        <v>3.92</v>
      </c>
      <c r="G7905" s="14">
        <v>133.45</v>
      </c>
      <c r="H7905" s="14">
        <v>3.4</v>
      </c>
      <c r="I7905" s="14" t="s">
        <v>6091</v>
      </c>
      <c r="J7905" s="14">
        <v>0.0</v>
      </c>
      <c r="K7905" s="14" t="s">
        <v>6012</v>
      </c>
      <c r="L7905" s="14">
        <v>0.0</v>
      </c>
    </row>
    <row r="7906">
      <c r="A7906" s="14">
        <v>255.0</v>
      </c>
      <c r="B7906" s="14">
        <v>1.0</v>
      </c>
      <c r="C7906" s="34">
        <v>26.08</v>
      </c>
      <c r="D7906" s="36">
        <v>45867.0</v>
      </c>
      <c r="E7906" s="24"/>
      <c r="F7906" s="14">
        <v>26.08</v>
      </c>
      <c r="G7906" s="14">
        <v>102.27</v>
      </c>
      <c r="H7906" s="14">
        <v>0.39</v>
      </c>
      <c r="I7906" s="14" t="s">
        <v>6099</v>
      </c>
      <c r="J7906" s="14">
        <v>0.0</v>
      </c>
      <c r="K7906" s="14" t="s">
        <v>6012</v>
      </c>
      <c r="L7906" s="14">
        <v>0.0</v>
      </c>
    </row>
    <row r="7907">
      <c r="A7907" s="14">
        <v>160.0</v>
      </c>
      <c r="B7907" s="14">
        <v>4.0</v>
      </c>
      <c r="C7907" s="34">
        <v>12.6</v>
      </c>
      <c r="D7907" s="36">
        <v>45868.0</v>
      </c>
      <c r="E7907" s="24"/>
      <c r="F7907" s="14">
        <v>3.15</v>
      </c>
      <c r="G7907" s="14">
        <v>78.75</v>
      </c>
      <c r="H7907" s="14">
        <v>2.5</v>
      </c>
      <c r="I7907" s="14" t="s">
        <v>6091</v>
      </c>
      <c r="J7907" s="14">
        <v>0.0</v>
      </c>
      <c r="K7907" s="14" t="s">
        <v>6012</v>
      </c>
      <c r="L7907" s="14">
        <v>0.0</v>
      </c>
    </row>
    <row r="7908">
      <c r="A7908" s="14">
        <v>189.0</v>
      </c>
      <c r="B7908" s="14">
        <v>1.0</v>
      </c>
      <c r="C7908" s="34">
        <v>22.39</v>
      </c>
      <c r="D7908" s="36">
        <v>45868.0</v>
      </c>
      <c r="E7908" s="24"/>
      <c r="F7908" s="14">
        <v>22.39</v>
      </c>
      <c r="G7908" s="14">
        <v>118.47</v>
      </c>
      <c r="H7908" s="14">
        <v>0.53</v>
      </c>
      <c r="I7908" s="14" t="s">
        <v>6100</v>
      </c>
      <c r="J7908" s="14">
        <v>0.0</v>
      </c>
      <c r="K7908" s="14" t="s">
        <v>6012</v>
      </c>
      <c r="L7908" s="14">
        <v>0.0</v>
      </c>
    </row>
    <row r="7909">
      <c r="A7909" s="14">
        <v>539.0</v>
      </c>
      <c r="B7909" s="14">
        <v>1.0</v>
      </c>
      <c r="C7909" s="34">
        <v>23.43</v>
      </c>
      <c r="D7909" s="36">
        <v>45868.0</v>
      </c>
      <c r="E7909" s="24"/>
      <c r="F7909" s="14">
        <v>23.43</v>
      </c>
      <c r="G7909" s="14">
        <v>43.47</v>
      </c>
      <c r="H7909" s="14">
        <v>0.19</v>
      </c>
      <c r="I7909" s="14" t="s">
        <v>6101</v>
      </c>
      <c r="J7909" s="14">
        <v>0.0</v>
      </c>
      <c r="K7909" s="14" t="s">
        <v>6012</v>
      </c>
      <c r="L7909" s="14">
        <v>0.0</v>
      </c>
    </row>
    <row r="7910">
      <c r="A7910" s="14">
        <v>743.0</v>
      </c>
      <c r="B7910" s="14">
        <v>24.0</v>
      </c>
      <c r="C7910" s="34">
        <v>23.74</v>
      </c>
      <c r="D7910" s="36">
        <v>45868.0</v>
      </c>
      <c r="E7910" s="24"/>
      <c r="F7910" s="14">
        <v>0.99</v>
      </c>
      <c r="G7910" s="14">
        <v>31.95</v>
      </c>
      <c r="H7910" s="14">
        <v>3.23</v>
      </c>
      <c r="I7910" s="14" t="s">
        <v>6102</v>
      </c>
      <c r="J7910" s="14">
        <v>0.0</v>
      </c>
      <c r="K7910" s="14" t="s">
        <v>6012</v>
      </c>
      <c r="L7910" s="14">
        <v>0.0</v>
      </c>
    </row>
    <row r="7911">
      <c r="A7911" s="14">
        <v>393.0</v>
      </c>
      <c r="B7911" s="14">
        <v>0.0</v>
      </c>
      <c r="C7911" s="34">
        <v>22.47</v>
      </c>
      <c r="D7911" s="36">
        <v>45868.0</v>
      </c>
      <c r="E7911" s="24"/>
      <c r="F7911" s="14" t="s">
        <v>6012</v>
      </c>
      <c r="G7911" s="14">
        <v>57.18</v>
      </c>
      <c r="H7911" s="14">
        <v>0.0</v>
      </c>
      <c r="I7911" s="14" t="s">
        <v>6099</v>
      </c>
      <c r="J7911" s="14" t="s">
        <v>6012</v>
      </c>
      <c r="K7911" s="14" t="s">
        <v>6012</v>
      </c>
      <c r="L7911" s="14">
        <v>0.0</v>
      </c>
    </row>
    <row r="7912">
      <c r="A7912" s="14">
        <v>333.0</v>
      </c>
      <c r="B7912" s="14">
        <v>0.0</v>
      </c>
      <c r="C7912" s="34">
        <v>22.86</v>
      </c>
      <c r="D7912" s="36">
        <v>45869.0</v>
      </c>
      <c r="E7912" s="24"/>
      <c r="F7912" s="14" t="s">
        <v>6012</v>
      </c>
      <c r="G7912" s="14">
        <v>68.65</v>
      </c>
      <c r="H7912" s="14">
        <v>0.0</v>
      </c>
      <c r="I7912" s="14" t="s">
        <v>6101</v>
      </c>
      <c r="J7912" s="14" t="s">
        <v>6012</v>
      </c>
      <c r="K7912" s="14" t="s">
        <v>6012</v>
      </c>
      <c r="L7912" s="14">
        <v>0.0</v>
      </c>
    </row>
    <row r="7913">
      <c r="A7913" s="14">
        <v>166.0</v>
      </c>
      <c r="B7913" s="14">
        <v>0.0</v>
      </c>
      <c r="C7913" s="34">
        <v>22.66</v>
      </c>
      <c r="D7913" s="36">
        <v>45869.0</v>
      </c>
      <c r="E7913" s="24"/>
      <c r="F7913" s="14" t="s">
        <v>6012</v>
      </c>
      <c r="G7913" s="14">
        <v>136.51</v>
      </c>
      <c r="H7913" s="14">
        <v>0.0</v>
      </c>
      <c r="I7913" s="14" t="s">
        <v>6100</v>
      </c>
      <c r="J7913" s="14" t="s">
        <v>6012</v>
      </c>
      <c r="K7913" s="14" t="s">
        <v>6012</v>
      </c>
      <c r="L7913" s="14">
        <v>0.0</v>
      </c>
    </row>
    <row r="7914">
      <c r="A7914" s="14">
        <v>258.0</v>
      </c>
      <c r="B7914" s="14">
        <v>1.0</v>
      </c>
      <c r="C7914" s="34">
        <v>21.7</v>
      </c>
      <c r="D7914" s="36">
        <v>45869.0</v>
      </c>
      <c r="E7914" s="24"/>
      <c r="F7914" s="14">
        <v>21.7</v>
      </c>
      <c r="G7914" s="14">
        <v>84.11</v>
      </c>
      <c r="H7914" s="14">
        <v>0.39</v>
      </c>
      <c r="I7914" s="14" t="s">
        <v>6099</v>
      </c>
      <c r="J7914" s="14">
        <v>0.0</v>
      </c>
      <c r="K7914" s="14" t="s">
        <v>6012</v>
      </c>
      <c r="L7914" s="14">
        <v>0.0</v>
      </c>
    </row>
    <row r="7915">
      <c r="A7915" s="14">
        <v>471.0</v>
      </c>
      <c r="B7915" s="14">
        <v>15.0</v>
      </c>
      <c r="C7915" s="34">
        <v>23.01</v>
      </c>
      <c r="D7915" s="36">
        <v>45869.0</v>
      </c>
      <c r="E7915" s="24"/>
      <c r="F7915" s="14">
        <v>1.53</v>
      </c>
      <c r="G7915" s="14">
        <v>48.85</v>
      </c>
      <c r="H7915" s="14">
        <v>3.18</v>
      </c>
      <c r="I7915" s="14" t="s">
        <v>6102</v>
      </c>
      <c r="J7915" s="14">
        <v>0.0</v>
      </c>
      <c r="K7915" s="14" t="s">
        <v>6012</v>
      </c>
      <c r="L7915" s="14">
        <v>0.0</v>
      </c>
    </row>
    <row r="7916">
      <c r="A7916" s="14">
        <v>582.0</v>
      </c>
      <c r="B7916" s="14">
        <v>4.0</v>
      </c>
      <c r="C7916" s="34">
        <v>44.99</v>
      </c>
      <c r="D7916" s="36">
        <v>45870.0</v>
      </c>
      <c r="E7916" s="24"/>
      <c r="F7916" s="14">
        <v>11.25</v>
      </c>
      <c r="G7916" s="14">
        <v>77.3</v>
      </c>
      <c r="H7916" s="14">
        <v>0.69</v>
      </c>
      <c r="I7916" s="14" t="s">
        <v>6101</v>
      </c>
      <c r="J7916" s="14">
        <v>0.0</v>
      </c>
      <c r="K7916" s="14" t="s">
        <v>6012</v>
      </c>
      <c r="L7916" s="14">
        <v>0.0</v>
      </c>
    </row>
    <row r="7917">
      <c r="A7917" s="14">
        <v>128.0</v>
      </c>
      <c r="B7917" s="14">
        <v>0.0</v>
      </c>
      <c r="C7917" s="34">
        <v>17.05</v>
      </c>
      <c r="D7917" s="36">
        <v>45870.0</v>
      </c>
      <c r="E7917" s="24"/>
      <c r="F7917" s="14" t="s">
        <v>6012</v>
      </c>
      <c r="G7917" s="14">
        <v>133.2</v>
      </c>
      <c r="H7917" s="14">
        <v>0.0</v>
      </c>
      <c r="I7917" s="14" t="s">
        <v>6100</v>
      </c>
      <c r="J7917" s="14" t="s">
        <v>6012</v>
      </c>
      <c r="K7917" s="14" t="s">
        <v>6012</v>
      </c>
      <c r="L7917" s="14">
        <v>0.0</v>
      </c>
    </row>
    <row r="7918">
      <c r="A7918" s="14">
        <v>186.0</v>
      </c>
      <c r="B7918" s="14">
        <v>0.0</v>
      </c>
      <c r="C7918" s="34">
        <v>20.18</v>
      </c>
      <c r="D7918" s="36">
        <v>45870.0</v>
      </c>
      <c r="E7918" s="24"/>
      <c r="F7918" s="14" t="s">
        <v>6012</v>
      </c>
      <c r="G7918" s="14">
        <v>108.49</v>
      </c>
      <c r="H7918" s="14">
        <v>0.0</v>
      </c>
      <c r="I7918" s="14" t="s">
        <v>6099</v>
      </c>
      <c r="J7918" s="14" t="s">
        <v>6012</v>
      </c>
      <c r="K7918" s="14" t="s">
        <v>6012</v>
      </c>
      <c r="L7918" s="14">
        <v>0.0</v>
      </c>
    </row>
    <row r="7919">
      <c r="A7919" s="14">
        <v>305.0</v>
      </c>
      <c r="B7919" s="14">
        <v>11.0</v>
      </c>
      <c r="C7919" s="34">
        <v>21.15</v>
      </c>
      <c r="D7919" s="36">
        <v>45870.0</v>
      </c>
      <c r="E7919" s="24"/>
      <c r="F7919" s="14">
        <v>1.92</v>
      </c>
      <c r="G7919" s="14">
        <v>69.34</v>
      </c>
      <c r="H7919" s="14">
        <v>3.61</v>
      </c>
      <c r="I7919" s="14" t="s">
        <v>6102</v>
      </c>
      <c r="J7919" s="14">
        <v>0.0</v>
      </c>
      <c r="K7919" s="14" t="s">
        <v>6012</v>
      </c>
      <c r="L7919" s="14">
        <v>0.0</v>
      </c>
    </row>
    <row r="7920">
      <c r="A7920" s="14">
        <v>56.0</v>
      </c>
      <c r="B7920" s="14">
        <v>0.0</v>
      </c>
      <c r="C7920" s="34">
        <v>14.42</v>
      </c>
      <c r="D7920" s="36">
        <v>45871.0</v>
      </c>
      <c r="E7920" s="24"/>
      <c r="F7920" s="14" t="s">
        <v>6012</v>
      </c>
      <c r="G7920" s="14">
        <v>257.5</v>
      </c>
      <c r="H7920" s="14">
        <v>0.0</v>
      </c>
      <c r="I7920" s="14" t="s">
        <v>6100</v>
      </c>
      <c r="J7920" s="14" t="s">
        <v>6012</v>
      </c>
      <c r="K7920" s="14" t="s">
        <v>6012</v>
      </c>
      <c r="L7920" s="14">
        <v>0.0</v>
      </c>
    </row>
    <row r="7921">
      <c r="A7921" s="14">
        <v>134.0</v>
      </c>
      <c r="B7921" s="14">
        <v>0.0</v>
      </c>
      <c r="C7921" s="34">
        <v>10.42</v>
      </c>
      <c r="D7921" s="36">
        <v>45871.0</v>
      </c>
      <c r="E7921" s="24"/>
      <c r="F7921" s="14" t="s">
        <v>6012</v>
      </c>
      <c r="G7921" s="14">
        <v>77.76</v>
      </c>
      <c r="H7921" s="14">
        <v>0.0</v>
      </c>
      <c r="I7921" s="14" t="s">
        <v>6099</v>
      </c>
      <c r="J7921" s="14" t="s">
        <v>6012</v>
      </c>
      <c r="K7921" s="14" t="s">
        <v>6012</v>
      </c>
      <c r="L7921" s="14">
        <v>0.0</v>
      </c>
    </row>
    <row r="7922">
      <c r="A7922" s="14">
        <v>161.0</v>
      </c>
      <c r="B7922" s="14">
        <v>2.0</v>
      </c>
      <c r="C7922" s="34">
        <v>12.72</v>
      </c>
      <c r="D7922" s="36">
        <v>45871.0</v>
      </c>
      <c r="E7922" s="24"/>
      <c r="F7922" s="14">
        <v>6.36</v>
      </c>
      <c r="G7922" s="14">
        <v>79.01</v>
      </c>
      <c r="H7922" s="14">
        <v>1.24</v>
      </c>
      <c r="I7922" s="14" t="s">
        <v>6102</v>
      </c>
      <c r="J7922" s="14">
        <v>0.0</v>
      </c>
      <c r="K7922" s="14" t="s">
        <v>6012</v>
      </c>
      <c r="L7922" s="14">
        <v>0.0</v>
      </c>
    </row>
    <row r="7923">
      <c r="A7923" s="14">
        <v>189.0</v>
      </c>
      <c r="B7923" s="14">
        <v>0.0</v>
      </c>
      <c r="C7923" s="34">
        <v>32.92</v>
      </c>
      <c r="D7923" s="36">
        <v>45871.0</v>
      </c>
      <c r="E7923" s="24"/>
      <c r="F7923" s="14" t="s">
        <v>6012</v>
      </c>
      <c r="G7923" s="14">
        <v>174.18</v>
      </c>
      <c r="H7923" s="14">
        <v>0.0</v>
      </c>
      <c r="I7923" s="14" t="s">
        <v>6101</v>
      </c>
      <c r="J7923" s="14" t="s">
        <v>6012</v>
      </c>
      <c r="K7923" s="14" t="s">
        <v>6012</v>
      </c>
      <c r="L7923" s="14">
        <v>0.0</v>
      </c>
    </row>
    <row r="7924">
      <c r="A7924" s="14">
        <v>95.0</v>
      </c>
      <c r="B7924" s="14">
        <v>0.0</v>
      </c>
      <c r="C7924" s="34">
        <v>9.09</v>
      </c>
      <c r="D7924" s="36">
        <v>45872.0</v>
      </c>
      <c r="E7924" s="24"/>
      <c r="F7924" s="14" t="s">
        <v>6012</v>
      </c>
      <c r="G7924" s="14">
        <v>95.68</v>
      </c>
      <c r="H7924" s="14">
        <v>0.0</v>
      </c>
      <c r="I7924" s="14" t="s">
        <v>6099</v>
      </c>
      <c r="J7924" s="14" t="s">
        <v>6012</v>
      </c>
      <c r="K7924" s="14" t="s">
        <v>6012</v>
      </c>
      <c r="L7924" s="14">
        <v>0.0</v>
      </c>
    </row>
    <row r="7925">
      <c r="A7925" s="14">
        <v>163.0</v>
      </c>
      <c r="B7925" s="14">
        <v>1.0</v>
      </c>
      <c r="C7925" s="34">
        <v>30.66</v>
      </c>
      <c r="D7925" s="36">
        <v>45872.0</v>
      </c>
      <c r="E7925" s="24"/>
      <c r="F7925" s="14">
        <v>30.66</v>
      </c>
      <c r="G7925" s="14">
        <v>188.1</v>
      </c>
      <c r="H7925" s="14">
        <v>0.61</v>
      </c>
      <c r="I7925" s="14" t="s">
        <v>6101</v>
      </c>
      <c r="J7925" s="14">
        <v>0.0</v>
      </c>
      <c r="K7925" s="14" t="s">
        <v>6012</v>
      </c>
      <c r="L7925" s="14">
        <v>0.0</v>
      </c>
    </row>
    <row r="7926">
      <c r="A7926" s="14">
        <v>29.0</v>
      </c>
      <c r="B7926" s="14">
        <v>0.0</v>
      </c>
      <c r="C7926" s="34">
        <v>7.45</v>
      </c>
      <c r="D7926" s="36">
        <v>45872.0</v>
      </c>
      <c r="E7926" s="24"/>
      <c r="F7926" s="14" t="s">
        <v>6012</v>
      </c>
      <c r="G7926" s="14">
        <v>256.9</v>
      </c>
      <c r="H7926" s="14">
        <v>0.0</v>
      </c>
      <c r="I7926" s="14" t="s">
        <v>6100</v>
      </c>
      <c r="J7926" s="14" t="s">
        <v>6012</v>
      </c>
      <c r="K7926" s="14" t="s">
        <v>6012</v>
      </c>
      <c r="L7926" s="14">
        <v>0.0</v>
      </c>
    </row>
    <row r="7927">
      <c r="A7927" s="14">
        <v>143.0</v>
      </c>
      <c r="B7927" s="14">
        <v>6.0</v>
      </c>
      <c r="C7927" s="34">
        <v>12.08</v>
      </c>
      <c r="D7927" s="36">
        <v>45872.0</v>
      </c>
      <c r="E7927" s="24"/>
      <c r="F7927" s="14">
        <v>2.01</v>
      </c>
      <c r="G7927" s="14">
        <v>84.48</v>
      </c>
      <c r="H7927" s="14">
        <v>4.2</v>
      </c>
      <c r="I7927" s="14" t="s">
        <v>6102</v>
      </c>
      <c r="J7927" s="14">
        <v>0.0</v>
      </c>
      <c r="K7927" s="14" t="s">
        <v>6012</v>
      </c>
      <c r="L7927" s="14">
        <v>0.0</v>
      </c>
    </row>
    <row r="7928">
      <c r="A7928" s="14">
        <v>408.0</v>
      </c>
      <c r="B7928" s="14">
        <v>0.0</v>
      </c>
      <c r="C7928" s="34">
        <v>20.94</v>
      </c>
      <c r="D7928" s="36">
        <v>45873.0</v>
      </c>
      <c r="E7928" s="24"/>
      <c r="F7928" s="14" t="s">
        <v>6012</v>
      </c>
      <c r="G7928" s="14">
        <v>51.32</v>
      </c>
      <c r="H7928" s="14">
        <v>0.0</v>
      </c>
      <c r="I7928" s="14" t="s">
        <v>6099</v>
      </c>
      <c r="J7928" s="14" t="s">
        <v>6012</v>
      </c>
      <c r="K7928" s="14" t="s">
        <v>6012</v>
      </c>
      <c r="L7928" s="14">
        <v>0.0</v>
      </c>
    </row>
    <row r="7929">
      <c r="A7929" s="14">
        <v>169.0</v>
      </c>
      <c r="B7929" s="14">
        <v>2.0</v>
      </c>
      <c r="C7929" s="34">
        <v>47.87</v>
      </c>
      <c r="D7929" s="36">
        <v>45873.0</v>
      </c>
      <c r="E7929" s="24"/>
      <c r="F7929" s="14">
        <v>23.94</v>
      </c>
      <c r="G7929" s="14">
        <v>283.25</v>
      </c>
      <c r="H7929" s="14">
        <v>1.18</v>
      </c>
      <c r="I7929" s="14" t="s">
        <v>6101</v>
      </c>
      <c r="J7929" s="14">
        <v>0.0</v>
      </c>
      <c r="K7929" s="14" t="s">
        <v>6012</v>
      </c>
      <c r="L7929" s="14">
        <v>0.0</v>
      </c>
    </row>
    <row r="7930">
      <c r="A7930" s="14">
        <v>78.0</v>
      </c>
      <c r="B7930" s="14">
        <v>0.0</v>
      </c>
      <c r="C7930" s="34">
        <v>23.8</v>
      </c>
      <c r="D7930" s="36">
        <v>45873.0</v>
      </c>
      <c r="E7930" s="24"/>
      <c r="F7930" s="14" t="s">
        <v>6012</v>
      </c>
      <c r="G7930" s="14">
        <v>305.13</v>
      </c>
      <c r="H7930" s="14">
        <v>0.0</v>
      </c>
      <c r="I7930" s="14" t="s">
        <v>6100</v>
      </c>
      <c r="J7930" s="14" t="s">
        <v>6012</v>
      </c>
      <c r="K7930" s="14" t="s">
        <v>6012</v>
      </c>
      <c r="L7930" s="14">
        <v>0.0</v>
      </c>
    </row>
    <row r="7931">
      <c r="A7931" s="14">
        <v>1213.0</v>
      </c>
      <c r="B7931" s="14">
        <v>54.0</v>
      </c>
      <c r="C7931" s="34">
        <v>22.11</v>
      </c>
      <c r="D7931" s="36">
        <v>45873.0</v>
      </c>
      <c r="E7931" s="24"/>
      <c r="F7931" s="14">
        <v>0.41</v>
      </c>
      <c r="G7931" s="14">
        <v>18.23</v>
      </c>
      <c r="H7931" s="14">
        <v>4.45</v>
      </c>
      <c r="I7931" s="14" t="s">
        <v>6102</v>
      </c>
      <c r="J7931" s="14">
        <v>0.0</v>
      </c>
      <c r="K7931" s="14" t="s">
        <v>6012</v>
      </c>
      <c r="L7931" s="14">
        <v>0.0</v>
      </c>
    </row>
    <row r="7932">
      <c r="A7932" s="14">
        <v>588.0</v>
      </c>
      <c r="B7932" s="14">
        <v>0.0</v>
      </c>
      <c r="C7932" s="34">
        <v>23.11</v>
      </c>
      <c r="D7932" s="36">
        <v>45874.0</v>
      </c>
      <c r="E7932" s="24"/>
      <c r="F7932" s="14" t="s">
        <v>6012</v>
      </c>
      <c r="G7932" s="14">
        <v>39.3</v>
      </c>
      <c r="H7932" s="14">
        <v>0.0</v>
      </c>
      <c r="I7932" s="14" t="s">
        <v>6103</v>
      </c>
      <c r="J7932" s="14" t="s">
        <v>6012</v>
      </c>
      <c r="K7932" s="14" t="s">
        <v>6012</v>
      </c>
      <c r="L7932" s="14">
        <v>0.0</v>
      </c>
    </row>
    <row r="7933">
      <c r="A7933" s="14">
        <v>202.0</v>
      </c>
      <c r="B7933" s="14">
        <v>1.0</v>
      </c>
      <c r="C7933" s="34">
        <v>42.34</v>
      </c>
      <c r="D7933" s="36">
        <v>45874.0</v>
      </c>
      <c r="E7933" s="24"/>
      <c r="F7933" s="14">
        <v>42.34</v>
      </c>
      <c r="G7933" s="14">
        <v>209.6</v>
      </c>
      <c r="H7933" s="14">
        <v>0.5</v>
      </c>
      <c r="I7933" s="14" t="s">
        <v>6101</v>
      </c>
      <c r="J7933" s="14">
        <v>0.0</v>
      </c>
      <c r="K7933" s="14" t="s">
        <v>6012</v>
      </c>
      <c r="L7933" s="14">
        <v>0.0</v>
      </c>
    </row>
    <row r="7934">
      <c r="A7934" s="14">
        <v>133.0</v>
      </c>
      <c r="B7934" s="14">
        <v>0.0</v>
      </c>
      <c r="C7934" s="34">
        <v>25.26</v>
      </c>
      <c r="D7934" s="36">
        <v>45874.0</v>
      </c>
      <c r="E7934" s="24"/>
      <c r="F7934" s="14" t="s">
        <v>6012</v>
      </c>
      <c r="G7934" s="14">
        <v>189.92</v>
      </c>
      <c r="H7934" s="14">
        <v>0.0</v>
      </c>
      <c r="I7934" s="14" t="s">
        <v>6100</v>
      </c>
      <c r="J7934" s="14" t="s">
        <v>6012</v>
      </c>
      <c r="K7934" s="14" t="s">
        <v>6012</v>
      </c>
      <c r="L7934" s="14">
        <v>0.0</v>
      </c>
    </row>
    <row r="7935">
      <c r="A7935" s="14">
        <v>384.0</v>
      </c>
      <c r="B7935" s="14">
        <v>2.0</v>
      </c>
      <c r="C7935" s="34">
        <v>20.63</v>
      </c>
      <c r="D7935" s="36">
        <v>45874.0</v>
      </c>
      <c r="E7935" s="24"/>
      <c r="F7935" s="14">
        <v>10.32</v>
      </c>
      <c r="G7935" s="14">
        <v>53.72</v>
      </c>
      <c r="H7935" s="14">
        <v>0.52</v>
      </c>
      <c r="I7935" s="14" t="s">
        <v>6104</v>
      </c>
      <c r="J7935" s="14">
        <v>0.0</v>
      </c>
      <c r="K7935" s="14" t="s">
        <v>6012</v>
      </c>
      <c r="L7935" s="14">
        <v>0.0</v>
      </c>
    </row>
    <row r="7936">
      <c r="A7936" s="14">
        <v>384.0</v>
      </c>
      <c r="B7936" s="14">
        <v>1.0</v>
      </c>
      <c r="C7936" s="34">
        <v>23.19</v>
      </c>
      <c r="D7936" s="36">
        <v>45874.0</v>
      </c>
      <c r="E7936" s="24"/>
      <c r="F7936" s="14">
        <v>23.19</v>
      </c>
      <c r="G7936" s="14">
        <v>60.39</v>
      </c>
      <c r="H7936" s="14">
        <v>0.26</v>
      </c>
      <c r="I7936" s="14" t="s">
        <v>6099</v>
      </c>
      <c r="J7936" s="14">
        <v>0.0</v>
      </c>
      <c r="K7936" s="14" t="s">
        <v>6012</v>
      </c>
      <c r="L7936" s="14">
        <v>0.0</v>
      </c>
    </row>
    <row r="7937">
      <c r="A7937" s="14">
        <v>708.0</v>
      </c>
      <c r="B7937" s="14">
        <v>34.0</v>
      </c>
      <c r="C7937" s="34">
        <v>24.68</v>
      </c>
      <c r="D7937" s="36">
        <v>45874.0</v>
      </c>
      <c r="E7937" s="24"/>
      <c r="F7937" s="14">
        <v>0.73</v>
      </c>
      <c r="G7937" s="14">
        <v>34.86</v>
      </c>
      <c r="H7937" s="14">
        <v>4.8</v>
      </c>
      <c r="I7937" s="14" t="s">
        <v>6102</v>
      </c>
      <c r="J7937" s="14">
        <v>0.0</v>
      </c>
      <c r="K7937" s="14" t="s">
        <v>6012</v>
      </c>
      <c r="L7937" s="14">
        <v>0.0</v>
      </c>
    </row>
    <row r="7938">
      <c r="A7938" s="14">
        <v>337.0</v>
      </c>
      <c r="B7938" s="14">
        <v>2.0</v>
      </c>
      <c r="C7938" s="34">
        <v>25.26</v>
      </c>
      <c r="D7938" s="36">
        <v>45875.0</v>
      </c>
      <c r="E7938" s="24"/>
      <c r="F7938" s="14">
        <v>12.63</v>
      </c>
      <c r="G7938" s="14">
        <v>74.96</v>
      </c>
      <c r="H7938" s="14">
        <v>0.59</v>
      </c>
      <c r="I7938" s="14" t="s">
        <v>6103</v>
      </c>
      <c r="J7938" s="14">
        <v>0.0</v>
      </c>
      <c r="K7938" s="14" t="s">
        <v>6012</v>
      </c>
      <c r="L7938" s="14">
        <v>0.0</v>
      </c>
    </row>
    <row r="7939">
      <c r="A7939" s="14">
        <v>89.0</v>
      </c>
      <c r="B7939" s="14">
        <v>0.0</v>
      </c>
      <c r="C7939" s="34">
        <v>25.08</v>
      </c>
      <c r="D7939" s="36">
        <v>45875.0</v>
      </c>
      <c r="E7939" s="24"/>
      <c r="F7939" s="14" t="s">
        <v>6012</v>
      </c>
      <c r="G7939" s="14">
        <v>281.8</v>
      </c>
      <c r="H7939" s="14">
        <v>0.0</v>
      </c>
      <c r="I7939" s="14" t="s">
        <v>6100</v>
      </c>
      <c r="J7939" s="14" t="s">
        <v>6012</v>
      </c>
      <c r="K7939" s="14" t="s">
        <v>6012</v>
      </c>
      <c r="L7939" s="14">
        <v>0.0</v>
      </c>
    </row>
    <row r="7940">
      <c r="A7940" s="14">
        <v>233.0</v>
      </c>
      <c r="B7940" s="14">
        <v>1.0</v>
      </c>
      <c r="C7940" s="34">
        <v>23.99</v>
      </c>
      <c r="D7940" s="36">
        <v>45875.0</v>
      </c>
      <c r="E7940" s="24"/>
      <c r="F7940" s="14">
        <v>23.99</v>
      </c>
      <c r="G7940" s="14">
        <v>102.96</v>
      </c>
      <c r="H7940" s="14">
        <v>0.43</v>
      </c>
      <c r="I7940" s="14" t="s">
        <v>6099</v>
      </c>
      <c r="J7940" s="14">
        <v>0.0</v>
      </c>
      <c r="K7940" s="14" t="s">
        <v>6012</v>
      </c>
      <c r="L7940" s="14">
        <v>0.0</v>
      </c>
    </row>
    <row r="7941">
      <c r="A7941" s="14">
        <v>518.0</v>
      </c>
      <c r="B7941" s="14">
        <v>40.0</v>
      </c>
      <c r="C7941" s="34">
        <v>24.85</v>
      </c>
      <c r="D7941" s="36">
        <v>45875.0</v>
      </c>
      <c r="E7941" s="24"/>
      <c r="F7941" s="14">
        <v>0.62</v>
      </c>
      <c r="G7941" s="14">
        <v>47.97</v>
      </c>
      <c r="H7941" s="14">
        <v>7.72</v>
      </c>
      <c r="I7941" s="14" t="s">
        <v>6102</v>
      </c>
      <c r="J7941" s="14">
        <v>0.0</v>
      </c>
      <c r="K7941" s="14" t="s">
        <v>6012</v>
      </c>
      <c r="L7941" s="14">
        <v>0.0</v>
      </c>
    </row>
    <row r="7942">
      <c r="A7942" s="14">
        <v>193.0</v>
      </c>
      <c r="B7942" s="14">
        <v>0.0</v>
      </c>
      <c r="C7942" s="34">
        <v>34.25</v>
      </c>
      <c r="D7942" s="36">
        <v>45875.0</v>
      </c>
      <c r="E7942" s="24"/>
      <c r="F7942" s="14" t="s">
        <v>6012</v>
      </c>
      <c r="G7942" s="14">
        <v>177.46</v>
      </c>
      <c r="H7942" s="14">
        <v>0.0</v>
      </c>
      <c r="I7942" s="14" t="s">
        <v>6101</v>
      </c>
      <c r="J7942" s="14" t="s">
        <v>6012</v>
      </c>
      <c r="K7942" s="14" t="s">
        <v>6012</v>
      </c>
      <c r="L7942" s="14">
        <v>0.0</v>
      </c>
    </row>
    <row r="7943">
      <c r="A7943" s="14">
        <v>247.0</v>
      </c>
      <c r="B7943" s="14">
        <v>4.0</v>
      </c>
      <c r="C7943" s="34">
        <v>24.38</v>
      </c>
      <c r="D7943" s="36">
        <v>45875.0</v>
      </c>
      <c r="E7943" s="24"/>
      <c r="F7943" s="14">
        <v>6.1</v>
      </c>
      <c r="G7943" s="14">
        <v>98.7</v>
      </c>
      <c r="H7943" s="14">
        <v>1.62</v>
      </c>
      <c r="I7943" s="14" t="s">
        <v>6104</v>
      </c>
      <c r="J7943" s="14">
        <v>0.0</v>
      </c>
      <c r="K7943" s="14" t="s">
        <v>6012</v>
      </c>
      <c r="L7943" s="14">
        <v>0.0</v>
      </c>
    </row>
    <row r="7944">
      <c r="A7944" s="14">
        <v>526.0</v>
      </c>
      <c r="B7944" s="14">
        <v>31.0</v>
      </c>
      <c r="C7944" s="34">
        <v>23.37</v>
      </c>
      <c r="D7944" s="36">
        <v>45876.0</v>
      </c>
      <c r="E7944" s="24"/>
      <c r="F7944" s="14">
        <v>0.75</v>
      </c>
      <c r="G7944" s="14">
        <v>44.43</v>
      </c>
      <c r="H7944" s="14">
        <v>5.89</v>
      </c>
      <c r="I7944" s="14" t="s">
        <v>6102</v>
      </c>
      <c r="J7944" s="14">
        <v>0.0</v>
      </c>
      <c r="K7944" s="14" t="s">
        <v>6012</v>
      </c>
      <c r="L7944" s="14">
        <v>0.0</v>
      </c>
    </row>
    <row r="7945">
      <c r="A7945" s="14">
        <v>239.0</v>
      </c>
      <c r="B7945" s="14">
        <v>2.0</v>
      </c>
      <c r="C7945" s="34">
        <v>26.14</v>
      </c>
      <c r="D7945" s="36">
        <v>45876.0</v>
      </c>
      <c r="E7945" s="24"/>
      <c r="F7945" s="14">
        <v>13.07</v>
      </c>
      <c r="G7945" s="14">
        <v>109.37</v>
      </c>
      <c r="H7945" s="14">
        <v>0.84</v>
      </c>
      <c r="I7945" s="14" t="s">
        <v>6103</v>
      </c>
      <c r="J7945" s="14">
        <v>0.0</v>
      </c>
      <c r="K7945" s="14" t="s">
        <v>6012</v>
      </c>
      <c r="L7945" s="14">
        <v>0.0</v>
      </c>
    </row>
    <row r="7946">
      <c r="A7946" s="14">
        <v>91.0</v>
      </c>
      <c r="B7946" s="14">
        <v>0.0</v>
      </c>
      <c r="C7946" s="34">
        <v>22.79</v>
      </c>
      <c r="D7946" s="36">
        <v>45876.0</v>
      </c>
      <c r="E7946" s="24"/>
      <c r="F7946" s="14" t="s">
        <v>6012</v>
      </c>
      <c r="G7946" s="14">
        <v>250.44</v>
      </c>
      <c r="H7946" s="14">
        <v>0.0</v>
      </c>
      <c r="I7946" s="14" t="s">
        <v>6100</v>
      </c>
      <c r="J7946" s="14" t="s">
        <v>6012</v>
      </c>
      <c r="K7946" s="14" t="s">
        <v>6012</v>
      </c>
      <c r="L7946" s="14">
        <v>0.0</v>
      </c>
    </row>
    <row r="7947">
      <c r="A7947" s="14">
        <v>263.0</v>
      </c>
      <c r="B7947" s="14">
        <v>0.0</v>
      </c>
      <c r="C7947" s="34">
        <v>24.65</v>
      </c>
      <c r="D7947" s="36">
        <v>45876.0</v>
      </c>
      <c r="E7947" s="24"/>
      <c r="F7947" s="14" t="s">
        <v>6012</v>
      </c>
      <c r="G7947" s="14">
        <v>93.73</v>
      </c>
      <c r="H7947" s="14">
        <v>0.0</v>
      </c>
      <c r="I7947" s="14" t="s">
        <v>6099</v>
      </c>
      <c r="J7947" s="14" t="s">
        <v>6012</v>
      </c>
      <c r="K7947" s="14" t="s">
        <v>6012</v>
      </c>
      <c r="L7947" s="14">
        <v>0.0</v>
      </c>
    </row>
    <row r="7948">
      <c r="A7948" s="14">
        <v>169.0</v>
      </c>
      <c r="B7948" s="14">
        <v>2.0</v>
      </c>
      <c r="C7948" s="34">
        <v>26.69</v>
      </c>
      <c r="D7948" s="36">
        <v>45876.0</v>
      </c>
      <c r="E7948" s="24"/>
      <c r="F7948" s="14">
        <v>13.34</v>
      </c>
      <c r="G7948" s="14">
        <v>157.93</v>
      </c>
      <c r="H7948" s="14">
        <v>1.18</v>
      </c>
      <c r="I7948" s="14" t="s">
        <v>6104</v>
      </c>
      <c r="J7948" s="14">
        <v>0.0</v>
      </c>
      <c r="K7948" s="14" t="s">
        <v>6012</v>
      </c>
      <c r="L7948" s="14">
        <v>0.0</v>
      </c>
    </row>
    <row r="7949">
      <c r="A7949" s="14">
        <v>425.0</v>
      </c>
      <c r="B7949" s="14">
        <v>11.0</v>
      </c>
      <c r="C7949" s="34">
        <v>21.88</v>
      </c>
      <c r="D7949" s="36">
        <v>45877.0</v>
      </c>
      <c r="E7949" s="24"/>
      <c r="F7949" s="14">
        <v>1.99</v>
      </c>
      <c r="G7949" s="14">
        <v>51.48</v>
      </c>
      <c r="H7949" s="14">
        <v>2.59</v>
      </c>
      <c r="I7949" s="14" t="s">
        <v>6102</v>
      </c>
      <c r="J7949" s="14">
        <v>0.0</v>
      </c>
      <c r="K7949" s="14" t="s">
        <v>6012</v>
      </c>
      <c r="L7949" s="14">
        <v>0.0</v>
      </c>
    </row>
    <row r="7950">
      <c r="A7950" s="14">
        <v>107.0</v>
      </c>
      <c r="B7950" s="14">
        <v>1.0</v>
      </c>
      <c r="C7950" s="34">
        <v>26.5</v>
      </c>
      <c r="D7950" s="36">
        <v>45877.0</v>
      </c>
      <c r="E7950" s="24"/>
      <c r="F7950" s="14">
        <v>26.5</v>
      </c>
      <c r="G7950" s="14">
        <v>247.66</v>
      </c>
      <c r="H7950" s="14">
        <v>0.93</v>
      </c>
      <c r="I7950" s="14" t="s">
        <v>6104</v>
      </c>
      <c r="J7950" s="14">
        <v>0.0</v>
      </c>
      <c r="K7950" s="14" t="s">
        <v>6012</v>
      </c>
      <c r="L7950" s="14">
        <v>0.0</v>
      </c>
    </row>
    <row r="7951">
      <c r="A7951" s="14">
        <v>302.0</v>
      </c>
      <c r="B7951" s="14">
        <v>2.0</v>
      </c>
      <c r="C7951" s="34">
        <v>20.49</v>
      </c>
      <c r="D7951" s="36">
        <v>45877.0</v>
      </c>
      <c r="E7951" s="24"/>
      <c r="F7951" s="14">
        <v>10.24</v>
      </c>
      <c r="G7951" s="14">
        <v>67.85</v>
      </c>
      <c r="H7951" s="14">
        <v>0.66</v>
      </c>
      <c r="I7951" s="14" t="s">
        <v>6099</v>
      </c>
      <c r="J7951" s="14">
        <v>0.0</v>
      </c>
      <c r="K7951" s="14" t="s">
        <v>6012</v>
      </c>
      <c r="L7951" s="14">
        <v>0.0</v>
      </c>
    </row>
    <row r="7952">
      <c r="A7952" s="14">
        <v>163.0</v>
      </c>
      <c r="B7952" s="14">
        <v>1.0</v>
      </c>
      <c r="C7952" s="34">
        <v>27.04</v>
      </c>
      <c r="D7952" s="36">
        <v>45877.0</v>
      </c>
      <c r="E7952" s="24"/>
      <c r="F7952" s="14">
        <v>27.04</v>
      </c>
      <c r="G7952" s="14">
        <v>165.89</v>
      </c>
      <c r="H7952" s="14">
        <v>0.61</v>
      </c>
      <c r="I7952" s="14" t="s">
        <v>6103</v>
      </c>
      <c r="J7952" s="14">
        <v>0.0</v>
      </c>
      <c r="K7952" s="14" t="s">
        <v>6012</v>
      </c>
      <c r="L7952" s="14">
        <v>0.0</v>
      </c>
    </row>
    <row r="7953">
      <c r="A7953" s="14">
        <v>95.0</v>
      </c>
      <c r="B7953" s="14">
        <v>0.0</v>
      </c>
      <c r="C7953" s="34">
        <v>18.95</v>
      </c>
      <c r="D7953" s="36">
        <v>45877.0</v>
      </c>
      <c r="E7953" s="24"/>
      <c r="F7953" s="14" t="s">
        <v>6012</v>
      </c>
      <c r="G7953" s="14">
        <v>199.47</v>
      </c>
      <c r="H7953" s="14">
        <v>0.0</v>
      </c>
      <c r="I7953" s="14" t="s">
        <v>6100</v>
      </c>
      <c r="J7953" s="14" t="s">
        <v>6012</v>
      </c>
      <c r="K7953" s="14" t="s">
        <v>6012</v>
      </c>
      <c r="L7953" s="14">
        <v>0.0</v>
      </c>
    </row>
    <row r="7954">
      <c r="A7954" s="14">
        <v>78.0</v>
      </c>
      <c r="B7954" s="14">
        <v>0.0</v>
      </c>
      <c r="C7954" s="34">
        <v>15.03</v>
      </c>
      <c r="D7954" s="36">
        <v>45878.0</v>
      </c>
      <c r="E7954" s="24"/>
      <c r="F7954" s="14" t="s">
        <v>6012</v>
      </c>
      <c r="G7954" s="14">
        <v>192.69</v>
      </c>
      <c r="H7954" s="14">
        <v>0.0</v>
      </c>
      <c r="I7954" s="14" t="s">
        <v>6103</v>
      </c>
      <c r="J7954" s="14" t="s">
        <v>6012</v>
      </c>
      <c r="K7954" s="14" t="s">
        <v>6012</v>
      </c>
      <c r="L7954" s="14">
        <v>0.0</v>
      </c>
    </row>
    <row r="7955">
      <c r="A7955" s="14">
        <v>44.0</v>
      </c>
      <c r="B7955" s="14">
        <v>0.0</v>
      </c>
      <c r="C7955" s="34">
        <v>9.78</v>
      </c>
      <c r="D7955" s="36">
        <v>45878.0</v>
      </c>
      <c r="E7955" s="24"/>
      <c r="F7955" s="14" t="s">
        <v>6012</v>
      </c>
      <c r="G7955" s="14">
        <v>222.27</v>
      </c>
      <c r="H7955" s="14">
        <v>0.0</v>
      </c>
      <c r="I7955" s="14" t="s">
        <v>6100</v>
      </c>
      <c r="J7955" s="14" t="s">
        <v>6012</v>
      </c>
      <c r="K7955" s="14" t="s">
        <v>6012</v>
      </c>
      <c r="L7955" s="14">
        <v>0.0</v>
      </c>
    </row>
    <row r="7956">
      <c r="A7956" s="14">
        <v>113.0</v>
      </c>
      <c r="B7956" s="14">
        <v>1.0</v>
      </c>
      <c r="C7956" s="34">
        <v>12.2</v>
      </c>
      <c r="D7956" s="36">
        <v>45878.0</v>
      </c>
      <c r="E7956" s="24"/>
      <c r="F7956" s="14">
        <v>12.2</v>
      </c>
      <c r="G7956" s="14">
        <v>107.96</v>
      </c>
      <c r="H7956" s="14">
        <v>0.88</v>
      </c>
      <c r="I7956" s="14" t="s">
        <v>6099</v>
      </c>
      <c r="J7956" s="14">
        <v>0.0</v>
      </c>
      <c r="K7956" s="14" t="s">
        <v>6012</v>
      </c>
      <c r="L7956" s="14">
        <v>0.0</v>
      </c>
    </row>
    <row r="7957">
      <c r="A7957" s="14">
        <v>52.0</v>
      </c>
      <c r="B7957" s="14">
        <v>0.0</v>
      </c>
      <c r="C7957" s="34">
        <v>16.57</v>
      </c>
      <c r="D7957" s="36">
        <v>45878.0</v>
      </c>
      <c r="E7957" s="24"/>
      <c r="F7957" s="14" t="s">
        <v>6012</v>
      </c>
      <c r="G7957" s="14">
        <v>318.65</v>
      </c>
      <c r="H7957" s="14">
        <v>0.0</v>
      </c>
      <c r="I7957" s="14" t="s">
        <v>6104</v>
      </c>
      <c r="J7957" s="14" t="s">
        <v>6012</v>
      </c>
      <c r="K7957" s="14" t="s">
        <v>6012</v>
      </c>
      <c r="L7957" s="14">
        <v>0.0</v>
      </c>
    </row>
    <row r="7958">
      <c r="A7958" s="14">
        <v>233.0</v>
      </c>
      <c r="B7958" s="14">
        <v>3.0</v>
      </c>
      <c r="C7958" s="34">
        <v>12.31</v>
      </c>
      <c r="D7958" s="36">
        <v>45878.0</v>
      </c>
      <c r="E7958" s="24"/>
      <c r="F7958" s="14">
        <v>4.1</v>
      </c>
      <c r="G7958" s="14">
        <v>52.83</v>
      </c>
      <c r="H7958" s="14">
        <v>1.29</v>
      </c>
      <c r="I7958" s="14" t="s">
        <v>6102</v>
      </c>
      <c r="J7958" s="14">
        <v>0.0</v>
      </c>
      <c r="K7958" s="14" t="s">
        <v>6012</v>
      </c>
      <c r="L7958" s="14">
        <v>0.0</v>
      </c>
    </row>
    <row r="7959">
      <c r="A7959" s="14">
        <v>246.0</v>
      </c>
      <c r="B7959" s="14">
        <v>8.0</v>
      </c>
      <c r="C7959" s="34">
        <v>11.27</v>
      </c>
      <c r="D7959" s="36">
        <v>45879.0</v>
      </c>
      <c r="E7959" s="24"/>
      <c r="F7959" s="14">
        <v>1.41</v>
      </c>
      <c r="G7959" s="14">
        <v>45.81</v>
      </c>
      <c r="H7959" s="14">
        <v>3.25</v>
      </c>
      <c r="I7959" s="14" t="s">
        <v>6102</v>
      </c>
      <c r="J7959" s="14">
        <v>0.0</v>
      </c>
      <c r="K7959" s="14" t="s">
        <v>6012</v>
      </c>
      <c r="L7959" s="14">
        <v>0.0</v>
      </c>
    </row>
    <row r="7960">
      <c r="A7960" s="14">
        <v>13.0</v>
      </c>
      <c r="B7960" s="14">
        <v>1.0</v>
      </c>
      <c r="C7960" s="34">
        <v>8.61</v>
      </c>
      <c r="D7960" s="36">
        <v>45879.0</v>
      </c>
      <c r="E7960" s="24"/>
      <c r="F7960" s="14">
        <v>8.61</v>
      </c>
      <c r="G7960" s="14">
        <v>662.31</v>
      </c>
      <c r="H7960" s="14">
        <v>7.69</v>
      </c>
      <c r="I7960" s="14" t="s">
        <v>6104</v>
      </c>
      <c r="J7960" s="14">
        <v>0.0</v>
      </c>
      <c r="K7960" s="14" t="s">
        <v>6012</v>
      </c>
      <c r="L7960" s="14">
        <v>0.0</v>
      </c>
    </row>
    <row r="7961">
      <c r="A7961" s="14">
        <v>93.0</v>
      </c>
      <c r="B7961" s="14">
        <v>0.0</v>
      </c>
      <c r="C7961" s="34">
        <v>8.59</v>
      </c>
      <c r="D7961" s="36">
        <v>45879.0</v>
      </c>
      <c r="E7961" s="24"/>
      <c r="F7961" s="14" t="s">
        <v>6012</v>
      </c>
      <c r="G7961" s="14">
        <v>92.37</v>
      </c>
      <c r="H7961" s="14">
        <v>0.0</v>
      </c>
      <c r="I7961" s="14" t="s">
        <v>6099</v>
      </c>
      <c r="J7961" s="14" t="s">
        <v>6012</v>
      </c>
      <c r="K7961" s="14" t="s">
        <v>6012</v>
      </c>
      <c r="L7961" s="14">
        <v>0.0</v>
      </c>
    </row>
    <row r="7962">
      <c r="A7962" s="14">
        <v>30.0</v>
      </c>
      <c r="B7962" s="14">
        <v>1.0</v>
      </c>
      <c r="C7962" s="34">
        <v>7.34</v>
      </c>
      <c r="D7962" s="36">
        <v>45879.0</v>
      </c>
      <c r="E7962" s="24"/>
      <c r="F7962" s="14">
        <v>7.34</v>
      </c>
      <c r="G7962" s="14">
        <v>244.67</v>
      </c>
      <c r="H7962" s="14">
        <v>3.33</v>
      </c>
      <c r="I7962" s="14" t="s">
        <v>6100</v>
      </c>
      <c r="J7962" s="14">
        <v>0.0</v>
      </c>
      <c r="K7962" s="14" t="s">
        <v>6012</v>
      </c>
      <c r="L7962" s="14">
        <v>0.0</v>
      </c>
    </row>
    <row r="7963">
      <c r="A7963" s="14">
        <v>40.0</v>
      </c>
      <c r="B7963" s="14">
        <v>0.0</v>
      </c>
      <c r="C7963" s="34">
        <v>10.92</v>
      </c>
      <c r="D7963" s="36">
        <v>45879.0</v>
      </c>
      <c r="E7963" s="24"/>
      <c r="F7963" s="14" t="s">
        <v>6012</v>
      </c>
      <c r="G7963" s="14">
        <v>273.0</v>
      </c>
      <c r="H7963" s="14">
        <v>0.0</v>
      </c>
      <c r="I7963" s="14" t="s">
        <v>6103</v>
      </c>
      <c r="J7963" s="14" t="s">
        <v>6012</v>
      </c>
      <c r="K7963" s="14" t="s">
        <v>6012</v>
      </c>
      <c r="L7963" s="14">
        <v>0.0</v>
      </c>
    </row>
    <row r="7964">
      <c r="A7964" s="14">
        <v>402.0</v>
      </c>
      <c r="B7964" s="14">
        <v>23.0</v>
      </c>
      <c r="C7964" s="34">
        <v>24.17</v>
      </c>
      <c r="D7964" s="36">
        <v>45880.0</v>
      </c>
      <c r="E7964" s="24"/>
      <c r="F7964" s="14">
        <v>1.05</v>
      </c>
      <c r="G7964" s="14">
        <v>60.12</v>
      </c>
      <c r="H7964" s="14">
        <v>5.72</v>
      </c>
      <c r="I7964" s="14" t="s">
        <v>6102</v>
      </c>
      <c r="J7964" s="14">
        <v>0.0</v>
      </c>
      <c r="K7964" s="14" t="s">
        <v>6012</v>
      </c>
      <c r="L7964" s="14">
        <v>0.0</v>
      </c>
    </row>
    <row r="7965">
      <c r="A7965" s="14">
        <v>79.0</v>
      </c>
      <c r="B7965" s="14">
        <v>0.0</v>
      </c>
      <c r="C7965" s="34">
        <v>23.86</v>
      </c>
      <c r="D7965" s="36">
        <v>45880.0</v>
      </c>
      <c r="E7965" s="24"/>
      <c r="F7965" s="14" t="s">
        <v>6012</v>
      </c>
      <c r="G7965" s="14">
        <v>302.03</v>
      </c>
      <c r="H7965" s="14">
        <v>0.0</v>
      </c>
      <c r="I7965" s="14" t="s">
        <v>6103</v>
      </c>
      <c r="J7965" s="14" t="s">
        <v>6012</v>
      </c>
      <c r="K7965" s="14" t="s">
        <v>6012</v>
      </c>
      <c r="L7965" s="14">
        <v>0.0</v>
      </c>
    </row>
    <row r="7966">
      <c r="A7966" s="14">
        <v>341.0</v>
      </c>
      <c r="B7966" s="14">
        <v>1.0</v>
      </c>
      <c r="C7966" s="34">
        <v>22.38</v>
      </c>
      <c r="D7966" s="36">
        <v>45880.0</v>
      </c>
      <c r="E7966" s="24"/>
      <c r="F7966" s="14">
        <v>22.38</v>
      </c>
      <c r="G7966" s="14">
        <v>65.63</v>
      </c>
      <c r="H7966" s="14">
        <v>0.29</v>
      </c>
      <c r="I7966" s="14" t="s">
        <v>6099</v>
      </c>
      <c r="J7966" s="14">
        <v>0.0</v>
      </c>
      <c r="K7966" s="14" t="s">
        <v>6012</v>
      </c>
      <c r="L7966" s="14">
        <v>0.0</v>
      </c>
    </row>
    <row r="7967">
      <c r="A7967" s="14">
        <v>51.0</v>
      </c>
      <c r="B7967" s="14">
        <v>0.0</v>
      </c>
      <c r="C7967" s="34">
        <v>25.33</v>
      </c>
      <c r="D7967" s="36">
        <v>45880.0</v>
      </c>
      <c r="E7967" s="24"/>
      <c r="F7967" s="14" t="s">
        <v>6012</v>
      </c>
      <c r="G7967" s="14">
        <v>496.67</v>
      </c>
      <c r="H7967" s="14">
        <v>0.0</v>
      </c>
      <c r="I7967" s="14" t="s">
        <v>6104</v>
      </c>
      <c r="J7967" s="14" t="s">
        <v>6012</v>
      </c>
      <c r="K7967" s="14" t="s">
        <v>6012</v>
      </c>
      <c r="L7967" s="14">
        <v>0.0</v>
      </c>
    </row>
    <row r="7968">
      <c r="A7968" s="14">
        <v>75.0</v>
      </c>
      <c r="B7968" s="14">
        <v>0.0</v>
      </c>
      <c r="C7968" s="34">
        <v>24.22</v>
      </c>
      <c r="D7968" s="36">
        <v>45880.0</v>
      </c>
      <c r="E7968" s="24"/>
      <c r="F7968" s="14" t="s">
        <v>6012</v>
      </c>
      <c r="G7968" s="14">
        <v>322.93</v>
      </c>
      <c r="H7968" s="14">
        <v>0.0</v>
      </c>
      <c r="I7968" s="14" t="s">
        <v>6100</v>
      </c>
      <c r="J7968" s="14" t="s">
        <v>6012</v>
      </c>
      <c r="K7968" s="14" t="s">
        <v>6012</v>
      </c>
      <c r="L7968" s="14">
        <v>0.0</v>
      </c>
    </row>
    <row r="7969">
      <c r="A7969" s="14">
        <v>59.0</v>
      </c>
      <c r="B7969" s="14">
        <v>2.0</v>
      </c>
      <c r="C7969" s="34">
        <v>23.53</v>
      </c>
      <c r="D7969" s="36">
        <v>45881.0</v>
      </c>
      <c r="E7969" s="24"/>
      <c r="F7969" s="14">
        <v>11.76</v>
      </c>
      <c r="G7969" s="14">
        <v>398.81</v>
      </c>
      <c r="H7969" s="14">
        <v>3.39</v>
      </c>
      <c r="I7969" s="14" t="s">
        <v>6104</v>
      </c>
      <c r="J7969" s="14">
        <v>0.0</v>
      </c>
      <c r="K7969" s="14" t="s">
        <v>6012</v>
      </c>
      <c r="L7969" s="14">
        <v>0.0</v>
      </c>
    </row>
    <row r="7970">
      <c r="A7970" s="14">
        <v>304.0</v>
      </c>
      <c r="B7970" s="14">
        <v>3.0</v>
      </c>
      <c r="C7970" s="34">
        <v>24.22</v>
      </c>
      <c r="D7970" s="36">
        <v>45881.0</v>
      </c>
      <c r="E7970" s="24"/>
      <c r="F7970" s="14">
        <v>8.07</v>
      </c>
      <c r="G7970" s="14">
        <v>79.67</v>
      </c>
      <c r="H7970" s="14">
        <v>0.99</v>
      </c>
      <c r="I7970" s="14" t="s">
        <v>6099</v>
      </c>
      <c r="J7970" s="14">
        <v>0.0</v>
      </c>
      <c r="K7970" s="14" t="s">
        <v>6012</v>
      </c>
      <c r="L7970" s="14">
        <v>0.0</v>
      </c>
    </row>
    <row r="7971">
      <c r="A7971" s="14">
        <v>145.0</v>
      </c>
      <c r="B7971" s="14">
        <v>1.0</v>
      </c>
      <c r="C7971" s="34">
        <v>23.99</v>
      </c>
      <c r="D7971" s="36">
        <v>45881.0</v>
      </c>
      <c r="E7971" s="24"/>
      <c r="F7971" s="14">
        <v>23.99</v>
      </c>
      <c r="G7971" s="14">
        <v>165.45</v>
      </c>
      <c r="H7971" s="14">
        <v>0.69</v>
      </c>
      <c r="I7971" s="14" t="s">
        <v>6103</v>
      </c>
      <c r="J7971" s="14">
        <v>0.0</v>
      </c>
      <c r="K7971" s="14" t="s">
        <v>6012</v>
      </c>
      <c r="L7971" s="14">
        <v>0.0</v>
      </c>
    </row>
    <row r="7972">
      <c r="A7972" s="14">
        <v>373.0</v>
      </c>
      <c r="B7972" s="14">
        <v>6.0</v>
      </c>
      <c r="C7972" s="34">
        <v>23.34</v>
      </c>
      <c r="D7972" s="36">
        <v>45881.0</v>
      </c>
      <c r="E7972" s="24"/>
      <c r="F7972" s="14">
        <v>3.89</v>
      </c>
      <c r="G7972" s="14">
        <v>62.57</v>
      </c>
      <c r="H7972" s="14">
        <v>1.61</v>
      </c>
      <c r="I7972" s="14" t="s">
        <v>6102</v>
      </c>
      <c r="J7972" s="14">
        <v>0.0</v>
      </c>
      <c r="K7972" s="14" t="s">
        <v>6012</v>
      </c>
      <c r="L7972" s="14">
        <v>0.0</v>
      </c>
    </row>
    <row r="7973">
      <c r="A7973" s="14">
        <v>65.0</v>
      </c>
      <c r="B7973" s="14">
        <v>0.0</v>
      </c>
      <c r="C7973" s="34">
        <v>10.79</v>
      </c>
      <c r="D7973" s="36">
        <v>45881.0</v>
      </c>
      <c r="E7973" s="24"/>
      <c r="F7973" s="14" t="s">
        <v>6012</v>
      </c>
      <c r="G7973" s="14">
        <v>166.0</v>
      </c>
      <c r="H7973" s="14">
        <v>0.0</v>
      </c>
      <c r="I7973" s="14" t="s">
        <v>6100</v>
      </c>
      <c r="J7973" s="14" t="s">
        <v>6012</v>
      </c>
      <c r="K7973" s="14" t="s">
        <v>6012</v>
      </c>
      <c r="L7973" s="14">
        <v>0.0</v>
      </c>
    </row>
    <row r="7974">
      <c r="A7974" s="14">
        <v>269.0</v>
      </c>
      <c r="B7974" s="14">
        <v>0.0</v>
      </c>
      <c r="C7974" s="34">
        <v>23.41</v>
      </c>
      <c r="D7974" s="36">
        <v>45882.0</v>
      </c>
      <c r="E7974" s="24"/>
      <c r="F7974" s="14" t="s">
        <v>6012</v>
      </c>
      <c r="G7974" s="14">
        <v>87.03</v>
      </c>
      <c r="H7974" s="14">
        <v>0.0</v>
      </c>
      <c r="I7974" s="14" t="s">
        <v>6099</v>
      </c>
      <c r="J7974" s="14" t="s">
        <v>6012</v>
      </c>
      <c r="K7974" s="14" t="s">
        <v>6012</v>
      </c>
      <c r="L7974" s="14">
        <v>0.0</v>
      </c>
    </row>
    <row r="7975">
      <c r="A7975" s="14">
        <v>628.0</v>
      </c>
      <c r="B7975" s="14">
        <v>10.0</v>
      </c>
      <c r="C7975" s="34">
        <v>23.13</v>
      </c>
      <c r="D7975" s="36">
        <v>45882.0</v>
      </c>
      <c r="E7975" s="24"/>
      <c r="F7975" s="14">
        <v>2.31</v>
      </c>
      <c r="G7975" s="14">
        <v>36.83</v>
      </c>
      <c r="H7975" s="14">
        <v>1.59</v>
      </c>
      <c r="I7975" s="14" t="s">
        <v>6105</v>
      </c>
      <c r="J7975" s="14">
        <v>0.0</v>
      </c>
      <c r="K7975" s="14" t="s">
        <v>6012</v>
      </c>
      <c r="L7975" s="14">
        <v>0.0</v>
      </c>
    </row>
    <row r="7976">
      <c r="A7976" s="14">
        <v>130.0</v>
      </c>
      <c r="B7976" s="14">
        <v>0.0</v>
      </c>
      <c r="C7976" s="34">
        <v>24.0</v>
      </c>
      <c r="D7976" s="36">
        <v>45882.0</v>
      </c>
      <c r="E7976" s="24"/>
      <c r="F7976" s="14" t="s">
        <v>6012</v>
      </c>
      <c r="G7976" s="14">
        <v>184.62</v>
      </c>
      <c r="H7976" s="14">
        <v>0.0</v>
      </c>
      <c r="I7976" s="14" t="s">
        <v>6103</v>
      </c>
      <c r="J7976" s="14" t="s">
        <v>6012</v>
      </c>
      <c r="K7976" s="14" t="s">
        <v>6012</v>
      </c>
      <c r="L7976" s="14">
        <v>0.0</v>
      </c>
    </row>
    <row r="7977">
      <c r="A7977" s="14">
        <v>249.0</v>
      </c>
      <c r="B7977" s="14">
        <v>1.0</v>
      </c>
      <c r="C7977" s="34">
        <v>20.18</v>
      </c>
      <c r="D7977" s="36">
        <v>45882.0</v>
      </c>
      <c r="E7977" s="24"/>
      <c r="F7977" s="14">
        <v>20.18</v>
      </c>
      <c r="G7977" s="14">
        <v>81.04</v>
      </c>
      <c r="H7977" s="14">
        <v>0.4</v>
      </c>
      <c r="I7977" s="14" t="s">
        <v>6102</v>
      </c>
      <c r="J7977" s="14">
        <v>0.0</v>
      </c>
      <c r="K7977" s="14" t="s">
        <v>6012</v>
      </c>
      <c r="L7977" s="14">
        <v>0.0</v>
      </c>
    </row>
    <row r="7978">
      <c r="A7978" s="14">
        <v>92.0</v>
      </c>
      <c r="B7978" s="14">
        <v>2.0</v>
      </c>
      <c r="C7978" s="34">
        <v>21.84</v>
      </c>
      <c r="D7978" s="36">
        <v>45882.0</v>
      </c>
      <c r="E7978" s="24"/>
      <c r="F7978" s="14">
        <v>10.92</v>
      </c>
      <c r="G7978" s="14">
        <v>237.39</v>
      </c>
      <c r="H7978" s="14">
        <v>2.17</v>
      </c>
      <c r="I7978" s="14" t="s">
        <v>6104</v>
      </c>
      <c r="J7978" s="14">
        <v>0.0</v>
      </c>
      <c r="K7978" s="14" t="s">
        <v>6012</v>
      </c>
      <c r="L7978" s="14">
        <v>0.0</v>
      </c>
    </row>
    <row r="7979">
      <c r="A7979" s="14">
        <v>885.0</v>
      </c>
      <c r="B7979" s="14">
        <v>2.0</v>
      </c>
      <c r="C7979" s="34">
        <v>28.5</v>
      </c>
      <c r="D7979" s="36">
        <v>45883.0</v>
      </c>
      <c r="E7979" s="24"/>
      <c r="F7979" s="14">
        <v>14.25</v>
      </c>
      <c r="G7979" s="14">
        <v>32.2</v>
      </c>
      <c r="H7979" s="14">
        <v>0.23</v>
      </c>
      <c r="I7979" s="14" t="s">
        <v>6102</v>
      </c>
      <c r="J7979" s="14">
        <v>0.0</v>
      </c>
      <c r="K7979" s="14" t="s">
        <v>6012</v>
      </c>
      <c r="L7979" s="14">
        <v>0.0</v>
      </c>
    </row>
    <row r="7980">
      <c r="A7980" s="14">
        <v>448.0</v>
      </c>
      <c r="B7980" s="14">
        <v>15.0</v>
      </c>
      <c r="C7980" s="34">
        <v>22.14</v>
      </c>
      <c r="D7980" s="36">
        <v>45883.0</v>
      </c>
      <c r="E7980" s="24"/>
      <c r="F7980" s="14">
        <v>1.48</v>
      </c>
      <c r="G7980" s="14">
        <v>49.42</v>
      </c>
      <c r="H7980" s="14">
        <v>3.35</v>
      </c>
      <c r="I7980" s="14" t="s">
        <v>6104</v>
      </c>
      <c r="J7980" s="14">
        <v>0.0</v>
      </c>
      <c r="K7980" s="14" t="s">
        <v>6012</v>
      </c>
      <c r="L7980" s="14">
        <v>0.0</v>
      </c>
    </row>
    <row r="7981">
      <c r="A7981" s="14">
        <v>280.0</v>
      </c>
      <c r="B7981" s="14">
        <v>2.0</v>
      </c>
      <c r="C7981" s="34">
        <v>23.09</v>
      </c>
      <c r="D7981" s="36">
        <v>45883.0</v>
      </c>
      <c r="E7981" s="24"/>
      <c r="F7981" s="14">
        <v>11.54</v>
      </c>
      <c r="G7981" s="14">
        <v>82.46</v>
      </c>
      <c r="H7981" s="14">
        <v>0.71</v>
      </c>
      <c r="I7981" s="14" t="s">
        <v>6099</v>
      </c>
      <c r="J7981" s="14">
        <v>0.0</v>
      </c>
      <c r="K7981" s="14" t="s">
        <v>6012</v>
      </c>
      <c r="L7981" s="14">
        <v>0.0</v>
      </c>
    </row>
    <row r="7982">
      <c r="A7982" s="14">
        <v>96.0</v>
      </c>
      <c r="B7982" s="14">
        <v>3.0</v>
      </c>
      <c r="C7982" s="34">
        <v>22.2</v>
      </c>
      <c r="D7982" s="36">
        <v>45883.0</v>
      </c>
      <c r="E7982" s="24"/>
      <c r="F7982" s="14">
        <v>7.4</v>
      </c>
      <c r="G7982" s="14">
        <v>231.25</v>
      </c>
      <c r="H7982" s="14">
        <v>3.12</v>
      </c>
      <c r="I7982" s="14" t="s">
        <v>6103</v>
      </c>
      <c r="J7982" s="14">
        <v>0.0</v>
      </c>
      <c r="K7982" s="14" t="s">
        <v>6012</v>
      </c>
      <c r="L7982" s="14">
        <v>0.0</v>
      </c>
    </row>
    <row r="7983">
      <c r="A7983" s="14">
        <v>286.0</v>
      </c>
      <c r="B7983" s="14">
        <v>6.0</v>
      </c>
      <c r="C7983" s="34">
        <v>22.93</v>
      </c>
      <c r="D7983" s="36">
        <v>45883.0</v>
      </c>
      <c r="E7983" s="24"/>
      <c r="F7983" s="14">
        <v>3.82</v>
      </c>
      <c r="G7983" s="14">
        <v>80.17</v>
      </c>
      <c r="H7983" s="14">
        <v>2.1</v>
      </c>
      <c r="I7983" s="14" t="s">
        <v>6105</v>
      </c>
      <c r="J7983" s="14">
        <v>0.0</v>
      </c>
      <c r="K7983" s="14" t="s">
        <v>6012</v>
      </c>
      <c r="L7983" s="14">
        <v>0.0</v>
      </c>
    </row>
    <row r="7984">
      <c r="A7984" s="14">
        <v>229.0</v>
      </c>
      <c r="B7984" s="14">
        <v>7.0</v>
      </c>
      <c r="C7984" s="34">
        <v>23.05</v>
      </c>
      <c r="D7984" s="36">
        <v>45884.0</v>
      </c>
      <c r="E7984" s="24"/>
      <c r="F7984" s="14">
        <v>3.29</v>
      </c>
      <c r="G7984" s="14">
        <v>100.66</v>
      </c>
      <c r="H7984" s="14">
        <v>3.06</v>
      </c>
      <c r="I7984" s="14" t="s">
        <v>6105</v>
      </c>
      <c r="J7984" s="14">
        <v>0.0</v>
      </c>
      <c r="K7984" s="14" t="s">
        <v>6012</v>
      </c>
      <c r="L7984" s="14">
        <v>0.0</v>
      </c>
    </row>
    <row r="7985">
      <c r="A7985" s="14">
        <v>103.0</v>
      </c>
      <c r="B7985" s="14">
        <v>0.0</v>
      </c>
      <c r="C7985" s="34">
        <v>20.68</v>
      </c>
      <c r="D7985" s="36">
        <v>45884.0</v>
      </c>
      <c r="E7985" s="24"/>
      <c r="F7985" s="14" t="s">
        <v>6012</v>
      </c>
      <c r="G7985" s="14">
        <v>200.78</v>
      </c>
      <c r="H7985" s="14">
        <v>0.0</v>
      </c>
      <c r="I7985" s="14" t="s">
        <v>6103</v>
      </c>
      <c r="J7985" s="14" t="s">
        <v>6012</v>
      </c>
      <c r="K7985" s="14" t="s">
        <v>6012</v>
      </c>
      <c r="L7985" s="14">
        <v>0.0</v>
      </c>
    </row>
    <row r="7986">
      <c r="A7986" s="14">
        <v>168.0</v>
      </c>
      <c r="B7986" s="14">
        <v>6.0</v>
      </c>
      <c r="C7986" s="34">
        <v>21.35</v>
      </c>
      <c r="D7986" s="36">
        <v>45884.0</v>
      </c>
      <c r="E7986" s="24"/>
      <c r="F7986" s="14">
        <v>3.56</v>
      </c>
      <c r="G7986" s="14">
        <v>127.08</v>
      </c>
      <c r="H7986" s="14">
        <v>3.57</v>
      </c>
      <c r="I7986" s="14" t="s">
        <v>6104</v>
      </c>
      <c r="J7986" s="14">
        <v>0.0</v>
      </c>
      <c r="K7986" s="14" t="s">
        <v>6012</v>
      </c>
      <c r="L7986" s="14">
        <v>0.0</v>
      </c>
    </row>
    <row r="7987">
      <c r="A7987" s="14">
        <v>264.0</v>
      </c>
      <c r="B7987" s="14">
        <v>0.0</v>
      </c>
      <c r="C7987" s="34">
        <v>20.17</v>
      </c>
      <c r="D7987" s="36">
        <v>45884.0</v>
      </c>
      <c r="E7987" s="24"/>
      <c r="F7987" s="14" t="s">
        <v>6012</v>
      </c>
      <c r="G7987" s="14">
        <v>76.4</v>
      </c>
      <c r="H7987" s="14">
        <v>0.0</v>
      </c>
      <c r="I7987" s="14" t="s">
        <v>6099</v>
      </c>
      <c r="J7987" s="14" t="s">
        <v>6012</v>
      </c>
      <c r="K7987" s="14" t="s">
        <v>6012</v>
      </c>
      <c r="L7987" s="14">
        <v>0.0</v>
      </c>
    </row>
    <row r="7988">
      <c r="A7988" s="14">
        <v>302.0</v>
      </c>
      <c r="B7988" s="14">
        <v>2.0</v>
      </c>
      <c r="C7988" s="34">
        <v>27.73</v>
      </c>
      <c r="D7988" s="36">
        <v>45884.0</v>
      </c>
      <c r="E7988" s="24"/>
      <c r="F7988" s="14">
        <v>13.86</v>
      </c>
      <c r="G7988" s="14">
        <v>91.82</v>
      </c>
      <c r="H7988" s="14">
        <v>0.66</v>
      </c>
      <c r="I7988" s="14" t="s">
        <v>6102</v>
      </c>
      <c r="J7988" s="14">
        <v>0.0</v>
      </c>
      <c r="K7988" s="14" t="s">
        <v>6012</v>
      </c>
      <c r="L7988" s="14">
        <v>0.0</v>
      </c>
    </row>
    <row r="7989">
      <c r="A7989" s="14">
        <v>144.0</v>
      </c>
      <c r="B7989" s="14">
        <v>0.0</v>
      </c>
      <c r="C7989" s="34">
        <v>11.32</v>
      </c>
      <c r="D7989" s="36">
        <v>45885.0</v>
      </c>
      <c r="E7989" s="24"/>
      <c r="F7989" s="14" t="s">
        <v>6012</v>
      </c>
      <c r="G7989" s="14">
        <v>78.61</v>
      </c>
      <c r="H7989" s="14">
        <v>0.0</v>
      </c>
      <c r="I7989" s="14" t="s">
        <v>6099</v>
      </c>
      <c r="J7989" s="14" t="s">
        <v>6012</v>
      </c>
      <c r="K7989" s="14" t="s">
        <v>6012</v>
      </c>
      <c r="L7989" s="14">
        <v>0.0</v>
      </c>
    </row>
    <row r="7990">
      <c r="A7990" s="14">
        <v>45.0</v>
      </c>
      <c r="B7990" s="14">
        <v>0.0</v>
      </c>
      <c r="C7990" s="34">
        <v>13.15</v>
      </c>
      <c r="D7990" s="36">
        <v>45885.0</v>
      </c>
      <c r="E7990" s="24"/>
      <c r="F7990" s="14" t="s">
        <v>6012</v>
      </c>
      <c r="G7990" s="14">
        <v>292.22</v>
      </c>
      <c r="H7990" s="14">
        <v>0.0</v>
      </c>
      <c r="I7990" s="14" t="s">
        <v>6103</v>
      </c>
      <c r="J7990" s="14" t="s">
        <v>6012</v>
      </c>
      <c r="K7990" s="14" t="s">
        <v>6012</v>
      </c>
      <c r="L7990" s="14">
        <v>0.0</v>
      </c>
    </row>
    <row r="7991">
      <c r="A7991" s="14">
        <v>111.0</v>
      </c>
      <c r="B7991" s="14">
        <v>6.0</v>
      </c>
      <c r="C7991" s="34">
        <v>10.6</v>
      </c>
      <c r="D7991" s="36">
        <v>45885.0</v>
      </c>
      <c r="E7991" s="24"/>
      <c r="F7991" s="14">
        <v>1.77</v>
      </c>
      <c r="G7991" s="14">
        <v>95.5</v>
      </c>
      <c r="H7991" s="14">
        <v>5.41</v>
      </c>
      <c r="I7991" s="14" t="s">
        <v>6104</v>
      </c>
      <c r="J7991" s="14">
        <v>0.0</v>
      </c>
      <c r="K7991" s="14" t="s">
        <v>6012</v>
      </c>
      <c r="L7991" s="14">
        <v>0.0</v>
      </c>
    </row>
    <row r="7992">
      <c r="A7992" s="14">
        <v>172.0</v>
      </c>
      <c r="B7992" s="14">
        <v>0.0</v>
      </c>
      <c r="C7992" s="34">
        <v>15.17</v>
      </c>
      <c r="D7992" s="36">
        <v>45885.0</v>
      </c>
      <c r="E7992" s="24"/>
      <c r="F7992" s="14" t="s">
        <v>6012</v>
      </c>
      <c r="G7992" s="14">
        <v>88.2</v>
      </c>
      <c r="H7992" s="14">
        <v>0.0</v>
      </c>
      <c r="I7992" s="14" t="s">
        <v>6102</v>
      </c>
      <c r="J7992" s="14" t="s">
        <v>6012</v>
      </c>
      <c r="K7992" s="14" t="s">
        <v>6012</v>
      </c>
      <c r="L7992" s="14">
        <v>0.0</v>
      </c>
    </row>
    <row r="7993">
      <c r="A7993" s="14">
        <v>112.0</v>
      </c>
      <c r="B7993" s="14">
        <v>3.0</v>
      </c>
      <c r="C7993" s="34">
        <v>14.11</v>
      </c>
      <c r="D7993" s="36">
        <v>45885.0</v>
      </c>
      <c r="E7993" s="24"/>
      <c r="F7993" s="14">
        <v>4.7</v>
      </c>
      <c r="G7993" s="14">
        <v>125.98</v>
      </c>
      <c r="H7993" s="14">
        <v>2.68</v>
      </c>
      <c r="I7993" s="14" t="s">
        <v>6105</v>
      </c>
      <c r="J7993" s="14">
        <v>0.0</v>
      </c>
      <c r="K7993" s="14" t="s">
        <v>6012</v>
      </c>
      <c r="L7993" s="14">
        <v>0.0</v>
      </c>
    </row>
    <row r="7994">
      <c r="A7994" s="14">
        <v>108.0</v>
      </c>
      <c r="B7994" s="14">
        <v>1.0</v>
      </c>
      <c r="C7994" s="34">
        <v>9.46</v>
      </c>
      <c r="D7994" s="36">
        <v>45886.0</v>
      </c>
      <c r="E7994" s="24"/>
      <c r="F7994" s="14">
        <v>9.46</v>
      </c>
      <c r="G7994" s="14">
        <v>87.59</v>
      </c>
      <c r="H7994" s="14">
        <v>0.93</v>
      </c>
      <c r="I7994" s="14" t="s">
        <v>6099</v>
      </c>
      <c r="J7994" s="14">
        <v>0.0</v>
      </c>
      <c r="K7994" s="14" t="s">
        <v>6012</v>
      </c>
      <c r="L7994" s="14">
        <v>0.0</v>
      </c>
    </row>
    <row r="7995">
      <c r="A7995" s="14">
        <v>72.0</v>
      </c>
      <c r="B7995" s="14">
        <v>2.0</v>
      </c>
      <c r="C7995" s="34">
        <v>11.78</v>
      </c>
      <c r="D7995" s="36">
        <v>45886.0</v>
      </c>
      <c r="E7995" s="24"/>
      <c r="F7995" s="14">
        <v>5.89</v>
      </c>
      <c r="G7995" s="14">
        <v>163.61</v>
      </c>
      <c r="H7995" s="14">
        <v>2.78</v>
      </c>
      <c r="I7995" s="14" t="s">
        <v>6105</v>
      </c>
      <c r="J7995" s="14">
        <v>0.0</v>
      </c>
      <c r="K7995" s="14" t="s">
        <v>6012</v>
      </c>
      <c r="L7995" s="14">
        <v>0.0</v>
      </c>
    </row>
    <row r="7996">
      <c r="A7996" s="14">
        <v>79.0</v>
      </c>
      <c r="B7996" s="14">
        <v>0.0</v>
      </c>
      <c r="C7996" s="34">
        <v>4.85</v>
      </c>
      <c r="D7996" s="36">
        <v>45886.0</v>
      </c>
      <c r="E7996" s="24"/>
      <c r="F7996" s="14" t="s">
        <v>6012</v>
      </c>
      <c r="G7996" s="14">
        <v>61.39</v>
      </c>
      <c r="H7996" s="14">
        <v>0.0</v>
      </c>
      <c r="I7996" s="14" t="s">
        <v>6102</v>
      </c>
      <c r="J7996" s="14" t="s">
        <v>6012</v>
      </c>
      <c r="K7996" s="14" t="s">
        <v>6012</v>
      </c>
      <c r="L7996" s="14">
        <v>0.0</v>
      </c>
    </row>
    <row r="7997">
      <c r="A7997" s="14">
        <v>90.0</v>
      </c>
      <c r="B7997" s="14">
        <v>2.0</v>
      </c>
      <c r="C7997" s="34">
        <v>8.21</v>
      </c>
      <c r="D7997" s="36">
        <v>45886.0</v>
      </c>
      <c r="E7997" s="24"/>
      <c r="F7997" s="14">
        <v>4.11</v>
      </c>
      <c r="G7997" s="14">
        <v>91.22</v>
      </c>
      <c r="H7997" s="14">
        <v>2.22</v>
      </c>
      <c r="I7997" s="14" t="s">
        <v>6104</v>
      </c>
      <c r="J7997" s="14">
        <v>0.0</v>
      </c>
      <c r="K7997" s="14" t="s">
        <v>6012</v>
      </c>
      <c r="L7997" s="14">
        <v>0.0</v>
      </c>
    </row>
    <row r="7998">
      <c r="A7998" s="14">
        <v>20.0</v>
      </c>
      <c r="B7998" s="14">
        <v>0.0</v>
      </c>
      <c r="C7998" s="34">
        <v>5.12</v>
      </c>
      <c r="D7998" s="36">
        <v>45886.0</v>
      </c>
      <c r="E7998" s="24"/>
      <c r="F7998" s="14" t="s">
        <v>6012</v>
      </c>
      <c r="G7998" s="14">
        <v>256.0</v>
      </c>
      <c r="H7998" s="14">
        <v>0.0</v>
      </c>
      <c r="I7998" s="14" t="s">
        <v>6103</v>
      </c>
      <c r="J7998" s="14" t="s">
        <v>6012</v>
      </c>
      <c r="K7998" s="14" t="s">
        <v>6012</v>
      </c>
      <c r="L7998" s="14">
        <v>0.0</v>
      </c>
    </row>
    <row r="7999">
      <c r="A7999" s="14">
        <v>200.0</v>
      </c>
      <c r="B7999" s="14">
        <v>1.0</v>
      </c>
      <c r="C7999" s="34">
        <v>24.84</v>
      </c>
      <c r="D7999" s="36">
        <v>45887.0</v>
      </c>
      <c r="E7999" s="24"/>
      <c r="F7999" s="14">
        <v>24.84</v>
      </c>
      <c r="G7999" s="14">
        <v>124.2</v>
      </c>
      <c r="H7999" s="14">
        <v>0.5</v>
      </c>
      <c r="I7999" s="14" t="s">
        <v>6102</v>
      </c>
      <c r="J7999" s="14">
        <v>0.0</v>
      </c>
      <c r="K7999" s="14" t="s">
        <v>6012</v>
      </c>
      <c r="L7999" s="14">
        <v>0.0</v>
      </c>
    </row>
    <row r="8000">
      <c r="A8000" s="14">
        <v>231.0</v>
      </c>
      <c r="B8000" s="14">
        <v>0.0</v>
      </c>
      <c r="C8000" s="34">
        <v>25.75</v>
      </c>
      <c r="D8000" s="36">
        <v>45887.0</v>
      </c>
      <c r="E8000" s="24"/>
      <c r="F8000" s="14" t="s">
        <v>6012</v>
      </c>
      <c r="G8000" s="14">
        <v>111.47</v>
      </c>
      <c r="H8000" s="14">
        <v>0.0</v>
      </c>
      <c r="I8000" s="14" t="s">
        <v>6099</v>
      </c>
      <c r="J8000" s="14" t="s">
        <v>6012</v>
      </c>
      <c r="K8000" s="14" t="s">
        <v>6012</v>
      </c>
      <c r="L8000" s="14">
        <v>0.0</v>
      </c>
    </row>
    <row r="8001">
      <c r="A8001" s="14">
        <v>71.0</v>
      </c>
      <c r="B8001" s="14">
        <v>0.0</v>
      </c>
      <c r="C8001" s="34">
        <v>24.2</v>
      </c>
      <c r="D8001" s="36">
        <v>45887.0</v>
      </c>
      <c r="E8001" s="24"/>
      <c r="F8001" s="14" t="s">
        <v>6012</v>
      </c>
      <c r="G8001" s="14">
        <v>340.85</v>
      </c>
      <c r="H8001" s="14">
        <v>0.0</v>
      </c>
      <c r="I8001" s="14" t="s">
        <v>6103</v>
      </c>
      <c r="J8001" s="14" t="s">
        <v>6012</v>
      </c>
      <c r="K8001" s="14" t="s">
        <v>6012</v>
      </c>
      <c r="L8001" s="14">
        <v>0.0</v>
      </c>
    </row>
    <row r="8002">
      <c r="A8002" s="14">
        <v>92.0</v>
      </c>
      <c r="B8002" s="14">
        <v>4.0</v>
      </c>
      <c r="C8002" s="34">
        <v>25.57</v>
      </c>
      <c r="D8002" s="36">
        <v>45887.0</v>
      </c>
      <c r="E8002" s="24"/>
      <c r="F8002" s="14">
        <v>6.39</v>
      </c>
      <c r="G8002" s="14">
        <v>277.93</v>
      </c>
      <c r="H8002" s="14">
        <v>4.35</v>
      </c>
      <c r="I8002" s="14" t="s">
        <v>6105</v>
      </c>
      <c r="J8002" s="14">
        <v>0.0</v>
      </c>
      <c r="K8002" s="14" t="s">
        <v>6012</v>
      </c>
      <c r="L8002" s="14">
        <v>0.0</v>
      </c>
    </row>
    <row r="8003">
      <c r="A8003" s="14">
        <v>363.0</v>
      </c>
      <c r="B8003" s="14">
        <v>3.0</v>
      </c>
      <c r="C8003" s="34">
        <v>25.18</v>
      </c>
      <c r="D8003" s="36">
        <v>45887.0</v>
      </c>
      <c r="E8003" s="24"/>
      <c r="F8003" s="14">
        <v>8.39</v>
      </c>
      <c r="G8003" s="14">
        <v>69.37</v>
      </c>
      <c r="H8003" s="14">
        <v>0.83</v>
      </c>
      <c r="I8003" s="14" t="s">
        <v>6104</v>
      </c>
      <c r="J8003" s="14">
        <v>0.0</v>
      </c>
      <c r="K8003" s="14" t="s">
        <v>6012</v>
      </c>
      <c r="L8003" s="14">
        <v>0.0</v>
      </c>
    </row>
    <row r="8004">
      <c r="A8004" s="14">
        <v>374.0</v>
      </c>
      <c r="B8004" s="14">
        <v>1.0</v>
      </c>
      <c r="C8004" s="34">
        <v>24.59</v>
      </c>
      <c r="D8004" s="36">
        <v>45888.0</v>
      </c>
      <c r="E8004" s="24"/>
      <c r="F8004" s="14">
        <v>24.59</v>
      </c>
      <c r="G8004" s="14">
        <v>65.75</v>
      </c>
      <c r="H8004" s="14">
        <v>0.27</v>
      </c>
      <c r="I8004" s="14" t="s">
        <v>6102</v>
      </c>
      <c r="J8004" s="14">
        <v>0.0</v>
      </c>
      <c r="K8004" s="14" t="s">
        <v>6012</v>
      </c>
      <c r="L8004" s="14">
        <v>0.0</v>
      </c>
    </row>
    <row r="8005">
      <c r="A8005" s="14">
        <v>174.0</v>
      </c>
      <c r="B8005" s="14">
        <v>4.0</v>
      </c>
      <c r="C8005" s="34">
        <v>24.76</v>
      </c>
      <c r="D8005" s="36">
        <v>45888.0</v>
      </c>
      <c r="E8005" s="24"/>
      <c r="F8005" s="14">
        <v>6.19</v>
      </c>
      <c r="G8005" s="14">
        <v>142.3</v>
      </c>
      <c r="H8005" s="14">
        <v>2.3</v>
      </c>
      <c r="I8005" s="14" t="s">
        <v>6105</v>
      </c>
      <c r="J8005" s="14">
        <v>0.0</v>
      </c>
      <c r="K8005" s="14" t="s">
        <v>6012</v>
      </c>
      <c r="L8005" s="14">
        <v>0.0</v>
      </c>
    </row>
    <row r="8006">
      <c r="A8006" s="14">
        <v>170.0</v>
      </c>
      <c r="B8006" s="14">
        <v>0.0</v>
      </c>
      <c r="C8006" s="34">
        <v>10.21</v>
      </c>
      <c r="D8006" s="36">
        <v>45888.0</v>
      </c>
      <c r="E8006" s="24"/>
      <c r="F8006" s="14" t="s">
        <v>6012</v>
      </c>
      <c r="G8006" s="14">
        <v>60.06</v>
      </c>
      <c r="H8006" s="14">
        <v>0.0</v>
      </c>
      <c r="I8006" s="14" t="s">
        <v>6099</v>
      </c>
      <c r="J8006" s="14" t="s">
        <v>6012</v>
      </c>
      <c r="K8006" s="14" t="s">
        <v>6012</v>
      </c>
      <c r="L8006" s="14">
        <v>0.0</v>
      </c>
    </row>
    <row r="8007">
      <c r="A8007" s="14">
        <v>0.0</v>
      </c>
      <c r="B8007" s="14">
        <v>0.0</v>
      </c>
      <c r="C8007" s="34">
        <v>13.1</v>
      </c>
      <c r="D8007" s="36">
        <v>45888.0</v>
      </c>
      <c r="E8007" s="24"/>
      <c r="F8007" s="14" t="s">
        <v>6012</v>
      </c>
      <c r="G8007" s="14" t="s">
        <v>6012</v>
      </c>
      <c r="H8007" s="14" t="s">
        <v>6012</v>
      </c>
      <c r="I8007" s="14" t="s">
        <v>6106</v>
      </c>
      <c r="J8007" s="14" t="s">
        <v>6012</v>
      </c>
      <c r="K8007" s="14" t="s">
        <v>6012</v>
      </c>
      <c r="L8007" s="14">
        <v>0.0</v>
      </c>
    </row>
    <row r="8008">
      <c r="A8008" s="14">
        <v>233.0</v>
      </c>
      <c r="B8008" s="14">
        <v>6.0</v>
      </c>
      <c r="C8008" s="34">
        <v>23.0</v>
      </c>
      <c r="D8008" s="36">
        <v>45888.0</v>
      </c>
      <c r="E8008" s="24"/>
      <c r="F8008" s="14">
        <v>3.83</v>
      </c>
      <c r="G8008" s="14">
        <v>98.71</v>
      </c>
      <c r="H8008" s="14">
        <v>2.58</v>
      </c>
      <c r="I8008" s="14" t="s">
        <v>6104</v>
      </c>
      <c r="J8008" s="14">
        <v>0.0</v>
      </c>
      <c r="K8008" s="14" t="s">
        <v>6012</v>
      </c>
      <c r="L8008" s="14">
        <v>0.0</v>
      </c>
    </row>
    <row r="8009">
      <c r="A8009" s="14">
        <v>86.0</v>
      </c>
      <c r="B8009" s="14">
        <v>1.0</v>
      </c>
      <c r="C8009" s="34">
        <v>25.09</v>
      </c>
      <c r="D8009" s="36">
        <v>45888.0</v>
      </c>
      <c r="E8009" s="24"/>
      <c r="F8009" s="14">
        <v>25.09</v>
      </c>
      <c r="G8009" s="14">
        <v>291.74</v>
      </c>
      <c r="H8009" s="14">
        <v>1.16</v>
      </c>
      <c r="I8009" s="14" t="s">
        <v>6103</v>
      </c>
      <c r="J8009" s="14">
        <v>0.0</v>
      </c>
      <c r="K8009" s="14" t="s">
        <v>6012</v>
      </c>
      <c r="L8009" s="14">
        <v>0.0</v>
      </c>
    </row>
    <row r="8010">
      <c r="A8010" s="14">
        <v>114.0</v>
      </c>
      <c r="B8010" s="14">
        <v>1.0</v>
      </c>
      <c r="C8010" s="34">
        <v>27.17</v>
      </c>
      <c r="D8010" s="36">
        <v>45889.0</v>
      </c>
      <c r="E8010" s="24"/>
      <c r="F8010" s="14">
        <v>27.17</v>
      </c>
      <c r="G8010" s="14">
        <v>238.33</v>
      </c>
      <c r="H8010" s="14">
        <v>0.88</v>
      </c>
      <c r="I8010" s="14" t="s">
        <v>6103</v>
      </c>
      <c r="J8010" s="14">
        <v>0.0</v>
      </c>
      <c r="K8010" s="14" t="s">
        <v>6012</v>
      </c>
      <c r="L8010" s="14">
        <v>0.0</v>
      </c>
    </row>
    <row r="8011">
      <c r="A8011" s="14">
        <v>0.0</v>
      </c>
      <c r="B8011" s="14">
        <v>0.0</v>
      </c>
      <c r="C8011" s="34">
        <v>6.24</v>
      </c>
      <c r="D8011" s="36">
        <v>45889.0</v>
      </c>
      <c r="E8011" s="24"/>
      <c r="F8011" s="14" t="s">
        <v>6012</v>
      </c>
      <c r="G8011" s="14" t="s">
        <v>6012</v>
      </c>
      <c r="H8011" s="14" t="s">
        <v>6012</v>
      </c>
      <c r="I8011" s="14" t="s">
        <v>6106</v>
      </c>
      <c r="J8011" s="14" t="s">
        <v>6012</v>
      </c>
      <c r="K8011" s="14" t="s">
        <v>6012</v>
      </c>
      <c r="L8011" s="14">
        <v>0.0</v>
      </c>
    </row>
    <row r="8012">
      <c r="A8012" s="14">
        <v>233.0</v>
      </c>
      <c r="B8012" s="14">
        <v>7.0</v>
      </c>
      <c r="C8012" s="34">
        <v>27.49</v>
      </c>
      <c r="D8012" s="36">
        <v>45889.0</v>
      </c>
      <c r="E8012" s="24"/>
      <c r="F8012" s="14">
        <v>3.93</v>
      </c>
      <c r="G8012" s="14">
        <v>117.98</v>
      </c>
      <c r="H8012" s="14">
        <v>3.0</v>
      </c>
      <c r="I8012" s="14" t="s">
        <v>6105</v>
      </c>
      <c r="J8012" s="14">
        <v>0.0</v>
      </c>
      <c r="K8012" s="14" t="s">
        <v>6012</v>
      </c>
      <c r="L8012" s="14">
        <v>0.0</v>
      </c>
    </row>
    <row r="8013">
      <c r="A8013" s="14">
        <v>528.0</v>
      </c>
      <c r="B8013" s="14">
        <v>1.0</v>
      </c>
      <c r="C8013" s="34">
        <v>26.24</v>
      </c>
      <c r="D8013" s="36">
        <v>45889.0</v>
      </c>
      <c r="E8013" s="24"/>
      <c r="F8013" s="14">
        <v>26.24</v>
      </c>
      <c r="G8013" s="14">
        <v>49.7</v>
      </c>
      <c r="H8013" s="14">
        <v>0.19</v>
      </c>
      <c r="I8013" s="14" t="s">
        <v>6102</v>
      </c>
      <c r="J8013" s="14">
        <v>0.0</v>
      </c>
      <c r="K8013" s="14" t="s">
        <v>6012</v>
      </c>
      <c r="L8013" s="14">
        <v>0.0</v>
      </c>
    </row>
    <row r="8014">
      <c r="A8014" s="14">
        <v>162.0</v>
      </c>
      <c r="B8014" s="14">
        <v>3.0</v>
      </c>
      <c r="C8014" s="34">
        <v>25.73</v>
      </c>
      <c r="D8014" s="36">
        <v>45889.0</v>
      </c>
      <c r="E8014" s="24"/>
      <c r="F8014" s="14">
        <v>8.58</v>
      </c>
      <c r="G8014" s="14">
        <v>158.83</v>
      </c>
      <c r="H8014" s="14">
        <v>1.85</v>
      </c>
      <c r="I8014" s="14" t="s">
        <v>6104</v>
      </c>
      <c r="J8014" s="14">
        <v>0.0</v>
      </c>
      <c r="K8014" s="14" t="s">
        <v>6012</v>
      </c>
      <c r="L8014" s="14">
        <v>0.0</v>
      </c>
    </row>
    <row r="8015">
      <c r="A8015" s="14">
        <v>205.0</v>
      </c>
      <c r="B8015" s="14">
        <v>1.0</v>
      </c>
      <c r="C8015" s="34">
        <v>28.5</v>
      </c>
      <c r="D8015" s="36">
        <v>45890.0</v>
      </c>
      <c r="E8015" s="24"/>
      <c r="F8015" s="14">
        <v>28.5</v>
      </c>
      <c r="G8015" s="14">
        <v>139.02</v>
      </c>
      <c r="H8015" s="14">
        <v>0.49</v>
      </c>
      <c r="I8015" s="14" t="s">
        <v>6102</v>
      </c>
      <c r="J8015" s="14">
        <v>0.0</v>
      </c>
      <c r="K8015" s="14" t="s">
        <v>6012</v>
      </c>
      <c r="L8015" s="14">
        <v>0.0</v>
      </c>
    </row>
    <row r="8016">
      <c r="A8016" s="14">
        <v>218.0</v>
      </c>
      <c r="B8016" s="14">
        <v>3.0</v>
      </c>
      <c r="C8016" s="34">
        <v>28.5</v>
      </c>
      <c r="D8016" s="36">
        <v>45890.0</v>
      </c>
      <c r="E8016" s="24"/>
      <c r="F8016" s="14">
        <v>9.5</v>
      </c>
      <c r="G8016" s="14">
        <v>130.73</v>
      </c>
      <c r="H8016" s="14">
        <v>1.38</v>
      </c>
      <c r="I8016" s="14" t="s">
        <v>6105</v>
      </c>
      <c r="J8016" s="14">
        <v>0.0</v>
      </c>
      <c r="K8016" s="14" t="s">
        <v>6012</v>
      </c>
      <c r="L8016" s="14">
        <v>0.0</v>
      </c>
    </row>
    <row r="8017">
      <c r="A8017" s="14">
        <v>111.0</v>
      </c>
      <c r="B8017" s="14">
        <v>0.0</v>
      </c>
      <c r="C8017" s="34">
        <v>22.41</v>
      </c>
      <c r="D8017" s="36">
        <v>45890.0</v>
      </c>
      <c r="E8017" s="24"/>
      <c r="F8017" s="14" t="s">
        <v>6012</v>
      </c>
      <c r="G8017" s="14">
        <v>201.89</v>
      </c>
      <c r="H8017" s="14">
        <v>0.0</v>
      </c>
      <c r="I8017" s="14" t="s">
        <v>6103</v>
      </c>
      <c r="J8017" s="14" t="s">
        <v>6012</v>
      </c>
      <c r="K8017" s="14" t="s">
        <v>6012</v>
      </c>
      <c r="L8017" s="14">
        <v>0.0</v>
      </c>
    </row>
    <row r="8018">
      <c r="A8018" s="14">
        <v>80.0</v>
      </c>
      <c r="B8018" s="14">
        <v>2.0</v>
      </c>
      <c r="C8018" s="34">
        <v>21.58</v>
      </c>
      <c r="D8018" s="36">
        <v>45890.0</v>
      </c>
      <c r="E8018" s="24"/>
      <c r="F8018" s="14">
        <v>10.79</v>
      </c>
      <c r="G8018" s="14">
        <v>269.75</v>
      </c>
      <c r="H8018" s="14">
        <v>2.5</v>
      </c>
      <c r="I8018" s="14" t="s">
        <v>6104</v>
      </c>
      <c r="J8018" s="14">
        <v>0.0</v>
      </c>
      <c r="K8018" s="14" t="s">
        <v>6012</v>
      </c>
      <c r="L8018" s="14">
        <v>0.0</v>
      </c>
    </row>
    <row r="8019">
      <c r="A8019" s="14">
        <v>83.0</v>
      </c>
      <c r="B8019" s="14">
        <v>0.0</v>
      </c>
      <c r="C8019" s="34">
        <v>21.29</v>
      </c>
      <c r="D8019" s="36">
        <v>45891.0</v>
      </c>
      <c r="E8019" s="24"/>
      <c r="F8019" s="14" t="s">
        <v>6012</v>
      </c>
      <c r="G8019" s="14">
        <v>256.51</v>
      </c>
      <c r="H8019" s="14">
        <v>0.0</v>
      </c>
      <c r="I8019" s="14" t="s">
        <v>6103</v>
      </c>
      <c r="J8019" s="14" t="s">
        <v>6012</v>
      </c>
      <c r="K8019" s="14" t="s">
        <v>6012</v>
      </c>
      <c r="L8019" s="14">
        <v>0.0</v>
      </c>
    </row>
    <row r="8020">
      <c r="A8020" s="14">
        <v>135.0</v>
      </c>
      <c r="B8020" s="14">
        <v>3.0</v>
      </c>
      <c r="C8020" s="34">
        <v>26.68</v>
      </c>
      <c r="D8020" s="36">
        <v>45891.0</v>
      </c>
      <c r="E8020" s="24"/>
      <c r="F8020" s="14">
        <v>8.89</v>
      </c>
      <c r="G8020" s="14">
        <v>197.63</v>
      </c>
      <c r="H8020" s="14">
        <v>2.22</v>
      </c>
      <c r="I8020" s="14" t="s">
        <v>6105</v>
      </c>
      <c r="J8020" s="14">
        <v>0.0</v>
      </c>
      <c r="K8020" s="14" t="s">
        <v>6012</v>
      </c>
      <c r="L8020" s="14">
        <v>0.0</v>
      </c>
    </row>
    <row r="8021">
      <c r="A8021" s="14">
        <v>111.0</v>
      </c>
      <c r="B8021" s="14">
        <v>1.0</v>
      </c>
      <c r="C8021" s="34">
        <v>27.96</v>
      </c>
      <c r="D8021" s="36">
        <v>45891.0</v>
      </c>
      <c r="E8021" s="24"/>
      <c r="F8021" s="14">
        <v>27.96</v>
      </c>
      <c r="G8021" s="14">
        <v>251.89</v>
      </c>
      <c r="H8021" s="14">
        <v>0.9</v>
      </c>
      <c r="I8021" s="14" t="s">
        <v>6102</v>
      </c>
      <c r="J8021" s="14">
        <v>0.0</v>
      </c>
      <c r="K8021" s="14" t="s">
        <v>6012</v>
      </c>
      <c r="L8021" s="14">
        <v>0.0</v>
      </c>
    </row>
    <row r="8022">
      <c r="A8022" s="14">
        <v>80.0</v>
      </c>
      <c r="B8022" s="14">
        <v>0.0</v>
      </c>
      <c r="C8022" s="34">
        <v>22.9</v>
      </c>
      <c r="D8022" s="36">
        <v>45891.0</v>
      </c>
      <c r="E8022" s="24"/>
      <c r="F8022" s="14" t="s">
        <v>6012</v>
      </c>
      <c r="G8022" s="14">
        <v>286.25</v>
      </c>
      <c r="H8022" s="14">
        <v>0.0</v>
      </c>
      <c r="I8022" s="14" t="s">
        <v>6104</v>
      </c>
      <c r="J8022" s="14" t="s">
        <v>6012</v>
      </c>
      <c r="K8022" s="14" t="s">
        <v>6012</v>
      </c>
      <c r="L8022" s="14">
        <v>0.0</v>
      </c>
    </row>
    <row r="8023">
      <c r="A8023" s="14">
        <v>36.0</v>
      </c>
      <c r="B8023" s="14">
        <v>1.0</v>
      </c>
      <c r="C8023" s="34">
        <v>7.69</v>
      </c>
      <c r="D8023" s="36">
        <v>45892.0</v>
      </c>
      <c r="E8023" s="24"/>
      <c r="F8023" s="14">
        <v>7.69</v>
      </c>
      <c r="G8023" s="14">
        <v>213.61</v>
      </c>
      <c r="H8023" s="14">
        <v>2.78</v>
      </c>
      <c r="I8023" s="14" t="s">
        <v>6103</v>
      </c>
      <c r="J8023" s="14">
        <v>0.0</v>
      </c>
      <c r="K8023" s="14" t="s">
        <v>6012</v>
      </c>
      <c r="L8023" s="14">
        <v>0.0</v>
      </c>
    </row>
    <row r="8024">
      <c r="A8024" s="14">
        <v>8.0</v>
      </c>
      <c r="B8024" s="14">
        <v>0.0</v>
      </c>
      <c r="C8024" s="34">
        <v>0.0</v>
      </c>
      <c r="D8024" s="36">
        <v>45892.0</v>
      </c>
      <c r="E8024" s="24"/>
      <c r="F8024" s="14" t="s">
        <v>6012</v>
      </c>
      <c r="G8024" s="14">
        <v>0.0</v>
      </c>
      <c r="H8024" s="14">
        <v>0.0</v>
      </c>
      <c r="I8024" s="14" t="s">
        <v>6105</v>
      </c>
      <c r="J8024" s="14" t="s">
        <v>6012</v>
      </c>
      <c r="K8024" s="14" t="s">
        <v>6012</v>
      </c>
      <c r="L8024" s="14">
        <v>0.0</v>
      </c>
    </row>
    <row r="8025">
      <c r="A8025" s="14">
        <v>12.0</v>
      </c>
      <c r="B8025" s="14">
        <v>0.0</v>
      </c>
      <c r="C8025" s="34">
        <v>0.87</v>
      </c>
      <c r="D8025" s="36">
        <v>45892.0</v>
      </c>
      <c r="E8025" s="24"/>
      <c r="F8025" s="14" t="s">
        <v>6012</v>
      </c>
      <c r="G8025" s="14">
        <v>72.5</v>
      </c>
      <c r="H8025" s="14">
        <v>0.0</v>
      </c>
      <c r="I8025" s="14" t="s">
        <v>6102</v>
      </c>
      <c r="J8025" s="14" t="s">
        <v>6012</v>
      </c>
      <c r="K8025" s="14" t="s">
        <v>6012</v>
      </c>
      <c r="L8025" s="14">
        <v>0.0</v>
      </c>
    </row>
    <row r="8026">
      <c r="A8026" s="14">
        <v>52.0</v>
      </c>
      <c r="B8026" s="14">
        <v>3.0</v>
      </c>
      <c r="C8026" s="34">
        <v>10.25</v>
      </c>
      <c r="D8026" s="36">
        <v>45892.0</v>
      </c>
      <c r="E8026" s="24"/>
      <c r="F8026" s="14">
        <v>3.42</v>
      </c>
      <c r="G8026" s="14">
        <v>197.12</v>
      </c>
      <c r="H8026" s="14">
        <v>5.77</v>
      </c>
      <c r="I8026" s="14" t="s">
        <v>6104</v>
      </c>
      <c r="J8026" s="14">
        <v>0.0</v>
      </c>
      <c r="K8026" s="14" t="s">
        <v>6012</v>
      </c>
      <c r="L8026" s="14">
        <v>0.0</v>
      </c>
    </row>
    <row r="8027">
      <c r="A8027" s="14">
        <v>9.0</v>
      </c>
      <c r="B8027" s="14">
        <v>1.0</v>
      </c>
      <c r="C8027" s="34">
        <v>0.0</v>
      </c>
      <c r="D8027" s="36">
        <v>45893.0</v>
      </c>
      <c r="E8027" s="24"/>
      <c r="F8027" s="14">
        <v>0.0</v>
      </c>
      <c r="G8027" s="14">
        <v>0.0</v>
      </c>
      <c r="H8027" s="14">
        <v>11.11</v>
      </c>
      <c r="I8027" s="14" t="s">
        <v>6105</v>
      </c>
      <c r="J8027" s="14">
        <v>0.0</v>
      </c>
      <c r="K8027" s="14" t="s">
        <v>6012</v>
      </c>
      <c r="L8027" s="14">
        <v>0.0</v>
      </c>
    </row>
    <row r="8028">
      <c r="A8028" s="14">
        <v>22.0</v>
      </c>
      <c r="B8028" s="14">
        <v>0.0</v>
      </c>
      <c r="C8028" s="34">
        <v>5.15</v>
      </c>
      <c r="D8028" s="36">
        <v>45893.0</v>
      </c>
      <c r="E8028" s="24"/>
      <c r="F8028" s="14" t="s">
        <v>6012</v>
      </c>
      <c r="G8028" s="14">
        <v>234.09</v>
      </c>
      <c r="H8028" s="14">
        <v>0.0</v>
      </c>
      <c r="I8028" s="14" t="s">
        <v>6103</v>
      </c>
      <c r="J8028" s="14" t="s">
        <v>6012</v>
      </c>
      <c r="K8028" s="14" t="s">
        <v>6012</v>
      </c>
      <c r="L8028" s="14">
        <v>0.0</v>
      </c>
    </row>
    <row r="8029">
      <c r="A8029" s="14">
        <v>19.0</v>
      </c>
      <c r="B8029" s="14">
        <v>0.0</v>
      </c>
      <c r="C8029" s="34">
        <v>4.36</v>
      </c>
      <c r="D8029" s="36">
        <v>45893.0</v>
      </c>
      <c r="E8029" s="24"/>
      <c r="F8029" s="14" t="s">
        <v>6012</v>
      </c>
      <c r="G8029" s="14">
        <v>229.47</v>
      </c>
      <c r="H8029" s="14">
        <v>0.0</v>
      </c>
      <c r="I8029" s="14" t="s">
        <v>6104</v>
      </c>
      <c r="J8029" s="14" t="s">
        <v>6012</v>
      </c>
      <c r="K8029" s="14" t="s">
        <v>6012</v>
      </c>
      <c r="L8029" s="14">
        <v>0.0</v>
      </c>
    </row>
    <row r="8030">
      <c r="A8030" s="14">
        <v>6.0</v>
      </c>
      <c r="B8030" s="14">
        <v>0.0</v>
      </c>
      <c r="C8030" s="34">
        <v>0.0</v>
      </c>
      <c r="D8030" s="36">
        <v>45893.0</v>
      </c>
      <c r="E8030" s="24"/>
      <c r="F8030" s="14" t="s">
        <v>6012</v>
      </c>
      <c r="G8030" s="14">
        <v>0.0</v>
      </c>
      <c r="H8030" s="14">
        <v>0.0</v>
      </c>
      <c r="I8030" s="14" t="s">
        <v>6102</v>
      </c>
      <c r="J8030" s="14" t="s">
        <v>6012</v>
      </c>
      <c r="K8030" s="14" t="s">
        <v>6012</v>
      </c>
      <c r="L8030" s="14">
        <v>0.0</v>
      </c>
    </row>
    <row r="8031">
      <c r="A8031" s="14">
        <v>86.0</v>
      </c>
      <c r="B8031" s="14">
        <v>6.0</v>
      </c>
      <c r="C8031" s="34">
        <v>22.72</v>
      </c>
      <c r="D8031" s="36">
        <v>45894.0</v>
      </c>
      <c r="E8031" s="24"/>
      <c r="F8031" s="14">
        <v>3.79</v>
      </c>
      <c r="G8031" s="14">
        <v>264.19</v>
      </c>
      <c r="H8031" s="14">
        <v>6.98</v>
      </c>
      <c r="I8031" s="14" t="s">
        <v>6105</v>
      </c>
      <c r="J8031" s="14">
        <v>0.0</v>
      </c>
      <c r="K8031" s="14" t="s">
        <v>6012</v>
      </c>
      <c r="L8031" s="14">
        <v>0.0</v>
      </c>
    </row>
    <row r="8032">
      <c r="A8032" s="14">
        <v>176.0</v>
      </c>
      <c r="B8032" s="14">
        <v>0.0</v>
      </c>
      <c r="C8032" s="34">
        <v>21.24</v>
      </c>
      <c r="D8032" s="36">
        <v>45894.0</v>
      </c>
      <c r="E8032" s="24"/>
      <c r="F8032" s="14" t="s">
        <v>6012</v>
      </c>
      <c r="G8032" s="14">
        <v>120.68</v>
      </c>
      <c r="H8032" s="14">
        <v>0.0</v>
      </c>
      <c r="I8032" s="14" t="s">
        <v>6102</v>
      </c>
      <c r="J8032" s="14" t="s">
        <v>6012</v>
      </c>
      <c r="K8032" s="14" t="s">
        <v>6012</v>
      </c>
      <c r="L8032" s="14">
        <v>0.0</v>
      </c>
    </row>
    <row r="8033">
      <c r="A8033" s="14">
        <v>59.0</v>
      </c>
      <c r="B8033" s="14">
        <v>0.0</v>
      </c>
      <c r="C8033" s="34">
        <v>24.17</v>
      </c>
      <c r="D8033" s="36">
        <v>45894.0</v>
      </c>
      <c r="E8033" s="24"/>
      <c r="F8033" s="14" t="s">
        <v>6012</v>
      </c>
      <c r="G8033" s="14">
        <v>409.66</v>
      </c>
      <c r="H8033" s="14">
        <v>0.0</v>
      </c>
      <c r="I8033" s="14" t="s">
        <v>6104</v>
      </c>
      <c r="J8033" s="14" t="s">
        <v>6012</v>
      </c>
      <c r="K8033" s="14" t="s">
        <v>6012</v>
      </c>
      <c r="L8033" s="14">
        <v>0.0</v>
      </c>
    </row>
    <row r="8034">
      <c r="A8034" s="14">
        <v>61.0</v>
      </c>
      <c r="B8034" s="14">
        <v>0.0</v>
      </c>
      <c r="C8034" s="34">
        <v>21.32</v>
      </c>
      <c r="D8034" s="36">
        <v>45894.0</v>
      </c>
      <c r="E8034" s="24"/>
      <c r="F8034" s="14" t="s">
        <v>6012</v>
      </c>
      <c r="G8034" s="14">
        <v>349.51</v>
      </c>
      <c r="H8034" s="14">
        <v>0.0</v>
      </c>
      <c r="I8034" s="14" t="s">
        <v>6103</v>
      </c>
      <c r="J8034" s="14" t="s">
        <v>6012</v>
      </c>
      <c r="K8034" s="14" t="s">
        <v>6012</v>
      </c>
      <c r="L8034" s="14">
        <v>0.0</v>
      </c>
    </row>
    <row r="8035">
      <c r="A8035" s="14">
        <v>221.0</v>
      </c>
      <c r="B8035" s="14">
        <v>0.0</v>
      </c>
      <c r="C8035" s="34">
        <v>22.97</v>
      </c>
      <c r="D8035" s="36">
        <v>45895.0</v>
      </c>
      <c r="E8035" s="24"/>
      <c r="F8035" s="14" t="s">
        <v>6012</v>
      </c>
      <c r="G8035" s="14">
        <v>103.94</v>
      </c>
      <c r="H8035" s="14">
        <v>0.0</v>
      </c>
      <c r="I8035" s="14" t="s">
        <v>6102</v>
      </c>
      <c r="J8035" s="14" t="s">
        <v>6012</v>
      </c>
      <c r="K8035" s="14" t="s">
        <v>6012</v>
      </c>
      <c r="L8035" s="14">
        <v>0.0</v>
      </c>
    </row>
    <row r="8036">
      <c r="A8036" s="14">
        <v>97.0</v>
      </c>
      <c r="B8036" s="14">
        <v>0.0</v>
      </c>
      <c r="C8036" s="34">
        <v>23.18</v>
      </c>
      <c r="D8036" s="36">
        <v>45895.0</v>
      </c>
      <c r="E8036" s="24"/>
      <c r="F8036" s="14" t="s">
        <v>6012</v>
      </c>
      <c r="G8036" s="14">
        <v>238.97</v>
      </c>
      <c r="H8036" s="14">
        <v>0.0</v>
      </c>
      <c r="I8036" s="14" t="s">
        <v>6105</v>
      </c>
      <c r="J8036" s="14" t="s">
        <v>6012</v>
      </c>
      <c r="K8036" s="14" t="s">
        <v>6012</v>
      </c>
      <c r="L8036" s="14">
        <v>0.0</v>
      </c>
    </row>
    <row r="8037">
      <c r="A8037" s="14">
        <v>0.0</v>
      </c>
      <c r="B8037" s="14">
        <v>0.0</v>
      </c>
      <c r="C8037" s="34">
        <v>13.85</v>
      </c>
      <c r="D8037" s="36">
        <v>45895.0</v>
      </c>
      <c r="E8037" s="24"/>
      <c r="F8037" s="14" t="s">
        <v>6012</v>
      </c>
      <c r="G8037" s="14" t="s">
        <v>6012</v>
      </c>
      <c r="H8037" s="14" t="s">
        <v>6012</v>
      </c>
      <c r="I8037" s="14" t="s">
        <v>6106</v>
      </c>
      <c r="J8037" s="14" t="s">
        <v>6012</v>
      </c>
      <c r="K8037" s="14" t="s">
        <v>6012</v>
      </c>
      <c r="L8037" s="14">
        <v>0.0</v>
      </c>
    </row>
    <row r="8038">
      <c r="A8038" s="14">
        <v>83.0</v>
      </c>
      <c r="B8038" s="14">
        <v>2.0</v>
      </c>
      <c r="C8038" s="34">
        <v>22.23</v>
      </c>
      <c r="D8038" s="36">
        <v>45895.0</v>
      </c>
      <c r="E8038" s="24"/>
      <c r="F8038" s="14">
        <v>11.12</v>
      </c>
      <c r="G8038" s="14">
        <v>267.83</v>
      </c>
      <c r="H8038" s="14">
        <v>2.41</v>
      </c>
      <c r="I8038" s="14" t="s">
        <v>6104</v>
      </c>
      <c r="J8038" s="14">
        <v>0.0</v>
      </c>
      <c r="K8038" s="14" t="s">
        <v>6012</v>
      </c>
      <c r="L8038" s="14">
        <v>0.0</v>
      </c>
    </row>
    <row r="8039">
      <c r="A8039" s="14">
        <v>86.0</v>
      </c>
      <c r="B8039" s="14">
        <v>0.0</v>
      </c>
      <c r="C8039" s="34">
        <v>25.7</v>
      </c>
      <c r="D8039" s="36">
        <v>45895.0</v>
      </c>
      <c r="E8039" s="24"/>
      <c r="F8039" s="14" t="s">
        <v>6012</v>
      </c>
      <c r="G8039" s="14">
        <v>298.84</v>
      </c>
      <c r="H8039" s="14">
        <v>0.0</v>
      </c>
      <c r="I8039" s="14" t="s">
        <v>6103</v>
      </c>
      <c r="J8039" s="14" t="s">
        <v>6012</v>
      </c>
      <c r="K8039" s="14" t="s">
        <v>6012</v>
      </c>
      <c r="L8039" s="14">
        <v>0.0</v>
      </c>
    </row>
    <row r="8040">
      <c r="A8040" s="14">
        <v>0.0</v>
      </c>
      <c r="B8040" s="14">
        <v>0.0</v>
      </c>
      <c r="C8040" s="34">
        <v>14.73</v>
      </c>
      <c r="D8040" s="36">
        <v>45896.0</v>
      </c>
      <c r="E8040" s="24"/>
      <c r="F8040" s="14" t="s">
        <v>6012</v>
      </c>
      <c r="G8040" s="14" t="s">
        <v>6012</v>
      </c>
      <c r="H8040" s="14" t="s">
        <v>6012</v>
      </c>
      <c r="I8040" s="14" t="s">
        <v>6106</v>
      </c>
      <c r="J8040" s="14" t="s">
        <v>6012</v>
      </c>
      <c r="K8040" s="14" t="s">
        <v>6012</v>
      </c>
      <c r="L8040" s="14">
        <v>0.0</v>
      </c>
    </row>
    <row r="8041">
      <c r="A8041" s="14">
        <v>111.0</v>
      </c>
      <c r="B8041" s="14">
        <v>2.0</v>
      </c>
      <c r="C8041" s="34">
        <v>24.97</v>
      </c>
      <c r="D8041" s="36">
        <v>45896.0</v>
      </c>
      <c r="E8041" s="24"/>
      <c r="F8041" s="14">
        <v>12.48</v>
      </c>
      <c r="G8041" s="14">
        <v>224.95</v>
      </c>
      <c r="H8041" s="14">
        <v>1.8</v>
      </c>
      <c r="I8041" s="14" t="s">
        <v>6103</v>
      </c>
      <c r="J8041" s="14">
        <v>0.0</v>
      </c>
      <c r="K8041" s="14" t="s">
        <v>6012</v>
      </c>
      <c r="L8041" s="14">
        <v>0.0</v>
      </c>
    </row>
    <row r="8042">
      <c r="A8042" s="14">
        <v>126.0</v>
      </c>
      <c r="B8042" s="14">
        <v>2.0</v>
      </c>
      <c r="C8042" s="34">
        <v>25.46</v>
      </c>
      <c r="D8042" s="36">
        <v>45896.0</v>
      </c>
      <c r="E8042" s="24"/>
      <c r="F8042" s="14">
        <v>12.73</v>
      </c>
      <c r="G8042" s="14">
        <v>202.06</v>
      </c>
      <c r="H8042" s="14">
        <v>1.59</v>
      </c>
      <c r="I8042" s="14" t="s">
        <v>6105</v>
      </c>
      <c r="J8042" s="14">
        <v>0.0</v>
      </c>
      <c r="K8042" s="14" t="s">
        <v>6012</v>
      </c>
      <c r="L8042" s="14">
        <v>0.0</v>
      </c>
    </row>
    <row r="8043">
      <c r="A8043" s="14">
        <v>86.0</v>
      </c>
      <c r="B8043" s="14">
        <v>1.0</v>
      </c>
      <c r="C8043" s="34">
        <v>26.27</v>
      </c>
      <c r="D8043" s="36">
        <v>45896.0</v>
      </c>
      <c r="E8043" s="24"/>
      <c r="F8043" s="14">
        <v>26.27</v>
      </c>
      <c r="G8043" s="14">
        <v>305.47</v>
      </c>
      <c r="H8043" s="14">
        <v>1.16</v>
      </c>
      <c r="I8043" s="14" t="s">
        <v>6104</v>
      </c>
      <c r="J8043" s="14">
        <v>0.0</v>
      </c>
      <c r="K8043" s="14" t="s">
        <v>6012</v>
      </c>
      <c r="L8043" s="14">
        <v>0.0</v>
      </c>
    </row>
    <row r="8044">
      <c r="A8044" s="14">
        <v>441.0</v>
      </c>
      <c r="B8044" s="14">
        <v>6.0</v>
      </c>
      <c r="C8044" s="34">
        <v>27.08</v>
      </c>
      <c r="D8044" s="36">
        <v>45896.0</v>
      </c>
      <c r="E8044" s="24"/>
      <c r="F8044" s="14">
        <v>4.51</v>
      </c>
      <c r="G8044" s="14">
        <v>61.41</v>
      </c>
      <c r="H8044" s="14">
        <v>1.36</v>
      </c>
      <c r="I8044" s="14" t="s">
        <v>6102</v>
      </c>
      <c r="J8044" s="14">
        <v>0.0</v>
      </c>
      <c r="K8044" s="14" t="s">
        <v>6012</v>
      </c>
      <c r="L8044" s="14">
        <v>0.0</v>
      </c>
    </row>
    <row r="8045">
      <c r="A8045" s="14">
        <v>94.0</v>
      </c>
      <c r="B8045" s="14">
        <v>3.0</v>
      </c>
      <c r="C8045" s="34">
        <v>24.73</v>
      </c>
      <c r="D8045" s="36">
        <v>45897.0</v>
      </c>
      <c r="E8045" s="24"/>
      <c r="F8045" s="14">
        <v>8.24</v>
      </c>
      <c r="G8045" s="14">
        <v>263.09</v>
      </c>
      <c r="H8045" s="14">
        <v>3.19</v>
      </c>
      <c r="I8045" s="14" t="s">
        <v>6103</v>
      </c>
      <c r="J8045" s="14">
        <v>0.0</v>
      </c>
      <c r="K8045" s="14" t="s">
        <v>6012</v>
      </c>
      <c r="L8045" s="14">
        <v>0.0</v>
      </c>
    </row>
    <row r="8046">
      <c r="A8046" s="14">
        <v>0.0</v>
      </c>
      <c r="B8046" s="14">
        <v>0.0</v>
      </c>
      <c r="C8046" s="34">
        <v>14.71</v>
      </c>
      <c r="D8046" s="36">
        <v>45897.0</v>
      </c>
      <c r="E8046" s="24"/>
      <c r="F8046" s="14" t="s">
        <v>6012</v>
      </c>
      <c r="G8046" s="14" t="s">
        <v>6012</v>
      </c>
      <c r="H8046" s="14" t="s">
        <v>6012</v>
      </c>
      <c r="I8046" s="14" t="s">
        <v>6106</v>
      </c>
      <c r="J8046" s="14" t="s">
        <v>6012</v>
      </c>
      <c r="K8046" s="14" t="s">
        <v>6012</v>
      </c>
      <c r="L8046" s="14">
        <v>0.0</v>
      </c>
    </row>
    <row r="8047">
      <c r="A8047" s="14">
        <v>87.0</v>
      </c>
      <c r="B8047" s="14">
        <v>1.0</v>
      </c>
      <c r="C8047" s="34">
        <v>23.77</v>
      </c>
      <c r="D8047" s="36">
        <v>45897.0</v>
      </c>
      <c r="E8047" s="24"/>
      <c r="F8047" s="14">
        <v>23.77</v>
      </c>
      <c r="G8047" s="14">
        <v>273.22</v>
      </c>
      <c r="H8047" s="14">
        <v>1.15</v>
      </c>
      <c r="I8047" s="14" t="s">
        <v>6104</v>
      </c>
      <c r="J8047" s="14">
        <v>0.0</v>
      </c>
      <c r="K8047" s="14" t="s">
        <v>6012</v>
      </c>
      <c r="L8047" s="14">
        <v>0.0</v>
      </c>
    </row>
    <row r="8048">
      <c r="A8048" s="14">
        <v>99.0</v>
      </c>
      <c r="B8048" s="14">
        <v>1.0</v>
      </c>
      <c r="C8048" s="34">
        <v>25.18</v>
      </c>
      <c r="D8048" s="36">
        <v>45897.0</v>
      </c>
      <c r="E8048" s="24"/>
      <c r="F8048" s="14">
        <v>25.18</v>
      </c>
      <c r="G8048" s="14">
        <v>254.34</v>
      </c>
      <c r="H8048" s="14">
        <v>1.01</v>
      </c>
      <c r="I8048" s="14" t="s">
        <v>6105</v>
      </c>
      <c r="J8048" s="14">
        <v>0.0</v>
      </c>
      <c r="K8048" s="14" t="s">
        <v>6012</v>
      </c>
      <c r="L8048" s="14">
        <v>0.0</v>
      </c>
    </row>
    <row r="8049">
      <c r="A8049" s="14">
        <v>228.0</v>
      </c>
      <c r="B8049" s="14">
        <v>1.0</v>
      </c>
      <c r="C8049" s="34">
        <v>28.33</v>
      </c>
      <c r="D8049" s="36">
        <v>45897.0</v>
      </c>
      <c r="E8049" s="24"/>
      <c r="F8049" s="14">
        <v>28.33</v>
      </c>
      <c r="G8049" s="14">
        <v>124.25</v>
      </c>
      <c r="H8049" s="14">
        <v>0.44</v>
      </c>
      <c r="I8049" s="14" t="s">
        <v>6102</v>
      </c>
      <c r="J8049" s="14">
        <v>0.0</v>
      </c>
      <c r="K8049" s="14" t="s">
        <v>6012</v>
      </c>
      <c r="L8049" s="14">
        <v>0.0</v>
      </c>
    </row>
    <row r="8050">
      <c r="A8050" s="14">
        <v>216.0</v>
      </c>
      <c r="B8050" s="14">
        <v>0.0</v>
      </c>
      <c r="C8050" s="34">
        <v>28.5</v>
      </c>
      <c r="D8050" s="36">
        <v>45898.0</v>
      </c>
      <c r="E8050" s="24"/>
      <c r="F8050" s="14" t="s">
        <v>6012</v>
      </c>
      <c r="G8050" s="14">
        <v>131.94</v>
      </c>
      <c r="H8050" s="14">
        <v>0.0</v>
      </c>
      <c r="I8050" s="14" t="s">
        <v>6104</v>
      </c>
      <c r="J8050" s="14" t="s">
        <v>6012</v>
      </c>
      <c r="K8050" s="14" t="s">
        <v>6012</v>
      </c>
      <c r="L8050" s="14">
        <v>0.0</v>
      </c>
    </row>
    <row r="8051">
      <c r="A8051" s="14">
        <v>83.0</v>
      </c>
      <c r="B8051" s="14">
        <v>0.0</v>
      </c>
      <c r="C8051" s="34">
        <v>24.23</v>
      </c>
      <c r="D8051" s="36">
        <v>45898.0</v>
      </c>
      <c r="E8051" s="24"/>
      <c r="F8051" s="14" t="s">
        <v>6012</v>
      </c>
      <c r="G8051" s="14">
        <v>291.93</v>
      </c>
      <c r="H8051" s="14">
        <v>0.0</v>
      </c>
      <c r="I8051" s="14" t="s">
        <v>6105</v>
      </c>
      <c r="J8051" s="14" t="s">
        <v>6012</v>
      </c>
      <c r="K8051" s="14" t="s">
        <v>6012</v>
      </c>
      <c r="L8051" s="14">
        <v>0.0</v>
      </c>
    </row>
    <row r="8052">
      <c r="A8052" s="14">
        <v>243.0</v>
      </c>
      <c r="B8052" s="14">
        <v>3.0</v>
      </c>
      <c r="C8052" s="34">
        <v>25.34</v>
      </c>
      <c r="D8052" s="36">
        <v>45898.0</v>
      </c>
      <c r="E8052" s="24"/>
      <c r="F8052" s="14">
        <v>8.45</v>
      </c>
      <c r="G8052" s="14">
        <v>104.28</v>
      </c>
      <c r="H8052" s="14">
        <v>1.23</v>
      </c>
      <c r="I8052" s="14" t="s">
        <v>6102</v>
      </c>
      <c r="J8052" s="14">
        <v>0.0</v>
      </c>
      <c r="K8052" s="14" t="s">
        <v>6012</v>
      </c>
      <c r="L8052" s="14">
        <v>0.0</v>
      </c>
    </row>
    <row r="8053">
      <c r="A8053" s="14">
        <v>0.0</v>
      </c>
      <c r="B8053" s="14">
        <v>0.0</v>
      </c>
      <c r="C8053" s="34">
        <v>14.19</v>
      </c>
      <c r="D8053" s="36">
        <v>45898.0</v>
      </c>
      <c r="E8053" s="24"/>
      <c r="F8053" s="14" t="s">
        <v>6012</v>
      </c>
      <c r="G8053" s="14" t="s">
        <v>6012</v>
      </c>
      <c r="H8053" s="14" t="s">
        <v>6012</v>
      </c>
      <c r="I8053" s="14" t="s">
        <v>6106</v>
      </c>
      <c r="J8053" s="14" t="s">
        <v>6012</v>
      </c>
      <c r="K8053" s="14" t="s">
        <v>6012</v>
      </c>
      <c r="L8053" s="14">
        <v>0.0</v>
      </c>
    </row>
    <row r="8054">
      <c r="A8054" s="14">
        <v>81.0</v>
      </c>
      <c r="B8054" s="14">
        <v>1.0</v>
      </c>
      <c r="C8054" s="34">
        <v>22.0</v>
      </c>
      <c r="D8054" s="36">
        <v>45898.0</v>
      </c>
      <c r="E8054" s="24"/>
      <c r="F8054" s="14">
        <v>22.0</v>
      </c>
      <c r="G8054" s="14">
        <v>271.6</v>
      </c>
      <c r="H8054" s="14">
        <v>1.23</v>
      </c>
      <c r="I8054" s="14" t="s">
        <v>6103</v>
      </c>
      <c r="J8054" s="14">
        <v>0.0</v>
      </c>
      <c r="K8054" s="14" t="s">
        <v>6012</v>
      </c>
      <c r="L8054" s="14">
        <v>0.0</v>
      </c>
    </row>
    <row r="8055">
      <c r="A8055" s="14">
        <v>41.0</v>
      </c>
      <c r="B8055" s="14">
        <v>0.0</v>
      </c>
      <c r="C8055" s="34">
        <v>9.51</v>
      </c>
      <c r="D8055" s="36">
        <v>45899.0</v>
      </c>
      <c r="E8055" s="24"/>
      <c r="F8055" s="14" t="s">
        <v>6012</v>
      </c>
      <c r="G8055" s="14">
        <v>231.95</v>
      </c>
      <c r="H8055" s="14">
        <v>0.0</v>
      </c>
      <c r="I8055" s="14" t="s">
        <v>6103</v>
      </c>
      <c r="J8055" s="14" t="s">
        <v>6012</v>
      </c>
      <c r="K8055" s="14" t="s">
        <v>6012</v>
      </c>
      <c r="L8055" s="14">
        <v>0.0</v>
      </c>
    </row>
    <row r="8056">
      <c r="A8056" s="14">
        <v>44.0</v>
      </c>
      <c r="B8056" s="14">
        <v>5.0</v>
      </c>
      <c r="C8056" s="34">
        <v>12.23</v>
      </c>
      <c r="D8056" s="36">
        <v>45899.0</v>
      </c>
      <c r="E8056" s="24"/>
      <c r="F8056" s="14">
        <v>2.45</v>
      </c>
      <c r="G8056" s="14">
        <v>277.95</v>
      </c>
      <c r="H8056" s="14">
        <v>11.36</v>
      </c>
      <c r="I8056" s="14" t="s">
        <v>6105</v>
      </c>
      <c r="J8056" s="14">
        <v>0.0</v>
      </c>
      <c r="K8056" s="14" t="s">
        <v>6012</v>
      </c>
      <c r="L8056" s="14">
        <v>0.0</v>
      </c>
    </row>
    <row r="8057">
      <c r="A8057" s="14">
        <v>155.0</v>
      </c>
      <c r="B8057" s="14">
        <v>0.0</v>
      </c>
      <c r="C8057" s="34">
        <v>12.99</v>
      </c>
      <c r="D8057" s="36">
        <v>45899.0</v>
      </c>
      <c r="E8057" s="24"/>
      <c r="F8057" s="14" t="s">
        <v>6012</v>
      </c>
      <c r="G8057" s="14">
        <v>83.81</v>
      </c>
      <c r="H8057" s="14">
        <v>0.0</v>
      </c>
      <c r="I8057" s="14" t="s">
        <v>6102</v>
      </c>
      <c r="J8057" s="14" t="s">
        <v>6012</v>
      </c>
      <c r="K8057" s="14" t="s">
        <v>6012</v>
      </c>
      <c r="L8057" s="14">
        <v>0.0</v>
      </c>
    </row>
    <row r="8058">
      <c r="A8058" s="14">
        <v>50.0</v>
      </c>
      <c r="B8058" s="14">
        <v>0.0</v>
      </c>
      <c r="C8058" s="34">
        <v>8.06</v>
      </c>
      <c r="D8058" s="36">
        <v>45899.0</v>
      </c>
      <c r="E8058" s="24"/>
      <c r="F8058" s="14" t="s">
        <v>6012</v>
      </c>
      <c r="G8058" s="14">
        <v>161.2</v>
      </c>
      <c r="H8058" s="14">
        <v>0.0</v>
      </c>
      <c r="I8058" s="14" t="s">
        <v>6104</v>
      </c>
      <c r="J8058" s="14" t="s">
        <v>6012</v>
      </c>
      <c r="K8058" s="14" t="s">
        <v>6012</v>
      </c>
      <c r="L8058" s="14">
        <v>0.0</v>
      </c>
    </row>
    <row r="8059">
      <c r="A8059" s="14">
        <v>0.0</v>
      </c>
      <c r="B8059" s="14">
        <v>0.0</v>
      </c>
      <c r="C8059" s="34">
        <v>8.5</v>
      </c>
      <c r="D8059" s="36">
        <v>45899.0</v>
      </c>
      <c r="E8059" s="24"/>
      <c r="F8059" s="14" t="s">
        <v>6012</v>
      </c>
      <c r="G8059" s="14" t="s">
        <v>6012</v>
      </c>
      <c r="H8059" s="14" t="s">
        <v>6012</v>
      </c>
      <c r="I8059" s="14" t="s">
        <v>6106</v>
      </c>
      <c r="J8059" s="14" t="s">
        <v>6012</v>
      </c>
      <c r="K8059" s="14" t="s">
        <v>6012</v>
      </c>
      <c r="L8059" s="14">
        <v>0.0</v>
      </c>
    </row>
    <row r="8060">
      <c r="A8060" s="14">
        <v>83.0</v>
      </c>
      <c r="B8060" s="14">
        <v>0.0</v>
      </c>
      <c r="C8060" s="34">
        <v>9.11</v>
      </c>
      <c r="D8060" s="36">
        <v>45900.0</v>
      </c>
      <c r="E8060" s="24"/>
      <c r="F8060" s="14" t="s">
        <v>6012</v>
      </c>
      <c r="G8060" s="14">
        <v>109.76</v>
      </c>
      <c r="H8060" s="14">
        <v>0.0</v>
      </c>
      <c r="I8060" s="14" t="s">
        <v>6102</v>
      </c>
      <c r="J8060" s="14" t="s">
        <v>6012</v>
      </c>
      <c r="K8060" s="14" t="s">
        <v>6012</v>
      </c>
      <c r="L8060" s="14">
        <v>0.0</v>
      </c>
    </row>
    <row r="8061">
      <c r="A8061" s="14">
        <v>0.0</v>
      </c>
      <c r="B8061" s="14">
        <v>0.0</v>
      </c>
      <c r="C8061" s="34">
        <v>4.02</v>
      </c>
      <c r="D8061" s="36">
        <v>45900.0</v>
      </c>
      <c r="E8061" s="24"/>
      <c r="F8061" s="14" t="s">
        <v>6012</v>
      </c>
      <c r="G8061" s="14" t="s">
        <v>6012</v>
      </c>
      <c r="H8061" s="14" t="s">
        <v>6012</v>
      </c>
      <c r="I8061" s="14" t="s">
        <v>6106</v>
      </c>
      <c r="J8061" s="14" t="s">
        <v>6012</v>
      </c>
      <c r="K8061" s="14" t="s">
        <v>6012</v>
      </c>
      <c r="L8061" s="14">
        <v>0.0</v>
      </c>
    </row>
    <row r="8062">
      <c r="A8062" s="14">
        <v>26.0</v>
      </c>
      <c r="B8062" s="14">
        <v>1.0</v>
      </c>
      <c r="C8062" s="34">
        <v>4.77</v>
      </c>
      <c r="D8062" s="36">
        <v>45900.0</v>
      </c>
      <c r="E8062" s="24"/>
      <c r="F8062" s="14">
        <v>4.77</v>
      </c>
      <c r="G8062" s="14">
        <v>183.46</v>
      </c>
      <c r="H8062" s="14">
        <v>3.85</v>
      </c>
      <c r="I8062" s="14" t="s">
        <v>6103</v>
      </c>
      <c r="J8062" s="14">
        <v>0.0</v>
      </c>
      <c r="K8062" s="14" t="s">
        <v>6012</v>
      </c>
      <c r="L8062" s="14">
        <v>0.0</v>
      </c>
    </row>
    <row r="8063">
      <c r="A8063" s="14">
        <v>15.0</v>
      </c>
      <c r="B8063" s="14">
        <v>0.0</v>
      </c>
      <c r="C8063" s="34">
        <v>0.0</v>
      </c>
      <c r="D8063" s="36">
        <v>45900.0</v>
      </c>
      <c r="E8063" s="24"/>
      <c r="F8063" s="14" t="s">
        <v>6012</v>
      </c>
      <c r="G8063" s="14">
        <v>0.0</v>
      </c>
      <c r="H8063" s="14">
        <v>0.0</v>
      </c>
      <c r="I8063" s="14" t="s">
        <v>6104</v>
      </c>
      <c r="J8063" s="14" t="s">
        <v>6012</v>
      </c>
      <c r="K8063" s="14" t="s">
        <v>6012</v>
      </c>
      <c r="L8063" s="14">
        <v>0.0</v>
      </c>
    </row>
    <row r="8064">
      <c r="A8064" s="14">
        <v>2700.0</v>
      </c>
      <c r="B8064" s="14">
        <v>6.0</v>
      </c>
      <c r="C8064" s="34">
        <v>28.5</v>
      </c>
      <c r="D8064" s="36">
        <v>45901.0</v>
      </c>
      <c r="E8064" s="24"/>
      <c r="F8064" s="14">
        <v>4.75</v>
      </c>
      <c r="G8064" s="14">
        <v>10.56</v>
      </c>
      <c r="H8064" s="14">
        <v>0.22</v>
      </c>
      <c r="I8064" s="14" t="s">
        <v>6104</v>
      </c>
      <c r="J8064" s="14">
        <v>0.0</v>
      </c>
      <c r="K8064" s="14" t="s">
        <v>6012</v>
      </c>
      <c r="L8064" s="14">
        <v>0.0</v>
      </c>
    </row>
    <row r="8065">
      <c r="A8065" s="14">
        <v>193.0</v>
      </c>
      <c r="B8065" s="14">
        <v>1.0</v>
      </c>
      <c r="C8065" s="34">
        <v>23.44</v>
      </c>
      <c r="D8065" s="36">
        <v>45901.0</v>
      </c>
      <c r="E8065" s="24"/>
      <c r="F8065" s="14">
        <v>23.44</v>
      </c>
      <c r="G8065" s="14">
        <v>121.45</v>
      </c>
      <c r="H8065" s="14">
        <v>0.52</v>
      </c>
      <c r="I8065" s="14" t="s">
        <v>6102</v>
      </c>
      <c r="J8065" s="14">
        <v>0.0</v>
      </c>
      <c r="K8065" s="14" t="s">
        <v>6012</v>
      </c>
      <c r="L8065" s="14">
        <v>0.0</v>
      </c>
    </row>
    <row r="8066">
      <c r="A8066" s="14">
        <v>0.0</v>
      </c>
      <c r="B8066" s="14">
        <v>0.0</v>
      </c>
      <c r="C8066" s="34">
        <v>11.79</v>
      </c>
      <c r="D8066" s="36">
        <v>45901.0</v>
      </c>
      <c r="E8066" s="24"/>
      <c r="F8066" s="14" t="s">
        <v>6012</v>
      </c>
      <c r="G8066" s="14" t="s">
        <v>6012</v>
      </c>
      <c r="H8066" s="14" t="s">
        <v>6012</v>
      </c>
      <c r="I8066" s="14" t="s">
        <v>6106</v>
      </c>
      <c r="J8066" s="14" t="s">
        <v>6012</v>
      </c>
      <c r="K8066" s="14" t="s">
        <v>6012</v>
      </c>
      <c r="L8066" s="14">
        <v>0.0</v>
      </c>
    </row>
    <row r="8067">
      <c r="A8067" s="14">
        <v>81.0</v>
      </c>
      <c r="B8067" s="14">
        <v>0.0</v>
      </c>
      <c r="C8067" s="34">
        <v>25.54</v>
      </c>
      <c r="D8067" s="36">
        <v>45901.0</v>
      </c>
      <c r="E8067" s="24"/>
      <c r="F8067" s="14" t="s">
        <v>6012</v>
      </c>
      <c r="G8067" s="14">
        <v>315.31</v>
      </c>
      <c r="H8067" s="14">
        <v>0.0</v>
      </c>
      <c r="I8067" s="14" t="s">
        <v>6105</v>
      </c>
      <c r="J8067" s="14" t="s">
        <v>6012</v>
      </c>
      <c r="K8067" s="14" t="s">
        <v>6012</v>
      </c>
      <c r="L8067" s="14">
        <v>0.0</v>
      </c>
    </row>
    <row r="8068">
      <c r="A8068" s="14">
        <v>71.0</v>
      </c>
      <c r="B8068" s="14">
        <v>0.0</v>
      </c>
      <c r="C8068" s="34">
        <v>23.07</v>
      </c>
      <c r="D8068" s="36">
        <v>45901.0</v>
      </c>
      <c r="E8068" s="24"/>
      <c r="F8068" s="14" t="s">
        <v>6012</v>
      </c>
      <c r="G8068" s="14">
        <v>324.93</v>
      </c>
      <c r="H8068" s="14">
        <v>0.0</v>
      </c>
      <c r="I8068" s="14" t="s">
        <v>6103</v>
      </c>
      <c r="J8068" s="14" t="s">
        <v>6012</v>
      </c>
      <c r="K8068" s="14" t="s">
        <v>6012</v>
      </c>
      <c r="L8068" s="14">
        <v>0.0</v>
      </c>
    </row>
    <row r="8069">
      <c r="A8069" s="14">
        <v>296.0</v>
      </c>
      <c r="B8069" s="14">
        <v>1.0</v>
      </c>
      <c r="C8069" s="34">
        <v>25.81</v>
      </c>
      <c r="D8069" s="36">
        <v>45902.0</v>
      </c>
      <c r="E8069" s="24"/>
      <c r="F8069" s="14">
        <v>25.81</v>
      </c>
      <c r="G8069" s="14">
        <v>87.2</v>
      </c>
      <c r="H8069" s="14">
        <v>0.34</v>
      </c>
      <c r="I8069" s="14" t="s">
        <v>6102</v>
      </c>
      <c r="J8069" s="14">
        <v>0.0</v>
      </c>
      <c r="K8069" s="14" t="s">
        <v>6012</v>
      </c>
      <c r="L8069" s="14">
        <v>0.0</v>
      </c>
    </row>
    <row r="8070">
      <c r="A8070" s="14">
        <v>112.0</v>
      </c>
      <c r="B8070" s="14">
        <v>2.0</v>
      </c>
      <c r="C8070" s="34">
        <v>25.85</v>
      </c>
      <c r="D8070" s="36">
        <v>45902.0</v>
      </c>
      <c r="E8070" s="24"/>
      <c r="F8070" s="14">
        <v>12.92</v>
      </c>
      <c r="G8070" s="14">
        <v>230.8</v>
      </c>
      <c r="H8070" s="14">
        <v>1.79</v>
      </c>
      <c r="I8070" s="14" t="s">
        <v>6105</v>
      </c>
      <c r="J8070" s="14">
        <v>0.0</v>
      </c>
      <c r="K8070" s="14" t="s">
        <v>6012</v>
      </c>
      <c r="L8070" s="14">
        <v>0.0</v>
      </c>
    </row>
    <row r="8071">
      <c r="A8071" s="14">
        <v>356.0</v>
      </c>
      <c r="B8071" s="14">
        <v>5.0</v>
      </c>
      <c r="C8071" s="34">
        <v>22.34</v>
      </c>
      <c r="D8071" s="36">
        <v>45902.0</v>
      </c>
      <c r="E8071" s="24"/>
      <c r="F8071" s="14">
        <v>4.47</v>
      </c>
      <c r="G8071" s="14">
        <v>62.75</v>
      </c>
      <c r="H8071" s="14">
        <v>1.4</v>
      </c>
      <c r="I8071" s="14" t="s">
        <v>6104</v>
      </c>
      <c r="J8071" s="14">
        <v>0.0</v>
      </c>
      <c r="K8071" s="14" t="s">
        <v>6012</v>
      </c>
      <c r="L8071" s="14">
        <v>0.0</v>
      </c>
    </row>
    <row r="8072">
      <c r="A8072" s="14">
        <v>85.0</v>
      </c>
      <c r="B8072" s="14">
        <v>0.0</v>
      </c>
      <c r="C8072" s="34">
        <v>26.25</v>
      </c>
      <c r="D8072" s="36">
        <v>45902.0</v>
      </c>
      <c r="E8072" s="24"/>
      <c r="F8072" s="14" t="s">
        <v>6012</v>
      </c>
      <c r="G8072" s="14">
        <v>308.82</v>
      </c>
      <c r="H8072" s="14">
        <v>0.0</v>
      </c>
      <c r="I8072" s="14" t="s">
        <v>6103</v>
      </c>
      <c r="J8072" s="14" t="s">
        <v>6012</v>
      </c>
      <c r="K8072" s="14" t="s">
        <v>6012</v>
      </c>
      <c r="L8072" s="14">
        <v>0.0</v>
      </c>
    </row>
    <row r="8073">
      <c r="A8073" s="14">
        <v>0.0</v>
      </c>
      <c r="B8073" s="14">
        <v>0.0</v>
      </c>
      <c r="C8073" s="34">
        <v>13.7</v>
      </c>
      <c r="D8073" s="36">
        <v>45902.0</v>
      </c>
      <c r="E8073" s="24"/>
      <c r="F8073" s="14" t="s">
        <v>6012</v>
      </c>
      <c r="G8073" s="14" t="s">
        <v>6012</v>
      </c>
      <c r="H8073" s="14" t="s">
        <v>6012</v>
      </c>
      <c r="I8073" s="14" t="s">
        <v>6106</v>
      </c>
      <c r="J8073" s="14" t="s">
        <v>6012</v>
      </c>
      <c r="K8073" s="14" t="s">
        <v>6012</v>
      </c>
      <c r="L8073" s="14">
        <v>0.0</v>
      </c>
    </row>
    <row r="8074">
      <c r="A8074" s="14">
        <v>0.0</v>
      </c>
      <c r="B8074" s="14">
        <v>0.0</v>
      </c>
      <c r="C8074" s="34">
        <v>12.63</v>
      </c>
      <c r="D8074" s="36">
        <v>45903.0</v>
      </c>
      <c r="E8074" s="24"/>
      <c r="F8074" s="14" t="s">
        <v>6012</v>
      </c>
      <c r="G8074" s="14" t="s">
        <v>6012</v>
      </c>
      <c r="H8074" s="14" t="s">
        <v>6012</v>
      </c>
      <c r="I8074" s="14" t="s">
        <v>6106</v>
      </c>
      <c r="J8074" s="14" t="s">
        <v>6012</v>
      </c>
      <c r="K8074" s="14" t="s">
        <v>6012</v>
      </c>
      <c r="L8074" s="14">
        <v>0.0</v>
      </c>
    </row>
    <row r="8075">
      <c r="A8075" s="14">
        <v>97.0</v>
      </c>
      <c r="B8075" s="14">
        <v>6.0</v>
      </c>
      <c r="C8075" s="34">
        <v>23.21</v>
      </c>
      <c r="D8075" s="36">
        <v>45903.0</v>
      </c>
      <c r="E8075" s="24"/>
      <c r="F8075" s="14">
        <v>3.87</v>
      </c>
      <c r="G8075" s="14">
        <v>239.28</v>
      </c>
      <c r="H8075" s="14">
        <v>6.19</v>
      </c>
      <c r="I8075" s="14" t="s">
        <v>6105</v>
      </c>
      <c r="J8075" s="14">
        <v>0.0</v>
      </c>
      <c r="K8075" s="14" t="s">
        <v>6012</v>
      </c>
      <c r="L8075" s="14">
        <v>0.0</v>
      </c>
    </row>
    <row r="8076">
      <c r="A8076" s="14">
        <v>144.0</v>
      </c>
      <c r="B8076" s="14">
        <v>1.0</v>
      </c>
      <c r="C8076" s="34">
        <v>21.99</v>
      </c>
      <c r="D8076" s="36">
        <v>45903.0</v>
      </c>
      <c r="E8076" s="24"/>
      <c r="F8076" s="14">
        <v>21.99</v>
      </c>
      <c r="G8076" s="14">
        <v>152.71</v>
      </c>
      <c r="H8076" s="14">
        <v>0.69</v>
      </c>
      <c r="I8076" s="14" t="s">
        <v>6104</v>
      </c>
      <c r="J8076" s="14">
        <v>0.0</v>
      </c>
      <c r="K8076" s="14" t="s">
        <v>6012</v>
      </c>
      <c r="L8076" s="14">
        <v>0.0</v>
      </c>
    </row>
    <row r="8077">
      <c r="A8077" s="14">
        <v>255.0</v>
      </c>
      <c r="B8077" s="14">
        <v>0.0</v>
      </c>
      <c r="C8077" s="34">
        <v>22.66</v>
      </c>
      <c r="D8077" s="36">
        <v>45903.0</v>
      </c>
      <c r="E8077" s="24"/>
      <c r="F8077" s="14" t="s">
        <v>6012</v>
      </c>
      <c r="G8077" s="14">
        <v>88.86</v>
      </c>
      <c r="H8077" s="14">
        <v>0.0</v>
      </c>
      <c r="I8077" s="14" t="s">
        <v>6102</v>
      </c>
      <c r="J8077" s="14" t="s">
        <v>6012</v>
      </c>
      <c r="K8077" s="14" t="s">
        <v>6012</v>
      </c>
      <c r="L8077" s="14">
        <v>0.0</v>
      </c>
    </row>
    <row r="8078">
      <c r="A8078" s="14">
        <v>78.0</v>
      </c>
      <c r="B8078" s="14">
        <v>0.0</v>
      </c>
      <c r="C8078" s="34">
        <v>23.34</v>
      </c>
      <c r="D8078" s="36">
        <v>45903.0</v>
      </c>
      <c r="E8078" s="24"/>
      <c r="F8078" s="14" t="s">
        <v>6012</v>
      </c>
      <c r="G8078" s="14">
        <v>299.23</v>
      </c>
      <c r="H8078" s="14">
        <v>0.0</v>
      </c>
      <c r="I8078" s="14" t="s">
        <v>6103</v>
      </c>
      <c r="J8078" s="14" t="s">
        <v>6012</v>
      </c>
      <c r="K8078" s="14" t="s">
        <v>6012</v>
      </c>
      <c r="L8078" s="14">
        <v>0.0</v>
      </c>
    </row>
    <row r="8079">
      <c r="A8079" s="14">
        <v>231.0</v>
      </c>
      <c r="B8079" s="14">
        <v>0.0</v>
      </c>
      <c r="C8079" s="34">
        <v>24.07</v>
      </c>
      <c r="D8079" s="36">
        <v>45904.0</v>
      </c>
      <c r="E8079" s="24"/>
      <c r="F8079" s="14" t="s">
        <v>6012</v>
      </c>
      <c r="G8079" s="14">
        <v>104.2</v>
      </c>
      <c r="H8079" s="14">
        <v>0.0</v>
      </c>
      <c r="I8079" s="14" t="s">
        <v>6102</v>
      </c>
      <c r="J8079" s="14" t="s">
        <v>6012</v>
      </c>
      <c r="K8079" s="14" t="s">
        <v>6012</v>
      </c>
      <c r="L8079" s="14">
        <v>0.0</v>
      </c>
    </row>
    <row r="8080">
      <c r="A8080" s="14">
        <v>0.0</v>
      </c>
      <c r="B8080" s="14">
        <v>0.0</v>
      </c>
      <c r="C8080" s="34">
        <v>11.94</v>
      </c>
      <c r="D8080" s="36">
        <v>45904.0</v>
      </c>
      <c r="E8080" s="24"/>
      <c r="F8080" s="14" t="s">
        <v>6012</v>
      </c>
      <c r="G8080" s="14" t="s">
        <v>6012</v>
      </c>
      <c r="H8080" s="14" t="s">
        <v>6012</v>
      </c>
      <c r="I8080" s="14" t="s">
        <v>6106</v>
      </c>
      <c r="J8080" s="14" t="s">
        <v>6012</v>
      </c>
      <c r="K8080" s="14" t="s">
        <v>6012</v>
      </c>
      <c r="L8080" s="14">
        <v>0.0</v>
      </c>
    </row>
    <row r="8081">
      <c r="A8081" s="14">
        <v>83.0</v>
      </c>
      <c r="B8081" s="14">
        <v>1.0</v>
      </c>
      <c r="C8081" s="34">
        <v>22.76</v>
      </c>
      <c r="D8081" s="36">
        <v>45904.0</v>
      </c>
      <c r="E8081" s="24"/>
      <c r="F8081" s="14">
        <v>22.76</v>
      </c>
      <c r="G8081" s="14">
        <v>274.22</v>
      </c>
      <c r="H8081" s="14">
        <v>1.2</v>
      </c>
      <c r="I8081" s="14" t="s">
        <v>6105</v>
      </c>
      <c r="J8081" s="14">
        <v>0.0</v>
      </c>
      <c r="K8081" s="14" t="s">
        <v>6012</v>
      </c>
      <c r="L8081" s="14">
        <v>0.0</v>
      </c>
    </row>
    <row r="8082">
      <c r="A8082" s="14">
        <v>87.0</v>
      </c>
      <c r="B8082" s="14">
        <v>0.0</v>
      </c>
      <c r="C8082" s="34">
        <v>23.76</v>
      </c>
      <c r="D8082" s="36">
        <v>45904.0</v>
      </c>
      <c r="E8082" s="24"/>
      <c r="F8082" s="14" t="s">
        <v>6012</v>
      </c>
      <c r="G8082" s="14">
        <v>273.1</v>
      </c>
      <c r="H8082" s="14">
        <v>0.0</v>
      </c>
      <c r="I8082" s="14" t="s">
        <v>6104</v>
      </c>
      <c r="J8082" s="14" t="s">
        <v>6012</v>
      </c>
      <c r="K8082" s="14" t="s">
        <v>6012</v>
      </c>
      <c r="L8082" s="14">
        <v>0.0</v>
      </c>
    </row>
    <row r="8083">
      <c r="A8083" s="14">
        <v>109.0</v>
      </c>
      <c r="B8083" s="14">
        <v>2.0</v>
      </c>
      <c r="C8083" s="34">
        <v>24.22</v>
      </c>
      <c r="D8083" s="36">
        <v>45904.0</v>
      </c>
      <c r="E8083" s="24"/>
      <c r="F8083" s="14">
        <v>12.11</v>
      </c>
      <c r="G8083" s="14">
        <v>222.2</v>
      </c>
      <c r="H8083" s="14">
        <v>1.83</v>
      </c>
      <c r="I8083" s="14" t="s">
        <v>6103</v>
      </c>
      <c r="J8083" s="14">
        <v>0.0</v>
      </c>
      <c r="K8083" s="14" t="s">
        <v>6012</v>
      </c>
      <c r="L8083" s="14">
        <v>0.0</v>
      </c>
    </row>
    <row r="8084">
      <c r="A8084" s="14">
        <v>294.0</v>
      </c>
      <c r="B8084" s="14">
        <v>0.0</v>
      </c>
      <c r="C8084" s="34">
        <v>19.69</v>
      </c>
      <c r="D8084" s="36">
        <v>45905.0</v>
      </c>
      <c r="E8084" s="24"/>
      <c r="F8084" s="14" t="s">
        <v>6012</v>
      </c>
      <c r="G8084" s="14">
        <v>66.97</v>
      </c>
      <c r="H8084" s="14">
        <v>0.0</v>
      </c>
      <c r="I8084" s="14" t="s">
        <v>6102</v>
      </c>
      <c r="J8084" s="14" t="s">
        <v>6012</v>
      </c>
      <c r="K8084" s="14" t="s">
        <v>6012</v>
      </c>
      <c r="L8084" s="14">
        <v>0.0</v>
      </c>
    </row>
    <row r="8085">
      <c r="A8085" s="14">
        <v>0.0</v>
      </c>
      <c r="B8085" s="14">
        <v>0.0</v>
      </c>
      <c r="C8085" s="34">
        <v>8.9</v>
      </c>
      <c r="D8085" s="36">
        <v>45905.0</v>
      </c>
      <c r="E8085" s="24"/>
      <c r="F8085" s="14" t="s">
        <v>6012</v>
      </c>
      <c r="G8085" s="14" t="s">
        <v>6012</v>
      </c>
      <c r="H8085" s="14" t="s">
        <v>6012</v>
      </c>
      <c r="I8085" s="14" t="s">
        <v>6106</v>
      </c>
      <c r="J8085" s="14" t="s">
        <v>6012</v>
      </c>
      <c r="K8085" s="14" t="s">
        <v>6012</v>
      </c>
      <c r="L8085" s="14">
        <v>0.0</v>
      </c>
    </row>
    <row r="8086">
      <c r="A8086" s="14">
        <v>97.0</v>
      </c>
      <c r="B8086" s="14">
        <v>0.0</v>
      </c>
      <c r="C8086" s="34">
        <v>17.9</v>
      </c>
      <c r="D8086" s="36">
        <v>45905.0</v>
      </c>
      <c r="E8086" s="24"/>
      <c r="F8086" s="14" t="s">
        <v>6012</v>
      </c>
      <c r="G8086" s="14">
        <v>184.54</v>
      </c>
      <c r="H8086" s="14">
        <v>0.0</v>
      </c>
      <c r="I8086" s="14" t="s">
        <v>6104</v>
      </c>
      <c r="J8086" s="14" t="s">
        <v>6012</v>
      </c>
      <c r="K8086" s="14" t="s">
        <v>6012</v>
      </c>
      <c r="L8086" s="14">
        <v>0.0</v>
      </c>
    </row>
    <row r="8087">
      <c r="A8087" s="14">
        <v>89.0</v>
      </c>
      <c r="B8087" s="14">
        <v>0.0</v>
      </c>
      <c r="C8087" s="34">
        <v>20.86</v>
      </c>
      <c r="D8087" s="36">
        <v>45905.0</v>
      </c>
      <c r="E8087" s="24"/>
      <c r="F8087" s="14" t="s">
        <v>6012</v>
      </c>
      <c r="G8087" s="14">
        <v>234.38</v>
      </c>
      <c r="H8087" s="14">
        <v>0.0</v>
      </c>
      <c r="I8087" s="14" t="s">
        <v>6103</v>
      </c>
      <c r="J8087" s="14" t="s">
        <v>6012</v>
      </c>
      <c r="K8087" s="14" t="s">
        <v>6012</v>
      </c>
      <c r="L8087" s="14">
        <v>0.0</v>
      </c>
    </row>
    <row r="8088">
      <c r="A8088" s="14">
        <v>67.0</v>
      </c>
      <c r="B8088" s="14">
        <v>2.0</v>
      </c>
      <c r="C8088" s="34">
        <v>20.92</v>
      </c>
      <c r="D8088" s="36">
        <v>45905.0</v>
      </c>
      <c r="E8088" s="24"/>
      <c r="F8088" s="14">
        <v>10.46</v>
      </c>
      <c r="G8088" s="14">
        <v>312.24</v>
      </c>
      <c r="H8088" s="14">
        <v>2.99</v>
      </c>
      <c r="I8088" s="14" t="s">
        <v>6105</v>
      </c>
      <c r="J8088" s="14">
        <v>0.0</v>
      </c>
      <c r="K8088" s="14" t="s">
        <v>6012</v>
      </c>
      <c r="L8088" s="14">
        <v>0.0</v>
      </c>
    </row>
    <row r="8089">
      <c r="A8089" s="14">
        <v>45.0</v>
      </c>
      <c r="B8089" s="14">
        <v>0.0</v>
      </c>
      <c r="C8089" s="34">
        <v>10.23</v>
      </c>
      <c r="D8089" s="36">
        <v>45906.0</v>
      </c>
      <c r="E8089" s="24"/>
      <c r="F8089" s="14" t="s">
        <v>6012</v>
      </c>
      <c r="G8089" s="14">
        <v>227.33</v>
      </c>
      <c r="H8089" s="14">
        <v>0.0</v>
      </c>
      <c r="I8089" s="14" t="s">
        <v>6103</v>
      </c>
      <c r="J8089" s="14" t="s">
        <v>6012</v>
      </c>
      <c r="K8089" s="14" t="s">
        <v>6012</v>
      </c>
      <c r="L8089" s="14">
        <v>0.0</v>
      </c>
    </row>
    <row r="8090">
      <c r="A8090" s="14">
        <v>0.0</v>
      </c>
      <c r="B8090" s="14">
        <v>0.0</v>
      </c>
      <c r="C8090" s="34">
        <v>8.01</v>
      </c>
      <c r="D8090" s="36">
        <v>45906.0</v>
      </c>
      <c r="E8090" s="24"/>
      <c r="F8090" s="14" t="s">
        <v>6012</v>
      </c>
      <c r="G8090" s="14" t="s">
        <v>6012</v>
      </c>
      <c r="H8090" s="14" t="s">
        <v>6012</v>
      </c>
      <c r="I8090" s="14" t="s">
        <v>6106</v>
      </c>
      <c r="J8090" s="14" t="s">
        <v>6012</v>
      </c>
      <c r="K8090" s="14" t="s">
        <v>6012</v>
      </c>
      <c r="L8090" s="14">
        <v>0.0</v>
      </c>
    </row>
    <row r="8091">
      <c r="A8091" s="14">
        <v>54.0</v>
      </c>
      <c r="B8091" s="14">
        <v>1.0</v>
      </c>
      <c r="C8091" s="34">
        <v>13.07</v>
      </c>
      <c r="D8091" s="36">
        <v>45906.0</v>
      </c>
      <c r="E8091" s="24"/>
      <c r="F8091" s="14">
        <v>13.07</v>
      </c>
      <c r="G8091" s="14">
        <v>242.04</v>
      </c>
      <c r="H8091" s="14">
        <v>1.85</v>
      </c>
      <c r="I8091" s="14" t="s">
        <v>6104</v>
      </c>
      <c r="J8091" s="14">
        <v>0.0</v>
      </c>
      <c r="K8091" s="14" t="s">
        <v>6012</v>
      </c>
      <c r="L8091" s="14">
        <v>0.0</v>
      </c>
    </row>
    <row r="8092">
      <c r="A8092" s="14">
        <v>43.0</v>
      </c>
      <c r="B8092" s="14">
        <v>1.0</v>
      </c>
      <c r="C8092" s="34">
        <v>9.47</v>
      </c>
      <c r="D8092" s="36">
        <v>45906.0</v>
      </c>
      <c r="E8092" s="24"/>
      <c r="F8092" s="14">
        <v>9.47</v>
      </c>
      <c r="G8092" s="14">
        <v>220.23</v>
      </c>
      <c r="H8092" s="14">
        <v>2.33</v>
      </c>
      <c r="I8092" s="14" t="s">
        <v>6105</v>
      </c>
      <c r="J8092" s="14">
        <v>0.0</v>
      </c>
      <c r="K8092" s="14" t="s">
        <v>6012</v>
      </c>
      <c r="L8092" s="14">
        <v>0.0</v>
      </c>
    </row>
    <row r="8093">
      <c r="A8093" s="14">
        <v>109.0</v>
      </c>
      <c r="B8093" s="14">
        <v>2.0</v>
      </c>
      <c r="C8093" s="34">
        <v>10.94</v>
      </c>
      <c r="D8093" s="36">
        <v>45906.0</v>
      </c>
      <c r="E8093" s="24"/>
      <c r="F8093" s="14">
        <v>5.47</v>
      </c>
      <c r="G8093" s="14">
        <v>100.37</v>
      </c>
      <c r="H8093" s="14">
        <v>1.83</v>
      </c>
      <c r="I8093" s="14" t="s">
        <v>6102</v>
      </c>
      <c r="J8093" s="14">
        <v>0.0</v>
      </c>
      <c r="K8093" s="14" t="s">
        <v>6012</v>
      </c>
      <c r="L8093" s="14">
        <v>0.0</v>
      </c>
    </row>
    <row r="8094">
      <c r="A8094" s="14">
        <v>0.0</v>
      </c>
      <c r="B8094" s="14">
        <v>0.0</v>
      </c>
      <c r="C8094" s="34">
        <v>3.03</v>
      </c>
      <c r="D8094" s="36">
        <v>45907.0</v>
      </c>
      <c r="E8094" s="24"/>
      <c r="F8094" s="14" t="s">
        <v>6012</v>
      </c>
      <c r="G8094" s="14" t="s">
        <v>6012</v>
      </c>
      <c r="H8094" s="14" t="s">
        <v>6012</v>
      </c>
      <c r="I8094" s="14" t="s">
        <v>6106</v>
      </c>
      <c r="J8094" s="14" t="s">
        <v>6012</v>
      </c>
      <c r="K8094" s="14" t="s">
        <v>6012</v>
      </c>
      <c r="L8094" s="14">
        <v>0.0</v>
      </c>
    </row>
    <row r="8095">
      <c r="A8095" s="14">
        <v>21.0</v>
      </c>
      <c r="B8095" s="14">
        <v>0.0</v>
      </c>
      <c r="C8095" s="34">
        <v>5.03</v>
      </c>
      <c r="D8095" s="36">
        <v>45907.0</v>
      </c>
      <c r="E8095" s="24"/>
      <c r="F8095" s="14" t="s">
        <v>6012</v>
      </c>
      <c r="G8095" s="14">
        <v>239.52</v>
      </c>
      <c r="H8095" s="14">
        <v>0.0</v>
      </c>
      <c r="I8095" s="14" t="s">
        <v>6103</v>
      </c>
      <c r="J8095" s="14" t="s">
        <v>6012</v>
      </c>
      <c r="K8095" s="14" t="s">
        <v>6012</v>
      </c>
      <c r="L8095" s="14">
        <v>0.0</v>
      </c>
    </row>
    <row r="8096">
      <c r="A8096" s="14">
        <v>20.0</v>
      </c>
      <c r="B8096" s="14">
        <v>0.0</v>
      </c>
      <c r="C8096" s="34">
        <v>5.44</v>
      </c>
      <c r="D8096" s="36">
        <v>45907.0</v>
      </c>
      <c r="E8096" s="24"/>
      <c r="F8096" s="14" t="s">
        <v>6012</v>
      </c>
      <c r="G8096" s="14">
        <v>272.0</v>
      </c>
      <c r="H8096" s="14">
        <v>0.0</v>
      </c>
      <c r="I8096" s="14" t="s">
        <v>6104</v>
      </c>
      <c r="J8096" s="14" t="s">
        <v>6012</v>
      </c>
      <c r="K8096" s="14" t="s">
        <v>6012</v>
      </c>
      <c r="L8096" s="14">
        <v>0.0</v>
      </c>
    </row>
    <row r="8097">
      <c r="A8097" s="14">
        <v>22.0</v>
      </c>
      <c r="B8097" s="14">
        <v>1.0</v>
      </c>
      <c r="C8097" s="34">
        <v>5.25</v>
      </c>
      <c r="D8097" s="36">
        <v>45907.0</v>
      </c>
      <c r="E8097" s="24"/>
      <c r="F8097" s="14">
        <v>5.25</v>
      </c>
      <c r="G8097" s="14">
        <v>238.64</v>
      </c>
      <c r="H8097" s="14">
        <v>4.55</v>
      </c>
      <c r="I8097" s="14" t="s">
        <v>6105</v>
      </c>
      <c r="J8097" s="14">
        <v>0.0</v>
      </c>
      <c r="K8097" s="14" t="s">
        <v>6012</v>
      </c>
      <c r="L8097" s="14">
        <v>0.0</v>
      </c>
    </row>
    <row r="8098">
      <c r="A8098" s="14">
        <v>104.0</v>
      </c>
      <c r="B8098" s="14">
        <v>0.0</v>
      </c>
      <c r="C8098" s="34">
        <v>7.82</v>
      </c>
      <c r="D8098" s="36">
        <v>45907.0</v>
      </c>
      <c r="E8098" s="24"/>
      <c r="F8098" s="14" t="s">
        <v>6012</v>
      </c>
      <c r="G8098" s="14">
        <v>75.19</v>
      </c>
      <c r="H8098" s="14">
        <v>0.0</v>
      </c>
      <c r="I8098" s="14" t="s">
        <v>6102</v>
      </c>
      <c r="J8098" s="14" t="s">
        <v>6012</v>
      </c>
      <c r="K8098" s="14" t="s">
        <v>6012</v>
      </c>
      <c r="L8098" s="14">
        <v>0.0</v>
      </c>
    </row>
    <row r="8099">
      <c r="A8099" s="14">
        <v>51.0</v>
      </c>
      <c r="B8099" s="14">
        <v>0.0</v>
      </c>
      <c r="C8099" s="34">
        <v>23.59</v>
      </c>
      <c r="D8099" s="36">
        <v>45908.0</v>
      </c>
      <c r="E8099" s="24"/>
      <c r="F8099" s="14" t="s">
        <v>6012</v>
      </c>
      <c r="G8099" s="14">
        <v>462.55</v>
      </c>
      <c r="H8099" s="14">
        <v>0.0</v>
      </c>
      <c r="I8099" s="14" t="s">
        <v>6105</v>
      </c>
      <c r="J8099" s="14" t="s">
        <v>6012</v>
      </c>
      <c r="K8099" s="14" t="s">
        <v>6012</v>
      </c>
      <c r="L8099" s="14">
        <v>0.0</v>
      </c>
    </row>
    <row r="8100">
      <c r="A8100" s="14">
        <v>114.0</v>
      </c>
      <c r="B8100" s="14">
        <v>0.0</v>
      </c>
      <c r="C8100" s="34">
        <v>20.65</v>
      </c>
      <c r="D8100" s="36">
        <v>45908.0</v>
      </c>
      <c r="E8100" s="24"/>
      <c r="F8100" s="14" t="s">
        <v>6012</v>
      </c>
      <c r="G8100" s="14">
        <v>181.14</v>
      </c>
      <c r="H8100" s="14">
        <v>0.0</v>
      </c>
      <c r="I8100" s="14" t="s">
        <v>6103</v>
      </c>
      <c r="J8100" s="14" t="s">
        <v>6012</v>
      </c>
      <c r="K8100" s="14" t="s">
        <v>6012</v>
      </c>
      <c r="L8100" s="14">
        <v>0.0</v>
      </c>
    </row>
    <row r="8101">
      <c r="A8101" s="14">
        <v>186.0</v>
      </c>
      <c r="B8101" s="14">
        <v>2.0</v>
      </c>
      <c r="C8101" s="34">
        <v>20.5</v>
      </c>
      <c r="D8101" s="36">
        <v>45908.0</v>
      </c>
      <c r="E8101" s="24"/>
      <c r="F8101" s="14">
        <v>10.25</v>
      </c>
      <c r="G8101" s="14">
        <v>110.22</v>
      </c>
      <c r="H8101" s="14">
        <v>1.08</v>
      </c>
      <c r="I8101" s="14" t="s">
        <v>6102</v>
      </c>
      <c r="J8101" s="14">
        <v>0.0</v>
      </c>
      <c r="K8101" s="14" t="s">
        <v>6012</v>
      </c>
      <c r="L8101" s="14">
        <v>0.0</v>
      </c>
    </row>
    <row r="8102">
      <c r="A8102" s="14">
        <v>66.0</v>
      </c>
      <c r="B8102" s="14">
        <v>0.0</v>
      </c>
      <c r="C8102" s="34">
        <v>23.05</v>
      </c>
      <c r="D8102" s="36">
        <v>45908.0</v>
      </c>
      <c r="E8102" s="24"/>
      <c r="F8102" s="14" t="s">
        <v>6012</v>
      </c>
      <c r="G8102" s="14">
        <v>349.24</v>
      </c>
      <c r="H8102" s="14">
        <v>0.0</v>
      </c>
      <c r="I8102" s="14" t="s">
        <v>6104</v>
      </c>
      <c r="J8102" s="14" t="s">
        <v>6012</v>
      </c>
      <c r="K8102" s="14" t="s">
        <v>6012</v>
      </c>
      <c r="L8102" s="14">
        <v>0.0</v>
      </c>
    </row>
    <row r="8103">
      <c r="A8103" s="14">
        <v>0.0</v>
      </c>
      <c r="B8103" s="14">
        <v>0.0</v>
      </c>
      <c r="C8103" s="34">
        <v>11.13</v>
      </c>
      <c r="D8103" s="36">
        <v>45908.0</v>
      </c>
      <c r="E8103" s="24"/>
      <c r="F8103" s="14" t="s">
        <v>6012</v>
      </c>
      <c r="G8103" s="14" t="s">
        <v>6012</v>
      </c>
      <c r="H8103" s="14" t="s">
        <v>6012</v>
      </c>
      <c r="I8103" s="14" t="s">
        <v>6106</v>
      </c>
      <c r="J8103" s="14" t="s">
        <v>6012</v>
      </c>
      <c r="K8103" s="14" t="s">
        <v>6012</v>
      </c>
      <c r="L8103" s="14">
        <v>0.0</v>
      </c>
    </row>
    <row r="8104">
      <c r="A8104" s="14">
        <v>80.0</v>
      </c>
      <c r="B8104" s="14">
        <v>1.0</v>
      </c>
      <c r="C8104" s="34">
        <v>23.58</v>
      </c>
      <c r="D8104" s="36">
        <v>45909.0</v>
      </c>
      <c r="E8104" s="24"/>
      <c r="F8104" s="14">
        <v>23.58</v>
      </c>
      <c r="G8104" s="14">
        <v>294.75</v>
      </c>
      <c r="H8104" s="14">
        <v>1.25</v>
      </c>
      <c r="I8104" s="14" t="s">
        <v>6103</v>
      </c>
      <c r="J8104" s="14">
        <v>0.0</v>
      </c>
      <c r="K8104" s="14" t="s">
        <v>6012</v>
      </c>
      <c r="L8104" s="14">
        <v>0.0</v>
      </c>
    </row>
    <row r="8105">
      <c r="A8105" s="14">
        <v>318.0</v>
      </c>
      <c r="B8105" s="14">
        <v>1.0</v>
      </c>
      <c r="C8105" s="34">
        <v>23.53</v>
      </c>
      <c r="D8105" s="36">
        <v>45909.0</v>
      </c>
      <c r="E8105" s="24"/>
      <c r="F8105" s="14">
        <v>23.53</v>
      </c>
      <c r="G8105" s="14">
        <v>73.99</v>
      </c>
      <c r="H8105" s="14">
        <v>0.31</v>
      </c>
      <c r="I8105" s="14" t="s">
        <v>6102</v>
      </c>
      <c r="J8105" s="14">
        <v>0.0</v>
      </c>
      <c r="K8105" s="14" t="s">
        <v>6012</v>
      </c>
      <c r="L8105" s="14">
        <v>0.0</v>
      </c>
    </row>
    <row r="8106">
      <c r="A8106" s="14">
        <v>95.0</v>
      </c>
      <c r="B8106" s="14">
        <v>1.0</v>
      </c>
      <c r="C8106" s="34">
        <v>24.71</v>
      </c>
      <c r="D8106" s="36">
        <v>45909.0</v>
      </c>
      <c r="E8106" s="24"/>
      <c r="F8106" s="14">
        <v>24.71</v>
      </c>
      <c r="G8106" s="14">
        <v>260.11</v>
      </c>
      <c r="H8106" s="14">
        <v>1.05</v>
      </c>
      <c r="I8106" s="14" t="s">
        <v>6105</v>
      </c>
      <c r="J8106" s="14">
        <v>0.0</v>
      </c>
      <c r="K8106" s="14" t="s">
        <v>6012</v>
      </c>
      <c r="L8106" s="14">
        <v>0.0</v>
      </c>
    </row>
    <row r="8107">
      <c r="A8107" s="14">
        <v>0.0</v>
      </c>
      <c r="B8107" s="14">
        <v>0.0</v>
      </c>
      <c r="C8107" s="34">
        <v>11.29</v>
      </c>
      <c r="D8107" s="36">
        <v>45909.0</v>
      </c>
      <c r="E8107" s="24"/>
      <c r="F8107" s="14" t="s">
        <v>6012</v>
      </c>
      <c r="G8107" s="14" t="s">
        <v>6012</v>
      </c>
      <c r="H8107" s="14" t="s">
        <v>6012</v>
      </c>
      <c r="I8107" s="14" t="s">
        <v>6106</v>
      </c>
      <c r="J8107" s="14" t="s">
        <v>6012</v>
      </c>
      <c r="K8107" s="14" t="s">
        <v>6012</v>
      </c>
      <c r="L8107" s="14">
        <v>0.0</v>
      </c>
    </row>
    <row r="8108">
      <c r="A8108" s="14">
        <v>84.0</v>
      </c>
      <c r="B8108" s="14">
        <v>1.0</v>
      </c>
      <c r="C8108" s="34">
        <v>27.59</v>
      </c>
      <c r="D8108" s="36">
        <v>45909.0</v>
      </c>
      <c r="E8108" s="24"/>
      <c r="F8108" s="14">
        <v>27.59</v>
      </c>
      <c r="G8108" s="14">
        <v>328.45</v>
      </c>
      <c r="H8108" s="14">
        <v>1.19</v>
      </c>
      <c r="I8108" s="14" t="s">
        <v>6104</v>
      </c>
      <c r="J8108" s="14">
        <v>0.0</v>
      </c>
      <c r="K8108" s="14" t="s">
        <v>6012</v>
      </c>
      <c r="L8108" s="14">
        <v>0.0</v>
      </c>
    </row>
    <row r="8109">
      <c r="A8109" s="14">
        <v>104.0</v>
      </c>
      <c r="B8109" s="14">
        <v>2.0</v>
      </c>
      <c r="C8109" s="34">
        <v>24.79</v>
      </c>
      <c r="D8109" s="36">
        <v>45910.0</v>
      </c>
      <c r="E8109" s="24"/>
      <c r="F8109" s="14">
        <v>12.4</v>
      </c>
      <c r="G8109" s="14">
        <v>238.37</v>
      </c>
      <c r="H8109" s="14">
        <v>1.92</v>
      </c>
      <c r="I8109" s="14" t="s">
        <v>6105</v>
      </c>
      <c r="J8109" s="14">
        <v>0.0</v>
      </c>
      <c r="K8109" s="14" t="s">
        <v>6012</v>
      </c>
      <c r="L8109" s="14">
        <v>0.0</v>
      </c>
    </row>
    <row r="8110">
      <c r="A8110" s="14">
        <v>0.0</v>
      </c>
      <c r="B8110" s="14">
        <v>0.0</v>
      </c>
      <c r="C8110" s="34">
        <v>4.94</v>
      </c>
      <c r="D8110" s="36">
        <v>45910.0</v>
      </c>
      <c r="E8110" s="24"/>
      <c r="F8110" s="14" t="s">
        <v>6012</v>
      </c>
      <c r="G8110" s="14" t="s">
        <v>6012</v>
      </c>
      <c r="H8110" s="14" t="s">
        <v>6012</v>
      </c>
      <c r="I8110" s="14" t="s">
        <v>6106</v>
      </c>
      <c r="J8110" s="14" t="s">
        <v>6012</v>
      </c>
      <c r="K8110" s="14" t="s">
        <v>6012</v>
      </c>
      <c r="L8110" s="14">
        <v>0.0</v>
      </c>
    </row>
    <row r="8111">
      <c r="A8111" s="14">
        <v>273.0</v>
      </c>
      <c r="B8111" s="14">
        <v>0.0</v>
      </c>
      <c r="C8111" s="34">
        <v>24.3</v>
      </c>
      <c r="D8111" s="36">
        <v>45910.0</v>
      </c>
      <c r="E8111" s="24"/>
      <c r="F8111" s="14" t="s">
        <v>6012</v>
      </c>
      <c r="G8111" s="14">
        <v>89.01</v>
      </c>
      <c r="H8111" s="14">
        <v>0.0</v>
      </c>
      <c r="I8111" s="14" t="s">
        <v>6102</v>
      </c>
      <c r="J8111" s="14" t="s">
        <v>6012</v>
      </c>
      <c r="K8111" s="14" t="s">
        <v>6012</v>
      </c>
      <c r="L8111" s="14">
        <v>0.0</v>
      </c>
    </row>
    <row r="8112">
      <c r="A8112" s="14">
        <v>84.0</v>
      </c>
      <c r="B8112" s="14">
        <v>0.0</v>
      </c>
      <c r="C8112" s="34">
        <v>26.94</v>
      </c>
      <c r="D8112" s="36">
        <v>45910.0</v>
      </c>
      <c r="E8112" s="24"/>
      <c r="F8112" s="14" t="s">
        <v>6012</v>
      </c>
      <c r="G8112" s="14">
        <v>320.71</v>
      </c>
      <c r="H8112" s="14">
        <v>0.0</v>
      </c>
      <c r="I8112" s="14" t="s">
        <v>6103</v>
      </c>
      <c r="J8112" s="14" t="s">
        <v>6012</v>
      </c>
      <c r="K8112" s="14" t="s">
        <v>6012</v>
      </c>
      <c r="L8112" s="14">
        <v>0.0</v>
      </c>
    </row>
    <row r="8113">
      <c r="A8113" s="14">
        <v>72.0</v>
      </c>
      <c r="B8113" s="14">
        <v>1.0</v>
      </c>
      <c r="C8113" s="34">
        <v>22.75</v>
      </c>
      <c r="D8113" s="36">
        <v>45910.0</v>
      </c>
      <c r="E8113" s="24"/>
      <c r="F8113" s="14">
        <v>22.75</v>
      </c>
      <c r="G8113" s="14">
        <v>315.97</v>
      </c>
      <c r="H8113" s="14">
        <v>1.39</v>
      </c>
      <c r="I8113" s="14" t="s">
        <v>6104</v>
      </c>
      <c r="J8113" s="14">
        <v>0.0</v>
      </c>
      <c r="K8113" s="14" t="s">
        <v>6012</v>
      </c>
      <c r="L8113" s="14">
        <v>0.0</v>
      </c>
    </row>
    <row r="8114">
      <c r="A8114" s="14">
        <v>107.0</v>
      </c>
      <c r="B8114" s="14">
        <v>2.0</v>
      </c>
      <c r="C8114" s="34">
        <v>22.32</v>
      </c>
      <c r="D8114" s="36">
        <v>45911.0</v>
      </c>
      <c r="E8114" s="24"/>
      <c r="F8114" s="14">
        <v>11.16</v>
      </c>
      <c r="G8114" s="14">
        <v>208.6</v>
      </c>
      <c r="H8114" s="14">
        <v>1.87</v>
      </c>
      <c r="I8114" s="14" t="s">
        <v>6105</v>
      </c>
      <c r="J8114" s="14">
        <v>0.0</v>
      </c>
      <c r="K8114" s="14" t="s">
        <v>6012</v>
      </c>
      <c r="L8114" s="14">
        <v>0.0</v>
      </c>
    </row>
    <row r="8115">
      <c r="A8115" s="14">
        <v>94.0</v>
      </c>
      <c r="B8115" s="14">
        <v>0.0</v>
      </c>
      <c r="C8115" s="34">
        <v>26.99</v>
      </c>
      <c r="D8115" s="36">
        <v>45911.0</v>
      </c>
      <c r="E8115" s="24"/>
      <c r="F8115" s="14" t="s">
        <v>6012</v>
      </c>
      <c r="G8115" s="14">
        <v>287.13</v>
      </c>
      <c r="H8115" s="14">
        <v>0.0</v>
      </c>
      <c r="I8115" s="14" t="s">
        <v>6104</v>
      </c>
      <c r="J8115" s="14" t="s">
        <v>6012</v>
      </c>
      <c r="K8115" s="14" t="s">
        <v>6012</v>
      </c>
      <c r="L8115" s="14">
        <v>0.0</v>
      </c>
    </row>
    <row r="8116">
      <c r="A8116" s="14">
        <v>103.0</v>
      </c>
      <c r="B8116" s="14">
        <v>2.0</v>
      </c>
      <c r="C8116" s="34">
        <v>23.38</v>
      </c>
      <c r="D8116" s="36">
        <v>45911.0</v>
      </c>
      <c r="E8116" s="24"/>
      <c r="F8116" s="14">
        <v>11.69</v>
      </c>
      <c r="G8116" s="14">
        <v>226.99</v>
      </c>
      <c r="H8116" s="14">
        <v>1.94</v>
      </c>
      <c r="I8116" s="14" t="s">
        <v>6103</v>
      </c>
      <c r="J8116" s="14">
        <v>0.0</v>
      </c>
      <c r="K8116" s="14" t="s">
        <v>6012</v>
      </c>
      <c r="L8116" s="14">
        <v>0.0</v>
      </c>
    </row>
    <row r="8117">
      <c r="A8117" s="14">
        <v>347.0</v>
      </c>
      <c r="B8117" s="14">
        <v>0.0</v>
      </c>
      <c r="C8117" s="34">
        <v>23.66</v>
      </c>
      <c r="D8117" s="36">
        <v>45911.0</v>
      </c>
      <c r="E8117" s="24"/>
      <c r="F8117" s="14" t="s">
        <v>6012</v>
      </c>
      <c r="G8117" s="14">
        <v>68.18</v>
      </c>
      <c r="H8117" s="14">
        <v>0.0</v>
      </c>
      <c r="I8117" s="14" t="s">
        <v>6102</v>
      </c>
      <c r="J8117" s="14" t="s">
        <v>6012</v>
      </c>
      <c r="K8117" s="14" t="s">
        <v>6012</v>
      </c>
      <c r="L8117" s="14">
        <v>0.0</v>
      </c>
    </row>
    <row r="8118">
      <c r="A8118" s="14">
        <v>240.0</v>
      </c>
      <c r="B8118" s="14">
        <v>1.0</v>
      </c>
      <c r="C8118" s="34">
        <v>21.95</v>
      </c>
      <c r="D8118" s="36">
        <v>45912.0</v>
      </c>
      <c r="E8118" s="24"/>
      <c r="F8118" s="14">
        <v>21.95</v>
      </c>
      <c r="G8118" s="14">
        <v>91.46</v>
      </c>
      <c r="H8118" s="14">
        <v>0.42</v>
      </c>
      <c r="I8118" s="14" t="s">
        <v>6102</v>
      </c>
      <c r="J8118" s="14">
        <v>0.0</v>
      </c>
      <c r="K8118" s="14" t="s">
        <v>6012</v>
      </c>
      <c r="L8118" s="14">
        <v>0.0</v>
      </c>
    </row>
    <row r="8119">
      <c r="A8119" s="14">
        <v>65.0</v>
      </c>
      <c r="B8119" s="14">
        <v>4.0</v>
      </c>
      <c r="C8119" s="34">
        <v>18.47</v>
      </c>
      <c r="D8119" s="36">
        <v>45912.0</v>
      </c>
      <c r="E8119" s="24"/>
      <c r="F8119" s="14">
        <v>4.62</v>
      </c>
      <c r="G8119" s="14">
        <v>284.15</v>
      </c>
      <c r="H8119" s="14">
        <v>6.15</v>
      </c>
      <c r="I8119" s="14" t="s">
        <v>6104</v>
      </c>
      <c r="J8119" s="14">
        <v>0.0</v>
      </c>
      <c r="K8119" s="14" t="s">
        <v>6012</v>
      </c>
      <c r="L8119" s="14">
        <v>0.0</v>
      </c>
    </row>
    <row r="8120">
      <c r="A8120" s="14">
        <v>112.0</v>
      </c>
      <c r="B8120" s="14">
        <v>0.0</v>
      </c>
      <c r="C8120" s="34">
        <v>21.01</v>
      </c>
      <c r="D8120" s="36">
        <v>45912.0</v>
      </c>
      <c r="E8120" s="24"/>
      <c r="F8120" s="14" t="s">
        <v>6012</v>
      </c>
      <c r="G8120" s="14">
        <v>187.59</v>
      </c>
      <c r="H8120" s="14">
        <v>0.0</v>
      </c>
      <c r="I8120" s="14" t="s">
        <v>6103</v>
      </c>
      <c r="J8120" s="14" t="s">
        <v>6012</v>
      </c>
      <c r="K8120" s="14" t="s">
        <v>6012</v>
      </c>
      <c r="L8120" s="14">
        <v>0.0</v>
      </c>
    </row>
    <row r="8121">
      <c r="A8121" s="14">
        <v>90.0</v>
      </c>
      <c r="B8121" s="14">
        <v>2.0</v>
      </c>
      <c r="C8121" s="34">
        <v>20.78</v>
      </c>
      <c r="D8121" s="36">
        <v>45912.0</v>
      </c>
      <c r="E8121" s="24"/>
      <c r="F8121" s="14">
        <v>10.39</v>
      </c>
      <c r="G8121" s="14">
        <v>230.89</v>
      </c>
      <c r="H8121" s="14">
        <v>2.22</v>
      </c>
      <c r="I8121" s="14" t="s">
        <v>6105</v>
      </c>
      <c r="J8121" s="14">
        <v>0.0</v>
      </c>
      <c r="K8121" s="14" t="s">
        <v>6012</v>
      </c>
      <c r="L8121" s="14">
        <v>0.0</v>
      </c>
    </row>
    <row r="8122">
      <c r="A8122" s="14">
        <v>39.0</v>
      </c>
      <c r="B8122" s="14">
        <v>2.0</v>
      </c>
      <c r="C8122" s="34">
        <v>10.61</v>
      </c>
      <c r="D8122" s="36">
        <v>45913.0</v>
      </c>
      <c r="E8122" s="24"/>
      <c r="F8122" s="14">
        <v>5.3</v>
      </c>
      <c r="G8122" s="14">
        <v>272.05</v>
      </c>
      <c r="H8122" s="14">
        <v>5.13</v>
      </c>
      <c r="I8122" s="14" t="s">
        <v>6105</v>
      </c>
      <c r="J8122" s="14">
        <v>0.0</v>
      </c>
      <c r="K8122" s="14" t="s">
        <v>6012</v>
      </c>
      <c r="L8122" s="14">
        <v>0.0</v>
      </c>
    </row>
    <row r="8123">
      <c r="A8123" s="14">
        <v>29.0</v>
      </c>
      <c r="B8123" s="14">
        <v>0.0</v>
      </c>
      <c r="C8123" s="34">
        <v>11.04</v>
      </c>
      <c r="D8123" s="36">
        <v>45913.0</v>
      </c>
      <c r="E8123" s="24"/>
      <c r="F8123" s="14" t="s">
        <v>6012</v>
      </c>
      <c r="G8123" s="14">
        <v>380.69</v>
      </c>
      <c r="H8123" s="14">
        <v>0.0</v>
      </c>
      <c r="I8123" s="14" t="s">
        <v>6104</v>
      </c>
      <c r="J8123" s="14" t="s">
        <v>6012</v>
      </c>
      <c r="K8123" s="14" t="s">
        <v>6012</v>
      </c>
      <c r="L8123" s="14">
        <v>0.0</v>
      </c>
    </row>
    <row r="8124">
      <c r="A8124" s="14">
        <v>134.0</v>
      </c>
      <c r="B8124" s="14">
        <v>1.0</v>
      </c>
      <c r="C8124" s="34">
        <v>11.94</v>
      </c>
      <c r="D8124" s="36">
        <v>45913.0</v>
      </c>
      <c r="E8124" s="24"/>
      <c r="F8124" s="14">
        <v>11.94</v>
      </c>
      <c r="G8124" s="14">
        <v>89.1</v>
      </c>
      <c r="H8124" s="14">
        <v>0.75</v>
      </c>
      <c r="I8124" s="14" t="s">
        <v>6102</v>
      </c>
      <c r="J8124" s="14">
        <v>0.0</v>
      </c>
      <c r="K8124" s="14" t="s">
        <v>6012</v>
      </c>
      <c r="L8124" s="14">
        <v>0.0</v>
      </c>
    </row>
    <row r="8125">
      <c r="A8125" s="14">
        <v>40.0</v>
      </c>
      <c r="B8125" s="14">
        <v>0.0</v>
      </c>
      <c r="C8125" s="34">
        <v>12.25</v>
      </c>
      <c r="D8125" s="36">
        <v>45913.0</v>
      </c>
      <c r="E8125" s="24"/>
      <c r="F8125" s="14" t="s">
        <v>6012</v>
      </c>
      <c r="G8125" s="14">
        <v>306.25</v>
      </c>
      <c r="H8125" s="14">
        <v>0.0</v>
      </c>
      <c r="I8125" s="14" t="s">
        <v>6103</v>
      </c>
      <c r="J8125" s="14" t="s">
        <v>6012</v>
      </c>
      <c r="K8125" s="14" t="s">
        <v>6012</v>
      </c>
      <c r="L8125" s="14">
        <v>0.0</v>
      </c>
    </row>
    <row r="8126">
      <c r="A8126" s="14">
        <v>92.0</v>
      </c>
      <c r="B8126" s="14">
        <v>0.0</v>
      </c>
      <c r="C8126" s="34">
        <v>8.87</v>
      </c>
      <c r="D8126" s="36">
        <v>45914.0</v>
      </c>
      <c r="E8126" s="24"/>
      <c r="F8126" s="14" t="s">
        <v>6012</v>
      </c>
      <c r="G8126" s="14">
        <v>96.41</v>
      </c>
      <c r="H8126" s="14">
        <v>0.0</v>
      </c>
      <c r="I8126" s="14" t="s">
        <v>6102</v>
      </c>
      <c r="J8126" s="14" t="s">
        <v>6012</v>
      </c>
      <c r="K8126" s="14" t="s">
        <v>6012</v>
      </c>
      <c r="L8126" s="14">
        <v>0.0</v>
      </c>
    </row>
    <row r="8127">
      <c r="A8127" s="14">
        <v>19.0</v>
      </c>
      <c r="B8127" s="14">
        <v>0.0</v>
      </c>
      <c r="C8127" s="34">
        <v>3.11</v>
      </c>
      <c r="D8127" s="36">
        <v>45914.0</v>
      </c>
      <c r="E8127" s="24"/>
      <c r="F8127" s="14" t="s">
        <v>6012</v>
      </c>
      <c r="G8127" s="14">
        <v>163.68</v>
      </c>
      <c r="H8127" s="14">
        <v>0.0</v>
      </c>
      <c r="I8127" s="14" t="s">
        <v>6104</v>
      </c>
      <c r="J8127" s="14" t="s">
        <v>6012</v>
      </c>
      <c r="K8127" s="14" t="s">
        <v>6012</v>
      </c>
      <c r="L8127" s="14">
        <v>0.0</v>
      </c>
    </row>
    <row r="8128">
      <c r="A8128" s="14">
        <v>23.0</v>
      </c>
      <c r="B8128" s="14">
        <v>0.0</v>
      </c>
      <c r="C8128" s="34">
        <v>5.19</v>
      </c>
      <c r="D8128" s="36">
        <v>45914.0</v>
      </c>
      <c r="E8128" s="24"/>
      <c r="F8128" s="14" t="s">
        <v>6012</v>
      </c>
      <c r="G8128" s="14">
        <v>225.65</v>
      </c>
      <c r="H8128" s="14">
        <v>0.0</v>
      </c>
      <c r="I8128" s="14" t="s">
        <v>6103</v>
      </c>
      <c r="J8128" s="14" t="s">
        <v>6012</v>
      </c>
      <c r="K8128" s="14" t="s">
        <v>6012</v>
      </c>
      <c r="L8128" s="14">
        <v>0.0</v>
      </c>
    </row>
    <row r="8129">
      <c r="A8129" s="14">
        <v>33.0</v>
      </c>
      <c r="B8129" s="14">
        <v>0.0</v>
      </c>
      <c r="C8129" s="34">
        <v>6.2</v>
      </c>
      <c r="D8129" s="36">
        <v>45914.0</v>
      </c>
      <c r="E8129" s="24"/>
      <c r="F8129" s="14" t="s">
        <v>6012</v>
      </c>
      <c r="G8129" s="14">
        <v>187.88</v>
      </c>
      <c r="H8129" s="14">
        <v>0.0</v>
      </c>
      <c r="I8129" s="14" t="s">
        <v>6105</v>
      </c>
      <c r="J8129" s="14" t="s">
        <v>6012</v>
      </c>
      <c r="K8129" s="14" t="s">
        <v>6012</v>
      </c>
      <c r="L8129" s="14">
        <v>0.0</v>
      </c>
    </row>
    <row r="8130">
      <c r="A8130" s="14">
        <v>59.0</v>
      </c>
      <c r="B8130" s="14">
        <v>0.0</v>
      </c>
      <c r="C8130" s="34">
        <v>21.45</v>
      </c>
      <c r="D8130" s="36">
        <v>45915.0</v>
      </c>
      <c r="E8130" s="24"/>
      <c r="F8130" s="14" t="s">
        <v>6012</v>
      </c>
      <c r="G8130" s="14">
        <v>363.56</v>
      </c>
      <c r="H8130" s="14">
        <v>0.0</v>
      </c>
      <c r="I8130" s="14" t="s">
        <v>6103</v>
      </c>
      <c r="J8130" s="14" t="s">
        <v>6012</v>
      </c>
      <c r="K8130" s="14" t="s">
        <v>6012</v>
      </c>
      <c r="L8130" s="14">
        <v>0.0</v>
      </c>
    </row>
    <row r="8131">
      <c r="A8131" s="14">
        <v>81.0</v>
      </c>
      <c r="B8131" s="14">
        <v>3.0</v>
      </c>
      <c r="C8131" s="34">
        <v>20.78</v>
      </c>
      <c r="D8131" s="36">
        <v>45915.0</v>
      </c>
      <c r="E8131" s="24"/>
      <c r="F8131" s="14">
        <v>6.93</v>
      </c>
      <c r="G8131" s="14">
        <v>256.54</v>
      </c>
      <c r="H8131" s="14">
        <v>3.7</v>
      </c>
      <c r="I8131" s="14" t="s">
        <v>6105</v>
      </c>
      <c r="J8131" s="14">
        <v>0.0</v>
      </c>
      <c r="K8131" s="14" t="s">
        <v>6012</v>
      </c>
      <c r="L8131" s="14">
        <v>0.0</v>
      </c>
    </row>
    <row r="8132">
      <c r="A8132" s="14">
        <v>190.0</v>
      </c>
      <c r="B8132" s="14">
        <v>1.0</v>
      </c>
      <c r="C8132" s="34">
        <v>21.42</v>
      </c>
      <c r="D8132" s="36">
        <v>45915.0</v>
      </c>
      <c r="E8132" s="24"/>
      <c r="F8132" s="14">
        <v>21.42</v>
      </c>
      <c r="G8132" s="14">
        <v>112.74</v>
      </c>
      <c r="H8132" s="14">
        <v>0.53</v>
      </c>
      <c r="I8132" s="14" t="s">
        <v>6102</v>
      </c>
      <c r="J8132" s="14">
        <v>0.0</v>
      </c>
      <c r="K8132" s="14" t="s">
        <v>6012</v>
      </c>
      <c r="L8132" s="14">
        <v>0.0</v>
      </c>
    </row>
    <row r="8133">
      <c r="A8133" s="14">
        <v>43.0</v>
      </c>
      <c r="B8133" s="14">
        <v>0.0</v>
      </c>
      <c r="C8133" s="34">
        <v>23.48</v>
      </c>
      <c r="D8133" s="36">
        <v>45915.0</v>
      </c>
      <c r="E8133" s="24"/>
      <c r="F8133" s="14" t="s">
        <v>6012</v>
      </c>
      <c r="G8133" s="14">
        <v>546.05</v>
      </c>
      <c r="H8133" s="14">
        <v>0.0</v>
      </c>
      <c r="I8133" s="14" t="s">
        <v>6104</v>
      </c>
      <c r="J8133" s="14" t="s">
        <v>6012</v>
      </c>
      <c r="K8133" s="14" t="s">
        <v>6012</v>
      </c>
      <c r="L8133" s="14">
        <v>0.0</v>
      </c>
    </row>
    <row r="8134">
      <c r="A8134" s="14">
        <v>277.0</v>
      </c>
      <c r="B8134" s="14">
        <v>0.0</v>
      </c>
      <c r="C8134" s="34">
        <v>22.99</v>
      </c>
      <c r="D8134" s="36">
        <v>45916.0</v>
      </c>
      <c r="E8134" s="24"/>
      <c r="F8134" s="14" t="s">
        <v>6012</v>
      </c>
      <c r="G8134" s="14">
        <v>83.0</v>
      </c>
      <c r="H8134" s="14">
        <v>0.0</v>
      </c>
      <c r="I8134" s="14" t="s">
        <v>6102</v>
      </c>
      <c r="J8134" s="14" t="s">
        <v>6012</v>
      </c>
      <c r="K8134" s="14" t="s">
        <v>6012</v>
      </c>
      <c r="L8134" s="14">
        <v>0.0</v>
      </c>
    </row>
    <row r="8135">
      <c r="A8135" s="14">
        <v>79.0</v>
      </c>
      <c r="B8135" s="14">
        <v>1.0</v>
      </c>
      <c r="C8135" s="34">
        <v>24.75</v>
      </c>
      <c r="D8135" s="36">
        <v>45916.0</v>
      </c>
      <c r="E8135" s="24"/>
      <c r="F8135" s="14">
        <v>24.75</v>
      </c>
      <c r="G8135" s="14">
        <v>313.29</v>
      </c>
      <c r="H8135" s="14">
        <v>1.27</v>
      </c>
      <c r="I8135" s="14" t="s">
        <v>6104</v>
      </c>
      <c r="J8135" s="14">
        <v>0.0</v>
      </c>
      <c r="K8135" s="14" t="s">
        <v>6012</v>
      </c>
      <c r="L8135" s="14">
        <v>0.0</v>
      </c>
    </row>
    <row r="8136">
      <c r="A8136" s="14">
        <v>96.0</v>
      </c>
      <c r="B8136" s="14">
        <v>0.0</v>
      </c>
      <c r="C8136" s="34">
        <v>26.67</v>
      </c>
      <c r="D8136" s="36">
        <v>45916.0</v>
      </c>
      <c r="E8136" s="24"/>
      <c r="F8136" s="14" t="s">
        <v>6012</v>
      </c>
      <c r="G8136" s="14">
        <v>277.81</v>
      </c>
      <c r="H8136" s="14">
        <v>0.0</v>
      </c>
      <c r="I8136" s="14" t="s">
        <v>6103</v>
      </c>
      <c r="J8136" s="14" t="s">
        <v>6012</v>
      </c>
      <c r="K8136" s="14" t="s">
        <v>6012</v>
      </c>
      <c r="L8136" s="14">
        <v>0.0</v>
      </c>
    </row>
    <row r="8137">
      <c r="A8137" s="14">
        <v>107.0</v>
      </c>
      <c r="B8137" s="14">
        <v>1.0</v>
      </c>
      <c r="C8137" s="34">
        <v>23.48</v>
      </c>
      <c r="D8137" s="36">
        <v>45916.0</v>
      </c>
      <c r="E8137" s="24"/>
      <c r="F8137" s="14">
        <v>23.48</v>
      </c>
      <c r="G8137" s="14">
        <v>219.44</v>
      </c>
      <c r="H8137" s="14">
        <v>0.93</v>
      </c>
      <c r="I8137" s="14" t="s">
        <v>6105</v>
      </c>
      <c r="J8137" s="14">
        <v>0.0</v>
      </c>
      <c r="K8137" s="14" t="s">
        <v>6012</v>
      </c>
      <c r="L8137" s="14">
        <v>0.0</v>
      </c>
    </row>
    <row r="8138">
      <c r="A8138" s="14">
        <v>104.0</v>
      </c>
      <c r="B8138" s="14">
        <v>1.0</v>
      </c>
      <c r="C8138" s="34">
        <v>26.1</v>
      </c>
      <c r="D8138" s="36">
        <v>45917.0</v>
      </c>
      <c r="E8138" s="24"/>
      <c r="F8138" s="14">
        <v>26.1</v>
      </c>
      <c r="G8138" s="14">
        <v>250.96</v>
      </c>
      <c r="H8138" s="14">
        <v>0.96</v>
      </c>
      <c r="I8138" s="14" t="s">
        <v>6103</v>
      </c>
      <c r="J8138" s="14">
        <v>0.0</v>
      </c>
      <c r="K8138" s="14" t="s">
        <v>6012</v>
      </c>
      <c r="L8138" s="14">
        <v>0.0</v>
      </c>
    </row>
    <row r="8139">
      <c r="A8139" s="14">
        <v>318.0</v>
      </c>
      <c r="B8139" s="14">
        <v>2.0</v>
      </c>
      <c r="C8139" s="34">
        <v>23.97</v>
      </c>
      <c r="D8139" s="36">
        <v>45917.0</v>
      </c>
      <c r="E8139" s="24"/>
      <c r="F8139" s="14">
        <v>11.98</v>
      </c>
      <c r="G8139" s="14">
        <v>75.38</v>
      </c>
      <c r="H8139" s="14">
        <v>0.63</v>
      </c>
      <c r="I8139" s="14" t="s">
        <v>6102</v>
      </c>
      <c r="J8139" s="14">
        <v>0.0</v>
      </c>
      <c r="K8139" s="14" t="s">
        <v>6012</v>
      </c>
      <c r="L8139" s="14">
        <v>0.0</v>
      </c>
    </row>
    <row r="8140">
      <c r="A8140" s="14">
        <v>108.0</v>
      </c>
      <c r="B8140" s="14">
        <v>2.0</v>
      </c>
      <c r="C8140" s="34">
        <v>26.42</v>
      </c>
      <c r="D8140" s="36">
        <v>45917.0</v>
      </c>
      <c r="E8140" s="24"/>
      <c r="F8140" s="14">
        <v>13.21</v>
      </c>
      <c r="G8140" s="14">
        <v>244.63</v>
      </c>
      <c r="H8140" s="14">
        <v>1.85</v>
      </c>
      <c r="I8140" s="14" t="s">
        <v>6105</v>
      </c>
      <c r="J8140" s="14">
        <v>0.0</v>
      </c>
      <c r="K8140" s="14" t="s">
        <v>6012</v>
      </c>
      <c r="L8140" s="14">
        <v>0.0</v>
      </c>
    </row>
    <row r="8141">
      <c r="A8141" s="14">
        <v>75.0</v>
      </c>
      <c r="B8141" s="14">
        <v>4.0</v>
      </c>
      <c r="C8141" s="34">
        <v>24.83</v>
      </c>
      <c r="D8141" s="36">
        <v>45917.0</v>
      </c>
      <c r="E8141" s="24"/>
      <c r="F8141" s="14">
        <v>6.21</v>
      </c>
      <c r="G8141" s="14">
        <v>331.07</v>
      </c>
      <c r="H8141" s="14">
        <v>5.33</v>
      </c>
      <c r="I8141" s="14" t="s">
        <v>6104</v>
      </c>
      <c r="J8141" s="14">
        <v>0.0</v>
      </c>
      <c r="K8141" s="14" t="s">
        <v>6012</v>
      </c>
      <c r="L8141" s="14">
        <v>0.0</v>
      </c>
    </row>
    <row r="8142">
      <c r="A8142" s="14">
        <v>146.0</v>
      </c>
      <c r="B8142" s="14">
        <v>3.0</v>
      </c>
      <c r="C8142" s="34">
        <v>28.23</v>
      </c>
      <c r="D8142" s="36">
        <v>45918.0</v>
      </c>
      <c r="E8142" s="24"/>
      <c r="F8142" s="14">
        <v>9.41</v>
      </c>
      <c r="G8142" s="14">
        <v>193.36</v>
      </c>
      <c r="H8142" s="14">
        <v>2.05</v>
      </c>
      <c r="I8142" s="14" t="s">
        <v>6105</v>
      </c>
      <c r="J8142" s="14">
        <v>0.0</v>
      </c>
      <c r="K8142" s="14" t="s">
        <v>6012</v>
      </c>
      <c r="L8142" s="14">
        <v>0.0</v>
      </c>
    </row>
    <row r="8143">
      <c r="A8143" s="14">
        <v>307.0</v>
      </c>
      <c r="B8143" s="14">
        <v>0.0</v>
      </c>
      <c r="C8143" s="34">
        <v>28.32</v>
      </c>
      <c r="D8143" s="36">
        <v>45918.0</v>
      </c>
      <c r="E8143" s="24"/>
      <c r="F8143" s="14" t="s">
        <v>6012</v>
      </c>
      <c r="G8143" s="14">
        <v>92.25</v>
      </c>
      <c r="H8143" s="14">
        <v>0.0</v>
      </c>
      <c r="I8143" s="14" t="s">
        <v>6102</v>
      </c>
      <c r="J8143" s="14" t="s">
        <v>6012</v>
      </c>
      <c r="K8143" s="14" t="s">
        <v>6012</v>
      </c>
      <c r="L8143" s="14">
        <v>0.0</v>
      </c>
    </row>
    <row r="8144">
      <c r="A8144" s="14">
        <v>109.0</v>
      </c>
      <c r="B8144" s="14">
        <v>0.0</v>
      </c>
      <c r="C8144" s="34">
        <v>28.5</v>
      </c>
      <c r="D8144" s="36">
        <v>45918.0</v>
      </c>
      <c r="E8144" s="24"/>
      <c r="F8144" s="14" t="s">
        <v>6012</v>
      </c>
      <c r="G8144" s="14">
        <v>261.47</v>
      </c>
      <c r="H8144" s="14">
        <v>0.0</v>
      </c>
      <c r="I8144" s="14" t="s">
        <v>6103</v>
      </c>
      <c r="J8144" s="14" t="s">
        <v>6012</v>
      </c>
      <c r="K8144" s="14" t="s">
        <v>6012</v>
      </c>
      <c r="L8144" s="14">
        <v>0.0</v>
      </c>
    </row>
    <row r="8145">
      <c r="A8145" s="14">
        <v>102.0</v>
      </c>
      <c r="B8145" s="14">
        <v>0.0</v>
      </c>
      <c r="C8145" s="34">
        <v>28.5</v>
      </c>
      <c r="D8145" s="36">
        <v>45918.0</v>
      </c>
      <c r="E8145" s="24"/>
      <c r="F8145" s="14" t="s">
        <v>6012</v>
      </c>
      <c r="G8145" s="14">
        <v>279.41</v>
      </c>
      <c r="H8145" s="14">
        <v>0.0</v>
      </c>
      <c r="I8145" s="14" t="s">
        <v>6104</v>
      </c>
      <c r="J8145" s="14" t="s">
        <v>6012</v>
      </c>
      <c r="K8145" s="14" t="s">
        <v>6012</v>
      </c>
      <c r="L8145" s="14">
        <v>0.0</v>
      </c>
    </row>
    <row r="8146">
      <c r="A8146" s="14">
        <v>84.0</v>
      </c>
      <c r="B8146" s="14">
        <v>1.0</v>
      </c>
      <c r="C8146" s="34">
        <v>28.5</v>
      </c>
      <c r="D8146" s="36">
        <v>45919.0</v>
      </c>
      <c r="E8146" s="24"/>
      <c r="F8146" s="14">
        <v>28.5</v>
      </c>
      <c r="G8146" s="14">
        <v>339.29</v>
      </c>
      <c r="H8146" s="14">
        <v>1.19</v>
      </c>
      <c r="I8146" s="14" t="s">
        <v>6104</v>
      </c>
      <c r="J8146" s="14">
        <v>0.0</v>
      </c>
      <c r="K8146" s="14" t="s">
        <v>6012</v>
      </c>
      <c r="L8146" s="14">
        <v>0.0</v>
      </c>
    </row>
    <row r="8147">
      <c r="A8147" s="14">
        <v>96.0</v>
      </c>
      <c r="B8147" s="14">
        <v>1.0</v>
      </c>
      <c r="C8147" s="34">
        <v>28.5</v>
      </c>
      <c r="D8147" s="36">
        <v>45919.0</v>
      </c>
      <c r="E8147" s="24"/>
      <c r="F8147" s="14">
        <v>28.5</v>
      </c>
      <c r="G8147" s="14">
        <v>296.88</v>
      </c>
      <c r="H8147" s="14">
        <v>1.04</v>
      </c>
      <c r="I8147" s="14" t="s">
        <v>6103</v>
      </c>
      <c r="J8147" s="14">
        <v>0.0</v>
      </c>
      <c r="K8147" s="14" t="s">
        <v>6012</v>
      </c>
      <c r="L8147" s="14">
        <v>0.0</v>
      </c>
    </row>
    <row r="8148">
      <c r="A8148" s="14">
        <v>289.0</v>
      </c>
      <c r="B8148" s="14">
        <v>2.0</v>
      </c>
      <c r="C8148" s="34">
        <v>28.88</v>
      </c>
      <c r="D8148" s="36">
        <v>45919.0</v>
      </c>
      <c r="E8148" s="24"/>
      <c r="F8148" s="14">
        <v>14.44</v>
      </c>
      <c r="G8148" s="14">
        <v>99.93</v>
      </c>
      <c r="H8148" s="14">
        <v>0.69</v>
      </c>
      <c r="I8148" s="14" t="s">
        <v>6102</v>
      </c>
      <c r="J8148" s="14">
        <v>0.0</v>
      </c>
      <c r="K8148" s="14" t="s">
        <v>6012</v>
      </c>
      <c r="L8148" s="14">
        <v>0.0</v>
      </c>
    </row>
    <row r="8149">
      <c r="A8149" s="14">
        <v>98.0</v>
      </c>
      <c r="B8149" s="14">
        <v>3.0</v>
      </c>
      <c r="C8149" s="34">
        <v>28.5</v>
      </c>
      <c r="D8149" s="36">
        <v>45919.0</v>
      </c>
      <c r="E8149" s="24"/>
      <c r="F8149" s="14">
        <v>9.5</v>
      </c>
      <c r="G8149" s="14">
        <v>290.82</v>
      </c>
      <c r="H8149" s="14">
        <v>3.06</v>
      </c>
      <c r="I8149" s="14" t="s">
        <v>6105</v>
      </c>
      <c r="J8149" s="14">
        <v>0.0</v>
      </c>
      <c r="K8149" s="14" t="s">
        <v>6012</v>
      </c>
      <c r="L8149" s="14">
        <v>0.0</v>
      </c>
    </row>
    <row r="8150">
      <c r="A8150" s="14">
        <v>37.0</v>
      </c>
      <c r="B8150" s="14">
        <v>0.0</v>
      </c>
      <c r="C8150" s="34">
        <v>5.59</v>
      </c>
      <c r="D8150" s="36">
        <v>45920.0</v>
      </c>
      <c r="E8150" s="24"/>
      <c r="F8150" s="14" t="s">
        <v>6012</v>
      </c>
      <c r="G8150" s="14">
        <v>151.08</v>
      </c>
      <c r="H8150" s="14">
        <v>0.0</v>
      </c>
      <c r="I8150" s="14" t="s">
        <v>6105</v>
      </c>
      <c r="J8150" s="14" t="s">
        <v>6012</v>
      </c>
      <c r="K8150" s="14" t="s">
        <v>6012</v>
      </c>
      <c r="L8150" s="14">
        <v>0.0</v>
      </c>
    </row>
    <row r="8151">
      <c r="A8151" s="14">
        <v>104.0</v>
      </c>
      <c r="B8151" s="14">
        <v>2.0</v>
      </c>
      <c r="C8151" s="34">
        <v>9.17</v>
      </c>
      <c r="D8151" s="36">
        <v>45920.0</v>
      </c>
      <c r="E8151" s="24"/>
      <c r="F8151" s="14">
        <v>4.58</v>
      </c>
      <c r="G8151" s="14">
        <v>88.17</v>
      </c>
      <c r="H8151" s="14">
        <v>1.92</v>
      </c>
      <c r="I8151" s="14" t="s">
        <v>6102</v>
      </c>
      <c r="J8151" s="14">
        <v>0.0</v>
      </c>
      <c r="K8151" s="14" t="s">
        <v>6012</v>
      </c>
      <c r="L8151" s="14">
        <v>0.0</v>
      </c>
    </row>
    <row r="8152">
      <c r="A8152" s="14">
        <v>8.0</v>
      </c>
      <c r="B8152" s="14">
        <v>0.0</v>
      </c>
      <c r="C8152" s="34">
        <v>1.78</v>
      </c>
      <c r="D8152" s="36">
        <v>45920.0</v>
      </c>
      <c r="E8152" s="24"/>
      <c r="F8152" s="14" t="s">
        <v>6012</v>
      </c>
      <c r="G8152" s="14">
        <v>222.5</v>
      </c>
      <c r="H8152" s="14">
        <v>0.0</v>
      </c>
      <c r="I8152" s="14" t="s">
        <v>6103</v>
      </c>
      <c r="J8152" s="14" t="s">
        <v>6012</v>
      </c>
      <c r="K8152" s="14" t="s">
        <v>6012</v>
      </c>
      <c r="L8152" s="14">
        <v>0.0</v>
      </c>
    </row>
    <row r="8153">
      <c r="A8153" s="14">
        <v>11.0</v>
      </c>
      <c r="B8153" s="14">
        <v>0.0</v>
      </c>
      <c r="C8153" s="34">
        <v>2.94</v>
      </c>
      <c r="D8153" s="36">
        <v>45920.0</v>
      </c>
      <c r="E8153" s="24"/>
      <c r="F8153" s="14" t="s">
        <v>6012</v>
      </c>
      <c r="G8153" s="14">
        <v>267.27</v>
      </c>
      <c r="H8153" s="14">
        <v>0.0</v>
      </c>
      <c r="I8153" s="14" t="s">
        <v>6104</v>
      </c>
      <c r="J8153" s="14" t="s">
        <v>6012</v>
      </c>
      <c r="K8153" s="14" t="s">
        <v>6012</v>
      </c>
      <c r="L8153" s="14">
        <v>0.0</v>
      </c>
    </row>
    <row r="8154">
      <c r="A8154" s="14">
        <v>69.0</v>
      </c>
      <c r="B8154" s="14">
        <v>1.0</v>
      </c>
      <c r="C8154" s="34">
        <v>21.3</v>
      </c>
      <c r="D8154" s="36">
        <v>45922.0</v>
      </c>
      <c r="E8154" s="24"/>
      <c r="F8154" s="14">
        <v>21.3</v>
      </c>
      <c r="G8154" s="14">
        <v>308.7</v>
      </c>
      <c r="H8154" s="14">
        <v>1.45</v>
      </c>
      <c r="I8154" s="14" t="s">
        <v>6103</v>
      </c>
      <c r="J8154" s="14">
        <v>0.0</v>
      </c>
      <c r="K8154" s="14" t="s">
        <v>6012</v>
      </c>
      <c r="L8154" s="14">
        <v>0.0</v>
      </c>
    </row>
    <row r="8155">
      <c r="A8155" s="14">
        <v>55.0</v>
      </c>
      <c r="B8155" s="14">
        <v>1.0</v>
      </c>
      <c r="C8155" s="34">
        <v>22.83</v>
      </c>
      <c r="D8155" s="36">
        <v>45922.0</v>
      </c>
      <c r="E8155" s="24"/>
      <c r="F8155" s="14">
        <v>22.83</v>
      </c>
      <c r="G8155" s="14">
        <v>415.09</v>
      </c>
      <c r="H8155" s="14">
        <v>1.82</v>
      </c>
      <c r="I8155" s="14" t="s">
        <v>6104</v>
      </c>
      <c r="J8155" s="14">
        <v>0.0</v>
      </c>
      <c r="K8155" s="14" t="s">
        <v>6012</v>
      </c>
      <c r="L8155" s="14">
        <v>0.0</v>
      </c>
    </row>
    <row r="8156">
      <c r="A8156" s="14">
        <v>60.0</v>
      </c>
      <c r="B8156" s="14">
        <v>1.0</v>
      </c>
      <c r="C8156" s="34">
        <v>23.35</v>
      </c>
      <c r="D8156" s="36">
        <v>45922.0</v>
      </c>
      <c r="E8156" s="24"/>
      <c r="F8156" s="14">
        <v>23.35</v>
      </c>
      <c r="G8156" s="14">
        <v>389.17</v>
      </c>
      <c r="H8156" s="14">
        <v>1.67</v>
      </c>
      <c r="I8156" s="14" t="s">
        <v>6105</v>
      </c>
      <c r="J8156" s="14">
        <v>0.0</v>
      </c>
      <c r="K8156" s="14" t="s">
        <v>6012</v>
      </c>
      <c r="L8156" s="14">
        <v>0.0</v>
      </c>
    </row>
    <row r="8157">
      <c r="A8157" s="14">
        <v>178.0</v>
      </c>
      <c r="B8157" s="14">
        <v>1.0</v>
      </c>
      <c r="C8157" s="34">
        <v>21.04</v>
      </c>
      <c r="D8157" s="36">
        <v>45922.0</v>
      </c>
      <c r="E8157" s="24"/>
      <c r="F8157" s="14">
        <v>21.04</v>
      </c>
      <c r="G8157" s="14">
        <v>118.2</v>
      </c>
      <c r="H8157" s="14">
        <v>0.56</v>
      </c>
      <c r="I8157" s="14" t="s">
        <v>6102</v>
      </c>
      <c r="J8157" s="14">
        <v>0.0</v>
      </c>
      <c r="K8157" s="14" t="s">
        <v>6012</v>
      </c>
      <c r="L8157" s="14">
        <v>0.0</v>
      </c>
    </row>
    <row r="8158">
      <c r="A8158" s="14">
        <v>112.0</v>
      </c>
      <c r="B8158" s="14">
        <v>1.0</v>
      </c>
      <c r="C8158" s="34">
        <v>25.42</v>
      </c>
      <c r="D8158" s="36">
        <v>45923.0</v>
      </c>
      <c r="E8158" s="24"/>
      <c r="F8158" s="14">
        <v>25.42</v>
      </c>
      <c r="G8158" s="14">
        <v>226.96</v>
      </c>
      <c r="H8158" s="14">
        <v>0.89</v>
      </c>
      <c r="I8158" s="14" t="s">
        <v>6105</v>
      </c>
      <c r="J8158" s="14">
        <v>0.0</v>
      </c>
      <c r="K8158" s="14" t="s">
        <v>6012</v>
      </c>
      <c r="L8158" s="14">
        <v>0.0</v>
      </c>
    </row>
    <row r="8159">
      <c r="A8159" s="14">
        <v>97.0</v>
      </c>
      <c r="B8159" s="14">
        <v>0.0</v>
      </c>
      <c r="C8159" s="34">
        <v>26.79</v>
      </c>
      <c r="D8159" s="36">
        <v>45923.0</v>
      </c>
      <c r="E8159" s="24"/>
      <c r="F8159" s="14" t="s">
        <v>6012</v>
      </c>
      <c r="G8159" s="14">
        <v>276.19</v>
      </c>
      <c r="H8159" s="14">
        <v>0.0</v>
      </c>
      <c r="I8159" s="14" t="s">
        <v>6103</v>
      </c>
      <c r="J8159" s="14" t="s">
        <v>6012</v>
      </c>
      <c r="K8159" s="14" t="s">
        <v>6012</v>
      </c>
      <c r="L8159" s="14">
        <v>0.0</v>
      </c>
    </row>
    <row r="8160">
      <c r="A8160" s="14">
        <v>268.0</v>
      </c>
      <c r="B8160" s="14">
        <v>1.0</v>
      </c>
      <c r="C8160" s="34">
        <v>24.7</v>
      </c>
      <c r="D8160" s="36">
        <v>45923.0</v>
      </c>
      <c r="E8160" s="24"/>
      <c r="F8160" s="14">
        <v>24.7</v>
      </c>
      <c r="G8160" s="14">
        <v>92.16</v>
      </c>
      <c r="H8160" s="14">
        <v>0.37</v>
      </c>
      <c r="I8160" s="14" t="s">
        <v>6102</v>
      </c>
      <c r="J8160" s="14">
        <v>0.0</v>
      </c>
      <c r="K8160" s="14" t="s">
        <v>6012</v>
      </c>
      <c r="L8160" s="14">
        <v>0.0</v>
      </c>
    </row>
    <row r="8161">
      <c r="A8161" s="14">
        <v>64.0</v>
      </c>
      <c r="B8161" s="14">
        <v>0.0</v>
      </c>
      <c r="C8161" s="34">
        <v>26.03</v>
      </c>
      <c r="D8161" s="36">
        <v>45923.0</v>
      </c>
      <c r="E8161" s="24"/>
      <c r="F8161" s="14" t="s">
        <v>6012</v>
      </c>
      <c r="G8161" s="14">
        <v>406.72</v>
      </c>
      <c r="H8161" s="14">
        <v>0.0</v>
      </c>
      <c r="I8161" s="14" t="s">
        <v>6104</v>
      </c>
      <c r="J8161" s="14" t="s">
        <v>6012</v>
      </c>
      <c r="K8161" s="14" t="s">
        <v>6012</v>
      </c>
      <c r="L8161" s="14">
        <v>0.0</v>
      </c>
    </row>
    <row r="8162">
      <c r="A8162" s="14">
        <v>123.0</v>
      </c>
      <c r="B8162" s="14">
        <v>1.0</v>
      </c>
      <c r="C8162" s="34">
        <v>23.56</v>
      </c>
      <c r="D8162" s="36">
        <v>45924.0</v>
      </c>
      <c r="E8162" s="24"/>
      <c r="F8162" s="14">
        <v>23.56</v>
      </c>
      <c r="G8162" s="14">
        <v>191.54</v>
      </c>
      <c r="H8162" s="14">
        <v>0.81</v>
      </c>
      <c r="I8162" s="14" t="s">
        <v>6103</v>
      </c>
      <c r="J8162" s="14">
        <v>0.0</v>
      </c>
      <c r="K8162" s="14" t="s">
        <v>6012</v>
      </c>
      <c r="L8162" s="14">
        <v>0.0</v>
      </c>
    </row>
    <row r="8163">
      <c r="A8163" s="14">
        <v>345.0</v>
      </c>
      <c r="B8163" s="14">
        <v>1.0</v>
      </c>
      <c r="C8163" s="34">
        <v>24.0</v>
      </c>
      <c r="D8163" s="36">
        <v>45924.0</v>
      </c>
      <c r="E8163" s="24"/>
      <c r="F8163" s="14">
        <v>24.0</v>
      </c>
      <c r="G8163" s="14">
        <v>69.57</v>
      </c>
      <c r="H8163" s="14">
        <v>0.29</v>
      </c>
      <c r="I8163" s="14" t="s">
        <v>6102</v>
      </c>
      <c r="J8163" s="14">
        <v>0.0</v>
      </c>
      <c r="K8163" s="14" t="s">
        <v>6012</v>
      </c>
      <c r="L8163" s="14">
        <v>0.0</v>
      </c>
    </row>
    <row r="8164">
      <c r="A8164" s="14">
        <v>118.0</v>
      </c>
      <c r="B8164" s="14">
        <v>2.0</v>
      </c>
      <c r="C8164" s="34">
        <v>23.95</v>
      </c>
      <c r="D8164" s="36">
        <v>45924.0</v>
      </c>
      <c r="E8164" s="24"/>
      <c r="F8164" s="14">
        <v>11.98</v>
      </c>
      <c r="G8164" s="14">
        <v>202.97</v>
      </c>
      <c r="H8164" s="14">
        <v>1.69</v>
      </c>
      <c r="I8164" s="14" t="s">
        <v>6105</v>
      </c>
      <c r="J8164" s="14">
        <v>0.0</v>
      </c>
      <c r="K8164" s="14" t="s">
        <v>6012</v>
      </c>
      <c r="L8164" s="14">
        <v>0.0</v>
      </c>
    </row>
    <row r="8165">
      <c r="A8165" s="14">
        <v>58.0</v>
      </c>
      <c r="B8165" s="14">
        <v>1.0</v>
      </c>
      <c r="C8165" s="34">
        <v>27.28</v>
      </c>
      <c r="D8165" s="36">
        <v>45924.0</v>
      </c>
      <c r="E8165" s="24"/>
      <c r="F8165" s="14">
        <v>27.28</v>
      </c>
      <c r="G8165" s="14">
        <v>470.34</v>
      </c>
      <c r="H8165" s="14">
        <v>1.72</v>
      </c>
      <c r="I8165" s="14" t="s">
        <v>6104</v>
      </c>
      <c r="J8165" s="14">
        <v>0.0</v>
      </c>
      <c r="K8165" s="14" t="s">
        <v>6012</v>
      </c>
      <c r="L8165" s="14">
        <v>0.0</v>
      </c>
    </row>
    <row r="8166">
      <c r="A8166" s="14">
        <v>295.0</v>
      </c>
      <c r="B8166" s="14">
        <v>0.0</v>
      </c>
      <c r="C8166" s="34">
        <v>28.64</v>
      </c>
      <c r="D8166" s="36">
        <v>45925.0</v>
      </c>
      <c r="E8166" s="24"/>
      <c r="F8166" s="14" t="s">
        <v>6012</v>
      </c>
      <c r="G8166" s="14">
        <v>97.08</v>
      </c>
      <c r="H8166" s="14">
        <v>0.0</v>
      </c>
      <c r="I8166" s="14" t="s">
        <v>6102</v>
      </c>
      <c r="J8166" s="14" t="s">
        <v>6012</v>
      </c>
      <c r="K8166" s="14" t="s">
        <v>6012</v>
      </c>
      <c r="L8166" s="14">
        <v>0.0</v>
      </c>
    </row>
    <row r="8167">
      <c r="A8167" s="14">
        <v>101.0</v>
      </c>
      <c r="B8167" s="14">
        <v>3.0</v>
      </c>
      <c r="C8167" s="34">
        <v>28.01</v>
      </c>
      <c r="D8167" s="36">
        <v>45925.0</v>
      </c>
      <c r="E8167" s="24"/>
      <c r="F8167" s="14">
        <v>9.34</v>
      </c>
      <c r="G8167" s="14">
        <v>277.33</v>
      </c>
      <c r="H8167" s="14">
        <v>2.97</v>
      </c>
      <c r="I8167" s="14" t="s">
        <v>6104</v>
      </c>
      <c r="J8167" s="14">
        <v>0.0</v>
      </c>
      <c r="K8167" s="14" t="s">
        <v>6012</v>
      </c>
      <c r="L8167" s="14">
        <v>0.0</v>
      </c>
    </row>
    <row r="8168">
      <c r="A8168" s="14">
        <v>140.0</v>
      </c>
      <c r="B8168" s="14">
        <v>3.0</v>
      </c>
      <c r="C8168" s="34">
        <v>27.92</v>
      </c>
      <c r="D8168" s="36">
        <v>45925.0</v>
      </c>
      <c r="E8168" s="24"/>
      <c r="F8168" s="14">
        <v>9.31</v>
      </c>
      <c r="G8168" s="14">
        <v>199.43</v>
      </c>
      <c r="H8168" s="14">
        <v>2.14</v>
      </c>
      <c r="I8168" s="14" t="s">
        <v>6105</v>
      </c>
      <c r="J8168" s="14">
        <v>0.0</v>
      </c>
      <c r="K8168" s="14" t="s">
        <v>6012</v>
      </c>
      <c r="L8168" s="14">
        <v>0.0</v>
      </c>
    </row>
    <row r="8169">
      <c r="A8169" s="14">
        <v>97.0</v>
      </c>
      <c r="B8169" s="14">
        <v>1.0</v>
      </c>
      <c r="C8169" s="34">
        <v>28.5</v>
      </c>
      <c r="D8169" s="36">
        <v>45925.0</v>
      </c>
      <c r="E8169" s="24"/>
      <c r="F8169" s="14">
        <v>28.5</v>
      </c>
      <c r="G8169" s="14">
        <v>293.81</v>
      </c>
      <c r="H8169" s="14">
        <v>1.03</v>
      </c>
      <c r="I8169" s="14" t="s">
        <v>6103</v>
      </c>
      <c r="J8169" s="14">
        <v>0.0</v>
      </c>
      <c r="K8169" s="14" t="s">
        <v>6012</v>
      </c>
      <c r="L8169" s="14">
        <v>0.0</v>
      </c>
    </row>
    <row r="8170">
      <c r="A8170" s="14">
        <v>101.0</v>
      </c>
      <c r="B8170" s="14">
        <v>1.0</v>
      </c>
      <c r="C8170" s="34">
        <v>28.5</v>
      </c>
      <c r="D8170" s="36">
        <v>45926.0</v>
      </c>
      <c r="E8170" s="24"/>
      <c r="F8170" s="14">
        <v>28.5</v>
      </c>
      <c r="G8170" s="14">
        <v>282.18</v>
      </c>
      <c r="H8170" s="14">
        <v>0.99</v>
      </c>
      <c r="I8170" s="14" t="s">
        <v>6103</v>
      </c>
      <c r="J8170" s="14">
        <v>0.0</v>
      </c>
      <c r="K8170" s="14" t="s">
        <v>6012</v>
      </c>
      <c r="L8170" s="14">
        <v>0.0</v>
      </c>
    </row>
    <row r="8171">
      <c r="A8171" s="14">
        <v>112.0</v>
      </c>
      <c r="B8171" s="14">
        <v>6.0</v>
      </c>
      <c r="C8171" s="34">
        <v>28.5</v>
      </c>
      <c r="D8171" s="36">
        <v>45926.0</v>
      </c>
      <c r="E8171" s="24"/>
      <c r="F8171" s="14">
        <v>4.75</v>
      </c>
      <c r="G8171" s="14">
        <v>254.46</v>
      </c>
      <c r="H8171" s="14">
        <v>5.36</v>
      </c>
      <c r="I8171" s="14" t="s">
        <v>6105</v>
      </c>
      <c r="J8171" s="14">
        <v>0.0</v>
      </c>
      <c r="K8171" s="14" t="s">
        <v>6012</v>
      </c>
      <c r="L8171" s="14">
        <v>0.0</v>
      </c>
    </row>
    <row r="8172">
      <c r="A8172" s="14">
        <v>97.0</v>
      </c>
      <c r="B8172" s="14">
        <v>0.0</v>
      </c>
      <c r="C8172" s="34">
        <v>28.5</v>
      </c>
      <c r="D8172" s="36">
        <v>45926.0</v>
      </c>
      <c r="E8172" s="24"/>
      <c r="F8172" s="14" t="s">
        <v>6012</v>
      </c>
      <c r="G8172" s="14">
        <v>293.81</v>
      </c>
      <c r="H8172" s="14">
        <v>0.0</v>
      </c>
      <c r="I8172" s="14" t="s">
        <v>6104</v>
      </c>
      <c r="J8172" s="14" t="s">
        <v>6012</v>
      </c>
      <c r="K8172" s="14" t="s">
        <v>6012</v>
      </c>
      <c r="L8172" s="14">
        <v>0.0</v>
      </c>
    </row>
    <row r="8173">
      <c r="A8173" s="14">
        <v>372.0</v>
      </c>
      <c r="B8173" s="14">
        <v>2.0</v>
      </c>
      <c r="C8173" s="34">
        <v>28.6</v>
      </c>
      <c r="D8173" s="36">
        <v>45926.0</v>
      </c>
      <c r="E8173" s="24"/>
      <c r="F8173" s="14">
        <v>14.3</v>
      </c>
      <c r="G8173" s="14">
        <v>76.88</v>
      </c>
      <c r="H8173" s="14">
        <v>0.54</v>
      </c>
      <c r="I8173" s="14" t="s">
        <v>6102</v>
      </c>
      <c r="J8173" s="14">
        <v>0.0</v>
      </c>
      <c r="K8173" s="14" t="s">
        <v>6012</v>
      </c>
      <c r="L8173" s="14">
        <v>0.0</v>
      </c>
    </row>
    <row r="8174">
      <c r="A8174" s="14">
        <v>26.0</v>
      </c>
      <c r="B8174" s="14">
        <v>0.0</v>
      </c>
      <c r="C8174" s="34">
        <v>3.86</v>
      </c>
      <c r="D8174" s="36">
        <v>45927.0</v>
      </c>
      <c r="E8174" s="24"/>
      <c r="F8174" s="14" t="s">
        <v>6012</v>
      </c>
      <c r="G8174" s="14">
        <v>148.46</v>
      </c>
      <c r="H8174" s="14">
        <v>0.0</v>
      </c>
      <c r="I8174" s="14" t="s">
        <v>6105</v>
      </c>
      <c r="J8174" s="14" t="s">
        <v>6012</v>
      </c>
      <c r="K8174" s="14" t="s">
        <v>6012</v>
      </c>
      <c r="L8174" s="14">
        <v>0.0</v>
      </c>
    </row>
    <row r="8175">
      <c r="A8175" s="14">
        <v>103.0</v>
      </c>
      <c r="B8175" s="14">
        <v>1.0</v>
      </c>
      <c r="C8175" s="34">
        <v>7.77</v>
      </c>
      <c r="D8175" s="36">
        <v>45927.0</v>
      </c>
      <c r="E8175" s="24"/>
      <c r="F8175" s="14">
        <v>7.77</v>
      </c>
      <c r="G8175" s="14">
        <v>75.44</v>
      </c>
      <c r="H8175" s="14">
        <v>0.97</v>
      </c>
      <c r="I8175" s="14" t="s">
        <v>6102</v>
      </c>
      <c r="J8175" s="14">
        <v>0.0</v>
      </c>
      <c r="K8175" s="14" t="s">
        <v>6012</v>
      </c>
      <c r="L8175" s="14">
        <v>0.0</v>
      </c>
    </row>
    <row r="8176">
      <c r="A8176" s="14">
        <v>22.0</v>
      </c>
      <c r="B8176" s="14">
        <v>0.0</v>
      </c>
      <c r="C8176" s="34">
        <v>4.35</v>
      </c>
      <c r="D8176" s="36">
        <v>45927.0</v>
      </c>
      <c r="E8176" s="24"/>
      <c r="F8176" s="14" t="s">
        <v>6012</v>
      </c>
      <c r="G8176" s="14">
        <v>197.73</v>
      </c>
      <c r="H8176" s="14">
        <v>0.0</v>
      </c>
      <c r="I8176" s="14" t="s">
        <v>6103</v>
      </c>
      <c r="J8176" s="14" t="s">
        <v>6012</v>
      </c>
      <c r="K8176" s="14" t="s">
        <v>6012</v>
      </c>
      <c r="L8176" s="14">
        <v>0.0</v>
      </c>
    </row>
    <row r="8177">
      <c r="A8177" s="14">
        <v>6.0</v>
      </c>
      <c r="B8177" s="14">
        <v>0.0</v>
      </c>
      <c r="C8177" s="34">
        <v>0.35</v>
      </c>
      <c r="D8177" s="36">
        <v>45927.0</v>
      </c>
      <c r="E8177" s="24"/>
      <c r="F8177" s="14" t="s">
        <v>6012</v>
      </c>
      <c r="G8177" s="14">
        <v>58.33</v>
      </c>
      <c r="H8177" s="14">
        <v>0.0</v>
      </c>
      <c r="I8177" s="14" t="s">
        <v>6104</v>
      </c>
      <c r="J8177" s="14" t="s">
        <v>6012</v>
      </c>
      <c r="K8177" s="14" t="s">
        <v>6012</v>
      </c>
      <c r="L8177" s="14">
        <v>0.0</v>
      </c>
    </row>
    <row r="8178">
      <c r="A8178" s="14">
        <v>1.0</v>
      </c>
      <c r="B8178" s="14">
        <v>0.0</v>
      </c>
      <c r="C8178" s="34">
        <v>0.0</v>
      </c>
      <c r="D8178" s="36">
        <v>45928.0</v>
      </c>
      <c r="E8178" s="24"/>
      <c r="F8178" s="14" t="s">
        <v>6012</v>
      </c>
      <c r="G8178" s="14">
        <v>0.0</v>
      </c>
      <c r="H8178" s="14">
        <v>0.0</v>
      </c>
      <c r="I8178" s="14" t="s">
        <v>6103</v>
      </c>
      <c r="J8178" s="14" t="s">
        <v>6012</v>
      </c>
      <c r="K8178" s="14" t="s">
        <v>6012</v>
      </c>
      <c r="L8178" s="14">
        <v>0.0</v>
      </c>
    </row>
    <row r="8179">
      <c r="A8179" s="14">
        <v>46.0</v>
      </c>
      <c r="B8179" s="14">
        <v>0.0</v>
      </c>
      <c r="C8179" s="34">
        <v>23.37</v>
      </c>
      <c r="D8179" s="36">
        <v>45929.0</v>
      </c>
      <c r="E8179" s="24"/>
      <c r="F8179" s="14" t="s">
        <v>6012</v>
      </c>
      <c r="G8179" s="14">
        <v>508.04</v>
      </c>
      <c r="H8179" s="14">
        <v>0.0</v>
      </c>
      <c r="I8179" s="14" t="s">
        <v>6104</v>
      </c>
      <c r="J8179" s="14" t="s">
        <v>6012</v>
      </c>
      <c r="K8179" s="14" t="s">
        <v>6012</v>
      </c>
      <c r="L8179" s="14">
        <v>0.0</v>
      </c>
    </row>
    <row r="8180">
      <c r="A8180" s="14">
        <v>184.0</v>
      </c>
      <c r="B8180" s="14">
        <v>3.0</v>
      </c>
      <c r="C8180" s="34">
        <v>20.74</v>
      </c>
      <c r="D8180" s="36">
        <v>45929.0</v>
      </c>
      <c r="E8180" s="24"/>
      <c r="F8180" s="14">
        <v>6.91</v>
      </c>
      <c r="G8180" s="14">
        <v>112.72</v>
      </c>
      <c r="H8180" s="14">
        <v>1.63</v>
      </c>
      <c r="I8180" s="14" t="s">
        <v>6102</v>
      </c>
      <c r="J8180" s="14">
        <v>0.0</v>
      </c>
      <c r="K8180" s="14" t="s">
        <v>6012</v>
      </c>
      <c r="L8180" s="14">
        <v>0.0</v>
      </c>
    </row>
    <row r="8181">
      <c r="A8181" s="14">
        <v>82.0</v>
      </c>
      <c r="B8181" s="14">
        <v>0.0</v>
      </c>
      <c r="C8181" s="34">
        <v>26.05</v>
      </c>
      <c r="D8181" s="36">
        <v>45929.0</v>
      </c>
      <c r="E8181" s="24"/>
      <c r="F8181" s="14" t="s">
        <v>6012</v>
      </c>
      <c r="G8181" s="14">
        <v>317.68</v>
      </c>
      <c r="H8181" s="14">
        <v>0.0</v>
      </c>
      <c r="I8181" s="14" t="s">
        <v>6103</v>
      </c>
      <c r="J8181" s="14" t="s">
        <v>6012</v>
      </c>
      <c r="K8181" s="14" t="s">
        <v>6012</v>
      </c>
      <c r="L8181" s="14">
        <v>0.0</v>
      </c>
    </row>
    <row r="8182">
      <c r="A8182" s="14">
        <v>73.0</v>
      </c>
      <c r="B8182" s="14">
        <v>2.0</v>
      </c>
      <c r="C8182" s="34">
        <v>21.95</v>
      </c>
      <c r="D8182" s="36">
        <v>45929.0</v>
      </c>
      <c r="E8182" s="24"/>
      <c r="F8182" s="14">
        <v>10.98</v>
      </c>
      <c r="G8182" s="14">
        <v>300.68</v>
      </c>
      <c r="H8182" s="14">
        <v>2.74</v>
      </c>
      <c r="I8182" s="14" t="s">
        <v>6105</v>
      </c>
      <c r="J8182" s="14">
        <v>0.0</v>
      </c>
      <c r="K8182" s="14" t="s">
        <v>6012</v>
      </c>
      <c r="L8182" s="14">
        <v>0.0</v>
      </c>
    </row>
    <row r="8183">
      <c r="A8183" s="14">
        <v>147.0</v>
      </c>
      <c r="B8183" s="14">
        <v>5.0</v>
      </c>
      <c r="C8183" s="34">
        <v>26.92</v>
      </c>
      <c r="D8183" s="36">
        <v>45930.0</v>
      </c>
      <c r="E8183" s="24"/>
      <c r="F8183" s="14">
        <v>5.38</v>
      </c>
      <c r="G8183" s="14">
        <v>183.13</v>
      </c>
      <c r="H8183" s="14">
        <v>3.4</v>
      </c>
      <c r="I8183" s="14" t="s">
        <v>6105</v>
      </c>
      <c r="J8183" s="14">
        <v>0.0</v>
      </c>
      <c r="K8183" s="14" t="s">
        <v>6012</v>
      </c>
      <c r="L8183" s="14">
        <v>0.0</v>
      </c>
    </row>
    <row r="8184">
      <c r="A8184" s="14">
        <v>66.0</v>
      </c>
      <c r="B8184" s="14">
        <v>1.0</v>
      </c>
      <c r="C8184" s="34">
        <v>28.5</v>
      </c>
      <c r="D8184" s="36">
        <v>45930.0</v>
      </c>
      <c r="E8184" s="24"/>
      <c r="F8184" s="14">
        <v>28.5</v>
      </c>
      <c r="G8184" s="14">
        <v>431.82</v>
      </c>
      <c r="H8184" s="14">
        <v>1.52</v>
      </c>
      <c r="I8184" s="14" t="s">
        <v>6104</v>
      </c>
      <c r="J8184" s="14">
        <v>0.0</v>
      </c>
      <c r="K8184" s="14" t="s">
        <v>6012</v>
      </c>
      <c r="L8184" s="14">
        <v>0.0</v>
      </c>
    </row>
    <row r="8185">
      <c r="A8185" s="14">
        <v>264.0</v>
      </c>
      <c r="B8185" s="14">
        <v>2.0</v>
      </c>
      <c r="C8185" s="34">
        <v>26.03</v>
      </c>
      <c r="D8185" s="36">
        <v>45930.0</v>
      </c>
      <c r="E8185" s="24"/>
      <c r="F8185" s="14">
        <v>13.02</v>
      </c>
      <c r="G8185" s="14">
        <v>98.6</v>
      </c>
      <c r="H8185" s="14">
        <v>0.76</v>
      </c>
      <c r="I8185" s="14" t="s">
        <v>6102</v>
      </c>
      <c r="J8185" s="14">
        <v>0.0</v>
      </c>
      <c r="K8185" s="14" t="s">
        <v>6012</v>
      </c>
      <c r="L8185" s="14">
        <v>0.0</v>
      </c>
    </row>
    <row r="8186">
      <c r="A8186" s="14">
        <v>144.0</v>
      </c>
      <c r="B8186" s="14">
        <v>1.0</v>
      </c>
      <c r="C8186" s="34">
        <v>26.91</v>
      </c>
      <c r="D8186" s="36">
        <v>45930.0</v>
      </c>
      <c r="E8186" s="24"/>
      <c r="F8186" s="14">
        <v>26.91</v>
      </c>
      <c r="G8186" s="14">
        <v>186.88</v>
      </c>
      <c r="H8186" s="14">
        <v>0.69</v>
      </c>
      <c r="I8186" s="14" t="s">
        <v>6103</v>
      </c>
      <c r="J8186" s="14">
        <v>0.0</v>
      </c>
      <c r="K8186" s="14" t="s">
        <v>6012</v>
      </c>
      <c r="L8186" s="14">
        <v>0.0</v>
      </c>
    </row>
    <row r="8187">
      <c r="A8187" s="14">
        <v>71.0</v>
      </c>
      <c r="B8187" s="14">
        <v>0.0</v>
      </c>
      <c r="C8187" s="34">
        <v>23.78</v>
      </c>
      <c r="D8187" s="36">
        <v>45931.0</v>
      </c>
      <c r="E8187" s="24"/>
      <c r="F8187" s="14" t="s">
        <v>6012</v>
      </c>
      <c r="G8187" s="14">
        <v>334.93</v>
      </c>
      <c r="H8187" s="14">
        <v>0.0</v>
      </c>
      <c r="I8187" s="14" t="s">
        <v>6104</v>
      </c>
      <c r="J8187" s="14" t="s">
        <v>6012</v>
      </c>
      <c r="K8187" s="14" t="s">
        <v>6012</v>
      </c>
      <c r="L8187" s="14">
        <v>0.0</v>
      </c>
    </row>
    <row r="8188">
      <c r="A8188" s="14">
        <v>98.0</v>
      </c>
      <c r="B8188" s="14">
        <v>1.0</v>
      </c>
      <c r="C8188" s="34">
        <v>22.18</v>
      </c>
      <c r="D8188" s="36">
        <v>45931.0</v>
      </c>
      <c r="E8188" s="24"/>
      <c r="F8188" s="14">
        <v>22.18</v>
      </c>
      <c r="G8188" s="14">
        <v>226.33</v>
      </c>
      <c r="H8188" s="14">
        <v>1.02</v>
      </c>
      <c r="I8188" s="14" t="s">
        <v>6103</v>
      </c>
      <c r="J8188" s="14">
        <v>0.0</v>
      </c>
      <c r="K8188" s="14" t="s">
        <v>6012</v>
      </c>
      <c r="L8188" s="14">
        <v>0.0</v>
      </c>
    </row>
    <row r="8189">
      <c r="A8189" s="14">
        <v>338.0</v>
      </c>
      <c r="B8189" s="14">
        <v>1.0</v>
      </c>
      <c r="C8189" s="34">
        <v>23.35</v>
      </c>
      <c r="D8189" s="36">
        <v>45931.0</v>
      </c>
      <c r="E8189" s="24"/>
      <c r="F8189" s="14">
        <v>23.35</v>
      </c>
      <c r="G8189" s="14">
        <v>69.08</v>
      </c>
      <c r="H8189" s="14">
        <v>0.3</v>
      </c>
      <c r="I8189" s="14" t="s">
        <v>6102</v>
      </c>
      <c r="J8189" s="14">
        <v>0.0</v>
      </c>
      <c r="K8189" s="14" t="s">
        <v>6012</v>
      </c>
      <c r="L8189" s="14">
        <v>0.0</v>
      </c>
    </row>
    <row r="8190">
      <c r="A8190" s="14">
        <v>159.0</v>
      </c>
      <c r="B8190" s="14">
        <v>2.0</v>
      </c>
      <c r="C8190" s="34">
        <v>23.67</v>
      </c>
      <c r="D8190" s="36">
        <v>45931.0</v>
      </c>
      <c r="E8190" s="24"/>
      <c r="F8190" s="14">
        <v>11.84</v>
      </c>
      <c r="G8190" s="14">
        <v>148.87</v>
      </c>
      <c r="H8190" s="14">
        <v>1.26</v>
      </c>
      <c r="I8190" s="14" t="s">
        <v>6105</v>
      </c>
      <c r="J8190" s="14">
        <v>0.0</v>
      </c>
      <c r="K8190" s="14" t="s">
        <v>6012</v>
      </c>
      <c r="L8190" s="14">
        <v>0.0</v>
      </c>
    </row>
    <row r="8191">
      <c r="A8191" s="14">
        <v>104.0</v>
      </c>
      <c r="B8191" s="14">
        <v>3.0</v>
      </c>
      <c r="C8191" s="34">
        <v>25.01</v>
      </c>
      <c r="D8191" s="36">
        <v>45932.0</v>
      </c>
      <c r="E8191" s="24"/>
      <c r="F8191" s="14">
        <v>8.34</v>
      </c>
      <c r="G8191" s="14">
        <v>240.48</v>
      </c>
      <c r="H8191" s="14">
        <v>2.88</v>
      </c>
      <c r="I8191" s="14" t="s">
        <v>6105</v>
      </c>
      <c r="J8191" s="14">
        <v>0.0</v>
      </c>
      <c r="K8191" s="14" t="s">
        <v>6012</v>
      </c>
      <c r="L8191" s="14">
        <v>0.0</v>
      </c>
    </row>
    <row r="8192">
      <c r="A8192" s="14">
        <v>104.0</v>
      </c>
      <c r="B8192" s="14">
        <v>1.0</v>
      </c>
      <c r="C8192" s="34">
        <v>21.98</v>
      </c>
      <c r="D8192" s="36">
        <v>45932.0</v>
      </c>
      <c r="E8192" s="24"/>
      <c r="F8192" s="14">
        <v>21.98</v>
      </c>
      <c r="G8192" s="14">
        <v>211.35</v>
      </c>
      <c r="H8192" s="14">
        <v>0.96</v>
      </c>
      <c r="I8192" s="14" t="s">
        <v>6103</v>
      </c>
      <c r="J8192" s="14">
        <v>0.0</v>
      </c>
      <c r="K8192" s="14" t="s">
        <v>6012</v>
      </c>
      <c r="L8192" s="14">
        <v>0.0</v>
      </c>
    </row>
    <row r="8193">
      <c r="A8193" s="14">
        <v>107.0</v>
      </c>
      <c r="B8193" s="14">
        <v>2.0</v>
      </c>
      <c r="C8193" s="34">
        <v>22.87</v>
      </c>
      <c r="D8193" s="36">
        <v>45932.0</v>
      </c>
      <c r="E8193" s="24"/>
      <c r="F8193" s="14">
        <v>11.44</v>
      </c>
      <c r="G8193" s="14">
        <v>213.74</v>
      </c>
      <c r="H8193" s="14">
        <v>1.87</v>
      </c>
      <c r="I8193" s="14" t="s">
        <v>6104</v>
      </c>
      <c r="J8193" s="14">
        <v>0.0</v>
      </c>
      <c r="K8193" s="14" t="s">
        <v>6012</v>
      </c>
      <c r="L8193" s="14">
        <v>0.0</v>
      </c>
    </row>
    <row r="8194">
      <c r="A8194" s="14">
        <v>305.0</v>
      </c>
      <c r="B8194" s="14">
        <v>3.0</v>
      </c>
      <c r="C8194" s="34">
        <v>23.57</v>
      </c>
      <c r="D8194" s="36">
        <v>45932.0</v>
      </c>
      <c r="E8194" s="24"/>
      <c r="F8194" s="14">
        <v>7.86</v>
      </c>
      <c r="G8194" s="14">
        <v>77.28</v>
      </c>
      <c r="H8194" s="14">
        <v>0.98</v>
      </c>
      <c r="I8194" s="14" t="s">
        <v>6102</v>
      </c>
      <c r="J8194" s="14">
        <v>0.0</v>
      </c>
      <c r="K8194" s="14" t="s">
        <v>6012</v>
      </c>
      <c r="L8194" s="14">
        <v>0.0</v>
      </c>
    </row>
    <row r="8195">
      <c r="A8195" s="14">
        <v>65.0</v>
      </c>
      <c r="B8195" s="14">
        <v>2.0</v>
      </c>
      <c r="C8195" s="34">
        <v>20.7</v>
      </c>
      <c r="D8195" s="36">
        <v>45933.0</v>
      </c>
      <c r="E8195" s="24"/>
      <c r="F8195" s="14">
        <v>10.35</v>
      </c>
      <c r="G8195" s="14">
        <v>318.46</v>
      </c>
      <c r="H8195" s="14">
        <v>3.08</v>
      </c>
      <c r="I8195" s="14" t="s">
        <v>6104</v>
      </c>
      <c r="J8195" s="14">
        <v>0.0</v>
      </c>
      <c r="K8195" s="14" t="s">
        <v>6012</v>
      </c>
      <c r="L8195" s="14">
        <v>0.0</v>
      </c>
    </row>
    <row r="8196">
      <c r="A8196" s="14">
        <v>121.0</v>
      </c>
      <c r="B8196" s="14">
        <v>2.0</v>
      </c>
      <c r="C8196" s="34">
        <v>25.54</v>
      </c>
      <c r="D8196" s="36">
        <v>45933.0</v>
      </c>
      <c r="E8196" s="24"/>
      <c r="F8196" s="14">
        <v>12.77</v>
      </c>
      <c r="G8196" s="14">
        <v>211.07</v>
      </c>
      <c r="H8196" s="14">
        <v>1.65</v>
      </c>
      <c r="I8196" s="14" t="s">
        <v>6105</v>
      </c>
      <c r="J8196" s="14">
        <v>0.0</v>
      </c>
      <c r="K8196" s="14" t="s">
        <v>6012</v>
      </c>
      <c r="L8196" s="14">
        <v>0.0</v>
      </c>
    </row>
    <row r="8197">
      <c r="A8197" s="14">
        <v>207.0</v>
      </c>
      <c r="B8197" s="14">
        <v>1.0</v>
      </c>
      <c r="C8197" s="34">
        <v>20.57</v>
      </c>
      <c r="D8197" s="36">
        <v>45933.0</v>
      </c>
      <c r="E8197" s="24"/>
      <c r="F8197" s="14">
        <v>20.57</v>
      </c>
      <c r="G8197" s="14">
        <v>99.37</v>
      </c>
      <c r="H8197" s="14">
        <v>0.48</v>
      </c>
      <c r="I8197" s="14" t="s">
        <v>6102</v>
      </c>
      <c r="J8197" s="14">
        <v>0.0</v>
      </c>
      <c r="K8197" s="14" t="s">
        <v>6012</v>
      </c>
      <c r="L8197" s="14">
        <v>0.0</v>
      </c>
    </row>
    <row r="8198">
      <c r="A8198" s="14">
        <v>104.0</v>
      </c>
      <c r="B8198" s="14">
        <v>0.0</v>
      </c>
      <c r="C8198" s="34">
        <v>19.52</v>
      </c>
      <c r="D8198" s="36">
        <v>45933.0</v>
      </c>
      <c r="E8198" s="24"/>
      <c r="F8198" s="14" t="s">
        <v>6012</v>
      </c>
      <c r="G8198" s="14">
        <v>187.69</v>
      </c>
      <c r="H8198" s="14">
        <v>0.0</v>
      </c>
      <c r="I8198" s="14" t="s">
        <v>6103</v>
      </c>
      <c r="J8198" s="14" t="s">
        <v>6012</v>
      </c>
      <c r="K8198" s="14" t="s">
        <v>6012</v>
      </c>
      <c r="L8198" s="14">
        <v>0.0</v>
      </c>
    </row>
    <row r="8199">
      <c r="A8199" s="14">
        <v>30.0</v>
      </c>
      <c r="B8199" s="14">
        <v>1.0</v>
      </c>
      <c r="C8199" s="34">
        <v>12.14</v>
      </c>
      <c r="D8199" s="36">
        <v>45934.0</v>
      </c>
      <c r="E8199" s="24"/>
      <c r="F8199" s="14">
        <v>12.14</v>
      </c>
      <c r="G8199" s="14">
        <v>404.67</v>
      </c>
      <c r="H8199" s="14">
        <v>3.33</v>
      </c>
      <c r="I8199" s="14" t="s">
        <v>6104</v>
      </c>
      <c r="J8199" s="14">
        <v>0.0</v>
      </c>
      <c r="K8199" s="14" t="s">
        <v>6012</v>
      </c>
      <c r="L8199" s="14">
        <v>0.0</v>
      </c>
    </row>
    <row r="8200">
      <c r="A8200" s="14">
        <v>160.0</v>
      </c>
      <c r="B8200" s="14">
        <v>1.0</v>
      </c>
      <c r="C8200" s="34">
        <v>11.82</v>
      </c>
      <c r="D8200" s="36">
        <v>45934.0</v>
      </c>
      <c r="E8200" s="24"/>
      <c r="F8200" s="14">
        <v>11.82</v>
      </c>
      <c r="G8200" s="14">
        <v>73.88</v>
      </c>
      <c r="H8200" s="14">
        <v>0.62</v>
      </c>
      <c r="I8200" s="14" t="s">
        <v>6102</v>
      </c>
      <c r="J8200" s="14">
        <v>0.0</v>
      </c>
      <c r="K8200" s="14" t="s">
        <v>6012</v>
      </c>
      <c r="L8200" s="14">
        <v>0.0</v>
      </c>
    </row>
    <row r="8201">
      <c r="A8201" s="14">
        <v>33.0</v>
      </c>
      <c r="B8201" s="14">
        <v>2.0</v>
      </c>
      <c r="C8201" s="34">
        <v>8.9</v>
      </c>
      <c r="D8201" s="36">
        <v>45934.0</v>
      </c>
      <c r="E8201" s="24"/>
      <c r="F8201" s="14">
        <v>4.45</v>
      </c>
      <c r="G8201" s="14">
        <v>269.7</v>
      </c>
      <c r="H8201" s="14">
        <v>6.06</v>
      </c>
      <c r="I8201" s="14" t="s">
        <v>6105</v>
      </c>
      <c r="J8201" s="14">
        <v>0.0</v>
      </c>
      <c r="K8201" s="14" t="s">
        <v>6012</v>
      </c>
      <c r="L8201" s="14">
        <v>0.0</v>
      </c>
    </row>
    <row r="8202">
      <c r="A8202" s="14">
        <v>38.0</v>
      </c>
      <c r="B8202" s="14">
        <v>0.0</v>
      </c>
      <c r="C8202" s="34">
        <v>10.82</v>
      </c>
      <c r="D8202" s="36">
        <v>45934.0</v>
      </c>
      <c r="E8202" s="24"/>
      <c r="F8202" s="14" t="s">
        <v>6012</v>
      </c>
      <c r="G8202" s="14">
        <v>284.74</v>
      </c>
      <c r="H8202" s="14">
        <v>0.0</v>
      </c>
      <c r="I8202" s="14" t="s">
        <v>6103</v>
      </c>
      <c r="J8202" s="14" t="s">
        <v>6012</v>
      </c>
      <c r="K8202" s="14" t="s">
        <v>6012</v>
      </c>
      <c r="L8202" s="14">
        <v>0.0</v>
      </c>
    </row>
    <row r="8203">
      <c r="A8203" s="14">
        <v>10.0</v>
      </c>
      <c r="B8203" s="14">
        <v>0.0</v>
      </c>
      <c r="C8203" s="34">
        <v>1.64</v>
      </c>
      <c r="D8203" s="36">
        <v>45935.0</v>
      </c>
      <c r="E8203" s="24"/>
      <c r="F8203" s="14" t="s">
        <v>6012</v>
      </c>
      <c r="G8203" s="14">
        <v>164.0</v>
      </c>
      <c r="H8203" s="14">
        <v>0.0</v>
      </c>
      <c r="I8203" s="14" t="s">
        <v>6104</v>
      </c>
      <c r="J8203" s="14" t="s">
        <v>6012</v>
      </c>
      <c r="K8203" s="14" t="s">
        <v>6012</v>
      </c>
      <c r="L8203" s="14">
        <v>0.0</v>
      </c>
    </row>
    <row r="8204">
      <c r="A8204" s="14">
        <v>27.0</v>
      </c>
      <c r="B8204" s="14">
        <v>0.0</v>
      </c>
      <c r="C8204" s="34">
        <v>5.54</v>
      </c>
      <c r="D8204" s="36">
        <v>45935.0</v>
      </c>
      <c r="E8204" s="24"/>
      <c r="F8204" s="14" t="s">
        <v>6012</v>
      </c>
      <c r="G8204" s="14">
        <v>205.19</v>
      </c>
      <c r="H8204" s="14">
        <v>0.0</v>
      </c>
      <c r="I8204" s="14" t="s">
        <v>6103</v>
      </c>
      <c r="J8204" s="14" t="s">
        <v>6012</v>
      </c>
      <c r="K8204" s="14" t="s">
        <v>6012</v>
      </c>
      <c r="L8204" s="14">
        <v>0.0</v>
      </c>
    </row>
    <row r="8205">
      <c r="A8205" s="14">
        <v>8.0</v>
      </c>
      <c r="B8205" s="14">
        <v>0.0</v>
      </c>
      <c r="C8205" s="34">
        <v>1.01</v>
      </c>
      <c r="D8205" s="36">
        <v>45935.0</v>
      </c>
      <c r="E8205" s="24"/>
      <c r="F8205" s="14" t="s">
        <v>6012</v>
      </c>
      <c r="G8205" s="14">
        <v>126.25</v>
      </c>
      <c r="H8205" s="14">
        <v>0.0</v>
      </c>
      <c r="I8205" s="14" t="s">
        <v>6105</v>
      </c>
      <c r="J8205" s="14" t="s">
        <v>6012</v>
      </c>
      <c r="K8205" s="14" t="s">
        <v>6012</v>
      </c>
      <c r="L8205" s="14">
        <v>0.0</v>
      </c>
    </row>
    <row r="8206">
      <c r="A8206" s="14">
        <v>103.0</v>
      </c>
      <c r="B8206" s="14">
        <v>0.0</v>
      </c>
      <c r="C8206" s="34">
        <v>8.67</v>
      </c>
      <c r="D8206" s="36">
        <v>45935.0</v>
      </c>
      <c r="E8206" s="24"/>
      <c r="F8206" s="14" t="s">
        <v>6012</v>
      </c>
      <c r="G8206" s="14">
        <v>84.17</v>
      </c>
      <c r="H8206" s="14">
        <v>0.0</v>
      </c>
      <c r="I8206" s="14" t="s">
        <v>6102</v>
      </c>
      <c r="J8206" s="14" t="s">
        <v>6012</v>
      </c>
      <c r="K8206" s="14" t="s">
        <v>6012</v>
      </c>
      <c r="L8206" s="14">
        <v>0.0</v>
      </c>
    </row>
    <row r="8207">
      <c r="A8207" s="14">
        <v>70.0</v>
      </c>
      <c r="B8207" s="14">
        <v>0.0</v>
      </c>
      <c r="C8207" s="34">
        <v>24.28</v>
      </c>
      <c r="D8207" s="36">
        <v>45936.0</v>
      </c>
      <c r="E8207" s="24"/>
      <c r="F8207" s="14" t="s">
        <v>6012</v>
      </c>
      <c r="G8207" s="14">
        <v>346.86</v>
      </c>
      <c r="H8207" s="14">
        <v>0.0</v>
      </c>
      <c r="I8207" s="14" t="s">
        <v>6103</v>
      </c>
      <c r="J8207" s="14" t="s">
        <v>6012</v>
      </c>
      <c r="K8207" s="14" t="s">
        <v>6012</v>
      </c>
      <c r="L8207" s="14">
        <v>0.0</v>
      </c>
    </row>
    <row r="8208">
      <c r="A8208" s="14">
        <v>70.0</v>
      </c>
      <c r="B8208" s="14">
        <v>1.0</v>
      </c>
      <c r="C8208" s="34">
        <v>24.08</v>
      </c>
      <c r="D8208" s="36">
        <v>45936.0</v>
      </c>
      <c r="E8208" s="24"/>
      <c r="F8208" s="14">
        <v>24.08</v>
      </c>
      <c r="G8208" s="14">
        <v>344.0</v>
      </c>
      <c r="H8208" s="14">
        <v>1.43</v>
      </c>
      <c r="I8208" s="14" t="s">
        <v>6105</v>
      </c>
      <c r="J8208" s="14">
        <v>0.0</v>
      </c>
      <c r="K8208" s="14" t="s">
        <v>6012</v>
      </c>
      <c r="L8208" s="14">
        <v>0.0</v>
      </c>
    </row>
    <row r="8209">
      <c r="A8209" s="14">
        <v>194.0</v>
      </c>
      <c r="B8209" s="14">
        <v>0.0</v>
      </c>
      <c r="C8209" s="34">
        <v>22.48</v>
      </c>
      <c r="D8209" s="36">
        <v>45936.0</v>
      </c>
      <c r="E8209" s="24"/>
      <c r="F8209" s="14" t="s">
        <v>6012</v>
      </c>
      <c r="G8209" s="14">
        <v>115.88</v>
      </c>
      <c r="H8209" s="14">
        <v>0.0</v>
      </c>
      <c r="I8209" s="14" t="s">
        <v>6102</v>
      </c>
      <c r="J8209" s="14" t="s">
        <v>6012</v>
      </c>
      <c r="K8209" s="14" t="s">
        <v>6012</v>
      </c>
      <c r="L8209" s="14">
        <v>0.0</v>
      </c>
    </row>
    <row r="8210">
      <c r="A8210" s="14">
        <v>44.0</v>
      </c>
      <c r="B8210" s="14">
        <v>3.0</v>
      </c>
      <c r="C8210" s="34">
        <v>27.42</v>
      </c>
      <c r="D8210" s="36">
        <v>45936.0</v>
      </c>
      <c r="E8210" s="24"/>
      <c r="F8210" s="14">
        <v>9.14</v>
      </c>
      <c r="G8210" s="14">
        <v>623.18</v>
      </c>
      <c r="H8210" s="14">
        <v>6.82</v>
      </c>
      <c r="I8210" s="14" t="s">
        <v>6104</v>
      </c>
      <c r="J8210" s="14">
        <v>0.0</v>
      </c>
      <c r="K8210" s="14" t="s">
        <v>6012</v>
      </c>
      <c r="L8210" s="14">
        <v>0.0</v>
      </c>
    </row>
    <row r="8211">
      <c r="A8211" s="14">
        <v>196.0</v>
      </c>
      <c r="B8211" s="14">
        <v>1.0</v>
      </c>
      <c r="C8211" s="34">
        <v>23.01</v>
      </c>
      <c r="D8211" s="36">
        <v>45937.0</v>
      </c>
      <c r="E8211" s="24"/>
      <c r="F8211" s="14">
        <v>23.01</v>
      </c>
      <c r="G8211" s="14">
        <v>117.4</v>
      </c>
      <c r="H8211" s="14">
        <v>0.51</v>
      </c>
      <c r="I8211" s="14" t="s">
        <v>6105</v>
      </c>
      <c r="J8211" s="14">
        <v>0.0</v>
      </c>
      <c r="K8211" s="14" t="s">
        <v>6012</v>
      </c>
      <c r="L8211" s="14">
        <v>0.0</v>
      </c>
    </row>
    <row r="8212">
      <c r="A8212" s="14">
        <v>119.0</v>
      </c>
      <c r="B8212" s="14">
        <v>0.0</v>
      </c>
      <c r="C8212" s="34">
        <v>24.68</v>
      </c>
      <c r="D8212" s="36">
        <v>45937.0</v>
      </c>
      <c r="E8212" s="24"/>
      <c r="F8212" s="14" t="s">
        <v>6012</v>
      </c>
      <c r="G8212" s="14">
        <v>207.39</v>
      </c>
      <c r="H8212" s="14">
        <v>0.0</v>
      </c>
      <c r="I8212" s="14" t="s">
        <v>6103</v>
      </c>
      <c r="J8212" s="14" t="s">
        <v>6012</v>
      </c>
      <c r="K8212" s="14" t="s">
        <v>6012</v>
      </c>
      <c r="L8212" s="14">
        <v>0.0</v>
      </c>
    </row>
    <row r="8213">
      <c r="A8213" s="14">
        <v>96.0</v>
      </c>
      <c r="B8213" s="14">
        <v>1.0</v>
      </c>
      <c r="C8213" s="34">
        <v>25.33</v>
      </c>
      <c r="D8213" s="36">
        <v>45937.0</v>
      </c>
      <c r="E8213" s="24"/>
      <c r="F8213" s="14">
        <v>25.33</v>
      </c>
      <c r="G8213" s="14">
        <v>263.85</v>
      </c>
      <c r="H8213" s="14">
        <v>1.04</v>
      </c>
      <c r="I8213" s="14" t="s">
        <v>6104</v>
      </c>
      <c r="J8213" s="14">
        <v>0.0</v>
      </c>
      <c r="K8213" s="14" t="s">
        <v>6012</v>
      </c>
      <c r="L8213" s="14">
        <v>0.0</v>
      </c>
    </row>
    <row r="8214">
      <c r="A8214" s="14">
        <v>213.0</v>
      </c>
      <c r="B8214" s="14">
        <v>2.0</v>
      </c>
      <c r="C8214" s="34">
        <v>23.06</v>
      </c>
      <c r="D8214" s="36">
        <v>45937.0</v>
      </c>
      <c r="E8214" s="24"/>
      <c r="F8214" s="14">
        <v>11.53</v>
      </c>
      <c r="G8214" s="14">
        <v>108.26</v>
      </c>
      <c r="H8214" s="14">
        <v>0.94</v>
      </c>
      <c r="I8214" s="14" t="s">
        <v>6102</v>
      </c>
      <c r="J8214" s="14">
        <v>0.0</v>
      </c>
      <c r="K8214" s="14" t="s">
        <v>6012</v>
      </c>
      <c r="L8214" s="14">
        <v>0.0</v>
      </c>
    </row>
    <row r="8215">
      <c r="A8215" s="14">
        <v>826.0</v>
      </c>
      <c r="B8215" s="14">
        <v>2.0</v>
      </c>
      <c r="C8215" s="34">
        <v>37.84</v>
      </c>
      <c r="D8215" s="36">
        <v>45938.0</v>
      </c>
      <c r="E8215" s="24"/>
      <c r="F8215" s="14">
        <v>18.92</v>
      </c>
      <c r="G8215" s="14">
        <v>45.81</v>
      </c>
      <c r="H8215" s="14">
        <v>0.24</v>
      </c>
      <c r="I8215" s="14" t="s">
        <v>6107</v>
      </c>
      <c r="J8215" s="14">
        <v>0.0</v>
      </c>
      <c r="K8215" s="14" t="s">
        <v>6012</v>
      </c>
      <c r="L8215" s="14">
        <v>0.0</v>
      </c>
    </row>
    <row r="8216">
      <c r="A8216" s="14">
        <v>79.0</v>
      </c>
      <c r="B8216" s="14">
        <v>0.0</v>
      </c>
      <c r="C8216" s="34">
        <v>10.1</v>
      </c>
      <c r="D8216" s="36">
        <v>45938.0</v>
      </c>
      <c r="E8216" s="24"/>
      <c r="F8216" s="14" t="s">
        <v>6012</v>
      </c>
      <c r="G8216" s="14">
        <v>127.85</v>
      </c>
      <c r="H8216" s="14">
        <v>0.0</v>
      </c>
      <c r="I8216" s="14" t="s">
        <v>6103</v>
      </c>
      <c r="J8216" s="14" t="s">
        <v>6012</v>
      </c>
      <c r="K8216" s="14" t="s">
        <v>6012</v>
      </c>
      <c r="L8216" s="14">
        <v>0.0</v>
      </c>
    </row>
    <row r="8217">
      <c r="A8217" s="14">
        <v>82.0</v>
      </c>
      <c r="B8217" s="14">
        <v>2.0</v>
      </c>
      <c r="C8217" s="34">
        <v>8.88</v>
      </c>
      <c r="D8217" s="36">
        <v>45938.0</v>
      </c>
      <c r="E8217" s="24"/>
      <c r="F8217" s="14">
        <v>4.44</v>
      </c>
      <c r="G8217" s="14">
        <v>108.29</v>
      </c>
      <c r="H8217" s="14">
        <v>2.44</v>
      </c>
      <c r="I8217" s="14" t="s">
        <v>6105</v>
      </c>
      <c r="J8217" s="14">
        <v>0.0</v>
      </c>
      <c r="K8217" s="14" t="s">
        <v>6012</v>
      </c>
      <c r="L8217" s="14">
        <v>0.0</v>
      </c>
    </row>
    <row r="8218">
      <c r="A8218" s="14">
        <v>1006.0</v>
      </c>
      <c r="B8218" s="14">
        <v>20.0</v>
      </c>
      <c r="C8218" s="34">
        <v>37.63</v>
      </c>
      <c r="D8218" s="36">
        <v>45938.0</v>
      </c>
      <c r="E8218" s="24"/>
      <c r="F8218" s="14">
        <v>1.88</v>
      </c>
      <c r="G8218" s="14">
        <v>37.41</v>
      </c>
      <c r="H8218" s="14">
        <v>1.99</v>
      </c>
      <c r="I8218" s="14" t="s">
        <v>6108</v>
      </c>
      <c r="J8218" s="14">
        <v>0.0</v>
      </c>
      <c r="K8218" s="14" t="s">
        <v>6012</v>
      </c>
      <c r="L8218" s="14">
        <v>0.0</v>
      </c>
    </row>
    <row r="8219">
      <c r="A8219" s="14">
        <v>836.0</v>
      </c>
      <c r="B8219" s="14">
        <v>5.0</v>
      </c>
      <c r="C8219" s="34">
        <v>37.79</v>
      </c>
      <c r="D8219" s="36">
        <v>45938.0</v>
      </c>
      <c r="E8219" s="24"/>
      <c r="F8219" s="14">
        <v>7.56</v>
      </c>
      <c r="G8219" s="14">
        <v>45.2</v>
      </c>
      <c r="H8219" s="14">
        <v>0.6</v>
      </c>
      <c r="I8219" s="14" t="s">
        <v>6109</v>
      </c>
      <c r="J8219" s="14">
        <v>0.0</v>
      </c>
      <c r="K8219" s="14" t="s">
        <v>6012</v>
      </c>
      <c r="L8219" s="14">
        <v>0.0</v>
      </c>
    </row>
    <row r="8220">
      <c r="A8220" s="14">
        <v>151.0</v>
      </c>
      <c r="B8220" s="14">
        <v>0.0</v>
      </c>
      <c r="C8220" s="34">
        <v>9.09</v>
      </c>
      <c r="D8220" s="36">
        <v>45938.0</v>
      </c>
      <c r="E8220" s="24"/>
      <c r="F8220" s="14" t="s">
        <v>6012</v>
      </c>
      <c r="G8220" s="14">
        <v>60.2</v>
      </c>
      <c r="H8220" s="14">
        <v>0.0</v>
      </c>
      <c r="I8220" s="14" t="s">
        <v>6102</v>
      </c>
      <c r="J8220" s="14" t="s">
        <v>6012</v>
      </c>
      <c r="K8220" s="14" t="s">
        <v>6012</v>
      </c>
      <c r="L8220" s="14">
        <v>0.0</v>
      </c>
    </row>
    <row r="8221">
      <c r="A8221" s="14">
        <v>75.0</v>
      </c>
      <c r="B8221" s="14">
        <v>0.0</v>
      </c>
      <c r="C8221" s="34">
        <v>25.79</v>
      </c>
      <c r="D8221" s="36">
        <v>45938.0</v>
      </c>
      <c r="E8221" s="24"/>
      <c r="F8221" s="14" t="s">
        <v>6012</v>
      </c>
      <c r="G8221" s="14">
        <v>343.87</v>
      </c>
      <c r="H8221" s="14">
        <v>0.0</v>
      </c>
      <c r="I8221" s="14" t="s">
        <v>6104</v>
      </c>
      <c r="J8221" s="14" t="s">
        <v>6012</v>
      </c>
      <c r="K8221" s="14" t="s">
        <v>6012</v>
      </c>
      <c r="L8221" s="14">
        <v>0.0</v>
      </c>
    </row>
    <row r="8222">
      <c r="A8222" s="14">
        <v>86.0</v>
      </c>
      <c r="B8222" s="14">
        <v>3.0</v>
      </c>
      <c r="C8222" s="34">
        <v>27.5</v>
      </c>
      <c r="D8222" s="36">
        <v>45939.0</v>
      </c>
      <c r="E8222" s="24"/>
      <c r="F8222" s="14">
        <v>9.17</v>
      </c>
      <c r="G8222" s="14">
        <v>319.77</v>
      </c>
      <c r="H8222" s="14">
        <v>3.49</v>
      </c>
      <c r="I8222" s="14" t="s">
        <v>6104</v>
      </c>
      <c r="J8222" s="14">
        <v>0.0</v>
      </c>
      <c r="K8222" s="14" t="s">
        <v>6012</v>
      </c>
      <c r="L8222" s="14">
        <v>0.0</v>
      </c>
    </row>
    <row r="8223">
      <c r="A8223" s="14">
        <v>318.0</v>
      </c>
      <c r="B8223" s="14">
        <v>1.0</v>
      </c>
      <c r="C8223" s="34">
        <v>31.66</v>
      </c>
      <c r="D8223" s="36">
        <v>45939.0</v>
      </c>
      <c r="E8223" s="24"/>
      <c r="F8223" s="14">
        <v>31.66</v>
      </c>
      <c r="G8223" s="14">
        <v>99.56</v>
      </c>
      <c r="H8223" s="14">
        <v>0.31</v>
      </c>
      <c r="I8223" s="14" t="s">
        <v>6109</v>
      </c>
      <c r="J8223" s="14">
        <v>0.0</v>
      </c>
      <c r="K8223" s="14" t="s">
        <v>6012</v>
      </c>
      <c r="L8223" s="14">
        <v>0.0</v>
      </c>
    </row>
    <row r="8224">
      <c r="A8224" s="14">
        <v>416.0</v>
      </c>
      <c r="B8224" s="14">
        <v>5.0</v>
      </c>
      <c r="C8224" s="34">
        <v>30.81</v>
      </c>
      <c r="D8224" s="36">
        <v>45939.0</v>
      </c>
      <c r="E8224" s="24"/>
      <c r="F8224" s="14">
        <v>6.16</v>
      </c>
      <c r="G8224" s="14">
        <v>74.06</v>
      </c>
      <c r="H8224" s="14">
        <v>1.2</v>
      </c>
      <c r="I8224" s="14" t="s">
        <v>6108</v>
      </c>
      <c r="J8224" s="14">
        <v>0.0</v>
      </c>
      <c r="K8224" s="14" t="s">
        <v>6012</v>
      </c>
      <c r="L8224" s="14">
        <v>0.0</v>
      </c>
    </row>
    <row r="8225">
      <c r="A8225" s="14">
        <v>365.0</v>
      </c>
      <c r="B8225" s="14">
        <v>2.0</v>
      </c>
      <c r="C8225" s="34">
        <v>30.82</v>
      </c>
      <c r="D8225" s="36">
        <v>45939.0</v>
      </c>
      <c r="E8225" s="24"/>
      <c r="F8225" s="14">
        <v>15.41</v>
      </c>
      <c r="G8225" s="14">
        <v>84.44</v>
      </c>
      <c r="H8225" s="14">
        <v>0.55</v>
      </c>
      <c r="I8225" s="14" t="s">
        <v>6107</v>
      </c>
      <c r="J8225" s="14">
        <v>0.0</v>
      </c>
      <c r="K8225" s="14" t="s">
        <v>6012</v>
      </c>
      <c r="L8225" s="14">
        <v>0.0</v>
      </c>
    </row>
    <row r="8226">
      <c r="A8226" s="14">
        <v>60.0</v>
      </c>
      <c r="B8226" s="14">
        <v>1.0</v>
      </c>
      <c r="C8226" s="34">
        <v>18.05</v>
      </c>
      <c r="D8226" s="36">
        <v>45940.0</v>
      </c>
      <c r="E8226" s="24"/>
      <c r="F8226" s="14">
        <v>18.05</v>
      </c>
      <c r="G8226" s="14">
        <v>300.83</v>
      </c>
      <c r="H8226" s="14">
        <v>1.67</v>
      </c>
      <c r="I8226" s="14" t="s">
        <v>6104</v>
      </c>
      <c r="J8226" s="14">
        <v>0.0</v>
      </c>
      <c r="K8226" s="14" t="s">
        <v>6012</v>
      </c>
      <c r="L8226" s="14">
        <v>0.0</v>
      </c>
    </row>
    <row r="8227">
      <c r="A8227" s="14">
        <v>624.0</v>
      </c>
      <c r="B8227" s="14">
        <v>1.0</v>
      </c>
      <c r="C8227" s="34">
        <v>39.76</v>
      </c>
      <c r="D8227" s="36">
        <v>45940.0</v>
      </c>
      <c r="E8227" s="24"/>
      <c r="F8227" s="14">
        <v>39.76</v>
      </c>
      <c r="G8227" s="14">
        <v>63.72</v>
      </c>
      <c r="H8227" s="14">
        <v>0.16</v>
      </c>
      <c r="I8227" s="14" t="s">
        <v>6109</v>
      </c>
      <c r="J8227" s="14">
        <v>0.0</v>
      </c>
      <c r="K8227" s="14" t="s">
        <v>6012</v>
      </c>
      <c r="L8227" s="14">
        <v>0.0</v>
      </c>
    </row>
    <row r="8228">
      <c r="A8228" s="14">
        <v>489.0</v>
      </c>
      <c r="B8228" s="14">
        <v>2.0</v>
      </c>
      <c r="C8228" s="34">
        <v>40.21</v>
      </c>
      <c r="D8228" s="36">
        <v>45940.0</v>
      </c>
      <c r="E8228" s="24"/>
      <c r="F8228" s="14">
        <v>20.1</v>
      </c>
      <c r="G8228" s="14">
        <v>82.23</v>
      </c>
      <c r="H8228" s="14">
        <v>0.41</v>
      </c>
      <c r="I8228" s="14" t="s">
        <v>6107</v>
      </c>
      <c r="J8228" s="14">
        <v>0.0</v>
      </c>
      <c r="K8228" s="14" t="s">
        <v>6012</v>
      </c>
      <c r="L8228" s="14">
        <v>0.0</v>
      </c>
    </row>
    <row r="8229">
      <c r="A8229" s="14">
        <v>421.0</v>
      </c>
      <c r="B8229" s="14">
        <v>10.0</v>
      </c>
      <c r="C8229" s="34">
        <v>40.59</v>
      </c>
      <c r="D8229" s="36">
        <v>45940.0</v>
      </c>
      <c r="E8229" s="24"/>
      <c r="F8229" s="14">
        <v>4.06</v>
      </c>
      <c r="G8229" s="14">
        <v>96.41</v>
      </c>
      <c r="H8229" s="14">
        <v>2.38</v>
      </c>
      <c r="I8229" s="14" t="s">
        <v>6108</v>
      </c>
      <c r="J8229" s="14">
        <v>0.0</v>
      </c>
      <c r="K8229" s="14" t="s">
        <v>6012</v>
      </c>
      <c r="L8229" s="14">
        <v>0.0</v>
      </c>
    </row>
    <row r="8230">
      <c r="A8230" s="14">
        <v>231.0</v>
      </c>
      <c r="B8230" s="14">
        <v>3.0</v>
      </c>
      <c r="C8230" s="34">
        <v>22.85</v>
      </c>
      <c r="D8230" s="36">
        <v>45941.0</v>
      </c>
      <c r="E8230" s="24"/>
      <c r="F8230" s="14">
        <v>7.62</v>
      </c>
      <c r="G8230" s="14">
        <v>98.92</v>
      </c>
      <c r="H8230" s="14">
        <v>1.3</v>
      </c>
      <c r="I8230" s="14" t="s">
        <v>6108</v>
      </c>
      <c r="J8230" s="14">
        <v>0.0</v>
      </c>
      <c r="K8230" s="14" t="s">
        <v>6012</v>
      </c>
      <c r="L8230" s="14">
        <v>0.0</v>
      </c>
    </row>
    <row r="8231">
      <c r="A8231" s="14">
        <v>234.0</v>
      </c>
      <c r="B8231" s="14">
        <v>0.0</v>
      </c>
      <c r="C8231" s="34">
        <v>25.12</v>
      </c>
      <c r="D8231" s="36">
        <v>45941.0</v>
      </c>
      <c r="E8231" s="24"/>
      <c r="F8231" s="14" t="s">
        <v>6012</v>
      </c>
      <c r="G8231" s="14">
        <v>107.35</v>
      </c>
      <c r="H8231" s="14">
        <v>0.0</v>
      </c>
      <c r="I8231" s="14" t="s">
        <v>6109</v>
      </c>
      <c r="J8231" s="14" t="s">
        <v>6012</v>
      </c>
      <c r="K8231" s="14" t="s">
        <v>6012</v>
      </c>
      <c r="L8231" s="14">
        <v>0.0</v>
      </c>
    </row>
    <row r="8232">
      <c r="A8232" s="14">
        <v>32.0</v>
      </c>
      <c r="B8232" s="14">
        <v>0.0</v>
      </c>
      <c r="C8232" s="34">
        <v>8.91</v>
      </c>
      <c r="D8232" s="36">
        <v>45941.0</v>
      </c>
      <c r="E8232" s="24"/>
      <c r="F8232" s="14" t="s">
        <v>6012</v>
      </c>
      <c r="G8232" s="14">
        <v>278.44</v>
      </c>
      <c r="H8232" s="14">
        <v>0.0</v>
      </c>
      <c r="I8232" s="14" t="s">
        <v>6104</v>
      </c>
      <c r="J8232" s="14" t="s">
        <v>6012</v>
      </c>
      <c r="K8232" s="14" t="s">
        <v>6012</v>
      </c>
      <c r="L8232" s="14">
        <v>0.0</v>
      </c>
    </row>
    <row r="8233">
      <c r="A8233" s="14">
        <v>226.0</v>
      </c>
      <c r="B8233" s="14">
        <v>1.0</v>
      </c>
      <c r="C8233" s="34">
        <v>25.72</v>
      </c>
      <c r="D8233" s="36">
        <v>45941.0</v>
      </c>
      <c r="E8233" s="24"/>
      <c r="F8233" s="14">
        <v>25.72</v>
      </c>
      <c r="G8233" s="14">
        <v>113.81</v>
      </c>
      <c r="H8233" s="14">
        <v>0.44</v>
      </c>
      <c r="I8233" s="14" t="s">
        <v>6107</v>
      </c>
      <c r="J8233" s="14">
        <v>0.0</v>
      </c>
      <c r="K8233" s="14" t="s">
        <v>6012</v>
      </c>
      <c r="L8233" s="14">
        <v>0.0</v>
      </c>
    </row>
    <row r="8234">
      <c r="A8234" s="14">
        <v>120.0</v>
      </c>
      <c r="B8234" s="14">
        <v>0.0</v>
      </c>
      <c r="C8234" s="34">
        <v>15.67</v>
      </c>
      <c r="D8234" s="36">
        <v>45942.0</v>
      </c>
      <c r="E8234" s="24"/>
      <c r="F8234" s="14" t="s">
        <v>6012</v>
      </c>
      <c r="G8234" s="14">
        <v>130.58</v>
      </c>
      <c r="H8234" s="14">
        <v>0.0</v>
      </c>
      <c r="I8234" s="14" t="s">
        <v>6109</v>
      </c>
      <c r="J8234" s="14" t="s">
        <v>6012</v>
      </c>
      <c r="K8234" s="14" t="s">
        <v>6012</v>
      </c>
      <c r="L8234" s="14">
        <v>0.0</v>
      </c>
    </row>
    <row r="8235">
      <c r="A8235" s="14">
        <v>139.0</v>
      </c>
      <c r="B8235" s="14">
        <v>0.0</v>
      </c>
      <c r="C8235" s="34">
        <v>15.41</v>
      </c>
      <c r="D8235" s="36">
        <v>45942.0</v>
      </c>
      <c r="E8235" s="24"/>
      <c r="F8235" s="14" t="s">
        <v>6012</v>
      </c>
      <c r="G8235" s="14">
        <v>110.86</v>
      </c>
      <c r="H8235" s="14">
        <v>0.0</v>
      </c>
      <c r="I8235" s="14" t="s">
        <v>6107</v>
      </c>
      <c r="J8235" s="14" t="s">
        <v>6012</v>
      </c>
      <c r="K8235" s="14" t="s">
        <v>6012</v>
      </c>
      <c r="L8235" s="14">
        <v>0.0</v>
      </c>
    </row>
    <row r="8236">
      <c r="A8236" s="14">
        <v>142.0</v>
      </c>
      <c r="B8236" s="14">
        <v>4.0</v>
      </c>
      <c r="C8236" s="34">
        <v>18.12</v>
      </c>
      <c r="D8236" s="36">
        <v>45942.0</v>
      </c>
      <c r="E8236" s="24"/>
      <c r="F8236" s="14">
        <v>4.53</v>
      </c>
      <c r="G8236" s="14">
        <v>127.61</v>
      </c>
      <c r="H8236" s="14">
        <v>2.82</v>
      </c>
      <c r="I8236" s="14" t="s">
        <v>6108</v>
      </c>
      <c r="J8236" s="14">
        <v>0.0</v>
      </c>
      <c r="K8236" s="14" t="s">
        <v>6012</v>
      </c>
      <c r="L8236" s="14">
        <v>0.0</v>
      </c>
    </row>
    <row r="8237">
      <c r="A8237" s="14">
        <v>233.0</v>
      </c>
      <c r="B8237" s="14">
        <v>5.0</v>
      </c>
      <c r="C8237" s="34">
        <v>24.93</v>
      </c>
      <c r="D8237" s="36">
        <v>45943.0</v>
      </c>
      <c r="E8237" s="24"/>
      <c r="F8237" s="14">
        <v>4.99</v>
      </c>
      <c r="G8237" s="14">
        <v>107.0</v>
      </c>
      <c r="H8237" s="14">
        <v>2.15</v>
      </c>
      <c r="I8237" s="14" t="s">
        <v>6108</v>
      </c>
      <c r="J8237" s="14">
        <v>0.0</v>
      </c>
      <c r="K8237" s="14" t="s">
        <v>6012</v>
      </c>
      <c r="L8237" s="14">
        <v>0.0</v>
      </c>
    </row>
    <row r="8238">
      <c r="A8238" s="14">
        <v>274.0</v>
      </c>
      <c r="B8238" s="14">
        <v>3.0</v>
      </c>
      <c r="C8238" s="34">
        <v>25.02</v>
      </c>
      <c r="D8238" s="36">
        <v>45943.0</v>
      </c>
      <c r="E8238" s="24"/>
      <c r="F8238" s="14">
        <v>8.34</v>
      </c>
      <c r="G8238" s="14">
        <v>91.31</v>
      </c>
      <c r="H8238" s="14">
        <v>1.09</v>
      </c>
      <c r="I8238" s="14" t="s">
        <v>6109</v>
      </c>
      <c r="J8238" s="14">
        <v>0.0</v>
      </c>
      <c r="K8238" s="14" t="s">
        <v>6012</v>
      </c>
      <c r="L8238" s="14">
        <v>0.0</v>
      </c>
    </row>
    <row r="8239">
      <c r="A8239" s="14">
        <v>65.0</v>
      </c>
      <c r="B8239" s="14">
        <v>2.0</v>
      </c>
      <c r="C8239" s="34">
        <v>25.76</v>
      </c>
      <c r="D8239" s="36">
        <v>45943.0</v>
      </c>
      <c r="E8239" s="24"/>
      <c r="F8239" s="14">
        <v>12.88</v>
      </c>
      <c r="G8239" s="14">
        <v>396.31</v>
      </c>
      <c r="H8239" s="14">
        <v>3.08</v>
      </c>
      <c r="I8239" s="14" t="s">
        <v>6104</v>
      </c>
      <c r="J8239" s="14">
        <v>0.0</v>
      </c>
      <c r="K8239" s="14" t="s">
        <v>6012</v>
      </c>
      <c r="L8239" s="14">
        <v>0.0</v>
      </c>
    </row>
    <row r="8240">
      <c r="A8240" s="14">
        <v>212.0</v>
      </c>
      <c r="B8240" s="14">
        <v>2.0</v>
      </c>
      <c r="C8240" s="34">
        <v>24.86</v>
      </c>
      <c r="D8240" s="36">
        <v>45943.0</v>
      </c>
      <c r="E8240" s="24"/>
      <c r="F8240" s="14">
        <v>12.43</v>
      </c>
      <c r="G8240" s="14">
        <v>117.26</v>
      </c>
      <c r="H8240" s="14">
        <v>0.94</v>
      </c>
      <c r="I8240" s="14" t="s">
        <v>6107</v>
      </c>
      <c r="J8240" s="14">
        <v>0.0</v>
      </c>
      <c r="K8240" s="14" t="s">
        <v>6012</v>
      </c>
      <c r="L8240" s="14">
        <v>0.0</v>
      </c>
    </row>
    <row r="8241">
      <c r="A8241" s="14">
        <v>92.0</v>
      </c>
      <c r="B8241" s="14">
        <v>0.0</v>
      </c>
      <c r="C8241" s="34">
        <v>25.73</v>
      </c>
      <c r="D8241" s="36">
        <v>45944.0</v>
      </c>
      <c r="E8241" s="24"/>
      <c r="F8241" s="14" t="s">
        <v>6012</v>
      </c>
      <c r="G8241" s="14">
        <v>279.67</v>
      </c>
      <c r="H8241" s="14">
        <v>0.0</v>
      </c>
      <c r="I8241" s="14" t="s">
        <v>6104</v>
      </c>
      <c r="J8241" s="14" t="s">
        <v>6012</v>
      </c>
      <c r="K8241" s="14" t="s">
        <v>6012</v>
      </c>
      <c r="L8241" s="14">
        <v>0.0</v>
      </c>
    </row>
    <row r="8242">
      <c r="A8242" s="14">
        <v>255.0</v>
      </c>
      <c r="B8242" s="14">
        <v>1.0</v>
      </c>
      <c r="C8242" s="34">
        <v>26.81</v>
      </c>
      <c r="D8242" s="36">
        <v>45944.0</v>
      </c>
      <c r="E8242" s="24"/>
      <c r="F8242" s="14">
        <v>26.81</v>
      </c>
      <c r="G8242" s="14">
        <v>105.14</v>
      </c>
      <c r="H8242" s="14">
        <v>0.39</v>
      </c>
      <c r="I8242" s="14" t="s">
        <v>6107</v>
      </c>
      <c r="J8242" s="14">
        <v>0.0</v>
      </c>
      <c r="K8242" s="14" t="s">
        <v>6012</v>
      </c>
      <c r="L8242" s="14">
        <v>0.0</v>
      </c>
    </row>
    <row r="8243">
      <c r="A8243" s="14">
        <v>305.0</v>
      </c>
      <c r="B8243" s="14">
        <v>2.0</v>
      </c>
      <c r="C8243" s="34">
        <v>26.36</v>
      </c>
      <c r="D8243" s="36">
        <v>45944.0</v>
      </c>
      <c r="E8243" s="24"/>
      <c r="F8243" s="14">
        <v>13.18</v>
      </c>
      <c r="G8243" s="14">
        <v>86.43</v>
      </c>
      <c r="H8243" s="14">
        <v>0.66</v>
      </c>
      <c r="I8243" s="14" t="s">
        <v>6108</v>
      </c>
      <c r="J8243" s="14">
        <v>0.0</v>
      </c>
      <c r="K8243" s="14" t="s">
        <v>6012</v>
      </c>
      <c r="L8243" s="14">
        <v>0.0</v>
      </c>
    </row>
    <row r="8244">
      <c r="A8244" s="14">
        <v>216.0</v>
      </c>
      <c r="B8244" s="14">
        <v>2.0</v>
      </c>
      <c r="C8244" s="34">
        <v>26.32</v>
      </c>
      <c r="D8244" s="36">
        <v>45944.0</v>
      </c>
      <c r="E8244" s="24"/>
      <c r="F8244" s="14">
        <v>13.16</v>
      </c>
      <c r="G8244" s="14">
        <v>121.85</v>
      </c>
      <c r="H8244" s="14">
        <v>0.93</v>
      </c>
      <c r="I8244" s="14" t="s">
        <v>6109</v>
      </c>
      <c r="J8244" s="14">
        <v>0.0</v>
      </c>
      <c r="K8244" s="14" t="s">
        <v>6012</v>
      </c>
      <c r="L8244" s="14">
        <v>0.0</v>
      </c>
    </row>
    <row r="8245">
      <c r="A8245" s="14">
        <v>48.0</v>
      </c>
      <c r="B8245" s="14">
        <v>0.0</v>
      </c>
      <c r="C8245" s="34">
        <v>24.17</v>
      </c>
      <c r="D8245" s="36">
        <v>45945.0</v>
      </c>
      <c r="E8245" s="24"/>
      <c r="F8245" s="14" t="s">
        <v>6012</v>
      </c>
      <c r="G8245" s="14">
        <v>503.54</v>
      </c>
      <c r="H8245" s="14">
        <v>0.0</v>
      </c>
      <c r="I8245" s="14" t="s">
        <v>6104</v>
      </c>
      <c r="J8245" s="14" t="s">
        <v>6012</v>
      </c>
      <c r="K8245" s="14" t="s">
        <v>6012</v>
      </c>
      <c r="L8245" s="14">
        <v>0.0</v>
      </c>
    </row>
    <row r="8246">
      <c r="A8246" s="14">
        <v>193.0</v>
      </c>
      <c r="B8246" s="14">
        <v>0.0</v>
      </c>
      <c r="C8246" s="34">
        <v>27.0</v>
      </c>
      <c r="D8246" s="36">
        <v>45945.0</v>
      </c>
      <c r="E8246" s="24"/>
      <c r="F8246" s="14" t="s">
        <v>6012</v>
      </c>
      <c r="G8246" s="14">
        <v>139.9</v>
      </c>
      <c r="H8246" s="14">
        <v>0.0</v>
      </c>
      <c r="I8246" s="14" t="s">
        <v>6107</v>
      </c>
      <c r="J8246" s="14" t="s">
        <v>6012</v>
      </c>
      <c r="K8246" s="14" t="s">
        <v>6012</v>
      </c>
      <c r="L8246" s="14">
        <v>0.0</v>
      </c>
    </row>
    <row r="8247">
      <c r="A8247" s="14">
        <v>201.0</v>
      </c>
      <c r="B8247" s="14">
        <v>5.0</v>
      </c>
      <c r="C8247" s="34">
        <v>26.74</v>
      </c>
      <c r="D8247" s="36">
        <v>45945.0</v>
      </c>
      <c r="E8247" s="24"/>
      <c r="F8247" s="14">
        <v>5.35</v>
      </c>
      <c r="G8247" s="14">
        <v>133.03</v>
      </c>
      <c r="H8247" s="14">
        <v>2.49</v>
      </c>
      <c r="I8247" s="14" t="s">
        <v>6108</v>
      </c>
      <c r="J8247" s="14">
        <v>0.0</v>
      </c>
      <c r="K8247" s="14" t="s">
        <v>6012</v>
      </c>
      <c r="L8247" s="14">
        <v>0.0</v>
      </c>
    </row>
    <row r="8248">
      <c r="A8248" s="14">
        <v>183.0</v>
      </c>
      <c r="B8248" s="14">
        <v>1.0</v>
      </c>
      <c r="C8248" s="34">
        <v>26.33</v>
      </c>
      <c r="D8248" s="36">
        <v>45945.0</v>
      </c>
      <c r="E8248" s="24"/>
      <c r="F8248" s="14">
        <v>26.33</v>
      </c>
      <c r="G8248" s="14">
        <v>143.88</v>
      </c>
      <c r="H8248" s="14">
        <v>0.55</v>
      </c>
      <c r="I8248" s="14" t="s">
        <v>6109</v>
      </c>
      <c r="J8248" s="14">
        <v>0.0</v>
      </c>
      <c r="K8248" s="14" t="s">
        <v>6012</v>
      </c>
      <c r="L8248" s="14">
        <v>0.0</v>
      </c>
    </row>
    <row r="8249">
      <c r="A8249" s="14">
        <v>244.0</v>
      </c>
      <c r="B8249" s="14">
        <v>0.0</v>
      </c>
      <c r="C8249" s="34">
        <v>30.0</v>
      </c>
      <c r="D8249" s="36">
        <v>45946.0</v>
      </c>
      <c r="E8249" s="24"/>
      <c r="F8249" s="14" t="s">
        <v>6012</v>
      </c>
      <c r="G8249" s="14">
        <v>122.95</v>
      </c>
      <c r="H8249" s="14">
        <v>0.0</v>
      </c>
      <c r="I8249" s="14" t="s">
        <v>6107</v>
      </c>
      <c r="J8249" s="14" t="s">
        <v>6012</v>
      </c>
      <c r="K8249" s="14" t="s">
        <v>6012</v>
      </c>
      <c r="L8249" s="14">
        <v>0.0</v>
      </c>
    </row>
    <row r="8250">
      <c r="A8250" s="14">
        <v>264.0</v>
      </c>
      <c r="B8250" s="14">
        <v>3.0</v>
      </c>
      <c r="C8250" s="34">
        <v>26.76</v>
      </c>
      <c r="D8250" s="36">
        <v>45946.0</v>
      </c>
      <c r="E8250" s="24"/>
      <c r="F8250" s="14">
        <v>8.92</v>
      </c>
      <c r="G8250" s="14">
        <v>101.36</v>
      </c>
      <c r="H8250" s="14">
        <v>1.14</v>
      </c>
      <c r="I8250" s="14" t="s">
        <v>6108</v>
      </c>
      <c r="J8250" s="14">
        <v>0.0</v>
      </c>
      <c r="K8250" s="14" t="s">
        <v>6012</v>
      </c>
      <c r="L8250" s="14">
        <v>0.0</v>
      </c>
    </row>
    <row r="8251">
      <c r="A8251" s="14">
        <v>276.0</v>
      </c>
      <c r="B8251" s="14">
        <v>3.0</v>
      </c>
      <c r="C8251" s="34">
        <v>27.56</v>
      </c>
      <c r="D8251" s="36">
        <v>45946.0</v>
      </c>
      <c r="E8251" s="24"/>
      <c r="F8251" s="14">
        <v>9.19</v>
      </c>
      <c r="G8251" s="14">
        <v>99.86</v>
      </c>
      <c r="H8251" s="14">
        <v>1.09</v>
      </c>
      <c r="I8251" s="14" t="s">
        <v>6109</v>
      </c>
      <c r="J8251" s="14">
        <v>0.0</v>
      </c>
      <c r="K8251" s="14" t="s">
        <v>6012</v>
      </c>
      <c r="L8251" s="14">
        <v>0.0</v>
      </c>
    </row>
    <row r="8252">
      <c r="A8252" s="14">
        <v>73.0</v>
      </c>
      <c r="B8252" s="14">
        <v>0.0</v>
      </c>
      <c r="C8252" s="34">
        <v>23.41</v>
      </c>
      <c r="D8252" s="36">
        <v>45946.0</v>
      </c>
      <c r="E8252" s="24"/>
      <c r="F8252" s="14" t="s">
        <v>6012</v>
      </c>
      <c r="G8252" s="14">
        <v>320.68</v>
      </c>
      <c r="H8252" s="14">
        <v>0.0</v>
      </c>
      <c r="I8252" s="14" t="s">
        <v>6104</v>
      </c>
      <c r="J8252" s="14" t="s">
        <v>6012</v>
      </c>
      <c r="K8252" s="14" t="s">
        <v>6012</v>
      </c>
      <c r="L8252" s="14">
        <v>0.0</v>
      </c>
    </row>
    <row r="8253">
      <c r="A8253" s="14">
        <v>198.0</v>
      </c>
      <c r="B8253" s="14">
        <v>0.0</v>
      </c>
      <c r="C8253" s="34">
        <v>23.29</v>
      </c>
      <c r="D8253" s="36">
        <v>45947.0</v>
      </c>
      <c r="E8253" s="24"/>
      <c r="F8253" s="14" t="s">
        <v>6012</v>
      </c>
      <c r="G8253" s="14">
        <v>117.63</v>
      </c>
      <c r="H8253" s="14">
        <v>0.0</v>
      </c>
      <c r="I8253" s="14" t="s">
        <v>6109</v>
      </c>
      <c r="J8253" s="14" t="s">
        <v>6012</v>
      </c>
      <c r="K8253" s="14" t="s">
        <v>6012</v>
      </c>
      <c r="L8253" s="14">
        <v>0.0</v>
      </c>
    </row>
    <row r="8254">
      <c r="A8254" s="14">
        <v>317.0</v>
      </c>
      <c r="B8254" s="14">
        <v>5.0</v>
      </c>
      <c r="C8254" s="34">
        <v>23.4</v>
      </c>
      <c r="D8254" s="36">
        <v>45947.0</v>
      </c>
      <c r="E8254" s="24"/>
      <c r="F8254" s="14">
        <v>4.68</v>
      </c>
      <c r="G8254" s="14">
        <v>73.82</v>
      </c>
      <c r="H8254" s="14">
        <v>1.58</v>
      </c>
      <c r="I8254" s="14" t="s">
        <v>6108</v>
      </c>
      <c r="J8254" s="14">
        <v>0.0</v>
      </c>
      <c r="K8254" s="14" t="s">
        <v>6012</v>
      </c>
      <c r="L8254" s="14">
        <v>0.0</v>
      </c>
    </row>
    <row r="8255">
      <c r="A8255" s="14">
        <v>212.0</v>
      </c>
      <c r="B8255" s="14">
        <v>2.0</v>
      </c>
      <c r="C8255" s="34">
        <v>23.0</v>
      </c>
      <c r="D8255" s="36">
        <v>45947.0</v>
      </c>
      <c r="E8255" s="24"/>
      <c r="F8255" s="14">
        <v>11.5</v>
      </c>
      <c r="G8255" s="14">
        <v>108.49</v>
      </c>
      <c r="H8255" s="14">
        <v>0.94</v>
      </c>
      <c r="I8255" s="14" t="s">
        <v>6107</v>
      </c>
      <c r="J8255" s="14">
        <v>0.0</v>
      </c>
      <c r="K8255" s="14" t="s">
        <v>6012</v>
      </c>
      <c r="L8255" s="14">
        <v>0.0</v>
      </c>
    </row>
    <row r="8256">
      <c r="A8256" s="14">
        <v>36.0</v>
      </c>
      <c r="B8256" s="14">
        <v>0.0</v>
      </c>
      <c r="C8256" s="34">
        <v>21.45</v>
      </c>
      <c r="D8256" s="36">
        <v>45947.0</v>
      </c>
      <c r="E8256" s="24"/>
      <c r="F8256" s="14" t="s">
        <v>6012</v>
      </c>
      <c r="G8256" s="14">
        <v>595.83</v>
      </c>
      <c r="H8256" s="14">
        <v>0.0</v>
      </c>
      <c r="I8256" s="14" t="s">
        <v>6104</v>
      </c>
      <c r="J8256" s="14" t="s">
        <v>6012</v>
      </c>
      <c r="K8256" s="14" t="s">
        <v>6012</v>
      </c>
      <c r="L8256" s="14">
        <v>0.0</v>
      </c>
    </row>
    <row r="8257">
      <c r="A8257" s="14">
        <v>123.0</v>
      </c>
      <c r="B8257" s="14">
        <v>5.0</v>
      </c>
      <c r="C8257" s="34">
        <v>13.2</v>
      </c>
      <c r="D8257" s="36">
        <v>45948.0</v>
      </c>
      <c r="E8257" s="24"/>
      <c r="F8257" s="14">
        <v>2.64</v>
      </c>
      <c r="G8257" s="14">
        <v>107.32</v>
      </c>
      <c r="H8257" s="14">
        <v>4.07</v>
      </c>
      <c r="I8257" s="14" t="s">
        <v>6108</v>
      </c>
      <c r="J8257" s="14">
        <v>0.0</v>
      </c>
      <c r="K8257" s="14" t="s">
        <v>6012</v>
      </c>
      <c r="L8257" s="14">
        <v>0.0</v>
      </c>
    </row>
    <row r="8258">
      <c r="A8258" s="14">
        <v>28.0</v>
      </c>
      <c r="B8258" s="14">
        <v>1.0</v>
      </c>
      <c r="C8258" s="34">
        <v>8.02</v>
      </c>
      <c r="D8258" s="36">
        <v>45948.0</v>
      </c>
      <c r="E8258" s="24"/>
      <c r="F8258" s="14">
        <v>8.02</v>
      </c>
      <c r="G8258" s="14">
        <v>286.43</v>
      </c>
      <c r="H8258" s="14">
        <v>3.57</v>
      </c>
      <c r="I8258" s="14" t="s">
        <v>6104</v>
      </c>
      <c r="J8258" s="14">
        <v>0.0</v>
      </c>
      <c r="K8258" s="14" t="s">
        <v>6012</v>
      </c>
      <c r="L8258" s="14">
        <v>0.0</v>
      </c>
    </row>
    <row r="8259">
      <c r="A8259" s="14">
        <v>103.0</v>
      </c>
      <c r="B8259" s="14">
        <v>0.0</v>
      </c>
      <c r="C8259" s="34">
        <v>13.17</v>
      </c>
      <c r="D8259" s="36">
        <v>45948.0</v>
      </c>
      <c r="E8259" s="24"/>
      <c r="F8259" s="14" t="s">
        <v>6012</v>
      </c>
      <c r="G8259" s="14">
        <v>127.86</v>
      </c>
      <c r="H8259" s="14">
        <v>0.0</v>
      </c>
      <c r="I8259" s="14" t="s">
        <v>6107</v>
      </c>
      <c r="J8259" s="14" t="s">
        <v>6012</v>
      </c>
      <c r="K8259" s="14" t="s">
        <v>6012</v>
      </c>
      <c r="L8259" s="14">
        <v>0.0</v>
      </c>
    </row>
    <row r="8260">
      <c r="A8260" s="14">
        <v>109.0</v>
      </c>
      <c r="B8260" s="14">
        <v>1.0</v>
      </c>
      <c r="C8260" s="34">
        <v>13.43</v>
      </c>
      <c r="D8260" s="36">
        <v>45948.0</v>
      </c>
      <c r="E8260" s="24"/>
      <c r="F8260" s="14">
        <v>13.43</v>
      </c>
      <c r="G8260" s="14">
        <v>123.21</v>
      </c>
      <c r="H8260" s="14">
        <v>0.92</v>
      </c>
      <c r="I8260" s="14" t="s">
        <v>6109</v>
      </c>
      <c r="J8260" s="14">
        <v>0.0</v>
      </c>
      <c r="K8260" s="14" t="s">
        <v>6012</v>
      </c>
      <c r="L8260" s="14">
        <v>0.0</v>
      </c>
    </row>
    <row r="8261">
      <c r="A8261" s="14">
        <v>15.0</v>
      </c>
      <c r="B8261" s="14">
        <v>0.0</v>
      </c>
      <c r="C8261" s="34">
        <v>4.46</v>
      </c>
      <c r="D8261" s="36">
        <v>45949.0</v>
      </c>
      <c r="E8261" s="24"/>
      <c r="F8261" s="14" t="s">
        <v>6012</v>
      </c>
      <c r="G8261" s="14">
        <v>297.33</v>
      </c>
      <c r="H8261" s="14">
        <v>0.0</v>
      </c>
      <c r="I8261" s="14" t="s">
        <v>6104</v>
      </c>
      <c r="J8261" s="14" t="s">
        <v>6012</v>
      </c>
      <c r="K8261" s="14" t="s">
        <v>6012</v>
      </c>
      <c r="L8261" s="14">
        <v>0.0</v>
      </c>
    </row>
    <row r="8262">
      <c r="A8262" s="14">
        <v>90.0</v>
      </c>
      <c r="B8262" s="14">
        <v>1.0</v>
      </c>
      <c r="C8262" s="34">
        <v>9.78</v>
      </c>
      <c r="D8262" s="36">
        <v>45949.0</v>
      </c>
      <c r="E8262" s="24"/>
      <c r="F8262" s="14">
        <v>9.78</v>
      </c>
      <c r="G8262" s="14">
        <v>108.67</v>
      </c>
      <c r="H8262" s="14">
        <v>1.11</v>
      </c>
      <c r="I8262" s="14" t="s">
        <v>6108</v>
      </c>
      <c r="J8262" s="14">
        <v>0.0</v>
      </c>
      <c r="K8262" s="14" t="s">
        <v>6012</v>
      </c>
      <c r="L8262" s="14">
        <v>0.0</v>
      </c>
    </row>
    <row r="8263">
      <c r="A8263" s="14">
        <v>74.0</v>
      </c>
      <c r="B8263" s="14">
        <v>0.0</v>
      </c>
      <c r="C8263" s="34">
        <v>8.86</v>
      </c>
      <c r="D8263" s="36">
        <v>45949.0</v>
      </c>
      <c r="E8263" s="24"/>
      <c r="F8263" s="14" t="s">
        <v>6012</v>
      </c>
      <c r="G8263" s="14">
        <v>119.73</v>
      </c>
      <c r="H8263" s="14">
        <v>0.0</v>
      </c>
      <c r="I8263" s="14" t="s">
        <v>6109</v>
      </c>
      <c r="J8263" s="14" t="s">
        <v>6012</v>
      </c>
      <c r="K8263" s="14" t="s">
        <v>6012</v>
      </c>
      <c r="L8263" s="14">
        <v>0.0</v>
      </c>
    </row>
    <row r="8264">
      <c r="A8264" s="14">
        <v>62.0</v>
      </c>
      <c r="B8264" s="14">
        <v>0.0</v>
      </c>
      <c r="C8264" s="34">
        <v>7.7</v>
      </c>
      <c r="D8264" s="36">
        <v>45949.0</v>
      </c>
      <c r="E8264" s="24"/>
      <c r="F8264" s="14" t="s">
        <v>6012</v>
      </c>
      <c r="G8264" s="14">
        <v>124.19</v>
      </c>
      <c r="H8264" s="14">
        <v>0.0</v>
      </c>
      <c r="I8264" s="14" t="s">
        <v>6107</v>
      </c>
      <c r="J8264" s="14" t="s">
        <v>6012</v>
      </c>
      <c r="K8264" s="14" t="s">
        <v>6012</v>
      </c>
      <c r="L8264" s="14">
        <v>0.0</v>
      </c>
    </row>
    <row r="8265">
      <c r="A8265" s="14">
        <v>170.0</v>
      </c>
      <c r="B8265" s="14">
        <v>1.0</v>
      </c>
      <c r="C8265" s="34">
        <v>23.72</v>
      </c>
      <c r="D8265" s="36">
        <v>45950.0</v>
      </c>
      <c r="E8265" s="24"/>
      <c r="F8265" s="14">
        <v>23.72</v>
      </c>
      <c r="G8265" s="14">
        <v>139.53</v>
      </c>
      <c r="H8265" s="14">
        <v>0.59</v>
      </c>
      <c r="I8265" s="14" t="s">
        <v>6107</v>
      </c>
      <c r="J8265" s="14">
        <v>0.0</v>
      </c>
      <c r="K8265" s="14" t="s">
        <v>6012</v>
      </c>
      <c r="L8265" s="14">
        <v>0.0</v>
      </c>
    </row>
    <row r="8266">
      <c r="A8266" s="14">
        <v>210.0</v>
      </c>
      <c r="B8266" s="14">
        <v>2.0</v>
      </c>
      <c r="C8266" s="34">
        <v>23.01</v>
      </c>
      <c r="D8266" s="36">
        <v>45950.0</v>
      </c>
      <c r="E8266" s="24"/>
      <c r="F8266" s="14">
        <v>11.5</v>
      </c>
      <c r="G8266" s="14">
        <v>109.57</v>
      </c>
      <c r="H8266" s="14">
        <v>0.95</v>
      </c>
      <c r="I8266" s="14" t="s">
        <v>6109</v>
      </c>
      <c r="J8266" s="14">
        <v>0.0</v>
      </c>
      <c r="K8266" s="14" t="s">
        <v>6012</v>
      </c>
      <c r="L8266" s="14">
        <v>0.0</v>
      </c>
    </row>
    <row r="8267">
      <c r="A8267" s="14">
        <v>190.0</v>
      </c>
      <c r="B8267" s="14">
        <v>10.0</v>
      </c>
      <c r="C8267" s="34">
        <v>23.51</v>
      </c>
      <c r="D8267" s="36">
        <v>45950.0</v>
      </c>
      <c r="E8267" s="24"/>
      <c r="F8267" s="14">
        <v>2.35</v>
      </c>
      <c r="G8267" s="14">
        <v>123.74</v>
      </c>
      <c r="H8267" s="14">
        <v>5.26</v>
      </c>
      <c r="I8267" s="14" t="s">
        <v>6108</v>
      </c>
      <c r="J8267" s="14">
        <v>0.0</v>
      </c>
      <c r="K8267" s="14" t="s">
        <v>6012</v>
      </c>
      <c r="L8267" s="14">
        <v>0.0</v>
      </c>
    </row>
    <row r="8268">
      <c r="A8268" s="14">
        <v>42.0</v>
      </c>
      <c r="B8268" s="14">
        <v>0.0</v>
      </c>
      <c r="C8268" s="34">
        <v>27.07</v>
      </c>
      <c r="D8268" s="36">
        <v>45950.0</v>
      </c>
      <c r="E8268" s="24"/>
      <c r="F8268" s="14" t="s">
        <v>6012</v>
      </c>
      <c r="G8268" s="14">
        <v>644.52</v>
      </c>
      <c r="H8268" s="14">
        <v>0.0</v>
      </c>
      <c r="I8268" s="14" t="s">
        <v>6104</v>
      </c>
      <c r="J8268" s="14" t="s">
        <v>6012</v>
      </c>
      <c r="K8268" s="14" t="s">
        <v>6012</v>
      </c>
      <c r="L8268" s="14">
        <v>0.0</v>
      </c>
    </row>
    <row r="8269">
      <c r="A8269" s="14">
        <v>262.0</v>
      </c>
      <c r="B8269" s="14">
        <v>2.0</v>
      </c>
      <c r="C8269" s="34">
        <v>25.07</v>
      </c>
      <c r="D8269" s="36">
        <v>45951.0</v>
      </c>
      <c r="E8269" s="24"/>
      <c r="F8269" s="14">
        <v>12.54</v>
      </c>
      <c r="G8269" s="14">
        <v>95.69</v>
      </c>
      <c r="H8269" s="14">
        <v>0.76</v>
      </c>
      <c r="I8269" s="14" t="s">
        <v>6109</v>
      </c>
      <c r="J8269" s="14">
        <v>0.0</v>
      </c>
      <c r="K8269" s="14" t="s">
        <v>6012</v>
      </c>
      <c r="L8269" s="14">
        <v>0.0</v>
      </c>
    </row>
    <row r="8270">
      <c r="A8270" s="14">
        <v>180.0</v>
      </c>
      <c r="B8270" s="14">
        <v>1.0</v>
      </c>
      <c r="C8270" s="34">
        <v>26.51</v>
      </c>
      <c r="D8270" s="36">
        <v>45951.0</v>
      </c>
      <c r="E8270" s="24"/>
      <c r="F8270" s="14">
        <v>26.51</v>
      </c>
      <c r="G8270" s="14">
        <v>147.28</v>
      </c>
      <c r="H8270" s="14">
        <v>0.56</v>
      </c>
      <c r="I8270" s="14" t="s">
        <v>6107</v>
      </c>
      <c r="J8270" s="14">
        <v>0.0</v>
      </c>
      <c r="K8270" s="14" t="s">
        <v>6012</v>
      </c>
      <c r="L8270" s="14">
        <v>0.0</v>
      </c>
    </row>
    <row r="8271">
      <c r="A8271" s="14">
        <v>105.0</v>
      </c>
      <c r="B8271" s="14">
        <v>1.0</v>
      </c>
      <c r="C8271" s="34">
        <v>27.17</v>
      </c>
      <c r="D8271" s="36">
        <v>45951.0</v>
      </c>
      <c r="E8271" s="24"/>
      <c r="F8271" s="14">
        <v>27.17</v>
      </c>
      <c r="G8271" s="14">
        <v>258.76</v>
      </c>
      <c r="H8271" s="14">
        <v>0.95</v>
      </c>
      <c r="I8271" s="14" t="s">
        <v>6104</v>
      </c>
      <c r="J8271" s="14">
        <v>0.0</v>
      </c>
      <c r="K8271" s="14" t="s">
        <v>6012</v>
      </c>
      <c r="L8271" s="14">
        <v>0.0</v>
      </c>
    </row>
    <row r="8272">
      <c r="A8272" s="14">
        <v>233.0</v>
      </c>
      <c r="B8272" s="14">
        <v>4.0</v>
      </c>
      <c r="C8272" s="34">
        <v>26.25</v>
      </c>
      <c r="D8272" s="36">
        <v>45951.0</v>
      </c>
      <c r="E8272" s="24"/>
      <c r="F8272" s="14">
        <v>6.56</v>
      </c>
      <c r="G8272" s="14">
        <v>112.66</v>
      </c>
      <c r="H8272" s="14">
        <v>1.72</v>
      </c>
      <c r="I8272" s="14" t="s">
        <v>6108</v>
      </c>
      <c r="J8272" s="14">
        <v>0.0</v>
      </c>
      <c r="K8272" s="14" t="s">
        <v>6012</v>
      </c>
      <c r="L8272" s="14">
        <v>0.0</v>
      </c>
    </row>
    <row r="8273">
      <c r="A8273" s="14">
        <v>41.0</v>
      </c>
      <c r="B8273" s="14">
        <v>1.0</v>
      </c>
      <c r="C8273" s="34">
        <v>16.02</v>
      </c>
      <c r="D8273" s="36">
        <v>45952.0</v>
      </c>
      <c r="E8273" s="24"/>
      <c r="F8273" s="14">
        <v>16.02</v>
      </c>
      <c r="G8273" s="14">
        <v>390.73</v>
      </c>
      <c r="H8273" s="14">
        <v>2.44</v>
      </c>
      <c r="I8273" s="14" t="s">
        <v>6104</v>
      </c>
      <c r="J8273" s="14">
        <v>0.0</v>
      </c>
      <c r="K8273" s="14" t="s">
        <v>6012</v>
      </c>
      <c r="L8273" s="14">
        <v>0.0</v>
      </c>
    </row>
    <row r="8274">
      <c r="A8274" s="14">
        <v>117.0</v>
      </c>
      <c r="B8274" s="14">
        <v>1.0</v>
      </c>
      <c r="C8274" s="34">
        <v>15.26</v>
      </c>
      <c r="D8274" s="36">
        <v>45952.0</v>
      </c>
      <c r="E8274" s="24"/>
      <c r="F8274" s="14">
        <v>15.26</v>
      </c>
      <c r="G8274" s="14">
        <v>130.43</v>
      </c>
      <c r="H8274" s="14">
        <v>0.85</v>
      </c>
      <c r="I8274" s="14" t="s">
        <v>6107</v>
      </c>
      <c r="J8274" s="14">
        <v>0.0</v>
      </c>
      <c r="K8274" s="14" t="s">
        <v>6012</v>
      </c>
      <c r="L8274" s="14">
        <v>0.0</v>
      </c>
    </row>
    <row r="8275">
      <c r="A8275" s="14">
        <v>198.0</v>
      </c>
      <c r="B8275" s="14">
        <v>0.0</v>
      </c>
      <c r="C8275" s="34">
        <v>24.83</v>
      </c>
      <c r="D8275" s="36">
        <v>45952.0</v>
      </c>
      <c r="E8275" s="24"/>
      <c r="F8275" s="14" t="s">
        <v>6012</v>
      </c>
      <c r="G8275" s="14">
        <v>125.4</v>
      </c>
      <c r="H8275" s="14">
        <v>0.0</v>
      </c>
      <c r="I8275" s="14" t="s">
        <v>6109</v>
      </c>
      <c r="J8275" s="14" t="s">
        <v>6012</v>
      </c>
      <c r="K8275" s="14" t="s">
        <v>6012</v>
      </c>
      <c r="L8275" s="14">
        <v>0.0</v>
      </c>
    </row>
    <row r="8276">
      <c r="A8276" s="14">
        <v>227.0</v>
      </c>
      <c r="B8276" s="14">
        <v>3.0</v>
      </c>
      <c r="C8276" s="34">
        <v>24.2</v>
      </c>
      <c r="D8276" s="36">
        <v>45952.0</v>
      </c>
      <c r="E8276" s="24"/>
      <c r="F8276" s="14">
        <v>8.07</v>
      </c>
      <c r="G8276" s="14">
        <v>106.61</v>
      </c>
      <c r="H8276" s="14">
        <v>1.32</v>
      </c>
      <c r="I8276" s="14" t="s">
        <v>6108</v>
      </c>
      <c r="J8276" s="14">
        <v>0.0</v>
      </c>
      <c r="K8276" s="14" t="s">
        <v>6012</v>
      </c>
      <c r="L8276" s="14">
        <v>0.0</v>
      </c>
    </row>
    <row r="8277">
      <c r="A8277" s="14">
        <v>191.0</v>
      </c>
      <c r="B8277" s="14">
        <v>0.0</v>
      </c>
      <c r="C8277" s="34">
        <v>24.15</v>
      </c>
      <c r="D8277" s="36">
        <v>45953.0</v>
      </c>
      <c r="E8277" s="24"/>
      <c r="F8277" s="14" t="s">
        <v>6012</v>
      </c>
      <c r="G8277" s="14">
        <v>126.44</v>
      </c>
      <c r="H8277" s="14">
        <v>0.0</v>
      </c>
      <c r="I8277" s="14" t="s">
        <v>6109</v>
      </c>
      <c r="J8277" s="14" t="s">
        <v>6012</v>
      </c>
      <c r="K8277" s="14" t="s">
        <v>6012</v>
      </c>
      <c r="L8277" s="14">
        <v>0.0</v>
      </c>
    </row>
    <row r="8278">
      <c r="A8278" s="14">
        <v>264.0</v>
      </c>
      <c r="B8278" s="14">
        <v>3.0</v>
      </c>
      <c r="C8278" s="34">
        <v>24.24</v>
      </c>
      <c r="D8278" s="36">
        <v>45953.0</v>
      </c>
      <c r="E8278" s="24"/>
      <c r="F8278" s="14">
        <v>8.08</v>
      </c>
      <c r="G8278" s="14">
        <v>91.82</v>
      </c>
      <c r="H8278" s="14">
        <v>1.14</v>
      </c>
      <c r="I8278" s="14" t="s">
        <v>6108</v>
      </c>
      <c r="J8278" s="14">
        <v>0.0</v>
      </c>
      <c r="K8278" s="14" t="s">
        <v>6012</v>
      </c>
      <c r="L8278" s="14">
        <v>0.0</v>
      </c>
    </row>
    <row r="8279">
      <c r="A8279" s="14">
        <v>200.0</v>
      </c>
      <c r="B8279" s="14">
        <v>0.0</v>
      </c>
      <c r="C8279" s="34">
        <v>22.57</v>
      </c>
      <c r="D8279" s="36">
        <v>45954.0</v>
      </c>
      <c r="E8279" s="24"/>
      <c r="F8279" s="14" t="s">
        <v>6012</v>
      </c>
      <c r="G8279" s="14">
        <v>112.85</v>
      </c>
      <c r="H8279" s="14">
        <v>0.0</v>
      </c>
      <c r="I8279" s="14" t="s">
        <v>6109</v>
      </c>
      <c r="J8279" s="14" t="s">
        <v>6012</v>
      </c>
      <c r="K8279" s="14" t="s">
        <v>6012</v>
      </c>
      <c r="L8279" s="14">
        <v>0.0</v>
      </c>
    </row>
    <row r="8280">
      <c r="A8280" s="14">
        <v>228.0</v>
      </c>
      <c r="B8280" s="14">
        <v>3.0</v>
      </c>
      <c r="C8280" s="34">
        <v>21.17</v>
      </c>
      <c r="D8280" s="36">
        <v>45954.0</v>
      </c>
      <c r="E8280" s="24"/>
      <c r="F8280" s="14">
        <v>7.06</v>
      </c>
      <c r="G8280" s="14">
        <v>92.85</v>
      </c>
      <c r="H8280" s="14">
        <v>1.32</v>
      </c>
      <c r="I8280" s="14" t="s">
        <v>6108</v>
      </c>
      <c r="J8280" s="14">
        <v>0.0</v>
      </c>
      <c r="K8280" s="14" t="s">
        <v>6012</v>
      </c>
      <c r="L8280" s="14">
        <v>0.0</v>
      </c>
    </row>
    <row r="8281">
      <c r="A8281" s="14">
        <v>104.0</v>
      </c>
      <c r="B8281" s="14">
        <v>4.0</v>
      </c>
      <c r="C8281" s="34">
        <v>11.84</v>
      </c>
      <c r="D8281" s="36">
        <v>45955.0</v>
      </c>
      <c r="E8281" s="24"/>
      <c r="F8281" s="14">
        <v>2.96</v>
      </c>
      <c r="G8281" s="14">
        <v>113.85</v>
      </c>
      <c r="H8281" s="14">
        <v>3.85</v>
      </c>
      <c r="I8281" s="14" t="s">
        <v>6108</v>
      </c>
      <c r="J8281" s="14">
        <v>0.0</v>
      </c>
      <c r="K8281" s="14" t="s">
        <v>6012</v>
      </c>
      <c r="L8281" s="14">
        <v>0.0</v>
      </c>
    </row>
    <row r="8282">
      <c r="A8282" s="14">
        <v>87.0</v>
      </c>
      <c r="B8282" s="14">
        <v>1.0</v>
      </c>
      <c r="C8282" s="34">
        <v>11.67</v>
      </c>
      <c r="D8282" s="36">
        <v>45955.0</v>
      </c>
      <c r="E8282" s="24"/>
      <c r="F8282" s="14">
        <v>11.67</v>
      </c>
      <c r="G8282" s="14">
        <v>134.14</v>
      </c>
      <c r="H8282" s="14">
        <v>1.15</v>
      </c>
      <c r="I8282" s="14" t="s">
        <v>6109</v>
      </c>
      <c r="J8282" s="14">
        <v>0.0</v>
      </c>
      <c r="K8282" s="14" t="s">
        <v>6012</v>
      </c>
      <c r="L8282" s="14">
        <v>0.0</v>
      </c>
    </row>
    <row r="8283">
      <c r="A8283" s="14">
        <v>68.0</v>
      </c>
      <c r="B8283" s="14">
        <v>0.0</v>
      </c>
      <c r="C8283" s="34">
        <v>8.7</v>
      </c>
      <c r="D8283" s="36">
        <v>45956.0</v>
      </c>
      <c r="E8283" s="24"/>
      <c r="F8283" s="14" t="s">
        <v>6012</v>
      </c>
      <c r="G8283" s="14">
        <v>127.94</v>
      </c>
      <c r="H8283" s="14">
        <v>0.0</v>
      </c>
      <c r="I8283" s="14" t="s">
        <v>6109</v>
      </c>
      <c r="J8283" s="14" t="s">
        <v>6012</v>
      </c>
      <c r="K8283" s="14" t="s">
        <v>6012</v>
      </c>
      <c r="L8283" s="14">
        <v>0.0</v>
      </c>
    </row>
    <row r="8284">
      <c r="A8284" s="14">
        <v>81.0</v>
      </c>
      <c r="B8284" s="14">
        <v>1.0</v>
      </c>
      <c r="C8284" s="34">
        <v>8.79</v>
      </c>
      <c r="D8284" s="36">
        <v>45956.0</v>
      </c>
      <c r="E8284" s="24"/>
      <c r="F8284" s="14">
        <v>8.79</v>
      </c>
      <c r="G8284" s="14">
        <v>108.52</v>
      </c>
      <c r="H8284" s="14">
        <v>1.23</v>
      </c>
      <c r="I8284" s="14" t="s">
        <v>6108</v>
      </c>
      <c r="J8284" s="14">
        <v>0.0</v>
      </c>
      <c r="K8284" s="14" t="s">
        <v>6012</v>
      </c>
      <c r="L8284" s="14">
        <v>0.0</v>
      </c>
    </row>
    <row r="8285">
      <c r="A8285" s="14">
        <v>154.0</v>
      </c>
      <c r="B8285" s="14">
        <v>0.0</v>
      </c>
      <c r="C8285" s="34">
        <v>24.04</v>
      </c>
      <c r="D8285" s="36">
        <v>45957.0</v>
      </c>
      <c r="E8285" s="24"/>
      <c r="F8285" s="14" t="s">
        <v>6012</v>
      </c>
      <c r="G8285" s="14">
        <v>156.1</v>
      </c>
      <c r="H8285" s="14">
        <v>0.0</v>
      </c>
      <c r="I8285" s="14" t="s">
        <v>6109</v>
      </c>
      <c r="J8285" s="14" t="s">
        <v>6012</v>
      </c>
      <c r="K8285" s="14" t="s">
        <v>6012</v>
      </c>
      <c r="L8285" s="14">
        <v>0.0</v>
      </c>
    </row>
    <row r="8286">
      <c r="A8286" s="14">
        <v>184.0</v>
      </c>
      <c r="B8286" s="14">
        <v>3.0</v>
      </c>
      <c r="C8286" s="34">
        <v>23.67</v>
      </c>
      <c r="D8286" s="36">
        <v>45957.0</v>
      </c>
      <c r="E8286" s="24"/>
      <c r="F8286" s="14">
        <v>7.89</v>
      </c>
      <c r="G8286" s="14">
        <v>128.64</v>
      </c>
      <c r="H8286" s="14">
        <v>1.63</v>
      </c>
      <c r="I8286" s="14" t="s">
        <v>6108</v>
      </c>
      <c r="J8286" s="14">
        <v>0.0</v>
      </c>
      <c r="K8286" s="14" t="s">
        <v>6012</v>
      </c>
      <c r="L8286" s="14">
        <v>0.0</v>
      </c>
    </row>
    <row r="8287">
      <c r="A8287" s="14">
        <v>209.0</v>
      </c>
      <c r="B8287" s="14">
        <v>7.0</v>
      </c>
      <c r="C8287" s="34">
        <v>25.4</v>
      </c>
      <c r="D8287" s="36">
        <v>45958.0</v>
      </c>
      <c r="E8287" s="24"/>
      <c r="F8287" s="14">
        <v>3.63</v>
      </c>
      <c r="G8287" s="14">
        <v>121.53</v>
      </c>
      <c r="H8287" s="14">
        <v>3.35</v>
      </c>
      <c r="I8287" s="14" t="s">
        <v>6108</v>
      </c>
      <c r="J8287" s="14">
        <v>0.0</v>
      </c>
      <c r="K8287" s="14" t="s">
        <v>6012</v>
      </c>
      <c r="L8287" s="14">
        <v>0.0</v>
      </c>
    </row>
    <row r="8288">
      <c r="A8288" s="14">
        <v>178.0</v>
      </c>
      <c r="B8288" s="14">
        <v>2.0</v>
      </c>
      <c r="C8288" s="34">
        <v>25.94</v>
      </c>
      <c r="D8288" s="36">
        <v>45958.0</v>
      </c>
      <c r="E8288" s="24"/>
      <c r="F8288" s="14">
        <v>12.97</v>
      </c>
      <c r="G8288" s="14">
        <v>145.73</v>
      </c>
      <c r="H8288" s="14">
        <v>1.12</v>
      </c>
      <c r="I8288" s="14" t="s">
        <v>6109</v>
      </c>
      <c r="J8288" s="14">
        <v>0.0</v>
      </c>
      <c r="K8288" s="14" t="s">
        <v>6012</v>
      </c>
      <c r="L8288" s="14">
        <v>0.0</v>
      </c>
    </row>
    <row r="8289">
      <c r="A8289" s="14">
        <v>187.0</v>
      </c>
      <c r="B8289" s="14">
        <v>6.0</v>
      </c>
      <c r="C8289" s="34">
        <v>27.84</v>
      </c>
      <c r="D8289" s="36">
        <v>45959.0</v>
      </c>
      <c r="E8289" s="24"/>
      <c r="F8289" s="14">
        <v>4.64</v>
      </c>
      <c r="G8289" s="14">
        <v>148.88</v>
      </c>
      <c r="H8289" s="14">
        <v>3.21</v>
      </c>
      <c r="I8289" s="14" t="s">
        <v>6108</v>
      </c>
      <c r="J8289" s="14">
        <v>0.0</v>
      </c>
      <c r="K8289" s="14" t="s">
        <v>6012</v>
      </c>
      <c r="L8289" s="14">
        <v>0.0</v>
      </c>
    </row>
    <row r="8290">
      <c r="A8290" s="14">
        <v>201.0</v>
      </c>
      <c r="B8290" s="14">
        <v>1.0</v>
      </c>
      <c r="C8290" s="34">
        <v>26.29</v>
      </c>
      <c r="D8290" s="36">
        <v>45959.0</v>
      </c>
      <c r="E8290" s="24"/>
      <c r="F8290" s="14">
        <v>26.29</v>
      </c>
      <c r="G8290" s="14">
        <v>130.8</v>
      </c>
      <c r="H8290" s="14">
        <v>0.5</v>
      </c>
      <c r="I8290" s="14" t="s">
        <v>6109</v>
      </c>
      <c r="J8290" s="14">
        <v>0.0</v>
      </c>
      <c r="K8290" s="14" t="s">
        <v>6012</v>
      </c>
      <c r="L8290" s="14">
        <v>0.0</v>
      </c>
    </row>
    <row r="8291">
      <c r="A8291" s="14">
        <v>298.0</v>
      </c>
      <c r="B8291" s="14">
        <v>3.0</v>
      </c>
      <c r="C8291" s="34">
        <v>22.9</v>
      </c>
      <c r="D8291" s="36">
        <v>45960.0</v>
      </c>
      <c r="E8291" s="24"/>
      <c r="F8291" s="14">
        <v>7.63</v>
      </c>
      <c r="G8291" s="14">
        <v>76.85</v>
      </c>
      <c r="H8291" s="14">
        <v>1.01</v>
      </c>
      <c r="I8291" s="14" t="s">
        <v>6108</v>
      </c>
      <c r="J8291" s="14">
        <v>0.0</v>
      </c>
      <c r="K8291" s="14" t="s">
        <v>6012</v>
      </c>
      <c r="L8291" s="14">
        <v>0.0</v>
      </c>
    </row>
    <row r="8292">
      <c r="A8292" s="14">
        <v>184.0</v>
      </c>
      <c r="B8292" s="14">
        <v>1.0</v>
      </c>
      <c r="C8292" s="34">
        <v>25.12</v>
      </c>
      <c r="D8292" s="36">
        <v>45960.0</v>
      </c>
      <c r="E8292" s="24"/>
      <c r="F8292" s="14">
        <v>25.12</v>
      </c>
      <c r="G8292" s="14">
        <v>136.52</v>
      </c>
      <c r="H8292" s="14">
        <v>0.54</v>
      </c>
      <c r="I8292" s="14" t="s">
        <v>6109</v>
      </c>
      <c r="J8292" s="14">
        <v>0.0</v>
      </c>
      <c r="K8292" s="14" t="s">
        <v>6012</v>
      </c>
      <c r="L8292" s="14">
        <v>0.0</v>
      </c>
    </row>
    <row r="8293">
      <c r="A8293" s="14">
        <v>188.0</v>
      </c>
      <c r="B8293" s="14">
        <v>2.0</v>
      </c>
      <c r="C8293" s="34">
        <v>22.61</v>
      </c>
      <c r="D8293" s="36">
        <v>45961.0</v>
      </c>
      <c r="E8293" s="24"/>
      <c r="F8293" s="14">
        <v>11.3</v>
      </c>
      <c r="G8293" s="14">
        <v>120.27</v>
      </c>
      <c r="H8293" s="14">
        <v>1.06</v>
      </c>
      <c r="I8293" s="14" t="s">
        <v>6108</v>
      </c>
      <c r="J8293" s="14">
        <v>0.0</v>
      </c>
      <c r="K8293" s="14" t="s">
        <v>6012</v>
      </c>
      <c r="L8293" s="14">
        <v>0.0</v>
      </c>
    </row>
    <row r="8294">
      <c r="A8294" s="14">
        <v>162.0</v>
      </c>
      <c r="B8294" s="14">
        <v>1.0</v>
      </c>
      <c r="C8294" s="34">
        <v>21.65</v>
      </c>
      <c r="D8294" s="36">
        <v>45961.0</v>
      </c>
      <c r="E8294" s="24"/>
      <c r="F8294" s="14">
        <v>21.65</v>
      </c>
      <c r="G8294" s="14">
        <v>133.64</v>
      </c>
      <c r="H8294" s="14">
        <v>0.62</v>
      </c>
      <c r="I8294" s="14" t="s">
        <v>6109</v>
      </c>
      <c r="J8294" s="14">
        <v>0.0</v>
      </c>
      <c r="K8294" s="14" t="s">
        <v>6012</v>
      </c>
      <c r="L8294" s="14">
        <v>0.0</v>
      </c>
    </row>
    <row r="8295">
      <c r="A8295" s="14">
        <v>0.0</v>
      </c>
      <c r="B8295" s="14">
        <v>0.0</v>
      </c>
      <c r="C8295" s="34">
        <v>0.0</v>
      </c>
      <c r="D8295" s="36">
        <v>45961.0</v>
      </c>
      <c r="E8295" s="24"/>
      <c r="F8295" s="14" t="s">
        <v>6012</v>
      </c>
      <c r="G8295" s="14" t="s">
        <v>6012</v>
      </c>
      <c r="H8295" s="14" t="s">
        <v>6012</v>
      </c>
      <c r="I8295" s="14" t="s">
        <v>6071</v>
      </c>
      <c r="J8295" s="14" t="s">
        <v>6012</v>
      </c>
      <c r="K8295" s="14" t="s">
        <v>6012</v>
      </c>
      <c r="L8295" s="14">
        <v>1.0</v>
      </c>
    </row>
    <row r="8296">
      <c r="A8296" s="14">
        <v>95.0</v>
      </c>
      <c r="B8296" s="14">
        <v>1.0</v>
      </c>
      <c r="C8296" s="34">
        <v>10.25</v>
      </c>
      <c r="D8296" s="36">
        <v>45962.0</v>
      </c>
      <c r="E8296" s="24"/>
      <c r="F8296" s="14">
        <v>10.25</v>
      </c>
      <c r="G8296" s="14">
        <v>107.89</v>
      </c>
      <c r="H8296" s="14">
        <v>1.05</v>
      </c>
      <c r="I8296" s="14" t="s">
        <v>6109</v>
      </c>
      <c r="J8296" s="14">
        <v>0.0</v>
      </c>
      <c r="K8296" s="14" t="s">
        <v>6012</v>
      </c>
      <c r="L8296" s="14">
        <v>0.0</v>
      </c>
    </row>
    <row r="8297">
      <c r="A8297" s="14">
        <v>102.0</v>
      </c>
      <c r="B8297" s="14">
        <v>1.0</v>
      </c>
      <c r="C8297" s="34">
        <v>12.35</v>
      </c>
      <c r="D8297" s="36">
        <v>45962.0</v>
      </c>
      <c r="E8297" s="24"/>
      <c r="F8297" s="14">
        <v>12.35</v>
      </c>
      <c r="G8297" s="14">
        <v>121.08</v>
      </c>
      <c r="H8297" s="14">
        <v>0.98</v>
      </c>
      <c r="I8297" s="14" t="s">
        <v>6108</v>
      </c>
      <c r="J8297" s="14">
        <v>0.0</v>
      </c>
      <c r="K8297" s="14" t="s">
        <v>6012</v>
      </c>
      <c r="L8297" s="14">
        <v>0.0</v>
      </c>
    </row>
    <row r="8298">
      <c r="A8298" s="14">
        <v>64.0</v>
      </c>
      <c r="B8298" s="14">
        <v>0.0</v>
      </c>
      <c r="C8298" s="34">
        <v>6.71</v>
      </c>
      <c r="D8298" s="36">
        <v>45963.0</v>
      </c>
      <c r="E8298" s="24"/>
      <c r="F8298" s="14" t="s">
        <v>6012</v>
      </c>
      <c r="G8298" s="14">
        <v>104.84</v>
      </c>
      <c r="H8298" s="14">
        <v>0.0</v>
      </c>
      <c r="I8298" s="14" t="s">
        <v>6109</v>
      </c>
      <c r="J8298" s="14" t="s">
        <v>6012</v>
      </c>
      <c r="K8298" s="14" t="s">
        <v>6012</v>
      </c>
      <c r="L8298" s="14">
        <v>0.0</v>
      </c>
    </row>
    <row r="8299">
      <c r="A8299" s="14">
        <v>48.0</v>
      </c>
      <c r="B8299" s="14">
        <v>2.0</v>
      </c>
      <c r="C8299" s="34">
        <v>5.18</v>
      </c>
      <c r="D8299" s="36">
        <v>45963.0</v>
      </c>
      <c r="E8299" s="24"/>
      <c r="F8299" s="14">
        <v>2.59</v>
      </c>
      <c r="G8299" s="14">
        <v>107.92</v>
      </c>
      <c r="H8299" s="14">
        <v>4.17</v>
      </c>
      <c r="I8299" s="14" t="s">
        <v>6108</v>
      </c>
      <c r="J8299" s="14">
        <v>0.0</v>
      </c>
      <c r="K8299" s="14" t="s">
        <v>6012</v>
      </c>
      <c r="L8299" s="14">
        <v>0.0</v>
      </c>
    </row>
    <row r="8300">
      <c r="A8300" s="14">
        <v>155.0</v>
      </c>
      <c r="B8300" s="14">
        <v>0.0</v>
      </c>
      <c r="C8300" s="34">
        <v>23.41</v>
      </c>
      <c r="D8300" s="36">
        <v>45964.0</v>
      </c>
      <c r="E8300" s="24"/>
      <c r="F8300" s="14" t="s">
        <v>6012</v>
      </c>
      <c r="G8300" s="14">
        <v>151.03</v>
      </c>
      <c r="H8300" s="14">
        <v>0.0</v>
      </c>
      <c r="I8300" s="14" t="s">
        <v>6109</v>
      </c>
      <c r="J8300" s="14" t="s">
        <v>6012</v>
      </c>
      <c r="K8300" s="14" t="s">
        <v>6012</v>
      </c>
      <c r="L8300" s="14">
        <v>0.0</v>
      </c>
    </row>
    <row r="8301">
      <c r="A8301" s="14">
        <v>167.0</v>
      </c>
      <c r="B8301" s="14">
        <v>5.0</v>
      </c>
      <c r="C8301" s="34">
        <v>23.52</v>
      </c>
      <c r="D8301" s="36">
        <v>45964.0</v>
      </c>
      <c r="E8301" s="24"/>
      <c r="F8301" s="14">
        <v>4.7</v>
      </c>
      <c r="G8301" s="14">
        <v>140.84</v>
      </c>
      <c r="H8301" s="14">
        <v>2.99</v>
      </c>
      <c r="I8301" s="14" t="s">
        <v>6108</v>
      </c>
      <c r="J8301" s="14">
        <v>0.0</v>
      </c>
      <c r="K8301" s="14" t="s">
        <v>6012</v>
      </c>
      <c r="L8301" s="14">
        <v>0.0</v>
      </c>
    </row>
    <row r="8302">
      <c r="A8302" s="14">
        <v>271.0</v>
      </c>
      <c r="B8302" s="14">
        <v>8.0</v>
      </c>
      <c r="C8302" s="34">
        <v>25.45</v>
      </c>
      <c r="D8302" s="36">
        <v>45965.0</v>
      </c>
      <c r="E8302" s="24"/>
      <c r="F8302" s="14">
        <v>3.18</v>
      </c>
      <c r="G8302" s="14">
        <v>93.91</v>
      </c>
      <c r="H8302" s="14">
        <v>2.95</v>
      </c>
      <c r="I8302" s="14" t="s">
        <v>6108</v>
      </c>
      <c r="J8302" s="14">
        <v>0.0</v>
      </c>
      <c r="K8302" s="14" t="s">
        <v>6012</v>
      </c>
      <c r="L8302" s="14">
        <v>0.0</v>
      </c>
    </row>
    <row r="8303">
      <c r="A8303" s="14">
        <v>236.0</v>
      </c>
      <c r="B8303" s="14">
        <v>0.0</v>
      </c>
      <c r="C8303" s="34">
        <v>24.31</v>
      </c>
      <c r="D8303" s="36">
        <v>45965.0</v>
      </c>
      <c r="E8303" s="24"/>
      <c r="F8303" s="14" t="s">
        <v>6012</v>
      </c>
      <c r="G8303" s="14">
        <v>103.01</v>
      </c>
      <c r="H8303" s="14">
        <v>0.0</v>
      </c>
      <c r="I8303" s="14" t="s">
        <v>6109</v>
      </c>
      <c r="J8303" s="14" t="s">
        <v>6012</v>
      </c>
      <c r="K8303" s="14" t="s">
        <v>6012</v>
      </c>
      <c r="L8303" s="14">
        <v>0.0</v>
      </c>
    </row>
    <row r="8304">
      <c r="A8304" s="14">
        <v>255.0</v>
      </c>
      <c r="B8304" s="14">
        <v>0.0</v>
      </c>
      <c r="C8304" s="34">
        <v>24.94</v>
      </c>
      <c r="D8304" s="36">
        <v>45966.0</v>
      </c>
      <c r="E8304" s="24"/>
      <c r="F8304" s="14" t="s">
        <v>6012</v>
      </c>
      <c r="G8304" s="14">
        <v>97.8</v>
      </c>
      <c r="H8304" s="14">
        <v>0.0</v>
      </c>
      <c r="I8304" s="14" t="s">
        <v>6109</v>
      </c>
      <c r="J8304" s="14" t="s">
        <v>6012</v>
      </c>
      <c r="K8304" s="14" t="s">
        <v>6012</v>
      </c>
      <c r="L8304" s="14">
        <v>0.0</v>
      </c>
    </row>
    <row r="8305">
      <c r="A8305" s="14">
        <v>268.0</v>
      </c>
      <c r="B8305" s="14">
        <v>6.0</v>
      </c>
      <c r="C8305" s="34">
        <v>24.95</v>
      </c>
      <c r="D8305" s="36">
        <v>45966.0</v>
      </c>
      <c r="E8305" s="24"/>
      <c r="F8305" s="14">
        <v>4.16</v>
      </c>
      <c r="G8305" s="14">
        <v>93.1</v>
      </c>
      <c r="H8305" s="14">
        <v>2.24</v>
      </c>
      <c r="I8305" s="14" t="s">
        <v>6108</v>
      </c>
      <c r="J8305" s="14">
        <v>0.0</v>
      </c>
      <c r="K8305" s="14" t="s">
        <v>6012</v>
      </c>
      <c r="L8305" s="14">
        <v>0.0</v>
      </c>
    </row>
    <row r="8306">
      <c r="A8306" s="14">
        <v>393.0</v>
      </c>
      <c r="B8306" s="14">
        <v>11.0</v>
      </c>
      <c r="C8306" s="34">
        <v>23.15</v>
      </c>
      <c r="D8306" s="36">
        <v>45967.0</v>
      </c>
      <c r="E8306" s="24"/>
      <c r="F8306" s="14">
        <v>2.1</v>
      </c>
      <c r="G8306" s="14">
        <v>58.91</v>
      </c>
      <c r="H8306" s="14">
        <v>2.8</v>
      </c>
      <c r="I8306" s="14" t="s">
        <v>6108</v>
      </c>
      <c r="J8306" s="14">
        <v>0.0</v>
      </c>
      <c r="K8306" s="14" t="s">
        <v>6012</v>
      </c>
      <c r="L8306" s="14">
        <v>0.0</v>
      </c>
    </row>
    <row r="8307">
      <c r="A8307" s="14">
        <v>224.0</v>
      </c>
      <c r="B8307" s="14">
        <v>0.0</v>
      </c>
      <c r="C8307" s="34">
        <v>24.82</v>
      </c>
      <c r="D8307" s="36">
        <v>45967.0</v>
      </c>
      <c r="E8307" s="24"/>
      <c r="F8307" s="14" t="s">
        <v>6012</v>
      </c>
      <c r="G8307" s="14">
        <v>110.8</v>
      </c>
      <c r="H8307" s="14">
        <v>0.0</v>
      </c>
      <c r="I8307" s="14" t="s">
        <v>6109</v>
      </c>
      <c r="J8307" s="14" t="s">
        <v>6012</v>
      </c>
      <c r="K8307" s="14" t="s">
        <v>6012</v>
      </c>
      <c r="L8307" s="14">
        <v>0.0</v>
      </c>
    </row>
    <row r="8308">
      <c r="A8308" s="14">
        <v>214.0</v>
      </c>
      <c r="B8308" s="14">
        <v>0.0</v>
      </c>
      <c r="C8308" s="34">
        <v>22.3</v>
      </c>
      <c r="D8308" s="36">
        <v>45968.0</v>
      </c>
      <c r="E8308" s="24"/>
      <c r="F8308" s="14" t="s">
        <v>6012</v>
      </c>
      <c r="G8308" s="14">
        <v>104.21</v>
      </c>
      <c r="H8308" s="14">
        <v>0.0</v>
      </c>
      <c r="I8308" s="14" t="s">
        <v>6109</v>
      </c>
      <c r="J8308" s="14" t="s">
        <v>6012</v>
      </c>
      <c r="K8308" s="14" t="s">
        <v>6012</v>
      </c>
      <c r="L8308" s="14">
        <v>0.0</v>
      </c>
    </row>
    <row r="8309">
      <c r="A8309" s="14">
        <v>228.0</v>
      </c>
      <c r="B8309" s="14">
        <v>4.0</v>
      </c>
      <c r="C8309" s="34">
        <v>22.99</v>
      </c>
      <c r="D8309" s="36">
        <v>45968.0</v>
      </c>
      <c r="E8309" s="24"/>
      <c r="F8309" s="14">
        <v>5.75</v>
      </c>
      <c r="G8309" s="14">
        <v>100.83</v>
      </c>
      <c r="H8309" s="14">
        <v>1.75</v>
      </c>
      <c r="I8309" s="14" t="s">
        <v>6108</v>
      </c>
      <c r="J8309" s="14">
        <v>0.0</v>
      </c>
      <c r="K8309" s="14" t="s">
        <v>6012</v>
      </c>
      <c r="L8309" s="14">
        <v>0.0</v>
      </c>
    </row>
    <row r="8310">
      <c r="A8310" s="14">
        <v>153.0</v>
      </c>
      <c r="B8310" s="14">
        <v>0.0</v>
      </c>
      <c r="C8310" s="34">
        <v>12.73</v>
      </c>
      <c r="D8310" s="36">
        <v>45969.0</v>
      </c>
      <c r="E8310" s="24"/>
      <c r="F8310" s="14" t="s">
        <v>6012</v>
      </c>
      <c r="G8310" s="14">
        <v>83.2</v>
      </c>
      <c r="H8310" s="14">
        <v>0.0</v>
      </c>
      <c r="I8310" s="14" t="s">
        <v>6109</v>
      </c>
      <c r="J8310" s="14" t="s">
        <v>6012</v>
      </c>
      <c r="K8310" s="14" t="s">
        <v>6012</v>
      </c>
      <c r="L8310" s="14">
        <v>0.0</v>
      </c>
    </row>
    <row r="8311">
      <c r="A8311" s="14">
        <v>103.0</v>
      </c>
      <c r="B8311" s="14">
        <v>4.0</v>
      </c>
      <c r="C8311" s="34">
        <v>12.15</v>
      </c>
      <c r="D8311" s="36">
        <v>45969.0</v>
      </c>
      <c r="E8311" s="24"/>
      <c r="F8311" s="14">
        <v>3.04</v>
      </c>
      <c r="G8311" s="14">
        <v>117.96</v>
      </c>
      <c r="H8311" s="14">
        <v>3.88</v>
      </c>
      <c r="I8311" s="14" t="s">
        <v>6108</v>
      </c>
      <c r="J8311" s="14">
        <v>0.0</v>
      </c>
      <c r="K8311" s="14" t="s">
        <v>6012</v>
      </c>
      <c r="L8311" s="14">
        <v>0.0</v>
      </c>
    </row>
    <row r="8312">
      <c r="A8312" s="14">
        <v>83.0</v>
      </c>
      <c r="B8312" s="14">
        <v>1.0</v>
      </c>
      <c r="C8312" s="34">
        <v>7.48</v>
      </c>
      <c r="D8312" s="36">
        <v>45970.0</v>
      </c>
      <c r="E8312" s="24"/>
      <c r="F8312" s="14">
        <v>7.48</v>
      </c>
      <c r="G8312" s="14">
        <v>90.12</v>
      </c>
      <c r="H8312" s="14">
        <v>1.2</v>
      </c>
      <c r="I8312" s="14" t="s">
        <v>6109</v>
      </c>
      <c r="J8312" s="14">
        <v>0.0</v>
      </c>
      <c r="K8312" s="14" t="s">
        <v>6012</v>
      </c>
      <c r="L8312" s="14">
        <v>0.0</v>
      </c>
    </row>
    <row r="8313">
      <c r="A8313" s="14">
        <v>91.0</v>
      </c>
      <c r="B8313" s="14">
        <v>2.0</v>
      </c>
      <c r="C8313" s="34">
        <v>7.79</v>
      </c>
      <c r="D8313" s="36">
        <v>45970.0</v>
      </c>
      <c r="E8313" s="24"/>
      <c r="F8313" s="14">
        <v>3.9</v>
      </c>
      <c r="G8313" s="14">
        <v>85.6</v>
      </c>
      <c r="H8313" s="14">
        <v>2.2</v>
      </c>
      <c r="I8313" s="14" t="s">
        <v>6108</v>
      </c>
      <c r="J8313" s="14">
        <v>0.0</v>
      </c>
      <c r="K8313" s="14" t="s">
        <v>6012</v>
      </c>
      <c r="L8313" s="14">
        <v>0.0</v>
      </c>
    </row>
    <row r="8314">
      <c r="A8314" s="14">
        <v>155.0</v>
      </c>
      <c r="B8314" s="14">
        <v>0.0</v>
      </c>
      <c r="C8314" s="34">
        <v>23.04</v>
      </c>
      <c r="D8314" s="36">
        <v>45971.0</v>
      </c>
      <c r="E8314" s="24"/>
      <c r="F8314" s="14" t="s">
        <v>6012</v>
      </c>
      <c r="G8314" s="14">
        <v>148.65</v>
      </c>
      <c r="H8314" s="14">
        <v>0.0</v>
      </c>
      <c r="I8314" s="14" t="s">
        <v>6109</v>
      </c>
      <c r="J8314" s="14" t="s">
        <v>6012</v>
      </c>
      <c r="K8314" s="14" t="s">
        <v>6012</v>
      </c>
      <c r="L8314" s="14">
        <v>0.0</v>
      </c>
    </row>
    <row r="8315">
      <c r="A8315" s="14">
        <v>209.0</v>
      </c>
      <c r="B8315" s="14">
        <v>5.0</v>
      </c>
      <c r="C8315" s="34">
        <v>22.83</v>
      </c>
      <c r="D8315" s="36">
        <v>45971.0</v>
      </c>
      <c r="E8315" s="24"/>
      <c r="F8315" s="14">
        <v>4.57</v>
      </c>
      <c r="G8315" s="14">
        <v>109.23</v>
      </c>
      <c r="H8315" s="14">
        <v>2.39</v>
      </c>
      <c r="I8315" s="14" t="s">
        <v>6108</v>
      </c>
      <c r="J8315" s="14">
        <v>0.0</v>
      </c>
      <c r="K8315" s="14" t="s">
        <v>6012</v>
      </c>
      <c r="L8315" s="14">
        <v>0.0</v>
      </c>
    </row>
    <row r="8316">
      <c r="A8316" s="14">
        <v>227.0</v>
      </c>
      <c r="B8316" s="14">
        <v>1.0</v>
      </c>
      <c r="C8316" s="34">
        <v>26.04</v>
      </c>
      <c r="D8316" s="36">
        <v>45972.0</v>
      </c>
      <c r="E8316" s="24"/>
      <c r="F8316" s="14">
        <v>26.04</v>
      </c>
      <c r="G8316" s="14">
        <v>114.71</v>
      </c>
      <c r="H8316" s="14">
        <v>0.44</v>
      </c>
      <c r="I8316" s="14" t="s">
        <v>6109</v>
      </c>
      <c r="J8316" s="14">
        <v>0.0</v>
      </c>
      <c r="K8316" s="14" t="s">
        <v>6012</v>
      </c>
      <c r="L8316" s="14">
        <v>0.0</v>
      </c>
    </row>
    <row r="8317">
      <c r="A8317" s="14">
        <v>273.0</v>
      </c>
      <c r="B8317" s="14">
        <v>6.0</v>
      </c>
      <c r="C8317" s="34">
        <v>24.52</v>
      </c>
      <c r="D8317" s="36">
        <v>45972.0</v>
      </c>
      <c r="E8317" s="24"/>
      <c r="F8317" s="14">
        <v>4.09</v>
      </c>
      <c r="G8317" s="14">
        <v>89.82</v>
      </c>
      <c r="H8317" s="14">
        <v>2.2</v>
      </c>
      <c r="I8317" s="14" t="s">
        <v>6108</v>
      </c>
      <c r="J8317" s="14">
        <v>0.0</v>
      </c>
      <c r="K8317" s="14" t="s">
        <v>6012</v>
      </c>
      <c r="L8317" s="14">
        <v>0.0</v>
      </c>
    </row>
    <row r="8318">
      <c r="A8318" s="14">
        <v>239.0</v>
      </c>
      <c r="B8318" s="14">
        <v>1.0</v>
      </c>
      <c r="C8318" s="34">
        <v>24.16</v>
      </c>
      <c r="D8318" s="36">
        <v>45973.0</v>
      </c>
      <c r="E8318" s="24"/>
      <c r="F8318" s="14">
        <v>24.16</v>
      </c>
      <c r="G8318" s="14">
        <v>101.09</v>
      </c>
      <c r="H8318" s="14">
        <v>0.42</v>
      </c>
      <c r="I8318" s="14" t="s">
        <v>6109</v>
      </c>
      <c r="J8318" s="14">
        <v>0.0</v>
      </c>
      <c r="K8318" s="14" t="s">
        <v>6012</v>
      </c>
      <c r="L8318" s="14">
        <v>0.0</v>
      </c>
    </row>
    <row r="8319">
      <c r="A8319" s="14">
        <v>352.0</v>
      </c>
      <c r="B8319" s="14">
        <v>10.0</v>
      </c>
      <c r="C8319" s="34">
        <v>24.6</v>
      </c>
      <c r="D8319" s="36">
        <v>45973.0</v>
      </c>
      <c r="E8319" s="24"/>
      <c r="F8319" s="14">
        <v>2.46</v>
      </c>
      <c r="G8319" s="14">
        <v>69.89</v>
      </c>
      <c r="H8319" s="14">
        <v>2.84</v>
      </c>
      <c r="I8319" s="14" t="s">
        <v>6108</v>
      </c>
      <c r="J8319" s="14">
        <v>0.0</v>
      </c>
      <c r="K8319" s="14" t="s">
        <v>6012</v>
      </c>
      <c r="L8319" s="14">
        <v>0.0</v>
      </c>
    </row>
    <row r="8320">
      <c r="A8320" s="14">
        <v>208.0</v>
      </c>
      <c r="B8320" s="14">
        <v>1.0</v>
      </c>
      <c r="C8320" s="34">
        <v>23.39</v>
      </c>
      <c r="D8320" s="36">
        <v>45974.0</v>
      </c>
      <c r="E8320" s="24"/>
      <c r="F8320" s="14">
        <v>23.39</v>
      </c>
      <c r="G8320" s="14">
        <v>112.45</v>
      </c>
      <c r="H8320" s="14">
        <v>0.48</v>
      </c>
      <c r="I8320" s="14" t="s">
        <v>6109</v>
      </c>
      <c r="J8320" s="14">
        <v>0.0</v>
      </c>
      <c r="K8320" s="14" t="s">
        <v>6012</v>
      </c>
      <c r="L8320" s="14">
        <v>0.0</v>
      </c>
    </row>
    <row r="8321">
      <c r="A8321" s="14">
        <v>344.0</v>
      </c>
      <c r="B8321" s="14">
        <v>9.0</v>
      </c>
      <c r="C8321" s="34">
        <v>24.2</v>
      </c>
      <c r="D8321" s="36">
        <v>45974.0</v>
      </c>
      <c r="E8321" s="24"/>
      <c r="F8321" s="14">
        <v>2.69</v>
      </c>
      <c r="G8321" s="14">
        <v>70.35</v>
      </c>
      <c r="H8321" s="14">
        <v>2.62</v>
      </c>
      <c r="I8321" s="14" t="s">
        <v>6108</v>
      </c>
      <c r="J8321" s="14">
        <v>0.0</v>
      </c>
      <c r="K8321" s="14" t="s">
        <v>6012</v>
      </c>
      <c r="L8321" s="14">
        <v>0.0</v>
      </c>
    </row>
    <row r="8322">
      <c r="A8322" s="14">
        <v>226.0</v>
      </c>
      <c r="B8322" s="14">
        <v>2.0</v>
      </c>
      <c r="C8322" s="34">
        <v>22.33</v>
      </c>
      <c r="D8322" s="36">
        <v>45975.0</v>
      </c>
      <c r="E8322" s="24"/>
      <c r="F8322" s="14">
        <v>11.16</v>
      </c>
      <c r="G8322" s="14">
        <v>98.81</v>
      </c>
      <c r="H8322" s="14">
        <v>0.88</v>
      </c>
      <c r="I8322" s="14" t="s">
        <v>6108</v>
      </c>
      <c r="J8322" s="14">
        <v>0.0</v>
      </c>
      <c r="K8322" s="14" t="s">
        <v>6012</v>
      </c>
      <c r="L8322" s="14">
        <v>0.0</v>
      </c>
    </row>
    <row r="8323">
      <c r="A8323" s="14">
        <v>262.0</v>
      </c>
      <c r="B8323" s="14">
        <v>2.0</v>
      </c>
      <c r="C8323" s="34">
        <v>23.74</v>
      </c>
      <c r="D8323" s="36">
        <v>45975.0</v>
      </c>
      <c r="E8323" s="24"/>
      <c r="F8323" s="14">
        <v>11.87</v>
      </c>
      <c r="G8323" s="14">
        <v>90.61</v>
      </c>
      <c r="H8323" s="14">
        <v>0.76</v>
      </c>
      <c r="I8323" s="14" t="s">
        <v>6109</v>
      </c>
      <c r="J8323" s="14">
        <v>0.0</v>
      </c>
      <c r="K8323" s="14" t="s">
        <v>6012</v>
      </c>
      <c r="L8323" s="14">
        <v>0.0</v>
      </c>
    </row>
    <row r="8324">
      <c r="A8324" s="14">
        <v>105.0</v>
      </c>
      <c r="B8324" s="14">
        <v>0.0</v>
      </c>
      <c r="C8324" s="34">
        <v>10.79</v>
      </c>
      <c r="D8324" s="36">
        <v>45976.0</v>
      </c>
      <c r="E8324" s="24"/>
      <c r="F8324" s="14" t="s">
        <v>6012</v>
      </c>
      <c r="G8324" s="14">
        <v>102.76</v>
      </c>
      <c r="H8324" s="14">
        <v>0.0</v>
      </c>
      <c r="I8324" s="14" t="s">
        <v>6109</v>
      </c>
      <c r="J8324" s="14" t="s">
        <v>6012</v>
      </c>
      <c r="K8324" s="14" t="s">
        <v>6012</v>
      </c>
      <c r="L8324" s="14">
        <v>0.0</v>
      </c>
    </row>
    <row r="8325">
      <c r="A8325" s="14">
        <v>144.0</v>
      </c>
      <c r="B8325" s="14">
        <v>5.0</v>
      </c>
      <c r="C8325" s="34">
        <v>12.02</v>
      </c>
      <c r="D8325" s="36">
        <v>45976.0</v>
      </c>
      <c r="E8325" s="24"/>
      <c r="F8325" s="14">
        <v>2.4</v>
      </c>
      <c r="G8325" s="14">
        <v>83.47</v>
      </c>
      <c r="H8325" s="14">
        <v>3.47</v>
      </c>
      <c r="I8325" s="14" t="s">
        <v>6108</v>
      </c>
      <c r="J8325" s="14">
        <v>0.0</v>
      </c>
      <c r="K8325" s="14" t="s">
        <v>6012</v>
      </c>
      <c r="L8325" s="14">
        <v>0.0</v>
      </c>
    </row>
    <row r="8326">
      <c r="A8326" s="14">
        <v>86.0</v>
      </c>
      <c r="B8326" s="14">
        <v>1.0</v>
      </c>
      <c r="C8326" s="34">
        <v>8.84</v>
      </c>
      <c r="D8326" s="36">
        <v>45977.0</v>
      </c>
      <c r="E8326" s="24"/>
      <c r="F8326" s="14">
        <v>8.84</v>
      </c>
      <c r="G8326" s="14">
        <v>102.79</v>
      </c>
      <c r="H8326" s="14">
        <v>1.16</v>
      </c>
      <c r="I8326" s="14" t="s">
        <v>6109</v>
      </c>
      <c r="J8326" s="14">
        <v>0.0</v>
      </c>
      <c r="K8326" s="14" t="s">
        <v>6012</v>
      </c>
      <c r="L8326" s="14">
        <v>0.0</v>
      </c>
    </row>
    <row r="8327">
      <c r="A8327" s="14">
        <v>102.0</v>
      </c>
      <c r="B8327" s="14">
        <v>2.0</v>
      </c>
      <c r="C8327" s="34">
        <v>9.5</v>
      </c>
      <c r="D8327" s="36">
        <v>45977.0</v>
      </c>
      <c r="E8327" s="24"/>
      <c r="F8327" s="14">
        <v>4.75</v>
      </c>
      <c r="G8327" s="14">
        <v>93.14</v>
      </c>
      <c r="H8327" s="14">
        <v>1.96</v>
      </c>
      <c r="I8327" s="14" t="s">
        <v>6108</v>
      </c>
      <c r="J8327" s="14">
        <v>0.0</v>
      </c>
      <c r="K8327" s="14" t="s">
        <v>6012</v>
      </c>
      <c r="L8327" s="14">
        <v>0.0</v>
      </c>
    </row>
    <row r="8328">
      <c r="A8328" s="14">
        <v>203.0</v>
      </c>
      <c r="B8328" s="14">
        <v>3.0</v>
      </c>
      <c r="C8328" s="34">
        <v>23.87</v>
      </c>
      <c r="D8328" s="36">
        <v>45978.0</v>
      </c>
      <c r="E8328" s="24"/>
      <c r="F8328" s="14">
        <v>7.96</v>
      </c>
      <c r="G8328" s="14">
        <v>117.59</v>
      </c>
      <c r="H8328" s="14">
        <v>1.48</v>
      </c>
      <c r="I8328" s="14" t="s">
        <v>6108</v>
      </c>
      <c r="J8328" s="14">
        <v>0.0</v>
      </c>
      <c r="K8328" s="14" t="s">
        <v>6012</v>
      </c>
      <c r="L8328" s="14">
        <v>0.0</v>
      </c>
    </row>
    <row r="8329">
      <c r="A8329" s="14">
        <v>177.0</v>
      </c>
      <c r="B8329" s="14">
        <v>1.0</v>
      </c>
      <c r="C8329" s="34">
        <v>23.2</v>
      </c>
      <c r="D8329" s="36">
        <v>45978.0</v>
      </c>
      <c r="E8329" s="24"/>
      <c r="F8329" s="14">
        <v>23.2</v>
      </c>
      <c r="G8329" s="14">
        <v>131.07</v>
      </c>
      <c r="H8329" s="14">
        <v>0.56</v>
      </c>
      <c r="I8329" s="14" t="s">
        <v>6109</v>
      </c>
      <c r="J8329" s="14">
        <v>0.0</v>
      </c>
      <c r="K8329" s="14" t="s">
        <v>6012</v>
      </c>
      <c r="L8329" s="14">
        <v>0.0</v>
      </c>
    </row>
    <row r="8330">
      <c r="A8330" s="14">
        <v>248.0</v>
      </c>
      <c r="B8330" s="14">
        <v>0.0</v>
      </c>
      <c r="C8330" s="34">
        <v>25.07</v>
      </c>
      <c r="D8330" s="36">
        <v>45979.0</v>
      </c>
      <c r="E8330" s="24"/>
      <c r="F8330" s="14" t="s">
        <v>6012</v>
      </c>
      <c r="G8330" s="14">
        <v>101.09</v>
      </c>
      <c r="H8330" s="14">
        <v>0.0</v>
      </c>
      <c r="I8330" s="14" t="s">
        <v>6109</v>
      </c>
      <c r="J8330" s="14" t="s">
        <v>6012</v>
      </c>
      <c r="K8330" s="14" t="s">
        <v>6012</v>
      </c>
      <c r="L8330" s="14">
        <v>0.0</v>
      </c>
    </row>
    <row r="8331">
      <c r="A8331" s="14">
        <v>222.0</v>
      </c>
      <c r="B8331" s="14">
        <v>1.0</v>
      </c>
      <c r="C8331" s="34">
        <v>24.76</v>
      </c>
      <c r="D8331" s="36">
        <v>45979.0</v>
      </c>
      <c r="E8331" s="24"/>
      <c r="F8331" s="14">
        <v>24.76</v>
      </c>
      <c r="G8331" s="14">
        <v>111.53</v>
      </c>
      <c r="H8331" s="14">
        <v>0.45</v>
      </c>
      <c r="I8331" s="14" t="s">
        <v>6108</v>
      </c>
      <c r="J8331" s="14">
        <v>0.0</v>
      </c>
      <c r="K8331" s="14" t="s">
        <v>6012</v>
      </c>
      <c r="L8331" s="14">
        <v>0.0</v>
      </c>
    </row>
    <row r="8332">
      <c r="A8332" s="14">
        <v>257.0</v>
      </c>
      <c r="B8332" s="14">
        <v>0.0</v>
      </c>
      <c r="C8332" s="34">
        <v>24.04</v>
      </c>
      <c r="D8332" s="36">
        <v>45980.0</v>
      </c>
      <c r="E8332" s="24"/>
      <c r="F8332" s="14" t="s">
        <v>6012</v>
      </c>
      <c r="G8332" s="14">
        <v>93.54</v>
      </c>
      <c r="H8332" s="14">
        <v>0.0</v>
      </c>
      <c r="I8332" s="14" t="s">
        <v>6109</v>
      </c>
      <c r="J8332" s="14" t="s">
        <v>6012</v>
      </c>
      <c r="K8332" s="14" t="s">
        <v>6012</v>
      </c>
      <c r="L8332" s="14">
        <v>0.0</v>
      </c>
    </row>
    <row r="8333">
      <c r="A8333" s="14">
        <v>305.0</v>
      </c>
      <c r="B8333" s="14">
        <v>10.0</v>
      </c>
      <c r="C8333" s="34">
        <v>24.11</v>
      </c>
      <c r="D8333" s="36">
        <v>45980.0</v>
      </c>
      <c r="E8333" s="24"/>
      <c r="F8333" s="14">
        <v>2.41</v>
      </c>
      <c r="G8333" s="14">
        <v>79.05</v>
      </c>
      <c r="H8333" s="14">
        <v>3.28</v>
      </c>
      <c r="I8333" s="14" t="s">
        <v>6108</v>
      </c>
      <c r="J8333" s="14">
        <v>0.0</v>
      </c>
      <c r="K8333" s="14" t="s">
        <v>6012</v>
      </c>
      <c r="L8333" s="14">
        <v>0.0</v>
      </c>
    </row>
    <row r="8334">
      <c r="A8334" s="14">
        <v>268.0</v>
      </c>
      <c r="B8334" s="14">
        <v>5.0</v>
      </c>
      <c r="C8334" s="34">
        <v>24.21</v>
      </c>
      <c r="D8334" s="36">
        <v>45981.0</v>
      </c>
      <c r="E8334" s="24"/>
      <c r="F8334" s="14">
        <v>4.84</v>
      </c>
      <c r="G8334" s="14">
        <v>90.34</v>
      </c>
      <c r="H8334" s="14">
        <v>1.87</v>
      </c>
      <c r="I8334" s="14" t="s">
        <v>6108</v>
      </c>
      <c r="J8334" s="14">
        <v>0.0</v>
      </c>
      <c r="K8334" s="14" t="s">
        <v>6012</v>
      </c>
      <c r="L8334" s="14">
        <v>0.0</v>
      </c>
    </row>
    <row r="8335">
      <c r="A8335" s="14">
        <v>171.0</v>
      </c>
      <c r="B8335" s="14">
        <v>0.0</v>
      </c>
      <c r="C8335" s="34">
        <v>25.02</v>
      </c>
      <c r="D8335" s="36">
        <v>45981.0</v>
      </c>
      <c r="E8335" s="24"/>
      <c r="F8335" s="14" t="s">
        <v>6012</v>
      </c>
      <c r="G8335" s="14">
        <v>146.32</v>
      </c>
      <c r="H8335" s="14">
        <v>0.0</v>
      </c>
      <c r="I8335" s="14" t="s">
        <v>6109</v>
      </c>
      <c r="J8335" s="14" t="s">
        <v>6012</v>
      </c>
      <c r="K8335" s="14" t="s">
        <v>6012</v>
      </c>
      <c r="L8335" s="14">
        <v>0.0</v>
      </c>
    </row>
    <row r="8336">
      <c r="A8336" s="14">
        <v>239.0</v>
      </c>
      <c r="B8336" s="14">
        <v>7.0</v>
      </c>
      <c r="C8336" s="34">
        <v>23.31</v>
      </c>
      <c r="D8336" s="36">
        <v>45982.0</v>
      </c>
      <c r="E8336" s="24"/>
      <c r="F8336" s="14">
        <v>3.33</v>
      </c>
      <c r="G8336" s="14">
        <v>97.53</v>
      </c>
      <c r="H8336" s="14">
        <v>2.93</v>
      </c>
      <c r="I8336" s="14" t="s">
        <v>6108</v>
      </c>
      <c r="J8336" s="14">
        <v>0.0</v>
      </c>
      <c r="K8336" s="14" t="s">
        <v>6012</v>
      </c>
      <c r="L8336" s="14">
        <v>0.0</v>
      </c>
    </row>
    <row r="8337">
      <c r="A8337" s="14">
        <v>155.0</v>
      </c>
      <c r="B8337" s="14">
        <v>0.0</v>
      </c>
      <c r="C8337" s="34">
        <v>22.48</v>
      </c>
      <c r="D8337" s="36">
        <v>45982.0</v>
      </c>
      <c r="E8337" s="24"/>
      <c r="F8337" s="14" t="s">
        <v>6012</v>
      </c>
      <c r="G8337" s="14">
        <v>145.03</v>
      </c>
      <c r="H8337" s="14">
        <v>0.0</v>
      </c>
      <c r="I8337" s="14" t="s">
        <v>6109</v>
      </c>
      <c r="J8337" s="14" t="s">
        <v>6012</v>
      </c>
      <c r="K8337" s="14" t="s">
        <v>6012</v>
      </c>
      <c r="L8337" s="14">
        <v>0.0</v>
      </c>
    </row>
    <row r="8338">
      <c r="A8338" s="14">
        <v>111.0</v>
      </c>
      <c r="B8338" s="14">
        <v>0.0</v>
      </c>
      <c r="C8338" s="34">
        <v>12.01</v>
      </c>
      <c r="D8338" s="36">
        <v>45983.0</v>
      </c>
      <c r="E8338" s="24"/>
      <c r="F8338" s="14" t="s">
        <v>6012</v>
      </c>
      <c r="G8338" s="14">
        <v>108.2</v>
      </c>
      <c r="H8338" s="14">
        <v>0.0</v>
      </c>
      <c r="I8338" s="14" t="s">
        <v>6109</v>
      </c>
      <c r="J8338" s="14" t="s">
        <v>6012</v>
      </c>
      <c r="K8338" s="14" t="s">
        <v>6012</v>
      </c>
      <c r="L8338" s="14">
        <v>0.0</v>
      </c>
    </row>
    <row r="8339">
      <c r="A8339" s="14">
        <v>138.0</v>
      </c>
      <c r="B8339" s="14">
        <v>3.0</v>
      </c>
      <c r="C8339" s="34">
        <v>11.36</v>
      </c>
      <c r="D8339" s="36">
        <v>45983.0</v>
      </c>
      <c r="E8339" s="24"/>
      <c r="F8339" s="14">
        <v>3.79</v>
      </c>
      <c r="G8339" s="14">
        <v>82.32</v>
      </c>
      <c r="H8339" s="14">
        <v>2.17</v>
      </c>
      <c r="I8339" s="14" t="s">
        <v>6108</v>
      </c>
      <c r="J8339" s="14">
        <v>0.0</v>
      </c>
      <c r="K8339" s="14" t="s">
        <v>6012</v>
      </c>
      <c r="L8339" s="14">
        <v>0.0</v>
      </c>
    </row>
    <row r="8340">
      <c r="A8340" s="14">
        <v>77.0</v>
      </c>
      <c r="B8340" s="14">
        <v>0.0</v>
      </c>
      <c r="C8340" s="34">
        <v>8.14</v>
      </c>
      <c r="D8340" s="36">
        <v>45984.0</v>
      </c>
      <c r="E8340" s="24"/>
      <c r="F8340" s="14" t="s">
        <v>6012</v>
      </c>
      <c r="G8340" s="14">
        <v>105.71</v>
      </c>
      <c r="H8340" s="14">
        <v>0.0</v>
      </c>
      <c r="I8340" s="14" t="s">
        <v>6109</v>
      </c>
      <c r="J8340" s="14" t="s">
        <v>6012</v>
      </c>
      <c r="K8340" s="14" t="s">
        <v>6012</v>
      </c>
      <c r="L8340" s="14">
        <v>0.0</v>
      </c>
    </row>
    <row r="8341">
      <c r="A8341" s="14">
        <v>100.0</v>
      </c>
      <c r="B8341" s="14">
        <v>3.0</v>
      </c>
      <c r="C8341" s="34">
        <v>8.38</v>
      </c>
      <c r="D8341" s="36">
        <v>45984.0</v>
      </c>
      <c r="E8341" s="24"/>
      <c r="F8341" s="14">
        <v>2.79</v>
      </c>
      <c r="G8341" s="14">
        <v>83.8</v>
      </c>
      <c r="H8341" s="14">
        <v>3.0</v>
      </c>
      <c r="I8341" s="14" t="s">
        <v>6108</v>
      </c>
      <c r="J8341" s="14">
        <v>0.0</v>
      </c>
      <c r="K8341" s="14" t="s">
        <v>6012</v>
      </c>
      <c r="L8341" s="14">
        <v>0.0</v>
      </c>
    </row>
    <row r="8342">
      <c r="A8342" s="14">
        <v>124.0</v>
      </c>
      <c r="B8342" s="14">
        <v>0.0</v>
      </c>
      <c r="C8342" s="34">
        <v>24.56</v>
      </c>
      <c r="D8342" s="36">
        <v>45985.0</v>
      </c>
      <c r="E8342" s="24"/>
      <c r="F8342" s="14" t="s">
        <v>6012</v>
      </c>
      <c r="G8342" s="14">
        <v>198.06</v>
      </c>
      <c r="H8342" s="14">
        <v>0.0</v>
      </c>
      <c r="I8342" s="14" t="s">
        <v>6109</v>
      </c>
      <c r="J8342" s="14" t="s">
        <v>6012</v>
      </c>
      <c r="K8342" s="14" t="s">
        <v>6012</v>
      </c>
      <c r="L8342" s="14">
        <v>0.0</v>
      </c>
    </row>
    <row r="8343">
      <c r="A8343" s="14">
        <v>222.0</v>
      </c>
      <c r="B8343" s="14">
        <v>6.0</v>
      </c>
      <c r="C8343" s="34">
        <v>23.94</v>
      </c>
      <c r="D8343" s="36">
        <v>45985.0</v>
      </c>
      <c r="E8343" s="24"/>
      <c r="F8343" s="14">
        <v>3.99</v>
      </c>
      <c r="G8343" s="14">
        <v>107.84</v>
      </c>
      <c r="H8343" s="14">
        <v>2.7</v>
      </c>
      <c r="I8343" s="14" t="s">
        <v>6108</v>
      </c>
      <c r="J8343" s="14">
        <v>0.0</v>
      </c>
      <c r="K8343" s="14" t="s">
        <v>6012</v>
      </c>
      <c r="L8343" s="14">
        <v>0.0</v>
      </c>
    </row>
    <row r="8344">
      <c r="A8344" s="14">
        <v>180.0</v>
      </c>
      <c r="B8344" s="14">
        <v>1.0</v>
      </c>
      <c r="C8344" s="34">
        <v>26.05</v>
      </c>
      <c r="D8344" s="36">
        <v>45986.0</v>
      </c>
      <c r="E8344" s="24"/>
      <c r="F8344" s="14">
        <v>26.05</v>
      </c>
      <c r="G8344" s="14">
        <v>144.72</v>
      </c>
      <c r="H8344" s="14">
        <v>0.56</v>
      </c>
      <c r="I8344" s="14" t="s">
        <v>6109</v>
      </c>
      <c r="J8344" s="14">
        <v>0.0</v>
      </c>
      <c r="K8344" s="14" t="s">
        <v>6012</v>
      </c>
      <c r="L8344" s="14">
        <v>0.0</v>
      </c>
    </row>
    <row r="8345">
      <c r="A8345" s="14">
        <v>194.0</v>
      </c>
      <c r="B8345" s="14">
        <v>4.0</v>
      </c>
      <c r="C8345" s="34">
        <v>26.84</v>
      </c>
      <c r="D8345" s="36">
        <v>45986.0</v>
      </c>
      <c r="E8345" s="24"/>
      <c r="F8345" s="14">
        <v>6.71</v>
      </c>
      <c r="G8345" s="14">
        <v>138.35</v>
      </c>
      <c r="H8345" s="14">
        <v>2.06</v>
      </c>
      <c r="I8345" s="14" t="s">
        <v>6108</v>
      </c>
      <c r="J8345" s="14">
        <v>0.0</v>
      </c>
      <c r="K8345" s="14" t="s">
        <v>6012</v>
      </c>
      <c r="L8345" s="14">
        <v>0.0</v>
      </c>
    </row>
    <row r="8346">
      <c r="A8346" s="14">
        <v>162.0</v>
      </c>
      <c r="B8346" s="14">
        <v>2.0</v>
      </c>
      <c r="C8346" s="34">
        <v>23.69</v>
      </c>
      <c r="D8346" s="36">
        <v>45987.0</v>
      </c>
      <c r="E8346" s="24"/>
      <c r="F8346" s="14">
        <v>11.84</v>
      </c>
      <c r="G8346" s="14">
        <v>146.23</v>
      </c>
      <c r="H8346" s="14">
        <v>1.23</v>
      </c>
      <c r="I8346" s="14" t="s">
        <v>6109</v>
      </c>
      <c r="J8346" s="14">
        <v>0.0</v>
      </c>
      <c r="K8346" s="14" t="s">
        <v>6012</v>
      </c>
      <c r="L8346" s="14">
        <v>0.0</v>
      </c>
    </row>
    <row r="8347">
      <c r="A8347" s="14">
        <v>210.0</v>
      </c>
      <c r="B8347" s="14">
        <v>2.0</v>
      </c>
      <c r="C8347" s="34">
        <v>25.53</v>
      </c>
      <c r="D8347" s="36">
        <v>45987.0</v>
      </c>
      <c r="E8347" s="24"/>
      <c r="F8347" s="14">
        <v>12.76</v>
      </c>
      <c r="G8347" s="14">
        <v>121.57</v>
      </c>
      <c r="H8347" s="14">
        <v>0.95</v>
      </c>
      <c r="I8347" s="14" t="s">
        <v>6108</v>
      </c>
      <c r="J8347" s="14">
        <v>0.0</v>
      </c>
      <c r="K8347" s="14" t="s">
        <v>6012</v>
      </c>
      <c r="L8347" s="14">
        <v>0.0</v>
      </c>
    </row>
    <row r="8348">
      <c r="A8348" s="14">
        <v>139.0</v>
      </c>
      <c r="B8348" s="14">
        <v>0.0</v>
      </c>
      <c r="C8348" s="34">
        <v>26.22</v>
      </c>
      <c r="D8348" s="36">
        <v>45988.0</v>
      </c>
      <c r="E8348" s="24"/>
      <c r="F8348" s="14" t="s">
        <v>6012</v>
      </c>
      <c r="G8348" s="14">
        <v>188.63</v>
      </c>
      <c r="H8348" s="14">
        <v>0.0</v>
      </c>
      <c r="I8348" s="14" t="s">
        <v>6109</v>
      </c>
      <c r="J8348" s="14" t="s">
        <v>6012</v>
      </c>
      <c r="K8348" s="14" t="s">
        <v>6012</v>
      </c>
      <c r="L8348" s="14">
        <v>0.0</v>
      </c>
    </row>
    <row r="8349">
      <c r="A8349" s="14">
        <v>184.0</v>
      </c>
      <c r="B8349" s="14">
        <v>5.0</v>
      </c>
      <c r="C8349" s="34">
        <v>22.79</v>
      </c>
      <c r="D8349" s="36">
        <v>45988.0</v>
      </c>
      <c r="E8349" s="24"/>
      <c r="F8349" s="14">
        <v>4.56</v>
      </c>
      <c r="G8349" s="14">
        <v>123.86</v>
      </c>
      <c r="H8349" s="14">
        <v>2.72</v>
      </c>
      <c r="I8349" s="14" t="s">
        <v>6108</v>
      </c>
      <c r="J8349" s="14">
        <v>0.0</v>
      </c>
      <c r="K8349" s="14" t="s">
        <v>6012</v>
      </c>
      <c r="L8349" s="14">
        <v>0.0</v>
      </c>
    </row>
    <row r="8350">
      <c r="A8350" s="14">
        <v>129.0</v>
      </c>
      <c r="B8350" s="14">
        <v>0.0</v>
      </c>
      <c r="C8350" s="34">
        <v>20.71</v>
      </c>
      <c r="D8350" s="36">
        <v>45989.0</v>
      </c>
      <c r="E8350" s="24"/>
      <c r="F8350" s="14" t="s">
        <v>6012</v>
      </c>
      <c r="G8350" s="14">
        <v>160.54</v>
      </c>
      <c r="H8350" s="14">
        <v>0.0</v>
      </c>
      <c r="I8350" s="14" t="s">
        <v>6109</v>
      </c>
      <c r="J8350" s="14" t="s">
        <v>6012</v>
      </c>
      <c r="K8350" s="14" t="s">
        <v>6012</v>
      </c>
      <c r="L8350" s="14">
        <v>0.0</v>
      </c>
    </row>
    <row r="8351">
      <c r="A8351" s="14">
        <v>111.0</v>
      </c>
      <c r="B8351" s="14">
        <v>1.0</v>
      </c>
      <c r="C8351" s="34">
        <v>22.11</v>
      </c>
      <c r="D8351" s="36">
        <v>45989.0</v>
      </c>
      <c r="E8351" s="24"/>
      <c r="F8351" s="14">
        <v>22.11</v>
      </c>
      <c r="G8351" s="14">
        <v>199.19</v>
      </c>
      <c r="H8351" s="14">
        <v>0.9</v>
      </c>
      <c r="I8351" s="14" t="s">
        <v>6108</v>
      </c>
      <c r="J8351" s="14">
        <v>0.0</v>
      </c>
      <c r="K8351" s="14" t="s">
        <v>6012</v>
      </c>
      <c r="L8351" s="14">
        <v>0.0</v>
      </c>
    </row>
    <row r="8352">
      <c r="A8352" s="14">
        <v>81.0</v>
      </c>
      <c r="B8352" s="14">
        <v>2.0</v>
      </c>
      <c r="C8352" s="34">
        <v>10.95</v>
      </c>
      <c r="D8352" s="36">
        <v>45990.0</v>
      </c>
      <c r="E8352" s="24"/>
      <c r="F8352" s="14">
        <v>5.48</v>
      </c>
      <c r="G8352" s="14">
        <v>135.19</v>
      </c>
      <c r="H8352" s="14">
        <v>2.47</v>
      </c>
      <c r="I8352" s="14" t="s">
        <v>6108</v>
      </c>
      <c r="J8352" s="14">
        <v>0.0</v>
      </c>
      <c r="K8352" s="14" t="s">
        <v>6012</v>
      </c>
      <c r="L8352" s="14">
        <v>0.0</v>
      </c>
    </row>
    <row r="8353">
      <c r="A8353" s="14">
        <v>74.0</v>
      </c>
      <c r="B8353" s="14">
        <v>1.0</v>
      </c>
      <c r="C8353" s="34">
        <v>12.22</v>
      </c>
      <c r="D8353" s="36">
        <v>45990.0</v>
      </c>
      <c r="E8353" s="24"/>
      <c r="F8353" s="14">
        <v>12.22</v>
      </c>
      <c r="G8353" s="14">
        <v>165.14</v>
      </c>
      <c r="H8353" s="14">
        <v>1.35</v>
      </c>
      <c r="I8353" s="14" t="s">
        <v>6109</v>
      </c>
      <c r="J8353" s="14">
        <v>0.0</v>
      </c>
      <c r="K8353" s="14" t="s">
        <v>6012</v>
      </c>
      <c r="L8353" s="14">
        <v>0.0</v>
      </c>
    </row>
    <row r="8354">
      <c r="A8354" s="14">
        <v>79.0</v>
      </c>
      <c r="B8354" s="14">
        <v>1.0</v>
      </c>
      <c r="C8354" s="34">
        <v>7.84</v>
      </c>
      <c r="D8354" s="36">
        <v>45991.0</v>
      </c>
      <c r="E8354" s="24"/>
      <c r="F8354" s="14">
        <v>7.84</v>
      </c>
      <c r="G8354" s="14">
        <v>99.24</v>
      </c>
      <c r="H8354" s="14">
        <v>1.27</v>
      </c>
      <c r="I8354" s="14" t="s">
        <v>6108</v>
      </c>
      <c r="J8354" s="14">
        <v>0.0</v>
      </c>
      <c r="K8354" s="14" t="s">
        <v>6012</v>
      </c>
      <c r="L8354" s="14">
        <v>0.0</v>
      </c>
    </row>
    <row r="8355">
      <c r="A8355" s="14">
        <v>50.0</v>
      </c>
      <c r="B8355" s="14">
        <v>0.0</v>
      </c>
      <c r="C8355" s="34">
        <v>6.55</v>
      </c>
      <c r="D8355" s="36">
        <v>45991.0</v>
      </c>
      <c r="E8355" s="24"/>
      <c r="F8355" s="14" t="s">
        <v>6012</v>
      </c>
      <c r="G8355" s="14">
        <v>131.0</v>
      </c>
      <c r="H8355" s="14">
        <v>0.0</v>
      </c>
      <c r="I8355" s="14" t="s">
        <v>6109</v>
      </c>
      <c r="J8355" s="14" t="s">
        <v>6012</v>
      </c>
      <c r="K8355" s="14" t="s">
        <v>6012</v>
      </c>
      <c r="L8355" s="14">
        <v>0.0</v>
      </c>
    </row>
    <row r="8356">
      <c r="A8356" s="14">
        <v>159.0</v>
      </c>
      <c r="B8356" s="14">
        <v>1.0</v>
      </c>
      <c r="C8356" s="34">
        <v>24.6</v>
      </c>
      <c r="D8356" s="36">
        <v>45992.0</v>
      </c>
      <c r="E8356" s="24"/>
      <c r="F8356" s="14">
        <v>24.6</v>
      </c>
      <c r="G8356" s="14">
        <v>154.72</v>
      </c>
      <c r="H8356" s="14">
        <v>0.63</v>
      </c>
      <c r="I8356" s="14" t="s">
        <v>6109</v>
      </c>
      <c r="J8356" s="14">
        <v>0.0</v>
      </c>
      <c r="K8356" s="14" t="s">
        <v>6012</v>
      </c>
      <c r="L8356" s="14">
        <v>0.0</v>
      </c>
    </row>
    <row r="8357">
      <c r="A8357" s="14">
        <v>180.0</v>
      </c>
      <c r="B8357" s="14">
        <v>5.0</v>
      </c>
      <c r="C8357" s="34">
        <v>23.1</v>
      </c>
      <c r="D8357" s="36">
        <v>45992.0</v>
      </c>
      <c r="E8357" s="24"/>
      <c r="F8357" s="14">
        <v>4.62</v>
      </c>
      <c r="G8357" s="14">
        <v>128.33</v>
      </c>
      <c r="H8357" s="14">
        <v>2.78</v>
      </c>
      <c r="I8357" s="14" t="s">
        <v>6108</v>
      </c>
      <c r="J8357" s="14">
        <v>0.0</v>
      </c>
      <c r="K8357" s="14" t="s">
        <v>6012</v>
      </c>
      <c r="L8357" s="14">
        <v>0.0</v>
      </c>
    </row>
    <row r="8358">
      <c r="A8358" s="14">
        <v>207.0</v>
      </c>
      <c r="B8358" s="14">
        <v>0.0</v>
      </c>
      <c r="C8358" s="34">
        <v>24.79</v>
      </c>
      <c r="D8358" s="36">
        <v>45993.0</v>
      </c>
      <c r="E8358" s="24"/>
      <c r="F8358" s="14" t="s">
        <v>6012</v>
      </c>
      <c r="G8358" s="14">
        <v>119.76</v>
      </c>
      <c r="H8358" s="14">
        <v>0.0</v>
      </c>
      <c r="I8358" s="14" t="s">
        <v>6109</v>
      </c>
      <c r="J8358" s="14" t="s">
        <v>6012</v>
      </c>
      <c r="K8358" s="14" t="s">
        <v>6012</v>
      </c>
      <c r="L8358" s="14">
        <v>0.0</v>
      </c>
    </row>
    <row r="8359">
      <c r="A8359" s="14">
        <v>244.0</v>
      </c>
      <c r="B8359" s="14">
        <v>2.0</v>
      </c>
      <c r="C8359" s="34">
        <v>26.62</v>
      </c>
      <c r="D8359" s="36">
        <v>45993.0</v>
      </c>
      <c r="E8359" s="24"/>
      <c r="F8359" s="14">
        <v>13.31</v>
      </c>
      <c r="G8359" s="14">
        <v>109.1</v>
      </c>
      <c r="H8359" s="14">
        <v>0.82</v>
      </c>
      <c r="I8359" s="14" t="s">
        <v>6108</v>
      </c>
      <c r="J8359" s="14">
        <v>0.0</v>
      </c>
      <c r="K8359" s="14" t="s">
        <v>6012</v>
      </c>
      <c r="L8359" s="14">
        <v>0.0</v>
      </c>
    </row>
    <row r="8360">
      <c r="A8360" s="14">
        <v>355.0</v>
      </c>
      <c r="B8360" s="14">
        <v>0.0</v>
      </c>
      <c r="C8360" s="34">
        <v>24.15</v>
      </c>
      <c r="D8360" s="36">
        <v>45994.0</v>
      </c>
      <c r="E8360" s="24"/>
      <c r="F8360" s="14" t="s">
        <v>6012</v>
      </c>
      <c r="G8360" s="14">
        <v>68.03</v>
      </c>
      <c r="H8360" s="14">
        <v>0.0</v>
      </c>
      <c r="I8360" s="14" t="s">
        <v>6109</v>
      </c>
      <c r="J8360" s="14" t="s">
        <v>6012</v>
      </c>
      <c r="K8360" s="14" t="s">
        <v>6012</v>
      </c>
      <c r="L8360" s="14">
        <v>0.0</v>
      </c>
    </row>
    <row r="8361">
      <c r="A8361" s="14">
        <v>224.0</v>
      </c>
      <c r="B8361" s="14">
        <v>6.0</v>
      </c>
      <c r="C8361" s="34">
        <v>24.2</v>
      </c>
      <c r="D8361" s="36">
        <v>45994.0</v>
      </c>
      <c r="E8361" s="24"/>
      <c r="F8361" s="14">
        <v>4.03</v>
      </c>
      <c r="G8361" s="14">
        <v>108.04</v>
      </c>
      <c r="H8361" s="14">
        <v>2.68</v>
      </c>
      <c r="I8361" s="14" t="s">
        <v>6108</v>
      </c>
      <c r="J8361" s="14">
        <v>0.0</v>
      </c>
      <c r="K8361" s="14" t="s">
        <v>6012</v>
      </c>
      <c r="L8361" s="14">
        <v>0.0</v>
      </c>
    </row>
    <row r="8362">
      <c r="A8362" s="14">
        <v>207.0</v>
      </c>
      <c r="B8362" s="14">
        <v>0.0</v>
      </c>
      <c r="C8362" s="34">
        <v>23.37</v>
      </c>
      <c r="D8362" s="36">
        <v>45995.0</v>
      </c>
      <c r="E8362" s="24"/>
      <c r="F8362" s="14" t="s">
        <v>6012</v>
      </c>
      <c r="G8362" s="14">
        <v>112.9</v>
      </c>
      <c r="H8362" s="14">
        <v>0.0</v>
      </c>
      <c r="I8362" s="14" t="s">
        <v>6109</v>
      </c>
      <c r="J8362" s="14" t="s">
        <v>6012</v>
      </c>
      <c r="K8362" s="14" t="s">
        <v>6012</v>
      </c>
      <c r="L8362" s="14">
        <v>0.0</v>
      </c>
    </row>
    <row r="8363">
      <c r="A8363" s="14">
        <v>255.0</v>
      </c>
      <c r="B8363" s="14">
        <v>6.0</v>
      </c>
      <c r="C8363" s="34">
        <v>22.65</v>
      </c>
      <c r="D8363" s="36">
        <v>45995.0</v>
      </c>
      <c r="E8363" s="24"/>
      <c r="F8363" s="14">
        <v>3.78</v>
      </c>
      <c r="G8363" s="14">
        <v>88.82</v>
      </c>
      <c r="H8363" s="14">
        <v>2.35</v>
      </c>
      <c r="I8363" s="14" t="s">
        <v>6108</v>
      </c>
      <c r="J8363" s="14">
        <v>0.0</v>
      </c>
      <c r="K8363" s="14" t="s">
        <v>6012</v>
      </c>
      <c r="L8363" s="14">
        <v>0.0</v>
      </c>
    </row>
    <row r="8364">
      <c r="A8364" s="14">
        <v>271.0</v>
      </c>
      <c r="B8364" s="14">
        <v>8.0</v>
      </c>
      <c r="C8364" s="34">
        <v>21.25</v>
      </c>
      <c r="D8364" s="36">
        <v>45996.0</v>
      </c>
      <c r="E8364" s="24"/>
      <c r="F8364" s="14">
        <v>2.66</v>
      </c>
      <c r="G8364" s="14">
        <v>78.41</v>
      </c>
      <c r="H8364" s="14">
        <v>2.95</v>
      </c>
      <c r="I8364" s="14" t="s">
        <v>6108</v>
      </c>
      <c r="J8364" s="14">
        <v>0.0</v>
      </c>
      <c r="K8364" s="14" t="s">
        <v>6012</v>
      </c>
      <c r="L8364" s="14">
        <v>0.0</v>
      </c>
    </row>
    <row r="8365">
      <c r="A8365" s="14">
        <v>208.0</v>
      </c>
      <c r="B8365" s="14">
        <v>0.0</v>
      </c>
      <c r="C8365" s="34">
        <v>21.33</v>
      </c>
      <c r="D8365" s="36">
        <v>45996.0</v>
      </c>
      <c r="E8365" s="24"/>
      <c r="F8365" s="14" t="s">
        <v>6012</v>
      </c>
      <c r="G8365" s="14">
        <v>102.55</v>
      </c>
      <c r="H8365" s="14">
        <v>0.0</v>
      </c>
      <c r="I8365" s="14" t="s">
        <v>6109</v>
      </c>
      <c r="J8365" s="14" t="s">
        <v>6012</v>
      </c>
      <c r="K8365" s="14" t="s">
        <v>6012</v>
      </c>
      <c r="L8365" s="14">
        <v>0.0</v>
      </c>
    </row>
    <row r="8366">
      <c r="A8366" s="14">
        <v>136.0</v>
      </c>
      <c r="B8366" s="14">
        <v>0.0</v>
      </c>
      <c r="C8366" s="34">
        <v>12.59</v>
      </c>
      <c r="D8366" s="36">
        <v>45997.0</v>
      </c>
      <c r="E8366" s="24"/>
      <c r="F8366" s="14" t="s">
        <v>6012</v>
      </c>
      <c r="G8366" s="14">
        <v>92.57</v>
      </c>
      <c r="H8366" s="14">
        <v>0.0</v>
      </c>
      <c r="I8366" s="14" t="s">
        <v>6109</v>
      </c>
      <c r="J8366" s="14" t="s">
        <v>6012</v>
      </c>
      <c r="K8366" s="14" t="s">
        <v>6012</v>
      </c>
      <c r="L8366" s="14">
        <v>0.0</v>
      </c>
    </row>
    <row r="8367">
      <c r="A8367" s="14">
        <v>102.0</v>
      </c>
      <c r="B8367" s="14">
        <v>2.0</v>
      </c>
      <c r="C8367" s="34">
        <v>13.3</v>
      </c>
      <c r="D8367" s="36">
        <v>45997.0</v>
      </c>
      <c r="E8367" s="24"/>
      <c r="F8367" s="14">
        <v>6.65</v>
      </c>
      <c r="G8367" s="14">
        <v>130.39</v>
      </c>
      <c r="H8367" s="14">
        <v>1.96</v>
      </c>
      <c r="I8367" s="14" t="s">
        <v>6108</v>
      </c>
      <c r="J8367" s="14">
        <v>0.0</v>
      </c>
      <c r="K8367" s="14" t="s">
        <v>6012</v>
      </c>
      <c r="L8367" s="14">
        <v>0.0</v>
      </c>
    </row>
    <row r="8368">
      <c r="A8368" s="14">
        <v>109.0</v>
      </c>
      <c r="B8368" s="14">
        <v>4.0</v>
      </c>
      <c r="C8368" s="34">
        <v>8.84</v>
      </c>
      <c r="D8368" s="36">
        <v>45998.0</v>
      </c>
      <c r="E8368" s="24"/>
      <c r="F8368" s="14">
        <v>2.21</v>
      </c>
      <c r="G8368" s="14">
        <v>81.1</v>
      </c>
      <c r="H8368" s="14">
        <v>3.67</v>
      </c>
      <c r="I8368" s="14" t="s">
        <v>6108</v>
      </c>
      <c r="J8368" s="14">
        <v>0.0</v>
      </c>
      <c r="K8368" s="14" t="s">
        <v>6012</v>
      </c>
      <c r="L8368" s="14">
        <v>0.0</v>
      </c>
    </row>
    <row r="8369">
      <c r="A8369" s="14">
        <v>110.0</v>
      </c>
      <c r="B8369" s="14">
        <v>0.0</v>
      </c>
      <c r="C8369" s="34">
        <v>9.17</v>
      </c>
      <c r="D8369" s="36">
        <v>45998.0</v>
      </c>
      <c r="E8369" s="24"/>
      <c r="F8369" s="14" t="s">
        <v>6012</v>
      </c>
      <c r="G8369" s="14">
        <v>83.36</v>
      </c>
      <c r="H8369" s="14">
        <v>0.0</v>
      </c>
      <c r="I8369" s="14" t="s">
        <v>6109</v>
      </c>
      <c r="J8369" s="14" t="s">
        <v>6012</v>
      </c>
      <c r="K8369" s="14" t="s">
        <v>6012</v>
      </c>
      <c r="L8369" s="14">
        <v>0.0</v>
      </c>
    </row>
    <row r="8370">
      <c r="A8370" s="14">
        <v>160.0</v>
      </c>
      <c r="B8370" s="14">
        <v>0.0</v>
      </c>
      <c r="C8370" s="34">
        <v>26.06</v>
      </c>
      <c r="D8370" s="36">
        <v>45999.0</v>
      </c>
      <c r="E8370" s="24"/>
      <c r="F8370" s="14" t="s">
        <v>6012</v>
      </c>
      <c r="G8370" s="14">
        <v>162.88</v>
      </c>
      <c r="H8370" s="14">
        <v>0.0</v>
      </c>
      <c r="I8370" s="14" t="s">
        <v>6109</v>
      </c>
      <c r="J8370" s="14" t="s">
        <v>6012</v>
      </c>
      <c r="K8370" s="14" t="s">
        <v>6012</v>
      </c>
      <c r="L8370" s="14">
        <v>0.0</v>
      </c>
    </row>
    <row r="8371">
      <c r="A8371" s="14">
        <v>195.0</v>
      </c>
      <c r="B8371" s="14">
        <v>4.0</v>
      </c>
      <c r="C8371" s="34">
        <v>23.24</v>
      </c>
      <c r="D8371" s="36">
        <v>45999.0</v>
      </c>
      <c r="E8371" s="24"/>
      <c r="F8371" s="14">
        <v>5.81</v>
      </c>
      <c r="G8371" s="14">
        <v>119.18</v>
      </c>
      <c r="H8371" s="14">
        <v>2.05</v>
      </c>
      <c r="I8371" s="14" t="s">
        <v>6108</v>
      </c>
      <c r="J8371" s="14">
        <v>0.0</v>
      </c>
      <c r="K8371" s="14" t="s">
        <v>6012</v>
      </c>
      <c r="L8371" s="14">
        <v>0.0</v>
      </c>
    </row>
    <row r="8372">
      <c r="A8372" s="14">
        <v>267.0</v>
      </c>
      <c r="B8372" s="14">
        <v>7.0</v>
      </c>
      <c r="C8372" s="34">
        <v>25.82</v>
      </c>
      <c r="D8372" s="36">
        <v>46000.0</v>
      </c>
      <c r="E8372" s="24"/>
      <c r="F8372" s="14">
        <v>3.69</v>
      </c>
      <c r="G8372" s="14">
        <v>96.7</v>
      </c>
      <c r="H8372" s="14">
        <v>2.62</v>
      </c>
      <c r="I8372" s="14" t="s">
        <v>6108</v>
      </c>
      <c r="J8372" s="14">
        <v>0.0</v>
      </c>
      <c r="K8372" s="14" t="s">
        <v>6012</v>
      </c>
      <c r="L8372" s="14">
        <v>0.0</v>
      </c>
    </row>
    <row r="8373">
      <c r="A8373" s="14">
        <v>225.0</v>
      </c>
      <c r="B8373" s="14">
        <v>0.0</v>
      </c>
      <c r="C8373" s="34">
        <v>25.3</v>
      </c>
      <c r="D8373" s="36">
        <v>46000.0</v>
      </c>
      <c r="E8373" s="24"/>
      <c r="F8373" s="14" t="s">
        <v>6012</v>
      </c>
      <c r="G8373" s="14">
        <v>112.44</v>
      </c>
      <c r="H8373" s="14">
        <v>0.0</v>
      </c>
      <c r="I8373" s="14" t="s">
        <v>6109</v>
      </c>
      <c r="J8373" s="14" t="s">
        <v>6012</v>
      </c>
      <c r="K8373" s="14" t="s">
        <v>6012</v>
      </c>
      <c r="L8373" s="14">
        <v>0.0</v>
      </c>
    </row>
    <row r="8374">
      <c r="A8374" s="14">
        <v>173.0</v>
      </c>
      <c r="B8374" s="14">
        <v>1.0</v>
      </c>
      <c r="C8374" s="34">
        <v>24.07</v>
      </c>
      <c r="D8374" s="36">
        <v>46001.0</v>
      </c>
      <c r="E8374" s="24"/>
      <c r="F8374" s="14">
        <v>24.07</v>
      </c>
      <c r="G8374" s="14">
        <v>139.13</v>
      </c>
      <c r="H8374" s="14">
        <v>0.58</v>
      </c>
      <c r="I8374" s="14" t="s">
        <v>6109</v>
      </c>
      <c r="J8374" s="14">
        <v>0.0</v>
      </c>
      <c r="K8374" s="14" t="s">
        <v>6012</v>
      </c>
      <c r="L8374" s="14">
        <v>0.0</v>
      </c>
    </row>
    <row r="8375">
      <c r="A8375" s="14">
        <v>285.0</v>
      </c>
      <c r="B8375" s="14">
        <v>9.0</v>
      </c>
      <c r="C8375" s="34">
        <v>24.15</v>
      </c>
      <c r="D8375" s="36">
        <v>46001.0</v>
      </c>
      <c r="E8375" s="24"/>
      <c r="F8375" s="14">
        <v>2.68</v>
      </c>
      <c r="G8375" s="14">
        <v>84.74</v>
      </c>
      <c r="H8375" s="14">
        <v>3.16</v>
      </c>
      <c r="I8375" s="14" t="s">
        <v>6108</v>
      </c>
      <c r="J8375" s="14">
        <v>0.0</v>
      </c>
      <c r="K8375" s="14" t="s">
        <v>6012</v>
      </c>
      <c r="L8375" s="14">
        <v>0.0</v>
      </c>
    </row>
    <row r="8376">
      <c r="A8376" s="14">
        <v>308.0</v>
      </c>
      <c r="B8376" s="14">
        <v>4.0</v>
      </c>
      <c r="C8376" s="34">
        <v>24.22</v>
      </c>
      <c r="D8376" s="36">
        <v>46002.0</v>
      </c>
      <c r="E8376" s="24"/>
      <c r="F8376" s="14">
        <v>6.06</v>
      </c>
      <c r="G8376" s="14">
        <v>78.64</v>
      </c>
      <c r="H8376" s="14">
        <v>1.3</v>
      </c>
      <c r="I8376" s="14" t="s">
        <v>6108</v>
      </c>
      <c r="J8376" s="14">
        <v>0.0</v>
      </c>
      <c r="K8376" s="14" t="s">
        <v>6012</v>
      </c>
      <c r="L8376" s="14">
        <v>0.0</v>
      </c>
    </row>
    <row r="8377">
      <c r="A8377" s="14">
        <v>264.0</v>
      </c>
      <c r="B8377" s="14">
        <v>0.0</v>
      </c>
      <c r="C8377" s="34">
        <v>22.86</v>
      </c>
      <c r="D8377" s="36">
        <v>46002.0</v>
      </c>
      <c r="E8377" s="24"/>
      <c r="F8377" s="14" t="s">
        <v>6012</v>
      </c>
      <c r="G8377" s="14">
        <v>86.59</v>
      </c>
      <c r="H8377" s="14">
        <v>0.0</v>
      </c>
      <c r="I8377" s="14" t="s">
        <v>6109</v>
      </c>
      <c r="J8377" s="14" t="s">
        <v>6012</v>
      </c>
      <c r="K8377" s="14" t="s">
        <v>6012</v>
      </c>
      <c r="L8377" s="14">
        <v>0.0</v>
      </c>
    </row>
    <row r="8378">
      <c r="A8378" s="14">
        <v>208.0</v>
      </c>
      <c r="B8378" s="14">
        <v>4.0</v>
      </c>
      <c r="C8378" s="34">
        <v>24.35</v>
      </c>
      <c r="D8378" s="36">
        <v>46003.0</v>
      </c>
      <c r="E8378" s="24"/>
      <c r="F8378" s="14">
        <v>6.09</v>
      </c>
      <c r="G8378" s="14">
        <v>117.07</v>
      </c>
      <c r="H8378" s="14">
        <v>1.92</v>
      </c>
      <c r="I8378" s="14" t="s">
        <v>6108</v>
      </c>
      <c r="J8378" s="14">
        <v>0.0</v>
      </c>
      <c r="K8378" s="14" t="s">
        <v>6012</v>
      </c>
      <c r="L8378" s="14">
        <v>0.0</v>
      </c>
    </row>
    <row r="8379">
      <c r="A8379" s="14">
        <v>230.0</v>
      </c>
      <c r="B8379" s="14">
        <v>1.0</v>
      </c>
      <c r="C8379" s="34">
        <v>24.94</v>
      </c>
      <c r="D8379" s="36">
        <v>46003.0</v>
      </c>
      <c r="E8379" s="24"/>
      <c r="F8379" s="14">
        <v>24.94</v>
      </c>
      <c r="G8379" s="14">
        <v>108.43</v>
      </c>
      <c r="H8379" s="14">
        <v>0.43</v>
      </c>
      <c r="I8379" s="14" t="s">
        <v>6109</v>
      </c>
      <c r="J8379" s="14">
        <v>0.0</v>
      </c>
      <c r="K8379" s="14" t="s">
        <v>6012</v>
      </c>
      <c r="L8379" s="14">
        <v>0.0</v>
      </c>
    </row>
    <row r="8380">
      <c r="A8380" s="14">
        <v>131.0</v>
      </c>
      <c r="B8380" s="14">
        <v>1.0</v>
      </c>
      <c r="C8380" s="34">
        <v>11.97</v>
      </c>
      <c r="D8380" s="36">
        <v>46004.0</v>
      </c>
      <c r="E8380" s="24"/>
      <c r="F8380" s="14">
        <v>11.97</v>
      </c>
      <c r="G8380" s="14">
        <v>91.37</v>
      </c>
      <c r="H8380" s="14">
        <v>0.76</v>
      </c>
      <c r="I8380" s="14" t="s">
        <v>6108</v>
      </c>
      <c r="J8380" s="14">
        <v>0.0</v>
      </c>
      <c r="K8380" s="14" t="s">
        <v>6012</v>
      </c>
      <c r="L8380" s="14">
        <v>0.0</v>
      </c>
    </row>
    <row r="8381">
      <c r="A8381" s="14">
        <v>135.0</v>
      </c>
      <c r="B8381" s="14">
        <v>0.0</v>
      </c>
      <c r="C8381" s="34">
        <v>13.42</v>
      </c>
      <c r="D8381" s="36">
        <v>46004.0</v>
      </c>
      <c r="E8381" s="24"/>
      <c r="F8381" s="14" t="s">
        <v>6012</v>
      </c>
      <c r="G8381" s="14">
        <v>99.41</v>
      </c>
      <c r="H8381" s="14">
        <v>0.0</v>
      </c>
      <c r="I8381" s="14" t="s">
        <v>6109</v>
      </c>
      <c r="J8381" s="14" t="s">
        <v>6012</v>
      </c>
      <c r="K8381" s="14" t="s">
        <v>6012</v>
      </c>
      <c r="L8381" s="14">
        <v>0.0</v>
      </c>
    </row>
    <row r="8382">
      <c r="A8382" s="14">
        <v>43.0</v>
      </c>
      <c r="B8382" s="14">
        <v>0.0</v>
      </c>
      <c r="C8382" s="34">
        <v>3.35</v>
      </c>
      <c r="D8382" s="36">
        <v>46005.0</v>
      </c>
      <c r="E8382" s="24"/>
      <c r="F8382" s="14" t="s">
        <v>6012</v>
      </c>
      <c r="G8382" s="14">
        <v>77.91</v>
      </c>
      <c r="H8382" s="14">
        <v>0.0</v>
      </c>
      <c r="I8382" s="14" t="s">
        <v>6109</v>
      </c>
      <c r="J8382" s="14" t="s">
        <v>6012</v>
      </c>
      <c r="K8382" s="14" t="s">
        <v>6012</v>
      </c>
      <c r="L8382" s="14">
        <v>0.0</v>
      </c>
    </row>
    <row r="8383">
      <c r="A8383" s="14">
        <v>96.0</v>
      </c>
      <c r="B8383" s="14">
        <v>2.0</v>
      </c>
      <c r="C8383" s="34">
        <v>6.25</v>
      </c>
      <c r="D8383" s="36">
        <v>46005.0</v>
      </c>
      <c r="E8383" s="24"/>
      <c r="F8383" s="14">
        <v>3.12</v>
      </c>
      <c r="G8383" s="14">
        <v>65.1</v>
      </c>
      <c r="H8383" s="14">
        <v>2.08</v>
      </c>
      <c r="I8383" s="14" t="s">
        <v>6108</v>
      </c>
      <c r="J8383" s="14">
        <v>0.0</v>
      </c>
      <c r="K8383" s="14" t="s">
        <v>6012</v>
      </c>
      <c r="L8383" s="14">
        <v>0.0</v>
      </c>
    </row>
    <row r="8384">
      <c r="A8384" s="14">
        <v>190.0</v>
      </c>
      <c r="B8384" s="14">
        <v>8.0</v>
      </c>
      <c r="C8384" s="34">
        <v>23.93</v>
      </c>
      <c r="D8384" s="36">
        <v>46006.0</v>
      </c>
      <c r="E8384" s="24"/>
      <c r="F8384" s="14">
        <v>2.99</v>
      </c>
      <c r="G8384" s="14">
        <v>125.95</v>
      </c>
      <c r="H8384" s="14">
        <v>4.21</v>
      </c>
      <c r="I8384" s="14" t="s">
        <v>6108</v>
      </c>
      <c r="J8384" s="14">
        <v>0.0</v>
      </c>
      <c r="K8384" s="14" t="s">
        <v>6012</v>
      </c>
      <c r="L8384" s="14">
        <v>0.0</v>
      </c>
    </row>
    <row r="8385">
      <c r="A8385" s="14">
        <v>283.0</v>
      </c>
      <c r="B8385" s="14">
        <v>1.0</v>
      </c>
      <c r="C8385" s="34">
        <v>24.28</v>
      </c>
      <c r="D8385" s="36">
        <v>46006.0</v>
      </c>
      <c r="E8385" s="24"/>
      <c r="F8385" s="14">
        <v>24.28</v>
      </c>
      <c r="G8385" s="14">
        <v>85.8</v>
      </c>
      <c r="H8385" s="14">
        <v>0.35</v>
      </c>
      <c r="I8385" s="14" t="s">
        <v>6109</v>
      </c>
      <c r="J8385" s="14">
        <v>0.0</v>
      </c>
      <c r="K8385" s="14" t="s">
        <v>6012</v>
      </c>
      <c r="L8385" s="14">
        <v>0.0</v>
      </c>
    </row>
    <row r="8386">
      <c r="A8386" s="14">
        <v>316.0</v>
      </c>
      <c r="B8386" s="14">
        <v>1.0</v>
      </c>
      <c r="C8386" s="34">
        <v>27.68</v>
      </c>
      <c r="D8386" s="36">
        <v>46007.0</v>
      </c>
      <c r="E8386" s="24"/>
      <c r="F8386" s="14">
        <v>27.68</v>
      </c>
      <c r="G8386" s="14">
        <v>87.59</v>
      </c>
      <c r="H8386" s="14">
        <v>0.32</v>
      </c>
      <c r="I8386" s="14" t="s">
        <v>6109</v>
      </c>
      <c r="J8386" s="14">
        <v>0.0</v>
      </c>
      <c r="K8386" s="14" t="s">
        <v>6012</v>
      </c>
      <c r="L8386" s="14">
        <v>0.0</v>
      </c>
    </row>
    <row r="8387">
      <c r="A8387" s="14">
        <v>314.0</v>
      </c>
      <c r="B8387" s="14">
        <v>5.0</v>
      </c>
      <c r="C8387" s="34">
        <v>25.35</v>
      </c>
      <c r="D8387" s="36">
        <v>46007.0</v>
      </c>
      <c r="E8387" s="24"/>
      <c r="F8387" s="14">
        <v>5.07</v>
      </c>
      <c r="G8387" s="14">
        <v>80.73</v>
      </c>
      <c r="H8387" s="14">
        <v>1.59</v>
      </c>
      <c r="I8387" s="14" t="s">
        <v>6108</v>
      </c>
      <c r="J8387" s="14">
        <v>0.0</v>
      </c>
      <c r="K8387" s="14" t="s">
        <v>6012</v>
      </c>
      <c r="L8387" s="14">
        <v>0.0</v>
      </c>
    </row>
    <row r="8388">
      <c r="A8388" s="14">
        <v>193.0</v>
      </c>
      <c r="B8388" s="14">
        <v>0.0</v>
      </c>
      <c r="C8388" s="34">
        <v>23.16</v>
      </c>
      <c r="D8388" s="36">
        <v>46008.0</v>
      </c>
      <c r="E8388" s="24"/>
      <c r="F8388" s="14" t="s">
        <v>6012</v>
      </c>
      <c r="G8388" s="14">
        <v>120.0</v>
      </c>
      <c r="H8388" s="14">
        <v>0.0</v>
      </c>
      <c r="I8388" s="14" t="s">
        <v>6109</v>
      </c>
      <c r="J8388" s="14" t="s">
        <v>6012</v>
      </c>
      <c r="K8388" s="14" t="s">
        <v>6012</v>
      </c>
      <c r="L8388" s="14">
        <v>0.0</v>
      </c>
    </row>
    <row r="8389">
      <c r="A8389" s="14">
        <v>243.0</v>
      </c>
      <c r="B8389" s="14">
        <v>5.0</v>
      </c>
      <c r="C8389" s="34">
        <v>23.96</v>
      </c>
      <c r="D8389" s="36">
        <v>46008.0</v>
      </c>
      <c r="E8389" s="24"/>
      <c r="F8389" s="14">
        <v>4.79</v>
      </c>
      <c r="G8389" s="14">
        <v>98.6</v>
      </c>
      <c r="H8389" s="14">
        <v>2.06</v>
      </c>
      <c r="I8389" s="14" t="s">
        <v>6108</v>
      </c>
      <c r="J8389" s="14">
        <v>0.0</v>
      </c>
      <c r="K8389" s="14" t="s">
        <v>6012</v>
      </c>
      <c r="L8389" s="14">
        <v>0.0</v>
      </c>
    </row>
    <row r="8390">
      <c r="A8390" s="14">
        <v>230.0</v>
      </c>
      <c r="B8390" s="14">
        <v>0.0</v>
      </c>
      <c r="C8390" s="34">
        <v>22.54</v>
      </c>
      <c r="D8390" s="36">
        <v>46009.0</v>
      </c>
      <c r="E8390" s="24"/>
      <c r="F8390" s="14" t="s">
        <v>6012</v>
      </c>
      <c r="G8390" s="14">
        <v>98.0</v>
      </c>
      <c r="H8390" s="14">
        <v>0.0</v>
      </c>
      <c r="I8390" s="14" t="s">
        <v>6109</v>
      </c>
      <c r="J8390" s="14" t="s">
        <v>6012</v>
      </c>
      <c r="K8390" s="14" t="s">
        <v>6012</v>
      </c>
      <c r="L8390" s="14">
        <v>0.0</v>
      </c>
    </row>
    <row r="8391">
      <c r="A8391" s="14">
        <v>236.0</v>
      </c>
      <c r="B8391" s="14">
        <v>8.0</v>
      </c>
      <c r="C8391" s="34">
        <v>22.58</v>
      </c>
      <c r="D8391" s="36">
        <v>46009.0</v>
      </c>
      <c r="E8391" s="24"/>
      <c r="F8391" s="14">
        <v>2.82</v>
      </c>
      <c r="G8391" s="14">
        <v>95.68</v>
      </c>
      <c r="H8391" s="14">
        <v>3.39</v>
      </c>
      <c r="I8391" s="14" t="s">
        <v>6108</v>
      </c>
      <c r="J8391" s="14">
        <v>0.0</v>
      </c>
      <c r="K8391" s="14" t="s">
        <v>6012</v>
      </c>
      <c r="L8391" s="14">
        <v>0.0</v>
      </c>
    </row>
    <row r="8392">
      <c r="A8392" s="14">
        <v>160.0</v>
      </c>
      <c r="B8392" s="14">
        <v>0.0</v>
      </c>
      <c r="C8392" s="34">
        <v>22.95</v>
      </c>
      <c r="D8392" s="36">
        <v>46010.0</v>
      </c>
      <c r="E8392" s="24"/>
      <c r="F8392" s="14" t="s">
        <v>6012</v>
      </c>
      <c r="G8392" s="14">
        <v>143.44</v>
      </c>
      <c r="H8392" s="14">
        <v>0.0</v>
      </c>
      <c r="I8392" s="14" t="s">
        <v>6109</v>
      </c>
      <c r="J8392" s="14" t="s">
        <v>6012</v>
      </c>
      <c r="K8392" s="14" t="s">
        <v>6012</v>
      </c>
      <c r="L8392" s="14">
        <v>0.0</v>
      </c>
    </row>
    <row r="8393">
      <c r="A8393" s="14">
        <v>242.0</v>
      </c>
      <c r="B8393" s="14">
        <v>9.0</v>
      </c>
      <c r="C8393" s="34">
        <v>22.57</v>
      </c>
      <c r="D8393" s="36">
        <v>46010.0</v>
      </c>
      <c r="E8393" s="24"/>
      <c r="F8393" s="14">
        <v>2.51</v>
      </c>
      <c r="G8393" s="14">
        <v>93.26</v>
      </c>
      <c r="H8393" s="14">
        <v>3.72</v>
      </c>
      <c r="I8393" s="14" t="s">
        <v>6108</v>
      </c>
      <c r="J8393" s="14">
        <v>0.0</v>
      </c>
      <c r="K8393" s="14" t="s">
        <v>6012</v>
      </c>
      <c r="L8393" s="14">
        <v>0.0</v>
      </c>
    </row>
    <row r="8394">
      <c r="A8394" s="14">
        <v>74.0</v>
      </c>
      <c r="B8394" s="14">
        <v>0.0</v>
      </c>
      <c r="C8394" s="34">
        <v>11.69</v>
      </c>
      <c r="D8394" s="36">
        <v>46011.0</v>
      </c>
      <c r="E8394" s="24"/>
      <c r="F8394" s="14" t="s">
        <v>6012</v>
      </c>
      <c r="G8394" s="14">
        <v>157.97</v>
      </c>
      <c r="H8394" s="14">
        <v>0.0</v>
      </c>
      <c r="I8394" s="14" t="s">
        <v>6109</v>
      </c>
      <c r="J8394" s="14" t="s">
        <v>6012</v>
      </c>
      <c r="K8394" s="14" t="s">
        <v>6012</v>
      </c>
      <c r="L8394" s="14">
        <v>0.0</v>
      </c>
    </row>
    <row r="8395">
      <c r="A8395" s="14">
        <v>124.0</v>
      </c>
      <c r="B8395" s="14">
        <v>4.0</v>
      </c>
      <c r="C8395" s="34">
        <v>14.39</v>
      </c>
      <c r="D8395" s="36">
        <v>46011.0</v>
      </c>
      <c r="E8395" s="24"/>
      <c r="F8395" s="14">
        <v>3.6</v>
      </c>
      <c r="G8395" s="14">
        <v>116.05</v>
      </c>
      <c r="H8395" s="14">
        <v>3.23</v>
      </c>
      <c r="I8395" s="14" t="s">
        <v>6108</v>
      </c>
      <c r="J8395" s="14">
        <v>0.0</v>
      </c>
      <c r="K8395" s="14" t="s">
        <v>6012</v>
      </c>
      <c r="L8395" s="14">
        <v>0.0</v>
      </c>
    </row>
    <row r="8396">
      <c r="A8396" s="14">
        <v>47.0</v>
      </c>
      <c r="B8396" s="14">
        <v>1.0</v>
      </c>
      <c r="C8396" s="34">
        <v>6.88</v>
      </c>
      <c r="D8396" s="36">
        <v>46012.0</v>
      </c>
      <c r="E8396" s="24"/>
      <c r="F8396" s="14">
        <v>6.88</v>
      </c>
      <c r="G8396" s="14">
        <v>146.38</v>
      </c>
      <c r="H8396" s="14">
        <v>2.13</v>
      </c>
      <c r="I8396" s="14" t="s">
        <v>6108</v>
      </c>
      <c r="J8396" s="14">
        <v>0.0</v>
      </c>
      <c r="K8396" s="14" t="s">
        <v>6012</v>
      </c>
      <c r="L8396" s="14">
        <v>0.0</v>
      </c>
    </row>
    <row r="8397">
      <c r="A8397" s="14">
        <v>61.0</v>
      </c>
      <c r="B8397" s="14">
        <v>0.0</v>
      </c>
      <c r="C8397" s="34">
        <v>7.7</v>
      </c>
      <c r="D8397" s="36">
        <v>46012.0</v>
      </c>
      <c r="E8397" s="24"/>
      <c r="F8397" s="14" t="s">
        <v>6012</v>
      </c>
      <c r="G8397" s="14">
        <v>126.23</v>
      </c>
      <c r="H8397" s="14">
        <v>0.0</v>
      </c>
      <c r="I8397" s="14" t="s">
        <v>6109</v>
      </c>
      <c r="J8397" s="14" t="s">
        <v>6012</v>
      </c>
      <c r="K8397" s="14" t="s">
        <v>6012</v>
      </c>
      <c r="L8397" s="14">
        <v>0.0</v>
      </c>
    </row>
    <row r="8398">
      <c r="A8398" s="14">
        <v>90.0</v>
      </c>
      <c r="B8398" s="14">
        <v>1.0</v>
      </c>
      <c r="C8398" s="34">
        <v>9.92</v>
      </c>
      <c r="D8398" s="36">
        <v>46013.0</v>
      </c>
      <c r="E8398" s="24"/>
      <c r="F8398" s="14">
        <v>9.92</v>
      </c>
      <c r="G8398" s="14">
        <v>110.22</v>
      </c>
      <c r="H8398" s="14">
        <v>1.11</v>
      </c>
      <c r="I8398" s="14" t="s">
        <v>6109</v>
      </c>
      <c r="J8398" s="14">
        <v>0.0</v>
      </c>
      <c r="K8398" s="14" t="s">
        <v>6012</v>
      </c>
      <c r="L8398" s="14">
        <v>0.0</v>
      </c>
    </row>
    <row r="8399">
      <c r="A8399" s="14">
        <v>240.0</v>
      </c>
      <c r="B8399" s="14">
        <v>5.0</v>
      </c>
      <c r="C8399" s="34">
        <v>24.51</v>
      </c>
      <c r="D8399" s="36">
        <v>46013.0</v>
      </c>
      <c r="E8399" s="24"/>
      <c r="F8399" s="14">
        <v>4.9</v>
      </c>
      <c r="G8399" s="14">
        <v>102.13</v>
      </c>
      <c r="H8399" s="14">
        <v>2.08</v>
      </c>
      <c r="I8399" s="14" t="s">
        <v>6108</v>
      </c>
      <c r="J8399" s="14">
        <v>0.0</v>
      </c>
      <c r="K8399" s="14" t="s">
        <v>6012</v>
      </c>
      <c r="L8399" s="14">
        <v>0.0</v>
      </c>
    </row>
    <row r="8400">
      <c r="A8400" s="14">
        <v>382.0</v>
      </c>
      <c r="B8400" s="14">
        <v>5.0</v>
      </c>
      <c r="C8400" s="34">
        <v>25.5</v>
      </c>
      <c r="D8400" s="36">
        <v>46014.0</v>
      </c>
      <c r="E8400" s="24"/>
      <c r="F8400" s="14">
        <v>5.1</v>
      </c>
      <c r="G8400" s="14">
        <v>66.75</v>
      </c>
      <c r="H8400" s="14">
        <v>1.31</v>
      </c>
      <c r="I8400" s="14" t="s">
        <v>6108</v>
      </c>
      <c r="J8400" s="14">
        <v>0.0</v>
      </c>
      <c r="K8400" s="14" t="s">
        <v>6012</v>
      </c>
      <c r="L8400" s="14">
        <v>0.0</v>
      </c>
    </row>
    <row r="8401">
      <c r="A8401" s="14">
        <v>148.0</v>
      </c>
      <c r="B8401" s="14">
        <v>5.0</v>
      </c>
      <c r="C8401" s="34">
        <v>10.51</v>
      </c>
      <c r="D8401" s="36">
        <v>46015.0</v>
      </c>
      <c r="E8401" s="24"/>
      <c r="F8401" s="14">
        <v>2.1</v>
      </c>
      <c r="G8401" s="14">
        <v>71.01</v>
      </c>
      <c r="H8401" s="14">
        <v>3.38</v>
      </c>
      <c r="I8401" s="14" t="s">
        <v>6108</v>
      </c>
      <c r="J8401" s="14">
        <v>0.0</v>
      </c>
      <c r="K8401" s="14" t="s">
        <v>6012</v>
      </c>
      <c r="L8401" s="14">
        <v>0.0</v>
      </c>
    </row>
    <row r="8402">
      <c r="A8402" s="14">
        <v>0.0</v>
      </c>
      <c r="B8402" s="14">
        <v>0.0</v>
      </c>
      <c r="C8402" s="34">
        <v>102.52</v>
      </c>
      <c r="D8402" s="36">
        <v>46076.0</v>
      </c>
      <c r="E8402" s="24"/>
      <c r="F8402" s="14" t="s">
        <v>6012</v>
      </c>
      <c r="G8402" s="14" t="s">
        <v>6012</v>
      </c>
      <c r="H8402" s="14" t="s">
        <v>6012</v>
      </c>
      <c r="I8402" s="14" t="s">
        <v>6110</v>
      </c>
      <c r="J8402" s="14" t="s">
        <v>6012</v>
      </c>
      <c r="K8402" s="14" t="s">
        <v>6012</v>
      </c>
      <c r="L8402" s="14">
        <v>0.0</v>
      </c>
    </row>
    <row r="8403">
      <c r="A8403" s="14">
        <v>391.0</v>
      </c>
      <c r="B8403" s="14">
        <v>15.0</v>
      </c>
      <c r="C8403" s="34">
        <v>46.43</v>
      </c>
      <c r="D8403" s="36">
        <v>46076.0</v>
      </c>
      <c r="E8403" s="24"/>
      <c r="F8403" s="14">
        <v>3.1</v>
      </c>
      <c r="G8403" s="14">
        <v>118.75</v>
      </c>
      <c r="H8403" s="14">
        <v>3.84</v>
      </c>
      <c r="I8403" s="14" t="s">
        <v>6111</v>
      </c>
      <c r="J8403" s="14">
        <v>0.0</v>
      </c>
      <c r="K8403" s="14" t="s">
        <v>6012</v>
      </c>
      <c r="L8403" s="14">
        <v>0.0</v>
      </c>
    </row>
    <row r="8404">
      <c r="A8404" s="14">
        <v>138.0</v>
      </c>
      <c r="B8404" s="14">
        <v>11.0</v>
      </c>
      <c r="C8404" s="34">
        <v>34.97</v>
      </c>
      <c r="D8404" s="36">
        <v>46077.0</v>
      </c>
      <c r="E8404" s="24"/>
      <c r="F8404" s="14">
        <v>3.18</v>
      </c>
      <c r="G8404" s="14">
        <v>253.41</v>
      </c>
      <c r="H8404" s="14">
        <v>7.97</v>
      </c>
      <c r="I8404" s="14" t="s">
        <v>6112</v>
      </c>
      <c r="J8404" s="14">
        <v>0.0</v>
      </c>
      <c r="K8404" s="14" t="s">
        <v>6012</v>
      </c>
      <c r="L8404" s="14">
        <v>0.0</v>
      </c>
    </row>
    <row r="8405">
      <c r="A8405" s="14">
        <v>0.0</v>
      </c>
      <c r="B8405" s="14">
        <v>0.0</v>
      </c>
      <c r="C8405" s="34">
        <v>86.24</v>
      </c>
      <c r="D8405" s="36">
        <v>46077.0</v>
      </c>
      <c r="E8405" s="24"/>
      <c r="F8405" s="14" t="s">
        <v>6012</v>
      </c>
      <c r="G8405" s="14" t="s">
        <v>6012</v>
      </c>
      <c r="H8405" s="14" t="s">
        <v>6012</v>
      </c>
      <c r="I8405" s="14" t="s">
        <v>6110</v>
      </c>
      <c r="J8405" s="14" t="s">
        <v>6012</v>
      </c>
      <c r="K8405" s="14" t="s">
        <v>6012</v>
      </c>
      <c r="L8405" s="14">
        <v>0.0</v>
      </c>
    </row>
    <row r="8406">
      <c r="A8406" s="14">
        <v>376.0</v>
      </c>
      <c r="B8406" s="14">
        <v>20.0</v>
      </c>
      <c r="C8406" s="34">
        <v>54.65</v>
      </c>
      <c r="D8406" s="36">
        <v>46077.0</v>
      </c>
      <c r="E8406" s="24"/>
      <c r="F8406" s="14">
        <v>2.73</v>
      </c>
      <c r="G8406" s="14">
        <v>145.35</v>
      </c>
      <c r="H8406" s="14">
        <v>5.32</v>
      </c>
      <c r="I8406" s="14" t="s">
        <v>6111</v>
      </c>
      <c r="J8406" s="14">
        <v>0.0</v>
      </c>
      <c r="K8406" s="14" t="s">
        <v>6012</v>
      </c>
      <c r="L8406" s="14">
        <v>0.0</v>
      </c>
    </row>
    <row r="8407">
      <c r="A8407" s="14">
        <v>98.0</v>
      </c>
      <c r="B8407" s="14">
        <v>8.0</v>
      </c>
      <c r="C8407" s="34">
        <v>23.84</v>
      </c>
      <c r="D8407" s="36">
        <v>46078.0</v>
      </c>
      <c r="E8407" s="24"/>
      <c r="F8407" s="14">
        <v>2.98</v>
      </c>
      <c r="G8407" s="14">
        <v>243.27</v>
      </c>
      <c r="H8407" s="14">
        <v>8.16</v>
      </c>
      <c r="I8407" s="14" t="s">
        <v>6112</v>
      </c>
      <c r="J8407" s="14">
        <v>0.0</v>
      </c>
      <c r="K8407" s="14" t="s">
        <v>6012</v>
      </c>
      <c r="L8407" s="14">
        <v>0.0</v>
      </c>
    </row>
    <row r="8408">
      <c r="A8408" s="14">
        <v>0.0</v>
      </c>
      <c r="B8408" s="14">
        <v>0.0</v>
      </c>
      <c r="C8408" s="34">
        <v>104.89</v>
      </c>
      <c r="D8408" s="36">
        <v>46078.0</v>
      </c>
      <c r="E8408" s="24"/>
      <c r="F8408" s="14" t="s">
        <v>6012</v>
      </c>
      <c r="G8408" s="14" t="s">
        <v>6012</v>
      </c>
      <c r="H8408" s="14" t="s">
        <v>6012</v>
      </c>
      <c r="I8408" s="14" t="s">
        <v>6110</v>
      </c>
      <c r="J8408" s="14" t="s">
        <v>6012</v>
      </c>
      <c r="K8408" s="14" t="s">
        <v>6012</v>
      </c>
      <c r="L8408" s="14">
        <v>0.0</v>
      </c>
    </row>
    <row r="8409">
      <c r="A8409" s="14">
        <v>629.0</v>
      </c>
      <c r="B8409" s="14">
        <v>26.0</v>
      </c>
      <c r="C8409" s="34">
        <v>64.35</v>
      </c>
      <c r="D8409" s="36">
        <v>46078.0</v>
      </c>
      <c r="E8409" s="24"/>
      <c r="F8409" s="14">
        <v>2.47</v>
      </c>
      <c r="G8409" s="14">
        <v>102.31</v>
      </c>
      <c r="H8409" s="14">
        <v>4.13</v>
      </c>
      <c r="I8409" s="14" t="s">
        <v>6111</v>
      </c>
      <c r="J8409" s="14">
        <v>0.0</v>
      </c>
      <c r="K8409" s="14" t="s">
        <v>6012</v>
      </c>
      <c r="L8409" s="14">
        <v>0.0</v>
      </c>
    </row>
    <row r="8410">
      <c r="A8410" s="14">
        <v>0.0</v>
      </c>
      <c r="B8410" s="14">
        <v>0.0</v>
      </c>
      <c r="C8410" s="34">
        <v>106.75</v>
      </c>
      <c r="D8410" s="36">
        <v>46079.0</v>
      </c>
      <c r="E8410" s="24"/>
      <c r="F8410" s="14" t="s">
        <v>6012</v>
      </c>
      <c r="G8410" s="14" t="s">
        <v>6012</v>
      </c>
      <c r="H8410" s="14" t="s">
        <v>6012</v>
      </c>
      <c r="I8410" s="14" t="s">
        <v>6110</v>
      </c>
      <c r="J8410" s="14" t="s">
        <v>6012</v>
      </c>
      <c r="K8410" s="14" t="s">
        <v>6012</v>
      </c>
      <c r="L8410" s="14">
        <v>1.0</v>
      </c>
    </row>
    <row r="8411">
      <c r="A8411" s="14">
        <v>613.0</v>
      </c>
      <c r="B8411" s="14">
        <v>28.0</v>
      </c>
      <c r="C8411" s="34">
        <v>59.85</v>
      </c>
      <c r="D8411" s="36">
        <v>46079.0</v>
      </c>
      <c r="E8411" s="24"/>
      <c r="F8411" s="14">
        <v>2.14</v>
      </c>
      <c r="G8411" s="14">
        <v>97.63</v>
      </c>
      <c r="H8411" s="14">
        <v>4.57</v>
      </c>
      <c r="I8411" s="14" t="s">
        <v>6111</v>
      </c>
      <c r="J8411" s="14">
        <v>3.57</v>
      </c>
      <c r="K8411" s="14">
        <v>59.85</v>
      </c>
      <c r="L8411" s="14">
        <v>0.0</v>
      </c>
    </row>
    <row r="8412">
      <c r="A8412" s="14">
        <v>448.0</v>
      </c>
      <c r="B8412" s="14">
        <v>12.0</v>
      </c>
      <c r="C8412" s="34">
        <v>33.49</v>
      </c>
      <c r="D8412" s="36">
        <v>46079.0</v>
      </c>
      <c r="E8412" s="24"/>
      <c r="F8412" s="14">
        <v>2.79</v>
      </c>
      <c r="G8412" s="14">
        <v>74.75</v>
      </c>
      <c r="H8412" s="14">
        <v>2.68</v>
      </c>
      <c r="I8412" s="14" t="s">
        <v>6112</v>
      </c>
      <c r="J8412" s="14">
        <v>8.33</v>
      </c>
      <c r="K8412" s="14">
        <v>33.49</v>
      </c>
      <c r="L8412" s="14">
        <v>0.0</v>
      </c>
    </row>
    <row r="8413">
      <c r="A8413" s="14">
        <v>1920.0</v>
      </c>
      <c r="B8413" s="14">
        <v>262.0</v>
      </c>
      <c r="C8413" s="34">
        <v>59.48</v>
      </c>
      <c r="D8413" s="36">
        <v>46080.0</v>
      </c>
      <c r="E8413" s="24"/>
      <c r="F8413" s="14">
        <v>0.23</v>
      </c>
      <c r="G8413" s="14">
        <v>30.98</v>
      </c>
      <c r="H8413" s="14">
        <v>13.65</v>
      </c>
      <c r="I8413" s="14" t="s">
        <v>6112</v>
      </c>
      <c r="J8413" s="14">
        <v>1.15</v>
      </c>
      <c r="K8413" s="14">
        <v>19.83</v>
      </c>
      <c r="L8413" s="14">
        <v>0.0</v>
      </c>
    </row>
    <row r="8414">
      <c r="A8414" s="14">
        <v>487.0</v>
      </c>
      <c r="B8414" s="14">
        <v>22.0</v>
      </c>
      <c r="C8414" s="34">
        <v>55.04</v>
      </c>
      <c r="D8414" s="36">
        <v>46080.0</v>
      </c>
      <c r="E8414" s="24"/>
      <c r="F8414" s="14">
        <v>2.5</v>
      </c>
      <c r="G8414" s="14">
        <v>113.02</v>
      </c>
      <c r="H8414" s="14">
        <v>4.52</v>
      </c>
      <c r="I8414" s="14" t="s">
        <v>6111</v>
      </c>
      <c r="J8414" s="14">
        <v>9.09</v>
      </c>
      <c r="K8414" s="14">
        <v>27.52</v>
      </c>
      <c r="L8414" s="14">
        <v>0.0</v>
      </c>
    </row>
    <row r="8415">
      <c r="A8415" s="14">
        <v>0.0</v>
      </c>
      <c r="B8415" s="14">
        <v>0.0</v>
      </c>
      <c r="C8415" s="34">
        <v>76.97</v>
      </c>
      <c r="D8415" s="36">
        <v>46080.0</v>
      </c>
      <c r="E8415" s="24"/>
      <c r="F8415" s="14" t="s">
        <v>6012</v>
      </c>
      <c r="G8415" s="14" t="s">
        <v>6012</v>
      </c>
      <c r="H8415" s="14" t="s">
        <v>6012</v>
      </c>
      <c r="I8415" s="14" t="s">
        <v>6110</v>
      </c>
      <c r="J8415" s="14" t="s">
        <v>6012</v>
      </c>
      <c r="K8415" s="14" t="s">
        <v>6012</v>
      </c>
      <c r="L8415" s="14">
        <v>0.0</v>
      </c>
    </row>
    <row r="8416">
      <c r="A8416" s="14">
        <v>447.0</v>
      </c>
      <c r="B8416" s="14">
        <v>20.0</v>
      </c>
      <c r="C8416" s="34">
        <v>39.2</v>
      </c>
      <c r="D8416" s="36">
        <v>46081.0</v>
      </c>
      <c r="E8416" s="24"/>
      <c r="F8416" s="14">
        <v>1.96</v>
      </c>
      <c r="G8416" s="14">
        <v>87.7</v>
      </c>
      <c r="H8416" s="14">
        <v>4.47</v>
      </c>
      <c r="I8416" s="14" t="s">
        <v>6111</v>
      </c>
      <c r="J8416" s="14">
        <v>10.0</v>
      </c>
      <c r="K8416" s="14">
        <v>19.6</v>
      </c>
      <c r="L8416" s="14">
        <v>0.0</v>
      </c>
    </row>
    <row r="8417">
      <c r="A8417" s="14">
        <v>416.0</v>
      </c>
      <c r="B8417" s="14">
        <v>52.0</v>
      </c>
      <c r="C8417" s="34">
        <v>45.23</v>
      </c>
      <c r="D8417" s="36">
        <v>46081.0</v>
      </c>
      <c r="E8417" s="24"/>
      <c r="F8417" s="14">
        <v>0.87</v>
      </c>
      <c r="G8417" s="14">
        <v>108.73</v>
      </c>
      <c r="H8417" s="14">
        <v>12.5</v>
      </c>
      <c r="I8417" s="14" t="s">
        <v>6112</v>
      </c>
      <c r="J8417" s="14">
        <v>0.0</v>
      </c>
      <c r="K8417" s="14" t="s">
        <v>6012</v>
      </c>
      <c r="L8417" s="14">
        <v>0.0</v>
      </c>
    </row>
    <row r="8418">
      <c r="A8418" s="14">
        <v>0.0</v>
      </c>
      <c r="B8418" s="14">
        <v>0.0</v>
      </c>
      <c r="C8418" s="34">
        <v>49.15</v>
      </c>
      <c r="D8418" s="36">
        <v>46081.0</v>
      </c>
      <c r="E8418" s="24"/>
      <c r="F8418" s="14" t="s">
        <v>6012</v>
      </c>
      <c r="G8418" s="14" t="s">
        <v>6012</v>
      </c>
      <c r="H8418" s="14" t="s">
        <v>6012</v>
      </c>
      <c r="I8418" s="14" t="s">
        <v>6110</v>
      </c>
      <c r="J8418" s="14" t="s">
        <v>6012</v>
      </c>
      <c r="K8418" s="14" t="s">
        <v>6012</v>
      </c>
      <c r="L8418" s="14">
        <v>0.0</v>
      </c>
    </row>
    <row r="8419">
      <c r="A8419" s="14">
        <v>485.0</v>
      </c>
      <c r="B8419" s="14">
        <v>61.0</v>
      </c>
      <c r="C8419" s="34">
        <v>70.79</v>
      </c>
      <c r="D8419" s="36">
        <v>46082.0</v>
      </c>
      <c r="E8419" s="24"/>
      <c r="F8419" s="14">
        <v>1.16</v>
      </c>
      <c r="G8419" s="14">
        <v>145.96</v>
      </c>
      <c r="H8419" s="14">
        <v>12.58</v>
      </c>
      <c r="I8419" s="14" t="s">
        <v>6112</v>
      </c>
      <c r="J8419" s="14">
        <v>1.64</v>
      </c>
      <c r="K8419" s="14">
        <v>70.79</v>
      </c>
      <c r="L8419" s="14">
        <v>0.0</v>
      </c>
    </row>
    <row r="8420">
      <c r="A8420" s="14">
        <v>0.0</v>
      </c>
      <c r="B8420" s="14">
        <v>0.0</v>
      </c>
      <c r="C8420" s="34">
        <v>47.53</v>
      </c>
      <c r="D8420" s="36">
        <v>46082.0</v>
      </c>
      <c r="E8420" s="24"/>
      <c r="F8420" s="14" t="s">
        <v>6012</v>
      </c>
      <c r="G8420" s="14" t="s">
        <v>6012</v>
      </c>
      <c r="H8420" s="14" t="s">
        <v>6012</v>
      </c>
      <c r="I8420" s="14" t="s">
        <v>6110</v>
      </c>
      <c r="J8420" s="14" t="s">
        <v>6012</v>
      </c>
      <c r="K8420" s="14" t="s">
        <v>6012</v>
      </c>
      <c r="L8420" s="14">
        <v>0.0</v>
      </c>
    </row>
    <row r="8421">
      <c r="A8421" s="14">
        <v>228.0</v>
      </c>
      <c r="B8421" s="14">
        <v>13.0</v>
      </c>
      <c r="C8421" s="34">
        <v>28.46</v>
      </c>
      <c r="D8421" s="36">
        <v>46082.0</v>
      </c>
      <c r="E8421" s="24"/>
      <c r="F8421" s="14">
        <v>2.19</v>
      </c>
      <c r="G8421" s="14">
        <v>124.82</v>
      </c>
      <c r="H8421" s="14">
        <v>5.7</v>
      </c>
      <c r="I8421" s="14" t="s">
        <v>6111</v>
      </c>
      <c r="J8421" s="14">
        <v>7.69</v>
      </c>
      <c r="K8421" s="14">
        <v>28.46</v>
      </c>
      <c r="L8421" s="14">
        <v>0.0</v>
      </c>
    </row>
    <row r="8422">
      <c r="A8422" s="14">
        <v>493.0</v>
      </c>
      <c r="B8422" s="14">
        <v>32.0</v>
      </c>
      <c r="C8422" s="34">
        <v>46.93</v>
      </c>
      <c r="D8422" s="36">
        <v>46083.0</v>
      </c>
      <c r="E8422" s="24"/>
      <c r="F8422" s="14">
        <v>1.47</v>
      </c>
      <c r="G8422" s="14">
        <v>95.19</v>
      </c>
      <c r="H8422" s="14">
        <v>6.49</v>
      </c>
      <c r="I8422" s="14" t="s">
        <v>6111</v>
      </c>
      <c r="J8422" s="14">
        <v>12.5</v>
      </c>
      <c r="K8422" s="14">
        <v>11.73</v>
      </c>
      <c r="L8422" s="14">
        <v>0.0</v>
      </c>
    </row>
    <row r="8423">
      <c r="A8423" s="14">
        <v>2083.0</v>
      </c>
      <c r="B8423" s="14">
        <v>192.0</v>
      </c>
      <c r="C8423" s="34">
        <v>41.22</v>
      </c>
      <c r="D8423" s="36">
        <v>46083.0</v>
      </c>
      <c r="E8423" s="24"/>
      <c r="F8423" s="14">
        <v>0.21</v>
      </c>
      <c r="G8423" s="14">
        <v>19.79</v>
      </c>
      <c r="H8423" s="14">
        <v>9.22</v>
      </c>
      <c r="I8423" s="14" t="s">
        <v>6112</v>
      </c>
      <c r="J8423" s="14">
        <v>4.17</v>
      </c>
      <c r="K8423" s="14">
        <v>5.15</v>
      </c>
      <c r="L8423" s="14">
        <v>0.0</v>
      </c>
    </row>
    <row r="8424">
      <c r="A8424" s="14">
        <v>0.0</v>
      </c>
      <c r="B8424" s="14">
        <v>0.0</v>
      </c>
      <c r="C8424" s="34">
        <v>103.93</v>
      </c>
      <c r="D8424" s="36">
        <v>46083.0</v>
      </c>
      <c r="E8424" s="24"/>
      <c r="F8424" s="14" t="s">
        <v>6012</v>
      </c>
      <c r="G8424" s="14" t="s">
        <v>6012</v>
      </c>
      <c r="H8424" s="14" t="s">
        <v>6012</v>
      </c>
      <c r="I8424" s="14" t="s">
        <v>6110</v>
      </c>
      <c r="J8424" s="14" t="s">
        <v>6012</v>
      </c>
      <c r="K8424" s="14">
        <v>103.93</v>
      </c>
      <c r="L8424" s="14">
        <v>0.0</v>
      </c>
    </row>
    <row r="8425">
      <c r="A8425" s="14">
        <v>763.0</v>
      </c>
      <c r="B8425" s="14">
        <v>43.0</v>
      </c>
      <c r="C8425" s="34">
        <v>57.61</v>
      </c>
      <c r="D8425" s="36">
        <v>46084.0</v>
      </c>
      <c r="E8425" s="24"/>
      <c r="F8425" s="14">
        <v>1.34</v>
      </c>
      <c r="G8425" s="14">
        <v>75.5</v>
      </c>
      <c r="H8425" s="14">
        <v>5.64</v>
      </c>
      <c r="I8425" s="14" t="s">
        <v>6111</v>
      </c>
      <c r="J8425" s="14">
        <v>2.33</v>
      </c>
      <c r="K8425" s="14">
        <v>57.61</v>
      </c>
      <c r="L8425" s="14">
        <v>0.0</v>
      </c>
    </row>
    <row r="8426">
      <c r="A8426" s="14">
        <v>1806.0</v>
      </c>
      <c r="B8426" s="14">
        <v>195.0</v>
      </c>
      <c r="C8426" s="34">
        <v>53.8</v>
      </c>
      <c r="D8426" s="36">
        <v>46084.0</v>
      </c>
      <c r="E8426" s="24"/>
      <c r="F8426" s="14">
        <v>0.28</v>
      </c>
      <c r="G8426" s="14">
        <v>29.79</v>
      </c>
      <c r="H8426" s="14">
        <v>10.8</v>
      </c>
      <c r="I8426" s="14" t="s">
        <v>6112</v>
      </c>
      <c r="J8426" s="14">
        <v>0.51</v>
      </c>
      <c r="K8426" s="14">
        <v>53.8</v>
      </c>
      <c r="L8426" s="14">
        <v>0.0</v>
      </c>
    </row>
    <row r="8427">
      <c r="A8427" s="14">
        <v>0.0</v>
      </c>
      <c r="B8427" s="14">
        <v>0.0</v>
      </c>
      <c r="C8427" s="34">
        <v>87.37</v>
      </c>
      <c r="D8427" s="36">
        <v>46084.0</v>
      </c>
      <c r="E8427" s="24"/>
      <c r="F8427" s="14" t="s">
        <v>6012</v>
      </c>
      <c r="G8427" s="14" t="s">
        <v>6012</v>
      </c>
      <c r="H8427" s="14" t="s">
        <v>6012</v>
      </c>
      <c r="I8427" s="14" t="s">
        <v>6110</v>
      </c>
      <c r="J8427" s="14" t="s">
        <v>6012</v>
      </c>
      <c r="K8427" s="14">
        <v>87.37</v>
      </c>
      <c r="L8427" s="14">
        <v>0.0</v>
      </c>
    </row>
    <row r="8428">
      <c r="A8428" s="14">
        <v>665.0</v>
      </c>
      <c r="B8428" s="14">
        <v>75.0</v>
      </c>
      <c r="C8428" s="34">
        <v>52.12</v>
      </c>
      <c r="D8428" s="36">
        <v>46085.0</v>
      </c>
      <c r="E8428" s="24"/>
      <c r="F8428" s="14">
        <v>0.69</v>
      </c>
      <c r="G8428" s="14">
        <v>78.38</v>
      </c>
      <c r="H8428" s="14">
        <v>11.28</v>
      </c>
      <c r="I8428" s="14" t="s">
        <v>6112</v>
      </c>
      <c r="J8428" s="14">
        <v>4.0</v>
      </c>
      <c r="K8428" s="14">
        <v>17.37</v>
      </c>
      <c r="L8428" s="14">
        <v>0.0</v>
      </c>
    </row>
    <row r="8429">
      <c r="A8429" s="14">
        <v>1073.0</v>
      </c>
      <c r="B8429" s="14">
        <v>45.0</v>
      </c>
      <c r="C8429" s="34">
        <v>57.75</v>
      </c>
      <c r="D8429" s="36">
        <v>46085.0</v>
      </c>
      <c r="E8429" s="24"/>
      <c r="F8429" s="14">
        <v>1.28</v>
      </c>
      <c r="G8429" s="14">
        <v>53.82</v>
      </c>
      <c r="H8429" s="14">
        <v>4.19</v>
      </c>
      <c r="I8429" s="14" t="s">
        <v>6111</v>
      </c>
      <c r="J8429" s="14">
        <v>4.44</v>
      </c>
      <c r="K8429" s="14">
        <v>28.88</v>
      </c>
      <c r="L8429" s="14">
        <v>0.0</v>
      </c>
    </row>
    <row r="8430">
      <c r="A8430" s="14">
        <v>0.0</v>
      </c>
      <c r="B8430" s="14">
        <v>0.0</v>
      </c>
      <c r="C8430" s="34">
        <v>107.53</v>
      </c>
      <c r="D8430" s="36">
        <v>46085.0</v>
      </c>
      <c r="E8430" s="24"/>
      <c r="F8430" s="14" t="s">
        <v>6012</v>
      </c>
      <c r="G8430" s="14" t="s">
        <v>6012</v>
      </c>
      <c r="H8430" s="14" t="s">
        <v>6012</v>
      </c>
      <c r="I8430" s="14" t="s">
        <v>6110</v>
      </c>
      <c r="J8430" s="14" t="s">
        <v>6012</v>
      </c>
      <c r="K8430" s="14" t="s">
        <v>6012</v>
      </c>
      <c r="L8430" s="14">
        <v>0.0</v>
      </c>
    </row>
    <row r="8431">
      <c r="A8431" s="14">
        <v>1446.0</v>
      </c>
      <c r="B8431" s="14">
        <v>144.0</v>
      </c>
      <c r="C8431" s="34">
        <v>50.53</v>
      </c>
      <c r="D8431" s="36">
        <v>46086.0</v>
      </c>
      <c r="E8431" s="24"/>
      <c r="F8431" s="14">
        <v>0.35</v>
      </c>
      <c r="G8431" s="14">
        <v>34.94</v>
      </c>
      <c r="H8431" s="14">
        <v>9.96</v>
      </c>
      <c r="I8431" s="14" t="s">
        <v>6112</v>
      </c>
      <c r="J8431" s="14">
        <v>2.78</v>
      </c>
      <c r="K8431" s="14">
        <v>12.63</v>
      </c>
      <c r="L8431" s="14">
        <v>0.0</v>
      </c>
    </row>
    <row r="8432">
      <c r="A8432" s="14">
        <v>0.0</v>
      </c>
      <c r="B8432" s="14">
        <v>0.0</v>
      </c>
      <c r="C8432" s="34">
        <v>11.36</v>
      </c>
      <c r="D8432" s="36">
        <v>46086.0</v>
      </c>
      <c r="E8432" s="24"/>
      <c r="F8432" s="14" t="s">
        <v>6012</v>
      </c>
      <c r="G8432" s="14" t="s">
        <v>6012</v>
      </c>
      <c r="H8432" s="14" t="s">
        <v>6012</v>
      </c>
      <c r="I8432" s="14" t="s">
        <v>6110</v>
      </c>
      <c r="J8432" s="14" t="s">
        <v>6012</v>
      </c>
      <c r="K8432" s="14" t="s">
        <v>6012</v>
      </c>
      <c r="L8432" s="14">
        <v>0.0</v>
      </c>
    </row>
    <row r="8433">
      <c r="A8433" s="14">
        <v>853.0</v>
      </c>
      <c r="B8433" s="14">
        <v>31.0</v>
      </c>
      <c r="C8433" s="34">
        <v>56.39</v>
      </c>
      <c r="D8433" s="36">
        <v>46086.0</v>
      </c>
      <c r="E8433" s="24"/>
      <c r="F8433" s="14">
        <v>1.82</v>
      </c>
      <c r="G8433" s="14">
        <v>66.11</v>
      </c>
      <c r="H8433" s="14">
        <v>3.63</v>
      </c>
      <c r="I8433" s="14" t="s">
        <v>6111</v>
      </c>
      <c r="J8433" s="14">
        <v>3.23</v>
      </c>
      <c r="K8433" s="14">
        <v>56.39</v>
      </c>
      <c r="L8433" s="14">
        <v>0.0</v>
      </c>
    </row>
    <row r="8434">
      <c r="A8434" s="14">
        <v>633.0</v>
      </c>
      <c r="B8434" s="14">
        <v>40.0</v>
      </c>
      <c r="C8434" s="34">
        <v>58.08</v>
      </c>
      <c r="D8434" s="36">
        <v>46087.0</v>
      </c>
      <c r="E8434" s="24"/>
      <c r="F8434" s="14">
        <v>1.45</v>
      </c>
      <c r="G8434" s="14">
        <v>91.75</v>
      </c>
      <c r="H8434" s="14">
        <v>6.32</v>
      </c>
      <c r="I8434" s="14" t="s">
        <v>6111</v>
      </c>
      <c r="J8434" s="14">
        <v>7.5</v>
      </c>
      <c r="K8434" s="14">
        <v>19.36</v>
      </c>
      <c r="L8434" s="14">
        <v>0.0</v>
      </c>
    </row>
    <row r="8435">
      <c r="A8435" s="14">
        <v>1371.0</v>
      </c>
      <c r="B8435" s="14">
        <v>104.0</v>
      </c>
      <c r="C8435" s="34">
        <v>54.87</v>
      </c>
      <c r="D8435" s="36">
        <v>46087.0</v>
      </c>
      <c r="E8435" s="24"/>
      <c r="F8435" s="14">
        <v>0.53</v>
      </c>
      <c r="G8435" s="14">
        <v>40.02</v>
      </c>
      <c r="H8435" s="14">
        <v>7.59</v>
      </c>
      <c r="I8435" s="14" t="s">
        <v>6112</v>
      </c>
      <c r="J8435" s="14">
        <v>3.85</v>
      </c>
      <c r="K8435" s="14">
        <v>13.72</v>
      </c>
      <c r="L8435" s="14">
        <v>0.0</v>
      </c>
    </row>
    <row r="8436">
      <c r="A8436" s="14">
        <v>0.0</v>
      </c>
      <c r="B8436" s="14">
        <v>0.0</v>
      </c>
      <c r="C8436" s="34">
        <v>0.0</v>
      </c>
      <c r="D8436" s="36">
        <v>46088.0</v>
      </c>
      <c r="E8436" s="24"/>
      <c r="F8436" s="14" t="s">
        <v>6012</v>
      </c>
      <c r="G8436" s="14" t="s">
        <v>6012</v>
      </c>
      <c r="H8436" s="14" t="s">
        <v>6012</v>
      </c>
      <c r="I8436" s="14" t="s">
        <v>6110</v>
      </c>
      <c r="J8436" s="14" t="s">
        <v>6012</v>
      </c>
      <c r="K8436" s="14">
        <v>0.0</v>
      </c>
      <c r="L8436" s="14">
        <v>1.0</v>
      </c>
    </row>
    <row r="8437">
      <c r="A8437" s="14">
        <v>1012.0</v>
      </c>
      <c r="B8437" s="14">
        <v>78.0</v>
      </c>
      <c r="C8437" s="34">
        <v>45.08</v>
      </c>
      <c r="D8437" s="36">
        <v>46088.0</v>
      </c>
      <c r="E8437" s="24"/>
      <c r="F8437" s="14">
        <v>0.58</v>
      </c>
      <c r="G8437" s="14">
        <v>44.55</v>
      </c>
      <c r="H8437" s="14">
        <v>7.71</v>
      </c>
      <c r="I8437" s="14" t="s">
        <v>6112</v>
      </c>
      <c r="J8437" s="14">
        <v>1.28</v>
      </c>
      <c r="K8437" s="14">
        <v>45.08</v>
      </c>
      <c r="L8437" s="14">
        <v>0.0</v>
      </c>
    </row>
    <row r="8438">
      <c r="A8438" s="14">
        <v>624.0</v>
      </c>
      <c r="B8438" s="14">
        <v>36.0</v>
      </c>
      <c r="C8438" s="34">
        <v>41.55</v>
      </c>
      <c r="D8438" s="36">
        <v>46088.0</v>
      </c>
      <c r="E8438" s="24"/>
      <c r="F8438" s="14">
        <v>1.15</v>
      </c>
      <c r="G8438" s="14">
        <v>66.59</v>
      </c>
      <c r="H8438" s="14">
        <v>5.77</v>
      </c>
      <c r="I8438" s="14" t="s">
        <v>6111</v>
      </c>
      <c r="J8438" s="14">
        <v>2.78</v>
      </c>
      <c r="K8438" s="14">
        <v>41.55</v>
      </c>
      <c r="L8438" s="14">
        <v>0.0</v>
      </c>
    </row>
    <row r="8439">
      <c r="A8439" s="14">
        <v>278.0</v>
      </c>
      <c r="B8439" s="14">
        <v>17.0</v>
      </c>
      <c r="C8439" s="34">
        <v>30.23</v>
      </c>
      <c r="D8439" s="36">
        <v>46089.0</v>
      </c>
      <c r="E8439" s="24"/>
      <c r="F8439" s="14">
        <v>1.78</v>
      </c>
      <c r="G8439" s="14">
        <v>108.74</v>
      </c>
      <c r="H8439" s="14">
        <v>6.12</v>
      </c>
      <c r="I8439" s="14" t="s">
        <v>6111</v>
      </c>
      <c r="J8439" s="14">
        <v>0.0</v>
      </c>
      <c r="K8439" s="14" t="s">
        <v>6012</v>
      </c>
      <c r="L8439" s="14">
        <v>0.0</v>
      </c>
    </row>
    <row r="8440">
      <c r="A8440" s="14">
        <v>1094.0</v>
      </c>
      <c r="B8440" s="14">
        <v>94.0</v>
      </c>
      <c r="C8440" s="34">
        <v>38.18</v>
      </c>
      <c r="D8440" s="36">
        <v>46089.0</v>
      </c>
      <c r="E8440" s="24"/>
      <c r="F8440" s="14">
        <v>0.41</v>
      </c>
      <c r="G8440" s="14">
        <v>34.9</v>
      </c>
      <c r="H8440" s="14">
        <v>8.59</v>
      </c>
      <c r="I8440" s="14" t="s">
        <v>6112</v>
      </c>
      <c r="J8440" s="14">
        <v>3.19</v>
      </c>
      <c r="K8440" s="14">
        <v>12.73</v>
      </c>
      <c r="L8440" s="14">
        <v>0.0</v>
      </c>
    </row>
    <row r="8441">
      <c r="A8441" s="14">
        <v>0.0</v>
      </c>
      <c r="B8441" s="14">
        <v>0.0</v>
      </c>
      <c r="C8441" s="34">
        <v>55.85</v>
      </c>
      <c r="D8441" s="36">
        <v>46090.0</v>
      </c>
      <c r="E8441" s="24"/>
      <c r="F8441" s="14" t="s">
        <v>6012</v>
      </c>
      <c r="G8441" s="14" t="s">
        <v>6012</v>
      </c>
      <c r="H8441" s="14" t="s">
        <v>6012</v>
      </c>
      <c r="I8441" s="14" t="s">
        <v>6113</v>
      </c>
      <c r="J8441" s="14" t="s">
        <v>6012</v>
      </c>
      <c r="K8441" s="14" t="s">
        <v>6012</v>
      </c>
      <c r="L8441" s="14">
        <v>0.0</v>
      </c>
    </row>
    <row r="8442">
      <c r="A8442" s="14">
        <v>1301.0</v>
      </c>
      <c r="B8442" s="14">
        <v>58.0</v>
      </c>
      <c r="C8442" s="34">
        <v>52.63</v>
      </c>
      <c r="D8442" s="36">
        <v>46090.0</v>
      </c>
      <c r="E8442" s="24"/>
      <c r="F8442" s="14">
        <v>0.91</v>
      </c>
      <c r="G8442" s="14">
        <v>40.45</v>
      </c>
      <c r="H8442" s="14">
        <v>4.46</v>
      </c>
      <c r="I8442" s="14" t="s">
        <v>6111</v>
      </c>
      <c r="J8442" s="14">
        <v>1.72</v>
      </c>
      <c r="K8442" s="14">
        <v>52.63</v>
      </c>
      <c r="L8442" s="14">
        <v>0.0</v>
      </c>
    </row>
    <row r="8443">
      <c r="A8443" s="14">
        <v>0.0</v>
      </c>
      <c r="B8443" s="14">
        <v>0.0</v>
      </c>
      <c r="C8443" s="34">
        <v>26.03</v>
      </c>
      <c r="D8443" s="36">
        <v>46090.0</v>
      </c>
      <c r="E8443" s="24"/>
      <c r="F8443" s="14" t="s">
        <v>6012</v>
      </c>
      <c r="G8443" s="14" t="s">
        <v>6012</v>
      </c>
      <c r="H8443" s="14" t="s">
        <v>6012</v>
      </c>
      <c r="I8443" s="14" t="s">
        <v>6114</v>
      </c>
      <c r="J8443" s="14" t="s">
        <v>6012</v>
      </c>
      <c r="K8443" s="14" t="s">
        <v>6012</v>
      </c>
      <c r="L8443" s="14">
        <v>0.0</v>
      </c>
    </row>
    <row r="8444">
      <c r="A8444" s="14">
        <v>2016.0</v>
      </c>
      <c r="B8444" s="14">
        <v>150.0</v>
      </c>
      <c r="C8444" s="34">
        <v>44.65</v>
      </c>
      <c r="D8444" s="36">
        <v>46090.0</v>
      </c>
      <c r="E8444" s="24"/>
      <c r="F8444" s="14">
        <v>0.3</v>
      </c>
      <c r="G8444" s="14">
        <v>22.15</v>
      </c>
      <c r="H8444" s="14">
        <v>7.44</v>
      </c>
      <c r="I8444" s="14" t="s">
        <v>6112</v>
      </c>
      <c r="J8444" s="14">
        <v>1.33</v>
      </c>
      <c r="K8444" s="14">
        <v>22.32</v>
      </c>
      <c r="L8444" s="14">
        <v>0.0</v>
      </c>
    </row>
    <row r="8445">
      <c r="A8445" s="14">
        <v>0.0</v>
      </c>
      <c r="B8445" s="14">
        <v>0.0</v>
      </c>
      <c r="C8445" s="34"/>
      <c r="D8445" s="36">
        <v>46090.0</v>
      </c>
      <c r="E8445" s="24"/>
      <c r="F8445" s="14" t="s">
        <v>6012</v>
      </c>
      <c r="G8445" s="14" t="s">
        <v>6012</v>
      </c>
      <c r="H8445" s="14" t="s">
        <v>6012</v>
      </c>
      <c r="I8445" s="14" t="s">
        <v>6110</v>
      </c>
      <c r="J8445" s="14" t="s">
        <v>6012</v>
      </c>
      <c r="K8445" s="14" t="s">
        <v>6012</v>
      </c>
      <c r="L8445" s="14"/>
    </row>
    <row r="8446">
      <c r="A8446" s="14">
        <v>0.0</v>
      </c>
      <c r="B8446" s="14">
        <v>0.0</v>
      </c>
      <c r="C8446" s="34">
        <v>63.24</v>
      </c>
      <c r="D8446" s="36">
        <v>46091.0</v>
      </c>
      <c r="E8446" s="24"/>
      <c r="F8446" s="14" t="s">
        <v>6012</v>
      </c>
      <c r="G8446" s="14" t="s">
        <v>6012</v>
      </c>
      <c r="H8446" s="14" t="s">
        <v>6012</v>
      </c>
      <c r="I8446" s="14" t="s">
        <v>6113</v>
      </c>
      <c r="J8446" s="14" t="s">
        <v>6012</v>
      </c>
      <c r="K8446" s="14" t="s">
        <v>6012</v>
      </c>
      <c r="L8446" s="14">
        <v>0.0</v>
      </c>
    </row>
    <row r="8447">
      <c r="A8447" s="14">
        <v>2441.0</v>
      </c>
      <c r="B8447" s="14">
        <v>179.0</v>
      </c>
      <c r="C8447" s="34">
        <v>41.72</v>
      </c>
      <c r="D8447" s="36">
        <v>46091.0</v>
      </c>
      <c r="E8447" s="24"/>
      <c r="F8447" s="14">
        <v>0.23</v>
      </c>
      <c r="G8447" s="14">
        <v>17.09</v>
      </c>
      <c r="H8447" s="14">
        <v>7.33</v>
      </c>
      <c r="I8447" s="14" t="s">
        <v>6112</v>
      </c>
      <c r="J8447" s="14">
        <v>1.12</v>
      </c>
      <c r="K8447" s="14">
        <v>20.86</v>
      </c>
      <c r="L8447" s="14">
        <v>0.0</v>
      </c>
    </row>
    <row r="8448">
      <c r="A8448" s="14">
        <v>0.0</v>
      </c>
      <c r="B8448" s="14">
        <v>0.0</v>
      </c>
      <c r="C8448" s="34">
        <v>57.29</v>
      </c>
      <c r="D8448" s="36">
        <v>46091.0</v>
      </c>
      <c r="E8448" s="24"/>
      <c r="F8448" s="14" t="s">
        <v>6012</v>
      </c>
      <c r="G8448" s="14" t="s">
        <v>6012</v>
      </c>
      <c r="H8448" s="14" t="s">
        <v>6012</v>
      </c>
      <c r="I8448" s="14" t="s">
        <v>6114</v>
      </c>
      <c r="J8448" s="14" t="s">
        <v>6012</v>
      </c>
      <c r="K8448" s="14" t="s">
        <v>6012</v>
      </c>
      <c r="L8448" s="14">
        <v>0.0</v>
      </c>
    </row>
    <row r="8449">
      <c r="A8449" s="14">
        <v>1033.0</v>
      </c>
      <c r="B8449" s="14">
        <v>44.0</v>
      </c>
      <c r="C8449" s="34">
        <v>54.12</v>
      </c>
      <c r="D8449" s="36">
        <v>46091.0</v>
      </c>
      <c r="E8449" s="24"/>
      <c r="F8449" s="14">
        <v>1.23</v>
      </c>
      <c r="G8449" s="14">
        <v>52.39</v>
      </c>
      <c r="H8449" s="14">
        <v>4.26</v>
      </c>
      <c r="I8449" s="14" t="s">
        <v>6111</v>
      </c>
      <c r="J8449" s="14">
        <v>0.0</v>
      </c>
      <c r="K8449" s="14" t="s">
        <v>6012</v>
      </c>
      <c r="L8449" s="14">
        <v>0.0</v>
      </c>
    </row>
    <row r="8450">
      <c r="A8450" s="14">
        <v>0.0</v>
      </c>
      <c r="B8450" s="14">
        <v>0.0</v>
      </c>
      <c r="C8450" s="34">
        <v>46.95</v>
      </c>
      <c r="D8450" s="36">
        <v>46092.0</v>
      </c>
      <c r="E8450" s="24"/>
      <c r="F8450" s="14" t="s">
        <v>6012</v>
      </c>
      <c r="G8450" s="14" t="s">
        <v>6012</v>
      </c>
      <c r="H8450" s="14" t="s">
        <v>6012</v>
      </c>
      <c r="I8450" s="14" t="s">
        <v>6114</v>
      </c>
      <c r="J8450" s="14" t="s">
        <v>6012</v>
      </c>
      <c r="K8450" s="14" t="s">
        <v>6012</v>
      </c>
      <c r="L8450" s="14">
        <v>0.0</v>
      </c>
    </row>
    <row r="8451">
      <c r="A8451" s="14">
        <v>0.0</v>
      </c>
      <c r="B8451" s="14">
        <v>0.0</v>
      </c>
      <c r="C8451" s="34">
        <v>63.26</v>
      </c>
      <c r="D8451" s="36">
        <v>46092.0</v>
      </c>
      <c r="E8451" s="24"/>
      <c r="F8451" s="14" t="s">
        <v>6012</v>
      </c>
      <c r="G8451" s="14" t="s">
        <v>6012</v>
      </c>
      <c r="H8451" s="14" t="s">
        <v>6012</v>
      </c>
      <c r="I8451" s="14" t="s">
        <v>6113</v>
      </c>
      <c r="J8451" s="14" t="s">
        <v>6012</v>
      </c>
      <c r="K8451" s="14" t="s">
        <v>6012</v>
      </c>
      <c r="L8451" s="14">
        <v>0.0</v>
      </c>
    </row>
    <row r="8452">
      <c r="A8452" s="14">
        <v>1737.0</v>
      </c>
      <c r="B8452" s="14">
        <v>81.0</v>
      </c>
      <c r="C8452" s="34">
        <v>56.71</v>
      </c>
      <c r="D8452" s="36">
        <v>46092.0</v>
      </c>
      <c r="E8452" s="24"/>
      <c r="F8452" s="14">
        <v>0.7</v>
      </c>
      <c r="G8452" s="14">
        <v>32.65</v>
      </c>
      <c r="H8452" s="14">
        <v>4.66</v>
      </c>
      <c r="I8452" s="14" t="s">
        <v>6111</v>
      </c>
      <c r="J8452" s="14">
        <v>2.47</v>
      </c>
      <c r="K8452" s="14">
        <v>28.36</v>
      </c>
      <c r="L8452" s="14">
        <v>0.0</v>
      </c>
    </row>
    <row r="8453">
      <c r="A8453" s="14">
        <v>2574.0</v>
      </c>
      <c r="B8453" s="14">
        <v>166.0</v>
      </c>
      <c r="C8453" s="34">
        <v>46.68</v>
      </c>
      <c r="D8453" s="36">
        <v>46092.0</v>
      </c>
      <c r="E8453" s="24"/>
      <c r="F8453" s="14">
        <v>0.28</v>
      </c>
      <c r="G8453" s="14">
        <v>18.14</v>
      </c>
      <c r="H8453" s="14">
        <v>6.45</v>
      </c>
      <c r="I8453" s="14" t="s">
        <v>6112</v>
      </c>
      <c r="J8453" s="14">
        <v>1.81</v>
      </c>
      <c r="K8453" s="14">
        <v>15.56</v>
      </c>
      <c r="L8453" s="14">
        <v>0.0</v>
      </c>
    </row>
    <row r="8454">
      <c r="A8454" s="14">
        <v>0.0</v>
      </c>
      <c r="B8454" s="14">
        <v>0.0</v>
      </c>
      <c r="C8454" s="34">
        <v>60.86</v>
      </c>
      <c r="D8454" s="36">
        <v>46093.0</v>
      </c>
      <c r="E8454" s="24"/>
      <c r="F8454" s="14" t="s">
        <v>6012</v>
      </c>
      <c r="G8454" s="14" t="s">
        <v>6012</v>
      </c>
      <c r="H8454" s="14" t="s">
        <v>6012</v>
      </c>
      <c r="I8454" s="14" t="s">
        <v>6114</v>
      </c>
      <c r="J8454" s="14" t="s">
        <v>6012</v>
      </c>
      <c r="K8454" s="14" t="s">
        <v>6012</v>
      </c>
      <c r="L8454" s="14">
        <v>0.0</v>
      </c>
    </row>
    <row r="8455">
      <c r="A8455" s="14">
        <v>2065.0</v>
      </c>
      <c r="B8455" s="14">
        <v>151.0</v>
      </c>
      <c r="C8455" s="34">
        <v>55.27</v>
      </c>
      <c r="D8455" s="36">
        <v>46093.0</v>
      </c>
      <c r="E8455" s="24"/>
      <c r="F8455" s="14">
        <v>0.37</v>
      </c>
      <c r="G8455" s="14">
        <v>26.77</v>
      </c>
      <c r="H8455" s="14">
        <v>7.31</v>
      </c>
      <c r="I8455" s="14" t="s">
        <v>6112</v>
      </c>
      <c r="J8455" s="14">
        <v>3.97</v>
      </c>
      <c r="K8455" s="14">
        <v>9.21</v>
      </c>
      <c r="L8455" s="14">
        <v>0.0</v>
      </c>
    </row>
    <row r="8456">
      <c r="A8456" s="14">
        <v>2087.0</v>
      </c>
      <c r="B8456" s="14">
        <v>84.0</v>
      </c>
      <c r="C8456" s="34">
        <v>58.57</v>
      </c>
      <c r="D8456" s="36">
        <v>46093.0</v>
      </c>
      <c r="E8456" s="24"/>
      <c r="F8456" s="14">
        <v>0.7</v>
      </c>
      <c r="G8456" s="14">
        <v>28.06</v>
      </c>
      <c r="H8456" s="14">
        <v>4.02</v>
      </c>
      <c r="I8456" s="14" t="s">
        <v>6111</v>
      </c>
      <c r="J8456" s="14">
        <v>4.76</v>
      </c>
      <c r="K8456" s="14">
        <v>14.64</v>
      </c>
      <c r="L8456" s="14">
        <v>0.0</v>
      </c>
    </row>
    <row r="8457">
      <c r="A8457" s="14">
        <v>0.0</v>
      </c>
      <c r="B8457" s="14">
        <v>0.0</v>
      </c>
      <c r="C8457" s="34"/>
      <c r="D8457" s="36">
        <v>46093.0</v>
      </c>
      <c r="E8457" s="24"/>
      <c r="F8457" s="14" t="s">
        <v>6012</v>
      </c>
      <c r="G8457" s="14" t="s">
        <v>6012</v>
      </c>
      <c r="H8457" s="14" t="s">
        <v>6012</v>
      </c>
      <c r="I8457" s="14" t="s">
        <v>6110</v>
      </c>
      <c r="J8457" s="14" t="s">
        <v>6012</v>
      </c>
      <c r="K8457" s="14" t="s">
        <v>6012</v>
      </c>
      <c r="L8457" s="14"/>
    </row>
    <row r="8458">
      <c r="A8458" s="14">
        <v>0.0</v>
      </c>
      <c r="B8458" s="14">
        <v>0.0</v>
      </c>
      <c r="C8458" s="34">
        <v>63.21</v>
      </c>
      <c r="D8458" s="36">
        <v>46093.0</v>
      </c>
      <c r="E8458" s="24"/>
      <c r="F8458" s="14" t="s">
        <v>6012</v>
      </c>
      <c r="G8458" s="14" t="s">
        <v>6012</v>
      </c>
      <c r="H8458" s="14" t="s">
        <v>6012</v>
      </c>
      <c r="I8458" s="14" t="s">
        <v>6113</v>
      </c>
      <c r="J8458" s="14" t="s">
        <v>6012</v>
      </c>
      <c r="K8458" s="14" t="s">
        <v>6012</v>
      </c>
      <c r="L8458" s="14">
        <v>0.0</v>
      </c>
    </row>
    <row r="8459">
      <c r="A8459" s="14">
        <v>0.0</v>
      </c>
      <c r="B8459" s="14">
        <v>0.0</v>
      </c>
      <c r="C8459" s="34"/>
      <c r="D8459" s="36">
        <v>46094.0</v>
      </c>
      <c r="E8459" s="24"/>
      <c r="F8459" s="14" t="s">
        <v>6012</v>
      </c>
      <c r="G8459" s="14" t="s">
        <v>6012</v>
      </c>
      <c r="H8459" s="14" t="s">
        <v>6012</v>
      </c>
      <c r="I8459" s="14" t="s">
        <v>6110</v>
      </c>
      <c r="J8459" s="14" t="s">
        <v>6012</v>
      </c>
      <c r="K8459" s="14" t="s">
        <v>6012</v>
      </c>
      <c r="L8459" s="14"/>
    </row>
    <row r="8460">
      <c r="A8460" s="14">
        <v>1392.0</v>
      </c>
      <c r="B8460" s="14">
        <v>77.0</v>
      </c>
      <c r="C8460" s="34">
        <v>55.97</v>
      </c>
      <c r="D8460" s="36">
        <v>46094.0</v>
      </c>
      <c r="E8460" s="24"/>
      <c r="F8460" s="14">
        <v>0.73</v>
      </c>
      <c r="G8460" s="14">
        <v>40.21</v>
      </c>
      <c r="H8460" s="14">
        <v>5.53</v>
      </c>
      <c r="I8460" s="14" t="s">
        <v>6111</v>
      </c>
      <c r="J8460" s="14">
        <v>3.9</v>
      </c>
      <c r="K8460" s="14">
        <v>18.66</v>
      </c>
      <c r="L8460" s="14">
        <v>0.0</v>
      </c>
    </row>
    <row r="8461">
      <c r="A8461" s="14">
        <v>0.0</v>
      </c>
      <c r="B8461" s="14">
        <v>0.0</v>
      </c>
      <c r="C8461" s="34">
        <v>59.74</v>
      </c>
      <c r="D8461" s="36">
        <v>46094.0</v>
      </c>
      <c r="E8461" s="24"/>
      <c r="F8461" s="14" t="s">
        <v>6012</v>
      </c>
      <c r="G8461" s="14" t="s">
        <v>6012</v>
      </c>
      <c r="H8461" s="14" t="s">
        <v>6012</v>
      </c>
      <c r="I8461" s="14" t="s">
        <v>6114</v>
      </c>
      <c r="J8461" s="14" t="s">
        <v>6012</v>
      </c>
      <c r="K8461" s="14" t="s">
        <v>6012</v>
      </c>
      <c r="L8461" s="14">
        <v>0.0</v>
      </c>
    </row>
    <row r="8462">
      <c r="A8462" s="14">
        <v>1837.0</v>
      </c>
      <c r="B8462" s="14">
        <v>116.0</v>
      </c>
      <c r="C8462" s="34">
        <v>62.45</v>
      </c>
      <c r="D8462" s="36">
        <v>46094.0</v>
      </c>
      <c r="E8462" s="24"/>
      <c r="F8462" s="14">
        <v>0.54</v>
      </c>
      <c r="G8462" s="14">
        <v>34.0</v>
      </c>
      <c r="H8462" s="14">
        <v>6.31</v>
      </c>
      <c r="I8462" s="14" t="s">
        <v>6112</v>
      </c>
      <c r="J8462" s="14">
        <v>1.72</v>
      </c>
      <c r="K8462" s="14">
        <v>31.22</v>
      </c>
      <c r="L8462" s="14">
        <v>0.0</v>
      </c>
    </row>
    <row r="8463">
      <c r="A8463" s="14">
        <v>0.0</v>
      </c>
      <c r="B8463" s="14">
        <v>0.0</v>
      </c>
      <c r="C8463" s="34">
        <v>59.33</v>
      </c>
      <c r="D8463" s="36">
        <v>46094.0</v>
      </c>
      <c r="E8463" s="24"/>
      <c r="F8463" s="14" t="s">
        <v>6012</v>
      </c>
      <c r="G8463" s="14" t="s">
        <v>6012</v>
      </c>
      <c r="H8463" s="14" t="s">
        <v>6012</v>
      </c>
      <c r="I8463" s="14" t="s">
        <v>6113</v>
      </c>
      <c r="J8463" s="14" t="s">
        <v>6012</v>
      </c>
      <c r="K8463" s="14" t="s">
        <v>6012</v>
      </c>
      <c r="L8463" s="14">
        <v>0.0</v>
      </c>
    </row>
    <row r="8464">
      <c r="A8464" s="14">
        <v>0.0</v>
      </c>
      <c r="B8464" s="14">
        <v>0.0</v>
      </c>
      <c r="C8464" s="34">
        <v>41.03</v>
      </c>
      <c r="D8464" s="36">
        <v>46095.0</v>
      </c>
      <c r="E8464" s="24"/>
      <c r="F8464" s="14" t="s">
        <v>6012</v>
      </c>
      <c r="G8464" s="14" t="s">
        <v>6012</v>
      </c>
      <c r="H8464" s="14" t="s">
        <v>6012</v>
      </c>
      <c r="I8464" s="14" t="s">
        <v>6114</v>
      </c>
      <c r="J8464" s="14" t="s">
        <v>6012</v>
      </c>
      <c r="K8464" s="14">
        <v>41.03</v>
      </c>
      <c r="L8464" s="14">
        <v>0.0</v>
      </c>
    </row>
    <row r="8465">
      <c r="A8465" s="14">
        <v>1216.0</v>
      </c>
      <c r="B8465" s="14">
        <v>49.0</v>
      </c>
      <c r="C8465" s="34">
        <v>36.82</v>
      </c>
      <c r="D8465" s="36">
        <v>46095.0</v>
      </c>
      <c r="E8465" s="24"/>
      <c r="F8465" s="14">
        <v>0.75</v>
      </c>
      <c r="G8465" s="14">
        <v>30.28</v>
      </c>
      <c r="H8465" s="14">
        <v>4.03</v>
      </c>
      <c r="I8465" s="14" t="s">
        <v>6111</v>
      </c>
      <c r="J8465" s="14">
        <v>2.04</v>
      </c>
      <c r="K8465" s="14">
        <v>36.82</v>
      </c>
      <c r="L8465" s="14">
        <v>0.0</v>
      </c>
    </row>
    <row r="8466">
      <c r="A8466" s="14">
        <v>1243.0</v>
      </c>
      <c r="B8466" s="14">
        <v>107.0</v>
      </c>
      <c r="C8466" s="34">
        <v>48.84</v>
      </c>
      <c r="D8466" s="36">
        <v>46095.0</v>
      </c>
      <c r="E8466" s="24"/>
      <c r="F8466" s="14">
        <v>0.46</v>
      </c>
      <c r="G8466" s="14">
        <v>39.29</v>
      </c>
      <c r="H8466" s="14">
        <v>8.61</v>
      </c>
      <c r="I8466" s="14" t="s">
        <v>6112</v>
      </c>
      <c r="J8466" s="14">
        <v>0.93</v>
      </c>
      <c r="K8466" s="14">
        <v>48.84</v>
      </c>
      <c r="L8466" s="14">
        <v>0.0</v>
      </c>
    </row>
    <row r="8467">
      <c r="A8467" s="14">
        <v>0.0</v>
      </c>
      <c r="B8467" s="14">
        <v>0.0</v>
      </c>
      <c r="C8467" s="34">
        <v>45.53</v>
      </c>
      <c r="D8467" s="36">
        <v>46095.0</v>
      </c>
      <c r="E8467" s="24"/>
      <c r="F8467" s="14" t="s">
        <v>6012</v>
      </c>
      <c r="G8467" s="14" t="s">
        <v>6012</v>
      </c>
      <c r="H8467" s="14" t="s">
        <v>6012</v>
      </c>
      <c r="I8467" s="14" t="s">
        <v>6113</v>
      </c>
      <c r="J8467" s="14" t="s">
        <v>6012</v>
      </c>
      <c r="K8467" s="14" t="s">
        <v>6012</v>
      </c>
      <c r="L8467" s="14">
        <v>0.0</v>
      </c>
    </row>
    <row r="8468">
      <c r="A8468" s="14">
        <v>0.0</v>
      </c>
      <c r="B8468" s="14">
        <v>0.0</v>
      </c>
      <c r="C8468" s="34"/>
      <c r="D8468" s="36">
        <v>46096.0</v>
      </c>
      <c r="E8468" s="24"/>
      <c r="F8468" s="14" t="s">
        <v>6012</v>
      </c>
      <c r="G8468" s="14" t="s">
        <v>6012</v>
      </c>
      <c r="H8468" s="14" t="s">
        <v>6012</v>
      </c>
      <c r="I8468" s="14" t="s">
        <v>6110</v>
      </c>
      <c r="J8468" s="14" t="s">
        <v>6012</v>
      </c>
      <c r="K8468" s="14" t="s">
        <v>6012</v>
      </c>
      <c r="L8468" s="14"/>
    </row>
    <row r="8469">
      <c r="A8469" s="14">
        <v>0.0</v>
      </c>
      <c r="B8469" s="14">
        <v>0.0</v>
      </c>
      <c r="C8469" s="34">
        <v>27.81</v>
      </c>
      <c r="D8469" s="36">
        <v>46096.0</v>
      </c>
      <c r="E8469" s="24"/>
      <c r="F8469" s="14" t="s">
        <v>6012</v>
      </c>
      <c r="G8469" s="14" t="s">
        <v>6012</v>
      </c>
      <c r="H8469" s="14" t="s">
        <v>6012</v>
      </c>
      <c r="I8469" s="14" t="s">
        <v>6114</v>
      </c>
      <c r="J8469" s="14" t="s">
        <v>6012</v>
      </c>
      <c r="K8469" s="14" t="s">
        <v>6012</v>
      </c>
      <c r="L8469" s="14">
        <v>0.0</v>
      </c>
    </row>
    <row r="8470">
      <c r="A8470" s="14">
        <v>1079.0</v>
      </c>
      <c r="B8470" s="14">
        <v>41.0</v>
      </c>
      <c r="C8470" s="34">
        <v>30.01</v>
      </c>
      <c r="D8470" s="36">
        <v>46096.0</v>
      </c>
      <c r="E8470" s="24"/>
      <c r="F8470" s="14">
        <v>0.73</v>
      </c>
      <c r="G8470" s="14">
        <v>27.81</v>
      </c>
      <c r="H8470" s="14">
        <v>3.8</v>
      </c>
      <c r="I8470" s="14" t="s">
        <v>6111</v>
      </c>
      <c r="J8470" s="14">
        <v>7.32</v>
      </c>
      <c r="K8470" s="14">
        <v>10.0</v>
      </c>
      <c r="L8470" s="14">
        <v>0.0</v>
      </c>
    </row>
    <row r="8471">
      <c r="A8471" s="14">
        <v>753.0</v>
      </c>
      <c r="B8471" s="14">
        <v>42.0</v>
      </c>
      <c r="C8471" s="34">
        <v>36.81</v>
      </c>
      <c r="D8471" s="36">
        <v>46096.0</v>
      </c>
      <c r="E8471" s="24"/>
      <c r="F8471" s="14">
        <v>0.88</v>
      </c>
      <c r="G8471" s="14">
        <v>48.88</v>
      </c>
      <c r="H8471" s="14">
        <v>5.58</v>
      </c>
      <c r="I8471" s="14" t="s">
        <v>6112</v>
      </c>
      <c r="J8471" s="14">
        <v>7.14</v>
      </c>
      <c r="K8471" s="14">
        <v>12.27</v>
      </c>
      <c r="L8471" s="14">
        <v>0.0</v>
      </c>
    </row>
    <row r="8472">
      <c r="A8472" s="14">
        <v>0.0</v>
      </c>
      <c r="B8472" s="14">
        <v>0.0</v>
      </c>
      <c r="C8472" s="34">
        <v>44.14</v>
      </c>
      <c r="D8472" s="36">
        <v>46096.0</v>
      </c>
      <c r="E8472" s="24"/>
      <c r="F8472" s="14" t="s">
        <v>6012</v>
      </c>
      <c r="G8472" s="14" t="s">
        <v>6012</v>
      </c>
      <c r="H8472" s="14" t="s">
        <v>6012</v>
      </c>
      <c r="I8472" s="14" t="s">
        <v>6113</v>
      </c>
      <c r="J8472" s="14" t="s">
        <v>6012</v>
      </c>
      <c r="K8472" s="14" t="s">
        <v>6012</v>
      </c>
      <c r="L8472" s="14">
        <v>0.0</v>
      </c>
    </row>
    <row r="8473">
      <c r="A8473" s="14">
        <v>3116.0</v>
      </c>
      <c r="B8473" s="14">
        <v>194.0</v>
      </c>
      <c r="C8473" s="34">
        <v>47.58</v>
      </c>
      <c r="D8473" s="36">
        <v>46097.0</v>
      </c>
      <c r="E8473" s="24"/>
      <c r="F8473" s="14">
        <v>0.25</v>
      </c>
      <c r="G8473" s="14">
        <v>15.27</v>
      </c>
      <c r="H8473" s="14">
        <v>6.23</v>
      </c>
      <c r="I8473" s="14" t="s">
        <v>6112</v>
      </c>
      <c r="J8473" s="14">
        <v>3.09</v>
      </c>
      <c r="K8473" s="14">
        <v>7.93</v>
      </c>
      <c r="L8473" s="14">
        <v>0.0</v>
      </c>
    </row>
    <row r="8474">
      <c r="A8474" s="14">
        <v>2894.0</v>
      </c>
      <c r="B8474" s="14">
        <v>97.0</v>
      </c>
      <c r="C8474" s="34">
        <v>48.38</v>
      </c>
      <c r="D8474" s="36">
        <v>46097.0</v>
      </c>
      <c r="E8474" s="24"/>
      <c r="F8474" s="14">
        <v>0.5</v>
      </c>
      <c r="G8474" s="14">
        <v>16.72</v>
      </c>
      <c r="H8474" s="14">
        <v>3.35</v>
      </c>
      <c r="I8474" s="14" t="s">
        <v>6111</v>
      </c>
      <c r="J8474" s="14">
        <v>4.12</v>
      </c>
      <c r="K8474" s="14">
        <v>12.1</v>
      </c>
      <c r="L8474" s="14">
        <v>0.0</v>
      </c>
    </row>
    <row r="8475">
      <c r="A8475" s="14">
        <v>0.0</v>
      </c>
      <c r="B8475" s="14">
        <v>0.0</v>
      </c>
      <c r="C8475" s="34">
        <v>59.08</v>
      </c>
      <c r="D8475" s="36">
        <v>46097.0</v>
      </c>
      <c r="E8475" s="24"/>
      <c r="F8475" s="14" t="s">
        <v>6012</v>
      </c>
      <c r="G8475" s="14" t="s">
        <v>6012</v>
      </c>
      <c r="H8475" s="14" t="s">
        <v>6012</v>
      </c>
      <c r="I8475" s="14" t="s">
        <v>6114</v>
      </c>
      <c r="J8475" s="14" t="s">
        <v>6012</v>
      </c>
      <c r="K8475" s="14" t="s">
        <v>6012</v>
      </c>
      <c r="L8475" s="14">
        <v>0.0</v>
      </c>
    </row>
    <row r="8476">
      <c r="A8476" s="14">
        <v>0.0</v>
      </c>
      <c r="B8476" s="14">
        <v>0.0</v>
      </c>
      <c r="C8476" s="34">
        <v>61.57</v>
      </c>
      <c r="D8476" s="36">
        <v>46097.0</v>
      </c>
      <c r="E8476" s="24"/>
      <c r="F8476" s="14" t="s">
        <v>6012</v>
      </c>
      <c r="G8476" s="14" t="s">
        <v>6012</v>
      </c>
      <c r="H8476" s="14" t="s">
        <v>6012</v>
      </c>
      <c r="I8476" s="14" t="s">
        <v>6113</v>
      </c>
      <c r="J8476" s="14" t="s">
        <v>6012</v>
      </c>
      <c r="K8476" s="14" t="s">
        <v>6012</v>
      </c>
      <c r="L8476" s="14">
        <v>0.0</v>
      </c>
    </row>
    <row r="8477">
      <c r="A8477" s="14">
        <v>2405.0</v>
      </c>
      <c r="B8477" s="14">
        <v>143.0</v>
      </c>
      <c r="C8477" s="34">
        <v>48.48</v>
      </c>
      <c r="D8477" s="36">
        <v>46098.0</v>
      </c>
      <c r="E8477" s="24"/>
      <c r="F8477" s="14">
        <v>0.34</v>
      </c>
      <c r="G8477" s="14">
        <v>20.16</v>
      </c>
      <c r="H8477" s="14">
        <v>5.95</v>
      </c>
      <c r="I8477" s="14" t="s">
        <v>6112</v>
      </c>
      <c r="J8477" s="14">
        <v>2.8</v>
      </c>
      <c r="K8477" s="14">
        <v>12.12</v>
      </c>
      <c r="L8477" s="14">
        <v>0.0</v>
      </c>
    </row>
    <row r="8478">
      <c r="A8478" s="14">
        <v>2236.0</v>
      </c>
      <c r="B8478" s="14">
        <v>98.0</v>
      </c>
      <c r="C8478" s="34">
        <v>60.04</v>
      </c>
      <c r="D8478" s="36">
        <v>46098.0</v>
      </c>
      <c r="E8478" s="24"/>
      <c r="F8478" s="14">
        <v>0.61</v>
      </c>
      <c r="G8478" s="14">
        <v>26.85</v>
      </c>
      <c r="H8478" s="14">
        <v>4.38</v>
      </c>
      <c r="I8478" s="14" t="s">
        <v>6111</v>
      </c>
      <c r="J8478" s="14">
        <v>4.08</v>
      </c>
      <c r="K8478" s="14">
        <v>15.01</v>
      </c>
      <c r="L8478" s="14">
        <v>0.0</v>
      </c>
    </row>
    <row r="8479">
      <c r="A8479" s="14">
        <v>0.0</v>
      </c>
      <c r="B8479" s="14">
        <v>0.0</v>
      </c>
      <c r="C8479" s="34">
        <v>55.51</v>
      </c>
      <c r="D8479" s="36">
        <v>46098.0</v>
      </c>
      <c r="E8479" s="24"/>
      <c r="F8479" s="14" t="s">
        <v>6012</v>
      </c>
      <c r="G8479" s="14" t="s">
        <v>6012</v>
      </c>
      <c r="H8479" s="14" t="s">
        <v>6012</v>
      </c>
      <c r="I8479" s="14" t="s">
        <v>6114</v>
      </c>
      <c r="J8479" s="14" t="s">
        <v>6012</v>
      </c>
      <c r="K8479" s="14" t="s">
        <v>6012</v>
      </c>
      <c r="L8479" s="14">
        <v>0.0</v>
      </c>
    </row>
    <row r="8480">
      <c r="A8480" s="14">
        <v>0.0</v>
      </c>
      <c r="B8480" s="14">
        <v>0.0</v>
      </c>
      <c r="C8480" s="34">
        <v>62.48</v>
      </c>
      <c r="D8480" s="36">
        <v>46098.0</v>
      </c>
      <c r="E8480" s="24"/>
      <c r="F8480" s="14" t="s">
        <v>6012</v>
      </c>
      <c r="G8480" s="14" t="s">
        <v>6012</v>
      </c>
      <c r="H8480" s="14" t="s">
        <v>6012</v>
      </c>
      <c r="I8480" s="14" t="s">
        <v>6113</v>
      </c>
      <c r="J8480" s="14" t="s">
        <v>6012</v>
      </c>
      <c r="K8480" s="14" t="s">
        <v>6012</v>
      </c>
      <c r="L8480" s="14">
        <v>0.0</v>
      </c>
    </row>
    <row r="8481">
      <c r="A8481" s="14">
        <v>0.0</v>
      </c>
      <c r="B8481" s="14">
        <v>0.0</v>
      </c>
      <c r="C8481" s="34">
        <v>42.7</v>
      </c>
      <c r="D8481" s="36">
        <v>46099.0</v>
      </c>
      <c r="E8481" s="24"/>
      <c r="F8481" s="14" t="s">
        <v>6012</v>
      </c>
      <c r="G8481" s="14" t="s">
        <v>6012</v>
      </c>
      <c r="H8481" s="14" t="s">
        <v>6012</v>
      </c>
      <c r="I8481" s="14" t="s">
        <v>6114</v>
      </c>
      <c r="J8481" s="14" t="s">
        <v>6012</v>
      </c>
      <c r="K8481" s="14" t="s">
        <v>6012</v>
      </c>
      <c r="L8481" s="14">
        <v>0.0</v>
      </c>
    </row>
    <row r="8482">
      <c r="A8482" s="14">
        <v>1700.0</v>
      </c>
      <c r="B8482" s="14">
        <v>118.0</v>
      </c>
      <c r="C8482" s="34">
        <v>45.99</v>
      </c>
      <c r="D8482" s="36">
        <v>46099.0</v>
      </c>
      <c r="E8482" s="24"/>
      <c r="F8482" s="14">
        <v>0.39</v>
      </c>
      <c r="G8482" s="14">
        <v>27.05</v>
      </c>
      <c r="H8482" s="14">
        <v>6.94</v>
      </c>
      <c r="I8482" s="14" t="s">
        <v>6112</v>
      </c>
      <c r="J8482" s="14">
        <v>3.39</v>
      </c>
      <c r="K8482" s="14">
        <v>11.5</v>
      </c>
      <c r="L8482" s="14">
        <v>0.0</v>
      </c>
    </row>
    <row r="8483">
      <c r="A8483" s="14">
        <v>1995.0</v>
      </c>
      <c r="B8483" s="14">
        <v>92.0</v>
      </c>
      <c r="C8483" s="34">
        <v>54.09</v>
      </c>
      <c r="D8483" s="36">
        <v>46099.0</v>
      </c>
      <c r="E8483" s="24"/>
      <c r="F8483" s="14">
        <v>0.59</v>
      </c>
      <c r="G8483" s="14">
        <v>27.11</v>
      </c>
      <c r="H8483" s="14">
        <v>4.61</v>
      </c>
      <c r="I8483" s="14" t="s">
        <v>6111</v>
      </c>
      <c r="J8483" s="14">
        <v>3.26</v>
      </c>
      <c r="K8483" s="14">
        <v>18.03</v>
      </c>
      <c r="L8483" s="14">
        <v>0.0</v>
      </c>
    </row>
    <row r="8484">
      <c r="A8484" s="14">
        <v>0.0</v>
      </c>
      <c r="B8484" s="14">
        <v>0.0</v>
      </c>
      <c r="C8484" s="34">
        <v>60.01</v>
      </c>
      <c r="D8484" s="36">
        <v>46099.0</v>
      </c>
      <c r="E8484" s="24"/>
      <c r="F8484" s="14" t="s">
        <v>6012</v>
      </c>
      <c r="G8484" s="14" t="s">
        <v>6012</v>
      </c>
      <c r="H8484" s="14" t="s">
        <v>6012</v>
      </c>
      <c r="I8484" s="14" t="s">
        <v>6113</v>
      </c>
      <c r="J8484" s="14" t="s">
        <v>6012</v>
      </c>
      <c r="K8484" s="14" t="s">
        <v>6012</v>
      </c>
      <c r="L8484" s="14">
        <v>0.0</v>
      </c>
    </row>
    <row r="8485">
      <c r="A8485" s="14">
        <v>1944.0</v>
      </c>
      <c r="B8485" s="14">
        <v>88.0</v>
      </c>
      <c r="C8485" s="34">
        <v>62.34</v>
      </c>
      <c r="D8485" s="36">
        <v>46100.0</v>
      </c>
      <c r="E8485" s="24"/>
      <c r="F8485" s="14">
        <v>0.71</v>
      </c>
      <c r="G8485" s="14">
        <v>32.07</v>
      </c>
      <c r="H8485" s="14">
        <v>4.53</v>
      </c>
      <c r="I8485" s="14" t="s">
        <v>6111</v>
      </c>
      <c r="J8485" s="14">
        <v>6.82</v>
      </c>
      <c r="K8485" s="14">
        <v>10.39</v>
      </c>
      <c r="L8485" s="14">
        <v>0.0</v>
      </c>
    </row>
    <row r="8486">
      <c r="A8486" s="14">
        <v>0.0</v>
      </c>
      <c r="B8486" s="14">
        <v>0.0</v>
      </c>
      <c r="C8486" s="34">
        <v>42.8</v>
      </c>
      <c r="D8486" s="36">
        <v>46100.0</v>
      </c>
      <c r="E8486" s="24"/>
      <c r="F8486" s="14" t="s">
        <v>6012</v>
      </c>
      <c r="G8486" s="14" t="s">
        <v>6012</v>
      </c>
      <c r="H8486" s="14" t="s">
        <v>6012</v>
      </c>
      <c r="I8486" s="14" t="s">
        <v>6114</v>
      </c>
      <c r="J8486" s="14" t="s">
        <v>6012</v>
      </c>
      <c r="K8486" s="14">
        <v>21.4</v>
      </c>
      <c r="L8486" s="14">
        <v>0.0</v>
      </c>
    </row>
    <row r="8487">
      <c r="A8487" s="14">
        <v>1846.0</v>
      </c>
      <c r="B8487" s="14">
        <v>124.0</v>
      </c>
      <c r="C8487" s="34">
        <v>62.79</v>
      </c>
      <c r="D8487" s="36">
        <v>46100.0</v>
      </c>
      <c r="E8487" s="24"/>
      <c r="F8487" s="14">
        <v>0.51</v>
      </c>
      <c r="G8487" s="14">
        <v>34.01</v>
      </c>
      <c r="H8487" s="14">
        <v>6.72</v>
      </c>
      <c r="I8487" s="14" t="s">
        <v>6112</v>
      </c>
      <c r="J8487" s="14">
        <v>5.65</v>
      </c>
      <c r="K8487" s="14">
        <v>8.97</v>
      </c>
      <c r="L8487" s="14">
        <v>0.0</v>
      </c>
    </row>
    <row r="8488">
      <c r="A8488" s="14">
        <v>0.0</v>
      </c>
      <c r="B8488" s="14">
        <v>0.0</v>
      </c>
      <c r="C8488" s="34">
        <v>65.35</v>
      </c>
      <c r="D8488" s="36">
        <v>46100.0</v>
      </c>
      <c r="E8488" s="24"/>
      <c r="F8488" s="14" t="s">
        <v>6012</v>
      </c>
      <c r="G8488" s="14" t="s">
        <v>6012</v>
      </c>
      <c r="H8488" s="14" t="s">
        <v>6012</v>
      </c>
      <c r="I8488" s="14" t="s">
        <v>6113</v>
      </c>
      <c r="J8488" s="14" t="s">
        <v>6012</v>
      </c>
      <c r="K8488" s="14" t="s">
        <v>6012</v>
      </c>
      <c r="L8488" s="14">
        <v>0.0</v>
      </c>
    </row>
    <row r="8489">
      <c r="A8489" s="14">
        <v>766.0</v>
      </c>
      <c r="B8489" s="14">
        <v>36.0</v>
      </c>
      <c r="C8489" s="34">
        <v>48.13</v>
      </c>
      <c r="D8489" s="36">
        <v>46101.0</v>
      </c>
      <c r="E8489" s="24"/>
      <c r="F8489" s="14">
        <v>1.34</v>
      </c>
      <c r="G8489" s="14">
        <v>62.83</v>
      </c>
      <c r="H8489" s="14">
        <v>4.7</v>
      </c>
      <c r="I8489" s="14" t="s">
        <v>6111</v>
      </c>
      <c r="J8489" s="14">
        <v>2.78</v>
      </c>
      <c r="K8489" s="14">
        <v>48.13</v>
      </c>
      <c r="L8489" s="14">
        <v>0.0</v>
      </c>
    </row>
    <row r="8490">
      <c r="A8490" s="14">
        <v>0.0</v>
      </c>
      <c r="B8490" s="14">
        <v>0.0</v>
      </c>
      <c r="C8490" s="34">
        <v>57.63</v>
      </c>
      <c r="D8490" s="36">
        <v>46101.0</v>
      </c>
      <c r="E8490" s="24"/>
      <c r="F8490" s="14" t="s">
        <v>6012</v>
      </c>
      <c r="G8490" s="14" t="s">
        <v>6012</v>
      </c>
      <c r="H8490" s="14" t="s">
        <v>6012</v>
      </c>
      <c r="I8490" s="14" t="s">
        <v>6113</v>
      </c>
      <c r="J8490" s="14" t="s">
        <v>6012</v>
      </c>
      <c r="K8490" s="14" t="s">
        <v>6012</v>
      </c>
      <c r="L8490" s="14">
        <v>0.0</v>
      </c>
    </row>
    <row r="8491">
      <c r="A8491" s="14">
        <v>2074.0</v>
      </c>
      <c r="B8491" s="14">
        <v>111.0</v>
      </c>
      <c r="C8491" s="34">
        <v>53.23</v>
      </c>
      <c r="D8491" s="36">
        <v>46101.0</v>
      </c>
      <c r="E8491" s="24"/>
      <c r="F8491" s="14">
        <v>0.48</v>
      </c>
      <c r="G8491" s="14">
        <v>25.67</v>
      </c>
      <c r="H8491" s="14">
        <v>5.35</v>
      </c>
      <c r="I8491" s="14" t="s">
        <v>6112</v>
      </c>
      <c r="J8491" s="14">
        <v>6.31</v>
      </c>
      <c r="K8491" s="14">
        <v>7.6</v>
      </c>
      <c r="L8491" s="14">
        <v>0.0</v>
      </c>
    </row>
    <row r="8492">
      <c r="A8492" s="14">
        <v>0.0</v>
      </c>
      <c r="B8492" s="14">
        <v>0.0</v>
      </c>
      <c r="C8492" s="34">
        <v>40.25</v>
      </c>
      <c r="D8492" s="36">
        <v>46101.0</v>
      </c>
      <c r="E8492" s="24"/>
      <c r="F8492" s="14" t="s">
        <v>6012</v>
      </c>
      <c r="G8492" s="14" t="s">
        <v>6012</v>
      </c>
      <c r="H8492" s="14" t="s">
        <v>6012</v>
      </c>
      <c r="I8492" s="14" t="s">
        <v>6114</v>
      </c>
      <c r="J8492" s="14" t="s">
        <v>6012</v>
      </c>
      <c r="K8492" s="14" t="s">
        <v>6012</v>
      </c>
      <c r="L8492" s="14">
        <v>0.0</v>
      </c>
    </row>
    <row r="8493">
      <c r="A8493" s="14">
        <v>707.0</v>
      </c>
      <c r="B8493" s="14">
        <v>47.0</v>
      </c>
      <c r="C8493" s="34">
        <v>42.96</v>
      </c>
      <c r="D8493" s="36">
        <v>46102.0</v>
      </c>
      <c r="E8493" s="24"/>
      <c r="F8493" s="14">
        <v>0.91</v>
      </c>
      <c r="G8493" s="14">
        <v>60.76</v>
      </c>
      <c r="H8493" s="14">
        <v>6.65</v>
      </c>
      <c r="I8493" s="14" t="s">
        <v>6112</v>
      </c>
      <c r="J8493" s="14">
        <v>2.13</v>
      </c>
      <c r="K8493" s="14">
        <v>42.96</v>
      </c>
      <c r="L8493" s="14">
        <v>0.0</v>
      </c>
    </row>
    <row r="8494">
      <c r="A8494" s="14">
        <v>822.0</v>
      </c>
      <c r="B8494" s="14">
        <v>50.0</v>
      </c>
      <c r="C8494" s="34">
        <v>40.01</v>
      </c>
      <c r="D8494" s="36">
        <v>46102.0</v>
      </c>
      <c r="E8494" s="24"/>
      <c r="F8494" s="14">
        <v>0.8</v>
      </c>
      <c r="G8494" s="14">
        <v>48.67</v>
      </c>
      <c r="H8494" s="14">
        <v>6.08</v>
      </c>
      <c r="I8494" s="14" t="s">
        <v>6111</v>
      </c>
      <c r="J8494" s="14">
        <v>2.0</v>
      </c>
      <c r="K8494" s="14">
        <v>40.01</v>
      </c>
      <c r="L8494" s="14">
        <v>0.0</v>
      </c>
    </row>
    <row r="8495">
      <c r="A8495" s="14">
        <v>0.0</v>
      </c>
      <c r="B8495" s="14">
        <v>0.0</v>
      </c>
      <c r="C8495" s="34">
        <v>44.65</v>
      </c>
      <c r="D8495" s="36">
        <v>46102.0</v>
      </c>
      <c r="E8495" s="24"/>
      <c r="F8495" s="14" t="s">
        <v>6012</v>
      </c>
      <c r="G8495" s="14" t="s">
        <v>6012</v>
      </c>
      <c r="H8495" s="14" t="s">
        <v>6012</v>
      </c>
      <c r="I8495" s="14" t="s">
        <v>6113</v>
      </c>
      <c r="J8495" s="14" t="s">
        <v>6012</v>
      </c>
      <c r="K8495" s="14" t="s">
        <v>6012</v>
      </c>
      <c r="L8495" s="14">
        <v>0.0</v>
      </c>
    </row>
    <row r="8496">
      <c r="A8496" s="14">
        <v>0.0</v>
      </c>
      <c r="B8496" s="14">
        <v>0.0</v>
      </c>
      <c r="C8496" s="34">
        <v>24.76</v>
      </c>
      <c r="D8496" s="36">
        <v>46102.0</v>
      </c>
      <c r="E8496" s="24"/>
      <c r="F8496" s="14" t="s">
        <v>6012</v>
      </c>
      <c r="G8496" s="14" t="s">
        <v>6012</v>
      </c>
      <c r="H8496" s="14" t="s">
        <v>6012</v>
      </c>
      <c r="I8496" s="14" t="s">
        <v>6114</v>
      </c>
      <c r="J8496" s="14" t="s">
        <v>6012</v>
      </c>
      <c r="K8496" s="14" t="s">
        <v>6012</v>
      </c>
      <c r="L8496" s="14">
        <v>0.0</v>
      </c>
    </row>
    <row r="8497">
      <c r="A8497" s="14">
        <v>642.0</v>
      </c>
      <c r="B8497" s="14">
        <v>23.0</v>
      </c>
      <c r="C8497" s="34">
        <v>33.46</v>
      </c>
      <c r="D8497" s="36">
        <v>46103.0</v>
      </c>
      <c r="E8497" s="24"/>
      <c r="F8497" s="14">
        <v>1.45</v>
      </c>
      <c r="G8497" s="14">
        <v>52.12</v>
      </c>
      <c r="H8497" s="14">
        <v>3.58</v>
      </c>
      <c r="I8497" s="14" t="s">
        <v>6111</v>
      </c>
      <c r="J8497" s="14">
        <v>4.35</v>
      </c>
      <c r="K8497" s="14">
        <v>33.46</v>
      </c>
      <c r="L8497" s="14">
        <v>0.0</v>
      </c>
    </row>
    <row r="8498">
      <c r="A8498" s="14">
        <v>0.0</v>
      </c>
      <c r="B8498" s="14">
        <v>0.0</v>
      </c>
      <c r="C8498" s="34">
        <v>42.8</v>
      </c>
      <c r="D8498" s="36">
        <v>46103.0</v>
      </c>
      <c r="E8498" s="24"/>
      <c r="F8498" s="14" t="s">
        <v>6012</v>
      </c>
      <c r="G8498" s="14" t="s">
        <v>6012</v>
      </c>
      <c r="H8498" s="14" t="s">
        <v>6012</v>
      </c>
      <c r="I8498" s="14" t="s">
        <v>6113</v>
      </c>
      <c r="J8498" s="14" t="s">
        <v>6012</v>
      </c>
      <c r="K8498" s="14" t="s">
        <v>6012</v>
      </c>
      <c r="L8498" s="14">
        <v>0.0</v>
      </c>
    </row>
    <row r="8499">
      <c r="A8499" s="14">
        <v>0.0</v>
      </c>
      <c r="B8499" s="14">
        <v>0.0</v>
      </c>
      <c r="C8499" s="34">
        <v>19.72</v>
      </c>
      <c r="D8499" s="36">
        <v>46103.0</v>
      </c>
      <c r="E8499" s="24"/>
      <c r="F8499" s="14" t="s">
        <v>6012</v>
      </c>
      <c r="G8499" s="14" t="s">
        <v>6012</v>
      </c>
      <c r="H8499" s="14" t="s">
        <v>6012</v>
      </c>
      <c r="I8499" s="14" t="s">
        <v>6114</v>
      </c>
      <c r="J8499" s="14" t="s">
        <v>6012</v>
      </c>
      <c r="K8499" s="14" t="s">
        <v>6012</v>
      </c>
      <c r="L8499" s="14">
        <v>0.0</v>
      </c>
    </row>
    <row r="8500">
      <c r="A8500" s="14">
        <v>761.0</v>
      </c>
      <c r="B8500" s="14">
        <v>36.0</v>
      </c>
      <c r="C8500" s="34">
        <v>40.75</v>
      </c>
      <c r="D8500" s="36">
        <v>46103.0</v>
      </c>
      <c r="E8500" s="24"/>
      <c r="F8500" s="14">
        <v>1.13</v>
      </c>
      <c r="G8500" s="14">
        <v>53.55</v>
      </c>
      <c r="H8500" s="14">
        <v>4.73</v>
      </c>
      <c r="I8500" s="14" t="s">
        <v>6112</v>
      </c>
      <c r="J8500" s="14">
        <v>2.78</v>
      </c>
      <c r="K8500" s="14">
        <v>40.75</v>
      </c>
      <c r="L8500" s="14">
        <v>0.0</v>
      </c>
    </row>
    <row r="8501">
      <c r="A8501" s="14">
        <v>137.0</v>
      </c>
      <c r="B8501" s="14">
        <v>11.0</v>
      </c>
      <c r="C8501" s="34">
        <v>28.98</v>
      </c>
      <c r="D8501" s="36">
        <v>46104.0</v>
      </c>
      <c r="E8501" s="24"/>
      <c r="F8501" s="14">
        <v>2.63</v>
      </c>
      <c r="G8501" s="14">
        <v>211.53</v>
      </c>
      <c r="H8501" s="14">
        <v>8.03</v>
      </c>
      <c r="I8501" s="14" t="s">
        <v>6111</v>
      </c>
      <c r="J8501" s="14">
        <v>0.0</v>
      </c>
      <c r="K8501" s="14" t="s">
        <v>6012</v>
      </c>
      <c r="L8501" s="14">
        <v>0.0</v>
      </c>
    </row>
    <row r="8502">
      <c r="A8502" s="14">
        <v>0.0</v>
      </c>
      <c r="B8502" s="14">
        <v>0.0</v>
      </c>
      <c r="C8502" s="34">
        <v>6.72</v>
      </c>
      <c r="D8502" s="36">
        <v>46104.0</v>
      </c>
      <c r="E8502" s="24"/>
      <c r="F8502" s="14" t="s">
        <v>6012</v>
      </c>
      <c r="G8502" s="14" t="s">
        <v>6012</v>
      </c>
      <c r="H8502" s="14" t="s">
        <v>6012</v>
      </c>
      <c r="I8502" s="14" t="s">
        <v>6113</v>
      </c>
      <c r="J8502" s="14" t="s">
        <v>6012</v>
      </c>
      <c r="K8502" s="14" t="s">
        <v>6012</v>
      </c>
      <c r="L8502" s="14">
        <v>0.0</v>
      </c>
    </row>
    <row r="8503">
      <c r="A8503" s="14">
        <v>187.0</v>
      </c>
      <c r="B8503" s="14">
        <v>8.0</v>
      </c>
      <c r="C8503" s="34">
        <v>26.25</v>
      </c>
      <c r="D8503" s="36">
        <v>46104.0</v>
      </c>
      <c r="E8503" s="24"/>
      <c r="F8503" s="14">
        <v>3.28</v>
      </c>
      <c r="G8503" s="14">
        <v>140.37</v>
      </c>
      <c r="H8503" s="14">
        <v>4.28</v>
      </c>
      <c r="I8503" s="14" t="s">
        <v>6112</v>
      </c>
      <c r="J8503" s="14">
        <v>12.5</v>
      </c>
      <c r="K8503" s="14">
        <v>26.25</v>
      </c>
      <c r="L8503" s="14">
        <v>0.0</v>
      </c>
    </row>
    <row r="8504">
      <c r="A8504" s="14">
        <v>0.0</v>
      </c>
      <c r="B8504" s="14">
        <v>0.0</v>
      </c>
      <c r="C8504" s="34">
        <v>3.25</v>
      </c>
      <c r="D8504" s="36">
        <v>46104.0</v>
      </c>
      <c r="E8504" s="24"/>
      <c r="F8504" s="14" t="s">
        <v>6012</v>
      </c>
      <c r="G8504" s="14" t="s">
        <v>6012</v>
      </c>
      <c r="H8504" s="14" t="s">
        <v>6012</v>
      </c>
      <c r="I8504" s="14" t="s">
        <v>6114</v>
      </c>
      <c r="J8504" s="14" t="s">
        <v>6012</v>
      </c>
      <c r="K8504" s="14" t="s">
        <v>6012</v>
      </c>
      <c r="L8504" s="14">
        <v>0.0</v>
      </c>
    </row>
    <row r="8505">
      <c r="A8505" s="14">
        <v>0.0</v>
      </c>
      <c r="B8505" s="14">
        <v>0.0</v>
      </c>
      <c r="C8505" s="34"/>
      <c r="D8505" s="36">
        <v>46105.0</v>
      </c>
      <c r="E8505" s="24"/>
      <c r="F8505" s="14" t="s">
        <v>6012</v>
      </c>
      <c r="G8505" s="14" t="s">
        <v>6012</v>
      </c>
      <c r="H8505" s="14" t="s">
        <v>6012</v>
      </c>
      <c r="I8505" s="14" t="s">
        <v>6112</v>
      </c>
      <c r="J8505" s="14" t="s">
        <v>6012</v>
      </c>
      <c r="K8505" s="14" t="s">
        <v>6012</v>
      </c>
      <c r="L8505" s="14"/>
    </row>
    <row r="8506">
      <c r="A8506" s="14">
        <v>0.0</v>
      </c>
      <c r="B8506" s="14">
        <v>0.0</v>
      </c>
      <c r="C8506" s="34"/>
      <c r="D8506" s="36">
        <v>46106.0</v>
      </c>
      <c r="E8506" s="24"/>
      <c r="F8506" s="14" t="s">
        <v>6012</v>
      </c>
      <c r="G8506" s="14" t="s">
        <v>6012</v>
      </c>
      <c r="H8506" s="14" t="s">
        <v>6012</v>
      </c>
      <c r="I8506" s="14" t="s">
        <v>6111</v>
      </c>
      <c r="J8506" s="14" t="s">
        <v>6012</v>
      </c>
      <c r="K8506" s="14" t="s">
        <v>6012</v>
      </c>
      <c r="L8506" s="14"/>
    </row>
    <row r="8507">
      <c r="A8507" s="14">
        <v>0.0</v>
      </c>
      <c r="B8507" s="14">
        <v>0.0</v>
      </c>
      <c r="C8507" s="34"/>
      <c r="D8507" s="36">
        <v>46107.0</v>
      </c>
      <c r="E8507" s="24"/>
      <c r="F8507" s="14" t="s">
        <v>6012</v>
      </c>
      <c r="G8507" s="14" t="s">
        <v>6012</v>
      </c>
      <c r="H8507" s="14" t="s">
        <v>6012</v>
      </c>
      <c r="I8507" s="14" t="s">
        <v>6112</v>
      </c>
      <c r="J8507" s="14" t="s">
        <v>6012</v>
      </c>
      <c r="K8507" s="14" t="s">
        <v>6012</v>
      </c>
      <c r="L8507" s="14"/>
    </row>
    <row r="8508">
      <c r="A8508" s="14">
        <v>0.0</v>
      </c>
      <c r="B8508" s="14">
        <v>0.0</v>
      </c>
      <c r="C8508" s="34"/>
      <c r="D8508" s="36">
        <v>46108.0</v>
      </c>
      <c r="E8508" s="24"/>
      <c r="F8508" s="14" t="s">
        <v>6012</v>
      </c>
      <c r="G8508" s="14" t="s">
        <v>6012</v>
      </c>
      <c r="H8508" s="14" t="s">
        <v>6012</v>
      </c>
      <c r="I8508" s="14" t="s">
        <v>6112</v>
      </c>
      <c r="J8508" s="14" t="s">
        <v>6012</v>
      </c>
      <c r="K8508" s="14" t="s">
        <v>6012</v>
      </c>
      <c r="L8508" s="14"/>
    </row>
  </sheetData>
  <drawing r:id="rId1"/>
</worksheet>
</file>